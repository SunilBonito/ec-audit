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26" firstSheet="2" activeTab="12" autoFilterDateGrouping="1"/>
  </bookViews>
  <sheets>
    <sheet xmlns:r="http://schemas.openxmlformats.org/officeDocument/2006/relationships" name="📋 DASHBOARD" sheetId="1" state="hidden" r:id="rId1"/>
    <sheet xmlns:r="http://schemas.openxmlformats.org/officeDocument/2006/relationships" name="Laminates" sheetId="2" state="visible" r:id="rId2"/>
    <sheet xmlns:r="http://schemas.openxmlformats.org/officeDocument/2006/relationships" name="Acrylic n Crystal Acrylic" sheetId="3" state="visible" r:id="rId3"/>
    <sheet xmlns:r="http://schemas.openxmlformats.org/officeDocument/2006/relationships" name="PU and Membrane" sheetId="4" state="visible" r:id="rId4"/>
    <sheet xmlns:r="http://schemas.openxmlformats.org/officeDocument/2006/relationships" name="Rafters" sheetId="5" state="visible" r:id="rId5"/>
    <sheet xmlns:r="http://schemas.openxmlformats.org/officeDocument/2006/relationships" name="Wallpaper" sheetId="6" state="visible" r:id="rId6"/>
    <sheet xmlns:r="http://schemas.openxmlformats.org/officeDocument/2006/relationships" name="Quartz" sheetId="7" state="visible" r:id="rId7"/>
    <sheet xmlns:r="http://schemas.openxmlformats.org/officeDocument/2006/relationships" name="Granite" sheetId="8" state="visible" r:id="rId8"/>
    <sheet xmlns:r="http://schemas.openxmlformats.org/officeDocument/2006/relationships" name="Wooden Flooring" sheetId="9" state="visible" r:id="rId9"/>
    <sheet xmlns:r="http://schemas.openxmlformats.org/officeDocument/2006/relationships" name="Beading" sheetId="10" state="visible" r:id="rId10"/>
    <sheet xmlns:r="http://schemas.openxmlformats.org/officeDocument/2006/relationships" name="Bonito Legs" sheetId="11" state="visible" r:id="rId11"/>
    <sheet xmlns:r="http://schemas.openxmlformats.org/officeDocument/2006/relationships" name="Handles" sheetId="12" state="visible" r:id="rId12"/>
    <sheet xmlns:r="http://schemas.openxmlformats.org/officeDocument/2006/relationships" name="Fabric" sheetId="13" state="visible" r:id="rId13"/>
  </sheets>
  <definedNames>
    <definedName name="_xlnm._FilterDatabase" localSheetId="1" hidden="1">'Laminates'!$A$4:$AW$288</definedName>
    <definedName name="_xlnm._FilterDatabase" localSheetId="2" hidden="1">'Acrylic n Crystal Acrylic'!$A$4:$AW$67</definedName>
    <definedName name="_xlnm._FilterDatabase" localSheetId="3" hidden="1">'PU and Membrane'!$A$4:$AW$85</definedName>
    <definedName name="_xlnm._FilterDatabase" localSheetId="4" hidden="1">'Rafters'!$A$4:$AW$168</definedName>
    <definedName name="_xlnm._FilterDatabase" localSheetId="5" hidden="1">'Wallpaper'!$A$4:$AW$1413</definedName>
    <definedName name="_xlnm._FilterDatabase" localSheetId="6" hidden="1">'Quartz'!$A$4:$AW$117</definedName>
    <definedName name="_xlnm._FilterDatabase" localSheetId="7" hidden="1">'Granite'!$A$4:$AW$15</definedName>
    <definedName name="_xlnm._FilterDatabase" localSheetId="8" hidden="1">'Wooden Flooring'!$A$4:$AW$26</definedName>
    <definedName name="_xlnm._FilterDatabase" localSheetId="9" hidden="1">'Beading'!$A$4:$AW$39</definedName>
    <definedName name="_xlnm._FilterDatabase" localSheetId="10" hidden="1">'Bonito Legs'!$A$4:$AW$80</definedName>
    <definedName name="_xlnm._FilterDatabase" localSheetId="11" hidden="1">'Handles'!$A$4:$AW$516</definedName>
    <definedName name="_xlnm._FilterDatabase" localSheetId="12" hidden="1">'Fabric'!$A$4:$AW$292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-yyyy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i val="1"/>
      <color rgb="FF833C00"/>
      <sz val="8"/>
    </font>
    <font>
      <name val="Arial"/>
      <family val="2"/>
      <b val="1"/>
      <color rgb="FFFFFFFF"/>
      <sz val="10"/>
    </font>
    <font>
      <name val="Arial"/>
      <family val="2"/>
      <b val="1"/>
      <color rgb="FFFFFFFF"/>
      <sz val="9"/>
    </font>
    <font>
      <name val="Arial"/>
      <family val="2"/>
      <b val="1"/>
      <color rgb="FFFFFFFF"/>
      <sz val="8"/>
    </font>
    <font>
      <name val="Arial"/>
      <family val="2"/>
      <color rgb="FF000000"/>
      <sz val="8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rgb="FFFFFFFF"/>
      <sz val="13"/>
    </font>
    <font>
      <name val="Arial"/>
      <family val="2"/>
      <i val="1"/>
      <color rgb="FF833C00"/>
      <sz val="9"/>
    </font>
    <font>
      <name val="Arial"/>
      <family val="2"/>
      <color rgb="FF000000"/>
      <sz val="9"/>
    </font>
    <font>
      <name val="Arial"/>
      <family val="2"/>
      <color rgb="FF833C00"/>
      <sz val="9"/>
    </font>
    <font>
      <name val="Arial"/>
      <family val="2"/>
      <sz val="9"/>
    </font>
    <font>
      <name val="Arial"/>
      <family val="2"/>
      <color rgb="FF833C00"/>
      <sz val="8"/>
    </font>
    <font>
      <name val="Arial"/>
      <charset val="1"/>
      <family val="2"/>
      <color rgb="FF000000"/>
      <sz val="8"/>
    </font>
  </fonts>
  <fills count="17">
    <fill>
      <patternFill/>
    </fill>
    <fill>
      <patternFill patternType="gray125"/>
    </fill>
    <fill>
      <patternFill patternType="solid">
        <fgColor rgb="FF833C00"/>
      </patternFill>
    </fill>
    <fill>
      <patternFill patternType="solid">
        <fgColor rgb="FFFCE4D6"/>
      </patternFill>
    </fill>
    <fill>
      <patternFill patternType="solid">
        <fgColor rgb="FF1F3864"/>
      </patternFill>
    </fill>
    <fill>
      <patternFill patternType="solid">
        <fgColor rgb="FF375623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  <fill>
      <patternFill patternType="solid">
        <fgColor rgb="FFDAE3F3"/>
        <bgColor rgb="FFD9F0EF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1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left" vertical="center" indent="1"/>
    </xf>
    <xf numFmtId="0" fontId="11" fillId="9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9" fontId="13" fillId="11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9" fontId="13" fillId="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9" fontId="13" fillId="12" borderId="1" applyAlignment="1" pivotButton="0" quotePrefix="0" xfId="0">
      <alignment horizontal="center" vertical="center"/>
    </xf>
    <xf numFmtId="0" fontId="11" fillId="13" borderId="1" applyAlignment="1" pivotButton="0" quotePrefix="0" xfId="0">
      <alignment horizontal="center" vertical="center"/>
    </xf>
    <xf numFmtId="9" fontId="13" fillId="1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11" fillId="15" borderId="1" applyAlignment="1" pivotButton="0" quotePrefix="0" xfId="0">
      <alignment horizontal="center" vertical="center"/>
    </xf>
    <xf numFmtId="9" fontId="13" fillId="15" borderId="1" applyAlignment="1" pivotButton="0" quotePrefix="0" xfId="0">
      <alignment horizontal="center" vertical="center"/>
    </xf>
    <xf numFmtId="0" fontId="0" fillId="2" borderId="1" pivotButton="0" quotePrefix="0" xfId="0"/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7" fillId="10" borderId="2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8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8" fillId="13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7" fillId="14" borderId="1" applyAlignment="1" pivotButton="0" quotePrefix="0" xfId="0">
      <alignment horizontal="left" vertical="center"/>
    </xf>
    <xf numFmtId="0" fontId="6" fillId="14" borderId="3" applyAlignment="1" pivotButton="0" quotePrefix="0" xfId="0">
      <alignment horizontal="center" vertical="center"/>
    </xf>
    <xf numFmtId="14" fontId="6" fillId="9" borderId="1" applyAlignment="1" pivotButton="0" quotePrefix="0" xfId="0">
      <alignment horizontal="center" vertical="center"/>
    </xf>
    <xf numFmtId="0" fontId="15" fillId="16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7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14" fillId="8" borderId="1" applyAlignment="1" pivotButton="0" quotePrefix="0" xfId="0">
      <alignment horizontal="left" vertical="center" indent="1"/>
    </xf>
    <xf numFmtId="0" fontId="4" fillId="2" borderId="1" applyAlignment="1" pivotButton="0" quotePrefix="0" xfId="0">
      <alignment horizontal="right" vertical="center" indent="1"/>
    </xf>
    <xf numFmtId="0" fontId="9" fillId="2" borderId="0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5" fontId="6" fillId="3" borderId="1" applyAlignment="1" pivotButton="0" quotePrefix="0" xfId="0">
      <alignment horizontal="center" vertical="center"/>
    </xf>
  </cellXfs>
  <cellStyles count="1">
    <cellStyle name="Normal" xfId="0" builtinId="0"/>
  </cellStyles>
  <dxfs count="663"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8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name val="Arial"/>
        <charset val="1"/>
        <b val="1"/>
        <color rgb="FF9C0006"/>
        <sz val="8"/>
      </font>
      <fill>
        <patternFill>
          <b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6500"/>
        <sz val="8"/>
      </font>
      <fill>
        <patternFill patternType="solid">
          <fgColor rgb="FFFFF2CC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9C0006"/>
        <sz val="8"/>
      </font>
      <fill>
        <patternFill patternType="solid">
          <fgColor rgb="FFFFC7CE"/>
        </patternFill>
      </fill>
    </dxf>
    <dxf>
      <font>
        <name val="Arial"/>
        <b val="1"/>
        <color rgb="FF276221"/>
        <sz val="8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833C00"/>
    <outlinePr summaryBelow="1" summaryRight="1"/>
    <pageSetUpPr/>
  </sheetPr>
  <dimension ref="B1:V26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14" sqref="C14"/>
    </sheetView>
  </sheetViews>
  <sheetFormatPr baseColWidth="8" defaultRowHeight="14.4"/>
  <cols>
    <col width="3" customWidth="1" style="46" min="1" max="1"/>
    <col width="30" customWidth="1" style="46" min="2" max="2"/>
    <col width="13" customWidth="1" style="46" min="3" max="23"/>
  </cols>
  <sheetData>
    <row r="1" ht="34.2" customHeight="1" s="46">
      <c r="B1" s="55" t="inlineStr">
        <is>
          <t>🏭   HRBR EXPERIENCE CENTRE — MATERIAL AUDIT TRACKER</t>
        </is>
      </c>
    </row>
    <row r="2" ht="15" customHeight="1" s="46">
      <c r="B2" s="60" t="inlineStr">
        <is>
          <t>Bangalore Location  |  3,067 total SKUs</t>
        </is>
      </c>
    </row>
    <row r="3" ht="7.95" customHeight="1" s="46"/>
    <row r="4" ht="18" customHeight="1" s="46">
      <c r="B4" s="1" t="n"/>
      <c r="C4" s="62" t="inlineStr">
        <is>
          <t>AUDIT 1</t>
        </is>
      </c>
      <c r="D4" s="63" t="n"/>
      <c r="E4" s="63" t="n"/>
      <c r="F4" s="64" t="n"/>
      <c r="G4" s="57" t="inlineStr">
        <is>
          <t>AUDIT 2</t>
        </is>
      </c>
      <c r="H4" s="63" t="n"/>
      <c r="I4" s="63" t="n"/>
      <c r="J4" s="64" t="n"/>
      <c r="K4" s="58" t="inlineStr">
        <is>
          <t>AUDIT 3</t>
        </is>
      </c>
      <c r="L4" s="63" t="n"/>
      <c r="M4" s="63" t="n"/>
      <c r="N4" s="64" t="n"/>
      <c r="O4" s="59" t="inlineStr">
        <is>
          <t>AUDIT 4</t>
        </is>
      </c>
      <c r="P4" s="63" t="n"/>
      <c r="Q4" s="63" t="n"/>
      <c r="R4" s="64" t="n"/>
      <c r="S4" s="61" t="inlineStr">
        <is>
          <t>AUDIT 5</t>
        </is>
      </c>
      <c r="T4" s="63" t="n"/>
      <c r="U4" s="63" t="n"/>
      <c r="V4" s="64" t="n"/>
    </row>
    <row r="5" ht="31.95" customHeight="1" s="46">
      <c r="B5" s="2" t="inlineStr">
        <is>
          <t>Category</t>
        </is>
      </c>
      <c r="C5" s="3" t="inlineStr">
        <is>
          <t>Total
SKUs</t>
        </is>
      </c>
      <c r="D5" s="3" t="inlineStr">
        <is>
          <t>✓ OK</t>
        </is>
      </c>
      <c r="E5" s="3" t="inlineStr">
        <is>
          <t>⚠ Issues</t>
        </is>
      </c>
      <c r="F5" s="3" t="inlineStr">
        <is>
          <t>Done
%</t>
        </is>
      </c>
      <c r="G5" s="4" t="inlineStr">
        <is>
          <t>Total
SKUs</t>
        </is>
      </c>
      <c r="H5" s="4" t="inlineStr">
        <is>
          <t>✓ OK</t>
        </is>
      </c>
      <c r="I5" s="4" t="inlineStr">
        <is>
          <t>⚠ Issues</t>
        </is>
      </c>
      <c r="J5" s="4" t="inlineStr">
        <is>
          <t>Done
%</t>
        </is>
      </c>
      <c r="K5" s="5" t="inlineStr">
        <is>
          <t>Total
SKUs</t>
        </is>
      </c>
      <c r="L5" s="5" t="inlineStr">
        <is>
          <t>✓ OK</t>
        </is>
      </c>
      <c r="M5" s="5" t="inlineStr">
        <is>
          <t>⚠ Issues</t>
        </is>
      </c>
      <c r="N5" s="5" t="inlineStr">
        <is>
          <t>Done
%</t>
        </is>
      </c>
      <c r="O5" s="6" t="inlineStr">
        <is>
          <t>Total
SKUs</t>
        </is>
      </c>
      <c r="P5" s="6" t="inlineStr">
        <is>
          <t>✓ OK</t>
        </is>
      </c>
      <c r="Q5" s="6" t="inlineStr">
        <is>
          <t>⚠ Issues</t>
        </is>
      </c>
      <c r="R5" s="6" t="inlineStr">
        <is>
          <t>Done
%</t>
        </is>
      </c>
      <c r="S5" s="7" t="inlineStr">
        <is>
          <t>Total
SKUs</t>
        </is>
      </c>
      <c r="T5" s="7" t="inlineStr">
        <is>
          <t>✓ OK</t>
        </is>
      </c>
      <c r="U5" s="7" t="inlineStr">
        <is>
          <t>⚠ Issues</t>
        </is>
      </c>
      <c r="V5" s="7" t="inlineStr">
        <is>
          <t>Done
%</t>
        </is>
      </c>
    </row>
    <row r="6" ht="19.95" customHeight="1" s="46">
      <c r="B6" s="8" t="inlineStr">
        <is>
          <t>Laminates</t>
        </is>
      </c>
      <c r="C6" s="9" t="n">
        <v>292</v>
      </c>
      <c r="D6" s="9">
        <f>COUNTIF(Laminates!M5:M288,"✓ OK")</f>
        <v/>
      </c>
      <c r="E6" s="9">
        <f>COUNTIF(Laminates!M5:M288,"⚠ Check")+COUNTIF(Laminates!M5:M288,"⚠ Missing")+COUNTIF(Laminates!M5:M288,"❌ Disc")</f>
        <v/>
      </c>
      <c r="F6" s="10">
        <f>IFERROR(COUNTIF(Laminates!E5:E288,"&lt;&gt;"&amp;"")/292,"—")</f>
        <v/>
      </c>
      <c r="G6" s="11" t="n">
        <v>292</v>
      </c>
      <c r="H6" s="11">
        <f>COUNTIF(Laminates!V5:V288,"✓ OK")</f>
        <v/>
      </c>
      <c r="I6" s="11">
        <f>COUNTIF(Laminates!V5:V288,"⚠ Check")+COUNTIF(Laminates!V5:V288,"⚠ Missing")+COUNTIF(Laminates!V5:V288,"❌ Disc")</f>
        <v/>
      </c>
      <c r="J6" s="12">
        <f>IFERROR(COUNTIF(Laminates!N5:N288,"&lt;&gt;"&amp;"")/292,"—")</f>
        <v/>
      </c>
      <c r="K6" s="13" t="n">
        <v>292</v>
      </c>
      <c r="L6" s="13">
        <f>COUNTIF(Laminates!AE5:AE288,"✓ OK")</f>
        <v/>
      </c>
      <c r="M6" s="13">
        <f>COUNTIF(Laminates!AE5:AE288,"⚠ Check")+COUNTIF(Laminates!AE5:AE288,"⚠ Missing")+COUNTIF(Laminates!AE5:AE288,"❌ Disc")</f>
        <v/>
      </c>
      <c r="N6" s="14">
        <f>IFERROR(COUNTIF(Laminates!W5:W288,"&lt;&gt;"&amp;"")/292,"—")</f>
        <v/>
      </c>
      <c r="O6" s="15" t="n">
        <v>292</v>
      </c>
      <c r="P6" s="15">
        <f>COUNTIF(Laminates!AN5:AN288,"✓ OK")</f>
        <v/>
      </c>
      <c r="Q6" s="15">
        <f>COUNTIF(Laminates!AN5:AN288,"⚠ Check")+COUNTIF(Laminates!AN5:AN288,"⚠ Missing")+COUNTIF(Laminates!AN5:AN288,"❌ Disc")</f>
        <v/>
      </c>
      <c r="R6" s="16">
        <f>IFERROR(COUNTIF(Laminates!AF5:AF288,"&lt;&gt;"&amp;"")/292,"—")</f>
        <v/>
      </c>
      <c r="S6" s="17" t="n">
        <v>292</v>
      </c>
      <c r="T6" s="17">
        <f>COUNTIF(Laminates!AW5:AW288,"✓ OK")</f>
        <v/>
      </c>
      <c r="U6" s="17">
        <f>COUNTIF(Laminates!AW5:AW288,"⚠ Check")+COUNTIF(Laminates!AW5:AW288,"⚠ Missing")+COUNTIF(Laminates!AW5:AW288,"❌ Disc")</f>
        <v/>
      </c>
      <c r="V6" s="18">
        <f>IFERROR(COUNTIF(Laminates!AO5:AO288,"&lt;&gt;"&amp;"")/292,"—")</f>
        <v/>
      </c>
    </row>
    <row r="7" ht="19.95" customHeight="1" s="46">
      <c r="B7" s="19" t="inlineStr">
        <is>
          <t>Acrylic n Crystal Acrylic</t>
        </is>
      </c>
      <c r="C7" s="20" t="n">
        <v>63</v>
      </c>
      <c r="D7" s="20">
        <f>COUNTIF('Acrylic n Crystal Acrylic'!M5:M67,"✓ OK")</f>
        <v/>
      </c>
      <c r="E7" s="20">
        <f>COUNTIF('Acrylic n Crystal Acrylic'!M5:M67,"⚠ Check")+COUNTIF('Acrylic n Crystal Acrylic'!M5:M67,"⚠ Missing")+COUNTIF('Acrylic n Crystal Acrylic'!M5:M67,"❌ Disc")</f>
        <v/>
      </c>
      <c r="F7" s="21">
        <f>IFERROR(COUNTIF('Acrylic n Crystal Acrylic'!E5:E67,"&lt;&gt;"&amp;"")/63,"—")</f>
        <v/>
      </c>
      <c r="G7" s="20" t="n">
        <v>63</v>
      </c>
      <c r="H7" s="20">
        <f>COUNTIF('Acrylic n Crystal Acrylic'!V5:V67,"✓ OK")</f>
        <v/>
      </c>
      <c r="I7" s="20">
        <f>COUNTIF('Acrylic n Crystal Acrylic'!V5:V67,"⚠ Check")+COUNTIF('Acrylic n Crystal Acrylic'!V5:V67,"⚠ Missing")+COUNTIF('Acrylic n Crystal Acrylic'!V5:V67,"❌ Disc")</f>
        <v/>
      </c>
      <c r="J7" s="21">
        <f>IFERROR(COUNTIF('Acrylic n Crystal Acrylic'!N5:N67,"&lt;&gt;"&amp;"")/63,"—")</f>
        <v/>
      </c>
      <c r="K7" s="20" t="n">
        <v>63</v>
      </c>
      <c r="L7" s="20">
        <f>COUNTIF('Acrylic n Crystal Acrylic'!AE5:AE67,"✓ OK")</f>
        <v/>
      </c>
      <c r="M7" s="20">
        <f>COUNTIF('Acrylic n Crystal Acrylic'!AE5:AE67,"⚠ Check")+COUNTIF('Acrylic n Crystal Acrylic'!AE5:AE67,"⚠ Missing")+COUNTIF('Acrylic n Crystal Acrylic'!AE5:AE67,"❌ Disc")</f>
        <v/>
      </c>
      <c r="N7" s="21">
        <f>IFERROR(COUNTIF('Acrylic n Crystal Acrylic'!W5:W67,"&lt;&gt;"&amp;"")/63,"—")</f>
        <v/>
      </c>
      <c r="O7" s="20" t="n">
        <v>63</v>
      </c>
      <c r="P7" s="20">
        <f>COUNTIF('Acrylic n Crystal Acrylic'!AN5:AN67,"✓ OK")</f>
        <v/>
      </c>
      <c r="Q7" s="20">
        <f>COUNTIF('Acrylic n Crystal Acrylic'!AN5:AN67,"⚠ Check")+COUNTIF('Acrylic n Crystal Acrylic'!AN5:AN67,"⚠ Missing")+COUNTIF('Acrylic n Crystal Acrylic'!AN5:AN67,"❌ Disc")</f>
        <v/>
      </c>
      <c r="R7" s="21">
        <f>IFERROR(COUNTIF('Acrylic n Crystal Acrylic'!AF5:AF67,"&lt;&gt;"&amp;"")/63,"—")</f>
        <v/>
      </c>
      <c r="S7" s="20" t="n">
        <v>63</v>
      </c>
      <c r="T7" s="20">
        <f>COUNTIF('Acrylic n Crystal Acrylic'!AW5:AW67,"✓ OK")</f>
        <v/>
      </c>
      <c r="U7" s="20">
        <f>COUNTIF('Acrylic n Crystal Acrylic'!AW5:AW67,"⚠ Check")+COUNTIF('Acrylic n Crystal Acrylic'!AW5:AW67,"⚠ Missing")+COUNTIF('Acrylic n Crystal Acrylic'!AW5:AW67,"❌ Disc")</f>
        <v/>
      </c>
      <c r="V7" s="21">
        <f>IFERROR(COUNTIF('Acrylic n Crystal Acrylic'!AO5:AO67,"&lt;&gt;"&amp;"")/63,"—")</f>
        <v/>
      </c>
    </row>
    <row r="8" ht="19.95" customHeight="1" s="46">
      <c r="B8" s="8" t="inlineStr">
        <is>
          <t>PU and Membrane</t>
        </is>
      </c>
      <c r="C8" s="9" t="n">
        <v>81</v>
      </c>
      <c r="D8" s="9">
        <f>COUNTIF('PU and Membrane'!M5:M85,"✓ OK")</f>
        <v/>
      </c>
      <c r="E8" s="9">
        <f>COUNTIF('PU and Membrane'!M5:M85,"⚠ Check")+COUNTIF('PU and Membrane'!M5:M85,"⚠ Missing")+COUNTIF('PU and Membrane'!M5:M85,"❌ Disc")</f>
        <v/>
      </c>
      <c r="F8" s="10">
        <f>IFERROR(COUNTIF('PU and Membrane'!E5:E85,"&lt;&gt;"&amp;"")/81,"—")</f>
        <v/>
      </c>
      <c r="G8" s="11" t="n">
        <v>81</v>
      </c>
      <c r="H8" s="11">
        <f>COUNTIF('PU and Membrane'!V5:V85,"✓ OK")</f>
        <v/>
      </c>
      <c r="I8" s="11">
        <f>COUNTIF('PU and Membrane'!V5:V85,"⚠ Check")+COUNTIF('PU and Membrane'!V5:V85,"⚠ Missing")+COUNTIF('PU and Membrane'!V5:V85,"❌ Disc")</f>
        <v/>
      </c>
      <c r="J8" s="12">
        <f>IFERROR(COUNTIF('PU and Membrane'!N5:N85,"&lt;&gt;"&amp;"")/81,"—")</f>
        <v/>
      </c>
      <c r="K8" s="13" t="n">
        <v>81</v>
      </c>
      <c r="L8" s="13">
        <f>COUNTIF('PU and Membrane'!AE5:AE85,"✓ OK")</f>
        <v/>
      </c>
      <c r="M8" s="13">
        <f>COUNTIF('PU and Membrane'!AE5:AE85,"⚠ Check")+COUNTIF('PU and Membrane'!AE5:AE85,"⚠ Missing")+COUNTIF('PU and Membrane'!AE5:AE85,"❌ Disc")</f>
        <v/>
      </c>
      <c r="N8" s="14">
        <f>IFERROR(COUNTIF('PU and Membrane'!W5:W85,"&lt;&gt;"&amp;"")/81,"—")</f>
        <v/>
      </c>
      <c r="O8" s="15" t="n">
        <v>81</v>
      </c>
      <c r="P8" s="15">
        <f>COUNTIF('PU and Membrane'!AN5:AN85,"✓ OK")</f>
        <v/>
      </c>
      <c r="Q8" s="15">
        <f>COUNTIF('PU and Membrane'!AN5:AN85,"⚠ Check")+COUNTIF('PU and Membrane'!AN5:AN85,"⚠ Missing")+COUNTIF('PU and Membrane'!AN5:AN85,"❌ Disc")</f>
        <v/>
      </c>
      <c r="R8" s="16">
        <f>IFERROR(COUNTIF('PU and Membrane'!AF5:AF85,"&lt;&gt;"&amp;"")/81,"—")</f>
        <v/>
      </c>
      <c r="S8" s="17" t="n">
        <v>81</v>
      </c>
      <c r="T8" s="17">
        <f>COUNTIF('PU and Membrane'!AW5:AW85,"✓ OK")</f>
        <v/>
      </c>
      <c r="U8" s="17">
        <f>COUNTIF('PU and Membrane'!AW5:AW85,"⚠ Check")+COUNTIF('PU and Membrane'!AW5:AW85,"⚠ Missing")+COUNTIF('PU and Membrane'!AW5:AW85,"❌ Disc")</f>
        <v/>
      </c>
      <c r="V8" s="18">
        <f>IFERROR(COUNTIF('PU and Membrane'!AO5:AO85,"&lt;&gt;"&amp;"")/81,"—")</f>
        <v/>
      </c>
    </row>
    <row r="9" ht="19.95" customHeight="1" s="46">
      <c r="B9" s="19" t="inlineStr">
        <is>
          <t>Rafters</t>
        </is>
      </c>
      <c r="C9" s="20" t="n">
        <v>164</v>
      </c>
      <c r="D9" s="20">
        <f>COUNTIF(Rafters!M5:M168,"✓ OK")</f>
        <v/>
      </c>
      <c r="E9" s="20">
        <f>COUNTIF(Rafters!M5:M168,"⚠ Check")+COUNTIF(Rafters!M5:M168,"⚠ Missing")+COUNTIF(Rafters!M5:M168,"❌ Disc")</f>
        <v/>
      </c>
      <c r="F9" s="21">
        <f>IFERROR(COUNTIF(Rafters!E5:E168,"&lt;&gt;"&amp;"")/164,"—")</f>
        <v/>
      </c>
      <c r="G9" s="20" t="n">
        <v>164</v>
      </c>
      <c r="H9" s="20">
        <f>COUNTIF(Rafters!V5:V168,"✓ OK")</f>
        <v/>
      </c>
      <c r="I9" s="20">
        <f>COUNTIF(Rafters!V5:V168,"⚠ Check")+COUNTIF(Rafters!V5:V168,"⚠ Missing")+COUNTIF(Rafters!V5:V168,"❌ Disc")</f>
        <v/>
      </c>
      <c r="J9" s="21">
        <f>IFERROR(COUNTIF(Rafters!N5:N168,"&lt;&gt;"&amp;"")/164,"—")</f>
        <v/>
      </c>
      <c r="K9" s="20" t="n">
        <v>164</v>
      </c>
      <c r="L9" s="20">
        <f>COUNTIF(Rafters!AE5:AE168,"✓ OK")</f>
        <v/>
      </c>
      <c r="M9" s="20">
        <f>COUNTIF(Rafters!AE5:AE168,"⚠ Check")+COUNTIF(Rafters!AE5:AE168,"⚠ Missing")+COUNTIF(Rafters!AE5:AE168,"❌ Disc")</f>
        <v/>
      </c>
      <c r="N9" s="21">
        <f>IFERROR(COUNTIF(Rafters!W5:W168,"&lt;&gt;"&amp;"")/164,"—")</f>
        <v/>
      </c>
      <c r="O9" s="20" t="n">
        <v>164</v>
      </c>
      <c r="P9" s="20">
        <f>COUNTIF(Rafters!AN5:AN168,"✓ OK")</f>
        <v/>
      </c>
      <c r="Q9" s="20">
        <f>COUNTIF(Rafters!AN5:AN168,"⚠ Check")+COUNTIF(Rafters!AN5:AN168,"⚠ Missing")+COUNTIF(Rafters!AN5:AN168,"❌ Disc")</f>
        <v/>
      </c>
      <c r="R9" s="21">
        <f>IFERROR(COUNTIF(Rafters!AF5:AF168,"&lt;&gt;"&amp;"")/164,"—")</f>
        <v/>
      </c>
      <c r="S9" s="20" t="n">
        <v>164</v>
      </c>
      <c r="T9" s="20">
        <f>COUNTIF(Rafters!AW5:AW168,"✓ OK")</f>
        <v/>
      </c>
      <c r="U9" s="20">
        <f>COUNTIF(Rafters!AW5:AW168,"⚠ Check")+COUNTIF(Rafters!AW5:AW168,"⚠ Missing")+COUNTIF(Rafters!AW5:AW168,"❌ Disc")</f>
        <v/>
      </c>
      <c r="V9" s="21">
        <f>IFERROR(COUNTIF(Rafters!AO5:AO168,"&lt;&gt;"&amp;"")/164,"—")</f>
        <v/>
      </c>
    </row>
    <row r="10" ht="19.95" customHeight="1" s="46">
      <c r="B10" s="8" t="inlineStr">
        <is>
          <t>Wallpaper</t>
        </is>
      </c>
      <c r="C10" s="9" t="n">
        <v>1409</v>
      </c>
      <c r="D10" s="9">
        <f>COUNTIF(Wallpaper!M5:M1413,"✓ OK")</f>
        <v/>
      </c>
      <c r="E10" s="9">
        <f>COUNTIF(Wallpaper!M5:M1413,"⚠ Check")+COUNTIF(Wallpaper!M5:M1413,"⚠ Missing")+COUNTIF(Wallpaper!M5:M1413,"❌ Disc")</f>
        <v/>
      </c>
      <c r="F10" s="10">
        <f>IFERROR(COUNTIF(Wallpaper!E5:E1413,"&lt;&gt;"&amp;"")/1409,"—")</f>
        <v/>
      </c>
      <c r="G10" s="11" t="n">
        <v>1409</v>
      </c>
      <c r="H10" s="11">
        <f>COUNTIF(Wallpaper!V5:V1413,"✓ OK")</f>
        <v/>
      </c>
      <c r="I10" s="11">
        <f>COUNTIF(Wallpaper!V5:V1413,"⚠ Check")+COUNTIF(Wallpaper!V5:V1413,"⚠ Missing")+COUNTIF(Wallpaper!V5:V1413,"❌ Disc")</f>
        <v/>
      </c>
      <c r="J10" s="12">
        <f>IFERROR(COUNTIF(Wallpaper!N5:N1413,"&lt;&gt;"&amp;"")/1409,"—")</f>
        <v/>
      </c>
      <c r="K10" s="13" t="n">
        <v>1409</v>
      </c>
      <c r="L10" s="13">
        <f>COUNTIF(Wallpaper!AE5:AE1413,"✓ OK")</f>
        <v/>
      </c>
      <c r="M10" s="13">
        <f>COUNTIF(Wallpaper!AE5:AE1413,"⚠ Check")+COUNTIF(Wallpaper!AE5:AE1413,"⚠ Missing")+COUNTIF(Wallpaper!AE5:AE1413,"❌ Disc")</f>
        <v/>
      </c>
      <c r="N10" s="14">
        <f>IFERROR(COUNTIF(Wallpaper!W5:W1413,"&lt;&gt;"&amp;"")/1409,"—")</f>
        <v/>
      </c>
      <c r="O10" s="15" t="n">
        <v>1409</v>
      </c>
      <c r="P10" s="15">
        <f>COUNTIF(Wallpaper!AN5:AN1413,"✓ OK")</f>
        <v/>
      </c>
      <c r="Q10" s="15">
        <f>COUNTIF(Wallpaper!AN5:AN1413,"⚠ Check")+COUNTIF(Wallpaper!AN5:AN1413,"⚠ Missing")+COUNTIF(Wallpaper!AN5:AN1413,"❌ Disc")</f>
        <v/>
      </c>
      <c r="R10" s="16">
        <f>IFERROR(COUNTIF(Wallpaper!AF5:AF1413,"&lt;&gt;"&amp;"")/1409,"—")</f>
        <v/>
      </c>
      <c r="S10" s="17" t="n">
        <v>1409</v>
      </c>
      <c r="T10" s="17">
        <f>COUNTIF(Wallpaper!AW5:AW1413,"✓ OK")</f>
        <v/>
      </c>
      <c r="U10" s="17">
        <f>COUNTIF(Wallpaper!AW5:AW1413,"⚠ Check")+COUNTIF(Wallpaper!AW5:AW1413,"⚠ Missing")+COUNTIF(Wallpaper!AW5:AW1413,"❌ Disc")</f>
        <v/>
      </c>
      <c r="V10" s="18">
        <f>IFERROR(COUNTIF(Wallpaper!AO5:AO1413,"&lt;&gt;"&amp;"")/1409,"—")</f>
        <v/>
      </c>
    </row>
    <row r="11" ht="19.95" customHeight="1" s="46">
      <c r="B11" s="19" t="inlineStr">
        <is>
          <t>Quartz</t>
        </is>
      </c>
      <c r="C11" s="20" t="n">
        <v>113</v>
      </c>
      <c r="D11" s="20">
        <f>COUNTIF(Quartz!M5:M117,"✓ OK")</f>
        <v/>
      </c>
      <c r="E11" s="20">
        <f>COUNTIF(Quartz!M5:M117,"⚠ Check")+COUNTIF(Quartz!M5:M117,"⚠ Missing")+COUNTIF(Quartz!M5:M117,"❌ Disc")</f>
        <v/>
      </c>
      <c r="F11" s="21">
        <f>IFERROR(COUNTIF(Quartz!E5:E117,"&lt;&gt;"&amp;"")/113,"—")</f>
        <v/>
      </c>
      <c r="G11" s="20" t="n">
        <v>113</v>
      </c>
      <c r="H11" s="20">
        <f>COUNTIF(Quartz!V5:V77,"✓ OK")</f>
        <v/>
      </c>
      <c r="I11" s="20">
        <f>COUNTIF(Quartz!V5:V77,"⚠ Check")+COUNTIF(Quartz!V5:V77,"⚠ Missing")+COUNTIF(Quartz!V5:V77,"❌ Disc")</f>
        <v/>
      </c>
      <c r="J11" s="21">
        <f>IFERROR(COUNTIF(Quartz!N5:N77,"&lt;&gt;"&amp;"")/73,"—")</f>
        <v/>
      </c>
      <c r="K11" s="20" t="n">
        <v>113</v>
      </c>
      <c r="L11" s="20">
        <f>COUNTIF(Quartz!AE5:AE77,"✓ OK")</f>
        <v/>
      </c>
      <c r="M11" s="20">
        <f>COUNTIF(Quartz!AE5:AE77,"⚠ Check")+COUNTIF(Quartz!AE5:AE77,"⚠ Missing")+COUNTIF(Quartz!AE5:AE77,"❌ Disc")</f>
        <v/>
      </c>
      <c r="N11" s="21">
        <f>IFERROR(COUNTIF(Quartz!W5:W77,"&lt;&gt;"&amp;"")/73,"—")</f>
        <v/>
      </c>
      <c r="O11" s="20" t="n">
        <v>113</v>
      </c>
      <c r="P11" s="20">
        <f>COUNTIF(Quartz!AN5:AN77,"✓ OK")</f>
        <v/>
      </c>
      <c r="Q11" s="20">
        <f>COUNTIF(Quartz!AN5:AN77,"⚠ Check")+COUNTIF(Quartz!AN5:AN77,"⚠ Missing")+COUNTIF(Quartz!AN5:AN77,"❌ Disc")</f>
        <v/>
      </c>
      <c r="R11" s="21">
        <f>IFERROR(COUNTIF(Quartz!AF5:AF77,"&lt;&gt;"&amp;"")/73,"—")</f>
        <v/>
      </c>
      <c r="S11" s="20" t="n">
        <v>113</v>
      </c>
      <c r="T11" s="20">
        <f>COUNTIF(Quartz!AW5:AW77,"✓ OK")</f>
        <v/>
      </c>
      <c r="U11" s="20">
        <f>COUNTIF(Quartz!AW5:AW77,"⚠ Check")+COUNTIF(Quartz!AW5:AW77,"⚠ Missing")+COUNTIF(Quartz!AW5:AW77,"❌ Disc")</f>
        <v/>
      </c>
      <c r="V11" s="21">
        <f>IFERROR(COUNTIF(Quartz!AO5:AO77,"&lt;&gt;"&amp;"")/73,"—")</f>
        <v/>
      </c>
    </row>
    <row r="12" ht="19.95" customHeight="1" s="46">
      <c r="B12" s="8" t="inlineStr">
        <is>
          <t>Granite</t>
        </is>
      </c>
      <c r="C12" s="9" t="n">
        <v>12</v>
      </c>
      <c r="D12" s="9">
        <f>COUNTIF(Granite!M5:M16,"✓ OK")</f>
        <v/>
      </c>
      <c r="E12" s="9">
        <f>COUNTIF(Granite!M5:M16,"⚠ Check")+COUNTIF(Granite!M5:M16,"⚠ Missing")+COUNTIF(Granite!M5:M16,"❌ Disc")</f>
        <v/>
      </c>
      <c r="F12" s="10">
        <f>IFERROR(COUNTIF(Granite!E5:E16,"&lt;&gt;"&amp;"")/12,"—")</f>
        <v/>
      </c>
      <c r="G12" s="11" t="n">
        <v>12</v>
      </c>
      <c r="H12" s="11">
        <f>COUNTIF(Granite!V5:V15,"✓ OK")</f>
        <v/>
      </c>
      <c r="I12" s="11">
        <f>COUNTIF(Granite!V5:V15,"⚠ Check")+COUNTIF(Granite!V5:V15,"⚠ Missing")+COUNTIF(Granite!V5:V15,"❌ Disc")</f>
        <v/>
      </c>
      <c r="J12" s="12">
        <f>IFERROR(COUNTIF(Granite!N5:N15,"&lt;&gt;"&amp;"")/11,"—")</f>
        <v/>
      </c>
      <c r="K12" s="13" t="n">
        <v>12</v>
      </c>
      <c r="L12" s="13">
        <f>COUNTIF(Granite!AE5:AE15,"✓ OK")</f>
        <v/>
      </c>
      <c r="M12" s="13">
        <f>COUNTIF(Granite!AE5:AE15,"⚠ Check")+COUNTIF(Granite!AE5:AE15,"⚠ Missing")+COUNTIF(Granite!AE5:AE15,"❌ Disc")</f>
        <v/>
      </c>
      <c r="N12" s="14">
        <f>IFERROR(COUNTIF(Granite!W5:W15,"&lt;&gt;"&amp;"")/11,"—")</f>
        <v/>
      </c>
      <c r="O12" s="15" t="n">
        <v>12</v>
      </c>
      <c r="P12" s="15">
        <f>COUNTIF(Granite!AN5:AN15,"✓ OK")</f>
        <v/>
      </c>
      <c r="Q12" s="15">
        <f>COUNTIF(Granite!AN5:AN15,"⚠ Check")+COUNTIF(Granite!AN5:AN15,"⚠ Missing")+COUNTIF(Granite!AN5:AN15,"❌ Disc")</f>
        <v/>
      </c>
      <c r="R12" s="16">
        <f>IFERROR(COUNTIF(Granite!AF5:AF15,"&lt;&gt;"&amp;"")/11,"—")</f>
        <v/>
      </c>
      <c r="S12" s="17" t="n">
        <v>12</v>
      </c>
      <c r="T12" s="17">
        <f>COUNTIF(Granite!AW5:AW15,"✓ OK")</f>
        <v/>
      </c>
      <c r="U12" s="17">
        <f>COUNTIF(Granite!AW5:AW15,"⚠ Check")+COUNTIF(Granite!AW5:AW15,"⚠ Missing")+COUNTIF(Granite!AW5:AW15,"❌ Disc")</f>
        <v/>
      </c>
      <c r="V12" s="18">
        <f>IFERROR(COUNTIF(Granite!AO5:AO15,"&lt;&gt;"&amp;"")/11,"—")</f>
        <v/>
      </c>
    </row>
    <row r="13" ht="19.95" customHeight="1" s="46">
      <c r="B13" s="19" t="inlineStr">
        <is>
          <t>Wooden Flooring</t>
        </is>
      </c>
      <c r="C13" s="20" t="n">
        <v>22</v>
      </c>
      <c r="D13" s="20">
        <f>COUNTIF('Wooden Flooring'!M5:M26,"✓ OK")</f>
        <v/>
      </c>
      <c r="E13" s="20">
        <f>COUNTIF('Wooden Flooring'!M5:M26,"⚠ Check")+COUNTIF('Wooden Flooring'!M5:M26,"⚠ Missing")+COUNTIF('Wooden Flooring'!M5:M26,"❌ Disc")</f>
        <v/>
      </c>
      <c r="F13" s="21">
        <f>IFERROR(COUNTIF('Wooden Flooring'!E5:E26,"&lt;&gt;"&amp;"")/22,"—")</f>
        <v/>
      </c>
      <c r="G13" s="20" t="n">
        <v>22</v>
      </c>
      <c r="H13" s="20">
        <f>COUNTIF('Wooden Flooring'!V5:V26,"✓ OK")</f>
        <v/>
      </c>
      <c r="I13" s="20">
        <f>COUNTIF('Wooden Flooring'!V5:V26,"⚠ Check")+COUNTIF('Wooden Flooring'!V5:V26,"⚠ Missing")+COUNTIF('Wooden Flooring'!V5:V26,"❌ Disc")</f>
        <v/>
      </c>
      <c r="J13" s="21">
        <f>IFERROR(COUNTIF('Wooden Flooring'!N5:N26,"&lt;&gt;"&amp;"")/22,"—")</f>
        <v/>
      </c>
      <c r="K13" s="20" t="n">
        <v>22</v>
      </c>
      <c r="L13" s="20">
        <f>COUNTIF('Wooden Flooring'!AE5:AE26,"✓ OK")</f>
        <v/>
      </c>
      <c r="M13" s="20">
        <f>COUNTIF('Wooden Flooring'!AE5:AE26,"⚠ Check")+COUNTIF('Wooden Flooring'!AE5:AE26,"⚠ Missing")+COUNTIF('Wooden Flooring'!AE5:AE26,"❌ Disc")</f>
        <v/>
      </c>
      <c r="N13" s="21">
        <f>IFERROR(COUNTIF('Wooden Flooring'!W5:W26,"&lt;&gt;"&amp;"")/22,"—")</f>
        <v/>
      </c>
      <c r="O13" s="20" t="n">
        <v>22</v>
      </c>
      <c r="P13" s="20">
        <f>COUNTIF('Wooden Flooring'!AN5:AN26,"✓ OK")</f>
        <v/>
      </c>
      <c r="Q13" s="20">
        <f>COUNTIF('Wooden Flooring'!AN5:AN26,"⚠ Check")+COUNTIF('Wooden Flooring'!AN5:AN26,"⚠ Missing")+COUNTIF('Wooden Flooring'!AN5:AN26,"❌ Disc")</f>
        <v/>
      </c>
      <c r="R13" s="21">
        <f>IFERROR(COUNTIF('Wooden Flooring'!AF5:AF26,"&lt;&gt;"&amp;"")/22,"—")</f>
        <v/>
      </c>
      <c r="S13" s="20" t="n">
        <v>22</v>
      </c>
      <c r="T13" s="20">
        <f>COUNTIF('Wooden Flooring'!AW5:AW26,"✓ OK")</f>
        <v/>
      </c>
      <c r="U13" s="20">
        <f>COUNTIF('Wooden Flooring'!AW5:AW26,"⚠ Check")+COUNTIF('Wooden Flooring'!AW5:AW26,"⚠ Missing")+COUNTIF('Wooden Flooring'!AW5:AW26,"❌ Disc")</f>
        <v/>
      </c>
      <c r="V13" s="21">
        <f>IFERROR(COUNTIF('Wooden Flooring'!AO5:AO26,"&lt;&gt;"&amp;"")/22,"—")</f>
        <v/>
      </c>
    </row>
    <row r="14" ht="19.95" customHeight="1" s="46">
      <c r="B14" s="8" t="inlineStr">
        <is>
          <t>Beading</t>
        </is>
      </c>
      <c r="C14" s="9" t="n">
        <v>35</v>
      </c>
      <c r="D14" s="9">
        <f>COUNTIF(Beading!M5:M39,"✓ OK")</f>
        <v/>
      </c>
      <c r="E14" s="9">
        <f>COUNTIF(Beading!M5:M39,"⚠ Check")+COUNTIF(Beading!M5:M39,"⚠ Missing")+COUNTIF(Beading!M5:M39,"❌ Disc")</f>
        <v/>
      </c>
      <c r="F14" s="10">
        <f>IFERROR(COUNTIF(Beading!E5:E39,"&lt;&gt;"&amp;"")/35,"—")</f>
        <v/>
      </c>
      <c r="G14" s="11" t="n">
        <v>35</v>
      </c>
      <c r="H14" s="11">
        <f>COUNTIF(Beading!V5:V39,"✓ OK")</f>
        <v/>
      </c>
      <c r="I14" s="11">
        <f>COUNTIF(Beading!V5:V39,"⚠ Check")+COUNTIF(Beading!V5:V39,"⚠ Missing")+COUNTIF(Beading!V5:V39,"❌ Disc")</f>
        <v/>
      </c>
      <c r="J14" s="12">
        <f>IFERROR(COUNTIF(Beading!N5:N39,"&lt;&gt;"&amp;"")/35,"—")</f>
        <v/>
      </c>
      <c r="K14" s="13" t="n">
        <v>35</v>
      </c>
      <c r="L14" s="13">
        <f>COUNTIF(Beading!AE5:AE39,"✓ OK")</f>
        <v/>
      </c>
      <c r="M14" s="13">
        <f>COUNTIF(Beading!AE5:AE39,"⚠ Check")+COUNTIF(Beading!AE5:AE39,"⚠ Missing")+COUNTIF(Beading!AE5:AE39,"❌ Disc")</f>
        <v/>
      </c>
      <c r="N14" s="14">
        <f>IFERROR(COUNTIF(Beading!W5:W39,"&lt;&gt;"&amp;"")/35,"—")</f>
        <v/>
      </c>
      <c r="O14" s="15" t="n">
        <v>35</v>
      </c>
      <c r="P14" s="15">
        <f>COUNTIF(Beading!AN5:AN39,"✓ OK")</f>
        <v/>
      </c>
      <c r="Q14" s="15">
        <f>COUNTIF(Beading!AN5:AN39,"⚠ Check")+COUNTIF(Beading!AN5:AN39,"⚠ Missing")+COUNTIF(Beading!AN5:AN39,"❌ Disc")</f>
        <v/>
      </c>
      <c r="R14" s="16">
        <f>IFERROR(COUNTIF(Beading!AF5:AF39,"&lt;&gt;"&amp;"")/35,"—")</f>
        <v/>
      </c>
      <c r="S14" s="17" t="n">
        <v>35</v>
      </c>
      <c r="T14" s="17">
        <f>COUNTIF(Beading!AW5:AW39,"✓ OK")</f>
        <v/>
      </c>
      <c r="U14" s="17">
        <f>COUNTIF(Beading!AW5:AW39,"⚠ Check")+COUNTIF(Beading!AW5:AW39,"⚠ Missing")+COUNTIF(Beading!AW5:AW39,"❌ Disc")</f>
        <v/>
      </c>
      <c r="V14" s="18">
        <f>IFERROR(COUNTIF(Beading!AO5:AO39,"&lt;&gt;"&amp;"")/35,"—")</f>
        <v/>
      </c>
    </row>
    <row r="15" ht="19.95" customHeight="1" s="46">
      <c r="B15" s="19" t="inlineStr">
        <is>
          <t>Bonito Legs</t>
        </is>
      </c>
      <c r="C15" s="20" t="n">
        <v>76</v>
      </c>
      <c r="D15" s="20">
        <f>COUNTIF('Bonito Legs'!M5:M80,"✓ OK")</f>
        <v/>
      </c>
      <c r="E15" s="20">
        <f>COUNTIF('Bonito Legs'!M5:M80,"⚠ Check")+COUNTIF('Bonito Legs'!M5:M80,"⚠ Missing")+COUNTIF('Bonito Legs'!M5:M80,"❌ Disc")</f>
        <v/>
      </c>
      <c r="F15" s="21">
        <f>IFERROR(COUNTIF('Bonito Legs'!E5:E80,"&lt;&gt;"&amp;"")/76,"—")</f>
        <v/>
      </c>
      <c r="G15" s="20" t="n">
        <v>76</v>
      </c>
      <c r="H15" s="20">
        <f>COUNTIF('Bonito Legs'!V5:V80,"✓ OK")</f>
        <v/>
      </c>
      <c r="I15" s="20">
        <f>COUNTIF('Bonito Legs'!V5:V80,"⚠ Check")+COUNTIF('Bonito Legs'!V5:V80,"⚠ Missing")+COUNTIF('Bonito Legs'!V5:V80,"❌ Disc")</f>
        <v/>
      </c>
      <c r="J15" s="21">
        <f>IFERROR(COUNTIF('Bonito Legs'!N5:N80,"&lt;&gt;"&amp;"")/76,"—")</f>
        <v/>
      </c>
      <c r="K15" s="20" t="n">
        <v>76</v>
      </c>
      <c r="L15" s="20">
        <f>COUNTIF('Bonito Legs'!AE5:AE80,"✓ OK")</f>
        <v/>
      </c>
      <c r="M15" s="20">
        <f>COUNTIF('Bonito Legs'!AE5:AE80,"⚠ Check")+COUNTIF('Bonito Legs'!AE5:AE80,"⚠ Missing")+COUNTIF('Bonito Legs'!AE5:AE80,"❌ Disc")</f>
        <v/>
      </c>
      <c r="N15" s="21">
        <f>IFERROR(COUNTIF('Bonito Legs'!W5:W80,"&lt;&gt;"&amp;"")/76,"—")</f>
        <v/>
      </c>
      <c r="O15" s="20" t="n">
        <v>76</v>
      </c>
      <c r="P15" s="20">
        <f>COUNTIF('Bonito Legs'!AN5:AN80,"✓ OK")</f>
        <v/>
      </c>
      <c r="Q15" s="20">
        <f>COUNTIF('Bonito Legs'!AN5:AN80,"⚠ Check")+COUNTIF('Bonito Legs'!AN5:AN80,"⚠ Missing")+COUNTIF('Bonito Legs'!AN5:AN80,"❌ Disc")</f>
        <v/>
      </c>
      <c r="R15" s="21">
        <f>IFERROR(COUNTIF('Bonito Legs'!AF5:AF80,"&lt;&gt;"&amp;"")/76,"—")</f>
        <v/>
      </c>
      <c r="S15" s="20" t="n">
        <v>76</v>
      </c>
      <c r="T15" s="20">
        <f>COUNTIF('Bonito Legs'!AW5:AW80,"✓ OK")</f>
        <v/>
      </c>
      <c r="U15" s="20">
        <f>COUNTIF('Bonito Legs'!AW5:AW80,"⚠ Check")+COUNTIF('Bonito Legs'!AW5:AW80,"⚠ Missing")+COUNTIF('Bonito Legs'!AW5:AW80,"❌ Disc")</f>
        <v/>
      </c>
      <c r="V15" s="21">
        <f>IFERROR(COUNTIF('Bonito Legs'!AO5:AO80,"&lt;&gt;"&amp;"")/76,"—")</f>
        <v/>
      </c>
    </row>
    <row r="16" ht="19.95" customHeight="1" s="46">
      <c r="B16" s="8" t="inlineStr">
        <is>
          <t>Handles</t>
        </is>
      </c>
      <c r="C16" s="9" t="n">
        <v>512</v>
      </c>
      <c r="D16" s="9">
        <f>COUNTIF(Handles!M5:M516,"✓ OK")</f>
        <v/>
      </c>
      <c r="E16" s="9">
        <f>COUNTIF(Handles!M5:M516,"⚠ Check")+COUNTIF(Handles!M5:M516,"⚠ Missing")+COUNTIF(Handles!M5:M516,"❌ Disc")</f>
        <v/>
      </c>
      <c r="F16" s="10">
        <f>IFERROR(COUNTIF(Handles!E5:E516,"&lt;&gt;"&amp;"")/512,"—")</f>
        <v/>
      </c>
      <c r="G16" s="11" t="n">
        <v>512</v>
      </c>
      <c r="H16" s="11">
        <f>COUNTIF(Handles!V5:V516,"✓ OK")</f>
        <v/>
      </c>
      <c r="I16" s="11">
        <f>COUNTIF(Handles!V5:V516,"⚠ Check")+COUNTIF(Handles!V5:V516,"⚠ Missing")+COUNTIF(Handles!V5:V516,"❌ Disc")</f>
        <v/>
      </c>
      <c r="J16" s="12">
        <f>IFERROR(COUNTIF(Handles!N5:N516,"&lt;&gt;"&amp;"")/512,"—")</f>
        <v/>
      </c>
      <c r="K16" s="13" t="n">
        <v>512</v>
      </c>
      <c r="L16" s="13">
        <f>COUNTIF(Handles!AE5:AE516,"✓ OK")</f>
        <v/>
      </c>
      <c r="M16" s="13">
        <f>COUNTIF(Handles!AE5:AE516,"⚠ Check")+COUNTIF(Handles!AE5:AE516,"⚠ Missing")+COUNTIF(Handles!AE5:AE516,"❌ Disc")</f>
        <v/>
      </c>
      <c r="N16" s="14">
        <f>IFERROR(COUNTIF(Handles!W5:W516,"&lt;&gt;"&amp;"")/512,"—")</f>
        <v/>
      </c>
      <c r="O16" s="15" t="n">
        <v>512</v>
      </c>
      <c r="P16" s="15">
        <f>COUNTIF(Handles!AN5:AN516,"✓ OK")</f>
        <v/>
      </c>
      <c r="Q16" s="15">
        <f>COUNTIF(Handles!AN5:AN516,"⚠ Check")+COUNTIF(Handles!AN5:AN516,"⚠ Missing")+COUNTIF(Handles!AN5:AN516,"❌ Disc")</f>
        <v/>
      </c>
      <c r="R16" s="16">
        <f>IFERROR(COUNTIF(Handles!AF5:AF516,"&lt;&gt;"&amp;"")/512,"—")</f>
        <v/>
      </c>
      <c r="S16" s="17" t="n">
        <v>512</v>
      </c>
      <c r="T16" s="17">
        <f>COUNTIF(Handles!AW5:AW516,"✓ OK")</f>
        <v/>
      </c>
      <c r="U16" s="17">
        <f>COUNTIF(Handles!AW5:AW516,"⚠ Check")+COUNTIF(Handles!AW5:AW516,"⚠ Missing")+COUNTIF(Handles!AW5:AW516,"❌ Disc")</f>
        <v/>
      </c>
      <c r="V16" s="18">
        <f>IFERROR(COUNTIF(Handles!AO5:AO516,"&lt;&gt;"&amp;"")/512,"—")</f>
        <v/>
      </c>
    </row>
    <row r="17" ht="19.95" customHeight="1" s="46">
      <c r="B17" s="19" t="inlineStr">
        <is>
          <t>Fabric</t>
        </is>
      </c>
      <c r="C17" s="20" t="n">
        <v>288</v>
      </c>
      <c r="D17" s="20">
        <f>COUNTIF(Fabric!M5:M292,"✓ OK")</f>
        <v/>
      </c>
      <c r="E17" s="20">
        <f>COUNTIF(Fabric!M5:M292,"⚠ Check")+COUNTIF(Fabric!M5:M292,"⚠ Missing")+COUNTIF(Fabric!M5:M292,"❌ Disc")</f>
        <v/>
      </c>
      <c r="F17" s="21">
        <f>IFERROR(COUNTIF(Fabric!E5:E292,"&lt;&gt;"&amp;"")/288,"—")</f>
        <v/>
      </c>
      <c r="G17" s="20" t="n">
        <v>288</v>
      </c>
      <c r="H17" s="20">
        <f>COUNTIF(Fabric!V5:V292,"✓ OK")</f>
        <v/>
      </c>
      <c r="I17" s="20">
        <f>COUNTIF(Fabric!V5:V292,"⚠ Check")+COUNTIF(Fabric!V5:V292,"⚠ Missing")+COUNTIF(Fabric!V5:V292,"❌ Disc")</f>
        <v/>
      </c>
      <c r="J17" s="21">
        <f>IFERROR(COUNTIF(Fabric!N5:N292,"&lt;&gt;"&amp;"")/486,"—")</f>
        <v/>
      </c>
      <c r="K17" s="20" t="n">
        <v>288</v>
      </c>
      <c r="L17" s="20">
        <f>COUNTIF(Fabric!AE5:AE292,"✓ OK")</f>
        <v/>
      </c>
      <c r="M17" s="20">
        <f>COUNTIF(Fabric!AE5:AE292,"⚠ Check")+COUNTIF(Fabric!AE5:AE292,"⚠ Missing")+COUNTIF(Fabric!AE5:AE292,"❌ Disc")</f>
        <v/>
      </c>
      <c r="N17" s="21">
        <f>IFERROR(COUNTIF(Fabric!W5:W292,"&lt;&gt;"&amp;"")/486,"—")</f>
        <v/>
      </c>
      <c r="O17" s="20" t="n">
        <v>288</v>
      </c>
      <c r="P17" s="20">
        <f>COUNTIF(Fabric!AN5:AN292,"✓ OK")</f>
        <v/>
      </c>
      <c r="Q17" s="20">
        <f>COUNTIF(Fabric!AN5:AN292,"⚠ Check")+COUNTIF(Fabric!AN5:AN292,"⚠ Missing")+COUNTIF(Fabric!AN5:AN292,"❌ Disc")</f>
        <v/>
      </c>
      <c r="R17" s="21">
        <f>IFERROR(COUNTIF(Fabric!AF5:AF292,"&lt;&gt;"&amp;"")/486,"—")</f>
        <v/>
      </c>
      <c r="S17" s="20" t="n">
        <v>288</v>
      </c>
      <c r="T17" s="20">
        <f>COUNTIF(Fabric!AW5:AW292,"✓ OK")</f>
        <v/>
      </c>
      <c r="U17" s="20">
        <f>COUNTIF(Fabric!AW5:AW292,"⚠ Check")+COUNTIF(Fabric!AW5:AW292,"⚠ Missing")+COUNTIF(Fabric!AW5:AW292,"❌ Disc")</f>
        <v/>
      </c>
      <c r="V17" s="21">
        <f>IFERROR(COUNTIF(Fabric!AO5:AO292,"&lt;&gt;"&amp;"")/486,"—")</f>
        <v/>
      </c>
    </row>
    <row r="18" ht="19.95" customHeight="1" s="46">
      <c r="B18" s="54" t="inlineStr">
        <is>
          <t>TOTAL:  3,067 SKUs across 12 categories</t>
        </is>
      </c>
      <c r="C18" s="63" t="n"/>
      <c r="D18" s="63" t="n"/>
      <c r="E18" s="63" t="n"/>
      <c r="F18" s="63" t="n"/>
      <c r="G18" s="63" t="n"/>
      <c r="H18" s="63" t="n"/>
      <c r="I18" s="63" t="n"/>
      <c r="J18" s="63" t="n"/>
      <c r="K18" s="63" t="n"/>
      <c r="L18" s="63" t="n"/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4" t="n"/>
    </row>
    <row r="20" hidden="1" s="46">
      <c r="B20" s="58" t="inlineStr">
        <is>
          <t>HOW TO USE  ▼</t>
        </is>
      </c>
      <c r="C20" s="63" t="n"/>
      <c r="D20" s="63" t="n"/>
      <c r="E20" s="63" t="n"/>
      <c r="F20" s="63" t="n"/>
      <c r="G20" s="63" t="n"/>
      <c r="H20" s="63" t="n"/>
      <c r="I20" s="63" t="n"/>
      <c r="J20" s="63" t="n"/>
      <c r="K20" s="63" t="n"/>
      <c r="L20" s="63" t="n"/>
      <c r="M20" s="63" t="n"/>
      <c r="N20" s="63" t="n"/>
      <c r="O20" s="63" t="n"/>
      <c r="P20" s="63" t="n"/>
      <c r="Q20" s="63" t="n"/>
      <c r="R20" s="63" t="n"/>
      <c r="S20" s="63" t="n"/>
      <c r="T20" s="63" t="n"/>
      <c r="U20" s="63" t="n"/>
      <c r="V20" s="64" t="n"/>
    </row>
    <row r="21" hidden="1" ht="16.2" customHeight="1" s="46">
      <c r="B21" s="56" t="inlineStr">
        <is>
          <t>1.  Click a category tab (e.g. 'Laminates') to open that sheet</t>
        </is>
      </c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3" t="n"/>
      <c r="U21" s="63" t="n"/>
      <c r="V21" s="64" t="n"/>
    </row>
    <row r="22" hidden="1" ht="16.2" customHeight="1" s="46">
      <c r="B22" s="53" t="inlineStr">
        <is>
          <t>2.  Each sheet has 5 AUDIT blocks — fill Audit 1 now, Audit 2 next time, and so on</t>
        </is>
      </c>
      <c r="C22" s="63" t="n"/>
      <c r="D22" s="63" t="n"/>
      <c r="E22" s="63" t="n"/>
      <c r="F22" s="63" t="n"/>
      <c r="G22" s="63" t="n"/>
      <c r="H22" s="63" t="n"/>
      <c r="I22" s="63" t="n"/>
      <c r="J22" s="63" t="n"/>
      <c r="K22" s="63" t="n"/>
      <c r="L22" s="63" t="n"/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4" t="n"/>
    </row>
    <row r="23" hidden="1" ht="16.2" customHeight="1" s="46">
      <c r="B23" s="56" t="inlineStr">
        <is>
          <t>3.  Always enter AUDIT DATE and AUDITOR NAME at the start of each audit block</t>
        </is>
      </c>
      <c r="C23" s="63" t="n"/>
      <c r="D23" s="63" t="n"/>
      <c r="E23" s="63" t="n"/>
      <c r="F23" s="63" t="n"/>
      <c r="G23" s="63" t="n"/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4" t="n"/>
    </row>
    <row r="24" hidden="1" ht="16.2" customHeight="1" s="46">
      <c r="B24" s="53" t="inlineStr">
        <is>
          <t>4.  Yellow cells = Comments/Remarks — type your notes here</t>
        </is>
      </c>
      <c r="C24" s="63" t="n"/>
      <c r="D24" s="63" t="n"/>
      <c r="E24" s="63" t="n"/>
      <c r="F24" s="63" t="n"/>
      <c r="G24" s="63" t="n"/>
      <c r="H24" s="63" t="n"/>
      <c r="I24" s="63" t="n"/>
      <c r="J24" s="63" t="n"/>
      <c r="K24" s="63" t="n"/>
      <c r="L24" s="63" t="n"/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4" t="n"/>
    </row>
    <row r="25" hidden="1" ht="16.2" customHeight="1" s="46">
      <c r="B25" s="56" t="inlineStr">
        <is>
          <t>5.  Status auto-updates: ✓ OK (green)  |  ⚠ Check (yellow)  |  ⚠ Missing / ❌ Disc (red)</t>
        </is>
      </c>
      <c r="C25" s="63" t="n"/>
      <c r="D25" s="63" t="n"/>
      <c r="E25" s="63" t="n"/>
      <c r="F25" s="63" t="n"/>
      <c r="G25" s="63" t="n"/>
      <c r="H25" s="63" t="n"/>
      <c r="I25" s="63" t="n"/>
      <c r="J25" s="63" t="n"/>
      <c r="K25" s="63" t="n"/>
      <c r="L25" s="63" t="n"/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4" t="n"/>
    </row>
    <row r="26" hidden="1" ht="16.2" customHeight="1" s="46">
      <c r="B26" s="53" t="inlineStr">
        <is>
          <t>6.  This Dashboard auto-counts OK, Issues and % completion per audit round</t>
        </is>
      </c>
      <c r="C26" s="63" t="n"/>
      <c r="D26" s="63" t="n"/>
      <c r="E26" s="63" t="n"/>
      <c r="F26" s="63" t="n"/>
      <c r="G26" s="63" t="n"/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4" t="n"/>
    </row>
  </sheetData>
  <mergeCells count="15">
    <mergeCell ref="K4:N4"/>
    <mergeCell ref="O4:R4"/>
    <mergeCell ref="B24:V24"/>
    <mergeCell ref="S4:V4"/>
    <mergeCell ref="B2:V2"/>
    <mergeCell ref="C4:F4"/>
    <mergeCell ref="B25:V25"/>
    <mergeCell ref="G4:J4"/>
    <mergeCell ref="B20:V20"/>
    <mergeCell ref="B23:V23"/>
    <mergeCell ref="B22:V22"/>
    <mergeCell ref="B26:V26"/>
    <mergeCell ref="B18:V18"/>
    <mergeCell ref="B1:V1"/>
    <mergeCell ref="B21:V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theme="0"/>
    <outlinePr summaryBelow="1" summaryRight="1"/>
    <pageSetUpPr/>
  </sheetPr>
  <dimension ref="A1:AW288"/>
  <sheetViews>
    <sheetView workbookViewId="0">
      <pane xSplit="4" ySplit="4" topLeftCell="M5" activePane="bottomRight" state="frozen"/>
      <selection pane="topRight" activeCell="A1" sqref="A1:AW1"/>
      <selection pane="bottomLeft" activeCell="A1" sqref="A1:AW1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LAMINATES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BD-LAM-2024-0106</t>
        </is>
      </c>
      <c r="C5" s="25" t="inlineStr">
        <is>
          <t>Calacatta Art - 1540 MI(Diamond)</t>
        </is>
      </c>
      <c r="D5" s="23" t="inlineStr">
        <is>
          <t>Century Laminates</t>
        </is>
      </c>
      <c r="E5" s="43" t="n">
        <v>46125</v>
      </c>
      <c r="F5" s="26" t="inlineStr">
        <is>
          <t>Sunil CR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Good finish</t>
        </is>
      </c>
      <c r="J5" s="26" t="inlineStr">
        <is>
          <t>Yes</t>
        </is>
      </c>
      <c r="K5" s="27" t="n"/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46193</v>
      </c>
      <c r="O5" s="26" t="inlineStr">
        <is>
          <t>Sunil CR</t>
        </is>
      </c>
      <c r="P5" s="26" t="inlineStr">
        <is>
          <t>No</t>
        </is>
      </c>
      <c r="Q5" s="26" t="inlineStr">
        <is>
          <t>Yes</t>
        </is>
      </c>
      <c r="R5" s="26" t="inlineStr">
        <is>
          <t>Discontinued</t>
        </is>
      </c>
      <c r="S5" s="26" t="inlineStr">
        <is>
          <t>No</t>
        </is>
      </c>
      <c r="T5" s="27" t="n"/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No</t>
        </is>
      </c>
      <c r="Z5" s="30" t="inlineStr">
        <is>
          <t>Yes</t>
        </is>
      </c>
      <c r="AA5" s="30" t="inlineStr">
        <is>
          <t>Discontinued</t>
        </is>
      </c>
      <c r="AB5" s="30" t="inlineStr">
        <is>
          <t>No</t>
        </is>
      </c>
      <c r="AC5" s="27" t="n"/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BD-LAM-2024-0107</t>
        </is>
      </c>
      <c r="C6" s="41" t="inlineStr">
        <is>
          <t>Delight Insignia - 1562 MI(Diamond)</t>
        </is>
      </c>
      <c r="D6" s="39" t="inlineStr">
        <is>
          <t>Century Laminates</t>
        </is>
      </c>
      <c r="E6" s="43" t="n">
        <v>46125</v>
      </c>
      <c r="F6" s="26" t="inlineStr">
        <is>
          <t>Sunil CR</t>
        </is>
      </c>
      <c r="G6" s="26" t="inlineStr">
        <is>
          <t>Yes</t>
        </is>
      </c>
      <c r="H6" s="26" t="inlineStr">
        <is>
          <t>No</t>
        </is>
      </c>
      <c r="I6" s="26" t="inlineStr">
        <is>
          <t>Good finish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46193</v>
      </c>
      <c r="O6" s="26" t="inlineStr">
        <is>
          <t>Sunil CR</t>
        </is>
      </c>
      <c r="P6" s="26" t="inlineStr">
        <is>
          <t>No</t>
        </is>
      </c>
      <c r="Q6" s="26" t="inlineStr">
        <is>
          <t>Yes</t>
        </is>
      </c>
      <c r="R6" s="26" t="inlineStr">
        <is>
          <t>Discontinued</t>
        </is>
      </c>
      <c r="S6" s="26" t="inlineStr">
        <is>
          <t>No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No</t>
        </is>
      </c>
      <c r="Z6" s="30" t="inlineStr">
        <is>
          <t>Yes</t>
        </is>
      </c>
      <c r="AA6" s="30" t="inlineStr">
        <is>
          <t>Discontinued</t>
        </is>
      </c>
      <c r="AB6" s="30" t="inlineStr">
        <is>
          <t>No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BD-LAM-2023-0039</t>
        </is>
      </c>
      <c r="C7" s="25" t="inlineStr">
        <is>
          <t>Lavante Royale - 1543 MI(Diamond)</t>
        </is>
      </c>
      <c r="D7" s="23" t="inlineStr">
        <is>
          <t>Century Laminates</t>
        </is>
      </c>
      <c r="E7" s="43" t="n">
        <v>46125</v>
      </c>
      <c r="F7" s="26" t="inlineStr">
        <is>
          <t>Sunil CR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Good finish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46193</v>
      </c>
      <c r="O7" s="26" t="inlineStr">
        <is>
          <t>Sunil CR</t>
        </is>
      </c>
      <c r="P7" s="26" t="inlineStr">
        <is>
          <t>No</t>
        </is>
      </c>
      <c r="Q7" s="26" t="inlineStr">
        <is>
          <t>Yes</t>
        </is>
      </c>
      <c r="R7" s="26" t="inlineStr">
        <is>
          <t>Discontinued</t>
        </is>
      </c>
      <c r="S7" s="26" t="inlineStr">
        <is>
          <t>No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No</t>
        </is>
      </c>
      <c r="Z7" s="30" t="inlineStr">
        <is>
          <t>Yes</t>
        </is>
      </c>
      <c r="AA7" s="30" t="inlineStr">
        <is>
          <t>Discontinued</t>
        </is>
      </c>
      <c r="AB7" s="30" t="inlineStr">
        <is>
          <t>No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BD-LAM-2024-0105</t>
        </is>
      </c>
      <c r="C8" s="41" t="inlineStr">
        <is>
          <t>Rojo Art - 1539 MI(Diamond)</t>
        </is>
      </c>
      <c r="D8" s="39" t="inlineStr">
        <is>
          <t>Century Laminates</t>
        </is>
      </c>
      <c r="E8" s="43" t="n">
        <v>46125</v>
      </c>
      <c r="F8" s="26" t="inlineStr">
        <is>
          <t>Sunil CR</t>
        </is>
      </c>
      <c r="G8" s="26" t="inlineStr">
        <is>
          <t>Yes</t>
        </is>
      </c>
      <c r="H8" s="26" t="inlineStr">
        <is>
          <t>No</t>
        </is>
      </c>
      <c r="I8" s="26" t="inlineStr">
        <is>
          <t>Good finish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46193</v>
      </c>
      <c r="O8" s="26" t="inlineStr">
        <is>
          <t>Sunil CR</t>
        </is>
      </c>
      <c r="P8" s="26" t="inlineStr">
        <is>
          <t>No</t>
        </is>
      </c>
      <c r="Q8" s="26" t="inlineStr">
        <is>
          <t>Yes</t>
        </is>
      </c>
      <c r="R8" s="26" t="inlineStr">
        <is>
          <t>Discontinued</t>
        </is>
      </c>
      <c r="S8" s="26" t="inlineStr">
        <is>
          <t>No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No</t>
        </is>
      </c>
      <c r="Z8" s="30" t="inlineStr">
        <is>
          <t>Yes</t>
        </is>
      </c>
      <c r="AA8" s="30" t="inlineStr">
        <is>
          <t>Discontinued</t>
        </is>
      </c>
      <c r="AB8" s="30" t="inlineStr">
        <is>
          <t>No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BD-LAM-2024-0104</t>
        </is>
      </c>
      <c r="C9" s="25" t="inlineStr">
        <is>
          <t>Sicilian Art - 1538 MI(Diamond)</t>
        </is>
      </c>
      <c r="D9" s="23" t="inlineStr">
        <is>
          <t>Century Laminates</t>
        </is>
      </c>
      <c r="E9" s="43" t="n">
        <v>46125</v>
      </c>
      <c r="F9" s="26" t="inlineStr">
        <is>
          <t>Sunil CR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Good finish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46193</v>
      </c>
      <c r="O9" s="26" t="inlineStr">
        <is>
          <t>Sunil CR</t>
        </is>
      </c>
      <c r="P9" s="26" t="inlineStr">
        <is>
          <t>No</t>
        </is>
      </c>
      <c r="Q9" s="26" t="inlineStr">
        <is>
          <t>Yes</t>
        </is>
      </c>
      <c r="R9" s="26" t="inlineStr">
        <is>
          <t>Discontinued</t>
        </is>
      </c>
      <c r="S9" s="26" t="inlineStr">
        <is>
          <t>No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No</t>
        </is>
      </c>
      <c r="Z9" s="30" t="inlineStr">
        <is>
          <t>Yes</t>
        </is>
      </c>
      <c r="AA9" s="30" t="inlineStr">
        <is>
          <t>Discontinued</t>
        </is>
      </c>
      <c r="AB9" s="30" t="inlineStr">
        <is>
          <t>No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Lam GL 5373 ARA</t>
        </is>
      </c>
      <c r="C10" s="41" t="inlineStr">
        <is>
          <t>Aspen Oak(Platinum)</t>
        </is>
      </c>
      <c r="D10" s="39" t="inlineStr">
        <is>
          <t>GREENLAM</t>
        </is>
      </c>
      <c r="E10" s="43" t="n">
        <v>46125</v>
      </c>
      <c r="F10" s="26" t="inlineStr">
        <is>
          <t>Sunil CR</t>
        </is>
      </c>
      <c r="G10" s="26" t="inlineStr">
        <is>
          <t>Yes</t>
        </is>
      </c>
      <c r="H10" s="26" t="inlineStr">
        <is>
          <t>No</t>
        </is>
      </c>
      <c r="I10" s="26" t="inlineStr">
        <is>
          <t>Good finish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46193</v>
      </c>
      <c r="O10" s="26" t="inlineStr">
        <is>
          <t>Sunil CR</t>
        </is>
      </c>
      <c r="P10" s="26" t="inlineStr">
        <is>
          <t>Yes</t>
        </is>
      </c>
      <c r="Q10" s="26" t="inlineStr">
        <is>
          <t>No</t>
        </is>
      </c>
      <c r="R10" s="26" t="inlineStr">
        <is>
          <t>Good finish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Yes</t>
        </is>
      </c>
      <c r="Z10" s="30" t="n"/>
      <c r="AA10" s="30" t="inlineStr">
        <is>
          <t>Good finish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Lam GL 5575 SGL</t>
        </is>
      </c>
      <c r="C11" s="25" t="inlineStr">
        <is>
          <t>Black Marmor(Platinum)</t>
        </is>
      </c>
      <c r="D11" s="23" t="inlineStr">
        <is>
          <t>GREENLAM</t>
        </is>
      </c>
      <c r="E11" s="43" t="n">
        <v>46125</v>
      </c>
      <c r="F11" s="26" t="inlineStr">
        <is>
          <t>Sunil CR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Good finish</t>
        </is>
      </c>
      <c r="J11" s="26" t="inlineStr">
        <is>
          <t>Yes</t>
        </is>
      </c>
      <c r="K11" s="27" t="n"/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46193</v>
      </c>
      <c r="O11" s="26" t="inlineStr">
        <is>
          <t>Sunil CR</t>
        </is>
      </c>
      <c r="P11" s="26" t="inlineStr">
        <is>
          <t>Yes</t>
        </is>
      </c>
      <c r="Q11" s="26" t="inlineStr">
        <is>
          <t>No</t>
        </is>
      </c>
      <c r="R11" s="26" t="inlineStr">
        <is>
          <t>Good finish</t>
        </is>
      </c>
      <c r="S11" s="26" t="inlineStr">
        <is>
          <t>Yes</t>
        </is>
      </c>
      <c r="T11" s="27" t="n"/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Yes</t>
        </is>
      </c>
      <c r="Z11" s="30" t="n"/>
      <c r="AA11" s="30" t="inlineStr">
        <is>
          <t>Good finish</t>
        </is>
      </c>
      <c r="AB11" s="30" t="inlineStr">
        <is>
          <t>Yes</t>
        </is>
      </c>
      <c r="AC11" s="27" t="n"/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Lam GL 401 SGL</t>
        </is>
      </c>
      <c r="C12" s="41" t="inlineStr">
        <is>
          <t>Black(Platinum)</t>
        </is>
      </c>
      <c r="D12" s="39" t="inlineStr">
        <is>
          <t>GREENLAM</t>
        </is>
      </c>
      <c r="E12" s="43" t="n">
        <v>46125</v>
      </c>
      <c r="F12" s="26" t="inlineStr">
        <is>
          <t>Sunil CR</t>
        </is>
      </c>
      <c r="G12" s="26" t="inlineStr">
        <is>
          <t>Yes</t>
        </is>
      </c>
      <c r="H12" s="26" t="inlineStr">
        <is>
          <t>No</t>
        </is>
      </c>
      <c r="I12" s="26" t="inlineStr">
        <is>
          <t>Good finish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46193</v>
      </c>
      <c r="O12" s="26" t="inlineStr">
        <is>
          <t>Sunil CR</t>
        </is>
      </c>
      <c r="P12" s="26" t="inlineStr">
        <is>
          <t>Yes</t>
        </is>
      </c>
      <c r="Q12" s="26" t="inlineStr">
        <is>
          <t>No</t>
        </is>
      </c>
      <c r="R12" s="26" t="inlineStr">
        <is>
          <t>Good finish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Yes</t>
        </is>
      </c>
      <c r="Z12" s="30" t="n"/>
      <c r="AA12" s="30" t="inlineStr">
        <is>
          <t>Good finish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Lam GL 181 SUD</t>
        </is>
      </c>
      <c r="C13" s="25" t="inlineStr">
        <is>
          <t>Chocolate(Gold)</t>
        </is>
      </c>
      <c r="D13" s="23" t="inlineStr">
        <is>
          <t>GREENLAM</t>
        </is>
      </c>
      <c r="E13" s="43" t="n">
        <v>46125</v>
      </c>
      <c r="F13" s="26" t="inlineStr">
        <is>
          <t>Sunil CR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Good finish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46193</v>
      </c>
      <c r="O13" s="26" t="inlineStr">
        <is>
          <t>Sunil CR</t>
        </is>
      </c>
      <c r="P13" s="26" t="inlineStr">
        <is>
          <t>Yes</t>
        </is>
      </c>
      <c r="Q13" s="26" t="inlineStr">
        <is>
          <t>No</t>
        </is>
      </c>
      <c r="R13" s="26" t="inlineStr">
        <is>
          <t>Good finish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Yes</t>
        </is>
      </c>
      <c r="Z13" s="30" t="n"/>
      <c r="AA13" s="30" t="inlineStr">
        <is>
          <t>Good finish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Lam GL 5571 STN</t>
        </is>
      </c>
      <c r="C14" s="41" t="inlineStr">
        <is>
          <t>Creme Marquina(Platinum)</t>
        </is>
      </c>
      <c r="D14" s="39" t="inlineStr">
        <is>
          <t>GREENLAM</t>
        </is>
      </c>
      <c r="E14" s="43" t="n">
        <v>46125</v>
      </c>
      <c r="F14" s="26" t="inlineStr">
        <is>
          <t>Sunil CR</t>
        </is>
      </c>
      <c r="G14" s="26" t="inlineStr">
        <is>
          <t>Yes</t>
        </is>
      </c>
      <c r="H14" s="26" t="inlineStr">
        <is>
          <t>No</t>
        </is>
      </c>
      <c r="I14" s="26" t="inlineStr">
        <is>
          <t>Good finish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46193</v>
      </c>
      <c r="O14" s="26" t="inlineStr">
        <is>
          <t>Sunil CR</t>
        </is>
      </c>
      <c r="P14" s="26" t="inlineStr">
        <is>
          <t>Yes</t>
        </is>
      </c>
      <c r="Q14" s="26" t="inlineStr">
        <is>
          <t>No</t>
        </is>
      </c>
      <c r="R14" s="26" t="inlineStr">
        <is>
          <t>Good finish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Yes</t>
        </is>
      </c>
      <c r="Z14" s="30" t="n"/>
      <c r="AA14" s="30" t="inlineStr">
        <is>
          <t>Good finish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Lam GL 361 SGL</t>
        </is>
      </c>
      <c r="C15" s="25" t="inlineStr">
        <is>
          <t>Golf Green(Platinum)</t>
        </is>
      </c>
      <c r="D15" s="23" t="inlineStr">
        <is>
          <t>GREENLAM</t>
        </is>
      </c>
      <c r="E15" s="43" t="n">
        <v>46125</v>
      </c>
      <c r="F15" s="26" t="inlineStr">
        <is>
          <t>Sunil CR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Good finish</t>
        </is>
      </c>
      <c r="J15" s="26" t="inlineStr">
        <is>
          <t>Yes</t>
        </is>
      </c>
      <c r="K15" s="27" t="n"/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46193</v>
      </c>
      <c r="O15" s="26" t="inlineStr">
        <is>
          <t>Sunil CR</t>
        </is>
      </c>
      <c r="P15" s="26" t="inlineStr">
        <is>
          <t>Yes</t>
        </is>
      </c>
      <c r="Q15" s="26" t="inlineStr">
        <is>
          <t>No</t>
        </is>
      </c>
      <c r="R15" s="26" t="inlineStr">
        <is>
          <t>Good finish</t>
        </is>
      </c>
      <c r="S15" s="26" t="inlineStr">
        <is>
          <t>Yes</t>
        </is>
      </c>
      <c r="T15" s="27" t="n"/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Good finish</t>
        </is>
      </c>
      <c r="AB15" s="30" t="inlineStr">
        <is>
          <t>Yes</t>
        </is>
      </c>
      <c r="AC15" s="27" t="n"/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Lam GL 5372 SUD</t>
        </is>
      </c>
      <c r="C16" s="41" t="inlineStr">
        <is>
          <t>Grey Magic(Gold)</t>
        </is>
      </c>
      <c r="D16" s="39" t="inlineStr">
        <is>
          <t>GREENLAM</t>
        </is>
      </c>
      <c r="E16" s="43" t="n">
        <v>46125</v>
      </c>
      <c r="F16" s="26" t="inlineStr">
        <is>
          <t>Sunil CR</t>
        </is>
      </c>
      <c r="G16" s="26" t="inlineStr">
        <is>
          <t>Yes</t>
        </is>
      </c>
      <c r="H16" s="26" t="inlineStr">
        <is>
          <t>No</t>
        </is>
      </c>
      <c r="I16" s="26" t="inlineStr">
        <is>
          <t>Good finish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46193</v>
      </c>
      <c r="O16" s="26" t="inlineStr">
        <is>
          <t>Sunil CR</t>
        </is>
      </c>
      <c r="P16" s="26" t="inlineStr">
        <is>
          <t>Yes</t>
        </is>
      </c>
      <c r="Q16" s="26" t="inlineStr">
        <is>
          <t>No</t>
        </is>
      </c>
      <c r="R16" s="26" t="inlineStr">
        <is>
          <t>Good finish</t>
        </is>
      </c>
      <c r="S16" s="26" t="inlineStr">
        <is>
          <t>Yes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Yes</t>
        </is>
      </c>
      <c r="Z16" s="30" t="n"/>
      <c r="AA16" s="30" t="inlineStr">
        <is>
          <t>Good finish</t>
        </is>
      </c>
      <c r="AB16" s="30" t="inlineStr">
        <is>
          <t>Yes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BD-LAM-2026-0017</t>
        </is>
      </c>
      <c r="C17" s="25" t="inlineStr">
        <is>
          <t>Lam GL - Alliance Oak - 1055 SLT</t>
        </is>
      </c>
      <c r="D17" s="23" t="inlineStr">
        <is>
          <t>GREENLAM</t>
        </is>
      </c>
      <c r="E17" s="43" t="n">
        <v>46125</v>
      </c>
      <c r="F17" s="26" t="inlineStr">
        <is>
          <t>Sunil CR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Good finish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46193</v>
      </c>
      <c r="O17" s="26" t="inlineStr">
        <is>
          <t>Sunil CR</t>
        </is>
      </c>
      <c r="P17" s="26" t="inlineStr">
        <is>
          <t>Yes</t>
        </is>
      </c>
      <c r="Q17" s="26" t="inlineStr">
        <is>
          <t>No</t>
        </is>
      </c>
      <c r="R17" s="26" t="inlineStr">
        <is>
          <t>Good finish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Yes</t>
        </is>
      </c>
      <c r="Z17" s="30" t="n"/>
      <c r="AA17" s="30" t="inlineStr">
        <is>
          <t>Good finish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BD-LAM-2026-0001</t>
        </is>
      </c>
      <c r="C18" s="41" t="inlineStr">
        <is>
          <t>Lam GL - Arctic Wine - 1105 SUD</t>
        </is>
      </c>
      <c r="D18" s="39" t="inlineStr">
        <is>
          <t>GREENLAM</t>
        </is>
      </c>
      <c r="E18" s="43" t="n">
        <v>46125</v>
      </c>
      <c r="F18" s="26" t="inlineStr">
        <is>
          <t>Sunil CR</t>
        </is>
      </c>
      <c r="G18" s="26" t="inlineStr">
        <is>
          <t>Yes</t>
        </is>
      </c>
      <c r="H18" s="26" t="inlineStr">
        <is>
          <t>No</t>
        </is>
      </c>
      <c r="I18" s="26" t="inlineStr">
        <is>
          <t>Good finish</t>
        </is>
      </c>
      <c r="J18" s="26" t="inlineStr">
        <is>
          <t>Yes</t>
        </is>
      </c>
      <c r="K18" s="27" t="n"/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46193</v>
      </c>
      <c r="O18" s="26" t="inlineStr">
        <is>
          <t>Sunil CR</t>
        </is>
      </c>
      <c r="P18" s="26" t="inlineStr">
        <is>
          <t>Yes</t>
        </is>
      </c>
      <c r="Q18" s="26" t="inlineStr">
        <is>
          <t>No</t>
        </is>
      </c>
      <c r="R18" s="26" t="inlineStr">
        <is>
          <t>Good finish</t>
        </is>
      </c>
      <c r="S18" s="26" t="inlineStr">
        <is>
          <t>Yes</t>
        </is>
      </c>
      <c r="T18" s="27" t="n"/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Yes</t>
        </is>
      </c>
      <c r="Z18" s="30" t="n"/>
      <c r="AA18" s="30" t="inlineStr">
        <is>
          <t>Good finish</t>
        </is>
      </c>
      <c r="AB18" s="30" t="inlineStr">
        <is>
          <t>Yes</t>
        </is>
      </c>
      <c r="AC18" s="27" t="n"/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BD-LAM-2026-0010</t>
        </is>
      </c>
      <c r="C19" s="25" t="inlineStr">
        <is>
          <t>Lam GL - Beige - 1140 PGL</t>
        </is>
      </c>
      <c r="D19" s="23" t="inlineStr">
        <is>
          <t>GREENLAM</t>
        </is>
      </c>
      <c r="E19" s="43" t="n">
        <v>46125</v>
      </c>
      <c r="F19" s="26" t="inlineStr">
        <is>
          <t>Sunil CR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Good finish</t>
        </is>
      </c>
      <c r="J19" s="26" t="inlineStr">
        <is>
          <t>Yes</t>
        </is>
      </c>
      <c r="K19" s="27" t="n"/>
      <c r="L19" s="28" t="inlineStr">
        <is>
          <t>No</t>
        </is>
      </c>
      <c r="M19" s="29">
        <f>IF(E19="","",IF(H19="Yes","❌ Disc",IF(G19="No","⚠ Missing",IF(J19="Yes","✓ OK","⚠ Check"))))</f>
        <v/>
      </c>
      <c r="N19" s="43" t="n">
        <v>46193</v>
      </c>
      <c r="O19" s="26" t="inlineStr">
        <is>
          <t>Sunil CR</t>
        </is>
      </c>
      <c r="P19" s="26" t="inlineStr">
        <is>
          <t>Yes</t>
        </is>
      </c>
      <c r="Q19" s="26" t="inlineStr">
        <is>
          <t>No</t>
        </is>
      </c>
      <c r="R19" s="26" t="inlineStr">
        <is>
          <t>Good finish</t>
        </is>
      </c>
      <c r="S19" s="26" t="inlineStr">
        <is>
          <t>Yes</t>
        </is>
      </c>
      <c r="T19" s="27" t="n"/>
      <c r="U19" s="28" t="inlineStr">
        <is>
          <t>No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Yes</t>
        </is>
      </c>
      <c r="Z19" s="30" t="n"/>
      <c r="AA19" s="30" t="inlineStr">
        <is>
          <t>Good finish</t>
        </is>
      </c>
      <c r="AB19" s="30" t="inlineStr">
        <is>
          <t>Yes</t>
        </is>
      </c>
      <c r="AC19" s="27" t="n"/>
      <c r="AD19" s="31" t="inlineStr">
        <is>
          <t>No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BD-LAM-2026-0003</t>
        </is>
      </c>
      <c r="C20" s="41" t="inlineStr">
        <is>
          <t>Lam GL - Beige - 1140 SUD</t>
        </is>
      </c>
      <c r="D20" s="39" t="inlineStr">
        <is>
          <t>GREENLAM</t>
        </is>
      </c>
      <c r="E20" s="43" t="n">
        <v>46125</v>
      </c>
      <c r="F20" s="26" t="inlineStr">
        <is>
          <t>Sunil CR</t>
        </is>
      </c>
      <c r="G20" s="26" t="inlineStr">
        <is>
          <t>Yes</t>
        </is>
      </c>
      <c r="H20" s="26" t="inlineStr">
        <is>
          <t>No</t>
        </is>
      </c>
      <c r="I20" s="26" t="inlineStr">
        <is>
          <t>Good finish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46193</v>
      </c>
      <c r="O20" s="26" t="inlineStr">
        <is>
          <t>Sunil CR</t>
        </is>
      </c>
      <c r="P20" s="26" t="inlineStr">
        <is>
          <t>Yes</t>
        </is>
      </c>
      <c r="Q20" s="26" t="inlineStr">
        <is>
          <t>No</t>
        </is>
      </c>
      <c r="R20" s="26" t="inlineStr">
        <is>
          <t>Good finish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Yes</t>
        </is>
      </c>
      <c r="Z20" s="30" t="n"/>
      <c r="AA20" s="30" t="inlineStr">
        <is>
          <t>Good finish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BD-LAM-2026-0022</t>
        </is>
      </c>
      <c r="C21" s="25" t="inlineStr">
        <is>
          <t>Lam GL - Butternut Brown - 1508 SUD</t>
        </is>
      </c>
      <c r="D21" s="23" t="inlineStr">
        <is>
          <t>GREENLAM</t>
        </is>
      </c>
      <c r="E21" s="43" t="n">
        <v>46125</v>
      </c>
      <c r="F21" s="26" t="inlineStr">
        <is>
          <t>Sunil CR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Good finish</t>
        </is>
      </c>
      <c r="J21" s="26" t="inlineStr">
        <is>
          <t>Yes</t>
        </is>
      </c>
      <c r="K21" s="27" t="n"/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46193</v>
      </c>
      <c r="O21" s="26" t="inlineStr">
        <is>
          <t>Sunil CR</t>
        </is>
      </c>
      <c r="P21" s="26" t="inlineStr">
        <is>
          <t>Yes</t>
        </is>
      </c>
      <c r="Q21" s="26" t="inlineStr">
        <is>
          <t>No</t>
        </is>
      </c>
      <c r="R21" s="26" t="inlineStr">
        <is>
          <t>Good finish</t>
        </is>
      </c>
      <c r="S21" s="26" t="inlineStr">
        <is>
          <t>Yes</t>
        </is>
      </c>
      <c r="T21" s="27" t="n"/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Yes</t>
        </is>
      </c>
      <c r="Z21" s="30" t="n"/>
      <c r="AA21" s="30" t="inlineStr">
        <is>
          <t>Good finish</t>
        </is>
      </c>
      <c r="AB21" s="30" t="inlineStr">
        <is>
          <t>Yes</t>
        </is>
      </c>
      <c r="AC21" s="27" t="n"/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BD-LAM-2026-0019</t>
        </is>
      </c>
      <c r="C22" s="41" t="inlineStr">
        <is>
          <t>Lam GL - Camel Herringbone - 1566 TWD</t>
        </is>
      </c>
      <c r="D22" s="39" t="inlineStr">
        <is>
          <t>GREENLAM</t>
        </is>
      </c>
      <c r="E22" s="43" t="n">
        <v>46125</v>
      </c>
      <c r="F22" s="26" t="inlineStr">
        <is>
          <t>Sunil CR</t>
        </is>
      </c>
      <c r="G22" s="26" t="inlineStr">
        <is>
          <t>Yes</t>
        </is>
      </c>
      <c r="H22" s="26" t="inlineStr">
        <is>
          <t>No</t>
        </is>
      </c>
      <c r="I22" s="26" t="inlineStr">
        <is>
          <t>Good finish</t>
        </is>
      </c>
      <c r="J22" s="26" t="inlineStr">
        <is>
          <t>Yes</t>
        </is>
      </c>
      <c r="K22" s="27" t="n"/>
      <c r="L22" s="28" t="inlineStr">
        <is>
          <t>No</t>
        </is>
      </c>
      <c r="M22" s="29">
        <f>IF(E22="","",IF(H22="Yes","❌ Disc",IF(G22="No","⚠ Missing",IF(J22="Yes","✓ OK","⚠ Check"))))</f>
        <v/>
      </c>
      <c r="N22" s="43" t="n">
        <v>46193</v>
      </c>
      <c r="O22" s="26" t="inlineStr">
        <is>
          <t>Sunil CR</t>
        </is>
      </c>
      <c r="P22" s="26" t="inlineStr">
        <is>
          <t>Yes</t>
        </is>
      </c>
      <c r="Q22" s="26" t="inlineStr">
        <is>
          <t>No</t>
        </is>
      </c>
      <c r="R22" s="26" t="inlineStr">
        <is>
          <t>Good finish</t>
        </is>
      </c>
      <c r="S22" s="26" t="inlineStr">
        <is>
          <t>Yes</t>
        </is>
      </c>
      <c r="T22" s="27" t="n"/>
      <c r="U22" s="28" t="inlineStr">
        <is>
          <t>No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Yes</t>
        </is>
      </c>
      <c r="Z22" s="30" t="n"/>
      <c r="AA22" s="30" t="inlineStr">
        <is>
          <t>Good finish</t>
        </is>
      </c>
      <c r="AB22" s="30" t="inlineStr">
        <is>
          <t>Yes</t>
        </is>
      </c>
      <c r="AC22" s="27" t="n"/>
      <c r="AD22" s="31" t="inlineStr">
        <is>
          <t>No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BD-LAM-2026-0013</t>
        </is>
      </c>
      <c r="C23" s="25" t="inlineStr">
        <is>
          <t>Lam GL - Celtic Teak - 1820 SLT</t>
        </is>
      </c>
      <c r="D23" s="23" t="inlineStr">
        <is>
          <t>GREENLAM</t>
        </is>
      </c>
      <c r="E23" s="43" t="n">
        <v>46125</v>
      </c>
      <c r="F23" s="26" t="inlineStr">
        <is>
          <t>Sunil CR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Good finish</t>
        </is>
      </c>
      <c r="J23" s="26" t="inlineStr">
        <is>
          <t>Yes</t>
        </is>
      </c>
      <c r="K23" s="27" t="n"/>
      <c r="L23" s="28" t="inlineStr">
        <is>
          <t>No</t>
        </is>
      </c>
      <c r="M23" s="29">
        <f>IF(E23="","",IF(H23="Yes","❌ Disc",IF(G23="No","⚠ Missing",IF(J23="Yes","✓ OK","⚠ Check"))))</f>
        <v/>
      </c>
      <c r="N23" s="43" t="n">
        <v>46193</v>
      </c>
      <c r="O23" s="26" t="inlineStr">
        <is>
          <t>Sunil CR</t>
        </is>
      </c>
      <c r="P23" s="26" t="inlineStr">
        <is>
          <t>Yes</t>
        </is>
      </c>
      <c r="Q23" s="26" t="inlineStr">
        <is>
          <t>No</t>
        </is>
      </c>
      <c r="R23" s="26" t="inlineStr">
        <is>
          <t>Good finish</t>
        </is>
      </c>
      <c r="S23" s="26" t="inlineStr">
        <is>
          <t>Yes</t>
        </is>
      </c>
      <c r="T23" s="27" t="n"/>
      <c r="U23" s="28" t="inlineStr">
        <is>
          <t>No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Yes</t>
        </is>
      </c>
      <c r="Z23" s="30" t="n"/>
      <c r="AA23" s="30" t="inlineStr">
        <is>
          <t>Good finish</t>
        </is>
      </c>
      <c r="AB23" s="30" t="inlineStr">
        <is>
          <t>Yes</t>
        </is>
      </c>
      <c r="AC23" s="27" t="n"/>
      <c r="AD23" s="31" t="inlineStr">
        <is>
          <t>No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BD-LAM-2026-0009</t>
        </is>
      </c>
      <c r="C24" s="41" t="inlineStr">
        <is>
          <t>Lam GL - Dark Grey - 1261 PGL</t>
        </is>
      </c>
      <c r="D24" s="39" t="inlineStr">
        <is>
          <t>GREENLAM</t>
        </is>
      </c>
      <c r="E24" s="43" t="n">
        <v>46125</v>
      </c>
      <c r="F24" s="26" t="inlineStr">
        <is>
          <t>Sunil CR</t>
        </is>
      </c>
      <c r="G24" s="26" t="inlineStr">
        <is>
          <t>Yes</t>
        </is>
      </c>
      <c r="H24" s="26" t="inlineStr">
        <is>
          <t>No</t>
        </is>
      </c>
      <c r="I24" s="26" t="inlineStr">
        <is>
          <t>Good finish</t>
        </is>
      </c>
      <c r="J24" s="26" t="inlineStr">
        <is>
          <t>Yes</t>
        </is>
      </c>
      <c r="K24" s="27" t="n"/>
      <c r="L24" s="28" t="inlineStr">
        <is>
          <t>No</t>
        </is>
      </c>
      <c r="M24" s="29">
        <f>IF(E24="","",IF(H24="Yes","❌ Disc",IF(G24="No","⚠ Missing",IF(J24="Yes","✓ OK","⚠ Check"))))</f>
        <v/>
      </c>
      <c r="N24" s="43" t="n">
        <v>46193</v>
      </c>
      <c r="O24" s="26" t="inlineStr">
        <is>
          <t>Sunil CR</t>
        </is>
      </c>
      <c r="P24" s="26" t="inlineStr">
        <is>
          <t>Yes</t>
        </is>
      </c>
      <c r="Q24" s="26" t="inlineStr">
        <is>
          <t>No</t>
        </is>
      </c>
      <c r="R24" s="26" t="inlineStr">
        <is>
          <t>Good finish</t>
        </is>
      </c>
      <c r="S24" s="26" t="inlineStr">
        <is>
          <t>Yes</t>
        </is>
      </c>
      <c r="T24" s="27" t="n"/>
      <c r="U24" s="28" t="inlineStr">
        <is>
          <t>No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Yes</t>
        </is>
      </c>
      <c r="Z24" s="30" t="n"/>
      <c r="AA24" s="30" t="inlineStr">
        <is>
          <t>Good finish</t>
        </is>
      </c>
      <c r="AB24" s="30" t="inlineStr">
        <is>
          <t>Yes</t>
        </is>
      </c>
      <c r="AC24" s="27" t="n"/>
      <c r="AD24" s="31" t="inlineStr">
        <is>
          <t>No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BD-LAM-2026-0006</t>
        </is>
      </c>
      <c r="C25" s="25" t="inlineStr">
        <is>
          <t>Lam GL - Dark Grey - 1261 SUD</t>
        </is>
      </c>
      <c r="D25" s="23" t="inlineStr">
        <is>
          <t>GREENLAM</t>
        </is>
      </c>
      <c r="E25" s="43" t="n">
        <v>46125</v>
      </c>
      <c r="F25" s="26" t="inlineStr">
        <is>
          <t>Sunil CR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Good finish</t>
        </is>
      </c>
      <c r="J25" s="26" t="inlineStr">
        <is>
          <t>Yes</t>
        </is>
      </c>
      <c r="K25" s="27" t="n"/>
      <c r="L25" s="28" t="inlineStr">
        <is>
          <t>No</t>
        </is>
      </c>
      <c r="M25" s="29">
        <f>IF(E25="","",IF(H25="Yes","❌ Disc",IF(G25="No","⚠ Missing",IF(J25="Yes","✓ OK","⚠ Check"))))</f>
        <v/>
      </c>
      <c r="N25" s="43" t="n">
        <v>46193</v>
      </c>
      <c r="O25" s="26" t="inlineStr">
        <is>
          <t>Sunil CR</t>
        </is>
      </c>
      <c r="P25" s="26" t="inlineStr">
        <is>
          <t>Yes</t>
        </is>
      </c>
      <c r="Q25" s="26" t="inlineStr">
        <is>
          <t>No</t>
        </is>
      </c>
      <c r="R25" s="26" t="inlineStr">
        <is>
          <t>Good finish</t>
        </is>
      </c>
      <c r="S25" s="26" t="inlineStr">
        <is>
          <t>Yes</t>
        </is>
      </c>
      <c r="T25" s="27" t="n"/>
      <c r="U25" s="28" t="inlineStr">
        <is>
          <t>No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Yes</t>
        </is>
      </c>
      <c r="Z25" s="30" t="n"/>
      <c r="AA25" s="30" t="inlineStr">
        <is>
          <t>Good finish</t>
        </is>
      </c>
      <c r="AB25" s="30" t="inlineStr">
        <is>
          <t>Yes</t>
        </is>
      </c>
      <c r="AC25" s="27" t="n"/>
      <c r="AD25" s="31" t="inlineStr">
        <is>
          <t>No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BD-LAM-2026-0008</t>
        </is>
      </c>
      <c r="C26" s="41" t="inlineStr">
        <is>
          <t>Lam GL - Dust - 1268 PGL</t>
        </is>
      </c>
      <c r="D26" s="39" t="inlineStr">
        <is>
          <t>GREENLAM</t>
        </is>
      </c>
      <c r="E26" s="43" t="n">
        <v>46125</v>
      </c>
      <c r="F26" s="26" t="inlineStr">
        <is>
          <t>Sunil CR</t>
        </is>
      </c>
      <c r="G26" s="26" t="inlineStr">
        <is>
          <t>Yes</t>
        </is>
      </c>
      <c r="H26" s="26" t="inlineStr">
        <is>
          <t>No</t>
        </is>
      </c>
      <c r="I26" s="26" t="inlineStr">
        <is>
          <t>Good finish</t>
        </is>
      </c>
      <c r="J26" s="26" t="inlineStr">
        <is>
          <t>Yes</t>
        </is>
      </c>
      <c r="K26" s="27" t="n"/>
      <c r="L26" s="28" t="inlineStr">
        <is>
          <t>No</t>
        </is>
      </c>
      <c r="M26" s="29">
        <f>IF(E26="","",IF(H26="Yes","❌ Disc",IF(G26="No","⚠ Missing",IF(J26="Yes","✓ OK","⚠ Check"))))</f>
        <v/>
      </c>
      <c r="N26" s="43" t="n">
        <v>46193</v>
      </c>
      <c r="O26" s="26" t="inlineStr">
        <is>
          <t>Sunil CR</t>
        </is>
      </c>
      <c r="P26" s="26" t="inlineStr">
        <is>
          <t>Yes</t>
        </is>
      </c>
      <c r="Q26" s="26" t="inlineStr">
        <is>
          <t>No</t>
        </is>
      </c>
      <c r="R26" s="26" t="inlineStr">
        <is>
          <t>Good finish</t>
        </is>
      </c>
      <c r="S26" s="26" t="inlineStr">
        <is>
          <t>Yes</t>
        </is>
      </c>
      <c r="T26" s="27" t="n"/>
      <c r="U26" s="28" t="inlineStr">
        <is>
          <t>No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Yes</t>
        </is>
      </c>
      <c r="Z26" s="30" t="n"/>
      <c r="AA26" s="30" t="inlineStr">
        <is>
          <t>Good finish</t>
        </is>
      </c>
      <c r="AB26" s="30" t="inlineStr">
        <is>
          <t>Yes</t>
        </is>
      </c>
      <c r="AC26" s="27" t="n"/>
      <c r="AD26" s="31" t="inlineStr">
        <is>
          <t>No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BD-LAM-2026-0012</t>
        </is>
      </c>
      <c r="C27" s="25" t="inlineStr">
        <is>
          <t>Lam GL - Dust - 1268 SNT</t>
        </is>
      </c>
      <c r="D27" s="23" t="inlineStr">
        <is>
          <t>GREENLAM</t>
        </is>
      </c>
      <c r="E27" s="43" t="n">
        <v>46125</v>
      </c>
      <c r="F27" s="26" t="inlineStr">
        <is>
          <t>Sunil CR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Good finish</t>
        </is>
      </c>
      <c r="J27" s="26" t="inlineStr">
        <is>
          <t>Yes</t>
        </is>
      </c>
      <c r="K27" s="27" t="n"/>
      <c r="L27" s="28" t="inlineStr">
        <is>
          <t>No</t>
        </is>
      </c>
      <c r="M27" s="29">
        <f>IF(E27="","",IF(H27="Yes","❌ Disc",IF(G27="No","⚠ Missing",IF(J27="Yes","✓ OK","⚠ Check"))))</f>
        <v/>
      </c>
      <c r="N27" s="43" t="n">
        <v>46193</v>
      </c>
      <c r="O27" s="26" t="inlineStr">
        <is>
          <t>Sunil CR</t>
        </is>
      </c>
      <c r="P27" s="26" t="inlineStr">
        <is>
          <t>Yes</t>
        </is>
      </c>
      <c r="Q27" s="26" t="inlineStr">
        <is>
          <t>No</t>
        </is>
      </c>
      <c r="R27" s="26" t="inlineStr">
        <is>
          <t>Good finish</t>
        </is>
      </c>
      <c r="S27" s="26" t="inlineStr">
        <is>
          <t>Yes</t>
        </is>
      </c>
      <c r="T27" s="27" t="n"/>
      <c r="U27" s="28" t="inlineStr">
        <is>
          <t>No</t>
        </is>
      </c>
      <c r="V27" s="29">
        <f>IF(N27="","",IF(Q27="Yes","❌ Disc",IF(P27="No","⚠ Missing",IF(S27="Yes","✓ OK","⚠ Check"))))</f>
        <v/>
      </c>
      <c r="W27" s="65" t="n">
        <v>46248</v>
      </c>
      <c r="X27" s="30" t="inlineStr">
        <is>
          <t>Sunil CR</t>
        </is>
      </c>
      <c r="Y27" s="30" t="inlineStr">
        <is>
          <t>Yes</t>
        </is>
      </c>
      <c r="Z27" s="30" t="n"/>
      <c r="AA27" s="30" t="inlineStr">
        <is>
          <t>Good finish</t>
        </is>
      </c>
      <c r="AB27" s="30" t="inlineStr">
        <is>
          <t>Yes</t>
        </is>
      </c>
      <c r="AC27" s="27" t="n"/>
      <c r="AD27" s="31" t="inlineStr">
        <is>
          <t>No</t>
        </is>
      </c>
      <c r="AE27" s="32">
        <f>IF(W27="","",IF(Z27="Yes","❌ Disc",IF(Y27="No","⚠ Missing",IF(AB27="Yes","✓ OK","⚠ Check"))))</f>
        <v/>
      </c>
      <c r="AF27" s="33" t="n"/>
      <c r="AG27" s="33" t="n"/>
      <c r="AH27" s="33" t="n"/>
      <c r="AI27" s="33" t="n"/>
      <c r="AJ27" s="33" t="n"/>
      <c r="AK27" s="33" t="n"/>
      <c r="AL27" s="27" t="n"/>
      <c r="AM27" s="34" t="n"/>
      <c r="AN27" s="35">
        <f>IF(AF27="","",IF(AI27="Yes","❌ Disc",IF(AH27="No","⚠ Missing",IF(AK27="Yes","✓ OK","⚠ Check"))))</f>
        <v/>
      </c>
      <c r="AO27" s="36" t="n"/>
      <c r="AP27" s="36" t="n"/>
      <c r="AQ27" s="36" t="n"/>
      <c r="AR27" s="36" t="n"/>
      <c r="AS27" s="36" t="n"/>
      <c r="AT27" s="36" t="n"/>
      <c r="AU27" s="27" t="n"/>
      <c r="AV27" s="37" t="n"/>
      <c r="AW27" s="38">
        <f>IF(AO27="","",IF(AR27="Yes","❌ Disc",IF(AQ27="No","⚠ Missing",IF(AT27="Yes","✓ OK","⚠ Check"))))</f>
        <v/>
      </c>
    </row>
    <row r="28" ht="18" customHeight="1" s="46">
      <c r="A28" s="39" t="n">
        <v>24</v>
      </c>
      <c r="B28" s="40" t="inlineStr">
        <is>
          <t>BD-LAM-2026-0018</t>
        </is>
      </c>
      <c r="C28" s="41" t="inlineStr">
        <is>
          <t>Lam GL - Emberwood Brown - 1817 SNT</t>
        </is>
      </c>
      <c r="D28" s="39" t="inlineStr">
        <is>
          <t>GREENLAM</t>
        </is>
      </c>
      <c r="E28" s="43" t="n">
        <v>46125</v>
      </c>
      <c r="F28" s="26" t="inlineStr">
        <is>
          <t>Sunil CR</t>
        </is>
      </c>
      <c r="G28" s="26" t="inlineStr">
        <is>
          <t>Yes</t>
        </is>
      </c>
      <c r="H28" s="26" t="inlineStr">
        <is>
          <t>No</t>
        </is>
      </c>
      <c r="I28" s="26" t="inlineStr">
        <is>
          <t>Good finish</t>
        </is>
      </c>
      <c r="J28" s="26" t="inlineStr">
        <is>
          <t>Yes</t>
        </is>
      </c>
      <c r="K28" s="27" t="n"/>
      <c r="L28" s="28" t="inlineStr">
        <is>
          <t>No</t>
        </is>
      </c>
      <c r="M28" s="29">
        <f>IF(E28="","",IF(H28="Yes","❌ Disc",IF(G28="No","⚠ Missing",IF(J28="Yes","✓ OK","⚠ Check"))))</f>
        <v/>
      </c>
      <c r="N28" s="43" t="n">
        <v>46193</v>
      </c>
      <c r="O28" s="26" t="inlineStr">
        <is>
          <t>Sunil CR</t>
        </is>
      </c>
      <c r="P28" s="26" t="inlineStr">
        <is>
          <t>Yes</t>
        </is>
      </c>
      <c r="Q28" s="26" t="inlineStr">
        <is>
          <t>No</t>
        </is>
      </c>
      <c r="R28" s="26" t="inlineStr">
        <is>
          <t>Good finish</t>
        </is>
      </c>
      <c r="S28" s="26" t="inlineStr">
        <is>
          <t>Yes</t>
        </is>
      </c>
      <c r="T28" s="27" t="n"/>
      <c r="U28" s="28" t="inlineStr">
        <is>
          <t>No</t>
        </is>
      </c>
      <c r="V28" s="29">
        <f>IF(N28="","",IF(Q28="Yes","❌ Disc",IF(P28="No","⚠ Missing",IF(S28="Yes","✓ OK","⚠ Check"))))</f>
        <v/>
      </c>
      <c r="W28" s="65" t="n">
        <v>46248</v>
      </c>
      <c r="X28" s="30" t="inlineStr">
        <is>
          <t>Sunil CR</t>
        </is>
      </c>
      <c r="Y28" s="30" t="inlineStr">
        <is>
          <t>Yes</t>
        </is>
      </c>
      <c r="Z28" s="30" t="n"/>
      <c r="AA28" s="30" t="inlineStr">
        <is>
          <t>Good finish</t>
        </is>
      </c>
      <c r="AB28" s="30" t="inlineStr">
        <is>
          <t>Yes</t>
        </is>
      </c>
      <c r="AC28" s="27" t="n"/>
      <c r="AD28" s="31" t="inlineStr">
        <is>
          <t>No</t>
        </is>
      </c>
      <c r="AE28" s="32">
        <f>IF(W28="","",IF(Z28="Yes","❌ Disc",IF(Y28="No","⚠ Missing",IF(AB28="Yes","✓ OK","⚠ Check"))))</f>
        <v/>
      </c>
      <c r="AF28" s="33" t="n"/>
      <c r="AG28" s="33" t="n"/>
      <c r="AH28" s="33" t="n"/>
      <c r="AI28" s="33" t="n"/>
      <c r="AJ28" s="33" t="n"/>
      <c r="AK28" s="33" t="n"/>
      <c r="AL28" s="27" t="n"/>
      <c r="AM28" s="34" t="n"/>
      <c r="AN28" s="35">
        <f>IF(AF28="","",IF(AI28="Yes","❌ Disc",IF(AH28="No","⚠ Missing",IF(AK28="Yes","✓ OK","⚠ Check"))))</f>
        <v/>
      </c>
      <c r="AO28" s="36" t="n"/>
      <c r="AP28" s="36" t="n"/>
      <c r="AQ28" s="36" t="n"/>
      <c r="AR28" s="36" t="n"/>
      <c r="AS28" s="36" t="n"/>
      <c r="AT28" s="36" t="n"/>
      <c r="AU28" s="27" t="n"/>
      <c r="AV28" s="37" t="n"/>
      <c r="AW28" s="38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BD-LAM-2026-0007</t>
        </is>
      </c>
      <c r="C29" s="25" t="inlineStr">
        <is>
          <t>Lam GL - Frosty White - 1113 PGL</t>
        </is>
      </c>
      <c r="D29" s="23" t="inlineStr">
        <is>
          <t>GREENLAM</t>
        </is>
      </c>
      <c r="E29" s="43" t="n">
        <v>46125</v>
      </c>
      <c r="F29" s="26" t="inlineStr">
        <is>
          <t>Sunil CR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Good finish</t>
        </is>
      </c>
      <c r="J29" s="26" t="inlineStr">
        <is>
          <t>Yes</t>
        </is>
      </c>
      <c r="K29" s="27" t="n"/>
      <c r="L29" s="28" t="inlineStr">
        <is>
          <t>No</t>
        </is>
      </c>
      <c r="M29" s="29">
        <f>IF(E29="","",IF(H29="Yes","❌ Disc",IF(G29="No","⚠ Missing",IF(J29="Yes","✓ OK","⚠ Check"))))</f>
        <v/>
      </c>
      <c r="N29" s="43" t="n">
        <v>46193</v>
      </c>
      <c r="O29" s="26" t="inlineStr">
        <is>
          <t>Sunil CR</t>
        </is>
      </c>
      <c r="P29" s="26" t="inlineStr">
        <is>
          <t>Yes</t>
        </is>
      </c>
      <c r="Q29" s="26" t="inlineStr">
        <is>
          <t>No</t>
        </is>
      </c>
      <c r="R29" s="26" t="inlineStr">
        <is>
          <t>Good finish</t>
        </is>
      </c>
      <c r="S29" s="26" t="inlineStr">
        <is>
          <t>Yes</t>
        </is>
      </c>
      <c r="T29" s="27" t="n"/>
      <c r="U29" s="28" t="inlineStr">
        <is>
          <t>No</t>
        </is>
      </c>
      <c r="V29" s="29">
        <f>IF(N29="","",IF(Q29="Yes","❌ Disc",IF(P29="No","⚠ Missing",IF(S29="Yes","✓ OK","⚠ Check"))))</f>
        <v/>
      </c>
      <c r="W29" s="65" t="n">
        <v>46248</v>
      </c>
      <c r="X29" s="30" t="inlineStr">
        <is>
          <t>Sunil CR</t>
        </is>
      </c>
      <c r="Y29" s="30" t="inlineStr">
        <is>
          <t>Yes</t>
        </is>
      </c>
      <c r="Z29" s="30" t="n"/>
      <c r="AA29" s="30" t="inlineStr">
        <is>
          <t>Good finish</t>
        </is>
      </c>
      <c r="AB29" s="30" t="inlineStr">
        <is>
          <t>Yes</t>
        </is>
      </c>
      <c r="AC29" s="27" t="n"/>
      <c r="AD29" s="31" t="inlineStr">
        <is>
          <t>No</t>
        </is>
      </c>
      <c r="AE29" s="32">
        <f>IF(W29="","",IF(Z29="Yes","❌ Disc",IF(Y29="No","⚠ Missing",IF(AB29="Yes","✓ OK","⚠ Check"))))</f>
        <v/>
      </c>
      <c r="AF29" s="33" t="n"/>
      <c r="AG29" s="33" t="n"/>
      <c r="AH29" s="33" t="n"/>
      <c r="AI29" s="33" t="n"/>
      <c r="AJ29" s="33" t="n"/>
      <c r="AK29" s="33" t="n"/>
      <c r="AL29" s="27" t="n"/>
      <c r="AM29" s="34" t="n"/>
      <c r="AN29" s="35">
        <f>IF(AF29="","",IF(AI29="Yes","❌ Disc",IF(AH29="No","⚠ Missing",IF(AK29="Yes","✓ OK","⚠ Check"))))</f>
        <v/>
      </c>
      <c r="AO29" s="36" t="n"/>
      <c r="AP29" s="36" t="n"/>
      <c r="AQ29" s="36" t="n"/>
      <c r="AR29" s="36" t="n"/>
      <c r="AS29" s="36" t="n"/>
      <c r="AT29" s="36" t="n"/>
      <c r="AU29" s="27" t="n"/>
      <c r="AV29" s="37" t="n"/>
      <c r="AW29" s="38">
        <f>IF(AO29="","",IF(AR29="Yes","❌ Disc",IF(AQ29="No","⚠ Missing",IF(AT29="Yes","✓ OK","⚠ Check"))))</f>
        <v/>
      </c>
    </row>
    <row r="30" ht="18" customHeight="1" s="46">
      <c r="A30" s="39" t="n">
        <v>26</v>
      </c>
      <c r="B30" s="40" t="inlineStr">
        <is>
          <t>BD-LAM-2026-0011</t>
        </is>
      </c>
      <c r="C30" s="41" t="inlineStr">
        <is>
          <t>Lam GL - Frosty White - 1113 SNT</t>
        </is>
      </c>
      <c r="D30" s="39" t="inlineStr">
        <is>
          <t>GREENLAM</t>
        </is>
      </c>
      <c r="E30" s="43" t="n">
        <v>46125</v>
      </c>
      <c r="F30" s="26" t="inlineStr">
        <is>
          <t>Sunil CR</t>
        </is>
      </c>
      <c r="G30" s="26" t="inlineStr">
        <is>
          <t>Yes</t>
        </is>
      </c>
      <c r="H30" s="26" t="inlineStr">
        <is>
          <t>No</t>
        </is>
      </c>
      <c r="I30" s="26" t="inlineStr">
        <is>
          <t>Good finish</t>
        </is>
      </c>
      <c r="J30" s="26" t="inlineStr">
        <is>
          <t>Yes</t>
        </is>
      </c>
      <c r="K30" s="27" t="n"/>
      <c r="L30" s="28" t="inlineStr">
        <is>
          <t>No</t>
        </is>
      </c>
      <c r="M30" s="29">
        <f>IF(E30="","",IF(H30="Yes","❌ Disc",IF(G30="No","⚠ Missing",IF(J30="Yes","✓ OK","⚠ Check"))))</f>
        <v/>
      </c>
      <c r="N30" s="43" t="n">
        <v>46193</v>
      </c>
      <c r="O30" s="26" t="inlineStr">
        <is>
          <t>Sunil CR</t>
        </is>
      </c>
      <c r="P30" s="26" t="inlineStr">
        <is>
          <t>Yes</t>
        </is>
      </c>
      <c r="Q30" s="26" t="inlineStr">
        <is>
          <t>No</t>
        </is>
      </c>
      <c r="R30" s="26" t="inlineStr">
        <is>
          <t>Good finish</t>
        </is>
      </c>
      <c r="S30" s="26" t="inlineStr">
        <is>
          <t>Yes</t>
        </is>
      </c>
      <c r="T30" s="27" t="n"/>
      <c r="U30" s="28" t="inlineStr">
        <is>
          <t>No</t>
        </is>
      </c>
      <c r="V30" s="29">
        <f>IF(N30="","",IF(Q30="Yes","❌ Disc",IF(P30="No","⚠ Missing",IF(S30="Yes","✓ OK","⚠ Check"))))</f>
        <v/>
      </c>
      <c r="W30" s="65" t="n">
        <v>46248</v>
      </c>
      <c r="X30" s="30" t="inlineStr">
        <is>
          <t>Sunil CR</t>
        </is>
      </c>
      <c r="Y30" s="30" t="inlineStr">
        <is>
          <t>Yes</t>
        </is>
      </c>
      <c r="Z30" s="30" t="n"/>
      <c r="AA30" s="30" t="inlineStr">
        <is>
          <t>Good finish</t>
        </is>
      </c>
      <c r="AB30" s="30" t="inlineStr">
        <is>
          <t>Yes</t>
        </is>
      </c>
      <c r="AC30" s="27" t="n"/>
      <c r="AD30" s="31" t="inlineStr">
        <is>
          <t>No</t>
        </is>
      </c>
      <c r="AE30" s="32">
        <f>IF(W30="","",IF(Z30="Yes","❌ Disc",IF(Y30="No","⚠ Missing",IF(AB30="Yes","✓ OK","⚠ Check"))))</f>
        <v/>
      </c>
      <c r="AF30" s="33" t="n"/>
      <c r="AG30" s="33" t="n"/>
      <c r="AH30" s="33" t="n"/>
      <c r="AI30" s="33" t="n"/>
      <c r="AJ30" s="33" t="n"/>
      <c r="AK30" s="33" t="n"/>
      <c r="AL30" s="27" t="n"/>
      <c r="AM30" s="34" t="n"/>
      <c r="AN30" s="35">
        <f>IF(AF30="","",IF(AI30="Yes","❌ Disc",IF(AH30="No","⚠ Missing",IF(AK30="Yes","✓ OK","⚠ Check"))))</f>
        <v/>
      </c>
      <c r="AO30" s="36" t="n"/>
      <c r="AP30" s="36" t="n"/>
      <c r="AQ30" s="36" t="n"/>
      <c r="AR30" s="36" t="n"/>
      <c r="AS30" s="36" t="n"/>
      <c r="AT30" s="36" t="n"/>
      <c r="AU30" s="27" t="n"/>
      <c r="AV30" s="37" t="n"/>
      <c r="AW30" s="38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BD-LAM-2026-0002</t>
        </is>
      </c>
      <c r="C31" s="25" t="inlineStr">
        <is>
          <t>Lam GL - Frosty White - 1113 SUD</t>
        </is>
      </c>
      <c r="D31" s="23" t="inlineStr">
        <is>
          <t>GREENLAM</t>
        </is>
      </c>
      <c r="E31" s="43" t="n">
        <v>46125</v>
      </c>
      <c r="F31" s="26" t="inlineStr">
        <is>
          <t>Sunil CR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Good finish</t>
        </is>
      </c>
      <c r="J31" s="26" t="inlineStr">
        <is>
          <t>Yes</t>
        </is>
      </c>
      <c r="K31" s="27" t="n"/>
      <c r="L31" s="28" t="inlineStr">
        <is>
          <t>No</t>
        </is>
      </c>
      <c r="M31" s="29">
        <f>IF(E31="","",IF(H31="Yes","❌ Disc",IF(G31="No","⚠ Missing",IF(J31="Yes","✓ OK","⚠ Check"))))</f>
        <v/>
      </c>
      <c r="N31" s="43" t="n">
        <v>46193</v>
      </c>
      <c r="O31" s="26" t="inlineStr">
        <is>
          <t>Sunil CR</t>
        </is>
      </c>
      <c r="P31" s="26" t="inlineStr">
        <is>
          <t>Yes</t>
        </is>
      </c>
      <c r="Q31" s="26" t="inlineStr">
        <is>
          <t>No</t>
        </is>
      </c>
      <c r="R31" s="26" t="inlineStr">
        <is>
          <t>Good finish</t>
        </is>
      </c>
      <c r="S31" s="26" t="inlineStr">
        <is>
          <t>Yes</t>
        </is>
      </c>
      <c r="T31" s="27" t="n"/>
      <c r="U31" s="28" t="inlineStr">
        <is>
          <t>No</t>
        </is>
      </c>
      <c r="V31" s="29">
        <f>IF(N31="","",IF(Q31="Yes","❌ Disc",IF(P31="No","⚠ Missing",IF(S31="Yes","✓ OK","⚠ Check"))))</f>
        <v/>
      </c>
      <c r="W31" s="65" t="n">
        <v>46248</v>
      </c>
      <c r="X31" s="30" t="inlineStr">
        <is>
          <t>Sunil CR</t>
        </is>
      </c>
      <c r="Y31" s="30" t="inlineStr">
        <is>
          <t>Yes</t>
        </is>
      </c>
      <c r="Z31" s="30" t="n"/>
      <c r="AA31" s="30" t="inlineStr">
        <is>
          <t>Good finish</t>
        </is>
      </c>
      <c r="AB31" s="30" t="inlineStr">
        <is>
          <t>Yes</t>
        </is>
      </c>
      <c r="AC31" s="27" t="n"/>
      <c r="AD31" s="31" t="inlineStr">
        <is>
          <t>No</t>
        </is>
      </c>
      <c r="AE31" s="32">
        <f>IF(W31="","",IF(Z31="Yes","❌ Disc",IF(Y31="No","⚠ Missing",IF(AB31="Yes","✓ OK","⚠ Check"))))</f>
        <v/>
      </c>
      <c r="AF31" s="33" t="n"/>
      <c r="AG31" s="33" t="n"/>
      <c r="AH31" s="33" t="n"/>
      <c r="AI31" s="33" t="n"/>
      <c r="AJ31" s="33" t="n"/>
      <c r="AK31" s="33" t="n"/>
      <c r="AL31" s="27" t="n"/>
      <c r="AM31" s="34" t="n"/>
      <c r="AN31" s="35">
        <f>IF(AF31="","",IF(AI31="Yes","❌ Disc",IF(AH31="No","⚠ Missing",IF(AK31="Yes","✓ OK","⚠ Check"))))</f>
        <v/>
      </c>
      <c r="AO31" s="36" t="n"/>
      <c r="AP31" s="36" t="n"/>
      <c r="AQ31" s="36" t="n"/>
      <c r="AR31" s="36" t="n"/>
      <c r="AS31" s="36" t="n"/>
      <c r="AT31" s="36" t="n"/>
      <c r="AU31" s="27" t="n"/>
      <c r="AV31" s="37" t="n"/>
      <c r="AW31" s="38">
        <f>IF(AO31="","",IF(AR31="Yes","❌ Disc",IF(AQ31="No","⚠ Missing",IF(AT31="Yes","✓ OK","⚠ Check"))))</f>
        <v/>
      </c>
    </row>
    <row r="32" ht="18" customHeight="1" s="46">
      <c r="A32" s="39" t="n">
        <v>28</v>
      </c>
      <c r="B32" s="40" t="inlineStr">
        <is>
          <t>BD-LAM-2026-0005</t>
        </is>
      </c>
      <c r="C32" s="41" t="inlineStr">
        <is>
          <t>Lam GL - Mist - 1302 SUD</t>
        </is>
      </c>
      <c r="D32" s="39" t="inlineStr">
        <is>
          <t>GREENLAM</t>
        </is>
      </c>
      <c r="E32" s="43" t="n">
        <v>46125</v>
      </c>
      <c r="F32" s="26" t="inlineStr">
        <is>
          <t>Sunil CR</t>
        </is>
      </c>
      <c r="G32" s="26" t="inlineStr">
        <is>
          <t>Yes</t>
        </is>
      </c>
      <c r="H32" s="26" t="inlineStr">
        <is>
          <t>No</t>
        </is>
      </c>
      <c r="I32" s="26" t="inlineStr">
        <is>
          <t>Good finish</t>
        </is>
      </c>
      <c r="J32" s="26" t="inlineStr">
        <is>
          <t>Yes</t>
        </is>
      </c>
      <c r="K32" s="27" t="n"/>
      <c r="L32" s="28" t="inlineStr">
        <is>
          <t>No</t>
        </is>
      </c>
      <c r="M32" s="29">
        <f>IF(E32="","",IF(H32="Yes","❌ Disc",IF(G32="No","⚠ Missing",IF(J32="Yes","✓ OK","⚠ Check"))))</f>
        <v/>
      </c>
      <c r="N32" s="43" t="n">
        <v>46193</v>
      </c>
      <c r="O32" s="26" t="inlineStr">
        <is>
          <t>Sunil CR</t>
        </is>
      </c>
      <c r="P32" s="26" t="inlineStr">
        <is>
          <t>Yes</t>
        </is>
      </c>
      <c r="Q32" s="26" t="inlineStr">
        <is>
          <t>No</t>
        </is>
      </c>
      <c r="R32" s="26" t="inlineStr">
        <is>
          <t>Good finish</t>
        </is>
      </c>
      <c r="S32" s="26" t="inlineStr">
        <is>
          <t>Yes</t>
        </is>
      </c>
      <c r="T32" s="27" t="n"/>
      <c r="U32" s="28" t="inlineStr">
        <is>
          <t>No</t>
        </is>
      </c>
      <c r="V32" s="29">
        <f>IF(N32="","",IF(Q32="Yes","❌ Disc",IF(P32="No","⚠ Missing",IF(S32="Yes","✓ OK","⚠ Check"))))</f>
        <v/>
      </c>
      <c r="W32" s="65" t="n">
        <v>46248</v>
      </c>
      <c r="X32" s="30" t="inlineStr">
        <is>
          <t>Sunil CR</t>
        </is>
      </c>
      <c r="Y32" s="30" t="inlineStr">
        <is>
          <t>Yes</t>
        </is>
      </c>
      <c r="Z32" s="30" t="n"/>
      <c r="AA32" s="30" t="inlineStr">
        <is>
          <t>Good finish</t>
        </is>
      </c>
      <c r="AB32" s="30" t="inlineStr">
        <is>
          <t>Yes</t>
        </is>
      </c>
      <c r="AC32" s="27" t="n"/>
      <c r="AD32" s="31" t="inlineStr">
        <is>
          <t>No</t>
        </is>
      </c>
      <c r="AE32" s="32">
        <f>IF(W32="","",IF(Z32="Yes","❌ Disc",IF(Y32="No","⚠ Missing",IF(AB32="Yes","✓ OK","⚠ Check"))))</f>
        <v/>
      </c>
      <c r="AF32" s="33" t="n"/>
      <c r="AG32" s="33" t="n"/>
      <c r="AH32" s="33" t="n"/>
      <c r="AI32" s="33" t="n"/>
      <c r="AJ32" s="33" t="n"/>
      <c r="AK32" s="33" t="n"/>
      <c r="AL32" s="27" t="n"/>
      <c r="AM32" s="34" t="n"/>
      <c r="AN32" s="35">
        <f>IF(AF32="","",IF(AI32="Yes","❌ Disc",IF(AH32="No","⚠ Missing",IF(AK32="Yes","✓ OK","⚠ Check"))))</f>
        <v/>
      </c>
      <c r="AO32" s="36" t="n"/>
      <c r="AP32" s="36" t="n"/>
      <c r="AQ32" s="36" t="n"/>
      <c r="AR32" s="36" t="n"/>
      <c r="AS32" s="36" t="n"/>
      <c r="AT32" s="36" t="n"/>
      <c r="AU32" s="27" t="n"/>
      <c r="AV32" s="37" t="n"/>
      <c r="AW32" s="38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BD-LAM-2026-0015</t>
        </is>
      </c>
      <c r="C33" s="25" t="inlineStr">
        <is>
          <t>Lam GL - Origano Wood - 1822 SNT</t>
        </is>
      </c>
      <c r="D33" s="23" t="inlineStr">
        <is>
          <t>GREENLAM</t>
        </is>
      </c>
      <c r="E33" s="43" t="n">
        <v>46125</v>
      </c>
      <c r="F33" s="26" t="inlineStr">
        <is>
          <t>Sunil CR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Good finish</t>
        </is>
      </c>
      <c r="J33" s="26" t="inlineStr">
        <is>
          <t>Yes</t>
        </is>
      </c>
      <c r="K33" s="27" t="n"/>
      <c r="L33" s="28" t="inlineStr">
        <is>
          <t>No</t>
        </is>
      </c>
      <c r="M33" s="29">
        <f>IF(E33="","",IF(H33="Yes","❌ Disc",IF(G33="No","⚠ Missing",IF(J33="Yes","✓ OK","⚠ Check"))))</f>
        <v/>
      </c>
      <c r="N33" s="43" t="n">
        <v>46193</v>
      </c>
      <c r="O33" s="26" t="inlineStr">
        <is>
          <t>Sunil CR</t>
        </is>
      </c>
      <c r="P33" s="26" t="inlineStr">
        <is>
          <t>Yes</t>
        </is>
      </c>
      <c r="Q33" s="26" t="inlineStr">
        <is>
          <t>No</t>
        </is>
      </c>
      <c r="R33" s="26" t="inlineStr">
        <is>
          <t>Good finish</t>
        </is>
      </c>
      <c r="S33" s="26" t="inlineStr">
        <is>
          <t>Yes</t>
        </is>
      </c>
      <c r="T33" s="27" t="n"/>
      <c r="U33" s="28" t="inlineStr">
        <is>
          <t>No</t>
        </is>
      </c>
      <c r="V33" s="29">
        <f>IF(N33="","",IF(Q33="Yes","❌ Disc",IF(P33="No","⚠ Missing",IF(S33="Yes","✓ OK","⚠ Check"))))</f>
        <v/>
      </c>
      <c r="W33" s="65" t="n">
        <v>46248</v>
      </c>
      <c r="X33" s="30" t="inlineStr">
        <is>
          <t>Sunil CR</t>
        </is>
      </c>
      <c r="Y33" s="30" t="inlineStr">
        <is>
          <t>Yes</t>
        </is>
      </c>
      <c r="Z33" s="30" t="n"/>
      <c r="AA33" s="30" t="inlineStr">
        <is>
          <t>Good finish</t>
        </is>
      </c>
      <c r="AB33" s="30" t="inlineStr">
        <is>
          <t>Yes</t>
        </is>
      </c>
      <c r="AC33" s="27" t="n"/>
      <c r="AD33" s="31" t="inlineStr">
        <is>
          <t>No</t>
        </is>
      </c>
      <c r="AE33" s="32">
        <f>IF(W33="","",IF(Z33="Yes","❌ Disc",IF(Y33="No","⚠ Missing",IF(AB33="Yes","✓ OK","⚠ Check"))))</f>
        <v/>
      </c>
      <c r="AF33" s="33" t="n"/>
      <c r="AG33" s="33" t="n"/>
      <c r="AH33" s="33" t="n"/>
      <c r="AI33" s="33" t="n"/>
      <c r="AJ33" s="33" t="n"/>
      <c r="AK33" s="33" t="n"/>
      <c r="AL33" s="27" t="n"/>
      <c r="AM33" s="34" t="n"/>
      <c r="AN33" s="35">
        <f>IF(AF33="","",IF(AI33="Yes","❌ Disc",IF(AH33="No","⚠ Missing",IF(AK33="Yes","✓ OK","⚠ Check"))))</f>
        <v/>
      </c>
      <c r="AO33" s="36" t="n"/>
      <c r="AP33" s="36" t="n"/>
      <c r="AQ33" s="36" t="n"/>
      <c r="AR33" s="36" t="n"/>
      <c r="AS33" s="36" t="n"/>
      <c r="AT33" s="36" t="n"/>
      <c r="AU33" s="27" t="n"/>
      <c r="AV33" s="37" t="n"/>
      <c r="AW33" s="38">
        <f>IF(AO33="","",IF(AR33="Yes","❌ Disc",IF(AQ33="No","⚠ Missing",IF(AT33="Yes","✓ OK","⚠ Check"))))</f>
        <v/>
      </c>
    </row>
    <row r="34" ht="18" customHeight="1" s="46">
      <c r="A34" s="39" t="n">
        <v>30</v>
      </c>
      <c r="B34" s="40" t="inlineStr">
        <is>
          <t>BD-LAM-2026-0020</t>
        </is>
      </c>
      <c r="C34" s="41" t="inlineStr">
        <is>
          <t>Lam GL - Pale Herringbone - 1565 TWD</t>
        </is>
      </c>
      <c r="D34" s="39" t="inlineStr">
        <is>
          <t>GREENLAM</t>
        </is>
      </c>
      <c r="E34" s="43" t="n">
        <v>46125</v>
      </c>
      <c r="F34" s="26" t="inlineStr">
        <is>
          <t>Sunil CR</t>
        </is>
      </c>
      <c r="G34" s="26" t="inlineStr">
        <is>
          <t>Yes</t>
        </is>
      </c>
      <c r="H34" s="26" t="inlineStr">
        <is>
          <t>No</t>
        </is>
      </c>
      <c r="I34" s="26" t="inlineStr">
        <is>
          <t>Good finish</t>
        </is>
      </c>
      <c r="J34" s="26" t="inlineStr">
        <is>
          <t>Yes</t>
        </is>
      </c>
      <c r="K34" s="27" t="n"/>
      <c r="L34" s="28" t="inlineStr">
        <is>
          <t>No</t>
        </is>
      </c>
      <c r="M34" s="29">
        <f>IF(E34="","",IF(H34="Yes","❌ Disc",IF(G34="No","⚠ Missing",IF(J34="Yes","✓ OK","⚠ Check"))))</f>
        <v/>
      </c>
      <c r="N34" s="43" t="n">
        <v>46193</v>
      </c>
      <c r="O34" s="26" t="inlineStr">
        <is>
          <t>Sunil CR</t>
        </is>
      </c>
      <c r="P34" s="26" t="inlineStr">
        <is>
          <t>Yes</t>
        </is>
      </c>
      <c r="Q34" s="26" t="inlineStr">
        <is>
          <t>No</t>
        </is>
      </c>
      <c r="R34" s="26" t="inlineStr">
        <is>
          <t>Good finish</t>
        </is>
      </c>
      <c r="S34" s="26" t="inlineStr">
        <is>
          <t>Yes</t>
        </is>
      </c>
      <c r="T34" s="27" t="n"/>
      <c r="U34" s="28" t="inlineStr">
        <is>
          <t>No</t>
        </is>
      </c>
      <c r="V34" s="29">
        <f>IF(N34="","",IF(Q34="Yes","❌ Disc",IF(P34="No","⚠ Missing",IF(S34="Yes","✓ OK","⚠ Check"))))</f>
        <v/>
      </c>
      <c r="W34" s="65" t="n">
        <v>46248</v>
      </c>
      <c r="X34" s="30" t="inlineStr">
        <is>
          <t>Sunil CR</t>
        </is>
      </c>
      <c r="Y34" s="30" t="inlineStr">
        <is>
          <t>Yes</t>
        </is>
      </c>
      <c r="Z34" s="30" t="n"/>
      <c r="AA34" s="30" t="inlineStr">
        <is>
          <t>Good finish</t>
        </is>
      </c>
      <c r="AB34" s="30" t="inlineStr">
        <is>
          <t>Yes</t>
        </is>
      </c>
      <c r="AC34" s="27" t="n"/>
      <c r="AD34" s="31" t="inlineStr">
        <is>
          <t>No</t>
        </is>
      </c>
      <c r="AE34" s="32">
        <f>IF(W34="","",IF(Z34="Yes","❌ Disc",IF(Y34="No","⚠ Missing",IF(AB34="Yes","✓ OK","⚠ Check"))))</f>
        <v/>
      </c>
      <c r="AF34" s="33" t="n"/>
      <c r="AG34" s="33" t="n"/>
      <c r="AH34" s="33" t="n"/>
      <c r="AI34" s="33" t="n"/>
      <c r="AJ34" s="33" t="n"/>
      <c r="AK34" s="33" t="n"/>
      <c r="AL34" s="27" t="n"/>
      <c r="AM34" s="34" t="n"/>
      <c r="AN34" s="35">
        <f>IF(AF34="","",IF(AI34="Yes","❌ Disc",IF(AH34="No","⚠ Missing",IF(AK34="Yes","✓ OK","⚠ Check"))))</f>
        <v/>
      </c>
      <c r="AO34" s="36" t="n"/>
      <c r="AP34" s="36" t="n"/>
      <c r="AQ34" s="36" t="n"/>
      <c r="AR34" s="36" t="n"/>
      <c r="AS34" s="36" t="n"/>
      <c r="AT34" s="36" t="n"/>
      <c r="AU34" s="27" t="n"/>
      <c r="AV34" s="37" t="n"/>
      <c r="AW34" s="38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BD-LAM-2026-0014</t>
        </is>
      </c>
      <c r="C35" s="25" t="inlineStr">
        <is>
          <t>Lam GL - Sable Walnut - 1818 SLT</t>
        </is>
      </c>
      <c r="D35" s="23" t="inlineStr">
        <is>
          <t>GREENLAM</t>
        </is>
      </c>
      <c r="E35" s="43" t="n">
        <v>46125</v>
      </c>
      <c r="F35" s="26" t="inlineStr">
        <is>
          <t>Sunil CR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Good finish</t>
        </is>
      </c>
      <c r="J35" s="26" t="inlineStr">
        <is>
          <t>Yes</t>
        </is>
      </c>
      <c r="K35" s="27" t="n"/>
      <c r="L35" s="28" t="inlineStr">
        <is>
          <t>No</t>
        </is>
      </c>
      <c r="M35" s="29">
        <f>IF(E35="","",IF(H35="Yes","❌ Disc",IF(G35="No","⚠ Missing",IF(J35="Yes","✓ OK","⚠ Check"))))</f>
        <v/>
      </c>
      <c r="N35" s="43" t="n">
        <v>46193</v>
      </c>
      <c r="O35" s="26" t="inlineStr">
        <is>
          <t>Sunil CR</t>
        </is>
      </c>
      <c r="P35" s="26" t="inlineStr">
        <is>
          <t>Yes</t>
        </is>
      </c>
      <c r="Q35" s="26" t="inlineStr">
        <is>
          <t>No</t>
        </is>
      </c>
      <c r="R35" s="26" t="inlineStr">
        <is>
          <t>Good finish</t>
        </is>
      </c>
      <c r="S35" s="26" t="inlineStr">
        <is>
          <t>Yes</t>
        </is>
      </c>
      <c r="T35" s="27" t="n"/>
      <c r="U35" s="28" t="inlineStr">
        <is>
          <t>No</t>
        </is>
      </c>
      <c r="V35" s="29">
        <f>IF(N35="","",IF(Q35="Yes","❌ Disc",IF(P35="No","⚠ Missing",IF(S35="Yes","✓ OK","⚠ Check"))))</f>
        <v/>
      </c>
      <c r="W35" s="65" t="n">
        <v>46248</v>
      </c>
      <c r="X35" s="30" t="inlineStr">
        <is>
          <t>Sunil CR</t>
        </is>
      </c>
      <c r="Y35" s="30" t="inlineStr">
        <is>
          <t>Yes</t>
        </is>
      </c>
      <c r="Z35" s="30" t="n"/>
      <c r="AA35" s="30" t="inlineStr">
        <is>
          <t>Good finish</t>
        </is>
      </c>
      <c r="AB35" s="30" t="inlineStr">
        <is>
          <t>Yes</t>
        </is>
      </c>
      <c r="AC35" s="27" t="n"/>
      <c r="AD35" s="31" t="inlineStr">
        <is>
          <t>No</t>
        </is>
      </c>
      <c r="AE35" s="32">
        <f>IF(W35="","",IF(Z35="Yes","❌ Disc",IF(Y35="No","⚠ Missing",IF(AB35="Yes","✓ OK","⚠ Check"))))</f>
        <v/>
      </c>
      <c r="AF35" s="33" t="n"/>
      <c r="AG35" s="33" t="n"/>
      <c r="AH35" s="33" t="n"/>
      <c r="AI35" s="33" t="n"/>
      <c r="AJ35" s="33" t="n"/>
      <c r="AK35" s="33" t="n"/>
      <c r="AL35" s="27" t="n"/>
      <c r="AM35" s="34" t="n"/>
      <c r="AN35" s="35">
        <f>IF(AF35="","",IF(AI35="Yes","❌ Disc",IF(AH35="No","⚠ Missing",IF(AK35="Yes","✓ OK","⚠ Check"))))</f>
        <v/>
      </c>
      <c r="AO35" s="36" t="n"/>
      <c r="AP35" s="36" t="n"/>
      <c r="AQ35" s="36" t="n"/>
      <c r="AR35" s="36" t="n"/>
      <c r="AS35" s="36" t="n"/>
      <c r="AT35" s="36" t="n"/>
      <c r="AU35" s="27" t="n"/>
      <c r="AV35" s="37" t="n"/>
      <c r="AW35" s="38">
        <f>IF(AO35="","",IF(AR35="Yes","❌ Disc",IF(AQ35="No","⚠ Missing",IF(AT35="Yes","✓ OK","⚠ Check"))))</f>
        <v/>
      </c>
    </row>
    <row r="36" ht="18" customHeight="1" s="46">
      <c r="A36" s="39" t="n">
        <v>32</v>
      </c>
      <c r="B36" s="40" t="inlineStr">
        <is>
          <t>BD-LAM-2026-0016</t>
        </is>
      </c>
      <c r="C36" s="41" t="inlineStr">
        <is>
          <t>Lam GL - Spanish Oak - 1438 SLT</t>
        </is>
      </c>
      <c r="D36" s="39" t="inlineStr">
        <is>
          <t>GREENLAM</t>
        </is>
      </c>
      <c r="E36" s="43" t="n">
        <v>46125</v>
      </c>
      <c r="F36" s="26" t="inlineStr">
        <is>
          <t>Sunil CR</t>
        </is>
      </c>
      <c r="G36" s="26" t="inlineStr">
        <is>
          <t>Yes</t>
        </is>
      </c>
      <c r="H36" s="26" t="inlineStr">
        <is>
          <t>No</t>
        </is>
      </c>
      <c r="I36" s="26" t="inlineStr">
        <is>
          <t>Good finish</t>
        </is>
      </c>
      <c r="J36" s="26" t="inlineStr">
        <is>
          <t>Yes</t>
        </is>
      </c>
      <c r="K36" s="27" t="n"/>
      <c r="L36" s="28" t="inlineStr">
        <is>
          <t>No</t>
        </is>
      </c>
      <c r="M36" s="29">
        <f>IF(E36="","",IF(H36="Yes","❌ Disc",IF(G36="No","⚠ Missing",IF(J36="Yes","✓ OK","⚠ Check"))))</f>
        <v/>
      </c>
      <c r="N36" s="43" t="n">
        <v>46193</v>
      </c>
      <c r="O36" s="26" t="inlineStr">
        <is>
          <t>Sunil CR</t>
        </is>
      </c>
      <c r="P36" s="26" t="inlineStr">
        <is>
          <t>Yes</t>
        </is>
      </c>
      <c r="Q36" s="26" t="inlineStr">
        <is>
          <t>No</t>
        </is>
      </c>
      <c r="R36" s="26" t="inlineStr">
        <is>
          <t>Good finish</t>
        </is>
      </c>
      <c r="S36" s="26" t="inlineStr">
        <is>
          <t>Yes</t>
        </is>
      </c>
      <c r="T36" s="27" t="n"/>
      <c r="U36" s="28" t="inlineStr">
        <is>
          <t>No</t>
        </is>
      </c>
      <c r="V36" s="29">
        <f>IF(N36="","",IF(Q36="Yes","❌ Disc",IF(P36="No","⚠ Missing",IF(S36="Yes","✓ OK","⚠ Check"))))</f>
        <v/>
      </c>
      <c r="W36" s="65" t="n">
        <v>46248</v>
      </c>
      <c r="X36" s="30" t="inlineStr">
        <is>
          <t>Sunil CR</t>
        </is>
      </c>
      <c r="Y36" s="30" t="inlineStr">
        <is>
          <t>Yes</t>
        </is>
      </c>
      <c r="Z36" s="30" t="n"/>
      <c r="AA36" s="30" t="inlineStr">
        <is>
          <t>Good finish</t>
        </is>
      </c>
      <c r="AB36" s="30" t="inlineStr">
        <is>
          <t>Yes</t>
        </is>
      </c>
      <c r="AC36" s="27" t="n"/>
      <c r="AD36" s="31" t="inlineStr">
        <is>
          <t>No</t>
        </is>
      </c>
      <c r="AE36" s="32">
        <f>IF(W36="","",IF(Z36="Yes","❌ Disc",IF(Y36="No","⚠ Missing",IF(AB36="Yes","✓ OK","⚠ Check"))))</f>
        <v/>
      </c>
      <c r="AF36" s="33" t="n"/>
      <c r="AG36" s="33" t="n"/>
      <c r="AH36" s="33" t="n"/>
      <c r="AI36" s="33" t="n"/>
      <c r="AJ36" s="33" t="n"/>
      <c r="AK36" s="33" t="n"/>
      <c r="AL36" s="27" t="n"/>
      <c r="AM36" s="34" t="n"/>
      <c r="AN36" s="35">
        <f>IF(AF36="","",IF(AI36="Yes","❌ Disc",IF(AH36="No","⚠ Missing",IF(AK36="Yes","✓ OK","⚠ Check"))))</f>
        <v/>
      </c>
      <c r="AO36" s="36" t="n"/>
      <c r="AP36" s="36" t="n"/>
      <c r="AQ36" s="36" t="n"/>
      <c r="AR36" s="36" t="n"/>
      <c r="AS36" s="36" t="n"/>
      <c r="AT36" s="36" t="n"/>
      <c r="AU36" s="27" t="n"/>
      <c r="AV36" s="37" t="n"/>
      <c r="AW36" s="38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BD-LAM-2026-0023</t>
        </is>
      </c>
      <c r="C37" s="25" t="inlineStr">
        <is>
          <t>Lam GL - Tanara Marble - 1584 CLB</t>
        </is>
      </c>
      <c r="D37" s="23" t="inlineStr">
        <is>
          <t>GREENLAM</t>
        </is>
      </c>
      <c r="E37" s="43" t="n">
        <v>46125</v>
      </c>
      <c r="F37" s="26" t="inlineStr">
        <is>
          <t>Sunil CR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Good finish</t>
        </is>
      </c>
      <c r="J37" s="26" t="inlineStr">
        <is>
          <t>Yes</t>
        </is>
      </c>
      <c r="K37" s="27" t="n"/>
      <c r="L37" s="28" t="inlineStr">
        <is>
          <t>No</t>
        </is>
      </c>
      <c r="M37" s="29">
        <f>IF(E37="","",IF(H37="Yes","❌ Disc",IF(G37="No","⚠ Missing",IF(J37="Yes","✓ OK","⚠ Check"))))</f>
        <v/>
      </c>
      <c r="N37" s="43" t="n">
        <v>46193</v>
      </c>
      <c r="O37" s="26" t="inlineStr">
        <is>
          <t>Sunil CR</t>
        </is>
      </c>
      <c r="P37" s="26" t="inlineStr">
        <is>
          <t>Yes</t>
        </is>
      </c>
      <c r="Q37" s="26" t="inlineStr">
        <is>
          <t>No</t>
        </is>
      </c>
      <c r="R37" s="26" t="inlineStr">
        <is>
          <t>Good finish</t>
        </is>
      </c>
      <c r="S37" s="26" t="inlineStr">
        <is>
          <t>Yes</t>
        </is>
      </c>
      <c r="T37" s="27" t="n"/>
      <c r="U37" s="28" t="inlineStr">
        <is>
          <t>No</t>
        </is>
      </c>
      <c r="V37" s="29">
        <f>IF(N37="","",IF(Q37="Yes","❌ Disc",IF(P37="No","⚠ Missing",IF(S37="Yes","✓ OK","⚠ Check"))))</f>
        <v/>
      </c>
      <c r="W37" s="65" t="n">
        <v>46248</v>
      </c>
      <c r="X37" s="30" t="inlineStr">
        <is>
          <t>Sunil CR</t>
        </is>
      </c>
      <c r="Y37" s="30" t="inlineStr">
        <is>
          <t>Yes</t>
        </is>
      </c>
      <c r="Z37" s="30" t="n"/>
      <c r="AA37" s="30" t="inlineStr">
        <is>
          <t>Good finish</t>
        </is>
      </c>
      <c r="AB37" s="30" t="inlineStr">
        <is>
          <t>Yes</t>
        </is>
      </c>
      <c r="AC37" s="27" t="n"/>
      <c r="AD37" s="31" t="inlineStr">
        <is>
          <t>No</t>
        </is>
      </c>
      <c r="AE37" s="32">
        <f>IF(W37="","",IF(Z37="Yes","❌ Disc",IF(Y37="No","⚠ Missing",IF(AB37="Yes","✓ OK","⚠ Check"))))</f>
        <v/>
      </c>
      <c r="AF37" s="33" t="n"/>
      <c r="AG37" s="33" t="n"/>
      <c r="AH37" s="33" t="n"/>
      <c r="AI37" s="33" t="n"/>
      <c r="AJ37" s="33" t="n"/>
      <c r="AK37" s="33" t="n"/>
      <c r="AL37" s="27" t="n"/>
      <c r="AM37" s="34" t="n"/>
      <c r="AN37" s="35">
        <f>IF(AF37="","",IF(AI37="Yes","❌ Disc",IF(AH37="No","⚠ Missing",IF(AK37="Yes","✓ OK","⚠ Check"))))</f>
        <v/>
      </c>
      <c r="AO37" s="36" t="n"/>
      <c r="AP37" s="36" t="n"/>
      <c r="AQ37" s="36" t="n"/>
      <c r="AR37" s="36" t="n"/>
      <c r="AS37" s="36" t="n"/>
      <c r="AT37" s="36" t="n"/>
      <c r="AU37" s="27" t="n"/>
      <c r="AV37" s="37" t="n"/>
      <c r="AW37" s="38">
        <f>IF(AO37="","",IF(AR37="Yes","❌ Disc",IF(AQ37="No","⚠ Missing",IF(AT37="Yes","✓ OK","⚠ Check"))))</f>
        <v/>
      </c>
    </row>
    <row r="38" ht="18" customHeight="1" s="46">
      <c r="A38" s="39" t="n">
        <v>34</v>
      </c>
      <c r="B38" s="40" t="inlineStr">
        <is>
          <t>BD-LAM-2026-0021</t>
        </is>
      </c>
      <c r="C38" s="41" t="inlineStr">
        <is>
          <t>Lam GL - Tanara Marble - 1584 KRS</t>
        </is>
      </c>
      <c r="D38" s="39" t="inlineStr">
        <is>
          <t>GREENLAM</t>
        </is>
      </c>
      <c r="E38" s="43" t="n">
        <v>46125</v>
      </c>
      <c r="F38" s="26" t="inlineStr">
        <is>
          <t>Sunil CR</t>
        </is>
      </c>
      <c r="G38" s="26" t="inlineStr">
        <is>
          <t>Yes</t>
        </is>
      </c>
      <c r="H38" s="26" t="inlineStr">
        <is>
          <t>No</t>
        </is>
      </c>
      <c r="I38" s="26" t="inlineStr">
        <is>
          <t>Good finish</t>
        </is>
      </c>
      <c r="J38" s="26" t="inlineStr">
        <is>
          <t>Yes</t>
        </is>
      </c>
      <c r="K38" s="27" t="n"/>
      <c r="L38" s="28" t="inlineStr">
        <is>
          <t>No</t>
        </is>
      </c>
      <c r="M38" s="29">
        <f>IF(E38="","",IF(H38="Yes","❌ Disc",IF(G38="No","⚠ Missing",IF(J38="Yes","✓ OK","⚠ Check"))))</f>
        <v/>
      </c>
      <c r="N38" s="43" t="n">
        <v>46193</v>
      </c>
      <c r="O38" s="26" t="inlineStr">
        <is>
          <t>Sunil CR</t>
        </is>
      </c>
      <c r="P38" s="26" t="inlineStr">
        <is>
          <t>Yes</t>
        </is>
      </c>
      <c r="Q38" s="26" t="inlineStr">
        <is>
          <t>No</t>
        </is>
      </c>
      <c r="R38" s="26" t="inlineStr">
        <is>
          <t>Good finish</t>
        </is>
      </c>
      <c r="S38" s="26" t="inlineStr">
        <is>
          <t>Yes</t>
        </is>
      </c>
      <c r="T38" s="27" t="n"/>
      <c r="U38" s="28" t="inlineStr">
        <is>
          <t>No</t>
        </is>
      </c>
      <c r="V38" s="29">
        <f>IF(N38="","",IF(Q38="Yes","❌ Disc",IF(P38="No","⚠ Missing",IF(S38="Yes","✓ OK","⚠ Check"))))</f>
        <v/>
      </c>
      <c r="W38" s="65" t="n">
        <v>46248</v>
      </c>
      <c r="X38" s="30" t="inlineStr">
        <is>
          <t>Sunil CR</t>
        </is>
      </c>
      <c r="Y38" s="30" t="inlineStr">
        <is>
          <t>Yes</t>
        </is>
      </c>
      <c r="Z38" s="30" t="n"/>
      <c r="AA38" s="30" t="inlineStr">
        <is>
          <t>Good finish</t>
        </is>
      </c>
      <c r="AB38" s="30" t="inlineStr">
        <is>
          <t>Yes</t>
        </is>
      </c>
      <c r="AC38" s="27" t="n"/>
      <c r="AD38" s="31" t="inlineStr">
        <is>
          <t>No</t>
        </is>
      </c>
      <c r="AE38" s="32">
        <f>IF(W38="","",IF(Z38="Yes","❌ Disc",IF(Y38="No","⚠ Missing",IF(AB38="Yes","✓ OK","⚠ Check"))))</f>
        <v/>
      </c>
      <c r="AF38" s="33" t="n"/>
      <c r="AG38" s="33" t="n"/>
      <c r="AH38" s="33" t="n"/>
      <c r="AI38" s="33" t="n"/>
      <c r="AJ38" s="33" t="n"/>
      <c r="AK38" s="33" t="n"/>
      <c r="AL38" s="27" t="n"/>
      <c r="AM38" s="34" t="n"/>
      <c r="AN38" s="35">
        <f>IF(AF38="","",IF(AI38="Yes","❌ Disc",IF(AH38="No","⚠ Missing",IF(AK38="Yes","✓ OK","⚠ Check"))))</f>
        <v/>
      </c>
      <c r="AO38" s="36" t="n"/>
      <c r="AP38" s="36" t="n"/>
      <c r="AQ38" s="36" t="n"/>
      <c r="AR38" s="36" t="n"/>
      <c r="AS38" s="36" t="n"/>
      <c r="AT38" s="36" t="n"/>
      <c r="AU38" s="27" t="n"/>
      <c r="AV38" s="37" t="n"/>
      <c r="AW38" s="38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Lam GL 248 SUD</t>
        </is>
      </c>
      <c r="C39" s="25" t="inlineStr">
        <is>
          <t>Leaf Green(Gold)</t>
        </is>
      </c>
      <c r="D39" s="23" t="inlineStr">
        <is>
          <t>GREENLAM</t>
        </is>
      </c>
      <c r="E39" s="43" t="n">
        <v>46125</v>
      </c>
      <c r="F39" s="26" t="inlineStr">
        <is>
          <t>Sunil CR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Good finish</t>
        </is>
      </c>
      <c r="J39" s="26" t="inlineStr">
        <is>
          <t>Yes</t>
        </is>
      </c>
      <c r="K39" s="27" t="n"/>
      <c r="L39" s="28" t="inlineStr">
        <is>
          <t>No</t>
        </is>
      </c>
      <c r="M39" s="29">
        <f>IF(E39="","",IF(H39="Yes","❌ Disc",IF(G39="No","⚠ Missing",IF(J39="Yes","✓ OK","⚠ Check"))))</f>
        <v/>
      </c>
      <c r="N39" s="43" t="n">
        <v>46193</v>
      </c>
      <c r="O39" s="26" t="inlineStr">
        <is>
          <t>Sunil CR</t>
        </is>
      </c>
      <c r="P39" s="26" t="inlineStr">
        <is>
          <t>Yes</t>
        </is>
      </c>
      <c r="Q39" s="26" t="inlineStr">
        <is>
          <t>No</t>
        </is>
      </c>
      <c r="R39" s="26" t="inlineStr">
        <is>
          <t>Good finish</t>
        </is>
      </c>
      <c r="S39" s="26" t="inlineStr">
        <is>
          <t>Yes</t>
        </is>
      </c>
      <c r="T39" s="27" t="n"/>
      <c r="U39" s="28" t="inlineStr">
        <is>
          <t>No</t>
        </is>
      </c>
      <c r="V39" s="29">
        <f>IF(N39="","",IF(Q39="Yes","❌ Disc",IF(P39="No","⚠ Missing",IF(S39="Yes","✓ OK","⚠ Check"))))</f>
        <v/>
      </c>
      <c r="W39" s="65" t="n">
        <v>46248</v>
      </c>
      <c r="X39" s="30" t="inlineStr">
        <is>
          <t>Sunil CR</t>
        </is>
      </c>
      <c r="Y39" s="30" t="inlineStr">
        <is>
          <t>Yes</t>
        </is>
      </c>
      <c r="Z39" s="30" t="n"/>
      <c r="AA39" s="30" t="inlineStr">
        <is>
          <t>Good finish</t>
        </is>
      </c>
      <c r="AB39" s="30" t="inlineStr">
        <is>
          <t>Yes</t>
        </is>
      </c>
      <c r="AC39" s="27" t="n"/>
      <c r="AD39" s="31" t="inlineStr">
        <is>
          <t>No</t>
        </is>
      </c>
      <c r="AE39" s="32">
        <f>IF(W39="","",IF(Z39="Yes","❌ Disc",IF(Y39="No","⚠ Missing",IF(AB39="Yes","✓ OK","⚠ Check"))))</f>
        <v/>
      </c>
      <c r="AF39" s="33" t="n"/>
      <c r="AG39" s="33" t="n"/>
      <c r="AH39" s="33" t="n"/>
      <c r="AI39" s="33" t="n"/>
      <c r="AJ39" s="33" t="n"/>
      <c r="AK39" s="33" t="n"/>
      <c r="AL39" s="27" t="n"/>
      <c r="AM39" s="34" t="n"/>
      <c r="AN39" s="35">
        <f>IF(AF39="","",IF(AI39="Yes","❌ Disc",IF(AH39="No","⚠ Missing",IF(AK39="Yes","✓ OK","⚠ Check"))))</f>
        <v/>
      </c>
      <c r="AO39" s="36" t="n"/>
      <c r="AP39" s="36" t="n"/>
      <c r="AQ39" s="36" t="n"/>
      <c r="AR39" s="36" t="n"/>
      <c r="AS39" s="36" t="n"/>
      <c r="AT39" s="36" t="n"/>
      <c r="AU39" s="27" t="n"/>
      <c r="AV39" s="37" t="n"/>
      <c r="AW39" s="38">
        <f>IF(AO39="","",IF(AR39="Yes","❌ Disc",IF(AQ39="No","⚠ Missing",IF(AT39="Yes","✓ OK","⚠ Check"))))</f>
        <v/>
      </c>
    </row>
    <row r="40" ht="18" customHeight="1" s="46">
      <c r="A40" s="39" t="n">
        <v>36</v>
      </c>
      <c r="B40" s="40" t="inlineStr">
        <is>
          <t>Lam GL 165 SUD</t>
        </is>
      </c>
      <c r="C40" s="41" t="inlineStr">
        <is>
          <t>Light Red(Gold)</t>
        </is>
      </c>
      <c r="D40" s="39" t="inlineStr">
        <is>
          <t>GREENLAM</t>
        </is>
      </c>
      <c r="E40" s="43" t="n">
        <v>46125</v>
      </c>
      <c r="F40" s="26" t="inlineStr">
        <is>
          <t>Sunil CR</t>
        </is>
      </c>
      <c r="G40" s="26" t="inlineStr">
        <is>
          <t>Yes</t>
        </is>
      </c>
      <c r="H40" s="26" t="inlineStr">
        <is>
          <t>No</t>
        </is>
      </c>
      <c r="I40" s="26" t="inlineStr">
        <is>
          <t>Good finish</t>
        </is>
      </c>
      <c r="J40" s="26" t="inlineStr">
        <is>
          <t>Yes</t>
        </is>
      </c>
      <c r="K40" s="27" t="n"/>
      <c r="L40" s="28" t="inlineStr">
        <is>
          <t>No</t>
        </is>
      </c>
      <c r="M40" s="29">
        <f>IF(E40="","",IF(H40="Yes","❌ Disc",IF(G40="No","⚠ Missing",IF(J40="Yes","✓ OK","⚠ Check"))))</f>
        <v/>
      </c>
      <c r="N40" s="43" t="n">
        <v>46193</v>
      </c>
      <c r="O40" s="26" t="inlineStr">
        <is>
          <t>Sunil CR</t>
        </is>
      </c>
      <c r="P40" s="26" t="inlineStr">
        <is>
          <t>Yes</t>
        </is>
      </c>
      <c r="Q40" s="26" t="inlineStr">
        <is>
          <t>No</t>
        </is>
      </c>
      <c r="R40" s="26" t="inlineStr">
        <is>
          <t>Good finish</t>
        </is>
      </c>
      <c r="S40" s="26" t="inlineStr">
        <is>
          <t>Yes</t>
        </is>
      </c>
      <c r="T40" s="27" t="n"/>
      <c r="U40" s="28" t="inlineStr">
        <is>
          <t>No</t>
        </is>
      </c>
      <c r="V40" s="29">
        <f>IF(N40="","",IF(Q40="Yes","❌ Disc",IF(P40="No","⚠ Missing",IF(S40="Yes","✓ OK","⚠ Check"))))</f>
        <v/>
      </c>
      <c r="W40" s="65" t="n">
        <v>46248</v>
      </c>
      <c r="X40" s="30" t="inlineStr">
        <is>
          <t>Sunil CR</t>
        </is>
      </c>
      <c r="Y40" s="30" t="inlineStr">
        <is>
          <t>Yes</t>
        </is>
      </c>
      <c r="Z40" s="30" t="n"/>
      <c r="AA40" s="30" t="inlineStr">
        <is>
          <t>Good finish</t>
        </is>
      </c>
      <c r="AB40" s="30" t="inlineStr">
        <is>
          <t>Yes</t>
        </is>
      </c>
      <c r="AC40" s="27" t="n"/>
      <c r="AD40" s="31" t="inlineStr">
        <is>
          <t>No</t>
        </is>
      </c>
      <c r="AE40" s="32">
        <f>IF(W40="","",IF(Z40="Yes","❌ Disc",IF(Y40="No","⚠ Missing",IF(AB40="Yes","✓ OK","⚠ Check"))))</f>
        <v/>
      </c>
      <c r="AF40" s="33" t="n"/>
      <c r="AG40" s="33" t="n"/>
      <c r="AH40" s="33" t="n"/>
      <c r="AI40" s="33" t="n"/>
      <c r="AJ40" s="33" t="n"/>
      <c r="AK40" s="33" t="n"/>
      <c r="AL40" s="27" t="n"/>
      <c r="AM40" s="34" t="n"/>
      <c r="AN40" s="35">
        <f>IF(AF40="","",IF(AI40="Yes","❌ Disc",IF(AH40="No","⚠ Missing",IF(AK40="Yes","✓ OK","⚠ Check"))))</f>
        <v/>
      </c>
      <c r="AO40" s="36" t="n"/>
      <c r="AP40" s="36" t="n"/>
      <c r="AQ40" s="36" t="n"/>
      <c r="AR40" s="36" t="n"/>
      <c r="AS40" s="36" t="n"/>
      <c r="AT40" s="36" t="n"/>
      <c r="AU40" s="27" t="n"/>
      <c r="AV40" s="37" t="n"/>
      <c r="AW40" s="38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Lam GL 124 SGL</t>
        </is>
      </c>
      <c r="C41" s="25" t="inlineStr">
        <is>
          <t>Mysore Ivory(Platinum)</t>
        </is>
      </c>
      <c r="D41" s="23" t="inlineStr">
        <is>
          <t>GREENLAM</t>
        </is>
      </c>
      <c r="E41" s="43" t="n">
        <v>46125</v>
      </c>
      <c r="F41" s="26" t="inlineStr">
        <is>
          <t>Sunil CR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Good finish</t>
        </is>
      </c>
      <c r="J41" s="26" t="inlineStr">
        <is>
          <t>Yes</t>
        </is>
      </c>
      <c r="K41" s="27" t="n"/>
      <c r="L41" s="28" t="inlineStr">
        <is>
          <t>No</t>
        </is>
      </c>
      <c r="M41" s="29">
        <f>IF(E41="","",IF(H41="Yes","❌ Disc",IF(G41="No","⚠ Missing",IF(J41="Yes","✓ OK","⚠ Check"))))</f>
        <v/>
      </c>
      <c r="N41" s="43" t="n">
        <v>46193</v>
      </c>
      <c r="O41" s="26" t="inlineStr">
        <is>
          <t>Sunil CR</t>
        </is>
      </c>
      <c r="P41" s="26" t="inlineStr">
        <is>
          <t>Yes</t>
        </is>
      </c>
      <c r="Q41" s="26" t="inlineStr">
        <is>
          <t>No</t>
        </is>
      </c>
      <c r="R41" s="26" t="inlineStr">
        <is>
          <t>Good finish</t>
        </is>
      </c>
      <c r="S41" s="26" t="inlineStr">
        <is>
          <t>Yes</t>
        </is>
      </c>
      <c r="T41" s="27" t="n"/>
      <c r="U41" s="28" t="inlineStr">
        <is>
          <t>No</t>
        </is>
      </c>
      <c r="V41" s="29">
        <f>IF(N41="","",IF(Q41="Yes","❌ Disc",IF(P41="No","⚠ Missing",IF(S41="Yes","✓ OK","⚠ Check"))))</f>
        <v/>
      </c>
      <c r="W41" s="65" t="n">
        <v>46248</v>
      </c>
      <c r="X41" s="30" t="inlineStr">
        <is>
          <t>Sunil CR</t>
        </is>
      </c>
      <c r="Y41" s="30" t="inlineStr">
        <is>
          <t>Yes</t>
        </is>
      </c>
      <c r="Z41" s="30" t="n"/>
      <c r="AA41" s="30" t="inlineStr">
        <is>
          <t>Good finish</t>
        </is>
      </c>
      <c r="AB41" s="30" t="inlineStr">
        <is>
          <t>Yes</t>
        </is>
      </c>
      <c r="AC41" s="27" t="n"/>
      <c r="AD41" s="31" t="inlineStr">
        <is>
          <t>No</t>
        </is>
      </c>
      <c r="AE41" s="32">
        <f>IF(W41="","",IF(Z41="Yes","❌ Disc",IF(Y41="No","⚠ Missing",IF(AB41="Yes","✓ OK","⚠ Check"))))</f>
        <v/>
      </c>
      <c r="AF41" s="33" t="n"/>
      <c r="AG41" s="33" t="n"/>
      <c r="AH41" s="33" t="n"/>
      <c r="AI41" s="33" t="n"/>
      <c r="AJ41" s="33" t="n"/>
      <c r="AK41" s="33" t="n"/>
      <c r="AL41" s="27" t="n"/>
      <c r="AM41" s="34" t="n"/>
      <c r="AN41" s="35">
        <f>IF(AF41="","",IF(AI41="Yes","❌ Disc",IF(AH41="No","⚠ Missing",IF(AK41="Yes","✓ OK","⚠ Check"))))</f>
        <v/>
      </c>
      <c r="AO41" s="36" t="n"/>
      <c r="AP41" s="36" t="n"/>
      <c r="AQ41" s="36" t="n"/>
      <c r="AR41" s="36" t="n"/>
      <c r="AS41" s="36" t="n"/>
      <c r="AT41" s="36" t="n"/>
      <c r="AU41" s="27" t="n"/>
      <c r="AV41" s="37" t="n"/>
      <c r="AW41" s="38">
        <f>IF(AO41="","",IF(AR41="Yes","❌ Disc",IF(AQ41="No","⚠ Missing",IF(AT41="Yes","✓ OK","⚠ Check"))))</f>
        <v/>
      </c>
    </row>
    <row r="42" ht="18" customHeight="1" s="46">
      <c r="A42" s="39" t="n">
        <v>38</v>
      </c>
      <c r="B42" s="40" t="inlineStr">
        <is>
          <t>Lam GL 169 SUD</t>
        </is>
      </c>
      <c r="C42" s="41" t="inlineStr">
        <is>
          <t>Rose Pink(Gold)</t>
        </is>
      </c>
      <c r="D42" s="39" t="inlineStr">
        <is>
          <t>GREENLAM</t>
        </is>
      </c>
      <c r="E42" s="43" t="n">
        <v>46125</v>
      </c>
      <c r="F42" s="26" t="inlineStr">
        <is>
          <t>Sunil CR</t>
        </is>
      </c>
      <c r="G42" s="26" t="inlineStr">
        <is>
          <t>Yes</t>
        </is>
      </c>
      <c r="H42" s="26" t="inlineStr">
        <is>
          <t>No</t>
        </is>
      </c>
      <c r="I42" s="26" t="inlineStr">
        <is>
          <t>Good finish</t>
        </is>
      </c>
      <c r="J42" s="26" t="inlineStr">
        <is>
          <t>Yes</t>
        </is>
      </c>
      <c r="K42" s="27" t="n"/>
      <c r="L42" s="28" t="inlineStr">
        <is>
          <t>No</t>
        </is>
      </c>
      <c r="M42" s="29">
        <f>IF(E42="","",IF(H42="Yes","❌ Disc",IF(G42="No","⚠ Missing",IF(J42="Yes","✓ OK","⚠ Check"))))</f>
        <v/>
      </c>
      <c r="N42" s="43" t="n">
        <v>46193</v>
      </c>
      <c r="O42" s="26" t="inlineStr">
        <is>
          <t>Sunil CR</t>
        </is>
      </c>
      <c r="P42" s="26" t="inlineStr">
        <is>
          <t>Yes</t>
        </is>
      </c>
      <c r="Q42" s="26" t="inlineStr">
        <is>
          <t>No</t>
        </is>
      </c>
      <c r="R42" s="26" t="inlineStr">
        <is>
          <t>Good finish</t>
        </is>
      </c>
      <c r="S42" s="26" t="inlineStr">
        <is>
          <t>Yes</t>
        </is>
      </c>
      <c r="T42" s="27" t="n"/>
      <c r="U42" s="28" t="inlineStr">
        <is>
          <t>No</t>
        </is>
      </c>
      <c r="V42" s="29">
        <f>IF(N42="","",IF(Q42="Yes","❌ Disc",IF(P42="No","⚠ Missing",IF(S42="Yes","✓ OK","⚠ Check"))))</f>
        <v/>
      </c>
      <c r="W42" s="65" t="n">
        <v>46248</v>
      </c>
      <c r="X42" s="30" t="inlineStr">
        <is>
          <t>Sunil CR</t>
        </is>
      </c>
      <c r="Y42" s="30" t="inlineStr">
        <is>
          <t>Yes</t>
        </is>
      </c>
      <c r="Z42" s="30" t="n"/>
      <c r="AA42" s="30" t="inlineStr">
        <is>
          <t>Good finish</t>
        </is>
      </c>
      <c r="AB42" s="30" t="inlineStr">
        <is>
          <t>Yes</t>
        </is>
      </c>
      <c r="AC42" s="27" t="n"/>
      <c r="AD42" s="31" t="inlineStr">
        <is>
          <t>No</t>
        </is>
      </c>
      <c r="AE42" s="32">
        <f>IF(W42="","",IF(Z42="Yes","❌ Disc",IF(Y42="No","⚠ Missing",IF(AB42="Yes","✓ OK","⚠ Check"))))</f>
        <v/>
      </c>
      <c r="AF42" s="33" t="n"/>
      <c r="AG42" s="33" t="n"/>
      <c r="AH42" s="33" t="n"/>
      <c r="AI42" s="33" t="n"/>
      <c r="AJ42" s="33" t="n"/>
      <c r="AK42" s="33" t="n"/>
      <c r="AL42" s="27" t="n"/>
      <c r="AM42" s="34" t="n"/>
      <c r="AN42" s="35">
        <f>IF(AF42="","",IF(AI42="Yes","❌ Disc",IF(AH42="No","⚠ Missing",IF(AK42="Yes","✓ OK","⚠ Check"))))</f>
        <v/>
      </c>
      <c r="AO42" s="36" t="n"/>
      <c r="AP42" s="36" t="n"/>
      <c r="AQ42" s="36" t="n"/>
      <c r="AR42" s="36" t="n"/>
      <c r="AS42" s="36" t="n"/>
      <c r="AT42" s="36" t="n"/>
      <c r="AU42" s="27" t="n"/>
      <c r="AV42" s="37" t="n"/>
      <c r="AW42" s="38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Lam GL 931 SGL</t>
        </is>
      </c>
      <c r="C43" s="25" t="inlineStr">
        <is>
          <t>Shimmer(Platinum)</t>
        </is>
      </c>
      <c r="D43" s="23" t="inlineStr">
        <is>
          <t>GREENLAM</t>
        </is>
      </c>
      <c r="E43" s="43" t="n">
        <v>46125</v>
      </c>
      <c r="F43" s="26" t="inlineStr">
        <is>
          <t>Sunil CR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Good finish</t>
        </is>
      </c>
      <c r="J43" s="26" t="inlineStr">
        <is>
          <t>Yes</t>
        </is>
      </c>
      <c r="K43" s="27" t="n"/>
      <c r="L43" s="28" t="inlineStr">
        <is>
          <t>No</t>
        </is>
      </c>
      <c r="M43" s="29">
        <f>IF(E43="","",IF(H43="Yes","❌ Disc",IF(G43="No","⚠ Missing",IF(J43="Yes","✓ OK","⚠ Check"))))</f>
        <v/>
      </c>
      <c r="N43" s="43" t="n">
        <v>46193</v>
      </c>
      <c r="O43" s="26" t="inlineStr">
        <is>
          <t>Sunil CR</t>
        </is>
      </c>
      <c r="P43" s="26" t="inlineStr">
        <is>
          <t>Yes</t>
        </is>
      </c>
      <c r="Q43" s="26" t="inlineStr">
        <is>
          <t>No</t>
        </is>
      </c>
      <c r="R43" s="26" t="inlineStr">
        <is>
          <t>Good finish</t>
        </is>
      </c>
      <c r="S43" s="26" t="inlineStr">
        <is>
          <t>Yes</t>
        </is>
      </c>
      <c r="T43" s="27" t="n"/>
      <c r="U43" s="28" t="inlineStr">
        <is>
          <t>No</t>
        </is>
      </c>
      <c r="V43" s="29">
        <f>IF(N43="","",IF(Q43="Yes","❌ Disc",IF(P43="No","⚠ Missing",IF(S43="Yes","✓ OK","⚠ Check"))))</f>
        <v/>
      </c>
      <c r="W43" s="65" t="n">
        <v>46248</v>
      </c>
      <c r="X43" s="30" t="inlineStr">
        <is>
          <t>Sunil CR</t>
        </is>
      </c>
      <c r="Y43" s="30" t="inlineStr">
        <is>
          <t>Yes</t>
        </is>
      </c>
      <c r="Z43" s="30" t="n"/>
      <c r="AA43" s="30" t="inlineStr">
        <is>
          <t>Good finish</t>
        </is>
      </c>
      <c r="AB43" s="30" t="inlineStr">
        <is>
          <t>Yes</t>
        </is>
      </c>
      <c r="AC43" s="27" t="n"/>
      <c r="AD43" s="31" t="inlineStr">
        <is>
          <t>No</t>
        </is>
      </c>
      <c r="AE43" s="32">
        <f>IF(W43="","",IF(Z43="Yes","❌ Disc",IF(Y43="No","⚠ Missing",IF(AB43="Yes","✓ OK","⚠ Check"))))</f>
        <v/>
      </c>
      <c r="AF43" s="33" t="n"/>
      <c r="AG43" s="33" t="n"/>
      <c r="AH43" s="33" t="n"/>
      <c r="AI43" s="33" t="n"/>
      <c r="AJ43" s="33" t="n"/>
      <c r="AK43" s="33" t="n"/>
      <c r="AL43" s="27" t="n"/>
      <c r="AM43" s="34" t="n"/>
      <c r="AN43" s="35">
        <f>IF(AF43="","",IF(AI43="Yes","❌ Disc",IF(AH43="No","⚠ Missing",IF(AK43="Yes","✓ OK","⚠ Check"))))</f>
        <v/>
      </c>
      <c r="AO43" s="36" t="n"/>
      <c r="AP43" s="36" t="n"/>
      <c r="AQ43" s="36" t="n"/>
      <c r="AR43" s="36" t="n"/>
      <c r="AS43" s="36" t="n"/>
      <c r="AT43" s="36" t="n"/>
      <c r="AU43" s="27" t="n"/>
      <c r="AV43" s="37" t="n"/>
      <c r="AW43" s="38">
        <f>IF(AO43="","",IF(AR43="Yes","❌ Disc",IF(AQ43="No","⚠ Missing",IF(AT43="Yes","✓ OK","⚠ Check"))))</f>
        <v/>
      </c>
    </row>
    <row r="44" ht="18" customHeight="1" s="46">
      <c r="A44" s="39" t="n">
        <v>40</v>
      </c>
      <c r="B44" s="40" t="inlineStr">
        <is>
          <t>Lam GL 5431 SUD</t>
        </is>
      </c>
      <c r="C44" s="41" t="inlineStr">
        <is>
          <t>Sweet Almond(Gold)</t>
        </is>
      </c>
      <c r="D44" s="39" t="inlineStr">
        <is>
          <t>GREENLAM</t>
        </is>
      </c>
      <c r="E44" s="43" t="n">
        <v>46125</v>
      </c>
      <c r="F44" s="26" t="inlineStr">
        <is>
          <t>Sunil CR</t>
        </is>
      </c>
      <c r="G44" s="26" t="inlineStr">
        <is>
          <t>Yes</t>
        </is>
      </c>
      <c r="H44" s="26" t="inlineStr">
        <is>
          <t>No</t>
        </is>
      </c>
      <c r="I44" s="26" t="inlineStr">
        <is>
          <t>Good finish</t>
        </is>
      </c>
      <c r="J44" s="26" t="inlineStr">
        <is>
          <t>Yes</t>
        </is>
      </c>
      <c r="K44" s="27" t="n"/>
      <c r="L44" s="28" t="inlineStr">
        <is>
          <t>No</t>
        </is>
      </c>
      <c r="M44" s="29">
        <f>IF(E44="","",IF(H44="Yes","❌ Disc",IF(G44="No","⚠ Missing",IF(J44="Yes","✓ OK","⚠ Check"))))</f>
        <v/>
      </c>
      <c r="N44" s="43" t="n">
        <v>46193</v>
      </c>
      <c r="O44" s="26" t="inlineStr">
        <is>
          <t>Sunil CR</t>
        </is>
      </c>
      <c r="P44" s="26" t="inlineStr">
        <is>
          <t>Yes</t>
        </is>
      </c>
      <c r="Q44" s="26" t="inlineStr">
        <is>
          <t>No</t>
        </is>
      </c>
      <c r="R44" s="26" t="inlineStr">
        <is>
          <t>Good finish</t>
        </is>
      </c>
      <c r="S44" s="26" t="inlineStr">
        <is>
          <t>Yes</t>
        </is>
      </c>
      <c r="T44" s="27" t="n"/>
      <c r="U44" s="28" t="inlineStr">
        <is>
          <t>No</t>
        </is>
      </c>
      <c r="V44" s="29">
        <f>IF(N44="","",IF(Q44="Yes","❌ Disc",IF(P44="No","⚠ Missing",IF(S44="Yes","✓ OK","⚠ Check"))))</f>
        <v/>
      </c>
      <c r="W44" s="65" t="n">
        <v>46248</v>
      </c>
      <c r="X44" s="30" t="inlineStr">
        <is>
          <t>Sunil CR</t>
        </is>
      </c>
      <c r="Y44" s="30" t="inlineStr">
        <is>
          <t>Yes</t>
        </is>
      </c>
      <c r="Z44" s="30" t="n"/>
      <c r="AA44" s="30" t="inlineStr">
        <is>
          <t>Good finish</t>
        </is>
      </c>
      <c r="AB44" s="30" t="inlineStr">
        <is>
          <t>Yes</t>
        </is>
      </c>
      <c r="AC44" s="27" t="n"/>
      <c r="AD44" s="31" t="inlineStr">
        <is>
          <t>No</t>
        </is>
      </c>
      <c r="AE44" s="32">
        <f>IF(W44="","",IF(Z44="Yes","❌ Disc",IF(Y44="No","⚠ Missing",IF(AB44="Yes","✓ OK","⚠ Check"))))</f>
        <v/>
      </c>
      <c r="AF44" s="33" t="n"/>
      <c r="AG44" s="33" t="n"/>
      <c r="AH44" s="33" t="n"/>
      <c r="AI44" s="33" t="n"/>
      <c r="AJ44" s="33" t="n"/>
      <c r="AK44" s="33" t="n"/>
      <c r="AL44" s="27" t="n"/>
      <c r="AM44" s="34" t="n"/>
      <c r="AN44" s="35">
        <f>IF(AF44="","",IF(AI44="Yes","❌ Disc",IF(AH44="No","⚠ Missing",IF(AK44="Yes","✓ OK","⚠ Check"))))</f>
        <v/>
      </c>
      <c r="AO44" s="36" t="n"/>
      <c r="AP44" s="36" t="n"/>
      <c r="AQ44" s="36" t="n"/>
      <c r="AR44" s="36" t="n"/>
      <c r="AS44" s="36" t="n"/>
      <c r="AT44" s="36" t="n"/>
      <c r="AU44" s="27" t="n"/>
      <c r="AV44" s="37" t="n"/>
      <c r="AW44" s="38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Lam GL 5006 SUD</t>
        </is>
      </c>
      <c r="C45" s="25" t="inlineStr">
        <is>
          <t>Thansau Maple(Gold)</t>
        </is>
      </c>
      <c r="D45" s="23" t="inlineStr">
        <is>
          <t>GREENLAM</t>
        </is>
      </c>
      <c r="E45" s="43" t="n">
        <v>46125</v>
      </c>
      <c r="F45" s="26" t="inlineStr">
        <is>
          <t>Sunil CR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Good finish</t>
        </is>
      </c>
      <c r="J45" s="26" t="inlineStr">
        <is>
          <t>Yes</t>
        </is>
      </c>
      <c r="K45" s="27" t="n"/>
      <c r="L45" s="28" t="inlineStr">
        <is>
          <t>No</t>
        </is>
      </c>
      <c r="M45" s="29">
        <f>IF(E45="","",IF(H45="Yes","❌ Disc",IF(G45="No","⚠ Missing",IF(J45="Yes","✓ OK","⚠ Check"))))</f>
        <v/>
      </c>
      <c r="N45" s="43" t="n">
        <v>46193</v>
      </c>
      <c r="O45" s="26" t="inlineStr">
        <is>
          <t>Sunil CR</t>
        </is>
      </c>
      <c r="P45" s="26" t="inlineStr">
        <is>
          <t>Yes</t>
        </is>
      </c>
      <c r="Q45" s="26" t="inlineStr">
        <is>
          <t>No</t>
        </is>
      </c>
      <c r="R45" s="26" t="inlineStr">
        <is>
          <t>Good finish</t>
        </is>
      </c>
      <c r="S45" s="26" t="inlineStr">
        <is>
          <t>Yes</t>
        </is>
      </c>
      <c r="T45" s="27" t="n"/>
      <c r="U45" s="28" t="inlineStr">
        <is>
          <t>No</t>
        </is>
      </c>
      <c r="V45" s="29">
        <f>IF(N45="","",IF(Q45="Yes","❌ Disc",IF(P45="No","⚠ Missing",IF(S45="Yes","✓ OK","⚠ Check"))))</f>
        <v/>
      </c>
      <c r="W45" s="65" t="n">
        <v>46248</v>
      </c>
      <c r="X45" s="30" t="inlineStr">
        <is>
          <t>Sunil CR</t>
        </is>
      </c>
      <c r="Y45" s="30" t="inlineStr">
        <is>
          <t>Yes</t>
        </is>
      </c>
      <c r="Z45" s="30" t="n"/>
      <c r="AA45" s="30" t="inlineStr">
        <is>
          <t>Good finish</t>
        </is>
      </c>
      <c r="AB45" s="30" t="inlineStr">
        <is>
          <t>Yes</t>
        </is>
      </c>
      <c r="AC45" s="27" t="n"/>
      <c r="AD45" s="31" t="inlineStr">
        <is>
          <t>No</t>
        </is>
      </c>
      <c r="AE45" s="32">
        <f>IF(W45="","",IF(Z45="Yes","❌ Disc",IF(Y45="No","⚠ Missing",IF(AB45="Yes","✓ OK","⚠ Check"))))</f>
        <v/>
      </c>
      <c r="AF45" s="33" t="n"/>
      <c r="AG45" s="33" t="n"/>
      <c r="AH45" s="33" t="n"/>
      <c r="AI45" s="33" t="n"/>
      <c r="AJ45" s="33" t="n"/>
      <c r="AK45" s="33" t="n"/>
      <c r="AL45" s="27" t="n"/>
      <c r="AM45" s="34" t="n"/>
      <c r="AN45" s="35">
        <f>IF(AF45="","",IF(AI45="Yes","❌ Disc",IF(AH45="No","⚠ Missing",IF(AK45="Yes","✓ OK","⚠ Check"))))</f>
        <v/>
      </c>
      <c r="AO45" s="36" t="n"/>
      <c r="AP45" s="36" t="n"/>
      <c r="AQ45" s="36" t="n"/>
      <c r="AR45" s="36" t="n"/>
      <c r="AS45" s="36" t="n"/>
      <c r="AT45" s="36" t="n"/>
      <c r="AU45" s="27" t="n"/>
      <c r="AV45" s="37" t="n"/>
      <c r="AW45" s="38">
        <f>IF(AO45="","",IF(AR45="Yes","❌ Disc",IF(AQ45="No","⚠ Missing",IF(AT45="Yes","✓ OK","⚠ Check"))))</f>
        <v/>
      </c>
    </row>
    <row r="46" ht="18" customHeight="1" s="46">
      <c r="A46" s="39" t="n">
        <v>42</v>
      </c>
      <c r="B46" s="40" t="inlineStr">
        <is>
          <t>Lam GL 148 SGL</t>
        </is>
      </c>
      <c r="C46" s="41" t="inlineStr">
        <is>
          <t>Tidal Sand(Platinum)</t>
        </is>
      </c>
      <c r="D46" s="39" t="inlineStr">
        <is>
          <t>GREENLAM</t>
        </is>
      </c>
      <c r="E46" s="43" t="n">
        <v>46125</v>
      </c>
      <c r="F46" s="26" t="inlineStr">
        <is>
          <t>Sunil CR</t>
        </is>
      </c>
      <c r="G46" s="26" t="inlineStr">
        <is>
          <t>Yes</t>
        </is>
      </c>
      <c r="H46" s="26" t="inlineStr">
        <is>
          <t>No</t>
        </is>
      </c>
      <c r="I46" s="26" t="inlineStr">
        <is>
          <t>Good finish</t>
        </is>
      </c>
      <c r="J46" s="26" t="inlineStr">
        <is>
          <t>Yes</t>
        </is>
      </c>
      <c r="K46" s="27" t="n"/>
      <c r="L46" s="28" t="inlineStr">
        <is>
          <t>No</t>
        </is>
      </c>
      <c r="M46" s="29">
        <f>IF(E46="","",IF(H46="Yes","❌ Disc",IF(G46="No","⚠ Missing",IF(J46="Yes","✓ OK","⚠ Check"))))</f>
        <v/>
      </c>
      <c r="N46" s="43" t="n">
        <v>46193</v>
      </c>
      <c r="O46" s="26" t="inlineStr">
        <is>
          <t>Sunil CR</t>
        </is>
      </c>
      <c r="P46" s="26" t="inlineStr">
        <is>
          <t>Yes</t>
        </is>
      </c>
      <c r="Q46" s="26" t="inlineStr">
        <is>
          <t>No</t>
        </is>
      </c>
      <c r="R46" s="26" t="inlineStr">
        <is>
          <t>Good finish</t>
        </is>
      </c>
      <c r="S46" s="26" t="inlineStr">
        <is>
          <t>Yes</t>
        </is>
      </c>
      <c r="T46" s="27" t="n"/>
      <c r="U46" s="28" t="inlineStr">
        <is>
          <t>No</t>
        </is>
      </c>
      <c r="V46" s="29">
        <f>IF(N46="","",IF(Q46="Yes","❌ Disc",IF(P46="No","⚠ Missing",IF(S46="Yes","✓ OK","⚠ Check"))))</f>
        <v/>
      </c>
      <c r="W46" s="65" t="n">
        <v>46248</v>
      </c>
      <c r="X46" s="30" t="inlineStr">
        <is>
          <t>Sunil CR</t>
        </is>
      </c>
      <c r="Y46" s="30" t="inlineStr">
        <is>
          <t>Yes</t>
        </is>
      </c>
      <c r="Z46" s="30" t="n"/>
      <c r="AA46" s="30" t="inlineStr">
        <is>
          <t>Good finish</t>
        </is>
      </c>
      <c r="AB46" s="30" t="inlineStr">
        <is>
          <t>Yes</t>
        </is>
      </c>
      <c r="AC46" s="27" t="n"/>
      <c r="AD46" s="31" t="inlineStr">
        <is>
          <t>No</t>
        </is>
      </c>
      <c r="AE46" s="32">
        <f>IF(W46="","",IF(Z46="Yes","❌ Disc",IF(Y46="No","⚠ Missing",IF(AB46="Yes","✓ OK","⚠ Check"))))</f>
        <v/>
      </c>
      <c r="AF46" s="33" t="n"/>
      <c r="AG46" s="33" t="n"/>
      <c r="AH46" s="33" t="n"/>
      <c r="AI46" s="33" t="n"/>
      <c r="AJ46" s="33" t="n"/>
      <c r="AK46" s="33" t="n"/>
      <c r="AL46" s="27" t="n"/>
      <c r="AM46" s="34" t="n"/>
      <c r="AN46" s="35">
        <f>IF(AF46="","",IF(AI46="Yes","❌ Disc",IF(AH46="No","⚠ Missing",IF(AK46="Yes","✓ OK","⚠ Check"))))</f>
        <v/>
      </c>
      <c r="AO46" s="36" t="n"/>
      <c r="AP46" s="36" t="n"/>
      <c r="AQ46" s="36" t="n"/>
      <c r="AR46" s="36" t="n"/>
      <c r="AS46" s="36" t="n"/>
      <c r="AT46" s="36" t="n"/>
      <c r="AU46" s="27" t="n"/>
      <c r="AV46" s="37" t="n"/>
      <c r="AW46" s="38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Lam GL 5581 SUD</t>
        </is>
      </c>
      <c r="C47" s="25" t="inlineStr">
        <is>
          <t>Torino Pearl(Gold)</t>
        </is>
      </c>
      <c r="D47" s="23" t="inlineStr">
        <is>
          <t>GREENLAM</t>
        </is>
      </c>
      <c r="E47" s="43" t="n">
        <v>46125</v>
      </c>
      <c r="F47" s="26" t="inlineStr">
        <is>
          <t>Sunil CR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Good finish</t>
        </is>
      </c>
      <c r="J47" s="26" t="inlineStr">
        <is>
          <t>Yes</t>
        </is>
      </c>
      <c r="K47" s="27" t="n"/>
      <c r="L47" s="28" t="inlineStr">
        <is>
          <t>No</t>
        </is>
      </c>
      <c r="M47" s="29">
        <f>IF(E47="","",IF(H47="Yes","❌ Disc",IF(G47="No","⚠ Missing",IF(J47="Yes","✓ OK","⚠ Check"))))</f>
        <v/>
      </c>
      <c r="N47" s="43" t="n">
        <v>46193</v>
      </c>
      <c r="O47" s="26" t="inlineStr">
        <is>
          <t>Sunil CR</t>
        </is>
      </c>
      <c r="P47" s="26" t="inlineStr">
        <is>
          <t>Yes</t>
        </is>
      </c>
      <c r="Q47" s="26" t="inlineStr">
        <is>
          <t>No</t>
        </is>
      </c>
      <c r="R47" s="26" t="inlineStr">
        <is>
          <t>Good finish</t>
        </is>
      </c>
      <c r="S47" s="26" t="inlineStr">
        <is>
          <t>Yes</t>
        </is>
      </c>
      <c r="T47" s="27" t="n"/>
      <c r="U47" s="28" t="inlineStr">
        <is>
          <t>No</t>
        </is>
      </c>
      <c r="V47" s="29">
        <f>IF(N47="","",IF(Q47="Yes","❌ Disc",IF(P47="No","⚠ Missing",IF(S47="Yes","✓ OK","⚠ Check"))))</f>
        <v/>
      </c>
      <c r="W47" s="65" t="n">
        <v>46248</v>
      </c>
      <c r="X47" s="30" t="inlineStr">
        <is>
          <t>Sunil CR</t>
        </is>
      </c>
      <c r="Y47" s="30" t="inlineStr">
        <is>
          <t>Yes</t>
        </is>
      </c>
      <c r="Z47" s="30" t="n"/>
      <c r="AA47" s="30" t="inlineStr">
        <is>
          <t>Good finish</t>
        </is>
      </c>
      <c r="AB47" s="30" t="inlineStr">
        <is>
          <t>Yes</t>
        </is>
      </c>
      <c r="AC47" s="27" t="n"/>
      <c r="AD47" s="31" t="inlineStr">
        <is>
          <t>No</t>
        </is>
      </c>
      <c r="AE47" s="32">
        <f>IF(W47="","",IF(Z47="Yes","❌ Disc",IF(Y47="No","⚠ Missing",IF(AB47="Yes","✓ OK","⚠ Check"))))</f>
        <v/>
      </c>
      <c r="AF47" s="33" t="n"/>
      <c r="AG47" s="33" t="n"/>
      <c r="AH47" s="33" t="n"/>
      <c r="AI47" s="33" t="n"/>
      <c r="AJ47" s="33" t="n"/>
      <c r="AK47" s="33" t="n"/>
      <c r="AL47" s="27" t="n"/>
      <c r="AM47" s="34" t="n"/>
      <c r="AN47" s="35">
        <f>IF(AF47="","",IF(AI47="Yes","❌ Disc",IF(AH47="No","⚠ Missing",IF(AK47="Yes","✓ OK","⚠ Check"))))</f>
        <v/>
      </c>
      <c r="AO47" s="36" t="n"/>
      <c r="AP47" s="36" t="n"/>
      <c r="AQ47" s="36" t="n"/>
      <c r="AR47" s="36" t="n"/>
      <c r="AS47" s="36" t="n"/>
      <c r="AT47" s="36" t="n"/>
      <c r="AU47" s="27" t="n"/>
      <c r="AV47" s="37" t="n"/>
      <c r="AW47" s="38">
        <f>IF(AO47="","",IF(AR47="Yes","❌ Disc",IF(AQ47="No","⚠ Missing",IF(AT47="Yes","✓ OK","⚠ Check"))))</f>
        <v/>
      </c>
    </row>
    <row r="48" ht="18" customHeight="1" s="46">
      <c r="A48" s="39" t="n">
        <v>44</v>
      </c>
      <c r="B48" s="40" t="inlineStr">
        <is>
          <t>Lam GL 693 SUD</t>
        </is>
      </c>
      <c r="C48" s="41" t="inlineStr">
        <is>
          <t>Vancouver Maple(Gold)</t>
        </is>
      </c>
      <c r="D48" s="39" t="inlineStr">
        <is>
          <t>GREENLAM</t>
        </is>
      </c>
      <c r="E48" s="43" t="n">
        <v>46125</v>
      </c>
      <c r="F48" s="26" t="inlineStr">
        <is>
          <t>Sunil CR</t>
        </is>
      </c>
      <c r="G48" s="26" t="inlineStr">
        <is>
          <t>Yes</t>
        </is>
      </c>
      <c r="H48" s="26" t="inlineStr">
        <is>
          <t>No</t>
        </is>
      </c>
      <c r="I48" s="26" t="inlineStr">
        <is>
          <t>Good finish</t>
        </is>
      </c>
      <c r="J48" s="26" t="inlineStr">
        <is>
          <t>Yes</t>
        </is>
      </c>
      <c r="K48" s="27" t="n"/>
      <c r="L48" s="28" t="inlineStr">
        <is>
          <t>No</t>
        </is>
      </c>
      <c r="M48" s="29">
        <f>IF(E48="","",IF(H48="Yes","❌ Disc",IF(G48="No","⚠ Missing",IF(J48="Yes","✓ OK","⚠ Check"))))</f>
        <v/>
      </c>
      <c r="N48" s="43" t="n">
        <v>46193</v>
      </c>
      <c r="O48" s="26" t="inlineStr">
        <is>
          <t>Sunil CR</t>
        </is>
      </c>
      <c r="P48" s="26" t="inlineStr">
        <is>
          <t>Yes</t>
        </is>
      </c>
      <c r="Q48" s="26" t="inlineStr">
        <is>
          <t>No</t>
        </is>
      </c>
      <c r="R48" s="26" t="inlineStr">
        <is>
          <t>Good finish</t>
        </is>
      </c>
      <c r="S48" s="26" t="inlineStr">
        <is>
          <t>Yes</t>
        </is>
      </c>
      <c r="T48" s="27" t="n"/>
      <c r="U48" s="28" t="inlineStr">
        <is>
          <t>No</t>
        </is>
      </c>
      <c r="V48" s="29">
        <f>IF(N48="","",IF(Q48="Yes","❌ Disc",IF(P48="No","⚠ Missing",IF(S48="Yes","✓ OK","⚠ Check"))))</f>
        <v/>
      </c>
      <c r="W48" s="65" t="n">
        <v>46248</v>
      </c>
      <c r="X48" s="30" t="inlineStr">
        <is>
          <t>Sunil CR</t>
        </is>
      </c>
      <c r="Y48" s="30" t="inlineStr">
        <is>
          <t>Yes</t>
        </is>
      </c>
      <c r="Z48" s="30" t="n"/>
      <c r="AA48" s="30" t="inlineStr">
        <is>
          <t>Good finish</t>
        </is>
      </c>
      <c r="AB48" s="30" t="inlineStr">
        <is>
          <t>Yes</t>
        </is>
      </c>
      <c r="AC48" s="27" t="n"/>
      <c r="AD48" s="31" t="inlineStr">
        <is>
          <t>No</t>
        </is>
      </c>
      <c r="AE48" s="32">
        <f>IF(W48="","",IF(Z48="Yes","❌ Disc",IF(Y48="No","⚠ Missing",IF(AB48="Yes","✓ OK","⚠ Check"))))</f>
        <v/>
      </c>
      <c r="AF48" s="33" t="n"/>
      <c r="AG48" s="33" t="n"/>
      <c r="AH48" s="33" t="n"/>
      <c r="AI48" s="33" t="n"/>
      <c r="AJ48" s="33" t="n"/>
      <c r="AK48" s="33" t="n"/>
      <c r="AL48" s="27" t="n"/>
      <c r="AM48" s="34" t="n"/>
      <c r="AN48" s="35">
        <f>IF(AF48="","",IF(AI48="Yes","❌ Disc",IF(AH48="No","⚠ Missing",IF(AK48="Yes","✓ OK","⚠ Check"))))</f>
        <v/>
      </c>
      <c r="AO48" s="36" t="n"/>
      <c r="AP48" s="36" t="n"/>
      <c r="AQ48" s="36" t="n"/>
      <c r="AR48" s="36" t="n"/>
      <c r="AS48" s="36" t="n"/>
      <c r="AT48" s="36" t="n"/>
      <c r="AU48" s="27" t="n"/>
      <c r="AV48" s="37" t="n"/>
      <c r="AW48" s="38">
        <f>IF(AO48="","",IF(AR48="Yes","❌ Disc",IF(AQ48="No","⚠ Missing",IF(AT48="Yes","✓ OK","⚠ Check"))))</f>
        <v/>
      </c>
    </row>
    <row r="49" ht="18" customHeight="1" s="46">
      <c r="A49" s="23" t="n">
        <v>53</v>
      </c>
      <c r="B49" s="24" t="inlineStr">
        <is>
          <t>BD-LAM-2024-0003</t>
        </is>
      </c>
      <c r="C49" s="25" t="inlineStr">
        <is>
          <t>Royal Touch - RT Crystal Z+ PP 1123 1.25mm(Diamond)</t>
        </is>
      </c>
      <c r="D49" s="23" t="inlineStr">
        <is>
          <t>Royal Touche</t>
        </is>
      </c>
      <c r="E49" s="43" t="n">
        <v>46125</v>
      </c>
      <c r="F49" s="26" t="inlineStr">
        <is>
          <t>Sunil CR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Minor defect</t>
        </is>
      </c>
      <c r="J49" s="26" t="inlineStr">
        <is>
          <t>No</t>
        </is>
      </c>
      <c r="K49" s="27" t="inlineStr">
        <is>
          <t>Categorization sticker is missing</t>
        </is>
      </c>
      <c r="L49" s="28" t="inlineStr">
        <is>
          <t>Yes</t>
        </is>
      </c>
      <c r="M49" s="29">
        <f>IF(E49="","",IF(H49="Yes","❌ Disc",IF(G49="No","⚠ Missing",IF(J49="Yes","✓ OK","⚠ Check"))))</f>
        <v/>
      </c>
      <c r="N49" s="43" t="n">
        <v>46193</v>
      </c>
      <c r="O49" s="26" t="inlineStr">
        <is>
          <t>Sunil CR</t>
        </is>
      </c>
      <c r="P49" s="26" t="inlineStr">
        <is>
          <t>Yes</t>
        </is>
      </c>
      <c r="Q49" s="26" t="inlineStr">
        <is>
          <t>No</t>
        </is>
      </c>
      <c r="R49" s="26" t="inlineStr">
        <is>
          <t>Minor defect</t>
        </is>
      </c>
      <c r="S49" s="26" t="inlineStr">
        <is>
          <t>No</t>
        </is>
      </c>
      <c r="T49" s="27" t="inlineStr">
        <is>
          <t>Categorization sticker is missing</t>
        </is>
      </c>
      <c r="U49" s="28" t="inlineStr">
        <is>
          <t>Yes</t>
        </is>
      </c>
      <c r="V49" s="29">
        <f>IF(N49="","",IF(Q49="Yes","❌ Disc",IF(P49="No","⚠ Missing",IF(S49="Yes","✓ OK","⚠ Check"))))</f>
        <v/>
      </c>
      <c r="W49" s="65" t="n">
        <v>46248</v>
      </c>
      <c r="X49" s="30" t="inlineStr">
        <is>
          <t>Sunil CR</t>
        </is>
      </c>
      <c r="Y49" s="30" t="inlineStr">
        <is>
          <t>Yes</t>
        </is>
      </c>
      <c r="Z49" s="30" t="n"/>
      <c r="AA49" s="30" t="inlineStr">
        <is>
          <t>Minor defect</t>
        </is>
      </c>
      <c r="AB49" s="30" t="inlineStr">
        <is>
          <t>No</t>
        </is>
      </c>
      <c r="AC49" s="27" t="inlineStr">
        <is>
          <t>Categorization sticker is missing</t>
        </is>
      </c>
      <c r="AD49" s="31" t="inlineStr">
        <is>
          <t>Yes</t>
        </is>
      </c>
      <c r="AE49" s="32">
        <f>IF(W49="","",IF(Z49="Yes","❌ Disc",IF(Y49="No","⚠ Missing",IF(AB49="Yes","✓ OK","⚠ Check"))))</f>
        <v/>
      </c>
      <c r="AF49" s="33" t="n"/>
      <c r="AG49" s="33" t="n"/>
      <c r="AH49" s="33" t="n"/>
      <c r="AI49" s="33" t="n"/>
      <c r="AJ49" s="33" t="n"/>
      <c r="AK49" s="33" t="n"/>
      <c r="AL49" s="27" t="n"/>
      <c r="AM49" s="34" t="n"/>
      <c r="AN49" s="35">
        <f>IF(AF49="","",IF(AI49="Yes","❌ Disc",IF(AH49="No","⚠ Missing",IF(AK49="Yes","✓ OK","⚠ Check"))))</f>
        <v/>
      </c>
      <c r="AO49" s="36" t="n"/>
      <c r="AP49" s="36" t="n"/>
      <c r="AQ49" s="36" t="n"/>
      <c r="AR49" s="36" t="n"/>
      <c r="AS49" s="36" t="n"/>
      <c r="AT49" s="36" t="n"/>
      <c r="AU49" s="27" t="n"/>
      <c r="AV49" s="37" t="n"/>
      <c r="AW49" s="38">
        <f>IF(AO49="","",IF(AR49="Yes","❌ Disc",IF(AQ49="No","⚠ Missing",IF(AT49="Yes","✓ OK","⚠ Check"))))</f>
        <v/>
      </c>
    </row>
    <row r="50" ht="18" customHeight="1" s="46">
      <c r="A50" s="39" t="n">
        <v>54</v>
      </c>
      <c r="B50" s="40" t="inlineStr">
        <is>
          <t>BD-LAM-2024-0002</t>
        </is>
      </c>
      <c r="C50" s="41" t="inlineStr">
        <is>
          <t>Royal Touch - RT Crystal Z+ PP 1166 1.25mm</t>
        </is>
      </c>
      <c r="D50" s="39" t="inlineStr">
        <is>
          <t>Royal Touche</t>
        </is>
      </c>
      <c r="E50" s="43" t="n">
        <v>46125</v>
      </c>
      <c r="F50" s="26" t="inlineStr">
        <is>
          <t>Sunil CR</t>
        </is>
      </c>
      <c r="G50" s="26" t="inlineStr">
        <is>
          <t>No</t>
        </is>
      </c>
      <c r="H50" s="26" t="inlineStr">
        <is>
          <t>No</t>
        </is>
      </c>
      <c r="I50" s="26" t="inlineStr">
        <is>
          <t>Not Available</t>
        </is>
      </c>
      <c r="J50" s="26" t="inlineStr">
        <is>
          <t>No</t>
        </is>
      </c>
      <c r="K50" s="27" t="n"/>
      <c r="L50" s="28" t="inlineStr">
        <is>
          <t>Yes</t>
        </is>
      </c>
      <c r="M50" s="29">
        <f>IF(E50="","",IF(H50="Yes","❌ Disc",IF(G50="No","⚠ Missing",IF(J50="Yes","✓ OK","⚠ Check"))))</f>
        <v/>
      </c>
      <c r="N50" s="43" t="n">
        <v>46193</v>
      </c>
      <c r="O50" s="26" t="inlineStr">
        <is>
          <t>Sunil CR</t>
        </is>
      </c>
      <c r="P50" s="26" t="inlineStr">
        <is>
          <t>No</t>
        </is>
      </c>
      <c r="Q50" s="26" t="inlineStr">
        <is>
          <t>No</t>
        </is>
      </c>
      <c r="R50" s="26" t="inlineStr">
        <is>
          <t>Not Available</t>
        </is>
      </c>
      <c r="S50" s="26" t="inlineStr">
        <is>
          <t>No</t>
        </is>
      </c>
      <c r="T50" s="27" t="n"/>
      <c r="U50" s="28" t="inlineStr">
        <is>
          <t>Yes</t>
        </is>
      </c>
      <c r="V50" s="29">
        <f>IF(N50="","",IF(Q50="Yes","❌ Disc",IF(P50="No","⚠ Missing",IF(S50="Yes","✓ OK","⚠ Check"))))</f>
        <v/>
      </c>
      <c r="W50" s="65" t="n">
        <v>46248</v>
      </c>
      <c r="X50" s="30" t="inlineStr">
        <is>
          <t>Sunil CR</t>
        </is>
      </c>
      <c r="Y50" s="30" t="inlineStr">
        <is>
          <t>No</t>
        </is>
      </c>
      <c r="Z50" s="30" t="n"/>
      <c r="AA50" s="30" t="inlineStr">
        <is>
          <t>Not Available</t>
        </is>
      </c>
      <c r="AB50" s="30" t="inlineStr">
        <is>
          <t>No</t>
        </is>
      </c>
      <c r="AC50" s="27" t="n"/>
      <c r="AD50" s="31" t="inlineStr">
        <is>
          <t>Yes</t>
        </is>
      </c>
      <c r="AE50" s="32">
        <f>IF(W50="","",IF(Z50="Yes","❌ Disc",IF(Y50="No","⚠ Missing",IF(AB50="Yes","✓ OK","⚠ Check"))))</f>
        <v/>
      </c>
      <c r="AF50" s="33" t="n"/>
      <c r="AG50" s="33" t="n"/>
      <c r="AH50" s="33" t="n"/>
      <c r="AI50" s="33" t="n"/>
      <c r="AJ50" s="33" t="n"/>
      <c r="AK50" s="33" t="n"/>
      <c r="AL50" s="27" t="n"/>
      <c r="AM50" s="34" t="n"/>
      <c r="AN50" s="35">
        <f>IF(AF50="","",IF(AI50="Yes","❌ Disc",IF(AH50="No","⚠ Missing",IF(AK50="Yes","✓ OK","⚠ Check"))))</f>
        <v/>
      </c>
      <c r="AO50" s="36" t="n"/>
      <c r="AP50" s="36" t="n"/>
      <c r="AQ50" s="36" t="n"/>
      <c r="AR50" s="36" t="n"/>
      <c r="AS50" s="36" t="n"/>
      <c r="AT50" s="36" t="n"/>
      <c r="AU50" s="27" t="n"/>
      <c r="AV50" s="37" t="n"/>
      <c r="AW50" s="38">
        <f>IF(AO50="","",IF(AR50="Yes","❌ Disc",IF(AQ50="No","⚠ Missing",IF(AT50="Yes","✓ OK","⚠ Check"))))</f>
        <v/>
      </c>
    </row>
    <row r="51" ht="18" customHeight="1" s="46">
      <c r="A51" s="23" t="n">
        <v>55</v>
      </c>
      <c r="B51" s="24" t="inlineStr">
        <is>
          <t>BD-LAM-2023-0002</t>
        </is>
      </c>
      <c r="C51" s="25" t="inlineStr">
        <is>
          <t>Royal Touche - BM - 1746 - 1.25mm(Diamond)</t>
        </is>
      </c>
      <c r="D51" s="23" t="inlineStr">
        <is>
          <t>Royal Touche</t>
        </is>
      </c>
      <c r="E51" s="43" t="n">
        <v>46125</v>
      </c>
      <c r="F51" s="26" t="inlineStr">
        <is>
          <t>Sunil CR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Good finish</t>
        </is>
      </c>
      <c r="J51" s="26" t="inlineStr">
        <is>
          <t>Yes</t>
        </is>
      </c>
      <c r="K51" s="27" t="n"/>
      <c r="L51" s="28" t="inlineStr">
        <is>
          <t>No</t>
        </is>
      </c>
      <c r="M51" s="29">
        <f>IF(E51="","",IF(H51="Yes","❌ Disc",IF(G51="No","⚠ Missing",IF(J51="Yes","✓ OK","⚠ Check"))))</f>
        <v/>
      </c>
      <c r="N51" s="43" t="n">
        <v>46193</v>
      </c>
      <c r="O51" s="26" t="inlineStr">
        <is>
          <t>Sunil CR</t>
        </is>
      </c>
      <c r="P51" s="26" t="inlineStr">
        <is>
          <t>Yes</t>
        </is>
      </c>
      <c r="Q51" s="26" t="inlineStr">
        <is>
          <t>No</t>
        </is>
      </c>
      <c r="R51" s="26" t="inlineStr">
        <is>
          <t>Good finish</t>
        </is>
      </c>
      <c r="S51" s="26" t="inlineStr">
        <is>
          <t>Yes</t>
        </is>
      </c>
      <c r="T51" s="27" t="n"/>
      <c r="U51" s="28" t="inlineStr">
        <is>
          <t>No</t>
        </is>
      </c>
      <c r="V51" s="29">
        <f>IF(N51="","",IF(Q51="Yes","❌ Disc",IF(P51="No","⚠ Missing",IF(S51="Yes","✓ OK","⚠ Check"))))</f>
        <v/>
      </c>
      <c r="W51" s="65" t="n">
        <v>46248</v>
      </c>
      <c r="X51" s="30" t="inlineStr">
        <is>
          <t>Sunil CR</t>
        </is>
      </c>
      <c r="Y51" s="30" t="inlineStr">
        <is>
          <t>Yes</t>
        </is>
      </c>
      <c r="Z51" s="30" t="n"/>
      <c r="AA51" s="30" t="inlineStr">
        <is>
          <t>Good finish</t>
        </is>
      </c>
      <c r="AB51" s="30" t="inlineStr">
        <is>
          <t>Yes</t>
        </is>
      </c>
      <c r="AC51" s="27" t="n"/>
      <c r="AD51" s="31" t="inlineStr">
        <is>
          <t>No</t>
        </is>
      </c>
      <c r="AE51" s="32">
        <f>IF(W51="","",IF(Z51="Yes","❌ Disc",IF(Y51="No","⚠ Missing",IF(AB51="Yes","✓ OK","⚠ Check"))))</f>
        <v/>
      </c>
      <c r="AF51" s="33" t="n"/>
      <c r="AG51" s="33" t="n"/>
      <c r="AH51" s="33" t="n"/>
      <c r="AI51" s="33" t="n"/>
      <c r="AJ51" s="33" t="n"/>
      <c r="AK51" s="33" t="n"/>
      <c r="AL51" s="27" t="n"/>
      <c r="AM51" s="34" t="n"/>
      <c r="AN51" s="35">
        <f>IF(AF51="","",IF(AI51="Yes","❌ Disc",IF(AH51="No","⚠ Missing",IF(AK51="Yes","✓ OK","⚠ Check"))))</f>
        <v/>
      </c>
      <c r="AO51" s="36" t="n"/>
      <c r="AP51" s="36" t="n"/>
      <c r="AQ51" s="36" t="n"/>
      <c r="AR51" s="36" t="n"/>
      <c r="AS51" s="36" t="n"/>
      <c r="AT51" s="36" t="n"/>
      <c r="AU51" s="27" t="n"/>
      <c r="AV51" s="37" t="n"/>
      <c r="AW51" s="38">
        <f>IF(AO51="","",IF(AR51="Yes","❌ Disc",IF(AQ51="No","⚠ Missing",IF(AT51="Yes","✓ OK","⚠ Check"))))</f>
        <v/>
      </c>
    </row>
    <row r="52" ht="18" customHeight="1" s="46">
      <c r="A52" s="39" t="n">
        <v>56</v>
      </c>
      <c r="B52" s="40" t="inlineStr">
        <is>
          <t>BD-LAM-2023-0009</t>
        </is>
      </c>
      <c r="C52" s="41" t="inlineStr">
        <is>
          <t>Royal Touche - CRY - 1164 - 1.25mm(Diamond)</t>
        </is>
      </c>
      <c r="D52" s="39" t="inlineStr">
        <is>
          <t>Royal Touche</t>
        </is>
      </c>
      <c r="E52" s="43" t="n">
        <v>46125</v>
      </c>
      <c r="F52" s="26" t="inlineStr">
        <is>
          <t>Sunil CR</t>
        </is>
      </c>
      <c r="G52" s="26" t="inlineStr">
        <is>
          <t>Yes</t>
        </is>
      </c>
      <c r="H52" s="26" t="inlineStr">
        <is>
          <t>No</t>
        </is>
      </c>
      <c r="I52" s="26" t="inlineStr">
        <is>
          <t>Minor defect</t>
        </is>
      </c>
      <c r="J52" s="26" t="inlineStr">
        <is>
          <t>No</t>
        </is>
      </c>
      <c r="K52" s="27" t="inlineStr">
        <is>
          <t>Name Sticker to be Changed</t>
        </is>
      </c>
      <c r="L52" s="28" t="inlineStr">
        <is>
          <t>Yes</t>
        </is>
      </c>
      <c r="M52" s="29">
        <f>IF(E52="","",IF(H52="Yes","❌ Disc",IF(G52="No","⚠ Missing",IF(J52="Yes","✓ OK","⚠ Check"))))</f>
        <v/>
      </c>
      <c r="N52" s="43" t="n">
        <v>46193</v>
      </c>
      <c r="O52" s="26" t="inlineStr">
        <is>
          <t>Sunil CR</t>
        </is>
      </c>
      <c r="P52" s="26" t="inlineStr">
        <is>
          <t>Yes</t>
        </is>
      </c>
      <c r="Q52" s="26" t="inlineStr">
        <is>
          <t>No</t>
        </is>
      </c>
      <c r="R52" s="26" t="inlineStr">
        <is>
          <t>Minor defect</t>
        </is>
      </c>
      <c r="S52" s="26" t="inlineStr">
        <is>
          <t>No</t>
        </is>
      </c>
      <c r="T52" s="27" t="inlineStr">
        <is>
          <t>Name Sticker to be Changed</t>
        </is>
      </c>
      <c r="U52" s="28" t="inlineStr">
        <is>
          <t>Yes</t>
        </is>
      </c>
      <c r="V52" s="29">
        <f>IF(N52="","",IF(Q52="Yes","❌ Disc",IF(P52="No","⚠ Missing",IF(S52="Yes","✓ OK","⚠ Check"))))</f>
        <v/>
      </c>
      <c r="W52" s="65" t="n">
        <v>46248</v>
      </c>
      <c r="X52" s="30" t="inlineStr">
        <is>
          <t>Sunil CR</t>
        </is>
      </c>
      <c r="Y52" s="30" t="inlineStr">
        <is>
          <t>Yes</t>
        </is>
      </c>
      <c r="Z52" s="30" t="n"/>
      <c r="AA52" s="30" t="inlineStr">
        <is>
          <t>Minor defect</t>
        </is>
      </c>
      <c r="AB52" s="30" t="inlineStr">
        <is>
          <t>No</t>
        </is>
      </c>
      <c r="AC52" s="27" t="inlineStr">
        <is>
          <t>Name Sticker to be Changed</t>
        </is>
      </c>
      <c r="AD52" s="31" t="inlineStr">
        <is>
          <t>Yes</t>
        </is>
      </c>
      <c r="AE52" s="32">
        <f>IF(W52="","",IF(Z52="Yes","❌ Disc",IF(Y52="No","⚠ Missing",IF(AB52="Yes","✓ OK","⚠ Check"))))</f>
        <v/>
      </c>
      <c r="AF52" s="33" t="n"/>
      <c r="AG52" s="33" t="n"/>
      <c r="AH52" s="33" t="n"/>
      <c r="AI52" s="33" t="n"/>
      <c r="AJ52" s="33" t="n"/>
      <c r="AK52" s="33" t="n"/>
      <c r="AL52" s="27" t="n"/>
      <c r="AM52" s="34" t="n"/>
      <c r="AN52" s="35">
        <f>IF(AF52="","",IF(AI52="Yes","❌ Disc",IF(AH52="No","⚠ Missing",IF(AK52="Yes","✓ OK","⚠ Check"))))</f>
        <v/>
      </c>
      <c r="AO52" s="36" t="n"/>
      <c r="AP52" s="36" t="n"/>
      <c r="AQ52" s="36" t="n"/>
      <c r="AR52" s="36" t="n"/>
      <c r="AS52" s="36" t="n"/>
      <c r="AT52" s="36" t="n"/>
      <c r="AU52" s="27" t="n"/>
      <c r="AV52" s="37" t="n"/>
      <c r="AW52" s="38">
        <f>IF(AO52="","",IF(AR52="Yes","❌ Disc",IF(AQ52="No","⚠ Missing",IF(AT52="Yes","✓ OK","⚠ Check"))))</f>
        <v/>
      </c>
    </row>
    <row r="53" ht="18" customHeight="1" s="46">
      <c r="A53" s="23" t="n">
        <v>57</v>
      </c>
      <c r="B53" s="24" t="inlineStr">
        <is>
          <t>BD-LAM-2023-0008</t>
        </is>
      </c>
      <c r="C53" s="25" t="inlineStr">
        <is>
          <t>Royal Touche - CRY - 1174 - 1.25mm(Diamond)</t>
        </is>
      </c>
      <c r="D53" s="23" t="inlineStr">
        <is>
          <t>Royal Touche</t>
        </is>
      </c>
      <c r="E53" s="43" t="n">
        <v>46125</v>
      </c>
      <c r="F53" s="26" t="inlineStr">
        <is>
          <t>Sunil CR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Good finish</t>
        </is>
      </c>
      <c r="J53" s="26" t="inlineStr">
        <is>
          <t>Yes</t>
        </is>
      </c>
      <c r="K53" s="27" t="n"/>
      <c r="L53" s="28" t="inlineStr">
        <is>
          <t>No</t>
        </is>
      </c>
      <c r="M53" s="29">
        <f>IF(E53="","",IF(H53="Yes","❌ Disc",IF(G53="No","⚠ Missing",IF(J53="Yes","✓ OK","⚠ Check"))))</f>
        <v/>
      </c>
      <c r="N53" s="43" t="n">
        <v>46193</v>
      </c>
      <c r="O53" s="26" t="inlineStr">
        <is>
          <t>Sunil CR</t>
        </is>
      </c>
      <c r="P53" s="26" t="inlineStr">
        <is>
          <t>Yes</t>
        </is>
      </c>
      <c r="Q53" s="26" t="inlineStr">
        <is>
          <t>No</t>
        </is>
      </c>
      <c r="R53" s="26" t="inlineStr">
        <is>
          <t>Good finish</t>
        </is>
      </c>
      <c r="S53" s="26" t="inlineStr">
        <is>
          <t>Yes</t>
        </is>
      </c>
      <c r="T53" s="27" t="n"/>
      <c r="U53" s="28" t="inlineStr">
        <is>
          <t>No</t>
        </is>
      </c>
      <c r="V53" s="29">
        <f>IF(N53="","",IF(Q53="Yes","❌ Disc",IF(P53="No","⚠ Missing",IF(S53="Yes","✓ OK","⚠ Check"))))</f>
        <v/>
      </c>
      <c r="W53" s="65" t="n">
        <v>46248</v>
      </c>
      <c r="X53" s="30" t="inlineStr">
        <is>
          <t>Sunil CR</t>
        </is>
      </c>
      <c r="Y53" s="30" t="inlineStr">
        <is>
          <t>Yes</t>
        </is>
      </c>
      <c r="Z53" s="30" t="n"/>
      <c r="AA53" s="30" t="inlineStr">
        <is>
          <t>Good finish</t>
        </is>
      </c>
      <c r="AB53" s="30" t="inlineStr">
        <is>
          <t>Yes</t>
        </is>
      </c>
      <c r="AC53" s="27" t="n"/>
      <c r="AD53" s="31" t="inlineStr">
        <is>
          <t>No</t>
        </is>
      </c>
      <c r="AE53" s="32">
        <f>IF(W53="","",IF(Z53="Yes","❌ Disc",IF(Y53="No","⚠ Missing",IF(AB53="Yes","✓ OK","⚠ Check"))))</f>
        <v/>
      </c>
      <c r="AF53" s="33" t="n"/>
      <c r="AG53" s="33" t="n"/>
      <c r="AH53" s="33" t="n"/>
      <c r="AI53" s="33" t="n"/>
      <c r="AJ53" s="33" t="n"/>
      <c r="AK53" s="33" t="n"/>
      <c r="AL53" s="27" t="n"/>
      <c r="AM53" s="34" t="n"/>
      <c r="AN53" s="35">
        <f>IF(AF53="","",IF(AI53="Yes","❌ Disc",IF(AH53="No","⚠ Missing",IF(AK53="Yes","✓ OK","⚠ Check"))))</f>
        <v/>
      </c>
      <c r="AO53" s="36" t="n"/>
      <c r="AP53" s="36" t="n"/>
      <c r="AQ53" s="36" t="n"/>
      <c r="AR53" s="36" t="n"/>
      <c r="AS53" s="36" t="n"/>
      <c r="AT53" s="36" t="n"/>
      <c r="AU53" s="27" t="n"/>
      <c r="AV53" s="37" t="n"/>
      <c r="AW53" s="38">
        <f>IF(AO53="","",IF(AR53="Yes","❌ Disc",IF(AQ53="No","⚠ Missing",IF(AT53="Yes","✓ OK","⚠ Check"))))</f>
        <v/>
      </c>
    </row>
    <row r="54" ht="18" customHeight="1" s="46">
      <c r="A54" s="39" t="n">
        <v>58</v>
      </c>
      <c r="B54" s="40" t="inlineStr">
        <is>
          <t>BD-LAM-2023-0017</t>
        </is>
      </c>
      <c r="C54" s="41" t="inlineStr">
        <is>
          <t>Royal Touche - Crystal - 1104 - 1.25mm(Diamond)</t>
        </is>
      </c>
      <c r="D54" s="39" t="inlineStr">
        <is>
          <t>Royal Touche</t>
        </is>
      </c>
      <c r="E54" s="43" t="n">
        <v>46125</v>
      </c>
      <c r="F54" s="26" t="inlineStr">
        <is>
          <t>Sunil CR</t>
        </is>
      </c>
      <c r="G54" s="26" t="inlineStr">
        <is>
          <t>Yes</t>
        </is>
      </c>
      <c r="H54" s="26" t="inlineStr">
        <is>
          <t>No</t>
        </is>
      </c>
      <c r="I54" s="26" t="inlineStr">
        <is>
          <t>Good finish</t>
        </is>
      </c>
      <c r="J54" s="26" t="inlineStr">
        <is>
          <t>Yes</t>
        </is>
      </c>
      <c r="K54" s="27" t="n"/>
      <c r="L54" s="28" t="inlineStr">
        <is>
          <t>No</t>
        </is>
      </c>
      <c r="M54" s="29">
        <f>IF(E54="","",IF(H54="Yes","❌ Disc",IF(G54="No","⚠ Missing",IF(J54="Yes","✓ OK","⚠ Check"))))</f>
        <v/>
      </c>
      <c r="N54" s="43" t="n">
        <v>46193</v>
      </c>
      <c r="O54" s="26" t="inlineStr">
        <is>
          <t>Sunil CR</t>
        </is>
      </c>
      <c r="P54" s="26" t="inlineStr">
        <is>
          <t>Yes</t>
        </is>
      </c>
      <c r="Q54" s="26" t="inlineStr">
        <is>
          <t>No</t>
        </is>
      </c>
      <c r="R54" s="26" t="inlineStr">
        <is>
          <t>Good finish</t>
        </is>
      </c>
      <c r="S54" s="26" t="inlineStr">
        <is>
          <t>Yes</t>
        </is>
      </c>
      <c r="T54" s="27" t="n"/>
      <c r="U54" s="28" t="inlineStr">
        <is>
          <t>No</t>
        </is>
      </c>
      <c r="V54" s="29">
        <f>IF(N54="","",IF(Q54="Yes","❌ Disc",IF(P54="No","⚠ Missing",IF(S54="Yes","✓ OK","⚠ Check"))))</f>
        <v/>
      </c>
      <c r="W54" s="65" t="n">
        <v>46248</v>
      </c>
      <c r="X54" s="30" t="inlineStr">
        <is>
          <t>Sunil CR</t>
        </is>
      </c>
      <c r="Y54" s="30" t="inlineStr">
        <is>
          <t>Yes</t>
        </is>
      </c>
      <c r="Z54" s="30" t="n"/>
      <c r="AA54" s="30" t="inlineStr">
        <is>
          <t>Good finish</t>
        </is>
      </c>
      <c r="AB54" s="30" t="inlineStr">
        <is>
          <t>Yes</t>
        </is>
      </c>
      <c r="AC54" s="27" t="n"/>
      <c r="AD54" s="31" t="inlineStr">
        <is>
          <t>No</t>
        </is>
      </c>
      <c r="AE54" s="32">
        <f>IF(W54="","",IF(Z54="Yes","❌ Disc",IF(Y54="No","⚠ Missing",IF(AB54="Yes","✓ OK","⚠ Check"))))</f>
        <v/>
      </c>
      <c r="AF54" s="33" t="n"/>
      <c r="AG54" s="33" t="n"/>
      <c r="AH54" s="33" t="n"/>
      <c r="AI54" s="33" t="n"/>
      <c r="AJ54" s="33" t="n"/>
      <c r="AK54" s="33" t="n"/>
      <c r="AL54" s="27" t="n"/>
      <c r="AM54" s="34" t="n"/>
      <c r="AN54" s="35">
        <f>IF(AF54="","",IF(AI54="Yes","❌ Disc",IF(AH54="No","⚠ Missing",IF(AK54="Yes","✓ OK","⚠ Check"))))</f>
        <v/>
      </c>
      <c r="AO54" s="36" t="n"/>
      <c r="AP54" s="36" t="n"/>
      <c r="AQ54" s="36" t="n"/>
      <c r="AR54" s="36" t="n"/>
      <c r="AS54" s="36" t="n"/>
      <c r="AT54" s="36" t="n"/>
      <c r="AU54" s="27" t="n"/>
      <c r="AV54" s="37" t="n"/>
      <c r="AW54" s="38">
        <f>IF(AO54="","",IF(AR54="Yes","❌ Disc",IF(AQ54="No","⚠ Missing",IF(AT54="Yes","✓ OK","⚠ Check"))))</f>
        <v/>
      </c>
    </row>
    <row r="55" ht="18" customHeight="1" s="46">
      <c r="A55" s="23" t="n">
        <v>59</v>
      </c>
      <c r="B55" s="24" t="inlineStr">
        <is>
          <t>BD-LAM-2023-0016</t>
        </is>
      </c>
      <c r="C55" s="25" t="inlineStr">
        <is>
          <t>Royal Touche - Crystal - 1105 - 1.25mm(Diamond)</t>
        </is>
      </c>
      <c r="D55" s="23" t="inlineStr">
        <is>
          <t>Royal Touche</t>
        </is>
      </c>
      <c r="E55" s="43" t="n">
        <v>46125</v>
      </c>
      <c r="F55" s="26" t="inlineStr">
        <is>
          <t>Sunil CR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Good finish</t>
        </is>
      </c>
      <c r="J55" s="26" t="inlineStr">
        <is>
          <t>Yes</t>
        </is>
      </c>
      <c r="K55" s="27" t="n"/>
      <c r="L55" s="28" t="inlineStr">
        <is>
          <t>No</t>
        </is>
      </c>
      <c r="M55" s="29">
        <f>IF(E55="","",IF(H55="Yes","❌ Disc",IF(G55="No","⚠ Missing",IF(J55="Yes","✓ OK","⚠ Check"))))</f>
        <v/>
      </c>
      <c r="N55" s="43" t="n">
        <v>46193</v>
      </c>
      <c r="O55" s="26" t="inlineStr">
        <is>
          <t>Sunil CR</t>
        </is>
      </c>
      <c r="P55" s="26" t="inlineStr">
        <is>
          <t>Yes</t>
        </is>
      </c>
      <c r="Q55" s="26" t="inlineStr">
        <is>
          <t>No</t>
        </is>
      </c>
      <c r="R55" s="26" t="inlineStr">
        <is>
          <t>Good finish</t>
        </is>
      </c>
      <c r="S55" s="26" t="inlineStr">
        <is>
          <t>Yes</t>
        </is>
      </c>
      <c r="T55" s="27" t="n"/>
      <c r="U55" s="28" t="inlineStr">
        <is>
          <t>No</t>
        </is>
      </c>
      <c r="V55" s="29">
        <f>IF(N55="","",IF(Q55="Yes","❌ Disc",IF(P55="No","⚠ Missing",IF(S55="Yes","✓ OK","⚠ Check"))))</f>
        <v/>
      </c>
      <c r="W55" s="65" t="n">
        <v>46248</v>
      </c>
      <c r="X55" s="30" t="inlineStr">
        <is>
          <t>Sunil CR</t>
        </is>
      </c>
      <c r="Y55" s="30" t="inlineStr">
        <is>
          <t>Yes</t>
        </is>
      </c>
      <c r="Z55" s="30" t="n"/>
      <c r="AA55" s="30" t="inlineStr">
        <is>
          <t>Good finish</t>
        </is>
      </c>
      <c r="AB55" s="30" t="inlineStr">
        <is>
          <t>Yes</t>
        </is>
      </c>
      <c r="AC55" s="27" t="n"/>
      <c r="AD55" s="31" t="inlineStr">
        <is>
          <t>No</t>
        </is>
      </c>
      <c r="AE55" s="32">
        <f>IF(W55="","",IF(Z55="Yes","❌ Disc",IF(Y55="No","⚠ Missing",IF(AB55="Yes","✓ OK","⚠ Check"))))</f>
        <v/>
      </c>
      <c r="AF55" s="33" t="n"/>
      <c r="AG55" s="33" t="n"/>
      <c r="AH55" s="33" t="n"/>
      <c r="AI55" s="33" t="n"/>
      <c r="AJ55" s="33" t="n"/>
      <c r="AK55" s="33" t="n"/>
      <c r="AL55" s="27" t="n"/>
      <c r="AM55" s="34" t="n"/>
      <c r="AN55" s="35">
        <f>IF(AF55="","",IF(AI55="Yes","❌ Disc",IF(AH55="No","⚠ Missing",IF(AK55="Yes","✓ OK","⚠ Check"))))</f>
        <v/>
      </c>
      <c r="AO55" s="36" t="n"/>
      <c r="AP55" s="36" t="n"/>
      <c r="AQ55" s="36" t="n"/>
      <c r="AR55" s="36" t="n"/>
      <c r="AS55" s="36" t="n"/>
      <c r="AT55" s="36" t="n"/>
      <c r="AU55" s="27" t="n"/>
      <c r="AV55" s="37" t="n"/>
      <c r="AW55" s="38">
        <f>IF(AO55="","",IF(AR55="Yes","❌ Disc",IF(AQ55="No","⚠ Missing",IF(AT55="Yes","✓ OK","⚠ Check"))))</f>
        <v/>
      </c>
    </row>
    <row r="56" ht="18" customHeight="1" s="46">
      <c r="A56" s="39" t="n">
        <v>60</v>
      </c>
      <c r="B56" s="40" t="inlineStr">
        <is>
          <t>BD-LAM-2023-0023</t>
        </is>
      </c>
      <c r="C56" s="41" t="inlineStr">
        <is>
          <t>Royal Touche - Crystal - 1244 - 1.25mm(Diamond)</t>
        </is>
      </c>
      <c r="D56" s="39" t="inlineStr">
        <is>
          <t>Royal Touche</t>
        </is>
      </c>
      <c r="E56" s="43" t="n">
        <v>46125</v>
      </c>
      <c r="F56" s="26" t="inlineStr">
        <is>
          <t>Sunil CR</t>
        </is>
      </c>
      <c r="G56" s="26" t="inlineStr">
        <is>
          <t>Yes</t>
        </is>
      </c>
      <c r="H56" s="26" t="inlineStr">
        <is>
          <t>No</t>
        </is>
      </c>
      <c r="I56" s="26" t="inlineStr">
        <is>
          <t>Good finish</t>
        </is>
      </c>
      <c r="J56" s="26" t="inlineStr">
        <is>
          <t>Yes</t>
        </is>
      </c>
      <c r="K56" s="27" t="n"/>
      <c r="L56" s="28" t="inlineStr">
        <is>
          <t>No</t>
        </is>
      </c>
      <c r="M56" s="29">
        <f>IF(E56="","",IF(H56="Yes","❌ Disc",IF(G56="No","⚠ Missing",IF(J56="Yes","✓ OK","⚠ Check"))))</f>
        <v/>
      </c>
      <c r="N56" s="43" t="n">
        <v>46193</v>
      </c>
      <c r="O56" s="26" t="inlineStr">
        <is>
          <t>Sunil CR</t>
        </is>
      </c>
      <c r="P56" s="26" t="inlineStr">
        <is>
          <t>Yes</t>
        </is>
      </c>
      <c r="Q56" s="26" t="inlineStr">
        <is>
          <t>No</t>
        </is>
      </c>
      <c r="R56" s="26" t="inlineStr">
        <is>
          <t>Good finish</t>
        </is>
      </c>
      <c r="S56" s="26" t="inlineStr">
        <is>
          <t>Yes</t>
        </is>
      </c>
      <c r="T56" s="27" t="n"/>
      <c r="U56" s="28" t="inlineStr">
        <is>
          <t>No</t>
        </is>
      </c>
      <c r="V56" s="29">
        <f>IF(N56="","",IF(Q56="Yes","❌ Disc",IF(P56="No","⚠ Missing",IF(S56="Yes","✓ OK","⚠ Check"))))</f>
        <v/>
      </c>
      <c r="W56" s="65" t="n">
        <v>46248</v>
      </c>
      <c r="X56" s="30" t="inlineStr">
        <is>
          <t>Sunil CR</t>
        </is>
      </c>
      <c r="Y56" s="30" t="inlineStr">
        <is>
          <t>Yes</t>
        </is>
      </c>
      <c r="Z56" s="30" t="n"/>
      <c r="AA56" s="30" t="inlineStr">
        <is>
          <t>Good finish</t>
        </is>
      </c>
      <c r="AB56" s="30" t="inlineStr">
        <is>
          <t>Yes</t>
        </is>
      </c>
      <c r="AC56" s="27" t="n"/>
      <c r="AD56" s="31" t="inlineStr">
        <is>
          <t>No</t>
        </is>
      </c>
      <c r="AE56" s="32">
        <f>IF(W56="","",IF(Z56="Yes","❌ Disc",IF(Y56="No","⚠ Missing",IF(AB56="Yes","✓ OK","⚠ Check"))))</f>
        <v/>
      </c>
      <c r="AF56" s="33" t="n"/>
      <c r="AG56" s="33" t="n"/>
      <c r="AH56" s="33" t="n"/>
      <c r="AI56" s="33" t="n"/>
      <c r="AJ56" s="33" t="n"/>
      <c r="AK56" s="33" t="n"/>
      <c r="AL56" s="27" t="n"/>
      <c r="AM56" s="34" t="n"/>
      <c r="AN56" s="35">
        <f>IF(AF56="","",IF(AI56="Yes","❌ Disc",IF(AH56="No","⚠ Missing",IF(AK56="Yes","✓ OK","⚠ Check"))))</f>
        <v/>
      </c>
      <c r="AO56" s="36" t="n"/>
      <c r="AP56" s="36" t="n"/>
      <c r="AQ56" s="36" t="n"/>
      <c r="AR56" s="36" t="n"/>
      <c r="AS56" s="36" t="n"/>
      <c r="AT56" s="36" t="n"/>
      <c r="AU56" s="27" t="n"/>
      <c r="AV56" s="37" t="n"/>
      <c r="AW56" s="38">
        <f>IF(AO56="","",IF(AR56="Yes","❌ Disc",IF(AQ56="No","⚠ Missing",IF(AT56="Yes","✓ OK","⚠ Check"))))</f>
        <v/>
      </c>
    </row>
    <row r="57" ht="18" customHeight="1" s="46">
      <c r="A57" s="23" t="n">
        <v>61</v>
      </c>
      <c r="B57" s="24" t="inlineStr">
        <is>
          <t>BD-LAM-2023-0022</t>
        </is>
      </c>
      <c r="C57" s="25" t="inlineStr">
        <is>
          <t>Royal Touche - Crystal - Z+BG - 1214 - 1.25mm(Diamond)</t>
        </is>
      </c>
      <c r="D57" s="23" t="inlineStr">
        <is>
          <t>Royal Touche</t>
        </is>
      </c>
      <c r="E57" s="43" t="n">
        <v>46125</v>
      </c>
      <c r="F57" s="26" t="inlineStr">
        <is>
          <t>Sunil CR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Good finish</t>
        </is>
      </c>
      <c r="J57" s="26" t="inlineStr">
        <is>
          <t>Yes</t>
        </is>
      </c>
      <c r="K57" s="27" t="n"/>
      <c r="L57" s="28" t="inlineStr">
        <is>
          <t>No</t>
        </is>
      </c>
      <c r="M57" s="29">
        <f>IF(E57="","",IF(H57="Yes","❌ Disc",IF(G57="No","⚠ Missing",IF(J57="Yes","✓ OK","⚠ Check"))))</f>
        <v/>
      </c>
      <c r="N57" s="43" t="n">
        <v>46193</v>
      </c>
      <c r="O57" s="26" t="inlineStr">
        <is>
          <t>Sunil CR</t>
        </is>
      </c>
      <c r="P57" s="26" t="inlineStr">
        <is>
          <t>Yes</t>
        </is>
      </c>
      <c r="Q57" s="26" t="inlineStr">
        <is>
          <t>No</t>
        </is>
      </c>
      <c r="R57" s="26" t="inlineStr">
        <is>
          <t>Good finish</t>
        </is>
      </c>
      <c r="S57" s="26" t="inlineStr">
        <is>
          <t>Yes</t>
        </is>
      </c>
      <c r="T57" s="27" t="n"/>
      <c r="U57" s="28" t="inlineStr">
        <is>
          <t>No</t>
        </is>
      </c>
      <c r="V57" s="29">
        <f>IF(N57="","",IF(Q57="Yes","❌ Disc",IF(P57="No","⚠ Missing",IF(S57="Yes","✓ OK","⚠ Check"))))</f>
        <v/>
      </c>
      <c r="W57" s="65" t="n">
        <v>46248</v>
      </c>
      <c r="X57" s="30" t="inlineStr">
        <is>
          <t>Sunil CR</t>
        </is>
      </c>
      <c r="Y57" s="30" t="inlineStr">
        <is>
          <t>Yes</t>
        </is>
      </c>
      <c r="Z57" s="30" t="n"/>
      <c r="AA57" s="30" t="inlineStr">
        <is>
          <t>Good finish</t>
        </is>
      </c>
      <c r="AB57" s="30" t="inlineStr">
        <is>
          <t>Yes</t>
        </is>
      </c>
      <c r="AC57" s="27" t="n"/>
      <c r="AD57" s="31" t="inlineStr">
        <is>
          <t>No</t>
        </is>
      </c>
      <c r="AE57" s="32">
        <f>IF(W57="","",IF(Z57="Yes","❌ Disc",IF(Y57="No","⚠ Missing",IF(AB57="Yes","✓ OK","⚠ Check"))))</f>
        <v/>
      </c>
      <c r="AF57" s="33" t="n"/>
      <c r="AG57" s="33" t="n"/>
      <c r="AH57" s="33" t="n"/>
      <c r="AI57" s="33" t="n"/>
      <c r="AJ57" s="33" t="n"/>
      <c r="AK57" s="33" t="n"/>
      <c r="AL57" s="27" t="n"/>
      <c r="AM57" s="34" t="n"/>
      <c r="AN57" s="35">
        <f>IF(AF57="","",IF(AI57="Yes","❌ Disc",IF(AH57="No","⚠ Missing",IF(AK57="Yes","✓ OK","⚠ Check"))))</f>
        <v/>
      </c>
      <c r="AO57" s="36" t="n"/>
      <c r="AP57" s="36" t="n"/>
      <c r="AQ57" s="36" t="n"/>
      <c r="AR57" s="36" t="n"/>
      <c r="AS57" s="36" t="n"/>
      <c r="AT57" s="36" t="n"/>
      <c r="AU57" s="27" t="n"/>
      <c r="AV57" s="37" t="n"/>
      <c r="AW57" s="38">
        <f>IF(AO57="","",IF(AR57="Yes","❌ Disc",IF(AQ57="No","⚠ Missing",IF(AT57="Yes","✓ OK","⚠ Check"))))</f>
        <v/>
      </c>
    </row>
    <row r="58" ht="18" customHeight="1" s="46">
      <c r="A58" s="39" t="n">
        <v>62</v>
      </c>
      <c r="B58" s="40" t="inlineStr">
        <is>
          <t>BD-LAM-2023-0025</t>
        </is>
      </c>
      <c r="C58" s="41" t="inlineStr">
        <is>
          <t>Royal Touche - Crystal Matty+ - 1249 - 1.25mm(Diamond)</t>
        </is>
      </c>
      <c r="D58" s="39" t="inlineStr">
        <is>
          <t>Royal Touche</t>
        </is>
      </c>
      <c r="E58" s="43" t="n">
        <v>46125</v>
      </c>
      <c r="F58" s="26" t="inlineStr">
        <is>
          <t>Sunil CR</t>
        </is>
      </c>
      <c r="G58" s="26" t="inlineStr">
        <is>
          <t>Yes</t>
        </is>
      </c>
      <c r="H58" s="26" t="inlineStr">
        <is>
          <t>No</t>
        </is>
      </c>
      <c r="I58" s="26" t="inlineStr">
        <is>
          <t>Good finish</t>
        </is>
      </c>
      <c r="J58" s="26" t="inlineStr">
        <is>
          <t>Yes</t>
        </is>
      </c>
      <c r="K58" s="27" t="n"/>
      <c r="L58" s="28" t="inlineStr">
        <is>
          <t>No</t>
        </is>
      </c>
      <c r="M58" s="29">
        <f>IF(E58="","",IF(H58="Yes","❌ Disc",IF(G58="No","⚠ Missing",IF(J58="Yes","✓ OK","⚠ Check"))))</f>
        <v/>
      </c>
      <c r="N58" s="43" t="n">
        <v>46193</v>
      </c>
      <c r="O58" s="26" t="inlineStr">
        <is>
          <t>Sunil CR</t>
        </is>
      </c>
      <c r="P58" s="26" t="inlineStr">
        <is>
          <t>Yes</t>
        </is>
      </c>
      <c r="Q58" s="26" t="inlineStr">
        <is>
          <t>No</t>
        </is>
      </c>
      <c r="R58" s="26" t="inlineStr">
        <is>
          <t>Good finish</t>
        </is>
      </c>
      <c r="S58" s="26" t="inlineStr">
        <is>
          <t>Yes</t>
        </is>
      </c>
      <c r="T58" s="27" t="n"/>
      <c r="U58" s="28" t="inlineStr">
        <is>
          <t>No</t>
        </is>
      </c>
      <c r="V58" s="29">
        <f>IF(N58="","",IF(Q58="Yes","❌ Disc",IF(P58="No","⚠ Missing",IF(S58="Yes","✓ OK","⚠ Check"))))</f>
        <v/>
      </c>
      <c r="W58" s="65" t="n">
        <v>46248</v>
      </c>
      <c r="X58" s="30" t="inlineStr">
        <is>
          <t>Sunil CR</t>
        </is>
      </c>
      <c r="Y58" s="30" t="inlineStr">
        <is>
          <t>Yes</t>
        </is>
      </c>
      <c r="Z58" s="30" t="n"/>
      <c r="AA58" s="30" t="inlineStr">
        <is>
          <t>Good finish</t>
        </is>
      </c>
      <c r="AB58" s="30" t="inlineStr">
        <is>
          <t>Yes</t>
        </is>
      </c>
      <c r="AC58" s="27" t="n"/>
      <c r="AD58" s="31" t="inlineStr">
        <is>
          <t>No</t>
        </is>
      </c>
      <c r="AE58" s="32">
        <f>IF(W58="","",IF(Z58="Yes","❌ Disc",IF(Y58="No","⚠ Missing",IF(AB58="Yes","✓ OK","⚠ Check"))))</f>
        <v/>
      </c>
      <c r="AF58" s="33" t="n"/>
      <c r="AG58" s="33" t="n"/>
      <c r="AH58" s="33" t="n"/>
      <c r="AI58" s="33" t="n"/>
      <c r="AJ58" s="33" t="n"/>
      <c r="AK58" s="33" t="n"/>
      <c r="AL58" s="27" t="n"/>
      <c r="AM58" s="34" t="n"/>
      <c r="AN58" s="35">
        <f>IF(AF58="","",IF(AI58="Yes","❌ Disc",IF(AH58="No","⚠ Missing",IF(AK58="Yes","✓ OK","⚠ Check"))))</f>
        <v/>
      </c>
      <c r="AO58" s="36" t="n"/>
      <c r="AP58" s="36" t="n"/>
      <c r="AQ58" s="36" t="n"/>
      <c r="AR58" s="36" t="n"/>
      <c r="AS58" s="36" t="n"/>
      <c r="AT58" s="36" t="n"/>
      <c r="AU58" s="27" t="n"/>
      <c r="AV58" s="37" t="n"/>
      <c r="AW58" s="38">
        <f>IF(AO58="","",IF(AR58="Yes","❌ Disc",IF(AQ58="No","⚠ Missing",IF(AT58="Yes","✓ OK","⚠ Check"))))</f>
        <v/>
      </c>
    </row>
    <row r="59" ht="18" customHeight="1" s="46">
      <c r="A59" s="23" t="n">
        <v>63</v>
      </c>
      <c r="B59" s="24" t="inlineStr">
        <is>
          <t>BD-LAM-2023-0037</t>
        </is>
      </c>
      <c r="C59" s="25" t="inlineStr">
        <is>
          <t>Royal Touche - DL - 1112 - 1.25mm(Diamond)</t>
        </is>
      </c>
      <c r="D59" s="23" t="inlineStr">
        <is>
          <t>Royal Touche</t>
        </is>
      </c>
      <c r="E59" s="43" t="n">
        <v>46125</v>
      </c>
      <c r="F59" s="26" t="inlineStr">
        <is>
          <t>Sunil CR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Good finish</t>
        </is>
      </c>
      <c r="J59" s="26" t="inlineStr">
        <is>
          <t>Yes</t>
        </is>
      </c>
      <c r="K59" s="27" t="n"/>
      <c r="L59" s="28" t="inlineStr">
        <is>
          <t>No</t>
        </is>
      </c>
      <c r="M59" s="29">
        <f>IF(E59="","",IF(H59="Yes","❌ Disc",IF(G59="No","⚠ Missing",IF(J59="Yes","✓ OK","⚠ Check"))))</f>
        <v/>
      </c>
      <c r="N59" s="43" t="n">
        <v>46193</v>
      </c>
      <c r="O59" s="26" t="inlineStr">
        <is>
          <t>Sunil CR</t>
        </is>
      </c>
      <c r="P59" s="26" t="inlineStr">
        <is>
          <t>Yes</t>
        </is>
      </c>
      <c r="Q59" s="26" t="inlineStr">
        <is>
          <t>No</t>
        </is>
      </c>
      <c r="R59" s="26" t="inlineStr">
        <is>
          <t>Good finish</t>
        </is>
      </c>
      <c r="S59" s="26" t="inlineStr">
        <is>
          <t>Yes</t>
        </is>
      </c>
      <c r="T59" s="27" t="n"/>
      <c r="U59" s="28" t="inlineStr">
        <is>
          <t>No</t>
        </is>
      </c>
      <c r="V59" s="29">
        <f>IF(N59="","",IF(Q59="Yes","❌ Disc",IF(P59="No","⚠ Missing",IF(S59="Yes","✓ OK","⚠ Check"))))</f>
        <v/>
      </c>
      <c r="W59" s="65" t="n">
        <v>46248</v>
      </c>
      <c r="X59" s="30" t="inlineStr">
        <is>
          <t>Sunil CR</t>
        </is>
      </c>
      <c r="Y59" s="30" t="inlineStr">
        <is>
          <t>Yes</t>
        </is>
      </c>
      <c r="Z59" s="30" t="n"/>
      <c r="AA59" s="30" t="inlineStr">
        <is>
          <t>Good finish</t>
        </is>
      </c>
      <c r="AB59" s="30" t="inlineStr">
        <is>
          <t>Yes</t>
        </is>
      </c>
      <c r="AC59" s="27" t="n"/>
      <c r="AD59" s="31" t="inlineStr">
        <is>
          <t>No</t>
        </is>
      </c>
      <c r="AE59" s="32">
        <f>IF(W59="","",IF(Z59="Yes","❌ Disc",IF(Y59="No","⚠ Missing",IF(AB59="Yes","✓ OK","⚠ Check"))))</f>
        <v/>
      </c>
      <c r="AF59" s="33" t="n"/>
      <c r="AG59" s="33" t="n"/>
      <c r="AH59" s="33" t="n"/>
      <c r="AI59" s="33" t="n"/>
      <c r="AJ59" s="33" t="n"/>
      <c r="AK59" s="33" t="n"/>
      <c r="AL59" s="27" t="n"/>
      <c r="AM59" s="34" t="n"/>
      <c r="AN59" s="35">
        <f>IF(AF59="","",IF(AI59="Yes","❌ Disc",IF(AH59="No","⚠ Missing",IF(AK59="Yes","✓ OK","⚠ Check"))))</f>
        <v/>
      </c>
      <c r="AO59" s="36" t="n"/>
      <c r="AP59" s="36" t="n"/>
      <c r="AQ59" s="36" t="n"/>
      <c r="AR59" s="36" t="n"/>
      <c r="AS59" s="36" t="n"/>
      <c r="AT59" s="36" t="n"/>
      <c r="AU59" s="27" t="n"/>
      <c r="AV59" s="37" t="n"/>
      <c r="AW59" s="38">
        <f>IF(AO59="","",IF(AR59="Yes","❌ Disc",IF(AQ59="No","⚠ Missing",IF(AT59="Yes","✓ OK","⚠ Check"))))</f>
        <v/>
      </c>
    </row>
    <row r="60" ht="18" customHeight="1" s="46">
      <c r="A60" s="39" t="n">
        <v>64</v>
      </c>
      <c r="B60" s="40" t="inlineStr">
        <is>
          <t>BD-LAM-2023-0030</t>
        </is>
      </c>
      <c r="C60" s="41" t="inlineStr">
        <is>
          <t>Royal Touche - OC - 1691 - 1.25mm(Diamond)</t>
        </is>
      </c>
      <c r="D60" s="39" t="inlineStr">
        <is>
          <t>Royal Touche</t>
        </is>
      </c>
      <c r="E60" s="43" t="n">
        <v>46125</v>
      </c>
      <c r="F60" s="26" t="inlineStr">
        <is>
          <t>Sunil CR</t>
        </is>
      </c>
      <c r="G60" s="26" t="inlineStr">
        <is>
          <t>Yes</t>
        </is>
      </c>
      <c r="H60" s="26" t="inlineStr">
        <is>
          <t>No</t>
        </is>
      </c>
      <c r="I60" s="26" t="inlineStr">
        <is>
          <t>Good finish</t>
        </is>
      </c>
      <c r="J60" s="26" t="inlineStr">
        <is>
          <t>Yes</t>
        </is>
      </c>
      <c r="K60" s="27" t="n"/>
      <c r="L60" s="28" t="inlineStr">
        <is>
          <t>No</t>
        </is>
      </c>
      <c r="M60" s="29">
        <f>IF(E60="","",IF(H60="Yes","❌ Disc",IF(G60="No","⚠ Missing",IF(J60="Yes","✓ OK","⚠ Check"))))</f>
        <v/>
      </c>
      <c r="N60" s="43" t="n">
        <v>46193</v>
      </c>
      <c r="O60" s="26" t="inlineStr">
        <is>
          <t>Sunil CR</t>
        </is>
      </c>
      <c r="P60" s="26" t="inlineStr">
        <is>
          <t>Yes</t>
        </is>
      </c>
      <c r="Q60" s="26" t="inlineStr">
        <is>
          <t>No</t>
        </is>
      </c>
      <c r="R60" s="26" t="inlineStr">
        <is>
          <t>Good finish</t>
        </is>
      </c>
      <c r="S60" s="26" t="inlineStr">
        <is>
          <t>Yes</t>
        </is>
      </c>
      <c r="T60" s="27" t="n"/>
      <c r="U60" s="28" t="inlineStr">
        <is>
          <t>No</t>
        </is>
      </c>
      <c r="V60" s="29">
        <f>IF(N60="","",IF(Q60="Yes","❌ Disc",IF(P60="No","⚠ Missing",IF(S60="Yes","✓ OK","⚠ Check"))))</f>
        <v/>
      </c>
      <c r="W60" s="65" t="n">
        <v>46248</v>
      </c>
      <c r="X60" s="30" t="inlineStr">
        <is>
          <t>Sunil CR</t>
        </is>
      </c>
      <c r="Y60" s="30" t="inlineStr">
        <is>
          <t>Yes</t>
        </is>
      </c>
      <c r="Z60" s="30" t="n"/>
      <c r="AA60" s="30" t="inlineStr">
        <is>
          <t>Good finish</t>
        </is>
      </c>
      <c r="AB60" s="30" t="inlineStr">
        <is>
          <t>Yes</t>
        </is>
      </c>
      <c r="AC60" s="27" t="n"/>
      <c r="AD60" s="31" t="inlineStr">
        <is>
          <t>No</t>
        </is>
      </c>
      <c r="AE60" s="32">
        <f>IF(W60="","",IF(Z60="Yes","❌ Disc",IF(Y60="No","⚠ Missing",IF(AB60="Yes","✓ OK","⚠ Check"))))</f>
        <v/>
      </c>
      <c r="AF60" s="33" t="n"/>
      <c r="AG60" s="33" t="n"/>
      <c r="AH60" s="33" t="n"/>
      <c r="AI60" s="33" t="n"/>
      <c r="AJ60" s="33" t="n"/>
      <c r="AK60" s="33" t="n"/>
      <c r="AL60" s="27" t="n"/>
      <c r="AM60" s="34" t="n"/>
      <c r="AN60" s="35">
        <f>IF(AF60="","",IF(AI60="Yes","❌ Disc",IF(AH60="No","⚠ Missing",IF(AK60="Yes","✓ OK","⚠ Check"))))</f>
        <v/>
      </c>
      <c r="AO60" s="36" t="n"/>
      <c r="AP60" s="36" t="n"/>
      <c r="AQ60" s="36" t="n"/>
      <c r="AR60" s="36" t="n"/>
      <c r="AS60" s="36" t="n"/>
      <c r="AT60" s="36" t="n"/>
      <c r="AU60" s="27" t="n"/>
      <c r="AV60" s="37" t="n"/>
      <c r="AW60" s="38">
        <f>IF(AO60="","",IF(AR60="Yes","❌ Disc",IF(AQ60="No","⚠ Missing",IF(AT60="Yes","✓ OK","⚠ Check"))))</f>
        <v/>
      </c>
    </row>
    <row r="61" ht="18" customHeight="1" s="46">
      <c r="A61" s="23" t="n">
        <v>65</v>
      </c>
      <c r="B61" s="24" t="inlineStr">
        <is>
          <t>BD-LAM-2023-0031</t>
        </is>
      </c>
      <c r="C61" s="25" t="inlineStr">
        <is>
          <t>Royal Touche - OC - 1692 - 1.25mm(Diamond)</t>
        </is>
      </c>
      <c r="D61" s="23" t="inlineStr">
        <is>
          <t>Royal Touche</t>
        </is>
      </c>
      <c r="E61" s="43" t="n">
        <v>46125</v>
      </c>
      <c r="F61" s="26" t="inlineStr">
        <is>
          <t>Sunil CR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Good finish</t>
        </is>
      </c>
      <c r="J61" s="26" t="inlineStr">
        <is>
          <t>Yes</t>
        </is>
      </c>
      <c r="K61" s="27" t="n"/>
      <c r="L61" s="28" t="inlineStr">
        <is>
          <t>No</t>
        </is>
      </c>
      <c r="M61" s="29">
        <f>IF(E61="","",IF(H61="Yes","❌ Disc",IF(G61="No","⚠ Missing",IF(J61="Yes","✓ OK","⚠ Check"))))</f>
        <v/>
      </c>
      <c r="N61" s="43" t="n">
        <v>46193</v>
      </c>
      <c r="O61" s="26" t="inlineStr">
        <is>
          <t>Sunil CR</t>
        </is>
      </c>
      <c r="P61" s="26" t="inlineStr">
        <is>
          <t>Yes</t>
        </is>
      </c>
      <c r="Q61" s="26" t="inlineStr">
        <is>
          <t>No</t>
        </is>
      </c>
      <c r="R61" s="26" t="inlineStr">
        <is>
          <t>Good finish</t>
        </is>
      </c>
      <c r="S61" s="26" t="inlineStr">
        <is>
          <t>Yes</t>
        </is>
      </c>
      <c r="T61" s="27" t="n"/>
      <c r="U61" s="28" t="inlineStr">
        <is>
          <t>No</t>
        </is>
      </c>
      <c r="V61" s="29">
        <f>IF(N61="","",IF(Q61="Yes","❌ Disc",IF(P61="No","⚠ Missing",IF(S61="Yes","✓ OK","⚠ Check"))))</f>
        <v/>
      </c>
      <c r="W61" s="65" t="n">
        <v>46248</v>
      </c>
      <c r="X61" s="30" t="inlineStr">
        <is>
          <t>Sunil CR</t>
        </is>
      </c>
      <c r="Y61" s="30" t="inlineStr">
        <is>
          <t>Yes</t>
        </is>
      </c>
      <c r="Z61" s="30" t="n"/>
      <c r="AA61" s="30" t="inlineStr">
        <is>
          <t>Good finish</t>
        </is>
      </c>
      <c r="AB61" s="30" t="inlineStr">
        <is>
          <t>Yes</t>
        </is>
      </c>
      <c r="AC61" s="27" t="n"/>
      <c r="AD61" s="31" t="inlineStr">
        <is>
          <t>No</t>
        </is>
      </c>
      <c r="AE61" s="32">
        <f>IF(W61="","",IF(Z61="Yes","❌ Disc",IF(Y61="No","⚠ Missing",IF(AB61="Yes","✓ OK","⚠ Check"))))</f>
        <v/>
      </c>
      <c r="AF61" s="33" t="n"/>
      <c r="AG61" s="33" t="n"/>
      <c r="AH61" s="33" t="n"/>
      <c r="AI61" s="33" t="n"/>
      <c r="AJ61" s="33" t="n"/>
      <c r="AK61" s="33" t="n"/>
      <c r="AL61" s="27" t="n"/>
      <c r="AM61" s="34" t="n"/>
      <c r="AN61" s="35">
        <f>IF(AF61="","",IF(AI61="Yes","❌ Disc",IF(AH61="No","⚠ Missing",IF(AK61="Yes","✓ OK","⚠ Check"))))</f>
        <v/>
      </c>
      <c r="AO61" s="36" t="n"/>
      <c r="AP61" s="36" t="n"/>
      <c r="AQ61" s="36" t="n"/>
      <c r="AR61" s="36" t="n"/>
      <c r="AS61" s="36" t="n"/>
      <c r="AT61" s="36" t="n"/>
      <c r="AU61" s="27" t="n"/>
      <c r="AV61" s="37" t="n"/>
      <c r="AW61" s="38">
        <f>IF(AO61="","",IF(AR61="Yes","❌ Disc",IF(AQ61="No","⚠ Missing",IF(AT61="Yes","✓ OK","⚠ Check"))))</f>
        <v/>
      </c>
    </row>
    <row r="62" ht="18" customHeight="1" s="46">
      <c r="A62" s="39" t="n">
        <v>66</v>
      </c>
      <c r="B62" s="40" t="inlineStr">
        <is>
          <t>BD-LAM-2023-0006</t>
        </is>
      </c>
      <c r="C62" s="41" t="inlineStr">
        <is>
          <t>Royal Touche - PU - 1628 - 1.25mm(Diamond)</t>
        </is>
      </c>
      <c r="D62" s="39" t="inlineStr">
        <is>
          <t>Royal Touche</t>
        </is>
      </c>
      <c r="E62" s="43" t="n">
        <v>46125</v>
      </c>
      <c r="F62" s="26" t="inlineStr">
        <is>
          <t>Sunil CR</t>
        </is>
      </c>
      <c r="G62" s="26" t="inlineStr">
        <is>
          <t>Yes</t>
        </is>
      </c>
      <c r="H62" s="26" t="inlineStr">
        <is>
          <t>No</t>
        </is>
      </c>
      <c r="I62" s="26" t="inlineStr">
        <is>
          <t>Good finish</t>
        </is>
      </c>
      <c r="J62" s="26" t="inlineStr">
        <is>
          <t>Yes</t>
        </is>
      </c>
      <c r="K62" s="27" t="n"/>
      <c r="L62" s="28" t="inlineStr">
        <is>
          <t>No</t>
        </is>
      </c>
      <c r="M62" s="29">
        <f>IF(E62="","",IF(H62="Yes","❌ Disc",IF(G62="No","⚠ Missing",IF(J62="Yes","✓ OK","⚠ Check"))))</f>
        <v/>
      </c>
      <c r="N62" s="43" t="n">
        <v>46193</v>
      </c>
      <c r="O62" s="26" t="inlineStr">
        <is>
          <t>Sunil CR</t>
        </is>
      </c>
      <c r="P62" s="26" t="inlineStr">
        <is>
          <t>Yes</t>
        </is>
      </c>
      <c r="Q62" s="26" t="inlineStr">
        <is>
          <t>No</t>
        </is>
      </c>
      <c r="R62" s="26" t="inlineStr">
        <is>
          <t>Good finish</t>
        </is>
      </c>
      <c r="S62" s="26" t="inlineStr">
        <is>
          <t>Yes</t>
        </is>
      </c>
      <c r="T62" s="27" t="n"/>
      <c r="U62" s="28" t="inlineStr">
        <is>
          <t>No</t>
        </is>
      </c>
      <c r="V62" s="29">
        <f>IF(N62="","",IF(Q62="Yes","❌ Disc",IF(P62="No","⚠ Missing",IF(S62="Yes","✓ OK","⚠ Check"))))</f>
        <v/>
      </c>
      <c r="W62" s="65" t="n">
        <v>46248</v>
      </c>
      <c r="X62" s="30" t="inlineStr">
        <is>
          <t>Sunil CR</t>
        </is>
      </c>
      <c r="Y62" s="30" t="inlineStr">
        <is>
          <t>Yes</t>
        </is>
      </c>
      <c r="Z62" s="30" t="n"/>
      <c r="AA62" s="30" t="inlineStr">
        <is>
          <t>Good finish</t>
        </is>
      </c>
      <c r="AB62" s="30" t="inlineStr">
        <is>
          <t>Yes</t>
        </is>
      </c>
      <c r="AC62" s="27" t="n"/>
      <c r="AD62" s="31" t="inlineStr">
        <is>
          <t>No</t>
        </is>
      </c>
      <c r="AE62" s="32">
        <f>IF(W62="","",IF(Z62="Yes","❌ Disc",IF(Y62="No","⚠ Missing",IF(AB62="Yes","✓ OK","⚠ Check"))))</f>
        <v/>
      </c>
      <c r="AF62" s="33" t="n"/>
      <c r="AG62" s="33" t="n"/>
      <c r="AH62" s="33" t="n"/>
      <c r="AI62" s="33" t="n"/>
      <c r="AJ62" s="33" t="n"/>
      <c r="AK62" s="33" t="n"/>
      <c r="AL62" s="27" t="n"/>
      <c r="AM62" s="34" t="n"/>
      <c r="AN62" s="35">
        <f>IF(AF62="","",IF(AI62="Yes","❌ Disc",IF(AH62="No","⚠ Missing",IF(AK62="Yes","✓ OK","⚠ Check"))))</f>
        <v/>
      </c>
      <c r="AO62" s="36" t="n"/>
      <c r="AP62" s="36" t="n"/>
      <c r="AQ62" s="36" t="n"/>
      <c r="AR62" s="36" t="n"/>
      <c r="AS62" s="36" t="n"/>
      <c r="AT62" s="36" t="n"/>
      <c r="AU62" s="27" t="n"/>
      <c r="AV62" s="37" t="n"/>
      <c r="AW62" s="38">
        <f>IF(AO62="","",IF(AR62="Yes","❌ Disc",IF(AQ62="No","⚠ Missing",IF(AT62="Yes","✓ OK","⚠ Check"))))</f>
        <v/>
      </c>
    </row>
    <row r="63" ht="18" customHeight="1" s="46">
      <c r="A63" s="23" t="n">
        <v>67</v>
      </c>
      <c r="B63" s="24" t="inlineStr">
        <is>
          <t>BD-LAM-2023-0007</t>
        </is>
      </c>
      <c r="C63" s="25" t="inlineStr">
        <is>
          <t>Royal Touche - PU - 1721 - 1.25mm(Diamond)</t>
        </is>
      </c>
      <c r="D63" s="23" t="inlineStr">
        <is>
          <t>Royal Touche</t>
        </is>
      </c>
      <c r="E63" s="43" t="n">
        <v>46125</v>
      </c>
      <c r="F63" s="26" t="inlineStr">
        <is>
          <t>Sunil CR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Good finish</t>
        </is>
      </c>
      <c r="J63" s="26" t="inlineStr">
        <is>
          <t>Yes</t>
        </is>
      </c>
      <c r="K63" s="27" t="n"/>
      <c r="L63" s="28" t="inlineStr">
        <is>
          <t>No</t>
        </is>
      </c>
      <c r="M63" s="29">
        <f>IF(E63="","",IF(H63="Yes","❌ Disc",IF(G63="No","⚠ Missing",IF(J63="Yes","✓ OK","⚠ Check"))))</f>
        <v/>
      </c>
      <c r="N63" s="43" t="n">
        <v>46193</v>
      </c>
      <c r="O63" s="26" t="inlineStr">
        <is>
          <t>Sunil CR</t>
        </is>
      </c>
      <c r="P63" s="26" t="inlineStr">
        <is>
          <t>Yes</t>
        </is>
      </c>
      <c r="Q63" s="26" t="inlineStr">
        <is>
          <t>No</t>
        </is>
      </c>
      <c r="R63" s="26" t="inlineStr">
        <is>
          <t>Good finish</t>
        </is>
      </c>
      <c r="S63" s="26" t="inlineStr">
        <is>
          <t>Yes</t>
        </is>
      </c>
      <c r="T63" s="27" t="n"/>
      <c r="U63" s="28" t="inlineStr">
        <is>
          <t>No</t>
        </is>
      </c>
      <c r="V63" s="29">
        <f>IF(N63="","",IF(Q63="Yes","❌ Disc",IF(P63="No","⚠ Missing",IF(S63="Yes","✓ OK","⚠ Check"))))</f>
        <v/>
      </c>
      <c r="W63" s="65" t="n">
        <v>46248</v>
      </c>
      <c r="X63" s="30" t="inlineStr">
        <is>
          <t>Sunil CR</t>
        </is>
      </c>
      <c r="Y63" s="30" t="inlineStr">
        <is>
          <t>Yes</t>
        </is>
      </c>
      <c r="Z63" s="30" t="n"/>
      <c r="AA63" s="30" t="inlineStr">
        <is>
          <t>Good finish</t>
        </is>
      </c>
      <c r="AB63" s="30" t="inlineStr">
        <is>
          <t>Yes</t>
        </is>
      </c>
      <c r="AC63" s="27" t="n"/>
      <c r="AD63" s="31" t="inlineStr">
        <is>
          <t>No</t>
        </is>
      </c>
      <c r="AE63" s="32">
        <f>IF(W63="","",IF(Z63="Yes","❌ Disc",IF(Y63="No","⚠ Missing",IF(AB63="Yes","✓ OK","⚠ Check"))))</f>
        <v/>
      </c>
      <c r="AF63" s="33" t="n"/>
      <c r="AG63" s="33" t="n"/>
      <c r="AH63" s="33" t="n"/>
      <c r="AI63" s="33" t="n"/>
      <c r="AJ63" s="33" t="n"/>
      <c r="AK63" s="33" t="n"/>
      <c r="AL63" s="27" t="n"/>
      <c r="AM63" s="34" t="n"/>
      <c r="AN63" s="35">
        <f>IF(AF63="","",IF(AI63="Yes","❌ Disc",IF(AH63="No","⚠ Missing",IF(AK63="Yes","✓ OK","⚠ Check"))))</f>
        <v/>
      </c>
      <c r="AO63" s="36" t="n"/>
      <c r="AP63" s="36" t="n"/>
      <c r="AQ63" s="36" t="n"/>
      <c r="AR63" s="36" t="n"/>
      <c r="AS63" s="36" t="n"/>
      <c r="AT63" s="36" t="n"/>
      <c r="AU63" s="27" t="n"/>
      <c r="AV63" s="37" t="n"/>
      <c r="AW63" s="38">
        <f>IF(AO63="","",IF(AR63="Yes","❌ Disc",IF(AQ63="No","⚠ Missing",IF(AT63="Yes","✓ OK","⚠ Check"))))</f>
        <v/>
      </c>
    </row>
    <row r="64" ht="18" customHeight="1" s="46">
      <c r="A64" s="39" t="n">
        <v>68</v>
      </c>
      <c r="B64" s="40" t="inlineStr">
        <is>
          <t>BD-LAM-2024-0001</t>
        </is>
      </c>
      <c r="C64" s="41" t="inlineStr">
        <is>
          <t>Royal Touche - RT Crystal Z+ PP 1129 1.25mm(Diamond)</t>
        </is>
      </c>
      <c r="D64" s="39" t="inlineStr">
        <is>
          <t>Royal Touche</t>
        </is>
      </c>
      <c r="E64" s="43" t="n">
        <v>46125</v>
      </c>
      <c r="F64" s="26" t="inlineStr">
        <is>
          <t>Sunil CR</t>
        </is>
      </c>
      <c r="G64" s="26" t="inlineStr">
        <is>
          <t>Yes</t>
        </is>
      </c>
      <c r="H64" s="26" t="inlineStr">
        <is>
          <t>No</t>
        </is>
      </c>
      <c r="I64" s="26" t="inlineStr">
        <is>
          <t>Minor defect</t>
        </is>
      </c>
      <c r="J64" s="26" t="inlineStr">
        <is>
          <t>No</t>
        </is>
      </c>
      <c r="K64" s="27" t="inlineStr">
        <is>
          <t>Categorization sticker is missing</t>
        </is>
      </c>
      <c r="L64" s="28" t="inlineStr">
        <is>
          <t>Yes</t>
        </is>
      </c>
      <c r="M64" s="29">
        <f>IF(E64="","",IF(H64="Yes","❌ Disc",IF(G64="No","⚠ Missing",IF(J64="Yes","✓ OK","⚠ Check"))))</f>
        <v/>
      </c>
      <c r="N64" s="43" t="n">
        <v>46193</v>
      </c>
      <c r="O64" s="26" t="inlineStr">
        <is>
          <t>Sunil CR</t>
        </is>
      </c>
      <c r="P64" s="26" t="inlineStr">
        <is>
          <t>Yes</t>
        </is>
      </c>
      <c r="Q64" s="26" t="inlineStr">
        <is>
          <t>No</t>
        </is>
      </c>
      <c r="R64" s="26" t="inlineStr">
        <is>
          <t>Minor defect</t>
        </is>
      </c>
      <c r="S64" s="26" t="inlineStr">
        <is>
          <t>No</t>
        </is>
      </c>
      <c r="T64" s="27" t="inlineStr">
        <is>
          <t>Categorization sticker is missing</t>
        </is>
      </c>
      <c r="U64" s="28" t="inlineStr">
        <is>
          <t>Yes</t>
        </is>
      </c>
      <c r="V64" s="29">
        <f>IF(N64="","",IF(Q64="Yes","❌ Disc",IF(P64="No","⚠ Missing",IF(S64="Yes","✓ OK","⚠ Check"))))</f>
        <v/>
      </c>
      <c r="W64" s="65" t="n">
        <v>46248</v>
      </c>
      <c r="X64" s="30" t="inlineStr">
        <is>
          <t>Sunil CR</t>
        </is>
      </c>
      <c r="Y64" s="30" t="inlineStr">
        <is>
          <t>Yes</t>
        </is>
      </c>
      <c r="Z64" s="30" t="n"/>
      <c r="AA64" s="30" t="inlineStr">
        <is>
          <t>Minor defect</t>
        </is>
      </c>
      <c r="AB64" s="30" t="inlineStr">
        <is>
          <t>No</t>
        </is>
      </c>
      <c r="AC64" s="27" t="inlineStr">
        <is>
          <t>Categorization sticker is missing</t>
        </is>
      </c>
      <c r="AD64" s="31" t="inlineStr">
        <is>
          <t>Yes</t>
        </is>
      </c>
      <c r="AE64" s="32">
        <f>IF(W64="","",IF(Z64="Yes","❌ Disc",IF(Y64="No","⚠ Missing",IF(AB64="Yes","✓ OK","⚠ Check"))))</f>
        <v/>
      </c>
      <c r="AF64" s="33" t="n"/>
      <c r="AG64" s="33" t="n"/>
      <c r="AH64" s="33" t="n"/>
      <c r="AI64" s="33" t="n"/>
      <c r="AJ64" s="33" t="n"/>
      <c r="AK64" s="33" t="n"/>
      <c r="AL64" s="27" t="n"/>
      <c r="AM64" s="34" t="n"/>
      <c r="AN64" s="35">
        <f>IF(AF64="","",IF(AI64="Yes","❌ Disc",IF(AH64="No","⚠ Missing",IF(AK64="Yes","✓ OK","⚠ Check"))))</f>
        <v/>
      </c>
      <c r="AO64" s="36" t="n"/>
      <c r="AP64" s="36" t="n"/>
      <c r="AQ64" s="36" t="n"/>
      <c r="AR64" s="36" t="n"/>
      <c r="AS64" s="36" t="n"/>
      <c r="AT64" s="36" t="n"/>
      <c r="AU64" s="27" t="n"/>
      <c r="AV64" s="37" t="n"/>
      <c r="AW64" s="38">
        <f>IF(AO64="","",IF(AR64="Yes","❌ Disc",IF(AQ64="No","⚠ Missing",IF(AT64="Yes","✓ OK","⚠ Check"))))</f>
        <v/>
      </c>
    </row>
    <row r="65" ht="18" customHeight="1" s="46">
      <c r="A65" s="23" t="n">
        <v>69</v>
      </c>
      <c r="B65" s="24" t="inlineStr">
        <is>
          <t>BD-LAM-2024-0097</t>
        </is>
      </c>
      <c r="C65" s="25" t="inlineStr">
        <is>
          <t>LAM SL AC 1mm 2383 Ktami Oreo Elm(Gold)</t>
        </is>
      </c>
      <c r="D65" s="23" t="inlineStr">
        <is>
          <t>Stylam</t>
        </is>
      </c>
      <c r="E65" s="43" t="n">
        <v>46125</v>
      </c>
      <c r="F65" s="26" t="inlineStr">
        <is>
          <t>Sunil CR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Good finish</t>
        </is>
      </c>
      <c r="J65" s="26" t="inlineStr">
        <is>
          <t>Yes</t>
        </is>
      </c>
      <c r="K65" s="27" t="n"/>
      <c r="L65" s="28" t="inlineStr">
        <is>
          <t>No</t>
        </is>
      </c>
      <c r="M65" s="29">
        <f>IF(E65="","",IF(H65="Yes","❌ Disc",IF(G65="No","⚠ Missing",IF(J65="Yes","✓ OK","⚠ Check"))))</f>
        <v/>
      </c>
      <c r="N65" s="43" t="n">
        <v>46193</v>
      </c>
      <c r="O65" s="26" t="inlineStr">
        <is>
          <t>Sunil CR</t>
        </is>
      </c>
      <c r="P65" s="26" t="inlineStr">
        <is>
          <t>Yes</t>
        </is>
      </c>
      <c r="Q65" s="26" t="inlineStr">
        <is>
          <t>No</t>
        </is>
      </c>
      <c r="R65" s="26" t="inlineStr">
        <is>
          <t>Good finish</t>
        </is>
      </c>
      <c r="S65" s="26" t="inlineStr">
        <is>
          <t>Yes</t>
        </is>
      </c>
      <c r="T65" s="27" t="n"/>
      <c r="U65" s="28" t="inlineStr">
        <is>
          <t>No</t>
        </is>
      </c>
      <c r="V65" s="29">
        <f>IF(N65="","",IF(Q65="Yes","❌ Disc",IF(P65="No","⚠ Missing",IF(S65="Yes","✓ OK","⚠ Check"))))</f>
        <v/>
      </c>
      <c r="W65" s="65" t="n">
        <v>46248</v>
      </c>
      <c r="X65" s="30" t="inlineStr">
        <is>
          <t>Sunil CR</t>
        </is>
      </c>
      <c r="Y65" s="30" t="inlineStr">
        <is>
          <t>No</t>
        </is>
      </c>
      <c r="Z65" s="30" t="inlineStr">
        <is>
          <t>Yes</t>
        </is>
      </c>
      <c r="AA65" s="30" t="inlineStr">
        <is>
          <t>Discontinued</t>
        </is>
      </c>
      <c r="AB65" s="30" t="inlineStr">
        <is>
          <t>No</t>
        </is>
      </c>
      <c r="AC65" s="27" t="n"/>
      <c r="AD65" s="31" t="inlineStr">
        <is>
          <t>No</t>
        </is>
      </c>
      <c r="AE65" s="32">
        <f>IF(W65="","",IF(Z65="Yes","❌ Disc",IF(Y65="No","⚠ Missing",IF(AB65="Yes","✓ OK","⚠ Check"))))</f>
        <v/>
      </c>
      <c r="AF65" s="33" t="n"/>
      <c r="AG65" s="33" t="n"/>
      <c r="AH65" s="33" t="n"/>
      <c r="AI65" s="33" t="n"/>
      <c r="AJ65" s="33" t="n"/>
      <c r="AK65" s="33" t="n"/>
      <c r="AL65" s="27" t="n"/>
      <c r="AM65" s="34" t="n"/>
      <c r="AN65" s="35">
        <f>IF(AF65="","",IF(AI65="Yes","❌ Disc",IF(AH65="No","⚠ Missing",IF(AK65="Yes","✓ OK","⚠ Check"))))</f>
        <v/>
      </c>
      <c r="AO65" s="36" t="n"/>
      <c r="AP65" s="36" t="n"/>
      <c r="AQ65" s="36" t="n"/>
      <c r="AR65" s="36" t="n"/>
      <c r="AS65" s="36" t="n"/>
      <c r="AT65" s="36" t="n"/>
      <c r="AU65" s="27" t="n"/>
      <c r="AV65" s="37" t="n"/>
      <c r="AW65" s="38">
        <f>IF(AO65="","",IF(AR65="Yes","❌ Disc",IF(AQ65="No","⚠ Missing",IF(AT65="Yes","✓ OK","⚠ Check"))))</f>
        <v/>
      </c>
    </row>
    <row r="66" ht="18" customHeight="1" s="46">
      <c r="A66" s="39" t="n">
        <v>70</v>
      </c>
      <c r="B66" s="40" t="inlineStr">
        <is>
          <t>BD-LAM-2024-0079</t>
        </is>
      </c>
      <c r="C66" s="41" t="inlineStr">
        <is>
          <t>Lam SL AC 1mm 2905 Amalfi Tan Oak(Gold)</t>
        </is>
      </c>
      <c r="D66" s="39" t="inlineStr">
        <is>
          <t>Stylam</t>
        </is>
      </c>
      <c r="E66" s="43" t="n">
        <v>46125</v>
      </c>
      <c r="F66" s="26" t="inlineStr">
        <is>
          <t>Sunil CR</t>
        </is>
      </c>
      <c r="G66" s="26" t="inlineStr">
        <is>
          <t>Yes</t>
        </is>
      </c>
      <c r="H66" s="26" t="inlineStr">
        <is>
          <t>No</t>
        </is>
      </c>
      <c r="I66" s="26" t="inlineStr">
        <is>
          <t>Good finish</t>
        </is>
      </c>
      <c r="J66" s="26" t="inlineStr">
        <is>
          <t>Yes</t>
        </is>
      </c>
      <c r="K66" s="27" t="n"/>
      <c r="L66" s="28" t="inlineStr">
        <is>
          <t>No</t>
        </is>
      </c>
      <c r="M66" s="29">
        <f>IF(E66="","",IF(H66="Yes","❌ Disc",IF(G66="No","⚠ Missing",IF(J66="Yes","✓ OK","⚠ Check"))))</f>
        <v/>
      </c>
      <c r="N66" s="43" t="n">
        <v>46193</v>
      </c>
      <c r="O66" s="26" t="inlineStr">
        <is>
          <t>Sunil CR</t>
        </is>
      </c>
      <c r="P66" s="26" t="inlineStr">
        <is>
          <t>Yes</t>
        </is>
      </c>
      <c r="Q66" s="26" t="inlineStr">
        <is>
          <t>No</t>
        </is>
      </c>
      <c r="R66" s="26" t="inlineStr">
        <is>
          <t>Good finish</t>
        </is>
      </c>
      <c r="S66" s="26" t="inlineStr">
        <is>
          <t>Yes</t>
        </is>
      </c>
      <c r="T66" s="27" t="n"/>
      <c r="U66" s="28" t="inlineStr">
        <is>
          <t>No</t>
        </is>
      </c>
      <c r="V66" s="29">
        <f>IF(N66="","",IF(Q66="Yes","❌ Disc",IF(P66="No","⚠ Missing",IF(S66="Yes","✓ OK","⚠ Check"))))</f>
        <v/>
      </c>
      <c r="W66" s="65" t="n">
        <v>46248</v>
      </c>
      <c r="X66" s="30" t="inlineStr">
        <is>
          <t>Sunil CR</t>
        </is>
      </c>
      <c r="Y66" s="30" t="inlineStr">
        <is>
          <t>Yes</t>
        </is>
      </c>
      <c r="Z66" s="30" t="n"/>
      <c r="AA66" s="30" t="inlineStr">
        <is>
          <t>Good finish</t>
        </is>
      </c>
      <c r="AB66" s="30" t="inlineStr">
        <is>
          <t>Yes</t>
        </is>
      </c>
      <c r="AC66" s="27" t="n"/>
      <c r="AD66" s="31" t="inlineStr">
        <is>
          <t>No</t>
        </is>
      </c>
      <c r="AE66" s="32">
        <f>IF(W66="","",IF(Z66="Yes","❌ Disc",IF(Y66="No","⚠ Missing",IF(AB66="Yes","✓ OK","⚠ Check"))))</f>
        <v/>
      </c>
      <c r="AF66" s="33" t="n"/>
      <c r="AG66" s="33" t="n"/>
      <c r="AH66" s="33" t="n"/>
      <c r="AI66" s="33" t="n"/>
      <c r="AJ66" s="33" t="n"/>
      <c r="AK66" s="33" t="n"/>
      <c r="AL66" s="27" t="n"/>
      <c r="AM66" s="34" t="n"/>
      <c r="AN66" s="35">
        <f>IF(AF66="","",IF(AI66="Yes","❌ Disc",IF(AH66="No","⚠ Missing",IF(AK66="Yes","✓ OK","⚠ Check"))))</f>
        <v/>
      </c>
      <c r="AO66" s="36" t="n"/>
      <c r="AP66" s="36" t="n"/>
      <c r="AQ66" s="36" t="n"/>
      <c r="AR66" s="36" t="n"/>
      <c r="AS66" s="36" t="n"/>
      <c r="AT66" s="36" t="n"/>
      <c r="AU66" s="27" t="n"/>
      <c r="AV66" s="37" t="n"/>
      <c r="AW66" s="38">
        <f>IF(AO66="","",IF(AR66="Yes","❌ Disc",IF(AQ66="No","⚠ Missing",IF(AT66="Yes","✓ OK","⚠ Check"))))</f>
        <v/>
      </c>
    </row>
    <row r="67" ht="18" customHeight="1" s="46">
      <c r="A67" s="23" t="n">
        <v>71</v>
      </c>
      <c r="B67" s="24" t="inlineStr">
        <is>
          <t>BD-LAM-2023-0144</t>
        </is>
      </c>
      <c r="C67" s="25" t="inlineStr">
        <is>
          <t>Lam SL AFP 1mm 1005 Creamy White(Diamond)</t>
        </is>
      </c>
      <c r="D67" s="23" t="inlineStr">
        <is>
          <t>Stylam</t>
        </is>
      </c>
      <c r="E67" s="43" t="n">
        <v>46125</v>
      </c>
      <c r="F67" s="26" t="inlineStr">
        <is>
          <t>Sunil CR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Good finish</t>
        </is>
      </c>
      <c r="J67" s="26" t="inlineStr">
        <is>
          <t>Yes</t>
        </is>
      </c>
      <c r="K67" s="27" t="n"/>
      <c r="L67" s="28" t="inlineStr">
        <is>
          <t>No</t>
        </is>
      </c>
      <c r="M67" s="29">
        <f>IF(E67="","",IF(H67="Yes","❌ Disc",IF(G67="No","⚠ Missing",IF(J67="Yes","✓ OK","⚠ Check"))))</f>
        <v/>
      </c>
      <c r="N67" s="43" t="n">
        <v>46193</v>
      </c>
      <c r="O67" s="26" t="inlineStr">
        <is>
          <t>Sunil CR</t>
        </is>
      </c>
      <c r="P67" s="26" t="inlineStr">
        <is>
          <t>Yes</t>
        </is>
      </c>
      <c r="Q67" s="26" t="inlineStr">
        <is>
          <t>No</t>
        </is>
      </c>
      <c r="R67" s="26" t="inlineStr">
        <is>
          <t>Good finish</t>
        </is>
      </c>
      <c r="S67" s="26" t="inlineStr">
        <is>
          <t>Yes</t>
        </is>
      </c>
      <c r="T67" s="27" t="n"/>
      <c r="U67" s="28" t="inlineStr">
        <is>
          <t>No</t>
        </is>
      </c>
      <c r="V67" s="29">
        <f>IF(N67="","",IF(Q67="Yes","❌ Disc",IF(P67="No","⚠ Missing",IF(S67="Yes","✓ OK","⚠ Check"))))</f>
        <v/>
      </c>
      <c r="W67" s="65" t="n">
        <v>46248</v>
      </c>
      <c r="X67" s="30" t="inlineStr">
        <is>
          <t>Sunil CR</t>
        </is>
      </c>
      <c r="Y67" s="30" t="inlineStr">
        <is>
          <t>Yes</t>
        </is>
      </c>
      <c r="Z67" s="30" t="n"/>
      <c r="AA67" s="30" t="inlineStr">
        <is>
          <t>Good finish</t>
        </is>
      </c>
      <c r="AB67" s="30" t="inlineStr">
        <is>
          <t>Yes</t>
        </is>
      </c>
      <c r="AC67" s="27" t="n"/>
      <c r="AD67" s="31" t="inlineStr">
        <is>
          <t>No</t>
        </is>
      </c>
      <c r="AE67" s="32">
        <f>IF(W67="","",IF(Z67="Yes","❌ Disc",IF(Y67="No","⚠ Missing",IF(AB67="Yes","✓ OK","⚠ Check"))))</f>
        <v/>
      </c>
      <c r="AF67" s="33" t="n"/>
      <c r="AG67" s="33" t="n"/>
      <c r="AH67" s="33" t="n"/>
      <c r="AI67" s="33" t="n"/>
      <c r="AJ67" s="33" t="n"/>
      <c r="AK67" s="33" t="n"/>
      <c r="AL67" s="27" t="n"/>
      <c r="AM67" s="34" t="n"/>
      <c r="AN67" s="35">
        <f>IF(AF67="","",IF(AI67="Yes","❌ Disc",IF(AH67="No","⚠ Missing",IF(AK67="Yes","✓ OK","⚠ Check"))))</f>
        <v/>
      </c>
      <c r="AO67" s="36" t="n"/>
      <c r="AP67" s="36" t="n"/>
      <c r="AQ67" s="36" t="n"/>
      <c r="AR67" s="36" t="n"/>
      <c r="AS67" s="36" t="n"/>
      <c r="AT67" s="36" t="n"/>
      <c r="AU67" s="27" t="n"/>
      <c r="AV67" s="37" t="n"/>
      <c r="AW67" s="38">
        <f>IF(AO67="","",IF(AR67="Yes","❌ Disc",IF(AQ67="No","⚠ Missing",IF(AT67="Yes","✓ OK","⚠ Check"))))</f>
        <v/>
      </c>
    </row>
    <row r="68" ht="18" customHeight="1" s="46">
      <c r="A68" s="39" t="n">
        <v>72</v>
      </c>
      <c r="B68" s="40" t="inlineStr">
        <is>
          <t>BD-LAM-2024-0054</t>
        </is>
      </c>
      <c r="C68" s="41" t="inlineStr">
        <is>
          <t>Lam SL AFP 1mm 1014 City Shadow(Diamond)</t>
        </is>
      </c>
      <c r="D68" s="39" t="inlineStr">
        <is>
          <t>Stylam</t>
        </is>
      </c>
      <c r="E68" s="43" t="n">
        <v>46125</v>
      </c>
      <c r="F68" s="26" t="inlineStr">
        <is>
          <t>Sunil CR</t>
        </is>
      </c>
      <c r="G68" s="26" t="inlineStr">
        <is>
          <t>Yes</t>
        </is>
      </c>
      <c r="H68" s="26" t="inlineStr">
        <is>
          <t>No</t>
        </is>
      </c>
      <c r="I68" s="26" t="inlineStr">
        <is>
          <t>Good finish</t>
        </is>
      </c>
      <c r="J68" s="26" t="inlineStr">
        <is>
          <t>Yes</t>
        </is>
      </c>
      <c r="K68" s="27" t="n"/>
      <c r="L68" s="28" t="inlineStr">
        <is>
          <t>No</t>
        </is>
      </c>
      <c r="M68" s="29">
        <f>IF(E68="","",IF(H68="Yes","❌ Disc",IF(G68="No","⚠ Missing",IF(J68="Yes","✓ OK","⚠ Check"))))</f>
        <v/>
      </c>
      <c r="N68" s="43" t="n">
        <v>46193</v>
      </c>
      <c r="O68" s="26" t="inlineStr">
        <is>
          <t>Sunil CR</t>
        </is>
      </c>
      <c r="P68" s="26" t="inlineStr">
        <is>
          <t>Yes</t>
        </is>
      </c>
      <c r="Q68" s="26" t="inlineStr">
        <is>
          <t>No</t>
        </is>
      </c>
      <c r="R68" s="26" t="inlineStr">
        <is>
          <t>Good finish</t>
        </is>
      </c>
      <c r="S68" s="26" t="inlineStr">
        <is>
          <t>Yes</t>
        </is>
      </c>
      <c r="T68" s="27" t="n"/>
      <c r="U68" s="28" t="inlineStr">
        <is>
          <t>No</t>
        </is>
      </c>
      <c r="V68" s="29">
        <f>IF(N68="","",IF(Q68="Yes","❌ Disc",IF(P68="No","⚠ Missing",IF(S68="Yes","✓ OK","⚠ Check"))))</f>
        <v/>
      </c>
      <c r="W68" s="65" t="n">
        <v>46248</v>
      </c>
      <c r="X68" s="30" t="inlineStr">
        <is>
          <t>Sunil CR</t>
        </is>
      </c>
      <c r="Y68" s="30" t="inlineStr">
        <is>
          <t>Yes</t>
        </is>
      </c>
      <c r="Z68" s="30" t="n"/>
      <c r="AA68" s="30" t="inlineStr">
        <is>
          <t>Good finish</t>
        </is>
      </c>
      <c r="AB68" s="30" t="inlineStr">
        <is>
          <t>Yes</t>
        </is>
      </c>
      <c r="AC68" s="27" t="n"/>
      <c r="AD68" s="31" t="inlineStr">
        <is>
          <t>No</t>
        </is>
      </c>
      <c r="AE68" s="32">
        <f>IF(W68="","",IF(Z68="Yes","❌ Disc",IF(Y68="No","⚠ Missing",IF(AB68="Yes","✓ OK","⚠ Check"))))</f>
        <v/>
      </c>
      <c r="AF68" s="33" t="n"/>
      <c r="AG68" s="33" t="n"/>
      <c r="AH68" s="33" t="n"/>
      <c r="AI68" s="33" t="n"/>
      <c r="AJ68" s="33" t="n"/>
      <c r="AK68" s="33" t="n"/>
      <c r="AL68" s="27" t="n"/>
      <c r="AM68" s="34" t="n"/>
      <c r="AN68" s="35">
        <f>IF(AF68="","",IF(AI68="Yes","❌ Disc",IF(AH68="No","⚠ Missing",IF(AK68="Yes","✓ OK","⚠ Check"))))</f>
        <v/>
      </c>
      <c r="AO68" s="36" t="n"/>
      <c r="AP68" s="36" t="n"/>
      <c r="AQ68" s="36" t="n"/>
      <c r="AR68" s="36" t="n"/>
      <c r="AS68" s="36" t="n"/>
      <c r="AT68" s="36" t="n"/>
      <c r="AU68" s="27" t="n"/>
      <c r="AV68" s="37" t="n"/>
      <c r="AW68" s="38">
        <f>IF(AO68="","",IF(AR68="Yes","❌ Disc",IF(AQ68="No","⚠ Missing",IF(AT68="Yes","✓ OK","⚠ Check"))))</f>
        <v/>
      </c>
    </row>
    <row r="69" ht="18" customHeight="1" s="46">
      <c r="A69" s="23" t="n">
        <v>73</v>
      </c>
      <c r="B69" s="24" t="inlineStr">
        <is>
          <t>BD-LAM-2023-0188</t>
        </is>
      </c>
      <c r="C69" s="25" t="inlineStr">
        <is>
          <t>Lam SL AFP 1mm 1017 Jaisalmer Brown(Diamond)</t>
        </is>
      </c>
      <c r="D69" s="23" t="inlineStr">
        <is>
          <t>Stylam</t>
        </is>
      </c>
      <c r="E69" s="43" t="n">
        <v>46125</v>
      </c>
      <c r="F69" s="26" t="inlineStr">
        <is>
          <t>Sunil CR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Good finish</t>
        </is>
      </c>
      <c r="J69" s="26" t="inlineStr">
        <is>
          <t>Yes</t>
        </is>
      </c>
      <c r="K69" s="27" t="n"/>
      <c r="L69" s="28" t="inlineStr">
        <is>
          <t>No</t>
        </is>
      </c>
      <c r="M69" s="29">
        <f>IF(E69="","",IF(H69="Yes","❌ Disc",IF(G69="No","⚠ Missing",IF(J69="Yes","✓ OK","⚠ Check"))))</f>
        <v/>
      </c>
      <c r="N69" s="43" t="n">
        <v>46193</v>
      </c>
      <c r="O69" s="26" t="inlineStr">
        <is>
          <t>Sunil CR</t>
        </is>
      </c>
      <c r="P69" s="26" t="inlineStr">
        <is>
          <t>Yes</t>
        </is>
      </c>
      <c r="Q69" s="26" t="inlineStr">
        <is>
          <t>No</t>
        </is>
      </c>
      <c r="R69" s="26" t="inlineStr">
        <is>
          <t>Good finish</t>
        </is>
      </c>
      <c r="S69" s="26" t="inlineStr">
        <is>
          <t>Yes</t>
        </is>
      </c>
      <c r="T69" s="27" t="n"/>
      <c r="U69" s="28" t="inlineStr">
        <is>
          <t>No</t>
        </is>
      </c>
      <c r="V69" s="29">
        <f>IF(N69="","",IF(Q69="Yes","❌ Disc",IF(P69="No","⚠ Missing",IF(S69="Yes","✓ OK","⚠ Check"))))</f>
        <v/>
      </c>
      <c r="W69" s="65" t="n">
        <v>46248</v>
      </c>
      <c r="X69" s="30" t="inlineStr">
        <is>
          <t>Sunil CR</t>
        </is>
      </c>
      <c r="Y69" s="30" t="inlineStr">
        <is>
          <t>Yes</t>
        </is>
      </c>
      <c r="Z69" s="30" t="n"/>
      <c r="AA69" s="30" t="inlineStr">
        <is>
          <t>Good finish</t>
        </is>
      </c>
      <c r="AB69" s="30" t="inlineStr">
        <is>
          <t>Yes</t>
        </is>
      </c>
      <c r="AC69" s="27" t="n"/>
      <c r="AD69" s="31" t="inlineStr">
        <is>
          <t>No</t>
        </is>
      </c>
      <c r="AE69" s="32">
        <f>IF(W69="","",IF(Z69="Yes","❌ Disc",IF(Y69="No","⚠ Missing",IF(AB69="Yes","✓ OK","⚠ Check"))))</f>
        <v/>
      </c>
      <c r="AF69" s="33" t="n"/>
      <c r="AG69" s="33" t="n"/>
      <c r="AH69" s="33" t="n"/>
      <c r="AI69" s="33" t="n"/>
      <c r="AJ69" s="33" t="n"/>
      <c r="AK69" s="33" t="n"/>
      <c r="AL69" s="27" t="n"/>
      <c r="AM69" s="34" t="n"/>
      <c r="AN69" s="35">
        <f>IF(AF69="","",IF(AI69="Yes","❌ Disc",IF(AH69="No","⚠ Missing",IF(AK69="Yes","✓ OK","⚠ Check"))))</f>
        <v/>
      </c>
      <c r="AO69" s="36" t="n"/>
      <c r="AP69" s="36" t="n"/>
      <c r="AQ69" s="36" t="n"/>
      <c r="AR69" s="36" t="n"/>
      <c r="AS69" s="36" t="n"/>
      <c r="AT69" s="36" t="n"/>
      <c r="AU69" s="27" t="n"/>
      <c r="AV69" s="37" t="n"/>
      <c r="AW69" s="38">
        <f>IF(AO69="","",IF(AR69="Yes","❌ Disc",IF(AQ69="No","⚠ Missing",IF(AT69="Yes","✓ OK","⚠ Check"))))</f>
        <v/>
      </c>
    </row>
    <row r="70" ht="18" customHeight="1" s="46">
      <c r="A70" s="39" t="n">
        <v>74</v>
      </c>
      <c r="B70" s="40" t="inlineStr">
        <is>
          <t>BD-LAM-2023-0226</t>
        </is>
      </c>
      <c r="C70" s="41" t="inlineStr">
        <is>
          <t>Lam SL AFP 1mm 1020 Off White(Diamond)</t>
        </is>
      </c>
      <c r="D70" s="39" t="inlineStr">
        <is>
          <t>Stylam</t>
        </is>
      </c>
      <c r="E70" s="43" t="n">
        <v>46125</v>
      </c>
      <c r="F70" s="26" t="inlineStr">
        <is>
          <t>Sunil CR</t>
        </is>
      </c>
      <c r="G70" s="26" t="inlineStr">
        <is>
          <t>Yes</t>
        </is>
      </c>
      <c r="H70" s="26" t="inlineStr">
        <is>
          <t>No</t>
        </is>
      </c>
      <c r="I70" s="26" t="inlineStr">
        <is>
          <t>Minor defect</t>
        </is>
      </c>
      <c r="J70" s="26" t="inlineStr">
        <is>
          <t>No</t>
        </is>
      </c>
      <c r="K70" s="27" t="inlineStr">
        <is>
          <t>Name Sticker to be Changed</t>
        </is>
      </c>
      <c r="L70" s="28" t="inlineStr">
        <is>
          <t>Yes</t>
        </is>
      </c>
      <c r="M70" s="29">
        <f>IF(E70="","",IF(H70="Yes","❌ Disc",IF(G70="No","⚠ Missing",IF(J70="Yes","✓ OK","⚠ Check"))))</f>
        <v/>
      </c>
      <c r="N70" s="43" t="n">
        <v>46193</v>
      </c>
      <c r="O70" s="26" t="inlineStr">
        <is>
          <t>Sunil CR</t>
        </is>
      </c>
      <c r="P70" s="26" t="inlineStr">
        <is>
          <t>Yes</t>
        </is>
      </c>
      <c r="Q70" s="26" t="inlineStr">
        <is>
          <t>No</t>
        </is>
      </c>
      <c r="R70" s="26" t="inlineStr">
        <is>
          <t>Minor defect</t>
        </is>
      </c>
      <c r="S70" s="26" t="inlineStr">
        <is>
          <t>No</t>
        </is>
      </c>
      <c r="T70" s="27" t="inlineStr">
        <is>
          <t>Name Sticker to be Changed</t>
        </is>
      </c>
      <c r="U70" s="28" t="inlineStr">
        <is>
          <t>Yes</t>
        </is>
      </c>
      <c r="V70" s="29">
        <f>IF(N70="","",IF(Q70="Yes","❌ Disc",IF(P70="No","⚠ Missing",IF(S70="Yes","✓ OK","⚠ Check"))))</f>
        <v/>
      </c>
      <c r="W70" s="65" t="n">
        <v>46248</v>
      </c>
      <c r="X70" s="30" t="inlineStr">
        <is>
          <t>Sunil CR</t>
        </is>
      </c>
      <c r="Y70" s="30" t="inlineStr">
        <is>
          <t>Yes</t>
        </is>
      </c>
      <c r="Z70" s="30" t="n"/>
      <c r="AA70" s="30" t="inlineStr">
        <is>
          <t>Minor defect</t>
        </is>
      </c>
      <c r="AB70" s="30" t="inlineStr">
        <is>
          <t>No</t>
        </is>
      </c>
      <c r="AC70" s="27" t="inlineStr">
        <is>
          <t>Name Sticker to be Changed</t>
        </is>
      </c>
      <c r="AD70" s="31" t="inlineStr">
        <is>
          <t>Yes</t>
        </is>
      </c>
      <c r="AE70" s="32">
        <f>IF(W70="","",IF(Z70="Yes","❌ Disc",IF(Y70="No","⚠ Missing",IF(AB70="Yes","✓ OK","⚠ Check"))))</f>
        <v/>
      </c>
      <c r="AF70" s="33" t="n"/>
      <c r="AG70" s="33" t="n"/>
      <c r="AH70" s="33" t="n"/>
      <c r="AI70" s="33" t="n"/>
      <c r="AJ70" s="33" t="n"/>
      <c r="AK70" s="33" t="n"/>
      <c r="AL70" s="27" t="n"/>
      <c r="AM70" s="34" t="n"/>
      <c r="AN70" s="35">
        <f>IF(AF70="","",IF(AI70="Yes","❌ Disc",IF(AH70="No","⚠ Missing",IF(AK70="Yes","✓ OK","⚠ Check"))))</f>
        <v/>
      </c>
      <c r="AO70" s="36" t="n"/>
      <c r="AP70" s="36" t="n"/>
      <c r="AQ70" s="36" t="n"/>
      <c r="AR70" s="36" t="n"/>
      <c r="AS70" s="36" t="n"/>
      <c r="AT70" s="36" t="n"/>
      <c r="AU70" s="27" t="n"/>
      <c r="AV70" s="37" t="n"/>
      <c r="AW70" s="38">
        <f>IF(AO70="","",IF(AR70="Yes","❌ Disc",IF(AQ70="No","⚠ Missing",IF(AT70="Yes","✓ OK","⚠ Check"))))</f>
        <v/>
      </c>
    </row>
    <row r="71" ht="18" customHeight="1" s="46">
      <c r="A71" s="23" t="n">
        <v>75</v>
      </c>
      <c r="B71" s="24" t="inlineStr">
        <is>
          <t>BD-LAM-2023-0275</t>
        </is>
      </c>
      <c r="C71" s="25" t="inlineStr">
        <is>
          <t>Lam SL AFP 1mm 1037 Soldier Green (Diamond)</t>
        </is>
      </c>
      <c r="D71" s="23" t="inlineStr">
        <is>
          <t>Stylam</t>
        </is>
      </c>
      <c r="E71" s="43" t="n">
        <v>46125</v>
      </c>
      <c r="F71" s="26" t="inlineStr">
        <is>
          <t>Sunil CR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Good finish</t>
        </is>
      </c>
      <c r="J71" s="26" t="inlineStr">
        <is>
          <t>Yes</t>
        </is>
      </c>
      <c r="K71" s="27" t="n"/>
      <c r="L71" s="28" t="inlineStr">
        <is>
          <t>No</t>
        </is>
      </c>
      <c r="M71" s="29">
        <f>IF(E71="","",IF(H71="Yes","❌ Disc",IF(G71="No","⚠ Missing",IF(J71="Yes","✓ OK","⚠ Check"))))</f>
        <v/>
      </c>
      <c r="N71" s="43" t="n">
        <v>46193</v>
      </c>
      <c r="O71" s="26" t="inlineStr">
        <is>
          <t>Sunil CR</t>
        </is>
      </c>
      <c r="P71" s="26" t="inlineStr">
        <is>
          <t>Yes</t>
        </is>
      </c>
      <c r="Q71" s="26" t="inlineStr">
        <is>
          <t>No</t>
        </is>
      </c>
      <c r="R71" s="26" t="inlineStr">
        <is>
          <t>Good finish</t>
        </is>
      </c>
      <c r="S71" s="26" t="inlineStr">
        <is>
          <t>Yes</t>
        </is>
      </c>
      <c r="T71" s="27" t="n"/>
      <c r="U71" s="28" t="inlineStr">
        <is>
          <t>No</t>
        </is>
      </c>
      <c r="V71" s="29">
        <f>IF(N71="","",IF(Q71="Yes","❌ Disc",IF(P71="No","⚠ Missing",IF(S71="Yes","✓ OK","⚠ Check"))))</f>
        <v/>
      </c>
      <c r="W71" s="65" t="n">
        <v>46248</v>
      </c>
      <c r="X71" s="30" t="inlineStr">
        <is>
          <t>Sunil CR</t>
        </is>
      </c>
      <c r="Y71" s="30" t="inlineStr">
        <is>
          <t>Yes</t>
        </is>
      </c>
      <c r="Z71" s="30" t="n"/>
      <c r="AA71" s="30" t="inlineStr">
        <is>
          <t>Good finish</t>
        </is>
      </c>
      <c r="AB71" s="30" t="inlineStr">
        <is>
          <t>Yes</t>
        </is>
      </c>
      <c r="AC71" s="27" t="n"/>
      <c r="AD71" s="31" t="inlineStr">
        <is>
          <t>No</t>
        </is>
      </c>
      <c r="AE71" s="32">
        <f>IF(W71="","",IF(Z71="Yes","❌ Disc",IF(Y71="No","⚠ Missing",IF(AB71="Yes","✓ OK","⚠ Check"))))</f>
        <v/>
      </c>
      <c r="AF71" s="33" t="n"/>
      <c r="AG71" s="33" t="n"/>
      <c r="AH71" s="33" t="n"/>
      <c r="AI71" s="33" t="n"/>
      <c r="AJ71" s="33" t="n"/>
      <c r="AK71" s="33" t="n"/>
      <c r="AL71" s="27" t="n"/>
      <c r="AM71" s="34" t="n"/>
      <c r="AN71" s="35">
        <f>IF(AF71="","",IF(AI71="Yes","❌ Disc",IF(AH71="No","⚠ Missing",IF(AK71="Yes","✓ OK","⚠ Check"))))</f>
        <v/>
      </c>
      <c r="AO71" s="36" t="n"/>
      <c r="AP71" s="36" t="n"/>
      <c r="AQ71" s="36" t="n"/>
      <c r="AR71" s="36" t="n"/>
      <c r="AS71" s="36" t="n"/>
      <c r="AT71" s="36" t="n"/>
      <c r="AU71" s="27" t="n"/>
      <c r="AV71" s="37" t="n"/>
      <c r="AW71" s="38">
        <f>IF(AO71="","",IF(AR71="Yes","❌ Disc",IF(AQ71="No","⚠ Missing",IF(AT71="Yes","✓ OK","⚠ Check"))))</f>
        <v/>
      </c>
    </row>
    <row r="72" ht="18" customHeight="1" s="46">
      <c r="A72" s="39" t="n">
        <v>76</v>
      </c>
      <c r="B72" s="40" t="inlineStr">
        <is>
          <t>BD-LAM-2024-0055</t>
        </is>
      </c>
      <c r="C72" s="41" t="inlineStr">
        <is>
          <t>Lam SL AFP 1mm 1051 Aster Grey(Diamond)</t>
        </is>
      </c>
      <c r="D72" s="39" t="inlineStr">
        <is>
          <t>Stylam</t>
        </is>
      </c>
      <c r="E72" s="43" t="n">
        <v>46125</v>
      </c>
      <c r="F72" s="26" t="inlineStr">
        <is>
          <t>Sunil CR</t>
        </is>
      </c>
      <c r="G72" s="26" t="inlineStr">
        <is>
          <t>Yes</t>
        </is>
      </c>
      <c r="H72" s="26" t="inlineStr">
        <is>
          <t>No</t>
        </is>
      </c>
      <c r="I72" s="26" t="inlineStr">
        <is>
          <t>Good finish</t>
        </is>
      </c>
      <c r="J72" s="26" t="inlineStr">
        <is>
          <t>Yes</t>
        </is>
      </c>
      <c r="K72" s="27" t="n"/>
      <c r="L72" s="28" t="inlineStr">
        <is>
          <t>No</t>
        </is>
      </c>
      <c r="M72" s="29">
        <f>IF(E72="","",IF(H72="Yes","❌ Disc",IF(G72="No","⚠ Missing",IF(J72="Yes","✓ OK","⚠ Check"))))</f>
        <v/>
      </c>
      <c r="N72" s="43" t="n">
        <v>46193</v>
      </c>
      <c r="O72" s="26" t="inlineStr">
        <is>
          <t>Sunil CR</t>
        </is>
      </c>
      <c r="P72" s="26" t="inlineStr">
        <is>
          <t>Yes</t>
        </is>
      </c>
      <c r="Q72" s="26" t="inlineStr">
        <is>
          <t>No</t>
        </is>
      </c>
      <c r="R72" s="26" t="inlineStr">
        <is>
          <t>Good finish</t>
        </is>
      </c>
      <c r="S72" s="26" t="inlineStr">
        <is>
          <t>Yes</t>
        </is>
      </c>
      <c r="T72" s="27" t="n"/>
      <c r="U72" s="28" t="inlineStr">
        <is>
          <t>No</t>
        </is>
      </c>
      <c r="V72" s="29">
        <f>IF(N72="","",IF(Q72="Yes","❌ Disc",IF(P72="No","⚠ Missing",IF(S72="Yes","✓ OK","⚠ Check"))))</f>
        <v/>
      </c>
      <c r="W72" s="65" t="n">
        <v>46248</v>
      </c>
      <c r="X72" s="30" t="inlineStr">
        <is>
          <t>Sunil CR</t>
        </is>
      </c>
      <c r="Y72" s="30" t="inlineStr">
        <is>
          <t>Yes</t>
        </is>
      </c>
      <c r="Z72" s="30" t="n"/>
      <c r="AA72" s="30" t="inlineStr">
        <is>
          <t>Good finish</t>
        </is>
      </c>
      <c r="AB72" s="30" t="inlineStr">
        <is>
          <t>Yes</t>
        </is>
      </c>
      <c r="AC72" s="27" t="n"/>
      <c r="AD72" s="31" t="inlineStr">
        <is>
          <t>No</t>
        </is>
      </c>
      <c r="AE72" s="32">
        <f>IF(W72="","",IF(Z72="Yes","❌ Disc",IF(Y72="No","⚠ Missing",IF(AB72="Yes","✓ OK","⚠ Check"))))</f>
        <v/>
      </c>
      <c r="AF72" s="33" t="n"/>
      <c r="AG72" s="33" t="n"/>
      <c r="AH72" s="33" t="n"/>
      <c r="AI72" s="33" t="n"/>
      <c r="AJ72" s="33" t="n"/>
      <c r="AK72" s="33" t="n"/>
      <c r="AL72" s="27" t="n"/>
      <c r="AM72" s="34" t="n"/>
      <c r="AN72" s="35">
        <f>IF(AF72="","",IF(AI72="Yes","❌ Disc",IF(AH72="No","⚠ Missing",IF(AK72="Yes","✓ OK","⚠ Check"))))</f>
        <v/>
      </c>
      <c r="AO72" s="36" t="n"/>
      <c r="AP72" s="36" t="n"/>
      <c r="AQ72" s="36" t="n"/>
      <c r="AR72" s="36" t="n"/>
      <c r="AS72" s="36" t="n"/>
      <c r="AT72" s="36" t="n"/>
      <c r="AU72" s="27" t="n"/>
      <c r="AV72" s="37" t="n"/>
      <c r="AW72" s="38">
        <f>IF(AO72="","",IF(AR72="Yes","❌ Disc",IF(AQ72="No","⚠ Missing",IF(AT72="Yes","✓ OK","⚠ Check"))))</f>
        <v/>
      </c>
    </row>
    <row r="73" ht="18" customHeight="1" s="46">
      <c r="A73" s="23" t="n">
        <v>77</v>
      </c>
      <c r="B73" s="24" t="inlineStr">
        <is>
          <t>BD-LAM-2023-0195</t>
        </is>
      </c>
      <c r="C73" s="25" t="inlineStr">
        <is>
          <t>Lam SL AFP 1mm 1086 Lam Peach(Diamond)</t>
        </is>
      </c>
      <c r="D73" s="23" t="inlineStr">
        <is>
          <t>Stylam</t>
        </is>
      </c>
      <c r="E73" s="43" t="n">
        <v>46125</v>
      </c>
      <c r="F73" s="26" t="inlineStr">
        <is>
          <t>Sunil CR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Good finish</t>
        </is>
      </c>
      <c r="J73" s="26" t="inlineStr">
        <is>
          <t>Yes</t>
        </is>
      </c>
      <c r="K73" s="27" t="n"/>
      <c r="L73" s="28" t="inlineStr">
        <is>
          <t>Yes</t>
        </is>
      </c>
      <c r="M73" s="29">
        <f>IF(E73="","",IF(H73="Yes","❌ Disc",IF(G73="No","⚠ Missing",IF(J73="Yes","✓ OK","⚠ Check"))))</f>
        <v/>
      </c>
      <c r="N73" s="43" t="n">
        <v>46193</v>
      </c>
      <c r="O73" s="26" t="inlineStr">
        <is>
          <t>Sunil CR</t>
        </is>
      </c>
      <c r="P73" s="26" t="inlineStr">
        <is>
          <t>Yes</t>
        </is>
      </c>
      <c r="Q73" s="26" t="inlineStr">
        <is>
          <t>No</t>
        </is>
      </c>
      <c r="R73" s="26" t="inlineStr">
        <is>
          <t>Good finish</t>
        </is>
      </c>
      <c r="S73" s="26" t="inlineStr">
        <is>
          <t>Yes</t>
        </is>
      </c>
      <c r="T73" s="27" t="n"/>
      <c r="U73" s="28" t="inlineStr">
        <is>
          <t>Yes</t>
        </is>
      </c>
      <c r="V73" s="29">
        <f>IF(N73="","",IF(Q73="Yes","❌ Disc",IF(P73="No","⚠ Missing",IF(S73="Yes","✓ OK","⚠ Check"))))</f>
        <v/>
      </c>
      <c r="W73" s="65" t="n">
        <v>46248</v>
      </c>
      <c r="X73" s="30" t="inlineStr">
        <is>
          <t>Sunil CR</t>
        </is>
      </c>
      <c r="Y73" s="30" t="inlineStr">
        <is>
          <t>Yes</t>
        </is>
      </c>
      <c r="Z73" s="30" t="n"/>
      <c r="AA73" s="30" t="inlineStr">
        <is>
          <t>Good finish</t>
        </is>
      </c>
      <c r="AB73" s="30" t="inlineStr">
        <is>
          <t>Yes</t>
        </is>
      </c>
      <c r="AC73" s="27" t="n"/>
      <c r="AD73" s="31" t="inlineStr">
        <is>
          <t>Yes</t>
        </is>
      </c>
      <c r="AE73" s="32">
        <f>IF(W73="","",IF(Z73="Yes","❌ Disc",IF(Y73="No","⚠ Missing",IF(AB73="Yes","✓ OK","⚠ Check"))))</f>
        <v/>
      </c>
      <c r="AF73" s="33" t="n"/>
      <c r="AG73" s="33" t="n"/>
      <c r="AH73" s="33" t="n"/>
      <c r="AI73" s="33" t="n"/>
      <c r="AJ73" s="33" t="n"/>
      <c r="AK73" s="33" t="n"/>
      <c r="AL73" s="27" t="n"/>
      <c r="AM73" s="34" t="n"/>
      <c r="AN73" s="35">
        <f>IF(AF73="","",IF(AI73="Yes","❌ Disc",IF(AH73="No","⚠ Missing",IF(AK73="Yes","✓ OK","⚠ Check"))))</f>
        <v/>
      </c>
      <c r="AO73" s="36" t="n"/>
      <c r="AP73" s="36" t="n"/>
      <c r="AQ73" s="36" t="n"/>
      <c r="AR73" s="36" t="n"/>
      <c r="AS73" s="36" t="n"/>
      <c r="AT73" s="36" t="n"/>
      <c r="AU73" s="27" t="n"/>
      <c r="AV73" s="37" t="n"/>
      <c r="AW73" s="38">
        <f>IF(AO73="","",IF(AR73="Yes","❌ Disc",IF(AQ73="No","⚠ Missing",IF(AT73="Yes","✓ OK","⚠ Check"))))</f>
        <v/>
      </c>
    </row>
    <row r="74" ht="18" customHeight="1" s="46">
      <c r="A74" s="39" t="n">
        <v>78</v>
      </c>
      <c r="B74" s="40" t="inlineStr">
        <is>
          <t>BD-LAM-2023-0208</t>
        </is>
      </c>
      <c r="C74" s="41" t="inlineStr">
        <is>
          <t>Lam SL AFP 1mm 1098 Mory Yellow(Diamond)</t>
        </is>
      </c>
      <c r="D74" s="39" t="inlineStr">
        <is>
          <t>Stylam</t>
        </is>
      </c>
      <c r="E74" s="43" t="n">
        <v>46125</v>
      </c>
      <c r="F74" s="26" t="inlineStr">
        <is>
          <t>Sunil CR</t>
        </is>
      </c>
      <c r="G74" s="26" t="inlineStr">
        <is>
          <t>Yes</t>
        </is>
      </c>
      <c r="H74" s="26" t="inlineStr">
        <is>
          <t>No</t>
        </is>
      </c>
      <c r="I74" s="26" t="inlineStr">
        <is>
          <t>Good finish</t>
        </is>
      </c>
      <c r="J74" s="26" t="inlineStr">
        <is>
          <t>Yes</t>
        </is>
      </c>
      <c r="K74" s="27" t="n"/>
      <c r="L74" s="28" t="inlineStr">
        <is>
          <t>No</t>
        </is>
      </c>
      <c r="M74" s="29">
        <f>IF(E74="","",IF(H74="Yes","❌ Disc",IF(G74="No","⚠ Missing",IF(J74="Yes","✓ OK","⚠ Check"))))</f>
        <v/>
      </c>
      <c r="N74" s="43" t="n">
        <v>46193</v>
      </c>
      <c r="O74" s="26" t="inlineStr">
        <is>
          <t>Sunil CR</t>
        </is>
      </c>
      <c r="P74" s="26" t="inlineStr">
        <is>
          <t>Yes</t>
        </is>
      </c>
      <c r="Q74" s="26" t="inlineStr">
        <is>
          <t>No</t>
        </is>
      </c>
      <c r="R74" s="26" t="inlineStr">
        <is>
          <t>Good finish</t>
        </is>
      </c>
      <c r="S74" s="26" t="inlineStr">
        <is>
          <t>Yes</t>
        </is>
      </c>
      <c r="T74" s="27" t="n"/>
      <c r="U74" s="28" t="inlineStr">
        <is>
          <t>No</t>
        </is>
      </c>
      <c r="V74" s="29">
        <f>IF(N74="","",IF(Q74="Yes","❌ Disc",IF(P74="No","⚠ Missing",IF(S74="Yes","✓ OK","⚠ Check"))))</f>
        <v/>
      </c>
      <c r="W74" s="65" t="n">
        <v>46248</v>
      </c>
      <c r="X74" s="30" t="inlineStr">
        <is>
          <t>Sunil CR</t>
        </is>
      </c>
      <c r="Y74" s="30" t="inlineStr">
        <is>
          <t>Yes</t>
        </is>
      </c>
      <c r="Z74" s="30" t="n"/>
      <c r="AA74" s="30" t="inlineStr">
        <is>
          <t>Good finish</t>
        </is>
      </c>
      <c r="AB74" s="30" t="inlineStr">
        <is>
          <t>Yes</t>
        </is>
      </c>
      <c r="AC74" s="27" t="n"/>
      <c r="AD74" s="31" t="inlineStr">
        <is>
          <t>No</t>
        </is>
      </c>
      <c r="AE74" s="32">
        <f>IF(W74="","",IF(Z74="Yes","❌ Disc",IF(Y74="No","⚠ Missing",IF(AB74="Yes","✓ OK","⚠ Check"))))</f>
        <v/>
      </c>
      <c r="AF74" s="33" t="n"/>
      <c r="AG74" s="33" t="n"/>
      <c r="AH74" s="33" t="n"/>
      <c r="AI74" s="33" t="n"/>
      <c r="AJ74" s="33" t="n"/>
      <c r="AK74" s="33" t="n"/>
      <c r="AL74" s="27" t="n"/>
      <c r="AM74" s="34" t="n"/>
      <c r="AN74" s="35">
        <f>IF(AF74="","",IF(AI74="Yes","❌ Disc",IF(AH74="No","⚠ Missing",IF(AK74="Yes","✓ OK","⚠ Check"))))</f>
        <v/>
      </c>
      <c r="AO74" s="36" t="n"/>
      <c r="AP74" s="36" t="n"/>
      <c r="AQ74" s="36" t="n"/>
      <c r="AR74" s="36" t="n"/>
      <c r="AS74" s="36" t="n"/>
      <c r="AT74" s="36" t="n"/>
      <c r="AU74" s="27" t="n"/>
      <c r="AV74" s="37" t="n"/>
      <c r="AW74" s="38">
        <f>IF(AO74="","",IF(AR74="Yes","❌ Disc",IF(AQ74="No","⚠ Missing",IF(AT74="Yes","✓ OK","⚠ Check"))))</f>
        <v/>
      </c>
    </row>
    <row r="75" ht="18" customHeight="1" s="46">
      <c r="A75" s="23" t="n">
        <v>79</v>
      </c>
      <c r="B75" s="24" t="inlineStr">
        <is>
          <t>BD-LAM-2023-0104</t>
        </is>
      </c>
      <c r="C75" s="25" t="inlineStr">
        <is>
          <t>Lam SL AFP 1mm 142 Black Magic(Diamond)</t>
        </is>
      </c>
      <c r="D75" s="23" t="inlineStr">
        <is>
          <t>Stylam</t>
        </is>
      </c>
      <c r="E75" s="43" t="n">
        <v>46125</v>
      </c>
      <c r="F75" s="26" t="inlineStr">
        <is>
          <t>Sunil CR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Good finish</t>
        </is>
      </c>
      <c r="J75" s="26" t="inlineStr">
        <is>
          <t>Yes</t>
        </is>
      </c>
      <c r="K75" s="27" t="n"/>
      <c r="L75" s="28" t="inlineStr">
        <is>
          <t>No</t>
        </is>
      </c>
      <c r="M75" s="29">
        <f>IF(E75="","",IF(H75="Yes","❌ Disc",IF(G75="No","⚠ Missing",IF(J75="Yes","✓ OK","⚠ Check"))))</f>
        <v/>
      </c>
      <c r="N75" s="43" t="n">
        <v>46193</v>
      </c>
      <c r="O75" s="26" t="inlineStr">
        <is>
          <t>Sunil CR</t>
        </is>
      </c>
      <c r="P75" s="26" t="inlineStr">
        <is>
          <t>Yes</t>
        </is>
      </c>
      <c r="Q75" s="26" t="inlineStr">
        <is>
          <t>No</t>
        </is>
      </c>
      <c r="R75" s="26" t="inlineStr">
        <is>
          <t>Good finish</t>
        </is>
      </c>
      <c r="S75" s="26" t="inlineStr">
        <is>
          <t>Yes</t>
        </is>
      </c>
      <c r="T75" s="27" t="n"/>
      <c r="U75" s="28" t="inlineStr">
        <is>
          <t>No</t>
        </is>
      </c>
      <c r="V75" s="29">
        <f>IF(N75="","",IF(Q75="Yes","❌ Disc",IF(P75="No","⚠ Missing",IF(S75="Yes","✓ OK","⚠ Check"))))</f>
        <v/>
      </c>
      <c r="W75" s="65" t="n">
        <v>46248</v>
      </c>
      <c r="X75" s="30" t="inlineStr">
        <is>
          <t>Sunil CR</t>
        </is>
      </c>
      <c r="Y75" s="30" t="inlineStr">
        <is>
          <t>Yes</t>
        </is>
      </c>
      <c r="Z75" s="30" t="n"/>
      <c r="AA75" s="30" t="inlineStr">
        <is>
          <t>Good finish</t>
        </is>
      </c>
      <c r="AB75" s="30" t="inlineStr">
        <is>
          <t>Yes</t>
        </is>
      </c>
      <c r="AC75" s="27" t="n"/>
      <c r="AD75" s="31" t="inlineStr">
        <is>
          <t>No</t>
        </is>
      </c>
      <c r="AE75" s="32">
        <f>IF(W75="","",IF(Z75="Yes","❌ Disc",IF(Y75="No","⚠ Missing",IF(AB75="Yes","✓ OK","⚠ Check"))))</f>
        <v/>
      </c>
      <c r="AF75" s="33" t="n"/>
      <c r="AG75" s="33" t="n"/>
      <c r="AH75" s="33" t="n"/>
      <c r="AI75" s="33" t="n"/>
      <c r="AJ75" s="33" t="n"/>
      <c r="AK75" s="33" t="n"/>
      <c r="AL75" s="27" t="n"/>
      <c r="AM75" s="34" t="n"/>
      <c r="AN75" s="35">
        <f>IF(AF75="","",IF(AI75="Yes","❌ Disc",IF(AH75="No","⚠ Missing",IF(AK75="Yes","✓ OK","⚠ Check"))))</f>
        <v/>
      </c>
      <c r="AO75" s="36" t="n"/>
      <c r="AP75" s="36" t="n"/>
      <c r="AQ75" s="36" t="n"/>
      <c r="AR75" s="36" t="n"/>
      <c r="AS75" s="36" t="n"/>
      <c r="AT75" s="36" t="n"/>
      <c r="AU75" s="27" t="n"/>
      <c r="AV75" s="37" t="n"/>
      <c r="AW75" s="38">
        <f>IF(AO75="","",IF(AR75="Yes","❌ Disc",IF(AQ75="No","⚠ Missing",IF(AT75="Yes","✓ OK","⚠ Check"))))</f>
        <v/>
      </c>
    </row>
    <row r="76" ht="18" customHeight="1" s="46">
      <c r="A76" s="39" t="n">
        <v>80</v>
      </c>
      <c r="B76" s="40" t="inlineStr">
        <is>
          <t>BD-LAM-2023-0211</t>
        </is>
      </c>
      <c r="C76" s="41" t="inlineStr">
        <is>
          <t>Lam SL AFP 1mm 1445 Natsu(Diamond)</t>
        </is>
      </c>
      <c r="D76" s="39" t="inlineStr">
        <is>
          <t>Stylam</t>
        </is>
      </c>
      <c r="E76" s="43" t="n">
        <v>46125</v>
      </c>
      <c r="F76" s="26" t="inlineStr">
        <is>
          <t>Sunil CR</t>
        </is>
      </c>
      <c r="G76" s="26" t="inlineStr">
        <is>
          <t>Yes</t>
        </is>
      </c>
      <c r="H76" s="26" t="inlineStr">
        <is>
          <t>No</t>
        </is>
      </c>
      <c r="I76" s="26" t="inlineStr">
        <is>
          <t>Good finish</t>
        </is>
      </c>
      <c r="J76" s="26" t="inlineStr">
        <is>
          <t>Yes</t>
        </is>
      </c>
      <c r="K76" s="27" t="n"/>
      <c r="L76" s="28" t="inlineStr">
        <is>
          <t>No</t>
        </is>
      </c>
      <c r="M76" s="29">
        <f>IF(E76="","",IF(H76="Yes","❌ Disc",IF(G76="No","⚠ Missing",IF(J76="Yes","✓ OK","⚠ Check"))))</f>
        <v/>
      </c>
      <c r="N76" s="43" t="n">
        <v>46193</v>
      </c>
      <c r="O76" s="26" t="inlineStr">
        <is>
          <t>Sunil CR</t>
        </is>
      </c>
      <c r="P76" s="26" t="inlineStr">
        <is>
          <t>Yes</t>
        </is>
      </c>
      <c r="Q76" s="26" t="inlineStr">
        <is>
          <t>No</t>
        </is>
      </c>
      <c r="R76" s="26" t="inlineStr">
        <is>
          <t>Good finish</t>
        </is>
      </c>
      <c r="S76" s="26" t="inlineStr">
        <is>
          <t>Yes</t>
        </is>
      </c>
      <c r="T76" s="27" t="n"/>
      <c r="U76" s="28" t="inlineStr">
        <is>
          <t>No</t>
        </is>
      </c>
      <c r="V76" s="29">
        <f>IF(N76="","",IF(Q76="Yes","❌ Disc",IF(P76="No","⚠ Missing",IF(S76="Yes","✓ OK","⚠ Check"))))</f>
        <v/>
      </c>
      <c r="W76" s="65" t="n">
        <v>46248</v>
      </c>
      <c r="X76" s="30" t="inlineStr">
        <is>
          <t>Sunil CR</t>
        </is>
      </c>
      <c r="Y76" s="30" t="inlineStr">
        <is>
          <t>Yes</t>
        </is>
      </c>
      <c r="Z76" s="30" t="n"/>
      <c r="AA76" s="30" t="inlineStr">
        <is>
          <t>Good finish</t>
        </is>
      </c>
      <c r="AB76" s="30" t="inlineStr">
        <is>
          <t>Yes</t>
        </is>
      </c>
      <c r="AC76" s="27" t="n"/>
      <c r="AD76" s="31" t="inlineStr">
        <is>
          <t>No</t>
        </is>
      </c>
      <c r="AE76" s="32">
        <f>IF(W76="","",IF(Z76="Yes","❌ Disc",IF(Y76="No","⚠ Missing",IF(AB76="Yes","✓ OK","⚠ Check"))))</f>
        <v/>
      </c>
      <c r="AF76" s="33" t="n"/>
      <c r="AG76" s="33" t="n"/>
      <c r="AH76" s="33" t="n"/>
      <c r="AI76" s="33" t="n"/>
      <c r="AJ76" s="33" t="n"/>
      <c r="AK76" s="33" t="n"/>
      <c r="AL76" s="27" t="n"/>
      <c r="AM76" s="34" t="n"/>
      <c r="AN76" s="35">
        <f>IF(AF76="","",IF(AI76="Yes","❌ Disc",IF(AH76="No","⚠ Missing",IF(AK76="Yes","✓ OK","⚠ Check"))))</f>
        <v/>
      </c>
      <c r="AO76" s="36" t="n"/>
      <c r="AP76" s="36" t="n"/>
      <c r="AQ76" s="36" t="n"/>
      <c r="AR76" s="36" t="n"/>
      <c r="AS76" s="36" t="n"/>
      <c r="AT76" s="36" t="n"/>
      <c r="AU76" s="27" t="n"/>
      <c r="AV76" s="37" t="n"/>
      <c r="AW76" s="38">
        <f>IF(AO76="","",IF(AR76="Yes","❌ Disc",IF(AQ76="No","⚠ Missing",IF(AT76="Yes","✓ OK","⚠ Check"))))</f>
        <v/>
      </c>
    </row>
    <row r="77" ht="18" customHeight="1" s="46">
      <c r="A77" s="23" t="n">
        <v>81</v>
      </c>
      <c r="B77" s="24" t="inlineStr">
        <is>
          <t>BD-LAM-2024-0053</t>
        </is>
      </c>
      <c r="C77" s="25" t="inlineStr">
        <is>
          <t>Lam SL AFP 1mm 155 Dark Blue(Diamond)</t>
        </is>
      </c>
      <c r="D77" s="23" t="inlineStr">
        <is>
          <t>Stylam</t>
        </is>
      </c>
      <c r="E77" s="43" t="n">
        <v>46125</v>
      </c>
      <c r="F77" s="26" t="inlineStr">
        <is>
          <t>Sunil CR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Good finish</t>
        </is>
      </c>
      <c r="J77" s="26" t="inlineStr">
        <is>
          <t>Yes</t>
        </is>
      </c>
      <c r="K77" s="27" t="n"/>
      <c r="L77" s="28" t="inlineStr">
        <is>
          <t>No</t>
        </is>
      </c>
      <c r="M77" s="29">
        <f>IF(E77="","",IF(H77="Yes","❌ Disc",IF(G77="No","⚠ Missing",IF(J77="Yes","✓ OK","⚠ Check"))))</f>
        <v/>
      </c>
      <c r="N77" s="43" t="n">
        <v>46193</v>
      </c>
      <c r="O77" s="26" t="inlineStr">
        <is>
          <t>Sunil CR</t>
        </is>
      </c>
      <c r="P77" s="26" t="inlineStr">
        <is>
          <t>Yes</t>
        </is>
      </c>
      <c r="Q77" s="26" t="inlineStr">
        <is>
          <t>No</t>
        </is>
      </c>
      <c r="R77" s="26" t="inlineStr">
        <is>
          <t>Good finish</t>
        </is>
      </c>
      <c r="S77" s="26" t="inlineStr">
        <is>
          <t>Yes</t>
        </is>
      </c>
      <c r="T77" s="27" t="n"/>
      <c r="U77" s="28" t="inlineStr">
        <is>
          <t>No</t>
        </is>
      </c>
      <c r="V77" s="29">
        <f>IF(N77="","",IF(Q77="Yes","❌ Disc",IF(P77="No","⚠ Missing",IF(S77="Yes","✓ OK","⚠ Check"))))</f>
        <v/>
      </c>
      <c r="W77" s="65" t="n">
        <v>46248</v>
      </c>
      <c r="X77" s="30" t="inlineStr">
        <is>
          <t>Sunil CR</t>
        </is>
      </c>
      <c r="Y77" s="30" t="inlineStr">
        <is>
          <t>Yes</t>
        </is>
      </c>
      <c r="Z77" s="30" t="n"/>
      <c r="AA77" s="30" t="inlineStr">
        <is>
          <t>Good finish</t>
        </is>
      </c>
      <c r="AB77" s="30" t="inlineStr">
        <is>
          <t>Yes</t>
        </is>
      </c>
      <c r="AC77" s="27" t="n"/>
      <c r="AD77" s="31" t="inlineStr">
        <is>
          <t>No</t>
        </is>
      </c>
      <c r="AE77" s="32">
        <f>IF(W77="","",IF(Z77="Yes","❌ Disc",IF(Y77="No","⚠ Missing",IF(AB77="Yes","✓ OK","⚠ Check"))))</f>
        <v/>
      </c>
      <c r="AF77" s="33" t="n"/>
      <c r="AG77" s="33" t="n"/>
      <c r="AH77" s="33" t="n"/>
      <c r="AI77" s="33" t="n"/>
      <c r="AJ77" s="33" t="n"/>
      <c r="AK77" s="33" t="n"/>
      <c r="AL77" s="27" t="n"/>
      <c r="AM77" s="34" t="n"/>
      <c r="AN77" s="35">
        <f>IF(AF77="","",IF(AI77="Yes","❌ Disc",IF(AH77="No","⚠ Missing",IF(AK77="Yes","✓ OK","⚠ Check"))))</f>
        <v/>
      </c>
      <c r="AO77" s="36" t="n"/>
      <c r="AP77" s="36" t="n"/>
      <c r="AQ77" s="36" t="n"/>
      <c r="AR77" s="36" t="n"/>
      <c r="AS77" s="36" t="n"/>
      <c r="AT77" s="36" t="n"/>
      <c r="AU77" s="27" t="n"/>
      <c r="AV77" s="37" t="n"/>
      <c r="AW77" s="38">
        <f>IF(AO77="","",IF(AR77="Yes","❌ Disc",IF(AQ77="No","⚠ Missing",IF(AT77="Yes","✓ OK","⚠ Check"))))</f>
        <v/>
      </c>
    </row>
    <row r="78" ht="18" customHeight="1" s="46">
      <c r="A78" s="39" t="n">
        <v>82</v>
      </c>
      <c r="B78" s="40" t="inlineStr">
        <is>
          <t>BD-LAM-2023-0287</t>
        </is>
      </c>
      <c r="C78" s="41" t="inlineStr">
        <is>
          <t>Lam SL AFP 1mm 1588 Tussock Beige(Diamond)</t>
        </is>
      </c>
      <c r="D78" s="39" t="inlineStr">
        <is>
          <t>Stylam</t>
        </is>
      </c>
      <c r="E78" s="43" t="n">
        <v>46125</v>
      </c>
      <c r="F78" s="26" t="inlineStr">
        <is>
          <t>Sunil CR</t>
        </is>
      </c>
      <c r="G78" s="26" t="inlineStr">
        <is>
          <t>Yes</t>
        </is>
      </c>
      <c r="H78" s="26" t="inlineStr">
        <is>
          <t>No</t>
        </is>
      </c>
      <c r="I78" s="26" t="inlineStr">
        <is>
          <t>Good finish</t>
        </is>
      </c>
      <c r="J78" s="26" t="inlineStr">
        <is>
          <t>Yes</t>
        </is>
      </c>
      <c r="K78" s="27" t="n"/>
      <c r="L78" s="28" t="inlineStr">
        <is>
          <t>No</t>
        </is>
      </c>
      <c r="M78" s="29">
        <f>IF(E78="","",IF(H78="Yes","❌ Disc",IF(G78="No","⚠ Missing",IF(J78="Yes","✓ OK","⚠ Check"))))</f>
        <v/>
      </c>
      <c r="N78" s="43" t="n">
        <v>46193</v>
      </c>
      <c r="O78" s="26" t="inlineStr">
        <is>
          <t>Sunil CR</t>
        </is>
      </c>
      <c r="P78" s="26" t="inlineStr">
        <is>
          <t>Yes</t>
        </is>
      </c>
      <c r="Q78" s="26" t="inlineStr">
        <is>
          <t>No</t>
        </is>
      </c>
      <c r="R78" s="26" t="inlineStr">
        <is>
          <t>Good finish</t>
        </is>
      </c>
      <c r="S78" s="26" t="inlineStr">
        <is>
          <t>Yes</t>
        </is>
      </c>
      <c r="T78" s="27" t="n"/>
      <c r="U78" s="28" t="inlineStr">
        <is>
          <t>No</t>
        </is>
      </c>
      <c r="V78" s="29">
        <f>IF(N78="","",IF(Q78="Yes","❌ Disc",IF(P78="No","⚠ Missing",IF(S78="Yes","✓ OK","⚠ Check"))))</f>
        <v/>
      </c>
      <c r="W78" s="65" t="n">
        <v>46248</v>
      </c>
      <c r="X78" s="30" t="inlineStr">
        <is>
          <t>Sunil CR</t>
        </is>
      </c>
      <c r="Y78" s="30" t="inlineStr">
        <is>
          <t>Yes</t>
        </is>
      </c>
      <c r="Z78" s="30" t="n"/>
      <c r="AA78" s="30" t="inlineStr">
        <is>
          <t>Good finish</t>
        </is>
      </c>
      <c r="AB78" s="30" t="inlineStr">
        <is>
          <t>Yes</t>
        </is>
      </c>
      <c r="AC78" s="27" t="n"/>
      <c r="AD78" s="31" t="inlineStr">
        <is>
          <t>No</t>
        </is>
      </c>
      <c r="AE78" s="32">
        <f>IF(W78="","",IF(Z78="Yes","❌ Disc",IF(Y78="No","⚠ Missing",IF(AB78="Yes","✓ OK","⚠ Check"))))</f>
        <v/>
      </c>
      <c r="AF78" s="33" t="n"/>
      <c r="AG78" s="33" t="n"/>
      <c r="AH78" s="33" t="n"/>
      <c r="AI78" s="33" t="n"/>
      <c r="AJ78" s="33" t="n"/>
      <c r="AK78" s="33" t="n"/>
      <c r="AL78" s="27" t="n"/>
      <c r="AM78" s="34" t="n"/>
      <c r="AN78" s="35">
        <f>IF(AF78="","",IF(AI78="Yes","❌ Disc",IF(AH78="No","⚠ Missing",IF(AK78="Yes","✓ OK","⚠ Check"))))</f>
        <v/>
      </c>
      <c r="AO78" s="36" t="n"/>
      <c r="AP78" s="36" t="n"/>
      <c r="AQ78" s="36" t="n"/>
      <c r="AR78" s="36" t="n"/>
      <c r="AS78" s="36" t="n"/>
      <c r="AT78" s="36" t="n"/>
      <c r="AU78" s="27" t="n"/>
      <c r="AV78" s="37" t="n"/>
      <c r="AW78" s="38">
        <f>IF(AO78="","",IF(AR78="Yes","❌ Disc",IF(AQ78="No","⚠ Missing",IF(AT78="Yes","✓ OK","⚠ Check"))))</f>
        <v/>
      </c>
    </row>
    <row r="79" ht="18" customHeight="1" s="46">
      <c r="A79" s="23" t="n">
        <v>83</v>
      </c>
      <c r="B79" s="24" t="inlineStr">
        <is>
          <t>BD-LAM-2023-0117</t>
        </is>
      </c>
      <c r="C79" s="25" t="inlineStr">
        <is>
          <t>Lam SL AFP 1mm 1591 Bronce Metallic(Diamond)</t>
        </is>
      </c>
      <c r="D79" s="23" t="inlineStr">
        <is>
          <t>Stylam</t>
        </is>
      </c>
      <c r="E79" s="43" t="n">
        <v>46125</v>
      </c>
      <c r="F79" s="26" t="inlineStr">
        <is>
          <t>Sunil CR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Good finish</t>
        </is>
      </c>
      <c r="J79" s="26" t="inlineStr">
        <is>
          <t>Yes</t>
        </is>
      </c>
      <c r="K79" s="27" t="n"/>
      <c r="L79" s="28" t="inlineStr">
        <is>
          <t>No</t>
        </is>
      </c>
      <c r="M79" s="29">
        <f>IF(E79="","",IF(H79="Yes","❌ Disc",IF(G79="No","⚠ Missing",IF(J79="Yes","✓ OK","⚠ Check"))))</f>
        <v/>
      </c>
      <c r="N79" s="43" t="n">
        <v>46193</v>
      </c>
      <c r="O79" s="26" t="inlineStr">
        <is>
          <t>Sunil CR</t>
        </is>
      </c>
      <c r="P79" s="26" t="inlineStr">
        <is>
          <t>Yes</t>
        </is>
      </c>
      <c r="Q79" s="26" t="inlineStr">
        <is>
          <t>No</t>
        </is>
      </c>
      <c r="R79" s="26" t="inlineStr">
        <is>
          <t>Good finish</t>
        </is>
      </c>
      <c r="S79" s="26" t="inlineStr">
        <is>
          <t>Yes</t>
        </is>
      </c>
      <c r="T79" s="27" t="n"/>
      <c r="U79" s="28" t="inlineStr">
        <is>
          <t>No</t>
        </is>
      </c>
      <c r="V79" s="29">
        <f>IF(N79="","",IF(Q79="Yes","❌ Disc",IF(P79="No","⚠ Missing",IF(S79="Yes","✓ OK","⚠ Check"))))</f>
        <v/>
      </c>
      <c r="W79" s="65" t="n">
        <v>46248</v>
      </c>
      <c r="X79" s="30" t="inlineStr">
        <is>
          <t>Sunil CR</t>
        </is>
      </c>
      <c r="Y79" s="30" t="inlineStr">
        <is>
          <t>Yes</t>
        </is>
      </c>
      <c r="Z79" s="30" t="n"/>
      <c r="AA79" s="30" t="inlineStr">
        <is>
          <t>Good finish</t>
        </is>
      </c>
      <c r="AB79" s="30" t="inlineStr">
        <is>
          <t>Yes</t>
        </is>
      </c>
      <c r="AC79" s="27" t="n"/>
      <c r="AD79" s="31" t="inlineStr">
        <is>
          <t>No</t>
        </is>
      </c>
      <c r="AE79" s="32">
        <f>IF(W79="","",IF(Z79="Yes","❌ Disc",IF(Y79="No","⚠ Missing",IF(AB79="Yes","✓ OK","⚠ Check"))))</f>
        <v/>
      </c>
      <c r="AF79" s="33" t="n"/>
      <c r="AG79" s="33" t="n"/>
      <c r="AH79" s="33" t="n"/>
      <c r="AI79" s="33" t="n"/>
      <c r="AJ79" s="33" t="n"/>
      <c r="AK79" s="33" t="n"/>
      <c r="AL79" s="27" t="n"/>
      <c r="AM79" s="34" t="n"/>
      <c r="AN79" s="35">
        <f>IF(AF79="","",IF(AI79="Yes","❌ Disc",IF(AH79="No","⚠ Missing",IF(AK79="Yes","✓ OK","⚠ Check"))))</f>
        <v/>
      </c>
      <c r="AO79" s="36" t="n"/>
      <c r="AP79" s="36" t="n"/>
      <c r="AQ79" s="36" t="n"/>
      <c r="AR79" s="36" t="n"/>
      <c r="AS79" s="36" t="n"/>
      <c r="AT79" s="36" t="n"/>
      <c r="AU79" s="27" t="n"/>
      <c r="AV79" s="37" t="n"/>
      <c r="AW79" s="38">
        <f>IF(AO79="","",IF(AR79="Yes","❌ Disc",IF(AQ79="No","⚠ Missing",IF(AT79="Yes","✓ OK","⚠ Check"))))</f>
        <v/>
      </c>
    </row>
    <row r="80" ht="18" customHeight="1" s="46">
      <c r="A80" s="39" t="n">
        <v>84</v>
      </c>
      <c r="B80" s="40" t="inlineStr">
        <is>
          <t>BD-LAM-2023-0096</t>
        </is>
      </c>
      <c r="C80" s="41" t="inlineStr">
        <is>
          <t>Lam SL AFP 1mm 1709 Avio Blue(Diamond)</t>
        </is>
      </c>
      <c r="D80" s="39" t="inlineStr">
        <is>
          <t>Stylam</t>
        </is>
      </c>
      <c r="E80" s="43" t="n">
        <v>46125</v>
      </c>
      <c r="F80" s="26" t="inlineStr">
        <is>
          <t>Sunil CR</t>
        </is>
      </c>
      <c r="G80" s="26" t="inlineStr">
        <is>
          <t>Yes</t>
        </is>
      </c>
      <c r="H80" s="26" t="inlineStr">
        <is>
          <t>No</t>
        </is>
      </c>
      <c r="I80" s="26" t="inlineStr">
        <is>
          <t>Good finish</t>
        </is>
      </c>
      <c r="J80" s="26" t="inlineStr">
        <is>
          <t>Yes</t>
        </is>
      </c>
      <c r="K80" s="27" t="n"/>
      <c r="L80" s="28" t="inlineStr">
        <is>
          <t>No</t>
        </is>
      </c>
      <c r="M80" s="29">
        <f>IF(E80="","",IF(H80="Yes","❌ Disc",IF(G80="No","⚠ Missing",IF(J80="Yes","✓ OK","⚠ Check"))))</f>
        <v/>
      </c>
      <c r="N80" s="43" t="n">
        <v>46193</v>
      </c>
      <c r="O80" s="26" t="inlineStr">
        <is>
          <t>Sunil CR</t>
        </is>
      </c>
      <c r="P80" s="26" t="inlineStr">
        <is>
          <t>Yes</t>
        </is>
      </c>
      <c r="Q80" s="26" t="inlineStr">
        <is>
          <t>No</t>
        </is>
      </c>
      <c r="R80" s="26" t="inlineStr">
        <is>
          <t>Good finish</t>
        </is>
      </c>
      <c r="S80" s="26" t="inlineStr">
        <is>
          <t>Yes</t>
        </is>
      </c>
      <c r="T80" s="27" t="n"/>
      <c r="U80" s="28" t="inlineStr">
        <is>
          <t>No</t>
        </is>
      </c>
      <c r="V80" s="29">
        <f>IF(N80="","",IF(Q80="Yes","❌ Disc",IF(P80="No","⚠ Missing",IF(S80="Yes","✓ OK","⚠ Check"))))</f>
        <v/>
      </c>
      <c r="W80" s="65" t="n">
        <v>46248</v>
      </c>
      <c r="X80" s="30" t="inlineStr">
        <is>
          <t>Sunil CR</t>
        </is>
      </c>
      <c r="Y80" s="30" t="inlineStr">
        <is>
          <t>Yes</t>
        </is>
      </c>
      <c r="Z80" s="30" t="n"/>
      <c r="AA80" s="30" t="inlineStr">
        <is>
          <t>Good finish</t>
        </is>
      </c>
      <c r="AB80" s="30" t="inlineStr">
        <is>
          <t>Yes</t>
        </is>
      </c>
      <c r="AC80" s="27" t="n"/>
      <c r="AD80" s="31" t="inlineStr">
        <is>
          <t>No</t>
        </is>
      </c>
      <c r="AE80" s="32">
        <f>IF(W80="","",IF(Z80="Yes","❌ Disc",IF(Y80="No","⚠ Missing",IF(AB80="Yes","✓ OK","⚠ Check"))))</f>
        <v/>
      </c>
      <c r="AF80" s="33" t="n"/>
      <c r="AG80" s="33" t="n"/>
      <c r="AH80" s="33" t="n"/>
      <c r="AI80" s="33" t="n"/>
      <c r="AJ80" s="33" t="n"/>
      <c r="AK80" s="33" t="n"/>
      <c r="AL80" s="27" t="n"/>
      <c r="AM80" s="34" t="n"/>
      <c r="AN80" s="35">
        <f>IF(AF80="","",IF(AI80="Yes","❌ Disc",IF(AH80="No","⚠ Missing",IF(AK80="Yes","✓ OK","⚠ Check"))))</f>
        <v/>
      </c>
      <c r="AO80" s="36" t="n"/>
      <c r="AP80" s="36" t="n"/>
      <c r="AQ80" s="36" t="n"/>
      <c r="AR80" s="36" t="n"/>
      <c r="AS80" s="36" t="n"/>
      <c r="AT80" s="36" t="n"/>
      <c r="AU80" s="27" t="n"/>
      <c r="AV80" s="37" t="n"/>
      <c r="AW80" s="38">
        <f>IF(AO80="","",IF(AR80="Yes","❌ Disc",IF(AQ80="No","⚠ Missing",IF(AT80="Yes","✓ OK","⚠ Check"))))</f>
        <v/>
      </c>
    </row>
    <row r="81" ht="18" customHeight="1" s="46">
      <c r="A81" s="23" t="n">
        <v>85</v>
      </c>
      <c r="B81" s="24" t="inlineStr">
        <is>
          <t>BD-LAM-2024-0056</t>
        </is>
      </c>
      <c r="C81" s="25" t="inlineStr">
        <is>
          <t>Lam SL AFP 1mm 1715 Beige Arizona(Diamond)</t>
        </is>
      </c>
      <c r="D81" s="23" t="inlineStr">
        <is>
          <t>Stylam</t>
        </is>
      </c>
      <c r="E81" s="43" t="n">
        <v>46125</v>
      </c>
      <c r="F81" s="26" t="inlineStr">
        <is>
          <t>Sunil CR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Good finish</t>
        </is>
      </c>
      <c r="J81" s="26" t="inlineStr">
        <is>
          <t>Yes</t>
        </is>
      </c>
      <c r="K81" s="27" t="n"/>
      <c r="L81" s="28" t="inlineStr">
        <is>
          <t>No</t>
        </is>
      </c>
      <c r="M81" s="29">
        <f>IF(E81="","",IF(H81="Yes","❌ Disc",IF(G81="No","⚠ Missing",IF(J81="Yes","✓ OK","⚠ Check"))))</f>
        <v/>
      </c>
      <c r="N81" s="43" t="n">
        <v>46193</v>
      </c>
      <c r="O81" s="26" t="inlineStr">
        <is>
          <t>Sunil CR</t>
        </is>
      </c>
      <c r="P81" s="26" t="inlineStr">
        <is>
          <t>Yes</t>
        </is>
      </c>
      <c r="Q81" s="26" t="inlineStr">
        <is>
          <t>No</t>
        </is>
      </c>
      <c r="R81" s="26" t="inlineStr">
        <is>
          <t>Good finish</t>
        </is>
      </c>
      <c r="S81" s="26" t="inlineStr">
        <is>
          <t>Yes</t>
        </is>
      </c>
      <c r="T81" s="27" t="n"/>
      <c r="U81" s="28" t="inlineStr">
        <is>
          <t>No</t>
        </is>
      </c>
      <c r="V81" s="29">
        <f>IF(N81="","",IF(Q81="Yes","❌ Disc",IF(P81="No","⚠ Missing",IF(S81="Yes","✓ OK","⚠ Check"))))</f>
        <v/>
      </c>
      <c r="W81" s="65" t="n">
        <v>46248</v>
      </c>
      <c r="X81" s="30" t="inlineStr">
        <is>
          <t>Sunil CR</t>
        </is>
      </c>
      <c r="Y81" s="30" t="inlineStr">
        <is>
          <t>Yes</t>
        </is>
      </c>
      <c r="Z81" s="30" t="n"/>
      <c r="AA81" s="30" t="inlineStr">
        <is>
          <t>Good finish</t>
        </is>
      </c>
      <c r="AB81" s="30" t="inlineStr">
        <is>
          <t>Yes</t>
        </is>
      </c>
      <c r="AC81" s="27" t="n"/>
      <c r="AD81" s="31" t="inlineStr">
        <is>
          <t>No</t>
        </is>
      </c>
      <c r="AE81" s="32">
        <f>IF(W81="","",IF(Z81="Yes","❌ Disc",IF(Y81="No","⚠ Missing",IF(AB81="Yes","✓ OK","⚠ Check"))))</f>
        <v/>
      </c>
      <c r="AF81" s="33" t="n"/>
      <c r="AG81" s="33" t="n"/>
      <c r="AH81" s="33" t="n"/>
      <c r="AI81" s="33" t="n"/>
      <c r="AJ81" s="33" t="n"/>
      <c r="AK81" s="33" t="n"/>
      <c r="AL81" s="27" t="n"/>
      <c r="AM81" s="34" t="n"/>
      <c r="AN81" s="35">
        <f>IF(AF81="","",IF(AI81="Yes","❌ Disc",IF(AH81="No","⚠ Missing",IF(AK81="Yes","✓ OK","⚠ Check"))))</f>
        <v/>
      </c>
      <c r="AO81" s="36" t="n"/>
      <c r="AP81" s="36" t="n"/>
      <c r="AQ81" s="36" t="n"/>
      <c r="AR81" s="36" t="n"/>
      <c r="AS81" s="36" t="n"/>
      <c r="AT81" s="36" t="n"/>
      <c r="AU81" s="27" t="n"/>
      <c r="AV81" s="37" t="n"/>
      <c r="AW81" s="38">
        <f>IF(AO81="","",IF(AR81="Yes","❌ Disc",IF(AQ81="No","⚠ Missing",IF(AT81="Yes","✓ OK","⚠ Check"))))</f>
        <v/>
      </c>
    </row>
    <row r="82" ht="18" customHeight="1" s="46">
      <c r="A82" s="39" t="n">
        <v>86</v>
      </c>
      <c r="B82" s="40" t="inlineStr">
        <is>
          <t>BD-LAM-2023-0247</t>
        </is>
      </c>
      <c r="C82" s="41" t="inlineStr">
        <is>
          <t>Lam SL AFP 1mm 1722 Premium Green(Diamond)</t>
        </is>
      </c>
      <c r="D82" s="39" t="inlineStr">
        <is>
          <t>Stylam</t>
        </is>
      </c>
      <c r="E82" s="43" t="n">
        <v>46125</v>
      </c>
      <c r="F82" s="26" t="inlineStr">
        <is>
          <t>Sunil CR</t>
        </is>
      </c>
      <c r="G82" s="26" t="inlineStr">
        <is>
          <t>Yes</t>
        </is>
      </c>
      <c r="H82" s="26" t="inlineStr">
        <is>
          <t>No</t>
        </is>
      </c>
      <c r="I82" s="26" t="inlineStr">
        <is>
          <t>Good finish</t>
        </is>
      </c>
      <c r="J82" s="26" t="inlineStr">
        <is>
          <t>Yes</t>
        </is>
      </c>
      <c r="K82" s="27" t="n"/>
      <c r="L82" s="28" t="inlineStr">
        <is>
          <t>No</t>
        </is>
      </c>
      <c r="M82" s="29">
        <f>IF(E82="","",IF(H82="Yes","❌ Disc",IF(G82="No","⚠ Missing",IF(J82="Yes","✓ OK","⚠ Check"))))</f>
        <v/>
      </c>
      <c r="N82" s="43" t="n">
        <v>46193</v>
      </c>
      <c r="O82" s="26" t="inlineStr">
        <is>
          <t>Sunil CR</t>
        </is>
      </c>
      <c r="P82" s="26" t="inlineStr">
        <is>
          <t>Yes</t>
        </is>
      </c>
      <c r="Q82" s="26" t="inlineStr">
        <is>
          <t>No</t>
        </is>
      </c>
      <c r="R82" s="26" t="inlineStr">
        <is>
          <t>Good finish</t>
        </is>
      </c>
      <c r="S82" s="26" t="inlineStr">
        <is>
          <t>Yes</t>
        </is>
      </c>
      <c r="T82" s="27" t="n"/>
      <c r="U82" s="28" t="inlineStr">
        <is>
          <t>No</t>
        </is>
      </c>
      <c r="V82" s="29">
        <f>IF(N82="","",IF(Q82="Yes","❌ Disc",IF(P82="No","⚠ Missing",IF(S82="Yes","✓ OK","⚠ Check"))))</f>
        <v/>
      </c>
      <c r="W82" s="65" t="n">
        <v>46248</v>
      </c>
      <c r="X82" s="30" t="inlineStr">
        <is>
          <t>Sunil CR</t>
        </is>
      </c>
      <c r="Y82" s="30" t="inlineStr">
        <is>
          <t>Yes</t>
        </is>
      </c>
      <c r="Z82" s="30" t="n"/>
      <c r="AA82" s="30" t="inlineStr">
        <is>
          <t>Good finish</t>
        </is>
      </c>
      <c r="AB82" s="30" t="inlineStr">
        <is>
          <t>Yes</t>
        </is>
      </c>
      <c r="AC82" s="27" t="n"/>
      <c r="AD82" s="31" t="inlineStr">
        <is>
          <t>No</t>
        </is>
      </c>
      <c r="AE82" s="32">
        <f>IF(W82="","",IF(Z82="Yes","❌ Disc",IF(Y82="No","⚠ Missing",IF(AB82="Yes","✓ OK","⚠ Check"))))</f>
        <v/>
      </c>
      <c r="AF82" s="33" t="n"/>
      <c r="AG82" s="33" t="n"/>
      <c r="AH82" s="33" t="n"/>
      <c r="AI82" s="33" t="n"/>
      <c r="AJ82" s="33" t="n"/>
      <c r="AK82" s="33" t="n"/>
      <c r="AL82" s="27" t="n"/>
      <c r="AM82" s="34" t="n"/>
      <c r="AN82" s="35">
        <f>IF(AF82="","",IF(AI82="Yes","❌ Disc",IF(AH82="No","⚠ Missing",IF(AK82="Yes","✓ OK","⚠ Check"))))</f>
        <v/>
      </c>
      <c r="AO82" s="36" t="n"/>
      <c r="AP82" s="36" t="n"/>
      <c r="AQ82" s="36" t="n"/>
      <c r="AR82" s="36" t="n"/>
      <c r="AS82" s="36" t="n"/>
      <c r="AT82" s="36" t="n"/>
      <c r="AU82" s="27" t="n"/>
      <c r="AV82" s="37" t="n"/>
      <c r="AW82" s="38">
        <f>IF(AO82="","",IF(AR82="Yes","❌ Disc",IF(AQ82="No","⚠ Missing",IF(AT82="Yes","✓ OK","⚠ Check"))))</f>
        <v/>
      </c>
    </row>
    <row r="83" ht="18" customHeight="1" s="46">
      <c r="A83" s="23" t="n">
        <v>87</v>
      </c>
      <c r="B83" s="24" t="inlineStr">
        <is>
          <t>BD-LAM-2024-0052</t>
        </is>
      </c>
      <c r="C83" s="25" t="inlineStr">
        <is>
          <t>Lam SL AFP 1mm 1757 Almond Beige(Diamond)</t>
        </is>
      </c>
      <c r="D83" s="23" t="inlineStr">
        <is>
          <t>Stylam</t>
        </is>
      </c>
      <c r="E83" s="43" t="n">
        <v>46125</v>
      </c>
      <c r="F83" s="26" t="inlineStr">
        <is>
          <t>Sunil CR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Good finish</t>
        </is>
      </c>
      <c r="J83" s="26" t="inlineStr">
        <is>
          <t>Yes</t>
        </is>
      </c>
      <c r="K83" s="27" t="n"/>
      <c r="L83" s="28" t="inlineStr">
        <is>
          <t>No</t>
        </is>
      </c>
      <c r="M83" s="29">
        <f>IF(E83="","",IF(H83="Yes","❌ Disc",IF(G83="No","⚠ Missing",IF(J83="Yes","✓ OK","⚠ Check"))))</f>
        <v/>
      </c>
      <c r="N83" s="43" t="n">
        <v>46193</v>
      </c>
      <c r="O83" s="26" t="inlineStr">
        <is>
          <t>Sunil CR</t>
        </is>
      </c>
      <c r="P83" s="26" t="inlineStr">
        <is>
          <t>Yes</t>
        </is>
      </c>
      <c r="Q83" s="26" t="inlineStr">
        <is>
          <t>No</t>
        </is>
      </c>
      <c r="R83" s="26" t="inlineStr">
        <is>
          <t>Good finish</t>
        </is>
      </c>
      <c r="S83" s="26" t="inlineStr">
        <is>
          <t>Yes</t>
        </is>
      </c>
      <c r="T83" s="27" t="n"/>
      <c r="U83" s="28" t="inlineStr">
        <is>
          <t>No</t>
        </is>
      </c>
      <c r="V83" s="29">
        <f>IF(N83="","",IF(Q83="Yes","❌ Disc",IF(P83="No","⚠ Missing",IF(S83="Yes","✓ OK","⚠ Check"))))</f>
        <v/>
      </c>
      <c r="W83" s="65" t="n">
        <v>46248</v>
      </c>
      <c r="X83" s="30" t="inlineStr">
        <is>
          <t>Sunil CR</t>
        </is>
      </c>
      <c r="Y83" s="30" t="inlineStr">
        <is>
          <t>Yes</t>
        </is>
      </c>
      <c r="Z83" s="30" t="n"/>
      <c r="AA83" s="30" t="inlineStr">
        <is>
          <t>Good finish</t>
        </is>
      </c>
      <c r="AB83" s="30" t="inlineStr">
        <is>
          <t>Yes</t>
        </is>
      </c>
      <c r="AC83" s="27" t="n"/>
      <c r="AD83" s="31" t="inlineStr">
        <is>
          <t>No</t>
        </is>
      </c>
      <c r="AE83" s="32">
        <f>IF(W83="","",IF(Z83="Yes","❌ Disc",IF(Y83="No","⚠ Missing",IF(AB83="Yes","✓ OK","⚠ Check"))))</f>
        <v/>
      </c>
      <c r="AF83" s="33" t="n"/>
      <c r="AG83" s="33" t="n"/>
      <c r="AH83" s="33" t="n"/>
      <c r="AI83" s="33" t="n"/>
      <c r="AJ83" s="33" t="n"/>
      <c r="AK83" s="33" t="n"/>
      <c r="AL83" s="27" t="n"/>
      <c r="AM83" s="34" t="n"/>
      <c r="AN83" s="35">
        <f>IF(AF83="","",IF(AI83="Yes","❌ Disc",IF(AH83="No","⚠ Missing",IF(AK83="Yes","✓ OK","⚠ Check"))))</f>
        <v/>
      </c>
      <c r="AO83" s="36" t="n"/>
      <c r="AP83" s="36" t="n"/>
      <c r="AQ83" s="36" t="n"/>
      <c r="AR83" s="36" t="n"/>
      <c r="AS83" s="36" t="n"/>
      <c r="AT83" s="36" t="n"/>
      <c r="AU83" s="27" t="n"/>
      <c r="AV83" s="37" t="n"/>
      <c r="AW83" s="38">
        <f>IF(AO83="","",IF(AR83="Yes","❌ Disc",IF(AQ83="No","⚠ Missing",IF(AT83="Yes","✓ OK","⚠ Check"))))</f>
        <v/>
      </c>
    </row>
    <row r="84" ht="18" customHeight="1" s="46">
      <c r="A84" s="39" t="n">
        <v>88</v>
      </c>
      <c r="B84" s="40" t="inlineStr">
        <is>
          <t>BD-LAM-2023-0086</t>
        </is>
      </c>
      <c r="C84" s="41" t="inlineStr">
        <is>
          <t>Lam SL AFP 1mm 2590 Amber Horizontal(Diamond)</t>
        </is>
      </c>
      <c r="D84" s="39" t="inlineStr">
        <is>
          <t>Stylam</t>
        </is>
      </c>
      <c r="E84" s="43" t="n">
        <v>46125</v>
      </c>
      <c r="F84" s="26" t="inlineStr">
        <is>
          <t>Sunil CR</t>
        </is>
      </c>
      <c r="G84" s="26" t="inlineStr">
        <is>
          <t>Yes</t>
        </is>
      </c>
      <c r="H84" s="26" t="inlineStr">
        <is>
          <t>No</t>
        </is>
      </c>
      <c r="I84" s="26" t="inlineStr">
        <is>
          <t>Good finish</t>
        </is>
      </c>
      <c r="J84" s="26" t="inlineStr">
        <is>
          <t>Yes</t>
        </is>
      </c>
      <c r="K84" s="27" t="n"/>
      <c r="L84" s="28" t="inlineStr">
        <is>
          <t>No</t>
        </is>
      </c>
      <c r="M84" s="29">
        <f>IF(E84="","",IF(H84="Yes","❌ Disc",IF(G84="No","⚠ Missing",IF(J84="Yes","✓ OK","⚠ Check"))))</f>
        <v/>
      </c>
      <c r="N84" s="43" t="n">
        <v>46193</v>
      </c>
      <c r="O84" s="26" t="inlineStr">
        <is>
          <t>Sunil CR</t>
        </is>
      </c>
      <c r="P84" s="26" t="inlineStr">
        <is>
          <t>Yes</t>
        </is>
      </c>
      <c r="Q84" s="26" t="inlineStr">
        <is>
          <t>No</t>
        </is>
      </c>
      <c r="R84" s="26" t="inlineStr">
        <is>
          <t>Good finish</t>
        </is>
      </c>
      <c r="S84" s="26" t="inlineStr">
        <is>
          <t>Yes</t>
        </is>
      </c>
      <c r="T84" s="27" t="n"/>
      <c r="U84" s="28" t="inlineStr">
        <is>
          <t>No</t>
        </is>
      </c>
      <c r="V84" s="29">
        <f>IF(N84="","",IF(Q84="Yes","❌ Disc",IF(P84="No","⚠ Missing",IF(S84="Yes","✓ OK","⚠ Check"))))</f>
        <v/>
      </c>
      <c r="W84" s="65" t="n">
        <v>46248</v>
      </c>
      <c r="X84" s="30" t="inlineStr">
        <is>
          <t>Sunil CR</t>
        </is>
      </c>
      <c r="Y84" s="30" t="inlineStr">
        <is>
          <t>Yes</t>
        </is>
      </c>
      <c r="Z84" s="30" t="n"/>
      <c r="AA84" s="30" t="inlineStr">
        <is>
          <t>Good finish</t>
        </is>
      </c>
      <c r="AB84" s="30" t="inlineStr">
        <is>
          <t>Yes</t>
        </is>
      </c>
      <c r="AC84" s="27" t="n"/>
      <c r="AD84" s="31" t="inlineStr">
        <is>
          <t>No</t>
        </is>
      </c>
      <c r="AE84" s="32">
        <f>IF(W84="","",IF(Z84="Yes","❌ Disc",IF(Y84="No","⚠ Missing",IF(AB84="Yes","✓ OK","⚠ Check"))))</f>
        <v/>
      </c>
      <c r="AF84" s="33" t="n"/>
      <c r="AG84" s="33" t="n"/>
      <c r="AH84" s="33" t="n"/>
      <c r="AI84" s="33" t="n"/>
      <c r="AJ84" s="33" t="n"/>
      <c r="AK84" s="33" t="n"/>
      <c r="AL84" s="27" t="n"/>
      <c r="AM84" s="34" t="n"/>
      <c r="AN84" s="35">
        <f>IF(AF84="","",IF(AI84="Yes","❌ Disc",IF(AH84="No","⚠ Missing",IF(AK84="Yes","✓ OK","⚠ Check"))))</f>
        <v/>
      </c>
      <c r="AO84" s="36" t="n"/>
      <c r="AP84" s="36" t="n"/>
      <c r="AQ84" s="36" t="n"/>
      <c r="AR84" s="36" t="n"/>
      <c r="AS84" s="36" t="n"/>
      <c r="AT84" s="36" t="n"/>
      <c r="AU84" s="27" t="n"/>
      <c r="AV84" s="37" t="n"/>
      <c r="AW84" s="38">
        <f>IF(AO84="","",IF(AR84="Yes","❌ Disc",IF(AQ84="No","⚠ Missing",IF(AT84="Yes","✓ OK","⚠ Check"))))</f>
        <v/>
      </c>
    </row>
    <row r="85" ht="18" customHeight="1" s="46">
      <c r="A85" s="23" t="n">
        <v>89</v>
      </c>
      <c r="B85" s="24" t="inlineStr">
        <is>
          <t>BD-LAM-2024-0057</t>
        </is>
      </c>
      <c r="C85" s="25" t="inlineStr">
        <is>
          <t>Lam SL AFP 1mm 2601 Jungle Ultra(Diamond)</t>
        </is>
      </c>
      <c r="D85" s="23" t="inlineStr">
        <is>
          <t>Stylam</t>
        </is>
      </c>
      <c r="E85" s="43" t="n">
        <v>46125</v>
      </c>
      <c r="F85" s="26" t="inlineStr">
        <is>
          <t>Sunil CR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Good finish</t>
        </is>
      </c>
      <c r="J85" s="26" t="inlineStr">
        <is>
          <t>Yes</t>
        </is>
      </c>
      <c r="K85" s="27" t="n"/>
      <c r="L85" s="28" t="inlineStr">
        <is>
          <t>No</t>
        </is>
      </c>
      <c r="M85" s="29">
        <f>IF(E85="","",IF(H85="Yes","❌ Disc",IF(G85="No","⚠ Missing",IF(J85="Yes","✓ OK","⚠ Check"))))</f>
        <v/>
      </c>
      <c r="N85" s="43" t="n">
        <v>46193</v>
      </c>
      <c r="O85" s="26" t="inlineStr">
        <is>
          <t>Sunil CR</t>
        </is>
      </c>
      <c r="P85" s="26" t="inlineStr">
        <is>
          <t>Yes</t>
        </is>
      </c>
      <c r="Q85" s="26" t="inlineStr">
        <is>
          <t>No</t>
        </is>
      </c>
      <c r="R85" s="26" t="inlineStr">
        <is>
          <t>Good finish</t>
        </is>
      </c>
      <c r="S85" s="26" t="inlineStr">
        <is>
          <t>Yes</t>
        </is>
      </c>
      <c r="T85" s="27" t="n"/>
      <c r="U85" s="28" t="inlineStr">
        <is>
          <t>No</t>
        </is>
      </c>
      <c r="V85" s="29">
        <f>IF(N85="","",IF(Q85="Yes","❌ Disc",IF(P85="No","⚠ Missing",IF(S85="Yes","✓ OK","⚠ Check"))))</f>
        <v/>
      </c>
      <c r="W85" s="65" t="n">
        <v>46248</v>
      </c>
      <c r="X85" s="30" t="inlineStr">
        <is>
          <t>Sunil CR</t>
        </is>
      </c>
      <c r="Y85" s="30" t="inlineStr">
        <is>
          <t>Yes</t>
        </is>
      </c>
      <c r="Z85" s="30" t="n"/>
      <c r="AA85" s="30" t="inlineStr">
        <is>
          <t>Good finish</t>
        </is>
      </c>
      <c r="AB85" s="30" t="inlineStr">
        <is>
          <t>Yes</t>
        </is>
      </c>
      <c r="AC85" s="27" t="n"/>
      <c r="AD85" s="31" t="inlineStr">
        <is>
          <t>No</t>
        </is>
      </c>
      <c r="AE85" s="32">
        <f>IF(W85="","",IF(Z85="Yes","❌ Disc",IF(Y85="No","⚠ Missing",IF(AB85="Yes","✓ OK","⚠ Check"))))</f>
        <v/>
      </c>
      <c r="AF85" s="33" t="n"/>
      <c r="AG85" s="33" t="n"/>
      <c r="AH85" s="33" t="n"/>
      <c r="AI85" s="33" t="n"/>
      <c r="AJ85" s="33" t="n"/>
      <c r="AK85" s="33" t="n"/>
      <c r="AL85" s="27" t="n"/>
      <c r="AM85" s="34" t="n"/>
      <c r="AN85" s="35">
        <f>IF(AF85="","",IF(AI85="Yes","❌ Disc",IF(AH85="No","⚠ Missing",IF(AK85="Yes","✓ OK","⚠ Check"))))</f>
        <v/>
      </c>
      <c r="AO85" s="36" t="n"/>
      <c r="AP85" s="36" t="n"/>
      <c r="AQ85" s="36" t="n"/>
      <c r="AR85" s="36" t="n"/>
      <c r="AS85" s="36" t="n"/>
      <c r="AT85" s="36" t="n"/>
      <c r="AU85" s="27" t="n"/>
      <c r="AV85" s="37" t="n"/>
      <c r="AW85" s="38">
        <f>IF(AO85="","",IF(AR85="Yes","❌ Disc",IF(AQ85="No","⚠ Missing",IF(AT85="Yes","✓ OK","⚠ Check"))))</f>
        <v/>
      </c>
    </row>
    <row r="86" ht="18" customHeight="1" s="46">
      <c r="A86" s="39" t="n">
        <v>90</v>
      </c>
      <c r="B86" s="40" t="inlineStr">
        <is>
          <t>BD-LAM-2023-0187</t>
        </is>
      </c>
      <c r="C86" s="41" t="inlineStr">
        <is>
          <t>Lam SL AFP 1mm 538 Ivory Grey(Diamond)</t>
        </is>
      </c>
      <c r="D86" s="39" t="inlineStr">
        <is>
          <t>Stylam</t>
        </is>
      </c>
      <c r="E86" s="43" t="n">
        <v>46125</v>
      </c>
      <c r="F86" s="26" t="inlineStr">
        <is>
          <t>Sunil CR</t>
        </is>
      </c>
      <c r="G86" s="26" t="inlineStr">
        <is>
          <t>Yes</t>
        </is>
      </c>
      <c r="H86" s="26" t="inlineStr">
        <is>
          <t>No</t>
        </is>
      </c>
      <c r="I86" s="26" t="inlineStr">
        <is>
          <t>Good finish</t>
        </is>
      </c>
      <c r="J86" s="26" t="inlineStr">
        <is>
          <t>Yes</t>
        </is>
      </c>
      <c r="K86" s="27" t="n"/>
      <c r="L86" s="28" t="inlineStr">
        <is>
          <t>No</t>
        </is>
      </c>
      <c r="M86" s="29">
        <f>IF(E86="","",IF(H86="Yes","❌ Disc",IF(G86="No","⚠ Missing",IF(J86="Yes","✓ OK","⚠ Check"))))</f>
        <v/>
      </c>
      <c r="N86" s="43" t="n">
        <v>46193</v>
      </c>
      <c r="O86" s="26" t="inlineStr">
        <is>
          <t>Sunil CR</t>
        </is>
      </c>
      <c r="P86" s="26" t="inlineStr">
        <is>
          <t>Yes</t>
        </is>
      </c>
      <c r="Q86" s="26" t="inlineStr">
        <is>
          <t>No</t>
        </is>
      </c>
      <c r="R86" s="26" t="inlineStr">
        <is>
          <t>Good finish</t>
        </is>
      </c>
      <c r="S86" s="26" t="inlineStr">
        <is>
          <t>Yes</t>
        </is>
      </c>
      <c r="T86" s="27" t="n"/>
      <c r="U86" s="28" t="inlineStr">
        <is>
          <t>No</t>
        </is>
      </c>
      <c r="V86" s="29">
        <f>IF(N86="","",IF(Q86="Yes","❌ Disc",IF(P86="No","⚠ Missing",IF(S86="Yes","✓ OK","⚠ Check"))))</f>
        <v/>
      </c>
      <c r="W86" s="65" t="n">
        <v>46248</v>
      </c>
      <c r="X86" s="30" t="inlineStr">
        <is>
          <t>Sunil CR</t>
        </is>
      </c>
      <c r="Y86" s="30" t="inlineStr">
        <is>
          <t>Yes</t>
        </is>
      </c>
      <c r="Z86" s="30" t="n"/>
      <c r="AA86" s="30" t="inlineStr">
        <is>
          <t>Good finish</t>
        </is>
      </c>
      <c r="AB86" s="30" t="inlineStr">
        <is>
          <t>Yes</t>
        </is>
      </c>
      <c r="AC86" s="27" t="n"/>
      <c r="AD86" s="31" t="inlineStr">
        <is>
          <t>No</t>
        </is>
      </c>
      <c r="AE86" s="32">
        <f>IF(W86="","",IF(Z86="Yes","❌ Disc",IF(Y86="No","⚠ Missing",IF(AB86="Yes","✓ OK","⚠ Check"))))</f>
        <v/>
      </c>
      <c r="AF86" s="33" t="n"/>
      <c r="AG86" s="33" t="n"/>
      <c r="AH86" s="33" t="n"/>
      <c r="AI86" s="33" t="n"/>
      <c r="AJ86" s="33" t="n"/>
      <c r="AK86" s="33" t="n"/>
      <c r="AL86" s="27" t="n"/>
      <c r="AM86" s="34" t="n"/>
      <c r="AN86" s="35">
        <f>IF(AF86="","",IF(AI86="Yes","❌ Disc",IF(AH86="No","⚠ Missing",IF(AK86="Yes","✓ OK","⚠ Check"))))</f>
        <v/>
      </c>
      <c r="AO86" s="36" t="n"/>
      <c r="AP86" s="36" t="n"/>
      <c r="AQ86" s="36" t="n"/>
      <c r="AR86" s="36" t="n"/>
      <c r="AS86" s="36" t="n"/>
      <c r="AT86" s="36" t="n"/>
      <c r="AU86" s="27" t="n"/>
      <c r="AV86" s="37" t="n"/>
      <c r="AW86" s="38">
        <f>IF(AO86="","",IF(AR86="Yes","❌ Disc",IF(AQ86="No","⚠ Missing",IF(AT86="Yes","✓ OK","⚠ Check"))))</f>
        <v/>
      </c>
    </row>
    <row r="87" ht="18" customHeight="1" s="46">
      <c r="A87" s="23" t="n">
        <v>91</v>
      </c>
      <c r="B87" s="24" t="inlineStr">
        <is>
          <t>BD-LAM-2023-0234</t>
        </is>
      </c>
      <c r="C87" s="25" t="inlineStr">
        <is>
          <t>Lam SL AFP 1mm 7720 Orlando Walnut(Diamond)</t>
        </is>
      </c>
      <c r="D87" s="23" t="inlineStr">
        <is>
          <t>Stylam</t>
        </is>
      </c>
      <c r="E87" s="43" t="n">
        <v>46125</v>
      </c>
      <c r="F87" s="26" t="inlineStr">
        <is>
          <t>Sunil CR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Good finish</t>
        </is>
      </c>
      <c r="J87" s="26" t="inlineStr">
        <is>
          <t>Yes</t>
        </is>
      </c>
      <c r="K87" s="27" t="n"/>
      <c r="L87" s="28" t="inlineStr">
        <is>
          <t>No</t>
        </is>
      </c>
      <c r="M87" s="29">
        <f>IF(E87="","",IF(H87="Yes","❌ Disc",IF(G87="No","⚠ Missing",IF(J87="Yes","✓ OK","⚠ Check"))))</f>
        <v/>
      </c>
      <c r="N87" s="43" t="n">
        <v>46193</v>
      </c>
      <c r="O87" s="26" t="inlineStr">
        <is>
          <t>Sunil CR</t>
        </is>
      </c>
      <c r="P87" s="26" t="inlineStr">
        <is>
          <t>Yes</t>
        </is>
      </c>
      <c r="Q87" s="26" t="inlineStr">
        <is>
          <t>No</t>
        </is>
      </c>
      <c r="R87" s="26" t="inlineStr">
        <is>
          <t>Good finish</t>
        </is>
      </c>
      <c r="S87" s="26" t="inlineStr">
        <is>
          <t>Yes</t>
        </is>
      </c>
      <c r="T87" s="27" t="n"/>
      <c r="U87" s="28" t="inlineStr">
        <is>
          <t>No</t>
        </is>
      </c>
      <c r="V87" s="29">
        <f>IF(N87="","",IF(Q87="Yes","❌ Disc",IF(P87="No","⚠ Missing",IF(S87="Yes","✓ OK","⚠ Check"))))</f>
        <v/>
      </c>
      <c r="W87" s="65" t="n">
        <v>46248</v>
      </c>
      <c r="X87" s="30" t="inlineStr">
        <is>
          <t>Sunil CR</t>
        </is>
      </c>
      <c r="Y87" s="30" t="inlineStr">
        <is>
          <t>Yes</t>
        </is>
      </c>
      <c r="Z87" s="30" t="n"/>
      <c r="AA87" s="30" t="inlineStr">
        <is>
          <t>Good finish</t>
        </is>
      </c>
      <c r="AB87" s="30" t="inlineStr">
        <is>
          <t>Yes</t>
        </is>
      </c>
      <c r="AC87" s="27" t="n"/>
      <c r="AD87" s="31" t="inlineStr">
        <is>
          <t>No</t>
        </is>
      </c>
      <c r="AE87" s="32">
        <f>IF(W87="","",IF(Z87="Yes","❌ Disc",IF(Y87="No","⚠ Missing",IF(AB87="Yes","✓ OK","⚠ Check"))))</f>
        <v/>
      </c>
      <c r="AF87" s="33" t="n"/>
      <c r="AG87" s="33" t="n"/>
      <c r="AH87" s="33" t="n"/>
      <c r="AI87" s="33" t="n"/>
      <c r="AJ87" s="33" t="n"/>
      <c r="AK87" s="33" t="n"/>
      <c r="AL87" s="27" t="n"/>
      <c r="AM87" s="34" t="n"/>
      <c r="AN87" s="35">
        <f>IF(AF87="","",IF(AI87="Yes","❌ Disc",IF(AH87="No","⚠ Missing",IF(AK87="Yes","✓ OK","⚠ Check"))))</f>
        <v/>
      </c>
      <c r="AO87" s="36" t="n"/>
      <c r="AP87" s="36" t="n"/>
      <c r="AQ87" s="36" t="n"/>
      <c r="AR87" s="36" t="n"/>
      <c r="AS87" s="36" t="n"/>
      <c r="AT87" s="36" t="n"/>
      <c r="AU87" s="27" t="n"/>
      <c r="AV87" s="37" t="n"/>
      <c r="AW87" s="38">
        <f>IF(AO87="","",IF(AR87="Yes","❌ Disc",IF(AQ87="No","⚠ Missing",IF(AT87="Yes","✓ OK","⚠ Check"))))</f>
        <v/>
      </c>
    </row>
    <row r="88" ht="18" customHeight="1" s="46">
      <c r="A88" s="39" t="n">
        <v>92</v>
      </c>
      <c r="B88" s="40" t="inlineStr">
        <is>
          <t>BD-LAM-2023-0243</t>
        </is>
      </c>
      <c r="C88" s="41" t="inlineStr">
        <is>
          <t>Lam SL AFP 1mm 8106 Platinum Grey(Diamond)</t>
        </is>
      </c>
      <c r="D88" s="39" t="inlineStr">
        <is>
          <t>Stylam</t>
        </is>
      </c>
      <c r="E88" s="43" t="n">
        <v>46125</v>
      </c>
      <c r="F88" s="26" t="inlineStr">
        <is>
          <t>Sunil CR</t>
        </is>
      </c>
      <c r="G88" s="26" t="inlineStr">
        <is>
          <t>Yes</t>
        </is>
      </c>
      <c r="H88" s="26" t="inlineStr">
        <is>
          <t>No</t>
        </is>
      </c>
      <c r="I88" s="26" t="inlineStr">
        <is>
          <t>Good finish</t>
        </is>
      </c>
      <c r="J88" s="26" t="inlineStr">
        <is>
          <t>Yes</t>
        </is>
      </c>
      <c r="K88" s="27" t="n"/>
      <c r="L88" s="28" t="inlineStr">
        <is>
          <t>No</t>
        </is>
      </c>
      <c r="M88" s="29">
        <f>IF(E88="","",IF(H88="Yes","❌ Disc",IF(G88="No","⚠ Missing",IF(J88="Yes","✓ OK","⚠ Check"))))</f>
        <v/>
      </c>
      <c r="N88" s="43" t="n">
        <v>46193</v>
      </c>
      <c r="O88" s="26" t="inlineStr">
        <is>
          <t>Sunil CR</t>
        </is>
      </c>
      <c r="P88" s="26" t="inlineStr">
        <is>
          <t>Yes</t>
        </is>
      </c>
      <c r="Q88" s="26" t="inlineStr">
        <is>
          <t>No</t>
        </is>
      </c>
      <c r="R88" s="26" t="inlineStr">
        <is>
          <t>Good finish</t>
        </is>
      </c>
      <c r="S88" s="26" t="inlineStr">
        <is>
          <t>Yes</t>
        </is>
      </c>
      <c r="T88" s="27" t="n"/>
      <c r="U88" s="28" t="inlineStr">
        <is>
          <t>No</t>
        </is>
      </c>
      <c r="V88" s="29">
        <f>IF(N88="","",IF(Q88="Yes","❌ Disc",IF(P88="No","⚠ Missing",IF(S88="Yes","✓ OK","⚠ Check"))))</f>
        <v/>
      </c>
      <c r="W88" s="65" t="n">
        <v>46248</v>
      </c>
      <c r="X88" s="30" t="inlineStr">
        <is>
          <t>Sunil CR</t>
        </is>
      </c>
      <c r="Y88" s="30" t="inlineStr">
        <is>
          <t>Yes</t>
        </is>
      </c>
      <c r="Z88" s="30" t="n"/>
      <c r="AA88" s="30" t="inlineStr">
        <is>
          <t>Good finish</t>
        </is>
      </c>
      <c r="AB88" s="30" t="inlineStr">
        <is>
          <t>Yes</t>
        </is>
      </c>
      <c r="AC88" s="27" t="n"/>
      <c r="AD88" s="31" t="inlineStr">
        <is>
          <t>No</t>
        </is>
      </c>
      <c r="AE88" s="32">
        <f>IF(W88="","",IF(Z88="Yes","❌ Disc",IF(Y88="No","⚠ Missing",IF(AB88="Yes","✓ OK","⚠ Check"))))</f>
        <v/>
      </c>
      <c r="AF88" s="33" t="n"/>
      <c r="AG88" s="33" t="n"/>
      <c r="AH88" s="33" t="n"/>
      <c r="AI88" s="33" t="n"/>
      <c r="AJ88" s="33" t="n"/>
      <c r="AK88" s="33" t="n"/>
      <c r="AL88" s="27" t="n"/>
      <c r="AM88" s="34" t="n"/>
      <c r="AN88" s="35">
        <f>IF(AF88="","",IF(AI88="Yes","❌ Disc",IF(AH88="No","⚠ Missing",IF(AK88="Yes","✓ OK","⚠ Check"))))</f>
        <v/>
      </c>
      <c r="AO88" s="36" t="n"/>
      <c r="AP88" s="36" t="n"/>
      <c r="AQ88" s="36" t="n"/>
      <c r="AR88" s="36" t="n"/>
      <c r="AS88" s="36" t="n"/>
      <c r="AT88" s="36" t="n"/>
      <c r="AU88" s="27" t="n"/>
      <c r="AV88" s="37" t="n"/>
      <c r="AW88" s="38">
        <f>IF(AO88="","",IF(AR88="Yes","❌ Disc",IF(AQ88="No","⚠ Missing",IF(AT88="Yes","✓ OK","⚠ Check"))))</f>
        <v/>
      </c>
    </row>
    <row r="89" ht="18" customHeight="1" s="46">
      <c r="A89" s="23" t="n">
        <v>93</v>
      </c>
      <c r="B89" s="24" t="inlineStr">
        <is>
          <t>BD-LAM-2023-0280</t>
        </is>
      </c>
      <c r="C89" s="25" t="inlineStr">
        <is>
          <t>Lam SL AU 1mm 2191 Tiger Skin(Gold)</t>
        </is>
      </c>
      <c r="D89" s="23" t="inlineStr">
        <is>
          <t>Stylam</t>
        </is>
      </c>
      <c r="E89" s="43" t="n">
        <v>46125</v>
      </c>
      <c r="F89" s="26" t="inlineStr">
        <is>
          <t>Sunil CR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Good finish</t>
        </is>
      </c>
      <c r="J89" s="26" t="inlineStr">
        <is>
          <t>Yes</t>
        </is>
      </c>
      <c r="K89" s="27" t="n"/>
      <c r="L89" s="28" t="inlineStr">
        <is>
          <t>No</t>
        </is>
      </c>
      <c r="M89" s="29">
        <f>IF(E89="","",IF(H89="Yes","❌ Disc",IF(G89="No","⚠ Missing",IF(J89="Yes","✓ OK","⚠ Check"))))</f>
        <v/>
      </c>
      <c r="N89" s="43" t="n">
        <v>46193</v>
      </c>
      <c r="O89" s="26" t="inlineStr">
        <is>
          <t>Sunil CR</t>
        </is>
      </c>
      <c r="P89" s="26" t="inlineStr">
        <is>
          <t>No</t>
        </is>
      </c>
      <c r="Q89" s="26" t="inlineStr">
        <is>
          <t>Yes</t>
        </is>
      </c>
      <c r="R89" s="26" t="inlineStr">
        <is>
          <t>Discontinued</t>
        </is>
      </c>
      <c r="S89" s="26" t="inlineStr">
        <is>
          <t>No</t>
        </is>
      </c>
      <c r="T89" s="27" t="n"/>
      <c r="U89" s="28" t="inlineStr">
        <is>
          <t>No</t>
        </is>
      </c>
      <c r="V89" s="29">
        <f>IF(N89="","",IF(Q89="Yes","❌ Disc",IF(P89="No","⚠ Missing",IF(S89="Yes","✓ OK","⚠ Check"))))</f>
        <v/>
      </c>
      <c r="W89" s="65" t="n">
        <v>46248</v>
      </c>
      <c r="X89" s="30" t="inlineStr">
        <is>
          <t>Sunil CR</t>
        </is>
      </c>
      <c r="Y89" s="30" t="inlineStr">
        <is>
          <t>No</t>
        </is>
      </c>
      <c r="Z89" s="30" t="inlineStr">
        <is>
          <t>Yes</t>
        </is>
      </c>
      <c r="AA89" s="30" t="inlineStr">
        <is>
          <t>Discontinued</t>
        </is>
      </c>
      <c r="AB89" s="30" t="inlineStr">
        <is>
          <t>No</t>
        </is>
      </c>
      <c r="AC89" s="27" t="n"/>
      <c r="AD89" s="31" t="inlineStr">
        <is>
          <t>No</t>
        </is>
      </c>
      <c r="AE89" s="32">
        <f>IF(W89="","",IF(Z89="Yes","❌ Disc",IF(Y89="No","⚠ Missing",IF(AB89="Yes","✓ OK","⚠ Check"))))</f>
        <v/>
      </c>
      <c r="AF89" s="33" t="n"/>
      <c r="AG89" s="33" t="n"/>
      <c r="AH89" s="33" t="n"/>
      <c r="AI89" s="33" t="n"/>
      <c r="AJ89" s="33" t="n"/>
      <c r="AK89" s="33" t="n"/>
      <c r="AL89" s="27" t="n"/>
      <c r="AM89" s="34" t="n"/>
      <c r="AN89" s="35">
        <f>IF(AF89="","",IF(AI89="Yes","❌ Disc",IF(AH89="No","⚠ Missing",IF(AK89="Yes","✓ OK","⚠ Check"))))</f>
        <v/>
      </c>
      <c r="AO89" s="36" t="n"/>
      <c r="AP89" s="36" t="n"/>
      <c r="AQ89" s="36" t="n"/>
      <c r="AR89" s="36" t="n"/>
      <c r="AS89" s="36" t="n"/>
      <c r="AT89" s="36" t="n"/>
      <c r="AU89" s="27" t="n"/>
      <c r="AV89" s="37" t="n"/>
      <c r="AW89" s="38">
        <f>IF(AO89="","",IF(AR89="Yes","❌ Disc",IF(AQ89="No","⚠ Missing",IF(AT89="Yes","✓ OK","⚠ Check"))))</f>
        <v/>
      </c>
    </row>
    <row r="90" ht="18" customHeight="1" s="46">
      <c r="A90" s="39" t="n">
        <v>94</v>
      </c>
      <c r="B90" s="40" t="inlineStr">
        <is>
          <t>BD-LAM-2023-0077</t>
        </is>
      </c>
      <c r="C90" s="41" t="inlineStr">
        <is>
          <t>Lam SL AU 1mm 2912 Rincon Beige Oak(Gold)</t>
        </is>
      </c>
      <c r="D90" s="39" t="inlineStr">
        <is>
          <t>Stylam</t>
        </is>
      </c>
      <c r="E90" s="43" t="n">
        <v>46125</v>
      </c>
      <c r="F90" s="26" t="inlineStr">
        <is>
          <t>Sunil CR</t>
        </is>
      </c>
      <c r="G90" s="26" t="inlineStr">
        <is>
          <t>Yes</t>
        </is>
      </c>
      <c r="H90" s="26" t="inlineStr">
        <is>
          <t>No</t>
        </is>
      </c>
      <c r="I90" s="26" t="inlineStr">
        <is>
          <t>Minor defect</t>
        </is>
      </c>
      <c r="J90" s="26" t="inlineStr">
        <is>
          <t>No</t>
        </is>
      </c>
      <c r="K90" s="27" t="inlineStr">
        <is>
          <t>Categorization sticker is missing</t>
        </is>
      </c>
      <c r="L90" s="28" t="inlineStr">
        <is>
          <t>Yes</t>
        </is>
      </c>
      <c r="M90" s="29">
        <f>IF(E90="","",IF(H90="Yes","❌ Disc",IF(G90="No","⚠ Missing",IF(J90="Yes","✓ OK","⚠ Check"))))</f>
        <v/>
      </c>
      <c r="N90" s="43" t="n">
        <v>46193</v>
      </c>
      <c r="O90" s="26" t="inlineStr">
        <is>
          <t>Sunil CR</t>
        </is>
      </c>
      <c r="P90" s="26" t="inlineStr">
        <is>
          <t>Yes</t>
        </is>
      </c>
      <c r="Q90" s="26" t="inlineStr">
        <is>
          <t>No</t>
        </is>
      </c>
      <c r="R90" s="26" t="inlineStr">
        <is>
          <t>Minor defect</t>
        </is>
      </c>
      <c r="S90" s="26" t="inlineStr">
        <is>
          <t>No</t>
        </is>
      </c>
      <c r="T90" s="27" t="inlineStr">
        <is>
          <t>Categorization sticker is missing</t>
        </is>
      </c>
      <c r="U90" s="28" t="inlineStr">
        <is>
          <t>Yes</t>
        </is>
      </c>
      <c r="V90" s="29">
        <f>IF(N90="","",IF(Q90="Yes","❌ Disc",IF(P90="No","⚠ Missing",IF(S90="Yes","✓ OK","⚠ Check"))))</f>
        <v/>
      </c>
      <c r="W90" s="65" t="n">
        <v>46248</v>
      </c>
      <c r="X90" s="30" t="inlineStr">
        <is>
          <t>Sunil CR</t>
        </is>
      </c>
      <c r="Y90" s="30" t="inlineStr">
        <is>
          <t>No</t>
        </is>
      </c>
      <c r="Z90" s="30" t="inlineStr">
        <is>
          <t>Yes</t>
        </is>
      </c>
      <c r="AA90" s="30" t="inlineStr">
        <is>
          <t>Discontinued</t>
        </is>
      </c>
      <c r="AB90" s="30" t="inlineStr">
        <is>
          <t>No</t>
        </is>
      </c>
      <c r="AC90" s="27" t="inlineStr">
        <is>
          <t>Categorization sticker is missing</t>
        </is>
      </c>
      <c r="AD90" s="31" t="inlineStr">
        <is>
          <t>No</t>
        </is>
      </c>
      <c r="AE90" s="32">
        <f>IF(W90="","",IF(Z90="Yes","❌ Disc",IF(Y90="No","⚠ Missing",IF(AB90="Yes","✓ OK","⚠ Check"))))</f>
        <v/>
      </c>
      <c r="AF90" s="33" t="n"/>
      <c r="AG90" s="33" t="n"/>
      <c r="AH90" s="33" t="n"/>
      <c r="AI90" s="33" t="n"/>
      <c r="AJ90" s="33" t="n"/>
      <c r="AK90" s="33" t="n"/>
      <c r="AL90" s="27" t="n"/>
      <c r="AM90" s="34" t="n"/>
      <c r="AN90" s="35">
        <f>IF(AF90="","",IF(AI90="Yes","❌ Disc",IF(AH90="No","⚠ Missing",IF(AK90="Yes","✓ OK","⚠ Check"))))</f>
        <v/>
      </c>
      <c r="AO90" s="36" t="n"/>
      <c r="AP90" s="36" t="n"/>
      <c r="AQ90" s="36" t="n"/>
      <c r="AR90" s="36" t="n"/>
      <c r="AS90" s="36" t="n"/>
      <c r="AT90" s="36" t="n"/>
      <c r="AU90" s="27" t="n"/>
      <c r="AV90" s="37" t="n"/>
      <c r="AW90" s="38">
        <f>IF(AO90="","",IF(AR90="Yes","❌ Disc",IF(AQ90="No","⚠ Missing",IF(AT90="Yes","✓ OK","⚠ Check"))))</f>
        <v/>
      </c>
    </row>
    <row r="91" ht="18" customHeight="1" s="46">
      <c r="A91" s="23" t="n">
        <v>95</v>
      </c>
      <c r="B91" s="24" t="inlineStr">
        <is>
          <t>BD-LAM-2023-0217</t>
        </is>
      </c>
      <c r="C91" s="25" t="inlineStr">
        <is>
          <t>Lam SL AU 1mm 2915 Nelson Grey Oak(Gold)</t>
        </is>
      </c>
      <c r="D91" s="23" t="inlineStr">
        <is>
          <t>Stylam</t>
        </is>
      </c>
      <c r="E91" s="43" t="n">
        <v>46125</v>
      </c>
      <c r="F91" s="26" t="inlineStr">
        <is>
          <t>Sunil CR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Good finish</t>
        </is>
      </c>
      <c r="J91" s="26" t="inlineStr">
        <is>
          <t>Yes</t>
        </is>
      </c>
      <c r="K91" s="27" t="n"/>
      <c r="L91" s="28" t="inlineStr">
        <is>
          <t>No</t>
        </is>
      </c>
      <c r="M91" s="29">
        <f>IF(E91="","",IF(H91="Yes","❌ Disc",IF(G91="No","⚠ Missing",IF(J91="Yes","✓ OK","⚠ Check"))))</f>
        <v/>
      </c>
      <c r="N91" s="43" t="n">
        <v>46193</v>
      </c>
      <c r="O91" s="26" t="inlineStr">
        <is>
          <t>Sunil CR</t>
        </is>
      </c>
      <c r="P91" s="26" t="inlineStr">
        <is>
          <t>No</t>
        </is>
      </c>
      <c r="Q91" s="26" t="inlineStr">
        <is>
          <t>Yes</t>
        </is>
      </c>
      <c r="R91" s="26" t="inlineStr">
        <is>
          <t>Discontinued</t>
        </is>
      </c>
      <c r="S91" s="26" t="inlineStr">
        <is>
          <t>No</t>
        </is>
      </c>
      <c r="T91" s="27" t="n"/>
      <c r="U91" s="28" t="inlineStr">
        <is>
          <t>No</t>
        </is>
      </c>
      <c r="V91" s="29">
        <f>IF(N91="","",IF(Q91="Yes","❌ Disc",IF(P91="No","⚠ Missing",IF(S91="Yes","✓ OK","⚠ Check"))))</f>
        <v/>
      </c>
      <c r="W91" s="65" t="n">
        <v>46248</v>
      </c>
      <c r="X91" s="30" t="inlineStr">
        <is>
          <t>Sunil CR</t>
        </is>
      </c>
      <c r="Y91" s="30" t="inlineStr">
        <is>
          <t>No</t>
        </is>
      </c>
      <c r="Z91" s="30" t="inlineStr">
        <is>
          <t>Yes</t>
        </is>
      </c>
      <c r="AA91" s="30" t="inlineStr">
        <is>
          <t>Discontinued</t>
        </is>
      </c>
      <c r="AB91" s="30" t="inlineStr">
        <is>
          <t>No</t>
        </is>
      </c>
      <c r="AC91" s="27" t="n"/>
      <c r="AD91" s="31" t="inlineStr">
        <is>
          <t>No</t>
        </is>
      </c>
      <c r="AE91" s="32">
        <f>IF(W91="","",IF(Z91="Yes","❌ Disc",IF(Y91="No","⚠ Missing",IF(AB91="Yes","✓ OK","⚠ Check"))))</f>
        <v/>
      </c>
      <c r="AF91" s="33" t="n"/>
      <c r="AG91" s="33" t="n"/>
      <c r="AH91" s="33" t="n"/>
      <c r="AI91" s="33" t="n"/>
      <c r="AJ91" s="33" t="n"/>
      <c r="AK91" s="33" t="n"/>
      <c r="AL91" s="27" t="n"/>
      <c r="AM91" s="34" t="n"/>
      <c r="AN91" s="35">
        <f>IF(AF91="","",IF(AI91="Yes","❌ Disc",IF(AH91="No","⚠ Missing",IF(AK91="Yes","✓ OK","⚠ Check"))))</f>
        <v/>
      </c>
      <c r="AO91" s="36" t="n"/>
      <c r="AP91" s="36" t="n"/>
      <c r="AQ91" s="36" t="n"/>
      <c r="AR91" s="36" t="n"/>
      <c r="AS91" s="36" t="n"/>
      <c r="AT91" s="36" t="n"/>
      <c r="AU91" s="27" t="n"/>
      <c r="AV91" s="37" t="n"/>
      <c r="AW91" s="38">
        <f>IF(AO91="","",IF(AR91="Yes","❌ Disc",IF(AQ91="No","⚠ Missing",IF(AT91="Yes","✓ OK","⚠ Check"))))</f>
        <v/>
      </c>
    </row>
    <row r="92" ht="18" customHeight="1" s="46">
      <c r="A92" s="39" t="n">
        <v>96</v>
      </c>
      <c r="B92" s="40" t="inlineStr">
        <is>
          <t>BD-LAM-2023-0199</t>
        </is>
      </c>
      <c r="C92" s="41" t="inlineStr">
        <is>
          <t>Lam SL AW 1mm 2292 Meraki Walnut (Gold)</t>
        </is>
      </c>
      <c r="D92" s="39" t="inlineStr">
        <is>
          <t>Stylam</t>
        </is>
      </c>
      <c r="E92" s="43" t="n">
        <v>46125</v>
      </c>
      <c r="F92" s="26" t="inlineStr">
        <is>
          <t>Sunil CR</t>
        </is>
      </c>
      <c r="G92" s="26" t="inlineStr">
        <is>
          <t>Yes</t>
        </is>
      </c>
      <c r="H92" s="26" t="inlineStr">
        <is>
          <t>No</t>
        </is>
      </c>
      <c r="I92" s="26" t="inlineStr">
        <is>
          <t>Good finish</t>
        </is>
      </c>
      <c r="J92" s="26" t="inlineStr">
        <is>
          <t>Yes</t>
        </is>
      </c>
      <c r="K92" s="27" t="inlineStr">
        <is>
          <t>Available in small book</t>
        </is>
      </c>
      <c r="L92" s="28" t="inlineStr">
        <is>
          <t>No</t>
        </is>
      </c>
      <c r="M92" s="29">
        <f>IF(E92="","",IF(H92="Yes","❌ Disc",IF(G92="No","⚠ Missing",IF(J92="Yes","✓ OK","⚠ Check"))))</f>
        <v/>
      </c>
      <c r="N92" s="43" t="n">
        <v>46193</v>
      </c>
      <c r="O92" s="26" t="inlineStr">
        <is>
          <t>Sunil CR</t>
        </is>
      </c>
      <c r="P92" s="26" t="inlineStr">
        <is>
          <t>Yes</t>
        </is>
      </c>
      <c r="Q92" s="26" t="inlineStr">
        <is>
          <t>No</t>
        </is>
      </c>
      <c r="R92" s="26" t="inlineStr">
        <is>
          <t>Good finish</t>
        </is>
      </c>
      <c r="S92" s="26" t="inlineStr">
        <is>
          <t>Yes</t>
        </is>
      </c>
      <c r="T92" s="27" t="inlineStr">
        <is>
          <t>Available in small book</t>
        </is>
      </c>
      <c r="U92" s="28" t="inlineStr">
        <is>
          <t>No</t>
        </is>
      </c>
      <c r="V92" s="29">
        <f>IF(N92="","",IF(Q92="Yes","❌ Disc",IF(P92="No","⚠ Missing",IF(S92="Yes","✓ OK","⚠ Check"))))</f>
        <v/>
      </c>
      <c r="W92" s="65" t="n">
        <v>46248</v>
      </c>
      <c r="X92" s="30" t="inlineStr">
        <is>
          <t>Sunil CR</t>
        </is>
      </c>
      <c r="Y92" s="30" t="inlineStr">
        <is>
          <t>Yes</t>
        </is>
      </c>
      <c r="Z92" s="30" t="n"/>
      <c r="AA92" s="30" t="inlineStr">
        <is>
          <t>Good finish</t>
        </is>
      </c>
      <c r="AB92" s="30" t="inlineStr">
        <is>
          <t>Yes</t>
        </is>
      </c>
      <c r="AC92" s="27" t="inlineStr">
        <is>
          <t>Available in small book</t>
        </is>
      </c>
      <c r="AD92" s="31" t="inlineStr">
        <is>
          <t>No</t>
        </is>
      </c>
      <c r="AE92" s="32">
        <f>IF(W92="","",IF(Z92="Yes","❌ Disc",IF(Y92="No","⚠ Missing",IF(AB92="Yes","✓ OK","⚠ Check"))))</f>
        <v/>
      </c>
      <c r="AF92" s="33" t="n"/>
      <c r="AG92" s="33" t="n"/>
      <c r="AH92" s="33" t="n"/>
      <c r="AI92" s="33" t="n"/>
      <c r="AJ92" s="33" t="n"/>
      <c r="AK92" s="33" t="n"/>
      <c r="AL92" s="27" t="n"/>
      <c r="AM92" s="34" t="n"/>
      <c r="AN92" s="35">
        <f>IF(AF92="","",IF(AI92="Yes","❌ Disc",IF(AH92="No","⚠ Missing",IF(AK92="Yes","✓ OK","⚠ Check"))))</f>
        <v/>
      </c>
      <c r="AO92" s="36" t="n"/>
      <c r="AP92" s="36" t="n"/>
      <c r="AQ92" s="36" t="n"/>
      <c r="AR92" s="36" t="n"/>
      <c r="AS92" s="36" t="n"/>
      <c r="AT92" s="36" t="n"/>
      <c r="AU92" s="27" t="n"/>
      <c r="AV92" s="37" t="n"/>
      <c r="AW92" s="38">
        <f>IF(AO92="","",IF(AR92="Yes","❌ Disc",IF(AQ92="No","⚠ Missing",IF(AT92="Yes","✓ OK","⚠ Check"))))</f>
        <v/>
      </c>
    </row>
    <row r="93" ht="18" customHeight="1" s="46">
      <c r="A93" s="23" t="n">
        <v>97</v>
      </c>
      <c r="B93" s="24" t="inlineStr">
        <is>
          <t>BD-LAM-2023-0158</t>
        </is>
      </c>
      <c r="C93" s="25" t="inlineStr">
        <is>
          <t>Lam SL AW 1mm 2309 Fairfield Walnut(Gold)</t>
        </is>
      </c>
      <c r="D93" s="23" t="inlineStr">
        <is>
          <t>Stylam</t>
        </is>
      </c>
      <c r="E93" s="43" t="n">
        <v>46125</v>
      </c>
      <c r="F93" s="26" t="inlineStr">
        <is>
          <t>Sunil CR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Good finish</t>
        </is>
      </c>
      <c r="J93" s="26" t="inlineStr">
        <is>
          <t>Yes</t>
        </is>
      </c>
      <c r="K93" s="27" t="inlineStr">
        <is>
          <t>Available in small book</t>
        </is>
      </c>
      <c r="L93" s="28" t="inlineStr">
        <is>
          <t>No</t>
        </is>
      </c>
      <c r="M93" s="29">
        <f>IF(E93="","",IF(H93="Yes","❌ Disc",IF(G93="No","⚠ Missing",IF(J93="Yes","✓ OK","⚠ Check"))))</f>
        <v/>
      </c>
      <c r="N93" s="43" t="n">
        <v>46193</v>
      </c>
      <c r="O93" s="26" t="inlineStr">
        <is>
          <t>Sunil CR</t>
        </is>
      </c>
      <c r="P93" s="26" t="inlineStr">
        <is>
          <t>Yes</t>
        </is>
      </c>
      <c r="Q93" s="26" t="inlineStr">
        <is>
          <t>No</t>
        </is>
      </c>
      <c r="R93" s="26" t="inlineStr">
        <is>
          <t>Good finish</t>
        </is>
      </c>
      <c r="S93" s="26" t="inlineStr">
        <is>
          <t>Yes</t>
        </is>
      </c>
      <c r="T93" s="27" t="inlineStr">
        <is>
          <t>Available in small book</t>
        </is>
      </c>
      <c r="U93" s="28" t="inlineStr">
        <is>
          <t>No</t>
        </is>
      </c>
      <c r="V93" s="29">
        <f>IF(N93="","",IF(Q93="Yes","❌ Disc",IF(P93="No","⚠ Missing",IF(S93="Yes","✓ OK","⚠ Check"))))</f>
        <v/>
      </c>
      <c r="W93" s="65" t="n">
        <v>46248</v>
      </c>
      <c r="X93" s="30" t="inlineStr">
        <is>
          <t>Sunil CR</t>
        </is>
      </c>
      <c r="Y93" s="30" t="inlineStr">
        <is>
          <t>Yes</t>
        </is>
      </c>
      <c r="Z93" s="30" t="n"/>
      <c r="AA93" s="30" t="inlineStr">
        <is>
          <t>Good finish</t>
        </is>
      </c>
      <c r="AB93" s="30" t="inlineStr">
        <is>
          <t>Yes</t>
        </is>
      </c>
      <c r="AC93" s="27" t="inlineStr">
        <is>
          <t>Available in small book</t>
        </is>
      </c>
      <c r="AD93" s="31" t="inlineStr">
        <is>
          <t>No</t>
        </is>
      </c>
      <c r="AE93" s="32">
        <f>IF(W93="","",IF(Z93="Yes","❌ Disc",IF(Y93="No","⚠ Missing",IF(AB93="Yes","✓ OK","⚠ Check"))))</f>
        <v/>
      </c>
      <c r="AF93" s="33" t="n"/>
      <c r="AG93" s="33" t="n"/>
      <c r="AH93" s="33" t="n"/>
      <c r="AI93" s="33" t="n"/>
      <c r="AJ93" s="33" t="n"/>
      <c r="AK93" s="33" t="n"/>
      <c r="AL93" s="27" t="n"/>
      <c r="AM93" s="34" t="n"/>
      <c r="AN93" s="35">
        <f>IF(AF93="","",IF(AI93="Yes","❌ Disc",IF(AH93="No","⚠ Missing",IF(AK93="Yes","✓ OK","⚠ Check"))))</f>
        <v/>
      </c>
      <c r="AO93" s="36" t="n"/>
      <c r="AP93" s="36" t="n"/>
      <c r="AQ93" s="36" t="n"/>
      <c r="AR93" s="36" t="n"/>
      <c r="AS93" s="36" t="n"/>
      <c r="AT93" s="36" t="n"/>
      <c r="AU93" s="27" t="n"/>
      <c r="AV93" s="37" t="n"/>
      <c r="AW93" s="38">
        <f>IF(AO93="","",IF(AR93="Yes","❌ Disc",IF(AQ93="No","⚠ Missing",IF(AT93="Yes","✓ OK","⚠ Check"))))</f>
        <v/>
      </c>
    </row>
    <row r="94" ht="18" customHeight="1" s="46">
      <c r="A94" s="39" t="n">
        <v>98</v>
      </c>
      <c r="B94" s="40" t="inlineStr">
        <is>
          <t>BD-LAM-2023-0297</t>
        </is>
      </c>
      <c r="C94" s="41" t="inlineStr">
        <is>
          <t>Lam SL BC 1mm 2323 Walker Rough(Gold)</t>
        </is>
      </c>
      <c r="D94" s="39" t="inlineStr">
        <is>
          <t>Stylam</t>
        </is>
      </c>
      <c r="E94" s="43" t="n">
        <v>46125</v>
      </c>
      <c r="F94" s="26" t="inlineStr">
        <is>
          <t>Sunil CR</t>
        </is>
      </c>
      <c r="G94" s="26" t="inlineStr">
        <is>
          <t>Yes</t>
        </is>
      </c>
      <c r="H94" s="26" t="inlineStr">
        <is>
          <t>No</t>
        </is>
      </c>
      <c r="I94" s="26" t="inlineStr">
        <is>
          <t>Good finish</t>
        </is>
      </c>
      <c r="J94" s="26" t="inlineStr">
        <is>
          <t>Yes</t>
        </is>
      </c>
      <c r="K94" s="27" t="inlineStr">
        <is>
          <t>Available in small book</t>
        </is>
      </c>
      <c r="L94" s="28" t="inlineStr">
        <is>
          <t>No</t>
        </is>
      </c>
      <c r="M94" s="29">
        <f>IF(E94="","",IF(H94="Yes","❌ Disc",IF(G94="No","⚠ Missing",IF(J94="Yes","✓ OK","⚠ Check"))))</f>
        <v/>
      </c>
      <c r="N94" s="43" t="n">
        <v>46193</v>
      </c>
      <c r="O94" s="26" t="inlineStr">
        <is>
          <t>Sunil CR</t>
        </is>
      </c>
      <c r="P94" s="26" t="inlineStr">
        <is>
          <t>Yes</t>
        </is>
      </c>
      <c r="Q94" s="26" t="inlineStr">
        <is>
          <t>No</t>
        </is>
      </c>
      <c r="R94" s="26" t="inlineStr">
        <is>
          <t>Good finish</t>
        </is>
      </c>
      <c r="S94" s="26" t="inlineStr">
        <is>
          <t>Yes</t>
        </is>
      </c>
      <c r="T94" s="27" t="inlineStr">
        <is>
          <t>Available in small book</t>
        </is>
      </c>
      <c r="U94" s="28" t="inlineStr">
        <is>
          <t>No</t>
        </is>
      </c>
      <c r="V94" s="29">
        <f>IF(N94="","",IF(Q94="Yes","❌ Disc",IF(P94="No","⚠ Missing",IF(S94="Yes","✓ OK","⚠ Check"))))</f>
        <v/>
      </c>
      <c r="W94" s="65" t="n">
        <v>46248</v>
      </c>
      <c r="X94" s="30" t="inlineStr">
        <is>
          <t>Sunil CR</t>
        </is>
      </c>
      <c r="Y94" s="30" t="inlineStr">
        <is>
          <t>Yes</t>
        </is>
      </c>
      <c r="Z94" s="30" t="n"/>
      <c r="AA94" s="30" t="inlineStr">
        <is>
          <t>Good finish</t>
        </is>
      </c>
      <c r="AB94" s="30" t="inlineStr">
        <is>
          <t>Yes</t>
        </is>
      </c>
      <c r="AC94" s="27" t="inlineStr">
        <is>
          <t>Available in small book</t>
        </is>
      </c>
      <c r="AD94" s="31" t="inlineStr">
        <is>
          <t>No</t>
        </is>
      </c>
      <c r="AE94" s="32">
        <f>IF(W94="","",IF(Z94="Yes","❌ Disc",IF(Y94="No","⚠ Missing",IF(AB94="Yes","✓ OK","⚠ Check"))))</f>
        <v/>
      </c>
      <c r="AF94" s="33" t="n"/>
      <c r="AG94" s="33" t="n"/>
      <c r="AH94" s="33" t="n"/>
      <c r="AI94" s="33" t="n"/>
      <c r="AJ94" s="33" t="n"/>
      <c r="AK94" s="33" t="n"/>
      <c r="AL94" s="27" t="n"/>
      <c r="AM94" s="34" t="n"/>
      <c r="AN94" s="35">
        <f>IF(AF94="","",IF(AI94="Yes","❌ Disc",IF(AH94="No","⚠ Missing",IF(AK94="Yes","✓ OK","⚠ Check"))))</f>
        <v/>
      </c>
      <c r="AO94" s="36" t="n"/>
      <c r="AP94" s="36" t="n"/>
      <c r="AQ94" s="36" t="n"/>
      <c r="AR94" s="36" t="n"/>
      <c r="AS94" s="36" t="n"/>
      <c r="AT94" s="36" t="n"/>
      <c r="AU94" s="27" t="n"/>
      <c r="AV94" s="37" t="n"/>
      <c r="AW94" s="38">
        <f>IF(AO94="","",IF(AR94="Yes","❌ Disc",IF(AQ94="No","⚠ Missing",IF(AT94="Yes","✓ OK","⚠ Check"))))</f>
        <v/>
      </c>
    </row>
    <row r="95" ht="18" customHeight="1" s="46">
      <c r="A95" s="23" t="n">
        <v>99</v>
      </c>
      <c r="B95" s="24" t="inlineStr">
        <is>
          <t>BD-LAM-2024-0101</t>
        </is>
      </c>
      <c r="C95" s="25" t="inlineStr">
        <is>
          <t>LAM SL BK 1mm 7601 Ash Linosa(Gold)</t>
        </is>
      </c>
      <c r="D95" s="23" t="inlineStr">
        <is>
          <t>Stylam</t>
        </is>
      </c>
      <c r="E95" s="43" t="n">
        <v>46125</v>
      </c>
      <c r="F95" s="26" t="inlineStr">
        <is>
          <t>Sunil CR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Good finish</t>
        </is>
      </c>
      <c r="J95" s="26" t="inlineStr">
        <is>
          <t>Yes</t>
        </is>
      </c>
      <c r="K95" s="27" t="n"/>
      <c r="L95" s="28" t="inlineStr">
        <is>
          <t>No</t>
        </is>
      </c>
      <c r="M95" s="29">
        <f>IF(E95="","",IF(H95="Yes","❌ Disc",IF(G95="No","⚠ Missing",IF(J95="Yes","✓ OK","⚠ Check"))))</f>
        <v/>
      </c>
      <c r="N95" s="43" t="n">
        <v>46193</v>
      </c>
      <c r="O95" s="26" t="inlineStr">
        <is>
          <t>Sunil CR</t>
        </is>
      </c>
      <c r="P95" s="26" t="inlineStr">
        <is>
          <t>Yes</t>
        </is>
      </c>
      <c r="Q95" s="26" t="inlineStr">
        <is>
          <t>No</t>
        </is>
      </c>
      <c r="R95" s="26" t="inlineStr">
        <is>
          <t>Good finish</t>
        </is>
      </c>
      <c r="S95" s="26" t="inlineStr">
        <is>
          <t>Yes</t>
        </is>
      </c>
      <c r="T95" s="27" t="n"/>
      <c r="U95" s="28" t="inlineStr">
        <is>
          <t>No</t>
        </is>
      </c>
      <c r="V95" s="29">
        <f>IF(N95="","",IF(Q95="Yes","❌ Disc",IF(P95="No","⚠ Missing",IF(S95="Yes","✓ OK","⚠ Check"))))</f>
        <v/>
      </c>
      <c r="W95" s="65" t="n">
        <v>46248</v>
      </c>
      <c r="X95" s="30" t="inlineStr">
        <is>
          <t>Sunil CR</t>
        </is>
      </c>
      <c r="Y95" s="30" t="inlineStr">
        <is>
          <t>No</t>
        </is>
      </c>
      <c r="Z95" s="30" t="inlineStr">
        <is>
          <t>Yes</t>
        </is>
      </c>
      <c r="AA95" s="30" t="inlineStr">
        <is>
          <t>Discontinued</t>
        </is>
      </c>
      <c r="AB95" s="30" t="inlineStr">
        <is>
          <t>No</t>
        </is>
      </c>
      <c r="AC95" s="27" t="n"/>
      <c r="AD95" s="31" t="inlineStr">
        <is>
          <t>No</t>
        </is>
      </c>
      <c r="AE95" s="32">
        <f>IF(W95="","",IF(Z95="Yes","❌ Disc",IF(Y95="No","⚠ Missing",IF(AB95="Yes","✓ OK","⚠ Check"))))</f>
        <v/>
      </c>
      <c r="AF95" s="33" t="n"/>
      <c r="AG95" s="33" t="n"/>
      <c r="AH95" s="33" t="n"/>
      <c r="AI95" s="33" t="n"/>
      <c r="AJ95" s="33" t="n"/>
      <c r="AK95" s="33" t="n"/>
      <c r="AL95" s="27" t="n"/>
      <c r="AM95" s="34" t="n"/>
      <c r="AN95" s="35">
        <f>IF(AF95="","",IF(AI95="Yes","❌ Disc",IF(AH95="No","⚠ Missing",IF(AK95="Yes","✓ OK","⚠ Check"))))</f>
        <v/>
      </c>
      <c r="AO95" s="36" t="n"/>
      <c r="AP95" s="36" t="n"/>
      <c r="AQ95" s="36" t="n"/>
      <c r="AR95" s="36" t="n"/>
      <c r="AS95" s="36" t="n"/>
      <c r="AT95" s="36" t="n"/>
      <c r="AU95" s="27" t="n"/>
      <c r="AV95" s="37" t="n"/>
      <c r="AW95" s="38">
        <f>IF(AO95="","",IF(AR95="Yes","❌ Disc",IF(AQ95="No","⚠ Missing",IF(AT95="Yes","✓ OK","⚠ Check"))))</f>
        <v/>
      </c>
    </row>
    <row r="96" ht="18" customHeight="1" s="46">
      <c r="A96" s="39" t="n">
        <v>100</v>
      </c>
      <c r="B96" s="40" t="inlineStr">
        <is>
          <t>BD-LAM-2023-0133</t>
        </is>
      </c>
      <c r="C96" s="41" t="inlineStr">
        <is>
          <t>Lam SL BTS 1mm 1014 City Shadow(Gold)</t>
        </is>
      </c>
      <c r="D96" s="39" t="inlineStr">
        <is>
          <t>Stylam</t>
        </is>
      </c>
      <c r="E96" s="43" t="n">
        <v>46125</v>
      </c>
      <c r="F96" s="26" t="inlineStr">
        <is>
          <t>Sunil CR</t>
        </is>
      </c>
      <c r="G96" s="26" t="inlineStr">
        <is>
          <t>Yes</t>
        </is>
      </c>
      <c r="H96" s="26" t="inlineStr">
        <is>
          <t>No</t>
        </is>
      </c>
      <c r="I96" s="26" t="inlineStr">
        <is>
          <t>Good finish</t>
        </is>
      </c>
      <c r="J96" s="26" t="inlineStr">
        <is>
          <t>Yes</t>
        </is>
      </c>
      <c r="K96" s="27" t="n"/>
      <c r="L96" s="28" t="inlineStr">
        <is>
          <t>No</t>
        </is>
      </c>
      <c r="M96" s="29">
        <f>IF(E96="","",IF(H96="Yes","❌ Disc",IF(G96="No","⚠ Missing",IF(J96="Yes","✓ OK","⚠ Check"))))</f>
        <v/>
      </c>
      <c r="N96" s="43" t="n">
        <v>46193</v>
      </c>
      <c r="O96" s="26" t="inlineStr">
        <is>
          <t>Sunil CR</t>
        </is>
      </c>
      <c r="P96" s="26" t="inlineStr">
        <is>
          <t>No</t>
        </is>
      </c>
      <c r="Q96" s="26" t="inlineStr">
        <is>
          <t>Yes</t>
        </is>
      </c>
      <c r="R96" s="26" t="inlineStr">
        <is>
          <t>Discontinued</t>
        </is>
      </c>
      <c r="S96" s="26" t="inlineStr">
        <is>
          <t>No</t>
        </is>
      </c>
      <c r="T96" s="27" t="n"/>
      <c r="U96" s="28" t="inlineStr">
        <is>
          <t>No</t>
        </is>
      </c>
      <c r="V96" s="29">
        <f>IF(N96="","",IF(Q96="Yes","❌ Disc",IF(P96="No","⚠ Missing",IF(S96="Yes","✓ OK","⚠ Check"))))</f>
        <v/>
      </c>
      <c r="W96" s="65" t="n">
        <v>46248</v>
      </c>
      <c r="X96" s="30" t="inlineStr">
        <is>
          <t>Sunil CR</t>
        </is>
      </c>
      <c r="Y96" s="30" t="inlineStr">
        <is>
          <t>No</t>
        </is>
      </c>
      <c r="Z96" s="30" t="inlineStr">
        <is>
          <t>Yes</t>
        </is>
      </c>
      <c r="AA96" s="30" t="inlineStr">
        <is>
          <t>Discontinued</t>
        </is>
      </c>
      <c r="AB96" s="30" t="inlineStr">
        <is>
          <t>No</t>
        </is>
      </c>
      <c r="AC96" s="27" t="n"/>
      <c r="AD96" s="31" t="inlineStr">
        <is>
          <t>No</t>
        </is>
      </c>
      <c r="AE96" s="32">
        <f>IF(W96="","",IF(Z96="Yes","❌ Disc",IF(Y96="No","⚠ Missing",IF(AB96="Yes","✓ OK","⚠ Check"))))</f>
        <v/>
      </c>
      <c r="AF96" s="33" t="n"/>
      <c r="AG96" s="33" t="n"/>
      <c r="AH96" s="33" t="n"/>
      <c r="AI96" s="33" t="n"/>
      <c r="AJ96" s="33" t="n"/>
      <c r="AK96" s="33" t="n"/>
      <c r="AL96" s="27" t="n"/>
      <c r="AM96" s="34" t="n"/>
      <c r="AN96" s="35">
        <f>IF(AF96="","",IF(AI96="Yes","❌ Disc",IF(AH96="No","⚠ Missing",IF(AK96="Yes","✓ OK","⚠ Check"))))</f>
        <v/>
      </c>
      <c r="AO96" s="36" t="n"/>
      <c r="AP96" s="36" t="n"/>
      <c r="AQ96" s="36" t="n"/>
      <c r="AR96" s="36" t="n"/>
      <c r="AS96" s="36" t="n"/>
      <c r="AT96" s="36" t="n"/>
      <c r="AU96" s="27" t="n"/>
      <c r="AV96" s="37" t="n"/>
      <c r="AW96" s="38">
        <f>IF(AO96="","",IF(AR96="Yes","❌ Disc",IF(AQ96="No","⚠ Missing",IF(AT96="Yes","✓ OK","⚠ Check"))))</f>
        <v/>
      </c>
    </row>
    <row r="97" ht="18" customHeight="1" s="46">
      <c r="A97" s="23" t="n">
        <v>101</v>
      </c>
      <c r="B97" s="24" t="inlineStr">
        <is>
          <t>BD-LAM-2024-0071</t>
        </is>
      </c>
      <c r="C97" s="25" t="inlineStr">
        <is>
          <t>Lam SL BTS 1mm 1521 Rugged Dark(Gold)</t>
        </is>
      </c>
      <c r="D97" s="23" t="inlineStr">
        <is>
          <t>Stylam</t>
        </is>
      </c>
      <c r="E97" s="43" t="n">
        <v>46125</v>
      </c>
      <c r="F97" s="26" t="inlineStr">
        <is>
          <t>Sunil CR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Good finish</t>
        </is>
      </c>
      <c r="J97" s="26" t="inlineStr">
        <is>
          <t>Yes</t>
        </is>
      </c>
      <c r="K97" s="27" t="n"/>
      <c r="L97" s="28" t="inlineStr">
        <is>
          <t>No</t>
        </is>
      </c>
      <c r="M97" s="29">
        <f>IF(E97="","",IF(H97="Yes","❌ Disc",IF(G97="No","⚠ Missing",IF(J97="Yes","✓ OK","⚠ Check"))))</f>
        <v/>
      </c>
      <c r="N97" s="43" t="n">
        <v>46193</v>
      </c>
      <c r="O97" s="26" t="inlineStr">
        <is>
          <t>Sunil CR</t>
        </is>
      </c>
      <c r="P97" s="26" t="inlineStr">
        <is>
          <t>Yes</t>
        </is>
      </c>
      <c r="Q97" s="26" t="inlineStr">
        <is>
          <t>No</t>
        </is>
      </c>
      <c r="R97" s="26" t="inlineStr">
        <is>
          <t>Good finish</t>
        </is>
      </c>
      <c r="S97" s="26" t="inlineStr">
        <is>
          <t>Yes</t>
        </is>
      </c>
      <c r="T97" s="27" t="n"/>
      <c r="U97" s="28" t="inlineStr">
        <is>
          <t>No</t>
        </is>
      </c>
      <c r="V97" s="29">
        <f>IF(N97="","",IF(Q97="Yes","❌ Disc",IF(P97="No","⚠ Missing",IF(S97="Yes","✓ OK","⚠ Check"))))</f>
        <v/>
      </c>
      <c r="W97" s="65" t="n">
        <v>46248</v>
      </c>
      <c r="X97" s="30" t="inlineStr">
        <is>
          <t>Sunil CR</t>
        </is>
      </c>
      <c r="Y97" s="30" t="inlineStr">
        <is>
          <t>Yes</t>
        </is>
      </c>
      <c r="Z97" s="30" t="n"/>
      <c r="AA97" s="30" t="inlineStr">
        <is>
          <t>Good finish</t>
        </is>
      </c>
      <c r="AB97" s="30" t="inlineStr">
        <is>
          <t>Yes</t>
        </is>
      </c>
      <c r="AC97" s="27" t="n"/>
      <c r="AD97" s="31" t="inlineStr">
        <is>
          <t>No</t>
        </is>
      </c>
      <c r="AE97" s="32">
        <f>IF(W97="","",IF(Z97="Yes","❌ Disc",IF(Y97="No","⚠ Missing",IF(AB97="Yes","✓ OK","⚠ Check"))))</f>
        <v/>
      </c>
      <c r="AF97" s="33" t="n"/>
      <c r="AG97" s="33" t="n"/>
      <c r="AH97" s="33" t="n"/>
      <c r="AI97" s="33" t="n"/>
      <c r="AJ97" s="33" t="n"/>
      <c r="AK97" s="33" t="n"/>
      <c r="AL97" s="27" t="n"/>
      <c r="AM97" s="34" t="n"/>
      <c r="AN97" s="35">
        <f>IF(AF97="","",IF(AI97="Yes","❌ Disc",IF(AH97="No","⚠ Missing",IF(AK97="Yes","✓ OK","⚠ Check"))))</f>
        <v/>
      </c>
      <c r="AO97" s="36" t="n"/>
      <c r="AP97" s="36" t="n"/>
      <c r="AQ97" s="36" t="n"/>
      <c r="AR97" s="36" t="n"/>
      <c r="AS97" s="36" t="n"/>
      <c r="AT97" s="36" t="n"/>
      <c r="AU97" s="27" t="n"/>
      <c r="AV97" s="37" t="n"/>
      <c r="AW97" s="38">
        <f>IF(AO97="","",IF(AR97="Yes","❌ Disc",IF(AQ97="No","⚠ Missing",IF(AT97="Yes","✓ OK","⚠ Check"))))</f>
        <v/>
      </c>
    </row>
    <row r="98" ht="18" customHeight="1" s="46">
      <c r="A98" s="39" t="n">
        <v>102</v>
      </c>
      <c r="B98" s="40" t="inlineStr">
        <is>
          <t>BD-LAM-2024-0092</t>
        </is>
      </c>
      <c r="C98" s="41" t="inlineStr">
        <is>
          <t>LAM SL BTS 1mm 2549 Guest Wood(Gold)</t>
        </is>
      </c>
      <c r="D98" s="39" t="inlineStr">
        <is>
          <t>Stylam</t>
        </is>
      </c>
      <c r="E98" s="43" t="n">
        <v>46125</v>
      </c>
      <c r="F98" s="26" t="inlineStr">
        <is>
          <t>Sunil CR</t>
        </is>
      </c>
      <c r="G98" s="26" t="inlineStr">
        <is>
          <t>Yes</t>
        </is>
      </c>
      <c r="H98" s="26" t="inlineStr">
        <is>
          <t>No</t>
        </is>
      </c>
      <c r="I98" s="26" t="inlineStr">
        <is>
          <t>Good finish</t>
        </is>
      </c>
      <c r="J98" s="26" t="inlineStr">
        <is>
          <t>Yes</t>
        </is>
      </c>
      <c r="K98" s="27" t="n"/>
      <c r="L98" s="28" t="inlineStr">
        <is>
          <t>No</t>
        </is>
      </c>
      <c r="M98" s="29">
        <f>IF(E98="","",IF(H98="Yes","❌ Disc",IF(G98="No","⚠ Missing",IF(J98="Yes","✓ OK","⚠ Check"))))</f>
        <v/>
      </c>
      <c r="N98" s="43" t="n">
        <v>46193</v>
      </c>
      <c r="O98" s="26" t="inlineStr">
        <is>
          <t>Sunil CR</t>
        </is>
      </c>
      <c r="P98" s="26" t="inlineStr">
        <is>
          <t>Yes</t>
        </is>
      </c>
      <c r="Q98" s="26" t="inlineStr">
        <is>
          <t>No</t>
        </is>
      </c>
      <c r="R98" s="26" t="inlineStr">
        <is>
          <t>Good finish</t>
        </is>
      </c>
      <c r="S98" s="26" t="inlineStr">
        <is>
          <t>Yes</t>
        </is>
      </c>
      <c r="T98" s="27" t="n"/>
      <c r="U98" s="28" t="inlineStr">
        <is>
          <t>No</t>
        </is>
      </c>
      <c r="V98" s="29">
        <f>IF(N98="","",IF(Q98="Yes","❌ Disc",IF(P98="No","⚠ Missing",IF(S98="Yes","✓ OK","⚠ Check"))))</f>
        <v/>
      </c>
      <c r="W98" s="65" t="n">
        <v>46248</v>
      </c>
      <c r="X98" s="30" t="inlineStr">
        <is>
          <t>Sunil CR</t>
        </is>
      </c>
      <c r="Y98" s="30" t="inlineStr">
        <is>
          <t>Yes</t>
        </is>
      </c>
      <c r="Z98" s="30" t="n"/>
      <c r="AA98" s="30" t="inlineStr">
        <is>
          <t>Good finish</t>
        </is>
      </c>
      <c r="AB98" s="30" t="inlineStr">
        <is>
          <t>Yes</t>
        </is>
      </c>
      <c r="AC98" s="27" t="n"/>
      <c r="AD98" s="31" t="inlineStr">
        <is>
          <t>No</t>
        </is>
      </c>
      <c r="AE98" s="32">
        <f>IF(W98="","",IF(Z98="Yes","❌ Disc",IF(Y98="No","⚠ Missing",IF(AB98="Yes","✓ OK","⚠ Check"))))</f>
        <v/>
      </c>
      <c r="AF98" s="33" t="n"/>
      <c r="AG98" s="33" t="n"/>
      <c r="AH98" s="33" t="n"/>
      <c r="AI98" s="33" t="n"/>
      <c r="AJ98" s="33" t="n"/>
      <c r="AK98" s="33" t="n"/>
      <c r="AL98" s="27" t="n"/>
      <c r="AM98" s="34" t="n"/>
      <c r="AN98" s="35">
        <f>IF(AF98="","",IF(AI98="Yes","❌ Disc",IF(AH98="No","⚠ Missing",IF(AK98="Yes","✓ OK","⚠ Check"))))</f>
        <v/>
      </c>
      <c r="AO98" s="36" t="n"/>
      <c r="AP98" s="36" t="n"/>
      <c r="AQ98" s="36" t="n"/>
      <c r="AR98" s="36" t="n"/>
      <c r="AS98" s="36" t="n"/>
      <c r="AT98" s="36" t="n"/>
      <c r="AU98" s="27" t="n"/>
      <c r="AV98" s="37" t="n"/>
      <c r="AW98" s="38">
        <f>IF(AO98="","",IF(AR98="Yes","❌ Disc",IF(AQ98="No","⚠ Missing",IF(AT98="Yes","✓ OK","⚠ Check"))))</f>
        <v/>
      </c>
    </row>
    <row r="99" ht="18" customHeight="1" s="46">
      <c r="A99" s="23" t="n">
        <v>103</v>
      </c>
      <c r="B99" s="24" t="inlineStr">
        <is>
          <t>BD-LAM-2024-0093</t>
        </is>
      </c>
      <c r="C99" s="25" t="inlineStr">
        <is>
          <t>LAM SL BTS 1mm 2550 Cement Wood(Gold)</t>
        </is>
      </c>
      <c r="D99" s="23" t="inlineStr">
        <is>
          <t>Stylam</t>
        </is>
      </c>
      <c r="E99" s="43" t="n">
        <v>46125</v>
      </c>
      <c r="F99" s="26" t="inlineStr">
        <is>
          <t>Sunil CR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Good finish</t>
        </is>
      </c>
      <c r="J99" s="26" t="inlineStr">
        <is>
          <t>Yes</t>
        </is>
      </c>
      <c r="K99" s="27" t="n"/>
      <c r="L99" s="28" t="inlineStr">
        <is>
          <t>No</t>
        </is>
      </c>
      <c r="M99" s="29">
        <f>IF(E99="","",IF(H99="Yes","❌ Disc",IF(G99="No","⚠ Missing",IF(J99="Yes","✓ OK","⚠ Check"))))</f>
        <v/>
      </c>
      <c r="N99" s="43" t="n">
        <v>46193</v>
      </c>
      <c r="O99" s="26" t="inlineStr">
        <is>
          <t>Sunil CR</t>
        </is>
      </c>
      <c r="P99" s="26" t="inlineStr">
        <is>
          <t>Yes</t>
        </is>
      </c>
      <c r="Q99" s="26" t="inlineStr">
        <is>
          <t>No</t>
        </is>
      </c>
      <c r="R99" s="26" t="inlineStr">
        <is>
          <t>Good finish</t>
        </is>
      </c>
      <c r="S99" s="26" t="inlineStr">
        <is>
          <t>Yes</t>
        </is>
      </c>
      <c r="T99" s="27" t="n"/>
      <c r="U99" s="28" t="inlineStr">
        <is>
          <t>No</t>
        </is>
      </c>
      <c r="V99" s="29">
        <f>IF(N99="","",IF(Q99="Yes","❌ Disc",IF(P99="No","⚠ Missing",IF(S99="Yes","✓ OK","⚠ Check"))))</f>
        <v/>
      </c>
      <c r="W99" s="65" t="n">
        <v>46248</v>
      </c>
      <c r="X99" s="30" t="inlineStr">
        <is>
          <t>Sunil CR</t>
        </is>
      </c>
      <c r="Y99" s="30" t="inlineStr">
        <is>
          <t>Yes</t>
        </is>
      </c>
      <c r="Z99" s="30" t="n"/>
      <c r="AA99" s="30" t="inlineStr">
        <is>
          <t>Good finish</t>
        </is>
      </c>
      <c r="AB99" s="30" t="inlineStr">
        <is>
          <t>Yes</t>
        </is>
      </c>
      <c r="AC99" s="27" t="n"/>
      <c r="AD99" s="31" t="inlineStr">
        <is>
          <t>No</t>
        </is>
      </c>
      <c r="AE99" s="32">
        <f>IF(W99="","",IF(Z99="Yes","❌ Disc",IF(Y99="No","⚠ Missing",IF(AB99="Yes","✓ OK","⚠ Check"))))</f>
        <v/>
      </c>
      <c r="AF99" s="33" t="n"/>
      <c r="AG99" s="33" t="n"/>
      <c r="AH99" s="33" t="n"/>
      <c r="AI99" s="33" t="n"/>
      <c r="AJ99" s="33" t="n"/>
      <c r="AK99" s="33" t="n"/>
      <c r="AL99" s="27" t="n"/>
      <c r="AM99" s="34" t="n"/>
      <c r="AN99" s="35">
        <f>IF(AF99="","",IF(AI99="Yes","❌ Disc",IF(AH99="No","⚠ Missing",IF(AK99="Yes","✓ OK","⚠ Check"))))</f>
        <v/>
      </c>
      <c r="AO99" s="36" t="n"/>
      <c r="AP99" s="36" t="n"/>
      <c r="AQ99" s="36" t="n"/>
      <c r="AR99" s="36" t="n"/>
      <c r="AS99" s="36" t="n"/>
      <c r="AT99" s="36" t="n"/>
      <c r="AU99" s="27" t="n"/>
      <c r="AV99" s="37" t="n"/>
      <c r="AW99" s="38">
        <f>IF(AO99="","",IF(AR99="Yes","❌ Disc",IF(AQ99="No","⚠ Missing",IF(AT99="Yes","✓ OK","⚠ Check"))))</f>
        <v/>
      </c>
    </row>
    <row r="100" ht="18" customHeight="1" s="46">
      <c r="A100" s="39" t="n">
        <v>104</v>
      </c>
      <c r="B100" s="40" t="inlineStr">
        <is>
          <t>BD-LAM-2024-0042</t>
        </is>
      </c>
      <c r="C100" s="41" t="inlineStr">
        <is>
          <t>Lam SL CL 1mm 1033 Tidal Sand(Gold)</t>
        </is>
      </c>
      <c r="D100" s="39" t="inlineStr">
        <is>
          <t>Stylam</t>
        </is>
      </c>
      <c r="E100" s="43" t="n">
        <v>46125</v>
      </c>
      <c r="F100" s="26" t="inlineStr">
        <is>
          <t>Sunil CR</t>
        </is>
      </c>
      <c r="G100" s="26" t="inlineStr">
        <is>
          <t>Yes</t>
        </is>
      </c>
      <c r="H100" s="26" t="inlineStr">
        <is>
          <t>No</t>
        </is>
      </c>
      <c r="I100" s="26" t="inlineStr">
        <is>
          <t>Good finish</t>
        </is>
      </c>
      <c r="J100" s="26" t="inlineStr">
        <is>
          <t>Yes</t>
        </is>
      </c>
      <c r="K100" s="27" t="n"/>
      <c r="L100" s="28" t="inlineStr">
        <is>
          <t>No</t>
        </is>
      </c>
      <c r="M100" s="29">
        <f>IF(E100="","",IF(H100="Yes","❌ Disc",IF(G100="No","⚠ Missing",IF(J100="Yes","✓ OK","⚠ Check"))))</f>
        <v/>
      </c>
      <c r="N100" s="43" t="n">
        <v>46193</v>
      </c>
      <c r="O100" s="26" t="inlineStr">
        <is>
          <t>Sunil CR</t>
        </is>
      </c>
      <c r="P100" s="26" t="inlineStr">
        <is>
          <t>Yes</t>
        </is>
      </c>
      <c r="Q100" s="26" t="inlineStr">
        <is>
          <t>No</t>
        </is>
      </c>
      <c r="R100" s="26" t="inlineStr">
        <is>
          <t>Good finish</t>
        </is>
      </c>
      <c r="S100" s="26" t="inlineStr">
        <is>
          <t>Yes</t>
        </is>
      </c>
      <c r="T100" s="27" t="n"/>
      <c r="U100" s="28" t="inlineStr">
        <is>
          <t>No</t>
        </is>
      </c>
      <c r="V100" s="29">
        <f>IF(N100="","",IF(Q100="Yes","❌ Disc",IF(P100="No","⚠ Missing",IF(S100="Yes","✓ OK","⚠ Check"))))</f>
        <v/>
      </c>
      <c r="W100" s="65" t="n">
        <v>46248</v>
      </c>
      <c r="X100" s="30" t="inlineStr">
        <is>
          <t>Sunil CR</t>
        </is>
      </c>
      <c r="Y100" s="30" t="inlineStr">
        <is>
          <t>Yes</t>
        </is>
      </c>
      <c r="Z100" s="30" t="n"/>
      <c r="AA100" s="30" t="inlineStr">
        <is>
          <t>Good finish</t>
        </is>
      </c>
      <c r="AB100" s="30" t="inlineStr">
        <is>
          <t>Yes</t>
        </is>
      </c>
      <c r="AC100" s="27" t="n"/>
      <c r="AD100" s="31" t="inlineStr">
        <is>
          <t>No</t>
        </is>
      </c>
      <c r="AE100" s="32">
        <f>IF(W100="","",IF(Z100="Yes","❌ Disc",IF(Y100="No","⚠ Missing",IF(AB100="Yes","✓ OK","⚠ Check"))))</f>
        <v/>
      </c>
      <c r="AF100" s="33" t="n"/>
      <c r="AG100" s="33" t="n"/>
      <c r="AH100" s="33" t="n"/>
      <c r="AI100" s="33" t="n"/>
      <c r="AJ100" s="33" t="n"/>
      <c r="AK100" s="33" t="n"/>
      <c r="AL100" s="27" t="n"/>
      <c r="AM100" s="34" t="n"/>
      <c r="AN100" s="35">
        <f>IF(AF100="","",IF(AI100="Yes","❌ Disc",IF(AH100="No","⚠ Missing",IF(AK100="Yes","✓ OK","⚠ Check"))))</f>
        <v/>
      </c>
      <c r="AO100" s="36" t="n"/>
      <c r="AP100" s="36" t="n"/>
      <c r="AQ100" s="36" t="n"/>
      <c r="AR100" s="36" t="n"/>
      <c r="AS100" s="36" t="n"/>
      <c r="AT100" s="36" t="n"/>
      <c r="AU100" s="27" t="n"/>
      <c r="AV100" s="37" t="n"/>
      <c r="AW100" s="38">
        <f>IF(AO100="","",IF(AR100="Yes","❌ Disc",IF(AQ100="No","⚠ Missing",IF(AT100="Yes","✓ OK","⚠ Check"))))</f>
        <v/>
      </c>
    </row>
    <row r="101" ht="18" customHeight="1" s="46">
      <c r="A101" s="23" t="n">
        <v>105</v>
      </c>
      <c r="B101" s="24" t="inlineStr">
        <is>
          <t>BD-LAM-2024-0088</t>
        </is>
      </c>
      <c r="C101" s="25" t="inlineStr">
        <is>
          <t>LAM SL CL 1mm 142 Black Magic(Gold)</t>
        </is>
      </c>
      <c r="D101" s="23" t="inlineStr">
        <is>
          <t>Stylam</t>
        </is>
      </c>
      <c r="E101" s="43" t="n">
        <v>46125</v>
      </c>
      <c r="F101" s="26" t="inlineStr">
        <is>
          <t>Sunil CR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Good finish</t>
        </is>
      </c>
      <c r="J101" s="26" t="inlineStr">
        <is>
          <t>Yes</t>
        </is>
      </c>
      <c r="K101" s="27" t="n"/>
      <c r="L101" s="28" t="inlineStr">
        <is>
          <t>No</t>
        </is>
      </c>
      <c r="M101" s="29">
        <f>IF(E101="","",IF(H101="Yes","❌ Disc",IF(G101="No","⚠ Missing",IF(J101="Yes","✓ OK","⚠ Check"))))</f>
        <v/>
      </c>
      <c r="N101" s="43" t="n">
        <v>46193</v>
      </c>
      <c r="O101" s="26" t="inlineStr">
        <is>
          <t>Sunil CR</t>
        </is>
      </c>
      <c r="P101" s="26" t="inlineStr">
        <is>
          <t>Yes</t>
        </is>
      </c>
      <c r="Q101" s="26" t="inlineStr">
        <is>
          <t>No</t>
        </is>
      </c>
      <c r="R101" s="26" t="inlineStr">
        <is>
          <t>Good finish</t>
        </is>
      </c>
      <c r="S101" s="26" t="inlineStr">
        <is>
          <t>Yes</t>
        </is>
      </c>
      <c r="T101" s="27" t="n"/>
      <c r="U101" s="28" t="inlineStr">
        <is>
          <t>No</t>
        </is>
      </c>
      <c r="V101" s="29">
        <f>IF(N101="","",IF(Q101="Yes","❌ Disc",IF(P101="No","⚠ Missing",IF(S101="Yes","✓ OK","⚠ Check"))))</f>
        <v/>
      </c>
      <c r="W101" s="65" t="n">
        <v>46248</v>
      </c>
      <c r="X101" s="30" t="inlineStr">
        <is>
          <t>Sunil CR</t>
        </is>
      </c>
      <c r="Y101" s="30" t="inlineStr">
        <is>
          <t>Yes</t>
        </is>
      </c>
      <c r="Z101" s="30" t="n"/>
      <c r="AA101" s="30" t="inlineStr">
        <is>
          <t>Good finish</t>
        </is>
      </c>
      <c r="AB101" s="30" t="inlineStr">
        <is>
          <t>Yes</t>
        </is>
      </c>
      <c r="AC101" s="27" t="n"/>
      <c r="AD101" s="31" t="inlineStr">
        <is>
          <t>No</t>
        </is>
      </c>
      <c r="AE101" s="32">
        <f>IF(W101="","",IF(Z101="Yes","❌ Disc",IF(Y101="No","⚠ Missing",IF(AB101="Yes","✓ OK","⚠ Check"))))</f>
        <v/>
      </c>
      <c r="AF101" s="33" t="n"/>
      <c r="AG101" s="33" t="n"/>
      <c r="AH101" s="33" t="n"/>
      <c r="AI101" s="33" t="n"/>
      <c r="AJ101" s="33" t="n"/>
      <c r="AK101" s="33" t="n"/>
      <c r="AL101" s="27" t="n"/>
      <c r="AM101" s="34" t="n"/>
      <c r="AN101" s="35">
        <f>IF(AF101="","",IF(AI101="Yes","❌ Disc",IF(AH101="No","⚠ Missing",IF(AK101="Yes","✓ OK","⚠ Check"))))</f>
        <v/>
      </c>
      <c r="AO101" s="36" t="n"/>
      <c r="AP101" s="36" t="n"/>
      <c r="AQ101" s="36" t="n"/>
      <c r="AR101" s="36" t="n"/>
      <c r="AS101" s="36" t="n"/>
      <c r="AT101" s="36" t="n"/>
      <c r="AU101" s="27" t="n"/>
      <c r="AV101" s="37" t="n"/>
      <c r="AW101" s="38">
        <f>IF(AO101="","",IF(AR101="Yes","❌ Disc",IF(AQ101="No","⚠ Missing",IF(AT101="Yes","✓ OK","⚠ Check"))))</f>
        <v/>
      </c>
    </row>
    <row r="102" ht="18" customHeight="1" s="46">
      <c r="A102" s="39" t="n">
        <v>106</v>
      </c>
      <c r="B102" s="40" t="inlineStr">
        <is>
          <t>BD-LAM-2024-0089</t>
        </is>
      </c>
      <c r="C102" s="41" t="inlineStr">
        <is>
          <t>LAM SL CL 1mm 1590 Wickham Grey(Gold)</t>
        </is>
      </c>
      <c r="D102" s="39" t="inlineStr">
        <is>
          <t>Stylam</t>
        </is>
      </c>
      <c r="E102" s="43" t="n">
        <v>46125</v>
      </c>
      <c r="F102" s="26" t="inlineStr">
        <is>
          <t>Sunil CR</t>
        </is>
      </c>
      <c r="G102" s="26" t="inlineStr">
        <is>
          <t>Yes</t>
        </is>
      </c>
      <c r="H102" s="26" t="inlineStr">
        <is>
          <t>No</t>
        </is>
      </c>
      <c r="I102" s="26" t="inlineStr">
        <is>
          <t>Good finish</t>
        </is>
      </c>
      <c r="J102" s="26" t="inlineStr">
        <is>
          <t>Yes</t>
        </is>
      </c>
      <c r="K102" s="27" t="n"/>
      <c r="L102" s="28" t="inlineStr">
        <is>
          <t>No</t>
        </is>
      </c>
      <c r="M102" s="29">
        <f>IF(E102="","",IF(H102="Yes","❌ Disc",IF(G102="No","⚠ Missing",IF(J102="Yes","✓ OK","⚠ Check"))))</f>
        <v/>
      </c>
      <c r="N102" s="43" t="n">
        <v>46193</v>
      </c>
      <c r="O102" s="26" t="inlineStr">
        <is>
          <t>Sunil CR</t>
        </is>
      </c>
      <c r="P102" s="26" t="inlineStr">
        <is>
          <t>Yes</t>
        </is>
      </c>
      <c r="Q102" s="26" t="inlineStr">
        <is>
          <t>No</t>
        </is>
      </c>
      <c r="R102" s="26" t="inlineStr">
        <is>
          <t>Good finish</t>
        </is>
      </c>
      <c r="S102" s="26" t="inlineStr">
        <is>
          <t>Yes</t>
        </is>
      </c>
      <c r="T102" s="27" t="n"/>
      <c r="U102" s="28" t="inlineStr">
        <is>
          <t>No</t>
        </is>
      </c>
      <c r="V102" s="29">
        <f>IF(N102="","",IF(Q102="Yes","❌ Disc",IF(P102="No","⚠ Missing",IF(S102="Yes","✓ OK","⚠ Check"))))</f>
        <v/>
      </c>
      <c r="W102" s="65" t="n">
        <v>46248</v>
      </c>
      <c r="X102" s="30" t="inlineStr">
        <is>
          <t>Sunil CR</t>
        </is>
      </c>
      <c r="Y102" s="30" t="inlineStr">
        <is>
          <t>Yes</t>
        </is>
      </c>
      <c r="Z102" s="30" t="n"/>
      <c r="AA102" s="30" t="inlineStr">
        <is>
          <t>Good finish</t>
        </is>
      </c>
      <c r="AB102" s="30" t="inlineStr">
        <is>
          <t>Yes</t>
        </is>
      </c>
      <c r="AC102" s="27" t="n"/>
      <c r="AD102" s="31" t="inlineStr">
        <is>
          <t>No</t>
        </is>
      </c>
      <c r="AE102" s="32">
        <f>IF(W102="","",IF(Z102="Yes","❌ Disc",IF(Y102="No","⚠ Missing",IF(AB102="Yes","✓ OK","⚠ Check"))))</f>
        <v/>
      </c>
      <c r="AF102" s="33" t="n"/>
      <c r="AG102" s="33" t="n"/>
      <c r="AH102" s="33" t="n"/>
      <c r="AI102" s="33" t="n"/>
      <c r="AJ102" s="33" t="n"/>
      <c r="AK102" s="33" t="n"/>
      <c r="AL102" s="27" t="n"/>
      <c r="AM102" s="34" t="n"/>
      <c r="AN102" s="35">
        <f>IF(AF102="","",IF(AI102="Yes","❌ Disc",IF(AH102="No","⚠ Missing",IF(AK102="Yes","✓ OK","⚠ Check"))))</f>
        <v/>
      </c>
      <c r="AO102" s="36" t="n"/>
      <c r="AP102" s="36" t="n"/>
      <c r="AQ102" s="36" t="n"/>
      <c r="AR102" s="36" t="n"/>
      <c r="AS102" s="36" t="n"/>
      <c r="AT102" s="36" t="n"/>
      <c r="AU102" s="27" t="n"/>
      <c r="AV102" s="37" t="n"/>
      <c r="AW102" s="38">
        <f>IF(AO102="","",IF(AR102="Yes","❌ Disc",IF(AQ102="No","⚠ Missing",IF(AT102="Yes","✓ OK","⚠ Check"))))</f>
        <v/>
      </c>
    </row>
    <row r="103" ht="18" customHeight="1" s="46">
      <c r="A103" s="23" t="n">
        <v>107</v>
      </c>
      <c r="B103" s="24" t="inlineStr">
        <is>
          <t>BD-LAM-2024-0044</t>
        </is>
      </c>
      <c r="C103" s="25" t="inlineStr">
        <is>
          <t>Lam SL CL 1mm 1702 Dusky Mehndi(Gold)</t>
        </is>
      </c>
      <c r="D103" s="23" t="inlineStr">
        <is>
          <t>Stylam</t>
        </is>
      </c>
      <c r="E103" s="43" t="n">
        <v>46125</v>
      </c>
      <c r="F103" s="26" t="inlineStr">
        <is>
          <t>Sunil CR</t>
        </is>
      </c>
      <c r="G103" s="26" t="inlineStr">
        <is>
          <t>Yes</t>
        </is>
      </c>
      <c r="H103" s="26" t="inlineStr">
        <is>
          <t>No</t>
        </is>
      </c>
      <c r="I103" s="26" t="inlineStr">
        <is>
          <t>Good finish</t>
        </is>
      </c>
      <c r="J103" s="26" t="inlineStr">
        <is>
          <t>Yes</t>
        </is>
      </c>
      <c r="K103" s="27" t="n"/>
      <c r="L103" s="28" t="inlineStr">
        <is>
          <t>No</t>
        </is>
      </c>
      <c r="M103" s="29">
        <f>IF(E103="","",IF(H103="Yes","❌ Disc",IF(G103="No","⚠ Missing",IF(J103="Yes","✓ OK","⚠ Check"))))</f>
        <v/>
      </c>
      <c r="N103" s="43" t="n">
        <v>46193</v>
      </c>
      <c r="O103" s="26" t="inlineStr">
        <is>
          <t>Sunil CR</t>
        </is>
      </c>
      <c r="P103" s="26" t="inlineStr">
        <is>
          <t>Yes</t>
        </is>
      </c>
      <c r="Q103" s="26" t="inlineStr">
        <is>
          <t>No</t>
        </is>
      </c>
      <c r="R103" s="26" t="inlineStr">
        <is>
          <t>Good finish</t>
        </is>
      </c>
      <c r="S103" s="26" t="inlineStr">
        <is>
          <t>Yes</t>
        </is>
      </c>
      <c r="T103" s="27" t="n"/>
      <c r="U103" s="28" t="inlineStr">
        <is>
          <t>No</t>
        </is>
      </c>
      <c r="V103" s="29">
        <f>IF(N103="","",IF(Q103="Yes","❌ Disc",IF(P103="No","⚠ Missing",IF(S103="Yes","✓ OK","⚠ Check"))))</f>
        <v/>
      </c>
      <c r="W103" s="65" t="n">
        <v>46248</v>
      </c>
      <c r="X103" s="30" t="inlineStr">
        <is>
          <t>Sunil CR</t>
        </is>
      </c>
      <c r="Y103" s="30" t="inlineStr">
        <is>
          <t>Yes</t>
        </is>
      </c>
      <c r="Z103" s="30" t="n"/>
      <c r="AA103" s="30" t="inlineStr">
        <is>
          <t>Good finish</t>
        </is>
      </c>
      <c r="AB103" s="30" t="inlineStr">
        <is>
          <t>Yes</t>
        </is>
      </c>
      <c r="AC103" s="27" t="n"/>
      <c r="AD103" s="31" t="inlineStr">
        <is>
          <t>No</t>
        </is>
      </c>
      <c r="AE103" s="32">
        <f>IF(W103="","",IF(Z103="Yes","❌ Disc",IF(Y103="No","⚠ Missing",IF(AB103="Yes","✓ OK","⚠ Check"))))</f>
        <v/>
      </c>
      <c r="AF103" s="33" t="n"/>
      <c r="AG103" s="33" t="n"/>
      <c r="AH103" s="33" t="n"/>
      <c r="AI103" s="33" t="n"/>
      <c r="AJ103" s="33" t="n"/>
      <c r="AK103" s="33" t="n"/>
      <c r="AL103" s="27" t="n"/>
      <c r="AM103" s="34" t="n"/>
      <c r="AN103" s="35">
        <f>IF(AF103="","",IF(AI103="Yes","❌ Disc",IF(AH103="No","⚠ Missing",IF(AK103="Yes","✓ OK","⚠ Check"))))</f>
        <v/>
      </c>
      <c r="AO103" s="36" t="n"/>
      <c r="AP103" s="36" t="n"/>
      <c r="AQ103" s="36" t="n"/>
      <c r="AR103" s="36" t="n"/>
      <c r="AS103" s="36" t="n"/>
      <c r="AT103" s="36" t="n"/>
      <c r="AU103" s="27" t="n"/>
      <c r="AV103" s="37" t="n"/>
      <c r="AW103" s="38">
        <f>IF(AO103="","",IF(AR103="Yes","❌ Disc",IF(AQ103="No","⚠ Missing",IF(AT103="Yes","✓ OK","⚠ Check"))))</f>
        <v/>
      </c>
    </row>
    <row r="104" ht="18" customHeight="1" s="46">
      <c r="A104" s="39" t="n">
        <v>108</v>
      </c>
      <c r="B104" s="40" t="inlineStr">
        <is>
          <t>BD-LAM-2023-0225</t>
        </is>
      </c>
      <c r="C104" s="41" t="inlineStr">
        <is>
          <t>Lam SL CL 1mm 8003 Off White(Gold)</t>
        </is>
      </c>
      <c r="D104" s="39" t="inlineStr">
        <is>
          <t>Stylam</t>
        </is>
      </c>
      <c r="E104" s="43" t="n">
        <v>46125</v>
      </c>
      <c r="F104" s="26" t="inlineStr">
        <is>
          <t>Sunil CR</t>
        </is>
      </c>
      <c r="G104" s="26" t="inlineStr">
        <is>
          <t>Yes</t>
        </is>
      </c>
      <c r="H104" s="26" t="inlineStr">
        <is>
          <t>No</t>
        </is>
      </c>
      <c r="I104" s="26" t="inlineStr">
        <is>
          <t>Good finish</t>
        </is>
      </c>
      <c r="J104" s="26" t="inlineStr">
        <is>
          <t>Yes</t>
        </is>
      </c>
      <c r="K104" s="27" t="n"/>
      <c r="L104" s="28" t="inlineStr">
        <is>
          <t>No</t>
        </is>
      </c>
      <c r="M104" s="29">
        <f>IF(E104="","",IF(H104="Yes","❌ Disc",IF(G104="No","⚠ Missing",IF(J104="Yes","✓ OK","⚠ Check"))))</f>
        <v/>
      </c>
      <c r="N104" s="43" t="n">
        <v>46193</v>
      </c>
      <c r="O104" s="26" t="inlineStr">
        <is>
          <t>Sunil CR</t>
        </is>
      </c>
      <c r="P104" s="26" t="inlineStr">
        <is>
          <t>Yes</t>
        </is>
      </c>
      <c r="Q104" s="26" t="inlineStr">
        <is>
          <t>No</t>
        </is>
      </c>
      <c r="R104" s="26" t="inlineStr">
        <is>
          <t>Good finish</t>
        </is>
      </c>
      <c r="S104" s="26" t="inlineStr">
        <is>
          <t>Yes</t>
        </is>
      </c>
      <c r="T104" s="27" t="n"/>
      <c r="U104" s="28" t="inlineStr">
        <is>
          <t>No</t>
        </is>
      </c>
      <c r="V104" s="29">
        <f>IF(N104="","",IF(Q104="Yes","❌ Disc",IF(P104="No","⚠ Missing",IF(S104="Yes","✓ OK","⚠ Check"))))</f>
        <v/>
      </c>
      <c r="W104" s="65" t="n">
        <v>46248</v>
      </c>
      <c r="X104" s="30" t="inlineStr">
        <is>
          <t>Sunil CR</t>
        </is>
      </c>
      <c r="Y104" s="30" t="inlineStr">
        <is>
          <t>Yes</t>
        </is>
      </c>
      <c r="Z104" s="30" t="n"/>
      <c r="AA104" s="30" t="inlineStr">
        <is>
          <t>Good finish</t>
        </is>
      </c>
      <c r="AB104" s="30" t="inlineStr">
        <is>
          <t>Yes</t>
        </is>
      </c>
      <c r="AC104" s="27" t="n"/>
      <c r="AD104" s="31" t="inlineStr">
        <is>
          <t>No</t>
        </is>
      </c>
      <c r="AE104" s="32">
        <f>IF(W104="","",IF(Z104="Yes","❌ Disc",IF(Y104="No","⚠ Missing",IF(AB104="Yes","✓ OK","⚠ Check"))))</f>
        <v/>
      </c>
      <c r="AF104" s="33" t="n"/>
      <c r="AG104" s="33" t="n"/>
      <c r="AH104" s="33" t="n"/>
      <c r="AI104" s="33" t="n"/>
      <c r="AJ104" s="33" t="n"/>
      <c r="AK104" s="33" t="n"/>
      <c r="AL104" s="27" t="n"/>
      <c r="AM104" s="34" t="n"/>
      <c r="AN104" s="35">
        <f>IF(AF104="","",IF(AI104="Yes","❌ Disc",IF(AH104="No","⚠ Missing",IF(AK104="Yes","✓ OK","⚠ Check"))))</f>
        <v/>
      </c>
      <c r="AO104" s="36" t="n"/>
      <c r="AP104" s="36" t="n"/>
      <c r="AQ104" s="36" t="n"/>
      <c r="AR104" s="36" t="n"/>
      <c r="AS104" s="36" t="n"/>
      <c r="AT104" s="36" t="n"/>
      <c r="AU104" s="27" t="n"/>
      <c r="AV104" s="37" t="n"/>
      <c r="AW104" s="38">
        <f>IF(AO104="","",IF(AR104="Yes","❌ Disc",IF(AQ104="No","⚠ Missing",IF(AT104="Yes","✓ OK","⚠ Check"))))</f>
        <v/>
      </c>
    </row>
    <row r="105" ht="18" customHeight="1" s="46">
      <c r="A105" s="23" t="n">
        <v>109</v>
      </c>
      <c r="B105" s="24" t="inlineStr">
        <is>
          <t>BD-LAM-2024-0045</t>
        </is>
      </c>
      <c r="C105" s="25" t="inlineStr">
        <is>
          <t>Lam SL CL 1mm 8109 Slate Grey(Gold)</t>
        </is>
      </c>
      <c r="D105" s="23" t="inlineStr">
        <is>
          <t>Stylam</t>
        </is>
      </c>
      <c r="E105" s="43" t="n">
        <v>46125</v>
      </c>
      <c r="F105" s="26" t="inlineStr">
        <is>
          <t>Sunil CR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Good finish</t>
        </is>
      </c>
      <c r="J105" s="26" t="inlineStr">
        <is>
          <t>Yes</t>
        </is>
      </c>
      <c r="K105" s="27" t="n"/>
      <c r="L105" s="28" t="inlineStr">
        <is>
          <t>No</t>
        </is>
      </c>
      <c r="M105" s="29">
        <f>IF(E105="","",IF(H105="Yes","❌ Disc",IF(G105="No","⚠ Missing",IF(J105="Yes","✓ OK","⚠ Check"))))</f>
        <v/>
      </c>
      <c r="N105" s="43" t="n">
        <v>46193</v>
      </c>
      <c r="O105" s="26" t="inlineStr">
        <is>
          <t>Sunil CR</t>
        </is>
      </c>
      <c r="P105" s="26" t="inlineStr">
        <is>
          <t>Yes</t>
        </is>
      </c>
      <c r="Q105" s="26" t="inlineStr">
        <is>
          <t>No</t>
        </is>
      </c>
      <c r="R105" s="26" t="inlineStr">
        <is>
          <t>Good finish</t>
        </is>
      </c>
      <c r="S105" s="26" t="inlineStr">
        <is>
          <t>Yes</t>
        </is>
      </c>
      <c r="T105" s="27" t="n"/>
      <c r="U105" s="28" t="inlineStr">
        <is>
          <t>No</t>
        </is>
      </c>
      <c r="V105" s="29">
        <f>IF(N105="","",IF(Q105="Yes","❌ Disc",IF(P105="No","⚠ Missing",IF(S105="Yes","✓ OK","⚠ Check"))))</f>
        <v/>
      </c>
      <c r="W105" s="65" t="n">
        <v>46248</v>
      </c>
      <c r="X105" s="30" t="inlineStr">
        <is>
          <t>Sunil CR</t>
        </is>
      </c>
      <c r="Y105" s="30" t="inlineStr">
        <is>
          <t>Yes</t>
        </is>
      </c>
      <c r="Z105" s="30" t="n"/>
      <c r="AA105" s="30" t="inlineStr">
        <is>
          <t>Good finish</t>
        </is>
      </c>
      <c r="AB105" s="30" t="inlineStr">
        <is>
          <t>Yes</t>
        </is>
      </c>
      <c r="AC105" s="27" t="n"/>
      <c r="AD105" s="31" t="inlineStr">
        <is>
          <t>No</t>
        </is>
      </c>
      <c r="AE105" s="32">
        <f>IF(W105="","",IF(Z105="Yes","❌ Disc",IF(Y105="No","⚠ Missing",IF(AB105="Yes","✓ OK","⚠ Check"))))</f>
        <v/>
      </c>
      <c r="AF105" s="33" t="n"/>
      <c r="AG105" s="33" t="n"/>
      <c r="AH105" s="33" t="n"/>
      <c r="AI105" s="33" t="n"/>
      <c r="AJ105" s="33" t="n"/>
      <c r="AK105" s="33" t="n"/>
      <c r="AL105" s="27" t="n"/>
      <c r="AM105" s="34" t="n"/>
      <c r="AN105" s="35">
        <f>IF(AF105="","",IF(AI105="Yes","❌ Disc",IF(AH105="No","⚠ Missing",IF(AK105="Yes","✓ OK","⚠ Check"))))</f>
        <v/>
      </c>
      <c r="AO105" s="36" t="n"/>
      <c r="AP105" s="36" t="n"/>
      <c r="AQ105" s="36" t="n"/>
      <c r="AR105" s="36" t="n"/>
      <c r="AS105" s="36" t="n"/>
      <c r="AT105" s="36" t="n"/>
      <c r="AU105" s="27" t="n"/>
      <c r="AV105" s="37" t="n"/>
      <c r="AW105" s="38">
        <f>IF(AO105="","",IF(AR105="Yes","❌ Disc",IF(AQ105="No","⚠ Missing",IF(AT105="Yes","✓ OK","⚠ Check"))))</f>
        <v/>
      </c>
    </row>
    <row r="106" ht="18" customHeight="1" s="46">
      <c r="A106" s="39" t="n">
        <v>110</v>
      </c>
      <c r="B106" s="40" t="inlineStr">
        <is>
          <t>BD-LAM-2023-0259</t>
        </is>
      </c>
      <c r="C106" s="41" t="inlineStr">
        <is>
          <t>Lam SL CL 1mm 8206 Rock Brown(Gold)</t>
        </is>
      </c>
      <c r="D106" s="39" t="inlineStr">
        <is>
          <t>Stylam</t>
        </is>
      </c>
      <c r="E106" s="43" t="n">
        <v>46125</v>
      </c>
      <c r="F106" s="26" t="inlineStr">
        <is>
          <t>Sunil CR</t>
        </is>
      </c>
      <c r="G106" s="26" t="inlineStr">
        <is>
          <t>Yes</t>
        </is>
      </c>
      <c r="H106" s="26" t="inlineStr">
        <is>
          <t>No</t>
        </is>
      </c>
      <c r="I106" s="26" t="inlineStr">
        <is>
          <t>Minor defect</t>
        </is>
      </c>
      <c r="J106" s="26" t="inlineStr">
        <is>
          <t>No</t>
        </is>
      </c>
      <c r="K106" s="27" t="inlineStr">
        <is>
          <t>Sticker is missing</t>
        </is>
      </c>
      <c r="L106" s="28" t="inlineStr">
        <is>
          <t>Yes</t>
        </is>
      </c>
      <c r="M106" s="29">
        <f>IF(E106="","",IF(H106="Yes","❌ Disc",IF(G106="No","⚠ Missing",IF(J106="Yes","✓ OK","⚠ Check"))))</f>
        <v/>
      </c>
      <c r="N106" s="43" t="n">
        <v>46193</v>
      </c>
      <c r="O106" s="26" t="inlineStr">
        <is>
          <t>Sunil CR</t>
        </is>
      </c>
      <c r="P106" s="26" t="inlineStr">
        <is>
          <t>Yes</t>
        </is>
      </c>
      <c r="Q106" s="26" t="inlineStr">
        <is>
          <t>No</t>
        </is>
      </c>
      <c r="R106" s="26" t="inlineStr">
        <is>
          <t>Minor defect</t>
        </is>
      </c>
      <c r="S106" s="26" t="inlineStr">
        <is>
          <t>No</t>
        </is>
      </c>
      <c r="T106" s="27" t="inlineStr">
        <is>
          <t>Sticker is missing</t>
        </is>
      </c>
      <c r="U106" s="28" t="inlineStr">
        <is>
          <t>Yes</t>
        </is>
      </c>
      <c r="V106" s="29">
        <f>IF(N106="","",IF(Q106="Yes","❌ Disc",IF(P106="No","⚠ Missing",IF(S106="Yes","✓ OK","⚠ Check"))))</f>
        <v/>
      </c>
      <c r="W106" s="65" t="n">
        <v>46248</v>
      </c>
      <c r="X106" s="30" t="inlineStr">
        <is>
          <t>Sunil CR</t>
        </is>
      </c>
      <c r="Y106" s="30" t="inlineStr">
        <is>
          <t>Yes</t>
        </is>
      </c>
      <c r="Z106" s="30" t="n"/>
      <c r="AA106" s="30" t="inlineStr">
        <is>
          <t>Minor defect</t>
        </is>
      </c>
      <c r="AB106" s="30" t="inlineStr">
        <is>
          <t>No</t>
        </is>
      </c>
      <c r="AC106" s="27" t="inlineStr">
        <is>
          <t>Sticker is missing</t>
        </is>
      </c>
      <c r="AD106" s="31" t="inlineStr">
        <is>
          <t>Yes</t>
        </is>
      </c>
      <c r="AE106" s="32">
        <f>IF(W106="","",IF(Z106="Yes","❌ Disc",IF(Y106="No","⚠ Missing",IF(AB106="Yes","✓ OK","⚠ Check"))))</f>
        <v/>
      </c>
      <c r="AF106" s="33" t="n"/>
      <c r="AG106" s="33" t="n"/>
      <c r="AH106" s="33" t="n"/>
      <c r="AI106" s="33" t="n"/>
      <c r="AJ106" s="33" t="n"/>
      <c r="AK106" s="33" t="n"/>
      <c r="AL106" s="27" t="n"/>
      <c r="AM106" s="34" t="n"/>
      <c r="AN106" s="35">
        <f>IF(AF106="","",IF(AI106="Yes","❌ Disc",IF(AH106="No","⚠ Missing",IF(AK106="Yes","✓ OK","⚠ Check"))))</f>
        <v/>
      </c>
      <c r="AO106" s="36" t="n"/>
      <c r="AP106" s="36" t="n"/>
      <c r="AQ106" s="36" t="n"/>
      <c r="AR106" s="36" t="n"/>
      <c r="AS106" s="36" t="n"/>
      <c r="AT106" s="36" t="n"/>
      <c r="AU106" s="27" t="n"/>
      <c r="AV106" s="37" t="n"/>
      <c r="AW106" s="38">
        <f>IF(AO106="","",IF(AR106="Yes","❌ Disc",IF(AQ106="No","⚠ Missing",IF(AT106="Yes","✓ OK","⚠ Check"))))</f>
        <v/>
      </c>
    </row>
    <row r="107" ht="18" customHeight="1" s="46">
      <c r="A107" s="23" t="n">
        <v>111</v>
      </c>
      <c r="B107" s="24" t="inlineStr">
        <is>
          <t>BD-LAM-2023-0311</t>
        </is>
      </c>
      <c r="C107" s="25" t="inlineStr">
        <is>
          <t>Lam SL CL 1mm 8221 Yellowish Brown(Gold)</t>
        </is>
      </c>
      <c r="D107" s="23" t="inlineStr">
        <is>
          <t>Stylam</t>
        </is>
      </c>
      <c r="E107" s="43" t="n">
        <v>46125</v>
      </c>
      <c r="F107" s="26" t="inlineStr">
        <is>
          <t>Sunil CR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Minor defect</t>
        </is>
      </c>
      <c r="J107" s="26" t="inlineStr">
        <is>
          <t>No</t>
        </is>
      </c>
      <c r="K107" s="27" t="inlineStr">
        <is>
          <t>Categorization sticker is missing</t>
        </is>
      </c>
      <c r="L107" s="28" t="inlineStr">
        <is>
          <t>Yes</t>
        </is>
      </c>
      <c r="M107" s="29">
        <f>IF(E107="","",IF(H107="Yes","❌ Disc",IF(G107="No","⚠ Missing",IF(J107="Yes","✓ OK","⚠ Check"))))</f>
        <v/>
      </c>
      <c r="N107" s="43" t="n">
        <v>46193</v>
      </c>
      <c r="O107" s="26" t="inlineStr">
        <is>
          <t>Sunil CR</t>
        </is>
      </c>
      <c r="P107" s="26" t="inlineStr">
        <is>
          <t>No</t>
        </is>
      </c>
      <c r="Q107" s="26" t="inlineStr">
        <is>
          <t>Yes</t>
        </is>
      </c>
      <c r="R107" s="26" t="inlineStr">
        <is>
          <t>Discontinued</t>
        </is>
      </c>
      <c r="S107" s="26" t="inlineStr">
        <is>
          <t>No</t>
        </is>
      </c>
      <c r="T107" s="27" t="n"/>
      <c r="U107" s="28" t="inlineStr">
        <is>
          <t>Yes</t>
        </is>
      </c>
      <c r="V107" s="29">
        <f>IF(N107="","",IF(Q107="Yes","❌ Disc",IF(P107="No","⚠ Missing",IF(S107="Yes","✓ OK","⚠ Check"))))</f>
        <v/>
      </c>
      <c r="W107" s="65" t="n">
        <v>46248</v>
      </c>
      <c r="X107" s="30" t="inlineStr">
        <is>
          <t>Sunil CR</t>
        </is>
      </c>
      <c r="Y107" s="30" t="inlineStr">
        <is>
          <t>No</t>
        </is>
      </c>
      <c r="Z107" s="30" t="inlineStr">
        <is>
          <t>Yes</t>
        </is>
      </c>
      <c r="AA107" s="30" t="inlineStr">
        <is>
          <t>Discontinued</t>
        </is>
      </c>
      <c r="AB107" s="30" t="inlineStr">
        <is>
          <t>No</t>
        </is>
      </c>
      <c r="AC107" s="27" t="n"/>
      <c r="AD107" s="31" t="inlineStr">
        <is>
          <t>No</t>
        </is>
      </c>
      <c r="AE107" s="32">
        <f>IF(W107="","",IF(Z107="Yes","❌ Disc",IF(Y107="No","⚠ Missing",IF(AB107="Yes","✓ OK","⚠ Check"))))</f>
        <v/>
      </c>
      <c r="AF107" s="33" t="n"/>
      <c r="AG107" s="33" t="n"/>
      <c r="AH107" s="33" t="n"/>
      <c r="AI107" s="33" t="n"/>
      <c r="AJ107" s="33" t="n"/>
      <c r="AK107" s="33" t="n"/>
      <c r="AL107" s="27" t="n"/>
      <c r="AM107" s="34" t="n"/>
      <c r="AN107" s="35">
        <f>IF(AF107="","",IF(AI107="Yes","❌ Disc",IF(AH107="No","⚠ Missing",IF(AK107="Yes","✓ OK","⚠ Check"))))</f>
        <v/>
      </c>
      <c r="AO107" s="36" t="n"/>
      <c r="AP107" s="36" t="n"/>
      <c r="AQ107" s="36" t="n"/>
      <c r="AR107" s="36" t="n"/>
      <c r="AS107" s="36" t="n"/>
      <c r="AT107" s="36" t="n"/>
      <c r="AU107" s="27" t="n"/>
      <c r="AV107" s="37" t="n"/>
      <c r="AW107" s="38">
        <f>IF(AO107="","",IF(AR107="Yes","❌ Disc",IF(AQ107="No","⚠ Missing",IF(AT107="Yes","✓ OK","⚠ Check"))))</f>
        <v/>
      </c>
    </row>
    <row r="108" ht="18" customHeight="1" s="46">
      <c r="A108" s="39" t="n">
        <v>112</v>
      </c>
      <c r="B108" s="40" t="inlineStr">
        <is>
          <t>BD-LAM-2024-0043</t>
        </is>
      </c>
      <c r="C108" s="41" t="inlineStr">
        <is>
          <t>Lam SL CL 1mm 8231 Coffee(Gold)</t>
        </is>
      </c>
      <c r="D108" s="39" t="inlineStr">
        <is>
          <t>Stylam</t>
        </is>
      </c>
      <c r="E108" s="43" t="n">
        <v>46125</v>
      </c>
      <c r="F108" s="26" t="inlineStr">
        <is>
          <t>Sunil CR</t>
        </is>
      </c>
      <c r="G108" s="26" t="inlineStr">
        <is>
          <t>Yes</t>
        </is>
      </c>
      <c r="H108" s="26" t="inlineStr">
        <is>
          <t>No</t>
        </is>
      </c>
      <c r="I108" s="26" t="inlineStr">
        <is>
          <t>Good finish</t>
        </is>
      </c>
      <c r="J108" s="26" t="inlineStr">
        <is>
          <t>Yes</t>
        </is>
      </c>
      <c r="K108" s="27" t="n"/>
      <c r="L108" s="28" t="inlineStr">
        <is>
          <t>No</t>
        </is>
      </c>
      <c r="M108" s="29">
        <f>IF(E108="","",IF(H108="Yes","❌ Disc",IF(G108="No","⚠ Missing",IF(J108="Yes","✓ OK","⚠ Check"))))</f>
        <v/>
      </c>
      <c r="N108" s="43" t="n">
        <v>46193</v>
      </c>
      <c r="O108" s="26" t="inlineStr">
        <is>
          <t>Sunil CR</t>
        </is>
      </c>
      <c r="P108" s="26" t="inlineStr">
        <is>
          <t>Yes</t>
        </is>
      </c>
      <c r="Q108" s="26" t="inlineStr">
        <is>
          <t>No</t>
        </is>
      </c>
      <c r="R108" s="26" t="inlineStr">
        <is>
          <t>Good finish</t>
        </is>
      </c>
      <c r="S108" s="26" t="inlineStr">
        <is>
          <t>Yes</t>
        </is>
      </c>
      <c r="T108" s="27" t="n"/>
      <c r="U108" s="28" t="inlineStr">
        <is>
          <t>No</t>
        </is>
      </c>
      <c r="V108" s="29">
        <f>IF(N108="","",IF(Q108="Yes","❌ Disc",IF(P108="No","⚠ Missing",IF(S108="Yes","✓ OK","⚠ Check"))))</f>
        <v/>
      </c>
      <c r="W108" s="65" t="n">
        <v>46248</v>
      </c>
      <c r="X108" s="30" t="inlineStr">
        <is>
          <t>Sunil CR</t>
        </is>
      </c>
      <c r="Y108" s="30" t="inlineStr">
        <is>
          <t>Yes</t>
        </is>
      </c>
      <c r="Z108" s="30" t="n"/>
      <c r="AA108" s="30" t="inlineStr">
        <is>
          <t>Good finish</t>
        </is>
      </c>
      <c r="AB108" s="30" t="inlineStr">
        <is>
          <t>Yes</t>
        </is>
      </c>
      <c r="AC108" s="27" t="n"/>
      <c r="AD108" s="31" t="inlineStr">
        <is>
          <t>No</t>
        </is>
      </c>
      <c r="AE108" s="32">
        <f>IF(W108="","",IF(Z108="Yes","❌ Disc",IF(Y108="No","⚠ Missing",IF(AB108="Yes","✓ OK","⚠ Check"))))</f>
        <v/>
      </c>
      <c r="AF108" s="33" t="n"/>
      <c r="AG108" s="33" t="n"/>
      <c r="AH108" s="33" t="n"/>
      <c r="AI108" s="33" t="n"/>
      <c r="AJ108" s="33" t="n"/>
      <c r="AK108" s="33" t="n"/>
      <c r="AL108" s="27" t="n"/>
      <c r="AM108" s="34" t="n"/>
      <c r="AN108" s="35">
        <f>IF(AF108="","",IF(AI108="Yes","❌ Disc",IF(AH108="No","⚠ Missing",IF(AK108="Yes","✓ OK","⚠ Check"))))</f>
        <v/>
      </c>
      <c r="AO108" s="36" t="n"/>
      <c r="AP108" s="36" t="n"/>
      <c r="AQ108" s="36" t="n"/>
      <c r="AR108" s="36" t="n"/>
      <c r="AS108" s="36" t="n"/>
      <c r="AT108" s="36" t="n"/>
      <c r="AU108" s="27" t="n"/>
      <c r="AV108" s="37" t="n"/>
      <c r="AW108" s="38">
        <f>IF(AO108="","",IF(AR108="Yes","❌ Disc",IF(AQ108="No","⚠ Missing",IF(AT108="Yes","✓ OK","⚠ Check"))))</f>
        <v/>
      </c>
    </row>
    <row r="109" ht="18" customHeight="1" s="46">
      <c r="A109" s="23" t="n">
        <v>113</v>
      </c>
      <c r="B109" s="24" t="inlineStr">
        <is>
          <t>BD-LAM-2024-0061</t>
        </is>
      </c>
      <c r="C109" s="25" t="inlineStr">
        <is>
          <t>Lam SL CN 1mm 2386 Refugee Oak(Platinum)</t>
        </is>
      </c>
      <c r="D109" s="23" t="inlineStr">
        <is>
          <t>Stylam</t>
        </is>
      </c>
      <c r="E109" s="43" t="n">
        <v>46125</v>
      </c>
      <c r="F109" s="26" t="inlineStr">
        <is>
          <t>Sunil CR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Good finish</t>
        </is>
      </c>
      <c r="J109" s="26" t="inlineStr">
        <is>
          <t>Yes</t>
        </is>
      </c>
      <c r="K109" s="27" t="n"/>
      <c r="L109" s="28" t="inlineStr">
        <is>
          <t>No</t>
        </is>
      </c>
      <c r="M109" s="29">
        <f>IF(E109="","",IF(H109="Yes","❌ Disc",IF(G109="No","⚠ Missing",IF(J109="Yes","✓ OK","⚠ Check"))))</f>
        <v/>
      </c>
      <c r="N109" s="43" t="n">
        <v>46193</v>
      </c>
      <c r="O109" s="26" t="inlineStr">
        <is>
          <t>Sunil CR</t>
        </is>
      </c>
      <c r="P109" s="26" t="inlineStr">
        <is>
          <t>Yes</t>
        </is>
      </c>
      <c r="Q109" s="26" t="inlineStr">
        <is>
          <t>No</t>
        </is>
      </c>
      <c r="R109" s="26" t="inlineStr">
        <is>
          <t>Good finish</t>
        </is>
      </c>
      <c r="S109" s="26" t="inlineStr">
        <is>
          <t>Yes</t>
        </is>
      </c>
      <c r="T109" s="27" t="n"/>
      <c r="U109" s="28" t="inlineStr">
        <is>
          <t>No</t>
        </is>
      </c>
      <c r="V109" s="29">
        <f>IF(N109="","",IF(Q109="Yes","❌ Disc",IF(P109="No","⚠ Missing",IF(S109="Yes","✓ OK","⚠ Check"))))</f>
        <v/>
      </c>
      <c r="W109" s="65" t="n">
        <v>46248</v>
      </c>
      <c r="X109" s="30" t="inlineStr">
        <is>
          <t>Sunil CR</t>
        </is>
      </c>
      <c r="Y109" s="30" t="inlineStr">
        <is>
          <t>Yes</t>
        </is>
      </c>
      <c r="Z109" s="30" t="n"/>
      <c r="AA109" s="30" t="inlineStr">
        <is>
          <t>Good finish</t>
        </is>
      </c>
      <c r="AB109" s="30" t="inlineStr">
        <is>
          <t>Yes</t>
        </is>
      </c>
      <c r="AC109" s="27" t="n"/>
      <c r="AD109" s="31" t="inlineStr">
        <is>
          <t>No</t>
        </is>
      </c>
      <c r="AE109" s="32">
        <f>IF(W109="","",IF(Z109="Yes","❌ Disc",IF(Y109="No","⚠ Missing",IF(AB109="Yes","✓ OK","⚠ Check"))))</f>
        <v/>
      </c>
      <c r="AF109" s="33" t="n"/>
      <c r="AG109" s="33" t="n"/>
      <c r="AH109" s="33" t="n"/>
      <c r="AI109" s="33" t="n"/>
      <c r="AJ109" s="33" t="n"/>
      <c r="AK109" s="33" t="n"/>
      <c r="AL109" s="27" t="n"/>
      <c r="AM109" s="34" t="n"/>
      <c r="AN109" s="35">
        <f>IF(AF109="","",IF(AI109="Yes","❌ Disc",IF(AH109="No","⚠ Missing",IF(AK109="Yes","✓ OK","⚠ Check"))))</f>
        <v/>
      </c>
      <c r="AO109" s="36" t="n"/>
      <c r="AP109" s="36" t="n"/>
      <c r="AQ109" s="36" t="n"/>
      <c r="AR109" s="36" t="n"/>
      <c r="AS109" s="36" t="n"/>
      <c r="AT109" s="36" t="n"/>
      <c r="AU109" s="27" t="n"/>
      <c r="AV109" s="37" t="n"/>
      <c r="AW109" s="38">
        <f>IF(AO109="","",IF(AR109="Yes","❌ Disc",IF(AQ109="No","⚠ Missing",IF(AT109="Yes","✓ OK","⚠ Check"))))</f>
        <v/>
      </c>
    </row>
    <row r="110" ht="18" customHeight="1" s="46">
      <c r="A110" s="39" t="n">
        <v>114</v>
      </c>
      <c r="B110" s="40" t="inlineStr">
        <is>
          <t>BD-LAM-2024-0082</t>
        </is>
      </c>
      <c r="C110" s="41" t="inlineStr">
        <is>
          <t>Lam SL CTS 1mm 2903 Paduok Wood(Gold)</t>
        </is>
      </c>
      <c r="D110" s="39" t="inlineStr">
        <is>
          <t>Stylam</t>
        </is>
      </c>
      <c r="E110" s="43" t="n">
        <v>46125</v>
      </c>
      <c r="F110" s="26" t="inlineStr">
        <is>
          <t>Sunil CR</t>
        </is>
      </c>
      <c r="G110" s="26" t="inlineStr">
        <is>
          <t>Yes</t>
        </is>
      </c>
      <c r="H110" s="26" t="inlineStr">
        <is>
          <t>No</t>
        </is>
      </c>
      <c r="I110" s="26" t="inlineStr">
        <is>
          <t>Good finish</t>
        </is>
      </c>
      <c r="J110" s="26" t="inlineStr">
        <is>
          <t>Yes</t>
        </is>
      </c>
      <c r="K110" s="27" t="n"/>
      <c r="L110" s="28" t="inlineStr">
        <is>
          <t>No</t>
        </is>
      </c>
      <c r="M110" s="29">
        <f>IF(E110="","",IF(H110="Yes","❌ Disc",IF(G110="No","⚠ Missing",IF(J110="Yes","✓ OK","⚠ Check"))))</f>
        <v/>
      </c>
      <c r="N110" s="43" t="n">
        <v>46193</v>
      </c>
      <c r="O110" s="26" t="inlineStr">
        <is>
          <t>Sunil CR</t>
        </is>
      </c>
      <c r="P110" s="26" t="inlineStr">
        <is>
          <t>Yes</t>
        </is>
      </c>
      <c r="Q110" s="26" t="inlineStr">
        <is>
          <t>No</t>
        </is>
      </c>
      <c r="R110" s="26" t="inlineStr">
        <is>
          <t>Good finish</t>
        </is>
      </c>
      <c r="S110" s="26" t="inlineStr">
        <is>
          <t>Yes</t>
        </is>
      </c>
      <c r="T110" s="27" t="n"/>
      <c r="U110" s="28" t="inlineStr">
        <is>
          <t>No</t>
        </is>
      </c>
      <c r="V110" s="29">
        <f>IF(N110="","",IF(Q110="Yes","❌ Disc",IF(P110="No","⚠ Missing",IF(S110="Yes","✓ OK","⚠ Check"))))</f>
        <v/>
      </c>
      <c r="W110" s="65" t="n">
        <v>46248</v>
      </c>
      <c r="X110" s="30" t="inlineStr">
        <is>
          <t>Sunil CR</t>
        </is>
      </c>
      <c r="Y110" s="30" t="inlineStr">
        <is>
          <t>No</t>
        </is>
      </c>
      <c r="Z110" s="30" t="inlineStr">
        <is>
          <t>Yes</t>
        </is>
      </c>
      <c r="AA110" s="30" t="inlineStr">
        <is>
          <t>Discontinued</t>
        </is>
      </c>
      <c r="AB110" s="30" t="inlineStr">
        <is>
          <t>No</t>
        </is>
      </c>
      <c r="AC110" s="27" t="n"/>
      <c r="AD110" s="31" t="inlineStr">
        <is>
          <t>No</t>
        </is>
      </c>
      <c r="AE110" s="32">
        <f>IF(W110="","",IF(Z110="Yes","❌ Disc",IF(Y110="No","⚠ Missing",IF(AB110="Yes","✓ OK","⚠ Check"))))</f>
        <v/>
      </c>
      <c r="AF110" s="33" t="n"/>
      <c r="AG110" s="33" t="n"/>
      <c r="AH110" s="33" t="n"/>
      <c r="AI110" s="33" t="n"/>
      <c r="AJ110" s="33" t="n"/>
      <c r="AK110" s="33" t="n"/>
      <c r="AL110" s="27" t="n"/>
      <c r="AM110" s="34" t="n"/>
      <c r="AN110" s="35">
        <f>IF(AF110="","",IF(AI110="Yes","❌ Disc",IF(AH110="No","⚠ Missing",IF(AK110="Yes","✓ OK","⚠ Check"))))</f>
        <v/>
      </c>
      <c r="AO110" s="36" t="n"/>
      <c r="AP110" s="36" t="n"/>
      <c r="AQ110" s="36" t="n"/>
      <c r="AR110" s="36" t="n"/>
      <c r="AS110" s="36" t="n"/>
      <c r="AT110" s="36" t="n"/>
      <c r="AU110" s="27" t="n"/>
      <c r="AV110" s="37" t="n"/>
      <c r="AW110" s="38">
        <f>IF(AO110="","",IF(AR110="Yes","❌ Disc",IF(AQ110="No","⚠ Missing",IF(AT110="Yes","✓ OK","⚠ Check"))))</f>
        <v/>
      </c>
    </row>
    <row r="111" ht="18" customHeight="1" s="46">
      <c r="A111" s="23" t="n">
        <v>115</v>
      </c>
      <c r="B111" s="24" t="inlineStr">
        <is>
          <t>BD-LAM-2024-0080</t>
        </is>
      </c>
      <c r="C111" s="25" t="inlineStr">
        <is>
          <t>Lam SL FA 1mm 2309 Fairfield Walnut(Gold)</t>
        </is>
      </c>
      <c r="D111" s="23" t="inlineStr">
        <is>
          <t>Stylam</t>
        </is>
      </c>
      <c r="E111" s="43" t="n">
        <v>46125</v>
      </c>
      <c r="F111" s="26" t="inlineStr">
        <is>
          <t>Sunil CR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Good finish</t>
        </is>
      </c>
      <c r="J111" s="26" t="inlineStr">
        <is>
          <t>Yes</t>
        </is>
      </c>
      <c r="K111" s="27" t="n"/>
      <c r="L111" s="28" t="inlineStr">
        <is>
          <t>No</t>
        </is>
      </c>
      <c r="M111" s="29">
        <f>IF(E111="","",IF(H111="Yes","❌ Disc",IF(G111="No","⚠ Missing",IF(J111="Yes","✓ OK","⚠ Check"))))</f>
        <v/>
      </c>
      <c r="N111" s="43" t="n">
        <v>46193</v>
      </c>
      <c r="O111" s="26" t="inlineStr">
        <is>
          <t>Sunil CR</t>
        </is>
      </c>
      <c r="P111" s="26" t="inlineStr">
        <is>
          <t>Yes</t>
        </is>
      </c>
      <c r="Q111" s="26" t="inlineStr">
        <is>
          <t>No</t>
        </is>
      </c>
      <c r="R111" s="26" t="inlineStr">
        <is>
          <t>Good finish</t>
        </is>
      </c>
      <c r="S111" s="26" t="inlineStr">
        <is>
          <t>Yes</t>
        </is>
      </c>
      <c r="T111" s="27" t="n"/>
      <c r="U111" s="28" t="inlineStr">
        <is>
          <t>No</t>
        </is>
      </c>
      <c r="V111" s="29">
        <f>IF(N111="","",IF(Q111="Yes","❌ Disc",IF(P111="No","⚠ Missing",IF(S111="Yes","✓ OK","⚠ Check"))))</f>
        <v/>
      </c>
      <c r="W111" s="65" t="n">
        <v>46248</v>
      </c>
      <c r="X111" s="30" t="inlineStr">
        <is>
          <t>Sunil CR</t>
        </is>
      </c>
      <c r="Y111" s="30" t="inlineStr">
        <is>
          <t>Yes</t>
        </is>
      </c>
      <c r="Z111" s="30" t="n"/>
      <c r="AA111" s="30" t="inlineStr">
        <is>
          <t>Good finish</t>
        </is>
      </c>
      <c r="AB111" s="30" t="inlineStr">
        <is>
          <t>Yes</t>
        </is>
      </c>
      <c r="AC111" s="27" t="n"/>
      <c r="AD111" s="31" t="inlineStr">
        <is>
          <t>No</t>
        </is>
      </c>
      <c r="AE111" s="32">
        <f>IF(W111="","",IF(Z111="Yes","❌ Disc",IF(Y111="No","⚠ Missing",IF(AB111="Yes","✓ OK","⚠ Check"))))</f>
        <v/>
      </c>
      <c r="AF111" s="33" t="n"/>
      <c r="AG111" s="33" t="n"/>
      <c r="AH111" s="33" t="n"/>
      <c r="AI111" s="33" t="n"/>
      <c r="AJ111" s="33" t="n"/>
      <c r="AK111" s="33" t="n"/>
      <c r="AL111" s="27" t="n"/>
      <c r="AM111" s="34" t="n"/>
      <c r="AN111" s="35">
        <f>IF(AF111="","",IF(AI111="Yes","❌ Disc",IF(AH111="No","⚠ Missing",IF(AK111="Yes","✓ OK","⚠ Check"))))</f>
        <v/>
      </c>
      <c r="AO111" s="36" t="n"/>
      <c r="AP111" s="36" t="n"/>
      <c r="AQ111" s="36" t="n"/>
      <c r="AR111" s="36" t="n"/>
      <c r="AS111" s="36" t="n"/>
      <c r="AT111" s="36" t="n"/>
      <c r="AU111" s="27" t="n"/>
      <c r="AV111" s="37" t="n"/>
      <c r="AW111" s="38">
        <f>IF(AO111="","",IF(AR111="Yes","❌ Disc",IF(AQ111="No","⚠ Missing",IF(AT111="Yes","✓ OK","⚠ Check"))))</f>
        <v/>
      </c>
    </row>
    <row r="112" ht="18" customHeight="1" s="46">
      <c r="A112" s="39" t="n">
        <v>116</v>
      </c>
      <c r="B112" s="40" t="inlineStr">
        <is>
          <t>BD-LAM-2024-0081</t>
        </is>
      </c>
      <c r="C112" s="41" t="inlineStr">
        <is>
          <t>Lam SL FC 1mm 2289 Carolina Rovera(Gold)</t>
        </is>
      </c>
      <c r="D112" s="39" t="inlineStr">
        <is>
          <t>Stylam</t>
        </is>
      </c>
      <c r="E112" s="43" t="n">
        <v>46125</v>
      </c>
      <c r="F112" s="26" t="inlineStr">
        <is>
          <t>Sunil CR</t>
        </is>
      </c>
      <c r="G112" s="26" t="inlineStr">
        <is>
          <t>Yes</t>
        </is>
      </c>
      <c r="H112" s="26" t="inlineStr">
        <is>
          <t>No</t>
        </is>
      </c>
      <c r="I112" s="26" t="inlineStr">
        <is>
          <t>Good finish</t>
        </is>
      </c>
      <c r="J112" s="26" t="inlineStr">
        <is>
          <t>Yes</t>
        </is>
      </c>
      <c r="K112" s="27" t="n"/>
      <c r="L112" s="28" t="inlineStr">
        <is>
          <t>No</t>
        </is>
      </c>
      <c r="M112" s="29">
        <f>IF(E112="","",IF(H112="Yes","❌ Disc",IF(G112="No","⚠ Missing",IF(J112="Yes","✓ OK","⚠ Check"))))</f>
        <v/>
      </c>
      <c r="N112" s="43" t="n">
        <v>46193</v>
      </c>
      <c r="O112" s="26" t="inlineStr">
        <is>
          <t>Sunil CR</t>
        </is>
      </c>
      <c r="P112" s="26" t="inlineStr">
        <is>
          <t>Yes</t>
        </is>
      </c>
      <c r="Q112" s="26" t="inlineStr">
        <is>
          <t>No</t>
        </is>
      </c>
      <c r="R112" s="26" t="inlineStr">
        <is>
          <t>Good finish</t>
        </is>
      </c>
      <c r="S112" s="26" t="inlineStr">
        <is>
          <t>Yes</t>
        </is>
      </c>
      <c r="T112" s="27" t="n"/>
      <c r="U112" s="28" t="inlineStr">
        <is>
          <t>No</t>
        </is>
      </c>
      <c r="V112" s="29">
        <f>IF(N112="","",IF(Q112="Yes","❌ Disc",IF(P112="No","⚠ Missing",IF(S112="Yes","✓ OK","⚠ Check"))))</f>
        <v/>
      </c>
      <c r="W112" s="65" t="n">
        <v>46248</v>
      </c>
      <c r="X112" s="30" t="inlineStr">
        <is>
          <t>Sunil CR</t>
        </is>
      </c>
      <c r="Y112" s="30" t="inlineStr">
        <is>
          <t>No</t>
        </is>
      </c>
      <c r="Z112" s="30" t="inlineStr">
        <is>
          <t>Yes</t>
        </is>
      </c>
      <c r="AA112" s="30" t="inlineStr">
        <is>
          <t>Discontinued</t>
        </is>
      </c>
      <c r="AB112" s="30" t="inlineStr">
        <is>
          <t>No</t>
        </is>
      </c>
      <c r="AC112" s="27" t="n"/>
      <c r="AD112" s="31" t="inlineStr">
        <is>
          <t>No</t>
        </is>
      </c>
      <c r="AE112" s="32">
        <f>IF(W112="","",IF(Z112="Yes","❌ Disc",IF(Y112="No","⚠ Missing",IF(AB112="Yes","✓ OK","⚠ Check"))))</f>
        <v/>
      </c>
      <c r="AF112" s="33" t="n"/>
      <c r="AG112" s="33" t="n"/>
      <c r="AH112" s="33" t="n"/>
      <c r="AI112" s="33" t="n"/>
      <c r="AJ112" s="33" t="n"/>
      <c r="AK112" s="33" t="n"/>
      <c r="AL112" s="27" t="n"/>
      <c r="AM112" s="34" t="n"/>
      <c r="AN112" s="35">
        <f>IF(AF112="","",IF(AI112="Yes","❌ Disc",IF(AH112="No","⚠ Missing",IF(AK112="Yes","✓ OK","⚠ Check"))))</f>
        <v/>
      </c>
      <c r="AO112" s="36" t="n"/>
      <c r="AP112" s="36" t="n"/>
      <c r="AQ112" s="36" t="n"/>
      <c r="AR112" s="36" t="n"/>
      <c r="AS112" s="36" t="n"/>
      <c r="AT112" s="36" t="n"/>
      <c r="AU112" s="27" t="n"/>
      <c r="AV112" s="37" t="n"/>
      <c r="AW112" s="38">
        <f>IF(AO112="","",IF(AR112="Yes","❌ Disc",IF(AQ112="No","⚠ Missing",IF(AT112="Yes","✓ OK","⚠ Check"))))</f>
        <v/>
      </c>
    </row>
    <row r="113" ht="18" customHeight="1" s="46">
      <c r="A113" s="23" t="n">
        <v>117</v>
      </c>
      <c r="B113" s="24" t="inlineStr">
        <is>
          <t>BD-LAM-2023-0131</t>
        </is>
      </c>
      <c r="C113" s="25" t="inlineStr">
        <is>
          <t>Lam SL FS 1mm 1014 City Shadow(Gold)</t>
        </is>
      </c>
      <c r="D113" s="23" t="inlineStr">
        <is>
          <t>Stylam</t>
        </is>
      </c>
      <c r="E113" s="43" t="n">
        <v>46125</v>
      </c>
      <c r="F113" s="26" t="inlineStr">
        <is>
          <t>Sunil CR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Good finish</t>
        </is>
      </c>
      <c r="J113" s="26" t="inlineStr">
        <is>
          <t>Yes</t>
        </is>
      </c>
      <c r="K113" s="27" t="inlineStr">
        <is>
          <t>Available in small book</t>
        </is>
      </c>
      <c r="L113" s="28" t="inlineStr">
        <is>
          <t>No</t>
        </is>
      </c>
      <c r="M113" s="29">
        <f>IF(E113="","",IF(H113="Yes","❌ Disc",IF(G113="No","⚠ Missing",IF(J113="Yes","✓ OK","⚠ Check"))))</f>
        <v/>
      </c>
      <c r="N113" s="43" t="n">
        <v>46193</v>
      </c>
      <c r="O113" s="26" t="inlineStr">
        <is>
          <t>Sunil CR</t>
        </is>
      </c>
      <c r="P113" s="26" t="inlineStr">
        <is>
          <t>No</t>
        </is>
      </c>
      <c r="Q113" s="26" t="inlineStr">
        <is>
          <t>Yes</t>
        </is>
      </c>
      <c r="R113" s="26" t="inlineStr">
        <is>
          <t>Discontinued</t>
        </is>
      </c>
      <c r="S113" s="26" t="inlineStr">
        <is>
          <t>No</t>
        </is>
      </c>
      <c r="T113" s="27" t="n"/>
      <c r="U113" s="28" t="inlineStr">
        <is>
          <t>No</t>
        </is>
      </c>
      <c r="V113" s="29">
        <f>IF(N113="","",IF(Q113="Yes","❌ Disc",IF(P113="No","⚠ Missing",IF(S113="Yes","✓ OK","⚠ Check"))))</f>
        <v/>
      </c>
      <c r="W113" s="65" t="n">
        <v>46248</v>
      </c>
      <c r="X113" s="30" t="inlineStr">
        <is>
          <t>Sunil CR</t>
        </is>
      </c>
      <c r="Y113" s="30" t="inlineStr">
        <is>
          <t>No</t>
        </is>
      </c>
      <c r="Z113" s="30" t="inlineStr">
        <is>
          <t>Yes</t>
        </is>
      </c>
      <c r="AA113" s="30" t="inlineStr">
        <is>
          <t>Discontinued</t>
        </is>
      </c>
      <c r="AB113" s="30" t="inlineStr">
        <is>
          <t>No</t>
        </is>
      </c>
      <c r="AC113" s="27" t="n"/>
      <c r="AD113" s="31" t="inlineStr">
        <is>
          <t>No</t>
        </is>
      </c>
      <c r="AE113" s="32">
        <f>IF(W113="","",IF(Z113="Yes","❌ Disc",IF(Y113="No","⚠ Missing",IF(AB113="Yes","✓ OK","⚠ Check"))))</f>
        <v/>
      </c>
      <c r="AF113" s="33" t="n"/>
      <c r="AG113" s="33" t="n"/>
      <c r="AH113" s="33" t="n"/>
      <c r="AI113" s="33" t="n"/>
      <c r="AJ113" s="33" t="n"/>
      <c r="AK113" s="33" t="n"/>
      <c r="AL113" s="27" t="n"/>
      <c r="AM113" s="34" t="n"/>
      <c r="AN113" s="35">
        <f>IF(AF113="","",IF(AI113="Yes","❌ Disc",IF(AH113="No","⚠ Missing",IF(AK113="Yes","✓ OK","⚠ Check"))))</f>
        <v/>
      </c>
      <c r="AO113" s="36" t="n"/>
      <c r="AP113" s="36" t="n"/>
      <c r="AQ113" s="36" t="n"/>
      <c r="AR113" s="36" t="n"/>
      <c r="AS113" s="36" t="n"/>
      <c r="AT113" s="36" t="n"/>
      <c r="AU113" s="27" t="n"/>
      <c r="AV113" s="37" t="n"/>
      <c r="AW113" s="38">
        <f>IF(AO113="","",IF(AR113="Yes","❌ Disc",IF(AQ113="No","⚠ Missing",IF(AT113="Yes","✓ OK","⚠ Check"))))</f>
        <v/>
      </c>
    </row>
    <row r="114" ht="18" customHeight="1" s="46">
      <c r="A114" s="39" t="n">
        <v>118</v>
      </c>
      <c r="B114" s="40" t="inlineStr">
        <is>
          <t>BD-LAM-2023-0080</t>
        </is>
      </c>
      <c r="C114" s="41" t="inlineStr">
        <is>
          <t>Lam SL FS 1mm 1085 Absolute Peach(Gold)</t>
        </is>
      </c>
      <c r="D114" s="39" t="inlineStr">
        <is>
          <t>Stylam</t>
        </is>
      </c>
      <c r="E114" s="43" t="n">
        <v>46125</v>
      </c>
      <c r="F114" s="26" t="inlineStr">
        <is>
          <t>Sunil CR</t>
        </is>
      </c>
      <c r="G114" s="26" t="inlineStr">
        <is>
          <t>Yes</t>
        </is>
      </c>
      <c r="H114" s="26" t="inlineStr">
        <is>
          <t>No</t>
        </is>
      </c>
      <c r="I114" s="26" t="inlineStr">
        <is>
          <t>Good finish</t>
        </is>
      </c>
      <c r="J114" s="26" t="inlineStr">
        <is>
          <t>Yes</t>
        </is>
      </c>
      <c r="K114" s="27" t="n"/>
      <c r="L114" s="28" t="inlineStr">
        <is>
          <t>No</t>
        </is>
      </c>
      <c r="M114" s="29">
        <f>IF(E114="","",IF(H114="Yes","❌ Disc",IF(G114="No","⚠ Missing",IF(J114="Yes","✓ OK","⚠ Check"))))</f>
        <v/>
      </c>
      <c r="N114" s="43" t="n">
        <v>46193</v>
      </c>
      <c r="O114" s="26" t="inlineStr">
        <is>
          <t>Sunil CR</t>
        </is>
      </c>
      <c r="P114" s="26" t="inlineStr">
        <is>
          <t>No</t>
        </is>
      </c>
      <c r="Q114" s="26" t="inlineStr">
        <is>
          <t>Yes</t>
        </is>
      </c>
      <c r="R114" s="26" t="inlineStr">
        <is>
          <t>Discontinued</t>
        </is>
      </c>
      <c r="S114" s="26" t="inlineStr">
        <is>
          <t>No</t>
        </is>
      </c>
      <c r="T114" s="27" t="n"/>
      <c r="U114" s="28" t="inlineStr">
        <is>
          <t>No</t>
        </is>
      </c>
      <c r="V114" s="29">
        <f>IF(N114="","",IF(Q114="Yes","❌ Disc",IF(P114="No","⚠ Missing",IF(S114="Yes","✓ OK","⚠ Check"))))</f>
        <v/>
      </c>
      <c r="W114" s="65" t="n">
        <v>46248</v>
      </c>
      <c r="X114" s="30" t="inlineStr">
        <is>
          <t>Sunil CR</t>
        </is>
      </c>
      <c r="Y114" s="30" t="inlineStr">
        <is>
          <t>No</t>
        </is>
      </c>
      <c r="Z114" s="30" t="inlineStr">
        <is>
          <t>Yes</t>
        </is>
      </c>
      <c r="AA114" s="30" t="inlineStr">
        <is>
          <t>Discontinued</t>
        </is>
      </c>
      <c r="AB114" s="30" t="inlineStr">
        <is>
          <t>No</t>
        </is>
      </c>
      <c r="AC114" s="27" t="n"/>
      <c r="AD114" s="31" t="inlineStr">
        <is>
          <t>No</t>
        </is>
      </c>
      <c r="AE114" s="32">
        <f>IF(W114="","",IF(Z114="Yes","❌ Disc",IF(Y114="No","⚠ Missing",IF(AB114="Yes","✓ OK","⚠ Check"))))</f>
        <v/>
      </c>
      <c r="AF114" s="33" t="n"/>
      <c r="AG114" s="33" t="n"/>
      <c r="AH114" s="33" t="n"/>
      <c r="AI114" s="33" t="n"/>
      <c r="AJ114" s="33" t="n"/>
      <c r="AK114" s="33" t="n"/>
      <c r="AL114" s="27" t="n"/>
      <c r="AM114" s="34" t="n"/>
      <c r="AN114" s="35">
        <f>IF(AF114="","",IF(AI114="Yes","❌ Disc",IF(AH114="No","⚠ Missing",IF(AK114="Yes","✓ OK","⚠ Check"))))</f>
        <v/>
      </c>
      <c r="AO114" s="36" t="n"/>
      <c r="AP114" s="36" t="n"/>
      <c r="AQ114" s="36" t="n"/>
      <c r="AR114" s="36" t="n"/>
      <c r="AS114" s="36" t="n"/>
      <c r="AT114" s="36" t="n"/>
      <c r="AU114" s="27" t="n"/>
      <c r="AV114" s="37" t="n"/>
      <c r="AW114" s="38">
        <f>IF(AO114="","",IF(AR114="Yes","❌ Disc",IF(AQ114="No","⚠ Missing",IF(AT114="Yes","✓ OK","⚠ Check"))))</f>
        <v/>
      </c>
    </row>
    <row r="115" ht="18" customHeight="1" s="46">
      <c r="A115" s="23" t="n">
        <v>119</v>
      </c>
      <c r="B115" s="24" t="inlineStr">
        <is>
          <t>BD-LAM-2024-0050</t>
        </is>
      </c>
      <c r="C115" s="25" t="inlineStr">
        <is>
          <t>Lam SL Gpro+ 1mm 1709 Avio Blue(Platinum)</t>
        </is>
      </c>
      <c r="D115" s="23" t="inlineStr">
        <is>
          <t>Stylam</t>
        </is>
      </c>
      <c r="E115" s="43" t="n">
        <v>46125</v>
      </c>
      <c r="F115" s="26" t="inlineStr">
        <is>
          <t>Sunil CR</t>
        </is>
      </c>
      <c r="G115" s="26" t="inlineStr">
        <is>
          <t>Yes</t>
        </is>
      </c>
      <c r="H115" s="26" t="inlineStr">
        <is>
          <t>No</t>
        </is>
      </c>
      <c r="I115" s="26" t="inlineStr">
        <is>
          <t>Good finish</t>
        </is>
      </c>
      <c r="J115" s="26" t="inlineStr">
        <is>
          <t>Yes</t>
        </is>
      </c>
      <c r="K115" s="27" t="n"/>
      <c r="L115" s="28" t="inlineStr">
        <is>
          <t>No</t>
        </is>
      </c>
      <c r="M115" s="29">
        <f>IF(E115="","",IF(H115="Yes","❌ Disc",IF(G115="No","⚠ Missing",IF(J115="Yes","✓ OK","⚠ Check"))))</f>
        <v/>
      </c>
      <c r="N115" s="43" t="n">
        <v>46193</v>
      </c>
      <c r="O115" s="26" t="inlineStr">
        <is>
          <t>Sunil CR</t>
        </is>
      </c>
      <c r="P115" s="26" t="inlineStr">
        <is>
          <t>Yes</t>
        </is>
      </c>
      <c r="Q115" s="26" t="inlineStr">
        <is>
          <t>No</t>
        </is>
      </c>
      <c r="R115" s="26" t="inlineStr">
        <is>
          <t>Good finish</t>
        </is>
      </c>
      <c r="S115" s="26" t="inlineStr">
        <is>
          <t>Yes</t>
        </is>
      </c>
      <c r="T115" s="27" t="n"/>
      <c r="U115" s="28" t="inlineStr">
        <is>
          <t>No</t>
        </is>
      </c>
      <c r="V115" s="29">
        <f>IF(N115="","",IF(Q115="Yes","❌ Disc",IF(P115="No","⚠ Missing",IF(S115="Yes","✓ OK","⚠ Check"))))</f>
        <v/>
      </c>
      <c r="W115" s="65" t="n">
        <v>46248</v>
      </c>
      <c r="X115" s="30" t="inlineStr">
        <is>
          <t>Sunil CR</t>
        </is>
      </c>
      <c r="Y115" s="30" t="inlineStr">
        <is>
          <t>Yes</t>
        </is>
      </c>
      <c r="Z115" s="30" t="n"/>
      <c r="AA115" s="30" t="inlineStr">
        <is>
          <t>Good finish</t>
        </is>
      </c>
      <c r="AB115" s="30" t="inlineStr">
        <is>
          <t>Yes</t>
        </is>
      </c>
      <c r="AC115" s="27" t="n"/>
      <c r="AD115" s="31" t="inlineStr">
        <is>
          <t>No</t>
        </is>
      </c>
      <c r="AE115" s="32">
        <f>IF(W115="","",IF(Z115="Yes","❌ Disc",IF(Y115="No","⚠ Missing",IF(AB115="Yes","✓ OK","⚠ Check"))))</f>
        <v/>
      </c>
      <c r="AF115" s="33" t="n"/>
      <c r="AG115" s="33" t="n"/>
      <c r="AH115" s="33" t="n"/>
      <c r="AI115" s="33" t="n"/>
      <c r="AJ115" s="33" t="n"/>
      <c r="AK115" s="33" t="n"/>
      <c r="AL115" s="27" t="n"/>
      <c r="AM115" s="34" t="n"/>
      <c r="AN115" s="35">
        <f>IF(AF115="","",IF(AI115="Yes","❌ Disc",IF(AH115="No","⚠ Missing",IF(AK115="Yes","✓ OK","⚠ Check"))))</f>
        <v/>
      </c>
      <c r="AO115" s="36" t="n"/>
      <c r="AP115" s="36" t="n"/>
      <c r="AQ115" s="36" t="n"/>
      <c r="AR115" s="36" t="n"/>
      <c r="AS115" s="36" t="n"/>
      <c r="AT115" s="36" t="n"/>
      <c r="AU115" s="27" t="n"/>
      <c r="AV115" s="37" t="n"/>
      <c r="AW115" s="38">
        <f>IF(AO115="","",IF(AR115="Yes","❌ Disc",IF(AQ115="No","⚠ Missing",IF(AT115="Yes","✓ OK","⚠ Check"))))</f>
        <v/>
      </c>
    </row>
    <row r="116" ht="18" customHeight="1" s="46">
      <c r="A116" s="39" t="n">
        <v>120</v>
      </c>
      <c r="B116" s="40" t="inlineStr">
        <is>
          <t>BD-LAM-2024-0051</t>
        </is>
      </c>
      <c r="C116" s="41" t="inlineStr">
        <is>
          <t>Lam SL Gpro+ 1mm 1771 Velletri Blue(Platinum)</t>
        </is>
      </c>
      <c r="D116" s="39" t="inlineStr">
        <is>
          <t>Stylam</t>
        </is>
      </c>
      <c r="E116" s="43" t="n">
        <v>46125</v>
      </c>
      <c r="F116" s="26" t="inlineStr">
        <is>
          <t>Sunil CR</t>
        </is>
      </c>
      <c r="G116" s="26" t="inlineStr">
        <is>
          <t>Yes</t>
        </is>
      </c>
      <c r="H116" s="26" t="inlineStr">
        <is>
          <t>No</t>
        </is>
      </c>
      <c r="I116" s="26" t="inlineStr">
        <is>
          <t>Good finish</t>
        </is>
      </c>
      <c r="J116" s="26" t="inlineStr">
        <is>
          <t>Yes</t>
        </is>
      </c>
      <c r="K116" s="27" t="n"/>
      <c r="L116" s="28" t="inlineStr">
        <is>
          <t>No</t>
        </is>
      </c>
      <c r="M116" s="29">
        <f>IF(E116="","",IF(H116="Yes","❌ Disc",IF(G116="No","⚠ Missing",IF(J116="Yes","✓ OK","⚠ Check"))))</f>
        <v/>
      </c>
      <c r="N116" s="43" t="n">
        <v>46193</v>
      </c>
      <c r="O116" s="26" t="inlineStr">
        <is>
          <t>Sunil CR</t>
        </is>
      </c>
      <c r="P116" s="26" t="inlineStr">
        <is>
          <t>Yes</t>
        </is>
      </c>
      <c r="Q116" s="26" t="inlineStr">
        <is>
          <t>No</t>
        </is>
      </c>
      <c r="R116" s="26" t="inlineStr">
        <is>
          <t>Good finish</t>
        </is>
      </c>
      <c r="S116" s="26" t="inlineStr">
        <is>
          <t>Yes</t>
        </is>
      </c>
      <c r="T116" s="27" t="n"/>
      <c r="U116" s="28" t="inlineStr">
        <is>
          <t>No</t>
        </is>
      </c>
      <c r="V116" s="29">
        <f>IF(N116="","",IF(Q116="Yes","❌ Disc",IF(P116="No","⚠ Missing",IF(S116="Yes","✓ OK","⚠ Check"))))</f>
        <v/>
      </c>
      <c r="W116" s="65" t="n">
        <v>46248</v>
      </c>
      <c r="X116" s="30" t="inlineStr">
        <is>
          <t>Sunil CR</t>
        </is>
      </c>
      <c r="Y116" s="30" t="inlineStr">
        <is>
          <t>Yes</t>
        </is>
      </c>
      <c r="Z116" s="30" t="n"/>
      <c r="AA116" s="30" t="inlineStr">
        <is>
          <t>Good finish</t>
        </is>
      </c>
      <c r="AB116" s="30" t="inlineStr">
        <is>
          <t>Yes</t>
        </is>
      </c>
      <c r="AC116" s="27" t="n"/>
      <c r="AD116" s="31" t="inlineStr">
        <is>
          <t>No</t>
        </is>
      </c>
      <c r="AE116" s="32">
        <f>IF(W116="","",IF(Z116="Yes","❌ Disc",IF(Y116="No","⚠ Missing",IF(AB116="Yes","✓ OK","⚠ Check"))))</f>
        <v/>
      </c>
      <c r="AF116" s="33" t="n"/>
      <c r="AG116" s="33" t="n"/>
      <c r="AH116" s="33" t="n"/>
      <c r="AI116" s="33" t="n"/>
      <c r="AJ116" s="33" t="n"/>
      <c r="AK116" s="33" t="n"/>
      <c r="AL116" s="27" t="n"/>
      <c r="AM116" s="34" t="n"/>
      <c r="AN116" s="35">
        <f>IF(AF116="","",IF(AI116="Yes","❌ Disc",IF(AH116="No","⚠ Missing",IF(AK116="Yes","✓ OK","⚠ Check"))))</f>
        <v/>
      </c>
      <c r="AO116" s="36" t="n"/>
      <c r="AP116" s="36" t="n"/>
      <c r="AQ116" s="36" t="n"/>
      <c r="AR116" s="36" t="n"/>
      <c r="AS116" s="36" t="n"/>
      <c r="AT116" s="36" t="n"/>
      <c r="AU116" s="27" t="n"/>
      <c r="AV116" s="37" t="n"/>
      <c r="AW116" s="38">
        <f>IF(AO116="","",IF(AR116="Yes","❌ Disc",IF(AQ116="No","⚠ Missing",IF(AT116="Yes","✓ OK","⚠ Check"))))</f>
        <v/>
      </c>
    </row>
    <row r="117" ht="18" customHeight="1" s="46">
      <c r="A117" s="23" t="n">
        <v>121</v>
      </c>
      <c r="B117" s="24" t="inlineStr">
        <is>
          <t>BD-LAM-2024-0100</t>
        </is>
      </c>
      <c r="C117" s="25" t="inlineStr">
        <is>
          <t>LAM SL GW 1mm 2728 Calabo Walnut(Gold)</t>
        </is>
      </c>
      <c r="D117" s="23" t="inlineStr">
        <is>
          <t>Stylam</t>
        </is>
      </c>
      <c r="E117" s="43" t="n">
        <v>46125</v>
      </c>
      <c r="F117" s="26" t="inlineStr">
        <is>
          <t>Sunil CR</t>
        </is>
      </c>
      <c r="G117" s="26" t="inlineStr">
        <is>
          <t>Yes</t>
        </is>
      </c>
      <c r="H117" s="26" t="inlineStr">
        <is>
          <t>No</t>
        </is>
      </c>
      <c r="I117" s="26" t="inlineStr">
        <is>
          <t>Good finish</t>
        </is>
      </c>
      <c r="J117" s="26" t="inlineStr">
        <is>
          <t>Yes</t>
        </is>
      </c>
      <c r="K117" s="27" t="n"/>
      <c r="L117" s="28" t="inlineStr">
        <is>
          <t>No</t>
        </is>
      </c>
      <c r="M117" s="29">
        <f>IF(E117="","",IF(H117="Yes","❌ Disc",IF(G117="No","⚠ Missing",IF(J117="Yes","✓ OK","⚠ Check"))))</f>
        <v/>
      </c>
      <c r="N117" s="43" t="n">
        <v>46193</v>
      </c>
      <c r="O117" s="26" t="inlineStr">
        <is>
          <t>Sunil CR</t>
        </is>
      </c>
      <c r="P117" s="26" t="inlineStr">
        <is>
          <t>Yes</t>
        </is>
      </c>
      <c r="Q117" s="26" t="inlineStr">
        <is>
          <t>No</t>
        </is>
      </c>
      <c r="R117" s="26" t="inlineStr">
        <is>
          <t>Good finish</t>
        </is>
      </c>
      <c r="S117" s="26" t="inlineStr">
        <is>
          <t>Yes</t>
        </is>
      </c>
      <c r="T117" s="27" t="n"/>
      <c r="U117" s="28" t="inlineStr">
        <is>
          <t>No</t>
        </is>
      </c>
      <c r="V117" s="29">
        <f>IF(N117="","",IF(Q117="Yes","❌ Disc",IF(P117="No","⚠ Missing",IF(S117="Yes","✓ OK","⚠ Check"))))</f>
        <v/>
      </c>
      <c r="W117" s="65" t="n">
        <v>46248</v>
      </c>
      <c r="X117" s="30" t="inlineStr">
        <is>
          <t>Sunil CR</t>
        </is>
      </c>
      <c r="Y117" s="30" t="inlineStr">
        <is>
          <t>Yes</t>
        </is>
      </c>
      <c r="Z117" s="30" t="n"/>
      <c r="AA117" s="30" t="inlineStr">
        <is>
          <t>Good finish</t>
        </is>
      </c>
      <c r="AB117" s="30" t="inlineStr">
        <is>
          <t>Yes</t>
        </is>
      </c>
      <c r="AC117" s="27" t="n"/>
      <c r="AD117" s="31" t="inlineStr">
        <is>
          <t>No</t>
        </is>
      </c>
      <c r="AE117" s="32">
        <f>IF(W117="","",IF(Z117="Yes","❌ Disc",IF(Y117="No","⚠ Missing",IF(AB117="Yes","✓ OK","⚠ Check"))))</f>
        <v/>
      </c>
      <c r="AF117" s="33" t="n"/>
      <c r="AG117" s="33" t="n"/>
      <c r="AH117" s="33" t="n"/>
      <c r="AI117" s="33" t="n"/>
      <c r="AJ117" s="33" t="n"/>
      <c r="AK117" s="33" t="n"/>
      <c r="AL117" s="27" t="n"/>
      <c r="AM117" s="34" t="n"/>
      <c r="AN117" s="35">
        <f>IF(AF117="","",IF(AI117="Yes","❌ Disc",IF(AH117="No","⚠ Missing",IF(AK117="Yes","✓ OK","⚠ Check"))))</f>
        <v/>
      </c>
      <c r="AO117" s="36" t="n"/>
      <c r="AP117" s="36" t="n"/>
      <c r="AQ117" s="36" t="n"/>
      <c r="AR117" s="36" t="n"/>
      <c r="AS117" s="36" t="n"/>
      <c r="AT117" s="36" t="n"/>
      <c r="AU117" s="27" t="n"/>
      <c r="AV117" s="37" t="n"/>
      <c r="AW117" s="38">
        <f>IF(AO117="","",IF(AR117="Yes","❌ Disc",IF(AQ117="No","⚠ Missing",IF(AT117="Yes","✓ OK","⚠ Check"))))</f>
        <v/>
      </c>
    </row>
    <row r="118" ht="18" customHeight="1" s="46">
      <c r="A118" s="39" t="n">
        <v>122</v>
      </c>
      <c r="B118" s="40" t="inlineStr">
        <is>
          <t>BD-LAM-2023-0088</t>
        </is>
      </c>
      <c r="C118" s="41" t="inlineStr">
        <is>
          <t>Lam SL GW 1mm 2901 Amberes Oak(Gold)</t>
        </is>
      </c>
      <c r="D118" s="39" t="inlineStr">
        <is>
          <t>Stylam</t>
        </is>
      </c>
      <c r="E118" s="43" t="n">
        <v>46125</v>
      </c>
      <c r="F118" s="26" t="inlineStr">
        <is>
          <t>Sunil CR</t>
        </is>
      </c>
      <c r="G118" s="26" t="inlineStr">
        <is>
          <t>Yes</t>
        </is>
      </c>
      <c r="H118" s="26" t="inlineStr">
        <is>
          <t>No</t>
        </is>
      </c>
      <c r="I118" s="26" t="inlineStr">
        <is>
          <t>Good finish</t>
        </is>
      </c>
      <c r="J118" s="26" t="inlineStr">
        <is>
          <t>Yes</t>
        </is>
      </c>
      <c r="K118" s="27" t="inlineStr">
        <is>
          <t>Available in small book</t>
        </is>
      </c>
      <c r="L118" s="28" t="inlineStr">
        <is>
          <t>No</t>
        </is>
      </c>
      <c r="M118" s="29">
        <f>IF(E118="","",IF(H118="Yes","❌ Disc",IF(G118="No","⚠ Missing",IF(J118="Yes","✓ OK","⚠ Check"))))</f>
        <v/>
      </c>
      <c r="N118" s="43" t="n">
        <v>46193</v>
      </c>
      <c r="O118" s="26" t="inlineStr">
        <is>
          <t>Sunil CR</t>
        </is>
      </c>
      <c r="P118" s="26" t="inlineStr">
        <is>
          <t>Yes</t>
        </is>
      </c>
      <c r="Q118" s="26" t="inlineStr">
        <is>
          <t>No</t>
        </is>
      </c>
      <c r="R118" s="26" t="inlineStr">
        <is>
          <t>Good finish</t>
        </is>
      </c>
      <c r="S118" s="26" t="inlineStr">
        <is>
          <t>Yes</t>
        </is>
      </c>
      <c r="T118" s="27" t="inlineStr">
        <is>
          <t>Available in small book</t>
        </is>
      </c>
      <c r="U118" s="28" t="inlineStr">
        <is>
          <t>No</t>
        </is>
      </c>
      <c r="V118" s="29">
        <f>IF(N118="","",IF(Q118="Yes","❌ Disc",IF(P118="No","⚠ Missing",IF(S118="Yes","✓ OK","⚠ Check"))))</f>
        <v/>
      </c>
      <c r="W118" s="65" t="n">
        <v>46248</v>
      </c>
      <c r="X118" s="30" t="inlineStr">
        <is>
          <t>Sunil CR</t>
        </is>
      </c>
      <c r="Y118" s="30" t="inlineStr">
        <is>
          <t>No</t>
        </is>
      </c>
      <c r="Z118" s="30" t="inlineStr">
        <is>
          <t>Yes</t>
        </is>
      </c>
      <c r="AA118" s="30" t="inlineStr">
        <is>
          <t>Discontinued</t>
        </is>
      </c>
      <c r="AB118" s="30" t="inlineStr">
        <is>
          <t>No</t>
        </is>
      </c>
      <c r="AC118" s="27" t="inlineStr">
        <is>
          <t>Available in small book</t>
        </is>
      </c>
      <c r="AD118" s="31" t="inlineStr">
        <is>
          <t>No</t>
        </is>
      </c>
      <c r="AE118" s="32">
        <f>IF(W118="","",IF(Z118="Yes","❌ Disc",IF(Y118="No","⚠ Missing",IF(AB118="Yes","✓ OK","⚠ Check"))))</f>
        <v/>
      </c>
      <c r="AF118" s="33" t="n"/>
      <c r="AG118" s="33" t="n"/>
      <c r="AH118" s="33" t="n"/>
      <c r="AI118" s="33" t="n"/>
      <c r="AJ118" s="33" t="n"/>
      <c r="AK118" s="33" t="n"/>
      <c r="AL118" s="27" t="n"/>
      <c r="AM118" s="34" t="n"/>
      <c r="AN118" s="35">
        <f>IF(AF118="","",IF(AI118="Yes","❌ Disc",IF(AH118="No","⚠ Missing",IF(AK118="Yes","✓ OK","⚠ Check"))))</f>
        <v/>
      </c>
      <c r="AO118" s="36" t="n"/>
      <c r="AP118" s="36" t="n"/>
      <c r="AQ118" s="36" t="n"/>
      <c r="AR118" s="36" t="n"/>
      <c r="AS118" s="36" t="n"/>
      <c r="AT118" s="36" t="n"/>
      <c r="AU118" s="27" t="n"/>
      <c r="AV118" s="37" t="n"/>
      <c r="AW118" s="38">
        <f>IF(AO118="","",IF(AR118="Yes","❌ Disc",IF(AQ118="No","⚠ Missing",IF(AT118="Yes","✓ OK","⚠ Check"))))</f>
        <v/>
      </c>
    </row>
    <row r="119" ht="18" customHeight="1" s="46">
      <c r="A119" s="23" t="n">
        <v>123</v>
      </c>
      <c r="B119" s="24" t="inlineStr">
        <is>
          <t>BD-LAM-2023-0118</t>
        </is>
      </c>
      <c r="C119" s="25" t="inlineStr">
        <is>
          <t>Lam SL GW 1mm 7655 Brown Tokaj(Gold)</t>
        </is>
      </c>
      <c r="D119" s="23" t="inlineStr">
        <is>
          <t>Stylam</t>
        </is>
      </c>
      <c r="E119" s="43" t="n">
        <v>46125</v>
      </c>
      <c r="F119" s="26" t="inlineStr">
        <is>
          <t>Sunil CR</t>
        </is>
      </c>
      <c r="G119" s="26" t="inlineStr">
        <is>
          <t>Yes</t>
        </is>
      </c>
      <c r="H119" s="26" t="inlineStr">
        <is>
          <t>No</t>
        </is>
      </c>
      <c r="I119" s="26" t="inlineStr">
        <is>
          <t>Good finish</t>
        </is>
      </c>
      <c r="J119" s="26" t="inlineStr">
        <is>
          <t>Yes</t>
        </is>
      </c>
      <c r="K119" s="27" t="inlineStr">
        <is>
          <t>Available in small book</t>
        </is>
      </c>
      <c r="L119" s="28" t="inlineStr">
        <is>
          <t>No</t>
        </is>
      </c>
      <c r="M119" s="29">
        <f>IF(E119="","",IF(H119="Yes","❌ Disc",IF(G119="No","⚠ Missing",IF(J119="Yes","✓ OK","⚠ Check"))))</f>
        <v/>
      </c>
      <c r="N119" s="43" t="n">
        <v>46193</v>
      </c>
      <c r="O119" s="26" t="inlineStr">
        <is>
          <t>Sunil CR</t>
        </is>
      </c>
      <c r="P119" s="26" t="inlineStr">
        <is>
          <t>Yes</t>
        </is>
      </c>
      <c r="Q119" s="26" t="inlineStr">
        <is>
          <t>No</t>
        </is>
      </c>
      <c r="R119" s="26" t="inlineStr">
        <is>
          <t>Good finish</t>
        </is>
      </c>
      <c r="S119" s="26" t="inlineStr">
        <is>
          <t>Yes</t>
        </is>
      </c>
      <c r="T119" s="27" t="inlineStr">
        <is>
          <t>Available in small book</t>
        </is>
      </c>
      <c r="U119" s="28" t="inlineStr">
        <is>
          <t>No</t>
        </is>
      </c>
      <c r="V119" s="29">
        <f>IF(N119="","",IF(Q119="Yes","❌ Disc",IF(P119="No","⚠ Missing",IF(S119="Yes","✓ OK","⚠ Check"))))</f>
        <v/>
      </c>
      <c r="W119" s="65" t="n">
        <v>46248</v>
      </c>
      <c r="X119" s="30" t="inlineStr">
        <is>
          <t>Sunil CR</t>
        </is>
      </c>
      <c r="Y119" s="30" t="inlineStr">
        <is>
          <t>No</t>
        </is>
      </c>
      <c r="Z119" s="30" t="inlineStr">
        <is>
          <t>Yes</t>
        </is>
      </c>
      <c r="AA119" s="30" t="inlineStr">
        <is>
          <t>Discontinued</t>
        </is>
      </c>
      <c r="AB119" s="30" t="inlineStr">
        <is>
          <t>No</t>
        </is>
      </c>
      <c r="AC119" s="27" t="inlineStr">
        <is>
          <t>Available in small book</t>
        </is>
      </c>
      <c r="AD119" s="31" t="inlineStr">
        <is>
          <t>No</t>
        </is>
      </c>
      <c r="AE119" s="32">
        <f>IF(W119="","",IF(Z119="Yes","❌ Disc",IF(Y119="No","⚠ Missing",IF(AB119="Yes","✓ OK","⚠ Check"))))</f>
        <v/>
      </c>
      <c r="AF119" s="33" t="n"/>
      <c r="AG119" s="33" t="n"/>
      <c r="AH119" s="33" t="n"/>
      <c r="AI119" s="33" t="n"/>
      <c r="AJ119" s="33" t="n"/>
      <c r="AK119" s="33" t="n"/>
      <c r="AL119" s="27" t="n"/>
      <c r="AM119" s="34" t="n"/>
      <c r="AN119" s="35">
        <f>IF(AF119="","",IF(AI119="Yes","❌ Disc",IF(AH119="No","⚠ Missing",IF(AK119="Yes","✓ OK","⚠ Check"))))</f>
        <v/>
      </c>
      <c r="AO119" s="36" t="n"/>
      <c r="AP119" s="36" t="n"/>
      <c r="AQ119" s="36" t="n"/>
      <c r="AR119" s="36" t="n"/>
      <c r="AS119" s="36" t="n"/>
      <c r="AT119" s="36" t="n"/>
      <c r="AU119" s="27" t="n"/>
      <c r="AV119" s="37" t="n"/>
      <c r="AW119" s="38">
        <f>IF(AO119="","",IF(AR119="Yes","❌ Disc",IF(AQ119="No","⚠ Missing",IF(AT119="Yes","✓ OK","⚠ Check"))))</f>
        <v/>
      </c>
    </row>
    <row r="120" ht="18" customHeight="1" s="46">
      <c r="A120" s="39" t="n">
        <v>124</v>
      </c>
      <c r="B120" s="40" t="inlineStr">
        <is>
          <t>BD-LAM-2024-0099</t>
        </is>
      </c>
      <c r="C120" s="41" t="inlineStr">
        <is>
          <t>LAM SL HC 1mm 2605 Horz Grey(Gold)</t>
        </is>
      </c>
      <c r="D120" s="39" t="inlineStr">
        <is>
          <t>Stylam</t>
        </is>
      </c>
      <c r="E120" s="43" t="n">
        <v>46125</v>
      </c>
      <c r="F120" s="26" t="inlineStr">
        <is>
          <t>Sunil CR</t>
        </is>
      </c>
      <c r="G120" s="26" t="inlineStr">
        <is>
          <t>Yes</t>
        </is>
      </c>
      <c r="H120" s="26" t="inlineStr">
        <is>
          <t>No</t>
        </is>
      </c>
      <c r="I120" s="26" t="inlineStr">
        <is>
          <t>Minor defect</t>
        </is>
      </c>
      <c r="J120" s="26" t="inlineStr">
        <is>
          <t>No</t>
        </is>
      </c>
      <c r="K120" s="27" t="inlineStr">
        <is>
          <t>Categorization sticker is missing</t>
        </is>
      </c>
      <c r="L120" s="28" t="inlineStr">
        <is>
          <t>Yes</t>
        </is>
      </c>
      <c r="M120" s="29">
        <f>IF(E120="","",IF(H120="Yes","❌ Disc",IF(G120="No","⚠ Missing",IF(J120="Yes","✓ OK","⚠ Check"))))</f>
        <v/>
      </c>
      <c r="N120" s="43" t="n">
        <v>46193</v>
      </c>
      <c r="O120" s="26" t="inlineStr">
        <is>
          <t>Sunil CR</t>
        </is>
      </c>
      <c r="P120" s="26" t="inlineStr">
        <is>
          <t>Yes</t>
        </is>
      </c>
      <c r="Q120" s="26" t="inlineStr">
        <is>
          <t>No</t>
        </is>
      </c>
      <c r="R120" s="26" t="inlineStr">
        <is>
          <t>Minor defect</t>
        </is>
      </c>
      <c r="S120" s="26" t="inlineStr">
        <is>
          <t>No</t>
        </is>
      </c>
      <c r="T120" s="27" t="inlineStr">
        <is>
          <t>Categorization sticker is missing</t>
        </is>
      </c>
      <c r="U120" s="28" t="inlineStr">
        <is>
          <t>Yes</t>
        </is>
      </c>
      <c r="V120" s="29">
        <f>IF(N120="","",IF(Q120="Yes","❌ Disc",IF(P120="No","⚠ Missing",IF(S120="Yes","✓ OK","⚠ Check"))))</f>
        <v/>
      </c>
      <c r="W120" s="65" t="n">
        <v>46248</v>
      </c>
      <c r="X120" s="30" t="inlineStr">
        <is>
          <t>Sunil CR</t>
        </is>
      </c>
      <c r="Y120" s="30" t="inlineStr">
        <is>
          <t>Yes</t>
        </is>
      </c>
      <c r="Z120" s="30" t="n"/>
      <c r="AA120" s="30" t="inlineStr">
        <is>
          <t>Minor defect</t>
        </is>
      </c>
      <c r="AB120" s="30" t="inlineStr">
        <is>
          <t>No</t>
        </is>
      </c>
      <c r="AC120" s="27" t="inlineStr">
        <is>
          <t>Categorization sticker is missing</t>
        </is>
      </c>
      <c r="AD120" s="31" t="inlineStr">
        <is>
          <t>Yes</t>
        </is>
      </c>
      <c r="AE120" s="32">
        <f>IF(W120="","",IF(Z120="Yes","❌ Disc",IF(Y120="No","⚠ Missing",IF(AB120="Yes","✓ OK","⚠ Check"))))</f>
        <v/>
      </c>
      <c r="AF120" s="33" t="n"/>
      <c r="AG120" s="33" t="n"/>
      <c r="AH120" s="33" t="n"/>
      <c r="AI120" s="33" t="n"/>
      <c r="AJ120" s="33" t="n"/>
      <c r="AK120" s="33" t="n"/>
      <c r="AL120" s="27" t="n"/>
      <c r="AM120" s="34" t="n"/>
      <c r="AN120" s="35">
        <f>IF(AF120="","",IF(AI120="Yes","❌ Disc",IF(AH120="No","⚠ Missing",IF(AK120="Yes","✓ OK","⚠ Check"))))</f>
        <v/>
      </c>
      <c r="AO120" s="36" t="n"/>
      <c r="AP120" s="36" t="n"/>
      <c r="AQ120" s="36" t="n"/>
      <c r="AR120" s="36" t="n"/>
      <c r="AS120" s="36" t="n"/>
      <c r="AT120" s="36" t="n"/>
      <c r="AU120" s="27" t="n"/>
      <c r="AV120" s="37" t="n"/>
      <c r="AW120" s="38">
        <f>IF(AO120="","",IF(AR120="Yes","❌ Disc",IF(AQ120="No","⚠ Missing",IF(AT120="Yes","✓ OK","⚠ Check"))))</f>
        <v/>
      </c>
    </row>
    <row r="121" ht="18" customHeight="1" s="46">
      <c r="A121" s="23" t="n">
        <v>125</v>
      </c>
      <c r="B121" s="24" t="inlineStr">
        <is>
          <t>BD-LAM-2023-0143</t>
        </is>
      </c>
      <c r="C121" s="25" t="inlineStr">
        <is>
          <t>Lam SL HG 1mm 1005 Creamy White(Gold)</t>
        </is>
      </c>
      <c r="D121" s="23" t="inlineStr">
        <is>
          <t>Stylam</t>
        </is>
      </c>
      <c r="E121" s="43" t="n">
        <v>46125</v>
      </c>
      <c r="F121" s="26" t="inlineStr">
        <is>
          <t>Sunil CR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Minor defect</t>
        </is>
      </c>
      <c r="J121" s="26" t="inlineStr">
        <is>
          <t>No</t>
        </is>
      </c>
      <c r="K121" s="27" t="inlineStr">
        <is>
          <t>Sticker is missing</t>
        </is>
      </c>
      <c r="L121" s="28" t="inlineStr">
        <is>
          <t>Yes</t>
        </is>
      </c>
      <c r="M121" s="29">
        <f>IF(E121="","",IF(H121="Yes","❌ Disc",IF(G121="No","⚠ Missing",IF(J121="Yes","✓ OK","⚠ Check"))))</f>
        <v/>
      </c>
      <c r="N121" s="43" t="n">
        <v>46193</v>
      </c>
      <c r="O121" s="26" t="inlineStr">
        <is>
          <t>Sunil CR</t>
        </is>
      </c>
      <c r="P121" s="26" t="inlineStr">
        <is>
          <t>Yes</t>
        </is>
      </c>
      <c r="Q121" s="26" t="inlineStr">
        <is>
          <t>No</t>
        </is>
      </c>
      <c r="R121" s="26" t="inlineStr">
        <is>
          <t>Minor defect</t>
        </is>
      </c>
      <c r="S121" s="26" t="inlineStr">
        <is>
          <t>No</t>
        </is>
      </c>
      <c r="T121" s="27" t="inlineStr">
        <is>
          <t>Sticker is missing</t>
        </is>
      </c>
      <c r="U121" s="28" t="inlineStr">
        <is>
          <t>Yes</t>
        </is>
      </c>
      <c r="V121" s="29">
        <f>IF(N121="","",IF(Q121="Yes","❌ Disc",IF(P121="No","⚠ Missing",IF(S121="Yes","✓ OK","⚠ Check"))))</f>
        <v/>
      </c>
      <c r="W121" s="65" t="n">
        <v>46248</v>
      </c>
      <c r="X121" s="30" t="inlineStr">
        <is>
          <t>Sunil CR</t>
        </is>
      </c>
      <c r="Y121" s="30" t="inlineStr">
        <is>
          <t>Yes</t>
        </is>
      </c>
      <c r="Z121" s="30" t="n"/>
      <c r="AA121" s="30" t="inlineStr">
        <is>
          <t>Minor defect</t>
        </is>
      </c>
      <c r="AB121" s="30" t="inlineStr">
        <is>
          <t>No</t>
        </is>
      </c>
      <c r="AC121" s="27" t="inlineStr">
        <is>
          <t>Sticker is missing</t>
        </is>
      </c>
      <c r="AD121" s="31" t="inlineStr">
        <is>
          <t>Yes</t>
        </is>
      </c>
      <c r="AE121" s="32">
        <f>IF(W121="","",IF(Z121="Yes","❌ Disc",IF(Y121="No","⚠ Missing",IF(AB121="Yes","✓ OK","⚠ Check"))))</f>
        <v/>
      </c>
      <c r="AF121" s="33" t="n"/>
      <c r="AG121" s="33" t="n"/>
      <c r="AH121" s="33" t="n"/>
      <c r="AI121" s="33" t="n"/>
      <c r="AJ121" s="33" t="n"/>
      <c r="AK121" s="33" t="n"/>
      <c r="AL121" s="27" t="n"/>
      <c r="AM121" s="34" t="n"/>
      <c r="AN121" s="35">
        <f>IF(AF121="","",IF(AI121="Yes","❌ Disc",IF(AH121="No","⚠ Missing",IF(AK121="Yes","✓ OK","⚠ Check"))))</f>
        <v/>
      </c>
      <c r="AO121" s="36" t="n"/>
      <c r="AP121" s="36" t="n"/>
      <c r="AQ121" s="36" t="n"/>
      <c r="AR121" s="36" t="n"/>
      <c r="AS121" s="36" t="n"/>
      <c r="AT121" s="36" t="n"/>
      <c r="AU121" s="27" t="n"/>
      <c r="AV121" s="37" t="n"/>
      <c r="AW121" s="38">
        <f>IF(AO121="","",IF(AR121="Yes","❌ Disc",IF(AQ121="No","⚠ Missing",IF(AT121="Yes","✓ OK","⚠ Check"))))</f>
        <v/>
      </c>
    </row>
    <row r="122" ht="18" customHeight="1" s="46">
      <c r="A122" s="39" t="n">
        <v>126</v>
      </c>
      <c r="B122" s="40" t="inlineStr">
        <is>
          <t>BD-LAM-2024-0058</t>
        </is>
      </c>
      <c r="C122" s="41" t="inlineStr">
        <is>
          <t>Lam SL HG 1mm 1018 Cherry Brown(Gold)</t>
        </is>
      </c>
      <c r="D122" s="39" t="inlineStr">
        <is>
          <t>Stylam</t>
        </is>
      </c>
      <c r="E122" s="43" t="n">
        <v>46125</v>
      </c>
      <c r="F122" s="26" t="inlineStr">
        <is>
          <t>Sunil CR</t>
        </is>
      </c>
      <c r="G122" s="26" t="inlineStr">
        <is>
          <t>Yes</t>
        </is>
      </c>
      <c r="H122" s="26" t="inlineStr">
        <is>
          <t>No</t>
        </is>
      </c>
      <c r="I122" s="26" t="inlineStr">
        <is>
          <t>Good finish</t>
        </is>
      </c>
      <c r="J122" s="26" t="inlineStr">
        <is>
          <t>Yes</t>
        </is>
      </c>
      <c r="K122" s="27" t="n"/>
      <c r="L122" s="28" t="inlineStr">
        <is>
          <t>No</t>
        </is>
      </c>
      <c r="M122" s="29">
        <f>IF(E122="","",IF(H122="Yes","❌ Disc",IF(G122="No","⚠ Missing",IF(J122="Yes","✓ OK","⚠ Check"))))</f>
        <v/>
      </c>
      <c r="N122" s="43" t="n">
        <v>46193</v>
      </c>
      <c r="O122" s="26" t="inlineStr">
        <is>
          <t>Sunil CR</t>
        </is>
      </c>
      <c r="P122" s="26" t="inlineStr">
        <is>
          <t>Yes</t>
        </is>
      </c>
      <c r="Q122" s="26" t="inlineStr">
        <is>
          <t>No</t>
        </is>
      </c>
      <c r="R122" s="26" t="inlineStr">
        <is>
          <t>Good finish</t>
        </is>
      </c>
      <c r="S122" s="26" t="inlineStr">
        <is>
          <t>Yes</t>
        </is>
      </c>
      <c r="T122" s="27" t="n"/>
      <c r="U122" s="28" t="inlineStr">
        <is>
          <t>No</t>
        </is>
      </c>
      <c r="V122" s="29">
        <f>IF(N122="","",IF(Q122="Yes","❌ Disc",IF(P122="No","⚠ Missing",IF(S122="Yes","✓ OK","⚠ Check"))))</f>
        <v/>
      </c>
      <c r="W122" s="65" t="n">
        <v>46248</v>
      </c>
      <c r="X122" s="30" t="inlineStr">
        <is>
          <t>Sunil CR</t>
        </is>
      </c>
      <c r="Y122" s="30" t="inlineStr">
        <is>
          <t>Yes</t>
        </is>
      </c>
      <c r="Z122" s="30" t="n"/>
      <c r="AA122" s="30" t="inlineStr">
        <is>
          <t>Good finish</t>
        </is>
      </c>
      <c r="AB122" s="30" t="inlineStr">
        <is>
          <t>Yes</t>
        </is>
      </c>
      <c r="AC122" s="27" t="n"/>
      <c r="AD122" s="31" t="inlineStr">
        <is>
          <t>No</t>
        </is>
      </c>
      <c r="AE122" s="32">
        <f>IF(W122="","",IF(Z122="Yes","❌ Disc",IF(Y122="No","⚠ Missing",IF(AB122="Yes","✓ OK","⚠ Check"))))</f>
        <v/>
      </c>
      <c r="AF122" s="33" t="n"/>
      <c r="AG122" s="33" t="n"/>
      <c r="AH122" s="33" t="n"/>
      <c r="AI122" s="33" t="n"/>
      <c r="AJ122" s="33" t="n"/>
      <c r="AK122" s="33" t="n"/>
      <c r="AL122" s="27" t="n"/>
      <c r="AM122" s="34" t="n"/>
      <c r="AN122" s="35">
        <f>IF(AF122="","",IF(AI122="Yes","❌ Disc",IF(AH122="No","⚠ Missing",IF(AK122="Yes","✓ OK","⚠ Check"))))</f>
        <v/>
      </c>
      <c r="AO122" s="36" t="n"/>
      <c r="AP122" s="36" t="n"/>
      <c r="AQ122" s="36" t="n"/>
      <c r="AR122" s="36" t="n"/>
      <c r="AS122" s="36" t="n"/>
      <c r="AT122" s="36" t="n"/>
      <c r="AU122" s="27" t="n"/>
      <c r="AV122" s="37" t="n"/>
      <c r="AW122" s="38">
        <f>IF(AO122="","",IF(AR122="Yes","❌ Disc",IF(AQ122="No","⚠ Missing",IF(AT122="Yes","✓ OK","⚠ Check"))))</f>
        <v/>
      </c>
    </row>
    <row r="123" ht="18" customHeight="1" s="46">
      <c r="A123" s="23" t="n">
        <v>127</v>
      </c>
      <c r="B123" s="24" t="inlineStr">
        <is>
          <t>BD-LAM-2024-0046</t>
        </is>
      </c>
      <c r="C123" s="25" t="inlineStr">
        <is>
          <t>Lam SL HG 1mm 1408 Grey Aluminium(Gold)</t>
        </is>
      </c>
      <c r="D123" s="23" t="inlineStr">
        <is>
          <t>Stylam</t>
        </is>
      </c>
      <c r="E123" s="43" t="n">
        <v>46125</v>
      </c>
      <c r="F123" s="26" t="inlineStr">
        <is>
          <t>Sunil CR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Good finish</t>
        </is>
      </c>
      <c r="J123" s="26" t="inlineStr">
        <is>
          <t>Yes</t>
        </is>
      </c>
      <c r="K123" s="27" t="n"/>
      <c r="L123" s="28" t="inlineStr">
        <is>
          <t>No</t>
        </is>
      </c>
      <c r="M123" s="29">
        <f>IF(E123="","",IF(H123="Yes","❌ Disc",IF(G123="No","⚠ Missing",IF(J123="Yes","✓ OK","⚠ Check"))))</f>
        <v/>
      </c>
      <c r="N123" s="43" t="n">
        <v>46193</v>
      </c>
      <c r="O123" s="26" t="inlineStr">
        <is>
          <t>Sunil CR</t>
        </is>
      </c>
      <c r="P123" s="26" t="inlineStr">
        <is>
          <t>Yes</t>
        </is>
      </c>
      <c r="Q123" s="26" t="inlineStr">
        <is>
          <t>No</t>
        </is>
      </c>
      <c r="R123" s="26" t="inlineStr">
        <is>
          <t>Good finish</t>
        </is>
      </c>
      <c r="S123" s="26" t="inlineStr">
        <is>
          <t>Yes</t>
        </is>
      </c>
      <c r="T123" s="27" t="n"/>
      <c r="U123" s="28" t="inlineStr">
        <is>
          <t>No</t>
        </is>
      </c>
      <c r="V123" s="29">
        <f>IF(N123="","",IF(Q123="Yes","❌ Disc",IF(P123="No","⚠ Missing",IF(S123="Yes","✓ OK","⚠ Check"))))</f>
        <v/>
      </c>
      <c r="W123" s="65" t="n">
        <v>46248</v>
      </c>
      <c r="X123" s="30" t="inlineStr">
        <is>
          <t>Sunil CR</t>
        </is>
      </c>
      <c r="Y123" s="30" t="inlineStr">
        <is>
          <t>Yes</t>
        </is>
      </c>
      <c r="Z123" s="30" t="n"/>
      <c r="AA123" s="30" t="inlineStr">
        <is>
          <t>Good finish</t>
        </is>
      </c>
      <c r="AB123" s="30" t="inlineStr">
        <is>
          <t>Yes</t>
        </is>
      </c>
      <c r="AC123" s="27" t="n"/>
      <c r="AD123" s="31" t="inlineStr">
        <is>
          <t>No</t>
        </is>
      </c>
      <c r="AE123" s="32">
        <f>IF(W123="","",IF(Z123="Yes","❌ Disc",IF(Y123="No","⚠ Missing",IF(AB123="Yes","✓ OK","⚠ Check"))))</f>
        <v/>
      </c>
      <c r="AF123" s="33" t="n"/>
      <c r="AG123" s="33" t="n"/>
      <c r="AH123" s="33" t="n"/>
      <c r="AI123" s="33" t="n"/>
      <c r="AJ123" s="33" t="n"/>
      <c r="AK123" s="33" t="n"/>
      <c r="AL123" s="27" t="n"/>
      <c r="AM123" s="34" t="n"/>
      <c r="AN123" s="35">
        <f>IF(AF123="","",IF(AI123="Yes","❌ Disc",IF(AH123="No","⚠ Missing",IF(AK123="Yes","✓ OK","⚠ Check"))))</f>
        <v/>
      </c>
      <c r="AO123" s="36" t="n"/>
      <c r="AP123" s="36" t="n"/>
      <c r="AQ123" s="36" t="n"/>
      <c r="AR123" s="36" t="n"/>
      <c r="AS123" s="36" t="n"/>
      <c r="AT123" s="36" t="n"/>
      <c r="AU123" s="27" t="n"/>
      <c r="AV123" s="37" t="n"/>
      <c r="AW123" s="38">
        <f>IF(AO123="","",IF(AR123="Yes","❌ Disc",IF(AQ123="No","⚠ Missing",IF(AT123="Yes","✓ OK","⚠ Check"))))</f>
        <v/>
      </c>
    </row>
    <row r="124" ht="18" customHeight="1" s="46">
      <c r="A124" s="39" t="n">
        <v>128</v>
      </c>
      <c r="B124" s="40" t="inlineStr">
        <is>
          <t>BD-LAM-2024-0047</t>
        </is>
      </c>
      <c r="C124" s="41" t="inlineStr">
        <is>
          <t>Lam SL HG 1mm 1411 Light Aluminium(Gold)</t>
        </is>
      </c>
      <c r="D124" s="39" t="inlineStr">
        <is>
          <t>Stylam</t>
        </is>
      </c>
      <c r="E124" s="43" t="n">
        <v>46125</v>
      </c>
      <c r="F124" s="26" t="inlineStr">
        <is>
          <t>Sunil CR</t>
        </is>
      </c>
      <c r="G124" s="26" t="inlineStr">
        <is>
          <t>Yes</t>
        </is>
      </c>
      <c r="H124" s="26" t="inlineStr">
        <is>
          <t>No</t>
        </is>
      </c>
      <c r="I124" s="26" t="inlineStr">
        <is>
          <t>Good finish</t>
        </is>
      </c>
      <c r="J124" s="26" t="inlineStr">
        <is>
          <t>Yes</t>
        </is>
      </c>
      <c r="K124" s="27" t="n"/>
      <c r="L124" s="28" t="inlineStr">
        <is>
          <t>No</t>
        </is>
      </c>
      <c r="M124" s="29">
        <f>IF(E124="","",IF(H124="Yes","❌ Disc",IF(G124="No","⚠ Missing",IF(J124="Yes","✓ OK","⚠ Check"))))</f>
        <v/>
      </c>
      <c r="N124" s="43" t="n">
        <v>46193</v>
      </c>
      <c r="O124" s="26" t="inlineStr">
        <is>
          <t>Sunil CR</t>
        </is>
      </c>
      <c r="P124" s="26" t="inlineStr">
        <is>
          <t>Yes</t>
        </is>
      </c>
      <c r="Q124" s="26" t="inlineStr">
        <is>
          <t>No</t>
        </is>
      </c>
      <c r="R124" s="26" t="inlineStr">
        <is>
          <t>Good finish</t>
        </is>
      </c>
      <c r="S124" s="26" t="inlineStr">
        <is>
          <t>Yes</t>
        </is>
      </c>
      <c r="T124" s="27" t="n"/>
      <c r="U124" s="28" t="inlineStr">
        <is>
          <t>No</t>
        </is>
      </c>
      <c r="V124" s="29">
        <f>IF(N124="","",IF(Q124="Yes","❌ Disc",IF(P124="No","⚠ Missing",IF(S124="Yes","✓ OK","⚠ Check"))))</f>
        <v/>
      </c>
      <c r="W124" s="65" t="n">
        <v>46248</v>
      </c>
      <c r="X124" s="30" t="inlineStr">
        <is>
          <t>Sunil CR</t>
        </is>
      </c>
      <c r="Y124" s="30" t="inlineStr">
        <is>
          <t>Yes</t>
        </is>
      </c>
      <c r="Z124" s="30" t="n"/>
      <c r="AA124" s="30" t="inlineStr">
        <is>
          <t>Good finish</t>
        </is>
      </c>
      <c r="AB124" s="30" t="inlineStr">
        <is>
          <t>Yes</t>
        </is>
      </c>
      <c r="AC124" s="27" t="n"/>
      <c r="AD124" s="31" t="inlineStr">
        <is>
          <t>No</t>
        </is>
      </c>
      <c r="AE124" s="32">
        <f>IF(W124="","",IF(Z124="Yes","❌ Disc",IF(Y124="No","⚠ Missing",IF(AB124="Yes","✓ OK","⚠ Check"))))</f>
        <v/>
      </c>
      <c r="AF124" s="33" t="n"/>
      <c r="AG124" s="33" t="n"/>
      <c r="AH124" s="33" t="n"/>
      <c r="AI124" s="33" t="n"/>
      <c r="AJ124" s="33" t="n"/>
      <c r="AK124" s="33" t="n"/>
      <c r="AL124" s="27" t="n"/>
      <c r="AM124" s="34" t="n"/>
      <c r="AN124" s="35">
        <f>IF(AF124="","",IF(AI124="Yes","❌ Disc",IF(AH124="No","⚠ Missing",IF(AK124="Yes","✓ OK","⚠ Check"))))</f>
        <v/>
      </c>
      <c r="AO124" s="36" t="n"/>
      <c r="AP124" s="36" t="n"/>
      <c r="AQ124" s="36" t="n"/>
      <c r="AR124" s="36" t="n"/>
      <c r="AS124" s="36" t="n"/>
      <c r="AT124" s="36" t="n"/>
      <c r="AU124" s="27" t="n"/>
      <c r="AV124" s="37" t="n"/>
      <c r="AW124" s="38">
        <f>IF(AO124="","",IF(AR124="Yes","❌ Disc",IF(AQ124="No","⚠ Missing",IF(AT124="Yes","✓ OK","⚠ Check"))))</f>
        <v/>
      </c>
    </row>
    <row r="125" ht="18" customHeight="1" s="46">
      <c r="A125" s="23" t="n">
        <v>129</v>
      </c>
      <c r="B125" s="24" t="inlineStr">
        <is>
          <t>BD-LAM-2023-0102</t>
        </is>
      </c>
      <c r="C125" s="25" t="inlineStr">
        <is>
          <t>Lam SL HG 1mm 142 Black Magic(Gold)</t>
        </is>
      </c>
      <c r="D125" s="23" t="inlineStr">
        <is>
          <t>Stylam</t>
        </is>
      </c>
      <c r="E125" s="43" t="n">
        <v>46125</v>
      </c>
      <c r="F125" s="26" t="inlineStr">
        <is>
          <t>Sunil CR</t>
        </is>
      </c>
      <c r="G125" s="26" t="inlineStr">
        <is>
          <t>Yes</t>
        </is>
      </c>
      <c r="H125" s="26" t="inlineStr">
        <is>
          <t>No</t>
        </is>
      </c>
      <c r="I125" s="26" t="inlineStr">
        <is>
          <t>Good finish</t>
        </is>
      </c>
      <c r="J125" s="26" t="inlineStr">
        <is>
          <t>Yes</t>
        </is>
      </c>
      <c r="K125" s="27" t="inlineStr">
        <is>
          <t>Available in small book</t>
        </is>
      </c>
      <c r="L125" s="28" t="inlineStr">
        <is>
          <t>No</t>
        </is>
      </c>
      <c r="M125" s="29">
        <f>IF(E125="","",IF(H125="Yes","❌ Disc",IF(G125="No","⚠ Missing",IF(J125="Yes","✓ OK","⚠ Check"))))</f>
        <v/>
      </c>
      <c r="N125" s="43" t="n">
        <v>46193</v>
      </c>
      <c r="O125" s="26" t="inlineStr">
        <is>
          <t>Sunil CR</t>
        </is>
      </c>
      <c r="P125" s="26" t="inlineStr">
        <is>
          <t>Yes</t>
        </is>
      </c>
      <c r="Q125" s="26" t="inlineStr">
        <is>
          <t>No</t>
        </is>
      </c>
      <c r="R125" s="26" t="inlineStr">
        <is>
          <t>Good finish</t>
        </is>
      </c>
      <c r="S125" s="26" t="inlineStr">
        <is>
          <t>Yes</t>
        </is>
      </c>
      <c r="T125" s="27" t="inlineStr">
        <is>
          <t>Available in small book</t>
        </is>
      </c>
      <c r="U125" s="28" t="inlineStr">
        <is>
          <t>No</t>
        </is>
      </c>
      <c r="V125" s="29">
        <f>IF(N125="","",IF(Q125="Yes","❌ Disc",IF(P125="No","⚠ Missing",IF(S125="Yes","✓ OK","⚠ Check"))))</f>
        <v/>
      </c>
      <c r="W125" s="65" t="n">
        <v>46248</v>
      </c>
      <c r="X125" s="30" t="inlineStr">
        <is>
          <t>Sunil CR</t>
        </is>
      </c>
      <c r="Y125" s="30" t="inlineStr">
        <is>
          <t>Yes</t>
        </is>
      </c>
      <c r="Z125" s="30" t="n"/>
      <c r="AA125" s="30" t="inlineStr">
        <is>
          <t>Good finish</t>
        </is>
      </c>
      <c r="AB125" s="30" t="inlineStr">
        <is>
          <t>Yes</t>
        </is>
      </c>
      <c r="AC125" s="27" t="inlineStr">
        <is>
          <t>Available in small book</t>
        </is>
      </c>
      <c r="AD125" s="31" t="inlineStr">
        <is>
          <t>No</t>
        </is>
      </c>
      <c r="AE125" s="32">
        <f>IF(W125="","",IF(Z125="Yes","❌ Disc",IF(Y125="No","⚠ Missing",IF(AB125="Yes","✓ OK","⚠ Check"))))</f>
        <v/>
      </c>
      <c r="AF125" s="33" t="n"/>
      <c r="AG125" s="33" t="n"/>
      <c r="AH125" s="33" t="n"/>
      <c r="AI125" s="33" t="n"/>
      <c r="AJ125" s="33" t="n"/>
      <c r="AK125" s="33" t="n"/>
      <c r="AL125" s="27" t="n"/>
      <c r="AM125" s="34" t="n"/>
      <c r="AN125" s="35">
        <f>IF(AF125="","",IF(AI125="Yes","❌ Disc",IF(AH125="No","⚠ Missing",IF(AK125="Yes","✓ OK","⚠ Check"))))</f>
        <v/>
      </c>
      <c r="AO125" s="36" t="n"/>
      <c r="AP125" s="36" t="n"/>
      <c r="AQ125" s="36" t="n"/>
      <c r="AR125" s="36" t="n"/>
      <c r="AS125" s="36" t="n"/>
      <c r="AT125" s="36" t="n"/>
      <c r="AU125" s="27" t="n"/>
      <c r="AV125" s="37" t="n"/>
      <c r="AW125" s="38">
        <f>IF(AO125="","",IF(AR125="Yes","❌ Disc",IF(AQ125="No","⚠ Missing",IF(AT125="Yes","✓ OK","⚠ Check"))))</f>
        <v/>
      </c>
    </row>
    <row r="126" ht="18" customHeight="1" s="46">
      <c r="A126" s="39" t="n">
        <v>130</v>
      </c>
      <c r="B126" s="40" t="inlineStr">
        <is>
          <t>BD-LAM-2023-0212</t>
        </is>
      </c>
      <c r="C126" s="41" t="inlineStr">
        <is>
          <t>Lam SL HG 1mm 1445 Natsu(Gold)</t>
        </is>
      </c>
      <c r="D126" s="39" t="inlineStr">
        <is>
          <t>Stylam</t>
        </is>
      </c>
      <c r="E126" s="43" t="n">
        <v>46125</v>
      </c>
      <c r="F126" s="26" t="inlineStr">
        <is>
          <t>Sunil CR</t>
        </is>
      </c>
      <c r="G126" s="26" t="inlineStr">
        <is>
          <t>Yes</t>
        </is>
      </c>
      <c r="H126" s="26" t="inlineStr">
        <is>
          <t>No</t>
        </is>
      </c>
      <c r="I126" s="26" t="inlineStr">
        <is>
          <t>Good finish</t>
        </is>
      </c>
      <c r="J126" s="26" t="inlineStr">
        <is>
          <t>Yes</t>
        </is>
      </c>
      <c r="K126" s="27" t="inlineStr">
        <is>
          <t>Available in small book</t>
        </is>
      </c>
      <c r="L126" s="28" t="inlineStr">
        <is>
          <t>No</t>
        </is>
      </c>
      <c r="M126" s="29">
        <f>IF(E126="","",IF(H126="Yes","❌ Disc",IF(G126="No","⚠ Missing",IF(J126="Yes","✓ OK","⚠ Check"))))</f>
        <v/>
      </c>
      <c r="N126" s="43" t="n">
        <v>46193</v>
      </c>
      <c r="O126" s="26" t="inlineStr">
        <is>
          <t>Sunil CR</t>
        </is>
      </c>
      <c r="P126" s="26" t="inlineStr">
        <is>
          <t>Yes</t>
        </is>
      </c>
      <c r="Q126" s="26" t="inlineStr">
        <is>
          <t>No</t>
        </is>
      </c>
      <c r="R126" s="26" t="inlineStr">
        <is>
          <t>Good finish</t>
        </is>
      </c>
      <c r="S126" s="26" t="inlineStr">
        <is>
          <t>Yes</t>
        </is>
      </c>
      <c r="T126" s="27" t="inlineStr">
        <is>
          <t>Available in small book</t>
        </is>
      </c>
      <c r="U126" s="28" t="inlineStr">
        <is>
          <t>No</t>
        </is>
      </c>
      <c r="V126" s="29">
        <f>IF(N126="","",IF(Q126="Yes","❌ Disc",IF(P126="No","⚠ Missing",IF(S126="Yes","✓ OK","⚠ Check"))))</f>
        <v/>
      </c>
      <c r="W126" s="65" t="n">
        <v>46248</v>
      </c>
      <c r="X126" s="30" t="inlineStr">
        <is>
          <t>Sunil CR</t>
        </is>
      </c>
      <c r="Y126" s="30" t="inlineStr">
        <is>
          <t>Yes</t>
        </is>
      </c>
      <c r="Z126" s="30" t="n"/>
      <c r="AA126" s="30" t="inlineStr">
        <is>
          <t>Good finish</t>
        </is>
      </c>
      <c r="AB126" s="30" t="inlineStr">
        <is>
          <t>Yes</t>
        </is>
      </c>
      <c r="AC126" s="27" t="inlineStr">
        <is>
          <t>Available in small book</t>
        </is>
      </c>
      <c r="AD126" s="31" t="inlineStr">
        <is>
          <t>No</t>
        </is>
      </c>
      <c r="AE126" s="32">
        <f>IF(W126="","",IF(Z126="Yes","❌ Disc",IF(Y126="No","⚠ Missing",IF(AB126="Yes","✓ OK","⚠ Check"))))</f>
        <v/>
      </c>
      <c r="AF126" s="33" t="n"/>
      <c r="AG126" s="33" t="n"/>
      <c r="AH126" s="33" t="n"/>
      <c r="AI126" s="33" t="n"/>
      <c r="AJ126" s="33" t="n"/>
      <c r="AK126" s="33" t="n"/>
      <c r="AL126" s="27" t="n"/>
      <c r="AM126" s="34" t="n"/>
      <c r="AN126" s="35">
        <f>IF(AF126="","",IF(AI126="Yes","❌ Disc",IF(AH126="No","⚠ Missing",IF(AK126="Yes","✓ OK","⚠ Check"))))</f>
        <v/>
      </c>
      <c r="AO126" s="36" t="n"/>
      <c r="AP126" s="36" t="n"/>
      <c r="AQ126" s="36" t="n"/>
      <c r="AR126" s="36" t="n"/>
      <c r="AS126" s="36" t="n"/>
      <c r="AT126" s="36" t="n"/>
      <c r="AU126" s="27" t="n"/>
      <c r="AV126" s="37" t="n"/>
      <c r="AW126" s="38">
        <f>IF(AO126="","",IF(AR126="Yes","❌ Disc",IF(AQ126="No","⚠ Missing",IF(AT126="Yes","✓ OK","⚠ Check"))))</f>
        <v/>
      </c>
    </row>
    <row r="127" ht="18" customHeight="1" s="46">
      <c r="A127" s="23" t="n">
        <v>131</v>
      </c>
      <c r="B127" s="24" t="inlineStr">
        <is>
          <t>BD-LAM-2024-0070</t>
        </is>
      </c>
      <c r="C127" s="25" t="inlineStr">
        <is>
          <t>Lam SL HG 1mm 1449 Paladine Marble(Gold)</t>
        </is>
      </c>
      <c r="D127" s="23" t="inlineStr">
        <is>
          <t>Stylam</t>
        </is>
      </c>
      <c r="E127" s="43" t="n">
        <v>46125</v>
      </c>
      <c r="F127" s="26" t="inlineStr">
        <is>
          <t>Sunil CR</t>
        </is>
      </c>
      <c r="G127" s="26" t="inlineStr">
        <is>
          <t>Yes</t>
        </is>
      </c>
      <c r="H127" s="26" t="inlineStr">
        <is>
          <t>No</t>
        </is>
      </c>
      <c r="I127" s="26" t="inlineStr">
        <is>
          <t>Good finish</t>
        </is>
      </c>
      <c r="J127" s="26" t="inlineStr">
        <is>
          <t>Yes</t>
        </is>
      </c>
      <c r="K127" s="27" t="n"/>
      <c r="L127" s="28" t="inlineStr">
        <is>
          <t>No</t>
        </is>
      </c>
      <c r="M127" s="29">
        <f>IF(E127="","",IF(H127="Yes","❌ Disc",IF(G127="No","⚠ Missing",IF(J127="Yes","✓ OK","⚠ Check"))))</f>
        <v/>
      </c>
      <c r="N127" s="43" t="n">
        <v>46193</v>
      </c>
      <c r="O127" s="26" t="inlineStr">
        <is>
          <t>Sunil CR</t>
        </is>
      </c>
      <c r="P127" s="26" t="inlineStr">
        <is>
          <t>Yes</t>
        </is>
      </c>
      <c r="Q127" s="26" t="inlineStr">
        <is>
          <t>No</t>
        </is>
      </c>
      <c r="R127" s="26" t="inlineStr">
        <is>
          <t>Good finish</t>
        </is>
      </c>
      <c r="S127" s="26" t="inlineStr">
        <is>
          <t>Yes</t>
        </is>
      </c>
      <c r="T127" s="27" t="n"/>
      <c r="U127" s="28" t="inlineStr">
        <is>
          <t>No</t>
        </is>
      </c>
      <c r="V127" s="29">
        <f>IF(N127="","",IF(Q127="Yes","❌ Disc",IF(P127="No","⚠ Missing",IF(S127="Yes","✓ OK","⚠ Check"))))</f>
        <v/>
      </c>
      <c r="W127" s="65" t="n">
        <v>46248</v>
      </c>
      <c r="X127" s="30" t="inlineStr">
        <is>
          <t>Sunil CR</t>
        </is>
      </c>
      <c r="Y127" s="30" t="inlineStr">
        <is>
          <t>Yes</t>
        </is>
      </c>
      <c r="Z127" s="30" t="n"/>
      <c r="AA127" s="30" t="inlineStr">
        <is>
          <t>Good finish</t>
        </is>
      </c>
      <c r="AB127" s="30" t="inlineStr">
        <is>
          <t>Yes</t>
        </is>
      </c>
      <c r="AC127" s="27" t="n"/>
      <c r="AD127" s="31" t="inlineStr">
        <is>
          <t>No</t>
        </is>
      </c>
      <c r="AE127" s="32">
        <f>IF(W127="","",IF(Z127="Yes","❌ Disc",IF(Y127="No","⚠ Missing",IF(AB127="Yes","✓ OK","⚠ Check"))))</f>
        <v/>
      </c>
      <c r="AF127" s="33" t="n"/>
      <c r="AG127" s="33" t="n"/>
      <c r="AH127" s="33" t="n"/>
      <c r="AI127" s="33" t="n"/>
      <c r="AJ127" s="33" t="n"/>
      <c r="AK127" s="33" t="n"/>
      <c r="AL127" s="27" t="n"/>
      <c r="AM127" s="34" t="n"/>
      <c r="AN127" s="35">
        <f>IF(AF127="","",IF(AI127="Yes","❌ Disc",IF(AH127="No","⚠ Missing",IF(AK127="Yes","✓ OK","⚠ Check"))))</f>
        <v/>
      </c>
      <c r="AO127" s="36" t="n"/>
      <c r="AP127" s="36" t="n"/>
      <c r="AQ127" s="36" t="n"/>
      <c r="AR127" s="36" t="n"/>
      <c r="AS127" s="36" t="n"/>
      <c r="AT127" s="36" t="n"/>
      <c r="AU127" s="27" t="n"/>
      <c r="AV127" s="37" t="n"/>
      <c r="AW127" s="38">
        <f>IF(AO127="","",IF(AR127="Yes","❌ Disc",IF(AQ127="No","⚠ Missing",IF(AT127="Yes","✓ OK","⚠ Check"))))</f>
        <v/>
      </c>
    </row>
    <row r="128" ht="18" customHeight="1" s="46">
      <c r="A128" s="39" t="n">
        <v>132</v>
      </c>
      <c r="B128" s="40" t="inlineStr">
        <is>
          <t>BD-LAM-2023-0313</t>
        </is>
      </c>
      <c r="C128" s="41" t="inlineStr">
        <is>
          <t>Lam SL HG 1mm 1458 Zebrawood Marbel (Gold)</t>
        </is>
      </c>
      <c r="D128" s="39" t="inlineStr">
        <is>
          <t>Stylam</t>
        </is>
      </c>
      <c r="E128" s="43" t="n">
        <v>46125</v>
      </c>
      <c r="F128" s="26" t="inlineStr">
        <is>
          <t>Sunil CR</t>
        </is>
      </c>
      <c r="G128" s="26" t="inlineStr">
        <is>
          <t>No</t>
        </is>
      </c>
      <c r="H128" s="26" t="inlineStr">
        <is>
          <t>No</t>
        </is>
      </c>
      <c r="I128" s="26" t="inlineStr">
        <is>
          <t>Not Available</t>
        </is>
      </c>
      <c r="J128" s="26" t="inlineStr">
        <is>
          <t>No</t>
        </is>
      </c>
      <c r="K128" s="27" t="n"/>
      <c r="L128" s="28" t="inlineStr">
        <is>
          <t>Yes</t>
        </is>
      </c>
      <c r="M128" s="29">
        <f>IF(E128="","",IF(H128="Yes","❌ Disc",IF(G128="No","⚠ Missing",IF(J128="Yes","✓ OK","⚠ Check"))))</f>
        <v/>
      </c>
      <c r="N128" s="43" t="n">
        <v>46193</v>
      </c>
      <c r="O128" s="26" t="inlineStr">
        <is>
          <t>Sunil CR</t>
        </is>
      </c>
      <c r="P128" s="26" t="inlineStr">
        <is>
          <t>No</t>
        </is>
      </c>
      <c r="Q128" s="26" t="inlineStr">
        <is>
          <t>No</t>
        </is>
      </c>
      <c r="R128" s="26" t="inlineStr">
        <is>
          <t>Not Available</t>
        </is>
      </c>
      <c r="S128" s="26" t="inlineStr">
        <is>
          <t>No</t>
        </is>
      </c>
      <c r="T128" s="27" t="n"/>
      <c r="U128" s="28" t="inlineStr">
        <is>
          <t>Yes</t>
        </is>
      </c>
      <c r="V128" s="29">
        <f>IF(N128="","",IF(Q128="Yes","❌ Disc",IF(P128="No","⚠ Missing",IF(S128="Yes","✓ OK","⚠ Check"))))</f>
        <v/>
      </c>
      <c r="W128" s="65" t="n">
        <v>46248</v>
      </c>
      <c r="X128" s="30" t="inlineStr">
        <is>
          <t>Sunil CR</t>
        </is>
      </c>
      <c r="Y128" s="30" t="inlineStr">
        <is>
          <t>No</t>
        </is>
      </c>
      <c r="Z128" s="30" t="n"/>
      <c r="AA128" s="30" t="inlineStr">
        <is>
          <t>Not Available</t>
        </is>
      </c>
      <c r="AB128" s="30" t="inlineStr">
        <is>
          <t>No</t>
        </is>
      </c>
      <c r="AC128" s="27" t="n"/>
      <c r="AD128" s="31" t="inlineStr">
        <is>
          <t>Yes</t>
        </is>
      </c>
      <c r="AE128" s="32">
        <f>IF(W128="","",IF(Z128="Yes","❌ Disc",IF(Y128="No","⚠ Missing",IF(AB128="Yes","✓ OK","⚠ Check"))))</f>
        <v/>
      </c>
      <c r="AF128" s="33" t="n"/>
      <c r="AG128" s="33" t="n"/>
      <c r="AH128" s="33" t="n"/>
      <c r="AI128" s="33" t="n"/>
      <c r="AJ128" s="33" t="n"/>
      <c r="AK128" s="33" t="n"/>
      <c r="AL128" s="27" t="n"/>
      <c r="AM128" s="34" t="n"/>
      <c r="AN128" s="35">
        <f>IF(AF128="","",IF(AI128="Yes","❌ Disc",IF(AH128="No","⚠ Missing",IF(AK128="Yes","✓ OK","⚠ Check"))))</f>
        <v/>
      </c>
      <c r="AO128" s="36" t="n"/>
      <c r="AP128" s="36" t="n"/>
      <c r="AQ128" s="36" t="n"/>
      <c r="AR128" s="36" t="n"/>
      <c r="AS128" s="36" t="n"/>
      <c r="AT128" s="36" t="n"/>
      <c r="AU128" s="27" t="n"/>
      <c r="AV128" s="37" t="n"/>
      <c r="AW128" s="38">
        <f>IF(AO128="","",IF(AR128="Yes","❌ Disc",IF(AQ128="No","⚠ Missing",IF(AT128="Yes","✓ OK","⚠ Check"))))</f>
        <v/>
      </c>
    </row>
    <row r="129" ht="18" customHeight="1" s="46">
      <c r="A129" s="23" t="n">
        <v>133</v>
      </c>
      <c r="B129" s="24" t="inlineStr">
        <is>
          <t>BD-LAM-2023-0078</t>
        </is>
      </c>
      <c r="C129" s="25" t="inlineStr">
        <is>
          <t>Lam SL HG 1mm 1462 Bianco Carrara Venato(Gold)</t>
        </is>
      </c>
      <c r="D129" s="23" t="inlineStr">
        <is>
          <t>Stylam</t>
        </is>
      </c>
      <c r="E129" s="43" t="n">
        <v>46125</v>
      </c>
      <c r="F129" s="26" t="inlineStr">
        <is>
          <t>Sunil CR</t>
        </is>
      </c>
      <c r="G129" s="26" t="inlineStr">
        <is>
          <t>Yes</t>
        </is>
      </c>
      <c r="H129" s="26" t="inlineStr">
        <is>
          <t>No</t>
        </is>
      </c>
      <c r="I129" s="26" t="inlineStr">
        <is>
          <t>Good finish</t>
        </is>
      </c>
      <c r="J129" s="26" t="inlineStr">
        <is>
          <t>No</t>
        </is>
      </c>
      <c r="K129" s="27" t="inlineStr">
        <is>
          <t>Name Sticker to be Changed</t>
        </is>
      </c>
      <c r="L129" s="28" t="inlineStr">
        <is>
          <t>Yes</t>
        </is>
      </c>
      <c r="M129" s="29">
        <f>IF(E129="","",IF(H129="Yes","❌ Disc",IF(G129="No","⚠ Missing",IF(J129="Yes","✓ OK","⚠ Check"))))</f>
        <v/>
      </c>
      <c r="N129" s="43" t="n">
        <v>46193</v>
      </c>
      <c r="O129" s="26" t="inlineStr">
        <is>
          <t>Sunil CR</t>
        </is>
      </c>
      <c r="P129" s="26" t="inlineStr">
        <is>
          <t>Yes</t>
        </is>
      </c>
      <c r="Q129" s="26" t="inlineStr">
        <is>
          <t>No</t>
        </is>
      </c>
      <c r="R129" s="26" t="inlineStr">
        <is>
          <t>Good finish</t>
        </is>
      </c>
      <c r="S129" s="26" t="inlineStr">
        <is>
          <t>No</t>
        </is>
      </c>
      <c r="T129" s="27" t="inlineStr">
        <is>
          <t>Name Sticker to be Changed</t>
        </is>
      </c>
      <c r="U129" s="28" t="inlineStr">
        <is>
          <t>Yes</t>
        </is>
      </c>
      <c r="V129" s="29">
        <f>IF(N129="","",IF(Q129="Yes","❌ Disc",IF(P129="No","⚠ Missing",IF(S129="Yes","✓ OK","⚠ Check"))))</f>
        <v/>
      </c>
      <c r="W129" s="65" t="n">
        <v>46248</v>
      </c>
      <c r="X129" s="30" t="inlineStr">
        <is>
          <t>Sunil CR</t>
        </is>
      </c>
      <c r="Y129" s="30" t="inlineStr">
        <is>
          <t>Yes</t>
        </is>
      </c>
      <c r="Z129" s="30" t="n"/>
      <c r="AA129" s="30" t="inlineStr">
        <is>
          <t>Good finish</t>
        </is>
      </c>
      <c r="AB129" s="30" t="inlineStr">
        <is>
          <t>No</t>
        </is>
      </c>
      <c r="AC129" s="27" t="inlineStr">
        <is>
          <t>Name Sticker to be Changed</t>
        </is>
      </c>
      <c r="AD129" s="31" t="inlineStr">
        <is>
          <t>Yes</t>
        </is>
      </c>
      <c r="AE129" s="32">
        <f>IF(W129="","",IF(Z129="Yes","❌ Disc",IF(Y129="No","⚠ Missing",IF(AB129="Yes","✓ OK","⚠ Check"))))</f>
        <v/>
      </c>
      <c r="AF129" s="33" t="n"/>
      <c r="AG129" s="33" t="n"/>
      <c r="AH129" s="33" t="n"/>
      <c r="AI129" s="33" t="n"/>
      <c r="AJ129" s="33" t="n"/>
      <c r="AK129" s="33" t="n"/>
      <c r="AL129" s="27" t="n"/>
      <c r="AM129" s="34" t="n"/>
      <c r="AN129" s="35">
        <f>IF(AF129="","",IF(AI129="Yes","❌ Disc",IF(AH129="No","⚠ Missing",IF(AK129="Yes","✓ OK","⚠ Check"))))</f>
        <v/>
      </c>
      <c r="AO129" s="36" t="n"/>
      <c r="AP129" s="36" t="n"/>
      <c r="AQ129" s="36" t="n"/>
      <c r="AR129" s="36" t="n"/>
      <c r="AS129" s="36" t="n"/>
      <c r="AT129" s="36" t="n"/>
      <c r="AU129" s="27" t="n"/>
      <c r="AV129" s="37" t="n"/>
      <c r="AW129" s="38">
        <f>IF(AO129="","",IF(AR129="Yes","❌ Disc",IF(AQ129="No","⚠ Missing",IF(AT129="Yes","✓ OK","⚠ Check"))))</f>
        <v/>
      </c>
    </row>
    <row r="130" ht="18" customHeight="1" s="46">
      <c r="A130" s="39" t="n">
        <v>134</v>
      </c>
      <c r="B130" s="40" t="inlineStr">
        <is>
          <t>BD-LAM-2023-0146</t>
        </is>
      </c>
      <c r="C130" s="41" t="inlineStr">
        <is>
          <t>Lam SL HG 1mm 1486 Cross Bar(Gold)</t>
        </is>
      </c>
      <c r="D130" s="39" t="inlineStr">
        <is>
          <t>Stylam</t>
        </is>
      </c>
      <c r="E130" s="43" t="n">
        <v>46125</v>
      </c>
      <c r="F130" s="26" t="inlineStr">
        <is>
          <t>Sunil CR</t>
        </is>
      </c>
      <c r="G130" s="26" t="inlineStr">
        <is>
          <t>Yes</t>
        </is>
      </c>
      <c r="H130" s="26" t="inlineStr">
        <is>
          <t>No</t>
        </is>
      </c>
      <c r="I130" s="26" t="inlineStr">
        <is>
          <t>Good finish</t>
        </is>
      </c>
      <c r="J130" s="26" t="inlineStr">
        <is>
          <t>Yes</t>
        </is>
      </c>
      <c r="K130" s="27" t="n"/>
      <c r="L130" s="28" t="inlineStr">
        <is>
          <t>No</t>
        </is>
      </c>
      <c r="M130" s="29">
        <f>IF(E130="","",IF(H130="Yes","❌ Disc",IF(G130="No","⚠ Missing",IF(J130="Yes","✓ OK","⚠ Check"))))</f>
        <v/>
      </c>
      <c r="N130" s="43" t="n">
        <v>46193</v>
      </c>
      <c r="O130" s="26" t="inlineStr">
        <is>
          <t>Sunil CR</t>
        </is>
      </c>
      <c r="P130" s="26" t="inlineStr">
        <is>
          <t>No</t>
        </is>
      </c>
      <c r="Q130" s="26" t="inlineStr">
        <is>
          <t>Yes</t>
        </is>
      </c>
      <c r="R130" s="26" t="inlineStr">
        <is>
          <t>Discontinued</t>
        </is>
      </c>
      <c r="S130" s="26" t="inlineStr">
        <is>
          <t>No</t>
        </is>
      </c>
      <c r="T130" s="27" t="n"/>
      <c r="U130" s="28" t="inlineStr">
        <is>
          <t>No</t>
        </is>
      </c>
      <c r="V130" s="29">
        <f>IF(N130="","",IF(Q130="Yes","❌ Disc",IF(P130="No","⚠ Missing",IF(S130="Yes","✓ OK","⚠ Check"))))</f>
        <v/>
      </c>
      <c r="W130" s="65" t="n">
        <v>46248</v>
      </c>
      <c r="X130" s="30" t="inlineStr">
        <is>
          <t>Sunil CR</t>
        </is>
      </c>
      <c r="Y130" s="30" t="inlineStr">
        <is>
          <t>No</t>
        </is>
      </c>
      <c r="Z130" s="30" t="inlineStr">
        <is>
          <t>Yes</t>
        </is>
      </c>
      <c r="AA130" s="30" t="inlineStr">
        <is>
          <t>Discontinued</t>
        </is>
      </c>
      <c r="AB130" s="30" t="inlineStr">
        <is>
          <t>No</t>
        </is>
      </c>
      <c r="AC130" s="27" t="n"/>
      <c r="AD130" s="31" t="inlineStr">
        <is>
          <t>No</t>
        </is>
      </c>
      <c r="AE130" s="32">
        <f>IF(W130="","",IF(Z130="Yes","❌ Disc",IF(Y130="No","⚠ Missing",IF(AB130="Yes","✓ OK","⚠ Check"))))</f>
        <v/>
      </c>
      <c r="AF130" s="33" t="n"/>
      <c r="AG130" s="33" t="n"/>
      <c r="AH130" s="33" t="n"/>
      <c r="AI130" s="33" t="n"/>
      <c r="AJ130" s="33" t="n"/>
      <c r="AK130" s="33" t="n"/>
      <c r="AL130" s="27" t="n"/>
      <c r="AM130" s="34" t="n"/>
      <c r="AN130" s="35">
        <f>IF(AF130="","",IF(AI130="Yes","❌ Disc",IF(AH130="No","⚠ Missing",IF(AK130="Yes","✓ OK","⚠ Check"))))</f>
        <v/>
      </c>
      <c r="AO130" s="36" t="n"/>
      <c r="AP130" s="36" t="n"/>
      <c r="AQ130" s="36" t="n"/>
      <c r="AR130" s="36" t="n"/>
      <c r="AS130" s="36" t="n"/>
      <c r="AT130" s="36" t="n"/>
      <c r="AU130" s="27" t="n"/>
      <c r="AV130" s="37" t="n"/>
      <c r="AW130" s="38">
        <f>IF(AO130="","",IF(AR130="Yes","❌ Disc",IF(AQ130="No","⚠ Missing",IF(AT130="Yes","✓ OK","⚠ Check"))))</f>
        <v/>
      </c>
    </row>
    <row r="131" ht="18" customHeight="1" s="46">
      <c r="A131" s="23" t="n">
        <v>135</v>
      </c>
      <c r="B131" s="24" t="inlineStr">
        <is>
          <t>BD-LAM-2023-0107</t>
        </is>
      </c>
      <c r="C131" s="25" t="inlineStr">
        <is>
          <t>Lam SL HG 1mm 1508 Black Sandalwood(Gold)</t>
        </is>
      </c>
      <c r="D131" s="23" t="inlineStr">
        <is>
          <t>Stylam</t>
        </is>
      </c>
      <c r="E131" s="43" t="n">
        <v>46125</v>
      </c>
      <c r="F131" s="26" t="inlineStr">
        <is>
          <t>Sunil CR</t>
        </is>
      </c>
      <c r="G131" s="26" t="inlineStr">
        <is>
          <t>Yes</t>
        </is>
      </c>
      <c r="H131" s="26" t="inlineStr">
        <is>
          <t>No</t>
        </is>
      </c>
      <c r="I131" s="26" t="inlineStr">
        <is>
          <t>Good finish</t>
        </is>
      </c>
      <c r="J131" s="26" t="inlineStr">
        <is>
          <t>Yes</t>
        </is>
      </c>
      <c r="K131" s="27" t="n"/>
      <c r="L131" s="28" t="inlineStr">
        <is>
          <t>No</t>
        </is>
      </c>
      <c r="M131" s="29">
        <f>IF(E131="","",IF(H131="Yes","❌ Disc",IF(G131="No","⚠ Missing",IF(J131="Yes","✓ OK","⚠ Check"))))</f>
        <v/>
      </c>
      <c r="N131" s="43" t="n">
        <v>46193</v>
      </c>
      <c r="O131" s="26" t="inlineStr">
        <is>
          <t>Sunil CR</t>
        </is>
      </c>
      <c r="P131" s="26" t="inlineStr">
        <is>
          <t>No</t>
        </is>
      </c>
      <c r="Q131" s="26" t="inlineStr">
        <is>
          <t>Yes</t>
        </is>
      </c>
      <c r="R131" s="26" t="inlineStr">
        <is>
          <t>Discontinued</t>
        </is>
      </c>
      <c r="S131" s="26" t="inlineStr">
        <is>
          <t>No</t>
        </is>
      </c>
      <c r="T131" s="27" t="n"/>
      <c r="U131" s="28" t="inlineStr">
        <is>
          <t>No</t>
        </is>
      </c>
      <c r="V131" s="29">
        <f>IF(N131="","",IF(Q131="Yes","❌ Disc",IF(P131="No","⚠ Missing",IF(S131="Yes","✓ OK","⚠ Check"))))</f>
        <v/>
      </c>
      <c r="W131" s="65" t="n">
        <v>46248</v>
      </c>
      <c r="X131" s="30" t="inlineStr">
        <is>
          <t>Sunil CR</t>
        </is>
      </c>
      <c r="Y131" s="30" t="inlineStr">
        <is>
          <t>No</t>
        </is>
      </c>
      <c r="Z131" s="30" t="inlineStr">
        <is>
          <t>Yes</t>
        </is>
      </c>
      <c r="AA131" s="30" t="inlineStr">
        <is>
          <t>Discontinued</t>
        </is>
      </c>
      <c r="AB131" s="30" t="inlineStr">
        <is>
          <t>No</t>
        </is>
      </c>
      <c r="AC131" s="27" t="n"/>
      <c r="AD131" s="31" t="inlineStr">
        <is>
          <t>No</t>
        </is>
      </c>
      <c r="AE131" s="32">
        <f>IF(W131="","",IF(Z131="Yes","❌ Disc",IF(Y131="No","⚠ Missing",IF(AB131="Yes","✓ OK","⚠ Check"))))</f>
        <v/>
      </c>
      <c r="AF131" s="33" t="n"/>
      <c r="AG131" s="33" t="n"/>
      <c r="AH131" s="33" t="n"/>
      <c r="AI131" s="33" t="n"/>
      <c r="AJ131" s="33" t="n"/>
      <c r="AK131" s="33" t="n"/>
      <c r="AL131" s="27" t="n"/>
      <c r="AM131" s="34" t="n"/>
      <c r="AN131" s="35">
        <f>IF(AF131="","",IF(AI131="Yes","❌ Disc",IF(AH131="No","⚠ Missing",IF(AK131="Yes","✓ OK","⚠ Check"))))</f>
        <v/>
      </c>
      <c r="AO131" s="36" t="n"/>
      <c r="AP131" s="36" t="n"/>
      <c r="AQ131" s="36" t="n"/>
      <c r="AR131" s="36" t="n"/>
      <c r="AS131" s="36" t="n"/>
      <c r="AT131" s="36" t="n"/>
      <c r="AU131" s="27" t="n"/>
      <c r="AV131" s="37" t="n"/>
      <c r="AW131" s="38">
        <f>IF(AO131="","",IF(AR131="Yes","❌ Disc",IF(AQ131="No","⚠ Missing",IF(AT131="Yes","✓ OK","⚠ Check"))))</f>
        <v/>
      </c>
    </row>
    <row r="132" ht="18" customHeight="1" s="46">
      <c r="A132" s="39" t="n">
        <v>136</v>
      </c>
      <c r="B132" s="40" t="inlineStr">
        <is>
          <t>BD-LAM-2023-0286</t>
        </is>
      </c>
      <c r="C132" s="41" t="inlineStr">
        <is>
          <t>Lam SL HG 1mm 1588 Tussock Beige(Gold)</t>
        </is>
      </c>
      <c r="D132" s="39" t="inlineStr">
        <is>
          <t>Stylam</t>
        </is>
      </c>
      <c r="E132" s="43" t="n">
        <v>46125</v>
      </c>
      <c r="F132" s="26" t="inlineStr">
        <is>
          <t>Sunil CR</t>
        </is>
      </c>
      <c r="G132" s="26" t="inlineStr">
        <is>
          <t>Yes</t>
        </is>
      </c>
      <c r="H132" s="26" t="inlineStr">
        <is>
          <t>No</t>
        </is>
      </c>
      <c r="I132" s="26" t="inlineStr">
        <is>
          <t>Good finish</t>
        </is>
      </c>
      <c r="J132" s="26" t="inlineStr">
        <is>
          <t>Yes</t>
        </is>
      </c>
      <c r="K132" s="27" t="inlineStr">
        <is>
          <t>Available in small book</t>
        </is>
      </c>
      <c r="L132" s="28" t="inlineStr">
        <is>
          <t>No</t>
        </is>
      </c>
      <c r="M132" s="29">
        <f>IF(E132="","",IF(H132="Yes","❌ Disc",IF(G132="No","⚠ Missing",IF(J132="Yes","✓ OK","⚠ Check"))))</f>
        <v/>
      </c>
      <c r="N132" s="43" t="n">
        <v>46193</v>
      </c>
      <c r="O132" s="26" t="inlineStr">
        <is>
          <t>Sunil CR</t>
        </is>
      </c>
      <c r="P132" s="26" t="inlineStr">
        <is>
          <t>Yes</t>
        </is>
      </c>
      <c r="Q132" s="26" t="inlineStr">
        <is>
          <t>No</t>
        </is>
      </c>
      <c r="R132" s="26" t="inlineStr">
        <is>
          <t>Good finish</t>
        </is>
      </c>
      <c r="S132" s="26" t="inlineStr">
        <is>
          <t>Yes</t>
        </is>
      </c>
      <c r="T132" s="27" t="inlineStr">
        <is>
          <t>Available in small book</t>
        </is>
      </c>
      <c r="U132" s="28" t="inlineStr">
        <is>
          <t>No</t>
        </is>
      </c>
      <c r="V132" s="29">
        <f>IF(N132="","",IF(Q132="Yes","❌ Disc",IF(P132="No","⚠ Missing",IF(S132="Yes","✓ OK","⚠ Check"))))</f>
        <v/>
      </c>
      <c r="W132" s="65" t="n">
        <v>46248</v>
      </c>
      <c r="X132" s="30" t="inlineStr">
        <is>
          <t>Sunil CR</t>
        </is>
      </c>
      <c r="Y132" s="30" t="inlineStr">
        <is>
          <t>Yes</t>
        </is>
      </c>
      <c r="Z132" s="30" t="n"/>
      <c r="AA132" s="30" t="inlineStr">
        <is>
          <t>Good finish</t>
        </is>
      </c>
      <c r="AB132" s="30" t="inlineStr">
        <is>
          <t>Yes</t>
        </is>
      </c>
      <c r="AC132" s="27" t="inlineStr">
        <is>
          <t>Available in small book</t>
        </is>
      </c>
      <c r="AD132" s="31" t="inlineStr">
        <is>
          <t>No</t>
        </is>
      </c>
      <c r="AE132" s="32">
        <f>IF(W132="","",IF(Z132="Yes","❌ Disc",IF(Y132="No","⚠ Missing",IF(AB132="Yes","✓ OK","⚠ Check"))))</f>
        <v/>
      </c>
      <c r="AF132" s="33" t="n"/>
      <c r="AG132" s="33" t="n"/>
      <c r="AH132" s="33" t="n"/>
      <c r="AI132" s="33" t="n"/>
      <c r="AJ132" s="33" t="n"/>
      <c r="AK132" s="33" t="n"/>
      <c r="AL132" s="27" t="n"/>
      <c r="AM132" s="34" t="n"/>
      <c r="AN132" s="35">
        <f>IF(AF132="","",IF(AI132="Yes","❌ Disc",IF(AH132="No","⚠ Missing",IF(AK132="Yes","✓ OK","⚠ Check"))))</f>
        <v/>
      </c>
      <c r="AO132" s="36" t="n"/>
      <c r="AP132" s="36" t="n"/>
      <c r="AQ132" s="36" t="n"/>
      <c r="AR132" s="36" t="n"/>
      <c r="AS132" s="36" t="n"/>
      <c r="AT132" s="36" t="n"/>
      <c r="AU132" s="27" t="n"/>
      <c r="AV132" s="37" t="n"/>
      <c r="AW132" s="38">
        <f>IF(AO132="","",IF(AR132="Yes","❌ Disc",IF(AQ132="No","⚠ Missing",IF(AT132="Yes","✓ OK","⚠ Check"))))</f>
        <v/>
      </c>
    </row>
    <row r="133" ht="18" customHeight="1" s="46">
      <c r="A133" s="23" t="n">
        <v>137</v>
      </c>
      <c r="B133" s="24" t="inlineStr">
        <is>
          <t>BD-LAM-2023-0240</t>
        </is>
      </c>
      <c r="C133" s="25" t="inlineStr">
        <is>
          <t>Lam SL HG 1mm 1589 Pearl Metallic(Gold)</t>
        </is>
      </c>
      <c r="D133" s="23" t="inlineStr">
        <is>
          <t>Stylam</t>
        </is>
      </c>
      <c r="E133" s="43" t="n">
        <v>46125</v>
      </c>
      <c r="F133" s="26" t="inlineStr">
        <is>
          <t>Sunil CR</t>
        </is>
      </c>
      <c r="G133" s="26" t="inlineStr">
        <is>
          <t>Yes</t>
        </is>
      </c>
      <c r="H133" s="26" t="inlineStr">
        <is>
          <t>No</t>
        </is>
      </c>
      <c r="I133" s="26" t="inlineStr">
        <is>
          <t>Minor defect</t>
        </is>
      </c>
      <c r="J133" s="26" t="inlineStr">
        <is>
          <t>No</t>
        </is>
      </c>
      <c r="K133" s="27" t="inlineStr">
        <is>
          <t>Name Sticker to be Changed</t>
        </is>
      </c>
      <c r="L133" s="28" t="inlineStr">
        <is>
          <t>Yes</t>
        </is>
      </c>
      <c r="M133" s="29">
        <f>IF(E133="","",IF(H133="Yes","❌ Disc",IF(G133="No","⚠ Missing",IF(J133="Yes","✓ OK","⚠ Check"))))</f>
        <v/>
      </c>
      <c r="N133" s="43" t="n">
        <v>46193</v>
      </c>
      <c r="O133" s="26" t="inlineStr">
        <is>
          <t>Sunil CR</t>
        </is>
      </c>
      <c r="P133" s="26" t="inlineStr">
        <is>
          <t>Yes</t>
        </is>
      </c>
      <c r="Q133" s="26" t="inlineStr">
        <is>
          <t>No</t>
        </is>
      </c>
      <c r="R133" s="26" t="inlineStr">
        <is>
          <t>Minor defect</t>
        </is>
      </c>
      <c r="S133" s="26" t="inlineStr">
        <is>
          <t>No</t>
        </is>
      </c>
      <c r="T133" s="27" t="inlineStr">
        <is>
          <t>Name Sticker to be Changed</t>
        </is>
      </c>
      <c r="U133" s="28" t="inlineStr">
        <is>
          <t>Yes</t>
        </is>
      </c>
      <c r="V133" s="29">
        <f>IF(N133="","",IF(Q133="Yes","❌ Disc",IF(P133="No","⚠ Missing",IF(S133="Yes","✓ OK","⚠ Check"))))</f>
        <v/>
      </c>
      <c r="W133" s="65" t="n">
        <v>46248</v>
      </c>
      <c r="X133" s="30" t="inlineStr">
        <is>
          <t>Sunil CR</t>
        </is>
      </c>
      <c r="Y133" s="30" t="inlineStr">
        <is>
          <t>Yes</t>
        </is>
      </c>
      <c r="Z133" s="30" t="n"/>
      <c r="AA133" s="30" t="inlineStr">
        <is>
          <t>Minor defect</t>
        </is>
      </c>
      <c r="AB133" s="30" t="inlineStr">
        <is>
          <t>No</t>
        </is>
      </c>
      <c r="AC133" s="27" t="inlineStr">
        <is>
          <t>Name Sticker to be Changed</t>
        </is>
      </c>
      <c r="AD133" s="31" t="inlineStr">
        <is>
          <t>Yes</t>
        </is>
      </c>
      <c r="AE133" s="32">
        <f>IF(W133="","",IF(Z133="Yes","❌ Disc",IF(Y133="No","⚠ Missing",IF(AB133="Yes","✓ OK","⚠ Check"))))</f>
        <v/>
      </c>
      <c r="AF133" s="33" t="n"/>
      <c r="AG133" s="33" t="n"/>
      <c r="AH133" s="33" t="n"/>
      <c r="AI133" s="33" t="n"/>
      <c r="AJ133" s="33" t="n"/>
      <c r="AK133" s="33" t="n"/>
      <c r="AL133" s="27" t="n"/>
      <c r="AM133" s="34" t="n"/>
      <c r="AN133" s="35">
        <f>IF(AF133="","",IF(AI133="Yes","❌ Disc",IF(AH133="No","⚠ Missing",IF(AK133="Yes","✓ OK","⚠ Check"))))</f>
        <v/>
      </c>
      <c r="AO133" s="36" t="n"/>
      <c r="AP133" s="36" t="n"/>
      <c r="AQ133" s="36" t="n"/>
      <c r="AR133" s="36" t="n"/>
      <c r="AS133" s="36" t="n"/>
      <c r="AT133" s="36" t="n"/>
      <c r="AU133" s="27" t="n"/>
      <c r="AV133" s="37" t="n"/>
      <c r="AW133" s="38">
        <f>IF(AO133="","",IF(AR133="Yes","❌ Disc",IF(AQ133="No","⚠ Missing",IF(AT133="Yes","✓ OK","⚠ Check"))))</f>
        <v/>
      </c>
    </row>
    <row r="134" ht="18" customHeight="1" s="46">
      <c r="A134" s="39" t="n">
        <v>138</v>
      </c>
      <c r="B134" s="40" t="inlineStr">
        <is>
          <t>BD-LAM-2023-0308</t>
        </is>
      </c>
      <c r="C134" s="41" t="inlineStr">
        <is>
          <t>Lam SL HG 1mm 1590 Wickham Grey(Gold)</t>
        </is>
      </c>
      <c r="D134" s="39" t="inlineStr">
        <is>
          <t>Stylam</t>
        </is>
      </c>
      <c r="E134" s="43" t="n">
        <v>46125</v>
      </c>
      <c r="F134" s="26" t="inlineStr">
        <is>
          <t>Sunil CR</t>
        </is>
      </c>
      <c r="G134" s="26" t="inlineStr">
        <is>
          <t>Yes</t>
        </is>
      </c>
      <c r="H134" s="26" t="inlineStr">
        <is>
          <t>No</t>
        </is>
      </c>
      <c r="I134" s="26" t="inlineStr">
        <is>
          <t>Good finish</t>
        </is>
      </c>
      <c r="J134" s="26" t="inlineStr">
        <is>
          <t>Yes</t>
        </is>
      </c>
      <c r="K134" s="27" t="n"/>
      <c r="L134" s="28" t="inlineStr">
        <is>
          <t>No</t>
        </is>
      </c>
      <c r="M134" s="29">
        <f>IF(E134="","",IF(H134="Yes","❌ Disc",IF(G134="No","⚠ Missing",IF(J134="Yes","✓ OK","⚠ Check"))))</f>
        <v/>
      </c>
      <c r="N134" s="43" t="n">
        <v>46193</v>
      </c>
      <c r="O134" s="26" t="inlineStr">
        <is>
          <t>Sunil CR</t>
        </is>
      </c>
      <c r="P134" s="26" t="inlineStr">
        <is>
          <t>Yes</t>
        </is>
      </c>
      <c r="Q134" s="26" t="inlineStr">
        <is>
          <t>No</t>
        </is>
      </c>
      <c r="R134" s="26" t="inlineStr">
        <is>
          <t>Good finish</t>
        </is>
      </c>
      <c r="S134" s="26" t="inlineStr">
        <is>
          <t>Yes</t>
        </is>
      </c>
      <c r="T134" s="27" t="n"/>
      <c r="U134" s="28" t="inlineStr">
        <is>
          <t>No</t>
        </is>
      </c>
      <c r="V134" s="29">
        <f>IF(N134="","",IF(Q134="Yes","❌ Disc",IF(P134="No","⚠ Missing",IF(S134="Yes","✓ OK","⚠ Check"))))</f>
        <v/>
      </c>
      <c r="W134" s="65" t="n">
        <v>46248</v>
      </c>
      <c r="X134" s="30" t="inlineStr">
        <is>
          <t>Sunil CR</t>
        </is>
      </c>
      <c r="Y134" s="30" t="inlineStr">
        <is>
          <t>Yes</t>
        </is>
      </c>
      <c r="Z134" s="30" t="n"/>
      <c r="AA134" s="30" t="inlineStr">
        <is>
          <t>Good finish</t>
        </is>
      </c>
      <c r="AB134" s="30" t="inlineStr">
        <is>
          <t>Yes</t>
        </is>
      </c>
      <c r="AC134" s="27" t="n"/>
      <c r="AD134" s="31" t="inlineStr">
        <is>
          <t>No</t>
        </is>
      </c>
      <c r="AE134" s="32">
        <f>IF(W134="","",IF(Z134="Yes","❌ Disc",IF(Y134="No","⚠ Missing",IF(AB134="Yes","✓ OK","⚠ Check"))))</f>
        <v/>
      </c>
      <c r="AF134" s="33" t="n"/>
      <c r="AG134" s="33" t="n"/>
      <c r="AH134" s="33" t="n"/>
      <c r="AI134" s="33" t="n"/>
      <c r="AJ134" s="33" t="n"/>
      <c r="AK134" s="33" t="n"/>
      <c r="AL134" s="27" t="n"/>
      <c r="AM134" s="34" t="n"/>
      <c r="AN134" s="35">
        <f>IF(AF134="","",IF(AI134="Yes","❌ Disc",IF(AH134="No","⚠ Missing",IF(AK134="Yes","✓ OK","⚠ Check"))))</f>
        <v/>
      </c>
      <c r="AO134" s="36" t="n"/>
      <c r="AP134" s="36" t="n"/>
      <c r="AQ134" s="36" t="n"/>
      <c r="AR134" s="36" t="n"/>
      <c r="AS134" s="36" t="n"/>
      <c r="AT134" s="36" t="n"/>
      <c r="AU134" s="27" t="n"/>
      <c r="AV134" s="37" t="n"/>
      <c r="AW134" s="38">
        <f>IF(AO134="","",IF(AR134="Yes","❌ Disc",IF(AQ134="No","⚠ Missing",IF(AT134="Yes","✓ OK","⚠ Check"))))</f>
        <v/>
      </c>
    </row>
    <row r="135" ht="18" customHeight="1" s="46">
      <c r="A135" s="23" t="n">
        <v>139</v>
      </c>
      <c r="B135" s="24" t="inlineStr">
        <is>
          <t>BD-LAM-2023-0116</t>
        </is>
      </c>
      <c r="C135" s="25" t="inlineStr">
        <is>
          <t>Lam SL HG 1mm 1591 Bronce Metallic(Gold)</t>
        </is>
      </c>
      <c r="D135" s="23" t="inlineStr">
        <is>
          <t>Stylam</t>
        </is>
      </c>
      <c r="E135" s="43" t="n">
        <v>46125</v>
      </c>
      <c r="F135" s="26" t="inlineStr">
        <is>
          <t>Sunil CR</t>
        </is>
      </c>
      <c r="G135" s="26" t="inlineStr">
        <is>
          <t>Yes</t>
        </is>
      </c>
      <c r="H135" s="26" t="inlineStr">
        <is>
          <t>No</t>
        </is>
      </c>
      <c r="I135" s="26" t="inlineStr">
        <is>
          <t>Good finish</t>
        </is>
      </c>
      <c r="J135" s="26" t="inlineStr">
        <is>
          <t>Yes</t>
        </is>
      </c>
      <c r="K135" s="27" t="inlineStr">
        <is>
          <t>Available in small book</t>
        </is>
      </c>
      <c r="L135" s="28" t="inlineStr">
        <is>
          <t>No</t>
        </is>
      </c>
      <c r="M135" s="29">
        <f>IF(E135="","",IF(H135="Yes","❌ Disc",IF(G135="No","⚠ Missing",IF(J135="Yes","✓ OK","⚠ Check"))))</f>
        <v/>
      </c>
      <c r="N135" s="43" t="n">
        <v>46193</v>
      </c>
      <c r="O135" s="26" t="inlineStr">
        <is>
          <t>Sunil CR</t>
        </is>
      </c>
      <c r="P135" s="26" t="inlineStr">
        <is>
          <t>Yes</t>
        </is>
      </c>
      <c r="Q135" s="26" t="inlineStr">
        <is>
          <t>No</t>
        </is>
      </c>
      <c r="R135" s="26" t="inlineStr">
        <is>
          <t>Good finish</t>
        </is>
      </c>
      <c r="S135" s="26" t="inlineStr">
        <is>
          <t>Yes</t>
        </is>
      </c>
      <c r="T135" s="27" t="inlineStr">
        <is>
          <t>Available in small book</t>
        </is>
      </c>
      <c r="U135" s="28" t="inlineStr">
        <is>
          <t>No</t>
        </is>
      </c>
      <c r="V135" s="29">
        <f>IF(N135="","",IF(Q135="Yes","❌ Disc",IF(P135="No","⚠ Missing",IF(S135="Yes","✓ OK","⚠ Check"))))</f>
        <v/>
      </c>
      <c r="W135" s="65" t="n">
        <v>46248</v>
      </c>
      <c r="X135" s="30" t="inlineStr">
        <is>
          <t>Sunil CR</t>
        </is>
      </c>
      <c r="Y135" s="30" t="inlineStr">
        <is>
          <t>Yes</t>
        </is>
      </c>
      <c r="Z135" s="30" t="n"/>
      <c r="AA135" s="30" t="inlineStr">
        <is>
          <t>Good finish</t>
        </is>
      </c>
      <c r="AB135" s="30" t="inlineStr">
        <is>
          <t>Yes</t>
        </is>
      </c>
      <c r="AC135" s="27" t="inlineStr">
        <is>
          <t>Available in small book</t>
        </is>
      </c>
      <c r="AD135" s="31" t="inlineStr">
        <is>
          <t>No</t>
        </is>
      </c>
      <c r="AE135" s="32">
        <f>IF(W135="","",IF(Z135="Yes","❌ Disc",IF(Y135="No","⚠ Missing",IF(AB135="Yes","✓ OK","⚠ Check"))))</f>
        <v/>
      </c>
      <c r="AF135" s="33" t="n"/>
      <c r="AG135" s="33" t="n"/>
      <c r="AH135" s="33" t="n"/>
      <c r="AI135" s="33" t="n"/>
      <c r="AJ135" s="33" t="n"/>
      <c r="AK135" s="33" t="n"/>
      <c r="AL135" s="27" t="n"/>
      <c r="AM135" s="34" t="n"/>
      <c r="AN135" s="35">
        <f>IF(AF135="","",IF(AI135="Yes","❌ Disc",IF(AH135="No","⚠ Missing",IF(AK135="Yes","✓ OK","⚠ Check"))))</f>
        <v/>
      </c>
      <c r="AO135" s="36" t="n"/>
      <c r="AP135" s="36" t="n"/>
      <c r="AQ135" s="36" t="n"/>
      <c r="AR135" s="36" t="n"/>
      <c r="AS135" s="36" t="n"/>
      <c r="AT135" s="36" t="n"/>
      <c r="AU135" s="27" t="n"/>
      <c r="AV135" s="37" t="n"/>
      <c r="AW135" s="38">
        <f>IF(AO135="","",IF(AR135="Yes","❌ Disc",IF(AQ135="No","⚠ Missing",IF(AT135="Yes","✓ OK","⚠ Check"))))</f>
        <v/>
      </c>
    </row>
    <row r="136" ht="18" customHeight="1" s="46">
      <c r="A136" s="39" t="n">
        <v>140</v>
      </c>
      <c r="B136" s="40" t="inlineStr">
        <is>
          <t>BD-LAM-2023-0296</t>
        </is>
      </c>
      <c r="C136" s="41" t="inlineStr">
        <is>
          <t>Lam SL HG 1mm 1611 Vogue Light Chips(Gold)</t>
        </is>
      </c>
      <c r="D136" s="39" t="inlineStr">
        <is>
          <t>Stylam</t>
        </is>
      </c>
      <c r="E136" s="43" t="n">
        <v>46125</v>
      </c>
      <c r="F136" s="26" t="inlineStr">
        <is>
          <t>Sunil CR</t>
        </is>
      </c>
      <c r="G136" s="26" t="inlineStr">
        <is>
          <t>Yes</t>
        </is>
      </c>
      <c r="H136" s="26" t="inlineStr">
        <is>
          <t>No</t>
        </is>
      </c>
      <c r="I136" s="26" t="inlineStr">
        <is>
          <t>Good finish</t>
        </is>
      </c>
      <c r="J136" s="26" t="inlineStr">
        <is>
          <t>Yes</t>
        </is>
      </c>
      <c r="K136" s="27" t="inlineStr">
        <is>
          <t>Available in small book</t>
        </is>
      </c>
      <c r="L136" s="28" t="inlineStr">
        <is>
          <t>No</t>
        </is>
      </c>
      <c r="M136" s="29">
        <f>IF(E136="","",IF(H136="Yes","❌ Disc",IF(G136="No","⚠ Missing",IF(J136="Yes","✓ OK","⚠ Check"))))</f>
        <v/>
      </c>
      <c r="N136" s="43" t="n">
        <v>46193</v>
      </c>
      <c r="O136" s="26" t="inlineStr">
        <is>
          <t>Sunil CR</t>
        </is>
      </c>
      <c r="P136" s="26" t="inlineStr">
        <is>
          <t>No</t>
        </is>
      </c>
      <c r="Q136" s="26" t="inlineStr">
        <is>
          <t>Yes</t>
        </is>
      </c>
      <c r="R136" s="26" t="inlineStr">
        <is>
          <t>Discontinued</t>
        </is>
      </c>
      <c r="S136" s="26" t="inlineStr">
        <is>
          <t>No</t>
        </is>
      </c>
      <c r="T136" s="27" t="n"/>
      <c r="U136" s="28" t="inlineStr">
        <is>
          <t>No</t>
        </is>
      </c>
      <c r="V136" s="29">
        <f>IF(N136="","",IF(Q136="Yes","❌ Disc",IF(P136="No","⚠ Missing",IF(S136="Yes","✓ OK","⚠ Check"))))</f>
        <v/>
      </c>
      <c r="W136" s="65" t="n">
        <v>46248</v>
      </c>
      <c r="X136" s="30" t="inlineStr">
        <is>
          <t>Sunil CR</t>
        </is>
      </c>
      <c r="Y136" s="30" t="inlineStr">
        <is>
          <t>No</t>
        </is>
      </c>
      <c r="Z136" s="30" t="inlineStr">
        <is>
          <t>Yes</t>
        </is>
      </c>
      <c r="AA136" s="30" t="inlineStr">
        <is>
          <t>Discontinued</t>
        </is>
      </c>
      <c r="AB136" s="30" t="inlineStr">
        <is>
          <t>No</t>
        </is>
      </c>
      <c r="AC136" s="27" t="n"/>
      <c r="AD136" s="31" t="inlineStr">
        <is>
          <t>No</t>
        </is>
      </c>
      <c r="AE136" s="32">
        <f>IF(W136="","",IF(Z136="Yes","❌ Disc",IF(Y136="No","⚠ Missing",IF(AB136="Yes","✓ OK","⚠ Check"))))</f>
        <v/>
      </c>
      <c r="AF136" s="33" t="n"/>
      <c r="AG136" s="33" t="n"/>
      <c r="AH136" s="33" t="n"/>
      <c r="AI136" s="33" t="n"/>
      <c r="AJ136" s="33" t="n"/>
      <c r="AK136" s="33" t="n"/>
      <c r="AL136" s="27" t="n"/>
      <c r="AM136" s="34" t="n"/>
      <c r="AN136" s="35">
        <f>IF(AF136="","",IF(AI136="Yes","❌ Disc",IF(AH136="No","⚠ Missing",IF(AK136="Yes","✓ OK","⚠ Check"))))</f>
        <v/>
      </c>
      <c r="AO136" s="36" t="n"/>
      <c r="AP136" s="36" t="n"/>
      <c r="AQ136" s="36" t="n"/>
      <c r="AR136" s="36" t="n"/>
      <c r="AS136" s="36" t="n"/>
      <c r="AT136" s="36" t="n"/>
      <c r="AU136" s="27" t="n"/>
      <c r="AV136" s="37" t="n"/>
      <c r="AW136" s="38">
        <f>IF(AO136="","",IF(AR136="Yes","❌ Disc",IF(AQ136="No","⚠ Missing",IF(AT136="Yes","✓ OK","⚠ Check"))))</f>
        <v/>
      </c>
    </row>
    <row r="137" ht="18" customHeight="1" s="46">
      <c r="A137" s="23" t="n">
        <v>141</v>
      </c>
      <c r="B137" s="24" t="inlineStr">
        <is>
          <t>BD-LAM-2023-0092</t>
        </is>
      </c>
      <c r="C137" s="25" t="inlineStr">
        <is>
          <t>Lam SL HG 1mm 1614 Ascona White(Gold)</t>
        </is>
      </c>
      <c r="D137" s="23" t="inlineStr">
        <is>
          <t>Stylam</t>
        </is>
      </c>
      <c r="E137" s="43" t="n">
        <v>46125</v>
      </c>
      <c r="F137" s="26" t="inlineStr">
        <is>
          <t>Sunil CR</t>
        </is>
      </c>
      <c r="G137" s="26" t="inlineStr">
        <is>
          <t>Yes</t>
        </is>
      </c>
      <c r="H137" s="26" t="inlineStr">
        <is>
          <t>No</t>
        </is>
      </c>
      <c r="I137" s="26" t="inlineStr">
        <is>
          <t>Good finish</t>
        </is>
      </c>
      <c r="J137" s="26" t="inlineStr">
        <is>
          <t>Yes</t>
        </is>
      </c>
      <c r="K137" s="27" t="n"/>
      <c r="L137" s="28" t="inlineStr">
        <is>
          <t>No</t>
        </is>
      </c>
      <c r="M137" s="29">
        <f>IF(E137="","",IF(H137="Yes","❌ Disc",IF(G137="No","⚠ Missing",IF(J137="Yes","✓ OK","⚠ Check"))))</f>
        <v/>
      </c>
      <c r="N137" s="43" t="n">
        <v>46193</v>
      </c>
      <c r="O137" s="26" t="inlineStr">
        <is>
          <t>Sunil CR</t>
        </is>
      </c>
      <c r="P137" s="26" t="inlineStr">
        <is>
          <t>No</t>
        </is>
      </c>
      <c r="Q137" s="26" t="inlineStr">
        <is>
          <t>Yes</t>
        </is>
      </c>
      <c r="R137" s="26" t="inlineStr">
        <is>
          <t>Discontinued</t>
        </is>
      </c>
      <c r="S137" s="26" t="inlineStr">
        <is>
          <t>No</t>
        </is>
      </c>
      <c r="T137" s="27" t="n"/>
      <c r="U137" s="28" t="inlineStr">
        <is>
          <t>No</t>
        </is>
      </c>
      <c r="V137" s="29">
        <f>IF(N137="","",IF(Q137="Yes","❌ Disc",IF(P137="No","⚠ Missing",IF(S137="Yes","✓ OK","⚠ Check"))))</f>
        <v/>
      </c>
      <c r="W137" s="65" t="n">
        <v>46248</v>
      </c>
      <c r="X137" s="30" t="inlineStr">
        <is>
          <t>Sunil CR</t>
        </is>
      </c>
      <c r="Y137" s="30" t="inlineStr">
        <is>
          <t>No</t>
        </is>
      </c>
      <c r="Z137" s="30" t="inlineStr">
        <is>
          <t>Yes</t>
        </is>
      </c>
      <c r="AA137" s="30" t="inlineStr">
        <is>
          <t>Discontinued</t>
        </is>
      </c>
      <c r="AB137" s="30" t="inlineStr">
        <is>
          <t>No</t>
        </is>
      </c>
      <c r="AC137" s="27" t="n"/>
      <c r="AD137" s="31" t="inlineStr">
        <is>
          <t>No</t>
        </is>
      </c>
      <c r="AE137" s="32">
        <f>IF(W137="","",IF(Z137="Yes","❌ Disc",IF(Y137="No","⚠ Missing",IF(AB137="Yes","✓ OK","⚠ Check"))))</f>
        <v/>
      </c>
      <c r="AF137" s="33" t="n"/>
      <c r="AG137" s="33" t="n"/>
      <c r="AH137" s="33" t="n"/>
      <c r="AI137" s="33" t="n"/>
      <c r="AJ137" s="33" t="n"/>
      <c r="AK137" s="33" t="n"/>
      <c r="AL137" s="27" t="n"/>
      <c r="AM137" s="34" t="n"/>
      <c r="AN137" s="35">
        <f>IF(AF137="","",IF(AI137="Yes","❌ Disc",IF(AH137="No","⚠ Missing",IF(AK137="Yes","✓ OK","⚠ Check"))))</f>
        <v/>
      </c>
      <c r="AO137" s="36" t="n"/>
      <c r="AP137" s="36" t="n"/>
      <c r="AQ137" s="36" t="n"/>
      <c r="AR137" s="36" t="n"/>
      <c r="AS137" s="36" t="n"/>
      <c r="AT137" s="36" t="n"/>
      <c r="AU137" s="27" t="n"/>
      <c r="AV137" s="37" t="n"/>
      <c r="AW137" s="38">
        <f>IF(AO137="","",IF(AR137="Yes","❌ Disc",IF(AQ137="No","⚠ Missing",IF(AT137="Yes","✓ OK","⚠ Check"))))</f>
        <v/>
      </c>
    </row>
    <row r="138" ht="18" customHeight="1" s="46">
      <c r="A138" s="39" t="n">
        <v>142</v>
      </c>
      <c r="B138" s="40" t="inlineStr">
        <is>
          <t>BD-LAM-2023-0214</t>
        </is>
      </c>
      <c r="C138" s="41" t="inlineStr">
        <is>
          <t>Lam SL HG 1mm 2138 Natural Wenge(Gold)</t>
        </is>
      </c>
      <c r="D138" s="39" t="inlineStr">
        <is>
          <t>Stylam</t>
        </is>
      </c>
      <c r="E138" s="43" t="n">
        <v>46125</v>
      </c>
      <c r="F138" s="26" t="inlineStr">
        <is>
          <t>Sunil CR</t>
        </is>
      </c>
      <c r="G138" s="26" t="inlineStr">
        <is>
          <t>Yes</t>
        </is>
      </c>
      <c r="H138" s="26" t="inlineStr">
        <is>
          <t>No</t>
        </is>
      </c>
      <c r="I138" s="26" t="inlineStr">
        <is>
          <t>Good finish</t>
        </is>
      </c>
      <c r="J138" s="26" t="inlineStr">
        <is>
          <t>Yes</t>
        </is>
      </c>
      <c r="K138" s="27" t="inlineStr">
        <is>
          <t>Available in small book</t>
        </is>
      </c>
      <c r="L138" s="28" t="inlineStr">
        <is>
          <t>No</t>
        </is>
      </c>
      <c r="M138" s="29">
        <f>IF(E138="","",IF(H138="Yes","❌ Disc",IF(G138="No","⚠ Missing",IF(J138="Yes","✓ OK","⚠ Check"))))</f>
        <v/>
      </c>
      <c r="N138" s="43" t="n">
        <v>46193</v>
      </c>
      <c r="O138" s="26" t="inlineStr">
        <is>
          <t>Sunil CR</t>
        </is>
      </c>
      <c r="P138" s="26" t="inlineStr">
        <is>
          <t>Yes</t>
        </is>
      </c>
      <c r="Q138" s="26" t="inlineStr">
        <is>
          <t>No</t>
        </is>
      </c>
      <c r="R138" s="26" t="inlineStr">
        <is>
          <t>Good finish</t>
        </is>
      </c>
      <c r="S138" s="26" t="inlineStr">
        <is>
          <t>Yes</t>
        </is>
      </c>
      <c r="T138" s="27" t="inlineStr">
        <is>
          <t>Available in small book</t>
        </is>
      </c>
      <c r="U138" s="28" t="inlineStr">
        <is>
          <t>No</t>
        </is>
      </c>
      <c r="V138" s="29">
        <f>IF(N138="","",IF(Q138="Yes","❌ Disc",IF(P138="No","⚠ Missing",IF(S138="Yes","✓ OK","⚠ Check"))))</f>
        <v/>
      </c>
      <c r="W138" s="65" t="n">
        <v>46248</v>
      </c>
      <c r="X138" s="30" t="inlineStr">
        <is>
          <t>Sunil CR</t>
        </is>
      </c>
      <c r="Y138" s="30" t="inlineStr">
        <is>
          <t>Yes</t>
        </is>
      </c>
      <c r="Z138" s="30" t="n"/>
      <c r="AA138" s="30" t="inlineStr">
        <is>
          <t>Good finish</t>
        </is>
      </c>
      <c r="AB138" s="30" t="inlineStr">
        <is>
          <t>Yes</t>
        </is>
      </c>
      <c r="AC138" s="27" t="inlineStr">
        <is>
          <t>Available in small book</t>
        </is>
      </c>
      <c r="AD138" s="31" t="inlineStr">
        <is>
          <t>No</t>
        </is>
      </c>
      <c r="AE138" s="32">
        <f>IF(W138="","",IF(Z138="Yes","❌ Disc",IF(Y138="No","⚠ Missing",IF(AB138="Yes","✓ OK","⚠ Check"))))</f>
        <v/>
      </c>
      <c r="AF138" s="33" t="n"/>
      <c r="AG138" s="33" t="n"/>
      <c r="AH138" s="33" t="n"/>
      <c r="AI138" s="33" t="n"/>
      <c r="AJ138" s="33" t="n"/>
      <c r="AK138" s="33" t="n"/>
      <c r="AL138" s="27" t="n"/>
      <c r="AM138" s="34" t="n"/>
      <c r="AN138" s="35">
        <f>IF(AF138="","",IF(AI138="Yes","❌ Disc",IF(AH138="No","⚠ Missing",IF(AK138="Yes","✓ OK","⚠ Check"))))</f>
        <v/>
      </c>
      <c r="AO138" s="36" t="n"/>
      <c r="AP138" s="36" t="n"/>
      <c r="AQ138" s="36" t="n"/>
      <c r="AR138" s="36" t="n"/>
      <c r="AS138" s="36" t="n"/>
      <c r="AT138" s="36" t="n"/>
      <c r="AU138" s="27" t="n"/>
      <c r="AV138" s="37" t="n"/>
      <c r="AW138" s="38">
        <f>IF(AO138="","",IF(AR138="Yes","❌ Disc",IF(AQ138="No","⚠ Missing",IF(AT138="Yes","✓ OK","⚠ Check"))))</f>
        <v/>
      </c>
    </row>
    <row r="139" ht="18" customHeight="1" s="46">
      <c r="A139" s="23" t="n">
        <v>143</v>
      </c>
      <c r="B139" s="24" t="inlineStr">
        <is>
          <t>BD-LAM-2023-0122</t>
        </is>
      </c>
      <c r="C139" s="25" t="inlineStr">
        <is>
          <t>Lam SL HG 1mm 2289 Carolina Rovere (Gold)</t>
        </is>
      </c>
      <c r="D139" s="23" t="inlineStr">
        <is>
          <t>Stylam</t>
        </is>
      </c>
      <c r="E139" s="43" t="n">
        <v>46125</v>
      </c>
      <c r="F139" s="26" t="inlineStr">
        <is>
          <t>Sunil CR</t>
        </is>
      </c>
      <c r="G139" s="26" t="inlineStr">
        <is>
          <t>Yes</t>
        </is>
      </c>
      <c r="H139" s="26" t="inlineStr">
        <is>
          <t>No</t>
        </is>
      </c>
      <c r="I139" s="26" t="inlineStr">
        <is>
          <t>Good finish</t>
        </is>
      </c>
      <c r="J139" s="26" t="inlineStr">
        <is>
          <t>Yes</t>
        </is>
      </c>
      <c r="K139" s="27" t="inlineStr">
        <is>
          <t>Available in small book</t>
        </is>
      </c>
      <c r="L139" s="28" t="inlineStr">
        <is>
          <t>No</t>
        </is>
      </c>
      <c r="M139" s="29">
        <f>IF(E139="","",IF(H139="Yes","❌ Disc",IF(G139="No","⚠ Missing",IF(J139="Yes","✓ OK","⚠ Check"))))</f>
        <v/>
      </c>
      <c r="N139" s="43" t="n">
        <v>46193</v>
      </c>
      <c r="O139" s="26" t="inlineStr">
        <is>
          <t>Sunil CR</t>
        </is>
      </c>
      <c r="P139" s="26" t="inlineStr">
        <is>
          <t>Yes</t>
        </is>
      </c>
      <c r="Q139" s="26" t="inlineStr">
        <is>
          <t>No</t>
        </is>
      </c>
      <c r="R139" s="26" t="inlineStr">
        <is>
          <t>Good finish</t>
        </is>
      </c>
      <c r="S139" s="26" t="inlineStr">
        <is>
          <t>Yes</t>
        </is>
      </c>
      <c r="T139" s="27" t="inlineStr">
        <is>
          <t>Available in small book</t>
        </is>
      </c>
      <c r="U139" s="28" t="inlineStr">
        <is>
          <t>No</t>
        </is>
      </c>
      <c r="V139" s="29">
        <f>IF(N139="","",IF(Q139="Yes","❌ Disc",IF(P139="No","⚠ Missing",IF(S139="Yes","✓ OK","⚠ Check"))))</f>
        <v/>
      </c>
      <c r="W139" s="65" t="n">
        <v>46248</v>
      </c>
      <c r="X139" s="30" t="inlineStr">
        <is>
          <t>Sunil CR</t>
        </is>
      </c>
      <c r="Y139" s="30" t="inlineStr">
        <is>
          <t>Yes</t>
        </is>
      </c>
      <c r="Z139" s="30" t="n"/>
      <c r="AA139" s="30" t="inlineStr">
        <is>
          <t>Good finish</t>
        </is>
      </c>
      <c r="AB139" s="30" t="inlineStr">
        <is>
          <t>Yes</t>
        </is>
      </c>
      <c r="AC139" s="27" t="inlineStr">
        <is>
          <t>Available in small book</t>
        </is>
      </c>
      <c r="AD139" s="31" t="inlineStr">
        <is>
          <t>No</t>
        </is>
      </c>
      <c r="AE139" s="32">
        <f>IF(W139="","",IF(Z139="Yes","❌ Disc",IF(Y139="No","⚠ Missing",IF(AB139="Yes","✓ OK","⚠ Check"))))</f>
        <v/>
      </c>
      <c r="AF139" s="33" t="n"/>
      <c r="AG139" s="33" t="n"/>
      <c r="AH139" s="33" t="n"/>
      <c r="AI139" s="33" t="n"/>
      <c r="AJ139" s="33" t="n"/>
      <c r="AK139" s="33" t="n"/>
      <c r="AL139" s="27" t="n"/>
      <c r="AM139" s="34" t="n"/>
      <c r="AN139" s="35">
        <f>IF(AF139="","",IF(AI139="Yes","❌ Disc",IF(AH139="No","⚠ Missing",IF(AK139="Yes","✓ OK","⚠ Check"))))</f>
        <v/>
      </c>
      <c r="AO139" s="36" t="n"/>
      <c r="AP139" s="36" t="n"/>
      <c r="AQ139" s="36" t="n"/>
      <c r="AR139" s="36" t="n"/>
      <c r="AS139" s="36" t="n"/>
      <c r="AT139" s="36" t="n"/>
      <c r="AU139" s="27" t="n"/>
      <c r="AV139" s="37" t="n"/>
      <c r="AW139" s="38">
        <f>IF(AO139="","",IF(AR139="Yes","❌ Disc",IF(AQ139="No","⚠ Missing",IF(AT139="Yes","✓ OK","⚠ Check"))))</f>
        <v/>
      </c>
    </row>
    <row r="140" ht="18" customHeight="1" s="46">
      <c r="A140" s="39" t="n">
        <v>144</v>
      </c>
      <c r="B140" s="40" t="inlineStr">
        <is>
          <t>BD-LAM-2023-0201</t>
        </is>
      </c>
      <c r="C140" s="41" t="inlineStr">
        <is>
          <t>Lam SL HG 1mm 2463 Minor Desert(Gold)</t>
        </is>
      </c>
      <c r="D140" s="39" t="inlineStr">
        <is>
          <t>Stylam</t>
        </is>
      </c>
      <c r="E140" s="43" t="n">
        <v>46125</v>
      </c>
      <c r="F140" s="26" t="inlineStr">
        <is>
          <t>Sunil CR</t>
        </is>
      </c>
      <c r="G140" s="26" t="inlineStr">
        <is>
          <t>Yes</t>
        </is>
      </c>
      <c r="H140" s="26" t="inlineStr">
        <is>
          <t>No</t>
        </is>
      </c>
      <c r="I140" s="26" t="inlineStr">
        <is>
          <t>Good finish</t>
        </is>
      </c>
      <c r="J140" s="26" t="inlineStr">
        <is>
          <t>Yes</t>
        </is>
      </c>
      <c r="K140" s="27" t="n"/>
      <c r="L140" s="28" t="inlineStr">
        <is>
          <t>No</t>
        </is>
      </c>
      <c r="M140" s="29">
        <f>IF(E140="","",IF(H140="Yes","❌ Disc",IF(G140="No","⚠ Missing",IF(J140="Yes","✓ OK","⚠ Check"))))</f>
        <v/>
      </c>
      <c r="N140" s="43" t="n">
        <v>46193</v>
      </c>
      <c r="O140" s="26" t="inlineStr">
        <is>
          <t>Sunil CR</t>
        </is>
      </c>
      <c r="P140" s="26" t="inlineStr">
        <is>
          <t>No</t>
        </is>
      </c>
      <c r="Q140" s="26" t="inlineStr">
        <is>
          <t>Yes</t>
        </is>
      </c>
      <c r="R140" s="26" t="inlineStr">
        <is>
          <t>Discontinued</t>
        </is>
      </c>
      <c r="S140" s="26" t="inlineStr">
        <is>
          <t>No</t>
        </is>
      </c>
      <c r="T140" s="27" t="n"/>
      <c r="U140" s="28" t="inlineStr">
        <is>
          <t>No</t>
        </is>
      </c>
      <c r="V140" s="29">
        <f>IF(N140="","",IF(Q140="Yes","❌ Disc",IF(P140="No","⚠ Missing",IF(S140="Yes","✓ OK","⚠ Check"))))</f>
        <v/>
      </c>
      <c r="W140" s="65" t="n">
        <v>46248</v>
      </c>
      <c r="X140" s="30" t="inlineStr">
        <is>
          <t>Sunil CR</t>
        </is>
      </c>
      <c r="Y140" s="30" t="inlineStr">
        <is>
          <t>No</t>
        </is>
      </c>
      <c r="Z140" s="30" t="inlineStr">
        <is>
          <t>Yes</t>
        </is>
      </c>
      <c r="AA140" s="30" t="inlineStr">
        <is>
          <t>Discontinued</t>
        </is>
      </c>
      <c r="AB140" s="30" t="inlineStr">
        <is>
          <t>No</t>
        </is>
      </c>
      <c r="AC140" s="27" t="n"/>
      <c r="AD140" s="31" t="inlineStr">
        <is>
          <t>No</t>
        </is>
      </c>
      <c r="AE140" s="32">
        <f>IF(W140="","",IF(Z140="Yes","❌ Disc",IF(Y140="No","⚠ Missing",IF(AB140="Yes","✓ OK","⚠ Check"))))</f>
        <v/>
      </c>
      <c r="AF140" s="33" t="n"/>
      <c r="AG140" s="33" t="n"/>
      <c r="AH140" s="33" t="n"/>
      <c r="AI140" s="33" t="n"/>
      <c r="AJ140" s="33" t="n"/>
      <c r="AK140" s="33" t="n"/>
      <c r="AL140" s="27" t="n"/>
      <c r="AM140" s="34" t="n"/>
      <c r="AN140" s="35">
        <f>IF(AF140="","",IF(AI140="Yes","❌ Disc",IF(AH140="No","⚠ Missing",IF(AK140="Yes","✓ OK","⚠ Check"))))</f>
        <v/>
      </c>
      <c r="AO140" s="36" t="n"/>
      <c r="AP140" s="36" t="n"/>
      <c r="AQ140" s="36" t="n"/>
      <c r="AR140" s="36" t="n"/>
      <c r="AS140" s="36" t="n"/>
      <c r="AT140" s="36" t="n"/>
      <c r="AU140" s="27" t="n"/>
      <c r="AV140" s="37" t="n"/>
      <c r="AW140" s="38">
        <f>IF(AO140="","",IF(AR140="Yes","❌ Disc",IF(AQ140="No","⚠ Missing",IF(AT140="Yes","✓ OK","⚠ Check"))))</f>
        <v/>
      </c>
    </row>
    <row r="141" ht="18" customHeight="1" s="46">
      <c r="A141" s="23" t="n">
        <v>145</v>
      </c>
      <c r="B141" s="24" t="inlineStr">
        <is>
          <t>BD-LAM-2023-0190</t>
        </is>
      </c>
      <c r="C141" s="25" t="inlineStr">
        <is>
          <t>Lam SL HG 1mm 2720 Kenny Oak(Gold)</t>
        </is>
      </c>
      <c r="D141" s="23" t="inlineStr">
        <is>
          <t>Stylam</t>
        </is>
      </c>
      <c r="E141" s="43" t="n">
        <v>46125</v>
      </c>
      <c r="F141" s="26" t="inlineStr">
        <is>
          <t>Sunil CR</t>
        </is>
      </c>
      <c r="G141" s="26" t="inlineStr">
        <is>
          <t>Yes</t>
        </is>
      </c>
      <c r="H141" s="26" t="inlineStr">
        <is>
          <t>No</t>
        </is>
      </c>
      <c r="I141" s="26" t="inlineStr">
        <is>
          <t>Good finish</t>
        </is>
      </c>
      <c r="J141" s="26" t="inlineStr">
        <is>
          <t>Yes</t>
        </is>
      </c>
      <c r="K141" s="27" t="inlineStr">
        <is>
          <t>Available in small book</t>
        </is>
      </c>
      <c r="L141" s="28" t="inlineStr">
        <is>
          <t>No</t>
        </is>
      </c>
      <c r="M141" s="29">
        <f>IF(E141="","",IF(H141="Yes","❌ Disc",IF(G141="No","⚠ Missing",IF(J141="Yes","✓ OK","⚠ Check"))))</f>
        <v/>
      </c>
      <c r="N141" s="43" t="n">
        <v>46193</v>
      </c>
      <c r="O141" s="26" t="inlineStr">
        <is>
          <t>Sunil CR</t>
        </is>
      </c>
      <c r="P141" s="26" t="inlineStr">
        <is>
          <t>Yes</t>
        </is>
      </c>
      <c r="Q141" s="26" t="inlineStr">
        <is>
          <t>No</t>
        </is>
      </c>
      <c r="R141" s="26" t="inlineStr">
        <is>
          <t>Good finish</t>
        </is>
      </c>
      <c r="S141" s="26" t="inlineStr">
        <is>
          <t>Yes</t>
        </is>
      </c>
      <c r="T141" s="27" t="inlineStr">
        <is>
          <t>Available in small book</t>
        </is>
      </c>
      <c r="U141" s="28" t="inlineStr">
        <is>
          <t>No</t>
        </is>
      </c>
      <c r="V141" s="29">
        <f>IF(N141="","",IF(Q141="Yes","❌ Disc",IF(P141="No","⚠ Missing",IF(S141="Yes","✓ OK","⚠ Check"))))</f>
        <v/>
      </c>
      <c r="W141" s="65" t="n">
        <v>46248</v>
      </c>
      <c r="X141" s="30" t="inlineStr">
        <is>
          <t>Sunil CR</t>
        </is>
      </c>
      <c r="Y141" s="30" t="inlineStr">
        <is>
          <t>Yes</t>
        </is>
      </c>
      <c r="Z141" s="30" t="n"/>
      <c r="AA141" s="30" t="inlineStr">
        <is>
          <t>Good finish</t>
        </is>
      </c>
      <c r="AB141" s="30" t="inlineStr">
        <is>
          <t>Yes</t>
        </is>
      </c>
      <c r="AC141" s="27" t="inlineStr">
        <is>
          <t>Available in small book</t>
        </is>
      </c>
      <c r="AD141" s="31" t="inlineStr">
        <is>
          <t>No</t>
        </is>
      </c>
      <c r="AE141" s="32">
        <f>IF(W141="","",IF(Z141="Yes","❌ Disc",IF(Y141="No","⚠ Missing",IF(AB141="Yes","✓ OK","⚠ Check"))))</f>
        <v/>
      </c>
      <c r="AF141" s="33" t="n"/>
      <c r="AG141" s="33" t="n"/>
      <c r="AH141" s="33" t="n"/>
      <c r="AI141" s="33" t="n"/>
      <c r="AJ141" s="33" t="n"/>
      <c r="AK141" s="33" t="n"/>
      <c r="AL141" s="27" t="n"/>
      <c r="AM141" s="34" t="n"/>
      <c r="AN141" s="35">
        <f>IF(AF141="","",IF(AI141="Yes","❌ Disc",IF(AH141="No","⚠ Missing",IF(AK141="Yes","✓ OK","⚠ Check"))))</f>
        <v/>
      </c>
      <c r="AO141" s="36" t="n"/>
      <c r="AP141" s="36" t="n"/>
      <c r="AQ141" s="36" t="n"/>
      <c r="AR141" s="36" t="n"/>
      <c r="AS141" s="36" t="n"/>
      <c r="AT141" s="36" t="n"/>
      <c r="AU141" s="27" t="n"/>
      <c r="AV141" s="37" t="n"/>
      <c r="AW141" s="38">
        <f>IF(AO141="","",IF(AR141="Yes","❌ Disc",IF(AQ141="No","⚠ Missing",IF(AT141="Yes","✓ OK","⚠ Check"))))</f>
        <v/>
      </c>
    </row>
    <row r="142" ht="18" customHeight="1" s="46">
      <c r="A142" s="39" t="n">
        <v>146</v>
      </c>
      <c r="B142" s="40" t="inlineStr">
        <is>
          <t>BD-LAM-2023-0233</t>
        </is>
      </c>
      <c r="C142" s="41" t="inlineStr">
        <is>
          <t>Lam SL HG 1mm 7720 Orlando Walnut(Gold)</t>
        </is>
      </c>
      <c r="D142" s="39" t="inlineStr">
        <is>
          <t>Stylam</t>
        </is>
      </c>
      <c r="E142" s="43" t="n">
        <v>46125</v>
      </c>
      <c r="F142" s="26" t="inlineStr">
        <is>
          <t>Sunil CR</t>
        </is>
      </c>
      <c r="G142" s="26" t="inlineStr">
        <is>
          <t>Yes</t>
        </is>
      </c>
      <c r="H142" s="26" t="inlineStr">
        <is>
          <t>No</t>
        </is>
      </c>
      <c r="I142" s="26" t="inlineStr">
        <is>
          <t>Good finish</t>
        </is>
      </c>
      <c r="J142" s="26" t="inlineStr">
        <is>
          <t>Yes</t>
        </is>
      </c>
      <c r="K142" s="27" t="inlineStr">
        <is>
          <t>Available in small book</t>
        </is>
      </c>
      <c r="L142" s="28" t="inlineStr">
        <is>
          <t>No</t>
        </is>
      </c>
      <c r="M142" s="29">
        <f>IF(E142="","",IF(H142="Yes","❌ Disc",IF(G142="No","⚠ Missing",IF(J142="Yes","✓ OK","⚠ Check"))))</f>
        <v/>
      </c>
      <c r="N142" s="43" t="n">
        <v>46193</v>
      </c>
      <c r="O142" s="26" t="inlineStr">
        <is>
          <t>Sunil CR</t>
        </is>
      </c>
      <c r="P142" s="26" t="inlineStr">
        <is>
          <t>Yes</t>
        </is>
      </c>
      <c r="Q142" s="26" t="inlineStr">
        <is>
          <t>No</t>
        </is>
      </c>
      <c r="R142" s="26" t="inlineStr">
        <is>
          <t>Good finish</t>
        </is>
      </c>
      <c r="S142" s="26" t="inlineStr">
        <is>
          <t>Yes</t>
        </is>
      </c>
      <c r="T142" s="27" t="inlineStr">
        <is>
          <t>Available in small book</t>
        </is>
      </c>
      <c r="U142" s="28" t="inlineStr">
        <is>
          <t>No</t>
        </is>
      </c>
      <c r="V142" s="29">
        <f>IF(N142="","",IF(Q142="Yes","❌ Disc",IF(P142="No","⚠ Missing",IF(S142="Yes","✓ OK","⚠ Check"))))</f>
        <v/>
      </c>
      <c r="W142" s="65" t="n">
        <v>46248</v>
      </c>
      <c r="X142" s="30" t="inlineStr">
        <is>
          <t>Sunil CR</t>
        </is>
      </c>
      <c r="Y142" s="30" t="inlineStr">
        <is>
          <t>Yes</t>
        </is>
      </c>
      <c r="Z142" s="30" t="n"/>
      <c r="AA142" s="30" t="inlineStr">
        <is>
          <t>Good finish</t>
        </is>
      </c>
      <c r="AB142" s="30" t="inlineStr">
        <is>
          <t>Yes</t>
        </is>
      </c>
      <c r="AC142" s="27" t="inlineStr">
        <is>
          <t>Available in small book</t>
        </is>
      </c>
      <c r="AD142" s="31" t="inlineStr">
        <is>
          <t>No</t>
        </is>
      </c>
      <c r="AE142" s="32">
        <f>IF(W142="","",IF(Z142="Yes","❌ Disc",IF(Y142="No","⚠ Missing",IF(AB142="Yes","✓ OK","⚠ Check"))))</f>
        <v/>
      </c>
      <c r="AF142" s="33" t="n"/>
      <c r="AG142" s="33" t="n"/>
      <c r="AH142" s="33" t="n"/>
      <c r="AI142" s="33" t="n"/>
      <c r="AJ142" s="33" t="n"/>
      <c r="AK142" s="33" t="n"/>
      <c r="AL142" s="27" t="n"/>
      <c r="AM142" s="34" t="n"/>
      <c r="AN142" s="35">
        <f>IF(AF142="","",IF(AI142="Yes","❌ Disc",IF(AH142="No","⚠ Missing",IF(AK142="Yes","✓ OK","⚠ Check"))))</f>
        <v/>
      </c>
      <c r="AO142" s="36" t="n"/>
      <c r="AP142" s="36" t="n"/>
      <c r="AQ142" s="36" t="n"/>
      <c r="AR142" s="36" t="n"/>
      <c r="AS142" s="36" t="n"/>
      <c r="AT142" s="36" t="n"/>
      <c r="AU142" s="27" t="n"/>
      <c r="AV142" s="37" t="n"/>
      <c r="AW142" s="38">
        <f>IF(AO142="","",IF(AR142="Yes","❌ Disc",IF(AQ142="No","⚠ Missing",IF(AT142="Yes","✓ OK","⚠ Check"))))</f>
        <v/>
      </c>
    </row>
    <row r="143" ht="18" customHeight="1" s="46">
      <c r="A143" s="23" t="n">
        <v>147</v>
      </c>
      <c r="B143" s="24" t="inlineStr">
        <is>
          <t>BD-LAM-2023-0084</t>
        </is>
      </c>
      <c r="C143" s="25" t="inlineStr">
        <is>
          <t>Lam SL HG 1mm 7853 Amazing Antique(Gold)</t>
        </is>
      </c>
      <c r="D143" s="23" t="inlineStr">
        <is>
          <t>Stylam</t>
        </is>
      </c>
      <c r="E143" s="43" t="n">
        <v>46125</v>
      </c>
      <c r="F143" s="26" t="inlineStr">
        <is>
          <t>Sunil CR</t>
        </is>
      </c>
      <c r="G143" s="26" t="inlineStr">
        <is>
          <t>Yes</t>
        </is>
      </c>
      <c r="H143" s="26" t="inlineStr">
        <is>
          <t>No</t>
        </is>
      </c>
      <c r="I143" s="26" t="inlineStr">
        <is>
          <t>Good finish</t>
        </is>
      </c>
      <c r="J143" s="26" t="inlineStr">
        <is>
          <t>Yes</t>
        </is>
      </c>
      <c r="K143" s="27" t="inlineStr">
        <is>
          <t>Available in small book</t>
        </is>
      </c>
      <c r="L143" s="28" t="inlineStr">
        <is>
          <t>No</t>
        </is>
      </c>
      <c r="M143" s="29">
        <f>IF(E143="","",IF(H143="Yes","❌ Disc",IF(G143="No","⚠ Missing",IF(J143="Yes","✓ OK","⚠ Check"))))</f>
        <v/>
      </c>
      <c r="N143" s="43" t="n">
        <v>46193</v>
      </c>
      <c r="O143" s="26" t="inlineStr">
        <is>
          <t>Sunil CR</t>
        </is>
      </c>
      <c r="P143" s="26" t="inlineStr">
        <is>
          <t>Yes</t>
        </is>
      </c>
      <c r="Q143" s="26" t="inlineStr">
        <is>
          <t>No</t>
        </is>
      </c>
      <c r="R143" s="26" t="inlineStr">
        <is>
          <t>Good finish</t>
        </is>
      </c>
      <c r="S143" s="26" t="inlineStr">
        <is>
          <t>Yes</t>
        </is>
      </c>
      <c r="T143" s="27" t="inlineStr">
        <is>
          <t>Available in small book</t>
        </is>
      </c>
      <c r="U143" s="28" t="inlineStr">
        <is>
          <t>No</t>
        </is>
      </c>
      <c r="V143" s="29">
        <f>IF(N143="","",IF(Q143="Yes","❌ Disc",IF(P143="No","⚠ Missing",IF(S143="Yes","✓ OK","⚠ Check"))))</f>
        <v/>
      </c>
      <c r="W143" s="65" t="n">
        <v>46248</v>
      </c>
      <c r="X143" s="30" t="inlineStr">
        <is>
          <t>Sunil CR</t>
        </is>
      </c>
      <c r="Y143" s="30" t="inlineStr">
        <is>
          <t>Yes</t>
        </is>
      </c>
      <c r="Z143" s="30" t="n"/>
      <c r="AA143" s="30" t="inlineStr">
        <is>
          <t>Good finish</t>
        </is>
      </c>
      <c r="AB143" s="30" t="inlineStr">
        <is>
          <t>Yes</t>
        </is>
      </c>
      <c r="AC143" s="27" t="inlineStr">
        <is>
          <t>Available in small book</t>
        </is>
      </c>
      <c r="AD143" s="31" t="inlineStr">
        <is>
          <t>No</t>
        </is>
      </c>
      <c r="AE143" s="32">
        <f>IF(W143="","",IF(Z143="Yes","❌ Disc",IF(Y143="No","⚠ Missing",IF(AB143="Yes","✓ OK","⚠ Check"))))</f>
        <v/>
      </c>
      <c r="AF143" s="33" t="n"/>
      <c r="AG143" s="33" t="n"/>
      <c r="AH143" s="33" t="n"/>
      <c r="AI143" s="33" t="n"/>
      <c r="AJ143" s="33" t="n"/>
      <c r="AK143" s="33" t="n"/>
      <c r="AL143" s="27" t="n"/>
      <c r="AM143" s="34" t="n"/>
      <c r="AN143" s="35">
        <f>IF(AF143="","",IF(AI143="Yes","❌ Disc",IF(AH143="No","⚠ Missing",IF(AK143="Yes","✓ OK","⚠ Check"))))</f>
        <v/>
      </c>
      <c r="AO143" s="36" t="n"/>
      <c r="AP143" s="36" t="n"/>
      <c r="AQ143" s="36" t="n"/>
      <c r="AR143" s="36" t="n"/>
      <c r="AS143" s="36" t="n"/>
      <c r="AT143" s="36" t="n"/>
      <c r="AU143" s="27" t="n"/>
      <c r="AV143" s="37" t="n"/>
      <c r="AW143" s="38">
        <f>IF(AO143="","",IF(AR143="Yes","❌ Disc",IF(AQ143="No","⚠ Missing",IF(AT143="Yes","✓ OK","⚠ Check"))))</f>
        <v/>
      </c>
    </row>
    <row r="144" ht="18" customHeight="1" s="46">
      <c r="A144" s="39" t="n">
        <v>148</v>
      </c>
      <c r="B144" s="40" t="inlineStr">
        <is>
          <t>BD-LAM-2023-0306</t>
        </is>
      </c>
      <c r="C144" s="41" t="inlineStr">
        <is>
          <t>Lam SL HG 1mm White Marker(Gold)</t>
        </is>
      </c>
      <c r="D144" s="39" t="inlineStr">
        <is>
          <t>Stylam</t>
        </is>
      </c>
      <c r="E144" s="43" t="n">
        <v>46125</v>
      </c>
      <c r="F144" s="26" t="inlineStr">
        <is>
          <t>Sunil CR</t>
        </is>
      </c>
      <c r="G144" s="26" t="inlineStr">
        <is>
          <t>Yes</t>
        </is>
      </c>
      <c r="H144" s="26" t="inlineStr">
        <is>
          <t>No</t>
        </is>
      </c>
      <c r="I144" s="26" t="inlineStr">
        <is>
          <t>Good finish</t>
        </is>
      </c>
      <c r="J144" s="26" t="inlineStr">
        <is>
          <t>Yes</t>
        </is>
      </c>
      <c r="K144" s="27" t="inlineStr">
        <is>
          <t>Available in small book</t>
        </is>
      </c>
      <c r="L144" s="28" t="inlineStr">
        <is>
          <t>No</t>
        </is>
      </c>
      <c r="M144" s="29">
        <f>IF(E144="","",IF(H144="Yes","❌ Disc",IF(G144="No","⚠ Missing",IF(J144="Yes","✓ OK","⚠ Check"))))</f>
        <v/>
      </c>
      <c r="N144" s="43" t="n">
        <v>46193</v>
      </c>
      <c r="O144" s="26" t="inlineStr">
        <is>
          <t>Sunil CR</t>
        </is>
      </c>
      <c r="P144" s="26" t="inlineStr">
        <is>
          <t>Yes</t>
        </is>
      </c>
      <c r="Q144" s="26" t="inlineStr">
        <is>
          <t>No</t>
        </is>
      </c>
      <c r="R144" s="26" t="inlineStr">
        <is>
          <t>Good finish</t>
        </is>
      </c>
      <c r="S144" s="26" t="inlineStr">
        <is>
          <t>Yes</t>
        </is>
      </c>
      <c r="T144" s="27" t="inlineStr">
        <is>
          <t>Available in small book</t>
        </is>
      </c>
      <c r="U144" s="28" t="inlineStr">
        <is>
          <t>No</t>
        </is>
      </c>
      <c r="V144" s="29">
        <f>IF(N144="","",IF(Q144="Yes","❌ Disc",IF(P144="No","⚠ Missing",IF(S144="Yes","✓ OK","⚠ Check"))))</f>
        <v/>
      </c>
      <c r="W144" s="65" t="n">
        <v>46248</v>
      </c>
      <c r="X144" s="30" t="inlineStr">
        <is>
          <t>Sunil CR</t>
        </is>
      </c>
      <c r="Y144" s="30" t="inlineStr">
        <is>
          <t>Yes</t>
        </is>
      </c>
      <c r="Z144" s="30" t="n"/>
      <c r="AA144" s="30" t="inlineStr">
        <is>
          <t>Good finish</t>
        </is>
      </c>
      <c r="AB144" s="30" t="inlineStr">
        <is>
          <t>Yes</t>
        </is>
      </c>
      <c r="AC144" s="27" t="inlineStr">
        <is>
          <t>Available in small book</t>
        </is>
      </c>
      <c r="AD144" s="31" t="inlineStr">
        <is>
          <t>No</t>
        </is>
      </c>
      <c r="AE144" s="32">
        <f>IF(W144="","",IF(Z144="Yes","❌ Disc",IF(Y144="No","⚠ Missing",IF(AB144="Yes","✓ OK","⚠ Check"))))</f>
        <v/>
      </c>
      <c r="AF144" s="33" t="n"/>
      <c r="AG144" s="33" t="n"/>
      <c r="AH144" s="33" t="n"/>
      <c r="AI144" s="33" t="n"/>
      <c r="AJ144" s="33" t="n"/>
      <c r="AK144" s="33" t="n"/>
      <c r="AL144" s="27" t="n"/>
      <c r="AM144" s="34" t="n"/>
      <c r="AN144" s="35">
        <f>IF(AF144="","",IF(AI144="Yes","❌ Disc",IF(AH144="No","⚠ Missing",IF(AK144="Yes","✓ OK","⚠ Check"))))</f>
        <v/>
      </c>
      <c r="AO144" s="36" t="n"/>
      <c r="AP144" s="36" t="n"/>
      <c r="AQ144" s="36" t="n"/>
      <c r="AR144" s="36" t="n"/>
      <c r="AS144" s="36" t="n"/>
      <c r="AT144" s="36" t="n"/>
      <c r="AU144" s="27" t="n"/>
      <c r="AV144" s="37" t="n"/>
      <c r="AW144" s="38">
        <f>IF(AO144="","",IF(AR144="Yes","❌ Disc",IF(AQ144="No","⚠ Missing",IF(AT144="Yes","✓ OK","⚠ Check"))))</f>
        <v/>
      </c>
    </row>
    <row r="145" ht="18" customHeight="1" s="46">
      <c r="A145" s="23" t="n">
        <v>149</v>
      </c>
      <c r="B145" s="24" t="inlineStr">
        <is>
          <t>BD-LAM-2024-0025</t>
        </is>
      </c>
      <c r="C145" s="25" t="inlineStr">
        <is>
          <t>Lam SL HM 1mm 1025 Electric Green(Gold)</t>
        </is>
      </c>
      <c r="D145" s="23" t="inlineStr">
        <is>
          <t>Stylam</t>
        </is>
      </c>
      <c r="E145" s="43" t="n">
        <v>46125</v>
      </c>
      <c r="F145" s="26" t="inlineStr">
        <is>
          <t>Sunil CR</t>
        </is>
      </c>
      <c r="G145" s="26" t="inlineStr">
        <is>
          <t>Yes</t>
        </is>
      </c>
      <c r="H145" s="26" t="inlineStr">
        <is>
          <t>No</t>
        </is>
      </c>
      <c r="I145" s="26" t="inlineStr">
        <is>
          <t>Good finish</t>
        </is>
      </c>
      <c r="J145" s="26" t="inlineStr">
        <is>
          <t>Yes</t>
        </is>
      </c>
      <c r="K145" s="27" t="n"/>
      <c r="L145" s="28" t="inlineStr">
        <is>
          <t>No</t>
        </is>
      </c>
      <c r="M145" s="29">
        <f>IF(E145="","",IF(H145="Yes","❌ Disc",IF(G145="No","⚠ Missing",IF(J145="Yes","✓ OK","⚠ Check"))))</f>
        <v/>
      </c>
      <c r="N145" s="43" t="n">
        <v>46193</v>
      </c>
      <c r="O145" s="26" t="inlineStr">
        <is>
          <t>Sunil CR</t>
        </is>
      </c>
      <c r="P145" s="26" t="inlineStr">
        <is>
          <t>Yes</t>
        </is>
      </c>
      <c r="Q145" s="26" t="inlineStr">
        <is>
          <t>No</t>
        </is>
      </c>
      <c r="R145" s="26" t="inlineStr">
        <is>
          <t>Good finish</t>
        </is>
      </c>
      <c r="S145" s="26" t="inlineStr">
        <is>
          <t>Yes</t>
        </is>
      </c>
      <c r="T145" s="27" t="n"/>
      <c r="U145" s="28" t="inlineStr">
        <is>
          <t>No</t>
        </is>
      </c>
      <c r="V145" s="29">
        <f>IF(N145="","",IF(Q145="Yes","❌ Disc",IF(P145="No","⚠ Missing",IF(S145="Yes","✓ OK","⚠ Check"))))</f>
        <v/>
      </c>
      <c r="W145" s="65" t="n">
        <v>46248</v>
      </c>
      <c r="X145" s="30" t="inlineStr">
        <is>
          <t>Sunil CR</t>
        </is>
      </c>
      <c r="Y145" s="30" t="inlineStr">
        <is>
          <t>Yes</t>
        </is>
      </c>
      <c r="Z145" s="30" t="n"/>
      <c r="AA145" s="30" t="inlineStr">
        <is>
          <t>Good finish</t>
        </is>
      </c>
      <c r="AB145" s="30" t="inlineStr">
        <is>
          <t>Yes</t>
        </is>
      </c>
      <c r="AC145" s="27" t="n"/>
      <c r="AD145" s="31" t="inlineStr">
        <is>
          <t>No</t>
        </is>
      </c>
      <c r="AE145" s="32">
        <f>IF(W145="","",IF(Z145="Yes","❌ Disc",IF(Y145="No","⚠ Missing",IF(AB145="Yes","✓ OK","⚠ Check"))))</f>
        <v/>
      </c>
      <c r="AF145" s="33" t="n"/>
      <c r="AG145" s="33" t="n"/>
      <c r="AH145" s="33" t="n"/>
      <c r="AI145" s="33" t="n"/>
      <c r="AJ145" s="33" t="n"/>
      <c r="AK145" s="33" t="n"/>
      <c r="AL145" s="27" t="n"/>
      <c r="AM145" s="34" t="n"/>
      <c r="AN145" s="35">
        <f>IF(AF145="","",IF(AI145="Yes","❌ Disc",IF(AH145="No","⚠ Missing",IF(AK145="Yes","✓ OK","⚠ Check"))))</f>
        <v/>
      </c>
      <c r="AO145" s="36" t="n"/>
      <c r="AP145" s="36" t="n"/>
      <c r="AQ145" s="36" t="n"/>
      <c r="AR145" s="36" t="n"/>
      <c r="AS145" s="36" t="n"/>
      <c r="AT145" s="36" t="n"/>
      <c r="AU145" s="27" t="n"/>
      <c r="AV145" s="37" t="n"/>
      <c r="AW145" s="38">
        <f>IF(AO145="","",IF(AR145="Yes","❌ Disc",IF(AQ145="No","⚠ Missing",IF(AT145="Yes","✓ OK","⚠ Check"))))</f>
        <v/>
      </c>
    </row>
    <row r="146" ht="18" customHeight="1" s="46">
      <c r="A146" s="39" t="n">
        <v>150</v>
      </c>
      <c r="B146" s="40" t="inlineStr">
        <is>
          <t>BD-LAM-2024-0023</t>
        </is>
      </c>
      <c r="C146" s="41" t="inlineStr">
        <is>
          <t>Lam SL HM 1mm 1057 Pale Grey(Gold)</t>
        </is>
      </c>
      <c r="D146" s="39" t="inlineStr">
        <is>
          <t>Stylam</t>
        </is>
      </c>
      <c r="E146" s="43" t="n">
        <v>46125</v>
      </c>
      <c r="F146" s="26" t="inlineStr">
        <is>
          <t>Sunil CR</t>
        </is>
      </c>
      <c r="G146" s="26" t="inlineStr">
        <is>
          <t>Yes</t>
        </is>
      </c>
      <c r="H146" s="26" t="inlineStr">
        <is>
          <t>No</t>
        </is>
      </c>
      <c r="I146" s="26" t="inlineStr">
        <is>
          <t>Good finish</t>
        </is>
      </c>
      <c r="J146" s="26" t="inlineStr">
        <is>
          <t>Yes</t>
        </is>
      </c>
      <c r="K146" s="27" t="n"/>
      <c r="L146" s="28" t="inlineStr">
        <is>
          <t>No</t>
        </is>
      </c>
      <c r="M146" s="29">
        <f>IF(E146="","",IF(H146="Yes","❌ Disc",IF(G146="No","⚠ Missing",IF(J146="Yes","✓ OK","⚠ Check"))))</f>
        <v/>
      </c>
      <c r="N146" s="43" t="n">
        <v>46193</v>
      </c>
      <c r="O146" s="26" t="inlineStr">
        <is>
          <t>Sunil CR</t>
        </is>
      </c>
      <c r="P146" s="26" t="inlineStr">
        <is>
          <t>Yes</t>
        </is>
      </c>
      <c r="Q146" s="26" t="inlineStr">
        <is>
          <t>No</t>
        </is>
      </c>
      <c r="R146" s="26" t="inlineStr">
        <is>
          <t>Good finish</t>
        </is>
      </c>
      <c r="S146" s="26" t="inlineStr">
        <is>
          <t>Yes</t>
        </is>
      </c>
      <c r="T146" s="27" t="n"/>
      <c r="U146" s="28" t="inlineStr">
        <is>
          <t>No</t>
        </is>
      </c>
      <c r="V146" s="29">
        <f>IF(N146="","",IF(Q146="Yes","❌ Disc",IF(P146="No","⚠ Missing",IF(S146="Yes","✓ OK","⚠ Check"))))</f>
        <v/>
      </c>
      <c r="W146" s="65" t="n">
        <v>46248</v>
      </c>
      <c r="X146" s="30" t="inlineStr">
        <is>
          <t>Sunil CR</t>
        </is>
      </c>
      <c r="Y146" s="30" t="inlineStr">
        <is>
          <t>Yes</t>
        </is>
      </c>
      <c r="Z146" s="30" t="n"/>
      <c r="AA146" s="30" t="inlineStr">
        <is>
          <t>Good finish</t>
        </is>
      </c>
      <c r="AB146" s="30" t="inlineStr">
        <is>
          <t>Yes</t>
        </is>
      </c>
      <c r="AC146" s="27" t="n"/>
      <c r="AD146" s="31" t="inlineStr">
        <is>
          <t>No</t>
        </is>
      </c>
      <c r="AE146" s="32">
        <f>IF(W146="","",IF(Z146="Yes","❌ Disc",IF(Y146="No","⚠ Missing",IF(AB146="Yes","✓ OK","⚠ Check"))))</f>
        <v/>
      </c>
      <c r="AF146" s="33" t="n"/>
      <c r="AG146" s="33" t="n"/>
      <c r="AH146" s="33" t="n"/>
      <c r="AI146" s="33" t="n"/>
      <c r="AJ146" s="33" t="n"/>
      <c r="AK146" s="33" t="n"/>
      <c r="AL146" s="27" t="n"/>
      <c r="AM146" s="34" t="n"/>
      <c r="AN146" s="35">
        <f>IF(AF146="","",IF(AI146="Yes","❌ Disc",IF(AH146="No","⚠ Missing",IF(AK146="Yes","✓ OK","⚠ Check"))))</f>
        <v/>
      </c>
      <c r="AO146" s="36" t="n"/>
      <c r="AP146" s="36" t="n"/>
      <c r="AQ146" s="36" t="n"/>
      <c r="AR146" s="36" t="n"/>
      <c r="AS146" s="36" t="n"/>
      <c r="AT146" s="36" t="n"/>
      <c r="AU146" s="27" t="n"/>
      <c r="AV146" s="37" t="n"/>
      <c r="AW146" s="38">
        <f>IF(AO146="","",IF(AR146="Yes","❌ Disc",IF(AQ146="No","⚠ Missing",IF(AT146="Yes","✓ OK","⚠ Check"))))</f>
        <v/>
      </c>
    </row>
    <row r="147" ht="18" customHeight="1" s="46">
      <c r="A147" s="23" t="n">
        <v>151</v>
      </c>
      <c r="B147" s="24" t="inlineStr">
        <is>
          <t>BD-LAM-2024-0038</t>
        </is>
      </c>
      <c r="C147" s="25" t="inlineStr">
        <is>
          <t>Lam SL HM 1mm 1660 Beige Rattan Cane(Gold)</t>
        </is>
      </c>
      <c r="D147" s="23" t="inlineStr">
        <is>
          <t>Stylam</t>
        </is>
      </c>
      <c r="E147" s="43" t="n">
        <v>46125</v>
      </c>
      <c r="F147" s="26" t="inlineStr">
        <is>
          <t>Sunil CR</t>
        </is>
      </c>
      <c r="G147" s="26" t="inlineStr">
        <is>
          <t>Yes</t>
        </is>
      </c>
      <c r="H147" s="26" t="inlineStr">
        <is>
          <t>No</t>
        </is>
      </c>
      <c r="I147" s="26" t="inlineStr">
        <is>
          <t>Good finish</t>
        </is>
      </c>
      <c r="J147" s="26" t="inlineStr">
        <is>
          <t>Yes</t>
        </is>
      </c>
      <c r="K147" s="27" t="n"/>
      <c r="L147" s="28" t="inlineStr">
        <is>
          <t>No</t>
        </is>
      </c>
      <c r="M147" s="29">
        <f>IF(E147="","",IF(H147="Yes","❌ Disc",IF(G147="No","⚠ Missing",IF(J147="Yes","✓ OK","⚠ Check"))))</f>
        <v/>
      </c>
      <c r="N147" s="43" t="n">
        <v>46193</v>
      </c>
      <c r="O147" s="26" t="inlineStr">
        <is>
          <t>Sunil CR</t>
        </is>
      </c>
      <c r="P147" s="26" t="inlineStr">
        <is>
          <t>Yes</t>
        </is>
      </c>
      <c r="Q147" s="26" t="inlineStr">
        <is>
          <t>No</t>
        </is>
      </c>
      <c r="R147" s="26" t="inlineStr">
        <is>
          <t>Good finish</t>
        </is>
      </c>
      <c r="S147" s="26" t="inlineStr">
        <is>
          <t>Yes</t>
        </is>
      </c>
      <c r="T147" s="27" t="n"/>
      <c r="U147" s="28" t="inlineStr">
        <is>
          <t>No</t>
        </is>
      </c>
      <c r="V147" s="29">
        <f>IF(N147="","",IF(Q147="Yes","❌ Disc",IF(P147="No","⚠ Missing",IF(S147="Yes","✓ OK","⚠ Check"))))</f>
        <v/>
      </c>
      <c r="W147" s="65" t="n">
        <v>46248</v>
      </c>
      <c r="X147" s="30" t="inlineStr">
        <is>
          <t>Sunil CR</t>
        </is>
      </c>
      <c r="Y147" s="30" t="inlineStr">
        <is>
          <t>Yes</t>
        </is>
      </c>
      <c r="Z147" s="30" t="n"/>
      <c r="AA147" s="30" t="inlineStr">
        <is>
          <t>Good finish</t>
        </is>
      </c>
      <c r="AB147" s="30" t="inlineStr">
        <is>
          <t>Yes</t>
        </is>
      </c>
      <c r="AC147" s="27" t="n"/>
      <c r="AD147" s="31" t="inlineStr">
        <is>
          <t>No</t>
        </is>
      </c>
      <c r="AE147" s="32">
        <f>IF(W147="","",IF(Z147="Yes","❌ Disc",IF(Y147="No","⚠ Missing",IF(AB147="Yes","✓ OK","⚠ Check"))))</f>
        <v/>
      </c>
      <c r="AF147" s="33" t="n"/>
      <c r="AG147" s="33" t="n"/>
      <c r="AH147" s="33" t="n"/>
      <c r="AI147" s="33" t="n"/>
      <c r="AJ147" s="33" t="n"/>
      <c r="AK147" s="33" t="n"/>
      <c r="AL147" s="27" t="n"/>
      <c r="AM147" s="34" t="n"/>
      <c r="AN147" s="35">
        <f>IF(AF147="","",IF(AI147="Yes","❌ Disc",IF(AH147="No","⚠ Missing",IF(AK147="Yes","✓ OK","⚠ Check"))))</f>
        <v/>
      </c>
      <c r="AO147" s="36" t="n"/>
      <c r="AP147" s="36" t="n"/>
      <c r="AQ147" s="36" t="n"/>
      <c r="AR147" s="36" t="n"/>
      <c r="AS147" s="36" t="n"/>
      <c r="AT147" s="36" t="n"/>
      <c r="AU147" s="27" t="n"/>
      <c r="AV147" s="37" t="n"/>
      <c r="AW147" s="38">
        <f>IF(AO147="","",IF(AR147="Yes","❌ Disc",IF(AQ147="No","⚠ Missing",IF(AT147="Yes","✓ OK","⚠ Check"))))</f>
        <v/>
      </c>
    </row>
    <row r="148" ht="18" customHeight="1" s="46">
      <c r="A148" s="39" t="n">
        <v>152</v>
      </c>
      <c r="B148" s="40" t="inlineStr">
        <is>
          <t>BD-LAM-2024-0039</t>
        </is>
      </c>
      <c r="C148" s="41" t="inlineStr">
        <is>
          <t>Lam SL HM 1mm 1661 Brown Rattan Cane(Gold)</t>
        </is>
      </c>
      <c r="D148" s="39" t="inlineStr">
        <is>
          <t>Stylam</t>
        </is>
      </c>
      <c r="E148" s="43" t="n">
        <v>46125</v>
      </c>
      <c r="F148" s="26" t="inlineStr">
        <is>
          <t>Sunil CR</t>
        </is>
      </c>
      <c r="G148" s="26" t="inlineStr">
        <is>
          <t>Yes</t>
        </is>
      </c>
      <c r="H148" s="26" t="inlineStr">
        <is>
          <t>No</t>
        </is>
      </c>
      <c r="I148" s="26" t="inlineStr">
        <is>
          <t>Good finish</t>
        </is>
      </c>
      <c r="J148" s="26" t="inlineStr">
        <is>
          <t>Yes</t>
        </is>
      </c>
      <c r="K148" s="27" t="n"/>
      <c r="L148" s="28" t="inlineStr">
        <is>
          <t>No</t>
        </is>
      </c>
      <c r="M148" s="29">
        <f>IF(E148="","",IF(H148="Yes","❌ Disc",IF(G148="No","⚠ Missing",IF(J148="Yes","✓ OK","⚠ Check"))))</f>
        <v/>
      </c>
      <c r="N148" s="43" t="n">
        <v>46193</v>
      </c>
      <c r="O148" s="26" t="inlineStr">
        <is>
          <t>Sunil CR</t>
        </is>
      </c>
      <c r="P148" s="26" t="inlineStr">
        <is>
          <t>Yes</t>
        </is>
      </c>
      <c r="Q148" s="26" t="inlineStr">
        <is>
          <t>No</t>
        </is>
      </c>
      <c r="R148" s="26" t="inlineStr">
        <is>
          <t>Good finish</t>
        </is>
      </c>
      <c r="S148" s="26" t="inlineStr">
        <is>
          <t>Yes</t>
        </is>
      </c>
      <c r="T148" s="27" t="n"/>
      <c r="U148" s="28" t="inlineStr">
        <is>
          <t>No</t>
        </is>
      </c>
      <c r="V148" s="29">
        <f>IF(N148="","",IF(Q148="Yes","❌ Disc",IF(P148="No","⚠ Missing",IF(S148="Yes","✓ OK","⚠ Check"))))</f>
        <v/>
      </c>
      <c r="W148" s="65" t="n">
        <v>46248</v>
      </c>
      <c r="X148" s="30" t="inlineStr">
        <is>
          <t>Sunil CR</t>
        </is>
      </c>
      <c r="Y148" s="30" t="inlineStr">
        <is>
          <t>Yes</t>
        </is>
      </c>
      <c r="Z148" s="30" t="n"/>
      <c r="AA148" s="30" t="inlineStr">
        <is>
          <t>Good finish</t>
        </is>
      </c>
      <c r="AB148" s="30" t="inlineStr">
        <is>
          <t>Yes</t>
        </is>
      </c>
      <c r="AC148" s="27" t="n"/>
      <c r="AD148" s="31" t="inlineStr">
        <is>
          <t>No</t>
        </is>
      </c>
      <c r="AE148" s="32">
        <f>IF(W148="","",IF(Z148="Yes","❌ Disc",IF(Y148="No","⚠ Missing",IF(AB148="Yes","✓ OK","⚠ Check"))))</f>
        <v/>
      </c>
      <c r="AF148" s="33" t="n"/>
      <c r="AG148" s="33" t="n"/>
      <c r="AH148" s="33" t="n"/>
      <c r="AI148" s="33" t="n"/>
      <c r="AJ148" s="33" t="n"/>
      <c r="AK148" s="33" t="n"/>
      <c r="AL148" s="27" t="n"/>
      <c r="AM148" s="34" t="n"/>
      <c r="AN148" s="35">
        <f>IF(AF148="","",IF(AI148="Yes","❌ Disc",IF(AH148="No","⚠ Missing",IF(AK148="Yes","✓ OK","⚠ Check"))))</f>
        <v/>
      </c>
      <c r="AO148" s="36" t="n"/>
      <c r="AP148" s="36" t="n"/>
      <c r="AQ148" s="36" t="n"/>
      <c r="AR148" s="36" t="n"/>
      <c r="AS148" s="36" t="n"/>
      <c r="AT148" s="36" t="n"/>
      <c r="AU148" s="27" t="n"/>
      <c r="AV148" s="37" t="n"/>
      <c r="AW148" s="38">
        <f>IF(AO148="","",IF(AR148="Yes","❌ Disc",IF(AQ148="No","⚠ Missing",IF(AT148="Yes","✓ OK","⚠ Check"))))</f>
        <v/>
      </c>
    </row>
    <row r="149" ht="18" customHeight="1" s="46">
      <c r="A149" s="23" t="n">
        <v>153</v>
      </c>
      <c r="B149" s="24" t="inlineStr">
        <is>
          <t>BD-LAM-2024-0024</t>
        </is>
      </c>
      <c r="C149" s="25" t="inlineStr">
        <is>
          <t>Lam SL HM 1mm 1701 British Green(Gold)</t>
        </is>
      </c>
      <c r="D149" s="23" t="inlineStr">
        <is>
          <t>Stylam</t>
        </is>
      </c>
      <c r="E149" s="43" t="n">
        <v>46125</v>
      </c>
      <c r="F149" s="26" t="inlineStr">
        <is>
          <t>Sunil CR</t>
        </is>
      </c>
      <c r="G149" s="26" t="inlineStr">
        <is>
          <t>Yes</t>
        </is>
      </c>
      <c r="H149" s="26" t="inlineStr">
        <is>
          <t>No</t>
        </is>
      </c>
      <c r="I149" s="26" t="inlineStr">
        <is>
          <t>Good finish</t>
        </is>
      </c>
      <c r="J149" s="26" t="inlineStr">
        <is>
          <t>Yes</t>
        </is>
      </c>
      <c r="K149" s="27" t="n"/>
      <c r="L149" s="28" t="inlineStr">
        <is>
          <t>No</t>
        </is>
      </c>
      <c r="M149" s="29">
        <f>IF(E149="","",IF(H149="Yes","❌ Disc",IF(G149="No","⚠ Missing",IF(J149="Yes","✓ OK","⚠ Check"))))</f>
        <v/>
      </c>
      <c r="N149" s="43" t="n">
        <v>46193</v>
      </c>
      <c r="O149" s="26" t="inlineStr">
        <is>
          <t>Sunil CR</t>
        </is>
      </c>
      <c r="P149" s="26" t="inlineStr">
        <is>
          <t>Yes</t>
        </is>
      </c>
      <c r="Q149" s="26" t="inlineStr">
        <is>
          <t>No</t>
        </is>
      </c>
      <c r="R149" s="26" t="inlineStr">
        <is>
          <t>Good finish</t>
        </is>
      </c>
      <c r="S149" s="26" t="inlineStr">
        <is>
          <t>Yes</t>
        </is>
      </c>
      <c r="T149" s="27" t="n"/>
      <c r="U149" s="28" t="inlineStr">
        <is>
          <t>No</t>
        </is>
      </c>
      <c r="V149" s="29">
        <f>IF(N149="","",IF(Q149="Yes","❌ Disc",IF(P149="No","⚠ Missing",IF(S149="Yes","✓ OK","⚠ Check"))))</f>
        <v/>
      </c>
      <c r="W149" s="65" t="n">
        <v>46248</v>
      </c>
      <c r="X149" s="30" t="inlineStr">
        <is>
          <t>Sunil CR</t>
        </is>
      </c>
      <c r="Y149" s="30" t="inlineStr">
        <is>
          <t>Yes</t>
        </is>
      </c>
      <c r="Z149" s="30" t="n"/>
      <c r="AA149" s="30" t="inlineStr">
        <is>
          <t>Good finish</t>
        </is>
      </c>
      <c r="AB149" s="30" t="inlineStr">
        <is>
          <t>Yes</t>
        </is>
      </c>
      <c r="AC149" s="27" t="n"/>
      <c r="AD149" s="31" t="inlineStr">
        <is>
          <t>No</t>
        </is>
      </c>
      <c r="AE149" s="32">
        <f>IF(W149="","",IF(Z149="Yes","❌ Disc",IF(Y149="No","⚠ Missing",IF(AB149="Yes","✓ OK","⚠ Check"))))</f>
        <v/>
      </c>
      <c r="AF149" s="33" t="n"/>
      <c r="AG149" s="33" t="n"/>
      <c r="AH149" s="33" t="n"/>
      <c r="AI149" s="33" t="n"/>
      <c r="AJ149" s="33" t="n"/>
      <c r="AK149" s="33" t="n"/>
      <c r="AL149" s="27" t="n"/>
      <c r="AM149" s="34" t="n"/>
      <c r="AN149" s="35">
        <f>IF(AF149="","",IF(AI149="Yes","❌ Disc",IF(AH149="No","⚠ Missing",IF(AK149="Yes","✓ OK","⚠ Check"))))</f>
        <v/>
      </c>
      <c r="AO149" s="36" t="n"/>
      <c r="AP149" s="36" t="n"/>
      <c r="AQ149" s="36" t="n"/>
      <c r="AR149" s="36" t="n"/>
      <c r="AS149" s="36" t="n"/>
      <c r="AT149" s="36" t="n"/>
      <c r="AU149" s="27" t="n"/>
      <c r="AV149" s="37" t="n"/>
      <c r="AW149" s="38">
        <f>IF(AO149="","",IF(AR149="Yes","❌ Disc",IF(AQ149="No","⚠ Missing",IF(AT149="Yes","✓ OK","⚠ Check"))))</f>
        <v/>
      </c>
    </row>
    <row r="150" ht="18" customHeight="1" s="46">
      <c r="A150" s="39" t="n">
        <v>154</v>
      </c>
      <c r="B150" s="40" t="inlineStr">
        <is>
          <t>BD-LAM-2024-0022</t>
        </is>
      </c>
      <c r="C150" s="41" t="inlineStr">
        <is>
          <t>Lam SL HM 1mm 1754 Verde Green(Gold)</t>
        </is>
      </c>
      <c r="D150" s="39" t="inlineStr">
        <is>
          <t>Stylam</t>
        </is>
      </c>
      <c r="E150" s="43" t="n">
        <v>46125</v>
      </c>
      <c r="F150" s="26" t="inlineStr">
        <is>
          <t>Sunil CR</t>
        </is>
      </c>
      <c r="G150" s="26" t="inlineStr">
        <is>
          <t>Yes</t>
        </is>
      </c>
      <c r="H150" s="26" t="inlineStr">
        <is>
          <t>No</t>
        </is>
      </c>
      <c r="I150" s="26" t="inlineStr">
        <is>
          <t>Good finish</t>
        </is>
      </c>
      <c r="J150" s="26" t="inlineStr">
        <is>
          <t>Yes</t>
        </is>
      </c>
      <c r="K150" s="27" t="n"/>
      <c r="L150" s="28" t="inlineStr">
        <is>
          <t>No</t>
        </is>
      </c>
      <c r="M150" s="29">
        <f>IF(E150="","",IF(H150="Yes","❌ Disc",IF(G150="No","⚠ Missing",IF(J150="Yes","✓ OK","⚠ Check"))))</f>
        <v/>
      </c>
      <c r="N150" s="43" t="n">
        <v>46193</v>
      </c>
      <c r="O150" s="26" t="inlineStr">
        <is>
          <t>Sunil CR</t>
        </is>
      </c>
      <c r="P150" s="26" t="inlineStr">
        <is>
          <t>Yes</t>
        </is>
      </c>
      <c r="Q150" s="26" t="inlineStr">
        <is>
          <t>No</t>
        </is>
      </c>
      <c r="R150" s="26" t="inlineStr">
        <is>
          <t>Good finish</t>
        </is>
      </c>
      <c r="S150" s="26" t="inlineStr">
        <is>
          <t>Yes</t>
        </is>
      </c>
      <c r="T150" s="27" t="n"/>
      <c r="U150" s="28" t="inlineStr">
        <is>
          <t>No</t>
        </is>
      </c>
      <c r="V150" s="29">
        <f>IF(N150="","",IF(Q150="Yes","❌ Disc",IF(P150="No","⚠ Missing",IF(S150="Yes","✓ OK","⚠ Check"))))</f>
        <v/>
      </c>
      <c r="W150" s="65" t="n">
        <v>46248</v>
      </c>
      <c r="X150" s="30" t="inlineStr">
        <is>
          <t>Sunil CR</t>
        </is>
      </c>
      <c r="Y150" s="30" t="inlineStr">
        <is>
          <t>Yes</t>
        </is>
      </c>
      <c r="Z150" s="30" t="n"/>
      <c r="AA150" s="30" t="inlineStr">
        <is>
          <t>Good finish</t>
        </is>
      </c>
      <c r="AB150" s="30" t="inlineStr">
        <is>
          <t>Yes</t>
        </is>
      </c>
      <c r="AC150" s="27" t="n"/>
      <c r="AD150" s="31" t="inlineStr">
        <is>
          <t>No</t>
        </is>
      </c>
      <c r="AE150" s="32">
        <f>IF(W150="","",IF(Z150="Yes","❌ Disc",IF(Y150="No","⚠ Missing",IF(AB150="Yes","✓ OK","⚠ Check"))))</f>
        <v/>
      </c>
      <c r="AF150" s="33" t="n"/>
      <c r="AG150" s="33" t="n"/>
      <c r="AH150" s="33" t="n"/>
      <c r="AI150" s="33" t="n"/>
      <c r="AJ150" s="33" t="n"/>
      <c r="AK150" s="33" t="n"/>
      <c r="AL150" s="27" t="n"/>
      <c r="AM150" s="34" t="n"/>
      <c r="AN150" s="35">
        <f>IF(AF150="","",IF(AI150="Yes","❌ Disc",IF(AH150="No","⚠ Missing",IF(AK150="Yes","✓ OK","⚠ Check"))))</f>
        <v/>
      </c>
      <c r="AO150" s="36" t="n"/>
      <c r="AP150" s="36" t="n"/>
      <c r="AQ150" s="36" t="n"/>
      <c r="AR150" s="36" t="n"/>
      <c r="AS150" s="36" t="n"/>
      <c r="AT150" s="36" t="n"/>
      <c r="AU150" s="27" t="n"/>
      <c r="AV150" s="37" t="n"/>
      <c r="AW150" s="38">
        <f>IF(AO150="","",IF(AR150="Yes","❌ Disc",IF(AQ150="No","⚠ Missing",IF(AT150="Yes","✓ OK","⚠ Check"))))</f>
        <v/>
      </c>
    </row>
    <row r="151" ht="18" customHeight="1" s="46">
      <c r="A151" s="23" t="n">
        <v>155</v>
      </c>
      <c r="B151" s="24" t="inlineStr">
        <is>
          <t>BD-LAM-2024-0083</t>
        </is>
      </c>
      <c r="C151" s="25" t="inlineStr">
        <is>
          <t>Lam SL KL 1mm 7722 Canyon Coastal Olive(Gold)</t>
        </is>
      </c>
      <c r="D151" s="23" t="inlineStr">
        <is>
          <t>Stylam</t>
        </is>
      </c>
      <c r="E151" s="43" t="n">
        <v>46125</v>
      </c>
      <c r="F151" s="26" t="inlineStr">
        <is>
          <t>Sunil CR</t>
        </is>
      </c>
      <c r="G151" s="26" t="inlineStr">
        <is>
          <t>Yes</t>
        </is>
      </c>
      <c r="H151" s="26" t="inlineStr">
        <is>
          <t>No</t>
        </is>
      </c>
      <c r="I151" s="26" t="inlineStr">
        <is>
          <t>Good finish</t>
        </is>
      </c>
      <c r="J151" s="26" t="inlineStr">
        <is>
          <t>Yes</t>
        </is>
      </c>
      <c r="K151" s="27" t="n"/>
      <c r="L151" s="28" t="inlineStr">
        <is>
          <t>No</t>
        </is>
      </c>
      <c r="M151" s="29">
        <f>IF(E151="","",IF(H151="Yes","❌ Disc",IF(G151="No","⚠ Missing",IF(J151="Yes","✓ OK","⚠ Check"))))</f>
        <v/>
      </c>
      <c r="N151" s="43" t="n">
        <v>46193</v>
      </c>
      <c r="O151" s="26" t="inlineStr">
        <is>
          <t>Sunil CR</t>
        </is>
      </c>
      <c r="P151" s="26" t="inlineStr">
        <is>
          <t>Yes</t>
        </is>
      </c>
      <c r="Q151" s="26" t="inlineStr">
        <is>
          <t>No</t>
        </is>
      </c>
      <c r="R151" s="26" t="inlineStr">
        <is>
          <t>Good finish</t>
        </is>
      </c>
      <c r="S151" s="26" t="inlineStr">
        <is>
          <t>Yes</t>
        </is>
      </c>
      <c r="T151" s="27" t="n"/>
      <c r="U151" s="28" t="inlineStr">
        <is>
          <t>No</t>
        </is>
      </c>
      <c r="V151" s="29">
        <f>IF(N151="","",IF(Q151="Yes","❌ Disc",IF(P151="No","⚠ Missing",IF(S151="Yes","✓ OK","⚠ Check"))))</f>
        <v/>
      </c>
      <c r="W151" s="65" t="n">
        <v>46248</v>
      </c>
      <c r="X151" s="30" t="inlineStr">
        <is>
          <t>Sunil CR</t>
        </is>
      </c>
      <c r="Y151" s="30" t="inlineStr">
        <is>
          <t>Yes</t>
        </is>
      </c>
      <c r="Z151" s="30" t="n"/>
      <c r="AA151" s="30" t="inlineStr">
        <is>
          <t>Good finish</t>
        </is>
      </c>
      <c r="AB151" s="30" t="inlineStr">
        <is>
          <t>Yes</t>
        </is>
      </c>
      <c r="AC151" s="27" t="n"/>
      <c r="AD151" s="31" t="inlineStr">
        <is>
          <t>No</t>
        </is>
      </c>
      <c r="AE151" s="32">
        <f>IF(W151="","",IF(Z151="Yes","❌ Disc",IF(Y151="No","⚠ Missing",IF(AB151="Yes","✓ OK","⚠ Check"))))</f>
        <v/>
      </c>
      <c r="AF151" s="33" t="n"/>
      <c r="AG151" s="33" t="n"/>
      <c r="AH151" s="33" t="n"/>
      <c r="AI151" s="33" t="n"/>
      <c r="AJ151" s="33" t="n"/>
      <c r="AK151" s="33" t="n"/>
      <c r="AL151" s="27" t="n"/>
      <c r="AM151" s="34" t="n"/>
      <c r="AN151" s="35">
        <f>IF(AF151="","",IF(AI151="Yes","❌ Disc",IF(AH151="No","⚠ Missing",IF(AK151="Yes","✓ OK","⚠ Check"))))</f>
        <v/>
      </c>
      <c r="AO151" s="36" t="n"/>
      <c r="AP151" s="36" t="n"/>
      <c r="AQ151" s="36" t="n"/>
      <c r="AR151" s="36" t="n"/>
      <c r="AS151" s="36" t="n"/>
      <c r="AT151" s="36" t="n"/>
      <c r="AU151" s="27" t="n"/>
      <c r="AV151" s="37" t="n"/>
      <c r="AW151" s="38">
        <f>IF(AO151="","",IF(AR151="Yes","❌ Disc",IF(AQ151="No","⚠ Missing",IF(AT151="Yes","✓ OK","⚠ Check"))))</f>
        <v/>
      </c>
    </row>
    <row r="152" ht="18" customHeight="1" s="46">
      <c r="A152" s="39" t="n">
        <v>156</v>
      </c>
      <c r="B152" s="40" t="inlineStr">
        <is>
          <t>BD-LAM-2024-0063</t>
        </is>
      </c>
      <c r="C152" s="41" t="inlineStr">
        <is>
          <t>Lam SL KS 1mm 2382 Ktami Elm(Platinum)</t>
        </is>
      </c>
      <c r="D152" s="39" t="inlineStr">
        <is>
          <t>Stylam</t>
        </is>
      </c>
      <c r="E152" s="43" t="n">
        <v>46125</v>
      </c>
      <c r="F152" s="26" t="inlineStr">
        <is>
          <t>Sunil CR</t>
        </is>
      </c>
      <c r="G152" s="26" t="inlineStr">
        <is>
          <t>Yes</t>
        </is>
      </c>
      <c r="H152" s="26" t="inlineStr">
        <is>
          <t>No</t>
        </is>
      </c>
      <c r="I152" s="26" t="inlineStr">
        <is>
          <t>Good finish</t>
        </is>
      </c>
      <c r="J152" s="26" t="inlineStr">
        <is>
          <t>Yes</t>
        </is>
      </c>
      <c r="K152" s="27" t="n"/>
      <c r="L152" s="28" t="inlineStr">
        <is>
          <t>No</t>
        </is>
      </c>
      <c r="M152" s="29">
        <f>IF(E152="","",IF(H152="Yes","❌ Disc",IF(G152="No","⚠ Missing",IF(J152="Yes","✓ OK","⚠ Check"))))</f>
        <v/>
      </c>
      <c r="N152" s="43" t="n">
        <v>46193</v>
      </c>
      <c r="O152" s="26" t="inlineStr">
        <is>
          <t>Sunil CR</t>
        </is>
      </c>
      <c r="P152" s="26" t="inlineStr">
        <is>
          <t>Yes</t>
        </is>
      </c>
      <c r="Q152" s="26" t="inlineStr">
        <is>
          <t>No</t>
        </is>
      </c>
      <c r="R152" s="26" t="inlineStr">
        <is>
          <t>Good finish</t>
        </is>
      </c>
      <c r="S152" s="26" t="inlineStr">
        <is>
          <t>Yes</t>
        </is>
      </c>
      <c r="T152" s="27" t="n"/>
      <c r="U152" s="28" t="inlineStr">
        <is>
          <t>No</t>
        </is>
      </c>
      <c r="V152" s="29">
        <f>IF(N152="","",IF(Q152="Yes","❌ Disc",IF(P152="No","⚠ Missing",IF(S152="Yes","✓ OK","⚠ Check"))))</f>
        <v/>
      </c>
      <c r="W152" s="65" t="n">
        <v>46248</v>
      </c>
      <c r="X152" s="30" t="inlineStr">
        <is>
          <t>Sunil CR</t>
        </is>
      </c>
      <c r="Y152" s="30" t="inlineStr">
        <is>
          <t>Yes</t>
        </is>
      </c>
      <c r="Z152" s="30" t="n"/>
      <c r="AA152" s="30" t="inlineStr">
        <is>
          <t>Good finish</t>
        </is>
      </c>
      <c r="AB152" s="30" t="inlineStr">
        <is>
          <t>Yes</t>
        </is>
      </c>
      <c r="AC152" s="27" t="n"/>
      <c r="AD152" s="31" t="inlineStr">
        <is>
          <t>No</t>
        </is>
      </c>
      <c r="AE152" s="32">
        <f>IF(W152="","",IF(Z152="Yes","❌ Disc",IF(Y152="No","⚠ Missing",IF(AB152="Yes","✓ OK","⚠ Check"))))</f>
        <v/>
      </c>
      <c r="AF152" s="33" t="n"/>
      <c r="AG152" s="33" t="n"/>
      <c r="AH152" s="33" t="n"/>
      <c r="AI152" s="33" t="n"/>
      <c r="AJ152" s="33" t="n"/>
      <c r="AK152" s="33" t="n"/>
      <c r="AL152" s="27" t="n"/>
      <c r="AM152" s="34" t="n"/>
      <c r="AN152" s="35">
        <f>IF(AF152="","",IF(AI152="Yes","❌ Disc",IF(AH152="No","⚠ Missing",IF(AK152="Yes","✓ OK","⚠ Check"))))</f>
        <v/>
      </c>
      <c r="AO152" s="36" t="n"/>
      <c r="AP152" s="36" t="n"/>
      <c r="AQ152" s="36" t="n"/>
      <c r="AR152" s="36" t="n"/>
      <c r="AS152" s="36" t="n"/>
      <c r="AT152" s="36" t="n"/>
      <c r="AU152" s="27" t="n"/>
      <c r="AV152" s="37" t="n"/>
      <c r="AW152" s="38">
        <f>IF(AO152="","",IF(AR152="Yes","❌ Disc",IF(AQ152="No","⚠ Missing",IF(AT152="Yes","✓ OK","⚠ Check"))))</f>
        <v/>
      </c>
    </row>
    <row r="153" ht="18" customHeight="1" s="46">
      <c r="A153" s="23" t="n">
        <v>157</v>
      </c>
      <c r="B153" s="24" t="inlineStr">
        <is>
          <t>BD-LAM-2024-0060</t>
        </is>
      </c>
      <c r="C153" s="25" t="inlineStr">
        <is>
          <t>Lam SL KS 1mm 2383 Ktami Oreo Elm(Platinum)</t>
        </is>
      </c>
      <c r="D153" s="23" t="inlineStr">
        <is>
          <t>Stylam</t>
        </is>
      </c>
      <c r="E153" s="43" t="n">
        <v>46125</v>
      </c>
      <c r="F153" s="26" t="inlineStr">
        <is>
          <t>Sunil CR</t>
        </is>
      </c>
      <c r="G153" s="26" t="inlineStr">
        <is>
          <t>Yes</t>
        </is>
      </c>
      <c r="H153" s="26" t="inlineStr">
        <is>
          <t>No</t>
        </is>
      </c>
      <c r="I153" s="26" t="inlineStr">
        <is>
          <t>Good finish</t>
        </is>
      </c>
      <c r="J153" s="26" t="inlineStr">
        <is>
          <t>Yes</t>
        </is>
      </c>
      <c r="K153" s="27" t="n"/>
      <c r="L153" s="28" t="inlineStr">
        <is>
          <t>No</t>
        </is>
      </c>
      <c r="M153" s="29">
        <f>IF(E153="","",IF(H153="Yes","❌ Disc",IF(G153="No","⚠ Missing",IF(J153="Yes","✓ OK","⚠ Check"))))</f>
        <v/>
      </c>
      <c r="N153" s="43" t="n">
        <v>46193</v>
      </c>
      <c r="O153" s="26" t="inlineStr">
        <is>
          <t>Sunil CR</t>
        </is>
      </c>
      <c r="P153" s="26" t="inlineStr">
        <is>
          <t>Yes</t>
        </is>
      </c>
      <c r="Q153" s="26" t="inlineStr">
        <is>
          <t>No</t>
        </is>
      </c>
      <c r="R153" s="26" t="inlineStr">
        <is>
          <t>Good finish</t>
        </is>
      </c>
      <c r="S153" s="26" t="inlineStr">
        <is>
          <t>Yes</t>
        </is>
      </c>
      <c r="T153" s="27" t="n"/>
      <c r="U153" s="28" t="inlineStr">
        <is>
          <t>No</t>
        </is>
      </c>
      <c r="V153" s="29">
        <f>IF(N153="","",IF(Q153="Yes","❌ Disc",IF(P153="No","⚠ Missing",IF(S153="Yes","✓ OK","⚠ Check"))))</f>
        <v/>
      </c>
      <c r="W153" s="65" t="n">
        <v>46248</v>
      </c>
      <c r="X153" s="30" t="inlineStr">
        <is>
          <t>Sunil CR</t>
        </is>
      </c>
      <c r="Y153" s="30" t="inlineStr">
        <is>
          <t>Yes</t>
        </is>
      </c>
      <c r="Z153" s="30" t="n"/>
      <c r="AA153" s="30" t="inlineStr">
        <is>
          <t>Good finish</t>
        </is>
      </c>
      <c r="AB153" s="30" t="inlineStr">
        <is>
          <t>Yes</t>
        </is>
      </c>
      <c r="AC153" s="27" t="n"/>
      <c r="AD153" s="31" t="inlineStr">
        <is>
          <t>No</t>
        </is>
      </c>
      <c r="AE153" s="32">
        <f>IF(W153="","",IF(Z153="Yes","❌ Disc",IF(Y153="No","⚠ Missing",IF(AB153="Yes","✓ OK","⚠ Check"))))</f>
        <v/>
      </c>
      <c r="AF153" s="33" t="n"/>
      <c r="AG153" s="33" t="n"/>
      <c r="AH153" s="33" t="n"/>
      <c r="AI153" s="33" t="n"/>
      <c r="AJ153" s="33" t="n"/>
      <c r="AK153" s="33" t="n"/>
      <c r="AL153" s="27" t="n"/>
      <c r="AM153" s="34" t="n"/>
      <c r="AN153" s="35">
        <f>IF(AF153="","",IF(AI153="Yes","❌ Disc",IF(AH153="No","⚠ Missing",IF(AK153="Yes","✓ OK","⚠ Check"))))</f>
        <v/>
      </c>
      <c r="AO153" s="36" t="n"/>
      <c r="AP153" s="36" t="n"/>
      <c r="AQ153" s="36" t="n"/>
      <c r="AR153" s="36" t="n"/>
      <c r="AS153" s="36" t="n"/>
      <c r="AT153" s="36" t="n"/>
      <c r="AU153" s="27" t="n"/>
      <c r="AV153" s="37" t="n"/>
      <c r="AW153" s="38">
        <f>IF(AO153="","",IF(AR153="Yes","❌ Disc",IF(AQ153="No","⚠ Missing",IF(AT153="Yes","✓ OK","⚠ Check"))))</f>
        <v/>
      </c>
    </row>
    <row r="154" ht="18" customHeight="1" s="46">
      <c r="A154" s="39" t="n">
        <v>158</v>
      </c>
      <c r="B154" s="40" t="inlineStr">
        <is>
          <t>BD-LAM-2024-0062</t>
        </is>
      </c>
      <c r="C154" s="41" t="inlineStr">
        <is>
          <t>Lam SL KS 1mm 2384 Ktami Rabit(Platinum)</t>
        </is>
      </c>
      <c r="D154" s="39" t="inlineStr">
        <is>
          <t>Stylam</t>
        </is>
      </c>
      <c r="E154" s="43" t="n">
        <v>46125</v>
      </c>
      <c r="F154" s="26" t="inlineStr">
        <is>
          <t>Sunil CR</t>
        </is>
      </c>
      <c r="G154" s="26" t="inlineStr">
        <is>
          <t>Yes</t>
        </is>
      </c>
      <c r="H154" s="26" t="inlineStr">
        <is>
          <t>No</t>
        </is>
      </c>
      <c r="I154" s="26" t="inlineStr">
        <is>
          <t>Good finish</t>
        </is>
      </c>
      <c r="J154" s="26" t="inlineStr">
        <is>
          <t>Yes</t>
        </is>
      </c>
      <c r="K154" s="27" t="n"/>
      <c r="L154" s="28" t="inlineStr">
        <is>
          <t>No</t>
        </is>
      </c>
      <c r="M154" s="29">
        <f>IF(E154="","",IF(H154="Yes","❌ Disc",IF(G154="No","⚠ Missing",IF(J154="Yes","✓ OK","⚠ Check"))))</f>
        <v/>
      </c>
      <c r="N154" s="43" t="n">
        <v>46193</v>
      </c>
      <c r="O154" s="26" t="inlineStr">
        <is>
          <t>Sunil CR</t>
        </is>
      </c>
      <c r="P154" s="26" t="inlineStr">
        <is>
          <t>Yes</t>
        </is>
      </c>
      <c r="Q154" s="26" t="inlineStr">
        <is>
          <t>No</t>
        </is>
      </c>
      <c r="R154" s="26" t="inlineStr">
        <is>
          <t>Good finish</t>
        </is>
      </c>
      <c r="S154" s="26" t="inlineStr">
        <is>
          <t>Yes</t>
        </is>
      </c>
      <c r="T154" s="27" t="n"/>
      <c r="U154" s="28" t="inlineStr">
        <is>
          <t>No</t>
        </is>
      </c>
      <c r="V154" s="29">
        <f>IF(N154="","",IF(Q154="Yes","❌ Disc",IF(P154="No","⚠ Missing",IF(S154="Yes","✓ OK","⚠ Check"))))</f>
        <v/>
      </c>
      <c r="W154" s="65" t="n">
        <v>46248</v>
      </c>
      <c r="X154" s="30" t="inlineStr">
        <is>
          <t>Sunil CR</t>
        </is>
      </c>
      <c r="Y154" s="30" t="inlineStr">
        <is>
          <t>Yes</t>
        </is>
      </c>
      <c r="Z154" s="30" t="n"/>
      <c r="AA154" s="30" t="inlineStr">
        <is>
          <t>Good finish</t>
        </is>
      </c>
      <c r="AB154" s="30" t="inlineStr">
        <is>
          <t>Yes</t>
        </is>
      </c>
      <c r="AC154" s="27" t="n"/>
      <c r="AD154" s="31" t="inlineStr">
        <is>
          <t>No</t>
        </is>
      </c>
      <c r="AE154" s="32">
        <f>IF(W154="","",IF(Z154="Yes","❌ Disc",IF(Y154="No","⚠ Missing",IF(AB154="Yes","✓ OK","⚠ Check"))))</f>
        <v/>
      </c>
      <c r="AF154" s="33" t="n"/>
      <c r="AG154" s="33" t="n"/>
      <c r="AH154" s="33" t="n"/>
      <c r="AI154" s="33" t="n"/>
      <c r="AJ154" s="33" t="n"/>
      <c r="AK154" s="33" t="n"/>
      <c r="AL154" s="27" t="n"/>
      <c r="AM154" s="34" t="n"/>
      <c r="AN154" s="35">
        <f>IF(AF154="","",IF(AI154="Yes","❌ Disc",IF(AH154="No","⚠ Missing",IF(AK154="Yes","✓ OK","⚠ Check"))))</f>
        <v/>
      </c>
      <c r="AO154" s="36" t="n"/>
      <c r="AP154" s="36" t="n"/>
      <c r="AQ154" s="36" t="n"/>
      <c r="AR154" s="36" t="n"/>
      <c r="AS154" s="36" t="n"/>
      <c r="AT154" s="36" t="n"/>
      <c r="AU154" s="27" t="n"/>
      <c r="AV154" s="37" t="n"/>
      <c r="AW154" s="38">
        <f>IF(AO154="","",IF(AR154="Yes","❌ Disc",IF(AQ154="No","⚠ Missing",IF(AT154="Yes","✓ OK","⚠ Check"))))</f>
        <v/>
      </c>
    </row>
    <row r="155" ht="18" customHeight="1" s="46">
      <c r="A155" s="23" t="n">
        <v>159</v>
      </c>
      <c r="B155" s="24" t="inlineStr">
        <is>
          <t>BD-LAM-2024-0102</t>
        </is>
      </c>
      <c r="C155" s="25" t="inlineStr">
        <is>
          <t>LAM SL LM 1mm 2352 Swiss Bark(Gold)</t>
        </is>
      </c>
      <c r="D155" s="23" t="inlineStr">
        <is>
          <t>Stylam</t>
        </is>
      </c>
      <c r="E155" s="43" t="n">
        <v>46125</v>
      </c>
      <c r="F155" s="26" t="inlineStr">
        <is>
          <t>Sunil CR</t>
        </is>
      </c>
      <c r="G155" s="26" t="inlineStr">
        <is>
          <t>Yes</t>
        </is>
      </c>
      <c r="H155" s="26" t="inlineStr">
        <is>
          <t>No</t>
        </is>
      </c>
      <c r="I155" s="26" t="inlineStr">
        <is>
          <t>Good finish</t>
        </is>
      </c>
      <c r="J155" s="26" t="inlineStr">
        <is>
          <t>Yes</t>
        </is>
      </c>
      <c r="K155" s="27" t="n"/>
      <c r="L155" s="28" t="inlineStr">
        <is>
          <t>No</t>
        </is>
      </c>
      <c r="M155" s="29">
        <f>IF(E155="","",IF(H155="Yes","❌ Disc",IF(G155="No","⚠ Missing",IF(J155="Yes","✓ OK","⚠ Check"))))</f>
        <v/>
      </c>
      <c r="N155" s="43" t="n">
        <v>46193</v>
      </c>
      <c r="O155" s="26" t="inlineStr">
        <is>
          <t>Sunil CR</t>
        </is>
      </c>
      <c r="P155" s="26" t="inlineStr">
        <is>
          <t>Yes</t>
        </is>
      </c>
      <c r="Q155" s="26" t="inlineStr">
        <is>
          <t>No</t>
        </is>
      </c>
      <c r="R155" s="26" t="inlineStr">
        <is>
          <t>Good finish</t>
        </is>
      </c>
      <c r="S155" s="26" t="inlineStr">
        <is>
          <t>Yes</t>
        </is>
      </c>
      <c r="T155" s="27" t="n"/>
      <c r="U155" s="28" t="inlineStr">
        <is>
          <t>No</t>
        </is>
      </c>
      <c r="V155" s="29">
        <f>IF(N155="","",IF(Q155="Yes","❌ Disc",IF(P155="No","⚠ Missing",IF(S155="Yes","✓ OK","⚠ Check"))))</f>
        <v/>
      </c>
      <c r="W155" s="65" t="n">
        <v>46248</v>
      </c>
      <c r="X155" s="30" t="inlineStr">
        <is>
          <t>Sunil CR</t>
        </is>
      </c>
      <c r="Y155" s="30" t="inlineStr">
        <is>
          <t>Yes</t>
        </is>
      </c>
      <c r="Z155" s="30" t="n"/>
      <c r="AA155" s="30" t="inlineStr">
        <is>
          <t>Good finish</t>
        </is>
      </c>
      <c r="AB155" s="30" t="inlineStr">
        <is>
          <t>Yes</t>
        </is>
      </c>
      <c r="AC155" s="27" t="n"/>
      <c r="AD155" s="31" t="inlineStr">
        <is>
          <t>No</t>
        </is>
      </c>
      <c r="AE155" s="32">
        <f>IF(W155="","",IF(Z155="Yes","❌ Disc",IF(Y155="No","⚠ Missing",IF(AB155="Yes","✓ OK","⚠ Check"))))</f>
        <v/>
      </c>
      <c r="AF155" s="33" t="n"/>
      <c r="AG155" s="33" t="n"/>
      <c r="AH155" s="33" t="n"/>
      <c r="AI155" s="33" t="n"/>
      <c r="AJ155" s="33" t="n"/>
      <c r="AK155" s="33" t="n"/>
      <c r="AL155" s="27" t="n"/>
      <c r="AM155" s="34" t="n"/>
      <c r="AN155" s="35">
        <f>IF(AF155="","",IF(AI155="Yes","❌ Disc",IF(AH155="No","⚠ Missing",IF(AK155="Yes","✓ OK","⚠ Check"))))</f>
        <v/>
      </c>
      <c r="AO155" s="36" t="n"/>
      <c r="AP155" s="36" t="n"/>
      <c r="AQ155" s="36" t="n"/>
      <c r="AR155" s="36" t="n"/>
      <c r="AS155" s="36" t="n"/>
      <c r="AT155" s="36" t="n"/>
      <c r="AU155" s="27" t="n"/>
      <c r="AV155" s="37" t="n"/>
      <c r="AW155" s="38">
        <f>IF(AO155="","",IF(AR155="Yes","❌ Disc",IF(AQ155="No","⚠ Missing",IF(AT155="Yes","✓ OK","⚠ Check"))))</f>
        <v/>
      </c>
    </row>
    <row r="156" ht="18" customHeight="1" s="46">
      <c r="A156" s="39" t="n">
        <v>160</v>
      </c>
      <c r="B156" s="40" t="inlineStr">
        <is>
          <t>BD-LAM-2024-0016</t>
        </is>
      </c>
      <c r="C156" s="41" t="inlineStr">
        <is>
          <t>Lam SL LUV 1mm 1033 Tidal Sand(Platinum)</t>
        </is>
      </c>
      <c r="D156" s="39" t="inlineStr">
        <is>
          <t>Stylam</t>
        </is>
      </c>
      <c r="E156" s="43" t="n">
        <v>46125</v>
      </c>
      <c r="F156" s="26" t="inlineStr">
        <is>
          <t>Sunil CR</t>
        </is>
      </c>
      <c r="G156" s="26" t="inlineStr">
        <is>
          <t>Yes</t>
        </is>
      </c>
      <c r="H156" s="26" t="inlineStr">
        <is>
          <t>No</t>
        </is>
      </c>
      <c r="I156" s="26" t="inlineStr">
        <is>
          <t>Good finish</t>
        </is>
      </c>
      <c r="J156" s="26" t="inlineStr">
        <is>
          <t>Yes</t>
        </is>
      </c>
      <c r="K156" s="27" t="n"/>
      <c r="L156" s="28" t="inlineStr">
        <is>
          <t>No</t>
        </is>
      </c>
      <c r="M156" s="29">
        <f>IF(E156="","",IF(H156="Yes","❌ Disc",IF(G156="No","⚠ Missing",IF(J156="Yes","✓ OK","⚠ Check"))))</f>
        <v/>
      </c>
      <c r="N156" s="43" t="n">
        <v>46193</v>
      </c>
      <c r="O156" s="26" t="inlineStr">
        <is>
          <t>Sunil CR</t>
        </is>
      </c>
      <c r="P156" s="26" t="inlineStr">
        <is>
          <t>Yes</t>
        </is>
      </c>
      <c r="Q156" s="26" t="inlineStr">
        <is>
          <t>No</t>
        </is>
      </c>
      <c r="R156" s="26" t="inlineStr">
        <is>
          <t>Good finish</t>
        </is>
      </c>
      <c r="S156" s="26" t="inlineStr">
        <is>
          <t>Yes</t>
        </is>
      </c>
      <c r="T156" s="27" t="n"/>
      <c r="U156" s="28" t="inlineStr">
        <is>
          <t>No</t>
        </is>
      </c>
      <c r="V156" s="29">
        <f>IF(N156="","",IF(Q156="Yes","❌ Disc",IF(P156="No","⚠ Missing",IF(S156="Yes","✓ OK","⚠ Check"))))</f>
        <v/>
      </c>
      <c r="W156" s="65" t="n">
        <v>46248</v>
      </c>
      <c r="X156" s="30" t="inlineStr">
        <is>
          <t>Sunil CR</t>
        </is>
      </c>
      <c r="Y156" s="30" t="inlineStr">
        <is>
          <t>Yes</t>
        </is>
      </c>
      <c r="Z156" s="30" t="n"/>
      <c r="AA156" s="30" t="inlineStr">
        <is>
          <t>Good finish</t>
        </is>
      </c>
      <c r="AB156" s="30" t="inlineStr">
        <is>
          <t>Yes</t>
        </is>
      </c>
      <c r="AC156" s="27" t="n"/>
      <c r="AD156" s="31" t="inlineStr">
        <is>
          <t>No</t>
        </is>
      </c>
      <c r="AE156" s="32">
        <f>IF(W156="","",IF(Z156="Yes","❌ Disc",IF(Y156="No","⚠ Missing",IF(AB156="Yes","✓ OK","⚠ Check"))))</f>
        <v/>
      </c>
      <c r="AF156" s="33" t="n"/>
      <c r="AG156" s="33" t="n"/>
      <c r="AH156" s="33" t="n"/>
      <c r="AI156" s="33" t="n"/>
      <c r="AJ156" s="33" t="n"/>
      <c r="AK156" s="33" t="n"/>
      <c r="AL156" s="27" t="n"/>
      <c r="AM156" s="34" t="n"/>
      <c r="AN156" s="35">
        <f>IF(AF156="","",IF(AI156="Yes","❌ Disc",IF(AH156="No","⚠ Missing",IF(AK156="Yes","✓ OK","⚠ Check"))))</f>
        <v/>
      </c>
      <c r="AO156" s="36" t="n"/>
      <c r="AP156" s="36" t="n"/>
      <c r="AQ156" s="36" t="n"/>
      <c r="AR156" s="36" t="n"/>
      <c r="AS156" s="36" t="n"/>
      <c r="AT156" s="36" t="n"/>
      <c r="AU156" s="27" t="n"/>
      <c r="AV156" s="37" t="n"/>
      <c r="AW156" s="38">
        <f>IF(AO156="","",IF(AR156="Yes","❌ Disc",IF(AQ156="No","⚠ Missing",IF(AT156="Yes","✓ OK","⚠ Check"))))</f>
        <v/>
      </c>
    </row>
    <row r="157" ht="18" customHeight="1" s="46">
      <c r="A157" s="23" t="n">
        <v>161</v>
      </c>
      <c r="B157" s="24" t="inlineStr">
        <is>
          <t>BD-LAM-2024-0015</t>
        </is>
      </c>
      <c r="C157" s="25" t="inlineStr">
        <is>
          <t>Lam SL LUV 1mm 1037 Soldier Green(Platinum)</t>
        </is>
      </c>
      <c r="D157" s="23" t="inlineStr">
        <is>
          <t>Stylam</t>
        </is>
      </c>
      <c r="E157" s="43" t="n">
        <v>46125</v>
      </c>
      <c r="F157" s="26" t="inlineStr">
        <is>
          <t>Sunil CR</t>
        </is>
      </c>
      <c r="G157" s="26" t="inlineStr">
        <is>
          <t>Yes</t>
        </is>
      </c>
      <c r="H157" s="26" t="inlineStr">
        <is>
          <t>No</t>
        </is>
      </c>
      <c r="I157" s="26" t="inlineStr">
        <is>
          <t>Good finish</t>
        </is>
      </c>
      <c r="J157" s="26" t="inlineStr">
        <is>
          <t>Yes</t>
        </is>
      </c>
      <c r="K157" s="27" t="n"/>
      <c r="L157" s="28" t="inlineStr">
        <is>
          <t>No</t>
        </is>
      </c>
      <c r="M157" s="29">
        <f>IF(E157="","",IF(H157="Yes","❌ Disc",IF(G157="No","⚠ Missing",IF(J157="Yes","✓ OK","⚠ Check"))))</f>
        <v/>
      </c>
      <c r="N157" s="43" t="n">
        <v>46193</v>
      </c>
      <c r="O157" s="26" t="inlineStr">
        <is>
          <t>Sunil CR</t>
        </is>
      </c>
      <c r="P157" s="26" t="inlineStr">
        <is>
          <t>Yes</t>
        </is>
      </c>
      <c r="Q157" s="26" t="inlineStr">
        <is>
          <t>No</t>
        </is>
      </c>
      <c r="R157" s="26" t="inlineStr">
        <is>
          <t>Good finish</t>
        </is>
      </c>
      <c r="S157" s="26" t="inlineStr">
        <is>
          <t>Yes</t>
        </is>
      </c>
      <c r="T157" s="27" t="n"/>
      <c r="U157" s="28" t="inlineStr">
        <is>
          <t>No</t>
        </is>
      </c>
      <c r="V157" s="29">
        <f>IF(N157="","",IF(Q157="Yes","❌ Disc",IF(P157="No","⚠ Missing",IF(S157="Yes","✓ OK","⚠ Check"))))</f>
        <v/>
      </c>
      <c r="W157" s="65" t="n">
        <v>46248</v>
      </c>
      <c r="X157" s="30" t="inlineStr">
        <is>
          <t>Sunil CR</t>
        </is>
      </c>
      <c r="Y157" s="30" t="inlineStr">
        <is>
          <t>Yes</t>
        </is>
      </c>
      <c r="Z157" s="30" t="n"/>
      <c r="AA157" s="30" t="inlineStr">
        <is>
          <t>Good finish</t>
        </is>
      </c>
      <c r="AB157" s="30" t="inlineStr">
        <is>
          <t>Yes</t>
        </is>
      </c>
      <c r="AC157" s="27" t="n"/>
      <c r="AD157" s="31" t="inlineStr">
        <is>
          <t>No</t>
        </is>
      </c>
      <c r="AE157" s="32">
        <f>IF(W157="","",IF(Z157="Yes","❌ Disc",IF(Y157="No","⚠ Missing",IF(AB157="Yes","✓ OK","⚠ Check"))))</f>
        <v/>
      </c>
      <c r="AF157" s="33" t="n"/>
      <c r="AG157" s="33" t="n"/>
      <c r="AH157" s="33" t="n"/>
      <c r="AI157" s="33" t="n"/>
      <c r="AJ157" s="33" t="n"/>
      <c r="AK157" s="33" t="n"/>
      <c r="AL157" s="27" t="n"/>
      <c r="AM157" s="34" t="n"/>
      <c r="AN157" s="35">
        <f>IF(AF157="","",IF(AI157="Yes","❌ Disc",IF(AH157="No","⚠ Missing",IF(AK157="Yes","✓ OK","⚠ Check"))))</f>
        <v/>
      </c>
      <c r="AO157" s="36" t="n"/>
      <c r="AP157" s="36" t="n"/>
      <c r="AQ157" s="36" t="n"/>
      <c r="AR157" s="36" t="n"/>
      <c r="AS157" s="36" t="n"/>
      <c r="AT157" s="36" t="n"/>
      <c r="AU157" s="27" t="n"/>
      <c r="AV157" s="37" t="n"/>
      <c r="AW157" s="38">
        <f>IF(AO157="","",IF(AR157="Yes","❌ Disc",IF(AQ157="No","⚠ Missing",IF(AT157="Yes","✓ OK","⚠ Check"))))</f>
        <v/>
      </c>
    </row>
    <row r="158" ht="18" customHeight="1" s="46">
      <c r="A158" s="39" t="n">
        <v>162</v>
      </c>
      <c r="B158" s="40" t="inlineStr">
        <is>
          <t>BD-LAM-2024-0014</t>
        </is>
      </c>
      <c r="C158" s="41" t="inlineStr">
        <is>
          <t>Lam SL LUV 1mm 1046 Rock Brown(Platinum)</t>
        </is>
      </c>
      <c r="D158" s="39" t="inlineStr">
        <is>
          <t>Stylam</t>
        </is>
      </c>
      <c r="E158" s="43" t="n">
        <v>46125</v>
      </c>
      <c r="F158" s="26" t="inlineStr">
        <is>
          <t>Sunil CR</t>
        </is>
      </c>
      <c r="G158" s="26" t="inlineStr">
        <is>
          <t>Yes</t>
        </is>
      </c>
      <c r="H158" s="26" t="inlineStr">
        <is>
          <t>No</t>
        </is>
      </c>
      <c r="I158" s="26" t="inlineStr">
        <is>
          <t>Good finish</t>
        </is>
      </c>
      <c r="J158" s="26" t="inlineStr">
        <is>
          <t>Yes</t>
        </is>
      </c>
      <c r="K158" s="27" t="n"/>
      <c r="L158" s="28" t="inlineStr">
        <is>
          <t>No</t>
        </is>
      </c>
      <c r="M158" s="29">
        <f>IF(E158="","",IF(H158="Yes","❌ Disc",IF(G158="No","⚠ Missing",IF(J158="Yes","✓ OK","⚠ Check"))))</f>
        <v/>
      </c>
      <c r="N158" s="43" t="n">
        <v>46193</v>
      </c>
      <c r="O158" s="26" t="inlineStr">
        <is>
          <t>Sunil CR</t>
        </is>
      </c>
      <c r="P158" s="26" t="inlineStr">
        <is>
          <t>Yes</t>
        </is>
      </c>
      <c r="Q158" s="26" t="inlineStr">
        <is>
          <t>No</t>
        </is>
      </c>
      <c r="R158" s="26" t="inlineStr">
        <is>
          <t>Good finish</t>
        </is>
      </c>
      <c r="S158" s="26" t="inlineStr">
        <is>
          <t>Yes</t>
        </is>
      </c>
      <c r="T158" s="27" t="n"/>
      <c r="U158" s="28" t="inlineStr">
        <is>
          <t>No</t>
        </is>
      </c>
      <c r="V158" s="29">
        <f>IF(N158="","",IF(Q158="Yes","❌ Disc",IF(P158="No","⚠ Missing",IF(S158="Yes","✓ OK","⚠ Check"))))</f>
        <v/>
      </c>
      <c r="W158" s="65" t="n">
        <v>46248</v>
      </c>
      <c r="X158" s="30" t="inlineStr">
        <is>
          <t>Sunil CR</t>
        </is>
      </c>
      <c r="Y158" s="30" t="inlineStr">
        <is>
          <t>Yes</t>
        </is>
      </c>
      <c r="Z158" s="30" t="n"/>
      <c r="AA158" s="30" t="inlineStr">
        <is>
          <t>Good finish</t>
        </is>
      </c>
      <c r="AB158" s="30" t="inlineStr">
        <is>
          <t>Yes</t>
        </is>
      </c>
      <c r="AC158" s="27" t="n"/>
      <c r="AD158" s="31" t="inlineStr">
        <is>
          <t>No</t>
        </is>
      </c>
      <c r="AE158" s="32">
        <f>IF(W158="","",IF(Z158="Yes","❌ Disc",IF(Y158="No","⚠ Missing",IF(AB158="Yes","✓ OK","⚠ Check"))))</f>
        <v/>
      </c>
      <c r="AF158" s="33" t="n"/>
      <c r="AG158" s="33" t="n"/>
      <c r="AH158" s="33" t="n"/>
      <c r="AI158" s="33" t="n"/>
      <c r="AJ158" s="33" t="n"/>
      <c r="AK158" s="33" t="n"/>
      <c r="AL158" s="27" t="n"/>
      <c r="AM158" s="34" t="n"/>
      <c r="AN158" s="35">
        <f>IF(AF158="","",IF(AI158="Yes","❌ Disc",IF(AH158="No","⚠ Missing",IF(AK158="Yes","✓ OK","⚠ Check"))))</f>
        <v/>
      </c>
      <c r="AO158" s="36" t="n"/>
      <c r="AP158" s="36" t="n"/>
      <c r="AQ158" s="36" t="n"/>
      <c r="AR158" s="36" t="n"/>
      <c r="AS158" s="36" t="n"/>
      <c r="AT158" s="36" t="n"/>
      <c r="AU158" s="27" t="n"/>
      <c r="AV158" s="37" t="n"/>
      <c r="AW158" s="38">
        <f>IF(AO158="","",IF(AR158="Yes","❌ Disc",IF(AQ158="No","⚠ Missing",IF(AT158="Yes","✓ OK","⚠ Check"))))</f>
        <v/>
      </c>
    </row>
    <row r="159" ht="18" customHeight="1" s="46">
      <c r="A159" s="23" t="n">
        <v>163</v>
      </c>
      <c r="B159" s="24" t="inlineStr">
        <is>
          <t>BD-LAM-2024-0011</t>
        </is>
      </c>
      <c r="C159" s="25" t="inlineStr">
        <is>
          <t>Lam SL LUV 1mm 1051 Aster Grey(Platinum)</t>
        </is>
      </c>
      <c r="D159" s="23" t="inlineStr">
        <is>
          <t>Stylam</t>
        </is>
      </c>
      <c r="E159" s="43" t="n">
        <v>46125</v>
      </c>
      <c r="F159" s="26" t="inlineStr">
        <is>
          <t>Sunil CR</t>
        </is>
      </c>
      <c r="G159" s="26" t="inlineStr">
        <is>
          <t>Yes</t>
        </is>
      </c>
      <c r="H159" s="26" t="inlineStr">
        <is>
          <t>No</t>
        </is>
      </c>
      <c r="I159" s="26" t="inlineStr">
        <is>
          <t>Good finish</t>
        </is>
      </c>
      <c r="J159" s="26" t="inlineStr">
        <is>
          <t>Yes</t>
        </is>
      </c>
      <c r="K159" s="27" t="n"/>
      <c r="L159" s="28" t="inlineStr">
        <is>
          <t>No</t>
        </is>
      </c>
      <c r="M159" s="29">
        <f>IF(E159="","",IF(H159="Yes","❌ Disc",IF(G159="No","⚠ Missing",IF(J159="Yes","✓ OK","⚠ Check"))))</f>
        <v/>
      </c>
      <c r="N159" s="43" t="n">
        <v>46193</v>
      </c>
      <c r="O159" s="26" t="inlineStr">
        <is>
          <t>Sunil CR</t>
        </is>
      </c>
      <c r="P159" s="26" t="inlineStr">
        <is>
          <t>Yes</t>
        </is>
      </c>
      <c r="Q159" s="26" t="inlineStr">
        <is>
          <t>No</t>
        </is>
      </c>
      <c r="R159" s="26" t="inlineStr">
        <is>
          <t>Good finish</t>
        </is>
      </c>
      <c r="S159" s="26" t="inlineStr">
        <is>
          <t>Yes</t>
        </is>
      </c>
      <c r="T159" s="27" t="n"/>
      <c r="U159" s="28" t="inlineStr">
        <is>
          <t>No</t>
        </is>
      </c>
      <c r="V159" s="29">
        <f>IF(N159="","",IF(Q159="Yes","❌ Disc",IF(P159="No","⚠ Missing",IF(S159="Yes","✓ OK","⚠ Check"))))</f>
        <v/>
      </c>
      <c r="W159" s="65" t="n">
        <v>46248</v>
      </c>
      <c r="X159" s="30" t="inlineStr">
        <is>
          <t>Sunil CR</t>
        </is>
      </c>
      <c r="Y159" s="30" t="inlineStr">
        <is>
          <t>Yes</t>
        </is>
      </c>
      <c r="Z159" s="30" t="n"/>
      <c r="AA159" s="30" t="inlineStr">
        <is>
          <t>Good finish</t>
        </is>
      </c>
      <c r="AB159" s="30" t="inlineStr">
        <is>
          <t>Yes</t>
        </is>
      </c>
      <c r="AC159" s="27" t="n"/>
      <c r="AD159" s="31" t="inlineStr">
        <is>
          <t>No</t>
        </is>
      </c>
      <c r="AE159" s="32">
        <f>IF(W159="","",IF(Z159="Yes","❌ Disc",IF(Y159="No","⚠ Missing",IF(AB159="Yes","✓ OK","⚠ Check"))))</f>
        <v/>
      </c>
      <c r="AF159" s="33" t="n"/>
      <c r="AG159" s="33" t="n"/>
      <c r="AH159" s="33" t="n"/>
      <c r="AI159" s="33" t="n"/>
      <c r="AJ159" s="33" t="n"/>
      <c r="AK159" s="33" t="n"/>
      <c r="AL159" s="27" t="n"/>
      <c r="AM159" s="34" t="n"/>
      <c r="AN159" s="35">
        <f>IF(AF159="","",IF(AI159="Yes","❌ Disc",IF(AH159="No","⚠ Missing",IF(AK159="Yes","✓ OK","⚠ Check"))))</f>
        <v/>
      </c>
      <c r="AO159" s="36" t="n"/>
      <c r="AP159" s="36" t="n"/>
      <c r="AQ159" s="36" t="n"/>
      <c r="AR159" s="36" t="n"/>
      <c r="AS159" s="36" t="n"/>
      <c r="AT159" s="36" t="n"/>
      <c r="AU159" s="27" t="n"/>
      <c r="AV159" s="37" t="n"/>
      <c r="AW159" s="38">
        <f>IF(AO159="","",IF(AR159="Yes","❌ Disc",IF(AQ159="No","⚠ Missing",IF(AT159="Yes","✓ OK","⚠ Check"))))</f>
        <v/>
      </c>
    </row>
    <row r="160" ht="18" customHeight="1" s="46">
      <c r="A160" s="39" t="n">
        <v>164</v>
      </c>
      <c r="B160" s="40" t="inlineStr">
        <is>
          <t>BD-LAM-2024-0035</t>
        </is>
      </c>
      <c r="C160" s="41" t="inlineStr">
        <is>
          <t>Lam SL LUV 1mm 1067 Dim Grey(Platinum)</t>
        </is>
      </c>
      <c r="D160" s="39" t="inlineStr">
        <is>
          <t>Stylam</t>
        </is>
      </c>
      <c r="E160" s="43" t="n">
        <v>46125</v>
      </c>
      <c r="F160" s="26" t="inlineStr">
        <is>
          <t>Sunil CR</t>
        </is>
      </c>
      <c r="G160" s="26" t="inlineStr">
        <is>
          <t>Yes</t>
        </is>
      </c>
      <c r="H160" s="26" t="inlineStr">
        <is>
          <t>No</t>
        </is>
      </c>
      <c r="I160" s="26" t="inlineStr">
        <is>
          <t>Minor defect</t>
        </is>
      </c>
      <c r="J160" s="26" t="inlineStr">
        <is>
          <t>No</t>
        </is>
      </c>
      <c r="K160" s="27" t="inlineStr">
        <is>
          <t>Name Sticker to be Changed</t>
        </is>
      </c>
      <c r="L160" s="28" t="inlineStr">
        <is>
          <t>Yes</t>
        </is>
      </c>
      <c r="M160" s="29">
        <f>IF(E160="","",IF(H160="Yes","❌ Disc",IF(G160="No","⚠ Missing",IF(J160="Yes","✓ OK","⚠ Check"))))</f>
        <v/>
      </c>
      <c r="N160" s="43" t="n">
        <v>46193</v>
      </c>
      <c r="O160" s="26" t="inlineStr">
        <is>
          <t>Sunil CR</t>
        </is>
      </c>
      <c r="P160" s="26" t="inlineStr">
        <is>
          <t>Yes</t>
        </is>
      </c>
      <c r="Q160" s="26" t="inlineStr">
        <is>
          <t>No</t>
        </is>
      </c>
      <c r="R160" s="26" t="inlineStr">
        <is>
          <t>Minor defect</t>
        </is>
      </c>
      <c r="S160" s="26" t="inlineStr">
        <is>
          <t>No</t>
        </is>
      </c>
      <c r="T160" s="27" t="inlineStr">
        <is>
          <t>Name Sticker to be Changed</t>
        </is>
      </c>
      <c r="U160" s="28" t="inlineStr">
        <is>
          <t>Yes</t>
        </is>
      </c>
      <c r="V160" s="29">
        <f>IF(N160="","",IF(Q160="Yes","❌ Disc",IF(P160="No","⚠ Missing",IF(S160="Yes","✓ OK","⚠ Check"))))</f>
        <v/>
      </c>
      <c r="W160" s="65" t="n">
        <v>46248</v>
      </c>
      <c r="X160" s="30" t="inlineStr">
        <is>
          <t>Sunil CR</t>
        </is>
      </c>
      <c r="Y160" s="30" t="inlineStr">
        <is>
          <t>Yes</t>
        </is>
      </c>
      <c r="Z160" s="30" t="n"/>
      <c r="AA160" s="30" t="inlineStr">
        <is>
          <t>Minor defect</t>
        </is>
      </c>
      <c r="AB160" s="30" t="inlineStr">
        <is>
          <t>No</t>
        </is>
      </c>
      <c r="AC160" s="27" t="inlineStr">
        <is>
          <t>Name Sticker to be Changed</t>
        </is>
      </c>
      <c r="AD160" s="31" t="inlineStr">
        <is>
          <t>Yes</t>
        </is>
      </c>
      <c r="AE160" s="32">
        <f>IF(W160="","",IF(Z160="Yes","❌ Disc",IF(Y160="No","⚠ Missing",IF(AB160="Yes","✓ OK","⚠ Check"))))</f>
        <v/>
      </c>
      <c r="AF160" s="33" t="n"/>
      <c r="AG160" s="33" t="n"/>
      <c r="AH160" s="33" t="n"/>
      <c r="AI160" s="33" t="n"/>
      <c r="AJ160" s="33" t="n"/>
      <c r="AK160" s="33" t="n"/>
      <c r="AL160" s="27" t="n"/>
      <c r="AM160" s="34" t="n"/>
      <c r="AN160" s="35">
        <f>IF(AF160="","",IF(AI160="Yes","❌ Disc",IF(AH160="No","⚠ Missing",IF(AK160="Yes","✓ OK","⚠ Check"))))</f>
        <v/>
      </c>
      <c r="AO160" s="36" t="n"/>
      <c r="AP160" s="36" t="n"/>
      <c r="AQ160" s="36" t="n"/>
      <c r="AR160" s="36" t="n"/>
      <c r="AS160" s="36" t="n"/>
      <c r="AT160" s="36" t="n"/>
      <c r="AU160" s="27" t="n"/>
      <c r="AV160" s="37" t="n"/>
      <c r="AW160" s="38">
        <f>IF(AO160="","",IF(AR160="Yes","❌ Disc",IF(AQ160="No","⚠ Missing",IF(AT160="Yes","✓ OK","⚠ Check"))))</f>
        <v/>
      </c>
    </row>
    <row r="161" ht="18" customHeight="1" s="46">
      <c r="A161" s="23" t="n">
        <v>165</v>
      </c>
      <c r="B161" s="24" t="inlineStr">
        <is>
          <t>BD-LAM-2024-0017</t>
        </is>
      </c>
      <c r="C161" s="25" t="inlineStr">
        <is>
          <t>Lam SL LUV 1mm 1091 Steel blue(Platinum)</t>
        </is>
      </c>
      <c r="D161" s="23" t="inlineStr">
        <is>
          <t>Stylam</t>
        </is>
      </c>
      <c r="E161" s="43" t="n">
        <v>46125</v>
      </c>
      <c r="F161" s="26" t="inlineStr">
        <is>
          <t>Sunil CR</t>
        </is>
      </c>
      <c r="G161" s="26" t="inlineStr">
        <is>
          <t>Yes</t>
        </is>
      </c>
      <c r="H161" s="26" t="inlineStr">
        <is>
          <t>No</t>
        </is>
      </c>
      <c r="I161" s="26" t="inlineStr">
        <is>
          <t>Good finish</t>
        </is>
      </c>
      <c r="J161" s="26" t="inlineStr">
        <is>
          <t>Yes</t>
        </is>
      </c>
      <c r="K161" s="27" t="n"/>
      <c r="L161" s="28" t="inlineStr">
        <is>
          <t>No</t>
        </is>
      </c>
      <c r="M161" s="29">
        <f>IF(E161="","",IF(H161="Yes","❌ Disc",IF(G161="No","⚠ Missing",IF(J161="Yes","✓ OK","⚠ Check"))))</f>
        <v/>
      </c>
      <c r="N161" s="43" t="n">
        <v>46193</v>
      </c>
      <c r="O161" s="26" t="inlineStr">
        <is>
          <t>Sunil CR</t>
        </is>
      </c>
      <c r="P161" s="26" t="inlineStr">
        <is>
          <t>Yes</t>
        </is>
      </c>
      <c r="Q161" s="26" t="inlineStr">
        <is>
          <t>No</t>
        </is>
      </c>
      <c r="R161" s="26" t="inlineStr">
        <is>
          <t>Good finish</t>
        </is>
      </c>
      <c r="S161" s="26" t="inlineStr">
        <is>
          <t>Yes</t>
        </is>
      </c>
      <c r="T161" s="27" t="n"/>
      <c r="U161" s="28" t="inlineStr">
        <is>
          <t>No</t>
        </is>
      </c>
      <c r="V161" s="29">
        <f>IF(N161="","",IF(Q161="Yes","❌ Disc",IF(P161="No","⚠ Missing",IF(S161="Yes","✓ OK","⚠ Check"))))</f>
        <v/>
      </c>
      <c r="W161" s="65" t="n">
        <v>46248</v>
      </c>
      <c r="X161" s="30" t="inlineStr">
        <is>
          <t>Sunil CR</t>
        </is>
      </c>
      <c r="Y161" s="30" t="inlineStr">
        <is>
          <t>Yes</t>
        </is>
      </c>
      <c r="Z161" s="30" t="n"/>
      <c r="AA161" s="30" t="inlineStr">
        <is>
          <t>Good finish</t>
        </is>
      </c>
      <c r="AB161" s="30" t="inlineStr">
        <is>
          <t>Yes</t>
        </is>
      </c>
      <c r="AC161" s="27" t="n"/>
      <c r="AD161" s="31" t="inlineStr">
        <is>
          <t>No</t>
        </is>
      </c>
      <c r="AE161" s="32">
        <f>IF(W161="","",IF(Z161="Yes","❌ Disc",IF(Y161="No","⚠ Missing",IF(AB161="Yes","✓ OK","⚠ Check"))))</f>
        <v/>
      </c>
      <c r="AF161" s="33" t="n"/>
      <c r="AG161" s="33" t="n"/>
      <c r="AH161" s="33" t="n"/>
      <c r="AI161" s="33" t="n"/>
      <c r="AJ161" s="33" t="n"/>
      <c r="AK161" s="33" t="n"/>
      <c r="AL161" s="27" t="n"/>
      <c r="AM161" s="34" t="n"/>
      <c r="AN161" s="35">
        <f>IF(AF161="","",IF(AI161="Yes","❌ Disc",IF(AH161="No","⚠ Missing",IF(AK161="Yes","✓ OK","⚠ Check"))))</f>
        <v/>
      </c>
      <c r="AO161" s="36" t="n"/>
      <c r="AP161" s="36" t="n"/>
      <c r="AQ161" s="36" t="n"/>
      <c r="AR161" s="36" t="n"/>
      <c r="AS161" s="36" t="n"/>
      <c r="AT161" s="36" t="n"/>
      <c r="AU161" s="27" t="n"/>
      <c r="AV161" s="37" t="n"/>
      <c r="AW161" s="38">
        <f>IF(AO161="","",IF(AR161="Yes","❌ Disc",IF(AQ161="No","⚠ Missing",IF(AT161="Yes","✓ OK","⚠ Check"))))</f>
        <v/>
      </c>
    </row>
    <row r="162" ht="18" customHeight="1" s="46">
      <c r="A162" s="39" t="n">
        <v>166</v>
      </c>
      <c r="B162" s="40" t="inlineStr">
        <is>
          <t>BD-LAM-2024-0012</t>
        </is>
      </c>
      <c r="C162" s="41" t="inlineStr">
        <is>
          <t>Lam SL LUV 1mm 120 Alumina Grey(Platinum)</t>
        </is>
      </c>
      <c r="D162" s="39" t="inlineStr">
        <is>
          <t>Stylam</t>
        </is>
      </c>
      <c r="E162" s="43" t="n">
        <v>46125</v>
      </c>
      <c r="F162" s="26" t="inlineStr">
        <is>
          <t>Sunil CR</t>
        </is>
      </c>
      <c r="G162" s="26" t="inlineStr">
        <is>
          <t>Yes</t>
        </is>
      </c>
      <c r="H162" s="26" t="inlineStr">
        <is>
          <t>No</t>
        </is>
      </c>
      <c r="I162" s="26" t="inlineStr">
        <is>
          <t>Good finish</t>
        </is>
      </c>
      <c r="J162" s="26" t="inlineStr">
        <is>
          <t>Yes</t>
        </is>
      </c>
      <c r="K162" s="27" t="n"/>
      <c r="L162" s="28" t="inlineStr">
        <is>
          <t>No</t>
        </is>
      </c>
      <c r="M162" s="29">
        <f>IF(E162="","",IF(H162="Yes","❌ Disc",IF(G162="No","⚠ Missing",IF(J162="Yes","✓ OK","⚠ Check"))))</f>
        <v/>
      </c>
      <c r="N162" s="43" t="n">
        <v>46193</v>
      </c>
      <c r="O162" s="26" t="inlineStr">
        <is>
          <t>Sunil CR</t>
        </is>
      </c>
      <c r="P162" s="26" t="inlineStr">
        <is>
          <t>Yes</t>
        </is>
      </c>
      <c r="Q162" s="26" t="inlineStr">
        <is>
          <t>No</t>
        </is>
      </c>
      <c r="R162" s="26" t="inlineStr">
        <is>
          <t>Good finish</t>
        </is>
      </c>
      <c r="S162" s="26" t="inlineStr">
        <is>
          <t>Yes</t>
        </is>
      </c>
      <c r="T162" s="27" t="n"/>
      <c r="U162" s="28" t="inlineStr">
        <is>
          <t>No</t>
        </is>
      </c>
      <c r="V162" s="29">
        <f>IF(N162="","",IF(Q162="Yes","❌ Disc",IF(P162="No","⚠ Missing",IF(S162="Yes","✓ OK","⚠ Check"))))</f>
        <v/>
      </c>
      <c r="W162" s="65" t="n">
        <v>46248</v>
      </c>
      <c r="X162" s="30" t="inlineStr">
        <is>
          <t>Sunil CR</t>
        </is>
      </c>
      <c r="Y162" s="30" t="inlineStr">
        <is>
          <t>Yes</t>
        </is>
      </c>
      <c r="Z162" s="30" t="n"/>
      <c r="AA162" s="30" t="inlineStr">
        <is>
          <t>Good finish</t>
        </is>
      </c>
      <c r="AB162" s="30" t="inlineStr">
        <is>
          <t>Yes</t>
        </is>
      </c>
      <c r="AC162" s="27" t="n"/>
      <c r="AD162" s="31" t="inlineStr">
        <is>
          <t>No</t>
        </is>
      </c>
      <c r="AE162" s="32">
        <f>IF(W162="","",IF(Z162="Yes","❌ Disc",IF(Y162="No","⚠ Missing",IF(AB162="Yes","✓ OK","⚠ Check"))))</f>
        <v/>
      </c>
      <c r="AF162" s="33" t="n"/>
      <c r="AG162" s="33" t="n"/>
      <c r="AH162" s="33" t="n"/>
      <c r="AI162" s="33" t="n"/>
      <c r="AJ162" s="33" t="n"/>
      <c r="AK162" s="33" t="n"/>
      <c r="AL162" s="27" t="n"/>
      <c r="AM162" s="34" t="n"/>
      <c r="AN162" s="35">
        <f>IF(AF162="","",IF(AI162="Yes","❌ Disc",IF(AH162="No","⚠ Missing",IF(AK162="Yes","✓ OK","⚠ Check"))))</f>
        <v/>
      </c>
      <c r="AO162" s="36" t="n"/>
      <c r="AP162" s="36" t="n"/>
      <c r="AQ162" s="36" t="n"/>
      <c r="AR162" s="36" t="n"/>
      <c r="AS162" s="36" t="n"/>
      <c r="AT162" s="36" t="n"/>
      <c r="AU162" s="27" t="n"/>
      <c r="AV162" s="37" t="n"/>
      <c r="AW162" s="38">
        <f>IF(AO162="","",IF(AR162="Yes","❌ Disc",IF(AQ162="No","⚠ Missing",IF(AT162="Yes","✓ OK","⚠ Check"))))</f>
        <v/>
      </c>
    </row>
    <row r="163" ht="18" customHeight="1" s="46">
      <c r="A163" s="23" t="n">
        <v>167</v>
      </c>
      <c r="B163" s="24" t="inlineStr">
        <is>
          <t>BD-LAM-2024-0013</t>
        </is>
      </c>
      <c r="C163" s="25" t="inlineStr">
        <is>
          <t>Lam SL LUV 1mm 142 Black Magic(Platinum)</t>
        </is>
      </c>
      <c r="D163" s="23" t="inlineStr">
        <is>
          <t>Stylam</t>
        </is>
      </c>
      <c r="E163" s="43" t="n">
        <v>46125</v>
      </c>
      <c r="F163" s="26" t="inlineStr">
        <is>
          <t>Sunil CR</t>
        </is>
      </c>
      <c r="G163" s="26" t="inlineStr">
        <is>
          <t>Yes</t>
        </is>
      </c>
      <c r="H163" s="26" t="inlineStr">
        <is>
          <t>No</t>
        </is>
      </c>
      <c r="I163" s="26" t="inlineStr">
        <is>
          <t>Good finish</t>
        </is>
      </c>
      <c r="J163" s="26" t="inlineStr">
        <is>
          <t>Yes</t>
        </is>
      </c>
      <c r="K163" s="27" t="n"/>
      <c r="L163" s="28" t="inlineStr">
        <is>
          <t>No</t>
        </is>
      </c>
      <c r="M163" s="29">
        <f>IF(E163="","",IF(H163="Yes","❌ Disc",IF(G163="No","⚠ Missing",IF(J163="Yes","✓ OK","⚠ Check"))))</f>
        <v/>
      </c>
      <c r="N163" s="43" t="n">
        <v>46193</v>
      </c>
      <c r="O163" s="26" t="inlineStr">
        <is>
          <t>Sunil CR</t>
        </is>
      </c>
      <c r="P163" s="26" t="inlineStr">
        <is>
          <t>Yes</t>
        </is>
      </c>
      <c r="Q163" s="26" t="inlineStr">
        <is>
          <t>No</t>
        </is>
      </c>
      <c r="R163" s="26" t="inlineStr">
        <is>
          <t>Good finish</t>
        </is>
      </c>
      <c r="S163" s="26" t="inlineStr">
        <is>
          <t>Yes</t>
        </is>
      </c>
      <c r="T163" s="27" t="n"/>
      <c r="U163" s="28" t="inlineStr">
        <is>
          <t>No</t>
        </is>
      </c>
      <c r="V163" s="29">
        <f>IF(N163="","",IF(Q163="Yes","❌ Disc",IF(P163="No","⚠ Missing",IF(S163="Yes","✓ OK","⚠ Check"))))</f>
        <v/>
      </c>
      <c r="W163" s="65" t="n">
        <v>46248</v>
      </c>
      <c r="X163" s="30" t="inlineStr">
        <is>
          <t>Sunil CR</t>
        </is>
      </c>
      <c r="Y163" s="30" t="inlineStr">
        <is>
          <t>Yes</t>
        </is>
      </c>
      <c r="Z163" s="30" t="n"/>
      <c r="AA163" s="30" t="inlineStr">
        <is>
          <t>Good finish</t>
        </is>
      </c>
      <c r="AB163" s="30" t="inlineStr">
        <is>
          <t>Yes</t>
        </is>
      </c>
      <c r="AC163" s="27" t="n"/>
      <c r="AD163" s="31" t="inlineStr">
        <is>
          <t>No</t>
        </is>
      </c>
      <c r="AE163" s="32">
        <f>IF(W163="","",IF(Z163="Yes","❌ Disc",IF(Y163="No","⚠ Missing",IF(AB163="Yes","✓ OK","⚠ Check"))))</f>
        <v/>
      </c>
      <c r="AF163" s="33" t="n"/>
      <c r="AG163" s="33" t="n"/>
      <c r="AH163" s="33" t="n"/>
      <c r="AI163" s="33" t="n"/>
      <c r="AJ163" s="33" t="n"/>
      <c r="AK163" s="33" t="n"/>
      <c r="AL163" s="27" t="n"/>
      <c r="AM163" s="34" t="n"/>
      <c r="AN163" s="35">
        <f>IF(AF163="","",IF(AI163="Yes","❌ Disc",IF(AH163="No","⚠ Missing",IF(AK163="Yes","✓ OK","⚠ Check"))))</f>
        <v/>
      </c>
      <c r="AO163" s="36" t="n"/>
      <c r="AP163" s="36" t="n"/>
      <c r="AQ163" s="36" t="n"/>
      <c r="AR163" s="36" t="n"/>
      <c r="AS163" s="36" t="n"/>
      <c r="AT163" s="36" t="n"/>
      <c r="AU163" s="27" t="n"/>
      <c r="AV163" s="37" t="n"/>
      <c r="AW163" s="38">
        <f>IF(AO163="","",IF(AR163="Yes","❌ Disc",IF(AQ163="No","⚠ Missing",IF(AT163="Yes","✓ OK","⚠ Check"))))</f>
        <v/>
      </c>
    </row>
    <row r="164" ht="18" customHeight="1" s="46">
      <c r="A164" s="39" t="n">
        <v>168</v>
      </c>
      <c r="B164" s="40" t="inlineStr">
        <is>
          <t>BD-LAM-2024-0021</t>
        </is>
      </c>
      <c r="C164" s="41" t="inlineStr">
        <is>
          <t>Lam SL LUV 1mm 1587 Harley Marble(Platinum)</t>
        </is>
      </c>
      <c r="D164" s="39" t="inlineStr">
        <is>
          <t>Stylam</t>
        </is>
      </c>
      <c r="E164" s="43" t="n">
        <v>46125</v>
      </c>
      <c r="F164" s="26" t="inlineStr">
        <is>
          <t>Sunil CR</t>
        </is>
      </c>
      <c r="G164" s="26" t="inlineStr">
        <is>
          <t>Yes</t>
        </is>
      </c>
      <c r="H164" s="26" t="inlineStr">
        <is>
          <t>No</t>
        </is>
      </c>
      <c r="I164" s="26" t="inlineStr">
        <is>
          <t>Minor defect</t>
        </is>
      </c>
      <c r="J164" s="26" t="inlineStr">
        <is>
          <t>No</t>
        </is>
      </c>
      <c r="K164" s="27" t="inlineStr">
        <is>
          <t>Name Sticker to be Changed</t>
        </is>
      </c>
      <c r="L164" s="28" t="inlineStr">
        <is>
          <t>Yes</t>
        </is>
      </c>
      <c r="M164" s="29">
        <f>IF(E164="","",IF(H164="Yes","❌ Disc",IF(G164="No","⚠ Missing",IF(J164="Yes","✓ OK","⚠ Check"))))</f>
        <v/>
      </c>
      <c r="N164" s="43" t="n">
        <v>46193</v>
      </c>
      <c r="O164" s="26" t="inlineStr">
        <is>
          <t>Sunil CR</t>
        </is>
      </c>
      <c r="P164" s="26" t="inlineStr">
        <is>
          <t>Yes</t>
        </is>
      </c>
      <c r="Q164" s="26" t="inlineStr">
        <is>
          <t>No</t>
        </is>
      </c>
      <c r="R164" s="26" t="inlineStr">
        <is>
          <t>Minor defect</t>
        </is>
      </c>
      <c r="S164" s="26" t="inlineStr">
        <is>
          <t>No</t>
        </is>
      </c>
      <c r="T164" s="27" t="inlineStr">
        <is>
          <t>Name Sticker to be Changed</t>
        </is>
      </c>
      <c r="U164" s="28" t="inlineStr">
        <is>
          <t>Yes</t>
        </is>
      </c>
      <c r="V164" s="29">
        <f>IF(N164="","",IF(Q164="Yes","❌ Disc",IF(P164="No","⚠ Missing",IF(S164="Yes","✓ OK","⚠ Check"))))</f>
        <v/>
      </c>
      <c r="W164" s="65" t="n">
        <v>46248</v>
      </c>
      <c r="X164" s="30" t="inlineStr">
        <is>
          <t>Sunil CR</t>
        </is>
      </c>
      <c r="Y164" s="30" t="inlineStr">
        <is>
          <t>Yes</t>
        </is>
      </c>
      <c r="Z164" s="30" t="n"/>
      <c r="AA164" s="30" t="inlineStr">
        <is>
          <t>Minor defect</t>
        </is>
      </c>
      <c r="AB164" s="30" t="inlineStr">
        <is>
          <t>No</t>
        </is>
      </c>
      <c r="AC164" s="27" t="inlineStr">
        <is>
          <t>Name Sticker to be Changed</t>
        </is>
      </c>
      <c r="AD164" s="31" t="inlineStr">
        <is>
          <t>Yes</t>
        </is>
      </c>
      <c r="AE164" s="32">
        <f>IF(W164="","",IF(Z164="Yes","❌ Disc",IF(Y164="No","⚠ Missing",IF(AB164="Yes","✓ OK","⚠ Check"))))</f>
        <v/>
      </c>
      <c r="AF164" s="33" t="n"/>
      <c r="AG164" s="33" t="n"/>
      <c r="AH164" s="33" t="n"/>
      <c r="AI164" s="33" t="n"/>
      <c r="AJ164" s="33" t="n"/>
      <c r="AK164" s="33" t="n"/>
      <c r="AL164" s="27" t="n"/>
      <c r="AM164" s="34" t="n"/>
      <c r="AN164" s="35">
        <f>IF(AF164="","",IF(AI164="Yes","❌ Disc",IF(AH164="No","⚠ Missing",IF(AK164="Yes","✓ OK","⚠ Check"))))</f>
        <v/>
      </c>
      <c r="AO164" s="36" t="n"/>
      <c r="AP164" s="36" t="n"/>
      <c r="AQ164" s="36" t="n"/>
      <c r="AR164" s="36" t="n"/>
      <c r="AS164" s="36" t="n"/>
      <c r="AT164" s="36" t="n"/>
      <c r="AU164" s="27" t="n"/>
      <c r="AV164" s="37" t="n"/>
      <c r="AW164" s="38">
        <f>IF(AO164="","",IF(AR164="Yes","❌ Disc",IF(AQ164="No","⚠ Missing",IF(AT164="Yes","✓ OK","⚠ Check"))))</f>
        <v/>
      </c>
    </row>
    <row r="165" ht="18" customHeight="1" s="46">
      <c r="A165" s="23" t="n">
        <v>169</v>
      </c>
      <c r="B165" s="24" t="inlineStr">
        <is>
          <t>BD-LAM-2024-0020</t>
        </is>
      </c>
      <c r="C165" s="25" t="inlineStr">
        <is>
          <t>Lam SL LUV 1mm 1638 Sicily Bright(Platinum)</t>
        </is>
      </c>
      <c r="D165" s="23" t="inlineStr">
        <is>
          <t>Stylam</t>
        </is>
      </c>
      <c r="E165" s="43" t="n">
        <v>46125</v>
      </c>
      <c r="F165" s="26" t="inlineStr">
        <is>
          <t>Sunil CR</t>
        </is>
      </c>
      <c r="G165" s="26" t="inlineStr">
        <is>
          <t>Yes</t>
        </is>
      </c>
      <c r="H165" s="26" t="inlineStr">
        <is>
          <t>No</t>
        </is>
      </c>
      <c r="I165" s="26" t="inlineStr">
        <is>
          <t>Minor defect</t>
        </is>
      </c>
      <c r="J165" s="26" t="inlineStr">
        <is>
          <t>No</t>
        </is>
      </c>
      <c r="K165" s="27" t="inlineStr">
        <is>
          <t>Name Sticker to be Changed</t>
        </is>
      </c>
      <c r="L165" s="28" t="inlineStr">
        <is>
          <t>Yes</t>
        </is>
      </c>
      <c r="M165" s="29">
        <f>IF(E165="","",IF(H165="Yes","❌ Disc",IF(G165="No","⚠ Missing",IF(J165="Yes","✓ OK","⚠ Check"))))</f>
        <v/>
      </c>
      <c r="N165" s="43" t="n">
        <v>46193</v>
      </c>
      <c r="O165" s="26" t="inlineStr">
        <is>
          <t>Sunil CR</t>
        </is>
      </c>
      <c r="P165" s="26" t="inlineStr">
        <is>
          <t>Yes</t>
        </is>
      </c>
      <c r="Q165" s="26" t="inlineStr">
        <is>
          <t>No</t>
        </is>
      </c>
      <c r="R165" s="26" t="inlineStr">
        <is>
          <t>Minor defect</t>
        </is>
      </c>
      <c r="S165" s="26" t="inlineStr">
        <is>
          <t>No</t>
        </is>
      </c>
      <c r="T165" s="27" t="inlineStr">
        <is>
          <t>Name Sticker to be Changed</t>
        </is>
      </c>
      <c r="U165" s="28" t="inlineStr">
        <is>
          <t>Yes</t>
        </is>
      </c>
      <c r="V165" s="29">
        <f>IF(N165="","",IF(Q165="Yes","❌ Disc",IF(P165="No","⚠ Missing",IF(S165="Yes","✓ OK","⚠ Check"))))</f>
        <v/>
      </c>
      <c r="W165" s="65" t="n">
        <v>46248</v>
      </c>
      <c r="X165" s="30" t="inlineStr">
        <is>
          <t>Sunil CR</t>
        </is>
      </c>
      <c r="Y165" s="30" t="inlineStr">
        <is>
          <t>Yes</t>
        </is>
      </c>
      <c r="Z165" s="30" t="n"/>
      <c r="AA165" s="30" t="inlineStr">
        <is>
          <t>Minor defect</t>
        </is>
      </c>
      <c r="AB165" s="30" t="inlineStr">
        <is>
          <t>No</t>
        </is>
      </c>
      <c r="AC165" s="27" t="inlineStr">
        <is>
          <t>Name Sticker to be Changed</t>
        </is>
      </c>
      <c r="AD165" s="31" t="inlineStr">
        <is>
          <t>Yes</t>
        </is>
      </c>
      <c r="AE165" s="32">
        <f>IF(W165="","",IF(Z165="Yes","❌ Disc",IF(Y165="No","⚠ Missing",IF(AB165="Yes","✓ OK","⚠ Check"))))</f>
        <v/>
      </c>
      <c r="AF165" s="33" t="n"/>
      <c r="AG165" s="33" t="n"/>
      <c r="AH165" s="33" t="n"/>
      <c r="AI165" s="33" t="n"/>
      <c r="AJ165" s="33" t="n"/>
      <c r="AK165" s="33" t="n"/>
      <c r="AL165" s="27" t="n"/>
      <c r="AM165" s="34" t="n"/>
      <c r="AN165" s="35">
        <f>IF(AF165="","",IF(AI165="Yes","❌ Disc",IF(AH165="No","⚠ Missing",IF(AK165="Yes","✓ OK","⚠ Check"))))</f>
        <v/>
      </c>
      <c r="AO165" s="36" t="n"/>
      <c r="AP165" s="36" t="n"/>
      <c r="AQ165" s="36" t="n"/>
      <c r="AR165" s="36" t="n"/>
      <c r="AS165" s="36" t="n"/>
      <c r="AT165" s="36" t="n"/>
      <c r="AU165" s="27" t="n"/>
      <c r="AV165" s="37" t="n"/>
      <c r="AW165" s="38">
        <f>IF(AO165="","",IF(AR165="Yes","❌ Disc",IF(AQ165="No","⚠ Missing",IF(AT165="Yes","✓ OK","⚠ Check"))))</f>
        <v/>
      </c>
    </row>
    <row r="166" ht="18" customHeight="1" s="46">
      <c r="A166" s="39" t="n">
        <v>170</v>
      </c>
      <c r="B166" s="40" t="inlineStr">
        <is>
          <t>BD-LAM-2024-0018</t>
        </is>
      </c>
      <c r="C166" s="41" t="inlineStr">
        <is>
          <t>Lam SL LUV 1mm 1703 Scrat Pink(Platinum)</t>
        </is>
      </c>
      <c r="D166" s="39" t="inlineStr">
        <is>
          <t>Stylam</t>
        </is>
      </c>
      <c r="E166" s="43" t="n">
        <v>46125</v>
      </c>
      <c r="F166" s="26" t="inlineStr">
        <is>
          <t>Sunil CR</t>
        </is>
      </c>
      <c r="G166" s="26" t="inlineStr">
        <is>
          <t>Yes</t>
        </is>
      </c>
      <c r="H166" s="26" t="inlineStr">
        <is>
          <t>No</t>
        </is>
      </c>
      <c r="I166" s="26" t="inlineStr">
        <is>
          <t>Good finish</t>
        </is>
      </c>
      <c r="J166" s="26" t="inlineStr">
        <is>
          <t>Yes</t>
        </is>
      </c>
      <c r="K166" s="27" t="n"/>
      <c r="L166" s="28" t="inlineStr">
        <is>
          <t>No</t>
        </is>
      </c>
      <c r="M166" s="29">
        <f>IF(E166="","",IF(H166="Yes","❌ Disc",IF(G166="No","⚠ Missing",IF(J166="Yes","✓ OK","⚠ Check"))))</f>
        <v/>
      </c>
      <c r="N166" s="43" t="n">
        <v>46193</v>
      </c>
      <c r="O166" s="26" t="inlineStr">
        <is>
          <t>Sunil CR</t>
        </is>
      </c>
      <c r="P166" s="26" t="inlineStr">
        <is>
          <t>Yes</t>
        </is>
      </c>
      <c r="Q166" s="26" t="inlineStr">
        <is>
          <t>No</t>
        </is>
      </c>
      <c r="R166" s="26" t="inlineStr">
        <is>
          <t>Good finish</t>
        </is>
      </c>
      <c r="S166" s="26" t="inlineStr">
        <is>
          <t>Yes</t>
        </is>
      </c>
      <c r="T166" s="27" t="n"/>
      <c r="U166" s="28" t="inlineStr">
        <is>
          <t>No</t>
        </is>
      </c>
      <c r="V166" s="29">
        <f>IF(N166="","",IF(Q166="Yes","❌ Disc",IF(P166="No","⚠ Missing",IF(S166="Yes","✓ OK","⚠ Check"))))</f>
        <v/>
      </c>
      <c r="W166" s="65" t="n">
        <v>46248</v>
      </c>
      <c r="X166" s="30" t="inlineStr">
        <is>
          <t>Sunil CR</t>
        </is>
      </c>
      <c r="Y166" s="30" t="inlineStr">
        <is>
          <t>Yes</t>
        </is>
      </c>
      <c r="Z166" s="30" t="n"/>
      <c r="AA166" s="30" t="inlineStr">
        <is>
          <t>Good finish</t>
        </is>
      </c>
      <c r="AB166" s="30" t="inlineStr">
        <is>
          <t>Yes</t>
        </is>
      </c>
      <c r="AC166" s="27" t="n"/>
      <c r="AD166" s="31" t="inlineStr">
        <is>
          <t>No</t>
        </is>
      </c>
      <c r="AE166" s="32">
        <f>IF(W166="","",IF(Z166="Yes","❌ Disc",IF(Y166="No","⚠ Missing",IF(AB166="Yes","✓ OK","⚠ Check"))))</f>
        <v/>
      </c>
      <c r="AF166" s="33" t="n"/>
      <c r="AG166" s="33" t="n"/>
      <c r="AH166" s="33" t="n"/>
      <c r="AI166" s="33" t="n"/>
      <c r="AJ166" s="33" t="n"/>
      <c r="AK166" s="33" t="n"/>
      <c r="AL166" s="27" t="n"/>
      <c r="AM166" s="34" t="n"/>
      <c r="AN166" s="35">
        <f>IF(AF166="","",IF(AI166="Yes","❌ Disc",IF(AH166="No","⚠ Missing",IF(AK166="Yes","✓ OK","⚠ Check"))))</f>
        <v/>
      </c>
      <c r="AO166" s="36" t="n"/>
      <c r="AP166" s="36" t="n"/>
      <c r="AQ166" s="36" t="n"/>
      <c r="AR166" s="36" t="n"/>
      <c r="AS166" s="36" t="n"/>
      <c r="AT166" s="36" t="n"/>
      <c r="AU166" s="27" t="n"/>
      <c r="AV166" s="37" t="n"/>
      <c r="AW166" s="38">
        <f>IF(AO166="","",IF(AR166="Yes","❌ Disc",IF(AQ166="No","⚠ Missing",IF(AT166="Yes","✓ OK","⚠ Check"))))</f>
        <v/>
      </c>
    </row>
    <row r="167" ht="18" customHeight="1" s="46">
      <c r="A167" s="23" t="n">
        <v>171</v>
      </c>
      <c r="B167" s="24" t="inlineStr">
        <is>
          <t>BD-LAM-2024-0019</t>
        </is>
      </c>
      <c r="C167" s="25" t="inlineStr">
        <is>
          <t>Lam SL LUV 1mm 1709 Avio Blue(Platinum)</t>
        </is>
      </c>
      <c r="D167" s="23" t="inlineStr">
        <is>
          <t>Stylam</t>
        </is>
      </c>
      <c r="E167" s="43" t="n">
        <v>46125</v>
      </c>
      <c r="F167" s="26" t="inlineStr">
        <is>
          <t>Sunil CR</t>
        </is>
      </c>
      <c r="G167" s="26" t="inlineStr">
        <is>
          <t>Yes</t>
        </is>
      </c>
      <c r="H167" s="26" t="inlineStr">
        <is>
          <t>No</t>
        </is>
      </c>
      <c r="I167" s="26" t="inlineStr">
        <is>
          <t>Good finish</t>
        </is>
      </c>
      <c r="J167" s="26" t="inlineStr">
        <is>
          <t>Yes</t>
        </is>
      </c>
      <c r="K167" s="27" t="n"/>
      <c r="L167" s="28" t="inlineStr">
        <is>
          <t>No</t>
        </is>
      </c>
      <c r="M167" s="29">
        <f>IF(E167="","",IF(H167="Yes","❌ Disc",IF(G167="No","⚠ Missing",IF(J167="Yes","✓ OK","⚠ Check"))))</f>
        <v/>
      </c>
      <c r="N167" s="43" t="n">
        <v>46193</v>
      </c>
      <c r="O167" s="26" t="inlineStr">
        <is>
          <t>Sunil CR</t>
        </is>
      </c>
      <c r="P167" s="26" t="inlineStr">
        <is>
          <t>Yes</t>
        </is>
      </c>
      <c r="Q167" s="26" t="inlineStr">
        <is>
          <t>No</t>
        </is>
      </c>
      <c r="R167" s="26" t="inlineStr">
        <is>
          <t>Good finish</t>
        </is>
      </c>
      <c r="S167" s="26" t="inlineStr">
        <is>
          <t>Yes</t>
        </is>
      </c>
      <c r="T167" s="27" t="n"/>
      <c r="U167" s="28" t="inlineStr">
        <is>
          <t>No</t>
        </is>
      </c>
      <c r="V167" s="29">
        <f>IF(N167="","",IF(Q167="Yes","❌ Disc",IF(P167="No","⚠ Missing",IF(S167="Yes","✓ OK","⚠ Check"))))</f>
        <v/>
      </c>
      <c r="W167" s="65" t="n">
        <v>46248</v>
      </c>
      <c r="X167" s="30" t="inlineStr">
        <is>
          <t>Sunil CR</t>
        </is>
      </c>
      <c r="Y167" s="30" t="inlineStr">
        <is>
          <t>Yes</t>
        </is>
      </c>
      <c r="Z167" s="30" t="n"/>
      <c r="AA167" s="30" t="inlineStr">
        <is>
          <t>Good finish</t>
        </is>
      </c>
      <c r="AB167" s="30" t="inlineStr">
        <is>
          <t>Yes</t>
        </is>
      </c>
      <c r="AC167" s="27" t="n"/>
      <c r="AD167" s="31" t="inlineStr">
        <is>
          <t>No</t>
        </is>
      </c>
      <c r="AE167" s="32">
        <f>IF(W167="","",IF(Z167="Yes","❌ Disc",IF(Y167="No","⚠ Missing",IF(AB167="Yes","✓ OK","⚠ Check"))))</f>
        <v/>
      </c>
      <c r="AF167" s="33" t="n"/>
      <c r="AG167" s="33" t="n"/>
      <c r="AH167" s="33" t="n"/>
      <c r="AI167" s="33" t="n"/>
      <c r="AJ167" s="33" t="n"/>
      <c r="AK167" s="33" t="n"/>
      <c r="AL167" s="27" t="n"/>
      <c r="AM167" s="34" t="n"/>
      <c r="AN167" s="35">
        <f>IF(AF167="","",IF(AI167="Yes","❌ Disc",IF(AH167="No","⚠ Missing",IF(AK167="Yes","✓ OK","⚠ Check"))))</f>
        <v/>
      </c>
      <c r="AO167" s="36" t="n"/>
      <c r="AP167" s="36" t="n"/>
      <c r="AQ167" s="36" t="n"/>
      <c r="AR167" s="36" t="n"/>
      <c r="AS167" s="36" t="n"/>
      <c r="AT167" s="36" t="n"/>
      <c r="AU167" s="27" t="n"/>
      <c r="AV167" s="37" t="n"/>
      <c r="AW167" s="38">
        <f>IF(AO167="","",IF(AR167="Yes","❌ Disc",IF(AQ167="No","⚠ Missing",IF(AT167="Yes","✓ OK","⚠ Check"))))</f>
        <v/>
      </c>
    </row>
    <row r="168" ht="18" customHeight="1" s="46">
      <c r="A168" s="39" t="n">
        <v>172</v>
      </c>
      <c r="B168" s="40" t="inlineStr">
        <is>
          <t>BD-LAM-2024-0037</t>
        </is>
      </c>
      <c r="C168" s="41" t="inlineStr">
        <is>
          <t>Lam SL LUV 1mm 2292 Meraki Walnut(Platinum)</t>
        </is>
      </c>
      <c r="D168" s="39" t="inlineStr">
        <is>
          <t>Stylam</t>
        </is>
      </c>
      <c r="E168" s="43" t="n">
        <v>46125</v>
      </c>
      <c r="F168" s="26" t="inlineStr">
        <is>
          <t>Sunil CR</t>
        </is>
      </c>
      <c r="G168" s="26" t="inlineStr">
        <is>
          <t>Yes</t>
        </is>
      </c>
      <c r="H168" s="26" t="inlineStr">
        <is>
          <t>No</t>
        </is>
      </c>
      <c r="I168" s="26" t="inlineStr">
        <is>
          <t>Good finish</t>
        </is>
      </c>
      <c r="J168" s="26" t="inlineStr">
        <is>
          <t>Yes</t>
        </is>
      </c>
      <c r="K168" s="27" t="n"/>
      <c r="L168" s="28" t="inlineStr">
        <is>
          <t>No</t>
        </is>
      </c>
      <c r="M168" s="29">
        <f>IF(E168="","",IF(H168="Yes","❌ Disc",IF(G168="No","⚠ Missing",IF(J168="Yes","✓ OK","⚠ Check"))))</f>
        <v/>
      </c>
      <c r="N168" s="43" t="n">
        <v>46193</v>
      </c>
      <c r="O168" s="26" t="inlineStr">
        <is>
          <t>Sunil CR</t>
        </is>
      </c>
      <c r="P168" s="26" t="inlineStr">
        <is>
          <t>Yes</t>
        </is>
      </c>
      <c r="Q168" s="26" t="inlineStr">
        <is>
          <t>No</t>
        </is>
      </c>
      <c r="R168" s="26" t="inlineStr">
        <is>
          <t>Good finish</t>
        </is>
      </c>
      <c r="S168" s="26" t="inlineStr">
        <is>
          <t>Yes</t>
        </is>
      </c>
      <c r="T168" s="27" t="n"/>
      <c r="U168" s="28" t="inlineStr">
        <is>
          <t>No</t>
        </is>
      </c>
      <c r="V168" s="29">
        <f>IF(N168="","",IF(Q168="Yes","❌ Disc",IF(P168="No","⚠ Missing",IF(S168="Yes","✓ OK","⚠ Check"))))</f>
        <v/>
      </c>
      <c r="W168" s="65" t="n">
        <v>46248</v>
      </c>
      <c r="X168" s="30" t="inlineStr">
        <is>
          <t>Sunil CR</t>
        </is>
      </c>
      <c r="Y168" s="30" t="inlineStr">
        <is>
          <t>Yes</t>
        </is>
      </c>
      <c r="Z168" s="30" t="n"/>
      <c r="AA168" s="30" t="inlineStr">
        <is>
          <t>Good finish</t>
        </is>
      </c>
      <c r="AB168" s="30" t="inlineStr">
        <is>
          <t>Yes</t>
        </is>
      </c>
      <c r="AC168" s="27" t="n"/>
      <c r="AD168" s="31" t="inlineStr">
        <is>
          <t>No</t>
        </is>
      </c>
      <c r="AE168" s="32">
        <f>IF(W168="","",IF(Z168="Yes","❌ Disc",IF(Y168="No","⚠ Missing",IF(AB168="Yes","✓ OK","⚠ Check"))))</f>
        <v/>
      </c>
      <c r="AF168" s="33" t="n"/>
      <c r="AG168" s="33" t="n"/>
      <c r="AH168" s="33" t="n"/>
      <c r="AI168" s="33" t="n"/>
      <c r="AJ168" s="33" t="n"/>
      <c r="AK168" s="33" t="n"/>
      <c r="AL168" s="27" t="n"/>
      <c r="AM168" s="34" t="n"/>
      <c r="AN168" s="35">
        <f>IF(AF168="","",IF(AI168="Yes","❌ Disc",IF(AH168="No","⚠ Missing",IF(AK168="Yes","✓ OK","⚠ Check"))))</f>
        <v/>
      </c>
      <c r="AO168" s="36" t="n"/>
      <c r="AP168" s="36" t="n"/>
      <c r="AQ168" s="36" t="n"/>
      <c r="AR168" s="36" t="n"/>
      <c r="AS168" s="36" t="n"/>
      <c r="AT168" s="36" t="n"/>
      <c r="AU168" s="27" t="n"/>
      <c r="AV168" s="37" t="n"/>
      <c r="AW168" s="38">
        <f>IF(AO168="","",IF(AR168="Yes","❌ Disc",IF(AQ168="No","⚠ Missing",IF(AT168="Yes","✓ OK","⚠ Check"))))</f>
        <v/>
      </c>
    </row>
    <row r="169" ht="18" customHeight="1" s="46">
      <c r="A169" s="23" t="n">
        <v>173</v>
      </c>
      <c r="B169" s="24" t="inlineStr">
        <is>
          <t>BD-LAM-2024-0036</t>
        </is>
      </c>
      <c r="C169" s="25" t="inlineStr">
        <is>
          <t>Lam SL LUV 1mm 2903 Padouk Wood(Platinum)</t>
        </is>
      </c>
      <c r="D169" s="23" t="inlineStr">
        <is>
          <t>Stylam</t>
        </is>
      </c>
      <c r="E169" s="43" t="n">
        <v>46125</v>
      </c>
      <c r="F169" s="26" t="inlineStr">
        <is>
          <t>Sunil CR</t>
        </is>
      </c>
      <c r="G169" s="26" t="inlineStr">
        <is>
          <t>Yes</t>
        </is>
      </c>
      <c r="H169" s="26" t="inlineStr">
        <is>
          <t>No</t>
        </is>
      </c>
      <c r="I169" s="26" t="inlineStr">
        <is>
          <t>Good finish</t>
        </is>
      </c>
      <c r="J169" s="26" t="inlineStr">
        <is>
          <t>Yes</t>
        </is>
      </c>
      <c r="K169" s="27" t="n"/>
      <c r="L169" s="28" t="inlineStr">
        <is>
          <t>No</t>
        </is>
      </c>
      <c r="M169" s="29">
        <f>IF(E169="","",IF(H169="Yes","❌ Disc",IF(G169="No","⚠ Missing",IF(J169="Yes","✓ OK","⚠ Check"))))</f>
        <v/>
      </c>
      <c r="N169" s="43" t="n">
        <v>46193</v>
      </c>
      <c r="O169" s="26" t="inlineStr">
        <is>
          <t>Sunil CR</t>
        </is>
      </c>
      <c r="P169" s="26" t="inlineStr">
        <is>
          <t>Yes</t>
        </is>
      </c>
      <c r="Q169" s="26" t="inlineStr">
        <is>
          <t>No</t>
        </is>
      </c>
      <c r="R169" s="26" t="inlineStr">
        <is>
          <t>Good finish</t>
        </is>
      </c>
      <c r="S169" s="26" t="inlineStr">
        <is>
          <t>Yes</t>
        </is>
      </c>
      <c r="T169" s="27" t="n"/>
      <c r="U169" s="28" t="inlineStr">
        <is>
          <t>No</t>
        </is>
      </c>
      <c r="V169" s="29">
        <f>IF(N169="","",IF(Q169="Yes","❌ Disc",IF(P169="No","⚠ Missing",IF(S169="Yes","✓ OK","⚠ Check"))))</f>
        <v/>
      </c>
      <c r="W169" s="65" t="n">
        <v>46248</v>
      </c>
      <c r="X169" s="30" t="inlineStr">
        <is>
          <t>Sunil CR</t>
        </is>
      </c>
      <c r="Y169" s="30" t="inlineStr">
        <is>
          <t>Yes</t>
        </is>
      </c>
      <c r="Z169" s="30" t="n"/>
      <c r="AA169" s="30" t="inlineStr">
        <is>
          <t>Good finish</t>
        </is>
      </c>
      <c r="AB169" s="30" t="inlineStr">
        <is>
          <t>Yes</t>
        </is>
      </c>
      <c r="AC169" s="27" t="n"/>
      <c r="AD169" s="31" t="inlineStr">
        <is>
          <t>No</t>
        </is>
      </c>
      <c r="AE169" s="32">
        <f>IF(W169="","",IF(Z169="Yes","❌ Disc",IF(Y169="No","⚠ Missing",IF(AB169="Yes","✓ OK","⚠ Check"))))</f>
        <v/>
      </c>
      <c r="AF169" s="33" t="n"/>
      <c r="AG169" s="33" t="n"/>
      <c r="AH169" s="33" t="n"/>
      <c r="AI169" s="33" t="n"/>
      <c r="AJ169" s="33" t="n"/>
      <c r="AK169" s="33" t="n"/>
      <c r="AL169" s="27" t="n"/>
      <c r="AM169" s="34" t="n"/>
      <c r="AN169" s="35">
        <f>IF(AF169="","",IF(AI169="Yes","❌ Disc",IF(AH169="No","⚠ Missing",IF(AK169="Yes","✓ OK","⚠ Check"))))</f>
        <v/>
      </c>
      <c r="AO169" s="36" t="n"/>
      <c r="AP169" s="36" t="n"/>
      <c r="AQ169" s="36" t="n"/>
      <c r="AR169" s="36" t="n"/>
      <c r="AS169" s="36" t="n"/>
      <c r="AT169" s="36" t="n"/>
      <c r="AU169" s="27" t="n"/>
      <c r="AV169" s="37" t="n"/>
      <c r="AW169" s="38">
        <f>IF(AO169="","",IF(AR169="Yes","❌ Disc",IF(AQ169="No","⚠ Missing",IF(AT169="Yes","✓ OK","⚠ Check"))))</f>
        <v/>
      </c>
    </row>
    <row r="170" ht="18" customHeight="1" s="46">
      <c r="A170" s="39" t="n">
        <v>174</v>
      </c>
      <c r="B170" s="40" t="inlineStr">
        <is>
          <t>BD-LAM-2023-0172</t>
        </is>
      </c>
      <c r="C170" s="41" t="inlineStr">
        <is>
          <t>Lam SL MT 1mm 1488 Fungi Lavant(Gold)</t>
        </is>
      </c>
      <c r="D170" s="39" t="inlineStr">
        <is>
          <t>Stylam</t>
        </is>
      </c>
      <c r="E170" s="43" t="n">
        <v>46125</v>
      </c>
      <c r="F170" s="26" t="inlineStr">
        <is>
          <t>Sunil CR</t>
        </is>
      </c>
      <c r="G170" s="26" t="inlineStr">
        <is>
          <t>Yes</t>
        </is>
      </c>
      <c r="H170" s="26" t="inlineStr">
        <is>
          <t>No</t>
        </is>
      </c>
      <c r="I170" s="26" t="inlineStr">
        <is>
          <t>Good finish</t>
        </is>
      </c>
      <c r="J170" s="26" t="inlineStr">
        <is>
          <t>Yes</t>
        </is>
      </c>
      <c r="K170" s="27" t="n"/>
      <c r="L170" s="28" t="inlineStr">
        <is>
          <t>No</t>
        </is>
      </c>
      <c r="M170" s="29">
        <f>IF(E170="","",IF(H170="Yes","❌ Disc",IF(G170="No","⚠ Missing",IF(J170="Yes","✓ OK","⚠ Check"))))</f>
        <v/>
      </c>
      <c r="N170" s="43" t="n">
        <v>46193</v>
      </c>
      <c r="O170" s="26" t="inlineStr">
        <is>
          <t>Sunil CR</t>
        </is>
      </c>
      <c r="P170" s="26" t="inlineStr">
        <is>
          <t>No</t>
        </is>
      </c>
      <c r="Q170" s="26" t="inlineStr">
        <is>
          <t>Yes</t>
        </is>
      </c>
      <c r="R170" s="26" t="inlineStr">
        <is>
          <t>Discontinued</t>
        </is>
      </c>
      <c r="S170" s="26" t="inlineStr">
        <is>
          <t>No</t>
        </is>
      </c>
      <c r="T170" s="27" t="n"/>
      <c r="U170" s="28" t="inlineStr">
        <is>
          <t>No</t>
        </is>
      </c>
      <c r="V170" s="29">
        <f>IF(N170="","",IF(Q170="Yes","❌ Disc",IF(P170="No","⚠ Missing",IF(S170="Yes","✓ OK","⚠ Check"))))</f>
        <v/>
      </c>
      <c r="W170" s="65" t="n">
        <v>46248</v>
      </c>
      <c r="X170" s="30" t="inlineStr">
        <is>
          <t>Sunil CR</t>
        </is>
      </c>
      <c r="Y170" s="30" t="inlineStr">
        <is>
          <t>No</t>
        </is>
      </c>
      <c r="Z170" s="30" t="inlineStr">
        <is>
          <t>Yes</t>
        </is>
      </c>
      <c r="AA170" s="30" t="inlineStr">
        <is>
          <t>Discontinued</t>
        </is>
      </c>
      <c r="AB170" s="30" t="inlineStr">
        <is>
          <t>No</t>
        </is>
      </c>
      <c r="AC170" s="27" t="n"/>
      <c r="AD170" s="31" t="inlineStr">
        <is>
          <t>No</t>
        </is>
      </c>
      <c r="AE170" s="32">
        <f>IF(W170="","",IF(Z170="Yes","❌ Disc",IF(Y170="No","⚠ Missing",IF(AB170="Yes","✓ OK","⚠ Check"))))</f>
        <v/>
      </c>
      <c r="AF170" s="33" t="n"/>
      <c r="AG170" s="33" t="n"/>
      <c r="AH170" s="33" t="n"/>
      <c r="AI170" s="33" t="n"/>
      <c r="AJ170" s="33" t="n"/>
      <c r="AK170" s="33" t="n"/>
      <c r="AL170" s="27" t="n"/>
      <c r="AM170" s="34" t="n"/>
      <c r="AN170" s="35">
        <f>IF(AF170="","",IF(AI170="Yes","❌ Disc",IF(AH170="No","⚠ Missing",IF(AK170="Yes","✓ OK","⚠ Check"))))</f>
        <v/>
      </c>
      <c r="AO170" s="36" t="n"/>
      <c r="AP170" s="36" t="n"/>
      <c r="AQ170" s="36" t="n"/>
      <c r="AR170" s="36" t="n"/>
      <c r="AS170" s="36" t="n"/>
      <c r="AT170" s="36" t="n"/>
      <c r="AU170" s="27" t="n"/>
      <c r="AV170" s="37" t="n"/>
      <c r="AW170" s="38">
        <f>IF(AO170="","",IF(AR170="Yes","❌ Disc",IF(AQ170="No","⚠ Missing",IF(AT170="Yes","✓ OK","⚠ Check"))))</f>
        <v/>
      </c>
    </row>
    <row r="171" ht="18" customHeight="1" s="46">
      <c r="A171" s="23" t="n">
        <v>175</v>
      </c>
      <c r="B171" s="24" t="inlineStr">
        <is>
          <t>BD-LAM-2023-0082</t>
        </is>
      </c>
      <c r="C171" s="25" t="inlineStr">
        <is>
          <t>Lam SL NS 1mm 2904 Amalfi Beige Oak(Gold)</t>
        </is>
      </c>
      <c r="D171" s="23" t="inlineStr">
        <is>
          <t>Stylam</t>
        </is>
      </c>
      <c r="E171" s="43" t="n">
        <v>46125</v>
      </c>
      <c r="F171" s="26" t="inlineStr">
        <is>
          <t>Sunil CR</t>
        </is>
      </c>
      <c r="G171" s="26" t="inlineStr">
        <is>
          <t>Yes</t>
        </is>
      </c>
      <c r="H171" s="26" t="inlineStr">
        <is>
          <t>No</t>
        </is>
      </c>
      <c r="I171" s="26" t="inlineStr">
        <is>
          <t>Good finish</t>
        </is>
      </c>
      <c r="J171" s="26" t="inlineStr">
        <is>
          <t>Yes</t>
        </is>
      </c>
      <c r="K171" s="27" t="inlineStr">
        <is>
          <t>Available in small book</t>
        </is>
      </c>
      <c r="L171" s="28" t="inlineStr">
        <is>
          <t>No</t>
        </is>
      </c>
      <c r="M171" s="29">
        <f>IF(E171="","",IF(H171="Yes","❌ Disc",IF(G171="No","⚠ Missing",IF(J171="Yes","✓ OK","⚠ Check"))))</f>
        <v/>
      </c>
      <c r="N171" s="43" t="n">
        <v>46193</v>
      </c>
      <c r="O171" s="26" t="inlineStr">
        <is>
          <t>Sunil CR</t>
        </is>
      </c>
      <c r="P171" s="26" t="inlineStr">
        <is>
          <t>No</t>
        </is>
      </c>
      <c r="Q171" s="26" t="inlineStr">
        <is>
          <t>Yes</t>
        </is>
      </c>
      <c r="R171" s="26" t="inlineStr">
        <is>
          <t>Discontinued</t>
        </is>
      </c>
      <c r="S171" s="26" t="inlineStr">
        <is>
          <t>No</t>
        </is>
      </c>
      <c r="T171" s="27" t="n"/>
      <c r="U171" s="28" t="inlineStr">
        <is>
          <t>No</t>
        </is>
      </c>
      <c r="V171" s="29">
        <f>IF(N171="","",IF(Q171="Yes","❌ Disc",IF(P171="No","⚠ Missing",IF(S171="Yes","✓ OK","⚠ Check"))))</f>
        <v/>
      </c>
      <c r="W171" s="65" t="n">
        <v>46248</v>
      </c>
      <c r="X171" s="30" t="inlineStr">
        <is>
          <t>Sunil CR</t>
        </is>
      </c>
      <c r="Y171" s="30" t="inlineStr">
        <is>
          <t>No</t>
        </is>
      </c>
      <c r="Z171" s="30" t="inlineStr">
        <is>
          <t>Yes</t>
        </is>
      </c>
      <c r="AA171" s="30" t="inlineStr">
        <is>
          <t>Discontinued</t>
        </is>
      </c>
      <c r="AB171" s="30" t="inlineStr">
        <is>
          <t>No</t>
        </is>
      </c>
      <c r="AC171" s="27" t="n"/>
      <c r="AD171" s="31" t="inlineStr">
        <is>
          <t>No</t>
        </is>
      </c>
      <c r="AE171" s="32">
        <f>IF(W171="","",IF(Z171="Yes","❌ Disc",IF(Y171="No","⚠ Missing",IF(AB171="Yes","✓ OK","⚠ Check"))))</f>
        <v/>
      </c>
      <c r="AF171" s="33" t="n"/>
      <c r="AG171" s="33" t="n"/>
      <c r="AH171" s="33" t="n"/>
      <c r="AI171" s="33" t="n"/>
      <c r="AJ171" s="33" t="n"/>
      <c r="AK171" s="33" t="n"/>
      <c r="AL171" s="27" t="n"/>
      <c r="AM171" s="34" t="n"/>
      <c r="AN171" s="35">
        <f>IF(AF171="","",IF(AI171="Yes","❌ Disc",IF(AH171="No","⚠ Missing",IF(AK171="Yes","✓ OK","⚠ Check"))))</f>
        <v/>
      </c>
      <c r="AO171" s="36" t="n"/>
      <c r="AP171" s="36" t="n"/>
      <c r="AQ171" s="36" t="n"/>
      <c r="AR171" s="36" t="n"/>
      <c r="AS171" s="36" t="n"/>
      <c r="AT171" s="36" t="n"/>
      <c r="AU171" s="27" t="n"/>
      <c r="AV171" s="37" t="n"/>
      <c r="AW171" s="38">
        <f>IF(AO171="","",IF(AR171="Yes","❌ Disc",IF(AQ171="No","⚠ Missing",IF(AT171="Yes","✓ OK","⚠ Check"))))</f>
        <v/>
      </c>
    </row>
    <row r="172" ht="18" customHeight="1" s="46">
      <c r="A172" s="39" t="n">
        <v>176</v>
      </c>
      <c r="B172" s="40" t="inlineStr">
        <is>
          <t>BD-LAM-2023-0153</t>
        </is>
      </c>
      <c r="C172" s="41" t="inlineStr">
        <is>
          <t>Lam SL QA 1mm 2227 Elegent Nelson(Gold)</t>
        </is>
      </c>
      <c r="D172" s="39" t="inlineStr">
        <is>
          <t>Stylam</t>
        </is>
      </c>
      <c r="E172" s="43" t="n">
        <v>46125</v>
      </c>
      <c r="F172" s="26" t="inlineStr">
        <is>
          <t>Sunil CR</t>
        </is>
      </c>
      <c r="G172" s="26" t="inlineStr">
        <is>
          <t>Yes</t>
        </is>
      </c>
      <c r="H172" s="26" t="inlineStr">
        <is>
          <t>No</t>
        </is>
      </c>
      <c r="I172" s="26" t="inlineStr">
        <is>
          <t>Good finish</t>
        </is>
      </c>
      <c r="J172" s="26" t="inlineStr">
        <is>
          <t>Yes</t>
        </is>
      </c>
      <c r="K172" s="27" t="inlineStr">
        <is>
          <t>Available in small book</t>
        </is>
      </c>
      <c r="L172" s="28" t="inlineStr">
        <is>
          <t>No</t>
        </is>
      </c>
      <c r="M172" s="29">
        <f>IF(E172="","",IF(H172="Yes","❌ Disc",IF(G172="No","⚠ Missing",IF(J172="Yes","✓ OK","⚠ Check"))))</f>
        <v/>
      </c>
      <c r="N172" s="43" t="n">
        <v>46193</v>
      </c>
      <c r="O172" s="26" t="inlineStr">
        <is>
          <t>Sunil CR</t>
        </is>
      </c>
      <c r="P172" s="26" t="inlineStr">
        <is>
          <t>Yes</t>
        </is>
      </c>
      <c r="Q172" s="26" t="inlineStr">
        <is>
          <t>No</t>
        </is>
      </c>
      <c r="R172" s="26" t="inlineStr">
        <is>
          <t>Good finish</t>
        </is>
      </c>
      <c r="S172" s="26" t="inlineStr">
        <is>
          <t>Yes</t>
        </is>
      </c>
      <c r="T172" s="27" t="inlineStr">
        <is>
          <t>Available in small book</t>
        </is>
      </c>
      <c r="U172" s="28" t="inlineStr">
        <is>
          <t>No</t>
        </is>
      </c>
      <c r="V172" s="29">
        <f>IF(N172="","",IF(Q172="Yes","❌ Disc",IF(P172="No","⚠ Missing",IF(S172="Yes","✓ OK","⚠ Check"))))</f>
        <v/>
      </c>
      <c r="W172" s="65" t="n">
        <v>46248</v>
      </c>
      <c r="X172" s="30" t="inlineStr">
        <is>
          <t>Sunil CR</t>
        </is>
      </c>
      <c r="Y172" s="30" t="inlineStr">
        <is>
          <t>Yes</t>
        </is>
      </c>
      <c r="Z172" s="30" t="n"/>
      <c r="AA172" s="30" t="inlineStr">
        <is>
          <t>Good finish</t>
        </is>
      </c>
      <c r="AB172" s="30" t="inlineStr">
        <is>
          <t>Yes</t>
        </is>
      </c>
      <c r="AC172" s="27" t="inlineStr">
        <is>
          <t>Available in small book</t>
        </is>
      </c>
      <c r="AD172" s="31" t="inlineStr">
        <is>
          <t>No</t>
        </is>
      </c>
      <c r="AE172" s="32">
        <f>IF(W172="","",IF(Z172="Yes","❌ Disc",IF(Y172="No","⚠ Missing",IF(AB172="Yes","✓ OK","⚠ Check"))))</f>
        <v/>
      </c>
      <c r="AF172" s="33" t="n"/>
      <c r="AG172" s="33" t="n"/>
      <c r="AH172" s="33" t="n"/>
      <c r="AI172" s="33" t="n"/>
      <c r="AJ172" s="33" t="n"/>
      <c r="AK172" s="33" t="n"/>
      <c r="AL172" s="27" t="n"/>
      <c r="AM172" s="34" t="n"/>
      <c r="AN172" s="35">
        <f>IF(AF172="","",IF(AI172="Yes","❌ Disc",IF(AH172="No","⚠ Missing",IF(AK172="Yes","✓ OK","⚠ Check"))))</f>
        <v/>
      </c>
      <c r="AO172" s="36" t="n"/>
      <c r="AP172" s="36" t="n"/>
      <c r="AQ172" s="36" t="n"/>
      <c r="AR172" s="36" t="n"/>
      <c r="AS172" s="36" t="n"/>
      <c r="AT172" s="36" t="n"/>
      <c r="AU172" s="27" t="n"/>
      <c r="AV172" s="37" t="n"/>
      <c r="AW172" s="38">
        <f>IF(AO172="","",IF(AR172="Yes","❌ Disc",IF(AQ172="No","⚠ Missing",IF(AT172="Yes","✓ OK","⚠ Check"))))</f>
        <v/>
      </c>
    </row>
    <row r="173" ht="18" customHeight="1" s="46">
      <c r="A173" s="23" t="n">
        <v>177</v>
      </c>
      <c r="B173" s="24" t="inlineStr">
        <is>
          <t>BD-LAM-2023-0255</t>
        </is>
      </c>
      <c r="C173" s="25" t="inlineStr">
        <is>
          <t>Lam SL QA 1mm 2256 Rincon Wood(Gold)</t>
        </is>
      </c>
      <c r="D173" s="23" t="inlineStr">
        <is>
          <t>Stylam</t>
        </is>
      </c>
      <c r="E173" s="43" t="n">
        <v>46125</v>
      </c>
      <c r="F173" s="26" t="inlineStr">
        <is>
          <t>Sunil CR</t>
        </is>
      </c>
      <c r="G173" s="26" t="inlineStr">
        <is>
          <t>Yes</t>
        </is>
      </c>
      <c r="H173" s="26" t="inlineStr">
        <is>
          <t>No</t>
        </is>
      </c>
      <c r="I173" s="26" t="inlineStr">
        <is>
          <t>Good finish</t>
        </is>
      </c>
      <c r="J173" s="26" t="inlineStr">
        <is>
          <t>Yes</t>
        </is>
      </c>
      <c r="K173" s="27" t="n"/>
      <c r="L173" s="28" t="inlineStr">
        <is>
          <t>No</t>
        </is>
      </c>
      <c r="M173" s="29">
        <f>IF(E173="","",IF(H173="Yes","❌ Disc",IF(G173="No","⚠ Missing",IF(J173="Yes","✓ OK","⚠ Check"))))</f>
        <v/>
      </c>
      <c r="N173" s="43" t="n">
        <v>46193</v>
      </c>
      <c r="O173" s="26" t="inlineStr">
        <is>
          <t>Sunil CR</t>
        </is>
      </c>
      <c r="P173" s="26" t="inlineStr">
        <is>
          <t>Yes</t>
        </is>
      </c>
      <c r="Q173" s="26" t="inlineStr">
        <is>
          <t>No</t>
        </is>
      </c>
      <c r="R173" s="26" t="inlineStr">
        <is>
          <t>Good finish</t>
        </is>
      </c>
      <c r="S173" s="26" t="inlineStr">
        <is>
          <t>Yes</t>
        </is>
      </c>
      <c r="T173" s="27" t="n"/>
      <c r="U173" s="28" t="inlineStr">
        <is>
          <t>No</t>
        </is>
      </c>
      <c r="V173" s="29">
        <f>IF(N173="","",IF(Q173="Yes","❌ Disc",IF(P173="No","⚠ Missing",IF(S173="Yes","✓ OK","⚠ Check"))))</f>
        <v/>
      </c>
      <c r="W173" s="65" t="n">
        <v>46248</v>
      </c>
      <c r="X173" s="30" t="inlineStr">
        <is>
          <t>Sunil CR</t>
        </is>
      </c>
      <c r="Y173" s="30" t="inlineStr">
        <is>
          <t>No</t>
        </is>
      </c>
      <c r="Z173" s="30" t="inlineStr">
        <is>
          <t>Yes</t>
        </is>
      </c>
      <c r="AA173" s="30" t="inlineStr">
        <is>
          <t>Discontinued</t>
        </is>
      </c>
      <c r="AB173" s="30" t="inlineStr">
        <is>
          <t>No</t>
        </is>
      </c>
      <c r="AC173" s="27" t="n"/>
      <c r="AD173" s="31" t="inlineStr">
        <is>
          <t>No</t>
        </is>
      </c>
      <c r="AE173" s="32">
        <f>IF(W173="","",IF(Z173="Yes","❌ Disc",IF(Y173="No","⚠ Missing",IF(AB173="Yes","✓ OK","⚠ Check"))))</f>
        <v/>
      </c>
      <c r="AF173" s="33" t="n"/>
      <c r="AG173" s="33" t="n"/>
      <c r="AH173" s="33" t="n"/>
      <c r="AI173" s="33" t="n"/>
      <c r="AJ173" s="33" t="n"/>
      <c r="AK173" s="33" t="n"/>
      <c r="AL173" s="27" t="n"/>
      <c r="AM173" s="34" t="n"/>
      <c r="AN173" s="35">
        <f>IF(AF173="","",IF(AI173="Yes","❌ Disc",IF(AH173="No","⚠ Missing",IF(AK173="Yes","✓ OK","⚠ Check"))))</f>
        <v/>
      </c>
      <c r="AO173" s="36" t="n"/>
      <c r="AP173" s="36" t="n"/>
      <c r="AQ173" s="36" t="n"/>
      <c r="AR173" s="36" t="n"/>
      <c r="AS173" s="36" t="n"/>
      <c r="AT173" s="36" t="n"/>
      <c r="AU173" s="27" t="n"/>
      <c r="AV173" s="37" t="n"/>
      <c r="AW173" s="38">
        <f>IF(AO173="","",IF(AR173="Yes","❌ Disc",IF(AQ173="No","⚠ Missing",IF(AT173="Yes","✓ OK","⚠ Check"))))</f>
        <v/>
      </c>
    </row>
    <row r="174" ht="18" customHeight="1" s="46">
      <c r="A174" s="39" t="n">
        <v>178</v>
      </c>
      <c r="B174" s="40" t="inlineStr">
        <is>
          <t>BD-LAM-2023-0253</t>
        </is>
      </c>
      <c r="C174" s="41" t="inlineStr">
        <is>
          <t>Lam SL QA 1mm 7422 Red Oak(Gold)</t>
        </is>
      </c>
      <c r="D174" s="39" t="inlineStr">
        <is>
          <t>Stylam</t>
        </is>
      </c>
      <c r="E174" s="43" t="n">
        <v>46125</v>
      </c>
      <c r="F174" s="26" t="inlineStr">
        <is>
          <t>Sunil CR</t>
        </is>
      </c>
      <c r="G174" s="26" t="inlineStr">
        <is>
          <t>Yes</t>
        </is>
      </c>
      <c r="H174" s="26" t="inlineStr">
        <is>
          <t>No</t>
        </is>
      </c>
      <c r="I174" s="26" t="inlineStr">
        <is>
          <t>Good finish</t>
        </is>
      </c>
      <c r="J174" s="26" t="inlineStr">
        <is>
          <t>Yes</t>
        </is>
      </c>
      <c r="K174" s="27" t="inlineStr">
        <is>
          <t>Available in small book</t>
        </is>
      </c>
      <c r="L174" s="28" t="inlineStr">
        <is>
          <t>No</t>
        </is>
      </c>
      <c r="M174" s="29">
        <f>IF(E174="","",IF(H174="Yes","❌ Disc",IF(G174="No","⚠ Missing",IF(J174="Yes","✓ OK","⚠ Check"))))</f>
        <v/>
      </c>
      <c r="N174" s="43" t="n">
        <v>46193</v>
      </c>
      <c r="O174" s="26" t="inlineStr">
        <is>
          <t>Sunil CR</t>
        </is>
      </c>
      <c r="P174" s="26" t="inlineStr">
        <is>
          <t>Yes</t>
        </is>
      </c>
      <c r="Q174" s="26" t="inlineStr">
        <is>
          <t>No</t>
        </is>
      </c>
      <c r="R174" s="26" t="inlineStr">
        <is>
          <t>Good finish</t>
        </is>
      </c>
      <c r="S174" s="26" t="inlineStr">
        <is>
          <t>Yes</t>
        </is>
      </c>
      <c r="T174" s="27" t="inlineStr">
        <is>
          <t>Available in small book</t>
        </is>
      </c>
      <c r="U174" s="28" t="inlineStr">
        <is>
          <t>No</t>
        </is>
      </c>
      <c r="V174" s="29">
        <f>IF(N174="","",IF(Q174="Yes","❌ Disc",IF(P174="No","⚠ Missing",IF(S174="Yes","✓ OK","⚠ Check"))))</f>
        <v/>
      </c>
      <c r="W174" s="65" t="n">
        <v>46248</v>
      </c>
      <c r="X174" s="30" t="inlineStr">
        <is>
          <t>Sunil CR</t>
        </is>
      </c>
      <c r="Y174" s="30" t="inlineStr">
        <is>
          <t>Yes</t>
        </is>
      </c>
      <c r="Z174" s="30" t="n"/>
      <c r="AA174" s="30" t="inlineStr">
        <is>
          <t>Good finish</t>
        </is>
      </c>
      <c r="AB174" s="30" t="inlineStr">
        <is>
          <t>Yes</t>
        </is>
      </c>
      <c r="AC174" s="27" t="inlineStr">
        <is>
          <t>Available in small book</t>
        </is>
      </c>
      <c r="AD174" s="31" t="inlineStr">
        <is>
          <t>No</t>
        </is>
      </c>
      <c r="AE174" s="32">
        <f>IF(W174="","",IF(Z174="Yes","❌ Disc",IF(Y174="No","⚠ Missing",IF(AB174="Yes","✓ OK","⚠ Check"))))</f>
        <v/>
      </c>
      <c r="AF174" s="33" t="n"/>
      <c r="AG174" s="33" t="n"/>
      <c r="AH174" s="33" t="n"/>
      <c r="AI174" s="33" t="n"/>
      <c r="AJ174" s="33" t="n"/>
      <c r="AK174" s="33" t="n"/>
      <c r="AL174" s="27" t="n"/>
      <c r="AM174" s="34" t="n"/>
      <c r="AN174" s="35">
        <f>IF(AF174="","",IF(AI174="Yes","❌ Disc",IF(AH174="No","⚠ Missing",IF(AK174="Yes","✓ OK","⚠ Check"))))</f>
        <v/>
      </c>
      <c r="AO174" s="36" t="n"/>
      <c r="AP174" s="36" t="n"/>
      <c r="AQ174" s="36" t="n"/>
      <c r="AR174" s="36" t="n"/>
      <c r="AS174" s="36" t="n"/>
      <c r="AT174" s="36" t="n"/>
      <c r="AU174" s="27" t="n"/>
      <c r="AV174" s="37" t="n"/>
      <c r="AW174" s="38">
        <f>IF(AO174="","",IF(AR174="Yes","❌ Disc",IF(AQ174="No","⚠ Missing",IF(AT174="Yes","✓ OK","⚠ Check"))))</f>
        <v/>
      </c>
    </row>
    <row r="175" ht="18" customHeight="1" s="46">
      <c r="A175" s="23" t="n">
        <v>179</v>
      </c>
      <c r="B175" s="24" t="inlineStr">
        <is>
          <t>BD-LAM-2023-0230</t>
        </is>
      </c>
      <c r="C175" s="25" t="inlineStr">
        <is>
          <t>Lam SL QA 1mm 7720 Orlando Walnut(Gold)</t>
        </is>
      </c>
      <c r="D175" s="23" t="inlineStr">
        <is>
          <t>Stylam</t>
        </is>
      </c>
      <c r="E175" s="43" t="n">
        <v>46125</v>
      </c>
      <c r="F175" s="26" t="inlineStr">
        <is>
          <t>Sunil CR</t>
        </is>
      </c>
      <c r="G175" s="26" t="inlineStr">
        <is>
          <t>Yes</t>
        </is>
      </c>
      <c r="H175" s="26" t="inlineStr">
        <is>
          <t>No</t>
        </is>
      </c>
      <c r="I175" s="26" t="inlineStr">
        <is>
          <t>Good finish</t>
        </is>
      </c>
      <c r="J175" s="26" t="inlineStr">
        <is>
          <t>Yes</t>
        </is>
      </c>
      <c r="K175" s="27" t="n"/>
      <c r="L175" s="28" t="inlineStr">
        <is>
          <t>No</t>
        </is>
      </c>
      <c r="M175" s="29">
        <f>IF(E175="","",IF(H175="Yes","❌ Disc",IF(G175="No","⚠ Missing",IF(J175="Yes","✓ OK","⚠ Check"))))</f>
        <v/>
      </c>
      <c r="N175" s="43" t="n">
        <v>46193</v>
      </c>
      <c r="O175" s="26" t="inlineStr">
        <is>
          <t>Sunil CR</t>
        </is>
      </c>
      <c r="P175" s="26" t="inlineStr">
        <is>
          <t>Yes</t>
        </is>
      </c>
      <c r="Q175" s="26" t="inlineStr">
        <is>
          <t>No</t>
        </is>
      </c>
      <c r="R175" s="26" t="inlineStr">
        <is>
          <t>Good finish</t>
        </is>
      </c>
      <c r="S175" s="26" t="inlineStr">
        <is>
          <t>Yes</t>
        </is>
      </c>
      <c r="T175" s="27" t="n"/>
      <c r="U175" s="28" t="inlineStr">
        <is>
          <t>No</t>
        </is>
      </c>
      <c r="V175" s="29">
        <f>IF(N175="","",IF(Q175="Yes","❌ Disc",IF(P175="No","⚠ Missing",IF(S175="Yes","✓ OK","⚠ Check"))))</f>
        <v/>
      </c>
      <c r="W175" s="65" t="n">
        <v>46248</v>
      </c>
      <c r="X175" s="30" t="inlineStr">
        <is>
          <t>Sunil CR</t>
        </is>
      </c>
      <c r="Y175" s="30" t="inlineStr">
        <is>
          <t>No</t>
        </is>
      </c>
      <c r="Z175" s="30" t="inlineStr">
        <is>
          <t>Yes</t>
        </is>
      </c>
      <c r="AA175" s="30" t="inlineStr">
        <is>
          <t>Discontinued</t>
        </is>
      </c>
      <c r="AB175" s="30" t="inlineStr">
        <is>
          <t>No</t>
        </is>
      </c>
      <c r="AC175" s="27" t="n"/>
      <c r="AD175" s="31" t="inlineStr">
        <is>
          <t>No</t>
        </is>
      </c>
      <c r="AE175" s="32">
        <f>IF(W175="","",IF(Z175="Yes","❌ Disc",IF(Y175="No","⚠ Missing",IF(AB175="Yes","✓ OK","⚠ Check"))))</f>
        <v/>
      </c>
      <c r="AF175" s="33" t="n"/>
      <c r="AG175" s="33" t="n"/>
      <c r="AH175" s="33" t="n"/>
      <c r="AI175" s="33" t="n"/>
      <c r="AJ175" s="33" t="n"/>
      <c r="AK175" s="33" t="n"/>
      <c r="AL175" s="27" t="n"/>
      <c r="AM175" s="34" t="n"/>
      <c r="AN175" s="35">
        <f>IF(AF175="","",IF(AI175="Yes","❌ Disc",IF(AH175="No","⚠ Missing",IF(AK175="Yes","✓ OK","⚠ Check"))))</f>
        <v/>
      </c>
      <c r="AO175" s="36" t="n"/>
      <c r="AP175" s="36" t="n"/>
      <c r="AQ175" s="36" t="n"/>
      <c r="AR175" s="36" t="n"/>
      <c r="AS175" s="36" t="n"/>
      <c r="AT175" s="36" t="n"/>
      <c r="AU175" s="27" t="n"/>
      <c r="AV175" s="37" t="n"/>
      <c r="AW175" s="38">
        <f>IF(AO175="","",IF(AR175="Yes","❌ Disc",IF(AQ175="No","⚠ Missing",IF(AT175="Yes","✓ OK","⚠ Check"))))</f>
        <v/>
      </c>
    </row>
    <row r="176" ht="18" customHeight="1" s="46">
      <c r="A176" s="39" t="n">
        <v>180</v>
      </c>
      <c r="B176" s="40" t="inlineStr">
        <is>
          <t>BD-LAM-2023-0292</t>
        </is>
      </c>
      <c r="C176" s="41" t="inlineStr">
        <is>
          <t>Lam SL RK 1mm 1392 Vesuv Marble(Gold)</t>
        </is>
      </c>
      <c r="D176" s="39" t="inlineStr">
        <is>
          <t>Stylam</t>
        </is>
      </c>
      <c r="E176" s="43" t="n">
        <v>46125</v>
      </c>
      <c r="F176" s="26" t="inlineStr">
        <is>
          <t>Sunil CR</t>
        </is>
      </c>
      <c r="G176" s="26" t="inlineStr">
        <is>
          <t>Yes</t>
        </is>
      </c>
      <c r="H176" s="26" t="inlineStr">
        <is>
          <t>No</t>
        </is>
      </c>
      <c r="I176" s="26" t="inlineStr">
        <is>
          <t>Good finish</t>
        </is>
      </c>
      <c r="J176" s="26" t="inlineStr">
        <is>
          <t>Yes</t>
        </is>
      </c>
      <c r="K176" s="27" t="inlineStr">
        <is>
          <t>Available in small book</t>
        </is>
      </c>
      <c r="L176" s="28" t="inlineStr">
        <is>
          <t>No</t>
        </is>
      </c>
      <c r="M176" s="29">
        <f>IF(E176="","",IF(H176="Yes","❌ Disc",IF(G176="No","⚠ Missing",IF(J176="Yes","✓ OK","⚠ Check"))))</f>
        <v/>
      </c>
      <c r="N176" s="43" t="n">
        <v>46193</v>
      </c>
      <c r="O176" s="26" t="inlineStr">
        <is>
          <t>Sunil CR</t>
        </is>
      </c>
      <c r="P176" s="26" t="inlineStr">
        <is>
          <t>No</t>
        </is>
      </c>
      <c r="Q176" s="26" t="inlineStr">
        <is>
          <t>Yes</t>
        </is>
      </c>
      <c r="R176" s="26" t="inlineStr">
        <is>
          <t>Discontinued</t>
        </is>
      </c>
      <c r="S176" s="26" t="inlineStr">
        <is>
          <t>No</t>
        </is>
      </c>
      <c r="T176" s="27" t="n"/>
      <c r="U176" s="28" t="inlineStr">
        <is>
          <t>No</t>
        </is>
      </c>
      <c r="V176" s="29">
        <f>IF(N176="","",IF(Q176="Yes","❌ Disc",IF(P176="No","⚠ Missing",IF(S176="Yes","✓ OK","⚠ Check"))))</f>
        <v/>
      </c>
      <c r="W176" s="65" t="n">
        <v>46248</v>
      </c>
      <c r="X176" s="30" t="inlineStr">
        <is>
          <t>Sunil CR</t>
        </is>
      </c>
      <c r="Y176" s="30" t="inlineStr">
        <is>
          <t>No</t>
        </is>
      </c>
      <c r="Z176" s="30" t="inlineStr">
        <is>
          <t>Yes</t>
        </is>
      </c>
      <c r="AA176" s="30" t="inlineStr">
        <is>
          <t>Discontinued</t>
        </is>
      </c>
      <c r="AB176" s="30" t="inlineStr">
        <is>
          <t>No</t>
        </is>
      </c>
      <c r="AC176" s="27" t="n"/>
      <c r="AD176" s="31" t="inlineStr">
        <is>
          <t>No</t>
        </is>
      </c>
      <c r="AE176" s="32">
        <f>IF(W176="","",IF(Z176="Yes","❌ Disc",IF(Y176="No","⚠ Missing",IF(AB176="Yes","✓ OK","⚠ Check"))))</f>
        <v/>
      </c>
      <c r="AF176" s="33" t="n"/>
      <c r="AG176" s="33" t="n"/>
      <c r="AH176" s="33" t="n"/>
      <c r="AI176" s="33" t="n"/>
      <c r="AJ176" s="33" t="n"/>
      <c r="AK176" s="33" t="n"/>
      <c r="AL176" s="27" t="n"/>
      <c r="AM176" s="34" t="n"/>
      <c r="AN176" s="35">
        <f>IF(AF176="","",IF(AI176="Yes","❌ Disc",IF(AH176="No","⚠ Missing",IF(AK176="Yes","✓ OK","⚠ Check"))))</f>
        <v/>
      </c>
      <c r="AO176" s="36" t="n"/>
      <c r="AP176" s="36" t="n"/>
      <c r="AQ176" s="36" t="n"/>
      <c r="AR176" s="36" t="n"/>
      <c r="AS176" s="36" t="n"/>
      <c r="AT176" s="36" t="n"/>
      <c r="AU176" s="27" t="n"/>
      <c r="AV176" s="37" t="n"/>
      <c r="AW176" s="38">
        <f>IF(AO176="","",IF(AR176="Yes","❌ Disc",IF(AQ176="No","⚠ Missing",IF(AT176="Yes","✓ OK","⚠ Check"))))</f>
        <v/>
      </c>
    </row>
    <row r="177" ht="18" customHeight="1" s="46">
      <c r="A177" s="23" t="n">
        <v>181</v>
      </c>
      <c r="B177" s="24" t="inlineStr">
        <is>
          <t>BD-LAM-2023-0266</t>
        </is>
      </c>
      <c r="C177" s="25" t="inlineStr">
        <is>
          <t>Lam SL RM 1mm 2164 Salix Oak(Gold)</t>
        </is>
      </c>
      <c r="D177" s="23" t="inlineStr">
        <is>
          <t>Stylam</t>
        </is>
      </c>
      <c r="E177" s="43" t="n">
        <v>46125</v>
      </c>
      <c r="F177" s="26" t="inlineStr">
        <is>
          <t>Sunil CR</t>
        </is>
      </c>
      <c r="G177" s="26" t="inlineStr">
        <is>
          <t>Yes</t>
        </is>
      </c>
      <c r="H177" s="26" t="inlineStr">
        <is>
          <t>No</t>
        </is>
      </c>
      <c r="I177" s="26" t="inlineStr">
        <is>
          <t>Good finish</t>
        </is>
      </c>
      <c r="J177" s="26" t="inlineStr">
        <is>
          <t>Yes</t>
        </is>
      </c>
      <c r="K177" s="27" t="n"/>
      <c r="L177" s="28" t="inlineStr">
        <is>
          <t>No</t>
        </is>
      </c>
      <c r="M177" s="29">
        <f>IF(E177="","",IF(H177="Yes","❌ Disc",IF(G177="No","⚠ Missing",IF(J177="Yes","✓ OK","⚠ Check"))))</f>
        <v/>
      </c>
      <c r="N177" s="43" t="n">
        <v>46193</v>
      </c>
      <c r="O177" s="26" t="inlineStr">
        <is>
          <t>Sunil CR</t>
        </is>
      </c>
      <c r="P177" s="26" t="inlineStr">
        <is>
          <t>No</t>
        </is>
      </c>
      <c r="Q177" s="26" t="inlineStr">
        <is>
          <t>Yes</t>
        </is>
      </c>
      <c r="R177" s="26" t="inlineStr">
        <is>
          <t>Discontinued</t>
        </is>
      </c>
      <c r="S177" s="26" t="inlineStr">
        <is>
          <t>No</t>
        </is>
      </c>
      <c r="T177" s="27" t="n"/>
      <c r="U177" s="28" t="inlineStr">
        <is>
          <t>No</t>
        </is>
      </c>
      <c r="V177" s="29">
        <f>IF(N177="","",IF(Q177="Yes","❌ Disc",IF(P177="No","⚠ Missing",IF(S177="Yes","✓ OK","⚠ Check"))))</f>
        <v/>
      </c>
      <c r="W177" s="65" t="n">
        <v>46248</v>
      </c>
      <c r="X177" s="30" t="inlineStr">
        <is>
          <t>Sunil CR</t>
        </is>
      </c>
      <c r="Y177" s="30" t="inlineStr">
        <is>
          <t>No</t>
        </is>
      </c>
      <c r="Z177" s="30" t="inlineStr">
        <is>
          <t>Yes</t>
        </is>
      </c>
      <c r="AA177" s="30" t="inlineStr">
        <is>
          <t>Discontinued</t>
        </is>
      </c>
      <c r="AB177" s="30" t="inlineStr">
        <is>
          <t>No</t>
        </is>
      </c>
      <c r="AC177" s="27" t="n"/>
      <c r="AD177" s="31" t="inlineStr">
        <is>
          <t>No</t>
        </is>
      </c>
      <c r="AE177" s="32">
        <f>IF(W177="","",IF(Z177="Yes","❌ Disc",IF(Y177="No","⚠ Missing",IF(AB177="Yes","✓ OK","⚠ Check"))))</f>
        <v/>
      </c>
      <c r="AF177" s="33" t="n"/>
      <c r="AG177" s="33" t="n"/>
      <c r="AH177" s="33" t="n"/>
      <c r="AI177" s="33" t="n"/>
      <c r="AJ177" s="33" t="n"/>
      <c r="AK177" s="33" t="n"/>
      <c r="AL177" s="27" t="n"/>
      <c r="AM177" s="34" t="n"/>
      <c r="AN177" s="35">
        <f>IF(AF177="","",IF(AI177="Yes","❌ Disc",IF(AH177="No","⚠ Missing",IF(AK177="Yes","✓ OK","⚠ Check"))))</f>
        <v/>
      </c>
      <c r="AO177" s="36" t="n"/>
      <c r="AP177" s="36" t="n"/>
      <c r="AQ177" s="36" t="n"/>
      <c r="AR177" s="36" t="n"/>
      <c r="AS177" s="36" t="n"/>
      <c r="AT177" s="36" t="n"/>
      <c r="AU177" s="27" t="n"/>
      <c r="AV177" s="37" t="n"/>
      <c r="AW177" s="38">
        <f>IF(AO177="","",IF(AR177="Yes","❌ Disc",IF(AQ177="No","⚠ Missing",IF(AT177="Yes","✓ OK","⚠ Check"))))</f>
        <v/>
      </c>
    </row>
    <row r="178" ht="18" customHeight="1" s="46">
      <c r="A178" s="39" t="n">
        <v>182</v>
      </c>
      <c r="B178" s="40" t="inlineStr">
        <is>
          <t>BD-LAM-2024-0095</t>
        </is>
      </c>
      <c r="C178" s="41" t="inlineStr">
        <is>
          <t>LAM SL RM 1mm 2235 Weddind Cake(Platinum)</t>
        </is>
      </c>
      <c r="D178" s="39" t="inlineStr">
        <is>
          <t>Stylam</t>
        </is>
      </c>
      <c r="E178" s="43" t="n">
        <v>46125</v>
      </c>
      <c r="F178" s="26" t="inlineStr">
        <is>
          <t>Sunil CR</t>
        </is>
      </c>
      <c r="G178" s="26" t="inlineStr">
        <is>
          <t>Yes</t>
        </is>
      </c>
      <c r="H178" s="26" t="inlineStr">
        <is>
          <t>No</t>
        </is>
      </c>
      <c r="I178" s="26" t="inlineStr">
        <is>
          <t>Good finish</t>
        </is>
      </c>
      <c r="J178" s="26" t="inlineStr">
        <is>
          <t>Yes</t>
        </is>
      </c>
      <c r="K178" s="27" t="n"/>
      <c r="L178" s="28" t="inlineStr">
        <is>
          <t>No</t>
        </is>
      </c>
      <c r="M178" s="29">
        <f>IF(E178="","",IF(H178="Yes","❌ Disc",IF(G178="No","⚠ Missing",IF(J178="Yes","✓ OK","⚠ Check"))))</f>
        <v/>
      </c>
      <c r="N178" s="43" t="n">
        <v>46193</v>
      </c>
      <c r="O178" s="26" t="inlineStr">
        <is>
          <t>Sunil CR</t>
        </is>
      </c>
      <c r="P178" s="26" t="inlineStr">
        <is>
          <t>Yes</t>
        </is>
      </c>
      <c r="Q178" s="26" t="inlineStr">
        <is>
          <t>No</t>
        </is>
      </c>
      <c r="R178" s="26" t="inlineStr">
        <is>
          <t>Good finish</t>
        </is>
      </c>
      <c r="S178" s="26" t="inlineStr">
        <is>
          <t>Yes</t>
        </is>
      </c>
      <c r="T178" s="27" t="n"/>
      <c r="U178" s="28" t="inlineStr">
        <is>
          <t>No</t>
        </is>
      </c>
      <c r="V178" s="29">
        <f>IF(N178="","",IF(Q178="Yes","❌ Disc",IF(P178="No","⚠ Missing",IF(S178="Yes","✓ OK","⚠ Check"))))</f>
        <v/>
      </c>
      <c r="W178" s="65" t="n">
        <v>46248</v>
      </c>
      <c r="X178" s="30" t="inlineStr">
        <is>
          <t>Sunil CR</t>
        </is>
      </c>
      <c r="Y178" s="30" t="inlineStr">
        <is>
          <t>Yes</t>
        </is>
      </c>
      <c r="Z178" s="30" t="n"/>
      <c r="AA178" s="30" t="inlineStr">
        <is>
          <t>Good finish</t>
        </is>
      </c>
      <c r="AB178" s="30" t="inlineStr">
        <is>
          <t>Yes</t>
        </is>
      </c>
      <c r="AC178" s="27" t="n"/>
      <c r="AD178" s="31" t="inlineStr">
        <is>
          <t>No</t>
        </is>
      </c>
      <c r="AE178" s="32">
        <f>IF(W178="","",IF(Z178="Yes","❌ Disc",IF(Y178="No","⚠ Missing",IF(AB178="Yes","✓ OK","⚠ Check"))))</f>
        <v/>
      </c>
      <c r="AF178" s="33" t="n"/>
      <c r="AG178" s="33" t="n"/>
      <c r="AH178" s="33" t="n"/>
      <c r="AI178" s="33" t="n"/>
      <c r="AJ178" s="33" t="n"/>
      <c r="AK178" s="33" t="n"/>
      <c r="AL178" s="27" t="n"/>
      <c r="AM178" s="34" t="n"/>
      <c r="AN178" s="35">
        <f>IF(AF178="","",IF(AI178="Yes","❌ Disc",IF(AH178="No","⚠ Missing",IF(AK178="Yes","✓ OK","⚠ Check"))))</f>
        <v/>
      </c>
      <c r="AO178" s="36" t="n"/>
      <c r="AP178" s="36" t="n"/>
      <c r="AQ178" s="36" t="n"/>
      <c r="AR178" s="36" t="n"/>
      <c r="AS178" s="36" t="n"/>
      <c r="AT178" s="36" t="n"/>
      <c r="AU178" s="27" t="n"/>
      <c r="AV178" s="37" t="n"/>
      <c r="AW178" s="38">
        <f>IF(AO178="","",IF(AR178="Yes","❌ Disc",IF(AQ178="No","⚠ Missing",IF(AT178="Yes","✓ OK","⚠ Check"))))</f>
        <v/>
      </c>
    </row>
    <row r="179" ht="18" customHeight="1" s="46">
      <c r="A179" s="23" t="n">
        <v>183</v>
      </c>
      <c r="B179" s="24" t="inlineStr">
        <is>
          <t>BD-LAM-2024-0075</t>
        </is>
      </c>
      <c r="C179" s="25" t="inlineStr">
        <is>
          <t>Lam SL RM 1mm 2287 Maiden Teak(Platinum)</t>
        </is>
      </c>
      <c r="D179" s="23" t="inlineStr">
        <is>
          <t>Stylam</t>
        </is>
      </c>
      <c r="E179" s="43" t="n">
        <v>46125</v>
      </c>
      <c r="F179" s="26" t="inlineStr">
        <is>
          <t>Sunil CR</t>
        </is>
      </c>
      <c r="G179" s="26" t="inlineStr">
        <is>
          <t>Yes</t>
        </is>
      </c>
      <c r="H179" s="26" t="inlineStr">
        <is>
          <t>No</t>
        </is>
      </c>
      <c r="I179" s="26" t="inlineStr">
        <is>
          <t>Minor defect</t>
        </is>
      </c>
      <c r="J179" s="26" t="inlineStr">
        <is>
          <t>No</t>
        </is>
      </c>
      <c r="K179" s="27" t="inlineStr">
        <is>
          <t>Name Sticker to be Changed</t>
        </is>
      </c>
      <c r="L179" s="28" t="inlineStr">
        <is>
          <t>Yes</t>
        </is>
      </c>
      <c r="M179" s="29">
        <f>IF(E179="","",IF(H179="Yes","❌ Disc",IF(G179="No","⚠ Missing",IF(J179="Yes","✓ OK","⚠ Check"))))</f>
        <v/>
      </c>
      <c r="N179" s="43" t="n">
        <v>46193</v>
      </c>
      <c r="O179" s="26" t="inlineStr">
        <is>
          <t>Sunil CR</t>
        </is>
      </c>
      <c r="P179" s="26" t="inlineStr">
        <is>
          <t>Yes</t>
        </is>
      </c>
      <c r="Q179" s="26" t="inlineStr">
        <is>
          <t>No</t>
        </is>
      </c>
      <c r="R179" s="26" t="inlineStr">
        <is>
          <t>Minor defect</t>
        </is>
      </c>
      <c r="S179" s="26" t="inlineStr">
        <is>
          <t>No</t>
        </is>
      </c>
      <c r="T179" s="27" t="inlineStr">
        <is>
          <t>Name Sticker to be Changed</t>
        </is>
      </c>
      <c r="U179" s="28" t="inlineStr">
        <is>
          <t>Yes</t>
        </is>
      </c>
      <c r="V179" s="29">
        <f>IF(N179="","",IF(Q179="Yes","❌ Disc",IF(P179="No","⚠ Missing",IF(S179="Yes","✓ OK","⚠ Check"))))</f>
        <v/>
      </c>
      <c r="W179" s="65" t="n">
        <v>46248</v>
      </c>
      <c r="X179" s="30" t="inlineStr">
        <is>
          <t>Sunil CR</t>
        </is>
      </c>
      <c r="Y179" s="30" t="inlineStr">
        <is>
          <t>Yes</t>
        </is>
      </c>
      <c r="Z179" s="30" t="n"/>
      <c r="AA179" s="30" t="inlineStr">
        <is>
          <t>Minor defect</t>
        </is>
      </c>
      <c r="AB179" s="30" t="inlineStr">
        <is>
          <t>No</t>
        </is>
      </c>
      <c r="AC179" s="27" t="inlineStr">
        <is>
          <t>Name Sticker to be Changed</t>
        </is>
      </c>
      <c r="AD179" s="31" t="inlineStr">
        <is>
          <t>Yes</t>
        </is>
      </c>
      <c r="AE179" s="32">
        <f>IF(W179="","",IF(Z179="Yes","❌ Disc",IF(Y179="No","⚠ Missing",IF(AB179="Yes","✓ OK","⚠ Check"))))</f>
        <v/>
      </c>
      <c r="AF179" s="33" t="n"/>
      <c r="AG179" s="33" t="n"/>
      <c r="AH179" s="33" t="n"/>
      <c r="AI179" s="33" t="n"/>
      <c r="AJ179" s="33" t="n"/>
      <c r="AK179" s="33" t="n"/>
      <c r="AL179" s="27" t="n"/>
      <c r="AM179" s="34" t="n"/>
      <c r="AN179" s="35">
        <f>IF(AF179="","",IF(AI179="Yes","❌ Disc",IF(AH179="No","⚠ Missing",IF(AK179="Yes","✓ OK","⚠ Check"))))</f>
        <v/>
      </c>
      <c r="AO179" s="36" t="n"/>
      <c r="AP179" s="36" t="n"/>
      <c r="AQ179" s="36" t="n"/>
      <c r="AR179" s="36" t="n"/>
      <c r="AS179" s="36" t="n"/>
      <c r="AT179" s="36" t="n"/>
      <c r="AU179" s="27" t="n"/>
      <c r="AV179" s="37" t="n"/>
      <c r="AW179" s="38">
        <f>IF(AO179="","",IF(AR179="Yes","❌ Disc",IF(AQ179="No","⚠ Missing",IF(AT179="Yes","✓ OK","⚠ Check"))))</f>
        <v/>
      </c>
    </row>
    <row r="180" ht="18" customHeight="1" s="46">
      <c r="A180" s="39" t="n">
        <v>184</v>
      </c>
      <c r="B180" s="40" t="inlineStr">
        <is>
          <t>BD-LAM-2024-0074</t>
        </is>
      </c>
      <c r="C180" s="41" t="inlineStr">
        <is>
          <t>Lam SL RM 1mm 2309 Fairfield Walnut(Platinum)</t>
        </is>
      </c>
      <c r="D180" s="39" t="inlineStr">
        <is>
          <t>Stylam</t>
        </is>
      </c>
      <c r="E180" s="43" t="n">
        <v>46125</v>
      </c>
      <c r="F180" s="26" t="inlineStr">
        <is>
          <t>Sunil CR</t>
        </is>
      </c>
      <c r="G180" s="26" t="inlineStr">
        <is>
          <t>Yes</t>
        </is>
      </c>
      <c r="H180" s="26" t="inlineStr">
        <is>
          <t>No</t>
        </is>
      </c>
      <c r="I180" s="26" t="inlineStr">
        <is>
          <t>Good finish</t>
        </is>
      </c>
      <c r="J180" s="26" t="inlineStr">
        <is>
          <t>Yes</t>
        </is>
      </c>
      <c r="K180" s="27" t="n"/>
      <c r="L180" s="28" t="inlineStr">
        <is>
          <t>No</t>
        </is>
      </c>
      <c r="M180" s="29">
        <f>IF(E180="","",IF(H180="Yes","❌ Disc",IF(G180="No","⚠ Missing",IF(J180="Yes","✓ OK","⚠ Check"))))</f>
        <v/>
      </c>
      <c r="N180" s="43" t="n">
        <v>46193</v>
      </c>
      <c r="O180" s="26" t="inlineStr">
        <is>
          <t>Sunil CR</t>
        </is>
      </c>
      <c r="P180" s="26" t="inlineStr">
        <is>
          <t>Yes</t>
        </is>
      </c>
      <c r="Q180" s="26" t="inlineStr">
        <is>
          <t>No</t>
        </is>
      </c>
      <c r="R180" s="26" t="inlineStr">
        <is>
          <t>Good finish</t>
        </is>
      </c>
      <c r="S180" s="26" t="inlineStr">
        <is>
          <t>Yes</t>
        </is>
      </c>
      <c r="T180" s="27" t="n"/>
      <c r="U180" s="28" t="inlineStr">
        <is>
          <t>No</t>
        </is>
      </c>
      <c r="V180" s="29">
        <f>IF(N180="","",IF(Q180="Yes","❌ Disc",IF(P180="No","⚠ Missing",IF(S180="Yes","✓ OK","⚠ Check"))))</f>
        <v/>
      </c>
      <c r="W180" s="65" t="n">
        <v>46248</v>
      </c>
      <c r="X180" s="30" t="inlineStr">
        <is>
          <t>Sunil CR</t>
        </is>
      </c>
      <c r="Y180" s="30" t="inlineStr">
        <is>
          <t>Yes</t>
        </is>
      </c>
      <c r="Z180" s="30" t="n"/>
      <c r="AA180" s="30" t="inlineStr">
        <is>
          <t>Good finish</t>
        </is>
      </c>
      <c r="AB180" s="30" t="inlineStr">
        <is>
          <t>Yes</t>
        </is>
      </c>
      <c r="AC180" s="27" t="n"/>
      <c r="AD180" s="31" t="inlineStr">
        <is>
          <t>No</t>
        </is>
      </c>
      <c r="AE180" s="32">
        <f>IF(W180="","",IF(Z180="Yes","❌ Disc",IF(Y180="No","⚠ Missing",IF(AB180="Yes","✓ OK","⚠ Check"))))</f>
        <v/>
      </c>
      <c r="AF180" s="33" t="n"/>
      <c r="AG180" s="33" t="n"/>
      <c r="AH180" s="33" t="n"/>
      <c r="AI180" s="33" t="n"/>
      <c r="AJ180" s="33" t="n"/>
      <c r="AK180" s="33" t="n"/>
      <c r="AL180" s="27" t="n"/>
      <c r="AM180" s="34" t="n"/>
      <c r="AN180" s="35">
        <f>IF(AF180="","",IF(AI180="Yes","❌ Disc",IF(AH180="No","⚠ Missing",IF(AK180="Yes","✓ OK","⚠ Check"))))</f>
        <v/>
      </c>
      <c r="AO180" s="36" t="n"/>
      <c r="AP180" s="36" t="n"/>
      <c r="AQ180" s="36" t="n"/>
      <c r="AR180" s="36" t="n"/>
      <c r="AS180" s="36" t="n"/>
      <c r="AT180" s="36" t="n"/>
      <c r="AU180" s="27" t="n"/>
      <c r="AV180" s="37" t="n"/>
      <c r="AW180" s="38">
        <f>IF(AO180="","",IF(AR180="Yes","❌ Disc",IF(AQ180="No","⚠ Missing",IF(AT180="Yes","✓ OK","⚠ Check"))))</f>
        <v/>
      </c>
    </row>
    <row r="181" ht="18" customHeight="1" s="46">
      <c r="A181" s="23" t="n">
        <v>185</v>
      </c>
      <c r="B181" s="24" t="inlineStr">
        <is>
          <t>BD-LAM-2024-0096</t>
        </is>
      </c>
      <c r="C181" s="25" t="inlineStr">
        <is>
          <t>LAM SL RM 1mm 2335 Rovere Wood(Platinum)</t>
        </is>
      </c>
      <c r="D181" s="23" t="inlineStr">
        <is>
          <t>Stylam</t>
        </is>
      </c>
      <c r="E181" s="43" t="n">
        <v>46125</v>
      </c>
      <c r="F181" s="26" t="inlineStr">
        <is>
          <t>Sunil CR</t>
        </is>
      </c>
      <c r="G181" s="26" t="inlineStr">
        <is>
          <t>Yes</t>
        </is>
      </c>
      <c r="H181" s="26" t="inlineStr">
        <is>
          <t>No</t>
        </is>
      </c>
      <c r="I181" s="26" t="inlineStr">
        <is>
          <t>Good finish</t>
        </is>
      </c>
      <c r="J181" s="26" t="inlineStr">
        <is>
          <t>Yes</t>
        </is>
      </c>
      <c r="K181" s="27" t="n"/>
      <c r="L181" s="28" t="inlineStr">
        <is>
          <t>No</t>
        </is>
      </c>
      <c r="M181" s="29">
        <f>IF(E181="","",IF(H181="Yes","❌ Disc",IF(G181="No","⚠ Missing",IF(J181="Yes","✓ OK","⚠ Check"))))</f>
        <v/>
      </c>
      <c r="N181" s="43" t="n">
        <v>46193</v>
      </c>
      <c r="O181" s="26" t="inlineStr">
        <is>
          <t>Sunil CR</t>
        </is>
      </c>
      <c r="P181" s="26" t="inlineStr">
        <is>
          <t>Yes</t>
        </is>
      </c>
      <c r="Q181" s="26" t="inlineStr">
        <is>
          <t>No</t>
        </is>
      </c>
      <c r="R181" s="26" t="inlineStr">
        <is>
          <t>Good finish</t>
        </is>
      </c>
      <c r="S181" s="26" t="inlineStr">
        <is>
          <t>Yes</t>
        </is>
      </c>
      <c r="T181" s="27" t="n"/>
      <c r="U181" s="28" t="inlineStr">
        <is>
          <t>No</t>
        </is>
      </c>
      <c r="V181" s="29">
        <f>IF(N181="","",IF(Q181="Yes","❌ Disc",IF(P181="No","⚠ Missing",IF(S181="Yes","✓ OK","⚠ Check"))))</f>
        <v/>
      </c>
      <c r="W181" s="65" t="n">
        <v>46248</v>
      </c>
      <c r="X181" s="30" t="inlineStr">
        <is>
          <t>Sunil CR</t>
        </is>
      </c>
      <c r="Y181" s="30" t="inlineStr">
        <is>
          <t>Yes</t>
        </is>
      </c>
      <c r="Z181" s="30" t="n"/>
      <c r="AA181" s="30" t="inlineStr">
        <is>
          <t>Good finish</t>
        </is>
      </c>
      <c r="AB181" s="30" t="inlineStr">
        <is>
          <t>Yes</t>
        </is>
      </c>
      <c r="AC181" s="27" t="n"/>
      <c r="AD181" s="31" t="inlineStr">
        <is>
          <t>No</t>
        </is>
      </c>
      <c r="AE181" s="32">
        <f>IF(W181="","",IF(Z181="Yes","❌ Disc",IF(Y181="No","⚠ Missing",IF(AB181="Yes","✓ OK","⚠ Check"))))</f>
        <v/>
      </c>
      <c r="AF181" s="33" t="n"/>
      <c r="AG181" s="33" t="n"/>
      <c r="AH181" s="33" t="n"/>
      <c r="AI181" s="33" t="n"/>
      <c r="AJ181" s="33" t="n"/>
      <c r="AK181" s="33" t="n"/>
      <c r="AL181" s="27" t="n"/>
      <c r="AM181" s="34" t="n"/>
      <c r="AN181" s="35">
        <f>IF(AF181="","",IF(AI181="Yes","❌ Disc",IF(AH181="No","⚠ Missing",IF(AK181="Yes","✓ OK","⚠ Check"))))</f>
        <v/>
      </c>
      <c r="AO181" s="36" t="n"/>
      <c r="AP181" s="36" t="n"/>
      <c r="AQ181" s="36" t="n"/>
      <c r="AR181" s="36" t="n"/>
      <c r="AS181" s="36" t="n"/>
      <c r="AT181" s="36" t="n"/>
      <c r="AU181" s="27" t="n"/>
      <c r="AV181" s="37" t="n"/>
      <c r="AW181" s="38">
        <f>IF(AO181="","",IF(AR181="Yes","❌ Disc",IF(AQ181="No","⚠ Missing",IF(AT181="Yes","✓ OK","⚠ Check"))))</f>
        <v/>
      </c>
    </row>
    <row r="182" ht="18" customHeight="1" s="46">
      <c r="A182" s="39" t="n">
        <v>186</v>
      </c>
      <c r="B182" s="40" t="inlineStr">
        <is>
          <t>BD-LAM-2024-0072</t>
        </is>
      </c>
      <c r="C182" s="41" t="inlineStr">
        <is>
          <t>Lam SL RM 1mm 2336 Kendal Wood(Platinum)</t>
        </is>
      </c>
      <c r="D182" s="39" t="inlineStr">
        <is>
          <t>Stylam</t>
        </is>
      </c>
      <c r="E182" s="43" t="n">
        <v>46125</v>
      </c>
      <c r="F182" s="26" t="inlineStr">
        <is>
          <t>Sunil CR</t>
        </is>
      </c>
      <c r="G182" s="26" t="inlineStr">
        <is>
          <t>Yes</t>
        </is>
      </c>
      <c r="H182" s="26" t="inlineStr">
        <is>
          <t>No</t>
        </is>
      </c>
      <c r="I182" s="26" t="inlineStr">
        <is>
          <t>Good finish</t>
        </is>
      </c>
      <c r="J182" s="26" t="inlineStr">
        <is>
          <t>Yes</t>
        </is>
      </c>
      <c r="K182" s="27" t="n"/>
      <c r="L182" s="28" t="inlineStr">
        <is>
          <t>No</t>
        </is>
      </c>
      <c r="M182" s="29">
        <f>IF(E182="","",IF(H182="Yes","❌ Disc",IF(G182="No","⚠ Missing",IF(J182="Yes","✓ OK","⚠ Check"))))</f>
        <v/>
      </c>
      <c r="N182" s="43" t="n">
        <v>46193</v>
      </c>
      <c r="O182" s="26" t="inlineStr">
        <is>
          <t>Sunil CR</t>
        </is>
      </c>
      <c r="P182" s="26" t="inlineStr">
        <is>
          <t>Yes</t>
        </is>
      </c>
      <c r="Q182" s="26" t="inlineStr">
        <is>
          <t>No</t>
        </is>
      </c>
      <c r="R182" s="26" t="inlineStr">
        <is>
          <t>Good finish</t>
        </is>
      </c>
      <c r="S182" s="26" t="inlineStr">
        <is>
          <t>Yes</t>
        </is>
      </c>
      <c r="T182" s="27" t="n"/>
      <c r="U182" s="28" t="inlineStr">
        <is>
          <t>No</t>
        </is>
      </c>
      <c r="V182" s="29">
        <f>IF(N182="","",IF(Q182="Yes","❌ Disc",IF(P182="No","⚠ Missing",IF(S182="Yes","✓ OK","⚠ Check"))))</f>
        <v/>
      </c>
      <c r="W182" s="65" t="n">
        <v>46248</v>
      </c>
      <c r="X182" s="30" t="inlineStr">
        <is>
          <t>Sunil CR</t>
        </is>
      </c>
      <c r="Y182" s="30" t="inlineStr">
        <is>
          <t>Yes</t>
        </is>
      </c>
      <c r="Z182" s="30" t="n"/>
      <c r="AA182" s="30" t="inlineStr">
        <is>
          <t>Good finish</t>
        </is>
      </c>
      <c r="AB182" s="30" t="inlineStr">
        <is>
          <t>Yes</t>
        </is>
      </c>
      <c r="AC182" s="27" t="n"/>
      <c r="AD182" s="31" t="inlineStr">
        <is>
          <t>No</t>
        </is>
      </c>
      <c r="AE182" s="32">
        <f>IF(W182="","",IF(Z182="Yes","❌ Disc",IF(Y182="No","⚠ Missing",IF(AB182="Yes","✓ OK","⚠ Check"))))</f>
        <v/>
      </c>
      <c r="AF182" s="33" t="n"/>
      <c r="AG182" s="33" t="n"/>
      <c r="AH182" s="33" t="n"/>
      <c r="AI182" s="33" t="n"/>
      <c r="AJ182" s="33" t="n"/>
      <c r="AK182" s="33" t="n"/>
      <c r="AL182" s="27" t="n"/>
      <c r="AM182" s="34" t="n"/>
      <c r="AN182" s="35">
        <f>IF(AF182="","",IF(AI182="Yes","❌ Disc",IF(AH182="No","⚠ Missing",IF(AK182="Yes","✓ OK","⚠ Check"))))</f>
        <v/>
      </c>
      <c r="AO182" s="36" t="n"/>
      <c r="AP182" s="36" t="n"/>
      <c r="AQ182" s="36" t="n"/>
      <c r="AR182" s="36" t="n"/>
      <c r="AS182" s="36" t="n"/>
      <c r="AT182" s="36" t="n"/>
      <c r="AU182" s="27" t="n"/>
      <c r="AV182" s="37" t="n"/>
      <c r="AW182" s="38">
        <f>IF(AO182="","",IF(AR182="Yes","❌ Disc",IF(AQ182="No","⚠ Missing",IF(AT182="Yes","✓ OK","⚠ Check"))))</f>
        <v/>
      </c>
    </row>
    <row r="183" ht="18" customHeight="1" s="46">
      <c r="A183" s="23" t="n">
        <v>187</v>
      </c>
      <c r="B183" s="24" t="inlineStr">
        <is>
          <t>BD-LAM-2023-0194</t>
        </is>
      </c>
      <c r="C183" s="25" t="inlineStr">
        <is>
          <t>Lam SL RM 1mm 2383 Ktami Oreo Elm(Gold)</t>
        </is>
      </c>
      <c r="D183" s="23" t="inlineStr">
        <is>
          <t>Stylam</t>
        </is>
      </c>
      <c r="E183" s="43" t="n">
        <v>46125</v>
      </c>
      <c r="F183" s="26" t="inlineStr">
        <is>
          <t>Sunil CR</t>
        </is>
      </c>
      <c r="G183" s="26" t="inlineStr">
        <is>
          <t>Yes</t>
        </is>
      </c>
      <c r="H183" s="26" t="inlineStr">
        <is>
          <t>No</t>
        </is>
      </c>
      <c r="I183" s="26" t="inlineStr">
        <is>
          <t>Good finish</t>
        </is>
      </c>
      <c r="J183" s="26" t="inlineStr">
        <is>
          <t>Yes</t>
        </is>
      </c>
      <c r="K183" s="27" t="inlineStr">
        <is>
          <t>Available in small book</t>
        </is>
      </c>
      <c r="L183" s="28" t="inlineStr">
        <is>
          <t>No</t>
        </is>
      </c>
      <c r="M183" s="29">
        <f>IF(E183="","",IF(H183="Yes","❌ Disc",IF(G183="No","⚠ Missing",IF(J183="Yes","✓ OK","⚠ Check"))))</f>
        <v/>
      </c>
      <c r="N183" s="43" t="n">
        <v>46193</v>
      </c>
      <c r="O183" s="26" t="inlineStr">
        <is>
          <t>Sunil CR</t>
        </is>
      </c>
      <c r="P183" s="26" t="inlineStr">
        <is>
          <t>Yes</t>
        </is>
      </c>
      <c r="Q183" s="26" t="inlineStr">
        <is>
          <t>No</t>
        </is>
      </c>
      <c r="R183" s="26" t="inlineStr">
        <is>
          <t>Good finish</t>
        </is>
      </c>
      <c r="S183" s="26" t="inlineStr">
        <is>
          <t>Yes</t>
        </is>
      </c>
      <c r="T183" s="27" t="inlineStr">
        <is>
          <t>Available in small book</t>
        </is>
      </c>
      <c r="U183" s="28" t="inlineStr">
        <is>
          <t>No</t>
        </is>
      </c>
      <c r="V183" s="29">
        <f>IF(N183="","",IF(Q183="Yes","❌ Disc",IF(P183="No","⚠ Missing",IF(S183="Yes","✓ OK","⚠ Check"))))</f>
        <v/>
      </c>
      <c r="W183" s="65" t="n">
        <v>46248</v>
      </c>
      <c r="X183" s="30" t="inlineStr">
        <is>
          <t>Sunil CR</t>
        </is>
      </c>
      <c r="Y183" s="30" t="inlineStr">
        <is>
          <t>Yes</t>
        </is>
      </c>
      <c r="Z183" s="30" t="n"/>
      <c r="AA183" s="30" t="inlineStr">
        <is>
          <t>Good finish</t>
        </is>
      </c>
      <c r="AB183" s="30" t="inlineStr">
        <is>
          <t>Yes</t>
        </is>
      </c>
      <c r="AC183" s="27" t="inlineStr">
        <is>
          <t>Available in small book</t>
        </is>
      </c>
      <c r="AD183" s="31" t="inlineStr">
        <is>
          <t>No</t>
        </is>
      </c>
      <c r="AE183" s="32">
        <f>IF(W183="","",IF(Z183="Yes","❌ Disc",IF(Y183="No","⚠ Missing",IF(AB183="Yes","✓ OK","⚠ Check"))))</f>
        <v/>
      </c>
      <c r="AF183" s="33" t="n"/>
      <c r="AG183" s="33" t="n"/>
      <c r="AH183" s="33" t="n"/>
      <c r="AI183" s="33" t="n"/>
      <c r="AJ183" s="33" t="n"/>
      <c r="AK183" s="33" t="n"/>
      <c r="AL183" s="27" t="n"/>
      <c r="AM183" s="34" t="n"/>
      <c r="AN183" s="35">
        <f>IF(AF183="","",IF(AI183="Yes","❌ Disc",IF(AH183="No","⚠ Missing",IF(AK183="Yes","✓ OK","⚠ Check"))))</f>
        <v/>
      </c>
      <c r="AO183" s="36" t="n"/>
      <c r="AP183" s="36" t="n"/>
      <c r="AQ183" s="36" t="n"/>
      <c r="AR183" s="36" t="n"/>
      <c r="AS183" s="36" t="n"/>
      <c r="AT183" s="36" t="n"/>
      <c r="AU183" s="27" t="n"/>
      <c r="AV183" s="37" t="n"/>
      <c r="AW183" s="38">
        <f>IF(AO183="","",IF(AR183="Yes","❌ Disc",IF(AQ183="No","⚠ Missing",IF(AT183="Yes","✓ OK","⚠ Check"))))</f>
        <v/>
      </c>
    </row>
    <row r="184" ht="18" customHeight="1" s="46">
      <c r="A184" s="39" t="n">
        <v>188</v>
      </c>
      <c r="B184" s="40" t="inlineStr">
        <is>
          <t>BD-LAM-2024-0073</t>
        </is>
      </c>
      <c r="C184" s="41" t="inlineStr">
        <is>
          <t>Lam SL RM 1mm 2386 Refugee Oak(Platinum)</t>
        </is>
      </c>
      <c r="D184" s="39" t="inlineStr">
        <is>
          <t>Stylam</t>
        </is>
      </c>
      <c r="E184" s="43" t="n">
        <v>46125</v>
      </c>
      <c r="F184" s="26" t="inlineStr">
        <is>
          <t>Sunil CR</t>
        </is>
      </c>
      <c r="G184" s="26" t="inlineStr">
        <is>
          <t>Yes</t>
        </is>
      </c>
      <c r="H184" s="26" t="inlineStr">
        <is>
          <t>No</t>
        </is>
      </c>
      <c r="I184" s="26" t="inlineStr">
        <is>
          <t>Minor defect</t>
        </is>
      </c>
      <c r="J184" s="26" t="inlineStr">
        <is>
          <t>No</t>
        </is>
      </c>
      <c r="K184" s="27" t="inlineStr">
        <is>
          <t>Categorization sticker is missing</t>
        </is>
      </c>
      <c r="L184" s="28" t="inlineStr">
        <is>
          <t>Yes</t>
        </is>
      </c>
      <c r="M184" s="29">
        <f>IF(E184="","",IF(H184="Yes","❌ Disc",IF(G184="No","⚠ Missing",IF(J184="Yes","✓ OK","⚠ Check"))))</f>
        <v/>
      </c>
      <c r="N184" s="43" t="n">
        <v>46193</v>
      </c>
      <c r="O184" s="26" t="inlineStr">
        <is>
          <t>Sunil CR</t>
        </is>
      </c>
      <c r="P184" s="26" t="inlineStr">
        <is>
          <t>Yes</t>
        </is>
      </c>
      <c r="Q184" s="26" t="inlineStr">
        <is>
          <t>No</t>
        </is>
      </c>
      <c r="R184" s="26" t="inlineStr">
        <is>
          <t>Minor defect</t>
        </is>
      </c>
      <c r="S184" s="26" t="inlineStr">
        <is>
          <t>No</t>
        </is>
      </c>
      <c r="T184" s="27" t="inlineStr">
        <is>
          <t>Categorization sticker is missing</t>
        </is>
      </c>
      <c r="U184" s="28" t="inlineStr">
        <is>
          <t>Yes</t>
        </is>
      </c>
      <c r="V184" s="29">
        <f>IF(N184="","",IF(Q184="Yes","❌ Disc",IF(P184="No","⚠ Missing",IF(S184="Yes","✓ OK","⚠ Check"))))</f>
        <v/>
      </c>
      <c r="W184" s="65" t="n">
        <v>46248</v>
      </c>
      <c r="X184" s="30" t="inlineStr">
        <is>
          <t>Sunil CR</t>
        </is>
      </c>
      <c r="Y184" s="30" t="inlineStr">
        <is>
          <t>Yes</t>
        </is>
      </c>
      <c r="Z184" s="30" t="n"/>
      <c r="AA184" s="30" t="inlineStr">
        <is>
          <t>Minor defect</t>
        </is>
      </c>
      <c r="AB184" s="30" t="inlineStr">
        <is>
          <t>No</t>
        </is>
      </c>
      <c r="AC184" s="27" t="inlineStr">
        <is>
          <t>Categorization sticker is missing</t>
        </is>
      </c>
      <c r="AD184" s="31" t="inlineStr">
        <is>
          <t>Yes</t>
        </is>
      </c>
      <c r="AE184" s="32">
        <f>IF(W184="","",IF(Z184="Yes","❌ Disc",IF(Y184="No","⚠ Missing",IF(AB184="Yes","✓ OK","⚠ Check"))))</f>
        <v/>
      </c>
      <c r="AF184" s="33" t="n"/>
      <c r="AG184" s="33" t="n"/>
      <c r="AH184" s="33" t="n"/>
      <c r="AI184" s="33" t="n"/>
      <c r="AJ184" s="33" t="n"/>
      <c r="AK184" s="33" t="n"/>
      <c r="AL184" s="27" t="n"/>
      <c r="AM184" s="34" t="n"/>
      <c r="AN184" s="35">
        <f>IF(AF184="","",IF(AI184="Yes","❌ Disc",IF(AH184="No","⚠ Missing",IF(AK184="Yes","✓ OK","⚠ Check"))))</f>
        <v/>
      </c>
      <c r="AO184" s="36" t="n"/>
      <c r="AP184" s="36" t="n"/>
      <c r="AQ184" s="36" t="n"/>
      <c r="AR184" s="36" t="n"/>
      <c r="AS184" s="36" t="n"/>
      <c r="AT184" s="36" t="n"/>
      <c r="AU184" s="27" t="n"/>
      <c r="AV184" s="37" t="n"/>
      <c r="AW184" s="38">
        <f>IF(AO184="","",IF(AR184="Yes","❌ Disc",IF(AQ184="No","⚠ Missing",IF(AT184="Yes","✓ OK","⚠ Check"))))</f>
        <v/>
      </c>
    </row>
    <row r="185" ht="18" customHeight="1" s="46">
      <c r="A185" s="23" t="n">
        <v>189</v>
      </c>
      <c r="B185" s="24" t="inlineStr">
        <is>
          <t>BD-LAM-2023-0202</t>
        </is>
      </c>
      <c r="C185" s="25" t="inlineStr">
        <is>
          <t>Lam SL RM 1mm 2463 Minor Desert(Gold)</t>
        </is>
      </c>
      <c r="D185" s="23" t="inlineStr">
        <is>
          <t>Stylam</t>
        </is>
      </c>
      <c r="E185" s="43" t="n">
        <v>46125</v>
      </c>
      <c r="F185" s="26" t="inlineStr">
        <is>
          <t>Sunil CR</t>
        </is>
      </c>
      <c r="G185" s="26" t="inlineStr">
        <is>
          <t>Yes</t>
        </is>
      </c>
      <c r="H185" s="26" t="inlineStr">
        <is>
          <t>No</t>
        </is>
      </c>
      <c r="I185" s="26" t="inlineStr">
        <is>
          <t>Good finish</t>
        </is>
      </c>
      <c r="J185" s="26" t="inlineStr">
        <is>
          <t>Yes</t>
        </is>
      </c>
      <c r="K185" s="27" t="inlineStr">
        <is>
          <t>Available in small book</t>
        </is>
      </c>
      <c r="L185" s="28" t="inlineStr">
        <is>
          <t>No</t>
        </is>
      </c>
      <c r="M185" s="29">
        <f>IF(E185="","",IF(H185="Yes","❌ Disc",IF(G185="No","⚠ Missing",IF(J185="Yes","✓ OK","⚠ Check"))))</f>
        <v/>
      </c>
      <c r="N185" s="43" t="n">
        <v>46193</v>
      </c>
      <c r="O185" s="26" t="inlineStr">
        <is>
          <t>Sunil CR</t>
        </is>
      </c>
      <c r="P185" s="26" t="inlineStr">
        <is>
          <t>Yes</t>
        </is>
      </c>
      <c r="Q185" s="26" t="inlineStr">
        <is>
          <t>No</t>
        </is>
      </c>
      <c r="R185" s="26" t="inlineStr">
        <is>
          <t>Good finish</t>
        </is>
      </c>
      <c r="S185" s="26" t="inlineStr">
        <is>
          <t>Yes</t>
        </is>
      </c>
      <c r="T185" s="27" t="inlineStr">
        <is>
          <t>Available in small book</t>
        </is>
      </c>
      <c r="U185" s="28" t="inlineStr">
        <is>
          <t>No</t>
        </is>
      </c>
      <c r="V185" s="29">
        <f>IF(N185="","",IF(Q185="Yes","❌ Disc",IF(P185="No","⚠ Missing",IF(S185="Yes","✓ OK","⚠ Check"))))</f>
        <v/>
      </c>
      <c r="W185" s="65" t="n">
        <v>46248</v>
      </c>
      <c r="X185" s="30" t="inlineStr">
        <is>
          <t>Sunil CR</t>
        </is>
      </c>
      <c r="Y185" s="30" t="inlineStr">
        <is>
          <t>Yes</t>
        </is>
      </c>
      <c r="Z185" s="30" t="n"/>
      <c r="AA185" s="30" t="inlineStr">
        <is>
          <t>Good finish</t>
        </is>
      </c>
      <c r="AB185" s="30" t="inlineStr">
        <is>
          <t>Yes</t>
        </is>
      </c>
      <c r="AC185" s="27" t="inlineStr">
        <is>
          <t>Available in small book</t>
        </is>
      </c>
      <c r="AD185" s="31" t="inlineStr">
        <is>
          <t>No</t>
        </is>
      </c>
      <c r="AE185" s="32">
        <f>IF(W185="","",IF(Z185="Yes","❌ Disc",IF(Y185="No","⚠ Missing",IF(AB185="Yes","✓ OK","⚠ Check"))))</f>
        <v/>
      </c>
      <c r="AF185" s="33" t="n"/>
      <c r="AG185" s="33" t="n"/>
      <c r="AH185" s="33" t="n"/>
      <c r="AI185" s="33" t="n"/>
      <c r="AJ185" s="33" t="n"/>
      <c r="AK185" s="33" t="n"/>
      <c r="AL185" s="27" t="n"/>
      <c r="AM185" s="34" t="n"/>
      <c r="AN185" s="35">
        <f>IF(AF185="","",IF(AI185="Yes","❌ Disc",IF(AH185="No","⚠ Missing",IF(AK185="Yes","✓ OK","⚠ Check"))))</f>
        <v/>
      </c>
      <c r="AO185" s="36" t="n"/>
      <c r="AP185" s="36" t="n"/>
      <c r="AQ185" s="36" t="n"/>
      <c r="AR185" s="36" t="n"/>
      <c r="AS185" s="36" t="n"/>
      <c r="AT185" s="36" t="n"/>
      <c r="AU185" s="27" t="n"/>
      <c r="AV185" s="37" t="n"/>
      <c r="AW185" s="38">
        <f>IF(AO185="","",IF(AR185="Yes","❌ Disc",IF(AQ185="No","⚠ Missing",IF(AT185="Yes","✓ OK","⚠ Check"))))</f>
        <v/>
      </c>
    </row>
    <row r="186" ht="18" customHeight="1" s="46">
      <c r="A186" s="39" t="n">
        <v>190</v>
      </c>
      <c r="B186" s="40" t="inlineStr">
        <is>
          <t>BD-LAM-2023-0221</t>
        </is>
      </c>
      <c r="C186" s="41" t="inlineStr">
        <is>
          <t>Lam SL RM 1mm 2505 Nommad Teak(Gold)</t>
        </is>
      </c>
      <c r="D186" s="39" t="inlineStr">
        <is>
          <t>Stylam</t>
        </is>
      </c>
      <c r="E186" s="43" t="n">
        <v>46125</v>
      </c>
      <c r="F186" s="26" t="inlineStr">
        <is>
          <t>Sunil CR</t>
        </is>
      </c>
      <c r="G186" s="26" t="inlineStr">
        <is>
          <t>Yes</t>
        </is>
      </c>
      <c r="H186" s="26" t="inlineStr">
        <is>
          <t>No</t>
        </is>
      </c>
      <c r="I186" s="26" t="inlineStr">
        <is>
          <t>Good finish</t>
        </is>
      </c>
      <c r="J186" s="26" t="inlineStr">
        <is>
          <t>Yes</t>
        </is>
      </c>
      <c r="K186" s="27" t="n"/>
      <c r="L186" s="28" t="inlineStr">
        <is>
          <t>No</t>
        </is>
      </c>
      <c r="M186" s="29">
        <f>IF(E186="","",IF(H186="Yes","❌ Disc",IF(G186="No","⚠ Missing",IF(J186="Yes","✓ OK","⚠ Check"))))</f>
        <v/>
      </c>
      <c r="N186" s="43" t="n">
        <v>46193</v>
      </c>
      <c r="O186" s="26" t="inlineStr">
        <is>
          <t>Sunil CR</t>
        </is>
      </c>
      <c r="P186" s="26" t="inlineStr">
        <is>
          <t>No</t>
        </is>
      </c>
      <c r="Q186" s="26" t="inlineStr">
        <is>
          <t>Yes</t>
        </is>
      </c>
      <c r="R186" s="26" t="inlineStr">
        <is>
          <t>Discontinued</t>
        </is>
      </c>
      <c r="S186" s="26" t="inlineStr">
        <is>
          <t>No</t>
        </is>
      </c>
      <c r="T186" s="27" t="n"/>
      <c r="U186" s="28" t="inlineStr">
        <is>
          <t>No</t>
        </is>
      </c>
      <c r="V186" s="29">
        <f>IF(N186="","",IF(Q186="Yes","❌ Disc",IF(P186="No","⚠ Missing",IF(S186="Yes","✓ OK","⚠ Check"))))</f>
        <v/>
      </c>
      <c r="W186" s="65" t="n">
        <v>46248</v>
      </c>
      <c r="X186" s="30" t="inlineStr">
        <is>
          <t>Sunil CR</t>
        </is>
      </c>
      <c r="Y186" s="30" t="inlineStr">
        <is>
          <t>No</t>
        </is>
      </c>
      <c r="Z186" s="30" t="inlineStr">
        <is>
          <t>Yes</t>
        </is>
      </c>
      <c r="AA186" s="30" t="inlineStr">
        <is>
          <t>Discontinued</t>
        </is>
      </c>
      <c r="AB186" s="30" t="inlineStr">
        <is>
          <t>No</t>
        </is>
      </c>
      <c r="AC186" s="27" t="n"/>
      <c r="AD186" s="31" t="inlineStr">
        <is>
          <t>No</t>
        </is>
      </c>
      <c r="AE186" s="32">
        <f>IF(W186="","",IF(Z186="Yes","❌ Disc",IF(Y186="No","⚠ Missing",IF(AB186="Yes","✓ OK","⚠ Check"))))</f>
        <v/>
      </c>
      <c r="AF186" s="33" t="n"/>
      <c r="AG186" s="33" t="n"/>
      <c r="AH186" s="33" t="n"/>
      <c r="AI186" s="33" t="n"/>
      <c r="AJ186" s="33" t="n"/>
      <c r="AK186" s="33" t="n"/>
      <c r="AL186" s="27" t="n"/>
      <c r="AM186" s="34" t="n"/>
      <c r="AN186" s="35">
        <f>IF(AF186="","",IF(AI186="Yes","❌ Disc",IF(AH186="No","⚠ Missing",IF(AK186="Yes","✓ OK","⚠ Check"))))</f>
        <v/>
      </c>
      <c r="AO186" s="36" t="n"/>
      <c r="AP186" s="36" t="n"/>
      <c r="AQ186" s="36" t="n"/>
      <c r="AR186" s="36" t="n"/>
      <c r="AS186" s="36" t="n"/>
      <c r="AT186" s="36" t="n"/>
      <c r="AU186" s="27" t="n"/>
      <c r="AV186" s="37" t="n"/>
      <c r="AW186" s="38">
        <f>IF(AO186="","",IF(AR186="Yes","❌ Disc",IF(AQ186="No","⚠ Missing",IF(AT186="Yes","✓ OK","⚠ Check"))))</f>
        <v/>
      </c>
    </row>
    <row r="187" ht="18" customHeight="1" s="46">
      <c r="A187" s="23" t="n">
        <v>191</v>
      </c>
      <c r="B187" s="24" t="inlineStr">
        <is>
          <t>BD-LAM-2024-0076</t>
        </is>
      </c>
      <c r="C187" s="25" t="inlineStr">
        <is>
          <t>Lam SL RM 1mm 7422 Red Oak(Platinum)</t>
        </is>
      </c>
      <c r="D187" s="23" t="inlineStr">
        <is>
          <t>Stylam</t>
        </is>
      </c>
      <c r="E187" s="43" t="n">
        <v>46125</v>
      </c>
      <c r="F187" s="26" t="inlineStr">
        <is>
          <t>Sunil CR</t>
        </is>
      </c>
      <c r="G187" s="26" t="inlineStr">
        <is>
          <t>Yes</t>
        </is>
      </c>
      <c r="H187" s="26" t="inlineStr">
        <is>
          <t>No</t>
        </is>
      </c>
      <c r="I187" s="26" t="inlineStr">
        <is>
          <t>Minor defect</t>
        </is>
      </c>
      <c r="J187" s="26" t="inlineStr">
        <is>
          <t>No</t>
        </is>
      </c>
      <c r="K187" s="27" t="inlineStr">
        <is>
          <t>Categorization sticker is missing</t>
        </is>
      </c>
      <c r="L187" s="28" t="inlineStr">
        <is>
          <t>Yes</t>
        </is>
      </c>
      <c r="M187" s="29">
        <f>IF(E187="","",IF(H187="Yes","❌ Disc",IF(G187="No","⚠ Missing",IF(J187="Yes","✓ OK","⚠ Check"))))</f>
        <v/>
      </c>
      <c r="N187" s="43" t="n">
        <v>46193</v>
      </c>
      <c r="O187" s="26" t="inlineStr">
        <is>
          <t>Sunil CR</t>
        </is>
      </c>
      <c r="P187" s="26" t="inlineStr">
        <is>
          <t>Yes</t>
        </is>
      </c>
      <c r="Q187" s="26" t="inlineStr">
        <is>
          <t>No</t>
        </is>
      </c>
      <c r="R187" s="26" t="inlineStr">
        <is>
          <t>Minor defect</t>
        </is>
      </c>
      <c r="S187" s="26" t="inlineStr">
        <is>
          <t>No</t>
        </is>
      </c>
      <c r="T187" s="27" t="inlineStr">
        <is>
          <t>Categorization sticker is missing</t>
        </is>
      </c>
      <c r="U187" s="28" t="inlineStr">
        <is>
          <t>Yes</t>
        </is>
      </c>
      <c r="V187" s="29">
        <f>IF(N187="","",IF(Q187="Yes","❌ Disc",IF(P187="No","⚠ Missing",IF(S187="Yes","✓ OK","⚠ Check"))))</f>
        <v/>
      </c>
      <c r="W187" s="65" t="n">
        <v>46248</v>
      </c>
      <c r="X187" s="30" t="inlineStr">
        <is>
          <t>Sunil CR</t>
        </is>
      </c>
      <c r="Y187" s="30" t="inlineStr">
        <is>
          <t>Yes</t>
        </is>
      </c>
      <c r="Z187" s="30" t="n"/>
      <c r="AA187" s="30" t="inlineStr">
        <is>
          <t>Minor defect</t>
        </is>
      </c>
      <c r="AB187" s="30" t="inlineStr">
        <is>
          <t>No</t>
        </is>
      </c>
      <c r="AC187" s="27" t="inlineStr">
        <is>
          <t>Categorization sticker is missing</t>
        </is>
      </c>
      <c r="AD187" s="31" t="inlineStr">
        <is>
          <t>Yes</t>
        </is>
      </c>
      <c r="AE187" s="32">
        <f>IF(W187="","",IF(Z187="Yes","❌ Disc",IF(Y187="No","⚠ Missing",IF(AB187="Yes","✓ OK","⚠ Check"))))</f>
        <v/>
      </c>
      <c r="AF187" s="33" t="n"/>
      <c r="AG187" s="33" t="n"/>
      <c r="AH187" s="33" t="n"/>
      <c r="AI187" s="33" t="n"/>
      <c r="AJ187" s="33" t="n"/>
      <c r="AK187" s="33" t="n"/>
      <c r="AL187" s="27" t="n"/>
      <c r="AM187" s="34" t="n"/>
      <c r="AN187" s="35">
        <f>IF(AF187="","",IF(AI187="Yes","❌ Disc",IF(AH187="No","⚠ Missing",IF(AK187="Yes","✓ OK","⚠ Check"))))</f>
        <v/>
      </c>
      <c r="AO187" s="36" t="n"/>
      <c r="AP187" s="36" t="n"/>
      <c r="AQ187" s="36" t="n"/>
      <c r="AR187" s="36" t="n"/>
      <c r="AS187" s="36" t="n"/>
      <c r="AT187" s="36" t="n"/>
      <c r="AU187" s="27" t="n"/>
      <c r="AV187" s="37" t="n"/>
      <c r="AW187" s="38">
        <f>IF(AO187="","",IF(AR187="Yes","❌ Disc",IF(AQ187="No","⚠ Missing",IF(AT187="Yes","✓ OK","⚠ Check"))))</f>
        <v/>
      </c>
    </row>
    <row r="188" ht="18" customHeight="1" s="46">
      <c r="A188" s="39" t="n">
        <v>192</v>
      </c>
      <c r="B188" s="40" t="inlineStr">
        <is>
          <t>BD-LAM-2023-0300</t>
        </is>
      </c>
      <c r="C188" s="41" t="inlineStr">
        <is>
          <t>Lam SL RM 1mm 7705 Walnut Bronze(Gold)</t>
        </is>
      </c>
      <c r="D188" s="39" t="inlineStr">
        <is>
          <t>Stylam</t>
        </is>
      </c>
      <c r="E188" s="43" t="n">
        <v>46125</v>
      </c>
      <c r="F188" s="26" t="inlineStr">
        <is>
          <t>Sunil CR</t>
        </is>
      </c>
      <c r="G188" s="26" t="inlineStr">
        <is>
          <t>Yes</t>
        </is>
      </c>
      <c r="H188" s="26" t="inlineStr">
        <is>
          <t>No</t>
        </is>
      </c>
      <c r="I188" s="26" t="inlineStr">
        <is>
          <t>Good finish</t>
        </is>
      </c>
      <c r="J188" s="26" t="inlineStr">
        <is>
          <t>Yes</t>
        </is>
      </c>
      <c r="K188" s="27" t="inlineStr">
        <is>
          <t>Available in small book</t>
        </is>
      </c>
      <c r="L188" s="28" t="inlineStr">
        <is>
          <t>No</t>
        </is>
      </c>
      <c r="M188" s="29">
        <f>IF(E188="","",IF(H188="Yes","❌ Disc",IF(G188="No","⚠ Missing",IF(J188="Yes","✓ OK","⚠ Check"))))</f>
        <v/>
      </c>
      <c r="N188" s="43" t="n">
        <v>46193</v>
      </c>
      <c r="O188" s="26" t="inlineStr">
        <is>
          <t>Sunil CR</t>
        </is>
      </c>
      <c r="P188" s="26" t="inlineStr">
        <is>
          <t>Yes</t>
        </is>
      </c>
      <c r="Q188" s="26" t="inlineStr">
        <is>
          <t>No</t>
        </is>
      </c>
      <c r="R188" s="26" t="inlineStr">
        <is>
          <t>Good finish</t>
        </is>
      </c>
      <c r="S188" s="26" t="inlineStr">
        <is>
          <t>Yes</t>
        </is>
      </c>
      <c r="T188" s="27" t="inlineStr">
        <is>
          <t>Available in small book</t>
        </is>
      </c>
      <c r="U188" s="28" t="inlineStr">
        <is>
          <t>No</t>
        </is>
      </c>
      <c r="V188" s="29">
        <f>IF(N188="","",IF(Q188="Yes","❌ Disc",IF(P188="No","⚠ Missing",IF(S188="Yes","✓ OK","⚠ Check"))))</f>
        <v/>
      </c>
      <c r="W188" s="65" t="n">
        <v>46248</v>
      </c>
      <c r="X188" s="30" t="inlineStr">
        <is>
          <t>Sunil CR</t>
        </is>
      </c>
      <c r="Y188" s="30" t="inlineStr">
        <is>
          <t>Yes</t>
        </is>
      </c>
      <c r="Z188" s="30" t="n"/>
      <c r="AA188" s="30" t="inlineStr">
        <is>
          <t>Good finish</t>
        </is>
      </c>
      <c r="AB188" s="30" t="inlineStr">
        <is>
          <t>Yes</t>
        </is>
      </c>
      <c r="AC188" s="27" t="inlineStr">
        <is>
          <t>Available in small book</t>
        </is>
      </c>
      <c r="AD188" s="31" t="inlineStr">
        <is>
          <t>No</t>
        </is>
      </c>
      <c r="AE188" s="32">
        <f>IF(W188="","",IF(Z188="Yes","❌ Disc",IF(Y188="No","⚠ Missing",IF(AB188="Yes","✓ OK","⚠ Check"))))</f>
        <v/>
      </c>
      <c r="AF188" s="33" t="n"/>
      <c r="AG188" s="33" t="n"/>
      <c r="AH188" s="33" t="n"/>
      <c r="AI188" s="33" t="n"/>
      <c r="AJ188" s="33" t="n"/>
      <c r="AK188" s="33" t="n"/>
      <c r="AL188" s="27" t="n"/>
      <c r="AM188" s="34" t="n"/>
      <c r="AN188" s="35">
        <f>IF(AF188="","",IF(AI188="Yes","❌ Disc",IF(AH188="No","⚠ Missing",IF(AK188="Yes","✓ OK","⚠ Check"))))</f>
        <v/>
      </c>
      <c r="AO188" s="36" t="n"/>
      <c r="AP188" s="36" t="n"/>
      <c r="AQ188" s="36" t="n"/>
      <c r="AR188" s="36" t="n"/>
      <c r="AS188" s="36" t="n"/>
      <c r="AT188" s="36" t="n"/>
      <c r="AU188" s="27" t="n"/>
      <c r="AV188" s="37" t="n"/>
      <c r="AW188" s="38">
        <f>IF(AO188="","",IF(AR188="Yes","❌ Disc",IF(AQ188="No","⚠ Missing",IF(AT188="Yes","✓ OK","⚠ Check"))))</f>
        <v/>
      </c>
    </row>
    <row r="189" ht="18" customHeight="1" s="46">
      <c r="A189" s="23" t="n">
        <v>193</v>
      </c>
      <c r="B189" s="24" t="inlineStr">
        <is>
          <t>BD-LAM-2023-0272</t>
        </is>
      </c>
      <c r="C189" s="25" t="inlineStr">
        <is>
          <t>Lam SL RW 1mm 2725 Slovenian Oak (Gold)</t>
        </is>
      </c>
      <c r="D189" s="23" t="inlineStr">
        <is>
          <t>Stylam</t>
        </is>
      </c>
      <c r="E189" s="43" t="n">
        <v>46125</v>
      </c>
      <c r="F189" s="26" t="inlineStr">
        <is>
          <t>Sunil CR</t>
        </is>
      </c>
      <c r="G189" s="26" t="inlineStr">
        <is>
          <t>Yes</t>
        </is>
      </c>
      <c r="H189" s="26" t="inlineStr">
        <is>
          <t>No</t>
        </is>
      </c>
      <c r="I189" s="26" t="inlineStr">
        <is>
          <t>Good finish</t>
        </is>
      </c>
      <c r="J189" s="26" t="inlineStr">
        <is>
          <t>Yes</t>
        </is>
      </c>
      <c r="K189" s="27" t="inlineStr">
        <is>
          <t>Available in small book</t>
        </is>
      </c>
      <c r="L189" s="28" t="inlineStr">
        <is>
          <t>No</t>
        </is>
      </c>
      <c r="M189" s="29">
        <f>IF(E189="","",IF(H189="Yes","❌ Disc",IF(G189="No","⚠ Missing",IF(J189="Yes","✓ OK","⚠ Check"))))</f>
        <v/>
      </c>
      <c r="N189" s="43" t="n">
        <v>46193</v>
      </c>
      <c r="O189" s="26" t="inlineStr">
        <is>
          <t>Sunil CR</t>
        </is>
      </c>
      <c r="P189" s="26" t="inlineStr">
        <is>
          <t>Yes</t>
        </is>
      </c>
      <c r="Q189" s="26" t="inlineStr">
        <is>
          <t>No</t>
        </is>
      </c>
      <c r="R189" s="26" t="inlineStr">
        <is>
          <t>Good finish</t>
        </is>
      </c>
      <c r="S189" s="26" t="inlineStr">
        <is>
          <t>Yes</t>
        </is>
      </c>
      <c r="T189" s="27" t="inlineStr">
        <is>
          <t>Available in small book</t>
        </is>
      </c>
      <c r="U189" s="28" t="inlineStr">
        <is>
          <t>No</t>
        </is>
      </c>
      <c r="V189" s="29">
        <f>IF(N189="","",IF(Q189="Yes","❌ Disc",IF(P189="No","⚠ Missing",IF(S189="Yes","✓ OK","⚠ Check"))))</f>
        <v/>
      </c>
      <c r="W189" s="65" t="n">
        <v>46248</v>
      </c>
      <c r="X189" s="30" t="inlineStr">
        <is>
          <t>Sunil CR</t>
        </is>
      </c>
      <c r="Y189" s="30" t="inlineStr">
        <is>
          <t>Yes</t>
        </is>
      </c>
      <c r="Z189" s="30" t="n"/>
      <c r="AA189" s="30" t="inlineStr">
        <is>
          <t>Good finish</t>
        </is>
      </c>
      <c r="AB189" s="30" t="inlineStr">
        <is>
          <t>Yes</t>
        </is>
      </c>
      <c r="AC189" s="27" t="inlineStr">
        <is>
          <t>Available in small book</t>
        </is>
      </c>
      <c r="AD189" s="31" t="inlineStr">
        <is>
          <t>No</t>
        </is>
      </c>
      <c r="AE189" s="32">
        <f>IF(W189="","",IF(Z189="Yes","❌ Disc",IF(Y189="No","⚠ Missing",IF(AB189="Yes","✓ OK","⚠ Check"))))</f>
        <v/>
      </c>
      <c r="AF189" s="33" t="n"/>
      <c r="AG189" s="33" t="n"/>
      <c r="AH189" s="33" t="n"/>
      <c r="AI189" s="33" t="n"/>
      <c r="AJ189" s="33" t="n"/>
      <c r="AK189" s="33" t="n"/>
      <c r="AL189" s="27" t="n"/>
      <c r="AM189" s="34" t="n"/>
      <c r="AN189" s="35">
        <f>IF(AF189="","",IF(AI189="Yes","❌ Disc",IF(AH189="No","⚠ Missing",IF(AK189="Yes","✓ OK","⚠ Check"))))</f>
        <v/>
      </c>
      <c r="AO189" s="36" t="n"/>
      <c r="AP189" s="36" t="n"/>
      <c r="AQ189" s="36" t="n"/>
      <c r="AR189" s="36" t="n"/>
      <c r="AS189" s="36" t="n"/>
      <c r="AT189" s="36" t="n"/>
      <c r="AU189" s="27" t="n"/>
      <c r="AV189" s="37" t="n"/>
      <c r="AW189" s="38">
        <f>IF(AO189="","",IF(AR189="Yes","❌ Disc",IF(AQ189="No","⚠ Missing",IF(AT189="Yes","✓ OK","⚠ Check"))))</f>
        <v/>
      </c>
    </row>
    <row r="190" ht="18" customHeight="1" s="46">
      <c r="A190" s="39" t="n">
        <v>194</v>
      </c>
      <c r="B190" s="40" t="inlineStr">
        <is>
          <t>BD-LAM-2023-0151</t>
        </is>
      </c>
      <c r="C190" s="41" t="inlineStr">
        <is>
          <t>Lam SL SD 1mm 1003 Egg White(Gold) [BBP]</t>
        </is>
      </c>
      <c r="D190" s="39" t="inlineStr">
        <is>
          <t>Stylam</t>
        </is>
      </c>
      <c r="E190" s="43" t="n">
        <v>46125</v>
      </c>
      <c r="F190" s="26" t="inlineStr">
        <is>
          <t>Sunil CR</t>
        </is>
      </c>
      <c r="G190" s="26" t="inlineStr">
        <is>
          <t>Yes</t>
        </is>
      </c>
      <c r="H190" s="26" t="inlineStr">
        <is>
          <t>No</t>
        </is>
      </c>
      <c r="I190" s="26" t="inlineStr">
        <is>
          <t>Good finish</t>
        </is>
      </c>
      <c r="J190" s="26" t="inlineStr">
        <is>
          <t>Yes</t>
        </is>
      </c>
      <c r="K190" s="27" t="n"/>
      <c r="L190" s="28" t="inlineStr">
        <is>
          <t>No</t>
        </is>
      </c>
      <c r="M190" s="29">
        <f>IF(E190="","",IF(H190="Yes","❌ Disc",IF(G190="No","⚠ Missing",IF(J190="Yes","✓ OK","⚠ Check"))))</f>
        <v/>
      </c>
      <c r="N190" s="43" t="n">
        <v>46193</v>
      </c>
      <c r="O190" s="26" t="inlineStr">
        <is>
          <t>Sunil CR</t>
        </is>
      </c>
      <c r="P190" s="26" t="inlineStr">
        <is>
          <t>Yes</t>
        </is>
      </c>
      <c r="Q190" s="26" t="inlineStr">
        <is>
          <t>No</t>
        </is>
      </c>
      <c r="R190" s="26" t="inlineStr">
        <is>
          <t>Good finish</t>
        </is>
      </c>
      <c r="S190" s="26" t="inlineStr">
        <is>
          <t>Yes</t>
        </is>
      </c>
      <c r="T190" s="27" t="n"/>
      <c r="U190" s="28" t="inlineStr">
        <is>
          <t>No</t>
        </is>
      </c>
      <c r="V190" s="29">
        <f>IF(N190="","",IF(Q190="Yes","❌ Disc",IF(P190="No","⚠ Missing",IF(S190="Yes","✓ OK","⚠ Check"))))</f>
        <v/>
      </c>
      <c r="W190" s="65" t="n">
        <v>46248</v>
      </c>
      <c r="X190" s="30" t="inlineStr">
        <is>
          <t>Sunil CR</t>
        </is>
      </c>
      <c r="Y190" s="30" t="inlineStr">
        <is>
          <t>Yes</t>
        </is>
      </c>
      <c r="Z190" s="30" t="n"/>
      <c r="AA190" s="30" t="inlineStr">
        <is>
          <t>Good finish</t>
        </is>
      </c>
      <c r="AB190" s="30" t="inlineStr">
        <is>
          <t>Yes</t>
        </is>
      </c>
      <c r="AC190" s="27" t="n"/>
      <c r="AD190" s="31" t="inlineStr">
        <is>
          <t>No</t>
        </is>
      </c>
      <c r="AE190" s="32">
        <f>IF(W190="","",IF(Z190="Yes","❌ Disc",IF(Y190="No","⚠ Missing",IF(AB190="Yes","✓ OK","⚠ Check"))))</f>
        <v/>
      </c>
      <c r="AF190" s="33" t="n"/>
      <c r="AG190" s="33" t="n"/>
      <c r="AH190" s="33" t="n"/>
      <c r="AI190" s="33" t="n"/>
      <c r="AJ190" s="33" t="n"/>
      <c r="AK190" s="33" t="n"/>
      <c r="AL190" s="27" t="n"/>
      <c r="AM190" s="34" t="n"/>
      <c r="AN190" s="35">
        <f>IF(AF190="","",IF(AI190="Yes","❌ Disc",IF(AH190="No","⚠ Missing",IF(AK190="Yes","✓ OK","⚠ Check"))))</f>
        <v/>
      </c>
      <c r="AO190" s="36" t="n"/>
      <c r="AP190" s="36" t="n"/>
      <c r="AQ190" s="36" t="n"/>
      <c r="AR190" s="36" t="n"/>
      <c r="AS190" s="36" t="n"/>
      <c r="AT190" s="36" t="n"/>
      <c r="AU190" s="27" t="n"/>
      <c r="AV190" s="37" t="n"/>
      <c r="AW190" s="38">
        <f>IF(AO190="","",IF(AR190="Yes","❌ Disc",IF(AQ190="No","⚠ Missing",IF(AT190="Yes","✓ OK","⚠ Check"))))</f>
        <v/>
      </c>
    </row>
    <row r="191" ht="18" customHeight="1" s="46">
      <c r="A191" s="23" t="n">
        <v>195</v>
      </c>
      <c r="B191" s="24" t="inlineStr">
        <is>
          <t>BD-LAM-2023-0142</t>
        </is>
      </c>
      <c r="C191" s="25" t="inlineStr">
        <is>
          <t>Lam SL SD 1mm 1005 Creamy White(Gold) [BBP]</t>
        </is>
      </c>
      <c r="D191" s="23" t="inlineStr">
        <is>
          <t>Stylam</t>
        </is>
      </c>
      <c r="E191" s="43" t="n">
        <v>46125</v>
      </c>
      <c r="F191" s="26" t="inlineStr">
        <is>
          <t>Sunil CR</t>
        </is>
      </c>
      <c r="G191" s="26" t="inlineStr">
        <is>
          <t>Yes</t>
        </is>
      </c>
      <c r="H191" s="26" t="inlineStr">
        <is>
          <t>No</t>
        </is>
      </c>
      <c r="I191" s="26" t="inlineStr">
        <is>
          <t>Minor defect</t>
        </is>
      </c>
      <c r="J191" s="26" t="inlineStr">
        <is>
          <t>No</t>
        </is>
      </c>
      <c r="K191" s="27" t="inlineStr">
        <is>
          <t>Name Sticker to be Changed</t>
        </is>
      </c>
      <c r="L191" s="28" t="inlineStr">
        <is>
          <t>Yes</t>
        </is>
      </c>
      <c r="M191" s="29">
        <f>IF(E191="","",IF(H191="Yes","❌ Disc",IF(G191="No","⚠ Missing",IF(J191="Yes","✓ OK","⚠ Check"))))</f>
        <v/>
      </c>
      <c r="N191" s="43" t="n">
        <v>46193</v>
      </c>
      <c r="O191" s="26" t="inlineStr">
        <is>
          <t>Sunil CR</t>
        </is>
      </c>
      <c r="P191" s="26" t="inlineStr">
        <is>
          <t>Yes</t>
        </is>
      </c>
      <c r="Q191" s="26" t="inlineStr">
        <is>
          <t>No</t>
        </is>
      </c>
      <c r="R191" s="26" t="inlineStr">
        <is>
          <t>Minor defect</t>
        </is>
      </c>
      <c r="S191" s="26" t="inlineStr">
        <is>
          <t>No</t>
        </is>
      </c>
      <c r="T191" s="27" t="inlineStr">
        <is>
          <t>Name Sticker to be Changed</t>
        </is>
      </c>
      <c r="U191" s="28" t="inlineStr">
        <is>
          <t>Yes</t>
        </is>
      </c>
      <c r="V191" s="29">
        <f>IF(N191="","",IF(Q191="Yes","❌ Disc",IF(P191="No","⚠ Missing",IF(S191="Yes","✓ OK","⚠ Check"))))</f>
        <v/>
      </c>
      <c r="W191" s="65" t="n">
        <v>46248</v>
      </c>
      <c r="X191" s="30" t="inlineStr">
        <is>
          <t>Sunil CR</t>
        </is>
      </c>
      <c r="Y191" s="30" t="inlineStr">
        <is>
          <t>Yes</t>
        </is>
      </c>
      <c r="Z191" s="30" t="n"/>
      <c r="AA191" s="30" t="inlineStr">
        <is>
          <t>Minor defect</t>
        </is>
      </c>
      <c r="AB191" s="30" t="inlineStr">
        <is>
          <t>No</t>
        </is>
      </c>
      <c r="AC191" s="27" t="inlineStr">
        <is>
          <t>Name Sticker to be Changed</t>
        </is>
      </c>
      <c r="AD191" s="31" t="inlineStr">
        <is>
          <t>Yes</t>
        </is>
      </c>
      <c r="AE191" s="32">
        <f>IF(W191="","",IF(Z191="Yes","❌ Disc",IF(Y191="No","⚠ Missing",IF(AB191="Yes","✓ OK","⚠ Check"))))</f>
        <v/>
      </c>
      <c r="AF191" s="33" t="n"/>
      <c r="AG191" s="33" t="n"/>
      <c r="AH191" s="33" t="n"/>
      <c r="AI191" s="33" t="n"/>
      <c r="AJ191" s="33" t="n"/>
      <c r="AK191" s="33" t="n"/>
      <c r="AL191" s="27" t="n"/>
      <c r="AM191" s="34" t="n"/>
      <c r="AN191" s="35">
        <f>IF(AF191="","",IF(AI191="Yes","❌ Disc",IF(AH191="No","⚠ Missing",IF(AK191="Yes","✓ OK","⚠ Check"))))</f>
        <v/>
      </c>
      <c r="AO191" s="36" t="n"/>
      <c r="AP191" s="36" t="n"/>
      <c r="AQ191" s="36" t="n"/>
      <c r="AR191" s="36" t="n"/>
      <c r="AS191" s="36" t="n"/>
      <c r="AT191" s="36" t="n"/>
      <c r="AU191" s="27" t="n"/>
      <c r="AV191" s="37" t="n"/>
      <c r="AW191" s="38">
        <f>IF(AO191="","",IF(AR191="Yes","❌ Disc",IF(AQ191="No","⚠ Missing",IF(AT191="Yes","✓ OK","⚠ Check"))))</f>
        <v/>
      </c>
    </row>
    <row r="192" ht="18" customHeight="1" s="46">
      <c r="A192" s="39" t="n">
        <v>196</v>
      </c>
      <c r="B192" s="40" t="inlineStr">
        <is>
          <t>BD-LAM-2023-0150</t>
        </is>
      </c>
      <c r="C192" s="41" t="inlineStr">
        <is>
          <t>Lam SL SD 1mm 1011 Dove Grey(Gold) [BBP]</t>
        </is>
      </c>
      <c r="D192" s="39" t="inlineStr">
        <is>
          <t>Stylam</t>
        </is>
      </c>
      <c r="E192" s="43" t="n">
        <v>46125</v>
      </c>
      <c r="F192" s="26" t="inlineStr">
        <is>
          <t>Sunil CR</t>
        </is>
      </c>
      <c r="G192" s="26" t="inlineStr">
        <is>
          <t>Yes</t>
        </is>
      </c>
      <c r="H192" s="26" t="inlineStr">
        <is>
          <t>No</t>
        </is>
      </c>
      <c r="I192" s="26" t="inlineStr">
        <is>
          <t>Good finish</t>
        </is>
      </c>
      <c r="J192" s="26" t="inlineStr">
        <is>
          <t>Yes</t>
        </is>
      </c>
      <c r="K192" s="27" t="n"/>
      <c r="L192" s="28" t="inlineStr">
        <is>
          <t>No</t>
        </is>
      </c>
      <c r="M192" s="29">
        <f>IF(E192="","",IF(H192="Yes","❌ Disc",IF(G192="No","⚠ Missing",IF(J192="Yes","✓ OK","⚠ Check"))))</f>
        <v/>
      </c>
      <c r="N192" s="43" t="n">
        <v>46193</v>
      </c>
      <c r="O192" s="26" t="inlineStr">
        <is>
          <t>Sunil CR</t>
        </is>
      </c>
      <c r="P192" s="26" t="inlineStr">
        <is>
          <t>Yes</t>
        </is>
      </c>
      <c r="Q192" s="26" t="inlineStr">
        <is>
          <t>No</t>
        </is>
      </c>
      <c r="R192" s="26" t="inlineStr">
        <is>
          <t>Good finish</t>
        </is>
      </c>
      <c r="S192" s="26" t="inlineStr">
        <is>
          <t>Yes</t>
        </is>
      </c>
      <c r="T192" s="27" t="n"/>
      <c r="U192" s="28" t="inlineStr">
        <is>
          <t>No</t>
        </is>
      </c>
      <c r="V192" s="29">
        <f>IF(N192="","",IF(Q192="Yes","❌ Disc",IF(P192="No","⚠ Missing",IF(S192="Yes","✓ OK","⚠ Check"))))</f>
        <v/>
      </c>
      <c r="W192" s="65" t="n">
        <v>46248</v>
      </c>
      <c r="X192" s="30" t="inlineStr">
        <is>
          <t>Sunil CR</t>
        </is>
      </c>
      <c r="Y192" s="30" t="inlineStr">
        <is>
          <t>Yes</t>
        </is>
      </c>
      <c r="Z192" s="30" t="n"/>
      <c r="AA192" s="30" t="inlineStr">
        <is>
          <t>Good finish</t>
        </is>
      </c>
      <c r="AB192" s="30" t="inlineStr">
        <is>
          <t>Yes</t>
        </is>
      </c>
      <c r="AC192" s="27" t="n"/>
      <c r="AD192" s="31" t="inlineStr">
        <is>
          <t>No</t>
        </is>
      </c>
      <c r="AE192" s="32">
        <f>IF(W192="","",IF(Z192="Yes","❌ Disc",IF(Y192="No","⚠ Missing",IF(AB192="Yes","✓ OK","⚠ Check"))))</f>
        <v/>
      </c>
      <c r="AF192" s="33" t="n"/>
      <c r="AG192" s="33" t="n"/>
      <c r="AH192" s="33" t="n"/>
      <c r="AI192" s="33" t="n"/>
      <c r="AJ192" s="33" t="n"/>
      <c r="AK192" s="33" t="n"/>
      <c r="AL192" s="27" t="n"/>
      <c r="AM192" s="34" t="n"/>
      <c r="AN192" s="35">
        <f>IF(AF192="","",IF(AI192="Yes","❌ Disc",IF(AH192="No","⚠ Missing",IF(AK192="Yes","✓ OK","⚠ Check"))))</f>
        <v/>
      </c>
      <c r="AO192" s="36" t="n"/>
      <c r="AP192" s="36" t="n"/>
      <c r="AQ192" s="36" t="n"/>
      <c r="AR192" s="36" t="n"/>
      <c r="AS192" s="36" t="n"/>
      <c r="AT192" s="36" t="n"/>
      <c r="AU192" s="27" t="n"/>
      <c r="AV192" s="37" t="n"/>
      <c r="AW192" s="38">
        <f>IF(AO192="","",IF(AR192="Yes","❌ Disc",IF(AQ192="No","⚠ Missing",IF(AT192="Yes","✓ OK","⚠ Check"))))</f>
        <v/>
      </c>
    </row>
    <row r="193" ht="18" customHeight="1" s="46">
      <c r="A193" s="23" t="n">
        <v>197</v>
      </c>
      <c r="B193" s="24" t="inlineStr">
        <is>
          <t>BD-LAM-2023-0193</t>
        </is>
      </c>
      <c r="C193" s="25" t="inlineStr">
        <is>
          <t>Lam SL SD 1mm 1024 Khaki Brown(Gold) [BBP]</t>
        </is>
      </c>
      <c r="D193" s="23" t="inlineStr">
        <is>
          <t>Stylam</t>
        </is>
      </c>
      <c r="E193" s="43" t="n">
        <v>46125</v>
      </c>
      <c r="F193" s="26" t="inlineStr">
        <is>
          <t>Sunil CR</t>
        </is>
      </c>
      <c r="G193" s="26" t="inlineStr">
        <is>
          <t>Yes</t>
        </is>
      </c>
      <c r="H193" s="26" t="inlineStr">
        <is>
          <t>No</t>
        </is>
      </c>
      <c r="I193" s="26" t="inlineStr">
        <is>
          <t>Good finish</t>
        </is>
      </c>
      <c r="J193" s="26" t="inlineStr">
        <is>
          <t>Yes</t>
        </is>
      </c>
      <c r="K193" s="27" t="n"/>
      <c r="L193" s="28" t="inlineStr">
        <is>
          <t>No</t>
        </is>
      </c>
      <c r="M193" s="29">
        <f>IF(E193="","",IF(H193="Yes","❌ Disc",IF(G193="No","⚠ Missing",IF(J193="Yes","✓ OK","⚠ Check"))))</f>
        <v/>
      </c>
      <c r="N193" s="43" t="n">
        <v>46193</v>
      </c>
      <c r="O193" s="26" t="inlineStr">
        <is>
          <t>Sunil CR</t>
        </is>
      </c>
      <c r="P193" s="26" t="inlineStr">
        <is>
          <t>Yes</t>
        </is>
      </c>
      <c r="Q193" s="26" t="inlineStr">
        <is>
          <t>No</t>
        </is>
      </c>
      <c r="R193" s="26" t="inlineStr">
        <is>
          <t>Good finish</t>
        </is>
      </c>
      <c r="S193" s="26" t="inlineStr">
        <is>
          <t>Yes</t>
        </is>
      </c>
      <c r="T193" s="27" t="n"/>
      <c r="U193" s="28" t="inlineStr">
        <is>
          <t>No</t>
        </is>
      </c>
      <c r="V193" s="29">
        <f>IF(N193="","",IF(Q193="Yes","❌ Disc",IF(P193="No","⚠ Missing",IF(S193="Yes","✓ OK","⚠ Check"))))</f>
        <v/>
      </c>
      <c r="W193" s="65" t="n">
        <v>46248</v>
      </c>
      <c r="X193" s="30" t="inlineStr">
        <is>
          <t>Sunil CR</t>
        </is>
      </c>
      <c r="Y193" s="30" t="inlineStr">
        <is>
          <t>Yes</t>
        </is>
      </c>
      <c r="Z193" s="30" t="n"/>
      <c r="AA193" s="30" t="inlineStr">
        <is>
          <t>Good finish</t>
        </is>
      </c>
      <c r="AB193" s="30" t="inlineStr">
        <is>
          <t>Yes</t>
        </is>
      </c>
      <c r="AC193" s="27" t="n"/>
      <c r="AD193" s="31" t="inlineStr">
        <is>
          <t>No</t>
        </is>
      </c>
      <c r="AE193" s="32">
        <f>IF(W193="","",IF(Z193="Yes","❌ Disc",IF(Y193="No","⚠ Missing",IF(AB193="Yes","✓ OK","⚠ Check"))))</f>
        <v/>
      </c>
      <c r="AF193" s="33" t="n"/>
      <c r="AG193" s="33" t="n"/>
      <c r="AH193" s="33" t="n"/>
      <c r="AI193" s="33" t="n"/>
      <c r="AJ193" s="33" t="n"/>
      <c r="AK193" s="33" t="n"/>
      <c r="AL193" s="27" t="n"/>
      <c r="AM193" s="34" t="n"/>
      <c r="AN193" s="35">
        <f>IF(AF193="","",IF(AI193="Yes","❌ Disc",IF(AH193="No","⚠ Missing",IF(AK193="Yes","✓ OK","⚠ Check"))))</f>
        <v/>
      </c>
      <c r="AO193" s="36" t="n"/>
      <c r="AP193" s="36" t="n"/>
      <c r="AQ193" s="36" t="n"/>
      <c r="AR193" s="36" t="n"/>
      <c r="AS193" s="36" t="n"/>
      <c r="AT193" s="36" t="n"/>
      <c r="AU193" s="27" t="n"/>
      <c r="AV193" s="37" t="n"/>
      <c r="AW193" s="38">
        <f>IF(AO193="","",IF(AR193="Yes","❌ Disc",IF(AQ193="No","⚠ Missing",IF(AT193="Yes","✓ OK","⚠ Check"))))</f>
        <v/>
      </c>
    </row>
    <row r="194" ht="18" customHeight="1" s="46">
      <c r="A194" s="39" t="n">
        <v>198</v>
      </c>
      <c r="B194" s="40" t="inlineStr">
        <is>
          <t>BD-LAM-2023-0152</t>
        </is>
      </c>
      <c r="C194" s="41" t="inlineStr">
        <is>
          <t>Lam SL SD 1mm 1025 Electric Green(Gold) [BBP]</t>
        </is>
      </c>
      <c r="D194" s="39" t="inlineStr">
        <is>
          <t>Stylam</t>
        </is>
      </c>
      <c r="E194" s="43" t="n">
        <v>46125</v>
      </c>
      <c r="F194" s="26" t="inlineStr">
        <is>
          <t>Sunil CR</t>
        </is>
      </c>
      <c r="G194" s="26" t="inlineStr">
        <is>
          <t>Yes</t>
        </is>
      </c>
      <c r="H194" s="26" t="inlineStr">
        <is>
          <t>No</t>
        </is>
      </c>
      <c r="I194" s="26" t="inlineStr">
        <is>
          <t>Good finish</t>
        </is>
      </c>
      <c r="J194" s="26" t="inlineStr">
        <is>
          <t>Yes</t>
        </is>
      </c>
      <c r="K194" s="27" t="n"/>
      <c r="L194" s="28" t="inlineStr">
        <is>
          <t>No</t>
        </is>
      </c>
      <c r="M194" s="29">
        <f>IF(E194="","",IF(H194="Yes","❌ Disc",IF(G194="No","⚠ Missing",IF(J194="Yes","✓ OK","⚠ Check"))))</f>
        <v/>
      </c>
      <c r="N194" s="43" t="n">
        <v>46193</v>
      </c>
      <c r="O194" s="26" t="inlineStr">
        <is>
          <t>Sunil CR</t>
        </is>
      </c>
      <c r="P194" s="26" t="inlineStr">
        <is>
          <t>Yes</t>
        </is>
      </c>
      <c r="Q194" s="26" t="inlineStr">
        <is>
          <t>No</t>
        </is>
      </c>
      <c r="R194" s="26" t="inlineStr">
        <is>
          <t>Good finish</t>
        </is>
      </c>
      <c r="S194" s="26" t="inlineStr">
        <is>
          <t>Yes</t>
        </is>
      </c>
      <c r="T194" s="27" t="n"/>
      <c r="U194" s="28" t="inlineStr">
        <is>
          <t>No</t>
        </is>
      </c>
      <c r="V194" s="29">
        <f>IF(N194="","",IF(Q194="Yes","❌ Disc",IF(P194="No","⚠ Missing",IF(S194="Yes","✓ OK","⚠ Check"))))</f>
        <v/>
      </c>
      <c r="W194" s="65" t="n">
        <v>46248</v>
      </c>
      <c r="X194" s="30" t="inlineStr">
        <is>
          <t>Sunil CR</t>
        </is>
      </c>
      <c r="Y194" s="30" t="inlineStr">
        <is>
          <t>Yes</t>
        </is>
      </c>
      <c r="Z194" s="30" t="n"/>
      <c r="AA194" s="30" t="inlineStr">
        <is>
          <t>Good finish</t>
        </is>
      </c>
      <c r="AB194" s="30" t="inlineStr">
        <is>
          <t>Yes</t>
        </is>
      </c>
      <c r="AC194" s="27" t="n"/>
      <c r="AD194" s="31" t="inlineStr">
        <is>
          <t>No</t>
        </is>
      </c>
      <c r="AE194" s="32">
        <f>IF(W194="","",IF(Z194="Yes","❌ Disc",IF(Y194="No","⚠ Missing",IF(AB194="Yes","✓ OK","⚠ Check"))))</f>
        <v/>
      </c>
      <c r="AF194" s="33" t="n"/>
      <c r="AG194" s="33" t="n"/>
      <c r="AH194" s="33" t="n"/>
      <c r="AI194" s="33" t="n"/>
      <c r="AJ194" s="33" t="n"/>
      <c r="AK194" s="33" t="n"/>
      <c r="AL194" s="27" t="n"/>
      <c r="AM194" s="34" t="n"/>
      <c r="AN194" s="35">
        <f>IF(AF194="","",IF(AI194="Yes","❌ Disc",IF(AH194="No","⚠ Missing",IF(AK194="Yes","✓ OK","⚠ Check"))))</f>
        <v/>
      </c>
      <c r="AO194" s="36" t="n"/>
      <c r="AP194" s="36" t="n"/>
      <c r="AQ194" s="36" t="n"/>
      <c r="AR194" s="36" t="n"/>
      <c r="AS194" s="36" t="n"/>
      <c r="AT194" s="36" t="n"/>
      <c r="AU194" s="27" t="n"/>
      <c r="AV194" s="37" t="n"/>
      <c r="AW194" s="38">
        <f>IF(AO194="","",IF(AR194="Yes","❌ Disc",IF(AQ194="No","⚠ Missing",IF(AT194="Yes","✓ OK","⚠ Check"))))</f>
        <v/>
      </c>
    </row>
    <row r="195" ht="18" customHeight="1" s="46">
      <c r="A195" s="23" t="n">
        <v>199</v>
      </c>
      <c r="B195" s="24" t="inlineStr">
        <is>
          <t>BD-LAM-2023-0279</t>
        </is>
      </c>
      <c r="C195" s="25" t="inlineStr">
        <is>
          <t>Lam SL SD 1mm 1033 Tidal Sand(Gold)</t>
        </is>
      </c>
      <c r="D195" s="23" t="inlineStr">
        <is>
          <t>Stylam</t>
        </is>
      </c>
      <c r="E195" s="43" t="n">
        <v>46125</v>
      </c>
      <c r="F195" s="26" t="inlineStr">
        <is>
          <t>Sunil CR</t>
        </is>
      </c>
      <c r="G195" s="26" t="inlineStr">
        <is>
          <t>Yes</t>
        </is>
      </c>
      <c r="H195" s="26" t="inlineStr">
        <is>
          <t>No</t>
        </is>
      </c>
      <c r="I195" s="26" t="inlineStr">
        <is>
          <t>Minor defect</t>
        </is>
      </c>
      <c r="J195" s="26" t="inlineStr">
        <is>
          <t>No</t>
        </is>
      </c>
      <c r="K195" s="27" t="inlineStr">
        <is>
          <t>Name Sticker to be Changed</t>
        </is>
      </c>
      <c r="L195" s="28" t="inlineStr">
        <is>
          <t>Yes</t>
        </is>
      </c>
      <c r="M195" s="29">
        <f>IF(E195="","",IF(H195="Yes","❌ Disc",IF(G195="No","⚠ Missing",IF(J195="Yes","✓ OK","⚠ Check"))))</f>
        <v/>
      </c>
      <c r="N195" s="43" t="n">
        <v>46193</v>
      </c>
      <c r="O195" s="26" t="inlineStr">
        <is>
          <t>Sunil CR</t>
        </is>
      </c>
      <c r="P195" s="26" t="inlineStr">
        <is>
          <t>Yes</t>
        </is>
      </c>
      <c r="Q195" s="26" t="inlineStr">
        <is>
          <t>No</t>
        </is>
      </c>
      <c r="R195" s="26" t="inlineStr">
        <is>
          <t>Minor defect</t>
        </is>
      </c>
      <c r="S195" s="26" t="inlineStr">
        <is>
          <t>No</t>
        </is>
      </c>
      <c r="T195" s="27" t="inlineStr">
        <is>
          <t>Name Sticker to be Changed</t>
        </is>
      </c>
      <c r="U195" s="28" t="inlineStr">
        <is>
          <t>Yes</t>
        </is>
      </c>
      <c r="V195" s="29">
        <f>IF(N195="","",IF(Q195="Yes","❌ Disc",IF(P195="No","⚠ Missing",IF(S195="Yes","✓ OK","⚠ Check"))))</f>
        <v/>
      </c>
      <c r="W195" s="65" t="n">
        <v>46248</v>
      </c>
      <c r="X195" s="30" t="inlineStr">
        <is>
          <t>Sunil CR</t>
        </is>
      </c>
      <c r="Y195" s="30" t="inlineStr">
        <is>
          <t>Yes</t>
        </is>
      </c>
      <c r="Z195" s="30" t="n"/>
      <c r="AA195" s="30" t="inlineStr">
        <is>
          <t>Minor defect</t>
        </is>
      </c>
      <c r="AB195" s="30" t="inlineStr">
        <is>
          <t>No</t>
        </is>
      </c>
      <c r="AC195" s="27" t="inlineStr">
        <is>
          <t>Name Sticker to be Changed</t>
        </is>
      </c>
      <c r="AD195" s="31" t="inlineStr">
        <is>
          <t>Yes</t>
        </is>
      </c>
      <c r="AE195" s="32">
        <f>IF(W195="","",IF(Z195="Yes","❌ Disc",IF(Y195="No","⚠ Missing",IF(AB195="Yes","✓ OK","⚠ Check"))))</f>
        <v/>
      </c>
      <c r="AF195" s="33" t="n"/>
      <c r="AG195" s="33" t="n"/>
      <c r="AH195" s="33" t="n"/>
      <c r="AI195" s="33" t="n"/>
      <c r="AJ195" s="33" t="n"/>
      <c r="AK195" s="33" t="n"/>
      <c r="AL195" s="27" t="n"/>
      <c r="AM195" s="34" t="n"/>
      <c r="AN195" s="35">
        <f>IF(AF195="","",IF(AI195="Yes","❌ Disc",IF(AH195="No","⚠ Missing",IF(AK195="Yes","✓ OK","⚠ Check"))))</f>
        <v/>
      </c>
      <c r="AO195" s="36" t="n"/>
      <c r="AP195" s="36" t="n"/>
      <c r="AQ195" s="36" t="n"/>
      <c r="AR195" s="36" t="n"/>
      <c r="AS195" s="36" t="n"/>
      <c r="AT195" s="36" t="n"/>
      <c r="AU195" s="27" t="n"/>
      <c r="AV195" s="37" t="n"/>
      <c r="AW195" s="38">
        <f>IF(AO195="","",IF(AR195="Yes","❌ Disc",IF(AQ195="No","⚠ Missing",IF(AT195="Yes","✓ OK","⚠ Check"))))</f>
        <v/>
      </c>
    </row>
    <row r="196" ht="18" customHeight="1" s="46">
      <c r="A196" s="39" t="n">
        <v>200</v>
      </c>
      <c r="B196" s="40" t="inlineStr">
        <is>
          <t>BD-LAM-2023-0304</t>
        </is>
      </c>
      <c r="C196" s="41" t="inlineStr">
        <is>
          <t>Lam SL SD 1mm 1044 Weed Green(Gold)</t>
        </is>
      </c>
      <c r="D196" s="39" t="inlineStr">
        <is>
          <t>Stylam</t>
        </is>
      </c>
      <c r="E196" s="43" t="n">
        <v>46125</v>
      </c>
      <c r="F196" s="26" t="inlineStr">
        <is>
          <t>Sunil CR</t>
        </is>
      </c>
      <c r="G196" s="26" t="inlineStr">
        <is>
          <t>Yes</t>
        </is>
      </c>
      <c r="H196" s="26" t="inlineStr">
        <is>
          <t>No</t>
        </is>
      </c>
      <c r="I196" s="26" t="inlineStr">
        <is>
          <t>Good finish</t>
        </is>
      </c>
      <c r="J196" s="26" t="inlineStr">
        <is>
          <t>Yes</t>
        </is>
      </c>
      <c r="K196" s="27" t="n"/>
      <c r="L196" s="28" t="inlineStr">
        <is>
          <t>No</t>
        </is>
      </c>
      <c r="M196" s="29">
        <f>IF(E196="","",IF(H196="Yes","❌ Disc",IF(G196="No","⚠ Missing",IF(J196="Yes","✓ OK","⚠ Check"))))</f>
        <v/>
      </c>
      <c r="N196" s="43" t="n">
        <v>46193</v>
      </c>
      <c r="O196" s="26" t="inlineStr">
        <is>
          <t>Sunil CR</t>
        </is>
      </c>
      <c r="P196" s="26" t="inlineStr">
        <is>
          <t>Yes</t>
        </is>
      </c>
      <c r="Q196" s="26" t="inlineStr">
        <is>
          <t>No</t>
        </is>
      </c>
      <c r="R196" s="26" t="inlineStr">
        <is>
          <t>Good finish</t>
        </is>
      </c>
      <c r="S196" s="26" t="inlineStr">
        <is>
          <t>Yes</t>
        </is>
      </c>
      <c r="T196" s="27" t="n"/>
      <c r="U196" s="28" t="inlineStr">
        <is>
          <t>No</t>
        </is>
      </c>
      <c r="V196" s="29">
        <f>IF(N196="","",IF(Q196="Yes","❌ Disc",IF(P196="No","⚠ Missing",IF(S196="Yes","✓ OK","⚠ Check"))))</f>
        <v/>
      </c>
      <c r="W196" s="65" t="n">
        <v>46248</v>
      </c>
      <c r="X196" s="30" t="inlineStr">
        <is>
          <t>Sunil CR</t>
        </is>
      </c>
      <c r="Y196" s="30" t="inlineStr">
        <is>
          <t>Yes</t>
        </is>
      </c>
      <c r="Z196" s="30" t="n"/>
      <c r="AA196" s="30" t="inlineStr">
        <is>
          <t>Good finish</t>
        </is>
      </c>
      <c r="AB196" s="30" t="inlineStr">
        <is>
          <t>Yes</t>
        </is>
      </c>
      <c r="AC196" s="27" t="n"/>
      <c r="AD196" s="31" t="inlineStr">
        <is>
          <t>No</t>
        </is>
      </c>
      <c r="AE196" s="32">
        <f>IF(W196="","",IF(Z196="Yes","❌ Disc",IF(Y196="No","⚠ Missing",IF(AB196="Yes","✓ OK","⚠ Check"))))</f>
        <v/>
      </c>
      <c r="AF196" s="33" t="n"/>
      <c r="AG196" s="33" t="n"/>
      <c r="AH196" s="33" t="n"/>
      <c r="AI196" s="33" t="n"/>
      <c r="AJ196" s="33" t="n"/>
      <c r="AK196" s="33" t="n"/>
      <c r="AL196" s="27" t="n"/>
      <c r="AM196" s="34" t="n"/>
      <c r="AN196" s="35">
        <f>IF(AF196="","",IF(AI196="Yes","❌ Disc",IF(AH196="No","⚠ Missing",IF(AK196="Yes","✓ OK","⚠ Check"))))</f>
        <v/>
      </c>
      <c r="AO196" s="36" t="n"/>
      <c r="AP196" s="36" t="n"/>
      <c r="AQ196" s="36" t="n"/>
      <c r="AR196" s="36" t="n"/>
      <c r="AS196" s="36" t="n"/>
      <c r="AT196" s="36" t="n"/>
      <c r="AU196" s="27" t="n"/>
      <c r="AV196" s="37" t="n"/>
      <c r="AW196" s="38">
        <f>IF(AO196="","",IF(AR196="Yes","❌ Disc",IF(AQ196="No","⚠ Missing",IF(AT196="Yes","✓ OK","⚠ Check"))))</f>
        <v/>
      </c>
    </row>
    <row r="197" ht="18" customHeight="1" s="46">
      <c r="A197" s="23" t="n">
        <v>201</v>
      </c>
      <c r="B197" s="24" t="inlineStr">
        <is>
          <t>BD-LAM-2023-0258</t>
        </is>
      </c>
      <c r="C197" s="25" t="inlineStr">
        <is>
          <t>Lam SL SD 1mm 1046 Rock brown(Gold) [BBP]</t>
        </is>
      </c>
      <c r="D197" s="23" t="inlineStr">
        <is>
          <t>Stylam</t>
        </is>
      </c>
      <c r="E197" s="43" t="n">
        <v>46125</v>
      </c>
      <c r="F197" s="26" t="inlineStr">
        <is>
          <t>Sunil CR</t>
        </is>
      </c>
      <c r="G197" s="26" t="inlineStr">
        <is>
          <t>Yes</t>
        </is>
      </c>
      <c r="H197" s="26" t="inlineStr">
        <is>
          <t>No</t>
        </is>
      </c>
      <c r="I197" s="26" t="inlineStr">
        <is>
          <t>Good finish</t>
        </is>
      </c>
      <c r="J197" s="26" t="inlineStr">
        <is>
          <t>Yes</t>
        </is>
      </c>
      <c r="K197" s="27" t="n"/>
      <c r="L197" s="28" t="inlineStr">
        <is>
          <t>No</t>
        </is>
      </c>
      <c r="M197" s="29">
        <f>IF(E197="","",IF(H197="Yes","❌ Disc",IF(G197="No","⚠ Missing",IF(J197="Yes","✓ OK","⚠ Check"))))</f>
        <v/>
      </c>
      <c r="N197" s="43" t="n">
        <v>46193</v>
      </c>
      <c r="O197" s="26" t="inlineStr">
        <is>
          <t>Sunil CR</t>
        </is>
      </c>
      <c r="P197" s="26" t="inlineStr">
        <is>
          <t>Yes</t>
        </is>
      </c>
      <c r="Q197" s="26" t="inlineStr">
        <is>
          <t>No</t>
        </is>
      </c>
      <c r="R197" s="26" t="inlineStr">
        <is>
          <t>Good finish</t>
        </is>
      </c>
      <c r="S197" s="26" t="inlineStr">
        <is>
          <t>Yes</t>
        </is>
      </c>
      <c r="T197" s="27" t="n"/>
      <c r="U197" s="28" t="inlineStr">
        <is>
          <t>No</t>
        </is>
      </c>
      <c r="V197" s="29">
        <f>IF(N197="","",IF(Q197="Yes","❌ Disc",IF(P197="No","⚠ Missing",IF(S197="Yes","✓ OK","⚠ Check"))))</f>
        <v/>
      </c>
      <c r="W197" s="65" t="n">
        <v>46248</v>
      </c>
      <c r="X197" s="30" t="inlineStr">
        <is>
          <t>Sunil CR</t>
        </is>
      </c>
      <c r="Y197" s="30" t="inlineStr">
        <is>
          <t>Yes</t>
        </is>
      </c>
      <c r="Z197" s="30" t="n"/>
      <c r="AA197" s="30" t="inlineStr">
        <is>
          <t>Good finish</t>
        </is>
      </c>
      <c r="AB197" s="30" t="inlineStr">
        <is>
          <t>Yes</t>
        </is>
      </c>
      <c r="AC197" s="27" t="n"/>
      <c r="AD197" s="31" t="inlineStr">
        <is>
          <t>No</t>
        </is>
      </c>
      <c r="AE197" s="32">
        <f>IF(W197="","",IF(Z197="Yes","❌ Disc",IF(Y197="No","⚠ Missing",IF(AB197="Yes","✓ OK","⚠ Check"))))</f>
        <v/>
      </c>
      <c r="AF197" s="33" t="n"/>
      <c r="AG197" s="33" t="n"/>
      <c r="AH197" s="33" t="n"/>
      <c r="AI197" s="33" t="n"/>
      <c r="AJ197" s="33" t="n"/>
      <c r="AK197" s="33" t="n"/>
      <c r="AL197" s="27" t="n"/>
      <c r="AM197" s="34" t="n"/>
      <c r="AN197" s="35">
        <f>IF(AF197="","",IF(AI197="Yes","❌ Disc",IF(AH197="No","⚠ Missing",IF(AK197="Yes","✓ OK","⚠ Check"))))</f>
        <v/>
      </c>
      <c r="AO197" s="36" t="n"/>
      <c r="AP197" s="36" t="n"/>
      <c r="AQ197" s="36" t="n"/>
      <c r="AR197" s="36" t="n"/>
      <c r="AS197" s="36" t="n"/>
      <c r="AT197" s="36" t="n"/>
      <c r="AU197" s="27" t="n"/>
      <c r="AV197" s="37" t="n"/>
      <c r="AW197" s="38">
        <f>IF(AO197="","",IF(AR197="Yes","❌ Disc",IF(AQ197="No","⚠ Missing",IF(AT197="Yes","✓ OK","⚠ Check"))))</f>
        <v/>
      </c>
    </row>
    <row r="198" ht="18" customHeight="1" s="46">
      <c r="A198" s="39" t="n">
        <v>202</v>
      </c>
      <c r="B198" s="40" t="inlineStr">
        <is>
          <t>BD-LAM-2023-0094</t>
        </is>
      </c>
      <c r="C198" s="41" t="inlineStr">
        <is>
          <t>Lam SL SD 1mm 1051 Aster Grey(Gold) [BBP]</t>
        </is>
      </c>
      <c r="D198" s="39" t="inlineStr">
        <is>
          <t>Stylam</t>
        </is>
      </c>
      <c r="E198" s="43" t="n">
        <v>46125</v>
      </c>
      <c r="F198" s="26" t="inlineStr">
        <is>
          <t>Sunil CR</t>
        </is>
      </c>
      <c r="G198" s="26" t="inlineStr">
        <is>
          <t>Yes</t>
        </is>
      </c>
      <c r="H198" s="26" t="inlineStr">
        <is>
          <t>No</t>
        </is>
      </c>
      <c r="I198" s="26" t="inlineStr">
        <is>
          <t>Good finish</t>
        </is>
      </c>
      <c r="J198" s="26" t="inlineStr">
        <is>
          <t>Yes</t>
        </is>
      </c>
      <c r="K198" s="27" t="n"/>
      <c r="L198" s="28" t="inlineStr">
        <is>
          <t>No</t>
        </is>
      </c>
      <c r="M198" s="29">
        <f>IF(E198="","",IF(H198="Yes","❌ Disc",IF(G198="No","⚠ Missing",IF(J198="Yes","✓ OK","⚠ Check"))))</f>
        <v/>
      </c>
      <c r="N198" s="43" t="n">
        <v>46193</v>
      </c>
      <c r="O198" s="26" t="inlineStr">
        <is>
          <t>Sunil CR</t>
        </is>
      </c>
      <c r="P198" s="26" t="inlineStr">
        <is>
          <t>Yes</t>
        </is>
      </c>
      <c r="Q198" s="26" t="inlineStr">
        <is>
          <t>No</t>
        </is>
      </c>
      <c r="R198" s="26" t="inlineStr">
        <is>
          <t>Good finish</t>
        </is>
      </c>
      <c r="S198" s="26" t="inlineStr">
        <is>
          <t>Yes</t>
        </is>
      </c>
      <c r="T198" s="27" t="n"/>
      <c r="U198" s="28" t="inlineStr">
        <is>
          <t>No</t>
        </is>
      </c>
      <c r="V198" s="29">
        <f>IF(N198="","",IF(Q198="Yes","❌ Disc",IF(P198="No","⚠ Missing",IF(S198="Yes","✓ OK","⚠ Check"))))</f>
        <v/>
      </c>
      <c r="W198" s="65" t="n">
        <v>46248</v>
      </c>
      <c r="X198" s="30" t="inlineStr">
        <is>
          <t>Sunil CR</t>
        </is>
      </c>
      <c r="Y198" s="30" t="inlineStr">
        <is>
          <t>Yes</t>
        </is>
      </c>
      <c r="Z198" s="30" t="n"/>
      <c r="AA198" s="30" t="inlineStr">
        <is>
          <t>Good finish</t>
        </is>
      </c>
      <c r="AB198" s="30" t="inlineStr">
        <is>
          <t>Yes</t>
        </is>
      </c>
      <c r="AC198" s="27" t="n"/>
      <c r="AD198" s="31" t="inlineStr">
        <is>
          <t>No</t>
        </is>
      </c>
      <c r="AE198" s="32">
        <f>IF(W198="","",IF(Z198="Yes","❌ Disc",IF(Y198="No","⚠ Missing",IF(AB198="Yes","✓ OK","⚠ Check"))))</f>
        <v/>
      </c>
      <c r="AF198" s="33" t="n"/>
      <c r="AG198" s="33" t="n"/>
      <c r="AH198" s="33" t="n"/>
      <c r="AI198" s="33" t="n"/>
      <c r="AJ198" s="33" t="n"/>
      <c r="AK198" s="33" t="n"/>
      <c r="AL198" s="27" t="n"/>
      <c r="AM198" s="34" t="n"/>
      <c r="AN198" s="35">
        <f>IF(AF198="","",IF(AI198="Yes","❌ Disc",IF(AH198="No","⚠ Missing",IF(AK198="Yes","✓ OK","⚠ Check"))))</f>
        <v/>
      </c>
      <c r="AO198" s="36" t="n"/>
      <c r="AP198" s="36" t="n"/>
      <c r="AQ198" s="36" t="n"/>
      <c r="AR198" s="36" t="n"/>
      <c r="AS198" s="36" t="n"/>
      <c r="AT198" s="36" t="n"/>
      <c r="AU198" s="27" t="n"/>
      <c r="AV198" s="37" t="n"/>
      <c r="AW198" s="38">
        <f>IF(AO198="","",IF(AR198="Yes","❌ Disc",IF(AQ198="No","⚠ Missing",IF(AT198="Yes","✓ OK","⚠ Check"))))</f>
        <v/>
      </c>
    </row>
    <row r="199" ht="18" customHeight="1" s="46">
      <c r="A199" s="23" t="n">
        <v>203</v>
      </c>
      <c r="B199" s="24" t="inlineStr">
        <is>
          <t>BD-LAM-2023-0238</t>
        </is>
      </c>
      <c r="C199" s="25" t="inlineStr">
        <is>
          <t>Lam SL SD 1mm 1052 Peach(Gold)</t>
        </is>
      </c>
      <c r="D199" s="23" t="inlineStr">
        <is>
          <t>Stylam</t>
        </is>
      </c>
      <c r="E199" s="43" t="n">
        <v>46125</v>
      </c>
      <c r="F199" s="26" t="inlineStr">
        <is>
          <t>Sunil CR</t>
        </is>
      </c>
      <c r="G199" s="26" t="inlineStr">
        <is>
          <t>Yes</t>
        </is>
      </c>
      <c r="H199" s="26" t="inlineStr">
        <is>
          <t>No</t>
        </is>
      </c>
      <c r="I199" s="26" t="inlineStr">
        <is>
          <t>Good finish</t>
        </is>
      </c>
      <c r="J199" s="26" t="inlineStr">
        <is>
          <t>Yes</t>
        </is>
      </c>
      <c r="K199" s="27" t="n"/>
      <c r="L199" s="28" t="inlineStr">
        <is>
          <t>No</t>
        </is>
      </c>
      <c r="M199" s="29">
        <f>IF(E199="","",IF(H199="Yes","❌ Disc",IF(G199="No","⚠ Missing",IF(J199="Yes","✓ OK","⚠ Check"))))</f>
        <v/>
      </c>
      <c r="N199" s="43" t="n">
        <v>46193</v>
      </c>
      <c r="O199" s="26" t="inlineStr">
        <is>
          <t>Sunil CR</t>
        </is>
      </c>
      <c r="P199" s="26" t="inlineStr">
        <is>
          <t>Yes</t>
        </is>
      </c>
      <c r="Q199" s="26" t="inlineStr">
        <is>
          <t>No</t>
        </is>
      </c>
      <c r="R199" s="26" t="inlineStr">
        <is>
          <t>Good finish</t>
        </is>
      </c>
      <c r="S199" s="26" t="inlineStr">
        <is>
          <t>Yes</t>
        </is>
      </c>
      <c r="T199" s="27" t="n"/>
      <c r="U199" s="28" t="inlineStr">
        <is>
          <t>No</t>
        </is>
      </c>
      <c r="V199" s="29">
        <f>IF(N199="","",IF(Q199="Yes","❌ Disc",IF(P199="No","⚠ Missing",IF(S199="Yes","✓ OK","⚠ Check"))))</f>
        <v/>
      </c>
      <c r="W199" s="65" t="n">
        <v>46248</v>
      </c>
      <c r="X199" s="30" t="inlineStr">
        <is>
          <t>Sunil CR</t>
        </is>
      </c>
      <c r="Y199" s="30" t="inlineStr">
        <is>
          <t>Yes</t>
        </is>
      </c>
      <c r="Z199" s="30" t="n"/>
      <c r="AA199" s="30" t="inlineStr">
        <is>
          <t>Good finish</t>
        </is>
      </c>
      <c r="AB199" s="30" t="inlineStr">
        <is>
          <t>Yes</t>
        </is>
      </c>
      <c r="AC199" s="27" t="n"/>
      <c r="AD199" s="31" t="inlineStr">
        <is>
          <t>No</t>
        </is>
      </c>
      <c r="AE199" s="32">
        <f>IF(W199="","",IF(Z199="Yes","❌ Disc",IF(Y199="No","⚠ Missing",IF(AB199="Yes","✓ OK","⚠ Check"))))</f>
        <v/>
      </c>
      <c r="AF199" s="33" t="n"/>
      <c r="AG199" s="33" t="n"/>
      <c r="AH199" s="33" t="n"/>
      <c r="AI199" s="33" t="n"/>
      <c r="AJ199" s="33" t="n"/>
      <c r="AK199" s="33" t="n"/>
      <c r="AL199" s="27" t="n"/>
      <c r="AM199" s="34" t="n"/>
      <c r="AN199" s="35">
        <f>IF(AF199="","",IF(AI199="Yes","❌ Disc",IF(AH199="No","⚠ Missing",IF(AK199="Yes","✓ OK","⚠ Check"))))</f>
        <v/>
      </c>
      <c r="AO199" s="36" t="n"/>
      <c r="AP199" s="36" t="n"/>
      <c r="AQ199" s="36" t="n"/>
      <c r="AR199" s="36" t="n"/>
      <c r="AS199" s="36" t="n"/>
      <c r="AT199" s="36" t="n"/>
      <c r="AU199" s="27" t="n"/>
      <c r="AV199" s="37" t="n"/>
      <c r="AW199" s="38">
        <f>IF(AO199="","",IF(AR199="Yes","❌ Disc",IF(AQ199="No","⚠ Missing",IF(AT199="Yes","✓ OK","⚠ Check"))))</f>
        <v/>
      </c>
    </row>
    <row r="200" ht="18" customHeight="1" s="46">
      <c r="A200" s="39" t="n">
        <v>204</v>
      </c>
      <c r="B200" s="40" t="inlineStr">
        <is>
          <t>BD-LAM-2023-0244</t>
        </is>
      </c>
      <c r="C200" s="41" t="inlineStr">
        <is>
          <t>Lam SL SD 1mm 1053 Plum(Gold) [BBP]</t>
        </is>
      </c>
      <c r="D200" s="39" t="inlineStr">
        <is>
          <t>Stylam</t>
        </is>
      </c>
      <c r="E200" s="43" t="n">
        <v>46125</v>
      </c>
      <c r="F200" s="26" t="inlineStr">
        <is>
          <t>Sunil CR</t>
        </is>
      </c>
      <c r="G200" s="26" t="inlineStr">
        <is>
          <t>Yes</t>
        </is>
      </c>
      <c r="H200" s="26" t="inlineStr">
        <is>
          <t>No</t>
        </is>
      </c>
      <c r="I200" s="26" t="inlineStr">
        <is>
          <t>Good finish</t>
        </is>
      </c>
      <c r="J200" s="26" t="inlineStr">
        <is>
          <t>Yes</t>
        </is>
      </c>
      <c r="K200" s="27" t="n"/>
      <c r="L200" s="28" t="inlineStr">
        <is>
          <t>No</t>
        </is>
      </c>
      <c r="M200" s="29">
        <f>IF(E200="","",IF(H200="Yes","❌ Disc",IF(G200="No","⚠ Missing",IF(J200="Yes","✓ OK","⚠ Check"))))</f>
        <v/>
      </c>
      <c r="N200" s="43" t="n">
        <v>46193</v>
      </c>
      <c r="O200" s="26" t="inlineStr">
        <is>
          <t>Sunil CR</t>
        </is>
      </c>
      <c r="P200" s="26" t="inlineStr">
        <is>
          <t>Yes</t>
        </is>
      </c>
      <c r="Q200" s="26" t="inlineStr">
        <is>
          <t>No</t>
        </is>
      </c>
      <c r="R200" s="26" t="inlineStr">
        <is>
          <t>Good finish</t>
        </is>
      </c>
      <c r="S200" s="26" t="inlineStr">
        <is>
          <t>Yes</t>
        </is>
      </c>
      <c r="T200" s="27" t="n"/>
      <c r="U200" s="28" t="inlineStr">
        <is>
          <t>No</t>
        </is>
      </c>
      <c r="V200" s="29">
        <f>IF(N200="","",IF(Q200="Yes","❌ Disc",IF(P200="No","⚠ Missing",IF(S200="Yes","✓ OK","⚠ Check"))))</f>
        <v/>
      </c>
      <c r="W200" s="65" t="n">
        <v>46248</v>
      </c>
      <c r="X200" s="30" t="inlineStr">
        <is>
          <t>Sunil CR</t>
        </is>
      </c>
      <c r="Y200" s="30" t="inlineStr">
        <is>
          <t>Yes</t>
        </is>
      </c>
      <c r="Z200" s="30" t="n"/>
      <c r="AA200" s="30" t="inlineStr">
        <is>
          <t>Good finish</t>
        </is>
      </c>
      <c r="AB200" s="30" t="inlineStr">
        <is>
          <t>Yes</t>
        </is>
      </c>
      <c r="AC200" s="27" t="n"/>
      <c r="AD200" s="31" t="inlineStr">
        <is>
          <t>No</t>
        </is>
      </c>
      <c r="AE200" s="32">
        <f>IF(W200="","",IF(Z200="Yes","❌ Disc",IF(Y200="No","⚠ Missing",IF(AB200="Yes","✓ OK","⚠ Check"))))</f>
        <v/>
      </c>
      <c r="AF200" s="33" t="n"/>
      <c r="AG200" s="33" t="n"/>
      <c r="AH200" s="33" t="n"/>
      <c r="AI200" s="33" t="n"/>
      <c r="AJ200" s="33" t="n"/>
      <c r="AK200" s="33" t="n"/>
      <c r="AL200" s="27" t="n"/>
      <c r="AM200" s="34" t="n"/>
      <c r="AN200" s="35">
        <f>IF(AF200="","",IF(AI200="Yes","❌ Disc",IF(AH200="No","⚠ Missing",IF(AK200="Yes","✓ OK","⚠ Check"))))</f>
        <v/>
      </c>
      <c r="AO200" s="36" t="n"/>
      <c r="AP200" s="36" t="n"/>
      <c r="AQ200" s="36" t="n"/>
      <c r="AR200" s="36" t="n"/>
      <c r="AS200" s="36" t="n"/>
      <c r="AT200" s="36" t="n"/>
      <c r="AU200" s="27" t="n"/>
      <c r="AV200" s="37" t="n"/>
      <c r="AW200" s="38">
        <f>IF(AO200="","",IF(AR200="Yes","❌ Disc",IF(AQ200="No","⚠ Missing",IF(AT200="Yes","✓ OK","⚠ Check"))))</f>
        <v/>
      </c>
    </row>
    <row r="201" ht="18" customHeight="1" s="46">
      <c r="A201" s="23" t="n">
        <v>205</v>
      </c>
      <c r="B201" s="24" t="inlineStr">
        <is>
          <t>BD-LAM-2023-0216</t>
        </is>
      </c>
      <c r="C201" s="25" t="inlineStr">
        <is>
          <t>Lam SL SD 1mm 1056 Navy blue(Gold)</t>
        </is>
      </c>
      <c r="D201" s="23" t="inlineStr">
        <is>
          <t>Stylam</t>
        </is>
      </c>
      <c r="E201" s="43" t="n">
        <v>46125</v>
      </c>
      <c r="F201" s="26" t="inlineStr">
        <is>
          <t>Sunil CR</t>
        </is>
      </c>
      <c r="G201" s="26" t="inlineStr">
        <is>
          <t>Yes</t>
        </is>
      </c>
      <c r="H201" s="26" t="inlineStr">
        <is>
          <t>No</t>
        </is>
      </c>
      <c r="I201" s="26" t="inlineStr">
        <is>
          <t>Good finish</t>
        </is>
      </c>
      <c r="J201" s="26" t="inlineStr">
        <is>
          <t>Yes</t>
        </is>
      </c>
      <c r="K201" s="27" t="n"/>
      <c r="L201" s="28" t="inlineStr">
        <is>
          <t>No</t>
        </is>
      </c>
      <c r="M201" s="29">
        <f>IF(E201="","",IF(H201="Yes","❌ Disc",IF(G201="No","⚠ Missing",IF(J201="Yes","✓ OK","⚠ Check"))))</f>
        <v/>
      </c>
      <c r="N201" s="43" t="n">
        <v>46193</v>
      </c>
      <c r="O201" s="26" t="inlineStr">
        <is>
          <t>Sunil CR</t>
        </is>
      </c>
      <c r="P201" s="26" t="inlineStr">
        <is>
          <t>No</t>
        </is>
      </c>
      <c r="Q201" s="26" t="inlineStr">
        <is>
          <t>Yes</t>
        </is>
      </c>
      <c r="R201" s="26" t="inlineStr">
        <is>
          <t>Discontinued</t>
        </is>
      </c>
      <c r="S201" s="26" t="inlineStr">
        <is>
          <t>No</t>
        </is>
      </c>
      <c r="T201" s="27" t="n"/>
      <c r="U201" s="28" t="inlineStr">
        <is>
          <t>No</t>
        </is>
      </c>
      <c r="V201" s="29">
        <f>IF(N201="","",IF(Q201="Yes","❌ Disc",IF(P201="No","⚠ Missing",IF(S201="Yes","✓ OK","⚠ Check"))))</f>
        <v/>
      </c>
      <c r="W201" s="65" t="n">
        <v>46248</v>
      </c>
      <c r="X201" s="30" t="inlineStr">
        <is>
          <t>Sunil CR</t>
        </is>
      </c>
      <c r="Y201" s="30" t="inlineStr">
        <is>
          <t>No</t>
        </is>
      </c>
      <c r="Z201" s="30" t="inlineStr">
        <is>
          <t>Yes</t>
        </is>
      </c>
      <c r="AA201" s="30" t="inlineStr">
        <is>
          <t>Discontinued</t>
        </is>
      </c>
      <c r="AB201" s="30" t="inlineStr">
        <is>
          <t>No</t>
        </is>
      </c>
      <c r="AC201" s="27" t="n"/>
      <c r="AD201" s="31" t="inlineStr">
        <is>
          <t>No</t>
        </is>
      </c>
      <c r="AE201" s="32">
        <f>IF(W201="","",IF(Z201="Yes","❌ Disc",IF(Y201="No","⚠ Missing",IF(AB201="Yes","✓ OK","⚠ Check"))))</f>
        <v/>
      </c>
      <c r="AF201" s="33" t="n"/>
      <c r="AG201" s="33" t="n"/>
      <c r="AH201" s="33" t="n"/>
      <c r="AI201" s="33" t="n"/>
      <c r="AJ201" s="33" t="n"/>
      <c r="AK201" s="33" t="n"/>
      <c r="AL201" s="27" t="n"/>
      <c r="AM201" s="34" t="n"/>
      <c r="AN201" s="35">
        <f>IF(AF201="","",IF(AI201="Yes","❌ Disc",IF(AH201="No","⚠ Missing",IF(AK201="Yes","✓ OK","⚠ Check"))))</f>
        <v/>
      </c>
      <c r="AO201" s="36" t="n"/>
      <c r="AP201" s="36" t="n"/>
      <c r="AQ201" s="36" t="n"/>
      <c r="AR201" s="36" t="n"/>
      <c r="AS201" s="36" t="n"/>
      <c r="AT201" s="36" t="n"/>
      <c r="AU201" s="27" t="n"/>
      <c r="AV201" s="37" t="n"/>
      <c r="AW201" s="38">
        <f>IF(AO201="","",IF(AR201="Yes","❌ Disc",IF(AQ201="No","⚠ Missing",IF(AT201="Yes","✓ OK","⚠ Check"))))</f>
        <v/>
      </c>
    </row>
    <row r="202" ht="18" customHeight="1" s="46">
      <c r="A202" s="39" t="n">
        <v>206</v>
      </c>
      <c r="B202" s="40" t="inlineStr">
        <is>
          <t>BD-LAM-2023-0218</t>
        </is>
      </c>
      <c r="C202" s="41" t="inlineStr">
        <is>
          <t>Lam SL SD 1mm 1061 Nero White(Gold)</t>
        </is>
      </c>
      <c r="D202" s="39" t="inlineStr">
        <is>
          <t>Stylam</t>
        </is>
      </c>
      <c r="E202" s="43" t="n">
        <v>46125</v>
      </c>
      <c r="F202" s="26" t="inlineStr">
        <is>
          <t>Sunil CR</t>
        </is>
      </c>
      <c r="G202" s="26" t="inlineStr">
        <is>
          <t>Yes</t>
        </is>
      </c>
      <c r="H202" s="26" t="inlineStr">
        <is>
          <t>No</t>
        </is>
      </c>
      <c r="I202" s="26" t="inlineStr">
        <is>
          <t>Good finish</t>
        </is>
      </c>
      <c r="J202" s="26" t="inlineStr">
        <is>
          <t>Yes</t>
        </is>
      </c>
      <c r="K202" s="27" t="n"/>
      <c r="L202" s="28" t="inlineStr">
        <is>
          <t>No</t>
        </is>
      </c>
      <c r="M202" s="29">
        <f>IF(E202="","",IF(H202="Yes","❌ Disc",IF(G202="No","⚠ Missing",IF(J202="Yes","✓ OK","⚠ Check"))))</f>
        <v/>
      </c>
      <c r="N202" s="43" t="n">
        <v>46193</v>
      </c>
      <c r="O202" s="26" t="inlineStr">
        <is>
          <t>Sunil CR</t>
        </is>
      </c>
      <c r="P202" s="26" t="inlineStr">
        <is>
          <t>Yes</t>
        </is>
      </c>
      <c r="Q202" s="26" t="inlineStr">
        <is>
          <t>No</t>
        </is>
      </c>
      <c r="R202" s="26" t="inlineStr">
        <is>
          <t>Good finish</t>
        </is>
      </c>
      <c r="S202" s="26" t="inlineStr">
        <is>
          <t>Yes</t>
        </is>
      </c>
      <c r="T202" s="27" t="n"/>
      <c r="U202" s="28" t="inlineStr">
        <is>
          <t>No</t>
        </is>
      </c>
      <c r="V202" s="29">
        <f>IF(N202="","",IF(Q202="Yes","❌ Disc",IF(P202="No","⚠ Missing",IF(S202="Yes","✓ OK","⚠ Check"))))</f>
        <v/>
      </c>
      <c r="W202" s="65" t="n">
        <v>46248</v>
      </c>
      <c r="X202" s="30" t="inlineStr">
        <is>
          <t>Sunil CR</t>
        </is>
      </c>
      <c r="Y202" s="30" t="inlineStr">
        <is>
          <t>Yes</t>
        </is>
      </c>
      <c r="Z202" s="30" t="n"/>
      <c r="AA202" s="30" t="inlineStr">
        <is>
          <t>Good finish</t>
        </is>
      </c>
      <c r="AB202" s="30" t="inlineStr">
        <is>
          <t>Yes</t>
        </is>
      </c>
      <c r="AC202" s="27" t="n"/>
      <c r="AD202" s="31" t="inlineStr">
        <is>
          <t>No</t>
        </is>
      </c>
      <c r="AE202" s="32">
        <f>IF(W202="","",IF(Z202="Yes","❌ Disc",IF(Y202="No","⚠ Missing",IF(AB202="Yes","✓ OK","⚠ Check"))))</f>
        <v/>
      </c>
      <c r="AF202" s="33" t="n"/>
      <c r="AG202" s="33" t="n"/>
      <c r="AH202" s="33" t="n"/>
      <c r="AI202" s="33" t="n"/>
      <c r="AJ202" s="33" t="n"/>
      <c r="AK202" s="33" t="n"/>
      <c r="AL202" s="27" t="n"/>
      <c r="AM202" s="34" t="n"/>
      <c r="AN202" s="35">
        <f>IF(AF202="","",IF(AI202="Yes","❌ Disc",IF(AH202="No","⚠ Missing",IF(AK202="Yes","✓ OK","⚠ Check"))))</f>
        <v/>
      </c>
      <c r="AO202" s="36" t="n"/>
      <c r="AP202" s="36" t="n"/>
      <c r="AQ202" s="36" t="n"/>
      <c r="AR202" s="36" t="n"/>
      <c r="AS202" s="36" t="n"/>
      <c r="AT202" s="36" t="n"/>
      <c r="AU202" s="27" t="n"/>
      <c r="AV202" s="37" t="n"/>
      <c r="AW202" s="38">
        <f>IF(AO202="","",IF(AR202="Yes","❌ Disc",IF(AQ202="No","⚠ Missing",IF(AT202="Yes","✓ OK","⚠ Check"))))</f>
        <v/>
      </c>
    </row>
    <row r="203" ht="18" customHeight="1" s="46">
      <c r="A203" s="23" t="n">
        <v>207</v>
      </c>
      <c r="B203" s="24" t="inlineStr">
        <is>
          <t>BD-LAM-2023-0248</t>
        </is>
      </c>
      <c r="C203" s="25" t="inlineStr">
        <is>
          <t>Lam SL SD 1mm 1159 Purple dye(Gold) [BBP]</t>
        </is>
      </c>
      <c r="D203" s="23" t="inlineStr">
        <is>
          <t>Stylam</t>
        </is>
      </c>
      <c r="E203" s="43" t="n">
        <v>46125</v>
      </c>
      <c r="F203" s="26" t="inlineStr">
        <is>
          <t>Sunil CR</t>
        </is>
      </c>
      <c r="G203" s="26" t="inlineStr">
        <is>
          <t>Yes</t>
        </is>
      </c>
      <c r="H203" s="26" t="inlineStr">
        <is>
          <t>No</t>
        </is>
      </c>
      <c r="I203" s="26" t="inlineStr">
        <is>
          <t>Good finish</t>
        </is>
      </c>
      <c r="J203" s="26" t="inlineStr">
        <is>
          <t>Yes</t>
        </is>
      </c>
      <c r="K203" s="27" t="n"/>
      <c r="L203" s="28" t="inlineStr">
        <is>
          <t>No</t>
        </is>
      </c>
      <c r="M203" s="29">
        <f>IF(E203="","",IF(H203="Yes","❌ Disc",IF(G203="No","⚠ Missing",IF(J203="Yes","✓ OK","⚠ Check"))))</f>
        <v/>
      </c>
      <c r="N203" s="43" t="n">
        <v>46193</v>
      </c>
      <c r="O203" s="26" t="inlineStr">
        <is>
          <t>Sunil CR</t>
        </is>
      </c>
      <c r="P203" s="26" t="inlineStr">
        <is>
          <t>Yes</t>
        </is>
      </c>
      <c r="Q203" s="26" t="inlineStr">
        <is>
          <t>No</t>
        </is>
      </c>
      <c r="R203" s="26" t="inlineStr">
        <is>
          <t>Good finish</t>
        </is>
      </c>
      <c r="S203" s="26" t="inlineStr">
        <is>
          <t>Yes</t>
        </is>
      </c>
      <c r="T203" s="27" t="n"/>
      <c r="U203" s="28" t="inlineStr">
        <is>
          <t>No</t>
        </is>
      </c>
      <c r="V203" s="29">
        <f>IF(N203="","",IF(Q203="Yes","❌ Disc",IF(P203="No","⚠ Missing",IF(S203="Yes","✓ OK","⚠ Check"))))</f>
        <v/>
      </c>
      <c r="W203" s="65" t="n">
        <v>46248</v>
      </c>
      <c r="X203" s="30" t="inlineStr">
        <is>
          <t>Sunil CR</t>
        </is>
      </c>
      <c r="Y203" s="30" t="inlineStr">
        <is>
          <t>Yes</t>
        </is>
      </c>
      <c r="Z203" s="30" t="n"/>
      <c r="AA203" s="30" t="inlineStr">
        <is>
          <t>Good finish</t>
        </is>
      </c>
      <c r="AB203" s="30" t="inlineStr">
        <is>
          <t>Yes</t>
        </is>
      </c>
      <c r="AC203" s="27" t="n"/>
      <c r="AD203" s="31" t="inlineStr">
        <is>
          <t>No</t>
        </is>
      </c>
      <c r="AE203" s="32">
        <f>IF(W203="","",IF(Z203="Yes","❌ Disc",IF(Y203="No","⚠ Missing",IF(AB203="Yes","✓ OK","⚠ Check"))))</f>
        <v/>
      </c>
      <c r="AF203" s="33" t="n"/>
      <c r="AG203" s="33" t="n"/>
      <c r="AH203" s="33" t="n"/>
      <c r="AI203" s="33" t="n"/>
      <c r="AJ203" s="33" t="n"/>
      <c r="AK203" s="33" t="n"/>
      <c r="AL203" s="27" t="n"/>
      <c r="AM203" s="34" t="n"/>
      <c r="AN203" s="35">
        <f>IF(AF203="","",IF(AI203="Yes","❌ Disc",IF(AH203="No","⚠ Missing",IF(AK203="Yes","✓ OK","⚠ Check"))))</f>
        <v/>
      </c>
      <c r="AO203" s="36" t="n"/>
      <c r="AP203" s="36" t="n"/>
      <c r="AQ203" s="36" t="n"/>
      <c r="AR203" s="36" t="n"/>
      <c r="AS203" s="36" t="n"/>
      <c r="AT203" s="36" t="n"/>
      <c r="AU203" s="27" t="n"/>
      <c r="AV203" s="37" t="n"/>
      <c r="AW203" s="38">
        <f>IF(AO203="","",IF(AR203="Yes","❌ Disc",IF(AQ203="No","⚠ Missing",IF(AT203="Yes","✓ OK","⚠ Check"))))</f>
        <v/>
      </c>
    </row>
    <row r="204" ht="18" customHeight="1" s="46">
      <c r="A204" s="39" t="n">
        <v>208</v>
      </c>
      <c r="B204" s="40" t="inlineStr">
        <is>
          <t>BD-LAM-2023-0197</t>
        </is>
      </c>
      <c r="C204" s="41" t="inlineStr">
        <is>
          <t>Lam SL SD 1mm 1415 Light Plano(Gold) [BBP]</t>
        </is>
      </c>
      <c r="D204" s="39" t="inlineStr">
        <is>
          <t>Stylam</t>
        </is>
      </c>
      <c r="E204" s="43" t="n">
        <v>46125</v>
      </c>
      <c r="F204" s="26" t="inlineStr">
        <is>
          <t>Sunil CR</t>
        </is>
      </c>
      <c r="G204" s="26" t="inlineStr">
        <is>
          <t>Yes</t>
        </is>
      </c>
      <c r="H204" s="26" t="inlineStr">
        <is>
          <t>No</t>
        </is>
      </c>
      <c r="I204" s="26" t="inlineStr">
        <is>
          <t>Good finish</t>
        </is>
      </c>
      <c r="J204" s="26" t="inlineStr">
        <is>
          <t>Yes</t>
        </is>
      </c>
      <c r="K204" s="27" t="n"/>
      <c r="L204" s="28" t="inlineStr">
        <is>
          <t>No</t>
        </is>
      </c>
      <c r="M204" s="29">
        <f>IF(E204="","",IF(H204="Yes","❌ Disc",IF(G204="No","⚠ Missing",IF(J204="Yes","✓ OK","⚠ Check"))))</f>
        <v/>
      </c>
      <c r="N204" s="43" t="n">
        <v>46193</v>
      </c>
      <c r="O204" s="26" t="inlineStr">
        <is>
          <t>Sunil CR</t>
        </is>
      </c>
      <c r="P204" s="26" t="inlineStr">
        <is>
          <t>Yes</t>
        </is>
      </c>
      <c r="Q204" s="26" t="inlineStr">
        <is>
          <t>No</t>
        </is>
      </c>
      <c r="R204" s="26" t="inlineStr">
        <is>
          <t>Good finish</t>
        </is>
      </c>
      <c r="S204" s="26" t="inlineStr">
        <is>
          <t>Yes</t>
        </is>
      </c>
      <c r="T204" s="27" t="n"/>
      <c r="U204" s="28" t="inlineStr">
        <is>
          <t>No</t>
        </is>
      </c>
      <c r="V204" s="29">
        <f>IF(N204="","",IF(Q204="Yes","❌ Disc",IF(P204="No","⚠ Missing",IF(S204="Yes","✓ OK","⚠ Check"))))</f>
        <v/>
      </c>
      <c r="W204" s="65" t="n">
        <v>46248</v>
      </c>
      <c r="X204" s="30" t="inlineStr">
        <is>
          <t>Sunil CR</t>
        </is>
      </c>
      <c r="Y204" s="30" t="inlineStr">
        <is>
          <t>Yes</t>
        </is>
      </c>
      <c r="Z204" s="30" t="n"/>
      <c r="AA204" s="30" t="inlineStr">
        <is>
          <t>Good finish</t>
        </is>
      </c>
      <c r="AB204" s="30" t="inlineStr">
        <is>
          <t>Yes</t>
        </is>
      </c>
      <c r="AC204" s="27" t="n"/>
      <c r="AD204" s="31" t="inlineStr">
        <is>
          <t>No</t>
        </is>
      </c>
      <c r="AE204" s="32">
        <f>IF(W204="","",IF(Z204="Yes","❌ Disc",IF(Y204="No","⚠ Missing",IF(AB204="Yes","✓ OK","⚠ Check"))))</f>
        <v/>
      </c>
      <c r="AF204" s="33" t="n"/>
      <c r="AG204" s="33" t="n"/>
      <c r="AH204" s="33" t="n"/>
      <c r="AI204" s="33" t="n"/>
      <c r="AJ204" s="33" t="n"/>
      <c r="AK204" s="33" t="n"/>
      <c r="AL204" s="27" t="n"/>
      <c r="AM204" s="34" t="n"/>
      <c r="AN204" s="35">
        <f>IF(AF204="","",IF(AI204="Yes","❌ Disc",IF(AH204="No","⚠ Missing",IF(AK204="Yes","✓ OK","⚠ Check"))))</f>
        <v/>
      </c>
      <c r="AO204" s="36" t="n"/>
      <c r="AP204" s="36" t="n"/>
      <c r="AQ204" s="36" t="n"/>
      <c r="AR204" s="36" t="n"/>
      <c r="AS204" s="36" t="n"/>
      <c r="AT204" s="36" t="n"/>
      <c r="AU204" s="27" t="n"/>
      <c r="AV204" s="37" t="n"/>
      <c r="AW204" s="38">
        <f>IF(AO204="","",IF(AR204="Yes","❌ Disc",IF(AQ204="No","⚠ Missing",IF(AT204="Yes","✓ OK","⚠ Check"))))</f>
        <v/>
      </c>
    </row>
    <row r="205" ht="18" customHeight="1" s="46">
      <c r="A205" s="23" t="n">
        <v>209</v>
      </c>
      <c r="B205" s="24" t="inlineStr">
        <is>
          <t>BD-LAM-2023-0210</t>
        </is>
      </c>
      <c r="C205" s="25" t="inlineStr">
        <is>
          <t>Lam SL SD 1mm 1445 Natsu(Gold)</t>
        </is>
      </c>
      <c r="D205" s="23" t="inlineStr">
        <is>
          <t>Stylam</t>
        </is>
      </c>
      <c r="E205" s="43" t="n">
        <v>46125</v>
      </c>
      <c r="F205" s="26" t="inlineStr">
        <is>
          <t>Sunil CR</t>
        </is>
      </c>
      <c r="G205" s="26" t="inlineStr">
        <is>
          <t>Yes</t>
        </is>
      </c>
      <c r="H205" s="26" t="inlineStr">
        <is>
          <t>No</t>
        </is>
      </c>
      <c r="I205" s="26" t="inlineStr">
        <is>
          <t>Good finish</t>
        </is>
      </c>
      <c r="J205" s="26" t="inlineStr">
        <is>
          <t>Yes</t>
        </is>
      </c>
      <c r="K205" s="27" t="n"/>
      <c r="L205" s="28" t="inlineStr">
        <is>
          <t>No</t>
        </is>
      </c>
      <c r="M205" s="29">
        <f>IF(E205="","",IF(H205="Yes","❌ Disc",IF(G205="No","⚠ Missing",IF(J205="Yes","✓ OK","⚠ Check"))))</f>
        <v/>
      </c>
      <c r="N205" s="43" t="n">
        <v>46193</v>
      </c>
      <c r="O205" s="26" t="inlineStr">
        <is>
          <t>Sunil CR</t>
        </is>
      </c>
      <c r="P205" s="26" t="inlineStr">
        <is>
          <t>Yes</t>
        </is>
      </c>
      <c r="Q205" s="26" t="inlineStr">
        <is>
          <t>No</t>
        </is>
      </c>
      <c r="R205" s="26" t="inlineStr">
        <is>
          <t>Good finish</t>
        </is>
      </c>
      <c r="S205" s="26" t="inlineStr">
        <is>
          <t>Yes</t>
        </is>
      </c>
      <c r="T205" s="27" t="n"/>
      <c r="U205" s="28" t="inlineStr">
        <is>
          <t>No</t>
        </is>
      </c>
      <c r="V205" s="29">
        <f>IF(N205="","",IF(Q205="Yes","❌ Disc",IF(P205="No","⚠ Missing",IF(S205="Yes","✓ OK","⚠ Check"))))</f>
        <v/>
      </c>
      <c r="W205" s="65" t="n">
        <v>46248</v>
      </c>
      <c r="X205" s="30" t="inlineStr">
        <is>
          <t>Sunil CR</t>
        </is>
      </c>
      <c r="Y205" s="30" t="inlineStr">
        <is>
          <t>Yes</t>
        </is>
      </c>
      <c r="Z205" s="30" t="n"/>
      <c r="AA205" s="30" t="inlineStr">
        <is>
          <t>Good finish</t>
        </is>
      </c>
      <c r="AB205" s="30" t="inlineStr">
        <is>
          <t>Yes</t>
        </is>
      </c>
      <c r="AC205" s="27" t="n"/>
      <c r="AD205" s="31" t="inlineStr">
        <is>
          <t>No</t>
        </is>
      </c>
      <c r="AE205" s="32">
        <f>IF(W205="","",IF(Z205="Yes","❌ Disc",IF(Y205="No","⚠ Missing",IF(AB205="Yes","✓ OK","⚠ Check"))))</f>
        <v/>
      </c>
      <c r="AF205" s="33" t="n"/>
      <c r="AG205" s="33" t="n"/>
      <c r="AH205" s="33" t="n"/>
      <c r="AI205" s="33" t="n"/>
      <c r="AJ205" s="33" t="n"/>
      <c r="AK205" s="33" t="n"/>
      <c r="AL205" s="27" t="n"/>
      <c r="AM205" s="34" t="n"/>
      <c r="AN205" s="35">
        <f>IF(AF205="","",IF(AI205="Yes","❌ Disc",IF(AH205="No","⚠ Missing",IF(AK205="Yes","✓ OK","⚠ Check"))))</f>
        <v/>
      </c>
      <c r="AO205" s="36" t="n"/>
      <c r="AP205" s="36" t="n"/>
      <c r="AQ205" s="36" t="n"/>
      <c r="AR205" s="36" t="n"/>
      <c r="AS205" s="36" t="n"/>
      <c r="AT205" s="36" t="n"/>
      <c r="AU205" s="27" t="n"/>
      <c r="AV205" s="37" t="n"/>
      <c r="AW205" s="38">
        <f>IF(AO205="","",IF(AR205="Yes","❌ Disc",IF(AQ205="No","⚠ Missing",IF(AT205="Yes","✓ OK","⚠ Check"))))</f>
        <v/>
      </c>
    </row>
    <row r="206" ht="18" customHeight="1" s="46">
      <c r="A206" s="39" t="n">
        <v>210</v>
      </c>
      <c r="B206" s="40" t="inlineStr">
        <is>
          <t>BD-LAM-2024-0069</t>
        </is>
      </c>
      <c r="C206" s="41" t="inlineStr">
        <is>
          <t>Lam SL SD 1mm 1449 Paladine Marble(Gold)</t>
        </is>
      </c>
      <c r="D206" s="39" t="inlineStr">
        <is>
          <t>Stylam</t>
        </is>
      </c>
      <c r="E206" s="43" t="n">
        <v>46125</v>
      </c>
      <c r="F206" s="26" t="inlineStr">
        <is>
          <t>Sunil CR</t>
        </is>
      </c>
      <c r="G206" s="26" t="inlineStr">
        <is>
          <t>Yes</t>
        </is>
      </c>
      <c r="H206" s="26" t="inlineStr">
        <is>
          <t>No</t>
        </is>
      </c>
      <c r="I206" s="26" t="inlineStr">
        <is>
          <t>Good finish</t>
        </is>
      </c>
      <c r="J206" s="26" t="inlineStr">
        <is>
          <t>Yes</t>
        </is>
      </c>
      <c r="K206" s="27" t="n"/>
      <c r="L206" s="28" t="inlineStr">
        <is>
          <t>No</t>
        </is>
      </c>
      <c r="M206" s="29">
        <f>IF(E206="","",IF(H206="Yes","❌ Disc",IF(G206="No","⚠ Missing",IF(J206="Yes","✓ OK","⚠ Check"))))</f>
        <v/>
      </c>
      <c r="N206" s="43" t="n">
        <v>46193</v>
      </c>
      <c r="O206" s="26" t="inlineStr">
        <is>
          <t>Sunil CR</t>
        </is>
      </c>
      <c r="P206" s="26" t="inlineStr">
        <is>
          <t>Yes</t>
        </is>
      </c>
      <c r="Q206" s="26" t="inlineStr">
        <is>
          <t>No</t>
        </is>
      </c>
      <c r="R206" s="26" t="inlineStr">
        <is>
          <t>Good finish</t>
        </is>
      </c>
      <c r="S206" s="26" t="inlineStr">
        <is>
          <t>Yes</t>
        </is>
      </c>
      <c r="T206" s="27" t="n"/>
      <c r="U206" s="28" t="inlineStr">
        <is>
          <t>No</t>
        </is>
      </c>
      <c r="V206" s="29">
        <f>IF(N206="","",IF(Q206="Yes","❌ Disc",IF(P206="No","⚠ Missing",IF(S206="Yes","✓ OK","⚠ Check"))))</f>
        <v/>
      </c>
      <c r="W206" s="65" t="n">
        <v>46248</v>
      </c>
      <c r="X206" s="30" t="inlineStr">
        <is>
          <t>Sunil CR</t>
        </is>
      </c>
      <c r="Y206" s="30" t="inlineStr">
        <is>
          <t>Yes</t>
        </is>
      </c>
      <c r="Z206" s="30" t="n"/>
      <c r="AA206" s="30" t="inlineStr">
        <is>
          <t>Good finish</t>
        </is>
      </c>
      <c r="AB206" s="30" t="inlineStr">
        <is>
          <t>Yes</t>
        </is>
      </c>
      <c r="AC206" s="27" t="n"/>
      <c r="AD206" s="31" t="inlineStr">
        <is>
          <t>No</t>
        </is>
      </c>
      <c r="AE206" s="32">
        <f>IF(W206="","",IF(Z206="Yes","❌ Disc",IF(Y206="No","⚠ Missing",IF(AB206="Yes","✓ OK","⚠ Check"))))</f>
        <v/>
      </c>
      <c r="AF206" s="33" t="n"/>
      <c r="AG206" s="33" t="n"/>
      <c r="AH206" s="33" t="n"/>
      <c r="AI206" s="33" t="n"/>
      <c r="AJ206" s="33" t="n"/>
      <c r="AK206" s="33" t="n"/>
      <c r="AL206" s="27" t="n"/>
      <c r="AM206" s="34" t="n"/>
      <c r="AN206" s="35">
        <f>IF(AF206="","",IF(AI206="Yes","❌ Disc",IF(AH206="No","⚠ Missing",IF(AK206="Yes","✓ OK","⚠ Check"))))</f>
        <v/>
      </c>
      <c r="AO206" s="36" t="n"/>
      <c r="AP206" s="36" t="n"/>
      <c r="AQ206" s="36" t="n"/>
      <c r="AR206" s="36" t="n"/>
      <c r="AS206" s="36" t="n"/>
      <c r="AT206" s="36" t="n"/>
      <c r="AU206" s="27" t="n"/>
      <c r="AV206" s="37" t="n"/>
      <c r="AW206" s="38">
        <f>IF(AO206="","",IF(AR206="Yes","❌ Disc",IF(AQ206="No","⚠ Missing",IF(AT206="Yes","✓ OK","⚠ Check"))))</f>
        <v/>
      </c>
    </row>
    <row r="207" ht="18" customHeight="1" s="46">
      <c r="A207" s="23" t="n">
        <v>211</v>
      </c>
      <c r="B207" s="24" t="inlineStr">
        <is>
          <t>BD-LAM-2023-0289</t>
        </is>
      </c>
      <c r="C207" s="25" t="inlineStr">
        <is>
          <t>Lam SL SD 1mm 1461 Uliano Venato Stone(Gold)</t>
        </is>
      </c>
      <c r="D207" s="23" t="inlineStr">
        <is>
          <t>Stylam</t>
        </is>
      </c>
      <c r="E207" s="43" t="n">
        <v>46125</v>
      </c>
      <c r="F207" s="26" t="inlineStr">
        <is>
          <t>Sunil CR</t>
        </is>
      </c>
      <c r="G207" s="26" t="inlineStr">
        <is>
          <t>Yes</t>
        </is>
      </c>
      <c r="H207" s="26" t="inlineStr">
        <is>
          <t>No</t>
        </is>
      </c>
      <c r="I207" s="26" t="inlineStr">
        <is>
          <t>Good finish</t>
        </is>
      </c>
      <c r="J207" s="26" t="inlineStr">
        <is>
          <t>Yes</t>
        </is>
      </c>
      <c r="K207" s="27" t="n"/>
      <c r="L207" s="28" t="inlineStr">
        <is>
          <t>No</t>
        </is>
      </c>
      <c r="M207" s="29">
        <f>IF(E207="","",IF(H207="Yes","❌ Disc",IF(G207="No","⚠ Missing",IF(J207="Yes","✓ OK","⚠ Check"))))</f>
        <v/>
      </c>
      <c r="N207" s="43" t="n">
        <v>46193</v>
      </c>
      <c r="O207" s="26" t="inlineStr">
        <is>
          <t>Sunil CR</t>
        </is>
      </c>
      <c r="P207" s="26" t="inlineStr">
        <is>
          <t>No</t>
        </is>
      </c>
      <c r="Q207" s="26" t="inlineStr">
        <is>
          <t>Yes</t>
        </is>
      </c>
      <c r="R207" s="26" t="inlineStr">
        <is>
          <t>Discontinued</t>
        </is>
      </c>
      <c r="S207" s="26" t="inlineStr">
        <is>
          <t>No</t>
        </is>
      </c>
      <c r="T207" s="27" t="n"/>
      <c r="U207" s="28" t="inlineStr">
        <is>
          <t>No</t>
        </is>
      </c>
      <c r="V207" s="29">
        <f>IF(N207="","",IF(Q207="Yes","❌ Disc",IF(P207="No","⚠ Missing",IF(S207="Yes","✓ OK","⚠ Check"))))</f>
        <v/>
      </c>
      <c r="W207" s="65" t="n">
        <v>46248</v>
      </c>
      <c r="X207" s="30" t="inlineStr">
        <is>
          <t>Sunil CR</t>
        </is>
      </c>
      <c r="Y207" s="30" t="inlineStr">
        <is>
          <t>No</t>
        </is>
      </c>
      <c r="Z207" s="30" t="inlineStr">
        <is>
          <t>Yes</t>
        </is>
      </c>
      <c r="AA207" s="30" t="inlineStr">
        <is>
          <t>Discontinued</t>
        </is>
      </c>
      <c r="AB207" s="30" t="inlineStr">
        <is>
          <t>No</t>
        </is>
      </c>
      <c r="AC207" s="27" t="n"/>
      <c r="AD207" s="31" t="inlineStr">
        <is>
          <t>No</t>
        </is>
      </c>
      <c r="AE207" s="32">
        <f>IF(W207="","",IF(Z207="Yes","❌ Disc",IF(Y207="No","⚠ Missing",IF(AB207="Yes","✓ OK","⚠ Check"))))</f>
        <v/>
      </c>
      <c r="AF207" s="33" t="n"/>
      <c r="AG207" s="33" t="n"/>
      <c r="AH207" s="33" t="n"/>
      <c r="AI207" s="33" t="n"/>
      <c r="AJ207" s="33" t="n"/>
      <c r="AK207" s="33" t="n"/>
      <c r="AL207" s="27" t="n"/>
      <c r="AM207" s="34" t="n"/>
      <c r="AN207" s="35">
        <f>IF(AF207="","",IF(AI207="Yes","❌ Disc",IF(AH207="No","⚠ Missing",IF(AK207="Yes","✓ OK","⚠ Check"))))</f>
        <v/>
      </c>
      <c r="AO207" s="36" t="n"/>
      <c r="AP207" s="36" t="n"/>
      <c r="AQ207" s="36" t="n"/>
      <c r="AR207" s="36" t="n"/>
      <c r="AS207" s="36" t="n"/>
      <c r="AT207" s="36" t="n"/>
      <c r="AU207" s="27" t="n"/>
      <c r="AV207" s="37" t="n"/>
      <c r="AW207" s="38">
        <f>IF(AO207="","",IF(AR207="Yes","❌ Disc",IF(AQ207="No","⚠ Missing",IF(AT207="Yes","✓ OK","⚠ Check"))))</f>
        <v/>
      </c>
    </row>
    <row r="208" ht="18" customHeight="1" s="46">
      <c r="A208" s="39" t="n">
        <v>212</v>
      </c>
      <c r="B208" s="40" t="inlineStr">
        <is>
          <t>BD-LAM-2023-0229</t>
        </is>
      </c>
      <c r="C208" s="41" t="inlineStr">
        <is>
          <t>Lam SL SD 1mm 1467 Opera Fantastico Stone(Gold)</t>
        </is>
      </c>
      <c r="D208" s="39" t="inlineStr">
        <is>
          <t>Stylam</t>
        </is>
      </c>
      <c r="E208" s="43" t="n">
        <v>46125</v>
      </c>
      <c r="F208" s="26" t="inlineStr">
        <is>
          <t>Sunil CR</t>
        </is>
      </c>
      <c r="G208" s="26" t="inlineStr">
        <is>
          <t>Yes</t>
        </is>
      </c>
      <c r="H208" s="26" t="inlineStr">
        <is>
          <t>No</t>
        </is>
      </c>
      <c r="I208" s="26" t="inlineStr">
        <is>
          <t>Good finish</t>
        </is>
      </c>
      <c r="J208" s="26" t="inlineStr">
        <is>
          <t>Yes</t>
        </is>
      </c>
      <c r="K208" s="27" t="inlineStr">
        <is>
          <t>Available in small book</t>
        </is>
      </c>
      <c r="L208" s="28" t="inlineStr">
        <is>
          <t>No</t>
        </is>
      </c>
      <c r="M208" s="29">
        <f>IF(E208="","",IF(H208="Yes","❌ Disc",IF(G208="No","⚠ Missing",IF(J208="Yes","✓ OK","⚠ Check"))))</f>
        <v/>
      </c>
      <c r="N208" s="43" t="n">
        <v>46193</v>
      </c>
      <c r="O208" s="26" t="inlineStr">
        <is>
          <t>Sunil CR</t>
        </is>
      </c>
      <c r="P208" s="26" t="inlineStr">
        <is>
          <t>Yes</t>
        </is>
      </c>
      <c r="Q208" s="26" t="inlineStr">
        <is>
          <t>No</t>
        </is>
      </c>
      <c r="R208" s="26" t="inlineStr">
        <is>
          <t>Good finish</t>
        </is>
      </c>
      <c r="S208" s="26" t="inlineStr">
        <is>
          <t>Yes</t>
        </is>
      </c>
      <c r="T208" s="27" t="inlineStr">
        <is>
          <t>Available in small book</t>
        </is>
      </c>
      <c r="U208" s="28" t="inlineStr">
        <is>
          <t>No</t>
        </is>
      </c>
      <c r="V208" s="29">
        <f>IF(N208="","",IF(Q208="Yes","❌ Disc",IF(P208="No","⚠ Missing",IF(S208="Yes","✓ OK","⚠ Check"))))</f>
        <v/>
      </c>
      <c r="W208" s="65" t="n">
        <v>46248</v>
      </c>
      <c r="X208" s="30" t="inlineStr">
        <is>
          <t>Sunil CR</t>
        </is>
      </c>
      <c r="Y208" s="30" t="inlineStr">
        <is>
          <t>Yes</t>
        </is>
      </c>
      <c r="Z208" s="30" t="n"/>
      <c r="AA208" s="30" t="inlineStr">
        <is>
          <t>Good finish</t>
        </is>
      </c>
      <c r="AB208" s="30" t="inlineStr">
        <is>
          <t>Yes</t>
        </is>
      </c>
      <c r="AC208" s="27" t="inlineStr">
        <is>
          <t>Available in small book</t>
        </is>
      </c>
      <c r="AD208" s="31" t="inlineStr">
        <is>
          <t>No</t>
        </is>
      </c>
      <c r="AE208" s="32">
        <f>IF(W208="","",IF(Z208="Yes","❌ Disc",IF(Y208="No","⚠ Missing",IF(AB208="Yes","✓ OK","⚠ Check"))))</f>
        <v/>
      </c>
      <c r="AF208" s="33" t="n"/>
      <c r="AG208" s="33" t="n"/>
      <c r="AH208" s="33" t="n"/>
      <c r="AI208" s="33" t="n"/>
      <c r="AJ208" s="33" t="n"/>
      <c r="AK208" s="33" t="n"/>
      <c r="AL208" s="27" t="n"/>
      <c r="AM208" s="34" t="n"/>
      <c r="AN208" s="35">
        <f>IF(AF208="","",IF(AI208="Yes","❌ Disc",IF(AH208="No","⚠ Missing",IF(AK208="Yes","✓ OK","⚠ Check"))))</f>
        <v/>
      </c>
      <c r="AO208" s="36" t="n"/>
      <c r="AP208" s="36" t="n"/>
      <c r="AQ208" s="36" t="n"/>
      <c r="AR208" s="36" t="n"/>
      <c r="AS208" s="36" t="n"/>
      <c r="AT208" s="36" t="n"/>
      <c r="AU208" s="27" t="n"/>
      <c r="AV208" s="37" t="n"/>
      <c r="AW208" s="38">
        <f>IF(AO208="","",IF(AR208="Yes","❌ Disc",IF(AQ208="No","⚠ Missing",IF(AT208="Yes","✓ OK","⚠ Check"))))</f>
        <v/>
      </c>
    </row>
    <row r="209" ht="18" customHeight="1" s="46">
      <c r="A209" s="23" t="n">
        <v>213</v>
      </c>
      <c r="B209" s="24" t="inlineStr">
        <is>
          <t>BD-LAM-2023-0175</t>
        </is>
      </c>
      <c r="C209" s="25" t="inlineStr">
        <is>
          <t>Lam SL SD 1mm 1473 Giallo Brooklyn(Gold)</t>
        </is>
      </c>
      <c r="D209" s="23" t="inlineStr">
        <is>
          <t>Stylam</t>
        </is>
      </c>
      <c r="E209" s="43" t="n">
        <v>46125</v>
      </c>
      <c r="F209" s="26" t="inlineStr">
        <is>
          <t>Sunil CR</t>
        </is>
      </c>
      <c r="G209" s="26" t="inlineStr">
        <is>
          <t>Yes</t>
        </is>
      </c>
      <c r="H209" s="26" t="inlineStr">
        <is>
          <t>No</t>
        </is>
      </c>
      <c r="I209" s="26" t="inlineStr">
        <is>
          <t>Good finish</t>
        </is>
      </c>
      <c r="J209" s="26" t="inlineStr">
        <is>
          <t>Yes</t>
        </is>
      </c>
      <c r="K209" s="27" t="n"/>
      <c r="L209" s="28" t="inlineStr">
        <is>
          <t>No</t>
        </is>
      </c>
      <c r="M209" s="29">
        <f>IF(E209="","",IF(H209="Yes","❌ Disc",IF(G209="No","⚠ Missing",IF(J209="Yes","✓ OK","⚠ Check"))))</f>
        <v/>
      </c>
      <c r="N209" s="43" t="n">
        <v>46193</v>
      </c>
      <c r="O209" s="26" t="inlineStr">
        <is>
          <t>Sunil CR</t>
        </is>
      </c>
      <c r="P209" s="26" t="inlineStr">
        <is>
          <t>Yes</t>
        </is>
      </c>
      <c r="Q209" s="26" t="inlineStr">
        <is>
          <t>No</t>
        </is>
      </c>
      <c r="R209" s="26" t="inlineStr">
        <is>
          <t>Good finish</t>
        </is>
      </c>
      <c r="S209" s="26" t="inlineStr">
        <is>
          <t>Yes</t>
        </is>
      </c>
      <c r="T209" s="27" t="n"/>
      <c r="U209" s="28" t="inlineStr">
        <is>
          <t>No</t>
        </is>
      </c>
      <c r="V209" s="29">
        <f>IF(N209="","",IF(Q209="Yes","❌ Disc",IF(P209="No","⚠ Missing",IF(S209="Yes","✓ OK","⚠ Check"))))</f>
        <v/>
      </c>
      <c r="W209" s="65" t="n">
        <v>46248</v>
      </c>
      <c r="X209" s="30" t="inlineStr">
        <is>
          <t>Sunil CR</t>
        </is>
      </c>
      <c r="Y209" s="30" t="inlineStr">
        <is>
          <t>Yes</t>
        </is>
      </c>
      <c r="Z209" s="30" t="n"/>
      <c r="AA209" s="30" t="inlineStr">
        <is>
          <t>Good finish</t>
        </is>
      </c>
      <c r="AB209" s="30" t="inlineStr">
        <is>
          <t>Yes</t>
        </is>
      </c>
      <c r="AC209" s="27" t="n"/>
      <c r="AD209" s="31" t="inlineStr">
        <is>
          <t>No</t>
        </is>
      </c>
      <c r="AE209" s="32">
        <f>IF(W209="","",IF(Z209="Yes","❌ Disc",IF(Y209="No","⚠ Missing",IF(AB209="Yes","✓ OK","⚠ Check"))))</f>
        <v/>
      </c>
      <c r="AF209" s="33" t="n"/>
      <c r="AG209" s="33" t="n"/>
      <c r="AH209" s="33" t="n"/>
      <c r="AI209" s="33" t="n"/>
      <c r="AJ209" s="33" t="n"/>
      <c r="AK209" s="33" t="n"/>
      <c r="AL209" s="27" t="n"/>
      <c r="AM209" s="34" t="n"/>
      <c r="AN209" s="35">
        <f>IF(AF209="","",IF(AI209="Yes","❌ Disc",IF(AH209="No","⚠ Missing",IF(AK209="Yes","✓ OK","⚠ Check"))))</f>
        <v/>
      </c>
      <c r="AO209" s="36" t="n"/>
      <c r="AP209" s="36" t="n"/>
      <c r="AQ209" s="36" t="n"/>
      <c r="AR209" s="36" t="n"/>
      <c r="AS209" s="36" t="n"/>
      <c r="AT209" s="36" t="n"/>
      <c r="AU209" s="27" t="n"/>
      <c r="AV209" s="37" t="n"/>
      <c r="AW209" s="38">
        <f>IF(AO209="","",IF(AR209="Yes","❌ Disc",IF(AQ209="No","⚠ Missing",IF(AT209="Yes","✓ OK","⚠ Check"))))</f>
        <v/>
      </c>
    </row>
    <row r="210" ht="18" customHeight="1" s="46">
      <c r="A210" s="39" t="n">
        <v>214</v>
      </c>
      <c r="B210" s="40" t="inlineStr">
        <is>
          <t>BD-LAM-2023-0171</t>
        </is>
      </c>
      <c r="C210" s="41" t="inlineStr">
        <is>
          <t>Lam SL SD 1mm 1488 Fungi Lavant(Gold)</t>
        </is>
      </c>
      <c r="D210" s="39" t="inlineStr">
        <is>
          <t>Stylam</t>
        </is>
      </c>
      <c r="E210" s="43" t="n">
        <v>46125</v>
      </c>
      <c r="F210" s="26" t="inlineStr">
        <is>
          <t>Sunil CR</t>
        </is>
      </c>
      <c r="G210" s="26" t="inlineStr">
        <is>
          <t>Yes</t>
        </is>
      </c>
      <c r="H210" s="26" t="inlineStr">
        <is>
          <t>No</t>
        </is>
      </c>
      <c r="I210" s="26" t="inlineStr">
        <is>
          <t>Good finish</t>
        </is>
      </c>
      <c r="J210" s="26" t="inlineStr">
        <is>
          <t>Yes</t>
        </is>
      </c>
      <c r="K210" s="27" t="inlineStr">
        <is>
          <t>Available in small book</t>
        </is>
      </c>
      <c r="L210" s="28" t="inlineStr">
        <is>
          <t>No</t>
        </is>
      </c>
      <c r="M210" s="29">
        <f>IF(E210="","",IF(H210="Yes","❌ Disc",IF(G210="No","⚠ Missing",IF(J210="Yes","✓ OK","⚠ Check"))))</f>
        <v/>
      </c>
      <c r="N210" s="43" t="n">
        <v>46193</v>
      </c>
      <c r="O210" s="26" t="inlineStr">
        <is>
          <t>Sunil CR</t>
        </is>
      </c>
      <c r="P210" s="26" t="inlineStr">
        <is>
          <t>No</t>
        </is>
      </c>
      <c r="Q210" s="26" t="inlineStr">
        <is>
          <t>Yes</t>
        </is>
      </c>
      <c r="R210" s="26" t="inlineStr">
        <is>
          <t>Discontinued</t>
        </is>
      </c>
      <c r="S210" s="26" t="inlineStr">
        <is>
          <t>No</t>
        </is>
      </c>
      <c r="T210" s="27" t="n"/>
      <c r="U210" s="28" t="inlineStr">
        <is>
          <t>No</t>
        </is>
      </c>
      <c r="V210" s="29">
        <f>IF(N210="","",IF(Q210="Yes","❌ Disc",IF(P210="No","⚠ Missing",IF(S210="Yes","✓ OK","⚠ Check"))))</f>
        <v/>
      </c>
      <c r="W210" s="65" t="n">
        <v>46248</v>
      </c>
      <c r="X210" s="30" t="inlineStr">
        <is>
          <t>Sunil CR</t>
        </is>
      </c>
      <c r="Y210" s="30" t="inlineStr">
        <is>
          <t>No</t>
        </is>
      </c>
      <c r="Z210" s="30" t="inlineStr">
        <is>
          <t>Yes</t>
        </is>
      </c>
      <c r="AA210" s="30" t="inlineStr">
        <is>
          <t>Discontinued</t>
        </is>
      </c>
      <c r="AB210" s="30" t="inlineStr">
        <is>
          <t>No</t>
        </is>
      </c>
      <c r="AC210" s="27" t="n"/>
      <c r="AD210" s="31" t="inlineStr">
        <is>
          <t>No</t>
        </is>
      </c>
      <c r="AE210" s="32">
        <f>IF(W210="","",IF(Z210="Yes","❌ Disc",IF(Y210="No","⚠ Missing",IF(AB210="Yes","✓ OK","⚠ Check"))))</f>
        <v/>
      </c>
      <c r="AF210" s="33" t="n"/>
      <c r="AG210" s="33" t="n"/>
      <c r="AH210" s="33" t="n"/>
      <c r="AI210" s="33" t="n"/>
      <c r="AJ210" s="33" t="n"/>
      <c r="AK210" s="33" t="n"/>
      <c r="AL210" s="27" t="n"/>
      <c r="AM210" s="34" t="n"/>
      <c r="AN210" s="35">
        <f>IF(AF210="","",IF(AI210="Yes","❌ Disc",IF(AH210="No","⚠ Missing",IF(AK210="Yes","✓ OK","⚠ Check"))))</f>
        <v/>
      </c>
      <c r="AO210" s="36" t="n"/>
      <c r="AP210" s="36" t="n"/>
      <c r="AQ210" s="36" t="n"/>
      <c r="AR210" s="36" t="n"/>
      <c r="AS210" s="36" t="n"/>
      <c r="AT210" s="36" t="n"/>
      <c r="AU210" s="27" t="n"/>
      <c r="AV210" s="37" t="n"/>
      <c r="AW210" s="38">
        <f>IF(AO210="","",IF(AR210="Yes","❌ Disc",IF(AQ210="No","⚠ Missing",IF(AT210="Yes","✓ OK","⚠ Check"))))</f>
        <v/>
      </c>
    </row>
    <row r="211" ht="18" customHeight="1" s="46">
      <c r="A211" s="23" t="n">
        <v>215</v>
      </c>
      <c r="B211" s="24" t="inlineStr">
        <is>
          <t>BD-LAM-2023-0134</t>
        </is>
      </c>
      <c r="C211" s="25" t="inlineStr">
        <is>
          <t>Lam SL SD 1mm 1560 Cloud Concrete(Gold) [BBP]</t>
        </is>
      </c>
      <c r="D211" s="23" t="inlineStr">
        <is>
          <t>Stylam</t>
        </is>
      </c>
      <c r="E211" s="43" t="n">
        <v>46125</v>
      </c>
      <c r="F211" s="26" t="inlineStr">
        <is>
          <t>Sunil CR</t>
        </is>
      </c>
      <c r="G211" s="26" t="inlineStr">
        <is>
          <t>Yes</t>
        </is>
      </c>
      <c r="H211" s="26" t="inlineStr">
        <is>
          <t>No</t>
        </is>
      </c>
      <c r="I211" s="26" t="inlineStr">
        <is>
          <t>Good finish</t>
        </is>
      </c>
      <c r="J211" s="26" t="inlineStr">
        <is>
          <t>Yes</t>
        </is>
      </c>
      <c r="K211" s="27" t="n"/>
      <c r="L211" s="28" t="inlineStr">
        <is>
          <t>No</t>
        </is>
      </c>
      <c r="M211" s="29">
        <f>IF(E211="","",IF(H211="Yes","❌ Disc",IF(G211="No","⚠ Missing",IF(J211="Yes","✓ OK","⚠ Check"))))</f>
        <v/>
      </c>
      <c r="N211" s="43" t="n">
        <v>46193</v>
      </c>
      <c r="O211" s="26" t="inlineStr">
        <is>
          <t>Sunil CR</t>
        </is>
      </c>
      <c r="P211" s="26" t="inlineStr">
        <is>
          <t>No</t>
        </is>
      </c>
      <c r="Q211" s="26" t="inlineStr">
        <is>
          <t>Yes</t>
        </is>
      </c>
      <c r="R211" s="26" t="inlineStr">
        <is>
          <t>Discontinued</t>
        </is>
      </c>
      <c r="S211" s="26" t="inlineStr">
        <is>
          <t>No</t>
        </is>
      </c>
      <c r="T211" s="27" t="n"/>
      <c r="U211" s="28" t="inlineStr">
        <is>
          <t>No</t>
        </is>
      </c>
      <c r="V211" s="29">
        <f>IF(N211="","",IF(Q211="Yes","❌ Disc",IF(P211="No","⚠ Missing",IF(S211="Yes","✓ OK","⚠ Check"))))</f>
        <v/>
      </c>
      <c r="W211" s="65" t="n">
        <v>46248</v>
      </c>
      <c r="X211" s="30" t="inlineStr">
        <is>
          <t>Sunil CR</t>
        </is>
      </c>
      <c r="Y211" s="30" t="inlineStr">
        <is>
          <t>No</t>
        </is>
      </c>
      <c r="Z211" s="30" t="inlineStr">
        <is>
          <t>Yes</t>
        </is>
      </c>
      <c r="AA211" s="30" t="inlineStr">
        <is>
          <t>Discontinued</t>
        </is>
      </c>
      <c r="AB211" s="30" t="inlineStr">
        <is>
          <t>No</t>
        </is>
      </c>
      <c r="AC211" s="27" t="n"/>
      <c r="AD211" s="31" t="inlineStr">
        <is>
          <t>No</t>
        </is>
      </c>
      <c r="AE211" s="32">
        <f>IF(W211="","",IF(Z211="Yes","❌ Disc",IF(Y211="No","⚠ Missing",IF(AB211="Yes","✓ OK","⚠ Check"))))</f>
        <v/>
      </c>
      <c r="AF211" s="33" t="n"/>
      <c r="AG211" s="33" t="n"/>
      <c r="AH211" s="33" t="n"/>
      <c r="AI211" s="33" t="n"/>
      <c r="AJ211" s="33" t="n"/>
      <c r="AK211" s="33" t="n"/>
      <c r="AL211" s="27" t="n"/>
      <c r="AM211" s="34" t="n"/>
      <c r="AN211" s="35">
        <f>IF(AF211="","",IF(AI211="Yes","❌ Disc",IF(AH211="No","⚠ Missing",IF(AK211="Yes","✓ OK","⚠ Check"))))</f>
        <v/>
      </c>
      <c r="AO211" s="36" t="n"/>
      <c r="AP211" s="36" t="n"/>
      <c r="AQ211" s="36" t="n"/>
      <c r="AR211" s="36" t="n"/>
      <c r="AS211" s="36" t="n"/>
      <c r="AT211" s="36" t="n"/>
      <c r="AU211" s="27" t="n"/>
      <c r="AV211" s="37" t="n"/>
      <c r="AW211" s="38">
        <f>IF(AO211="","",IF(AR211="Yes","❌ Disc",IF(AQ211="No","⚠ Missing",IF(AT211="Yes","✓ OK","⚠ Check"))))</f>
        <v/>
      </c>
    </row>
    <row r="212" ht="18" customHeight="1" s="46">
      <c r="A212" s="39" t="n">
        <v>216</v>
      </c>
      <c r="B212" s="40" t="inlineStr">
        <is>
          <t>BD-LAM-2023-0119</t>
        </is>
      </c>
      <c r="C212" s="41" t="inlineStr">
        <is>
          <t>Lam SL SD 1mm 1566 Burmese Lotus(Gold)</t>
        </is>
      </c>
      <c r="D212" s="39" t="inlineStr">
        <is>
          <t>Stylam</t>
        </is>
      </c>
      <c r="E212" s="43" t="n">
        <v>46125</v>
      </c>
      <c r="F212" s="26" t="inlineStr">
        <is>
          <t>Sunil CR</t>
        </is>
      </c>
      <c r="G212" s="26" t="inlineStr">
        <is>
          <t>Yes</t>
        </is>
      </c>
      <c r="H212" s="26" t="inlineStr">
        <is>
          <t>No</t>
        </is>
      </c>
      <c r="I212" s="26" t="inlineStr">
        <is>
          <t>Good finish</t>
        </is>
      </c>
      <c r="J212" s="26" t="inlineStr">
        <is>
          <t>Yes</t>
        </is>
      </c>
      <c r="K212" s="27" t="n"/>
      <c r="L212" s="28" t="inlineStr">
        <is>
          <t>No</t>
        </is>
      </c>
      <c r="M212" s="29">
        <f>IF(E212="","",IF(H212="Yes","❌ Disc",IF(G212="No","⚠ Missing",IF(J212="Yes","✓ OK","⚠ Check"))))</f>
        <v/>
      </c>
      <c r="N212" s="43" t="n">
        <v>46193</v>
      </c>
      <c r="O212" s="26" t="inlineStr">
        <is>
          <t>Sunil CR</t>
        </is>
      </c>
      <c r="P212" s="26" t="inlineStr">
        <is>
          <t>No</t>
        </is>
      </c>
      <c r="Q212" s="26" t="inlineStr">
        <is>
          <t>Yes</t>
        </is>
      </c>
      <c r="R212" s="26" t="inlineStr">
        <is>
          <t>Discontinued</t>
        </is>
      </c>
      <c r="S212" s="26" t="inlineStr">
        <is>
          <t>No</t>
        </is>
      </c>
      <c r="T212" s="27" t="n"/>
      <c r="U212" s="28" t="inlineStr">
        <is>
          <t>No</t>
        </is>
      </c>
      <c r="V212" s="29">
        <f>IF(N212="","",IF(Q212="Yes","❌ Disc",IF(P212="No","⚠ Missing",IF(S212="Yes","✓ OK","⚠ Check"))))</f>
        <v/>
      </c>
      <c r="W212" s="65" t="n">
        <v>46248</v>
      </c>
      <c r="X212" s="30" t="inlineStr">
        <is>
          <t>Sunil CR</t>
        </is>
      </c>
      <c r="Y212" s="30" t="inlineStr">
        <is>
          <t>No</t>
        </is>
      </c>
      <c r="Z212" s="30" t="inlineStr">
        <is>
          <t>Yes</t>
        </is>
      </c>
      <c r="AA212" s="30" t="inlineStr">
        <is>
          <t>Discontinued</t>
        </is>
      </c>
      <c r="AB212" s="30" t="inlineStr">
        <is>
          <t>No</t>
        </is>
      </c>
      <c r="AC212" s="27" t="n"/>
      <c r="AD212" s="31" t="inlineStr">
        <is>
          <t>No</t>
        </is>
      </c>
      <c r="AE212" s="32">
        <f>IF(W212="","",IF(Z212="Yes","❌ Disc",IF(Y212="No","⚠ Missing",IF(AB212="Yes","✓ OK","⚠ Check"))))</f>
        <v/>
      </c>
      <c r="AF212" s="33" t="n"/>
      <c r="AG212" s="33" t="n"/>
      <c r="AH212" s="33" t="n"/>
      <c r="AI212" s="33" t="n"/>
      <c r="AJ212" s="33" t="n"/>
      <c r="AK212" s="33" t="n"/>
      <c r="AL212" s="27" t="n"/>
      <c r="AM212" s="34" t="n"/>
      <c r="AN212" s="35">
        <f>IF(AF212="","",IF(AI212="Yes","❌ Disc",IF(AH212="No","⚠ Missing",IF(AK212="Yes","✓ OK","⚠ Check"))))</f>
        <v/>
      </c>
      <c r="AO212" s="36" t="n"/>
      <c r="AP212" s="36" t="n"/>
      <c r="AQ212" s="36" t="n"/>
      <c r="AR212" s="36" t="n"/>
      <c r="AS212" s="36" t="n"/>
      <c r="AT212" s="36" t="n"/>
      <c r="AU212" s="27" t="n"/>
      <c r="AV212" s="37" t="n"/>
      <c r="AW212" s="38">
        <f>IF(AO212="","",IF(AR212="Yes","❌ Disc",IF(AQ212="No","⚠ Missing",IF(AT212="Yes","✓ OK","⚠ Check"))))</f>
        <v/>
      </c>
    </row>
    <row r="213" ht="18" customHeight="1" s="46">
      <c r="A213" s="23" t="n">
        <v>217</v>
      </c>
      <c r="B213" s="24" t="inlineStr">
        <is>
          <t>BD-LAM-2024-0066</t>
        </is>
      </c>
      <c r="C213" s="25" t="inlineStr">
        <is>
          <t>Lam SL SD 1mm 1587 Harley Marble(Gold)</t>
        </is>
      </c>
      <c r="D213" s="23" t="inlineStr">
        <is>
          <t>Stylam</t>
        </is>
      </c>
      <c r="E213" s="43" t="n">
        <v>46125</v>
      </c>
      <c r="F213" s="26" t="inlineStr">
        <is>
          <t>Sunil CR</t>
        </is>
      </c>
      <c r="G213" s="26" t="inlineStr">
        <is>
          <t>Yes</t>
        </is>
      </c>
      <c r="H213" s="26" t="inlineStr">
        <is>
          <t>No</t>
        </is>
      </c>
      <c r="I213" s="26" t="inlineStr">
        <is>
          <t>Good finish</t>
        </is>
      </c>
      <c r="J213" s="26" t="inlineStr">
        <is>
          <t>Yes</t>
        </is>
      </c>
      <c r="K213" s="27" t="n"/>
      <c r="L213" s="28" t="inlineStr">
        <is>
          <t>No</t>
        </is>
      </c>
      <c r="M213" s="29">
        <f>IF(E213="","",IF(H213="Yes","❌ Disc",IF(G213="No","⚠ Missing",IF(J213="Yes","✓ OK","⚠ Check"))))</f>
        <v/>
      </c>
      <c r="N213" s="43" t="n">
        <v>46193</v>
      </c>
      <c r="O213" s="26" t="inlineStr">
        <is>
          <t>Sunil CR</t>
        </is>
      </c>
      <c r="P213" s="26" t="inlineStr">
        <is>
          <t>Yes</t>
        </is>
      </c>
      <c r="Q213" s="26" t="inlineStr">
        <is>
          <t>No</t>
        </is>
      </c>
      <c r="R213" s="26" t="inlineStr">
        <is>
          <t>Good finish</t>
        </is>
      </c>
      <c r="S213" s="26" t="inlineStr">
        <is>
          <t>Yes</t>
        </is>
      </c>
      <c r="T213" s="27" t="n"/>
      <c r="U213" s="28" t="inlineStr">
        <is>
          <t>No</t>
        </is>
      </c>
      <c r="V213" s="29">
        <f>IF(N213="","",IF(Q213="Yes","❌ Disc",IF(P213="No","⚠ Missing",IF(S213="Yes","✓ OK","⚠ Check"))))</f>
        <v/>
      </c>
      <c r="W213" s="65" t="n">
        <v>46248</v>
      </c>
      <c r="X213" s="30" t="inlineStr">
        <is>
          <t>Sunil CR</t>
        </is>
      </c>
      <c r="Y213" s="30" t="inlineStr">
        <is>
          <t>Yes</t>
        </is>
      </c>
      <c r="Z213" s="30" t="n"/>
      <c r="AA213" s="30" t="inlineStr">
        <is>
          <t>Good finish</t>
        </is>
      </c>
      <c r="AB213" s="30" t="inlineStr">
        <is>
          <t>Yes</t>
        </is>
      </c>
      <c r="AC213" s="27" t="n"/>
      <c r="AD213" s="31" t="inlineStr">
        <is>
          <t>No</t>
        </is>
      </c>
      <c r="AE213" s="32">
        <f>IF(W213="","",IF(Z213="Yes","❌ Disc",IF(Y213="No","⚠ Missing",IF(AB213="Yes","✓ OK","⚠ Check"))))</f>
        <v/>
      </c>
      <c r="AF213" s="33" t="n"/>
      <c r="AG213" s="33" t="n"/>
      <c r="AH213" s="33" t="n"/>
      <c r="AI213" s="33" t="n"/>
      <c r="AJ213" s="33" t="n"/>
      <c r="AK213" s="33" t="n"/>
      <c r="AL213" s="27" t="n"/>
      <c r="AM213" s="34" t="n"/>
      <c r="AN213" s="35">
        <f>IF(AF213="","",IF(AI213="Yes","❌ Disc",IF(AH213="No","⚠ Missing",IF(AK213="Yes","✓ OK","⚠ Check"))))</f>
        <v/>
      </c>
      <c r="AO213" s="36" t="n"/>
      <c r="AP213" s="36" t="n"/>
      <c r="AQ213" s="36" t="n"/>
      <c r="AR213" s="36" t="n"/>
      <c r="AS213" s="36" t="n"/>
      <c r="AT213" s="36" t="n"/>
      <c r="AU213" s="27" t="n"/>
      <c r="AV213" s="37" t="n"/>
      <c r="AW213" s="38">
        <f>IF(AO213="","",IF(AR213="Yes","❌ Disc",IF(AQ213="No","⚠ Missing",IF(AT213="Yes","✓ OK","⚠ Check"))))</f>
        <v/>
      </c>
    </row>
    <row r="214" ht="18" customHeight="1" s="46">
      <c r="A214" s="39" t="n">
        <v>218</v>
      </c>
      <c r="B214" s="40" t="inlineStr">
        <is>
          <t>BD-LAM-2024-0049</t>
        </is>
      </c>
      <c r="C214" s="41" t="inlineStr">
        <is>
          <t>Lam SL SD 1mm 1588 Tussock Beige(Gold)</t>
        </is>
      </c>
      <c r="D214" s="39" t="inlineStr">
        <is>
          <t>Stylam</t>
        </is>
      </c>
      <c r="E214" s="43" t="n">
        <v>46125</v>
      </c>
      <c r="F214" s="26" t="inlineStr">
        <is>
          <t>Sunil CR</t>
        </is>
      </c>
      <c r="G214" s="26" t="inlineStr">
        <is>
          <t>Yes</t>
        </is>
      </c>
      <c r="H214" s="26" t="inlineStr">
        <is>
          <t>No</t>
        </is>
      </c>
      <c r="I214" s="26" t="inlineStr">
        <is>
          <t>Good finish</t>
        </is>
      </c>
      <c r="J214" s="26" t="inlineStr">
        <is>
          <t>Yes</t>
        </is>
      </c>
      <c r="K214" s="27" t="n"/>
      <c r="L214" s="28" t="inlineStr">
        <is>
          <t>No</t>
        </is>
      </c>
      <c r="M214" s="29">
        <f>IF(E214="","",IF(H214="Yes","❌ Disc",IF(G214="No","⚠ Missing",IF(J214="Yes","✓ OK","⚠ Check"))))</f>
        <v/>
      </c>
      <c r="N214" s="43" t="n">
        <v>46193</v>
      </c>
      <c r="O214" s="26" t="inlineStr">
        <is>
          <t>Sunil CR</t>
        </is>
      </c>
      <c r="P214" s="26" t="inlineStr">
        <is>
          <t>Yes</t>
        </is>
      </c>
      <c r="Q214" s="26" t="inlineStr">
        <is>
          <t>No</t>
        </is>
      </c>
      <c r="R214" s="26" t="inlineStr">
        <is>
          <t>Good finish</t>
        </is>
      </c>
      <c r="S214" s="26" t="inlineStr">
        <is>
          <t>Yes</t>
        </is>
      </c>
      <c r="T214" s="27" t="n"/>
      <c r="U214" s="28" t="inlineStr">
        <is>
          <t>No</t>
        </is>
      </c>
      <c r="V214" s="29">
        <f>IF(N214="","",IF(Q214="Yes","❌ Disc",IF(P214="No","⚠ Missing",IF(S214="Yes","✓ OK","⚠ Check"))))</f>
        <v/>
      </c>
      <c r="W214" s="65" t="n">
        <v>46248</v>
      </c>
      <c r="X214" s="30" t="inlineStr">
        <is>
          <t>Sunil CR</t>
        </is>
      </c>
      <c r="Y214" s="30" t="inlineStr">
        <is>
          <t>Yes</t>
        </is>
      </c>
      <c r="Z214" s="30" t="n"/>
      <c r="AA214" s="30" t="inlineStr">
        <is>
          <t>Good finish</t>
        </is>
      </c>
      <c r="AB214" s="30" t="inlineStr">
        <is>
          <t>Yes</t>
        </is>
      </c>
      <c r="AC214" s="27" t="n"/>
      <c r="AD214" s="31" t="inlineStr">
        <is>
          <t>No</t>
        </is>
      </c>
      <c r="AE214" s="32">
        <f>IF(W214="","",IF(Z214="Yes","❌ Disc",IF(Y214="No","⚠ Missing",IF(AB214="Yes","✓ OK","⚠ Check"))))</f>
        <v/>
      </c>
      <c r="AF214" s="33" t="n"/>
      <c r="AG214" s="33" t="n"/>
      <c r="AH214" s="33" t="n"/>
      <c r="AI214" s="33" t="n"/>
      <c r="AJ214" s="33" t="n"/>
      <c r="AK214" s="33" t="n"/>
      <c r="AL214" s="27" t="n"/>
      <c r="AM214" s="34" t="n"/>
      <c r="AN214" s="35">
        <f>IF(AF214="","",IF(AI214="Yes","❌ Disc",IF(AH214="No","⚠ Missing",IF(AK214="Yes","✓ OK","⚠ Check"))))</f>
        <v/>
      </c>
      <c r="AO214" s="36" t="n"/>
      <c r="AP214" s="36" t="n"/>
      <c r="AQ214" s="36" t="n"/>
      <c r="AR214" s="36" t="n"/>
      <c r="AS214" s="36" t="n"/>
      <c r="AT214" s="36" t="n"/>
      <c r="AU214" s="27" t="n"/>
      <c r="AV214" s="37" t="n"/>
      <c r="AW214" s="38">
        <f>IF(AO214="","",IF(AR214="Yes","❌ Disc",IF(AQ214="No","⚠ Missing",IF(AT214="Yes","✓ OK","⚠ Check"))))</f>
        <v/>
      </c>
    </row>
    <row r="215" ht="18" customHeight="1" s="46">
      <c r="A215" s="23" t="n">
        <v>219</v>
      </c>
      <c r="B215" s="24" t="inlineStr">
        <is>
          <t>BD-LAM-2023-0239</t>
        </is>
      </c>
      <c r="C215" s="25" t="inlineStr">
        <is>
          <t>Lam SL SD 1mm 1589 Pearl Metallic(Gold) [BBP]</t>
        </is>
      </c>
      <c r="D215" s="23" t="inlineStr">
        <is>
          <t>Stylam</t>
        </is>
      </c>
      <c r="E215" s="43" t="n">
        <v>46125</v>
      </c>
      <c r="F215" s="26" t="inlineStr">
        <is>
          <t>Sunil CR</t>
        </is>
      </c>
      <c r="G215" s="26" t="inlineStr">
        <is>
          <t>Yes</t>
        </is>
      </c>
      <c r="H215" s="26" t="inlineStr">
        <is>
          <t>No</t>
        </is>
      </c>
      <c r="I215" s="26" t="inlineStr">
        <is>
          <t>Minor defect</t>
        </is>
      </c>
      <c r="J215" s="26" t="inlineStr">
        <is>
          <t>No</t>
        </is>
      </c>
      <c r="K215" s="27" t="inlineStr">
        <is>
          <t>Name Sticker to be Changed</t>
        </is>
      </c>
      <c r="L215" s="28" t="inlineStr">
        <is>
          <t>Yes</t>
        </is>
      </c>
      <c r="M215" s="29">
        <f>IF(E215="","",IF(H215="Yes","❌ Disc",IF(G215="No","⚠ Missing",IF(J215="Yes","✓ OK","⚠ Check"))))</f>
        <v/>
      </c>
      <c r="N215" s="43" t="n">
        <v>46193</v>
      </c>
      <c r="O215" s="26" t="inlineStr">
        <is>
          <t>Sunil CR</t>
        </is>
      </c>
      <c r="P215" s="26" t="inlineStr">
        <is>
          <t>Yes</t>
        </is>
      </c>
      <c r="Q215" s="26" t="inlineStr">
        <is>
          <t>No</t>
        </is>
      </c>
      <c r="R215" s="26" t="inlineStr">
        <is>
          <t>Minor defect</t>
        </is>
      </c>
      <c r="S215" s="26" t="inlineStr">
        <is>
          <t>No</t>
        </is>
      </c>
      <c r="T215" s="27" t="inlineStr">
        <is>
          <t>Name Sticker to be Changed</t>
        </is>
      </c>
      <c r="U215" s="28" t="inlineStr">
        <is>
          <t>Yes</t>
        </is>
      </c>
      <c r="V215" s="29">
        <f>IF(N215="","",IF(Q215="Yes","❌ Disc",IF(P215="No","⚠ Missing",IF(S215="Yes","✓ OK","⚠ Check"))))</f>
        <v/>
      </c>
      <c r="W215" s="65" t="n">
        <v>46248</v>
      </c>
      <c r="X215" s="30" t="inlineStr">
        <is>
          <t>Sunil CR</t>
        </is>
      </c>
      <c r="Y215" s="30" t="inlineStr">
        <is>
          <t>Yes</t>
        </is>
      </c>
      <c r="Z215" s="30" t="n"/>
      <c r="AA215" s="30" t="inlineStr">
        <is>
          <t>Minor defect</t>
        </is>
      </c>
      <c r="AB215" s="30" t="inlineStr">
        <is>
          <t>No</t>
        </is>
      </c>
      <c r="AC215" s="27" t="inlineStr">
        <is>
          <t>Name Sticker to be Changed</t>
        </is>
      </c>
      <c r="AD215" s="31" t="inlineStr">
        <is>
          <t>Yes</t>
        </is>
      </c>
      <c r="AE215" s="32">
        <f>IF(W215="","",IF(Z215="Yes","❌ Disc",IF(Y215="No","⚠ Missing",IF(AB215="Yes","✓ OK","⚠ Check"))))</f>
        <v/>
      </c>
      <c r="AF215" s="33" t="n"/>
      <c r="AG215" s="33" t="n"/>
      <c r="AH215" s="33" t="n"/>
      <c r="AI215" s="33" t="n"/>
      <c r="AJ215" s="33" t="n"/>
      <c r="AK215" s="33" t="n"/>
      <c r="AL215" s="27" t="n"/>
      <c r="AM215" s="34" t="n"/>
      <c r="AN215" s="35">
        <f>IF(AF215="","",IF(AI215="Yes","❌ Disc",IF(AH215="No","⚠ Missing",IF(AK215="Yes","✓ OK","⚠ Check"))))</f>
        <v/>
      </c>
      <c r="AO215" s="36" t="n"/>
      <c r="AP215" s="36" t="n"/>
      <c r="AQ215" s="36" t="n"/>
      <c r="AR215" s="36" t="n"/>
      <c r="AS215" s="36" t="n"/>
      <c r="AT215" s="36" t="n"/>
      <c r="AU215" s="27" t="n"/>
      <c r="AV215" s="37" t="n"/>
      <c r="AW215" s="38">
        <f>IF(AO215="","",IF(AR215="Yes","❌ Disc",IF(AQ215="No","⚠ Missing",IF(AT215="Yes","✓ OK","⚠ Check"))))</f>
        <v/>
      </c>
    </row>
    <row r="216" ht="18" customHeight="1" s="46">
      <c r="A216" s="39" t="n">
        <v>220</v>
      </c>
      <c r="B216" s="40" t="inlineStr">
        <is>
          <t>BD-LAM-2023-0307</t>
        </is>
      </c>
      <c r="C216" s="41" t="inlineStr">
        <is>
          <t>Lam SL SD 1mm 1590 Wickham Grey(Gold)</t>
        </is>
      </c>
      <c r="D216" s="39" t="inlineStr">
        <is>
          <t>Stylam</t>
        </is>
      </c>
      <c r="E216" s="43" t="n">
        <v>46125</v>
      </c>
      <c r="F216" s="26" t="inlineStr">
        <is>
          <t>Sunil CR</t>
        </is>
      </c>
      <c r="G216" s="26" t="inlineStr">
        <is>
          <t>Yes</t>
        </is>
      </c>
      <c r="H216" s="26" t="inlineStr">
        <is>
          <t>No</t>
        </is>
      </c>
      <c r="I216" s="26" t="inlineStr">
        <is>
          <t>Good finish</t>
        </is>
      </c>
      <c r="J216" s="26" t="inlineStr">
        <is>
          <t>Yes</t>
        </is>
      </c>
      <c r="K216" s="27" t="n"/>
      <c r="L216" s="28" t="inlineStr">
        <is>
          <t>No</t>
        </is>
      </c>
      <c r="M216" s="29">
        <f>IF(E216="","",IF(H216="Yes","❌ Disc",IF(G216="No","⚠ Missing",IF(J216="Yes","✓ OK","⚠ Check"))))</f>
        <v/>
      </c>
      <c r="N216" s="43" t="n">
        <v>46193</v>
      </c>
      <c r="O216" s="26" t="inlineStr">
        <is>
          <t>Sunil CR</t>
        </is>
      </c>
      <c r="P216" s="26" t="inlineStr">
        <is>
          <t>Yes</t>
        </is>
      </c>
      <c r="Q216" s="26" t="inlineStr">
        <is>
          <t>No</t>
        </is>
      </c>
      <c r="R216" s="26" t="inlineStr">
        <is>
          <t>Good finish</t>
        </is>
      </c>
      <c r="S216" s="26" t="inlineStr">
        <is>
          <t>Yes</t>
        </is>
      </c>
      <c r="T216" s="27" t="n"/>
      <c r="U216" s="28" t="inlineStr">
        <is>
          <t>No</t>
        </is>
      </c>
      <c r="V216" s="29">
        <f>IF(N216="","",IF(Q216="Yes","❌ Disc",IF(P216="No","⚠ Missing",IF(S216="Yes","✓ OK","⚠ Check"))))</f>
        <v/>
      </c>
      <c r="W216" s="65" t="n">
        <v>46248</v>
      </c>
      <c r="X216" s="30" t="inlineStr">
        <is>
          <t>Sunil CR</t>
        </is>
      </c>
      <c r="Y216" s="30" t="inlineStr">
        <is>
          <t>Yes</t>
        </is>
      </c>
      <c r="Z216" s="30" t="n"/>
      <c r="AA216" s="30" t="inlineStr">
        <is>
          <t>Good finish</t>
        </is>
      </c>
      <c r="AB216" s="30" t="inlineStr">
        <is>
          <t>Yes</t>
        </is>
      </c>
      <c r="AC216" s="27" t="n"/>
      <c r="AD216" s="31" t="inlineStr">
        <is>
          <t>No</t>
        </is>
      </c>
      <c r="AE216" s="32">
        <f>IF(W216="","",IF(Z216="Yes","❌ Disc",IF(Y216="No","⚠ Missing",IF(AB216="Yes","✓ OK","⚠ Check"))))</f>
        <v/>
      </c>
      <c r="AF216" s="33" t="n"/>
      <c r="AG216" s="33" t="n"/>
      <c r="AH216" s="33" t="n"/>
      <c r="AI216" s="33" t="n"/>
      <c r="AJ216" s="33" t="n"/>
      <c r="AK216" s="33" t="n"/>
      <c r="AL216" s="27" t="n"/>
      <c r="AM216" s="34" t="n"/>
      <c r="AN216" s="35">
        <f>IF(AF216="","",IF(AI216="Yes","❌ Disc",IF(AH216="No","⚠ Missing",IF(AK216="Yes","✓ OK","⚠ Check"))))</f>
        <v/>
      </c>
      <c r="AO216" s="36" t="n"/>
      <c r="AP216" s="36" t="n"/>
      <c r="AQ216" s="36" t="n"/>
      <c r="AR216" s="36" t="n"/>
      <c r="AS216" s="36" t="n"/>
      <c r="AT216" s="36" t="n"/>
      <c r="AU216" s="27" t="n"/>
      <c r="AV216" s="37" t="n"/>
      <c r="AW216" s="38">
        <f>IF(AO216="","",IF(AR216="Yes","❌ Disc",IF(AQ216="No","⚠ Missing",IF(AT216="Yes","✓ OK","⚠ Check"))))</f>
        <v/>
      </c>
    </row>
    <row r="217" ht="18" customHeight="1" s="46">
      <c r="A217" s="23" t="n">
        <v>221</v>
      </c>
      <c r="B217" s="24" t="inlineStr">
        <is>
          <t>BD-LAM-2024-0048</t>
        </is>
      </c>
      <c r="C217" s="25" t="inlineStr">
        <is>
          <t>Lam SL SD 1mm 1591 Bronce Metallic(Gold)</t>
        </is>
      </c>
      <c r="D217" s="23" t="inlineStr">
        <is>
          <t>Stylam</t>
        </is>
      </c>
      <c r="E217" s="43" t="n">
        <v>46125</v>
      </c>
      <c r="F217" s="26" t="inlineStr">
        <is>
          <t>Sunil CR</t>
        </is>
      </c>
      <c r="G217" s="26" t="inlineStr">
        <is>
          <t>Yes</t>
        </is>
      </c>
      <c r="H217" s="26" t="inlineStr">
        <is>
          <t>No</t>
        </is>
      </c>
      <c r="I217" s="26" t="inlineStr">
        <is>
          <t>Good finish</t>
        </is>
      </c>
      <c r="J217" s="26" t="inlineStr">
        <is>
          <t>Yes</t>
        </is>
      </c>
      <c r="K217" s="27" t="n"/>
      <c r="L217" s="28" t="inlineStr">
        <is>
          <t>No</t>
        </is>
      </c>
      <c r="M217" s="29">
        <f>IF(E217="","",IF(H217="Yes","❌ Disc",IF(G217="No","⚠ Missing",IF(J217="Yes","✓ OK","⚠ Check"))))</f>
        <v/>
      </c>
      <c r="N217" s="43" t="n">
        <v>46193</v>
      </c>
      <c r="O217" s="26" t="inlineStr">
        <is>
          <t>Sunil CR</t>
        </is>
      </c>
      <c r="P217" s="26" t="inlineStr">
        <is>
          <t>Yes</t>
        </is>
      </c>
      <c r="Q217" s="26" t="inlineStr">
        <is>
          <t>No</t>
        </is>
      </c>
      <c r="R217" s="26" t="inlineStr">
        <is>
          <t>Good finish</t>
        </is>
      </c>
      <c r="S217" s="26" t="inlineStr">
        <is>
          <t>Yes</t>
        </is>
      </c>
      <c r="T217" s="27" t="n"/>
      <c r="U217" s="28" t="inlineStr">
        <is>
          <t>No</t>
        </is>
      </c>
      <c r="V217" s="29">
        <f>IF(N217="","",IF(Q217="Yes","❌ Disc",IF(P217="No","⚠ Missing",IF(S217="Yes","✓ OK","⚠ Check"))))</f>
        <v/>
      </c>
      <c r="W217" s="65" t="n">
        <v>46248</v>
      </c>
      <c r="X217" s="30" t="inlineStr">
        <is>
          <t>Sunil CR</t>
        </is>
      </c>
      <c r="Y217" s="30" t="inlineStr">
        <is>
          <t>Yes</t>
        </is>
      </c>
      <c r="Z217" s="30" t="n"/>
      <c r="AA217" s="30" t="inlineStr">
        <is>
          <t>Good finish</t>
        </is>
      </c>
      <c r="AB217" s="30" t="inlineStr">
        <is>
          <t>Yes</t>
        </is>
      </c>
      <c r="AC217" s="27" t="n"/>
      <c r="AD217" s="31" t="inlineStr">
        <is>
          <t>No</t>
        </is>
      </c>
      <c r="AE217" s="32">
        <f>IF(W217="","",IF(Z217="Yes","❌ Disc",IF(Y217="No","⚠ Missing",IF(AB217="Yes","✓ OK","⚠ Check"))))</f>
        <v/>
      </c>
      <c r="AF217" s="33" t="n"/>
      <c r="AG217" s="33" t="n"/>
      <c r="AH217" s="33" t="n"/>
      <c r="AI217" s="33" t="n"/>
      <c r="AJ217" s="33" t="n"/>
      <c r="AK217" s="33" t="n"/>
      <c r="AL217" s="27" t="n"/>
      <c r="AM217" s="34" t="n"/>
      <c r="AN217" s="35">
        <f>IF(AF217="","",IF(AI217="Yes","❌ Disc",IF(AH217="No","⚠ Missing",IF(AK217="Yes","✓ OK","⚠ Check"))))</f>
        <v/>
      </c>
      <c r="AO217" s="36" t="n"/>
      <c r="AP217" s="36" t="n"/>
      <c r="AQ217" s="36" t="n"/>
      <c r="AR217" s="36" t="n"/>
      <c r="AS217" s="36" t="n"/>
      <c r="AT217" s="36" t="n"/>
      <c r="AU217" s="27" t="n"/>
      <c r="AV217" s="37" t="n"/>
      <c r="AW217" s="38">
        <f>IF(AO217="","",IF(AR217="Yes","❌ Disc",IF(AQ217="No","⚠ Missing",IF(AT217="Yes","✓ OK","⚠ Check"))))</f>
        <v/>
      </c>
    </row>
    <row r="218" ht="18" customHeight="1" s="46">
      <c r="A218" s="39" t="n">
        <v>222</v>
      </c>
      <c r="B218" s="40" t="inlineStr">
        <is>
          <t>BD-LAM-2023-0281</t>
        </is>
      </c>
      <c r="C218" s="41" t="inlineStr">
        <is>
          <t>Lam SL SD 1mm 1644 Tonnies fabric(Gold)</t>
        </is>
      </c>
      <c r="D218" s="39" t="inlineStr">
        <is>
          <t>Stylam</t>
        </is>
      </c>
      <c r="E218" s="43" t="n">
        <v>46125</v>
      </c>
      <c r="F218" s="26" t="inlineStr">
        <is>
          <t>Sunil CR</t>
        </is>
      </c>
      <c r="G218" s="26" t="inlineStr">
        <is>
          <t>Yes</t>
        </is>
      </c>
      <c r="H218" s="26" t="inlineStr">
        <is>
          <t>No</t>
        </is>
      </c>
      <c r="I218" s="26" t="inlineStr">
        <is>
          <t>Good finish</t>
        </is>
      </c>
      <c r="J218" s="26" t="inlineStr">
        <is>
          <t>Yes</t>
        </is>
      </c>
      <c r="K218" s="27" t="inlineStr">
        <is>
          <t>Available in small book</t>
        </is>
      </c>
      <c r="L218" s="28" t="inlineStr">
        <is>
          <t>No</t>
        </is>
      </c>
      <c r="M218" s="29">
        <f>IF(E218="","",IF(H218="Yes","❌ Disc",IF(G218="No","⚠ Missing",IF(J218="Yes","✓ OK","⚠ Check"))))</f>
        <v/>
      </c>
      <c r="N218" s="43" t="n">
        <v>46193</v>
      </c>
      <c r="O218" s="26" t="inlineStr">
        <is>
          <t>Sunil CR</t>
        </is>
      </c>
      <c r="P218" s="26" t="inlineStr">
        <is>
          <t>No</t>
        </is>
      </c>
      <c r="Q218" s="26" t="inlineStr">
        <is>
          <t>Yes</t>
        </is>
      </c>
      <c r="R218" s="26" t="inlineStr">
        <is>
          <t>Discontinued</t>
        </is>
      </c>
      <c r="S218" s="26" t="inlineStr">
        <is>
          <t>No</t>
        </is>
      </c>
      <c r="T218" s="27" t="n"/>
      <c r="U218" s="28" t="inlineStr">
        <is>
          <t>No</t>
        </is>
      </c>
      <c r="V218" s="29">
        <f>IF(N218="","",IF(Q218="Yes","❌ Disc",IF(P218="No","⚠ Missing",IF(S218="Yes","✓ OK","⚠ Check"))))</f>
        <v/>
      </c>
      <c r="W218" s="65" t="n">
        <v>46248</v>
      </c>
      <c r="X218" s="30" t="inlineStr">
        <is>
          <t>Sunil CR</t>
        </is>
      </c>
      <c r="Y218" s="30" t="inlineStr">
        <is>
          <t>No</t>
        </is>
      </c>
      <c r="Z218" s="30" t="inlineStr">
        <is>
          <t>Yes</t>
        </is>
      </c>
      <c r="AA218" s="30" t="inlineStr">
        <is>
          <t>Discontinued</t>
        </is>
      </c>
      <c r="AB218" s="30" t="inlineStr">
        <is>
          <t>No</t>
        </is>
      </c>
      <c r="AC218" s="27" t="n"/>
      <c r="AD218" s="31" t="inlineStr">
        <is>
          <t>No</t>
        </is>
      </c>
      <c r="AE218" s="32">
        <f>IF(W218="","",IF(Z218="Yes","❌ Disc",IF(Y218="No","⚠ Missing",IF(AB218="Yes","✓ OK","⚠ Check"))))</f>
        <v/>
      </c>
      <c r="AF218" s="33" t="n"/>
      <c r="AG218" s="33" t="n"/>
      <c r="AH218" s="33" t="n"/>
      <c r="AI218" s="33" t="n"/>
      <c r="AJ218" s="33" t="n"/>
      <c r="AK218" s="33" t="n"/>
      <c r="AL218" s="27" t="n"/>
      <c r="AM218" s="34" t="n"/>
      <c r="AN218" s="35">
        <f>IF(AF218="","",IF(AI218="Yes","❌ Disc",IF(AH218="No","⚠ Missing",IF(AK218="Yes","✓ OK","⚠ Check"))))</f>
        <v/>
      </c>
      <c r="AO218" s="36" t="n"/>
      <c r="AP218" s="36" t="n"/>
      <c r="AQ218" s="36" t="n"/>
      <c r="AR218" s="36" t="n"/>
      <c r="AS218" s="36" t="n"/>
      <c r="AT218" s="36" t="n"/>
      <c r="AU218" s="27" t="n"/>
      <c r="AV218" s="37" t="n"/>
      <c r="AW218" s="38">
        <f>IF(AO218="","",IF(AR218="Yes","❌ Disc",IF(AQ218="No","⚠ Missing",IF(AT218="Yes","✓ OK","⚠ Check"))))</f>
        <v/>
      </c>
    </row>
    <row r="219" ht="18" customHeight="1" s="46">
      <c r="A219" s="23" t="n">
        <v>223</v>
      </c>
      <c r="B219" s="24" t="inlineStr">
        <is>
          <t>BD-LAM-2023-0115</t>
        </is>
      </c>
      <c r="C219" s="25" t="inlineStr">
        <is>
          <t>Lam SL SD 1mm 1701 British green(Gold)</t>
        </is>
      </c>
      <c r="D219" s="23" t="inlineStr">
        <is>
          <t>Stylam</t>
        </is>
      </c>
      <c r="E219" s="43" t="n">
        <v>46125</v>
      </c>
      <c r="F219" s="26" t="inlineStr">
        <is>
          <t>Sunil CR</t>
        </is>
      </c>
      <c r="G219" s="26" t="inlineStr">
        <is>
          <t>Yes</t>
        </is>
      </c>
      <c r="H219" s="26" t="inlineStr">
        <is>
          <t>No</t>
        </is>
      </c>
      <c r="I219" s="26" t="inlineStr">
        <is>
          <t>Good finish</t>
        </is>
      </c>
      <c r="J219" s="26" t="inlineStr">
        <is>
          <t>Yes</t>
        </is>
      </c>
      <c r="K219" s="27" t="n"/>
      <c r="L219" s="28" t="inlineStr">
        <is>
          <t>No</t>
        </is>
      </c>
      <c r="M219" s="29">
        <f>IF(E219="","",IF(H219="Yes","❌ Disc",IF(G219="No","⚠ Missing",IF(J219="Yes","✓ OK","⚠ Check"))))</f>
        <v/>
      </c>
      <c r="N219" s="43" t="n">
        <v>46193</v>
      </c>
      <c r="O219" s="26" t="inlineStr">
        <is>
          <t>Sunil CR</t>
        </is>
      </c>
      <c r="P219" s="26" t="inlineStr">
        <is>
          <t>Yes</t>
        </is>
      </c>
      <c r="Q219" s="26" t="inlineStr">
        <is>
          <t>No</t>
        </is>
      </c>
      <c r="R219" s="26" t="inlineStr">
        <is>
          <t>Good finish</t>
        </is>
      </c>
      <c r="S219" s="26" t="inlineStr">
        <is>
          <t>Yes</t>
        </is>
      </c>
      <c r="T219" s="27" t="n"/>
      <c r="U219" s="28" t="inlineStr">
        <is>
          <t>No</t>
        </is>
      </c>
      <c r="V219" s="29">
        <f>IF(N219="","",IF(Q219="Yes","❌ Disc",IF(P219="No","⚠ Missing",IF(S219="Yes","✓ OK","⚠ Check"))))</f>
        <v/>
      </c>
      <c r="W219" s="65" t="n">
        <v>46248</v>
      </c>
      <c r="X219" s="30" t="inlineStr">
        <is>
          <t>Sunil CR</t>
        </is>
      </c>
      <c r="Y219" s="30" t="inlineStr">
        <is>
          <t>Yes</t>
        </is>
      </c>
      <c r="Z219" s="30" t="n"/>
      <c r="AA219" s="30" t="inlineStr">
        <is>
          <t>Good finish</t>
        </is>
      </c>
      <c r="AB219" s="30" t="inlineStr">
        <is>
          <t>Yes</t>
        </is>
      </c>
      <c r="AC219" s="27" t="n"/>
      <c r="AD219" s="31" t="inlineStr">
        <is>
          <t>No</t>
        </is>
      </c>
      <c r="AE219" s="32">
        <f>IF(W219="","",IF(Z219="Yes","❌ Disc",IF(Y219="No","⚠ Missing",IF(AB219="Yes","✓ OK","⚠ Check"))))</f>
        <v/>
      </c>
      <c r="AF219" s="33" t="n"/>
      <c r="AG219" s="33" t="n"/>
      <c r="AH219" s="33" t="n"/>
      <c r="AI219" s="33" t="n"/>
      <c r="AJ219" s="33" t="n"/>
      <c r="AK219" s="33" t="n"/>
      <c r="AL219" s="27" t="n"/>
      <c r="AM219" s="34" t="n"/>
      <c r="AN219" s="35">
        <f>IF(AF219="","",IF(AI219="Yes","❌ Disc",IF(AH219="No","⚠ Missing",IF(AK219="Yes","✓ OK","⚠ Check"))))</f>
        <v/>
      </c>
      <c r="AO219" s="36" t="n"/>
      <c r="AP219" s="36" t="n"/>
      <c r="AQ219" s="36" t="n"/>
      <c r="AR219" s="36" t="n"/>
      <c r="AS219" s="36" t="n"/>
      <c r="AT219" s="36" t="n"/>
      <c r="AU219" s="27" t="n"/>
      <c r="AV219" s="37" t="n"/>
      <c r="AW219" s="38">
        <f>IF(AO219="","",IF(AR219="Yes","❌ Disc",IF(AQ219="No","⚠ Missing",IF(AT219="Yes","✓ OK","⚠ Check"))))</f>
        <v/>
      </c>
    </row>
    <row r="220" ht="18" customHeight="1" s="46">
      <c r="A220" s="39" t="n">
        <v>224</v>
      </c>
      <c r="B220" s="40" t="inlineStr">
        <is>
          <t>BD-LAM-2024-0086</t>
        </is>
      </c>
      <c r="C220" s="41" t="inlineStr">
        <is>
          <t>Lam SL SD 1mm 1769 Rachele Light(Gold)</t>
        </is>
      </c>
      <c r="D220" s="39" t="inlineStr">
        <is>
          <t>Stylam</t>
        </is>
      </c>
      <c r="E220" s="43" t="n">
        <v>46125</v>
      </c>
      <c r="F220" s="26" t="inlineStr">
        <is>
          <t>Sunil CR</t>
        </is>
      </c>
      <c r="G220" s="26" t="inlineStr">
        <is>
          <t>Yes</t>
        </is>
      </c>
      <c r="H220" s="26" t="inlineStr">
        <is>
          <t>No</t>
        </is>
      </c>
      <c r="I220" s="26" t="inlineStr">
        <is>
          <t>Good finish</t>
        </is>
      </c>
      <c r="J220" s="26" t="inlineStr">
        <is>
          <t>Yes</t>
        </is>
      </c>
      <c r="K220" s="27" t="n"/>
      <c r="L220" s="28" t="inlineStr">
        <is>
          <t>No</t>
        </is>
      </c>
      <c r="M220" s="29">
        <f>IF(E220="","",IF(H220="Yes","❌ Disc",IF(G220="No","⚠ Missing",IF(J220="Yes","✓ OK","⚠ Check"))))</f>
        <v/>
      </c>
      <c r="N220" s="43" t="n">
        <v>46193</v>
      </c>
      <c r="O220" s="26" t="inlineStr">
        <is>
          <t>Sunil CR</t>
        </is>
      </c>
      <c r="P220" s="26" t="inlineStr">
        <is>
          <t>Yes</t>
        </is>
      </c>
      <c r="Q220" s="26" t="inlineStr">
        <is>
          <t>No</t>
        </is>
      </c>
      <c r="R220" s="26" t="inlineStr">
        <is>
          <t>Good finish</t>
        </is>
      </c>
      <c r="S220" s="26" t="inlineStr">
        <is>
          <t>Yes</t>
        </is>
      </c>
      <c r="T220" s="27" t="n"/>
      <c r="U220" s="28" t="inlineStr">
        <is>
          <t>No</t>
        </is>
      </c>
      <c r="V220" s="29">
        <f>IF(N220="","",IF(Q220="Yes","❌ Disc",IF(P220="No","⚠ Missing",IF(S220="Yes","✓ OK","⚠ Check"))))</f>
        <v/>
      </c>
      <c r="W220" s="65" t="n">
        <v>46248</v>
      </c>
      <c r="X220" s="30" t="inlineStr">
        <is>
          <t>Sunil CR</t>
        </is>
      </c>
      <c r="Y220" s="30" t="inlineStr">
        <is>
          <t>Yes</t>
        </is>
      </c>
      <c r="Z220" s="30" t="n"/>
      <c r="AA220" s="30" t="inlineStr">
        <is>
          <t>Good finish</t>
        </is>
      </c>
      <c r="AB220" s="30" t="inlineStr">
        <is>
          <t>Yes</t>
        </is>
      </c>
      <c r="AC220" s="27" t="n"/>
      <c r="AD220" s="31" t="inlineStr">
        <is>
          <t>No</t>
        </is>
      </c>
      <c r="AE220" s="32">
        <f>IF(W220="","",IF(Z220="Yes","❌ Disc",IF(Y220="No","⚠ Missing",IF(AB220="Yes","✓ OK","⚠ Check"))))</f>
        <v/>
      </c>
      <c r="AF220" s="33" t="n"/>
      <c r="AG220" s="33" t="n"/>
      <c r="AH220" s="33" t="n"/>
      <c r="AI220" s="33" t="n"/>
      <c r="AJ220" s="33" t="n"/>
      <c r="AK220" s="33" t="n"/>
      <c r="AL220" s="27" t="n"/>
      <c r="AM220" s="34" t="n"/>
      <c r="AN220" s="35">
        <f>IF(AF220="","",IF(AI220="Yes","❌ Disc",IF(AH220="No","⚠ Missing",IF(AK220="Yes","✓ OK","⚠ Check"))))</f>
        <v/>
      </c>
      <c r="AO220" s="36" t="n"/>
      <c r="AP220" s="36" t="n"/>
      <c r="AQ220" s="36" t="n"/>
      <c r="AR220" s="36" t="n"/>
      <c r="AS220" s="36" t="n"/>
      <c r="AT220" s="36" t="n"/>
      <c r="AU220" s="27" t="n"/>
      <c r="AV220" s="37" t="n"/>
      <c r="AW220" s="38">
        <f>IF(AO220="","",IF(AR220="Yes","❌ Disc",IF(AQ220="No","⚠ Missing",IF(AT220="Yes","✓ OK","⚠ Check"))))</f>
        <v/>
      </c>
    </row>
    <row r="221" ht="18" customHeight="1" s="46">
      <c r="A221" s="23" t="n">
        <v>225</v>
      </c>
      <c r="B221" s="24" t="inlineStr">
        <is>
          <t>BD-LAM-2023-0198</t>
        </is>
      </c>
      <c r="C221" s="25" t="inlineStr">
        <is>
          <t>Lam SL SD 1mm 193 Magic move(Gold) [BBP]</t>
        </is>
      </c>
      <c r="D221" s="23" t="inlineStr">
        <is>
          <t>Stylam</t>
        </is>
      </c>
      <c r="E221" s="43" t="n">
        <v>46125</v>
      </c>
      <c r="F221" s="26" t="inlineStr">
        <is>
          <t>Sunil CR</t>
        </is>
      </c>
      <c r="G221" s="26" t="inlineStr">
        <is>
          <t>Yes</t>
        </is>
      </c>
      <c r="H221" s="26" t="inlineStr">
        <is>
          <t>No</t>
        </is>
      </c>
      <c r="I221" s="26" t="inlineStr">
        <is>
          <t>Good finish</t>
        </is>
      </c>
      <c r="J221" s="26" t="inlineStr">
        <is>
          <t>Yes</t>
        </is>
      </c>
      <c r="K221" s="27" t="n"/>
      <c r="L221" s="28" t="inlineStr">
        <is>
          <t>No</t>
        </is>
      </c>
      <c r="M221" s="29">
        <f>IF(E221="","",IF(H221="Yes","❌ Disc",IF(G221="No","⚠ Missing",IF(J221="Yes","✓ OK","⚠ Check"))))</f>
        <v/>
      </c>
      <c r="N221" s="43" t="n">
        <v>46193</v>
      </c>
      <c r="O221" s="26" t="inlineStr">
        <is>
          <t>Sunil CR</t>
        </is>
      </c>
      <c r="P221" s="26" t="inlineStr">
        <is>
          <t>Yes</t>
        </is>
      </c>
      <c r="Q221" s="26" t="inlineStr">
        <is>
          <t>No</t>
        </is>
      </c>
      <c r="R221" s="26" t="inlineStr">
        <is>
          <t>Good finish</t>
        </is>
      </c>
      <c r="S221" s="26" t="inlineStr">
        <is>
          <t>Yes</t>
        </is>
      </c>
      <c r="T221" s="27" t="n"/>
      <c r="U221" s="28" t="inlineStr">
        <is>
          <t>No</t>
        </is>
      </c>
      <c r="V221" s="29">
        <f>IF(N221="","",IF(Q221="Yes","❌ Disc",IF(P221="No","⚠ Missing",IF(S221="Yes","✓ OK","⚠ Check"))))</f>
        <v/>
      </c>
      <c r="W221" s="65" t="n">
        <v>46248</v>
      </c>
      <c r="X221" s="30" t="inlineStr">
        <is>
          <t>Sunil CR</t>
        </is>
      </c>
      <c r="Y221" s="30" t="inlineStr">
        <is>
          <t>Yes</t>
        </is>
      </c>
      <c r="Z221" s="30" t="n"/>
      <c r="AA221" s="30" t="inlineStr">
        <is>
          <t>Good finish</t>
        </is>
      </c>
      <c r="AB221" s="30" t="inlineStr">
        <is>
          <t>Yes</t>
        </is>
      </c>
      <c r="AC221" s="27" t="n"/>
      <c r="AD221" s="31" t="inlineStr">
        <is>
          <t>No</t>
        </is>
      </c>
      <c r="AE221" s="32">
        <f>IF(W221="","",IF(Z221="Yes","❌ Disc",IF(Y221="No","⚠ Missing",IF(AB221="Yes","✓ OK","⚠ Check"))))</f>
        <v/>
      </c>
      <c r="AF221" s="33" t="n"/>
      <c r="AG221" s="33" t="n"/>
      <c r="AH221" s="33" t="n"/>
      <c r="AI221" s="33" t="n"/>
      <c r="AJ221" s="33" t="n"/>
      <c r="AK221" s="33" t="n"/>
      <c r="AL221" s="27" t="n"/>
      <c r="AM221" s="34" t="n"/>
      <c r="AN221" s="35">
        <f>IF(AF221="","",IF(AI221="Yes","❌ Disc",IF(AH221="No","⚠ Missing",IF(AK221="Yes","✓ OK","⚠ Check"))))</f>
        <v/>
      </c>
      <c r="AO221" s="36" t="n"/>
      <c r="AP221" s="36" t="n"/>
      <c r="AQ221" s="36" t="n"/>
      <c r="AR221" s="36" t="n"/>
      <c r="AS221" s="36" t="n"/>
      <c r="AT221" s="36" t="n"/>
      <c r="AU221" s="27" t="n"/>
      <c r="AV221" s="37" t="n"/>
      <c r="AW221" s="38">
        <f>IF(AO221="","",IF(AR221="Yes","❌ Disc",IF(AQ221="No","⚠ Missing",IF(AT221="Yes","✓ OK","⚠ Check"))))</f>
        <v/>
      </c>
    </row>
    <row r="222" ht="18" customHeight="1" s="46">
      <c r="A222" s="39" t="n">
        <v>226</v>
      </c>
      <c r="B222" s="40" t="inlineStr">
        <is>
          <t>BD-LAM-2023-0112</t>
        </is>
      </c>
      <c r="C222" s="41" t="inlineStr">
        <is>
          <t>Lam SL SD 1mm 199 Bottle green(Gold)</t>
        </is>
      </c>
      <c r="D222" s="39" t="inlineStr">
        <is>
          <t>Stylam</t>
        </is>
      </c>
      <c r="E222" s="43" t="n">
        <v>46125</v>
      </c>
      <c r="F222" s="26" t="inlineStr">
        <is>
          <t>Sunil CR</t>
        </is>
      </c>
      <c r="G222" s="26" t="inlineStr">
        <is>
          <t>Yes</t>
        </is>
      </c>
      <c r="H222" s="26" t="inlineStr">
        <is>
          <t>No</t>
        </is>
      </c>
      <c r="I222" s="26" t="inlineStr">
        <is>
          <t>Good finish</t>
        </is>
      </c>
      <c r="J222" s="26" t="inlineStr">
        <is>
          <t>Yes</t>
        </is>
      </c>
      <c r="K222" s="27" t="n"/>
      <c r="L222" s="28" t="inlineStr">
        <is>
          <t>No</t>
        </is>
      </c>
      <c r="M222" s="29">
        <f>IF(E222="","",IF(H222="Yes","❌ Disc",IF(G222="No","⚠ Missing",IF(J222="Yes","✓ OK","⚠ Check"))))</f>
        <v/>
      </c>
      <c r="N222" s="43" t="n">
        <v>46193</v>
      </c>
      <c r="O222" s="26" t="inlineStr">
        <is>
          <t>Sunil CR</t>
        </is>
      </c>
      <c r="P222" s="26" t="inlineStr">
        <is>
          <t>No</t>
        </is>
      </c>
      <c r="Q222" s="26" t="inlineStr">
        <is>
          <t>Yes</t>
        </is>
      </c>
      <c r="R222" s="26" t="inlineStr">
        <is>
          <t>Discontinued</t>
        </is>
      </c>
      <c r="S222" s="26" t="inlineStr">
        <is>
          <t>No</t>
        </is>
      </c>
      <c r="T222" s="27" t="n"/>
      <c r="U222" s="28" t="inlineStr">
        <is>
          <t>No</t>
        </is>
      </c>
      <c r="V222" s="29">
        <f>IF(N222="","",IF(Q222="Yes","❌ Disc",IF(P222="No","⚠ Missing",IF(S222="Yes","✓ OK","⚠ Check"))))</f>
        <v/>
      </c>
      <c r="W222" s="65" t="n">
        <v>46248</v>
      </c>
      <c r="X222" s="30" t="inlineStr">
        <is>
          <t>Sunil CR</t>
        </is>
      </c>
      <c r="Y222" s="30" t="inlineStr">
        <is>
          <t>No</t>
        </is>
      </c>
      <c r="Z222" s="30" t="inlineStr">
        <is>
          <t>Yes</t>
        </is>
      </c>
      <c r="AA222" s="30" t="inlineStr">
        <is>
          <t>Discontinued</t>
        </is>
      </c>
      <c r="AB222" s="30" t="inlineStr">
        <is>
          <t>No</t>
        </is>
      </c>
      <c r="AC222" s="27" t="n"/>
      <c r="AD222" s="31" t="inlineStr">
        <is>
          <t>No</t>
        </is>
      </c>
      <c r="AE222" s="32">
        <f>IF(W222="","",IF(Z222="Yes","❌ Disc",IF(Y222="No","⚠ Missing",IF(AB222="Yes","✓ OK","⚠ Check"))))</f>
        <v/>
      </c>
      <c r="AF222" s="33" t="n"/>
      <c r="AG222" s="33" t="n"/>
      <c r="AH222" s="33" t="n"/>
      <c r="AI222" s="33" t="n"/>
      <c r="AJ222" s="33" t="n"/>
      <c r="AK222" s="33" t="n"/>
      <c r="AL222" s="27" t="n"/>
      <c r="AM222" s="34" t="n"/>
      <c r="AN222" s="35">
        <f>IF(AF222="","",IF(AI222="Yes","❌ Disc",IF(AH222="No","⚠ Missing",IF(AK222="Yes","✓ OK","⚠ Check"))))</f>
        <v/>
      </c>
      <c r="AO222" s="36" t="n"/>
      <c r="AP222" s="36" t="n"/>
      <c r="AQ222" s="36" t="n"/>
      <c r="AR222" s="36" t="n"/>
      <c r="AS222" s="36" t="n"/>
      <c r="AT222" s="36" t="n"/>
      <c r="AU222" s="27" t="n"/>
      <c r="AV222" s="37" t="n"/>
      <c r="AW222" s="38">
        <f>IF(AO222="","",IF(AR222="Yes","❌ Disc",IF(AQ222="No","⚠ Missing",IF(AT222="Yes","✓ OK","⚠ Check"))))</f>
        <v/>
      </c>
    </row>
    <row r="223" ht="18" customHeight="1" s="46">
      <c r="A223" s="23" t="n">
        <v>227</v>
      </c>
      <c r="B223" s="24" t="inlineStr">
        <is>
          <t>BD-LAM-2023-0155</t>
        </is>
      </c>
      <c r="C223" s="25" t="inlineStr">
        <is>
          <t>Lam SL SD 1mm 2128 European cherry(Gold)</t>
        </is>
      </c>
      <c r="D223" s="23" t="inlineStr">
        <is>
          <t>Stylam</t>
        </is>
      </c>
      <c r="E223" s="43" t="n">
        <v>46125</v>
      </c>
      <c r="F223" s="26" t="inlineStr">
        <is>
          <t>Sunil CR</t>
        </is>
      </c>
      <c r="G223" s="26" t="inlineStr">
        <is>
          <t>Yes</t>
        </is>
      </c>
      <c r="H223" s="26" t="inlineStr">
        <is>
          <t>No</t>
        </is>
      </c>
      <c r="I223" s="26" t="inlineStr">
        <is>
          <t>Good finish</t>
        </is>
      </c>
      <c r="J223" s="26" t="inlineStr">
        <is>
          <t>Yes</t>
        </is>
      </c>
      <c r="K223" s="27" t="n"/>
      <c r="L223" s="28" t="inlineStr">
        <is>
          <t>No</t>
        </is>
      </c>
      <c r="M223" s="29">
        <f>IF(E223="","",IF(H223="Yes","❌ Disc",IF(G223="No","⚠ Missing",IF(J223="Yes","✓ OK","⚠ Check"))))</f>
        <v/>
      </c>
      <c r="N223" s="43" t="n">
        <v>46193</v>
      </c>
      <c r="O223" s="26" t="inlineStr">
        <is>
          <t>Sunil CR</t>
        </is>
      </c>
      <c r="P223" s="26" t="inlineStr">
        <is>
          <t>No</t>
        </is>
      </c>
      <c r="Q223" s="26" t="inlineStr">
        <is>
          <t>Yes</t>
        </is>
      </c>
      <c r="R223" s="26" t="inlineStr">
        <is>
          <t>Discontinued</t>
        </is>
      </c>
      <c r="S223" s="26" t="inlineStr">
        <is>
          <t>No</t>
        </is>
      </c>
      <c r="T223" s="27" t="n"/>
      <c r="U223" s="28" t="inlineStr">
        <is>
          <t>No</t>
        </is>
      </c>
      <c r="V223" s="29">
        <f>IF(N223="","",IF(Q223="Yes","❌ Disc",IF(P223="No","⚠ Missing",IF(S223="Yes","✓ OK","⚠ Check"))))</f>
        <v/>
      </c>
      <c r="W223" s="65" t="n">
        <v>46248</v>
      </c>
      <c r="X223" s="30" t="inlineStr">
        <is>
          <t>Sunil CR</t>
        </is>
      </c>
      <c r="Y223" s="30" t="inlineStr">
        <is>
          <t>No</t>
        </is>
      </c>
      <c r="Z223" s="30" t="inlineStr">
        <is>
          <t>Yes</t>
        </is>
      </c>
      <c r="AA223" s="30" t="inlineStr">
        <is>
          <t>Discontinued</t>
        </is>
      </c>
      <c r="AB223" s="30" t="inlineStr">
        <is>
          <t>No</t>
        </is>
      </c>
      <c r="AC223" s="27" t="n"/>
      <c r="AD223" s="31" t="inlineStr">
        <is>
          <t>No</t>
        </is>
      </c>
      <c r="AE223" s="32">
        <f>IF(W223="","",IF(Z223="Yes","❌ Disc",IF(Y223="No","⚠ Missing",IF(AB223="Yes","✓ OK","⚠ Check"))))</f>
        <v/>
      </c>
      <c r="AF223" s="33" t="n"/>
      <c r="AG223" s="33" t="n"/>
      <c r="AH223" s="33" t="n"/>
      <c r="AI223" s="33" t="n"/>
      <c r="AJ223" s="33" t="n"/>
      <c r="AK223" s="33" t="n"/>
      <c r="AL223" s="27" t="n"/>
      <c r="AM223" s="34" t="n"/>
      <c r="AN223" s="35">
        <f>IF(AF223="","",IF(AI223="Yes","❌ Disc",IF(AH223="No","⚠ Missing",IF(AK223="Yes","✓ OK","⚠ Check"))))</f>
        <v/>
      </c>
      <c r="AO223" s="36" t="n"/>
      <c r="AP223" s="36" t="n"/>
      <c r="AQ223" s="36" t="n"/>
      <c r="AR223" s="36" t="n"/>
      <c r="AS223" s="36" t="n"/>
      <c r="AT223" s="36" t="n"/>
      <c r="AU223" s="27" t="n"/>
      <c r="AV223" s="37" t="n"/>
      <c r="AW223" s="38">
        <f>IF(AO223="","",IF(AR223="Yes","❌ Disc",IF(AQ223="No","⚠ Missing",IF(AT223="Yes","✓ OK","⚠ Check"))))</f>
        <v/>
      </c>
    </row>
    <row r="224" ht="18" customHeight="1" s="46">
      <c r="A224" s="39" t="n">
        <v>228</v>
      </c>
      <c r="B224" s="40" t="inlineStr">
        <is>
          <t>BD-LAM-2023-0264</t>
        </is>
      </c>
      <c r="C224" s="41" t="inlineStr">
        <is>
          <t>Lam SL SD 1mm 2164 Salix Oak(Gold)</t>
        </is>
      </c>
      <c r="D224" s="39" t="inlineStr">
        <is>
          <t>Stylam</t>
        </is>
      </c>
      <c r="E224" s="43" t="n">
        <v>46125</v>
      </c>
      <c r="F224" s="26" t="inlineStr">
        <is>
          <t>Sunil CR</t>
        </is>
      </c>
      <c r="G224" s="26" t="inlineStr">
        <is>
          <t>Yes</t>
        </is>
      </c>
      <c r="H224" s="26" t="inlineStr">
        <is>
          <t>No</t>
        </is>
      </c>
      <c r="I224" s="26" t="inlineStr">
        <is>
          <t>Good finish</t>
        </is>
      </c>
      <c r="J224" s="26" t="inlineStr">
        <is>
          <t>Yes</t>
        </is>
      </c>
      <c r="K224" s="27" t="inlineStr">
        <is>
          <t>Available in small book</t>
        </is>
      </c>
      <c r="L224" s="28" t="inlineStr">
        <is>
          <t>No</t>
        </is>
      </c>
      <c r="M224" s="29">
        <f>IF(E224="","",IF(H224="Yes","❌ Disc",IF(G224="No","⚠ Missing",IF(J224="Yes","✓ OK","⚠ Check"))))</f>
        <v/>
      </c>
      <c r="N224" s="43" t="n">
        <v>46193</v>
      </c>
      <c r="O224" s="26" t="inlineStr">
        <is>
          <t>Sunil CR</t>
        </is>
      </c>
      <c r="P224" s="26" t="inlineStr">
        <is>
          <t>No</t>
        </is>
      </c>
      <c r="Q224" s="26" t="inlineStr">
        <is>
          <t>Yes</t>
        </is>
      </c>
      <c r="R224" s="26" t="inlineStr">
        <is>
          <t>Discontinued</t>
        </is>
      </c>
      <c r="S224" s="26" t="inlineStr">
        <is>
          <t>No</t>
        </is>
      </c>
      <c r="T224" s="27" t="n"/>
      <c r="U224" s="28" t="inlineStr">
        <is>
          <t>No</t>
        </is>
      </c>
      <c r="V224" s="29">
        <f>IF(N224="","",IF(Q224="Yes","❌ Disc",IF(P224="No","⚠ Missing",IF(S224="Yes","✓ OK","⚠ Check"))))</f>
        <v/>
      </c>
      <c r="W224" s="65" t="n">
        <v>46248</v>
      </c>
      <c r="X224" s="30" t="inlineStr">
        <is>
          <t>Sunil CR</t>
        </is>
      </c>
      <c r="Y224" s="30" t="inlineStr">
        <is>
          <t>No</t>
        </is>
      </c>
      <c r="Z224" s="30" t="inlineStr">
        <is>
          <t>Yes</t>
        </is>
      </c>
      <c r="AA224" s="30" t="inlineStr">
        <is>
          <t>Discontinued</t>
        </is>
      </c>
      <c r="AB224" s="30" t="inlineStr">
        <is>
          <t>No</t>
        </is>
      </c>
      <c r="AC224" s="27" t="n"/>
      <c r="AD224" s="31" t="inlineStr">
        <is>
          <t>No</t>
        </is>
      </c>
      <c r="AE224" s="32">
        <f>IF(W224="","",IF(Z224="Yes","❌ Disc",IF(Y224="No","⚠ Missing",IF(AB224="Yes","✓ OK","⚠ Check"))))</f>
        <v/>
      </c>
      <c r="AF224" s="33" t="n"/>
      <c r="AG224" s="33" t="n"/>
      <c r="AH224" s="33" t="n"/>
      <c r="AI224" s="33" t="n"/>
      <c r="AJ224" s="33" t="n"/>
      <c r="AK224" s="33" t="n"/>
      <c r="AL224" s="27" t="n"/>
      <c r="AM224" s="34" t="n"/>
      <c r="AN224" s="35">
        <f>IF(AF224="","",IF(AI224="Yes","❌ Disc",IF(AH224="No","⚠ Missing",IF(AK224="Yes","✓ OK","⚠ Check"))))</f>
        <v/>
      </c>
      <c r="AO224" s="36" t="n"/>
      <c r="AP224" s="36" t="n"/>
      <c r="AQ224" s="36" t="n"/>
      <c r="AR224" s="36" t="n"/>
      <c r="AS224" s="36" t="n"/>
      <c r="AT224" s="36" t="n"/>
      <c r="AU224" s="27" t="n"/>
      <c r="AV224" s="37" t="n"/>
      <c r="AW224" s="38">
        <f>IF(AO224="","",IF(AR224="Yes","❌ Disc",IF(AQ224="No","⚠ Missing",IF(AT224="Yes","✓ OK","⚠ Check"))))</f>
        <v/>
      </c>
    </row>
    <row r="225" ht="18" customHeight="1" s="46">
      <c r="A225" s="23" t="n">
        <v>229</v>
      </c>
      <c r="B225" s="24" t="inlineStr">
        <is>
          <t>BD-LAM-2024-0094</t>
        </is>
      </c>
      <c r="C225" s="25" t="inlineStr">
        <is>
          <t>LAM SL SD 1mm 2233 Frozen Wood(Gold)</t>
        </is>
      </c>
      <c r="D225" s="23" t="inlineStr">
        <is>
          <t>Stylam</t>
        </is>
      </c>
      <c r="E225" s="43" t="n">
        <v>46125</v>
      </c>
      <c r="F225" s="26" t="inlineStr">
        <is>
          <t>Sunil CR</t>
        </is>
      </c>
      <c r="G225" s="26" t="inlineStr">
        <is>
          <t>Yes</t>
        </is>
      </c>
      <c r="H225" s="26" t="inlineStr">
        <is>
          <t>No</t>
        </is>
      </c>
      <c r="I225" s="26" t="inlineStr">
        <is>
          <t>Good finish</t>
        </is>
      </c>
      <c r="J225" s="26" t="inlineStr">
        <is>
          <t>Yes</t>
        </is>
      </c>
      <c r="K225" s="27" t="n"/>
      <c r="L225" s="28" t="inlineStr">
        <is>
          <t>No</t>
        </is>
      </c>
      <c r="M225" s="29">
        <f>IF(E225="","",IF(H225="Yes","❌ Disc",IF(G225="No","⚠ Missing",IF(J225="Yes","✓ OK","⚠ Check"))))</f>
        <v/>
      </c>
      <c r="N225" s="43" t="n">
        <v>46193</v>
      </c>
      <c r="O225" s="26" t="inlineStr">
        <is>
          <t>Sunil CR</t>
        </is>
      </c>
      <c r="P225" s="26" t="inlineStr">
        <is>
          <t>Yes</t>
        </is>
      </c>
      <c r="Q225" s="26" t="inlineStr">
        <is>
          <t>No</t>
        </is>
      </c>
      <c r="R225" s="26" t="inlineStr">
        <is>
          <t>Good finish</t>
        </is>
      </c>
      <c r="S225" s="26" t="inlineStr">
        <is>
          <t>Yes</t>
        </is>
      </c>
      <c r="T225" s="27" t="n"/>
      <c r="U225" s="28" t="inlineStr">
        <is>
          <t>No</t>
        </is>
      </c>
      <c r="V225" s="29">
        <f>IF(N225="","",IF(Q225="Yes","❌ Disc",IF(P225="No","⚠ Missing",IF(S225="Yes","✓ OK","⚠ Check"))))</f>
        <v/>
      </c>
      <c r="W225" s="65" t="n">
        <v>46248</v>
      </c>
      <c r="X225" s="30" t="inlineStr">
        <is>
          <t>Sunil CR</t>
        </is>
      </c>
      <c r="Y225" s="30" t="inlineStr">
        <is>
          <t>No</t>
        </is>
      </c>
      <c r="Z225" s="30" t="inlineStr">
        <is>
          <t>Yes</t>
        </is>
      </c>
      <c r="AA225" s="30" t="inlineStr">
        <is>
          <t>Discontinued</t>
        </is>
      </c>
      <c r="AB225" s="30" t="inlineStr">
        <is>
          <t>No</t>
        </is>
      </c>
      <c r="AC225" s="27" t="n"/>
      <c r="AD225" s="31" t="inlineStr">
        <is>
          <t>No</t>
        </is>
      </c>
      <c r="AE225" s="32">
        <f>IF(W225="","",IF(Z225="Yes","❌ Disc",IF(Y225="No","⚠ Missing",IF(AB225="Yes","✓ OK","⚠ Check"))))</f>
        <v/>
      </c>
      <c r="AF225" s="33" t="n"/>
      <c r="AG225" s="33" t="n"/>
      <c r="AH225" s="33" t="n"/>
      <c r="AI225" s="33" t="n"/>
      <c r="AJ225" s="33" t="n"/>
      <c r="AK225" s="33" t="n"/>
      <c r="AL225" s="27" t="n"/>
      <c r="AM225" s="34" t="n"/>
      <c r="AN225" s="35">
        <f>IF(AF225="","",IF(AI225="Yes","❌ Disc",IF(AH225="No","⚠ Missing",IF(AK225="Yes","✓ OK","⚠ Check"))))</f>
        <v/>
      </c>
      <c r="AO225" s="36" t="n"/>
      <c r="AP225" s="36" t="n"/>
      <c r="AQ225" s="36" t="n"/>
      <c r="AR225" s="36" t="n"/>
      <c r="AS225" s="36" t="n"/>
      <c r="AT225" s="36" t="n"/>
      <c r="AU225" s="27" t="n"/>
      <c r="AV225" s="37" t="n"/>
      <c r="AW225" s="38">
        <f>IF(AO225="","",IF(AR225="Yes","❌ Disc",IF(AQ225="No","⚠ Missing",IF(AT225="Yes","✓ OK","⚠ Check"))))</f>
        <v/>
      </c>
    </row>
    <row r="226" ht="18" customHeight="1" s="46">
      <c r="A226" s="39" t="n">
        <v>230</v>
      </c>
      <c r="B226" s="40" t="inlineStr">
        <is>
          <t>BD-LAM-2024-0098</t>
        </is>
      </c>
      <c r="C226" s="41" t="inlineStr">
        <is>
          <t>LAM SL SD 1mm 2245 Twilight Banana Wood(Gold)</t>
        </is>
      </c>
      <c r="D226" s="39" t="inlineStr">
        <is>
          <t>Stylam</t>
        </is>
      </c>
      <c r="E226" s="43" t="n">
        <v>46125</v>
      </c>
      <c r="F226" s="26" t="inlineStr">
        <is>
          <t>Sunil CR</t>
        </is>
      </c>
      <c r="G226" s="26" t="inlineStr">
        <is>
          <t>Yes</t>
        </is>
      </c>
      <c r="H226" s="26" t="inlineStr">
        <is>
          <t>No</t>
        </is>
      </c>
      <c r="I226" s="26" t="inlineStr">
        <is>
          <t>Good finish</t>
        </is>
      </c>
      <c r="J226" s="26" t="inlineStr">
        <is>
          <t>Yes</t>
        </is>
      </c>
      <c r="K226" s="27" t="n"/>
      <c r="L226" s="28" t="inlineStr">
        <is>
          <t>No</t>
        </is>
      </c>
      <c r="M226" s="29">
        <f>IF(E226="","",IF(H226="Yes","❌ Disc",IF(G226="No","⚠ Missing",IF(J226="Yes","✓ OK","⚠ Check"))))</f>
        <v/>
      </c>
      <c r="N226" s="43" t="n">
        <v>46193</v>
      </c>
      <c r="O226" s="26" t="inlineStr">
        <is>
          <t>Sunil CR</t>
        </is>
      </c>
      <c r="P226" s="26" t="inlineStr">
        <is>
          <t>Yes</t>
        </is>
      </c>
      <c r="Q226" s="26" t="inlineStr">
        <is>
          <t>No</t>
        </is>
      </c>
      <c r="R226" s="26" t="inlineStr">
        <is>
          <t>Good finish</t>
        </is>
      </c>
      <c r="S226" s="26" t="inlineStr">
        <is>
          <t>Yes</t>
        </is>
      </c>
      <c r="T226" s="27" t="n"/>
      <c r="U226" s="28" t="inlineStr">
        <is>
          <t>No</t>
        </is>
      </c>
      <c r="V226" s="29">
        <f>IF(N226="","",IF(Q226="Yes","❌ Disc",IF(P226="No","⚠ Missing",IF(S226="Yes","✓ OK","⚠ Check"))))</f>
        <v/>
      </c>
      <c r="W226" s="65" t="n">
        <v>46248</v>
      </c>
      <c r="X226" s="30" t="inlineStr">
        <is>
          <t>Sunil CR</t>
        </is>
      </c>
      <c r="Y226" s="30" t="inlineStr">
        <is>
          <t>Yes</t>
        </is>
      </c>
      <c r="Z226" s="30" t="n"/>
      <c r="AA226" s="30" t="inlineStr">
        <is>
          <t>Good finish</t>
        </is>
      </c>
      <c r="AB226" s="30" t="inlineStr">
        <is>
          <t>Yes</t>
        </is>
      </c>
      <c r="AC226" s="27" t="n"/>
      <c r="AD226" s="31" t="inlineStr">
        <is>
          <t>No</t>
        </is>
      </c>
      <c r="AE226" s="32">
        <f>IF(W226="","",IF(Z226="Yes","❌ Disc",IF(Y226="No","⚠ Missing",IF(AB226="Yes","✓ OK","⚠ Check"))))</f>
        <v/>
      </c>
      <c r="AF226" s="33" t="n"/>
      <c r="AG226" s="33" t="n"/>
      <c r="AH226" s="33" t="n"/>
      <c r="AI226" s="33" t="n"/>
      <c r="AJ226" s="33" t="n"/>
      <c r="AK226" s="33" t="n"/>
      <c r="AL226" s="27" t="n"/>
      <c r="AM226" s="34" t="n"/>
      <c r="AN226" s="35">
        <f>IF(AF226="","",IF(AI226="Yes","❌ Disc",IF(AH226="No","⚠ Missing",IF(AK226="Yes","✓ OK","⚠ Check"))))</f>
        <v/>
      </c>
      <c r="AO226" s="36" t="n"/>
      <c r="AP226" s="36" t="n"/>
      <c r="AQ226" s="36" t="n"/>
      <c r="AR226" s="36" t="n"/>
      <c r="AS226" s="36" t="n"/>
      <c r="AT226" s="36" t="n"/>
      <c r="AU226" s="27" t="n"/>
      <c r="AV226" s="37" t="n"/>
      <c r="AW226" s="38">
        <f>IF(AO226="","",IF(AR226="Yes","❌ Disc",IF(AQ226="No","⚠ Missing",IF(AT226="Yes","✓ OK","⚠ Check"))))</f>
        <v/>
      </c>
    </row>
    <row r="227" ht="18" customHeight="1" s="46">
      <c r="A227" s="23" t="n">
        <v>231</v>
      </c>
      <c r="B227" s="24" t="inlineStr">
        <is>
          <t>BD-LAM-2023-0268</t>
        </is>
      </c>
      <c r="C227" s="25" t="inlineStr">
        <is>
          <t>Lam SL SD 1mm 2285 Scots Elm (Gold)</t>
        </is>
      </c>
      <c r="D227" s="23" t="inlineStr">
        <is>
          <t>Stylam</t>
        </is>
      </c>
      <c r="E227" s="43" t="n">
        <v>46125</v>
      </c>
      <c r="F227" s="26" t="inlineStr">
        <is>
          <t>Sunil CR</t>
        </is>
      </c>
      <c r="G227" s="26" t="inlineStr">
        <is>
          <t>Yes</t>
        </is>
      </c>
      <c r="H227" s="26" t="inlineStr">
        <is>
          <t>No</t>
        </is>
      </c>
      <c r="I227" s="26" t="inlineStr">
        <is>
          <t>Good finish</t>
        </is>
      </c>
      <c r="J227" s="26" t="inlineStr">
        <is>
          <t>Yes</t>
        </is>
      </c>
      <c r="K227" s="27" t="inlineStr">
        <is>
          <t>Available in small book</t>
        </is>
      </c>
      <c r="L227" s="28" t="inlineStr">
        <is>
          <t>Yes</t>
        </is>
      </c>
      <c r="M227" s="29">
        <f>IF(E227="","",IF(H227="Yes","❌ Disc",IF(G227="No","⚠ Missing",IF(J227="Yes","✓ OK","⚠ Check"))))</f>
        <v/>
      </c>
      <c r="N227" s="43" t="n">
        <v>46193</v>
      </c>
      <c r="O227" s="26" t="inlineStr">
        <is>
          <t>Sunil CR</t>
        </is>
      </c>
      <c r="P227" s="26" t="inlineStr">
        <is>
          <t>Yes</t>
        </is>
      </c>
      <c r="Q227" s="26" t="inlineStr">
        <is>
          <t>No</t>
        </is>
      </c>
      <c r="R227" s="26" t="inlineStr">
        <is>
          <t>Good finish</t>
        </is>
      </c>
      <c r="S227" s="26" t="inlineStr">
        <is>
          <t>Yes</t>
        </is>
      </c>
      <c r="T227" s="27" t="inlineStr">
        <is>
          <t>Available in small book</t>
        </is>
      </c>
      <c r="U227" s="28" t="inlineStr">
        <is>
          <t>Yes</t>
        </is>
      </c>
      <c r="V227" s="29">
        <f>IF(N227="","",IF(Q227="Yes","❌ Disc",IF(P227="No","⚠ Missing",IF(S227="Yes","✓ OK","⚠ Check"))))</f>
        <v/>
      </c>
      <c r="W227" s="65" t="n">
        <v>46248</v>
      </c>
      <c r="X227" s="30" t="inlineStr">
        <is>
          <t>Sunil CR</t>
        </is>
      </c>
      <c r="Y227" s="30" t="inlineStr">
        <is>
          <t>Yes</t>
        </is>
      </c>
      <c r="Z227" s="30" t="n"/>
      <c r="AA227" s="30" t="inlineStr">
        <is>
          <t>Good finish</t>
        </is>
      </c>
      <c r="AB227" s="30" t="inlineStr">
        <is>
          <t>Yes</t>
        </is>
      </c>
      <c r="AC227" s="27" t="inlineStr">
        <is>
          <t>Available in small book</t>
        </is>
      </c>
      <c r="AD227" s="31" t="inlineStr">
        <is>
          <t>Yes</t>
        </is>
      </c>
      <c r="AE227" s="32">
        <f>IF(W227="","",IF(Z227="Yes","❌ Disc",IF(Y227="No","⚠ Missing",IF(AB227="Yes","✓ OK","⚠ Check"))))</f>
        <v/>
      </c>
      <c r="AF227" s="33" t="n"/>
      <c r="AG227" s="33" t="n"/>
      <c r="AH227" s="33" t="n"/>
      <c r="AI227" s="33" t="n"/>
      <c r="AJ227" s="33" t="n"/>
      <c r="AK227" s="33" t="n"/>
      <c r="AL227" s="27" t="n"/>
      <c r="AM227" s="34" t="n"/>
      <c r="AN227" s="35">
        <f>IF(AF227="","",IF(AI227="Yes","❌ Disc",IF(AH227="No","⚠ Missing",IF(AK227="Yes","✓ OK","⚠ Check"))))</f>
        <v/>
      </c>
      <c r="AO227" s="36" t="n"/>
      <c r="AP227" s="36" t="n"/>
      <c r="AQ227" s="36" t="n"/>
      <c r="AR227" s="36" t="n"/>
      <c r="AS227" s="36" t="n"/>
      <c r="AT227" s="36" t="n"/>
      <c r="AU227" s="27" t="n"/>
      <c r="AV227" s="37" t="n"/>
      <c r="AW227" s="38">
        <f>IF(AO227="","",IF(AR227="Yes","❌ Disc",IF(AQ227="No","⚠ Missing",IF(AT227="Yes","✓ OK","⚠ Check"))))</f>
        <v/>
      </c>
    </row>
    <row r="228" ht="18" customHeight="1" s="46">
      <c r="A228" s="39" t="n">
        <v>232</v>
      </c>
      <c r="B228" s="40" t="inlineStr">
        <is>
          <t>BD-LAM-2023-0121</t>
        </is>
      </c>
      <c r="C228" s="41" t="inlineStr">
        <is>
          <t>Lam SL SD 1mm 2289 Carolina Rovere (Gold) [BBP]</t>
        </is>
      </c>
      <c r="D228" s="39" t="inlineStr">
        <is>
          <t>Stylam</t>
        </is>
      </c>
      <c r="E228" s="43" t="n">
        <v>46125</v>
      </c>
      <c r="F228" s="26" t="inlineStr">
        <is>
          <t>Sunil CR</t>
        </is>
      </c>
      <c r="G228" s="26" t="inlineStr">
        <is>
          <t>Yes</t>
        </is>
      </c>
      <c r="H228" s="26" t="inlineStr">
        <is>
          <t>No</t>
        </is>
      </c>
      <c r="I228" s="26" t="inlineStr">
        <is>
          <t>Good finish</t>
        </is>
      </c>
      <c r="J228" s="26" t="inlineStr">
        <is>
          <t>Yes</t>
        </is>
      </c>
      <c r="K228" s="27" t="n"/>
      <c r="L228" s="28" t="inlineStr">
        <is>
          <t>No</t>
        </is>
      </c>
      <c r="M228" s="29">
        <f>IF(E228="","",IF(H228="Yes","❌ Disc",IF(G228="No","⚠ Missing",IF(J228="Yes","✓ OK","⚠ Check"))))</f>
        <v/>
      </c>
      <c r="N228" s="43" t="n">
        <v>46193</v>
      </c>
      <c r="O228" s="26" t="inlineStr">
        <is>
          <t>Sunil CR</t>
        </is>
      </c>
      <c r="P228" s="26" t="inlineStr">
        <is>
          <t>Yes</t>
        </is>
      </c>
      <c r="Q228" s="26" t="inlineStr">
        <is>
          <t>No</t>
        </is>
      </c>
      <c r="R228" s="26" t="inlineStr">
        <is>
          <t>Good finish</t>
        </is>
      </c>
      <c r="S228" s="26" t="inlineStr">
        <is>
          <t>Yes</t>
        </is>
      </c>
      <c r="T228" s="27" t="n"/>
      <c r="U228" s="28" t="inlineStr">
        <is>
          <t>No</t>
        </is>
      </c>
      <c r="V228" s="29">
        <f>IF(N228="","",IF(Q228="Yes","❌ Disc",IF(P228="No","⚠ Missing",IF(S228="Yes","✓ OK","⚠ Check"))))</f>
        <v/>
      </c>
      <c r="W228" s="65" t="n">
        <v>46248</v>
      </c>
      <c r="X228" s="30" t="inlineStr">
        <is>
          <t>Sunil CR</t>
        </is>
      </c>
      <c r="Y228" s="30" t="inlineStr">
        <is>
          <t>Yes</t>
        </is>
      </c>
      <c r="Z228" s="30" t="n"/>
      <c r="AA228" s="30" t="inlineStr">
        <is>
          <t>Good finish</t>
        </is>
      </c>
      <c r="AB228" s="30" t="inlineStr">
        <is>
          <t>Yes</t>
        </is>
      </c>
      <c r="AC228" s="27" t="n"/>
      <c r="AD228" s="31" t="inlineStr">
        <is>
          <t>No</t>
        </is>
      </c>
      <c r="AE228" s="32">
        <f>IF(W228="","",IF(Z228="Yes","❌ Disc",IF(Y228="No","⚠ Missing",IF(AB228="Yes","✓ OK","⚠ Check"))))</f>
        <v/>
      </c>
      <c r="AF228" s="33" t="n"/>
      <c r="AG228" s="33" t="n"/>
      <c r="AH228" s="33" t="n"/>
      <c r="AI228" s="33" t="n"/>
      <c r="AJ228" s="33" t="n"/>
      <c r="AK228" s="33" t="n"/>
      <c r="AL228" s="27" t="n"/>
      <c r="AM228" s="34" t="n"/>
      <c r="AN228" s="35">
        <f>IF(AF228="","",IF(AI228="Yes","❌ Disc",IF(AH228="No","⚠ Missing",IF(AK228="Yes","✓ OK","⚠ Check"))))</f>
        <v/>
      </c>
      <c r="AO228" s="36" t="n"/>
      <c r="AP228" s="36" t="n"/>
      <c r="AQ228" s="36" t="n"/>
      <c r="AR228" s="36" t="n"/>
      <c r="AS228" s="36" t="n"/>
      <c r="AT228" s="36" t="n"/>
      <c r="AU228" s="27" t="n"/>
      <c r="AV228" s="37" t="n"/>
      <c r="AW228" s="38">
        <f>IF(AO228="","",IF(AR228="Yes","❌ Disc",IF(AQ228="No","⚠ Missing",IF(AT228="Yes","✓ OK","⚠ Check"))))</f>
        <v/>
      </c>
    </row>
    <row r="229" ht="18" customHeight="1" s="46">
      <c r="A229" s="23" t="n">
        <v>233</v>
      </c>
      <c r="B229" s="24" t="inlineStr">
        <is>
          <t>BD-LAM-2024-0085</t>
        </is>
      </c>
      <c r="C229" s="25" t="inlineStr">
        <is>
          <t>Lam SL SD 1mm 2312 Season Wood(Gold)</t>
        </is>
      </c>
      <c r="D229" s="23" t="inlineStr">
        <is>
          <t>Stylam</t>
        </is>
      </c>
      <c r="E229" s="43" t="n">
        <v>46125</v>
      </c>
      <c r="F229" s="26" t="inlineStr">
        <is>
          <t>Sunil CR</t>
        </is>
      </c>
      <c r="G229" s="26" t="inlineStr">
        <is>
          <t>Yes</t>
        </is>
      </c>
      <c r="H229" s="26" t="inlineStr">
        <is>
          <t>No</t>
        </is>
      </c>
      <c r="I229" s="26" t="inlineStr">
        <is>
          <t>Good finish</t>
        </is>
      </c>
      <c r="J229" s="26" t="inlineStr">
        <is>
          <t>Yes</t>
        </is>
      </c>
      <c r="K229" s="27" t="n"/>
      <c r="L229" s="28" t="inlineStr">
        <is>
          <t>No</t>
        </is>
      </c>
      <c r="M229" s="29">
        <f>IF(E229="","",IF(H229="Yes","❌ Disc",IF(G229="No","⚠ Missing",IF(J229="Yes","✓ OK","⚠ Check"))))</f>
        <v/>
      </c>
      <c r="N229" s="43" t="n">
        <v>46193</v>
      </c>
      <c r="O229" s="26" t="inlineStr">
        <is>
          <t>Sunil CR</t>
        </is>
      </c>
      <c r="P229" s="26" t="inlineStr">
        <is>
          <t>Yes</t>
        </is>
      </c>
      <c r="Q229" s="26" t="inlineStr">
        <is>
          <t>No</t>
        </is>
      </c>
      <c r="R229" s="26" t="inlineStr">
        <is>
          <t>Good finish</t>
        </is>
      </c>
      <c r="S229" s="26" t="inlineStr">
        <is>
          <t>Yes</t>
        </is>
      </c>
      <c r="T229" s="27" t="n"/>
      <c r="U229" s="28" t="inlineStr">
        <is>
          <t>No</t>
        </is>
      </c>
      <c r="V229" s="29">
        <f>IF(N229="","",IF(Q229="Yes","❌ Disc",IF(P229="No","⚠ Missing",IF(S229="Yes","✓ OK","⚠ Check"))))</f>
        <v/>
      </c>
      <c r="W229" s="65" t="n">
        <v>46248</v>
      </c>
      <c r="X229" s="30" t="inlineStr">
        <is>
          <t>Sunil CR</t>
        </is>
      </c>
      <c r="Y229" s="30" t="inlineStr">
        <is>
          <t>Yes</t>
        </is>
      </c>
      <c r="Z229" s="30" t="n"/>
      <c r="AA229" s="30" t="inlineStr">
        <is>
          <t>Good finish</t>
        </is>
      </c>
      <c r="AB229" s="30" t="inlineStr">
        <is>
          <t>Yes</t>
        </is>
      </c>
      <c r="AC229" s="27" t="n"/>
      <c r="AD229" s="31" t="inlineStr">
        <is>
          <t>No</t>
        </is>
      </c>
      <c r="AE229" s="32">
        <f>IF(W229="","",IF(Z229="Yes","❌ Disc",IF(Y229="No","⚠ Missing",IF(AB229="Yes","✓ OK","⚠ Check"))))</f>
        <v/>
      </c>
      <c r="AF229" s="33" t="n"/>
      <c r="AG229" s="33" t="n"/>
      <c r="AH229" s="33" t="n"/>
      <c r="AI229" s="33" t="n"/>
      <c r="AJ229" s="33" t="n"/>
      <c r="AK229" s="33" t="n"/>
      <c r="AL229" s="27" t="n"/>
      <c r="AM229" s="34" t="n"/>
      <c r="AN229" s="35">
        <f>IF(AF229="","",IF(AI229="Yes","❌ Disc",IF(AH229="No","⚠ Missing",IF(AK229="Yes","✓ OK","⚠ Check"))))</f>
        <v/>
      </c>
      <c r="AO229" s="36" t="n"/>
      <c r="AP229" s="36" t="n"/>
      <c r="AQ229" s="36" t="n"/>
      <c r="AR229" s="36" t="n"/>
      <c r="AS229" s="36" t="n"/>
      <c r="AT229" s="36" t="n"/>
      <c r="AU229" s="27" t="n"/>
      <c r="AV229" s="37" t="n"/>
      <c r="AW229" s="38">
        <f>IF(AO229="","",IF(AR229="Yes","❌ Disc",IF(AQ229="No","⚠ Missing",IF(AT229="Yes","✓ OK","⚠ Check"))))</f>
        <v/>
      </c>
    </row>
    <row r="230" ht="18" customHeight="1" s="46">
      <c r="A230" s="39" t="n">
        <v>234</v>
      </c>
      <c r="B230" s="40" t="inlineStr">
        <is>
          <t>BD-LAM-2023-0196</t>
        </is>
      </c>
      <c r="C230" s="41" t="inlineStr">
        <is>
          <t>Lam SL SD 1mm 2399 Legno vertigrain(Gold) [BBP]</t>
        </is>
      </c>
      <c r="D230" s="39" t="inlineStr">
        <is>
          <t>Stylam</t>
        </is>
      </c>
      <c r="E230" s="43" t="n">
        <v>46125</v>
      </c>
      <c r="F230" s="26" t="inlineStr">
        <is>
          <t>Sunil CR</t>
        </is>
      </c>
      <c r="G230" s="26" t="inlineStr">
        <is>
          <t>Yes</t>
        </is>
      </c>
      <c r="H230" s="26" t="inlineStr">
        <is>
          <t>No</t>
        </is>
      </c>
      <c r="I230" s="26" t="inlineStr">
        <is>
          <t>Good finish</t>
        </is>
      </c>
      <c r="J230" s="26" t="inlineStr">
        <is>
          <t>Yes</t>
        </is>
      </c>
      <c r="K230" s="27" t="inlineStr">
        <is>
          <t>Available in small book</t>
        </is>
      </c>
      <c r="L230" s="28" t="inlineStr">
        <is>
          <t>Yes</t>
        </is>
      </c>
      <c r="M230" s="29">
        <f>IF(E230="","",IF(H230="Yes","❌ Disc",IF(G230="No","⚠ Missing",IF(J230="Yes","✓ OK","⚠ Check"))))</f>
        <v/>
      </c>
      <c r="N230" s="43" t="n">
        <v>46193</v>
      </c>
      <c r="O230" s="26" t="inlineStr">
        <is>
          <t>Sunil CR</t>
        </is>
      </c>
      <c r="P230" s="26" t="inlineStr">
        <is>
          <t>Yes</t>
        </is>
      </c>
      <c r="Q230" s="26" t="inlineStr">
        <is>
          <t>No</t>
        </is>
      </c>
      <c r="R230" s="26" t="inlineStr">
        <is>
          <t>Good finish</t>
        </is>
      </c>
      <c r="S230" s="26" t="inlineStr">
        <is>
          <t>Yes</t>
        </is>
      </c>
      <c r="T230" s="27" t="inlineStr">
        <is>
          <t>Available in small book</t>
        </is>
      </c>
      <c r="U230" s="28" t="inlineStr">
        <is>
          <t>Yes</t>
        </is>
      </c>
      <c r="V230" s="29">
        <f>IF(N230="","",IF(Q230="Yes","❌ Disc",IF(P230="No","⚠ Missing",IF(S230="Yes","✓ OK","⚠ Check"))))</f>
        <v/>
      </c>
      <c r="W230" s="65" t="n">
        <v>46248</v>
      </c>
      <c r="X230" s="30" t="inlineStr">
        <is>
          <t>Sunil CR</t>
        </is>
      </c>
      <c r="Y230" s="30" t="inlineStr">
        <is>
          <t>No</t>
        </is>
      </c>
      <c r="Z230" s="30" t="inlineStr">
        <is>
          <t>Yes</t>
        </is>
      </c>
      <c r="AA230" s="30" t="inlineStr">
        <is>
          <t>Discontinued</t>
        </is>
      </c>
      <c r="AB230" s="30" t="inlineStr">
        <is>
          <t>No</t>
        </is>
      </c>
      <c r="AC230" s="27" t="inlineStr">
        <is>
          <t>Available in small book</t>
        </is>
      </c>
      <c r="AD230" s="31" t="inlineStr">
        <is>
          <t>No</t>
        </is>
      </c>
      <c r="AE230" s="32">
        <f>IF(W230="","",IF(Z230="Yes","❌ Disc",IF(Y230="No","⚠ Missing",IF(AB230="Yes","✓ OK","⚠ Check"))))</f>
        <v/>
      </c>
      <c r="AF230" s="33" t="n"/>
      <c r="AG230" s="33" t="n"/>
      <c r="AH230" s="33" t="n"/>
      <c r="AI230" s="33" t="n"/>
      <c r="AJ230" s="33" t="n"/>
      <c r="AK230" s="33" t="n"/>
      <c r="AL230" s="27" t="n"/>
      <c r="AM230" s="34" t="n"/>
      <c r="AN230" s="35">
        <f>IF(AF230="","",IF(AI230="Yes","❌ Disc",IF(AH230="No","⚠ Missing",IF(AK230="Yes","✓ OK","⚠ Check"))))</f>
        <v/>
      </c>
      <c r="AO230" s="36" t="n"/>
      <c r="AP230" s="36" t="n"/>
      <c r="AQ230" s="36" t="n"/>
      <c r="AR230" s="36" t="n"/>
      <c r="AS230" s="36" t="n"/>
      <c r="AT230" s="36" t="n"/>
      <c r="AU230" s="27" t="n"/>
      <c r="AV230" s="37" t="n"/>
      <c r="AW230" s="38">
        <f>IF(AO230="","",IF(AR230="Yes","❌ Disc",IF(AQ230="No","⚠ Missing",IF(AT230="Yes","✓ OK","⚠ Check"))))</f>
        <v/>
      </c>
    </row>
    <row r="231" ht="18" customHeight="1" s="46">
      <c r="A231" s="23" t="n">
        <v>235</v>
      </c>
      <c r="B231" s="24" t="inlineStr">
        <is>
          <t>BD-LAM-2023-0200</t>
        </is>
      </c>
      <c r="C231" s="25" t="inlineStr">
        <is>
          <t>Lam SL SD 1mm 2463 Minor Desert(Gold) [BBP]</t>
        </is>
      </c>
      <c r="D231" s="23" t="inlineStr">
        <is>
          <t>Stylam</t>
        </is>
      </c>
      <c r="E231" s="43" t="n">
        <v>46125</v>
      </c>
      <c r="F231" s="26" t="inlineStr">
        <is>
          <t>Sunil CR</t>
        </is>
      </c>
      <c r="G231" s="26" t="inlineStr">
        <is>
          <t>Yes</t>
        </is>
      </c>
      <c r="H231" s="26" t="inlineStr">
        <is>
          <t>No</t>
        </is>
      </c>
      <c r="I231" s="26" t="inlineStr">
        <is>
          <t>Good finish</t>
        </is>
      </c>
      <c r="J231" s="26" t="inlineStr">
        <is>
          <t>Yes</t>
        </is>
      </c>
      <c r="K231" s="27" t="inlineStr">
        <is>
          <t>Available in small book</t>
        </is>
      </c>
      <c r="L231" s="28" t="inlineStr">
        <is>
          <t>Yes</t>
        </is>
      </c>
      <c r="M231" s="29">
        <f>IF(E231="","",IF(H231="Yes","❌ Disc",IF(G231="No","⚠ Missing",IF(J231="Yes","✓ OK","⚠ Check"))))</f>
        <v/>
      </c>
      <c r="N231" s="43" t="n">
        <v>46193</v>
      </c>
      <c r="O231" s="26" t="inlineStr">
        <is>
          <t>Sunil CR</t>
        </is>
      </c>
      <c r="P231" s="26" t="inlineStr">
        <is>
          <t>No</t>
        </is>
      </c>
      <c r="Q231" s="26" t="inlineStr">
        <is>
          <t>Yes</t>
        </is>
      </c>
      <c r="R231" s="26" t="inlineStr">
        <is>
          <t>Discontinued</t>
        </is>
      </c>
      <c r="S231" s="26" t="inlineStr">
        <is>
          <t>No</t>
        </is>
      </c>
      <c r="T231" s="27" t="n"/>
      <c r="U231" s="28" t="inlineStr">
        <is>
          <t>Yes</t>
        </is>
      </c>
      <c r="V231" s="29">
        <f>IF(N231="","",IF(Q231="Yes","❌ Disc",IF(P231="No","⚠ Missing",IF(S231="Yes","✓ OK","⚠ Check"))))</f>
        <v/>
      </c>
      <c r="W231" s="65" t="n">
        <v>46248</v>
      </c>
      <c r="X231" s="30" t="inlineStr">
        <is>
          <t>Sunil CR</t>
        </is>
      </c>
      <c r="Y231" s="30" t="inlineStr">
        <is>
          <t>No</t>
        </is>
      </c>
      <c r="Z231" s="30" t="inlineStr">
        <is>
          <t>Yes</t>
        </is>
      </c>
      <c r="AA231" s="30" t="inlineStr">
        <is>
          <t>Discontinued</t>
        </is>
      </c>
      <c r="AB231" s="30" t="inlineStr">
        <is>
          <t>No</t>
        </is>
      </c>
      <c r="AC231" s="27" t="n"/>
      <c r="AD231" s="31" t="inlineStr">
        <is>
          <t>No</t>
        </is>
      </c>
      <c r="AE231" s="32">
        <f>IF(W231="","",IF(Z231="Yes","❌ Disc",IF(Y231="No","⚠ Missing",IF(AB231="Yes","✓ OK","⚠ Check"))))</f>
        <v/>
      </c>
      <c r="AF231" s="33" t="n"/>
      <c r="AG231" s="33" t="n"/>
      <c r="AH231" s="33" t="n"/>
      <c r="AI231" s="33" t="n"/>
      <c r="AJ231" s="33" t="n"/>
      <c r="AK231" s="33" t="n"/>
      <c r="AL231" s="27" t="n"/>
      <c r="AM231" s="34" t="n"/>
      <c r="AN231" s="35">
        <f>IF(AF231="","",IF(AI231="Yes","❌ Disc",IF(AH231="No","⚠ Missing",IF(AK231="Yes","✓ OK","⚠ Check"))))</f>
        <v/>
      </c>
      <c r="AO231" s="36" t="n"/>
      <c r="AP231" s="36" t="n"/>
      <c r="AQ231" s="36" t="n"/>
      <c r="AR231" s="36" t="n"/>
      <c r="AS231" s="36" t="n"/>
      <c r="AT231" s="36" t="n"/>
      <c r="AU231" s="27" t="n"/>
      <c r="AV231" s="37" t="n"/>
      <c r="AW231" s="38">
        <f>IF(AO231="","",IF(AR231="Yes","❌ Disc",IF(AQ231="No","⚠ Missing",IF(AT231="Yes","✓ OK","⚠ Check"))))</f>
        <v/>
      </c>
    </row>
    <row r="232" ht="18" customHeight="1" s="46">
      <c r="A232" s="39" t="n">
        <v>236</v>
      </c>
      <c r="B232" s="40" t="inlineStr">
        <is>
          <t>BD-LAM-2023-0219</t>
        </is>
      </c>
      <c r="C232" s="41" t="inlineStr">
        <is>
          <t>Lam SL SD 1mm 2505 Nommad Teak(Gold)</t>
        </is>
      </c>
      <c r="D232" s="39" t="inlineStr">
        <is>
          <t>Stylam</t>
        </is>
      </c>
      <c r="E232" s="43" t="n">
        <v>46125</v>
      </c>
      <c r="F232" s="26" t="inlineStr">
        <is>
          <t>Sunil CR</t>
        </is>
      </c>
      <c r="G232" s="26" t="inlineStr">
        <is>
          <t>Yes</t>
        </is>
      </c>
      <c r="H232" s="26" t="inlineStr">
        <is>
          <t>No</t>
        </is>
      </c>
      <c r="I232" s="26" t="inlineStr">
        <is>
          <t>Good finish</t>
        </is>
      </c>
      <c r="J232" s="26" t="inlineStr">
        <is>
          <t>Yes</t>
        </is>
      </c>
      <c r="K232" s="27" t="n"/>
      <c r="L232" s="28" t="inlineStr">
        <is>
          <t>No</t>
        </is>
      </c>
      <c r="M232" s="29">
        <f>IF(E232="","",IF(H232="Yes","❌ Disc",IF(G232="No","⚠ Missing",IF(J232="Yes","✓ OK","⚠ Check"))))</f>
        <v/>
      </c>
      <c r="N232" s="43" t="n">
        <v>46193</v>
      </c>
      <c r="O232" s="26" t="inlineStr">
        <is>
          <t>Sunil CR</t>
        </is>
      </c>
      <c r="P232" s="26" t="inlineStr">
        <is>
          <t>No</t>
        </is>
      </c>
      <c r="Q232" s="26" t="inlineStr">
        <is>
          <t>Yes</t>
        </is>
      </c>
      <c r="R232" s="26" t="inlineStr">
        <is>
          <t>Discontinued</t>
        </is>
      </c>
      <c r="S232" s="26" t="inlineStr">
        <is>
          <t>No</t>
        </is>
      </c>
      <c r="T232" s="27" t="n"/>
      <c r="U232" s="28" t="inlineStr">
        <is>
          <t>No</t>
        </is>
      </c>
      <c r="V232" s="29">
        <f>IF(N232="","",IF(Q232="Yes","❌ Disc",IF(P232="No","⚠ Missing",IF(S232="Yes","✓ OK","⚠ Check"))))</f>
        <v/>
      </c>
      <c r="W232" s="65" t="n">
        <v>46248</v>
      </c>
      <c r="X232" s="30" t="inlineStr">
        <is>
          <t>Sunil CR</t>
        </is>
      </c>
      <c r="Y232" s="30" t="inlineStr">
        <is>
          <t>No</t>
        </is>
      </c>
      <c r="Z232" s="30" t="inlineStr">
        <is>
          <t>Yes</t>
        </is>
      </c>
      <c r="AA232" s="30" t="inlineStr">
        <is>
          <t>Discontinued</t>
        </is>
      </c>
      <c r="AB232" s="30" t="inlineStr">
        <is>
          <t>No</t>
        </is>
      </c>
      <c r="AC232" s="27" t="n"/>
      <c r="AD232" s="31" t="inlineStr">
        <is>
          <t>No</t>
        </is>
      </c>
      <c r="AE232" s="32">
        <f>IF(W232="","",IF(Z232="Yes","❌ Disc",IF(Y232="No","⚠ Missing",IF(AB232="Yes","✓ OK","⚠ Check"))))</f>
        <v/>
      </c>
      <c r="AF232" s="33" t="n"/>
      <c r="AG232" s="33" t="n"/>
      <c r="AH232" s="33" t="n"/>
      <c r="AI232" s="33" t="n"/>
      <c r="AJ232" s="33" t="n"/>
      <c r="AK232" s="33" t="n"/>
      <c r="AL232" s="27" t="n"/>
      <c r="AM232" s="34" t="n"/>
      <c r="AN232" s="35">
        <f>IF(AF232="","",IF(AI232="Yes","❌ Disc",IF(AH232="No","⚠ Missing",IF(AK232="Yes","✓ OK","⚠ Check"))))</f>
        <v/>
      </c>
      <c r="AO232" s="36" t="n"/>
      <c r="AP232" s="36" t="n"/>
      <c r="AQ232" s="36" t="n"/>
      <c r="AR232" s="36" t="n"/>
      <c r="AS232" s="36" t="n"/>
      <c r="AT232" s="36" t="n"/>
      <c r="AU232" s="27" t="n"/>
      <c r="AV232" s="37" t="n"/>
      <c r="AW232" s="38">
        <f>IF(AO232="","",IF(AR232="Yes","❌ Disc",IF(AQ232="No","⚠ Missing",IF(AT232="Yes","✓ OK","⚠ Check"))))</f>
        <v/>
      </c>
    </row>
    <row r="233" ht="18" customHeight="1" s="46">
      <c r="A233" s="23" t="n">
        <v>237</v>
      </c>
      <c r="B233" s="24" t="inlineStr">
        <is>
          <t>BD-LAM-2023-0177</t>
        </is>
      </c>
      <c r="C233" s="25" t="inlineStr">
        <is>
          <t>Lam SL SD 1mm 2549 Guest Wood(Gold)</t>
        </is>
      </c>
      <c r="D233" s="23" t="inlineStr">
        <is>
          <t>Stylam</t>
        </is>
      </c>
      <c r="E233" s="43" t="n">
        <v>46125</v>
      </c>
      <c r="F233" s="26" t="inlineStr">
        <is>
          <t>Sunil CR</t>
        </is>
      </c>
      <c r="G233" s="26" t="inlineStr">
        <is>
          <t>Yes</t>
        </is>
      </c>
      <c r="H233" s="26" t="inlineStr">
        <is>
          <t>No</t>
        </is>
      </c>
      <c r="I233" s="26" t="inlineStr">
        <is>
          <t>Good finish</t>
        </is>
      </c>
      <c r="J233" s="26" t="inlineStr">
        <is>
          <t>Yes</t>
        </is>
      </c>
      <c r="K233" s="27" t="inlineStr">
        <is>
          <t>Available in small book</t>
        </is>
      </c>
      <c r="L233" s="28" t="inlineStr">
        <is>
          <t>Yes</t>
        </is>
      </c>
      <c r="M233" s="29">
        <f>IF(E233="","",IF(H233="Yes","❌ Disc",IF(G233="No","⚠ Missing",IF(J233="Yes","✓ OK","⚠ Check"))))</f>
        <v/>
      </c>
      <c r="N233" s="43" t="n">
        <v>46193</v>
      </c>
      <c r="O233" s="26" t="inlineStr">
        <is>
          <t>Sunil CR</t>
        </is>
      </c>
      <c r="P233" s="26" t="inlineStr">
        <is>
          <t>Yes</t>
        </is>
      </c>
      <c r="Q233" s="26" t="inlineStr">
        <is>
          <t>No</t>
        </is>
      </c>
      <c r="R233" s="26" t="inlineStr">
        <is>
          <t>Good finish</t>
        </is>
      </c>
      <c r="S233" s="26" t="inlineStr">
        <is>
          <t>Yes</t>
        </is>
      </c>
      <c r="T233" s="27" t="inlineStr">
        <is>
          <t>Available in small book</t>
        </is>
      </c>
      <c r="U233" s="28" t="inlineStr">
        <is>
          <t>Yes</t>
        </is>
      </c>
      <c r="V233" s="29">
        <f>IF(N233="","",IF(Q233="Yes","❌ Disc",IF(P233="No","⚠ Missing",IF(S233="Yes","✓ OK","⚠ Check"))))</f>
        <v/>
      </c>
      <c r="W233" s="65" t="n">
        <v>46248</v>
      </c>
      <c r="X233" s="30" t="inlineStr">
        <is>
          <t>Sunil CR</t>
        </is>
      </c>
      <c r="Y233" s="30" t="inlineStr">
        <is>
          <t>Yes</t>
        </is>
      </c>
      <c r="Z233" s="30" t="n"/>
      <c r="AA233" s="30" t="inlineStr">
        <is>
          <t>Good finish</t>
        </is>
      </c>
      <c r="AB233" s="30" t="inlineStr">
        <is>
          <t>Yes</t>
        </is>
      </c>
      <c r="AC233" s="27" t="inlineStr">
        <is>
          <t>Available in small book</t>
        </is>
      </c>
      <c r="AD233" s="31" t="inlineStr">
        <is>
          <t>Yes</t>
        </is>
      </c>
      <c r="AE233" s="32">
        <f>IF(W233="","",IF(Z233="Yes","❌ Disc",IF(Y233="No","⚠ Missing",IF(AB233="Yes","✓ OK","⚠ Check"))))</f>
        <v/>
      </c>
      <c r="AF233" s="33" t="n"/>
      <c r="AG233" s="33" t="n"/>
      <c r="AH233" s="33" t="n"/>
      <c r="AI233" s="33" t="n"/>
      <c r="AJ233" s="33" t="n"/>
      <c r="AK233" s="33" t="n"/>
      <c r="AL233" s="27" t="n"/>
      <c r="AM233" s="34" t="n"/>
      <c r="AN233" s="35">
        <f>IF(AF233="","",IF(AI233="Yes","❌ Disc",IF(AH233="No","⚠ Missing",IF(AK233="Yes","✓ OK","⚠ Check"))))</f>
        <v/>
      </c>
      <c r="AO233" s="36" t="n"/>
      <c r="AP233" s="36" t="n"/>
      <c r="AQ233" s="36" t="n"/>
      <c r="AR233" s="36" t="n"/>
      <c r="AS233" s="36" t="n"/>
      <c r="AT233" s="36" t="n"/>
      <c r="AU233" s="27" t="n"/>
      <c r="AV233" s="37" t="n"/>
      <c r="AW233" s="38">
        <f>IF(AO233="","",IF(AR233="Yes","❌ Disc",IF(AQ233="No","⚠ Missing",IF(AT233="Yes","✓ OK","⚠ Check"))))</f>
        <v/>
      </c>
    </row>
    <row r="234" ht="18" customHeight="1" s="46">
      <c r="A234" s="39" t="n">
        <v>238</v>
      </c>
      <c r="B234" s="40" t="inlineStr">
        <is>
          <t>BD-LAM-2024-0084</t>
        </is>
      </c>
      <c r="C234" s="41" t="inlineStr">
        <is>
          <t>Lam SL SD 1mm 2601 Jungle Ultra(Gold)</t>
        </is>
      </c>
      <c r="D234" s="39" t="inlineStr">
        <is>
          <t>Stylam</t>
        </is>
      </c>
      <c r="E234" s="43" t="n">
        <v>46125</v>
      </c>
      <c r="F234" s="26" t="inlineStr">
        <is>
          <t>Sunil CR</t>
        </is>
      </c>
      <c r="G234" s="26" t="inlineStr">
        <is>
          <t>Yes</t>
        </is>
      </c>
      <c r="H234" s="26" t="inlineStr">
        <is>
          <t>No</t>
        </is>
      </c>
      <c r="I234" s="26" t="inlineStr">
        <is>
          <t>Good finish</t>
        </is>
      </c>
      <c r="J234" s="26" t="inlineStr">
        <is>
          <t>Yes</t>
        </is>
      </c>
      <c r="K234" s="27" t="n"/>
      <c r="L234" s="28" t="inlineStr">
        <is>
          <t>No</t>
        </is>
      </c>
      <c r="M234" s="29">
        <f>IF(E234="","",IF(H234="Yes","❌ Disc",IF(G234="No","⚠ Missing",IF(J234="Yes","✓ OK","⚠ Check"))))</f>
        <v/>
      </c>
      <c r="N234" s="43" t="n">
        <v>46193</v>
      </c>
      <c r="O234" s="26" t="inlineStr">
        <is>
          <t>Sunil CR</t>
        </is>
      </c>
      <c r="P234" s="26" t="inlineStr">
        <is>
          <t>No</t>
        </is>
      </c>
      <c r="Q234" s="26" t="inlineStr">
        <is>
          <t>Yes</t>
        </is>
      </c>
      <c r="R234" s="26" t="inlineStr">
        <is>
          <t>Discontinued</t>
        </is>
      </c>
      <c r="S234" s="26" t="inlineStr">
        <is>
          <t>No</t>
        </is>
      </c>
      <c r="T234" s="27" t="n"/>
      <c r="U234" s="28" t="inlineStr">
        <is>
          <t>No</t>
        </is>
      </c>
      <c r="V234" s="29">
        <f>IF(N234="","",IF(Q234="Yes","❌ Disc",IF(P234="No","⚠ Missing",IF(S234="Yes","✓ OK","⚠ Check"))))</f>
        <v/>
      </c>
      <c r="W234" s="65" t="n">
        <v>46248</v>
      </c>
      <c r="X234" s="30" t="inlineStr">
        <is>
          <t>Sunil CR</t>
        </is>
      </c>
      <c r="Y234" s="30" t="inlineStr">
        <is>
          <t>No</t>
        </is>
      </c>
      <c r="Z234" s="30" t="inlineStr">
        <is>
          <t>Yes</t>
        </is>
      </c>
      <c r="AA234" s="30" t="inlineStr">
        <is>
          <t>Discontinued</t>
        </is>
      </c>
      <c r="AB234" s="30" t="inlineStr">
        <is>
          <t>No</t>
        </is>
      </c>
      <c r="AC234" s="27" t="n"/>
      <c r="AD234" s="31" t="inlineStr">
        <is>
          <t>No</t>
        </is>
      </c>
      <c r="AE234" s="32">
        <f>IF(W234="","",IF(Z234="Yes","❌ Disc",IF(Y234="No","⚠ Missing",IF(AB234="Yes","✓ OK","⚠ Check"))))</f>
        <v/>
      </c>
      <c r="AF234" s="33" t="n"/>
      <c r="AG234" s="33" t="n"/>
      <c r="AH234" s="33" t="n"/>
      <c r="AI234" s="33" t="n"/>
      <c r="AJ234" s="33" t="n"/>
      <c r="AK234" s="33" t="n"/>
      <c r="AL234" s="27" t="n"/>
      <c r="AM234" s="34" t="n"/>
      <c r="AN234" s="35">
        <f>IF(AF234="","",IF(AI234="Yes","❌ Disc",IF(AH234="No","⚠ Missing",IF(AK234="Yes","✓ OK","⚠ Check"))))</f>
        <v/>
      </c>
      <c r="AO234" s="36" t="n"/>
      <c r="AP234" s="36" t="n"/>
      <c r="AQ234" s="36" t="n"/>
      <c r="AR234" s="36" t="n"/>
      <c r="AS234" s="36" t="n"/>
      <c r="AT234" s="36" t="n"/>
      <c r="AU234" s="27" t="n"/>
      <c r="AV234" s="37" t="n"/>
      <c r="AW234" s="38">
        <f>IF(AO234="","",IF(AR234="Yes","❌ Disc",IF(AQ234="No","⚠ Missing",IF(AT234="Yes","✓ OK","⚠ Check"))))</f>
        <v/>
      </c>
    </row>
    <row r="235" ht="18" customHeight="1" s="46">
      <c r="A235" s="23" t="n">
        <v>239</v>
      </c>
      <c r="B235" s="24" t="inlineStr">
        <is>
          <t>BD-LAM-2023-0161</t>
        </is>
      </c>
      <c r="C235" s="25" t="inlineStr">
        <is>
          <t>Lam SL SD 1mm 2623 Finest Verti (Gold)</t>
        </is>
      </c>
      <c r="D235" s="23" t="inlineStr">
        <is>
          <t>Stylam</t>
        </is>
      </c>
      <c r="E235" s="43" t="n">
        <v>46125</v>
      </c>
      <c r="F235" s="26" t="inlineStr">
        <is>
          <t>Sunil CR</t>
        </is>
      </c>
      <c r="G235" s="26" t="inlineStr">
        <is>
          <t>Yes</t>
        </is>
      </c>
      <c r="H235" s="26" t="inlineStr">
        <is>
          <t>No</t>
        </is>
      </c>
      <c r="I235" s="26" t="inlineStr">
        <is>
          <t>Good finish</t>
        </is>
      </c>
      <c r="J235" s="26" t="inlineStr">
        <is>
          <t>Yes</t>
        </is>
      </c>
      <c r="K235" s="27" t="n"/>
      <c r="L235" s="28" t="inlineStr">
        <is>
          <t>No</t>
        </is>
      </c>
      <c r="M235" s="29">
        <f>IF(E235="","",IF(H235="Yes","❌ Disc",IF(G235="No","⚠ Missing",IF(J235="Yes","✓ OK","⚠ Check"))))</f>
        <v/>
      </c>
      <c r="N235" s="43" t="n">
        <v>46193</v>
      </c>
      <c r="O235" s="26" t="inlineStr">
        <is>
          <t>Sunil CR</t>
        </is>
      </c>
      <c r="P235" s="26" t="inlineStr">
        <is>
          <t>Yes</t>
        </is>
      </c>
      <c r="Q235" s="26" t="inlineStr">
        <is>
          <t>No</t>
        </is>
      </c>
      <c r="R235" s="26" t="inlineStr">
        <is>
          <t>Good finish</t>
        </is>
      </c>
      <c r="S235" s="26" t="inlineStr">
        <is>
          <t>Yes</t>
        </is>
      </c>
      <c r="T235" s="27" t="n"/>
      <c r="U235" s="28" t="inlineStr">
        <is>
          <t>No</t>
        </is>
      </c>
      <c r="V235" s="29">
        <f>IF(N235="","",IF(Q235="Yes","❌ Disc",IF(P235="No","⚠ Missing",IF(S235="Yes","✓ OK","⚠ Check"))))</f>
        <v/>
      </c>
      <c r="W235" s="65" t="n">
        <v>46248</v>
      </c>
      <c r="X235" s="30" t="inlineStr">
        <is>
          <t>Sunil CR</t>
        </is>
      </c>
      <c r="Y235" s="30" t="inlineStr">
        <is>
          <t>No</t>
        </is>
      </c>
      <c r="Z235" s="30" t="inlineStr">
        <is>
          <t>Yes</t>
        </is>
      </c>
      <c r="AA235" s="30" t="inlineStr">
        <is>
          <t>Discontinued</t>
        </is>
      </c>
      <c r="AB235" s="30" t="inlineStr">
        <is>
          <t>No</t>
        </is>
      </c>
      <c r="AC235" s="27" t="n"/>
      <c r="AD235" s="31" t="inlineStr">
        <is>
          <t>No</t>
        </is>
      </c>
      <c r="AE235" s="32">
        <f>IF(W235="","",IF(Z235="Yes","❌ Disc",IF(Y235="No","⚠ Missing",IF(AB235="Yes","✓ OK","⚠ Check"))))</f>
        <v/>
      </c>
      <c r="AF235" s="33" t="n"/>
      <c r="AG235" s="33" t="n"/>
      <c r="AH235" s="33" t="n"/>
      <c r="AI235" s="33" t="n"/>
      <c r="AJ235" s="33" t="n"/>
      <c r="AK235" s="33" t="n"/>
      <c r="AL235" s="27" t="n"/>
      <c r="AM235" s="34" t="n"/>
      <c r="AN235" s="35">
        <f>IF(AF235="","",IF(AI235="Yes","❌ Disc",IF(AH235="No","⚠ Missing",IF(AK235="Yes","✓ OK","⚠ Check"))))</f>
        <v/>
      </c>
      <c r="AO235" s="36" t="n"/>
      <c r="AP235" s="36" t="n"/>
      <c r="AQ235" s="36" t="n"/>
      <c r="AR235" s="36" t="n"/>
      <c r="AS235" s="36" t="n"/>
      <c r="AT235" s="36" t="n"/>
      <c r="AU235" s="27" t="n"/>
      <c r="AV235" s="37" t="n"/>
      <c r="AW235" s="38">
        <f>IF(AO235="","",IF(AR235="Yes","❌ Disc",IF(AQ235="No","⚠ Missing",IF(AT235="Yes","✓ OK","⚠ Check"))))</f>
        <v/>
      </c>
    </row>
    <row r="236" ht="18" customHeight="1" s="46">
      <c r="A236" s="39" t="n">
        <v>240</v>
      </c>
      <c r="B236" s="40" t="inlineStr">
        <is>
          <t>BD-LAM-2023-0261</t>
        </is>
      </c>
      <c r="C236" s="41" t="inlineStr">
        <is>
          <t>Lam SL SD 1mm 2637 Rust Light Fabric(Gold)</t>
        </is>
      </c>
      <c r="D236" s="39" t="inlineStr">
        <is>
          <t>Stylam</t>
        </is>
      </c>
      <c r="E236" s="43" t="n">
        <v>46125</v>
      </c>
      <c r="F236" s="26" t="inlineStr">
        <is>
          <t>Sunil CR</t>
        </is>
      </c>
      <c r="G236" s="26" t="inlineStr">
        <is>
          <t>Yes</t>
        </is>
      </c>
      <c r="H236" s="26" t="inlineStr">
        <is>
          <t>No</t>
        </is>
      </c>
      <c r="I236" s="26" t="inlineStr">
        <is>
          <t>Good finish</t>
        </is>
      </c>
      <c r="J236" s="26" t="inlineStr">
        <is>
          <t>Yes</t>
        </is>
      </c>
      <c r="K236" s="27" t="inlineStr">
        <is>
          <t>Available in small book</t>
        </is>
      </c>
      <c r="L236" s="28" t="inlineStr">
        <is>
          <t>Yes</t>
        </is>
      </c>
      <c r="M236" s="29">
        <f>IF(E236="","",IF(H236="Yes","❌ Disc",IF(G236="No","⚠ Missing",IF(J236="Yes","✓ OK","⚠ Check"))))</f>
        <v/>
      </c>
      <c r="N236" s="43" t="n">
        <v>46193</v>
      </c>
      <c r="O236" s="26" t="inlineStr">
        <is>
          <t>Sunil CR</t>
        </is>
      </c>
      <c r="P236" s="26" t="inlineStr">
        <is>
          <t>No</t>
        </is>
      </c>
      <c r="Q236" s="26" t="inlineStr">
        <is>
          <t>Yes</t>
        </is>
      </c>
      <c r="R236" s="26" t="inlineStr">
        <is>
          <t>Discontinued</t>
        </is>
      </c>
      <c r="S236" s="26" t="inlineStr">
        <is>
          <t>No</t>
        </is>
      </c>
      <c r="T236" s="27" t="n"/>
      <c r="U236" s="28" t="inlineStr">
        <is>
          <t>Yes</t>
        </is>
      </c>
      <c r="V236" s="29">
        <f>IF(N236="","",IF(Q236="Yes","❌ Disc",IF(P236="No","⚠ Missing",IF(S236="Yes","✓ OK","⚠ Check"))))</f>
        <v/>
      </c>
      <c r="W236" s="65" t="n">
        <v>46248</v>
      </c>
      <c r="X236" s="30" t="inlineStr">
        <is>
          <t>Sunil CR</t>
        </is>
      </c>
      <c r="Y236" s="30" t="inlineStr">
        <is>
          <t>No</t>
        </is>
      </c>
      <c r="Z236" s="30" t="inlineStr">
        <is>
          <t>Yes</t>
        </is>
      </c>
      <c r="AA236" s="30" t="inlineStr">
        <is>
          <t>Discontinued</t>
        </is>
      </c>
      <c r="AB236" s="30" t="inlineStr">
        <is>
          <t>No</t>
        </is>
      </c>
      <c r="AC236" s="27" t="n"/>
      <c r="AD236" s="31" t="inlineStr">
        <is>
          <t>No</t>
        </is>
      </c>
      <c r="AE236" s="32">
        <f>IF(W236="","",IF(Z236="Yes","❌ Disc",IF(Y236="No","⚠ Missing",IF(AB236="Yes","✓ OK","⚠ Check"))))</f>
        <v/>
      </c>
      <c r="AF236" s="33" t="n"/>
      <c r="AG236" s="33" t="n"/>
      <c r="AH236" s="33" t="n"/>
      <c r="AI236" s="33" t="n"/>
      <c r="AJ236" s="33" t="n"/>
      <c r="AK236" s="33" t="n"/>
      <c r="AL236" s="27" t="n"/>
      <c r="AM236" s="34" t="n"/>
      <c r="AN236" s="35">
        <f>IF(AF236="","",IF(AI236="Yes","❌ Disc",IF(AH236="No","⚠ Missing",IF(AK236="Yes","✓ OK","⚠ Check"))))</f>
        <v/>
      </c>
      <c r="AO236" s="36" t="n"/>
      <c r="AP236" s="36" t="n"/>
      <c r="AQ236" s="36" t="n"/>
      <c r="AR236" s="36" t="n"/>
      <c r="AS236" s="36" t="n"/>
      <c r="AT236" s="36" t="n"/>
      <c r="AU236" s="27" t="n"/>
      <c r="AV236" s="37" t="n"/>
      <c r="AW236" s="38">
        <f>IF(AO236="","",IF(AR236="Yes","❌ Disc",IF(AQ236="No","⚠ Missing",IF(AT236="Yes","✓ OK","⚠ Check"))))</f>
        <v/>
      </c>
    </row>
    <row r="237" ht="18" customHeight="1" s="46">
      <c r="A237" s="23" t="n">
        <v>241</v>
      </c>
      <c r="B237" s="24" t="inlineStr">
        <is>
          <t>BD-LAM-2023-0189</t>
        </is>
      </c>
      <c r="C237" s="25" t="inlineStr">
        <is>
          <t>Lam SL SD 1mm 2720 Kenny Oak(Gold) [BBP]</t>
        </is>
      </c>
      <c r="D237" s="23" t="inlineStr">
        <is>
          <t>Stylam</t>
        </is>
      </c>
      <c r="E237" s="43" t="n">
        <v>46125</v>
      </c>
      <c r="F237" s="26" t="inlineStr">
        <is>
          <t>Sunil CR</t>
        </is>
      </c>
      <c r="G237" s="26" t="inlineStr">
        <is>
          <t>Yes</t>
        </is>
      </c>
      <c r="H237" s="26" t="inlineStr">
        <is>
          <t>No</t>
        </is>
      </c>
      <c r="I237" s="26" t="inlineStr">
        <is>
          <t>Good finish</t>
        </is>
      </c>
      <c r="J237" s="26" t="inlineStr">
        <is>
          <t>Yes</t>
        </is>
      </c>
      <c r="K237" s="27" t="inlineStr">
        <is>
          <t>Available in small book</t>
        </is>
      </c>
      <c r="L237" s="28" t="inlineStr">
        <is>
          <t>Yes</t>
        </is>
      </c>
      <c r="M237" s="29">
        <f>IF(E237="","",IF(H237="Yes","❌ Disc",IF(G237="No","⚠ Missing",IF(J237="Yes","✓ OK","⚠ Check"))))</f>
        <v/>
      </c>
      <c r="N237" s="43" t="n">
        <v>46193</v>
      </c>
      <c r="O237" s="26" t="inlineStr">
        <is>
          <t>Sunil CR</t>
        </is>
      </c>
      <c r="P237" s="26" t="inlineStr">
        <is>
          <t>Yes</t>
        </is>
      </c>
      <c r="Q237" s="26" t="inlineStr">
        <is>
          <t>No</t>
        </is>
      </c>
      <c r="R237" s="26" t="inlineStr">
        <is>
          <t>Good finish</t>
        </is>
      </c>
      <c r="S237" s="26" t="inlineStr">
        <is>
          <t>Yes</t>
        </is>
      </c>
      <c r="T237" s="27" t="inlineStr">
        <is>
          <t>Available in small book</t>
        </is>
      </c>
      <c r="U237" s="28" t="inlineStr">
        <is>
          <t>Yes</t>
        </is>
      </c>
      <c r="V237" s="29">
        <f>IF(N237="","",IF(Q237="Yes","❌ Disc",IF(P237="No","⚠ Missing",IF(S237="Yes","✓ OK","⚠ Check"))))</f>
        <v/>
      </c>
      <c r="W237" s="65" t="n">
        <v>46248</v>
      </c>
      <c r="X237" s="30" t="inlineStr">
        <is>
          <t>Sunil CR</t>
        </is>
      </c>
      <c r="Y237" s="30" t="inlineStr">
        <is>
          <t>Yes</t>
        </is>
      </c>
      <c r="Z237" s="30" t="n"/>
      <c r="AA237" s="30" t="inlineStr">
        <is>
          <t>Good finish</t>
        </is>
      </c>
      <c r="AB237" s="30" t="inlineStr">
        <is>
          <t>Yes</t>
        </is>
      </c>
      <c r="AC237" s="27" t="inlineStr">
        <is>
          <t>Available in small book</t>
        </is>
      </c>
      <c r="AD237" s="31" t="inlineStr">
        <is>
          <t>Yes</t>
        </is>
      </c>
      <c r="AE237" s="32">
        <f>IF(W237="","",IF(Z237="Yes","❌ Disc",IF(Y237="No","⚠ Missing",IF(AB237="Yes","✓ OK","⚠ Check"))))</f>
        <v/>
      </c>
      <c r="AF237" s="33" t="n"/>
      <c r="AG237" s="33" t="n"/>
      <c r="AH237" s="33" t="n"/>
      <c r="AI237" s="33" t="n"/>
      <c r="AJ237" s="33" t="n"/>
      <c r="AK237" s="33" t="n"/>
      <c r="AL237" s="27" t="n"/>
      <c r="AM237" s="34" t="n"/>
      <c r="AN237" s="35">
        <f>IF(AF237="","",IF(AI237="Yes","❌ Disc",IF(AH237="No","⚠ Missing",IF(AK237="Yes","✓ OK","⚠ Check"))))</f>
        <v/>
      </c>
      <c r="AO237" s="36" t="n"/>
      <c r="AP237" s="36" t="n"/>
      <c r="AQ237" s="36" t="n"/>
      <c r="AR237" s="36" t="n"/>
      <c r="AS237" s="36" t="n"/>
      <c r="AT237" s="36" t="n"/>
      <c r="AU237" s="27" t="n"/>
      <c r="AV237" s="37" t="n"/>
      <c r="AW237" s="38">
        <f>IF(AO237="","",IF(AR237="Yes","❌ Disc",IF(AQ237="No","⚠ Missing",IF(AT237="Yes","✓ OK","⚠ Check"))))</f>
        <v/>
      </c>
    </row>
    <row r="238" ht="18" customHeight="1" s="46">
      <c r="A238" s="39" t="n">
        <v>242</v>
      </c>
      <c r="B238" s="40" t="inlineStr">
        <is>
          <t>BD-LAM-2023-0273</t>
        </is>
      </c>
      <c r="C238" s="41" t="inlineStr">
        <is>
          <t>Lam SL SD 1mm 2725 Slovenian Oak (Gold)</t>
        </is>
      </c>
      <c r="D238" s="39" t="inlineStr">
        <is>
          <t>Stylam</t>
        </is>
      </c>
      <c r="E238" s="43" t="n">
        <v>46125</v>
      </c>
      <c r="F238" s="26" t="inlineStr">
        <is>
          <t>Sunil CR</t>
        </is>
      </c>
      <c r="G238" s="26" t="inlineStr">
        <is>
          <t>Yes</t>
        </is>
      </c>
      <c r="H238" s="26" t="inlineStr">
        <is>
          <t>No</t>
        </is>
      </c>
      <c r="I238" s="26" t="inlineStr">
        <is>
          <t>Good finish</t>
        </is>
      </c>
      <c r="J238" s="26" t="inlineStr">
        <is>
          <t>Yes</t>
        </is>
      </c>
      <c r="K238" s="27" t="inlineStr">
        <is>
          <t>Available in small book</t>
        </is>
      </c>
      <c r="L238" s="28" t="inlineStr">
        <is>
          <t>Yes</t>
        </is>
      </c>
      <c r="M238" s="29">
        <f>IF(E238="","",IF(H238="Yes","❌ Disc",IF(G238="No","⚠ Missing",IF(J238="Yes","✓ OK","⚠ Check"))))</f>
        <v/>
      </c>
      <c r="N238" s="43" t="n">
        <v>46193</v>
      </c>
      <c r="O238" s="26" t="inlineStr">
        <is>
          <t>Sunil CR</t>
        </is>
      </c>
      <c r="P238" s="26" t="inlineStr">
        <is>
          <t>Yes</t>
        </is>
      </c>
      <c r="Q238" s="26" t="inlineStr">
        <is>
          <t>No</t>
        </is>
      </c>
      <c r="R238" s="26" t="inlineStr">
        <is>
          <t>Good finish</t>
        </is>
      </c>
      <c r="S238" s="26" t="inlineStr">
        <is>
          <t>Yes</t>
        </is>
      </c>
      <c r="T238" s="27" t="inlineStr">
        <is>
          <t>Available in small book</t>
        </is>
      </c>
      <c r="U238" s="28" t="inlineStr">
        <is>
          <t>Yes</t>
        </is>
      </c>
      <c r="V238" s="29">
        <f>IF(N238="","",IF(Q238="Yes","❌ Disc",IF(P238="No","⚠ Missing",IF(S238="Yes","✓ OK","⚠ Check"))))</f>
        <v/>
      </c>
      <c r="W238" s="65" t="n">
        <v>46248</v>
      </c>
      <c r="X238" s="30" t="inlineStr">
        <is>
          <t>Sunil CR</t>
        </is>
      </c>
      <c r="Y238" s="30" t="inlineStr">
        <is>
          <t>Yes</t>
        </is>
      </c>
      <c r="Z238" s="30" t="n"/>
      <c r="AA238" s="30" t="inlineStr">
        <is>
          <t>Good finish</t>
        </is>
      </c>
      <c r="AB238" s="30" t="inlineStr">
        <is>
          <t>Yes</t>
        </is>
      </c>
      <c r="AC238" s="27" t="inlineStr">
        <is>
          <t>Available in small book</t>
        </is>
      </c>
      <c r="AD238" s="31" t="inlineStr">
        <is>
          <t>Yes</t>
        </is>
      </c>
      <c r="AE238" s="32">
        <f>IF(W238="","",IF(Z238="Yes","❌ Disc",IF(Y238="No","⚠ Missing",IF(AB238="Yes","✓ OK","⚠ Check"))))</f>
        <v/>
      </c>
      <c r="AF238" s="33" t="n"/>
      <c r="AG238" s="33" t="n"/>
      <c r="AH238" s="33" t="n"/>
      <c r="AI238" s="33" t="n"/>
      <c r="AJ238" s="33" t="n"/>
      <c r="AK238" s="33" t="n"/>
      <c r="AL238" s="27" t="n"/>
      <c r="AM238" s="34" t="n"/>
      <c r="AN238" s="35">
        <f>IF(AF238="","",IF(AI238="Yes","❌ Disc",IF(AH238="No","⚠ Missing",IF(AK238="Yes","✓ OK","⚠ Check"))))</f>
        <v/>
      </c>
      <c r="AO238" s="36" t="n"/>
      <c r="AP238" s="36" t="n"/>
      <c r="AQ238" s="36" t="n"/>
      <c r="AR238" s="36" t="n"/>
      <c r="AS238" s="36" t="n"/>
      <c r="AT238" s="36" t="n"/>
      <c r="AU238" s="27" t="n"/>
      <c r="AV238" s="37" t="n"/>
      <c r="AW238" s="38">
        <f>IF(AO238="","",IF(AR238="Yes","❌ Disc",IF(AQ238="No","⚠ Missing",IF(AT238="Yes","✓ OK","⚠ Check"))))</f>
        <v/>
      </c>
    </row>
    <row r="239" ht="18" customHeight="1" s="46">
      <c r="A239" s="23" t="n">
        <v>243</v>
      </c>
      <c r="B239" s="24" t="inlineStr">
        <is>
          <t>BD-LAM-2023-0140</t>
        </is>
      </c>
      <c r="C239" s="25" t="inlineStr">
        <is>
          <t>Lam SL SD 1mm 2730 Cracked Oak(Gold) [BBP]</t>
        </is>
      </c>
      <c r="D239" s="23" t="inlineStr">
        <is>
          <t>Stylam</t>
        </is>
      </c>
      <c r="E239" s="43" t="n">
        <v>46125</v>
      </c>
      <c r="F239" s="26" t="inlineStr">
        <is>
          <t>Sunil CR</t>
        </is>
      </c>
      <c r="G239" s="26" t="inlineStr">
        <is>
          <t>Yes</t>
        </is>
      </c>
      <c r="H239" s="26" t="inlineStr">
        <is>
          <t>No</t>
        </is>
      </c>
      <c r="I239" s="26" t="inlineStr">
        <is>
          <t>Good finish</t>
        </is>
      </c>
      <c r="J239" s="26" t="inlineStr">
        <is>
          <t>Yes</t>
        </is>
      </c>
      <c r="K239" s="27" t="n"/>
      <c r="L239" s="28" t="inlineStr">
        <is>
          <t>No</t>
        </is>
      </c>
      <c r="M239" s="29">
        <f>IF(E239="","",IF(H239="Yes","❌ Disc",IF(G239="No","⚠ Missing",IF(J239="Yes","✓ OK","⚠ Check"))))</f>
        <v/>
      </c>
      <c r="N239" s="43" t="n">
        <v>46193</v>
      </c>
      <c r="O239" s="26" t="inlineStr">
        <is>
          <t>Sunil CR</t>
        </is>
      </c>
      <c r="P239" s="26" t="inlineStr">
        <is>
          <t>Yes</t>
        </is>
      </c>
      <c r="Q239" s="26" t="inlineStr">
        <is>
          <t>No</t>
        </is>
      </c>
      <c r="R239" s="26" t="inlineStr">
        <is>
          <t>Good finish</t>
        </is>
      </c>
      <c r="S239" s="26" t="inlineStr">
        <is>
          <t>Yes</t>
        </is>
      </c>
      <c r="T239" s="27" t="n"/>
      <c r="U239" s="28" t="inlineStr">
        <is>
          <t>No</t>
        </is>
      </c>
      <c r="V239" s="29">
        <f>IF(N239="","",IF(Q239="Yes","❌ Disc",IF(P239="No","⚠ Missing",IF(S239="Yes","✓ OK","⚠ Check"))))</f>
        <v/>
      </c>
      <c r="W239" s="65" t="n">
        <v>46248</v>
      </c>
      <c r="X239" s="30" t="inlineStr">
        <is>
          <t>Sunil CR</t>
        </is>
      </c>
      <c r="Y239" s="30" t="inlineStr">
        <is>
          <t>Yes</t>
        </is>
      </c>
      <c r="Z239" s="30" t="n"/>
      <c r="AA239" s="30" t="inlineStr">
        <is>
          <t>Good finish</t>
        </is>
      </c>
      <c r="AB239" s="30" t="inlineStr">
        <is>
          <t>Yes</t>
        </is>
      </c>
      <c r="AC239" s="27" t="n"/>
      <c r="AD239" s="31" t="inlineStr">
        <is>
          <t>No</t>
        </is>
      </c>
      <c r="AE239" s="32">
        <f>IF(W239="","",IF(Z239="Yes","❌ Disc",IF(Y239="No","⚠ Missing",IF(AB239="Yes","✓ OK","⚠ Check"))))</f>
        <v/>
      </c>
      <c r="AF239" s="33" t="n"/>
      <c r="AG239" s="33" t="n"/>
      <c r="AH239" s="33" t="n"/>
      <c r="AI239" s="33" t="n"/>
      <c r="AJ239" s="33" t="n"/>
      <c r="AK239" s="33" t="n"/>
      <c r="AL239" s="27" t="n"/>
      <c r="AM239" s="34" t="n"/>
      <c r="AN239" s="35">
        <f>IF(AF239="","",IF(AI239="Yes","❌ Disc",IF(AH239="No","⚠ Missing",IF(AK239="Yes","✓ OK","⚠ Check"))))</f>
        <v/>
      </c>
      <c r="AO239" s="36" t="n"/>
      <c r="AP239" s="36" t="n"/>
      <c r="AQ239" s="36" t="n"/>
      <c r="AR239" s="36" t="n"/>
      <c r="AS239" s="36" t="n"/>
      <c r="AT239" s="36" t="n"/>
      <c r="AU239" s="27" t="n"/>
      <c r="AV239" s="37" t="n"/>
      <c r="AW239" s="38">
        <f>IF(AO239="","",IF(AR239="Yes","❌ Disc",IF(AQ239="No","⚠ Missing",IF(AT239="Yes","✓ OK","⚠ Check"))))</f>
        <v/>
      </c>
    </row>
    <row r="240" ht="18" customHeight="1" s="46">
      <c r="A240" s="39" t="n">
        <v>244</v>
      </c>
      <c r="B240" s="40" t="inlineStr">
        <is>
          <t>BD-LAM-2023-0257</t>
        </is>
      </c>
      <c r="C240" s="41" t="inlineStr">
        <is>
          <t>Lam SL SD 1mm 2808 Riva Wood(Gold) [BBP]</t>
        </is>
      </c>
      <c r="D240" s="39" t="inlineStr">
        <is>
          <t>Stylam</t>
        </is>
      </c>
      <c r="E240" s="43" t="n">
        <v>46125</v>
      </c>
      <c r="F240" s="26" t="inlineStr">
        <is>
          <t>Sunil CR</t>
        </is>
      </c>
      <c r="G240" s="26" t="inlineStr">
        <is>
          <t>Yes</t>
        </is>
      </c>
      <c r="H240" s="26" t="inlineStr">
        <is>
          <t>No</t>
        </is>
      </c>
      <c r="I240" s="26" t="inlineStr">
        <is>
          <t>Good finish</t>
        </is>
      </c>
      <c r="J240" s="26" t="inlineStr">
        <is>
          <t>Yes</t>
        </is>
      </c>
      <c r="K240" s="27" t="inlineStr">
        <is>
          <t>Available in small book</t>
        </is>
      </c>
      <c r="L240" s="28" t="inlineStr">
        <is>
          <t>Yes</t>
        </is>
      </c>
      <c r="M240" s="29">
        <f>IF(E240="","",IF(H240="Yes","❌ Disc",IF(G240="No","⚠ Missing",IF(J240="Yes","✓ OK","⚠ Check"))))</f>
        <v/>
      </c>
      <c r="N240" s="43" t="n">
        <v>46193</v>
      </c>
      <c r="O240" s="26" t="inlineStr">
        <is>
          <t>Sunil CR</t>
        </is>
      </c>
      <c r="P240" s="26" t="inlineStr">
        <is>
          <t>No</t>
        </is>
      </c>
      <c r="Q240" s="26" t="inlineStr">
        <is>
          <t>Yes</t>
        </is>
      </c>
      <c r="R240" s="26" t="inlineStr">
        <is>
          <t>Discontinued</t>
        </is>
      </c>
      <c r="S240" s="26" t="inlineStr">
        <is>
          <t>No</t>
        </is>
      </c>
      <c r="T240" s="27" t="n"/>
      <c r="U240" s="28" t="inlineStr">
        <is>
          <t>Yes</t>
        </is>
      </c>
      <c r="V240" s="29">
        <f>IF(N240="","",IF(Q240="Yes","❌ Disc",IF(P240="No","⚠ Missing",IF(S240="Yes","✓ OK","⚠ Check"))))</f>
        <v/>
      </c>
      <c r="W240" s="65" t="n">
        <v>46248</v>
      </c>
      <c r="X240" s="30" t="inlineStr">
        <is>
          <t>Sunil CR</t>
        </is>
      </c>
      <c r="Y240" s="30" t="inlineStr">
        <is>
          <t>No</t>
        </is>
      </c>
      <c r="Z240" s="30" t="inlineStr">
        <is>
          <t>Yes</t>
        </is>
      </c>
      <c r="AA240" s="30" t="inlineStr">
        <is>
          <t>Discontinued</t>
        </is>
      </c>
      <c r="AB240" s="30" t="inlineStr">
        <is>
          <t>No</t>
        </is>
      </c>
      <c r="AC240" s="27" t="n"/>
      <c r="AD240" s="31" t="inlineStr">
        <is>
          <t>No</t>
        </is>
      </c>
      <c r="AE240" s="32">
        <f>IF(W240="","",IF(Z240="Yes","❌ Disc",IF(Y240="No","⚠ Missing",IF(AB240="Yes","✓ OK","⚠ Check"))))</f>
        <v/>
      </c>
      <c r="AF240" s="33" t="n"/>
      <c r="AG240" s="33" t="n"/>
      <c r="AH240" s="33" t="n"/>
      <c r="AI240" s="33" t="n"/>
      <c r="AJ240" s="33" t="n"/>
      <c r="AK240" s="33" t="n"/>
      <c r="AL240" s="27" t="n"/>
      <c r="AM240" s="34" t="n"/>
      <c r="AN240" s="35">
        <f>IF(AF240="","",IF(AI240="Yes","❌ Disc",IF(AH240="No","⚠ Missing",IF(AK240="Yes","✓ OK","⚠ Check"))))</f>
        <v/>
      </c>
      <c r="AO240" s="36" t="n"/>
      <c r="AP240" s="36" t="n"/>
      <c r="AQ240" s="36" t="n"/>
      <c r="AR240" s="36" t="n"/>
      <c r="AS240" s="36" t="n"/>
      <c r="AT240" s="36" t="n"/>
      <c r="AU240" s="27" t="n"/>
      <c r="AV240" s="37" t="n"/>
      <c r="AW240" s="38">
        <f>IF(AO240="","",IF(AR240="Yes","❌ Disc",IF(AQ240="No","⚠ Missing",IF(AT240="Yes","✓ OK","⚠ Check"))))</f>
        <v/>
      </c>
    </row>
    <row r="241" ht="18" customHeight="1" s="46">
      <c r="A241" s="23" t="n">
        <v>245</v>
      </c>
      <c r="B241" s="24" t="inlineStr">
        <is>
          <t>BD-LAM-2023-0301</t>
        </is>
      </c>
      <c r="C241" s="25" t="inlineStr">
        <is>
          <t>Lam SL SD 1mm 2831 Walnut Tex(Gold)</t>
        </is>
      </c>
      <c r="D241" s="23" t="inlineStr">
        <is>
          <t>Stylam</t>
        </is>
      </c>
      <c r="E241" s="43" t="n">
        <v>46125</v>
      </c>
      <c r="F241" s="26" t="inlineStr">
        <is>
          <t>Sunil CR</t>
        </is>
      </c>
      <c r="G241" s="26" t="inlineStr">
        <is>
          <t>Yes</t>
        </is>
      </c>
      <c r="H241" s="26" t="inlineStr">
        <is>
          <t>No</t>
        </is>
      </c>
      <c r="I241" s="26" t="inlineStr">
        <is>
          <t>Good finish</t>
        </is>
      </c>
      <c r="J241" s="26" t="inlineStr">
        <is>
          <t>Yes</t>
        </is>
      </c>
      <c r="K241" s="27" t="n"/>
      <c r="L241" s="28" t="inlineStr">
        <is>
          <t>No</t>
        </is>
      </c>
      <c r="M241" s="29">
        <f>IF(E241="","",IF(H241="Yes","❌ Disc",IF(G241="No","⚠ Missing",IF(J241="Yes","✓ OK","⚠ Check"))))</f>
        <v/>
      </c>
      <c r="N241" s="43" t="n">
        <v>46193</v>
      </c>
      <c r="O241" s="26" t="inlineStr">
        <is>
          <t>Sunil CR</t>
        </is>
      </c>
      <c r="P241" s="26" t="inlineStr">
        <is>
          <t>No</t>
        </is>
      </c>
      <c r="Q241" s="26" t="inlineStr">
        <is>
          <t>Yes</t>
        </is>
      </c>
      <c r="R241" s="26" t="inlineStr">
        <is>
          <t>Discontinued</t>
        </is>
      </c>
      <c r="S241" s="26" t="inlineStr">
        <is>
          <t>No</t>
        </is>
      </c>
      <c r="T241" s="27" t="n"/>
      <c r="U241" s="28" t="inlineStr">
        <is>
          <t>No</t>
        </is>
      </c>
      <c r="V241" s="29">
        <f>IF(N241="","",IF(Q241="Yes","❌ Disc",IF(P241="No","⚠ Missing",IF(S241="Yes","✓ OK","⚠ Check"))))</f>
        <v/>
      </c>
      <c r="W241" s="65" t="n">
        <v>46248</v>
      </c>
      <c r="X241" s="30" t="inlineStr">
        <is>
          <t>Sunil CR</t>
        </is>
      </c>
      <c r="Y241" s="30" t="inlineStr">
        <is>
          <t>No</t>
        </is>
      </c>
      <c r="Z241" s="30" t="inlineStr">
        <is>
          <t>Yes</t>
        </is>
      </c>
      <c r="AA241" s="30" t="inlineStr">
        <is>
          <t>Discontinued</t>
        </is>
      </c>
      <c r="AB241" s="30" t="inlineStr">
        <is>
          <t>No</t>
        </is>
      </c>
      <c r="AC241" s="27" t="n"/>
      <c r="AD241" s="31" t="inlineStr">
        <is>
          <t>No</t>
        </is>
      </c>
      <c r="AE241" s="32">
        <f>IF(W241="","",IF(Z241="Yes","❌ Disc",IF(Y241="No","⚠ Missing",IF(AB241="Yes","✓ OK","⚠ Check"))))</f>
        <v/>
      </c>
      <c r="AF241" s="33" t="n"/>
      <c r="AG241" s="33" t="n"/>
      <c r="AH241" s="33" t="n"/>
      <c r="AI241" s="33" t="n"/>
      <c r="AJ241" s="33" t="n"/>
      <c r="AK241" s="33" t="n"/>
      <c r="AL241" s="27" t="n"/>
      <c r="AM241" s="34" t="n"/>
      <c r="AN241" s="35">
        <f>IF(AF241="","",IF(AI241="Yes","❌ Disc",IF(AH241="No","⚠ Missing",IF(AK241="Yes","✓ OK","⚠ Check"))))</f>
        <v/>
      </c>
      <c r="AO241" s="36" t="n"/>
      <c r="AP241" s="36" t="n"/>
      <c r="AQ241" s="36" t="n"/>
      <c r="AR241" s="36" t="n"/>
      <c r="AS241" s="36" t="n"/>
      <c r="AT241" s="36" t="n"/>
      <c r="AU241" s="27" t="n"/>
      <c r="AV241" s="37" t="n"/>
      <c r="AW241" s="38">
        <f>IF(AO241="","",IF(AR241="Yes","❌ Disc",IF(AQ241="No","⚠ Missing",IF(AT241="Yes","✓ OK","⚠ Check"))))</f>
        <v/>
      </c>
    </row>
    <row r="242" ht="18" customHeight="1" s="46">
      <c r="A242" s="39" t="n">
        <v>246</v>
      </c>
      <c r="B242" s="40" t="inlineStr">
        <is>
          <t>BD-LAM-2023-0137</t>
        </is>
      </c>
      <c r="C242" s="41" t="inlineStr">
        <is>
          <t>Lam SL SD 1mm 2843 Coco teak(Gold) [BBP]</t>
        </is>
      </c>
      <c r="D242" s="39" t="inlineStr">
        <is>
          <t>Stylam</t>
        </is>
      </c>
      <c r="E242" s="43" t="n">
        <v>46125</v>
      </c>
      <c r="F242" s="26" t="inlineStr">
        <is>
          <t>Sunil CR</t>
        </is>
      </c>
      <c r="G242" s="26" t="inlineStr">
        <is>
          <t>Yes</t>
        </is>
      </c>
      <c r="H242" s="26" t="inlineStr">
        <is>
          <t>No</t>
        </is>
      </c>
      <c r="I242" s="26" t="inlineStr">
        <is>
          <t>Good finish</t>
        </is>
      </c>
      <c r="J242" s="26" t="inlineStr">
        <is>
          <t>Yes</t>
        </is>
      </c>
      <c r="K242" s="27" t="n"/>
      <c r="L242" s="28" t="inlineStr">
        <is>
          <t>No</t>
        </is>
      </c>
      <c r="M242" s="29">
        <f>IF(E242="","",IF(H242="Yes","❌ Disc",IF(G242="No","⚠ Missing",IF(J242="Yes","✓ OK","⚠ Check"))))</f>
        <v/>
      </c>
      <c r="N242" s="43" t="n">
        <v>46193</v>
      </c>
      <c r="O242" s="26" t="inlineStr">
        <is>
          <t>Sunil CR</t>
        </is>
      </c>
      <c r="P242" s="26" t="inlineStr">
        <is>
          <t>No</t>
        </is>
      </c>
      <c r="Q242" s="26" t="inlineStr">
        <is>
          <t>Yes</t>
        </is>
      </c>
      <c r="R242" s="26" t="inlineStr">
        <is>
          <t>Discontinued</t>
        </is>
      </c>
      <c r="S242" s="26" t="inlineStr">
        <is>
          <t>No</t>
        </is>
      </c>
      <c r="T242" s="27" t="n"/>
      <c r="U242" s="28" t="inlineStr">
        <is>
          <t>No</t>
        </is>
      </c>
      <c r="V242" s="29">
        <f>IF(N242="","",IF(Q242="Yes","❌ Disc",IF(P242="No","⚠ Missing",IF(S242="Yes","✓ OK","⚠ Check"))))</f>
        <v/>
      </c>
      <c r="W242" s="65" t="n">
        <v>46248</v>
      </c>
      <c r="X242" s="30" t="inlineStr">
        <is>
          <t>Sunil CR</t>
        </is>
      </c>
      <c r="Y242" s="30" t="inlineStr">
        <is>
          <t>No</t>
        </is>
      </c>
      <c r="Z242" s="30" t="inlineStr">
        <is>
          <t>Yes</t>
        </is>
      </c>
      <c r="AA242" s="30" t="inlineStr">
        <is>
          <t>Discontinued</t>
        </is>
      </c>
      <c r="AB242" s="30" t="inlineStr">
        <is>
          <t>No</t>
        </is>
      </c>
      <c r="AC242" s="27" t="n"/>
      <c r="AD242" s="31" t="inlineStr">
        <is>
          <t>No</t>
        </is>
      </c>
      <c r="AE242" s="32">
        <f>IF(W242="","",IF(Z242="Yes","❌ Disc",IF(Y242="No","⚠ Missing",IF(AB242="Yes","✓ OK","⚠ Check"))))</f>
        <v/>
      </c>
      <c r="AF242" s="33" t="n"/>
      <c r="AG242" s="33" t="n"/>
      <c r="AH242" s="33" t="n"/>
      <c r="AI242" s="33" t="n"/>
      <c r="AJ242" s="33" t="n"/>
      <c r="AK242" s="33" t="n"/>
      <c r="AL242" s="27" t="n"/>
      <c r="AM242" s="34" t="n"/>
      <c r="AN242" s="35">
        <f>IF(AF242="","",IF(AI242="Yes","❌ Disc",IF(AH242="No","⚠ Missing",IF(AK242="Yes","✓ OK","⚠ Check"))))</f>
        <v/>
      </c>
      <c r="AO242" s="36" t="n"/>
      <c r="AP242" s="36" t="n"/>
      <c r="AQ242" s="36" t="n"/>
      <c r="AR242" s="36" t="n"/>
      <c r="AS242" s="36" t="n"/>
      <c r="AT242" s="36" t="n"/>
      <c r="AU242" s="27" t="n"/>
      <c r="AV242" s="37" t="n"/>
      <c r="AW242" s="38">
        <f>IF(AO242="","",IF(AR242="Yes","❌ Disc",IF(AQ242="No","⚠ Missing",IF(AT242="Yes","✓ OK","⚠ Check"))))</f>
        <v/>
      </c>
    </row>
    <row r="243" ht="18" customHeight="1" s="46">
      <c r="A243" s="23" t="n">
        <v>247</v>
      </c>
      <c r="B243" s="24" t="inlineStr">
        <is>
          <t>BD-LAM-2023-0159</t>
        </is>
      </c>
      <c r="C243" s="25" t="inlineStr">
        <is>
          <t>Lam SL SD 1mm 2864 Fedara Wood(Gold)</t>
        </is>
      </c>
      <c r="D243" s="23" t="inlineStr">
        <is>
          <t>Stylam</t>
        </is>
      </c>
      <c r="E243" s="43" t="n">
        <v>46125</v>
      </c>
      <c r="F243" s="26" t="inlineStr">
        <is>
          <t>Sunil CR</t>
        </is>
      </c>
      <c r="G243" s="26" t="inlineStr">
        <is>
          <t>Yes</t>
        </is>
      </c>
      <c r="H243" s="26" t="inlineStr">
        <is>
          <t>No</t>
        </is>
      </c>
      <c r="I243" s="26" t="inlineStr">
        <is>
          <t>Good finish</t>
        </is>
      </c>
      <c r="J243" s="26" t="inlineStr">
        <is>
          <t>Yes</t>
        </is>
      </c>
      <c r="K243" s="27" t="n"/>
      <c r="L243" s="28" t="inlineStr">
        <is>
          <t>No</t>
        </is>
      </c>
      <c r="M243" s="29">
        <f>IF(E243="","",IF(H243="Yes","❌ Disc",IF(G243="No","⚠ Missing",IF(J243="Yes","✓ OK","⚠ Check"))))</f>
        <v/>
      </c>
      <c r="N243" s="43" t="n">
        <v>46193</v>
      </c>
      <c r="O243" s="26" t="inlineStr">
        <is>
          <t>Sunil CR</t>
        </is>
      </c>
      <c r="P243" s="26" t="inlineStr">
        <is>
          <t>Yes</t>
        </is>
      </c>
      <c r="Q243" s="26" t="inlineStr">
        <is>
          <t>No</t>
        </is>
      </c>
      <c r="R243" s="26" t="inlineStr">
        <is>
          <t>Good finish</t>
        </is>
      </c>
      <c r="S243" s="26" t="inlineStr">
        <is>
          <t>Yes</t>
        </is>
      </c>
      <c r="T243" s="27" t="n"/>
      <c r="U243" s="28" t="inlineStr">
        <is>
          <t>No</t>
        </is>
      </c>
      <c r="V243" s="29">
        <f>IF(N243="","",IF(Q243="Yes","❌ Disc",IF(P243="No","⚠ Missing",IF(S243="Yes","✓ OK","⚠ Check"))))</f>
        <v/>
      </c>
      <c r="W243" s="65" t="n">
        <v>46248</v>
      </c>
      <c r="X243" s="30" t="inlineStr">
        <is>
          <t>Sunil CR</t>
        </is>
      </c>
      <c r="Y243" s="30" t="inlineStr">
        <is>
          <t>No</t>
        </is>
      </c>
      <c r="Z243" s="30" t="inlineStr">
        <is>
          <t>Yes</t>
        </is>
      </c>
      <c r="AA243" s="30" t="inlineStr">
        <is>
          <t>Discontinued</t>
        </is>
      </c>
      <c r="AB243" s="30" t="inlineStr">
        <is>
          <t>No</t>
        </is>
      </c>
      <c r="AC243" s="27" t="n"/>
      <c r="AD243" s="31" t="inlineStr">
        <is>
          <t>No</t>
        </is>
      </c>
      <c r="AE243" s="32">
        <f>IF(W243="","",IF(Z243="Yes","❌ Disc",IF(Y243="No","⚠ Missing",IF(AB243="Yes","✓ OK","⚠ Check"))))</f>
        <v/>
      </c>
      <c r="AF243" s="33" t="n"/>
      <c r="AG243" s="33" t="n"/>
      <c r="AH243" s="33" t="n"/>
      <c r="AI243" s="33" t="n"/>
      <c r="AJ243" s="33" t="n"/>
      <c r="AK243" s="33" t="n"/>
      <c r="AL243" s="27" t="n"/>
      <c r="AM243" s="34" t="n"/>
      <c r="AN243" s="35">
        <f>IF(AF243="","",IF(AI243="Yes","❌ Disc",IF(AH243="No","⚠ Missing",IF(AK243="Yes","✓ OK","⚠ Check"))))</f>
        <v/>
      </c>
      <c r="AO243" s="36" t="n"/>
      <c r="AP243" s="36" t="n"/>
      <c r="AQ243" s="36" t="n"/>
      <c r="AR243" s="36" t="n"/>
      <c r="AS243" s="36" t="n"/>
      <c r="AT243" s="36" t="n"/>
      <c r="AU243" s="27" t="n"/>
      <c r="AV243" s="37" t="n"/>
      <c r="AW243" s="38">
        <f>IF(AO243="","",IF(AR243="Yes","❌ Disc",IF(AQ243="No","⚠ Missing",IF(AT243="Yes","✓ OK","⚠ Check"))))</f>
        <v/>
      </c>
    </row>
    <row r="244" ht="18" customHeight="1" s="46">
      <c r="A244" s="39" t="n">
        <v>248</v>
      </c>
      <c r="B244" s="40" t="inlineStr">
        <is>
          <t>BD-LAM-2023-0087</t>
        </is>
      </c>
      <c r="C244" s="41" t="inlineStr">
        <is>
          <t>Lam SL SD 1mm 2901 Amberes Oak(Gold) [BBP]</t>
        </is>
      </c>
      <c r="D244" s="39" t="inlineStr">
        <is>
          <t>Stylam</t>
        </is>
      </c>
      <c r="E244" s="43" t="n">
        <v>46125</v>
      </c>
      <c r="F244" s="26" t="inlineStr">
        <is>
          <t>Sunil CR</t>
        </is>
      </c>
      <c r="G244" s="26" t="inlineStr">
        <is>
          <t>Yes</t>
        </is>
      </c>
      <c r="H244" s="26" t="inlineStr">
        <is>
          <t>No</t>
        </is>
      </c>
      <c r="I244" s="26" t="inlineStr">
        <is>
          <t>Good finish</t>
        </is>
      </c>
      <c r="J244" s="26" t="inlineStr">
        <is>
          <t>Yes</t>
        </is>
      </c>
      <c r="K244" s="27" t="n"/>
      <c r="L244" s="28" t="inlineStr">
        <is>
          <t>No</t>
        </is>
      </c>
      <c r="M244" s="29">
        <f>IF(E244="","",IF(H244="Yes","❌ Disc",IF(G244="No","⚠ Missing",IF(J244="Yes","✓ OK","⚠ Check"))))</f>
        <v/>
      </c>
      <c r="N244" s="43" t="n">
        <v>46193</v>
      </c>
      <c r="O244" s="26" t="inlineStr">
        <is>
          <t>Sunil CR</t>
        </is>
      </c>
      <c r="P244" s="26" t="inlineStr">
        <is>
          <t>Yes</t>
        </is>
      </c>
      <c r="Q244" s="26" t="inlineStr">
        <is>
          <t>No</t>
        </is>
      </c>
      <c r="R244" s="26" t="inlineStr">
        <is>
          <t>Good finish</t>
        </is>
      </c>
      <c r="S244" s="26" t="inlineStr">
        <is>
          <t>Yes</t>
        </is>
      </c>
      <c r="T244" s="27" t="n"/>
      <c r="U244" s="28" t="inlineStr">
        <is>
          <t>No</t>
        </is>
      </c>
      <c r="V244" s="29">
        <f>IF(N244="","",IF(Q244="Yes","❌ Disc",IF(P244="No","⚠ Missing",IF(S244="Yes","✓ OK","⚠ Check"))))</f>
        <v/>
      </c>
      <c r="W244" s="65" t="n">
        <v>46248</v>
      </c>
      <c r="X244" s="30" t="inlineStr">
        <is>
          <t>Sunil CR</t>
        </is>
      </c>
      <c r="Y244" s="30" t="inlineStr">
        <is>
          <t>Yes</t>
        </is>
      </c>
      <c r="Z244" s="30" t="n"/>
      <c r="AA244" s="30" t="inlineStr">
        <is>
          <t>Good finish</t>
        </is>
      </c>
      <c r="AB244" s="30" t="inlineStr">
        <is>
          <t>Yes</t>
        </is>
      </c>
      <c r="AC244" s="27" t="n"/>
      <c r="AD244" s="31" t="inlineStr">
        <is>
          <t>No</t>
        </is>
      </c>
      <c r="AE244" s="32">
        <f>IF(W244="","",IF(Z244="Yes","❌ Disc",IF(Y244="No","⚠ Missing",IF(AB244="Yes","✓ OK","⚠ Check"))))</f>
        <v/>
      </c>
      <c r="AF244" s="33" t="n"/>
      <c r="AG244" s="33" t="n"/>
      <c r="AH244" s="33" t="n"/>
      <c r="AI244" s="33" t="n"/>
      <c r="AJ244" s="33" t="n"/>
      <c r="AK244" s="33" t="n"/>
      <c r="AL244" s="27" t="n"/>
      <c r="AM244" s="34" t="n"/>
      <c r="AN244" s="35">
        <f>IF(AF244="","",IF(AI244="Yes","❌ Disc",IF(AH244="No","⚠ Missing",IF(AK244="Yes","✓ OK","⚠ Check"))))</f>
        <v/>
      </c>
      <c r="AO244" s="36" t="n"/>
      <c r="AP244" s="36" t="n"/>
      <c r="AQ244" s="36" t="n"/>
      <c r="AR244" s="36" t="n"/>
      <c r="AS244" s="36" t="n"/>
      <c r="AT244" s="36" t="n"/>
      <c r="AU244" s="27" t="n"/>
      <c r="AV244" s="37" t="n"/>
      <c r="AW244" s="38">
        <f>IF(AO244="","",IF(AR244="Yes","❌ Disc",IF(AQ244="No","⚠ Missing",IF(AT244="Yes","✓ OK","⚠ Check"))))</f>
        <v/>
      </c>
    </row>
    <row r="245" ht="18" customHeight="1" s="46">
      <c r="A245" s="23" t="n">
        <v>249</v>
      </c>
      <c r="B245" s="24" t="inlineStr">
        <is>
          <t>BD-LAM-2023-0184</t>
        </is>
      </c>
      <c r="C245" s="25" t="inlineStr">
        <is>
          <t>Lam SL SD 1mm 5133 Ivary Denim (Gold) [BBP]</t>
        </is>
      </c>
      <c r="D245" s="23" t="inlineStr">
        <is>
          <t>Stylam</t>
        </is>
      </c>
      <c r="E245" s="43" t="n">
        <v>46125</v>
      </c>
      <c r="F245" s="26" t="inlineStr">
        <is>
          <t>Sunil CR</t>
        </is>
      </c>
      <c r="G245" s="26" t="inlineStr">
        <is>
          <t>Yes</t>
        </is>
      </c>
      <c r="H245" s="26" t="inlineStr">
        <is>
          <t>No</t>
        </is>
      </c>
      <c r="I245" s="26" t="inlineStr">
        <is>
          <t>Good finish</t>
        </is>
      </c>
      <c r="J245" s="26" t="inlineStr">
        <is>
          <t>Yes</t>
        </is>
      </c>
      <c r="K245" s="27" t="inlineStr">
        <is>
          <t>Available in small book</t>
        </is>
      </c>
      <c r="L245" s="28" t="inlineStr">
        <is>
          <t>Yes</t>
        </is>
      </c>
      <c r="M245" s="29">
        <f>IF(E245="","",IF(H245="Yes","❌ Disc",IF(G245="No","⚠ Missing",IF(J245="Yes","✓ OK","⚠ Check"))))</f>
        <v/>
      </c>
      <c r="N245" s="43" t="n">
        <v>46193</v>
      </c>
      <c r="O245" s="26" t="inlineStr">
        <is>
          <t>Sunil CR</t>
        </is>
      </c>
      <c r="P245" s="26" t="inlineStr">
        <is>
          <t>Yes</t>
        </is>
      </c>
      <c r="Q245" s="26" t="inlineStr">
        <is>
          <t>No</t>
        </is>
      </c>
      <c r="R245" s="26" t="inlineStr">
        <is>
          <t>Good finish</t>
        </is>
      </c>
      <c r="S245" s="26" t="inlineStr">
        <is>
          <t>Yes</t>
        </is>
      </c>
      <c r="T245" s="27" t="inlineStr">
        <is>
          <t>Available in small book</t>
        </is>
      </c>
      <c r="U245" s="28" t="inlineStr">
        <is>
          <t>Yes</t>
        </is>
      </c>
      <c r="V245" s="29">
        <f>IF(N245="","",IF(Q245="Yes","❌ Disc",IF(P245="No","⚠ Missing",IF(S245="Yes","✓ OK","⚠ Check"))))</f>
        <v/>
      </c>
      <c r="W245" s="65" t="n">
        <v>46248</v>
      </c>
      <c r="X245" s="30" t="inlineStr">
        <is>
          <t>Sunil CR</t>
        </is>
      </c>
      <c r="Y245" s="30" t="inlineStr">
        <is>
          <t>Yes</t>
        </is>
      </c>
      <c r="Z245" s="30" t="n"/>
      <c r="AA245" s="30" t="inlineStr">
        <is>
          <t>Good finish</t>
        </is>
      </c>
      <c r="AB245" s="30" t="inlineStr">
        <is>
          <t>Yes</t>
        </is>
      </c>
      <c r="AC245" s="27" t="inlineStr">
        <is>
          <t>Available in small book</t>
        </is>
      </c>
      <c r="AD245" s="31" t="inlineStr">
        <is>
          <t>Yes</t>
        </is>
      </c>
      <c r="AE245" s="32">
        <f>IF(W245="","",IF(Z245="Yes","❌ Disc",IF(Y245="No","⚠ Missing",IF(AB245="Yes","✓ OK","⚠ Check"))))</f>
        <v/>
      </c>
      <c r="AF245" s="33" t="n"/>
      <c r="AG245" s="33" t="n"/>
      <c r="AH245" s="33" t="n"/>
      <c r="AI245" s="33" t="n"/>
      <c r="AJ245" s="33" t="n"/>
      <c r="AK245" s="33" t="n"/>
      <c r="AL245" s="27" t="n"/>
      <c r="AM245" s="34" t="n"/>
      <c r="AN245" s="35">
        <f>IF(AF245="","",IF(AI245="Yes","❌ Disc",IF(AH245="No","⚠ Missing",IF(AK245="Yes","✓ OK","⚠ Check"))))</f>
        <v/>
      </c>
      <c r="AO245" s="36" t="n"/>
      <c r="AP245" s="36" t="n"/>
      <c r="AQ245" s="36" t="n"/>
      <c r="AR245" s="36" t="n"/>
      <c r="AS245" s="36" t="n"/>
      <c r="AT245" s="36" t="n"/>
      <c r="AU245" s="27" t="n"/>
      <c r="AV245" s="37" t="n"/>
      <c r="AW245" s="38">
        <f>IF(AO245="","",IF(AR245="Yes","❌ Disc",IF(AQ245="No","⚠ Missing",IF(AT245="Yes","✓ OK","⚠ Check"))))</f>
        <v/>
      </c>
    </row>
    <row r="246" ht="18" customHeight="1" s="46">
      <c r="A246" s="39" t="n">
        <v>250</v>
      </c>
      <c r="B246" s="40" t="inlineStr">
        <is>
          <t>BD-LAM-2023-0097</t>
        </is>
      </c>
      <c r="C246" s="41" t="inlineStr">
        <is>
          <t>Lam SL SD 1mm 526 Azure(Gold) [BBP]</t>
        </is>
      </c>
      <c r="D246" s="39" t="inlineStr">
        <is>
          <t>Stylam</t>
        </is>
      </c>
      <c r="E246" s="43" t="n">
        <v>46125</v>
      </c>
      <c r="F246" s="26" t="inlineStr">
        <is>
          <t>Sunil CR</t>
        </is>
      </c>
      <c r="G246" s="26" t="inlineStr">
        <is>
          <t>Yes</t>
        </is>
      </c>
      <c r="H246" s="26" t="inlineStr">
        <is>
          <t>No</t>
        </is>
      </c>
      <c r="I246" s="26" t="inlineStr">
        <is>
          <t>Good finish</t>
        </is>
      </c>
      <c r="J246" s="26" t="inlineStr">
        <is>
          <t>Yes</t>
        </is>
      </c>
      <c r="K246" s="27" t="n"/>
      <c r="L246" s="28" t="inlineStr">
        <is>
          <t>No</t>
        </is>
      </c>
      <c r="M246" s="29">
        <f>IF(E246="","",IF(H246="Yes","❌ Disc",IF(G246="No","⚠ Missing",IF(J246="Yes","✓ OK","⚠ Check"))))</f>
        <v/>
      </c>
      <c r="N246" s="43" t="n">
        <v>46193</v>
      </c>
      <c r="O246" s="26" t="inlineStr">
        <is>
          <t>Sunil CR</t>
        </is>
      </c>
      <c r="P246" s="26" t="inlineStr">
        <is>
          <t>Yes</t>
        </is>
      </c>
      <c r="Q246" s="26" t="inlineStr">
        <is>
          <t>No</t>
        </is>
      </c>
      <c r="R246" s="26" t="inlineStr">
        <is>
          <t>Good finish</t>
        </is>
      </c>
      <c r="S246" s="26" t="inlineStr">
        <is>
          <t>Yes</t>
        </is>
      </c>
      <c r="T246" s="27" t="n"/>
      <c r="U246" s="28" t="inlineStr">
        <is>
          <t>No</t>
        </is>
      </c>
      <c r="V246" s="29">
        <f>IF(N246="","",IF(Q246="Yes","❌ Disc",IF(P246="No","⚠ Missing",IF(S246="Yes","✓ OK","⚠ Check"))))</f>
        <v/>
      </c>
      <c r="W246" s="65" t="n">
        <v>46248</v>
      </c>
      <c r="X246" s="30" t="inlineStr">
        <is>
          <t>Sunil CR</t>
        </is>
      </c>
      <c r="Y246" s="30" t="inlineStr">
        <is>
          <t>Yes</t>
        </is>
      </c>
      <c r="Z246" s="30" t="n"/>
      <c r="AA246" s="30" t="inlineStr">
        <is>
          <t>Good finish</t>
        </is>
      </c>
      <c r="AB246" s="30" t="inlineStr">
        <is>
          <t>Yes</t>
        </is>
      </c>
      <c r="AC246" s="27" t="n"/>
      <c r="AD246" s="31" t="inlineStr">
        <is>
          <t>No</t>
        </is>
      </c>
      <c r="AE246" s="32">
        <f>IF(W246="","",IF(Z246="Yes","❌ Disc",IF(Y246="No","⚠ Missing",IF(AB246="Yes","✓ OK","⚠ Check"))))</f>
        <v/>
      </c>
      <c r="AF246" s="33" t="n"/>
      <c r="AG246" s="33" t="n"/>
      <c r="AH246" s="33" t="n"/>
      <c r="AI246" s="33" t="n"/>
      <c r="AJ246" s="33" t="n"/>
      <c r="AK246" s="33" t="n"/>
      <c r="AL246" s="27" t="n"/>
      <c r="AM246" s="34" t="n"/>
      <c r="AN246" s="35">
        <f>IF(AF246="","",IF(AI246="Yes","❌ Disc",IF(AH246="No","⚠ Missing",IF(AK246="Yes","✓ OK","⚠ Check"))))</f>
        <v/>
      </c>
      <c r="AO246" s="36" t="n"/>
      <c r="AP246" s="36" t="n"/>
      <c r="AQ246" s="36" t="n"/>
      <c r="AR246" s="36" t="n"/>
      <c r="AS246" s="36" t="n"/>
      <c r="AT246" s="36" t="n"/>
      <c r="AU246" s="27" t="n"/>
      <c r="AV246" s="37" t="n"/>
      <c r="AW246" s="38">
        <f>IF(AO246="","",IF(AR246="Yes","❌ Disc",IF(AQ246="No","⚠ Missing",IF(AT246="Yes","✓ OK","⚠ Check"))))</f>
        <v/>
      </c>
    </row>
    <row r="247" ht="18" customHeight="1" s="46">
      <c r="A247" s="23" t="n">
        <v>251</v>
      </c>
      <c r="B247" s="24" t="inlineStr">
        <is>
          <t>BD-LAM-2024-0087</t>
        </is>
      </c>
      <c r="C247" s="25" t="inlineStr">
        <is>
          <t>Lam SL SD 1mm 531 Smoke Grey(Gold)</t>
        </is>
      </c>
      <c r="D247" s="23" t="inlineStr">
        <is>
          <t>Stylam</t>
        </is>
      </c>
      <c r="E247" s="43" t="n">
        <v>46125</v>
      </c>
      <c r="F247" s="26" t="inlineStr">
        <is>
          <t>Sunil CR</t>
        </is>
      </c>
      <c r="G247" s="26" t="inlineStr">
        <is>
          <t>Yes</t>
        </is>
      </c>
      <c r="H247" s="26" t="inlineStr">
        <is>
          <t>No</t>
        </is>
      </c>
      <c r="I247" s="26" t="inlineStr">
        <is>
          <t>Good finish</t>
        </is>
      </c>
      <c r="J247" s="26" t="inlineStr">
        <is>
          <t>Yes</t>
        </is>
      </c>
      <c r="K247" s="27" t="n"/>
      <c r="L247" s="28" t="inlineStr">
        <is>
          <t>No</t>
        </is>
      </c>
      <c r="M247" s="29">
        <f>IF(E247="","",IF(H247="Yes","❌ Disc",IF(G247="No","⚠ Missing",IF(J247="Yes","✓ OK","⚠ Check"))))</f>
        <v/>
      </c>
      <c r="N247" s="43" t="n">
        <v>46193</v>
      </c>
      <c r="O247" s="26" t="inlineStr">
        <is>
          <t>Sunil CR</t>
        </is>
      </c>
      <c r="P247" s="26" t="inlineStr">
        <is>
          <t>Yes</t>
        </is>
      </c>
      <c r="Q247" s="26" t="inlineStr">
        <is>
          <t>No</t>
        </is>
      </c>
      <c r="R247" s="26" t="inlineStr">
        <is>
          <t>Good finish</t>
        </is>
      </c>
      <c r="S247" s="26" t="inlineStr">
        <is>
          <t>Yes</t>
        </is>
      </c>
      <c r="T247" s="27" t="n"/>
      <c r="U247" s="28" t="inlineStr">
        <is>
          <t>No</t>
        </is>
      </c>
      <c r="V247" s="29">
        <f>IF(N247="","",IF(Q247="Yes","❌ Disc",IF(P247="No","⚠ Missing",IF(S247="Yes","✓ OK","⚠ Check"))))</f>
        <v/>
      </c>
      <c r="W247" s="65" t="n">
        <v>46248</v>
      </c>
      <c r="X247" s="30" t="inlineStr">
        <is>
          <t>Sunil CR</t>
        </is>
      </c>
      <c r="Y247" s="30" t="inlineStr">
        <is>
          <t>Yes</t>
        </is>
      </c>
      <c r="Z247" s="30" t="n"/>
      <c r="AA247" s="30" t="inlineStr">
        <is>
          <t>Good finish</t>
        </is>
      </c>
      <c r="AB247" s="30" t="inlineStr">
        <is>
          <t>Yes</t>
        </is>
      </c>
      <c r="AC247" s="27" t="n"/>
      <c r="AD247" s="31" t="inlineStr">
        <is>
          <t>No</t>
        </is>
      </c>
      <c r="AE247" s="32">
        <f>IF(W247="","",IF(Z247="Yes","❌ Disc",IF(Y247="No","⚠ Missing",IF(AB247="Yes","✓ OK","⚠ Check"))))</f>
        <v/>
      </c>
      <c r="AF247" s="33" t="n"/>
      <c r="AG247" s="33" t="n"/>
      <c r="AH247" s="33" t="n"/>
      <c r="AI247" s="33" t="n"/>
      <c r="AJ247" s="33" t="n"/>
      <c r="AK247" s="33" t="n"/>
      <c r="AL247" s="27" t="n"/>
      <c r="AM247" s="34" t="n"/>
      <c r="AN247" s="35">
        <f>IF(AF247="","",IF(AI247="Yes","❌ Disc",IF(AH247="No","⚠ Missing",IF(AK247="Yes","✓ OK","⚠ Check"))))</f>
        <v/>
      </c>
      <c r="AO247" s="36" t="n"/>
      <c r="AP247" s="36" t="n"/>
      <c r="AQ247" s="36" t="n"/>
      <c r="AR247" s="36" t="n"/>
      <c r="AS247" s="36" t="n"/>
      <c r="AT247" s="36" t="n"/>
      <c r="AU247" s="27" t="n"/>
      <c r="AV247" s="37" t="n"/>
      <c r="AW247" s="38">
        <f>IF(AO247="","",IF(AR247="Yes","❌ Disc",IF(AQ247="No","⚠ Missing",IF(AT247="Yes","✓ OK","⚠ Check"))))</f>
        <v/>
      </c>
    </row>
    <row r="248" ht="18" customHeight="1" s="46">
      <c r="A248" s="39" t="n">
        <v>252</v>
      </c>
      <c r="B248" s="40" t="inlineStr">
        <is>
          <t>BD-LAM-2023-0186</t>
        </is>
      </c>
      <c r="C248" s="41" t="inlineStr">
        <is>
          <t>Lam SL SD 1mm 538 Ivory grey(Gold) [BBP]</t>
        </is>
      </c>
      <c r="D248" s="39" t="inlineStr">
        <is>
          <t>Stylam</t>
        </is>
      </c>
      <c r="E248" s="43" t="n">
        <v>46125</v>
      </c>
      <c r="F248" s="26" t="inlineStr">
        <is>
          <t>Sunil CR</t>
        </is>
      </c>
      <c r="G248" s="26" t="inlineStr">
        <is>
          <t>Yes</t>
        </is>
      </c>
      <c r="H248" s="26" t="inlineStr">
        <is>
          <t>No</t>
        </is>
      </c>
      <c r="I248" s="26" t="inlineStr">
        <is>
          <t>Good finish</t>
        </is>
      </c>
      <c r="J248" s="26" t="inlineStr">
        <is>
          <t>Yes</t>
        </is>
      </c>
      <c r="K248" s="27" t="n"/>
      <c r="L248" s="28" t="inlineStr">
        <is>
          <t>No</t>
        </is>
      </c>
      <c r="M248" s="29">
        <f>IF(E248="","",IF(H248="Yes","❌ Disc",IF(G248="No","⚠ Missing",IF(J248="Yes","✓ OK","⚠ Check"))))</f>
        <v/>
      </c>
      <c r="N248" s="43" t="n">
        <v>46193</v>
      </c>
      <c r="O248" s="26" t="inlineStr">
        <is>
          <t>Sunil CR</t>
        </is>
      </c>
      <c r="P248" s="26" t="inlineStr">
        <is>
          <t>Yes</t>
        </is>
      </c>
      <c r="Q248" s="26" t="inlineStr">
        <is>
          <t>No</t>
        </is>
      </c>
      <c r="R248" s="26" t="inlineStr">
        <is>
          <t>Good finish</t>
        </is>
      </c>
      <c r="S248" s="26" t="inlineStr">
        <is>
          <t>Yes</t>
        </is>
      </c>
      <c r="T248" s="27" t="n"/>
      <c r="U248" s="28" t="inlineStr">
        <is>
          <t>No</t>
        </is>
      </c>
      <c r="V248" s="29">
        <f>IF(N248="","",IF(Q248="Yes","❌ Disc",IF(P248="No","⚠ Missing",IF(S248="Yes","✓ OK","⚠ Check"))))</f>
        <v/>
      </c>
      <c r="W248" s="65" t="n">
        <v>46248</v>
      </c>
      <c r="X248" s="30" t="inlineStr">
        <is>
          <t>Sunil CR</t>
        </is>
      </c>
      <c r="Y248" s="30" t="inlineStr">
        <is>
          <t>Yes</t>
        </is>
      </c>
      <c r="Z248" s="30" t="n"/>
      <c r="AA248" s="30" t="inlineStr">
        <is>
          <t>Good finish</t>
        </is>
      </c>
      <c r="AB248" s="30" t="inlineStr">
        <is>
          <t>Yes</t>
        </is>
      </c>
      <c r="AC248" s="27" t="n"/>
      <c r="AD248" s="31" t="inlineStr">
        <is>
          <t>No</t>
        </is>
      </c>
      <c r="AE248" s="32">
        <f>IF(W248="","",IF(Z248="Yes","❌ Disc",IF(Y248="No","⚠ Missing",IF(AB248="Yes","✓ OK","⚠ Check"))))</f>
        <v/>
      </c>
      <c r="AF248" s="33" t="n"/>
      <c r="AG248" s="33" t="n"/>
      <c r="AH248" s="33" t="n"/>
      <c r="AI248" s="33" t="n"/>
      <c r="AJ248" s="33" t="n"/>
      <c r="AK248" s="33" t="n"/>
      <c r="AL248" s="27" t="n"/>
      <c r="AM248" s="34" t="n"/>
      <c r="AN248" s="35">
        <f>IF(AF248="","",IF(AI248="Yes","❌ Disc",IF(AH248="No","⚠ Missing",IF(AK248="Yes","✓ OK","⚠ Check"))))</f>
        <v/>
      </c>
      <c r="AO248" s="36" t="n"/>
      <c r="AP248" s="36" t="n"/>
      <c r="AQ248" s="36" t="n"/>
      <c r="AR248" s="36" t="n"/>
      <c r="AS248" s="36" t="n"/>
      <c r="AT248" s="36" t="n"/>
      <c r="AU248" s="27" t="n"/>
      <c r="AV248" s="37" t="n"/>
      <c r="AW248" s="38">
        <f>IF(AO248="","",IF(AR248="Yes","❌ Disc",IF(AQ248="No","⚠ Missing",IF(AT248="Yes","✓ OK","⚠ Check"))))</f>
        <v/>
      </c>
    </row>
    <row r="249" ht="18" customHeight="1" s="46">
      <c r="A249" s="23" t="n">
        <v>253</v>
      </c>
      <c r="B249" s="24" t="inlineStr">
        <is>
          <t>BD-LAM-2023-0276</t>
        </is>
      </c>
      <c r="C249" s="25" t="inlineStr">
        <is>
          <t>Lam SL SD 1mm 7254 Straight Pine(Gold)</t>
        </is>
      </c>
      <c r="D249" s="23" t="inlineStr">
        <is>
          <t>Stylam</t>
        </is>
      </c>
      <c r="E249" s="43" t="n">
        <v>46125</v>
      </c>
      <c r="F249" s="26" t="inlineStr">
        <is>
          <t>Sunil CR</t>
        </is>
      </c>
      <c r="G249" s="26" t="inlineStr">
        <is>
          <t>Yes</t>
        </is>
      </c>
      <c r="H249" s="26" t="inlineStr">
        <is>
          <t>No</t>
        </is>
      </c>
      <c r="I249" s="26" t="inlineStr">
        <is>
          <t>Good finish</t>
        </is>
      </c>
      <c r="J249" s="26" t="inlineStr">
        <is>
          <t>Yes</t>
        </is>
      </c>
      <c r="K249" s="27" t="n"/>
      <c r="L249" s="28" t="inlineStr">
        <is>
          <t>No</t>
        </is>
      </c>
      <c r="M249" s="29">
        <f>IF(E249="","",IF(H249="Yes","❌ Disc",IF(G249="No","⚠ Missing",IF(J249="Yes","✓ OK","⚠ Check"))))</f>
        <v/>
      </c>
      <c r="N249" s="43" t="n">
        <v>46193</v>
      </c>
      <c r="O249" s="26" t="inlineStr">
        <is>
          <t>Sunil CR</t>
        </is>
      </c>
      <c r="P249" s="26" t="inlineStr">
        <is>
          <t>No</t>
        </is>
      </c>
      <c r="Q249" s="26" t="inlineStr">
        <is>
          <t>Yes</t>
        </is>
      </c>
      <c r="R249" s="26" t="inlineStr">
        <is>
          <t>Discontinued</t>
        </is>
      </c>
      <c r="S249" s="26" t="inlineStr">
        <is>
          <t>No</t>
        </is>
      </c>
      <c r="T249" s="27" t="n"/>
      <c r="U249" s="28" t="inlineStr">
        <is>
          <t>No</t>
        </is>
      </c>
      <c r="V249" s="29">
        <f>IF(N249="","",IF(Q249="Yes","❌ Disc",IF(P249="No","⚠ Missing",IF(S249="Yes","✓ OK","⚠ Check"))))</f>
        <v/>
      </c>
      <c r="W249" s="65" t="n">
        <v>46248</v>
      </c>
      <c r="X249" s="30" t="inlineStr">
        <is>
          <t>Sunil CR</t>
        </is>
      </c>
      <c r="Y249" s="30" t="inlineStr">
        <is>
          <t>No</t>
        </is>
      </c>
      <c r="Z249" s="30" t="inlineStr">
        <is>
          <t>Yes</t>
        </is>
      </c>
      <c r="AA249" s="30" t="inlineStr">
        <is>
          <t>Discontinued</t>
        </is>
      </c>
      <c r="AB249" s="30" t="inlineStr">
        <is>
          <t>No</t>
        </is>
      </c>
      <c r="AC249" s="27" t="n"/>
      <c r="AD249" s="31" t="inlineStr">
        <is>
          <t>No</t>
        </is>
      </c>
      <c r="AE249" s="32">
        <f>IF(W249="","",IF(Z249="Yes","❌ Disc",IF(Y249="No","⚠ Missing",IF(AB249="Yes","✓ OK","⚠ Check"))))</f>
        <v/>
      </c>
      <c r="AF249" s="33" t="n"/>
      <c r="AG249" s="33" t="n"/>
      <c r="AH249" s="33" t="n"/>
      <c r="AI249" s="33" t="n"/>
      <c r="AJ249" s="33" t="n"/>
      <c r="AK249" s="33" t="n"/>
      <c r="AL249" s="27" t="n"/>
      <c r="AM249" s="34" t="n"/>
      <c r="AN249" s="35">
        <f>IF(AF249="","",IF(AI249="Yes","❌ Disc",IF(AH249="No","⚠ Missing",IF(AK249="Yes","✓ OK","⚠ Check"))))</f>
        <v/>
      </c>
      <c r="AO249" s="36" t="n"/>
      <c r="AP249" s="36" t="n"/>
      <c r="AQ249" s="36" t="n"/>
      <c r="AR249" s="36" t="n"/>
      <c r="AS249" s="36" t="n"/>
      <c r="AT249" s="36" t="n"/>
      <c r="AU249" s="27" t="n"/>
      <c r="AV249" s="37" t="n"/>
      <c r="AW249" s="38">
        <f>IF(AO249="","",IF(AR249="Yes","❌ Disc",IF(AQ249="No","⚠ Missing",IF(AT249="Yes","✓ OK","⚠ Check"))))</f>
        <v/>
      </c>
    </row>
    <row r="250" ht="18" customHeight="1" s="46">
      <c r="A250" s="39" t="n">
        <v>254</v>
      </c>
      <c r="B250" s="40" t="inlineStr">
        <is>
          <t>BD-LAM-2023-0291</t>
        </is>
      </c>
      <c r="C250" s="41" t="inlineStr">
        <is>
          <t>Lam SL SD 1mm 7652 Ulmus(Gold)</t>
        </is>
      </c>
      <c r="D250" s="39" t="inlineStr">
        <is>
          <t>Stylam</t>
        </is>
      </c>
      <c r="E250" s="43" t="n">
        <v>46125</v>
      </c>
      <c r="F250" s="26" t="inlineStr">
        <is>
          <t>Sunil CR</t>
        </is>
      </c>
      <c r="G250" s="26" t="inlineStr">
        <is>
          <t>Yes</t>
        </is>
      </c>
      <c r="H250" s="26" t="inlineStr">
        <is>
          <t>No</t>
        </is>
      </c>
      <c r="I250" s="26" t="inlineStr">
        <is>
          <t>Good finish</t>
        </is>
      </c>
      <c r="J250" s="26" t="inlineStr">
        <is>
          <t>Yes</t>
        </is>
      </c>
      <c r="K250" s="27" t="inlineStr">
        <is>
          <t>Available in small book</t>
        </is>
      </c>
      <c r="L250" s="28" t="inlineStr">
        <is>
          <t>Yes</t>
        </is>
      </c>
      <c r="M250" s="29">
        <f>IF(E250="","",IF(H250="Yes","❌ Disc",IF(G250="No","⚠ Missing",IF(J250="Yes","✓ OK","⚠ Check"))))</f>
        <v/>
      </c>
      <c r="N250" s="43" t="n">
        <v>46193</v>
      </c>
      <c r="O250" s="26" t="inlineStr">
        <is>
          <t>Sunil CR</t>
        </is>
      </c>
      <c r="P250" s="26" t="inlineStr">
        <is>
          <t>Yes</t>
        </is>
      </c>
      <c r="Q250" s="26" t="inlineStr">
        <is>
          <t>No</t>
        </is>
      </c>
      <c r="R250" s="26" t="inlineStr">
        <is>
          <t>Good finish</t>
        </is>
      </c>
      <c r="S250" s="26" t="inlineStr">
        <is>
          <t>Yes</t>
        </is>
      </c>
      <c r="T250" s="27" t="inlineStr">
        <is>
          <t>Available in small book</t>
        </is>
      </c>
      <c r="U250" s="28" t="inlineStr">
        <is>
          <t>Yes</t>
        </is>
      </c>
      <c r="V250" s="29">
        <f>IF(N250="","",IF(Q250="Yes","❌ Disc",IF(P250="No","⚠ Missing",IF(S250="Yes","✓ OK","⚠ Check"))))</f>
        <v/>
      </c>
      <c r="W250" s="65" t="n">
        <v>46248</v>
      </c>
      <c r="X250" s="30" t="inlineStr">
        <is>
          <t>Sunil CR</t>
        </is>
      </c>
      <c r="Y250" s="30" t="inlineStr">
        <is>
          <t>Yes</t>
        </is>
      </c>
      <c r="Z250" s="30" t="n"/>
      <c r="AA250" s="30" t="inlineStr">
        <is>
          <t>Good finish</t>
        </is>
      </c>
      <c r="AB250" s="30" t="inlineStr">
        <is>
          <t>Yes</t>
        </is>
      </c>
      <c r="AC250" s="27" t="inlineStr">
        <is>
          <t>Available in small book</t>
        </is>
      </c>
      <c r="AD250" s="31" t="inlineStr">
        <is>
          <t>Yes</t>
        </is>
      </c>
      <c r="AE250" s="32">
        <f>IF(W250="","",IF(Z250="Yes","❌ Disc",IF(Y250="No","⚠ Missing",IF(AB250="Yes","✓ OK","⚠ Check"))))</f>
        <v/>
      </c>
      <c r="AF250" s="33" t="n"/>
      <c r="AG250" s="33" t="n"/>
      <c r="AH250" s="33" t="n"/>
      <c r="AI250" s="33" t="n"/>
      <c r="AJ250" s="33" t="n"/>
      <c r="AK250" s="33" t="n"/>
      <c r="AL250" s="27" t="n"/>
      <c r="AM250" s="34" t="n"/>
      <c r="AN250" s="35">
        <f>IF(AF250="","",IF(AI250="Yes","❌ Disc",IF(AH250="No","⚠ Missing",IF(AK250="Yes","✓ OK","⚠ Check"))))</f>
        <v/>
      </c>
      <c r="AO250" s="36" t="n"/>
      <c r="AP250" s="36" t="n"/>
      <c r="AQ250" s="36" t="n"/>
      <c r="AR250" s="36" t="n"/>
      <c r="AS250" s="36" t="n"/>
      <c r="AT250" s="36" t="n"/>
      <c r="AU250" s="27" t="n"/>
      <c r="AV250" s="37" t="n"/>
      <c r="AW250" s="38">
        <f>IF(AO250="","",IF(AR250="Yes","❌ Disc",IF(AQ250="No","⚠ Missing",IF(AT250="Yes","✓ OK","⚠ Check"))))</f>
        <v/>
      </c>
    </row>
    <row r="251" ht="18" customHeight="1" s="46">
      <c r="A251" s="23" t="n">
        <v>255</v>
      </c>
      <c r="B251" s="24" t="inlineStr">
        <is>
          <t>BD-LAM-2023-0298</t>
        </is>
      </c>
      <c r="C251" s="25" t="inlineStr">
        <is>
          <t>Lam SL SD 1mm 7705 Walnut Bronze(Gold)</t>
        </is>
      </c>
      <c r="D251" s="23" t="inlineStr">
        <is>
          <t>Stylam</t>
        </is>
      </c>
      <c r="E251" s="43" t="n">
        <v>46125</v>
      </c>
      <c r="F251" s="26" t="inlineStr">
        <is>
          <t>Sunil CR</t>
        </is>
      </c>
      <c r="G251" s="26" t="inlineStr">
        <is>
          <t>Yes</t>
        </is>
      </c>
      <c r="H251" s="26" t="inlineStr">
        <is>
          <t>No</t>
        </is>
      </c>
      <c r="I251" s="26" t="inlineStr">
        <is>
          <t>Good finish</t>
        </is>
      </c>
      <c r="J251" s="26" t="inlineStr">
        <is>
          <t>Yes</t>
        </is>
      </c>
      <c r="K251" s="27" t="n"/>
      <c r="L251" s="28" t="inlineStr">
        <is>
          <t>No</t>
        </is>
      </c>
      <c r="M251" s="29">
        <f>IF(E251="","",IF(H251="Yes","❌ Disc",IF(G251="No","⚠ Missing",IF(J251="Yes","✓ OK","⚠ Check"))))</f>
        <v/>
      </c>
      <c r="N251" s="43" t="n">
        <v>46193</v>
      </c>
      <c r="O251" s="26" t="inlineStr">
        <is>
          <t>Sunil CR</t>
        </is>
      </c>
      <c r="P251" s="26" t="inlineStr">
        <is>
          <t>Yes</t>
        </is>
      </c>
      <c r="Q251" s="26" t="inlineStr">
        <is>
          <t>No</t>
        </is>
      </c>
      <c r="R251" s="26" t="inlineStr">
        <is>
          <t>Good finish</t>
        </is>
      </c>
      <c r="S251" s="26" t="inlineStr">
        <is>
          <t>Yes</t>
        </is>
      </c>
      <c r="T251" s="27" t="n"/>
      <c r="U251" s="28" t="inlineStr">
        <is>
          <t>No</t>
        </is>
      </c>
      <c r="V251" s="29">
        <f>IF(N251="","",IF(Q251="Yes","❌ Disc",IF(P251="No","⚠ Missing",IF(S251="Yes","✓ OK","⚠ Check"))))</f>
        <v/>
      </c>
      <c r="W251" s="65" t="n">
        <v>46248</v>
      </c>
      <c r="X251" s="30" t="inlineStr">
        <is>
          <t>Sunil CR</t>
        </is>
      </c>
      <c r="Y251" s="30" t="inlineStr">
        <is>
          <t>Yes</t>
        </is>
      </c>
      <c r="Z251" s="30" t="n"/>
      <c r="AA251" s="30" t="inlineStr">
        <is>
          <t>Good finish</t>
        </is>
      </c>
      <c r="AB251" s="30" t="inlineStr">
        <is>
          <t>Yes</t>
        </is>
      </c>
      <c r="AC251" s="27" t="n"/>
      <c r="AD251" s="31" t="inlineStr">
        <is>
          <t>No</t>
        </is>
      </c>
      <c r="AE251" s="32">
        <f>IF(W251="","",IF(Z251="Yes","❌ Disc",IF(Y251="No","⚠ Missing",IF(AB251="Yes","✓ OK","⚠ Check"))))</f>
        <v/>
      </c>
      <c r="AF251" s="33" t="n"/>
      <c r="AG251" s="33" t="n"/>
      <c r="AH251" s="33" t="n"/>
      <c r="AI251" s="33" t="n"/>
      <c r="AJ251" s="33" t="n"/>
      <c r="AK251" s="33" t="n"/>
      <c r="AL251" s="27" t="n"/>
      <c r="AM251" s="34" t="n"/>
      <c r="AN251" s="35">
        <f>IF(AF251="","",IF(AI251="Yes","❌ Disc",IF(AH251="No","⚠ Missing",IF(AK251="Yes","✓ OK","⚠ Check"))))</f>
        <v/>
      </c>
      <c r="AO251" s="36" t="n"/>
      <c r="AP251" s="36" t="n"/>
      <c r="AQ251" s="36" t="n"/>
      <c r="AR251" s="36" t="n"/>
      <c r="AS251" s="36" t="n"/>
      <c r="AT251" s="36" t="n"/>
      <c r="AU251" s="27" t="n"/>
      <c r="AV251" s="37" t="n"/>
      <c r="AW251" s="38">
        <f>IF(AO251="","",IF(AR251="Yes","❌ Disc",IF(AQ251="No","⚠ Missing",IF(AT251="Yes","✓ OK","⚠ Check"))))</f>
        <v/>
      </c>
    </row>
    <row r="252" ht="18" customHeight="1" s="46">
      <c r="A252" s="39" t="n">
        <v>256</v>
      </c>
      <c r="B252" s="40" t="inlineStr">
        <is>
          <t>BD-LAM-2023-0113</t>
        </is>
      </c>
      <c r="C252" s="41" t="inlineStr">
        <is>
          <t>Lam SL SD 1mm 7706 Brick Wood(Gold)</t>
        </is>
      </c>
      <c r="D252" s="39" t="inlineStr">
        <is>
          <t>Stylam</t>
        </is>
      </c>
      <c r="E252" s="43" t="n">
        <v>46125</v>
      </c>
      <c r="F252" s="26" t="inlineStr">
        <is>
          <t>Sunil CR</t>
        </is>
      </c>
      <c r="G252" s="26" t="inlineStr">
        <is>
          <t>Yes</t>
        </is>
      </c>
      <c r="H252" s="26" t="inlineStr">
        <is>
          <t>No</t>
        </is>
      </c>
      <c r="I252" s="26" t="inlineStr">
        <is>
          <t>Good finish</t>
        </is>
      </c>
      <c r="J252" s="26" t="inlineStr">
        <is>
          <t>Yes</t>
        </is>
      </c>
      <c r="K252" s="27" t="n"/>
      <c r="L252" s="28" t="inlineStr">
        <is>
          <t>No</t>
        </is>
      </c>
      <c r="M252" s="29">
        <f>IF(E252="","",IF(H252="Yes","❌ Disc",IF(G252="No","⚠ Missing",IF(J252="Yes","✓ OK","⚠ Check"))))</f>
        <v/>
      </c>
      <c r="N252" s="43" t="n">
        <v>46193</v>
      </c>
      <c r="O252" s="26" t="inlineStr">
        <is>
          <t>Sunil CR</t>
        </is>
      </c>
      <c r="P252" s="26" t="inlineStr">
        <is>
          <t>Yes</t>
        </is>
      </c>
      <c r="Q252" s="26" t="inlineStr">
        <is>
          <t>No</t>
        </is>
      </c>
      <c r="R252" s="26" t="inlineStr">
        <is>
          <t>Good finish</t>
        </is>
      </c>
      <c r="S252" s="26" t="inlineStr">
        <is>
          <t>Yes</t>
        </is>
      </c>
      <c r="T252" s="27" t="n"/>
      <c r="U252" s="28" t="inlineStr">
        <is>
          <t>No</t>
        </is>
      </c>
      <c r="V252" s="29">
        <f>IF(N252="","",IF(Q252="Yes","❌ Disc",IF(P252="No","⚠ Missing",IF(S252="Yes","✓ OK","⚠ Check"))))</f>
        <v/>
      </c>
      <c r="W252" s="65" t="n">
        <v>46248</v>
      </c>
      <c r="X252" s="30" t="inlineStr">
        <is>
          <t>Sunil CR</t>
        </is>
      </c>
      <c r="Y252" s="30" t="inlineStr">
        <is>
          <t>Yes</t>
        </is>
      </c>
      <c r="Z252" s="30" t="n"/>
      <c r="AA252" s="30" t="inlineStr">
        <is>
          <t>Good finish</t>
        </is>
      </c>
      <c r="AB252" s="30" t="inlineStr">
        <is>
          <t>Yes</t>
        </is>
      </c>
      <c r="AC252" s="27" t="n"/>
      <c r="AD252" s="31" t="inlineStr">
        <is>
          <t>No</t>
        </is>
      </c>
      <c r="AE252" s="32">
        <f>IF(W252="","",IF(Z252="Yes","❌ Disc",IF(Y252="No","⚠ Missing",IF(AB252="Yes","✓ OK","⚠ Check"))))</f>
        <v/>
      </c>
      <c r="AF252" s="33" t="n"/>
      <c r="AG252" s="33" t="n"/>
      <c r="AH252" s="33" t="n"/>
      <c r="AI252" s="33" t="n"/>
      <c r="AJ252" s="33" t="n"/>
      <c r="AK252" s="33" t="n"/>
      <c r="AL252" s="27" t="n"/>
      <c r="AM252" s="34" t="n"/>
      <c r="AN252" s="35">
        <f>IF(AF252="","",IF(AI252="Yes","❌ Disc",IF(AH252="No","⚠ Missing",IF(AK252="Yes","✓ OK","⚠ Check"))))</f>
        <v/>
      </c>
      <c r="AO252" s="36" t="n"/>
      <c r="AP252" s="36" t="n"/>
      <c r="AQ252" s="36" t="n"/>
      <c r="AR252" s="36" t="n"/>
      <c r="AS252" s="36" t="n"/>
      <c r="AT252" s="36" t="n"/>
      <c r="AU252" s="27" t="n"/>
      <c r="AV252" s="37" t="n"/>
      <c r="AW252" s="38">
        <f>IF(AO252="","",IF(AR252="Yes","❌ Disc",IF(AQ252="No","⚠ Missing",IF(AT252="Yes","✓ OK","⚠ Check"))))</f>
        <v/>
      </c>
    </row>
    <row r="253" ht="18" customHeight="1" s="46">
      <c r="A253" s="23" t="n">
        <v>257</v>
      </c>
      <c r="B253" s="24" t="inlineStr">
        <is>
          <t>BD-LAM-2024-0078</t>
        </is>
      </c>
      <c r="C253" s="25" t="inlineStr">
        <is>
          <t>Lam SL SD 1mm 7710 Lorraine Walnut(Gold)</t>
        </is>
      </c>
      <c r="D253" s="23" t="inlineStr">
        <is>
          <t>Stylam</t>
        </is>
      </c>
      <c r="E253" s="43" t="n">
        <v>46125</v>
      </c>
      <c r="F253" s="26" t="inlineStr">
        <is>
          <t>Sunil CR</t>
        </is>
      </c>
      <c r="G253" s="26" t="inlineStr">
        <is>
          <t>Yes</t>
        </is>
      </c>
      <c r="H253" s="26" t="inlineStr">
        <is>
          <t>No</t>
        </is>
      </c>
      <c r="I253" s="26" t="inlineStr">
        <is>
          <t>Good finish</t>
        </is>
      </c>
      <c r="J253" s="26" t="inlineStr">
        <is>
          <t>Yes</t>
        </is>
      </c>
      <c r="K253" s="27" t="n"/>
      <c r="L253" s="28" t="inlineStr">
        <is>
          <t>No</t>
        </is>
      </c>
      <c r="M253" s="29">
        <f>IF(E253="","",IF(H253="Yes","❌ Disc",IF(G253="No","⚠ Missing",IF(J253="Yes","✓ OK","⚠ Check"))))</f>
        <v/>
      </c>
      <c r="N253" s="43" t="n">
        <v>46193</v>
      </c>
      <c r="O253" s="26" t="inlineStr">
        <is>
          <t>Sunil CR</t>
        </is>
      </c>
      <c r="P253" s="26" t="inlineStr">
        <is>
          <t>Yes</t>
        </is>
      </c>
      <c r="Q253" s="26" t="inlineStr">
        <is>
          <t>No</t>
        </is>
      </c>
      <c r="R253" s="26" t="inlineStr">
        <is>
          <t>Good finish</t>
        </is>
      </c>
      <c r="S253" s="26" t="inlineStr">
        <is>
          <t>Yes</t>
        </is>
      </c>
      <c r="T253" s="27" t="n"/>
      <c r="U253" s="28" t="inlineStr">
        <is>
          <t>No</t>
        </is>
      </c>
      <c r="V253" s="29">
        <f>IF(N253="","",IF(Q253="Yes","❌ Disc",IF(P253="No","⚠ Missing",IF(S253="Yes","✓ OK","⚠ Check"))))</f>
        <v/>
      </c>
      <c r="W253" s="65" t="n">
        <v>46248</v>
      </c>
      <c r="X253" s="30" t="inlineStr">
        <is>
          <t>Sunil CR</t>
        </is>
      </c>
      <c r="Y253" s="30" t="inlineStr">
        <is>
          <t>Yes</t>
        </is>
      </c>
      <c r="Z253" s="30" t="n"/>
      <c r="AA253" s="30" t="inlineStr">
        <is>
          <t>Good finish</t>
        </is>
      </c>
      <c r="AB253" s="30" t="inlineStr">
        <is>
          <t>Yes</t>
        </is>
      </c>
      <c r="AC253" s="27" t="n"/>
      <c r="AD253" s="31" t="inlineStr">
        <is>
          <t>No</t>
        </is>
      </c>
      <c r="AE253" s="32">
        <f>IF(W253="","",IF(Z253="Yes","❌ Disc",IF(Y253="No","⚠ Missing",IF(AB253="Yes","✓ OK","⚠ Check"))))</f>
        <v/>
      </c>
      <c r="AF253" s="33" t="n"/>
      <c r="AG253" s="33" t="n"/>
      <c r="AH253" s="33" t="n"/>
      <c r="AI253" s="33" t="n"/>
      <c r="AJ253" s="33" t="n"/>
      <c r="AK253" s="33" t="n"/>
      <c r="AL253" s="27" t="n"/>
      <c r="AM253" s="34" t="n"/>
      <c r="AN253" s="35">
        <f>IF(AF253="","",IF(AI253="Yes","❌ Disc",IF(AH253="No","⚠ Missing",IF(AK253="Yes","✓ OK","⚠ Check"))))</f>
        <v/>
      </c>
      <c r="AO253" s="36" t="n"/>
      <c r="AP253" s="36" t="n"/>
      <c r="AQ253" s="36" t="n"/>
      <c r="AR253" s="36" t="n"/>
      <c r="AS253" s="36" t="n"/>
      <c r="AT253" s="36" t="n"/>
      <c r="AU253" s="27" t="n"/>
      <c r="AV253" s="37" t="n"/>
      <c r="AW253" s="38">
        <f>IF(AO253="","",IF(AR253="Yes","❌ Disc",IF(AQ253="No","⚠ Missing",IF(AT253="Yes","✓ OK","⚠ Check"))))</f>
        <v/>
      </c>
    </row>
    <row r="254" ht="18" customHeight="1" s="46">
      <c r="A254" s="39" t="n">
        <v>258</v>
      </c>
      <c r="B254" s="40" t="inlineStr">
        <is>
          <t>BD-LAM-2023-0232</t>
        </is>
      </c>
      <c r="C254" s="41" t="inlineStr">
        <is>
          <t>Lam SL SD 1mm 7720 Orlando Walnut(Gold)</t>
        </is>
      </c>
      <c r="D254" s="39" t="inlineStr">
        <is>
          <t>Stylam</t>
        </is>
      </c>
      <c r="E254" s="43" t="n">
        <v>46125</v>
      </c>
      <c r="F254" s="26" t="inlineStr">
        <is>
          <t>Sunil CR</t>
        </is>
      </c>
      <c r="G254" s="26" t="inlineStr">
        <is>
          <t>Yes</t>
        </is>
      </c>
      <c r="H254" s="26" t="inlineStr">
        <is>
          <t>No</t>
        </is>
      </c>
      <c r="I254" s="26" t="inlineStr">
        <is>
          <t>Good finish</t>
        </is>
      </c>
      <c r="J254" s="26" t="inlineStr">
        <is>
          <t>Yes</t>
        </is>
      </c>
      <c r="K254" s="27" t="n"/>
      <c r="L254" s="28" t="inlineStr">
        <is>
          <t>No</t>
        </is>
      </c>
      <c r="M254" s="29">
        <f>IF(E254="","",IF(H254="Yes","❌ Disc",IF(G254="No","⚠ Missing",IF(J254="Yes","✓ OK","⚠ Check"))))</f>
        <v/>
      </c>
      <c r="N254" s="43" t="n">
        <v>46193</v>
      </c>
      <c r="O254" s="26" t="inlineStr">
        <is>
          <t>Sunil CR</t>
        </is>
      </c>
      <c r="P254" s="26" t="inlineStr">
        <is>
          <t>Yes</t>
        </is>
      </c>
      <c r="Q254" s="26" t="inlineStr">
        <is>
          <t>No</t>
        </is>
      </c>
      <c r="R254" s="26" t="inlineStr">
        <is>
          <t>Good finish</t>
        </is>
      </c>
      <c r="S254" s="26" t="inlineStr">
        <is>
          <t>Yes</t>
        </is>
      </c>
      <c r="T254" s="27" t="n"/>
      <c r="U254" s="28" t="inlineStr">
        <is>
          <t>No</t>
        </is>
      </c>
      <c r="V254" s="29">
        <f>IF(N254="","",IF(Q254="Yes","❌ Disc",IF(P254="No","⚠ Missing",IF(S254="Yes","✓ OK","⚠ Check"))))</f>
        <v/>
      </c>
      <c r="W254" s="65" t="n">
        <v>46248</v>
      </c>
      <c r="X254" s="30" t="inlineStr">
        <is>
          <t>Sunil CR</t>
        </is>
      </c>
      <c r="Y254" s="30" t="inlineStr">
        <is>
          <t>Yes</t>
        </is>
      </c>
      <c r="Z254" s="30" t="n"/>
      <c r="AA254" s="30" t="inlineStr">
        <is>
          <t>Good finish</t>
        </is>
      </c>
      <c r="AB254" s="30" t="inlineStr">
        <is>
          <t>Yes</t>
        </is>
      </c>
      <c r="AC254" s="27" t="n"/>
      <c r="AD254" s="31" t="inlineStr">
        <is>
          <t>No</t>
        </is>
      </c>
      <c r="AE254" s="32">
        <f>IF(W254="","",IF(Z254="Yes","❌ Disc",IF(Y254="No","⚠ Missing",IF(AB254="Yes","✓ OK","⚠ Check"))))</f>
        <v/>
      </c>
      <c r="AF254" s="33" t="n"/>
      <c r="AG254" s="33" t="n"/>
      <c r="AH254" s="33" t="n"/>
      <c r="AI254" s="33" t="n"/>
      <c r="AJ254" s="33" t="n"/>
      <c r="AK254" s="33" t="n"/>
      <c r="AL254" s="27" t="n"/>
      <c r="AM254" s="34" t="n"/>
      <c r="AN254" s="35">
        <f>IF(AF254="","",IF(AI254="Yes","❌ Disc",IF(AH254="No","⚠ Missing",IF(AK254="Yes","✓ OK","⚠ Check"))))</f>
        <v/>
      </c>
      <c r="AO254" s="36" t="n"/>
      <c r="AP254" s="36" t="n"/>
      <c r="AQ254" s="36" t="n"/>
      <c r="AR254" s="36" t="n"/>
      <c r="AS254" s="36" t="n"/>
      <c r="AT254" s="36" t="n"/>
      <c r="AU254" s="27" t="n"/>
      <c r="AV254" s="37" t="n"/>
      <c r="AW254" s="38">
        <f>IF(AO254="","",IF(AR254="Yes","❌ Disc",IF(AQ254="No","⚠ Missing",IF(AT254="Yes","✓ OK","⚠ Check"))))</f>
        <v/>
      </c>
    </row>
    <row r="255" ht="18" customHeight="1" s="46">
      <c r="A255" s="23" t="n">
        <v>259</v>
      </c>
      <c r="B255" s="24" t="inlineStr">
        <is>
          <t>BD-LAM-2023-0083</t>
        </is>
      </c>
      <c r="C255" s="25" t="inlineStr">
        <is>
          <t>Lam SL SD 1mm 7853 Amazing Antique(Gold) [BBP]</t>
        </is>
      </c>
      <c r="D255" s="23" t="inlineStr">
        <is>
          <t>Stylam</t>
        </is>
      </c>
      <c r="E255" s="43" t="n">
        <v>46125</v>
      </c>
      <c r="F255" s="26" t="inlineStr">
        <is>
          <t>Sunil CR</t>
        </is>
      </c>
      <c r="G255" s="26" t="inlineStr">
        <is>
          <t>Yes</t>
        </is>
      </c>
      <c r="H255" s="26" t="inlineStr">
        <is>
          <t>No</t>
        </is>
      </c>
      <c r="I255" s="26" t="inlineStr">
        <is>
          <t>Good finish</t>
        </is>
      </c>
      <c r="J255" s="26" t="inlineStr">
        <is>
          <t>Yes</t>
        </is>
      </c>
      <c r="K255" s="27" t="n"/>
      <c r="L255" s="28" t="inlineStr">
        <is>
          <t>No</t>
        </is>
      </c>
      <c r="M255" s="29">
        <f>IF(E255="","",IF(H255="Yes","❌ Disc",IF(G255="No","⚠ Missing",IF(J255="Yes","✓ OK","⚠ Check"))))</f>
        <v/>
      </c>
      <c r="N255" s="43" t="n">
        <v>46193</v>
      </c>
      <c r="O255" s="26" t="inlineStr">
        <is>
          <t>Sunil CR</t>
        </is>
      </c>
      <c r="P255" s="26" t="inlineStr">
        <is>
          <t>Yes</t>
        </is>
      </c>
      <c r="Q255" s="26" t="inlineStr">
        <is>
          <t>No</t>
        </is>
      </c>
      <c r="R255" s="26" t="inlineStr">
        <is>
          <t>Good finish</t>
        </is>
      </c>
      <c r="S255" s="26" t="inlineStr">
        <is>
          <t>Yes</t>
        </is>
      </c>
      <c r="T255" s="27" t="n"/>
      <c r="U255" s="28" t="inlineStr">
        <is>
          <t>No</t>
        </is>
      </c>
      <c r="V255" s="29">
        <f>IF(N255="","",IF(Q255="Yes","❌ Disc",IF(P255="No","⚠ Missing",IF(S255="Yes","✓ OK","⚠ Check"))))</f>
        <v/>
      </c>
      <c r="W255" s="65" t="n">
        <v>46248</v>
      </c>
      <c r="X255" s="30" t="inlineStr">
        <is>
          <t>Sunil CR</t>
        </is>
      </c>
      <c r="Y255" s="30" t="inlineStr">
        <is>
          <t>Yes</t>
        </is>
      </c>
      <c r="Z255" s="30" t="n"/>
      <c r="AA255" s="30" t="inlineStr">
        <is>
          <t>Good finish</t>
        </is>
      </c>
      <c r="AB255" s="30" t="inlineStr">
        <is>
          <t>Yes</t>
        </is>
      </c>
      <c r="AC255" s="27" t="n"/>
      <c r="AD255" s="31" t="inlineStr">
        <is>
          <t>No</t>
        </is>
      </c>
      <c r="AE255" s="32">
        <f>IF(W255="","",IF(Z255="Yes","❌ Disc",IF(Y255="No","⚠ Missing",IF(AB255="Yes","✓ OK","⚠ Check"))))</f>
        <v/>
      </c>
      <c r="AF255" s="33" t="n"/>
      <c r="AG255" s="33" t="n"/>
      <c r="AH255" s="33" t="n"/>
      <c r="AI255" s="33" t="n"/>
      <c r="AJ255" s="33" t="n"/>
      <c r="AK255" s="33" t="n"/>
      <c r="AL255" s="27" t="n"/>
      <c r="AM255" s="34" t="n"/>
      <c r="AN255" s="35">
        <f>IF(AF255="","",IF(AI255="Yes","❌ Disc",IF(AH255="No","⚠ Missing",IF(AK255="Yes","✓ OK","⚠ Check"))))</f>
        <v/>
      </c>
      <c r="AO255" s="36" t="n"/>
      <c r="AP255" s="36" t="n"/>
      <c r="AQ255" s="36" t="n"/>
      <c r="AR255" s="36" t="n"/>
      <c r="AS255" s="36" t="n"/>
      <c r="AT255" s="36" t="n"/>
      <c r="AU255" s="27" t="n"/>
      <c r="AV255" s="37" t="n"/>
      <c r="AW255" s="38">
        <f>IF(AO255="","",IF(AR255="Yes","❌ Disc",IF(AQ255="No","⚠ Missing",IF(AT255="Yes","✓ OK","⚠ Check"))))</f>
        <v/>
      </c>
    </row>
    <row r="256" ht="18" customHeight="1" s="46">
      <c r="A256" s="39" t="n">
        <v>260</v>
      </c>
      <c r="B256" s="40" t="inlineStr">
        <is>
          <t>BD-LAM-2023-0249</t>
        </is>
      </c>
      <c r="C256" s="41" t="inlineStr">
        <is>
          <t>Lam SL SD 1mm 8082 Radiant(Gold) [BBP]</t>
        </is>
      </c>
      <c r="D256" s="39" t="inlineStr">
        <is>
          <t>Stylam</t>
        </is>
      </c>
      <c r="E256" s="43" t="n">
        <v>46125</v>
      </c>
      <c r="F256" s="26" t="inlineStr">
        <is>
          <t>Sunil CR</t>
        </is>
      </c>
      <c r="G256" s="26" t="inlineStr">
        <is>
          <t>Yes</t>
        </is>
      </c>
      <c r="H256" s="26" t="inlineStr">
        <is>
          <t>No</t>
        </is>
      </c>
      <c r="I256" s="26" t="inlineStr">
        <is>
          <t>Good finish</t>
        </is>
      </c>
      <c r="J256" s="26" t="inlineStr">
        <is>
          <t>Yes</t>
        </is>
      </c>
      <c r="K256" s="27" t="n"/>
      <c r="L256" s="28" t="inlineStr">
        <is>
          <t>No</t>
        </is>
      </c>
      <c r="M256" s="29">
        <f>IF(E256="","",IF(H256="Yes","❌ Disc",IF(G256="No","⚠ Missing",IF(J256="Yes","✓ OK","⚠ Check"))))</f>
        <v/>
      </c>
      <c r="N256" s="43" t="n">
        <v>46193</v>
      </c>
      <c r="O256" s="26" t="inlineStr">
        <is>
          <t>Sunil CR</t>
        </is>
      </c>
      <c r="P256" s="26" t="inlineStr">
        <is>
          <t>Yes</t>
        </is>
      </c>
      <c r="Q256" s="26" t="inlineStr">
        <is>
          <t>No</t>
        </is>
      </c>
      <c r="R256" s="26" t="inlineStr">
        <is>
          <t>Good finish</t>
        </is>
      </c>
      <c r="S256" s="26" t="inlineStr">
        <is>
          <t>Yes</t>
        </is>
      </c>
      <c r="T256" s="27" t="n"/>
      <c r="U256" s="28" t="inlineStr">
        <is>
          <t>No</t>
        </is>
      </c>
      <c r="V256" s="29">
        <f>IF(N256="","",IF(Q256="Yes","❌ Disc",IF(P256="No","⚠ Missing",IF(S256="Yes","✓ OK","⚠ Check"))))</f>
        <v/>
      </c>
      <c r="W256" s="65" t="n">
        <v>46248</v>
      </c>
      <c r="X256" s="30" t="inlineStr">
        <is>
          <t>Sunil CR</t>
        </is>
      </c>
      <c r="Y256" s="30" t="inlineStr">
        <is>
          <t>Yes</t>
        </is>
      </c>
      <c r="Z256" s="30" t="n"/>
      <c r="AA256" s="30" t="inlineStr">
        <is>
          <t>Good finish</t>
        </is>
      </c>
      <c r="AB256" s="30" t="inlineStr">
        <is>
          <t>Yes</t>
        </is>
      </c>
      <c r="AC256" s="27" t="n"/>
      <c r="AD256" s="31" t="inlineStr">
        <is>
          <t>No</t>
        </is>
      </c>
      <c r="AE256" s="32">
        <f>IF(W256="","",IF(Z256="Yes","❌ Disc",IF(Y256="No","⚠ Missing",IF(AB256="Yes","✓ OK","⚠ Check"))))</f>
        <v/>
      </c>
      <c r="AF256" s="33" t="n"/>
      <c r="AG256" s="33" t="n"/>
      <c r="AH256" s="33" t="n"/>
      <c r="AI256" s="33" t="n"/>
      <c r="AJ256" s="33" t="n"/>
      <c r="AK256" s="33" t="n"/>
      <c r="AL256" s="27" t="n"/>
      <c r="AM256" s="34" t="n"/>
      <c r="AN256" s="35">
        <f>IF(AF256="","",IF(AI256="Yes","❌ Disc",IF(AH256="No","⚠ Missing",IF(AK256="Yes","✓ OK","⚠ Check"))))</f>
        <v/>
      </c>
      <c r="AO256" s="36" t="n"/>
      <c r="AP256" s="36" t="n"/>
      <c r="AQ256" s="36" t="n"/>
      <c r="AR256" s="36" t="n"/>
      <c r="AS256" s="36" t="n"/>
      <c r="AT256" s="36" t="n"/>
      <c r="AU256" s="27" t="n"/>
      <c r="AV256" s="37" t="n"/>
      <c r="AW256" s="38">
        <f>IF(AO256="","",IF(AR256="Yes","❌ Disc",IF(AQ256="No","⚠ Missing",IF(AT256="Yes","✓ OK","⚠ Check"))))</f>
        <v/>
      </c>
    </row>
    <row r="257" ht="18" customHeight="1" s="46">
      <c r="A257" s="23" t="n">
        <v>261</v>
      </c>
      <c r="B257" s="24" t="inlineStr">
        <is>
          <t>BD-LAM-2023-0242</t>
        </is>
      </c>
      <c r="C257" s="25" t="inlineStr">
        <is>
          <t>Lam SL SD 1mm 8106 Platinum grey(Gold) [BBP]</t>
        </is>
      </c>
      <c r="D257" s="23" t="inlineStr">
        <is>
          <t>Stylam</t>
        </is>
      </c>
      <c r="E257" s="43" t="n">
        <v>46125</v>
      </c>
      <c r="F257" s="26" t="inlineStr">
        <is>
          <t>Sunil CR</t>
        </is>
      </c>
      <c r="G257" s="26" t="inlineStr">
        <is>
          <t>Yes</t>
        </is>
      </c>
      <c r="H257" s="26" t="inlineStr">
        <is>
          <t>No</t>
        </is>
      </c>
      <c r="I257" s="26" t="inlineStr">
        <is>
          <t>Good finish</t>
        </is>
      </c>
      <c r="J257" s="26" t="inlineStr">
        <is>
          <t>Yes</t>
        </is>
      </c>
      <c r="K257" s="27" t="inlineStr">
        <is>
          <t>Available in small book</t>
        </is>
      </c>
      <c r="L257" s="28" t="inlineStr">
        <is>
          <t>Yes</t>
        </is>
      </c>
      <c r="M257" s="29">
        <f>IF(E257="","",IF(H257="Yes","❌ Disc",IF(G257="No","⚠ Missing",IF(J257="Yes","✓ OK","⚠ Check"))))</f>
        <v/>
      </c>
      <c r="N257" s="43" t="n">
        <v>46193</v>
      </c>
      <c r="O257" s="26" t="inlineStr">
        <is>
          <t>Sunil CR</t>
        </is>
      </c>
      <c r="P257" s="26" t="inlineStr">
        <is>
          <t>Yes</t>
        </is>
      </c>
      <c r="Q257" s="26" t="inlineStr">
        <is>
          <t>No</t>
        </is>
      </c>
      <c r="R257" s="26" t="inlineStr">
        <is>
          <t>Good finish</t>
        </is>
      </c>
      <c r="S257" s="26" t="inlineStr">
        <is>
          <t>Yes</t>
        </is>
      </c>
      <c r="T257" s="27" t="inlineStr">
        <is>
          <t>Available in small book</t>
        </is>
      </c>
      <c r="U257" s="28" t="inlineStr">
        <is>
          <t>Yes</t>
        </is>
      </c>
      <c r="V257" s="29">
        <f>IF(N257="","",IF(Q257="Yes","❌ Disc",IF(P257="No","⚠ Missing",IF(S257="Yes","✓ OK","⚠ Check"))))</f>
        <v/>
      </c>
      <c r="W257" s="65" t="n">
        <v>46248</v>
      </c>
      <c r="X257" s="30" t="inlineStr">
        <is>
          <t>Sunil CR</t>
        </is>
      </c>
      <c r="Y257" s="30" t="inlineStr">
        <is>
          <t>Yes</t>
        </is>
      </c>
      <c r="Z257" s="30" t="n"/>
      <c r="AA257" s="30" t="inlineStr">
        <is>
          <t>Good finish</t>
        </is>
      </c>
      <c r="AB257" s="30" t="inlineStr">
        <is>
          <t>Yes</t>
        </is>
      </c>
      <c r="AC257" s="27" t="inlineStr">
        <is>
          <t>Available in small book</t>
        </is>
      </c>
      <c r="AD257" s="31" t="inlineStr">
        <is>
          <t>Yes</t>
        </is>
      </c>
      <c r="AE257" s="32">
        <f>IF(W257="","",IF(Z257="Yes","❌ Disc",IF(Y257="No","⚠ Missing",IF(AB257="Yes","✓ OK","⚠ Check"))))</f>
        <v/>
      </c>
      <c r="AF257" s="33" t="n"/>
      <c r="AG257" s="33" t="n"/>
      <c r="AH257" s="33" t="n"/>
      <c r="AI257" s="33" t="n"/>
      <c r="AJ257" s="33" t="n"/>
      <c r="AK257" s="33" t="n"/>
      <c r="AL257" s="27" t="n"/>
      <c r="AM257" s="34" t="n"/>
      <c r="AN257" s="35">
        <f>IF(AF257="","",IF(AI257="Yes","❌ Disc",IF(AH257="No","⚠ Missing",IF(AK257="Yes","✓ OK","⚠ Check"))))</f>
        <v/>
      </c>
      <c r="AO257" s="36" t="n"/>
      <c r="AP257" s="36" t="n"/>
      <c r="AQ257" s="36" t="n"/>
      <c r="AR257" s="36" t="n"/>
      <c r="AS257" s="36" t="n"/>
      <c r="AT257" s="36" t="n"/>
      <c r="AU257" s="27" t="n"/>
      <c r="AV257" s="37" t="n"/>
      <c r="AW257" s="38">
        <f>IF(AO257="","",IF(AR257="Yes","❌ Disc",IF(AQ257="No","⚠ Missing",IF(AT257="Yes","✓ OK","⚠ Check"))))</f>
        <v/>
      </c>
    </row>
    <row r="258" ht="18" customHeight="1" s="46">
      <c r="A258" s="39" t="n">
        <v>262</v>
      </c>
      <c r="B258" s="40" t="inlineStr">
        <is>
          <t>BD-LAM-2023-0099</t>
        </is>
      </c>
      <c r="C258" s="41" t="inlineStr">
        <is>
          <t>Lam SL SD 1mm 8107 Barnwood(Gold) [BBP]</t>
        </is>
      </c>
      <c r="D258" s="39" t="inlineStr">
        <is>
          <t>Stylam</t>
        </is>
      </c>
      <c r="E258" s="43" t="n">
        <v>46125</v>
      </c>
      <c r="F258" s="26" t="inlineStr">
        <is>
          <t>Sunil CR</t>
        </is>
      </c>
      <c r="G258" s="26" t="inlineStr">
        <is>
          <t>Yes</t>
        </is>
      </c>
      <c r="H258" s="26" t="inlineStr">
        <is>
          <t>No</t>
        </is>
      </c>
      <c r="I258" s="26" t="inlineStr">
        <is>
          <t>Good finish</t>
        </is>
      </c>
      <c r="J258" s="26" t="inlineStr">
        <is>
          <t>Yes</t>
        </is>
      </c>
      <c r="K258" s="27" t="n"/>
      <c r="L258" s="28" t="inlineStr">
        <is>
          <t>No</t>
        </is>
      </c>
      <c r="M258" s="29">
        <f>IF(E258="","",IF(H258="Yes","❌ Disc",IF(G258="No","⚠ Missing",IF(J258="Yes","✓ OK","⚠ Check"))))</f>
        <v/>
      </c>
      <c r="N258" s="43" t="n">
        <v>46193</v>
      </c>
      <c r="O258" s="26" t="inlineStr">
        <is>
          <t>Sunil CR</t>
        </is>
      </c>
      <c r="P258" s="26" t="inlineStr">
        <is>
          <t>Yes</t>
        </is>
      </c>
      <c r="Q258" s="26" t="inlineStr">
        <is>
          <t>No</t>
        </is>
      </c>
      <c r="R258" s="26" t="inlineStr">
        <is>
          <t>Good finish</t>
        </is>
      </c>
      <c r="S258" s="26" t="inlineStr">
        <is>
          <t>Yes</t>
        </is>
      </c>
      <c r="T258" s="27" t="n"/>
      <c r="U258" s="28" t="inlineStr">
        <is>
          <t>No</t>
        </is>
      </c>
      <c r="V258" s="29">
        <f>IF(N258="","",IF(Q258="Yes","❌ Disc",IF(P258="No","⚠ Missing",IF(S258="Yes","✓ OK","⚠ Check"))))</f>
        <v/>
      </c>
      <c r="W258" s="65" t="n">
        <v>46248</v>
      </c>
      <c r="X258" s="30" t="inlineStr">
        <is>
          <t>Sunil CR</t>
        </is>
      </c>
      <c r="Y258" s="30" t="inlineStr">
        <is>
          <t>Yes</t>
        </is>
      </c>
      <c r="Z258" s="30" t="n"/>
      <c r="AA258" s="30" t="inlineStr">
        <is>
          <t>Good finish</t>
        </is>
      </c>
      <c r="AB258" s="30" t="inlineStr">
        <is>
          <t>Yes</t>
        </is>
      </c>
      <c r="AC258" s="27" t="n"/>
      <c r="AD258" s="31" t="inlineStr">
        <is>
          <t>No</t>
        </is>
      </c>
      <c r="AE258" s="32">
        <f>IF(W258="","",IF(Z258="Yes","❌ Disc",IF(Y258="No","⚠ Missing",IF(AB258="Yes","✓ OK","⚠ Check"))))</f>
        <v/>
      </c>
      <c r="AF258" s="33" t="n"/>
      <c r="AG258" s="33" t="n"/>
      <c r="AH258" s="33" t="n"/>
      <c r="AI258" s="33" t="n"/>
      <c r="AJ258" s="33" t="n"/>
      <c r="AK258" s="33" t="n"/>
      <c r="AL258" s="27" t="n"/>
      <c r="AM258" s="34" t="n"/>
      <c r="AN258" s="35">
        <f>IF(AF258="","",IF(AI258="Yes","❌ Disc",IF(AH258="No","⚠ Missing",IF(AK258="Yes","✓ OK","⚠ Check"))))</f>
        <v/>
      </c>
      <c r="AO258" s="36" t="n"/>
      <c r="AP258" s="36" t="n"/>
      <c r="AQ258" s="36" t="n"/>
      <c r="AR258" s="36" t="n"/>
      <c r="AS258" s="36" t="n"/>
      <c r="AT258" s="36" t="n"/>
      <c r="AU258" s="27" t="n"/>
      <c r="AV258" s="37" t="n"/>
      <c r="AW258" s="38">
        <f>IF(AO258="","",IF(AR258="Yes","❌ Disc",IF(AQ258="No","⚠ Missing",IF(AT258="Yes","✓ OK","⚠ Check"))))</f>
        <v/>
      </c>
    </row>
    <row r="259" ht="18" customHeight="1" s="46">
      <c r="A259" s="23" t="n">
        <v>263</v>
      </c>
      <c r="B259" s="24" t="inlineStr">
        <is>
          <t>BD-LAM-2023-0120</t>
        </is>
      </c>
      <c r="C259" s="25" t="inlineStr">
        <is>
          <t>Lam SL SD 1mm 8151 Carnation(Gold)</t>
        </is>
      </c>
      <c r="D259" s="23" t="inlineStr">
        <is>
          <t>Stylam</t>
        </is>
      </c>
      <c r="E259" s="43" t="n">
        <v>46125</v>
      </c>
      <c r="F259" s="26" t="inlineStr">
        <is>
          <t>Sunil CR</t>
        </is>
      </c>
      <c r="G259" s="26" t="inlineStr">
        <is>
          <t>Yes</t>
        </is>
      </c>
      <c r="H259" s="26" t="inlineStr">
        <is>
          <t>No</t>
        </is>
      </c>
      <c r="I259" s="26" t="inlineStr">
        <is>
          <t>Good finish</t>
        </is>
      </c>
      <c r="J259" s="26" t="inlineStr">
        <is>
          <t>Yes</t>
        </is>
      </c>
      <c r="K259" s="27" t="n"/>
      <c r="L259" s="28" t="inlineStr">
        <is>
          <t>No</t>
        </is>
      </c>
      <c r="M259" s="29">
        <f>IF(E259="","",IF(H259="Yes","❌ Disc",IF(G259="No","⚠ Missing",IF(J259="Yes","✓ OK","⚠ Check"))))</f>
        <v/>
      </c>
      <c r="N259" s="43" t="n">
        <v>46193</v>
      </c>
      <c r="O259" s="26" t="inlineStr">
        <is>
          <t>Sunil CR</t>
        </is>
      </c>
      <c r="P259" s="26" t="inlineStr">
        <is>
          <t>Yes</t>
        </is>
      </c>
      <c r="Q259" s="26" t="inlineStr">
        <is>
          <t>No</t>
        </is>
      </c>
      <c r="R259" s="26" t="inlineStr">
        <is>
          <t>Good finish</t>
        </is>
      </c>
      <c r="S259" s="26" t="inlineStr">
        <is>
          <t>Yes</t>
        </is>
      </c>
      <c r="T259" s="27" t="n"/>
      <c r="U259" s="28" t="inlineStr">
        <is>
          <t>No</t>
        </is>
      </c>
      <c r="V259" s="29">
        <f>IF(N259="","",IF(Q259="Yes","❌ Disc",IF(P259="No","⚠ Missing",IF(S259="Yes","✓ OK","⚠ Check"))))</f>
        <v/>
      </c>
      <c r="W259" s="65" t="n">
        <v>46248</v>
      </c>
      <c r="X259" s="30" t="inlineStr">
        <is>
          <t>Sunil CR</t>
        </is>
      </c>
      <c r="Y259" s="30" t="inlineStr">
        <is>
          <t>Yes</t>
        </is>
      </c>
      <c r="Z259" s="30" t="n"/>
      <c r="AA259" s="30" t="inlineStr">
        <is>
          <t>Good finish</t>
        </is>
      </c>
      <c r="AB259" s="30" t="inlineStr">
        <is>
          <t>Yes</t>
        </is>
      </c>
      <c r="AC259" s="27" t="n"/>
      <c r="AD259" s="31" t="inlineStr">
        <is>
          <t>No</t>
        </is>
      </c>
      <c r="AE259" s="32">
        <f>IF(W259="","",IF(Z259="Yes","❌ Disc",IF(Y259="No","⚠ Missing",IF(AB259="Yes","✓ OK","⚠ Check"))))</f>
        <v/>
      </c>
      <c r="AF259" s="33" t="n"/>
      <c r="AG259" s="33" t="n"/>
      <c r="AH259" s="33" t="n"/>
      <c r="AI259" s="33" t="n"/>
      <c r="AJ259" s="33" t="n"/>
      <c r="AK259" s="33" t="n"/>
      <c r="AL259" s="27" t="n"/>
      <c r="AM259" s="34" t="n"/>
      <c r="AN259" s="35">
        <f>IF(AF259="","",IF(AI259="Yes","❌ Disc",IF(AH259="No","⚠ Missing",IF(AK259="Yes","✓ OK","⚠ Check"))))</f>
        <v/>
      </c>
      <c r="AO259" s="36" t="n"/>
      <c r="AP259" s="36" t="n"/>
      <c r="AQ259" s="36" t="n"/>
      <c r="AR259" s="36" t="n"/>
      <c r="AS259" s="36" t="n"/>
      <c r="AT259" s="36" t="n"/>
      <c r="AU259" s="27" t="n"/>
      <c r="AV259" s="37" t="n"/>
      <c r="AW259" s="38">
        <f>IF(AO259="","",IF(AR259="Yes","❌ Disc",IF(AQ259="No","⚠ Missing",IF(AT259="Yes","✓ OK","⚠ Check"))))</f>
        <v/>
      </c>
    </row>
    <row r="260" ht="18" customHeight="1" s="46">
      <c r="A260" s="39" t="n">
        <v>264</v>
      </c>
      <c r="B260" s="40" t="inlineStr">
        <is>
          <t>BD-LAM-2023-0126</t>
        </is>
      </c>
      <c r="C260" s="41" t="inlineStr">
        <is>
          <t>Lam SL SD 1mm 8204 Chamoise brown(Gold) [BBP]</t>
        </is>
      </c>
      <c r="D260" s="39" t="inlineStr">
        <is>
          <t>Stylam</t>
        </is>
      </c>
      <c r="E260" s="43" t="n">
        <v>46125</v>
      </c>
      <c r="F260" s="26" t="inlineStr">
        <is>
          <t>Sunil CR</t>
        </is>
      </c>
      <c r="G260" s="26" t="inlineStr">
        <is>
          <t>Yes</t>
        </is>
      </c>
      <c r="H260" s="26" t="inlineStr">
        <is>
          <t>No</t>
        </is>
      </c>
      <c r="I260" s="26" t="inlineStr">
        <is>
          <t>Good finish</t>
        </is>
      </c>
      <c r="J260" s="26" t="inlineStr">
        <is>
          <t>Yes</t>
        </is>
      </c>
      <c r="K260" s="27" t="n"/>
      <c r="L260" s="28" t="inlineStr">
        <is>
          <t>No</t>
        </is>
      </c>
      <c r="M260" s="29">
        <f>IF(E260="","",IF(H260="Yes","❌ Disc",IF(G260="No","⚠ Missing",IF(J260="Yes","✓ OK","⚠ Check"))))</f>
        <v/>
      </c>
      <c r="N260" s="43" t="n">
        <v>46193</v>
      </c>
      <c r="O260" s="26" t="inlineStr">
        <is>
          <t>Sunil CR</t>
        </is>
      </c>
      <c r="P260" s="26" t="inlineStr">
        <is>
          <t>Yes</t>
        </is>
      </c>
      <c r="Q260" s="26" t="inlineStr">
        <is>
          <t>No</t>
        </is>
      </c>
      <c r="R260" s="26" t="inlineStr">
        <is>
          <t>Good finish</t>
        </is>
      </c>
      <c r="S260" s="26" t="inlineStr">
        <is>
          <t>Yes</t>
        </is>
      </c>
      <c r="T260" s="27" t="n"/>
      <c r="U260" s="28" t="inlineStr">
        <is>
          <t>No</t>
        </is>
      </c>
      <c r="V260" s="29">
        <f>IF(N260="","",IF(Q260="Yes","❌ Disc",IF(P260="No","⚠ Missing",IF(S260="Yes","✓ OK","⚠ Check"))))</f>
        <v/>
      </c>
      <c r="W260" s="65" t="n">
        <v>46248</v>
      </c>
      <c r="X260" s="30" t="inlineStr">
        <is>
          <t>Sunil CR</t>
        </is>
      </c>
      <c r="Y260" s="30" t="inlineStr">
        <is>
          <t>Yes</t>
        </is>
      </c>
      <c r="Z260" s="30" t="n"/>
      <c r="AA260" s="30" t="inlineStr">
        <is>
          <t>Good finish</t>
        </is>
      </c>
      <c r="AB260" s="30" t="inlineStr">
        <is>
          <t>Yes</t>
        </is>
      </c>
      <c r="AC260" s="27" t="n"/>
      <c r="AD260" s="31" t="inlineStr">
        <is>
          <t>No</t>
        </is>
      </c>
      <c r="AE260" s="32">
        <f>IF(W260="","",IF(Z260="Yes","❌ Disc",IF(Y260="No","⚠ Missing",IF(AB260="Yes","✓ OK","⚠ Check"))))</f>
        <v/>
      </c>
      <c r="AF260" s="33" t="n"/>
      <c r="AG260" s="33" t="n"/>
      <c r="AH260" s="33" t="n"/>
      <c r="AI260" s="33" t="n"/>
      <c r="AJ260" s="33" t="n"/>
      <c r="AK260" s="33" t="n"/>
      <c r="AL260" s="27" t="n"/>
      <c r="AM260" s="34" t="n"/>
      <c r="AN260" s="35">
        <f>IF(AF260="","",IF(AI260="Yes","❌ Disc",IF(AH260="No","⚠ Missing",IF(AK260="Yes","✓ OK","⚠ Check"))))</f>
        <v/>
      </c>
      <c r="AO260" s="36" t="n"/>
      <c r="AP260" s="36" t="n"/>
      <c r="AQ260" s="36" t="n"/>
      <c r="AR260" s="36" t="n"/>
      <c r="AS260" s="36" t="n"/>
      <c r="AT260" s="36" t="n"/>
      <c r="AU260" s="27" t="n"/>
      <c r="AV260" s="37" t="n"/>
      <c r="AW260" s="38">
        <f>IF(AO260="","",IF(AR260="Yes","❌ Disc",IF(AQ260="No","⚠ Missing",IF(AT260="Yes","✓ OK","⚠ Check"))))</f>
        <v/>
      </c>
    </row>
    <row r="261" ht="18" customHeight="1" s="46">
      <c r="A261" s="23" t="n">
        <v>265</v>
      </c>
      <c r="B261" s="24" t="inlineStr">
        <is>
          <t>BD-LAM-2023-0173</t>
        </is>
      </c>
      <c r="C261" s="25" t="inlineStr">
        <is>
          <t>Lam SL SD 1mm 8222(Gold)</t>
        </is>
      </c>
      <c r="D261" s="23" t="inlineStr">
        <is>
          <t>Stylam</t>
        </is>
      </c>
      <c r="E261" s="43" t="n">
        <v>46125</v>
      </c>
      <c r="F261" s="26" t="inlineStr">
        <is>
          <t>Sunil CR</t>
        </is>
      </c>
      <c r="G261" s="26" t="inlineStr">
        <is>
          <t>Yes</t>
        </is>
      </c>
      <c r="H261" s="26" t="inlineStr">
        <is>
          <t>No</t>
        </is>
      </c>
      <c r="I261" s="26" t="inlineStr">
        <is>
          <t>Good finish</t>
        </is>
      </c>
      <c r="J261" s="26" t="inlineStr">
        <is>
          <t>Yes</t>
        </is>
      </c>
      <c r="K261" s="27" t="inlineStr">
        <is>
          <t>Available in small book</t>
        </is>
      </c>
      <c r="L261" s="28" t="inlineStr">
        <is>
          <t>Yes</t>
        </is>
      </c>
      <c r="M261" s="29">
        <f>IF(E261="","",IF(H261="Yes","❌ Disc",IF(G261="No","⚠ Missing",IF(J261="Yes","✓ OK","⚠ Check"))))</f>
        <v/>
      </c>
      <c r="N261" s="43" t="n">
        <v>46193</v>
      </c>
      <c r="O261" s="26" t="inlineStr">
        <is>
          <t>Sunil CR</t>
        </is>
      </c>
      <c r="P261" s="26" t="inlineStr">
        <is>
          <t>No</t>
        </is>
      </c>
      <c r="Q261" s="26" t="inlineStr">
        <is>
          <t>Yes</t>
        </is>
      </c>
      <c r="R261" s="26" t="inlineStr">
        <is>
          <t>Discontinued</t>
        </is>
      </c>
      <c r="S261" s="26" t="inlineStr">
        <is>
          <t>No</t>
        </is>
      </c>
      <c r="T261" s="27" t="n"/>
      <c r="U261" s="28" t="inlineStr">
        <is>
          <t>Yes</t>
        </is>
      </c>
      <c r="V261" s="29">
        <f>IF(N261="","",IF(Q261="Yes","❌ Disc",IF(P261="No","⚠ Missing",IF(S261="Yes","✓ OK","⚠ Check"))))</f>
        <v/>
      </c>
      <c r="W261" s="65" t="n">
        <v>46248</v>
      </c>
      <c r="X261" s="30" t="inlineStr">
        <is>
          <t>Sunil CR</t>
        </is>
      </c>
      <c r="Y261" s="30" t="inlineStr">
        <is>
          <t>No</t>
        </is>
      </c>
      <c r="Z261" s="30" t="inlineStr">
        <is>
          <t>Yes</t>
        </is>
      </c>
      <c r="AA261" s="30" t="inlineStr">
        <is>
          <t>Discontinued</t>
        </is>
      </c>
      <c r="AB261" s="30" t="inlineStr">
        <is>
          <t>No</t>
        </is>
      </c>
      <c r="AC261" s="27" t="n"/>
      <c r="AD261" s="31" t="inlineStr">
        <is>
          <t>No</t>
        </is>
      </c>
      <c r="AE261" s="32">
        <f>IF(W261="","",IF(Z261="Yes","❌ Disc",IF(Y261="No","⚠ Missing",IF(AB261="Yes","✓ OK","⚠ Check"))))</f>
        <v/>
      </c>
      <c r="AF261" s="33" t="n"/>
      <c r="AG261" s="33" t="n"/>
      <c r="AH261" s="33" t="n"/>
      <c r="AI261" s="33" t="n"/>
      <c r="AJ261" s="33" t="n"/>
      <c r="AK261" s="33" t="n"/>
      <c r="AL261" s="27" t="n"/>
      <c r="AM261" s="34" t="n"/>
      <c r="AN261" s="35">
        <f>IF(AF261="","",IF(AI261="Yes","❌ Disc",IF(AH261="No","⚠ Missing",IF(AK261="Yes","✓ OK","⚠ Check"))))</f>
        <v/>
      </c>
      <c r="AO261" s="36" t="n"/>
      <c r="AP261" s="36" t="n"/>
      <c r="AQ261" s="36" t="n"/>
      <c r="AR261" s="36" t="n"/>
      <c r="AS261" s="36" t="n"/>
      <c r="AT261" s="36" t="n"/>
      <c r="AU261" s="27" t="n"/>
      <c r="AV261" s="37" t="n"/>
      <c r="AW261" s="38">
        <f>IF(AO261="","",IF(AR261="Yes","❌ Disc",IF(AQ261="No","⚠ Missing",IF(AT261="Yes","✓ OK","⚠ Check"))))</f>
        <v/>
      </c>
    </row>
    <row r="262" ht="18" customHeight="1" s="46">
      <c r="A262" s="39" t="n">
        <v>266</v>
      </c>
      <c r="B262" s="40" t="inlineStr">
        <is>
          <t>BD-LAM-2023-0149</t>
        </is>
      </c>
      <c r="C262" s="41" t="inlineStr">
        <is>
          <t>Lam SL SD 1mm 8321 Deep pink(Gold) [BBP]</t>
        </is>
      </c>
      <c r="D262" s="39" t="inlineStr">
        <is>
          <t>Stylam</t>
        </is>
      </c>
      <c r="E262" s="43" t="n">
        <v>46125</v>
      </c>
      <c r="F262" s="26" t="inlineStr">
        <is>
          <t>Sunil CR</t>
        </is>
      </c>
      <c r="G262" s="26" t="inlineStr">
        <is>
          <t>Yes</t>
        </is>
      </c>
      <c r="H262" s="26" t="inlineStr">
        <is>
          <t>No</t>
        </is>
      </c>
      <c r="I262" s="26" t="inlineStr">
        <is>
          <t>Good finish</t>
        </is>
      </c>
      <c r="J262" s="26" t="inlineStr">
        <is>
          <t>Yes</t>
        </is>
      </c>
      <c r="K262" s="27" t="n"/>
      <c r="L262" s="28" t="inlineStr">
        <is>
          <t>No</t>
        </is>
      </c>
      <c r="M262" s="29">
        <f>IF(E262="","",IF(H262="Yes","❌ Disc",IF(G262="No","⚠ Missing",IF(J262="Yes","✓ OK","⚠ Check"))))</f>
        <v/>
      </c>
      <c r="N262" s="43" t="n">
        <v>46193</v>
      </c>
      <c r="O262" s="26" t="inlineStr">
        <is>
          <t>Sunil CR</t>
        </is>
      </c>
      <c r="P262" s="26" t="inlineStr">
        <is>
          <t>Yes</t>
        </is>
      </c>
      <c r="Q262" s="26" t="inlineStr">
        <is>
          <t>No</t>
        </is>
      </c>
      <c r="R262" s="26" t="inlineStr">
        <is>
          <t>Good finish</t>
        </is>
      </c>
      <c r="S262" s="26" t="inlineStr">
        <is>
          <t>Yes</t>
        </is>
      </c>
      <c r="T262" s="27" t="n"/>
      <c r="U262" s="28" t="inlineStr">
        <is>
          <t>No</t>
        </is>
      </c>
      <c r="V262" s="29">
        <f>IF(N262="","",IF(Q262="Yes","❌ Disc",IF(P262="No","⚠ Missing",IF(S262="Yes","✓ OK","⚠ Check"))))</f>
        <v/>
      </c>
      <c r="W262" s="65" t="n">
        <v>46248</v>
      </c>
      <c r="X262" s="30" t="inlineStr">
        <is>
          <t>Sunil CR</t>
        </is>
      </c>
      <c r="Y262" s="30" t="inlineStr">
        <is>
          <t>Yes</t>
        </is>
      </c>
      <c r="Z262" s="30" t="n"/>
      <c r="AA262" s="30" t="inlineStr">
        <is>
          <t>Good finish</t>
        </is>
      </c>
      <c r="AB262" s="30" t="inlineStr">
        <is>
          <t>Yes</t>
        </is>
      </c>
      <c r="AC262" s="27" t="n"/>
      <c r="AD262" s="31" t="inlineStr">
        <is>
          <t>No</t>
        </is>
      </c>
      <c r="AE262" s="32">
        <f>IF(W262="","",IF(Z262="Yes","❌ Disc",IF(Y262="No","⚠ Missing",IF(AB262="Yes","✓ OK","⚠ Check"))))</f>
        <v/>
      </c>
      <c r="AF262" s="33" t="n"/>
      <c r="AG262" s="33" t="n"/>
      <c r="AH262" s="33" t="n"/>
      <c r="AI262" s="33" t="n"/>
      <c r="AJ262" s="33" t="n"/>
      <c r="AK262" s="33" t="n"/>
      <c r="AL262" s="27" t="n"/>
      <c r="AM262" s="34" t="n"/>
      <c r="AN262" s="35">
        <f>IF(AF262="","",IF(AI262="Yes","❌ Disc",IF(AH262="No","⚠ Missing",IF(AK262="Yes","✓ OK","⚠ Check"))))</f>
        <v/>
      </c>
      <c r="AO262" s="36" t="n"/>
      <c r="AP262" s="36" t="n"/>
      <c r="AQ262" s="36" t="n"/>
      <c r="AR262" s="36" t="n"/>
      <c r="AS262" s="36" t="n"/>
      <c r="AT262" s="36" t="n"/>
      <c r="AU262" s="27" t="n"/>
      <c r="AV262" s="37" t="n"/>
      <c r="AW262" s="38">
        <f>IF(AO262="","",IF(AR262="Yes","❌ Disc",IF(AQ262="No","⚠ Missing",IF(AT262="Yes","✓ OK","⚠ Check"))))</f>
        <v/>
      </c>
    </row>
    <row r="263" ht="18" customHeight="1" s="46">
      <c r="A263" s="23" t="n">
        <v>267</v>
      </c>
      <c r="B263" s="24" t="inlineStr">
        <is>
          <t>BD-LAM-2023-0271</t>
        </is>
      </c>
      <c r="C263" s="25" t="inlineStr">
        <is>
          <t>Lam SL SD 1mm 8403 Sky blue(Gold)</t>
        </is>
      </c>
      <c r="D263" s="23" t="inlineStr">
        <is>
          <t>Stylam</t>
        </is>
      </c>
      <c r="E263" s="43" t="n">
        <v>46125</v>
      </c>
      <c r="F263" s="26" t="inlineStr">
        <is>
          <t>Sunil CR</t>
        </is>
      </c>
      <c r="G263" s="26" t="inlineStr">
        <is>
          <t>Yes</t>
        </is>
      </c>
      <c r="H263" s="26" t="inlineStr">
        <is>
          <t>No</t>
        </is>
      </c>
      <c r="I263" s="26" t="inlineStr">
        <is>
          <t>Good finish</t>
        </is>
      </c>
      <c r="J263" s="26" t="inlineStr">
        <is>
          <t>Yes</t>
        </is>
      </c>
      <c r="K263" s="27" t="n"/>
      <c r="L263" s="28" t="inlineStr">
        <is>
          <t>No</t>
        </is>
      </c>
      <c r="M263" s="29">
        <f>IF(E263="","",IF(H263="Yes","❌ Disc",IF(G263="No","⚠ Missing",IF(J263="Yes","✓ OK","⚠ Check"))))</f>
        <v/>
      </c>
      <c r="N263" s="43" t="n">
        <v>46193</v>
      </c>
      <c r="O263" s="26" t="inlineStr">
        <is>
          <t>Sunil CR</t>
        </is>
      </c>
      <c r="P263" s="26" t="inlineStr">
        <is>
          <t>Yes</t>
        </is>
      </c>
      <c r="Q263" s="26" t="inlineStr">
        <is>
          <t>No</t>
        </is>
      </c>
      <c r="R263" s="26" t="inlineStr">
        <is>
          <t>Good finish</t>
        </is>
      </c>
      <c r="S263" s="26" t="inlineStr">
        <is>
          <t>Yes</t>
        </is>
      </c>
      <c r="T263" s="27" t="n"/>
      <c r="U263" s="28" t="inlineStr">
        <is>
          <t>No</t>
        </is>
      </c>
      <c r="V263" s="29">
        <f>IF(N263="","",IF(Q263="Yes","❌ Disc",IF(P263="No","⚠ Missing",IF(S263="Yes","✓ OK","⚠ Check"))))</f>
        <v/>
      </c>
      <c r="W263" s="65" t="n">
        <v>46248</v>
      </c>
      <c r="X263" s="30" t="inlineStr">
        <is>
          <t>Sunil CR</t>
        </is>
      </c>
      <c r="Y263" s="30" t="inlineStr">
        <is>
          <t>Yes</t>
        </is>
      </c>
      <c r="Z263" s="30" t="n"/>
      <c r="AA263" s="30" t="inlineStr">
        <is>
          <t>Good finish</t>
        </is>
      </c>
      <c r="AB263" s="30" t="inlineStr">
        <is>
          <t>Yes</t>
        </is>
      </c>
      <c r="AC263" s="27" t="n"/>
      <c r="AD263" s="31" t="inlineStr">
        <is>
          <t>No</t>
        </is>
      </c>
      <c r="AE263" s="32">
        <f>IF(W263="","",IF(Z263="Yes","❌ Disc",IF(Y263="No","⚠ Missing",IF(AB263="Yes","✓ OK","⚠ Check"))))</f>
        <v/>
      </c>
      <c r="AF263" s="33" t="n"/>
      <c r="AG263" s="33" t="n"/>
      <c r="AH263" s="33" t="n"/>
      <c r="AI263" s="33" t="n"/>
      <c r="AJ263" s="33" t="n"/>
      <c r="AK263" s="33" t="n"/>
      <c r="AL263" s="27" t="n"/>
      <c r="AM263" s="34" t="n"/>
      <c r="AN263" s="35">
        <f>IF(AF263="","",IF(AI263="Yes","❌ Disc",IF(AH263="No","⚠ Missing",IF(AK263="Yes","✓ OK","⚠ Check"))))</f>
        <v/>
      </c>
      <c r="AO263" s="36" t="n"/>
      <c r="AP263" s="36" t="n"/>
      <c r="AQ263" s="36" t="n"/>
      <c r="AR263" s="36" t="n"/>
      <c r="AS263" s="36" t="n"/>
      <c r="AT263" s="36" t="n"/>
      <c r="AU263" s="27" t="n"/>
      <c r="AV263" s="37" t="n"/>
      <c r="AW263" s="38">
        <f>IF(AO263="","",IF(AR263="Yes","❌ Disc",IF(AQ263="No","⚠ Missing",IF(AT263="Yes","✓ OK","⚠ Check"))))</f>
        <v/>
      </c>
    </row>
    <row r="264" ht="18" customHeight="1" s="46">
      <c r="A264" s="39" t="n">
        <v>268</v>
      </c>
      <c r="B264" s="40" t="inlineStr">
        <is>
          <t>BD-LAM-2024-0029</t>
        </is>
      </c>
      <c r="C264" s="41" t="inlineStr">
        <is>
          <t>Lam SL SM 1mm 1014 City Shadow(Gold)</t>
        </is>
      </c>
      <c r="D264" s="39" t="inlineStr">
        <is>
          <t>Stylam</t>
        </is>
      </c>
      <c r="E264" s="43" t="n">
        <v>46125</v>
      </c>
      <c r="F264" s="26" t="inlineStr">
        <is>
          <t>Sunil CR</t>
        </is>
      </c>
      <c r="G264" s="26" t="inlineStr">
        <is>
          <t>Yes</t>
        </is>
      </c>
      <c r="H264" s="26" t="inlineStr">
        <is>
          <t>No</t>
        </is>
      </c>
      <c r="I264" s="26" t="inlineStr">
        <is>
          <t>Good finish</t>
        </is>
      </c>
      <c r="J264" s="26" t="inlineStr">
        <is>
          <t>Yes</t>
        </is>
      </c>
      <c r="K264" s="27" t="n"/>
      <c r="L264" s="28" t="inlineStr">
        <is>
          <t>No</t>
        </is>
      </c>
      <c r="M264" s="29">
        <f>IF(E264="","",IF(H264="Yes","❌ Disc",IF(G264="No","⚠ Missing",IF(J264="Yes","✓ OK","⚠ Check"))))</f>
        <v/>
      </c>
      <c r="N264" s="43" t="n">
        <v>46193</v>
      </c>
      <c r="O264" s="26" t="inlineStr">
        <is>
          <t>Sunil CR</t>
        </is>
      </c>
      <c r="P264" s="26" t="inlineStr">
        <is>
          <t>Yes</t>
        </is>
      </c>
      <c r="Q264" s="26" t="inlineStr">
        <is>
          <t>No</t>
        </is>
      </c>
      <c r="R264" s="26" t="inlineStr">
        <is>
          <t>Good finish</t>
        </is>
      </c>
      <c r="S264" s="26" t="inlineStr">
        <is>
          <t>Yes</t>
        </is>
      </c>
      <c r="T264" s="27" t="n"/>
      <c r="U264" s="28" t="inlineStr">
        <is>
          <t>No</t>
        </is>
      </c>
      <c r="V264" s="29">
        <f>IF(N264="","",IF(Q264="Yes","❌ Disc",IF(P264="No","⚠ Missing",IF(S264="Yes","✓ OK","⚠ Check"))))</f>
        <v/>
      </c>
      <c r="W264" s="65" t="n">
        <v>46248</v>
      </c>
      <c r="X264" s="30" t="inlineStr">
        <is>
          <t>Sunil CR</t>
        </is>
      </c>
      <c r="Y264" s="30" t="inlineStr">
        <is>
          <t>Yes</t>
        </is>
      </c>
      <c r="Z264" s="30" t="n"/>
      <c r="AA264" s="30" t="inlineStr">
        <is>
          <t>Good finish</t>
        </is>
      </c>
      <c r="AB264" s="30" t="inlineStr">
        <is>
          <t>Yes</t>
        </is>
      </c>
      <c r="AC264" s="27" t="n"/>
      <c r="AD264" s="31" t="inlineStr">
        <is>
          <t>No</t>
        </is>
      </c>
      <c r="AE264" s="32">
        <f>IF(W264="","",IF(Z264="Yes","❌ Disc",IF(Y264="No","⚠ Missing",IF(AB264="Yes","✓ OK","⚠ Check"))))</f>
        <v/>
      </c>
      <c r="AF264" s="33" t="n"/>
      <c r="AG264" s="33" t="n"/>
      <c r="AH264" s="33" t="n"/>
      <c r="AI264" s="33" t="n"/>
      <c r="AJ264" s="33" t="n"/>
      <c r="AK264" s="33" t="n"/>
      <c r="AL264" s="27" t="n"/>
      <c r="AM264" s="34" t="n"/>
      <c r="AN264" s="35">
        <f>IF(AF264="","",IF(AI264="Yes","❌ Disc",IF(AH264="No","⚠ Missing",IF(AK264="Yes","✓ OK","⚠ Check"))))</f>
        <v/>
      </c>
      <c r="AO264" s="36" t="n"/>
      <c r="AP264" s="36" t="n"/>
      <c r="AQ264" s="36" t="n"/>
      <c r="AR264" s="36" t="n"/>
      <c r="AS264" s="36" t="n"/>
      <c r="AT264" s="36" t="n"/>
      <c r="AU264" s="27" t="n"/>
      <c r="AV264" s="37" t="n"/>
      <c r="AW264" s="38">
        <f>IF(AO264="","",IF(AR264="Yes","❌ Disc",IF(AQ264="No","⚠ Missing",IF(AT264="Yes","✓ OK","⚠ Check"))))</f>
        <v/>
      </c>
    </row>
    <row r="265" ht="18" customHeight="1" s="46">
      <c r="A265" s="23" t="n">
        <v>269</v>
      </c>
      <c r="B265" s="24" t="inlineStr">
        <is>
          <t>BD-LAM-2024-0034</t>
        </is>
      </c>
      <c r="C265" s="25" t="inlineStr">
        <is>
          <t>Lam SL SM 1mm 1037 Soldier Green(Gold)</t>
        </is>
      </c>
      <c r="D265" s="23" t="inlineStr">
        <is>
          <t>Stylam</t>
        </is>
      </c>
      <c r="E265" s="43" t="n">
        <v>46125</v>
      </c>
      <c r="F265" s="26" t="inlineStr">
        <is>
          <t>Sunil CR</t>
        </is>
      </c>
      <c r="G265" s="26" t="inlineStr">
        <is>
          <t>Yes</t>
        </is>
      </c>
      <c r="H265" s="26" t="inlineStr">
        <is>
          <t>No</t>
        </is>
      </c>
      <c r="I265" s="26" t="inlineStr">
        <is>
          <t>Good finish</t>
        </is>
      </c>
      <c r="J265" s="26" t="inlineStr">
        <is>
          <t>Yes</t>
        </is>
      </c>
      <c r="K265" s="27" t="n"/>
      <c r="L265" s="28" t="inlineStr">
        <is>
          <t>No</t>
        </is>
      </c>
      <c r="M265" s="29">
        <f>IF(E265="","",IF(H265="Yes","❌ Disc",IF(G265="No","⚠ Missing",IF(J265="Yes","✓ OK","⚠ Check"))))</f>
        <v/>
      </c>
      <c r="N265" s="43" t="n">
        <v>46193</v>
      </c>
      <c r="O265" s="26" t="inlineStr">
        <is>
          <t>Sunil CR</t>
        </is>
      </c>
      <c r="P265" s="26" t="inlineStr">
        <is>
          <t>Yes</t>
        </is>
      </c>
      <c r="Q265" s="26" t="inlineStr">
        <is>
          <t>No</t>
        </is>
      </c>
      <c r="R265" s="26" t="inlineStr">
        <is>
          <t>Good finish</t>
        </is>
      </c>
      <c r="S265" s="26" t="inlineStr">
        <is>
          <t>Yes</t>
        </is>
      </c>
      <c r="T265" s="27" t="n"/>
      <c r="U265" s="28" t="inlineStr">
        <is>
          <t>No</t>
        </is>
      </c>
      <c r="V265" s="29">
        <f>IF(N265="","",IF(Q265="Yes","❌ Disc",IF(P265="No","⚠ Missing",IF(S265="Yes","✓ OK","⚠ Check"))))</f>
        <v/>
      </c>
      <c r="W265" s="65" t="n">
        <v>46248</v>
      </c>
      <c r="X265" s="30" t="inlineStr">
        <is>
          <t>Sunil CR</t>
        </is>
      </c>
      <c r="Y265" s="30" t="inlineStr">
        <is>
          <t>Yes</t>
        </is>
      </c>
      <c r="Z265" s="30" t="n"/>
      <c r="AA265" s="30" t="inlineStr">
        <is>
          <t>Good finish</t>
        </is>
      </c>
      <c r="AB265" s="30" t="inlineStr">
        <is>
          <t>Yes</t>
        </is>
      </c>
      <c r="AC265" s="27" t="n"/>
      <c r="AD265" s="31" t="inlineStr">
        <is>
          <t>No</t>
        </is>
      </c>
      <c r="AE265" s="32">
        <f>IF(W265="","",IF(Z265="Yes","❌ Disc",IF(Y265="No","⚠ Missing",IF(AB265="Yes","✓ OK","⚠ Check"))))</f>
        <v/>
      </c>
      <c r="AF265" s="33" t="n"/>
      <c r="AG265" s="33" t="n"/>
      <c r="AH265" s="33" t="n"/>
      <c r="AI265" s="33" t="n"/>
      <c r="AJ265" s="33" t="n"/>
      <c r="AK265" s="33" t="n"/>
      <c r="AL265" s="27" t="n"/>
      <c r="AM265" s="34" t="n"/>
      <c r="AN265" s="35">
        <f>IF(AF265="","",IF(AI265="Yes","❌ Disc",IF(AH265="No","⚠ Missing",IF(AK265="Yes","✓ OK","⚠ Check"))))</f>
        <v/>
      </c>
      <c r="AO265" s="36" t="n"/>
      <c r="AP265" s="36" t="n"/>
      <c r="AQ265" s="36" t="n"/>
      <c r="AR265" s="36" t="n"/>
      <c r="AS265" s="36" t="n"/>
      <c r="AT265" s="36" t="n"/>
      <c r="AU265" s="27" t="n"/>
      <c r="AV265" s="37" t="n"/>
      <c r="AW265" s="38">
        <f>IF(AO265="","",IF(AR265="Yes","❌ Disc",IF(AQ265="No","⚠ Missing",IF(AT265="Yes","✓ OK","⚠ Check"))))</f>
        <v/>
      </c>
    </row>
    <row r="266" ht="18" customHeight="1" s="46">
      <c r="A266" s="39" t="n">
        <v>270</v>
      </c>
      <c r="B266" s="40" t="inlineStr">
        <is>
          <t>BD-LAM-2024-0028</t>
        </is>
      </c>
      <c r="C266" s="41" t="inlineStr">
        <is>
          <t>Lam SL SM 1mm 1066 Dull Grey(Gold)</t>
        </is>
      </c>
      <c r="D266" s="39" t="inlineStr">
        <is>
          <t>Stylam</t>
        </is>
      </c>
      <c r="E266" s="43" t="n">
        <v>46125</v>
      </c>
      <c r="F266" s="26" t="inlineStr">
        <is>
          <t>Sunil CR</t>
        </is>
      </c>
      <c r="G266" s="26" t="inlineStr">
        <is>
          <t>Yes</t>
        </is>
      </c>
      <c r="H266" s="26" t="inlineStr">
        <is>
          <t>No</t>
        </is>
      </c>
      <c r="I266" s="26" t="inlineStr">
        <is>
          <t>Good finish</t>
        </is>
      </c>
      <c r="J266" s="26" t="inlineStr">
        <is>
          <t>Yes</t>
        </is>
      </c>
      <c r="K266" s="27" t="n"/>
      <c r="L266" s="28" t="inlineStr">
        <is>
          <t>No</t>
        </is>
      </c>
      <c r="M266" s="29">
        <f>IF(E266="","",IF(H266="Yes","❌ Disc",IF(G266="No","⚠ Missing",IF(J266="Yes","✓ OK","⚠ Check"))))</f>
        <v/>
      </c>
      <c r="N266" s="43" t="n">
        <v>46193</v>
      </c>
      <c r="O266" s="26" t="inlineStr">
        <is>
          <t>Sunil CR</t>
        </is>
      </c>
      <c r="P266" s="26" t="inlineStr">
        <is>
          <t>Yes</t>
        </is>
      </c>
      <c r="Q266" s="26" t="inlineStr">
        <is>
          <t>No</t>
        </is>
      </c>
      <c r="R266" s="26" t="inlineStr">
        <is>
          <t>Good finish</t>
        </is>
      </c>
      <c r="S266" s="26" t="inlineStr">
        <is>
          <t>Yes</t>
        </is>
      </c>
      <c r="T266" s="27" t="n"/>
      <c r="U266" s="28" t="inlineStr">
        <is>
          <t>No</t>
        </is>
      </c>
      <c r="V266" s="29">
        <f>IF(N266="","",IF(Q266="Yes","❌ Disc",IF(P266="No","⚠ Missing",IF(S266="Yes","✓ OK","⚠ Check"))))</f>
        <v/>
      </c>
      <c r="W266" s="65" t="n">
        <v>46248</v>
      </c>
      <c r="X266" s="30" t="inlineStr">
        <is>
          <t>Sunil CR</t>
        </is>
      </c>
      <c r="Y266" s="30" t="inlineStr">
        <is>
          <t>Yes</t>
        </is>
      </c>
      <c r="Z266" s="30" t="n"/>
      <c r="AA266" s="30" t="inlineStr">
        <is>
          <t>Good finish</t>
        </is>
      </c>
      <c r="AB266" s="30" t="inlineStr">
        <is>
          <t>Yes</t>
        </is>
      </c>
      <c r="AC266" s="27" t="n"/>
      <c r="AD266" s="31" t="inlineStr">
        <is>
          <t>No</t>
        </is>
      </c>
      <c r="AE266" s="32">
        <f>IF(W266="","",IF(Z266="Yes","❌ Disc",IF(Y266="No","⚠ Missing",IF(AB266="Yes","✓ OK","⚠ Check"))))</f>
        <v/>
      </c>
      <c r="AF266" s="33" t="n"/>
      <c r="AG266" s="33" t="n"/>
      <c r="AH266" s="33" t="n"/>
      <c r="AI266" s="33" t="n"/>
      <c r="AJ266" s="33" t="n"/>
      <c r="AK266" s="33" t="n"/>
      <c r="AL266" s="27" t="n"/>
      <c r="AM266" s="34" t="n"/>
      <c r="AN266" s="35">
        <f>IF(AF266="","",IF(AI266="Yes","❌ Disc",IF(AH266="No","⚠ Missing",IF(AK266="Yes","✓ OK","⚠ Check"))))</f>
        <v/>
      </c>
      <c r="AO266" s="36" t="n"/>
      <c r="AP266" s="36" t="n"/>
      <c r="AQ266" s="36" t="n"/>
      <c r="AR266" s="36" t="n"/>
      <c r="AS266" s="36" t="n"/>
      <c r="AT266" s="36" t="n"/>
      <c r="AU266" s="27" t="n"/>
      <c r="AV266" s="37" t="n"/>
      <c r="AW266" s="38">
        <f>IF(AO266="","",IF(AR266="Yes","❌ Disc",IF(AQ266="No","⚠ Missing",IF(AT266="Yes","✓ OK","⚠ Check"))))</f>
        <v/>
      </c>
    </row>
    <row r="267" ht="18" customHeight="1" s="46">
      <c r="A267" s="23" t="n">
        <v>271</v>
      </c>
      <c r="B267" s="24" t="inlineStr">
        <is>
          <t>BD-LAM-2023-0314</t>
        </is>
      </c>
      <c r="C267" s="25" t="inlineStr">
        <is>
          <t>Lam SL SM 1mm 1458 Zebrawood Marbel (Gold)</t>
        </is>
      </c>
      <c r="D267" s="23" t="inlineStr">
        <is>
          <t>Stylam</t>
        </is>
      </c>
      <c r="E267" s="43" t="n">
        <v>46125</v>
      </c>
      <c r="F267" s="26" t="inlineStr">
        <is>
          <t>Sunil CR</t>
        </is>
      </c>
      <c r="G267" s="26" t="inlineStr">
        <is>
          <t>Yes</t>
        </is>
      </c>
      <c r="H267" s="26" t="inlineStr">
        <is>
          <t>No</t>
        </is>
      </c>
      <c r="I267" s="26" t="inlineStr">
        <is>
          <t>Good finish</t>
        </is>
      </c>
      <c r="J267" s="26" t="inlineStr">
        <is>
          <t>Yes</t>
        </is>
      </c>
      <c r="K267" s="27" t="n"/>
      <c r="L267" s="28" t="inlineStr">
        <is>
          <t>No</t>
        </is>
      </c>
      <c r="M267" s="29">
        <f>IF(E267="","",IF(H267="Yes","❌ Disc",IF(G267="No","⚠ Missing",IF(J267="Yes","✓ OK","⚠ Check"))))</f>
        <v/>
      </c>
      <c r="N267" s="43" t="n">
        <v>46193</v>
      </c>
      <c r="O267" s="26" t="inlineStr">
        <is>
          <t>Sunil CR</t>
        </is>
      </c>
      <c r="P267" s="26" t="inlineStr">
        <is>
          <t>No</t>
        </is>
      </c>
      <c r="Q267" s="26" t="inlineStr">
        <is>
          <t>Yes</t>
        </is>
      </c>
      <c r="R267" s="26" t="inlineStr">
        <is>
          <t>Discontinued</t>
        </is>
      </c>
      <c r="S267" s="26" t="inlineStr">
        <is>
          <t>No</t>
        </is>
      </c>
      <c r="T267" s="27" t="n"/>
      <c r="U267" s="28" t="inlineStr">
        <is>
          <t>No</t>
        </is>
      </c>
      <c r="V267" s="29">
        <f>IF(N267="","",IF(Q267="Yes","❌ Disc",IF(P267="No","⚠ Missing",IF(S267="Yes","✓ OK","⚠ Check"))))</f>
        <v/>
      </c>
      <c r="W267" s="65" t="n">
        <v>46248</v>
      </c>
      <c r="X267" s="30" t="inlineStr">
        <is>
          <t>Sunil CR</t>
        </is>
      </c>
      <c r="Y267" s="30" t="inlineStr">
        <is>
          <t>No</t>
        </is>
      </c>
      <c r="Z267" s="30" t="inlineStr">
        <is>
          <t>Yes</t>
        </is>
      </c>
      <c r="AA267" s="30" t="inlineStr">
        <is>
          <t>Discontinued</t>
        </is>
      </c>
      <c r="AB267" s="30" t="inlineStr">
        <is>
          <t>No</t>
        </is>
      </c>
      <c r="AC267" s="27" t="n"/>
      <c r="AD267" s="31" t="inlineStr">
        <is>
          <t>No</t>
        </is>
      </c>
      <c r="AE267" s="32">
        <f>IF(W267="","",IF(Z267="Yes","❌ Disc",IF(Y267="No","⚠ Missing",IF(AB267="Yes","✓ OK","⚠ Check"))))</f>
        <v/>
      </c>
      <c r="AF267" s="33" t="n"/>
      <c r="AG267" s="33" t="n"/>
      <c r="AH267" s="33" t="n"/>
      <c r="AI267" s="33" t="n"/>
      <c r="AJ267" s="33" t="n"/>
      <c r="AK267" s="33" t="n"/>
      <c r="AL267" s="27" t="n"/>
      <c r="AM267" s="34" t="n"/>
      <c r="AN267" s="35">
        <f>IF(AF267="","",IF(AI267="Yes","❌ Disc",IF(AH267="No","⚠ Missing",IF(AK267="Yes","✓ OK","⚠ Check"))))</f>
        <v/>
      </c>
      <c r="AO267" s="36" t="n"/>
      <c r="AP267" s="36" t="n"/>
      <c r="AQ267" s="36" t="n"/>
      <c r="AR267" s="36" t="n"/>
      <c r="AS267" s="36" t="n"/>
      <c r="AT267" s="36" t="n"/>
      <c r="AU267" s="27" t="n"/>
      <c r="AV267" s="37" t="n"/>
      <c r="AW267" s="38">
        <f>IF(AO267="","",IF(AR267="Yes","❌ Disc",IF(AQ267="No","⚠ Missing",IF(AT267="Yes","✓ OK","⚠ Check"))))</f>
        <v/>
      </c>
    </row>
    <row r="268" ht="18" customHeight="1" s="46">
      <c r="A268" s="39" t="n">
        <v>272</v>
      </c>
      <c r="B268" s="40" t="inlineStr">
        <is>
          <t>BD-LAM-2023-0079</t>
        </is>
      </c>
      <c r="C268" s="41" t="inlineStr">
        <is>
          <t>Lam SL SM 1mm 1462 Bianco Carrara Venato(Gold)</t>
        </is>
      </c>
      <c r="D268" s="39" t="inlineStr">
        <is>
          <t>Stylam</t>
        </is>
      </c>
      <c r="E268" s="43" t="n">
        <v>46125</v>
      </c>
      <c r="F268" s="26" t="inlineStr">
        <is>
          <t>Sunil CR</t>
        </is>
      </c>
      <c r="G268" s="26" t="inlineStr">
        <is>
          <t>Yes</t>
        </is>
      </c>
      <c r="H268" s="26" t="inlineStr">
        <is>
          <t>No</t>
        </is>
      </c>
      <c r="I268" s="26" t="inlineStr">
        <is>
          <t>Minor defect</t>
        </is>
      </c>
      <c r="J268" s="26" t="inlineStr">
        <is>
          <t>No</t>
        </is>
      </c>
      <c r="K268" s="27" t="inlineStr">
        <is>
          <t>Name Sticker to be Changed</t>
        </is>
      </c>
      <c r="L268" s="28" t="inlineStr">
        <is>
          <t>Yes</t>
        </is>
      </c>
      <c r="M268" s="29">
        <f>IF(E268="","",IF(H268="Yes","❌ Disc",IF(G268="No","⚠ Missing",IF(J268="Yes","✓ OK","⚠ Check"))))</f>
        <v/>
      </c>
      <c r="N268" s="43" t="n">
        <v>46193</v>
      </c>
      <c r="O268" s="26" t="inlineStr">
        <is>
          <t>Sunil CR</t>
        </is>
      </c>
      <c r="P268" s="26" t="inlineStr">
        <is>
          <t>Yes</t>
        </is>
      </c>
      <c r="Q268" s="26" t="inlineStr">
        <is>
          <t>No</t>
        </is>
      </c>
      <c r="R268" s="26" t="inlineStr">
        <is>
          <t>Minor defect</t>
        </is>
      </c>
      <c r="S268" s="26" t="inlineStr">
        <is>
          <t>No</t>
        </is>
      </c>
      <c r="T268" s="27" t="inlineStr">
        <is>
          <t>Name Sticker to be Changed</t>
        </is>
      </c>
      <c r="U268" s="28" t="inlineStr">
        <is>
          <t>Yes</t>
        </is>
      </c>
      <c r="V268" s="29">
        <f>IF(N268="","",IF(Q268="Yes","❌ Disc",IF(P268="No","⚠ Missing",IF(S268="Yes","✓ OK","⚠ Check"))))</f>
        <v/>
      </c>
      <c r="W268" s="65" t="n">
        <v>46248</v>
      </c>
      <c r="X268" s="30" t="inlineStr">
        <is>
          <t>Sunil CR</t>
        </is>
      </c>
      <c r="Y268" s="30" t="inlineStr">
        <is>
          <t>Yes</t>
        </is>
      </c>
      <c r="Z268" s="30" t="n"/>
      <c r="AA268" s="30" t="inlineStr">
        <is>
          <t>Minor defect</t>
        </is>
      </c>
      <c r="AB268" s="30" t="inlineStr">
        <is>
          <t>No</t>
        </is>
      </c>
      <c r="AC268" s="27" t="inlineStr">
        <is>
          <t>Name Sticker to be Changed</t>
        </is>
      </c>
      <c r="AD268" s="31" t="inlineStr">
        <is>
          <t>Yes</t>
        </is>
      </c>
      <c r="AE268" s="32">
        <f>IF(W268="","",IF(Z268="Yes","❌ Disc",IF(Y268="No","⚠ Missing",IF(AB268="Yes","✓ OK","⚠ Check"))))</f>
        <v/>
      </c>
      <c r="AF268" s="33" t="n"/>
      <c r="AG268" s="33" t="n"/>
      <c r="AH268" s="33" t="n"/>
      <c r="AI268" s="33" t="n"/>
      <c r="AJ268" s="33" t="n"/>
      <c r="AK268" s="33" t="n"/>
      <c r="AL268" s="27" t="n"/>
      <c r="AM268" s="34" t="n"/>
      <c r="AN268" s="35">
        <f>IF(AF268="","",IF(AI268="Yes","❌ Disc",IF(AH268="No","⚠ Missing",IF(AK268="Yes","✓ OK","⚠ Check"))))</f>
        <v/>
      </c>
      <c r="AO268" s="36" t="n"/>
      <c r="AP268" s="36" t="n"/>
      <c r="AQ268" s="36" t="n"/>
      <c r="AR268" s="36" t="n"/>
      <c r="AS268" s="36" t="n"/>
      <c r="AT268" s="36" t="n"/>
      <c r="AU268" s="27" t="n"/>
      <c r="AV268" s="37" t="n"/>
      <c r="AW268" s="38">
        <f>IF(AO268="","",IF(AR268="Yes","❌ Disc",IF(AQ268="No","⚠ Missing",IF(AT268="Yes","✓ OK","⚠ Check"))))</f>
        <v/>
      </c>
    </row>
    <row r="269" ht="18" customHeight="1" s="46">
      <c r="A269" s="23" t="n">
        <v>273</v>
      </c>
      <c r="B269" s="24" t="inlineStr">
        <is>
          <t>BD-LAM-2024-0031</t>
        </is>
      </c>
      <c r="C269" s="25" t="inlineStr">
        <is>
          <t>Lam SL SM 1mm 1702 Dusky Mehndi(Gold)</t>
        </is>
      </c>
      <c r="D269" s="23" t="inlineStr">
        <is>
          <t>Stylam</t>
        </is>
      </c>
      <c r="E269" s="43" t="n">
        <v>46125</v>
      </c>
      <c r="F269" s="26" t="inlineStr">
        <is>
          <t>Sunil CR</t>
        </is>
      </c>
      <c r="G269" s="26" t="inlineStr">
        <is>
          <t>Yes</t>
        </is>
      </c>
      <c r="H269" s="26" t="inlineStr">
        <is>
          <t>No</t>
        </is>
      </c>
      <c r="I269" s="26" t="inlineStr">
        <is>
          <t>Good finish</t>
        </is>
      </c>
      <c r="J269" s="26" t="inlineStr">
        <is>
          <t>Yes</t>
        </is>
      </c>
      <c r="K269" s="27" t="n"/>
      <c r="L269" s="28" t="inlineStr">
        <is>
          <t>No</t>
        </is>
      </c>
      <c r="M269" s="29">
        <f>IF(E269="","",IF(H269="Yes","❌ Disc",IF(G269="No","⚠ Missing",IF(J269="Yes","✓ OK","⚠ Check"))))</f>
        <v/>
      </c>
      <c r="N269" s="43" t="n">
        <v>46193</v>
      </c>
      <c r="O269" s="26" t="inlineStr">
        <is>
          <t>Sunil CR</t>
        </is>
      </c>
      <c r="P269" s="26" t="inlineStr">
        <is>
          <t>Yes</t>
        </is>
      </c>
      <c r="Q269" s="26" t="inlineStr">
        <is>
          <t>No</t>
        </is>
      </c>
      <c r="R269" s="26" t="inlineStr">
        <is>
          <t>Good finish</t>
        </is>
      </c>
      <c r="S269" s="26" t="inlineStr">
        <is>
          <t>Yes</t>
        </is>
      </c>
      <c r="T269" s="27" t="n"/>
      <c r="U269" s="28" t="inlineStr">
        <is>
          <t>No</t>
        </is>
      </c>
      <c r="V269" s="29">
        <f>IF(N269="","",IF(Q269="Yes","❌ Disc",IF(P269="No","⚠ Missing",IF(S269="Yes","✓ OK","⚠ Check"))))</f>
        <v/>
      </c>
      <c r="W269" s="65" t="n">
        <v>46248</v>
      </c>
      <c r="X269" s="30" t="inlineStr">
        <is>
          <t>Sunil CR</t>
        </is>
      </c>
      <c r="Y269" s="30" t="inlineStr">
        <is>
          <t>Yes</t>
        </is>
      </c>
      <c r="Z269" s="30" t="n"/>
      <c r="AA269" s="30" t="inlineStr">
        <is>
          <t>Good finish</t>
        </is>
      </c>
      <c r="AB269" s="30" t="inlineStr">
        <is>
          <t>Yes</t>
        </is>
      </c>
      <c r="AC269" s="27" t="n"/>
      <c r="AD269" s="31" t="inlineStr">
        <is>
          <t>No</t>
        </is>
      </c>
      <c r="AE269" s="32">
        <f>IF(W269="","",IF(Z269="Yes","❌ Disc",IF(Y269="No","⚠ Missing",IF(AB269="Yes","✓ OK","⚠ Check"))))</f>
        <v/>
      </c>
      <c r="AF269" s="33" t="n"/>
      <c r="AG269" s="33" t="n"/>
      <c r="AH269" s="33" t="n"/>
      <c r="AI269" s="33" t="n"/>
      <c r="AJ269" s="33" t="n"/>
      <c r="AK269" s="33" t="n"/>
      <c r="AL269" s="27" t="n"/>
      <c r="AM269" s="34" t="n"/>
      <c r="AN269" s="35">
        <f>IF(AF269="","",IF(AI269="Yes","❌ Disc",IF(AH269="No","⚠ Missing",IF(AK269="Yes","✓ OK","⚠ Check"))))</f>
        <v/>
      </c>
      <c r="AO269" s="36" t="n"/>
      <c r="AP269" s="36" t="n"/>
      <c r="AQ269" s="36" t="n"/>
      <c r="AR269" s="36" t="n"/>
      <c r="AS269" s="36" t="n"/>
      <c r="AT269" s="36" t="n"/>
      <c r="AU269" s="27" t="n"/>
      <c r="AV269" s="37" t="n"/>
      <c r="AW269" s="38">
        <f>IF(AO269="","",IF(AR269="Yes","❌ Disc",IF(AQ269="No","⚠ Missing",IF(AT269="Yes","✓ OK","⚠ Check"))))</f>
        <v/>
      </c>
    </row>
    <row r="270" ht="18" customHeight="1" s="46">
      <c r="A270" s="39" t="n">
        <v>274</v>
      </c>
      <c r="B270" s="40" t="inlineStr">
        <is>
          <t>BD-LAM-2024-0032</t>
        </is>
      </c>
      <c r="C270" s="41" t="inlineStr">
        <is>
          <t>Lam SL SM 1mm 1716 Dark Olive(Gold)</t>
        </is>
      </c>
      <c r="D270" s="39" t="inlineStr">
        <is>
          <t>Stylam</t>
        </is>
      </c>
      <c r="E270" s="43" t="n">
        <v>46125</v>
      </c>
      <c r="F270" s="26" t="inlineStr">
        <is>
          <t>Sunil CR</t>
        </is>
      </c>
      <c r="G270" s="26" t="inlineStr">
        <is>
          <t>No</t>
        </is>
      </c>
      <c r="H270" s="26" t="inlineStr">
        <is>
          <t>No</t>
        </is>
      </c>
      <c r="I270" s="26" t="inlineStr">
        <is>
          <t>Not Available</t>
        </is>
      </c>
      <c r="J270" s="26" t="inlineStr">
        <is>
          <t>No</t>
        </is>
      </c>
      <c r="K270" s="27" t="n"/>
      <c r="L270" s="28" t="inlineStr">
        <is>
          <t>Yes</t>
        </is>
      </c>
      <c r="M270" s="29">
        <f>IF(E270="","",IF(H270="Yes","❌ Disc",IF(G270="No","⚠ Missing",IF(J270="Yes","✓ OK","⚠ Check"))))</f>
        <v/>
      </c>
      <c r="N270" s="43" t="n">
        <v>46193</v>
      </c>
      <c r="O270" s="26" t="inlineStr">
        <is>
          <t>Sunil CR</t>
        </is>
      </c>
      <c r="P270" s="26" t="inlineStr">
        <is>
          <t>No</t>
        </is>
      </c>
      <c r="Q270" s="26" t="inlineStr">
        <is>
          <t>No</t>
        </is>
      </c>
      <c r="R270" s="26" t="inlineStr">
        <is>
          <t>Not Available</t>
        </is>
      </c>
      <c r="S270" s="26" t="inlineStr">
        <is>
          <t>No</t>
        </is>
      </c>
      <c r="T270" s="27" t="n"/>
      <c r="U270" s="28" t="inlineStr">
        <is>
          <t>Yes</t>
        </is>
      </c>
      <c r="V270" s="29">
        <f>IF(N270="","",IF(Q270="Yes","❌ Disc",IF(P270="No","⚠ Missing",IF(S270="Yes","✓ OK","⚠ Check"))))</f>
        <v/>
      </c>
      <c r="W270" s="65" t="n">
        <v>46248</v>
      </c>
      <c r="X270" s="30" t="inlineStr">
        <is>
          <t>Sunil CR</t>
        </is>
      </c>
      <c r="Y270" s="30" t="inlineStr">
        <is>
          <t>No</t>
        </is>
      </c>
      <c r="Z270" s="30" t="n"/>
      <c r="AA270" s="30" t="inlineStr">
        <is>
          <t>Not Available</t>
        </is>
      </c>
      <c r="AB270" s="30" t="inlineStr">
        <is>
          <t>No</t>
        </is>
      </c>
      <c r="AC270" s="27" t="n"/>
      <c r="AD270" s="31" t="inlineStr">
        <is>
          <t>Yes</t>
        </is>
      </c>
      <c r="AE270" s="32">
        <f>IF(W270="","",IF(Z270="Yes","❌ Disc",IF(Y270="No","⚠ Missing",IF(AB270="Yes","✓ OK","⚠ Check"))))</f>
        <v/>
      </c>
      <c r="AF270" s="33" t="n"/>
      <c r="AG270" s="33" t="n"/>
      <c r="AH270" s="33" t="n"/>
      <c r="AI270" s="33" t="n"/>
      <c r="AJ270" s="33" t="n"/>
      <c r="AK270" s="33" t="n"/>
      <c r="AL270" s="27" t="n"/>
      <c r="AM270" s="34" t="n"/>
      <c r="AN270" s="35">
        <f>IF(AF270="","",IF(AI270="Yes","❌ Disc",IF(AH270="No","⚠ Missing",IF(AK270="Yes","✓ OK","⚠ Check"))))</f>
        <v/>
      </c>
      <c r="AO270" s="36" t="n"/>
      <c r="AP270" s="36" t="n"/>
      <c r="AQ270" s="36" t="n"/>
      <c r="AR270" s="36" t="n"/>
      <c r="AS270" s="36" t="n"/>
      <c r="AT270" s="36" t="n"/>
      <c r="AU270" s="27" t="n"/>
      <c r="AV270" s="37" t="n"/>
      <c r="AW270" s="38">
        <f>IF(AO270="","",IF(AR270="Yes","❌ Disc",IF(AQ270="No","⚠ Missing",IF(AT270="Yes","✓ OK","⚠ Check"))))</f>
        <v/>
      </c>
    </row>
    <row r="271" ht="18" customHeight="1" s="46">
      <c r="A271" s="23" t="n">
        <v>275</v>
      </c>
      <c r="B271" s="24" t="inlineStr">
        <is>
          <t>BD-LAM-2024-0026</t>
        </is>
      </c>
      <c r="C271" s="25" t="inlineStr">
        <is>
          <t>Lam SL SM 1mm 538 Ivory Grey(Gold)</t>
        </is>
      </c>
      <c r="D271" s="23" t="inlineStr">
        <is>
          <t>Stylam</t>
        </is>
      </c>
      <c r="E271" s="43" t="n">
        <v>46125</v>
      </c>
      <c r="F271" s="26" t="inlineStr">
        <is>
          <t>Sunil CR</t>
        </is>
      </c>
      <c r="G271" s="26" t="inlineStr">
        <is>
          <t>Yes</t>
        </is>
      </c>
      <c r="H271" s="26" t="inlineStr">
        <is>
          <t>No</t>
        </is>
      </c>
      <c r="I271" s="26" t="inlineStr">
        <is>
          <t>Good finish</t>
        </is>
      </c>
      <c r="J271" s="26" t="inlineStr">
        <is>
          <t>Yes</t>
        </is>
      </c>
      <c r="K271" s="27" t="n"/>
      <c r="L271" s="28" t="inlineStr">
        <is>
          <t>No</t>
        </is>
      </c>
      <c r="M271" s="29">
        <f>IF(E271="","",IF(H271="Yes","❌ Disc",IF(G271="No","⚠ Missing",IF(J271="Yes","✓ OK","⚠ Check"))))</f>
        <v/>
      </c>
      <c r="N271" s="43" t="n">
        <v>46193</v>
      </c>
      <c r="O271" s="26" t="inlineStr">
        <is>
          <t>Sunil CR</t>
        </is>
      </c>
      <c r="P271" s="26" t="inlineStr">
        <is>
          <t>Yes</t>
        </is>
      </c>
      <c r="Q271" s="26" t="inlineStr">
        <is>
          <t>No</t>
        </is>
      </c>
      <c r="R271" s="26" t="inlineStr">
        <is>
          <t>Good finish</t>
        </is>
      </c>
      <c r="S271" s="26" t="inlineStr">
        <is>
          <t>Yes</t>
        </is>
      </c>
      <c r="T271" s="27" t="n"/>
      <c r="U271" s="28" t="inlineStr">
        <is>
          <t>No</t>
        </is>
      </c>
      <c r="V271" s="29">
        <f>IF(N271="","",IF(Q271="Yes","❌ Disc",IF(P271="No","⚠ Missing",IF(S271="Yes","✓ OK","⚠ Check"))))</f>
        <v/>
      </c>
      <c r="W271" s="65" t="n">
        <v>46248</v>
      </c>
      <c r="X271" s="30" t="inlineStr">
        <is>
          <t>Sunil CR</t>
        </is>
      </c>
      <c r="Y271" s="30" t="inlineStr">
        <is>
          <t>Yes</t>
        </is>
      </c>
      <c r="Z271" s="30" t="n"/>
      <c r="AA271" s="30" t="inlineStr">
        <is>
          <t>Good finish</t>
        </is>
      </c>
      <c r="AB271" s="30" t="inlineStr">
        <is>
          <t>Yes</t>
        </is>
      </c>
      <c r="AC271" s="27" t="n"/>
      <c r="AD271" s="31" t="inlineStr">
        <is>
          <t>No</t>
        </is>
      </c>
      <c r="AE271" s="32">
        <f>IF(W271="","",IF(Z271="Yes","❌ Disc",IF(Y271="No","⚠ Missing",IF(AB271="Yes","✓ OK","⚠ Check"))))</f>
        <v/>
      </c>
      <c r="AF271" s="33" t="n"/>
      <c r="AG271" s="33" t="n"/>
      <c r="AH271" s="33" t="n"/>
      <c r="AI271" s="33" t="n"/>
      <c r="AJ271" s="33" t="n"/>
      <c r="AK271" s="33" t="n"/>
      <c r="AL271" s="27" t="n"/>
      <c r="AM271" s="34" t="n"/>
      <c r="AN271" s="35">
        <f>IF(AF271="","",IF(AI271="Yes","❌ Disc",IF(AH271="No","⚠ Missing",IF(AK271="Yes","✓ OK","⚠ Check"))))</f>
        <v/>
      </c>
      <c r="AO271" s="36" t="n"/>
      <c r="AP271" s="36" t="n"/>
      <c r="AQ271" s="36" t="n"/>
      <c r="AR271" s="36" t="n"/>
      <c r="AS271" s="36" t="n"/>
      <c r="AT271" s="36" t="n"/>
      <c r="AU271" s="27" t="n"/>
      <c r="AV271" s="37" t="n"/>
      <c r="AW271" s="38">
        <f>IF(AO271="","",IF(AR271="Yes","❌ Disc",IF(AQ271="No","⚠ Missing",IF(AT271="Yes","✓ OK","⚠ Check"))))</f>
        <v/>
      </c>
    </row>
    <row r="272" ht="18" customHeight="1" s="46">
      <c r="A272" s="39" t="n">
        <v>276</v>
      </c>
      <c r="B272" s="40" t="inlineStr">
        <is>
          <t>BD-LAM-2024-0027</t>
        </is>
      </c>
      <c r="C272" s="41" t="inlineStr">
        <is>
          <t>Lam SL SM 1mm 8121 Chalk Grey(Gold)</t>
        </is>
      </c>
      <c r="D272" s="39" t="inlineStr">
        <is>
          <t>Stylam</t>
        </is>
      </c>
      <c r="E272" s="43" t="n">
        <v>46125</v>
      </c>
      <c r="F272" s="26" t="inlineStr">
        <is>
          <t>Sunil CR</t>
        </is>
      </c>
      <c r="G272" s="26" t="inlineStr">
        <is>
          <t>Yes</t>
        </is>
      </c>
      <c r="H272" s="26" t="inlineStr">
        <is>
          <t>No</t>
        </is>
      </c>
      <c r="I272" s="26" t="inlineStr">
        <is>
          <t>Good finish</t>
        </is>
      </c>
      <c r="J272" s="26" t="inlineStr">
        <is>
          <t>Yes</t>
        </is>
      </c>
      <c r="K272" s="27" t="n"/>
      <c r="L272" s="28" t="inlineStr">
        <is>
          <t>No</t>
        </is>
      </c>
      <c r="M272" s="29">
        <f>IF(E272="","",IF(H272="Yes","❌ Disc",IF(G272="No","⚠ Missing",IF(J272="Yes","✓ OK","⚠ Check"))))</f>
        <v/>
      </c>
      <c r="N272" s="43" t="n">
        <v>46193</v>
      </c>
      <c r="O272" s="26" t="inlineStr">
        <is>
          <t>Sunil CR</t>
        </is>
      </c>
      <c r="P272" s="26" t="inlineStr">
        <is>
          <t>Yes</t>
        </is>
      </c>
      <c r="Q272" s="26" t="inlineStr">
        <is>
          <t>No</t>
        </is>
      </c>
      <c r="R272" s="26" t="inlineStr">
        <is>
          <t>Good finish</t>
        </is>
      </c>
      <c r="S272" s="26" t="inlineStr">
        <is>
          <t>Yes</t>
        </is>
      </c>
      <c r="T272" s="27" t="n"/>
      <c r="U272" s="28" t="inlineStr">
        <is>
          <t>No</t>
        </is>
      </c>
      <c r="V272" s="29">
        <f>IF(N272="","",IF(Q272="Yes","❌ Disc",IF(P272="No","⚠ Missing",IF(S272="Yes","✓ OK","⚠ Check"))))</f>
        <v/>
      </c>
      <c r="W272" s="65" t="n">
        <v>46248</v>
      </c>
      <c r="X272" s="30" t="inlineStr">
        <is>
          <t>Sunil CR</t>
        </is>
      </c>
      <c r="Y272" s="30" t="inlineStr">
        <is>
          <t>Yes</t>
        </is>
      </c>
      <c r="Z272" s="30" t="n"/>
      <c r="AA272" s="30" t="inlineStr">
        <is>
          <t>Good finish</t>
        </is>
      </c>
      <c r="AB272" s="30" t="inlineStr">
        <is>
          <t>Yes</t>
        </is>
      </c>
      <c r="AC272" s="27" t="n"/>
      <c r="AD272" s="31" t="inlineStr">
        <is>
          <t>No</t>
        </is>
      </c>
      <c r="AE272" s="32">
        <f>IF(W272="","",IF(Z272="Yes","❌ Disc",IF(Y272="No","⚠ Missing",IF(AB272="Yes","✓ OK","⚠ Check"))))</f>
        <v/>
      </c>
      <c r="AF272" s="33" t="n"/>
      <c r="AG272" s="33" t="n"/>
      <c r="AH272" s="33" t="n"/>
      <c r="AI272" s="33" t="n"/>
      <c r="AJ272" s="33" t="n"/>
      <c r="AK272" s="33" t="n"/>
      <c r="AL272" s="27" t="n"/>
      <c r="AM272" s="34" t="n"/>
      <c r="AN272" s="35">
        <f>IF(AF272="","",IF(AI272="Yes","❌ Disc",IF(AH272="No","⚠ Missing",IF(AK272="Yes","✓ OK","⚠ Check"))))</f>
        <v/>
      </c>
      <c r="AO272" s="36" t="n"/>
      <c r="AP272" s="36" t="n"/>
      <c r="AQ272" s="36" t="n"/>
      <c r="AR272" s="36" t="n"/>
      <c r="AS272" s="36" t="n"/>
      <c r="AT272" s="36" t="n"/>
      <c r="AU272" s="27" t="n"/>
      <c r="AV272" s="37" t="n"/>
      <c r="AW272" s="38">
        <f>IF(AO272="","",IF(AR272="Yes","❌ Disc",IF(AQ272="No","⚠ Missing",IF(AT272="Yes","✓ OK","⚠ Check"))))</f>
        <v/>
      </c>
    </row>
    <row r="273" ht="18" customHeight="1" s="46">
      <c r="A273" s="23" t="n">
        <v>277</v>
      </c>
      <c r="B273" s="24" t="inlineStr">
        <is>
          <t>BD-LAM-2024-0030</t>
        </is>
      </c>
      <c r="C273" s="25" t="inlineStr">
        <is>
          <t>Lam SL SM 1mm 8151 Canartion(Gold)</t>
        </is>
      </c>
      <c r="D273" s="23" t="inlineStr">
        <is>
          <t>Stylam</t>
        </is>
      </c>
      <c r="E273" s="43" t="n">
        <v>46125</v>
      </c>
      <c r="F273" s="26" t="inlineStr">
        <is>
          <t>Sunil CR</t>
        </is>
      </c>
      <c r="G273" s="26" t="inlineStr">
        <is>
          <t>Yes</t>
        </is>
      </c>
      <c r="H273" s="26" t="inlineStr">
        <is>
          <t>No</t>
        </is>
      </c>
      <c r="I273" s="26" t="inlineStr">
        <is>
          <t>Good finish</t>
        </is>
      </c>
      <c r="J273" s="26" t="inlineStr">
        <is>
          <t>Yes</t>
        </is>
      </c>
      <c r="K273" s="27" t="n"/>
      <c r="L273" s="28" t="inlineStr">
        <is>
          <t>No</t>
        </is>
      </c>
      <c r="M273" s="29">
        <f>IF(E273="","",IF(H273="Yes","❌ Disc",IF(G273="No","⚠ Missing",IF(J273="Yes","✓ OK","⚠ Check"))))</f>
        <v/>
      </c>
      <c r="N273" s="43" t="n">
        <v>46193</v>
      </c>
      <c r="O273" s="26" t="inlineStr">
        <is>
          <t>Sunil CR</t>
        </is>
      </c>
      <c r="P273" s="26" t="inlineStr">
        <is>
          <t>Yes</t>
        </is>
      </c>
      <c r="Q273" s="26" t="inlineStr">
        <is>
          <t>No</t>
        </is>
      </c>
      <c r="R273" s="26" t="inlineStr">
        <is>
          <t>Good finish</t>
        </is>
      </c>
      <c r="S273" s="26" t="inlineStr">
        <is>
          <t>Yes</t>
        </is>
      </c>
      <c r="T273" s="27" t="n"/>
      <c r="U273" s="28" t="inlineStr">
        <is>
          <t>No</t>
        </is>
      </c>
      <c r="V273" s="29">
        <f>IF(N273="","",IF(Q273="Yes","❌ Disc",IF(P273="No","⚠ Missing",IF(S273="Yes","✓ OK","⚠ Check"))))</f>
        <v/>
      </c>
      <c r="W273" s="65" t="n">
        <v>46248</v>
      </c>
      <c r="X273" s="30" t="inlineStr">
        <is>
          <t>Sunil CR</t>
        </is>
      </c>
      <c r="Y273" s="30" t="inlineStr">
        <is>
          <t>Yes</t>
        </is>
      </c>
      <c r="Z273" s="30" t="n"/>
      <c r="AA273" s="30" t="inlineStr">
        <is>
          <t>Good finish</t>
        </is>
      </c>
      <c r="AB273" s="30" t="inlineStr">
        <is>
          <t>Yes</t>
        </is>
      </c>
      <c r="AC273" s="27" t="n"/>
      <c r="AD273" s="31" t="inlineStr">
        <is>
          <t>No</t>
        </is>
      </c>
      <c r="AE273" s="32">
        <f>IF(W273="","",IF(Z273="Yes","❌ Disc",IF(Y273="No","⚠ Missing",IF(AB273="Yes","✓ OK","⚠ Check"))))</f>
        <v/>
      </c>
      <c r="AF273" s="33" t="n"/>
      <c r="AG273" s="33" t="n"/>
      <c r="AH273" s="33" t="n"/>
      <c r="AI273" s="33" t="n"/>
      <c r="AJ273" s="33" t="n"/>
      <c r="AK273" s="33" t="n"/>
      <c r="AL273" s="27" t="n"/>
      <c r="AM273" s="34" t="n"/>
      <c r="AN273" s="35">
        <f>IF(AF273="","",IF(AI273="Yes","❌ Disc",IF(AH273="No","⚠ Missing",IF(AK273="Yes","✓ OK","⚠ Check"))))</f>
        <v/>
      </c>
      <c r="AO273" s="36" t="n"/>
      <c r="AP273" s="36" t="n"/>
      <c r="AQ273" s="36" t="n"/>
      <c r="AR273" s="36" t="n"/>
      <c r="AS273" s="36" t="n"/>
      <c r="AT273" s="36" t="n"/>
      <c r="AU273" s="27" t="n"/>
      <c r="AV273" s="37" t="n"/>
      <c r="AW273" s="38">
        <f>IF(AO273="","",IF(AR273="Yes","❌ Disc",IF(AQ273="No","⚠ Missing",IF(AT273="Yes","✓ OK","⚠ Check"))))</f>
        <v/>
      </c>
    </row>
    <row r="274" ht="18" customHeight="1" s="46">
      <c r="A274" s="39" t="n">
        <v>278</v>
      </c>
      <c r="B274" s="40" t="inlineStr">
        <is>
          <t>BD-LAM-2024-0033</t>
        </is>
      </c>
      <c r="C274" s="41" t="inlineStr">
        <is>
          <t>Lam SL SM 1mm 8442 Purple(Gold)</t>
        </is>
      </c>
      <c r="D274" s="39" t="inlineStr">
        <is>
          <t>Stylam</t>
        </is>
      </c>
      <c r="E274" s="43" t="n">
        <v>46125</v>
      </c>
      <c r="F274" s="26" t="inlineStr">
        <is>
          <t>Sunil CR</t>
        </is>
      </c>
      <c r="G274" s="26" t="inlineStr">
        <is>
          <t>Yes</t>
        </is>
      </c>
      <c r="H274" s="26" t="inlineStr">
        <is>
          <t>No</t>
        </is>
      </c>
      <c r="I274" s="26" t="inlineStr">
        <is>
          <t>Good finish</t>
        </is>
      </c>
      <c r="J274" s="26" t="inlineStr">
        <is>
          <t>Yes</t>
        </is>
      </c>
      <c r="K274" s="27" t="n"/>
      <c r="L274" s="28" t="inlineStr">
        <is>
          <t>No</t>
        </is>
      </c>
      <c r="M274" s="29">
        <f>IF(E274="","",IF(H274="Yes","❌ Disc",IF(G274="No","⚠ Missing",IF(J274="Yes","✓ OK","⚠ Check"))))</f>
        <v/>
      </c>
      <c r="N274" s="43" t="n">
        <v>46193</v>
      </c>
      <c r="O274" s="26" t="inlineStr">
        <is>
          <t>Sunil CR</t>
        </is>
      </c>
      <c r="P274" s="26" t="inlineStr">
        <is>
          <t>Yes</t>
        </is>
      </c>
      <c r="Q274" s="26" t="inlineStr">
        <is>
          <t>No</t>
        </is>
      </c>
      <c r="R274" s="26" t="inlineStr">
        <is>
          <t>Good finish</t>
        </is>
      </c>
      <c r="S274" s="26" t="inlineStr">
        <is>
          <t>Yes</t>
        </is>
      </c>
      <c r="T274" s="27" t="n"/>
      <c r="U274" s="28" t="inlineStr">
        <is>
          <t>No</t>
        </is>
      </c>
      <c r="V274" s="29">
        <f>IF(N274="","",IF(Q274="Yes","❌ Disc",IF(P274="No","⚠ Missing",IF(S274="Yes","✓ OK","⚠ Check"))))</f>
        <v/>
      </c>
      <c r="W274" s="65" t="n">
        <v>46248</v>
      </c>
      <c r="X274" s="30" t="inlineStr">
        <is>
          <t>Sunil CR</t>
        </is>
      </c>
      <c r="Y274" s="30" t="inlineStr">
        <is>
          <t>Yes</t>
        </is>
      </c>
      <c r="Z274" s="30" t="n"/>
      <c r="AA274" s="30" t="inlineStr">
        <is>
          <t>Good finish</t>
        </is>
      </c>
      <c r="AB274" s="30" t="inlineStr">
        <is>
          <t>Yes</t>
        </is>
      </c>
      <c r="AC274" s="27" t="n"/>
      <c r="AD274" s="31" t="inlineStr">
        <is>
          <t>No</t>
        </is>
      </c>
      <c r="AE274" s="32">
        <f>IF(W274="","",IF(Z274="Yes","❌ Disc",IF(Y274="No","⚠ Missing",IF(AB274="Yes","✓ OK","⚠ Check"))))</f>
        <v/>
      </c>
      <c r="AF274" s="33" t="n"/>
      <c r="AG274" s="33" t="n"/>
      <c r="AH274" s="33" t="n"/>
      <c r="AI274" s="33" t="n"/>
      <c r="AJ274" s="33" t="n"/>
      <c r="AK274" s="33" t="n"/>
      <c r="AL274" s="27" t="n"/>
      <c r="AM274" s="34" t="n"/>
      <c r="AN274" s="35">
        <f>IF(AF274="","",IF(AI274="Yes","❌ Disc",IF(AH274="No","⚠ Missing",IF(AK274="Yes","✓ OK","⚠ Check"))))</f>
        <v/>
      </c>
      <c r="AO274" s="36" t="n"/>
      <c r="AP274" s="36" t="n"/>
      <c r="AQ274" s="36" t="n"/>
      <c r="AR274" s="36" t="n"/>
      <c r="AS274" s="36" t="n"/>
      <c r="AT274" s="36" t="n"/>
      <c r="AU274" s="27" t="n"/>
      <c r="AV274" s="37" t="n"/>
      <c r="AW274" s="38">
        <f>IF(AO274="","",IF(AR274="Yes","❌ Disc",IF(AQ274="No","⚠ Missing",IF(AT274="Yes","✓ OK","⚠ Check"))))</f>
        <v/>
      </c>
    </row>
    <row r="275" ht="18" customHeight="1" s="46">
      <c r="A275" s="23" t="n">
        <v>279</v>
      </c>
      <c r="B275" s="24" t="inlineStr">
        <is>
          <t>BD-LAM-2024-0091</t>
        </is>
      </c>
      <c r="C275" s="25" t="inlineStr">
        <is>
          <t>LAM SL STS 1mm 1445 Natsu(Gold)</t>
        </is>
      </c>
      <c r="D275" s="23" t="inlineStr">
        <is>
          <t>Stylam</t>
        </is>
      </c>
      <c r="E275" s="43" t="n">
        <v>46125</v>
      </c>
      <c r="F275" s="26" t="inlineStr">
        <is>
          <t>Sunil CR</t>
        </is>
      </c>
      <c r="G275" s="26" t="inlineStr">
        <is>
          <t>Yes</t>
        </is>
      </c>
      <c r="H275" s="26" t="inlineStr">
        <is>
          <t>No</t>
        </is>
      </c>
      <c r="I275" s="26" t="inlineStr">
        <is>
          <t>Minor defect</t>
        </is>
      </c>
      <c r="J275" s="26" t="inlineStr">
        <is>
          <t>No</t>
        </is>
      </c>
      <c r="K275" s="27" t="inlineStr">
        <is>
          <t>Categorization sticker is missing</t>
        </is>
      </c>
      <c r="L275" s="28" t="inlineStr">
        <is>
          <t>Yes</t>
        </is>
      </c>
      <c r="M275" s="29">
        <f>IF(E275="","",IF(H275="Yes","❌ Disc",IF(G275="No","⚠ Missing",IF(J275="Yes","✓ OK","⚠ Check"))))</f>
        <v/>
      </c>
      <c r="N275" s="43" t="n">
        <v>46193</v>
      </c>
      <c r="O275" s="26" t="inlineStr">
        <is>
          <t>Sunil CR</t>
        </is>
      </c>
      <c r="P275" s="26" t="inlineStr">
        <is>
          <t>Yes</t>
        </is>
      </c>
      <c r="Q275" s="26" t="inlineStr">
        <is>
          <t>No</t>
        </is>
      </c>
      <c r="R275" s="26" t="inlineStr">
        <is>
          <t>Minor defect</t>
        </is>
      </c>
      <c r="S275" s="26" t="inlineStr">
        <is>
          <t>No</t>
        </is>
      </c>
      <c r="T275" s="27" t="inlineStr">
        <is>
          <t>Categorization sticker is missing</t>
        </is>
      </c>
      <c r="U275" s="28" t="inlineStr">
        <is>
          <t>Yes</t>
        </is>
      </c>
      <c r="V275" s="29">
        <f>IF(N275="","",IF(Q275="Yes","❌ Disc",IF(P275="No","⚠ Missing",IF(S275="Yes","✓ OK","⚠ Check"))))</f>
        <v/>
      </c>
      <c r="W275" s="65" t="n">
        <v>46248</v>
      </c>
      <c r="X275" s="30" t="inlineStr">
        <is>
          <t>Sunil CR</t>
        </is>
      </c>
      <c r="Y275" s="30" t="inlineStr">
        <is>
          <t>Yes</t>
        </is>
      </c>
      <c r="Z275" s="30" t="n"/>
      <c r="AA275" s="30" t="inlineStr">
        <is>
          <t>Minor defect</t>
        </is>
      </c>
      <c r="AB275" s="30" t="inlineStr">
        <is>
          <t>No</t>
        </is>
      </c>
      <c r="AC275" s="27" t="inlineStr">
        <is>
          <t>Categorization sticker is missing</t>
        </is>
      </c>
      <c r="AD275" s="31" t="inlineStr">
        <is>
          <t>Yes</t>
        </is>
      </c>
      <c r="AE275" s="32">
        <f>IF(W275="","",IF(Z275="Yes","❌ Disc",IF(Y275="No","⚠ Missing",IF(AB275="Yes","✓ OK","⚠ Check"))))</f>
        <v/>
      </c>
      <c r="AF275" s="33" t="n"/>
      <c r="AG275" s="33" t="n"/>
      <c r="AH275" s="33" t="n"/>
      <c r="AI275" s="33" t="n"/>
      <c r="AJ275" s="33" t="n"/>
      <c r="AK275" s="33" t="n"/>
      <c r="AL275" s="27" t="n"/>
      <c r="AM275" s="34" t="n"/>
      <c r="AN275" s="35">
        <f>IF(AF275="","",IF(AI275="Yes","❌ Disc",IF(AH275="No","⚠ Missing",IF(AK275="Yes","✓ OK","⚠ Check"))))</f>
        <v/>
      </c>
      <c r="AO275" s="36" t="n"/>
      <c r="AP275" s="36" t="n"/>
      <c r="AQ275" s="36" t="n"/>
      <c r="AR275" s="36" t="n"/>
      <c r="AS275" s="36" t="n"/>
      <c r="AT275" s="36" t="n"/>
      <c r="AU275" s="27" t="n"/>
      <c r="AV275" s="37" t="n"/>
      <c r="AW275" s="38">
        <f>IF(AO275="","",IF(AR275="Yes","❌ Disc",IF(AQ275="No","⚠ Missing",IF(AT275="Yes","✓ OK","⚠ Check"))))</f>
        <v/>
      </c>
    </row>
    <row r="276" ht="18" customHeight="1" s="46">
      <c r="A276" s="39" t="n">
        <v>280</v>
      </c>
      <c r="B276" s="40" t="inlineStr">
        <is>
          <t>BD-LAM-2024-0068</t>
        </is>
      </c>
      <c r="C276" s="41" t="inlineStr">
        <is>
          <t>Lam SL STS 1mm 1449 Paladine Marble(Gold)</t>
        </is>
      </c>
      <c r="D276" s="39" t="inlineStr">
        <is>
          <t>Stylam</t>
        </is>
      </c>
      <c r="E276" s="43" t="n">
        <v>46125</v>
      </c>
      <c r="F276" s="26" t="inlineStr">
        <is>
          <t>Sunil CR</t>
        </is>
      </c>
      <c r="G276" s="26" t="inlineStr">
        <is>
          <t>Yes</t>
        </is>
      </c>
      <c r="H276" s="26" t="inlineStr">
        <is>
          <t>No</t>
        </is>
      </c>
      <c r="I276" s="26" t="inlineStr">
        <is>
          <t>Good finish</t>
        </is>
      </c>
      <c r="J276" s="26" t="inlineStr">
        <is>
          <t>Yes</t>
        </is>
      </c>
      <c r="K276" s="27" t="n"/>
      <c r="L276" s="28" t="inlineStr">
        <is>
          <t>No</t>
        </is>
      </c>
      <c r="M276" s="29">
        <f>IF(E276="","",IF(H276="Yes","❌ Disc",IF(G276="No","⚠ Missing",IF(J276="Yes","✓ OK","⚠ Check"))))</f>
        <v/>
      </c>
      <c r="N276" s="43" t="n">
        <v>46193</v>
      </c>
      <c r="O276" s="26" t="inlineStr">
        <is>
          <t>Sunil CR</t>
        </is>
      </c>
      <c r="P276" s="26" t="inlineStr">
        <is>
          <t>Yes</t>
        </is>
      </c>
      <c r="Q276" s="26" t="inlineStr">
        <is>
          <t>No</t>
        </is>
      </c>
      <c r="R276" s="26" t="inlineStr">
        <is>
          <t>Good finish</t>
        </is>
      </c>
      <c r="S276" s="26" t="inlineStr">
        <is>
          <t>Yes</t>
        </is>
      </c>
      <c r="T276" s="27" t="n"/>
      <c r="U276" s="28" t="inlineStr">
        <is>
          <t>No</t>
        </is>
      </c>
      <c r="V276" s="29">
        <f>IF(N276="","",IF(Q276="Yes","❌ Disc",IF(P276="No","⚠ Missing",IF(S276="Yes","✓ OK","⚠ Check"))))</f>
        <v/>
      </c>
      <c r="W276" s="65" t="n">
        <v>46248</v>
      </c>
      <c r="X276" s="30" t="inlineStr">
        <is>
          <t>Sunil CR</t>
        </is>
      </c>
      <c r="Y276" s="30" t="inlineStr">
        <is>
          <t>Yes</t>
        </is>
      </c>
      <c r="Z276" s="30" t="n"/>
      <c r="AA276" s="30" t="inlineStr">
        <is>
          <t>Good finish</t>
        </is>
      </c>
      <c r="AB276" s="30" t="inlineStr">
        <is>
          <t>Yes</t>
        </is>
      </c>
      <c r="AC276" s="27" t="n"/>
      <c r="AD276" s="31" t="inlineStr">
        <is>
          <t>No</t>
        </is>
      </c>
      <c r="AE276" s="32">
        <f>IF(W276="","",IF(Z276="Yes","❌ Disc",IF(Y276="No","⚠ Missing",IF(AB276="Yes","✓ OK","⚠ Check"))))</f>
        <v/>
      </c>
      <c r="AF276" s="33" t="n"/>
      <c r="AG276" s="33" t="n"/>
      <c r="AH276" s="33" t="n"/>
      <c r="AI276" s="33" t="n"/>
      <c r="AJ276" s="33" t="n"/>
      <c r="AK276" s="33" t="n"/>
      <c r="AL276" s="27" t="n"/>
      <c r="AM276" s="34" t="n"/>
      <c r="AN276" s="35">
        <f>IF(AF276="","",IF(AI276="Yes","❌ Disc",IF(AH276="No","⚠ Missing",IF(AK276="Yes","✓ OK","⚠ Check"))))</f>
        <v/>
      </c>
      <c r="AO276" s="36" t="n"/>
      <c r="AP276" s="36" t="n"/>
      <c r="AQ276" s="36" t="n"/>
      <c r="AR276" s="36" t="n"/>
      <c r="AS276" s="36" t="n"/>
      <c r="AT276" s="36" t="n"/>
      <c r="AU276" s="27" t="n"/>
      <c r="AV276" s="37" t="n"/>
      <c r="AW276" s="38">
        <f>IF(AO276="","",IF(AR276="Yes","❌ Disc",IF(AQ276="No","⚠ Missing",IF(AT276="Yes","✓ OK","⚠ Check"))))</f>
        <v/>
      </c>
    </row>
    <row r="277" ht="18" customHeight="1" s="46">
      <c r="A277" s="23" t="n">
        <v>281</v>
      </c>
      <c r="B277" s="24" t="inlineStr">
        <is>
          <t>BD-LAM-2023-0235</t>
        </is>
      </c>
      <c r="C277" s="25" t="inlineStr">
        <is>
          <t>Lam SL STS 1mm 1451 Oxid Mont (Gold)</t>
        </is>
      </c>
      <c r="D277" s="23" t="inlineStr">
        <is>
          <t>Stylam</t>
        </is>
      </c>
      <c r="E277" s="43" t="n">
        <v>46125</v>
      </c>
      <c r="F277" s="26" t="inlineStr">
        <is>
          <t>Sunil CR</t>
        </is>
      </c>
      <c r="G277" s="26" t="inlineStr">
        <is>
          <t>Yes</t>
        </is>
      </c>
      <c r="H277" s="26" t="inlineStr">
        <is>
          <t>No</t>
        </is>
      </c>
      <c r="I277" s="26" t="inlineStr">
        <is>
          <t>Good finish</t>
        </is>
      </c>
      <c r="J277" s="26" t="inlineStr">
        <is>
          <t>Yes</t>
        </is>
      </c>
      <c r="K277" s="27" t="inlineStr">
        <is>
          <t>Available in small book</t>
        </is>
      </c>
      <c r="L277" s="28" t="inlineStr">
        <is>
          <t>Yes</t>
        </is>
      </c>
      <c r="M277" s="29">
        <f>IF(E277="","",IF(H277="Yes","❌ Disc",IF(G277="No","⚠ Missing",IF(J277="Yes","✓ OK","⚠ Check"))))</f>
        <v/>
      </c>
      <c r="N277" s="43" t="n">
        <v>46193</v>
      </c>
      <c r="O277" s="26" t="inlineStr">
        <is>
          <t>Sunil CR</t>
        </is>
      </c>
      <c r="P277" s="26" t="inlineStr">
        <is>
          <t>No</t>
        </is>
      </c>
      <c r="Q277" s="26" t="inlineStr">
        <is>
          <t>Yes</t>
        </is>
      </c>
      <c r="R277" s="26" t="inlineStr">
        <is>
          <t>Discontinued</t>
        </is>
      </c>
      <c r="S277" s="26" t="inlineStr">
        <is>
          <t>No</t>
        </is>
      </c>
      <c r="T277" s="27" t="n"/>
      <c r="U277" s="28" t="inlineStr">
        <is>
          <t>Yes</t>
        </is>
      </c>
      <c r="V277" s="29">
        <f>IF(N277="","",IF(Q277="Yes","❌ Disc",IF(P277="No","⚠ Missing",IF(S277="Yes","✓ OK","⚠ Check"))))</f>
        <v/>
      </c>
      <c r="W277" s="65" t="n">
        <v>46248</v>
      </c>
      <c r="X277" s="30" t="inlineStr">
        <is>
          <t>Sunil CR</t>
        </is>
      </c>
      <c r="Y277" s="30" t="inlineStr">
        <is>
          <t>No</t>
        </is>
      </c>
      <c r="Z277" s="30" t="inlineStr">
        <is>
          <t>Yes</t>
        </is>
      </c>
      <c r="AA277" s="30" t="inlineStr">
        <is>
          <t>Discontinued</t>
        </is>
      </c>
      <c r="AB277" s="30" t="inlineStr">
        <is>
          <t>No</t>
        </is>
      </c>
      <c r="AC277" s="27" t="n"/>
      <c r="AD277" s="31" t="inlineStr">
        <is>
          <t>No</t>
        </is>
      </c>
      <c r="AE277" s="32">
        <f>IF(W277="","",IF(Z277="Yes","❌ Disc",IF(Y277="No","⚠ Missing",IF(AB277="Yes","✓ OK","⚠ Check"))))</f>
        <v/>
      </c>
      <c r="AF277" s="33" t="n"/>
      <c r="AG277" s="33" t="n"/>
      <c r="AH277" s="33" t="n"/>
      <c r="AI277" s="33" t="n"/>
      <c r="AJ277" s="33" t="n"/>
      <c r="AK277" s="33" t="n"/>
      <c r="AL277" s="27" t="n"/>
      <c r="AM277" s="34" t="n"/>
      <c r="AN277" s="35">
        <f>IF(AF277="","",IF(AI277="Yes","❌ Disc",IF(AH277="No","⚠ Missing",IF(AK277="Yes","✓ OK","⚠ Check"))))</f>
        <v/>
      </c>
      <c r="AO277" s="36" t="n"/>
      <c r="AP277" s="36" t="n"/>
      <c r="AQ277" s="36" t="n"/>
      <c r="AR277" s="36" t="n"/>
      <c r="AS277" s="36" t="n"/>
      <c r="AT277" s="36" t="n"/>
      <c r="AU277" s="27" t="n"/>
      <c r="AV277" s="37" t="n"/>
      <c r="AW277" s="38">
        <f>IF(AO277="","",IF(AR277="Yes","❌ Disc",IF(AQ277="No","⚠ Missing",IF(AT277="Yes","✓ OK","⚠ Check"))))</f>
        <v/>
      </c>
    </row>
    <row r="278" ht="18" customHeight="1" s="46">
      <c r="A278" s="39" t="n">
        <v>282</v>
      </c>
      <c r="B278" s="40" t="inlineStr">
        <is>
          <t>BD-LAM-2023-0284</t>
        </is>
      </c>
      <c r="C278" s="41" t="inlineStr">
        <is>
          <t>Lam SL STS 1mm 1453 Tuscan Travertine(Gold)</t>
        </is>
      </c>
      <c r="D278" s="39" t="inlineStr">
        <is>
          <t>Stylam</t>
        </is>
      </c>
      <c r="E278" s="43" t="n">
        <v>46125</v>
      </c>
      <c r="F278" s="26" t="inlineStr">
        <is>
          <t>Sunil CR</t>
        </is>
      </c>
      <c r="G278" s="26" t="inlineStr">
        <is>
          <t>Yes</t>
        </is>
      </c>
      <c r="H278" s="26" t="inlineStr">
        <is>
          <t>No</t>
        </is>
      </c>
      <c r="I278" s="26" t="inlineStr">
        <is>
          <t>Minor defect</t>
        </is>
      </c>
      <c r="J278" s="26" t="inlineStr">
        <is>
          <t>No</t>
        </is>
      </c>
      <c r="K278" s="27" t="inlineStr">
        <is>
          <t>Categorization sticker is missing</t>
        </is>
      </c>
      <c r="L278" s="28" t="inlineStr">
        <is>
          <t>Yes</t>
        </is>
      </c>
      <c r="M278" s="29">
        <f>IF(E278="","",IF(H278="Yes","❌ Disc",IF(G278="No","⚠ Missing",IF(J278="Yes","✓ OK","⚠ Check"))))</f>
        <v/>
      </c>
      <c r="N278" s="43" t="n">
        <v>46193</v>
      </c>
      <c r="O278" s="26" t="inlineStr">
        <is>
          <t>Sunil CR</t>
        </is>
      </c>
      <c r="P278" s="26" t="inlineStr">
        <is>
          <t>No</t>
        </is>
      </c>
      <c r="Q278" s="26" t="inlineStr">
        <is>
          <t>Yes</t>
        </is>
      </c>
      <c r="R278" s="26" t="inlineStr">
        <is>
          <t>Discontinued</t>
        </is>
      </c>
      <c r="S278" s="26" t="inlineStr">
        <is>
          <t>No</t>
        </is>
      </c>
      <c r="T278" s="27" t="n"/>
      <c r="U278" s="28" t="inlineStr">
        <is>
          <t>Yes</t>
        </is>
      </c>
      <c r="V278" s="29">
        <f>IF(N278="","",IF(Q278="Yes","❌ Disc",IF(P278="No","⚠ Missing",IF(S278="Yes","✓ OK","⚠ Check"))))</f>
        <v/>
      </c>
      <c r="W278" s="65" t="n">
        <v>46248</v>
      </c>
      <c r="X278" s="30" t="inlineStr">
        <is>
          <t>Sunil CR</t>
        </is>
      </c>
      <c r="Y278" s="30" t="inlineStr">
        <is>
          <t>No</t>
        </is>
      </c>
      <c r="Z278" s="30" t="inlineStr">
        <is>
          <t>Yes</t>
        </is>
      </c>
      <c r="AA278" s="30" t="inlineStr">
        <is>
          <t>Discontinued</t>
        </is>
      </c>
      <c r="AB278" s="30" t="inlineStr">
        <is>
          <t>No</t>
        </is>
      </c>
      <c r="AC278" s="27" t="n"/>
      <c r="AD278" s="31" t="inlineStr">
        <is>
          <t>No</t>
        </is>
      </c>
      <c r="AE278" s="32">
        <f>IF(W278="","",IF(Z278="Yes","❌ Disc",IF(Y278="No","⚠ Missing",IF(AB278="Yes","✓ OK","⚠ Check"))))</f>
        <v/>
      </c>
      <c r="AF278" s="33" t="n"/>
      <c r="AG278" s="33" t="n"/>
      <c r="AH278" s="33" t="n"/>
      <c r="AI278" s="33" t="n"/>
      <c r="AJ278" s="33" t="n"/>
      <c r="AK278" s="33" t="n"/>
      <c r="AL278" s="27" t="n"/>
      <c r="AM278" s="34" t="n"/>
      <c r="AN278" s="35">
        <f>IF(AF278="","",IF(AI278="Yes","❌ Disc",IF(AH278="No","⚠ Missing",IF(AK278="Yes","✓ OK","⚠ Check"))))</f>
        <v/>
      </c>
      <c r="AO278" s="36" t="n"/>
      <c r="AP278" s="36" t="n"/>
      <c r="AQ278" s="36" t="n"/>
      <c r="AR278" s="36" t="n"/>
      <c r="AS278" s="36" t="n"/>
      <c r="AT278" s="36" t="n"/>
      <c r="AU278" s="27" t="n"/>
      <c r="AV278" s="37" t="n"/>
      <c r="AW278" s="38">
        <f>IF(AO278="","",IF(AR278="Yes","❌ Disc",IF(AQ278="No","⚠ Missing",IF(AT278="Yes","✓ OK","⚠ Check"))))</f>
        <v/>
      </c>
    </row>
    <row r="279" ht="18" customHeight="1" s="46">
      <c r="A279" s="23" t="n">
        <v>283</v>
      </c>
      <c r="B279" s="24" t="inlineStr">
        <is>
          <t>BD-LAM-2023-0228</t>
        </is>
      </c>
      <c r="C279" s="25" t="inlineStr">
        <is>
          <t>Lam SL STS 1mm 1467 Opera Fantastico Stone(Gold)</t>
        </is>
      </c>
      <c r="D279" s="23" t="inlineStr">
        <is>
          <t>Stylam</t>
        </is>
      </c>
      <c r="E279" s="43" t="n">
        <v>46125</v>
      </c>
      <c r="F279" s="26" t="inlineStr">
        <is>
          <t>Sunil CR</t>
        </is>
      </c>
      <c r="G279" s="26" t="inlineStr">
        <is>
          <t>Yes</t>
        </is>
      </c>
      <c r="H279" s="26" t="inlineStr">
        <is>
          <t>No</t>
        </is>
      </c>
      <c r="I279" s="26" t="inlineStr">
        <is>
          <t>Good finish</t>
        </is>
      </c>
      <c r="J279" s="26" t="inlineStr">
        <is>
          <t>Yes</t>
        </is>
      </c>
      <c r="K279" s="27" t="n"/>
      <c r="L279" s="28" t="inlineStr">
        <is>
          <t>No</t>
        </is>
      </c>
      <c r="M279" s="29">
        <f>IF(E279="","",IF(H279="Yes","❌ Disc",IF(G279="No","⚠ Missing",IF(J279="Yes","✓ OK","⚠ Check"))))</f>
        <v/>
      </c>
      <c r="N279" s="43" t="n">
        <v>46193</v>
      </c>
      <c r="O279" s="26" t="inlineStr">
        <is>
          <t>Sunil CR</t>
        </is>
      </c>
      <c r="P279" s="26" t="inlineStr">
        <is>
          <t>Yes</t>
        </is>
      </c>
      <c r="Q279" s="26" t="inlineStr">
        <is>
          <t>No</t>
        </is>
      </c>
      <c r="R279" s="26" t="inlineStr">
        <is>
          <t>Good finish</t>
        </is>
      </c>
      <c r="S279" s="26" t="inlineStr">
        <is>
          <t>Yes</t>
        </is>
      </c>
      <c r="T279" s="27" t="n"/>
      <c r="U279" s="28" t="inlineStr">
        <is>
          <t>No</t>
        </is>
      </c>
      <c r="V279" s="29">
        <f>IF(N279="","",IF(Q279="Yes","❌ Disc",IF(P279="No","⚠ Missing",IF(S279="Yes","✓ OK","⚠ Check"))))</f>
        <v/>
      </c>
      <c r="W279" s="65" t="n">
        <v>46248</v>
      </c>
      <c r="X279" s="30" t="inlineStr">
        <is>
          <t>Sunil CR</t>
        </is>
      </c>
      <c r="Y279" s="30" t="inlineStr">
        <is>
          <t>Yes</t>
        </is>
      </c>
      <c r="Z279" s="30" t="n"/>
      <c r="AA279" s="30" t="inlineStr">
        <is>
          <t>Good finish</t>
        </is>
      </c>
      <c r="AB279" s="30" t="inlineStr">
        <is>
          <t>Yes</t>
        </is>
      </c>
      <c r="AC279" s="27" t="n"/>
      <c r="AD279" s="31" t="inlineStr">
        <is>
          <t>No</t>
        </is>
      </c>
      <c r="AE279" s="32">
        <f>IF(W279="","",IF(Z279="Yes","❌ Disc",IF(Y279="No","⚠ Missing",IF(AB279="Yes","✓ OK","⚠ Check"))))</f>
        <v/>
      </c>
      <c r="AF279" s="33" t="n"/>
      <c r="AG279" s="33" t="n"/>
      <c r="AH279" s="33" t="n"/>
      <c r="AI279" s="33" t="n"/>
      <c r="AJ279" s="33" t="n"/>
      <c r="AK279" s="33" t="n"/>
      <c r="AL279" s="27" t="n"/>
      <c r="AM279" s="34" t="n"/>
      <c r="AN279" s="35">
        <f>IF(AF279="","",IF(AI279="Yes","❌ Disc",IF(AH279="No","⚠ Missing",IF(AK279="Yes","✓ OK","⚠ Check"))))</f>
        <v/>
      </c>
      <c r="AO279" s="36" t="n"/>
      <c r="AP279" s="36" t="n"/>
      <c r="AQ279" s="36" t="n"/>
      <c r="AR279" s="36" t="n"/>
      <c r="AS279" s="36" t="n"/>
      <c r="AT279" s="36" t="n"/>
      <c r="AU279" s="27" t="n"/>
      <c r="AV279" s="37" t="n"/>
      <c r="AW279" s="38">
        <f>IF(AO279="","",IF(AR279="Yes","❌ Disc",IF(AQ279="No","⚠ Missing",IF(AT279="Yes","✓ OK","⚠ Check"))))</f>
        <v/>
      </c>
    </row>
    <row r="280" ht="18" customHeight="1" s="46">
      <c r="A280" s="39" t="n">
        <v>284</v>
      </c>
      <c r="B280" s="40" t="inlineStr">
        <is>
          <t>BD-LAM-2024-0065</t>
        </is>
      </c>
      <c r="C280" s="41" t="inlineStr">
        <is>
          <t>Lam SL STS 1mm 1473 Giallo Brooklyn(Gold)</t>
        </is>
      </c>
      <c r="D280" s="39" t="inlineStr">
        <is>
          <t>Stylam</t>
        </is>
      </c>
      <c r="E280" s="43" t="n">
        <v>46125</v>
      </c>
      <c r="F280" s="26" t="inlineStr">
        <is>
          <t>Sunil CR</t>
        </is>
      </c>
      <c r="G280" s="26" t="inlineStr">
        <is>
          <t>Yes</t>
        </is>
      </c>
      <c r="H280" s="26" t="inlineStr">
        <is>
          <t>No</t>
        </is>
      </c>
      <c r="I280" s="26" t="inlineStr">
        <is>
          <t>Minor defect</t>
        </is>
      </c>
      <c r="J280" s="26" t="inlineStr">
        <is>
          <t>No</t>
        </is>
      </c>
      <c r="K280" s="27" t="inlineStr">
        <is>
          <t>Sticker is missing</t>
        </is>
      </c>
      <c r="L280" s="28" t="inlineStr">
        <is>
          <t>Yes</t>
        </is>
      </c>
      <c r="M280" s="29">
        <f>IF(E280="","",IF(H280="Yes","❌ Disc",IF(G280="No","⚠ Missing",IF(J280="Yes","✓ OK","⚠ Check"))))</f>
        <v/>
      </c>
      <c r="N280" s="43" t="n">
        <v>46193</v>
      </c>
      <c r="O280" s="26" t="inlineStr">
        <is>
          <t>Sunil CR</t>
        </is>
      </c>
      <c r="P280" s="26" t="inlineStr">
        <is>
          <t>Yes</t>
        </is>
      </c>
      <c r="Q280" s="26" t="inlineStr">
        <is>
          <t>No</t>
        </is>
      </c>
      <c r="R280" s="26" t="inlineStr">
        <is>
          <t>Minor defect</t>
        </is>
      </c>
      <c r="S280" s="26" t="inlineStr">
        <is>
          <t>No</t>
        </is>
      </c>
      <c r="T280" s="27" t="inlineStr">
        <is>
          <t>Sticker is missing</t>
        </is>
      </c>
      <c r="U280" s="28" t="inlineStr">
        <is>
          <t>Yes</t>
        </is>
      </c>
      <c r="V280" s="29">
        <f>IF(N280="","",IF(Q280="Yes","❌ Disc",IF(P280="No","⚠ Missing",IF(S280="Yes","✓ OK","⚠ Check"))))</f>
        <v/>
      </c>
      <c r="W280" s="65" t="n">
        <v>46248</v>
      </c>
      <c r="X280" s="30" t="inlineStr">
        <is>
          <t>Sunil CR</t>
        </is>
      </c>
      <c r="Y280" s="30" t="inlineStr">
        <is>
          <t>Yes</t>
        </is>
      </c>
      <c r="Z280" s="30" t="n"/>
      <c r="AA280" s="30" t="inlineStr">
        <is>
          <t>Minor defect</t>
        </is>
      </c>
      <c r="AB280" s="30" t="inlineStr">
        <is>
          <t>No</t>
        </is>
      </c>
      <c r="AC280" s="27" t="inlineStr">
        <is>
          <t>Sticker is missing</t>
        </is>
      </c>
      <c r="AD280" s="31" t="inlineStr">
        <is>
          <t>Yes</t>
        </is>
      </c>
      <c r="AE280" s="32">
        <f>IF(W280="","",IF(Z280="Yes","❌ Disc",IF(Y280="No","⚠ Missing",IF(AB280="Yes","✓ OK","⚠ Check"))))</f>
        <v/>
      </c>
      <c r="AF280" s="33" t="n"/>
      <c r="AG280" s="33" t="n"/>
      <c r="AH280" s="33" t="n"/>
      <c r="AI280" s="33" t="n"/>
      <c r="AJ280" s="33" t="n"/>
      <c r="AK280" s="33" t="n"/>
      <c r="AL280" s="27" t="n"/>
      <c r="AM280" s="34" t="n"/>
      <c r="AN280" s="35">
        <f>IF(AF280="","",IF(AI280="Yes","❌ Disc",IF(AH280="No","⚠ Missing",IF(AK280="Yes","✓ OK","⚠ Check"))))</f>
        <v/>
      </c>
      <c r="AO280" s="36" t="n"/>
      <c r="AP280" s="36" t="n"/>
      <c r="AQ280" s="36" t="n"/>
      <c r="AR280" s="36" t="n"/>
      <c r="AS280" s="36" t="n"/>
      <c r="AT280" s="36" t="n"/>
      <c r="AU280" s="27" t="n"/>
      <c r="AV280" s="37" t="n"/>
      <c r="AW280" s="38">
        <f>IF(AO280="","",IF(AR280="Yes","❌ Disc",IF(AQ280="No","⚠ Missing",IF(AT280="Yes","✓ OK","⚠ Check"))))</f>
        <v/>
      </c>
    </row>
    <row r="281" ht="18" customHeight="1" s="46">
      <c r="A281" s="23" t="n">
        <v>285</v>
      </c>
      <c r="B281" s="24" t="inlineStr">
        <is>
          <t>BD-LAM-2024-0064</t>
        </is>
      </c>
      <c r="C281" s="25" t="inlineStr">
        <is>
          <t>Lam SL STS 1mm 1483 Cream Lavant(Gold)</t>
        </is>
      </c>
      <c r="D281" s="23" t="inlineStr">
        <is>
          <t>Stylam</t>
        </is>
      </c>
      <c r="E281" s="43" t="n">
        <v>46125</v>
      </c>
      <c r="F281" s="26" t="inlineStr">
        <is>
          <t>Sunil CR</t>
        </is>
      </c>
      <c r="G281" s="26" t="inlineStr">
        <is>
          <t>Yes</t>
        </is>
      </c>
      <c r="H281" s="26" t="inlineStr">
        <is>
          <t>No</t>
        </is>
      </c>
      <c r="I281" s="26" t="inlineStr">
        <is>
          <t>Good finish</t>
        </is>
      </c>
      <c r="J281" s="26" t="inlineStr">
        <is>
          <t>Yes</t>
        </is>
      </c>
      <c r="K281" s="27" t="n"/>
      <c r="L281" s="28" t="inlineStr">
        <is>
          <t>No</t>
        </is>
      </c>
      <c r="M281" s="29">
        <f>IF(E281="","",IF(H281="Yes","❌ Disc",IF(G281="No","⚠ Missing",IF(J281="Yes","✓ OK","⚠ Check"))))</f>
        <v/>
      </c>
      <c r="N281" s="43" t="n">
        <v>46193</v>
      </c>
      <c r="O281" s="26" t="inlineStr">
        <is>
          <t>Sunil CR</t>
        </is>
      </c>
      <c r="P281" s="26" t="inlineStr">
        <is>
          <t>Yes</t>
        </is>
      </c>
      <c r="Q281" s="26" t="inlineStr">
        <is>
          <t>No</t>
        </is>
      </c>
      <c r="R281" s="26" t="inlineStr">
        <is>
          <t>Good finish</t>
        </is>
      </c>
      <c r="S281" s="26" t="inlineStr">
        <is>
          <t>Yes</t>
        </is>
      </c>
      <c r="T281" s="27" t="n"/>
      <c r="U281" s="28" t="inlineStr">
        <is>
          <t>No</t>
        </is>
      </c>
      <c r="V281" s="29">
        <f>IF(N281="","",IF(Q281="Yes","❌ Disc",IF(P281="No","⚠ Missing",IF(S281="Yes","✓ OK","⚠ Check"))))</f>
        <v/>
      </c>
      <c r="W281" s="65" t="n">
        <v>46248</v>
      </c>
      <c r="X281" s="30" t="inlineStr">
        <is>
          <t>Sunil CR</t>
        </is>
      </c>
      <c r="Y281" s="30" t="inlineStr">
        <is>
          <t>Yes</t>
        </is>
      </c>
      <c r="Z281" s="30" t="n"/>
      <c r="AA281" s="30" t="inlineStr">
        <is>
          <t>Good finish</t>
        </is>
      </c>
      <c r="AB281" s="30" t="inlineStr">
        <is>
          <t>Yes</t>
        </is>
      </c>
      <c r="AC281" s="27" t="n"/>
      <c r="AD281" s="31" t="inlineStr">
        <is>
          <t>No</t>
        </is>
      </c>
      <c r="AE281" s="32">
        <f>IF(W281="","",IF(Z281="Yes","❌ Disc",IF(Y281="No","⚠ Missing",IF(AB281="Yes","✓ OK","⚠ Check"))))</f>
        <v/>
      </c>
      <c r="AF281" s="33" t="n"/>
      <c r="AG281" s="33" t="n"/>
      <c r="AH281" s="33" t="n"/>
      <c r="AI281" s="33" t="n"/>
      <c r="AJ281" s="33" t="n"/>
      <c r="AK281" s="33" t="n"/>
      <c r="AL281" s="27" t="n"/>
      <c r="AM281" s="34" t="n"/>
      <c r="AN281" s="35">
        <f>IF(AF281="","",IF(AI281="Yes","❌ Disc",IF(AH281="No","⚠ Missing",IF(AK281="Yes","✓ OK","⚠ Check"))))</f>
        <v/>
      </c>
      <c r="AO281" s="36" t="n"/>
      <c r="AP281" s="36" t="n"/>
      <c r="AQ281" s="36" t="n"/>
      <c r="AR281" s="36" t="n"/>
      <c r="AS281" s="36" t="n"/>
      <c r="AT281" s="36" t="n"/>
      <c r="AU281" s="27" t="n"/>
      <c r="AV281" s="37" t="n"/>
      <c r="AW281" s="38">
        <f>IF(AO281="","",IF(AR281="Yes","❌ Disc",IF(AQ281="No","⚠ Missing",IF(AT281="Yes","✓ OK","⚠ Check"))))</f>
        <v/>
      </c>
    </row>
    <row r="282" ht="18" customHeight="1" s="46">
      <c r="A282" s="39" t="n">
        <v>286</v>
      </c>
      <c r="B282" s="40" t="inlineStr">
        <is>
          <t>BD-LAM-2023-0136</t>
        </is>
      </c>
      <c r="C282" s="41" t="inlineStr">
        <is>
          <t>Lam SL STS 1mm 1560 Cloud Concrete(Gold)</t>
        </is>
      </c>
      <c r="D282" s="39" t="inlineStr">
        <is>
          <t>Stylam</t>
        </is>
      </c>
      <c r="E282" s="43" t="n">
        <v>46125</v>
      </c>
      <c r="F282" s="26" t="inlineStr">
        <is>
          <t>Sunil CR</t>
        </is>
      </c>
      <c r="G282" s="26" t="inlineStr">
        <is>
          <t>Yes</t>
        </is>
      </c>
      <c r="H282" s="26" t="inlineStr">
        <is>
          <t>No</t>
        </is>
      </c>
      <c r="I282" s="26" t="inlineStr">
        <is>
          <t>Good finish</t>
        </is>
      </c>
      <c r="J282" s="26" t="inlineStr">
        <is>
          <t>Yes</t>
        </is>
      </c>
      <c r="K282" s="27" t="n"/>
      <c r="L282" s="28" t="inlineStr">
        <is>
          <t>No</t>
        </is>
      </c>
      <c r="M282" s="29">
        <f>IF(E282="","",IF(H282="Yes","❌ Disc",IF(G282="No","⚠ Missing",IF(J282="Yes","✓ OK","⚠ Check"))))</f>
        <v/>
      </c>
      <c r="N282" s="43" t="n">
        <v>46193</v>
      </c>
      <c r="O282" s="26" t="inlineStr">
        <is>
          <t>Sunil CR</t>
        </is>
      </c>
      <c r="P282" s="26" t="inlineStr">
        <is>
          <t>No</t>
        </is>
      </c>
      <c r="Q282" s="26" t="inlineStr">
        <is>
          <t>Yes</t>
        </is>
      </c>
      <c r="R282" s="26" t="inlineStr">
        <is>
          <t>Discontinued</t>
        </is>
      </c>
      <c r="S282" s="26" t="inlineStr">
        <is>
          <t>No</t>
        </is>
      </c>
      <c r="T282" s="27" t="n"/>
      <c r="U282" s="28" t="inlineStr">
        <is>
          <t>No</t>
        </is>
      </c>
      <c r="V282" s="29">
        <f>IF(N282="","",IF(Q282="Yes","❌ Disc",IF(P282="No","⚠ Missing",IF(S282="Yes","✓ OK","⚠ Check"))))</f>
        <v/>
      </c>
      <c r="W282" s="65" t="n">
        <v>46248</v>
      </c>
      <c r="X282" s="30" t="inlineStr">
        <is>
          <t>Sunil CR</t>
        </is>
      </c>
      <c r="Y282" s="30" t="inlineStr">
        <is>
          <t>No</t>
        </is>
      </c>
      <c r="Z282" s="30" t="inlineStr">
        <is>
          <t>Yes</t>
        </is>
      </c>
      <c r="AA282" s="30" t="inlineStr">
        <is>
          <t>Discontinued</t>
        </is>
      </c>
      <c r="AB282" s="30" t="inlineStr">
        <is>
          <t>No</t>
        </is>
      </c>
      <c r="AC282" s="27" t="n"/>
      <c r="AD282" s="31" t="inlineStr">
        <is>
          <t>No</t>
        </is>
      </c>
      <c r="AE282" s="32">
        <f>IF(W282="","",IF(Z282="Yes","❌ Disc",IF(Y282="No","⚠ Missing",IF(AB282="Yes","✓ OK","⚠ Check"))))</f>
        <v/>
      </c>
      <c r="AF282" s="33" t="n"/>
      <c r="AG282" s="33" t="n"/>
      <c r="AH282" s="33" t="n"/>
      <c r="AI282" s="33" t="n"/>
      <c r="AJ282" s="33" t="n"/>
      <c r="AK282" s="33" t="n"/>
      <c r="AL282" s="27" t="n"/>
      <c r="AM282" s="34" t="n"/>
      <c r="AN282" s="35">
        <f>IF(AF282="","",IF(AI282="Yes","❌ Disc",IF(AH282="No","⚠ Missing",IF(AK282="Yes","✓ OK","⚠ Check"))))</f>
        <v/>
      </c>
      <c r="AO282" s="36" t="n"/>
      <c r="AP282" s="36" t="n"/>
      <c r="AQ282" s="36" t="n"/>
      <c r="AR282" s="36" t="n"/>
      <c r="AS282" s="36" t="n"/>
      <c r="AT282" s="36" t="n"/>
      <c r="AU282" s="27" t="n"/>
      <c r="AV282" s="37" t="n"/>
      <c r="AW282" s="38">
        <f>IF(AO282="","",IF(AR282="Yes","❌ Disc",IF(AQ282="No","⚠ Missing",IF(AT282="Yes","✓ OK","⚠ Check"))))</f>
        <v/>
      </c>
    </row>
    <row r="283" ht="18" customHeight="1" s="46">
      <c r="A283" s="23" t="n">
        <v>287</v>
      </c>
      <c r="B283" s="24" t="inlineStr">
        <is>
          <t>BD-LAM-2023-0179</t>
        </is>
      </c>
      <c r="C283" s="25" t="inlineStr">
        <is>
          <t>Lam SL STS 1mm 1587 Harley Marble(Gold)</t>
        </is>
      </c>
      <c r="D283" s="23" t="inlineStr">
        <is>
          <t>Stylam</t>
        </is>
      </c>
      <c r="E283" s="43" t="n">
        <v>46125</v>
      </c>
      <c r="F283" s="26" t="inlineStr">
        <is>
          <t>Sunil CR</t>
        </is>
      </c>
      <c r="G283" s="26" t="inlineStr">
        <is>
          <t>Yes</t>
        </is>
      </c>
      <c r="H283" s="26" t="inlineStr">
        <is>
          <t>No</t>
        </is>
      </c>
      <c r="I283" s="26" t="inlineStr">
        <is>
          <t>Good finish</t>
        </is>
      </c>
      <c r="J283" s="26" t="inlineStr">
        <is>
          <t>Yes</t>
        </is>
      </c>
      <c r="K283" s="27" t="inlineStr">
        <is>
          <t>Available in small book</t>
        </is>
      </c>
      <c r="L283" s="28" t="inlineStr">
        <is>
          <t>No</t>
        </is>
      </c>
      <c r="M283" s="29">
        <f>IF(E283="","",IF(H283="Yes","❌ Disc",IF(G283="No","⚠ Missing",IF(J283="Yes","✓ OK","⚠ Check"))))</f>
        <v/>
      </c>
      <c r="N283" s="43" t="n">
        <v>46193</v>
      </c>
      <c r="O283" s="26" t="inlineStr">
        <is>
          <t>Sunil CR</t>
        </is>
      </c>
      <c r="P283" s="26" t="inlineStr">
        <is>
          <t>Yes</t>
        </is>
      </c>
      <c r="Q283" s="26" t="inlineStr">
        <is>
          <t>No</t>
        </is>
      </c>
      <c r="R283" s="26" t="inlineStr">
        <is>
          <t>Good finish</t>
        </is>
      </c>
      <c r="S283" s="26" t="inlineStr">
        <is>
          <t>Yes</t>
        </is>
      </c>
      <c r="T283" s="27" t="inlineStr">
        <is>
          <t>Available in small book</t>
        </is>
      </c>
      <c r="U283" s="28" t="inlineStr">
        <is>
          <t>No</t>
        </is>
      </c>
      <c r="V283" s="29">
        <f>IF(N283="","",IF(Q283="Yes","❌ Disc",IF(P283="No","⚠ Missing",IF(S283="Yes","✓ OK","⚠ Check"))))</f>
        <v/>
      </c>
      <c r="W283" s="65" t="n">
        <v>46248</v>
      </c>
      <c r="X283" s="30" t="inlineStr">
        <is>
          <t>Sunil CR</t>
        </is>
      </c>
      <c r="Y283" s="30" t="inlineStr">
        <is>
          <t>Yes</t>
        </is>
      </c>
      <c r="Z283" s="30" t="n"/>
      <c r="AA283" s="30" t="inlineStr">
        <is>
          <t>Good finish</t>
        </is>
      </c>
      <c r="AB283" s="30" t="inlineStr">
        <is>
          <t>Yes</t>
        </is>
      </c>
      <c r="AC283" s="27" t="inlineStr">
        <is>
          <t>Available in small book</t>
        </is>
      </c>
      <c r="AD283" s="31" t="inlineStr">
        <is>
          <t>No</t>
        </is>
      </c>
      <c r="AE283" s="32">
        <f>IF(W283="","",IF(Z283="Yes","❌ Disc",IF(Y283="No","⚠ Missing",IF(AB283="Yes","✓ OK","⚠ Check"))))</f>
        <v/>
      </c>
      <c r="AF283" s="33" t="n"/>
      <c r="AG283" s="33" t="n"/>
      <c r="AH283" s="33" t="n"/>
      <c r="AI283" s="33" t="n"/>
      <c r="AJ283" s="33" t="n"/>
      <c r="AK283" s="33" t="n"/>
      <c r="AL283" s="27" t="n"/>
      <c r="AM283" s="34" t="n"/>
      <c r="AN283" s="35">
        <f>IF(AF283="","",IF(AI283="Yes","❌ Disc",IF(AH283="No","⚠ Missing",IF(AK283="Yes","✓ OK","⚠ Check"))))</f>
        <v/>
      </c>
      <c r="AO283" s="36" t="n"/>
      <c r="AP283" s="36" t="n"/>
      <c r="AQ283" s="36" t="n"/>
      <c r="AR283" s="36" t="n"/>
      <c r="AS283" s="36" t="n"/>
      <c r="AT283" s="36" t="n"/>
      <c r="AU283" s="27" t="n"/>
      <c r="AV283" s="37" t="n"/>
      <c r="AW283" s="38">
        <f>IF(AO283="","",IF(AR283="Yes","❌ Disc",IF(AQ283="No","⚠ Missing",IF(AT283="Yes","✓ OK","⚠ Check"))))</f>
        <v/>
      </c>
    </row>
    <row r="284" ht="18" customHeight="1" s="46">
      <c r="A284" s="39" t="n">
        <v>288</v>
      </c>
      <c r="B284" s="40" t="inlineStr">
        <is>
          <t>BD-LAM-2023-0192</t>
        </is>
      </c>
      <c r="C284" s="41" t="inlineStr">
        <is>
          <t>Lam SL TT 1mm 5166 Khadi Grey(Gold)</t>
        </is>
      </c>
      <c r="D284" s="39" t="inlineStr">
        <is>
          <t>Stylam</t>
        </is>
      </c>
      <c r="E284" s="43" t="n">
        <v>46125</v>
      </c>
      <c r="F284" s="26" t="inlineStr">
        <is>
          <t>Sunil CR</t>
        </is>
      </c>
      <c r="G284" s="26" t="inlineStr">
        <is>
          <t>Yes</t>
        </is>
      </c>
      <c r="H284" s="26" t="inlineStr">
        <is>
          <t>No</t>
        </is>
      </c>
      <c r="I284" s="26" t="inlineStr">
        <is>
          <t>Good finish</t>
        </is>
      </c>
      <c r="J284" s="26" t="inlineStr">
        <is>
          <t>Yes</t>
        </is>
      </c>
      <c r="K284" s="27" t="inlineStr">
        <is>
          <t>Available in small book</t>
        </is>
      </c>
      <c r="L284" s="28" t="inlineStr">
        <is>
          <t>Yes</t>
        </is>
      </c>
      <c r="M284" s="29">
        <f>IF(E284="","",IF(H284="Yes","❌ Disc",IF(G284="No","⚠ Missing",IF(J284="Yes","✓ OK","⚠ Check"))))</f>
        <v/>
      </c>
      <c r="N284" s="43" t="n">
        <v>46193</v>
      </c>
      <c r="O284" s="26" t="inlineStr">
        <is>
          <t>Sunil CR</t>
        </is>
      </c>
      <c r="P284" s="26" t="inlineStr">
        <is>
          <t>No</t>
        </is>
      </c>
      <c r="Q284" s="26" t="inlineStr">
        <is>
          <t>Yes</t>
        </is>
      </c>
      <c r="R284" s="26" t="inlineStr">
        <is>
          <t>Discontinued</t>
        </is>
      </c>
      <c r="S284" s="26" t="inlineStr">
        <is>
          <t>No</t>
        </is>
      </c>
      <c r="T284" s="27" t="n"/>
      <c r="U284" s="28" t="inlineStr">
        <is>
          <t>Yes</t>
        </is>
      </c>
      <c r="V284" s="29">
        <f>IF(N284="","",IF(Q284="Yes","❌ Disc",IF(P284="No","⚠ Missing",IF(S284="Yes","✓ OK","⚠ Check"))))</f>
        <v/>
      </c>
      <c r="W284" s="65" t="n">
        <v>46248</v>
      </c>
      <c r="X284" s="30" t="inlineStr">
        <is>
          <t>Sunil CR</t>
        </is>
      </c>
      <c r="Y284" s="30" t="inlineStr">
        <is>
          <t>No</t>
        </is>
      </c>
      <c r="Z284" s="30" t="inlineStr">
        <is>
          <t>Yes</t>
        </is>
      </c>
      <c r="AA284" s="30" t="inlineStr">
        <is>
          <t>Discontinued</t>
        </is>
      </c>
      <c r="AB284" s="30" t="inlineStr">
        <is>
          <t>No</t>
        </is>
      </c>
      <c r="AC284" s="27" t="n"/>
      <c r="AD284" s="31" t="inlineStr">
        <is>
          <t>No</t>
        </is>
      </c>
      <c r="AE284" s="32">
        <f>IF(W284="","",IF(Z284="Yes","❌ Disc",IF(Y284="No","⚠ Missing",IF(AB284="Yes","✓ OK","⚠ Check"))))</f>
        <v/>
      </c>
      <c r="AF284" s="33" t="n"/>
      <c r="AG284" s="33" t="n"/>
      <c r="AH284" s="33" t="n"/>
      <c r="AI284" s="33" t="n"/>
      <c r="AJ284" s="33" t="n"/>
      <c r="AK284" s="33" t="n"/>
      <c r="AL284" s="27" t="n"/>
      <c r="AM284" s="34" t="n"/>
      <c r="AN284" s="35">
        <f>IF(AF284="","",IF(AI284="Yes","❌ Disc",IF(AH284="No","⚠ Missing",IF(AK284="Yes","✓ OK","⚠ Check"))))</f>
        <v/>
      </c>
      <c r="AO284" s="36" t="n"/>
      <c r="AP284" s="36" t="n"/>
      <c r="AQ284" s="36" t="n"/>
      <c r="AR284" s="36" t="n"/>
      <c r="AS284" s="36" t="n"/>
      <c r="AT284" s="36" t="n"/>
      <c r="AU284" s="27" t="n"/>
      <c r="AV284" s="37" t="n"/>
      <c r="AW284" s="38">
        <f>IF(AO284="","",IF(AR284="Yes","❌ Disc",IF(AQ284="No","⚠ Missing",IF(AT284="Yes","✓ OK","⚠ Check"))))</f>
        <v/>
      </c>
    </row>
    <row r="285" ht="18" customHeight="1" s="46">
      <c r="A285" s="23" t="n">
        <v>289</v>
      </c>
      <c r="B285" s="24" t="inlineStr">
        <is>
          <t>BD-LAM-2023-0191</t>
        </is>
      </c>
      <c r="C285" s="25" t="inlineStr">
        <is>
          <t>Lam SL TT 1mm 5167 Khadi Brown(Gold)</t>
        </is>
      </c>
      <c r="D285" s="23" t="inlineStr">
        <is>
          <t>Stylam</t>
        </is>
      </c>
      <c r="E285" s="43" t="n">
        <v>46125</v>
      </c>
      <c r="F285" s="26" t="inlineStr">
        <is>
          <t>Sunil CR</t>
        </is>
      </c>
      <c r="G285" s="26" t="inlineStr">
        <is>
          <t>Yes</t>
        </is>
      </c>
      <c r="H285" s="26" t="inlineStr">
        <is>
          <t>No</t>
        </is>
      </c>
      <c r="I285" s="26" t="inlineStr">
        <is>
          <t>Good finish</t>
        </is>
      </c>
      <c r="J285" s="26" t="inlineStr">
        <is>
          <t>Yes</t>
        </is>
      </c>
      <c r="K285" s="27" t="inlineStr">
        <is>
          <t>Available in small book</t>
        </is>
      </c>
      <c r="L285" s="28" t="inlineStr">
        <is>
          <t>Yes</t>
        </is>
      </c>
      <c r="M285" s="29">
        <f>IF(E285="","",IF(H285="Yes","❌ Disc",IF(G285="No","⚠ Missing",IF(J285="Yes","✓ OK","⚠ Check"))))</f>
        <v/>
      </c>
      <c r="N285" s="43" t="n">
        <v>46193</v>
      </c>
      <c r="O285" s="26" t="inlineStr">
        <is>
          <t>Sunil CR</t>
        </is>
      </c>
      <c r="P285" s="26" t="inlineStr">
        <is>
          <t>No</t>
        </is>
      </c>
      <c r="Q285" s="26" t="inlineStr">
        <is>
          <t>Yes</t>
        </is>
      </c>
      <c r="R285" s="26" t="inlineStr">
        <is>
          <t>Discontinued</t>
        </is>
      </c>
      <c r="S285" s="26" t="inlineStr">
        <is>
          <t>No</t>
        </is>
      </c>
      <c r="T285" s="27" t="n"/>
      <c r="U285" s="28" t="inlineStr">
        <is>
          <t>Yes</t>
        </is>
      </c>
      <c r="V285" s="29">
        <f>IF(N285="","",IF(Q285="Yes","❌ Disc",IF(P285="No","⚠ Missing",IF(S285="Yes","✓ OK","⚠ Check"))))</f>
        <v/>
      </c>
      <c r="W285" s="65" t="n">
        <v>46248</v>
      </c>
      <c r="X285" s="30" t="inlineStr">
        <is>
          <t>Sunil CR</t>
        </is>
      </c>
      <c r="Y285" s="30" t="inlineStr">
        <is>
          <t>No</t>
        </is>
      </c>
      <c r="Z285" s="30" t="inlineStr">
        <is>
          <t>Yes</t>
        </is>
      </c>
      <c r="AA285" s="30" t="inlineStr">
        <is>
          <t>Discontinued</t>
        </is>
      </c>
      <c r="AB285" s="30" t="inlineStr">
        <is>
          <t>No</t>
        </is>
      </c>
      <c r="AC285" s="27" t="n"/>
      <c r="AD285" s="31" t="inlineStr">
        <is>
          <t>No</t>
        </is>
      </c>
      <c r="AE285" s="32">
        <f>IF(W285="","",IF(Z285="Yes","❌ Disc",IF(Y285="No","⚠ Missing",IF(AB285="Yes","✓ OK","⚠ Check"))))</f>
        <v/>
      </c>
      <c r="AF285" s="33" t="n"/>
      <c r="AG285" s="33" t="n"/>
      <c r="AH285" s="33" t="n"/>
      <c r="AI285" s="33" t="n"/>
      <c r="AJ285" s="33" t="n"/>
      <c r="AK285" s="33" t="n"/>
      <c r="AL285" s="27" t="n"/>
      <c r="AM285" s="34" t="n"/>
      <c r="AN285" s="35">
        <f>IF(AF285="","",IF(AI285="Yes","❌ Disc",IF(AH285="No","⚠ Missing",IF(AK285="Yes","✓ OK","⚠ Check"))))</f>
        <v/>
      </c>
      <c r="AO285" s="36" t="n"/>
      <c r="AP285" s="36" t="n"/>
      <c r="AQ285" s="36" t="n"/>
      <c r="AR285" s="36" t="n"/>
      <c r="AS285" s="36" t="n"/>
      <c r="AT285" s="36" t="n"/>
      <c r="AU285" s="27" t="n"/>
      <c r="AV285" s="37" t="n"/>
      <c r="AW285" s="38">
        <f>IF(AO285="","",IF(AR285="Yes","❌ Disc",IF(AQ285="No","⚠ Missing",IF(AT285="Yes","✓ OK","⚠ Check"))))</f>
        <v/>
      </c>
    </row>
    <row r="286" ht="18" customHeight="1" s="46">
      <c r="A286" s="39" t="n">
        <v>290</v>
      </c>
      <c r="B286" s="40" t="inlineStr">
        <is>
          <t>BD-LAM-2024-0040</t>
        </is>
      </c>
      <c r="C286" s="41" t="inlineStr">
        <is>
          <t>Lam SL VS 1mm 1020 Off White(Gold)</t>
        </is>
      </c>
      <c r="D286" s="39" t="inlineStr">
        <is>
          <t>Stylam</t>
        </is>
      </c>
      <c r="E286" s="43" t="n">
        <v>46125</v>
      </c>
      <c r="F286" s="26" t="inlineStr">
        <is>
          <t>Sunil CR</t>
        </is>
      </c>
      <c r="G286" s="26" t="inlineStr">
        <is>
          <t>Yes</t>
        </is>
      </c>
      <c r="H286" s="26" t="inlineStr">
        <is>
          <t>No</t>
        </is>
      </c>
      <c r="I286" s="26" t="inlineStr">
        <is>
          <t>Good finish</t>
        </is>
      </c>
      <c r="J286" s="26" t="inlineStr">
        <is>
          <t>Yes</t>
        </is>
      </c>
      <c r="K286" s="27" t="n"/>
      <c r="L286" s="28" t="inlineStr">
        <is>
          <t>No</t>
        </is>
      </c>
      <c r="M286" s="29">
        <f>IF(E286="","",IF(H286="Yes","❌ Disc",IF(G286="No","⚠ Missing",IF(J286="Yes","✓ OK","⚠ Check"))))</f>
        <v/>
      </c>
      <c r="N286" s="43" t="n">
        <v>46193</v>
      </c>
      <c r="O286" s="26" t="inlineStr">
        <is>
          <t>Sunil CR</t>
        </is>
      </c>
      <c r="P286" s="26" t="inlineStr">
        <is>
          <t>Yes</t>
        </is>
      </c>
      <c r="Q286" s="26" t="inlineStr">
        <is>
          <t>No</t>
        </is>
      </c>
      <c r="R286" s="26" t="inlineStr">
        <is>
          <t>Good finish</t>
        </is>
      </c>
      <c r="S286" s="26" t="inlineStr">
        <is>
          <t>Yes</t>
        </is>
      </c>
      <c r="T286" s="27" t="n"/>
      <c r="U286" s="28" t="inlineStr">
        <is>
          <t>No</t>
        </is>
      </c>
      <c r="V286" s="29">
        <f>IF(N286="","",IF(Q286="Yes","❌ Disc",IF(P286="No","⚠ Missing",IF(S286="Yes","✓ OK","⚠ Check"))))</f>
        <v/>
      </c>
      <c r="W286" s="65" t="n">
        <v>46248</v>
      </c>
      <c r="X286" s="30" t="inlineStr">
        <is>
          <t>Sunil CR</t>
        </is>
      </c>
      <c r="Y286" s="30" t="inlineStr">
        <is>
          <t>Yes</t>
        </is>
      </c>
      <c r="Z286" s="30" t="n"/>
      <c r="AA286" s="30" t="inlineStr">
        <is>
          <t>Good finish</t>
        </is>
      </c>
      <c r="AB286" s="30" t="inlineStr">
        <is>
          <t>Yes</t>
        </is>
      </c>
      <c r="AC286" s="27" t="n"/>
      <c r="AD286" s="31" t="inlineStr">
        <is>
          <t>No</t>
        </is>
      </c>
      <c r="AE286" s="32">
        <f>IF(W286="","",IF(Z286="Yes","❌ Disc",IF(Y286="No","⚠ Missing",IF(AB286="Yes","✓ OK","⚠ Check"))))</f>
        <v/>
      </c>
      <c r="AF286" s="33" t="n"/>
      <c r="AG286" s="33" t="n"/>
      <c r="AH286" s="33" t="n"/>
      <c r="AI286" s="33" t="n"/>
      <c r="AJ286" s="33" t="n"/>
      <c r="AK286" s="33" t="n"/>
      <c r="AL286" s="27" t="n"/>
      <c r="AM286" s="34" t="n"/>
      <c r="AN286" s="35">
        <f>IF(AF286="","",IF(AI286="Yes","❌ Disc",IF(AH286="No","⚠ Missing",IF(AK286="Yes","✓ OK","⚠ Check"))))</f>
        <v/>
      </c>
      <c r="AO286" s="36" t="n"/>
      <c r="AP286" s="36" t="n"/>
      <c r="AQ286" s="36" t="n"/>
      <c r="AR286" s="36" t="n"/>
      <c r="AS286" s="36" t="n"/>
      <c r="AT286" s="36" t="n"/>
      <c r="AU286" s="27" t="n"/>
      <c r="AV286" s="37" t="n"/>
      <c r="AW286" s="38">
        <f>IF(AO286="","",IF(AR286="Yes","❌ Disc",IF(AQ286="No","⚠ Missing",IF(AT286="Yes","✓ OK","⚠ Check"))))</f>
        <v/>
      </c>
    </row>
    <row r="287" ht="18" customHeight="1" s="46">
      <c r="A287" s="23" t="n">
        <v>291</v>
      </c>
      <c r="B287" s="24" t="inlineStr">
        <is>
          <t>BD-LAM-2024-0041</t>
        </is>
      </c>
      <c r="C287" s="25" t="inlineStr">
        <is>
          <t>Lam SL VS 1mm 1713 Anthracite Grey(Gold)</t>
        </is>
      </c>
      <c r="D287" s="23" t="inlineStr">
        <is>
          <t>Stylam</t>
        </is>
      </c>
      <c r="E287" s="43" t="n">
        <v>46125</v>
      </c>
      <c r="F287" s="26" t="inlineStr">
        <is>
          <t>Sunil CR</t>
        </is>
      </c>
      <c r="G287" s="26" t="inlineStr">
        <is>
          <t>Yes</t>
        </is>
      </c>
      <c r="H287" s="26" t="inlineStr">
        <is>
          <t>No</t>
        </is>
      </c>
      <c r="I287" s="26" t="inlineStr">
        <is>
          <t>Minor defect</t>
        </is>
      </c>
      <c r="J287" s="26" t="inlineStr">
        <is>
          <t>No</t>
        </is>
      </c>
      <c r="K287" s="27" t="inlineStr">
        <is>
          <t>Name Sticker to be Changed</t>
        </is>
      </c>
      <c r="L287" s="28" t="inlineStr">
        <is>
          <t>Yes</t>
        </is>
      </c>
      <c r="M287" s="29">
        <f>IF(E287="","",IF(H287="Yes","❌ Disc",IF(G287="No","⚠ Missing",IF(J287="Yes","✓ OK","⚠ Check"))))</f>
        <v/>
      </c>
      <c r="N287" s="43" t="n">
        <v>46193</v>
      </c>
      <c r="O287" s="26" t="inlineStr">
        <is>
          <t>Sunil CR</t>
        </is>
      </c>
      <c r="P287" s="26" t="inlineStr">
        <is>
          <t>Yes</t>
        </is>
      </c>
      <c r="Q287" s="26" t="inlineStr">
        <is>
          <t>No</t>
        </is>
      </c>
      <c r="R287" s="26" t="inlineStr">
        <is>
          <t>Minor defect</t>
        </is>
      </c>
      <c r="S287" s="26" t="inlineStr">
        <is>
          <t>No</t>
        </is>
      </c>
      <c r="T287" s="27" t="inlineStr">
        <is>
          <t>Name Sticker to be Changed</t>
        </is>
      </c>
      <c r="U287" s="28" t="inlineStr">
        <is>
          <t>Yes</t>
        </is>
      </c>
      <c r="V287" s="29">
        <f>IF(N287="","",IF(Q287="Yes","❌ Disc",IF(P287="No","⚠ Missing",IF(S287="Yes","✓ OK","⚠ Check"))))</f>
        <v/>
      </c>
      <c r="W287" s="65" t="n">
        <v>46248</v>
      </c>
      <c r="X287" s="30" t="inlineStr">
        <is>
          <t>Sunil CR</t>
        </is>
      </c>
      <c r="Y287" s="30" t="inlineStr">
        <is>
          <t>Yes</t>
        </is>
      </c>
      <c r="Z287" s="30" t="n"/>
      <c r="AA287" s="30" t="inlineStr">
        <is>
          <t>Minor defect</t>
        </is>
      </c>
      <c r="AB287" s="30" t="inlineStr">
        <is>
          <t>No</t>
        </is>
      </c>
      <c r="AC287" s="27" t="inlineStr">
        <is>
          <t>Name Sticker to be Changed</t>
        </is>
      </c>
      <c r="AD287" s="31" t="inlineStr">
        <is>
          <t>Yes</t>
        </is>
      </c>
      <c r="AE287" s="32">
        <f>IF(W287="","",IF(Z287="Yes","❌ Disc",IF(Y287="No","⚠ Missing",IF(AB287="Yes","✓ OK","⚠ Check"))))</f>
        <v/>
      </c>
      <c r="AF287" s="33" t="n"/>
      <c r="AG287" s="33" t="n"/>
      <c r="AH287" s="33" t="n"/>
      <c r="AI287" s="33" t="n"/>
      <c r="AJ287" s="33" t="n"/>
      <c r="AK287" s="33" t="n"/>
      <c r="AL287" s="27" t="n"/>
      <c r="AM287" s="34" t="n"/>
      <c r="AN287" s="35">
        <f>IF(AF287="","",IF(AI287="Yes","❌ Disc",IF(AH287="No","⚠ Missing",IF(AK287="Yes","✓ OK","⚠ Check"))))</f>
        <v/>
      </c>
      <c r="AO287" s="36" t="n"/>
      <c r="AP287" s="36" t="n"/>
      <c r="AQ287" s="36" t="n"/>
      <c r="AR287" s="36" t="n"/>
      <c r="AS287" s="36" t="n"/>
      <c r="AT287" s="36" t="n"/>
      <c r="AU287" s="27" t="n"/>
      <c r="AV287" s="37" t="n"/>
      <c r="AW287" s="38">
        <f>IF(AO287="","",IF(AR287="Yes","❌ Disc",IF(AQ287="No","⚠ Missing",IF(AT287="Yes","✓ OK","⚠ Check"))))</f>
        <v/>
      </c>
    </row>
    <row r="288" ht="18" customHeight="1" s="46">
      <c r="A288" s="39" t="n">
        <v>292</v>
      </c>
      <c r="B288" s="40" t="inlineStr">
        <is>
          <t>BD-LAM-2023-0081</t>
        </is>
      </c>
      <c r="C288" s="41" t="inlineStr">
        <is>
          <t>Lam SL WV 1mm 120 Alumina Grey(Gold)</t>
        </is>
      </c>
      <c r="D288" s="39" t="inlineStr">
        <is>
          <t>Stylam</t>
        </is>
      </c>
      <c r="E288" s="43" t="n">
        <v>46125</v>
      </c>
      <c r="F288" s="26" t="inlineStr">
        <is>
          <t>Sunil CR</t>
        </is>
      </c>
      <c r="G288" s="26" t="inlineStr">
        <is>
          <t>Yes</t>
        </is>
      </c>
      <c r="H288" s="26" t="inlineStr">
        <is>
          <t>No</t>
        </is>
      </c>
      <c r="I288" s="26" t="inlineStr">
        <is>
          <t>Good finish</t>
        </is>
      </c>
      <c r="J288" s="26" t="inlineStr">
        <is>
          <t>Yes</t>
        </is>
      </c>
      <c r="K288" s="27" t="inlineStr">
        <is>
          <t>Available in small book</t>
        </is>
      </c>
      <c r="L288" s="28" t="inlineStr">
        <is>
          <t>Yes</t>
        </is>
      </c>
      <c r="M288" s="29">
        <f>IF(E288="","",IF(H288="Yes","❌ Disc",IF(G288="No","⚠ Missing",IF(J288="Yes","✓ OK","⚠ Check"))))</f>
        <v/>
      </c>
      <c r="N288" s="43" t="n">
        <v>46193</v>
      </c>
      <c r="O288" s="26" t="inlineStr">
        <is>
          <t>Sunil CR</t>
        </is>
      </c>
      <c r="P288" s="26" t="inlineStr">
        <is>
          <t>No</t>
        </is>
      </c>
      <c r="Q288" s="26" t="inlineStr">
        <is>
          <t>Yes</t>
        </is>
      </c>
      <c r="R288" s="26" t="inlineStr">
        <is>
          <t>Discontinued</t>
        </is>
      </c>
      <c r="S288" s="26" t="inlineStr">
        <is>
          <t>No</t>
        </is>
      </c>
      <c r="T288" s="27" t="n"/>
      <c r="U288" s="28" t="inlineStr">
        <is>
          <t>Yes</t>
        </is>
      </c>
      <c r="V288" s="29">
        <f>IF(N288="","",IF(Q288="Yes","❌ Disc",IF(P288="No","⚠ Missing",IF(S288="Yes","✓ OK","⚠ Check"))))</f>
        <v/>
      </c>
      <c r="W288" s="65" t="n">
        <v>46248</v>
      </c>
      <c r="X288" s="30" t="inlineStr">
        <is>
          <t>Sunil CR</t>
        </is>
      </c>
      <c r="Y288" s="30" t="inlineStr">
        <is>
          <t>No</t>
        </is>
      </c>
      <c r="Z288" s="30" t="inlineStr">
        <is>
          <t>Yes</t>
        </is>
      </c>
      <c r="AA288" s="30" t="inlineStr">
        <is>
          <t>Discontinued</t>
        </is>
      </c>
      <c r="AB288" s="30" t="inlineStr">
        <is>
          <t>No</t>
        </is>
      </c>
      <c r="AC288" s="27" t="n"/>
      <c r="AD288" s="31" t="inlineStr">
        <is>
          <t>No</t>
        </is>
      </c>
      <c r="AE288" s="32">
        <f>IF(W288="","",IF(Z288="Yes","❌ Disc",IF(Y288="No","⚠ Missing",IF(AB288="Yes","✓ OK","⚠ Check"))))</f>
        <v/>
      </c>
      <c r="AF288" s="33" t="n"/>
      <c r="AG288" s="33" t="n"/>
      <c r="AH288" s="33" t="n"/>
      <c r="AI288" s="33" t="n"/>
      <c r="AJ288" s="33" t="n"/>
      <c r="AK288" s="33" t="n"/>
      <c r="AL288" s="27" t="n"/>
      <c r="AM288" s="34" t="n"/>
      <c r="AN288" s="35">
        <f>IF(AF288="","",IF(AI288="Yes","❌ Disc",IF(AH288="No","⚠ Missing",IF(AK288="Yes","✓ OK","⚠ Check"))))</f>
        <v/>
      </c>
      <c r="AO288" s="36" t="n"/>
      <c r="AP288" s="36" t="n"/>
      <c r="AQ288" s="36" t="n"/>
      <c r="AR288" s="36" t="n"/>
      <c r="AS288" s="36" t="n"/>
      <c r="AT288" s="36" t="n"/>
      <c r="AU288" s="27" t="n"/>
      <c r="AV288" s="37" t="n"/>
      <c r="AW288" s="38">
        <f>IF(AO288="","",IF(AR288="Yes","❌ Disc",IF(AQ288="No","⚠ Missing",IF(AT288="Yes","✓ OK","⚠ Check"))))</f>
        <v/>
      </c>
    </row>
  </sheetData>
  <autoFilter ref="A4:AW288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88">
    <cfRule type="expression" priority="46" dxfId="27">
      <formula>MOD(ROW(),2)=0</formula>
    </cfRule>
  </conditionalFormatting>
  <conditionalFormatting sqref="G5:G288 J5:J288 P5:P288 S5:S288 Y5:Y288 AB5:AB288 AH5:AH288 AK5:AK288 AQ5:AQ288 AT5:AT288">
    <cfRule type="expression" priority="5" dxfId="3">
      <formula>G5="Yes"</formula>
    </cfRule>
    <cfRule type="expression" priority="6" dxfId="1">
      <formula>G5="No"</formula>
    </cfRule>
  </conditionalFormatting>
  <conditionalFormatting sqref="H5:H288 Q5:Q288 Z5:Z288 AI5:AI288 AR5:AR288">
    <cfRule type="expression" priority="7" dxfId="1">
      <formula>H5="Yes"</formula>
    </cfRule>
  </conditionalFormatting>
  <conditionalFormatting sqref="M5:M288 V5:V288 AE5:AE288 AN5:AN288 AW5:AW288">
    <cfRule type="expression" priority="1" dxfId="3">
      <formula>M5="✓ OK"</formula>
    </cfRule>
    <cfRule type="expression" priority="2" dxfId="1">
      <formula>M5="❌ Disc"</formula>
    </cfRule>
    <cfRule type="expression" priority="3" dxfId="1">
      <formula>M5="⚠ Missing"</formula>
    </cfRule>
    <cfRule type="expression" priority="4" dxfId="0">
      <formula>M5="⚠ Check"</formula>
    </cfRule>
  </conditionalFormatting>
  <dataValidations count="2">
    <dataValidation sqref="G5:H288 J5:J288 P5:Q288 S5:S288 Y5:Z288 AB5:AB288 AH5:AI288 AK5:AK288 AQ5:AR288 AT5:AT288" showDropDown="0" showInputMessage="0" showErrorMessage="0" allowBlank="1" type="list">
      <formula1>"Yes,No"</formula1>
    </dataValidation>
    <dataValidation sqref="I5:I288 R5:R288 AA5:AA288 AJ5:AJ288 AS5:AS288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0"/>
    <outlinePr summaryBelow="1" summaryRight="1"/>
    <pageSetUpPr/>
  </sheetPr>
  <dimension ref="A1:AW67"/>
  <sheetViews>
    <sheetView workbookViewId="0">
      <pane xSplit="4" ySplit="4" topLeftCell="N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ACRYLIC N CRYSTAL ACRYLIC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BD-ACR-2025-0020</t>
        </is>
      </c>
      <c r="C5" s="25" t="inlineStr">
        <is>
          <t>Rehau - Acrylic - Biscotti Gloss - 5008P</t>
        </is>
      </c>
      <c r="D5" s="23" t="inlineStr">
        <is>
          <t>Rehau</t>
        </is>
      </c>
      <c r="E5" s="43" t="n">
        <v>46125</v>
      </c>
      <c r="F5" s="26" t="inlineStr">
        <is>
          <t>Sunil CR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Good finish</t>
        </is>
      </c>
      <c r="J5" s="26" t="inlineStr">
        <is>
          <t>Yes</t>
        </is>
      </c>
      <c r="K5" s="27" t="n"/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46193</v>
      </c>
      <c r="O5" s="26" t="inlineStr">
        <is>
          <t>Sunil CR</t>
        </is>
      </c>
      <c r="P5" s="26" t="inlineStr">
        <is>
          <t>Yes</t>
        </is>
      </c>
      <c r="Q5" s="26" t="inlineStr">
        <is>
          <t>No</t>
        </is>
      </c>
      <c r="R5" s="26" t="inlineStr">
        <is>
          <t>Good finish</t>
        </is>
      </c>
      <c r="S5" s="26" t="inlineStr">
        <is>
          <t>Yes</t>
        </is>
      </c>
      <c r="T5" s="27" t="n"/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Yes</t>
        </is>
      </c>
      <c r="Z5" s="30" t="n"/>
      <c r="AA5" s="30" t="inlineStr">
        <is>
          <t>Good finish</t>
        </is>
      </c>
      <c r="AB5" s="30" t="inlineStr">
        <is>
          <t>Yes</t>
        </is>
      </c>
      <c r="AC5" s="27" t="n"/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BD-ACR-2025-0010</t>
        </is>
      </c>
      <c r="C6" s="41" t="inlineStr">
        <is>
          <t>Rehau - Acrylic - Blue Spirulina Gloss - 5015P</t>
        </is>
      </c>
      <c r="D6" s="39" t="inlineStr">
        <is>
          <t>Rehau</t>
        </is>
      </c>
      <c r="E6" s="43" t="n">
        <v>46125</v>
      </c>
      <c r="F6" s="26" t="inlineStr">
        <is>
          <t>Sunil CR</t>
        </is>
      </c>
      <c r="G6" s="26" t="inlineStr">
        <is>
          <t>Yes</t>
        </is>
      </c>
      <c r="H6" s="26" t="inlineStr">
        <is>
          <t>No</t>
        </is>
      </c>
      <c r="I6" s="26" t="inlineStr">
        <is>
          <t>Good finish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46193</v>
      </c>
      <c r="O6" s="26" t="inlineStr">
        <is>
          <t>Sunil CR</t>
        </is>
      </c>
      <c r="P6" s="26" t="inlineStr">
        <is>
          <t>Yes</t>
        </is>
      </c>
      <c r="Q6" s="26" t="inlineStr">
        <is>
          <t>No</t>
        </is>
      </c>
      <c r="R6" s="26" t="inlineStr">
        <is>
          <t>Good finish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Yes</t>
        </is>
      </c>
      <c r="Z6" s="30" t="n"/>
      <c r="AA6" s="30" t="inlineStr">
        <is>
          <t>Good finish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BD-ACR-2025-0011</t>
        </is>
      </c>
      <c r="C7" s="25" t="inlineStr">
        <is>
          <t>Rehau - Acrylic - Blue Spirulina Matt - 2015N</t>
        </is>
      </c>
      <c r="D7" s="23" t="inlineStr">
        <is>
          <t>Rehau</t>
        </is>
      </c>
      <c r="E7" s="43" t="n">
        <v>46125</v>
      </c>
      <c r="F7" s="26" t="inlineStr">
        <is>
          <t>Sunil CR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Good finish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46193</v>
      </c>
      <c r="O7" s="26" t="inlineStr">
        <is>
          <t>Sunil CR</t>
        </is>
      </c>
      <c r="P7" s="26" t="inlineStr">
        <is>
          <t>Yes</t>
        </is>
      </c>
      <c r="Q7" s="26" t="inlineStr">
        <is>
          <t>No</t>
        </is>
      </c>
      <c r="R7" s="26" t="inlineStr">
        <is>
          <t>Good finish</t>
        </is>
      </c>
      <c r="S7" s="26" t="inlineStr">
        <is>
          <t>Yes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Yes</t>
        </is>
      </c>
      <c r="Z7" s="30" t="n"/>
      <c r="AA7" s="30" t="inlineStr">
        <is>
          <t>Good finish</t>
        </is>
      </c>
      <c r="AB7" s="30" t="inlineStr">
        <is>
          <t>Yes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BD-ACR-2025-0016</t>
        </is>
      </c>
      <c r="C8" s="41" t="inlineStr">
        <is>
          <t>Rehau - Acrylic - Creme Gloss - 5002P</t>
        </is>
      </c>
      <c r="D8" s="39" t="inlineStr">
        <is>
          <t>Rehau</t>
        </is>
      </c>
      <c r="E8" s="43" t="n">
        <v>46125</v>
      </c>
      <c r="F8" s="26" t="inlineStr">
        <is>
          <t>Sunil CR</t>
        </is>
      </c>
      <c r="G8" s="26" t="inlineStr">
        <is>
          <t>Yes</t>
        </is>
      </c>
      <c r="H8" s="26" t="inlineStr">
        <is>
          <t>No</t>
        </is>
      </c>
      <c r="I8" s="26" t="inlineStr">
        <is>
          <t>Good finish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46193</v>
      </c>
      <c r="O8" s="26" t="inlineStr">
        <is>
          <t>Sunil CR</t>
        </is>
      </c>
      <c r="P8" s="26" t="inlineStr">
        <is>
          <t>Yes</t>
        </is>
      </c>
      <c r="Q8" s="26" t="inlineStr">
        <is>
          <t>No</t>
        </is>
      </c>
      <c r="R8" s="26" t="inlineStr">
        <is>
          <t>Good finish</t>
        </is>
      </c>
      <c r="S8" s="26" t="inlineStr">
        <is>
          <t>Yes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Yes</t>
        </is>
      </c>
      <c r="Z8" s="30" t="n"/>
      <c r="AA8" s="30" t="inlineStr">
        <is>
          <t>Good finish</t>
        </is>
      </c>
      <c r="AB8" s="30" t="inlineStr">
        <is>
          <t>Yes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BD-ACR-2025-0017</t>
        </is>
      </c>
      <c r="C9" s="25" t="inlineStr">
        <is>
          <t>Rehau - Acrylic - Creme Matt - 2002N</t>
        </is>
      </c>
      <c r="D9" s="23" t="inlineStr">
        <is>
          <t>Rehau</t>
        </is>
      </c>
      <c r="E9" s="43" t="n">
        <v>46125</v>
      </c>
      <c r="F9" s="26" t="inlineStr">
        <is>
          <t>Sunil CR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Good finish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46193</v>
      </c>
      <c r="O9" s="26" t="inlineStr">
        <is>
          <t>Sunil CR</t>
        </is>
      </c>
      <c r="P9" s="26" t="inlineStr">
        <is>
          <t>Yes</t>
        </is>
      </c>
      <c r="Q9" s="26" t="inlineStr">
        <is>
          <t>No</t>
        </is>
      </c>
      <c r="R9" s="26" t="inlineStr">
        <is>
          <t>Good finish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Yes</t>
        </is>
      </c>
      <c r="Z9" s="30" t="n"/>
      <c r="AA9" s="30" t="inlineStr">
        <is>
          <t>Good finish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BD-ACR-2025-0027</t>
        </is>
      </c>
      <c r="C10" s="41" t="inlineStr">
        <is>
          <t>Rehau - Acrylic - Earl Grey Gloss - 5006P</t>
        </is>
      </c>
      <c r="D10" s="39" t="inlineStr">
        <is>
          <t>Rehau</t>
        </is>
      </c>
      <c r="E10" s="43" t="n">
        <v>46125</v>
      </c>
      <c r="F10" s="26" t="inlineStr">
        <is>
          <t>Sunil CR</t>
        </is>
      </c>
      <c r="G10" s="26" t="inlineStr">
        <is>
          <t>Yes</t>
        </is>
      </c>
      <c r="H10" s="26" t="inlineStr">
        <is>
          <t>No</t>
        </is>
      </c>
      <c r="I10" s="26" t="inlineStr">
        <is>
          <t>Good finish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46193</v>
      </c>
      <c r="O10" s="26" t="inlineStr">
        <is>
          <t>Sunil CR</t>
        </is>
      </c>
      <c r="P10" s="26" t="inlineStr">
        <is>
          <t>Yes</t>
        </is>
      </c>
      <c r="Q10" s="26" t="inlineStr">
        <is>
          <t>No</t>
        </is>
      </c>
      <c r="R10" s="26" t="inlineStr">
        <is>
          <t>Good finish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Yes</t>
        </is>
      </c>
      <c r="Z10" s="30" t="n"/>
      <c r="AA10" s="30" t="inlineStr">
        <is>
          <t>Good finish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BD-ACR-2025-0028</t>
        </is>
      </c>
      <c r="C11" s="25" t="inlineStr">
        <is>
          <t>Rehau - Acrylic - Earl Grey Matt - 2006N</t>
        </is>
      </c>
      <c r="D11" s="23" t="inlineStr">
        <is>
          <t>Rehau</t>
        </is>
      </c>
      <c r="E11" s="43" t="n">
        <v>46125</v>
      </c>
      <c r="F11" s="26" t="inlineStr">
        <is>
          <t>Sunil CR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Good finish</t>
        </is>
      </c>
      <c r="J11" s="26" t="inlineStr">
        <is>
          <t>Yes</t>
        </is>
      </c>
      <c r="K11" s="27" t="n"/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46193</v>
      </c>
      <c r="O11" s="26" t="inlineStr">
        <is>
          <t>Sunil CR</t>
        </is>
      </c>
      <c r="P11" s="26" t="inlineStr">
        <is>
          <t>Yes</t>
        </is>
      </c>
      <c r="Q11" s="26" t="inlineStr">
        <is>
          <t>No</t>
        </is>
      </c>
      <c r="R11" s="26" t="inlineStr">
        <is>
          <t>Good finish</t>
        </is>
      </c>
      <c r="S11" s="26" t="inlineStr">
        <is>
          <t>Yes</t>
        </is>
      </c>
      <c r="T11" s="27" t="n"/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Yes</t>
        </is>
      </c>
      <c r="Z11" s="30" t="n"/>
      <c r="AA11" s="30" t="inlineStr">
        <is>
          <t>Good finish</t>
        </is>
      </c>
      <c r="AB11" s="30" t="inlineStr">
        <is>
          <t>Yes</t>
        </is>
      </c>
      <c r="AC11" s="27" t="n"/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BD-ACR-2025-0003</t>
        </is>
      </c>
      <c r="C12" s="41" t="inlineStr">
        <is>
          <t>Rehau - Acrylic - French Vanilla Matt - 2004N</t>
        </is>
      </c>
      <c r="D12" s="39" t="inlineStr">
        <is>
          <t>Rehau</t>
        </is>
      </c>
      <c r="E12" s="43" t="n">
        <v>46125</v>
      </c>
      <c r="F12" s="26" t="inlineStr">
        <is>
          <t>Sunil CR</t>
        </is>
      </c>
      <c r="G12" s="26" t="inlineStr">
        <is>
          <t>Yes</t>
        </is>
      </c>
      <c r="H12" s="26" t="inlineStr">
        <is>
          <t>No</t>
        </is>
      </c>
      <c r="I12" s="26" t="inlineStr">
        <is>
          <t>Good finish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46193</v>
      </c>
      <c r="O12" s="26" t="inlineStr">
        <is>
          <t>Sunil CR</t>
        </is>
      </c>
      <c r="P12" s="26" t="inlineStr">
        <is>
          <t>Yes</t>
        </is>
      </c>
      <c r="Q12" s="26" t="inlineStr">
        <is>
          <t>No</t>
        </is>
      </c>
      <c r="R12" s="26" t="inlineStr">
        <is>
          <t>Good finish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Yes</t>
        </is>
      </c>
      <c r="Z12" s="30" t="n"/>
      <c r="AA12" s="30" t="inlineStr">
        <is>
          <t>Good finish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BD-ACR-2025-0012</t>
        </is>
      </c>
      <c r="C13" s="25" t="inlineStr">
        <is>
          <t>Rehau - Acrylic - Gold Dust Gloss - 7003P</t>
        </is>
      </c>
      <c r="D13" s="23" t="inlineStr">
        <is>
          <t>Rehau</t>
        </is>
      </c>
      <c r="E13" s="43" t="n">
        <v>46125</v>
      </c>
      <c r="F13" s="26" t="inlineStr">
        <is>
          <t>Sunil CR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Good finish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46193</v>
      </c>
      <c r="O13" s="26" t="inlineStr">
        <is>
          <t>Sunil CR</t>
        </is>
      </c>
      <c r="P13" s="26" t="inlineStr">
        <is>
          <t>Yes</t>
        </is>
      </c>
      <c r="Q13" s="26" t="inlineStr">
        <is>
          <t>No</t>
        </is>
      </c>
      <c r="R13" s="26" t="inlineStr">
        <is>
          <t>Good finish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Yes</t>
        </is>
      </c>
      <c r="Z13" s="30" t="n"/>
      <c r="AA13" s="30" t="inlineStr">
        <is>
          <t>Good finish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BD-ACR-2025-0008</t>
        </is>
      </c>
      <c r="C14" s="41" t="inlineStr">
        <is>
          <t>Rehau - Acrylic - Grey Flesh Gloss - 5005P</t>
        </is>
      </c>
      <c r="D14" s="39" t="inlineStr">
        <is>
          <t>Rehau</t>
        </is>
      </c>
      <c r="E14" s="43" t="n">
        <v>46125</v>
      </c>
      <c r="F14" s="26" t="inlineStr">
        <is>
          <t>Sunil CR</t>
        </is>
      </c>
      <c r="G14" s="26" t="inlineStr">
        <is>
          <t>Yes</t>
        </is>
      </c>
      <c r="H14" s="26" t="inlineStr">
        <is>
          <t>No</t>
        </is>
      </c>
      <c r="I14" s="26" t="inlineStr">
        <is>
          <t>Good finish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46193</v>
      </c>
      <c r="O14" s="26" t="inlineStr">
        <is>
          <t>Sunil CR</t>
        </is>
      </c>
      <c r="P14" s="26" t="inlineStr">
        <is>
          <t>Yes</t>
        </is>
      </c>
      <c r="Q14" s="26" t="inlineStr">
        <is>
          <t>No</t>
        </is>
      </c>
      <c r="R14" s="26" t="inlineStr">
        <is>
          <t>Good finish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Yes</t>
        </is>
      </c>
      <c r="Z14" s="30" t="n"/>
      <c r="AA14" s="30" t="inlineStr">
        <is>
          <t>Good finish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BD-ACR-2025-0009</t>
        </is>
      </c>
      <c r="C15" s="25" t="inlineStr">
        <is>
          <t>Rehau - Acrylic - Grey Flesh Matt - 2005N</t>
        </is>
      </c>
      <c r="D15" s="23" t="inlineStr">
        <is>
          <t>Rehau</t>
        </is>
      </c>
      <c r="E15" s="43" t="n">
        <v>46125</v>
      </c>
      <c r="F15" s="26" t="inlineStr">
        <is>
          <t>Sunil CR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Good finish</t>
        </is>
      </c>
      <c r="J15" s="26" t="inlineStr">
        <is>
          <t>Yes</t>
        </is>
      </c>
      <c r="K15" s="27" t="n"/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46193</v>
      </c>
      <c r="O15" s="26" t="inlineStr">
        <is>
          <t>Sunil CR</t>
        </is>
      </c>
      <c r="P15" s="26" t="inlineStr">
        <is>
          <t>Yes</t>
        </is>
      </c>
      <c r="Q15" s="26" t="inlineStr">
        <is>
          <t>No</t>
        </is>
      </c>
      <c r="R15" s="26" t="inlineStr">
        <is>
          <t>Good finish</t>
        </is>
      </c>
      <c r="S15" s="26" t="inlineStr">
        <is>
          <t>Yes</t>
        </is>
      </c>
      <c r="T15" s="27" t="n"/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Good finish</t>
        </is>
      </c>
      <c r="AB15" s="30" t="inlineStr">
        <is>
          <t>Yes</t>
        </is>
      </c>
      <c r="AC15" s="27" t="n"/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BD-ACR-2025-0001</t>
        </is>
      </c>
      <c r="C16" s="41" t="inlineStr">
        <is>
          <t>Rehau - Acrylic - Marshmallow Gloss - 5001P</t>
        </is>
      </c>
      <c r="D16" s="39" t="inlineStr">
        <is>
          <t>Rehau</t>
        </is>
      </c>
      <c r="E16" s="43" t="n">
        <v>46125</v>
      </c>
      <c r="F16" s="26" t="inlineStr">
        <is>
          <t>Sunil CR</t>
        </is>
      </c>
      <c r="G16" s="26" t="inlineStr">
        <is>
          <t>Yes</t>
        </is>
      </c>
      <c r="H16" s="26" t="inlineStr">
        <is>
          <t>No</t>
        </is>
      </c>
      <c r="I16" s="26" t="inlineStr">
        <is>
          <t>Good finish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46193</v>
      </c>
      <c r="O16" s="26" t="inlineStr">
        <is>
          <t>Sunil CR</t>
        </is>
      </c>
      <c r="P16" s="26" t="inlineStr">
        <is>
          <t>Yes</t>
        </is>
      </c>
      <c r="Q16" s="26" t="inlineStr">
        <is>
          <t>No</t>
        </is>
      </c>
      <c r="R16" s="26" t="inlineStr">
        <is>
          <t>Good finish</t>
        </is>
      </c>
      <c r="S16" s="26" t="inlineStr">
        <is>
          <t>Yes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Yes</t>
        </is>
      </c>
      <c r="Z16" s="30" t="n"/>
      <c r="AA16" s="30" t="inlineStr">
        <is>
          <t>Good finish</t>
        </is>
      </c>
      <c r="AB16" s="30" t="inlineStr">
        <is>
          <t>Yes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BD-ACR-2025-0002</t>
        </is>
      </c>
      <c r="C17" s="25" t="inlineStr">
        <is>
          <t>Rehau - Acrylic - Marshmallow Matt - 2001N</t>
        </is>
      </c>
      <c r="D17" s="23" t="inlineStr">
        <is>
          <t>Rehau</t>
        </is>
      </c>
      <c r="E17" s="43" t="n">
        <v>46125</v>
      </c>
      <c r="F17" s="26" t="inlineStr">
        <is>
          <t>Sunil CR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Good finish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46193</v>
      </c>
      <c r="O17" s="26" t="inlineStr">
        <is>
          <t>Sunil CR</t>
        </is>
      </c>
      <c r="P17" s="26" t="inlineStr">
        <is>
          <t>Yes</t>
        </is>
      </c>
      <c r="Q17" s="26" t="inlineStr">
        <is>
          <t>No</t>
        </is>
      </c>
      <c r="R17" s="26" t="inlineStr">
        <is>
          <t>Good finish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Yes</t>
        </is>
      </c>
      <c r="Z17" s="30" t="n"/>
      <c r="AA17" s="30" t="inlineStr">
        <is>
          <t>Good finish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BD-ACR-2025-0025</t>
        </is>
      </c>
      <c r="C18" s="41" t="inlineStr">
        <is>
          <t>Rehau - Acrylic - Pink Oyster Gloss - 5014P</t>
        </is>
      </c>
      <c r="D18" s="39" t="inlineStr">
        <is>
          <t>Rehau</t>
        </is>
      </c>
      <c r="E18" s="43" t="n">
        <v>46125</v>
      </c>
      <c r="F18" s="26" t="inlineStr">
        <is>
          <t>Sunil CR</t>
        </is>
      </c>
      <c r="G18" s="26" t="inlineStr">
        <is>
          <t>Yes</t>
        </is>
      </c>
      <c r="H18" s="26" t="inlineStr">
        <is>
          <t>No</t>
        </is>
      </c>
      <c r="I18" s="26" t="inlineStr">
        <is>
          <t>Good finish</t>
        </is>
      </c>
      <c r="J18" s="26" t="inlineStr">
        <is>
          <t>Yes</t>
        </is>
      </c>
      <c r="K18" s="27" t="n"/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46193</v>
      </c>
      <c r="O18" s="26" t="inlineStr">
        <is>
          <t>Sunil CR</t>
        </is>
      </c>
      <c r="P18" s="26" t="inlineStr">
        <is>
          <t>Yes</t>
        </is>
      </c>
      <c r="Q18" s="26" t="inlineStr">
        <is>
          <t>No</t>
        </is>
      </c>
      <c r="R18" s="26" t="inlineStr">
        <is>
          <t>Good finish</t>
        </is>
      </c>
      <c r="S18" s="26" t="inlineStr">
        <is>
          <t>Yes</t>
        </is>
      </c>
      <c r="T18" s="27" t="n"/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Yes</t>
        </is>
      </c>
      <c r="Z18" s="30" t="n"/>
      <c r="AA18" s="30" t="inlineStr">
        <is>
          <t>Good finish</t>
        </is>
      </c>
      <c r="AB18" s="30" t="inlineStr">
        <is>
          <t>Yes</t>
        </is>
      </c>
      <c r="AC18" s="27" t="n"/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BD-ACR-2025-0026</t>
        </is>
      </c>
      <c r="C19" s="25" t="inlineStr">
        <is>
          <t>Rehau - Acrylic - Pink Oyster Matt - 2014N</t>
        </is>
      </c>
      <c r="D19" s="23" t="inlineStr">
        <is>
          <t>Rehau</t>
        </is>
      </c>
      <c r="E19" s="43" t="n">
        <v>46125</v>
      </c>
      <c r="F19" s="26" t="inlineStr">
        <is>
          <t>Sunil CR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Good finish</t>
        </is>
      </c>
      <c r="J19" s="26" t="inlineStr">
        <is>
          <t>Yes</t>
        </is>
      </c>
      <c r="K19" s="27" t="n"/>
      <c r="L19" s="28" t="inlineStr">
        <is>
          <t>No</t>
        </is>
      </c>
      <c r="M19" s="29">
        <f>IF(E19="","",IF(H19="Yes","❌ Disc",IF(G19="No","⚠ Missing",IF(J19="Yes","✓ OK","⚠ Check"))))</f>
        <v/>
      </c>
      <c r="N19" s="43" t="n">
        <v>46193</v>
      </c>
      <c r="O19" s="26" t="inlineStr">
        <is>
          <t>Sunil CR</t>
        </is>
      </c>
      <c r="P19" s="26" t="inlineStr">
        <is>
          <t>Yes</t>
        </is>
      </c>
      <c r="Q19" s="26" t="inlineStr">
        <is>
          <t>No</t>
        </is>
      </c>
      <c r="R19" s="26" t="inlineStr">
        <is>
          <t>Good finish</t>
        </is>
      </c>
      <c r="S19" s="26" t="inlineStr">
        <is>
          <t>Yes</t>
        </is>
      </c>
      <c r="T19" s="27" t="n"/>
      <c r="U19" s="28" t="inlineStr">
        <is>
          <t>No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Yes</t>
        </is>
      </c>
      <c r="Z19" s="30" t="n"/>
      <c r="AA19" s="30" t="inlineStr">
        <is>
          <t>Good finish</t>
        </is>
      </c>
      <c r="AB19" s="30" t="inlineStr">
        <is>
          <t>Yes</t>
        </is>
      </c>
      <c r="AC19" s="27" t="n"/>
      <c r="AD19" s="31" t="inlineStr">
        <is>
          <t>No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BD-ACR-2025-0023</t>
        </is>
      </c>
      <c r="C20" s="41" t="inlineStr">
        <is>
          <t>Rehau - Acrylic - Roasted Chestnut Gloss - 5009P</t>
        </is>
      </c>
      <c r="D20" s="39" t="inlineStr">
        <is>
          <t>Rehau</t>
        </is>
      </c>
      <c r="E20" s="43" t="n">
        <v>46125</v>
      </c>
      <c r="F20" s="26" t="inlineStr">
        <is>
          <t>Sunil CR</t>
        </is>
      </c>
      <c r="G20" s="26" t="inlineStr">
        <is>
          <t>Yes</t>
        </is>
      </c>
      <c r="H20" s="26" t="inlineStr">
        <is>
          <t>No</t>
        </is>
      </c>
      <c r="I20" s="26" t="inlineStr">
        <is>
          <t>Good finish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46193</v>
      </c>
      <c r="O20" s="26" t="inlineStr">
        <is>
          <t>Sunil CR</t>
        </is>
      </c>
      <c r="P20" s="26" t="inlineStr">
        <is>
          <t>Yes</t>
        </is>
      </c>
      <c r="Q20" s="26" t="inlineStr">
        <is>
          <t>No</t>
        </is>
      </c>
      <c r="R20" s="26" t="inlineStr">
        <is>
          <t>Good finish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Yes</t>
        </is>
      </c>
      <c r="Z20" s="30" t="n"/>
      <c r="AA20" s="30" t="inlineStr">
        <is>
          <t>Good finish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BD-ACR-2025-0024</t>
        </is>
      </c>
      <c r="C21" s="25" t="inlineStr">
        <is>
          <t>Rehau - Acrylic - Roasted Chestnut Matt - 2009N</t>
        </is>
      </c>
      <c r="D21" s="23" t="inlineStr">
        <is>
          <t>Rehau</t>
        </is>
      </c>
      <c r="E21" s="43" t="n">
        <v>46125</v>
      </c>
      <c r="F21" s="26" t="inlineStr">
        <is>
          <t>Sunil CR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Good finish</t>
        </is>
      </c>
      <c r="J21" s="26" t="inlineStr">
        <is>
          <t>Yes</t>
        </is>
      </c>
      <c r="K21" s="27" t="n"/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46193</v>
      </c>
      <c r="O21" s="26" t="inlineStr">
        <is>
          <t>Sunil CR</t>
        </is>
      </c>
      <c r="P21" s="26" t="inlineStr">
        <is>
          <t>Yes</t>
        </is>
      </c>
      <c r="Q21" s="26" t="inlineStr">
        <is>
          <t>No</t>
        </is>
      </c>
      <c r="R21" s="26" t="inlineStr">
        <is>
          <t>Good finish</t>
        </is>
      </c>
      <c r="S21" s="26" t="inlineStr">
        <is>
          <t>Yes</t>
        </is>
      </c>
      <c r="T21" s="27" t="n"/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Yes</t>
        </is>
      </c>
      <c r="Z21" s="30" t="n"/>
      <c r="AA21" s="30" t="inlineStr">
        <is>
          <t>Good finish</t>
        </is>
      </c>
      <c r="AB21" s="30" t="inlineStr">
        <is>
          <t>Yes</t>
        </is>
      </c>
      <c r="AC21" s="27" t="n"/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BD-ACR-2025-0006</t>
        </is>
      </c>
      <c r="C22" s="41" t="inlineStr">
        <is>
          <t>Rehau - Acrylic - Seafoam Gloss - 5012P</t>
        </is>
      </c>
      <c r="D22" s="39" t="inlineStr">
        <is>
          <t>Rehau</t>
        </is>
      </c>
      <c r="E22" s="43" t="n">
        <v>46125</v>
      </c>
      <c r="F22" s="26" t="inlineStr">
        <is>
          <t>Sunil CR</t>
        </is>
      </c>
      <c r="G22" s="26" t="inlineStr">
        <is>
          <t>Yes</t>
        </is>
      </c>
      <c r="H22" s="26" t="inlineStr">
        <is>
          <t>No</t>
        </is>
      </c>
      <c r="I22" s="26" t="inlineStr">
        <is>
          <t>Good finish</t>
        </is>
      </c>
      <c r="J22" s="26" t="inlineStr">
        <is>
          <t>Yes</t>
        </is>
      </c>
      <c r="K22" s="27" t="n"/>
      <c r="L22" s="28" t="inlineStr">
        <is>
          <t>No</t>
        </is>
      </c>
      <c r="M22" s="29">
        <f>IF(E22="","",IF(H22="Yes","❌ Disc",IF(G22="No","⚠ Missing",IF(J22="Yes","✓ OK","⚠ Check"))))</f>
        <v/>
      </c>
      <c r="N22" s="43" t="n">
        <v>46193</v>
      </c>
      <c r="O22" s="26" t="inlineStr">
        <is>
          <t>Sunil CR</t>
        </is>
      </c>
      <c r="P22" s="26" t="inlineStr">
        <is>
          <t>Yes</t>
        </is>
      </c>
      <c r="Q22" s="26" t="inlineStr">
        <is>
          <t>No</t>
        </is>
      </c>
      <c r="R22" s="26" t="inlineStr">
        <is>
          <t>Good finish</t>
        </is>
      </c>
      <c r="S22" s="26" t="inlineStr">
        <is>
          <t>Yes</t>
        </is>
      </c>
      <c r="T22" s="27" t="n"/>
      <c r="U22" s="28" t="inlineStr">
        <is>
          <t>No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Yes</t>
        </is>
      </c>
      <c r="Z22" s="30" t="n"/>
      <c r="AA22" s="30" t="inlineStr">
        <is>
          <t>Good finish</t>
        </is>
      </c>
      <c r="AB22" s="30" t="inlineStr">
        <is>
          <t>Yes</t>
        </is>
      </c>
      <c r="AC22" s="27" t="n"/>
      <c r="AD22" s="31" t="inlineStr">
        <is>
          <t>No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BD-ACR-2025-0007</t>
        </is>
      </c>
      <c r="C23" s="25" t="inlineStr">
        <is>
          <t>Rehau - Acrylic - Seafoam Matt - 2012N</t>
        </is>
      </c>
      <c r="D23" s="23" t="inlineStr">
        <is>
          <t>Rehau</t>
        </is>
      </c>
      <c r="E23" s="43" t="n">
        <v>46125</v>
      </c>
      <c r="F23" s="26" t="inlineStr">
        <is>
          <t>Sunil CR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Good finish</t>
        </is>
      </c>
      <c r="J23" s="26" t="inlineStr">
        <is>
          <t>Yes</t>
        </is>
      </c>
      <c r="K23" s="27" t="n"/>
      <c r="L23" s="28" t="inlineStr">
        <is>
          <t>No</t>
        </is>
      </c>
      <c r="M23" s="29">
        <f>IF(E23="","",IF(H23="Yes","❌ Disc",IF(G23="No","⚠ Missing",IF(J23="Yes","✓ OK","⚠ Check"))))</f>
        <v/>
      </c>
      <c r="N23" s="43" t="n">
        <v>46193</v>
      </c>
      <c r="O23" s="26" t="inlineStr">
        <is>
          <t>Sunil CR</t>
        </is>
      </c>
      <c r="P23" s="26" t="inlineStr">
        <is>
          <t>Yes</t>
        </is>
      </c>
      <c r="Q23" s="26" t="inlineStr">
        <is>
          <t>No</t>
        </is>
      </c>
      <c r="R23" s="26" t="inlineStr">
        <is>
          <t>Good finish</t>
        </is>
      </c>
      <c r="S23" s="26" t="inlineStr">
        <is>
          <t>Yes</t>
        </is>
      </c>
      <c r="T23" s="27" t="n"/>
      <c r="U23" s="28" t="inlineStr">
        <is>
          <t>No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Yes</t>
        </is>
      </c>
      <c r="Z23" s="30" t="n"/>
      <c r="AA23" s="30" t="inlineStr">
        <is>
          <t>Good finish</t>
        </is>
      </c>
      <c r="AB23" s="30" t="inlineStr">
        <is>
          <t>Yes</t>
        </is>
      </c>
      <c r="AC23" s="27" t="n"/>
      <c r="AD23" s="31" t="inlineStr">
        <is>
          <t>No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BD-ACR-2025-0022</t>
        </is>
      </c>
      <c r="C24" s="41" t="inlineStr">
        <is>
          <t>Rehau - Acrylic - Shiitake Matt - 2010N</t>
        </is>
      </c>
      <c r="D24" s="39" t="inlineStr">
        <is>
          <t>Rehau</t>
        </is>
      </c>
      <c r="E24" s="43" t="n">
        <v>46125</v>
      </c>
      <c r="F24" s="26" t="inlineStr">
        <is>
          <t>Sunil CR</t>
        </is>
      </c>
      <c r="G24" s="26" t="inlineStr">
        <is>
          <t>Yes</t>
        </is>
      </c>
      <c r="H24" s="26" t="inlineStr">
        <is>
          <t>No</t>
        </is>
      </c>
      <c r="I24" s="26" t="inlineStr">
        <is>
          <t>Good finish</t>
        </is>
      </c>
      <c r="J24" s="26" t="inlineStr">
        <is>
          <t>Yes</t>
        </is>
      </c>
      <c r="K24" s="27" t="n"/>
      <c r="L24" s="28" t="inlineStr">
        <is>
          <t>No</t>
        </is>
      </c>
      <c r="M24" s="29">
        <f>IF(E24="","",IF(H24="Yes","❌ Disc",IF(G24="No","⚠ Missing",IF(J24="Yes","✓ OK","⚠ Check"))))</f>
        <v/>
      </c>
      <c r="N24" s="43" t="n">
        <v>46193</v>
      </c>
      <c r="O24" s="26" t="inlineStr">
        <is>
          <t>Sunil CR</t>
        </is>
      </c>
      <c r="P24" s="26" t="inlineStr">
        <is>
          <t>Yes</t>
        </is>
      </c>
      <c r="Q24" s="26" t="inlineStr">
        <is>
          <t>No</t>
        </is>
      </c>
      <c r="R24" s="26" t="inlineStr">
        <is>
          <t>Good finish</t>
        </is>
      </c>
      <c r="S24" s="26" t="inlineStr">
        <is>
          <t>Yes</t>
        </is>
      </c>
      <c r="T24" s="27" t="n"/>
      <c r="U24" s="28" t="inlineStr">
        <is>
          <t>No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Yes</t>
        </is>
      </c>
      <c r="Z24" s="30" t="n"/>
      <c r="AA24" s="30" t="inlineStr">
        <is>
          <t>Good finish</t>
        </is>
      </c>
      <c r="AB24" s="30" t="inlineStr">
        <is>
          <t>Yes</t>
        </is>
      </c>
      <c r="AC24" s="27" t="n"/>
      <c r="AD24" s="31" t="inlineStr">
        <is>
          <t>No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BD-ACR-2025-0014</t>
        </is>
      </c>
      <c r="C25" s="25" t="inlineStr">
        <is>
          <t>Rehau - Acrylic - Silver Dust Gloss - 7002P</t>
        </is>
      </c>
      <c r="D25" s="23" t="inlineStr">
        <is>
          <t>Rehau</t>
        </is>
      </c>
      <c r="E25" s="43" t="n">
        <v>46125</v>
      </c>
      <c r="F25" s="26" t="inlineStr">
        <is>
          <t>Sunil CR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Good finish</t>
        </is>
      </c>
      <c r="J25" s="26" t="inlineStr">
        <is>
          <t>Yes</t>
        </is>
      </c>
      <c r="K25" s="27" t="n"/>
      <c r="L25" s="28" t="inlineStr">
        <is>
          <t>No</t>
        </is>
      </c>
      <c r="M25" s="29">
        <f>IF(E25="","",IF(H25="Yes","❌ Disc",IF(G25="No","⚠ Missing",IF(J25="Yes","✓ OK","⚠ Check"))))</f>
        <v/>
      </c>
      <c r="N25" s="43" t="n">
        <v>46193</v>
      </c>
      <c r="O25" s="26" t="inlineStr">
        <is>
          <t>Sunil CR</t>
        </is>
      </c>
      <c r="P25" s="26" t="inlineStr">
        <is>
          <t>Yes</t>
        </is>
      </c>
      <c r="Q25" s="26" t="inlineStr">
        <is>
          <t>No</t>
        </is>
      </c>
      <c r="R25" s="26" t="inlineStr">
        <is>
          <t>Good finish</t>
        </is>
      </c>
      <c r="S25" s="26" t="inlineStr">
        <is>
          <t>Yes</t>
        </is>
      </c>
      <c r="T25" s="27" t="n"/>
      <c r="U25" s="28" t="inlineStr">
        <is>
          <t>No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Yes</t>
        </is>
      </c>
      <c r="Z25" s="30" t="n"/>
      <c r="AA25" s="30" t="inlineStr">
        <is>
          <t>Good finish</t>
        </is>
      </c>
      <c r="AB25" s="30" t="inlineStr">
        <is>
          <t>Yes</t>
        </is>
      </c>
      <c r="AC25" s="27" t="n"/>
      <c r="AD25" s="31" t="inlineStr">
        <is>
          <t>No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BD-ACR-2025-0015</t>
        </is>
      </c>
      <c r="C26" s="41" t="inlineStr">
        <is>
          <t>Rehau - Acrylic - Silver Dust Matt - 4002N</t>
        </is>
      </c>
      <c r="D26" s="39" t="inlineStr">
        <is>
          <t>Rehau</t>
        </is>
      </c>
      <c r="E26" s="43" t="n">
        <v>46125</v>
      </c>
      <c r="F26" s="26" t="inlineStr">
        <is>
          <t>Sunil CR</t>
        </is>
      </c>
      <c r="G26" s="26" t="inlineStr">
        <is>
          <t>Yes</t>
        </is>
      </c>
      <c r="H26" s="26" t="inlineStr">
        <is>
          <t>No</t>
        </is>
      </c>
      <c r="I26" s="26" t="inlineStr">
        <is>
          <t>Good finish</t>
        </is>
      </c>
      <c r="J26" s="26" t="inlineStr">
        <is>
          <t>Yes</t>
        </is>
      </c>
      <c r="K26" s="27" t="n"/>
      <c r="L26" s="28" t="inlineStr">
        <is>
          <t>No</t>
        </is>
      </c>
      <c r="M26" s="29">
        <f>IF(E26="","",IF(H26="Yes","❌ Disc",IF(G26="No","⚠ Missing",IF(J26="Yes","✓ OK","⚠ Check"))))</f>
        <v/>
      </c>
      <c r="N26" s="43" t="n">
        <v>46193</v>
      </c>
      <c r="O26" s="26" t="inlineStr">
        <is>
          <t>Sunil CR</t>
        </is>
      </c>
      <c r="P26" s="26" t="inlineStr">
        <is>
          <t>Yes</t>
        </is>
      </c>
      <c r="Q26" s="26" t="inlineStr">
        <is>
          <t>No</t>
        </is>
      </c>
      <c r="R26" s="26" t="inlineStr">
        <is>
          <t>Good finish</t>
        </is>
      </c>
      <c r="S26" s="26" t="inlineStr">
        <is>
          <t>Yes</t>
        </is>
      </c>
      <c r="T26" s="27" t="n"/>
      <c r="U26" s="28" t="inlineStr">
        <is>
          <t>No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Yes</t>
        </is>
      </c>
      <c r="Z26" s="30" t="n"/>
      <c r="AA26" s="30" t="inlineStr">
        <is>
          <t>Good finish</t>
        </is>
      </c>
      <c r="AB26" s="30" t="inlineStr">
        <is>
          <t>Yes</t>
        </is>
      </c>
      <c r="AC26" s="27" t="n"/>
      <c r="AD26" s="31" t="inlineStr">
        <is>
          <t>No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BD-ACR-2025-0018</t>
        </is>
      </c>
      <c r="C27" s="25" t="inlineStr">
        <is>
          <t>Rehau - Acrylic - Sweet Latte Gloss - 5003P</t>
        </is>
      </c>
      <c r="D27" s="23" t="inlineStr">
        <is>
          <t>Rehau</t>
        </is>
      </c>
      <c r="E27" s="43" t="n">
        <v>46125</v>
      </c>
      <c r="F27" s="26" t="inlineStr">
        <is>
          <t>Sunil CR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Good finish</t>
        </is>
      </c>
      <c r="J27" s="26" t="inlineStr">
        <is>
          <t>Yes</t>
        </is>
      </c>
      <c r="K27" s="27" t="n"/>
      <c r="L27" s="28" t="inlineStr">
        <is>
          <t>No</t>
        </is>
      </c>
      <c r="M27" s="29">
        <f>IF(E27="","",IF(H27="Yes","❌ Disc",IF(G27="No","⚠ Missing",IF(J27="Yes","✓ OK","⚠ Check"))))</f>
        <v/>
      </c>
      <c r="N27" s="43" t="n">
        <v>46193</v>
      </c>
      <c r="O27" s="26" t="inlineStr">
        <is>
          <t>Sunil CR</t>
        </is>
      </c>
      <c r="P27" s="26" t="inlineStr">
        <is>
          <t>Yes</t>
        </is>
      </c>
      <c r="Q27" s="26" t="inlineStr">
        <is>
          <t>No</t>
        </is>
      </c>
      <c r="R27" s="26" t="inlineStr">
        <is>
          <t>Good finish</t>
        </is>
      </c>
      <c r="S27" s="26" t="inlineStr">
        <is>
          <t>Yes</t>
        </is>
      </c>
      <c r="T27" s="27" t="n"/>
      <c r="U27" s="28" t="inlineStr">
        <is>
          <t>No</t>
        </is>
      </c>
      <c r="V27" s="29">
        <f>IF(N27="","",IF(Q27="Yes","❌ Disc",IF(P27="No","⚠ Missing",IF(S27="Yes","✓ OK","⚠ Check"))))</f>
        <v/>
      </c>
      <c r="W27" s="65" t="n">
        <v>46248</v>
      </c>
      <c r="X27" s="30" t="inlineStr">
        <is>
          <t>Sunil CR</t>
        </is>
      </c>
      <c r="Y27" s="30" t="inlineStr">
        <is>
          <t>Yes</t>
        </is>
      </c>
      <c r="Z27" s="30" t="n"/>
      <c r="AA27" s="30" t="inlineStr">
        <is>
          <t>Good finish</t>
        </is>
      </c>
      <c r="AB27" s="30" t="inlineStr">
        <is>
          <t>Yes</t>
        </is>
      </c>
      <c r="AC27" s="27" t="n"/>
      <c r="AD27" s="31" t="inlineStr">
        <is>
          <t>No</t>
        </is>
      </c>
      <c r="AE27" s="32">
        <f>IF(W27="","",IF(Z27="Yes","❌ Disc",IF(Y27="No","⚠ Missing",IF(AB27="Yes","✓ OK","⚠ Check"))))</f>
        <v/>
      </c>
      <c r="AF27" s="33" t="n"/>
      <c r="AG27" s="33" t="n"/>
      <c r="AH27" s="33" t="n"/>
      <c r="AI27" s="33" t="n"/>
      <c r="AJ27" s="33" t="n"/>
      <c r="AK27" s="33" t="n"/>
      <c r="AL27" s="27" t="n"/>
      <c r="AM27" s="34" t="n"/>
      <c r="AN27" s="35">
        <f>IF(AF27="","",IF(AI27="Yes","❌ Disc",IF(AH27="No","⚠ Missing",IF(AK27="Yes","✓ OK","⚠ Check"))))</f>
        <v/>
      </c>
      <c r="AO27" s="36" t="n"/>
      <c r="AP27" s="36" t="n"/>
      <c r="AQ27" s="36" t="n"/>
      <c r="AR27" s="36" t="n"/>
      <c r="AS27" s="36" t="n"/>
      <c r="AT27" s="36" t="n"/>
      <c r="AU27" s="27" t="n"/>
      <c r="AV27" s="37" t="n"/>
      <c r="AW27" s="38">
        <f>IF(AO27="","",IF(AR27="Yes","❌ Disc",IF(AQ27="No","⚠ Missing",IF(AT27="Yes","✓ OK","⚠ Check"))))</f>
        <v/>
      </c>
    </row>
    <row r="28" ht="18" customHeight="1" s="46">
      <c r="A28" s="39" t="n">
        <v>24</v>
      </c>
      <c r="B28" s="40" t="inlineStr">
        <is>
          <t>BD-ACR-2025-0019</t>
        </is>
      </c>
      <c r="C28" s="41" t="inlineStr">
        <is>
          <t>Rehau - Acrylic - Sweet Latte Matt - 2003N</t>
        </is>
      </c>
      <c r="D28" s="39" t="inlineStr">
        <is>
          <t>Rehau</t>
        </is>
      </c>
      <c r="E28" s="43" t="n">
        <v>46125</v>
      </c>
      <c r="F28" s="26" t="inlineStr">
        <is>
          <t>Sunil CR</t>
        </is>
      </c>
      <c r="G28" s="26" t="inlineStr">
        <is>
          <t>Yes</t>
        </is>
      </c>
      <c r="H28" s="26" t="inlineStr">
        <is>
          <t>No</t>
        </is>
      </c>
      <c r="I28" s="26" t="inlineStr">
        <is>
          <t>Good finish</t>
        </is>
      </c>
      <c r="J28" s="26" t="inlineStr">
        <is>
          <t>Yes</t>
        </is>
      </c>
      <c r="K28" s="27" t="n"/>
      <c r="L28" s="28" t="inlineStr">
        <is>
          <t>No</t>
        </is>
      </c>
      <c r="M28" s="29">
        <f>IF(E28="","",IF(H28="Yes","❌ Disc",IF(G28="No","⚠ Missing",IF(J28="Yes","✓ OK","⚠ Check"))))</f>
        <v/>
      </c>
      <c r="N28" s="43" t="n">
        <v>46193</v>
      </c>
      <c r="O28" s="26" t="inlineStr">
        <is>
          <t>Sunil CR</t>
        </is>
      </c>
      <c r="P28" s="26" t="inlineStr">
        <is>
          <t>Yes</t>
        </is>
      </c>
      <c r="Q28" s="26" t="inlineStr">
        <is>
          <t>No</t>
        </is>
      </c>
      <c r="R28" s="26" t="inlineStr">
        <is>
          <t>Good finish</t>
        </is>
      </c>
      <c r="S28" s="26" t="inlineStr">
        <is>
          <t>Yes</t>
        </is>
      </c>
      <c r="T28" s="27" t="n"/>
      <c r="U28" s="28" t="inlineStr">
        <is>
          <t>No</t>
        </is>
      </c>
      <c r="V28" s="29">
        <f>IF(N28="","",IF(Q28="Yes","❌ Disc",IF(P28="No","⚠ Missing",IF(S28="Yes","✓ OK","⚠ Check"))))</f>
        <v/>
      </c>
      <c r="W28" s="65" t="n">
        <v>46248</v>
      </c>
      <c r="X28" s="30" t="inlineStr">
        <is>
          <t>Sunil CR</t>
        </is>
      </c>
      <c r="Y28" s="30" t="inlineStr">
        <is>
          <t>Yes</t>
        </is>
      </c>
      <c r="Z28" s="30" t="n"/>
      <c r="AA28" s="30" t="inlineStr">
        <is>
          <t>Good finish</t>
        </is>
      </c>
      <c r="AB28" s="30" t="inlineStr">
        <is>
          <t>Yes</t>
        </is>
      </c>
      <c r="AC28" s="27" t="n"/>
      <c r="AD28" s="31" t="inlineStr">
        <is>
          <t>No</t>
        </is>
      </c>
      <c r="AE28" s="32">
        <f>IF(W28="","",IF(Z28="Yes","❌ Disc",IF(Y28="No","⚠ Missing",IF(AB28="Yes","✓ OK","⚠ Check"))))</f>
        <v/>
      </c>
      <c r="AF28" s="33" t="n"/>
      <c r="AG28" s="33" t="n"/>
      <c r="AH28" s="33" t="n"/>
      <c r="AI28" s="33" t="n"/>
      <c r="AJ28" s="33" t="n"/>
      <c r="AK28" s="33" t="n"/>
      <c r="AL28" s="27" t="n"/>
      <c r="AM28" s="34" t="n"/>
      <c r="AN28" s="35">
        <f>IF(AF28="","",IF(AI28="Yes","❌ Disc",IF(AH28="No","⚠ Missing",IF(AK28="Yes","✓ OK","⚠ Check"))))</f>
        <v/>
      </c>
      <c r="AO28" s="36" t="n"/>
      <c r="AP28" s="36" t="n"/>
      <c r="AQ28" s="36" t="n"/>
      <c r="AR28" s="36" t="n"/>
      <c r="AS28" s="36" t="n"/>
      <c r="AT28" s="36" t="n"/>
      <c r="AU28" s="27" t="n"/>
      <c r="AV28" s="37" t="n"/>
      <c r="AW28" s="38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BD-ACR-2023-0032</t>
        </is>
      </c>
      <c r="C29" s="25" t="inlineStr">
        <is>
          <t>Spacewood - Crystal Acrylic Aqua High Gloss</t>
        </is>
      </c>
      <c r="D29" s="23" t="inlineStr">
        <is>
          <t>Spacewood</t>
        </is>
      </c>
      <c r="E29" s="43" t="n">
        <v>46125</v>
      </c>
      <c r="F29" s="26" t="inlineStr">
        <is>
          <t>Sunil CR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Good finish</t>
        </is>
      </c>
      <c r="J29" s="26" t="inlineStr">
        <is>
          <t>Yes</t>
        </is>
      </c>
      <c r="K29" s="27" t="n"/>
      <c r="L29" s="28" t="inlineStr">
        <is>
          <t>No</t>
        </is>
      </c>
      <c r="M29" s="29">
        <f>IF(E29="","",IF(H29="Yes","❌ Disc",IF(G29="No","⚠ Missing",IF(J29="Yes","✓ OK","⚠ Check"))))</f>
        <v/>
      </c>
      <c r="N29" s="43" t="n">
        <v>46193</v>
      </c>
      <c r="O29" s="26" t="inlineStr">
        <is>
          <t>Sunil CR</t>
        </is>
      </c>
      <c r="P29" s="26" t="inlineStr">
        <is>
          <t>Yes</t>
        </is>
      </c>
      <c r="Q29" s="26" t="inlineStr">
        <is>
          <t>No</t>
        </is>
      </c>
      <c r="R29" s="26" t="inlineStr">
        <is>
          <t>Good finish</t>
        </is>
      </c>
      <c r="S29" s="26" t="inlineStr">
        <is>
          <t>Yes</t>
        </is>
      </c>
      <c r="T29" s="27" t="n"/>
      <c r="U29" s="28" t="inlineStr">
        <is>
          <t>No</t>
        </is>
      </c>
      <c r="V29" s="29">
        <f>IF(N29="","",IF(Q29="Yes","❌ Disc",IF(P29="No","⚠ Missing",IF(S29="Yes","✓ OK","⚠ Check"))))</f>
        <v/>
      </c>
      <c r="W29" s="65" t="n">
        <v>46248</v>
      </c>
      <c r="X29" s="30" t="inlineStr">
        <is>
          <t>Sunil CR</t>
        </is>
      </c>
      <c r="Y29" s="30" t="inlineStr">
        <is>
          <t>Yes</t>
        </is>
      </c>
      <c r="Z29" s="30" t="n"/>
      <c r="AA29" s="30" t="inlineStr">
        <is>
          <t>Good finish</t>
        </is>
      </c>
      <c r="AB29" s="30" t="inlineStr">
        <is>
          <t>Yes</t>
        </is>
      </c>
      <c r="AC29" s="27" t="n"/>
      <c r="AD29" s="31" t="inlineStr">
        <is>
          <t>No</t>
        </is>
      </c>
      <c r="AE29" s="32">
        <f>IF(W29="","",IF(Z29="Yes","❌ Disc",IF(Y29="No","⚠ Missing",IF(AB29="Yes","✓ OK","⚠ Check"))))</f>
        <v/>
      </c>
      <c r="AF29" s="33" t="n"/>
      <c r="AG29" s="33" t="n"/>
      <c r="AH29" s="33" t="n"/>
      <c r="AI29" s="33" t="n"/>
      <c r="AJ29" s="33" t="n"/>
      <c r="AK29" s="33" t="n"/>
      <c r="AL29" s="27" t="n"/>
      <c r="AM29" s="34" t="n"/>
      <c r="AN29" s="35">
        <f>IF(AF29="","",IF(AI29="Yes","❌ Disc",IF(AH29="No","⚠ Missing",IF(AK29="Yes","✓ OK","⚠ Check"))))</f>
        <v/>
      </c>
      <c r="AO29" s="36" t="n"/>
      <c r="AP29" s="36" t="n"/>
      <c r="AQ29" s="36" t="n"/>
      <c r="AR29" s="36" t="n"/>
      <c r="AS29" s="36" t="n"/>
      <c r="AT29" s="36" t="n"/>
      <c r="AU29" s="27" t="n"/>
      <c r="AV29" s="37" t="n"/>
      <c r="AW29" s="38">
        <f>IF(AO29="","",IF(AR29="Yes","❌ Disc",IF(AQ29="No","⚠ Missing",IF(AT29="Yes","✓ OK","⚠ Check"))))</f>
        <v/>
      </c>
    </row>
    <row r="30" ht="18" customHeight="1" s="46">
      <c r="A30" s="39" t="n">
        <v>26</v>
      </c>
      <c r="B30" s="40" t="inlineStr">
        <is>
          <t>BD-ACR-2023-0013</t>
        </is>
      </c>
      <c r="C30" s="41" t="inlineStr">
        <is>
          <t>Spacewood - Crystal Acrylic Aqua Super Matt</t>
        </is>
      </c>
      <c r="D30" s="39" t="inlineStr">
        <is>
          <t>Spacewood</t>
        </is>
      </c>
      <c r="E30" s="43" t="n">
        <v>46125</v>
      </c>
      <c r="F30" s="26" t="inlineStr">
        <is>
          <t>Sunil CR</t>
        </is>
      </c>
      <c r="G30" s="26" t="inlineStr">
        <is>
          <t>Yes</t>
        </is>
      </c>
      <c r="H30" s="26" t="inlineStr">
        <is>
          <t>No</t>
        </is>
      </c>
      <c r="I30" s="26" t="inlineStr">
        <is>
          <t>Good finish</t>
        </is>
      </c>
      <c r="J30" s="26" t="inlineStr">
        <is>
          <t>Yes</t>
        </is>
      </c>
      <c r="K30" s="27" t="n"/>
      <c r="L30" s="28" t="inlineStr">
        <is>
          <t>No</t>
        </is>
      </c>
      <c r="M30" s="29">
        <f>IF(E30="","",IF(H30="Yes","❌ Disc",IF(G30="No","⚠ Missing",IF(J30="Yes","✓ OK","⚠ Check"))))</f>
        <v/>
      </c>
      <c r="N30" s="43" t="n">
        <v>46193</v>
      </c>
      <c r="O30" s="26" t="inlineStr">
        <is>
          <t>Sunil CR</t>
        </is>
      </c>
      <c r="P30" s="26" t="inlineStr">
        <is>
          <t>Yes</t>
        </is>
      </c>
      <c r="Q30" s="26" t="inlineStr">
        <is>
          <t>No</t>
        </is>
      </c>
      <c r="R30" s="26" t="inlineStr">
        <is>
          <t>Good finish</t>
        </is>
      </c>
      <c r="S30" s="26" t="inlineStr">
        <is>
          <t>Yes</t>
        </is>
      </c>
      <c r="T30" s="27" t="n"/>
      <c r="U30" s="28" t="inlineStr">
        <is>
          <t>No</t>
        </is>
      </c>
      <c r="V30" s="29">
        <f>IF(N30="","",IF(Q30="Yes","❌ Disc",IF(P30="No","⚠ Missing",IF(S30="Yes","✓ OK","⚠ Check"))))</f>
        <v/>
      </c>
      <c r="W30" s="65" t="n">
        <v>46248</v>
      </c>
      <c r="X30" s="30" t="inlineStr">
        <is>
          <t>Sunil CR</t>
        </is>
      </c>
      <c r="Y30" s="30" t="inlineStr">
        <is>
          <t>Yes</t>
        </is>
      </c>
      <c r="Z30" s="30" t="n"/>
      <c r="AA30" s="30" t="inlineStr">
        <is>
          <t>Good finish</t>
        </is>
      </c>
      <c r="AB30" s="30" t="inlineStr">
        <is>
          <t>Yes</t>
        </is>
      </c>
      <c r="AC30" s="27" t="n"/>
      <c r="AD30" s="31" t="inlineStr">
        <is>
          <t>No</t>
        </is>
      </c>
      <c r="AE30" s="32">
        <f>IF(W30="","",IF(Z30="Yes","❌ Disc",IF(Y30="No","⚠ Missing",IF(AB30="Yes","✓ OK","⚠ Check"))))</f>
        <v/>
      </c>
      <c r="AF30" s="33" t="n"/>
      <c r="AG30" s="33" t="n"/>
      <c r="AH30" s="33" t="n"/>
      <c r="AI30" s="33" t="n"/>
      <c r="AJ30" s="33" t="n"/>
      <c r="AK30" s="33" t="n"/>
      <c r="AL30" s="27" t="n"/>
      <c r="AM30" s="34" t="n"/>
      <c r="AN30" s="35">
        <f>IF(AF30="","",IF(AI30="Yes","❌ Disc",IF(AH30="No","⚠ Missing",IF(AK30="Yes","✓ OK","⚠ Check"))))</f>
        <v/>
      </c>
      <c r="AO30" s="36" t="n"/>
      <c r="AP30" s="36" t="n"/>
      <c r="AQ30" s="36" t="n"/>
      <c r="AR30" s="36" t="n"/>
      <c r="AS30" s="36" t="n"/>
      <c r="AT30" s="36" t="n"/>
      <c r="AU30" s="27" t="n"/>
      <c r="AV30" s="37" t="n"/>
      <c r="AW30" s="38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BD-ACR-2023-0031</t>
        </is>
      </c>
      <c r="C31" s="25" t="inlineStr">
        <is>
          <t>Spacewood - Crystal Acrylic Army Green High Gloss</t>
        </is>
      </c>
      <c r="D31" s="23" t="inlineStr">
        <is>
          <t>Spacewood</t>
        </is>
      </c>
      <c r="E31" s="43" t="n">
        <v>46125</v>
      </c>
      <c r="F31" s="26" t="inlineStr">
        <is>
          <t>Sunil CR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Good finish</t>
        </is>
      </c>
      <c r="J31" s="26" t="inlineStr">
        <is>
          <t>Yes</t>
        </is>
      </c>
      <c r="K31" s="27" t="n"/>
      <c r="L31" s="28" t="inlineStr">
        <is>
          <t>No</t>
        </is>
      </c>
      <c r="M31" s="29">
        <f>IF(E31="","",IF(H31="Yes","❌ Disc",IF(G31="No","⚠ Missing",IF(J31="Yes","✓ OK","⚠ Check"))))</f>
        <v/>
      </c>
      <c r="N31" s="43" t="n">
        <v>46193</v>
      </c>
      <c r="O31" s="26" t="inlineStr">
        <is>
          <t>Sunil CR</t>
        </is>
      </c>
      <c r="P31" s="26" t="inlineStr">
        <is>
          <t>Yes</t>
        </is>
      </c>
      <c r="Q31" s="26" t="inlineStr">
        <is>
          <t>No</t>
        </is>
      </c>
      <c r="R31" s="26" t="inlineStr">
        <is>
          <t>Good finish</t>
        </is>
      </c>
      <c r="S31" s="26" t="inlineStr">
        <is>
          <t>Yes</t>
        </is>
      </c>
      <c r="T31" s="27" t="n"/>
      <c r="U31" s="28" t="inlineStr">
        <is>
          <t>No</t>
        </is>
      </c>
      <c r="V31" s="29">
        <f>IF(N31="","",IF(Q31="Yes","❌ Disc",IF(P31="No","⚠ Missing",IF(S31="Yes","✓ OK","⚠ Check"))))</f>
        <v/>
      </c>
      <c r="W31" s="65" t="n">
        <v>46248</v>
      </c>
      <c r="X31" s="30" t="inlineStr">
        <is>
          <t>Sunil CR</t>
        </is>
      </c>
      <c r="Y31" s="30" t="inlineStr">
        <is>
          <t>Yes</t>
        </is>
      </c>
      <c r="Z31" s="30" t="n"/>
      <c r="AA31" s="30" t="inlineStr">
        <is>
          <t>Good finish</t>
        </is>
      </c>
      <c r="AB31" s="30" t="inlineStr">
        <is>
          <t>Yes</t>
        </is>
      </c>
      <c r="AC31" s="27" t="n"/>
      <c r="AD31" s="31" t="inlineStr">
        <is>
          <t>No</t>
        </is>
      </c>
      <c r="AE31" s="32">
        <f>IF(W31="","",IF(Z31="Yes","❌ Disc",IF(Y31="No","⚠ Missing",IF(AB31="Yes","✓ OK","⚠ Check"))))</f>
        <v/>
      </c>
      <c r="AF31" s="33" t="n"/>
      <c r="AG31" s="33" t="n"/>
      <c r="AH31" s="33" t="n"/>
      <c r="AI31" s="33" t="n"/>
      <c r="AJ31" s="33" t="n"/>
      <c r="AK31" s="33" t="n"/>
      <c r="AL31" s="27" t="n"/>
      <c r="AM31" s="34" t="n"/>
      <c r="AN31" s="35">
        <f>IF(AF31="","",IF(AI31="Yes","❌ Disc",IF(AH31="No","⚠ Missing",IF(AK31="Yes","✓ OK","⚠ Check"))))</f>
        <v/>
      </c>
      <c r="AO31" s="36" t="n"/>
      <c r="AP31" s="36" t="n"/>
      <c r="AQ31" s="36" t="n"/>
      <c r="AR31" s="36" t="n"/>
      <c r="AS31" s="36" t="n"/>
      <c r="AT31" s="36" t="n"/>
      <c r="AU31" s="27" t="n"/>
      <c r="AV31" s="37" t="n"/>
      <c r="AW31" s="38">
        <f>IF(AO31="","",IF(AR31="Yes","❌ Disc",IF(AQ31="No","⚠ Missing",IF(AT31="Yes","✓ OK","⚠ Check"))))</f>
        <v/>
      </c>
    </row>
    <row r="32" ht="18" customHeight="1" s="46">
      <c r="A32" s="39" t="n">
        <v>28</v>
      </c>
      <c r="B32" s="40" t="inlineStr">
        <is>
          <t>BD-ACR-2023-0012</t>
        </is>
      </c>
      <c r="C32" s="41" t="inlineStr">
        <is>
          <t>Spacewood - Crystal Acrylic Army Green Super Matt</t>
        </is>
      </c>
      <c r="D32" s="39" t="inlineStr">
        <is>
          <t>Spacewood</t>
        </is>
      </c>
      <c r="E32" s="43" t="n">
        <v>46125</v>
      </c>
      <c r="F32" s="26" t="inlineStr">
        <is>
          <t>Sunil CR</t>
        </is>
      </c>
      <c r="G32" s="26" t="inlineStr">
        <is>
          <t>Yes</t>
        </is>
      </c>
      <c r="H32" s="26" t="inlineStr">
        <is>
          <t>No</t>
        </is>
      </c>
      <c r="I32" s="26" t="inlineStr">
        <is>
          <t>Good finish</t>
        </is>
      </c>
      <c r="J32" s="26" t="inlineStr">
        <is>
          <t>Yes</t>
        </is>
      </c>
      <c r="K32" s="27" t="n"/>
      <c r="L32" s="28" t="inlineStr">
        <is>
          <t>No</t>
        </is>
      </c>
      <c r="M32" s="29">
        <f>IF(E32="","",IF(H32="Yes","❌ Disc",IF(G32="No","⚠ Missing",IF(J32="Yes","✓ OK","⚠ Check"))))</f>
        <v/>
      </c>
      <c r="N32" s="43" t="n">
        <v>46193</v>
      </c>
      <c r="O32" s="26" t="inlineStr">
        <is>
          <t>Sunil CR</t>
        </is>
      </c>
      <c r="P32" s="26" t="inlineStr">
        <is>
          <t>Yes</t>
        </is>
      </c>
      <c r="Q32" s="26" t="inlineStr">
        <is>
          <t>No</t>
        </is>
      </c>
      <c r="R32" s="26" t="inlineStr">
        <is>
          <t>Good finish</t>
        </is>
      </c>
      <c r="S32" s="26" t="inlineStr">
        <is>
          <t>Yes</t>
        </is>
      </c>
      <c r="T32" s="27" t="n"/>
      <c r="U32" s="28" t="inlineStr">
        <is>
          <t>No</t>
        </is>
      </c>
      <c r="V32" s="29">
        <f>IF(N32="","",IF(Q32="Yes","❌ Disc",IF(P32="No","⚠ Missing",IF(S32="Yes","✓ OK","⚠ Check"))))</f>
        <v/>
      </c>
      <c r="W32" s="65" t="n">
        <v>46248</v>
      </c>
      <c r="X32" s="30" t="inlineStr">
        <is>
          <t>Sunil CR</t>
        </is>
      </c>
      <c r="Y32" s="30" t="inlineStr">
        <is>
          <t>Yes</t>
        </is>
      </c>
      <c r="Z32" s="30" t="n"/>
      <c r="AA32" s="30" t="inlineStr">
        <is>
          <t>Good finish</t>
        </is>
      </c>
      <c r="AB32" s="30" t="inlineStr">
        <is>
          <t>Yes</t>
        </is>
      </c>
      <c r="AC32" s="27" t="n"/>
      <c r="AD32" s="31" t="inlineStr">
        <is>
          <t>No</t>
        </is>
      </c>
      <c r="AE32" s="32">
        <f>IF(W32="","",IF(Z32="Yes","❌ Disc",IF(Y32="No","⚠ Missing",IF(AB32="Yes","✓ OK","⚠ Check"))))</f>
        <v/>
      </c>
      <c r="AF32" s="33" t="n"/>
      <c r="AG32" s="33" t="n"/>
      <c r="AH32" s="33" t="n"/>
      <c r="AI32" s="33" t="n"/>
      <c r="AJ32" s="33" t="n"/>
      <c r="AK32" s="33" t="n"/>
      <c r="AL32" s="27" t="n"/>
      <c r="AM32" s="34" t="n"/>
      <c r="AN32" s="35">
        <f>IF(AF32="","",IF(AI32="Yes","❌ Disc",IF(AH32="No","⚠ Missing",IF(AK32="Yes","✓ OK","⚠ Check"))))</f>
        <v/>
      </c>
      <c r="AO32" s="36" t="n"/>
      <c r="AP32" s="36" t="n"/>
      <c r="AQ32" s="36" t="n"/>
      <c r="AR32" s="36" t="n"/>
      <c r="AS32" s="36" t="n"/>
      <c r="AT32" s="36" t="n"/>
      <c r="AU32" s="27" t="n"/>
      <c r="AV32" s="37" t="n"/>
      <c r="AW32" s="38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BD-ACR-2023-0037</t>
        </is>
      </c>
      <c r="C33" s="25" t="inlineStr">
        <is>
          <t>Spacewood - Crystal Acrylic Basalt grey High Gloss</t>
        </is>
      </c>
      <c r="D33" s="23" t="inlineStr">
        <is>
          <t>Spacewood</t>
        </is>
      </c>
      <c r="E33" s="43" t="n">
        <v>46125</v>
      </c>
      <c r="F33" s="26" t="inlineStr">
        <is>
          <t>Sunil CR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Good finish</t>
        </is>
      </c>
      <c r="J33" s="26" t="inlineStr">
        <is>
          <t>Yes</t>
        </is>
      </c>
      <c r="K33" s="27" t="n"/>
      <c r="L33" s="28" t="inlineStr">
        <is>
          <t>No</t>
        </is>
      </c>
      <c r="M33" s="29">
        <f>IF(E33="","",IF(H33="Yes","❌ Disc",IF(G33="No","⚠ Missing",IF(J33="Yes","✓ OK","⚠ Check"))))</f>
        <v/>
      </c>
      <c r="N33" s="43" t="n">
        <v>46193</v>
      </c>
      <c r="O33" s="26" t="inlineStr">
        <is>
          <t>Sunil CR</t>
        </is>
      </c>
      <c r="P33" s="26" t="inlineStr">
        <is>
          <t>Yes</t>
        </is>
      </c>
      <c r="Q33" s="26" t="inlineStr">
        <is>
          <t>No</t>
        </is>
      </c>
      <c r="R33" s="26" t="inlineStr">
        <is>
          <t>Good finish</t>
        </is>
      </c>
      <c r="S33" s="26" t="inlineStr">
        <is>
          <t>Yes</t>
        </is>
      </c>
      <c r="T33" s="27" t="n"/>
      <c r="U33" s="28" t="inlineStr">
        <is>
          <t>No</t>
        </is>
      </c>
      <c r="V33" s="29">
        <f>IF(N33="","",IF(Q33="Yes","❌ Disc",IF(P33="No","⚠ Missing",IF(S33="Yes","✓ OK","⚠ Check"))))</f>
        <v/>
      </c>
      <c r="W33" s="65" t="n">
        <v>46248</v>
      </c>
      <c r="X33" s="30" t="inlineStr">
        <is>
          <t>Sunil CR</t>
        </is>
      </c>
      <c r="Y33" s="30" t="inlineStr">
        <is>
          <t>Yes</t>
        </is>
      </c>
      <c r="Z33" s="30" t="n"/>
      <c r="AA33" s="30" t="inlineStr">
        <is>
          <t>Good finish</t>
        </is>
      </c>
      <c r="AB33" s="30" t="inlineStr">
        <is>
          <t>Yes</t>
        </is>
      </c>
      <c r="AC33" s="27" t="n"/>
      <c r="AD33" s="31" t="inlineStr">
        <is>
          <t>No</t>
        </is>
      </c>
      <c r="AE33" s="32">
        <f>IF(W33="","",IF(Z33="Yes","❌ Disc",IF(Y33="No","⚠ Missing",IF(AB33="Yes","✓ OK","⚠ Check"))))</f>
        <v/>
      </c>
      <c r="AF33" s="33" t="n"/>
      <c r="AG33" s="33" t="n"/>
      <c r="AH33" s="33" t="n"/>
      <c r="AI33" s="33" t="n"/>
      <c r="AJ33" s="33" t="n"/>
      <c r="AK33" s="33" t="n"/>
      <c r="AL33" s="27" t="n"/>
      <c r="AM33" s="34" t="n"/>
      <c r="AN33" s="35">
        <f>IF(AF33="","",IF(AI33="Yes","❌ Disc",IF(AH33="No","⚠ Missing",IF(AK33="Yes","✓ OK","⚠ Check"))))</f>
        <v/>
      </c>
      <c r="AO33" s="36" t="n"/>
      <c r="AP33" s="36" t="n"/>
      <c r="AQ33" s="36" t="n"/>
      <c r="AR33" s="36" t="n"/>
      <c r="AS33" s="36" t="n"/>
      <c r="AT33" s="36" t="n"/>
      <c r="AU33" s="27" t="n"/>
      <c r="AV33" s="37" t="n"/>
      <c r="AW33" s="38">
        <f>IF(AO33="","",IF(AR33="Yes","❌ Disc",IF(AQ33="No","⚠ Missing",IF(AT33="Yes","✓ OK","⚠ Check"))))</f>
        <v/>
      </c>
    </row>
    <row r="34" ht="18" customHeight="1" s="46">
      <c r="A34" s="39" t="n">
        <v>30</v>
      </c>
      <c r="B34" s="40" t="inlineStr">
        <is>
          <t>BD-ACR-2023-0018</t>
        </is>
      </c>
      <c r="C34" s="41" t="inlineStr">
        <is>
          <t>Spacewood - Crystal Acrylic Basalt Grey Super Matt</t>
        </is>
      </c>
      <c r="D34" s="39" t="inlineStr">
        <is>
          <t>Spacewood</t>
        </is>
      </c>
      <c r="E34" s="43" t="n">
        <v>46125</v>
      </c>
      <c r="F34" s="26" t="inlineStr">
        <is>
          <t>Sunil CR</t>
        </is>
      </c>
      <c r="G34" s="26" t="inlineStr">
        <is>
          <t>Yes</t>
        </is>
      </c>
      <c r="H34" s="26" t="inlineStr">
        <is>
          <t>No</t>
        </is>
      </c>
      <c r="I34" s="26" t="inlineStr">
        <is>
          <t>Good finish</t>
        </is>
      </c>
      <c r="J34" s="26" t="inlineStr">
        <is>
          <t>Yes</t>
        </is>
      </c>
      <c r="K34" s="27" t="n"/>
      <c r="L34" s="28" t="inlineStr">
        <is>
          <t>No</t>
        </is>
      </c>
      <c r="M34" s="29">
        <f>IF(E34="","",IF(H34="Yes","❌ Disc",IF(G34="No","⚠ Missing",IF(J34="Yes","✓ OK","⚠ Check"))))</f>
        <v/>
      </c>
      <c r="N34" s="43" t="n">
        <v>46193</v>
      </c>
      <c r="O34" s="26" t="inlineStr">
        <is>
          <t>Sunil CR</t>
        </is>
      </c>
      <c r="P34" s="26" t="inlineStr">
        <is>
          <t>Yes</t>
        </is>
      </c>
      <c r="Q34" s="26" t="inlineStr">
        <is>
          <t>No</t>
        </is>
      </c>
      <c r="R34" s="26" t="inlineStr">
        <is>
          <t>Good finish</t>
        </is>
      </c>
      <c r="S34" s="26" t="inlineStr">
        <is>
          <t>Yes</t>
        </is>
      </c>
      <c r="T34" s="27" t="n"/>
      <c r="U34" s="28" t="inlineStr">
        <is>
          <t>No</t>
        </is>
      </c>
      <c r="V34" s="29">
        <f>IF(N34="","",IF(Q34="Yes","❌ Disc",IF(P34="No","⚠ Missing",IF(S34="Yes","✓ OK","⚠ Check"))))</f>
        <v/>
      </c>
      <c r="W34" s="65" t="n">
        <v>46248</v>
      </c>
      <c r="X34" s="30" t="inlineStr">
        <is>
          <t>Sunil CR</t>
        </is>
      </c>
      <c r="Y34" s="30" t="inlineStr">
        <is>
          <t>Yes</t>
        </is>
      </c>
      <c r="Z34" s="30" t="n"/>
      <c r="AA34" s="30" t="inlineStr">
        <is>
          <t>Good finish</t>
        </is>
      </c>
      <c r="AB34" s="30" t="inlineStr">
        <is>
          <t>Yes</t>
        </is>
      </c>
      <c r="AC34" s="27" t="n"/>
      <c r="AD34" s="31" t="inlineStr">
        <is>
          <t>No</t>
        </is>
      </c>
      <c r="AE34" s="32">
        <f>IF(W34="","",IF(Z34="Yes","❌ Disc",IF(Y34="No","⚠ Missing",IF(AB34="Yes","✓ OK","⚠ Check"))))</f>
        <v/>
      </c>
      <c r="AF34" s="33" t="n"/>
      <c r="AG34" s="33" t="n"/>
      <c r="AH34" s="33" t="n"/>
      <c r="AI34" s="33" t="n"/>
      <c r="AJ34" s="33" t="n"/>
      <c r="AK34" s="33" t="n"/>
      <c r="AL34" s="27" t="n"/>
      <c r="AM34" s="34" t="n"/>
      <c r="AN34" s="35">
        <f>IF(AF34="","",IF(AI34="Yes","❌ Disc",IF(AH34="No","⚠ Missing",IF(AK34="Yes","✓ OK","⚠ Check"))))</f>
        <v/>
      </c>
      <c r="AO34" s="36" t="n"/>
      <c r="AP34" s="36" t="n"/>
      <c r="AQ34" s="36" t="n"/>
      <c r="AR34" s="36" t="n"/>
      <c r="AS34" s="36" t="n"/>
      <c r="AT34" s="36" t="n"/>
      <c r="AU34" s="27" t="n"/>
      <c r="AV34" s="37" t="n"/>
      <c r="AW34" s="38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BD-ACR-2023-0020</t>
        </is>
      </c>
      <c r="C35" s="25" t="inlineStr">
        <is>
          <t>Spacewood - Crystal Acrylic Bianco High Gloss</t>
        </is>
      </c>
      <c r="D35" s="23" t="inlineStr">
        <is>
          <t>Spacewood</t>
        </is>
      </c>
      <c r="E35" s="43" t="n">
        <v>46125</v>
      </c>
      <c r="F35" s="26" t="inlineStr">
        <is>
          <t>Sunil CR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Good finish</t>
        </is>
      </c>
      <c r="J35" s="26" t="inlineStr">
        <is>
          <t>Yes</t>
        </is>
      </c>
      <c r="K35" s="27" t="n"/>
      <c r="L35" s="28" t="inlineStr">
        <is>
          <t>No</t>
        </is>
      </c>
      <c r="M35" s="29">
        <f>IF(E35="","",IF(H35="Yes","❌ Disc",IF(G35="No","⚠ Missing",IF(J35="Yes","✓ OK","⚠ Check"))))</f>
        <v/>
      </c>
      <c r="N35" s="43" t="n">
        <v>46193</v>
      </c>
      <c r="O35" s="26" t="inlineStr">
        <is>
          <t>Sunil CR</t>
        </is>
      </c>
      <c r="P35" s="26" t="inlineStr">
        <is>
          <t>Yes</t>
        </is>
      </c>
      <c r="Q35" s="26" t="inlineStr">
        <is>
          <t>No</t>
        </is>
      </c>
      <c r="R35" s="26" t="inlineStr">
        <is>
          <t>Good finish</t>
        </is>
      </c>
      <c r="S35" s="26" t="inlineStr">
        <is>
          <t>Yes</t>
        </is>
      </c>
      <c r="T35" s="27" t="n"/>
      <c r="U35" s="28" t="inlineStr">
        <is>
          <t>No</t>
        </is>
      </c>
      <c r="V35" s="29">
        <f>IF(N35="","",IF(Q35="Yes","❌ Disc",IF(P35="No","⚠ Missing",IF(S35="Yes","✓ OK","⚠ Check"))))</f>
        <v/>
      </c>
      <c r="W35" s="65" t="n">
        <v>46248</v>
      </c>
      <c r="X35" s="30" t="inlineStr">
        <is>
          <t>Sunil CR</t>
        </is>
      </c>
      <c r="Y35" s="30" t="inlineStr">
        <is>
          <t>Yes</t>
        </is>
      </c>
      <c r="Z35" s="30" t="n"/>
      <c r="AA35" s="30" t="inlineStr">
        <is>
          <t>Good finish</t>
        </is>
      </c>
      <c r="AB35" s="30" t="inlineStr">
        <is>
          <t>Yes</t>
        </is>
      </c>
      <c r="AC35" s="27" t="n"/>
      <c r="AD35" s="31" t="inlineStr">
        <is>
          <t>No</t>
        </is>
      </c>
      <c r="AE35" s="32">
        <f>IF(W35="","",IF(Z35="Yes","❌ Disc",IF(Y35="No","⚠ Missing",IF(AB35="Yes","✓ OK","⚠ Check"))))</f>
        <v/>
      </c>
      <c r="AF35" s="33" t="n"/>
      <c r="AG35" s="33" t="n"/>
      <c r="AH35" s="33" t="n"/>
      <c r="AI35" s="33" t="n"/>
      <c r="AJ35" s="33" t="n"/>
      <c r="AK35" s="33" t="n"/>
      <c r="AL35" s="27" t="n"/>
      <c r="AM35" s="34" t="n"/>
      <c r="AN35" s="35">
        <f>IF(AF35="","",IF(AI35="Yes","❌ Disc",IF(AH35="No","⚠ Missing",IF(AK35="Yes","✓ OK","⚠ Check"))))</f>
        <v/>
      </c>
      <c r="AO35" s="36" t="n"/>
      <c r="AP35" s="36" t="n"/>
      <c r="AQ35" s="36" t="n"/>
      <c r="AR35" s="36" t="n"/>
      <c r="AS35" s="36" t="n"/>
      <c r="AT35" s="36" t="n"/>
      <c r="AU35" s="27" t="n"/>
      <c r="AV35" s="37" t="n"/>
      <c r="AW35" s="38">
        <f>IF(AO35="","",IF(AR35="Yes","❌ Disc",IF(AQ35="No","⚠ Missing",IF(AT35="Yes","✓ OK","⚠ Check"))))</f>
        <v/>
      </c>
    </row>
    <row r="36" ht="18" customHeight="1" s="46">
      <c r="A36" s="39" t="n">
        <v>32</v>
      </c>
      <c r="B36" s="40" t="inlineStr">
        <is>
          <t>BD-ACR-2023-0001</t>
        </is>
      </c>
      <c r="C36" s="41" t="inlineStr">
        <is>
          <t>Spacewood - Crystal Acrylic Bianco Super Matt</t>
        </is>
      </c>
      <c r="D36" s="39" t="inlineStr">
        <is>
          <t>Spacewood</t>
        </is>
      </c>
      <c r="E36" s="43" t="n">
        <v>46125</v>
      </c>
      <c r="F36" s="26" t="inlineStr">
        <is>
          <t>Sunil CR</t>
        </is>
      </c>
      <c r="G36" s="26" t="inlineStr">
        <is>
          <t>Yes</t>
        </is>
      </c>
      <c r="H36" s="26" t="inlineStr">
        <is>
          <t>No</t>
        </is>
      </c>
      <c r="I36" s="26" t="inlineStr">
        <is>
          <t>Good finish</t>
        </is>
      </c>
      <c r="J36" s="26" t="inlineStr">
        <is>
          <t>Yes</t>
        </is>
      </c>
      <c r="K36" s="27" t="n"/>
      <c r="L36" s="28" t="inlineStr">
        <is>
          <t>No</t>
        </is>
      </c>
      <c r="M36" s="29">
        <f>IF(E36="","",IF(H36="Yes","❌ Disc",IF(G36="No","⚠ Missing",IF(J36="Yes","✓ OK","⚠ Check"))))</f>
        <v/>
      </c>
      <c r="N36" s="43" t="n">
        <v>46193</v>
      </c>
      <c r="O36" s="26" t="inlineStr">
        <is>
          <t>Sunil CR</t>
        </is>
      </c>
      <c r="P36" s="26" t="inlineStr">
        <is>
          <t>Yes</t>
        </is>
      </c>
      <c r="Q36" s="26" t="inlineStr">
        <is>
          <t>No</t>
        </is>
      </c>
      <c r="R36" s="26" t="inlineStr">
        <is>
          <t>Good finish</t>
        </is>
      </c>
      <c r="S36" s="26" t="inlineStr">
        <is>
          <t>Yes</t>
        </is>
      </c>
      <c r="T36" s="27" t="n"/>
      <c r="U36" s="28" t="inlineStr">
        <is>
          <t>No</t>
        </is>
      </c>
      <c r="V36" s="29">
        <f>IF(N36="","",IF(Q36="Yes","❌ Disc",IF(P36="No","⚠ Missing",IF(S36="Yes","✓ OK","⚠ Check"))))</f>
        <v/>
      </c>
      <c r="W36" s="65" t="n">
        <v>46248</v>
      </c>
      <c r="X36" s="30" t="inlineStr">
        <is>
          <t>Sunil CR</t>
        </is>
      </c>
      <c r="Y36" s="30" t="inlineStr">
        <is>
          <t>Yes</t>
        </is>
      </c>
      <c r="Z36" s="30" t="n"/>
      <c r="AA36" s="30" t="inlineStr">
        <is>
          <t>Good finish</t>
        </is>
      </c>
      <c r="AB36" s="30" t="inlineStr">
        <is>
          <t>Yes</t>
        </is>
      </c>
      <c r="AC36" s="27" t="n"/>
      <c r="AD36" s="31" t="inlineStr">
        <is>
          <t>No</t>
        </is>
      </c>
      <c r="AE36" s="32">
        <f>IF(W36="","",IF(Z36="Yes","❌ Disc",IF(Y36="No","⚠ Missing",IF(AB36="Yes","✓ OK","⚠ Check"))))</f>
        <v/>
      </c>
      <c r="AF36" s="33" t="n"/>
      <c r="AG36" s="33" t="n"/>
      <c r="AH36" s="33" t="n"/>
      <c r="AI36" s="33" t="n"/>
      <c r="AJ36" s="33" t="n"/>
      <c r="AK36" s="33" t="n"/>
      <c r="AL36" s="27" t="n"/>
      <c r="AM36" s="34" t="n"/>
      <c r="AN36" s="35">
        <f>IF(AF36="","",IF(AI36="Yes","❌ Disc",IF(AH36="No","⚠ Missing",IF(AK36="Yes","✓ OK","⚠ Check"))))</f>
        <v/>
      </c>
      <c r="AO36" s="36" t="n"/>
      <c r="AP36" s="36" t="n"/>
      <c r="AQ36" s="36" t="n"/>
      <c r="AR36" s="36" t="n"/>
      <c r="AS36" s="36" t="n"/>
      <c r="AT36" s="36" t="n"/>
      <c r="AU36" s="27" t="n"/>
      <c r="AV36" s="37" t="n"/>
      <c r="AW36" s="38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BD-ACR-2023-0035</t>
        </is>
      </c>
      <c r="C37" s="25" t="inlineStr">
        <is>
          <t>Spacewood - Crystal Acrylic Coral High Gloss</t>
        </is>
      </c>
      <c r="D37" s="23" t="inlineStr">
        <is>
          <t>Spacewood</t>
        </is>
      </c>
      <c r="E37" s="43" t="n">
        <v>46125</v>
      </c>
      <c r="F37" s="26" t="inlineStr">
        <is>
          <t>Sunil CR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Good finish</t>
        </is>
      </c>
      <c r="J37" s="26" t="inlineStr">
        <is>
          <t>Yes</t>
        </is>
      </c>
      <c r="K37" s="27" t="n"/>
      <c r="L37" s="28" t="inlineStr">
        <is>
          <t>No</t>
        </is>
      </c>
      <c r="M37" s="29">
        <f>IF(E37="","",IF(H37="Yes","❌ Disc",IF(G37="No","⚠ Missing",IF(J37="Yes","✓ OK","⚠ Check"))))</f>
        <v/>
      </c>
      <c r="N37" s="43" t="n">
        <v>46193</v>
      </c>
      <c r="O37" s="26" t="inlineStr">
        <is>
          <t>Sunil CR</t>
        </is>
      </c>
      <c r="P37" s="26" t="inlineStr">
        <is>
          <t>Yes</t>
        </is>
      </c>
      <c r="Q37" s="26" t="inlineStr">
        <is>
          <t>No</t>
        </is>
      </c>
      <c r="R37" s="26" t="inlineStr">
        <is>
          <t>Good finish</t>
        </is>
      </c>
      <c r="S37" s="26" t="inlineStr">
        <is>
          <t>Yes</t>
        </is>
      </c>
      <c r="T37" s="27" t="n"/>
      <c r="U37" s="28" t="inlineStr">
        <is>
          <t>No</t>
        </is>
      </c>
      <c r="V37" s="29">
        <f>IF(N37="","",IF(Q37="Yes","❌ Disc",IF(P37="No","⚠ Missing",IF(S37="Yes","✓ OK","⚠ Check"))))</f>
        <v/>
      </c>
      <c r="W37" s="65" t="n">
        <v>46248</v>
      </c>
      <c r="X37" s="30" t="inlineStr">
        <is>
          <t>Sunil CR</t>
        </is>
      </c>
      <c r="Y37" s="30" t="inlineStr">
        <is>
          <t>Yes</t>
        </is>
      </c>
      <c r="Z37" s="30" t="n"/>
      <c r="AA37" s="30" t="inlineStr">
        <is>
          <t>Good finish</t>
        </is>
      </c>
      <c r="AB37" s="30" t="inlineStr">
        <is>
          <t>Yes</t>
        </is>
      </c>
      <c r="AC37" s="27" t="n"/>
      <c r="AD37" s="31" t="inlineStr">
        <is>
          <t>No</t>
        </is>
      </c>
      <c r="AE37" s="32">
        <f>IF(W37="","",IF(Z37="Yes","❌ Disc",IF(Y37="No","⚠ Missing",IF(AB37="Yes","✓ OK","⚠ Check"))))</f>
        <v/>
      </c>
      <c r="AF37" s="33" t="n"/>
      <c r="AG37" s="33" t="n"/>
      <c r="AH37" s="33" t="n"/>
      <c r="AI37" s="33" t="n"/>
      <c r="AJ37" s="33" t="n"/>
      <c r="AK37" s="33" t="n"/>
      <c r="AL37" s="27" t="n"/>
      <c r="AM37" s="34" t="n"/>
      <c r="AN37" s="35">
        <f>IF(AF37="","",IF(AI37="Yes","❌ Disc",IF(AH37="No","⚠ Missing",IF(AK37="Yes","✓ OK","⚠ Check"))))</f>
        <v/>
      </c>
      <c r="AO37" s="36" t="n"/>
      <c r="AP37" s="36" t="n"/>
      <c r="AQ37" s="36" t="n"/>
      <c r="AR37" s="36" t="n"/>
      <c r="AS37" s="36" t="n"/>
      <c r="AT37" s="36" t="n"/>
      <c r="AU37" s="27" t="n"/>
      <c r="AV37" s="37" t="n"/>
      <c r="AW37" s="38">
        <f>IF(AO37="","",IF(AR37="Yes","❌ Disc",IF(AQ37="No","⚠ Missing",IF(AT37="Yes","✓ OK","⚠ Check"))))</f>
        <v/>
      </c>
    </row>
    <row r="38" ht="18" customHeight="1" s="46">
      <c r="A38" s="39" t="n">
        <v>34</v>
      </c>
      <c r="B38" s="40" t="inlineStr">
        <is>
          <t>BD-ACR-2023-0016</t>
        </is>
      </c>
      <c r="C38" s="41" t="inlineStr">
        <is>
          <t>Spacewood - Crystal Acrylic Coral Super Matt</t>
        </is>
      </c>
      <c r="D38" s="39" t="inlineStr">
        <is>
          <t>Spacewood</t>
        </is>
      </c>
      <c r="E38" s="43" t="n">
        <v>46125</v>
      </c>
      <c r="F38" s="26" t="inlineStr">
        <is>
          <t>Sunil CR</t>
        </is>
      </c>
      <c r="G38" s="26" t="inlineStr">
        <is>
          <t>Yes</t>
        </is>
      </c>
      <c r="H38" s="26" t="inlineStr">
        <is>
          <t>No</t>
        </is>
      </c>
      <c r="I38" s="26" t="inlineStr">
        <is>
          <t>Good finish</t>
        </is>
      </c>
      <c r="J38" s="26" t="inlineStr">
        <is>
          <t>Yes</t>
        </is>
      </c>
      <c r="K38" s="27" t="n"/>
      <c r="L38" s="28" t="inlineStr">
        <is>
          <t>No</t>
        </is>
      </c>
      <c r="M38" s="29">
        <f>IF(E38="","",IF(H38="Yes","❌ Disc",IF(G38="No","⚠ Missing",IF(J38="Yes","✓ OK","⚠ Check"))))</f>
        <v/>
      </c>
      <c r="N38" s="43" t="n">
        <v>46193</v>
      </c>
      <c r="O38" s="26" t="inlineStr">
        <is>
          <t>Sunil CR</t>
        </is>
      </c>
      <c r="P38" s="26" t="inlineStr">
        <is>
          <t>Yes</t>
        </is>
      </c>
      <c r="Q38" s="26" t="inlineStr">
        <is>
          <t>No</t>
        </is>
      </c>
      <c r="R38" s="26" t="inlineStr">
        <is>
          <t>Good finish</t>
        </is>
      </c>
      <c r="S38" s="26" t="inlineStr">
        <is>
          <t>Yes</t>
        </is>
      </c>
      <c r="T38" s="27" t="n"/>
      <c r="U38" s="28" t="inlineStr">
        <is>
          <t>No</t>
        </is>
      </c>
      <c r="V38" s="29">
        <f>IF(N38="","",IF(Q38="Yes","❌ Disc",IF(P38="No","⚠ Missing",IF(S38="Yes","✓ OK","⚠ Check"))))</f>
        <v/>
      </c>
      <c r="W38" s="65" t="n">
        <v>46248</v>
      </c>
      <c r="X38" s="30" t="inlineStr">
        <is>
          <t>Sunil CR</t>
        </is>
      </c>
      <c r="Y38" s="30" t="inlineStr">
        <is>
          <t>Yes</t>
        </is>
      </c>
      <c r="Z38" s="30" t="n"/>
      <c r="AA38" s="30" t="inlineStr">
        <is>
          <t>Good finish</t>
        </is>
      </c>
      <c r="AB38" s="30" t="inlineStr">
        <is>
          <t>Yes</t>
        </is>
      </c>
      <c r="AC38" s="27" t="n"/>
      <c r="AD38" s="31" t="inlineStr">
        <is>
          <t>No</t>
        </is>
      </c>
      <c r="AE38" s="32">
        <f>IF(W38="","",IF(Z38="Yes","❌ Disc",IF(Y38="No","⚠ Missing",IF(AB38="Yes","✓ OK","⚠ Check"))))</f>
        <v/>
      </c>
      <c r="AF38" s="33" t="n"/>
      <c r="AG38" s="33" t="n"/>
      <c r="AH38" s="33" t="n"/>
      <c r="AI38" s="33" t="n"/>
      <c r="AJ38" s="33" t="n"/>
      <c r="AK38" s="33" t="n"/>
      <c r="AL38" s="27" t="n"/>
      <c r="AM38" s="34" t="n"/>
      <c r="AN38" s="35">
        <f>IF(AF38="","",IF(AI38="Yes","❌ Disc",IF(AH38="No","⚠ Missing",IF(AK38="Yes","✓ OK","⚠ Check"))))</f>
        <v/>
      </c>
      <c r="AO38" s="36" t="n"/>
      <c r="AP38" s="36" t="n"/>
      <c r="AQ38" s="36" t="n"/>
      <c r="AR38" s="36" t="n"/>
      <c r="AS38" s="36" t="n"/>
      <c r="AT38" s="36" t="n"/>
      <c r="AU38" s="27" t="n"/>
      <c r="AV38" s="37" t="n"/>
      <c r="AW38" s="38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BD-ACR-2023-0022</t>
        </is>
      </c>
      <c r="C39" s="25" t="inlineStr">
        <is>
          <t>Spacewood - Crystal Acrylic Fog High Gloss</t>
        </is>
      </c>
      <c r="D39" s="23" t="inlineStr">
        <is>
          <t>Spacewood</t>
        </is>
      </c>
      <c r="E39" s="43" t="n">
        <v>46125</v>
      </c>
      <c r="F39" s="26" t="inlineStr">
        <is>
          <t>Sunil CR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Good finish</t>
        </is>
      </c>
      <c r="J39" s="26" t="inlineStr">
        <is>
          <t>Yes</t>
        </is>
      </c>
      <c r="K39" s="27" t="n"/>
      <c r="L39" s="28" t="inlineStr">
        <is>
          <t>No</t>
        </is>
      </c>
      <c r="M39" s="29">
        <f>IF(E39="","",IF(H39="Yes","❌ Disc",IF(G39="No","⚠ Missing",IF(J39="Yes","✓ OK","⚠ Check"))))</f>
        <v/>
      </c>
      <c r="N39" s="43" t="n">
        <v>46193</v>
      </c>
      <c r="O39" s="26" t="inlineStr">
        <is>
          <t>Sunil CR</t>
        </is>
      </c>
      <c r="P39" s="26" t="inlineStr">
        <is>
          <t>Yes</t>
        </is>
      </c>
      <c r="Q39" s="26" t="inlineStr">
        <is>
          <t>No</t>
        </is>
      </c>
      <c r="R39" s="26" t="inlineStr">
        <is>
          <t>Good finish</t>
        </is>
      </c>
      <c r="S39" s="26" t="inlineStr">
        <is>
          <t>Yes</t>
        </is>
      </c>
      <c r="T39" s="27" t="n"/>
      <c r="U39" s="28" t="inlineStr">
        <is>
          <t>No</t>
        </is>
      </c>
      <c r="V39" s="29">
        <f>IF(N39="","",IF(Q39="Yes","❌ Disc",IF(P39="No","⚠ Missing",IF(S39="Yes","✓ OK","⚠ Check"))))</f>
        <v/>
      </c>
      <c r="W39" s="65" t="n">
        <v>46248</v>
      </c>
      <c r="X39" s="30" t="inlineStr">
        <is>
          <t>Sunil CR</t>
        </is>
      </c>
      <c r="Y39" s="30" t="inlineStr">
        <is>
          <t>Yes</t>
        </is>
      </c>
      <c r="Z39" s="30" t="n"/>
      <c r="AA39" s="30" t="inlineStr">
        <is>
          <t>Good finish</t>
        </is>
      </c>
      <c r="AB39" s="30" t="inlineStr">
        <is>
          <t>Yes</t>
        </is>
      </c>
      <c r="AC39" s="27" t="n"/>
      <c r="AD39" s="31" t="inlineStr">
        <is>
          <t>No</t>
        </is>
      </c>
      <c r="AE39" s="32">
        <f>IF(W39="","",IF(Z39="Yes","❌ Disc",IF(Y39="No","⚠ Missing",IF(AB39="Yes","✓ OK","⚠ Check"))))</f>
        <v/>
      </c>
      <c r="AF39" s="33" t="n"/>
      <c r="AG39" s="33" t="n"/>
      <c r="AH39" s="33" t="n"/>
      <c r="AI39" s="33" t="n"/>
      <c r="AJ39" s="33" t="n"/>
      <c r="AK39" s="33" t="n"/>
      <c r="AL39" s="27" t="n"/>
      <c r="AM39" s="34" t="n"/>
      <c r="AN39" s="35">
        <f>IF(AF39="","",IF(AI39="Yes","❌ Disc",IF(AH39="No","⚠ Missing",IF(AK39="Yes","✓ OK","⚠ Check"))))</f>
        <v/>
      </c>
      <c r="AO39" s="36" t="n"/>
      <c r="AP39" s="36" t="n"/>
      <c r="AQ39" s="36" t="n"/>
      <c r="AR39" s="36" t="n"/>
      <c r="AS39" s="36" t="n"/>
      <c r="AT39" s="36" t="n"/>
      <c r="AU39" s="27" t="n"/>
      <c r="AV39" s="37" t="n"/>
      <c r="AW39" s="38">
        <f>IF(AO39="","",IF(AR39="Yes","❌ Disc",IF(AQ39="No","⚠ Missing",IF(AT39="Yes","✓ OK","⚠ Check"))))</f>
        <v/>
      </c>
    </row>
    <row r="40" ht="18" customHeight="1" s="46">
      <c r="A40" s="39" t="n">
        <v>36</v>
      </c>
      <c r="B40" s="40" t="inlineStr">
        <is>
          <t>BD-ACR-2023-0003</t>
        </is>
      </c>
      <c r="C40" s="41" t="inlineStr">
        <is>
          <t>Spacewood - Crystal Acrylic Fog Super Matt</t>
        </is>
      </c>
      <c r="D40" s="39" t="inlineStr">
        <is>
          <t>Spacewood</t>
        </is>
      </c>
      <c r="E40" s="43" t="n">
        <v>46125</v>
      </c>
      <c r="F40" s="26" t="inlineStr">
        <is>
          <t>Sunil CR</t>
        </is>
      </c>
      <c r="G40" s="26" t="inlineStr">
        <is>
          <t>Yes</t>
        </is>
      </c>
      <c r="H40" s="26" t="inlineStr">
        <is>
          <t>No</t>
        </is>
      </c>
      <c r="I40" s="26" t="inlineStr">
        <is>
          <t>Good finish</t>
        </is>
      </c>
      <c r="J40" s="26" t="inlineStr">
        <is>
          <t>Yes</t>
        </is>
      </c>
      <c r="K40" s="27" t="n"/>
      <c r="L40" s="28" t="inlineStr">
        <is>
          <t>No</t>
        </is>
      </c>
      <c r="M40" s="29">
        <f>IF(E40="","",IF(H40="Yes","❌ Disc",IF(G40="No","⚠ Missing",IF(J40="Yes","✓ OK","⚠ Check"))))</f>
        <v/>
      </c>
      <c r="N40" s="43" t="n">
        <v>46193</v>
      </c>
      <c r="O40" s="26" t="inlineStr">
        <is>
          <t>Sunil CR</t>
        </is>
      </c>
      <c r="P40" s="26" t="inlineStr">
        <is>
          <t>Yes</t>
        </is>
      </c>
      <c r="Q40" s="26" t="inlineStr">
        <is>
          <t>No</t>
        </is>
      </c>
      <c r="R40" s="26" t="inlineStr">
        <is>
          <t>Good finish</t>
        </is>
      </c>
      <c r="S40" s="26" t="inlineStr">
        <is>
          <t>Yes</t>
        </is>
      </c>
      <c r="T40" s="27" t="n"/>
      <c r="U40" s="28" t="inlineStr">
        <is>
          <t>No</t>
        </is>
      </c>
      <c r="V40" s="29">
        <f>IF(N40="","",IF(Q40="Yes","❌ Disc",IF(P40="No","⚠ Missing",IF(S40="Yes","✓ OK","⚠ Check"))))</f>
        <v/>
      </c>
      <c r="W40" s="65" t="n">
        <v>46248</v>
      </c>
      <c r="X40" s="30" t="inlineStr">
        <is>
          <t>Sunil CR</t>
        </is>
      </c>
      <c r="Y40" s="30" t="inlineStr">
        <is>
          <t>Yes</t>
        </is>
      </c>
      <c r="Z40" s="30" t="n"/>
      <c r="AA40" s="30" t="inlineStr">
        <is>
          <t>Good finish</t>
        </is>
      </c>
      <c r="AB40" s="30" t="inlineStr">
        <is>
          <t>Yes</t>
        </is>
      </c>
      <c r="AC40" s="27" t="n"/>
      <c r="AD40" s="31" t="inlineStr">
        <is>
          <t>No</t>
        </is>
      </c>
      <c r="AE40" s="32">
        <f>IF(W40="","",IF(Z40="Yes","❌ Disc",IF(Y40="No","⚠ Missing",IF(AB40="Yes","✓ OK","⚠ Check"))))</f>
        <v/>
      </c>
      <c r="AF40" s="33" t="n"/>
      <c r="AG40" s="33" t="n"/>
      <c r="AH40" s="33" t="n"/>
      <c r="AI40" s="33" t="n"/>
      <c r="AJ40" s="33" t="n"/>
      <c r="AK40" s="33" t="n"/>
      <c r="AL40" s="27" t="n"/>
      <c r="AM40" s="34" t="n"/>
      <c r="AN40" s="35">
        <f>IF(AF40="","",IF(AI40="Yes","❌ Disc",IF(AH40="No","⚠ Missing",IF(AK40="Yes","✓ OK","⚠ Check"))))</f>
        <v/>
      </c>
      <c r="AO40" s="36" t="n"/>
      <c r="AP40" s="36" t="n"/>
      <c r="AQ40" s="36" t="n"/>
      <c r="AR40" s="36" t="n"/>
      <c r="AS40" s="36" t="n"/>
      <c r="AT40" s="36" t="n"/>
      <c r="AU40" s="27" t="n"/>
      <c r="AV40" s="37" t="n"/>
      <c r="AW40" s="38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BD-ACR-2023-0033</t>
        </is>
      </c>
      <c r="C41" s="25" t="inlineStr">
        <is>
          <t>Spacewood - Crystal Acrylic Fumo High Gloss</t>
        </is>
      </c>
      <c r="D41" s="23" t="inlineStr">
        <is>
          <t>Spacewood</t>
        </is>
      </c>
      <c r="E41" s="43" t="n">
        <v>46125</v>
      </c>
      <c r="F41" s="26" t="inlineStr">
        <is>
          <t>Sunil CR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Good finish</t>
        </is>
      </c>
      <c r="J41" s="26" t="inlineStr">
        <is>
          <t>Yes</t>
        </is>
      </c>
      <c r="K41" s="27" t="n"/>
      <c r="L41" s="28" t="inlineStr">
        <is>
          <t>No</t>
        </is>
      </c>
      <c r="M41" s="29">
        <f>IF(E41="","",IF(H41="Yes","❌ Disc",IF(G41="No","⚠ Missing",IF(J41="Yes","✓ OK","⚠ Check"))))</f>
        <v/>
      </c>
      <c r="N41" s="43" t="n">
        <v>46193</v>
      </c>
      <c r="O41" s="26" t="inlineStr">
        <is>
          <t>Sunil CR</t>
        </is>
      </c>
      <c r="P41" s="26" t="inlineStr">
        <is>
          <t>Yes</t>
        </is>
      </c>
      <c r="Q41" s="26" t="inlineStr">
        <is>
          <t>No</t>
        </is>
      </c>
      <c r="R41" s="26" t="inlineStr">
        <is>
          <t>Good finish</t>
        </is>
      </c>
      <c r="S41" s="26" t="inlineStr">
        <is>
          <t>Yes</t>
        </is>
      </c>
      <c r="T41" s="27" t="n"/>
      <c r="U41" s="28" t="inlineStr">
        <is>
          <t>No</t>
        </is>
      </c>
      <c r="V41" s="29">
        <f>IF(N41="","",IF(Q41="Yes","❌ Disc",IF(P41="No","⚠ Missing",IF(S41="Yes","✓ OK","⚠ Check"))))</f>
        <v/>
      </c>
      <c r="W41" s="65" t="n">
        <v>46248</v>
      </c>
      <c r="X41" s="30" t="inlineStr">
        <is>
          <t>Sunil CR</t>
        </is>
      </c>
      <c r="Y41" s="30" t="inlineStr">
        <is>
          <t>Yes</t>
        </is>
      </c>
      <c r="Z41" s="30" t="n"/>
      <c r="AA41" s="30" t="inlineStr">
        <is>
          <t>Good finish</t>
        </is>
      </c>
      <c r="AB41" s="30" t="inlineStr">
        <is>
          <t>Yes</t>
        </is>
      </c>
      <c r="AC41" s="27" t="n"/>
      <c r="AD41" s="31" t="inlineStr">
        <is>
          <t>No</t>
        </is>
      </c>
      <c r="AE41" s="32">
        <f>IF(W41="","",IF(Z41="Yes","❌ Disc",IF(Y41="No","⚠ Missing",IF(AB41="Yes","✓ OK","⚠ Check"))))</f>
        <v/>
      </c>
      <c r="AF41" s="33" t="n"/>
      <c r="AG41" s="33" t="n"/>
      <c r="AH41" s="33" t="n"/>
      <c r="AI41" s="33" t="n"/>
      <c r="AJ41" s="33" t="n"/>
      <c r="AK41" s="33" t="n"/>
      <c r="AL41" s="27" t="n"/>
      <c r="AM41" s="34" t="n"/>
      <c r="AN41" s="35">
        <f>IF(AF41="","",IF(AI41="Yes","❌ Disc",IF(AH41="No","⚠ Missing",IF(AK41="Yes","✓ OK","⚠ Check"))))</f>
        <v/>
      </c>
      <c r="AO41" s="36" t="n"/>
      <c r="AP41" s="36" t="n"/>
      <c r="AQ41" s="36" t="n"/>
      <c r="AR41" s="36" t="n"/>
      <c r="AS41" s="36" t="n"/>
      <c r="AT41" s="36" t="n"/>
      <c r="AU41" s="27" t="n"/>
      <c r="AV41" s="37" t="n"/>
      <c r="AW41" s="38">
        <f>IF(AO41="","",IF(AR41="Yes","❌ Disc",IF(AQ41="No","⚠ Missing",IF(AT41="Yes","✓ OK","⚠ Check"))))</f>
        <v/>
      </c>
    </row>
    <row r="42" ht="18" customHeight="1" s="46">
      <c r="A42" s="39" t="n">
        <v>38</v>
      </c>
      <c r="B42" s="40" t="inlineStr">
        <is>
          <t>BD-ACR-2023-0014</t>
        </is>
      </c>
      <c r="C42" s="41" t="inlineStr">
        <is>
          <t>Spacewood - Crystal Acrylic Fumo Super Matt</t>
        </is>
      </c>
      <c r="D42" s="39" t="inlineStr">
        <is>
          <t>Spacewood</t>
        </is>
      </c>
      <c r="E42" s="43" t="n">
        <v>46125</v>
      </c>
      <c r="F42" s="26" t="inlineStr">
        <is>
          <t>Sunil CR</t>
        </is>
      </c>
      <c r="G42" s="26" t="inlineStr">
        <is>
          <t>Yes</t>
        </is>
      </c>
      <c r="H42" s="26" t="inlineStr">
        <is>
          <t>No</t>
        </is>
      </c>
      <c r="I42" s="26" t="inlineStr">
        <is>
          <t>Good finish</t>
        </is>
      </c>
      <c r="J42" s="26" t="inlineStr">
        <is>
          <t>Yes</t>
        </is>
      </c>
      <c r="K42" s="27" t="n"/>
      <c r="L42" s="28" t="inlineStr">
        <is>
          <t>No</t>
        </is>
      </c>
      <c r="M42" s="29">
        <f>IF(E42="","",IF(H42="Yes","❌ Disc",IF(G42="No","⚠ Missing",IF(J42="Yes","✓ OK","⚠ Check"))))</f>
        <v/>
      </c>
      <c r="N42" s="43" t="n">
        <v>46193</v>
      </c>
      <c r="O42" s="26" t="inlineStr">
        <is>
          <t>Sunil CR</t>
        </is>
      </c>
      <c r="P42" s="26" t="inlineStr">
        <is>
          <t>Yes</t>
        </is>
      </c>
      <c r="Q42" s="26" t="inlineStr">
        <is>
          <t>No</t>
        </is>
      </c>
      <c r="R42" s="26" t="inlineStr">
        <is>
          <t>Good finish</t>
        </is>
      </c>
      <c r="S42" s="26" t="inlineStr">
        <is>
          <t>Yes</t>
        </is>
      </c>
      <c r="T42" s="27" t="n"/>
      <c r="U42" s="28" t="inlineStr">
        <is>
          <t>No</t>
        </is>
      </c>
      <c r="V42" s="29">
        <f>IF(N42="","",IF(Q42="Yes","❌ Disc",IF(P42="No","⚠ Missing",IF(S42="Yes","✓ OK","⚠ Check"))))</f>
        <v/>
      </c>
      <c r="W42" s="65" t="n">
        <v>46248</v>
      </c>
      <c r="X42" s="30" t="inlineStr">
        <is>
          <t>Sunil CR</t>
        </is>
      </c>
      <c r="Y42" s="30" t="inlineStr">
        <is>
          <t>Yes</t>
        </is>
      </c>
      <c r="Z42" s="30" t="n"/>
      <c r="AA42" s="30" t="inlineStr">
        <is>
          <t>Good finish</t>
        </is>
      </c>
      <c r="AB42" s="30" t="inlineStr">
        <is>
          <t>Yes</t>
        </is>
      </c>
      <c r="AC42" s="27" t="n"/>
      <c r="AD42" s="31" t="inlineStr">
        <is>
          <t>No</t>
        </is>
      </c>
      <c r="AE42" s="32">
        <f>IF(W42="","",IF(Z42="Yes","❌ Disc",IF(Y42="No","⚠ Missing",IF(AB42="Yes","✓ OK","⚠ Check"))))</f>
        <v/>
      </c>
      <c r="AF42" s="33" t="n"/>
      <c r="AG42" s="33" t="n"/>
      <c r="AH42" s="33" t="n"/>
      <c r="AI42" s="33" t="n"/>
      <c r="AJ42" s="33" t="n"/>
      <c r="AK42" s="33" t="n"/>
      <c r="AL42" s="27" t="n"/>
      <c r="AM42" s="34" t="n"/>
      <c r="AN42" s="35">
        <f>IF(AF42="","",IF(AI42="Yes","❌ Disc",IF(AH42="No","⚠ Missing",IF(AK42="Yes","✓ OK","⚠ Check"))))</f>
        <v/>
      </c>
      <c r="AO42" s="36" t="n"/>
      <c r="AP42" s="36" t="n"/>
      <c r="AQ42" s="36" t="n"/>
      <c r="AR42" s="36" t="n"/>
      <c r="AS42" s="36" t="n"/>
      <c r="AT42" s="36" t="n"/>
      <c r="AU42" s="27" t="n"/>
      <c r="AV42" s="37" t="n"/>
      <c r="AW42" s="38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BD-ACR-2023-0034</t>
        </is>
      </c>
      <c r="C43" s="25" t="inlineStr">
        <is>
          <t>Spacewood - Crystal Acrylic Lagoon High Gloss</t>
        </is>
      </c>
      <c r="D43" s="23" t="inlineStr">
        <is>
          <t>Spacewood</t>
        </is>
      </c>
      <c r="E43" s="43" t="n">
        <v>46125</v>
      </c>
      <c r="F43" s="26" t="inlineStr">
        <is>
          <t>Sunil CR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Good finish</t>
        </is>
      </c>
      <c r="J43" s="26" t="inlineStr">
        <is>
          <t>Yes</t>
        </is>
      </c>
      <c r="K43" s="27" t="n"/>
      <c r="L43" s="28" t="inlineStr">
        <is>
          <t>No</t>
        </is>
      </c>
      <c r="M43" s="29">
        <f>IF(E43="","",IF(H43="Yes","❌ Disc",IF(G43="No","⚠ Missing",IF(J43="Yes","✓ OK","⚠ Check"))))</f>
        <v/>
      </c>
      <c r="N43" s="43" t="n">
        <v>46193</v>
      </c>
      <c r="O43" s="26" t="inlineStr">
        <is>
          <t>Sunil CR</t>
        </is>
      </c>
      <c r="P43" s="26" t="inlineStr">
        <is>
          <t>Yes</t>
        </is>
      </c>
      <c r="Q43" s="26" t="inlineStr">
        <is>
          <t>No</t>
        </is>
      </c>
      <c r="R43" s="26" t="inlineStr">
        <is>
          <t>Good finish</t>
        </is>
      </c>
      <c r="S43" s="26" t="inlineStr">
        <is>
          <t>Yes</t>
        </is>
      </c>
      <c r="T43" s="27" t="n"/>
      <c r="U43" s="28" t="inlineStr">
        <is>
          <t>No</t>
        </is>
      </c>
      <c r="V43" s="29">
        <f>IF(N43="","",IF(Q43="Yes","❌ Disc",IF(P43="No","⚠ Missing",IF(S43="Yes","✓ OK","⚠ Check"))))</f>
        <v/>
      </c>
      <c r="W43" s="65" t="n">
        <v>46248</v>
      </c>
      <c r="X43" s="30" t="inlineStr">
        <is>
          <t>Sunil CR</t>
        </is>
      </c>
      <c r="Y43" s="30" t="inlineStr">
        <is>
          <t>Yes</t>
        </is>
      </c>
      <c r="Z43" s="30" t="n"/>
      <c r="AA43" s="30" t="inlineStr">
        <is>
          <t>Good finish</t>
        </is>
      </c>
      <c r="AB43" s="30" t="inlineStr">
        <is>
          <t>Yes</t>
        </is>
      </c>
      <c r="AC43" s="27" t="n"/>
      <c r="AD43" s="31" t="inlineStr">
        <is>
          <t>No</t>
        </is>
      </c>
      <c r="AE43" s="32">
        <f>IF(W43="","",IF(Z43="Yes","❌ Disc",IF(Y43="No","⚠ Missing",IF(AB43="Yes","✓ OK","⚠ Check"))))</f>
        <v/>
      </c>
      <c r="AF43" s="33" t="n"/>
      <c r="AG43" s="33" t="n"/>
      <c r="AH43" s="33" t="n"/>
      <c r="AI43" s="33" t="n"/>
      <c r="AJ43" s="33" t="n"/>
      <c r="AK43" s="33" t="n"/>
      <c r="AL43" s="27" t="n"/>
      <c r="AM43" s="34" t="n"/>
      <c r="AN43" s="35">
        <f>IF(AF43="","",IF(AI43="Yes","❌ Disc",IF(AH43="No","⚠ Missing",IF(AK43="Yes","✓ OK","⚠ Check"))))</f>
        <v/>
      </c>
      <c r="AO43" s="36" t="n"/>
      <c r="AP43" s="36" t="n"/>
      <c r="AQ43" s="36" t="n"/>
      <c r="AR43" s="36" t="n"/>
      <c r="AS43" s="36" t="n"/>
      <c r="AT43" s="36" t="n"/>
      <c r="AU43" s="27" t="n"/>
      <c r="AV43" s="37" t="n"/>
      <c r="AW43" s="38">
        <f>IF(AO43="","",IF(AR43="Yes","❌ Disc",IF(AQ43="No","⚠ Missing",IF(AT43="Yes","✓ OK","⚠ Check"))))</f>
        <v/>
      </c>
    </row>
    <row r="44" ht="18" customHeight="1" s="46">
      <c r="A44" s="39" t="n">
        <v>40</v>
      </c>
      <c r="B44" s="40" t="inlineStr">
        <is>
          <t>BD-ACR-2023-0015</t>
        </is>
      </c>
      <c r="C44" s="41" t="inlineStr">
        <is>
          <t>Spacewood - Crystal Acrylic Lagoon Super Matt</t>
        </is>
      </c>
      <c r="D44" s="39" t="inlineStr">
        <is>
          <t>Spacewood</t>
        </is>
      </c>
      <c r="E44" s="43" t="n">
        <v>46125</v>
      </c>
      <c r="F44" s="26" t="inlineStr">
        <is>
          <t>Sunil CR</t>
        </is>
      </c>
      <c r="G44" s="26" t="inlineStr">
        <is>
          <t>Yes</t>
        </is>
      </c>
      <c r="H44" s="26" t="inlineStr">
        <is>
          <t>No</t>
        </is>
      </c>
      <c r="I44" s="26" t="inlineStr">
        <is>
          <t>Good finish</t>
        </is>
      </c>
      <c r="J44" s="26" t="inlineStr">
        <is>
          <t>Yes</t>
        </is>
      </c>
      <c r="K44" s="27" t="n"/>
      <c r="L44" s="28" t="inlineStr">
        <is>
          <t>No</t>
        </is>
      </c>
      <c r="M44" s="29">
        <f>IF(E44="","",IF(H44="Yes","❌ Disc",IF(G44="No","⚠ Missing",IF(J44="Yes","✓ OK","⚠ Check"))))</f>
        <v/>
      </c>
      <c r="N44" s="43" t="n">
        <v>46193</v>
      </c>
      <c r="O44" s="26" t="inlineStr">
        <is>
          <t>Sunil CR</t>
        </is>
      </c>
      <c r="P44" s="26" t="inlineStr">
        <is>
          <t>Yes</t>
        </is>
      </c>
      <c r="Q44" s="26" t="inlineStr">
        <is>
          <t>No</t>
        </is>
      </c>
      <c r="R44" s="26" t="inlineStr">
        <is>
          <t>Good finish</t>
        </is>
      </c>
      <c r="S44" s="26" t="inlineStr">
        <is>
          <t>Yes</t>
        </is>
      </c>
      <c r="T44" s="27" t="n"/>
      <c r="U44" s="28" t="inlineStr">
        <is>
          <t>No</t>
        </is>
      </c>
      <c r="V44" s="29">
        <f>IF(N44="","",IF(Q44="Yes","❌ Disc",IF(P44="No","⚠ Missing",IF(S44="Yes","✓ OK","⚠ Check"))))</f>
        <v/>
      </c>
      <c r="W44" s="65" t="n">
        <v>46248</v>
      </c>
      <c r="X44" s="30" t="inlineStr">
        <is>
          <t>Sunil CR</t>
        </is>
      </c>
      <c r="Y44" s="30" t="inlineStr">
        <is>
          <t>Yes</t>
        </is>
      </c>
      <c r="Z44" s="30" t="n"/>
      <c r="AA44" s="30" t="inlineStr">
        <is>
          <t>Good finish</t>
        </is>
      </c>
      <c r="AB44" s="30" t="inlineStr">
        <is>
          <t>Yes</t>
        </is>
      </c>
      <c r="AC44" s="27" t="n"/>
      <c r="AD44" s="31" t="inlineStr">
        <is>
          <t>No</t>
        </is>
      </c>
      <c r="AE44" s="32">
        <f>IF(W44="","",IF(Z44="Yes","❌ Disc",IF(Y44="No","⚠ Missing",IF(AB44="Yes","✓ OK","⚠ Check"))))</f>
        <v/>
      </c>
      <c r="AF44" s="33" t="n"/>
      <c r="AG44" s="33" t="n"/>
      <c r="AH44" s="33" t="n"/>
      <c r="AI44" s="33" t="n"/>
      <c r="AJ44" s="33" t="n"/>
      <c r="AK44" s="33" t="n"/>
      <c r="AL44" s="27" t="n"/>
      <c r="AM44" s="34" t="n"/>
      <c r="AN44" s="35">
        <f>IF(AF44="","",IF(AI44="Yes","❌ Disc",IF(AH44="No","⚠ Missing",IF(AK44="Yes","✓ OK","⚠ Check"))))</f>
        <v/>
      </c>
      <c r="AO44" s="36" t="n"/>
      <c r="AP44" s="36" t="n"/>
      <c r="AQ44" s="36" t="n"/>
      <c r="AR44" s="36" t="n"/>
      <c r="AS44" s="36" t="n"/>
      <c r="AT44" s="36" t="n"/>
      <c r="AU44" s="27" t="n"/>
      <c r="AV44" s="37" t="n"/>
      <c r="AW44" s="38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BD-ACR-2023-0024</t>
        </is>
      </c>
      <c r="C45" s="25" t="inlineStr">
        <is>
          <t>Spacewood - Crystal Acrylic Magnolia High Gloss</t>
        </is>
      </c>
      <c r="D45" s="23" t="inlineStr">
        <is>
          <t>Spacewood</t>
        </is>
      </c>
      <c r="E45" s="43" t="n">
        <v>46125</v>
      </c>
      <c r="F45" s="26" t="inlineStr">
        <is>
          <t>Sunil CR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Good finish</t>
        </is>
      </c>
      <c r="J45" s="26" t="inlineStr">
        <is>
          <t>Yes</t>
        </is>
      </c>
      <c r="K45" s="27" t="n"/>
      <c r="L45" s="28" t="inlineStr">
        <is>
          <t>No</t>
        </is>
      </c>
      <c r="M45" s="29">
        <f>IF(E45="","",IF(H45="Yes","❌ Disc",IF(G45="No","⚠ Missing",IF(J45="Yes","✓ OK","⚠ Check"))))</f>
        <v/>
      </c>
      <c r="N45" s="43" t="n">
        <v>46193</v>
      </c>
      <c r="O45" s="26" t="inlineStr">
        <is>
          <t>Sunil CR</t>
        </is>
      </c>
      <c r="P45" s="26" t="inlineStr">
        <is>
          <t>Yes</t>
        </is>
      </c>
      <c r="Q45" s="26" t="inlineStr">
        <is>
          <t>No</t>
        </is>
      </c>
      <c r="R45" s="26" t="inlineStr">
        <is>
          <t>Good finish</t>
        </is>
      </c>
      <c r="S45" s="26" t="inlineStr">
        <is>
          <t>Yes</t>
        </is>
      </c>
      <c r="T45" s="27" t="n"/>
      <c r="U45" s="28" t="inlineStr">
        <is>
          <t>No</t>
        </is>
      </c>
      <c r="V45" s="29">
        <f>IF(N45="","",IF(Q45="Yes","❌ Disc",IF(P45="No","⚠ Missing",IF(S45="Yes","✓ OK","⚠ Check"))))</f>
        <v/>
      </c>
      <c r="W45" s="65" t="n">
        <v>46248</v>
      </c>
      <c r="X45" s="30" t="inlineStr">
        <is>
          <t>Sunil CR</t>
        </is>
      </c>
      <c r="Y45" s="30" t="inlineStr">
        <is>
          <t>Yes</t>
        </is>
      </c>
      <c r="Z45" s="30" t="n"/>
      <c r="AA45" s="30" t="inlineStr">
        <is>
          <t>Good finish</t>
        </is>
      </c>
      <c r="AB45" s="30" t="inlineStr">
        <is>
          <t>Yes</t>
        </is>
      </c>
      <c r="AC45" s="27" t="n"/>
      <c r="AD45" s="31" t="inlineStr">
        <is>
          <t>No</t>
        </is>
      </c>
      <c r="AE45" s="32">
        <f>IF(W45="","",IF(Z45="Yes","❌ Disc",IF(Y45="No","⚠ Missing",IF(AB45="Yes","✓ OK","⚠ Check"))))</f>
        <v/>
      </c>
      <c r="AF45" s="33" t="n"/>
      <c r="AG45" s="33" t="n"/>
      <c r="AH45" s="33" t="n"/>
      <c r="AI45" s="33" t="n"/>
      <c r="AJ45" s="33" t="n"/>
      <c r="AK45" s="33" t="n"/>
      <c r="AL45" s="27" t="n"/>
      <c r="AM45" s="34" t="n"/>
      <c r="AN45" s="35">
        <f>IF(AF45="","",IF(AI45="Yes","❌ Disc",IF(AH45="No","⚠ Missing",IF(AK45="Yes","✓ OK","⚠ Check"))))</f>
        <v/>
      </c>
      <c r="AO45" s="36" t="n"/>
      <c r="AP45" s="36" t="n"/>
      <c r="AQ45" s="36" t="n"/>
      <c r="AR45" s="36" t="n"/>
      <c r="AS45" s="36" t="n"/>
      <c r="AT45" s="36" t="n"/>
      <c r="AU45" s="27" t="n"/>
      <c r="AV45" s="37" t="n"/>
      <c r="AW45" s="38">
        <f>IF(AO45="","",IF(AR45="Yes","❌ Disc",IF(AQ45="No","⚠ Missing",IF(AT45="Yes","✓ OK","⚠ Check"))))</f>
        <v/>
      </c>
    </row>
    <row r="46" ht="18" customHeight="1" s="46">
      <c r="A46" s="39" t="n">
        <v>42</v>
      </c>
      <c r="B46" s="40" t="inlineStr">
        <is>
          <t>BD-ACR-2023-0005</t>
        </is>
      </c>
      <c r="C46" s="41" t="inlineStr">
        <is>
          <t>Spacewood - Crystal Acrylic Magnolia Super Matt</t>
        </is>
      </c>
      <c r="D46" s="39" t="inlineStr">
        <is>
          <t>Spacewood</t>
        </is>
      </c>
      <c r="E46" s="43" t="n">
        <v>46125</v>
      </c>
      <c r="F46" s="26" t="inlineStr">
        <is>
          <t>Sunil CR</t>
        </is>
      </c>
      <c r="G46" s="26" t="inlineStr">
        <is>
          <t>Yes</t>
        </is>
      </c>
      <c r="H46" s="26" t="inlineStr">
        <is>
          <t>No</t>
        </is>
      </c>
      <c r="I46" s="26" t="inlineStr">
        <is>
          <t>Good finish</t>
        </is>
      </c>
      <c r="J46" s="26" t="inlineStr">
        <is>
          <t>Yes</t>
        </is>
      </c>
      <c r="K46" s="27" t="n"/>
      <c r="L46" s="28" t="inlineStr">
        <is>
          <t>No</t>
        </is>
      </c>
      <c r="M46" s="29">
        <f>IF(E46="","",IF(H46="Yes","❌ Disc",IF(G46="No","⚠ Missing",IF(J46="Yes","✓ OK","⚠ Check"))))</f>
        <v/>
      </c>
      <c r="N46" s="43" t="n">
        <v>46193</v>
      </c>
      <c r="O46" s="26" t="inlineStr">
        <is>
          <t>Sunil CR</t>
        </is>
      </c>
      <c r="P46" s="26" t="inlineStr">
        <is>
          <t>Yes</t>
        </is>
      </c>
      <c r="Q46" s="26" t="inlineStr">
        <is>
          <t>No</t>
        </is>
      </c>
      <c r="R46" s="26" t="inlineStr">
        <is>
          <t>Good finish</t>
        </is>
      </c>
      <c r="S46" s="26" t="inlineStr">
        <is>
          <t>Yes</t>
        </is>
      </c>
      <c r="T46" s="27" t="n"/>
      <c r="U46" s="28" t="inlineStr">
        <is>
          <t>No</t>
        </is>
      </c>
      <c r="V46" s="29">
        <f>IF(N46="","",IF(Q46="Yes","❌ Disc",IF(P46="No","⚠ Missing",IF(S46="Yes","✓ OK","⚠ Check"))))</f>
        <v/>
      </c>
      <c r="W46" s="65" t="n">
        <v>46248</v>
      </c>
      <c r="X46" s="30" t="inlineStr">
        <is>
          <t>Sunil CR</t>
        </is>
      </c>
      <c r="Y46" s="30" t="inlineStr">
        <is>
          <t>Yes</t>
        </is>
      </c>
      <c r="Z46" s="30" t="n"/>
      <c r="AA46" s="30" t="inlineStr">
        <is>
          <t>Good finish</t>
        </is>
      </c>
      <c r="AB46" s="30" t="inlineStr">
        <is>
          <t>Yes</t>
        </is>
      </c>
      <c r="AC46" s="27" t="n"/>
      <c r="AD46" s="31" t="inlineStr">
        <is>
          <t>No</t>
        </is>
      </c>
      <c r="AE46" s="32">
        <f>IF(W46="","",IF(Z46="Yes","❌ Disc",IF(Y46="No","⚠ Missing",IF(AB46="Yes","✓ OK","⚠ Check"))))</f>
        <v/>
      </c>
      <c r="AF46" s="33" t="n"/>
      <c r="AG46" s="33" t="n"/>
      <c r="AH46" s="33" t="n"/>
      <c r="AI46" s="33" t="n"/>
      <c r="AJ46" s="33" t="n"/>
      <c r="AK46" s="33" t="n"/>
      <c r="AL46" s="27" t="n"/>
      <c r="AM46" s="34" t="n"/>
      <c r="AN46" s="35">
        <f>IF(AF46="","",IF(AI46="Yes","❌ Disc",IF(AH46="No","⚠ Missing",IF(AK46="Yes","✓ OK","⚠ Check"))))</f>
        <v/>
      </c>
      <c r="AO46" s="36" t="n"/>
      <c r="AP46" s="36" t="n"/>
      <c r="AQ46" s="36" t="n"/>
      <c r="AR46" s="36" t="n"/>
      <c r="AS46" s="36" t="n"/>
      <c r="AT46" s="36" t="n"/>
      <c r="AU46" s="27" t="n"/>
      <c r="AV46" s="37" t="n"/>
      <c r="AW46" s="38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BD-ACR-2023-0025</t>
        </is>
      </c>
      <c r="C47" s="25" t="inlineStr">
        <is>
          <t>Spacewood - Crystal Acrylic Millet Beige High Gloss</t>
        </is>
      </c>
      <c r="D47" s="23" t="inlineStr">
        <is>
          <t>Spacewood</t>
        </is>
      </c>
      <c r="E47" s="43" t="n">
        <v>46125</v>
      </c>
      <c r="F47" s="26" t="inlineStr">
        <is>
          <t>Sunil CR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Good finish</t>
        </is>
      </c>
      <c r="J47" s="26" t="inlineStr">
        <is>
          <t>Yes</t>
        </is>
      </c>
      <c r="K47" s="27" t="n"/>
      <c r="L47" s="28" t="inlineStr">
        <is>
          <t>No</t>
        </is>
      </c>
      <c r="M47" s="29">
        <f>IF(E47="","",IF(H47="Yes","❌ Disc",IF(G47="No","⚠ Missing",IF(J47="Yes","✓ OK","⚠ Check"))))</f>
        <v/>
      </c>
      <c r="N47" s="43" t="n">
        <v>46193</v>
      </c>
      <c r="O47" s="26" t="inlineStr">
        <is>
          <t>Sunil CR</t>
        </is>
      </c>
      <c r="P47" s="26" t="inlineStr">
        <is>
          <t>Yes</t>
        </is>
      </c>
      <c r="Q47" s="26" t="inlineStr">
        <is>
          <t>No</t>
        </is>
      </c>
      <c r="R47" s="26" t="inlineStr">
        <is>
          <t>Good finish</t>
        </is>
      </c>
      <c r="S47" s="26" t="inlineStr">
        <is>
          <t>Yes</t>
        </is>
      </c>
      <c r="T47" s="27" t="n"/>
      <c r="U47" s="28" t="inlineStr">
        <is>
          <t>No</t>
        </is>
      </c>
      <c r="V47" s="29">
        <f>IF(N47="","",IF(Q47="Yes","❌ Disc",IF(P47="No","⚠ Missing",IF(S47="Yes","✓ OK","⚠ Check"))))</f>
        <v/>
      </c>
      <c r="W47" s="65" t="n">
        <v>46248</v>
      </c>
      <c r="X47" s="30" t="inlineStr">
        <is>
          <t>Sunil CR</t>
        </is>
      </c>
      <c r="Y47" s="30" t="inlineStr">
        <is>
          <t>Yes</t>
        </is>
      </c>
      <c r="Z47" s="30" t="n"/>
      <c r="AA47" s="30" t="inlineStr">
        <is>
          <t>Good finish</t>
        </is>
      </c>
      <c r="AB47" s="30" t="inlineStr">
        <is>
          <t>Yes</t>
        </is>
      </c>
      <c r="AC47" s="27" t="n"/>
      <c r="AD47" s="31" t="inlineStr">
        <is>
          <t>No</t>
        </is>
      </c>
      <c r="AE47" s="32">
        <f>IF(W47="","",IF(Z47="Yes","❌ Disc",IF(Y47="No","⚠ Missing",IF(AB47="Yes","✓ OK","⚠ Check"))))</f>
        <v/>
      </c>
      <c r="AF47" s="33" t="n"/>
      <c r="AG47" s="33" t="n"/>
      <c r="AH47" s="33" t="n"/>
      <c r="AI47" s="33" t="n"/>
      <c r="AJ47" s="33" t="n"/>
      <c r="AK47" s="33" t="n"/>
      <c r="AL47" s="27" t="n"/>
      <c r="AM47" s="34" t="n"/>
      <c r="AN47" s="35">
        <f>IF(AF47="","",IF(AI47="Yes","❌ Disc",IF(AH47="No","⚠ Missing",IF(AK47="Yes","✓ OK","⚠ Check"))))</f>
        <v/>
      </c>
      <c r="AO47" s="36" t="n"/>
      <c r="AP47" s="36" t="n"/>
      <c r="AQ47" s="36" t="n"/>
      <c r="AR47" s="36" t="n"/>
      <c r="AS47" s="36" t="n"/>
      <c r="AT47" s="36" t="n"/>
      <c r="AU47" s="27" t="n"/>
      <c r="AV47" s="37" t="n"/>
      <c r="AW47" s="38">
        <f>IF(AO47="","",IF(AR47="Yes","❌ Disc",IF(AQ47="No","⚠ Missing",IF(AT47="Yes","✓ OK","⚠ Check"))))</f>
        <v/>
      </c>
    </row>
    <row r="48" ht="18" customHeight="1" s="46">
      <c r="A48" s="39" t="n">
        <v>44</v>
      </c>
      <c r="B48" s="40" t="inlineStr">
        <is>
          <t>BD-ACR-2023-0006</t>
        </is>
      </c>
      <c r="C48" s="41" t="inlineStr">
        <is>
          <t>Spacewood - Crystal Acrylic Millet Beige Super Matt</t>
        </is>
      </c>
      <c r="D48" s="39" t="inlineStr">
        <is>
          <t>Spacewood</t>
        </is>
      </c>
      <c r="E48" s="43" t="n">
        <v>46125</v>
      </c>
      <c r="F48" s="26" t="inlineStr">
        <is>
          <t>Sunil CR</t>
        </is>
      </c>
      <c r="G48" s="26" t="inlineStr">
        <is>
          <t>Yes</t>
        </is>
      </c>
      <c r="H48" s="26" t="inlineStr">
        <is>
          <t>No</t>
        </is>
      </c>
      <c r="I48" s="26" t="inlineStr">
        <is>
          <t>Good finish</t>
        </is>
      </c>
      <c r="J48" s="26" t="inlineStr">
        <is>
          <t>Yes</t>
        </is>
      </c>
      <c r="K48" s="27" t="n"/>
      <c r="L48" s="28" t="inlineStr">
        <is>
          <t>No</t>
        </is>
      </c>
      <c r="M48" s="29">
        <f>IF(E48="","",IF(H48="Yes","❌ Disc",IF(G48="No","⚠ Missing",IF(J48="Yes","✓ OK","⚠ Check"))))</f>
        <v/>
      </c>
      <c r="N48" s="43" t="n">
        <v>46193</v>
      </c>
      <c r="O48" s="26" t="inlineStr">
        <is>
          <t>Sunil CR</t>
        </is>
      </c>
      <c r="P48" s="26" t="inlineStr">
        <is>
          <t>Yes</t>
        </is>
      </c>
      <c r="Q48" s="26" t="inlineStr">
        <is>
          <t>No</t>
        </is>
      </c>
      <c r="R48" s="26" t="inlineStr">
        <is>
          <t>Good finish</t>
        </is>
      </c>
      <c r="S48" s="26" t="inlineStr">
        <is>
          <t>Yes</t>
        </is>
      </c>
      <c r="T48" s="27" t="n"/>
      <c r="U48" s="28" t="inlineStr">
        <is>
          <t>No</t>
        </is>
      </c>
      <c r="V48" s="29">
        <f>IF(N48="","",IF(Q48="Yes","❌ Disc",IF(P48="No","⚠ Missing",IF(S48="Yes","✓ OK","⚠ Check"))))</f>
        <v/>
      </c>
      <c r="W48" s="65" t="n">
        <v>46248</v>
      </c>
      <c r="X48" s="30" t="inlineStr">
        <is>
          <t>Sunil CR</t>
        </is>
      </c>
      <c r="Y48" s="30" t="inlineStr">
        <is>
          <t>Yes</t>
        </is>
      </c>
      <c r="Z48" s="30" t="n"/>
      <c r="AA48" s="30" t="inlineStr">
        <is>
          <t>Good finish</t>
        </is>
      </c>
      <c r="AB48" s="30" t="inlineStr">
        <is>
          <t>Yes</t>
        </is>
      </c>
      <c r="AC48" s="27" t="n"/>
      <c r="AD48" s="31" t="inlineStr">
        <is>
          <t>No</t>
        </is>
      </c>
      <c r="AE48" s="32">
        <f>IF(W48="","",IF(Z48="Yes","❌ Disc",IF(Y48="No","⚠ Missing",IF(AB48="Yes","✓ OK","⚠ Check"))))</f>
        <v/>
      </c>
      <c r="AF48" s="33" t="n"/>
      <c r="AG48" s="33" t="n"/>
      <c r="AH48" s="33" t="n"/>
      <c r="AI48" s="33" t="n"/>
      <c r="AJ48" s="33" t="n"/>
      <c r="AK48" s="33" t="n"/>
      <c r="AL48" s="27" t="n"/>
      <c r="AM48" s="34" t="n"/>
      <c r="AN48" s="35">
        <f>IF(AF48="","",IF(AI48="Yes","❌ Disc",IF(AH48="No","⚠ Missing",IF(AK48="Yes","✓ OK","⚠ Check"))))</f>
        <v/>
      </c>
      <c r="AO48" s="36" t="n"/>
      <c r="AP48" s="36" t="n"/>
      <c r="AQ48" s="36" t="n"/>
      <c r="AR48" s="36" t="n"/>
      <c r="AS48" s="36" t="n"/>
      <c r="AT48" s="36" t="n"/>
      <c r="AU48" s="27" t="n"/>
      <c r="AV48" s="37" t="n"/>
      <c r="AW48" s="38">
        <f>IF(AO48="","",IF(AR48="Yes","❌ Disc",IF(AQ48="No","⚠ Missing",IF(AT48="Yes","✓ OK","⚠ Check"))))</f>
        <v/>
      </c>
    </row>
    <row r="49" ht="18" customHeight="1" s="46">
      <c r="A49" s="23" t="n">
        <v>45</v>
      </c>
      <c r="B49" s="24" t="inlineStr">
        <is>
          <t>BD-ACR-2023-0029</t>
        </is>
      </c>
      <c r="C49" s="25" t="inlineStr">
        <is>
          <t>Spacewood - Crystal Acrylic Mint High Gloss</t>
        </is>
      </c>
      <c r="D49" s="23" t="inlineStr">
        <is>
          <t>Spacewood</t>
        </is>
      </c>
      <c r="E49" s="43" t="n">
        <v>46125</v>
      </c>
      <c r="F49" s="26" t="inlineStr">
        <is>
          <t>Sunil CR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Good finish</t>
        </is>
      </c>
      <c r="J49" s="26" t="inlineStr">
        <is>
          <t>Yes</t>
        </is>
      </c>
      <c r="K49" s="27" t="n"/>
      <c r="L49" s="28" t="inlineStr">
        <is>
          <t>No</t>
        </is>
      </c>
      <c r="M49" s="29">
        <f>IF(E49="","",IF(H49="Yes","❌ Disc",IF(G49="No","⚠ Missing",IF(J49="Yes","✓ OK","⚠ Check"))))</f>
        <v/>
      </c>
      <c r="N49" s="43" t="n">
        <v>46193</v>
      </c>
      <c r="O49" s="26" t="inlineStr">
        <is>
          <t>Sunil CR</t>
        </is>
      </c>
      <c r="P49" s="26" t="inlineStr">
        <is>
          <t>Yes</t>
        </is>
      </c>
      <c r="Q49" s="26" t="inlineStr">
        <is>
          <t>No</t>
        </is>
      </c>
      <c r="R49" s="26" t="inlineStr">
        <is>
          <t>Good finish</t>
        </is>
      </c>
      <c r="S49" s="26" t="inlineStr">
        <is>
          <t>Yes</t>
        </is>
      </c>
      <c r="T49" s="27" t="n"/>
      <c r="U49" s="28" t="inlineStr">
        <is>
          <t>No</t>
        </is>
      </c>
      <c r="V49" s="29">
        <f>IF(N49="","",IF(Q49="Yes","❌ Disc",IF(P49="No","⚠ Missing",IF(S49="Yes","✓ OK","⚠ Check"))))</f>
        <v/>
      </c>
      <c r="W49" s="65" t="n">
        <v>46248</v>
      </c>
      <c r="X49" s="30" t="inlineStr">
        <is>
          <t>Sunil CR</t>
        </is>
      </c>
      <c r="Y49" s="30" t="inlineStr">
        <is>
          <t>Yes</t>
        </is>
      </c>
      <c r="Z49" s="30" t="n"/>
      <c r="AA49" s="30" t="inlineStr">
        <is>
          <t>Good finish</t>
        </is>
      </c>
      <c r="AB49" s="30" t="inlineStr">
        <is>
          <t>Yes</t>
        </is>
      </c>
      <c r="AC49" s="27" t="n"/>
      <c r="AD49" s="31" t="inlineStr">
        <is>
          <t>No</t>
        </is>
      </c>
      <c r="AE49" s="32">
        <f>IF(W49="","",IF(Z49="Yes","❌ Disc",IF(Y49="No","⚠ Missing",IF(AB49="Yes","✓ OK","⚠ Check"))))</f>
        <v/>
      </c>
      <c r="AF49" s="33" t="n"/>
      <c r="AG49" s="33" t="n"/>
      <c r="AH49" s="33" t="n"/>
      <c r="AI49" s="33" t="n"/>
      <c r="AJ49" s="33" t="n"/>
      <c r="AK49" s="33" t="n"/>
      <c r="AL49" s="27" t="n"/>
      <c r="AM49" s="34" t="n"/>
      <c r="AN49" s="35">
        <f>IF(AF49="","",IF(AI49="Yes","❌ Disc",IF(AH49="No","⚠ Missing",IF(AK49="Yes","✓ OK","⚠ Check"))))</f>
        <v/>
      </c>
      <c r="AO49" s="36" t="n"/>
      <c r="AP49" s="36" t="n"/>
      <c r="AQ49" s="36" t="n"/>
      <c r="AR49" s="36" t="n"/>
      <c r="AS49" s="36" t="n"/>
      <c r="AT49" s="36" t="n"/>
      <c r="AU49" s="27" t="n"/>
      <c r="AV49" s="37" t="n"/>
      <c r="AW49" s="38">
        <f>IF(AO49="","",IF(AR49="Yes","❌ Disc",IF(AQ49="No","⚠ Missing",IF(AT49="Yes","✓ OK","⚠ Check"))))</f>
        <v/>
      </c>
    </row>
    <row r="50" ht="18" customHeight="1" s="46">
      <c r="A50" s="39" t="n">
        <v>46</v>
      </c>
      <c r="B50" s="40" t="inlineStr">
        <is>
          <t>BD-ACR-2023-0010</t>
        </is>
      </c>
      <c r="C50" s="41" t="inlineStr">
        <is>
          <t>Spacewood - Crystal Acrylic Mint Super Matt</t>
        </is>
      </c>
      <c r="D50" s="39" t="inlineStr">
        <is>
          <t>Spacewood</t>
        </is>
      </c>
      <c r="E50" s="43" t="n">
        <v>46125</v>
      </c>
      <c r="F50" s="26" t="inlineStr">
        <is>
          <t>Sunil CR</t>
        </is>
      </c>
      <c r="G50" s="26" t="inlineStr">
        <is>
          <t>Yes</t>
        </is>
      </c>
      <c r="H50" s="26" t="inlineStr">
        <is>
          <t>No</t>
        </is>
      </c>
      <c r="I50" s="26" t="inlineStr">
        <is>
          <t>Good finish</t>
        </is>
      </c>
      <c r="J50" s="26" t="inlineStr">
        <is>
          <t>Yes</t>
        </is>
      </c>
      <c r="K50" s="27" t="n"/>
      <c r="L50" s="28" t="inlineStr">
        <is>
          <t>No</t>
        </is>
      </c>
      <c r="M50" s="29">
        <f>IF(E50="","",IF(H50="Yes","❌ Disc",IF(G50="No","⚠ Missing",IF(J50="Yes","✓ OK","⚠ Check"))))</f>
        <v/>
      </c>
      <c r="N50" s="43" t="n">
        <v>46193</v>
      </c>
      <c r="O50" s="26" t="inlineStr">
        <is>
          <t>Sunil CR</t>
        </is>
      </c>
      <c r="P50" s="26" t="inlineStr">
        <is>
          <t>Yes</t>
        </is>
      </c>
      <c r="Q50" s="26" t="inlineStr">
        <is>
          <t>No</t>
        </is>
      </c>
      <c r="R50" s="26" t="inlineStr">
        <is>
          <t>Good finish</t>
        </is>
      </c>
      <c r="S50" s="26" t="inlineStr">
        <is>
          <t>Yes</t>
        </is>
      </c>
      <c r="T50" s="27" t="n"/>
      <c r="U50" s="28" t="inlineStr">
        <is>
          <t>No</t>
        </is>
      </c>
      <c r="V50" s="29">
        <f>IF(N50="","",IF(Q50="Yes","❌ Disc",IF(P50="No","⚠ Missing",IF(S50="Yes","✓ OK","⚠ Check"))))</f>
        <v/>
      </c>
      <c r="W50" s="65" t="n">
        <v>46248</v>
      </c>
      <c r="X50" s="30" t="inlineStr">
        <is>
          <t>Sunil CR</t>
        </is>
      </c>
      <c r="Y50" s="30" t="inlineStr">
        <is>
          <t>Yes</t>
        </is>
      </c>
      <c r="Z50" s="30" t="n"/>
      <c r="AA50" s="30" t="inlineStr">
        <is>
          <t>Good finish</t>
        </is>
      </c>
      <c r="AB50" s="30" t="inlineStr">
        <is>
          <t>Yes</t>
        </is>
      </c>
      <c r="AC50" s="27" t="n"/>
      <c r="AD50" s="31" t="inlineStr">
        <is>
          <t>No</t>
        </is>
      </c>
      <c r="AE50" s="32">
        <f>IF(W50="","",IF(Z50="Yes","❌ Disc",IF(Y50="No","⚠ Missing",IF(AB50="Yes","✓ OK","⚠ Check"))))</f>
        <v/>
      </c>
      <c r="AF50" s="33" t="n"/>
      <c r="AG50" s="33" t="n"/>
      <c r="AH50" s="33" t="n"/>
      <c r="AI50" s="33" t="n"/>
      <c r="AJ50" s="33" t="n"/>
      <c r="AK50" s="33" t="n"/>
      <c r="AL50" s="27" t="n"/>
      <c r="AM50" s="34" t="n"/>
      <c r="AN50" s="35">
        <f>IF(AF50="","",IF(AI50="Yes","❌ Disc",IF(AH50="No","⚠ Missing",IF(AK50="Yes","✓ OK","⚠ Check"))))</f>
        <v/>
      </c>
      <c r="AO50" s="36" t="n"/>
      <c r="AP50" s="36" t="n"/>
      <c r="AQ50" s="36" t="n"/>
      <c r="AR50" s="36" t="n"/>
      <c r="AS50" s="36" t="n"/>
      <c r="AT50" s="36" t="n"/>
      <c r="AU50" s="27" t="n"/>
      <c r="AV50" s="37" t="n"/>
      <c r="AW50" s="38">
        <f>IF(AO50="","",IF(AR50="Yes","❌ Disc",IF(AQ50="No","⚠ Missing",IF(AT50="Yes","✓ OK","⚠ Check"))))</f>
        <v/>
      </c>
    </row>
    <row r="51" ht="18" customHeight="1" s="46">
      <c r="A51" s="23" t="n">
        <v>47</v>
      </c>
      <c r="B51" s="24" t="inlineStr">
        <is>
          <t>BD-ACR-2023-0038</t>
        </is>
      </c>
      <c r="C51" s="25" t="inlineStr">
        <is>
          <t>Spacewood - Crystal Acrylic Nero High Gloss</t>
        </is>
      </c>
      <c r="D51" s="23" t="inlineStr">
        <is>
          <t>Spacewood</t>
        </is>
      </c>
      <c r="E51" s="43" t="n">
        <v>46125</v>
      </c>
      <c r="F51" s="26" t="inlineStr">
        <is>
          <t>Sunil CR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Good finish</t>
        </is>
      </c>
      <c r="J51" s="26" t="inlineStr">
        <is>
          <t>Yes</t>
        </is>
      </c>
      <c r="K51" s="27" t="n"/>
      <c r="L51" s="28" t="inlineStr">
        <is>
          <t>No</t>
        </is>
      </c>
      <c r="M51" s="29">
        <f>IF(E51="","",IF(H51="Yes","❌ Disc",IF(G51="No","⚠ Missing",IF(J51="Yes","✓ OK","⚠ Check"))))</f>
        <v/>
      </c>
      <c r="N51" s="43" t="n">
        <v>46193</v>
      </c>
      <c r="O51" s="26" t="inlineStr">
        <is>
          <t>Sunil CR</t>
        </is>
      </c>
      <c r="P51" s="26" t="inlineStr">
        <is>
          <t>Yes</t>
        </is>
      </c>
      <c r="Q51" s="26" t="inlineStr">
        <is>
          <t>No</t>
        </is>
      </c>
      <c r="R51" s="26" t="inlineStr">
        <is>
          <t>Good finish</t>
        </is>
      </c>
      <c r="S51" s="26" t="inlineStr">
        <is>
          <t>Yes</t>
        </is>
      </c>
      <c r="T51" s="27" t="n"/>
      <c r="U51" s="28" t="inlineStr">
        <is>
          <t>No</t>
        </is>
      </c>
      <c r="V51" s="29">
        <f>IF(N51="","",IF(Q51="Yes","❌ Disc",IF(P51="No","⚠ Missing",IF(S51="Yes","✓ OK","⚠ Check"))))</f>
        <v/>
      </c>
      <c r="W51" s="65" t="n">
        <v>46248</v>
      </c>
      <c r="X51" s="30" t="inlineStr">
        <is>
          <t>Sunil CR</t>
        </is>
      </c>
      <c r="Y51" s="30" t="inlineStr">
        <is>
          <t>Yes</t>
        </is>
      </c>
      <c r="Z51" s="30" t="n"/>
      <c r="AA51" s="30" t="inlineStr">
        <is>
          <t>Good finish</t>
        </is>
      </c>
      <c r="AB51" s="30" t="inlineStr">
        <is>
          <t>Yes</t>
        </is>
      </c>
      <c r="AC51" s="27" t="n"/>
      <c r="AD51" s="31" t="inlineStr">
        <is>
          <t>No</t>
        </is>
      </c>
      <c r="AE51" s="32">
        <f>IF(W51="","",IF(Z51="Yes","❌ Disc",IF(Y51="No","⚠ Missing",IF(AB51="Yes","✓ OK","⚠ Check"))))</f>
        <v/>
      </c>
      <c r="AF51" s="33" t="n"/>
      <c r="AG51" s="33" t="n"/>
      <c r="AH51" s="33" t="n"/>
      <c r="AI51" s="33" t="n"/>
      <c r="AJ51" s="33" t="n"/>
      <c r="AK51" s="33" t="n"/>
      <c r="AL51" s="27" t="n"/>
      <c r="AM51" s="34" t="n"/>
      <c r="AN51" s="35">
        <f>IF(AF51="","",IF(AI51="Yes","❌ Disc",IF(AH51="No","⚠ Missing",IF(AK51="Yes","✓ OK","⚠ Check"))))</f>
        <v/>
      </c>
      <c r="AO51" s="36" t="n"/>
      <c r="AP51" s="36" t="n"/>
      <c r="AQ51" s="36" t="n"/>
      <c r="AR51" s="36" t="n"/>
      <c r="AS51" s="36" t="n"/>
      <c r="AT51" s="36" t="n"/>
      <c r="AU51" s="27" t="n"/>
      <c r="AV51" s="37" t="n"/>
      <c r="AW51" s="38">
        <f>IF(AO51="","",IF(AR51="Yes","❌ Disc",IF(AQ51="No","⚠ Missing",IF(AT51="Yes","✓ OK","⚠ Check"))))</f>
        <v/>
      </c>
    </row>
    <row r="52" ht="18" customHeight="1" s="46">
      <c r="A52" s="39" t="n">
        <v>48</v>
      </c>
      <c r="B52" s="40" t="inlineStr">
        <is>
          <t>BD-ACR-2023-0019</t>
        </is>
      </c>
      <c r="C52" s="41" t="inlineStr">
        <is>
          <t>Spacewood - Crystal Acrylic Nero Super Matt</t>
        </is>
      </c>
      <c r="D52" s="39" t="inlineStr">
        <is>
          <t>Spacewood</t>
        </is>
      </c>
      <c r="E52" s="43" t="n">
        <v>46125</v>
      </c>
      <c r="F52" s="26" t="inlineStr">
        <is>
          <t>Sunil CR</t>
        </is>
      </c>
      <c r="G52" s="26" t="inlineStr">
        <is>
          <t>Yes</t>
        </is>
      </c>
      <c r="H52" s="26" t="inlineStr">
        <is>
          <t>No</t>
        </is>
      </c>
      <c r="I52" s="26" t="inlineStr">
        <is>
          <t>Good finish</t>
        </is>
      </c>
      <c r="J52" s="26" t="inlineStr">
        <is>
          <t>Yes</t>
        </is>
      </c>
      <c r="K52" s="27" t="n"/>
      <c r="L52" s="28" t="inlineStr">
        <is>
          <t>No</t>
        </is>
      </c>
      <c r="M52" s="29">
        <f>IF(E52="","",IF(H52="Yes","❌ Disc",IF(G52="No","⚠ Missing",IF(J52="Yes","✓ OK","⚠ Check"))))</f>
        <v/>
      </c>
      <c r="N52" s="43" t="n">
        <v>46193</v>
      </c>
      <c r="O52" s="26" t="inlineStr">
        <is>
          <t>Sunil CR</t>
        </is>
      </c>
      <c r="P52" s="26" t="inlineStr">
        <is>
          <t>Yes</t>
        </is>
      </c>
      <c r="Q52" s="26" t="inlineStr">
        <is>
          <t>No</t>
        </is>
      </c>
      <c r="R52" s="26" t="inlineStr">
        <is>
          <t>Good finish</t>
        </is>
      </c>
      <c r="S52" s="26" t="inlineStr">
        <is>
          <t>Yes</t>
        </is>
      </c>
      <c r="T52" s="27" t="n"/>
      <c r="U52" s="28" t="inlineStr">
        <is>
          <t>No</t>
        </is>
      </c>
      <c r="V52" s="29">
        <f>IF(N52="","",IF(Q52="Yes","❌ Disc",IF(P52="No","⚠ Missing",IF(S52="Yes","✓ OK","⚠ Check"))))</f>
        <v/>
      </c>
      <c r="W52" s="65" t="n">
        <v>46248</v>
      </c>
      <c r="X52" s="30" t="inlineStr">
        <is>
          <t>Sunil CR</t>
        </is>
      </c>
      <c r="Y52" s="30" t="inlineStr">
        <is>
          <t>Yes</t>
        </is>
      </c>
      <c r="Z52" s="30" t="n"/>
      <c r="AA52" s="30" t="inlineStr">
        <is>
          <t>Good finish</t>
        </is>
      </c>
      <c r="AB52" s="30" t="inlineStr">
        <is>
          <t>Yes</t>
        </is>
      </c>
      <c r="AC52" s="27" t="n"/>
      <c r="AD52" s="31" t="inlineStr">
        <is>
          <t>No</t>
        </is>
      </c>
      <c r="AE52" s="32">
        <f>IF(W52="","",IF(Z52="Yes","❌ Disc",IF(Y52="No","⚠ Missing",IF(AB52="Yes","✓ OK","⚠ Check"))))</f>
        <v/>
      </c>
      <c r="AF52" s="33" t="n"/>
      <c r="AG52" s="33" t="n"/>
      <c r="AH52" s="33" t="n"/>
      <c r="AI52" s="33" t="n"/>
      <c r="AJ52" s="33" t="n"/>
      <c r="AK52" s="33" t="n"/>
      <c r="AL52" s="27" t="n"/>
      <c r="AM52" s="34" t="n"/>
      <c r="AN52" s="35">
        <f>IF(AF52="","",IF(AI52="Yes","❌ Disc",IF(AH52="No","⚠ Missing",IF(AK52="Yes","✓ OK","⚠ Check"))))</f>
        <v/>
      </c>
      <c r="AO52" s="36" t="n"/>
      <c r="AP52" s="36" t="n"/>
      <c r="AQ52" s="36" t="n"/>
      <c r="AR52" s="36" t="n"/>
      <c r="AS52" s="36" t="n"/>
      <c r="AT52" s="36" t="n"/>
      <c r="AU52" s="27" t="n"/>
      <c r="AV52" s="37" t="n"/>
      <c r="AW52" s="38">
        <f>IF(AO52="","",IF(AR52="Yes","❌ Disc",IF(AQ52="No","⚠ Missing",IF(AT52="Yes","✓ OK","⚠ Check"))))</f>
        <v/>
      </c>
    </row>
    <row r="53" ht="18" customHeight="1" s="46">
      <c r="A53" s="23" t="n">
        <v>49</v>
      </c>
      <c r="B53" s="24" t="inlineStr">
        <is>
          <t>BD-ACR-2023-0028</t>
        </is>
      </c>
      <c r="C53" s="25" t="inlineStr">
        <is>
          <t>Spacewood - Crystal Acrylic Nutmeg Brown High Gloss</t>
        </is>
      </c>
      <c r="D53" s="23" t="inlineStr">
        <is>
          <t>Spacewood</t>
        </is>
      </c>
      <c r="E53" s="43" t="n">
        <v>46125</v>
      </c>
      <c r="F53" s="26" t="inlineStr">
        <is>
          <t>Sunil CR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Good finish</t>
        </is>
      </c>
      <c r="J53" s="26" t="inlineStr">
        <is>
          <t>Yes</t>
        </is>
      </c>
      <c r="K53" s="27" t="n"/>
      <c r="L53" s="28" t="inlineStr">
        <is>
          <t>No</t>
        </is>
      </c>
      <c r="M53" s="29">
        <f>IF(E53="","",IF(H53="Yes","❌ Disc",IF(G53="No","⚠ Missing",IF(J53="Yes","✓ OK","⚠ Check"))))</f>
        <v/>
      </c>
      <c r="N53" s="43" t="n">
        <v>46193</v>
      </c>
      <c r="O53" s="26" t="inlineStr">
        <is>
          <t>Sunil CR</t>
        </is>
      </c>
      <c r="P53" s="26" t="inlineStr">
        <is>
          <t>Yes</t>
        </is>
      </c>
      <c r="Q53" s="26" t="inlineStr">
        <is>
          <t>No</t>
        </is>
      </c>
      <c r="R53" s="26" t="inlineStr">
        <is>
          <t>Good finish</t>
        </is>
      </c>
      <c r="S53" s="26" t="inlineStr">
        <is>
          <t>Yes</t>
        </is>
      </c>
      <c r="T53" s="27" t="n"/>
      <c r="U53" s="28" t="inlineStr">
        <is>
          <t>No</t>
        </is>
      </c>
      <c r="V53" s="29">
        <f>IF(N53="","",IF(Q53="Yes","❌ Disc",IF(P53="No","⚠ Missing",IF(S53="Yes","✓ OK","⚠ Check"))))</f>
        <v/>
      </c>
      <c r="W53" s="65" t="n">
        <v>46248</v>
      </c>
      <c r="X53" s="30" t="inlineStr">
        <is>
          <t>Sunil CR</t>
        </is>
      </c>
      <c r="Y53" s="30" t="inlineStr">
        <is>
          <t>Yes</t>
        </is>
      </c>
      <c r="Z53" s="30" t="n"/>
      <c r="AA53" s="30" t="inlineStr">
        <is>
          <t>Good finish</t>
        </is>
      </c>
      <c r="AB53" s="30" t="inlineStr">
        <is>
          <t>Yes</t>
        </is>
      </c>
      <c r="AC53" s="27" t="n"/>
      <c r="AD53" s="31" t="inlineStr">
        <is>
          <t>No</t>
        </is>
      </c>
      <c r="AE53" s="32">
        <f>IF(W53="","",IF(Z53="Yes","❌ Disc",IF(Y53="No","⚠ Missing",IF(AB53="Yes","✓ OK","⚠ Check"))))</f>
        <v/>
      </c>
      <c r="AF53" s="33" t="n"/>
      <c r="AG53" s="33" t="n"/>
      <c r="AH53" s="33" t="n"/>
      <c r="AI53" s="33" t="n"/>
      <c r="AJ53" s="33" t="n"/>
      <c r="AK53" s="33" t="n"/>
      <c r="AL53" s="27" t="n"/>
      <c r="AM53" s="34" t="n"/>
      <c r="AN53" s="35">
        <f>IF(AF53="","",IF(AI53="Yes","❌ Disc",IF(AH53="No","⚠ Missing",IF(AK53="Yes","✓ OK","⚠ Check"))))</f>
        <v/>
      </c>
      <c r="AO53" s="36" t="n"/>
      <c r="AP53" s="36" t="n"/>
      <c r="AQ53" s="36" t="n"/>
      <c r="AR53" s="36" t="n"/>
      <c r="AS53" s="36" t="n"/>
      <c r="AT53" s="36" t="n"/>
      <c r="AU53" s="27" t="n"/>
      <c r="AV53" s="37" t="n"/>
      <c r="AW53" s="38">
        <f>IF(AO53="","",IF(AR53="Yes","❌ Disc",IF(AQ53="No","⚠ Missing",IF(AT53="Yes","✓ OK","⚠ Check"))))</f>
        <v/>
      </c>
    </row>
    <row r="54" ht="18" customHeight="1" s="46">
      <c r="A54" s="39" t="n">
        <v>50</v>
      </c>
      <c r="B54" s="40" t="inlineStr">
        <is>
          <t>BD-ACR-2023-0009</t>
        </is>
      </c>
      <c r="C54" s="41" t="inlineStr">
        <is>
          <t>Spacewood - Crystal Acrylic Nutmeg Brown Super Matt</t>
        </is>
      </c>
      <c r="D54" s="39" t="inlineStr">
        <is>
          <t>Spacewood</t>
        </is>
      </c>
      <c r="E54" s="43" t="n">
        <v>46125</v>
      </c>
      <c r="F54" s="26" t="inlineStr">
        <is>
          <t>Sunil CR</t>
        </is>
      </c>
      <c r="G54" s="26" t="inlineStr">
        <is>
          <t>Yes</t>
        </is>
      </c>
      <c r="H54" s="26" t="inlineStr">
        <is>
          <t>No</t>
        </is>
      </c>
      <c r="I54" s="26" t="inlineStr">
        <is>
          <t>Good finish</t>
        </is>
      </c>
      <c r="J54" s="26" t="inlineStr">
        <is>
          <t>Yes</t>
        </is>
      </c>
      <c r="K54" s="27" t="n"/>
      <c r="L54" s="28" t="inlineStr">
        <is>
          <t>No</t>
        </is>
      </c>
      <c r="M54" s="29">
        <f>IF(E54="","",IF(H54="Yes","❌ Disc",IF(G54="No","⚠ Missing",IF(J54="Yes","✓ OK","⚠ Check"))))</f>
        <v/>
      </c>
      <c r="N54" s="43" t="n">
        <v>46193</v>
      </c>
      <c r="O54" s="26" t="inlineStr">
        <is>
          <t>Sunil CR</t>
        </is>
      </c>
      <c r="P54" s="26" t="inlineStr">
        <is>
          <t>Yes</t>
        </is>
      </c>
      <c r="Q54" s="26" t="inlineStr">
        <is>
          <t>No</t>
        </is>
      </c>
      <c r="R54" s="26" t="inlineStr">
        <is>
          <t>Good finish</t>
        </is>
      </c>
      <c r="S54" s="26" t="inlineStr">
        <is>
          <t>Yes</t>
        </is>
      </c>
      <c r="T54" s="27" t="n"/>
      <c r="U54" s="28" t="inlineStr">
        <is>
          <t>No</t>
        </is>
      </c>
      <c r="V54" s="29">
        <f>IF(N54="","",IF(Q54="Yes","❌ Disc",IF(P54="No","⚠ Missing",IF(S54="Yes","✓ OK","⚠ Check"))))</f>
        <v/>
      </c>
      <c r="W54" s="65" t="n">
        <v>46248</v>
      </c>
      <c r="X54" s="30" t="inlineStr">
        <is>
          <t>Sunil CR</t>
        </is>
      </c>
      <c r="Y54" s="30" t="inlineStr">
        <is>
          <t>Yes</t>
        </is>
      </c>
      <c r="Z54" s="30" t="n"/>
      <c r="AA54" s="30" t="inlineStr">
        <is>
          <t>Good finish</t>
        </is>
      </c>
      <c r="AB54" s="30" t="inlineStr">
        <is>
          <t>Yes</t>
        </is>
      </c>
      <c r="AC54" s="27" t="n"/>
      <c r="AD54" s="31" t="inlineStr">
        <is>
          <t>No</t>
        </is>
      </c>
      <c r="AE54" s="32">
        <f>IF(W54="","",IF(Z54="Yes","❌ Disc",IF(Y54="No","⚠ Missing",IF(AB54="Yes","✓ OK","⚠ Check"))))</f>
        <v/>
      </c>
      <c r="AF54" s="33" t="n"/>
      <c r="AG54" s="33" t="n"/>
      <c r="AH54" s="33" t="n"/>
      <c r="AI54" s="33" t="n"/>
      <c r="AJ54" s="33" t="n"/>
      <c r="AK54" s="33" t="n"/>
      <c r="AL54" s="27" t="n"/>
      <c r="AM54" s="34" t="n"/>
      <c r="AN54" s="35">
        <f>IF(AF54="","",IF(AI54="Yes","❌ Disc",IF(AH54="No","⚠ Missing",IF(AK54="Yes","✓ OK","⚠ Check"))))</f>
        <v/>
      </c>
      <c r="AO54" s="36" t="n"/>
      <c r="AP54" s="36" t="n"/>
      <c r="AQ54" s="36" t="n"/>
      <c r="AR54" s="36" t="n"/>
      <c r="AS54" s="36" t="n"/>
      <c r="AT54" s="36" t="n"/>
      <c r="AU54" s="27" t="n"/>
      <c r="AV54" s="37" t="n"/>
      <c r="AW54" s="38">
        <f>IF(AO54="","",IF(AR54="Yes","❌ Disc",IF(AQ54="No","⚠ Missing",IF(AT54="Yes","✓ OK","⚠ Check"))))</f>
        <v/>
      </c>
    </row>
    <row r="55" ht="18" customHeight="1" s="46">
      <c r="A55" s="23" t="n">
        <v>51</v>
      </c>
      <c r="B55" s="24" t="inlineStr">
        <is>
          <t>BD-ACR-2023-0030</t>
        </is>
      </c>
      <c r="C55" s="25" t="inlineStr">
        <is>
          <t>Spacewood - Crystal Acrylic Oyster Green High Gloss</t>
        </is>
      </c>
      <c r="D55" s="23" t="inlineStr">
        <is>
          <t>Spacewood</t>
        </is>
      </c>
      <c r="E55" s="43" t="n">
        <v>46125</v>
      </c>
      <c r="F55" s="26" t="inlineStr">
        <is>
          <t>Sunil CR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Good finish</t>
        </is>
      </c>
      <c r="J55" s="26" t="inlineStr">
        <is>
          <t>Yes</t>
        </is>
      </c>
      <c r="K55" s="27" t="n"/>
      <c r="L55" s="28" t="inlineStr">
        <is>
          <t>No</t>
        </is>
      </c>
      <c r="M55" s="29">
        <f>IF(E55="","",IF(H55="Yes","❌ Disc",IF(G55="No","⚠ Missing",IF(J55="Yes","✓ OK","⚠ Check"))))</f>
        <v/>
      </c>
      <c r="N55" s="43" t="n">
        <v>46193</v>
      </c>
      <c r="O55" s="26" t="inlineStr">
        <is>
          <t>Sunil CR</t>
        </is>
      </c>
      <c r="P55" s="26" t="inlineStr">
        <is>
          <t>Yes</t>
        </is>
      </c>
      <c r="Q55" s="26" t="inlineStr">
        <is>
          <t>No</t>
        </is>
      </c>
      <c r="R55" s="26" t="inlineStr">
        <is>
          <t>Good finish</t>
        </is>
      </c>
      <c r="S55" s="26" t="inlineStr">
        <is>
          <t>Yes</t>
        </is>
      </c>
      <c r="T55" s="27" t="n"/>
      <c r="U55" s="28" t="inlineStr">
        <is>
          <t>No</t>
        </is>
      </c>
      <c r="V55" s="29">
        <f>IF(N55="","",IF(Q55="Yes","❌ Disc",IF(P55="No","⚠ Missing",IF(S55="Yes","✓ OK","⚠ Check"))))</f>
        <v/>
      </c>
      <c r="W55" s="65" t="n">
        <v>46248</v>
      </c>
      <c r="X55" s="30" t="inlineStr">
        <is>
          <t>Sunil CR</t>
        </is>
      </c>
      <c r="Y55" s="30" t="inlineStr">
        <is>
          <t>Yes</t>
        </is>
      </c>
      <c r="Z55" s="30" t="n"/>
      <c r="AA55" s="30" t="inlineStr">
        <is>
          <t>Good finish</t>
        </is>
      </c>
      <c r="AB55" s="30" t="inlineStr">
        <is>
          <t>Yes</t>
        </is>
      </c>
      <c r="AC55" s="27" t="n"/>
      <c r="AD55" s="31" t="inlineStr">
        <is>
          <t>No</t>
        </is>
      </c>
      <c r="AE55" s="32">
        <f>IF(W55="","",IF(Z55="Yes","❌ Disc",IF(Y55="No","⚠ Missing",IF(AB55="Yes","✓ OK","⚠ Check"))))</f>
        <v/>
      </c>
      <c r="AF55" s="33" t="n"/>
      <c r="AG55" s="33" t="n"/>
      <c r="AH55" s="33" t="n"/>
      <c r="AI55" s="33" t="n"/>
      <c r="AJ55" s="33" t="n"/>
      <c r="AK55" s="33" t="n"/>
      <c r="AL55" s="27" t="n"/>
      <c r="AM55" s="34" t="n"/>
      <c r="AN55" s="35">
        <f>IF(AF55="","",IF(AI55="Yes","❌ Disc",IF(AH55="No","⚠ Missing",IF(AK55="Yes","✓ OK","⚠ Check"))))</f>
        <v/>
      </c>
      <c r="AO55" s="36" t="n"/>
      <c r="AP55" s="36" t="n"/>
      <c r="AQ55" s="36" t="n"/>
      <c r="AR55" s="36" t="n"/>
      <c r="AS55" s="36" t="n"/>
      <c r="AT55" s="36" t="n"/>
      <c r="AU55" s="27" t="n"/>
      <c r="AV55" s="37" t="n"/>
      <c r="AW55" s="38">
        <f>IF(AO55="","",IF(AR55="Yes","❌ Disc",IF(AQ55="No","⚠ Missing",IF(AT55="Yes","✓ OK","⚠ Check"))))</f>
        <v/>
      </c>
    </row>
    <row r="56" ht="18" customHeight="1" s="46">
      <c r="A56" s="39" t="n">
        <v>52</v>
      </c>
      <c r="B56" s="40" t="inlineStr">
        <is>
          <t>BD-ACR-2023-0011</t>
        </is>
      </c>
      <c r="C56" s="41" t="inlineStr">
        <is>
          <t>Spacewood - Crystal Acrylic Oyster Green Super Matt</t>
        </is>
      </c>
      <c r="D56" s="39" t="inlineStr">
        <is>
          <t>Spacewood</t>
        </is>
      </c>
      <c r="E56" s="43" t="n">
        <v>46125</v>
      </c>
      <c r="F56" s="26" t="inlineStr">
        <is>
          <t>Sunil CR</t>
        </is>
      </c>
      <c r="G56" s="26" t="inlineStr">
        <is>
          <t>Yes</t>
        </is>
      </c>
      <c r="H56" s="26" t="inlineStr">
        <is>
          <t>No</t>
        </is>
      </c>
      <c r="I56" s="26" t="inlineStr">
        <is>
          <t>Good finish</t>
        </is>
      </c>
      <c r="J56" s="26" t="inlineStr">
        <is>
          <t>Yes</t>
        </is>
      </c>
      <c r="K56" s="27" t="n"/>
      <c r="L56" s="28" t="inlineStr">
        <is>
          <t>No</t>
        </is>
      </c>
      <c r="M56" s="29">
        <f>IF(E56="","",IF(H56="Yes","❌ Disc",IF(G56="No","⚠ Missing",IF(J56="Yes","✓ OK","⚠ Check"))))</f>
        <v/>
      </c>
      <c r="N56" s="43" t="n">
        <v>46193</v>
      </c>
      <c r="O56" s="26" t="inlineStr">
        <is>
          <t>Sunil CR</t>
        </is>
      </c>
      <c r="P56" s="26" t="inlineStr">
        <is>
          <t>Yes</t>
        </is>
      </c>
      <c r="Q56" s="26" t="inlineStr">
        <is>
          <t>No</t>
        </is>
      </c>
      <c r="R56" s="26" t="inlineStr">
        <is>
          <t>Good finish</t>
        </is>
      </c>
      <c r="S56" s="26" t="inlineStr">
        <is>
          <t>Yes</t>
        </is>
      </c>
      <c r="T56" s="27" t="n"/>
      <c r="U56" s="28" t="inlineStr">
        <is>
          <t>No</t>
        </is>
      </c>
      <c r="V56" s="29">
        <f>IF(N56="","",IF(Q56="Yes","❌ Disc",IF(P56="No","⚠ Missing",IF(S56="Yes","✓ OK","⚠ Check"))))</f>
        <v/>
      </c>
      <c r="W56" s="65" t="n">
        <v>46248</v>
      </c>
      <c r="X56" s="30" t="inlineStr">
        <is>
          <t>Sunil CR</t>
        </is>
      </c>
      <c r="Y56" s="30" t="inlineStr">
        <is>
          <t>Yes</t>
        </is>
      </c>
      <c r="Z56" s="30" t="n"/>
      <c r="AA56" s="30" t="inlineStr">
        <is>
          <t>Good finish</t>
        </is>
      </c>
      <c r="AB56" s="30" t="inlineStr">
        <is>
          <t>Yes</t>
        </is>
      </c>
      <c r="AC56" s="27" t="n"/>
      <c r="AD56" s="31" t="inlineStr">
        <is>
          <t>No</t>
        </is>
      </c>
      <c r="AE56" s="32">
        <f>IF(W56="","",IF(Z56="Yes","❌ Disc",IF(Y56="No","⚠ Missing",IF(AB56="Yes","✓ OK","⚠ Check"))))</f>
        <v/>
      </c>
      <c r="AF56" s="33" t="n"/>
      <c r="AG56" s="33" t="n"/>
      <c r="AH56" s="33" t="n"/>
      <c r="AI56" s="33" t="n"/>
      <c r="AJ56" s="33" t="n"/>
      <c r="AK56" s="33" t="n"/>
      <c r="AL56" s="27" t="n"/>
      <c r="AM56" s="34" t="n"/>
      <c r="AN56" s="35">
        <f>IF(AF56="","",IF(AI56="Yes","❌ Disc",IF(AH56="No","⚠ Missing",IF(AK56="Yes","✓ OK","⚠ Check"))))</f>
        <v/>
      </c>
      <c r="AO56" s="36" t="n"/>
      <c r="AP56" s="36" t="n"/>
      <c r="AQ56" s="36" t="n"/>
      <c r="AR56" s="36" t="n"/>
      <c r="AS56" s="36" t="n"/>
      <c r="AT56" s="36" t="n"/>
      <c r="AU56" s="27" t="n"/>
      <c r="AV56" s="37" t="n"/>
      <c r="AW56" s="38">
        <f>IF(AO56="","",IF(AR56="Yes","❌ Disc",IF(AQ56="No","⚠ Missing",IF(AT56="Yes","✓ OK","⚠ Check"))))</f>
        <v/>
      </c>
    </row>
    <row r="57" ht="18" customHeight="1" s="46">
      <c r="A57" s="23" t="n">
        <v>53</v>
      </c>
      <c r="B57" s="24" t="inlineStr">
        <is>
          <t>BD-ACR-2023-0023</t>
        </is>
      </c>
      <c r="C57" s="25" t="inlineStr">
        <is>
          <t>Spacewood - Crystal Acrylic Pearl High Gloss</t>
        </is>
      </c>
      <c r="D57" s="23" t="inlineStr">
        <is>
          <t>Spacewood</t>
        </is>
      </c>
      <c r="E57" s="43" t="n">
        <v>46125</v>
      </c>
      <c r="F57" s="26" t="inlineStr">
        <is>
          <t>Sunil CR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Good finish</t>
        </is>
      </c>
      <c r="J57" s="26" t="inlineStr">
        <is>
          <t>Yes</t>
        </is>
      </c>
      <c r="K57" s="27" t="n"/>
      <c r="L57" s="28" t="inlineStr">
        <is>
          <t>No</t>
        </is>
      </c>
      <c r="M57" s="29">
        <f>IF(E57="","",IF(H57="Yes","❌ Disc",IF(G57="No","⚠ Missing",IF(J57="Yes","✓ OK","⚠ Check"))))</f>
        <v/>
      </c>
      <c r="N57" s="43" t="n">
        <v>46193</v>
      </c>
      <c r="O57" s="26" t="inlineStr">
        <is>
          <t>Sunil CR</t>
        </is>
      </c>
      <c r="P57" s="26" t="inlineStr">
        <is>
          <t>Yes</t>
        </is>
      </c>
      <c r="Q57" s="26" t="inlineStr">
        <is>
          <t>No</t>
        </is>
      </c>
      <c r="R57" s="26" t="inlineStr">
        <is>
          <t>Good finish</t>
        </is>
      </c>
      <c r="S57" s="26" t="inlineStr">
        <is>
          <t>Yes</t>
        </is>
      </c>
      <c r="T57" s="27" t="n"/>
      <c r="U57" s="28" t="inlineStr">
        <is>
          <t>No</t>
        </is>
      </c>
      <c r="V57" s="29">
        <f>IF(N57="","",IF(Q57="Yes","❌ Disc",IF(P57="No","⚠ Missing",IF(S57="Yes","✓ OK","⚠ Check"))))</f>
        <v/>
      </c>
      <c r="W57" s="65" t="n">
        <v>46248</v>
      </c>
      <c r="X57" s="30" t="inlineStr">
        <is>
          <t>Sunil CR</t>
        </is>
      </c>
      <c r="Y57" s="30" t="inlineStr">
        <is>
          <t>Yes</t>
        </is>
      </c>
      <c r="Z57" s="30" t="n"/>
      <c r="AA57" s="30" t="inlineStr">
        <is>
          <t>Good finish</t>
        </is>
      </c>
      <c r="AB57" s="30" t="inlineStr">
        <is>
          <t>Yes</t>
        </is>
      </c>
      <c r="AC57" s="27" t="n"/>
      <c r="AD57" s="31" t="inlineStr">
        <is>
          <t>No</t>
        </is>
      </c>
      <c r="AE57" s="32">
        <f>IF(W57="","",IF(Z57="Yes","❌ Disc",IF(Y57="No","⚠ Missing",IF(AB57="Yes","✓ OK","⚠ Check"))))</f>
        <v/>
      </c>
      <c r="AF57" s="33" t="n"/>
      <c r="AG57" s="33" t="n"/>
      <c r="AH57" s="33" t="n"/>
      <c r="AI57" s="33" t="n"/>
      <c r="AJ57" s="33" t="n"/>
      <c r="AK57" s="33" t="n"/>
      <c r="AL57" s="27" t="n"/>
      <c r="AM57" s="34" t="n"/>
      <c r="AN57" s="35">
        <f>IF(AF57="","",IF(AI57="Yes","❌ Disc",IF(AH57="No","⚠ Missing",IF(AK57="Yes","✓ OK","⚠ Check"))))</f>
        <v/>
      </c>
      <c r="AO57" s="36" t="n"/>
      <c r="AP57" s="36" t="n"/>
      <c r="AQ57" s="36" t="n"/>
      <c r="AR57" s="36" t="n"/>
      <c r="AS57" s="36" t="n"/>
      <c r="AT57" s="36" t="n"/>
      <c r="AU57" s="27" t="n"/>
      <c r="AV57" s="37" t="n"/>
      <c r="AW57" s="38">
        <f>IF(AO57="","",IF(AR57="Yes","❌ Disc",IF(AQ57="No","⚠ Missing",IF(AT57="Yes","✓ OK","⚠ Check"))))</f>
        <v/>
      </c>
    </row>
    <row r="58" ht="18" customHeight="1" s="46">
      <c r="A58" s="39" t="n">
        <v>54</v>
      </c>
      <c r="B58" s="40" t="inlineStr">
        <is>
          <t>BD-ACR-2023-0004</t>
        </is>
      </c>
      <c r="C58" s="41" t="inlineStr">
        <is>
          <t>Spacewood - Crystal Acrylic Pearl Super Matt</t>
        </is>
      </c>
      <c r="D58" s="39" t="inlineStr">
        <is>
          <t>Spacewood</t>
        </is>
      </c>
      <c r="E58" s="43" t="n">
        <v>46125</v>
      </c>
      <c r="F58" s="26" t="inlineStr">
        <is>
          <t>Sunil CR</t>
        </is>
      </c>
      <c r="G58" s="26" t="inlineStr">
        <is>
          <t>Yes</t>
        </is>
      </c>
      <c r="H58" s="26" t="inlineStr">
        <is>
          <t>No</t>
        </is>
      </c>
      <c r="I58" s="26" t="inlineStr">
        <is>
          <t>Good finish</t>
        </is>
      </c>
      <c r="J58" s="26" t="inlineStr">
        <is>
          <t>Yes</t>
        </is>
      </c>
      <c r="K58" s="27" t="n"/>
      <c r="L58" s="28" t="inlineStr">
        <is>
          <t>No</t>
        </is>
      </c>
      <c r="M58" s="29">
        <f>IF(E58="","",IF(H58="Yes","❌ Disc",IF(G58="No","⚠ Missing",IF(J58="Yes","✓ OK","⚠ Check"))))</f>
        <v/>
      </c>
      <c r="N58" s="43" t="n">
        <v>46193</v>
      </c>
      <c r="O58" s="26" t="inlineStr">
        <is>
          <t>Sunil CR</t>
        </is>
      </c>
      <c r="P58" s="26" t="inlineStr">
        <is>
          <t>Yes</t>
        </is>
      </c>
      <c r="Q58" s="26" t="inlineStr">
        <is>
          <t>No</t>
        </is>
      </c>
      <c r="R58" s="26" t="inlineStr">
        <is>
          <t>Good finish</t>
        </is>
      </c>
      <c r="S58" s="26" t="inlineStr">
        <is>
          <t>Yes</t>
        </is>
      </c>
      <c r="T58" s="27" t="n"/>
      <c r="U58" s="28" t="inlineStr">
        <is>
          <t>No</t>
        </is>
      </c>
      <c r="V58" s="29">
        <f>IF(N58="","",IF(Q58="Yes","❌ Disc",IF(P58="No","⚠ Missing",IF(S58="Yes","✓ OK","⚠ Check"))))</f>
        <v/>
      </c>
      <c r="W58" s="65" t="n">
        <v>46248</v>
      </c>
      <c r="X58" s="30" t="inlineStr">
        <is>
          <t>Sunil CR</t>
        </is>
      </c>
      <c r="Y58" s="30" t="inlineStr">
        <is>
          <t>Yes</t>
        </is>
      </c>
      <c r="Z58" s="30" t="n"/>
      <c r="AA58" s="30" t="inlineStr">
        <is>
          <t>Good finish</t>
        </is>
      </c>
      <c r="AB58" s="30" t="inlineStr">
        <is>
          <t>Yes</t>
        </is>
      </c>
      <c r="AC58" s="27" t="n"/>
      <c r="AD58" s="31" t="inlineStr">
        <is>
          <t>No</t>
        </is>
      </c>
      <c r="AE58" s="32">
        <f>IF(W58="","",IF(Z58="Yes","❌ Disc",IF(Y58="No","⚠ Missing",IF(AB58="Yes","✓ OK","⚠ Check"))))</f>
        <v/>
      </c>
      <c r="AF58" s="33" t="n"/>
      <c r="AG58" s="33" t="n"/>
      <c r="AH58" s="33" t="n"/>
      <c r="AI58" s="33" t="n"/>
      <c r="AJ58" s="33" t="n"/>
      <c r="AK58" s="33" t="n"/>
      <c r="AL58" s="27" t="n"/>
      <c r="AM58" s="34" t="n"/>
      <c r="AN58" s="35">
        <f>IF(AF58="","",IF(AI58="Yes","❌ Disc",IF(AH58="No","⚠ Missing",IF(AK58="Yes","✓ OK","⚠ Check"))))</f>
        <v/>
      </c>
      <c r="AO58" s="36" t="n"/>
      <c r="AP58" s="36" t="n"/>
      <c r="AQ58" s="36" t="n"/>
      <c r="AR58" s="36" t="n"/>
      <c r="AS58" s="36" t="n"/>
      <c r="AT58" s="36" t="n"/>
      <c r="AU58" s="27" t="n"/>
      <c r="AV58" s="37" t="n"/>
      <c r="AW58" s="38">
        <f>IF(AO58="","",IF(AR58="Yes","❌ Disc",IF(AQ58="No","⚠ Missing",IF(AT58="Yes","✓ OK","⚠ Check"))))</f>
        <v/>
      </c>
    </row>
    <row r="59" ht="18" customHeight="1" s="46">
      <c r="A59" s="23" t="n">
        <v>55</v>
      </c>
      <c r="B59" s="24" t="inlineStr">
        <is>
          <t>BD-ACR-2023-0026</t>
        </is>
      </c>
      <c r="C59" s="25" t="inlineStr">
        <is>
          <t>Spacewood - Crystal Acrylic Sand High Gloss</t>
        </is>
      </c>
      <c r="D59" s="23" t="inlineStr">
        <is>
          <t>Spacewood</t>
        </is>
      </c>
      <c r="E59" s="43" t="n">
        <v>46125</v>
      </c>
      <c r="F59" s="26" t="inlineStr">
        <is>
          <t>Sunil CR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Good finish</t>
        </is>
      </c>
      <c r="J59" s="26" t="inlineStr">
        <is>
          <t>Yes</t>
        </is>
      </c>
      <c r="K59" s="27" t="n"/>
      <c r="L59" s="28" t="inlineStr">
        <is>
          <t>No</t>
        </is>
      </c>
      <c r="M59" s="29">
        <f>IF(E59="","",IF(H59="Yes","❌ Disc",IF(G59="No","⚠ Missing",IF(J59="Yes","✓ OK","⚠ Check"))))</f>
        <v/>
      </c>
      <c r="N59" s="43" t="n">
        <v>46193</v>
      </c>
      <c r="O59" s="26" t="inlineStr">
        <is>
          <t>Sunil CR</t>
        </is>
      </c>
      <c r="P59" s="26" t="inlineStr">
        <is>
          <t>Yes</t>
        </is>
      </c>
      <c r="Q59" s="26" t="inlineStr">
        <is>
          <t>No</t>
        </is>
      </c>
      <c r="R59" s="26" t="inlineStr">
        <is>
          <t>Good finish</t>
        </is>
      </c>
      <c r="S59" s="26" t="inlineStr">
        <is>
          <t>Yes</t>
        </is>
      </c>
      <c r="T59" s="27" t="n"/>
      <c r="U59" s="28" t="inlineStr">
        <is>
          <t>No</t>
        </is>
      </c>
      <c r="V59" s="29">
        <f>IF(N59="","",IF(Q59="Yes","❌ Disc",IF(P59="No","⚠ Missing",IF(S59="Yes","✓ OK","⚠ Check"))))</f>
        <v/>
      </c>
      <c r="W59" s="65" t="n">
        <v>46248</v>
      </c>
      <c r="X59" s="30" t="inlineStr">
        <is>
          <t>Sunil CR</t>
        </is>
      </c>
      <c r="Y59" s="30" t="inlineStr">
        <is>
          <t>Yes</t>
        </is>
      </c>
      <c r="Z59" s="30" t="n"/>
      <c r="AA59" s="30" t="inlineStr">
        <is>
          <t>Good finish</t>
        </is>
      </c>
      <c r="AB59" s="30" t="inlineStr">
        <is>
          <t>Yes</t>
        </is>
      </c>
      <c r="AC59" s="27" t="n"/>
      <c r="AD59" s="31" t="inlineStr">
        <is>
          <t>No</t>
        </is>
      </c>
      <c r="AE59" s="32">
        <f>IF(W59="","",IF(Z59="Yes","❌ Disc",IF(Y59="No","⚠ Missing",IF(AB59="Yes","✓ OK","⚠ Check"))))</f>
        <v/>
      </c>
      <c r="AF59" s="33" t="n"/>
      <c r="AG59" s="33" t="n"/>
      <c r="AH59" s="33" t="n"/>
      <c r="AI59" s="33" t="n"/>
      <c r="AJ59" s="33" t="n"/>
      <c r="AK59" s="33" t="n"/>
      <c r="AL59" s="27" t="n"/>
      <c r="AM59" s="34" t="n"/>
      <c r="AN59" s="35">
        <f>IF(AF59="","",IF(AI59="Yes","❌ Disc",IF(AH59="No","⚠ Missing",IF(AK59="Yes","✓ OK","⚠ Check"))))</f>
        <v/>
      </c>
      <c r="AO59" s="36" t="n"/>
      <c r="AP59" s="36" t="n"/>
      <c r="AQ59" s="36" t="n"/>
      <c r="AR59" s="36" t="n"/>
      <c r="AS59" s="36" t="n"/>
      <c r="AT59" s="36" t="n"/>
      <c r="AU59" s="27" t="n"/>
      <c r="AV59" s="37" t="n"/>
      <c r="AW59" s="38">
        <f>IF(AO59="","",IF(AR59="Yes","❌ Disc",IF(AQ59="No","⚠ Missing",IF(AT59="Yes","✓ OK","⚠ Check"))))</f>
        <v/>
      </c>
    </row>
    <row r="60" ht="18" customHeight="1" s="46">
      <c r="A60" s="39" t="n">
        <v>56</v>
      </c>
      <c r="B60" s="40" t="inlineStr">
        <is>
          <t>BD-ACR-2023-0007</t>
        </is>
      </c>
      <c r="C60" s="41" t="inlineStr">
        <is>
          <t>Spacewood - Crystal Acrylic Sand Super Matt</t>
        </is>
      </c>
      <c r="D60" s="39" t="inlineStr">
        <is>
          <t>Spacewood</t>
        </is>
      </c>
      <c r="E60" s="43" t="n">
        <v>46125</v>
      </c>
      <c r="F60" s="26" t="inlineStr">
        <is>
          <t>Sunil CR</t>
        </is>
      </c>
      <c r="G60" s="26" t="inlineStr">
        <is>
          <t>Yes</t>
        </is>
      </c>
      <c r="H60" s="26" t="inlineStr">
        <is>
          <t>No</t>
        </is>
      </c>
      <c r="I60" s="26" t="inlineStr">
        <is>
          <t>Good finish</t>
        </is>
      </c>
      <c r="J60" s="26" t="inlineStr">
        <is>
          <t>Yes</t>
        </is>
      </c>
      <c r="K60" s="27" t="n"/>
      <c r="L60" s="28" t="inlineStr">
        <is>
          <t>No</t>
        </is>
      </c>
      <c r="M60" s="29">
        <f>IF(E60="","",IF(H60="Yes","❌ Disc",IF(G60="No","⚠ Missing",IF(J60="Yes","✓ OK","⚠ Check"))))</f>
        <v/>
      </c>
      <c r="N60" s="43" t="n">
        <v>46193</v>
      </c>
      <c r="O60" s="26" t="inlineStr">
        <is>
          <t>Sunil CR</t>
        </is>
      </c>
      <c r="P60" s="26" t="inlineStr">
        <is>
          <t>Yes</t>
        </is>
      </c>
      <c r="Q60" s="26" t="inlineStr">
        <is>
          <t>No</t>
        </is>
      </c>
      <c r="R60" s="26" t="inlineStr">
        <is>
          <t>Good finish</t>
        </is>
      </c>
      <c r="S60" s="26" t="inlineStr">
        <is>
          <t>Yes</t>
        </is>
      </c>
      <c r="T60" s="27" t="n"/>
      <c r="U60" s="28" t="inlineStr">
        <is>
          <t>No</t>
        </is>
      </c>
      <c r="V60" s="29">
        <f>IF(N60="","",IF(Q60="Yes","❌ Disc",IF(P60="No","⚠ Missing",IF(S60="Yes","✓ OK","⚠ Check"))))</f>
        <v/>
      </c>
      <c r="W60" s="65" t="n">
        <v>46248</v>
      </c>
      <c r="X60" s="30" t="inlineStr">
        <is>
          <t>Sunil CR</t>
        </is>
      </c>
      <c r="Y60" s="30" t="inlineStr">
        <is>
          <t>Yes</t>
        </is>
      </c>
      <c r="Z60" s="30" t="n"/>
      <c r="AA60" s="30" t="inlineStr">
        <is>
          <t>Good finish</t>
        </is>
      </c>
      <c r="AB60" s="30" t="inlineStr">
        <is>
          <t>Yes</t>
        </is>
      </c>
      <c r="AC60" s="27" t="n"/>
      <c r="AD60" s="31" t="inlineStr">
        <is>
          <t>No</t>
        </is>
      </c>
      <c r="AE60" s="32">
        <f>IF(W60="","",IF(Z60="Yes","❌ Disc",IF(Y60="No","⚠ Missing",IF(AB60="Yes","✓ OK","⚠ Check"))))</f>
        <v/>
      </c>
      <c r="AF60" s="33" t="n"/>
      <c r="AG60" s="33" t="n"/>
      <c r="AH60" s="33" t="n"/>
      <c r="AI60" s="33" t="n"/>
      <c r="AJ60" s="33" t="n"/>
      <c r="AK60" s="33" t="n"/>
      <c r="AL60" s="27" t="n"/>
      <c r="AM60" s="34" t="n"/>
      <c r="AN60" s="35">
        <f>IF(AF60="","",IF(AI60="Yes","❌ Disc",IF(AH60="No","⚠ Missing",IF(AK60="Yes","✓ OK","⚠ Check"))))</f>
        <v/>
      </c>
      <c r="AO60" s="36" t="n"/>
      <c r="AP60" s="36" t="n"/>
      <c r="AQ60" s="36" t="n"/>
      <c r="AR60" s="36" t="n"/>
      <c r="AS60" s="36" t="n"/>
      <c r="AT60" s="36" t="n"/>
      <c r="AU60" s="27" t="n"/>
      <c r="AV60" s="37" t="n"/>
      <c r="AW60" s="38">
        <f>IF(AO60="","",IF(AR60="Yes","❌ Disc",IF(AQ60="No","⚠ Missing",IF(AT60="Yes","✓ OK","⚠ Check"))))</f>
        <v/>
      </c>
    </row>
    <row r="61" ht="18" customHeight="1" s="46">
      <c r="A61" s="23" t="n">
        <v>57</v>
      </c>
      <c r="B61" s="24" t="inlineStr">
        <is>
          <t>BD-ACR-2023-0027</t>
        </is>
      </c>
      <c r="C61" s="25" t="inlineStr">
        <is>
          <t>Spacewood - Crystal Acrylic Sasso High Gloss</t>
        </is>
      </c>
      <c r="D61" s="23" t="inlineStr">
        <is>
          <t>Spacewood</t>
        </is>
      </c>
      <c r="E61" s="43" t="n">
        <v>46125</v>
      </c>
      <c r="F61" s="26" t="inlineStr">
        <is>
          <t>Sunil CR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Good finish</t>
        </is>
      </c>
      <c r="J61" s="26" t="inlineStr">
        <is>
          <t>Yes</t>
        </is>
      </c>
      <c r="K61" s="27" t="n"/>
      <c r="L61" s="28" t="inlineStr">
        <is>
          <t>No</t>
        </is>
      </c>
      <c r="M61" s="29">
        <f>IF(E61="","",IF(H61="Yes","❌ Disc",IF(G61="No","⚠ Missing",IF(J61="Yes","✓ OK","⚠ Check"))))</f>
        <v/>
      </c>
      <c r="N61" s="43" t="n">
        <v>46193</v>
      </c>
      <c r="O61" s="26" t="inlineStr">
        <is>
          <t>Sunil CR</t>
        </is>
      </c>
      <c r="P61" s="26" t="inlineStr">
        <is>
          <t>Yes</t>
        </is>
      </c>
      <c r="Q61" s="26" t="inlineStr">
        <is>
          <t>No</t>
        </is>
      </c>
      <c r="R61" s="26" t="inlineStr">
        <is>
          <t>Good finish</t>
        </is>
      </c>
      <c r="S61" s="26" t="inlineStr">
        <is>
          <t>Yes</t>
        </is>
      </c>
      <c r="T61" s="27" t="n"/>
      <c r="U61" s="28" t="inlineStr">
        <is>
          <t>No</t>
        </is>
      </c>
      <c r="V61" s="29">
        <f>IF(N61="","",IF(Q61="Yes","❌ Disc",IF(P61="No","⚠ Missing",IF(S61="Yes","✓ OK","⚠ Check"))))</f>
        <v/>
      </c>
      <c r="W61" s="65" t="n">
        <v>46248</v>
      </c>
      <c r="X61" s="30" t="inlineStr">
        <is>
          <t>Sunil CR</t>
        </is>
      </c>
      <c r="Y61" s="30" t="inlineStr">
        <is>
          <t>Yes</t>
        </is>
      </c>
      <c r="Z61" s="30" t="n"/>
      <c r="AA61" s="30" t="inlineStr">
        <is>
          <t>Good finish</t>
        </is>
      </c>
      <c r="AB61" s="30" t="inlineStr">
        <is>
          <t>Yes</t>
        </is>
      </c>
      <c r="AC61" s="27" t="n"/>
      <c r="AD61" s="31" t="inlineStr">
        <is>
          <t>No</t>
        </is>
      </c>
      <c r="AE61" s="32">
        <f>IF(W61="","",IF(Z61="Yes","❌ Disc",IF(Y61="No","⚠ Missing",IF(AB61="Yes","✓ OK","⚠ Check"))))</f>
        <v/>
      </c>
      <c r="AF61" s="33" t="n"/>
      <c r="AG61" s="33" t="n"/>
      <c r="AH61" s="33" t="n"/>
      <c r="AI61" s="33" t="n"/>
      <c r="AJ61" s="33" t="n"/>
      <c r="AK61" s="33" t="n"/>
      <c r="AL61" s="27" t="n"/>
      <c r="AM61" s="34" t="n"/>
      <c r="AN61" s="35">
        <f>IF(AF61="","",IF(AI61="Yes","❌ Disc",IF(AH61="No","⚠ Missing",IF(AK61="Yes","✓ OK","⚠ Check"))))</f>
        <v/>
      </c>
      <c r="AO61" s="36" t="n"/>
      <c r="AP61" s="36" t="n"/>
      <c r="AQ61" s="36" t="n"/>
      <c r="AR61" s="36" t="n"/>
      <c r="AS61" s="36" t="n"/>
      <c r="AT61" s="36" t="n"/>
      <c r="AU61" s="27" t="n"/>
      <c r="AV61" s="37" t="n"/>
      <c r="AW61" s="38">
        <f>IF(AO61="","",IF(AR61="Yes","❌ Disc",IF(AQ61="No","⚠ Missing",IF(AT61="Yes","✓ OK","⚠ Check"))))</f>
        <v/>
      </c>
    </row>
    <row r="62" ht="18" customHeight="1" s="46">
      <c r="A62" s="39" t="n">
        <v>58</v>
      </c>
      <c r="B62" s="40" t="inlineStr">
        <is>
          <t>BD-ACR-2023-0008</t>
        </is>
      </c>
      <c r="C62" s="41" t="inlineStr">
        <is>
          <t>Spacewood - Crystal Acrylic Sasso Super Matt</t>
        </is>
      </c>
      <c r="D62" s="39" t="inlineStr">
        <is>
          <t>Spacewood</t>
        </is>
      </c>
      <c r="E62" s="43" t="n">
        <v>46125</v>
      </c>
      <c r="F62" s="26" t="inlineStr">
        <is>
          <t>Sunil CR</t>
        </is>
      </c>
      <c r="G62" s="26" t="inlineStr">
        <is>
          <t>Yes</t>
        </is>
      </c>
      <c r="H62" s="26" t="inlineStr">
        <is>
          <t>No</t>
        </is>
      </c>
      <c r="I62" s="26" t="inlineStr">
        <is>
          <t>Good finish</t>
        </is>
      </c>
      <c r="J62" s="26" t="inlineStr">
        <is>
          <t>Yes</t>
        </is>
      </c>
      <c r="K62" s="27" t="n"/>
      <c r="L62" s="28" t="inlineStr">
        <is>
          <t>No</t>
        </is>
      </c>
      <c r="M62" s="29">
        <f>IF(E62="","",IF(H62="Yes","❌ Disc",IF(G62="No","⚠ Missing",IF(J62="Yes","✓ OK","⚠ Check"))))</f>
        <v/>
      </c>
      <c r="N62" s="43" t="n">
        <v>46193</v>
      </c>
      <c r="O62" s="26" t="inlineStr">
        <is>
          <t>Sunil CR</t>
        </is>
      </c>
      <c r="P62" s="26" t="inlineStr">
        <is>
          <t>Yes</t>
        </is>
      </c>
      <c r="Q62" s="26" t="inlineStr">
        <is>
          <t>No</t>
        </is>
      </c>
      <c r="R62" s="26" t="inlineStr">
        <is>
          <t>Good finish</t>
        </is>
      </c>
      <c r="S62" s="26" t="inlineStr">
        <is>
          <t>Yes</t>
        </is>
      </c>
      <c r="T62" s="27" t="n"/>
      <c r="U62" s="28" t="inlineStr">
        <is>
          <t>No</t>
        </is>
      </c>
      <c r="V62" s="29">
        <f>IF(N62="","",IF(Q62="Yes","❌ Disc",IF(P62="No","⚠ Missing",IF(S62="Yes","✓ OK","⚠ Check"))))</f>
        <v/>
      </c>
      <c r="W62" s="65" t="n">
        <v>46248</v>
      </c>
      <c r="X62" s="30" t="inlineStr">
        <is>
          <t>Sunil CR</t>
        </is>
      </c>
      <c r="Y62" s="30" t="inlineStr">
        <is>
          <t>Yes</t>
        </is>
      </c>
      <c r="Z62" s="30" t="n"/>
      <c r="AA62" s="30" t="inlineStr">
        <is>
          <t>Good finish</t>
        </is>
      </c>
      <c r="AB62" s="30" t="inlineStr">
        <is>
          <t>Yes</t>
        </is>
      </c>
      <c r="AC62" s="27" t="n"/>
      <c r="AD62" s="31" t="inlineStr">
        <is>
          <t>No</t>
        </is>
      </c>
      <c r="AE62" s="32">
        <f>IF(W62="","",IF(Z62="Yes","❌ Disc",IF(Y62="No","⚠ Missing",IF(AB62="Yes","✓ OK","⚠ Check"))))</f>
        <v/>
      </c>
      <c r="AF62" s="33" t="n"/>
      <c r="AG62" s="33" t="n"/>
      <c r="AH62" s="33" t="n"/>
      <c r="AI62" s="33" t="n"/>
      <c r="AJ62" s="33" t="n"/>
      <c r="AK62" s="33" t="n"/>
      <c r="AL62" s="27" t="n"/>
      <c r="AM62" s="34" t="n"/>
      <c r="AN62" s="35">
        <f>IF(AF62="","",IF(AI62="Yes","❌ Disc",IF(AH62="No","⚠ Missing",IF(AK62="Yes","✓ OK","⚠ Check"))))</f>
        <v/>
      </c>
      <c r="AO62" s="36" t="n"/>
      <c r="AP62" s="36" t="n"/>
      <c r="AQ62" s="36" t="n"/>
      <c r="AR62" s="36" t="n"/>
      <c r="AS62" s="36" t="n"/>
      <c r="AT62" s="36" t="n"/>
      <c r="AU62" s="27" t="n"/>
      <c r="AV62" s="37" t="n"/>
      <c r="AW62" s="38">
        <f>IF(AO62="","",IF(AR62="Yes","❌ Disc",IF(AQ62="No","⚠ Missing",IF(AT62="Yes","✓ OK","⚠ Check"))))</f>
        <v/>
      </c>
    </row>
    <row r="63" ht="18" customHeight="1" s="46">
      <c r="A63" s="23" t="n">
        <v>59</v>
      </c>
      <c r="B63" s="24" t="inlineStr">
        <is>
          <t>BD-ACR-2023-0021</t>
        </is>
      </c>
      <c r="C63" s="25" t="inlineStr">
        <is>
          <t>Spacewood - Crystal Acrylic Satin White High Gloss</t>
        </is>
      </c>
      <c r="D63" s="23" t="inlineStr">
        <is>
          <t>Spacewood</t>
        </is>
      </c>
      <c r="E63" s="43" t="n">
        <v>46125</v>
      </c>
      <c r="F63" s="26" t="inlineStr">
        <is>
          <t>Sunil CR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Good finish</t>
        </is>
      </c>
      <c r="J63" s="26" t="inlineStr">
        <is>
          <t>Yes</t>
        </is>
      </c>
      <c r="K63" s="27" t="n"/>
      <c r="L63" s="28" t="inlineStr">
        <is>
          <t>No</t>
        </is>
      </c>
      <c r="M63" s="29">
        <f>IF(E63="","",IF(H63="Yes","❌ Disc",IF(G63="No","⚠ Missing",IF(J63="Yes","✓ OK","⚠ Check"))))</f>
        <v/>
      </c>
      <c r="N63" s="43" t="n">
        <v>46193</v>
      </c>
      <c r="O63" s="26" t="inlineStr">
        <is>
          <t>Sunil CR</t>
        </is>
      </c>
      <c r="P63" s="26" t="inlineStr">
        <is>
          <t>Yes</t>
        </is>
      </c>
      <c r="Q63" s="26" t="inlineStr">
        <is>
          <t>No</t>
        </is>
      </c>
      <c r="R63" s="26" t="inlineStr">
        <is>
          <t>Good finish</t>
        </is>
      </c>
      <c r="S63" s="26" t="inlineStr">
        <is>
          <t>Yes</t>
        </is>
      </c>
      <c r="T63" s="27" t="n"/>
      <c r="U63" s="28" t="inlineStr">
        <is>
          <t>No</t>
        </is>
      </c>
      <c r="V63" s="29">
        <f>IF(N63="","",IF(Q63="Yes","❌ Disc",IF(P63="No","⚠ Missing",IF(S63="Yes","✓ OK","⚠ Check"))))</f>
        <v/>
      </c>
      <c r="W63" s="65" t="n">
        <v>46248</v>
      </c>
      <c r="X63" s="30" t="inlineStr">
        <is>
          <t>Sunil CR</t>
        </is>
      </c>
      <c r="Y63" s="30" t="inlineStr">
        <is>
          <t>Yes</t>
        </is>
      </c>
      <c r="Z63" s="30" t="n"/>
      <c r="AA63" s="30" t="inlineStr">
        <is>
          <t>Good finish</t>
        </is>
      </c>
      <c r="AB63" s="30" t="inlineStr">
        <is>
          <t>Yes</t>
        </is>
      </c>
      <c r="AC63" s="27" t="n"/>
      <c r="AD63" s="31" t="inlineStr">
        <is>
          <t>No</t>
        </is>
      </c>
      <c r="AE63" s="32">
        <f>IF(W63="","",IF(Z63="Yes","❌ Disc",IF(Y63="No","⚠ Missing",IF(AB63="Yes","✓ OK","⚠ Check"))))</f>
        <v/>
      </c>
      <c r="AF63" s="33" t="n"/>
      <c r="AG63" s="33" t="n"/>
      <c r="AH63" s="33" t="n"/>
      <c r="AI63" s="33" t="n"/>
      <c r="AJ63" s="33" t="n"/>
      <c r="AK63" s="33" t="n"/>
      <c r="AL63" s="27" t="n"/>
      <c r="AM63" s="34" t="n"/>
      <c r="AN63" s="35">
        <f>IF(AF63="","",IF(AI63="Yes","❌ Disc",IF(AH63="No","⚠ Missing",IF(AK63="Yes","✓ OK","⚠ Check"))))</f>
        <v/>
      </c>
      <c r="AO63" s="36" t="n"/>
      <c r="AP63" s="36" t="n"/>
      <c r="AQ63" s="36" t="n"/>
      <c r="AR63" s="36" t="n"/>
      <c r="AS63" s="36" t="n"/>
      <c r="AT63" s="36" t="n"/>
      <c r="AU63" s="27" t="n"/>
      <c r="AV63" s="37" t="n"/>
      <c r="AW63" s="38">
        <f>IF(AO63="","",IF(AR63="Yes","❌ Disc",IF(AQ63="No","⚠ Missing",IF(AT63="Yes","✓ OK","⚠ Check"))))</f>
        <v/>
      </c>
    </row>
    <row r="64" ht="18" customHeight="1" s="46">
      <c r="A64" s="39" t="n">
        <v>60</v>
      </c>
      <c r="B64" s="40" t="inlineStr">
        <is>
          <t>BD-ACR-2023-0002</t>
        </is>
      </c>
      <c r="C64" s="41" t="inlineStr">
        <is>
          <t>Spacewood - Crystal Acrylic Satin White Super Matt</t>
        </is>
      </c>
      <c r="D64" s="39" t="inlineStr">
        <is>
          <t>Spacewood</t>
        </is>
      </c>
      <c r="E64" s="43" t="n">
        <v>46125</v>
      </c>
      <c r="F64" s="26" t="inlineStr">
        <is>
          <t>Sunil CR</t>
        </is>
      </c>
      <c r="G64" s="26" t="inlineStr">
        <is>
          <t>Yes</t>
        </is>
      </c>
      <c r="H64" s="26" t="inlineStr">
        <is>
          <t>No</t>
        </is>
      </c>
      <c r="I64" s="26" t="inlineStr">
        <is>
          <t>Good finish</t>
        </is>
      </c>
      <c r="J64" s="26" t="inlineStr">
        <is>
          <t>Yes</t>
        </is>
      </c>
      <c r="K64" s="27" t="n"/>
      <c r="L64" s="28" t="inlineStr">
        <is>
          <t>No</t>
        </is>
      </c>
      <c r="M64" s="29">
        <f>IF(E64="","",IF(H64="Yes","❌ Disc",IF(G64="No","⚠ Missing",IF(J64="Yes","✓ OK","⚠ Check"))))</f>
        <v/>
      </c>
      <c r="N64" s="43" t="n">
        <v>46193</v>
      </c>
      <c r="O64" s="26" t="inlineStr">
        <is>
          <t>Sunil CR</t>
        </is>
      </c>
      <c r="P64" s="26" t="inlineStr">
        <is>
          <t>Yes</t>
        </is>
      </c>
      <c r="Q64" s="26" t="inlineStr">
        <is>
          <t>No</t>
        </is>
      </c>
      <c r="R64" s="26" t="inlineStr">
        <is>
          <t>Good finish</t>
        </is>
      </c>
      <c r="S64" s="26" t="inlineStr">
        <is>
          <t>Yes</t>
        </is>
      </c>
      <c r="T64" s="27" t="n"/>
      <c r="U64" s="28" t="inlineStr">
        <is>
          <t>No</t>
        </is>
      </c>
      <c r="V64" s="29">
        <f>IF(N64="","",IF(Q64="Yes","❌ Disc",IF(P64="No","⚠ Missing",IF(S64="Yes","✓ OK","⚠ Check"))))</f>
        <v/>
      </c>
      <c r="W64" s="65" t="n">
        <v>46248</v>
      </c>
      <c r="X64" s="30" t="inlineStr">
        <is>
          <t>Sunil CR</t>
        </is>
      </c>
      <c r="Y64" s="30" t="inlineStr">
        <is>
          <t>Yes</t>
        </is>
      </c>
      <c r="Z64" s="30" t="n"/>
      <c r="AA64" s="30" t="inlineStr">
        <is>
          <t>Good finish</t>
        </is>
      </c>
      <c r="AB64" s="30" t="inlineStr">
        <is>
          <t>Yes</t>
        </is>
      </c>
      <c r="AC64" s="27" t="n"/>
      <c r="AD64" s="31" t="inlineStr">
        <is>
          <t>No</t>
        </is>
      </c>
      <c r="AE64" s="32">
        <f>IF(W64="","",IF(Z64="Yes","❌ Disc",IF(Y64="No","⚠ Missing",IF(AB64="Yes","✓ OK","⚠ Check"))))</f>
        <v/>
      </c>
      <c r="AF64" s="33" t="n"/>
      <c r="AG64" s="33" t="n"/>
      <c r="AH64" s="33" t="n"/>
      <c r="AI64" s="33" t="n"/>
      <c r="AJ64" s="33" t="n"/>
      <c r="AK64" s="33" t="n"/>
      <c r="AL64" s="27" t="n"/>
      <c r="AM64" s="34" t="n"/>
      <c r="AN64" s="35">
        <f>IF(AF64="","",IF(AI64="Yes","❌ Disc",IF(AH64="No","⚠ Missing",IF(AK64="Yes","✓ OK","⚠ Check"))))</f>
        <v/>
      </c>
      <c r="AO64" s="36" t="n"/>
      <c r="AP64" s="36" t="n"/>
      <c r="AQ64" s="36" t="n"/>
      <c r="AR64" s="36" t="n"/>
      <c r="AS64" s="36" t="n"/>
      <c r="AT64" s="36" t="n"/>
      <c r="AU64" s="27" t="n"/>
      <c r="AV64" s="37" t="n"/>
      <c r="AW64" s="38">
        <f>IF(AO64="","",IF(AR64="Yes","❌ Disc",IF(AQ64="No","⚠ Missing",IF(AT64="Yes","✓ OK","⚠ Check"))))</f>
        <v/>
      </c>
    </row>
    <row r="65" ht="18" customHeight="1" s="46">
      <c r="A65" s="23" t="n">
        <v>61</v>
      </c>
      <c r="B65" s="24" t="inlineStr">
        <is>
          <t>BD-ACR-2023-0036</t>
        </is>
      </c>
      <c r="C65" s="25" t="inlineStr">
        <is>
          <t>Spacewood - Crystal Acrylic Topo Grey High Gloss</t>
        </is>
      </c>
      <c r="D65" s="23" t="inlineStr">
        <is>
          <t>Spacewood</t>
        </is>
      </c>
      <c r="E65" s="43" t="n">
        <v>46125</v>
      </c>
      <c r="F65" s="26" t="inlineStr">
        <is>
          <t>Sunil CR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Good finish</t>
        </is>
      </c>
      <c r="J65" s="26" t="inlineStr">
        <is>
          <t>Yes</t>
        </is>
      </c>
      <c r="K65" s="27" t="n"/>
      <c r="L65" s="28" t="inlineStr">
        <is>
          <t>No</t>
        </is>
      </c>
      <c r="M65" s="29">
        <f>IF(E65="","",IF(H65="Yes","❌ Disc",IF(G65="No","⚠ Missing",IF(J65="Yes","✓ OK","⚠ Check"))))</f>
        <v/>
      </c>
      <c r="N65" s="43" t="n">
        <v>46193</v>
      </c>
      <c r="O65" s="26" t="inlineStr">
        <is>
          <t>Sunil CR</t>
        </is>
      </c>
      <c r="P65" s="26" t="inlineStr">
        <is>
          <t>Yes</t>
        </is>
      </c>
      <c r="Q65" s="26" t="inlineStr">
        <is>
          <t>No</t>
        </is>
      </c>
      <c r="R65" s="26" t="inlineStr">
        <is>
          <t>Good finish</t>
        </is>
      </c>
      <c r="S65" s="26" t="inlineStr">
        <is>
          <t>Yes</t>
        </is>
      </c>
      <c r="T65" s="27" t="n"/>
      <c r="U65" s="28" t="inlineStr">
        <is>
          <t>No</t>
        </is>
      </c>
      <c r="V65" s="29">
        <f>IF(N65="","",IF(Q65="Yes","❌ Disc",IF(P65="No","⚠ Missing",IF(S65="Yes","✓ OK","⚠ Check"))))</f>
        <v/>
      </c>
      <c r="W65" s="65" t="n">
        <v>46248</v>
      </c>
      <c r="X65" s="30" t="inlineStr">
        <is>
          <t>Sunil CR</t>
        </is>
      </c>
      <c r="Y65" s="30" t="inlineStr">
        <is>
          <t>Yes</t>
        </is>
      </c>
      <c r="Z65" s="30" t="n"/>
      <c r="AA65" s="30" t="inlineStr">
        <is>
          <t>Good finish</t>
        </is>
      </c>
      <c r="AB65" s="30" t="inlineStr">
        <is>
          <t>Yes</t>
        </is>
      </c>
      <c r="AC65" s="27" t="n"/>
      <c r="AD65" s="31" t="inlineStr">
        <is>
          <t>No</t>
        </is>
      </c>
      <c r="AE65" s="32">
        <f>IF(W65="","",IF(Z65="Yes","❌ Disc",IF(Y65="No","⚠ Missing",IF(AB65="Yes","✓ OK","⚠ Check"))))</f>
        <v/>
      </c>
      <c r="AF65" s="33" t="n"/>
      <c r="AG65" s="33" t="n"/>
      <c r="AH65" s="33" t="n"/>
      <c r="AI65" s="33" t="n"/>
      <c r="AJ65" s="33" t="n"/>
      <c r="AK65" s="33" t="n"/>
      <c r="AL65" s="27" t="n"/>
      <c r="AM65" s="34" t="n"/>
      <c r="AN65" s="35">
        <f>IF(AF65="","",IF(AI65="Yes","❌ Disc",IF(AH65="No","⚠ Missing",IF(AK65="Yes","✓ OK","⚠ Check"))))</f>
        <v/>
      </c>
      <c r="AO65" s="36" t="n"/>
      <c r="AP65" s="36" t="n"/>
      <c r="AQ65" s="36" t="n"/>
      <c r="AR65" s="36" t="n"/>
      <c r="AS65" s="36" t="n"/>
      <c r="AT65" s="36" t="n"/>
      <c r="AU65" s="27" t="n"/>
      <c r="AV65" s="37" t="n"/>
      <c r="AW65" s="38">
        <f>IF(AO65="","",IF(AR65="Yes","❌ Disc",IF(AQ65="No","⚠ Missing",IF(AT65="Yes","✓ OK","⚠ Check"))))</f>
        <v/>
      </c>
    </row>
    <row r="66" ht="18" customHeight="1" s="46">
      <c r="A66" s="39" t="n">
        <v>62</v>
      </c>
      <c r="B66" s="40" t="inlineStr">
        <is>
          <t>BD-ACR-2023-0017</t>
        </is>
      </c>
      <c r="C66" s="41" t="inlineStr">
        <is>
          <t>Spacewood - Crystal Acrylic Topo Grey Super Matt</t>
        </is>
      </c>
      <c r="D66" s="39" t="inlineStr">
        <is>
          <t>Spacewood</t>
        </is>
      </c>
      <c r="E66" s="43" t="n">
        <v>46125</v>
      </c>
      <c r="F66" s="26" t="inlineStr">
        <is>
          <t>Sunil CR</t>
        </is>
      </c>
      <c r="G66" s="26" t="inlineStr">
        <is>
          <t>Yes</t>
        </is>
      </c>
      <c r="H66" s="26" t="inlineStr">
        <is>
          <t>No</t>
        </is>
      </c>
      <c r="I66" s="26" t="inlineStr">
        <is>
          <t>Good finish</t>
        </is>
      </c>
      <c r="J66" s="26" t="inlineStr">
        <is>
          <t>Yes</t>
        </is>
      </c>
      <c r="K66" s="27" t="n"/>
      <c r="L66" s="28" t="inlineStr">
        <is>
          <t>No</t>
        </is>
      </c>
      <c r="M66" s="29">
        <f>IF(E66="","",IF(H66="Yes","❌ Disc",IF(G66="No","⚠ Missing",IF(J66="Yes","✓ OK","⚠ Check"))))</f>
        <v/>
      </c>
      <c r="N66" s="43" t="n">
        <v>46193</v>
      </c>
      <c r="O66" s="26" t="inlineStr">
        <is>
          <t>Sunil CR</t>
        </is>
      </c>
      <c r="P66" s="26" t="inlineStr">
        <is>
          <t>Yes</t>
        </is>
      </c>
      <c r="Q66" s="26" t="inlineStr">
        <is>
          <t>No</t>
        </is>
      </c>
      <c r="R66" s="26" t="inlineStr">
        <is>
          <t>Good finish</t>
        </is>
      </c>
      <c r="S66" s="26" t="inlineStr">
        <is>
          <t>Yes</t>
        </is>
      </c>
      <c r="T66" s="27" t="n"/>
      <c r="U66" s="28" t="inlineStr">
        <is>
          <t>No</t>
        </is>
      </c>
      <c r="V66" s="29">
        <f>IF(N66="","",IF(Q66="Yes","❌ Disc",IF(P66="No","⚠ Missing",IF(S66="Yes","✓ OK","⚠ Check"))))</f>
        <v/>
      </c>
      <c r="W66" s="65" t="n">
        <v>46248</v>
      </c>
      <c r="X66" s="30" t="inlineStr">
        <is>
          <t>Sunil CR</t>
        </is>
      </c>
      <c r="Y66" s="30" t="inlineStr">
        <is>
          <t>Yes</t>
        </is>
      </c>
      <c r="Z66" s="30" t="n"/>
      <c r="AA66" s="30" t="inlineStr">
        <is>
          <t>Good finish</t>
        </is>
      </c>
      <c r="AB66" s="30" t="inlineStr">
        <is>
          <t>Yes</t>
        </is>
      </c>
      <c r="AC66" s="27" t="n"/>
      <c r="AD66" s="31" t="inlineStr">
        <is>
          <t>No</t>
        </is>
      </c>
      <c r="AE66" s="32">
        <f>IF(W66="","",IF(Z66="Yes","❌ Disc",IF(Y66="No","⚠ Missing",IF(AB66="Yes","✓ OK","⚠ Check"))))</f>
        <v/>
      </c>
      <c r="AF66" s="33" t="n"/>
      <c r="AG66" s="33" t="n"/>
      <c r="AH66" s="33" t="n"/>
      <c r="AI66" s="33" t="n"/>
      <c r="AJ66" s="33" t="n"/>
      <c r="AK66" s="33" t="n"/>
      <c r="AL66" s="27" t="n"/>
      <c r="AM66" s="34" t="n"/>
      <c r="AN66" s="35">
        <f>IF(AF66="","",IF(AI66="Yes","❌ Disc",IF(AH66="No","⚠ Missing",IF(AK66="Yes","✓ OK","⚠ Check"))))</f>
        <v/>
      </c>
      <c r="AO66" s="36" t="n"/>
      <c r="AP66" s="36" t="n"/>
      <c r="AQ66" s="36" t="n"/>
      <c r="AR66" s="36" t="n"/>
      <c r="AS66" s="36" t="n"/>
      <c r="AT66" s="36" t="n"/>
      <c r="AU66" s="27" t="n"/>
      <c r="AV66" s="37" t="n"/>
      <c r="AW66" s="38">
        <f>IF(AO66="","",IF(AR66="Yes","❌ Disc",IF(AQ66="No","⚠ Missing",IF(AT66="Yes","✓ OK","⚠ Check"))))</f>
        <v/>
      </c>
    </row>
    <row r="67" ht="18" customHeight="1" s="46">
      <c r="A67" s="23" t="n">
        <v>63</v>
      </c>
      <c r="B67" s="24" t="inlineStr">
        <is>
          <t>BD-ACR-2023-0039</t>
        </is>
      </c>
      <c r="C67" s="25" t="inlineStr">
        <is>
          <t>Spacewood - Crystal Acrylic Zevic High Gloss</t>
        </is>
      </c>
      <c r="D67" s="23" t="inlineStr">
        <is>
          <t>Spacewood</t>
        </is>
      </c>
      <c r="E67" s="43" t="n">
        <v>46125</v>
      </c>
      <c r="F67" s="26" t="inlineStr">
        <is>
          <t>Sunil CR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Good finish</t>
        </is>
      </c>
      <c r="J67" s="26" t="inlineStr">
        <is>
          <t>Yes</t>
        </is>
      </c>
      <c r="K67" s="27" t="n"/>
      <c r="L67" s="28" t="inlineStr">
        <is>
          <t>No</t>
        </is>
      </c>
      <c r="M67" s="29">
        <f>IF(E67="","",IF(H67="Yes","❌ Disc",IF(G67="No","⚠ Missing",IF(J67="Yes","✓ OK","⚠ Check"))))</f>
        <v/>
      </c>
      <c r="N67" s="43" t="n">
        <v>46193</v>
      </c>
      <c r="O67" s="26" t="inlineStr">
        <is>
          <t>Sunil CR</t>
        </is>
      </c>
      <c r="P67" s="26" t="inlineStr">
        <is>
          <t>Yes</t>
        </is>
      </c>
      <c r="Q67" s="26" t="inlineStr">
        <is>
          <t>No</t>
        </is>
      </c>
      <c r="R67" s="26" t="inlineStr">
        <is>
          <t>Good finish</t>
        </is>
      </c>
      <c r="S67" s="26" t="inlineStr">
        <is>
          <t>Yes</t>
        </is>
      </c>
      <c r="T67" s="27" t="n"/>
      <c r="U67" s="28" t="inlineStr">
        <is>
          <t>No</t>
        </is>
      </c>
      <c r="V67" s="29">
        <f>IF(N67="","",IF(Q67="Yes","❌ Disc",IF(P67="No","⚠ Missing",IF(S67="Yes","✓ OK","⚠ Check"))))</f>
        <v/>
      </c>
      <c r="W67" s="65" t="n">
        <v>46248</v>
      </c>
      <c r="X67" s="30" t="inlineStr">
        <is>
          <t>Sunil CR</t>
        </is>
      </c>
      <c r="Y67" s="30" t="inlineStr">
        <is>
          <t>Yes</t>
        </is>
      </c>
      <c r="Z67" s="30" t="n"/>
      <c r="AA67" s="30" t="inlineStr">
        <is>
          <t>Good finish</t>
        </is>
      </c>
      <c r="AB67" s="30" t="inlineStr">
        <is>
          <t>Yes</t>
        </is>
      </c>
      <c r="AC67" s="27" t="n"/>
      <c r="AD67" s="31" t="inlineStr">
        <is>
          <t>No</t>
        </is>
      </c>
      <c r="AE67" s="32">
        <f>IF(W67="","",IF(Z67="Yes","❌ Disc",IF(Y67="No","⚠ Missing",IF(AB67="Yes","✓ OK","⚠ Check"))))</f>
        <v/>
      </c>
      <c r="AF67" s="33" t="n"/>
      <c r="AG67" s="33" t="n"/>
      <c r="AH67" s="33" t="n"/>
      <c r="AI67" s="33" t="n"/>
      <c r="AJ67" s="33" t="n"/>
      <c r="AK67" s="33" t="n"/>
      <c r="AL67" s="27" t="n"/>
      <c r="AM67" s="34" t="n"/>
      <c r="AN67" s="35">
        <f>IF(AF67="","",IF(AI67="Yes","❌ Disc",IF(AH67="No","⚠ Missing",IF(AK67="Yes","✓ OK","⚠ Check"))))</f>
        <v/>
      </c>
      <c r="AO67" s="36" t="n"/>
      <c r="AP67" s="36" t="n"/>
      <c r="AQ67" s="36" t="n"/>
      <c r="AR67" s="36" t="n"/>
      <c r="AS67" s="36" t="n"/>
      <c r="AT67" s="36" t="n"/>
      <c r="AU67" s="27" t="n"/>
      <c r="AV67" s="37" t="n"/>
      <c r="AW67" s="38">
        <f>IF(AO67="","",IF(AR67="Yes","❌ Disc",IF(AQ67="No","⚠ Missing",IF(AT67="Yes","✓ OK","⚠ Check"))))</f>
        <v/>
      </c>
    </row>
  </sheetData>
  <autoFilter ref="A4:AW67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priority="15" dxfId="3">
      <formula>G5="Yes"</formula>
    </cfRule>
    <cfRule type="expression" priority="16" dxfId="1">
      <formula>G5="No"</formula>
    </cfRule>
  </conditionalFormatting>
  <conditionalFormatting sqref="H5:H67">
    <cfRule type="expression" priority="17" dxfId="1">
      <formula>H5="Yes"</formula>
    </cfRule>
  </conditionalFormatting>
  <conditionalFormatting sqref="J5:J67">
    <cfRule type="expression" priority="18" dxfId="3">
      <formula>J5="Yes"</formula>
    </cfRule>
    <cfRule type="expression" priority="19" dxfId="1">
      <formula>J5="No"</formula>
    </cfRule>
  </conditionalFormatting>
  <conditionalFormatting sqref="M5:M67">
    <cfRule type="expression" priority="11" dxfId="3">
      <formula>M5="✓ OK"</formula>
    </cfRule>
    <cfRule type="expression" priority="12" dxfId="1">
      <formula>M5="❌ Disc"</formula>
    </cfRule>
    <cfRule type="expression" priority="13" dxfId="1">
      <formula>M5="⚠ Missing"</formula>
    </cfRule>
    <cfRule type="expression" priority="14" dxfId="0">
      <formula>M5="⚠ Check"</formula>
    </cfRule>
  </conditionalFormatting>
  <conditionalFormatting sqref="N5:N67">
    <cfRule type="expression" priority="1" dxfId="27">
      <formula>MOD(ROW(),2)=0</formula>
    </cfRule>
  </conditionalFormatting>
  <conditionalFormatting sqref="A5:M67 O5:AW67">
    <cfRule type="expression" priority="56" dxfId="27">
      <formula>MOD(ROW(),2)=0</formula>
    </cfRule>
  </conditionalFormatting>
  <conditionalFormatting sqref="P5:P67">
    <cfRule type="expression" priority="6" dxfId="3">
      <formula>P5="Yes"</formula>
    </cfRule>
    <cfRule type="expression" priority="7" dxfId="1">
      <formula>P5="No"</formula>
    </cfRule>
    <cfRule type="expression" priority="24" dxfId="3">
      <formula>P5="Yes"</formula>
    </cfRule>
    <cfRule type="expression" priority="25" dxfId="1">
      <formula>P5="No"</formula>
    </cfRule>
  </conditionalFormatting>
  <conditionalFormatting sqref="Q5:Q67">
    <cfRule type="expression" priority="8" dxfId="1">
      <formula>Q5="Yes"</formula>
    </cfRule>
  </conditionalFormatting>
  <conditionalFormatting sqref="S5:S67">
    <cfRule type="expression" priority="9" dxfId="3">
      <formula>S5="Yes"</formula>
    </cfRule>
    <cfRule type="expression" priority="10" dxfId="1">
      <formula>S5="No"</formula>
    </cfRule>
    <cfRule type="expression" priority="27" dxfId="3">
      <formula>S5="Yes"</formula>
    </cfRule>
    <cfRule type="expression" priority="28" dxfId="1">
      <formula>S5="No"</formula>
    </cfRule>
  </conditionalFormatting>
  <conditionalFormatting sqref="V5:V67">
    <cfRule type="expression" priority="2" dxfId="3">
      <formula>V5="✓ OK"</formula>
    </cfRule>
    <cfRule type="expression" priority="3" dxfId="1">
      <formula>V5="❌ Disc"</formula>
    </cfRule>
    <cfRule type="expression" priority="4" dxfId="1">
      <formula>V5="⚠ Missing"</formula>
    </cfRule>
    <cfRule type="expression" priority="5" dxfId="0">
      <formula>V5="⚠ Check"</formula>
    </cfRule>
    <cfRule type="expression" priority="20" dxfId="3">
      <formula>V5="✓ OK"</formula>
    </cfRule>
    <cfRule type="expression" priority="21" dxfId="1">
      <formula>V5="❌ Disc"</formula>
    </cfRule>
    <cfRule type="expression" priority="22" dxfId="1">
      <formula>V5="⚠ Missing"</formula>
    </cfRule>
    <cfRule type="expression" priority="23" dxfId="0">
      <formula>V5="⚠ Check"</formula>
    </cfRule>
  </conditionalFormatting>
  <conditionalFormatting sqref="Y5:Y67">
    <cfRule type="expression" priority="33" dxfId="3">
      <formula>Y5="Yes"</formula>
    </cfRule>
    <cfRule type="expression" priority="34" dxfId="1">
      <formula>Y5="No"</formula>
    </cfRule>
  </conditionalFormatting>
  <conditionalFormatting sqref="Z5:Z67">
    <cfRule type="expression" priority="35" dxfId="1">
      <formula>Z5="Yes"</formula>
    </cfRule>
  </conditionalFormatting>
  <conditionalFormatting sqref="AB5:AB67">
    <cfRule type="expression" priority="37" dxfId="1">
      <formula>AB5="No"</formula>
    </cfRule>
    <cfRule type="expression" priority="36" dxfId="3">
      <formula>AB5="Yes"</formula>
    </cfRule>
  </conditionalFormatting>
  <conditionalFormatting sqref="AE5:AE67">
    <cfRule type="expression" priority="30" dxfId="1">
      <formula>AE5="❌ Disc"</formula>
    </cfRule>
    <cfRule type="expression" priority="31" dxfId="1">
      <formula>AE5="⚠ Missing"</formula>
    </cfRule>
    <cfRule type="expression" priority="29" dxfId="3">
      <formula>AE5="✓ OK"</formula>
    </cfRule>
    <cfRule type="expression" priority="32" dxfId="0">
      <formula>AE5="⚠ Check"</formula>
    </cfRule>
  </conditionalFormatting>
  <conditionalFormatting sqref="AH5:AH67">
    <cfRule type="expression" priority="43" dxfId="1">
      <formula>AH5="No"</formula>
    </cfRule>
    <cfRule type="expression" priority="42" dxfId="3">
      <formula>AH5="Yes"</formula>
    </cfRule>
  </conditionalFormatting>
  <conditionalFormatting sqref="AI5:AI67">
    <cfRule type="expression" priority="44" dxfId="1">
      <formula>AI5="Yes"</formula>
    </cfRule>
  </conditionalFormatting>
  <conditionalFormatting sqref="AK5:AK67">
    <cfRule type="expression" priority="45" dxfId="3">
      <formula>AK5="Yes"</formula>
    </cfRule>
    <cfRule type="expression" priority="46" dxfId="1">
      <formula>AK5="No"</formula>
    </cfRule>
  </conditionalFormatting>
  <conditionalFormatting sqref="AN5:AN67">
    <cfRule type="expression" priority="38" dxfId="3">
      <formula>AN5="✓ OK"</formula>
    </cfRule>
    <cfRule type="expression" priority="39" dxfId="1">
      <formula>AN5="❌ Disc"</formula>
    </cfRule>
    <cfRule type="expression" priority="40" dxfId="1">
      <formula>AN5="⚠ Missing"</formula>
    </cfRule>
    <cfRule type="expression" priority="41" dxfId="0">
      <formula>AN5="⚠ Check"</formula>
    </cfRule>
  </conditionalFormatting>
  <conditionalFormatting sqref="AQ5:AQ67">
    <cfRule type="expression" priority="51" dxfId="3">
      <formula>AQ5="Yes"</formula>
    </cfRule>
    <cfRule type="expression" priority="52" dxfId="1">
      <formula>AQ5="No"</formula>
    </cfRule>
  </conditionalFormatting>
  <conditionalFormatting sqref="AR5:AR67">
    <cfRule type="expression" priority="53" dxfId="1">
      <formula>AR5="Yes"</formula>
    </cfRule>
  </conditionalFormatting>
  <conditionalFormatting sqref="AT5:AT67">
    <cfRule type="expression" priority="54" dxfId="3">
      <formula>AT5="Yes"</formula>
    </cfRule>
    <cfRule type="expression" priority="55" dxfId="1">
      <formula>AT5="No"</formula>
    </cfRule>
  </conditionalFormatting>
  <conditionalFormatting sqref="AW5:AW67">
    <cfRule type="expression" priority="47" dxfId="3">
      <formula>AW5="✓ OK"</formula>
    </cfRule>
    <cfRule type="expression" priority="48" dxfId="1">
      <formula>AW5="❌ Disc"</formula>
    </cfRule>
    <cfRule type="expression" priority="50" dxfId="0">
      <formula>AW5="⚠ Check"</formula>
    </cfRule>
    <cfRule type="expression" priority="49" dxfId="1">
      <formula>AW5="⚠ Missing"</formula>
    </cfRule>
  </conditionalFormatting>
  <dataValidations count="2">
    <dataValidation sqref="G5:H67 J5:J67 P5:Q67 S5:S67 Y5:Z67 AB5:AB67 AH5:AI67 AK5:AK67 AQ5:AR67 AT5:AT67" showDropDown="0" showInputMessage="0" showErrorMessage="0" allowBlank="1" type="list">
      <formula1>"Yes,No"</formula1>
    </dataValidation>
    <dataValidation sqref="I5:I67 R5:R67 AA5:AA67 AJ5:AJ67 AS5:AS67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0"/>
    <outlinePr summaryBelow="1" summaryRight="1"/>
    <pageSetUpPr/>
  </sheetPr>
  <dimension ref="A1:AW85"/>
  <sheetViews>
    <sheetView workbookViewId="0">
      <pane xSplit="4" ySplit="4" topLeftCell="N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26.6640625" bestFit="1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PU AND MEMBRANE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PU 3014 GL</t>
        </is>
      </c>
      <c r="C5" s="25" t="inlineStr">
        <is>
          <t>PU - Antique Pink (Gloss) 3014</t>
        </is>
      </c>
      <c r="D5" s="23" t="inlineStr">
        <is>
          <t>DESIGNORX PRIVATE LIMITED</t>
        </is>
      </c>
      <c r="E5" s="43" t="n">
        <v>46126</v>
      </c>
      <c r="F5" s="26" t="inlineStr">
        <is>
          <t>Sunil CR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Good finish</t>
        </is>
      </c>
      <c r="J5" s="26" t="inlineStr">
        <is>
          <t>Yes</t>
        </is>
      </c>
      <c r="K5" s="27" t="inlineStr">
        <is>
          <t>PJ,P1</t>
        </is>
      </c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46193</v>
      </c>
      <c r="O5" s="26" t="inlineStr">
        <is>
          <t>Sunil CR</t>
        </is>
      </c>
      <c r="P5" s="26" t="inlineStr">
        <is>
          <t>Yes</t>
        </is>
      </c>
      <c r="Q5" s="26" t="inlineStr">
        <is>
          <t>No</t>
        </is>
      </c>
      <c r="R5" s="26" t="inlineStr">
        <is>
          <t>Good finish</t>
        </is>
      </c>
      <c r="S5" s="26" t="inlineStr">
        <is>
          <t>Yes</t>
        </is>
      </c>
      <c r="T5" s="27" t="inlineStr">
        <is>
          <t>PJ,P1</t>
        </is>
      </c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Yes</t>
        </is>
      </c>
      <c r="Z5" s="30" t="n"/>
      <c r="AA5" s="30" t="inlineStr">
        <is>
          <t>Good finish</t>
        </is>
      </c>
      <c r="AB5" s="30" t="inlineStr">
        <is>
          <t>Yes</t>
        </is>
      </c>
      <c r="AC5" s="27" t="inlineStr">
        <is>
          <t>PJ,P1</t>
        </is>
      </c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PU 3014 MT</t>
        </is>
      </c>
      <c r="C6" s="41" t="inlineStr">
        <is>
          <t>PU - Antique Pink (Matte) 3014</t>
        </is>
      </c>
      <c r="D6" s="39" t="inlineStr">
        <is>
          <t>DESIGNORX PRIVATE LIMITED</t>
        </is>
      </c>
      <c r="E6" s="43" t="n">
        <v>46126</v>
      </c>
      <c r="F6" s="26" t="inlineStr">
        <is>
          <t>Sunil CR</t>
        </is>
      </c>
      <c r="G6" s="44" t="inlineStr">
        <is>
          <t>Represented by Sample</t>
        </is>
      </c>
      <c r="H6" s="26" t="inlineStr">
        <is>
          <t>No</t>
        </is>
      </c>
      <c r="I6" s="44" t="inlineStr">
        <is>
          <t>Represented by Sample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46193</v>
      </c>
      <c r="O6" s="26" t="inlineStr">
        <is>
          <t>Sunil CR</t>
        </is>
      </c>
      <c r="P6" s="44" t="inlineStr">
        <is>
          <t>Represented by Sample</t>
        </is>
      </c>
      <c r="Q6" s="26" t="inlineStr">
        <is>
          <t>No</t>
        </is>
      </c>
      <c r="R6" s="44" t="inlineStr">
        <is>
          <t>Represented by Sample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Represented by Sample</t>
        </is>
      </c>
      <c r="Z6" s="30" t="n"/>
      <c r="AA6" s="30" t="inlineStr">
        <is>
          <t>Represented by Sample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PU 1011 GL</t>
        </is>
      </c>
      <c r="C7" s="25" t="inlineStr">
        <is>
          <t>PU - Brown beige (Gloss) 1011</t>
        </is>
      </c>
      <c r="D7" s="23" t="inlineStr">
        <is>
          <t>DESIGNORX PRIVATE LIMITED</t>
        </is>
      </c>
      <c r="E7" s="43" t="n">
        <v>46126</v>
      </c>
      <c r="F7" s="26" t="inlineStr">
        <is>
          <t>Sunil CR</t>
        </is>
      </c>
      <c r="G7" s="26" t="inlineStr">
        <is>
          <t>No</t>
        </is>
      </c>
      <c r="H7" s="26" t="inlineStr">
        <is>
          <t>No</t>
        </is>
      </c>
      <c r="I7" s="26" t="inlineStr">
        <is>
          <t>Not Available</t>
        </is>
      </c>
      <c r="J7" s="26" t="inlineStr">
        <is>
          <t>No</t>
        </is>
      </c>
      <c r="K7" s="27" t="n"/>
      <c r="L7" s="28" t="inlineStr">
        <is>
          <t>Yes</t>
        </is>
      </c>
      <c r="M7" s="29">
        <f>IF(E7="","",IF(H7="Yes","❌ Disc",IF(G7="No","⚠ Missing",IF(J7="Yes","✓ OK","⚠ Check"))))</f>
        <v/>
      </c>
      <c r="N7" s="43" t="n">
        <v>46193</v>
      </c>
      <c r="O7" s="26" t="inlineStr">
        <is>
          <t>Sunil CR</t>
        </is>
      </c>
      <c r="P7" s="26" t="inlineStr">
        <is>
          <t>No</t>
        </is>
      </c>
      <c r="Q7" s="26" t="inlineStr">
        <is>
          <t>No</t>
        </is>
      </c>
      <c r="R7" s="26" t="inlineStr">
        <is>
          <t>Not Available</t>
        </is>
      </c>
      <c r="S7" s="26" t="inlineStr">
        <is>
          <t>No</t>
        </is>
      </c>
      <c r="T7" s="27" t="n"/>
      <c r="U7" s="28" t="inlineStr">
        <is>
          <t>Yes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No</t>
        </is>
      </c>
      <c r="Z7" s="30" t="n"/>
      <c r="AA7" s="30" t="inlineStr">
        <is>
          <t>Not Available</t>
        </is>
      </c>
      <c r="AB7" s="30" t="inlineStr">
        <is>
          <t>No</t>
        </is>
      </c>
      <c r="AC7" s="27" t="n"/>
      <c r="AD7" s="31" t="inlineStr">
        <is>
          <t>Yes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PU 1011 MT</t>
        </is>
      </c>
      <c r="C8" s="41" t="inlineStr">
        <is>
          <t>PU - Brown beige (Matte) 1011</t>
        </is>
      </c>
      <c r="D8" s="39" t="inlineStr">
        <is>
          <t>DESIGNORX PRIVATE LIMITED</t>
        </is>
      </c>
      <c r="E8" s="43" t="n">
        <v>46126</v>
      </c>
      <c r="F8" s="26" t="inlineStr">
        <is>
          <t>Sunil CR</t>
        </is>
      </c>
      <c r="G8" s="26" t="inlineStr">
        <is>
          <t>No</t>
        </is>
      </c>
      <c r="H8" s="26" t="inlineStr">
        <is>
          <t>No</t>
        </is>
      </c>
      <c r="I8" s="26" t="inlineStr">
        <is>
          <t>Not Available</t>
        </is>
      </c>
      <c r="J8" s="26" t="inlineStr">
        <is>
          <t>No</t>
        </is>
      </c>
      <c r="K8" s="27" t="n"/>
      <c r="L8" s="28" t="inlineStr">
        <is>
          <t>Yes</t>
        </is>
      </c>
      <c r="M8" s="29">
        <f>IF(E8="","",IF(H8="Yes","❌ Disc",IF(G8="No","⚠ Missing",IF(J8="Yes","✓ OK","⚠ Check"))))</f>
        <v/>
      </c>
      <c r="N8" s="43" t="n">
        <v>46193</v>
      </c>
      <c r="O8" s="26" t="inlineStr">
        <is>
          <t>Sunil CR</t>
        </is>
      </c>
      <c r="P8" s="26" t="inlineStr">
        <is>
          <t>No</t>
        </is>
      </c>
      <c r="Q8" s="26" t="inlineStr">
        <is>
          <t>No</t>
        </is>
      </c>
      <c r="R8" s="26" t="inlineStr">
        <is>
          <t>Not Available</t>
        </is>
      </c>
      <c r="S8" s="26" t="inlineStr">
        <is>
          <t>No</t>
        </is>
      </c>
      <c r="T8" s="27" t="n"/>
      <c r="U8" s="28" t="inlineStr">
        <is>
          <t>Yes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No</t>
        </is>
      </c>
      <c r="Z8" s="30" t="n"/>
      <c r="AA8" s="30" t="inlineStr">
        <is>
          <t>Not Available</t>
        </is>
      </c>
      <c r="AB8" s="30" t="inlineStr">
        <is>
          <t>No</t>
        </is>
      </c>
      <c r="AC8" s="27" t="n"/>
      <c r="AD8" s="31" t="inlineStr">
        <is>
          <t>Yes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PU 1007 GL</t>
        </is>
      </c>
      <c r="C9" s="25" t="inlineStr">
        <is>
          <t>PU - Daffodil yellow (Gloss) 1007</t>
        </is>
      </c>
      <c r="D9" s="23" t="inlineStr">
        <is>
          <t>DESIGNORX PRIVATE LIMITED</t>
        </is>
      </c>
      <c r="E9" s="43" t="n">
        <v>46126</v>
      </c>
      <c r="F9" s="26" t="inlineStr">
        <is>
          <t>Sunil CR</t>
        </is>
      </c>
      <c r="G9" s="44" t="inlineStr">
        <is>
          <t>Represented by Sample</t>
        </is>
      </c>
      <c r="H9" s="26" t="inlineStr">
        <is>
          <t>No</t>
        </is>
      </c>
      <c r="I9" s="44" t="inlineStr">
        <is>
          <t>Represented by Sample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46193</v>
      </c>
      <c r="O9" s="26" t="inlineStr">
        <is>
          <t>Sunil CR</t>
        </is>
      </c>
      <c r="P9" s="44" t="inlineStr">
        <is>
          <t>Represented by Sample</t>
        </is>
      </c>
      <c r="Q9" s="26" t="inlineStr">
        <is>
          <t>No</t>
        </is>
      </c>
      <c r="R9" s="44" t="inlineStr">
        <is>
          <t>Represented by Sample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Represented by Sample</t>
        </is>
      </c>
      <c r="Z9" s="30" t="n"/>
      <c r="AA9" s="30" t="inlineStr">
        <is>
          <t>Represented by Sample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PU 1007 MT</t>
        </is>
      </c>
      <c r="C10" s="41" t="inlineStr">
        <is>
          <t>PU - Daffodil yellow (Matte) 1007</t>
        </is>
      </c>
      <c r="D10" s="39" t="inlineStr">
        <is>
          <t>DESIGNORX PRIVATE LIMITED</t>
        </is>
      </c>
      <c r="E10" s="43" t="n">
        <v>46126</v>
      </c>
      <c r="F10" s="26" t="inlineStr">
        <is>
          <t>Sunil CR</t>
        </is>
      </c>
      <c r="G10" s="26" t="inlineStr">
        <is>
          <t>Yes</t>
        </is>
      </c>
      <c r="H10" s="26" t="inlineStr">
        <is>
          <t>No</t>
        </is>
      </c>
      <c r="I10" s="26" t="inlineStr">
        <is>
          <t>Good finish</t>
        </is>
      </c>
      <c r="J10" s="26" t="inlineStr">
        <is>
          <t>Yes</t>
        </is>
      </c>
      <c r="K10" s="27" t="inlineStr">
        <is>
          <t>P3,P2</t>
        </is>
      </c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46193</v>
      </c>
      <c r="O10" s="26" t="inlineStr">
        <is>
          <t>Sunil CR</t>
        </is>
      </c>
      <c r="P10" s="26" t="inlineStr">
        <is>
          <t>Yes</t>
        </is>
      </c>
      <c r="Q10" s="26" t="inlineStr">
        <is>
          <t>No</t>
        </is>
      </c>
      <c r="R10" s="26" t="inlineStr">
        <is>
          <t>Good finish</t>
        </is>
      </c>
      <c r="S10" s="26" t="inlineStr">
        <is>
          <t>Yes</t>
        </is>
      </c>
      <c r="T10" s="27" t="inlineStr">
        <is>
          <t>P3,P2</t>
        </is>
      </c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Yes</t>
        </is>
      </c>
      <c r="Z10" s="30" t="n"/>
      <c r="AA10" s="30" t="inlineStr">
        <is>
          <t>Good finish</t>
        </is>
      </c>
      <c r="AB10" s="30" t="inlineStr">
        <is>
          <t>Yes</t>
        </is>
      </c>
      <c r="AC10" s="27" t="inlineStr">
        <is>
          <t>P3,P2</t>
        </is>
      </c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PU 5023 GL</t>
        </is>
      </c>
      <c r="C11" s="25" t="inlineStr">
        <is>
          <t>PU - Distant Blue (Gloss) 5023</t>
        </is>
      </c>
      <c r="D11" s="23" t="inlineStr">
        <is>
          <t>DESIGNORX PRIVATE LIMITED</t>
        </is>
      </c>
      <c r="E11" s="43" t="n">
        <v>46126</v>
      </c>
      <c r="F11" s="26" t="inlineStr">
        <is>
          <t>Sunil CR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Good finish</t>
        </is>
      </c>
      <c r="J11" s="26" t="inlineStr">
        <is>
          <t>Yes</t>
        </is>
      </c>
      <c r="K11" s="27" t="inlineStr">
        <is>
          <t>P1</t>
        </is>
      </c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46193</v>
      </c>
      <c r="O11" s="26" t="inlineStr">
        <is>
          <t>Sunil CR</t>
        </is>
      </c>
      <c r="P11" s="26" t="inlineStr">
        <is>
          <t>Yes</t>
        </is>
      </c>
      <c r="Q11" s="26" t="inlineStr">
        <is>
          <t>No</t>
        </is>
      </c>
      <c r="R11" s="26" t="inlineStr">
        <is>
          <t>Good finish</t>
        </is>
      </c>
      <c r="S11" s="26" t="inlineStr">
        <is>
          <t>Yes</t>
        </is>
      </c>
      <c r="T11" s="27" t="inlineStr">
        <is>
          <t>P1</t>
        </is>
      </c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Yes</t>
        </is>
      </c>
      <c r="Z11" s="30" t="n"/>
      <c r="AA11" s="30" t="inlineStr">
        <is>
          <t>Good finish</t>
        </is>
      </c>
      <c r="AB11" s="30" t="inlineStr">
        <is>
          <t>Yes</t>
        </is>
      </c>
      <c r="AC11" s="27" t="inlineStr">
        <is>
          <t>P1</t>
        </is>
      </c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PU 5023 MT</t>
        </is>
      </c>
      <c r="C12" s="41" t="inlineStr">
        <is>
          <t>PU - Distant Blue (Matte) 5023</t>
        </is>
      </c>
      <c r="D12" s="39" t="inlineStr">
        <is>
          <t>DESIGNORX PRIVATE LIMITED</t>
        </is>
      </c>
      <c r="E12" s="43" t="n">
        <v>46126</v>
      </c>
      <c r="F12" s="26" t="inlineStr">
        <is>
          <t>Sunil CR</t>
        </is>
      </c>
      <c r="G12" s="26" t="inlineStr">
        <is>
          <t>Yes</t>
        </is>
      </c>
      <c r="H12" s="26" t="inlineStr">
        <is>
          <t>No</t>
        </is>
      </c>
      <c r="I12" s="26" t="inlineStr">
        <is>
          <t>Good finish</t>
        </is>
      </c>
      <c r="J12" s="26" t="inlineStr">
        <is>
          <t>Yes</t>
        </is>
      </c>
      <c r="K12" s="27" t="inlineStr">
        <is>
          <t>P1</t>
        </is>
      </c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46193</v>
      </c>
      <c r="O12" s="26" t="inlineStr">
        <is>
          <t>Sunil CR</t>
        </is>
      </c>
      <c r="P12" s="26" t="inlineStr">
        <is>
          <t>Yes</t>
        </is>
      </c>
      <c r="Q12" s="26" t="inlineStr">
        <is>
          <t>No</t>
        </is>
      </c>
      <c r="R12" s="26" t="inlineStr">
        <is>
          <t>Good finish</t>
        </is>
      </c>
      <c r="S12" s="26" t="inlineStr">
        <is>
          <t>Yes</t>
        </is>
      </c>
      <c r="T12" s="27" t="inlineStr">
        <is>
          <t>P1</t>
        </is>
      </c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Yes</t>
        </is>
      </c>
      <c r="Z12" s="30" t="n"/>
      <c r="AA12" s="30" t="inlineStr">
        <is>
          <t>Good finish</t>
        </is>
      </c>
      <c r="AB12" s="30" t="inlineStr">
        <is>
          <t>Yes</t>
        </is>
      </c>
      <c r="AC12" s="27" t="inlineStr">
        <is>
          <t>P1</t>
        </is>
      </c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PU 6025 GL</t>
        </is>
      </c>
      <c r="C13" s="25" t="inlineStr">
        <is>
          <t>PU - Fern Green (Gloss) 6025</t>
        </is>
      </c>
      <c r="D13" s="23" t="inlineStr">
        <is>
          <t>DESIGNORX PRIVATE LIMITED</t>
        </is>
      </c>
      <c r="E13" s="43" t="n">
        <v>46126</v>
      </c>
      <c r="F13" s="26" t="inlineStr">
        <is>
          <t>Sunil CR</t>
        </is>
      </c>
      <c r="G13" s="44" t="inlineStr">
        <is>
          <t>Represented by Sample</t>
        </is>
      </c>
      <c r="H13" s="26" t="inlineStr">
        <is>
          <t>No</t>
        </is>
      </c>
      <c r="I13" s="44" t="inlineStr">
        <is>
          <t>Represented by Sample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46193</v>
      </c>
      <c r="O13" s="26" t="inlineStr">
        <is>
          <t>Sunil CR</t>
        </is>
      </c>
      <c r="P13" s="44" t="inlineStr">
        <is>
          <t>Represented by Sample</t>
        </is>
      </c>
      <c r="Q13" s="26" t="inlineStr">
        <is>
          <t>No</t>
        </is>
      </c>
      <c r="R13" s="44" t="inlineStr">
        <is>
          <t>Represented by Sample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Represented by Sample</t>
        </is>
      </c>
      <c r="Z13" s="30" t="n"/>
      <c r="AA13" s="30" t="inlineStr">
        <is>
          <t>Represented by Sample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PU 6025 MT</t>
        </is>
      </c>
      <c r="C14" s="41" t="inlineStr">
        <is>
          <t>PU - Fern Green (Matte) 6025</t>
        </is>
      </c>
      <c r="D14" s="39" t="inlineStr">
        <is>
          <t>DESIGNORX PRIVATE LIMITED</t>
        </is>
      </c>
      <c r="E14" s="43" t="n">
        <v>46126</v>
      </c>
      <c r="F14" s="26" t="inlineStr">
        <is>
          <t>Sunil CR</t>
        </is>
      </c>
      <c r="G14" s="26" t="inlineStr">
        <is>
          <t>Yes</t>
        </is>
      </c>
      <c r="H14" s="26" t="inlineStr">
        <is>
          <t>No</t>
        </is>
      </c>
      <c r="I14" s="26" t="inlineStr">
        <is>
          <t>Good finish</t>
        </is>
      </c>
      <c r="J14" s="26" t="inlineStr">
        <is>
          <t>Yes</t>
        </is>
      </c>
      <c r="K14" s="27" t="inlineStr">
        <is>
          <t>P1,P2</t>
        </is>
      </c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46193</v>
      </c>
      <c r="O14" s="26" t="inlineStr">
        <is>
          <t>Sunil CR</t>
        </is>
      </c>
      <c r="P14" s="26" t="inlineStr">
        <is>
          <t>Yes</t>
        </is>
      </c>
      <c r="Q14" s="26" t="inlineStr">
        <is>
          <t>No</t>
        </is>
      </c>
      <c r="R14" s="26" t="inlineStr">
        <is>
          <t>Good finish</t>
        </is>
      </c>
      <c r="S14" s="26" t="inlineStr">
        <is>
          <t>Yes</t>
        </is>
      </c>
      <c r="T14" s="27" t="inlineStr">
        <is>
          <t>P1,P2</t>
        </is>
      </c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Yes</t>
        </is>
      </c>
      <c r="Z14" s="30" t="n"/>
      <c r="AA14" s="30" t="inlineStr">
        <is>
          <t>Good finish</t>
        </is>
      </c>
      <c r="AB14" s="30" t="inlineStr">
        <is>
          <t>Yes</t>
        </is>
      </c>
      <c r="AC14" s="27" t="inlineStr">
        <is>
          <t>P1,P2</t>
        </is>
      </c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PU 1000 GL</t>
        </is>
      </c>
      <c r="C15" s="25" t="inlineStr">
        <is>
          <t>PU - Green beige (Gloss) 1000</t>
        </is>
      </c>
      <c r="D15" s="23" t="inlineStr">
        <is>
          <t>DESIGNORX PRIVATE LIMITED</t>
        </is>
      </c>
      <c r="E15" s="43" t="n">
        <v>46126</v>
      </c>
      <c r="F15" s="26" t="inlineStr">
        <is>
          <t>Sunil CR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Good finish</t>
        </is>
      </c>
      <c r="J15" s="26" t="inlineStr">
        <is>
          <t>Yes</t>
        </is>
      </c>
      <c r="K15" s="27" t="inlineStr">
        <is>
          <t>P1</t>
        </is>
      </c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46193</v>
      </c>
      <c r="O15" s="26" t="inlineStr">
        <is>
          <t>Sunil CR</t>
        </is>
      </c>
      <c r="P15" s="26" t="inlineStr">
        <is>
          <t>Yes</t>
        </is>
      </c>
      <c r="Q15" s="26" t="inlineStr">
        <is>
          <t>No</t>
        </is>
      </c>
      <c r="R15" s="26" t="inlineStr">
        <is>
          <t>Good finish</t>
        </is>
      </c>
      <c r="S15" s="26" t="inlineStr">
        <is>
          <t>Yes</t>
        </is>
      </c>
      <c r="T15" s="27" t="inlineStr">
        <is>
          <t>P1</t>
        </is>
      </c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Good finish</t>
        </is>
      </c>
      <c r="AB15" s="30" t="inlineStr">
        <is>
          <t>Yes</t>
        </is>
      </c>
      <c r="AC15" s="27" t="inlineStr">
        <is>
          <t>P1</t>
        </is>
      </c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PU 1000 MT</t>
        </is>
      </c>
      <c r="C16" s="41" t="inlineStr">
        <is>
          <t>PU - Green beige (Matt) 1000</t>
        </is>
      </c>
      <c r="D16" s="39" t="inlineStr">
        <is>
          <t>DESIGNORX PRIVATE LIMITED</t>
        </is>
      </c>
      <c r="E16" s="43" t="n">
        <v>46126</v>
      </c>
      <c r="F16" s="26" t="inlineStr">
        <is>
          <t>Sunil CR</t>
        </is>
      </c>
      <c r="G16" s="26" t="inlineStr">
        <is>
          <t>Yes</t>
        </is>
      </c>
      <c r="H16" s="26" t="inlineStr">
        <is>
          <t>No</t>
        </is>
      </c>
      <c r="I16" s="26" t="inlineStr">
        <is>
          <t>Good finish</t>
        </is>
      </c>
      <c r="J16" s="26" t="inlineStr">
        <is>
          <t>Yes</t>
        </is>
      </c>
      <c r="K16" s="27" t="inlineStr">
        <is>
          <t>P5,P1</t>
        </is>
      </c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46193</v>
      </c>
      <c r="O16" s="26" t="inlineStr">
        <is>
          <t>Sunil CR</t>
        </is>
      </c>
      <c r="P16" s="26" t="inlineStr">
        <is>
          <t>Yes</t>
        </is>
      </c>
      <c r="Q16" s="26" t="inlineStr">
        <is>
          <t>No</t>
        </is>
      </c>
      <c r="R16" s="26" t="inlineStr">
        <is>
          <t>Good finish</t>
        </is>
      </c>
      <c r="S16" s="26" t="inlineStr">
        <is>
          <t>Yes</t>
        </is>
      </c>
      <c r="T16" s="27" t="inlineStr">
        <is>
          <t>P5,P1</t>
        </is>
      </c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Yes</t>
        </is>
      </c>
      <c r="Z16" s="30" t="n"/>
      <c r="AA16" s="30" t="inlineStr">
        <is>
          <t>Good finish</t>
        </is>
      </c>
      <c r="AB16" s="30" t="inlineStr">
        <is>
          <t>Yes</t>
        </is>
      </c>
      <c r="AC16" s="27" t="inlineStr">
        <is>
          <t>P5,P1</t>
        </is>
      </c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PU 7002 GL</t>
        </is>
      </c>
      <c r="C17" s="25" t="inlineStr">
        <is>
          <t>PU - Olive Grey (Gloss) 7002</t>
        </is>
      </c>
      <c r="D17" s="23" t="inlineStr">
        <is>
          <t>DESIGNORX PRIVATE LIMITED</t>
        </is>
      </c>
      <c r="E17" s="43" t="n">
        <v>46126</v>
      </c>
      <c r="F17" s="26" t="inlineStr">
        <is>
          <t>Sunil CR</t>
        </is>
      </c>
      <c r="G17" s="44" t="inlineStr">
        <is>
          <t>Represented by Sample</t>
        </is>
      </c>
      <c r="H17" s="26" t="inlineStr">
        <is>
          <t>No</t>
        </is>
      </c>
      <c r="I17" s="44" t="inlineStr">
        <is>
          <t>Represented by Sample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46193</v>
      </c>
      <c r="O17" s="26" t="inlineStr">
        <is>
          <t>Sunil CR</t>
        </is>
      </c>
      <c r="P17" s="44" t="inlineStr">
        <is>
          <t>Represented by Sample</t>
        </is>
      </c>
      <c r="Q17" s="26" t="inlineStr">
        <is>
          <t>No</t>
        </is>
      </c>
      <c r="R17" s="44" t="inlineStr">
        <is>
          <t>Represented by Sample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Represented by Sample</t>
        </is>
      </c>
      <c r="Z17" s="30" t="n"/>
      <c r="AA17" s="30" t="inlineStr">
        <is>
          <t>Represented by Sample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PU 7002 MT</t>
        </is>
      </c>
      <c r="C18" s="41" t="inlineStr">
        <is>
          <t>PU - Olive Grey (Matte) 7002</t>
        </is>
      </c>
      <c r="D18" s="39" t="inlineStr">
        <is>
          <t>DESIGNORX PRIVATE LIMITED</t>
        </is>
      </c>
      <c r="E18" s="43" t="n">
        <v>46126</v>
      </c>
      <c r="F18" s="26" t="inlineStr">
        <is>
          <t>Sunil CR</t>
        </is>
      </c>
      <c r="G18" s="26" t="inlineStr">
        <is>
          <t>Yes</t>
        </is>
      </c>
      <c r="H18" s="26" t="inlineStr">
        <is>
          <t>No</t>
        </is>
      </c>
      <c r="I18" s="26" t="inlineStr">
        <is>
          <t>Good finish</t>
        </is>
      </c>
      <c r="J18" s="26" t="inlineStr">
        <is>
          <t>Yes</t>
        </is>
      </c>
      <c r="K18" s="27" t="inlineStr">
        <is>
          <t>P1</t>
        </is>
      </c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46193</v>
      </c>
      <c r="O18" s="26" t="inlineStr">
        <is>
          <t>Sunil CR</t>
        </is>
      </c>
      <c r="P18" s="26" t="inlineStr">
        <is>
          <t>Yes</t>
        </is>
      </c>
      <c r="Q18" s="26" t="inlineStr">
        <is>
          <t>No</t>
        </is>
      </c>
      <c r="R18" s="26" t="inlineStr">
        <is>
          <t>Good finish</t>
        </is>
      </c>
      <c r="S18" s="26" t="inlineStr">
        <is>
          <t>Yes</t>
        </is>
      </c>
      <c r="T18" s="27" t="inlineStr">
        <is>
          <t>P1</t>
        </is>
      </c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Yes</t>
        </is>
      </c>
      <c r="Z18" s="30" t="n"/>
      <c r="AA18" s="30" t="inlineStr">
        <is>
          <t>Good finish</t>
        </is>
      </c>
      <c r="AB18" s="30" t="inlineStr">
        <is>
          <t>Yes</t>
        </is>
      </c>
      <c r="AC18" s="27" t="inlineStr">
        <is>
          <t>P1</t>
        </is>
      </c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PU 4009 GL</t>
        </is>
      </c>
      <c r="C19" s="25" t="inlineStr">
        <is>
          <t>PU - Pastel Violet (Gloss) 4009</t>
        </is>
      </c>
      <c r="D19" s="23" t="inlineStr">
        <is>
          <t>DESIGNORX PRIVATE LIMITED</t>
        </is>
      </c>
      <c r="E19" s="43" t="n">
        <v>46126</v>
      </c>
      <c r="F19" s="26" t="inlineStr">
        <is>
          <t>Sunil CR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Good finish</t>
        </is>
      </c>
      <c r="J19" s="26" t="inlineStr">
        <is>
          <t>Yes</t>
        </is>
      </c>
      <c r="K19" s="27" t="inlineStr">
        <is>
          <t>P1,P2</t>
        </is>
      </c>
      <c r="L19" s="28" t="inlineStr">
        <is>
          <t>No</t>
        </is>
      </c>
      <c r="M19" s="29">
        <f>IF(E19="","",IF(H19="Yes","❌ Disc",IF(G19="No","⚠ Missing",IF(J19="Yes","✓ OK","⚠ Check"))))</f>
        <v/>
      </c>
      <c r="N19" s="43" t="n">
        <v>46193</v>
      </c>
      <c r="O19" s="26" t="inlineStr">
        <is>
          <t>Sunil CR</t>
        </is>
      </c>
      <c r="P19" s="26" t="inlineStr">
        <is>
          <t>Yes</t>
        </is>
      </c>
      <c r="Q19" s="26" t="inlineStr">
        <is>
          <t>No</t>
        </is>
      </c>
      <c r="R19" s="26" t="inlineStr">
        <is>
          <t>Good finish</t>
        </is>
      </c>
      <c r="S19" s="26" t="inlineStr">
        <is>
          <t>Yes</t>
        </is>
      </c>
      <c r="T19" s="27" t="inlineStr">
        <is>
          <t>P1,P2</t>
        </is>
      </c>
      <c r="U19" s="28" t="inlineStr">
        <is>
          <t>No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Yes</t>
        </is>
      </c>
      <c r="Z19" s="30" t="n"/>
      <c r="AA19" s="30" t="inlineStr">
        <is>
          <t>Good finish</t>
        </is>
      </c>
      <c r="AB19" s="30" t="inlineStr">
        <is>
          <t>Yes</t>
        </is>
      </c>
      <c r="AC19" s="27" t="inlineStr">
        <is>
          <t>P1,P2</t>
        </is>
      </c>
      <c r="AD19" s="31" t="inlineStr">
        <is>
          <t>No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PU 4009 MT</t>
        </is>
      </c>
      <c r="C20" s="41" t="inlineStr">
        <is>
          <t>PU - Pastel Violet (Matte) 4009</t>
        </is>
      </c>
      <c r="D20" s="39" t="inlineStr">
        <is>
          <t>DESIGNORX PRIVATE LIMITED</t>
        </is>
      </c>
      <c r="E20" s="43" t="n">
        <v>46126</v>
      </c>
      <c r="F20" s="26" t="inlineStr">
        <is>
          <t>Sunil CR</t>
        </is>
      </c>
      <c r="G20" s="44" t="inlineStr">
        <is>
          <t>Represented by Sample</t>
        </is>
      </c>
      <c r="H20" s="26" t="inlineStr">
        <is>
          <t>No</t>
        </is>
      </c>
      <c r="I20" s="44" t="inlineStr">
        <is>
          <t>Represented by Sample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46193</v>
      </c>
      <c r="O20" s="26" t="inlineStr">
        <is>
          <t>Sunil CR</t>
        </is>
      </c>
      <c r="P20" s="44" t="inlineStr">
        <is>
          <t>Represented by Sample</t>
        </is>
      </c>
      <c r="Q20" s="26" t="inlineStr">
        <is>
          <t>No</t>
        </is>
      </c>
      <c r="R20" s="44" t="inlineStr">
        <is>
          <t>Represented by Sample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Represented by Sample</t>
        </is>
      </c>
      <c r="Z20" s="30" t="n"/>
      <c r="AA20" s="30" t="inlineStr">
        <is>
          <t>Represented by Sample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PU 6000 GL</t>
        </is>
      </c>
      <c r="C21" s="25" t="inlineStr">
        <is>
          <t>PU - Patina Green (Gloss) 6000</t>
        </is>
      </c>
      <c r="D21" s="23" t="inlineStr">
        <is>
          <t>DESIGNORX PRIVATE LIMITED</t>
        </is>
      </c>
      <c r="E21" s="43" t="n">
        <v>46126</v>
      </c>
      <c r="F21" s="26" t="inlineStr">
        <is>
          <t>Sunil CR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Good finish</t>
        </is>
      </c>
      <c r="J21" s="26" t="inlineStr">
        <is>
          <t>Yes</t>
        </is>
      </c>
      <c r="K21" s="27" t="inlineStr">
        <is>
          <t>P2</t>
        </is>
      </c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46193</v>
      </c>
      <c r="O21" s="26" t="inlineStr">
        <is>
          <t>Sunil CR</t>
        </is>
      </c>
      <c r="P21" s="26" t="inlineStr">
        <is>
          <t>Yes</t>
        </is>
      </c>
      <c r="Q21" s="26" t="inlineStr">
        <is>
          <t>No</t>
        </is>
      </c>
      <c r="R21" s="26" t="inlineStr">
        <is>
          <t>Good finish</t>
        </is>
      </c>
      <c r="S21" s="26" t="inlineStr">
        <is>
          <t>Yes</t>
        </is>
      </c>
      <c r="T21" s="27" t="inlineStr">
        <is>
          <t>P2</t>
        </is>
      </c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Yes</t>
        </is>
      </c>
      <c r="Z21" s="30" t="n"/>
      <c r="AA21" s="30" t="inlineStr">
        <is>
          <t>Good finish</t>
        </is>
      </c>
      <c r="AB21" s="30" t="inlineStr">
        <is>
          <t>Yes</t>
        </is>
      </c>
      <c r="AC21" s="27" t="inlineStr">
        <is>
          <t>P2</t>
        </is>
      </c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PU 6000 MT</t>
        </is>
      </c>
      <c r="C22" s="41" t="inlineStr">
        <is>
          <t>PU - Patina Green (Matte) 6000</t>
        </is>
      </c>
      <c r="D22" s="39" t="inlineStr">
        <is>
          <t>DESIGNORX PRIVATE LIMITED</t>
        </is>
      </c>
      <c r="E22" s="43" t="n">
        <v>46126</v>
      </c>
      <c r="F22" s="26" t="inlineStr">
        <is>
          <t>Sunil CR</t>
        </is>
      </c>
      <c r="G22" s="26" t="inlineStr">
        <is>
          <t>Yes</t>
        </is>
      </c>
      <c r="H22" s="26" t="inlineStr">
        <is>
          <t>No</t>
        </is>
      </c>
      <c r="I22" s="26" t="inlineStr">
        <is>
          <t>Good finish</t>
        </is>
      </c>
      <c r="J22" s="26" t="inlineStr">
        <is>
          <t>Yes</t>
        </is>
      </c>
      <c r="K22" s="27" t="inlineStr">
        <is>
          <t>P1</t>
        </is>
      </c>
      <c r="L22" s="28" t="inlineStr">
        <is>
          <t>No</t>
        </is>
      </c>
      <c r="M22" s="29">
        <f>IF(E22="","",IF(H22="Yes","❌ Disc",IF(G22="No","⚠ Missing",IF(J22="Yes","✓ OK","⚠ Check"))))</f>
        <v/>
      </c>
      <c r="N22" s="43" t="n">
        <v>46193</v>
      </c>
      <c r="O22" s="26" t="inlineStr">
        <is>
          <t>Sunil CR</t>
        </is>
      </c>
      <c r="P22" s="26" t="inlineStr">
        <is>
          <t>Yes</t>
        </is>
      </c>
      <c r="Q22" s="26" t="inlineStr">
        <is>
          <t>No</t>
        </is>
      </c>
      <c r="R22" s="26" t="inlineStr">
        <is>
          <t>Good finish</t>
        </is>
      </c>
      <c r="S22" s="26" t="inlineStr">
        <is>
          <t>Yes</t>
        </is>
      </c>
      <c r="T22" s="27" t="inlineStr">
        <is>
          <t>P1</t>
        </is>
      </c>
      <c r="U22" s="28" t="inlineStr">
        <is>
          <t>No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Yes</t>
        </is>
      </c>
      <c r="Z22" s="30" t="n"/>
      <c r="AA22" s="30" t="inlineStr">
        <is>
          <t>Good finish</t>
        </is>
      </c>
      <c r="AB22" s="30" t="inlineStr">
        <is>
          <t>Yes</t>
        </is>
      </c>
      <c r="AC22" s="27" t="inlineStr">
        <is>
          <t>P1</t>
        </is>
      </c>
      <c r="AD22" s="31" t="inlineStr">
        <is>
          <t>No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PU 4001 GL</t>
        </is>
      </c>
      <c r="C23" s="25" t="inlineStr">
        <is>
          <t>PU - Red lilac (Gloss) 4001</t>
        </is>
      </c>
      <c r="D23" s="23" t="inlineStr">
        <is>
          <t>DESIGNORX PRIVATE LIMITED</t>
        </is>
      </c>
      <c r="E23" s="43" t="n">
        <v>46126</v>
      </c>
      <c r="F23" s="26" t="inlineStr">
        <is>
          <t>Sunil CR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Good finish</t>
        </is>
      </c>
      <c r="J23" s="26" t="inlineStr">
        <is>
          <t>Yes</t>
        </is>
      </c>
      <c r="K23" s="27" t="inlineStr">
        <is>
          <t>PJ,P1</t>
        </is>
      </c>
      <c r="L23" s="28" t="inlineStr">
        <is>
          <t>No</t>
        </is>
      </c>
      <c r="M23" s="29">
        <f>IF(E23="","",IF(H23="Yes","❌ Disc",IF(G23="No","⚠ Missing",IF(J23="Yes","✓ OK","⚠ Check"))))</f>
        <v/>
      </c>
      <c r="N23" s="43" t="n">
        <v>46193</v>
      </c>
      <c r="O23" s="26" t="inlineStr">
        <is>
          <t>Sunil CR</t>
        </is>
      </c>
      <c r="P23" s="26" t="inlineStr">
        <is>
          <t>Yes</t>
        </is>
      </c>
      <c r="Q23" s="26" t="inlineStr">
        <is>
          <t>No</t>
        </is>
      </c>
      <c r="R23" s="26" t="inlineStr">
        <is>
          <t>Good finish</t>
        </is>
      </c>
      <c r="S23" s="26" t="inlineStr">
        <is>
          <t>Yes</t>
        </is>
      </c>
      <c r="T23" s="27" t="inlineStr">
        <is>
          <t>PJ,P1</t>
        </is>
      </c>
      <c r="U23" s="28" t="inlineStr">
        <is>
          <t>No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Yes</t>
        </is>
      </c>
      <c r="Z23" s="30" t="n"/>
      <c r="AA23" s="30" t="inlineStr">
        <is>
          <t>Good finish</t>
        </is>
      </c>
      <c r="AB23" s="30" t="inlineStr">
        <is>
          <t>Yes</t>
        </is>
      </c>
      <c r="AC23" s="27" t="inlineStr">
        <is>
          <t>PJ,P1</t>
        </is>
      </c>
      <c r="AD23" s="31" t="inlineStr">
        <is>
          <t>No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PU 4001 MT</t>
        </is>
      </c>
      <c r="C24" s="41" t="inlineStr">
        <is>
          <t>PU - Red lilac (Matte) 4001</t>
        </is>
      </c>
      <c r="D24" s="39" t="inlineStr">
        <is>
          <t>DESIGNORX PRIVATE LIMITED</t>
        </is>
      </c>
      <c r="E24" s="43" t="n">
        <v>46126</v>
      </c>
      <c r="F24" s="26" t="inlineStr">
        <is>
          <t>Sunil CR</t>
        </is>
      </c>
      <c r="G24" s="26" t="inlineStr">
        <is>
          <t>Yes</t>
        </is>
      </c>
      <c r="H24" s="26" t="inlineStr">
        <is>
          <t>No</t>
        </is>
      </c>
      <c r="I24" s="26" t="inlineStr">
        <is>
          <t>Good finish</t>
        </is>
      </c>
      <c r="J24" s="26" t="inlineStr">
        <is>
          <t>Yes</t>
        </is>
      </c>
      <c r="K24" s="27" t="inlineStr">
        <is>
          <t>P6,P2</t>
        </is>
      </c>
      <c r="L24" s="28" t="inlineStr">
        <is>
          <t>No</t>
        </is>
      </c>
      <c r="M24" s="29">
        <f>IF(E24="","",IF(H24="Yes","❌ Disc",IF(G24="No","⚠ Missing",IF(J24="Yes","✓ OK","⚠ Check"))))</f>
        <v/>
      </c>
      <c r="N24" s="43" t="n">
        <v>46193</v>
      </c>
      <c r="O24" s="26" t="inlineStr">
        <is>
          <t>Sunil CR</t>
        </is>
      </c>
      <c r="P24" s="26" t="inlineStr">
        <is>
          <t>Yes</t>
        </is>
      </c>
      <c r="Q24" s="26" t="inlineStr">
        <is>
          <t>No</t>
        </is>
      </c>
      <c r="R24" s="26" t="inlineStr">
        <is>
          <t>Good finish</t>
        </is>
      </c>
      <c r="S24" s="26" t="inlineStr">
        <is>
          <t>Yes</t>
        </is>
      </c>
      <c r="T24" s="27" t="inlineStr">
        <is>
          <t>P6,P2</t>
        </is>
      </c>
      <c r="U24" s="28" t="inlineStr">
        <is>
          <t>No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Yes</t>
        </is>
      </c>
      <c r="Z24" s="30" t="n"/>
      <c r="AA24" s="30" t="inlineStr">
        <is>
          <t>Good finish</t>
        </is>
      </c>
      <c r="AB24" s="30" t="inlineStr">
        <is>
          <t>Yes</t>
        </is>
      </c>
      <c r="AC24" s="27" t="inlineStr">
        <is>
          <t>P6,P2</t>
        </is>
      </c>
      <c r="AD24" s="31" t="inlineStr">
        <is>
          <t>No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PU 5011 GL</t>
        </is>
      </c>
      <c r="C25" s="25" t="inlineStr">
        <is>
          <t>PU - Steel Blue (Gloss) 5011</t>
        </is>
      </c>
      <c r="D25" s="23" t="inlineStr">
        <is>
          <t>DESIGNORX PRIVATE LIMITED</t>
        </is>
      </c>
      <c r="E25" s="43" t="n">
        <v>46126</v>
      </c>
      <c r="F25" s="26" t="inlineStr">
        <is>
          <t>Sunil CR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Good finish</t>
        </is>
      </c>
      <c r="J25" s="26" t="inlineStr">
        <is>
          <t>Yes</t>
        </is>
      </c>
      <c r="K25" s="27" t="inlineStr">
        <is>
          <t>P1</t>
        </is>
      </c>
      <c r="L25" s="28" t="inlineStr">
        <is>
          <t>No</t>
        </is>
      </c>
      <c r="M25" s="29">
        <f>IF(E25="","",IF(H25="Yes","❌ Disc",IF(G25="No","⚠ Missing",IF(J25="Yes","✓ OK","⚠ Check"))))</f>
        <v/>
      </c>
      <c r="N25" s="43" t="n">
        <v>46193</v>
      </c>
      <c r="O25" s="26" t="inlineStr">
        <is>
          <t>Sunil CR</t>
        </is>
      </c>
      <c r="P25" s="26" t="inlineStr">
        <is>
          <t>Yes</t>
        </is>
      </c>
      <c r="Q25" s="26" t="inlineStr">
        <is>
          <t>No</t>
        </is>
      </c>
      <c r="R25" s="26" t="inlineStr">
        <is>
          <t>Good finish</t>
        </is>
      </c>
      <c r="S25" s="26" t="inlineStr">
        <is>
          <t>Yes</t>
        </is>
      </c>
      <c r="T25" s="27" t="inlineStr">
        <is>
          <t>P1</t>
        </is>
      </c>
      <c r="U25" s="28" t="inlineStr">
        <is>
          <t>No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Yes</t>
        </is>
      </c>
      <c r="Z25" s="30" t="n"/>
      <c r="AA25" s="30" t="inlineStr">
        <is>
          <t>Good finish</t>
        </is>
      </c>
      <c r="AB25" s="30" t="inlineStr">
        <is>
          <t>Yes</t>
        </is>
      </c>
      <c r="AC25" s="27" t="inlineStr">
        <is>
          <t>P1</t>
        </is>
      </c>
      <c r="AD25" s="31" t="inlineStr">
        <is>
          <t>No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PU 5011 MT</t>
        </is>
      </c>
      <c r="C26" s="41" t="inlineStr">
        <is>
          <t>PU - Steel Blue (Matte) 5011</t>
        </is>
      </c>
      <c r="D26" s="39" t="inlineStr">
        <is>
          <t>DESIGNORX PRIVATE LIMITED</t>
        </is>
      </c>
      <c r="E26" s="43" t="n">
        <v>46126</v>
      </c>
      <c r="F26" s="26" t="inlineStr">
        <is>
          <t>Sunil CR</t>
        </is>
      </c>
      <c r="G26" s="44" t="inlineStr">
        <is>
          <t>Represented by Sample</t>
        </is>
      </c>
      <c r="H26" s="26" t="inlineStr">
        <is>
          <t>No</t>
        </is>
      </c>
      <c r="I26" s="44" t="inlineStr">
        <is>
          <t>Represented by Sample</t>
        </is>
      </c>
      <c r="J26" s="26" t="inlineStr">
        <is>
          <t>Yes</t>
        </is>
      </c>
      <c r="K26" s="27" t="n"/>
      <c r="L26" s="28" t="inlineStr">
        <is>
          <t>No</t>
        </is>
      </c>
      <c r="M26" s="29">
        <f>IF(E26="","",IF(H26="Yes","❌ Disc",IF(G26="No","⚠ Missing",IF(J26="Yes","✓ OK","⚠ Check"))))</f>
        <v/>
      </c>
      <c r="N26" s="43" t="n">
        <v>46193</v>
      </c>
      <c r="O26" s="26" t="inlineStr">
        <is>
          <t>Sunil CR</t>
        </is>
      </c>
      <c r="P26" s="44" t="inlineStr">
        <is>
          <t>Represented by Sample</t>
        </is>
      </c>
      <c r="Q26" s="26" t="inlineStr">
        <is>
          <t>No</t>
        </is>
      </c>
      <c r="R26" s="44" t="inlineStr">
        <is>
          <t>Represented by Sample</t>
        </is>
      </c>
      <c r="S26" s="26" t="inlineStr">
        <is>
          <t>Yes</t>
        </is>
      </c>
      <c r="T26" s="27" t="n"/>
      <c r="U26" s="28" t="inlineStr">
        <is>
          <t>No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Represented by Sample</t>
        </is>
      </c>
      <c r="Z26" s="30" t="n"/>
      <c r="AA26" s="30" t="inlineStr">
        <is>
          <t>Represented by Sample</t>
        </is>
      </c>
      <c r="AB26" s="30" t="inlineStr">
        <is>
          <t>Yes</t>
        </is>
      </c>
      <c r="AC26" s="27" t="n"/>
      <c r="AD26" s="31" t="inlineStr">
        <is>
          <t>No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PU 5018 GL</t>
        </is>
      </c>
      <c r="C27" s="25" t="inlineStr">
        <is>
          <t>PU - Turquoise Blue (Gloss) 5018</t>
        </is>
      </c>
      <c r="D27" s="23" t="inlineStr">
        <is>
          <t>DESIGNORX PRIVATE LIMITED</t>
        </is>
      </c>
      <c r="E27" s="43" t="n">
        <v>46126</v>
      </c>
      <c r="F27" s="26" t="inlineStr">
        <is>
          <t>Sunil CR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Good finish</t>
        </is>
      </c>
      <c r="J27" s="26" t="inlineStr">
        <is>
          <t>Yes</t>
        </is>
      </c>
      <c r="K27" s="27" t="inlineStr">
        <is>
          <t>P1,PJ</t>
        </is>
      </c>
      <c r="L27" s="28" t="inlineStr">
        <is>
          <t>No</t>
        </is>
      </c>
      <c r="M27" s="29">
        <f>IF(E27="","",IF(H27="Yes","❌ Disc",IF(G27="No","⚠ Missing",IF(J27="Yes","✓ OK","⚠ Check"))))</f>
        <v/>
      </c>
      <c r="N27" s="43" t="n">
        <v>46193</v>
      </c>
      <c r="O27" s="26" t="inlineStr">
        <is>
          <t>Sunil CR</t>
        </is>
      </c>
      <c r="P27" s="26" t="inlineStr">
        <is>
          <t>Yes</t>
        </is>
      </c>
      <c r="Q27" s="26" t="inlineStr">
        <is>
          <t>No</t>
        </is>
      </c>
      <c r="R27" s="26" t="inlineStr">
        <is>
          <t>Good finish</t>
        </is>
      </c>
      <c r="S27" s="26" t="inlineStr">
        <is>
          <t>Yes</t>
        </is>
      </c>
      <c r="T27" s="27" t="inlineStr">
        <is>
          <t>P1,PJ</t>
        </is>
      </c>
      <c r="U27" s="28" t="inlineStr">
        <is>
          <t>No</t>
        </is>
      </c>
      <c r="V27" s="29">
        <f>IF(N27="","",IF(Q27="Yes","❌ Disc",IF(P27="No","⚠ Missing",IF(S27="Yes","✓ OK","⚠ Check"))))</f>
        <v/>
      </c>
      <c r="W27" s="65" t="n">
        <v>46248</v>
      </c>
      <c r="X27" s="30" t="inlineStr">
        <is>
          <t>Sunil CR</t>
        </is>
      </c>
      <c r="Y27" s="30" t="inlineStr">
        <is>
          <t>Yes</t>
        </is>
      </c>
      <c r="Z27" s="30" t="n"/>
      <c r="AA27" s="30" t="inlineStr">
        <is>
          <t>Good finish</t>
        </is>
      </c>
      <c r="AB27" s="30" t="inlineStr">
        <is>
          <t>Yes</t>
        </is>
      </c>
      <c r="AC27" s="27" t="inlineStr">
        <is>
          <t>P1,PJ</t>
        </is>
      </c>
      <c r="AD27" s="31" t="inlineStr">
        <is>
          <t>No</t>
        </is>
      </c>
      <c r="AE27" s="32">
        <f>IF(W27="","",IF(Z27="Yes","❌ Disc",IF(Y27="No","⚠ Missing",IF(AB27="Yes","✓ OK","⚠ Check"))))</f>
        <v/>
      </c>
      <c r="AF27" s="33" t="n"/>
      <c r="AG27" s="33" t="n"/>
      <c r="AH27" s="33" t="n"/>
      <c r="AI27" s="33" t="n"/>
      <c r="AJ27" s="33" t="n"/>
      <c r="AK27" s="33" t="n"/>
      <c r="AL27" s="27" t="n"/>
      <c r="AM27" s="34" t="n"/>
      <c r="AN27" s="35">
        <f>IF(AF27="","",IF(AI27="Yes","❌ Disc",IF(AH27="No","⚠ Missing",IF(AK27="Yes","✓ OK","⚠ Check"))))</f>
        <v/>
      </c>
      <c r="AO27" s="36" t="n"/>
      <c r="AP27" s="36" t="n"/>
      <c r="AQ27" s="36" t="n"/>
      <c r="AR27" s="36" t="n"/>
      <c r="AS27" s="36" t="n"/>
      <c r="AT27" s="36" t="n"/>
      <c r="AU27" s="27" t="n"/>
      <c r="AV27" s="37" t="n"/>
      <c r="AW27" s="38">
        <f>IF(AO27="","",IF(AR27="Yes","❌ Disc",IF(AQ27="No","⚠ Missing",IF(AT27="Yes","✓ OK","⚠ Check"))))</f>
        <v/>
      </c>
    </row>
    <row r="28" ht="18" customHeight="1" s="46">
      <c r="A28" s="39" t="n">
        <v>24</v>
      </c>
      <c r="B28" s="40" t="inlineStr">
        <is>
          <t>PU 5018 MT</t>
        </is>
      </c>
      <c r="C28" s="41" t="inlineStr">
        <is>
          <t>PU - Turquoise Blue (Matte) 5018</t>
        </is>
      </c>
      <c r="D28" s="39" t="inlineStr">
        <is>
          <t>DESIGNORX PRIVATE LIMITED</t>
        </is>
      </c>
      <c r="E28" s="43" t="n">
        <v>46126</v>
      </c>
      <c r="F28" s="26" t="inlineStr">
        <is>
          <t>Sunil CR</t>
        </is>
      </c>
      <c r="G28" s="44" t="inlineStr">
        <is>
          <t>Represented by Sample</t>
        </is>
      </c>
      <c r="H28" s="26" t="inlineStr">
        <is>
          <t>No</t>
        </is>
      </c>
      <c r="I28" s="44" t="inlineStr">
        <is>
          <t>Represented by Sample</t>
        </is>
      </c>
      <c r="J28" s="26" t="inlineStr">
        <is>
          <t>Yes</t>
        </is>
      </c>
      <c r="K28" s="27" t="n"/>
      <c r="L28" s="28" t="inlineStr">
        <is>
          <t>No</t>
        </is>
      </c>
      <c r="M28" s="29">
        <f>IF(E28="","",IF(H28="Yes","❌ Disc",IF(G28="No","⚠ Missing",IF(J28="Yes","✓ OK","⚠ Check"))))</f>
        <v/>
      </c>
      <c r="N28" s="43" t="n">
        <v>46193</v>
      </c>
      <c r="O28" s="26" t="inlineStr">
        <is>
          <t>Sunil CR</t>
        </is>
      </c>
      <c r="P28" s="44" t="inlineStr">
        <is>
          <t>Represented by Sample</t>
        </is>
      </c>
      <c r="Q28" s="26" t="inlineStr">
        <is>
          <t>No</t>
        </is>
      </c>
      <c r="R28" s="44" t="inlineStr">
        <is>
          <t>Represented by Sample</t>
        </is>
      </c>
      <c r="S28" s="26" t="inlineStr">
        <is>
          <t>Yes</t>
        </is>
      </c>
      <c r="T28" s="27" t="n"/>
      <c r="U28" s="28" t="inlineStr">
        <is>
          <t>No</t>
        </is>
      </c>
      <c r="V28" s="29">
        <f>IF(N28="","",IF(Q28="Yes","❌ Disc",IF(P28="No","⚠ Missing",IF(S28="Yes","✓ OK","⚠ Check"))))</f>
        <v/>
      </c>
      <c r="W28" s="65" t="n">
        <v>46248</v>
      </c>
      <c r="X28" s="30" t="inlineStr">
        <is>
          <t>Sunil CR</t>
        </is>
      </c>
      <c r="Y28" s="30" t="inlineStr">
        <is>
          <t>Represented by Sample</t>
        </is>
      </c>
      <c r="Z28" s="30" t="n"/>
      <c r="AA28" s="30" t="inlineStr">
        <is>
          <t>Represented by Sample</t>
        </is>
      </c>
      <c r="AB28" s="30" t="inlineStr">
        <is>
          <t>Yes</t>
        </is>
      </c>
      <c r="AC28" s="27" t="n"/>
      <c r="AD28" s="31" t="inlineStr">
        <is>
          <t>No</t>
        </is>
      </c>
      <c r="AE28" s="32">
        <f>IF(W28="","",IF(Z28="Yes","❌ Disc",IF(Y28="No","⚠ Missing",IF(AB28="Yes","✓ OK","⚠ Check"))))</f>
        <v/>
      </c>
      <c r="AF28" s="33" t="n"/>
      <c r="AG28" s="33" t="n"/>
      <c r="AH28" s="33" t="n"/>
      <c r="AI28" s="33" t="n"/>
      <c r="AJ28" s="33" t="n"/>
      <c r="AK28" s="33" t="n"/>
      <c r="AL28" s="27" t="n"/>
      <c r="AM28" s="34" t="n"/>
      <c r="AN28" s="35">
        <f>IF(AF28="","",IF(AI28="Yes","❌ Disc",IF(AH28="No","⚠ Missing",IF(AK28="Yes","✓ OK","⚠ Check"))))</f>
        <v/>
      </c>
      <c r="AO28" s="36" t="n"/>
      <c r="AP28" s="36" t="n"/>
      <c r="AQ28" s="36" t="n"/>
      <c r="AR28" s="36" t="n"/>
      <c r="AS28" s="36" t="n"/>
      <c r="AT28" s="36" t="n"/>
      <c r="AU28" s="27" t="n"/>
      <c r="AV28" s="37" t="n"/>
      <c r="AW28" s="38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PU 6014 GL</t>
        </is>
      </c>
      <c r="C29" s="25" t="inlineStr">
        <is>
          <t>PU - Yellow Olive (Gloss) 6014</t>
        </is>
      </c>
      <c r="D29" s="23" t="inlineStr">
        <is>
          <t>DESIGNORX PRIVATE LIMITED</t>
        </is>
      </c>
      <c r="E29" s="43" t="n">
        <v>46126</v>
      </c>
      <c r="F29" s="26" t="inlineStr">
        <is>
          <t>Sunil CR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Good finish</t>
        </is>
      </c>
      <c r="J29" s="26" t="inlineStr">
        <is>
          <t>Yes</t>
        </is>
      </c>
      <c r="K29" s="27" t="inlineStr">
        <is>
          <t>P2</t>
        </is>
      </c>
      <c r="L29" s="28" t="inlineStr">
        <is>
          <t>No</t>
        </is>
      </c>
      <c r="M29" s="29">
        <f>IF(E29="","",IF(H29="Yes","❌ Disc",IF(G29="No","⚠ Missing",IF(J29="Yes","✓ OK","⚠ Check"))))</f>
        <v/>
      </c>
      <c r="N29" s="43" t="n">
        <v>46193</v>
      </c>
      <c r="O29" s="26" t="inlineStr">
        <is>
          <t>Sunil CR</t>
        </is>
      </c>
      <c r="P29" s="26" t="inlineStr">
        <is>
          <t>Yes</t>
        </is>
      </c>
      <c r="Q29" s="26" t="inlineStr">
        <is>
          <t>No</t>
        </is>
      </c>
      <c r="R29" s="26" t="inlineStr">
        <is>
          <t>Good finish</t>
        </is>
      </c>
      <c r="S29" s="26" t="inlineStr">
        <is>
          <t>Yes</t>
        </is>
      </c>
      <c r="T29" s="27" t="inlineStr">
        <is>
          <t>P2</t>
        </is>
      </c>
      <c r="U29" s="28" t="inlineStr">
        <is>
          <t>No</t>
        </is>
      </c>
      <c r="V29" s="29">
        <f>IF(N29="","",IF(Q29="Yes","❌ Disc",IF(P29="No","⚠ Missing",IF(S29="Yes","✓ OK","⚠ Check"))))</f>
        <v/>
      </c>
      <c r="W29" s="65" t="n">
        <v>46248</v>
      </c>
      <c r="X29" s="30" t="inlineStr">
        <is>
          <t>Sunil CR</t>
        </is>
      </c>
      <c r="Y29" s="30" t="inlineStr">
        <is>
          <t>Yes</t>
        </is>
      </c>
      <c r="Z29" s="30" t="n"/>
      <c r="AA29" s="30" t="inlineStr">
        <is>
          <t>Good finish</t>
        </is>
      </c>
      <c r="AB29" s="30" t="inlineStr">
        <is>
          <t>Yes</t>
        </is>
      </c>
      <c r="AC29" s="27" t="inlineStr">
        <is>
          <t>P2</t>
        </is>
      </c>
      <c r="AD29" s="31" t="inlineStr">
        <is>
          <t>No</t>
        </is>
      </c>
      <c r="AE29" s="32">
        <f>IF(W29="","",IF(Z29="Yes","❌ Disc",IF(Y29="No","⚠ Missing",IF(AB29="Yes","✓ OK","⚠ Check"))))</f>
        <v/>
      </c>
      <c r="AF29" s="33" t="n"/>
      <c r="AG29" s="33" t="n"/>
      <c r="AH29" s="33" t="n"/>
      <c r="AI29" s="33" t="n"/>
      <c r="AJ29" s="33" t="n"/>
      <c r="AK29" s="33" t="n"/>
      <c r="AL29" s="27" t="n"/>
      <c r="AM29" s="34" t="n"/>
      <c r="AN29" s="35">
        <f>IF(AF29="","",IF(AI29="Yes","❌ Disc",IF(AH29="No","⚠ Missing",IF(AK29="Yes","✓ OK","⚠ Check"))))</f>
        <v/>
      </c>
      <c r="AO29" s="36" t="n"/>
      <c r="AP29" s="36" t="n"/>
      <c r="AQ29" s="36" t="n"/>
      <c r="AR29" s="36" t="n"/>
      <c r="AS29" s="36" t="n"/>
      <c r="AT29" s="36" t="n"/>
      <c r="AU29" s="27" t="n"/>
      <c r="AV29" s="37" t="n"/>
      <c r="AW29" s="38">
        <f>IF(AO29="","",IF(AR29="Yes","❌ Disc",IF(AQ29="No","⚠ Missing",IF(AT29="Yes","✓ OK","⚠ Check"))))</f>
        <v/>
      </c>
    </row>
    <row r="30" ht="18" customHeight="1" s="46">
      <c r="A30" s="39" t="n">
        <v>26</v>
      </c>
      <c r="B30" s="40" t="inlineStr">
        <is>
          <t>PU 6014 MT</t>
        </is>
      </c>
      <c r="C30" s="41" t="inlineStr">
        <is>
          <t>PU - Yellow Olive (Matte) 6014</t>
        </is>
      </c>
      <c r="D30" s="39" t="inlineStr">
        <is>
          <t>DESIGNORX PRIVATE LIMITED</t>
        </is>
      </c>
      <c r="E30" s="43" t="n">
        <v>46126</v>
      </c>
      <c r="F30" s="26" t="inlineStr">
        <is>
          <t>Sunil CR</t>
        </is>
      </c>
      <c r="G30" s="44" t="inlineStr">
        <is>
          <t>Represented by Sample</t>
        </is>
      </c>
      <c r="H30" s="26" t="inlineStr">
        <is>
          <t>No</t>
        </is>
      </c>
      <c r="I30" s="44" t="inlineStr">
        <is>
          <t>Represented by Sample</t>
        </is>
      </c>
      <c r="J30" s="26" t="inlineStr">
        <is>
          <t>Yes</t>
        </is>
      </c>
      <c r="K30" s="27" t="n"/>
      <c r="L30" s="28" t="inlineStr">
        <is>
          <t>No</t>
        </is>
      </c>
      <c r="M30" s="29">
        <f>IF(E30="","",IF(H30="Yes","❌ Disc",IF(G30="No","⚠ Missing",IF(J30="Yes","✓ OK","⚠ Check"))))</f>
        <v/>
      </c>
      <c r="N30" s="43" t="n">
        <v>46193</v>
      </c>
      <c r="O30" s="26" t="inlineStr">
        <is>
          <t>Sunil CR</t>
        </is>
      </c>
      <c r="P30" s="44" t="inlineStr">
        <is>
          <t>Represented by Sample</t>
        </is>
      </c>
      <c r="Q30" s="26" t="inlineStr">
        <is>
          <t>No</t>
        </is>
      </c>
      <c r="R30" s="44" t="inlineStr">
        <is>
          <t>Represented by Sample</t>
        </is>
      </c>
      <c r="S30" s="26" t="inlineStr">
        <is>
          <t>Yes</t>
        </is>
      </c>
      <c r="T30" s="27" t="n"/>
      <c r="U30" s="28" t="inlineStr">
        <is>
          <t>No</t>
        </is>
      </c>
      <c r="V30" s="29">
        <f>IF(N30="","",IF(Q30="Yes","❌ Disc",IF(P30="No","⚠ Missing",IF(S30="Yes","✓ OK","⚠ Check"))))</f>
        <v/>
      </c>
      <c r="W30" s="65" t="n">
        <v>46248</v>
      </c>
      <c r="X30" s="30" t="inlineStr">
        <is>
          <t>Sunil CR</t>
        </is>
      </c>
      <c r="Y30" s="30" t="inlineStr">
        <is>
          <t>Represented by Sample</t>
        </is>
      </c>
      <c r="Z30" s="30" t="n"/>
      <c r="AA30" s="30" t="inlineStr">
        <is>
          <t>Represented by Sample</t>
        </is>
      </c>
      <c r="AB30" s="30" t="inlineStr">
        <is>
          <t>Yes</t>
        </is>
      </c>
      <c r="AC30" s="27" t="n"/>
      <c r="AD30" s="31" t="inlineStr">
        <is>
          <t>No</t>
        </is>
      </c>
      <c r="AE30" s="32">
        <f>IF(W30="","",IF(Z30="Yes","❌ Disc",IF(Y30="No","⚠ Missing",IF(AB30="Yes","✓ OK","⚠ Check"))))</f>
        <v/>
      </c>
      <c r="AF30" s="33" t="n"/>
      <c r="AG30" s="33" t="n"/>
      <c r="AH30" s="33" t="n"/>
      <c r="AI30" s="33" t="n"/>
      <c r="AJ30" s="33" t="n"/>
      <c r="AK30" s="33" t="n"/>
      <c r="AL30" s="27" t="n"/>
      <c r="AM30" s="34" t="n"/>
      <c r="AN30" s="35">
        <f>IF(AF30="","",IF(AI30="Yes","❌ Disc",IF(AH30="No","⚠ Missing",IF(AK30="Yes","✓ OK","⚠ Check"))))</f>
        <v/>
      </c>
      <c r="AO30" s="36" t="n"/>
      <c r="AP30" s="36" t="n"/>
      <c r="AQ30" s="36" t="n"/>
      <c r="AR30" s="36" t="n"/>
      <c r="AS30" s="36" t="n"/>
      <c r="AT30" s="36" t="n"/>
      <c r="AU30" s="27" t="n"/>
      <c r="AV30" s="37" t="n"/>
      <c r="AW30" s="38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aubergine-highgloss</t>
        </is>
      </c>
      <c r="C31" s="25" t="inlineStr">
        <is>
          <t>Aubergine (High Gloss)</t>
        </is>
      </c>
      <c r="D31" s="23" t="inlineStr">
        <is>
          <t>SPACEWOOD FURNISHERS PVT LTD</t>
        </is>
      </c>
      <c r="E31" s="43" t="n">
        <v>46125</v>
      </c>
      <c r="F31" s="26" t="inlineStr">
        <is>
          <t>Sunil CR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Good finish</t>
        </is>
      </c>
      <c r="J31" s="26" t="inlineStr">
        <is>
          <t>Yes</t>
        </is>
      </c>
      <c r="K31" s="27" t="n"/>
      <c r="L31" s="28" t="inlineStr">
        <is>
          <t>No</t>
        </is>
      </c>
      <c r="M31" s="29">
        <f>IF(E31="","",IF(H31="Yes","❌ Disc",IF(G31="No","⚠ Missing",IF(J31="Yes","✓ OK","⚠ Check"))))</f>
        <v/>
      </c>
      <c r="N31" s="43" t="n">
        <v>46193</v>
      </c>
      <c r="O31" s="26" t="inlineStr">
        <is>
          <t>Sunil CR</t>
        </is>
      </c>
      <c r="P31" s="26" t="inlineStr">
        <is>
          <t>Yes</t>
        </is>
      </c>
      <c r="Q31" s="26" t="inlineStr">
        <is>
          <t>No</t>
        </is>
      </c>
      <c r="R31" s="26" t="inlineStr">
        <is>
          <t>Good finish</t>
        </is>
      </c>
      <c r="S31" s="26" t="inlineStr">
        <is>
          <t>Yes</t>
        </is>
      </c>
      <c r="T31" s="27" t="n"/>
      <c r="U31" s="28" t="inlineStr">
        <is>
          <t>No</t>
        </is>
      </c>
      <c r="V31" s="29">
        <f>IF(N31="","",IF(Q31="Yes","❌ Disc",IF(P31="No","⚠ Missing",IF(S31="Yes","✓ OK","⚠ Check"))))</f>
        <v/>
      </c>
      <c r="W31" s="65" t="n">
        <v>46248</v>
      </c>
      <c r="X31" s="30" t="inlineStr">
        <is>
          <t>Sunil CR</t>
        </is>
      </c>
      <c r="Y31" s="30" t="inlineStr">
        <is>
          <t>Yes</t>
        </is>
      </c>
      <c r="Z31" s="30" t="n"/>
      <c r="AA31" s="30" t="inlineStr">
        <is>
          <t>Good finish</t>
        </is>
      </c>
      <c r="AB31" s="30" t="inlineStr">
        <is>
          <t>Yes</t>
        </is>
      </c>
      <c r="AC31" s="27" t="n"/>
      <c r="AD31" s="31" t="inlineStr">
        <is>
          <t>No</t>
        </is>
      </c>
      <c r="AE31" s="32">
        <f>IF(W31="","",IF(Z31="Yes","❌ Disc",IF(Y31="No","⚠ Missing",IF(AB31="Yes","✓ OK","⚠ Check"))))</f>
        <v/>
      </c>
      <c r="AF31" s="33" t="n"/>
      <c r="AG31" s="33" t="n"/>
      <c r="AH31" s="33" t="n"/>
      <c r="AI31" s="33" t="n"/>
      <c r="AJ31" s="33" t="n"/>
      <c r="AK31" s="33" t="n"/>
      <c r="AL31" s="27" t="n"/>
      <c r="AM31" s="34" t="n"/>
      <c r="AN31" s="35">
        <f>IF(AF31="","",IF(AI31="Yes","❌ Disc",IF(AH31="No","⚠ Missing",IF(AK31="Yes","✓ OK","⚠ Check"))))</f>
        <v/>
      </c>
      <c r="AO31" s="36" t="n"/>
      <c r="AP31" s="36" t="n"/>
      <c r="AQ31" s="36" t="n"/>
      <c r="AR31" s="36" t="n"/>
      <c r="AS31" s="36" t="n"/>
      <c r="AT31" s="36" t="n"/>
      <c r="AU31" s="27" t="n"/>
      <c r="AV31" s="37" t="n"/>
      <c r="AW31" s="38">
        <f>IF(AO31="","",IF(AR31="Yes","❌ Disc",IF(AQ31="No","⚠ Missing",IF(AT31="Yes","✓ OK","⚠ Check"))))</f>
        <v/>
      </c>
    </row>
    <row r="32" ht="18" customHeight="1" s="46">
      <c r="A32" s="39" t="n">
        <v>28</v>
      </c>
      <c r="B32" s="40" t="inlineStr">
        <is>
          <t>beige-highgloss</t>
        </is>
      </c>
      <c r="C32" s="41" t="inlineStr">
        <is>
          <t>Beige (High Gloss)</t>
        </is>
      </c>
      <c r="D32" s="39" t="inlineStr">
        <is>
          <t>SPACEWOOD FURNISHERS PVT LTD</t>
        </is>
      </c>
      <c r="E32" s="43" t="n">
        <v>46125</v>
      </c>
      <c r="F32" s="26" t="inlineStr">
        <is>
          <t>Sunil CR</t>
        </is>
      </c>
      <c r="G32" s="26" t="inlineStr">
        <is>
          <t>Yes</t>
        </is>
      </c>
      <c r="H32" s="26" t="inlineStr">
        <is>
          <t>No</t>
        </is>
      </c>
      <c r="I32" s="26" t="inlineStr">
        <is>
          <t>Good finish</t>
        </is>
      </c>
      <c r="J32" s="26" t="inlineStr">
        <is>
          <t>Yes</t>
        </is>
      </c>
      <c r="K32" s="27" t="n"/>
      <c r="L32" s="28" t="inlineStr">
        <is>
          <t>No</t>
        </is>
      </c>
      <c r="M32" s="29">
        <f>IF(E32="","",IF(H32="Yes","❌ Disc",IF(G32="No","⚠ Missing",IF(J32="Yes","✓ OK","⚠ Check"))))</f>
        <v/>
      </c>
      <c r="N32" s="43" t="n">
        <v>46193</v>
      </c>
      <c r="O32" s="26" t="inlineStr">
        <is>
          <t>Sunil CR</t>
        </is>
      </c>
      <c r="P32" s="26" t="inlineStr">
        <is>
          <t>Yes</t>
        </is>
      </c>
      <c r="Q32" s="26" t="inlineStr">
        <is>
          <t>No</t>
        </is>
      </c>
      <c r="R32" s="26" t="inlineStr">
        <is>
          <t>Good finish</t>
        </is>
      </c>
      <c r="S32" s="26" t="inlineStr">
        <is>
          <t>Yes</t>
        </is>
      </c>
      <c r="T32" s="27" t="n"/>
      <c r="U32" s="28" t="inlineStr">
        <is>
          <t>No</t>
        </is>
      </c>
      <c r="V32" s="29">
        <f>IF(N32="","",IF(Q32="Yes","❌ Disc",IF(P32="No","⚠ Missing",IF(S32="Yes","✓ OK","⚠ Check"))))</f>
        <v/>
      </c>
      <c r="W32" s="65" t="n">
        <v>46248</v>
      </c>
      <c r="X32" s="30" t="inlineStr">
        <is>
          <t>Sunil CR</t>
        </is>
      </c>
      <c r="Y32" s="30" t="inlineStr">
        <is>
          <t>Yes</t>
        </is>
      </c>
      <c r="Z32" s="30" t="n"/>
      <c r="AA32" s="30" t="inlineStr">
        <is>
          <t>Good finish</t>
        </is>
      </c>
      <c r="AB32" s="30" t="inlineStr">
        <is>
          <t>Yes</t>
        </is>
      </c>
      <c r="AC32" s="27" t="n"/>
      <c r="AD32" s="31" t="inlineStr">
        <is>
          <t>No</t>
        </is>
      </c>
      <c r="AE32" s="32">
        <f>IF(W32="","",IF(Z32="Yes","❌ Disc",IF(Y32="No","⚠ Missing",IF(AB32="Yes","✓ OK","⚠ Check"))))</f>
        <v/>
      </c>
      <c r="AF32" s="33" t="n"/>
      <c r="AG32" s="33" t="n"/>
      <c r="AH32" s="33" t="n"/>
      <c r="AI32" s="33" t="n"/>
      <c r="AJ32" s="33" t="n"/>
      <c r="AK32" s="33" t="n"/>
      <c r="AL32" s="27" t="n"/>
      <c r="AM32" s="34" t="n"/>
      <c r="AN32" s="35">
        <f>IF(AF32="","",IF(AI32="Yes","❌ Disc",IF(AH32="No","⚠ Missing",IF(AK32="Yes","✓ OK","⚠ Check"))))</f>
        <v/>
      </c>
      <c r="AO32" s="36" t="n"/>
      <c r="AP32" s="36" t="n"/>
      <c r="AQ32" s="36" t="n"/>
      <c r="AR32" s="36" t="n"/>
      <c r="AS32" s="36" t="n"/>
      <c r="AT32" s="36" t="n"/>
      <c r="AU32" s="27" t="n"/>
      <c r="AV32" s="37" t="n"/>
      <c r="AW32" s="38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cashmere-highgloss</t>
        </is>
      </c>
      <c r="C33" s="25" t="inlineStr">
        <is>
          <t>Cashmere (High Gloss)</t>
        </is>
      </c>
      <c r="D33" s="23" t="inlineStr">
        <is>
          <t>SPACEWOOD FURNISHERS PVT LTD</t>
        </is>
      </c>
      <c r="E33" s="43" t="n">
        <v>46125</v>
      </c>
      <c r="F33" s="26" t="inlineStr">
        <is>
          <t>Sunil CR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Good finish</t>
        </is>
      </c>
      <c r="J33" s="26" t="inlineStr">
        <is>
          <t>Yes</t>
        </is>
      </c>
      <c r="K33" s="27" t="n"/>
      <c r="L33" s="28" t="inlineStr">
        <is>
          <t>No</t>
        </is>
      </c>
      <c r="M33" s="29">
        <f>IF(E33="","",IF(H33="Yes","❌ Disc",IF(G33="No","⚠ Missing",IF(J33="Yes","✓ OK","⚠ Check"))))</f>
        <v/>
      </c>
      <c r="N33" s="43" t="n">
        <v>46193</v>
      </c>
      <c r="O33" s="26" t="inlineStr">
        <is>
          <t>Sunil CR</t>
        </is>
      </c>
      <c r="P33" s="26" t="inlineStr">
        <is>
          <t>Yes</t>
        </is>
      </c>
      <c r="Q33" s="26" t="inlineStr">
        <is>
          <t>No</t>
        </is>
      </c>
      <c r="R33" s="26" t="inlineStr">
        <is>
          <t>Good finish</t>
        </is>
      </c>
      <c r="S33" s="26" t="inlineStr">
        <is>
          <t>Yes</t>
        </is>
      </c>
      <c r="T33" s="27" t="n"/>
      <c r="U33" s="28" t="inlineStr">
        <is>
          <t>No</t>
        </is>
      </c>
      <c r="V33" s="29">
        <f>IF(N33="","",IF(Q33="Yes","❌ Disc",IF(P33="No","⚠ Missing",IF(S33="Yes","✓ OK","⚠ Check"))))</f>
        <v/>
      </c>
      <c r="W33" s="65" t="n">
        <v>46248</v>
      </c>
      <c r="X33" s="30" t="inlineStr">
        <is>
          <t>Sunil CR</t>
        </is>
      </c>
      <c r="Y33" s="30" t="inlineStr">
        <is>
          <t>Yes</t>
        </is>
      </c>
      <c r="Z33" s="30" t="n"/>
      <c r="AA33" s="30" t="inlineStr">
        <is>
          <t>Good finish</t>
        </is>
      </c>
      <c r="AB33" s="30" t="inlineStr">
        <is>
          <t>Yes</t>
        </is>
      </c>
      <c r="AC33" s="27" t="n"/>
      <c r="AD33" s="31" t="inlineStr">
        <is>
          <t>No</t>
        </is>
      </c>
      <c r="AE33" s="32">
        <f>IF(W33="","",IF(Z33="Yes","❌ Disc",IF(Y33="No","⚠ Missing",IF(AB33="Yes","✓ OK","⚠ Check"))))</f>
        <v/>
      </c>
      <c r="AF33" s="33" t="n"/>
      <c r="AG33" s="33" t="n"/>
      <c r="AH33" s="33" t="n"/>
      <c r="AI33" s="33" t="n"/>
      <c r="AJ33" s="33" t="n"/>
      <c r="AK33" s="33" t="n"/>
      <c r="AL33" s="27" t="n"/>
      <c r="AM33" s="34" t="n"/>
      <c r="AN33" s="35">
        <f>IF(AF33="","",IF(AI33="Yes","❌ Disc",IF(AH33="No","⚠ Missing",IF(AK33="Yes","✓ OK","⚠ Check"))))</f>
        <v/>
      </c>
      <c r="AO33" s="36" t="n"/>
      <c r="AP33" s="36" t="n"/>
      <c r="AQ33" s="36" t="n"/>
      <c r="AR33" s="36" t="n"/>
      <c r="AS33" s="36" t="n"/>
      <c r="AT33" s="36" t="n"/>
      <c r="AU33" s="27" t="n"/>
      <c r="AV33" s="37" t="n"/>
      <c r="AW33" s="38">
        <f>IF(AO33="","",IF(AR33="Yes","❌ Disc",IF(AQ33="No","⚠ Missing",IF(AT33="Yes","✓ OK","⚠ Check"))))</f>
        <v/>
      </c>
    </row>
    <row r="34" ht="18" customHeight="1" s="46">
      <c r="A34" s="39" t="n">
        <v>30</v>
      </c>
      <c r="B34" s="40" t="inlineStr">
        <is>
          <t>cubanitgreypremier-matt</t>
        </is>
      </c>
      <c r="C34" s="41" t="inlineStr">
        <is>
          <t>Cubanit Grey Premier (Matt)</t>
        </is>
      </c>
      <c r="D34" s="39" t="inlineStr">
        <is>
          <t>SPACEWOOD FURNISHERS PVT LTD</t>
        </is>
      </c>
      <c r="E34" s="43" t="n">
        <v>46125</v>
      </c>
      <c r="F34" s="26" t="inlineStr">
        <is>
          <t>Sunil CR</t>
        </is>
      </c>
      <c r="G34" s="26" t="inlineStr">
        <is>
          <t>Yes</t>
        </is>
      </c>
      <c r="H34" s="26" t="inlineStr">
        <is>
          <t>No</t>
        </is>
      </c>
      <c r="I34" s="26" t="inlineStr">
        <is>
          <t>Good finish</t>
        </is>
      </c>
      <c r="J34" s="26" t="inlineStr">
        <is>
          <t>Yes</t>
        </is>
      </c>
      <c r="K34" s="27" t="n"/>
      <c r="L34" s="28" t="inlineStr">
        <is>
          <t>No</t>
        </is>
      </c>
      <c r="M34" s="29">
        <f>IF(E34="","",IF(H34="Yes","❌ Disc",IF(G34="No","⚠ Missing",IF(J34="Yes","✓ OK","⚠ Check"))))</f>
        <v/>
      </c>
      <c r="N34" s="43" t="n">
        <v>46193</v>
      </c>
      <c r="O34" s="26" t="inlineStr">
        <is>
          <t>Sunil CR</t>
        </is>
      </c>
      <c r="P34" s="26" t="inlineStr">
        <is>
          <t>Yes</t>
        </is>
      </c>
      <c r="Q34" s="26" t="inlineStr">
        <is>
          <t>No</t>
        </is>
      </c>
      <c r="R34" s="26" t="inlineStr">
        <is>
          <t>Good finish</t>
        </is>
      </c>
      <c r="S34" s="26" t="inlineStr">
        <is>
          <t>Yes</t>
        </is>
      </c>
      <c r="T34" s="27" t="n"/>
      <c r="U34" s="28" t="inlineStr">
        <is>
          <t>No</t>
        </is>
      </c>
      <c r="V34" s="29">
        <f>IF(N34="","",IF(Q34="Yes","❌ Disc",IF(P34="No","⚠ Missing",IF(S34="Yes","✓ OK","⚠ Check"))))</f>
        <v/>
      </c>
      <c r="W34" s="65" t="n">
        <v>46248</v>
      </c>
      <c r="X34" s="30" t="inlineStr">
        <is>
          <t>Sunil CR</t>
        </is>
      </c>
      <c r="Y34" s="30" t="inlineStr">
        <is>
          <t>Yes</t>
        </is>
      </c>
      <c r="Z34" s="30" t="n"/>
      <c r="AA34" s="30" t="inlineStr">
        <is>
          <t>Good finish</t>
        </is>
      </c>
      <c r="AB34" s="30" t="inlineStr">
        <is>
          <t>Yes</t>
        </is>
      </c>
      <c r="AC34" s="27" t="n"/>
      <c r="AD34" s="31" t="inlineStr">
        <is>
          <t>No</t>
        </is>
      </c>
      <c r="AE34" s="32">
        <f>IF(W34="","",IF(Z34="Yes","❌ Disc",IF(Y34="No","⚠ Missing",IF(AB34="Yes","✓ OK","⚠ Check"))))</f>
        <v/>
      </c>
      <c r="AF34" s="33" t="n"/>
      <c r="AG34" s="33" t="n"/>
      <c r="AH34" s="33" t="n"/>
      <c r="AI34" s="33" t="n"/>
      <c r="AJ34" s="33" t="n"/>
      <c r="AK34" s="33" t="n"/>
      <c r="AL34" s="27" t="n"/>
      <c r="AM34" s="34" t="n"/>
      <c r="AN34" s="35">
        <f>IF(AF34="","",IF(AI34="Yes","❌ Disc",IF(AH34="No","⚠ Missing",IF(AK34="Yes","✓ OK","⚠ Check"))))</f>
        <v/>
      </c>
      <c r="AO34" s="36" t="n"/>
      <c r="AP34" s="36" t="n"/>
      <c r="AQ34" s="36" t="n"/>
      <c r="AR34" s="36" t="n"/>
      <c r="AS34" s="36" t="n"/>
      <c r="AT34" s="36" t="n"/>
      <c r="AU34" s="27" t="n"/>
      <c r="AV34" s="37" t="n"/>
      <c r="AW34" s="38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dustgreypremier-matt</t>
        </is>
      </c>
      <c r="C35" s="25" t="inlineStr">
        <is>
          <t>Dust Grey Premier (Matt)</t>
        </is>
      </c>
      <c r="D35" s="23" t="inlineStr">
        <is>
          <t>SPACEWOOD FURNISHERS PVT LTD</t>
        </is>
      </c>
      <c r="E35" s="43" t="n">
        <v>46125</v>
      </c>
      <c r="F35" s="26" t="inlineStr">
        <is>
          <t>Sunil CR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Good finish</t>
        </is>
      </c>
      <c r="J35" s="26" t="inlineStr">
        <is>
          <t>Yes</t>
        </is>
      </c>
      <c r="K35" s="27" t="n"/>
      <c r="L35" s="28" t="inlineStr">
        <is>
          <t>No</t>
        </is>
      </c>
      <c r="M35" s="29">
        <f>IF(E35="","",IF(H35="Yes","❌ Disc",IF(G35="No","⚠ Missing",IF(J35="Yes","✓ OK","⚠ Check"))))</f>
        <v/>
      </c>
      <c r="N35" s="43" t="n">
        <v>46193</v>
      </c>
      <c r="O35" s="26" t="inlineStr">
        <is>
          <t>Sunil CR</t>
        </is>
      </c>
      <c r="P35" s="26" t="inlineStr">
        <is>
          <t>Yes</t>
        </is>
      </c>
      <c r="Q35" s="26" t="inlineStr">
        <is>
          <t>No</t>
        </is>
      </c>
      <c r="R35" s="26" t="inlineStr">
        <is>
          <t>Good finish</t>
        </is>
      </c>
      <c r="S35" s="26" t="inlineStr">
        <is>
          <t>Yes</t>
        </is>
      </c>
      <c r="T35" s="27" t="n"/>
      <c r="U35" s="28" t="inlineStr">
        <is>
          <t>No</t>
        </is>
      </c>
      <c r="V35" s="29">
        <f>IF(N35="","",IF(Q35="Yes","❌ Disc",IF(P35="No","⚠ Missing",IF(S35="Yes","✓ OK","⚠ Check"))))</f>
        <v/>
      </c>
      <c r="W35" s="65" t="n">
        <v>46248</v>
      </c>
      <c r="X35" s="30" t="inlineStr">
        <is>
          <t>Sunil CR</t>
        </is>
      </c>
      <c r="Y35" s="30" t="inlineStr">
        <is>
          <t>Yes</t>
        </is>
      </c>
      <c r="Z35" s="30" t="n"/>
      <c r="AA35" s="30" t="inlineStr">
        <is>
          <t>Good finish</t>
        </is>
      </c>
      <c r="AB35" s="30" t="inlineStr">
        <is>
          <t>Yes</t>
        </is>
      </c>
      <c r="AC35" s="27" t="n"/>
      <c r="AD35" s="31" t="inlineStr">
        <is>
          <t>No</t>
        </is>
      </c>
      <c r="AE35" s="32">
        <f>IF(W35="","",IF(Z35="Yes","❌ Disc",IF(Y35="No","⚠ Missing",IF(AB35="Yes","✓ OK","⚠ Check"))))</f>
        <v/>
      </c>
      <c r="AF35" s="33" t="n"/>
      <c r="AG35" s="33" t="n"/>
      <c r="AH35" s="33" t="n"/>
      <c r="AI35" s="33" t="n"/>
      <c r="AJ35" s="33" t="n"/>
      <c r="AK35" s="33" t="n"/>
      <c r="AL35" s="27" t="n"/>
      <c r="AM35" s="34" t="n"/>
      <c r="AN35" s="35">
        <f>IF(AF35="","",IF(AI35="Yes","❌ Disc",IF(AH35="No","⚠ Missing",IF(AK35="Yes","✓ OK","⚠ Check"))))</f>
        <v/>
      </c>
      <c r="AO35" s="36" t="n"/>
      <c r="AP35" s="36" t="n"/>
      <c r="AQ35" s="36" t="n"/>
      <c r="AR35" s="36" t="n"/>
      <c r="AS35" s="36" t="n"/>
      <c r="AT35" s="36" t="n"/>
      <c r="AU35" s="27" t="n"/>
      <c r="AV35" s="37" t="n"/>
      <c r="AW35" s="38">
        <f>IF(AO35="","",IF(AR35="Yes","❌ Disc",IF(AQ35="No","⚠ Missing",IF(AT35="Yes","✓ OK","⚠ Check"))))</f>
        <v/>
      </c>
    </row>
    <row r="36" ht="18" customHeight="1" s="46">
      <c r="A36" s="39" t="n">
        <v>32</v>
      </c>
      <c r="B36" s="40" t="inlineStr">
        <is>
          <t>elmoverlingableached-matt</t>
        </is>
      </c>
      <c r="C36" s="41" t="inlineStr">
        <is>
          <t>Elmo Verlinga Bleached (Matt)</t>
        </is>
      </c>
      <c r="D36" s="39" t="inlineStr">
        <is>
          <t>SPACEWOOD FURNISHERS PVT LTD</t>
        </is>
      </c>
      <c r="E36" s="43" t="n">
        <v>46125</v>
      </c>
      <c r="F36" s="26" t="inlineStr">
        <is>
          <t>Sunil CR</t>
        </is>
      </c>
      <c r="G36" s="26" t="inlineStr">
        <is>
          <t>Yes</t>
        </is>
      </c>
      <c r="H36" s="26" t="inlineStr">
        <is>
          <t>No</t>
        </is>
      </c>
      <c r="I36" s="26" t="inlineStr">
        <is>
          <t>Good finish</t>
        </is>
      </c>
      <c r="J36" s="26" t="inlineStr">
        <is>
          <t>Yes</t>
        </is>
      </c>
      <c r="K36" s="27" t="n"/>
      <c r="L36" s="28" t="inlineStr">
        <is>
          <t>No</t>
        </is>
      </c>
      <c r="M36" s="29">
        <f>IF(E36="","",IF(H36="Yes","❌ Disc",IF(G36="No","⚠ Missing",IF(J36="Yes","✓ OK","⚠ Check"))))</f>
        <v/>
      </c>
      <c r="N36" s="43" t="n">
        <v>46193</v>
      </c>
      <c r="O36" s="26" t="inlineStr">
        <is>
          <t>Sunil CR</t>
        </is>
      </c>
      <c r="P36" s="26" t="inlineStr">
        <is>
          <t>Yes</t>
        </is>
      </c>
      <c r="Q36" s="26" t="inlineStr">
        <is>
          <t>No</t>
        </is>
      </c>
      <c r="R36" s="26" t="inlineStr">
        <is>
          <t>Good finish</t>
        </is>
      </c>
      <c r="S36" s="26" t="inlineStr">
        <is>
          <t>Yes</t>
        </is>
      </c>
      <c r="T36" s="27" t="n"/>
      <c r="U36" s="28" t="inlineStr">
        <is>
          <t>No</t>
        </is>
      </c>
      <c r="V36" s="29">
        <f>IF(N36="","",IF(Q36="Yes","❌ Disc",IF(P36="No","⚠ Missing",IF(S36="Yes","✓ OK","⚠ Check"))))</f>
        <v/>
      </c>
      <c r="W36" s="65" t="n">
        <v>46248</v>
      </c>
      <c r="X36" s="30" t="inlineStr">
        <is>
          <t>Sunil CR</t>
        </is>
      </c>
      <c r="Y36" s="30" t="inlineStr">
        <is>
          <t>Yes</t>
        </is>
      </c>
      <c r="Z36" s="30" t="n"/>
      <c r="AA36" s="30" t="inlineStr">
        <is>
          <t>Good finish</t>
        </is>
      </c>
      <c r="AB36" s="30" t="inlineStr">
        <is>
          <t>Yes</t>
        </is>
      </c>
      <c r="AC36" s="27" t="n"/>
      <c r="AD36" s="31" t="inlineStr">
        <is>
          <t>No</t>
        </is>
      </c>
      <c r="AE36" s="32">
        <f>IF(W36="","",IF(Z36="Yes","❌ Disc",IF(Y36="No","⚠ Missing",IF(AB36="Yes","✓ OK","⚠ Check"))))</f>
        <v/>
      </c>
      <c r="AF36" s="33" t="n"/>
      <c r="AG36" s="33" t="n"/>
      <c r="AH36" s="33" t="n"/>
      <c r="AI36" s="33" t="n"/>
      <c r="AJ36" s="33" t="n"/>
      <c r="AK36" s="33" t="n"/>
      <c r="AL36" s="27" t="n"/>
      <c r="AM36" s="34" t="n"/>
      <c r="AN36" s="35">
        <f>IF(AF36="","",IF(AI36="Yes","❌ Disc",IF(AH36="No","⚠ Missing",IF(AK36="Yes","✓ OK","⚠ Check"))))</f>
        <v/>
      </c>
      <c r="AO36" s="36" t="n"/>
      <c r="AP36" s="36" t="n"/>
      <c r="AQ36" s="36" t="n"/>
      <c r="AR36" s="36" t="n"/>
      <c r="AS36" s="36" t="n"/>
      <c r="AT36" s="36" t="n"/>
      <c r="AU36" s="27" t="n"/>
      <c r="AV36" s="37" t="n"/>
      <c r="AW36" s="38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esmarticwhite-matt</t>
        </is>
      </c>
      <c r="C37" s="25" t="inlineStr">
        <is>
          <t>ESM Arctic White Matt (SM-1)</t>
        </is>
      </c>
      <c r="D37" s="23" t="inlineStr">
        <is>
          <t>SPACEWOOD FURNISHERS PVT LTD</t>
        </is>
      </c>
      <c r="E37" s="43" t="n">
        <v>46125</v>
      </c>
      <c r="F37" s="26" t="inlineStr">
        <is>
          <t>Sunil CR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Good finish</t>
        </is>
      </c>
      <c r="J37" s="26" t="inlineStr">
        <is>
          <t>Yes</t>
        </is>
      </c>
      <c r="K37" s="27" t="n"/>
      <c r="L37" s="28" t="inlineStr">
        <is>
          <t>No</t>
        </is>
      </c>
      <c r="M37" s="29">
        <f>IF(E37="","",IF(H37="Yes","❌ Disc",IF(G37="No","⚠ Missing",IF(J37="Yes","✓ OK","⚠ Check"))))</f>
        <v/>
      </c>
      <c r="N37" s="43" t="n">
        <v>46193</v>
      </c>
      <c r="O37" s="26" t="inlineStr">
        <is>
          <t>Sunil CR</t>
        </is>
      </c>
      <c r="P37" s="26" t="inlineStr">
        <is>
          <t>Yes</t>
        </is>
      </c>
      <c r="Q37" s="26" t="inlineStr">
        <is>
          <t>No</t>
        </is>
      </c>
      <c r="R37" s="26" t="inlineStr">
        <is>
          <t>Good finish</t>
        </is>
      </c>
      <c r="S37" s="26" t="inlineStr">
        <is>
          <t>Yes</t>
        </is>
      </c>
      <c r="T37" s="27" t="n"/>
      <c r="U37" s="28" t="inlineStr">
        <is>
          <t>No</t>
        </is>
      </c>
      <c r="V37" s="29">
        <f>IF(N37="","",IF(Q37="Yes","❌ Disc",IF(P37="No","⚠ Missing",IF(S37="Yes","✓ OK","⚠ Check"))))</f>
        <v/>
      </c>
      <c r="W37" s="65" t="n">
        <v>46248</v>
      </c>
      <c r="X37" s="30" t="inlineStr">
        <is>
          <t>Sunil CR</t>
        </is>
      </c>
      <c r="Y37" s="30" t="inlineStr">
        <is>
          <t>Yes</t>
        </is>
      </c>
      <c r="Z37" s="30" t="n"/>
      <c r="AA37" s="30" t="inlineStr">
        <is>
          <t>Good finish</t>
        </is>
      </c>
      <c r="AB37" s="30" t="inlineStr">
        <is>
          <t>Yes</t>
        </is>
      </c>
      <c r="AC37" s="27" t="n"/>
      <c r="AD37" s="31" t="inlineStr">
        <is>
          <t>No</t>
        </is>
      </c>
      <c r="AE37" s="32">
        <f>IF(W37="","",IF(Z37="Yes","❌ Disc",IF(Y37="No","⚠ Missing",IF(AB37="Yes","✓ OK","⚠ Check"))))</f>
        <v/>
      </c>
      <c r="AF37" s="33" t="n"/>
      <c r="AG37" s="33" t="n"/>
      <c r="AH37" s="33" t="n"/>
      <c r="AI37" s="33" t="n"/>
      <c r="AJ37" s="33" t="n"/>
      <c r="AK37" s="33" t="n"/>
      <c r="AL37" s="27" t="n"/>
      <c r="AM37" s="34" t="n"/>
      <c r="AN37" s="35">
        <f>IF(AF37="","",IF(AI37="Yes","❌ Disc",IF(AH37="No","⚠ Missing",IF(AK37="Yes","✓ OK","⚠ Check"))))</f>
        <v/>
      </c>
      <c r="AO37" s="36" t="n"/>
      <c r="AP37" s="36" t="n"/>
      <c r="AQ37" s="36" t="n"/>
      <c r="AR37" s="36" t="n"/>
      <c r="AS37" s="36" t="n"/>
      <c r="AT37" s="36" t="n"/>
      <c r="AU37" s="27" t="n"/>
      <c r="AV37" s="37" t="n"/>
      <c r="AW37" s="38">
        <f>IF(AO37="","",IF(AR37="Yes","❌ Disc",IF(AQ37="No","⚠ Missing",IF(AT37="Yes","✓ OK","⚠ Check"))))</f>
        <v/>
      </c>
    </row>
    <row r="38" ht="18" customHeight="1" s="46">
      <c r="A38" s="39" t="n">
        <v>34</v>
      </c>
      <c r="B38" s="40" t="inlineStr">
        <is>
          <t>esmbeaublue</t>
        </is>
      </c>
      <c r="C38" s="41" t="inlineStr">
        <is>
          <t>ESM Beau Blue (Matt)</t>
        </is>
      </c>
      <c r="D38" s="39" t="inlineStr">
        <is>
          <t>SPACEWOOD FURNISHERS PVT LTD</t>
        </is>
      </c>
      <c r="E38" s="43" t="n">
        <v>46125</v>
      </c>
      <c r="F38" s="26" t="inlineStr">
        <is>
          <t>Sunil CR</t>
        </is>
      </c>
      <c r="G38" s="26" t="inlineStr">
        <is>
          <t>Yes</t>
        </is>
      </c>
      <c r="H38" s="26" t="inlineStr">
        <is>
          <t>No</t>
        </is>
      </c>
      <c r="I38" s="26" t="inlineStr">
        <is>
          <t>Good finish</t>
        </is>
      </c>
      <c r="J38" s="26" t="inlineStr">
        <is>
          <t>Yes</t>
        </is>
      </c>
      <c r="K38" s="27" t="n"/>
      <c r="L38" s="28" t="inlineStr">
        <is>
          <t>No</t>
        </is>
      </c>
      <c r="M38" s="29">
        <f>IF(E38="","",IF(H38="Yes","❌ Disc",IF(G38="No","⚠ Missing",IF(J38="Yes","✓ OK","⚠ Check"))))</f>
        <v/>
      </c>
      <c r="N38" s="43" t="n">
        <v>46193</v>
      </c>
      <c r="O38" s="26" t="inlineStr">
        <is>
          <t>Sunil CR</t>
        </is>
      </c>
      <c r="P38" s="26" t="inlineStr">
        <is>
          <t>Yes</t>
        </is>
      </c>
      <c r="Q38" s="26" t="inlineStr">
        <is>
          <t>No</t>
        </is>
      </c>
      <c r="R38" s="26" t="inlineStr">
        <is>
          <t>Good finish</t>
        </is>
      </c>
      <c r="S38" s="26" t="inlineStr">
        <is>
          <t>Yes</t>
        </is>
      </c>
      <c r="T38" s="27" t="n"/>
      <c r="U38" s="28" t="inlineStr">
        <is>
          <t>No</t>
        </is>
      </c>
      <c r="V38" s="29">
        <f>IF(N38="","",IF(Q38="Yes","❌ Disc",IF(P38="No","⚠ Missing",IF(S38="Yes","✓ OK","⚠ Check"))))</f>
        <v/>
      </c>
      <c r="W38" s="65" t="n">
        <v>46248</v>
      </c>
      <c r="X38" s="30" t="inlineStr">
        <is>
          <t>Sunil CR</t>
        </is>
      </c>
      <c r="Y38" s="30" t="inlineStr">
        <is>
          <t>Yes</t>
        </is>
      </c>
      <c r="Z38" s="30" t="n"/>
      <c r="AA38" s="30" t="inlineStr">
        <is>
          <t>Good finish</t>
        </is>
      </c>
      <c r="AB38" s="30" t="inlineStr">
        <is>
          <t>Yes</t>
        </is>
      </c>
      <c r="AC38" s="27" t="n"/>
      <c r="AD38" s="31" t="inlineStr">
        <is>
          <t>No</t>
        </is>
      </c>
      <c r="AE38" s="32">
        <f>IF(W38="","",IF(Z38="Yes","❌ Disc",IF(Y38="No","⚠ Missing",IF(AB38="Yes","✓ OK","⚠ Check"))))</f>
        <v/>
      </c>
      <c r="AF38" s="33" t="n"/>
      <c r="AG38" s="33" t="n"/>
      <c r="AH38" s="33" t="n"/>
      <c r="AI38" s="33" t="n"/>
      <c r="AJ38" s="33" t="n"/>
      <c r="AK38" s="33" t="n"/>
      <c r="AL38" s="27" t="n"/>
      <c r="AM38" s="34" t="n"/>
      <c r="AN38" s="35">
        <f>IF(AF38="","",IF(AI38="Yes","❌ Disc",IF(AH38="No","⚠ Missing",IF(AK38="Yes","✓ OK","⚠ Check"))))</f>
        <v/>
      </c>
      <c r="AO38" s="36" t="n"/>
      <c r="AP38" s="36" t="n"/>
      <c r="AQ38" s="36" t="n"/>
      <c r="AR38" s="36" t="n"/>
      <c r="AS38" s="36" t="n"/>
      <c r="AT38" s="36" t="n"/>
      <c r="AU38" s="27" t="n"/>
      <c r="AV38" s="37" t="n"/>
      <c r="AW38" s="38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esmcorn-matt</t>
        </is>
      </c>
      <c r="C39" s="25" t="inlineStr">
        <is>
          <t>ESM Corn (Matt)</t>
        </is>
      </c>
      <c r="D39" s="23" t="inlineStr">
        <is>
          <t>SPACEWOOD FURNISHERS PVT LTD</t>
        </is>
      </c>
      <c r="E39" s="43" t="n">
        <v>46125</v>
      </c>
      <c r="F39" s="26" t="inlineStr">
        <is>
          <t>Sunil CR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Good finish</t>
        </is>
      </c>
      <c r="J39" s="26" t="inlineStr">
        <is>
          <t>Yes</t>
        </is>
      </c>
      <c r="K39" s="27" t="n"/>
      <c r="L39" s="28" t="inlineStr">
        <is>
          <t>No</t>
        </is>
      </c>
      <c r="M39" s="29">
        <f>IF(E39="","",IF(H39="Yes","❌ Disc",IF(G39="No","⚠ Missing",IF(J39="Yes","✓ OK","⚠ Check"))))</f>
        <v/>
      </c>
      <c r="N39" s="43" t="n">
        <v>46193</v>
      </c>
      <c r="O39" s="26" t="inlineStr">
        <is>
          <t>Sunil CR</t>
        </is>
      </c>
      <c r="P39" s="26" t="inlineStr">
        <is>
          <t>Yes</t>
        </is>
      </c>
      <c r="Q39" s="26" t="inlineStr">
        <is>
          <t>No</t>
        </is>
      </c>
      <c r="R39" s="26" t="inlineStr">
        <is>
          <t>Good finish</t>
        </is>
      </c>
      <c r="S39" s="26" t="inlineStr">
        <is>
          <t>Yes</t>
        </is>
      </c>
      <c r="T39" s="27" t="n"/>
      <c r="U39" s="28" t="inlineStr">
        <is>
          <t>No</t>
        </is>
      </c>
      <c r="V39" s="29">
        <f>IF(N39="","",IF(Q39="Yes","❌ Disc",IF(P39="No","⚠ Missing",IF(S39="Yes","✓ OK","⚠ Check"))))</f>
        <v/>
      </c>
      <c r="W39" s="65" t="n">
        <v>46248</v>
      </c>
      <c r="X39" s="30" t="inlineStr">
        <is>
          <t>Sunil CR</t>
        </is>
      </c>
      <c r="Y39" s="30" t="inlineStr">
        <is>
          <t>Yes</t>
        </is>
      </c>
      <c r="Z39" s="30" t="n"/>
      <c r="AA39" s="30" t="inlineStr">
        <is>
          <t>Good finish</t>
        </is>
      </c>
      <c r="AB39" s="30" t="inlineStr">
        <is>
          <t>Yes</t>
        </is>
      </c>
      <c r="AC39" s="27" t="n"/>
      <c r="AD39" s="31" t="inlineStr">
        <is>
          <t>No</t>
        </is>
      </c>
      <c r="AE39" s="32">
        <f>IF(W39="","",IF(Z39="Yes","❌ Disc",IF(Y39="No","⚠ Missing",IF(AB39="Yes","✓ OK","⚠ Check"))))</f>
        <v/>
      </c>
      <c r="AF39" s="33" t="n"/>
      <c r="AG39" s="33" t="n"/>
      <c r="AH39" s="33" t="n"/>
      <c r="AI39" s="33" t="n"/>
      <c r="AJ39" s="33" t="n"/>
      <c r="AK39" s="33" t="n"/>
      <c r="AL39" s="27" t="n"/>
      <c r="AM39" s="34" t="n"/>
      <c r="AN39" s="35">
        <f>IF(AF39="","",IF(AI39="Yes","❌ Disc",IF(AH39="No","⚠ Missing",IF(AK39="Yes","✓ OK","⚠ Check"))))</f>
        <v/>
      </c>
      <c r="AO39" s="36" t="n"/>
      <c r="AP39" s="36" t="n"/>
      <c r="AQ39" s="36" t="n"/>
      <c r="AR39" s="36" t="n"/>
      <c r="AS39" s="36" t="n"/>
      <c r="AT39" s="36" t="n"/>
      <c r="AU39" s="27" t="n"/>
      <c r="AV39" s="37" t="n"/>
      <c r="AW39" s="38">
        <f>IF(AO39="","",IF(AR39="Yes","❌ Disc",IF(AQ39="No","⚠ Missing",IF(AT39="Yes","✓ OK","⚠ Check"))))</f>
        <v/>
      </c>
    </row>
    <row r="40" ht="18" customHeight="1" s="46">
      <c r="A40" s="39" t="n">
        <v>36</v>
      </c>
      <c r="B40" s="40" t="inlineStr">
        <is>
          <t>esmhighlandgreen-matt</t>
        </is>
      </c>
      <c r="C40" s="41" t="inlineStr">
        <is>
          <t>ESM Highland Green (Matt)</t>
        </is>
      </c>
      <c r="D40" s="39" t="inlineStr">
        <is>
          <t>SPACEWOOD FURNISHERS PVT LTD</t>
        </is>
      </c>
      <c r="E40" s="43" t="n">
        <v>46125</v>
      </c>
      <c r="F40" s="26" t="inlineStr">
        <is>
          <t>Sunil CR</t>
        </is>
      </c>
      <c r="G40" s="26" t="inlineStr">
        <is>
          <t>Yes</t>
        </is>
      </c>
      <c r="H40" s="26" t="inlineStr">
        <is>
          <t>No</t>
        </is>
      </c>
      <c r="I40" s="26" t="inlineStr">
        <is>
          <t>Good finish</t>
        </is>
      </c>
      <c r="J40" s="26" t="inlineStr">
        <is>
          <t>Yes</t>
        </is>
      </c>
      <c r="K40" s="27" t="n"/>
      <c r="L40" s="28" t="inlineStr">
        <is>
          <t>No</t>
        </is>
      </c>
      <c r="M40" s="29">
        <f>IF(E40="","",IF(H40="Yes","❌ Disc",IF(G40="No","⚠ Missing",IF(J40="Yes","✓ OK","⚠ Check"))))</f>
        <v/>
      </c>
      <c r="N40" s="43" t="n">
        <v>46193</v>
      </c>
      <c r="O40" s="26" t="inlineStr">
        <is>
          <t>Sunil CR</t>
        </is>
      </c>
      <c r="P40" s="26" t="inlineStr">
        <is>
          <t>Yes</t>
        </is>
      </c>
      <c r="Q40" s="26" t="inlineStr">
        <is>
          <t>No</t>
        </is>
      </c>
      <c r="R40" s="26" t="inlineStr">
        <is>
          <t>Good finish</t>
        </is>
      </c>
      <c r="S40" s="26" t="inlineStr">
        <is>
          <t>Yes</t>
        </is>
      </c>
      <c r="T40" s="27" t="n"/>
      <c r="U40" s="28" t="inlineStr">
        <is>
          <t>No</t>
        </is>
      </c>
      <c r="V40" s="29">
        <f>IF(N40="","",IF(Q40="Yes","❌ Disc",IF(P40="No","⚠ Missing",IF(S40="Yes","✓ OK","⚠ Check"))))</f>
        <v/>
      </c>
      <c r="W40" s="65" t="n">
        <v>46248</v>
      </c>
      <c r="X40" s="30" t="inlineStr">
        <is>
          <t>Sunil CR</t>
        </is>
      </c>
      <c r="Y40" s="30" t="inlineStr">
        <is>
          <t>Yes</t>
        </is>
      </c>
      <c r="Z40" s="30" t="n"/>
      <c r="AA40" s="30" t="inlineStr">
        <is>
          <t>Good finish</t>
        </is>
      </c>
      <c r="AB40" s="30" t="inlineStr">
        <is>
          <t>Yes</t>
        </is>
      </c>
      <c r="AC40" s="27" t="n"/>
      <c r="AD40" s="31" t="inlineStr">
        <is>
          <t>No</t>
        </is>
      </c>
      <c r="AE40" s="32">
        <f>IF(W40="","",IF(Z40="Yes","❌ Disc",IF(Y40="No","⚠ Missing",IF(AB40="Yes","✓ OK","⚠ Check"))))</f>
        <v/>
      </c>
      <c r="AF40" s="33" t="n"/>
      <c r="AG40" s="33" t="n"/>
      <c r="AH40" s="33" t="n"/>
      <c r="AI40" s="33" t="n"/>
      <c r="AJ40" s="33" t="n"/>
      <c r="AK40" s="33" t="n"/>
      <c r="AL40" s="27" t="n"/>
      <c r="AM40" s="34" t="n"/>
      <c r="AN40" s="35">
        <f>IF(AF40="","",IF(AI40="Yes","❌ Disc",IF(AH40="No","⚠ Missing",IF(AK40="Yes","✓ OK","⚠ Check"))))</f>
        <v/>
      </c>
      <c r="AO40" s="36" t="n"/>
      <c r="AP40" s="36" t="n"/>
      <c r="AQ40" s="36" t="n"/>
      <c r="AR40" s="36" t="n"/>
      <c r="AS40" s="36" t="n"/>
      <c r="AT40" s="36" t="n"/>
      <c r="AU40" s="27" t="n"/>
      <c r="AV40" s="37" t="n"/>
      <c r="AW40" s="38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esmmarine-matt</t>
        </is>
      </c>
      <c r="C41" s="25" t="inlineStr">
        <is>
          <t>ESM Marine (Matt)</t>
        </is>
      </c>
      <c r="D41" s="23" t="inlineStr">
        <is>
          <t>SPACEWOOD FURNISHERS PVT LTD</t>
        </is>
      </c>
      <c r="E41" s="43" t="n">
        <v>46125</v>
      </c>
      <c r="F41" s="26" t="inlineStr">
        <is>
          <t>Sunil CR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Good finish</t>
        </is>
      </c>
      <c r="J41" s="26" t="inlineStr">
        <is>
          <t>Yes</t>
        </is>
      </c>
      <c r="K41" s="27" t="n"/>
      <c r="L41" s="28" t="inlineStr">
        <is>
          <t>No</t>
        </is>
      </c>
      <c r="M41" s="29">
        <f>IF(E41="","",IF(H41="Yes","❌ Disc",IF(G41="No","⚠ Missing",IF(J41="Yes","✓ OK","⚠ Check"))))</f>
        <v/>
      </c>
      <c r="N41" s="43" t="n">
        <v>46193</v>
      </c>
      <c r="O41" s="26" t="inlineStr">
        <is>
          <t>Sunil CR</t>
        </is>
      </c>
      <c r="P41" s="26" t="inlineStr">
        <is>
          <t>Yes</t>
        </is>
      </c>
      <c r="Q41" s="26" t="inlineStr">
        <is>
          <t>No</t>
        </is>
      </c>
      <c r="R41" s="26" t="inlineStr">
        <is>
          <t>Good finish</t>
        </is>
      </c>
      <c r="S41" s="26" t="inlineStr">
        <is>
          <t>Yes</t>
        </is>
      </c>
      <c r="T41" s="27" t="n"/>
      <c r="U41" s="28" t="inlineStr">
        <is>
          <t>No</t>
        </is>
      </c>
      <c r="V41" s="29">
        <f>IF(N41="","",IF(Q41="Yes","❌ Disc",IF(P41="No","⚠ Missing",IF(S41="Yes","✓ OK","⚠ Check"))))</f>
        <v/>
      </c>
      <c r="W41" s="65" t="n">
        <v>46248</v>
      </c>
      <c r="X41" s="30" t="inlineStr">
        <is>
          <t>Sunil CR</t>
        </is>
      </c>
      <c r="Y41" s="30" t="inlineStr">
        <is>
          <t>Yes</t>
        </is>
      </c>
      <c r="Z41" s="30" t="n"/>
      <c r="AA41" s="30" t="inlineStr">
        <is>
          <t>Good finish</t>
        </is>
      </c>
      <c r="AB41" s="30" t="inlineStr">
        <is>
          <t>Yes</t>
        </is>
      </c>
      <c r="AC41" s="27" t="n"/>
      <c r="AD41" s="31" t="inlineStr">
        <is>
          <t>No</t>
        </is>
      </c>
      <c r="AE41" s="32">
        <f>IF(W41="","",IF(Z41="Yes","❌ Disc",IF(Y41="No","⚠ Missing",IF(AB41="Yes","✓ OK","⚠ Check"))))</f>
        <v/>
      </c>
      <c r="AF41" s="33" t="n"/>
      <c r="AG41" s="33" t="n"/>
      <c r="AH41" s="33" t="n"/>
      <c r="AI41" s="33" t="n"/>
      <c r="AJ41" s="33" t="n"/>
      <c r="AK41" s="33" t="n"/>
      <c r="AL41" s="27" t="n"/>
      <c r="AM41" s="34" t="n"/>
      <c r="AN41" s="35">
        <f>IF(AF41="","",IF(AI41="Yes","❌ Disc",IF(AH41="No","⚠ Missing",IF(AK41="Yes","✓ OK","⚠ Check"))))</f>
        <v/>
      </c>
      <c r="AO41" s="36" t="n"/>
      <c r="AP41" s="36" t="n"/>
      <c r="AQ41" s="36" t="n"/>
      <c r="AR41" s="36" t="n"/>
      <c r="AS41" s="36" t="n"/>
      <c r="AT41" s="36" t="n"/>
      <c r="AU41" s="27" t="n"/>
      <c r="AV41" s="37" t="n"/>
      <c r="AW41" s="38">
        <f>IF(AO41="","",IF(AR41="Yes","❌ Disc",IF(AQ41="No","⚠ Missing",IF(AT41="Yes","✓ OK","⚠ Check"))))</f>
        <v/>
      </c>
    </row>
    <row r="42" ht="18" customHeight="1" s="46">
      <c r="A42" s="39" t="n">
        <v>38</v>
      </c>
      <c r="B42" s="40" t="inlineStr">
        <is>
          <t>esmriverstone-matt</t>
        </is>
      </c>
      <c r="C42" s="41" t="inlineStr">
        <is>
          <t>ESM River Stone (Matt)</t>
        </is>
      </c>
      <c r="D42" s="39" t="inlineStr">
        <is>
          <t>SPACEWOOD FURNISHERS PVT LTD</t>
        </is>
      </c>
      <c r="E42" s="43" t="n">
        <v>46125</v>
      </c>
      <c r="F42" s="26" t="inlineStr">
        <is>
          <t>Sunil CR</t>
        </is>
      </c>
      <c r="G42" s="26" t="inlineStr">
        <is>
          <t>Yes</t>
        </is>
      </c>
      <c r="H42" s="26" t="inlineStr">
        <is>
          <t>No</t>
        </is>
      </c>
      <c r="I42" s="26" t="inlineStr">
        <is>
          <t>Good finish</t>
        </is>
      </c>
      <c r="J42" s="26" t="inlineStr">
        <is>
          <t>Yes</t>
        </is>
      </c>
      <c r="K42" s="27" t="n"/>
      <c r="L42" s="28" t="inlineStr">
        <is>
          <t>No</t>
        </is>
      </c>
      <c r="M42" s="29">
        <f>IF(E42="","",IF(H42="Yes","❌ Disc",IF(G42="No","⚠ Missing",IF(J42="Yes","✓ OK","⚠ Check"))))</f>
        <v/>
      </c>
      <c r="N42" s="43" t="n">
        <v>46193</v>
      </c>
      <c r="O42" s="26" t="inlineStr">
        <is>
          <t>Sunil CR</t>
        </is>
      </c>
      <c r="P42" s="26" t="inlineStr">
        <is>
          <t>Yes</t>
        </is>
      </c>
      <c r="Q42" s="26" t="inlineStr">
        <is>
          <t>No</t>
        </is>
      </c>
      <c r="R42" s="26" t="inlineStr">
        <is>
          <t>Good finish</t>
        </is>
      </c>
      <c r="S42" s="26" t="inlineStr">
        <is>
          <t>Yes</t>
        </is>
      </c>
      <c r="T42" s="27" t="n"/>
      <c r="U42" s="28" t="inlineStr">
        <is>
          <t>No</t>
        </is>
      </c>
      <c r="V42" s="29">
        <f>IF(N42="","",IF(Q42="Yes","❌ Disc",IF(P42="No","⚠ Missing",IF(S42="Yes","✓ OK","⚠ Check"))))</f>
        <v/>
      </c>
      <c r="W42" s="65" t="n">
        <v>46248</v>
      </c>
      <c r="X42" s="30" t="inlineStr">
        <is>
          <t>Sunil CR</t>
        </is>
      </c>
      <c r="Y42" s="30" t="inlineStr">
        <is>
          <t>Yes</t>
        </is>
      </c>
      <c r="Z42" s="30" t="n"/>
      <c r="AA42" s="30" t="inlineStr">
        <is>
          <t>Good finish</t>
        </is>
      </c>
      <c r="AB42" s="30" t="inlineStr">
        <is>
          <t>Yes</t>
        </is>
      </c>
      <c r="AC42" s="27" t="n"/>
      <c r="AD42" s="31" t="inlineStr">
        <is>
          <t>No</t>
        </is>
      </c>
      <c r="AE42" s="32">
        <f>IF(W42="","",IF(Z42="Yes","❌ Disc",IF(Y42="No","⚠ Missing",IF(AB42="Yes","✓ OK","⚠ Check"))))</f>
        <v/>
      </c>
      <c r="AF42" s="33" t="n"/>
      <c r="AG42" s="33" t="n"/>
      <c r="AH42" s="33" t="n"/>
      <c r="AI42" s="33" t="n"/>
      <c r="AJ42" s="33" t="n"/>
      <c r="AK42" s="33" t="n"/>
      <c r="AL42" s="27" t="n"/>
      <c r="AM42" s="34" t="n"/>
      <c r="AN42" s="35">
        <f>IF(AF42="","",IF(AI42="Yes","❌ Disc",IF(AH42="No","⚠ Missing",IF(AK42="Yes","✓ OK","⚠ Check"))))</f>
        <v/>
      </c>
      <c r="AO42" s="36" t="n"/>
      <c r="AP42" s="36" t="n"/>
      <c r="AQ42" s="36" t="n"/>
      <c r="AR42" s="36" t="n"/>
      <c r="AS42" s="36" t="n"/>
      <c r="AT42" s="36" t="n"/>
      <c r="AU42" s="27" t="n"/>
      <c r="AV42" s="37" t="n"/>
      <c r="AW42" s="38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esmriverstonewp</t>
        </is>
      </c>
      <c r="C43" s="25" t="inlineStr">
        <is>
          <t>ESM River Stone (WP) (Matt)</t>
        </is>
      </c>
      <c r="D43" s="23" t="inlineStr">
        <is>
          <t>SPACEWOOD FURNISHERS PVT LTD</t>
        </is>
      </c>
      <c r="E43" s="43" t="n">
        <v>46125</v>
      </c>
      <c r="F43" s="26" t="inlineStr">
        <is>
          <t>Sunil CR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Good finish</t>
        </is>
      </c>
      <c r="J43" s="26" t="inlineStr">
        <is>
          <t>Yes</t>
        </is>
      </c>
      <c r="K43" s="27" t="n"/>
      <c r="L43" s="28" t="inlineStr">
        <is>
          <t>No</t>
        </is>
      </c>
      <c r="M43" s="29">
        <f>IF(E43="","",IF(H43="Yes","❌ Disc",IF(G43="No","⚠ Missing",IF(J43="Yes","✓ OK","⚠ Check"))))</f>
        <v/>
      </c>
      <c r="N43" s="43" t="n">
        <v>46193</v>
      </c>
      <c r="O43" s="26" t="inlineStr">
        <is>
          <t>Sunil CR</t>
        </is>
      </c>
      <c r="P43" s="26" t="inlineStr">
        <is>
          <t>Yes</t>
        </is>
      </c>
      <c r="Q43" s="26" t="inlineStr">
        <is>
          <t>No</t>
        </is>
      </c>
      <c r="R43" s="26" t="inlineStr">
        <is>
          <t>Good finish</t>
        </is>
      </c>
      <c r="S43" s="26" t="inlineStr">
        <is>
          <t>Yes</t>
        </is>
      </c>
      <c r="T43" s="27" t="n"/>
      <c r="U43" s="28" t="inlineStr">
        <is>
          <t>No</t>
        </is>
      </c>
      <c r="V43" s="29">
        <f>IF(N43="","",IF(Q43="Yes","❌ Disc",IF(P43="No","⚠ Missing",IF(S43="Yes","✓ OK","⚠ Check"))))</f>
        <v/>
      </c>
      <c r="W43" s="65" t="n">
        <v>46248</v>
      </c>
      <c r="X43" s="30" t="inlineStr">
        <is>
          <t>Sunil CR</t>
        </is>
      </c>
      <c r="Y43" s="30" t="inlineStr">
        <is>
          <t>Yes</t>
        </is>
      </c>
      <c r="Z43" s="30" t="n"/>
      <c r="AA43" s="30" t="inlineStr">
        <is>
          <t>Good finish</t>
        </is>
      </c>
      <c r="AB43" s="30" t="inlineStr">
        <is>
          <t>Yes</t>
        </is>
      </c>
      <c r="AC43" s="27" t="n"/>
      <c r="AD43" s="31" t="inlineStr">
        <is>
          <t>No</t>
        </is>
      </c>
      <c r="AE43" s="32">
        <f>IF(W43="","",IF(Z43="Yes","❌ Disc",IF(Y43="No","⚠ Missing",IF(AB43="Yes","✓ OK","⚠ Check"))))</f>
        <v/>
      </c>
      <c r="AF43" s="33" t="n"/>
      <c r="AG43" s="33" t="n"/>
      <c r="AH43" s="33" t="n"/>
      <c r="AI43" s="33" t="n"/>
      <c r="AJ43" s="33" t="n"/>
      <c r="AK43" s="33" t="n"/>
      <c r="AL43" s="27" t="n"/>
      <c r="AM43" s="34" t="n"/>
      <c r="AN43" s="35">
        <f>IF(AF43="","",IF(AI43="Yes","❌ Disc",IF(AH43="No","⚠ Missing",IF(AK43="Yes","✓ OK","⚠ Check"))))</f>
        <v/>
      </c>
      <c r="AO43" s="36" t="n"/>
      <c r="AP43" s="36" t="n"/>
      <c r="AQ43" s="36" t="n"/>
      <c r="AR43" s="36" t="n"/>
      <c r="AS43" s="36" t="n"/>
      <c r="AT43" s="36" t="n"/>
      <c r="AU43" s="27" t="n"/>
      <c r="AV43" s="37" t="n"/>
      <c r="AW43" s="38">
        <f>IF(AO43="","",IF(AR43="Yes","❌ Disc",IF(AQ43="No","⚠ Missing",IF(AT43="Yes","✓ OK","⚠ Check"))))</f>
        <v/>
      </c>
    </row>
    <row r="44" ht="18" customHeight="1" s="46">
      <c r="A44" s="39" t="n">
        <v>40</v>
      </c>
      <c r="B44" s="40" t="inlineStr">
        <is>
          <t>esmsaharabeige-matt</t>
        </is>
      </c>
      <c r="C44" s="41" t="inlineStr">
        <is>
          <t>ESM Sahara Beige (Matt)</t>
        </is>
      </c>
      <c r="D44" s="39" t="inlineStr">
        <is>
          <t>SPACEWOOD FURNISHERS PVT LTD</t>
        </is>
      </c>
      <c r="E44" s="43" t="n">
        <v>46125</v>
      </c>
      <c r="F44" s="26" t="inlineStr">
        <is>
          <t>Sunil CR</t>
        </is>
      </c>
      <c r="G44" s="26" t="inlineStr">
        <is>
          <t>Yes</t>
        </is>
      </c>
      <c r="H44" s="26" t="inlineStr">
        <is>
          <t>No</t>
        </is>
      </c>
      <c r="I44" s="26" t="inlineStr">
        <is>
          <t>Good finish</t>
        </is>
      </c>
      <c r="J44" s="26" t="inlineStr">
        <is>
          <t>Yes</t>
        </is>
      </c>
      <c r="K44" s="27" t="n"/>
      <c r="L44" s="28" t="inlineStr">
        <is>
          <t>No</t>
        </is>
      </c>
      <c r="M44" s="29">
        <f>IF(E44="","",IF(H44="Yes","❌ Disc",IF(G44="No","⚠ Missing",IF(J44="Yes","✓ OK","⚠ Check"))))</f>
        <v/>
      </c>
      <c r="N44" s="43" t="n">
        <v>46193</v>
      </c>
      <c r="O44" s="26" t="inlineStr">
        <is>
          <t>Sunil CR</t>
        </is>
      </c>
      <c r="P44" s="26" t="inlineStr">
        <is>
          <t>Yes</t>
        </is>
      </c>
      <c r="Q44" s="26" t="inlineStr">
        <is>
          <t>No</t>
        </is>
      </c>
      <c r="R44" s="26" t="inlineStr">
        <is>
          <t>Good finish</t>
        </is>
      </c>
      <c r="S44" s="26" t="inlineStr">
        <is>
          <t>Yes</t>
        </is>
      </c>
      <c r="T44" s="27" t="n"/>
      <c r="U44" s="28" t="inlineStr">
        <is>
          <t>No</t>
        </is>
      </c>
      <c r="V44" s="29">
        <f>IF(N44="","",IF(Q44="Yes","❌ Disc",IF(P44="No","⚠ Missing",IF(S44="Yes","✓ OK","⚠ Check"))))</f>
        <v/>
      </c>
      <c r="W44" s="65" t="n">
        <v>46248</v>
      </c>
      <c r="X44" s="30" t="inlineStr">
        <is>
          <t>Sunil CR</t>
        </is>
      </c>
      <c r="Y44" s="30" t="inlineStr">
        <is>
          <t>Yes</t>
        </is>
      </c>
      <c r="Z44" s="30" t="n"/>
      <c r="AA44" s="30" t="inlineStr">
        <is>
          <t>Good finish</t>
        </is>
      </c>
      <c r="AB44" s="30" t="inlineStr">
        <is>
          <t>Yes</t>
        </is>
      </c>
      <c r="AC44" s="27" t="n"/>
      <c r="AD44" s="31" t="inlineStr">
        <is>
          <t>No</t>
        </is>
      </c>
      <c r="AE44" s="32">
        <f>IF(W44="","",IF(Z44="Yes","❌ Disc",IF(Y44="No","⚠ Missing",IF(AB44="Yes","✓ OK","⚠ Check"))))</f>
        <v/>
      </c>
      <c r="AF44" s="33" t="n"/>
      <c r="AG44" s="33" t="n"/>
      <c r="AH44" s="33" t="n"/>
      <c r="AI44" s="33" t="n"/>
      <c r="AJ44" s="33" t="n"/>
      <c r="AK44" s="33" t="n"/>
      <c r="AL44" s="27" t="n"/>
      <c r="AM44" s="34" t="n"/>
      <c r="AN44" s="35">
        <f>IF(AF44="","",IF(AI44="Yes","❌ Disc",IF(AH44="No","⚠ Missing",IF(AK44="Yes","✓ OK","⚠ Check"))))</f>
        <v/>
      </c>
      <c r="AO44" s="36" t="n"/>
      <c r="AP44" s="36" t="n"/>
      <c r="AQ44" s="36" t="n"/>
      <c r="AR44" s="36" t="n"/>
      <c r="AS44" s="36" t="n"/>
      <c r="AT44" s="36" t="n"/>
      <c r="AU44" s="27" t="n"/>
      <c r="AV44" s="37" t="n"/>
      <c r="AW44" s="38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esmsandsatin-matt</t>
        </is>
      </c>
      <c r="C45" s="25" t="inlineStr">
        <is>
          <t>ESM Sand Satin (Matt)</t>
        </is>
      </c>
      <c r="D45" s="23" t="inlineStr">
        <is>
          <t>SPACEWOOD FURNISHERS PVT LTD</t>
        </is>
      </c>
      <c r="E45" s="43" t="n">
        <v>46125</v>
      </c>
      <c r="F45" s="26" t="inlineStr">
        <is>
          <t>Sunil CR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Good finish</t>
        </is>
      </c>
      <c r="J45" s="26" t="inlineStr">
        <is>
          <t>Yes</t>
        </is>
      </c>
      <c r="K45" s="27" t="n"/>
      <c r="L45" s="28" t="inlineStr">
        <is>
          <t>No</t>
        </is>
      </c>
      <c r="M45" s="29">
        <f>IF(E45="","",IF(H45="Yes","❌ Disc",IF(G45="No","⚠ Missing",IF(J45="Yes","✓ OK","⚠ Check"))))</f>
        <v/>
      </c>
      <c r="N45" s="43" t="n">
        <v>46193</v>
      </c>
      <c r="O45" s="26" t="inlineStr">
        <is>
          <t>Sunil CR</t>
        </is>
      </c>
      <c r="P45" s="26" t="inlineStr">
        <is>
          <t>Yes</t>
        </is>
      </c>
      <c r="Q45" s="26" t="inlineStr">
        <is>
          <t>No</t>
        </is>
      </c>
      <c r="R45" s="26" t="inlineStr">
        <is>
          <t>Good finish</t>
        </is>
      </c>
      <c r="S45" s="26" t="inlineStr">
        <is>
          <t>Yes</t>
        </is>
      </c>
      <c r="T45" s="27" t="n"/>
      <c r="U45" s="28" t="inlineStr">
        <is>
          <t>No</t>
        </is>
      </c>
      <c r="V45" s="29">
        <f>IF(N45="","",IF(Q45="Yes","❌ Disc",IF(P45="No","⚠ Missing",IF(S45="Yes","✓ OK","⚠ Check"))))</f>
        <v/>
      </c>
      <c r="W45" s="65" t="n">
        <v>46248</v>
      </c>
      <c r="X45" s="30" t="inlineStr">
        <is>
          <t>Sunil CR</t>
        </is>
      </c>
      <c r="Y45" s="30" t="inlineStr">
        <is>
          <t>Yes</t>
        </is>
      </c>
      <c r="Z45" s="30" t="n"/>
      <c r="AA45" s="30" t="inlineStr">
        <is>
          <t>Good finish</t>
        </is>
      </c>
      <c r="AB45" s="30" t="inlineStr">
        <is>
          <t>Yes</t>
        </is>
      </c>
      <c r="AC45" s="27" t="n"/>
      <c r="AD45" s="31" t="inlineStr">
        <is>
          <t>No</t>
        </is>
      </c>
      <c r="AE45" s="32">
        <f>IF(W45="","",IF(Z45="Yes","❌ Disc",IF(Y45="No","⚠ Missing",IF(AB45="Yes","✓ OK","⚠ Check"))))</f>
        <v/>
      </c>
      <c r="AF45" s="33" t="n"/>
      <c r="AG45" s="33" t="n"/>
      <c r="AH45" s="33" t="n"/>
      <c r="AI45" s="33" t="n"/>
      <c r="AJ45" s="33" t="n"/>
      <c r="AK45" s="33" t="n"/>
      <c r="AL45" s="27" t="n"/>
      <c r="AM45" s="34" t="n"/>
      <c r="AN45" s="35">
        <f>IF(AF45="","",IF(AI45="Yes","❌ Disc",IF(AH45="No","⚠ Missing",IF(AK45="Yes","✓ OK","⚠ Check"))))</f>
        <v/>
      </c>
      <c r="AO45" s="36" t="n"/>
      <c r="AP45" s="36" t="n"/>
      <c r="AQ45" s="36" t="n"/>
      <c r="AR45" s="36" t="n"/>
      <c r="AS45" s="36" t="n"/>
      <c r="AT45" s="36" t="n"/>
      <c r="AU45" s="27" t="n"/>
      <c r="AV45" s="37" t="n"/>
      <c r="AW45" s="38">
        <f>IF(AO45="","",IF(AR45="Yes","❌ Disc",IF(AQ45="No","⚠ Missing",IF(AT45="Yes","✓ OK","⚠ Check"))))</f>
        <v/>
      </c>
    </row>
    <row r="46" ht="18" customHeight="1" s="46">
      <c r="A46" s="39" t="n">
        <v>42</v>
      </c>
      <c r="B46" s="40" t="inlineStr">
        <is>
          <t>fumedoak-matt</t>
        </is>
      </c>
      <c r="C46" s="41" t="inlineStr">
        <is>
          <t>Fumed Oak (Matt)</t>
        </is>
      </c>
      <c r="D46" s="39" t="inlineStr">
        <is>
          <t>SPACEWOOD FURNISHERS PVT LTD</t>
        </is>
      </c>
      <c r="E46" s="43" t="n">
        <v>46125</v>
      </c>
      <c r="F46" s="26" t="inlineStr">
        <is>
          <t>Sunil CR</t>
        </is>
      </c>
      <c r="G46" s="26" t="inlineStr">
        <is>
          <t>Yes</t>
        </is>
      </c>
      <c r="H46" s="26" t="inlineStr">
        <is>
          <t>No</t>
        </is>
      </c>
      <c r="I46" s="26" t="inlineStr">
        <is>
          <t>Good finish</t>
        </is>
      </c>
      <c r="J46" s="26" t="inlineStr">
        <is>
          <t>Yes</t>
        </is>
      </c>
      <c r="K46" s="27" t="n"/>
      <c r="L46" s="28" t="inlineStr">
        <is>
          <t>No</t>
        </is>
      </c>
      <c r="M46" s="29">
        <f>IF(E46="","",IF(H46="Yes","❌ Disc",IF(G46="No","⚠ Missing",IF(J46="Yes","✓ OK","⚠ Check"))))</f>
        <v/>
      </c>
      <c r="N46" s="43" t="n">
        <v>46193</v>
      </c>
      <c r="O46" s="26" t="inlineStr">
        <is>
          <t>Sunil CR</t>
        </is>
      </c>
      <c r="P46" s="26" t="inlineStr">
        <is>
          <t>Yes</t>
        </is>
      </c>
      <c r="Q46" s="26" t="inlineStr">
        <is>
          <t>No</t>
        </is>
      </c>
      <c r="R46" s="26" t="inlineStr">
        <is>
          <t>Good finish</t>
        </is>
      </c>
      <c r="S46" s="26" t="inlineStr">
        <is>
          <t>Yes</t>
        </is>
      </c>
      <c r="T46" s="27" t="n"/>
      <c r="U46" s="28" t="inlineStr">
        <is>
          <t>No</t>
        </is>
      </c>
      <c r="V46" s="29">
        <f>IF(N46="","",IF(Q46="Yes","❌ Disc",IF(P46="No","⚠ Missing",IF(S46="Yes","✓ OK","⚠ Check"))))</f>
        <v/>
      </c>
      <c r="W46" s="65" t="n">
        <v>46248</v>
      </c>
      <c r="X46" s="30" t="inlineStr">
        <is>
          <t>Sunil CR</t>
        </is>
      </c>
      <c r="Y46" s="30" t="inlineStr">
        <is>
          <t>Yes</t>
        </is>
      </c>
      <c r="Z46" s="30" t="n"/>
      <c r="AA46" s="30" t="inlineStr">
        <is>
          <t>Good finish</t>
        </is>
      </c>
      <c r="AB46" s="30" t="inlineStr">
        <is>
          <t>Yes</t>
        </is>
      </c>
      <c r="AC46" s="27" t="n"/>
      <c r="AD46" s="31" t="inlineStr">
        <is>
          <t>No</t>
        </is>
      </c>
      <c r="AE46" s="32">
        <f>IF(W46="","",IF(Z46="Yes","❌ Disc",IF(Y46="No","⚠ Missing",IF(AB46="Yes","✓ OK","⚠ Check"))))</f>
        <v/>
      </c>
      <c r="AF46" s="33" t="n"/>
      <c r="AG46" s="33" t="n"/>
      <c r="AH46" s="33" t="n"/>
      <c r="AI46" s="33" t="n"/>
      <c r="AJ46" s="33" t="n"/>
      <c r="AK46" s="33" t="n"/>
      <c r="AL46" s="27" t="n"/>
      <c r="AM46" s="34" t="n"/>
      <c r="AN46" s="35">
        <f>IF(AF46="","",IF(AI46="Yes","❌ Disc",IF(AH46="No","⚠ Missing",IF(AK46="Yes","✓ OK","⚠ Check"))))</f>
        <v/>
      </c>
      <c r="AO46" s="36" t="n"/>
      <c r="AP46" s="36" t="n"/>
      <c r="AQ46" s="36" t="n"/>
      <c r="AR46" s="36" t="n"/>
      <c r="AS46" s="36" t="n"/>
      <c r="AT46" s="36" t="n"/>
      <c r="AU46" s="27" t="n"/>
      <c r="AV46" s="37" t="n"/>
      <c r="AW46" s="38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highlandgreen-matt</t>
        </is>
      </c>
      <c r="C47" s="25" t="inlineStr">
        <is>
          <t>Highland Green (Matt)</t>
        </is>
      </c>
      <c r="D47" s="23" t="inlineStr">
        <is>
          <t>SPACEWOOD FURNISHERS PVT LTD</t>
        </is>
      </c>
      <c r="E47" s="43" t="n">
        <v>46125</v>
      </c>
      <c r="F47" s="26" t="inlineStr">
        <is>
          <t>Sunil CR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Good finish</t>
        </is>
      </c>
      <c r="J47" s="26" t="inlineStr">
        <is>
          <t>Yes</t>
        </is>
      </c>
      <c r="K47" s="27" t="n"/>
      <c r="L47" s="28" t="inlineStr">
        <is>
          <t>No</t>
        </is>
      </c>
      <c r="M47" s="29">
        <f>IF(E47="","",IF(H47="Yes","❌ Disc",IF(G47="No","⚠ Missing",IF(J47="Yes","✓ OK","⚠ Check"))))</f>
        <v/>
      </c>
      <c r="N47" s="43" t="n">
        <v>46193</v>
      </c>
      <c r="O47" s="26" t="inlineStr">
        <is>
          <t>Sunil CR</t>
        </is>
      </c>
      <c r="P47" s="26" t="inlineStr">
        <is>
          <t>Yes</t>
        </is>
      </c>
      <c r="Q47" s="26" t="inlineStr">
        <is>
          <t>No</t>
        </is>
      </c>
      <c r="R47" s="26" t="inlineStr">
        <is>
          <t>Good finish</t>
        </is>
      </c>
      <c r="S47" s="26" t="inlineStr">
        <is>
          <t>Yes</t>
        </is>
      </c>
      <c r="T47" s="27" t="n"/>
      <c r="U47" s="28" t="inlineStr">
        <is>
          <t>No</t>
        </is>
      </c>
      <c r="V47" s="29">
        <f>IF(N47="","",IF(Q47="Yes","❌ Disc",IF(P47="No","⚠ Missing",IF(S47="Yes","✓ OK","⚠ Check"))))</f>
        <v/>
      </c>
      <c r="W47" s="65" t="n">
        <v>46248</v>
      </c>
      <c r="X47" s="30" t="inlineStr">
        <is>
          <t>Sunil CR</t>
        </is>
      </c>
      <c r="Y47" s="30" t="inlineStr">
        <is>
          <t>Yes</t>
        </is>
      </c>
      <c r="Z47" s="30" t="n"/>
      <c r="AA47" s="30" t="inlineStr">
        <is>
          <t>Good finish</t>
        </is>
      </c>
      <c r="AB47" s="30" t="inlineStr">
        <is>
          <t>Yes</t>
        </is>
      </c>
      <c r="AC47" s="27" t="n"/>
      <c r="AD47" s="31" t="inlineStr">
        <is>
          <t>No</t>
        </is>
      </c>
      <c r="AE47" s="32">
        <f>IF(W47="","",IF(Z47="Yes","❌ Disc",IF(Y47="No","⚠ Missing",IF(AB47="Yes","✓ OK","⚠ Check"))))</f>
        <v/>
      </c>
      <c r="AF47" s="33" t="n"/>
      <c r="AG47" s="33" t="n"/>
      <c r="AH47" s="33" t="n"/>
      <c r="AI47" s="33" t="n"/>
      <c r="AJ47" s="33" t="n"/>
      <c r="AK47" s="33" t="n"/>
      <c r="AL47" s="27" t="n"/>
      <c r="AM47" s="34" t="n"/>
      <c r="AN47" s="35">
        <f>IF(AF47="","",IF(AI47="Yes","❌ Disc",IF(AH47="No","⚠ Missing",IF(AK47="Yes","✓ OK","⚠ Check"))))</f>
        <v/>
      </c>
      <c r="AO47" s="36" t="n"/>
      <c r="AP47" s="36" t="n"/>
      <c r="AQ47" s="36" t="n"/>
      <c r="AR47" s="36" t="n"/>
      <c r="AS47" s="36" t="n"/>
      <c r="AT47" s="36" t="n"/>
      <c r="AU47" s="27" t="n"/>
      <c r="AV47" s="37" t="n"/>
      <c r="AW47" s="38">
        <f>IF(AO47="","",IF(AR47="Yes","❌ Disc",IF(AQ47="No","⚠ Missing",IF(AT47="Yes","✓ OK","⚠ Check"))))</f>
        <v/>
      </c>
    </row>
    <row r="48" ht="18" customHeight="1" s="46">
      <c r="A48" s="39" t="n">
        <v>44</v>
      </c>
      <c r="B48" s="40" t="inlineStr">
        <is>
          <t>indigobluepaintflowpremier-matt</t>
        </is>
      </c>
      <c r="C48" s="41" t="inlineStr">
        <is>
          <t>Indigo Blue Paint Flow Premier (Matt)</t>
        </is>
      </c>
      <c r="D48" s="39" t="inlineStr">
        <is>
          <t>SPACEWOOD FURNISHERS PVT LTD</t>
        </is>
      </c>
      <c r="E48" s="43" t="n">
        <v>46125</v>
      </c>
      <c r="F48" s="26" t="inlineStr">
        <is>
          <t>Sunil CR</t>
        </is>
      </c>
      <c r="G48" s="26" t="inlineStr">
        <is>
          <t>Yes</t>
        </is>
      </c>
      <c r="H48" s="26" t="inlineStr">
        <is>
          <t>No</t>
        </is>
      </c>
      <c r="I48" s="26" t="inlineStr">
        <is>
          <t>Good finish</t>
        </is>
      </c>
      <c r="J48" s="26" t="inlineStr">
        <is>
          <t>Yes</t>
        </is>
      </c>
      <c r="K48" s="27" t="n"/>
      <c r="L48" s="28" t="inlineStr">
        <is>
          <t>No</t>
        </is>
      </c>
      <c r="M48" s="29">
        <f>IF(E48="","",IF(H48="Yes","❌ Disc",IF(G48="No","⚠ Missing",IF(J48="Yes","✓ OK","⚠ Check"))))</f>
        <v/>
      </c>
      <c r="N48" s="43" t="n">
        <v>46193</v>
      </c>
      <c r="O48" s="26" t="inlineStr">
        <is>
          <t>Sunil CR</t>
        </is>
      </c>
      <c r="P48" s="26" t="inlineStr">
        <is>
          <t>Yes</t>
        </is>
      </c>
      <c r="Q48" s="26" t="inlineStr">
        <is>
          <t>No</t>
        </is>
      </c>
      <c r="R48" s="26" t="inlineStr">
        <is>
          <t>Good finish</t>
        </is>
      </c>
      <c r="S48" s="26" t="inlineStr">
        <is>
          <t>Yes</t>
        </is>
      </c>
      <c r="T48" s="27" t="n"/>
      <c r="U48" s="28" t="inlineStr">
        <is>
          <t>No</t>
        </is>
      </c>
      <c r="V48" s="29">
        <f>IF(N48="","",IF(Q48="Yes","❌ Disc",IF(P48="No","⚠ Missing",IF(S48="Yes","✓ OK","⚠ Check"))))</f>
        <v/>
      </c>
      <c r="W48" s="65" t="n">
        <v>46248</v>
      </c>
      <c r="X48" s="30" t="inlineStr">
        <is>
          <t>Sunil CR</t>
        </is>
      </c>
      <c r="Y48" s="30" t="inlineStr">
        <is>
          <t>Yes</t>
        </is>
      </c>
      <c r="Z48" s="30" t="n"/>
      <c r="AA48" s="30" t="inlineStr">
        <is>
          <t>Good finish</t>
        </is>
      </c>
      <c r="AB48" s="30" t="inlineStr">
        <is>
          <t>Yes</t>
        </is>
      </c>
      <c r="AC48" s="27" t="n"/>
      <c r="AD48" s="31" t="inlineStr">
        <is>
          <t>No</t>
        </is>
      </c>
      <c r="AE48" s="32">
        <f>IF(W48="","",IF(Z48="Yes","❌ Disc",IF(Y48="No","⚠ Missing",IF(AB48="Yes","✓ OK","⚠ Check"))))</f>
        <v/>
      </c>
      <c r="AF48" s="33" t="n"/>
      <c r="AG48" s="33" t="n"/>
      <c r="AH48" s="33" t="n"/>
      <c r="AI48" s="33" t="n"/>
      <c r="AJ48" s="33" t="n"/>
      <c r="AK48" s="33" t="n"/>
      <c r="AL48" s="27" t="n"/>
      <c r="AM48" s="34" t="n"/>
      <c r="AN48" s="35">
        <f>IF(AF48="","",IF(AI48="Yes","❌ Disc",IF(AH48="No","⚠ Missing",IF(AK48="Yes","✓ OK","⚠ Check"))))</f>
        <v/>
      </c>
      <c r="AO48" s="36" t="n"/>
      <c r="AP48" s="36" t="n"/>
      <c r="AQ48" s="36" t="n"/>
      <c r="AR48" s="36" t="n"/>
      <c r="AS48" s="36" t="n"/>
      <c r="AT48" s="36" t="n"/>
      <c r="AU48" s="27" t="n"/>
      <c r="AV48" s="37" t="n"/>
      <c r="AW48" s="38">
        <f>IF(AO48="","",IF(AR48="Yes","❌ Disc",IF(AQ48="No","⚠ Missing",IF(AT48="Yes","✓ OK","⚠ Check"))))</f>
        <v/>
      </c>
    </row>
    <row r="49" ht="18" customHeight="1" s="46">
      <c r="A49" s="23" t="n">
        <v>45</v>
      </c>
      <c r="B49" s="24" t="inlineStr">
        <is>
          <t>lagoon-highgloss</t>
        </is>
      </c>
      <c r="C49" s="25" t="inlineStr">
        <is>
          <t>Lagoon (High Gloss)</t>
        </is>
      </c>
      <c r="D49" s="23" t="inlineStr">
        <is>
          <t>SPACEWOOD FURNISHERS PVT LTD</t>
        </is>
      </c>
      <c r="E49" s="43" t="n">
        <v>46125</v>
      </c>
      <c r="F49" s="26" t="inlineStr">
        <is>
          <t>Sunil CR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Good finish</t>
        </is>
      </c>
      <c r="J49" s="26" t="inlineStr">
        <is>
          <t>Yes</t>
        </is>
      </c>
      <c r="K49" s="27" t="n"/>
      <c r="L49" s="28" t="inlineStr">
        <is>
          <t>No</t>
        </is>
      </c>
      <c r="M49" s="29">
        <f>IF(E49="","",IF(H49="Yes","❌ Disc",IF(G49="No","⚠ Missing",IF(J49="Yes","✓ OK","⚠ Check"))))</f>
        <v/>
      </c>
      <c r="N49" s="43" t="n">
        <v>46193</v>
      </c>
      <c r="O49" s="26" t="inlineStr">
        <is>
          <t>Sunil CR</t>
        </is>
      </c>
      <c r="P49" s="26" t="inlineStr">
        <is>
          <t>Yes</t>
        </is>
      </c>
      <c r="Q49" s="26" t="inlineStr">
        <is>
          <t>No</t>
        </is>
      </c>
      <c r="R49" s="26" t="inlineStr">
        <is>
          <t>Good finish</t>
        </is>
      </c>
      <c r="S49" s="26" t="inlineStr">
        <is>
          <t>Yes</t>
        </is>
      </c>
      <c r="T49" s="27" t="n"/>
      <c r="U49" s="28" t="inlineStr">
        <is>
          <t>No</t>
        </is>
      </c>
      <c r="V49" s="29">
        <f>IF(N49="","",IF(Q49="Yes","❌ Disc",IF(P49="No","⚠ Missing",IF(S49="Yes","✓ OK","⚠ Check"))))</f>
        <v/>
      </c>
      <c r="W49" s="65" t="n">
        <v>46248</v>
      </c>
      <c r="X49" s="30" t="inlineStr">
        <is>
          <t>Sunil CR</t>
        </is>
      </c>
      <c r="Y49" s="30" t="inlineStr">
        <is>
          <t>Yes</t>
        </is>
      </c>
      <c r="Z49" s="30" t="n"/>
      <c r="AA49" s="30" t="inlineStr">
        <is>
          <t>Good finish</t>
        </is>
      </c>
      <c r="AB49" s="30" t="inlineStr">
        <is>
          <t>Yes</t>
        </is>
      </c>
      <c r="AC49" s="27" t="n"/>
      <c r="AD49" s="31" t="inlineStr">
        <is>
          <t>No</t>
        </is>
      </c>
      <c r="AE49" s="32">
        <f>IF(W49="","",IF(Z49="Yes","❌ Disc",IF(Y49="No","⚠ Missing",IF(AB49="Yes","✓ OK","⚠ Check"))))</f>
        <v/>
      </c>
      <c r="AF49" s="33" t="n"/>
      <c r="AG49" s="33" t="n"/>
      <c r="AH49" s="33" t="n"/>
      <c r="AI49" s="33" t="n"/>
      <c r="AJ49" s="33" t="n"/>
      <c r="AK49" s="33" t="n"/>
      <c r="AL49" s="27" t="n"/>
      <c r="AM49" s="34" t="n"/>
      <c r="AN49" s="35">
        <f>IF(AF49="","",IF(AI49="Yes","❌ Disc",IF(AH49="No","⚠ Missing",IF(AK49="Yes","✓ OK","⚠ Check"))))</f>
        <v/>
      </c>
      <c r="AO49" s="36" t="n"/>
      <c r="AP49" s="36" t="n"/>
      <c r="AQ49" s="36" t="n"/>
      <c r="AR49" s="36" t="n"/>
      <c r="AS49" s="36" t="n"/>
      <c r="AT49" s="36" t="n"/>
      <c r="AU49" s="27" t="n"/>
      <c r="AV49" s="37" t="n"/>
      <c r="AW49" s="38">
        <f>IF(AO49="","",IF(AR49="Yes","❌ Disc",IF(AQ49="No","⚠ Missing",IF(AT49="Yes","✓ OK","⚠ Check"))))</f>
        <v/>
      </c>
    </row>
    <row r="50" ht="18" customHeight="1" s="46">
      <c r="A50" s="39" t="n">
        <v>46</v>
      </c>
      <c r="B50" s="40" t="inlineStr">
        <is>
          <t>lightgreypremier-matt</t>
        </is>
      </c>
      <c r="C50" s="41" t="inlineStr">
        <is>
          <t>Light Grey Premier (Matt)</t>
        </is>
      </c>
      <c r="D50" s="39" t="inlineStr">
        <is>
          <t>SPACEWOOD FURNISHERS PVT LTD</t>
        </is>
      </c>
      <c r="E50" s="43" t="n">
        <v>46125</v>
      </c>
      <c r="F50" s="26" t="inlineStr">
        <is>
          <t>Sunil CR</t>
        </is>
      </c>
      <c r="G50" s="26" t="inlineStr">
        <is>
          <t>Yes</t>
        </is>
      </c>
      <c r="H50" s="26" t="inlineStr">
        <is>
          <t>No</t>
        </is>
      </c>
      <c r="I50" s="26" t="inlineStr">
        <is>
          <t>Good finish</t>
        </is>
      </c>
      <c r="J50" s="26" t="inlineStr">
        <is>
          <t>Yes</t>
        </is>
      </c>
      <c r="K50" s="27" t="n"/>
      <c r="L50" s="28" t="inlineStr">
        <is>
          <t>No</t>
        </is>
      </c>
      <c r="M50" s="29">
        <f>IF(E50="","",IF(H50="Yes","❌ Disc",IF(G50="No","⚠ Missing",IF(J50="Yes","✓ OK","⚠ Check"))))</f>
        <v/>
      </c>
      <c r="N50" s="43" t="n">
        <v>46193</v>
      </c>
      <c r="O50" s="26" t="inlineStr">
        <is>
          <t>Sunil CR</t>
        </is>
      </c>
      <c r="P50" s="26" t="inlineStr">
        <is>
          <t>Yes</t>
        </is>
      </c>
      <c r="Q50" s="26" t="inlineStr">
        <is>
          <t>No</t>
        </is>
      </c>
      <c r="R50" s="26" t="inlineStr">
        <is>
          <t>Good finish</t>
        </is>
      </c>
      <c r="S50" s="26" t="inlineStr">
        <is>
          <t>Yes</t>
        </is>
      </c>
      <c r="T50" s="27" t="n"/>
      <c r="U50" s="28" t="inlineStr">
        <is>
          <t>No</t>
        </is>
      </c>
      <c r="V50" s="29">
        <f>IF(N50="","",IF(Q50="Yes","❌ Disc",IF(P50="No","⚠ Missing",IF(S50="Yes","✓ OK","⚠ Check"))))</f>
        <v/>
      </c>
      <c r="W50" s="65" t="n">
        <v>46248</v>
      </c>
      <c r="X50" s="30" t="inlineStr">
        <is>
          <t>Sunil CR</t>
        </is>
      </c>
      <c r="Y50" s="30" t="inlineStr">
        <is>
          <t>Yes</t>
        </is>
      </c>
      <c r="Z50" s="30" t="n"/>
      <c r="AA50" s="30" t="inlineStr">
        <is>
          <t>Good finish</t>
        </is>
      </c>
      <c r="AB50" s="30" t="inlineStr">
        <is>
          <t>Yes</t>
        </is>
      </c>
      <c r="AC50" s="27" t="n"/>
      <c r="AD50" s="31" t="inlineStr">
        <is>
          <t>No</t>
        </is>
      </c>
      <c r="AE50" s="32">
        <f>IF(W50="","",IF(Z50="Yes","❌ Disc",IF(Y50="No","⚠ Missing",IF(AB50="Yes","✓ OK","⚠ Check"))))</f>
        <v/>
      </c>
      <c r="AF50" s="33" t="n"/>
      <c r="AG50" s="33" t="n"/>
      <c r="AH50" s="33" t="n"/>
      <c r="AI50" s="33" t="n"/>
      <c r="AJ50" s="33" t="n"/>
      <c r="AK50" s="33" t="n"/>
      <c r="AL50" s="27" t="n"/>
      <c r="AM50" s="34" t="n"/>
      <c r="AN50" s="35">
        <f>IF(AF50="","",IF(AI50="Yes","❌ Disc",IF(AH50="No","⚠ Missing",IF(AK50="Yes","✓ OK","⚠ Check"))))</f>
        <v/>
      </c>
      <c r="AO50" s="36" t="n"/>
      <c r="AP50" s="36" t="n"/>
      <c r="AQ50" s="36" t="n"/>
      <c r="AR50" s="36" t="n"/>
      <c r="AS50" s="36" t="n"/>
      <c r="AT50" s="36" t="n"/>
      <c r="AU50" s="27" t="n"/>
      <c r="AV50" s="37" t="n"/>
      <c r="AW50" s="38">
        <f>IF(AO50="","",IF(AR50="Yes","❌ Disc",IF(AQ50="No","⚠ Missing",IF(AT50="Yes","✓ OK","⚠ Check"))))</f>
        <v/>
      </c>
    </row>
    <row r="51" ht="18" customHeight="1" s="46">
      <c r="A51" s="23" t="n">
        <v>47</v>
      </c>
      <c r="B51" s="24" t="inlineStr">
        <is>
          <t>marbledark(brown)-matt</t>
        </is>
      </c>
      <c r="C51" s="25" t="inlineStr">
        <is>
          <t>Marble Dark (Brown) (Matt)</t>
        </is>
      </c>
      <c r="D51" s="23" t="inlineStr">
        <is>
          <t>SPACEWOOD FURNISHERS PVT LTD</t>
        </is>
      </c>
      <c r="E51" s="43" t="n">
        <v>46125</v>
      </c>
      <c r="F51" s="26" t="inlineStr">
        <is>
          <t>Sunil CR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Good finish</t>
        </is>
      </c>
      <c r="J51" s="26" t="inlineStr">
        <is>
          <t>Yes</t>
        </is>
      </c>
      <c r="K51" s="27" t="n"/>
      <c r="L51" s="28" t="inlineStr">
        <is>
          <t>No</t>
        </is>
      </c>
      <c r="M51" s="29">
        <f>IF(E51="","",IF(H51="Yes","❌ Disc",IF(G51="No","⚠ Missing",IF(J51="Yes","✓ OK","⚠ Check"))))</f>
        <v/>
      </c>
      <c r="N51" s="43" t="n">
        <v>46193</v>
      </c>
      <c r="O51" s="26" t="inlineStr">
        <is>
          <t>Sunil CR</t>
        </is>
      </c>
      <c r="P51" s="26" t="inlineStr">
        <is>
          <t>Yes</t>
        </is>
      </c>
      <c r="Q51" s="26" t="inlineStr">
        <is>
          <t>No</t>
        </is>
      </c>
      <c r="R51" s="26" t="inlineStr">
        <is>
          <t>Good finish</t>
        </is>
      </c>
      <c r="S51" s="26" t="inlineStr">
        <is>
          <t>Yes</t>
        </is>
      </c>
      <c r="T51" s="27" t="n"/>
      <c r="U51" s="28" t="inlineStr">
        <is>
          <t>No</t>
        </is>
      </c>
      <c r="V51" s="29">
        <f>IF(N51="","",IF(Q51="Yes","❌ Disc",IF(P51="No","⚠ Missing",IF(S51="Yes","✓ OK","⚠ Check"))))</f>
        <v/>
      </c>
      <c r="W51" s="65" t="n">
        <v>46248</v>
      </c>
      <c r="X51" s="30" t="inlineStr">
        <is>
          <t>Sunil CR</t>
        </is>
      </c>
      <c r="Y51" s="30" t="inlineStr">
        <is>
          <t>Yes</t>
        </is>
      </c>
      <c r="Z51" s="30" t="n"/>
      <c r="AA51" s="30" t="inlineStr">
        <is>
          <t>Good finish</t>
        </is>
      </c>
      <c r="AB51" s="30" t="inlineStr">
        <is>
          <t>Yes</t>
        </is>
      </c>
      <c r="AC51" s="27" t="n"/>
      <c r="AD51" s="31" t="inlineStr">
        <is>
          <t>No</t>
        </is>
      </c>
      <c r="AE51" s="32">
        <f>IF(W51="","",IF(Z51="Yes","❌ Disc",IF(Y51="No","⚠ Missing",IF(AB51="Yes","✓ OK","⚠ Check"))))</f>
        <v/>
      </c>
      <c r="AF51" s="33" t="n"/>
      <c r="AG51" s="33" t="n"/>
      <c r="AH51" s="33" t="n"/>
      <c r="AI51" s="33" t="n"/>
      <c r="AJ51" s="33" t="n"/>
      <c r="AK51" s="33" t="n"/>
      <c r="AL51" s="27" t="n"/>
      <c r="AM51" s="34" t="n"/>
      <c r="AN51" s="35">
        <f>IF(AF51="","",IF(AI51="Yes","❌ Disc",IF(AH51="No","⚠ Missing",IF(AK51="Yes","✓ OK","⚠ Check"))))</f>
        <v/>
      </c>
      <c r="AO51" s="36" t="n"/>
      <c r="AP51" s="36" t="n"/>
      <c r="AQ51" s="36" t="n"/>
      <c r="AR51" s="36" t="n"/>
      <c r="AS51" s="36" t="n"/>
      <c r="AT51" s="36" t="n"/>
      <c r="AU51" s="27" t="n"/>
      <c r="AV51" s="37" t="n"/>
      <c r="AW51" s="38">
        <f>IF(AO51="","",IF(AR51="Yes","❌ Disc",IF(AQ51="No","⚠ Missing",IF(AT51="Yes","✓ OK","⚠ Check"))))</f>
        <v/>
      </c>
    </row>
    <row r="52" ht="18" customHeight="1" s="46">
      <c r="A52" s="39" t="n">
        <v>48</v>
      </c>
      <c r="B52" s="40" t="inlineStr">
        <is>
          <t>MEM Amatic PD</t>
        </is>
      </c>
      <c r="C52" s="41" t="inlineStr">
        <is>
          <t>MEM Amati PD Matt (RM-3)</t>
        </is>
      </c>
      <c r="D52" s="39" t="inlineStr">
        <is>
          <t>SPACEWOOD FURNISHERS PVT LTD</t>
        </is>
      </c>
      <c r="E52" s="43" t="n">
        <v>46125</v>
      </c>
      <c r="F52" s="26" t="inlineStr">
        <is>
          <t>Sunil CR</t>
        </is>
      </c>
      <c r="G52" s="26" t="inlineStr">
        <is>
          <t>Yes</t>
        </is>
      </c>
      <c r="H52" s="26" t="inlineStr">
        <is>
          <t>No</t>
        </is>
      </c>
      <c r="I52" s="26" t="inlineStr">
        <is>
          <t>Good finish</t>
        </is>
      </c>
      <c r="J52" s="26" t="inlineStr">
        <is>
          <t>Yes</t>
        </is>
      </c>
      <c r="K52" s="27" t="n"/>
      <c r="L52" s="28" t="inlineStr">
        <is>
          <t>No</t>
        </is>
      </c>
      <c r="M52" s="29">
        <f>IF(E52="","",IF(H52="Yes","❌ Disc",IF(G52="No","⚠ Missing",IF(J52="Yes","✓ OK","⚠ Check"))))</f>
        <v/>
      </c>
      <c r="N52" s="43" t="n">
        <v>46193</v>
      </c>
      <c r="O52" s="26" t="inlineStr">
        <is>
          <t>Sunil CR</t>
        </is>
      </c>
      <c r="P52" s="26" t="inlineStr">
        <is>
          <t>Yes</t>
        </is>
      </c>
      <c r="Q52" s="26" t="inlineStr">
        <is>
          <t>No</t>
        </is>
      </c>
      <c r="R52" s="26" t="inlineStr">
        <is>
          <t>Good finish</t>
        </is>
      </c>
      <c r="S52" s="26" t="inlineStr">
        <is>
          <t>Yes</t>
        </is>
      </c>
      <c r="T52" s="27" t="n"/>
      <c r="U52" s="28" t="inlineStr">
        <is>
          <t>No</t>
        </is>
      </c>
      <c r="V52" s="29">
        <f>IF(N52="","",IF(Q52="Yes","❌ Disc",IF(P52="No","⚠ Missing",IF(S52="Yes","✓ OK","⚠ Check"))))</f>
        <v/>
      </c>
      <c r="W52" s="65" t="n">
        <v>46248</v>
      </c>
      <c r="X52" s="30" t="inlineStr">
        <is>
          <t>Sunil CR</t>
        </is>
      </c>
      <c r="Y52" s="30" t="inlineStr">
        <is>
          <t>Yes</t>
        </is>
      </c>
      <c r="Z52" s="30" t="n"/>
      <c r="AA52" s="30" t="inlineStr">
        <is>
          <t>Good finish</t>
        </is>
      </c>
      <c r="AB52" s="30" t="inlineStr">
        <is>
          <t>Yes</t>
        </is>
      </c>
      <c r="AC52" s="27" t="n"/>
      <c r="AD52" s="31" t="inlineStr">
        <is>
          <t>No</t>
        </is>
      </c>
      <c r="AE52" s="32">
        <f>IF(W52="","",IF(Z52="Yes","❌ Disc",IF(Y52="No","⚠ Missing",IF(AB52="Yes","✓ OK","⚠ Check"))))</f>
        <v/>
      </c>
      <c r="AF52" s="33" t="n"/>
      <c r="AG52" s="33" t="n"/>
      <c r="AH52" s="33" t="n"/>
      <c r="AI52" s="33" t="n"/>
      <c r="AJ52" s="33" t="n"/>
      <c r="AK52" s="33" t="n"/>
      <c r="AL52" s="27" t="n"/>
      <c r="AM52" s="34" t="n"/>
      <c r="AN52" s="35">
        <f>IF(AF52="","",IF(AI52="Yes","❌ Disc",IF(AH52="No","⚠ Missing",IF(AK52="Yes","✓ OK","⚠ Check"))))</f>
        <v/>
      </c>
      <c r="AO52" s="36" t="n"/>
      <c r="AP52" s="36" t="n"/>
      <c r="AQ52" s="36" t="n"/>
      <c r="AR52" s="36" t="n"/>
      <c r="AS52" s="36" t="n"/>
      <c r="AT52" s="36" t="n"/>
      <c r="AU52" s="27" t="n"/>
      <c r="AV52" s="37" t="n"/>
      <c r="AW52" s="38">
        <f>IF(AO52="","",IF(AR52="Yes","❌ Disc",IF(AQ52="No","⚠ Missing",IF(AT52="Yes","✓ OK","⚠ Check"))))</f>
        <v/>
      </c>
    </row>
    <row r="53" ht="18" customHeight="1" s="46">
      <c r="A53" s="23" t="n">
        <v>49</v>
      </c>
      <c r="B53" s="24" t="inlineStr">
        <is>
          <t>MEM Artisan Oak</t>
        </is>
      </c>
      <c r="C53" s="25" t="inlineStr">
        <is>
          <t>MEM Artisan Oak (Matt)</t>
        </is>
      </c>
      <c r="D53" s="23" t="inlineStr">
        <is>
          <t>SPACEWOOD FURNISHERS PVT LTD</t>
        </is>
      </c>
      <c r="E53" s="43" t="n">
        <v>46125</v>
      </c>
      <c r="F53" s="26" t="inlineStr">
        <is>
          <t>Sunil CR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Good finish</t>
        </is>
      </c>
      <c r="J53" s="26" t="inlineStr">
        <is>
          <t>Yes</t>
        </is>
      </c>
      <c r="K53" s="27" t="n"/>
      <c r="L53" s="28" t="inlineStr">
        <is>
          <t>No</t>
        </is>
      </c>
      <c r="M53" s="29">
        <f>IF(E53="","",IF(H53="Yes","❌ Disc",IF(G53="No","⚠ Missing",IF(J53="Yes","✓ OK","⚠ Check"))))</f>
        <v/>
      </c>
      <c r="N53" s="43" t="n">
        <v>46193</v>
      </c>
      <c r="O53" s="26" t="inlineStr">
        <is>
          <t>Sunil CR</t>
        </is>
      </c>
      <c r="P53" s="26" t="inlineStr">
        <is>
          <t>Yes</t>
        </is>
      </c>
      <c r="Q53" s="26" t="inlineStr">
        <is>
          <t>No</t>
        </is>
      </c>
      <c r="R53" s="26" t="inlineStr">
        <is>
          <t>Good finish</t>
        </is>
      </c>
      <c r="S53" s="26" t="inlineStr">
        <is>
          <t>Yes</t>
        </is>
      </c>
      <c r="T53" s="27" t="n"/>
      <c r="U53" s="28" t="inlineStr">
        <is>
          <t>No</t>
        </is>
      </c>
      <c r="V53" s="29">
        <f>IF(N53="","",IF(Q53="Yes","❌ Disc",IF(P53="No","⚠ Missing",IF(S53="Yes","✓ OK","⚠ Check"))))</f>
        <v/>
      </c>
      <c r="W53" s="65" t="n">
        <v>46248</v>
      </c>
      <c r="X53" s="30" t="inlineStr">
        <is>
          <t>Sunil CR</t>
        </is>
      </c>
      <c r="Y53" s="30" t="inlineStr">
        <is>
          <t>Yes</t>
        </is>
      </c>
      <c r="Z53" s="30" t="n"/>
      <c r="AA53" s="30" t="inlineStr">
        <is>
          <t>Good finish</t>
        </is>
      </c>
      <c r="AB53" s="30" t="inlineStr">
        <is>
          <t>Yes</t>
        </is>
      </c>
      <c r="AC53" s="27" t="n"/>
      <c r="AD53" s="31" t="inlineStr">
        <is>
          <t>No</t>
        </is>
      </c>
      <c r="AE53" s="32">
        <f>IF(W53="","",IF(Z53="Yes","❌ Disc",IF(Y53="No","⚠ Missing",IF(AB53="Yes","✓ OK","⚠ Check"))))</f>
        <v/>
      </c>
      <c r="AF53" s="33" t="n"/>
      <c r="AG53" s="33" t="n"/>
      <c r="AH53" s="33" t="n"/>
      <c r="AI53" s="33" t="n"/>
      <c r="AJ53" s="33" t="n"/>
      <c r="AK53" s="33" t="n"/>
      <c r="AL53" s="27" t="n"/>
      <c r="AM53" s="34" t="n"/>
      <c r="AN53" s="35">
        <f>IF(AF53="","",IF(AI53="Yes","❌ Disc",IF(AH53="No","⚠ Missing",IF(AK53="Yes","✓ OK","⚠ Check"))))</f>
        <v/>
      </c>
      <c r="AO53" s="36" t="n"/>
      <c r="AP53" s="36" t="n"/>
      <c r="AQ53" s="36" t="n"/>
      <c r="AR53" s="36" t="n"/>
      <c r="AS53" s="36" t="n"/>
      <c r="AT53" s="36" t="n"/>
      <c r="AU53" s="27" t="n"/>
      <c r="AV53" s="37" t="n"/>
      <c r="AW53" s="38">
        <f>IF(AO53="","",IF(AR53="Yes","❌ Disc",IF(AQ53="No","⚠ Missing",IF(AT53="Yes","✓ OK","⚠ Check"))))</f>
        <v/>
      </c>
    </row>
    <row r="54" ht="18" customHeight="1" s="46">
      <c r="A54" s="39" t="n">
        <v>50</v>
      </c>
      <c r="B54" s="40" t="inlineStr">
        <is>
          <t>MEM Basalt Grey</t>
        </is>
      </c>
      <c r="C54" s="41" t="inlineStr">
        <is>
          <t>MEM Basalt Grey (High Gloss)</t>
        </is>
      </c>
      <c r="D54" s="39" t="inlineStr">
        <is>
          <t>SPACEWOOD FURNISHERS PVT LTD</t>
        </is>
      </c>
      <c r="E54" s="43" t="n">
        <v>46125</v>
      </c>
      <c r="F54" s="26" t="inlineStr">
        <is>
          <t>Sunil CR</t>
        </is>
      </c>
      <c r="G54" s="26" t="inlineStr">
        <is>
          <t>Yes</t>
        </is>
      </c>
      <c r="H54" s="26" t="inlineStr">
        <is>
          <t>No</t>
        </is>
      </c>
      <c r="I54" s="26" t="inlineStr">
        <is>
          <t>Good finish</t>
        </is>
      </c>
      <c r="J54" s="26" t="inlineStr">
        <is>
          <t>Yes</t>
        </is>
      </c>
      <c r="K54" s="27" t="n"/>
      <c r="L54" s="28" t="inlineStr">
        <is>
          <t>No</t>
        </is>
      </c>
      <c r="M54" s="29">
        <f>IF(E54="","",IF(H54="Yes","❌ Disc",IF(G54="No","⚠ Missing",IF(J54="Yes","✓ OK","⚠ Check"))))</f>
        <v/>
      </c>
      <c r="N54" s="43" t="n">
        <v>46193</v>
      </c>
      <c r="O54" s="26" t="inlineStr">
        <is>
          <t>Sunil CR</t>
        </is>
      </c>
      <c r="P54" s="26" t="inlineStr">
        <is>
          <t>Yes</t>
        </is>
      </c>
      <c r="Q54" s="26" t="inlineStr">
        <is>
          <t>No</t>
        </is>
      </c>
      <c r="R54" s="26" t="inlineStr">
        <is>
          <t>Good finish</t>
        </is>
      </c>
      <c r="S54" s="26" t="inlineStr">
        <is>
          <t>Yes</t>
        </is>
      </c>
      <c r="T54" s="27" t="n"/>
      <c r="U54" s="28" t="inlineStr">
        <is>
          <t>No</t>
        </is>
      </c>
      <c r="V54" s="29">
        <f>IF(N54="","",IF(Q54="Yes","❌ Disc",IF(P54="No","⚠ Missing",IF(S54="Yes","✓ OK","⚠ Check"))))</f>
        <v/>
      </c>
      <c r="W54" s="65" t="n">
        <v>46248</v>
      </c>
      <c r="X54" s="30" t="inlineStr">
        <is>
          <t>Sunil CR</t>
        </is>
      </c>
      <c r="Y54" s="30" t="inlineStr">
        <is>
          <t>Yes</t>
        </is>
      </c>
      <c r="Z54" s="30" t="n"/>
      <c r="AA54" s="30" t="inlineStr">
        <is>
          <t>Good finish</t>
        </is>
      </c>
      <c r="AB54" s="30" t="inlineStr">
        <is>
          <t>Yes</t>
        </is>
      </c>
      <c r="AC54" s="27" t="n"/>
      <c r="AD54" s="31" t="inlineStr">
        <is>
          <t>No</t>
        </is>
      </c>
      <c r="AE54" s="32">
        <f>IF(W54="","",IF(Z54="Yes","❌ Disc",IF(Y54="No","⚠ Missing",IF(AB54="Yes","✓ OK","⚠ Check"))))</f>
        <v/>
      </c>
      <c r="AF54" s="33" t="n"/>
      <c r="AG54" s="33" t="n"/>
      <c r="AH54" s="33" t="n"/>
      <c r="AI54" s="33" t="n"/>
      <c r="AJ54" s="33" t="n"/>
      <c r="AK54" s="33" t="n"/>
      <c r="AL54" s="27" t="n"/>
      <c r="AM54" s="34" t="n"/>
      <c r="AN54" s="35">
        <f>IF(AF54="","",IF(AI54="Yes","❌ Disc",IF(AH54="No","⚠ Missing",IF(AK54="Yes","✓ OK","⚠ Check"))))</f>
        <v/>
      </c>
      <c r="AO54" s="36" t="n"/>
      <c r="AP54" s="36" t="n"/>
      <c r="AQ54" s="36" t="n"/>
      <c r="AR54" s="36" t="n"/>
      <c r="AS54" s="36" t="n"/>
      <c r="AT54" s="36" t="n"/>
      <c r="AU54" s="27" t="n"/>
      <c r="AV54" s="37" t="n"/>
      <c r="AW54" s="38">
        <f>IF(AO54="","",IF(AR54="Yes","❌ Disc",IF(AQ54="No","⚠ Missing",IF(AT54="Yes","✓ OK","⚠ Check"))))</f>
        <v/>
      </c>
    </row>
    <row r="55" ht="18" customHeight="1" s="46">
      <c r="A55" s="23" t="n">
        <v>51</v>
      </c>
      <c r="B55" s="24" t="inlineStr">
        <is>
          <t>MEM Black (High Gloss)</t>
        </is>
      </c>
      <c r="C55" s="25" t="inlineStr">
        <is>
          <t>MEM Black (High Gloss)</t>
        </is>
      </c>
      <c r="D55" s="23" t="inlineStr">
        <is>
          <t>SPACEWOOD FURNISHERS PVT LTD</t>
        </is>
      </c>
      <c r="E55" s="43" t="n">
        <v>46125</v>
      </c>
      <c r="F55" s="26" t="inlineStr">
        <is>
          <t>Sunil CR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Good finish</t>
        </is>
      </c>
      <c r="J55" s="26" t="inlineStr">
        <is>
          <t>Yes</t>
        </is>
      </c>
      <c r="K55" s="27" t="n"/>
      <c r="L55" s="28" t="inlineStr">
        <is>
          <t>No</t>
        </is>
      </c>
      <c r="M55" s="29">
        <f>IF(E55="","",IF(H55="Yes","❌ Disc",IF(G55="No","⚠ Missing",IF(J55="Yes","✓ OK","⚠ Check"))))</f>
        <v/>
      </c>
      <c r="N55" s="43" t="n">
        <v>46193</v>
      </c>
      <c r="O55" s="26" t="inlineStr">
        <is>
          <t>Sunil CR</t>
        </is>
      </c>
      <c r="P55" s="26" t="inlineStr">
        <is>
          <t>Yes</t>
        </is>
      </c>
      <c r="Q55" s="26" t="inlineStr">
        <is>
          <t>No</t>
        </is>
      </c>
      <c r="R55" s="26" t="inlineStr">
        <is>
          <t>Good finish</t>
        </is>
      </c>
      <c r="S55" s="26" t="inlineStr">
        <is>
          <t>Yes</t>
        </is>
      </c>
      <c r="T55" s="27" t="n"/>
      <c r="U55" s="28" t="inlineStr">
        <is>
          <t>No</t>
        </is>
      </c>
      <c r="V55" s="29">
        <f>IF(N55="","",IF(Q55="Yes","❌ Disc",IF(P55="No","⚠ Missing",IF(S55="Yes","✓ OK","⚠ Check"))))</f>
        <v/>
      </c>
      <c r="W55" s="65" t="n">
        <v>46248</v>
      </c>
      <c r="X55" s="30" t="inlineStr">
        <is>
          <t>Sunil CR</t>
        </is>
      </c>
      <c r="Y55" s="30" t="inlineStr">
        <is>
          <t>Yes</t>
        </is>
      </c>
      <c r="Z55" s="30" t="n"/>
      <c r="AA55" s="30" t="inlineStr">
        <is>
          <t>Good finish</t>
        </is>
      </c>
      <c r="AB55" s="30" t="inlineStr">
        <is>
          <t>Yes</t>
        </is>
      </c>
      <c r="AC55" s="27" t="n"/>
      <c r="AD55" s="31" t="inlineStr">
        <is>
          <t>No</t>
        </is>
      </c>
      <c r="AE55" s="32">
        <f>IF(W55="","",IF(Z55="Yes","❌ Disc",IF(Y55="No","⚠ Missing",IF(AB55="Yes","✓ OK","⚠ Check"))))</f>
        <v/>
      </c>
      <c r="AF55" s="33" t="n"/>
      <c r="AG55" s="33" t="n"/>
      <c r="AH55" s="33" t="n"/>
      <c r="AI55" s="33" t="n"/>
      <c r="AJ55" s="33" t="n"/>
      <c r="AK55" s="33" t="n"/>
      <c r="AL55" s="27" t="n"/>
      <c r="AM55" s="34" t="n"/>
      <c r="AN55" s="35">
        <f>IF(AF55="","",IF(AI55="Yes","❌ Disc",IF(AH55="No","⚠ Missing",IF(AK55="Yes","✓ OK","⚠ Check"))))</f>
        <v/>
      </c>
      <c r="AO55" s="36" t="n"/>
      <c r="AP55" s="36" t="n"/>
      <c r="AQ55" s="36" t="n"/>
      <c r="AR55" s="36" t="n"/>
      <c r="AS55" s="36" t="n"/>
      <c r="AT55" s="36" t="n"/>
      <c r="AU55" s="27" t="n"/>
      <c r="AV55" s="37" t="n"/>
      <c r="AW55" s="38">
        <f>IF(AO55="","",IF(AR55="Yes","❌ Disc",IF(AQ55="No","⚠ Missing",IF(AT55="Yes","✓ OK","⚠ Check"))))</f>
        <v/>
      </c>
    </row>
    <row r="56" ht="18" customHeight="1" s="46">
      <c r="A56" s="39" t="n">
        <v>52</v>
      </c>
      <c r="B56" s="40" t="inlineStr">
        <is>
          <t>MEM Capaccino High Gloss</t>
        </is>
      </c>
      <c r="C56" s="41" t="inlineStr">
        <is>
          <t>MEM Capaccino (High Gloss)</t>
        </is>
      </c>
      <c r="D56" s="39" t="inlineStr">
        <is>
          <t>SPACEWOOD FURNISHERS PVT LTD</t>
        </is>
      </c>
      <c r="E56" s="43" t="n">
        <v>46125</v>
      </c>
      <c r="F56" s="26" t="inlineStr">
        <is>
          <t>Sunil CR</t>
        </is>
      </c>
      <c r="G56" s="26" t="inlineStr">
        <is>
          <t>Yes</t>
        </is>
      </c>
      <c r="H56" s="26" t="inlineStr">
        <is>
          <t>No</t>
        </is>
      </c>
      <c r="I56" s="26" t="inlineStr">
        <is>
          <t>Good finish</t>
        </is>
      </c>
      <c r="J56" s="26" t="inlineStr">
        <is>
          <t>Yes</t>
        </is>
      </c>
      <c r="K56" s="27" t="n"/>
      <c r="L56" s="28" t="inlineStr">
        <is>
          <t>No</t>
        </is>
      </c>
      <c r="M56" s="29">
        <f>IF(E56="","",IF(H56="Yes","❌ Disc",IF(G56="No","⚠ Missing",IF(J56="Yes","✓ OK","⚠ Check"))))</f>
        <v/>
      </c>
      <c r="N56" s="43" t="n">
        <v>46193</v>
      </c>
      <c r="O56" s="26" t="inlineStr">
        <is>
          <t>Sunil CR</t>
        </is>
      </c>
      <c r="P56" s="26" t="inlineStr">
        <is>
          <t>Yes</t>
        </is>
      </c>
      <c r="Q56" s="26" t="inlineStr">
        <is>
          <t>No</t>
        </is>
      </c>
      <c r="R56" s="26" t="inlineStr">
        <is>
          <t>Good finish</t>
        </is>
      </c>
      <c r="S56" s="26" t="inlineStr">
        <is>
          <t>Yes</t>
        </is>
      </c>
      <c r="T56" s="27" t="n"/>
      <c r="U56" s="28" t="inlineStr">
        <is>
          <t>No</t>
        </is>
      </c>
      <c r="V56" s="29">
        <f>IF(N56="","",IF(Q56="Yes","❌ Disc",IF(P56="No","⚠ Missing",IF(S56="Yes","✓ OK","⚠ Check"))))</f>
        <v/>
      </c>
      <c r="W56" s="65" t="n">
        <v>46248</v>
      </c>
      <c r="X56" s="30" t="inlineStr">
        <is>
          <t>Sunil CR</t>
        </is>
      </c>
      <c r="Y56" s="30" t="inlineStr">
        <is>
          <t>Yes</t>
        </is>
      </c>
      <c r="Z56" s="30" t="n"/>
      <c r="AA56" s="30" t="inlineStr">
        <is>
          <t>Good finish</t>
        </is>
      </c>
      <c r="AB56" s="30" t="inlineStr">
        <is>
          <t>Yes</t>
        </is>
      </c>
      <c r="AC56" s="27" t="n"/>
      <c r="AD56" s="31" t="inlineStr">
        <is>
          <t>No</t>
        </is>
      </c>
      <c r="AE56" s="32">
        <f>IF(W56="","",IF(Z56="Yes","❌ Disc",IF(Y56="No","⚠ Missing",IF(AB56="Yes","✓ OK","⚠ Check"))))</f>
        <v/>
      </c>
      <c r="AF56" s="33" t="n"/>
      <c r="AG56" s="33" t="n"/>
      <c r="AH56" s="33" t="n"/>
      <c r="AI56" s="33" t="n"/>
      <c r="AJ56" s="33" t="n"/>
      <c r="AK56" s="33" t="n"/>
      <c r="AL56" s="27" t="n"/>
      <c r="AM56" s="34" t="n"/>
      <c r="AN56" s="35">
        <f>IF(AF56="","",IF(AI56="Yes","❌ Disc",IF(AH56="No","⚠ Missing",IF(AK56="Yes","✓ OK","⚠ Check"))))</f>
        <v/>
      </c>
      <c r="AO56" s="36" t="n"/>
      <c r="AP56" s="36" t="n"/>
      <c r="AQ56" s="36" t="n"/>
      <c r="AR56" s="36" t="n"/>
      <c r="AS56" s="36" t="n"/>
      <c r="AT56" s="36" t="n"/>
      <c r="AU56" s="27" t="n"/>
      <c r="AV56" s="37" t="n"/>
      <c r="AW56" s="38">
        <f>IF(AO56="","",IF(AR56="Yes","❌ Disc",IF(AQ56="No","⚠ Missing",IF(AT56="Yes","✓ OK","⚠ Check"))))</f>
        <v/>
      </c>
    </row>
    <row r="57" ht="18" customHeight="1" s="46">
      <c r="A57" s="23" t="n">
        <v>53</v>
      </c>
      <c r="B57" s="24" t="inlineStr">
        <is>
          <t>MEM Denim Suedette Matt</t>
        </is>
      </c>
      <c r="C57" s="25" t="inlineStr">
        <is>
          <t>MEM Denim Suedette (Matt)</t>
        </is>
      </c>
      <c r="D57" s="23" t="inlineStr">
        <is>
          <t>SPACEWOOD FURNISHERS PVT LTD</t>
        </is>
      </c>
      <c r="E57" s="43" t="n">
        <v>46125</v>
      </c>
      <c r="F57" s="26" t="inlineStr">
        <is>
          <t>Sunil CR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Good finish</t>
        </is>
      </c>
      <c r="J57" s="26" t="inlineStr">
        <is>
          <t>Yes</t>
        </is>
      </c>
      <c r="K57" s="27" t="n"/>
      <c r="L57" s="28" t="inlineStr">
        <is>
          <t>No</t>
        </is>
      </c>
      <c r="M57" s="29">
        <f>IF(E57="","",IF(H57="Yes","❌ Disc",IF(G57="No","⚠ Missing",IF(J57="Yes","✓ OK","⚠ Check"))))</f>
        <v/>
      </c>
      <c r="N57" s="43" t="n">
        <v>46193</v>
      </c>
      <c r="O57" s="26" t="inlineStr">
        <is>
          <t>Sunil CR</t>
        </is>
      </c>
      <c r="P57" s="26" t="inlineStr">
        <is>
          <t>Yes</t>
        </is>
      </c>
      <c r="Q57" s="26" t="inlineStr">
        <is>
          <t>No</t>
        </is>
      </c>
      <c r="R57" s="26" t="inlineStr">
        <is>
          <t>Good finish</t>
        </is>
      </c>
      <c r="S57" s="26" t="inlineStr">
        <is>
          <t>Yes</t>
        </is>
      </c>
      <c r="T57" s="27" t="n"/>
      <c r="U57" s="28" t="inlineStr">
        <is>
          <t>No</t>
        </is>
      </c>
      <c r="V57" s="29">
        <f>IF(N57="","",IF(Q57="Yes","❌ Disc",IF(P57="No","⚠ Missing",IF(S57="Yes","✓ OK","⚠ Check"))))</f>
        <v/>
      </c>
      <c r="W57" s="65" t="n">
        <v>46248</v>
      </c>
      <c r="X57" s="30" t="inlineStr">
        <is>
          <t>Sunil CR</t>
        </is>
      </c>
      <c r="Y57" s="30" t="inlineStr">
        <is>
          <t>Yes</t>
        </is>
      </c>
      <c r="Z57" s="30" t="n"/>
      <c r="AA57" s="30" t="inlineStr">
        <is>
          <t>Good finish</t>
        </is>
      </c>
      <c r="AB57" s="30" t="inlineStr">
        <is>
          <t>Yes</t>
        </is>
      </c>
      <c r="AC57" s="27" t="n"/>
      <c r="AD57" s="31" t="inlineStr">
        <is>
          <t>No</t>
        </is>
      </c>
      <c r="AE57" s="32">
        <f>IF(W57="","",IF(Z57="Yes","❌ Disc",IF(Y57="No","⚠ Missing",IF(AB57="Yes","✓ OK","⚠ Check"))))</f>
        <v/>
      </c>
      <c r="AF57" s="33" t="n"/>
      <c r="AG57" s="33" t="n"/>
      <c r="AH57" s="33" t="n"/>
      <c r="AI57" s="33" t="n"/>
      <c r="AJ57" s="33" t="n"/>
      <c r="AK57" s="33" t="n"/>
      <c r="AL57" s="27" t="n"/>
      <c r="AM57" s="34" t="n"/>
      <c r="AN57" s="35">
        <f>IF(AF57="","",IF(AI57="Yes","❌ Disc",IF(AH57="No","⚠ Missing",IF(AK57="Yes","✓ OK","⚠ Check"))))</f>
        <v/>
      </c>
      <c r="AO57" s="36" t="n"/>
      <c r="AP57" s="36" t="n"/>
      <c r="AQ57" s="36" t="n"/>
      <c r="AR57" s="36" t="n"/>
      <c r="AS57" s="36" t="n"/>
      <c r="AT57" s="36" t="n"/>
      <c r="AU57" s="27" t="n"/>
      <c r="AV57" s="37" t="n"/>
      <c r="AW57" s="38">
        <f>IF(AO57="","",IF(AR57="Yes","❌ Disc",IF(AQ57="No","⚠ Missing",IF(AT57="Yes","✓ OK","⚠ Check"))))</f>
        <v/>
      </c>
    </row>
    <row r="58" ht="18" customHeight="1" s="46">
      <c r="A58" s="39" t="n">
        <v>54</v>
      </c>
      <c r="B58" s="40" t="inlineStr">
        <is>
          <t>MEM ESM Blue</t>
        </is>
      </c>
      <c r="C58" s="41" t="inlineStr">
        <is>
          <t>MEM ESM Blue (Matt)</t>
        </is>
      </c>
      <c r="D58" s="39" t="inlineStr">
        <is>
          <t>SPACEWOOD FURNISHERS PVT LTD</t>
        </is>
      </c>
      <c r="E58" s="43" t="n">
        <v>46125</v>
      </c>
      <c r="F58" s="26" t="inlineStr">
        <is>
          <t>Sunil CR</t>
        </is>
      </c>
      <c r="G58" s="26" t="inlineStr">
        <is>
          <t>Yes</t>
        </is>
      </c>
      <c r="H58" s="26" t="inlineStr">
        <is>
          <t>No</t>
        </is>
      </c>
      <c r="I58" s="26" t="inlineStr">
        <is>
          <t>Good finish</t>
        </is>
      </c>
      <c r="J58" s="26" t="inlineStr">
        <is>
          <t>Yes</t>
        </is>
      </c>
      <c r="K58" s="27" t="n"/>
      <c r="L58" s="28" t="inlineStr">
        <is>
          <t>No</t>
        </is>
      </c>
      <c r="M58" s="29">
        <f>IF(E58="","",IF(H58="Yes","❌ Disc",IF(G58="No","⚠ Missing",IF(J58="Yes","✓ OK","⚠ Check"))))</f>
        <v/>
      </c>
      <c r="N58" s="43" t="n">
        <v>46193</v>
      </c>
      <c r="O58" s="26" t="inlineStr">
        <is>
          <t>Sunil CR</t>
        </is>
      </c>
      <c r="P58" s="26" t="inlineStr">
        <is>
          <t>Yes</t>
        </is>
      </c>
      <c r="Q58" s="26" t="inlineStr">
        <is>
          <t>No</t>
        </is>
      </c>
      <c r="R58" s="26" t="inlineStr">
        <is>
          <t>Good finish</t>
        </is>
      </c>
      <c r="S58" s="26" t="inlineStr">
        <is>
          <t>Yes</t>
        </is>
      </c>
      <c r="T58" s="27" t="n"/>
      <c r="U58" s="28" t="inlineStr">
        <is>
          <t>No</t>
        </is>
      </c>
      <c r="V58" s="29">
        <f>IF(N58="","",IF(Q58="Yes","❌ Disc",IF(P58="No","⚠ Missing",IF(S58="Yes","✓ OK","⚠ Check"))))</f>
        <v/>
      </c>
      <c r="W58" s="65" t="n">
        <v>46248</v>
      </c>
      <c r="X58" s="30" t="inlineStr">
        <is>
          <t>Sunil CR</t>
        </is>
      </c>
      <c r="Y58" s="30" t="inlineStr">
        <is>
          <t>Yes</t>
        </is>
      </c>
      <c r="Z58" s="30" t="n"/>
      <c r="AA58" s="30" t="inlineStr">
        <is>
          <t>Good finish</t>
        </is>
      </c>
      <c r="AB58" s="30" t="inlineStr">
        <is>
          <t>Yes</t>
        </is>
      </c>
      <c r="AC58" s="27" t="n"/>
      <c r="AD58" s="31" t="inlineStr">
        <is>
          <t>No</t>
        </is>
      </c>
      <c r="AE58" s="32">
        <f>IF(W58="","",IF(Z58="Yes","❌ Disc",IF(Y58="No","⚠ Missing",IF(AB58="Yes","✓ OK","⚠ Check"))))</f>
        <v/>
      </c>
      <c r="AF58" s="33" t="n"/>
      <c r="AG58" s="33" t="n"/>
      <c r="AH58" s="33" t="n"/>
      <c r="AI58" s="33" t="n"/>
      <c r="AJ58" s="33" t="n"/>
      <c r="AK58" s="33" t="n"/>
      <c r="AL58" s="27" t="n"/>
      <c r="AM58" s="34" t="n"/>
      <c r="AN58" s="35">
        <f>IF(AF58="","",IF(AI58="Yes","❌ Disc",IF(AH58="No","⚠ Missing",IF(AK58="Yes","✓ OK","⚠ Check"))))</f>
        <v/>
      </c>
      <c r="AO58" s="36" t="n"/>
      <c r="AP58" s="36" t="n"/>
      <c r="AQ58" s="36" t="n"/>
      <c r="AR58" s="36" t="n"/>
      <c r="AS58" s="36" t="n"/>
      <c r="AT58" s="36" t="n"/>
      <c r="AU58" s="27" t="n"/>
      <c r="AV58" s="37" t="n"/>
      <c r="AW58" s="38">
        <f>IF(AO58="","",IF(AR58="Yes","❌ Disc",IF(AQ58="No","⚠ Missing",IF(AT58="Yes","✓ OK","⚠ Check"))))</f>
        <v/>
      </c>
    </row>
    <row r="59" ht="18" customHeight="1" s="46">
      <c r="A59" s="23" t="n">
        <v>55</v>
      </c>
      <c r="B59" s="24" t="inlineStr">
        <is>
          <t>MEM ESM Pumic Grey</t>
        </is>
      </c>
      <c r="C59" s="25" t="inlineStr">
        <is>
          <t>MEM ESM Pumic Grey (Matt)</t>
        </is>
      </c>
      <c r="D59" s="23" t="inlineStr">
        <is>
          <t>SPACEWOOD FURNISHERS PVT LTD</t>
        </is>
      </c>
      <c r="E59" s="43" t="n">
        <v>46125</v>
      </c>
      <c r="F59" s="26" t="inlineStr">
        <is>
          <t>Sunil CR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Good finish</t>
        </is>
      </c>
      <c r="J59" s="26" t="inlineStr">
        <is>
          <t>Yes</t>
        </is>
      </c>
      <c r="K59" s="27" t="n"/>
      <c r="L59" s="28" t="inlineStr">
        <is>
          <t>No</t>
        </is>
      </c>
      <c r="M59" s="29">
        <f>IF(E59="","",IF(H59="Yes","❌ Disc",IF(G59="No","⚠ Missing",IF(J59="Yes","✓ OK","⚠ Check"))))</f>
        <v/>
      </c>
      <c r="N59" s="43" t="n">
        <v>46193</v>
      </c>
      <c r="O59" s="26" t="inlineStr">
        <is>
          <t>Sunil CR</t>
        </is>
      </c>
      <c r="P59" s="26" t="inlineStr">
        <is>
          <t>Yes</t>
        </is>
      </c>
      <c r="Q59" s="26" t="inlineStr">
        <is>
          <t>No</t>
        </is>
      </c>
      <c r="R59" s="26" t="inlineStr">
        <is>
          <t>Good finish</t>
        </is>
      </c>
      <c r="S59" s="26" t="inlineStr">
        <is>
          <t>Yes</t>
        </is>
      </c>
      <c r="T59" s="27" t="n"/>
      <c r="U59" s="28" t="inlineStr">
        <is>
          <t>No</t>
        </is>
      </c>
      <c r="V59" s="29">
        <f>IF(N59="","",IF(Q59="Yes","❌ Disc",IF(P59="No","⚠ Missing",IF(S59="Yes","✓ OK","⚠ Check"))))</f>
        <v/>
      </c>
      <c r="W59" s="65" t="n">
        <v>46248</v>
      </c>
      <c r="X59" s="30" t="inlineStr">
        <is>
          <t>Sunil CR</t>
        </is>
      </c>
      <c r="Y59" s="30" t="inlineStr">
        <is>
          <t>Yes</t>
        </is>
      </c>
      <c r="Z59" s="30" t="n"/>
      <c r="AA59" s="30" t="inlineStr">
        <is>
          <t>Good finish</t>
        </is>
      </c>
      <c r="AB59" s="30" t="inlineStr">
        <is>
          <t>Yes</t>
        </is>
      </c>
      <c r="AC59" s="27" t="n"/>
      <c r="AD59" s="31" t="inlineStr">
        <is>
          <t>No</t>
        </is>
      </c>
      <c r="AE59" s="32">
        <f>IF(W59="","",IF(Z59="Yes","❌ Disc",IF(Y59="No","⚠ Missing",IF(AB59="Yes","✓ OK","⚠ Check"))))</f>
        <v/>
      </c>
      <c r="AF59" s="33" t="n"/>
      <c r="AG59" s="33" t="n"/>
      <c r="AH59" s="33" t="n"/>
      <c r="AI59" s="33" t="n"/>
      <c r="AJ59" s="33" t="n"/>
      <c r="AK59" s="33" t="n"/>
      <c r="AL59" s="27" t="n"/>
      <c r="AM59" s="34" t="n"/>
      <c r="AN59" s="35">
        <f>IF(AF59="","",IF(AI59="Yes","❌ Disc",IF(AH59="No","⚠ Missing",IF(AK59="Yes","✓ OK","⚠ Check"))))</f>
        <v/>
      </c>
      <c r="AO59" s="36" t="n"/>
      <c r="AP59" s="36" t="n"/>
      <c r="AQ59" s="36" t="n"/>
      <c r="AR59" s="36" t="n"/>
      <c r="AS59" s="36" t="n"/>
      <c r="AT59" s="36" t="n"/>
      <c r="AU59" s="27" t="n"/>
      <c r="AV59" s="37" t="n"/>
      <c r="AW59" s="38">
        <f>IF(AO59="","",IF(AR59="Yes","❌ Disc",IF(AQ59="No","⚠ Missing",IF(AT59="Yes","✓ OK","⚠ Check"))))</f>
        <v/>
      </c>
    </row>
    <row r="60" ht="18" customHeight="1" s="46">
      <c r="A60" s="39" t="n">
        <v>56</v>
      </c>
      <c r="B60" s="40" t="inlineStr">
        <is>
          <t>MEM SM Slate</t>
        </is>
      </c>
      <c r="C60" s="41" t="inlineStr">
        <is>
          <t>MEM ESM Slate Matt (SM-1)</t>
        </is>
      </c>
      <c r="D60" s="39" t="inlineStr">
        <is>
          <t>SPACEWOOD FURNISHERS PVT LTD</t>
        </is>
      </c>
      <c r="E60" s="43" t="n">
        <v>46125</v>
      </c>
      <c r="F60" s="26" t="inlineStr">
        <is>
          <t>Sunil CR</t>
        </is>
      </c>
      <c r="G60" s="26" t="inlineStr">
        <is>
          <t>Yes</t>
        </is>
      </c>
      <c r="H60" s="26" t="inlineStr">
        <is>
          <t>No</t>
        </is>
      </c>
      <c r="I60" s="26" t="inlineStr">
        <is>
          <t>Good finish</t>
        </is>
      </c>
      <c r="J60" s="26" t="inlineStr">
        <is>
          <t>Yes</t>
        </is>
      </c>
      <c r="K60" s="27" t="n"/>
      <c r="L60" s="28" t="inlineStr">
        <is>
          <t>No</t>
        </is>
      </c>
      <c r="M60" s="29">
        <f>IF(E60="","",IF(H60="Yes","❌ Disc",IF(G60="No","⚠ Missing",IF(J60="Yes","✓ OK","⚠ Check"))))</f>
        <v/>
      </c>
      <c r="N60" s="43" t="n">
        <v>46193</v>
      </c>
      <c r="O60" s="26" t="inlineStr">
        <is>
          <t>Sunil CR</t>
        </is>
      </c>
      <c r="P60" s="26" t="inlineStr">
        <is>
          <t>Yes</t>
        </is>
      </c>
      <c r="Q60" s="26" t="inlineStr">
        <is>
          <t>No</t>
        </is>
      </c>
      <c r="R60" s="26" t="inlineStr">
        <is>
          <t>Good finish</t>
        </is>
      </c>
      <c r="S60" s="26" t="inlineStr">
        <is>
          <t>Yes</t>
        </is>
      </c>
      <c r="T60" s="27" t="n"/>
      <c r="U60" s="28" t="inlineStr">
        <is>
          <t>No</t>
        </is>
      </c>
      <c r="V60" s="29">
        <f>IF(N60="","",IF(Q60="Yes","❌ Disc",IF(P60="No","⚠ Missing",IF(S60="Yes","✓ OK","⚠ Check"))))</f>
        <v/>
      </c>
      <c r="W60" s="65" t="n">
        <v>46248</v>
      </c>
      <c r="X60" s="30" t="inlineStr">
        <is>
          <t>Sunil CR</t>
        </is>
      </c>
      <c r="Y60" s="30" t="inlineStr">
        <is>
          <t>Yes</t>
        </is>
      </c>
      <c r="Z60" s="30" t="n"/>
      <c r="AA60" s="30" t="inlineStr">
        <is>
          <t>Good finish</t>
        </is>
      </c>
      <c r="AB60" s="30" t="inlineStr">
        <is>
          <t>Yes</t>
        </is>
      </c>
      <c r="AC60" s="27" t="n"/>
      <c r="AD60" s="31" t="inlineStr">
        <is>
          <t>No</t>
        </is>
      </c>
      <c r="AE60" s="32">
        <f>IF(W60="","",IF(Z60="Yes","❌ Disc",IF(Y60="No","⚠ Missing",IF(AB60="Yes","✓ OK","⚠ Check"))))</f>
        <v/>
      </c>
      <c r="AF60" s="33" t="n"/>
      <c r="AG60" s="33" t="n"/>
      <c r="AH60" s="33" t="n"/>
      <c r="AI60" s="33" t="n"/>
      <c r="AJ60" s="33" t="n"/>
      <c r="AK60" s="33" t="n"/>
      <c r="AL60" s="27" t="n"/>
      <c r="AM60" s="34" t="n"/>
      <c r="AN60" s="35">
        <f>IF(AF60="","",IF(AI60="Yes","❌ Disc",IF(AH60="No","⚠ Missing",IF(AK60="Yes","✓ OK","⚠ Check"))))</f>
        <v/>
      </c>
      <c r="AO60" s="36" t="n"/>
      <c r="AP60" s="36" t="n"/>
      <c r="AQ60" s="36" t="n"/>
      <c r="AR60" s="36" t="n"/>
      <c r="AS60" s="36" t="n"/>
      <c r="AT60" s="36" t="n"/>
      <c r="AU60" s="27" t="n"/>
      <c r="AV60" s="37" t="n"/>
      <c r="AW60" s="38">
        <f>IF(AO60="","",IF(AR60="Yes","❌ Disc",IF(AQ60="No","⚠ Missing",IF(AT60="Yes","✓ OK","⚠ Check"))))</f>
        <v/>
      </c>
    </row>
    <row r="61" ht="18" customHeight="1" s="46">
      <c r="A61" s="23" t="n">
        <v>57</v>
      </c>
      <c r="B61" s="24" t="inlineStr">
        <is>
          <t>MEM Furniture White</t>
        </is>
      </c>
      <c r="C61" s="25" t="inlineStr">
        <is>
          <t>MEM Furniture White (High Gloss)</t>
        </is>
      </c>
      <c r="D61" s="23" t="inlineStr">
        <is>
          <t>SPACEWOOD FURNISHERS PVT LTD</t>
        </is>
      </c>
      <c r="E61" s="43" t="n">
        <v>46125</v>
      </c>
      <c r="F61" s="26" t="inlineStr">
        <is>
          <t>Sunil CR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Good finish</t>
        </is>
      </c>
      <c r="J61" s="26" t="inlineStr">
        <is>
          <t>Yes</t>
        </is>
      </c>
      <c r="K61" s="27" t="n"/>
      <c r="L61" s="28" t="inlineStr">
        <is>
          <t>No</t>
        </is>
      </c>
      <c r="M61" s="29">
        <f>IF(E61="","",IF(H61="Yes","❌ Disc",IF(G61="No","⚠ Missing",IF(J61="Yes","✓ OK","⚠ Check"))))</f>
        <v/>
      </c>
      <c r="N61" s="43" t="n">
        <v>46193</v>
      </c>
      <c r="O61" s="26" t="inlineStr">
        <is>
          <t>Sunil CR</t>
        </is>
      </c>
      <c r="P61" s="26" t="inlineStr">
        <is>
          <t>Yes</t>
        </is>
      </c>
      <c r="Q61" s="26" t="inlineStr">
        <is>
          <t>No</t>
        </is>
      </c>
      <c r="R61" s="26" t="inlineStr">
        <is>
          <t>Good finish</t>
        </is>
      </c>
      <c r="S61" s="26" t="inlineStr">
        <is>
          <t>Yes</t>
        </is>
      </c>
      <c r="T61" s="27" t="n"/>
      <c r="U61" s="28" t="inlineStr">
        <is>
          <t>No</t>
        </is>
      </c>
      <c r="V61" s="29">
        <f>IF(N61="","",IF(Q61="Yes","❌ Disc",IF(P61="No","⚠ Missing",IF(S61="Yes","✓ OK","⚠ Check"))))</f>
        <v/>
      </c>
      <c r="W61" s="65" t="n">
        <v>46248</v>
      </c>
      <c r="X61" s="30" t="inlineStr">
        <is>
          <t>Sunil CR</t>
        </is>
      </c>
      <c r="Y61" s="30" t="inlineStr">
        <is>
          <t>Yes</t>
        </is>
      </c>
      <c r="Z61" s="30" t="n"/>
      <c r="AA61" s="30" t="inlineStr">
        <is>
          <t>Good finish</t>
        </is>
      </c>
      <c r="AB61" s="30" t="inlineStr">
        <is>
          <t>Yes</t>
        </is>
      </c>
      <c r="AC61" s="27" t="n"/>
      <c r="AD61" s="31" t="inlineStr">
        <is>
          <t>No</t>
        </is>
      </c>
      <c r="AE61" s="32">
        <f>IF(W61="","",IF(Z61="Yes","❌ Disc",IF(Y61="No","⚠ Missing",IF(AB61="Yes","✓ OK","⚠ Check"))))</f>
        <v/>
      </c>
      <c r="AF61" s="33" t="n"/>
      <c r="AG61" s="33" t="n"/>
      <c r="AH61" s="33" t="n"/>
      <c r="AI61" s="33" t="n"/>
      <c r="AJ61" s="33" t="n"/>
      <c r="AK61" s="33" t="n"/>
      <c r="AL61" s="27" t="n"/>
      <c r="AM61" s="34" t="n"/>
      <c r="AN61" s="35">
        <f>IF(AF61="","",IF(AI61="Yes","❌ Disc",IF(AH61="No","⚠ Missing",IF(AK61="Yes","✓ OK","⚠ Check"))))</f>
        <v/>
      </c>
      <c r="AO61" s="36" t="n"/>
      <c r="AP61" s="36" t="n"/>
      <c r="AQ61" s="36" t="n"/>
      <c r="AR61" s="36" t="n"/>
      <c r="AS61" s="36" t="n"/>
      <c r="AT61" s="36" t="n"/>
      <c r="AU61" s="27" t="n"/>
      <c r="AV61" s="37" t="n"/>
      <c r="AW61" s="38">
        <f>IF(AO61="","",IF(AR61="Yes","❌ Disc",IF(AQ61="No","⚠ Missing",IF(AT61="Yes","✓ OK","⚠ Check"))))</f>
        <v/>
      </c>
    </row>
    <row r="62" ht="18" customHeight="1" s="46">
      <c r="A62" s="39" t="n">
        <v>58</v>
      </c>
      <c r="B62" s="40" t="inlineStr">
        <is>
          <t>MEM Latte Cashmere</t>
        </is>
      </c>
      <c r="C62" s="41" t="inlineStr">
        <is>
          <t>MEM Latte Cashmere (Matt)</t>
        </is>
      </c>
      <c r="D62" s="39" t="inlineStr">
        <is>
          <t>SPACEWOOD FURNISHERS PVT LTD</t>
        </is>
      </c>
      <c r="E62" s="43" t="n">
        <v>46125</v>
      </c>
      <c r="F62" s="26" t="inlineStr">
        <is>
          <t>Sunil CR</t>
        </is>
      </c>
      <c r="G62" s="26" t="inlineStr">
        <is>
          <t>Yes</t>
        </is>
      </c>
      <c r="H62" s="26" t="inlineStr">
        <is>
          <t>No</t>
        </is>
      </c>
      <c r="I62" s="26" t="inlineStr">
        <is>
          <t>Good finish</t>
        </is>
      </c>
      <c r="J62" s="26" t="inlineStr">
        <is>
          <t>Yes</t>
        </is>
      </c>
      <c r="K62" s="27" t="n"/>
      <c r="L62" s="28" t="inlineStr">
        <is>
          <t>No</t>
        </is>
      </c>
      <c r="M62" s="29">
        <f>IF(E62="","",IF(H62="Yes","❌ Disc",IF(G62="No","⚠ Missing",IF(J62="Yes","✓ OK","⚠ Check"))))</f>
        <v/>
      </c>
      <c r="N62" s="43" t="n">
        <v>46193</v>
      </c>
      <c r="O62" s="26" t="inlineStr">
        <is>
          <t>Sunil CR</t>
        </is>
      </c>
      <c r="P62" s="26" t="inlineStr">
        <is>
          <t>Yes</t>
        </is>
      </c>
      <c r="Q62" s="26" t="inlineStr">
        <is>
          <t>No</t>
        </is>
      </c>
      <c r="R62" s="26" t="inlineStr">
        <is>
          <t>Good finish</t>
        </is>
      </c>
      <c r="S62" s="26" t="inlineStr">
        <is>
          <t>Yes</t>
        </is>
      </c>
      <c r="T62" s="27" t="n"/>
      <c r="U62" s="28" t="inlineStr">
        <is>
          <t>No</t>
        </is>
      </c>
      <c r="V62" s="29">
        <f>IF(N62="","",IF(Q62="Yes","❌ Disc",IF(P62="No","⚠ Missing",IF(S62="Yes","✓ OK","⚠ Check"))))</f>
        <v/>
      </c>
      <c r="W62" s="65" t="n">
        <v>46248</v>
      </c>
      <c r="X62" s="30" t="inlineStr">
        <is>
          <t>Sunil CR</t>
        </is>
      </c>
      <c r="Y62" s="30" t="inlineStr">
        <is>
          <t>Yes</t>
        </is>
      </c>
      <c r="Z62" s="30" t="n"/>
      <c r="AA62" s="30" t="inlineStr">
        <is>
          <t>Good finish</t>
        </is>
      </c>
      <c r="AB62" s="30" t="inlineStr">
        <is>
          <t>Yes</t>
        </is>
      </c>
      <c r="AC62" s="27" t="n"/>
      <c r="AD62" s="31" t="inlineStr">
        <is>
          <t>No</t>
        </is>
      </c>
      <c r="AE62" s="32">
        <f>IF(W62="","",IF(Z62="Yes","❌ Disc",IF(Y62="No","⚠ Missing",IF(AB62="Yes","✓ OK","⚠ Check"))))</f>
        <v/>
      </c>
      <c r="AF62" s="33" t="n"/>
      <c r="AG62" s="33" t="n"/>
      <c r="AH62" s="33" t="n"/>
      <c r="AI62" s="33" t="n"/>
      <c r="AJ62" s="33" t="n"/>
      <c r="AK62" s="33" t="n"/>
      <c r="AL62" s="27" t="n"/>
      <c r="AM62" s="34" t="n"/>
      <c r="AN62" s="35">
        <f>IF(AF62="","",IF(AI62="Yes","❌ Disc",IF(AH62="No","⚠ Missing",IF(AK62="Yes","✓ OK","⚠ Check"))))</f>
        <v/>
      </c>
      <c r="AO62" s="36" t="n"/>
      <c r="AP62" s="36" t="n"/>
      <c r="AQ62" s="36" t="n"/>
      <c r="AR62" s="36" t="n"/>
      <c r="AS62" s="36" t="n"/>
      <c r="AT62" s="36" t="n"/>
      <c r="AU62" s="27" t="n"/>
      <c r="AV62" s="37" t="n"/>
      <c r="AW62" s="38">
        <f>IF(AO62="","",IF(AR62="Yes","❌ Disc",IF(AQ62="No","⚠ Missing",IF(AT62="Yes","✓ OK","⚠ Check"))))</f>
        <v/>
      </c>
    </row>
    <row r="63" ht="18" customHeight="1" s="46">
      <c r="A63" s="23" t="n">
        <v>59</v>
      </c>
      <c r="B63" s="24" t="inlineStr">
        <is>
          <t>MEM Magnolia Fine High Gloss</t>
        </is>
      </c>
      <c r="C63" s="25" t="inlineStr">
        <is>
          <t>MEM Magnolia Fine (High Gloss)</t>
        </is>
      </c>
      <c r="D63" s="23" t="inlineStr">
        <is>
          <t>SPACEWOOD FURNISHERS PVT LTD</t>
        </is>
      </c>
      <c r="E63" s="43" t="n">
        <v>46125</v>
      </c>
      <c r="F63" s="26" t="inlineStr">
        <is>
          <t>Sunil CR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Good finish</t>
        </is>
      </c>
      <c r="J63" s="26" t="inlineStr">
        <is>
          <t>Yes</t>
        </is>
      </c>
      <c r="K63" s="27" t="n"/>
      <c r="L63" s="28" t="inlineStr">
        <is>
          <t>No</t>
        </is>
      </c>
      <c r="M63" s="29">
        <f>IF(E63="","",IF(H63="Yes","❌ Disc",IF(G63="No","⚠ Missing",IF(J63="Yes","✓ OK","⚠ Check"))))</f>
        <v/>
      </c>
      <c r="N63" s="43" t="n">
        <v>46193</v>
      </c>
      <c r="O63" s="26" t="inlineStr">
        <is>
          <t>Sunil CR</t>
        </is>
      </c>
      <c r="P63" s="26" t="inlineStr">
        <is>
          <t>Yes</t>
        </is>
      </c>
      <c r="Q63" s="26" t="inlineStr">
        <is>
          <t>No</t>
        </is>
      </c>
      <c r="R63" s="26" t="inlineStr">
        <is>
          <t>Good finish</t>
        </is>
      </c>
      <c r="S63" s="26" t="inlineStr">
        <is>
          <t>Yes</t>
        </is>
      </c>
      <c r="T63" s="27" t="n"/>
      <c r="U63" s="28" t="inlineStr">
        <is>
          <t>No</t>
        </is>
      </c>
      <c r="V63" s="29">
        <f>IF(N63="","",IF(Q63="Yes","❌ Disc",IF(P63="No","⚠ Missing",IF(S63="Yes","✓ OK","⚠ Check"))))</f>
        <v/>
      </c>
      <c r="W63" s="65" t="n">
        <v>46248</v>
      </c>
      <c r="X63" s="30" t="inlineStr">
        <is>
          <t>Sunil CR</t>
        </is>
      </c>
      <c r="Y63" s="30" t="inlineStr">
        <is>
          <t>Yes</t>
        </is>
      </c>
      <c r="Z63" s="30" t="n"/>
      <c r="AA63" s="30" t="inlineStr">
        <is>
          <t>Good finish</t>
        </is>
      </c>
      <c r="AB63" s="30" t="inlineStr">
        <is>
          <t>Yes</t>
        </is>
      </c>
      <c r="AC63" s="27" t="n"/>
      <c r="AD63" s="31" t="inlineStr">
        <is>
          <t>No</t>
        </is>
      </c>
      <c r="AE63" s="32">
        <f>IF(W63="","",IF(Z63="Yes","❌ Disc",IF(Y63="No","⚠ Missing",IF(AB63="Yes","✓ OK","⚠ Check"))))</f>
        <v/>
      </c>
      <c r="AF63" s="33" t="n"/>
      <c r="AG63" s="33" t="n"/>
      <c r="AH63" s="33" t="n"/>
      <c r="AI63" s="33" t="n"/>
      <c r="AJ63" s="33" t="n"/>
      <c r="AK63" s="33" t="n"/>
      <c r="AL63" s="27" t="n"/>
      <c r="AM63" s="34" t="n"/>
      <c r="AN63" s="35">
        <f>IF(AF63="","",IF(AI63="Yes","❌ Disc",IF(AH63="No","⚠ Missing",IF(AK63="Yes","✓ OK","⚠ Check"))))</f>
        <v/>
      </c>
      <c r="AO63" s="36" t="n"/>
      <c r="AP63" s="36" t="n"/>
      <c r="AQ63" s="36" t="n"/>
      <c r="AR63" s="36" t="n"/>
      <c r="AS63" s="36" t="n"/>
      <c r="AT63" s="36" t="n"/>
      <c r="AU63" s="27" t="n"/>
      <c r="AV63" s="37" t="n"/>
      <c r="AW63" s="38">
        <f>IF(AO63="","",IF(AR63="Yes","❌ Disc",IF(AQ63="No","⚠ Missing",IF(AT63="Yes","✓ OK","⚠ Check"))))</f>
        <v/>
      </c>
    </row>
    <row r="64" ht="18" customHeight="1" s="46">
      <c r="A64" s="39" t="n">
        <v>60</v>
      </c>
      <c r="B64" s="40" t="inlineStr">
        <is>
          <t>MEM Oak Endgrain Delight</t>
        </is>
      </c>
      <c r="C64" s="41" t="inlineStr">
        <is>
          <t>MEM Oak Endgrain Delight (Matt)</t>
        </is>
      </c>
      <c r="D64" s="39" t="inlineStr">
        <is>
          <t>SPACEWOOD FURNISHERS PVT LTD</t>
        </is>
      </c>
      <c r="E64" s="43" t="n">
        <v>46125</v>
      </c>
      <c r="F64" s="26" t="inlineStr">
        <is>
          <t>Sunil CR</t>
        </is>
      </c>
      <c r="G64" s="26" t="inlineStr">
        <is>
          <t>Yes</t>
        </is>
      </c>
      <c r="H64" s="26" t="inlineStr">
        <is>
          <t>No</t>
        </is>
      </c>
      <c r="I64" s="26" t="inlineStr">
        <is>
          <t>Good finish</t>
        </is>
      </c>
      <c r="J64" s="26" t="inlineStr">
        <is>
          <t>Yes</t>
        </is>
      </c>
      <c r="K64" s="27" t="n"/>
      <c r="L64" s="28" t="inlineStr">
        <is>
          <t>No</t>
        </is>
      </c>
      <c r="M64" s="29">
        <f>IF(E64="","",IF(H64="Yes","❌ Disc",IF(G64="No","⚠ Missing",IF(J64="Yes","✓ OK","⚠ Check"))))</f>
        <v/>
      </c>
      <c r="N64" s="43" t="n">
        <v>46193</v>
      </c>
      <c r="O64" s="26" t="inlineStr">
        <is>
          <t>Sunil CR</t>
        </is>
      </c>
      <c r="P64" s="26" t="inlineStr">
        <is>
          <t>Yes</t>
        </is>
      </c>
      <c r="Q64" s="26" t="inlineStr">
        <is>
          <t>No</t>
        </is>
      </c>
      <c r="R64" s="26" t="inlineStr">
        <is>
          <t>Good finish</t>
        </is>
      </c>
      <c r="S64" s="26" t="inlineStr">
        <is>
          <t>Yes</t>
        </is>
      </c>
      <c r="T64" s="27" t="n"/>
      <c r="U64" s="28" t="inlineStr">
        <is>
          <t>No</t>
        </is>
      </c>
      <c r="V64" s="29">
        <f>IF(N64="","",IF(Q64="Yes","❌ Disc",IF(P64="No","⚠ Missing",IF(S64="Yes","✓ OK","⚠ Check"))))</f>
        <v/>
      </c>
      <c r="W64" s="65" t="n">
        <v>46248</v>
      </c>
      <c r="X64" s="30" t="inlineStr">
        <is>
          <t>Sunil CR</t>
        </is>
      </c>
      <c r="Y64" s="30" t="inlineStr">
        <is>
          <t>Yes</t>
        </is>
      </c>
      <c r="Z64" s="30" t="n"/>
      <c r="AA64" s="30" t="inlineStr">
        <is>
          <t>Good finish</t>
        </is>
      </c>
      <c r="AB64" s="30" t="inlineStr">
        <is>
          <t>Yes</t>
        </is>
      </c>
      <c r="AC64" s="27" t="n"/>
      <c r="AD64" s="31" t="inlineStr">
        <is>
          <t>No</t>
        </is>
      </c>
      <c r="AE64" s="32">
        <f>IF(W64="","",IF(Z64="Yes","❌ Disc",IF(Y64="No","⚠ Missing",IF(AB64="Yes","✓ OK","⚠ Check"))))</f>
        <v/>
      </c>
      <c r="AF64" s="33" t="n"/>
      <c r="AG64" s="33" t="n"/>
      <c r="AH64" s="33" t="n"/>
      <c r="AI64" s="33" t="n"/>
      <c r="AJ64" s="33" t="n"/>
      <c r="AK64" s="33" t="n"/>
      <c r="AL64" s="27" t="n"/>
      <c r="AM64" s="34" t="n"/>
      <c r="AN64" s="35">
        <f>IF(AF64="","",IF(AI64="Yes","❌ Disc",IF(AH64="No","⚠ Missing",IF(AK64="Yes","✓ OK","⚠ Check"))))</f>
        <v/>
      </c>
      <c r="AO64" s="36" t="n"/>
      <c r="AP64" s="36" t="n"/>
      <c r="AQ64" s="36" t="n"/>
      <c r="AR64" s="36" t="n"/>
      <c r="AS64" s="36" t="n"/>
      <c r="AT64" s="36" t="n"/>
      <c r="AU64" s="27" t="n"/>
      <c r="AV64" s="37" t="n"/>
      <c r="AW64" s="38">
        <f>IF(AO64="","",IF(AR64="Yes","❌ Disc",IF(AQ64="No","⚠ Missing",IF(AT64="Yes","✓ OK","⚠ Check"))))</f>
        <v/>
      </c>
    </row>
    <row r="65" ht="18" customHeight="1" s="46">
      <c r="A65" s="23" t="n">
        <v>61</v>
      </c>
      <c r="B65" s="24" t="inlineStr">
        <is>
          <t>MEM PT - Stone Dust (Matt)</t>
        </is>
      </c>
      <c r="C65" s="25" t="inlineStr">
        <is>
          <t>MEM PT - Stone Dust (Matt)</t>
        </is>
      </c>
      <c r="D65" s="23" t="inlineStr">
        <is>
          <t>SPACEWOOD FURNISHERS PVT LTD</t>
        </is>
      </c>
      <c r="E65" s="43" t="n">
        <v>46125</v>
      </c>
      <c r="F65" s="26" t="inlineStr">
        <is>
          <t>Sunil CR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Good finish</t>
        </is>
      </c>
      <c r="J65" s="26" t="inlineStr">
        <is>
          <t>Yes</t>
        </is>
      </c>
      <c r="K65" s="27" t="n"/>
      <c r="L65" s="28" t="inlineStr">
        <is>
          <t>No</t>
        </is>
      </c>
      <c r="M65" s="29">
        <f>IF(E65="","",IF(H65="Yes","❌ Disc",IF(G65="No","⚠ Missing",IF(J65="Yes","✓ OK","⚠ Check"))))</f>
        <v/>
      </c>
      <c r="N65" s="43" t="n">
        <v>46193</v>
      </c>
      <c r="O65" s="26" t="inlineStr">
        <is>
          <t>Sunil CR</t>
        </is>
      </c>
      <c r="P65" s="26" t="inlineStr">
        <is>
          <t>Yes</t>
        </is>
      </c>
      <c r="Q65" s="26" t="inlineStr">
        <is>
          <t>No</t>
        </is>
      </c>
      <c r="R65" s="26" t="inlineStr">
        <is>
          <t>Good finish</t>
        </is>
      </c>
      <c r="S65" s="26" t="inlineStr">
        <is>
          <t>Yes</t>
        </is>
      </c>
      <c r="T65" s="27" t="n"/>
      <c r="U65" s="28" t="inlineStr">
        <is>
          <t>No</t>
        </is>
      </c>
      <c r="V65" s="29">
        <f>IF(N65="","",IF(Q65="Yes","❌ Disc",IF(P65="No","⚠ Missing",IF(S65="Yes","✓ OK","⚠ Check"))))</f>
        <v/>
      </c>
      <c r="W65" s="65" t="n">
        <v>46248</v>
      </c>
      <c r="X65" s="30" t="inlineStr">
        <is>
          <t>Sunil CR</t>
        </is>
      </c>
      <c r="Y65" s="30" t="inlineStr">
        <is>
          <t>Yes</t>
        </is>
      </c>
      <c r="Z65" s="30" t="n"/>
      <c r="AA65" s="30" t="inlineStr">
        <is>
          <t>Good finish</t>
        </is>
      </c>
      <c r="AB65" s="30" t="inlineStr">
        <is>
          <t>Yes</t>
        </is>
      </c>
      <c r="AC65" s="27" t="n"/>
      <c r="AD65" s="31" t="inlineStr">
        <is>
          <t>No</t>
        </is>
      </c>
      <c r="AE65" s="32">
        <f>IF(W65="","",IF(Z65="Yes","❌ Disc",IF(Y65="No","⚠ Missing",IF(AB65="Yes","✓ OK","⚠ Check"))))</f>
        <v/>
      </c>
      <c r="AF65" s="33" t="n"/>
      <c r="AG65" s="33" t="n"/>
      <c r="AH65" s="33" t="n"/>
      <c r="AI65" s="33" t="n"/>
      <c r="AJ65" s="33" t="n"/>
      <c r="AK65" s="33" t="n"/>
      <c r="AL65" s="27" t="n"/>
      <c r="AM65" s="34" t="n"/>
      <c r="AN65" s="35">
        <f>IF(AF65="","",IF(AI65="Yes","❌ Disc",IF(AH65="No","⚠ Missing",IF(AK65="Yes","✓ OK","⚠ Check"))))</f>
        <v/>
      </c>
      <c r="AO65" s="36" t="n"/>
      <c r="AP65" s="36" t="n"/>
      <c r="AQ65" s="36" t="n"/>
      <c r="AR65" s="36" t="n"/>
      <c r="AS65" s="36" t="n"/>
      <c r="AT65" s="36" t="n"/>
      <c r="AU65" s="27" t="n"/>
      <c r="AV65" s="37" t="n"/>
      <c r="AW65" s="38">
        <f>IF(AO65="","",IF(AR65="Yes","❌ Disc",IF(AQ65="No","⚠ Missing",IF(AT65="Yes","✓ OK","⚠ Check"))))</f>
        <v/>
      </c>
    </row>
    <row r="66" ht="18" customHeight="1" s="46">
      <c r="A66" s="39" t="n">
        <v>62</v>
      </c>
      <c r="B66" s="40" t="inlineStr">
        <is>
          <t>MEM PT Daisy</t>
        </is>
      </c>
      <c r="C66" s="41" t="inlineStr">
        <is>
          <t>MEM PT Daisy (Matt)</t>
        </is>
      </c>
      <c r="D66" s="39" t="inlineStr">
        <is>
          <t>SPACEWOOD FURNISHERS PVT LTD</t>
        </is>
      </c>
      <c r="E66" s="43" t="n">
        <v>46125</v>
      </c>
      <c r="F66" s="26" t="inlineStr">
        <is>
          <t>Sunil CR</t>
        </is>
      </c>
      <c r="G66" s="26" t="inlineStr">
        <is>
          <t>Yes</t>
        </is>
      </c>
      <c r="H66" s="26" t="inlineStr">
        <is>
          <t>No</t>
        </is>
      </c>
      <c r="I66" s="26" t="inlineStr">
        <is>
          <t>Good finish</t>
        </is>
      </c>
      <c r="J66" s="26" t="inlineStr">
        <is>
          <t>Yes</t>
        </is>
      </c>
      <c r="K66" s="27" t="n"/>
      <c r="L66" s="28" t="inlineStr">
        <is>
          <t>No</t>
        </is>
      </c>
      <c r="M66" s="29">
        <f>IF(E66="","",IF(H66="Yes","❌ Disc",IF(G66="No","⚠ Missing",IF(J66="Yes","✓ OK","⚠ Check"))))</f>
        <v/>
      </c>
      <c r="N66" s="43" t="n">
        <v>46193</v>
      </c>
      <c r="O66" s="26" t="inlineStr">
        <is>
          <t>Sunil CR</t>
        </is>
      </c>
      <c r="P66" s="26" t="inlineStr">
        <is>
          <t>Yes</t>
        </is>
      </c>
      <c r="Q66" s="26" t="inlineStr">
        <is>
          <t>No</t>
        </is>
      </c>
      <c r="R66" s="26" t="inlineStr">
        <is>
          <t>Good finish</t>
        </is>
      </c>
      <c r="S66" s="26" t="inlineStr">
        <is>
          <t>Yes</t>
        </is>
      </c>
      <c r="T66" s="27" t="n"/>
      <c r="U66" s="28" t="inlineStr">
        <is>
          <t>No</t>
        </is>
      </c>
      <c r="V66" s="29">
        <f>IF(N66="","",IF(Q66="Yes","❌ Disc",IF(P66="No","⚠ Missing",IF(S66="Yes","✓ OK","⚠ Check"))))</f>
        <v/>
      </c>
      <c r="W66" s="65" t="n">
        <v>46248</v>
      </c>
      <c r="X66" s="30" t="inlineStr">
        <is>
          <t>Sunil CR</t>
        </is>
      </c>
      <c r="Y66" s="30" t="inlineStr">
        <is>
          <t>Yes</t>
        </is>
      </c>
      <c r="Z66" s="30" t="n"/>
      <c r="AA66" s="30" t="inlineStr">
        <is>
          <t>Good finish</t>
        </is>
      </c>
      <c r="AB66" s="30" t="inlineStr">
        <is>
          <t>Yes</t>
        </is>
      </c>
      <c r="AC66" s="27" t="n"/>
      <c r="AD66" s="31" t="inlineStr">
        <is>
          <t>No</t>
        </is>
      </c>
      <c r="AE66" s="32">
        <f>IF(W66="","",IF(Z66="Yes","❌ Disc",IF(Y66="No","⚠ Missing",IF(AB66="Yes","✓ OK","⚠ Check"))))</f>
        <v/>
      </c>
      <c r="AF66" s="33" t="n"/>
      <c r="AG66" s="33" t="n"/>
      <c r="AH66" s="33" t="n"/>
      <c r="AI66" s="33" t="n"/>
      <c r="AJ66" s="33" t="n"/>
      <c r="AK66" s="33" t="n"/>
      <c r="AL66" s="27" t="n"/>
      <c r="AM66" s="34" t="n"/>
      <c r="AN66" s="35">
        <f>IF(AF66="","",IF(AI66="Yes","❌ Disc",IF(AH66="No","⚠ Missing",IF(AK66="Yes","✓ OK","⚠ Check"))))</f>
        <v/>
      </c>
      <c r="AO66" s="36" t="n"/>
      <c r="AP66" s="36" t="n"/>
      <c r="AQ66" s="36" t="n"/>
      <c r="AR66" s="36" t="n"/>
      <c r="AS66" s="36" t="n"/>
      <c r="AT66" s="36" t="n"/>
      <c r="AU66" s="27" t="n"/>
      <c r="AV66" s="37" t="n"/>
      <c r="AW66" s="38">
        <f>IF(AO66="","",IF(AR66="Yes","❌ Disc",IF(AQ66="No","⚠ Missing",IF(AT66="Yes","✓ OK","⚠ Check"))))</f>
        <v/>
      </c>
    </row>
    <row r="67" ht="18" customHeight="1" s="46">
      <c r="A67" s="23" t="n">
        <v>63</v>
      </c>
      <c r="B67" s="24" t="inlineStr">
        <is>
          <t>MEM PT Graphite</t>
        </is>
      </c>
      <c r="C67" s="25" t="inlineStr">
        <is>
          <t>MEM PT Graphite (Matt)</t>
        </is>
      </c>
      <c r="D67" s="23" t="inlineStr">
        <is>
          <t>SPACEWOOD FURNISHERS PVT LTD</t>
        </is>
      </c>
      <c r="E67" s="43" t="n">
        <v>46125</v>
      </c>
      <c r="F67" s="26" t="inlineStr">
        <is>
          <t>Sunil CR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Good finish</t>
        </is>
      </c>
      <c r="J67" s="26" t="inlineStr">
        <is>
          <t>Yes</t>
        </is>
      </c>
      <c r="K67" s="27" t="n"/>
      <c r="L67" s="28" t="inlineStr">
        <is>
          <t>No</t>
        </is>
      </c>
      <c r="M67" s="29">
        <f>IF(E67="","",IF(H67="Yes","❌ Disc",IF(G67="No","⚠ Missing",IF(J67="Yes","✓ OK","⚠ Check"))))</f>
        <v/>
      </c>
      <c r="N67" s="43" t="n">
        <v>46193</v>
      </c>
      <c r="O67" s="26" t="inlineStr">
        <is>
          <t>Sunil CR</t>
        </is>
      </c>
      <c r="P67" s="26" t="inlineStr">
        <is>
          <t>Yes</t>
        </is>
      </c>
      <c r="Q67" s="26" t="inlineStr">
        <is>
          <t>No</t>
        </is>
      </c>
      <c r="R67" s="26" t="inlineStr">
        <is>
          <t>Good finish</t>
        </is>
      </c>
      <c r="S67" s="26" t="inlineStr">
        <is>
          <t>Yes</t>
        </is>
      </c>
      <c r="T67" s="27" t="n"/>
      <c r="U67" s="28" t="inlineStr">
        <is>
          <t>No</t>
        </is>
      </c>
      <c r="V67" s="29">
        <f>IF(N67="","",IF(Q67="Yes","❌ Disc",IF(P67="No","⚠ Missing",IF(S67="Yes","✓ OK","⚠ Check"))))</f>
        <v/>
      </c>
      <c r="W67" s="65" t="n">
        <v>46248</v>
      </c>
      <c r="X67" s="30" t="inlineStr">
        <is>
          <t>Sunil CR</t>
        </is>
      </c>
      <c r="Y67" s="30" t="inlineStr">
        <is>
          <t>Yes</t>
        </is>
      </c>
      <c r="Z67" s="30" t="n"/>
      <c r="AA67" s="30" t="inlineStr">
        <is>
          <t>Good finish</t>
        </is>
      </c>
      <c r="AB67" s="30" t="inlineStr">
        <is>
          <t>Yes</t>
        </is>
      </c>
      <c r="AC67" s="27" t="n"/>
      <c r="AD67" s="31" t="inlineStr">
        <is>
          <t>No</t>
        </is>
      </c>
      <c r="AE67" s="32">
        <f>IF(W67="","",IF(Z67="Yes","❌ Disc",IF(Y67="No","⚠ Missing",IF(AB67="Yes","✓ OK","⚠ Check"))))</f>
        <v/>
      </c>
      <c r="AF67" s="33" t="n"/>
      <c r="AG67" s="33" t="n"/>
      <c r="AH67" s="33" t="n"/>
      <c r="AI67" s="33" t="n"/>
      <c r="AJ67" s="33" t="n"/>
      <c r="AK67" s="33" t="n"/>
      <c r="AL67" s="27" t="n"/>
      <c r="AM67" s="34" t="n"/>
      <c r="AN67" s="35">
        <f>IF(AF67="","",IF(AI67="Yes","❌ Disc",IF(AH67="No","⚠ Missing",IF(AK67="Yes","✓ OK","⚠ Check"))))</f>
        <v/>
      </c>
      <c r="AO67" s="36" t="n"/>
      <c r="AP67" s="36" t="n"/>
      <c r="AQ67" s="36" t="n"/>
      <c r="AR67" s="36" t="n"/>
      <c r="AS67" s="36" t="n"/>
      <c r="AT67" s="36" t="n"/>
      <c r="AU67" s="27" t="n"/>
      <c r="AV67" s="37" t="n"/>
      <c r="AW67" s="38">
        <f>IF(AO67="","",IF(AR67="Yes","❌ Disc",IF(AQ67="No","⚠ Missing",IF(AT67="Yes","✓ OK","⚠ Check"))))</f>
        <v/>
      </c>
    </row>
    <row r="68" ht="18" customHeight="1" s="46">
      <c r="A68" s="39" t="n">
        <v>64</v>
      </c>
      <c r="B68" s="40" t="inlineStr">
        <is>
          <t>MEM PT Marine</t>
        </is>
      </c>
      <c r="C68" s="41" t="inlineStr">
        <is>
          <t>MEM PT Marine (Matt)</t>
        </is>
      </c>
      <c r="D68" s="39" t="inlineStr">
        <is>
          <t>SPACEWOOD FURNISHERS PVT LTD</t>
        </is>
      </c>
      <c r="E68" s="43" t="n">
        <v>46125</v>
      </c>
      <c r="F68" s="26" t="inlineStr">
        <is>
          <t>Sunil CR</t>
        </is>
      </c>
      <c r="G68" s="26" t="inlineStr">
        <is>
          <t>Yes</t>
        </is>
      </c>
      <c r="H68" s="26" t="inlineStr">
        <is>
          <t>No</t>
        </is>
      </c>
      <c r="I68" s="26" t="inlineStr">
        <is>
          <t>Good finish</t>
        </is>
      </c>
      <c r="J68" s="26" t="inlineStr">
        <is>
          <t>Yes</t>
        </is>
      </c>
      <c r="K68" s="27" t="n"/>
      <c r="L68" s="28" t="inlineStr">
        <is>
          <t>No</t>
        </is>
      </c>
      <c r="M68" s="29">
        <f>IF(E68="","",IF(H68="Yes","❌ Disc",IF(G68="No","⚠ Missing",IF(J68="Yes","✓ OK","⚠ Check"))))</f>
        <v/>
      </c>
      <c r="N68" s="43" t="n">
        <v>46193</v>
      </c>
      <c r="O68" s="26" t="inlineStr">
        <is>
          <t>Sunil CR</t>
        </is>
      </c>
      <c r="P68" s="26" t="inlineStr">
        <is>
          <t>Yes</t>
        </is>
      </c>
      <c r="Q68" s="26" t="inlineStr">
        <is>
          <t>No</t>
        </is>
      </c>
      <c r="R68" s="26" t="inlineStr">
        <is>
          <t>Good finish</t>
        </is>
      </c>
      <c r="S68" s="26" t="inlineStr">
        <is>
          <t>Yes</t>
        </is>
      </c>
      <c r="T68" s="27" t="n"/>
      <c r="U68" s="28" t="inlineStr">
        <is>
          <t>No</t>
        </is>
      </c>
      <c r="V68" s="29">
        <f>IF(N68="","",IF(Q68="Yes","❌ Disc",IF(P68="No","⚠ Missing",IF(S68="Yes","✓ OK","⚠ Check"))))</f>
        <v/>
      </c>
      <c r="W68" s="65" t="n">
        <v>46248</v>
      </c>
      <c r="X68" s="30" t="inlineStr">
        <is>
          <t>Sunil CR</t>
        </is>
      </c>
      <c r="Y68" s="30" t="inlineStr">
        <is>
          <t>Yes</t>
        </is>
      </c>
      <c r="Z68" s="30" t="n"/>
      <c r="AA68" s="30" t="inlineStr">
        <is>
          <t>Good finish</t>
        </is>
      </c>
      <c r="AB68" s="30" t="inlineStr">
        <is>
          <t>Yes</t>
        </is>
      </c>
      <c r="AC68" s="27" t="n"/>
      <c r="AD68" s="31" t="inlineStr">
        <is>
          <t>No</t>
        </is>
      </c>
      <c r="AE68" s="32">
        <f>IF(W68="","",IF(Z68="Yes","❌ Disc",IF(Y68="No","⚠ Missing",IF(AB68="Yes","✓ OK","⚠ Check"))))</f>
        <v/>
      </c>
      <c r="AF68" s="33" t="n"/>
      <c r="AG68" s="33" t="n"/>
      <c r="AH68" s="33" t="n"/>
      <c r="AI68" s="33" t="n"/>
      <c r="AJ68" s="33" t="n"/>
      <c r="AK68" s="33" t="n"/>
      <c r="AL68" s="27" t="n"/>
      <c r="AM68" s="34" t="n"/>
      <c r="AN68" s="35">
        <f>IF(AF68="","",IF(AI68="Yes","❌ Disc",IF(AH68="No","⚠ Missing",IF(AK68="Yes","✓ OK","⚠ Check"))))</f>
        <v/>
      </c>
      <c r="AO68" s="36" t="n"/>
      <c r="AP68" s="36" t="n"/>
      <c r="AQ68" s="36" t="n"/>
      <c r="AR68" s="36" t="n"/>
      <c r="AS68" s="36" t="n"/>
      <c r="AT68" s="36" t="n"/>
      <c r="AU68" s="27" t="n"/>
      <c r="AV68" s="37" t="n"/>
      <c r="AW68" s="38">
        <f>IF(AO68="","",IF(AR68="Yes","❌ Disc",IF(AQ68="No","⚠ Missing",IF(AT68="Yes","✓ OK","⚠ Check"))))</f>
        <v/>
      </c>
    </row>
    <row r="69" ht="18" customHeight="1" s="46">
      <c r="A69" s="23" t="n">
        <v>65</v>
      </c>
      <c r="B69" s="24" t="inlineStr">
        <is>
          <t>MEM Sand Satin</t>
        </is>
      </c>
      <c r="C69" s="25" t="inlineStr">
        <is>
          <t>MEM Sand Satin (Matt)</t>
        </is>
      </c>
      <c r="D69" s="23" t="inlineStr">
        <is>
          <t>SPACEWOOD FURNISHERS PVT LTD</t>
        </is>
      </c>
      <c r="E69" s="43" t="n">
        <v>46125</v>
      </c>
      <c r="F69" s="26" t="inlineStr">
        <is>
          <t>Sunil CR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Good finish</t>
        </is>
      </c>
      <c r="J69" s="26" t="inlineStr">
        <is>
          <t>Yes</t>
        </is>
      </c>
      <c r="K69" s="27" t="n"/>
      <c r="L69" s="28" t="inlineStr">
        <is>
          <t>No</t>
        </is>
      </c>
      <c r="M69" s="29">
        <f>IF(E69="","",IF(H69="Yes","❌ Disc",IF(G69="No","⚠ Missing",IF(J69="Yes","✓ OK","⚠ Check"))))</f>
        <v/>
      </c>
      <c r="N69" s="43" t="n">
        <v>46193</v>
      </c>
      <c r="O69" s="26" t="inlineStr">
        <is>
          <t>Sunil CR</t>
        </is>
      </c>
      <c r="P69" s="26" t="inlineStr">
        <is>
          <t>Yes</t>
        </is>
      </c>
      <c r="Q69" s="26" t="inlineStr">
        <is>
          <t>No</t>
        </is>
      </c>
      <c r="R69" s="26" t="inlineStr">
        <is>
          <t>Good finish</t>
        </is>
      </c>
      <c r="S69" s="26" t="inlineStr">
        <is>
          <t>Yes</t>
        </is>
      </c>
      <c r="T69" s="27" t="n"/>
      <c r="U69" s="28" t="inlineStr">
        <is>
          <t>No</t>
        </is>
      </c>
      <c r="V69" s="29">
        <f>IF(N69="","",IF(Q69="Yes","❌ Disc",IF(P69="No","⚠ Missing",IF(S69="Yes","✓ OK","⚠ Check"))))</f>
        <v/>
      </c>
      <c r="W69" s="65" t="n">
        <v>46248</v>
      </c>
      <c r="X69" s="30" t="inlineStr">
        <is>
          <t>Sunil CR</t>
        </is>
      </c>
      <c r="Y69" s="30" t="inlineStr">
        <is>
          <t>Yes</t>
        </is>
      </c>
      <c r="Z69" s="30" t="n"/>
      <c r="AA69" s="30" t="inlineStr">
        <is>
          <t>Good finish</t>
        </is>
      </c>
      <c r="AB69" s="30" t="inlineStr">
        <is>
          <t>Yes</t>
        </is>
      </c>
      <c r="AC69" s="27" t="n"/>
      <c r="AD69" s="31" t="inlineStr">
        <is>
          <t>No</t>
        </is>
      </c>
      <c r="AE69" s="32">
        <f>IF(W69="","",IF(Z69="Yes","❌ Disc",IF(Y69="No","⚠ Missing",IF(AB69="Yes","✓ OK","⚠ Check"))))</f>
        <v/>
      </c>
      <c r="AF69" s="33" t="n"/>
      <c r="AG69" s="33" t="n"/>
      <c r="AH69" s="33" t="n"/>
      <c r="AI69" s="33" t="n"/>
      <c r="AJ69" s="33" t="n"/>
      <c r="AK69" s="33" t="n"/>
      <c r="AL69" s="27" t="n"/>
      <c r="AM69" s="34" t="n"/>
      <c r="AN69" s="35">
        <f>IF(AF69="","",IF(AI69="Yes","❌ Disc",IF(AH69="No","⚠ Missing",IF(AK69="Yes","✓ OK","⚠ Check"))))</f>
        <v/>
      </c>
      <c r="AO69" s="36" t="n"/>
      <c r="AP69" s="36" t="n"/>
      <c r="AQ69" s="36" t="n"/>
      <c r="AR69" s="36" t="n"/>
      <c r="AS69" s="36" t="n"/>
      <c r="AT69" s="36" t="n"/>
      <c r="AU69" s="27" t="n"/>
      <c r="AV69" s="37" t="n"/>
      <c r="AW69" s="38">
        <f>IF(AO69="","",IF(AR69="Yes","❌ Disc",IF(AQ69="No","⚠ Missing",IF(AT69="Yes","✓ OK","⚠ Check"))))</f>
        <v/>
      </c>
    </row>
    <row r="70" ht="18" customHeight="1" s="46">
      <c r="A70" s="39" t="n">
        <v>66</v>
      </c>
      <c r="B70" s="40" t="inlineStr">
        <is>
          <t>150x2400mm Snow White MT</t>
        </is>
      </c>
      <c r="C70" s="41" t="inlineStr">
        <is>
          <t>MEM Snow White (Matt)</t>
        </is>
      </c>
      <c r="D70" s="39" t="inlineStr">
        <is>
          <t>SPACEWOOD FURNISHERS PVT LTD</t>
        </is>
      </c>
      <c r="E70" s="43" t="n">
        <v>46125</v>
      </c>
      <c r="F70" s="26" t="inlineStr">
        <is>
          <t>Sunil CR</t>
        </is>
      </c>
      <c r="G70" s="26" t="inlineStr">
        <is>
          <t>Yes</t>
        </is>
      </c>
      <c r="H70" s="26" t="inlineStr">
        <is>
          <t>No</t>
        </is>
      </c>
      <c r="I70" s="26" t="inlineStr">
        <is>
          <t>Good finish</t>
        </is>
      </c>
      <c r="J70" s="26" t="inlineStr">
        <is>
          <t>Yes</t>
        </is>
      </c>
      <c r="K70" s="27" t="n"/>
      <c r="L70" s="28" t="inlineStr">
        <is>
          <t>No</t>
        </is>
      </c>
      <c r="M70" s="29">
        <f>IF(E70="","",IF(H70="Yes","❌ Disc",IF(G70="No","⚠ Missing",IF(J70="Yes","✓ OK","⚠ Check"))))</f>
        <v/>
      </c>
      <c r="N70" s="43" t="n">
        <v>46193</v>
      </c>
      <c r="O70" s="26" t="inlineStr">
        <is>
          <t>Sunil CR</t>
        </is>
      </c>
      <c r="P70" s="26" t="inlineStr">
        <is>
          <t>Yes</t>
        </is>
      </c>
      <c r="Q70" s="26" t="inlineStr">
        <is>
          <t>No</t>
        </is>
      </c>
      <c r="R70" s="26" t="inlineStr">
        <is>
          <t>Good finish</t>
        </is>
      </c>
      <c r="S70" s="26" t="inlineStr">
        <is>
          <t>Yes</t>
        </is>
      </c>
      <c r="T70" s="27" t="n"/>
      <c r="U70" s="28" t="inlineStr">
        <is>
          <t>No</t>
        </is>
      </c>
      <c r="V70" s="29">
        <f>IF(N70="","",IF(Q70="Yes","❌ Disc",IF(P70="No","⚠ Missing",IF(S70="Yes","✓ OK","⚠ Check"))))</f>
        <v/>
      </c>
      <c r="W70" s="65" t="n">
        <v>46248</v>
      </c>
      <c r="X70" s="30" t="inlineStr">
        <is>
          <t>Sunil CR</t>
        </is>
      </c>
      <c r="Y70" s="30" t="inlineStr">
        <is>
          <t>Yes</t>
        </is>
      </c>
      <c r="Z70" s="30" t="n"/>
      <c r="AA70" s="30" t="inlineStr">
        <is>
          <t>Good finish</t>
        </is>
      </c>
      <c r="AB70" s="30" t="inlineStr">
        <is>
          <t>Yes</t>
        </is>
      </c>
      <c r="AC70" s="27" t="n"/>
      <c r="AD70" s="31" t="inlineStr">
        <is>
          <t>No</t>
        </is>
      </c>
      <c r="AE70" s="32">
        <f>IF(W70="","",IF(Z70="Yes","❌ Disc",IF(Y70="No","⚠ Missing",IF(AB70="Yes","✓ OK","⚠ Check"))))</f>
        <v/>
      </c>
      <c r="AF70" s="33" t="n"/>
      <c r="AG70" s="33" t="n"/>
      <c r="AH70" s="33" t="n"/>
      <c r="AI70" s="33" t="n"/>
      <c r="AJ70" s="33" t="n"/>
      <c r="AK70" s="33" t="n"/>
      <c r="AL70" s="27" t="n"/>
      <c r="AM70" s="34" t="n"/>
      <c r="AN70" s="35">
        <f>IF(AF70="","",IF(AI70="Yes","❌ Disc",IF(AH70="No","⚠ Missing",IF(AK70="Yes","✓ OK","⚠ Check"))))</f>
        <v/>
      </c>
      <c r="AO70" s="36" t="n"/>
      <c r="AP70" s="36" t="n"/>
      <c r="AQ70" s="36" t="n"/>
      <c r="AR70" s="36" t="n"/>
      <c r="AS70" s="36" t="n"/>
      <c r="AT70" s="36" t="n"/>
      <c r="AU70" s="27" t="n"/>
      <c r="AV70" s="37" t="n"/>
      <c r="AW70" s="38">
        <f>IF(AO70="","",IF(AR70="Yes","❌ Disc",IF(AQ70="No","⚠ Missing",IF(AT70="Yes","✓ OK","⚠ Check"))))</f>
        <v/>
      </c>
    </row>
    <row r="71" ht="18" customHeight="1" s="46">
      <c r="A71" s="23" t="n">
        <v>67</v>
      </c>
      <c r="B71" s="24" t="inlineStr">
        <is>
          <t>MEM Sonoma Ash</t>
        </is>
      </c>
      <c r="C71" s="25" t="inlineStr">
        <is>
          <t>MEM Sonoma Ash (Matt)</t>
        </is>
      </c>
      <c r="D71" s="23" t="inlineStr">
        <is>
          <t>SPACEWOOD FURNISHERS PVT LTD</t>
        </is>
      </c>
      <c r="E71" s="43" t="n">
        <v>46125</v>
      </c>
      <c r="F71" s="26" t="inlineStr">
        <is>
          <t>Sunil CR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Good finish</t>
        </is>
      </c>
      <c r="J71" s="26" t="inlineStr">
        <is>
          <t>Yes</t>
        </is>
      </c>
      <c r="K71" s="27" t="n"/>
      <c r="L71" s="28" t="inlineStr">
        <is>
          <t>No</t>
        </is>
      </c>
      <c r="M71" s="29">
        <f>IF(E71="","",IF(H71="Yes","❌ Disc",IF(G71="No","⚠ Missing",IF(J71="Yes","✓ OK","⚠ Check"))))</f>
        <v/>
      </c>
      <c r="N71" s="43" t="n">
        <v>46193</v>
      </c>
      <c r="O71" s="26" t="inlineStr">
        <is>
          <t>Sunil CR</t>
        </is>
      </c>
      <c r="P71" s="26" t="inlineStr">
        <is>
          <t>Yes</t>
        </is>
      </c>
      <c r="Q71" s="26" t="inlineStr">
        <is>
          <t>No</t>
        </is>
      </c>
      <c r="R71" s="26" t="inlineStr">
        <is>
          <t>Good finish</t>
        </is>
      </c>
      <c r="S71" s="26" t="inlineStr">
        <is>
          <t>Yes</t>
        </is>
      </c>
      <c r="T71" s="27" t="n"/>
      <c r="U71" s="28" t="inlineStr">
        <is>
          <t>No</t>
        </is>
      </c>
      <c r="V71" s="29">
        <f>IF(N71="","",IF(Q71="Yes","❌ Disc",IF(P71="No","⚠ Missing",IF(S71="Yes","✓ OK","⚠ Check"))))</f>
        <v/>
      </c>
      <c r="W71" s="65" t="n">
        <v>46248</v>
      </c>
      <c r="X71" s="30" t="inlineStr">
        <is>
          <t>Sunil CR</t>
        </is>
      </c>
      <c r="Y71" s="30" t="inlineStr">
        <is>
          <t>Yes</t>
        </is>
      </c>
      <c r="Z71" s="30" t="n"/>
      <c r="AA71" s="30" t="inlineStr">
        <is>
          <t>Good finish</t>
        </is>
      </c>
      <c r="AB71" s="30" t="inlineStr">
        <is>
          <t>Yes</t>
        </is>
      </c>
      <c r="AC71" s="27" t="n"/>
      <c r="AD71" s="31" t="inlineStr">
        <is>
          <t>No</t>
        </is>
      </c>
      <c r="AE71" s="32">
        <f>IF(W71="","",IF(Z71="Yes","❌ Disc",IF(Y71="No","⚠ Missing",IF(AB71="Yes","✓ OK","⚠ Check"))))</f>
        <v/>
      </c>
      <c r="AF71" s="33" t="n"/>
      <c r="AG71" s="33" t="n"/>
      <c r="AH71" s="33" t="n"/>
      <c r="AI71" s="33" t="n"/>
      <c r="AJ71" s="33" t="n"/>
      <c r="AK71" s="33" t="n"/>
      <c r="AL71" s="27" t="n"/>
      <c r="AM71" s="34" t="n"/>
      <c r="AN71" s="35">
        <f>IF(AF71="","",IF(AI71="Yes","❌ Disc",IF(AH71="No","⚠ Missing",IF(AK71="Yes","✓ OK","⚠ Check"))))</f>
        <v/>
      </c>
      <c r="AO71" s="36" t="n"/>
      <c r="AP71" s="36" t="n"/>
      <c r="AQ71" s="36" t="n"/>
      <c r="AR71" s="36" t="n"/>
      <c r="AS71" s="36" t="n"/>
      <c r="AT71" s="36" t="n"/>
      <c r="AU71" s="27" t="n"/>
      <c r="AV71" s="37" t="n"/>
      <c r="AW71" s="38">
        <f>IF(AO71="","",IF(AR71="Yes","❌ Disc",IF(AQ71="No","⚠ Missing",IF(AT71="Yes","✓ OK","⚠ Check"))))</f>
        <v/>
      </c>
    </row>
    <row r="72" ht="18" customHeight="1" s="46">
      <c r="A72" s="39" t="n">
        <v>68</v>
      </c>
      <c r="B72" s="40" t="inlineStr">
        <is>
          <t>MEM Stone Grey Ash</t>
        </is>
      </c>
      <c r="C72" s="41" t="inlineStr">
        <is>
          <t>MEM Stone Grey Modern Ash (Matt)</t>
        </is>
      </c>
      <c r="D72" s="39" t="inlineStr">
        <is>
          <t>SPACEWOOD FURNISHERS PVT LTD</t>
        </is>
      </c>
      <c r="E72" s="43" t="n">
        <v>46125</v>
      </c>
      <c r="F72" s="26" t="inlineStr">
        <is>
          <t>Sunil CR</t>
        </is>
      </c>
      <c r="G72" s="26" t="inlineStr">
        <is>
          <t>Yes</t>
        </is>
      </c>
      <c r="H72" s="26" t="inlineStr">
        <is>
          <t>No</t>
        </is>
      </c>
      <c r="I72" s="26" t="inlineStr">
        <is>
          <t>Good finish</t>
        </is>
      </c>
      <c r="J72" s="26" t="inlineStr">
        <is>
          <t>Yes</t>
        </is>
      </c>
      <c r="K72" s="27" t="n"/>
      <c r="L72" s="28" t="inlineStr">
        <is>
          <t>No</t>
        </is>
      </c>
      <c r="M72" s="29">
        <f>IF(E72="","",IF(H72="Yes","❌ Disc",IF(G72="No","⚠ Missing",IF(J72="Yes","✓ OK","⚠ Check"))))</f>
        <v/>
      </c>
      <c r="N72" s="43" t="n">
        <v>46193</v>
      </c>
      <c r="O72" s="26" t="inlineStr">
        <is>
          <t>Sunil CR</t>
        </is>
      </c>
      <c r="P72" s="26" t="inlineStr">
        <is>
          <t>Yes</t>
        </is>
      </c>
      <c r="Q72" s="26" t="inlineStr">
        <is>
          <t>No</t>
        </is>
      </c>
      <c r="R72" s="26" t="inlineStr">
        <is>
          <t>Good finish</t>
        </is>
      </c>
      <c r="S72" s="26" t="inlineStr">
        <is>
          <t>Yes</t>
        </is>
      </c>
      <c r="T72" s="27" t="n"/>
      <c r="U72" s="28" t="inlineStr">
        <is>
          <t>No</t>
        </is>
      </c>
      <c r="V72" s="29">
        <f>IF(N72="","",IF(Q72="Yes","❌ Disc",IF(P72="No","⚠ Missing",IF(S72="Yes","✓ OK","⚠ Check"))))</f>
        <v/>
      </c>
      <c r="W72" s="65" t="n">
        <v>46248</v>
      </c>
      <c r="X72" s="30" t="inlineStr">
        <is>
          <t>Sunil CR</t>
        </is>
      </c>
      <c r="Y72" s="30" t="inlineStr">
        <is>
          <t>Yes</t>
        </is>
      </c>
      <c r="Z72" s="30" t="n"/>
      <c r="AA72" s="30" t="inlineStr">
        <is>
          <t>Good finish</t>
        </is>
      </c>
      <c r="AB72" s="30" t="inlineStr">
        <is>
          <t>Yes</t>
        </is>
      </c>
      <c r="AC72" s="27" t="n"/>
      <c r="AD72" s="31" t="inlineStr">
        <is>
          <t>No</t>
        </is>
      </c>
      <c r="AE72" s="32">
        <f>IF(W72="","",IF(Z72="Yes","❌ Disc",IF(Y72="No","⚠ Missing",IF(AB72="Yes","✓ OK","⚠ Check"))))</f>
        <v/>
      </c>
      <c r="AF72" s="33" t="n"/>
      <c r="AG72" s="33" t="n"/>
      <c r="AH72" s="33" t="n"/>
      <c r="AI72" s="33" t="n"/>
      <c r="AJ72" s="33" t="n"/>
      <c r="AK72" s="33" t="n"/>
      <c r="AL72" s="27" t="n"/>
      <c r="AM72" s="34" t="n"/>
      <c r="AN72" s="35">
        <f>IF(AF72="","",IF(AI72="Yes","❌ Disc",IF(AH72="No","⚠ Missing",IF(AK72="Yes","✓ OK","⚠ Check"))))</f>
        <v/>
      </c>
      <c r="AO72" s="36" t="n"/>
      <c r="AP72" s="36" t="n"/>
      <c r="AQ72" s="36" t="n"/>
      <c r="AR72" s="36" t="n"/>
      <c r="AS72" s="36" t="n"/>
      <c r="AT72" s="36" t="n"/>
      <c r="AU72" s="27" t="n"/>
      <c r="AV72" s="37" t="n"/>
      <c r="AW72" s="38">
        <f>IF(AO72="","",IF(AR72="Yes","❌ Disc",IF(AQ72="No","⚠ Missing",IF(AT72="Yes","✓ OK","⚠ Check"))))</f>
        <v/>
      </c>
    </row>
    <row r="73" ht="18" customHeight="1" s="46">
      <c r="A73" s="23" t="n">
        <v>69</v>
      </c>
      <c r="B73" s="24" t="inlineStr">
        <is>
          <t>MEM Urban Walnut</t>
        </is>
      </c>
      <c r="C73" s="25" t="inlineStr">
        <is>
          <t>MEM Urban Walnut (Matt)</t>
        </is>
      </c>
      <c r="D73" s="23" t="inlineStr">
        <is>
          <t>SPACEWOOD FURNISHERS PVT LTD</t>
        </is>
      </c>
      <c r="E73" s="43" t="n">
        <v>46125</v>
      </c>
      <c r="F73" s="26" t="inlineStr">
        <is>
          <t>Sunil CR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Good finish</t>
        </is>
      </c>
      <c r="J73" s="26" t="inlineStr">
        <is>
          <t>Yes</t>
        </is>
      </c>
      <c r="K73" s="27" t="n"/>
      <c r="L73" s="28" t="inlineStr">
        <is>
          <t>No</t>
        </is>
      </c>
      <c r="M73" s="29">
        <f>IF(E73="","",IF(H73="Yes","❌ Disc",IF(G73="No","⚠ Missing",IF(J73="Yes","✓ OK","⚠ Check"))))</f>
        <v/>
      </c>
      <c r="N73" s="43" t="n">
        <v>46193</v>
      </c>
      <c r="O73" s="26" t="inlineStr">
        <is>
          <t>Sunil CR</t>
        </is>
      </c>
      <c r="P73" s="26" t="inlineStr">
        <is>
          <t>Yes</t>
        </is>
      </c>
      <c r="Q73" s="26" t="inlineStr">
        <is>
          <t>No</t>
        </is>
      </c>
      <c r="R73" s="26" t="inlineStr">
        <is>
          <t>Good finish</t>
        </is>
      </c>
      <c r="S73" s="26" t="inlineStr">
        <is>
          <t>Yes</t>
        </is>
      </c>
      <c r="T73" s="27" t="n"/>
      <c r="U73" s="28" t="inlineStr">
        <is>
          <t>No</t>
        </is>
      </c>
      <c r="V73" s="29">
        <f>IF(N73="","",IF(Q73="Yes","❌ Disc",IF(P73="No","⚠ Missing",IF(S73="Yes","✓ OK","⚠ Check"))))</f>
        <v/>
      </c>
      <c r="W73" s="65" t="n">
        <v>46248</v>
      </c>
      <c r="X73" s="30" t="inlineStr">
        <is>
          <t>Sunil CR</t>
        </is>
      </c>
      <c r="Y73" s="30" t="inlineStr">
        <is>
          <t>Yes</t>
        </is>
      </c>
      <c r="Z73" s="30" t="n"/>
      <c r="AA73" s="30" t="inlineStr">
        <is>
          <t>Good finish</t>
        </is>
      </c>
      <c r="AB73" s="30" t="inlineStr">
        <is>
          <t>Yes</t>
        </is>
      </c>
      <c r="AC73" s="27" t="n"/>
      <c r="AD73" s="31" t="inlineStr">
        <is>
          <t>No</t>
        </is>
      </c>
      <c r="AE73" s="32">
        <f>IF(W73="","",IF(Z73="Yes","❌ Disc",IF(Y73="No","⚠ Missing",IF(AB73="Yes","✓ OK","⚠ Check"))))</f>
        <v/>
      </c>
      <c r="AF73" s="33" t="n"/>
      <c r="AG73" s="33" t="n"/>
      <c r="AH73" s="33" t="n"/>
      <c r="AI73" s="33" t="n"/>
      <c r="AJ73" s="33" t="n"/>
      <c r="AK73" s="33" t="n"/>
      <c r="AL73" s="27" t="n"/>
      <c r="AM73" s="34" t="n"/>
      <c r="AN73" s="35">
        <f>IF(AF73="","",IF(AI73="Yes","❌ Disc",IF(AH73="No","⚠ Missing",IF(AK73="Yes","✓ OK","⚠ Check"))))</f>
        <v/>
      </c>
      <c r="AO73" s="36" t="n"/>
      <c r="AP73" s="36" t="n"/>
      <c r="AQ73" s="36" t="n"/>
      <c r="AR73" s="36" t="n"/>
      <c r="AS73" s="36" t="n"/>
      <c r="AT73" s="36" t="n"/>
      <c r="AU73" s="27" t="n"/>
      <c r="AV73" s="37" t="n"/>
      <c r="AW73" s="38">
        <f>IF(AO73="","",IF(AR73="Yes","❌ Disc",IF(AQ73="No","⚠ Missing",IF(AT73="Yes","✓ OK","⚠ Check"))))</f>
        <v/>
      </c>
    </row>
    <row r="74" ht="18" customHeight="1" s="46">
      <c r="A74" s="39" t="n">
        <v>70</v>
      </c>
      <c r="B74" s="40" t="inlineStr">
        <is>
          <t>MEM Walnut Bronze</t>
        </is>
      </c>
      <c r="C74" s="41" t="inlineStr">
        <is>
          <t>MEM Walnut Bronze (Matt)</t>
        </is>
      </c>
      <c r="D74" s="39" t="inlineStr">
        <is>
          <t>SPACEWOOD FURNISHERS PVT LTD</t>
        </is>
      </c>
      <c r="E74" s="43" t="n">
        <v>46125</v>
      </c>
      <c r="F74" s="26" t="inlineStr">
        <is>
          <t>Sunil CR</t>
        </is>
      </c>
      <c r="G74" s="26" t="inlineStr">
        <is>
          <t>Yes</t>
        </is>
      </c>
      <c r="H74" s="26" t="inlineStr">
        <is>
          <t>No</t>
        </is>
      </c>
      <c r="I74" s="26" t="inlineStr">
        <is>
          <t>Good finish</t>
        </is>
      </c>
      <c r="J74" s="26" t="inlineStr">
        <is>
          <t>Yes</t>
        </is>
      </c>
      <c r="K74" s="27" t="n"/>
      <c r="L74" s="28" t="inlineStr">
        <is>
          <t>No</t>
        </is>
      </c>
      <c r="M74" s="29">
        <f>IF(E74="","",IF(H74="Yes","❌ Disc",IF(G74="No","⚠ Missing",IF(J74="Yes","✓ OK","⚠ Check"))))</f>
        <v/>
      </c>
      <c r="N74" s="43" t="n">
        <v>46193</v>
      </c>
      <c r="O74" s="26" t="inlineStr">
        <is>
          <t>Sunil CR</t>
        </is>
      </c>
      <c r="P74" s="26" t="inlineStr">
        <is>
          <t>Yes</t>
        </is>
      </c>
      <c r="Q74" s="26" t="inlineStr">
        <is>
          <t>No</t>
        </is>
      </c>
      <c r="R74" s="26" t="inlineStr">
        <is>
          <t>Good finish</t>
        </is>
      </c>
      <c r="S74" s="26" t="inlineStr">
        <is>
          <t>Yes</t>
        </is>
      </c>
      <c r="T74" s="27" t="n"/>
      <c r="U74" s="28" t="inlineStr">
        <is>
          <t>No</t>
        </is>
      </c>
      <c r="V74" s="29">
        <f>IF(N74="","",IF(Q74="Yes","❌ Disc",IF(P74="No","⚠ Missing",IF(S74="Yes","✓ OK","⚠ Check"))))</f>
        <v/>
      </c>
      <c r="W74" s="65" t="n">
        <v>46248</v>
      </c>
      <c r="X74" s="30" t="inlineStr">
        <is>
          <t>Sunil CR</t>
        </is>
      </c>
      <c r="Y74" s="30" t="inlineStr">
        <is>
          <t>Yes</t>
        </is>
      </c>
      <c r="Z74" s="30" t="n"/>
      <c r="AA74" s="30" t="inlineStr">
        <is>
          <t>Good finish</t>
        </is>
      </c>
      <c r="AB74" s="30" t="inlineStr">
        <is>
          <t>Yes</t>
        </is>
      </c>
      <c r="AC74" s="27" t="n"/>
      <c r="AD74" s="31" t="inlineStr">
        <is>
          <t>No</t>
        </is>
      </c>
      <c r="AE74" s="32">
        <f>IF(W74="","",IF(Z74="Yes","❌ Disc",IF(Y74="No","⚠ Missing",IF(AB74="Yes","✓ OK","⚠ Check"))))</f>
        <v/>
      </c>
      <c r="AF74" s="33" t="n"/>
      <c r="AG74" s="33" t="n"/>
      <c r="AH74" s="33" t="n"/>
      <c r="AI74" s="33" t="n"/>
      <c r="AJ74" s="33" t="n"/>
      <c r="AK74" s="33" t="n"/>
      <c r="AL74" s="27" t="n"/>
      <c r="AM74" s="34" t="n"/>
      <c r="AN74" s="35">
        <f>IF(AF74="","",IF(AI74="Yes","❌ Disc",IF(AH74="No","⚠ Missing",IF(AK74="Yes","✓ OK","⚠ Check"))))</f>
        <v/>
      </c>
      <c r="AO74" s="36" t="n"/>
      <c r="AP74" s="36" t="n"/>
      <c r="AQ74" s="36" t="n"/>
      <c r="AR74" s="36" t="n"/>
      <c r="AS74" s="36" t="n"/>
      <c r="AT74" s="36" t="n"/>
      <c r="AU74" s="27" t="n"/>
      <c r="AV74" s="37" t="n"/>
      <c r="AW74" s="38">
        <f>IF(AO74="","",IF(AR74="Yes","❌ Disc",IF(AQ74="No","⚠ Missing",IF(AT74="Yes","✓ OK","⚠ Check"))))</f>
        <v/>
      </c>
    </row>
    <row r="75" ht="18" customHeight="1" s="46">
      <c r="A75" s="23" t="n">
        <v>71</v>
      </c>
      <c r="B75" s="24" t="inlineStr">
        <is>
          <t>MEM Wolfram Grey (High Gloss)</t>
        </is>
      </c>
      <c r="C75" s="25" t="inlineStr">
        <is>
          <t>MEM Wolfram Grey (High Gloss)</t>
        </is>
      </c>
      <c r="D75" s="23" t="inlineStr">
        <is>
          <t>SPACEWOOD FURNISHERS PVT LTD</t>
        </is>
      </c>
      <c r="E75" s="43" t="n">
        <v>46125</v>
      </c>
      <c r="F75" s="26" t="inlineStr">
        <is>
          <t>Sunil CR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Good finish</t>
        </is>
      </c>
      <c r="J75" s="26" t="inlineStr">
        <is>
          <t>Yes</t>
        </is>
      </c>
      <c r="K75" s="27" t="n"/>
      <c r="L75" s="28" t="inlineStr">
        <is>
          <t>No</t>
        </is>
      </c>
      <c r="M75" s="29">
        <f>IF(E75="","",IF(H75="Yes","❌ Disc",IF(G75="No","⚠ Missing",IF(J75="Yes","✓ OK","⚠ Check"))))</f>
        <v/>
      </c>
      <c r="N75" s="43" t="n">
        <v>46193</v>
      </c>
      <c r="O75" s="26" t="inlineStr">
        <is>
          <t>Sunil CR</t>
        </is>
      </c>
      <c r="P75" s="26" t="inlineStr">
        <is>
          <t>Yes</t>
        </is>
      </c>
      <c r="Q75" s="26" t="inlineStr">
        <is>
          <t>No</t>
        </is>
      </c>
      <c r="R75" s="26" t="inlineStr">
        <is>
          <t>Good finish</t>
        </is>
      </c>
      <c r="S75" s="26" t="inlineStr">
        <is>
          <t>Yes</t>
        </is>
      </c>
      <c r="T75" s="27" t="n"/>
      <c r="U75" s="28" t="inlineStr">
        <is>
          <t>No</t>
        </is>
      </c>
      <c r="V75" s="29">
        <f>IF(N75="","",IF(Q75="Yes","❌ Disc",IF(P75="No","⚠ Missing",IF(S75="Yes","✓ OK","⚠ Check"))))</f>
        <v/>
      </c>
      <c r="W75" s="65" t="n">
        <v>46248</v>
      </c>
      <c r="X75" s="30" t="inlineStr">
        <is>
          <t>Sunil CR</t>
        </is>
      </c>
      <c r="Y75" s="30" t="inlineStr">
        <is>
          <t>Yes</t>
        </is>
      </c>
      <c r="Z75" s="30" t="n"/>
      <c r="AA75" s="30" t="inlineStr">
        <is>
          <t>Good finish</t>
        </is>
      </c>
      <c r="AB75" s="30" t="inlineStr">
        <is>
          <t>Yes</t>
        </is>
      </c>
      <c r="AC75" s="27" t="n"/>
      <c r="AD75" s="31" t="inlineStr">
        <is>
          <t>No</t>
        </is>
      </c>
      <c r="AE75" s="32">
        <f>IF(W75="","",IF(Z75="Yes","❌ Disc",IF(Y75="No","⚠ Missing",IF(AB75="Yes","✓ OK","⚠ Check"))))</f>
        <v/>
      </c>
      <c r="AF75" s="33" t="n"/>
      <c r="AG75" s="33" t="n"/>
      <c r="AH75" s="33" t="n"/>
      <c r="AI75" s="33" t="n"/>
      <c r="AJ75" s="33" t="n"/>
      <c r="AK75" s="33" t="n"/>
      <c r="AL75" s="27" t="n"/>
      <c r="AM75" s="34" t="n"/>
      <c r="AN75" s="35">
        <f>IF(AF75="","",IF(AI75="Yes","❌ Disc",IF(AH75="No","⚠ Missing",IF(AK75="Yes","✓ OK","⚠ Check"))))</f>
        <v/>
      </c>
      <c r="AO75" s="36" t="n"/>
      <c r="AP75" s="36" t="n"/>
      <c r="AQ75" s="36" t="n"/>
      <c r="AR75" s="36" t="n"/>
      <c r="AS75" s="36" t="n"/>
      <c r="AT75" s="36" t="n"/>
      <c r="AU75" s="27" t="n"/>
      <c r="AV75" s="37" t="n"/>
      <c r="AW75" s="38">
        <f>IF(AO75="","",IF(AR75="Yes","❌ Disc",IF(AQ75="No","⚠ Missing",IF(AT75="Yes","✓ OK","⚠ Check"))))</f>
        <v/>
      </c>
    </row>
    <row r="76" ht="18" customHeight="1" s="46">
      <c r="A76" s="39" t="n">
        <v>72</v>
      </c>
      <c r="B76" s="40" t="inlineStr">
        <is>
          <t>naturalteak-matt</t>
        </is>
      </c>
      <c r="C76" s="41" t="inlineStr">
        <is>
          <t>Natural Teak (Matt)</t>
        </is>
      </c>
      <c r="D76" s="39" t="inlineStr">
        <is>
          <t>SPACEWOOD FURNISHERS PVT LTD</t>
        </is>
      </c>
      <c r="E76" s="43" t="n">
        <v>46125</v>
      </c>
      <c r="F76" s="26" t="inlineStr">
        <is>
          <t>Sunil CR</t>
        </is>
      </c>
      <c r="G76" s="26" t="inlineStr">
        <is>
          <t>Yes</t>
        </is>
      </c>
      <c r="H76" s="26" t="inlineStr">
        <is>
          <t>No</t>
        </is>
      </c>
      <c r="I76" s="26" t="inlineStr">
        <is>
          <t>Good finish</t>
        </is>
      </c>
      <c r="J76" s="26" t="inlineStr">
        <is>
          <t>Yes</t>
        </is>
      </c>
      <c r="K76" s="27" t="n"/>
      <c r="L76" s="28" t="inlineStr">
        <is>
          <t>No</t>
        </is>
      </c>
      <c r="M76" s="29">
        <f>IF(E76="","",IF(H76="Yes","❌ Disc",IF(G76="No","⚠ Missing",IF(J76="Yes","✓ OK","⚠ Check"))))</f>
        <v/>
      </c>
      <c r="N76" s="43" t="n">
        <v>46193</v>
      </c>
      <c r="O76" s="26" t="inlineStr">
        <is>
          <t>Sunil CR</t>
        </is>
      </c>
      <c r="P76" s="26" t="inlineStr">
        <is>
          <t>Yes</t>
        </is>
      </c>
      <c r="Q76" s="26" t="inlineStr">
        <is>
          <t>No</t>
        </is>
      </c>
      <c r="R76" s="26" t="inlineStr">
        <is>
          <t>Good finish</t>
        </is>
      </c>
      <c r="S76" s="26" t="inlineStr">
        <is>
          <t>Yes</t>
        </is>
      </c>
      <c r="T76" s="27" t="n"/>
      <c r="U76" s="28" t="inlineStr">
        <is>
          <t>No</t>
        </is>
      </c>
      <c r="V76" s="29">
        <f>IF(N76="","",IF(Q76="Yes","❌ Disc",IF(P76="No","⚠ Missing",IF(S76="Yes","✓ OK","⚠ Check"))))</f>
        <v/>
      </c>
      <c r="W76" s="65" t="n">
        <v>46248</v>
      </c>
      <c r="X76" s="30" t="inlineStr">
        <is>
          <t>Sunil CR</t>
        </is>
      </c>
      <c r="Y76" s="30" t="inlineStr">
        <is>
          <t>Yes</t>
        </is>
      </c>
      <c r="Z76" s="30" t="n"/>
      <c r="AA76" s="30" t="inlineStr">
        <is>
          <t>Good finish</t>
        </is>
      </c>
      <c r="AB76" s="30" t="inlineStr">
        <is>
          <t>Yes</t>
        </is>
      </c>
      <c r="AC76" s="27" t="n"/>
      <c r="AD76" s="31" t="inlineStr">
        <is>
          <t>No</t>
        </is>
      </c>
      <c r="AE76" s="32">
        <f>IF(W76="","",IF(Z76="Yes","❌ Disc",IF(Y76="No","⚠ Missing",IF(AB76="Yes","✓ OK","⚠ Check"))))</f>
        <v/>
      </c>
      <c r="AF76" s="33" t="n"/>
      <c r="AG76" s="33" t="n"/>
      <c r="AH76" s="33" t="n"/>
      <c r="AI76" s="33" t="n"/>
      <c r="AJ76" s="33" t="n"/>
      <c r="AK76" s="33" t="n"/>
      <c r="AL76" s="27" t="n"/>
      <c r="AM76" s="34" t="n"/>
      <c r="AN76" s="35">
        <f>IF(AF76="","",IF(AI76="Yes","❌ Disc",IF(AH76="No","⚠ Missing",IF(AK76="Yes","✓ OK","⚠ Check"))))</f>
        <v/>
      </c>
      <c r="AO76" s="36" t="n"/>
      <c r="AP76" s="36" t="n"/>
      <c r="AQ76" s="36" t="n"/>
      <c r="AR76" s="36" t="n"/>
      <c r="AS76" s="36" t="n"/>
      <c r="AT76" s="36" t="n"/>
      <c r="AU76" s="27" t="n"/>
      <c r="AV76" s="37" t="n"/>
      <c r="AW76" s="38">
        <f>IF(AO76="","",IF(AR76="Yes","❌ Disc",IF(AQ76="No","⚠ Missing",IF(AT76="Yes","✓ OK","⚠ Check"))))</f>
        <v/>
      </c>
    </row>
    <row r="77" ht="18" customHeight="1" s="46">
      <c r="A77" s="23" t="n">
        <v>73</v>
      </c>
      <c r="B77" s="24" t="inlineStr">
        <is>
          <t>newivory-1-matt</t>
        </is>
      </c>
      <c r="C77" s="25" t="inlineStr">
        <is>
          <t>New Ivory-1 (Matt)</t>
        </is>
      </c>
      <c r="D77" s="23" t="inlineStr">
        <is>
          <t>SPACEWOOD FURNISHERS PVT LTD</t>
        </is>
      </c>
      <c r="E77" s="43" t="n">
        <v>46125</v>
      </c>
      <c r="F77" s="26" t="inlineStr">
        <is>
          <t>Sunil CR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Good finish</t>
        </is>
      </c>
      <c r="J77" s="26" t="inlineStr">
        <is>
          <t>Yes</t>
        </is>
      </c>
      <c r="K77" s="27" t="n"/>
      <c r="L77" s="28" t="inlineStr">
        <is>
          <t>No</t>
        </is>
      </c>
      <c r="M77" s="29">
        <f>IF(E77="","",IF(H77="Yes","❌ Disc",IF(G77="No","⚠ Missing",IF(J77="Yes","✓ OK","⚠ Check"))))</f>
        <v/>
      </c>
      <c r="N77" s="43" t="n">
        <v>46193</v>
      </c>
      <c r="O77" s="26" t="inlineStr">
        <is>
          <t>Sunil CR</t>
        </is>
      </c>
      <c r="P77" s="26" t="inlineStr">
        <is>
          <t>Yes</t>
        </is>
      </c>
      <c r="Q77" s="26" t="inlineStr">
        <is>
          <t>No</t>
        </is>
      </c>
      <c r="R77" s="26" t="inlineStr">
        <is>
          <t>Good finish</t>
        </is>
      </c>
      <c r="S77" s="26" t="inlineStr">
        <is>
          <t>Yes</t>
        </is>
      </c>
      <c r="T77" s="27" t="n"/>
      <c r="U77" s="28" t="inlineStr">
        <is>
          <t>No</t>
        </is>
      </c>
      <c r="V77" s="29">
        <f>IF(N77="","",IF(Q77="Yes","❌ Disc",IF(P77="No","⚠ Missing",IF(S77="Yes","✓ OK","⚠ Check"))))</f>
        <v/>
      </c>
      <c r="W77" s="65" t="n">
        <v>46248</v>
      </c>
      <c r="X77" s="30" t="inlineStr">
        <is>
          <t>Sunil CR</t>
        </is>
      </c>
      <c r="Y77" s="30" t="inlineStr">
        <is>
          <t>Yes</t>
        </is>
      </c>
      <c r="Z77" s="30" t="n"/>
      <c r="AA77" s="30" t="inlineStr">
        <is>
          <t>Good finish</t>
        </is>
      </c>
      <c r="AB77" s="30" t="inlineStr">
        <is>
          <t>Yes</t>
        </is>
      </c>
      <c r="AC77" s="27" t="n"/>
      <c r="AD77" s="31" t="inlineStr">
        <is>
          <t>No</t>
        </is>
      </c>
      <c r="AE77" s="32">
        <f>IF(W77="","",IF(Z77="Yes","❌ Disc",IF(Y77="No","⚠ Missing",IF(AB77="Yes","✓ OK","⚠ Check"))))</f>
        <v/>
      </c>
      <c r="AF77" s="33" t="n"/>
      <c r="AG77" s="33" t="n"/>
      <c r="AH77" s="33" t="n"/>
      <c r="AI77" s="33" t="n"/>
      <c r="AJ77" s="33" t="n"/>
      <c r="AK77" s="33" t="n"/>
      <c r="AL77" s="27" t="n"/>
      <c r="AM77" s="34" t="n"/>
      <c r="AN77" s="35">
        <f>IF(AF77="","",IF(AI77="Yes","❌ Disc",IF(AH77="No","⚠ Missing",IF(AK77="Yes","✓ OK","⚠ Check"))))</f>
        <v/>
      </c>
      <c r="AO77" s="36" t="n"/>
      <c r="AP77" s="36" t="n"/>
      <c r="AQ77" s="36" t="n"/>
      <c r="AR77" s="36" t="n"/>
      <c r="AS77" s="36" t="n"/>
      <c r="AT77" s="36" t="n"/>
      <c r="AU77" s="27" t="n"/>
      <c r="AV77" s="37" t="n"/>
      <c r="AW77" s="38">
        <f>IF(AO77="","",IF(AR77="Yes","❌ Disc",IF(AQ77="No","⚠ Missing",IF(AT77="Yes","✓ OK","⚠ Check"))))</f>
        <v/>
      </c>
    </row>
    <row r="78" ht="18" customHeight="1" s="46">
      <c r="A78" s="39" t="n">
        <v>74</v>
      </c>
      <c r="B78" s="40" t="inlineStr">
        <is>
          <t>oriabluepremier-matt</t>
        </is>
      </c>
      <c r="C78" s="41" t="inlineStr">
        <is>
          <t>Oria Blue Premier (Matt)</t>
        </is>
      </c>
      <c r="D78" s="39" t="inlineStr">
        <is>
          <t>SPACEWOOD FURNISHERS PVT LTD</t>
        </is>
      </c>
      <c r="E78" s="43" t="n">
        <v>46125</v>
      </c>
      <c r="F78" s="26" t="inlineStr">
        <is>
          <t>Sunil CR</t>
        </is>
      </c>
      <c r="G78" s="26" t="inlineStr">
        <is>
          <t>Yes</t>
        </is>
      </c>
      <c r="H78" s="26" t="inlineStr">
        <is>
          <t>No</t>
        </is>
      </c>
      <c r="I78" s="26" t="inlineStr">
        <is>
          <t>Good finish</t>
        </is>
      </c>
      <c r="J78" s="26" t="inlineStr">
        <is>
          <t>Yes</t>
        </is>
      </c>
      <c r="K78" s="27" t="n"/>
      <c r="L78" s="28" t="inlineStr">
        <is>
          <t>No</t>
        </is>
      </c>
      <c r="M78" s="29">
        <f>IF(E78="","",IF(H78="Yes","❌ Disc",IF(G78="No","⚠ Missing",IF(J78="Yes","✓ OK","⚠ Check"))))</f>
        <v/>
      </c>
      <c r="N78" s="43" t="n">
        <v>46193</v>
      </c>
      <c r="O78" s="26" t="inlineStr">
        <is>
          <t>Sunil CR</t>
        </is>
      </c>
      <c r="P78" s="26" t="inlineStr">
        <is>
          <t>Yes</t>
        </is>
      </c>
      <c r="Q78" s="26" t="inlineStr">
        <is>
          <t>No</t>
        </is>
      </c>
      <c r="R78" s="26" t="inlineStr">
        <is>
          <t>Good finish</t>
        </is>
      </c>
      <c r="S78" s="26" t="inlineStr">
        <is>
          <t>Yes</t>
        </is>
      </c>
      <c r="T78" s="27" t="n"/>
      <c r="U78" s="28" t="inlineStr">
        <is>
          <t>No</t>
        </is>
      </c>
      <c r="V78" s="29">
        <f>IF(N78="","",IF(Q78="Yes","❌ Disc",IF(P78="No","⚠ Missing",IF(S78="Yes","✓ OK","⚠ Check"))))</f>
        <v/>
      </c>
      <c r="W78" s="65" t="n">
        <v>46248</v>
      </c>
      <c r="X78" s="30" t="inlineStr">
        <is>
          <t>Sunil CR</t>
        </is>
      </c>
      <c r="Y78" s="30" t="inlineStr">
        <is>
          <t>Yes</t>
        </is>
      </c>
      <c r="Z78" s="30" t="n"/>
      <c r="AA78" s="30" t="inlineStr">
        <is>
          <t>Good finish</t>
        </is>
      </c>
      <c r="AB78" s="30" t="inlineStr">
        <is>
          <t>Yes</t>
        </is>
      </c>
      <c r="AC78" s="27" t="n"/>
      <c r="AD78" s="31" t="inlineStr">
        <is>
          <t>No</t>
        </is>
      </c>
      <c r="AE78" s="32">
        <f>IF(W78="","",IF(Z78="Yes","❌ Disc",IF(Y78="No","⚠ Missing",IF(AB78="Yes","✓ OK","⚠ Check"))))</f>
        <v/>
      </c>
      <c r="AF78" s="33" t="n"/>
      <c r="AG78" s="33" t="n"/>
      <c r="AH78" s="33" t="n"/>
      <c r="AI78" s="33" t="n"/>
      <c r="AJ78" s="33" t="n"/>
      <c r="AK78" s="33" t="n"/>
      <c r="AL78" s="27" t="n"/>
      <c r="AM78" s="34" t="n"/>
      <c r="AN78" s="35">
        <f>IF(AF78="","",IF(AI78="Yes","❌ Disc",IF(AH78="No","⚠ Missing",IF(AK78="Yes","✓ OK","⚠ Check"))))</f>
        <v/>
      </c>
      <c r="AO78" s="36" t="n"/>
      <c r="AP78" s="36" t="n"/>
      <c r="AQ78" s="36" t="n"/>
      <c r="AR78" s="36" t="n"/>
      <c r="AS78" s="36" t="n"/>
      <c r="AT78" s="36" t="n"/>
      <c r="AU78" s="27" t="n"/>
      <c r="AV78" s="37" t="n"/>
      <c r="AW78" s="38">
        <f>IF(AO78="","",IF(AR78="Yes","❌ Disc",IF(AQ78="No","⚠ Missing",IF(AT78="Yes","✓ OK","⚠ Check"))))</f>
        <v/>
      </c>
    </row>
    <row r="79" ht="18" customHeight="1" s="46">
      <c r="A79" s="23" t="n">
        <v>75</v>
      </c>
      <c r="B79" s="24" t="inlineStr">
        <is>
          <t>ptalpinewhite-matt</t>
        </is>
      </c>
      <c r="C79" s="25" t="inlineStr">
        <is>
          <t>PT Alpine White (Matt)</t>
        </is>
      </c>
      <c r="D79" s="23" t="inlineStr">
        <is>
          <t>SPACEWOOD FURNISHERS PVT LTD</t>
        </is>
      </c>
      <c r="E79" s="43" t="n">
        <v>46125</v>
      </c>
      <c r="F79" s="26" t="inlineStr">
        <is>
          <t>Sunil CR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Good finish</t>
        </is>
      </c>
      <c r="J79" s="26" t="inlineStr">
        <is>
          <t>Yes</t>
        </is>
      </c>
      <c r="K79" s="27" t="n"/>
      <c r="L79" s="28" t="inlineStr">
        <is>
          <t>No</t>
        </is>
      </c>
      <c r="M79" s="29">
        <f>IF(E79="","",IF(H79="Yes","❌ Disc",IF(G79="No","⚠ Missing",IF(J79="Yes","✓ OK","⚠ Check"))))</f>
        <v/>
      </c>
      <c r="N79" s="43" t="n">
        <v>46193</v>
      </c>
      <c r="O79" s="26" t="inlineStr">
        <is>
          <t>Sunil CR</t>
        </is>
      </c>
      <c r="P79" s="26" t="inlineStr">
        <is>
          <t>Yes</t>
        </is>
      </c>
      <c r="Q79" s="26" t="inlineStr">
        <is>
          <t>No</t>
        </is>
      </c>
      <c r="R79" s="26" t="inlineStr">
        <is>
          <t>Good finish</t>
        </is>
      </c>
      <c r="S79" s="26" t="inlineStr">
        <is>
          <t>Yes</t>
        </is>
      </c>
      <c r="T79" s="27" t="n"/>
      <c r="U79" s="28" t="inlineStr">
        <is>
          <t>No</t>
        </is>
      </c>
      <c r="V79" s="29">
        <f>IF(N79="","",IF(Q79="Yes","❌ Disc",IF(P79="No","⚠ Missing",IF(S79="Yes","✓ OK","⚠ Check"))))</f>
        <v/>
      </c>
      <c r="W79" s="65" t="n">
        <v>46248</v>
      </c>
      <c r="X79" s="30" t="inlineStr">
        <is>
          <t>Sunil CR</t>
        </is>
      </c>
      <c r="Y79" s="30" t="inlineStr">
        <is>
          <t>Yes</t>
        </is>
      </c>
      <c r="Z79" s="30" t="n"/>
      <c r="AA79" s="30" t="inlineStr">
        <is>
          <t>Good finish</t>
        </is>
      </c>
      <c r="AB79" s="30" t="inlineStr">
        <is>
          <t>Yes</t>
        </is>
      </c>
      <c r="AC79" s="27" t="n"/>
      <c r="AD79" s="31" t="inlineStr">
        <is>
          <t>No</t>
        </is>
      </c>
      <c r="AE79" s="32">
        <f>IF(W79="","",IF(Z79="Yes","❌ Disc",IF(Y79="No","⚠ Missing",IF(AB79="Yes","✓ OK","⚠ Check"))))</f>
        <v/>
      </c>
      <c r="AF79" s="33" t="n"/>
      <c r="AG79" s="33" t="n"/>
      <c r="AH79" s="33" t="n"/>
      <c r="AI79" s="33" t="n"/>
      <c r="AJ79" s="33" t="n"/>
      <c r="AK79" s="33" t="n"/>
      <c r="AL79" s="27" t="n"/>
      <c r="AM79" s="34" t="n"/>
      <c r="AN79" s="35">
        <f>IF(AF79="","",IF(AI79="Yes","❌ Disc",IF(AH79="No","⚠ Missing",IF(AK79="Yes","✓ OK","⚠ Check"))))</f>
        <v/>
      </c>
      <c r="AO79" s="36" t="n"/>
      <c r="AP79" s="36" t="n"/>
      <c r="AQ79" s="36" t="n"/>
      <c r="AR79" s="36" t="n"/>
      <c r="AS79" s="36" t="n"/>
      <c r="AT79" s="36" t="n"/>
      <c r="AU79" s="27" t="n"/>
      <c r="AV79" s="37" t="n"/>
      <c r="AW79" s="38">
        <f>IF(AO79="","",IF(AR79="Yes","❌ Disc",IF(AQ79="No","⚠ Missing",IF(AT79="Yes","✓ OK","⚠ Check"))))</f>
        <v/>
      </c>
    </row>
    <row r="80" ht="18" customHeight="1" s="46">
      <c r="A80" s="39" t="n">
        <v>76</v>
      </c>
      <c r="B80" s="40" t="inlineStr">
        <is>
          <t>purewhite-matt</t>
        </is>
      </c>
      <c r="C80" s="41" t="inlineStr">
        <is>
          <t>Pure White (Matt)</t>
        </is>
      </c>
      <c r="D80" s="39" t="inlineStr">
        <is>
          <t>SPACEWOOD FURNISHERS PVT LTD</t>
        </is>
      </c>
      <c r="E80" s="43" t="n">
        <v>46125</v>
      </c>
      <c r="F80" s="26" t="inlineStr">
        <is>
          <t>Sunil CR</t>
        </is>
      </c>
      <c r="G80" s="26" t="inlineStr">
        <is>
          <t>Yes</t>
        </is>
      </c>
      <c r="H80" s="26" t="inlineStr">
        <is>
          <t>No</t>
        </is>
      </c>
      <c r="I80" s="26" t="inlineStr">
        <is>
          <t>Good finish</t>
        </is>
      </c>
      <c r="J80" s="26" t="inlineStr">
        <is>
          <t>Yes</t>
        </is>
      </c>
      <c r="K80" s="27" t="n"/>
      <c r="L80" s="28" t="inlineStr">
        <is>
          <t>No</t>
        </is>
      </c>
      <c r="M80" s="29">
        <f>IF(E80="","",IF(H80="Yes","❌ Disc",IF(G80="No","⚠ Missing",IF(J80="Yes","✓ OK","⚠ Check"))))</f>
        <v/>
      </c>
      <c r="N80" s="43" t="n">
        <v>46193</v>
      </c>
      <c r="O80" s="26" t="inlineStr">
        <is>
          <t>Sunil CR</t>
        </is>
      </c>
      <c r="P80" s="26" t="inlineStr">
        <is>
          <t>Yes</t>
        </is>
      </c>
      <c r="Q80" s="26" t="inlineStr">
        <is>
          <t>No</t>
        </is>
      </c>
      <c r="R80" s="26" t="inlineStr">
        <is>
          <t>Good finish</t>
        </is>
      </c>
      <c r="S80" s="26" t="inlineStr">
        <is>
          <t>Yes</t>
        </is>
      </c>
      <c r="T80" s="27" t="n"/>
      <c r="U80" s="28" t="inlineStr">
        <is>
          <t>No</t>
        </is>
      </c>
      <c r="V80" s="29">
        <f>IF(N80="","",IF(Q80="Yes","❌ Disc",IF(P80="No","⚠ Missing",IF(S80="Yes","✓ OK","⚠ Check"))))</f>
        <v/>
      </c>
      <c r="W80" s="65" t="n">
        <v>46248</v>
      </c>
      <c r="X80" s="30" t="inlineStr">
        <is>
          <t>Sunil CR</t>
        </is>
      </c>
      <c r="Y80" s="30" t="inlineStr">
        <is>
          <t>Yes</t>
        </is>
      </c>
      <c r="Z80" s="30" t="n"/>
      <c r="AA80" s="30" t="inlineStr">
        <is>
          <t>Good finish</t>
        </is>
      </c>
      <c r="AB80" s="30" t="inlineStr">
        <is>
          <t>Yes</t>
        </is>
      </c>
      <c r="AC80" s="27" t="n"/>
      <c r="AD80" s="31" t="inlineStr">
        <is>
          <t>No</t>
        </is>
      </c>
      <c r="AE80" s="32">
        <f>IF(W80="","",IF(Z80="Yes","❌ Disc",IF(Y80="No","⚠ Missing",IF(AB80="Yes","✓ OK","⚠ Check"))))</f>
        <v/>
      </c>
      <c r="AF80" s="33" t="n"/>
      <c r="AG80" s="33" t="n"/>
      <c r="AH80" s="33" t="n"/>
      <c r="AI80" s="33" t="n"/>
      <c r="AJ80" s="33" t="n"/>
      <c r="AK80" s="33" t="n"/>
      <c r="AL80" s="27" t="n"/>
      <c r="AM80" s="34" t="n"/>
      <c r="AN80" s="35">
        <f>IF(AF80="","",IF(AI80="Yes","❌ Disc",IF(AH80="No","⚠ Missing",IF(AK80="Yes","✓ OK","⚠ Check"))))</f>
        <v/>
      </c>
      <c r="AO80" s="36" t="n"/>
      <c r="AP80" s="36" t="n"/>
      <c r="AQ80" s="36" t="n"/>
      <c r="AR80" s="36" t="n"/>
      <c r="AS80" s="36" t="n"/>
      <c r="AT80" s="36" t="n"/>
      <c r="AU80" s="27" t="n"/>
      <c r="AV80" s="37" t="n"/>
      <c r="AW80" s="38">
        <f>IF(AO80="","",IF(AR80="Yes","❌ Disc",IF(AQ80="No","⚠ Missing",IF(AT80="Yes","✓ OK","⚠ Check"))))</f>
        <v/>
      </c>
    </row>
    <row r="81" ht="18" customHeight="1" s="46">
      <c r="A81" s="23" t="n">
        <v>77</v>
      </c>
      <c r="B81" s="24" t="inlineStr">
        <is>
          <t>reedgreenpaintflow-matt</t>
        </is>
      </c>
      <c r="C81" s="25" t="inlineStr">
        <is>
          <t>Reed Green Paint Flow (Matt)</t>
        </is>
      </c>
      <c r="D81" s="23" t="inlineStr">
        <is>
          <t>SPACEWOOD FURNISHERS PVT LTD</t>
        </is>
      </c>
      <c r="E81" s="43" t="n">
        <v>46125</v>
      </c>
      <c r="F81" s="26" t="inlineStr">
        <is>
          <t>Sunil CR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Good finish</t>
        </is>
      </c>
      <c r="J81" s="26" t="inlineStr">
        <is>
          <t>Yes</t>
        </is>
      </c>
      <c r="K81" s="27" t="n"/>
      <c r="L81" s="28" t="inlineStr">
        <is>
          <t>No</t>
        </is>
      </c>
      <c r="M81" s="29">
        <f>IF(E81="","",IF(H81="Yes","❌ Disc",IF(G81="No","⚠ Missing",IF(J81="Yes","✓ OK","⚠ Check"))))</f>
        <v/>
      </c>
      <c r="N81" s="43" t="n">
        <v>46193</v>
      </c>
      <c r="O81" s="26" t="inlineStr">
        <is>
          <t>Sunil CR</t>
        </is>
      </c>
      <c r="P81" s="26" t="inlineStr">
        <is>
          <t>Yes</t>
        </is>
      </c>
      <c r="Q81" s="26" t="inlineStr">
        <is>
          <t>No</t>
        </is>
      </c>
      <c r="R81" s="26" t="inlineStr">
        <is>
          <t>Good finish</t>
        </is>
      </c>
      <c r="S81" s="26" t="inlineStr">
        <is>
          <t>Yes</t>
        </is>
      </c>
      <c r="T81" s="27" t="n"/>
      <c r="U81" s="28" t="inlineStr">
        <is>
          <t>No</t>
        </is>
      </c>
      <c r="V81" s="29">
        <f>IF(N81="","",IF(Q81="Yes","❌ Disc",IF(P81="No","⚠ Missing",IF(S81="Yes","✓ OK","⚠ Check"))))</f>
        <v/>
      </c>
      <c r="W81" s="65" t="n">
        <v>46248</v>
      </c>
      <c r="X81" s="30" t="inlineStr">
        <is>
          <t>Sunil CR</t>
        </is>
      </c>
      <c r="Y81" s="30" t="inlineStr">
        <is>
          <t>Yes</t>
        </is>
      </c>
      <c r="Z81" s="30" t="n"/>
      <c r="AA81" s="30" t="inlineStr">
        <is>
          <t>Good finish</t>
        </is>
      </c>
      <c r="AB81" s="30" t="inlineStr">
        <is>
          <t>Yes</t>
        </is>
      </c>
      <c r="AC81" s="27" t="n"/>
      <c r="AD81" s="31" t="inlineStr">
        <is>
          <t>No</t>
        </is>
      </c>
      <c r="AE81" s="32">
        <f>IF(W81="","",IF(Z81="Yes","❌ Disc",IF(Y81="No","⚠ Missing",IF(AB81="Yes","✓ OK","⚠ Check"))))</f>
        <v/>
      </c>
      <c r="AF81" s="33" t="n"/>
      <c r="AG81" s="33" t="n"/>
      <c r="AH81" s="33" t="n"/>
      <c r="AI81" s="33" t="n"/>
      <c r="AJ81" s="33" t="n"/>
      <c r="AK81" s="33" t="n"/>
      <c r="AL81" s="27" t="n"/>
      <c r="AM81" s="34" t="n"/>
      <c r="AN81" s="35">
        <f>IF(AF81="","",IF(AI81="Yes","❌ Disc",IF(AH81="No","⚠ Missing",IF(AK81="Yes","✓ OK","⚠ Check"))))</f>
        <v/>
      </c>
      <c r="AO81" s="36" t="n"/>
      <c r="AP81" s="36" t="n"/>
      <c r="AQ81" s="36" t="n"/>
      <c r="AR81" s="36" t="n"/>
      <c r="AS81" s="36" t="n"/>
      <c r="AT81" s="36" t="n"/>
      <c r="AU81" s="27" t="n"/>
      <c r="AV81" s="37" t="n"/>
      <c r="AW81" s="38">
        <f>IF(AO81="","",IF(AR81="Yes","❌ Disc",IF(AQ81="No","⚠ Missing",IF(AT81="Yes","✓ OK","⚠ Check"))))</f>
        <v/>
      </c>
    </row>
    <row r="82" ht="18" customHeight="1" s="46">
      <c r="A82" s="39" t="n">
        <v>78</v>
      </c>
      <c r="B82" s="40" t="inlineStr">
        <is>
          <t>sheesham-matt</t>
        </is>
      </c>
      <c r="C82" s="41" t="inlineStr">
        <is>
          <t>Sheesham (Matt)</t>
        </is>
      </c>
      <c r="D82" s="39" t="inlineStr">
        <is>
          <t>SPACEWOOD FURNISHERS PVT LTD</t>
        </is>
      </c>
      <c r="E82" s="43" t="n">
        <v>46125</v>
      </c>
      <c r="F82" s="26" t="inlineStr">
        <is>
          <t>Sunil CR</t>
        </is>
      </c>
      <c r="G82" s="26" t="inlineStr">
        <is>
          <t>Yes</t>
        </is>
      </c>
      <c r="H82" s="26" t="inlineStr">
        <is>
          <t>No</t>
        </is>
      </c>
      <c r="I82" s="26" t="inlineStr">
        <is>
          <t>Good finish</t>
        </is>
      </c>
      <c r="J82" s="26" t="inlineStr">
        <is>
          <t>Yes</t>
        </is>
      </c>
      <c r="K82" s="27" t="n"/>
      <c r="L82" s="28" t="inlineStr">
        <is>
          <t>No</t>
        </is>
      </c>
      <c r="M82" s="29">
        <f>IF(E82="","",IF(H82="Yes","❌ Disc",IF(G82="No","⚠ Missing",IF(J82="Yes","✓ OK","⚠ Check"))))</f>
        <v/>
      </c>
      <c r="N82" s="43" t="n">
        <v>46193</v>
      </c>
      <c r="O82" s="26" t="inlineStr">
        <is>
          <t>Sunil CR</t>
        </is>
      </c>
      <c r="P82" s="26" t="inlineStr">
        <is>
          <t>Yes</t>
        </is>
      </c>
      <c r="Q82" s="26" t="inlineStr">
        <is>
          <t>No</t>
        </is>
      </c>
      <c r="R82" s="26" t="inlineStr">
        <is>
          <t>Good finish</t>
        </is>
      </c>
      <c r="S82" s="26" t="inlineStr">
        <is>
          <t>Yes</t>
        </is>
      </c>
      <c r="T82" s="27" t="n"/>
      <c r="U82" s="28" t="inlineStr">
        <is>
          <t>No</t>
        </is>
      </c>
      <c r="V82" s="29">
        <f>IF(N82="","",IF(Q82="Yes","❌ Disc",IF(P82="No","⚠ Missing",IF(S82="Yes","✓ OK","⚠ Check"))))</f>
        <v/>
      </c>
      <c r="W82" s="65" t="n">
        <v>46248</v>
      </c>
      <c r="X82" s="30" t="inlineStr">
        <is>
          <t>Sunil CR</t>
        </is>
      </c>
      <c r="Y82" s="30" t="inlineStr">
        <is>
          <t>Yes</t>
        </is>
      </c>
      <c r="Z82" s="30" t="n"/>
      <c r="AA82" s="30" t="inlineStr">
        <is>
          <t>Good finish</t>
        </is>
      </c>
      <c r="AB82" s="30" t="inlineStr">
        <is>
          <t>Yes</t>
        </is>
      </c>
      <c r="AC82" s="27" t="n"/>
      <c r="AD82" s="31" t="inlineStr">
        <is>
          <t>No</t>
        </is>
      </c>
      <c r="AE82" s="32">
        <f>IF(W82="","",IF(Z82="Yes","❌ Disc",IF(Y82="No","⚠ Missing",IF(AB82="Yes","✓ OK","⚠ Check"))))</f>
        <v/>
      </c>
      <c r="AF82" s="33" t="n"/>
      <c r="AG82" s="33" t="n"/>
      <c r="AH82" s="33" t="n"/>
      <c r="AI82" s="33" t="n"/>
      <c r="AJ82" s="33" t="n"/>
      <c r="AK82" s="33" t="n"/>
      <c r="AL82" s="27" t="n"/>
      <c r="AM82" s="34" t="n"/>
      <c r="AN82" s="35">
        <f>IF(AF82="","",IF(AI82="Yes","❌ Disc",IF(AH82="No","⚠ Missing",IF(AK82="Yes","✓ OK","⚠ Check"))))</f>
        <v/>
      </c>
      <c r="AO82" s="36" t="n"/>
      <c r="AP82" s="36" t="n"/>
      <c r="AQ82" s="36" t="n"/>
      <c r="AR82" s="36" t="n"/>
      <c r="AS82" s="36" t="n"/>
      <c r="AT82" s="36" t="n"/>
      <c r="AU82" s="27" t="n"/>
      <c r="AV82" s="37" t="n"/>
      <c r="AW82" s="38">
        <f>IF(AO82="","",IF(AR82="Yes","❌ Disc",IF(AQ82="No","⚠ Missing",IF(AT82="Yes","✓ OK","⚠ Check"))))</f>
        <v/>
      </c>
    </row>
    <row r="83" ht="18" customHeight="1" s="46">
      <c r="A83" s="23" t="n">
        <v>79</v>
      </c>
      <c r="B83" s="24" t="inlineStr">
        <is>
          <t>tuscanredpremier-matt</t>
        </is>
      </c>
      <c r="C83" s="25" t="inlineStr">
        <is>
          <t>Tuscan Red Premier (Matt)</t>
        </is>
      </c>
      <c r="D83" s="23" t="inlineStr">
        <is>
          <t>SPACEWOOD FURNISHERS PVT LTD</t>
        </is>
      </c>
      <c r="E83" s="43" t="n">
        <v>46125</v>
      </c>
      <c r="F83" s="26" t="inlineStr">
        <is>
          <t>Sunil CR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Good finish</t>
        </is>
      </c>
      <c r="J83" s="26" t="inlineStr">
        <is>
          <t>Yes</t>
        </is>
      </c>
      <c r="K83" s="27" t="n"/>
      <c r="L83" s="28" t="inlineStr">
        <is>
          <t>No</t>
        </is>
      </c>
      <c r="M83" s="29">
        <f>IF(E83="","",IF(H83="Yes","❌ Disc",IF(G83="No","⚠ Missing",IF(J83="Yes","✓ OK","⚠ Check"))))</f>
        <v/>
      </c>
      <c r="N83" s="43" t="n">
        <v>46193</v>
      </c>
      <c r="O83" s="26" t="inlineStr">
        <is>
          <t>Sunil CR</t>
        </is>
      </c>
      <c r="P83" s="26" t="inlineStr">
        <is>
          <t>Yes</t>
        </is>
      </c>
      <c r="Q83" s="26" t="inlineStr">
        <is>
          <t>No</t>
        </is>
      </c>
      <c r="R83" s="26" t="inlineStr">
        <is>
          <t>Good finish</t>
        </is>
      </c>
      <c r="S83" s="26" t="inlineStr">
        <is>
          <t>Yes</t>
        </is>
      </c>
      <c r="T83" s="27" t="n"/>
      <c r="U83" s="28" t="inlineStr">
        <is>
          <t>No</t>
        </is>
      </c>
      <c r="V83" s="29">
        <f>IF(N83="","",IF(Q83="Yes","❌ Disc",IF(P83="No","⚠ Missing",IF(S83="Yes","✓ OK","⚠ Check"))))</f>
        <v/>
      </c>
      <c r="W83" s="65" t="n">
        <v>46248</v>
      </c>
      <c r="X83" s="30" t="inlineStr">
        <is>
          <t>Sunil CR</t>
        </is>
      </c>
      <c r="Y83" s="30" t="inlineStr">
        <is>
          <t>Yes</t>
        </is>
      </c>
      <c r="Z83" s="30" t="n"/>
      <c r="AA83" s="30" t="inlineStr">
        <is>
          <t>Good finish</t>
        </is>
      </c>
      <c r="AB83" s="30" t="inlineStr">
        <is>
          <t>Yes</t>
        </is>
      </c>
      <c r="AC83" s="27" t="n"/>
      <c r="AD83" s="31" t="inlineStr">
        <is>
          <t>No</t>
        </is>
      </c>
      <c r="AE83" s="32">
        <f>IF(W83="","",IF(Z83="Yes","❌ Disc",IF(Y83="No","⚠ Missing",IF(AB83="Yes","✓ OK","⚠ Check"))))</f>
        <v/>
      </c>
      <c r="AF83" s="33" t="n"/>
      <c r="AG83" s="33" t="n"/>
      <c r="AH83" s="33" t="n"/>
      <c r="AI83" s="33" t="n"/>
      <c r="AJ83" s="33" t="n"/>
      <c r="AK83" s="33" t="n"/>
      <c r="AL83" s="27" t="n"/>
      <c r="AM83" s="34" t="n"/>
      <c r="AN83" s="35">
        <f>IF(AF83="","",IF(AI83="Yes","❌ Disc",IF(AH83="No","⚠ Missing",IF(AK83="Yes","✓ OK","⚠ Check"))))</f>
        <v/>
      </c>
      <c r="AO83" s="36" t="n"/>
      <c r="AP83" s="36" t="n"/>
      <c r="AQ83" s="36" t="n"/>
      <c r="AR83" s="36" t="n"/>
      <c r="AS83" s="36" t="n"/>
      <c r="AT83" s="36" t="n"/>
      <c r="AU83" s="27" t="n"/>
      <c r="AV83" s="37" t="n"/>
      <c r="AW83" s="38">
        <f>IF(AO83="","",IF(AR83="Yes","❌ Disc",IF(AQ83="No","⚠ Missing",IF(AT83="Yes","✓ OK","⚠ Check"))))</f>
        <v/>
      </c>
    </row>
    <row r="84" ht="18" customHeight="1" s="46">
      <c r="A84" s="39" t="n">
        <v>80</v>
      </c>
      <c r="B84" s="40" t="inlineStr">
        <is>
          <t>walnutregato(wp)-matt</t>
        </is>
      </c>
      <c r="C84" s="41" t="inlineStr">
        <is>
          <t>Walnut Regato (WP) (Matt)</t>
        </is>
      </c>
      <c r="D84" s="39" t="inlineStr">
        <is>
          <t>SPACEWOOD FURNISHERS PVT LTD</t>
        </is>
      </c>
      <c r="E84" s="43" t="n">
        <v>46125</v>
      </c>
      <c r="F84" s="26" t="inlineStr">
        <is>
          <t>Sunil CR</t>
        </is>
      </c>
      <c r="G84" s="26" t="inlineStr">
        <is>
          <t>Yes</t>
        </is>
      </c>
      <c r="H84" s="26" t="inlineStr">
        <is>
          <t>No</t>
        </is>
      </c>
      <c r="I84" s="26" t="inlineStr">
        <is>
          <t>Good finish</t>
        </is>
      </c>
      <c r="J84" s="26" t="inlineStr">
        <is>
          <t>Yes</t>
        </is>
      </c>
      <c r="K84" s="27" t="n"/>
      <c r="L84" s="28" t="inlineStr">
        <is>
          <t>No</t>
        </is>
      </c>
      <c r="M84" s="29">
        <f>IF(E84="","",IF(H84="Yes","❌ Disc",IF(G84="No","⚠ Missing",IF(J84="Yes","✓ OK","⚠ Check"))))</f>
        <v/>
      </c>
      <c r="N84" s="43" t="n">
        <v>46193</v>
      </c>
      <c r="O84" s="26" t="inlineStr">
        <is>
          <t>Sunil CR</t>
        </is>
      </c>
      <c r="P84" s="26" t="inlineStr">
        <is>
          <t>Yes</t>
        </is>
      </c>
      <c r="Q84" s="26" t="inlineStr">
        <is>
          <t>No</t>
        </is>
      </c>
      <c r="R84" s="26" t="inlineStr">
        <is>
          <t>Good finish</t>
        </is>
      </c>
      <c r="S84" s="26" t="inlineStr">
        <is>
          <t>Yes</t>
        </is>
      </c>
      <c r="T84" s="27" t="n"/>
      <c r="U84" s="28" t="inlineStr">
        <is>
          <t>No</t>
        </is>
      </c>
      <c r="V84" s="29">
        <f>IF(N84="","",IF(Q84="Yes","❌ Disc",IF(P84="No","⚠ Missing",IF(S84="Yes","✓ OK","⚠ Check"))))</f>
        <v/>
      </c>
      <c r="W84" s="65" t="n">
        <v>46248</v>
      </c>
      <c r="X84" s="30" t="inlineStr">
        <is>
          <t>Sunil CR</t>
        </is>
      </c>
      <c r="Y84" s="30" t="inlineStr">
        <is>
          <t>Yes</t>
        </is>
      </c>
      <c r="Z84" s="30" t="n"/>
      <c r="AA84" s="30" t="inlineStr">
        <is>
          <t>Good finish</t>
        </is>
      </c>
      <c r="AB84" s="30" t="inlineStr">
        <is>
          <t>Yes</t>
        </is>
      </c>
      <c r="AC84" s="27" t="n"/>
      <c r="AD84" s="31" t="inlineStr">
        <is>
          <t>No</t>
        </is>
      </c>
      <c r="AE84" s="32">
        <f>IF(W84="","",IF(Z84="Yes","❌ Disc",IF(Y84="No","⚠ Missing",IF(AB84="Yes","✓ OK","⚠ Check"))))</f>
        <v/>
      </c>
      <c r="AF84" s="33" t="n"/>
      <c r="AG84" s="33" t="n"/>
      <c r="AH84" s="33" t="n"/>
      <c r="AI84" s="33" t="n"/>
      <c r="AJ84" s="33" t="n"/>
      <c r="AK84" s="33" t="n"/>
      <c r="AL84" s="27" t="n"/>
      <c r="AM84" s="34" t="n"/>
      <c r="AN84" s="35">
        <f>IF(AF84="","",IF(AI84="Yes","❌ Disc",IF(AH84="No","⚠ Missing",IF(AK84="Yes","✓ OK","⚠ Check"))))</f>
        <v/>
      </c>
      <c r="AO84" s="36" t="n"/>
      <c r="AP84" s="36" t="n"/>
      <c r="AQ84" s="36" t="n"/>
      <c r="AR84" s="36" t="n"/>
      <c r="AS84" s="36" t="n"/>
      <c r="AT84" s="36" t="n"/>
      <c r="AU84" s="27" t="n"/>
      <c r="AV84" s="37" t="n"/>
      <c r="AW84" s="38">
        <f>IF(AO84="","",IF(AR84="Yes","❌ Disc",IF(AQ84="No","⚠ Missing",IF(AT84="Yes","✓ OK","⚠ Check"))))</f>
        <v/>
      </c>
    </row>
    <row r="85" ht="18" customHeight="1" s="46">
      <c r="A85" s="23" t="n">
        <v>81</v>
      </c>
      <c r="B85" s="24" t="inlineStr">
        <is>
          <t>woodytan-matt</t>
        </is>
      </c>
      <c r="C85" s="25" t="inlineStr">
        <is>
          <t>Woody Tan (Matt)</t>
        </is>
      </c>
      <c r="D85" s="23" t="inlineStr">
        <is>
          <t>SPACEWOOD FURNISHERS PVT LTD</t>
        </is>
      </c>
      <c r="E85" s="43" t="n">
        <v>46125</v>
      </c>
      <c r="F85" s="26" t="inlineStr">
        <is>
          <t>Sunil CR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Good finish</t>
        </is>
      </c>
      <c r="J85" s="26" t="inlineStr">
        <is>
          <t>Yes</t>
        </is>
      </c>
      <c r="K85" s="27" t="n"/>
      <c r="L85" s="28" t="inlineStr">
        <is>
          <t>No</t>
        </is>
      </c>
      <c r="M85" s="29">
        <f>IF(E85="","",IF(H85="Yes","❌ Disc",IF(G85="No","⚠ Missing",IF(J85="Yes","✓ OK","⚠ Check"))))</f>
        <v/>
      </c>
      <c r="N85" s="43" t="n">
        <v>46193</v>
      </c>
      <c r="O85" s="26" t="inlineStr">
        <is>
          <t>Sunil CR</t>
        </is>
      </c>
      <c r="P85" s="26" t="inlineStr">
        <is>
          <t>Yes</t>
        </is>
      </c>
      <c r="Q85" s="26" t="inlineStr">
        <is>
          <t>No</t>
        </is>
      </c>
      <c r="R85" s="26" t="inlineStr">
        <is>
          <t>Good finish</t>
        </is>
      </c>
      <c r="S85" s="26" t="inlineStr">
        <is>
          <t>Yes</t>
        </is>
      </c>
      <c r="T85" s="27" t="n"/>
      <c r="U85" s="28" t="inlineStr">
        <is>
          <t>No</t>
        </is>
      </c>
      <c r="V85" s="29">
        <f>IF(N85="","",IF(Q85="Yes","❌ Disc",IF(P85="No","⚠ Missing",IF(S85="Yes","✓ OK","⚠ Check"))))</f>
        <v/>
      </c>
      <c r="W85" s="65" t="n">
        <v>46248</v>
      </c>
      <c r="X85" s="30" t="inlineStr">
        <is>
          <t>Sunil CR</t>
        </is>
      </c>
      <c r="Y85" s="30" t="inlineStr">
        <is>
          <t>Yes</t>
        </is>
      </c>
      <c r="Z85" s="30" t="n"/>
      <c r="AA85" s="30" t="inlineStr">
        <is>
          <t>Good finish</t>
        </is>
      </c>
      <c r="AB85" s="30" t="inlineStr">
        <is>
          <t>Yes</t>
        </is>
      </c>
      <c r="AC85" s="27" t="n"/>
      <c r="AD85" s="31" t="inlineStr">
        <is>
          <t>No</t>
        </is>
      </c>
      <c r="AE85" s="32">
        <f>IF(W85="","",IF(Z85="Yes","❌ Disc",IF(Y85="No","⚠ Missing",IF(AB85="Yes","✓ OK","⚠ Check"))))</f>
        <v/>
      </c>
      <c r="AF85" s="33" t="n"/>
      <c r="AG85" s="33" t="n"/>
      <c r="AH85" s="33" t="n"/>
      <c r="AI85" s="33" t="n"/>
      <c r="AJ85" s="33" t="n"/>
      <c r="AK85" s="33" t="n"/>
      <c r="AL85" s="27" t="n"/>
      <c r="AM85" s="34" t="n"/>
      <c r="AN85" s="35">
        <f>IF(AF85="","",IF(AI85="Yes","❌ Disc",IF(AH85="No","⚠ Missing",IF(AK85="Yes","✓ OK","⚠ Check"))))</f>
        <v/>
      </c>
      <c r="AO85" s="36" t="n"/>
      <c r="AP85" s="36" t="n"/>
      <c r="AQ85" s="36" t="n"/>
      <c r="AR85" s="36" t="n"/>
      <c r="AS85" s="36" t="n"/>
      <c r="AT85" s="36" t="n"/>
      <c r="AU85" s="27" t="n"/>
      <c r="AV85" s="37" t="n"/>
      <c r="AW85" s="38">
        <f>IF(AO85="","",IF(AR85="Yes","❌ Disc",IF(AQ85="No","⚠ Missing",IF(AT85="Yes","✓ OK","⚠ Check"))))</f>
        <v/>
      </c>
    </row>
  </sheetData>
  <autoFilter ref="A4:AW85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 G7:G8 G10:G12 G14:G16 G18:G19 G21:G25 G27 G29 G31:G85">
    <cfRule type="expression" priority="103" dxfId="3">
      <formula>G5="Yes"</formula>
    </cfRule>
    <cfRule type="expression" priority="104" dxfId="1">
      <formula>G5="No"</formula>
    </cfRule>
  </conditionalFormatting>
  <conditionalFormatting sqref="G6">
    <cfRule type="expression" priority="95" dxfId="86">
      <formula>G6="No"</formula>
    </cfRule>
    <cfRule type="expression" priority="96" dxfId="83">
      <formula>MOD(ROW(),2)=0</formula>
    </cfRule>
    <cfRule type="expression" priority="94" dxfId="87">
      <formula>G6="Yes"</formula>
    </cfRule>
  </conditionalFormatting>
  <conditionalFormatting sqref="G9">
    <cfRule type="expression" priority="53" dxfId="86">
      <formula>G9="No"</formula>
    </cfRule>
    <cfRule type="expression" priority="52" dxfId="87">
      <formula>G9="Yes"</formula>
    </cfRule>
    <cfRule type="expression" priority="54" dxfId="83">
      <formula>MOD(ROW(),2)=0</formula>
    </cfRule>
  </conditionalFormatting>
  <conditionalFormatting sqref="G13">
    <cfRule type="expression" priority="90" dxfId="83">
      <formula>MOD(ROW(),2)=0</formula>
    </cfRule>
    <cfRule type="expression" priority="89" dxfId="86">
      <formula>G13="No"</formula>
    </cfRule>
    <cfRule type="expression" priority="88" dxfId="87">
      <formula>G13="Yes"</formula>
    </cfRule>
  </conditionalFormatting>
  <conditionalFormatting sqref="G17">
    <cfRule type="expression" priority="83" dxfId="86">
      <formula>G17="No"</formula>
    </cfRule>
    <cfRule type="expression" priority="84" dxfId="83">
      <formula>MOD(ROW(),2)=0</formula>
    </cfRule>
    <cfRule type="expression" priority="82" dxfId="87">
      <formula>G17="Yes"</formula>
    </cfRule>
  </conditionalFormatting>
  <conditionalFormatting sqref="G20">
    <cfRule type="expression" priority="78" dxfId="83">
      <formula>MOD(ROW(),2)=0</formula>
    </cfRule>
    <cfRule type="expression" priority="76" dxfId="87">
      <formula>G20="Yes"</formula>
    </cfRule>
    <cfRule type="expression" priority="77" dxfId="86">
      <formula>G20="No"</formula>
    </cfRule>
  </conditionalFormatting>
  <conditionalFormatting sqref="G26">
    <cfRule type="expression" priority="70" dxfId="87">
      <formula>G26="Yes"</formula>
    </cfRule>
    <cfRule type="expression" priority="71" dxfId="86">
      <formula>G26="No"</formula>
    </cfRule>
    <cfRule type="expression" priority="72" dxfId="83">
      <formula>MOD(ROW(),2)=0</formula>
    </cfRule>
  </conditionalFormatting>
  <conditionalFormatting sqref="G28">
    <cfRule type="expression" priority="66" dxfId="83">
      <formula>MOD(ROW(),2)=0</formula>
    </cfRule>
    <cfRule type="expression" priority="65" dxfId="86">
      <formula>G28="No"</formula>
    </cfRule>
    <cfRule type="expression" priority="64" dxfId="87">
      <formula>G28="Yes"</formula>
    </cfRule>
  </conditionalFormatting>
  <conditionalFormatting sqref="G30">
    <cfRule type="expression" priority="60" dxfId="83">
      <formula>MOD(ROW(),2)=0</formula>
    </cfRule>
    <cfRule type="expression" priority="59" dxfId="86">
      <formula>G30="No"</formula>
    </cfRule>
    <cfRule type="expression" priority="58" dxfId="87">
      <formula>G30="Yes"</formula>
    </cfRule>
  </conditionalFormatting>
  <conditionalFormatting sqref="H5:H85">
    <cfRule type="expression" priority="55" dxfId="1">
      <formula>H5="Yes"</formula>
    </cfRule>
  </conditionalFormatting>
  <conditionalFormatting sqref="H6">
    <cfRule type="expression" priority="98" dxfId="27">
      <formula>MOD(ROW(),2)=0</formula>
    </cfRule>
  </conditionalFormatting>
  <conditionalFormatting sqref="H9">
    <cfRule type="expression" priority="56" dxfId="27">
      <formula>MOD(ROW(),2)=0</formula>
    </cfRule>
  </conditionalFormatting>
  <conditionalFormatting sqref="H13">
    <cfRule type="expression" priority="92" dxfId="27">
      <formula>MOD(ROW(),2)=0</formula>
    </cfRule>
  </conditionalFormatting>
  <conditionalFormatting sqref="H17">
    <cfRule type="expression" priority="86" dxfId="27">
      <formula>MOD(ROW(),2)=0</formula>
    </cfRule>
  </conditionalFormatting>
  <conditionalFormatting sqref="H20">
    <cfRule type="expression" priority="80" dxfId="27">
      <formula>MOD(ROW(),2)=0</formula>
    </cfRule>
  </conditionalFormatting>
  <conditionalFormatting sqref="H26">
    <cfRule type="expression" priority="74" dxfId="27">
      <formula>MOD(ROW(),2)=0</formula>
    </cfRule>
  </conditionalFormatting>
  <conditionalFormatting sqref="H28">
    <cfRule type="expression" priority="68" dxfId="27">
      <formula>MOD(ROW(),2)=0</formula>
    </cfRule>
  </conditionalFormatting>
  <conditionalFormatting sqref="H30">
    <cfRule type="expression" priority="62" dxfId="27">
      <formula>MOD(ROW(),2)=0</formula>
    </cfRule>
  </conditionalFormatting>
  <conditionalFormatting sqref="I6">
    <cfRule type="expression" priority="93" dxfId="83">
      <formula>MOD(ROW(),2)=0</formula>
    </cfRule>
  </conditionalFormatting>
  <conditionalFormatting sqref="I9">
    <cfRule type="expression" priority="51" dxfId="83">
      <formula>MOD(ROW(),2)=0</formula>
    </cfRule>
  </conditionalFormatting>
  <conditionalFormatting sqref="I13">
    <cfRule type="expression" priority="87" dxfId="83">
      <formula>MOD(ROW(),2)=0</formula>
    </cfRule>
  </conditionalFormatting>
  <conditionalFormatting sqref="I17">
    <cfRule type="expression" priority="81" dxfId="83">
      <formula>MOD(ROW(),2)=0</formula>
    </cfRule>
  </conditionalFormatting>
  <conditionalFormatting sqref="I20">
    <cfRule type="expression" priority="75" dxfId="83">
      <formula>MOD(ROW(),2)=0</formula>
    </cfRule>
  </conditionalFormatting>
  <conditionalFormatting sqref="I26">
    <cfRule type="expression" priority="69" dxfId="83">
      <formula>MOD(ROW(),2)=0</formula>
    </cfRule>
  </conditionalFormatting>
  <conditionalFormatting sqref="I28">
    <cfRule type="expression" priority="63" dxfId="83">
      <formula>MOD(ROW(),2)=0</formula>
    </cfRule>
  </conditionalFormatting>
  <conditionalFormatting sqref="I30">
    <cfRule type="expression" priority="57" dxfId="83">
      <formula>MOD(ROW(),2)=0</formula>
    </cfRule>
  </conditionalFormatting>
  <conditionalFormatting sqref="J5:J85">
    <cfRule type="expression" priority="106" dxfId="3">
      <formula>J5="Yes"</formula>
    </cfRule>
    <cfRule type="expression" priority="107" dxfId="1">
      <formula>J5="No"</formula>
    </cfRule>
  </conditionalFormatting>
  <conditionalFormatting sqref="M5:M85">
    <cfRule type="expression" priority="99" dxfId="3">
      <formula>M5="✓ OK"</formula>
    </cfRule>
    <cfRule type="expression" priority="100" dxfId="1">
      <formula>M5="❌ Disc"</formula>
    </cfRule>
    <cfRule type="expression" priority="101" dxfId="1">
      <formula>M5="⚠ Missing"</formula>
    </cfRule>
    <cfRule type="expression" priority="102" dxfId="0">
      <formula>M5="⚠ Check"</formula>
    </cfRule>
  </conditionalFormatting>
  <conditionalFormatting sqref="N5:N85">
    <cfRule type="expression" priority="1" dxfId="27">
      <formula>MOD(ROW(),2)=0</formula>
    </cfRule>
  </conditionalFormatting>
  <conditionalFormatting sqref="P5 P7:P8 P10:P12 P14:P16 P18:P19 P21:P25 P27 P29 P31:P85">
    <cfRule type="expression" priority="48" dxfId="1">
      <formula>P5="No"</formula>
    </cfRule>
    <cfRule type="expression" priority="47" dxfId="3">
      <formula>P5="Yes"</formula>
    </cfRule>
  </conditionalFormatting>
  <conditionalFormatting sqref="P6">
    <cfRule type="expression" priority="39" dxfId="87">
      <formula>P6="Yes"</formula>
    </cfRule>
    <cfRule type="expression" priority="40" dxfId="86">
      <formula>P6="No"</formula>
    </cfRule>
    <cfRule type="expression" priority="41" dxfId="83">
      <formula>MOD(ROW(),2)=0</formula>
    </cfRule>
  </conditionalFormatting>
  <conditionalFormatting sqref="P9">
    <cfRule type="expression" priority="5" dxfId="83">
      <formula>MOD(ROW(),2)=0</formula>
    </cfRule>
    <cfRule type="expression" priority="4" dxfId="86">
      <formula>P9="No"</formula>
    </cfRule>
    <cfRule type="expression" priority="3" dxfId="87">
      <formula>P9="Yes"</formula>
    </cfRule>
  </conditionalFormatting>
  <conditionalFormatting sqref="P13">
    <cfRule type="expression" priority="34" dxfId="87">
      <formula>P13="Yes"</formula>
    </cfRule>
    <cfRule type="expression" priority="35" dxfId="86">
      <formula>P13="No"</formula>
    </cfRule>
    <cfRule type="expression" priority="36" dxfId="83">
      <formula>MOD(ROW(),2)=0</formula>
    </cfRule>
  </conditionalFormatting>
  <conditionalFormatting sqref="P17">
    <cfRule type="expression" priority="29" dxfId="87">
      <formula>P17="Yes"</formula>
    </cfRule>
    <cfRule type="expression" priority="30" dxfId="86">
      <formula>P17="No"</formula>
    </cfRule>
    <cfRule type="expression" priority="31" dxfId="83">
      <formula>MOD(ROW(),2)=0</formula>
    </cfRule>
  </conditionalFormatting>
  <conditionalFormatting sqref="P20">
    <cfRule type="expression" priority="26" dxfId="83">
      <formula>MOD(ROW(),2)=0</formula>
    </cfRule>
    <cfRule type="expression" priority="25" dxfId="86">
      <formula>P20="No"</formula>
    </cfRule>
    <cfRule type="expression" priority="24" dxfId="87">
      <formula>P20="Yes"</formula>
    </cfRule>
  </conditionalFormatting>
  <conditionalFormatting sqref="P26">
    <cfRule type="expression" priority="21" dxfId="83">
      <formula>MOD(ROW(),2)=0</formula>
    </cfRule>
    <cfRule type="expression" priority="20" dxfId="86">
      <formula>P26="No"</formula>
    </cfRule>
    <cfRule type="expression" priority="19" dxfId="87">
      <formula>P26="Yes"</formula>
    </cfRule>
  </conditionalFormatting>
  <conditionalFormatting sqref="P28">
    <cfRule type="expression" priority="16" dxfId="83">
      <formula>MOD(ROW(),2)=0</formula>
    </cfRule>
    <cfRule type="expression" priority="15" dxfId="86">
      <formula>P28="No"</formula>
    </cfRule>
    <cfRule type="expression" priority="14" dxfId="87">
      <formula>P28="Yes"</formula>
    </cfRule>
  </conditionalFormatting>
  <conditionalFormatting sqref="P30">
    <cfRule type="expression" priority="10" dxfId="86">
      <formula>P30="No"</formula>
    </cfRule>
    <cfRule type="expression" priority="9" dxfId="87">
      <formula>P30="Yes"</formula>
    </cfRule>
    <cfRule type="expression" priority="11" dxfId="83">
      <formula>MOD(ROW(),2)=0</formula>
    </cfRule>
  </conditionalFormatting>
  <conditionalFormatting sqref="Q5:Q85">
    <cfRule type="expression" priority="6" dxfId="1">
      <formula>Q5="Yes"</formula>
    </cfRule>
  </conditionalFormatting>
  <conditionalFormatting sqref="Q6">
    <cfRule type="expression" priority="42" dxfId="27">
      <formula>MOD(ROW(),2)=0</formula>
    </cfRule>
  </conditionalFormatting>
  <conditionalFormatting sqref="Q9">
    <cfRule type="expression" priority="7" dxfId="27">
      <formula>MOD(ROW(),2)=0</formula>
    </cfRule>
  </conditionalFormatting>
  <conditionalFormatting sqref="Q13">
    <cfRule type="expression" priority="37" dxfId="27">
      <formula>MOD(ROW(),2)=0</formula>
    </cfRule>
  </conditionalFormatting>
  <conditionalFormatting sqref="Q17">
    <cfRule type="expression" priority="32" dxfId="27">
      <formula>MOD(ROW(),2)=0</formula>
    </cfRule>
  </conditionalFormatting>
  <conditionalFormatting sqref="Q20">
    <cfRule type="expression" priority="27" dxfId="27">
      <formula>MOD(ROW(),2)=0</formula>
    </cfRule>
  </conditionalFormatting>
  <conditionalFormatting sqref="Q26">
    <cfRule type="expression" priority="22" dxfId="27">
      <formula>MOD(ROW(),2)=0</formula>
    </cfRule>
  </conditionalFormatting>
  <conditionalFormatting sqref="Q28">
    <cfRule type="expression" priority="17" dxfId="27">
      <formula>MOD(ROW(),2)=0</formula>
    </cfRule>
  </conditionalFormatting>
  <conditionalFormatting sqref="Q30">
    <cfRule type="expression" priority="12" dxfId="27">
      <formula>MOD(ROW(),2)=0</formula>
    </cfRule>
  </conditionalFormatting>
  <conditionalFormatting sqref="R6">
    <cfRule type="expression" priority="38" dxfId="83">
      <formula>MOD(ROW(),2)=0</formula>
    </cfRule>
  </conditionalFormatting>
  <conditionalFormatting sqref="R9">
    <cfRule type="expression" priority="2" dxfId="83">
      <formula>MOD(ROW(),2)=0</formula>
    </cfRule>
  </conditionalFormatting>
  <conditionalFormatting sqref="R13">
    <cfRule type="expression" priority="33" dxfId="83">
      <formula>MOD(ROW(),2)=0</formula>
    </cfRule>
  </conditionalFormatting>
  <conditionalFormatting sqref="R17">
    <cfRule type="expression" priority="28" dxfId="83">
      <formula>MOD(ROW(),2)=0</formula>
    </cfRule>
  </conditionalFormatting>
  <conditionalFormatting sqref="R20">
    <cfRule type="expression" priority="23" dxfId="83">
      <formula>MOD(ROW(),2)=0</formula>
    </cfRule>
  </conditionalFormatting>
  <conditionalFormatting sqref="R26">
    <cfRule type="expression" priority="18" dxfId="83">
      <formula>MOD(ROW(),2)=0</formula>
    </cfRule>
  </conditionalFormatting>
  <conditionalFormatting sqref="R28">
    <cfRule type="expression" priority="13" dxfId="83">
      <formula>MOD(ROW(),2)=0</formula>
    </cfRule>
  </conditionalFormatting>
  <conditionalFormatting sqref="R30">
    <cfRule type="expression" priority="8" dxfId="83">
      <formula>MOD(ROW(),2)=0</formula>
    </cfRule>
  </conditionalFormatting>
  <conditionalFormatting sqref="S5:S85">
    <cfRule type="expression" priority="50" dxfId="1">
      <formula>S5="No"</formula>
    </cfRule>
    <cfRule type="expression" priority="49" dxfId="3">
      <formula>S5="Yes"</formula>
    </cfRule>
  </conditionalFormatting>
  <conditionalFormatting sqref="V5:V85">
    <cfRule type="expression" priority="46" dxfId="0">
      <formula>V5="⚠ Check"</formula>
    </cfRule>
    <cfRule type="expression" priority="43" dxfId="3">
      <formula>V5="✓ OK"</formula>
    </cfRule>
    <cfRule type="expression" priority="44" dxfId="1">
      <formula>V5="❌ Disc"</formula>
    </cfRule>
    <cfRule type="expression" priority="45" dxfId="1">
      <formula>V5="⚠ Missing"</formula>
    </cfRule>
  </conditionalFormatting>
  <conditionalFormatting sqref="A5:M5 A6:F6 A7:M8 A9:F9 A10:M12 A13:F13 A14:M16 A17:F17 A18:M19 A20:F20 A21:M25 A26:F26 A27:M27 A28:F28 A29:M29 A30:F30 A31:M85 J6:M6 J9:M9 J13:M13 J17:M17 J20:M20 J26:M26 J28:M28 J30:M30 O5:V5 O6 O7:V8 O9 O10:V12 O13 O14:V16 O17 O18:V19 O20 O21:V25 O26 O27:V27 O28 O29:V29 O30 O31:V85 S6:V6 S9:V9 S13:V13 S17:V17 S20:V20 S26:V26 S28:V28 S30:V30 W5:AW85">
    <cfRule type="expression" priority="144" dxfId="27">
      <formula>MOD(ROW(),2)=0</formula>
    </cfRule>
  </conditionalFormatting>
  <conditionalFormatting sqref="Y5:Y85">
    <cfRule type="expression" priority="121" dxfId="3">
      <formula>Y5="Yes"</formula>
    </cfRule>
    <cfRule type="expression" priority="122" dxfId="1">
      <formula>Y5="No"</formula>
    </cfRule>
  </conditionalFormatting>
  <conditionalFormatting sqref="Z5:Z85">
    <cfRule type="expression" priority="123" dxfId="1">
      <formula>Z5="Yes"</formula>
    </cfRule>
  </conditionalFormatting>
  <conditionalFormatting sqref="AB5:AB85">
    <cfRule type="expression" priority="124" dxfId="3">
      <formula>AB5="Yes"</formula>
    </cfRule>
    <cfRule type="expression" priority="125" dxfId="1">
      <formula>AB5="No"</formula>
    </cfRule>
  </conditionalFormatting>
  <conditionalFormatting sqref="AE5:AE85">
    <cfRule type="expression" priority="117" dxfId="3">
      <formula>AE5="✓ OK"</formula>
    </cfRule>
    <cfRule type="expression" priority="118" dxfId="1">
      <formula>AE5="❌ Disc"</formula>
    </cfRule>
    <cfRule type="expression" priority="119" dxfId="1">
      <formula>AE5="⚠ Missing"</formula>
    </cfRule>
    <cfRule type="expression" priority="120" dxfId="0">
      <formula>AE5="⚠ Check"</formula>
    </cfRule>
  </conditionalFormatting>
  <conditionalFormatting sqref="AH5:AH85">
    <cfRule type="expression" priority="130" dxfId="3">
      <formula>AH5="Yes"</formula>
    </cfRule>
    <cfRule type="expression" priority="131" dxfId="1">
      <formula>AH5="No"</formula>
    </cfRule>
  </conditionalFormatting>
  <conditionalFormatting sqref="AI5:AI85">
    <cfRule type="expression" priority="132" dxfId="1">
      <formula>AI5="Yes"</formula>
    </cfRule>
  </conditionalFormatting>
  <conditionalFormatting sqref="AK5:AK85">
    <cfRule type="expression" priority="133" dxfId="3">
      <formula>AK5="Yes"</formula>
    </cfRule>
    <cfRule type="expression" priority="134" dxfId="1">
      <formula>AK5="No"</formula>
    </cfRule>
  </conditionalFormatting>
  <conditionalFormatting sqref="AN5:AN85">
    <cfRule type="expression" priority="126" dxfId="3">
      <formula>AN5="✓ OK"</formula>
    </cfRule>
    <cfRule type="expression" priority="127" dxfId="1">
      <formula>AN5="❌ Disc"</formula>
    </cfRule>
    <cfRule type="expression" priority="128" dxfId="1">
      <formula>AN5="⚠ Missing"</formula>
    </cfRule>
    <cfRule type="expression" priority="129" dxfId="0">
      <formula>AN5="⚠ Check"</formula>
    </cfRule>
  </conditionalFormatting>
  <conditionalFormatting sqref="AQ5:AQ85">
    <cfRule type="expression" priority="139" dxfId="3">
      <formula>AQ5="Yes"</formula>
    </cfRule>
    <cfRule type="expression" priority="140" dxfId="1">
      <formula>AQ5="No"</formula>
    </cfRule>
  </conditionalFormatting>
  <conditionalFormatting sqref="AR5:AR85">
    <cfRule type="expression" priority="141" dxfId="1">
      <formula>AR5="Yes"</formula>
    </cfRule>
  </conditionalFormatting>
  <conditionalFormatting sqref="AT5:AT85">
    <cfRule type="expression" priority="142" dxfId="3">
      <formula>AT5="Yes"</formula>
    </cfRule>
    <cfRule type="expression" priority="143" dxfId="1">
      <formula>AT5="No"</formula>
    </cfRule>
  </conditionalFormatting>
  <conditionalFormatting sqref="AW5:AW85">
    <cfRule type="expression" priority="135" dxfId="3">
      <formula>AW5="✓ OK"</formula>
    </cfRule>
    <cfRule type="expression" priority="136" dxfId="1">
      <formula>AW5="❌ Disc"</formula>
    </cfRule>
    <cfRule type="expression" priority="138" dxfId="0">
      <formula>AW5="⚠ Check"</formula>
    </cfRule>
    <cfRule type="expression" priority="137" dxfId="1">
      <formula>AW5="⚠ Missing"</formula>
    </cfRule>
  </conditionalFormatting>
  <dataValidations count="4">
    <dataValidation sqref="G5:H5 G7:H8 G10:H12 G14:H16 G18:H19 G21:H25 G27:H27 G29:H29 G31:H85 H6 H9 H13 H17 H20 H26 H28 H30 J5:J85 P5:Q5 P7:Q8 P10:Q12 P14:Q16 P18:Q19 P21:Q25 P27:Q27 P29:Q29 P31:Q85 Q6 Q9 Q13 Q17 Q20 Q26 Q28 Q30 S5:S85 Y5:Z85 AB5:AB85 AH5:AI85 AK5:AK85 AQ5:AR85 AT5:AT85" showDropDown="0" showInputMessage="0" showErrorMessage="0" allowBlank="1" type="list">
      <formula1>"Yes,No"</formula1>
    </dataValidation>
    <dataValidation sqref="I5 I7:I8 I10:I12 I14:I16 I18:I19 I21:I25 I27 I29 I31:I85 R5 R7:R8 R10:R12 R14:R16 R18:R19 R21:R25 R27 R29 R31:R85 AA5:AA85 AJ5:AJ85 AS5:AS85" showDropDown="0" showInputMessage="0" showErrorMessage="0" allowBlank="1" type="list">
      <formula1>"Good finish,Minor defect,Major defect,Discontinued,Not Available"</formula1>
    </dataValidation>
    <dataValidation sqref="G6 G9 G13 G17 G20 G26 G28 G30 P6 P9 P13 P17 P20 P26 P28 P30" showDropDown="0" showInputMessage="0" showErrorMessage="0" allowBlank="1" type="list">
      <formula1>"Yes,No,Represented by Sample"</formula1>
    </dataValidation>
    <dataValidation sqref="I6 I9 I13 I17 I20 I26 I28 I30 R6 R9 R13 R17 R20 R26 R28 R30" showDropDown="0" showInputMessage="0" showErrorMessage="0" allowBlank="1" type="list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0"/>
    <outlinePr summaryBelow="1" summaryRight="1"/>
    <pageSetUpPr/>
  </sheetPr>
  <dimension ref="A1:AW168"/>
  <sheetViews>
    <sheetView workbookViewId="0">
      <pane xSplit="4" ySplit="4" topLeftCell="N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RAFTERS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BD-VRM-2025-0842</t>
        </is>
      </c>
      <c r="C5" s="25" t="inlineStr">
        <is>
          <t>Euro Pratik - Pastelite Louvers - 18101 - Paintable</t>
        </is>
      </c>
      <c r="D5" s="23" t="inlineStr">
        <is>
          <t>Europratik</t>
        </is>
      </c>
      <c r="E5" s="43" t="n">
        <v>46126</v>
      </c>
      <c r="F5" s="26" t="inlineStr">
        <is>
          <t>Sunil CR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Good finish</t>
        </is>
      </c>
      <c r="J5" s="26" t="inlineStr">
        <is>
          <t>Yes</t>
        </is>
      </c>
      <c r="K5" s="27" t="n"/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46193</v>
      </c>
      <c r="O5" s="26" t="inlineStr">
        <is>
          <t>Sunil CR</t>
        </is>
      </c>
      <c r="P5" s="26" t="inlineStr">
        <is>
          <t>Yes</t>
        </is>
      </c>
      <c r="Q5" s="26" t="inlineStr">
        <is>
          <t>No</t>
        </is>
      </c>
      <c r="R5" s="26" t="inlineStr">
        <is>
          <t>Good finish</t>
        </is>
      </c>
      <c r="S5" s="26" t="inlineStr">
        <is>
          <t>Yes</t>
        </is>
      </c>
      <c r="T5" s="27" t="n"/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Yes</t>
        </is>
      </c>
      <c r="Z5" s="30" t="n"/>
      <c r="AA5" s="30" t="inlineStr">
        <is>
          <t>Good finish</t>
        </is>
      </c>
      <c r="AB5" s="30" t="inlineStr">
        <is>
          <t>Yes</t>
        </is>
      </c>
      <c r="AC5" s="27" t="n"/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BD-VRM-2025-0844</t>
        </is>
      </c>
      <c r="C6" s="41" t="inlineStr">
        <is>
          <t>Euro Pratik - Pastelite Louvers - 18102 - Paintable</t>
        </is>
      </c>
      <c r="D6" s="39" t="inlineStr">
        <is>
          <t>Europratik</t>
        </is>
      </c>
      <c r="E6" s="43" t="n">
        <v>46126</v>
      </c>
      <c r="F6" s="26" t="inlineStr">
        <is>
          <t>Sunil CR</t>
        </is>
      </c>
      <c r="G6" s="26" t="inlineStr">
        <is>
          <t>Yes</t>
        </is>
      </c>
      <c r="H6" s="26" t="inlineStr">
        <is>
          <t>No</t>
        </is>
      </c>
      <c r="I6" s="26" t="inlineStr">
        <is>
          <t>Good finish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46193</v>
      </c>
      <c r="O6" s="26" t="inlineStr">
        <is>
          <t>Sunil CR</t>
        </is>
      </c>
      <c r="P6" s="26" t="inlineStr">
        <is>
          <t>Yes</t>
        </is>
      </c>
      <c r="Q6" s="26" t="inlineStr">
        <is>
          <t>No</t>
        </is>
      </c>
      <c r="R6" s="26" t="inlineStr">
        <is>
          <t>Good finish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Yes</t>
        </is>
      </c>
      <c r="Z6" s="30" t="n"/>
      <c r="AA6" s="30" t="inlineStr">
        <is>
          <t>Good finish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BD-VRM-2025-0845</t>
        </is>
      </c>
      <c r="C7" s="25" t="inlineStr">
        <is>
          <t>Euro Pratik - Pastelite Louvers - 18103 - Paintable</t>
        </is>
      </c>
      <c r="D7" s="23" t="inlineStr">
        <is>
          <t>Europratik</t>
        </is>
      </c>
      <c r="E7" s="43" t="n">
        <v>46126</v>
      </c>
      <c r="F7" s="26" t="inlineStr">
        <is>
          <t>Sunil CR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Good finish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46193</v>
      </c>
      <c r="O7" s="26" t="inlineStr">
        <is>
          <t>Sunil CR</t>
        </is>
      </c>
      <c r="P7" s="26" t="inlineStr">
        <is>
          <t>Yes</t>
        </is>
      </c>
      <c r="Q7" s="26" t="inlineStr">
        <is>
          <t>No</t>
        </is>
      </c>
      <c r="R7" s="26" t="inlineStr">
        <is>
          <t>Good finish</t>
        </is>
      </c>
      <c r="S7" s="26" t="inlineStr">
        <is>
          <t>Yes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Yes</t>
        </is>
      </c>
      <c r="Z7" s="30" t="n"/>
      <c r="AA7" s="30" t="inlineStr">
        <is>
          <t>Good finish</t>
        </is>
      </c>
      <c r="AB7" s="30" t="inlineStr">
        <is>
          <t>Yes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BD-VRM-2025-0846</t>
        </is>
      </c>
      <c r="C8" s="41" t="inlineStr">
        <is>
          <t>Euro Pratik - Pastelite Louvers - 18104 - Paintable</t>
        </is>
      </c>
      <c r="D8" s="39" t="inlineStr">
        <is>
          <t>Europratik</t>
        </is>
      </c>
      <c r="E8" s="43" t="n">
        <v>46126</v>
      </c>
      <c r="F8" s="26" t="inlineStr">
        <is>
          <t>Sunil CR</t>
        </is>
      </c>
      <c r="G8" s="26" t="inlineStr">
        <is>
          <t>Yes</t>
        </is>
      </c>
      <c r="H8" s="26" t="inlineStr">
        <is>
          <t>No</t>
        </is>
      </c>
      <c r="I8" s="26" t="inlineStr">
        <is>
          <t>Good finish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46193</v>
      </c>
      <c r="O8" s="26" t="inlineStr">
        <is>
          <t>Sunil CR</t>
        </is>
      </c>
      <c r="P8" s="26" t="inlineStr">
        <is>
          <t>Yes</t>
        </is>
      </c>
      <c r="Q8" s="26" t="inlineStr">
        <is>
          <t>No</t>
        </is>
      </c>
      <c r="R8" s="26" t="inlineStr">
        <is>
          <t>Good finish</t>
        </is>
      </c>
      <c r="S8" s="26" t="inlineStr">
        <is>
          <t>Yes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Yes</t>
        </is>
      </c>
      <c r="Z8" s="30" t="n"/>
      <c r="AA8" s="30" t="inlineStr">
        <is>
          <t>Good finish</t>
        </is>
      </c>
      <c r="AB8" s="30" t="inlineStr">
        <is>
          <t>Yes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BD-VRM-2025-0848</t>
        </is>
      </c>
      <c r="C9" s="25" t="inlineStr">
        <is>
          <t>Euro Pratik - Pastelite Louvers - 18105 - Paintable</t>
        </is>
      </c>
      <c r="D9" s="23" t="inlineStr">
        <is>
          <t>Europratik</t>
        </is>
      </c>
      <c r="E9" s="43" t="n">
        <v>46126</v>
      </c>
      <c r="F9" s="26" t="inlineStr">
        <is>
          <t>Sunil CR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Good finish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46193</v>
      </c>
      <c r="O9" s="26" t="inlineStr">
        <is>
          <t>Sunil CR</t>
        </is>
      </c>
      <c r="P9" s="26" t="inlineStr">
        <is>
          <t>Yes</t>
        </is>
      </c>
      <c r="Q9" s="26" t="inlineStr">
        <is>
          <t>No</t>
        </is>
      </c>
      <c r="R9" s="26" t="inlineStr">
        <is>
          <t>Good finish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Yes</t>
        </is>
      </c>
      <c r="Z9" s="30" t="n"/>
      <c r="AA9" s="30" t="inlineStr">
        <is>
          <t>Good finish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BD-VRM-2025-0849</t>
        </is>
      </c>
      <c r="C10" s="41" t="inlineStr">
        <is>
          <t>Euro Pratik - Pastelite Louvers - 18106 - Paintable</t>
        </is>
      </c>
      <c r="D10" s="39" t="inlineStr">
        <is>
          <t>Europratik</t>
        </is>
      </c>
      <c r="E10" s="43" t="n">
        <v>46126</v>
      </c>
      <c r="F10" s="26" t="inlineStr">
        <is>
          <t>Sunil CR</t>
        </is>
      </c>
      <c r="G10" s="26" t="inlineStr">
        <is>
          <t>Yes</t>
        </is>
      </c>
      <c r="H10" s="26" t="inlineStr">
        <is>
          <t>No</t>
        </is>
      </c>
      <c r="I10" s="26" t="inlineStr">
        <is>
          <t>Good finish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46193</v>
      </c>
      <c r="O10" s="26" t="inlineStr">
        <is>
          <t>Sunil CR</t>
        </is>
      </c>
      <c r="P10" s="26" t="inlineStr">
        <is>
          <t>Yes</t>
        </is>
      </c>
      <c r="Q10" s="26" t="inlineStr">
        <is>
          <t>No</t>
        </is>
      </c>
      <c r="R10" s="26" t="inlineStr">
        <is>
          <t>Good finish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Yes</t>
        </is>
      </c>
      <c r="Z10" s="30" t="n"/>
      <c r="AA10" s="30" t="inlineStr">
        <is>
          <t>Good finish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BD-VRM-2025-0851</t>
        </is>
      </c>
      <c r="C11" s="25" t="inlineStr">
        <is>
          <t>Euro Pratik - Pastelite Louvers - 18107 - Paintable</t>
        </is>
      </c>
      <c r="D11" s="23" t="inlineStr">
        <is>
          <t>Europratik</t>
        </is>
      </c>
      <c r="E11" s="43" t="n">
        <v>46126</v>
      </c>
      <c r="F11" s="26" t="inlineStr">
        <is>
          <t>Sunil CR</t>
        </is>
      </c>
      <c r="G11" s="26" t="inlineStr">
        <is>
          <t>No</t>
        </is>
      </c>
      <c r="H11" s="26" t="inlineStr">
        <is>
          <t>No</t>
        </is>
      </c>
      <c r="I11" s="26" t="inlineStr">
        <is>
          <t>Not Available</t>
        </is>
      </c>
      <c r="J11" s="26" t="inlineStr">
        <is>
          <t>No</t>
        </is>
      </c>
      <c r="K11" s="27" t="n"/>
      <c r="L11" s="28" t="inlineStr">
        <is>
          <t>Yes</t>
        </is>
      </c>
      <c r="M11" s="29">
        <f>IF(E11="","",IF(H11="Yes","❌ Disc",IF(G11="No","⚠ Missing",IF(J11="Yes","✓ OK","⚠ Check"))))</f>
        <v/>
      </c>
      <c r="N11" s="43" t="n">
        <v>46193</v>
      </c>
      <c r="O11" s="26" t="inlineStr">
        <is>
          <t>Sunil CR</t>
        </is>
      </c>
      <c r="P11" s="26" t="inlineStr">
        <is>
          <t>No</t>
        </is>
      </c>
      <c r="Q11" s="26" t="inlineStr">
        <is>
          <t>No</t>
        </is>
      </c>
      <c r="R11" s="26" t="inlineStr">
        <is>
          <t>Not Available</t>
        </is>
      </c>
      <c r="S11" s="26" t="inlineStr">
        <is>
          <t>No</t>
        </is>
      </c>
      <c r="T11" s="27" t="n"/>
      <c r="U11" s="28" t="inlineStr">
        <is>
          <t>Yes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No</t>
        </is>
      </c>
      <c r="Z11" s="30" t="n"/>
      <c r="AA11" s="30" t="inlineStr">
        <is>
          <t>Not Available</t>
        </is>
      </c>
      <c r="AB11" s="30" t="inlineStr">
        <is>
          <t>No</t>
        </is>
      </c>
      <c r="AC11" s="27" t="n"/>
      <c r="AD11" s="31" t="inlineStr">
        <is>
          <t>Yes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BD-VRM-2025-0852</t>
        </is>
      </c>
      <c r="C12" s="41" t="inlineStr">
        <is>
          <t>Euro Pratik - Pastelite Louvers - 18108 - Paintable</t>
        </is>
      </c>
      <c r="D12" s="39" t="inlineStr">
        <is>
          <t>Europratik</t>
        </is>
      </c>
      <c r="E12" s="43" t="n">
        <v>46126</v>
      </c>
      <c r="F12" s="26" t="inlineStr">
        <is>
          <t>Sunil CR</t>
        </is>
      </c>
      <c r="G12" s="26" t="inlineStr">
        <is>
          <t>Yes</t>
        </is>
      </c>
      <c r="H12" s="26" t="inlineStr">
        <is>
          <t>No</t>
        </is>
      </c>
      <c r="I12" s="26" t="inlineStr">
        <is>
          <t>Good finish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46193</v>
      </c>
      <c r="O12" s="26" t="inlineStr">
        <is>
          <t>Sunil CR</t>
        </is>
      </c>
      <c r="P12" s="26" t="inlineStr">
        <is>
          <t>Yes</t>
        </is>
      </c>
      <c r="Q12" s="26" t="inlineStr">
        <is>
          <t>No</t>
        </is>
      </c>
      <c r="R12" s="26" t="inlineStr">
        <is>
          <t>Good finish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Yes</t>
        </is>
      </c>
      <c r="Z12" s="30" t="n"/>
      <c r="AA12" s="30" t="inlineStr">
        <is>
          <t>Good finish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BD-VRM-2025-0854</t>
        </is>
      </c>
      <c r="C13" s="25" t="inlineStr">
        <is>
          <t>Euro Pratik - Pastelite Louvers - 18109 - Textured</t>
        </is>
      </c>
      <c r="D13" s="23" t="inlineStr">
        <is>
          <t>Europratik</t>
        </is>
      </c>
      <c r="E13" s="43" t="n">
        <v>46126</v>
      </c>
      <c r="F13" s="26" t="inlineStr">
        <is>
          <t>Sunil CR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Good finish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46193</v>
      </c>
      <c r="O13" s="26" t="inlineStr">
        <is>
          <t>Sunil CR</t>
        </is>
      </c>
      <c r="P13" s="26" t="inlineStr">
        <is>
          <t>Yes</t>
        </is>
      </c>
      <c r="Q13" s="26" t="inlineStr">
        <is>
          <t>No</t>
        </is>
      </c>
      <c r="R13" s="26" t="inlineStr">
        <is>
          <t>Good finish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Yes</t>
        </is>
      </c>
      <c r="Z13" s="30" t="n"/>
      <c r="AA13" s="30" t="inlineStr">
        <is>
          <t>Good finish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BD-VRM-2025-0855</t>
        </is>
      </c>
      <c r="C14" s="41" t="inlineStr">
        <is>
          <t>Euro Pratik - Pastelite Louvers - 18110 - Textured</t>
        </is>
      </c>
      <c r="D14" s="39" t="inlineStr">
        <is>
          <t>Europratik</t>
        </is>
      </c>
      <c r="E14" s="43" t="n">
        <v>46126</v>
      </c>
      <c r="F14" s="26" t="inlineStr">
        <is>
          <t>Sunil CR</t>
        </is>
      </c>
      <c r="G14" s="26" t="inlineStr">
        <is>
          <t>Yes</t>
        </is>
      </c>
      <c r="H14" s="26" t="inlineStr">
        <is>
          <t>No</t>
        </is>
      </c>
      <c r="I14" s="26" t="inlineStr">
        <is>
          <t>Good finish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46193</v>
      </c>
      <c r="O14" s="26" t="inlineStr">
        <is>
          <t>Sunil CR</t>
        </is>
      </c>
      <c r="P14" s="26" t="inlineStr">
        <is>
          <t>Yes</t>
        </is>
      </c>
      <c r="Q14" s="26" t="inlineStr">
        <is>
          <t>No</t>
        </is>
      </c>
      <c r="R14" s="26" t="inlineStr">
        <is>
          <t>Good finish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Yes</t>
        </is>
      </c>
      <c r="Z14" s="30" t="n"/>
      <c r="AA14" s="30" t="inlineStr">
        <is>
          <t>Good finish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BD-VRM-2025-0857</t>
        </is>
      </c>
      <c r="C15" s="25" t="inlineStr">
        <is>
          <t>Euro Pratik - Pastelite Louvers - 18111 - Textured</t>
        </is>
      </c>
      <c r="D15" s="23" t="inlineStr">
        <is>
          <t>Europratik</t>
        </is>
      </c>
      <c r="E15" s="43" t="n">
        <v>46126</v>
      </c>
      <c r="F15" s="26" t="inlineStr">
        <is>
          <t>Sunil CR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Good finish</t>
        </is>
      </c>
      <c r="J15" s="26" t="inlineStr">
        <is>
          <t>Yes</t>
        </is>
      </c>
      <c r="K15" s="27" t="n"/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46193</v>
      </c>
      <c r="O15" s="26" t="inlineStr">
        <is>
          <t>Sunil CR</t>
        </is>
      </c>
      <c r="P15" s="26" t="inlineStr">
        <is>
          <t>Yes</t>
        </is>
      </c>
      <c r="Q15" s="26" t="inlineStr">
        <is>
          <t>No</t>
        </is>
      </c>
      <c r="R15" s="26" t="inlineStr">
        <is>
          <t>Good finish</t>
        </is>
      </c>
      <c r="S15" s="26" t="inlineStr">
        <is>
          <t>Yes</t>
        </is>
      </c>
      <c r="T15" s="27" t="n"/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Good finish</t>
        </is>
      </c>
      <c r="AB15" s="30" t="inlineStr">
        <is>
          <t>Yes</t>
        </is>
      </c>
      <c r="AC15" s="27" t="n"/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BD-VRM-2025-0858</t>
        </is>
      </c>
      <c r="C16" s="41" t="inlineStr">
        <is>
          <t>Euro Pratik - Pastelite Louvers - 18112 - Textured</t>
        </is>
      </c>
      <c r="D16" s="39" t="inlineStr">
        <is>
          <t>Europratik</t>
        </is>
      </c>
      <c r="E16" s="43" t="n">
        <v>46126</v>
      </c>
      <c r="F16" s="26" t="inlineStr">
        <is>
          <t>Sunil CR</t>
        </is>
      </c>
      <c r="G16" s="26" t="inlineStr">
        <is>
          <t>Yes</t>
        </is>
      </c>
      <c r="H16" s="26" t="inlineStr">
        <is>
          <t>No</t>
        </is>
      </c>
      <c r="I16" s="26" t="inlineStr">
        <is>
          <t>Good finish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46193</v>
      </c>
      <c r="O16" s="26" t="inlineStr">
        <is>
          <t>Sunil CR</t>
        </is>
      </c>
      <c r="P16" s="26" t="inlineStr">
        <is>
          <t>No</t>
        </is>
      </c>
      <c r="Q16" s="26" t="inlineStr">
        <is>
          <t>Yes</t>
        </is>
      </c>
      <c r="R16" s="26" t="inlineStr">
        <is>
          <t>Discontinued</t>
        </is>
      </c>
      <c r="S16" s="26" t="inlineStr">
        <is>
          <t>No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No</t>
        </is>
      </c>
      <c r="Z16" s="30" t="inlineStr">
        <is>
          <t>Yes</t>
        </is>
      </c>
      <c r="AA16" s="30" t="inlineStr">
        <is>
          <t>Discontinued</t>
        </is>
      </c>
      <c r="AB16" s="30" t="inlineStr">
        <is>
          <t>No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BD-VRM-2025-0859</t>
        </is>
      </c>
      <c r="C17" s="25" t="inlineStr">
        <is>
          <t>Euro Pratik - Pastelite Louvers - 18113 - Paintable</t>
        </is>
      </c>
      <c r="D17" s="23" t="inlineStr">
        <is>
          <t>Europratik</t>
        </is>
      </c>
      <c r="E17" s="43" t="n">
        <v>46126</v>
      </c>
      <c r="F17" s="26" t="inlineStr">
        <is>
          <t>Sunil CR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Good finish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46193</v>
      </c>
      <c r="O17" s="26" t="inlineStr">
        <is>
          <t>Sunil CR</t>
        </is>
      </c>
      <c r="P17" s="26" t="inlineStr">
        <is>
          <t>Yes</t>
        </is>
      </c>
      <c r="Q17" s="26" t="inlineStr">
        <is>
          <t>No</t>
        </is>
      </c>
      <c r="R17" s="26" t="inlineStr">
        <is>
          <t>Good finish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Yes</t>
        </is>
      </c>
      <c r="Z17" s="30" t="n"/>
      <c r="AA17" s="30" t="inlineStr">
        <is>
          <t>Good finish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BD-VRM-2025-0860</t>
        </is>
      </c>
      <c r="C18" s="41" t="inlineStr">
        <is>
          <t>Euro Pratik - Pastelite Louvers - 18114 - Paintable</t>
        </is>
      </c>
      <c r="D18" s="39" t="inlineStr">
        <is>
          <t>Europratik</t>
        </is>
      </c>
      <c r="E18" s="43" t="n">
        <v>46126</v>
      </c>
      <c r="F18" s="26" t="inlineStr">
        <is>
          <t>Sunil CR</t>
        </is>
      </c>
      <c r="G18" s="26" t="inlineStr">
        <is>
          <t>Yes</t>
        </is>
      </c>
      <c r="H18" s="26" t="inlineStr">
        <is>
          <t>No</t>
        </is>
      </c>
      <c r="I18" s="26" t="inlineStr">
        <is>
          <t>Good finish</t>
        </is>
      </c>
      <c r="J18" s="26" t="inlineStr">
        <is>
          <t>Yes</t>
        </is>
      </c>
      <c r="K18" s="27" t="n"/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46193</v>
      </c>
      <c r="O18" s="26" t="inlineStr">
        <is>
          <t>Sunil CR</t>
        </is>
      </c>
      <c r="P18" s="26" t="inlineStr">
        <is>
          <t>Yes</t>
        </is>
      </c>
      <c r="Q18" s="26" t="inlineStr">
        <is>
          <t>No</t>
        </is>
      </c>
      <c r="R18" s="26" t="inlineStr">
        <is>
          <t>Good finish</t>
        </is>
      </c>
      <c r="S18" s="26" t="inlineStr">
        <is>
          <t>Yes</t>
        </is>
      </c>
      <c r="T18" s="27" t="n"/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Yes</t>
        </is>
      </c>
      <c r="Z18" s="30" t="n"/>
      <c r="AA18" s="30" t="inlineStr">
        <is>
          <t>Good finish</t>
        </is>
      </c>
      <c r="AB18" s="30" t="inlineStr">
        <is>
          <t>Yes</t>
        </is>
      </c>
      <c r="AC18" s="27" t="n"/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BD-VRM-2025-0862</t>
        </is>
      </c>
      <c r="C19" s="25" t="inlineStr">
        <is>
          <t>Euro Pratik - Pastelite Louvers - 18115 - Textured</t>
        </is>
      </c>
      <c r="D19" s="23" t="inlineStr">
        <is>
          <t>Europratik</t>
        </is>
      </c>
      <c r="E19" s="43" t="n">
        <v>46126</v>
      </c>
      <c r="F19" s="26" t="inlineStr">
        <is>
          <t>Sunil CR</t>
        </is>
      </c>
      <c r="G19" s="26" t="inlineStr">
        <is>
          <t>No</t>
        </is>
      </c>
      <c r="H19" s="26" t="inlineStr">
        <is>
          <t>No</t>
        </is>
      </c>
      <c r="I19" s="26" t="inlineStr">
        <is>
          <t>Not Available</t>
        </is>
      </c>
      <c r="J19" s="26" t="inlineStr">
        <is>
          <t>No</t>
        </is>
      </c>
      <c r="K19" s="27" t="n"/>
      <c r="L19" s="28" t="inlineStr">
        <is>
          <t>Yes</t>
        </is>
      </c>
      <c r="M19" s="29">
        <f>IF(E19="","",IF(H19="Yes","❌ Disc",IF(G19="No","⚠ Missing",IF(J19="Yes","✓ OK","⚠ Check"))))</f>
        <v/>
      </c>
      <c r="N19" s="43" t="n">
        <v>46193</v>
      </c>
      <c r="O19" s="26" t="inlineStr">
        <is>
          <t>Sunil CR</t>
        </is>
      </c>
      <c r="P19" s="26" t="inlineStr">
        <is>
          <t>No</t>
        </is>
      </c>
      <c r="Q19" s="26" t="inlineStr">
        <is>
          <t>No</t>
        </is>
      </c>
      <c r="R19" s="26" t="inlineStr">
        <is>
          <t>Not Available</t>
        </is>
      </c>
      <c r="S19" s="26" t="inlineStr">
        <is>
          <t>No</t>
        </is>
      </c>
      <c r="T19" s="27" t="n"/>
      <c r="U19" s="28" t="inlineStr">
        <is>
          <t>Yes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No</t>
        </is>
      </c>
      <c r="Z19" s="30" t="n"/>
      <c r="AA19" s="30" t="inlineStr">
        <is>
          <t>Not Available</t>
        </is>
      </c>
      <c r="AB19" s="30" t="inlineStr">
        <is>
          <t>No</t>
        </is>
      </c>
      <c r="AC19" s="27" t="n"/>
      <c r="AD19" s="31" t="inlineStr">
        <is>
          <t>Yes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BD-VRM-2025-0863</t>
        </is>
      </c>
      <c r="C20" s="41" t="inlineStr">
        <is>
          <t>Euro Pratik - Pastelite Louvers - 18116 - Paintable</t>
        </is>
      </c>
      <c r="D20" s="39" t="inlineStr">
        <is>
          <t>Europratik</t>
        </is>
      </c>
      <c r="E20" s="43" t="n">
        <v>46126</v>
      </c>
      <c r="F20" s="26" t="inlineStr">
        <is>
          <t>Sunil CR</t>
        </is>
      </c>
      <c r="G20" s="26" t="inlineStr">
        <is>
          <t>Yes</t>
        </is>
      </c>
      <c r="H20" s="26" t="inlineStr">
        <is>
          <t>No</t>
        </is>
      </c>
      <c r="I20" s="26" t="inlineStr">
        <is>
          <t>Good finish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46193</v>
      </c>
      <c r="O20" s="26" t="inlineStr">
        <is>
          <t>Sunil CR</t>
        </is>
      </c>
      <c r="P20" s="26" t="inlineStr">
        <is>
          <t>Yes</t>
        </is>
      </c>
      <c r="Q20" s="26" t="inlineStr">
        <is>
          <t>No</t>
        </is>
      </c>
      <c r="R20" s="26" t="inlineStr">
        <is>
          <t>Good finish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Yes</t>
        </is>
      </c>
      <c r="Z20" s="30" t="n"/>
      <c r="AA20" s="30" t="inlineStr">
        <is>
          <t>Good finish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BD-VRM-2025-0864</t>
        </is>
      </c>
      <c r="C21" s="25" t="inlineStr">
        <is>
          <t>Euro Pratik - Pastelite Louvers - 18117 - Paintable</t>
        </is>
      </c>
      <c r="D21" s="23" t="inlineStr">
        <is>
          <t>Europratik</t>
        </is>
      </c>
      <c r="E21" s="43" t="n">
        <v>46126</v>
      </c>
      <c r="F21" s="26" t="inlineStr">
        <is>
          <t>Sunil CR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Good finish</t>
        </is>
      </c>
      <c r="J21" s="26" t="inlineStr">
        <is>
          <t>Yes</t>
        </is>
      </c>
      <c r="K21" s="27" t="n"/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46193</v>
      </c>
      <c r="O21" s="26" t="inlineStr">
        <is>
          <t>Sunil CR</t>
        </is>
      </c>
      <c r="P21" s="26" t="inlineStr">
        <is>
          <t>Yes</t>
        </is>
      </c>
      <c r="Q21" s="26" t="inlineStr">
        <is>
          <t>No</t>
        </is>
      </c>
      <c r="R21" s="26" t="inlineStr">
        <is>
          <t>Good finish</t>
        </is>
      </c>
      <c r="S21" s="26" t="inlineStr">
        <is>
          <t>Yes</t>
        </is>
      </c>
      <c r="T21" s="27" t="n"/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Yes</t>
        </is>
      </c>
      <c r="Z21" s="30" t="n"/>
      <c r="AA21" s="30" t="inlineStr">
        <is>
          <t>Good finish</t>
        </is>
      </c>
      <c r="AB21" s="30" t="inlineStr">
        <is>
          <t>Yes</t>
        </is>
      </c>
      <c r="AC21" s="27" t="n"/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BD-VRM-2025-0865</t>
        </is>
      </c>
      <c r="C22" s="41" t="inlineStr">
        <is>
          <t>Euro Pratik - Pastelite Louvers - 18118 - Paintable</t>
        </is>
      </c>
      <c r="D22" s="39" t="inlineStr">
        <is>
          <t>Europratik</t>
        </is>
      </c>
      <c r="E22" s="43" t="n">
        <v>46126</v>
      </c>
      <c r="F22" s="26" t="inlineStr">
        <is>
          <t>Sunil CR</t>
        </is>
      </c>
      <c r="G22" s="26" t="inlineStr">
        <is>
          <t>Yes</t>
        </is>
      </c>
      <c r="H22" s="26" t="inlineStr">
        <is>
          <t>No</t>
        </is>
      </c>
      <c r="I22" s="26" t="inlineStr">
        <is>
          <t>Good finish</t>
        </is>
      </c>
      <c r="J22" s="26" t="inlineStr">
        <is>
          <t>Yes</t>
        </is>
      </c>
      <c r="K22" s="27" t="n"/>
      <c r="L22" s="28" t="inlineStr">
        <is>
          <t>No</t>
        </is>
      </c>
      <c r="M22" s="29">
        <f>IF(E22="","",IF(H22="Yes","❌ Disc",IF(G22="No","⚠ Missing",IF(J22="Yes","✓ OK","⚠ Check"))))</f>
        <v/>
      </c>
      <c r="N22" s="43" t="n">
        <v>46193</v>
      </c>
      <c r="O22" s="26" t="inlineStr">
        <is>
          <t>Sunil CR</t>
        </is>
      </c>
      <c r="P22" s="26" t="inlineStr">
        <is>
          <t>Yes</t>
        </is>
      </c>
      <c r="Q22" s="26" t="inlineStr">
        <is>
          <t>No</t>
        </is>
      </c>
      <c r="R22" s="26" t="inlineStr">
        <is>
          <t>Good finish</t>
        </is>
      </c>
      <c r="S22" s="26" t="inlineStr">
        <is>
          <t>Yes</t>
        </is>
      </c>
      <c r="T22" s="27" t="n"/>
      <c r="U22" s="28" t="inlineStr">
        <is>
          <t>No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Yes</t>
        </is>
      </c>
      <c r="Z22" s="30" t="n"/>
      <c r="AA22" s="30" t="inlineStr">
        <is>
          <t>Good finish</t>
        </is>
      </c>
      <c r="AB22" s="30" t="inlineStr">
        <is>
          <t>Yes</t>
        </is>
      </c>
      <c r="AC22" s="27" t="n"/>
      <c r="AD22" s="31" t="inlineStr">
        <is>
          <t>No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BD-VRM-2025-0866</t>
        </is>
      </c>
      <c r="C23" s="25" t="inlineStr">
        <is>
          <t>Euro Pratik - Pastelite Louvers - 18119 - Paintable</t>
        </is>
      </c>
      <c r="D23" s="23" t="inlineStr">
        <is>
          <t>Europratik</t>
        </is>
      </c>
      <c r="E23" s="43" t="n">
        <v>46126</v>
      </c>
      <c r="F23" s="26" t="inlineStr">
        <is>
          <t>Sunil CR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Good finish</t>
        </is>
      </c>
      <c r="J23" s="26" t="inlineStr">
        <is>
          <t>Yes</t>
        </is>
      </c>
      <c r="K23" s="27" t="n"/>
      <c r="L23" s="28" t="inlineStr">
        <is>
          <t>No</t>
        </is>
      </c>
      <c r="M23" s="29">
        <f>IF(E23="","",IF(H23="Yes","❌ Disc",IF(G23="No","⚠ Missing",IF(J23="Yes","✓ OK","⚠ Check"))))</f>
        <v/>
      </c>
      <c r="N23" s="43" t="n">
        <v>46193</v>
      </c>
      <c r="O23" s="26" t="inlineStr">
        <is>
          <t>Sunil CR</t>
        </is>
      </c>
      <c r="P23" s="26" t="inlineStr">
        <is>
          <t>Yes</t>
        </is>
      </c>
      <c r="Q23" s="26" t="inlineStr">
        <is>
          <t>No</t>
        </is>
      </c>
      <c r="R23" s="26" t="inlineStr">
        <is>
          <t>Good finish</t>
        </is>
      </c>
      <c r="S23" s="26" t="inlineStr">
        <is>
          <t>Yes</t>
        </is>
      </c>
      <c r="T23" s="27" t="n"/>
      <c r="U23" s="28" t="inlineStr">
        <is>
          <t>No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Yes</t>
        </is>
      </c>
      <c r="Z23" s="30" t="n"/>
      <c r="AA23" s="30" t="inlineStr">
        <is>
          <t>Good finish</t>
        </is>
      </c>
      <c r="AB23" s="30" t="inlineStr">
        <is>
          <t>Yes</t>
        </is>
      </c>
      <c r="AC23" s="27" t="n"/>
      <c r="AD23" s="31" t="inlineStr">
        <is>
          <t>No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BD-VRM-2025-0867</t>
        </is>
      </c>
      <c r="C24" s="41" t="inlineStr">
        <is>
          <t>Euro Pratik - Pastelite Louvers - 18120 - Paintable</t>
        </is>
      </c>
      <c r="D24" s="39" t="inlineStr">
        <is>
          <t>Europratik</t>
        </is>
      </c>
      <c r="E24" s="43" t="n">
        <v>46126</v>
      </c>
      <c r="F24" s="26" t="inlineStr">
        <is>
          <t>Sunil CR</t>
        </is>
      </c>
      <c r="G24" s="26" t="inlineStr">
        <is>
          <t>Yes</t>
        </is>
      </c>
      <c r="H24" s="26" t="inlineStr">
        <is>
          <t>No</t>
        </is>
      </c>
      <c r="I24" s="26" t="inlineStr">
        <is>
          <t>Good finish</t>
        </is>
      </c>
      <c r="J24" s="26" t="inlineStr">
        <is>
          <t>Yes</t>
        </is>
      </c>
      <c r="K24" s="27" t="n"/>
      <c r="L24" s="28" t="inlineStr">
        <is>
          <t>No</t>
        </is>
      </c>
      <c r="M24" s="29">
        <f>IF(E24="","",IF(H24="Yes","❌ Disc",IF(G24="No","⚠ Missing",IF(J24="Yes","✓ OK","⚠ Check"))))</f>
        <v/>
      </c>
      <c r="N24" s="43" t="n">
        <v>46193</v>
      </c>
      <c r="O24" s="26" t="inlineStr">
        <is>
          <t>Sunil CR</t>
        </is>
      </c>
      <c r="P24" s="26" t="inlineStr">
        <is>
          <t>Yes</t>
        </is>
      </c>
      <c r="Q24" s="26" t="inlineStr">
        <is>
          <t>No</t>
        </is>
      </c>
      <c r="R24" s="26" t="inlineStr">
        <is>
          <t>Good finish</t>
        </is>
      </c>
      <c r="S24" s="26" t="inlineStr">
        <is>
          <t>Yes</t>
        </is>
      </c>
      <c r="T24" s="27" t="n"/>
      <c r="U24" s="28" t="inlineStr">
        <is>
          <t>No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Yes</t>
        </is>
      </c>
      <c r="Z24" s="30" t="n"/>
      <c r="AA24" s="30" t="inlineStr">
        <is>
          <t>Good finish</t>
        </is>
      </c>
      <c r="AB24" s="30" t="inlineStr">
        <is>
          <t>Yes</t>
        </is>
      </c>
      <c r="AC24" s="27" t="n"/>
      <c r="AD24" s="31" t="inlineStr">
        <is>
          <t>No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BD-VRM-2025-0868</t>
        </is>
      </c>
      <c r="C25" s="25" t="inlineStr">
        <is>
          <t>Euro Pratik - Pastelite Louvers - 18121 - Paintable</t>
        </is>
      </c>
      <c r="D25" s="23" t="inlineStr">
        <is>
          <t>Europratik</t>
        </is>
      </c>
      <c r="E25" s="43" t="n">
        <v>46126</v>
      </c>
      <c r="F25" s="26" t="inlineStr">
        <is>
          <t>Sunil CR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Good finish</t>
        </is>
      </c>
      <c r="J25" s="26" t="inlineStr">
        <is>
          <t>Yes</t>
        </is>
      </c>
      <c r="K25" s="27" t="n"/>
      <c r="L25" s="28" t="inlineStr">
        <is>
          <t>No</t>
        </is>
      </c>
      <c r="M25" s="29">
        <f>IF(E25="","",IF(H25="Yes","❌ Disc",IF(G25="No","⚠ Missing",IF(J25="Yes","✓ OK","⚠ Check"))))</f>
        <v/>
      </c>
      <c r="N25" s="43" t="n">
        <v>46193</v>
      </c>
      <c r="O25" s="26" t="inlineStr">
        <is>
          <t>Sunil CR</t>
        </is>
      </c>
      <c r="P25" s="26" t="inlineStr">
        <is>
          <t>Yes</t>
        </is>
      </c>
      <c r="Q25" s="26" t="inlineStr">
        <is>
          <t>No</t>
        </is>
      </c>
      <c r="R25" s="26" t="inlineStr">
        <is>
          <t>Good finish</t>
        </is>
      </c>
      <c r="S25" s="26" t="inlineStr">
        <is>
          <t>Yes</t>
        </is>
      </c>
      <c r="T25" s="27" t="n"/>
      <c r="U25" s="28" t="inlineStr">
        <is>
          <t>No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Yes</t>
        </is>
      </c>
      <c r="Z25" s="30" t="n"/>
      <c r="AA25" s="30" t="inlineStr">
        <is>
          <t>Good finish</t>
        </is>
      </c>
      <c r="AB25" s="30" t="inlineStr">
        <is>
          <t>Yes</t>
        </is>
      </c>
      <c r="AC25" s="27" t="n"/>
      <c r="AD25" s="31" t="inlineStr">
        <is>
          <t>No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BD-VRM-2025-0869</t>
        </is>
      </c>
      <c r="C26" s="41" t="inlineStr">
        <is>
          <t>Euro Pratik - Pastelite Louvers - 18122 - Paintable</t>
        </is>
      </c>
      <c r="D26" s="39" t="inlineStr">
        <is>
          <t>Europratik</t>
        </is>
      </c>
      <c r="E26" s="43" t="n">
        <v>46126</v>
      </c>
      <c r="F26" s="26" t="inlineStr">
        <is>
          <t>Sunil CR</t>
        </is>
      </c>
      <c r="G26" s="26" t="inlineStr">
        <is>
          <t>Yes</t>
        </is>
      </c>
      <c r="H26" s="26" t="inlineStr">
        <is>
          <t>No</t>
        </is>
      </c>
      <c r="I26" s="26" t="inlineStr">
        <is>
          <t>Good finish</t>
        </is>
      </c>
      <c r="J26" s="26" t="inlineStr">
        <is>
          <t>Yes</t>
        </is>
      </c>
      <c r="K26" s="27" t="n"/>
      <c r="L26" s="28" t="inlineStr">
        <is>
          <t>No</t>
        </is>
      </c>
      <c r="M26" s="29">
        <f>IF(E26="","",IF(H26="Yes","❌ Disc",IF(G26="No","⚠ Missing",IF(J26="Yes","✓ OK","⚠ Check"))))</f>
        <v/>
      </c>
      <c r="N26" s="43" t="n">
        <v>46193</v>
      </c>
      <c r="O26" s="26" t="inlineStr">
        <is>
          <t>Sunil CR</t>
        </is>
      </c>
      <c r="P26" s="26" t="inlineStr">
        <is>
          <t>Yes</t>
        </is>
      </c>
      <c r="Q26" s="26" t="inlineStr">
        <is>
          <t>No</t>
        </is>
      </c>
      <c r="R26" s="26" t="inlineStr">
        <is>
          <t>Good finish</t>
        </is>
      </c>
      <c r="S26" s="26" t="inlineStr">
        <is>
          <t>Yes</t>
        </is>
      </c>
      <c r="T26" s="27" t="n"/>
      <c r="U26" s="28" t="inlineStr">
        <is>
          <t>No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Yes</t>
        </is>
      </c>
      <c r="Z26" s="30" t="n"/>
      <c r="AA26" s="30" t="inlineStr">
        <is>
          <t>Good finish</t>
        </is>
      </c>
      <c r="AB26" s="30" t="inlineStr">
        <is>
          <t>Yes</t>
        </is>
      </c>
      <c r="AC26" s="27" t="n"/>
      <c r="AD26" s="31" t="inlineStr">
        <is>
          <t>No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BD-VRM-2025-0870</t>
        </is>
      </c>
      <c r="C27" s="25" t="inlineStr">
        <is>
          <t>Euro Pratik - Pastelite Louvers - 19101 - Textured</t>
        </is>
      </c>
      <c r="D27" s="23" t="inlineStr">
        <is>
          <t>Europratik</t>
        </is>
      </c>
      <c r="E27" s="43" t="n">
        <v>46126</v>
      </c>
      <c r="F27" s="26" t="inlineStr">
        <is>
          <t>Sunil CR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Good finish</t>
        </is>
      </c>
      <c r="J27" s="26" t="inlineStr">
        <is>
          <t>Yes</t>
        </is>
      </c>
      <c r="K27" s="27" t="n"/>
      <c r="L27" s="28" t="inlineStr">
        <is>
          <t>No</t>
        </is>
      </c>
      <c r="M27" s="29">
        <f>IF(E27="","",IF(H27="Yes","❌ Disc",IF(G27="No","⚠ Missing",IF(J27="Yes","✓ OK","⚠ Check"))))</f>
        <v/>
      </c>
      <c r="N27" s="43" t="n">
        <v>46193</v>
      </c>
      <c r="O27" s="26" t="inlineStr">
        <is>
          <t>Sunil CR</t>
        </is>
      </c>
      <c r="P27" s="26" t="inlineStr">
        <is>
          <t>Yes</t>
        </is>
      </c>
      <c r="Q27" s="26" t="inlineStr">
        <is>
          <t>No</t>
        </is>
      </c>
      <c r="R27" s="26" t="inlineStr">
        <is>
          <t>Good finish</t>
        </is>
      </c>
      <c r="S27" s="26" t="inlineStr">
        <is>
          <t>Yes</t>
        </is>
      </c>
      <c r="T27" s="27" t="n"/>
      <c r="U27" s="28" t="inlineStr">
        <is>
          <t>No</t>
        </is>
      </c>
      <c r="V27" s="29">
        <f>IF(N27="","",IF(Q27="Yes","❌ Disc",IF(P27="No","⚠ Missing",IF(S27="Yes","✓ OK","⚠ Check"))))</f>
        <v/>
      </c>
      <c r="W27" s="65" t="n">
        <v>46248</v>
      </c>
      <c r="X27" s="30" t="inlineStr">
        <is>
          <t>Sunil CR</t>
        </is>
      </c>
      <c r="Y27" s="30" t="inlineStr">
        <is>
          <t>Yes</t>
        </is>
      </c>
      <c r="Z27" s="30" t="n"/>
      <c r="AA27" s="30" t="inlineStr">
        <is>
          <t>Good finish</t>
        </is>
      </c>
      <c r="AB27" s="30" t="inlineStr">
        <is>
          <t>Yes</t>
        </is>
      </c>
      <c r="AC27" s="27" t="n"/>
      <c r="AD27" s="31" t="inlineStr">
        <is>
          <t>No</t>
        </is>
      </c>
      <c r="AE27" s="32">
        <f>IF(W27="","",IF(Z27="Yes","❌ Disc",IF(Y27="No","⚠ Missing",IF(AB27="Yes","✓ OK","⚠ Check"))))</f>
        <v/>
      </c>
      <c r="AF27" s="33" t="n"/>
      <c r="AG27" s="33" t="n"/>
      <c r="AH27" s="33" t="n"/>
      <c r="AI27" s="33" t="n"/>
      <c r="AJ27" s="33" t="n"/>
      <c r="AK27" s="33" t="n"/>
      <c r="AL27" s="27" t="n"/>
      <c r="AM27" s="34" t="n"/>
      <c r="AN27" s="35">
        <f>IF(AF27="","",IF(AI27="Yes","❌ Disc",IF(AH27="No","⚠ Missing",IF(AK27="Yes","✓ OK","⚠ Check"))))</f>
        <v/>
      </c>
      <c r="AO27" s="36" t="n"/>
      <c r="AP27" s="36" t="n"/>
      <c r="AQ27" s="36" t="n"/>
      <c r="AR27" s="36" t="n"/>
      <c r="AS27" s="36" t="n"/>
      <c r="AT27" s="36" t="n"/>
      <c r="AU27" s="27" t="n"/>
      <c r="AV27" s="37" t="n"/>
      <c r="AW27" s="38">
        <f>IF(AO27="","",IF(AR27="Yes","❌ Disc",IF(AQ27="No","⚠ Missing",IF(AT27="Yes","✓ OK","⚠ Check"))))</f>
        <v/>
      </c>
    </row>
    <row r="28" ht="18" customHeight="1" s="46">
      <c r="A28" s="39" t="n">
        <v>24</v>
      </c>
      <c r="B28" s="40" t="inlineStr">
        <is>
          <t>BD-VRM-2025-0871</t>
        </is>
      </c>
      <c r="C28" s="41" t="inlineStr">
        <is>
          <t>Euro Pratik - Pastelite Louvers - 19102 - Textured</t>
        </is>
      </c>
      <c r="D28" s="39" t="inlineStr">
        <is>
          <t>Europratik</t>
        </is>
      </c>
      <c r="E28" s="43" t="n">
        <v>46126</v>
      </c>
      <c r="F28" s="26" t="inlineStr">
        <is>
          <t>Sunil CR</t>
        </is>
      </c>
      <c r="G28" s="26" t="inlineStr">
        <is>
          <t>Yes</t>
        </is>
      </c>
      <c r="H28" s="26" t="inlineStr">
        <is>
          <t>No</t>
        </is>
      </c>
      <c r="I28" s="26" t="inlineStr">
        <is>
          <t>Good finish</t>
        </is>
      </c>
      <c r="J28" s="26" t="inlineStr">
        <is>
          <t>Yes</t>
        </is>
      </c>
      <c r="K28" s="27" t="n"/>
      <c r="L28" s="28" t="inlineStr">
        <is>
          <t>No</t>
        </is>
      </c>
      <c r="M28" s="29">
        <f>IF(E28="","",IF(H28="Yes","❌ Disc",IF(G28="No","⚠ Missing",IF(J28="Yes","✓ OK","⚠ Check"))))</f>
        <v/>
      </c>
      <c r="N28" s="43" t="n">
        <v>46193</v>
      </c>
      <c r="O28" s="26" t="inlineStr">
        <is>
          <t>Sunil CR</t>
        </is>
      </c>
      <c r="P28" s="26" t="inlineStr">
        <is>
          <t>Yes</t>
        </is>
      </c>
      <c r="Q28" s="26" t="inlineStr">
        <is>
          <t>No</t>
        </is>
      </c>
      <c r="R28" s="26" t="inlineStr">
        <is>
          <t>Good finish</t>
        </is>
      </c>
      <c r="S28" s="26" t="inlineStr">
        <is>
          <t>Yes</t>
        </is>
      </c>
      <c r="T28" s="27" t="n"/>
      <c r="U28" s="28" t="inlineStr">
        <is>
          <t>No</t>
        </is>
      </c>
      <c r="V28" s="29">
        <f>IF(N28="","",IF(Q28="Yes","❌ Disc",IF(P28="No","⚠ Missing",IF(S28="Yes","✓ OK","⚠ Check"))))</f>
        <v/>
      </c>
      <c r="W28" s="65" t="n">
        <v>46248</v>
      </c>
      <c r="X28" s="30" t="inlineStr">
        <is>
          <t>Sunil CR</t>
        </is>
      </c>
      <c r="Y28" s="30" t="inlineStr">
        <is>
          <t>Yes</t>
        </is>
      </c>
      <c r="Z28" s="30" t="n"/>
      <c r="AA28" s="30" t="inlineStr">
        <is>
          <t>Good finish</t>
        </is>
      </c>
      <c r="AB28" s="30" t="inlineStr">
        <is>
          <t>Yes</t>
        </is>
      </c>
      <c r="AC28" s="27" t="n"/>
      <c r="AD28" s="31" t="inlineStr">
        <is>
          <t>No</t>
        </is>
      </c>
      <c r="AE28" s="32">
        <f>IF(W28="","",IF(Z28="Yes","❌ Disc",IF(Y28="No","⚠ Missing",IF(AB28="Yes","✓ OK","⚠ Check"))))</f>
        <v/>
      </c>
      <c r="AF28" s="33" t="n"/>
      <c r="AG28" s="33" t="n"/>
      <c r="AH28" s="33" t="n"/>
      <c r="AI28" s="33" t="n"/>
      <c r="AJ28" s="33" t="n"/>
      <c r="AK28" s="33" t="n"/>
      <c r="AL28" s="27" t="n"/>
      <c r="AM28" s="34" t="n"/>
      <c r="AN28" s="35">
        <f>IF(AF28="","",IF(AI28="Yes","❌ Disc",IF(AH28="No","⚠ Missing",IF(AK28="Yes","✓ OK","⚠ Check"))))</f>
        <v/>
      </c>
      <c r="AO28" s="36" t="n"/>
      <c r="AP28" s="36" t="n"/>
      <c r="AQ28" s="36" t="n"/>
      <c r="AR28" s="36" t="n"/>
      <c r="AS28" s="36" t="n"/>
      <c r="AT28" s="36" t="n"/>
      <c r="AU28" s="27" t="n"/>
      <c r="AV28" s="37" t="n"/>
      <c r="AW28" s="38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BD-VRM-2025-0873</t>
        </is>
      </c>
      <c r="C29" s="25" t="inlineStr">
        <is>
          <t>Euro Pratik - Pastelite Louvers - 19104 - Textured</t>
        </is>
      </c>
      <c r="D29" s="23" t="inlineStr">
        <is>
          <t>Europratik</t>
        </is>
      </c>
      <c r="E29" s="43" t="n">
        <v>46126</v>
      </c>
      <c r="F29" s="26" t="inlineStr">
        <is>
          <t>Sunil CR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Good finish</t>
        </is>
      </c>
      <c r="J29" s="26" t="inlineStr">
        <is>
          <t>Yes</t>
        </is>
      </c>
      <c r="K29" s="27" t="n"/>
      <c r="L29" s="28" t="inlineStr">
        <is>
          <t>No</t>
        </is>
      </c>
      <c r="M29" s="29">
        <f>IF(E29="","",IF(H29="Yes","❌ Disc",IF(G29="No","⚠ Missing",IF(J29="Yes","✓ OK","⚠ Check"))))</f>
        <v/>
      </c>
      <c r="N29" s="43" t="n">
        <v>46193</v>
      </c>
      <c r="O29" s="26" t="inlineStr">
        <is>
          <t>Sunil CR</t>
        </is>
      </c>
      <c r="P29" s="26" t="inlineStr">
        <is>
          <t>Yes</t>
        </is>
      </c>
      <c r="Q29" s="26" t="inlineStr">
        <is>
          <t>No</t>
        </is>
      </c>
      <c r="R29" s="26" t="inlineStr">
        <is>
          <t>Good finish</t>
        </is>
      </c>
      <c r="S29" s="26" t="inlineStr">
        <is>
          <t>Yes</t>
        </is>
      </c>
      <c r="T29" s="27" t="n"/>
      <c r="U29" s="28" t="inlineStr">
        <is>
          <t>No</t>
        </is>
      </c>
      <c r="V29" s="29">
        <f>IF(N29="","",IF(Q29="Yes","❌ Disc",IF(P29="No","⚠ Missing",IF(S29="Yes","✓ OK","⚠ Check"))))</f>
        <v/>
      </c>
      <c r="W29" s="65" t="n">
        <v>46248</v>
      </c>
      <c r="X29" s="30" t="inlineStr">
        <is>
          <t>Sunil CR</t>
        </is>
      </c>
      <c r="Y29" s="30" t="inlineStr">
        <is>
          <t>Yes</t>
        </is>
      </c>
      <c r="Z29" s="30" t="n"/>
      <c r="AA29" s="30" t="inlineStr">
        <is>
          <t>Good finish</t>
        </is>
      </c>
      <c r="AB29" s="30" t="inlineStr">
        <is>
          <t>Yes</t>
        </is>
      </c>
      <c r="AC29" s="27" t="n"/>
      <c r="AD29" s="31" t="inlineStr">
        <is>
          <t>No</t>
        </is>
      </c>
      <c r="AE29" s="32">
        <f>IF(W29="","",IF(Z29="Yes","❌ Disc",IF(Y29="No","⚠ Missing",IF(AB29="Yes","✓ OK","⚠ Check"))))</f>
        <v/>
      </c>
      <c r="AF29" s="33" t="n"/>
      <c r="AG29" s="33" t="n"/>
      <c r="AH29" s="33" t="n"/>
      <c r="AI29" s="33" t="n"/>
      <c r="AJ29" s="33" t="n"/>
      <c r="AK29" s="33" t="n"/>
      <c r="AL29" s="27" t="n"/>
      <c r="AM29" s="34" t="n"/>
      <c r="AN29" s="35">
        <f>IF(AF29="","",IF(AI29="Yes","❌ Disc",IF(AH29="No","⚠ Missing",IF(AK29="Yes","✓ OK","⚠ Check"))))</f>
        <v/>
      </c>
      <c r="AO29" s="36" t="n"/>
      <c r="AP29" s="36" t="n"/>
      <c r="AQ29" s="36" t="n"/>
      <c r="AR29" s="36" t="n"/>
      <c r="AS29" s="36" t="n"/>
      <c r="AT29" s="36" t="n"/>
      <c r="AU29" s="27" t="n"/>
      <c r="AV29" s="37" t="n"/>
      <c r="AW29" s="38">
        <f>IF(AO29="","",IF(AR29="Yes","❌ Disc",IF(AQ29="No","⚠ Missing",IF(AT29="Yes","✓ OK","⚠ Check"))))</f>
        <v/>
      </c>
    </row>
    <row r="30" ht="18" customHeight="1" s="46">
      <c r="A30" s="39" t="n">
        <v>26</v>
      </c>
      <c r="B30" s="40" t="inlineStr">
        <is>
          <t>BD-VRM-2025-0875</t>
        </is>
      </c>
      <c r="C30" s="41" t="inlineStr">
        <is>
          <t>Euro Pratik - Pastelite Louvers - 19105 - Textured</t>
        </is>
      </c>
      <c r="D30" s="39" t="inlineStr">
        <is>
          <t>Europratik</t>
        </is>
      </c>
      <c r="E30" s="43" t="n">
        <v>46126</v>
      </c>
      <c r="F30" s="26" t="inlineStr">
        <is>
          <t>Sunil CR</t>
        </is>
      </c>
      <c r="G30" s="26" t="inlineStr">
        <is>
          <t>Yes</t>
        </is>
      </c>
      <c r="H30" s="26" t="inlineStr">
        <is>
          <t>No</t>
        </is>
      </c>
      <c r="I30" s="26" t="inlineStr">
        <is>
          <t>Good finish</t>
        </is>
      </c>
      <c r="J30" s="26" t="inlineStr">
        <is>
          <t>Yes</t>
        </is>
      </c>
      <c r="K30" s="27" t="n"/>
      <c r="L30" s="28" t="inlineStr">
        <is>
          <t>No</t>
        </is>
      </c>
      <c r="M30" s="29">
        <f>IF(E30="","",IF(H30="Yes","❌ Disc",IF(G30="No","⚠ Missing",IF(J30="Yes","✓ OK","⚠ Check"))))</f>
        <v/>
      </c>
      <c r="N30" s="43" t="n">
        <v>46193</v>
      </c>
      <c r="O30" s="26" t="inlineStr">
        <is>
          <t>Sunil CR</t>
        </is>
      </c>
      <c r="P30" s="26" t="inlineStr">
        <is>
          <t>Yes</t>
        </is>
      </c>
      <c r="Q30" s="26" t="inlineStr">
        <is>
          <t>No</t>
        </is>
      </c>
      <c r="R30" s="26" t="inlineStr">
        <is>
          <t>Good finish</t>
        </is>
      </c>
      <c r="S30" s="26" t="inlineStr">
        <is>
          <t>Yes</t>
        </is>
      </c>
      <c r="T30" s="27" t="n"/>
      <c r="U30" s="28" t="inlineStr">
        <is>
          <t>No</t>
        </is>
      </c>
      <c r="V30" s="29">
        <f>IF(N30="","",IF(Q30="Yes","❌ Disc",IF(P30="No","⚠ Missing",IF(S30="Yes","✓ OK","⚠ Check"))))</f>
        <v/>
      </c>
      <c r="W30" s="65" t="n">
        <v>46248</v>
      </c>
      <c r="X30" s="30" t="inlineStr">
        <is>
          <t>Sunil CR</t>
        </is>
      </c>
      <c r="Y30" s="30" t="inlineStr">
        <is>
          <t>Yes</t>
        </is>
      </c>
      <c r="Z30" s="30" t="n"/>
      <c r="AA30" s="30" t="inlineStr">
        <is>
          <t>Good finish</t>
        </is>
      </c>
      <c r="AB30" s="30" t="inlineStr">
        <is>
          <t>Yes</t>
        </is>
      </c>
      <c r="AC30" s="27" t="n"/>
      <c r="AD30" s="31" t="inlineStr">
        <is>
          <t>No</t>
        </is>
      </c>
      <c r="AE30" s="32">
        <f>IF(W30="","",IF(Z30="Yes","❌ Disc",IF(Y30="No","⚠ Missing",IF(AB30="Yes","✓ OK","⚠ Check"))))</f>
        <v/>
      </c>
      <c r="AF30" s="33" t="n"/>
      <c r="AG30" s="33" t="n"/>
      <c r="AH30" s="33" t="n"/>
      <c r="AI30" s="33" t="n"/>
      <c r="AJ30" s="33" t="n"/>
      <c r="AK30" s="33" t="n"/>
      <c r="AL30" s="27" t="n"/>
      <c r="AM30" s="34" t="n"/>
      <c r="AN30" s="35">
        <f>IF(AF30="","",IF(AI30="Yes","❌ Disc",IF(AH30="No","⚠ Missing",IF(AK30="Yes","✓ OK","⚠ Check"))))</f>
        <v/>
      </c>
      <c r="AO30" s="36" t="n"/>
      <c r="AP30" s="36" t="n"/>
      <c r="AQ30" s="36" t="n"/>
      <c r="AR30" s="36" t="n"/>
      <c r="AS30" s="36" t="n"/>
      <c r="AT30" s="36" t="n"/>
      <c r="AU30" s="27" t="n"/>
      <c r="AV30" s="37" t="n"/>
      <c r="AW30" s="38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BD-VRM-2025-0876</t>
        </is>
      </c>
      <c r="C31" s="25" t="inlineStr">
        <is>
          <t>Euro Pratik - Pastelite Louvers - 19106 - Textured</t>
        </is>
      </c>
      <c r="D31" s="23" t="inlineStr">
        <is>
          <t>Europratik</t>
        </is>
      </c>
      <c r="E31" s="43" t="n">
        <v>46126</v>
      </c>
      <c r="F31" s="26" t="inlineStr">
        <is>
          <t>Sunil CR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Good finish</t>
        </is>
      </c>
      <c r="J31" s="26" t="inlineStr">
        <is>
          <t>Yes</t>
        </is>
      </c>
      <c r="K31" s="27" t="n"/>
      <c r="L31" s="28" t="inlineStr">
        <is>
          <t>No</t>
        </is>
      </c>
      <c r="M31" s="29">
        <f>IF(E31="","",IF(H31="Yes","❌ Disc",IF(G31="No","⚠ Missing",IF(J31="Yes","✓ OK","⚠ Check"))))</f>
        <v/>
      </c>
      <c r="N31" s="43" t="n">
        <v>46193</v>
      </c>
      <c r="O31" s="26" t="inlineStr">
        <is>
          <t>Sunil CR</t>
        </is>
      </c>
      <c r="P31" s="26" t="inlineStr">
        <is>
          <t>Yes</t>
        </is>
      </c>
      <c r="Q31" s="26" t="inlineStr">
        <is>
          <t>No</t>
        </is>
      </c>
      <c r="R31" s="26" t="inlineStr">
        <is>
          <t>Good finish</t>
        </is>
      </c>
      <c r="S31" s="26" t="inlineStr">
        <is>
          <t>Yes</t>
        </is>
      </c>
      <c r="T31" s="27" t="n"/>
      <c r="U31" s="28" t="inlineStr">
        <is>
          <t>No</t>
        </is>
      </c>
      <c r="V31" s="29">
        <f>IF(N31="","",IF(Q31="Yes","❌ Disc",IF(P31="No","⚠ Missing",IF(S31="Yes","✓ OK","⚠ Check"))))</f>
        <v/>
      </c>
      <c r="W31" s="65" t="n">
        <v>46248</v>
      </c>
      <c r="X31" s="30" t="inlineStr">
        <is>
          <t>Sunil CR</t>
        </is>
      </c>
      <c r="Y31" s="30" t="inlineStr">
        <is>
          <t>Yes</t>
        </is>
      </c>
      <c r="Z31" s="30" t="n"/>
      <c r="AA31" s="30" t="inlineStr">
        <is>
          <t>Good finish</t>
        </is>
      </c>
      <c r="AB31" s="30" t="inlineStr">
        <is>
          <t>Yes</t>
        </is>
      </c>
      <c r="AC31" s="27" t="n"/>
      <c r="AD31" s="31" t="inlineStr">
        <is>
          <t>No</t>
        </is>
      </c>
      <c r="AE31" s="32">
        <f>IF(W31="","",IF(Z31="Yes","❌ Disc",IF(Y31="No","⚠ Missing",IF(AB31="Yes","✓ OK","⚠ Check"))))</f>
        <v/>
      </c>
      <c r="AF31" s="33" t="n"/>
      <c r="AG31" s="33" t="n"/>
      <c r="AH31" s="33" t="n"/>
      <c r="AI31" s="33" t="n"/>
      <c r="AJ31" s="33" t="n"/>
      <c r="AK31" s="33" t="n"/>
      <c r="AL31" s="27" t="n"/>
      <c r="AM31" s="34" t="n"/>
      <c r="AN31" s="35">
        <f>IF(AF31="","",IF(AI31="Yes","❌ Disc",IF(AH31="No","⚠ Missing",IF(AK31="Yes","✓ OK","⚠ Check"))))</f>
        <v/>
      </c>
      <c r="AO31" s="36" t="n"/>
      <c r="AP31" s="36" t="n"/>
      <c r="AQ31" s="36" t="n"/>
      <c r="AR31" s="36" t="n"/>
      <c r="AS31" s="36" t="n"/>
      <c r="AT31" s="36" t="n"/>
      <c r="AU31" s="27" t="n"/>
      <c r="AV31" s="37" t="n"/>
      <c r="AW31" s="38">
        <f>IF(AO31="","",IF(AR31="Yes","❌ Disc",IF(AQ31="No","⚠ Missing",IF(AT31="Yes","✓ OK","⚠ Check"))))</f>
        <v/>
      </c>
    </row>
    <row r="32" ht="18" customHeight="1" s="46">
      <c r="A32" s="39" t="n">
        <v>28</v>
      </c>
      <c r="B32" s="40" t="inlineStr">
        <is>
          <t>BD-VRM-2025-0877</t>
        </is>
      </c>
      <c r="C32" s="41" t="inlineStr">
        <is>
          <t>Euro Pratik - Pastelite Louvers - 19107 - Paintable</t>
        </is>
      </c>
      <c r="D32" s="39" t="inlineStr">
        <is>
          <t>Europratik</t>
        </is>
      </c>
      <c r="E32" s="43" t="n">
        <v>46126</v>
      </c>
      <c r="F32" s="26" t="inlineStr">
        <is>
          <t>Sunil CR</t>
        </is>
      </c>
      <c r="G32" s="26" t="inlineStr">
        <is>
          <t>Yes</t>
        </is>
      </c>
      <c r="H32" s="26" t="inlineStr">
        <is>
          <t>No</t>
        </is>
      </c>
      <c r="I32" s="26" t="inlineStr">
        <is>
          <t>Good finish</t>
        </is>
      </c>
      <c r="J32" s="26" t="inlineStr">
        <is>
          <t>Yes</t>
        </is>
      </c>
      <c r="K32" s="27" t="n"/>
      <c r="L32" s="28" t="inlineStr">
        <is>
          <t>No</t>
        </is>
      </c>
      <c r="M32" s="29">
        <f>IF(E32="","",IF(H32="Yes","❌ Disc",IF(G32="No","⚠ Missing",IF(J32="Yes","✓ OK","⚠ Check"))))</f>
        <v/>
      </c>
      <c r="N32" s="43" t="n">
        <v>46193</v>
      </c>
      <c r="O32" s="26" t="inlineStr">
        <is>
          <t>Sunil CR</t>
        </is>
      </c>
      <c r="P32" s="26" t="inlineStr">
        <is>
          <t>Yes</t>
        </is>
      </c>
      <c r="Q32" s="26" t="inlineStr">
        <is>
          <t>No</t>
        </is>
      </c>
      <c r="R32" s="26" t="inlineStr">
        <is>
          <t>Good finish</t>
        </is>
      </c>
      <c r="S32" s="26" t="inlineStr">
        <is>
          <t>Yes</t>
        </is>
      </c>
      <c r="T32" s="27" t="n"/>
      <c r="U32" s="28" t="inlineStr">
        <is>
          <t>No</t>
        </is>
      </c>
      <c r="V32" s="29">
        <f>IF(N32="","",IF(Q32="Yes","❌ Disc",IF(P32="No","⚠ Missing",IF(S32="Yes","✓ OK","⚠ Check"))))</f>
        <v/>
      </c>
      <c r="W32" s="65" t="n">
        <v>46248</v>
      </c>
      <c r="X32" s="30" t="inlineStr">
        <is>
          <t>Sunil CR</t>
        </is>
      </c>
      <c r="Y32" s="30" t="inlineStr">
        <is>
          <t>Yes</t>
        </is>
      </c>
      <c r="Z32" s="30" t="n"/>
      <c r="AA32" s="30" t="inlineStr">
        <is>
          <t>Good finish</t>
        </is>
      </c>
      <c r="AB32" s="30" t="inlineStr">
        <is>
          <t>Yes</t>
        </is>
      </c>
      <c r="AC32" s="27" t="n"/>
      <c r="AD32" s="31" t="inlineStr">
        <is>
          <t>No</t>
        </is>
      </c>
      <c r="AE32" s="32">
        <f>IF(W32="","",IF(Z32="Yes","❌ Disc",IF(Y32="No","⚠ Missing",IF(AB32="Yes","✓ OK","⚠ Check"))))</f>
        <v/>
      </c>
      <c r="AF32" s="33" t="n"/>
      <c r="AG32" s="33" t="n"/>
      <c r="AH32" s="33" t="n"/>
      <c r="AI32" s="33" t="n"/>
      <c r="AJ32" s="33" t="n"/>
      <c r="AK32" s="33" t="n"/>
      <c r="AL32" s="27" t="n"/>
      <c r="AM32" s="34" t="n"/>
      <c r="AN32" s="35">
        <f>IF(AF32="","",IF(AI32="Yes","❌ Disc",IF(AH32="No","⚠ Missing",IF(AK32="Yes","✓ OK","⚠ Check"))))</f>
        <v/>
      </c>
      <c r="AO32" s="36" t="n"/>
      <c r="AP32" s="36" t="n"/>
      <c r="AQ32" s="36" t="n"/>
      <c r="AR32" s="36" t="n"/>
      <c r="AS32" s="36" t="n"/>
      <c r="AT32" s="36" t="n"/>
      <c r="AU32" s="27" t="n"/>
      <c r="AV32" s="37" t="n"/>
      <c r="AW32" s="38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BD-VRM-2025-0878</t>
        </is>
      </c>
      <c r="C33" s="25" t="inlineStr">
        <is>
          <t>Euro Pratik - Pastelite Louvers - 19108 - Textured</t>
        </is>
      </c>
      <c r="D33" s="23" t="inlineStr">
        <is>
          <t>Europratik</t>
        </is>
      </c>
      <c r="E33" s="43" t="n">
        <v>46126</v>
      </c>
      <c r="F33" s="26" t="inlineStr">
        <is>
          <t>Sunil CR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Good finish</t>
        </is>
      </c>
      <c r="J33" s="26" t="inlineStr">
        <is>
          <t>Yes</t>
        </is>
      </c>
      <c r="K33" s="27" t="n"/>
      <c r="L33" s="28" t="inlineStr">
        <is>
          <t>No</t>
        </is>
      </c>
      <c r="M33" s="29">
        <f>IF(E33="","",IF(H33="Yes","❌ Disc",IF(G33="No","⚠ Missing",IF(J33="Yes","✓ OK","⚠ Check"))))</f>
        <v/>
      </c>
      <c r="N33" s="43" t="n">
        <v>46193</v>
      </c>
      <c r="O33" s="26" t="inlineStr">
        <is>
          <t>Sunil CR</t>
        </is>
      </c>
      <c r="P33" s="26" t="inlineStr">
        <is>
          <t>Yes</t>
        </is>
      </c>
      <c r="Q33" s="26" t="inlineStr">
        <is>
          <t>No</t>
        </is>
      </c>
      <c r="R33" s="26" t="inlineStr">
        <is>
          <t>Good finish</t>
        </is>
      </c>
      <c r="S33" s="26" t="inlineStr">
        <is>
          <t>Yes</t>
        </is>
      </c>
      <c r="T33" s="27" t="n"/>
      <c r="U33" s="28" t="inlineStr">
        <is>
          <t>No</t>
        </is>
      </c>
      <c r="V33" s="29">
        <f>IF(N33="","",IF(Q33="Yes","❌ Disc",IF(P33="No","⚠ Missing",IF(S33="Yes","✓ OK","⚠ Check"))))</f>
        <v/>
      </c>
      <c r="W33" s="65" t="n">
        <v>46248</v>
      </c>
      <c r="X33" s="30" t="inlineStr">
        <is>
          <t>Sunil CR</t>
        </is>
      </c>
      <c r="Y33" s="30" t="inlineStr">
        <is>
          <t>Yes</t>
        </is>
      </c>
      <c r="Z33" s="30" t="n"/>
      <c r="AA33" s="30" t="inlineStr">
        <is>
          <t>Good finish</t>
        </is>
      </c>
      <c r="AB33" s="30" t="inlineStr">
        <is>
          <t>Yes</t>
        </is>
      </c>
      <c r="AC33" s="27" t="n"/>
      <c r="AD33" s="31" t="inlineStr">
        <is>
          <t>No</t>
        </is>
      </c>
      <c r="AE33" s="32">
        <f>IF(W33="","",IF(Z33="Yes","❌ Disc",IF(Y33="No","⚠ Missing",IF(AB33="Yes","✓ OK","⚠ Check"))))</f>
        <v/>
      </c>
      <c r="AF33" s="33" t="n"/>
      <c r="AG33" s="33" t="n"/>
      <c r="AH33" s="33" t="n"/>
      <c r="AI33" s="33" t="n"/>
      <c r="AJ33" s="33" t="n"/>
      <c r="AK33" s="33" t="n"/>
      <c r="AL33" s="27" t="n"/>
      <c r="AM33" s="34" t="n"/>
      <c r="AN33" s="35">
        <f>IF(AF33="","",IF(AI33="Yes","❌ Disc",IF(AH33="No","⚠ Missing",IF(AK33="Yes","✓ OK","⚠ Check"))))</f>
        <v/>
      </c>
      <c r="AO33" s="36" t="n"/>
      <c r="AP33" s="36" t="n"/>
      <c r="AQ33" s="36" t="n"/>
      <c r="AR33" s="36" t="n"/>
      <c r="AS33" s="36" t="n"/>
      <c r="AT33" s="36" t="n"/>
      <c r="AU33" s="27" t="n"/>
      <c r="AV33" s="37" t="n"/>
      <c r="AW33" s="38">
        <f>IF(AO33="","",IF(AR33="Yes","❌ Disc",IF(AQ33="No","⚠ Missing",IF(AT33="Yes","✓ OK","⚠ Check"))))</f>
        <v/>
      </c>
    </row>
    <row r="34" ht="18" customHeight="1" s="46">
      <c r="A34" s="39" t="n">
        <v>30</v>
      </c>
      <c r="B34" s="40" t="inlineStr">
        <is>
          <t>BD-VRM-2025-0879</t>
        </is>
      </c>
      <c r="C34" s="41" t="inlineStr">
        <is>
          <t>Euro Pratik - Pastelite Louvers - 19109 - Paintable</t>
        </is>
      </c>
      <c r="D34" s="39" t="inlineStr">
        <is>
          <t>Europratik</t>
        </is>
      </c>
      <c r="E34" s="43" t="n">
        <v>46126</v>
      </c>
      <c r="F34" s="26" t="inlineStr">
        <is>
          <t>Sunil CR</t>
        </is>
      </c>
      <c r="G34" s="26" t="inlineStr">
        <is>
          <t>Yes</t>
        </is>
      </c>
      <c r="H34" s="26" t="inlineStr">
        <is>
          <t>No</t>
        </is>
      </c>
      <c r="I34" s="26" t="inlineStr">
        <is>
          <t>Good finish</t>
        </is>
      </c>
      <c r="J34" s="26" t="inlineStr">
        <is>
          <t>Yes</t>
        </is>
      </c>
      <c r="K34" s="27" t="n"/>
      <c r="L34" s="28" t="inlineStr">
        <is>
          <t>No</t>
        </is>
      </c>
      <c r="M34" s="29">
        <f>IF(E34="","",IF(H34="Yes","❌ Disc",IF(G34="No","⚠ Missing",IF(J34="Yes","✓ OK","⚠ Check"))))</f>
        <v/>
      </c>
      <c r="N34" s="43" t="n">
        <v>46193</v>
      </c>
      <c r="O34" s="26" t="inlineStr">
        <is>
          <t>Sunil CR</t>
        </is>
      </c>
      <c r="P34" s="26" t="inlineStr">
        <is>
          <t>Yes</t>
        </is>
      </c>
      <c r="Q34" s="26" t="inlineStr">
        <is>
          <t>No</t>
        </is>
      </c>
      <c r="R34" s="26" t="inlineStr">
        <is>
          <t>Good finish</t>
        </is>
      </c>
      <c r="S34" s="26" t="inlineStr">
        <is>
          <t>Yes</t>
        </is>
      </c>
      <c r="T34" s="27" t="n"/>
      <c r="U34" s="28" t="inlineStr">
        <is>
          <t>No</t>
        </is>
      </c>
      <c r="V34" s="29">
        <f>IF(N34="","",IF(Q34="Yes","❌ Disc",IF(P34="No","⚠ Missing",IF(S34="Yes","✓ OK","⚠ Check"))))</f>
        <v/>
      </c>
      <c r="W34" s="65" t="n">
        <v>46248</v>
      </c>
      <c r="X34" s="30" t="inlineStr">
        <is>
          <t>Sunil CR</t>
        </is>
      </c>
      <c r="Y34" s="30" t="inlineStr">
        <is>
          <t>Yes</t>
        </is>
      </c>
      <c r="Z34" s="30" t="n"/>
      <c r="AA34" s="30" t="inlineStr">
        <is>
          <t>Good finish</t>
        </is>
      </c>
      <c r="AB34" s="30" t="inlineStr">
        <is>
          <t>Yes</t>
        </is>
      </c>
      <c r="AC34" s="27" t="n"/>
      <c r="AD34" s="31" t="inlineStr">
        <is>
          <t>No</t>
        </is>
      </c>
      <c r="AE34" s="32">
        <f>IF(W34="","",IF(Z34="Yes","❌ Disc",IF(Y34="No","⚠ Missing",IF(AB34="Yes","✓ OK","⚠ Check"))))</f>
        <v/>
      </c>
      <c r="AF34" s="33" t="n"/>
      <c r="AG34" s="33" t="n"/>
      <c r="AH34" s="33" t="n"/>
      <c r="AI34" s="33" t="n"/>
      <c r="AJ34" s="33" t="n"/>
      <c r="AK34" s="33" t="n"/>
      <c r="AL34" s="27" t="n"/>
      <c r="AM34" s="34" t="n"/>
      <c r="AN34" s="35">
        <f>IF(AF34="","",IF(AI34="Yes","❌ Disc",IF(AH34="No","⚠ Missing",IF(AK34="Yes","✓ OK","⚠ Check"))))</f>
        <v/>
      </c>
      <c r="AO34" s="36" t="n"/>
      <c r="AP34" s="36" t="n"/>
      <c r="AQ34" s="36" t="n"/>
      <c r="AR34" s="36" t="n"/>
      <c r="AS34" s="36" t="n"/>
      <c r="AT34" s="36" t="n"/>
      <c r="AU34" s="27" t="n"/>
      <c r="AV34" s="37" t="n"/>
      <c r="AW34" s="38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BD-VRM-2025-0880</t>
        </is>
      </c>
      <c r="C35" s="25" t="inlineStr">
        <is>
          <t>Euro Pratik - Pastelite Louvers - 19110 - Paintable</t>
        </is>
      </c>
      <c r="D35" s="23" t="inlineStr">
        <is>
          <t>Europratik</t>
        </is>
      </c>
      <c r="E35" s="43" t="n">
        <v>46126</v>
      </c>
      <c r="F35" s="26" t="inlineStr">
        <is>
          <t>Sunil CR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Good finish</t>
        </is>
      </c>
      <c r="J35" s="26" t="inlineStr">
        <is>
          <t>Yes</t>
        </is>
      </c>
      <c r="K35" s="27" t="n"/>
      <c r="L35" s="28" t="inlineStr">
        <is>
          <t>No</t>
        </is>
      </c>
      <c r="M35" s="29">
        <f>IF(E35="","",IF(H35="Yes","❌ Disc",IF(G35="No","⚠ Missing",IF(J35="Yes","✓ OK","⚠ Check"))))</f>
        <v/>
      </c>
      <c r="N35" s="43" t="n">
        <v>46193</v>
      </c>
      <c r="O35" s="26" t="inlineStr">
        <is>
          <t>Sunil CR</t>
        </is>
      </c>
      <c r="P35" s="26" t="inlineStr">
        <is>
          <t>Yes</t>
        </is>
      </c>
      <c r="Q35" s="26" t="inlineStr">
        <is>
          <t>No</t>
        </is>
      </c>
      <c r="R35" s="26" t="inlineStr">
        <is>
          <t>Good finish</t>
        </is>
      </c>
      <c r="S35" s="26" t="inlineStr">
        <is>
          <t>Yes</t>
        </is>
      </c>
      <c r="T35" s="27" t="n"/>
      <c r="U35" s="28" t="inlineStr">
        <is>
          <t>No</t>
        </is>
      </c>
      <c r="V35" s="29">
        <f>IF(N35="","",IF(Q35="Yes","❌ Disc",IF(P35="No","⚠ Missing",IF(S35="Yes","✓ OK","⚠ Check"))))</f>
        <v/>
      </c>
      <c r="W35" s="65" t="n">
        <v>46248</v>
      </c>
      <c r="X35" s="30" t="inlineStr">
        <is>
          <t>Sunil CR</t>
        </is>
      </c>
      <c r="Y35" s="30" t="inlineStr">
        <is>
          <t>Yes</t>
        </is>
      </c>
      <c r="Z35" s="30" t="n"/>
      <c r="AA35" s="30" t="inlineStr">
        <is>
          <t>Good finish</t>
        </is>
      </c>
      <c r="AB35" s="30" t="inlineStr">
        <is>
          <t>Yes</t>
        </is>
      </c>
      <c r="AC35" s="27" t="n"/>
      <c r="AD35" s="31" t="inlineStr">
        <is>
          <t>No</t>
        </is>
      </c>
      <c r="AE35" s="32">
        <f>IF(W35="","",IF(Z35="Yes","❌ Disc",IF(Y35="No","⚠ Missing",IF(AB35="Yes","✓ OK","⚠ Check"))))</f>
        <v/>
      </c>
      <c r="AF35" s="33" t="n"/>
      <c r="AG35" s="33" t="n"/>
      <c r="AH35" s="33" t="n"/>
      <c r="AI35" s="33" t="n"/>
      <c r="AJ35" s="33" t="n"/>
      <c r="AK35" s="33" t="n"/>
      <c r="AL35" s="27" t="n"/>
      <c r="AM35" s="34" t="n"/>
      <c r="AN35" s="35">
        <f>IF(AF35="","",IF(AI35="Yes","❌ Disc",IF(AH35="No","⚠ Missing",IF(AK35="Yes","✓ OK","⚠ Check"))))</f>
        <v/>
      </c>
      <c r="AO35" s="36" t="n"/>
      <c r="AP35" s="36" t="n"/>
      <c r="AQ35" s="36" t="n"/>
      <c r="AR35" s="36" t="n"/>
      <c r="AS35" s="36" t="n"/>
      <c r="AT35" s="36" t="n"/>
      <c r="AU35" s="27" t="n"/>
      <c r="AV35" s="37" t="n"/>
      <c r="AW35" s="38">
        <f>IF(AO35="","",IF(AR35="Yes","❌ Disc",IF(AQ35="No","⚠ Missing",IF(AT35="Yes","✓ OK","⚠ Check"))))</f>
        <v/>
      </c>
    </row>
    <row r="36" ht="18" customHeight="1" s="46">
      <c r="A36" s="39" t="n">
        <v>32</v>
      </c>
      <c r="B36" s="40" t="inlineStr">
        <is>
          <t>BD-VRM-2025-0881</t>
        </is>
      </c>
      <c r="C36" s="41" t="inlineStr">
        <is>
          <t>Euro Pratik - Pastelite Louvers - 19111 - Textured</t>
        </is>
      </c>
      <c r="D36" s="39" t="inlineStr">
        <is>
          <t>Europratik</t>
        </is>
      </c>
      <c r="E36" s="43" t="n">
        <v>46126</v>
      </c>
      <c r="F36" s="26" t="inlineStr">
        <is>
          <t>Sunil CR</t>
        </is>
      </c>
      <c r="G36" s="26" t="inlineStr">
        <is>
          <t>Yes</t>
        </is>
      </c>
      <c r="H36" s="26" t="inlineStr">
        <is>
          <t>No</t>
        </is>
      </c>
      <c r="I36" s="26" t="inlineStr">
        <is>
          <t>Good finish</t>
        </is>
      </c>
      <c r="J36" s="26" t="inlineStr">
        <is>
          <t>Yes</t>
        </is>
      </c>
      <c r="K36" s="27" t="n"/>
      <c r="L36" s="28" t="inlineStr">
        <is>
          <t>No</t>
        </is>
      </c>
      <c r="M36" s="29">
        <f>IF(E36="","",IF(H36="Yes","❌ Disc",IF(G36="No","⚠ Missing",IF(J36="Yes","✓ OK","⚠ Check"))))</f>
        <v/>
      </c>
      <c r="N36" s="43" t="n">
        <v>46193</v>
      </c>
      <c r="O36" s="26" t="inlineStr">
        <is>
          <t>Sunil CR</t>
        </is>
      </c>
      <c r="P36" s="26" t="inlineStr">
        <is>
          <t>Yes</t>
        </is>
      </c>
      <c r="Q36" s="26" t="inlineStr">
        <is>
          <t>No</t>
        </is>
      </c>
      <c r="R36" s="26" t="inlineStr">
        <is>
          <t>Good finish</t>
        </is>
      </c>
      <c r="S36" s="26" t="inlineStr">
        <is>
          <t>Yes</t>
        </is>
      </c>
      <c r="T36" s="27" t="n"/>
      <c r="U36" s="28" t="inlineStr">
        <is>
          <t>No</t>
        </is>
      </c>
      <c r="V36" s="29">
        <f>IF(N36="","",IF(Q36="Yes","❌ Disc",IF(P36="No","⚠ Missing",IF(S36="Yes","✓ OK","⚠ Check"))))</f>
        <v/>
      </c>
      <c r="W36" s="65" t="n">
        <v>46248</v>
      </c>
      <c r="X36" s="30" t="inlineStr">
        <is>
          <t>Sunil CR</t>
        </is>
      </c>
      <c r="Y36" s="30" t="inlineStr">
        <is>
          <t>Yes</t>
        </is>
      </c>
      <c r="Z36" s="30" t="n"/>
      <c r="AA36" s="30" t="inlineStr">
        <is>
          <t>Good finish</t>
        </is>
      </c>
      <c r="AB36" s="30" t="inlineStr">
        <is>
          <t>Yes</t>
        </is>
      </c>
      <c r="AC36" s="27" t="n"/>
      <c r="AD36" s="31" t="inlineStr">
        <is>
          <t>No</t>
        </is>
      </c>
      <c r="AE36" s="32">
        <f>IF(W36="","",IF(Z36="Yes","❌ Disc",IF(Y36="No","⚠ Missing",IF(AB36="Yes","✓ OK","⚠ Check"))))</f>
        <v/>
      </c>
      <c r="AF36" s="33" t="n"/>
      <c r="AG36" s="33" t="n"/>
      <c r="AH36" s="33" t="n"/>
      <c r="AI36" s="33" t="n"/>
      <c r="AJ36" s="33" t="n"/>
      <c r="AK36" s="33" t="n"/>
      <c r="AL36" s="27" t="n"/>
      <c r="AM36" s="34" t="n"/>
      <c r="AN36" s="35">
        <f>IF(AF36="","",IF(AI36="Yes","❌ Disc",IF(AH36="No","⚠ Missing",IF(AK36="Yes","✓ OK","⚠ Check"))))</f>
        <v/>
      </c>
      <c r="AO36" s="36" t="n"/>
      <c r="AP36" s="36" t="n"/>
      <c r="AQ36" s="36" t="n"/>
      <c r="AR36" s="36" t="n"/>
      <c r="AS36" s="36" t="n"/>
      <c r="AT36" s="36" t="n"/>
      <c r="AU36" s="27" t="n"/>
      <c r="AV36" s="37" t="n"/>
      <c r="AW36" s="38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BD-VRM-2025-0882</t>
        </is>
      </c>
      <c r="C37" s="25" t="inlineStr">
        <is>
          <t>Euro Pratik - Pastelite Louvers - 19112 - Paintable</t>
        </is>
      </c>
      <c r="D37" s="23" t="inlineStr">
        <is>
          <t>Europratik</t>
        </is>
      </c>
      <c r="E37" s="43" t="n">
        <v>46126</v>
      </c>
      <c r="F37" s="26" t="inlineStr">
        <is>
          <t>Sunil CR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Good finish</t>
        </is>
      </c>
      <c r="J37" s="26" t="inlineStr">
        <is>
          <t>Yes</t>
        </is>
      </c>
      <c r="K37" s="27" t="n"/>
      <c r="L37" s="28" t="inlineStr">
        <is>
          <t>No</t>
        </is>
      </c>
      <c r="M37" s="29">
        <f>IF(E37="","",IF(H37="Yes","❌ Disc",IF(G37="No","⚠ Missing",IF(J37="Yes","✓ OK","⚠ Check"))))</f>
        <v/>
      </c>
      <c r="N37" s="43" t="n">
        <v>46193</v>
      </c>
      <c r="O37" s="26" t="inlineStr">
        <is>
          <t>Sunil CR</t>
        </is>
      </c>
      <c r="P37" s="26" t="inlineStr">
        <is>
          <t>Yes</t>
        </is>
      </c>
      <c r="Q37" s="26" t="inlineStr">
        <is>
          <t>No</t>
        </is>
      </c>
      <c r="R37" s="26" t="inlineStr">
        <is>
          <t>Good finish</t>
        </is>
      </c>
      <c r="S37" s="26" t="inlineStr">
        <is>
          <t>Yes</t>
        </is>
      </c>
      <c r="T37" s="27" t="n"/>
      <c r="U37" s="28" t="inlineStr">
        <is>
          <t>No</t>
        </is>
      </c>
      <c r="V37" s="29">
        <f>IF(N37="","",IF(Q37="Yes","❌ Disc",IF(P37="No","⚠ Missing",IF(S37="Yes","✓ OK","⚠ Check"))))</f>
        <v/>
      </c>
      <c r="W37" s="65" t="n">
        <v>46248</v>
      </c>
      <c r="X37" s="30" t="inlineStr">
        <is>
          <t>Sunil CR</t>
        </is>
      </c>
      <c r="Y37" s="30" t="inlineStr">
        <is>
          <t>Yes</t>
        </is>
      </c>
      <c r="Z37" s="30" t="n"/>
      <c r="AA37" s="30" t="inlineStr">
        <is>
          <t>Good finish</t>
        </is>
      </c>
      <c r="AB37" s="30" t="inlineStr">
        <is>
          <t>Yes</t>
        </is>
      </c>
      <c r="AC37" s="27" t="n"/>
      <c r="AD37" s="31" t="inlineStr">
        <is>
          <t>No</t>
        </is>
      </c>
      <c r="AE37" s="32">
        <f>IF(W37="","",IF(Z37="Yes","❌ Disc",IF(Y37="No","⚠ Missing",IF(AB37="Yes","✓ OK","⚠ Check"))))</f>
        <v/>
      </c>
      <c r="AF37" s="33" t="n"/>
      <c r="AG37" s="33" t="n"/>
      <c r="AH37" s="33" t="n"/>
      <c r="AI37" s="33" t="n"/>
      <c r="AJ37" s="33" t="n"/>
      <c r="AK37" s="33" t="n"/>
      <c r="AL37" s="27" t="n"/>
      <c r="AM37" s="34" t="n"/>
      <c r="AN37" s="35">
        <f>IF(AF37="","",IF(AI37="Yes","❌ Disc",IF(AH37="No","⚠ Missing",IF(AK37="Yes","✓ OK","⚠ Check"))))</f>
        <v/>
      </c>
      <c r="AO37" s="36" t="n"/>
      <c r="AP37" s="36" t="n"/>
      <c r="AQ37" s="36" t="n"/>
      <c r="AR37" s="36" t="n"/>
      <c r="AS37" s="36" t="n"/>
      <c r="AT37" s="36" t="n"/>
      <c r="AU37" s="27" t="n"/>
      <c r="AV37" s="37" t="n"/>
      <c r="AW37" s="38">
        <f>IF(AO37="","",IF(AR37="Yes","❌ Disc",IF(AQ37="No","⚠ Missing",IF(AT37="Yes","✓ OK","⚠ Check"))))</f>
        <v/>
      </c>
    </row>
    <row r="38" ht="18" customHeight="1" s="46">
      <c r="A38" s="39" t="n">
        <v>34</v>
      </c>
      <c r="B38" s="40" t="inlineStr">
        <is>
          <t>BD-VRM-2025-0883</t>
        </is>
      </c>
      <c r="C38" s="41" t="inlineStr">
        <is>
          <t>Euro Pratik - Pastelite Louvers - 20501 - Paintable</t>
        </is>
      </c>
      <c r="D38" s="39" t="inlineStr">
        <is>
          <t>Europratik</t>
        </is>
      </c>
      <c r="E38" s="43" t="n">
        <v>46126</v>
      </c>
      <c r="F38" s="26" t="inlineStr">
        <is>
          <t>Sunil CR</t>
        </is>
      </c>
      <c r="G38" s="26" t="inlineStr">
        <is>
          <t>Yes</t>
        </is>
      </c>
      <c r="H38" s="26" t="inlineStr">
        <is>
          <t>No</t>
        </is>
      </c>
      <c r="I38" s="26" t="inlineStr">
        <is>
          <t>Good finish</t>
        </is>
      </c>
      <c r="J38" s="26" t="inlineStr">
        <is>
          <t>Yes</t>
        </is>
      </c>
      <c r="K38" s="27" t="n"/>
      <c r="L38" s="28" t="inlineStr">
        <is>
          <t>No</t>
        </is>
      </c>
      <c r="M38" s="29">
        <f>IF(E38="","",IF(H38="Yes","❌ Disc",IF(G38="No","⚠ Missing",IF(J38="Yes","✓ OK","⚠ Check"))))</f>
        <v/>
      </c>
      <c r="N38" s="43" t="n">
        <v>46193</v>
      </c>
      <c r="O38" s="26" t="inlineStr">
        <is>
          <t>Sunil CR</t>
        </is>
      </c>
      <c r="P38" s="26" t="inlineStr">
        <is>
          <t>Yes</t>
        </is>
      </c>
      <c r="Q38" s="26" t="inlineStr">
        <is>
          <t>No</t>
        </is>
      </c>
      <c r="R38" s="26" t="inlineStr">
        <is>
          <t>Good finish</t>
        </is>
      </c>
      <c r="S38" s="26" t="inlineStr">
        <is>
          <t>Yes</t>
        </is>
      </c>
      <c r="T38" s="27" t="n"/>
      <c r="U38" s="28" t="inlineStr">
        <is>
          <t>No</t>
        </is>
      </c>
      <c r="V38" s="29">
        <f>IF(N38="","",IF(Q38="Yes","❌ Disc",IF(P38="No","⚠ Missing",IF(S38="Yes","✓ OK","⚠ Check"))))</f>
        <v/>
      </c>
      <c r="W38" s="65" t="n">
        <v>46248</v>
      </c>
      <c r="X38" s="30" t="inlineStr">
        <is>
          <t>Sunil CR</t>
        </is>
      </c>
      <c r="Y38" s="30" t="inlineStr">
        <is>
          <t>Yes</t>
        </is>
      </c>
      <c r="Z38" s="30" t="n"/>
      <c r="AA38" s="30" t="inlineStr">
        <is>
          <t>Good finish</t>
        </is>
      </c>
      <c r="AB38" s="30" t="inlineStr">
        <is>
          <t>Yes</t>
        </is>
      </c>
      <c r="AC38" s="27" t="n"/>
      <c r="AD38" s="31" t="inlineStr">
        <is>
          <t>No</t>
        </is>
      </c>
      <c r="AE38" s="32">
        <f>IF(W38="","",IF(Z38="Yes","❌ Disc",IF(Y38="No","⚠ Missing",IF(AB38="Yes","✓ OK","⚠ Check"))))</f>
        <v/>
      </c>
      <c r="AF38" s="33" t="n"/>
      <c r="AG38" s="33" t="n"/>
      <c r="AH38" s="33" t="n"/>
      <c r="AI38" s="33" t="n"/>
      <c r="AJ38" s="33" t="n"/>
      <c r="AK38" s="33" t="n"/>
      <c r="AL38" s="27" t="n"/>
      <c r="AM38" s="34" t="n"/>
      <c r="AN38" s="35">
        <f>IF(AF38="","",IF(AI38="Yes","❌ Disc",IF(AH38="No","⚠ Missing",IF(AK38="Yes","✓ OK","⚠ Check"))))</f>
        <v/>
      </c>
      <c r="AO38" s="36" t="n"/>
      <c r="AP38" s="36" t="n"/>
      <c r="AQ38" s="36" t="n"/>
      <c r="AR38" s="36" t="n"/>
      <c r="AS38" s="36" t="n"/>
      <c r="AT38" s="36" t="n"/>
      <c r="AU38" s="27" t="n"/>
      <c r="AV38" s="37" t="n"/>
      <c r="AW38" s="38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BD-VRM-2025-0885</t>
        </is>
      </c>
      <c r="C39" s="25" t="inlineStr">
        <is>
          <t>Euro Pratik - Pastelite Louvers - 20502 - Paintable</t>
        </is>
      </c>
      <c r="D39" s="23" t="inlineStr">
        <is>
          <t>Europratik</t>
        </is>
      </c>
      <c r="E39" s="43" t="n">
        <v>46126</v>
      </c>
      <c r="F39" s="26" t="inlineStr">
        <is>
          <t>Sunil CR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Good finish</t>
        </is>
      </c>
      <c r="J39" s="26" t="inlineStr">
        <is>
          <t>Yes</t>
        </is>
      </c>
      <c r="K39" s="27" t="n"/>
      <c r="L39" s="28" t="inlineStr">
        <is>
          <t>No</t>
        </is>
      </c>
      <c r="M39" s="29">
        <f>IF(E39="","",IF(H39="Yes","❌ Disc",IF(G39="No","⚠ Missing",IF(J39="Yes","✓ OK","⚠ Check"))))</f>
        <v/>
      </c>
      <c r="N39" s="43" t="n">
        <v>46193</v>
      </c>
      <c r="O39" s="26" t="inlineStr">
        <is>
          <t>Sunil CR</t>
        </is>
      </c>
      <c r="P39" s="26" t="inlineStr">
        <is>
          <t>Yes</t>
        </is>
      </c>
      <c r="Q39" s="26" t="inlineStr">
        <is>
          <t>No</t>
        </is>
      </c>
      <c r="R39" s="26" t="inlineStr">
        <is>
          <t>Good finish</t>
        </is>
      </c>
      <c r="S39" s="26" t="inlineStr">
        <is>
          <t>Yes</t>
        </is>
      </c>
      <c r="T39" s="27" t="n"/>
      <c r="U39" s="28" t="inlineStr">
        <is>
          <t>No</t>
        </is>
      </c>
      <c r="V39" s="29">
        <f>IF(N39="","",IF(Q39="Yes","❌ Disc",IF(P39="No","⚠ Missing",IF(S39="Yes","✓ OK","⚠ Check"))))</f>
        <v/>
      </c>
      <c r="W39" s="65" t="n">
        <v>46248</v>
      </c>
      <c r="X39" s="30" t="inlineStr">
        <is>
          <t>Sunil CR</t>
        </is>
      </c>
      <c r="Y39" s="30" t="inlineStr">
        <is>
          <t>Yes</t>
        </is>
      </c>
      <c r="Z39" s="30" t="n"/>
      <c r="AA39" s="30" t="inlineStr">
        <is>
          <t>Good finish</t>
        </is>
      </c>
      <c r="AB39" s="30" t="inlineStr">
        <is>
          <t>Yes</t>
        </is>
      </c>
      <c r="AC39" s="27" t="n"/>
      <c r="AD39" s="31" t="inlineStr">
        <is>
          <t>No</t>
        </is>
      </c>
      <c r="AE39" s="32">
        <f>IF(W39="","",IF(Z39="Yes","❌ Disc",IF(Y39="No","⚠ Missing",IF(AB39="Yes","✓ OK","⚠ Check"))))</f>
        <v/>
      </c>
      <c r="AF39" s="33" t="n"/>
      <c r="AG39" s="33" t="n"/>
      <c r="AH39" s="33" t="n"/>
      <c r="AI39" s="33" t="n"/>
      <c r="AJ39" s="33" t="n"/>
      <c r="AK39" s="33" t="n"/>
      <c r="AL39" s="27" t="n"/>
      <c r="AM39" s="34" t="n"/>
      <c r="AN39" s="35">
        <f>IF(AF39="","",IF(AI39="Yes","❌ Disc",IF(AH39="No","⚠ Missing",IF(AK39="Yes","✓ OK","⚠ Check"))))</f>
        <v/>
      </c>
      <c r="AO39" s="36" t="n"/>
      <c r="AP39" s="36" t="n"/>
      <c r="AQ39" s="36" t="n"/>
      <c r="AR39" s="36" t="n"/>
      <c r="AS39" s="36" t="n"/>
      <c r="AT39" s="36" t="n"/>
      <c r="AU39" s="27" t="n"/>
      <c r="AV39" s="37" t="n"/>
      <c r="AW39" s="38">
        <f>IF(AO39="","",IF(AR39="Yes","❌ Disc",IF(AQ39="No","⚠ Missing",IF(AT39="Yes","✓ OK","⚠ Check"))))</f>
        <v/>
      </c>
    </row>
    <row r="40" ht="18" customHeight="1" s="46">
      <c r="A40" s="39" t="n">
        <v>36</v>
      </c>
      <c r="B40" s="40" t="inlineStr">
        <is>
          <t>BD-VRM-2025-0887</t>
        </is>
      </c>
      <c r="C40" s="41" t="inlineStr">
        <is>
          <t>Euro Pratik - Pastelite Louvers - 20503 - Paintable</t>
        </is>
      </c>
      <c r="D40" s="39" t="inlineStr">
        <is>
          <t>Europratik</t>
        </is>
      </c>
      <c r="E40" s="43" t="n">
        <v>46126</v>
      </c>
      <c r="F40" s="26" t="inlineStr">
        <is>
          <t>Sunil CR</t>
        </is>
      </c>
      <c r="G40" s="26" t="inlineStr">
        <is>
          <t>Yes</t>
        </is>
      </c>
      <c r="H40" s="26" t="inlineStr">
        <is>
          <t>No</t>
        </is>
      </c>
      <c r="I40" s="26" t="inlineStr">
        <is>
          <t>Good finish</t>
        </is>
      </c>
      <c r="J40" s="26" t="inlineStr">
        <is>
          <t>Yes</t>
        </is>
      </c>
      <c r="K40" s="27" t="n"/>
      <c r="L40" s="28" t="inlineStr">
        <is>
          <t>No</t>
        </is>
      </c>
      <c r="M40" s="29">
        <f>IF(E40="","",IF(H40="Yes","❌ Disc",IF(G40="No","⚠ Missing",IF(J40="Yes","✓ OK","⚠ Check"))))</f>
        <v/>
      </c>
      <c r="N40" s="43" t="n">
        <v>46193</v>
      </c>
      <c r="O40" s="26" t="inlineStr">
        <is>
          <t>Sunil CR</t>
        </is>
      </c>
      <c r="P40" s="26" t="inlineStr">
        <is>
          <t>Yes</t>
        </is>
      </c>
      <c r="Q40" s="26" t="inlineStr">
        <is>
          <t>No</t>
        </is>
      </c>
      <c r="R40" s="26" t="inlineStr">
        <is>
          <t>Good finish</t>
        </is>
      </c>
      <c r="S40" s="26" t="inlineStr">
        <is>
          <t>Yes</t>
        </is>
      </c>
      <c r="T40" s="27" t="n"/>
      <c r="U40" s="28" t="inlineStr">
        <is>
          <t>No</t>
        </is>
      </c>
      <c r="V40" s="29">
        <f>IF(N40="","",IF(Q40="Yes","❌ Disc",IF(P40="No","⚠ Missing",IF(S40="Yes","✓ OK","⚠ Check"))))</f>
        <v/>
      </c>
      <c r="W40" s="65" t="n">
        <v>46248</v>
      </c>
      <c r="X40" s="30" t="inlineStr">
        <is>
          <t>Sunil CR</t>
        </is>
      </c>
      <c r="Y40" s="30" t="inlineStr">
        <is>
          <t>Yes</t>
        </is>
      </c>
      <c r="Z40" s="30" t="n"/>
      <c r="AA40" s="30" t="inlineStr">
        <is>
          <t>Good finish</t>
        </is>
      </c>
      <c r="AB40" s="30" t="inlineStr">
        <is>
          <t>Yes</t>
        </is>
      </c>
      <c r="AC40" s="27" t="n"/>
      <c r="AD40" s="31" t="inlineStr">
        <is>
          <t>No</t>
        </is>
      </c>
      <c r="AE40" s="32">
        <f>IF(W40="","",IF(Z40="Yes","❌ Disc",IF(Y40="No","⚠ Missing",IF(AB40="Yes","✓ OK","⚠ Check"))))</f>
        <v/>
      </c>
      <c r="AF40" s="33" t="n"/>
      <c r="AG40" s="33" t="n"/>
      <c r="AH40" s="33" t="n"/>
      <c r="AI40" s="33" t="n"/>
      <c r="AJ40" s="33" t="n"/>
      <c r="AK40" s="33" t="n"/>
      <c r="AL40" s="27" t="n"/>
      <c r="AM40" s="34" t="n"/>
      <c r="AN40" s="35">
        <f>IF(AF40="","",IF(AI40="Yes","❌ Disc",IF(AH40="No","⚠ Missing",IF(AK40="Yes","✓ OK","⚠ Check"))))</f>
        <v/>
      </c>
      <c r="AO40" s="36" t="n"/>
      <c r="AP40" s="36" t="n"/>
      <c r="AQ40" s="36" t="n"/>
      <c r="AR40" s="36" t="n"/>
      <c r="AS40" s="36" t="n"/>
      <c r="AT40" s="36" t="n"/>
      <c r="AU40" s="27" t="n"/>
      <c r="AV40" s="37" t="n"/>
      <c r="AW40" s="38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BD-VRM-2025-0889</t>
        </is>
      </c>
      <c r="C41" s="25" t="inlineStr">
        <is>
          <t>Euro Pratik - Pastelite Louvers - 20504 - Paintable</t>
        </is>
      </c>
      <c r="D41" s="23" t="inlineStr">
        <is>
          <t>Europratik</t>
        </is>
      </c>
      <c r="E41" s="43" t="n">
        <v>46126</v>
      </c>
      <c r="F41" s="26" t="inlineStr">
        <is>
          <t>Sunil CR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Good finish</t>
        </is>
      </c>
      <c r="J41" s="26" t="inlineStr">
        <is>
          <t>Yes</t>
        </is>
      </c>
      <c r="K41" s="27" t="n"/>
      <c r="L41" s="28" t="inlineStr">
        <is>
          <t>No</t>
        </is>
      </c>
      <c r="M41" s="29">
        <f>IF(E41="","",IF(H41="Yes","❌ Disc",IF(G41="No","⚠ Missing",IF(J41="Yes","✓ OK","⚠ Check"))))</f>
        <v/>
      </c>
      <c r="N41" s="43" t="n">
        <v>46193</v>
      </c>
      <c r="O41" s="26" t="inlineStr">
        <is>
          <t>Sunil CR</t>
        </is>
      </c>
      <c r="P41" s="26" t="inlineStr">
        <is>
          <t>Yes</t>
        </is>
      </c>
      <c r="Q41" s="26" t="inlineStr">
        <is>
          <t>No</t>
        </is>
      </c>
      <c r="R41" s="26" t="inlineStr">
        <is>
          <t>Good finish</t>
        </is>
      </c>
      <c r="S41" s="26" t="inlineStr">
        <is>
          <t>Yes</t>
        </is>
      </c>
      <c r="T41" s="27" t="n"/>
      <c r="U41" s="28" t="inlineStr">
        <is>
          <t>No</t>
        </is>
      </c>
      <c r="V41" s="29">
        <f>IF(N41="","",IF(Q41="Yes","❌ Disc",IF(P41="No","⚠ Missing",IF(S41="Yes","✓ OK","⚠ Check"))))</f>
        <v/>
      </c>
      <c r="W41" s="65" t="n">
        <v>46248</v>
      </c>
      <c r="X41" s="30" t="inlineStr">
        <is>
          <t>Sunil CR</t>
        </is>
      </c>
      <c r="Y41" s="30" t="inlineStr">
        <is>
          <t>Yes</t>
        </is>
      </c>
      <c r="Z41" s="30" t="n"/>
      <c r="AA41" s="30" t="inlineStr">
        <is>
          <t>Good finish</t>
        </is>
      </c>
      <c r="AB41" s="30" t="inlineStr">
        <is>
          <t>Yes</t>
        </is>
      </c>
      <c r="AC41" s="27" t="n"/>
      <c r="AD41" s="31" t="inlineStr">
        <is>
          <t>No</t>
        </is>
      </c>
      <c r="AE41" s="32">
        <f>IF(W41="","",IF(Z41="Yes","❌ Disc",IF(Y41="No","⚠ Missing",IF(AB41="Yes","✓ OK","⚠ Check"))))</f>
        <v/>
      </c>
      <c r="AF41" s="33" t="n"/>
      <c r="AG41" s="33" t="n"/>
      <c r="AH41" s="33" t="n"/>
      <c r="AI41" s="33" t="n"/>
      <c r="AJ41" s="33" t="n"/>
      <c r="AK41" s="33" t="n"/>
      <c r="AL41" s="27" t="n"/>
      <c r="AM41" s="34" t="n"/>
      <c r="AN41" s="35">
        <f>IF(AF41="","",IF(AI41="Yes","❌ Disc",IF(AH41="No","⚠ Missing",IF(AK41="Yes","✓ OK","⚠ Check"))))</f>
        <v/>
      </c>
      <c r="AO41" s="36" t="n"/>
      <c r="AP41" s="36" t="n"/>
      <c r="AQ41" s="36" t="n"/>
      <c r="AR41" s="36" t="n"/>
      <c r="AS41" s="36" t="n"/>
      <c r="AT41" s="36" t="n"/>
      <c r="AU41" s="27" t="n"/>
      <c r="AV41" s="37" t="n"/>
      <c r="AW41" s="38">
        <f>IF(AO41="","",IF(AR41="Yes","❌ Disc",IF(AQ41="No","⚠ Missing",IF(AT41="Yes","✓ OK","⚠ Check"))))</f>
        <v/>
      </c>
    </row>
    <row r="42" ht="18" customHeight="1" s="46">
      <c r="A42" s="39" t="n">
        <v>38</v>
      </c>
      <c r="B42" s="40" t="inlineStr">
        <is>
          <t>BD-VRM-2025-0884</t>
        </is>
      </c>
      <c r="C42" s="41" t="inlineStr">
        <is>
          <t>Euro Pratik - Pastelite Louvers - 20601 - Paintable</t>
        </is>
      </c>
      <c r="D42" s="39" t="inlineStr">
        <is>
          <t>Europratik</t>
        </is>
      </c>
      <c r="E42" s="43" t="n">
        <v>46126</v>
      </c>
      <c r="F42" s="26" t="inlineStr">
        <is>
          <t>Sunil CR</t>
        </is>
      </c>
      <c r="G42" s="26" t="inlineStr">
        <is>
          <t>Yes</t>
        </is>
      </c>
      <c r="H42" s="26" t="inlineStr">
        <is>
          <t>No</t>
        </is>
      </c>
      <c r="I42" s="26" t="inlineStr">
        <is>
          <t>Good finish</t>
        </is>
      </c>
      <c r="J42" s="26" t="inlineStr">
        <is>
          <t>Yes</t>
        </is>
      </c>
      <c r="K42" s="27" t="n"/>
      <c r="L42" s="28" t="inlineStr">
        <is>
          <t>No</t>
        </is>
      </c>
      <c r="M42" s="29">
        <f>IF(E42="","",IF(H42="Yes","❌ Disc",IF(G42="No","⚠ Missing",IF(J42="Yes","✓ OK","⚠ Check"))))</f>
        <v/>
      </c>
      <c r="N42" s="43" t="n">
        <v>46193</v>
      </c>
      <c r="O42" s="26" t="inlineStr">
        <is>
          <t>Sunil CR</t>
        </is>
      </c>
      <c r="P42" s="26" t="inlineStr">
        <is>
          <t>Yes</t>
        </is>
      </c>
      <c r="Q42" s="26" t="inlineStr">
        <is>
          <t>No</t>
        </is>
      </c>
      <c r="R42" s="26" t="inlineStr">
        <is>
          <t>Good finish</t>
        </is>
      </c>
      <c r="S42" s="26" t="inlineStr">
        <is>
          <t>Yes</t>
        </is>
      </c>
      <c r="T42" s="27" t="n"/>
      <c r="U42" s="28" t="inlineStr">
        <is>
          <t>No</t>
        </is>
      </c>
      <c r="V42" s="29">
        <f>IF(N42="","",IF(Q42="Yes","❌ Disc",IF(P42="No","⚠ Missing",IF(S42="Yes","✓ OK","⚠ Check"))))</f>
        <v/>
      </c>
      <c r="W42" s="65" t="n">
        <v>46248</v>
      </c>
      <c r="X42" s="30" t="inlineStr">
        <is>
          <t>Sunil CR</t>
        </is>
      </c>
      <c r="Y42" s="30" t="inlineStr">
        <is>
          <t>Yes</t>
        </is>
      </c>
      <c r="Z42" s="30" t="n"/>
      <c r="AA42" s="30" t="inlineStr">
        <is>
          <t>Good finish</t>
        </is>
      </c>
      <c r="AB42" s="30" t="inlineStr">
        <is>
          <t>Yes</t>
        </is>
      </c>
      <c r="AC42" s="27" t="n"/>
      <c r="AD42" s="31" t="inlineStr">
        <is>
          <t>No</t>
        </is>
      </c>
      <c r="AE42" s="32">
        <f>IF(W42="","",IF(Z42="Yes","❌ Disc",IF(Y42="No","⚠ Missing",IF(AB42="Yes","✓ OK","⚠ Check"))))</f>
        <v/>
      </c>
      <c r="AF42" s="33" t="n"/>
      <c r="AG42" s="33" t="n"/>
      <c r="AH42" s="33" t="n"/>
      <c r="AI42" s="33" t="n"/>
      <c r="AJ42" s="33" t="n"/>
      <c r="AK42" s="33" t="n"/>
      <c r="AL42" s="27" t="n"/>
      <c r="AM42" s="34" t="n"/>
      <c r="AN42" s="35">
        <f>IF(AF42="","",IF(AI42="Yes","❌ Disc",IF(AH42="No","⚠ Missing",IF(AK42="Yes","✓ OK","⚠ Check"))))</f>
        <v/>
      </c>
      <c r="AO42" s="36" t="n"/>
      <c r="AP42" s="36" t="n"/>
      <c r="AQ42" s="36" t="n"/>
      <c r="AR42" s="36" t="n"/>
      <c r="AS42" s="36" t="n"/>
      <c r="AT42" s="36" t="n"/>
      <c r="AU42" s="27" t="n"/>
      <c r="AV42" s="37" t="n"/>
      <c r="AW42" s="38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BD-VRM-2025-0886</t>
        </is>
      </c>
      <c r="C43" s="25" t="inlineStr">
        <is>
          <t>Euro Pratik - Pastelite Louvers - 20602 - Paintable</t>
        </is>
      </c>
      <c r="D43" s="23" t="inlineStr">
        <is>
          <t>Europratik</t>
        </is>
      </c>
      <c r="E43" s="43" t="n">
        <v>46126</v>
      </c>
      <c r="F43" s="26" t="inlineStr">
        <is>
          <t>Sunil CR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Good finish</t>
        </is>
      </c>
      <c r="J43" s="26" t="inlineStr">
        <is>
          <t>Yes</t>
        </is>
      </c>
      <c r="K43" s="27" t="n"/>
      <c r="L43" s="28" t="inlineStr">
        <is>
          <t>No</t>
        </is>
      </c>
      <c r="M43" s="29">
        <f>IF(E43="","",IF(H43="Yes","❌ Disc",IF(G43="No","⚠ Missing",IF(J43="Yes","✓ OK","⚠ Check"))))</f>
        <v/>
      </c>
      <c r="N43" s="43" t="n">
        <v>46193</v>
      </c>
      <c r="O43" s="26" t="inlineStr">
        <is>
          <t>Sunil CR</t>
        </is>
      </c>
      <c r="P43" s="26" t="inlineStr">
        <is>
          <t>Yes</t>
        </is>
      </c>
      <c r="Q43" s="26" t="inlineStr">
        <is>
          <t>No</t>
        </is>
      </c>
      <c r="R43" s="26" t="inlineStr">
        <is>
          <t>Good finish</t>
        </is>
      </c>
      <c r="S43" s="26" t="inlineStr">
        <is>
          <t>Yes</t>
        </is>
      </c>
      <c r="T43" s="27" t="n"/>
      <c r="U43" s="28" t="inlineStr">
        <is>
          <t>No</t>
        </is>
      </c>
      <c r="V43" s="29">
        <f>IF(N43="","",IF(Q43="Yes","❌ Disc",IF(P43="No","⚠ Missing",IF(S43="Yes","✓ OK","⚠ Check"))))</f>
        <v/>
      </c>
      <c r="W43" s="65" t="n">
        <v>46248</v>
      </c>
      <c r="X43" s="30" t="inlineStr">
        <is>
          <t>Sunil CR</t>
        </is>
      </c>
      <c r="Y43" s="30" t="inlineStr">
        <is>
          <t>Yes</t>
        </is>
      </c>
      <c r="Z43" s="30" t="n"/>
      <c r="AA43" s="30" t="inlineStr">
        <is>
          <t>Good finish</t>
        </is>
      </c>
      <c r="AB43" s="30" t="inlineStr">
        <is>
          <t>Yes</t>
        </is>
      </c>
      <c r="AC43" s="27" t="n"/>
      <c r="AD43" s="31" t="inlineStr">
        <is>
          <t>No</t>
        </is>
      </c>
      <c r="AE43" s="32">
        <f>IF(W43="","",IF(Z43="Yes","❌ Disc",IF(Y43="No","⚠ Missing",IF(AB43="Yes","✓ OK","⚠ Check"))))</f>
        <v/>
      </c>
      <c r="AF43" s="33" t="n"/>
      <c r="AG43" s="33" t="n"/>
      <c r="AH43" s="33" t="n"/>
      <c r="AI43" s="33" t="n"/>
      <c r="AJ43" s="33" t="n"/>
      <c r="AK43" s="33" t="n"/>
      <c r="AL43" s="27" t="n"/>
      <c r="AM43" s="34" t="n"/>
      <c r="AN43" s="35">
        <f>IF(AF43="","",IF(AI43="Yes","❌ Disc",IF(AH43="No","⚠ Missing",IF(AK43="Yes","✓ OK","⚠ Check"))))</f>
        <v/>
      </c>
      <c r="AO43" s="36" t="n"/>
      <c r="AP43" s="36" t="n"/>
      <c r="AQ43" s="36" t="n"/>
      <c r="AR43" s="36" t="n"/>
      <c r="AS43" s="36" t="n"/>
      <c r="AT43" s="36" t="n"/>
      <c r="AU43" s="27" t="n"/>
      <c r="AV43" s="37" t="n"/>
      <c r="AW43" s="38">
        <f>IF(AO43="","",IF(AR43="Yes","❌ Disc",IF(AQ43="No","⚠ Missing",IF(AT43="Yes","✓ OK","⚠ Check"))))</f>
        <v/>
      </c>
    </row>
    <row r="44" ht="18" customHeight="1" s="46">
      <c r="A44" s="39" t="n">
        <v>40</v>
      </c>
      <c r="B44" s="40" t="inlineStr">
        <is>
          <t>BD-VRM-2025-0888</t>
        </is>
      </c>
      <c r="C44" s="41" t="inlineStr">
        <is>
          <t>Euro Pratik - Pastelite Louvers - 20603 - Paintable</t>
        </is>
      </c>
      <c r="D44" s="39" t="inlineStr">
        <is>
          <t>Europratik</t>
        </is>
      </c>
      <c r="E44" s="43" t="n">
        <v>46126</v>
      </c>
      <c r="F44" s="26" t="inlineStr">
        <is>
          <t>Sunil CR</t>
        </is>
      </c>
      <c r="G44" s="26" t="inlineStr">
        <is>
          <t>Yes</t>
        </is>
      </c>
      <c r="H44" s="26" t="inlineStr">
        <is>
          <t>No</t>
        </is>
      </c>
      <c r="I44" s="26" t="inlineStr">
        <is>
          <t>Good finish</t>
        </is>
      </c>
      <c r="J44" s="26" t="inlineStr">
        <is>
          <t>Yes</t>
        </is>
      </c>
      <c r="K44" s="27" t="n"/>
      <c r="L44" s="28" t="inlineStr">
        <is>
          <t>No</t>
        </is>
      </c>
      <c r="M44" s="29">
        <f>IF(E44="","",IF(H44="Yes","❌ Disc",IF(G44="No","⚠ Missing",IF(J44="Yes","✓ OK","⚠ Check"))))</f>
        <v/>
      </c>
      <c r="N44" s="43" t="n">
        <v>46193</v>
      </c>
      <c r="O44" s="26" t="inlineStr">
        <is>
          <t>Sunil CR</t>
        </is>
      </c>
      <c r="P44" s="26" t="inlineStr">
        <is>
          <t>Yes</t>
        </is>
      </c>
      <c r="Q44" s="26" t="inlineStr">
        <is>
          <t>No</t>
        </is>
      </c>
      <c r="R44" s="26" t="inlineStr">
        <is>
          <t>Good finish</t>
        </is>
      </c>
      <c r="S44" s="26" t="inlineStr">
        <is>
          <t>Yes</t>
        </is>
      </c>
      <c r="T44" s="27" t="n"/>
      <c r="U44" s="28" t="inlineStr">
        <is>
          <t>No</t>
        </is>
      </c>
      <c r="V44" s="29">
        <f>IF(N44="","",IF(Q44="Yes","❌ Disc",IF(P44="No","⚠ Missing",IF(S44="Yes","✓ OK","⚠ Check"))))</f>
        <v/>
      </c>
      <c r="W44" s="65" t="n">
        <v>46248</v>
      </c>
      <c r="X44" s="30" t="inlineStr">
        <is>
          <t>Sunil CR</t>
        </is>
      </c>
      <c r="Y44" s="30" t="inlineStr">
        <is>
          <t>Yes</t>
        </is>
      </c>
      <c r="Z44" s="30" t="n"/>
      <c r="AA44" s="30" t="inlineStr">
        <is>
          <t>Good finish</t>
        </is>
      </c>
      <c r="AB44" s="30" t="inlineStr">
        <is>
          <t>Yes</t>
        </is>
      </c>
      <c r="AC44" s="27" t="n"/>
      <c r="AD44" s="31" t="inlineStr">
        <is>
          <t>No</t>
        </is>
      </c>
      <c r="AE44" s="32">
        <f>IF(W44="","",IF(Z44="Yes","❌ Disc",IF(Y44="No","⚠ Missing",IF(AB44="Yes","✓ OK","⚠ Check"))))</f>
        <v/>
      </c>
      <c r="AF44" s="33" t="n"/>
      <c r="AG44" s="33" t="n"/>
      <c r="AH44" s="33" t="n"/>
      <c r="AI44" s="33" t="n"/>
      <c r="AJ44" s="33" t="n"/>
      <c r="AK44" s="33" t="n"/>
      <c r="AL44" s="27" t="n"/>
      <c r="AM44" s="34" t="n"/>
      <c r="AN44" s="35">
        <f>IF(AF44="","",IF(AI44="Yes","❌ Disc",IF(AH44="No","⚠ Missing",IF(AK44="Yes","✓ OK","⚠ Check"))))</f>
        <v/>
      </c>
      <c r="AO44" s="36" t="n"/>
      <c r="AP44" s="36" t="n"/>
      <c r="AQ44" s="36" t="n"/>
      <c r="AR44" s="36" t="n"/>
      <c r="AS44" s="36" t="n"/>
      <c r="AT44" s="36" t="n"/>
      <c r="AU44" s="27" t="n"/>
      <c r="AV44" s="37" t="n"/>
      <c r="AW44" s="38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BD-VRM-2025-0890</t>
        </is>
      </c>
      <c r="C45" s="25" t="inlineStr">
        <is>
          <t>Euro Pratik - Pastelite Louvers - 20604 - Paintable</t>
        </is>
      </c>
      <c r="D45" s="23" t="inlineStr">
        <is>
          <t>Europratik</t>
        </is>
      </c>
      <c r="E45" s="43" t="n">
        <v>46126</v>
      </c>
      <c r="F45" s="26" t="inlineStr">
        <is>
          <t>Sunil CR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Good finish</t>
        </is>
      </c>
      <c r="J45" s="26" t="inlineStr">
        <is>
          <t>Yes</t>
        </is>
      </c>
      <c r="K45" s="27" t="n"/>
      <c r="L45" s="28" t="inlineStr">
        <is>
          <t>No</t>
        </is>
      </c>
      <c r="M45" s="29">
        <f>IF(E45="","",IF(H45="Yes","❌ Disc",IF(G45="No","⚠ Missing",IF(J45="Yes","✓ OK","⚠ Check"))))</f>
        <v/>
      </c>
      <c r="N45" s="43" t="n">
        <v>46193</v>
      </c>
      <c r="O45" s="26" t="inlineStr">
        <is>
          <t>Sunil CR</t>
        </is>
      </c>
      <c r="P45" s="26" t="inlineStr">
        <is>
          <t>Yes</t>
        </is>
      </c>
      <c r="Q45" s="26" t="inlineStr">
        <is>
          <t>No</t>
        </is>
      </c>
      <c r="R45" s="26" t="inlineStr">
        <is>
          <t>Good finish</t>
        </is>
      </c>
      <c r="S45" s="26" t="inlineStr">
        <is>
          <t>Yes</t>
        </is>
      </c>
      <c r="T45" s="27" t="n"/>
      <c r="U45" s="28" t="inlineStr">
        <is>
          <t>No</t>
        </is>
      </c>
      <c r="V45" s="29">
        <f>IF(N45="","",IF(Q45="Yes","❌ Disc",IF(P45="No","⚠ Missing",IF(S45="Yes","✓ OK","⚠ Check"))))</f>
        <v/>
      </c>
      <c r="W45" s="65" t="n">
        <v>46248</v>
      </c>
      <c r="X45" s="30" t="inlineStr">
        <is>
          <t>Sunil CR</t>
        </is>
      </c>
      <c r="Y45" s="30" t="inlineStr">
        <is>
          <t>Yes</t>
        </is>
      </c>
      <c r="Z45" s="30" t="n"/>
      <c r="AA45" s="30" t="inlineStr">
        <is>
          <t>Good finish</t>
        </is>
      </c>
      <c r="AB45" s="30" t="inlineStr">
        <is>
          <t>Yes</t>
        </is>
      </c>
      <c r="AC45" s="27" t="n"/>
      <c r="AD45" s="31" t="inlineStr">
        <is>
          <t>No</t>
        </is>
      </c>
      <c r="AE45" s="32">
        <f>IF(W45="","",IF(Z45="Yes","❌ Disc",IF(Y45="No","⚠ Missing",IF(AB45="Yes","✓ OK","⚠ Check"))))</f>
        <v/>
      </c>
      <c r="AF45" s="33" t="n"/>
      <c r="AG45" s="33" t="n"/>
      <c r="AH45" s="33" t="n"/>
      <c r="AI45" s="33" t="n"/>
      <c r="AJ45" s="33" t="n"/>
      <c r="AK45" s="33" t="n"/>
      <c r="AL45" s="27" t="n"/>
      <c r="AM45" s="34" t="n"/>
      <c r="AN45" s="35">
        <f>IF(AF45="","",IF(AI45="Yes","❌ Disc",IF(AH45="No","⚠ Missing",IF(AK45="Yes","✓ OK","⚠ Check"))))</f>
        <v/>
      </c>
      <c r="AO45" s="36" t="n"/>
      <c r="AP45" s="36" t="n"/>
      <c r="AQ45" s="36" t="n"/>
      <c r="AR45" s="36" t="n"/>
      <c r="AS45" s="36" t="n"/>
      <c r="AT45" s="36" t="n"/>
      <c r="AU45" s="27" t="n"/>
      <c r="AV45" s="37" t="n"/>
      <c r="AW45" s="38">
        <f>IF(AO45="","",IF(AR45="Yes","❌ Disc",IF(AQ45="No","⚠ Missing",IF(AT45="Yes","✓ OK","⚠ Check"))))</f>
        <v/>
      </c>
    </row>
    <row r="46" ht="18" customHeight="1" s="46">
      <c r="A46" s="39" t="n">
        <v>42</v>
      </c>
      <c r="B46" s="40" t="inlineStr">
        <is>
          <t>BD-VRM-2025-0843</t>
        </is>
      </c>
      <c r="C46" s="41" t="inlineStr">
        <is>
          <t>Euro Pratik - Pastelite Louvers - 918101 - Paintable</t>
        </is>
      </c>
      <c r="D46" s="39" t="inlineStr">
        <is>
          <t>Europratik</t>
        </is>
      </c>
      <c r="E46" s="43" t="n">
        <v>46126</v>
      </c>
      <c r="F46" s="26" t="inlineStr">
        <is>
          <t>Sunil CR</t>
        </is>
      </c>
      <c r="G46" s="26" t="inlineStr">
        <is>
          <t>No</t>
        </is>
      </c>
      <c r="H46" s="26" t="inlineStr">
        <is>
          <t>No</t>
        </is>
      </c>
      <c r="I46" s="26" t="inlineStr">
        <is>
          <t>Not Available</t>
        </is>
      </c>
      <c r="J46" s="26" t="inlineStr">
        <is>
          <t>No</t>
        </is>
      </c>
      <c r="K46" s="27" t="n"/>
      <c r="L46" s="28" t="inlineStr">
        <is>
          <t>Yes</t>
        </is>
      </c>
      <c r="M46" s="29">
        <f>IF(E46="","",IF(H46="Yes","❌ Disc",IF(G46="No","⚠ Missing",IF(J46="Yes","✓ OK","⚠ Check"))))</f>
        <v/>
      </c>
      <c r="N46" s="43" t="n">
        <v>46193</v>
      </c>
      <c r="O46" s="26" t="inlineStr">
        <is>
          <t>Sunil CR</t>
        </is>
      </c>
      <c r="P46" s="26" t="inlineStr">
        <is>
          <t>No</t>
        </is>
      </c>
      <c r="Q46" s="26" t="inlineStr">
        <is>
          <t>No</t>
        </is>
      </c>
      <c r="R46" s="26" t="inlineStr">
        <is>
          <t>Not Available</t>
        </is>
      </c>
      <c r="S46" s="26" t="inlineStr">
        <is>
          <t>No</t>
        </is>
      </c>
      <c r="T46" s="27" t="n"/>
      <c r="U46" s="28" t="inlineStr">
        <is>
          <t>Yes</t>
        </is>
      </c>
      <c r="V46" s="29">
        <f>IF(N46="","",IF(Q46="Yes","❌ Disc",IF(P46="No","⚠ Missing",IF(S46="Yes","✓ OK","⚠ Check"))))</f>
        <v/>
      </c>
      <c r="W46" s="65" t="n">
        <v>46248</v>
      </c>
      <c r="X46" s="30" t="inlineStr">
        <is>
          <t>Sunil CR</t>
        </is>
      </c>
      <c r="Y46" s="30" t="inlineStr">
        <is>
          <t>No</t>
        </is>
      </c>
      <c r="Z46" s="30" t="n"/>
      <c r="AA46" s="30" t="inlineStr">
        <is>
          <t>Not Available</t>
        </is>
      </c>
      <c r="AB46" s="30" t="inlineStr">
        <is>
          <t>No</t>
        </is>
      </c>
      <c r="AC46" s="27" t="n"/>
      <c r="AD46" s="31" t="inlineStr">
        <is>
          <t>Yes</t>
        </is>
      </c>
      <c r="AE46" s="32">
        <f>IF(W46="","",IF(Z46="Yes","❌ Disc",IF(Y46="No","⚠ Missing",IF(AB46="Yes","✓ OK","⚠ Check"))))</f>
        <v/>
      </c>
      <c r="AF46" s="33" t="n"/>
      <c r="AG46" s="33" t="n"/>
      <c r="AH46" s="33" t="n"/>
      <c r="AI46" s="33" t="n"/>
      <c r="AJ46" s="33" t="n"/>
      <c r="AK46" s="33" t="n"/>
      <c r="AL46" s="27" t="n"/>
      <c r="AM46" s="34" t="n"/>
      <c r="AN46" s="35">
        <f>IF(AF46="","",IF(AI46="Yes","❌ Disc",IF(AH46="No","⚠ Missing",IF(AK46="Yes","✓ OK","⚠ Check"))))</f>
        <v/>
      </c>
      <c r="AO46" s="36" t="n"/>
      <c r="AP46" s="36" t="n"/>
      <c r="AQ46" s="36" t="n"/>
      <c r="AR46" s="36" t="n"/>
      <c r="AS46" s="36" t="n"/>
      <c r="AT46" s="36" t="n"/>
      <c r="AU46" s="27" t="n"/>
      <c r="AV46" s="37" t="n"/>
      <c r="AW46" s="38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BD-VRM-2025-0847</t>
        </is>
      </c>
      <c r="C47" s="25" t="inlineStr">
        <is>
          <t>Euro Pratik - Pastelite Louvers - 918104 - Paintable</t>
        </is>
      </c>
      <c r="D47" s="23" t="inlineStr">
        <is>
          <t>Europratik</t>
        </is>
      </c>
      <c r="E47" s="43" t="n">
        <v>46126</v>
      </c>
      <c r="F47" s="26" t="inlineStr">
        <is>
          <t>Sunil CR</t>
        </is>
      </c>
      <c r="G47" s="26" t="inlineStr">
        <is>
          <t>No</t>
        </is>
      </c>
      <c r="H47" s="26" t="inlineStr">
        <is>
          <t>No</t>
        </is>
      </c>
      <c r="I47" s="26" t="inlineStr">
        <is>
          <t>Not Available</t>
        </is>
      </c>
      <c r="J47" s="26" t="inlineStr">
        <is>
          <t>No</t>
        </is>
      </c>
      <c r="K47" s="27" t="n"/>
      <c r="L47" s="28" t="inlineStr">
        <is>
          <t>Yes</t>
        </is>
      </c>
      <c r="M47" s="29">
        <f>IF(E47="","",IF(H47="Yes","❌ Disc",IF(G47="No","⚠ Missing",IF(J47="Yes","✓ OK","⚠ Check"))))</f>
        <v/>
      </c>
      <c r="N47" s="43" t="n">
        <v>46193</v>
      </c>
      <c r="O47" s="26" t="inlineStr">
        <is>
          <t>Sunil CR</t>
        </is>
      </c>
      <c r="P47" s="26" t="inlineStr">
        <is>
          <t>No</t>
        </is>
      </c>
      <c r="Q47" s="26" t="inlineStr">
        <is>
          <t>No</t>
        </is>
      </c>
      <c r="R47" s="26" t="inlineStr">
        <is>
          <t>Not Available</t>
        </is>
      </c>
      <c r="S47" s="26" t="inlineStr">
        <is>
          <t>No</t>
        </is>
      </c>
      <c r="T47" s="27" t="n"/>
      <c r="U47" s="28" t="inlineStr">
        <is>
          <t>Yes</t>
        </is>
      </c>
      <c r="V47" s="29">
        <f>IF(N47="","",IF(Q47="Yes","❌ Disc",IF(P47="No","⚠ Missing",IF(S47="Yes","✓ OK","⚠ Check"))))</f>
        <v/>
      </c>
      <c r="W47" s="65" t="n">
        <v>46248</v>
      </c>
      <c r="X47" s="30" t="inlineStr">
        <is>
          <t>Sunil CR</t>
        </is>
      </c>
      <c r="Y47" s="30" t="inlineStr">
        <is>
          <t>No</t>
        </is>
      </c>
      <c r="Z47" s="30" t="n"/>
      <c r="AA47" s="30" t="inlineStr">
        <is>
          <t>Not Available</t>
        </is>
      </c>
      <c r="AB47" s="30" t="inlineStr">
        <is>
          <t>No</t>
        </is>
      </c>
      <c r="AC47" s="27" t="n"/>
      <c r="AD47" s="31" t="inlineStr">
        <is>
          <t>Yes</t>
        </is>
      </c>
      <c r="AE47" s="32">
        <f>IF(W47="","",IF(Z47="Yes","❌ Disc",IF(Y47="No","⚠ Missing",IF(AB47="Yes","✓ OK","⚠ Check"))))</f>
        <v/>
      </c>
      <c r="AF47" s="33" t="n"/>
      <c r="AG47" s="33" t="n"/>
      <c r="AH47" s="33" t="n"/>
      <c r="AI47" s="33" t="n"/>
      <c r="AJ47" s="33" t="n"/>
      <c r="AK47" s="33" t="n"/>
      <c r="AL47" s="27" t="n"/>
      <c r="AM47" s="34" t="n"/>
      <c r="AN47" s="35">
        <f>IF(AF47="","",IF(AI47="Yes","❌ Disc",IF(AH47="No","⚠ Missing",IF(AK47="Yes","✓ OK","⚠ Check"))))</f>
        <v/>
      </c>
      <c r="AO47" s="36" t="n"/>
      <c r="AP47" s="36" t="n"/>
      <c r="AQ47" s="36" t="n"/>
      <c r="AR47" s="36" t="n"/>
      <c r="AS47" s="36" t="n"/>
      <c r="AT47" s="36" t="n"/>
      <c r="AU47" s="27" t="n"/>
      <c r="AV47" s="37" t="n"/>
      <c r="AW47" s="38">
        <f>IF(AO47="","",IF(AR47="Yes","❌ Disc",IF(AQ47="No","⚠ Missing",IF(AT47="Yes","✓ OK","⚠ Check"))))</f>
        <v/>
      </c>
    </row>
    <row r="48" ht="18" customHeight="1" s="46">
      <c r="A48" s="39" t="n">
        <v>44</v>
      </c>
      <c r="B48" s="40" t="inlineStr">
        <is>
          <t>BD-VRM-2025-0850</t>
        </is>
      </c>
      <c r="C48" s="41" t="inlineStr">
        <is>
          <t>Euro Pratik - Pastelite Louvers - 918106 - Paintable</t>
        </is>
      </c>
      <c r="D48" s="39" t="inlineStr">
        <is>
          <t>Europratik</t>
        </is>
      </c>
      <c r="E48" s="43" t="n">
        <v>46126</v>
      </c>
      <c r="F48" s="26" t="inlineStr">
        <is>
          <t>Sunil CR</t>
        </is>
      </c>
      <c r="G48" s="26" t="inlineStr">
        <is>
          <t>No</t>
        </is>
      </c>
      <c r="H48" s="26" t="inlineStr">
        <is>
          <t>No</t>
        </is>
      </c>
      <c r="I48" s="26" t="inlineStr">
        <is>
          <t>Not Available</t>
        </is>
      </c>
      <c r="J48" s="26" t="inlineStr">
        <is>
          <t>No</t>
        </is>
      </c>
      <c r="K48" s="27" t="n"/>
      <c r="L48" s="28" t="inlineStr">
        <is>
          <t>Yes</t>
        </is>
      </c>
      <c r="M48" s="29">
        <f>IF(E48="","",IF(H48="Yes","❌ Disc",IF(G48="No","⚠ Missing",IF(J48="Yes","✓ OK","⚠ Check"))))</f>
        <v/>
      </c>
      <c r="N48" s="43" t="n">
        <v>46193</v>
      </c>
      <c r="O48" s="26" t="inlineStr">
        <is>
          <t>Sunil CR</t>
        </is>
      </c>
      <c r="P48" s="26" t="inlineStr">
        <is>
          <t>No</t>
        </is>
      </c>
      <c r="Q48" s="26" t="inlineStr">
        <is>
          <t>No</t>
        </is>
      </c>
      <c r="R48" s="26" t="inlineStr">
        <is>
          <t>Not Available</t>
        </is>
      </c>
      <c r="S48" s="26" t="inlineStr">
        <is>
          <t>No</t>
        </is>
      </c>
      <c r="T48" s="27" t="n"/>
      <c r="U48" s="28" t="inlineStr">
        <is>
          <t>Yes</t>
        </is>
      </c>
      <c r="V48" s="29">
        <f>IF(N48="","",IF(Q48="Yes","❌ Disc",IF(P48="No","⚠ Missing",IF(S48="Yes","✓ OK","⚠ Check"))))</f>
        <v/>
      </c>
      <c r="W48" s="65" t="n">
        <v>46248</v>
      </c>
      <c r="X48" s="30" t="inlineStr">
        <is>
          <t>Sunil CR</t>
        </is>
      </c>
      <c r="Y48" s="30" t="inlineStr">
        <is>
          <t>No</t>
        </is>
      </c>
      <c r="Z48" s="30" t="n"/>
      <c r="AA48" s="30" t="inlineStr">
        <is>
          <t>Not Available</t>
        </is>
      </c>
      <c r="AB48" s="30" t="inlineStr">
        <is>
          <t>No</t>
        </is>
      </c>
      <c r="AC48" s="27" t="n"/>
      <c r="AD48" s="31" t="inlineStr">
        <is>
          <t>Yes</t>
        </is>
      </c>
      <c r="AE48" s="32">
        <f>IF(W48="","",IF(Z48="Yes","❌ Disc",IF(Y48="No","⚠ Missing",IF(AB48="Yes","✓ OK","⚠ Check"))))</f>
        <v/>
      </c>
      <c r="AF48" s="33" t="n"/>
      <c r="AG48" s="33" t="n"/>
      <c r="AH48" s="33" t="n"/>
      <c r="AI48" s="33" t="n"/>
      <c r="AJ48" s="33" t="n"/>
      <c r="AK48" s="33" t="n"/>
      <c r="AL48" s="27" t="n"/>
      <c r="AM48" s="34" t="n"/>
      <c r="AN48" s="35">
        <f>IF(AF48="","",IF(AI48="Yes","❌ Disc",IF(AH48="No","⚠ Missing",IF(AK48="Yes","✓ OK","⚠ Check"))))</f>
        <v/>
      </c>
      <c r="AO48" s="36" t="n"/>
      <c r="AP48" s="36" t="n"/>
      <c r="AQ48" s="36" t="n"/>
      <c r="AR48" s="36" t="n"/>
      <c r="AS48" s="36" t="n"/>
      <c r="AT48" s="36" t="n"/>
      <c r="AU48" s="27" t="n"/>
      <c r="AV48" s="37" t="n"/>
      <c r="AW48" s="38">
        <f>IF(AO48="","",IF(AR48="Yes","❌ Disc",IF(AQ48="No","⚠ Missing",IF(AT48="Yes","✓ OK","⚠ Check"))))</f>
        <v/>
      </c>
    </row>
    <row r="49" ht="18" customHeight="1" s="46">
      <c r="A49" s="23" t="n">
        <v>45</v>
      </c>
      <c r="B49" s="24" t="inlineStr">
        <is>
          <t>BD-VRM-2025-0853</t>
        </is>
      </c>
      <c r="C49" s="25" t="inlineStr">
        <is>
          <t>Euro Pratik - Pastelite Louvers - 918108 - Paintable</t>
        </is>
      </c>
      <c r="D49" s="23" t="inlineStr">
        <is>
          <t>Europratik</t>
        </is>
      </c>
      <c r="E49" s="43" t="n">
        <v>46126</v>
      </c>
      <c r="F49" s="26" t="inlineStr">
        <is>
          <t>Sunil CR</t>
        </is>
      </c>
      <c r="G49" s="26" t="inlineStr">
        <is>
          <t>No</t>
        </is>
      </c>
      <c r="H49" s="26" t="inlineStr">
        <is>
          <t>No</t>
        </is>
      </c>
      <c r="I49" s="26" t="inlineStr">
        <is>
          <t>Not Available</t>
        </is>
      </c>
      <c r="J49" s="26" t="inlineStr">
        <is>
          <t>No</t>
        </is>
      </c>
      <c r="K49" s="27" t="n"/>
      <c r="L49" s="28" t="inlineStr">
        <is>
          <t>Yes</t>
        </is>
      </c>
      <c r="M49" s="29">
        <f>IF(E49="","",IF(H49="Yes","❌ Disc",IF(G49="No","⚠ Missing",IF(J49="Yes","✓ OK","⚠ Check"))))</f>
        <v/>
      </c>
      <c r="N49" s="43" t="n">
        <v>46193</v>
      </c>
      <c r="O49" s="26" t="inlineStr">
        <is>
          <t>Sunil CR</t>
        </is>
      </c>
      <c r="P49" s="26" t="inlineStr">
        <is>
          <t>No</t>
        </is>
      </c>
      <c r="Q49" s="26" t="inlineStr">
        <is>
          <t>No</t>
        </is>
      </c>
      <c r="R49" s="26" t="inlineStr">
        <is>
          <t>Not Available</t>
        </is>
      </c>
      <c r="S49" s="26" t="inlineStr">
        <is>
          <t>No</t>
        </is>
      </c>
      <c r="T49" s="27" t="n"/>
      <c r="U49" s="28" t="inlineStr">
        <is>
          <t>Yes</t>
        </is>
      </c>
      <c r="V49" s="29">
        <f>IF(N49="","",IF(Q49="Yes","❌ Disc",IF(P49="No","⚠ Missing",IF(S49="Yes","✓ OK","⚠ Check"))))</f>
        <v/>
      </c>
      <c r="W49" s="65" t="n">
        <v>46248</v>
      </c>
      <c r="X49" s="30" t="inlineStr">
        <is>
          <t>Sunil CR</t>
        </is>
      </c>
      <c r="Y49" s="30" t="inlineStr">
        <is>
          <t>No</t>
        </is>
      </c>
      <c r="Z49" s="30" t="n"/>
      <c r="AA49" s="30" t="inlineStr">
        <is>
          <t>Not Available</t>
        </is>
      </c>
      <c r="AB49" s="30" t="inlineStr">
        <is>
          <t>No</t>
        </is>
      </c>
      <c r="AC49" s="27" t="n"/>
      <c r="AD49" s="31" t="inlineStr">
        <is>
          <t>Yes</t>
        </is>
      </c>
      <c r="AE49" s="32">
        <f>IF(W49="","",IF(Z49="Yes","❌ Disc",IF(Y49="No","⚠ Missing",IF(AB49="Yes","✓ OK","⚠ Check"))))</f>
        <v/>
      </c>
      <c r="AF49" s="33" t="n"/>
      <c r="AG49" s="33" t="n"/>
      <c r="AH49" s="33" t="n"/>
      <c r="AI49" s="33" t="n"/>
      <c r="AJ49" s="33" t="n"/>
      <c r="AK49" s="33" t="n"/>
      <c r="AL49" s="27" t="n"/>
      <c r="AM49" s="34" t="n"/>
      <c r="AN49" s="35">
        <f>IF(AF49="","",IF(AI49="Yes","❌ Disc",IF(AH49="No","⚠ Missing",IF(AK49="Yes","✓ OK","⚠ Check"))))</f>
        <v/>
      </c>
      <c r="AO49" s="36" t="n"/>
      <c r="AP49" s="36" t="n"/>
      <c r="AQ49" s="36" t="n"/>
      <c r="AR49" s="36" t="n"/>
      <c r="AS49" s="36" t="n"/>
      <c r="AT49" s="36" t="n"/>
      <c r="AU49" s="27" t="n"/>
      <c r="AV49" s="37" t="n"/>
      <c r="AW49" s="38">
        <f>IF(AO49="","",IF(AR49="Yes","❌ Disc",IF(AQ49="No","⚠ Missing",IF(AT49="Yes","✓ OK","⚠ Check"))))</f>
        <v/>
      </c>
    </row>
    <row r="50" ht="18" customHeight="1" s="46">
      <c r="A50" s="39" t="n">
        <v>46</v>
      </c>
      <c r="B50" s="40" t="inlineStr">
        <is>
          <t>BD-VRM-2025-0856</t>
        </is>
      </c>
      <c r="C50" s="41" t="inlineStr">
        <is>
          <t>Euro Pratik - Pastelite Louvers - 918110 - Textured</t>
        </is>
      </c>
      <c r="D50" s="39" t="inlineStr">
        <is>
          <t>Europratik</t>
        </is>
      </c>
      <c r="E50" s="43" t="n">
        <v>46126</v>
      </c>
      <c r="F50" s="26" t="inlineStr">
        <is>
          <t>Sunil CR</t>
        </is>
      </c>
      <c r="G50" s="26" t="inlineStr">
        <is>
          <t>No</t>
        </is>
      </c>
      <c r="H50" s="26" t="inlineStr">
        <is>
          <t>No</t>
        </is>
      </c>
      <c r="I50" s="26" t="inlineStr">
        <is>
          <t>Not Available</t>
        </is>
      </c>
      <c r="J50" s="26" t="inlineStr">
        <is>
          <t>No</t>
        </is>
      </c>
      <c r="K50" s="27" t="n"/>
      <c r="L50" s="28" t="inlineStr">
        <is>
          <t>Yes</t>
        </is>
      </c>
      <c r="M50" s="29">
        <f>IF(E50="","",IF(H50="Yes","❌ Disc",IF(G50="No","⚠ Missing",IF(J50="Yes","✓ OK","⚠ Check"))))</f>
        <v/>
      </c>
      <c r="N50" s="43" t="n">
        <v>46193</v>
      </c>
      <c r="O50" s="26" t="inlineStr">
        <is>
          <t>Sunil CR</t>
        </is>
      </c>
      <c r="P50" s="26" t="inlineStr">
        <is>
          <t>No</t>
        </is>
      </c>
      <c r="Q50" s="26" t="inlineStr">
        <is>
          <t>No</t>
        </is>
      </c>
      <c r="R50" s="26" t="inlineStr">
        <is>
          <t>Not Available</t>
        </is>
      </c>
      <c r="S50" s="26" t="inlineStr">
        <is>
          <t>No</t>
        </is>
      </c>
      <c r="T50" s="27" t="n"/>
      <c r="U50" s="28" t="inlineStr">
        <is>
          <t>Yes</t>
        </is>
      </c>
      <c r="V50" s="29">
        <f>IF(N50="","",IF(Q50="Yes","❌ Disc",IF(P50="No","⚠ Missing",IF(S50="Yes","✓ OK","⚠ Check"))))</f>
        <v/>
      </c>
      <c r="W50" s="65" t="n">
        <v>46248</v>
      </c>
      <c r="X50" s="30" t="inlineStr">
        <is>
          <t>Sunil CR</t>
        </is>
      </c>
      <c r="Y50" s="30" t="inlineStr">
        <is>
          <t>No</t>
        </is>
      </c>
      <c r="Z50" s="30" t="n"/>
      <c r="AA50" s="30" t="inlineStr">
        <is>
          <t>Not Available</t>
        </is>
      </c>
      <c r="AB50" s="30" t="inlineStr">
        <is>
          <t>No</t>
        </is>
      </c>
      <c r="AC50" s="27" t="n"/>
      <c r="AD50" s="31" t="inlineStr">
        <is>
          <t>Yes</t>
        </is>
      </c>
      <c r="AE50" s="32">
        <f>IF(W50="","",IF(Z50="Yes","❌ Disc",IF(Y50="No","⚠ Missing",IF(AB50="Yes","✓ OK","⚠ Check"))))</f>
        <v/>
      </c>
      <c r="AF50" s="33" t="n"/>
      <c r="AG50" s="33" t="n"/>
      <c r="AH50" s="33" t="n"/>
      <c r="AI50" s="33" t="n"/>
      <c r="AJ50" s="33" t="n"/>
      <c r="AK50" s="33" t="n"/>
      <c r="AL50" s="27" t="n"/>
      <c r="AM50" s="34" t="n"/>
      <c r="AN50" s="35">
        <f>IF(AF50="","",IF(AI50="Yes","❌ Disc",IF(AH50="No","⚠ Missing",IF(AK50="Yes","✓ OK","⚠ Check"))))</f>
        <v/>
      </c>
      <c r="AO50" s="36" t="n"/>
      <c r="AP50" s="36" t="n"/>
      <c r="AQ50" s="36" t="n"/>
      <c r="AR50" s="36" t="n"/>
      <c r="AS50" s="36" t="n"/>
      <c r="AT50" s="36" t="n"/>
      <c r="AU50" s="27" t="n"/>
      <c r="AV50" s="37" t="n"/>
      <c r="AW50" s="38">
        <f>IF(AO50="","",IF(AR50="Yes","❌ Disc",IF(AQ50="No","⚠ Missing",IF(AT50="Yes","✓ OK","⚠ Check"))))</f>
        <v/>
      </c>
    </row>
    <row r="51" ht="18" customHeight="1" s="46">
      <c r="A51" s="23" t="n">
        <v>47</v>
      </c>
      <c r="B51" s="24" t="inlineStr">
        <is>
          <t>BD-VRM-2025-0861</t>
        </is>
      </c>
      <c r="C51" s="25" t="inlineStr">
        <is>
          <t>Euro Pratik - Pastelite Louvers - 918114 - Paintable</t>
        </is>
      </c>
      <c r="D51" s="23" t="inlineStr">
        <is>
          <t>Europratik</t>
        </is>
      </c>
      <c r="E51" s="43" t="n">
        <v>46126</v>
      </c>
      <c r="F51" s="26" t="inlineStr">
        <is>
          <t>Sunil CR</t>
        </is>
      </c>
      <c r="G51" s="26" t="inlineStr">
        <is>
          <t>No</t>
        </is>
      </c>
      <c r="H51" s="26" t="inlineStr">
        <is>
          <t>No</t>
        </is>
      </c>
      <c r="I51" s="26" t="inlineStr">
        <is>
          <t>Not Available</t>
        </is>
      </c>
      <c r="J51" s="26" t="inlineStr">
        <is>
          <t>No</t>
        </is>
      </c>
      <c r="K51" s="27" t="n"/>
      <c r="L51" s="28" t="inlineStr">
        <is>
          <t>Yes</t>
        </is>
      </c>
      <c r="M51" s="29">
        <f>IF(E51="","",IF(H51="Yes","❌ Disc",IF(G51="No","⚠ Missing",IF(J51="Yes","✓ OK","⚠ Check"))))</f>
        <v/>
      </c>
      <c r="N51" s="43" t="n">
        <v>46193</v>
      </c>
      <c r="O51" s="26" t="inlineStr">
        <is>
          <t>Sunil CR</t>
        </is>
      </c>
      <c r="P51" s="26" t="inlineStr">
        <is>
          <t>No</t>
        </is>
      </c>
      <c r="Q51" s="26" t="inlineStr">
        <is>
          <t>No</t>
        </is>
      </c>
      <c r="R51" s="26" t="inlineStr">
        <is>
          <t>Not Available</t>
        </is>
      </c>
      <c r="S51" s="26" t="inlineStr">
        <is>
          <t>No</t>
        </is>
      </c>
      <c r="T51" s="27" t="n"/>
      <c r="U51" s="28" t="inlineStr">
        <is>
          <t>Yes</t>
        </is>
      </c>
      <c r="V51" s="29">
        <f>IF(N51="","",IF(Q51="Yes","❌ Disc",IF(P51="No","⚠ Missing",IF(S51="Yes","✓ OK","⚠ Check"))))</f>
        <v/>
      </c>
      <c r="W51" s="65" t="n">
        <v>46248</v>
      </c>
      <c r="X51" s="30" t="inlineStr">
        <is>
          <t>Sunil CR</t>
        </is>
      </c>
      <c r="Y51" s="30" t="inlineStr">
        <is>
          <t>No</t>
        </is>
      </c>
      <c r="Z51" s="30" t="n"/>
      <c r="AA51" s="30" t="inlineStr">
        <is>
          <t>Not Available</t>
        </is>
      </c>
      <c r="AB51" s="30" t="inlineStr">
        <is>
          <t>No</t>
        </is>
      </c>
      <c r="AC51" s="27" t="n"/>
      <c r="AD51" s="31" t="inlineStr">
        <is>
          <t>Yes</t>
        </is>
      </c>
      <c r="AE51" s="32">
        <f>IF(W51="","",IF(Z51="Yes","❌ Disc",IF(Y51="No","⚠ Missing",IF(AB51="Yes","✓ OK","⚠ Check"))))</f>
        <v/>
      </c>
      <c r="AF51" s="33" t="n"/>
      <c r="AG51" s="33" t="n"/>
      <c r="AH51" s="33" t="n"/>
      <c r="AI51" s="33" t="n"/>
      <c r="AJ51" s="33" t="n"/>
      <c r="AK51" s="33" t="n"/>
      <c r="AL51" s="27" t="n"/>
      <c r="AM51" s="34" t="n"/>
      <c r="AN51" s="35">
        <f>IF(AF51="","",IF(AI51="Yes","❌ Disc",IF(AH51="No","⚠ Missing",IF(AK51="Yes","✓ OK","⚠ Check"))))</f>
        <v/>
      </c>
      <c r="AO51" s="36" t="n"/>
      <c r="AP51" s="36" t="n"/>
      <c r="AQ51" s="36" t="n"/>
      <c r="AR51" s="36" t="n"/>
      <c r="AS51" s="36" t="n"/>
      <c r="AT51" s="36" t="n"/>
      <c r="AU51" s="27" t="n"/>
      <c r="AV51" s="37" t="n"/>
      <c r="AW51" s="38">
        <f>IF(AO51="","",IF(AR51="Yes","❌ Disc",IF(AQ51="No","⚠ Missing",IF(AT51="Yes","✓ OK","⚠ Check"))))</f>
        <v/>
      </c>
    </row>
    <row r="52" ht="18" customHeight="1" s="46">
      <c r="A52" s="39" t="n">
        <v>48</v>
      </c>
      <c r="B52" s="40" t="inlineStr">
        <is>
          <t>BD-VRM-2025-0872</t>
        </is>
      </c>
      <c r="C52" s="41" t="inlineStr">
        <is>
          <t>Euro Pratik - Pastelite Louvers - 919102 - Textured</t>
        </is>
      </c>
      <c r="D52" s="39" t="inlineStr">
        <is>
          <t>Europratik</t>
        </is>
      </c>
      <c r="E52" s="43" t="n">
        <v>46126</v>
      </c>
      <c r="F52" s="26" t="inlineStr">
        <is>
          <t>Sunil CR</t>
        </is>
      </c>
      <c r="G52" s="26" t="inlineStr">
        <is>
          <t>No</t>
        </is>
      </c>
      <c r="H52" s="26" t="inlineStr">
        <is>
          <t>No</t>
        </is>
      </c>
      <c r="I52" s="26" t="inlineStr">
        <is>
          <t>Not Available</t>
        </is>
      </c>
      <c r="J52" s="26" t="inlineStr">
        <is>
          <t>No</t>
        </is>
      </c>
      <c r="K52" s="27" t="n"/>
      <c r="L52" s="28" t="inlineStr">
        <is>
          <t>Yes</t>
        </is>
      </c>
      <c r="M52" s="29">
        <f>IF(E52="","",IF(H52="Yes","❌ Disc",IF(G52="No","⚠ Missing",IF(J52="Yes","✓ OK","⚠ Check"))))</f>
        <v/>
      </c>
      <c r="N52" s="43" t="n">
        <v>46193</v>
      </c>
      <c r="O52" s="26" t="inlineStr">
        <is>
          <t>Sunil CR</t>
        </is>
      </c>
      <c r="P52" s="26" t="inlineStr">
        <is>
          <t>No</t>
        </is>
      </c>
      <c r="Q52" s="26" t="inlineStr">
        <is>
          <t>No</t>
        </is>
      </c>
      <c r="R52" s="26" t="inlineStr">
        <is>
          <t>Not Available</t>
        </is>
      </c>
      <c r="S52" s="26" t="inlineStr">
        <is>
          <t>No</t>
        </is>
      </c>
      <c r="T52" s="27" t="n"/>
      <c r="U52" s="28" t="inlineStr">
        <is>
          <t>Yes</t>
        </is>
      </c>
      <c r="V52" s="29">
        <f>IF(N52="","",IF(Q52="Yes","❌ Disc",IF(P52="No","⚠ Missing",IF(S52="Yes","✓ OK","⚠ Check"))))</f>
        <v/>
      </c>
      <c r="W52" s="65" t="n">
        <v>46248</v>
      </c>
      <c r="X52" s="30" t="inlineStr">
        <is>
          <t>Sunil CR</t>
        </is>
      </c>
      <c r="Y52" s="30" t="inlineStr">
        <is>
          <t>No</t>
        </is>
      </c>
      <c r="Z52" s="30" t="n"/>
      <c r="AA52" s="30" t="inlineStr">
        <is>
          <t>Not Available</t>
        </is>
      </c>
      <c r="AB52" s="30" t="inlineStr">
        <is>
          <t>No</t>
        </is>
      </c>
      <c r="AC52" s="27" t="n"/>
      <c r="AD52" s="31" t="inlineStr">
        <is>
          <t>Yes</t>
        </is>
      </c>
      <c r="AE52" s="32">
        <f>IF(W52="","",IF(Z52="Yes","❌ Disc",IF(Y52="No","⚠ Missing",IF(AB52="Yes","✓ OK","⚠ Check"))))</f>
        <v/>
      </c>
      <c r="AF52" s="33" t="n"/>
      <c r="AG52" s="33" t="n"/>
      <c r="AH52" s="33" t="n"/>
      <c r="AI52" s="33" t="n"/>
      <c r="AJ52" s="33" t="n"/>
      <c r="AK52" s="33" t="n"/>
      <c r="AL52" s="27" t="n"/>
      <c r="AM52" s="34" t="n"/>
      <c r="AN52" s="35">
        <f>IF(AF52="","",IF(AI52="Yes","❌ Disc",IF(AH52="No","⚠ Missing",IF(AK52="Yes","✓ OK","⚠ Check"))))</f>
        <v/>
      </c>
      <c r="AO52" s="36" t="n"/>
      <c r="AP52" s="36" t="n"/>
      <c r="AQ52" s="36" t="n"/>
      <c r="AR52" s="36" t="n"/>
      <c r="AS52" s="36" t="n"/>
      <c r="AT52" s="36" t="n"/>
      <c r="AU52" s="27" t="n"/>
      <c r="AV52" s="37" t="n"/>
      <c r="AW52" s="38">
        <f>IF(AO52="","",IF(AR52="Yes","❌ Disc",IF(AQ52="No","⚠ Missing",IF(AT52="Yes","✓ OK","⚠ Check"))))</f>
        <v/>
      </c>
    </row>
    <row r="53" ht="18" customHeight="1" s="46">
      <c r="A53" s="23" t="n">
        <v>49</v>
      </c>
      <c r="B53" s="24" t="inlineStr">
        <is>
          <t>BD-VRM-2025-0874</t>
        </is>
      </c>
      <c r="C53" s="25" t="inlineStr">
        <is>
          <t>Euro Pratik - Pastelite Louvers - 919104 - Textured</t>
        </is>
      </c>
      <c r="D53" s="23" t="inlineStr">
        <is>
          <t>Europratik</t>
        </is>
      </c>
      <c r="E53" s="43" t="n">
        <v>46126</v>
      </c>
      <c r="F53" s="26" t="inlineStr">
        <is>
          <t>Sunil CR</t>
        </is>
      </c>
      <c r="G53" s="26" t="inlineStr">
        <is>
          <t>No</t>
        </is>
      </c>
      <c r="H53" s="26" t="inlineStr">
        <is>
          <t>No</t>
        </is>
      </c>
      <c r="I53" s="26" t="inlineStr">
        <is>
          <t>Not Available</t>
        </is>
      </c>
      <c r="J53" s="26" t="inlineStr">
        <is>
          <t>No</t>
        </is>
      </c>
      <c r="K53" s="27" t="n"/>
      <c r="L53" s="28" t="inlineStr">
        <is>
          <t>Yes</t>
        </is>
      </c>
      <c r="M53" s="29">
        <f>IF(E53="","",IF(H53="Yes","❌ Disc",IF(G53="No","⚠ Missing",IF(J53="Yes","✓ OK","⚠ Check"))))</f>
        <v/>
      </c>
      <c r="N53" s="43" t="n">
        <v>46193</v>
      </c>
      <c r="O53" s="26" t="inlineStr">
        <is>
          <t>Sunil CR</t>
        </is>
      </c>
      <c r="P53" s="26" t="inlineStr">
        <is>
          <t>No</t>
        </is>
      </c>
      <c r="Q53" s="26" t="inlineStr">
        <is>
          <t>No</t>
        </is>
      </c>
      <c r="R53" s="26" t="inlineStr">
        <is>
          <t>Not Available</t>
        </is>
      </c>
      <c r="S53" s="26" t="inlineStr">
        <is>
          <t>No</t>
        </is>
      </c>
      <c r="T53" s="27" t="n"/>
      <c r="U53" s="28" t="inlineStr">
        <is>
          <t>Yes</t>
        </is>
      </c>
      <c r="V53" s="29">
        <f>IF(N53="","",IF(Q53="Yes","❌ Disc",IF(P53="No","⚠ Missing",IF(S53="Yes","✓ OK","⚠ Check"))))</f>
        <v/>
      </c>
      <c r="W53" s="65" t="n">
        <v>46248</v>
      </c>
      <c r="X53" s="30" t="inlineStr">
        <is>
          <t>Sunil CR</t>
        </is>
      </c>
      <c r="Y53" s="30" t="inlineStr">
        <is>
          <t>No</t>
        </is>
      </c>
      <c r="Z53" s="30" t="n"/>
      <c r="AA53" s="30" t="inlineStr">
        <is>
          <t>Not Available</t>
        </is>
      </c>
      <c r="AB53" s="30" t="inlineStr">
        <is>
          <t>No</t>
        </is>
      </c>
      <c r="AC53" s="27" t="n"/>
      <c r="AD53" s="31" t="inlineStr">
        <is>
          <t>Yes</t>
        </is>
      </c>
      <c r="AE53" s="32">
        <f>IF(W53="","",IF(Z53="Yes","❌ Disc",IF(Y53="No","⚠ Missing",IF(AB53="Yes","✓ OK","⚠ Check"))))</f>
        <v/>
      </c>
      <c r="AF53" s="33" t="n"/>
      <c r="AG53" s="33" t="n"/>
      <c r="AH53" s="33" t="n"/>
      <c r="AI53" s="33" t="n"/>
      <c r="AJ53" s="33" t="n"/>
      <c r="AK53" s="33" t="n"/>
      <c r="AL53" s="27" t="n"/>
      <c r="AM53" s="34" t="n"/>
      <c r="AN53" s="35">
        <f>IF(AF53="","",IF(AI53="Yes","❌ Disc",IF(AH53="No","⚠ Missing",IF(AK53="Yes","✓ OK","⚠ Check"))))</f>
        <v/>
      </c>
      <c r="AO53" s="36" t="n"/>
      <c r="AP53" s="36" t="n"/>
      <c r="AQ53" s="36" t="n"/>
      <c r="AR53" s="36" t="n"/>
      <c r="AS53" s="36" t="n"/>
      <c r="AT53" s="36" t="n"/>
      <c r="AU53" s="27" t="n"/>
      <c r="AV53" s="37" t="n"/>
      <c r="AW53" s="38">
        <f>IF(AO53="","",IF(AR53="Yes","❌ Disc",IF(AQ53="No","⚠ Missing",IF(AT53="Yes","✓ OK","⚠ Check"))))</f>
        <v/>
      </c>
    </row>
    <row r="54" ht="18" customHeight="1" s="46">
      <c r="A54" s="39" t="n">
        <v>50</v>
      </c>
      <c r="B54" s="40" t="inlineStr">
        <is>
          <t>BD-VRM-2024-3166</t>
        </is>
      </c>
      <c r="C54" s="41" t="inlineStr">
        <is>
          <t>Flava Louvers - Luxury - TL CL 4206 9.5ft X 8 inch</t>
        </is>
      </c>
      <c r="D54" s="39" t="inlineStr">
        <is>
          <t>Flava</t>
        </is>
      </c>
      <c r="E54" s="43" t="n">
        <v>46126</v>
      </c>
      <c r="F54" s="26" t="inlineStr">
        <is>
          <t>Sunil CR</t>
        </is>
      </c>
      <c r="G54" s="26" t="inlineStr">
        <is>
          <t>Yes</t>
        </is>
      </c>
      <c r="H54" s="26" t="inlineStr">
        <is>
          <t>No</t>
        </is>
      </c>
      <c r="I54" s="26" t="inlineStr">
        <is>
          <t>Good finish</t>
        </is>
      </c>
      <c r="J54" s="26" t="inlineStr">
        <is>
          <t>Yes</t>
        </is>
      </c>
      <c r="K54" s="27" t="n"/>
      <c r="L54" s="28" t="inlineStr">
        <is>
          <t>No</t>
        </is>
      </c>
      <c r="M54" s="29">
        <f>IF(E54="","",IF(H54="Yes","❌ Disc",IF(G54="No","⚠ Missing",IF(J54="Yes","✓ OK","⚠ Check"))))</f>
        <v/>
      </c>
      <c r="N54" s="43" t="n">
        <v>46193</v>
      </c>
      <c r="O54" s="26" t="inlineStr">
        <is>
          <t>Sunil CR</t>
        </is>
      </c>
      <c r="P54" s="26" t="inlineStr">
        <is>
          <t>Yes</t>
        </is>
      </c>
      <c r="Q54" s="26" t="inlineStr">
        <is>
          <t>No</t>
        </is>
      </c>
      <c r="R54" s="26" t="inlineStr">
        <is>
          <t>Good finish</t>
        </is>
      </c>
      <c r="S54" s="26" t="inlineStr">
        <is>
          <t>Yes</t>
        </is>
      </c>
      <c r="T54" s="27" t="n"/>
      <c r="U54" s="28" t="inlineStr">
        <is>
          <t>No</t>
        </is>
      </c>
      <c r="V54" s="29">
        <f>IF(N54="","",IF(Q54="Yes","❌ Disc",IF(P54="No","⚠ Missing",IF(S54="Yes","✓ OK","⚠ Check"))))</f>
        <v/>
      </c>
      <c r="W54" s="65" t="n">
        <v>46248</v>
      </c>
      <c r="X54" s="30" t="inlineStr">
        <is>
          <t>Sunil CR</t>
        </is>
      </c>
      <c r="Y54" s="30" t="inlineStr">
        <is>
          <t>Yes</t>
        </is>
      </c>
      <c r="Z54" s="30" t="n"/>
      <c r="AA54" s="30" t="inlineStr">
        <is>
          <t>Good finish</t>
        </is>
      </c>
      <c r="AB54" s="30" t="inlineStr">
        <is>
          <t>Yes</t>
        </is>
      </c>
      <c r="AC54" s="27" t="n"/>
      <c r="AD54" s="31" t="inlineStr">
        <is>
          <t>No</t>
        </is>
      </c>
      <c r="AE54" s="32">
        <f>IF(W54="","",IF(Z54="Yes","❌ Disc",IF(Y54="No","⚠ Missing",IF(AB54="Yes","✓ OK","⚠ Check"))))</f>
        <v/>
      </c>
      <c r="AF54" s="33" t="n"/>
      <c r="AG54" s="33" t="n"/>
      <c r="AH54" s="33" t="n"/>
      <c r="AI54" s="33" t="n"/>
      <c r="AJ54" s="33" t="n"/>
      <c r="AK54" s="33" t="n"/>
      <c r="AL54" s="27" t="n"/>
      <c r="AM54" s="34" t="n"/>
      <c r="AN54" s="35">
        <f>IF(AF54="","",IF(AI54="Yes","❌ Disc",IF(AH54="No","⚠ Missing",IF(AK54="Yes","✓ OK","⚠ Check"))))</f>
        <v/>
      </c>
      <c r="AO54" s="36" t="n"/>
      <c r="AP54" s="36" t="n"/>
      <c r="AQ54" s="36" t="n"/>
      <c r="AR54" s="36" t="n"/>
      <c r="AS54" s="36" t="n"/>
      <c r="AT54" s="36" t="n"/>
      <c r="AU54" s="27" t="n"/>
      <c r="AV54" s="37" t="n"/>
      <c r="AW54" s="38">
        <f>IF(AO54="","",IF(AR54="Yes","❌ Disc",IF(AQ54="No","⚠ Missing",IF(AT54="Yes","✓ OK","⚠ Check"))))</f>
        <v/>
      </c>
    </row>
    <row r="55" ht="18" customHeight="1" s="46">
      <c r="A55" s="23" t="n">
        <v>51</v>
      </c>
      <c r="B55" s="24" t="inlineStr">
        <is>
          <t>BD-VRM-2024-3165</t>
        </is>
      </c>
      <c r="C55" s="25" t="inlineStr">
        <is>
          <t>Flava Louvers - Luxury - TL CL 4208 9.5ft X 8 inch</t>
        </is>
      </c>
      <c r="D55" s="23" t="inlineStr">
        <is>
          <t>Flava</t>
        </is>
      </c>
      <c r="E55" s="43" t="n">
        <v>46126</v>
      </c>
      <c r="F55" s="26" t="inlineStr">
        <is>
          <t>Sunil CR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Good finish</t>
        </is>
      </c>
      <c r="J55" s="26" t="inlineStr">
        <is>
          <t>Yes</t>
        </is>
      </c>
      <c r="K55" s="27" t="n"/>
      <c r="L55" s="28" t="inlineStr">
        <is>
          <t>No</t>
        </is>
      </c>
      <c r="M55" s="29">
        <f>IF(E55="","",IF(H55="Yes","❌ Disc",IF(G55="No","⚠ Missing",IF(J55="Yes","✓ OK","⚠ Check"))))</f>
        <v/>
      </c>
      <c r="N55" s="43" t="n">
        <v>46193</v>
      </c>
      <c r="O55" s="26" t="inlineStr">
        <is>
          <t>Sunil CR</t>
        </is>
      </c>
      <c r="P55" s="26" t="inlineStr">
        <is>
          <t>Yes</t>
        </is>
      </c>
      <c r="Q55" s="26" t="inlineStr">
        <is>
          <t>No</t>
        </is>
      </c>
      <c r="R55" s="26" t="inlineStr">
        <is>
          <t>Good finish</t>
        </is>
      </c>
      <c r="S55" s="26" t="inlineStr">
        <is>
          <t>Yes</t>
        </is>
      </c>
      <c r="T55" s="27" t="n"/>
      <c r="U55" s="28" t="inlineStr">
        <is>
          <t>No</t>
        </is>
      </c>
      <c r="V55" s="29">
        <f>IF(N55="","",IF(Q55="Yes","❌ Disc",IF(P55="No","⚠ Missing",IF(S55="Yes","✓ OK","⚠ Check"))))</f>
        <v/>
      </c>
      <c r="W55" s="65" t="n">
        <v>46248</v>
      </c>
      <c r="X55" s="30" t="inlineStr">
        <is>
          <t>Sunil CR</t>
        </is>
      </c>
      <c r="Y55" s="30" t="inlineStr">
        <is>
          <t>Yes</t>
        </is>
      </c>
      <c r="Z55" s="30" t="n"/>
      <c r="AA55" s="30" t="inlineStr">
        <is>
          <t>Good finish</t>
        </is>
      </c>
      <c r="AB55" s="30" t="inlineStr">
        <is>
          <t>Yes</t>
        </is>
      </c>
      <c r="AC55" s="27" t="n"/>
      <c r="AD55" s="31" t="inlineStr">
        <is>
          <t>No</t>
        </is>
      </c>
      <c r="AE55" s="32">
        <f>IF(W55="","",IF(Z55="Yes","❌ Disc",IF(Y55="No","⚠ Missing",IF(AB55="Yes","✓ OK","⚠ Check"))))</f>
        <v/>
      </c>
      <c r="AF55" s="33" t="n"/>
      <c r="AG55" s="33" t="n"/>
      <c r="AH55" s="33" t="n"/>
      <c r="AI55" s="33" t="n"/>
      <c r="AJ55" s="33" t="n"/>
      <c r="AK55" s="33" t="n"/>
      <c r="AL55" s="27" t="n"/>
      <c r="AM55" s="34" t="n"/>
      <c r="AN55" s="35">
        <f>IF(AF55="","",IF(AI55="Yes","❌ Disc",IF(AH55="No","⚠ Missing",IF(AK55="Yes","✓ OK","⚠ Check"))))</f>
        <v/>
      </c>
      <c r="AO55" s="36" t="n"/>
      <c r="AP55" s="36" t="n"/>
      <c r="AQ55" s="36" t="n"/>
      <c r="AR55" s="36" t="n"/>
      <c r="AS55" s="36" t="n"/>
      <c r="AT55" s="36" t="n"/>
      <c r="AU55" s="27" t="n"/>
      <c r="AV55" s="37" t="n"/>
      <c r="AW55" s="38">
        <f>IF(AO55="","",IF(AR55="Yes","❌ Disc",IF(AQ55="No","⚠ Missing",IF(AT55="Yes","✓ OK","⚠ Check"))))</f>
        <v/>
      </c>
    </row>
    <row r="56" ht="18" customHeight="1" s="46">
      <c r="A56" s="39" t="n">
        <v>52</v>
      </c>
      <c r="B56" s="40" t="inlineStr">
        <is>
          <t>BD-VRM-2024-3163</t>
        </is>
      </c>
      <c r="C56" s="41" t="inlineStr">
        <is>
          <t>Flava Louvers - Luxury - TL CL 4211 9.5ft X 8 inch</t>
        </is>
      </c>
      <c r="D56" s="39" t="inlineStr">
        <is>
          <t>Flava</t>
        </is>
      </c>
      <c r="E56" s="43" t="n">
        <v>46126</v>
      </c>
      <c r="F56" s="26" t="inlineStr">
        <is>
          <t>Sunil CR</t>
        </is>
      </c>
      <c r="G56" s="26" t="inlineStr">
        <is>
          <t>No</t>
        </is>
      </c>
      <c r="H56" s="26" t="inlineStr">
        <is>
          <t>No</t>
        </is>
      </c>
      <c r="I56" s="26" t="inlineStr">
        <is>
          <t>Not Available</t>
        </is>
      </c>
      <c r="J56" s="26" t="inlineStr">
        <is>
          <t>No</t>
        </is>
      </c>
      <c r="K56" s="27" t="n"/>
      <c r="L56" s="28" t="inlineStr">
        <is>
          <t>Yes</t>
        </is>
      </c>
      <c r="M56" s="29">
        <f>IF(E56="","",IF(H56="Yes","❌ Disc",IF(G56="No","⚠ Missing",IF(J56="Yes","✓ OK","⚠ Check"))))</f>
        <v/>
      </c>
      <c r="N56" s="43" t="n">
        <v>46193</v>
      </c>
      <c r="O56" s="26" t="inlineStr">
        <is>
          <t>Sunil CR</t>
        </is>
      </c>
      <c r="P56" s="26" t="inlineStr">
        <is>
          <t>No</t>
        </is>
      </c>
      <c r="Q56" s="26" t="inlineStr">
        <is>
          <t>No</t>
        </is>
      </c>
      <c r="R56" s="26" t="inlineStr">
        <is>
          <t>Not Available</t>
        </is>
      </c>
      <c r="S56" s="26" t="inlineStr">
        <is>
          <t>No</t>
        </is>
      </c>
      <c r="T56" s="27" t="n"/>
      <c r="U56" s="28" t="inlineStr">
        <is>
          <t>Yes</t>
        </is>
      </c>
      <c r="V56" s="29">
        <f>IF(N56="","",IF(Q56="Yes","❌ Disc",IF(P56="No","⚠ Missing",IF(S56="Yes","✓ OK","⚠ Check"))))</f>
        <v/>
      </c>
      <c r="W56" s="65" t="n">
        <v>46248</v>
      </c>
      <c r="X56" s="30" t="inlineStr">
        <is>
          <t>Sunil CR</t>
        </is>
      </c>
      <c r="Y56" s="30" t="inlineStr">
        <is>
          <t>No</t>
        </is>
      </c>
      <c r="Z56" s="30" t="n"/>
      <c r="AA56" s="30" t="inlineStr">
        <is>
          <t>Not Available</t>
        </is>
      </c>
      <c r="AB56" s="30" t="inlineStr">
        <is>
          <t>No</t>
        </is>
      </c>
      <c r="AC56" s="27" t="n"/>
      <c r="AD56" s="31" t="inlineStr">
        <is>
          <t>Yes</t>
        </is>
      </c>
      <c r="AE56" s="32">
        <f>IF(W56="","",IF(Z56="Yes","❌ Disc",IF(Y56="No","⚠ Missing",IF(AB56="Yes","✓ OK","⚠ Check"))))</f>
        <v/>
      </c>
      <c r="AF56" s="33" t="n"/>
      <c r="AG56" s="33" t="n"/>
      <c r="AH56" s="33" t="n"/>
      <c r="AI56" s="33" t="n"/>
      <c r="AJ56" s="33" t="n"/>
      <c r="AK56" s="33" t="n"/>
      <c r="AL56" s="27" t="n"/>
      <c r="AM56" s="34" t="n"/>
      <c r="AN56" s="35">
        <f>IF(AF56="","",IF(AI56="Yes","❌ Disc",IF(AH56="No","⚠ Missing",IF(AK56="Yes","✓ OK","⚠ Check"))))</f>
        <v/>
      </c>
      <c r="AO56" s="36" t="n"/>
      <c r="AP56" s="36" t="n"/>
      <c r="AQ56" s="36" t="n"/>
      <c r="AR56" s="36" t="n"/>
      <c r="AS56" s="36" t="n"/>
      <c r="AT56" s="36" t="n"/>
      <c r="AU56" s="27" t="n"/>
      <c r="AV56" s="37" t="n"/>
      <c r="AW56" s="38">
        <f>IF(AO56="","",IF(AR56="Yes","❌ Disc",IF(AQ56="No","⚠ Missing",IF(AT56="Yes","✓ OK","⚠ Check"))))</f>
        <v/>
      </c>
    </row>
    <row r="57" ht="18" customHeight="1" s="46">
      <c r="A57" s="23" t="n">
        <v>53</v>
      </c>
      <c r="B57" s="24" t="inlineStr">
        <is>
          <t>BD-VRM-2024-3162</t>
        </is>
      </c>
      <c r="C57" s="25" t="inlineStr">
        <is>
          <t>Flava Louvers - Luxury - TL CL 4212 9.5ft X 8 inch</t>
        </is>
      </c>
      <c r="D57" s="23" t="inlineStr">
        <is>
          <t>Flava</t>
        </is>
      </c>
      <c r="E57" s="43" t="n">
        <v>46126</v>
      </c>
      <c r="F57" s="26" t="inlineStr">
        <is>
          <t>Sunil CR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Good finish</t>
        </is>
      </c>
      <c r="J57" s="26" t="inlineStr">
        <is>
          <t>Yes</t>
        </is>
      </c>
      <c r="K57" s="27" t="n"/>
      <c r="L57" s="28" t="inlineStr">
        <is>
          <t>No</t>
        </is>
      </c>
      <c r="M57" s="29">
        <f>IF(E57="","",IF(H57="Yes","❌ Disc",IF(G57="No","⚠ Missing",IF(J57="Yes","✓ OK","⚠ Check"))))</f>
        <v/>
      </c>
      <c r="N57" s="43" t="n">
        <v>46193</v>
      </c>
      <c r="O57" s="26" t="inlineStr">
        <is>
          <t>Sunil CR</t>
        </is>
      </c>
      <c r="P57" s="26" t="inlineStr">
        <is>
          <t>Yes</t>
        </is>
      </c>
      <c r="Q57" s="26" t="inlineStr">
        <is>
          <t>No</t>
        </is>
      </c>
      <c r="R57" s="26" t="inlineStr">
        <is>
          <t>Good finish</t>
        </is>
      </c>
      <c r="S57" s="26" t="inlineStr">
        <is>
          <t>Yes</t>
        </is>
      </c>
      <c r="T57" s="27" t="n"/>
      <c r="U57" s="28" t="inlineStr">
        <is>
          <t>No</t>
        </is>
      </c>
      <c r="V57" s="29">
        <f>IF(N57="","",IF(Q57="Yes","❌ Disc",IF(P57="No","⚠ Missing",IF(S57="Yes","✓ OK","⚠ Check"))))</f>
        <v/>
      </c>
      <c r="W57" s="65" t="n">
        <v>46248</v>
      </c>
      <c r="X57" s="30" t="inlineStr">
        <is>
          <t>Sunil CR</t>
        </is>
      </c>
      <c r="Y57" s="30" t="inlineStr">
        <is>
          <t>Yes</t>
        </is>
      </c>
      <c r="Z57" s="30" t="n"/>
      <c r="AA57" s="30" t="inlineStr">
        <is>
          <t>Good finish</t>
        </is>
      </c>
      <c r="AB57" s="30" t="inlineStr">
        <is>
          <t>Yes</t>
        </is>
      </c>
      <c r="AC57" s="27" t="n"/>
      <c r="AD57" s="31" t="inlineStr">
        <is>
          <t>No</t>
        </is>
      </c>
      <c r="AE57" s="32">
        <f>IF(W57="","",IF(Z57="Yes","❌ Disc",IF(Y57="No","⚠ Missing",IF(AB57="Yes","✓ OK","⚠ Check"))))</f>
        <v/>
      </c>
      <c r="AF57" s="33" t="n"/>
      <c r="AG57" s="33" t="n"/>
      <c r="AH57" s="33" t="n"/>
      <c r="AI57" s="33" t="n"/>
      <c r="AJ57" s="33" t="n"/>
      <c r="AK57" s="33" t="n"/>
      <c r="AL57" s="27" t="n"/>
      <c r="AM57" s="34" t="n"/>
      <c r="AN57" s="35">
        <f>IF(AF57="","",IF(AI57="Yes","❌ Disc",IF(AH57="No","⚠ Missing",IF(AK57="Yes","✓ OK","⚠ Check"))))</f>
        <v/>
      </c>
      <c r="AO57" s="36" t="n"/>
      <c r="AP57" s="36" t="n"/>
      <c r="AQ57" s="36" t="n"/>
      <c r="AR57" s="36" t="n"/>
      <c r="AS57" s="36" t="n"/>
      <c r="AT57" s="36" t="n"/>
      <c r="AU57" s="27" t="n"/>
      <c r="AV57" s="37" t="n"/>
      <c r="AW57" s="38">
        <f>IF(AO57="","",IF(AR57="Yes","❌ Disc",IF(AQ57="No","⚠ Missing",IF(AT57="Yes","✓ OK","⚠ Check"))))</f>
        <v/>
      </c>
    </row>
    <row r="58" ht="18" customHeight="1" s="46">
      <c r="A58" s="39" t="n">
        <v>54</v>
      </c>
      <c r="B58" s="40" t="inlineStr">
        <is>
          <t>BD-VRM-2024-3161</t>
        </is>
      </c>
      <c r="C58" s="41" t="inlineStr">
        <is>
          <t>Flava Louvers - Luxury - TL CL 4213 9.5ft X 8 inch</t>
        </is>
      </c>
      <c r="D58" s="39" t="inlineStr">
        <is>
          <t>Flava</t>
        </is>
      </c>
      <c r="E58" s="43" t="n">
        <v>46126</v>
      </c>
      <c r="F58" s="26" t="inlineStr">
        <is>
          <t>Sunil CR</t>
        </is>
      </c>
      <c r="G58" s="26" t="inlineStr">
        <is>
          <t>Yes</t>
        </is>
      </c>
      <c r="H58" s="26" t="inlineStr">
        <is>
          <t>No</t>
        </is>
      </c>
      <c r="I58" s="26" t="inlineStr">
        <is>
          <t>Good finish</t>
        </is>
      </c>
      <c r="J58" s="26" t="inlineStr">
        <is>
          <t>Yes</t>
        </is>
      </c>
      <c r="K58" s="27" t="n"/>
      <c r="L58" s="28" t="inlineStr">
        <is>
          <t>No</t>
        </is>
      </c>
      <c r="M58" s="29">
        <f>IF(E58="","",IF(H58="Yes","❌ Disc",IF(G58="No","⚠ Missing",IF(J58="Yes","✓ OK","⚠ Check"))))</f>
        <v/>
      </c>
      <c r="N58" s="43" t="n">
        <v>46193</v>
      </c>
      <c r="O58" s="26" t="inlineStr">
        <is>
          <t>Sunil CR</t>
        </is>
      </c>
      <c r="P58" s="26" t="inlineStr">
        <is>
          <t>Yes</t>
        </is>
      </c>
      <c r="Q58" s="26" t="inlineStr">
        <is>
          <t>No</t>
        </is>
      </c>
      <c r="R58" s="26" t="inlineStr">
        <is>
          <t>Good finish</t>
        </is>
      </c>
      <c r="S58" s="26" t="inlineStr">
        <is>
          <t>Yes</t>
        </is>
      </c>
      <c r="T58" s="27" t="n"/>
      <c r="U58" s="28" t="inlineStr">
        <is>
          <t>No</t>
        </is>
      </c>
      <c r="V58" s="29">
        <f>IF(N58="","",IF(Q58="Yes","❌ Disc",IF(P58="No","⚠ Missing",IF(S58="Yes","✓ OK","⚠ Check"))))</f>
        <v/>
      </c>
      <c r="W58" s="65" t="n">
        <v>46248</v>
      </c>
      <c r="X58" s="30" t="inlineStr">
        <is>
          <t>Sunil CR</t>
        </is>
      </c>
      <c r="Y58" s="30" t="inlineStr">
        <is>
          <t>Yes</t>
        </is>
      </c>
      <c r="Z58" s="30" t="n"/>
      <c r="AA58" s="30" t="inlineStr">
        <is>
          <t>Good finish</t>
        </is>
      </c>
      <c r="AB58" s="30" t="inlineStr">
        <is>
          <t>Yes</t>
        </is>
      </c>
      <c r="AC58" s="27" t="n"/>
      <c r="AD58" s="31" t="inlineStr">
        <is>
          <t>No</t>
        </is>
      </c>
      <c r="AE58" s="32">
        <f>IF(W58="","",IF(Z58="Yes","❌ Disc",IF(Y58="No","⚠ Missing",IF(AB58="Yes","✓ OK","⚠ Check"))))</f>
        <v/>
      </c>
      <c r="AF58" s="33" t="n"/>
      <c r="AG58" s="33" t="n"/>
      <c r="AH58" s="33" t="n"/>
      <c r="AI58" s="33" t="n"/>
      <c r="AJ58" s="33" t="n"/>
      <c r="AK58" s="33" t="n"/>
      <c r="AL58" s="27" t="n"/>
      <c r="AM58" s="34" t="n"/>
      <c r="AN58" s="35">
        <f>IF(AF58="","",IF(AI58="Yes","❌ Disc",IF(AH58="No","⚠ Missing",IF(AK58="Yes","✓ OK","⚠ Check"))))</f>
        <v/>
      </c>
      <c r="AO58" s="36" t="n"/>
      <c r="AP58" s="36" t="n"/>
      <c r="AQ58" s="36" t="n"/>
      <c r="AR58" s="36" t="n"/>
      <c r="AS58" s="36" t="n"/>
      <c r="AT58" s="36" t="n"/>
      <c r="AU58" s="27" t="n"/>
      <c r="AV58" s="37" t="n"/>
      <c r="AW58" s="38">
        <f>IF(AO58="","",IF(AR58="Yes","❌ Disc",IF(AQ58="No","⚠ Missing",IF(AT58="Yes","✓ OK","⚠ Check"))))</f>
        <v/>
      </c>
    </row>
    <row r="59" ht="18" customHeight="1" s="46">
      <c r="A59" s="23" t="n">
        <v>55</v>
      </c>
      <c r="B59" s="24" t="inlineStr">
        <is>
          <t>BD-VRM-2024-3159</t>
        </is>
      </c>
      <c r="C59" s="25" t="inlineStr">
        <is>
          <t>Flava Louvers - Luxury - TL CL 4215  9.5ft X 8 inch</t>
        </is>
      </c>
      <c r="D59" s="23" t="inlineStr">
        <is>
          <t>Flava</t>
        </is>
      </c>
      <c r="E59" s="43" t="n">
        <v>46126</v>
      </c>
      <c r="F59" s="26" t="inlineStr">
        <is>
          <t>Sunil CR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Good finish</t>
        </is>
      </c>
      <c r="J59" s="26" t="inlineStr">
        <is>
          <t>Yes</t>
        </is>
      </c>
      <c r="K59" s="27" t="n"/>
      <c r="L59" s="28" t="inlineStr">
        <is>
          <t>No</t>
        </is>
      </c>
      <c r="M59" s="29">
        <f>IF(E59="","",IF(H59="Yes","❌ Disc",IF(G59="No","⚠ Missing",IF(J59="Yes","✓ OK","⚠ Check"))))</f>
        <v/>
      </c>
      <c r="N59" s="43" t="n">
        <v>46193</v>
      </c>
      <c r="O59" s="26" t="inlineStr">
        <is>
          <t>Sunil CR</t>
        </is>
      </c>
      <c r="P59" s="26" t="inlineStr">
        <is>
          <t>Yes</t>
        </is>
      </c>
      <c r="Q59" s="26" t="inlineStr">
        <is>
          <t>No</t>
        </is>
      </c>
      <c r="R59" s="26" t="inlineStr">
        <is>
          <t>Good finish</t>
        </is>
      </c>
      <c r="S59" s="26" t="inlineStr">
        <is>
          <t>Yes</t>
        </is>
      </c>
      <c r="T59" s="27" t="n"/>
      <c r="U59" s="28" t="inlineStr">
        <is>
          <t>No</t>
        </is>
      </c>
      <c r="V59" s="29">
        <f>IF(N59="","",IF(Q59="Yes","❌ Disc",IF(P59="No","⚠ Missing",IF(S59="Yes","✓ OK","⚠ Check"))))</f>
        <v/>
      </c>
      <c r="W59" s="65" t="n">
        <v>46248</v>
      </c>
      <c r="X59" s="30" t="inlineStr">
        <is>
          <t>Sunil CR</t>
        </is>
      </c>
      <c r="Y59" s="30" t="inlineStr">
        <is>
          <t>Yes</t>
        </is>
      </c>
      <c r="Z59" s="30" t="n"/>
      <c r="AA59" s="30" t="inlineStr">
        <is>
          <t>Good finish</t>
        </is>
      </c>
      <c r="AB59" s="30" t="inlineStr">
        <is>
          <t>Yes</t>
        </is>
      </c>
      <c r="AC59" s="27" t="n"/>
      <c r="AD59" s="31" t="inlineStr">
        <is>
          <t>No</t>
        </is>
      </c>
      <c r="AE59" s="32">
        <f>IF(W59="","",IF(Z59="Yes","❌ Disc",IF(Y59="No","⚠ Missing",IF(AB59="Yes","✓ OK","⚠ Check"))))</f>
        <v/>
      </c>
      <c r="AF59" s="33" t="n"/>
      <c r="AG59" s="33" t="n"/>
      <c r="AH59" s="33" t="n"/>
      <c r="AI59" s="33" t="n"/>
      <c r="AJ59" s="33" t="n"/>
      <c r="AK59" s="33" t="n"/>
      <c r="AL59" s="27" t="n"/>
      <c r="AM59" s="34" t="n"/>
      <c r="AN59" s="35">
        <f>IF(AF59="","",IF(AI59="Yes","❌ Disc",IF(AH59="No","⚠ Missing",IF(AK59="Yes","✓ OK","⚠ Check"))))</f>
        <v/>
      </c>
      <c r="AO59" s="36" t="n"/>
      <c r="AP59" s="36" t="n"/>
      <c r="AQ59" s="36" t="n"/>
      <c r="AR59" s="36" t="n"/>
      <c r="AS59" s="36" t="n"/>
      <c r="AT59" s="36" t="n"/>
      <c r="AU59" s="27" t="n"/>
      <c r="AV59" s="37" t="n"/>
      <c r="AW59" s="38">
        <f>IF(AO59="","",IF(AR59="Yes","❌ Disc",IF(AQ59="No","⚠ Missing",IF(AT59="Yes","✓ OK","⚠ Check"))))</f>
        <v/>
      </c>
    </row>
    <row r="60" ht="18" customHeight="1" s="46">
      <c r="A60" s="39" t="n">
        <v>56</v>
      </c>
      <c r="B60" s="40" t="inlineStr">
        <is>
          <t>BD-VRM-2024-3158</t>
        </is>
      </c>
      <c r="C60" s="41" t="inlineStr">
        <is>
          <t>Flava Louvers - Luxury - TL CL 4216 9.5ft X 8 inch</t>
        </is>
      </c>
      <c r="D60" s="39" t="inlineStr">
        <is>
          <t>Flava</t>
        </is>
      </c>
      <c r="E60" s="43" t="n">
        <v>46126</v>
      </c>
      <c r="F60" s="26" t="inlineStr">
        <is>
          <t>Sunil CR</t>
        </is>
      </c>
      <c r="G60" s="26" t="inlineStr">
        <is>
          <t>Yes</t>
        </is>
      </c>
      <c r="H60" s="26" t="inlineStr">
        <is>
          <t>No</t>
        </is>
      </c>
      <c r="I60" s="26" t="inlineStr">
        <is>
          <t>Good finish</t>
        </is>
      </c>
      <c r="J60" s="26" t="inlineStr">
        <is>
          <t>Yes</t>
        </is>
      </c>
      <c r="K60" s="27" t="n"/>
      <c r="L60" s="28" t="inlineStr">
        <is>
          <t>No</t>
        </is>
      </c>
      <c r="M60" s="29">
        <f>IF(E60="","",IF(H60="Yes","❌ Disc",IF(G60="No","⚠ Missing",IF(J60="Yes","✓ OK","⚠ Check"))))</f>
        <v/>
      </c>
      <c r="N60" s="43" t="n">
        <v>46193</v>
      </c>
      <c r="O60" s="26" t="inlineStr">
        <is>
          <t>Sunil CR</t>
        </is>
      </c>
      <c r="P60" s="26" t="inlineStr">
        <is>
          <t>No</t>
        </is>
      </c>
      <c r="Q60" s="26" t="inlineStr">
        <is>
          <t>Yes</t>
        </is>
      </c>
      <c r="R60" s="26" t="inlineStr">
        <is>
          <t>Discontinued</t>
        </is>
      </c>
      <c r="S60" s="26" t="inlineStr">
        <is>
          <t>No</t>
        </is>
      </c>
      <c r="T60" s="27" t="n"/>
      <c r="U60" s="28" t="inlineStr">
        <is>
          <t>No</t>
        </is>
      </c>
      <c r="V60" s="29">
        <f>IF(N60="","",IF(Q60="Yes","❌ Disc",IF(P60="No","⚠ Missing",IF(S60="Yes","✓ OK","⚠ Check"))))</f>
        <v/>
      </c>
      <c r="W60" s="65" t="n">
        <v>46248</v>
      </c>
      <c r="X60" s="30" t="inlineStr">
        <is>
          <t>Sunil CR</t>
        </is>
      </c>
      <c r="Y60" s="30" t="inlineStr">
        <is>
          <t>No</t>
        </is>
      </c>
      <c r="Z60" s="30" t="inlineStr">
        <is>
          <t>Yes</t>
        </is>
      </c>
      <c r="AA60" s="30" t="inlineStr">
        <is>
          <t>Discontinued</t>
        </is>
      </c>
      <c r="AB60" s="30" t="inlineStr">
        <is>
          <t>No</t>
        </is>
      </c>
      <c r="AC60" s="27" t="n"/>
      <c r="AD60" s="31" t="inlineStr">
        <is>
          <t>No</t>
        </is>
      </c>
      <c r="AE60" s="32">
        <f>IF(W60="","",IF(Z60="Yes","❌ Disc",IF(Y60="No","⚠ Missing",IF(AB60="Yes","✓ OK","⚠ Check"))))</f>
        <v/>
      </c>
      <c r="AF60" s="33" t="n"/>
      <c r="AG60" s="33" t="n"/>
      <c r="AH60" s="33" t="n"/>
      <c r="AI60" s="33" t="n"/>
      <c r="AJ60" s="33" t="n"/>
      <c r="AK60" s="33" t="n"/>
      <c r="AL60" s="27" t="n"/>
      <c r="AM60" s="34" t="n"/>
      <c r="AN60" s="35">
        <f>IF(AF60="","",IF(AI60="Yes","❌ Disc",IF(AH60="No","⚠ Missing",IF(AK60="Yes","✓ OK","⚠ Check"))))</f>
        <v/>
      </c>
      <c r="AO60" s="36" t="n"/>
      <c r="AP60" s="36" t="n"/>
      <c r="AQ60" s="36" t="n"/>
      <c r="AR60" s="36" t="n"/>
      <c r="AS60" s="36" t="n"/>
      <c r="AT60" s="36" t="n"/>
      <c r="AU60" s="27" t="n"/>
      <c r="AV60" s="37" t="n"/>
      <c r="AW60" s="38">
        <f>IF(AO60="","",IF(AR60="Yes","❌ Disc",IF(AQ60="No","⚠ Missing",IF(AT60="Yes","✓ OK","⚠ Check"))))</f>
        <v/>
      </c>
    </row>
    <row r="61" ht="18" customHeight="1" s="46">
      <c r="A61" s="23" t="n">
        <v>57</v>
      </c>
      <c r="B61" s="24" t="inlineStr">
        <is>
          <t>BD-VRM-2024-3157</t>
        </is>
      </c>
      <c r="C61" s="25" t="inlineStr">
        <is>
          <t>Flava Louvers - Luxury - TL CL 4217 9.5ft X 8 inch</t>
        </is>
      </c>
      <c r="D61" s="23" t="inlineStr">
        <is>
          <t>Flava</t>
        </is>
      </c>
      <c r="E61" s="43" t="n">
        <v>46126</v>
      </c>
      <c r="F61" s="26" t="inlineStr">
        <is>
          <t>Sunil CR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Good finish</t>
        </is>
      </c>
      <c r="J61" s="26" t="inlineStr">
        <is>
          <t>Yes</t>
        </is>
      </c>
      <c r="K61" s="27" t="n"/>
      <c r="L61" s="28" t="inlineStr">
        <is>
          <t>No</t>
        </is>
      </c>
      <c r="M61" s="29">
        <f>IF(E61="","",IF(H61="Yes","❌ Disc",IF(G61="No","⚠ Missing",IF(J61="Yes","✓ OK","⚠ Check"))))</f>
        <v/>
      </c>
      <c r="N61" s="43" t="n">
        <v>46193</v>
      </c>
      <c r="O61" s="26" t="inlineStr">
        <is>
          <t>Sunil CR</t>
        </is>
      </c>
      <c r="P61" s="26" t="inlineStr">
        <is>
          <t>No</t>
        </is>
      </c>
      <c r="Q61" s="26" t="inlineStr">
        <is>
          <t>Yes</t>
        </is>
      </c>
      <c r="R61" s="26" t="inlineStr">
        <is>
          <t>Discontinued</t>
        </is>
      </c>
      <c r="S61" s="26" t="inlineStr">
        <is>
          <t>No</t>
        </is>
      </c>
      <c r="T61" s="27" t="n"/>
      <c r="U61" s="28" t="inlineStr">
        <is>
          <t>No</t>
        </is>
      </c>
      <c r="V61" s="29">
        <f>IF(N61="","",IF(Q61="Yes","❌ Disc",IF(P61="No","⚠ Missing",IF(S61="Yes","✓ OK","⚠ Check"))))</f>
        <v/>
      </c>
      <c r="W61" s="65" t="n">
        <v>46248</v>
      </c>
      <c r="X61" s="30" t="inlineStr">
        <is>
          <t>Sunil CR</t>
        </is>
      </c>
      <c r="Y61" s="30" t="inlineStr">
        <is>
          <t>No</t>
        </is>
      </c>
      <c r="Z61" s="30" t="inlineStr">
        <is>
          <t>Yes</t>
        </is>
      </c>
      <c r="AA61" s="30" t="inlineStr">
        <is>
          <t>Discontinued</t>
        </is>
      </c>
      <c r="AB61" s="30" t="inlineStr">
        <is>
          <t>No</t>
        </is>
      </c>
      <c r="AC61" s="27" t="n"/>
      <c r="AD61" s="31" t="inlineStr">
        <is>
          <t>No</t>
        </is>
      </c>
      <c r="AE61" s="32">
        <f>IF(W61="","",IF(Z61="Yes","❌ Disc",IF(Y61="No","⚠ Missing",IF(AB61="Yes","✓ OK","⚠ Check"))))</f>
        <v/>
      </c>
      <c r="AF61" s="33" t="n"/>
      <c r="AG61" s="33" t="n"/>
      <c r="AH61" s="33" t="n"/>
      <c r="AI61" s="33" t="n"/>
      <c r="AJ61" s="33" t="n"/>
      <c r="AK61" s="33" t="n"/>
      <c r="AL61" s="27" t="n"/>
      <c r="AM61" s="34" t="n"/>
      <c r="AN61" s="35">
        <f>IF(AF61="","",IF(AI61="Yes","❌ Disc",IF(AH61="No","⚠ Missing",IF(AK61="Yes","✓ OK","⚠ Check"))))</f>
        <v/>
      </c>
      <c r="AO61" s="36" t="n"/>
      <c r="AP61" s="36" t="n"/>
      <c r="AQ61" s="36" t="n"/>
      <c r="AR61" s="36" t="n"/>
      <c r="AS61" s="36" t="n"/>
      <c r="AT61" s="36" t="n"/>
      <c r="AU61" s="27" t="n"/>
      <c r="AV61" s="37" t="n"/>
      <c r="AW61" s="38">
        <f>IF(AO61="","",IF(AR61="Yes","❌ Disc",IF(AQ61="No","⚠ Missing",IF(AT61="Yes","✓ OK","⚠ Check"))))</f>
        <v/>
      </c>
    </row>
    <row r="62" ht="18" customHeight="1" s="46">
      <c r="A62" s="39" t="n">
        <v>58</v>
      </c>
      <c r="B62" s="40" t="inlineStr">
        <is>
          <t>BD-VRM-2024-3156</t>
        </is>
      </c>
      <c r="C62" s="41" t="inlineStr">
        <is>
          <t>Flava Louvers - Luxury - TL CL 4218 9.5ft X 8 inch</t>
        </is>
      </c>
      <c r="D62" s="39" t="inlineStr">
        <is>
          <t>Flava</t>
        </is>
      </c>
      <c r="E62" s="43" t="n">
        <v>46126</v>
      </c>
      <c r="F62" s="26" t="inlineStr">
        <is>
          <t>Sunil CR</t>
        </is>
      </c>
      <c r="G62" s="26" t="inlineStr">
        <is>
          <t>Yes</t>
        </is>
      </c>
      <c r="H62" s="26" t="inlineStr">
        <is>
          <t>No</t>
        </is>
      </c>
      <c r="I62" s="26" t="inlineStr">
        <is>
          <t>Good finish</t>
        </is>
      </c>
      <c r="J62" s="26" t="inlineStr">
        <is>
          <t>Yes</t>
        </is>
      </c>
      <c r="K62" s="27" t="n"/>
      <c r="L62" s="28" t="inlineStr">
        <is>
          <t>No</t>
        </is>
      </c>
      <c r="M62" s="29">
        <f>IF(E62="","",IF(H62="Yes","❌ Disc",IF(G62="No","⚠ Missing",IF(J62="Yes","✓ OK","⚠ Check"))))</f>
        <v/>
      </c>
      <c r="N62" s="43" t="n">
        <v>46193</v>
      </c>
      <c r="O62" s="26" t="inlineStr">
        <is>
          <t>Sunil CR</t>
        </is>
      </c>
      <c r="P62" s="26" t="inlineStr">
        <is>
          <t>No</t>
        </is>
      </c>
      <c r="Q62" s="26" t="inlineStr">
        <is>
          <t>Yes</t>
        </is>
      </c>
      <c r="R62" s="26" t="inlineStr">
        <is>
          <t>Discontinued</t>
        </is>
      </c>
      <c r="S62" s="26" t="inlineStr">
        <is>
          <t>No</t>
        </is>
      </c>
      <c r="T62" s="27" t="n"/>
      <c r="U62" s="28" t="inlineStr">
        <is>
          <t>No</t>
        </is>
      </c>
      <c r="V62" s="29">
        <f>IF(N62="","",IF(Q62="Yes","❌ Disc",IF(P62="No","⚠ Missing",IF(S62="Yes","✓ OK","⚠ Check"))))</f>
        <v/>
      </c>
      <c r="W62" s="65" t="n">
        <v>46248</v>
      </c>
      <c r="X62" s="30" t="inlineStr">
        <is>
          <t>Sunil CR</t>
        </is>
      </c>
      <c r="Y62" s="30" t="inlineStr">
        <is>
          <t>No</t>
        </is>
      </c>
      <c r="Z62" s="30" t="inlineStr">
        <is>
          <t>Yes</t>
        </is>
      </c>
      <c r="AA62" s="30" t="inlineStr">
        <is>
          <t>Discontinued</t>
        </is>
      </c>
      <c r="AB62" s="30" t="inlineStr">
        <is>
          <t>No</t>
        </is>
      </c>
      <c r="AC62" s="27" t="n"/>
      <c r="AD62" s="31" t="inlineStr">
        <is>
          <t>No</t>
        </is>
      </c>
      <c r="AE62" s="32">
        <f>IF(W62="","",IF(Z62="Yes","❌ Disc",IF(Y62="No","⚠ Missing",IF(AB62="Yes","✓ OK","⚠ Check"))))</f>
        <v/>
      </c>
      <c r="AF62" s="33" t="n"/>
      <c r="AG62" s="33" t="n"/>
      <c r="AH62" s="33" t="n"/>
      <c r="AI62" s="33" t="n"/>
      <c r="AJ62" s="33" t="n"/>
      <c r="AK62" s="33" t="n"/>
      <c r="AL62" s="27" t="n"/>
      <c r="AM62" s="34" t="n"/>
      <c r="AN62" s="35">
        <f>IF(AF62="","",IF(AI62="Yes","❌ Disc",IF(AH62="No","⚠ Missing",IF(AK62="Yes","✓ OK","⚠ Check"))))</f>
        <v/>
      </c>
      <c r="AO62" s="36" t="n"/>
      <c r="AP62" s="36" t="n"/>
      <c r="AQ62" s="36" t="n"/>
      <c r="AR62" s="36" t="n"/>
      <c r="AS62" s="36" t="n"/>
      <c r="AT62" s="36" t="n"/>
      <c r="AU62" s="27" t="n"/>
      <c r="AV62" s="37" t="n"/>
      <c r="AW62" s="38">
        <f>IF(AO62="","",IF(AR62="Yes","❌ Disc",IF(AQ62="No","⚠ Missing",IF(AT62="Yes","✓ OK","⚠ Check"))))</f>
        <v/>
      </c>
    </row>
    <row r="63" ht="18" customHeight="1" s="46">
      <c r="A63" s="23" t="n">
        <v>59</v>
      </c>
      <c r="B63" s="24" t="inlineStr">
        <is>
          <t>BD-VRM-2024-3155</t>
        </is>
      </c>
      <c r="C63" s="25" t="inlineStr">
        <is>
          <t>Flava Louvers - Luxury - TL CL 4219 9.5ft X 8 inch</t>
        </is>
      </c>
      <c r="D63" s="23" t="inlineStr">
        <is>
          <t>Flava</t>
        </is>
      </c>
      <c r="E63" s="43" t="n">
        <v>46126</v>
      </c>
      <c r="F63" s="26" t="inlineStr">
        <is>
          <t>Sunil CR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Good finish</t>
        </is>
      </c>
      <c r="J63" s="26" t="inlineStr">
        <is>
          <t>Yes</t>
        </is>
      </c>
      <c r="K63" s="27" t="n"/>
      <c r="L63" s="28" t="inlineStr">
        <is>
          <t>No</t>
        </is>
      </c>
      <c r="M63" s="29">
        <f>IF(E63="","",IF(H63="Yes","❌ Disc",IF(G63="No","⚠ Missing",IF(J63="Yes","✓ OK","⚠ Check"))))</f>
        <v/>
      </c>
      <c r="N63" s="43" t="n">
        <v>46193</v>
      </c>
      <c r="O63" s="26" t="inlineStr">
        <is>
          <t>Sunil CR</t>
        </is>
      </c>
      <c r="P63" s="26" t="inlineStr">
        <is>
          <t>Yes</t>
        </is>
      </c>
      <c r="Q63" s="26" t="inlineStr">
        <is>
          <t>No</t>
        </is>
      </c>
      <c r="R63" s="26" t="inlineStr">
        <is>
          <t>Good finish</t>
        </is>
      </c>
      <c r="S63" s="26" t="inlineStr">
        <is>
          <t>Yes</t>
        </is>
      </c>
      <c r="T63" s="27" t="n"/>
      <c r="U63" s="28" t="inlineStr">
        <is>
          <t>No</t>
        </is>
      </c>
      <c r="V63" s="29">
        <f>IF(N63="","",IF(Q63="Yes","❌ Disc",IF(P63="No","⚠ Missing",IF(S63="Yes","✓ OK","⚠ Check"))))</f>
        <v/>
      </c>
      <c r="W63" s="65" t="n">
        <v>46248</v>
      </c>
      <c r="X63" s="30" t="inlineStr">
        <is>
          <t>Sunil CR</t>
        </is>
      </c>
      <c r="Y63" s="30" t="inlineStr">
        <is>
          <t>Yes</t>
        </is>
      </c>
      <c r="Z63" s="30" t="n"/>
      <c r="AA63" s="30" t="inlineStr">
        <is>
          <t>Good finish</t>
        </is>
      </c>
      <c r="AB63" s="30" t="inlineStr">
        <is>
          <t>Yes</t>
        </is>
      </c>
      <c r="AC63" s="27" t="n"/>
      <c r="AD63" s="31" t="inlineStr">
        <is>
          <t>No</t>
        </is>
      </c>
      <c r="AE63" s="32">
        <f>IF(W63="","",IF(Z63="Yes","❌ Disc",IF(Y63="No","⚠ Missing",IF(AB63="Yes","✓ OK","⚠ Check"))))</f>
        <v/>
      </c>
      <c r="AF63" s="33" t="n"/>
      <c r="AG63" s="33" t="n"/>
      <c r="AH63" s="33" t="n"/>
      <c r="AI63" s="33" t="n"/>
      <c r="AJ63" s="33" t="n"/>
      <c r="AK63" s="33" t="n"/>
      <c r="AL63" s="27" t="n"/>
      <c r="AM63" s="34" t="n"/>
      <c r="AN63" s="35">
        <f>IF(AF63="","",IF(AI63="Yes","❌ Disc",IF(AH63="No","⚠ Missing",IF(AK63="Yes","✓ OK","⚠ Check"))))</f>
        <v/>
      </c>
      <c r="AO63" s="36" t="n"/>
      <c r="AP63" s="36" t="n"/>
      <c r="AQ63" s="36" t="n"/>
      <c r="AR63" s="36" t="n"/>
      <c r="AS63" s="36" t="n"/>
      <c r="AT63" s="36" t="n"/>
      <c r="AU63" s="27" t="n"/>
      <c r="AV63" s="37" t="n"/>
      <c r="AW63" s="38">
        <f>IF(AO63="","",IF(AR63="Yes","❌ Disc",IF(AQ63="No","⚠ Missing",IF(AT63="Yes","✓ OK","⚠ Check"))))</f>
        <v/>
      </c>
    </row>
    <row r="64" ht="18" customHeight="1" s="46">
      <c r="A64" s="39" t="n">
        <v>60</v>
      </c>
      <c r="B64" s="40" t="inlineStr">
        <is>
          <t>BD-VRM-2024-3142</t>
        </is>
      </c>
      <c r="C64" s="41" t="inlineStr">
        <is>
          <t>Flava Louvers - Preminum - TL FL 2002 - 9.5ftx6in</t>
        </is>
      </c>
      <c r="D64" s="39" t="inlineStr">
        <is>
          <t>Flava</t>
        </is>
      </c>
      <c r="E64" s="43" t="n">
        <v>46126</v>
      </c>
      <c r="F64" s="26" t="inlineStr">
        <is>
          <t>Sunil CR</t>
        </is>
      </c>
      <c r="G64" s="26" t="inlineStr">
        <is>
          <t>Yes</t>
        </is>
      </c>
      <c r="H64" s="26" t="inlineStr">
        <is>
          <t>No</t>
        </is>
      </c>
      <c r="I64" s="26" t="inlineStr">
        <is>
          <t>Good finish</t>
        </is>
      </c>
      <c r="J64" s="26" t="inlineStr">
        <is>
          <t>Yes</t>
        </is>
      </c>
      <c r="K64" s="27" t="n"/>
      <c r="L64" s="28" t="inlineStr">
        <is>
          <t>No</t>
        </is>
      </c>
      <c r="M64" s="29">
        <f>IF(E64="","",IF(H64="Yes","❌ Disc",IF(G64="No","⚠ Missing",IF(J64="Yes","✓ OK","⚠ Check"))))</f>
        <v/>
      </c>
      <c r="N64" s="43" t="n">
        <v>46193</v>
      </c>
      <c r="O64" s="26" t="inlineStr">
        <is>
          <t>Sunil CR</t>
        </is>
      </c>
      <c r="P64" s="26" t="inlineStr">
        <is>
          <t>Yes</t>
        </is>
      </c>
      <c r="Q64" s="26" t="inlineStr">
        <is>
          <t>No</t>
        </is>
      </c>
      <c r="R64" s="26" t="inlineStr">
        <is>
          <t>Good finish</t>
        </is>
      </c>
      <c r="S64" s="26" t="inlineStr">
        <is>
          <t>Yes</t>
        </is>
      </c>
      <c r="T64" s="27" t="n"/>
      <c r="U64" s="28" t="inlineStr">
        <is>
          <t>No</t>
        </is>
      </c>
      <c r="V64" s="29">
        <f>IF(N64="","",IF(Q64="Yes","❌ Disc",IF(P64="No","⚠ Missing",IF(S64="Yes","✓ OK","⚠ Check"))))</f>
        <v/>
      </c>
      <c r="W64" s="65" t="n">
        <v>46248</v>
      </c>
      <c r="X64" s="30" t="inlineStr">
        <is>
          <t>Sunil CR</t>
        </is>
      </c>
      <c r="Y64" s="30" t="inlineStr">
        <is>
          <t>Yes</t>
        </is>
      </c>
      <c r="Z64" s="30" t="n"/>
      <c r="AA64" s="30" t="inlineStr">
        <is>
          <t>Good finish</t>
        </is>
      </c>
      <c r="AB64" s="30" t="inlineStr">
        <is>
          <t>Yes</t>
        </is>
      </c>
      <c r="AC64" s="27" t="n"/>
      <c r="AD64" s="31" t="inlineStr">
        <is>
          <t>No</t>
        </is>
      </c>
      <c r="AE64" s="32">
        <f>IF(W64="","",IF(Z64="Yes","❌ Disc",IF(Y64="No","⚠ Missing",IF(AB64="Yes","✓ OK","⚠ Check"))))</f>
        <v/>
      </c>
      <c r="AF64" s="33" t="n"/>
      <c r="AG64" s="33" t="n"/>
      <c r="AH64" s="33" t="n"/>
      <c r="AI64" s="33" t="n"/>
      <c r="AJ64" s="33" t="n"/>
      <c r="AK64" s="33" t="n"/>
      <c r="AL64" s="27" t="n"/>
      <c r="AM64" s="34" t="n"/>
      <c r="AN64" s="35">
        <f>IF(AF64="","",IF(AI64="Yes","❌ Disc",IF(AH64="No","⚠ Missing",IF(AK64="Yes","✓ OK","⚠ Check"))))</f>
        <v/>
      </c>
      <c r="AO64" s="36" t="n"/>
      <c r="AP64" s="36" t="n"/>
      <c r="AQ64" s="36" t="n"/>
      <c r="AR64" s="36" t="n"/>
      <c r="AS64" s="36" t="n"/>
      <c r="AT64" s="36" t="n"/>
      <c r="AU64" s="27" t="n"/>
      <c r="AV64" s="37" t="n"/>
      <c r="AW64" s="38">
        <f>IF(AO64="","",IF(AR64="Yes","❌ Disc",IF(AQ64="No","⚠ Missing",IF(AT64="Yes","✓ OK","⚠ Check"))))</f>
        <v/>
      </c>
    </row>
    <row r="65" ht="18" customHeight="1" s="46">
      <c r="A65" s="23" t="n">
        <v>61</v>
      </c>
      <c r="B65" s="24" t="inlineStr">
        <is>
          <t>BD-VRM-2024-3137</t>
        </is>
      </c>
      <c r="C65" s="25" t="inlineStr">
        <is>
          <t>Flava Louvers - Preminum - TL FL 2003 - 9.5ftx6in</t>
        </is>
      </c>
      <c r="D65" s="23" t="inlineStr">
        <is>
          <t>Flava</t>
        </is>
      </c>
      <c r="E65" s="43" t="n">
        <v>46126</v>
      </c>
      <c r="F65" s="26" t="inlineStr">
        <is>
          <t>Sunil CR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Good finish</t>
        </is>
      </c>
      <c r="J65" s="26" t="inlineStr">
        <is>
          <t>Yes</t>
        </is>
      </c>
      <c r="K65" s="27" t="n"/>
      <c r="L65" s="28" t="inlineStr">
        <is>
          <t>No</t>
        </is>
      </c>
      <c r="M65" s="29">
        <f>IF(E65="","",IF(H65="Yes","❌ Disc",IF(G65="No","⚠ Missing",IF(J65="Yes","✓ OK","⚠ Check"))))</f>
        <v/>
      </c>
      <c r="N65" s="43" t="n">
        <v>46193</v>
      </c>
      <c r="O65" s="26" t="inlineStr">
        <is>
          <t>Sunil CR</t>
        </is>
      </c>
      <c r="P65" s="26" t="inlineStr">
        <is>
          <t>Yes</t>
        </is>
      </c>
      <c r="Q65" s="26" t="inlineStr">
        <is>
          <t>No</t>
        </is>
      </c>
      <c r="R65" s="26" t="inlineStr">
        <is>
          <t>Good finish</t>
        </is>
      </c>
      <c r="S65" s="26" t="inlineStr">
        <is>
          <t>Yes</t>
        </is>
      </c>
      <c r="T65" s="27" t="n"/>
      <c r="U65" s="28" t="inlineStr">
        <is>
          <t>No</t>
        </is>
      </c>
      <c r="V65" s="29">
        <f>IF(N65="","",IF(Q65="Yes","❌ Disc",IF(P65="No","⚠ Missing",IF(S65="Yes","✓ OK","⚠ Check"))))</f>
        <v/>
      </c>
      <c r="W65" s="65" t="n">
        <v>46248</v>
      </c>
      <c r="X65" s="30" t="inlineStr">
        <is>
          <t>Sunil CR</t>
        </is>
      </c>
      <c r="Y65" s="30" t="inlineStr">
        <is>
          <t>Yes</t>
        </is>
      </c>
      <c r="Z65" s="30" t="n"/>
      <c r="AA65" s="30" t="inlineStr">
        <is>
          <t>Good finish</t>
        </is>
      </c>
      <c r="AB65" s="30" t="inlineStr">
        <is>
          <t>Yes</t>
        </is>
      </c>
      <c r="AC65" s="27" t="n"/>
      <c r="AD65" s="31" t="inlineStr">
        <is>
          <t>No</t>
        </is>
      </c>
      <c r="AE65" s="32">
        <f>IF(W65="","",IF(Z65="Yes","❌ Disc",IF(Y65="No","⚠ Missing",IF(AB65="Yes","✓ OK","⚠ Check"))))</f>
        <v/>
      </c>
      <c r="AF65" s="33" t="n"/>
      <c r="AG65" s="33" t="n"/>
      <c r="AH65" s="33" t="n"/>
      <c r="AI65" s="33" t="n"/>
      <c r="AJ65" s="33" t="n"/>
      <c r="AK65" s="33" t="n"/>
      <c r="AL65" s="27" t="n"/>
      <c r="AM65" s="34" t="n"/>
      <c r="AN65" s="35">
        <f>IF(AF65="","",IF(AI65="Yes","❌ Disc",IF(AH65="No","⚠ Missing",IF(AK65="Yes","✓ OK","⚠ Check"))))</f>
        <v/>
      </c>
      <c r="AO65" s="36" t="n"/>
      <c r="AP65" s="36" t="n"/>
      <c r="AQ65" s="36" t="n"/>
      <c r="AR65" s="36" t="n"/>
      <c r="AS65" s="36" t="n"/>
      <c r="AT65" s="36" t="n"/>
      <c r="AU65" s="27" t="n"/>
      <c r="AV65" s="37" t="n"/>
      <c r="AW65" s="38">
        <f>IF(AO65="","",IF(AR65="Yes","❌ Disc",IF(AQ65="No","⚠ Missing",IF(AT65="Yes","✓ OK","⚠ Check"))))</f>
        <v/>
      </c>
    </row>
    <row r="66" ht="18" customHeight="1" s="46">
      <c r="A66" s="39" t="n">
        <v>62</v>
      </c>
      <c r="B66" s="40" t="inlineStr">
        <is>
          <t>BD-VRM-2024-3135</t>
        </is>
      </c>
      <c r="C66" s="41" t="inlineStr">
        <is>
          <t>Flava Louvers - Preminum - TL FL 2004 - 9.5ftx6in</t>
        </is>
      </c>
      <c r="D66" s="39" t="inlineStr">
        <is>
          <t>Flava</t>
        </is>
      </c>
      <c r="E66" s="43" t="n">
        <v>46126</v>
      </c>
      <c r="F66" s="26" t="inlineStr">
        <is>
          <t>Sunil CR</t>
        </is>
      </c>
      <c r="G66" s="26" t="inlineStr">
        <is>
          <t>Yes</t>
        </is>
      </c>
      <c r="H66" s="26" t="inlineStr">
        <is>
          <t>No</t>
        </is>
      </c>
      <c r="I66" s="26" t="inlineStr">
        <is>
          <t>Good finish</t>
        </is>
      </c>
      <c r="J66" s="26" t="inlineStr">
        <is>
          <t>Yes</t>
        </is>
      </c>
      <c r="K66" s="27" t="n"/>
      <c r="L66" s="28" t="inlineStr">
        <is>
          <t>No</t>
        </is>
      </c>
      <c r="M66" s="29">
        <f>IF(E66="","",IF(H66="Yes","❌ Disc",IF(G66="No","⚠ Missing",IF(J66="Yes","✓ OK","⚠ Check"))))</f>
        <v/>
      </c>
      <c r="N66" s="43" t="n">
        <v>46193</v>
      </c>
      <c r="O66" s="26" t="inlineStr">
        <is>
          <t>Sunil CR</t>
        </is>
      </c>
      <c r="P66" s="26" t="inlineStr">
        <is>
          <t>Yes</t>
        </is>
      </c>
      <c r="Q66" s="26" t="inlineStr">
        <is>
          <t>No</t>
        </is>
      </c>
      <c r="R66" s="26" t="inlineStr">
        <is>
          <t>Good finish</t>
        </is>
      </c>
      <c r="S66" s="26" t="inlineStr">
        <is>
          <t>Yes</t>
        </is>
      </c>
      <c r="T66" s="27" t="n"/>
      <c r="U66" s="28" t="inlineStr">
        <is>
          <t>No</t>
        </is>
      </c>
      <c r="V66" s="29">
        <f>IF(N66="","",IF(Q66="Yes","❌ Disc",IF(P66="No","⚠ Missing",IF(S66="Yes","✓ OK","⚠ Check"))))</f>
        <v/>
      </c>
      <c r="W66" s="65" t="n">
        <v>46248</v>
      </c>
      <c r="X66" s="30" t="inlineStr">
        <is>
          <t>Sunil CR</t>
        </is>
      </c>
      <c r="Y66" s="30" t="inlineStr">
        <is>
          <t>Yes</t>
        </is>
      </c>
      <c r="Z66" s="30" t="n"/>
      <c r="AA66" s="30" t="inlineStr">
        <is>
          <t>Good finish</t>
        </is>
      </c>
      <c r="AB66" s="30" t="inlineStr">
        <is>
          <t>Yes</t>
        </is>
      </c>
      <c r="AC66" s="27" t="n"/>
      <c r="AD66" s="31" t="inlineStr">
        <is>
          <t>No</t>
        </is>
      </c>
      <c r="AE66" s="32">
        <f>IF(W66="","",IF(Z66="Yes","❌ Disc",IF(Y66="No","⚠ Missing",IF(AB66="Yes","✓ OK","⚠ Check"))))</f>
        <v/>
      </c>
      <c r="AF66" s="33" t="n"/>
      <c r="AG66" s="33" t="n"/>
      <c r="AH66" s="33" t="n"/>
      <c r="AI66" s="33" t="n"/>
      <c r="AJ66" s="33" t="n"/>
      <c r="AK66" s="33" t="n"/>
      <c r="AL66" s="27" t="n"/>
      <c r="AM66" s="34" t="n"/>
      <c r="AN66" s="35">
        <f>IF(AF66="","",IF(AI66="Yes","❌ Disc",IF(AH66="No","⚠ Missing",IF(AK66="Yes","✓ OK","⚠ Check"))))</f>
        <v/>
      </c>
      <c r="AO66" s="36" t="n"/>
      <c r="AP66" s="36" t="n"/>
      <c r="AQ66" s="36" t="n"/>
      <c r="AR66" s="36" t="n"/>
      <c r="AS66" s="36" t="n"/>
      <c r="AT66" s="36" t="n"/>
      <c r="AU66" s="27" t="n"/>
      <c r="AV66" s="37" t="n"/>
      <c r="AW66" s="38">
        <f>IF(AO66="","",IF(AR66="Yes","❌ Disc",IF(AQ66="No","⚠ Missing",IF(AT66="Yes","✓ OK","⚠ Check"))))</f>
        <v/>
      </c>
    </row>
    <row r="67" ht="18" customHeight="1" s="46">
      <c r="A67" s="23" t="n">
        <v>63</v>
      </c>
      <c r="B67" s="24" t="inlineStr">
        <is>
          <t>BD-VRM-2024-3132</t>
        </is>
      </c>
      <c r="C67" s="25" t="inlineStr">
        <is>
          <t>Flava Louvers - Preminum - TL FL 2005 - 9.5ftx6in</t>
        </is>
      </c>
      <c r="D67" s="23" t="inlineStr">
        <is>
          <t>Flava</t>
        </is>
      </c>
      <c r="E67" s="43" t="n">
        <v>46126</v>
      </c>
      <c r="F67" s="26" t="inlineStr">
        <is>
          <t>Sunil CR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Good finish</t>
        </is>
      </c>
      <c r="J67" s="26" t="inlineStr">
        <is>
          <t>Yes</t>
        </is>
      </c>
      <c r="K67" s="27" t="n"/>
      <c r="L67" s="28" t="inlineStr">
        <is>
          <t>No</t>
        </is>
      </c>
      <c r="M67" s="29">
        <f>IF(E67="","",IF(H67="Yes","❌ Disc",IF(G67="No","⚠ Missing",IF(J67="Yes","✓ OK","⚠ Check"))))</f>
        <v/>
      </c>
      <c r="N67" s="43" t="n">
        <v>46193</v>
      </c>
      <c r="O67" s="26" t="inlineStr">
        <is>
          <t>Sunil CR</t>
        </is>
      </c>
      <c r="P67" s="26" t="inlineStr">
        <is>
          <t>Yes</t>
        </is>
      </c>
      <c r="Q67" s="26" t="inlineStr">
        <is>
          <t>No</t>
        </is>
      </c>
      <c r="R67" s="26" t="inlineStr">
        <is>
          <t>Good finish</t>
        </is>
      </c>
      <c r="S67" s="26" t="inlineStr">
        <is>
          <t>Yes</t>
        </is>
      </c>
      <c r="T67" s="27" t="n"/>
      <c r="U67" s="28" t="inlineStr">
        <is>
          <t>No</t>
        </is>
      </c>
      <c r="V67" s="29">
        <f>IF(N67="","",IF(Q67="Yes","❌ Disc",IF(P67="No","⚠ Missing",IF(S67="Yes","✓ OK","⚠ Check"))))</f>
        <v/>
      </c>
      <c r="W67" s="65" t="n">
        <v>46248</v>
      </c>
      <c r="X67" s="30" t="inlineStr">
        <is>
          <t>Sunil CR</t>
        </is>
      </c>
      <c r="Y67" s="30" t="inlineStr">
        <is>
          <t>Yes</t>
        </is>
      </c>
      <c r="Z67" s="30" t="n"/>
      <c r="AA67" s="30" t="inlineStr">
        <is>
          <t>Good finish</t>
        </is>
      </c>
      <c r="AB67" s="30" t="inlineStr">
        <is>
          <t>Yes</t>
        </is>
      </c>
      <c r="AC67" s="27" t="n"/>
      <c r="AD67" s="31" t="inlineStr">
        <is>
          <t>No</t>
        </is>
      </c>
      <c r="AE67" s="32">
        <f>IF(W67="","",IF(Z67="Yes","❌ Disc",IF(Y67="No","⚠ Missing",IF(AB67="Yes","✓ OK","⚠ Check"))))</f>
        <v/>
      </c>
      <c r="AF67" s="33" t="n"/>
      <c r="AG67" s="33" t="n"/>
      <c r="AH67" s="33" t="n"/>
      <c r="AI67" s="33" t="n"/>
      <c r="AJ67" s="33" t="n"/>
      <c r="AK67" s="33" t="n"/>
      <c r="AL67" s="27" t="n"/>
      <c r="AM67" s="34" t="n"/>
      <c r="AN67" s="35">
        <f>IF(AF67="","",IF(AI67="Yes","❌ Disc",IF(AH67="No","⚠ Missing",IF(AK67="Yes","✓ OK","⚠ Check"))))</f>
        <v/>
      </c>
      <c r="AO67" s="36" t="n"/>
      <c r="AP67" s="36" t="n"/>
      <c r="AQ67" s="36" t="n"/>
      <c r="AR67" s="36" t="n"/>
      <c r="AS67" s="36" t="n"/>
      <c r="AT67" s="36" t="n"/>
      <c r="AU67" s="27" t="n"/>
      <c r="AV67" s="37" t="n"/>
      <c r="AW67" s="38">
        <f>IF(AO67="","",IF(AR67="Yes","❌ Disc",IF(AQ67="No","⚠ Missing",IF(AT67="Yes","✓ OK","⚠ Check"))))</f>
        <v/>
      </c>
    </row>
    <row r="68" ht="18" customHeight="1" s="46">
      <c r="A68" s="39" t="n">
        <v>64</v>
      </c>
      <c r="B68" s="40" t="inlineStr">
        <is>
          <t>BD-VRM-2024-3139</t>
        </is>
      </c>
      <c r="C68" s="41" t="inlineStr">
        <is>
          <t>Flava Louvers - Preminum - TL FL 2006 - 9.5ftx6in</t>
        </is>
      </c>
      <c r="D68" s="39" t="inlineStr">
        <is>
          <t>Flava</t>
        </is>
      </c>
      <c r="E68" s="43" t="n">
        <v>46126</v>
      </c>
      <c r="F68" s="26" t="inlineStr">
        <is>
          <t>Sunil CR</t>
        </is>
      </c>
      <c r="G68" s="26" t="inlineStr">
        <is>
          <t>Yes</t>
        </is>
      </c>
      <c r="H68" s="26" t="inlineStr">
        <is>
          <t>No</t>
        </is>
      </c>
      <c r="I68" s="26" t="inlineStr">
        <is>
          <t>Good finish</t>
        </is>
      </c>
      <c r="J68" s="26" t="inlineStr">
        <is>
          <t>Yes</t>
        </is>
      </c>
      <c r="K68" s="27" t="n"/>
      <c r="L68" s="28" t="inlineStr">
        <is>
          <t>No</t>
        </is>
      </c>
      <c r="M68" s="29">
        <f>IF(E68="","",IF(H68="Yes","❌ Disc",IF(G68="No","⚠ Missing",IF(J68="Yes","✓ OK","⚠ Check"))))</f>
        <v/>
      </c>
      <c r="N68" s="43" t="n">
        <v>46193</v>
      </c>
      <c r="O68" s="26" t="inlineStr">
        <is>
          <t>Sunil CR</t>
        </is>
      </c>
      <c r="P68" s="26" t="inlineStr">
        <is>
          <t>Yes</t>
        </is>
      </c>
      <c r="Q68" s="26" t="inlineStr">
        <is>
          <t>No</t>
        </is>
      </c>
      <c r="R68" s="26" t="inlineStr">
        <is>
          <t>Good finish</t>
        </is>
      </c>
      <c r="S68" s="26" t="inlineStr">
        <is>
          <t>Yes</t>
        </is>
      </c>
      <c r="T68" s="27" t="n"/>
      <c r="U68" s="28" t="inlineStr">
        <is>
          <t>No</t>
        </is>
      </c>
      <c r="V68" s="29">
        <f>IF(N68="","",IF(Q68="Yes","❌ Disc",IF(P68="No","⚠ Missing",IF(S68="Yes","✓ OK","⚠ Check"))))</f>
        <v/>
      </c>
      <c r="W68" s="65" t="n">
        <v>46248</v>
      </c>
      <c r="X68" s="30" t="inlineStr">
        <is>
          <t>Sunil CR</t>
        </is>
      </c>
      <c r="Y68" s="30" t="inlineStr">
        <is>
          <t>Yes</t>
        </is>
      </c>
      <c r="Z68" s="30" t="n"/>
      <c r="AA68" s="30" t="inlineStr">
        <is>
          <t>Good finish</t>
        </is>
      </c>
      <c r="AB68" s="30" t="inlineStr">
        <is>
          <t>Yes</t>
        </is>
      </c>
      <c r="AC68" s="27" t="n"/>
      <c r="AD68" s="31" t="inlineStr">
        <is>
          <t>No</t>
        </is>
      </c>
      <c r="AE68" s="32">
        <f>IF(W68="","",IF(Z68="Yes","❌ Disc",IF(Y68="No","⚠ Missing",IF(AB68="Yes","✓ OK","⚠ Check"))))</f>
        <v/>
      </c>
      <c r="AF68" s="33" t="n"/>
      <c r="AG68" s="33" t="n"/>
      <c r="AH68" s="33" t="n"/>
      <c r="AI68" s="33" t="n"/>
      <c r="AJ68" s="33" t="n"/>
      <c r="AK68" s="33" t="n"/>
      <c r="AL68" s="27" t="n"/>
      <c r="AM68" s="34" t="n"/>
      <c r="AN68" s="35">
        <f>IF(AF68="","",IF(AI68="Yes","❌ Disc",IF(AH68="No","⚠ Missing",IF(AK68="Yes","✓ OK","⚠ Check"))))</f>
        <v/>
      </c>
      <c r="AO68" s="36" t="n"/>
      <c r="AP68" s="36" t="n"/>
      <c r="AQ68" s="36" t="n"/>
      <c r="AR68" s="36" t="n"/>
      <c r="AS68" s="36" t="n"/>
      <c r="AT68" s="36" t="n"/>
      <c r="AU68" s="27" t="n"/>
      <c r="AV68" s="37" t="n"/>
      <c r="AW68" s="38">
        <f>IF(AO68="","",IF(AR68="Yes","❌ Disc",IF(AQ68="No","⚠ Missing",IF(AT68="Yes","✓ OK","⚠ Check"))))</f>
        <v/>
      </c>
    </row>
    <row r="69" ht="18" customHeight="1" s="46">
      <c r="A69" s="23" t="n">
        <v>65</v>
      </c>
      <c r="B69" s="24" t="inlineStr">
        <is>
          <t>BD-VRM-2024-3136</t>
        </is>
      </c>
      <c r="C69" s="25" t="inlineStr">
        <is>
          <t>Flava Louvers - Preminum - TL FL 2007 - 9.5ftx6in</t>
        </is>
      </c>
      <c r="D69" s="23" t="inlineStr">
        <is>
          <t>Flava</t>
        </is>
      </c>
      <c r="E69" s="43" t="n">
        <v>46126</v>
      </c>
      <c r="F69" s="26" t="inlineStr">
        <is>
          <t>Sunil CR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Good finish</t>
        </is>
      </c>
      <c r="J69" s="26" t="inlineStr">
        <is>
          <t>Yes</t>
        </is>
      </c>
      <c r="K69" s="27" t="n"/>
      <c r="L69" s="28" t="inlineStr">
        <is>
          <t>No</t>
        </is>
      </c>
      <c r="M69" s="29">
        <f>IF(E69="","",IF(H69="Yes","❌ Disc",IF(G69="No","⚠ Missing",IF(J69="Yes","✓ OK","⚠ Check"))))</f>
        <v/>
      </c>
      <c r="N69" s="43" t="n">
        <v>46193</v>
      </c>
      <c r="O69" s="26" t="inlineStr">
        <is>
          <t>Sunil CR</t>
        </is>
      </c>
      <c r="P69" s="26" t="inlineStr">
        <is>
          <t>Yes</t>
        </is>
      </c>
      <c r="Q69" s="26" t="inlineStr">
        <is>
          <t>No</t>
        </is>
      </c>
      <c r="R69" s="26" t="inlineStr">
        <is>
          <t>Good finish</t>
        </is>
      </c>
      <c r="S69" s="26" t="inlineStr">
        <is>
          <t>Yes</t>
        </is>
      </c>
      <c r="T69" s="27" t="n"/>
      <c r="U69" s="28" t="inlineStr">
        <is>
          <t>No</t>
        </is>
      </c>
      <c r="V69" s="29">
        <f>IF(N69="","",IF(Q69="Yes","❌ Disc",IF(P69="No","⚠ Missing",IF(S69="Yes","✓ OK","⚠ Check"))))</f>
        <v/>
      </c>
      <c r="W69" s="65" t="n">
        <v>46248</v>
      </c>
      <c r="X69" s="30" t="inlineStr">
        <is>
          <t>Sunil CR</t>
        </is>
      </c>
      <c r="Y69" s="30" t="inlineStr">
        <is>
          <t>Yes</t>
        </is>
      </c>
      <c r="Z69" s="30" t="n"/>
      <c r="AA69" s="30" t="inlineStr">
        <is>
          <t>Good finish</t>
        </is>
      </c>
      <c r="AB69" s="30" t="inlineStr">
        <is>
          <t>Yes</t>
        </is>
      </c>
      <c r="AC69" s="27" t="n"/>
      <c r="AD69" s="31" t="inlineStr">
        <is>
          <t>No</t>
        </is>
      </c>
      <c r="AE69" s="32">
        <f>IF(W69="","",IF(Z69="Yes","❌ Disc",IF(Y69="No","⚠ Missing",IF(AB69="Yes","✓ OK","⚠ Check"))))</f>
        <v/>
      </c>
      <c r="AF69" s="33" t="n"/>
      <c r="AG69" s="33" t="n"/>
      <c r="AH69" s="33" t="n"/>
      <c r="AI69" s="33" t="n"/>
      <c r="AJ69" s="33" t="n"/>
      <c r="AK69" s="33" t="n"/>
      <c r="AL69" s="27" t="n"/>
      <c r="AM69" s="34" t="n"/>
      <c r="AN69" s="35">
        <f>IF(AF69="","",IF(AI69="Yes","❌ Disc",IF(AH69="No","⚠ Missing",IF(AK69="Yes","✓ OK","⚠ Check"))))</f>
        <v/>
      </c>
      <c r="AO69" s="36" t="n"/>
      <c r="AP69" s="36" t="n"/>
      <c r="AQ69" s="36" t="n"/>
      <c r="AR69" s="36" t="n"/>
      <c r="AS69" s="36" t="n"/>
      <c r="AT69" s="36" t="n"/>
      <c r="AU69" s="27" t="n"/>
      <c r="AV69" s="37" t="n"/>
      <c r="AW69" s="38">
        <f>IF(AO69="","",IF(AR69="Yes","❌ Disc",IF(AQ69="No","⚠ Missing",IF(AT69="Yes","✓ OK","⚠ Check"))))</f>
        <v/>
      </c>
    </row>
    <row r="70" ht="18" customHeight="1" s="46">
      <c r="A70" s="39" t="n">
        <v>66</v>
      </c>
      <c r="B70" s="40" t="inlineStr">
        <is>
          <t>BD-VRM-2024-3134</t>
        </is>
      </c>
      <c r="C70" s="41" t="inlineStr">
        <is>
          <t>Flava Louvers - Preminum - TL FL 2009 - 9.5ftx6in</t>
        </is>
      </c>
      <c r="D70" s="39" t="inlineStr">
        <is>
          <t>Flava</t>
        </is>
      </c>
      <c r="E70" s="43" t="n">
        <v>46126</v>
      </c>
      <c r="F70" s="26" t="inlineStr">
        <is>
          <t>Sunil CR</t>
        </is>
      </c>
      <c r="G70" s="26" t="inlineStr">
        <is>
          <t>Yes</t>
        </is>
      </c>
      <c r="H70" s="26" t="inlineStr">
        <is>
          <t>No</t>
        </is>
      </c>
      <c r="I70" s="26" t="inlineStr">
        <is>
          <t>Good finish</t>
        </is>
      </c>
      <c r="J70" s="26" t="inlineStr">
        <is>
          <t>Yes</t>
        </is>
      </c>
      <c r="K70" s="27" t="n"/>
      <c r="L70" s="28" t="inlineStr">
        <is>
          <t>No</t>
        </is>
      </c>
      <c r="M70" s="29">
        <f>IF(E70="","",IF(H70="Yes","❌ Disc",IF(G70="No","⚠ Missing",IF(J70="Yes","✓ OK","⚠ Check"))))</f>
        <v/>
      </c>
      <c r="N70" s="43" t="n">
        <v>46193</v>
      </c>
      <c r="O70" s="26" t="inlineStr">
        <is>
          <t>Sunil CR</t>
        </is>
      </c>
      <c r="P70" s="26" t="inlineStr">
        <is>
          <t>Yes</t>
        </is>
      </c>
      <c r="Q70" s="26" t="inlineStr">
        <is>
          <t>No</t>
        </is>
      </c>
      <c r="R70" s="26" t="inlineStr">
        <is>
          <t>Good finish</t>
        </is>
      </c>
      <c r="S70" s="26" t="inlineStr">
        <is>
          <t>Yes</t>
        </is>
      </c>
      <c r="T70" s="27" t="n"/>
      <c r="U70" s="28" t="inlineStr">
        <is>
          <t>No</t>
        </is>
      </c>
      <c r="V70" s="29">
        <f>IF(N70="","",IF(Q70="Yes","❌ Disc",IF(P70="No","⚠ Missing",IF(S70="Yes","✓ OK","⚠ Check"))))</f>
        <v/>
      </c>
      <c r="W70" s="65" t="n">
        <v>46248</v>
      </c>
      <c r="X70" s="30" t="inlineStr">
        <is>
          <t>Sunil CR</t>
        </is>
      </c>
      <c r="Y70" s="30" t="inlineStr">
        <is>
          <t>Yes</t>
        </is>
      </c>
      <c r="Z70" s="30" t="n"/>
      <c r="AA70" s="30" t="inlineStr">
        <is>
          <t>Good finish</t>
        </is>
      </c>
      <c r="AB70" s="30" t="inlineStr">
        <is>
          <t>Yes</t>
        </is>
      </c>
      <c r="AC70" s="27" t="n"/>
      <c r="AD70" s="31" t="inlineStr">
        <is>
          <t>No</t>
        </is>
      </c>
      <c r="AE70" s="32">
        <f>IF(W70="","",IF(Z70="Yes","❌ Disc",IF(Y70="No","⚠ Missing",IF(AB70="Yes","✓ OK","⚠ Check"))))</f>
        <v/>
      </c>
      <c r="AF70" s="33" t="n"/>
      <c r="AG70" s="33" t="n"/>
      <c r="AH70" s="33" t="n"/>
      <c r="AI70" s="33" t="n"/>
      <c r="AJ70" s="33" t="n"/>
      <c r="AK70" s="33" t="n"/>
      <c r="AL70" s="27" t="n"/>
      <c r="AM70" s="34" t="n"/>
      <c r="AN70" s="35">
        <f>IF(AF70="","",IF(AI70="Yes","❌ Disc",IF(AH70="No","⚠ Missing",IF(AK70="Yes","✓ OK","⚠ Check"))))</f>
        <v/>
      </c>
      <c r="AO70" s="36" t="n"/>
      <c r="AP70" s="36" t="n"/>
      <c r="AQ70" s="36" t="n"/>
      <c r="AR70" s="36" t="n"/>
      <c r="AS70" s="36" t="n"/>
      <c r="AT70" s="36" t="n"/>
      <c r="AU70" s="27" t="n"/>
      <c r="AV70" s="37" t="n"/>
      <c r="AW70" s="38">
        <f>IF(AO70="","",IF(AR70="Yes","❌ Disc",IF(AQ70="No","⚠ Missing",IF(AT70="Yes","✓ OK","⚠ Check"))))</f>
        <v/>
      </c>
    </row>
    <row r="71" ht="18" customHeight="1" s="46">
      <c r="A71" s="23" t="n">
        <v>67</v>
      </c>
      <c r="B71" s="24" t="inlineStr">
        <is>
          <t>BD-VRM-2024-3153</t>
        </is>
      </c>
      <c r="C71" s="25" t="inlineStr">
        <is>
          <t>Flava Louvers - Preminum - TL FL 2024 - 9.5ftx6in</t>
        </is>
      </c>
      <c r="D71" s="23" t="inlineStr">
        <is>
          <t>Flava</t>
        </is>
      </c>
      <c r="E71" s="43" t="n">
        <v>46126</v>
      </c>
      <c r="F71" s="26" t="inlineStr">
        <is>
          <t>Sunil CR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Good finish</t>
        </is>
      </c>
      <c r="J71" s="26" t="inlineStr">
        <is>
          <t>Yes</t>
        </is>
      </c>
      <c r="K71" s="27" t="n"/>
      <c r="L71" s="28" t="inlineStr">
        <is>
          <t>No</t>
        </is>
      </c>
      <c r="M71" s="29">
        <f>IF(E71="","",IF(H71="Yes","❌ Disc",IF(G71="No","⚠ Missing",IF(J71="Yes","✓ OK","⚠ Check"))))</f>
        <v/>
      </c>
      <c r="N71" s="43" t="n">
        <v>46193</v>
      </c>
      <c r="O71" s="26" t="inlineStr">
        <is>
          <t>Sunil CR</t>
        </is>
      </c>
      <c r="P71" s="26" t="inlineStr">
        <is>
          <t>Yes</t>
        </is>
      </c>
      <c r="Q71" s="26" t="inlineStr">
        <is>
          <t>No</t>
        </is>
      </c>
      <c r="R71" s="26" t="inlineStr">
        <is>
          <t>Good finish</t>
        </is>
      </c>
      <c r="S71" s="26" t="inlineStr">
        <is>
          <t>Yes</t>
        </is>
      </c>
      <c r="T71" s="27" t="n"/>
      <c r="U71" s="28" t="inlineStr">
        <is>
          <t>No</t>
        </is>
      </c>
      <c r="V71" s="29">
        <f>IF(N71="","",IF(Q71="Yes","❌ Disc",IF(P71="No","⚠ Missing",IF(S71="Yes","✓ OK","⚠ Check"))))</f>
        <v/>
      </c>
      <c r="W71" s="65" t="n">
        <v>46248</v>
      </c>
      <c r="X71" s="30" t="inlineStr">
        <is>
          <t>Sunil CR</t>
        </is>
      </c>
      <c r="Y71" s="30" t="inlineStr">
        <is>
          <t>Yes</t>
        </is>
      </c>
      <c r="Z71" s="30" t="n"/>
      <c r="AA71" s="30" t="inlineStr">
        <is>
          <t>Good finish</t>
        </is>
      </c>
      <c r="AB71" s="30" t="inlineStr">
        <is>
          <t>Yes</t>
        </is>
      </c>
      <c r="AC71" s="27" t="n"/>
      <c r="AD71" s="31" t="inlineStr">
        <is>
          <t>No</t>
        </is>
      </c>
      <c r="AE71" s="32">
        <f>IF(W71="","",IF(Z71="Yes","❌ Disc",IF(Y71="No","⚠ Missing",IF(AB71="Yes","✓ OK","⚠ Check"))))</f>
        <v/>
      </c>
      <c r="AF71" s="33" t="n"/>
      <c r="AG71" s="33" t="n"/>
      <c r="AH71" s="33" t="n"/>
      <c r="AI71" s="33" t="n"/>
      <c r="AJ71" s="33" t="n"/>
      <c r="AK71" s="33" t="n"/>
      <c r="AL71" s="27" t="n"/>
      <c r="AM71" s="34" t="n"/>
      <c r="AN71" s="35">
        <f>IF(AF71="","",IF(AI71="Yes","❌ Disc",IF(AH71="No","⚠ Missing",IF(AK71="Yes","✓ OK","⚠ Check"))))</f>
        <v/>
      </c>
      <c r="AO71" s="36" t="n"/>
      <c r="AP71" s="36" t="n"/>
      <c r="AQ71" s="36" t="n"/>
      <c r="AR71" s="36" t="n"/>
      <c r="AS71" s="36" t="n"/>
      <c r="AT71" s="36" t="n"/>
      <c r="AU71" s="27" t="n"/>
      <c r="AV71" s="37" t="n"/>
      <c r="AW71" s="38">
        <f>IF(AO71="","",IF(AR71="Yes","❌ Disc",IF(AQ71="No","⚠ Missing",IF(AT71="Yes","✓ OK","⚠ Check"))))</f>
        <v/>
      </c>
    </row>
    <row r="72" ht="18" customHeight="1" s="46">
      <c r="A72" s="39" t="n">
        <v>68</v>
      </c>
      <c r="B72" s="40" t="inlineStr">
        <is>
          <t>BD-VRM-2024-3152</t>
        </is>
      </c>
      <c r="C72" s="41" t="inlineStr">
        <is>
          <t>Flava Louvers - Preminum - TL FL 2025 - 9.5ftx6in</t>
        </is>
      </c>
      <c r="D72" s="39" t="inlineStr">
        <is>
          <t>Flava</t>
        </is>
      </c>
      <c r="E72" s="43" t="n">
        <v>46126</v>
      </c>
      <c r="F72" s="26" t="inlineStr">
        <is>
          <t>Sunil CR</t>
        </is>
      </c>
      <c r="G72" s="26" t="inlineStr">
        <is>
          <t>No</t>
        </is>
      </c>
      <c r="H72" s="26" t="inlineStr">
        <is>
          <t>No</t>
        </is>
      </c>
      <c r="I72" s="26" t="inlineStr">
        <is>
          <t>Not Available</t>
        </is>
      </c>
      <c r="J72" s="26" t="inlineStr">
        <is>
          <t>No</t>
        </is>
      </c>
      <c r="K72" s="27" t="n"/>
      <c r="L72" s="28" t="inlineStr">
        <is>
          <t>Yes</t>
        </is>
      </c>
      <c r="M72" s="29">
        <f>IF(E72="","",IF(H72="Yes","❌ Disc",IF(G72="No","⚠ Missing",IF(J72="Yes","✓ OK","⚠ Check"))))</f>
        <v/>
      </c>
      <c r="N72" s="43" t="n">
        <v>46193</v>
      </c>
      <c r="O72" s="26" t="inlineStr">
        <is>
          <t>Sunil CR</t>
        </is>
      </c>
      <c r="P72" s="26" t="inlineStr">
        <is>
          <t>No</t>
        </is>
      </c>
      <c r="Q72" s="26" t="inlineStr">
        <is>
          <t>No</t>
        </is>
      </c>
      <c r="R72" s="26" t="inlineStr">
        <is>
          <t>Not Available</t>
        </is>
      </c>
      <c r="S72" s="26" t="inlineStr">
        <is>
          <t>No</t>
        </is>
      </c>
      <c r="T72" s="27" t="n"/>
      <c r="U72" s="28" t="inlineStr">
        <is>
          <t>Yes</t>
        </is>
      </c>
      <c r="V72" s="29">
        <f>IF(N72="","",IF(Q72="Yes","❌ Disc",IF(P72="No","⚠ Missing",IF(S72="Yes","✓ OK","⚠ Check"))))</f>
        <v/>
      </c>
      <c r="W72" s="65" t="n">
        <v>46248</v>
      </c>
      <c r="X72" s="30" t="inlineStr">
        <is>
          <t>Sunil CR</t>
        </is>
      </c>
      <c r="Y72" s="30" t="inlineStr">
        <is>
          <t>No</t>
        </is>
      </c>
      <c r="Z72" s="30" t="n"/>
      <c r="AA72" s="30" t="inlineStr">
        <is>
          <t>Not Available</t>
        </is>
      </c>
      <c r="AB72" s="30" t="inlineStr">
        <is>
          <t>No</t>
        </is>
      </c>
      <c r="AC72" s="27" t="n"/>
      <c r="AD72" s="31" t="inlineStr">
        <is>
          <t>Yes</t>
        </is>
      </c>
      <c r="AE72" s="32">
        <f>IF(W72="","",IF(Z72="Yes","❌ Disc",IF(Y72="No","⚠ Missing",IF(AB72="Yes","✓ OK","⚠ Check"))))</f>
        <v/>
      </c>
      <c r="AF72" s="33" t="n"/>
      <c r="AG72" s="33" t="n"/>
      <c r="AH72" s="33" t="n"/>
      <c r="AI72" s="33" t="n"/>
      <c r="AJ72" s="33" t="n"/>
      <c r="AK72" s="33" t="n"/>
      <c r="AL72" s="27" t="n"/>
      <c r="AM72" s="34" t="n"/>
      <c r="AN72" s="35">
        <f>IF(AF72="","",IF(AI72="Yes","❌ Disc",IF(AH72="No","⚠ Missing",IF(AK72="Yes","✓ OK","⚠ Check"))))</f>
        <v/>
      </c>
      <c r="AO72" s="36" t="n"/>
      <c r="AP72" s="36" t="n"/>
      <c r="AQ72" s="36" t="n"/>
      <c r="AR72" s="36" t="n"/>
      <c r="AS72" s="36" t="n"/>
      <c r="AT72" s="36" t="n"/>
      <c r="AU72" s="27" t="n"/>
      <c r="AV72" s="37" t="n"/>
      <c r="AW72" s="38">
        <f>IF(AO72="","",IF(AR72="Yes","❌ Disc",IF(AQ72="No","⚠ Missing",IF(AT72="Yes","✓ OK","⚠ Check"))))</f>
        <v/>
      </c>
    </row>
    <row r="73" ht="18" customHeight="1" s="46">
      <c r="A73" s="23" t="n">
        <v>69</v>
      </c>
      <c r="B73" s="24" t="inlineStr">
        <is>
          <t>BD-VRM-2024-3120</t>
        </is>
      </c>
      <c r="C73" s="25" t="inlineStr">
        <is>
          <t>Flava Louvers - Preminum - TL FL 3001 - 9.5ftx6in</t>
        </is>
      </c>
      <c r="D73" s="23" t="inlineStr">
        <is>
          <t>Flava</t>
        </is>
      </c>
      <c r="E73" s="43" t="n">
        <v>46126</v>
      </c>
      <c r="F73" s="26" t="inlineStr">
        <is>
          <t>Sunil CR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Good finish</t>
        </is>
      </c>
      <c r="J73" s="26" t="inlineStr">
        <is>
          <t>Yes</t>
        </is>
      </c>
      <c r="K73" s="27" t="n"/>
      <c r="L73" s="28" t="inlineStr">
        <is>
          <t>No</t>
        </is>
      </c>
      <c r="M73" s="29">
        <f>IF(E73="","",IF(H73="Yes","❌ Disc",IF(G73="No","⚠ Missing",IF(J73="Yes","✓ OK","⚠ Check"))))</f>
        <v/>
      </c>
      <c r="N73" s="43" t="n">
        <v>46193</v>
      </c>
      <c r="O73" s="26" t="inlineStr">
        <is>
          <t>Sunil CR</t>
        </is>
      </c>
      <c r="P73" s="26" t="inlineStr">
        <is>
          <t>Yes</t>
        </is>
      </c>
      <c r="Q73" s="26" t="inlineStr">
        <is>
          <t>No</t>
        </is>
      </c>
      <c r="R73" s="26" t="inlineStr">
        <is>
          <t>Good finish</t>
        </is>
      </c>
      <c r="S73" s="26" t="inlineStr">
        <is>
          <t>Yes</t>
        </is>
      </c>
      <c r="T73" s="27" t="n"/>
      <c r="U73" s="28" t="inlineStr">
        <is>
          <t>No</t>
        </is>
      </c>
      <c r="V73" s="29">
        <f>IF(N73="","",IF(Q73="Yes","❌ Disc",IF(P73="No","⚠ Missing",IF(S73="Yes","✓ OK","⚠ Check"))))</f>
        <v/>
      </c>
      <c r="W73" s="65" t="n">
        <v>46248</v>
      </c>
      <c r="X73" s="30" t="inlineStr">
        <is>
          <t>Sunil CR</t>
        </is>
      </c>
      <c r="Y73" s="30" t="inlineStr">
        <is>
          <t>Yes</t>
        </is>
      </c>
      <c r="Z73" s="30" t="n"/>
      <c r="AA73" s="30" t="inlineStr">
        <is>
          <t>Good finish</t>
        </is>
      </c>
      <c r="AB73" s="30" t="inlineStr">
        <is>
          <t>Yes</t>
        </is>
      </c>
      <c r="AC73" s="27" t="n"/>
      <c r="AD73" s="31" t="inlineStr">
        <is>
          <t>No</t>
        </is>
      </c>
      <c r="AE73" s="32">
        <f>IF(W73="","",IF(Z73="Yes","❌ Disc",IF(Y73="No","⚠ Missing",IF(AB73="Yes","✓ OK","⚠ Check"))))</f>
        <v/>
      </c>
      <c r="AF73" s="33" t="n"/>
      <c r="AG73" s="33" t="n"/>
      <c r="AH73" s="33" t="n"/>
      <c r="AI73" s="33" t="n"/>
      <c r="AJ73" s="33" t="n"/>
      <c r="AK73" s="33" t="n"/>
      <c r="AL73" s="27" t="n"/>
      <c r="AM73" s="34" t="n"/>
      <c r="AN73" s="35">
        <f>IF(AF73="","",IF(AI73="Yes","❌ Disc",IF(AH73="No","⚠ Missing",IF(AK73="Yes","✓ OK","⚠ Check"))))</f>
        <v/>
      </c>
      <c r="AO73" s="36" t="n"/>
      <c r="AP73" s="36" t="n"/>
      <c r="AQ73" s="36" t="n"/>
      <c r="AR73" s="36" t="n"/>
      <c r="AS73" s="36" t="n"/>
      <c r="AT73" s="36" t="n"/>
      <c r="AU73" s="27" t="n"/>
      <c r="AV73" s="37" t="n"/>
      <c r="AW73" s="38">
        <f>IF(AO73="","",IF(AR73="Yes","❌ Disc",IF(AQ73="No","⚠ Missing",IF(AT73="Yes","✓ OK","⚠ Check"))))</f>
        <v/>
      </c>
    </row>
    <row r="74" ht="18" customHeight="1" s="46">
      <c r="A74" s="39" t="n">
        <v>70</v>
      </c>
      <c r="B74" s="40" t="inlineStr">
        <is>
          <t>BD-VRM-2024-3119</t>
        </is>
      </c>
      <c r="C74" s="41" t="inlineStr">
        <is>
          <t>Flava Louvers - Preminum - TL FL 3002 - 9.5ftx6in</t>
        </is>
      </c>
      <c r="D74" s="39" t="inlineStr">
        <is>
          <t>Flava</t>
        </is>
      </c>
      <c r="E74" s="43" t="n">
        <v>46126</v>
      </c>
      <c r="F74" s="26" t="inlineStr">
        <is>
          <t>Sunil CR</t>
        </is>
      </c>
      <c r="G74" s="26" t="inlineStr">
        <is>
          <t>Yes</t>
        </is>
      </c>
      <c r="H74" s="26" t="inlineStr">
        <is>
          <t>No</t>
        </is>
      </c>
      <c r="I74" s="26" t="inlineStr">
        <is>
          <t>Good finish</t>
        </is>
      </c>
      <c r="J74" s="26" t="inlineStr">
        <is>
          <t>Yes</t>
        </is>
      </c>
      <c r="K74" s="27" t="n"/>
      <c r="L74" s="28" t="inlineStr">
        <is>
          <t>No</t>
        </is>
      </c>
      <c r="M74" s="29">
        <f>IF(E74="","",IF(H74="Yes","❌ Disc",IF(G74="No","⚠ Missing",IF(J74="Yes","✓ OK","⚠ Check"))))</f>
        <v/>
      </c>
      <c r="N74" s="43" t="n">
        <v>46193</v>
      </c>
      <c r="O74" s="26" t="inlineStr">
        <is>
          <t>Sunil CR</t>
        </is>
      </c>
      <c r="P74" s="26" t="inlineStr">
        <is>
          <t>Yes</t>
        </is>
      </c>
      <c r="Q74" s="26" t="inlineStr">
        <is>
          <t>No</t>
        </is>
      </c>
      <c r="R74" s="26" t="inlineStr">
        <is>
          <t>Good finish</t>
        </is>
      </c>
      <c r="S74" s="26" t="inlineStr">
        <is>
          <t>Yes</t>
        </is>
      </c>
      <c r="T74" s="27" t="n"/>
      <c r="U74" s="28" t="inlineStr">
        <is>
          <t>No</t>
        </is>
      </c>
      <c r="V74" s="29">
        <f>IF(N74="","",IF(Q74="Yes","❌ Disc",IF(P74="No","⚠ Missing",IF(S74="Yes","✓ OK","⚠ Check"))))</f>
        <v/>
      </c>
      <c r="W74" s="65" t="n">
        <v>46248</v>
      </c>
      <c r="X74" s="30" t="inlineStr">
        <is>
          <t>Sunil CR</t>
        </is>
      </c>
      <c r="Y74" s="30" t="inlineStr">
        <is>
          <t>Yes</t>
        </is>
      </c>
      <c r="Z74" s="30" t="n"/>
      <c r="AA74" s="30" t="inlineStr">
        <is>
          <t>Good finish</t>
        </is>
      </c>
      <c r="AB74" s="30" t="inlineStr">
        <is>
          <t>Yes</t>
        </is>
      </c>
      <c r="AC74" s="27" t="n"/>
      <c r="AD74" s="31" t="inlineStr">
        <is>
          <t>No</t>
        </is>
      </c>
      <c r="AE74" s="32">
        <f>IF(W74="","",IF(Z74="Yes","❌ Disc",IF(Y74="No","⚠ Missing",IF(AB74="Yes","✓ OK","⚠ Check"))))</f>
        <v/>
      </c>
      <c r="AF74" s="33" t="n"/>
      <c r="AG74" s="33" t="n"/>
      <c r="AH74" s="33" t="n"/>
      <c r="AI74" s="33" t="n"/>
      <c r="AJ74" s="33" t="n"/>
      <c r="AK74" s="33" t="n"/>
      <c r="AL74" s="27" t="n"/>
      <c r="AM74" s="34" t="n"/>
      <c r="AN74" s="35">
        <f>IF(AF74="","",IF(AI74="Yes","❌ Disc",IF(AH74="No","⚠ Missing",IF(AK74="Yes","✓ OK","⚠ Check"))))</f>
        <v/>
      </c>
      <c r="AO74" s="36" t="n"/>
      <c r="AP74" s="36" t="n"/>
      <c r="AQ74" s="36" t="n"/>
      <c r="AR74" s="36" t="n"/>
      <c r="AS74" s="36" t="n"/>
      <c r="AT74" s="36" t="n"/>
      <c r="AU74" s="27" t="n"/>
      <c r="AV74" s="37" t="n"/>
      <c r="AW74" s="38">
        <f>IF(AO74="","",IF(AR74="Yes","❌ Disc",IF(AQ74="No","⚠ Missing",IF(AT74="Yes","✓ OK","⚠ Check"))))</f>
        <v/>
      </c>
    </row>
    <row r="75" ht="18" customHeight="1" s="46">
      <c r="A75" s="23" t="n">
        <v>71</v>
      </c>
      <c r="B75" s="24" t="inlineStr">
        <is>
          <t>BD-VRM-2024-3117</t>
        </is>
      </c>
      <c r="C75" s="25" t="inlineStr">
        <is>
          <t>Flava Louvers - Preminum - TL FL 3003 - 9.5ftx6in</t>
        </is>
      </c>
      <c r="D75" s="23" t="inlineStr">
        <is>
          <t>Flava</t>
        </is>
      </c>
      <c r="E75" s="43" t="n">
        <v>46126</v>
      </c>
      <c r="F75" s="26" t="inlineStr">
        <is>
          <t>Sunil CR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Good finish</t>
        </is>
      </c>
      <c r="J75" s="26" t="inlineStr">
        <is>
          <t>Yes</t>
        </is>
      </c>
      <c r="K75" s="27" t="n"/>
      <c r="L75" s="28" t="inlineStr">
        <is>
          <t>No</t>
        </is>
      </c>
      <c r="M75" s="29">
        <f>IF(E75="","",IF(H75="Yes","❌ Disc",IF(G75="No","⚠ Missing",IF(J75="Yes","✓ OK","⚠ Check"))))</f>
        <v/>
      </c>
      <c r="N75" s="43" t="n">
        <v>46193</v>
      </c>
      <c r="O75" s="26" t="inlineStr">
        <is>
          <t>Sunil CR</t>
        </is>
      </c>
      <c r="P75" s="26" t="inlineStr">
        <is>
          <t>Yes</t>
        </is>
      </c>
      <c r="Q75" s="26" t="inlineStr">
        <is>
          <t>No</t>
        </is>
      </c>
      <c r="R75" s="26" t="inlineStr">
        <is>
          <t>Good finish</t>
        </is>
      </c>
      <c r="S75" s="26" t="inlineStr">
        <is>
          <t>Yes</t>
        </is>
      </c>
      <c r="T75" s="27" t="n"/>
      <c r="U75" s="28" t="inlineStr">
        <is>
          <t>No</t>
        </is>
      </c>
      <c r="V75" s="29">
        <f>IF(N75="","",IF(Q75="Yes","❌ Disc",IF(P75="No","⚠ Missing",IF(S75="Yes","✓ OK","⚠ Check"))))</f>
        <v/>
      </c>
      <c r="W75" s="65" t="n">
        <v>46248</v>
      </c>
      <c r="X75" s="30" t="inlineStr">
        <is>
          <t>Sunil CR</t>
        </is>
      </c>
      <c r="Y75" s="30" t="inlineStr">
        <is>
          <t>Yes</t>
        </is>
      </c>
      <c r="Z75" s="30" t="n"/>
      <c r="AA75" s="30" t="inlineStr">
        <is>
          <t>Good finish</t>
        </is>
      </c>
      <c r="AB75" s="30" t="inlineStr">
        <is>
          <t>Yes</t>
        </is>
      </c>
      <c r="AC75" s="27" t="n"/>
      <c r="AD75" s="31" t="inlineStr">
        <is>
          <t>No</t>
        </is>
      </c>
      <c r="AE75" s="32">
        <f>IF(W75="","",IF(Z75="Yes","❌ Disc",IF(Y75="No","⚠ Missing",IF(AB75="Yes","✓ OK","⚠ Check"))))</f>
        <v/>
      </c>
      <c r="AF75" s="33" t="n"/>
      <c r="AG75" s="33" t="n"/>
      <c r="AH75" s="33" t="n"/>
      <c r="AI75" s="33" t="n"/>
      <c r="AJ75" s="33" t="n"/>
      <c r="AK75" s="33" t="n"/>
      <c r="AL75" s="27" t="n"/>
      <c r="AM75" s="34" t="n"/>
      <c r="AN75" s="35">
        <f>IF(AF75="","",IF(AI75="Yes","❌ Disc",IF(AH75="No","⚠ Missing",IF(AK75="Yes","✓ OK","⚠ Check"))))</f>
        <v/>
      </c>
      <c r="AO75" s="36" t="n"/>
      <c r="AP75" s="36" t="n"/>
      <c r="AQ75" s="36" t="n"/>
      <c r="AR75" s="36" t="n"/>
      <c r="AS75" s="36" t="n"/>
      <c r="AT75" s="36" t="n"/>
      <c r="AU75" s="27" t="n"/>
      <c r="AV75" s="37" t="n"/>
      <c r="AW75" s="38">
        <f>IF(AO75="","",IF(AR75="Yes","❌ Disc",IF(AQ75="No","⚠ Missing",IF(AT75="Yes","✓ OK","⚠ Check"))))</f>
        <v/>
      </c>
    </row>
    <row r="76" ht="18" customHeight="1" s="46">
      <c r="A76" s="39" t="n">
        <v>72</v>
      </c>
      <c r="B76" s="40" t="inlineStr">
        <is>
          <t>BD-VRM-2024-3118</t>
        </is>
      </c>
      <c r="C76" s="41" t="inlineStr">
        <is>
          <t>Flava Louvers - Preminum - TL FL 3004 - 9.5ftx6in</t>
        </is>
      </c>
      <c r="D76" s="39" t="inlineStr">
        <is>
          <t>Flava</t>
        </is>
      </c>
      <c r="E76" s="43" t="n">
        <v>46126</v>
      </c>
      <c r="F76" s="26" t="inlineStr">
        <is>
          <t>Sunil CR</t>
        </is>
      </c>
      <c r="G76" s="26" t="inlineStr">
        <is>
          <t>Yes</t>
        </is>
      </c>
      <c r="H76" s="26" t="inlineStr">
        <is>
          <t>No</t>
        </is>
      </c>
      <c r="I76" s="26" t="inlineStr">
        <is>
          <t>Good finish</t>
        </is>
      </c>
      <c r="J76" s="26" t="inlineStr">
        <is>
          <t>Yes</t>
        </is>
      </c>
      <c r="K76" s="27" t="n"/>
      <c r="L76" s="28" t="inlineStr">
        <is>
          <t>No</t>
        </is>
      </c>
      <c r="M76" s="29">
        <f>IF(E76="","",IF(H76="Yes","❌ Disc",IF(G76="No","⚠ Missing",IF(J76="Yes","✓ OK","⚠ Check"))))</f>
        <v/>
      </c>
      <c r="N76" s="43" t="n">
        <v>46193</v>
      </c>
      <c r="O76" s="26" t="inlineStr">
        <is>
          <t>Sunil CR</t>
        </is>
      </c>
      <c r="P76" s="26" t="inlineStr">
        <is>
          <t>Yes</t>
        </is>
      </c>
      <c r="Q76" s="26" t="inlineStr">
        <is>
          <t>No</t>
        </is>
      </c>
      <c r="R76" s="26" t="inlineStr">
        <is>
          <t>Good finish</t>
        </is>
      </c>
      <c r="S76" s="26" t="inlineStr">
        <is>
          <t>Yes</t>
        </is>
      </c>
      <c r="T76" s="27" t="n"/>
      <c r="U76" s="28" t="inlineStr">
        <is>
          <t>No</t>
        </is>
      </c>
      <c r="V76" s="29">
        <f>IF(N76="","",IF(Q76="Yes","❌ Disc",IF(P76="No","⚠ Missing",IF(S76="Yes","✓ OK","⚠ Check"))))</f>
        <v/>
      </c>
      <c r="W76" s="65" t="n">
        <v>46248</v>
      </c>
      <c r="X76" s="30" t="inlineStr">
        <is>
          <t>Sunil CR</t>
        </is>
      </c>
      <c r="Y76" s="30" t="inlineStr">
        <is>
          <t>Yes</t>
        </is>
      </c>
      <c r="Z76" s="30" t="n"/>
      <c r="AA76" s="30" t="inlineStr">
        <is>
          <t>Good finish</t>
        </is>
      </c>
      <c r="AB76" s="30" t="inlineStr">
        <is>
          <t>Yes</t>
        </is>
      </c>
      <c r="AC76" s="27" t="n"/>
      <c r="AD76" s="31" t="inlineStr">
        <is>
          <t>No</t>
        </is>
      </c>
      <c r="AE76" s="32">
        <f>IF(W76="","",IF(Z76="Yes","❌ Disc",IF(Y76="No","⚠ Missing",IF(AB76="Yes","✓ OK","⚠ Check"))))</f>
        <v/>
      </c>
      <c r="AF76" s="33" t="n"/>
      <c r="AG76" s="33" t="n"/>
      <c r="AH76" s="33" t="n"/>
      <c r="AI76" s="33" t="n"/>
      <c r="AJ76" s="33" t="n"/>
      <c r="AK76" s="33" t="n"/>
      <c r="AL76" s="27" t="n"/>
      <c r="AM76" s="34" t="n"/>
      <c r="AN76" s="35">
        <f>IF(AF76="","",IF(AI76="Yes","❌ Disc",IF(AH76="No","⚠ Missing",IF(AK76="Yes","✓ OK","⚠ Check"))))</f>
        <v/>
      </c>
      <c r="AO76" s="36" t="n"/>
      <c r="AP76" s="36" t="n"/>
      <c r="AQ76" s="36" t="n"/>
      <c r="AR76" s="36" t="n"/>
      <c r="AS76" s="36" t="n"/>
      <c r="AT76" s="36" t="n"/>
      <c r="AU76" s="27" t="n"/>
      <c r="AV76" s="37" t="n"/>
      <c r="AW76" s="38">
        <f>IF(AO76="","",IF(AR76="Yes","❌ Disc",IF(AQ76="No","⚠ Missing",IF(AT76="Yes","✓ OK","⚠ Check"))))</f>
        <v/>
      </c>
    </row>
    <row r="77" ht="18" customHeight="1" s="46">
      <c r="A77" s="23" t="n">
        <v>73</v>
      </c>
      <c r="B77" s="24" t="inlineStr">
        <is>
          <t>BD-VRM-2024-3116</t>
        </is>
      </c>
      <c r="C77" s="25" t="inlineStr">
        <is>
          <t>Flava Louvers - Preminum - TL FL 3005 - 9.5ftx6in</t>
        </is>
      </c>
      <c r="D77" s="23" t="inlineStr">
        <is>
          <t>Flava</t>
        </is>
      </c>
      <c r="E77" s="43" t="n">
        <v>46126</v>
      </c>
      <c r="F77" s="26" t="inlineStr">
        <is>
          <t>Sunil CR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Good finish</t>
        </is>
      </c>
      <c r="J77" s="26" t="inlineStr">
        <is>
          <t>Yes</t>
        </is>
      </c>
      <c r="K77" s="27" t="n"/>
      <c r="L77" s="28" t="inlineStr">
        <is>
          <t>No</t>
        </is>
      </c>
      <c r="M77" s="29">
        <f>IF(E77="","",IF(H77="Yes","❌ Disc",IF(G77="No","⚠ Missing",IF(J77="Yes","✓ OK","⚠ Check"))))</f>
        <v/>
      </c>
      <c r="N77" s="43" t="n">
        <v>46193</v>
      </c>
      <c r="O77" s="26" t="inlineStr">
        <is>
          <t>Sunil CR</t>
        </is>
      </c>
      <c r="P77" s="26" t="inlineStr">
        <is>
          <t>Yes</t>
        </is>
      </c>
      <c r="Q77" s="26" t="inlineStr">
        <is>
          <t>No</t>
        </is>
      </c>
      <c r="R77" s="26" t="inlineStr">
        <is>
          <t>Good finish</t>
        </is>
      </c>
      <c r="S77" s="26" t="inlineStr">
        <is>
          <t>Yes</t>
        </is>
      </c>
      <c r="T77" s="27" t="n"/>
      <c r="U77" s="28" t="inlineStr">
        <is>
          <t>No</t>
        </is>
      </c>
      <c r="V77" s="29">
        <f>IF(N77="","",IF(Q77="Yes","❌ Disc",IF(P77="No","⚠ Missing",IF(S77="Yes","✓ OK","⚠ Check"))))</f>
        <v/>
      </c>
      <c r="W77" s="65" t="n">
        <v>46248</v>
      </c>
      <c r="X77" s="30" t="inlineStr">
        <is>
          <t>Sunil CR</t>
        </is>
      </c>
      <c r="Y77" s="30" t="inlineStr">
        <is>
          <t>Yes</t>
        </is>
      </c>
      <c r="Z77" s="30" t="n"/>
      <c r="AA77" s="30" t="inlineStr">
        <is>
          <t>Good finish</t>
        </is>
      </c>
      <c r="AB77" s="30" t="inlineStr">
        <is>
          <t>Yes</t>
        </is>
      </c>
      <c r="AC77" s="27" t="n"/>
      <c r="AD77" s="31" t="inlineStr">
        <is>
          <t>No</t>
        </is>
      </c>
      <c r="AE77" s="32">
        <f>IF(W77="","",IF(Z77="Yes","❌ Disc",IF(Y77="No","⚠ Missing",IF(AB77="Yes","✓ OK","⚠ Check"))))</f>
        <v/>
      </c>
      <c r="AF77" s="33" t="n"/>
      <c r="AG77" s="33" t="n"/>
      <c r="AH77" s="33" t="n"/>
      <c r="AI77" s="33" t="n"/>
      <c r="AJ77" s="33" t="n"/>
      <c r="AK77" s="33" t="n"/>
      <c r="AL77" s="27" t="n"/>
      <c r="AM77" s="34" t="n"/>
      <c r="AN77" s="35">
        <f>IF(AF77="","",IF(AI77="Yes","❌ Disc",IF(AH77="No","⚠ Missing",IF(AK77="Yes","✓ OK","⚠ Check"))))</f>
        <v/>
      </c>
      <c r="AO77" s="36" t="n"/>
      <c r="AP77" s="36" t="n"/>
      <c r="AQ77" s="36" t="n"/>
      <c r="AR77" s="36" t="n"/>
      <c r="AS77" s="36" t="n"/>
      <c r="AT77" s="36" t="n"/>
      <c r="AU77" s="27" t="n"/>
      <c r="AV77" s="37" t="n"/>
      <c r="AW77" s="38">
        <f>IF(AO77="","",IF(AR77="Yes","❌ Disc",IF(AQ77="No","⚠ Missing",IF(AT77="Yes","✓ OK","⚠ Check"))))</f>
        <v/>
      </c>
    </row>
    <row r="78" ht="18" customHeight="1" s="46">
      <c r="A78" s="39" t="n">
        <v>74</v>
      </c>
      <c r="B78" s="40" t="inlineStr">
        <is>
          <t>BD-VRM-2024-3141</t>
        </is>
      </c>
      <c r="C78" s="41" t="inlineStr">
        <is>
          <t>Flava Louvers - Preminum - TL FL 3006  - 9.5ftx6in</t>
        </is>
      </c>
      <c r="D78" s="39" t="inlineStr">
        <is>
          <t>Flava</t>
        </is>
      </c>
      <c r="E78" s="43" t="n">
        <v>46126</v>
      </c>
      <c r="F78" s="26" t="inlineStr">
        <is>
          <t>Sunil CR</t>
        </is>
      </c>
      <c r="G78" s="26" t="inlineStr">
        <is>
          <t>Yes</t>
        </is>
      </c>
      <c r="H78" s="26" t="inlineStr">
        <is>
          <t>No</t>
        </is>
      </c>
      <c r="I78" s="26" t="inlineStr">
        <is>
          <t>Good finish</t>
        </is>
      </c>
      <c r="J78" s="26" t="inlineStr">
        <is>
          <t>Yes</t>
        </is>
      </c>
      <c r="K78" s="27" t="n"/>
      <c r="L78" s="28" t="inlineStr">
        <is>
          <t>No</t>
        </is>
      </c>
      <c r="M78" s="29">
        <f>IF(E78="","",IF(H78="Yes","❌ Disc",IF(G78="No","⚠ Missing",IF(J78="Yes","✓ OK","⚠ Check"))))</f>
        <v/>
      </c>
      <c r="N78" s="43" t="n">
        <v>46193</v>
      </c>
      <c r="O78" s="26" t="inlineStr">
        <is>
          <t>Sunil CR</t>
        </is>
      </c>
      <c r="P78" s="26" t="inlineStr">
        <is>
          <t>Yes</t>
        </is>
      </c>
      <c r="Q78" s="26" t="inlineStr">
        <is>
          <t>No</t>
        </is>
      </c>
      <c r="R78" s="26" t="inlineStr">
        <is>
          <t>Good finish</t>
        </is>
      </c>
      <c r="S78" s="26" t="inlineStr">
        <is>
          <t>Yes</t>
        </is>
      </c>
      <c r="T78" s="27" t="n"/>
      <c r="U78" s="28" t="inlineStr">
        <is>
          <t>No</t>
        </is>
      </c>
      <c r="V78" s="29">
        <f>IF(N78="","",IF(Q78="Yes","❌ Disc",IF(P78="No","⚠ Missing",IF(S78="Yes","✓ OK","⚠ Check"))))</f>
        <v/>
      </c>
      <c r="W78" s="65" t="n">
        <v>46248</v>
      </c>
      <c r="X78" s="30" t="inlineStr">
        <is>
          <t>Sunil CR</t>
        </is>
      </c>
      <c r="Y78" s="30" t="inlineStr">
        <is>
          <t>Yes</t>
        </is>
      </c>
      <c r="Z78" s="30" t="n"/>
      <c r="AA78" s="30" t="inlineStr">
        <is>
          <t>Good finish</t>
        </is>
      </c>
      <c r="AB78" s="30" t="inlineStr">
        <is>
          <t>Yes</t>
        </is>
      </c>
      <c r="AC78" s="27" t="n"/>
      <c r="AD78" s="31" t="inlineStr">
        <is>
          <t>No</t>
        </is>
      </c>
      <c r="AE78" s="32">
        <f>IF(W78="","",IF(Z78="Yes","❌ Disc",IF(Y78="No","⚠ Missing",IF(AB78="Yes","✓ OK","⚠ Check"))))</f>
        <v/>
      </c>
      <c r="AF78" s="33" t="n"/>
      <c r="AG78" s="33" t="n"/>
      <c r="AH78" s="33" t="n"/>
      <c r="AI78" s="33" t="n"/>
      <c r="AJ78" s="33" t="n"/>
      <c r="AK78" s="33" t="n"/>
      <c r="AL78" s="27" t="n"/>
      <c r="AM78" s="34" t="n"/>
      <c r="AN78" s="35">
        <f>IF(AF78="","",IF(AI78="Yes","❌ Disc",IF(AH78="No","⚠ Missing",IF(AK78="Yes","✓ OK","⚠ Check"))))</f>
        <v/>
      </c>
      <c r="AO78" s="36" t="n"/>
      <c r="AP78" s="36" t="n"/>
      <c r="AQ78" s="36" t="n"/>
      <c r="AR78" s="36" t="n"/>
      <c r="AS78" s="36" t="n"/>
      <c r="AT78" s="36" t="n"/>
      <c r="AU78" s="27" t="n"/>
      <c r="AV78" s="37" t="n"/>
      <c r="AW78" s="38">
        <f>IF(AO78="","",IF(AR78="Yes","❌ Disc",IF(AQ78="No","⚠ Missing",IF(AT78="Yes","✓ OK","⚠ Check"))))</f>
        <v/>
      </c>
    </row>
    <row r="79" ht="18" customHeight="1" s="46">
      <c r="A79" s="23" t="n">
        <v>75</v>
      </c>
      <c r="B79" s="24" t="inlineStr">
        <is>
          <t>BD-VRM-2024-3114</t>
        </is>
      </c>
      <c r="C79" s="25" t="inlineStr">
        <is>
          <t>Flava Louvers - Preminum - TL FL 3008 - 9.5ftx6in</t>
        </is>
      </c>
      <c r="D79" s="23" t="inlineStr">
        <is>
          <t>Flava</t>
        </is>
      </c>
      <c r="E79" s="43" t="n">
        <v>46126</v>
      </c>
      <c r="F79" s="26" t="inlineStr">
        <is>
          <t>Sunil CR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Good finish</t>
        </is>
      </c>
      <c r="J79" s="26" t="inlineStr">
        <is>
          <t>Yes</t>
        </is>
      </c>
      <c r="K79" s="27" t="n"/>
      <c r="L79" s="28" t="inlineStr">
        <is>
          <t>No</t>
        </is>
      </c>
      <c r="M79" s="29">
        <f>IF(E79="","",IF(H79="Yes","❌ Disc",IF(G79="No","⚠ Missing",IF(J79="Yes","✓ OK","⚠ Check"))))</f>
        <v/>
      </c>
      <c r="N79" s="43" t="n">
        <v>46193</v>
      </c>
      <c r="O79" s="26" t="inlineStr">
        <is>
          <t>Sunil CR</t>
        </is>
      </c>
      <c r="P79" s="26" t="inlineStr">
        <is>
          <t>Yes</t>
        </is>
      </c>
      <c r="Q79" s="26" t="inlineStr">
        <is>
          <t>No</t>
        </is>
      </c>
      <c r="R79" s="26" t="inlineStr">
        <is>
          <t>Good finish</t>
        </is>
      </c>
      <c r="S79" s="26" t="inlineStr">
        <is>
          <t>Yes</t>
        </is>
      </c>
      <c r="T79" s="27" t="n"/>
      <c r="U79" s="28" t="inlineStr">
        <is>
          <t>No</t>
        </is>
      </c>
      <c r="V79" s="29">
        <f>IF(N79="","",IF(Q79="Yes","❌ Disc",IF(P79="No","⚠ Missing",IF(S79="Yes","✓ OK","⚠ Check"))))</f>
        <v/>
      </c>
      <c r="W79" s="65" t="n">
        <v>46248</v>
      </c>
      <c r="X79" s="30" t="inlineStr">
        <is>
          <t>Sunil CR</t>
        </is>
      </c>
      <c r="Y79" s="30" t="inlineStr">
        <is>
          <t>Yes</t>
        </is>
      </c>
      <c r="Z79" s="30" t="n"/>
      <c r="AA79" s="30" t="inlineStr">
        <is>
          <t>Good finish</t>
        </is>
      </c>
      <c r="AB79" s="30" t="inlineStr">
        <is>
          <t>Yes</t>
        </is>
      </c>
      <c r="AC79" s="27" t="n"/>
      <c r="AD79" s="31" t="inlineStr">
        <is>
          <t>No</t>
        </is>
      </c>
      <c r="AE79" s="32">
        <f>IF(W79="","",IF(Z79="Yes","❌ Disc",IF(Y79="No","⚠ Missing",IF(AB79="Yes","✓ OK","⚠ Check"))))</f>
        <v/>
      </c>
      <c r="AF79" s="33" t="n"/>
      <c r="AG79" s="33" t="n"/>
      <c r="AH79" s="33" t="n"/>
      <c r="AI79" s="33" t="n"/>
      <c r="AJ79" s="33" t="n"/>
      <c r="AK79" s="33" t="n"/>
      <c r="AL79" s="27" t="n"/>
      <c r="AM79" s="34" t="n"/>
      <c r="AN79" s="35">
        <f>IF(AF79="","",IF(AI79="Yes","❌ Disc",IF(AH79="No","⚠ Missing",IF(AK79="Yes","✓ OK","⚠ Check"))))</f>
        <v/>
      </c>
      <c r="AO79" s="36" t="n"/>
      <c r="AP79" s="36" t="n"/>
      <c r="AQ79" s="36" t="n"/>
      <c r="AR79" s="36" t="n"/>
      <c r="AS79" s="36" t="n"/>
      <c r="AT79" s="36" t="n"/>
      <c r="AU79" s="27" t="n"/>
      <c r="AV79" s="37" t="n"/>
      <c r="AW79" s="38">
        <f>IF(AO79="","",IF(AR79="Yes","❌ Disc",IF(AQ79="No","⚠ Missing",IF(AT79="Yes","✓ OK","⚠ Check"))))</f>
        <v/>
      </c>
    </row>
    <row r="80" ht="18" customHeight="1" s="46">
      <c r="A80" s="39" t="n">
        <v>76</v>
      </c>
      <c r="B80" s="40" t="inlineStr">
        <is>
          <t>BD-VRM-2024-3113</t>
        </is>
      </c>
      <c r="C80" s="41" t="inlineStr">
        <is>
          <t>Flava Louvers - Preminum - TL FL 3009 - 9.5ftx6in</t>
        </is>
      </c>
      <c r="D80" s="39" t="inlineStr">
        <is>
          <t>Flava</t>
        </is>
      </c>
      <c r="E80" s="43" t="n">
        <v>46126</v>
      </c>
      <c r="F80" s="26" t="inlineStr">
        <is>
          <t>Sunil CR</t>
        </is>
      </c>
      <c r="G80" s="26" t="inlineStr">
        <is>
          <t>Yes</t>
        </is>
      </c>
      <c r="H80" s="26" t="inlineStr">
        <is>
          <t>No</t>
        </is>
      </c>
      <c r="I80" s="26" t="inlineStr">
        <is>
          <t>Good finish</t>
        </is>
      </c>
      <c r="J80" s="26" t="inlineStr">
        <is>
          <t>Yes</t>
        </is>
      </c>
      <c r="K80" s="27" t="n"/>
      <c r="L80" s="28" t="inlineStr">
        <is>
          <t>No</t>
        </is>
      </c>
      <c r="M80" s="29">
        <f>IF(E80="","",IF(H80="Yes","❌ Disc",IF(G80="No","⚠ Missing",IF(J80="Yes","✓ OK","⚠ Check"))))</f>
        <v/>
      </c>
      <c r="N80" s="43" t="n">
        <v>46193</v>
      </c>
      <c r="O80" s="26" t="inlineStr">
        <is>
          <t>Sunil CR</t>
        </is>
      </c>
      <c r="P80" s="26" t="inlineStr">
        <is>
          <t>Yes</t>
        </is>
      </c>
      <c r="Q80" s="26" t="inlineStr">
        <is>
          <t>No</t>
        </is>
      </c>
      <c r="R80" s="26" t="inlineStr">
        <is>
          <t>Good finish</t>
        </is>
      </c>
      <c r="S80" s="26" t="inlineStr">
        <is>
          <t>Yes</t>
        </is>
      </c>
      <c r="T80" s="27" t="n"/>
      <c r="U80" s="28" t="inlineStr">
        <is>
          <t>No</t>
        </is>
      </c>
      <c r="V80" s="29">
        <f>IF(N80="","",IF(Q80="Yes","❌ Disc",IF(P80="No","⚠ Missing",IF(S80="Yes","✓ OK","⚠ Check"))))</f>
        <v/>
      </c>
      <c r="W80" s="65" t="n">
        <v>46248</v>
      </c>
      <c r="X80" s="30" t="inlineStr">
        <is>
          <t>Sunil CR</t>
        </is>
      </c>
      <c r="Y80" s="30" t="inlineStr">
        <is>
          <t>Yes</t>
        </is>
      </c>
      <c r="Z80" s="30" t="n"/>
      <c r="AA80" s="30" t="inlineStr">
        <is>
          <t>Good finish</t>
        </is>
      </c>
      <c r="AB80" s="30" t="inlineStr">
        <is>
          <t>Yes</t>
        </is>
      </c>
      <c r="AC80" s="27" t="n"/>
      <c r="AD80" s="31" t="inlineStr">
        <is>
          <t>No</t>
        </is>
      </c>
      <c r="AE80" s="32">
        <f>IF(W80="","",IF(Z80="Yes","❌ Disc",IF(Y80="No","⚠ Missing",IF(AB80="Yes","✓ OK","⚠ Check"))))</f>
        <v/>
      </c>
      <c r="AF80" s="33" t="n"/>
      <c r="AG80" s="33" t="n"/>
      <c r="AH80" s="33" t="n"/>
      <c r="AI80" s="33" t="n"/>
      <c r="AJ80" s="33" t="n"/>
      <c r="AK80" s="33" t="n"/>
      <c r="AL80" s="27" t="n"/>
      <c r="AM80" s="34" t="n"/>
      <c r="AN80" s="35">
        <f>IF(AF80="","",IF(AI80="Yes","❌ Disc",IF(AH80="No","⚠ Missing",IF(AK80="Yes","✓ OK","⚠ Check"))))</f>
        <v/>
      </c>
      <c r="AO80" s="36" t="n"/>
      <c r="AP80" s="36" t="n"/>
      <c r="AQ80" s="36" t="n"/>
      <c r="AR80" s="36" t="n"/>
      <c r="AS80" s="36" t="n"/>
      <c r="AT80" s="36" t="n"/>
      <c r="AU80" s="27" t="n"/>
      <c r="AV80" s="37" t="n"/>
      <c r="AW80" s="38">
        <f>IF(AO80="","",IF(AR80="Yes","❌ Disc",IF(AQ80="No","⚠ Missing",IF(AT80="Yes","✓ OK","⚠ Check"))))</f>
        <v/>
      </c>
    </row>
    <row r="81" ht="18" customHeight="1" s="46">
      <c r="A81" s="23" t="n">
        <v>77</v>
      </c>
      <c r="B81" s="24" t="inlineStr">
        <is>
          <t>BD-VRM-2024-3112</t>
        </is>
      </c>
      <c r="C81" s="25" t="inlineStr">
        <is>
          <t>Flava Louvers - Preminum - TL FL 3011 - 9.5ftx6in</t>
        </is>
      </c>
      <c r="D81" s="23" t="inlineStr">
        <is>
          <t>Flava</t>
        </is>
      </c>
      <c r="E81" s="43" t="n">
        <v>46126</v>
      </c>
      <c r="F81" s="26" t="inlineStr">
        <is>
          <t>Sunil CR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Good finish</t>
        </is>
      </c>
      <c r="J81" s="26" t="inlineStr">
        <is>
          <t>Yes</t>
        </is>
      </c>
      <c r="K81" s="27" t="n"/>
      <c r="L81" s="28" t="inlineStr">
        <is>
          <t>No</t>
        </is>
      </c>
      <c r="M81" s="29">
        <f>IF(E81="","",IF(H81="Yes","❌ Disc",IF(G81="No","⚠ Missing",IF(J81="Yes","✓ OK","⚠ Check"))))</f>
        <v/>
      </c>
      <c r="N81" s="43" t="n">
        <v>46193</v>
      </c>
      <c r="O81" s="26" t="inlineStr">
        <is>
          <t>Sunil CR</t>
        </is>
      </c>
      <c r="P81" s="26" t="inlineStr">
        <is>
          <t>Yes</t>
        </is>
      </c>
      <c r="Q81" s="26" t="inlineStr">
        <is>
          <t>No</t>
        </is>
      </c>
      <c r="R81" s="26" t="inlineStr">
        <is>
          <t>Good finish</t>
        </is>
      </c>
      <c r="S81" s="26" t="inlineStr">
        <is>
          <t>Yes</t>
        </is>
      </c>
      <c r="T81" s="27" t="n"/>
      <c r="U81" s="28" t="inlineStr">
        <is>
          <t>No</t>
        </is>
      </c>
      <c r="V81" s="29">
        <f>IF(N81="","",IF(Q81="Yes","❌ Disc",IF(P81="No","⚠ Missing",IF(S81="Yes","✓ OK","⚠ Check"))))</f>
        <v/>
      </c>
      <c r="W81" s="65" t="n">
        <v>46248</v>
      </c>
      <c r="X81" s="30" t="inlineStr">
        <is>
          <t>Sunil CR</t>
        </is>
      </c>
      <c r="Y81" s="30" t="inlineStr">
        <is>
          <t>Yes</t>
        </is>
      </c>
      <c r="Z81" s="30" t="n"/>
      <c r="AA81" s="30" t="inlineStr">
        <is>
          <t>Good finish</t>
        </is>
      </c>
      <c r="AB81" s="30" t="inlineStr">
        <is>
          <t>Yes</t>
        </is>
      </c>
      <c r="AC81" s="27" t="n"/>
      <c r="AD81" s="31" t="inlineStr">
        <is>
          <t>No</t>
        </is>
      </c>
      <c r="AE81" s="32">
        <f>IF(W81="","",IF(Z81="Yes","❌ Disc",IF(Y81="No","⚠ Missing",IF(AB81="Yes","✓ OK","⚠ Check"))))</f>
        <v/>
      </c>
      <c r="AF81" s="33" t="n"/>
      <c r="AG81" s="33" t="n"/>
      <c r="AH81" s="33" t="n"/>
      <c r="AI81" s="33" t="n"/>
      <c r="AJ81" s="33" t="n"/>
      <c r="AK81" s="33" t="n"/>
      <c r="AL81" s="27" t="n"/>
      <c r="AM81" s="34" t="n"/>
      <c r="AN81" s="35">
        <f>IF(AF81="","",IF(AI81="Yes","❌ Disc",IF(AH81="No","⚠ Missing",IF(AK81="Yes","✓ OK","⚠ Check"))))</f>
        <v/>
      </c>
      <c r="AO81" s="36" t="n"/>
      <c r="AP81" s="36" t="n"/>
      <c r="AQ81" s="36" t="n"/>
      <c r="AR81" s="36" t="n"/>
      <c r="AS81" s="36" t="n"/>
      <c r="AT81" s="36" t="n"/>
      <c r="AU81" s="27" t="n"/>
      <c r="AV81" s="37" t="n"/>
      <c r="AW81" s="38">
        <f>IF(AO81="","",IF(AR81="Yes","❌ Disc",IF(AQ81="No","⚠ Missing",IF(AT81="Yes","✓ OK","⚠ Check"))))</f>
        <v/>
      </c>
    </row>
    <row r="82" ht="18" customHeight="1" s="46">
      <c r="A82" s="39" t="n">
        <v>78</v>
      </c>
      <c r="B82" s="40" t="inlineStr">
        <is>
          <t>BD-VRM-2024-3111</t>
        </is>
      </c>
      <c r="C82" s="41" t="inlineStr">
        <is>
          <t>Flava Louvers - Preminum - TL FL 3012 - 9.5ftx6in</t>
        </is>
      </c>
      <c r="D82" s="39" t="inlineStr">
        <is>
          <t>Flava</t>
        </is>
      </c>
      <c r="E82" s="43" t="n">
        <v>46126</v>
      </c>
      <c r="F82" s="26" t="inlineStr">
        <is>
          <t>Sunil CR</t>
        </is>
      </c>
      <c r="G82" s="26" t="inlineStr">
        <is>
          <t>Yes</t>
        </is>
      </c>
      <c r="H82" s="26" t="inlineStr">
        <is>
          <t>No</t>
        </is>
      </c>
      <c r="I82" s="26" t="inlineStr">
        <is>
          <t>Good finish</t>
        </is>
      </c>
      <c r="J82" s="26" t="inlineStr">
        <is>
          <t>Yes</t>
        </is>
      </c>
      <c r="K82" s="27" t="n"/>
      <c r="L82" s="28" t="inlineStr">
        <is>
          <t>No</t>
        </is>
      </c>
      <c r="M82" s="29">
        <f>IF(E82="","",IF(H82="Yes","❌ Disc",IF(G82="No","⚠ Missing",IF(J82="Yes","✓ OK","⚠ Check"))))</f>
        <v/>
      </c>
      <c r="N82" s="43" t="n">
        <v>46193</v>
      </c>
      <c r="O82" s="26" t="inlineStr">
        <is>
          <t>Sunil CR</t>
        </is>
      </c>
      <c r="P82" s="26" t="inlineStr">
        <is>
          <t>Yes</t>
        </is>
      </c>
      <c r="Q82" s="26" t="inlineStr">
        <is>
          <t>No</t>
        </is>
      </c>
      <c r="R82" s="26" t="inlineStr">
        <is>
          <t>Good finish</t>
        </is>
      </c>
      <c r="S82" s="26" t="inlineStr">
        <is>
          <t>Yes</t>
        </is>
      </c>
      <c r="T82" s="27" t="n"/>
      <c r="U82" s="28" t="inlineStr">
        <is>
          <t>No</t>
        </is>
      </c>
      <c r="V82" s="29">
        <f>IF(N82="","",IF(Q82="Yes","❌ Disc",IF(P82="No","⚠ Missing",IF(S82="Yes","✓ OK","⚠ Check"))))</f>
        <v/>
      </c>
      <c r="W82" s="65" t="n">
        <v>46248</v>
      </c>
      <c r="X82" s="30" t="inlineStr">
        <is>
          <t>Sunil CR</t>
        </is>
      </c>
      <c r="Y82" s="30" t="inlineStr">
        <is>
          <t>Yes</t>
        </is>
      </c>
      <c r="Z82" s="30" t="n"/>
      <c r="AA82" s="30" t="inlineStr">
        <is>
          <t>Good finish</t>
        </is>
      </c>
      <c r="AB82" s="30" t="inlineStr">
        <is>
          <t>Yes</t>
        </is>
      </c>
      <c r="AC82" s="27" t="n"/>
      <c r="AD82" s="31" t="inlineStr">
        <is>
          <t>No</t>
        </is>
      </c>
      <c r="AE82" s="32">
        <f>IF(W82="","",IF(Z82="Yes","❌ Disc",IF(Y82="No","⚠ Missing",IF(AB82="Yes","✓ OK","⚠ Check"))))</f>
        <v/>
      </c>
      <c r="AF82" s="33" t="n"/>
      <c r="AG82" s="33" t="n"/>
      <c r="AH82" s="33" t="n"/>
      <c r="AI82" s="33" t="n"/>
      <c r="AJ82" s="33" t="n"/>
      <c r="AK82" s="33" t="n"/>
      <c r="AL82" s="27" t="n"/>
      <c r="AM82" s="34" t="n"/>
      <c r="AN82" s="35">
        <f>IF(AF82="","",IF(AI82="Yes","❌ Disc",IF(AH82="No","⚠ Missing",IF(AK82="Yes","✓ OK","⚠ Check"))))</f>
        <v/>
      </c>
      <c r="AO82" s="36" t="n"/>
      <c r="AP82" s="36" t="n"/>
      <c r="AQ82" s="36" t="n"/>
      <c r="AR82" s="36" t="n"/>
      <c r="AS82" s="36" t="n"/>
      <c r="AT82" s="36" t="n"/>
      <c r="AU82" s="27" t="n"/>
      <c r="AV82" s="37" t="n"/>
      <c r="AW82" s="38">
        <f>IF(AO82="","",IF(AR82="Yes","❌ Disc",IF(AQ82="No","⚠ Missing",IF(AT82="Yes","✓ OK","⚠ Check"))))</f>
        <v/>
      </c>
    </row>
    <row r="83" ht="18" customHeight="1" s="46">
      <c r="A83" s="23" t="n">
        <v>79</v>
      </c>
      <c r="B83" s="24" t="inlineStr">
        <is>
          <t>BD-VRM-2024-3115</t>
        </is>
      </c>
      <c r="C83" s="25" t="inlineStr">
        <is>
          <t>Flava Louvers - Preminum - TL FL 3015 - 9.5ftx6in</t>
        </is>
      </c>
      <c r="D83" s="23" t="inlineStr">
        <is>
          <t>Flava</t>
        </is>
      </c>
      <c r="E83" s="43" t="n">
        <v>46126</v>
      </c>
      <c r="F83" s="26" t="inlineStr">
        <is>
          <t>Sunil CR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Good finish</t>
        </is>
      </c>
      <c r="J83" s="26" t="inlineStr">
        <is>
          <t>Yes</t>
        </is>
      </c>
      <c r="K83" s="27" t="n"/>
      <c r="L83" s="28" t="inlineStr">
        <is>
          <t>No</t>
        </is>
      </c>
      <c r="M83" s="29">
        <f>IF(E83="","",IF(H83="Yes","❌ Disc",IF(G83="No","⚠ Missing",IF(J83="Yes","✓ OK","⚠ Check"))))</f>
        <v/>
      </c>
      <c r="N83" s="43" t="n">
        <v>46193</v>
      </c>
      <c r="O83" s="26" t="inlineStr">
        <is>
          <t>Sunil CR</t>
        </is>
      </c>
      <c r="P83" s="26" t="inlineStr">
        <is>
          <t>Yes</t>
        </is>
      </c>
      <c r="Q83" s="26" t="inlineStr">
        <is>
          <t>No</t>
        </is>
      </c>
      <c r="R83" s="26" t="inlineStr">
        <is>
          <t>Good finish</t>
        </is>
      </c>
      <c r="S83" s="26" t="inlineStr">
        <is>
          <t>Yes</t>
        </is>
      </c>
      <c r="T83" s="27" t="n"/>
      <c r="U83" s="28" t="inlineStr">
        <is>
          <t>No</t>
        </is>
      </c>
      <c r="V83" s="29">
        <f>IF(N83="","",IF(Q83="Yes","❌ Disc",IF(P83="No","⚠ Missing",IF(S83="Yes","✓ OK","⚠ Check"))))</f>
        <v/>
      </c>
      <c r="W83" s="65" t="n">
        <v>46248</v>
      </c>
      <c r="X83" s="30" t="inlineStr">
        <is>
          <t>Sunil CR</t>
        </is>
      </c>
      <c r="Y83" s="30" t="inlineStr">
        <is>
          <t>Yes</t>
        </is>
      </c>
      <c r="Z83" s="30" t="n"/>
      <c r="AA83" s="30" t="inlineStr">
        <is>
          <t>Good finish</t>
        </is>
      </c>
      <c r="AB83" s="30" t="inlineStr">
        <is>
          <t>Yes</t>
        </is>
      </c>
      <c r="AC83" s="27" t="n"/>
      <c r="AD83" s="31" t="inlineStr">
        <is>
          <t>No</t>
        </is>
      </c>
      <c r="AE83" s="32">
        <f>IF(W83="","",IF(Z83="Yes","❌ Disc",IF(Y83="No","⚠ Missing",IF(AB83="Yes","✓ OK","⚠ Check"))))</f>
        <v/>
      </c>
      <c r="AF83" s="33" t="n"/>
      <c r="AG83" s="33" t="n"/>
      <c r="AH83" s="33" t="n"/>
      <c r="AI83" s="33" t="n"/>
      <c r="AJ83" s="33" t="n"/>
      <c r="AK83" s="33" t="n"/>
      <c r="AL83" s="27" t="n"/>
      <c r="AM83" s="34" t="n"/>
      <c r="AN83" s="35">
        <f>IF(AF83="","",IF(AI83="Yes","❌ Disc",IF(AH83="No","⚠ Missing",IF(AK83="Yes","✓ OK","⚠ Check"))))</f>
        <v/>
      </c>
      <c r="AO83" s="36" t="n"/>
      <c r="AP83" s="36" t="n"/>
      <c r="AQ83" s="36" t="n"/>
      <c r="AR83" s="36" t="n"/>
      <c r="AS83" s="36" t="n"/>
      <c r="AT83" s="36" t="n"/>
      <c r="AU83" s="27" t="n"/>
      <c r="AV83" s="37" t="n"/>
      <c r="AW83" s="38">
        <f>IF(AO83="","",IF(AR83="Yes","❌ Disc",IF(AQ83="No","⚠ Missing",IF(AT83="Yes","✓ OK","⚠ Check"))))</f>
        <v/>
      </c>
    </row>
    <row r="84" ht="18" customHeight="1" s="46">
      <c r="A84" s="39" t="n">
        <v>80</v>
      </c>
      <c r="B84" s="40" t="inlineStr">
        <is>
          <t>BD-VRM-2024-3140</t>
        </is>
      </c>
      <c r="C84" s="41" t="inlineStr">
        <is>
          <t>Flava Louvers - Preminum - TL FL 3016 - 9.5ftx6in</t>
        </is>
      </c>
      <c r="D84" s="39" t="inlineStr">
        <is>
          <t>Flava</t>
        </is>
      </c>
      <c r="E84" s="43" t="n">
        <v>46126</v>
      </c>
      <c r="F84" s="26" t="inlineStr">
        <is>
          <t>Sunil CR</t>
        </is>
      </c>
      <c r="G84" s="26" t="inlineStr">
        <is>
          <t>Yes</t>
        </is>
      </c>
      <c r="H84" s="26" t="inlineStr">
        <is>
          <t>No</t>
        </is>
      </c>
      <c r="I84" s="26" t="inlineStr">
        <is>
          <t>Good finish</t>
        </is>
      </c>
      <c r="J84" s="26" t="inlineStr">
        <is>
          <t>Yes</t>
        </is>
      </c>
      <c r="K84" s="27" t="n"/>
      <c r="L84" s="28" t="inlineStr">
        <is>
          <t>No</t>
        </is>
      </c>
      <c r="M84" s="29">
        <f>IF(E84="","",IF(H84="Yes","❌ Disc",IF(G84="No","⚠ Missing",IF(J84="Yes","✓ OK","⚠ Check"))))</f>
        <v/>
      </c>
      <c r="N84" s="43" t="n">
        <v>46193</v>
      </c>
      <c r="O84" s="26" t="inlineStr">
        <is>
          <t>Sunil CR</t>
        </is>
      </c>
      <c r="P84" s="26" t="inlineStr">
        <is>
          <t>Yes</t>
        </is>
      </c>
      <c r="Q84" s="26" t="inlineStr">
        <is>
          <t>No</t>
        </is>
      </c>
      <c r="R84" s="26" t="inlineStr">
        <is>
          <t>Good finish</t>
        </is>
      </c>
      <c r="S84" s="26" t="inlineStr">
        <is>
          <t>Yes</t>
        </is>
      </c>
      <c r="T84" s="27" t="n"/>
      <c r="U84" s="28" t="inlineStr">
        <is>
          <t>No</t>
        </is>
      </c>
      <c r="V84" s="29">
        <f>IF(N84="","",IF(Q84="Yes","❌ Disc",IF(P84="No","⚠ Missing",IF(S84="Yes","✓ OK","⚠ Check"))))</f>
        <v/>
      </c>
      <c r="W84" s="65" t="n">
        <v>46248</v>
      </c>
      <c r="X84" s="30" t="inlineStr">
        <is>
          <t>Sunil CR</t>
        </is>
      </c>
      <c r="Y84" s="30" t="inlineStr">
        <is>
          <t>Yes</t>
        </is>
      </c>
      <c r="Z84" s="30" t="n"/>
      <c r="AA84" s="30" t="inlineStr">
        <is>
          <t>Good finish</t>
        </is>
      </c>
      <c r="AB84" s="30" t="inlineStr">
        <is>
          <t>Yes</t>
        </is>
      </c>
      <c r="AC84" s="27" t="n"/>
      <c r="AD84" s="31" t="inlineStr">
        <is>
          <t>No</t>
        </is>
      </c>
      <c r="AE84" s="32">
        <f>IF(W84="","",IF(Z84="Yes","❌ Disc",IF(Y84="No","⚠ Missing",IF(AB84="Yes","✓ OK","⚠ Check"))))</f>
        <v/>
      </c>
      <c r="AF84" s="33" t="n"/>
      <c r="AG84" s="33" t="n"/>
      <c r="AH84" s="33" t="n"/>
      <c r="AI84" s="33" t="n"/>
      <c r="AJ84" s="33" t="n"/>
      <c r="AK84" s="33" t="n"/>
      <c r="AL84" s="27" t="n"/>
      <c r="AM84" s="34" t="n"/>
      <c r="AN84" s="35">
        <f>IF(AF84="","",IF(AI84="Yes","❌ Disc",IF(AH84="No","⚠ Missing",IF(AK84="Yes","✓ OK","⚠ Check"))))</f>
        <v/>
      </c>
      <c r="AO84" s="36" t="n"/>
      <c r="AP84" s="36" t="n"/>
      <c r="AQ84" s="36" t="n"/>
      <c r="AR84" s="36" t="n"/>
      <c r="AS84" s="36" t="n"/>
      <c r="AT84" s="36" t="n"/>
      <c r="AU84" s="27" t="n"/>
      <c r="AV84" s="37" t="n"/>
      <c r="AW84" s="38">
        <f>IF(AO84="","",IF(AR84="Yes","❌ Disc",IF(AQ84="No","⚠ Missing",IF(AT84="Yes","✓ OK","⚠ Check"))))</f>
        <v/>
      </c>
    </row>
    <row r="85" ht="18" customHeight="1" s="46">
      <c r="A85" s="23" t="n">
        <v>81</v>
      </c>
      <c r="B85" s="24" t="inlineStr">
        <is>
          <t>BD-VRM-2024-3138</t>
        </is>
      </c>
      <c r="C85" s="25" t="inlineStr">
        <is>
          <t>Flava Louvers - Preminum - TL FL 3017 - 9.5ftx6in</t>
        </is>
      </c>
      <c r="D85" s="23" t="inlineStr">
        <is>
          <t>Flava</t>
        </is>
      </c>
      <c r="E85" s="43" t="n">
        <v>46126</v>
      </c>
      <c r="F85" s="26" t="inlineStr">
        <is>
          <t>Sunil CR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Good finish</t>
        </is>
      </c>
      <c r="J85" s="26" t="inlineStr">
        <is>
          <t>Yes</t>
        </is>
      </c>
      <c r="K85" s="27" t="n"/>
      <c r="L85" s="28" t="inlineStr">
        <is>
          <t>No</t>
        </is>
      </c>
      <c r="M85" s="29">
        <f>IF(E85="","",IF(H85="Yes","❌ Disc",IF(G85="No","⚠ Missing",IF(J85="Yes","✓ OK","⚠ Check"))))</f>
        <v/>
      </c>
      <c r="N85" s="43" t="n">
        <v>46193</v>
      </c>
      <c r="O85" s="26" t="inlineStr">
        <is>
          <t>Sunil CR</t>
        </is>
      </c>
      <c r="P85" s="26" t="inlineStr">
        <is>
          <t>Yes</t>
        </is>
      </c>
      <c r="Q85" s="26" t="inlineStr">
        <is>
          <t>No</t>
        </is>
      </c>
      <c r="R85" s="26" t="inlineStr">
        <is>
          <t>Good finish</t>
        </is>
      </c>
      <c r="S85" s="26" t="inlineStr">
        <is>
          <t>Yes</t>
        </is>
      </c>
      <c r="T85" s="27" t="n"/>
      <c r="U85" s="28" t="inlineStr">
        <is>
          <t>No</t>
        </is>
      </c>
      <c r="V85" s="29">
        <f>IF(N85="","",IF(Q85="Yes","❌ Disc",IF(P85="No","⚠ Missing",IF(S85="Yes","✓ OK","⚠ Check"))))</f>
        <v/>
      </c>
      <c r="W85" s="65" t="n">
        <v>46248</v>
      </c>
      <c r="X85" s="30" t="inlineStr">
        <is>
          <t>Sunil CR</t>
        </is>
      </c>
      <c r="Y85" s="30" t="inlineStr">
        <is>
          <t>Yes</t>
        </is>
      </c>
      <c r="Z85" s="30" t="n"/>
      <c r="AA85" s="30" t="inlineStr">
        <is>
          <t>Good finish</t>
        </is>
      </c>
      <c r="AB85" s="30" t="inlineStr">
        <is>
          <t>Yes</t>
        </is>
      </c>
      <c r="AC85" s="27" t="n"/>
      <c r="AD85" s="31" t="inlineStr">
        <is>
          <t>No</t>
        </is>
      </c>
      <c r="AE85" s="32">
        <f>IF(W85="","",IF(Z85="Yes","❌ Disc",IF(Y85="No","⚠ Missing",IF(AB85="Yes","✓ OK","⚠ Check"))))</f>
        <v/>
      </c>
      <c r="AF85" s="33" t="n"/>
      <c r="AG85" s="33" t="n"/>
      <c r="AH85" s="33" t="n"/>
      <c r="AI85" s="33" t="n"/>
      <c r="AJ85" s="33" t="n"/>
      <c r="AK85" s="33" t="n"/>
      <c r="AL85" s="27" t="n"/>
      <c r="AM85" s="34" t="n"/>
      <c r="AN85" s="35">
        <f>IF(AF85="","",IF(AI85="Yes","❌ Disc",IF(AH85="No","⚠ Missing",IF(AK85="Yes","✓ OK","⚠ Check"))))</f>
        <v/>
      </c>
      <c r="AO85" s="36" t="n"/>
      <c r="AP85" s="36" t="n"/>
      <c r="AQ85" s="36" t="n"/>
      <c r="AR85" s="36" t="n"/>
      <c r="AS85" s="36" t="n"/>
      <c r="AT85" s="36" t="n"/>
      <c r="AU85" s="27" t="n"/>
      <c r="AV85" s="37" t="n"/>
      <c r="AW85" s="38">
        <f>IF(AO85="","",IF(AR85="Yes","❌ Disc",IF(AQ85="No","⚠ Missing",IF(AT85="Yes","✓ OK","⚠ Check"))))</f>
        <v/>
      </c>
    </row>
    <row r="86" ht="18" customHeight="1" s="46">
      <c r="A86" s="39" t="n">
        <v>82</v>
      </c>
      <c r="B86" s="40" t="inlineStr">
        <is>
          <t>BD-VRM-2024-3128</t>
        </is>
      </c>
      <c r="C86" s="41" t="inlineStr">
        <is>
          <t>Flava Louvers - Preminum - TL FL 6101 - 9.5ftx6in</t>
        </is>
      </c>
      <c r="D86" s="39" t="inlineStr">
        <is>
          <t>Flava</t>
        </is>
      </c>
      <c r="E86" s="43" t="n">
        <v>46126</v>
      </c>
      <c r="F86" s="26" t="inlineStr">
        <is>
          <t>Sunil CR</t>
        </is>
      </c>
      <c r="G86" s="26" t="inlineStr">
        <is>
          <t>Yes</t>
        </is>
      </c>
      <c r="H86" s="26" t="inlineStr">
        <is>
          <t>No</t>
        </is>
      </c>
      <c r="I86" s="26" t="inlineStr">
        <is>
          <t>Good finish</t>
        </is>
      </c>
      <c r="J86" s="26" t="inlineStr">
        <is>
          <t>Yes</t>
        </is>
      </c>
      <c r="K86" s="27" t="n"/>
      <c r="L86" s="28" t="inlineStr">
        <is>
          <t>No</t>
        </is>
      </c>
      <c r="M86" s="29">
        <f>IF(E86="","",IF(H86="Yes","❌ Disc",IF(G86="No","⚠ Missing",IF(J86="Yes","✓ OK","⚠ Check"))))</f>
        <v/>
      </c>
      <c r="N86" s="43" t="n">
        <v>46193</v>
      </c>
      <c r="O86" s="26" t="inlineStr">
        <is>
          <t>Sunil CR</t>
        </is>
      </c>
      <c r="P86" s="26" t="inlineStr">
        <is>
          <t>Yes</t>
        </is>
      </c>
      <c r="Q86" s="26" t="inlineStr">
        <is>
          <t>No</t>
        </is>
      </c>
      <c r="R86" s="26" t="inlineStr">
        <is>
          <t>Good finish</t>
        </is>
      </c>
      <c r="S86" s="26" t="inlineStr">
        <is>
          <t>Yes</t>
        </is>
      </c>
      <c r="T86" s="27" t="n"/>
      <c r="U86" s="28" t="inlineStr">
        <is>
          <t>No</t>
        </is>
      </c>
      <c r="V86" s="29">
        <f>IF(N86="","",IF(Q86="Yes","❌ Disc",IF(P86="No","⚠ Missing",IF(S86="Yes","✓ OK","⚠ Check"))))</f>
        <v/>
      </c>
      <c r="W86" s="65" t="n">
        <v>46248</v>
      </c>
      <c r="X86" s="30" t="inlineStr">
        <is>
          <t>Sunil CR</t>
        </is>
      </c>
      <c r="Y86" s="30" t="inlineStr">
        <is>
          <t>Yes</t>
        </is>
      </c>
      <c r="Z86" s="30" t="n"/>
      <c r="AA86" s="30" t="inlineStr">
        <is>
          <t>Good finish</t>
        </is>
      </c>
      <c r="AB86" s="30" t="inlineStr">
        <is>
          <t>Yes</t>
        </is>
      </c>
      <c r="AC86" s="27" t="n"/>
      <c r="AD86" s="31" t="inlineStr">
        <is>
          <t>No</t>
        </is>
      </c>
      <c r="AE86" s="32">
        <f>IF(W86="","",IF(Z86="Yes","❌ Disc",IF(Y86="No","⚠ Missing",IF(AB86="Yes","✓ OK","⚠ Check"))))</f>
        <v/>
      </c>
      <c r="AF86" s="33" t="n"/>
      <c r="AG86" s="33" t="n"/>
      <c r="AH86" s="33" t="n"/>
      <c r="AI86" s="33" t="n"/>
      <c r="AJ86" s="33" t="n"/>
      <c r="AK86" s="33" t="n"/>
      <c r="AL86" s="27" t="n"/>
      <c r="AM86" s="34" t="n"/>
      <c r="AN86" s="35">
        <f>IF(AF86="","",IF(AI86="Yes","❌ Disc",IF(AH86="No","⚠ Missing",IF(AK86="Yes","✓ OK","⚠ Check"))))</f>
        <v/>
      </c>
      <c r="AO86" s="36" t="n"/>
      <c r="AP86" s="36" t="n"/>
      <c r="AQ86" s="36" t="n"/>
      <c r="AR86" s="36" t="n"/>
      <c r="AS86" s="36" t="n"/>
      <c r="AT86" s="36" t="n"/>
      <c r="AU86" s="27" t="n"/>
      <c r="AV86" s="37" t="n"/>
      <c r="AW86" s="38">
        <f>IF(AO86="","",IF(AR86="Yes","❌ Disc",IF(AQ86="No","⚠ Missing",IF(AT86="Yes","✓ OK","⚠ Check"))))</f>
        <v/>
      </c>
    </row>
    <row r="87" ht="18" customHeight="1" s="46">
      <c r="A87" s="23" t="n">
        <v>83</v>
      </c>
      <c r="B87" s="24" t="inlineStr">
        <is>
          <t>BD-VRM-2024-3127</t>
        </is>
      </c>
      <c r="C87" s="25" t="inlineStr">
        <is>
          <t>Flava Louvers - Preminum - TL FL 6102 - 9.5ftx6in</t>
        </is>
      </c>
      <c r="D87" s="23" t="inlineStr">
        <is>
          <t>Flava</t>
        </is>
      </c>
      <c r="E87" s="43" t="n">
        <v>46126</v>
      </c>
      <c r="F87" s="26" t="inlineStr">
        <is>
          <t>Sunil CR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Good finish</t>
        </is>
      </c>
      <c r="J87" s="26" t="inlineStr">
        <is>
          <t>Yes</t>
        </is>
      </c>
      <c r="K87" s="27" t="n"/>
      <c r="L87" s="28" t="inlineStr">
        <is>
          <t>No</t>
        </is>
      </c>
      <c r="M87" s="29">
        <f>IF(E87="","",IF(H87="Yes","❌ Disc",IF(G87="No","⚠ Missing",IF(J87="Yes","✓ OK","⚠ Check"))))</f>
        <v/>
      </c>
      <c r="N87" s="43" t="n">
        <v>46193</v>
      </c>
      <c r="O87" s="26" t="inlineStr">
        <is>
          <t>Sunil CR</t>
        </is>
      </c>
      <c r="P87" s="26" t="inlineStr">
        <is>
          <t>Yes</t>
        </is>
      </c>
      <c r="Q87" s="26" t="inlineStr">
        <is>
          <t>No</t>
        </is>
      </c>
      <c r="R87" s="26" t="inlineStr">
        <is>
          <t>Good finish</t>
        </is>
      </c>
      <c r="S87" s="26" t="inlineStr">
        <is>
          <t>Yes</t>
        </is>
      </c>
      <c r="T87" s="27" t="n"/>
      <c r="U87" s="28" t="inlineStr">
        <is>
          <t>No</t>
        </is>
      </c>
      <c r="V87" s="29">
        <f>IF(N87="","",IF(Q87="Yes","❌ Disc",IF(P87="No","⚠ Missing",IF(S87="Yes","✓ OK","⚠ Check"))))</f>
        <v/>
      </c>
      <c r="W87" s="65" t="n">
        <v>46248</v>
      </c>
      <c r="X87" s="30" t="inlineStr">
        <is>
          <t>Sunil CR</t>
        </is>
      </c>
      <c r="Y87" s="30" t="inlineStr">
        <is>
          <t>Yes</t>
        </is>
      </c>
      <c r="Z87" s="30" t="n"/>
      <c r="AA87" s="30" t="inlineStr">
        <is>
          <t>Good finish</t>
        </is>
      </c>
      <c r="AB87" s="30" t="inlineStr">
        <is>
          <t>Yes</t>
        </is>
      </c>
      <c r="AC87" s="27" t="n"/>
      <c r="AD87" s="31" t="inlineStr">
        <is>
          <t>No</t>
        </is>
      </c>
      <c r="AE87" s="32">
        <f>IF(W87="","",IF(Z87="Yes","❌ Disc",IF(Y87="No","⚠ Missing",IF(AB87="Yes","✓ OK","⚠ Check"))))</f>
        <v/>
      </c>
      <c r="AF87" s="33" t="n"/>
      <c r="AG87" s="33" t="n"/>
      <c r="AH87" s="33" t="n"/>
      <c r="AI87" s="33" t="n"/>
      <c r="AJ87" s="33" t="n"/>
      <c r="AK87" s="33" t="n"/>
      <c r="AL87" s="27" t="n"/>
      <c r="AM87" s="34" t="n"/>
      <c r="AN87" s="35">
        <f>IF(AF87="","",IF(AI87="Yes","❌ Disc",IF(AH87="No","⚠ Missing",IF(AK87="Yes","✓ OK","⚠ Check"))))</f>
        <v/>
      </c>
      <c r="AO87" s="36" t="n"/>
      <c r="AP87" s="36" t="n"/>
      <c r="AQ87" s="36" t="n"/>
      <c r="AR87" s="36" t="n"/>
      <c r="AS87" s="36" t="n"/>
      <c r="AT87" s="36" t="n"/>
      <c r="AU87" s="27" t="n"/>
      <c r="AV87" s="37" t="n"/>
      <c r="AW87" s="38">
        <f>IF(AO87="","",IF(AR87="Yes","❌ Disc",IF(AQ87="No","⚠ Missing",IF(AT87="Yes","✓ OK","⚠ Check"))))</f>
        <v/>
      </c>
    </row>
    <row r="88" ht="18" customHeight="1" s="46">
      <c r="A88" s="39" t="n">
        <v>84</v>
      </c>
      <c r="B88" s="40" t="inlineStr">
        <is>
          <t>BD-VRM-2024-3124</t>
        </is>
      </c>
      <c r="C88" s="41" t="inlineStr">
        <is>
          <t>Flava Louvers - Preminum - TL FL 6103 - 9.5ftx6in</t>
        </is>
      </c>
      <c r="D88" s="39" t="inlineStr">
        <is>
          <t>Flava</t>
        </is>
      </c>
      <c r="E88" s="43" t="n">
        <v>46126</v>
      </c>
      <c r="F88" s="26" t="inlineStr">
        <is>
          <t>Sunil CR</t>
        </is>
      </c>
      <c r="G88" s="26" t="inlineStr">
        <is>
          <t>Yes</t>
        </is>
      </c>
      <c r="H88" s="26" t="inlineStr">
        <is>
          <t>No</t>
        </is>
      </c>
      <c r="I88" s="26" t="inlineStr">
        <is>
          <t>Good finish</t>
        </is>
      </c>
      <c r="J88" s="26" t="inlineStr">
        <is>
          <t>Yes</t>
        </is>
      </c>
      <c r="K88" s="27" t="n"/>
      <c r="L88" s="28" t="inlineStr">
        <is>
          <t>No</t>
        </is>
      </c>
      <c r="M88" s="29">
        <f>IF(E88="","",IF(H88="Yes","❌ Disc",IF(G88="No","⚠ Missing",IF(J88="Yes","✓ OK","⚠ Check"))))</f>
        <v/>
      </c>
      <c r="N88" s="43" t="n">
        <v>46193</v>
      </c>
      <c r="O88" s="26" t="inlineStr">
        <is>
          <t>Sunil CR</t>
        </is>
      </c>
      <c r="P88" s="26" t="inlineStr">
        <is>
          <t>Yes</t>
        </is>
      </c>
      <c r="Q88" s="26" t="inlineStr">
        <is>
          <t>No</t>
        </is>
      </c>
      <c r="R88" s="26" t="inlineStr">
        <is>
          <t>Good finish</t>
        </is>
      </c>
      <c r="S88" s="26" t="inlineStr">
        <is>
          <t>Yes</t>
        </is>
      </c>
      <c r="T88" s="27" t="n"/>
      <c r="U88" s="28" t="inlineStr">
        <is>
          <t>No</t>
        </is>
      </c>
      <c r="V88" s="29">
        <f>IF(N88="","",IF(Q88="Yes","❌ Disc",IF(P88="No","⚠ Missing",IF(S88="Yes","✓ OK","⚠ Check"))))</f>
        <v/>
      </c>
      <c r="W88" s="65" t="n">
        <v>46248</v>
      </c>
      <c r="X88" s="30" t="inlineStr">
        <is>
          <t>Sunil CR</t>
        </is>
      </c>
      <c r="Y88" s="30" t="inlineStr">
        <is>
          <t>Yes</t>
        </is>
      </c>
      <c r="Z88" s="30" t="n"/>
      <c r="AA88" s="30" t="inlineStr">
        <is>
          <t>Good finish</t>
        </is>
      </c>
      <c r="AB88" s="30" t="inlineStr">
        <is>
          <t>Yes</t>
        </is>
      </c>
      <c r="AC88" s="27" t="n"/>
      <c r="AD88" s="31" t="inlineStr">
        <is>
          <t>No</t>
        </is>
      </c>
      <c r="AE88" s="32">
        <f>IF(W88="","",IF(Z88="Yes","❌ Disc",IF(Y88="No","⚠ Missing",IF(AB88="Yes","✓ OK","⚠ Check"))))</f>
        <v/>
      </c>
      <c r="AF88" s="33" t="n"/>
      <c r="AG88" s="33" t="n"/>
      <c r="AH88" s="33" t="n"/>
      <c r="AI88" s="33" t="n"/>
      <c r="AJ88" s="33" t="n"/>
      <c r="AK88" s="33" t="n"/>
      <c r="AL88" s="27" t="n"/>
      <c r="AM88" s="34" t="n"/>
      <c r="AN88" s="35">
        <f>IF(AF88="","",IF(AI88="Yes","❌ Disc",IF(AH88="No","⚠ Missing",IF(AK88="Yes","✓ OK","⚠ Check"))))</f>
        <v/>
      </c>
      <c r="AO88" s="36" t="n"/>
      <c r="AP88" s="36" t="n"/>
      <c r="AQ88" s="36" t="n"/>
      <c r="AR88" s="36" t="n"/>
      <c r="AS88" s="36" t="n"/>
      <c r="AT88" s="36" t="n"/>
      <c r="AU88" s="27" t="n"/>
      <c r="AV88" s="37" t="n"/>
      <c r="AW88" s="38">
        <f>IF(AO88="","",IF(AR88="Yes","❌ Disc",IF(AQ88="No","⚠ Missing",IF(AT88="Yes","✓ OK","⚠ Check"))))</f>
        <v/>
      </c>
    </row>
    <row r="89" ht="18" customHeight="1" s="46">
      <c r="A89" s="23" t="n">
        <v>85</v>
      </c>
      <c r="B89" s="24" t="inlineStr">
        <is>
          <t>BD-VRM-2024-3125</t>
        </is>
      </c>
      <c r="C89" s="25" t="inlineStr">
        <is>
          <t>Flava Louvers - Preminum - TL FL 6104 - 9.5ftx6in</t>
        </is>
      </c>
      <c r="D89" s="23" t="inlineStr">
        <is>
          <t>Flava</t>
        </is>
      </c>
      <c r="E89" s="43" t="n">
        <v>46126</v>
      </c>
      <c r="F89" s="26" t="inlineStr">
        <is>
          <t>Sunil CR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Good finish</t>
        </is>
      </c>
      <c r="J89" s="26" t="inlineStr">
        <is>
          <t>Yes</t>
        </is>
      </c>
      <c r="K89" s="27" t="n"/>
      <c r="L89" s="28" t="inlineStr">
        <is>
          <t>No</t>
        </is>
      </c>
      <c r="M89" s="29">
        <f>IF(E89="","",IF(H89="Yes","❌ Disc",IF(G89="No","⚠ Missing",IF(J89="Yes","✓ OK","⚠ Check"))))</f>
        <v/>
      </c>
      <c r="N89" s="43" t="n">
        <v>46193</v>
      </c>
      <c r="O89" s="26" t="inlineStr">
        <is>
          <t>Sunil CR</t>
        </is>
      </c>
      <c r="P89" s="26" t="inlineStr">
        <is>
          <t>Yes</t>
        </is>
      </c>
      <c r="Q89" s="26" t="inlineStr">
        <is>
          <t>No</t>
        </is>
      </c>
      <c r="R89" s="26" t="inlineStr">
        <is>
          <t>Good finish</t>
        </is>
      </c>
      <c r="S89" s="26" t="inlineStr">
        <is>
          <t>Yes</t>
        </is>
      </c>
      <c r="T89" s="27" t="n"/>
      <c r="U89" s="28" t="inlineStr">
        <is>
          <t>No</t>
        </is>
      </c>
      <c r="V89" s="29">
        <f>IF(N89="","",IF(Q89="Yes","❌ Disc",IF(P89="No","⚠ Missing",IF(S89="Yes","✓ OK","⚠ Check"))))</f>
        <v/>
      </c>
      <c r="W89" s="65" t="n">
        <v>46248</v>
      </c>
      <c r="X89" s="30" t="inlineStr">
        <is>
          <t>Sunil CR</t>
        </is>
      </c>
      <c r="Y89" s="30" t="inlineStr">
        <is>
          <t>Yes</t>
        </is>
      </c>
      <c r="Z89" s="30" t="n"/>
      <c r="AA89" s="30" t="inlineStr">
        <is>
          <t>Good finish</t>
        </is>
      </c>
      <c r="AB89" s="30" t="inlineStr">
        <is>
          <t>Yes</t>
        </is>
      </c>
      <c r="AC89" s="27" t="n"/>
      <c r="AD89" s="31" t="inlineStr">
        <is>
          <t>No</t>
        </is>
      </c>
      <c r="AE89" s="32">
        <f>IF(W89="","",IF(Z89="Yes","❌ Disc",IF(Y89="No","⚠ Missing",IF(AB89="Yes","✓ OK","⚠ Check"))))</f>
        <v/>
      </c>
      <c r="AF89" s="33" t="n"/>
      <c r="AG89" s="33" t="n"/>
      <c r="AH89" s="33" t="n"/>
      <c r="AI89" s="33" t="n"/>
      <c r="AJ89" s="33" t="n"/>
      <c r="AK89" s="33" t="n"/>
      <c r="AL89" s="27" t="n"/>
      <c r="AM89" s="34" t="n"/>
      <c r="AN89" s="35">
        <f>IF(AF89="","",IF(AI89="Yes","❌ Disc",IF(AH89="No","⚠ Missing",IF(AK89="Yes","✓ OK","⚠ Check"))))</f>
        <v/>
      </c>
      <c r="AO89" s="36" t="n"/>
      <c r="AP89" s="36" t="n"/>
      <c r="AQ89" s="36" t="n"/>
      <c r="AR89" s="36" t="n"/>
      <c r="AS89" s="36" t="n"/>
      <c r="AT89" s="36" t="n"/>
      <c r="AU89" s="27" t="n"/>
      <c r="AV89" s="37" t="n"/>
      <c r="AW89" s="38">
        <f>IF(AO89="","",IF(AR89="Yes","❌ Disc",IF(AQ89="No","⚠ Missing",IF(AT89="Yes","✓ OK","⚠ Check"))))</f>
        <v/>
      </c>
    </row>
    <row r="90" ht="18" customHeight="1" s="46">
      <c r="A90" s="39" t="n">
        <v>86</v>
      </c>
      <c r="B90" s="40" t="inlineStr">
        <is>
          <t>BD-VRM-2024-3123</t>
        </is>
      </c>
      <c r="C90" s="41" t="inlineStr">
        <is>
          <t>Flava Louvers - Preminum - TL FL 6105 - 9.5ftx6in</t>
        </is>
      </c>
      <c r="D90" s="39" t="inlineStr">
        <is>
          <t>Flava</t>
        </is>
      </c>
      <c r="E90" s="43" t="n">
        <v>46126</v>
      </c>
      <c r="F90" s="26" t="inlineStr">
        <is>
          <t>Sunil CR</t>
        </is>
      </c>
      <c r="G90" s="26" t="inlineStr">
        <is>
          <t>Yes</t>
        </is>
      </c>
      <c r="H90" s="26" t="inlineStr">
        <is>
          <t>No</t>
        </is>
      </c>
      <c r="I90" s="26" t="inlineStr">
        <is>
          <t>Good finish</t>
        </is>
      </c>
      <c r="J90" s="26" t="inlineStr">
        <is>
          <t>Yes</t>
        </is>
      </c>
      <c r="K90" s="27" t="n"/>
      <c r="L90" s="28" t="inlineStr">
        <is>
          <t>No</t>
        </is>
      </c>
      <c r="M90" s="29">
        <f>IF(E90="","",IF(H90="Yes","❌ Disc",IF(G90="No","⚠ Missing",IF(J90="Yes","✓ OK","⚠ Check"))))</f>
        <v/>
      </c>
      <c r="N90" s="43" t="n">
        <v>46193</v>
      </c>
      <c r="O90" s="26" t="inlineStr">
        <is>
          <t>Sunil CR</t>
        </is>
      </c>
      <c r="P90" s="26" t="inlineStr">
        <is>
          <t>Yes</t>
        </is>
      </c>
      <c r="Q90" s="26" t="inlineStr">
        <is>
          <t>No</t>
        </is>
      </c>
      <c r="R90" s="26" t="inlineStr">
        <is>
          <t>Good finish</t>
        </is>
      </c>
      <c r="S90" s="26" t="inlineStr">
        <is>
          <t>Yes</t>
        </is>
      </c>
      <c r="T90" s="27" t="n"/>
      <c r="U90" s="28" t="inlineStr">
        <is>
          <t>No</t>
        </is>
      </c>
      <c r="V90" s="29">
        <f>IF(N90="","",IF(Q90="Yes","❌ Disc",IF(P90="No","⚠ Missing",IF(S90="Yes","✓ OK","⚠ Check"))))</f>
        <v/>
      </c>
      <c r="W90" s="65" t="n">
        <v>46248</v>
      </c>
      <c r="X90" s="30" t="inlineStr">
        <is>
          <t>Sunil CR</t>
        </is>
      </c>
      <c r="Y90" s="30" t="inlineStr">
        <is>
          <t>Yes</t>
        </is>
      </c>
      <c r="Z90" s="30" t="n"/>
      <c r="AA90" s="30" t="inlineStr">
        <is>
          <t>Good finish</t>
        </is>
      </c>
      <c r="AB90" s="30" t="inlineStr">
        <is>
          <t>Yes</t>
        </is>
      </c>
      <c r="AC90" s="27" t="n"/>
      <c r="AD90" s="31" t="inlineStr">
        <is>
          <t>No</t>
        </is>
      </c>
      <c r="AE90" s="32">
        <f>IF(W90="","",IF(Z90="Yes","❌ Disc",IF(Y90="No","⚠ Missing",IF(AB90="Yes","✓ OK","⚠ Check"))))</f>
        <v/>
      </c>
      <c r="AF90" s="33" t="n"/>
      <c r="AG90" s="33" t="n"/>
      <c r="AH90" s="33" t="n"/>
      <c r="AI90" s="33" t="n"/>
      <c r="AJ90" s="33" t="n"/>
      <c r="AK90" s="33" t="n"/>
      <c r="AL90" s="27" t="n"/>
      <c r="AM90" s="34" t="n"/>
      <c r="AN90" s="35">
        <f>IF(AF90="","",IF(AI90="Yes","❌ Disc",IF(AH90="No","⚠ Missing",IF(AK90="Yes","✓ OK","⚠ Check"))))</f>
        <v/>
      </c>
      <c r="AO90" s="36" t="n"/>
      <c r="AP90" s="36" t="n"/>
      <c r="AQ90" s="36" t="n"/>
      <c r="AR90" s="36" t="n"/>
      <c r="AS90" s="36" t="n"/>
      <c r="AT90" s="36" t="n"/>
      <c r="AU90" s="27" t="n"/>
      <c r="AV90" s="37" t="n"/>
      <c r="AW90" s="38">
        <f>IF(AO90="","",IF(AR90="Yes","❌ Disc",IF(AQ90="No","⚠ Missing",IF(AT90="Yes","✓ OK","⚠ Check"))))</f>
        <v/>
      </c>
    </row>
    <row r="91" ht="18" customHeight="1" s="46">
      <c r="A91" s="23" t="n">
        <v>87</v>
      </c>
      <c r="B91" s="24" t="inlineStr">
        <is>
          <t>BD-VRM-2024-3122</t>
        </is>
      </c>
      <c r="C91" s="25" t="inlineStr">
        <is>
          <t>Flava Louvers - Preminum - TL FL 6107 - 9.5ftx6in</t>
        </is>
      </c>
      <c r="D91" s="23" t="inlineStr">
        <is>
          <t>Flava</t>
        </is>
      </c>
      <c r="E91" s="43" t="n">
        <v>46126</v>
      </c>
      <c r="F91" s="26" t="inlineStr">
        <is>
          <t>Sunil CR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Good finish</t>
        </is>
      </c>
      <c r="J91" s="26" t="inlineStr">
        <is>
          <t>Yes</t>
        </is>
      </c>
      <c r="K91" s="27" t="n"/>
      <c r="L91" s="28" t="inlineStr">
        <is>
          <t>No</t>
        </is>
      </c>
      <c r="M91" s="29">
        <f>IF(E91="","",IF(H91="Yes","❌ Disc",IF(G91="No","⚠ Missing",IF(J91="Yes","✓ OK","⚠ Check"))))</f>
        <v/>
      </c>
      <c r="N91" s="43" t="n">
        <v>46193</v>
      </c>
      <c r="O91" s="26" t="inlineStr">
        <is>
          <t>Sunil CR</t>
        </is>
      </c>
      <c r="P91" s="26" t="inlineStr">
        <is>
          <t>Yes</t>
        </is>
      </c>
      <c r="Q91" s="26" t="inlineStr">
        <is>
          <t>No</t>
        </is>
      </c>
      <c r="R91" s="26" t="inlineStr">
        <is>
          <t>Good finish</t>
        </is>
      </c>
      <c r="S91" s="26" t="inlineStr">
        <is>
          <t>Yes</t>
        </is>
      </c>
      <c r="T91" s="27" t="n"/>
      <c r="U91" s="28" t="inlineStr">
        <is>
          <t>No</t>
        </is>
      </c>
      <c r="V91" s="29">
        <f>IF(N91="","",IF(Q91="Yes","❌ Disc",IF(P91="No","⚠ Missing",IF(S91="Yes","✓ OK","⚠ Check"))))</f>
        <v/>
      </c>
      <c r="W91" s="65" t="n">
        <v>46248</v>
      </c>
      <c r="X91" s="30" t="inlineStr">
        <is>
          <t>Sunil CR</t>
        </is>
      </c>
      <c r="Y91" s="30" t="inlineStr">
        <is>
          <t>Yes</t>
        </is>
      </c>
      <c r="Z91" s="30" t="n"/>
      <c r="AA91" s="30" t="inlineStr">
        <is>
          <t>Good finish</t>
        </is>
      </c>
      <c r="AB91" s="30" t="inlineStr">
        <is>
          <t>Yes</t>
        </is>
      </c>
      <c r="AC91" s="27" t="n"/>
      <c r="AD91" s="31" t="inlineStr">
        <is>
          <t>No</t>
        </is>
      </c>
      <c r="AE91" s="32">
        <f>IF(W91="","",IF(Z91="Yes","❌ Disc",IF(Y91="No","⚠ Missing",IF(AB91="Yes","✓ OK","⚠ Check"))))</f>
        <v/>
      </c>
      <c r="AF91" s="33" t="n"/>
      <c r="AG91" s="33" t="n"/>
      <c r="AH91" s="33" t="n"/>
      <c r="AI91" s="33" t="n"/>
      <c r="AJ91" s="33" t="n"/>
      <c r="AK91" s="33" t="n"/>
      <c r="AL91" s="27" t="n"/>
      <c r="AM91" s="34" t="n"/>
      <c r="AN91" s="35">
        <f>IF(AF91="","",IF(AI91="Yes","❌ Disc",IF(AH91="No","⚠ Missing",IF(AK91="Yes","✓ OK","⚠ Check"))))</f>
        <v/>
      </c>
      <c r="AO91" s="36" t="n"/>
      <c r="AP91" s="36" t="n"/>
      <c r="AQ91" s="36" t="n"/>
      <c r="AR91" s="36" t="n"/>
      <c r="AS91" s="36" t="n"/>
      <c r="AT91" s="36" t="n"/>
      <c r="AU91" s="27" t="n"/>
      <c r="AV91" s="37" t="n"/>
      <c r="AW91" s="38">
        <f>IF(AO91="","",IF(AR91="Yes","❌ Disc",IF(AQ91="No","⚠ Missing",IF(AT91="Yes","✓ OK","⚠ Check"))))</f>
        <v/>
      </c>
    </row>
    <row r="92" ht="18" customHeight="1" s="46">
      <c r="A92" s="39" t="n">
        <v>88</v>
      </c>
      <c r="B92" s="40" t="inlineStr">
        <is>
          <t>BD-VRM-2024-3121</t>
        </is>
      </c>
      <c r="C92" s="41" t="inlineStr">
        <is>
          <t>Flava Louvers - Preminum - TL FL 6109 - 9.5ftx6in</t>
        </is>
      </c>
      <c r="D92" s="39" t="inlineStr">
        <is>
          <t>Flava</t>
        </is>
      </c>
      <c r="E92" s="43" t="n">
        <v>46126</v>
      </c>
      <c r="F92" s="26" t="inlineStr">
        <is>
          <t>Sunil CR</t>
        </is>
      </c>
      <c r="G92" s="26" t="inlineStr">
        <is>
          <t>Yes</t>
        </is>
      </c>
      <c r="H92" s="26" t="inlineStr">
        <is>
          <t>No</t>
        </is>
      </c>
      <c r="I92" s="26" t="inlineStr">
        <is>
          <t>Good finish</t>
        </is>
      </c>
      <c r="J92" s="26" t="inlineStr">
        <is>
          <t>Yes</t>
        </is>
      </c>
      <c r="K92" s="27" t="n"/>
      <c r="L92" s="28" t="inlineStr">
        <is>
          <t>No</t>
        </is>
      </c>
      <c r="M92" s="29">
        <f>IF(E92="","",IF(H92="Yes","❌ Disc",IF(G92="No","⚠ Missing",IF(J92="Yes","✓ OK","⚠ Check"))))</f>
        <v/>
      </c>
      <c r="N92" s="43" t="n">
        <v>46193</v>
      </c>
      <c r="O92" s="26" t="inlineStr">
        <is>
          <t>Sunil CR</t>
        </is>
      </c>
      <c r="P92" s="26" t="inlineStr">
        <is>
          <t>Yes</t>
        </is>
      </c>
      <c r="Q92" s="26" t="inlineStr">
        <is>
          <t>No</t>
        </is>
      </c>
      <c r="R92" s="26" t="inlineStr">
        <is>
          <t>Good finish</t>
        </is>
      </c>
      <c r="S92" s="26" t="inlineStr">
        <is>
          <t>Yes</t>
        </is>
      </c>
      <c r="T92" s="27" t="n"/>
      <c r="U92" s="28" t="inlineStr">
        <is>
          <t>No</t>
        </is>
      </c>
      <c r="V92" s="29">
        <f>IF(N92="","",IF(Q92="Yes","❌ Disc",IF(P92="No","⚠ Missing",IF(S92="Yes","✓ OK","⚠ Check"))))</f>
        <v/>
      </c>
      <c r="W92" s="65" t="n">
        <v>46248</v>
      </c>
      <c r="X92" s="30" t="inlineStr">
        <is>
          <t>Sunil CR</t>
        </is>
      </c>
      <c r="Y92" s="30" t="inlineStr">
        <is>
          <t>Yes</t>
        </is>
      </c>
      <c r="Z92" s="30" t="n"/>
      <c r="AA92" s="30" t="inlineStr">
        <is>
          <t>Good finish</t>
        </is>
      </c>
      <c r="AB92" s="30" t="inlineStr">
        <is>
          <t>Yes</t>
        </is>
      </c>
      <c r="AC92" s="27" t="n"/>
      <c r="AD92" s="31" t="inlineStr">
        <is>
          <t>No</t>
        </is>
      </c>
      <c r="AE92" s="32">
        <f>IF(W92="","",IF(Z92="Yes","❌ Disc",IF(Y92="No","⚠ Missing",IF(AB92="Yes","✓ OK","⚠ Check"))))</f>
        <v/>
      </c>
      <c r="AF92" s="33" t="n"/>
      <c r="AG92" s="33" t="n"/>
      <c r="AH92" s="33" t="n"/>
      <c r="AI92" s="33" t="n"/>
      <c r="AJ92" s="33" t="n"/>
      <c r="AK92" s="33" t="n"/>
      <c r="AL92" s="27" t="n"/>
      <c r="AM92" s="34" t="n"/>
      <c r="AN92" s="35">
        <f>IF(AF92="","",IF(AI92="Yes","❌ Disc",IF(AH92="No","⚠ Missing",IF(AK92="Yes","✓ OK","⚠ Check"))))</f>
        <v/>
      </c>
      <c r="AO92" s="36" t="n"/>
      <c r="AP92" s="36" t="n"/>
      <c r="AQ92" s="36" t="n"/>
      <c r="AR92" s="36" t="n"/>
      <c r="AS92" s="36" t="n"/>
      <c r="AT92" s="36" t="n"/>
      <c r="AU92" s="27" t="n"/>
      <c r="AV92" s="37" t="n"/>
      <c r="AW92" s="38">
        <f>IF(AO92="","",IF(AR92="Yes","❌ Disc",IF(AQ92="No","⚠ Missing",IF(AT92="Yes","✓ OK","⚠ Check"))))</f>
        <v/>
      </c>
    </row>
    <row r="93" ht="18" customHeight="1" s="46">
      <c r="A93" s="23" t="n">
        <v>89</v>
      </c>
      <c r="B93" s="24" t="inlineStr">
        <is>
          <t>BD-VRM-2024-3129</t>
        </is>
      </c>
      <c r="C93" s="25" t="inlineStr">
        <is>
          <t>Flava Louvers - Preminum - TL FL 6110 - 9.5ftx6in</t>
        </is>
      </c>
      <c r="D93" s="23" t="inlineStr">
        <is>
          <t>Flava</t>
        </is>
      </c>
      <c r="E93" s="43" t="n">
        <v>46126</v>
      </c>
      <c r="F93" s="26" t="inlineStr">
        <is>
          <t>Sunil CR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Good finish</t>
        </is>
      </c>
      <c r="J93" s="26" t="inlineStr">
        <is>
          <t>Yes</t>
        </is>
      </c>
      <c r="K93" s="27" t="n"/>
      <c r="L93" s="28" t="inlineStr">
        <is>
          <t>No</t>
        </is>
      </c>
      <c r="M93" s="29">
        <f>IF(E93="","",IF(H93="Yes","❌ Disc",IF(G93="No","⚠ Missing",IF(J93="Yes","✓ OK","⚠ Check"))))</f>
        <v/>
      </c>
      <c r="N93" s="43" t="n">
        <v>46193</v>
      </c>
      <c r="O93" s="26" t="inlineStr">
        <is>
          <t>Sunil CR</t>
        </is>
      </c>
      <c r="P93" s="26" t="inlineStr">
        <is>
          <t>Yes</t>
        </is>
      </c>
      <c r="Q93" s="26" t="inlineStr">
        <is>
          <t>No</t>
        </is>
      </c>
      <c r="R93" s="26" t="inlineStr">
        <is>
          <t>Good finish</t>
        </is>
      </c>
      <c r="S93" s="26" t="inlineStr">
        <is>
          <t>Yes</t>
        </is>
      </c>
      <c r="T93" s="27" t="n"/>
      <c r="U93" s="28" t="inlineStr">
        <is>
          <t>No</t>
        </is>
      </c>
      <c r="V93" s="29">
        <f>IF(N93="","",IF(Q93="Yes","❌ Disc",IF(P93="No","⚠ Missing",IF(S93="Yes","✓ OK","⚠ Check"))))</f>
        <v/>
      </c>
      <c r="W93" s="65" t="n">
        <v>46248</v>
      </c>
      <c r="X93" s="30" t="inlineStr">
        <is>
          <t>Sunil CR</t>
        </is>
      </c>
      <c r="Y93" s="30" t="inlineStr">
        <is>
          <t>Yes</t>
        </is>
      </c>
      <c r="Z93" s="30" t="n"/>
      <c r="AA93" s="30" t="inlineStr">
        <is>
          <t>Good finish</t>
        </is>
      </c>
      <c r="AB93" s="30" t="inlineStr">
        <is>
          <t>Yes</t>
        </is>
      </c>
      <c r="AC93" s="27" t="n"/>
      <c r="AD93" s="31" t="inlineStr">
        <is>
          <t>No</t>
        </is>
      </c>
      <c r="AE93" s="32">
        <f>IF(W93="","",IF(Z93="Yes","❌ Disc",IF(Y93="No","⚠ Missing",IF(AB93="Yes","✓ OK","⚠ Check"))))</f>
        <v/>
      </c>
      <c r="AF93" s="33" t="n"/>
      <c r="AG93" s="33" t="n"/>
      <c r="AH93" s="33" t="n"/>
      <c r="AI93" s="33" t="n"/>
      <c r="AJ93" s="33" t="n"/>
      <c r="AK93" s="33" t="n"/>
      <c r="AL93" s="27" t="n"/>
      <c r="AM93" s="34" t="n"/>
      <c r="AN93" s="35">
        <f>IF(AF93="","",IF(AI93="Yes","❌ Disc",IF(AH93="No","⚠ Missing",IF(AK93="Yes","✓ OK","⚠ Check"))))</f>
        <v/>
      </c>
      <c r="AO93" s="36" t="n"/>
      <c r="AP93" s="36" t="n"/>
      <c r="AQ93" s="36" t="n"/>
      <c r="AR93" s="36" t="n"/>
      <c r="AS93" s="36" t="n"/>
      <c r="AT93" s="36" t="n"/>
      <c r="AU93" s="27" t="n"/>
      <c r="AV93" s="37" t="n"/>
      <c r="AW93" s="38">
        <f>IF(AO93="","",IF(AR93="Yes","❌ Disc",IF(AQ93="No","⚠ Missing",IF(AT93="Yes","✓ OK","⚠ Check"))))</f>
        <v/>
      </c>
    </row>
    <row r="94" ht="18" customHeight="1" s="46">
      <c r="A94" s="39" t="n">
        <v>90</v>
      </c>
      <c r="B94" s="40" t="inlineStr">
        <is>
          <t>BD-VRM-2024-3126</t>
        </is>
      </c>
      <c r="C94" s="41" t="inlineStr">
        <is>
          <t>Flava Louvers - Preminum - TL FL 6111 - 9.5ftx6in</t>
        </is>
      </c>
      <c r="D94" s="39" t="inlineStr">
        <is>
          <t>Flava</t>
        </is>
      </c>
      <c r="E94" s="43" t="n">
        <v>46126</v>
      </c>
      <c r="F94" s="26" t="inlineStr">
        <is>
          <t>Sunil CR</t>
        </is>
      </c>
      <c r="G94" s="26" t="inlineStr">
        <is>
          <t>Yes</t>
        </is>
      </c>
      <c r="H94" s="26" t="inlineStr">
        <is>
          <t>No</t>
        </is>
      </c>
      <c r="I94" s="26" t="inlineStr">
        <is>
          <t>Good finish</t>
        </is>
      </c>
      <c r="J94" s="26" t="inlineStr">
        <is>
          <t>Yes</t>
        </is>
      </c>
      <c r="K94" s="27" t="n"/>
      <c r="L94" s="28" t="inlineStr">
        <is>
          <t>No</t>
        </is>
      </c>
      <c r="M94" s="29">
        <f>IF(E94="","",IF(H94="Yes","❌ Disc",IF(G94="No","⚠ Missing",IF(J94="Yes","✓ OK","⚠ Check"))))</f>
        <v/>
      </c>
      <c r="N94" s="43" t="n">
        <v>46193</v>
      </c>
      <c r="O94" s="26" t="inlineStr">
        <is>
          <t>Sunil CR</t>
        </is>
      </c>
      <c r="P94" s="26" t="inlineStr">
        <is>
          <t>Yes</t>
        </is>
      </c>
      <c r="Q94" s="26" t="inlineStr">
        <is>
          <t>No</t>
        </is>
      </c>
      <c r="R94" s="26" t="inlineStr">
        <is>
          <t>Good finish</t>
        </is>
      </c>
      <c r="S94" s="26" t="inlineStr">
        <is>
          <t>Yes</t>
        </is>
      </c>
      <c r="T94" s="27" t="n"/>
      <c r="U94" s="28" t="inlineStr">
        <is>
          <t>No</t>
        </is>
      </c>
      <c r="V94" s="29">
        <f>IF(N94="","",IF(Q94="Yes","❌ Disc",IF(P94="No","⚠ Missing",IF(S94="Yes","✓ OK","⚠ Check"))))</f>
        <v/>
      </c>
      <c r="W94" s="65" t="n">
        <v>46248</v>
      </c>
      <c r="X94" s="30" t="inlineStr">
        <is>
          <t>Sunil CR</t>
        </is>
      </c>
      <c r="Y94" s="30" t="inlineStr">
        <is>
          <t>Yes</t>
        </is>
      </c>
      <c r="Z94" s="30" t="n"/>
      <c r="AA94" s="30" t="inlineStr">
        <is>
          <t>Good finish</t>
        </is>
      </c>
      <c r="AB94" s="30" t="inlineStr">
        <is>
          <t>Yes</t>
        </is>
      </c>
      <c r="AC94" s="27" t="n"/>
      <c r="AD94" s="31" t="inlineStr">
        <is>
          <t>No</t>
        </is>
      </c>
      <c r="AE94" s="32">
        <f>IF(W94="","",IF(Z94="Yes","❌ Disc",IF(Y94="No","⚠ Missing",IF(AB94="Yes","✓ OK","⚠ Check"))))</f>
        <v/>
      </c>
      <c r="AF94" s="33" t="n"/>
      <c r="AG94" s="33" t="n"/>
      <c r="AH94" s="33" t="n"/>
      <c r="AI94" s="33" t="n"/>
      <c r="AJ94" s="33" t="n"/>
      <c r="AK94" s="33" t="n"/>
      <c r="AL94" s="27" t="n"/>
      <c r="AM94" s="34" t="n"/>
      <c r="AN94" s="35">
        <f>IF(AF94="","",IF(AI94="Yes","❌ Disc",IF(AH94="No","⚠ Missing",IF(AK94="Yes","✓ OK","⚠ Check"))))</f>
        <v/>
      </c>
      <c r="AO94" s="36" t="n"/>
      <c r="AP94" s="36" t="n"/>
      <c r="AQ94" s="36" t="n"/>
      <c r="AR94" s="36" t="n"/>
      <c r="AS94" s="36" t="n"/>
      <c r="AT94" s="36" t="n"/>
      <c r="AU94" s="27" t="n"/>
      <c r="AV94" s="37" t="n"/>
      <c r="AW94" s="38">
        <f>IF(AO94="","",IF(AR94="Yes","❌ Disc",IF(AQ94="No","⚠ Missing",IF(AT94="Yes","✓ OK","⚠ Check"))))</f>
        <v/>
      </c>
    </row>
    <row r="95" ht="18" customHeight="1" s="46">
      <c r="A95" s="23" t="n">
        <v>91</v>
      </c>
      <c r="B95" s="24" t="inlineStr">
        <is>
          <t>BD-VRM-2024-3133</t>
        </is>
      </c>
      <c r="C95" s="25" t="inlineStr">
        <is>
          <t>Flava Louvers - Preminum - TL FL 6112 - 9.5ftx6in</t>
        </is>
      </c>
      <c r="D95" s="23" t="inlineStr">
        <is>
          <t>Flava</t>
        </is>
      </c>
      <c r="E95" s="43" t="n">
        <v>46126</v>
      </c>
      <c r="F95" s="26" t="inlineStr">
        <is>
          <t>Sunil CR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Good finish</t>
        </is>
      </c>
      <c r="J95" s="26" t="inlineStr">
        <is>
          <t>Yes</t>
        </is>
      </c>
      <c r="K95" s="27" t="n"/>
      <c r="L95" s="28" t="inlineStr">
        <is>
          <t>No</t>
        </is>
      </c>
      <c r="M95" s="29">
        <f>IF(E95="","",IF(H95="Yes","❌ Disc",IF(G95="No","⚠ Missing",IF(J95="Yes","✓ OK","⚠ Check"))))</f>
        <v/>
      </c>
      <c r="N95" s="43" t="n">
        <v>46193</v>
      </c>
      <c r="O95" s="26" t="inlineStr">
        <is>
          <t>Sunil CR</t>
        </is>
      </c>
      <c r="P95" s="26" t="inlineStr">
        <is>
          <t>Yes</t>
        </is>
      </c>
      <c r="Q95" s="26" t="inlineStr">
        <is>
          <t>No</t>
        </is>
      </c>
      <c r="R95" s="26" t="inlineStr">
        <is>
          <t>Good finish</t>
        </is>
      </c>
      <c r="S95" s="26" t="inlineStr">
        <is>
          <t>Yes</t>
        </is>
      </c>
      <c r="T95" s="27" t="n"/>
      <c r="U95" s="28" t="inlineStr">
        <is>
          <t>No</t>
        </is>
      </c>
      <c r="V95" s="29">
        <f>IF(N95="","",IF(Q95="Yes","❌ Disc",IF(P95="No","⚠ Missing",IF(S95="Yes","✓ OK","⚠ Check"))))</f>
        <v/>
      </c>
      <c r="W95" s="65" t="n">
        <v>46248</v>
      </c>
      <c r="X95" s="30" t="inlineStr">
        <is>
          <t>Sunil CR</t>
        </is>
      </c>
      <c r="Y95" s="30" t="inlineStr">
        <is>
          <t>Yes</t>
        </is>
      </c>
      <c r="Z95" s="30" t="n"/>
      <c r="AA95" s="30" t="inlineStr">
        <is>
          <t>Good finish</t>
        </is>
      </c>
      <c r="AB95" s="30" t="inlineStr">
        <is>
          <t>Yes</t>
        </is>
      </c>
      <c r="AC95" s="27" t="n"/>
      <c r="AD95" s="31" t="inlineStr">
        <is>
          <t>No</t>
        </is>
      </c>
      <c r="AE95" s="32">
        <f>IF(W95="","",IF(Z95="Yes","❌ Disc",IF(Y95="No","⚠ Missing",IF(AB95="Yes","✓ OK","⚠ Check"))))</f>
        <v/>
      </c>
      <c r="AF95" s="33" t="n"/>
      <c r="AG95" s="33" t="n"/>
      <c r="AH95" s="33" t="n"/>
      <c r="AI95" s="33" t="n"/>
      <c r="AJ95" s="33" t="n"/>
      <c r="AK95" s="33" t="n"/>
      <c r="AL95" s="27" t="n"/>
      <c r="AM95" s="34" t="n"/>
      <c r="AN95" s="35">
        <f>IF(AF95="","",IF(AI95="Yes","❌ Disc",IF(AH95="No","⚠ Missing",IF(AK95="Yes","✓ OK","⚠ Check"))))</f>
        <v/>
      </c>
      <c r="AO95" s="36" t="n"/>
      <c r="AP95" s="36" t="n"/>
      <c r="AQ95" s="36" t="n"/>
      <c r="AR95" s="36" t="n"/>
      <c r="AS95" s="36" t="n"/>
      <c r="AT95" s="36" t="n"/>
      <c r="AU95" s="27" t="n"/>
      <c r="AV95" s="37" t="n"/>
      <c r="AW95" s="38">
        <f>IF(AO95="","",IF(AR95="Yes","❌ Disc",IF(AQ95="No","⚠ Missing",IF(AT95="Yes","✓ OK","⚠ Check"))))</f>
        <v/>
      </c>
    </row>
    <row r="96" ht="18" customHeight="1" s="46">
      <c r="A96" s="39" t="n">
        <v>92</v>
      </c>
      <c r="B96" s="40" t="inlineStr">
        <is>
          <t>BD-VRM-2024-3131</t>
        </is>
      </c>
      <c r="C96" s="41" t="inlineStr">
        <is>
          <t>Flava Louvers - Preminum - TL FL 6113 - 9.5ftx6in</t>
        </is>
      </c>
      <c r="D96" s="39" t="inlineStr">
        <is>
          <t>Flava</t>
        </is>
      </c>
      <c r="E96" s="43" t="n">
        <v>46126</v>
      </c>
      <c r="F96" s="26" t="inlineStr">
        <is>
          <t>Sunil CR</t>
        </is>
      </c>
      <c r="G96" s="26" t="inlineStr">
        <is>
          <t>Yes</t>
        </is>
      </c>
      <c r="H96" s="26" t="inlineStr">
        <is>
          <t>No</t>
        </is>
      </c>
      <c r="I96" s="26" t="inlineStr">
        <is>
          <t>Good finish</t>
        </is>
      </c>
      <c r="J96" s="26" t="inlineStr">
        <is>
          <t>Yes</t>
        </is>
      </c>
      <c r="K96" s="27" t="n"/>
      <c r="L96" s="28" t="inlineStr">
        <is>
          <t>No</t>
        </is>
      </c>
      <c r="M96" s="29">
        <f>IF(E96="","",IF(H96="Yes","❌ Disc",IF(G96="No","⚠ Missing",IF(J96="Yes","✓ OK","⚠ Check"))))</f>
        <v/>
      </c>
      <c r="N96" s="43" t="n">
        <v>46193</v>
      </c>
      <c r="O96" s="26" t="inlineStr">
        <is>
          <t>Sunil CR</t>
        </is>
      </c>
      <c r="P96" s="26" t="inlineStr">
        <is>
          <t>Yes</t>
        </is>
      </c>
      <c r="Q96" s="26" t="inlineStr">
        <is>
          <t>No</t>
        </is>
      </c>
      <c r="R96" s="26" t="inlineStr">
        <is>
          <t>Good finish</t>
        </is>
      </c>
      <c r="S96" s="26" t="inlineStr">
        <is>
          <t>Yes</t>
        </is>
      </c>
      <c r="T96" s="27" t="n"/>
      <c r="U96" s="28" t="inlineStr">
        <is>
          <t>No</t>
        </is>
      </c>
      <c r="V96" s="29">
        <f>IF(N96="","",IF(Q96="Yes","❌ Disc",IF(P96="No","⚠ Missing",IF(S96="Yes","✓ OK","⚠ Check"))))</f>
        <v/>
      </c>
      <c r="W96" s="65" t="n">
        <v>46248</v>
      </c>
      <c r="X96" s="30" t="inlineStr">
        <is>
          <t>Sunil CR</t>
        </is>
      </c>
      <c r="Y96" s="30" t="inlineStr">
        <is>
          <t>Yes</t>
        </is>
      </c>
      <c r="Z96" s="30" t="n"/>
      <c r="AA96" s="30" t="inlineStr">
        <is>
          <t>Good finish</t>
        </is>
      </c>
      <c r="AB96" s="30" t="inlineStr">
        <is>
          <t>Yes</t>
        </is>
      </c>
      <c r="AC96" s="27" t="n"/>
      <c r="AD96" s="31" t="inlineStr">
        <is>
          <t>No</t>
        </is>
      </c>
      <c r="AE96" s="32">
        <f>IF(W96="","",IF(Z96="Yes","❌ Disc",IF(Y96="No","⚠ Missing",IF(AB96="Yes","✓ OK","⚠ Check"))))</f>
        <v/>
      </c>
      <c r="AF96" s="33" t="n"/>
      <c r="AG96" s="33" t="n"/>
      <c r="AH96" s="33" t="n"/>
      <c r="AI96" s="33" t="n"/>
      <c r="AJ96" s="33" t="n"/>
      <c r="AK96" s="33" t="n"/>
      <c r="AL96" s="27" t="n"/>
      <c r="AM96" s="34" t="n"/>
      <c r="AN96" s="35">
        <f>IF(AF96="","",IF(AI96="Yes","❌ Disc",IF(AH96="No","⚠ Missing",IF(AK96="Yes","✓ OK","⚠ Check"))))</f>
        <v/>
      </c>
      <c r="AO96" s="36" t="n"/>
      <c r="AP96" s="36" t="n"/>
      <c r="AQ96" s="36" t="n"/>
      <c r="AR96" s="36" t="n"/>
      <c r="AS96" s="36" t="n"/>
      <c r="AT96" s="36" t="n"/>
      <c r="AU96" s="27" t="n"/>
      <c r="AV96" s="37" t="n"/>
      <c r="AW96" s="38">
        <f>IF(AO96="","",IF(AR96="Yes","❌ Disc",IF(AQ96="No","⚠ Missing",IF(AT96="Yes","✓ OK","⚠ Check"))))</f>
        <v/>
      </c>
    </row>
    <row r="97" ht="18" customHeight="1" s="46">
      <c r="A97" s="23" t="n">
        <v>93</v>
      </c>
      <c r="B97" s="24" t="inlineStr">
        <is>
          <t>BD-VRM-2024-3130</t>
        </is>
      </c>
      <c r="C97" s="25" t="inlineStr">
        <is>
          <t>Flava Louvers - Preminum - TL FL 6114  - 9.5ftx6in</t>
        </is>
      </c>
      <c r="D97" s="23" t="inlineStr">
        <is>
          <t>Flava</t>
        </is>
      </c>
      <c r="E97" s="43" t="n">
        <v>46126</v>
      </c>
      <c r="F97" s="26" t="inlineStr">
        <is>
          <t>Sunil CR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Good finish</t>
        </is>
      </c>
      <c r="J97" s="26" t="inlineStr">
        <is>
          <t>Yes</t>
        </is>
      </c>
      <c r="K97" s="27" t="n"/>
      <c r="L97" s="28" t="inlineStr">
        <is>
          <t>No</t>
        </is>
      </c>
      <c r="M97" s="29">
        <f>IF(E97="","",IF(H97="Yes","❌ Disc",IF(G97="No","⚠ Missing",IF(J97="Yes","✓ OK","⚠ Check"))))</f>
        <v/>
      </c>
      <c r="N97" s="43" t="n">
        <v>46193</v>
      </c>
      <c r="O97" s="26" t="inlineStr">
        <is>
          <t>Sunil CR</t>
        </is>
      </c>
      <c r="P97" s="26" t="inlineStr">
        <is>
          <t>Yes</t>
        </is>
      </c>
      <c r="Q97" s="26" t="inlineStr">
        <is>
          <t>No</t>
        </is>
      </c>
      <c r="R97" s="26" t="inlineStr">
        <is>
          <t>Good finish</t>
        </is>
      </c>
      <c r="S97" s="26" t="inlineStr">
        <is>
          <t>Yes</t>
        </is>
      </c>
      <c r="T97" s="27" t="n"/>
      <c r="U97" s="28" t="inlineStr">
        <is>
          <t>No</t>
        </is>
      </c>
      <c r="V97" s="29">
        <f>IF(N97="","",IF(Q97="Yes","❌ Disc",IF(P97="No","⚠ Missing",IF(S97="Yes","✓ OK","⚠ Check"))))</f>
        <v/>
      </c>
      <c r="W97" s="65" t="n">
        <v>46248</v>
      </c>
      <c r="X97" s="30" t="inlineStr">
        <is>
          <t>Sunil CR</t>
        </is>
      </c>
      <c r="Y97" s="30" t="inlineStr">
        <is>
          <t>Yes</t>
        </is>
      </c>
      <c r="Z97" s="30" t="n"/>
      <c r="AA97" s="30" t="inlineStr">
        <is>
          <t>Good finish</t>
        </is>
      </c>
      <c r="AB97" s="30" t="inlineStr">
        <is>
          <t>Yes</t>
        </is>
      </c>
      <c r="AC97" s="27" t="n"/>
      <c r="AD97" s="31" t="inlineStr">
        <is>
          <t>No</t>
        </is>
      </c>
      <c r="AE97" s="32">
        <f>IF(W97="","",IF(Z97="Yes","❌ Disc",IF(Y97="No","⚠ Missing",IF(AB97="Yes","✓ OK","⚠ Check"))))</f>
        <v/>
      </c>
      <c r="AF97" s="33" t="n"/>
      <c r="AG97" s="33" t="n"/>
      <c r="AH97" s="33" t="n"/>
      <c r="AI97" s="33" t="n"/>
      <c r="AJ97" s="33" t="n"/>
      <c r="AK97" s="33" t="n"/>
      <c r="AL97" s="27" t="n"/>
      <c r="AM97" s="34" t="n"/>
      <c r="AN97" s="35">
        <f>IF(AF97="","",IF(AI97="Yes","❌ Disc",IF(AH97="No","⚠ Missing",IF(AK97="Yes","✓ OK","⚠ Check"))))</f>
        <v/>
      </c>
      <c r="AO97" s="36" t="n"/>
      <c r="AP97" s="36" t="n"/>
      <c r="AQ97" s="36" t="n"/>
      <c r="AR97" s="36" t="n"/>
      <c r="AS97" s="36" t="n"/>
      <c r="AT97" s="36" t="n"/>
      <c r="AU97" s="27" t="n"/>
      <c r="AV97" s="37" t="n"/>
      <c r="AW97" s="38">
        <f>IF(AO97="","",IF(AR97="Yes","❌ Disc",IF(AQ97="No","⚠ Missing",IF(AT97="Yes","✓ OK","⚠ Check"))))</f>
        <v/>
      </c>
    </row>
    <row r="98" ht="18" customHeight="1" s="46">
      <c r="A98" s="39" t="n">
        <v>94</v>
      </c>
      <c r="B98" s="40" t="inlineStr">
        <is>
          <t>BD-VRM-2024-3145</t>
        </is>
      </c>
      <c r="C98" s="41" t="inlineStr">
        <is>
          <t>Flava Louvers - Preminum - TL FL 6117 - 9.5ftx6in</t>
        </is>
      </c>
      <c r="D98" s="39" t="inlineStr">
        <is>
          <t>Flava</t>
        </is>
      </c>
      <c r="E98" s="43" t="n">
        <v>46126</v>
      </c>
      <c r="F98" s="26" t="inlineStr">
        <is>
          <t>Sunil CR</t>
        </is>
      </c>
      <c r="G98" s="26" t="inlineStr">
        <is>
          <t>Yes</t>
        </is>
      </c>
      <c r="H98" s="26" t="inlineStr">
        <is>
          <t>No</t>
        </is>
      </c>
      <c r="I98" s="26" t="inlineStr">
        <is>
          <t>Good finish</t>
        </is>
      </c>
      <c r="J98" s="26" t="inlineStr">
        <is>
          <t>Yes</t>
        </is>
      </c>
      <c r="K98" s="27" t="n"/>
      <c r="L98" s="28" t="inlineStr">
        <is>
          <t>No</t>
        </is>
      </c>
      <c r="M98" s="29">
        <f>IF(E98="","",IF(H98="Yes","❌ Disc",IF(G98="No","⚠ Missing",IF(J98="Yes","✓ OK","⚠ Check"))))</f>
        <v/>
      </c>
      <c r="N98" s="43" t="n">
        <v>46193</v>
      </c>
      <c r="O98" s="26" t="inlineStr">
        <is>
          <t>Sunil CR</t>
        </is>
      </c>
      <c r="P98" s="26" t="inlineStr">
        <is>
          <t>Yes</t>
        </is>
      </c>
      <c r="Q98" s="26" t="inlineStr">
        <is>
          <t>No</t>
        </is>
      </c>
      <c r="R98" s="26" t="inlineStr">
        <is>
          <t>Good finish</t>
        </is>
      </c>
      <c r="S98" s="26" t="inlineStr">
        <is>
          <t>Yes</t>
        </is>
      </c>
      <c r="T98" s="27" t="n"/>
      <c r="U98" s="28" t="inlineStr">
        <is>
          <t>No</t>
        </is>
      </c>
      <c r="V98" s="29">
        <f>IF(N98="","",IF(Q98="Yes","❌ Disc",IF(P98="No","⚠ Missing",IF(S98="Yes","✓ OK","⚠ Check"))))</f>
        <v/>
      </c>
      <c r="W98" s="65" t="n">
        <v>46248</v>
      </c>
      <c r="X98" s="30" t="inlineStr">
        <is>
          <t>Sunil CR</t>
        </is>
      </c>
      <c r="Y98" s="30" t="inlineStr">
        <is>
          <t>Yes</t>
        </is>
      </c>
      <c r="Z98" s="30" t="n"/>
      <c r="AA98" s="30" t="inlineStr">
        <is>
          <t>Good finish</t>
        </is>
      </c>
      <c r="AB98" s="30" t="inlineStr">
        <is>
          <t>Yes</t>
        </is>
      </c>
      <c r="AC98" s="27" t="n"/>
      <c r="AD98" s="31" t="inlineStr">
        <is>
          <t>No</t>
        </is>
      </c>
      <c r="AE98" s="32">
        <f>IF(W98="","",IF(Z98="Yes","❌ Disc",IF(Y98="No","⚠ Missing",IF(AB98="Yes","✓ OK","⚠ Check"))))</f>
        <v/>
      </c>
      <c r="AF98" s="33" t="n"/>
      <c r="AG98" s="33" t="n"/>
      <c r="AH98" s="33" t="n"/>
      <c r="AI98" s="33" t="n"/>
      <c r="AJ98" s="33" t="n"/>
      <c r="AK98" s="33" t="n"/>
      <c r="AL98" s="27" t="n"/>
      <c r="AM98" s="34" t="n"/>
      <c r="AN98" s="35">
        <f>IF(AF98="","",IF(AI98="Yes","❌ Disc",IF(AH98="No","⚠ Missing",IF(AK98="Yes","✓ OK","⚠ Check"))))</f>
        <v/>
      </c>
      <c r="AO98" s="36" t="n"/>
      <c r="AP98" s="36" t="n"/>
      <c r="AQ98" s="36" t="n"/>
      <c r="AR98" s="36" t="n"/>
      <c r="AS98" s="36" t="n"/>
      <c r="AT98" s="36" t="n"/>
      <c r="AU98" s="27" t="n"/>
      <c r="AV98" s="37" t="n"/>
      <c r="AW98" s="38">
        <f>IF(AO98="","",IF(AR98="Yes","❌ Disc",IF(AQ98="No","⚠ Missing",IF(AT98="Yes","✓ OK","⚠ Check"))))</f>
        <v/>
      </c>
    </row>
    <row r="99" ht="18" customHeight="1" s="46">
      <c r="A99" s="23" t="n">
        <v>95</v>
      </c>
      <c r="B99" s="24" t="inlineStr">
        <is>
          <t>BD-VRM-2024-3143</t>
        </is>
      </c>
      <c r="C99" s="25" t="inlineStr">
        <is>
          <t>Flava Louvers - Preminum - TL FL 6118 - 9.5ftx6in</t>
        </is>
      </c>
      <c r="D99" s="23" t="inlineStr">
        <is>
          <t>Flava</t>
        </is>
      </c>
      <c r="E99" s="43" t="n">
        <v>46126</v>
      </c>
      <c r="F99" s="26" t="inlineStr">
        <is>
          <t>Sunil CR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Good finish</t>
        </is>
      </c>
      <c r="J99" s="26" t="inlineStr">
        <is>
          <t>Yes</t>
        </is>
      </c>
      <c r="K99" s="27" t="n"/>
      <c r="L99" s="28" t="inlineStr">
        <is>
          <t>No</t>
        </is>
      </c>
      <c r="M99" s="29">
        <f>IF(E99="","",IF(H99="Yes","❌ Disc",IF(G99="No","⚠ Missing",IF(J99="Yes","✓ OK","⚠ Check"))))</f>
        <v/>
      </c>
      <c r="N99" s="43" t="n">
        <v>46193</v>
      </c>
      <c r="O99" s="26" t="inlineStr">
        <is>
          <t>Sunil CR</t>
        </is>
      </c>
      <c r="P99" s="26" t="inlineStr">
        <is>
          <t>Yes</t>
        </is>
      </c>
      <c r="Q99" s="26" t="inlineStr">
        <is>
          <t>No</t>
        </is>
      </c>
      <c r="R99" s="26" t="inlineStr">
        <is>
          <t>Good finish</t>
        </is>
      </c>
      <c r="S99" s="26" t="inlineStr">
        <is>
          <t>Yes</t>
        </is>
      </c>
      <c r="T99" s="27" t="n"/>
      <c r="U99" s="28" t="inlineStr">
        <is>
          <t>No</t>
        </is>
      </c>
      <c r="V99" s="29">
        <f>IF(N99="","",IF(Q99="Yes","❌ Disc",IF(P99="No","⚠ Missing",IF(S99="Yes","✓ OK","⚠ Check"))))</f>
        <v/>
      </c>
      <c r="W99" s="65" t="n">
        <v>46248</v>
      </c>
      <c r="X99" s="30" t="inlineStr">
        <is>
          <t>Sunil CR</t>
        </is>
      </c>
      <c r="Y99" s="30" t="inlineStr">
        <is>
          <t>Yes</t>
        </is>
      </c>
      <c r="Z99" s="30" t="n"/>
      <c r="AA99" s="30" t="inlineStr">
        <is>
          <t>Good finish</t>
        </is>
      </c>
      <c r="AB99" s="30" t="inlineStr">
        <is>
          <t>Yes</t>
        </is>
      </c>
      <c r="AC99" s="27" t="n"/>
      <c r="AD99" s="31" t="inlineStr">
        <is>
          <t>No</t>
        </is>
      </c>
      <c r="AE99" s="32">
        <f>IF(W99="","",IF(Z99="Yes","❌ Disc",IF(Y99="No","⚠ Missing",IF(AB99="Yes","✓ OK","⚠ Check"))))</f>
        <v/>
      </c>
      <c r="AF99" s="33" t="n"/>
      <c r="AG99" s="33" t="n"/>
      <c r="AH99" s="33" t="n"/>
      <c r="AI99" s="33" t="n"/>
      <c r="AJ99" s="33" t="n"/>
      <c r="AK99" s="33" t="n"/>
      <c r="AL99" s="27" t="n"/>
      <c r="AM99" s="34" t="n"/>
      <c r="AN99" s="35">
        <f>IF(AF99="","",IF(AI99="Yes","❌ Disc",IF(AH99="No","⚠ Missing",IF(AK99="Yes","✓ OK","⚠ Check"))))</f>
        <v/>
      </c>
      <c r="AO99" s="36" t="n"/>
      <c r="AP99" s="36" t="n"/>
      <c r="AQ99" s="36" t="n"/>
      <c r="AR99" s="36" t="n"/>
      <c r="AS99" s="36" t="n"/>
      <c r="AT99" s="36" t="n"/>
      <c r="AU99" s="27" t="n"/>
      <c r="AV99" s="37" t="n"/>
      <c r="AW99" s="38">
        <f>IF(AO99="","",IF(AR99="Yes","❌ Disc",IF(AQ99="No","⚠ Missing",IF(AT99="Yes","✓ OK","⚠ Check"))))</f>
        <v/>
      </c>
    </row>
    <row r="100" ht="18" customHeight="1" s="46">
      <c r="A100" s="39" t="n">
        <v>96</v>
      </c>
      <c r="B100" s="40" t="inlineStr">
        <is>
          <t>BD-VRM-2024-3144</t>
        </is>
      </c>
      <c r="C100" s="41" t="inlineStr">
        <is>
          <t>Flava Louvers - Preminum - TL FL 6119 - 9.5ftx6in</t>
        </is>
      </c>
      <c r="D100" s="39" t="inlineStr">
        <is>
          <t>Flava</t>
        </is>
      </c>
      <c r="E100" s="43" t="n">
        <v>46126</v>
      </c>
      <c r="F100" s="26" t="inlineStr">
        <is>
          <t>Sunil CR</t>
        </is>
      </c>
      <c r="G100" s="26" t="inlineStr">
        <is>
          <t>Yes</t>
        </is>
      </c>
      <c r="H100" s="26" t="inlineStr">
        <is>
          <t>No</t>
        </is>
      </c>
      <c r="I100" s="26" t="inlineStr">
        <is>
          <t>Good finish</t>
        </is>
      </c>
      <c r="J100" s="26" t="inlineStr">
        <is>
          <t>Yes</t>
        </is>
      </c>
      <c r="K100" s="27" t="n"/>
      <c r="L100" s="28" t="inlineStr">
        <is>
          <t>No</t>
        </is>
      </c>
      <c r="M100" s="29">
        <f>IF(E100="","",IF(H100="Yes","❌ Disc",IF(G100="No","⚠ Missing",IF(J100="Yes","✓ OK","⚠ Check"))))</f>
        <v/>
      </c>
      <c r="N100" s="43" t="n">
        <v>46193</v>
      </c>
      <c r="O100" s="26" t="inlineStr">
        <is>
          <t>Sunil CR</t>
        </is>
      </c>
      <c r="P100" s="26" t="inlineStr">
        <is>
          <t>Yes</t>
        </is>
      </c>
      <c r="Q100" s="26" t="inlineStr">
        <is>
          <t>No</t>
        </is>
      </c>
      <c r="R100" s="26" t="inlineStr">
        <is>
          <t>Good finish</t>
        </is>
      </c>
      <c r="S100" s="26" t="inlineStr">
        <is>
          <t>Yes</t>
        </is>
      </c>
      <c r="T100" s="27" t="n"/>
      <c r="U100" s="28" t="inlineStr">
        <is>
          <t>No</t>
        </is>
      </c>
      <c r="V100" s="29">
        <f>IF(N100="","",IF(Q100="Yes","❌ Disc",IF(P100="No","⚠ Missing",IF(S100="Yes","✓ OK","⚠ Check"))))</f>
        <v/>
      </c>
      <c r="W100" s="65" t="n">
        <v>46248</v>
      </c>
      <c r="X100" s="30" t="inlineStr">
        <is>
          <t>Sunil CR</t>
        </is>
      </c>
      <c r="Y100" s="30" t="inlineStr">
        <is>
          <t>Yes</t>
        </is>
      </c>
      <c r="Z100" s="30" t="n"/>
      <c r="AA100" s="30" t="inlineStr">
        <is>
          <t>Good finish</t>
        </is>
      </c>
      <c r="AB100" s="30" t="inlineStr">
        <is>
          <t>Yes</t>
        </is>
      </c>
      <c r="AC100" s="27" t="n"/>
      <c r="AD100" s="31" t="inlineStr">
        <is>
          <t>No</t>
        </is>
      </c>
      <c r="AE100" s="32">
        <f>IF(W100="","",IF(Z100="Yes","❌ Disc",IF(Y100="No","⚠ Missing",IF(AB100="Yes","✓ OK","⚠ Check"))))</f>
        <v/>
      </c>
      <c r="AF100" s="33" t="n"/>
      <c r="AG100" s="33" t="n"/>
      <c r="AH100" s="33" t="n"/>
      <c r="AI100" s="33" t="n"/>
      <c r="AJ100" s="33" t="n"/>
      <c r="AK100" s="33" t="n"/>
      <c r="AL100" s="27" t="n"/>
      <c r="AM100" s="34" t="n"/>
      <c r="AN100" s="35">
        <f>IF(AF100="","",IF(AI100="Yes","❌ Disc",IF(AH100="No","⚠ Missing",IF(AK100="Yes","✓ OK","⚠ Check"))))</f>
        <v/>
      </c>
      <c r="AO100" s="36" t="n"/>
      <c r="AP100" s="36" t="n"/>
      <c r="AQ100" s="36" t="n"/>
      <c r="AR100" s="36" t="n"/>
      <c r="AS100" s="36" t="n"/>
      <c r="AT100" s="36" t="n"/>
      <c r="AU100" s="27" t="n"/>
      <c r="AV100" s="37" t="n"/>
      <c r="AW100" s="38">
        <f>IF(AO100="","",IF(AR100="Yes","❌ Disc",IF(AQ100="No","⚠ Missing",IF(AT100="Yes","✓ OK","⚠ Check"))))</f>
        <v/>
      </c>
    </row>
    <row r="101" ht="18" customHeight="1" s="46">
      <c r="A101" s="23" t="n">
        <v>97</v>
      </c>
      <c r="B101" s="24" t="inlineStr">
        <is>
          <t>BD-VRM-2024-3151</t>
        </is>
      </c>
      <c r="C101" s="25" t="inlineStr">
        <is>
          <t>Flava Louvers - Preminum - TL FL 6123 - 9.5ftx6in</t>
        </is>
      </c>
      <c r="D101" s="23" t="inlineStr">
        <is>
          <t>Flava</t>
        </is>
      </c>
      <c r="E101" s="43" t="n">
        <v>46126</v>
      </c>
      <c r="F101" s="26" t="inlineStr">
        <is>
          <t>Sunil CR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Good finish</t>
        </is>
      </c>
      <c r="J101" s="26" t="inlineStr">
        <is>
          <t>Yes</t>
        </is>
      </c>
      <c r="K101" s="27" t="n"/>
      <c r="L101" s="28" t="inlineStr">
        <is>
          <t>No</t>
        </is>
      </c>
      <c r="M101" s="29">
        <f>IF(E101="","",IF(H101="Yes","❌ Disc",IF(G101="No","⚠ Missing",IF(J101="Yes","✓ OK","⚠ Check"))))</f>
        <v/>
      </c>
      <c r="N101" s="43" t="n">
        <v>46193</v>
      </c>
      <c r="O101" s="26" t="inlineStr">
        <is>
          <t>Sunil CR</t>
        </is>
      </c>
      <c r="P101" s="26" t="inlineStr">
        <is>
          <t>Yes</t>
        </is>
      </c>
      <c r="Q101" s="26" t="inlineStr">
        <is>
          <t>No</t>
        </is>
      </c>
      <c r="R101" s="26" t="inlineStr">
        <is>
          <t>Good finish</t>
        </is>
      </c>
      <c r="S101" s="26" t="inlineStr">
        <is>
          <t>Yes</t>
        </is>
      </c>
      <c r="T101" s="27" t="n"/>
      <c r="U101" s="28" t="inlineStr">
        <is>
          <t>No</t>
        </is>
      </c>
      <c r="V101" s="29">
        <f>IF(N101="","",IF(Q101="Yes","❌ Disc",IF(P101="No","⚠ Missing",IF(S101="Yes","✓ OK","⚠ Check"))))</f>
        <v/>
      </c>
      <c r="W101" s="65" t="n">
        <v>46248</v>
      </c>
      <c r="X101" s="30" t="inlineStr">
        <is>
          <t>Sunil CR</t>
        </is>
      </c>
      <c r="Y101" s="30" t="inlineStr">
        <is>
          <t>Yes</t>
        </is>
      </c>
      <c r="Z101" s="30" t="n"/>
      <c r="AA101" s="30" t="inlineStr">
        <is>
          <t>Good finish</t>
        </is>
      </c>
      <c r="AB101" s="30" t="inlineStr">
        <is>
          <t>Yes</t>
        </is>
      </c>
      <c r="AC101" s="27" t="n"/>
      <c r="AD101" s="31" t="inlineStr">
        <is>
          <t>No</t>
        </is>
      </c>
      <c r="AE101" s="32">
        <f>IF(W101="","",IF(Z101="Yes","❌ Disc",IF(Y101="No","⚠ Missing",IF(AB101="Yes","✓ OK","⚠ Check"))))</f>
        <v/>
      </c>
      <c r="AF101" s="33" t="n"/>
      <c r="AG101" s="33" t="n"/>
      <c r="AH101" s="33" t="n"/>
      <c r="AI101" s="33" t="n"/>
      <c r="AJ101" s="33" t="n"/>
      <c r="AK101" s="33" t="n"/>
      <c r="AL101" s="27" t="n"/>
      <c r="AM101" s="34" t="n"/>
      <c r="AN101" s="35">
        <f>IF(AF101="","",IF(AI101="Yes","❌ Disc",IF(AH101="No","⚠ Missing",IF(AK101="Yes","✓ OK","⚠ Check"))))</f>
        <v/>
      </c>
      <c r="AO101" s="36" t="n"/>
      <c r="AP101" s="36" t="n"/>
      <c r="AQ101" s="36" t="n"/>
      <c r="AR101" s="36" t="n"/>
      <c r="AS101" s="36" t="n"/>
      <c r="AT101" s="36" t="n"/>
      <c r="AU101" s="27" t="n"/>
      <c r="AV101" s="37" t="n"/>
      <c r="AW101" s="38">
        <f>IF(AO101="","",IF(AR101="Yes","❌ Disc",IF(AQ101="No","⚠ Missing",IF(AT101="Yes","✓ OK","⚠ Check"))))</f>
        <v/>
      </c>
    </row>
    <row r="102" ht="18" customHeight="1" s="46">
      <c r="A102" s="39" t="n">
        <v>98</v>
      </c>
      <c r="B102" s="40" t="inlineStr">
        <is>
          <t>BD-VRM-2024-3150</t>
        </is>
      </c>
      <c r="C102" s="41" t="inlineStr">
        <is>
          <t>Flava Louvers - Preminum - TL FL 6125 - 9.5ftx6in</t>
        </is>
      </c>
      <c r="D102" s="39" t="inlineStr">
        <is>
          <t>Flava</t>
        </is>
      </c>
      <c r="E102" s="43" t="n">
        <v>46126</v>
      </c>
      <c r="F102" s="26" t="inlineStr">
        <is>
          <t>Sunil CR</t>
        </is>
      </c>
      <c r="G102" s="26" t="inlineStr">
        <is>
          <t>No</t>
        </is>
      </c>
      <c r="H102" s="26" t="inlineStr">
        <is>
          <t>No</t>
        </is>
      </c>
      <c r="I102" s="26" t="inlineStr">
        <is>
          <t>Not Available</t>
        </is>
      </c>
      <c r="J102" s="26" t="inlineStr">
        <is>
          <t>No</t>
        </is>
      </c>
      <c r="K102" s="27" t="n"/>
      <c r="L102" s="28" t="inlineStr">
        <is>
          <t>Yes</t>
        </is>
      </c>
      <c r="M102" s="29">
        <f>IF(E102="","",IF(H102="Yes","❌ Disc",IF(G102="No","⚠ Missing",IF(J102="Yes","✓ OK","⚠ Check"))))</f>
        <v/>
      </c>
      <c r="N102" s="43" t="n">
        <v>46193</v>
      </c>
      <c r="O102" s="26" t="inlineStr">
        <is>
          <t>Sunil CR</t>
        </is>
      </c>
      <c r="P102" s="26" t="inlineStr">
        <is>
          <t>No</t>
        </is>
      </c>
      <c r="Q102" s="26" t="inlineStr">
        <is>
          <t>No</t>
        </is>
      </c>
      <c r="R102" s="26" t="inlineStr">
        <is>
          <t>Not Available</t>
        </is>
      </c>
      <c r="S102" s="26" t="inlineStr">
        <is>
          <t>No</t>
        </is>
      </c>
      <c r="T102" s="27" t="n"/>
      <c r="U102" s="28" t="inlineStr">
        <is>
          <t>Yes</t>
        </is>
      </c>
      <c r="V102" s="29">
        <f>IF(N102="","",IF(Q102="Yes","❌ Disc",IF(P102="No","⚠ Missing",IF(S102="Yes","✓ OK","⚠ Check"))))</f>
        <v/>
      </c>
      <c r="W102" s="65" t="n">
        <v>46248</v>
      </c>
      <c r="X102" s="30" t="inlineStr">
        <is>
          <t>Sunil CR</t>
        </is>
      </c>
      <c r="Y102" s="30" t="inlineStr">
        <is>
          <t>No</t>
        </is>
      </c>
      <c r="Z102" s="30" t="n"/>
      <c r="AA102" s="30" t="inlineStr">
        <is>
          <t>Not Available</t>
        </is>
      </c>
      <c r="AB102" s="30" t="inlineStr">
        <is>
          <t>No</t>
        </is>
      </c>
      <c r="AC102" s="27" t="n"/>
      <c r="AD102" s="31" t="inlineStr">
        <is>
          <t>Yes</t>
        </is>
      </c>
      <c r="AE102" s="32">
        <f>IF(W102="","",IF(Z102="Yes","❌ Disc",IF(Y102="No","⚠ Missing",IF(AB102="Yes","✓ OK","⚠ Check"))))</f>
        <v/>
      </c>
      <c r="AF102" s="33" t="n"/>
      <c r="AG102" s="33" t="n"/>
      <c r="AH102" s="33" t="n"/>
      <c r="AI102" s="33" t="n"/>
      <c r="AJ102" s="33" t="n"/>
      <c r="AK102" s="33" t="n"/>
      <c r="AL102" s="27" t="n"/>
      <c r="AM102" s="34" t="n"/>
      <c r="AN102" s="35">
        <f>IF(AF102="","",IF(AI102="Yes","❌ Disc",IF(AH102="No","⚠ Missing",IF(AK102="Yes","✓ OK","⚠ Check"))))</f>
        <v/>
      </c>
      <c r="AO102" s="36" t="n"/>
      <c r="AP102" s="36" t="n"/>
      <c r="AQ102" s="36" t="n"/>
      <c r="AR102" s="36" t="n"/>
      <c r="AS102" s="36" t="n"/>
      <c r="AT102" s="36" t="n"/>
      <c r="AU102" s="27" t="n"/>
      <c r="AV102" s="37" t="n"/>
      <c r="AW102" s="38">
        <f>IF(AO102="","",IF(AR102="Yes","❌ Disc",IF(AQ102="No","⚠ Missing",IF(AT102="Yes","✓ OK","⚠ Check"))))</f>
        <v/>
      </c>
    </row>
    <row r="103" ht="18" customHeight="1" s="46">
      <c r="A103" s="23" t="n">
        <v>99</v>
      </c>
      <c r="B103" s="24" t="inlineStr">
        <is>
          <t>BD-VRM-2024-3146</t>
        </is>
      </c>
      <c r="C103" s="25" t="inlineStr">
        <is>
          <t>Flava Louvers - Preminum - TL FL 6126 - 9.5ftx6in</t>
        </is>
      </c>
      <c r="D103" s="23" t="inlineStr">
        <is>
          <t>Flava</t>
        </is>
      </c>
      <c r="E103" s="43" t="n">
        <v>46126</v>
      </c>
      <c r="F103" s="26" t="inlineStr">
        <is>
          <t>Sunil CR</t>
        </is>
      </c>
      <c r="G103" s="26" t="inlineStr">
        <is>
          <t>Yes</t>
        </is>
      </c>
      <c r="H103" s="26" t="inlineStr">
        <is>
          <t>No</t>
        </is>
      </c>
      <c r="I103" s="26" t="inlineStr">
        <is>
          <t>Good finish</t>
        </is>
      </c>
      <c r="J103" s="26" t="inlineStr">
        <is>
          <t>Yes</t>
        </is>
      </c>
      <c r="K103" s="27" t="n"/>
      <c r="L103" s="28" t="inlineStr">
        <is>
          <t>No</t>
        </is>
      </c>
      <c r="M103" s="29">
        <f>IF(E103="","",IF(H103="Yes","❌ Disc",IF(G103="No","⚠ Missing",IF(J103="Yes","✓ OK","⚠ Check"))))</f>
        <v/>
      </c>
      <c r="N103" s="43" t="n">
        <v>46193</v>
      </c>
      <c r="O103" s="26" t="inlineStr">
        <is>
          <t>Sunil CR</t>
        </is>
      </c>
      <c r="P103" s="26" t="inlineStr">
        <is>
          <t>Yes</t>
        </is>
      </c>
      <c r="Q103" s="26" t="inlineStr">
        <is>
          <t>No</t>
        </is>
      </c>
      <c r="R103" s="26" t="inlineStr">
        <is>
          <t>Good finish</t>
        </is>
      </c>
      <c r="S103" s="26" t="inlineStr">
        <is>
          <t>Yes</t>
        </is>
      </c>
      <c r="T103" s="27" t="n"/>
      <c r="U103" s="28" t="inlineStr">
        <is>
          <t>No</t>
        </is>
      </c>
      <c r="V103" s="29">
        <f>IF(N103="","",IF(Q103="Yes","❌ Disc",IF(P103="No","⚠ Missing",IF(S103="Yes","✓ OK","⚠ Check"))))</f>
        <v/>
      </c>
      <c r="W103" s="65" t="n">
        <v>46248</v>
      </c>
      <c r="X103" s="30" t="inlineStr">
        <is>
          <t>Sunil CR</t>
        </is>
      </c>
      <c r="Y103" s="30" t="inlineStr">
        <is>
          <t>Yes</t>
        </is>
      </c>
      <c r="Z103" s="30" t="n"/>
      <c r="AA103" s="30" t="inlineStr">
        <is>
          <t>Good finish</t>
        </is>
      </c>
      <c r="AB103" s="30" t="inlineStr">
        <is>
          <t>Yes</t>
        </is>
      </c>
      <c r="AC103" s="27" t="n"/>
      <c r="AD103" s="31" t="inlineStr">
        <is>
          <t>No</t>
        </is>
      </c>
      <c r="AE103" s="32">
        <f>IF(W103="","",IF(Z103="Yes","❌ Disc",IF(Y103="No","⚠ Missing",IF(AB103="Yes","✓ OK","⚠ Check"))))</f>
        <v/>
      </c>
      <c r="AF103" s="33" t="n"/>
      <c r="AG103" s="33" t="n"/>
      <c r="AH103" s="33" t="n"/>
      <c r="AI103" s="33" t="n"/>
      <c r="AJ103" s="33" t="n"/>
      <c r="AK103" s="33" t="n"/>
      <c r="AL103" s="27" t="n"/>
      <c r="AM103" s="34" t="n"/>
      <c r="AN103" s="35">
        <f>IF(AF103="","",IF(AI103="Yes","❌ Disc",IF(AH103="No","⚠ Missing",IF(AK103="Yes","✓ OK","⚠ Check"))))</f>
        <v/>
      </c>
      <c r="AO103" s="36" t="n"/>
      <c r="AP103" s="36" t="n"/>
      <c r="AQ103" s="36" t="n"/>
      <c r="AR103" s="36" t="n"/>
      <c r="AS103" s="36" t="n"/>
      <c r="AT103" s="36" t="n"/>
      <c r="AU103" s="27" t="n"/>
      <c r="AV103" s="37" t="n"/>
      <c r="AW103" s="38">
        <f>IF(AO103="","",IF(AR103="Yes","❌ Disc",IF(AQ103="No","⚠ Missing",IF(AT103="Yes","✓ OK","⚠ Check"))))</f>
        <v/>
      </c>
    </row>
    <row r="104" ht="18" customHeight="1" s="46">
      <c r="A104" s="39" t="n">
        <v>100</v>
      </c>
      <c r="B104" s="40" t="inlineStr">
        <is>
          <t>BD-VRM-2024-3147</t>
        </is>
      </c>
      <c r="C104" s="41" t="inlineStr">
        <is>
          <t>Flava Louvers - Preminum - TL FL 6127 - 9.5ftx6in</t>
        </is>
      </c>
      <c r="D104" s="39" t="inlineStr">
        <is>
          <t>Flava</t>
        </is>
      </c>
      <c r="E104" s="43" t="n">
        <v>46126</v>
      </c>
      <c r="F104" s="26" t="inlineStr">
        <is>
          <t>Sunil CR</t>
        </is>
      </c>
      <c r="G104" s="26" t="inlineStr">
        <is>
          <t>Yes</t>
        </is>
      </c>
      <c r="H104" s="26" t="inlineStr">
        <is>
          <t>No</t>
        </is>
      </c>
      <c r="I104" s="26" t="inlineStr">
        <is>
          <t>Good finish</t>
        </is>
      </c>
      <c r="J104" s="26" t="inlineStr">
        <is>
          <t>Yes</t>
        </is>
      </c>
      <c r="K104" s="27" t="n"/>
      <c r="L104" s="28" t="inlineStr">
        <is>
          <t>No</t>
        </is>
      </c>
      <c r="M104" s="29">
        <f>IF(E104="","",IF(H104="Yes","❌ Disc",IF(G104="No","⚠ Missing",IF(J104="Yes","✓ OK","⚠ Check"))))</f>
        <v/>
      </c>
      <c r="N104" s="43" t="n">
        <v>46193</v>
      </c>
      <c r="O104" s="26" t="inlineStr">
        <is>
          <t>Sunil CR</t>
        </is>
      </c>
      <c r="P104" s="26" t="inlineStr">
        <is>
          <t>Yes</t>
        </is>
      </c>
      <c r="Q104" s="26" t="inlineStr">
        <is>
          <t>No</t>
        </is>
      </c>
      <c r="R104" s="26" t="inlineStr">
        <is>
          <t>Good finish</t>
        </is>
      </c>
      <c r="S104" s="26" t="inlineStr">
        <is>
          <t>Yes</t>
        </is>
      </c>
      <c r="T104" s="27" t="n"/>
      <c r="U104" s="28" t="inlineStr">
        <is>
          <t>No</t>
        </is>
      </c>
      <c r="V104" s="29">
        <f>IF(N104="","",IF(Q104="Yes","❌ Disc",IF(P104="No","⚠ Missing",IF(S104="Yes","✓ OK","⚠ Check"))))</f>
        <v/>
      </c>
      <c r="W104" s="65" t="n">
        <v>46248</v>
      </c>
      <c r="X104" s="30" t="inlineStr">
        <is>
          <t>Sunil CR</t>
        </is>
      </c>
      <c r="Y104" s="30" t="inlineStr">
        <is>
          <t>Yes</t>
        </is>
      </c>
      <c r="Z104" s="30" t="n"/>
      <c r="AA104" s="30" t="inlineStr">
        <is>
          <t>Good finish</t>
        </is>
      </c>
      <c r="AB104" s="30" t="inlineStr">
        <is>
          <t>Yes</t>
        </is>
      </c>
      <c r="AC104" s="27" t="n"/>
      <c r="AD104" s="31" t="inlineStr">
        <is>
          <t>No</t>
        </is>
      </c>
      <c r="AE104" s="32">
        <f>IF(W104="","",IF(Z104="Yes","❌ Disc",IF(Y104="No","⚠ Missing",IF(AB104="Yes","✓ OK","⚠ Check"))))</f>
        <v/>
      </c>
      <c r="AF104" s="33" t="n"/>
      <c r="AG104" s="33" t="n"/>
      <c r="AH104" s="33" t="n"/>
      <c r="AI104" s="33" t="n"/>
      <c r="AJ104" s="33" t="n"/>
      <c r="AK104" s="33" t="n"/>
      <c r="AL104" s="27" t="n"/>
      <c r="AM104" s="34" t="n"/>
      <c r="AN104" s="35">
        <f>IF(AF104="","",IF(AI104="Yes","❌ Disc",IF(AH104="No","⚠ Missing",IF(AK104="Yes","✓ OK","⚠ Check"))))</f>
        <v/>
      </c>
      <c r="AO104" s="36" t="n"/>
      <c r="AP104" s="36" t="n"/>
      <c r="AQ104" s="36" t="n"/>
      <c r="AR104" s="36" t="n"/>
      <c r="AS104" s="36" t="n"/>
      <c r="AT104" s="36" t="n"/>
      <c r="AU104" s="27" t="n"/>
      <c r="AV104" s="37" t="n"/>
      <c r="AW104" s="38">
        <f>IF(AO104="","",IF(AR104="Yes","❌ Disc",IF(AQ104="No","⚠ Missing",IF(AT104="Yes","✓ OK","⚠ Check"))))</f>
        <v/>
      </c>
    </row>
    <row r="105" ht="18" customHeight="1" s="46">
      <c r="A105" s="23" t="n">
        <v>101</v>
      </c>
      <c r="B105" s="24" t="inlineStr">
        <is>
          <t>BD-VRM-2024-3148</t>
        </is>
      </c>
      <c r="C105" s="25" t="inlineStr">
        <is>
          <t>Flava Louvers - Preminum - TL FL 6128 - 9.5ftx6in</t>
        </is>
      </c>
      <c r="D105" s="23" t="inlineStr">
        <is>
          <t>Flava</t>
        </is>
      </c>
      <c r="E105" s="43" t="n">
        <v>46126</v>
      </c>
      <c r="F105" s="26" t="inlineStr">
        <is>
          <t>Sunil CR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Good finish</t>
        </is>
      </c>
      <c r="J105" s="26" t="inlineStr">
        <is>
          <t>Yes</t>
        </is>
      </c>
      <c r="K105" s="27" t="n"/>
      <c r="L105" s="28" t="inlineStr">
        <is>
          <t>No</t>
        </is>
      </c>
      <c r="M105" s="29">
        <f>IF(E105="","",IF(H105="Yes","❌ Disc",IF(G105="No","⚠ Missing",IF(J105="Yes","✓ OK","⚠ Check"))))</f>
        <v/>
      </c>
      <c r="N105" s="43" t="n">
        <v>46193</v>
      </c>
      <c r="O105" s="26" t="inlineStr">
        <is>
          <t>Sunil CR</t>
        </is>
      </c>
      <c r="P105" s="26" t="inlineStr">
        <is>
          <t>Yes</t>
        </is>
      </c>
      <c r="Q105" s="26" t="inlineStr">
        <is>
          <t>No</t>
        </is>
      </c>
      <c r="R105" s="26" t="inlineStr">
        <is>
          <t>Good finish</t>
        </is>
      </c>
      <c r="S105" s="26" t="inlineStr">
        <is>
          <t>Yes</t>
        </is>
      </c>
      <c r="T105" s="27" t="n"/>
      <c r="U105" s="28" t="inlineStr">
        <is>
          <t>No</t>
        </is>
      </c>
      <c r="V105" s="29">
        <f>IF(N105="","",IF(Q105="Yes","❌ Disc",IF(P105="No","⚠ Missing",IF(S105="Yes","✓ OK","⚠ Check"))))</f>
        <v/>
      </c>
      <c r="W105" s="65" t="n">
        <v>46248</v>
      </c>
      <c r="X105" s="30" t="inlineStr">
        <is>
          <t>Sunil CR</t>
        </is>
      </c>
      <c r="Y105" s="30" t="inlineStr">
        <is>
          <t>Yes</t>
        </is>
      </c>
      <c r="Z105" s="30" t="n"/>
      <c r="AA105" s="30" t="inlineStr">
        <is>
          <t>Good finish</t>
        </is>
      </c>
      <c r="AB105" s="30" t="inlineStr">
        <is>
          <t>Yes</t>
        </is>
      </c>
      <c r="AC105" s="27" t="n"/>
      <c r="AD105" s="31" t="inlineStr">
        <is>
          <t>No</t>
        </is>
      </c>
      <c r="AE105" s="32">
        <f>IF(W105="","",IF(Z105="Yes","❌ Disc",IF(Y105="No","⚠ Missing",IF(AB105="Yes","✓ OK","⚠ Check"))))</f>
        <v/>
      </c>
      <c r="AF105" s="33" t="n"/>
      <c r="AG105" s="33" t="n"/>
      <c r="AH105" s="33" t="n"/>
      <c r="AI105" s="33" t="n"/>
      <c r="AJ105" s="33" t="n"/>
      <c r="AK105" s="33" t="n"/>
      <c r="AL105" s="27" t="n"/>
      <c r="AM105" s="34" t="n"/>
      <c r="AN105" s="35">
        <f>IF(AF105="","",IF(AI105="Yes","❌ Disc",IF(AH105="No","⚠ Missing",IF(AK105="Yes","✓ OK","⚠ Check"))))</f>
        <v/>
      </c>
      <c r="AO105" s="36" t="n"/>
      <c r="AP105" s="36" t="n"/>
      <c r="AQ105" s="36" t="n"/>
      <c r="AR105" s="36" t="n"/>
      <c r="AS105" s="36" t="n"/>
      <c r="AT105" s="36" t="n"/>
      <c r="AU105" s="27" t="n"/>
      <c r="AV105" s="37" t="n"/>
      <c r="AW105" s="38">
        <f>IF(AO105="","",IF(AR105="Yes","❌ Disc",IF(AQ105="No","⚠ Missing",IF(AT105="Yes","✓ OK","⚠ Check"))))</f>
        <v/>
      </c>
    </row>
    <row r="106" ht="18" customHeight="1" s="46">
      <c r="A106" s="39" t="n">
        <v>102</v>
      </c>
      <c r="B106" s="40" t="inlineStr">
        <is>
          <t>BD-VRM-2024-3149</t>
        </is>
      </c>
      <c r="C106" s="41" t="inlineStr">
        <is>
          <t>Flava Louvers - Preminum - TL FL 6129 - 9.5ftx6in</t>
        </is>
      </c>
      <c r="D106" s="39" t="inlineStr">
        <is>
          <t>Flava</t>
        </is>
      </c>
      <c r="E106" s="43" t="n">
        <v>46126</v>
      </c>
      <c r="F106" s="26" t="inlineStr">
        <is>
          <t>Sunil CR</t>
        </is>
      </c>
      <c r="G106" s="26" t="inlineStr">
        <is>
          <t>No</t>
        </is>
      </c>
      <c r="H106" s="26" t="inlineStr">
        <is>
          <t>No</t>
        </is>
      </c>
      <c r="I106" s="26" t="inlineStr">
        <is>
          <t>Not Available</t>
        </is>
      </c>
      <c r="J106" s="26" t="inlineStr">
        <is>
          <t>No</t>
        </is>
      </c>
      <c r="K106" s="27" t="n"/>
      <c r="L106" s="28" t="inlineStr">
        <is>
          <t>Yes</t>
        </is>
      </c>
      <c r="M106" s="29">
        <f>IF(E106="","",IF(H106="Yes","❌ Disc",IF(G106="No","⚠ Missing",IF(J106="Yes","✓ OK","⚠ Check"))))</f>
        <v/>
      </c>
      <c r="N106" s="43" t="n">
        <v>46193</v>
      </c>
      <c r="O106" s="26" t="inlineStr">
        <is>
          <t>Sunil CR</t>
        </is>
      </c>
      <c r="P106" s="26" t="inlineStr">
        <is>
          <t>No</t>
        </is>
      </c>
      <c r="Q106" s="26" t="inlineStr">
        <is>
          <t>No</t>
        </is>
      </c>
      <c r="R106" s="26" t="inlineStr">
        <is>
          <t>Not Available</t>
        </is>
      </c>
      <c r="S106" s="26" t="inlineStr">
        <is>
          <t>No</t>
        </is>
      </c>
      <c r="T106" s="27" t="n"/>
      <c r="U106" s="28" t="inlineStr">
        <is>
          <t>Yes</t>
        </is>
      </c>
      <c r="V106" s="29">
        <f>IF(N106="","",IF(Q106="Yes","❌ Disc",IF(P106="No","⚠ Missing",IF(S106="Yes","✓ OK","⚠ Check"))))</f>
        <v/>
      </c>
      <c r="W106" s="65" t="n">
        <v>46248</v>
      </c>
      <c r="X106" s="30" t="inlineStr">
        <is>
          <t>Sunil CR</t>
        </is>
      </c>
      <c r="Y106" s="30" t="inlineStr">
        <is>
          <t>No</t>
        </is>
      </c>
      <c r="Z106" s="30" t="n"/>
      <c r="AA106" s="30" t="inlineStr">
        <is>
          <t>Not Available</t>
        </is>
      </c>
      <c r="AB106" s="30" t="inlineStr">
        <is>
          <t>No</t>
        </is>
      </c>
      <c r="AC106" s="27" t="n"/>
      <c r="AD106" s="31" t="inlineStr">
        <is>
          <t>Yes</t>
        </is>
      </c>
      <c r="AE106" s="32">
        <f>IF(W106="","",IF(Z106="Yes","❌ Disc",IF(Y106="No","⚠ Missing",IF(AB106="Yes","✓ OK","⚠ Check"))))</f>
        <v/>
      </c>
      <c r="AF106" s="33" t="n"/>
      <c r="AG106" s="33" t="n"/>
      <c r="AH106" s="33" t="n"/>
      <c r="AI106" s="33" t="n"/>
      <c r="AJ106" s="33" t="n"/>
      <c r="AK106" s="33" t="n"/>
      <c r="AL106" s="27" t="n"/>
      <c r="AM106" s="34" t="n"/>
      <c r="AN106" s="35">
        <f>IF(AF106="","",IF(AI106="Yes","❌ Disc",IF(AH106="No","⚠ Missing",IF(AK106="Yes","✓ OK","⚠ Check"))))</f>
        <v/>
      </c>
      <c r="AO106" s="36" t="n"/>
      <c r="AP106" s="36" t="n"/>
      <c r="AQ106" s="36" t="n"/>
      <c r="AR106" s="36" t="n"/>
      <c r="AS106" s="36" t="n"/>
      <c r="AT106" s="36" t="n"/>
      <c r="AU106" s="27" t="n"/>
      <c r="AV106" s="37" t="n"/>
      <c r="AW106" s="38">
        <f>IF(AO106="","",IF(AR106="Yes","❌ Disc",IF(AQ106="No","⚠ Missing",IF(AT106="Yes","✓ OK","⚠ Check"))))</f>
        <v/>
      </c>
    </row>
    <row r="107" ht="18" customHeight="1" s="46">
      <c r="A107" s="23" t="n">
        <v>103</v>
      </c>
      <c r="B107" s="24" t="inlineStr">
        <is>
          <t>BD-VRM-2024-3090</t>
        </is>
      </c>
      <c r="C107" s="25" t="inlineStr">
        <is>
          <t>Flava Louvers - Standard - TL WL 1601 9.5ft X 120mm</t>
        </is>
      </c>
      <c r="D107" s="23" t="inlineStr">
        <is>
          <t>Flava</t>
        </is>
      </c>
      <c r="E107" s="43" t="n">
        <v>46126</v>
      </c>
      <c r="F107" s="26" t="inlineStr">
        <is>
          <t>Sunil CR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Good finish</t>
        </is>
      </c>
      <c r="J107" s="26" t="inlineStr">
        <is>
          <t>Yes</t>
        </is>
      </c>
      <c r="K107" s="27" t="n"/>
      <c r="L107" s="28" t="inlineStr">
        <is>
          <t>No</t>
        </is>
      </c>
      <c r="M107" s="29">
        <f>IF(E107="","",IF(H107="Yes","❌ Disc",IF(G107="No","⚠ Missing",IF(J107="Yes","✓ OK","⚠ Check"))))</f>
        <v/>
      </c>
      <c r="N107" s="43" t="n">
        <v>46193</v>
      </c>
      <c r="O107" s="26" t="inlineStr">
        <is>
          <t>Sunil CR</t>
        </is>
      </c>
      <c r="P107" s="26" t="inlineStr">
        <is>
          <t>Yes</t>
        </is>
      </c>
      <c r="Q107" s="26" t="inlineStr">
        <is>
          <t>No</t>
        </is>
      </c>
      <c r="R107" s="26" t="inlineStr">
        <is>
          <t>Good finish</t>
        </is>
      </c>
      <c r="S107" s="26" t="inlineStr">
        <is>
          <t>Yes</t>
        </is>
      </c>
      <c r="T107" s="27" t="n"/>
      <c r="U107" s="28" t="inlineStr">
        <is>
          <t>No</t>
        </is>
      </c>
      <c r="V107" s="29">
        <f>IF(N107="","",IF(Q107="Yes","❌ Disc",IF(P107="No","⚠ Missing",IF(S107="Yes","✓ OK","⚠ Check"))))</f>
        <v/>
      </c>
      <c r="W107" s="65" t="n">
        <v>46248</v>
      </c>
      <c r="X107" s="30" t="inlineStr">
        <is>
          <t>Sunil CR</t>
        </is>
      </c>
      <c r="Y107" s="30" t="inlineStr">
        <is>
          <t>Yes</t>
        </is>
      </c>
      <c r="Z107" s="30" t="n"/>
      <c r="AA107" s="30" t="inlineStr">
        <is>
          <t>Good finish</t>
        </is>
      </c>
      <c r="AB107" s="30" t="inlineStr">
        <is>
          <t>Yes</t>
        </is>
      </c>
      <c r="AC107" s="27" t="n"/>
      <c r="AD107" s="31" t="inlineStr">
        <is>
          <t>No</t>
        </is>
      </c>
      <c r="AE107" s="32">
        <f>IF(W107="","",IF(Z107="Yes","❌ Disc",IF(Y107="No","⚠ Missing",IF(AB107="Yes","✓ OK","⚠ Check"))))</f>
        <v/>
      </c>
      <c r="AF107" s="33" t="n"/>
      <c r="AG107" s="33" t="n"/>
      <c r="AH107" s="33" t="n"/>
      <c r="AI107" s="33" t="n"/>
      <c r="AJ107" s="33" t="n"/>
      <c r="AK107" s="33" t="n"/>
      <c r="AL107" s="27" t="n"/>
      <c r="AM107" s="34" t="n"/>
      <c r="AN107" s="35">
        <f>IF(AF107="","",IF(AI107="Yes","❌ Disc",IF(AH107="No","⚠ Missing",IF(AK107="Yes","✓ OK","⚠ Check"))))</f>
        <v/>
      </c>
      <c r="AO107" s="36" t="n"/>
      <c r="AP107" s="36" t="n"/>
      <c r="AQ107" s="36" t="n"/>
      <c r="AR107" s="36" t="n"/>
      <c r="AS107" s="36" t="n"/>
      <c r="AT107" s="36" t="n"/>
      <c r="AU107" s="27" t="n"/>
      <c r="AV107" s="37" t="n"/>
      <c r="AW107" s="38">
        <f>IF(AO107="","",IF(AR107="Yes","❌ Disc",IF(AQ107="No","⚠ Missing",IF(AT107="Yes","✓ OK","⚠ Check"))))</f>
        <v/>
      </c>
    </row>
    <row r="108" ht="18" customHeight="1" s="46">
      <c r="A108" s="39" t="n">
        <v>104</v>
      </c>
      <c r="B108" s="40" t="inlineStr">
        <is>
          <t>BD-VRM-2024-3092</t>
        </is>
      </c>
      <c r="C108" s="41" t="inlineStr">
        <is>
          <t>Flava Louvers - Standard - TL WL 1603 9.5ft X 120mm</t>
        </is>
      </c>
      <c r="D108" s="39" t="inlineStr">
        <is>
          <t>Flava</t>
        </is>
      </c>
      <c r="E108" s="43" t="n">
        <v>46126</v>
      </c>
      <c r="F108" s="26" t="inlineStr">
        <is>
          <t>Sunil CR</t>
        </is>
      </c>
      <c r="G108" s="26" t="inlineStr">
        <is>
          <t>Yes</t>
        </is>
      </c>
      <c r="H108" s="26" t="inlineStr">
        <is>
          <t>No</t>
        </is>
      </c>
      <c r="I108" s="26" t="inlineStr">
        <is>
          <t>Good finish</t>
        </is>
      </c>
      <c r="J108" s="26" t="inlineStr">
        <is>
          <t>Yes</t>
        </is>
      </c>
      <c r="K108" s="27" t="n"/>
      <c r="L108" s="28" t="inlineStr">
        <is>
          <t>No</t>
        </is>
      </c>
      <c r="M108" s="29">
        <f>IF(E108="","",IF(H108="Yes","❌ Disc",IF(G108="No","⚠ Missing",IF(J108="Yes","✓ OK","⚠ Check"))))</f>
        <v/>
      </c>
      <c r="N108" s="43" t="n">
        <v>46193</v>
      </c>
      <c r="O108" s="26" t="inlineStr">
        <is>
          <t>Sunil CR</t>
        </is>
      </c>
      <c r="P108" s="26" t="inlineStr">
        <is>
          <t>Yes</t>
        </is>
      </c>
      <c r="Q108" s="26" t="inlineStr">
        <is>
          <t>No</t>
        </is>
      </c>
      <c r="R108" s="26" t="inlineStr">
        <is>
          <t>Good finish</t>
        </is>
      </c>
      <c r="S108" s="26" t="inlineStr">
        <is>
          <t>Yes</t>
        </is>
      </c>
      <c r="T108" s="27" t="n"/>
      <c r="U108" s="28" t="inlineStr">
        <is>
          <t>No</t>
        </is>
      </c>
      <c r="V108" s="29">
        <f>IF(N108="","",IF(Q108="Yes","❌ Disc",IF(P108="No","⚠ Missing",IF(S108="Yes","✓ OK","⚠ Check"))))</f>
        <v/>
      </c>
      <c r="W108" s="65" t="n">
        <v>46248</v>
      </c>
      <c r="X108" s="30" t="inlineStr">
        <is>
          <t>Sunil CR</t>
        </is>
      </c>
      <c r="Y108" s="30" t="inlineStr">
        <is>
          <t>Yes</t>
        </is>
      </c>
      <c r="Z108" s="30" t="n"/>
      <c r="AA108" s="30" t="inlineStr">
        <is>
          <t>Good finish</t>
        </is>
      </c>
      <c r="AB108" s="30" t="inlineStr">
        <is>
          <t>Yes</t>
        </is>
      </c>
      <c r="AC108" s="27" t="n"/>
      <c r="AD108" s="31" t="inlineStr">
        <is>
          <t>No</t>
        </is>
      </c>
      <c r="AE108" s="32">
        <f>IF(W108="","",IF(Z108="Yes","❌ Disc",IF(Y108="No","⚠ Missing",IF(AB108="Yes","✓ OK","⚠ Check"))))</f>
        <v/>
      </c>
      <c r="AF108" s="33" t="n"/>
      <c r="AG108" s="33" t="n"/>
      <c r="AH108" s="33" t="n"/>
      <c r="AI108" s="33" t="n"/>
      <c r="AJ108" s="33" t="n"/>
      <c r="AK108" s="33" t="n"/>
      <c r="AL108" s="27" t="n"/>
      <c r="AM108" s="34" t="n"/>
      <c r="AN108" s="35">
        <f>IF(AF108="","",IF(AI108="Yes","❌ Disc",IF(AH108="No","⚠ Missing",IF(AK108="Yes","✓ OK","⚠ Check"))))</f>
        <v/>
      </c>
      <c r="AO108" s="36" t="n"/>
      <c r="AP108" s="36" t="n"/>
      <c r="AQ108" s="36" t="n"/>
      <c r="AR108" s="36" t="n"/>
      <c r="AS108" s="36" t="n"/>
      <c r="AT108" s="36" t="n"/>
      <c r="AU108" s="27" t="n"/>
      <c r="AV108" s="37" t="n"/>
      <c r="AW108" s="38">
        <f>IF(AO108="","",IF(AR108="Yes","❌ Disc",IF(AQ108="No","⚠ Missing",IF(AT108="Yes","✓ OK","⚠ Check"))))</f>
        <v/>
      </c>
    </row>
    <row r="109" ht="18" customHeight="1" s="46">
      <c r="A109" s="23" t="n">
        <v>105</v>
      </c>
      <c r="B109" s="24" t="inlineStr">
        <is>
          <t>BD-VRM-2024-3093</t>
        </is>
      </c>
      <c r="C109" s="25" t="inlineStr">
        <is>
          <t>Flava Louvers - Standard - TL WL 1604 9.5ft X 120mm</t>
        </is>
      </c>
      <c r="D109" s="23" t="inlineStr">
        <is>
          <t>Flava</t>
        </is>
      </c>
      <c r="E109" s="43" t="n">
        <v>46126</v>
      </c>
      <c r="F109" s="26" t="inlineStr">
        <is>
          <t>Sunil CR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Good finish</t>
        </is>
      </c>
      <c r="J109" s="26" t="inlineStr">
        <is>
          <t>Yes</t>
        </is>
      </c>
      <c r="K109" s="27" t="n"/>
      <c r="L109" s="28" t="inlineStr">
        <is>
          <t>No</t>
        </is>
      </c>
      <c r="M109" s="29">
        <f>IF(E109="","",IF(H109="Yes","❌ Disc",IF(G109="No","⚠ Missing",IF(J109="Yes","✓ OK","⚠ Check"))))</f>
        <v/>
      </c>
      <c r="N109" s="43" t="n">
        <v>46193</v>
      </c>
      <c r="O109" s="26" t="inlineStr">
        <is>
          <t>Sunil CR</t>
        </is>
      </c>
      <c r="P109" s="26" t="inlineStr">
        <is>
          <t>Yes</t>
        </is>
      </c>
      <c r="Q109" s="26" t="inlineStr">
        <is>
          <t>No</t>
        </is>
      </c>
      <c r="R109" s="26" t="inlineStr">
        <is>
          <t>Good finish</t>
        </is>
      </c>
      <c r="S109" s="26" t="inlineStr">
        <is>
          <t>Yes</t>
        </is>
      </c>
      <c r="T109" s="27" t="n"/>
      <c r="U109" s="28" t="inlineStr">
        <is>
          <t>No</t>
        </is>
      </c>
      <c r="V109" s="29">
        <f>IF(N109="","",IF(Q109="Yes","❌ Disc",IF(P109="No","⚠ Missing",IF(S109="Yes","✓ OK","⚠ Check"))))</f>
        <v/>
      </c>
      <c r="W109" s="65" t="n">
        <v>46248</v>
      </c>
      <c r="X109" s="30" t="inlineStr">
        <is>
          <t>Sunil CR</t>
        </is>
      </c>
      <c r="Y109" s="30" t="inlineStr">
        <is>
          <t>Yes</t>
        </is>
      </c>
      <c r="Z109" s="30" t="n"/>
      <c r="AA109" s="30" t="inlineStr">
        <is>
          <t>Good finish</t>
        </is>
      </c>
      <c r="AB109" s="30" t="inlineStr">
        <is>
          <t>Yes</t>
        </is>
      </c>
      <c r="AC109" s="27" t="n"/>
      <c r="AD109" s="31" t="inlineStr">
        <is>
          <t>No</t>
        </is>
      </c>
      <c r="AE109" s="32">
        <f>IF(W109="","",IF(Z109="Yes","❌ Disc",IF(Y109="No","⚠ Missing",IF(AB109="Yes","✓ OK","⚠ Check"))))</f>
        <v/>
      </c>
      <c r="AF109" s="33" t="n"/>
      <c r="AG109" s="33" t="n"/>
      <c r="AH109" s="33" t="n"/>
      <c r="AI109" s="33" t="n"/>
      <c r="AJ109" s="33" t="n"/>
      <c r="AK109" s="33" t="n"/>
      <c r="AL109" s="27" t="n"/>
      <c r="AM109" s="34" t="n"/>
      <c r="AN109" s="35">
        <f>IF(AF109="","",IF(AI109="Yes","❌ Disc",IF(AH109="No","⚠ Missing",IF(AK109="Yes","✓ OK","⚠ Check"))))</f>
        <v/>
      </c>
      <c r="AO109" s="36" t="n"/>
      <c r="AP109" s="36" t="n"/>
      <c r="AQ109" s="36" t="n"/>
      <c r="AR109" s="36" t="n"/>
      <c r="AS109" s="36" t="n"/>
      <c r="AT109" s="36" t="n"/>
      <c r="AU109" s="27" t="n"/>
      <c r="AV109" s="37" t="n"/>
      <c r="AW109" s="38">
        <f>IF(AO109="","",IF(AR109="Yes","❌ Disc",IF(AQ109="No","⚠ Missing",IF(AT109="Yes","✓ OK","⚠ Check"))))</f>
        <v/>
      </c>
    </row>
    <row r="110" ht="18" customHeight="1" s="46">
      <c r="A110" s="39" t="n">
        <v>106</v>
      </c>
      <c r="B110" s="40" t="inlineStr">
        <is>
          <t>BD-VRM-2024-3094</t>
        </is>
      </c>
      <c r="C110" s="41" t="inlineStr">
        <is>
          <t>Flava Louvers - Standard - TL WL 1605 9.5ft X 120mm</t>
        </is>
      </c>
      <c r="D110" s="39" t="inlineStr">
        <is>
          <t>Flava</t>
        </is>
      </c>
      <c r="E110" s="43" t="n">
        <v>46126</v>
      </c>
      <c r="F110" s="26" t="inlineStr">
        <is>
          <t>Sunil CR</t>
        </is>
      </c>
      <c r="G110" s="26" t="inlineStr">
        <is>
          <t>Yes</t>
        </is>
      </c>
      <c r="H110" s="26" t="inlineStr">
        <is>
          <t>No</t>
        </is>
      </c>
      <c r="I110" s="26" t="inlineStr">
        <is>
          <t>Good finish</t>
        </is>
      </c>
      <c r="J110" s="26" t="inlineStr">
        <is>
          <t>Yes</t>
        </is>
      </c>
      <c r="K110" s="27" t="n"/>
      <c r="L110" s="28" t="inlineStr">
        <is>
          <t>No</t>
        </is>
      </c>
      <c r="M110" s="29">
        <f>IF(E110="","",IF(H110="Yes","❌ Disc",IF(G110="No","⚠ Missing",IF(J110="Yes","✓ OK","⚠ Check"))))</f>
        <v/>
      </c>
      <c r="N110" s="43" t="n">
        <v>46193</v>
      </c>
      <c r="O110" s="26" t="inlineStr">
        <is>
          <t>Sunil CR</t>
        </is>
      </c>
      <c r="P110" s="26" t="inlineStr">
        <is>
          <t>Yes</t>
        </is>
      </c>
      <c r="Q110" s="26" t="inlineStr">
        <is>
          <t>No</t>
        </is>
      </c>
      <c r="R110" s="26" t="inlineStr">
        <is>
          <t>Good finish</t>
        </is>
      </c>
      <c r="S110" s="26" t="inlineStr">
        <is>
          <t>Yes</t>
        </is>
      </c>
      <c r="T110" s="27" t="n"/>
      <c r="U110" s="28" t="inlineStr">
        <is>
          <t>No</t>
        </is>
      </c>
      <c r="V110" s="29">
        <f>IF(N110="","",IF(Q110="Yes","❌ Disc",IF(P110="No","⚠ Missing",IF(S110="Yes","✓ OK","⚠ Check"))))</f>
        <v/>
      </c>
      <c r="W110" s="65" t="n">
        <v>46248</v>
      </c>
      <c r="X110" s="30" t="inlineStr">
        <is>
          <t>Sunil CR</t>
        </is>
      </c>
      <c r="Y110" s="30" t="inlineStr">
        <is>
          <t>Yes</t>
        </is>
      </c>
      <c r="Z110" s="30" t="n"/>
      <c r="AA110" s="30" t="inlineStr">
        <is>
          <t>Good finish</t>
        </is>
      </c>
      <c r="AB110" s="30" t="inlineStr">
        <is>
          <t>Yes</t>
        </is>
      </c>
      <c r="AC110" s="27" t="n"/>
      <c r="AD110" s="31" t="inlineStr">
        <is>
          <t>No</t>
        </is>
      </c>
      <c r="AE110" s="32">
        <f>IF(W110="","",IF(Z110="Yes","❌ Disc",IF(Y110="No","⚠ Missing",IF(AB110="Yes","✓ OK","⚠ Check"))))</f>
        <v/>
      </c>
      <c r="AF110" s="33" t="n"/>
      <c r="AG110" s="33" t="n"/>
      <c r="AH110" s="33" t="n"/>
      <c r="AI110" s="33" t="n"/>
      <c r="AJ110" s="33" t="n"/>
      <c r="AK110" s="33" t="n"/>
      <c r="AL110" s="27" t="n"/>
      <c r="AM110" s="34" t="n"/>
      <c r="AN110" s="35">
        <f>IF(AF110="","",IF(AI110="Yes","❌ Disc",IF(AH110="No","⚠ Missing",IF(AK110="Yes","✓ OK","⚠ Check"))))</f>
        <v/>
      </c>
      <c r="AO110" s="36" t="n"/>
      <c r="AP110" s="36" t="n"/>
      <c r="AQ110" s="36" t="n"/>
      <c r="AR110" s="36" t="n"/>
      <c r="AS110" s="36" t="n"/>
      <c r="AT110" s="36" t="n"/>
      <c r="AU110" s="27" t="n"/>
      <c r="AV110" s="37" t="n"/>
      <c r="AW110" s="38">
        <f>IF(AO110="","",IF(AR110="Yes","❌ Disc",IF(AQ110="No","⚠ Missing",IF(AT110="Yes","✓ OK","⚠ Check"))))</f>
        <v/>
      </c>
    </row>
    <row r="111" ht="18" customHeight="1" s="46">
      <c r="A111" s="23" t="n">
        <v>107</v>
      </c>
      <c r="B111" s="24" t="inlineStr">
        <is>
          <t>BD-VRM-2024-3095</t>
        </is>
      </c>
      <c r="C111" s="25" t="inlineStr">
        <is>
          <t>Flava Louvers - Standard - TL WL 1606 9.5ft X 120mm</t>
        </is>
      </c>
      <c r="D111" s="23" t="inlineStr">
        <is>
          <t>Flava</t>
        </is>
      </c>
      <c r="E111" s="43" t="n">
        <v>46126</v>
      </c>
      <c r="F111" s="26" t="inlineStr">
        <is>
          <t>Sunil CR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Good finish</t>
        </is>
      </c>
      <c r="J111" s="26" t="inlineStr">
        <is>
          <t>Yes</t>
        </is>
      </c>
      <c r="K111" s="27" t="n"/>
      <c r="L111" s="28" t="inlineStr">
        <is>
          <t>No</t>
        </is>
      </c>
      <c r="M111" s="29">
        <f>IF(E111="","",IF(H111="Yes","❌ Disc",IF(G111="No","⚠ Missing",IF(J111="Yes","✓ OK","⚠ Check"))))</f>
        <v/>
      </c>
      <c r="N111" s="43" t="n">
        <v>46193</v>
      </c>
      <c r="O111" s="26" t="inlineStr">
        <is>
          <t>Sunil CR</t>
        </is>
      </c>
      <c r="P111" s="26" t="inlineStr">
        <is>
          <t>Yes</t>
        </is>
      </c>
      <c r="Q111" s="26" t="inlineStr">
        <is>
          <t>No</t>
        </is>
      </c>
      <c r="R111" s="26" t="inlineStr">
        <is>
          <t>Good finish</t>
        </is>
      </c>
      <c r="S111" s="26" t="inlineStr">
        <is>
          <t>Yes</t>
        </is>
      </c>
      <c r="T111" s="27" t="n"/>
      <c r="U111" s="28" t="inlineStr">
        <is>
          <t>No</t>
        </is>
      </c>
      <c r="V111" s="29">
        <f>IF(N111="","",IF(Q111="Yes","❌ Disc",IF(P111="No","⚠ Missing",IF(S111="Yes","✓ OK","⚠ Check"))))</f>
        <v/>
      </c>
      <c r="W111" s="65" t="n">
        <v>46248</v>
      </c>
      <c r="X111" s="30" t="inlineStr">
        <is>
          <t>Sunil CR</t>
        </is>
      </c>
      <c r="Y111" s="30" t="inlineStr">
        <is>
          <t>Yes</t>
        </is>
      </c>
      <c r="Z111" s="30" t="n"/>
      <c r="AA111" s="30" t="inlineStr">
        <is>
          <t>Good finish</t>
        </is>
      </c>
      <c r="AB111" s="30" t="inlineStr">
        <is>
          <t>Yes</t>
        </is>
      </c>
      <c r="AC111" s="27" t="n"/>
      <c r="AD111" s="31" t="inlineStr">
        <is>
          <t>No</t>
        </is>
      </c>
      <c r="AE111" s="32">
        <f>IF(W111="","",IF(Z111="Yes","❌ Disc",IF(Y111="No","⚠ Missing",IF(AB111="Yes","✓ OK","⚠ Check"))))</f>
        <v/>
      </c>
      <c r="AF111" s="33" t="n"/>
      <c r="AG111" s="33" t="n"/>
      <c r="AH111" s="33" t="n"/>
      <c r="AI111" s="33" t="n"/>
      <c r="AJ111" s="33" t="n"/>
      <c r="AK111" s="33" t="n"/>
      <c r="AL111" s="27" t="n"/>
      <c r="AM111" s="34" t="n"/>
      <c r="AN111" s="35">
        <f>IF(AF111="","",IF(AI111="Yes","❌ Disc",IF(AH111="No","⚠ Missing",IF(AK111="Yes","✓ OK","⚠ Check"))))</f>
        <v/>
      </c>
      <c r="AO111" s="36" t="n"/>
      <c r="AP111" s="36" t="n"/>
      <c r="AQ111" s="36" t="n"/>
      <c r="AR111" s="36" t="n"/>
      <c r="AS111" s="36" t="n"/>
      <c r="AT111" s="36" t="n"/>
      <c r="AU111" s="27" t="n"/>
      <c r="AV111" s="37" t="n"/>
      <c r="AW111" s="38">
        <f>IF(AO111="","",IF(AR111="Yes","❌ Disc",IF(AQ111="No","⚠ Missing",IF(AT111="Yes","✓ OK","⚠ Check"))))</f>
        <v/>
      </c>
    </row>
    <row r="112" ht="18" customHeight="1" s="46">
      <c r="A112" s="39" t="n">
        <v>108</v>
      </c>
      <c r="B112" s="40" t="inlineStr">
        <is>
          <t>BD-VRM-2024-3088</t>
        </is>
      </c>
      <c r="C112" s="41" t="inlineStr">
        <is>
          <t>Flava Louvers - Standard - TL WL 1607 9.5ft X 120mm</t>
        </is>
      </c>
      <c r="D112" s="39" t="inlineStr">
        <is>
          <t>Flava</t>
        </is>
      </c>
      <c r="E112" s="43" t="n">
        <v>46126</v>
      </c>
      <c r="F112" s="26" t="inlineStr">
        <is>
          <t>Sunil CR</t>
        </is>
      </c>
      <c r="G112" s="26" t="inlineStr">
        <is>
          <t>Yes</t>
        </is>
      </c>
      <c r="H112" s="26" t="inlineStr">
        <is>
          <t>No</t>
        </is>
      </c>
      <c r="I112" s="26" t="inlineStr">
        <is>
          <t>Good finish</t>
        </is>
      </c>
      <c r="J112" s="26" t="inlineStr">
        <is>
          <t>Yes</t>
        </is>
      </c>
      <c r="K112" s="27" t="n"/>
      <c r="L112" s="28" t="inlineStr">
        <is>
          <t>No</t>
        </is>
      </c>
      <c r="M112" s="29">
        <f>IF(E112="","",IF(H112="Yes","❌ Disc",IF(G112="No","⚠ Missing",IF(J112="Yes","✓ OK","⚠ Check"))))</f>
        <v/>
      </c>
      <c r="N112" s="43" t="n">
        <v>46193</v>
      </c>
      <c r="O112" s="26" t="inlineStr">
        <is>
          <t>Sunil CR</t>
        </is>
      </c>
      <c r="P112" s="26" t="inlineStr">
        <is>
          <t>Yes</t>
        </is>
      </c>
      <c r="Q112" s="26" t="inlineStr">
        <is>
          <t>No</t>
        </is>
      </c>
      <c r="R112" s="26" t="inlineStr">
        <is>
          <t>Good finish</t>
        </is>
      </c>
      <c r="S112" s="26" t="inlineStr">
        <is>
          <t>Yes</t>
        </is>
      </c>
      <c r="T112" s="27" t="n"/>
      <c r="U112" s="28" t="inlineStr">
        <is>
          <t>No</t>
        </is>
      </c>
      <c r="V112" s="29">
        <f>IF(N112="","",IF(Q112="Yes","❌ Disc",IF(P112="No","⚠ Missing",IF(S112="Yes","✓ OK","⚠ Check"))))</f>
        <v/>
      </c>
      <c r="W112" s="65" t="n">
        <v>46248</v>
      </c>
      <c r="X112" s="30" t="inlineStr">
        <is>
          <t>Sunil CR</t>
        </is>
      </c>
      <c r="Y112" s="30" t="inlineStr">
        <is>
          <t>Yes</t>
        </is>
      </c>
      <c r="Z112" s="30" t="n"/>
      <c r="AA112" s="30" t="inlineStr">
        <is>
          <t>Good finish</t>
        </is>
      </c>
      <c r="AB112" s="30" t="inlineStr">
        <is>
          <t>Yes</t>
        </is>
      </c>
      <c r="AC112" s="27" t="n"/>
      <c r="AD112" s="31" t="inlineStr">
        <is>
          <t>No</t>
        </is>
      </c>
      <c r="AE112" s="32">
        <f>IF(W112="","",IF(Z112="Yes","❌ Disc",IF(Y112="No","⚠ Missing",IF(AB112="Yes","✓ OK","⚠ Check"))))</f>
        <v/>
      </c>
      <c r="AF112" s="33" t="n"/>
      <c r="AG112" s="33" t="n"/>
      <c r="AH112" s="33" t="n"/>
      <c r="AI112" s="33" t="n"/>
      <c r="AJ112" s="33" t="n"/>
      <c r="AK112" s="33" t="n"/>
      <c r="AL112" s="27" t="n"/>
      <c r="AM112" s="34" t="n"/>
      <c r="AN112" s="35">
        <f>IF(AF112="","",IF(AI112="Yes","❌ Disc",IF(AH112="No","⚠ Missing",IF(AK112="Yes","✓ OK","⚠ Check"))))</f>
        <v/>
      </c>
      <c r="AO112" s="36" t="n"/>
      <c r="AP112" s="36" t="n"/>
      <c r="AQ112" s="36" t="n"/>
      <c r="AR112" s="36" t="n"/>
      <c r="AS112" s="36" t="n"/>
      <c r="AT112" s="36" t="n"/>
      <c r="AU112" s="27" t="n"/>
      <c r="AV112" s="37" t="n"/>
      <c r="AW112" s="38">
        <f>IF(AO112="","",IF(AR112="Yes","❌ Disc",IF(AQ112="No","⚠ Missing",IF(AT112="Yes","✓ OK","⚠ Check"))))</f>
        <v/>
      </c>
    </row>
    <row r="113" ht="18" customHeight="1" s="46">
      <c r="A113" s="23" t="n">
        <v>109</v>
      </c>
      <c r="B113" s="24" t="inlineStr">
        <is>
          <t>BD-VRM-2024-3086</t>
        </is>
      </c>
      <c r="C113" s="25" t="inlineStr">
        <is>
          <t>Flava Louvers - Standard - TL WL 1609  9.5ft X 120mm</t>
        </is>
      </c>
      <c r="D113" s="23" t="inlineStr">
        <is>
          <t>Flava</t>
        </is>
      </c>
      <c r="E113" s="43" t="n">
        <v>46126</v>
      </c>
      <c r="F113" s="26" t="inlineStr">
        <is>
          <t>Sunil CR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Good finish</t>
        </is>
      </c>
      <c r="J113" s="26" t="inlineStr">
        <is>
          <t>Yes</t>
        </is>
      </c>
      <c r="K113" s="27" t="n"/>
      <c r="L113" s="28" t="inlineStr">
        <is>
          <t>No</t>
        </is>
      </c>
      <c r="M113" s="29">
        <f>IF(E113="","",IF(H113="Yes","❌ Disc",IF(G113="No","⚠ Missing",IF(J113="Yes","✓ OK","⚠ Check"))))</f>
        <v/>
      </c>
      <c r="N113" s="43" t="n">
        <v>46193</v>
      </c>
      <c r="O113" s="26" t="inlineStr">
        <is>
          <t>Sunil CR</t>
        </is>
      </c>
      <c r="P113" s="26" t="inlineStr">
        <is>
          <t>Yes</t>
        </is>
      </c>
      <c r="Q113" s="26" t="inlineStr">
        <is>
          <t>No</t>
        </is>
      </c>
      <c r="R113" s="26" t="inlineStr">
        <is>
          <t>Good finish</t>
        </is>
      </c>
      <c r="S113" s="26" t="inlineStr">
        <is>
          <t>Yes</t>
        </is>
      </c>
      <c r="T113" s="27" t="n"/>
      <c r="U113" s="28" t="inlineStr">
        <is>
          <t>No</t>
        </is>
      </c>
      <c r="V113" s="29">
        <f>IF(N113="","",IF(Q113="Yes","❌ Disc",IF(P113="No","⚠ Missing",IF(S113="Yes","✓ OK","⚠ Check"))))</f>
        <v/>
      </c>
      <c r="W113" s="65" t="n">
        <v>46248</v>
      </c>
      <c r="X113" s="30" t="inlineStr">
        <is>
          <t>Sunil CR</t>
        </is>
      </c>
      <c r="Y113" s="30" t="inlineStr">
        <is>
          <t>Yes</t>
        </is>
      </c>
      <c r="Z113" s="30" t="n"/>
      <c r="AA113" s="30" t="inlineStr">
        <is>
          <t>Good finish</t>
        </is>
      </c>
      <c r="AB113" s="30" t="inlineStr">
        <is>
          <t>Yes</t>
        </is>
      </c>
      <c r="AC113" s="27" t="n"/>
      <c r="AD113" s="31" t="inlineStr">
        <is>
          <t>No</t>
        </is>
      </c>
      <c r="AE113" s="32">
        <f>IF(W113="","",IF(Z113="Yes","❌ Disc",IF(Y113="No","⚠ Missing",IF(AB113="Yes","✓ OK","⚠ Check"))))</f>
        <v/>
      </c>
      <c r="AF113" s="33" t="n"/>
      <c r="AG113" s="33" t="n"/>
      <c r="AH113" s="33" t="n"/>
      <c r="AI113" s="33" t="n"/>
      <c r="AJ113" s="33" t="n"/>
      <c r="AK113" s="33" t="n"/>
      <c r="AL113" s="27" t="n"/>
      <c r="AM113" s="34" t="n"/>
      <c r="AN113" s="35">
        <f>IF(AF113="","",IF(AI113="Yes","❌ Disc",IF(AH113="No","⚠ Missing",IF(AK113="Yes","✓ OK","⚠ Check"))))</f>
        <v/>
      </c>
      <c r="AO113" s="36" t="n"/>
      <c r="AP113" s="36" t="n"/>
      <c r="AQ113" s="36" t="n"/>
      <c r="AR113" s="36" t="n"/>
      <c r="AS113" s="36" t="n"/>
      <c r="AT113" s="36" t="n"/>
      <c r="AU113" s="27" t="n"/>
      <c r="AV113" s="37" t="n"/>
      <c r="AW113" s="38">
        <f>IF(AO113="","",IF(AR113="Yes","❌ Disc",IF(AQ113="No","⚠ Missing",IF(AT113="Yes","✓ OK","⚠ Check"))))</f>
        <v/>
      </c>
    </row>
    <row r="114" ht="18" customHeight="1" s="46">
      <c r="A114" s="39" t="n">
        <v>110</v>
      </c>
      <c r="B114" s="40" t="inlineStr">
        <is>
          <t>BD-VRM-2024-3082</t>
        </is>
      </c>
      <c r="C114" s="41" t="inlineStr">
        <is>
          <t>Flava Louvers - Standard - TL WL 1613 9.5ft X 120mm</t>
        </is>
      </c>
      <c r="D114" s="39" t="inlineStr">
        <is>
          <t>Flava</t>
        </is>
      </c>
      <c r="E114" s="43" t="n">
        <v>46126</v>
      </c>
      <c r="F114" s="26" t="inlineStr">
        <is>
          <t>Sunil CR</t>
        </is>
      </c>
      <c r="G114" s="26" t="inlineStr">
        <is>
          <t>Yes</t>
        </is>
      </c>
      <c r="H114" s="26" t="inlineStr">
        <is>
          <t>No</t>
        </is>
      </c>
      <c r="I114" s="26" t="inlineStr">
        <is>
          <t>Good finish</t>
        </is>
      </c>
      <c r="J114" s="26" t="inlineStr">
        <is>
          <t>Yes</t>
        </is>
      </c>
      <c r="K114" s="27" t="n"/>
      <c r="L114" s="28" t="inlineStr">
        <is>
          <t>No</t>
        </is>
      </c>
      <c r="M114" s="29">
        <f>IF(E114="","",IF(H114="Yes","❌ Disc",IF(G114="No","⚠ Missing",IF(J114="Yes","✓ OK","⚠ Check"))))</f>
        <v/>
      </c>
      <c r="N114" s="43" t="n">
        <v>46193</v>
      </c>
      <c r="O114" s="26" t="inlineStr">
        <is>
          <t>Sunil CR</t>
        </is>
      </c>
      <c r="P114" s="26" t="inlineStr">
        <is>
          <t>Yes</t>
        </is>
      </c>
      <c r="Q114" s="26" t="inlineStr">
        <is>
          <t>No</t>
        </is>
      </c>
      <c r="R114" s="26" t="inlineStr">
        <is>
          <t>Good finish</t>
        </is>
      </c>
      <c r="S114" s="26" t="inlineStr">
        <is>
          <t>Yes</t>
        </is>
      </c>
      <c r="T114" s="27" t="n"/>
      <c r="U114" s="28" t="inlineStr">
        <is>
          <t>No</t>
        </is>
      </c>
      <c r="V114" s="29">
        <f>IF(N114="","",IF(Q114="Yes","❌ Disc",IF(P114="No","⚠ Missing",IF(S114="Yes","✓ OK","⚠ Check"))))</f>
        <v/>
      </c>
      <c r="W114" s="65" t="n">
        <v>46248</v>
      </c>
      <c r="X114" s="30" t="inlineStr">
        <is>
          <t>Sunil CR</t>
        </is>
      </c>
      <c r="Y114" s="30" t="inlineStr">
        <is>
          <t>Yes</t>
        </is>
      </c>
      <c r="Z114" s="30" t="n"/>
      <c r="AA114" s="30" t="inlineStr">
        <is>
          <t>Good finish</t>
        </is>
      </c>
      <c r="AB114" s="30" t="inlineStr">
        <is>
          <t>Yes</t>
        </is>
      </c>
      <c r="AC114" s="27" t="n"/>
      <c r="AD114" s="31" t="inlineStr">
        <is>
          <t>No</t>
        </is>
      </c>
      <c r="AE114" s="32">
        <f>IF(W114="","",IF(Z114="Yes","❌ Disc",IF(Y114="No","⚠ Missing",IF(AB114="Yes","✓ OK","⚠ Check"))))</f>
        <v/>
      </c>
      <c r="AF114" s="33" t="n"/>
      <c r="AG114" s="33" t="n"/>
      <c r="AH114" s="33" t="n"/>
      <c r="AI114" s="33" t="n"/>
      <c r="AJ114" s="33" t="n"/>
      <c r="AK114" s="33" t="n"/>
      <c r="AL114" s="27" t="n"/>
      <c r="AM114" s="34" t="n"/>
      <c r="AN114" s="35">
        <f>IF(AF114="","",IF(AI114="Yes","❌ Disc",IF(AH114="No","⚠ Missing",IF(AK114="Yes","✓ OK","⚠ Check"))))</f>
        <v/>
      </c>
      <c r="AO114" s="36" t="n"/>
      <c r="AP114" s="36" t="n"/>
      <c r="AQ114" s="36" t="n"/>
      <c r="AR114" s="36" t="n"/>
      <c r="AS114" s="36" t="n"/>
      <c r="AT114" s="36" t="n"/>
      <c r="AU114" s="27" t="n"/>
      <c r="AV114" s="37" t="n"/>
      <c r="AW114" s="38">
        <f>IF(AO114="","",IF(AR114="Yes","❌ Disc",IF(AQ114="No","⚠ Missing",IF(AT114="Yes","✓ OK","⚠ Check"))))</f>
        <v/>
      </c>
    </row>
    <row r="115" ht="18" customHeight="1" s="46">
      <c r="A115" s="23" t="n">
        <v>111</v>
      </c>
      <c r="B115" s="24" t="inlineStr">
        <is>
          <t>BD-VRM-2024-3083</t>
        </is>
      </c>
      <c r="C115" s="25" t="inlineStr">
        <is>
          <t>Flava Louvers - Standard - TL WL 1614 9.5ft X 120mm</t>
        </is>
      </c>
      <c r="D115" s="23" t="inlineStr">
        <is>
          <t>Flava</t>
        </is>
      </c>
      <c r="E115" s="43" t="n">
        <v>46126</v>
      </c>
      <c r="F115" s="26" t="inlineStr">
        <is>
          <t>Sunil CR</t>
        </is>
      </c>
      <c r="G115" s="26" t="inlineStr">
        <is>
          <t>Yes</t>
        </is>
      </c>
      <c r="H115" s="26" t="inlineStr">
        <is>
          <t>No</t>
        </is>
      </c>
      <c r="I115" s="26" t="inlineStr">
        <is>
          <t>Good finish</t>
        </is>
      </c>
      <c r="J115" s="26" t="inlineStr">
        <is>
          <t>Yes</t>
        </is>
      </c>
      <c r="K115" s="27" t="n"/>
      <c r="L115" s="28" t="inlineStr">
        <is>
          <t>No</t>
        </is>
      </c>
      <c r="M115" s="29">
        <f>IF(E115="","",IF(H115="Yes","❌ Disc",IF(G115="No","⚠ Missing",IF(J115="Yes","✓ OK","⚠ Check"))))</f>
        <v/>
      </c>
      <c r="N115" s="43" t="n">
        <v>46193</v>
      </c>
      <c r="O115" s="26" t="inlineStr">
        <is>
          <t>Sunil CR</t>
        </is>
      </c>
      <c r="P115" s="26" t="inlineStr">
        <is>
          <t>Yes</t>
        </is>
      </c>
      <c r="Q115" s="26" t="inlineStr">
        <is>
          <t>No</t>
        </is>
      </c>
      <c r="R115" s="26" t="inlineStr">
        <is>
          <t>Good finish</t>
        </is>
      </c>
      <c r="S115" s="26" t="inlineStr">
        <is>
          <t>Yes</t>
        </is>
      </c>
      <c r="T115" s="27" t="n"/>
      <c r="U115" s="28" t="inlineStr">
        <is>
          <t>No</t>
        </is>
      </c>
      <c r="V115" s="29">
        <f>IF(N115="","",IF(Q115="Yes","❌ Disc",IF(P115="No","⚠ Missing",IF(S115="Yes","✓ OK","⚠ Check"))))</f>
        <v/>
      </c>
      <c r="W115" s="65" t="n">
        <v>46248</v>
      </c>
      <c r="X115" s="30" t="inlineStr">
        <is>
          <t>Sunil CR</t>
        </is>
      </c>
      <c r="Y115" s="30" t="inlineStr">
        <is>
          <t>Yes</t>
        </is>
      </c>
      <c r="Z115" s="30" t="n"/>
      <c r="AA115" s="30" t="inlineStr">
        <is>
          <t>Good finish</t>
        </is>
      </c>
      <c r="AB115" s="30" t="inlineStr">
        <is>
          <t>Yes</t>
        </is>
      </c>
      <c r="AC115" s="27" t="n"/>
      <c r="AD115" s="31" t="inlineStr">
        <is>
          <t>No</t>
        </is>
      </c>
      <c r="AE115" s="32">
        <f>IF(W115="","",IF(Z115="Yes","❌ Disc",IF(Y115="No","⚠ Missing",IF(AB115="Yes","✓ OK","⚠ Check"))))</f>
        <v/>
      </c>
      <c r="AF115" s="33" t="n"/>
      <c r="AG115" s="33" t="n"/>
      <c r="AH115" s="33" t="n"/>
      <c r="AI115" s="33" t="n"/>
      <c r="AJ115" s="33" t="n"/>
      <c r="AK115" s="33" t="n"/>
      <c r="AL115" s="27" t="n"/>
      <c r="AM115" s="34" t="n"/>
      <c r="AN115" s="35">
        <f>IF(AF115="","",IF(AI115="Yes","❌ Disc",IF(AH115="No","⚠ Missing",IF(AK115="Yes","✓ OK","⚠ Check"))))</f>
        <v/>
      </c>
      <c r="AO115" s="36" t="n"/>
      <c r="AP115" s="36" t="n"/>
      <c r="AQ115" s="36" t="n"/>
      <c r="AR115" s="36" t="n"/>
      <c r="AS115" s="36" t="n"/>
      <c r="AT115" s="36" t="n"/>
      <c r="AU115" s="27" t="n"/>
      <c r="AV115" s="37" t="n"/>
      <c r="AW115" s="38">
        <f>IF(AO115="","",IF(AR115="Yes","❌ Disc",IF(AQ115="No","⚠ Missing",IF(AT115="Yes","✓ OK","⚠ Check"))))</f>
        <v/>
      </c>
    </row>
    <row r="116" ht="18" customHeight="1" s="46">
      <c r="A116" s="39" t="n">
        <v>112</v>
      </c>
      <c r="B116" s="40" t="inlineStr">
        <is>
          <t>BD-VRM-2024-3084</t>
        </is>
      </c>
      <c r="C116" s="41" t="inlineStr">
        <is>
          <t>Flava Louvers - Standard - TL WL 1615 9.5ft X 120mm</t>
        </is>
      </c>
      <c r="D116" s="39" t="inlineStr">
        <is>
          <t>Flava</t>
        </is>
      </c>
      <c r="E116" s="43" t="n">
        <v>46126</v>
      </c>
      <c r="F116" s="26" t="inlineStr">
        <is>
          <t>Sunil CR</t>
        </is>
      </c>
      <c r="G116" s="26" t="inlineStr">
        <is>
          <t>Yes</t>
        </is>
      </c>
      <c r="H116" s="26" t="inlineStr">
        <is>
          <t>No</t>
        </is>
      </c>
      <c r="I116" s="26" t="inlineStr">
        <is>
          <t>Good finish</t>
        </is>
      </c>
      <c r="J116" s="26" t="inlineStr">
        <is>
          <t>Yes</t>
        </is>
      </c>
      <c r="K116" s="27" t="n"/>
      <c r="L116" s="28" t="inlineStr">
        <is>
          <t>No</t>
        </is>
      </c>
      <c r="M116" s="29">
        <f>IF(E116="","",IF(H116="Yes","❌ Disc",IF(G116="No","⚠ Missing",IF(J116="Yes","✓ OK","⚠ Check"))))</f>
        <v/>
      </c>
      <c r="N116" s="43" t="n">
        <v>46193</v>
      </c>
      <c r="O116" s="26" t="inlineStr">
        <is>
          <t>Sunil CR</t>
        </is>
      </c>
      <c r="P116" s="26" t="inlineStr">
        <is>
          <t>Yes</t>
        </is>
      </c>
      <c r="Q116" s="26" t="inlineStr">
        <is>
          <t>No</t>
        </is>
      </c>
      <c r="R116" s="26" t="inlineStr">
        <is>
          <t>Good finish</t>
        </is>
      </c>
      <c r="S116" s="26" t="inlineStr">
        <is>
          <t>Yes</t>
        </is>
      </c>
      <c r="T116" s="27" t="n"/>
      <c r="U116" s="28" t="inlineStr">
        <is>
          <t>No</t>
        </is>
      </c>
      <c r="V116" s="29">
        <f>IF(N116="","",IF(Q116="Yes","❌ Disc",IF(P116="No","⚠ Missing",IF(S116="Yes","✓ OK","⚠ Check"))))</f>
        <v/>
      </c>
      <c r="W116" s="65" t="n">
        <v>46248</v>
      </c>
      <c r="X116" s="30" t="inlineStr">
        <is>
          <t>Sunil CR</t>
        </is>
      </c>
      <c r="Y116" s="30" t="inlineStr">
        <is>
          <t>Yes</t>
        </is>
      </c>
      <c r="Z116" s="30" t="n"/>
      <c r="AA116" s="30" t="inlineStr">
        <is>
          <t>Good finish</t>
        </is>
      </c>
      <c r="AB116" s="30" t="inlineStr">
        <is>
          <t>Yes</t>
        </is>
      </c>
      <c r="AC116" s="27" t="n"/>
      <c r="AD116" s="31" t="inlineStr">
        <is>
          <t>No</t>
        </is>
      </c>
      <c r="AE116" s="32">
        <f>IF(W116="","",IF(Z116="Yes","❌ Disc",IF(Y116="No","⚠ Missing",IF(AB116="Yes","✓ OK","⚠ Check"))))</f>
        <v/>
      </c>
      <c r="AF116" s="33" t="n"/>
      <c r="AG116" s="33" t="n"/>
      <c r="AH116" s="33" t="n"/>
      <c r="AI116" s="33" t="n"/>
      <c r="AJ116" s="33" t="n"/>
      <c r="AK116" s="33" t="n"/>
      <c r="AL116" s="27" t="n"/>
      <c r="AM116" s="34" t="n"/>
      <c r="AN116" s="35">
        <f>IF(AF116="","",IF(AI116="Yes","❌ Disc",IF(AH116="No","⚠ Missing",IF(AK116="Yes","✓ OK","⚠ Check"))))</f>
        <v/>
      </c>
      <c r="AO116" s="36" t="n"/>
      <c r="AP116" s="36" t="n"/>
      <c r="AQ116" s="36" t="n"/>
      <c r="AR116" s="36" t="n"/>
      <c r="AS116" s="36" t="n"/>
      <c r="AT116" s="36" t="n"/>
      <c r="AU116" s="27" t="n"/>
      <c r="AV116" s="37" t="n"/>
      <c r="AW116" s="38">
        <f>IF(AO116="","",IF(AR116="Yes","❌ Disc",IF(AQ116="No","⚠ Missing",IF(AT116="Yes","✓ OK","⚠ Check"))))</f>
        <v/>
      </c>
    </row>
    <row r="117" ht="18" customHeight="1" s="46">
      <c r="A117" s="23" t="n">
        <v>113</v>
      </c>
      <c r="B117" s="24" t="inlineStr">
        <is>
          <t>BD-VRM-2024-3085</t>
        </is>
      </c>
      <c r="C117" s="25" t="inlineStr">
        <is>
          <t>Flava Louvers - Standard - TL WL 1616 9.5ft X 120mm</t>
        </is>
      </c>
      <c r="D117" s="23" t="inlineStr">
        <is>
          <t>Flava</t>
        </is>
      </c>
      <c r="E117" s="43" t="n">
        <v>46126</v>
      </c>
      <c r="F117" s="26" t="inlineStr">
        <is>
          <t>Sunil CR</t>
        </is>
      </c>
      <c r="G117" s="26" t="inlineStr">
        <is>
          <t>Yes</t>
        </is>
      </c>
      <c r="H117" s="26" t="inlineStr">
        <is>
          <t>No</t>
        </is>
      </c>
      <c r="I117" s="26" t="inlineStr">
        <is>
          <t>Good finish</t>
        </is>
      </c>
      <c r="J117" s="26" t="inlineStr">
        <is>
          <t>Yes</t>
        </is>
      </c>
      <c r="K117" s="27" t="n"/>
      <c r="L117" s="28" t="inlineStr">
        <is>
          <t>No</t>
        </is>
      </c>
      <c r="M117" s="29">
        <f>IF(E117="","",IF(H117="Yes","❌ Disc",IF(G117="No","⚠ Missing",IF(J117="Yes","✓ OK","⚠ Check"))))</f>
        <v/>
      </c>
      <c r="N117" s="43" t="n">
        <v>46193</v>
      </c>
      <c r="O117" s="26" t="inlineStr">
        <is>
          <t>Sunil CR</t>
        </is>
      </c>
      <c r="P117" s="26" t="inlineStr">
        <is>
          <t>Yes</t>
        </is>
      </c>
      <c r="Q117" s="26" t="inlineStr">
        <is>
          <t>No</t>
        </is>
      </c>
      <c r="R117" s="26" t="inlineStr">
        <is>
          <t>Good finish</t>
        </is>
      </c>
      <c r="S117" s="26" t="inlineStr">
        <is>
          <t>Yes</t>
        </is>
      </c>
      <c r="T117" s="27" t="n"/>
      <c r="U117" s="28" t="inlineStr">
        <is>
          <t>No</t>
        </is>
      </c>
      <c r="V117" s="29">
        <f>IF(N117="","",IF(Q117="Yes","❌ Disc",IF(P117="No","⚠ Missing",IF(S117="Yes","✓ OK","⚠ Check"))))</f>
        <v/>
      </c>
      <c r="W117" s="65" t="n">
        <v>46248</v>
      </c>
      <c r="X117" s="30" t="inlineStr">
        <is>
          <t>Sunil CR</t>
        </is>
      </c>
      <c r="Y117" s="30" t="inlineStr">
        <is>
          <t>Yes</t>
        </is>
      </c>
      <c r="Z117" s="30" t="n"/>
      <c r="AA117" s="30" t="inlineStr">
        <is>
          <t>Good finish</t>
        </is>
      </c>
      <c r="AB117" s="30" t="inlineStr">
        <is>
          <t>Yes</t>
        </is>
      </c>
      <c r="AC117" s="27" t="n"/>
      <c r="AD117" s="31" t="inlineStr">
        <is>
          <t>No</t>
        </is>
      </c>
      <c r="AE117" s="32">
        <f>IF(W117="","",IF(Z117="Yes","❌ Disc",IF(Y117="No","⚠ Missing",IF(AB117="Yes","✓ OK","⚠ Check"))))</f>
        <v/>
      </c>
      <c r="AF117" s="33" t="n"/>
      <c r="AG117" s="33" t="n"/>
      <c r="AH117" s="33" t="n"/>
      <c r="AI117" s="33" t="n"/>
      <c r="AJ117" s="33" t="n"/>
      <c r="AK117" s="33" t="n"/>
      <c r="AL117" s="27" t="n"/>
      <c r="AM117" s="34" t="n"/>
      <c r="AN117" s="35">
        <f>IF(AF117="","",IF(AI117="Yes","❌ Disc",IF(AH117="No","⚠ Missing",IF(AK117="Yes","✓ OK","⚠ Check"))))</f>
        <v/>
      </c>
      <c r="AO117" s="36" t="n"/>
      <c r="AP117" s="36" t="n"/>
      <c r="AQ117" s="36" t="n"/>
      <c r="AR117" s="36" t="n"/>
      <c r="AS117" s="36" t="n"/>
      <c r="AT117" s="36" t="n"/>
      <c r="AU117" s="27" t="n"/>
      <c r="AV117" s="37" t="n"/>
      <c r="AW117" s="38">
        <f>IF(AO117="","",IF(AR117="Yes","❌ Disc",IF(AQ117="No","⚠ Missing",IF(AT117="Yes","✓ OK","⚠ Check"))))</f>
        <v/>
      </c>
    </row>
    <row r="118" ht="18" customHeight="1" s="46">
      <c r="A118" s="39" t="n">
        <v>114</v>
      </c>
      <c r="B118" s="40" t="inlineStr">
        <is>
          <t>BD-VRM-2024-3076</t>
        </is>
      </c>
      <c r="C118" s="41" t="inlineStr">
        <is>
          <t>Flava Louvers - Standard - TL WL 1622 9.5ft X 120mm</t>
        </is>
      </c>
      <c r="D118" s="39" t="inlineStr">
        <is>
          <t>Flava</t>
        </is>
      </c>
      <c r="E118" s="43" t="n">
        <v>46126</v>
      </c>
      <c r="F118" s="26" t="inlineStr">
        <is>
          <t>Sunil CR</t>
        </is>
      </c>
      <c r="G118" s="26" t="inlineStr">
        <is>
          <t>Yes</t>
        </is>
      </c>
      <c r="H118" s="26" t="inlineStr">
        <is>
          <t>No</t>
        </is>
      </c>
      <c r="I118" s="26" t="inlineStr">
        <is>
          <t>Good finish</t>
        </is>
      </c>
      <c r="J118" s="26" t="inlineStr">
        <is>
          <t>Yes</t>
        </is>
      </c>
      <c r="K118" s="27" t="n"/>
      <c r="L118" s="28" t="inlineStr">
        <is>
          <t>No</t>
        </is>
      </c>
      <c r="M118" s="29">
        <f>IF(E118="","",IF(H118="Yes","❌ Disc",IF(G118="No","⚠ Missing",IF(J118="Yes","✓ OK","⚠ Check"))))</f>
        <v/>
      </c>
      <c r="N118" s="43" t="n">
        <v>46193</v>
      </c>
      <c r="O118" s="26" t="inlineStr">
        <is>
          <t>Sunil CR</t>
        </is>
      </c>
      <c r="P118" s="26" t="inlineStr">
        <is>
          <t>Yes</t>
        </is>
      </c>
      <c r="Q118" s="26" t="inlineStr">
        <is>
          <t>No</t>
        </is>
      </c>
      <c r="R118" s="26" t="inlineStr">
        <is>
          <t>Good finish</t>
        </is>
      </c>
      <c r="S118" s="26" t="inlineStr">
        <is>
          <t>Yes</t>
        </is>
      </c>
      <c r="T118" s="27" t="n"/>
      <c r="U118" s="28" t="inlineStr">
        <is>
          <t>No</t>
        </is>
      </c>
      <c r="V118" s="29">
        <f>IF(N118="","",IF(Q118="Yes","❌ Disc",IF(P118="No","⚠ Missing",IF(S118="Yes","✓ OK","⚠ Check"))))</f>
        <v/>
      </c>
      <c r="W118" s="65" t="n">
        <v>46248</v>
      </c>
      <c r="X118" s="30" t="inlineStr">
        <is>
          <t>Sunil CR</t>
        </is>
      </c>
      <c r="Y118" s="30" t="inlineStr">
        <is>
          <t>Yes</t>
        </is>
      </c>
      <c r="Z118" s="30" t="n"/>
      <c r="AA118" s="30" t="inlineStr">
        <is>
          <t>Good finish</t>
        </is>
      </c>
      <c r="AB118" s="30" t="inlineStr">
        <is>
          <t>Yes</t>
        </is>
      </c>
      <c r="AC118" s="27" t="n"/>
      <c r="AD118" s="31" t="inlineStr">
        <is>
          <t>No</t>
        </is>
      </c>
      <c r="AE118" s="32">
        <f>IF(W118="","",IF(Z118="Yes","❌ Disc",IF(Y118="No","⚠ Missing",IF(AB118="Yes","✓ OK","⚠ Check"))))</f>
        <v/>
      </c>
      <c r="AF118" s="33" t="n"/>
      <c r="AG118" s="33" t="n"/>
      <c r="AH118" s="33" t="n"/>
      <c r="AI118" s="33" t="n"/>
      <c r="AJ118" s="33" t="n"/>
      <c r="AK118" s="33" t="n"/>
      <c r="AL118" s="27" t="n"/>
      <c r="AM118" s="34" t="n"/>
      <c r="AN118" s="35">
        <f>IF(AF118="","",IF(AI118="Yes","❌ Disc",IF(AH118="No","⚠ Missing",IF(AK118="Yes","✓ OK","⚠ Check"))))</f>
        <v/>
      </c>
      <c r="AO118" s="36" t="n"/>
      <c r="AP118" s="36" t="n"/>
      <c r="AQ118" s="36" t="n"/>
      <c r="AR118" s="36" t="n"/>
      <c r="AS118" s="36" t="n"/>
      <c r="AT118" s="36" t="n"/>
      <c r="AU118" s="27" t="n"/>
      <c r="AV118" s="37" t="n"/>
      <c r="AW118" s="38">
        <f>IF(AO118="","",IF(AR118="Yes","❌ Disc",IF(AQ118="No","⚠ Missing",IF(AT118="Yes","✓ OK","⚠ Check"))))</f>
        <v/>
      </c>
    </row>
    <row r="119" ht="18" customHeight="1" s="46">
      <c r="A119" s="23" t="n">
        <v>115</v>
      </c>
      <c r="B119" s="24" t="inlineStr">
        <is>
          <t>BD-VRM-2024-3074</t>
        </is>
      </c>
      <c r="C119" s="25" t="inlineStr">
        <is>
          <t>Flava Louvers - Standard - TL WL 1624 9.5ft X 120mm</t>
        </is>
      </c>
      <c r="D119" s="23" t="inlineStr">
        <is>
          <t>Flava</t>
        </is>
      </c>
      <c r="E119" s="43" t="n">
        <v>46126</v>
      </c>
      <c r="F119" s="26" t="inlineStr">
        <is>
          <t>Sunil CR</t>
        </is>
      </c>
      <c r="G119" s="26" t="inlineStr">
        <is>
          <t>Yes</t>
        </is>
      </c>
      <c r="H119" s="26" t="inlineStr">
        <is>
          <t>No</t>
        </is>
      </c>
      <c r="I119" s="26" t="inlineStr">
        <is>
          <t>Good finish</t>
        </is>
      </c>
      <c r="J119" s="26" t="inlineStr">
        <is>
          <t>Yes</t>
        </is>
      </c>
      <c r="K119" s="27" t="n"/>
      <c r="L119" s="28" t="inlineStr">
        <is>
          <t>No</t>
        </is>
      </c>
      <c r="M119" s="29">
        <f>IF(E119="","",IF(H119="Yes","❌ Disc",IF(G119="No","⚠ Missing",IF(J119="Yes","✓ OK","⚠ Check"))))</f>
        <v/>
      </c>
      <c r="N119" s="43" t="n">
        <v>46193</v>
      </c>
      <c r="O119" s="26" t="inlineStr">
        <is>
          <t>Sunil CR</t>
        </is>
      </c>
      <c r="P119" s="26" t="inlineStr">
        <is>
          <t>Yes</t>
        </is>
      </c>
      <c r="Q119" s="26" t="inlineStr">
        <is>
          <t>No</t>
        </is>
      </c>
      <c r="R119" s="26" t="inlineStr">
        <is>
          <t>Good finish</t>
        </is>
      </c>
      <c r="S119" s="26" t="inlineStr">
        <is>
          <t>Yes</t>
        </is>
      </c>
      <c r="T119" s="27" t="n"/>
      <c r="U119" s="28" t="inlineStr">
        <is>
          <t>No</t>
        </is>
      </c>
      <c r="V119" s="29">
        <f>IF(N119="","",IF(Q119="Yes","❌ Disc",IF(P119="No","⚠ Missing",IF(S119="Yes","✓ OK","⚠ Check"))))</f>
        <v/>
      </c>
      <c r="W119" s="65" t="n">
        <v>46248</v>
      </c>
      <c r="X119" s="30" t="inlineStr">
        <is>
          <t>Sunil CR</t>
        </is>
      </c>
      <c r="Y119" s="30" t="inlineStr">
        <is>
          <t>Yes</t>
        </is>
      </c>
      <c r="Z119" s="30" t="n"/>
      <c r="AA119" s="30" t="inlineStr">
        <is>
          <t>Good finish</t>
        </is>
      </c>
      <c r="AB119" s="30" t="inlineStr">
        <is>
          <t>Yes</t>
        </is>
      </c>
      <c r="AC119" s="27" t="n"/>
      <c r="AD119" s="31" t="inlineStr">
        <is>
          <t>No</t>
        </is>
      </c>
      <c r="AE119" s="32">
        <f>IF(W119="","",IF(Z119="Yes","❌ Disc",IF(Y119="No","⚠ Missing",IF(AB119="Yes","✓ OK","⚠ Check"))))</f>
        <v/>
      </c>
      <c r="AF119" s="33" t="n"/>
      <c r="AG119" s="33" t="n"/>
      <c r="AH119" s="33" t="n"/>
      <c r="AI119" s="33" t="n"/>
      <c r="AJ119" s="33" t="n"/>
      <c r="AK119" s="33" t="n"/>
      <c r="AL119" s="27" t="n"/>
      <c r="AM119" s="34" t="n"/>
      <c r="AN119" s="35">
        <f>IF(AF119="","",IF(AI119="Yes","❌ Disc",IF(AH119="No","⚠ Missing",IF(AK119="Yes","✓ OK","⚠ Check"))))</f>
        <v/>
      </c>
      <c r="AO119" s="36" t="n"/>
      <c r="AP119" s="36" t="n"/>
      <c r="AQ119" s="36" t="n"/>
      <c r="AR119" s="36" t="n"/>
      <c r="AS119" s="36" t="n"/>
      <c r="AT119" s="36" t="n"/>
      <c r="AU119" s="27" t="n"/>
      <c r="AV119" s="37" t="n"/>
      <c r="AW119" s="38">
        <f>IF(AO119="","",IF(AR119="Yes","❌ Disc",IF(AQ119="No","⚠ Missing",IF(AT119="Yes","✓ OK","⚠ Check"))))</f>
        <v/>
      </c>
    </row>
    <row r="120" ht="18" customHeight="1" s="46">
      <c r="A120" s="39" t="n">
        <v>116</v>
      </c>
      <c r="B120" s="40" t="inlineStr">
        <is>
          <t>BD-VRM-2024-3072</t>
        </is>
      </c>
      <c r="C120" s="41" t="inlineStr">
        <is>
          <t>Flava Louvers - Standard - TL WL 1632  9.5ft X 120mm</t>
        </is>
      </c>
      <c r="D120" s="39" t="inlineStr">
        <is>
          <t>Flava</t>
        </is>
      </c>
      <c r="E120" s="43" t="n">
        <v>46126</v>
      </c>
      <c r="F120" s="26" t="inlineStr">
        <is>
          <t>Sunil CR</t>
        </is>
      </c>
      <c r="G120" s="26" t="inlineStr">
        <is>
          <t>Yes</t>
        </is>
      </c>
      <c r="H120" s="26" t="inlineStr">
        <is>
          <t>No</t>
        </is>
      </c>
      <c r="I120" s="26" t="inlineStr">
        <is>
          <t>Good finish</t>
        </is>
      </c>
      <c r="J120" s="26" t="inlineStr">
        <is>
          <t>Yes</t>
        </is>
      </c>
      <c r="K120" s="27" t="n"/>
      <c r="L120" s="28" t="inlineStr">
        <is>
          <t>No</t>
        </is>
      </c>
      <c r="M120" s="29">
        <f>IF(E120="","",IF(H120="Yes","❌ Disc",IF(G120="No","⚠ Missing",IF(J120="Yes","✓ OK","⚠ Check"))))</f>
        <v/>
      </c>
      <c r="N120" s="43" t="n">
        <v>46193</v>
      </c>
      <c r="O120" s="26" t="inlineStr">
        <is>
          <t>Sunil CR</t>
        </is>
      </c>
      <c r="P120" s="26" t="inlineStr">
        <is>
          <t>Yes</t>
        </is>
      </c>
      <c r="Q120" s="26" t="inlineStr">
        <is>
          <t>No</t>
        </is>
      </c>
      <c r="R120" s="26" t="inlineStr">
        <is>
          <t>Good finish</t>
        </is>
      </c>
      <c r="S120" s="26" t="inlineStr">
        <is>
          <t>Yes</t>
        </is>
      </c>
      <c r="T120" s="27" t="n"/>
      <c r="U120" s="28" t="inlineStr">
        <is>
          <t>No</t>
        </is>
      </c>
      <c r="V120" s="29">
        <f>IF(N120="","",IF(Q120="Yes","❌ Disc",IF(P120="No","⚠ Missing",IF(S120="Yes","✓ OK","⚠ Check"))))</f>
        <v/>
      </c>
      <c r="W120" s="65" t="n">
        <v>46248</v>
      </c>
      <c r="X120" s="30" t="inlineStr">
        <is>
          <t>Sunil CR</t>
        </is>
      </c>
      <c r="Y120" s="30" t="inlineStr">
        <is>
          <t>Yes</t>
        </is>
      </c>
      <c r="Z120" s="30" t="n"/>
      <c r="AA120" s="30" t="inlineStr">
        <is>
          <t>Good finish</t>
        </is>
      </c>
      <c r="AB120" s="30" t="inlineStr">
        <is>
          <t>Yes</t>
        </is>
      </c>
      <c r="AC120" s="27" t="n"/>
      <c r="AD120" s="31" t="inlineStr">
        <is>
          <t>No</t>
        </is>
      </c>
      <c r="AE120" s="32">
        <f>IF(W120="","",IF(Z120="Yes","❌ Disc",IF(Y120="No","⚠ Missing",IF(AB120="Yes","✓ OK","⚠ Check"))))</f>
        <v/>
      </c>
      <c r="AF120" s="33" t="n"/>
      <c r="AG120" s="33" t="n"/>
      <c r="AH120" s="33" t="n"/>
      <c r="AI120" s="33" t="n"/>
      <c r="AJ120" s="33" t="n"/>
      <c r="AK120" s="33" t="n"/>
      <c r="AL120" s="27" t="n"/>
      <c r="AM120" s="34" t="n"/>
      <c r="AN120" s="35">
        <f>IF(AF120="","",IF(AI120="Yes","❌ Disc",IF(AH120="No","⚠ Missing",IF(AK120="Yes","✓ OK","⚠ Check"))))</f>
        <v/>
      </c>
      <c r="AO120" s="36" t="n"/>
      <c r="AP120" s="36" t="n"/>
      <c r="AQ120" s="36" t="n"/>
      <c r="AR120" s="36" t="n"/>
      <c r="AS120" s="36" t="n"/>
      <c r="AT120" s="36" t="n"/>
      <c r="AU120" s="27" t="n"/>
      <c r="AV120" s="37" t="n"/>
      <c r="AW120" s="38">
        <f>IF(AO120="","",IF(AR120="Yes","❌ Disc",IF(AQ120="No","⚠ Missing",IF(AT120="Yes","✓ OK","⚠ Check"))))</f>
        <v/>
      </c>
    </row>
    <row r="121" ht="18" customHeight="1" s="46">
      <c r="A121" s="23" t="n">
        <v>117</v>
      </c>
      <c r="B121" s="24" t="inlineStr">
        <is>
          <t>BD-VRM-2024-3096</t>
        </is>
      </c>
      <c r="C121" s="25" t="inlineStr">
        <is>
          <t>Flava Louvers - Standard - TL WL 1634 9.5ft X 120mm</t>
        </is>
      </c>
      <c r="D121" s="23" t="inlineStr">
        <is>
          <t>Flava</t>
        </is>
      </c>
      <c r="E121" s="43" t="n">
        <v>46126</v>
      </c>
      <c r="F121" s="26" t="inlineStr">
        <is>
          <t>Sunil CR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Good finish</t>
        </is>
      </c>
      <c r="J121" s="26" t="inlineStr">
        <is>
          <t>Yes</t>
        </is>
      </c>
      <c r="K121" s="27" t="n"/>
      <c r="L121" s="28" t="inlineStr">
        <is>
          <t>No</t>
        </is>
      </c>
      <c r="M121" s="29">
        <f>IF(E121="","",IF(H121="Yes","❌ Disc",IF(G121="No","⚠ Missing",IF(J121="Yes","✓ OK","⚠ Check"))))</f>
        <v/>
      </c>
      <c r="N121" s="43" t="n">
        <v>46193</v>
      </c>
      <c r="O121" s="26" t="inlineStr">
        <is>
          <t>Sunil CR</t>
        </is>
      </c>
      <c r="P121" s="26" t="inlineStr">
        <is>
          <t>Yes</t>
        </is>
      </c>
      <c r="Q121" s="26" t="inlineStr">
        <is>
          <t>No</t>
        </is>
      </c>
      <c r="R121" s="26" t="inlineStr">
        <is>
          <t>Good finish</t>
        </is>
      </c>
      <c r="S121" s="26" t="inlineStr">
        <is>
          <t>Yes</t>
        </is>
      </c>
      <c r="T121" s="27" t="n"/>
      <c r="U121" s="28" t="inlineStr">
        <is>
          <t>No</t>
        </is>
      </c>
      <c r="V121" s="29">
        <f>IF(N121="","",IF(Q121="Yes","❌ Disc",IF(P121="No","⚠ Missing",IF(S121="Yes","✓ OK","⚠ Check"))))</f>
        <v/>
      </c>
      <c r="W121" s="65" t="n">
        <v>46248</v>
      </c>
      <c r="X121" s="30" t="inlineStr">
        <is>
          <t>Sunil CR</t>
        </is>
      </c>
      <c r="Y121" s="30" t="inlineStr">
        <is>
          <t>Yes</t>
        </is>
      </c>
      <c r="Z121" s="30" t="n"/>
      <c r="AA121" s="30" t="inlineStr">
        <is>
          <t>Good finish</t>
        </is>
      </c>
      <c r="AB121" s="30" t="inlineStr">
        <is>
          <t>Yes</t>
        </is>
      </c>
      <c r="AC121" s="27" t="n"/>
      <c r="AD121" s="31" t="inlineStr">
        <is>
          <t>No</t>
        </is>
      </c>
      <c r="AE121" s="32">
        <f>IF(W121="","",IF(Z121="Yes","❌ Disc",IF(Y121="No","⚠ Missing",IF(AB121="Yes","✓ OK","⚠ Check"))))</f>
        <v/>
      </c>
      <c r="AF121" s="33" t="n"/>
      <c r="AG121" s="33" t="n"/>
      <c r="AH121" s="33" t="n"/>
      <c r="AI121" s="33" t="n"/>
      <c r="AJ121" s="33" t="n"/>
      <c r="AK121" s="33" t="n"/>
      <c r="AL121" s="27" t="n"/>
      <c r="AM121" s="34" t="n"/>
      <c r="AN121" s="35">
        <f>IF(AF121="","",IF(AI121="Yes","❌ Disc",IF(AH121="No","⚠ Missing",IF(AK121="Yes","✓ OK","⚠ Check"))))</f>
        <v/>
      </c>
      <c r="AO121" s="36" t="n"/>
      <c r="AP121" s="36" t="n"/>
      <c r="AQ121" s="36" t="n"/>
      <c r="AR121" s="36" t="n"/>
      <c r="AS121" s="36" t="n"/>
      <c r="AT121" s="36" t="n"/>
      <c r="AU121" s="27" t="n"/>
      <c r="AV121" s="37" t="n"/>
      <c r="AW121" s="38">
        <f>IF(AO121="","",IF(AR121="Yes","❌ Disc",IF(AQ121="No","⚠ Missing",IF(AT121="Yes","✓ OK","⚠ Check"))))</f>
        <v/>
      </c>
    </row>
    <row r="122" ht="18" customHeight="1" s="46">
      <c r="A122" s="39" t="n">
        <v>118</v>
      </c>
      <c r="B122" s="40" t="inlineStr">
        <is>
          <t>BD-VRM-2024-3097</t>
        </is>
      </c>
      <c r="C122" s="41" t="inlineStr">
        <is>
          <t>Flava Louvers - Standard - TL WL 1635 9.5ft X 120mm</t>
        </is>
      </c>
      <c r="D122" s="39" t="inlineStr">
        <is>
          <t>Flava</t>
        </is>
      </c>
      <c r="E122" s="43" t="n">
        <v>46126</v>
      </c>
      <c r="F122" s="26" t="inlineStr">
        <is>
          <t>Sunil CR</t>
        </is>
      </c>
      <c r="G122" s="26" t="inlineStr">
        <is>
          <t>Yes</t>
        </is>
      </c>
      <c r="H122" s="26" t="inlineStr">
        <is>
          <t>No</t>
        </is>
      </c>
      <c r="I122" s="26" t="inlineStr">
        <is>
          <t>Good finish</t>
        </is>
      </c>
      <c r="J122" s="26" t="inlineStr">
        <is>
          <t>Yes</t>
        </is>
      </c>
      <c r="K122" s="27" t="n"/>
      <c r="L122" s="28" t="inlineStr">
        <is>
          <t>No</t>
        </is>
      </c>
      <c r="M122" s="29">
        <f>IF(E122="","",IF(H122="Yes","❌ Disc",IF(G122="No","⚠ Missing",IF(J122="Yes","✓ OK","⚠ Check"))))</f>
        <v/>
      </c>
      <c r="N122" s="43" t="n">
        <v>46193</v>
      </c>
      <c r="O122" s="26" t="inlineStr">
        <is>
          <t>Sunil CR</t>
        </is>
      </c>
      <c r="P122" s="26" t="inlineStr">
        <is>
          <t>Yes</t>
        </is>
      </c>
      <c r="Q122" s="26" t="inlineStr">
        <is>
          <t>No</t>
        </is>
      </c>
      <c r="R122" s="26" t="inlineStr">
        <is>
          <t>Good finish</t>
        </is>
      </c>
      <c r="S122" s="26" t="inlineStr">
        <is>
          <t>Yes</t>
        </is>
      </c>
      <c r="T122" s="27" t="n"/>
      <c r="U122" s="28" t="inlineStr">
        <is>
          <t>No</t>
        </is>
      </c>
      <c r="V122" s="29">
        <f>IF(N122="","",IF(Q122="Yes","❌ Disc",IF(P122="No","⚠ Missing",IF(S122="Yes","✓ OK","⚠ Check"))))</f>
        <v/>
      </c>
      <c r="W122" s="65" t="n">
        <v>46248</v>
      </c>
      <c r="X122" s="30" t="inlineStr">
        <is>
          <t>Sunil CR</t>
        </is>
      </c>
      <c r="Y122" s="30" t="inlineStr">
        <is>
          <t>Yes</t>
        </is>
      </c>
      <c r="Z122" s="30" t="n"/>
      <c r="AA122" s="30" t="inlineStr">
        <is>
          <t>Good finish</t>
        </is>
      </c>
      <c r="AB122" s="30" t="inlineStr">
        <is>
          <t>Yes</t>
        </is>
      </c>
      <c r="AC122" s="27" t="n"/>
      <c r="AD122" s="31" t="inlineStr">
        <is>
          <t>No</t>
        </is>
      </c>
      <c r="AE122" s="32">
        <f>IF(W122="","",IF(Z122="Yes","❌ Disc",IF(Y122="No","⚠ Missing",IF(AB122="Yes","✓ OK","⚠ Check"))))</f>
        <v/>
      </c>
      <c r="AF122" s="33" t="n"/>
      <c r="AG122" s="33" t="n"/>
      <c r="AH122" s="33" t="n"/>
      <c r="AI122" s="33" t="n"/>
      <c r="AJ122" s="33" t="n"/>
      <c r="AK122" s="33" t="n"/>
      <c r="AL122" s="27" t="n"/>
      <c r="AM122" s="34" t="n"/>
      <c r="AN122" s="35">
        <f>IF(AF122="","",IF(AI122="Yes","❌ Disc",IF(AH122="No","⚠ Missing",IF(AK122="Yes","✓ OK","⚠ Check"))))</f>
        <v/>
      </c>
      <c r="AO122" s="36" t="n"/>
      <c r="AP122" s="36" t="n"/>
      <c r="AQ122" s="36" t="n"/>
      <c r="AR122" s="36" t="n"/>
      <c r="AS122" s="36" t="n"/>
      <c r="AT122" s="36" t="n"/>
      <c r="AU122" s="27" t="n"/>
      <c r="AV122" s="37" t="n"/>
      <c r="AW122" s="38">
        <f>IF(AO122="","",IF(AR122="Yes","❌ Disc",IF(AQ122="No","⚠ Missing",IF(AT122="Yes","✓ OK","⚠ Check"))))</f>
        <v/>
      </c>
    </row>
    <row r="123" ht="18" customHeight="1" s="46">
      <c r="A123" s="23" t="n">
        <v>119</v>
      </c>
      <c r="B123" s="24" t="inlineStr">
        <is>
          <t>BD-VRM-2024-3098</t>
        </is>
      </c>
      <c r="C123" s="25" t="inlineStr">
        <is>
          <t>Flava Louvers - Standard - TL WL 1636 9.5ft X 120mm</t>
        </is>
      </c>
      <c r="D123" s="23" t="inlineStr">
        <is>
          <t>Flava</t>
        </is>
      </c>
      <c r="E123" s="43" t="n">
        <v>46126</v>
      </c>
      <c r="F123" s="26" t="inlineStr">
        <is>
          <t>Sunil CR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Good finish</t>
        </is>
      </c>
      <c r="J123" s="26" t="inlineStr">
        <is>
          <t>Yes</t>
        </is>
      </c>
      <c r="K123" s="27" t="n"/>
      <c r="L123" s="28" t="inlineStr">
        <is>
          <t>No</t>
        </is>
      </c>
      <c r="M123" s="29">
        <f>IF(E123="","",IF(H123="Yes","❌ Disc",IF(G123="No","⚠ Missing",IF(J123="Yes","✓ OK","⚠ Check"))))</f>
        <v/>
      </c>
      <c r="N123" s="43" t="n">
        <v>46193</v>
      </c>
      <c r="O123" s="26" t="inlineStr">
        <is>
          <t>Sunil CR</t>
        </is>
      </c>
      <c r="P123" s="26" t="inlineStr">
        <is>
          <t>Yes</t>
        </is>
      </c>
      <c r="Q123" s="26" t="inlineStr">
        <is>
          <t>No</t>
        </is>
      </c>
      <c r="R123" s="26" t="inlineStr">
        <is>
          <t>Good finish</t>
        </is>
      </c>
      <c r="S123" s="26" t="inlineStr">
        <is>
          <t>Yes</t>
        </is>
      </c>
      <c r="T123" s="27" t="n"/>
      <c r="U123" s="28" t="inlineStr">
        <is>
          <t>No</t>
        </is>
      </c>
      <c r="V123" s="29">
        <f>IF(N123="","",IF(Q123="Yes","❌ Disc",IF(P123="No","⚠ Missing",IF(S123="Yes","✓ OK","⚠ Check"))))</f>
        <v/>
      </c>
      <c r="W123" s="65" t="n">
        <v>46248</v>
      </c>
      <c r="X123" s="30" t="inlineStr">
        <is>
          <t>Sunil CR</t>
        </is>
      </c>
      <c r="Y123" s="30" t="inlineStr">
        <is>
          <t>Yes</t>
        </is>
      </c>
      <c r="Z123" s="30" t="n"/>
      <c r="AA123" s="30" t="inlineStr">
        <is>
          <t>Good finish</t>
        </is>
      </c>
      <c r="AB123" s="30" t="inlineStr">
        <is>
          <t>Yes</t>
        </is>
      </c>
      <c r="AC123" s="27" t="n"/>
      <c r="AD123" s="31" t="inlineStr">
        <is>
          <t>No</t>
        </is>
      </c>
      <c r="AE123" s="32">
        <f>IF(W123="","",IF(Z123="Yes","❌ Disc",IF(Y123="No","⚠ Missing",IF(AB123="Yes","✓ OK","⚠ Check"))))</f>
        <v/>
      </c>
      <c r="AF123" s="33" t="n"/>
      <c r="AG123" s="33" t="n"/>
      <c r="AH123" s="33" t="n"/>
      <c r="AI123" s="33" t="n"/>
      <c r="AJ123" s="33" t="n"/>
      <c r="AK123" s="33" t="n"/>
      <c r="AL123" s="27" t="n"/>
      <c r="AM123" s="34" t="n"/>
      <c r="AN123" s="35">
        <f>IF(AF123="","",IF(AI123="Yes","❌ Disc",IF(AH123="No","⚠ Missing",IF(AK123="Yes","✓ OK","⚠ Check"))))</f>
        <v/>
      </c>
      <c r="AO123" s="36" t="n"/>
      <c r="AP123" s="36" t="n"/>
      <c r="AQ123" s="36" t="n"/>
      <c r="AR123" s="36" t="n"/>
      <c r="AS123" s="36" t="n"/>
      <c r="AT123" s="36" t="n"/>
      <c r="AU123" s="27" t="n"/>
      <c r="AV123" s="37" t="n"/>
      <c r="AW123" s="38">
        <f>IF(AO123="","",IF(AR123="Yes","❌ Disc",IF(AQ123="No","⚠ Missing",IF(AT123="Yes","✓ OK","⚠ Check"))))</f>
        <v/>
      </c>
    </row>
    <row r="124" ht="18" customHeight="1" s="46">
      <c r="A124" s="39" t="n">
        <v>120</v>
      </c>
      <c r="B124" s="40" t="inlineStr">
        <is>
          <t>BD-VRM-2024-3099</t>
        </is>
      </c>
      <c r="C124" s="41" t="inlineStr">
        <is>
          <t>Flava Louvers - Standard - TL WL 1637 9.5ft X 120mm</t>
        </is>
      </c>
      <c r="D124" s="39" t="inlineStr">
        <is>
          <t>Flava</t>
        </is>
      </c>
      <c r="E124" s="43" t="n">
        <v>46126</v>
      </c>
      <c r="F124" s="26" t="inlineStr">
        <is>
          <t>Sunil CR</t>
        </is>
      </c>
      <c r="G124" s="26" t="inlineStr">
        <is>
          <t>Yes</t>
        </is>
      </c>
      <c r="H124" s="26" t="inlineStr">
        <is>
          <t>No</t>
        </is>
      </c>
      <c r="I124" s="26" t="inlineStr">
        <is>
          <t>Good finish</t>
        </is>
      </c>
      <c r="J124" s="26" t="inlineStr">
        <is>
          <t>Yes</t>
        </is>
      </c>
      <c r="K124" s="27" t="n"/>
      <c r="L124" s="28" t="inlineStr">
        <is>
          <t>No</t>
        </is>
      </c>
      <c r="M124" s="29">
        <f>IF(E124="","",IF(H124="Yes","❌ Disc",IF(G124="No","⚠ Missing",IF(J124="Yes","✓ OK","⚠ Check"))))</f>
        <v/>
      </c>
      <c r="N124" s="43" t="n">
        <v>46193</v>
      </c>
      <c r="O124" s="26" t="inlineStr">
        <is>
          <t>Sunil CR</t>
        </is>
      </c>
      <c r="P124" s="26" t="inlineStr">
        <is>
          <t>Yes</t>
        </is>
      </c>
      <c r="Q124" s="26" t="inlineStr">
        <is>
          <t>No</t>
        </is>
      </c>
      <c r="R124" s="26" t="inlineStr">
        <is>
          <t>Good finish</t>
        </is>
      </c>
      <c r="S124" s="26" t="inlineStr">
        <is>
          <t>Yes</t>
        </is>
      </c>
      <c r="T124" s="27" t="n"/>
      <c r="U124" s="28" t="inlineStr">
        <is>
          <t>No</t>
        </is>
      </c>
      <c r="V124" s="29">
        <f>IF(N124="","",IF(Q124="Yes","❌ Disc",IF(P124="No","⚠ Missing",IF(S124="Yes","✓ OK","⚠ Check"))))</f>
        <v/>
      </c>
      <c r="W124" s="65" t="n">
        <v>46248</v>
      </c>
      <c r="X124" s="30" t="inlineStr">
        <is>
          <t>Sunil CR</t>
        </is>
      </c>
      <c r="Y124" s="30" t="inlineStr">
        <is>
          <t>Yes</t>
        </is>
      </c>
      <c r="Z124" s="30" t="n"/>
      <c r="AA124" s="30" t="inlineStr">
        <is>
          <t>Good finish</t>
        </is>
      </c>
      <c r="AB124" s="30" t="inlineStr">
        <is>
          <t>Yes</t>
        </is>
      </c>
      <c r="AC124" s="27" t="n"/>
      <c r="AD124" s="31" t="inlineStr">
        <is>
          <t>No</t>
        </is>
      </c>
      <c r="AE124" s="32">
        <f>IF(W124="","",IF(Z124="Yes","❌ Disc",IF(Y124="No","⚠ Missing",IF(AB124="Yes","✓ OK","⚠ Check"))))</f>
        <v/>
      </c>
      <c r="AF124" s="33" t="n"/>
      <c r="AG124" s="33" t="n"/>
      <c r="AH124" s="33" t="n"/>
      <c r="AI124" s="33" t="n"/>
      <c r="AJ124" s="33" t="n"/>
      <c r="AK124" s="33" t="n"/>
      <c r="AL124" s="27" t="n"/>
      <c r="AM124" s="34" t="n"/>
      <c r="AN124" s="35">
        <f>IF(AF124="","",IF(AI124="Yes","❌ Disc",IF(AH124="No","⚠ Missing",IF(AK124="Yes","✓ OK","⚠ Check"))))</f>
        <v/>
      </c>
      <c r="AO124" s="36" t="n"/>
      <c r="AP124" s="36" t="n"/>
      <c r="AQ124" s="36" t="n"/>
      <c r="AR124" s="36" t="n"/>
      <c r="AS124" s="36" t="n"/>
      <c r="AT124" s="36" t="n"/>
      <c r="AU124" s="27" t="n"/>
      <c r="AV124" s="37" t="n"/>
      <c r="AW124" s="38">
        <f>IF(AO124="","",IF(AR124="Yes","❌ Disc",IF(AQ124="No","⚠ Missing",IF(AT124="Yes","✓ OK","⚠ Check"))))</f>
        <v/>
      </c>
    </row>
    <row r="125" ht="18" customHeight="1" s="46">
      <c r="A125" s="23" t="n">
        <v>121</v>
      </c>
      <c r="B125" s="24" t="inlineStr">
        <is>
          <t>BD-VRM-2024-3100</t>
        </is>
      </c>
      <c r="C125" s="25" t="inlineStr">
        <is>
          <t>Flava Louvers - Standard - TL WL 1638 9.5ft X 120mm</t>
        </is>
      </c>
      <c r="D125" s="23" t="inlineStr">
        <is>
          <t>Flava</t>
        </is>
      </c>
      <c r="E125" s="43" t="n">
        <v>46126</v>
      </c>
      <c r="F125" s="26" t="inlineStr">
        <is>
          <t>Sunil CR</t>
        </is>
      </c>
      <c r="G125" s="26" t="inlineStr">
        <is>
          <t>Yes</t>
        </is>
      </c>
      <c r="H125" s="26" t="inlineStr">
        <is>
          <t>No</t>
        </is>
      </c>
      <c r="I125" s="26" t="inlineStr">
        <is>
          <t>Good finish</t>
        </is>
      </c>
      <c r="J125" s="26" t="inlineStr">
        <is>
          <t>Yes</t>
        </is>
      </c>
      <c r="K125" s="27" t="n"/>
      <c r="L125" s="28" t="inlineStr">
        <is>
          <t>No</t>
        </is>
      </c>
      <c r="M125" s="29">
        <f>IF(E125="","",IF(H125="Yes","❌ Disc",IF(G125="No","⚠ Missing",IF(J125="Yes","✓ OK","⚠ Check"))))</f>
        <v/>
      </c>
      <c r="N125" s="43" t="n">
        <v>46193</v>
      </c>
      <c r="O125" s="26" t="inlineStr">
        <is>
          <t>Sunil CR</t>
        </is>
      </c>
      <c r="P125" s="26" t="inlineStr">
        <is>
          <t>Yes</t>
        </is>
      </c>
      <c r="Q125" s="26" t="inlineStr">
        <is>
          <t>No</t>
        </is>
      </c>
      <c r="R125" s="26" t="inlineStr">
        <is>
          <t>Good finish</t>
        </is>
      </c>
      <c r="S125" s="26" t="inlineStr">
        <is>
          <t>Yes</t>
        </is>
      </c>
      <c r="T125" s="27" t="n"/>
      <c r="U125" s="28" t="inlineStr">
        <is>
          <t>No</t>
        </is>
      </c>
      <c r="V125" s="29">
        <f>IF(N125="","",IF(Q125="Yes","❌ Disc",IF(P125="No","⚠ Missing",IF(S125="Yes","✓ OK","⚠ Check"))))</f>
        <v/>
      </c>
      <c r="W125" s="65" t="n">
        <v>46248</v>
      </c>
      <c r="X125" s="30" t="inlineStr">
        <is>
          <t>Sunil CR</t>
        </is>
      </c>
      <c r="Y125" s="30" t="inlineStr">
        <is>
          <t>Yes</t>
        </is>
      </c>
      <c r="Z125" s="30" t="n"/>
      <c r="AA125" s="30" t="inlineStr">
        <is>
          <t>Good finish</t>
        </is>
      </c>
      <c r="AB125" s="30" t="inlineStr">
        <is>
          <t>Yes</t>
        </is>
      </c>
      <c r="AC125" s="27" t="n"/>
      <c r="AD125" s="31" t="inlineStr">
        <is>
          <t>No</t>
        </is>
      </c>
      <c r="AE125" s="32">
        <f>IF(W125="","",IF(Z125="Yes","❌ Disc",IF(Y125="No","⚠ Missing",IF(AB125="Yes","✓ OK","⚠ Check"))))</f>
        <v/>
      </c>
      <c r="AF125" s="33" t="n"/>
      <c r="AG125" s="33" t="n"/>
      <c r="AH125" s="33" t="n"/>
      <c r="AI125" s="33" t="n"/>
      <c r="AJ125" s="33" t="n"/>
      <c r="AK125" s="33" t="n"/>
      <c r="AL125" s="27" t="n"/>
      <c r="AM125" s="34" t="n"/>
      <c r="AN125" s="35">
        <f>IF(AF125="","",IF(AI125="Yes","❌ Disc",IF(AH125="No","⚠ Missing",IF(AK125="Yes","✓ OK","⚠ Check"))))</f>
        <v/>
      </c>
      <c r="AO125" s="36" t="n"/>
      <c r="AP125" s="36" t="n"/>
      <c r="AQ125" s="36" t="n"/>
      <c r="AR125" s="36" t="n"/>
      <c r="AS125" s="36" t="n"/>
      <c r="AT125" s="36" t="n"/>
      <c r="AU125" s="27" t="n"/>
      <c r="AV125" s="37" t="n"/>
      <c r="AW125" s="38">
        <f>IF(AO125="","",IF(AR125="Yes","❌ Disc",IF(AQ125="No","⚠ Missing",IF(AT125="Yes","✓ OK","⚠ Check"))))</f>
        <v/>
      </c>
    </row>
    <row r="126" ht="18" customHeight="1" s="46">
      <c r="A126" s="39" t="n">
        <v>122</v>
      </c>
      <c r="B126" s="40" t="inlineStr">
        <is>
          <t>BD-VRM-2024-3101</t>
        </is>
      </c>
      <c r="C126" s="41" t="inlineStr">
        <is>
          <t>Flava Louvers - Standard - TL WL 1639 9.5ft X 120mm</t>
        </is>
      </c>
      <c r="D126" s="39" t="inlineStr">
        <is>
          <t>Flava</t>
        </is>
      </c>
      <c r="E126" s="43" t="n">
        <v>46126</v>
      </c>
      <c r="F126" s="26" t="inlineStr">
        <is>
          <t>Sunil CR</t>
        </is>
      </c>
      <c r="G126" s="26" t="inlineStr">
        <is>
          <t>Yes</t>
        </is>
      </c>
      <c r="H126" s="26" t="inlineStr">
        <is>
          <t>No</t>
        </is>
      </c>
      <c r="I126" s="26" t="inlineStr">
        <is>
          <t>Good finish</t>
        </is>
      </c>
      <c r="J126" s="26" t="inlineStr">
        <is>
          <t>Yes</t>
        </is>
      </c>
      <c r="K126" s="27" t="n"/>
      <c r="L126" s="28" t="inlineStr">
        <is>
          <t>No</t>
        </is>
      </c>
      <c r="M126" s="29">
        <f>IF(E126="","",IF(H126="Yes","❌ Disc",IF(G126="No","⚠ Missing",IF(J126="Yes","✓ OK","⚠ Check"))))</f>
        <v/>
      </c>
      <c r="N126" s="43" t="n">
        <v>46193</v>
      </c>
      <c r="O126" s="26" t="inlineStr">
        <is>
          <t>Sunil CR</t>
        </is>
      </c>
      <c r="P126" s="26" t="inlineStr">
        <is>
          <t>Yes</t>
        </is>
      </c>
      <c r="Q126" s="26" t="inlineStr">
        <is>
          <t>No</t>
        </is>
      </c>
      <c r="R126" s="26" t="inlineStr">
        <is>
          <t>Good finish</t>
        </is>
      </c>
      <c r="S126" s="26" t="inlineStr">
        <is>
          <t>Yes</t>
        </is>
      </c>
      <c r="T126" s="27" t="n"/>
      <c r="U126" s="28" t="inlineStr">
        <is>
          <t>No</t>
        </is>
      </c>
      <c r="V126" s="29">
        <f>IF(N126="","",IF(Q126="Yes","❌ Disc",IF(P126="No","⚠ Missing",IF(S126="Yes","✓ OK","⚠ Check"))))</f>
        <v/>
      </c>
      <c r="W126" s="65" t="n">
        <v>46248</v>
      </c>
      <c r="X126" s="30" t="inlineStr">
        <is>
          <t>Sunil CR</t>
        </is>
      </c>
      <c r="Y126" s="30" t="inlineStr">
        <is>
          <t>Yes</t>
        </is>
      </c>
      <c r="Z126" s="30" t="n"/>
      <c r="AA126" s="30" t="inlineStr">
        <is>
          <t>Good finish</t>
        </is>
      </c>
      <c r="AB126" s="30" t="inlineStr">
        <is>
          <t>Yes</t>
        </is>
      </c>
      <c r="AC126" s="27" t="n"/>
      <c r="AD126" s="31" t="inlineStr">
        <is>
          <t>No</t>
        </is>
      </c>
      <c r="AE126" s="32">
        <f>IF(W126="","",IF(Z126="Yes","❌ Disc",IF(Y126="No","⚠ Missing",IF(AB126="Yes","✓ OK","⚠ Check"))))</f>
        <v/>
      </c>
      <c r="AF126" s="33" t="n"/>
      <c r="AG126" s="33" t="n"/>
      <c r="AH126" s="33" t="n"/>
      <c r="AI126" s="33" t="n"/>
      <c r="AJ126" s="33" t="n"/>
      <c r="AK126" s="33" t="n"/>
      <c r="AL126" s="27" t="n"/>
      <c r="AM126" s="34" t="n"/>
      <c r="AN126" s="35">
        <f>IF(AF126="","",IF(AI126="Yes","❌ Disc",IF(AH126="No","⚠ Missing",IF(AK126="Yes","✓ OK","⚠ Check"))))</f>
        <v/>
      </c>
      <c r="AO126" s="36" t="n"/>
      <c r="AP126" s="36" t="n"/>
      <c r="AQ126" s="36" t="n"/>
      <c r="AR126" s="36" t="n"/>
      <c r="AS126" s="36" t="n"/>
      <c r="AT126" s="36" t="n"/>
      <c r="AU126" s="27" t="n"/>
      <c r="AV126" s="37" t="n"/>
      <c r="AW126" s="38">
        <f>IF(AO126="","",IF(AR126="Yes","❌ Disc",IF(AQ126="No","⚠ Missing",IF(AT126="Yes","✓ OK","⚠ Check"))))</f>
        <v/>
      </c>
    </row>
    <row r="127" ht="18" customHeight="1" s="46">
      <c r="A127" s="23" t="n">
        <v>123</v>
      </c>
      <c r="B127" s="24" t="inlineStr">
        <is>
          <t>BD-VRM-2024-3102</t>
        </is>
      </c>
      <c r="C127" s="25" t="inlineStr">
        <is>
          <t>Flava Louvers - Standard - TL WL 1643 9.5ft X 120mm</t>
        </is>
      </c>
      <c r="D127" s="23" t="inlineStr">
        <is>
          <t>Flava</t>
        </is>
      </c>
      <c r="E127" s="43" t="n">
        <v>46126</v>
      </c>
      <c r="F127" s="26" t="inlineStr">
        <is>
          <t>Sunil CR</t>
        </is>
      </c>
      <c r="G127" s="26" t="inlineStr">
        <is>
          <t>Yes</t>
        </is>
      </c>
      <c r="H127" s="26" t="inlineStr">
        <is>
          <t>No</t>
        </is>
      </c>
      <c r="I127" s="26" t="inlineStr">
        <is>
          <t>Good finish</t>
        </is>
      </c>
      <c r="J127" s="26" t="inlineStr">
        <is>
          <t>Yes</t>
        </is>
      </c>
      <c r="K127" s="27" t="n"/>
      <c r="L127" s="28" t="inlineStr">
        <is>
          <t>No</t>
        </is>
      </c>
      <c r="M127" s="29">
        <f>IF(E127="","",IF(H127="Yes","❌ Disc",IF(G127="No","⚠ Missing",IF(J127="Yes","✓ OK","⚠ Check"))))</f>
        <v/>
      </c>
      <c r="N127" s="43" t="n">
        <v>46193</v>
      </c>
      <c r="O127" s="26" t="inlineStr">
        <is>
          <t>Sunil CR</t>
        </is>
      </c>
      <c r="P127" s="26" t="inlineStr">
        <is>
          <t>Yes</t>
        </is>
      </c>
      <c r="Q127" s="26" t="inlineStr">
        <is>
          <t>No</t>
        </is>
      </c>
      <c r="R127" s="26" t="inlineStr">
        <is>
          <t>Good finish</t>
        </is>
      </c>
      <c r="S127" s="26" t="inlineStr">
        <is>
          <t>Yes</t>
        </is>
      </c>
      <c r="T127" s="27" t="n"/>
      <c r="U127" s="28" t="inlineStr">
        <is>
          <t>No</t>
        </is>
      </c>
      <c r="V127" s="29">
        <f>IF(N127="","",IF(Q127="Yes","❌ Disc",IF(P127="No","⚠ Missing",IF(S127="Yes","✓ OK","⚠ Check"))))</f>
        <v/>
      </c>
      <c r="W127" s="65" t="n">
        <v>46248</v>
      </c>
      <c r="X127" s="30" t="inlineStr">
        <is>
          <t>Sunil CR</t>
        </is>
      </c>
      <c r="Y127" s="30" t="inlineStr">
        <is>
          <t>Yes</t>
        </is>
      </c>
      <c r="Z127" s="30" t="n"/>
      <c r="AA127" s="30" t="inlineStr">
        <is>
          <t>Good finish</t>
        </is>
      </c>
      <c r="AB127" s="30" t="inlineStr">
        <is>
          <t>Yes</t>
        </is>
      </c>
      <c r="AC127" s="27" t="n"/>
      <c r="AD127" s="31" t="inlineStr">
        <is>
          <t>No</t>
        </is>
      </c>
      <c r="AE127" s="32">
        <f>IF(W127="","",IF(Z127="Yes","❌ Disc",IF(Y127="No","⚠ Missing",IF(AB127="Yes","✓ OK","⚠ Check"))))</f>
        <v/>
      </c>
      <c r="AF127" s="33" t="n"/>
      <c r="AG127" s="33" t="n"/>
      <c r="AH127" s="33" t="n"/>
      <c r="AI127" s="33" t="n"/>
      <c r="AJ127" s="33" t="n"/>
      <c r="AK127" s="33" t="n"/>
      <c r="AL127" s="27" t="n"/>
      <c r="AM127" s="34" t="n"/>
      <c r="AN127" s="35">
        <f>IF(AF127="","",IF(AI127="Yes","❌ Disc",IF(AH127="No","⚠ Missing",IF(AK127="Yes","✓ OK","⚠ Check"))))</f>
        <v/>
      </c>
      <c r="AO127" s="36" t="n"/>
      <c r="AP127" s="36" t="n"/>
      <c r="AQ127" s="36" t="n"/>
      <c r="AR127" s="36" t="n"/>
      <c r="AS127" s="36" t="n"/>
      <c r="AT127" s="36" t="n"/>
      <c r="AU127" s="27" t="n"/>
      <c r="AV127" s="37" t="n"/>
      <c r="AW127" s="38">
        <f>IF(AO127="","",IF(AR127="Yes","❌ Disc",IF(AQ127="No","⚠ Missing",IF(AT127="Yes","✓ OK","⚠ Check"))))</f>
        <v/>
      </c>
    </row>
    <row r="128" ht="18" customHeight="1" s="46">
      <c r="A128" s="39" t="n">
        <v>124</v>
      </c>
      <c r="B128" s="40" t="inlineStr">
        <is>
          <t>BD-VRM-2024-3103</t>
        </is>
      </c>
      <c r="C128" s="41" t="inlineStr">
        <is>
          <t>Flava Louvers - Standard - TL WL 1644 9.5ft X 120mm</t>
        </is>
      </c>
      <c r="D128" s="39" t="inlineStr">
        <is>
          <t>Flava</t>
        </is>
      </c>
      <c r="E128" s="43" t="n">
        <v>46126</v>
      </c>
      <c r="F128" s="26" t="inlineStr">
        <is>
          <t>Sunil CR</t>
        </is>
      </c>
      <c r="G128" s="26" t="inlineStr">
        <is>
          <t>Yes</t>
        </is>
      </c>
      <c r="H128" s="26" t="inlineStr">
        <is>
          <t>No</t>
        </is>
      </c>
      <c r="I128" s="26" t="inlineStr">
        <is>
          <t>Good finish</t>
        </is>
      </c>
      <c r="J128" s="26" t="inlineStr">
        <is>
          <t>Yes</t>
        </is>
      </c>
      <c r="K128" s="27" t="n"/>
      <c r="L128" s="28" t="inlineStr">
        <is>
          <t>No</t>
        </is>
      </c>
      <c r="M128" s="29">
        <f>IF(E128="","",IF(H128="Yes","❌ Disc",IF(G128="No","⚠ Missing",IF(J128="Yes","✓ OK","⚠ Check"))))</f>
        <v/>
      </c>
      <c r="N128" s="43" t="n">
        <v>46193</v>
      </c>
      <c r="O128" s="26" t="inlineStr">
        <is>
          <t>Sunil CR</t>
        </is>
      </c>
      <c r="P128" s="26" t="inlineStr">
        <is>
          <t>Yes</t>
        </is>
      </c>
      <c r="Q128" s="26" t="inlineStr">
        <is>
          <t>No</t>
        </is>
      </c>
      <c r="R128" s="26" t="inlineStr">
        <is>
          <t>Good finish</t>
        </is>
      </c>
      <c r="S128" s="26" t="inlineStr">
        <is>
          <t>Yes</t>
        </is>
      </c>
      <c r="T128" s="27" t="n"/>
      <c r="U128" s="28" t="inlineStr">
        <is>
          <t>No</t>
        </is>
      </c>
      <c r="V128" s="29">
        <f>IF(N128="","",IF(Q128="Yes","❌ Disc",IF(P128="No","⚠ Missing",IF(S128="Yes","✓ OK","⚠ Check"))))</f>
        <v/>
      </c>
      <c r="W128" s="65" t="n">
        <v>46248</v>
      </c>
      <c r="X128" s="30" t="inlineStr">
        <is>
          <t>Sunil CR</t>
        </is>
      </c>
      <c r="Y128" s="30" t="inlineStr">
        <is>
          <t>Yes</t>
        </is>
      </c>
      <c r="Z128" s="30" t="n"/>
      <c r="AA128" s="30" t="inlineStr">
        <is>
          <t>Good finish</t>
        </is>
      </c>
      <c r="AB128" s="30" t="inlineStr">
        <is>
          <t>Yes</t>
        </is>
      </c>
      <c r="AC128" s="27" t="n"/>
      <c r="AD128" s="31" t="inlineStr">
        <is>
          <t>No</t>
        </is>
      </c>
      <c r="AE128" s="32">
        <f>IF(W128="","",IF(Z128="Yes","❌ Disc",IF(Y128="No","⚠ Missing",IF(AB128="Yes","✓ OK","⚠ Check"))))</f>
        <v/>
      </c>
      <c r="AF128" s="33" t="n"/>
      <c r="AG128" s="33" t="n"/>
      <c r="AH128" s="33" t="n"/>
      <c r="AI128" s="33" t="n"/>
      <c r="AJ128" s="33" t="n"/>
      <c r="AK128" s="33" t="n"/>
      <c r="AL128" s="27" t="n"/>
      <c r="AM128" s="34" t="n"/>
      <c r="AN128" s="35">
        <f>IF(AF128="","",IF(AI128="Yes","❌ Disc",IF(AH128="No","⚠ Missing",IF(AK128="Yes","✓ OK","⚠ Check"))))</f>
        <v/>
      </c>
      <c r="AO128" s="36" t="n"/>
      <c r="AP128" s="36" t="n"/>
      <c r="AQ128" s="36" t="n"/>
      <c r="AR128" s="36" t="n"/>
      <c r="AS128" s="36" t="n"/>
      <c r="AT128" s="36" t="n"/>
      <c r="AU128" s="27" t="n"/>
      <c r="AV128" s="37" t="n"/>
      <c r="AW128" s="38">
        <f>IF(AO128="","",IF(AR128="Yes","❌ Disc",IF(AQ128="No","⚠ Missing",IF(AT128="Yes","✓ OK","⚠ Check"))))</f>
        <v/>
      </c>
    </row>
    <row r="129" ht="18" customHeight="1" s="46">
      <c r="A129" s="23" t="n">
        <v>125</v>
      </c>
      <c r="B129" s="24" t="inlineStr">
        <is>
          <t>BD-VRM-2024-3064</t>
        </is>
      </c>
      <c r="C129" s="25" t="inlineStr">
        <is>
          <t>Flava Louvers - Standard - TL WL 1801 9.5ft X 120mm</t>
        </is>
      </c>
      <c r="D129" s="23" t="inlineStr">
        <is>
          <t>Flava</t>
        </is>
      </c>
      <c r="E129" s="43" t="n">
        <v>46126</v>
      </c>
      <c r="F129" s="26" t="inlineStr">
        <is>
          <t>Sunil CR</t>
        </is>
      </c>
      <c r="G129" s="26" t="inlineStr">
        <is>
          <t>Yes</t>
        </is>
      </c>
      <c r="H129" s="26" t="inlineStr">
        <is>
          <t>No</t>
        </is>
      </c>
      <c r="I129" s="26" t="inlineStr">
        <is>
          <t>Good finish</t>
        </is>
      </c>
      <c r="J129" s="26" t="inlineStr">
        <is>
          <t>Yes</t>
        </is>
      </c>
      <c r="K129" s="27" t="n"/>
      <c r="L129" s="28" t="inlineStr">
        <is>
          <t>No</t>
        </is>
      </c>
      <c r="M129" s="29">
        <f>IF(E129="","",IF(H129="Yes","❌ Disc",IF(G129="No","⚠ Missing",IF(J129="Yes","✓ OK","⚠ Check"))))</f>
        <v/>
      </c>
      <c r="N129" s="43" t="n">
        <v>46193</v>
      </c>
      <c r="O129" s="26" t="inlineStr">
        <is>
          <t>Sunil CR</t>
        </is>
      </c>
      <c r="P129" s="26" t="inlineStr">
        <is>
          <t>Yes</t>
        </is>
      </c>
      <c r="Q129" s="26" t="inlineStr">
        <is>
          <t>No</t>
        </is>
      </c>
      <c r="R129" s="26" t="inlineStr">
        <is>
          <t>Good finish</t>
        </is>
      </c>
      <c r="S129" s="26" t="inlineStr">
        <is>
          <t>Yes</t>
        </is>
      </c>
      <c r="T129" s="27" t="n"/>
      <c r="U129" s="28" t="inlineStr">
        <is>
          <t>No</t>
        </is>
      </c>
      <c r="V129" s="29">
        <f>IF(N129="","",IF(Q129="Yes","❌ Disc",IF(P129="No","⚠ Missing",IF(S129="Yes","✓ OK","⚠ Check"))))</f>
        <v/>
      </c>
      <c r="W129" s="65" t="n">
        <v>46248</v>
      </c>
      <c r="X129" s="30" t="inlineStr">
        <is>
          <t>Sunil CR</t>
        </is>
      </c>
      <c r="Y129" s="30" t="inlineStr">
        <is>
          <t>Yes</t>
        </is>
      </c>
      <c r="Z129" s="30" t="n"/>
      <c r="AA129" s="30" t="inlineStr">
        <is>
          <t>Good finish</t>
        </is>
      </c>
      <c r="AB129" s="30" t="inlineStr">
        <is>
          <t>Yes</t>
        </is>
      </c>
      <c r="AC129" s="27" t="n"/>
      <c r="AD129" s="31" t="inlineStr">
        <is>
          <t>No</t>
        </is>
      </c>
      <c r="AE129" s="32">
        <f>IF(W129="","",IF(Z129="Yes","❌ Disc",IF(Y129="No","⚠ Missing",IF(AB129="Yes","✓ OK","⚠ Check"))))</f>
        <v/>
      </c>
      <c r="AF129" s="33" t="n"/>
      <c r="AG129" s="33" t="n"/>
      <c r="AH129" s="33" t="n"/>
      <c r="AI129" s="33" t="n"/>
      <c r="AJ129" s="33" t="n"/>
      <c r="AK129" s="33" t="n"/>
      <c r="AL129" s="27" t="n"/>
      <c r="AM129" s="34" t="n"/>
      <c r="AN129" s="35">
        <f>IF(AF129="","",IF(AI129="Yes","❌ Disc",IF(AH129="No","⚠ Missing",IF(AK129="Yes","✓ OK","⚠ Check"))))</f>
        <v/>
      </c>
      <c r="AO129" s="36" t="n"/>
      <c r="AP129" s="36" t="n"/>
      <c r="AQ129" s="36" t="n"/>
      <c r="AR129" s="36" t="n"/>
      <c r="AS129" s="36" t="n"/>
      <c r="AT129" s="36" t="n"/>
      <c r="AU129" s="27" t="n"/>
      <c r="AV129" s="37" t="n"/>
      <c r="AW129" s="38">
        <f>IF(AO129="","",IF(AR129="Yes","❌ Disc",IF(AQ129="No","⚠ Missing",IF(AT129="Yes","✓ OK","⚠ Check"))))</f>
        <v/>
      </c>
    </row>
    <row r="130" ht="18" customHeight="1" s="46">
      <c r="A130" s="39" t="n">
        <v>126</v>
      </c>
      <c r="B130" s="40" t="inlineStr">
        <is>
          <t>BD-VRM-2024-3065</t>
        </is>
      </c>
      <c r="C130" s="41" t="inlineStr">
        <is>
          <t>Flava Louvers - Standard - TL WL 1802 9.5ft X 120mm</t>
        </is>
      </c>
      <c r="D130" s="39" t="inlineStr">
        <is>
          <t>Flava</t>
        </is>
      </c>
      <c r="E130" s="43" t="n">
        <v>46126</v>
      </c>
      <c r="F130" s="26" t="inlineStr">
        <is>
          <t>Sunil CR</t>
        </is>
      </c>
      <c r="G130" s="26" t="inlineStr">
        <is>
          <t>Yes</t>
        </is>
      </c>
      <c r="H130" s="26" t="inlineStr">
        <is>
          <t>No</t>
        </is>
      </c>
      <c r="I130" s="26" t="inlineStr">
        <is>
          <t>Good finish</t>
        </is>
      </c>
      <c r="J130" s="26" t="inlineStr">
        <is>
          <t>Yes</t>
        </is>
      </c>
      <c r="K130" s="27" t="n"/>
      <c r="L130" s="28" t="inlineStr">
        <is>
          <t>No</t>
        </is>
      </c>
      <c r="M130" s="29">
        <f>IF(E130="","",IF(H130="Yes","❌ Disc",IF(G130="No","⚠ Missing",IF(J130="Yes","✓ OK","⚠ Check"))))</f>
        <v/>
      </c>
      <c r="N130" s="43" t="n">
        <v>46193</v>
      </c>
      <c r="O130" s="26" t="inlineStr">
        <is>
          <t>Sunil CR</t>
        </is>
      </c>
      <c r="P130" s="26" t="inlineStr">
        <is>
          <t>Yes</t>
        </is>
      </c>
      <c r="Q130" s="26" t="inlineStr">
        <is>
          <t>No</t>
        </is>
      </c>
      <c r="R130" s="26" t="inlineStr">
        <is>
          <t>Good finish</t>
        </is>
      </c>
      <c r="S130" s="26" t="inlineStr">
        <is>
          <t>Yes</t>
        </is>
      </c>
      <c r="T130" s="27" t="n"/>
      <c r="U130" s="28" t="inlineStr">
        <is>
          <t>No</t>
        </is>
      </c>
      <c r="V130" s="29">
        <f>IF(N130="","",IF(Q130="Yes","❌ Disc",IF(P130="No","⚠ Missing",IF(S130="Yes","✓ OK","⚠ Check"))))</f>
        <v/>
      </c>
      <c r="W130" s="65" t="n">
        <v>46248</v>
      </c>
      <c r="X130" s="30" t="inlineStr">
        <is>
          <t>Sunil CR</t>
        </is>
      </c>
      <c r="Y130" s="30" t="inlineStr">
        <is>
          <t>Yes</t>
        </is>
      </c>
      <c r="Z130" s="30" t="n"/>
      <c r="AA130" s="30" t="inlineStr">
        <is>
          <t>Good finish</t>
        </is>
      </c>
      <c r="AB130" s="30" t="inlineStr">
        <is>
          <t>Yes</t>
        </is>
      </c>
      <c r="AC130" s="27" t="n"/>
      <c r="AD130" s="31" t="inlineStr">
        <is>
          <t>No</t>
        </is>
      </c>
      <c r="AE130" s="32">
        <f>IF(W130="","",IF(Z130="Yes","❌ Disc",IF(Y130="No","⚠ Missing",IF(AB130="Yes","✓ OK","⚠ Check"))))</f>
        <v/>
      </c>
      <c r="AF130" s="33" t="n"/>
      <c r="AG130" s="33" t="n"/>
      <c r="AH130" s="33" t="n"/>
      <c r="AI130" s="33" t="n"/>
      <c r="AJ130" s="33" t="n"/>
      <c r="AK130" s="33" t="n"/>
      <c r="AL130" s="27" t="n"/>
      <c r="AM130" s="34" t="n"/>
      <c r="AN130" s="35">
        <f>IF(AF130="","",IF(AI130="Yes","❌ Disc",IF(AH130="No","⚠ Missing",IF(AK130="Yes","✓ OK","⚠ Check"))))</f>
        <v/>
      </c>
      <c r="AO130" s="36" t="n"/>
      <c r="AP130" s="36" t="n"/>
      <c r="AQ130" s="36" t="n"/>
      <c r="AR130" s="36" t="n"/>
      <c r="AS130" s="36" t="n"/>
      <c r="AT130" s="36" t="n"/>
      <c r="AU130" s="27" t="n"/>
      <c r="AV130" s="37" t="n"/>
      <c r="AW130" s="38">
        <f>IF(AO130="","",IF(AR130="Yes","❌ Disc",IF(AQ130="No","⚠ Missing",IF(AT130="Yes","✓ OK","⚠ Check"))))</f>
        <v/>
      </c>
    </row>
    <row r="131" ht="18" customHeight="1" s="46">
      <c r="A131" s="23" t="n">
        <v>127</v>
      </c>
      <c r="B131" s="24" t="inlineStr">
        <is>
          <t>BD-VRM-2024-3067</t>
        </is>
      </c>
      <c r="C131" s="25" t="inlineStr">
        <is>
          <t>Flava Louvers - Standard - TL WL 1804 9.5ft X 120mm</t>
        </is>
      </c>
      <c r="D131" s="23" t="inlineStr">
        <is>
          <t>Flava</t>
        </is>
      </c>
      <c r="E131" s="43" t="n">
        <v>46126</v>
      </c>
      <c r="F131" s="26" t="inlineStr">
        <is>
          <t>Sunil CR</t>
        </is>
      </c>
      <c r="G131" s="26" t="inlineStr">
        <is>
          <t>Yes</t>
        </is>
      </c>
      <c r="H131" s="26" t="inlineStr">
        <is>
          <t>No</t>
        </is>
      </c>
      <c r="I131" s="26" t="inlineStr">
        <is>
          <t>Good finish</t>
        </is>
      </c>
      <c r="J131" s="26" t="inlineStr">
        <is>
          <t>Yes</t>
        </is>
      </c>
      <c r="K131" s="27" t="n"/>
      <c r="L131" s="28" t="inlineStr">
        <is>
          <t>No</t>
        </is>
      </c>
      <c r="M131" s="29">
        <f>IF(E131="","",IF(H131="Yes","❌ Disc",IF(G131="No","⚠ Missing",IF(J131="Yes","✓ OK","⚠ Check"))))</f>
        <v/>
      </c>
      <c r="N131" s="43" t="n">
        <v>46193</v>
      </c>
      <c r="O131" s="26" t="inlineStr">
        <is>
          <t>Sunil CR</t>
        </is>
      </c>
      <c r="P131" s="26" t="inlineStr">
        <is>
          <t>Yes</t>
        </is>
      </c>
      <c r="Q131" s="26" t="inlineStr">
        <is>
          <t>No</t>
        </is>
      </c>
      <c r="R131" s="26" t="inlineStr">
        <is>
          <t>Good finish</t>
        </is>
      </c>
      <c r="S131" s="26" t="inlineStr">
        <is>
          <t>Yes</t>
        </is>
      </c>
      <c r="T131" s="27" t="n"/>
      <c r="U131" s="28" t="inlineStr">
        <is>
          <t>No</t>
        </is>
      </c>
      <c r="V131" s="29">
        <f>IF(N131="","",IF(Q131="Yes","❌ Disc",IF(P131="No","⚠ Missing",IF(S131="Yes","✓ OK","⚠ Check"))))</f>
        <v/>
      </c>
      <c r="W131" s="65" t="n">
        <v>46248</v>
      </c>
      <c r="X131" s="30" t="inlineStr">
        <is>
          <t>Sunil CR</t>
        </is>
      </c>
      <c r="Y131" s="30" t="inlineStr">
        <is>
          <t>Yes</t>
        </is>
      </c>
      <c r="Z131" s="30" t="n"/>
      <c r="AA131" s="30" t="inlineStr">
        <is>
          <t>Good finish</t>
        </is>
      </c>
      <c r="AB131" s="30" t="inlineStr">
        <is>
          <t>Yes</t>
        </is>
      </c>
      <c r="AC131" s="27" t="n"/>
      <c r="AD131" s="31" t="inlineStr">
        <is>
          <t>No</t>
        </is>
      </c>
      <c r="AE131" s="32">
        <f>IF(W131="","",IF(Z131="Yes","❌ Disc",IF(Y131="No","⚠ Missing",IF(AB131="Yes","✓ OK","⚠ Check"))))</f>
        <v/>
      </c>
      <c r="AF131" s="33" t="n"/>
      <c r="AG131" s="33" t="n"/>
      <c r="AH131" s="33" t="n"/>
      <c r="AI131" s="33" t="n"/>
      <c r="AJ131" s="33" t="n"/>
      <c r="AK131" s="33" t="n"/>
      <c r="AL131" s="27" t="n"/>
      <c r="AM131" s="34" t="n"/>
      <c r="AN131" s="35">
        <f>IF(AF131="","",IF(AI131="Yes","❌ Disc",IF(AH131="No","⚠ Missing",IF(AK131="Yes","✓ OK","⚠ Check"))))</f>
        <v/>
      </c>
      <c r="AO131" s="36" t="n"/>
      <c r="AP131" s="36" t="n"/>
      <c r="AQ131" s="36" t="n"/>
      <c r="AR131" s="36" t="n"/>
      <c r="AS131" s="36" t="n"/>
      <c r="AT131" s="36" t="n"/>
      <c r="AU131" s="27" t="n"/>
      <c r="AV131" s="37" t="n"/>
      <c r="AW131" s="38">
        <f>IF(AO131="","",IF(AR131="Yes","❌ Disc",IF(AQ131="No","⚠ Missing",IF(AT131="Yes","✓ OK","⚠ Check"))))</f>
        <v/>
      </c>
    </row>
    <row r="132" ht="18" customHeight="1" s="46">
      <c r="A132" s="39" t="n">
        <v>128</v>
      </c>
      <c r="B132" s="40" t="inlineStr">
        <is>
          <t>BD-VRM-2024-3068</t>
        </is>
      </c>
      <c r="C132" s="41" t="inlineStr">
        <is>
          <t>Flava Louvers - Standard - TL WL 1805 9.5ft X 120mm</t>
        </is>
      </c>
      <c r="D132" s="39" t="inlineStr">
        <is>
          <t>Flava</t>
        </is>
      </c>
      <c r="E132" s="43" t="n">
        <v>46126</v>
      </c>
      <c r="F132" s="26" t="inlineStr">
        <is>
          <t>Sunil CR</t>
        </is>
      </c>
      <c r="G132" s="26" t="inlineStr">
        <is>
          <t>Yes</t>
        </is>
      </c>
      <c r="H132" s="26" t="inlineStr">
        <is>
          <t>No</t>
        </is>
      </c>
      <c r="I132" s="26" t="inlineStr">
        <is>
          <t>Good finish</t>
        </is>
      </c>
      <c r="J132" s="26" t="inlineStr">
        <is>
          <t>Yes</t>
        </is>
      </c>
      <c r="K132" s="27" t="n"/>
      <c r="L132" s="28" t="inlineStr">
        <is>
          <t>No</t>
        </is>
      </c>
      <c r="M132" s="29">
        <f>IF(E132="","",IF(H132="Yes","❌ Disc",IF(G132="No","⚠ Missing",IF(J132="Yes","✓ OK","⚠ Check"))))</f>
        <v/>
      </c>
      <c r="N132" s="43" t="n">
        <v>46193</v>
      </c>
      <c r="O132" s="26" t="inlineStr">
        <is>
          <t>Sunil CR</t>
        </is>
      </c>
      <c r="P132" s="26" t="inlineStr">
        <is>
          <t>Yes</t>
        </is>
      </c>
      <c r="Q132" s="26" t="inlineStr">
        <is>
          <t>No</t>
        </is>
      </c>
      <c r="R132" s="26" t="inlineStr">
        <is>
          <t>Good finish</t>
        </is>
      </c>
      <c r="S132" s="26" t="inlineStr">
        <is>
          <t>Yes</t>
        </is>
      </c>
      <c r="T132" s="27" t="n"/>
      <c r="U132" s="28" t="inlineStr">
        <is>
          <t>No</t>
        </is>
      </c>
      <c r="V132" s="29">
        <f>IF(N132="","",IF(Q132="Yes","❌ Disc",IF(P132="No","⚠ Missing",IF(S132="Yes","✓ OK","⚠ Check"))))</f>
        <v/>
      </c>
      <c r="W132" s="65" t="n">
        <v>46248</v>
      </c>
      <c r="X132" s="30" t="inlineStr">
        <is>
          <t>Sunil CR</t>
        </is>
      </c>
      <c r="Y132" s="30" t="inlineStr">
        <is>
          <t>Yes</t>
        </is>
      </c>
      <c r="Z132" s="30" t="n"/>
      <c r="AA132" s="30" t="inlineStr">
        <is>
          <t>Good finish</t>
        </is>
      </c>
      <c r="AB132" s="30" t="inlineStr">
        <is>
          <t>Yes</t>
        </is>
      </c>
      <c r="AC132" s="27" t="n"/>
      <c r="AD132" s="31" t="inlineStr">
        <is>
          <t>No</t>
        </is>
      </c>
      <c r="AE132" s="32">
        <f>IF(W132="","",IF(Z132="Yes","❌ Disc",IF(Y132="No","⚠ Missing",IF(AB132="Yes","✓ OK","⚠ Check"))))</f>
        <v/>
      </c>
      <c r="AF132" s="33" t="n"/>
      <c r="AG132" s="33" t="n"/>
      <c r="AH132" s="33" t="n"/>
      <c r="AI132" s="33" t="n"/>
      <c r="AJ132" s="33" t="n"/>
      <c r="AK132" s="33" t="n"/>
      <c r="AL132" s="27" t="n"/>
      <c r="AM132" s="34" t="n"/>
      <c r="AN132" s="35">
        <f>IF(AF132="","",IF(AI132="Yes","❌ Disc",IF(AH132="No","⚠ Missing",IF(AK132="Yes","✓ OK","⚠ Check"))))</f>
        <v/>
      </c>
      <c r="AO132" s="36" t="n"/>
      <c r="AP132" s="36" t="n"/>
      <c r="AQ132" s="36" t="n"/>
      <c r="AR132" s="36" t="n"/>
      <c r="AS132" s="36" t="n"/>
      <c r="AT132" s="36" t="n"/>
      <c r="AU132" s="27" t="n"/>
      <c r="AV132" s="37" t="n"/>
      <c r="AW132" s="38">
        <f>IF(AO132="","",IF(AR132="Yes","❌ Disc",IF(AQ132="No","⚠ Missing",IF(AT132="Yes","✓ OK","⚠ Check"))))</f>
        <v/>
      </c>
    </row>
    <row r="133" ht="18" customHeight="1" s="46">
      <c r="A133" s="23" t="n">
        <v>129</v>
      </c>
      <c r="B133" s="24" t="inlineStr">
        <is>
          <t>BD-VRM-2024-3070</t>
        </is>
      </c>
      <c r="C133" s="25" t="inlineStr">
        <is>
          <t>Flava Louvers - Standard - TL WL 1807 9.5ft X 120mm</t>
        </is>
      </c>
      <c r="D133" s="23" t="inlineStr">
        <is>
          <t>Flava</t>
        </is>
      </c>
      <c r="E133" s="43" t="n">
        <v>46126</v>
      </c>
      <c r="F133" s="26" t="inlineStr">
        <is>
          <t>Sunil CR</t>
        </is>
      </c>
      <c r="G133" s="26" t="inlineStr">
        <is>
          <t>Yes</t>
        </is>
      </c>
      <c r="H133" s="26" t="inlineStr">
        <is>
          <t>No</t>
        </is>
      </c>
      <c r="I133" s="26" t="inlineStr">
        <is>
          <t>Good finish</t>
        </is>
      </c>
      <c r="J133" s="26" t="inlineStr">
        <is>
          <t>Yes</t>
        </is>
      </c>
      <c r="K133" s="27" t="n"/>
      <c r="L133" s="28" t="inlineStr">
        <is>
          <t>No</t>
        </is>
      </c>
      <c r="M133" s="29">
        <f>IF(E133="","",IF(H133="Yes","❌ Disc",IF(G133="No","⚠ Missing",IF(J133="Yes","✓ OK","⚠ Check"))))</f>
        <v/>
      </c>
      <c r="N133" s="43" t="n">
        <v>46193</v>
      </c>
      <c r="O133" s="26" t="inlineStr">
        <is>
          <t>Sunil CR</t>
        </is>
      </c>
      <c r="P133" s="26" t="inlineStr">
        <is>
          <t>Yes</t>
        </is>
      </c>
      <c r="Q133" s="26" t="inlineStr">
        <is>
          <t>No</t>
        </is>
      </c>
      <c r="R133" s="26" t="inlineStr">
        <is>
          <t>Good finish</t>
        </is>
      </c>
      <c r="S133" s="26" t="inlineStr">
        <is>
          <t>Yes</t>
        </is>
      </c>
      <c r="T133" s="27" t="n"/>
      <c r="U133" s="28" t="inlineStr">
        <is>
          <t>No</t>
        </is>
      </c>
      <c r="V133" s="29">
        <f>IF(N133="","",IF(Q133="Yes","❌ Disc",IF(P133="No","⚠ Missing",IF(S133="Yes","✓ OK","⚠ Check"))))</f>
        <v/>
      </c>
      <c r="W133" s="65" t="n">
        <v>46248</v>
      </c>
      <c r="X133" s="30" t="inlineStr">
        <is>
          <t>Sunil CR</t>
        </is>
      </c>
      <c r="Y133" s="30" t="inlineStr">
        <is>
          <t>Yes</t>
        </is>
      </c>
      <c r="Z133" s="30" t="n"/>
      <c r="AA133" s="30" t="inlineStr">
        <is>
          <t>Good finish</t>
        </is>
      </c>
      <c r="AB133" s="30" t="inlineStr">
        <is>
          <t>Yes</t>
        </is>
      </c>
      <c r="AC133" s="27" t="n"/>
      <c r="AD133" s="31" t="inlineStr">
        <is>
          <t>No</t>
        </is>
      </c>
      <c r="AE133" s="32">
        <f>IF(W133="","",IF(Z133="Yes","❌ Disc",IF(Y133="No","⚠ Missing",IF(AB133="Yes","✓ OK","⚠ Check"))))</f>
        <v/>
      </c>
      <c r="AF133" s="33" t="n"/>
      <c r="AG133" s="33" t="n"/>
      <c r="AH133" s="33" t="n"/>
      <c r="AI133" s="33" t="n"/>
      <c r="AJ133" s="33" t="n"/>
      <c r="AK133" s="33" t="n"/>
      <c r="AL133" s="27" t="n"/>
      <c r="AM133" s="34" t="n"/>
      <c r="AN133" s="35">
        <f>IF(AF133="","",IF(AI133="Yes","❌ Disc",IF(AH133="No","⚠ Missing",IF(AK133="Yes","✓ OK","⚠ Check"))))</f>
        <v/>
      </c>
      <c r="AO133" s="36" t="n"/>
      <c r="AP133" s="36" t="n"/>
      <c r="AQ133" s="36" t="n"/>
      <c r="AR133" s="36" t="n"/>
      <c r="AS133" s="36" t="n"/>
      <c r="AT133" s="36" t="n"/>
      <c r="AU133" s="27" t="n"/>
      <c r="AV133" s="37" t="n"/>
      <c r="AW133" s="38">
        <f>IF(AO133="","",IF(AR133="Yes","❌ Disc",IF(AQ133="No","⚠ Missing",IF(AT133="Yes","✓ OK","⚠ Check"))))</f>
        <v/>
      </c>
    </row>
    <row r="134" ht="18" customHeight="1" s="46">
      <c r="A134" s="39" t="n">
        <v>130</v>
      </c>
      <c r="B134" s="40" t="inlineStr">
        <is>
          <t>BD-VRM-2024-3071</t>
        </is>
      </c>
      <c r="C134" s="41" t="inlineStr">
        <is>
          <t>Flava Louvers - Standard - TL WL 1808 9.5ft X 120mm</t>
        </is>
      </c>
      <c r="D134" s="39" t="inlineStr">
        <is>
          <t>Flava</t>
        </is>
      </c>
      <c r="E134" s="43" t="n">
        <v>46126</v>
      </c>
      <c r="F134" s="26" t="inlineStr">
        <is>
          <t>Sunil CR</t>
        </is>
      </c>
      <c r="G134" s="26" t="inlineStr">
        <is>
          <t>Yes</t>
        </is>
      </c>
      <c r="H134" s="26" t="inlineStr">
        <is>
          <t>No</t>
        </is>
      </c>
      <c r="I134" s="26" t="inlineStr">
        <is>
          <t>Good finish</t>
        </is>
      </c>
      <c r="J134" s="26" t="inlineStr">
        <is>
          <t>Yes</t>
        </is>
      </c>
      <c r="K134" s="27" t="n"/>
      <c r="L134" s="28" t="inlineStr">
        <is>
          <t>No</t>
        </is>
      </c>
      <c r="M134" s="29">
        <f>IF(E134="","",IF(H134="Yes","❌ Disc",IF(G134="No","⚠ Missing",IF(J134="Yes","✓ OK","⚠ Check"))))</f>
        <v/>
      </c>
      <c r="N134" s="43" t="n">
        <v>46193</v>
      </c>
      <c r="O134" s="26" t="inlineStr">
        <is>
          <t>Sunil CR</t>
        </is>
      </c>
      <c r="P134" s="26" t="inlineStr">
        <is>
          <t>Yes</t>
        </is>
      </c>
      <c r="Q134" s="26" t="inlineStr">
        <is>
          <t>No</t>
        </is>
      </c>
      <c r="R134" s="26" t="inlineStr">
        <is>
          <t>Good finish</t>
        </is>
      </c>
      <c r="S134" s="26" t="inlineStr">
        <is>
          <t>Yes</t>
        </is>
      </c>
      <c r="T134" s="27" t="n"/>
      <c r="U134" s="28" t="inlineStr">
        <is>
          <t>No</t>
        </is>
      </c>
      <c r="V134" s="29">
        <f>IF(N134="","",IF(Q134="Yes","❌ Disc",IF(P134="No","⚠ Missing",IF(S134="Yes","✓ OK","⚠ Check"))))</f>
        <v/>
      </c>
      <c r="W134" s="65" t="n">
        <v>46248</v>
      </c>
      <c r="X134" s="30" t="inlineStr">
        <is>
          <t>Sunil CR</t>
        </is>
      </c>
      <c r="Y134" s="30" t="inlineStr">
        <is>
          <t>Yes</t>
        </is>
      </c>
      <c r="Z134" s="30" t="n"/>
      <c r="AA134" s="30" t="inlineStr">
        <is>
          <t>Good finish</t>
        </is>
      </c>
      <c r="AB134" s="30" t="inlineStr">
        <is>
          <t>Yes</t>
        </is>
      </c>
      <c r="AC134" s="27" t="n"/>
      <c r="AD134" s="31" t="inlineStr">
        <is>
          <t>No</t>
        </is>
      </c>
      <c r="AE134" s="32">
        <f>IF(W134="","",IF(Z134="Yes","❌ Disc",IF(Y134="No","⚠ Missing",IF(AB134="Yes","✓ OK","⚠ Check"))))</f>
        <v/>
      </c>
      <c r="AF134" s="33" t="n"/>
      <c r="AG134" s="33" t="n"/>
      <c r="AH134" s="33" t="n"/>
      <c r="AI134" s="33" t="n"/>
      <c r="AJ134" s="33" t="n"/>
      <c r="AK134" s="33" t="n"/>
      <c r="AL134" s="27" t="n"/>
      <c r="AM134" s="34" t="n"/>
      <c r="AN134" s="35">
        <f>IF(AF134="","",IF(AI134="Yes","❌ Disc",IF(AH134="No","⚠ Missing",IF(AK134="Yes","✓ OK","⚠ Check"))))</f>
        <v/>
      </c>
      <c r="AO134" s="36" t="n"/>
      <c r="AP134" s="36" t="n"/>
      <c r="AQ134" s="36" t="n"/>
      <c r="AR134" s="36" t="n"/>
      <c r="AS134" s="36" t="n"/>
      <c r="AT134" s="36" t="n"/>
      <c r="AU134" s="27" t="n"/>
      <c r="AV134" s="37" t="n"/>
      <c r="AW134" s="38">
        <f>IF(AO134="","",IF(AR134="Yes","❌ Disc",IF(AQ134="No","⚠ Missing",IF(AT134="Yes","✓ OK","⚠ Check"))))</f>
        <v/>
      </c>
    </row>
    <row r="135" ht="18" customHeight="1" s="46">
      <c r="A135" s="23" t="n">
        <v>131</v>
      </c>
      <c r="B135" s="24" t="inlineStr">
        <is>
          <t>BD-VRM-2024-3057</t>
        </is>
      </c>
      <c r="C135" s="25" t="inlineStr">
        <is>
          <t>Flava Louvers - Standard - TL WL 1809  9.5ft X 120mm</t>
        </is>
      </c>
      <c r="D135" s="23" t="inlineStr">
        <is>
          <t>Flava</t>
        </is>
      </c>
      <c r="E135" s="43" t="n">
        <v>46126</v>
      </c>
      <c r="F135" s="26" t="inlineStr">
        <is>
          <t>Sunil CR</t>
        </is>
      </c>
      <c r="G135" s="26" t="inlineStr">
        <is>
          <t>Yes</t>
        </is>
      </c>
      <c r="H135" s="26" t="inlineStr">
        <is>
          <t>No</t>
        </is>
      </c>
      <c r="I135" s="26" t="inlineStr">
        <is>
          <t>Good finish</t>
        </is>
      </c>
      <c r="J135" s="26" t="inlineStr">
        <is>
          <t>Yes</t>
        </is>
      </c>
      <c r="K135" s="27" t="n"/>
      <c r="L135" s="28" t="inlineStr">
        <is>
          <t>No</t>
        </is>
      </c>
      <c r="M135" s="29">
        <f>IF(E135="","",IF(H135="Yes","❌ Disc",IF(G135="No","⚠ Missing",IF(J135="Yes","✓ OK","⚠ Check"))))</f>
        <v/>
      </c>
      <c r="N135" s="43" t="n">
        <v>46193</v>
      </c>
      <c r="O135" s="26" t="inlineStr">
        <is>
          <t>Sunil CR</t>
        </is>
      </c>
      <c r="P135" s="26" t="inlineStr">
        <is>
          <t>Yes</t>
        </is>
      </c>
      <c r="Q135" s="26" t="inlineStr">
        <is>
          <t>No</t>
        </is>
      </c>
      <c r="R135" s="26" t="inlineStr">
        <is>
          <t>Good finish</t>
        </is>
      </c>
      <c r="S135" s="26" t="inlineStr">
        <is>
          <t>Yes</t>
        </is>
      </c>
      <c r="T135" s="27" t="n"/>
      <c r="U135" s="28" t="inlineStr">
        <is>
          <t>No</t>
        </is>
      </c>
      <c r="V135" s="29">
        <f>IF(N135="","",IF(Q135="Yes","❌ Disc",IF(P135="No","⚠ Missing",IF(S135="Yes","✓ OK","⚠ Check"))))</f>
        <v/>
      </c>
      <c r="W135" s="65" t="n">
        <v>46248</v>
      </c>
      <c r="X135" s="30" t="inlineStr">
        <is>
          <t>Sunil CR</t>
        </is>
      </c>
      <c r="Y135" s="30" t="inlineStr">
        <is>
          <t>Yes</t>
        </is>
      </c>
      <c r="Z135" s="30" t="n"/>
      <c r="AA135" s="30" t="inlineStr">
        <is>
          <t>Good finish</t>
        </is>
      </c>
      <c r="AB135" s="30" t="inlineStr">
        <is>
          <t>Yes</t>
        </is>
      </c>
      <c r="AC135" s="27" t="n"/>
      <c r="AD135" s="31" t="inlineStr">
        <is>
          <t>No</t>
        </is>
      </c>
      <c r="AE135" s="32">
        <f>IF(W135="","",IF(Z135="Yes","❌ Disc",IF(Y135="No","⚠ Missing",IF(AB135="Yes","✓ OK","⚠ Check"))))</f>
        <v/>
      </c>
      <c r="AF135" s="33" t="n"/>
      <c r="AG135" s="33" t="n"/>
      <c r="AH135" s="33" t="n"/>
      <c r="AI135" s="33" t="n"/>
      <c r="AJ135" s="33" t="n"/>
      <c r="AK135" s="33" t="n"/>
      <c r="AL135" s="27" t="n"/>
      <c r="AM135" s="34" t="n"/>
      <c r="AN135" s="35">
        <f>IF(AF135="","",IF(AI135="Yes","❌ Disc",IF(AH135="No","⚠ Missing",IF(AK135="Yes","✓ OK","⚠ Check"))))</f>
        <v/>
      </c>
      <c r="AO135" s="36" t="n"/>
      <c r="AP135" s="36" t="n"/>
      <c r="AQ135" s="36" t="n"/>
      <c r="AR135" s="36" t="n"/>
      <c r="AS135" s="36" t="n"/>
      <c r="AT135" s="36" t="n"/>
      <c r="AU135" s="27" t="n"/>
      <c r="AV135" s="37" t="n"/>
      <c r="AW135" s="38">
        <f>IF(AO135="","",IF(AR135="Yes","❌ Disc",IF(AQ135="No","⚠ Missing",IF(AT135="Yes","✓ OK","⚠ Check"))))</f>
        <v/>
      </c>
    </row>
    <row r="136" ht="18" customHeight="1" s="46">
      <c r="A136" s="39" t="n">
        <v>132</v>
      </c>
      <c r="B136" s="40" t="inlineStr">
        <is>
          <t>BD-VRM-2024-3058</t>
        </is>
      </c>
      <c r="C136" s="41" t="inlineStr">
        <is>
          <t>Flava Louvers - Standard - TL WL 1810 9.5ft X 120mm</t>
        </is>
      </c>
      <c r="D136" s="39" t="inlineStr">
        <is>
          <t>Flava</t>
        </is>
      </c>
      <c r="E136" s="43" t="n">
        <v>46126</v>
      </c>
      <c r="F136" s="26" t="inlineStr">
        <is>
          <t>Sunil CR</t>
        </is>
      </c>
      <c r="G136" s="26" t="inlineStr">
        <is>
          <t>Yes</t>
        </is>
      </c>
      <c r="H136" s="26" t="inlineStr">
        <is>
          <t>No</t>
        </is>
      </c>
      <c r="I136" s="26" t="inlineStr">
        <is>
          <t>Good finish</t>
        </is>
      </c>
      <c r="J136" s="26" t="inlineStr">
        <is>
          <t>Yes</t>
        </is>
      </c>
      <c r="K136" s="27" t="n"/>
      <c r="L136" s="28" t="inlineStr">
        <is>
          <t>No</t>
        </is>
      </c>
      <c r="M136" s="29">
        <f>IF(E136="","",IF(H136="Yes","❌ Disc",IF(G136="No","⚠ Missing",IF(J136="Yes","✓ OK","⚠ Check"))))</f>
        <v/>
      </c>
      <c r="N136" s="43" t="n">
        <v>46193</v>
      </c>
      <c r="O136" s="26" t="inlineStr">
        <is>
          <t>Sunil CR</t>
        </is>
      </c>
      <c r="P136" s="26" t="inlineStr">
        <is>
          <t>Yes</t>
        </is>
      </c>
      <c r="Q136" s="26" t="inlineStr">
        <is>
          <t>No</t>
        </is>
      </c>
      <c r="R136" s="26" t="inlineStr">
        <is>
          <t>Good finish</t>
        </is>
      </c>
      <c r="S136" s="26" t="inlineStr">
        <is>
          <t>Yes</t>
        </is>
      </c>
      <c r="T136" s="27" t="n"/>
      <c r="U136" s="28" t="inlineStr">
        <is>
          <t>No</t>
        </is>
      </c>
      <c r="V136" s="29">
        <f>IF(N136="","",IF(Q136="Yes","❌ Disc",IF(P136="No","⚠ Missing",IF(S136="Yes","✓ OK","⚠ Check"))))</f>
        <v/>
      </c>
      <c r="W136" s="65" t="n">
        <v>46248</v>
      </c>
      <c r="X136" s="30" t="inlineStr">
        <is>
          <t>Sunil CR</t>
        </is>
      </c>
      <c r="Y136" s="30" t="inlineStr">
        <is>
          <t>Yes</t>
        </is>
      </c>
      <c r="Z136" s="30" t="n"/>
      <c r="AA136" s="30" t="inlineStr">
        <is>
          <t>Good finish</t>
        </is>
      </c>
      <c r="AB136" s="30" t="inlineStr">
        <is>
          <t>Yes</t>
        </is>
      </c>
      <c r="AC136" s="27" t="n"/>
      <c r="AD136" s="31" t="inlineStr">
        <is>
          <t>No</t>
        </is>
      </c>
      <c r="AE136" s="32">
        <f>IF(W136="","",IF(Z136="Yes","❌ Disc",IF(Y136="No","⚠ Missing",IF(AB136="Yes","✓ OK","⚠ Check"))))</f>
        <v/>
      </c>
      <c r="AF136" s="33" t="n"/>
      <c r="AG136" s="33" t="n"/>
      <c r="AH136" s="33" t="n"/>
      <c r="AI136" s="33" t="n"/>
      <c r="AJ136" s="33" t="n"/>
      <c r="AK136" s="33" t="n"/>
      <c r="AL136" s="27" t="n"/>
      <c r="AM136" s="34" t="n"/>
      <c r="AN136" s="35">
        <f>IF(AF136="","",IF(AI136="Yes","❌ Disc",IF(AH136="No","⚠ Missing",IF(AK136="Yes","✓ OK","⚠ Check"))))</f>
        <v/>
      </c>
      <c r="AO136" s="36" t="n"/>
      <c r="AP136" s="36" t="n"/>
      <c r="AQ136" s="36" t="n"/>
      <c r="AR136" s="36" t="n"/>
      <c r="AS136" s="36" t="n"/>
      <c r="AT136" s="36" t="n"/>
      <c r="AU136" s="27" t="n"/>
      <c r="AV136" s="37" t="n"/>
      <c r="AW136" s="38">
        <f>IF(AO136="","",IF(AR136="Yes","❌ Disc",IF(AQ136="No","⚠ Missing",IF(AT136="Yes","✓ OK","⚠ Check"))))</f>
        <v/>
      </c>
    </row>
    <row r="137" ht="18" customHeight="1" s="46">
      <c r="A137" s="23" t="n">
        <v>133</v>
      </c>
      <c r="B137" s="24" t="inlineStr">
        <is>
          <t>BD-VRM-2024-3059</t>
        </is>
      </c>
      <c r="C137" s="25" t="inlineStr">
        <is>
          <t>Flava Louvers - Standard - TL WL 1811 9.5ft X 120mm</t>
        </is>
      </c>
      <c r="D137" s="23" t="inlineStr">
        <is>
          <t>Flava</t>
        </is>
      </c>
      <c r="E137" s="43" t="n">
        <v>46126</v>
      </c>
      <c r="F137" s="26" t="inlineStr">
        <is>
          <t>Sunil CR</t>
        </is>
      </c>
      <c r="G137" s="26" t="inlineStr">
        <is>
          <t>Yes</t>
        </is>
      </c>
      <c r="H137" s="26" t="inlineStr">
        <is>
          <t>No</t>
        </is>
      </c>
      <c r="I137" s="26" t="inlineStr">
        <is>
          <t>Good finish</t>
        </is>
      </c>
      <c r="J137" s="26" t="inlineStr">
        <is>
          <t>Yes</t>
        </is>
      </c>
      <c r="K137" s="27" t="n"/>
      <c r="L137" s="28" t="inlineStr">
        <is>
          <t>No</t>
        </is>
      </c>
      <c r="M137" s="29">
        <f>IF(E137="","",IF(H137="Yes","❌ Disc",IF(G137="No","⚠ Missing",IF(J137="Yes","✓ OK","⚠ Check"))))</f>
        <v/>
      </c>
      <c r="N137" s="43" t="n">
        <v>46193</v>
      </c>
      <c r="O137" s="26" t="inlineStr">
        <is>
          <t>Sunil CR</t>
        </is>
      </c>
      <c r="P137" s="26" t="inlineStr">
        <is>
          <t>Yes</t>
        </is>
      </c>
      <c r="Q137" s="26" t="inlineStr">
        <is>
          <t>No</t>
        </is>
      </c>
      <c r="R137" s="26" t="inlineStr">
        <is>
          <t>Good finish</t>
        </is>
      </c>
      <c r="S137" s="26" t="inlineStr">
        <is>
          <t>Yes</t>
        </is>
      </c>
      <c r="T137" s="27" t="n"/>
      <c r="U137" s="28" t="inlineStr">
        <is>
          <t>No</t>
        </is>
      </c>
      <c r="V137" s="29">
        <f>IF(N137="","",IF(Q137="Yes","❌ Disc",IF(P137="No","⚠ Missing",IF(S137="Yes","✓ OK","⚠ Check"))))</f>
        <v/>
      </c>
      <c r="W137" s="65" t="n">
        <v>46248</v>
      </c>
      <c r="X137" s="30" t="inlineStr">
        <is>
          <t>Sunil CR</t>
        </is>
      </c>
      <c r="Y137" s="30" t="inlineStr">
        <is>
          <t>Yes</t>
        </is>
      </c>
      <c r="Z137" s="30" t="n"/>
      <c r="AA137" s="30" t="inlineStr">
        <is>
          <t>Good finish</t>
        </is>
      </c>
      <c r="AB137" s="30" t="inlineStr">
        <is>
          <t>Yes</t>
        </is>
      </c>
      <c r="AC137" s="27" t="n"/>
      <c r="AD137" s="31" t="inlineStr">
        <is>
          <t>No</t>
        </is>
      </c>
      <c r="AE137" s="32">
        <f>IF(W137="","",IF(Z137="Yes","❌ Disc",IF(Y137="No","⚠ Missing",IF(AB137="Yes","✓ OK","⚠ Check"))))</f>
        <v/>
      </c>
      <c r="AF137" s="33" t="n"/>
      <c r="AG137" s="33" t="n"/>
      <c r="AH137" s="33" t="n"/>
      <c r="AI137" s="33" t="n"/>
      <c r="AJ137" s="33" t="n"/>
      <c r="AK137" s="33" t="n"/>
      <c r="AL137" s="27" t="n"/>
      <c r="AM137" s="34" t="n"/>
      <c r="AN137" s="35">
        <f>IF(AF137="","",IF(AI137="Yes","❌ Disc",IF(AH137="No","⚠ Missing",IF(AK137="Yes","✓ OK","⚠ Check"))))</f>
        <v/>
      </c>
      <c r="AO137" s="36" t="n"/>
      <c r="AP137" s="36" t="n"/>
      <c r="AQ137" s="36" t="n"/>
      <c r="AR137" s="36" t="n"/>
      <c r="AS137" s="36" t="n"/>
      <c r="AT137" s="36" t="n"/>
      <c r="AU137" s="27" t="n"/>
      <c r="AV137" s="37" t="n"/>
      <c r="AW137" s="38">
        <f>IF(AO137="","",IF(AR137="Yes","❌ Disc",IF(AQ137="No","⚠ Missing",IF(AT137="Yes","✓ OK","⚠ Check"))))</f>
        <v/>
      </c>
    </row>
    <row r="138" ht="18" customHeight="1" s="46">
      <c r="A138" s="39" t="n">
        <v>134</v>
      </c>
      <c r="B138" s="40" t="inlineStr">
        <is>
          <t>BD-VRM-2024-3060</t>
        </is>
      </c>
      <c r="C138" s="41" t="inlineStr">
        <is>
          <t>Flava Louvers - Standard - TL WL 1812 9.5ft X 120mm</t>
        </is>
      </c>
      <c r="D138" s="39" t="inlineStr">
        <is>
          <t>Flava</t>
        </is>
      </c>
      <c r="E138" s="43" t="n">
        <v>46126</v>
      </c>
      <c r="F138" s="26" t="inlineStr">
        <is>
          <t>Sunil CR</t>
        </is>
      </c>
      <c r="G138" s="26" t="inlineStr">
        <is>
          <t>Yes</t>
        </is>
      </c>
      <c r="H138" s="26" t="inlineStr">
        <is>
          <t>No</t>
        </is>
      </c>
      <c r="I138" s="26" t="inlineStr">
        <is>
          <t>Good finish</t>
        </is>
      </c>
      <c r="J138" s="26" t="inlineStr">
        <is>
          <t>Yes</t>
        </is>
      </c>
      <c r="K138" s="27" t="n"/>
      <c r="L138" s="28" t="inlineStr">
        <is>
          <t>No</t>
        </is>
      </c>
      <c r="M138" s="29">
        <f>IF(E138="","",IF(H138="Yes","❌ Disc",IF(G138="No","⚠ Missing",IF(J138="Yes","✓ OK","⚠ Check"))))</f>
        <v/>
      </c>
      <c r="N138" s="43" t="n">
        <v>46193</v>
      </c>
      <c r="O138" s="26" t="inlineStr">
        <is>
          <t>Sunil CR</t>
        </is>
      </c>
      <c r="P138" s="26" t="inlineStr">
        <is>
          <t>Yes</t>
        </is>
      </c>
      <c r="Q138" s="26" t="inlineStr">
        <is>
          <t>No</t>
        </is>
      </c>
      <c r="R138" s="26" t="inlineStr">
        <is>
          <t>Good finish</t>
        </is>
      </c>
      <c r="S138" s="26" t="inlineStr">
        <is>
          <t>Yes</t>
        </is>
      </c>
      <c r="T138" s="27" t="n"/>
      <c r="U138" s="28" t="inlineStr">
        <is>
          <t>No</t>
        </is>
      </c>
      <c r="V138" s="29">
        <f>IF(N138="","",IF(Q138="Yes","❌ Disc",IF(P138="No","⚠ Missing",IF(S138="Yes","✓ OK","⚠ Check"))))</f>
        <v/>
      </c>
      <c r="W138" s="65" t="n">
        <v>46248</v>
      </c>
      <c r="X138" s="30" t="inlineStr">
        <is>
          <t>Sunil CR</t>
        </is>
      </c>
      <c r="Y138" s="30" t="inlineStr">
        <is>
          <t>Yes</t>
        </is>
      </c>
      <c r="Z138" s="30" t="n"/>
      <c r="AA138" s="30" t="inlineStr">
        <is>
          <t>Good finish</t>
        </is>
      </c>
      <c r="AB138" s="30" t="inlineStr">
        <is>
          <t>Yes</t>
        </is>
      </c>
      <c r="AC138" s="27" t="n"/>
      <c r="AD138" s="31" t="inlineStr">
        <is>
          <t>No</t>
        </is>
      </c>
      <c r="AE138" s="32">
        <f>IF(W138="","",IF(Z138="Yes","❌ Disc",IF(Y138="No","⚠ Missing",IF(AB138="Yes","✓ OK","⚠ Check"))))</f>
        <v/>
      </c>
      <c r="AF138" s="33" t="n"/>
      <c r="AG138" s="33" t="n"/>
      <c r="AH138" s="33" t="n"/>
      <c r="AI138" s="33" t="n"/>
      <c r="AJ138" s="33" t="n"/>
      <c r="AK138" s="33" t="n"/>
      <c r="AL138" s="27" t="n"/>
      <c r="AM138" s="34" t="n"/>
      <c r="AN138" s="35">
        <f>IF(AF138="","",IF(AI138="Yes","❌ Disc",IF(AH138="No","⚠ Missing",IF(AK138="Yes","✓ OK","⚠ Check"))))</f>
        <v/>
      </c>
      <c r="AO138" s="36" t="n"/>
      <c r="AP138" s="36" t="n"/>
      <c r="AQ138" s="36" t="n"/>
      <c r="AR138" s="36" t="n"/>
      <c r="AS138" s="36" t="n"/>
      <c r="AT138" s="36" t="n"/>
      <c r="AU138" s="27" t="n"/>
      <c r="AV138" s="37" t="n"/>
      <c r="AW138" s="38">
        <f>IF(AO138="","",IF(AR138="Yes","❌ Disc",IF(AQ138="No","⚠ Missing",IF(AT138="Yes","✓ OK","⚠ Check"))))</f>
        <v/>
      </c>
    </row>
    <row r="139" ht="18" customHeight="1" s="46">
      <c r="A139" s="23" t="n">
        <v>135</v>
      </c>
      <c r="B139" s="24" t="inlineStr">
        <is>
          <t>BD-VRM-2024-3061</t>
        </is>
      </c>
      <c r="C139" s="25" t="inlineStr">
        <is>
          <t>Flava Louvers - Standard - TL WL 1813 9.5ft X 120mm</t>
        </is>
      </c>
      <c r="D139" s="23" t="inlineStr">
        <is>
          <t>Flava</t>
        </is>
      </c>
      <c r="E139" s="43" t="n">
        <v>46126</v>
      </c>
      <c r="F139" s="26" t="inlineStr">
        <is>
          <t>Sunil CR</t>
        </is>
      </c>
      <c r="G139" s="26" t="inlineStr">
        <is>
          <t>Yes</t>
        </is>
      </c>
      <c r="H139" s="26" t="inlineStr">
        <is>
          <t>No</t>
        </is>
      </c>
      <c r="I139" s="26" t="inlineStr">
        <is>
          <t>Good finish</t>
        </is>
      </c>
      <c r="J139" s="26" t="inlineStr">
        <is>
          <t>Yes</t>
        </is>
      </c>
      <c r="K139" s="27" t="n"/>
      <c r="L139" s="28" t="inlineStr">
        <is>
          <t>No</t>
        </is>
      </c>
      <c r="M139" s="29">
        <f>IF(E139="","",IF(H139="Yes","❌ Disc",IF(G139="No","⚠ Missing",IF(J139="Yes","✓ OK","⚠ Check"))))</f>
        <v/>
      </c>
      <c r="N139" s="43" t="n">
        <v>46193</v>
      </c>
      <c r="O139" s="26" t="inlineStr">
        <is>
          <t>Sunil CR</t>
        </is>
      </c>
      <c r="P139" s="26" t="inlineStr">
        <is>
          <t>Yes</t>
        </is>
      </c>
      <c r="Q139" s="26" t="inlineStr">
        <is>
          <t>No</t>
        </is>
      </c>
      <c r="R139" s="26" t="inlineStr">
        <is>
          <t>Good finish</t>
        </is>
      </c>
      <c r="S139" s="26" t="inlineStr">
        <is>
          <t>Yes</t>
        </is>
      </c>
      <c r="T139" s="27" t="n"/>
      <c r="U139" s="28" t="inlineStr">
        <is>
          <t>No</t>
        </is>
      </c>
      <c r="V139" s="29">
        <f>IF(N139="","",IF(Q139="Yes","❌ Disc",IF(P139="No","⚠ Missing",IF(S139="Yes","✓ OK","⚠ Check"))))</f>
        <v/>
      </c>
      <c r="W139" s="65" t="n">
        <v>46248</v>
      </c>
      <c r="X139" s="30" t="inlineStr">
        <is>
          <t>Sunil CR</t>
        </is>
      </c>
      <c r="Y139" s="30" t="inlineStr">
        <is>
          <t>Yes</t>
        </is>
      </c>
      <c r="Z139" s="30" t="n"/>
      <c r="AA139" s="30" t="inlineStr">
        <is>
          <t>Good finish</t>
        </is>
      </c>
      <c r="AB139" s="30" t="inlineStr">
        <is>
          <t>Yes</t>
        </is>
      </c>
      <c r="AC139" s="27" t="n"/>
      <c r="AD139" s="31" t="inlineStr">
        <is>
          <t>No</t>
        </is>
      </c>
      <c r="AE139" s="32">
        <f>IF(W139="","",IF(Z139="Yes","❌ Disc",IF(Y139="No","⚠ Missing",IF(AB139="Yes","✓ OK","⚠ Check"))))</f>
        <v/>
      </c>
      <c r="AF139" s="33" t="n"/>
      <c r="AG139" s="33" t="n"/>
      <c r="AH139" s="33" t="n"/>
      <c r="AI139" s="33" t="n"/>
      <c r="AJ139" s="33" t="n"/>
      <c r="AK139" s="33" t="n"/>
      <c r="AL139" s="27" t="n"/>
      <c r="AM139" s="34" t="n"/>
      <c r="AN139" s="35">
        <f>IF(AF139="","",IF(AI139="Yes","❌ Disc",IF(AH139="No","⚠ Missing",IF(AK139="Yes","✓ OK","⚠ Check"))))</f>
        <v/>
      </c>
      <c r="AO139" s="36" t="n"/>
      <c r="AP139" s="36" t="n"/>
      <c r="AQ139" s="36" t="n"/>
      <c r="AR139" s="36" t="n"/>
      <c r="AS139" s="36" t="n"/>
      <c r="AT139" s="36" t="n"/>
      <c r="AU139" s="27" t="n"/>
      <c r="AV139" s="37" t="n"/>
      <c r="AW139" s="38">
        <f>IF(AO139="","",IF(AR139="Yes","❌ Disc",IF(AQ139="No","⚠ Missing",IF(AT139="Yes","✓ OK","⚠ Check"))))</f>
        <v/>
      </c>
    </row>
    <row r="140" ht="18" customHeight="1" s="46">
      <c r="A140" s="39" t="n">
        <v>136</v>
      </c>
      <c r="B140" s="40" t="inlineStr">
        <is>
          <t>BD-VRM-2024-3063</t>
        </is>
      </c>
      <c r="C140" s="41" t="inlineStr">
        <is>
          <t>Flava Louvers - Standard - TL WL 1815 9.5ft X 120mm</t>
        </is>
      </c>
      <c r="D140" s="39" t="inlineStr">
        <is>
          <t>Flava</t>
        </is>
      </c>
      <c r="E140" s="43" t="n">
        <v>46126</v>
      </c>
      <c r="F140" s="26" t="inlineStr">
        <is>
          <t>Sunil CR</t>
        </is>
      </c>
      <c r="G140" s="26" t="inlineStr">
        <is>
          <t>Yes</t>
        </is>
      </c>
      <c r="H140" s="26" t="inlineStr">
        <is>
          <t>No</t>
        </is>
      </c>
      <c r="I140" s="26" t="inlineStr">
        <is>
          <t>Good finish</t>
        </is>
      </c>
      <c r="J140" s="26" t="inlineStr">
        <is>
          <t>Yes</t>
        </is>
      </c>
      <c r="K140" s="27" t="n"/>
      <c r="L140" s="28" t="inlineStr">
        <is>
          <t>No</t>
        </is>
      </c>
      <c r="M140" s="29">
        <f>IF(E140="","",IF(H140="Yes","❌ Disc",IF(G140="No","⚠ Missing",IF(J140="Yes","✓ OK","⚠ Check"))))</f>
        <v/>
      </c>
      <c r="N140" s="43" t="n">
        <v>46193</v>
      </c>
      <c r="O140" s="26" t="inlineStr">
        <is>
          <t>Sunil CR</t>
        </is>
      </c>
      <c r="P140" s="26" t="inlineStr">
        <is>
          <t>Yes</t>
        </is>
      </c>
      <c r="Q140" s="26" t="inlineStr">
        <is>
          <t>No</t>
        </is>
      </c>
      <c r="R140" s="26" t="inlineStr">
        <is>
          <t>Good finish</t>
        </is>
      </c>
      <c r="S140" s="26" t="inlineStr">
        <is>
          <t>Yes</t>
        </is>
      </c>
      <c r="T140" s="27" t="n"/>
      <c r="U140" s="28" t="inlineStr">
        <is>
          <t>No</t>
        </is>
      </c>
      <c r="V140" s="29">
        <f>IF(N140="","",IF(Q140="Yes","❌ Disc",IF(P140="No","⚠ Missing",IF(S140="Yes","✓ OK","⚠ Check"))))</f>
        <v/>
      </c>
      <c r="W140" s="65" t="n">
        <v>46248</v>
      </c>
      <c r="X140" s="30" t="inlineStr">
        <is>
          <t>Sunil CR</t>
        </is>
      </c>
      <c r="Y140" s="30" t="inlineStr">
        <is>
          <t>Yes</t>
        </is>
      </c>
      <c r="Z140" s="30" t="n"/>
      <c r="AA140" s="30" t="inlineStr">
        <is>
          <t>Good finish</t>
        </is>
      </c>
      <c r="AB140" s="30" t="inlineStr">
        <is>
          <t>Yes</t>
        </is>
      </c>
      <c r="AC140" s="27" t="n"/>
      <c r="AD140" s="31" t="inlineStr">
        <is>
          <t>No</t>
        </is>
      </c>
      <c r="AE140" s="32">
        <f>IF(W140="","",IF(Z140="Yes","❌ Disc",IF(Y140="No","⚠ Missing",IF(AB140="Yes","✓ OK","⚠ Check"))))</f>
        <v/>
      </c>
      <c r="AF140" s="33" t="n"/>
      <c r="AG140" s="33" t="n"/>
      <c r="AH140" s="33" t="n"/>
      <c r="AI140" s="33" t="n"/>
      <c r="AJ140" s="33" t="n"/>
      <c r="AK140" s="33" t="n"/>
      <c r="AL140" s="27" t="n"/>
      <c r="AM140" s="34" t="n"/>
      <c r="AN140" s="35">
        <f>IF(AF140="","",IF(AI140="Yes","❌ Disc",IF(AH140="No","⚠ Missing",IF(AK140="Yes","✓ OK","⚠ Check"))))</f>
        <v/>
      </c>
      <c r="AO140" s="36" t="n"/>
      <c r="AP140" s="36" t="n"/>
      <c r="AQ140" s="36" t="n"/>
      <c r="AR140" s="36" t="n"/>
      <c r="AS140" s="36" t="n"/>
      <c r="AT140" s="36" t="n"/>
      <c r="AU140" s="27" t="n"/>
      <c r="AV140" s="37" t="n"/>
      <c r="AW140" s="38">
        <f>IF(AO140="","",IF(AR140="Yes","❌ Disc",IF(AQ140="No","⚠ Missing",IF(AT140="Yes","✓ OK","⚠ Check"))))</f>
        <v/>
      </c>
    </row>
    <row r="141" ht="18" customHeight="1" s="46">
      <c r="A141" s="23" t="n">
        <v>137</v>
      </c>
      <c r="B141" s="24" t="inlineStr">
        <is>
          <t>BD-VRM-2024-3048</t>
        </is>
      </c>
      <c r="C141" s="25" t="inlineStr">
        <is>
          <t>Flava Louvers - Standard - TL WL 1816 9.5ft X 120mm</t>
        </is>
      </c>
      <c r="D141" s="23" t="inlineStr">
        <is>
          <t>Flava</t>
        </is>
      </c>
      <c r="E141" s="43" t="n">
        <v>46126</v>
      </c>
      <c r="F141" s="26" t="inlineStr">
        <is>
          <t>Sunil CR</t>
        </is>
      </c>
      <c r="G141" s="26" t="inlineStr">
        <is>
          <t>Yes</t>
        </is>
      </c>
      <c r="H141" s="26" t="inlineStr">
        <is>
          <t>No</t>
        </is>
      </c>
      <c r="I141" s="26" t="inlineStr">
        <is>
          <t>Good finish</t>
        </is>
      </c>
      <c r="J141" s="26" t="inlineStr">
        <is>
          <t>Yes</t>
        </is>
      </c>
      <c r="K141" s="27" t="n"/>
      <c r="L141" s="28" t="inlineStr">
        <is>
          <t>No</t>
        </is>
      </c>
      <c r="M141" s="29">
        <f>IF(E141="","",IF(H141="Yes","❌ Disc",IF(G141="No","⚠ Missing",IF(J141="Yes","✓ OK","⚠ Check"))))</f>
        <v/>
      </c>
      <c r="N141" s="43" t="n">
        <v>46193</v>
      </c>
      <c r="O141" s="26" t="inlineStr">
        <is>
          <t>Sunil CR</t>
        </is>
      </c>
      <c r="P141" s="26" t="inlineStr">
        <is>
          <t>Yes</t>
        </is>
      </c>
      <c r="Q141" s="26" t="inlineStr">
        <is>
          <t>No</t>
        </is>
      </c>
      <c r="R141" s="26" t="inlineStr">
        <is>
          <t>Good finish</t>
        </is>
      </c>
      <c r="S141" s="26" t="inlineStr">
        <is>
          <t>Yes</t>
        </is>
      </c>
      <c r="T141" s="27" t="n"/>
      <c r="U141" s="28" t="inlineStr">
        <is>
          <t>No</t>
        </is>
      </c>
      <c r="V141" s="29">
        <f>IF(N141="","",IF(Q141="Yes","❌ Disc",IF(P141="No","⚠ Missing",IF(S141="Yes","✓ OK","⚠ Check"))))</f>
        <v/>
      </c>
      <c r="W141" s="65" t="n">
        <v>46248</v>
      </c>
      <c r="X141" s="30" t="inlineStr">
        <is>
          <t>Sunil CR</t>
        </is>
      </c>
      <c r="Y141" s="30" t="inlineStr">
        <is>
          <t>Yes</t>
        </is>
      </c>
      <c r="Z141" s="30" t="n"/>
      <c r="AA141" s="30" t="inlineStr">
        <is>
          <t>Good finish</t>
        </is>
      </c>
      <c r="AB141" s="30" t="inlineStr">
        <is>
          <t>Yes</t>
        </is>
      </c>
      <c r="AC141" s="27" t="n"/>
      <c r="AD141" s="31" t="inlineStr">
        <is>
          <t>No</t>
        </is>
      </c>
      <c r="AE141" s="32">
        <f>IF(W141="","",IF(Z141="Yes","❌ Disc",IF(Y141="No","⚠ Missing",IF(AB141="Yes","✓ OK","⚠ Check"))))</f>
        <v/>
      </c>
      <c r="AF141" s="33" t="n"/>
      <c r="AG141" s="33" t="n"/>
      <c r="AH141" s="33" t="n"/>
      <c r="AI141" s="33" t="n"/>
      <c r="AJ141" s="33" t="n"/>
      <c r="AK141" s="33" t="n"/>
      <c r="AL141" s="27" t="n"/>
      <c r="AM141" s="34" t="n"/>
      <c r="AN141" s="35">
        <f>IF(AF141="","",IF(AI141="Yes","❌ Disc",IF(AH141="No","⚠ Missing",IF(AK141="Yes","✓ OK","⚠ Check"))))</f>
        <v/>
      </c>
      <c r="AO141" s="36" t="n"/>
      <c r="AP141" s="36" t="n"/>
      <c r="AQ141" s="36" t="n"/>
      <c r="AR141" s="36" t="n"/>
      <c r="AS141" s="36" t="n"/>
      <c r="AT141" s="36" t="n"/>
      <c r="AU141" s="27" t="n"/>
      <c r="AV141" s="37" t="n"/>
      <c r="AW141" s="38">
        <f>IF(AO141="","",IF(AR141="Yes","❌ Disc",IF(AQ141="No","⚠ Missing",IF(AT141="Yes","✓ OK","⚠ Check"))))</f>
        <v/>
      </c>
    </row>
    <row r="142" ht="18" customHeight="1" s="46">
      <c r="A142" s="39" t="n">
        <v>138</v>
      </c>
      <c r="B142" s="40" t="inlineStr">
        <is>
          <t>BD-VRM-2024-3049</t>
        </is>
      </c>
      <c r="C142" s="41" t="inlineStr">
        <is>
          <t>Flava Louvers - Standard - TL WL 1817 9.5ft X 120mm</t>
        </is>
      </c>
      <c r="D142" s="39" t="inlineStr">
        <is>
          <t>Flava</t>
        </is>
      </c>
      <c r="E142" s="43" t="n">
        <v>46126</v>
      </c>
      <c r="F142" s="26" t="inlineStr">
        <is>
          <t>Sunil CR</t>
        </is>
      </c>
      <c r="G142" s="26" t="inlineStr">
        <is>
          <t>Yes</t>
        </is>
      </c>
      <c r="H142" s="26" t="inlineStr">
        <is>
          <t>No</t>
        </is>
      </c>
      <c r="I142" s="26" t="inlineStr">
        <is>
          <t>Good finish</t>
        </is>
      </c>
      <c r="J142" s="26" t="inlineStr">
        <is>
          <t>Yes</t>
        </is>
      </c>
      <c r="K142" s="27" t="n"/>
      <c r="L142" s="28" t="inlineStr">
        <is>
          <t>No</t>
        </is>
      </c>
      <c r="M142" s="29">
        <f>IF(E142="","",IF(H142="Yes","❌ Disc",IF(G142="No","⚠ Missing",IF(J142="Yes","✓ OK","⚠ Check"))))</f>
        <v/>
      </c>
      <c r="N142" s="43" t="n">
        <v>46193</v>
      </c>
      <c r="O142" s="26" t="inlineStr">
        <is>
          <t>Sunil CR</t>
        </is>
      </c>
      <c r="P142" s="26" t="inlineStr">
        <is>
          <t>Yes</t>
        </is>
      </c>
      <c r="Q142" s="26" t="inlineStr">
        <is>
          <t>No</t>
        </is>
      </c>
      <c r="R142" s="26" t="inlineStr">
        <is>
          <t>Good finish</t>
        </is>
      </c>
      <c r="S142" s="26" t="inlineStr">
        <is>
          <t>Yes</t>
        </is>
      </c>
      <c r="T142" s="27" t="n"/>
      <c r="U142" s="28" t="inlineStr">
        <is>
          <t>No</t>
        </is>
      </c>
      <c r="V142" s="29">
        <f>IF(N142="","",IF(Q142="Yes","❌ Disc",IF(P142="No","⚠ Missing",IF(S142="Yes","✓ OK","⚠ Check"))))</f>
        <v/>
      </c>
      <c r="W142" s="65" t="n">
        <v>46248</v>
      </c>
      <c r="X142" s="30" t="inlineStr">
        <is>
          <t>Sunil CR</t>
        </is>
      </c>
      <c r="Y142" s="30" t="inlineStr">
        <is>
          <t>Yes</t>
        </is>
      </c>
      <c r="Z142" s="30" t="n"/>
      <c r="AA142" s="30" t="inlineStr">
        <is>
          <t>Good finish</t>
        </is>
      </c>
      <c r="AB142" s="30" t="inlineStr">
        <is>
          <t>Yes</t>
        </is>
      </c>
      <c r="AC142" s="27" t="n"/>
      <c r="AD142" s="31" t="inlineStr">
        <is>
          <t>No</t>
        </is>
      </c>
      <c r="AE142" s="32">
        <f>IF(W142="","",IF(Z142="Yes","❌ Disc",IF(Y142="No","⚠ Missing",IF(AB142="Yes","✓ OK","⚠ Check"))))</f>
        <v/>
      </c>
      <c r="AF142" s="33" t="n"/>
      <c r="AG142" s="33" t="n"/>
      <c r="AH142" s="33" t="n"/>
      <c r="AI142" s="33" t="n"/>
      <c r="AJ142" s="33" t="n"/>
      <c r="AK142" s="33" t="n"/>
      <c r="AL142" s="27" t="n"/>
      <c r="AM142" s="34" t="n"/>
      <c r="AN142" s="35">
        <f>IF(AF142="","",IF(AI142="Yes","❌ Disc",IF(AH142="No","⚠ Missing",IF(AK142="Yes","✓ OK","⚠ Check"))))</f>
        <v/>
      </c>
      <c r="AO142" s="36" t="n"/>
      <c r="AP142" s="36" t="n"/>
      <c r="AQ142" s="36" t="n"/>
      <c r="AR142" s="36" t="n"/>
      <c r="AS142" s="36" t="n"/>
      <c r="AT142" s="36" t="n"/>
      <c r="AU142" s="27" t="n"/>
      <c r="AV142" s="37" t="n"/>
      <c r="AW142" s="38">
        <f>IF(AO142="","",IF(AR142="Yes","❌ Disc",IF(AQ142="No","⚠ Missing",IF(AT142="Yes","✓ OK","⚠ Check"))))</f>
        <v/>
      </c>
    </row>
    <row r="143" ht="18" customHeight="1" s="46">
      <c r="A143" s="23" t="n">
        <v>139</v>
      </c>
      <c r="B143" s="24" t="inlineStr">
        <is>
          <t>BD-VRM-2024-3050</t>
        </is>
      </c>
      <c r="C143" s="25" t="inlineStr">
        <is>
          <t>Flava Louvers - Standard - TL WL 1818 9.5ft X 120mm</t>
        </is>
      </c>
      <c r="D143" s="23" t="inlineStr">
        <is>
          <t>Flava</t>
        </is>
      </c>
      <c r="E143" s="43" t="n">
        <v>46126</v>
      </c>
      <c r="F143" s="26" t="inlineStr">
        <is>
          <t>Sunil CR</t>
        </is>
      </c>
      <c r="G143" s="26" t="inlineStr">
        <is>
          <t>Yes</t>
        </is>
      </c>
      <c r="H143" s="26" t="inlineStr">
        <is>
          <t>No</t>
        </is>
      </c>
      <c r="I143" s="26" t="inlineStr">
        <is>
          <t>Good finish</t>
        </is>
      </c>
      <c r="J143" s="26" t="inlineStr">
        <is>
          <t>Yes</t>
        </is>
      </c>
      <c r="K143" s="27" t="n"/>
      <c r="L143" s="28" t="inlineStr">
        <is>
          <t>No</t>
        </is>
      </c>
      <c r="M143" s="29">
        <f>IF(E143="","",IF(H143="Yes","❌ Disc",IF(G143="No","⚠ Missing",IF(J143="Yes","✓ OK","⚠ Check"))))</f>
        <v/>
      </c>
      <c r="N143" s="43" t="n">
        <v>46193</v>
      </c>
      <c r="O143" s="26" t="inlineStr">
        <is>
          <t>Sunil CR</t>
        </is>
      </c>
      <c r="P143" s="26" t="inlineStr">
        <is>
          <t>Yes</t>
        </is>
      </c>
      <c r="Q143" s="26" t="inlineStr">
        <is>
          <t>No</t>
        </is>
      </c>
      <c r="R143" s="26" t="inlineStr">
        <is>
          <t>Good finish</t>
        </is>
      </c>
      <c r="S143" s="26" t="inlineStr">
        <is>
          <t>Yes</t>
        </is>
      </c>
      <c r="T143" s="27" t="n"/>
      <c r="U143" s="28" t="inlineStr">
        <is>
          <t>No</t>
        </is>
      </c>
      <c r="V143" s="29">
        <f>IF(N143="","",IF(Q143="Yes","❌ Disc",IF(P143="No","⚠ Missing",IF(S143="Yes","✓ OK","⚠ Check"))))</f>
        <v/>
      </c>
      <c r="W143" s="65" t="n">
        <v>46248</v>
      </c>
      <c r="X143" s="30" t="inlineStr">
        <is>
          <t>Sunil CR</t>
        </is>
      </c>
      <c r="Y143" s="30" t="inlineStr">
        <is>
          <t>Yes</t>
        </is>
      </c>
      <c r="Z143" s="30" t="n"/>
      <c r="AA143" s="30" t="inlineStr">
        <is>
          <t>Good finish</t>
        </is>
      </c>
      <c r="AB143" s="30" t="inlineStr">
        <is>
          <t>Yes</t>
        </is>
      </c>
      <c r="AC143" s="27" t="n"/>
      <c r="AD143" s="31" t="inlineStr">
        <is>
          <t>No</t>
        </is>
      </c>
      <c r="AE143" s="32">
        <f>IF(W143="","",IF(Z143="Yes","❌ Disc",IF(Y143="No","⚠ Missing",IF(AB143="Yes","✓ OK","⚠ Check"))))</f>
        <v/>
      </c>
      <c r="AF143" s="33" t="n"/>
      <c r="AG143" s="33" t="n"/>
      <c r="AH143" s="33" t="n"/>
      <c r="AI143" s="33" t="n"/>
      <c r="AJ143" s="33" t="n"/>
      <c r="AK143" s="33" t="n"/>
      <c r="AL143" s="27" t="n"/>
      <c r="AM143" s="34" t="n"/>
      <c r="AN143" s="35">
        <f>IF(AF143="","",IF(AI143="Yes","❌ Disc",IF(AH143="No","⚠ Missing",IF(AK143="Yes","✓ OK","⚠ Check"))))</f>
        <v/>
      </c>
      <c r="AO143" s="36" t="n"/>
      <c r="AP143" s="36" t="n"/>
      <c r="AQ143" s="36" t="n"/>
      <c r="AR143" s="36" t="n"/>
      <c r="AS143" s="36" t="n"/>
      <c r="AT143" s="36" t="n"/>
      <c r="AU143" s="27" t="n"/>
      <c r="AV143" s="37" t="n"/>
      <c r="AW143" s="38">
        <f>IF(AO143="","",IF(AR143="Yes","❌ Disc",IF(AQ143="No","⚠ Missing",IF(AT143="Yes","✓ OK","⚠ Check"))))</f>
        <v/>
      </c>
    </row>
    <row r="144" ht="18" customHeight="1" s="46">
      <c r="A144" s="39" t="n">
        <v>140</v>
      </c>
      <c r="B144" s="40" t="inlineStr">
        <is>
          <t>BD-VRM-2024-3051</t>
        </is>
      </c>
      <c r="C144" s="41" t="inlineStr">
        <is>
          <t>Flava Louvers - Standard - TL WL 1819 9.5ft X 120mm</t>
        </is>
      </c>
      <c r="D144" s="39" t="inlineStr">
        <is>
          <t>Flava</t>
        </is>
      </c>
      <c r="E144" s="43" t="n">
        <v>46126</v>
      </c>
      <c r="F144" s="26" t="inlineStr">
        <is>
          <t>Sunil CR</t>
        </is>
      </c>
      <c r="G144" s="26" t="inlineStr">
        <is>
          <t>Yes</t>
        </is>
      </c>
      <c r="H144" s="26" t="inlineStr">
        <is>
          <t>No</t>
        </is>
      </c>
      <c r="I144" s="26" t="inlineStr">
        <is>
          <t>Good finish</t>
        </is>
      </c>
      <c r="J144" s="26" t="inlineStr">
        <is>
          <t>Yes</t>
        </is>
      </c>
      <c r="K144" s="27" t="n"/>
      <c r="L144" s="28" t="inlineStr">
        <is>
          <t>No</t>
        </is>
      </c>
      <c r="M144" s="29">
        <f>IF(E144="","",IF(H144="Yes","❌ Disc",IF(G144="No","⚠ Missing",IF(J144="Yes","✓ OK","⚠ Check"))))</f>
        <v/>
      </c>
      <c r="N144" s="43" t="n">
        <v>46193</v>
      </c>
      <c r="O144" s="26" t="inlineStr">
        <is>
          <t>Sunil CR</t>
        </is>
      </c>
      <c r="P144" s="26" t="inlineStr">
        <is>
          <t>Yes</t>
        </is>
      </c>
      <c r="Q144" s="26" t="inlineStr">
        <is>
          <t>No</t>
        </is>
      </c>
      <c r="R144" s="26" t="inlineStr">
        <is>
          <t>Good finish</t>
        </is>
      </c>
      <c r="S144" s="26" t="inlineStr">
        <is>
          <t>Yes</t>
        </is>
      </c>
      <c r="T144" s="27" t="n"/>
      <c r="U144" s="28" t="inlineStr">
        <is>
          <t>No</t>
        </is>
      </c>
      <c r="V144" s="29">
        <f>IF(N144="","",IF(Q144="Yes","❌ Disc",IF(P144="No","⚠ Missing",IF(S144="Yes","✓ OK","⚠ Check"))))</f>
        <v/>
      </c>
      <c r="W144" s="65" t="n">
        <v>46248</v>
      </c>
      <c r="X144" s="30" t="inlineStr">
        <is>
          <t>Sunil CR</t>
        </is>
      </c>
      <c r="Y144" s="30" t="inlineStr">
        <is>
          <t>Yes</t>
        </is>
      </c>
      <c r="Z144" s="30" t="n"/>
      <c r="AA144" s="30" t="inlineStr">
        <is>
          <t>Good finish</t>
        </is>
      </c>
      <c r="AB144" s="30" t="inlineStr">
        <is>
          <t>Yes</t>
        </is>
      </c>
      <c r="AC144" s="27" t="n"/>
      <c r="AD144" s="31" t="inlineStr">
        <is>
          <t>No</t>
        </is>
      </c>
      <c r="AE144" s="32">
        <f>IF(W144="","",IF(Z144="Yes","❌ Disc",IF(Y144="No","⚠ Missing",IF(AB144="Yes","✓ OK","⚠ Check"))))</f>
        <v/>
      </c>
      <c r="AF144" s="33" t="n"/>
      <c r="AG144" s="33" t="n"/>
      <c r="AH144" s="33" t="n"/>
      <c r="AI144" s="33" t="n"/>
      <c r="AJ144" s="33" t="n"/>
      <c r="AK144" s="33" t="n"/>
      <c r="AL144" s="27" t="n"/>
      <c r="AM144" s="34" t="n"/>
      <c r="AN144" s="35">
        <f>IF(AF144="","",IF(AI144="Yes","❌ Disc",IF(AH144="No","⚠ Missing",IF(AK144="Yes","✓ OK","⚠ Check"))))</f>
        <v/>
      </c>
      <c r="AO144" s="36" t="n"/>
      <c r="AP144" s="36" t="n"/>
      <c r="AQ144" s="36" t="n"/>
      <c r="AR144" s="36" t="n"/>
      <c r="AS144" s="36" t="n"/>
      <c r="AT144" s="36" t="n"/>
      <c r="AU144" s="27" t="n"/>
      <c r="AV144" s="37" t="n"/>
      <c r="AW144" s="38">
        <f>IF(AO144="","",IF(AR144="Yes","❌ Disc",IF(AQ144="No","⚠ Missing",IF(AT144="Yes","✓ OK","⚠ Check"))))</f>
        <v/>
      </c>
    </row>
    <row r="145" ht="18" customHeight="1" s="46">
      <c r="A145" s="23" t="n">
        <v>141</v>
      </c>
      <c r="B145" s="24" t="inlineStr">
        <is>
          <t>BD-VRM-2024-3055</t>
        </is>
      </c>
      <c r="C145" s="25" t="inlineStr">
        <is>
          <t>Flava Louvers - Standard - TL WL 1823 9.5ft X 120mm</t>
        </is>
      </c>
      <c r="D145" s="23" t="inlineStr">
        <is>
          <t>Flava</t>
        </is>
      </c>
      <c r="E145" s="43" t="n">
        <v>46126</v>
      </c>
      <c r="F145" s="26" t="inlineStr">
        <is>
          <t>Sunil CR</t>
        </is>
      </c>
      <c r="G145" s="26" t="inlineStr">
        <is>
          <t>Yes</t>
        </is>
      </c>
      <c r="H145" s="26" t="inlineStr">
        <is>
          <t>No</t>
        </is>
      </c>
      <c r="I145" s="26" t="inlineStr">
        <is>
          <t>Good finish</t>
        </is>
      </c>
      <c r="J145" s="26" t="inlineStr">
        <is>
          <t>Yes</t>
        </is>
      </c>
      <c r="K145" s="27" t="n"/>
      <c r="L145" s="28" t="inlineStr">
        <is>
          <t>No</t>
        </is>
      </c>
      <c r="M145" s="29">
        <f>IF(E145="","",IF(H145="Yes","❌ Disc",IF(G145="No","⚠ Missing",IF(J145="Yes","✓ OK","⚠ Check"))))</f>
        <v/>
      </c>
      <c r="N145" s="43" t="n">
        <v>46193</v>
      </c>
      <c r="O145" s="26" t="inlineStr">
        <is>
          <t>Sunil CR</t>
        </is>
      </c>
      <c r="P145" s="26" t="inlineStr">
        <is>
          <t>Yes</t>
        </is>
      </c>
      <c r="Q145" s="26" t="inlineStr">
        <is>
          <t>No</t>
        </is>
      </c>
      <c r="R145" s="26" t="inlineStr">
        <is>
          <t>Good finish</t>
        </is>
      </c>
      <c r="S145" s="26" t="inlineStr">
        <is>
          <t>Yes</t>
        </is>
      </c>
      <c r="T145" s="27" t="n"/>
      <c r="U145" s="28" t="inlineStr">
        <is>
          <t>No</t>
        </is>
      </c>
      <c r="V145" s="29">
        <f>IF(N145="","",IF(Q145="Yes","❌ Disc",IF(P145="No","⚠ Missing",IF(S145="Yes","✓ OK","⚠ Check"))))</f>
        <v/>
      </c>
      <c r="W145" s="65" t="n">
        <v>46248</v>
      </c>
      <c r="X145" s="30" t="inlineStr">
        <is>
          <t>Sunil CR</t>
        </is>
      </c>
      <c r="Y145" s="30" t="inlineStr">
        <is>
          <t>Yes</t>
        </is>
      </c>
      <c r="Z145" s="30" t="n"/>
      <c r="AA145" s="30" t="inlineStr">
        <is>
          <t>Good finish</t>
        </is>
      </c>
      <c r="AB145" s="30" t="inlineStr">
        <is>
          <t>Yes</t>
        </is>
      </c>
      <c r="AC145" s="27" t="n"/>
      <c r="AD145" s="31" t="inlineStr">
        <is>
          <t>No</t>
        </is>
      </c>
      <c r="AE145" s="32">
        <f>IF(W145="","",IF(Z145="Yes","❌ Disc",IF(Y145="No","⚠ Missing",IF(AB145="Yes","✓ OK","⚠ Check"))))</f>
        <v/>
      </c>
      <c r="AF145" s="33" t="n"/>
      <c r="AG145" s="33" t="n"/>
      <c r="AH145" s="33" t="n"/>
      <c r="AI145" s="33" t="n"/>
      <c r="AJ145" s="33" t="n"/>
      <c r="AK145" s="33" t="n"/>
      <c r="AL145" s="27" t="n"/>
      <c r="AM145" s="34" t="n"/>
      <c r="AN145" s="35">
        <f>IF(AF145="","",IF(AI145="Yes","❌ Disc",IF(AH145="No","⚠ Missing",IF(AK145="Yes","✓ OK","⚠ Check"))))</f>
        <v/>
      </c>
      <c r="AO145" s="36" t="n"/>
      <c r="AP145" s="36" t="n"/>
      <c r="AQ145" s="36" t="n"/>
      <c r="AR145" s="36" t="n"/>
      <c r="AS145" s="36" t="n"/>
      <c r="AT145" s="36" t="n"/>
      <c r="AU145" s="27" t="n"/>
      <c r="AV145" s="37" t="n"/>
      <c r="AW145" s="38">
        <f>IF(AO145="","",IF(AR145="Yes","❌ Disc",IF(AQ145="No","⚠ Missing",IF(AT145="Yes","✓ OK","⚠ Check"))))</f>
        <v/>
      </c>
    </row>
    <row r="146" ht="18" customHeight="1" s="46">
      <c r="A146" s="39" t="n">
        <v>142</v>
      </c>
      <c r="B146" s="40" t="inlineStr">
        <is>
          <t>BD-VRM-2024-3106</t>
        </is>
      </c>
      <c r="C146" s="41" t="inlineStr">
        <is>
          <t>Flava Louvers - Standard - TL WL 3406 9.5ft X 120mm</t>
        </is>
      </c>
      <c r="D146" s="39" t="inlineStr">
        <is>
          <t>Flava</t>
        </is>
      </c>
      <c r="E146" s="43" t="n">
        <v>46126</v>
      </c>
      <c r="F146" s="26" t="inlineStr">
        <is>
          <t>Sunil CR</t>
        </is>
      </c>
      <c r="G146" s="26" t="inlineStr">
        <is>
          <t>Yes</t>
        </is>
      </c>
      <c r="H146" s="26" t="inlineStr">
        <is>
          <t>No</t>
        </is>
      </c>
      <c r="I146" s="26" t="inlineStr">
        <is>
          <t>Good finish</t>
        </is>
      </c>
      <c r="J146" s="26" t="inlineStr">
        <is>
          <t>Yes</t>
        </is>
      </c>
      <c r="K146" s="27" t="n"/>
      <c r="L146" s="28" t="inlineStr">
        <is>
          <t>No</t>
        </is>
      </c>
      <c r="M146" s="29">
        <f>IF(E146="","",IF(H146="Yes","❌ Disc",IF(G146="No","⚠ Missing",IF(J146="Yes","✓ OK","⚠ Check"))))</f>
        <v/>
      </c>
      <c r="N146" s="43" t="n">
        <v>46193</v>
      </c>
      <c r="O146" s="26" t="inlineStr">
        <is>
          <t>Sunil CR</t>
        </is>
      </c>
      <c r="P146" s="26" t="inlineStr">
        <is>
          <t>Yes</t>
        </is>
      </c>
      <c r="Q146" s="26" t="inlineStr">
        <is>
          <t>No</t>
        </is>
      </c>
      <c r="R146" s="26" t="inlineStr">
        <is>
          <t>Good finish</t>
        </is>
      </c>
      <c r="S146" s="26" t="inlineStr">
        <is>
          <t>Yes</t>
        </is>
      </c>
      <c r="T146" s="27" t="n"/>
      <c r="U146" s="28" t="inlineStr">
        <is>
          <t>No</t>
        </is>
      </c>
      <c r="V146" s="29">
        <f>IF(N146="","",IF(Q146="Yes","❌ Disc",IF(P146="No","⚠ Missing",IF(S146="Yes","✓ OK","⚠ Check"))))</f>
        <v/>
      </c>
      <c r="W146" s="65" t="n">
        <v>46248</v>
      </c>
      <c r="X146" s="30" t="inlineStr">
        <is>
          <t>Sunil CR</t>
        </is>
      </c>
      <c r="Y146" s="30" t="inlineStr">
        <is>
          <t>Yes</t>
        </is>
      </c>
      <c r="Z146" s="30" t="n"/>
      <c r="AA146" s="30" t="inlineStr">
        <is>
          <t>Good finish</t>
        </is>
      </c>
      <c r="AB146" s="30" t="inlineStr">
        <is>
          <t>Yes</t>
        </is>
      </c>
      <c r="AC146" s="27" t="n"/>
      <c r="AD146" s="31" t="inlineStr">
        <is>
          <t>No</t>
        </is>
      </c>
      <c r="AE146" s="32">
        <f>IF(W146="","",IF(Z146="Yes","❌ Disc",IF(Y146="No","⚠ Missing",IF(AB146="Yes","✓ OK","⚠ Check"))))</f>
        <v/>
      </c>
      <c r="AF146" s="33" t="n"/>
      <c r="AG146" s="33" t="n"/>
      <c r="AH146" s="33" t="n"/>
      <c r="AI146" s="33" t="n"/>
      <c r="AJ146" s="33" t="n"/>
      <c r="AK146" s="33" t="n"/>
      <c r="AL146" s="27" t="n"/>
      <c r="AM146" s="34" t="n"/>
      <c r="AN146" s="35">
        <f>IF(AF146="","",IF(AI146="Yes","❌ Disc",IF(AH146="No","⚠ Missing",IF(AK146="Yes","✓ OK","⚠ Check"))))</f>
        <v/>
      </c>
      <c r="AO146" s="36" t="n"/>
      <c r="AP146" s="36" t="n"/>
      <c r="AQ146" s="36" t="n"/>
      <c r="AR146" s="36" t="n"/>
      <c r="AS146" s="36" t="n"/>
      <c r="AT146" s="36" t="n"/>
      <c r="AU146" s="27" t="n"/>
      <c r="AV146" s="37" t="n"/>
      <c r="AW146" s="38">
        <f>IF(AO146="","",IF(AR146="Yes","❌ Disc",IF(AQ146="No","⚠ Missing",IF(AT146="Yes","✓ OK","⚠ Check"))))</f>
        <v/>
      </c>
    </row>
    <row r="147" ht="18" customHeight="1" s="46">
      <c r="A147" s="23" t="n">
        <v>143</v>
      </c>
      <c r="B147" s="24" t="inlineStr">
        <is>
          <t>BD-VRM-2024-3109</t>
        </is>
      </c>
      <c r="C147" s="25" t="inlineStr">
        <is>
          <t>Flava Louvers - Standard - TL WL 3414 9.5ft X 120mm</t>
        </is>
      </c>
      <c r="D147" s="23" t="inlineStr">
        <is>
          <t>Flava</t>
        </is>
      </c>
      <c r="E147" s="43" t="n">
        <v>46126</v>
      </c>
      <c r="F147" s="26" t="inlineStr">
        <is>
          <t>Sunil CR</t>
        </is>
      </c>
      <c r="G147" s="26" t="inlineStr">
        <is>
          <t>Yes</t>
        </is>
      </c>
      <c r="H147" s="26" t="inlineStr">
        <is>
          <t>No</t>
        </is>
      </c>
      <c r="I147" s="26" t="inlineStr">
        <is>
          <t>Good finish</t>
        </is>
      </c>
      <c r="J147" s="26" t="inlineStr">
        <is>
          <t>Yes</t>
        </is>
      </c>
      <c r="K147" s="27" t="n"/>
      <c r="L147" s="28" t="inlineStr">
        <is>
          <t>No</t>
        </is>
      </c>
      <c r="M147" s="29">
        <f>IF(E147="","",IF(H147="Yes","❌ Disc",IF(G147="No","⚠ Missing",IF(J147="Yes","✓ OK","⚠ Check"))))</f>
        <v/>
      </c>
      <c r="N147" s="43" t="n">
        <v>46193</v>
      </c>
      <c r="O147" s="26" t="inlineStr">
        <is>
          <t>Sunil CR</t>
        </is>
      </c>
      <c r="P147" s="26" t="inlineStr">
        <is>
          <t>Yes</t>
        </is>
      </c>
      <c r="Q147" s="26" t="inlineStr">
        <is>
          <t>No</t>
        </is>
      </c>
      <c r="R147" s="26" t="inlineStr">
        <is>
          <t>Good finish</t>
        </is>
      </c>
      <c r="S147" s="26" t="inlineStr">
        <is>
          <t>Yes</t>
        </is>
      </c>
      <c r="T147" s="27" t="n"/>
      <c r="U147" s="28" t="inlineStr">
        <is>
          <t>No</t>
        </is>
      </c>
      <c r="V147" s="29">
        <f>IF(N147="","",IF(Q147="Yes","❌ Disc",IF(P147="No","⚠ Missing",IF(S147="Yes","✓ OK","⚠ Check"))))</f>
        <v/>
      </c>
      <c r="W147" s="65" t="n">
        <v>46248</v>
      </c>
      <c r="X147" s="30" t="inlineStr">
        <is>
          <t>Sunil CR</t>
        </is>
      </c>
      <c r="Y147" s="30" t="inlineStr">
        <is>
          <t>Yes</t>
        </is>
      </c>
      <c r="Z147" s="30" t="n"/>
      <c r="AA147" s="30" t="inlineStr">
        <is>
          <t>Good finish</t>
        </is>
      </c>
      <c r="AB147" s="30" t="inlineStr">
        <is>
          <t>Yes</t>
        </is>
      </c>
      <c r="AC147" s="27" t="n"/>
      <c r="AD147" s="31" t="inlineStr">
        <is>
          <t>No</t>
        </is>
      </c>
      <c r="AE147" s="32">
        <f>IF(W147="","",IF(Z147="Yes","❌ Disc",IF(Y147="No","⚠ Missing",IF(AB147="Yes","✓ OK","⚠ Check"))))</f>
        <v/>
      </c>
      <c r="AF147" s="33" t="n"/>
      <c r="AG147" s="33" t="n"/>
      <c r="AH147" s="33" t="n"/>
      <c r="AI147" s="33" t="n"/>
      <c r="AJ147" s="33" t="n"/>
      <c r="AK147" s="33" t="n"/>
      <c r="AL147" s="27" t="n"/>
      <c r="AM147" s="34" t="n"/>
      <c r="AN147" s="35">
        <f>IF(AF147="","",IF(AI147="Yes","❌ Disc",IF(AH147="No","⚠ Missing",IF(AK147="Yes","✓ OK","⚠ Check"))))</f>
        <v/>
      </c>
      <c r="AO147" s="36" t="n"/>
      <c r="AP147" s="36" t="n"/>
      <c r="AQ147" s="36" t="n"/>
      <c r="AR147" s="36" t="n"/>
      <c r="AS147" s="36" t="n"/>
      <c r="AT147" s="36" t="n"/>
      <c r="AU147" s="27" t="n"/>
      <c r="AV147" s="37" t="n"/>
      <c r="AW147" s="38">
        <f>IF(AO147="","",IF(AR147="Yes","❌ Disc",IF(AQ147="No","⚠ Missing",IF(AT147="Yes","✓ OK","⚠ Check"))))</f>
        <v/>
      </c>
    </row>
    <row r="148" ht="18" customHeight="1" s="46">
      <c r="A148" s="39" t="n">
        <v>144</v>
      </c>
      <c r="B148" s="40" t="inlineStr">
        <is>
          <t>BD-VRM-2024-3110</t>
        </is>
      </c>
      <c r="C148" s="41" t="inlineStr">
        <is>
          <t>Flava Louvers - Standard - TL WL 3416 9.5ft X 120mm</t>
        </is>
      </c>
      <c r="D148" s="39" t="inlineStr">
        <is>
          <t>Flava</t>
        </is>
      </c>
      <c r="E148" s="43" t="n">
        <v>46126</v>
      </c>
      <c r="F148" s="26" t="inlineStr">
        <is>
          <t>Sunil CR</t>
        </is>
      </c>
      <c r="G148" s="26" t="inlineStr">
        <is>
          <t>Yes</t>
        </is>
      </c>
      <c r="H148" s="26" t="inlineStr">
        <is>
          <t>No</t>
        </is>
      </c>
      <c r="I148" s="26" t="inlineStr">
        <is>
          <t>Good finish</t>
        </is>
      </c>
      <c r="J148" s="26" t="inlineStr">
        <is>
          <t>Yes</t>
        </is>
      </c>
      <c r="K148" s="27" t="n"/>
      <c r="L148" s="28" t="inlineStr">
        <is>
          <t>No</t>
        </is>
      </c>
      <c r="M148" s="29">
        <f>IF(E148="","",IF(H148="Yes","❌ Disc",IF(G148="No","⚠ Missing",IF(J148="Yes","✓ OK","⚠ Check"))))</f>
        <v/>
      </c>
      <c r="N148" s="43" t="n">
        <v>46193</v>
      </c>
      <c r="O148" s="26" t="inlineStr">
        <is>
          <t>Sunil CR</t>
        </is>
      </c>
      <c r="P148" s="26" t="inlineStr">
        <is>
          <t>Yes</t>
        </is>
      </c>
      <c r="Q148" s="26" t="inlineStr">
        <is>
          <t>No</t>
        </is>
      </c>
      <c r="R148" s="26" t="inlineStr">
        <is>
          <t>Good finish</t>
        </is>
      </c>
      <c r="S148" s="26" t="inlineStr">
        <is>
          <t>Yes</t>
        </is>
      </c>
      <c r="T148" s="27" t="n"/>
      <c r="U148" s="28" t="inlineStr">
        <is>
          <t>No</t>
        </is>
      </c>
      <c r="V148" s="29">
        <f>IF(N148="","",IF(Q148="Yes","❌ Disc",IF(P148="No","⚠ Missing",IF(S148="Yes","✓ OK","⚠ Check"))))</f>
        <v/>
      </c>
      <c r="W148" s="65" t="n">
        <v>46248</v>
      </c>
      <c r="X148" s="30" t="inlineStr">
        <is>
          <t>Sunil CR</t>
        </is>
      </c>
      <c r="Y148" s="30" t="inlineStr">
        <is>
          <t>Yes</t>
        </is>
      </c>
      <c r="Z148" s="30" t="n"/>
      <c r="AA148" s="30" t="inlineStr">
        <is>
          <t>Good finish</t>
        </is>
      </c>
      <c r="AB148" s="30" t="inlineStr">
        <is>
          <t>Yes</t>
        </is>
      </c>
      <c r="AC148" s="27" t="n"/>
      <c r="AD148" s="31" t="inlineStr">
        <is>
          <t>No</t>
        </is>
      </c>
      <c r="AE148" s="32">
        <f>IF(W148="","",IF(Z148="Yes","❌ Disc",IF(Y148="No","⚠ Missing",IF(AB148="Yes","✓ OK","⚠ Check"))))</f>
        <v/>
      </c>
      <c r="AF148" s="33" t="n"/>
      <c r="AG148" s="33" t="n"/>
      <c r="AH148" s="33" t="n"/>
      <c r="AI148" s="33" t="n"/>
      <c r="AJ148" s="33" t="n"/>
      <c r="AK148" s="33" t="n"/>
      <c r="AL148" s="27" t="n"/>
      <c r="AM148" s="34" t="n"/>
      <c r="AN148" s="35">
        <f>IF(AF148="","",IF(AI148="Yes","❌ Disc",IF(AH148="No","⚠ Missing",IF(AK148="Yes","✓ OK","⚠ Check"))))</f>
        <v/>
      </c>
      <c r="AO148" s="36" t="n"/>
      <c r="AP148" s="36" t="n"/>
      <c r="AQ148" s="36" t="n"/>
      <c r="AR148" s="36" t="n"/>
      <c r="AS148" s="36" t="n"/>
      <c r="AT148" s="36" t="n"/>
      <c r="AU148" s="27" t="n"/>
      <c r="AV148" s="37" t="n"/>
      <c r="AW148" s="38">
        <f>IF(AO148="","",IF(AR148="Yes","❌ Disc",IF(AQ148="No","⚠ Missing",IF(AT148="Yes","✓ OK","⚠ Check"))))</f>
        <v/>
      </c>
    </row>
    <row r="149" ht="18" customHeight="1" s="46">
      <c r="A149" s="23" t="n">
        <v>145</v>
      </c>
      <c r="B149" s="24" t="inlineStr">
        <is>
          <t>BD-VRM-2024-3045</t>
        </is>
      </c>
      <c r="C149" s="25" t="inlineStr">
        <is>
          <t>Flava Rafter - Standard - FL PB 9612 9.5ftx120mm</t>
        </is>
      </c>
      <c r="D149" s="23" t="inlineStr">
        <is>
          <t>Flava</t>
        </is>
      </c>
      <c r="E149" s="43" t="n">
        <v>46126</v>
      </c>
      <c r="F149" s="26" t="inlineStr">
        <is>
          <t>Sunil CR</t>
        </is>
      </c>
      <c r="G149" s="26" t="inlineStr">
        <is>
          <t>Yes</t>
        </is>
      </c>
      <c r="H149" s="26" t="inlineStr">
        <is>
          <t>No</t>
        </is>
      </c>
      <c r="I149" s="26" t="inlineStr">
        <is>
          <t>Good finish</t>
        </is>
      </c>
      <c r="J149" s="26" t="inlineStr">
        <is>
          <t>Yes</t>
        </is>
      </c>
      <c r="K149" s="27" t="n"/>
      <c r="L149" s="28" t="inlineStr">
        <is>
          <t>No</t>
        </is>
      </c>
      <c r="M149" s="29">
        <f>IF(E149="","",IF(H149="Yes","❌ Disc",IF(G149="No","⚠ Missing",IF(J149="Yes","✓ OK","⚠ Check"))))</f>
        <v/>
      </c>
      <c r="N149" s="43" t="n">
        <v>46193</v>
      </c>
      <c r="O149" s="26" t="inlineStr">
        <is>
          <t>Sunil CR</t>
        </is>
      </c>
      <c r="P149" s="26" t="inlineStr">
        <is>
          <t>No</t>
        </is>
      </c>
      <c r="Q149" s="26" t="inlineStr">
        <is>
          <t>Yes</t>
        </is>
      </c>
      <c r="R149" s="26" t="inlineStr">
        <is>
          <t>Discontinued</t>
        </is>
      </c>
      <c r="S149" s="26" t="inlineStr">
        <is>
          <t>No</t>
        </is>
      </c>
      <c r="T149" s="27" t="n"/>
      <c r="U149" s="28" t="inlineStr">
        <is>
          <t>No</t>
        </is>
      </c>
      <c r="V149" s="29">
        <f>IF(N149="","",IF(Q149="Yes","❌ Disc",IF(P149="No","⚠ Missing",IF(S149="Yes","✓ OK","⚠ Check"))))</f>
        <v/>
      </c>
      <c r="W149" s="65" t="n">
        <v>46248</v>
      </c>
      <c r="X149" s="30" t="inlineStr">
        <is>
          <t>Sunil CR</t>
        </is>
      </c>
      <c r="Y149" s="30" t="inlineStr">
        <is>
          <t>No</t>
        </is>
      </c>
      <c r="Z149" s="30" t="inlineStr">
        <is>
          <t>Yes</t>
        </is>
      </c>
      <c r="AA149" s="30" t="inlineStr">
        <is>
          <t>Discontinued</t>
        </is>
      </c>
      <c r="AB149" s="30" t="inlineStr">
        <is>
          <t>No</t>
        </is>
      </c>
      <c r="AC149" s="27" t="n"/>
      <c r="AD149" s="31" t="inlineStr">
        <is>
          <t>No</t>
        </is>
      </c>
      <c r="AE149" s="32">
        <f>IF(W149="","",IF(Z149="Yes","❌ Disc",IF(Y149="No","⚠ Missing",IF(AB149="Yes","✓ OK","⚠ Check"))))</f>
        <v/>
      </c>
      <c r="AF149" s="33" t="n"/>
      <c r="AG149" s="33" t="n"/>
      <c r="AH149" s="33" t="n"/>
      <c r="AI149" s="33" t="n"/>
      <c r="AJ149" s="33" t="n"/>
      <c r="AK149" s="33" t="n"/>
      <c r="AL149" s="27" t="n"/>
      <c r="AM149" s="34" t="n"/>
      <c r="AN149" s="35">
        <f>IF(AF149="","",IF(AI149="Yes","❌ Disc",IF(AH149="No","⚠ Missing",IF(AK149="Yes","✓ OK","⚠ Check"))))</f>
        <v/>
      </c>
      <c r="AO149" s="36" t="n"/>
      <c r="AP149" s="36" t="n"/>
      <c r="AQ149" s="36" t="n"/>
      <c r="AR149" s="36" t="n"/>
      <c r="AS149" s="36" t="n"/>
      <c r="AT149" s="36" t="n"/>
      <c r="AU149" s="27" t="n"/>
      <c r="AV149" s="37" t="n"/>
      <c r="AW149" s="38">
        <f>IF(AO149="","",IF(AR149="Yes","❌ Disc",IF(AQ149="No","⚠ Missing",IF(AT149="Yes","✓ OK","⚠ Check"))))</f>
        <v/>
      </c>
    </row>
    <row r="150" ht="18" customHeight="1" s="46">
      <c r="A150" s="39" t="n">
        <v>146</v>
      </c>
      <c r="B150" s="40" t="inlineStr">
        <is>
          <t>BD-VRM-2024-3031</t>
        </is>
      </c>
      <c r="C150" s="41" t="inlineStr">
        <is>
          <t>Flava Rafter - Standard - FL PB 9615 9.5ftx120mm</t>
        </is>
      </c>
      <c r="D150" s="39" t="inlineStr">
        <is>
          <t>Flava</t>
        </is>
      </c>
      <c r="E150" s="43" t="n">
        <v>46126</v>
      </c>
      <c r="F150" s="26" t="inlineStr">
        <is>
          <t>Sunil CR</t>
        </is>
      </c>
      <c r="G150" s="26" t="inlineStr">
        <is>
          <t>Yes</t>
        </is>
      </c>
      <c r="H150" s="26" t="inlineStr">
        <is>
          <t>No</t>
        </is>
      </c>
      <c r="I150" s="26" t="inlineStr">
        <is>
          <t>Good finish</t>
        </is>
      </c>
      <c r="J150" s="26" t="inlineStr">
        <is>
          <t>Yes</t>
        </is>
      </c>
      <c r="K150" s="27" t="n"/>
      <c r="L150" s="28" t="inlineStr">
        <is>
          <t>No</t>
        </is>
      </c>
      <c r="M150" s="29">
        <f>IF(E150="","",IF(H150="Yes","❌ Disc",IF(G150="No","⚠ Missing",IF(J150="Yes","✓ OK","⚠ Check"))))</f>
        <v/>
      </c>
      <c r="N150" s="43" t="n">
        <v>46193</v>
      </c>
      <c r="O150" s="26" t="inlineStr">
        <is>
          <t>Sunil CR</t>
        </is>
      </c>
      <c r="P150" s="26" t="inlineStr">
        <is>
          <t>Yes</t>
        </is>
      </c>
      <c r="Q150" s="26" t="inlineStr">
        <is>
          <t>No</t>
        </is>
      </c>
      <c r="R150" s="26" t="inlineStr">
        <is>
          <t>Good finish</t>
        </is>
      </c>
      <c r="S150" s="26" t="inlineStr">
        <is>
          <t>Yes</t>
        </is>
      </c>
      <c r="T150" s="27" t="n"/>
      <c r="U150" s="28" t="inlineStr">
        <is>
          <t>No</t>
        </is>
      </c>
      <c r="V150" s="29">
        <f>IF(N150="","",IF(Q150="Yes","❌ Disc",IF(P150="No","⚠ Missing",IF(S150="Yes","✓ OK","⚠ Check"))))</f>
        <v/>
      </c>
      <c r="W150" s="65" t="n">
        <v>46248</v>
      </c>
      <c r="X150" s="30" t="inlineStr">
        <is>
          <t>Sunil CR</t>
        </is>
      </c>
      <c r="Y150" s="30" t="inlineStr">
        <is>
          <t>Yes</t>
        </is>
      </c>
      <c r="Z150" s="30" t="n"/>
      <c r="AA150" s="30" t="inlineStr">
        <is>
          <t>Good finish</t>
        </is>
      </c>
      <c r="AB150" s="30" t="inlineStr">
        <is>
          <t>Yes</t>
        </is>
      </c>
      <c r="AC150" s="27" t="n"/>
      <c r="AD150" s="31" t="inlineStr">
        <is>
          <t>No</t>
        </is>
      </c>
      <c r="AE150" s="32">
        <f>IF(W150="","",IF(Z150="Yes","❌ Disc",IF(Y150="No","⚠ Missing",IF(AB150="Yes","✓ OK","⚠ Check"))))</f>
        <v/>
      </c>
      <c r="AF150" s="33" t="n"/>
      <c r="AG150" s="33" t="n"/>
      <c r="AH150" s="33" t="n"/>
      <c r="AI150" s="33" t="n"/>
      <c r="AJ150" s="33" t="n"/>
      <c r="AK150" s="33" t="n"/>
      <c r="AL150" s="27" t="n"/>
      <c r="AM150" s="34" t="n"/>
      <c r="AN150" s="35">
        <f>IF(AF150="","",IF(AI150="Yes","❌ Disc",IF(AH150="No","⚠ Missing",IF(AK150="Yes","✓ OK","⚠ Check"))))</f>
        <v/>
      </c>
      <c r="AO150" s="36" t="n"/>
      <c r="AP150" s="36" t="n"/>
      <c r="AQ150" s="36" t="n"/>
      <c r="AR150" s="36" t="n"/>
      <c r="AS150" s="36" t="n"/>
      <c r="AT150" s="36" t="n"/>
      <c r="AU150" s="27" t="n"/>
      <c r="AV150" s="37" t="n"/>
      <c r="AW150" s="38">
        <f>IF(AO150="","",IF(AR150="Yes","❌ Disc",IF(AQ150="No","⚠ Missing",IF(AT150="Yes","✓ OK","⚠ Check"))))</f>
        <v/>
      </c>
    </row>
    <row r="151" ht="18" customHeight="1" s="46">
      <c r="A151" s="23" t="n">
        <v>147</v>
      </c>
      <c r="B151" s="24" t="inlineStr">
        <is>
          <t>BD-VRM-2024-3030</t>
        </is>
      </c>
      <c r="C151" s="25" t="inlineStr">
        <is>
          <t>Flava Rafter - Standard - FL PB 9616 9.5ftx120mm</t>
        </is>
      </c>
      <c r="D151" s="23" t="inlineStr">
        <is>
          <t>Flava</t>
        </is>
      </c>
      <c r="E151" s="43" t="n">
        <v>46126</v>
      </c>
      <c r="F151" s="26" t="inlineStr">
        <is>
          <t>Sunil CR</t>
        </is>
      </c>
      <c r="G151" s="26" t="inlineStr">
        <is>
          <t>Yes</t>
        </is>
      </c>
      <c r="H151" s="26" t="inlineStr">
        <is>
          <t>No</t>
        </is>
      </c>
      <c r="I151" s="26" t="inlineStr">
        <is>
          <t>Good finish</t>
        </is>
      </c>
      <c r="J151" s="26" t="inlineStr">
        <is>
          <t>Yes</t>
        </is>
      </c>
      <c r="K151" s="27" t="n"/>
      <c r="L151" s="28" t="inlineStr">
        <is>
          <t>No</t>
        </is>
      </c>
      <c r="M151" s="29">
        <f>IF(E151="","",IF(H151="Yes","❌ Disc",IF(G151="No","⚠ Missing",IF(J151="Yes","✓ OK","⚠ Check"))))</f>
        <v/>
      </c>
      <c r="N151" s="43" t="n">
        <v>46193</v>
      </c>
      <c r="O151" s="26" t="inlineStr">
        <is>
          <t>Sunil CR</t>
        </is>
      </c>
      <c r="P151" s="26" t="inlineStr">
        <is>
          <t>No</t>
        </is>
      </c>
      <c r="Q151" s="26" t="inlineStr">
        <is>
          <t>Yes</t>
        </is>
      </c>
      <c r="R151" s="26" t="inlineStr">
        <is>
          <t>Discontinued</t>
        </is>
      </c>
      <c r="S151" s="26" t="inlineStr">
        <is>
          <t>No</t>
        </is>
      </c>
      <c r="T151" s="27" t="n"/>
      <c r="U151" s="28" t="inlineStr">
        <is>
          <t>No</t>
        </is>
      </c>
      <c r="V151" s="29">
        <f>IF(N151="","",IF(Q151="Yes","❌ Disc",IF(P151="No","⚠ Missing",IF(S151="Yes","✓ OK","⚠ Check"))))</f>
        <v/>
      </c>
      <c r="W151" s="65" t="n">
        <v>46248</v>
      </c>
      <c r="X151" s="30" t="inlineStr">
        <is>
          <t>Sunil CR</t>
        </is>
      </c>
      <c r="Y151" s="30" t="inlineStr">
        <is>
          <t>No</t>
        </is>
      </c>
      <c r="Z151" s="30" t="inlineStr">
        <is>
          <t>Yes</t>
        </is>
      </c>
      <c r="AA151" s="30" t="inlineStr">
        <is>
          <t>Discontinued</t>
        </is>
      </c>
      <c r="AB151" s="30" t="inlineStr">
        <is>
          <t>No</t>
        </is>
      </c>
      <c r="AC151" s="27" t="n"/>
      <c r="AD151" s="31" t="inlineStr">
        <is>
          <t>No</t>
        </is>
      </c>
      <c r="AE151" s="32">
        <f>IF(W151="","",IF(Z151="Yes","❌ Disc",IF(Y151="No","⚠ Missing",IF(AB151="Yes","✓ OK","⚠ Check"))))</f>
        <v/>
      </c>
      <c r="AF151" s="33" t="n"/>
      <c r="AG151" s="33" t="n"/>
      <c r="AH151" s="33" t="n"/>
      <c r="AI151" s="33" t="n"/>
      <c r="AJ151" s="33" t="n"/>
      <c r="AK151" s="33" t="n"/>
      <c r="AL151" s="27" t="n"/>
      <c r="AM151" s="34" t="n"/>
      <c r="AN151" s="35">
        <f>IF(AF151="","",IF(AI151="Yes","❌ Disc",IF(AH151="No","⚠ Missing",IF(AK151="Yes","✓ OK","⚠ Check"))))</f>
        <v/>
      </c>
      <c r="AO151" s="36" t="n"/>
      <c r="AP151" s="36" t="n"/>
      <c r="AQ151" s="36" t="n"/>
      <c r="AR151" s="36" t="n"/>
      <c r="AS151" s="36" t="n"/>
      <c r="AT151" s="36" t="n"/>
      <c r="AU151" s="27" t="n"/>
      <c r="AV151" s="37" t="n"/>
      <c r="AW151" s="38">
        <f>IF(AO151="","",IF(AR151="Yes","❌ Disc",IF(AQ151="No","⚠ Missing",IF(AT151="Yes","✓ OK","⚠ Check"))))</f>
        <v/>
      </c>
    </row>
    <row r="152" ht="18" customHeight="1" s="46">
      <c r="A152" s="39" t="n">
        <v>148</v>
      </c>
      <c r="B152" s="40" t="inlineStr">
        <is>
          <t>BD-VRM-2024-3044</t>
        </is>
      </c>
      <c r="C152" s="41" t="inlineStr">
        <is>
          <t>Flava Rafter - Standard - FL PB 9617 9.5ftx120mm</t>
        </is>
      </c>
      <c r="D152" s="39" t="inlineStr">
        <is>
          <t>Flava</t>
        </is>
      </c>
      <c r="E152" s="43" t="n">
        <v>46126</v>
      </c>
      <c r="F152" s="26" t="inlineStr">
        <is>
          <t>Sunil CR</t>
        </is>
      </c>
      <c r="G152" s="26" t="inlineStr">
        <is>
          <t>Yes</t>
        </is>
      </c>
      <c r="H152" s="26" t="inlineStr">
        <is>
          <t>No</t>
        </is>
      </c>
      <c r="I152" s="26" t="inlineStr">
        <is>
          <t>Good finish</t>
        </is>
      </c>
      <c r="J152" s="26" t="inlineStr">
        <is>
          <t>Yes</t>
        </is>
      </c>
      <c r="K152" s="27" t="n"/>
      <c r="L152" s="28" t="inlineStr">
        <is>
          <t>No</t>
        </is>
      </c>
      <c r="M152" s="29">
        <f>IF(E152="","",IF(H152="Yes","❌ Disc",IF(G152="No","⚠ Missing",IF(J152="Yes","✓ OK","⚠ Check"))))</f>
        <v/>
      </c>
      <c r="N152" s="43" t="n">
        <v>46193</v>
      </c>
      <c r="O152" s="26" t="inlineStr">
        <is>
          <t>Sunil CR</t>
        </is>
      </c>
      <c r="P152" s="26" t="inlineStr">
        <is>
          <t>Yes</t>
        </is>
      </c>
      <c r="Q152" s="26" t="inlineStr">
        <is>
          <t>No</t>
        </is>
      </c>
      <c r="R152" s="26" t="inlineStr">
        <is>
          <t>Good finish</t>
        </is>
      </c>
      <c r="S152" s="26" t="inlineStr">
        <is>
          <t>Yes</t>
        </is>
      </c>
      <c r="T152" s="27" t="n"/>
      <c r="U152" s="28" t="inlineStr">
        <is>
          <t>No</t>
        </is>
      </c>
      <c r="V152" s="29">
        <f>IF(N152="","",IF(Q152="Yes","❌ Disc",IF(P152="No","⚠ Missing",IF(S152="Yes","✓ OK","⚠ Check"))))</f>
        <v/>
      </c>
      <c r="W152" s="65" t="n">
        <v>46248</v>
      </c>
      <c r="X152" s="30" t="inlineStr">
        <is>
          <t>Sunil CR</t>
        </is>
      </c>
      <c r="Y152" s="30" t="inlineStr">
        <is>
          <t>Yes</t>
        </is>
      </c>
      <c r="Z152" s="30" t="n"/>
      <c r="AA152" s="30" t="inlineStr">
        <is>
          <t>Good finish</t>
        </is>
      </c>
      <c r="AB152" s="30" t="inlineStr">
        <is>
          <t>Yes</t>
        </is>
      </c>
      <c r="AC152" s="27" t="n"/>
      <c r="AD152" s="31" t="inlineStr">
        <is>
          <t>No</t>
        </is>
      </c>
      <c r="AE152" s="32">
        <f>IF(W152="","",IF(Z152="Yes","❌ Disc",IF(Y152="No","⚠ Missing",IF(AB152="Yes","✓ OK","⚠ Check"))))</f>
        <v/>
      </c>
      <c r="AF152" s="33" t="n"/>
      <c r="AG152" s="33" t="n"/>
      <c r="AH152" s="33" t="n"/>
      <c r="AI152" s="33" t="n"/>
      <c r="AJ152" s="33" t="n"/>
      <c r="AK152" s="33" t="n"/>
      <c r="AL152" s="27" t="n"/>
      <c r="AM152" s="34" t="n"/>
      <c r="AN152" s="35">
        <f>IF(AF152="","",IF(AI152="Yes","❌ Disc",IF(AH152="No","⚠ Missing",IF(AK152="Yes","✓ OK","⚠ Check"))))</f>
        <v/>
      </c>
      <c r="AO152" s="36" t="n"/>
      <c r="AP152" s="36" t="n"/>
      <c r="AQ152" s="36" t="n"/>
      <c r="AR152" s="36" t="n"/>
      <c r="AS152" s="36" t="n"/>
      <c r="AT152" s="36" t="n"/>
      <c r="AU152" s="27" t="n"/>
      <c r="AV152" s="37" t="n"/>
      <c r="AW152" s="38">
        <f>IF(AO152="","",IF(AR152="Yes","❌ Disc",IF(AQ152="No","⚠ Missing",IF(AT152="Yes","✓ OK","⚠ Check"))))</f>
        <v/>
      </c>
    </row>
    <row r="153" ht="18" customHeight="1" s="46">
      <c r="A153" s="23" t="n">
        <v>149</v>
      </c>
      <c r="B153" s="24" t="inlineStr">
        <is>
          <t>BD-VRM-2024-3027</t>
        </is>
      </c>
      <c r="C153" s="25" t="inlineStr">
        <is>
          <t>Flava Rafter - Standard - FL PB 9619 9.5ftx120mm</t>
        </is>
      </c>
      <c r="D153" s="23" t="inlineStr">
        <is>
          <t>Flava</t>
        </is>
      </c>
      <c r="E153" s="43" t="n">
        <v>46126</v>
      </c>
      <c r="F153" s="26" t="inlineStr">
        <is>
          <t>Sunil CR</t>
        </is>
      </c>
      <c r="G153" s="26" t="inlineStr">
        <is>
          <t>Yes</t>
        </is>
      </c>
      <c r="H153" s="26" t="inlineStr">
        <is>
          <t>No</t>
        </is>
      </c>
      <c r="I153" s="26" t="inlineStr">
        <is>
          <t>Good finish</t>
        </is>
      </c>
      <c r="J153" s="26" t="inlineStr">
        <is>
          <t>Yes</t>
        </is>
      </c>
      <c r="K153" s="27" t="n"/>
      <c r="L153" s="28" t="inlineStr">
        <is>
          <t>No</t>
        </is>
      </c>
      <c r="M153" s="29">
        <f>IF(E153="","",IF(H153="Yes","❌ Disc",IF(G153="No","⚠ Missing",IF(J153="Yes","✓ OK","⚠ Check"))))</f>
        <v/>
      </c>
      <c r="N153" s="43" t="n">
        <v>46193</v>
      </c>
      <c r="O153" s="26" t="inlineStr">
        <is>
          <t>Sunil CR</t>
        </is>
      </c>
      <c r="P153" s="26" t="inlineStr">
        <is>
          <t>Yes</t>
        </is>
      </c>
      <c r="Q153" s="26" t="inlineStr">
        <is>
          <t>No</t>
        </is>
      </c>
      <c r="R153" s="26" t="inlineStr">
        <is>
          <t>Good finish</t>
        </is>
      </c>
      <c r="S153" s="26" t="inlineStr">
        <is>
          <t>Yes</t>
        </is>
      </c>
      <c r="T153" s="27" t="n"/>
      <c r="U153" s="28" t="inlineStr">
        <is>
          <t>No</t>
        </is>
      </c>
      <c r="V153" s="29">
        <f>IF(N153="","",IF(Q153="Yes","❌ Disc",IF(P153="No","⚠ Missing",IF(S153="Yes","✓ OK","⚠ Check"))))</f>
        <v/>
      </c>
      <c r="W153" s="65" t="n">
        <v>46248</v>
      </c>
      <c r="X153" s="30" t="inlineStr">
        <is>
          <t>Sunil CR</t>
        </is>
      </c>
      <c r="Y153" s="30" t="inlineStr">
        <is>
          <t>Yes</t>
        </is>
      </c>
      <c r="Z153" s="30" t="n"/>
      <c r="AA153" s="30" t="inlineStr">
        <is>
          <t>Good finish</t>
        </is>
      </c>
      <c r="AB153" s="30" t="inlineStr">
        <is>
          <t>Yes</t>
        </is>
      </c>
      <c r="AC153" s="27" t="n"/>
      <c r="AD153" s="31" t="inlineStr">
        <is>
          <t>No</t>
        </is>
      </c>
      <c r="AE153" s="32">
        <f>IF(W153="","",IF(Z153="Yes","❌ Disc",IF(Y153="No","⚠ Missing",IF(AB153="Yes","✓ OK","⚠ Check"))))</f>
        <v/>
      </c>
      <c r="AF153" s="33" t="n"/>
      <c r="AG153" s="33" t="n"/>
      <c r="AH153" s="33" t="n"/>
      <c r="AI153" s="33" t="n"/>
      <c r="AJ153" s="33" t="n"/>
      <c r="AK153" s="33" t="n"/>
      <c r="AL153" s="27" t="n"/>
      <c r="AM153" s="34" t="n"/>
      <c r="AN153" s="35">
        <f>IF(AF153="","",IF(AI153="Yes","❌ Disc",IF(AH153="No","⚠ Missing",IF(AK153="Yes","✓ OK","⚠ Check"))))</f>
        <v/>
      </c>
      <c r="AO153" s="36" t="n"/>
      <c r="AP153" s="36" t="n"/>
      <c r="AQ153" s="36" t="n"/>
      <c r="AR153" s="36" t="n"/>
      <c r="AS153" s="36" t="n"/>
      <c r="AT153" s="36" t="n"/>
      <c r="AU153" s="27" t="n"/>
      <c r="AV153" s="37" t="n"/>
      <c r="AW153" s="38">
        <f>IF(AO153="","",IF(AR153="Yes","❌ Disc",IF(AQ153="No","⚠ Missing",IF(AT153="Yes","✓ OK","⚠ Check"))))</f>
        <v/>
      </c>
    </row>
    <row r="154" ht="18" customHeight="1" s="46">
      <c r="A154" s="39" t="n">
        <v>150</v>
      </c>
      <c r="B154" s="40" t="inlineStr">
        <is>
          <t>BD-VRM-2024-3026</t>
        </is>
      </c>
      <c r="C154" s="41" t="inlineStr">
        <is>
          <t>Flava Rafter - Standard - FL PB 9620 9.5ftx120mm</t>
        </is>
      </c>
      <c r="D154" s="39" t="inlineStr">
        <is>
          <t>Flava</t>
        </is>
      </c>
      <c r="E154" s="43" t="n">
        <v>46126</v>
      </c>
      <c r="F154" s="26" t="inlineStr">
        <is>
          <t>Sunil CR</t>
        </is>
      </c>
      <c r="G154" s="26" t="inlineStr">
        <is>
          <t>Yes</t>
        </is>
      </c>
      <c r="H154" s="26" t="inlineStr">
        <is>
          <t>No</t>
        </is>
      </c>
      <c r="I154" s="26" t="inlineStr">
        <is>
          <t>Good finish</t>
        </is>
      </c>
      <c r="J154" s="26" t="inlineStr">
        <is>
          <t>Yes</t>
        </is>
      </c>
      <c r="K154" s="27" t="n"/>
      <c r="L154" s="28" t="inlineStr">
        <is>
          <t>No</t>
        </is>
      </c>
      <c r="M154" s="29">
        <f>IF(E154="","",IF(H154="Yes","❌ Disc",IF(G154="No","⚠ Missing",IF(J154="Yes","✓ OK","⚠ Check"))))</f>
        <v/>
      </c>
      <c r="N154" s="43" t="n">
        <v>46193</v>
      </c>
      <c r="O154" s="26" t="inlineStr">
        <is>
          <t>Sunil CR</t>
        </is>
      </c>
      <c r="P154" s="26" t="inlineStr">
        <is>
          <t>Yes</t>
        </is>
      </c>
      <c r="Q154" s="26" t="inlineStr">
        <is>
          <t>No</t>
        </is>
      </c>
      <c r="R154" s="26" t="inlineStr">
        <is>
          <t>Good finish</t>
        </is>
      </c>
      <c r="S154" s="26" t="inlineStr">
        <is>
          <t>Yes</t>
        </is>
      </c>
      <c r="T154" s="27" t="n"/>
      <c r="U154" s="28" t="inlineStr">
        <is>
          <t>No</t>
        </is>
      </c>
      <c r="V154" s="29">
        <f>IF(N154="","",IF(Q154="Yes","❌ Disc",IF(P154="No","⚠ Missing",IF(S154="Yes","✓ OK","⚠ Check"))))</f>
        <v/>
      </c>
      <c r="W154" s="65" t="n">
        <v>46248</v>
      </c>
      <c r="X154" s="30" t="inlineStr">
        <is>
          <t>Sunil CR</t>
        </is>
      </c>
      <c r="Y154" s="30" t="inlineStr">
        <is>
          <t>Yes</t>
        </is>
      </c>
      <c r="Z154" s="30" t="n"/>
      <c r="AA154" s="30" t="inlineStr">
        <is>
          <t>Good finish</t>
        </is>
      </c>
      <c r="AB154" s="30" t="inlineStr">
        <is>
          <t>Yes</t>
        </is>
      </c>
      <c r="AC154" s="27" t="n"/>
      <c r="AD154" s="31" t="inlineStr">
        <is>
          <t>No</t>
        </is>
      </c>
      <c r="AE154" s="32">
        <f>IF(W154="","",IF(Z154="Yes","❌ Disc",IF(Y154="No","⚠ Missing",IF(AB154="Yes","✓ OK","⚠ Check"))))</f>
        <v/>
      </c>
      <c r="AF154" s="33" t="n"/>
      <c r="AG154" s="33" t="n"/>
      <c r="AH154" s="33" t="n"/>
      <c r="AI154" s="33" t="n"/>
      <c r="AJ154" s="33" t="n"/>
      <c r="AK154" s="33" t="n"/>
      <c r="AL154" s="27" t="n"/>
      <c r="AM154" s="34" t="n"/>
      <c r="AN154" s="35">
        <f>IF(AF154="","",IF(AI154="Yes","❌ Disc",IF(AH154="No","⚠ Missing",IF(AK154="Yes","✓ OK","⚠ Check"))))</f>
        <v/>
      </c>
      <c r="AO154" s="36" t="n"/>
      <c r="AP154" s="36" t="n"/>
      <c r="AQ154" s="36" t="n"/>
      <c r="AR154" s="36" t="n"/>
      <c r="AS154" s="36" t="n"/>
      <c r="AT154" s="36" t="n"/>
      <c r="AU154" s="27" t="n"/>
      <c r="AV154" s="37" t="n"/>
      <c r="AW154" s="38">
        <f>IF(AO154="","",IF(AR154="Yes","❌ Disc",IF(AQ154="No","⚠ Missing",IF(AT154="Yes","✓ OK","⚠ Check"))))</f>
        <v/>
      </c>
    </row>
    <row r="155" ht="18" customHeight="1" s="46">
      <c r="A155" s="23" t="n">
        <v>151</v>
      </c>
      <c r="B155" s="24" t="inlineStr">
        <is>
          <t>BD-VRM-2024-3034</t>
        </is>
      </c>
      <c r="C155" s="25" t="inlineStr">
        <is>
          <t>Flava Rafter - Standard - FL PB 9625 9.5ftx120mm</t>
        </is>
      </c>
      <c r="D155" s="23" t="inlineStr">
        <is>
          <t>Flava</t>
        </is>
      </c>
      <c r="E155" s="43" t="n">
        <v>46126</v>
      </c>
      <c r="F155" s="26" t="inlineStr">
        <is>
          <t>Sunil CR</t>
        </is>
      </c>
      <c r="G155" s="26" t="inlineStr">
        <is>
          <t>Yes</t>
        </is>
      </c>
      <c r="H155" s="26" t="inlineStr">
        <is>
          <t>No</t>
        </is>
      </c>
      <c r="I155" s="26" t="inlineStr">
        <is>
          <t>Good finish</t>
        </is>
      </c>
      <c r="J155" s="26" t="inlineStr">
        <is>
          <t>Yes</t>
        </is>
      </c>
      <c r="K155" s="27" t="n"/>
      <c r="L155" s="28" t="inlineStr">
        <is>
          <t>No</t>
        </is>
      </c>
      <c r="M155" s="29">
        <f>IF(E155="","",IF(H155="Yes","❌ Disc",IF(G155="No","⚠ Missing",IF(J155="Yes","✓ OK","⚠ Check"))))</f>
        <v/>
      </c>
      <c r="N155" s="43" t="n">
        <v>46193</v>
      </c>
      <c r="O155" s="26" t="inlineStr">
        <is>
          <t>Sunil CR</t>
        </is>
      </c>
      <c r="P155" s="26" t="inlineStr">
        <is>
          <t>Yes</t>
        </is>
      </c>
      <c r="Q155" s="26" t="inlineStr">
        <is>
          <t>No</t>
        </is>
      </c>
      <c r="R155" s="26" t="inlineStr">
        <is>
          <t>Good finish</t>
        </is>
      </c>
      <c r="S155" s="26" t="inlineStr">
        <is>
          <t>Yes</t>
        </is>
      </c>
      <c r="T155" s="27" t="n"/>
      <c r="U155" s="28" t="inlineStr">
        <is>
          <t>No</t>
        </is>
      </c>
      <c r="V155" s="29">
        <f>IF(N155="","",IF(Q155="Yes","❌ Disc",IF(P155="No","⚠ Missing",IF(S155="Yes","✓ OK","⚠ Check"))))</f>
        <v/>
      </c>
      <c r="W155" s="65" t="n">
        <v>46248</v>
      </c>
      <c r="X155" s="30" t="inlineStr">
        <is>
          <t>Sunil CR</t>
        </is>
      </c>
      <c r="Y155" s="30" t="inlineStr">
        <is>
          <t>Yes</t>
        </is>
      </c>
      <c r="Z155" s="30" t="n"/>
      <c r="AA155" s="30" t="inlineStr">
        <is>
          <t>Good finish</t>
        </is>
      </c>
      <c r="AB155" s="30" t="inlineStr">
        <is>
          <t>Yes</t>
        </is>
      </c>
      <c r="AC155" s="27" t="n"/>
      <c r="AD155" s="31" t="inlineStr">
        <is>
          <t>No</t>
        </is>
      </c>
      <c r="AE155" s="32">
        <f>IF(W155="","",IF(Z155="Yes","❌ Disc",IF(Y155="No","⚠ Missing",IF(AB155="Yes","✓ OK","⚠ Check"))))</f>
        <v/>
      </c>
      <c r="AF155" s="33" t="n"/>
      <c r="AG155" s="33" t="n"/>
      <c r="AH155" s="33" t="n"/>
      <c r="AI155" s="33" t="n"/>
      <c r="AJ155" s="33" t="n"/>
      <c r="AK155" s="33" t="n"/>
      <c r="AL155" s="27" t="n"/>
      <c r="AM155" s="34" t="n"/>
      <c r="AN155" s="35">
        <f>IF(AF155="","",IF(AI155="Yes","❌ Disc",IF(AH155="No","⚠ Missing",IF(AK155="Yes","✓ OK","⚠ Check"))))</f>
        <v/>
      </c>
      <c r="AO155" s="36" t="n"/>
      <c r="AP155" s="36" t="n"/>
      <c r="AQ155" s="36" t="n"/>
      <c r="AR155" s="36" t="n"/>
      <c r="AS155" s="36" t="n"/>
      <c r="AT155" s="36" t="n"/>
      <c r="AU155" s="27" t="n"/>
      <c r="AV155" s="37" t="n"/>
      <c r="AW155" s="38">
        <f>IF(AO155="","",IF(AR155="Yes","❌ Disc",IF(AQ155="No","⚠ Missing",IF(AT155="Yes","✓ OK","⚠ Check"))))</f>
        <v/>
      </c>
    </row>
    <row r="156" ht="18" customHeight="1" s="46">
      <c r="A156" s="39" t="n">
        <v>152</v>
      </c>
      <c r="B156" s="40" t="inlineStr">
        <is>
          <t>BD-VRM-2024-3035</t>
        </is>
      </c>
      <c r="C156" s="41" t="inlineStr">
        <is>
          <t>Flava Rafter - Standard - FL PB 9627 9.5ftx120mm</t>
        </is>
      </c>
      <c r="D156" s="39" t="inlineStr">
        <is>
          <t>Flava</t>
        </is>
      </c>
      <c r="E156" s="43" t="n">
        <v>46126</v>
      </c>
      <c r="F156" s="26" t="inlineStr">
        <is>
          <t>Sunil CR</t>
        </is>
      </c>
      <c r="G156" s="26" t="inlineStr">
        <is>
          <t>Yes</t>
        </is>
      </c>
      <c r="H156" s="26" t="inlineStr">
        <is>
          <t>No</t>
        </is>
      </c>
      <c r="I156" s="26" t="inlineStr">
        <is>
          <t>Good finish</t>
        </is>
      </c>
      <c r="J156" s="26" t="inlineStr">
        <is>
          <t>Yes</t>
        </is>
      </c>
      <c r="K156" s="27" t="n"/>
      <c r="L156" s="28" t="inlineStr">
        <is>
          <t>No</t>
        </is>
      </c>
      <c r="M156" s="29">
        <f>IF(E156="","",IF(H156="Yes","❌ Disc",IF(G156="No","⚠ Missing",IF(J156="Yes","✓ OK","⚠ Check"))))</f>
        <v/>
      </c>
      <c r="N156" s="43" t="n">
        <v>46193</v>
      </c>
      <c r="O156" s="26" t="inlineStr">
        <is>
          <t>Sunil CR</t>
        </is>
      </c>
      <c r="P156" s="26" t="inlineStr">
        <is>
          <t>Yes</t>
        </is>
      </c>
      <c r="Q156" s="26" t="inlineStr">
        <is>
          <t>No</t>
        </is>
      </c>
      <c r="R156" s="26" t="inlineStr">
        <is>
          <t>Good finish</t>
        </is>
      </c>
      <c r="S156" s="26" t="inlineStr">
        <is>
          <t>Yes</t>
        </is>
      </c>
      <c r="T156" s="27" t="n"/>
      <c r="U156" s="28" t="inlineStr">
        <is>
          <t>No</t>
        </is>
      </c>
      <c r="V156" s="29">
        <f>IF(N156="","",IF(Q156="Yes","❌ Disc",IF(P156="No","⚠ Missing",IF(S156="Yes","✓ OK","⚠ Check"))))</f>
        <v/>
      </c>
      <c r="W156" s="65" t="n">
        <v>46248</v>
      </c>
      <c r="X156" s="30" t="inlineStr">
        <is>
          <t>Sunil CR</t>
        </is>
      </c>
      <c r="Y156" s="30" t="inlineStr">
        <is>
          <t>Yes</t>
        </is>
      </c>
      <c r="Z156" s="30" t="n"/>
      <c r="AA156" s="30" t="inlineStr">
        <is>
          <t>Good finish</t>
        </is>
      </c>
      <c r="AB156" s="30" t="inlineStr">
        <is>
          <t>Yes</t>
        </is>
      </c>
      <c r="AC156" s="27" t="n"/>
      <c r="AD156" s="31" t="inlineStr">
        <is>
          <t>No</t>
        </is>
      </c>
      <c r="AE156" s="32">
        <f>IF(W156="","",IF(Z156="Yes","❌ Disc",IF(Y156="No","⚠ Missing",IF(AB156="Yes","✓ OK","⚠ Check"))))</f>
        <v/>
      </c>
      <c r="AF156" s="33" t="n"/>
      <c r="AG156" s="33" t="n"/>
      <c r="AH156" s="33" t="n"/>
      <c r="AI156" s="33" t="n"/>
      <c r="AJ156" s="33" t="n"/>
      <c r="AK156" s="33" t="n"/>
      <c r="AL156" s="27" t="n"/>
      <c r="AM156" s="34" t="n"/>
      <c r="AN156" s="35">
        <f>IF(AF156="","",IF(AI156="Yes","❌ Disc",IF(AH156="No","⚠ Missing",IF(AK156="Yes","✓ OK","⚠ Check"))))</f>
        <v/>
      </c>
      <c r="AO156" s="36" t="n"/>
      <c r="AP156" s="36" t="n"/>
      <c r="AQ156" s="36" t="n"/>
      <c r="AR156" s="36" t="n"/>
      <c r="AS156" s="36" t="n"/>
      <c r="AT156" s="36" t="n"/>
      <c r="AU156" s="27" t="n"/>
      <c r="AV156" s="37" t="n"/>
      <c r="AW156" s="38">
        <f>IF(AO156="","",IF(AR156="Yes","❌ Disc",IF(AQ156="No","⚠ Missing",IF(AT156="Yes","✓ OK","⚠ Check"))))</f>
        <v/>
      </c>
    </row>
    <row r="157" ht="18" customHeight="1" s="46">
      <c r="A157" s="23" t="n">
        <v>153</v>
      </c>
      <c r="B157" s="24" t="inlineStr">
        <is>
          <t>BD-VRM-2024-3036</t>
        </is>
      </c>
      <c r="C157" s="25" t="inlineStr">
        <is>
          <t>Flava Rafter - Standard - FL PB 9628 9.5ftx120mm</t>
        </is>
      </c>
      <c r="D157" s="23" t="inlineStr">
        <is>
          <t>Flava</t>
        </is>
      </c>
      <c r="E157" s="43" t="n">
        <v>46126</v>
      </c>
      <c r="F157" s="26" t="inlineStr">
        <is>
          <t>Sunil CR</t>
        </is>
      </c>
      <c r="G157" s="26" t="inlineStr">
        <is>
          <t>Yes</t>
        </is>
      </c>
      <c r="H157" s="26" t="inlineStr">
        <is>
          <t>No</t>
        </is>
      </c>
      <c r="I157" s="26" t="inlineStr">
        <is>
          <t>Good finish</t>
        </is>
      </c>
      <c r="J157" s="26" t="inlineStr">
        <is>
          <t>Yes</t>
        </is>
      </c>
      <c r="K157" s="27" t="n"/>
      <c r="L157" s="28" t="inlineStr">
        <is>
          <t>No</t>
        </is>
      </c>
      <c r="M157" s="29">
        <f>IF(E157="","",IF(H157="Yes","❌ Disc",IF(G157="No","⚠ Missing",IF(J157="Yes","✓ OK","⚠ Check"))))</f>
        <v/>
      </c>
      <c r="N157" s="43" t="n">
        <v>46193</v>
      </c>
      <c r="O157" s="26" t="inlineStr">
        <is>
          <t>Sunil CR</t>
        </is>
      </c>
      <c r="P157" s="26" t="inlineStr">
        <is>
          <t>Yes</t>
        </is>
      </c>
      <c r="Q157" s="26" t="inlineStr">
        <is>
          <t>No</t>
        </is>
      </c>
      <c r="R157" s="26" t="inlineStr">
        <is>
          <t>Good finish</t>
        </is>
      </c>
      <c r="S157" s="26" t="inlineStr">
        <is>
          <t>Yes</t>
        </is>
      </c>
      <c r="T157" s="27" t="n"/>
      <c r="U157" s="28" t="inlineStr">
        <is>
          <t>No</t>
        </is>
      </c>
      <c r="V157" s="29">
        <f>IF(N157="","",IF(Q157="Yes","❌ Disc",IF(P157="No","⚠ Missing",IF(S157="Yes","✓ OK","⚠ Check"))))</f>
        <v/>
      </c>
      <c r="W157" s="65" t="n">
        <v>46248</v>
      </c>
      <c r="X157" s="30" t="inlineStr">
        <is>
          <t>Sunil CR</t>
        </is>
      </c>
      <c r="Y157" s="30" t="inlineStr">
        <is>
          <t>Yes</t>
        </is>
      </c>
      <c r="Z157" s="30" t="n"/>
      <c r="AA157" s="30" t="inlineStr">
        <is>
          <t>Good finish</t>
        </is>
      </c>
      <c r="AB157" s="30" t="inlineStr">
        <is>
          <t>Yes</t>
        </is>
      </c>
      <c r="AC157" s="27" t="n"/>
      <c r="AD157" s="31" t="inlineStr">
        <is>
          <t>No</t>
        </is>
      </c>
      <c r="AE157" s="32">
        <f>IF(W157="","",IF(Z157="Yes","❌ Disc",IF(Y157="No","⚠ Missing",IF(AB157="Yes","✓ OK","⚠ Check"))))</f>
        <v/>
      </c>
      <c r="AF157" s="33" t="n"/>
      <c r="AG157" s="33" t="n"/>
      <c r="AH157" s="33" t="n"/>
      <c r="AI157" s="33" t="n"/>
      <c r="AJ157" s="33" t="n"/>
      <c r="AK157" s="33" t="n"/>
      <c r="AL157" s="27" t="n"/>
      <c r="AM157" s="34" t="n"/>
      <c r="AN157" s="35">
        <f>IF(AF157="","",IF(AI157="Yes","❌ Disc",IF(AH157="No","⚠ Missing",IF(AK157="Yes","✓ OK","⚠ Check"))))</f>
        <v/>
      </c>
      <c r="AO157" s="36" t="n"/>
      <c r="AP157" s="36" t="n"/>
      <c r="AQ157" s="36" t="n"/>
      <c r="AR157" s="36" t="n"/>
      <c r="AS157" s="36" t="n"/>
      <c r="AT157" s="36" t="n"/>
      <c r="AU157" s="27" t="n"/>
      <c r="AV157" s="37" t="n"/>
      <c r="AW157" s="38">
        <f>IF(AO157="","",IF(AR157="Yes","❌ Disc",IF(AQ157="No","⚠ Missing",IF(AT157="Yes","✓ OK","⚠ Check"))))</f>
        <v/>
      </c>
    </row>
    <row r="158" ht="18" customHeight="1" s="46">
      <c r="A158" s="39" t="n">
        <v>154</v>
      </c>
      <c r="B158" s="40" t="inlineStr">
        <is>
          <t>BD-VRM-2024-3032</t>
        </is>
      </c>
      <c r="C158" s="41" t="inlineStr">
        <is>
          <t>Flava Rafter - Standard - FL PB 9629 9.5ftx120mm</t>
        </is>
      </c>
      <c r="D158" s="39" t="inlineStr">
        <is>
          <t>Flava</t>
        </is>
      </c>
      <c r="E158" s="43" t="n">
        <v>46126</v>
      </c>
      <c r="F158" s="26" t="inlineStr">
        <is>
          <t>Sunil CR</t>
        </is>
      </c>
      <c r="G158" s="26" t="inlineStr">
        <is>
          <t>Yes</t>
        </is>
      </c>
      <c r="H158" s="26" t="inlineStr">
        <is>
          <t>No</t>
        </is>
      </c>
      <c r="I158" s="26" t="inlineStr">
        <is>
          <t>Good finish</t>
        </is>
      </c>
      <c r="J158" s="26" t="inlineStr">
        <is>
          <t>Yes</t>
        </is>
      </c>
      <c r="K158" s="27" t="n"/>
      <c r="L158" s="28" t="inlineStr">
        <is>
          <t>No</t>
        </is>
      </c>
      <c r="M158" s="29">
        <f>IF(E158="","",IF(H158="Yes","❌ Disc",IF(G158="No","⚠ Missing",IF(J158="Yes","✓ OK","⚠ Check"))))</f>
        <v/>
      </c>
      <c r="N158" s="43" t="n">
        <v>46193</v>
      </c>
      <c r="O158" s="26" t="inlineStr">
        <is>
          <t>Sunil CR</t>
        </is>
      </c>
      <c r="P158" s="26" t="inlineStr">
        <is>
          <t>Yes</t>
        </is>
      </c>
      <c r="Q158" s="26" t="inlineStr">
        <is>
          <t>No</t>
        </is>
      </c>
      <c r="R158" s="26" t="inlineStr">
        <is>
          <t>Good finish</t>
        </is>
      </c>
      <c r="S158" s="26" t="inlineStr">
        <is>
          <t>Yes</t>
        </is>
      </c>
      <c r="T158" s="27" t="n"/>
      <c r="U158" s="28" t="inlineStr">
        <is>
          <t>No</t>
        </is>
      </c>
      <c r="V158" s="29">
        <f>IF(N158="","",IF(Q158="Yes","❌ Disc",IF(P158="No","⚠ Missing",IF(S158="Yes","✓ OK","⚠ Check"))))</f>
        <v/>
      </c>
      <c r="W158" s="65" t="n">
        <v>46248</v>
      </c>
      <c r="X158" s="30" t="inlineStr">
        <is>
          <t>Sunil CR</t>
        </is>
      </c>
      <c r="Y158" s="30" t="inlineStr">
        <is>
          <t>Yes</t>
        </is>
      </c>
      <c r="Z158" s="30" t="n"/>
      <c r="AA158" s="30" t="inlineStr">
        <is>
          <t>Good finish</t>
        </is>
      </c>
      <c r="AB158" s="30" t="inlineStr">
        <is>
          <t>Yes</t>
        </is>
      </c>
      <c r="AC158" s="27" t="n"/>
      <c r="AD158" s="31" t="inlineStr">
        <is>
          <t>No</t>
        </is>
      </c>
      <c r="AE158" s="32">
        <f>IF(W158="","",IF(Z158="Yes","❌ Disc",IF(Y158="No","⚠ Missing",IF(AB158="Yes","✓ OK","⚠ Check"))))</f>
        <v/>
      </c>
      <c r="AF158" s="33" t="n"/>
      <c r="AG158" s="33" t="n"/>
      <c r="AH158" s="33" t="n"/>
      <c r="AI158" s="33" t="n"/>
      <c r="AJ158" s="33" t="n"/>
      <c r="AK158" s="33" t="n"/>
      <c r="AL158" s="27" t="n"/>
      <c r="AM158" s="34" t="n"/>
      <c r="AN158" s="35">
        <f>IF(AF158="","",IF(AI158="Yes","❌ Disc",IF(AH158="No","⚠ Missing",IF(AK158="Yes","✓ OK","⚠ Check"))))</f>
        <v/>
      </c>
      <c r="AO158" s="36" t="n"/>
      <c r="AP158" s="36" t="n"/>
      <c r="AQ158" s="36" t="n"/>
      <c r="AR158" s="36" t="n"/>
      <c r="AS158" s="36" t="n"/>
      <c r="AT158" s="36" t="n"/>
      <c r="AU158" s="27" t="n"/>
      <c r="AV158" s="37" t="n"/>
      <c r="AW158" s="38">
        <f>IF(AO158="","",IF(AR158="Yes","❌ Disc",IF(AQ158="No","⚠ Missing",IF(AT158="Yes","✓ OK","⚠ Check"))))</f>
        <v/>
      </c>
    </row>
    <row r="159" ht="18" customHeight="1" s="46">
      <c r="A159" s="23" t="n">
        <v>155</v>
      </c>
      <c r="B159" s="24" t="inlineStr">
        <is>
          <t>BD-VRM-2024-3033</t>
        </is>
      </c>
      <c r="C159" s="25" t="inlineStr">
        <is>
          <t>Flava Rafter - Standard - FL PB 9630 9.5ftx120mm</t>
        </is>
      </c>
      <c r="D159" s="23" t="inlineStr">
        <is>
          <t>Flava</t>
        </is>
      </c>
      <c r="E159" s="43" t="n">
        <v>46126</v>
      </c>
      <c r="F159" s="26" t="inlineStr">
        <is>
          <t>Sunil CR</t>
        </is>
      </c>
      <c r="G159" s="26" t="inlineStr">
        <is>
          <t>Yes</t>
        </is>
      </c>
      <c r="H159" s="26" t="inlineStr">
        <is>
          <t>No</t>
        </is>
      </c>
      <c r="I159" s="26" t="inlineStr">
        <is>
          <t>Good finish</t>
        </is>
      </c>
      <c r="J159" s="26" t="inlineStr">
        <is>
          <t>Yes</t>
        </is>
      </c>
      <c r="K159" s="27" t="n"/>
      <c r="L159" s="28" t="inlineStr">
        <is>
          <t>No</t>
        </is>
      </c>
      <c r="M159" s="29">
        <f>IF(E159="","",IF(H159="Yes","❌ Disc",IF(G159="No","⚠ Missing",IF(J159="Yes","✓ OK","⚠ Check"))))</f>
        <v/>
      </c>
      <c r="N159" s="43" t="n">
        <v>46193</v>
      </c>
      <c r="O159" s="26" t="inlineStr">
        <is>
          <t>Sunil CR</t>
        </is>
      </c>
      <c r="P159" s="26" t="inlineStr">
        <is>
          <t>Yes</t>
        </is>
      </c>
      <c r="Q159" s="26" t="inlineStr">
        <is>
          <t>No</t>
        </is>
      </c>
      <c r="R159" s="26" t="inlineStr">
        <is>
          <t>Good finish</t>
        </is>
      </c>
      <c r="S159" s="26" t="inlineStr">
        <is>
          <t>Yes</t>
        </is>
      </c>
      <c r="T159" s="27" t="n"/>
      <c r="U159" s="28" t="inlineStr">
        <is>
          <t>No</t>
        </is>
      </c>
      <c r="V159" s="29">
        <f>IF(N159="","",IF(Q159="Yes","❌ Disc",IF(P159="No","⚠ Missing",IF(S159="Yes","✓ OK","⚠ Check"))))</f>
        <v/>
      </c>
      <c r="W159" s="65" t="n">
        <v>46248</v>
      </c>
      <c r="X159" s="30" t="inlineStr">
        <is>
          <t>Sunil CR</t>
        </is>
      </c>
      <c r="Y159" s="30" t="inlineStr">
        <is>
          <t>Yes</t>
        </is>
      </c>
      <c r="Z159" s="30" t="n"/>
      <c r="AA159" s="30" t="inlineStr">
        <is>
          <t>Good finish</t>
        </is>
      </c>
      <c r="AB159" s="30" t="inlineStr">
        <is>
          <t>Yes</t>
        </is>
      </c>
      <c r="AC159" s="27" t="n"/>
      <c r="AD159" s="31" t="inlineStr">
        <is>
          <t>No</t>
        </is>
      </c>
      <c r="AE159" s="32">
        <f>IF(W159="","",IF(Z159="Yes","❌ Disc",IF(Y159="No","⚠ Missing",IF(AB159="Yes","✓ OK","⚠ Check"))))</f>
        <v/>
      </c>
      <c r="AF159" s="33" t="n"/>
      <c r="AG159" s="33" t="n"/>
      <c r="AH159" s="33" t="n"/>
      <c r="AI159" s="33" t="n"/>
      <c r="AJ159" s="33" t="n"/>
      <c r="AK159" s="33" t="n"/>
      <c r="AL159" s="27" t="n"/>
      <c r="AM159" s="34" t="n"/>
      <c r="AN159" s="35">
        <f>IF(AF159="","",IF(AI159="Yes","❌ Disc",IF(AH159="No","⚠ Missing",IF(AK159="Yes","✓ OK","⚠ Check"))))</f>
        <v/>
      </c>
      <c r="AO159" s="36" t="n"/>
      <c r="AP159" s="36" t="n"/>
      <c r="AQ159" s="36" t="n"/>
      <c r="AR159" s="36" t="n"/>
      <c r="AS159" s="36" t="n"/>
      <c r="AT159" s="36" t="n"/>
      <c r="AU159" s="27" t="n"/>
      <c r="AV159" s="37" t="n"/>
      <c r="AW159" s="38">
        <f>IF(AO159="","",IF(AR159="Yes","❌ Disc",IF(AQ159="No","⚠ Missing",IF(AT159="Yes","✓ OK","⚠ Check"))))</f>
        <v/>
      </c>
    </row>
    <row r="160" ht="18" customHeight="1" s="46">
      <c r="A160" s="39" t="n">
        <v>156</v>
      </c>
      <c r="B160" s="40" t="inlineStr">
        <is>
          <t>BD-VRM-2024-3040</t>
        </is>
      </c>
      <c r="C160" s="41" t="inlineStr">
        <is>
          <t>Flava Rafter - Standard - FL PB 9631 9.5ftx120mm</t>
        </is>
      </c>
      <c r="D160" s="39" t="inlineStr">
        <is>
          <t>Flava</t>
        </is>
      </c>
      <c r="E160" s="43" t="n">
        <v>46126</v>
      </c>
      <c r="F160" s="26" t="inlineStr">
        <is>
          <t>Sunil CR</t>
        </is>
      </c>
      <c r="G160" s="26" t="inlineStr">
        <is>
          <t>Yes</t>
        </is>
      </c>
      <c r="H160" s="26" t="inlineStr">
        <is>
          <t>No</t>
        </is>
      </c>
      <c r="I160" s="26" t="inlineStr">
        <is>
          <t>Good finish</t>
        </is>
      </c>
      <c r="J160" s="26" t="inlineStr">
        <is>
          <t>Yes</t>
        </is>
      </c>
      <c r="K160" s="27" t="n"/>
      <c r="L160" s="28" t="inlineStr">
        <is>
          <t>No</t>
        </is>
      </c>
      <c r="M160" s="29">
        <f>IF(E160="","",IF(H160="Yes","❌ Disc",IF(G160="No","⚠ Missing",IF(J160="Yes","✓ OK","⚠ Check"))))</f>
        <v/>
      </c>
      <c r="N160" s="43" t="n">
        <v>46193</v>
      </c>
      <c r="O160" s="26" t="inlineStr">
        <is>
          <t>Sunil CR</t>
        </is>
      </c>
      <c r="P160" s="26" t="inlineStr">
        <is>
          <t>Yes</t>
        </is>
      </c>
      <c r="Q160" s="26" t="inlineStr">
        <is>
          <t>No</t>
        </is>
      </c>
      <c r="R160" s="26" t="inlineStr">
        <is>
          <t>Good finish</t>
        </is>
      </c>
      <c r="S160" s="26" t="inlineStr">
        <is>
          <t>Yes</t>
        </is>
      </c>
      <c r="T160" s="27" t="n"/>
      <c r="U160" s="28" t="inlineStr">
        <is>
          <t>No</t>
        </is>
      </c>
      <c r="V160" s="29">
        <f>IF(N160="","",IF(Q160="Yes","❌ Disc",IF(P160="No","⚠ Missing",IF(S160="Yes","✓ OK","⚠ Check"))))</f>
        <v/>
      </c>
      <c r="W160" s="65" t="n">
        <v>46248</v>
      </c>
      <c r="X160" s="30" t="inlineStr">
        <is>
          <t>Sunil CR</t>
        </is>
      </c>
      <c r="Y160" s="30" t="inlineStr">
        <is>
          <t>Yes</t>
        </is>
      </c>
      <c r="Z160" s="30" t="n"/>
      <c r="AA160" s="30" t="inlineStr">
        <is>
          <t>Good finish</t>
        </is>
      </c>
      <c r="AB160" s="30" t="inlineStr">
        <is>
          <t>Yes</t>
        </is>
      </c>
      <c r="AC160" s="27" t="n"/>
      <c r="AD160" s="31" t="inlineStr">
        <is>
          <t>No</t>
        </is>
      </c>
      <c r="AE160" s="32">
        <f>IF(W160="","",IF(Z160="Yes","❌ Disc",IF(Y160="No","⚠ Missing",IF(AB160="Yes","✓ OK","⚠ Check"))))</f>
        <v/>
      </c>
      <c r="AF160" s="33" t="n"/>
      <c r="AG160" s="33" t="n"/>
      <c r="AH160" s="33" t="n"/>
      <c r="AI160" s="33" t="n"/>
      <c r="AJ160" s="33" t="n"/>
      <c r="AK160" s="33" t="n"/>
      <c r="AL160" s="27" t="n"/>
      <c r="AM160" s="34" t="n"/>
      <c r="AN160" s="35">
        <f>IF(AF160="","",IF(AI160="Yes","❌ Disc",IF(AH160="No","⚠ Missing",IF(AK160="Yes","✓ OK","⚠ Check"))))</f>
        <v/>
      </c>
      <c r="AO160" s="36" t="n"/>
      <c r="AP160" s="36" t="n"/>
      <c r="AQ160" s="36" t="n"/>
      <c r="AR160" s="36" t="n"/>
      <c r="AS160" s="36" t="n"/>
      <c r="AT160" s="36" t="n"/>
      <c r="AU160" s="27" t="n"/>
      <c r="AV160" s="37" t="n"/>
      <c r="AW160" s="38">
        <f>IF(AO160="","",IF(AR160="Yes","❌ Disc",IF(AQ160="No","⚠ Missing",IF(AT160="Yes","✓ OK","⚠ Check"))))</f>
        <v/>
      </c>
    </row>
    <row r="161" ht="18" customHeight="1" s="46">
      <c r="A161" s="23" t="n">
        <v>157</v>
      </c>
      <c r="B161" s="24" t="inlineStr">
        <is>
          <t>BD-VRM-2024-3029</t>
        </is>
      </c>
      <c r="C161" s="25" t="inlineStr">
        <is>
          <t>Flava Rafter - Standard - FL PB 9632 9.5ftx120mm</t>
        </is>
      </c>
      <c r="D161" s="23" t="inlineStr">
        <is>
          <t>Flava</t>
        </is>
      </c>
      <c r="E161" s="43" t="n">
        <v>46126</v>
      </c>
      <c r="F161" s="26" t="inlineStr">
        <is>
          <t>Sunil CR</t>
        </is>
      </c>
      <c r="G161" s="26" t="inlineStr">
        <is>
          <t>Yes</t>
        </is>
      </c>
      <c r="H161" s="26" t="inlineStr">
        <is>
          <t>No</t>
        </is>
      </c>
      <c r="I161" s="26" t="inlineStr">
        <is>
          <t>Good finish</t>
        </is>
      </c>
      <c r="J161" s="26" t="inlineStr">
        <is>
          <t>Yes</t>
        </is>
      </c>
      <c r="K161" s="27" t="n"/>
      <c r="L161" s="28" t="inlineStr">
        <is>
          <t>No</t>
        </is>
      </c>
      <c r="M161" s="29">
        <f>IF(E161="","",IF(H161="Yes","❌ Disc",IF(G161="No","⚠ Missing",IF(J161="Yes","✓ OK","⚠ Check"))))</f>
        <v/>
      </c>
      <c r="N161" s="43" t="n">
        <v>46193</v>
      </c>
      <c r="O161" s="26" t="inlineStr">
        <is>
          <t>Sunil CR</t>
        </is>
      </c>
      <c r="P161" s="26" t="inlineStr">
        <is>
          <t>Yes</t>
        </is>
      </c>
      <c r="Q161" s="26" t="inlineStr">
        <is>
          <t>No</t>
        </is>
      </c>
      <c r="R161" s="26" t="inlineStr">
        <is>
          <t>Good finish</t>
        </is>
      </c>
      <c r="S161" s="26" t="inlineStr">
        <is>
          <t>Yes</t>
        </is>
      </c>
      <c r="T161" s="27" t="n"/>
      <c r="U161" s="28" t="inlineStr">
        <is>
          <t>No</t>
        </is>
      </c>
      <c r="V161" s="29">
        <f>IF(N161="","",IF(Q161="Yes","❌ Disc",IF(P161="No","⚠ Missing",IF(S161="Yes","✓ OK","⚠ Check"))))</f>
        <v/>
      </c>
      <c r="W161" s="65" t="n">
        <v>46248</v>
      </c>
      <c r="X161" s="30" t="inlineStr">
        <is>
          <t>Sunil CR</t>
        </is>
      </c>
      <c r="Y161" s="30" t="inlineStr">
        <is>
          <t>Yes</t>
        </is>
      </c>
      <c r="Z161" s="30" t="n"/>
      <c r="AA161" s="30" t="inlineStr">
        <is>
          <t>Good finish</t>
        </is>
      </c>
      <c r="AB161" s="30" t="inlineStr">
        <is>
          <t>Yes</t>
        </is>
      </c>
      <c r="AC161" s="27" t="n"/>
      <c r="AD161" s="31" t="inlineStr">
        <is>
          <t>No</t>
        </is>
      </c>
      <c r="AE161" s="32">
        <f>IF(W161="","",IF(Z161="Yes","❌ Disc",IF(Y161="No","⚠ Missing",IF(AB161="Yes","✓ OK","⚠ Check"))))</f>
        <v/>
      </c>
      <c r="AF161" s="33" t="n"/>
      <c r="AG161" s="33" t="n"/>
      <c r="AH161" s="33" t="n"/>
      <c r="AI161" s="33" t="n"/>
      <c r="AJ161" s="33" t="n"/>
      <c r="AK161" s="33" t="n"/>
      <c r="AL161" s="27" t="n"/>
      <c r="AM161" s="34" t="n"/>
      <c r="AN161" s="35">
        <f>IF(AF161="","",IF(AI161="Yes","❌ Disc",IF(AH161="No","⚠ Missing",IF(AK161="Yes","✓ OK","⚠ Check"))))</f>
        <v/>
      </c>
      <c r="AO161" s="36" t="n"/>
      <c r="AP161" s="36" t="n"/>
      <c r="AQ161" s="36" t="n"/>
      <c r="AR161" s="36" t="n"/>
      <c r="AS161" s="36" t="n"/>
      <c r="AT161" s="36" t="n"/>
      <c r="AU161" s="27" t="n"/>
      <c r="AV161" s="37" t="n"/>
      <c r="AW161" s="38">
        <f>IF(AO161="","",IF(AR161="Yes","❌ Disc",IF(AQ161="No","⚠ Missing",IF(AT161="Yes","✓ OK","⚠ Check"))))</f>
        <v/>
      </c>
    </row>
    <row r="162" ht="18" customHeight="1" s="46">
      <c r="A162" s="39" t="n">
        <v>158</v>
      </c>
      <c r="B162" s="40" t="inlineStr">
        <is>
          <t>BD-VRM-2024-3046</t>
        </is>
      </c>
      <c r="C162" s="41" t="inlineStr">
        <is>
          <t>Flava Rafter - Standard - FL PB 9633 9.5ftx120mm</t>
        </is>
      </c>
      <c r="D162" s="39" t="inlineStr">
        <is>
          <t>Flava</t>
        </is>
      </c>
      <c r="E162" s="43" t="n">
        <v>46126</v>
      </c>
      <c r="F162" s="26" t="inlineStr">
        <is>
          <t>Sunil CR</t>
        </is>
      </c>
      <c r="G162" s="26" t="inlineStr">
        <is>
          <t>Yes</t>
        </is>
      </c>
      <c r="H162" s="26" t="inlineStr">
        <is>
          <t>No</t>
        </is>
      </c>
      <c r="I162" s="26" t="inlineStr">
        <is>
          <t>Good finish</t>
        </is>
      </c>
      <c r="J162" s="26" t="inlineStr">
        <is>
          <t>Yes</t>
        </is>
      </c>
      <c r="K162" s="27" t="n"/>
      <c r="L162" s="28" t="inlineStr">
        <is>
          <t>No</t>
        </is>
      </c>
      <c r="M162" s="29">
        <f>IF(E162="","",IF(H162="Yes","❌ Disc",IF(G162="No","⚠ Missing",IF(J162="Yes","✓ OK","⚠ Check"))))</f>
        <v/>
      </c>
      <c r="N162" s="43" t="n">
        <v>46193</v>
      </c>
      <c r="O162" s="26" t="inlineStr">
        <is>
          <t>Sunil CR</t>
        </is>
      </c>
      <c r="P162" s="26" t="inlineStr">
        <is>
          <t>Yes</t>
        </is>
      </c>
      <c r="Q162" s="26" t="inlineStr">
        <is>
          <t>No</t>
        </is>
      </c>
      <c r="R162" s="26" t="inlineStr">
        <is>
          <t>Good finish</t>
        </is>
      </c>
      <c r="S162" s="26" t="inlineStr">
        <is>
          <t>Yes</t>
        </is>
      </c>
      <c r="T162" s="27" t="n"/>
      <c r="U162" s="28" t="inlineStr">
        <is>
          <t>No</t>
        </is>
      </c>
      <c r="V162" s="29">
        <f>IF(N162="","",IF(Q162="Yes","❌ Disc",IF(P162="No","⚠ Missing",IF(S162="Yes","✓ OK","⚠ Check"))))</f>
        <v/>
      </c>
      <c r="W162" s="65" t="n">
        <v>46248</v>
      </c>
      <c r="X162" s="30" t="inlineStr">
        <is>
          <t>Sunil CR</t>
        </is>
      </c>
      <c r="Y162" s="30" t="inlineStr">
        <is>
          <t>Yes</t>
        </is>
      </c>
      <c r="Z162" s="30" t="n"/>
      <c r="AA162" s="30" t="inlineStr">
        <is>
          <t>Good finish</t>
        </is>
      </c>
      <c r="AB162" s="30" t="inlineStr">
        <is>
          <t>Yes</t>
        </is>
      </c>
      <c r="AC162" s="27" t="n"/>
      <c r="AD162" s="31" t="inlineStr">
        <is>
          <t>No</t>
        </is>
      </c>
      <c r="AE162" s="32">
        <f>IF(W162="","",IF(Z162="Yes","❌ Disc",IF(Y162="No","⚠ Missing",IF(AB162="Yes","✓ OK","⚠ Check"))))</f>
        <v/>
      </c>
      <c r="AF162" s="33" t="n"/>
      <c r="AG162" s="33" t="n"/>
      <c r="AH162" s="33" t="n"/>
      <c r="AI162" s="33" t="n"/>
      <c r="AJ162" s="33" t="n"/>
      <c r="AK162" s="33" t="n"/>
      <c r="AL162" s="27" t="n"/>
      <c r="AM162" s="34" t="n"/>
      <c r="AN162" s="35">
        <f>IF(AF162="","",IF(AI162="Yes","❌ Disc",IF(AH162="No","⚠ Missing",IF(AK162="Yes","✓ OK","⚠ Check"))))</f>
        <v/>
      </c>
      <c r="AO162" s="36" t="n"/>
      <c r="AP162" s="36" t="n"/>
      <c r="AQ162" s="36" t="n"/>
      <c r="AR162" s="36" t="n"/>
      <c r="AS162" s="36" t="n"/>
      <c r="AT162" s="36" t="n"/>
      <c r="AU162" s="27" t="n"/>
      <c r="AV162" s="37" t="n"/>
      <c r="AW162" s="38">
        <f>IF(AO162="","",IF(AR162="Yes","❌ Disc",IF(AQ162="No","⚠ Missing",IF(AT162="Yes","✓ OK","⚠ Check"))))</f>
        <v/>
      </c>
    </row>
    <row r="163" ht="18" customHeight="1" s="46">
      <c r="A163" s="23" t="n">
        <v>159</v>
      </c>
      <c r="B163" s="24" t="inlineStr">
        <is>
          <t>BD-VRM-2024-3047</t>
        </is>
      </c>
      <c r="C163" s="25" t="inlineStr">
        <is>
          <t>Flava Rafter - Standard - FL PB 9634 9.5ftx120mm</t>
        </is>
      </c>
      <c r="D163" s="23" t="inlineStr">
        <is>
          <t>Flava</t>
        </is>
      </c>
      <c r="E163" s="43" t="n">
        <v>46126</v>
      </c>
      <c r="F163" s="26" t="inlineStr">
        <is>
          <t>Sunil CR</t>
        </is>
      </c>
      <c r="G163" s="26" t="inlineStr">
        <is>
          <t>Yes</t>
        </is>
      </c>
      <c r="H163" s="26" t="inlineStr">
        <is>
          <t>No</t>
        </is>
      </c>
      <c r="I163" s="26" t="inlineStr">
        <is>
          <t>Good finish</t>
        </is>
      </c>
      <c r="J163" s="26" t="inlineStr">
        <is>
          <t>Yes</t>
        </is>
      </c>
      <c r="K163" s="27" t="n"/>
      <c r="L163" s="28" t="inlineStr">
        <is>
          <t>No</t>
        </is>
      </c>
      <c r="M163" s="29">
        <f>IF(E163="","",IF(H163="Yes","❌ Disc",IF(G163="No","⚠ Missing",IF(J163="Yes","✓ OK","⚠ Check"))))</f>
        <v/>
      </c>
      <c r="N163" s="43" t="n">
        <v>46193</v>
      </c>
      <c r="O163" s="26" t="inlineStr">
        <is>
          <t>Sunil CR</t>
        </is>
      </c>
      <c r="P163" s="26" t="inlineStr">
        <is>
          <t>Yes</t>
        </is>
      </c>
      <c r="Q163" s="26" t="inlineStr">
        <is>
          <t>No</t>
        </is>
      </c>
      <c r="R163" s="26" t="inlineStr">
        <is>
          <t>Good finish</t>
        </is>
      </c>
      <c r="S163" s="26" t="inlineStr">
        <is>
          <t>Yes</t>
        </is>
      </c>
      <c r="T163" s="27" t="n"/>
      <c r="U163" s="28" t="inlineStr">
        <is>
          <t>No</t>
        </is>
      </c>
      <c r="V163" s="29">
        <f>IF(N163="","",IF(Q163="Yes","❌ Disc",IF(P163="No","⚠ Missing",IF(S163="Yes","✓ OK","⚠ Check"))))</f>
        <v/>
      </c>
      <c r="W163" s="65" t="n">
        <v>46248</v>
      </c>
      <c r="X163" s="30" t="inlineStr">
        <is>
          <t>Sunil CR</t>
        </is>
      </c>
      <c r="Y163" s="30" t="inlineStr">
        <is>
          <t>Yes</t>
        </is>
      </c>
      <c r="Z163" s="30" t="n"/>
      <c r="AA163" s="30" t="inlineStr">
        <is>
          <t>Good finish</t>
        </is>
      </c>
      <c r="AB163" s="30" t="inlineStr">
        <is>
          <t>Yes</t>
        </is>
      </c>
      <c r="AC163" s="27" t="n"/>
      <c r="AD163" s="31" t="inlineStr">
        <is>
          <t>No</t>
        </is>
      </c>
      <c r="AE163" s="32">
        <f>IF(W163="","",IF(Z163="Yes","❌ Disc",IF(Y163="No","⚠ Missing",IF(AB163="Yes","✓ OK","⚠ Check"))))</f>
        <v/>
      </c>
      <c r="AF163" s="33" t="n"/>
      <c r="AG163" s="33" t="n"/>
      <c r="AH163" s="33" t="n"/>
      <c r="AI163" s="33" t="n"/>
      <c r="AJ163" s="33" t="n"/>
      <c r="AK163" s="33" t="n"/>
      <c r="AL163" s="27" t="n"/>
      <c r="AM163" s="34" t="n"/>
      <c r="AN163" s="35">
        <f>IF(AF163="","",IF(AI163="Yes","❌ Disc",IF(AH163="No","⚠ Missing",IF(AK163="Yes","✓ OK","⚠ Check"))))</f>
        <v/>
      </c>
      <c r="AO163" s="36" t="n"/>
      <c r="AP163" s="36" t="n"/>
      <c r="AQ163" s="36" t="n"/>
      <c r="AR163" s="36" t="n"/>
      <c r="AS163" s="36" t="n"/>
      <c r="AT163" s="36" t="n"/>
      <c r="AU163" s="27" t="n"/>
      <c r="AV163" s="37" t="n"/>
      <c r="AW163" s="38">
        <f>IF(AO163="","",IF(AR163="Yes","❌ Disc",IF(AQ163="No","⚠ Missing",IF(AT163="Yes","✓ OK","⚠ Check"))))</f>
        <v/>
      </c>
    </row>
    <row r="164" ht="18" customHeight="1" s="46">
      <c r="A164" s="39" t="n">
        <v>160</v>
      </c>
      <c r="B164" s="40" t="inlineStr">
        <is>
          <t>BD-VRM-2024-3041</t>
        </is>
      </c>
      <c r="C164" s="41" t="inlineStr">
        <is>
          <t>Flava Rafter - Standard - FL PB 9635 9.5ftx120mm</t>
        </is>
      </c>
      <c r="D164" s="39" t="inlineStr">
        <is>
          <t>Flava</t>
        </is>
      </c>
      <c r="E164" s="43" t="n">
        <v>46126</v>
      </c>
      <c r="F164" s="26" t="inlineStr">
        <is>
          <t>Sunil CR</t>
        </is>
      </c>
      <c r="G164" s="26" t="inlineStr">
        <is>
          <t>Yes</t>
        </is>
      </c>
      <c r="H164" s="26" t="inlineStr">
        <is>
          <t>No</t>
        </is>
      </c>
      <c r="I164" s="26" t="inlineStr">
        <is>
          <t>Good finish</t>
        </is>
      </c>
      <c r="J164" s="26" t="inlineStr">
        <is>
          <t>Yes</t>
        </is>
      </c>
      <c r="K164" s="27" t="n"/>
      <c r="L164" s="28" t="inlineStr">
        <is>
          <t>No</t>
        </is>
      </c>
      <c r="M164" s="29">
        <f>IF(E164="","",IF(H164="Yes","❌ Disc",IF(G164="No","⚠ Missing",IF(J164="Yes","✓ OK","⚠ Check"))))</f>
        <v/>
      </c>
      <c r="N164" s="43" t="n">
        <v>46193</v>
      </c>
      <c r="O164" s="26" t="inlineStr">
        <is>
          <t>Sunil CR</t>
        </is>
      </c>
      <c r="P164" s="26" t="inlineStr">
        <is>
          <t>Yes</t>
        </is>
      </c>
      <c r="Q164" s="26" t="inlineStr">
        <is>
          <t>No</t>
        </is>
      </c>
      <c r="R164" s="26" t="inlineStr">
        <is>
          <t>Good finish</t>
        </is>
      </c>
      <c r="S164" s="26" t="inlineStr">
        <is>
          <t>Yes</t>
        </is>
      </c>
      <c r="T164" s="27" t="n"/>
      <c r="U164" s="28" t="inlineStr">
        <is>
          <t>No</t>
        </is>
      </c>
      <c r="V164" s="29">
        <f>IF(N164="","",IF(Q164="Yes","❌ Disc",IF(P164="No","⚠ Missing",IF(S164="Yes","✓ OK","⚠ Check"))))</f>
        <v/>
      </c>
      <c r="W164" s="65" t="n">
        <v>46248</v>
      </c>
      <c r="X164" s="30" t="inlineStr">
        <is>
          <t>Sunil CR</t>
        </is>
      </c>
      <c r="Y164" s="30" t="inlineStr">
        <is>
          <t>Yes</t>
        </is>
      </c>
      <c r="Z164" s="30" t="n"/>
      <c r="AA164" s="30" t="inlineStr">
        <is>
          <t>Good finish</t>
        </is>
      </c>
      <c r="AB164" s="30" t="inlineStr">
        <is>
          <t>Yes</t>
        </is>
      </c>
      <c r="AC164" s="27" t="n"/>
      <c r="AD164" s="31" t="inlineStr">
        <is>
          <t>No</t>
        </is>
      </c>
      <c r="AE164" s="32">
        <f>IF(W164="","",IF(Z164="Yes","❌ Disc",IF(Y164="No","⚠ Missing",IF(AB164="Yes","✓ OK","⚠ Check"))))</f>
        <v/>
      </c>
      <c r="AF164" s="33" t="n"/>
      <c r="AG164" s="33" t="n"/>
      <c r="AH164" s="33" t="n"/>
      <c r="AI164" s="33" t="n"/>
      <c r="AJ164" s="33" t="n"/>
      <c r="AK164" s="33" t="n"/>
      <c r="AL164" s="27" t="n"/>
      <c r="AM164" s="34" t="n"/>
      <c r="AN164" s="35">
        <f>IF(AF164="","",IF(AI164="Yes","❌ Disc",IF(AH164="No","⚠ Missing",IF(AK164="Yes","✓ OK","⚠ Check"))))</f>
        <v/>
      </c>
      <c r="AO164" s="36" t="n"/>
      <c r="AP164" s="36" t="n"/>
      <c r="AQ164" s="36" t="n"/>
      <c r="AR164" s="36" t="n"/>
      <c r="AS164" s="36" t="n"/>
      <c r="AT164" s="36" t="n"/>
      <c r="AU164" s="27" t="n"/>
      <c r="AV164" s="37" t="n"/>
      <c r="AW164" s="38">
        <f>IF(AO164="","",IF(AR164="Yes","❌ Disc",IF(AQ164="No","⚠ Missing",IF(AT164="Yes","✓ OK","⚠ Check"))))</f>
        <v/>
      </c>
    </row>
    <row r="165" ht="18" customHeight="1" s="46">
      <c r="A165" s="23" t="n">
        <v>161</v>
      </c>
      <c r="B165" s="24" t="inlineStr">
        <is>
          <t>BD-VRM-2024-3028</t>
        </is>
      </c>
      <c r="C165" s="25" t="inlineStr">
        <is>
          <t>Flava Rafter - Standard - FL PB 9637 9.5ftx120mm</t>
        </is>
      </c>
      <c r="D165" s="23" t="inlineStr">
        <is>
          <t>Flava</t>
        </is>
      </c>
      <c r="E165" s="43" t="n">
        <v>46126</v>
      </c>
      <c r="F165" s="26" t="inlineStr">
        <is>
          <t>Sunil CR</t>
        </is>
      </c>
      <c r="G165" s="26" t="inlineStr">
        <is>
          <t>Yes</t>
        </is>
      </c>
      <c r="H165" s="26" t="inlineStr">
        <is>
          <t>No</t>
        </is>
      </c>
      <c r="I165" s="26" t="inlineStr">
        <is>
          <t>Good finish</t>
        </is>
      </c>
      <c r="J165" s="26" t="inlineStr">
        <is>
          <t>Yes</t>
        </is>
      </c>
      <c r="K165" s="27" t="n"/>
      <c r="L165" s="28" t="inlineStr">
        <is>
          <t>No</t>
        </is>
      </c>
      <c r="M165" s="29">
        <f>IF(E165="","",IF(H165="Yes","❌ Disc",IF(G165="No","⚠ Missing",IF(J165="Yes","✓ OK","⚠ Check"))))</f>
        <v/>
      </c>
      <c r="N165" s="43" t="n">
        <v>46193</v>
      </c>
      <c r="O165" s="26" t="inlineStr">
        <is>
          <t>Sunil CR</t>
        </is>
      </c>
      <c r="P165" s="26" t="inlineStr">
        <is>
          <t>Yes</t>
        </is>
      </c>
      <c r="Q165" s="26" t="inlineStr">
        <is>
          <t>No</t>
        </is>
      </c>
      <c r="R165" s="26" t="inlineStr">
        <is>
          <t>Good finish</t>
        </is>
      </c>
      <c r="S165" s="26" t="inlineStr">
        <is>
          <t>Yes</t>
        </is>
      </c>
      <c r="T165" s="27" t="n"/>
      <c r="U165" s="28" t="inlineStr">
        <is>
          <t>No</t>
        </is>
      </c>
      <c r="V165" s="29">
        <f>IF(N165="","",IF(Q165="Yes","❌ Disc",IF(P165="No","⚠ Missing",IF(S165="Yes","✓ OK","⚠ Check"))))</f>
        <v/>
      </c>
      <c r="W165" s="65" t="n">
        <v>46248</v>
      </c>
      <c r="X165" s="30" t="inlineStr">
        <is>
          <t>Sunil CR</t>
        </is>
      </c>
      <c r="Y165" s="30" t="inlineStr">
        <is>
          <t>Yes</t>
        </is>
      </c>
      <c r="Z165" s="30" t="n"/>
      <c r="AA165" s="30" t="inlineStr">
        <is>
          <t>Good finish</t>
        </is>
      </c>
      <c r="AB165" s="30" t="inlineStr">
        <is>
          <t>Yes</t>
        </is>
      </c>
      <c r="AC165" s="27" t="n"/>
      <c r="AD165" s="31" t="inlineStr">
        <is>
          <t>No</t>
        </is>
      </c>
      <c r="AE165" s="32">
        <f>IF(W165="","",IF(Z165="Yes","❌ Disc",IF(Y165="No","⚠ Missing",IF(AB165="Yes","✓ OK","⚠ Check"))))</f>
        <v/>
      </c>
      <c r="AF165" s="33" t="n"/>
      <c r="AG165" s="33" t="n"/>
      <c r="AH165" s="33" t="n"/>
      <c r="AI165" s="33" t="n"/>
      <c r="AJ165" s="33" t="n"/>
      <c r="AK165" s="33" t="n"/>
      <c r="AL165" s="27" t="n"/>
      <c r="AM165" s="34" t="n"/>
      <c r="AN165" s="35">
        <f>IF(AF165="","",IF(AI165="Yes","❌ Disc",IF(AH165="No","⚠ Missing",IF(AK165="Yes","✓ OK","⚠ Check"))))</f>
        <v/>
      </c>
      <c r="AO165" s="36" t="n"/>
      <c r="AP165" s="36" t="n"/>
      <c r="AQ165" s="36" t="n"/>
      <c r="AR165" s="36" t="n"/>
      <c r="AS165" s="36" t="n"/>
      <c r="AT165" s="36" t="n"/>
      <c r="AU165" s="27" t="n"/>
      <c r="AV165" s="37" t="n"/>
      <c r="AW165" s="38">
        <f>IF(AO165="","",IF(AR165="Yes","❌ Disc",IF(AQ165="No","⚠ Missing",IF(AT165="Yes","✓ OK","⚠ Check"))))</f>
        <v/>
      </c>
    </row>
    <row r="166" ht="18" customHeight="1" s="46">
      <c r="A166" s="39" t="n">
        <v>162</v>
      </c>
      <c r="B166" s="40" t="inlineStr">
        <is>
          <t>BD-VRM-2024-3037</t>
        </is>
      </c>
      <c r="C166" s="41" t="inlineStr">
        <is>
          <t>Flava Rafter - Standard - FL PB 9638 9.5ftx120mm</t>
        </is>
      </c>
      <c r="D166" s="39" t="inlineStr">
        <is>
          <t>Flava</t>
        </is>
      </c>
      <c r="E166" s="43" t="n">
        <v>46126</v>
      </c>
      <c r="F166" s="26" t="inlineStr">
        <is>
          <t>Sunil CR</t>
        </is>
      </c>
      <c r="G166" s="26" t="inlineStr">
        <is>
          <t>Yes</t>
        </is>
      </c>
      <c r="H166" s="26" t="inlineStr">
        <is>
          <t>No</t>
        </is>
      </c>
      <c r="I166" s="26" t="inlineStr">
        <is>
          <t>Good finish</t>
        </is>
      </c>
      <c r="J166" s="26" t="inlineStr">
        <is>
          <t>Yes</t>
        </is>
      </c>
      <c r="K166" s="27" t="n"/>
      <c r="L166" s="28" t="inlineStr">
        <is>
          <t>No</t>
        </is>
      </c>
      <c r="M166" s="29">
        <f>IF(E166="","",IF(H166="Yes","❌ Disc",IF(G166="No","⚠ Missing",IF(J166="Yes","✓ OK","⚠ Check"))))</f>
        <v/>
      </c>
      <c r="N166" s="43" t="n">
        <v>46193</v>
      </c>
      <c r="O166" s="26" t="inlineStr">
        <is>
          <t>Sunil CR</t>
        </is>
      </c>
      <c r="P166" s="26" t="inlineStr">
        <is>
          <t>Yes</t>
        </is>
      </c>
      <c r="Q166" s="26" t="inlineStr">
        <is>
          <t>No</t>
        </is>
      </c>
      <c r="R166" s="26" t="inlineStr">
        <is>
          <t>Good finish</t>
        </is>
      </c>
      <c r="S166" s="26" t="inlineStr">
        <is>
          <t>Yes</t>
        </is>
      </c>
      <c r="T166" s="27" t="n"/>
      <c r="U166" s="28" t="inlineStr">
        <is>
          <t>No</t>
        </is>
      </c>
      <c r="V166" s="29">
        <f>IF(N166="","",IF(Q166="Yes","❌ Disc",IF(P166="No","⚠ Missing",IF(S166="Yes","✓ OK","⚠ Check"))))</f>
        <v/>
      </c>
      <c r="W166" s="65" t="n">
        <v>46248</v>
      </c>
      <c r="X166" s="30" t="inlineStr">
        <is>
          <t>Sunil CR</t>
        </is>
      </c>
      <c r="Y166" s="30" t="inlineStr">
        <is>
          <t>Yes</t>
        </is>
      </c>
      <c r="Z166" s="30" t="n"/>
      <c r="AA166" s="30" t="inlineStr">
        <is>
          <t>Good finish</t>
        </is>
      </c>
      <c r="AB166" s="30" t="inlineStr">
        <is>
          <t>Yes</t>
        </is>
      </c>
      <c r="AC166" s="27" t="n"/>
      <c r="AD166" s="31" t="inlineStr">
        <is>
          <t>No</t>
        </is>
      </c>
      <c r="AE166" s="32">
        <f>IF(W166="","",IF(Z166="Yes","❌ Disc",IF(Y166="No","⚠ Missing",IF(AB166="Yes","✓ OK","⚠ Check"))))</f>
        <v/>
      </c>
      <c r="AF166" s="33" t="n"/>
      <c r="AG166" s="33" t="n"/>
      <c r="AH166" s="33" t="n"/>
      <c r="AI166" s="33" t="n"/>
      <c r="AJ166" s="33" t="n"/>
      <c r="AK166" s="33" t="n"/>
      <c r="AL166" s="27" t="n"/>
      <c r="AM166" s="34" t="n"/>
      <c r="AN166" s="35">
        <f>IF(AF166="","",IF(AI166="Yes","❌ Disc",IF(AH166="No","⚠ Missing",IF(AK166="Yes","✓ OK","⚠ Check"))))</f>
        <v/>
      </c>
      <c r="AO166" s="36" t="n"/>
      <c r="AP166" s="36" t="n"/>
      <c r="AQ166" s="36" t="n"/>
      <c r="AR166" s="36" t="n"/>
      <c r="AS166" s="36" t="n"/>
      <c r="AT166" s="36" t="n"/>
      <c r="AU166" s="27" t="n"/>
      <c r="AV166" s="37" t="n"/>
      <c r="AW166" s="38">
        <f>IF(AO166="","",IF(AR166="Yes","❌ Disc",IF(AQ166="No","⚠ Missing",IF(AT166="Yes","✓ OK","⚠ Check"))))</f>
        <v/>
      </c>
    </row>
    <row r="167" ht="18" customHeight="1" s="46">
      <c r="A167" s="23" t="n">
        <v>163</v>
      </c>
      <c r="B167" s="24" t="inlineStr">
        <is>
          <t>BD-VRM-2024-3042</t>
        </is>
      </c>
      <c r="C167" s="25" t="inlineStr">
        <is>
          <t>Flava Rafter - Standard - FL PB 9639 9.5ftx120mm</t>
        </is>
      </c>
      <c r="D167" s="23" t="inlineStr">
        <is>
          <t>Flava</t>
        </is>
      </c>
      <c r="E167" s="43" t="n">
        <v>46126</v>
      </c>
      <c r="F167" s="26" t="inlineStr">
        <is>
          <t>Sunil CR</t>
        </is>
      </c>
      <c r="G167" s="26" t="inlineStr">
        <is>
          <t>Yes</t>
        </is>
      </c>
      <c r="H167" s="26" t="inlineStr">
        <is>
          <t>No</t>
        </is>
      </c>
      <c r="I167" s="26" t="inlineStr">
        <is>
          <t>Good finish</t>
        </is>
      </c>
      <c r="J167" s="26" t="inlineStr">
        <is>
          <t>Yes</t>
        </is>
      </c>
      <c r="K167" s="27" t="n"/>
      <c r="L167" s="28" t="inlineStr">
        <is>
          <t>No</t>
        </is>
      </c>
      <c r="M167" s="29">
        <f>IF(E167="","",IF(H167="Yes","❌ Disc",IF(G167="No","⚠ Missing",IF(J167="Yes","✓ OK","⚠ Check"))))</f>
        <v/>
      </c>
      <c r="N167" s="43" t="n">
        <v>46193</v>
      </c>
      <c r="O167" s="26" t="inlineStr">
        <is>
          <t>Sunil CR</t>
        </is>
      </c>
      <c r="P167" s="26" t="inlineStr">
        <is>
          <t>Yes</t>
        </is>
      </c>
      <c r="Q167" s="26" t="inlineStr">
        <is>
          <t>No</t>
        </is>
      </c>
      <c r="R167" s="26" t="inlineStr">
        <is>
          <t>Good finish</t>
        </is>
      </c>
      <c r="S167" s="26" t="inlineStr">
        <is>
          <t>Yes</t>
        </is>
      </c>
      <c r="T167" s="27" t="n"/>
      <c r="U167" s="28" t="inlineStr">
        <is>
          <t>No</t>
        </is>
      </c>
      <c r="V167" s="29">
        <f>IF(N167="","",IF(Q167="Yes","❌ Disc",IF(P167="No","⚠ Missing",IF(S167="Yes","✓ OK","⚠ Check"))))</f>
        <v/>
      </c>
      <c r="W167" s="65" t="n">
        <v>46248</v>
      </c>
      <c r="X167" s="30" t="inlineStr">
        <is>
          <t>Sunil CR</t>
        </is>
      </c>
      <c r="Y167" s="30" t="inlineStr">
        <is>
          <t>Yes</t>
        </is>
      </c>
      <c r="Z167" s="30" t="n"/>
      <c r="AA167" s="30" t="inlineStr">
        <is>
          <t>Good finish</t>
        </is>
      </c>
      <c r="AB167" s="30" t="inlineStr">
        <is>
          <t>Yes</t>
        </is>
      </c>
      <c r="AC167" s="27" t="n"/>
      <c r="AD167" s="31" t="inlineStr">
        <is>
          <t>No</t>
        </is>
      </c>
      <c r="AE167" s="32">
        <f>IF(W167="","",IF(Z167="Yes","❌ Disc",IF(Y167="No","⚠ Missing",IF(AB167="Yes","✓ OK","⚠ Check"))))</f>
        <v/>
      </c>
      <c r="AF167" s="33" t="n"/>
      <c r="AG167" s="33" t="n"/>
      <c r="AH167" s="33" t="n"/>
      <c r="AI167" s="33" t="n"/>
      <c r="AJ167" s="33" t="n"/>
      <c r="AK167" s="33" t="n"/>
      <c r="AL167" s="27" t="n"/>
      <c r="AM167" s="34" t="n"/>
      <c r="AN167" s="35">
        <f>IF(AF167="","",IF(AI167="Yes","❌ Disc",IF(AH167="No","⚠ Missing",IF(AK167="Yes","✓ OK","⚠ Check"))))</f>
        <v/>
      </c>
      <c r="AO167" s="36" t="n"/>
      <c r="AP167" s="36" t="n"/>
      <c r="AQ167" s="36" t="n"/>
      <c r="AR167" s="36" t="n"/>
      <c r="AS167" s="36" t="n"/>
      <c r="AT167" s="36" t="n"/>
      <c r="AU167" s="27" t="n"/>
      <c r="AV167" s="37" t="n"/>
      <c r="AW167" s="38">
        <f>IF(AO167="","",IF(AR167="Yes","❌ Disc",IF(AQ167="No","⚠ Missing",IF(AT167="Yes","✓ OK","⚠ Check"))))</f>
        <v/>
      </c>
    </row>
    <row r="168" ht="18" customHeight="1" s="46">
      <c r="A168" s="39" t="n">
        <v>164</v>
      </c>
      <c r="B168" s="40" t="inlineStr">
        <is>
          <t>BD-VRM-2024-3038</t>
        </is>
      </c>
      <c r="C168" s="41" t="inlineStr">
        <is>
          <t>Flava Rafter - Standard - FL PB 9640 9.5ftx120mm</t>
        </is>
      </c>
      <c r="D168" s="39" t="inlineStr">
        <is>
          <t>Flava</t>
        </is>
      </c>
      <c r="E168" s="43" t="n">
        <v>46126</v>
      </c>
      <c r="F168" s="26" t="inlineStr">
        <is>
          <t>Sunil CR</t>
        </is>
      </c>
      <c r="G168" s="26" t="inlineStr">
        <is>
          <t>Yes</t>
        </is>
      </c>
      <c r="H168" s="26" t="inlineStr">
        <is>
          <t>No</t>
        </is>
      </c>
      <c r="I168" s="26" t="inlineStr">
        <is>
          <t>Good finish</t>
        </is>
      </c>
      <c r="J168" s="26" t="inlineStr">
        <is>
          <t>Yes</t>
        </is>
      </c>
      <c r="K168" s="27" t="n"/>
      <c r="L168" s="28" t="inlineStr">
        <is>
          <t>No</t>
        </is>
      </c>
      <c r="M168" s="29">
        <f>IF(E168="","",IF(H168="Yes","❌ Disc",IF(G168="No","⚠ Missing",IF(J168="Yes","✓ OK","⚠ Check"))))</f>
        <v/>
      </c>
      <c r="N168" s="43" t="n">
        <v>46193</v>
      </c>
      <c r="O168" s="26" t="inlineStr">
        <is>
          <t>Sunil CR</t>
        </is>
      </c>
      <c r="P168" s="26" t="inlineStr">
        <is>
          <t>Yes</t>
        </is>
      </c>
      <c r="Q168" s="26" t="inlineStr">
        <is>
          <t>No</t>
        </is>
      </c>
      <c r="R168" s="26" t="inlineStr">
        <is>
          <t>Good finish</t>
        </is>
      </c>
      <c r="S168" s="26" t="inlineStr">
        <is>
          <t>Yes</t>
        </is>
      </c>
      <c r="T168" s="27" t="n"/>
      <c r="U168" s="28" t="inlineStr">
        <is>
          <t>No</t>
        </is>
      </c>
      <c r="V168" s="29">
        <f>IF(N168="","",IF(Q168="Yes","❌ Disc",IF(P168="No","⚠ Missing",IF(S168="Yes","✓ OK","⚠ Check"))))</f>
        <v/>
      </c>
      <c r="W168" s="65" t="n">
        <v>46248</v>
      </c>
      <c r="X168" s="30" t="inlineStr">
        <is>
          <t>Sunil CR</t>
        </is>
      </c>
      <c r="Y168" s="30" t="inlineStr">
        <is>
          <t>Yes</t>
        </is>
      </c>
      <c r="Z168" s="30" t="n"/>
      <c r="AA168" s="30" t="inlineStr">
        <is>
          <t>Good finish</t>
        </is>
      </c>
      <c r="AB168" s="30" t="inlineStr">
        <is>
          <t>Yes</t>
        </is>
      </c>
      <c r="AC168" s="27" t="n"/>
      <c r="AD168" s="31" t="inlineStr">
        <is>
          <t>No</t>
        </is>
      </c>
      <c r="AE168" s="32">
        <f>IF(W168="","",IF(Z168="Yes","❌ Disc",IF(Y168="No","⚠ Missing",IF(AB168="Yes","✓ OK","⚠ Check"))))</f>
        <v/>
      </c>
      <c r="AF168" s="33" t="n"/>
      <c r="AG168" s="33" t="n"/>
      <c r="AH168" s="33" t="n"/>
      <c r="AI168" s="33" t="n"/>
      <c r="AJ168" s="33" t="n"/>
      <c r="AK168" s="33" t="n"/>
      <c r="AL168" s="27" t="n"/>
      <c r="AM168" s="34" t="n"/>
      <c r="AN168" s="35">
        <f>IF(AF168="","",IF(AI168="Yes","❌ Disc",IF(AH168="No","⚠ Missing",IF(AK168="Yes","✓ OK","⚠ Check"))))</f>
        <v/>
      </c>
      <c r="AO168" s="36" t="n"/>
      <c r="AP168" s="36" t="n"/>
      <c r="AQ168" s="36" t="n"/>
      <c r="AR168" s="36" t="n"/>
      <c r="AS168" s="36" t="n"/>
      <c r="AT168" s="36" t="n"/>
      <c r="AU168" s="27" t="n"/>
      <c r="AV168" s="37" t="n"/>
      <c r="AW168" s="38">
        <f>IF(AO168="","",IF(AR168="Yes","❌ Disc",IF(AQ168="No","⚠ Missing",IF(AT168="Yes","✓ OK","⚠ Check"))))</f>
        <v/>
      </c>
    </row>
  </sheetData>
  <autoFilter ref="A4:AW168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68">
    <cfRule type="expression" priority="15" dxfId="3">
      <formula>G5="Yes"</formula>
    </cfRule>
    <cfRule type="expression" priority="16" dxfId="1">
      <formula>G5="No"</formula>
    </cfRule>
  </conditionalFormatting>
  <conditionalFormatting sqref="H5:H168">
    <cfRule type="expression" priority="17" dxfId="1">
      <formula>H5="Yes"</formula>
    </cfRule>
  </conditionalFormatting>
  <conditionalFormatting sqref="J5:J168">
    <cfRule type="expression" priority="18" dxfId="3">
      <formula>J5="Yes"</formula>
    </cfRule>
    <cfRule type="expression" priority="19" dxfId="1">
      <formula>J5="No"</formula>
    </cfRule>
  </conditionalFormatting>
  <conditionalFormatting sqref="M5:M168">
    <cfRule type="expression" priority="11" dxfId="3">
      <formula>M5="✓ OK"</formula>
    </cfRule>
    <cfRule type="expression" priority="12" dxfId="1">
      <formula>M5="❌ Disc"</formula>
    </cfRule>
    <cfRule type="expression" priority="13" dxfId="1">
      <formula>M5="⚠ Missing"</formula>
    </cfRule>
    <cfRule type="expression" priority="14" dxfId="0">
      <formula>M5="⚠ Check"</formula>
    </cfRule>
  </conditionalFormatting>
  <conditionalFormatting sqref="N5:N168">
    <cfRule type="expression" priority="1" dxfId="27">
      <formula>MOD(ROW(),2)=0</formula>
    </cfRule>
  </conditionalFormatting>
  <conditionalFormatting sqref="A5:M168 O5:AW168">
    <cfRule type="expression" priority="56" dxfId="27">
      <formula>MOD(ROW(),2)=0</formula>
    </cfRule>
  </conditionalFormatting>
  <conditionalFormatting sqref="P5:P168">
    <cfRule type="expression" priority="6" dxfId="3">
      <formula>P5="Yes"</formula>
    </cfRule>
    <cfRule type="expression" priority="7" dxfId="1">
      <formula>P5="No"</formula>
    </cfRule>
    <cfRule type="expression" priority="24" dxfId="3">
      <formula>P5="Yes"</formula>
    </cfRule>
    <cfRule type="expression" priority="25" dxfId="1">
      <formula>P5="No"</formula>
    </cfRule>
  </conditionalFormatting>
  <conditionalFormatting sqref="Q5:Q168">
    <cfRule type="expression" priority="8" dxfId="1">
      <formula>Q5="Yes"</formula>
    </cfRule>
  </conditionalFormatting>
  <conditionalFormatting sqref="S5:S168">
    <cfRule type="expression" priority="9" dxfId="3">
      <formula>S5="Yes"</formula>
    </cfRule>
    <cfRule type="expression" priority="10" dxfId="1">
      <formula>S5="No"</formula>
    </cfRule>
    <cfRule type="expression" priority="27" dxfId="3">
      <formula>S5="Yes"</formula>
    </cfRule>
    <cfRule type="expression" priority="28" dxfId="1">
      <formula>S5="No"</formula>
    </cfRule>
  </conditionalFormatting>
  <conditionalFormatting sqref="V5:V168">
    <cfRule type="expression" priority="2" dxfId="3">
      <formula>V5="✓ OK"</formula>
    </cfRule>
    <cfRule type="expression" priority="3" dxfId="1">
      <formula>V5="❌ Disc"</formula>
    </cfRule>
    <cfRule type="expression" priority="4" dxfId="1">
      <formula>V5="⚠ Missing"</formula>
    </cfRule>
    <cfRule type="expression" priority="5" dxfId="0">
      <formula>V5="⚠ Check"</formula>
    </cfRule>
    <cfRule type="expression" priority="20" dxfId="3">
      <formula>V5="✓ OK"</formula>
    </cfRule>
    <cfRule type="expression" priority="21" dxfId="1">
      <formula>V5="❌ Disc"</formula>
    </cfRule>
    <cfRule type="expression" priority="22" dxfId="1">
      <formula>V5="⚠ Missing"</formula>
    </cfRule>
    <cfRule type="expression" priority="23" dxfId="0">
      <formula>V5="⚠ Check"</formula>
    </cfRule>
  </conditionalFormatting>
  <conditionalFormatting sqref="Y5:Y168">
    <cfRule type="expression" priority="33" dxfId="3">
      <formula>Y5="Yes"</formula>
    </cfRule>
    <cfRule type="expression" priority="34" dxfId="1">
      <formula>Y5="No"</formula>
    </cfRule>
  </conditionalFormatting>
  <conditionalFormatting sqref="Z5:Z168">
    <cfRule type="expression" priority="35" dxfId="1">
      <formula>Z5="Yes"</formula>
    </cfRule>
  </conditionalFormatting>
  <conditionalFormatting sqref="AB5:AB168">
    <cfRule type="expression" priority="37" dxfId="1">
      <formula>AB5="No"</formula>
    </cfRule>
    <cfRule type="expression" priority="36" dxfId="3">
      <formula>AB5="Yes"</formula>
    </cfRule>
  </conditionalFormatting>
  <conditionalFormatting sqref="AE5:AE168">
    <cfRule type="expression" priority="30" dxfId="1">
      <formula>AE5="❌ Disc"</formula>
    </cfRule>
    <cfRule type="expression" priority="31" dxfId="1">
      <formula>AE5="⚠ Missing"</formula>
    </cfRule>
    <cfRule type="expression" priority="29" dxfId="3">
      <formula>AE5="✓ OK"</formula>
    </cfRule>
    <cfRule type="expression" priority="32" dxfId="0">
      <formula>AE5="⚠ Check"</formula>
    </cfRule>
  </conditionalFormatting>
  <conditionalFormatting sqref="AH5:AH168">
    <cfRule type="expression" priority="43" dxfId="1">
      <formula>AH5="No"</formula>
    </cfRule>
    <cfRule type="expression" priority="42" dxfId="3">
      <formula>AH5="Yes"</formula>
    </cfRule>
  </conditionalFormatting>
  <conditionalFormatting sqref="AI5:AI168">
    <cfRule type="expression" priority="44" dxfId="1">
      <formula>AI5="Yes"</formula>
    </cfRule>
  </conditionalFormatting>
  <conditionalFormatting sqref="AK5:AK168">
    <cfRule type="expression" priority="45" dxfId="3">
      <formula>AK5="Yes"</formula>
    </cfRule>
    <cfRule type="expression" priority="46" dxfId="1">
      <formula>AK5="No"</formula>
    </cfRule>
  </conditionalFormatting>
  <conditionalFormatting sqref="AN5:AN168">
    <cfRule type="expression" priority="38" dxfId="3">
      <formula>AN5="✓ OK"</formula>
    </cfRule>
    <cfRule type="expression" priority="39" dxfId="1">
      <formula>AN5="❌ Disc"</formula>
    </cfRule>
    <cfRule type="expression" priority="40" dxfId="1">
      <formula>AN5="⚠ Missing"</formula>
    </cfRule>
    <cfRule type="expression" priority="41" dxfId="0">
      <formula>AN5="⚠ Check"</formula>
    </cfRule>
  </conditionalFormatting>
  <conditionalFormatting sqref="AQ5:AQ168">
    <cfRule type="expression" priority="51" dxfId="3">
      <formula>AQ5="Yes"</formula>
    </cfRule>
    <cfRule type="expression" priority="52" dxfId="1">
      <formula>AQ5="No"</formula>
    </cfRule>
  </conditionalFormatting>
  <conditionalFormatting sqref="AR5:AR168">
    <cfRule type="expression" priority="53" dxfId="1">
      <formula>AR5="Yes"</formula>
    </cfRule>
  </conditionalFormatting>
  <conditionalFormatting sqref="AT5:AT168">
    <cfRule type="expression" priority="54" dxfId="3">
      <formula>AT5="Yes"</formula>
    </cfRule>
    <cfRule type="expression" priority="55" dxfId="1">
      <formula>AT5="No"</formula>
    </cfRule>
  </conditionalFormatting>
  <conditionalFormatting sqref="AW5:AW168">
    <cfRule type="expression" priority="47" dxfId="3">
      <formula>AW5="✓ OK"</formula>
    </cfRule>
    <cfRule type="expression" priority="48" dxfId="1">
      <formula>AW5="❌ Disc"</formula>
    </cfRule>
    <cfRule type="expression" priority="50" dxfId="0">
      <formula>AW5="⚠ Check"</formula>
    </cfRule>
    <cfRule type="expression" priority="49" dxfId="1">
      <formula>AW5="⚠ Missing"</formula>
    </cfRule>
  </conditionalFormatting>
  <dataValidations count="2">
    <dataValidation sqref="G5:H168 J5:J168 P5:Q168 S5:S168 Y5:Z168 AB5:AB168 AH5:AI168 AK5:AK168 AQ5:AR168 AT5:AT168" showDropDown="0" showInputMessage="0" showErrorMessage="0" allowBlank="1" type="list">
      <formula1>"Yes,No"</formula1>
    </dataValidation>
    <dataValidation sqref="I5:I168 R5:R168 AA5:AA168 AJ5:AJ168 AS5:AS168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0"/>
    <outlinePr summaryBelow="1" summaryRight="1"/>
    <pageSetUpPr/>
  </sheetPr>
  <dimension ref="A1:AW1413"/>
  <sheetViews>
    <sheetView workbookViewId="0">
      <pane xSplit="4" ySplit="4" topLeftCell="L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WALLPAPER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BD-VRM-2026-0079</t>
        </is>
      </c>
      <c r="C5" s="25" t="inlineStr">
        <is>
          <t>Excel  - Essen Wallpaper 71051-1</t>
        </is>
      </c>
      <c r="D5" s="23" t="inlineStr">
        <is>
          <t>Excel</t>
        </is>
      </c>
      <c r="E5" s="43" t="n">
        <v>46125</v>
      </c>
      <c r="F5" s="26" t="inlineStr">
        <is>
          <t>Sunil CR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Good finish</t>
        </is>
      </c>
      <c r="J5" s="26" t="inlineStr">
        <is>
          <t>Yes</t>
        </is>
      </c>
      <c r="K5" s="27" t="n"/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46193</v>
      </c>
      <c r="O5" s="26" t="inlineStr">
        <is>
          <t>Sunil CR</t>
        </is>
      </c>
      <c r="P5" s="26" t="inlineStr">
        <is>
          <t>Yes</t>
        </is>
      </c>
      <c r="Q5" s="26" t="inlineStr">
        <is>
          <t>No</t>
        </is>
      </c>
      <c r="R5" s="26" t="inlineStr">
        <is>
          <t>Good finish</t>
        </is>
      </c>
      <c r="S5" s="26" t="inlineStr">
        <is>
          <t>Yes</t>
        </is>
      </c>
      <c r="T5" s="27" t="n"/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Yes</t>
        </is>
      </c>
      <c r="Z5" s="30" t="n"/>
      <c r="AA5" s="30" t="inlineStr">
        <is>
          <t>Good finish</t>
        </is>
      </c>
      <c r="AB5" s="30" t="inlineStr">
        <is>
          <t>Yes</t>
        </is>
      </c>
      <c r="AC5" s="27" t="n"/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BD-VRM-2026-0080</t>
        </is>
      </c>
      <c r="C6" s="41" t="inlineStr">
        <is>
          <t>Excel  - Essen Wallpaper 71051-2</t>
        </is>
      </c>
      <c r="D6" s="39" t="inlineStr">
        <is>
          <t>Excel</t>
        </is>
      </c>
      <c r="E6" s="43" t="n">
        <v>46125</v>
      </c>
      <c r="F6" s="26" t="inlineStr">
        <is>
          <t>Sunil CR</t>
        </is>
      </c>
      <c r="G6" s="26" t="inlineStr">
        <is>
          <t>Yes</t>
        </is>
      </c>
      <c r="H6" s="26" t="inlineStr">
        <is>
          <t>No</t>
        </is>
      </c>
      <c r="I6" s="26" t="inlineStr">
        <is>
          <t>Good finish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46193</v>
      </c>
      <c r="O6" s="26" t="inlineStr">
        <is>
          <t>Sunil CR</t>
        </is>
      </c>
      <c r="P6" s="26" t="inlineStr">
        <is>
          <t>Yes</t>
        </is>
      </c>
      <c r="Q6" s="26" t="inlineStr">
        <is>
          <t>No</t>
        </is>
      </c>
      <c r="R6" s="26" t="inlineStr">
        <is>
          <t>Good finish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Yes</t>
        </is>
      </c>
      <c r="Z6" s="30" t="n"/>
      <c r="AA6" s="30" t="inlineStr">
        <is>
          <t>Good finish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BD-VRM-2026-0081</t>
        </is>
      </c>
      <c r="C7" s="25" t="inlineStr">
        <is>
          <t>Excel  - Essen Wallpaper 71051-3</t>
        </is>
      </c>
      <c r="D7" s="23" t="inlineStr">
        <is>
          <t>Excel</t>
        </is>
      </c>
      <c r="E7" s="43" t="n">
        <v>46125</v>
      </c>
      <c r="F7" s="26" t="inlineStr">
        <is>
          <t>Sunil CR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Good finish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46193</v>
      </c>
      <c r="O7" s="26" t="inlineStr">
        <is>
          <t>Sunil CR</t>
        </is>
      </c>
      <c r="P7" s="26" t="inlineStr">
        <is>
          <t>Yes</t>
        </is>
      </c>
      <c r="Q7" s="26" t="inlineStr">
        <is>
          <t>No</t>
        </is>
      </c>
      <c r="R7" s="26" t="inlineStr">
        <is>
          <t>Good finish</t>
        </is>
      </c>
      <c r="S7" s="26" t="inlineStr">
        <is>
          <t>Yes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Yes</t>
        </is>
      </c>
      <c r="Z7" s="30" t="n"/>
      <c r="AA7" s="30" t="inlineStr">
        <is>
          <t>Good finish</t>
        </is>
      </c>
      <c r="AB7" s="30" t="inlineStr">
        <is>
          <t>Yes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BD-VRM-2026-0082</t>
        </is>
      </c>
      <c r="C8" s="41" t="inlineStr">
        <is>
          <t>Excel  - Essen Wallpaper 71051-4</t>
        </is>
      </c>
      <c r="D8" s="39" t="inlineStr">
        <is>
          <t>Excel</t>
        </is>
      </c>
      <c r="E8" s="43" t="n">
        <v>46125</v>
      </c>
      <c r="F8" s="26" t="inlineStr">
        <is>
          <t>Sunil CR</t>
        </is>
      </c>
      <c r="G8" s="26" t="inlineStr">
        <is>
          <t>Yes</t>
        </is>
      </c>
      <c r="H8" s="26" t="inlineStr">
        <is>
          <t>No</t>
        </is>
      </c>
      <c r="I8" s="26" t="inlineStr">
        <is>
          <t>Good finish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46193</v>
      </c>
      <c r="O8" s="26" t="inlineStr">
        <is>
          <t>Sunil CR</t>
        </is>
      </c>
      <c r="P8" s="26" t="inlineStr">
        <is>
          <t>Yes</t>
        </is>
      </c>
      <c r="Q8" s="26" t="inlineStr">
        <is>
          <t>No</t>
        </is>
      </c>
      <c r="R8" s="26" t="inlineStr">
        <is>
          <t>Good finish</t>
        </is>
      </c>
      <c r="S8" s="26" t="inlineStr">
        <is>
          <t>Yes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Yes</t>
        </is>
      </c>
      <c r="Z8" s="30" t="n"/>
      <c r="AA8" s="30" t="inlineStr">
        <is>
          <t>Good finish</t>
        </is>
      </c>
      <c r="AB8" s="30" t="inlineStr">
        <is>
          <t>Yes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BD-VRM-2026-0089</t>
        </is>
      </c>
      <c r="C9" s="25" t="inlineStr">
        <is>
          <t>Excel  - Essen Wallpaper 71052-1</t>
        </is>
      </c>
      <c r="D9" s="23" t="inlineStr">
        <is>
          <t>Excel</t>
        </is>
      </c>
      <c r="E9" s="43" t="n">
        <v>46125</v>
      </c>
      <c r="F9" s="26" t="inlineStr">
        <is>
          <t>Sunil CR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Good finish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46193</v>
      </c>
      <c r="O9" s="26" t="inlineStr">
        <is>
          <t>Sunil CR</t>
        </is>
      </c>
      <c r="P9" s="26" t="inlineStr">
        <is>
          <t>Yes</t>
        </is>
      </c>
      <c r="Q9" s="26" t="inlineStr">
        <is>
          <t>No</t>
        </is>
      </c>
      <c r="R9" s="26" t="inlineStr">
        <is>
          <t>Good finish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Yes</t>
        </is>
      </c>
      <c r="Z9" s="30" t="n"/>
      <c r="AA9" s="30" t="inlineStr">
        <is>
          <t>Good finish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BD-VRM-2026-0090</t>
        </is>
      </c>
      <c r="C10" s="41" t="inlineStr">
        <is>
          <t>Excel  - Essen Wallpaper 71052-2</t>
        </is>
      </c>
      <c r="D10" s="39" t="inlineStr">
        <is>
          <t>Excel</t>
        </is>
      </c>
      <c r="E10" s="43" t="n">
        <v>46125</v>
      </c>
      <c r="F10" s="26" t="inlineStr">
        <is>
          <t>Sunil CR</t>
        </is>
      </c>
      <c r="G10" s="26" t="inlineStr">
        <is>
          <t>Yes</t>
        </is>
      </c>
      <c r="H10" s="26" t="inlineStr">
        <is>
          <t>No</t>
        </is>
      </c>
      <c r="I10" s="26" t="inlineStr">
        <is>
          <t>Good finish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46193</v>
      </c>
      <c r="O10" s="26" t="inlineStr">
        <is>
          <t>Sunil CR</t>
        </is>
      </c>
      <c r="P10" s="26" t="inlineStr">
        <is>
          <t>Yes</t>
        </is>
      </c>
      <c r="Q10" s="26" t="inlineStr">
        <is>
          <t>No</t>
        </is>
      </c>
      <c r="R10" s="26" t="inlineStr">
        <is>
          <t>Good finish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Yes</t>
        </is>
      </c>
      <c r="Z10" s="30" t="n"/>
      <c r="AA10" s="30" t="inlineStr">
        <is>
          <t>Good finish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BD-VRM-2026-0091</t>
        </is>
      </c>
      <c r="C11" s="25" t="inlineStr">
        <is>
          <t>Excel  - Essen Wallpaper 71052-3</t>
        </is>
      </c>
      <c r="D11" s="23" t="inlineStr">
        <is>
          <t>Excel</t>
        </is>
      </c>
      <c r="E11" s="43" t="n">
        <v>46125</v>
      </c>
      <c r="F11" s="26" t="inlineStr">
        <is>
          <t>Sunil CR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Good finish</t>
        </is>
      </c>
      <c r="J11" s="26" t="inlineStr">
        <is>
          <t>Yes</t>
        </is>
      </c>
      <c r="K11" s="27" t="n"/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46193</v>
      </c>
      <c r="O11" s="26" t="inlineStr">
        <is>
          <t>Sunil CR</t>
        </is>
      </c>
      <c r="P11" s="26" t="inlineStr">
        <is>
          <t>Yes</t>
        </is>
      </c>
      <c r="Q11" s="26" t="inlineStr">
        <is>
          <t>No</t>
        </is>
      </c>
      <c r="R11" s="26" t="inlineStr">
        <is>
          <t>Good finish</t>
        </is>
      </c>
      <c r="S11" s="26" t="inlineStr">
        <is>
          <t>Yes</t>
        </is>
      </c>
      <c r="T11" s="27" t="n"/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Yes</t>
        </is>
      </c>
      <c r="Z11" s="30" t="n"/>
      <c r="AA11" s="30" t="inlineStr">
        <is>
          <t>Good finish</t>
        </is>
      </c>
      <c r="AB11" s="30" t="inlineStr">
        <is>
          <t>Yes</t>
        </is>
      </c>
      <c r="AC11" s="27" t="n"/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BD-VRM-2026-0092</t>
        </is>
      </c>
      <c r="C12" s="41" t="inlineStr">
        <is>
          <t>Excel  - Essen Wallpaper 71052-4</t>
        </is>
      </c>
      <c r="D12" s="39" t="inlineStr">
        <is>
          <t>Excel</t>
        </is>
      </c>
      <c r="E12" s="43" t="n">
        <v>46125</v>
      </c>
      <c r="F12" s="26" t="inlineStr">
        <is>
          <t>Sunil CR</t>
        </is>
      </c>
      <c r="G12" s="26" t="inlineStr">
        <is>
          <t>Yes</t>
        </is>
      </c>
      <c r="H12" s="26" t="inlineStr">
        <is>
          <t>No</t>
        </is>
      </c>
      <c r="I12" s="26" t="inlineStr">
        <is>
          <t>Good finish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46193</v>
      </c>
      <c r="O12" s="26" t="inlineStr">
        <is>
          <t>Sunil CR</t>
        </is>
      </c>
      <c r="P12" s="26" t="inlineStr">
        <is>
          <t>Yes</t>
        </is>
      </c>
      <c r="Q12" s="26" t="inlineStr">
        <is>
          <t>No</t>
        </is>
      </c>
      <c r="R12" s="26" t="inlineStr">
        <is>
          <t>Good finish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Yes</t>
        </is>
      </c>
      <c r="Z12" s="30" t="n"/>
      <c r="AA12" s="30" t="inlineStr">
        <is>
          <t>Good finish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BD-VRM-2026-0093</t>
        </is>
      </c>
      <c r="C13" s="25" t="inlineStr">
        <is>
          <t>Excel  - Essen Wallpaper 71052-5</t>
        </is>
      </c>
      <c r="D13" s="23" t="inlineStr">
        <is>
          <t>Excel</t>
        </is>
      </c>
      <c r="E13" s="43" t="n">
        <v>46125</v>
      </c>
      <c r="F13" s="26" t="inlineStr">
        <is>
          <t>Sunil CR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Good finish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46193</v>
      </c>
      <c r="O13" s="26" t="inlineStr">
        <is>
          <t>Sunil CR</t>
        </is>
      </c>
      <c r="P13" s="26" t="inlineStr">
        <is>
          <t>Yes</t>
        </is>
      </c>
      <c r="Q13" s="26" t="inlineStr">
        <is>
          <t>No</t>
        </is>
      </c>
      <c r="R13" s="26" t="inlineStr">
        <is>
          <t>Good finish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Yes</t>
        </is>
      </c>
      <c r="Z13" s="30" t="n"/>
      <c r="AA13" s="30" t="inlineStr">
        <is>
          <t>Good finish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BD-VRM-2026-0083</t>
        </is>
      </c>
      <c r="C14" s="41" t="inlineStr">
        <is>
          <t>Excel  - Essen Wallpaper 71053-1</t>
        </is>
      </c>
      <c r="D14" s="39" t="inlineStr">
        <is>
          <t>Excel</t>
        </is>
      </c>
      <c r="E14" s="43" t="n">
        <v>46125</v>
      </c>
      <c r="F14" s="26" t="inlineStr">
        <is>
          <t>Sunil CR</t>
        </is>
      </c>
      <c r="G14" s="26" t="inlineStr">
        <is>
          <t>Yes</t>
        </is>
      </c>
      <c r="H14" s="26" t="inlineStr">
        <is>
          <t>No</t>
        </is>
      </c>
      <c r="I14" s="26" t="inlineStr">
        <is>
          <t>Good finish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46193</v>
      </c>
      <c r="O14" s="26" t="inlineStr">
        <is>
          <t>Sunil CR</t>
        </is>
      </c>
      <c r="P14" s="26" t="inlineStr">
        <is>
          <t>Yes</t>
        </is>
      </c>
      <c r="Q14" s="26" t="inlineStr">
        <is>
          <t>No</t>
        </is>
      </c>
      <c r="R14" s="26" t="inlineStr">
        <is>
          <t>Good finish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Yes</t>
        </is>
      </c>
      <c r="Z14" s="30" t="n"/>
      <c r="AA14" s="30" t="inlineStr">
        <is>
          <t>Good finish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BD-VRM-2026-0084</t>
        </is>
      </c>
      <c r="C15" s="25" t="inlineStr">
        <is>
          <t>Excel  - Essen Wallpaper 71053-2</t>
        </is>
      </c>
      <c r="D15" s="23" t="inlineStr">
        <is>
          <t>Excel</t>
        </is>
      </c>
      <c r="E15" s="43" t="n">
        <v>46125</v>
      </c>
      <c r="F15" s="26" t="inlineStr">
        <is>
          <t>Sunil CR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Good finish</t>
        </is>
      </c>
      <c r="J15" s="26" t="inlineStr">
        <is>
          <t>Yes</t>
        </is>
      </c>
      <c r="K15" s="27" t="n"/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46193</v>
      </c>
      <c r="O15" s="26" t="inlineStr">
        <is>
          <t>Sunil CR</t>
        </is>
      </c>
      <c r="P15" s="26" t="inlineStr">
        <is>
          <t>Yes</t>
        </is>
      </c>
      <c r="Q15" s="26" t="inlineStr">
        <is>
          <t>No</t>
        </is>
      </c>
      <c r="R15" s="26" t="inlineStr">
        <is>
          <t>Good finish</t>
        </is>
      </c>
      <c r="S15" s="26" t="inlineStr">
        <is>
          <t>Yes</t>
        </is>
      </c>
      <c r="T15" s="27" t="n"/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Good finish</t>
        </is>
      </c>
      <c r="AB15" s="30" t="inlineStr">
        <is>
          <t>Yes</t>
        </is>
      </c>
      <c r="AC15" s="27" t="n"/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BD-VRM-2026-0110</t>
        </is>
      </c>
      <c r="C16" s="41" t="inlineStr">
        <is>
          <t>Excel  - Essen Wallpaper 71054-1</t>
        </is>
      </c>
      <c r="D16" s="39" t="inlineStr">
        <is>
          <t>Excel</t>
        </is>
      </c>
      <c r="E16" s="43" t="n">
        <v>46125</v>
      </c>
      <c r="F16" s="26" t="inlineStr">
        <is>
          <t>Sunil CR</t>
        </is>
      </c>
      <c r="G16" s="26" t="inlineStr">
        <is>
          <t>Yes</t>
        </is>
      </c>
      <c r="H16" s="26" t="inlineStr">
        <is>
          <t>No</t>
        </is>
      </c>
      <c r="I16" s="26" t="inlineStr">
        <is>
          <t>Good finish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46193</v>
      </c>
      <c r="O16" s="26" t="inlineStr">
        <is>
          <t>Sunil CR</t>
        </is>
      </c>
      <c r="P16" s="26" t="inlineStr">
        <is>
          <t>Yes</t>
        </is>
      </c>
      <c r="Q16" s="26" t="inlineStr">
        <is>
          <t>No</t>
        </is>
      </c>
      <c r="R16" s="26" t="inlineStr">
        <is>
          <t>Good finish</t>
        </is>
      </c>
      <c r="S16" s="26" t="inlineStr">
        <is>
          <t>Yes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Yes</t>
        </is>
      </c>
      <c r="Z16" s="30" t="n"/>
      <c r="AA16" s="30" t="inlineStr">
        <is>
          <t>Good finish</t>
        </is>
      </c>
      <c r="AB16" s="30" t="inlineStr">
        <is>
          <t>Yes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BD-VRM-2026-0111</t>
        </is>
      </c>
      <c r="C17" s="25" t="inlineStr">
        <is>
          <t>Excel  - Essen Wallpaper 71054-2</t>
        </is>
      </c>
      <c r="D17" s="23" t="inlineStr">
        <is>
          <t>Excel</t>
        </is>
      </c>
      <c r="E17" s="43" t="n">
        <v>46125</v>
      </c>
      <c r="F17" s="26" t="inlineStr">
        <is>
          <t>Sunil CR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Good finish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46193</v>
      </c>
      <c r="O17" s="26" t="inlineStr">
        <is>
          <t>Sunil CR</t>
        </is>
      </c>
      <c r="P17" s="26" t="inlineStr">
        <is>
          <t>Yes</t>
        </is>
      </c>
      <c r="Q17" s="26" t="inlineStr">
        <is>
          <t>No</t>
        </is>
      </c>
      <c r="R17" s="26" t="inlineStr">
        <is>
          <t>Good finish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Yes</t>
        </is>
      </c>
      <c r="Z17" s="30" t="n"/>
      <c r="AA17" s="30" t="inlineStr">
        <is>
          <t>Good finish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BD-VRM-2026-0112</t>
        </is>
      </c>
      <c r="C18" s="41" t="inlineStr">
        <is>
          <t>Excel  - Essen Wallpaper 71054-3</t>
        </is>
      </c>
      <c r="D18" s="39" t="inlineStr">
        <is>
          <t>Excel</t>
        </is>
      </c>
      <c r="E18" s="43" t="n">
        <v>46125</v>
      </c>
      <c r="F18" s="26" t="inlineStr">
        <is>
          <t>Sunil CR</t>
        </is>
      </c>
      <c r="G18" s="26" t="inlineStr">
        <is>
          <t>Yes</t>
        </is>
      </c>
      <c r="H18" s="26" t="inlineStr">
        <is>
          <t>No</t>
        </is>
      </c>
      <c r="I18" s="26" t="inlineStr">
        <is>
          <t>Good finish</t>
        </is>
      </c>
      <c r="J18" s="26" t="inlineStr">
        <is>
          <t>Yes</t>
        </is>
      </c>
      <c r="K18" s="27" t="n"/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46193</v>
      </c>
      <c r="O18" s="26" t="inlineStr">
        <is>
          <t>Sunil CR</t>
        </is>
      </c>
      <c r="P18" s="26" t="inlineStr">
        <is>
          <t>Yes</t>
        </is>
      </c>
      <c r="Q18" s="26" t="inlineStr">
        <is>
          <t>No</t>
        </is>
      </c>
      <c r="R18" s="26" t="inlineStr">
        <is>
          <t>Good finish</t>
        </is>
      </c>
      <c r="S18" s="26" t="inlineStr">
        <is>
          <t>Yes</t>
        </is>
      </c>
      <c r="T18" s="27" t="n"/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Yes</t>
        </is>
      </c>
      <c r="Z18" s="30" t="n"/>
      <c r="AA18" s="30" t="inlineStr">
        <is>
          <t>Good finish</t>
        </is>
      </c>
      <c r="AB18" s="30" t="inlineStr">
        <is>
          <t>Yes</t>
        </is>
      </c>
      <c r="AC18" s="27" t="n"/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BD-VRM-2026-0113</t>
        </is>
      </c>
      <c r="C19" s="25" t="inlineStr">
        <is>
          <t>Excel  - Essen Wallpaper 71054-4</t>
        </is>
      </c>
      <c r="D19" s="23" t="inlineStr">
        <is>
          <t>Excel</t>
        </is>
      </c>
      <c r="E19" s="43" t="n">
        <v>46125</v>
      </c>
      <c r="F19" s="26" t="inlineStr">
        <is>
          <t>Sunil CR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Good finish</t>
        </is>
      </c>
      <c r="J19" s="26" t="inlineStr">
        <is>
          <t>Yes</t>
        </is>
      </c>
      <c r="K19" s="27" t="n"/>
      <c r="L19" s="28" t="inlineStr">
        <is>
          <t>No</t>
        </is>
      </c>
      <c r="M19" s="29">
        <f>IF(E19="","",IF(H19="Yes","❌ Disc",IF(G19="No","⚠ Missing",IF(J19="Yes","✓ OK","⚠ Check"))))</f>
        <v/>
      </c>
      <c r="N19" s="43" t="n">
        <v>46193</v>
      </c>
      <c r="O19" s="26" t="inlineStr">
        <is>
          <t>Sunil CR</t>
        </is>
      </c>
      <c r="P19" s="26" t="inlineStr">
        <is>
          <t>Yes</t>
        </is>
      </c>
      <c r="Q19" s="26" t="inlineStr">
        <is>
          <t>No</t>
        </is>
      </c>
      <c r="R19" s="26" t="inlineStr">
        <is>
          <t>Good finish</t>
        </is>
      </c>
      <c r="S19" s="26" t="inlineStr">
        <is>
          <t>Yes</t>
        </is>
      </c>
      <c r="T19" s="27" t="n"/>
      <c r="U19" s="28" t="inlineStr">
        <is>
          <t>No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Yes</t>
        </is>
      </c>
      <c r="Z19" s="30" t="n"/>
      <c r="AA19" s="30" t="inlineStr">
        <is>
          <t>Good finish</t>
        </is>
      </c>
      <c r="AB19" s="30" t="inlineStr">
        <is>
          <t>Yes</t>
        </is>
      </c>
      <c r="AC19" s="27" t="n"/>
      <c r="AD19" s="31" t="inlineStr">
        <is>
          <t>No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BD-VRM-2026-0114</t>
        </is>
      </c>
      <c r="C20" s="41" t="inlineStr">
        <is>
          <t>Excel  - Essen Wallpaper 71054-5</t>
        </is>
      </c>
      <c r="D20" s="39" t="inlineStr">
        <is>
          <t>Excel</t>
        </is>
      </c>
      <c r="E20" s="43" t="n">
        <v>46125</v>
      </c>
      <c r="F20" s="26" t="inlineStr">
        <is>
          <t>Sunil CR</t>
        </is>
      </c>
      <c r="G20" s="26" t="inlineStr">
        <is>
          <t>Yes</t>
        </is>
      </c>
      <c r="H20" s="26" t="inlineStr">
        <is>
          <t>No</t>
        </is>
      </c>
      <c r="I20" s="26" t="inlineStr">
        <is>
          <t>Good finish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46193</v>
      </c>
      <c r="O20" s="26" t="inlineStr">
        <is>
          <t>Sunil CR</t>
        </is>
      </c>
      <c r="P20" s="26" t="inlineStr">
        <is>
          <t>Yes</t>
        </is>
      </c>
      <c r="Q20" s="26" t="inlineStr">
        <is>
          <t>No</t>
        </is>
      </c>
      <c r="R20" s="26" t="inlineStr">
        <is>
          <t>Good finish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Yes</t>
        </is>
      </c>
      <c r="Z20" s="30" t="n"/>
      <c r="AA20" s="30" t="inlineStr">
        <is>
          <t>Good finish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BD-VRM-2026-0115</t>
        </is>
      </c>
      <c r="C21" s="25" t="inlineStr">
        <is>
          <t>Excel  - Essen Wallpaper 71054-6</t>
        </is>
      </c>
      <c r="D21" s="23" t="inlineStr">
        <is>
          <t>Excel</t>
        </is>
      </c>
      <c r="E21" s="43" t="n">
        <v>46125</v>
      </c>
      <c r="F21" s="26" t="inlineStr">
        <is>
          <t>Sunil CR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Good finish</t>
        </is>
      </c>
      <c r="J21" s="26" t="inlineStr">
        <is>
          <t>Yes</t>
        </is>
      </c>
      <c r="K21" s="27" t="n"/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46193</v>
      </c>
      <c r="O21" s="26" t="inlineStr">
        <is>
          <t>Sunil CR</t>
        </is>
      </c>
      <c r="P21" s="26" t="inlineStr">
        <is>
          <t>Yes</t>
        </is>
      </c>
      <c r="Q21" s="26" t="inlineStr">
        <is>
          <t>No</t>
        </is>
      </c>
      <c r="R21" s="26" t="inlineStr">
        <is>
          <t>Good finish</t>
        </is>
      </c>
      <c r="S21" s="26" t="inlineStr">
        <is>
          <t>Yes</t>
        </is>
      </c>
      <c r="T21" s="27" t="n"/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Yes</t>
        </is>
      </c>
      <c r="Z21" s="30" t="n"/>
      <c r="AA21" s="30" t="inlineStr">
        <is>
          <t>Good finish</t>
        </is>
      </c>
      <c r="AB21" s="30" t="inlineStr">
        <is>
          <t>Yes</t>
        </is>
      </c>
      <c r="AC21" s="27" t="n"/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BD-VRM-2026-0123</t>
        </is>
      </c>
      <c r="C22" s="41" t="inlineStr">
        <is>
          <t>Excel  - Essen Wallpaper 71055-1</t>
        </is>
      </c>
      <c r="D22" s="39" t="inlineStr">
        <is>
          <t>Excel</t>
        </is>
      </c>
      <c r="E22" s="43" t="n">
        <v>46125</v>
      </c>
      <c r="F22" s="26" t="inlineStr">
        <is>
          <t>Sunil CR</t>
        </is>
      </c>
      <c r="G22" s="26" t="inlineStr">
        <is>
          <t>Yes</t>
        </is>
      </c>
      <c r="H22" s="26" t="inlineStr">
        <is>
          <t>No</t>
        </is>
      </c>
      <c r="I22" s="26" t="inlineStr">
        <is>
          <t>Good finish</t>
        </is>
      </c>
      <c r="J22" s="26" t="inlineStr">
        <is>
          <t>Yes</t>
        </is>
      </c>
      <c r="K22" s="27" t="n"/>
      <c r="L22" s="28" t="inlineStr">
        <is>
          <t>No</t>
        </is>
      </c>
      <c r="M22" s="29">
        <f>IF(E22="","",IF(H22="Yes","❌ Disc",IF(G22="No","⚠ Missing",IF(J22="Yes","✓ OK","⚠ Check"))))</f>
        <v/>
      </c>
      <c r="N22" s="43" t="n">
        <v>46193</v>
      </c>
      <c r="O22" s="26" t="inlineStr">
        <is>
          <t>Sunil CR</t>
        </is>
      </c>
      <c r="P22" s="26" t="inlineStr">
        <is>
          <t>Yes</t>
        </is>
      </c>
      <c r="Q22" s="26" t="inlineStr">
        <is>
          <t>No</t>
        </is>
      </c>
      <c r="R22" s="26" t="inlineStr">
        <is>
          <t>Good finish</t>
        </is>
      </c>
      <c r="S22" s="26" t="inlineStr">
        <is>
          <t>Yes</t>
        </is>
      </c>
      <c r="T22" s="27" t="n"/>
      <c r="U22" s="28" t="inlineStr">
        <is>
          <t>No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Yes</t>
        </is>
      </c>
      <c r="Z22" s="30" t="n"/>
      <c r="AA22" s="30" t="inlineStr">
        <is>
          <t>Good finish</t>
        </is>
      </c>
      <c r="AB22" s="30" t="inlineStr">
        <is>
          <t>Yes</t>
        </is>
      </c>
      <c r="AC22" s="27" t="n"/>
      <c r="AD22" s="31" t="inlineStr">
        <is>
          <t>No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BD-VRM-2026-0124</t>
        </is>
      </c>
      <c r="C23" s="25" t="inlineStr">
        <is>
          <t>Excel  - Essen Wallpaper 71055-2</t>
        </is>
      </c>
      <c r="D23" s="23" t="inlineStr">
        <is>
          <t>Excel</t>
        </is>
      </c>
      <c r="E23" s="43" t="n">
        <v>46125</v>
      </c>
      <c r="F23" s="26" t="inlineStr">
        <is>
          <t>Sunil CR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Good finish</t>
        </is>
      </c>
      <c r="J23" s="26" t="inlineStr">
        <is>
          <t>Yes</t>
        </is>
      </c>
      <c r="K23" s="27" t="n"/>
      <c r="L23" s="28" t="inlineStr">
        <is>
          <t>No</t>
        </is>
      </c>
      <c r="M23" s="29">
        <f>IF(E23="","",IF(H23="Yes","❌ Disc",IF(G23="No","⚠ Missing",IF(J23="Yes","✓ OK","⚠ Check"))))</f>
        <v/>
      </c>
      <c r="N23" s="43" t="n">
        <v>46193</v>
      </c>
      <c r="O23" s="26" t="inlineStr">
        <is>
          <t>Sunil CR</t>
        </is>
      </c>
      <c r="P23" s="26" t="inlineStr">
        <is>
          <t>Yes</t>
        </is>
      </c>
      <c r="Q23" s="26" t="inlineStr">
        <is>
          <t>No</t>
        </is>
      </c>
      <c r="R23" s="26" t="inlineStr">
        <is>
          <t>Good finish</t>
        </is>
      </c>
      <c r="S23" s="26" t="inlineStr">
        <is>
          <t>Yes</t>
        </is>
      </c>
      <c r="T23" s="27" t="n"/>
      <c r="U23" s="28" t="inlineStr">
        <is>
          <t>No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Yes</t>
        </is>
      </c>
      <c r="Z23" s="30" t="n"/>
      <c r="AA23" s="30" t="inlineStr">
        <is>
          <t>Good finish</t>
        </is>
      </c>
      <c r="AB23" s="30" t="inlineStr">
        <is>
          <t>Yes</t>
        </is>
      </c>
      <c r="AC23" s="27" t="n"/>
      <c r="AD23" s="31" t="inlineStr">
        <is>
          <t>No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BD-VRM-2026-0125</t>
        </is>
      </c>
      <c r="C24" s="41" t="inlineStr">
        <is>
          <t>Excel  - Essen Wallpaper 71055-3</t>
        </is>
      </c>
      <c r="D24" s="39" t="inlineStr">
        <is>
          <t>Excel</t>
        </is>
      </c>
      <c r="E24" s="43" t="n">
        <v>46125</v>
      </c>
      <c r="F24" s="26" t="inlineStr">
        <is>
          <t>Sunil CR</t>
        </is>
      </c>
      <c r="G24" s="26" t="inlineStr">
        <is>
          <t>Yes</t>
        </is>
      </c>
      <c r="H24" s="26" t="inlineStr">
        <is>
          <t>No</t>
        </is>
      </c>
      <c r="I24" s="26" t="inlineStr">
        <is>
          <t>Good finish</t>
        </is>
      </c>
      <c r="J24" s="26" t="inlineStr">
        <is>
          <t>Yes</t>
        </is>
      </c>
      <c r="K24" s="27" t="n"/>
      <c r="L24" s="28" t="inlineStr">
        <is>
          <t>No</t>
        </is>
      </c>
      <c r="M24" s="29">
        <f>IF(E24="","",IF(H24="Yes","❌ Disc",IF(G24="No","⚠ Missing",IF(J24="Yes","✓ OK","⚠ Check"))))</f>
        <v/>
      </c>
      <c r="N24" s="43" t="n">
        <v>46193</v>
      </c>
      <c r="O24" s="26" t="inlineStr">
        <is>
          <t>Sunil CR</t>
        </is>
      </c>
      <c r="P24" s="26" t="inlineStr">
        <is>
          <t>Yes</t>
        </is>
      </c>
      <c r="Q24" s="26" t="inlineStr">
        <is>
          <t>No</t>
        </is>
      </c>
      <c r="R24" s="26" t="inlineStr">
        <is>
          <t>Good finish</t>
        </is>
      </c>
      <c r="S24" s="26" t="inlineStr">
        <is>
          <t>Yes</t>
        </is>
      </c>
      <c r="T24" s="27" t="n"/>
      <c r="U24" s="28" t="inlineStr">
        <is>
          <t>No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Yes</t>
        </is>
      </c>
      <c r="Z24" s="30" t="n"/>
      <c r="AA24" s="30" t="inlineStr">
        <is>
          <t>Good finish</t>
        </is>
      </c>
      <c r="AB24" s="30" t="inlineStr">
        <is>
          <t>Yes</t>
        </is>
      </c>
      <c r="AC24" s="27" t="n"/>
      <c r="AD24" s="31" t="inlineStr">
        <is>
          <t>No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BD-VRM-2026-0126</t>
        </is>
      </c>
      <c r="C25" s="25" t="inlineStr">
        <is>
          <t>Excel  - Essen Wallpaper 71055-4</t>
        </is>
      </c>
      <c r="D25" s="23" t="inlineStr">
        <is>
          <t>Excel</t>
        </is>
      </c>
      <c r="E25" s="43" t="n">
        <v>46125</v>
      </c>
      <c r="F25" s="26" t="inlineStr">
        <is>
          <t>Sunil CR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Good finish</t>
        </is>
      </c>
      <c r="J25" s="26" t="inlineStr">
        <is>
          <t>Yes</t>
        </is>
      </c>
      <c r="K25" s="27" t="n"/>
      <c r="L25" s="28" t="inlineStr">
        <is>
          <t>No</t>
        </is>
      </c>
      <c r="M25" s="29">
        <f>IF(E25="","",IF(H25="Yes","❌ Disc",IF(G25="No","⚠ Missing",IF(J25="Yes","✓ OK","⚠ Check"))))</f>
        <v/>
      </c>
      <c r="N25" s="43" t="n">
        <v>46193</v>
      </c>
      <c r="O25" s="26" t="inlineStr">
        <is>
          <t>Sunil CR</t>
        </is>
      </c>
      <c r="P25" s="26" t="inlineStr">
        <is>
          <t>Yes</t>
        </is>
      </c>
      <c r="Q25" s="26" t="inlineStr">
        <is>
          <t>No</t>
        </is>
      </c>
      <c r="R25" s="26" t="inlineStr">
        <is>
          <t>Good finish</t>
        </is>
      </c>
      <c r="S25" s="26" t="inlineStr">
        <is>
          <t>Yes</t>
        </is>
      </c>
      <c r="T25" s="27" t="n"/>
      <c r="U25" s="28" t="inlineStr">
        <is>
          <t>No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Yes</t>
        </is>
      </c>
      <c r="Z25" s="30" t="n"/>
      <c r="AA25" s="30" t="inlineStr">
        <is>
          <t>Good finish</t>
        </is>
      </c>
      <c r="AB25" s="30" t="inlineStr">
        <is>
          <t>Yes</t>
        </is>
      </c>
      <c r="AC25" s="27" t="n"/>
      <c r="AD25" s="31" t="inlineStr">
        <is>
          <t>No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BD-VRM-2026-0127</t>
        </is>
      </c>
      <c r="C26" s="41" t="inlineStr">
        <is>
          <t>Excel  - Essen Wallpaper 71055-5</t>
        </is>
      </c>
      <c r="D26" s="39" t="inlineStr">
        <is>
          <t>Excel</t>
        </is>
      </c>
      <c r="E26" s="43" t="n">
        <v>46125</v>
      </c>
      <c r="F26" s="26" t="inlineStr">
        <is>
          <t>Sunil CR</t>
        </is>
      </c>
      <c r="G26" s="26" t="inlineStr">
        <is>
          <t>Yes</t>
        </is>
      </c>
      <c r="H26" s="26" t="inlineStr">
        <is>
          <t>No</t>
        </is>
      </c>
      <c r="I26" s="26" t="inlineStr">
        <is>
          <t>Good finish</t>
        </is>
      </c>
      <c r="J26" s="26" t="inlineStr">
        <is>
          <t>Yes</t>
        </is>
      </c>
      <c r="K26" s="27" t="n"/>
      <c r="L26" s="28" t="inlineStr">
        <is>
          <t>No</t>
        </is>
      </c>
      <c r="M26" s="29">
        <f>IF(E26="","",IF(H26="Yes","❌ Disc",IF(G26="No","⚠ Missing",IF(J26="Yes","✓ OK","⚠ Check"))))</f>
        <v/>
      </c>
      <c r="N26" s="43" t="n">
        <v>46193</v>
      </c>
      <c r="O26" s="26" t="inlineStr">
        <is>
          <t>Sunil CR</t>
        </is>
      </c>
      <c r="P26" s="26" t="inlineStr">
        <is>
          <t>Yes</t>
        </is>
      </c>
      <c r="Q26" s="26" t="inlineStr">
        <is>
          <t>No</t>
        </is>
      </c>
      <c r="R26" s="26" t="inlineStr">
        <is>
          <t>Good finish</t>
        </is>
      </c>
      <c r="S26" s="26" t="inlineStr">
        <is>
          <t>Yes</t>
        </is>
      </c>
      <c r="T26" s="27" t="n"/>
      <c r="U26" s="28" t="inlineStr">
        <is>
          <t>No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Yes</t>
        </is>
      </c>
      <c r="Z26" s="30" t="n"/>
      <c r="AA26" s="30" t="inlineStr">
        <is>
          <t>Good finish</t>
        </is>
      </c>
      <c r="AB26" s="30" t="inlineStr">
        <is>
          <t>Yes</t>
        </is>
      </c>
      <c r="AC26" s="27" t="n"/>
      <c r="AD26" s="31" t="inlineStr">
        <is>
          <t>No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BD-VRM-2026-0128</t>
        </is>
      </c>
      <c r="C27" s="25" t="inlineStr">
        <is>
          <t>Excel  - Essen Wallpaper 71055-6</t>
        </is>
      </c>
      <c r="D27" s="23" t="inlineStr">
        <is>
          <t>Excel</t>
        </is>
      </c>
      <c r="E27" s="43" t="n">
        <v>46125</v>
      </c>
      <c r="F27" s="26" t="inlineStr">
        <is>
          <t>Sunil CR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Good finish</t>
        </is>
      </c>
      <c r="J27" s="26" t="inlineStr">
        <is>
          <t>Yes</t>
        </is>
      </c>
      <c r="K27" s="27" t="n"/>
      <c r="L27" s="28" t="inlineStr">
        <is>
          <t>No</t>
        </is>
      </c>
      <c r="M27" s="29">
        <f>IF(E27="","",IF(H27="Yes","❌ Disc",IF(G27="No","⚠ Missing",IF(J27="Yes","✓ OK","⚠ Check"))))</f>
        <v/>
      </c>
      <c r="N27" s="43" t="n">
        <v>46193</v>
      </c>
      <c r="O27" s="26" t="inlineStr">
        <is>
          <t>Sunil CR</t>
        </is>
      </c>
      <c r="P27" s="26" t="inlineStr">
        <is>
          <t>Yes</t>
        </is>
      </c>
      <c r="Q27" s="26" t="inlineStr">
        <is>
          <t>No</t>
        </is>
      </c>
      <c r="R27" s="26" t="inlineStr">
        <is>
          <t>Good finish</t>
        </is>
      </c>
      <c r="S27" s="26" t="inlineStr">
        <is>
          <t>Yes</t>
        </is>
      </c>
      <c r="T27" s="27" t="n"/>
      <c r="U27" s="28" t="inlineStr">
        <is>
          <t>No</t>
        </is>
      </c>
      <c r="V27" s="29">
        <f>IF(N27="","",IF(Q27="Yes","❌ Disc",IF(P27="No","⚠ Missing",IF(S27="Yes","✓ OK","⚠ Check"))))</f>
        <v/>
      </c>
      <c r="W27" s="65" t="n">
        <v>46248</v>
      </c>
      <c r="X27" s="30" t="inlineStr">
        <is>
          <t>Sunil CR</t>
        </is>
      </c>
      <c r="Y27" s="30" t="inlineStr">
        <is>
          <t>Yes</t>
        </is>
      </c>
      <c r="Z27" s="30" t="n"/>
      <c r="AA27" s="30" t="inlineStr">
        <is>
          <t>Good finish</t>
        </is>
      </c>
      <c r="AB27" s="30" t="inlineStr">
        <is>
          <t>Yes</t>
        </is>
      </c>
      <c r="AC27" s="27" t="n"/>
      <c r="AD27" s="31" t="inlineStr">
        <is>
          <t>No</t>
        </is>
      </c>
      <c r="AE27" s="32">
        <f>IF(W27="","",IF(Z27="Yes","❌ Disc",IF(Y27="No","⚠ Missing",IF(AB27="Yes","✓ OK","⚠ Check"))))</f>
        <v/>
      </c>
      <c r="AF27" s="33" t="n"/>
      <c r="AG27" s="33" t="n"/>
      <c r="AH27" s="33" t="n"/>
      <c r="AI27" s="33" t="n"/>
      <c r="AJ27" s="33" t="n"/>
      <c r="AK27" s="33" t="n"/>
      <c r="AL27" s="27" t="n"/>
      <c r="AM27" s="34" t="n"/>
      <c r="AN27" s="35">
        <f>IF(AF27="","",IF(AI27="Yes","❌ Disc",IF(AH27="No","⚠ Missing",IF(AK27="Yes","✓ OK","⚠ Check"))))</f>
        <v/>
      </c>
      <c r="AO27" s="36" t="n"/>
      <c r="AP27" s="36" t="n"/>
      <c r="AQ27" s="36" t="n"/>
      <c r="AR27" s="36" t="n"/>
      <c r="AS27" s="36" t="n"/>
      <c r="AT27" s="36" t="n"/>
      <c r="AU27" s="27" t="n"/>
      <c r="AV27" s="37" t="n"/>
      <c r="AW27" s="38">
        <f>IF(AO27="","",IF(AR27="Yes","❌ Disc",IF(AQ27="No","⚠ Missing",IF(AT27="Yes","✓ OK","⚠ Check"))))</f>
        <v/>
      </c>
    </row>
    <row r="28" ht="18" customHeight="1" s="46">
      <c r="A28" s="39" t="n">
        <v>24</v>
      </c>
      <c r="B28" s="40" t="inlineStr">
        <is>
          <t>BD-VRM-2026-0129</t>
        </is>
      </c>
      <c r="C28" s="41" t="inlineStr">
        <is>
          <t>Excel  - Essen Wallpaper 71055-7</t>
        </is>
      </c>
      <c r="D28" s="39" t="inlineStr">
        <is>
          <t>Excel</t>
        </is>
      </c>
      <c r="E28" s="43" t="n">
        <v>46125</v>
      </c>
      <c r="F28" s="26" t="inlineStr">
        <is>
          <t>Sunil CR</t>
        </is>
      </c>
      <c r="G28" s="26" t="inlineStr">
        <is>
          <t>Yes</t>
        </is>
      </c>
      <c r="H28" s="26" t="inlineStr">
        <is>
          <t>No</t>
        </is>
      </c>
      <c r="I28" s="26" t="inlineStr">
        <is>
          <t>Good finish</t>
        </is>
      </c>
      <c r="J28" s="26" t="inlineStr">
        <is>
          <t>Yes</t>
        </is>
      </c>
      <c r="K28" s="27" t="n"/>
      <c r="L28" s="28" t="inlineStr">
        <is>
          <t>No</t>
        </is>
      </c>
      <c r="M28" s="29">
        <f>IF(E28="","",IF(H28="Yes","❌ Disc",IF(G28="No","⚠ Missing",IF(J28="Yes","✓ OK","⚠ Check"))))</f>
        <v/>
      </c>
      <c r="N28" s="43" t="n">
        <v>46193</v>
      </c>
      <c r="O28" s="26" t="inlineStr">
        <is>
          <t>Sunil CR</t>
        </is>
      </c>
      <c r="P28" s="26" t="inlineStr">
        <is>
          <t>Yes</t>
        </is>
      </c>
      <c r="Q28" s="26" t="inlineStr">
        <is>
          <t>No</t>
        </is>
      </c>
      <c r="R28" s="26" t="inlineStr">
        <is>
          <t>Good finish</t>
        </is>
      </c>
      <c r="S28" s="26" t="inlineStr">
        <is>
          <t>Yes</t>
        </is>
      </c>
      <c r="T28" s="27" t="n"/>
      <c r="U28" s="28" t="inlineStr">
        <is>
          <t>No</t>
        </is>
      </c>
      <c r="V28" s="29">
        <f>IF(N28="","",IF(Q28="Yes","❌ Disc",IF(P28="No","⚠ Missing",IF(S28="Yes","✓ OK","⚠ Check"))))</f>
        <v/>
      </c>
      <c r="W28" s="65" t="n">
        <v>46248</v>
      </c>
      <c r="X28" s="30" t="inlineStr">
        <is>
          <t>Sunil CR</t>
        </is>
      </c>
      <c r="Y28" s="30" t="inlineStr">
        <is>
          <t>Yes</t>
        </is>
      </c>
      <c r="Z28" s="30" t="n"/>
      <c r="AA28" s="30" t="inlineStr">
        <is>
          <t>Good finish</t>
        </is>
      </c>
      <c r="AB28" s="30" t="inlineStr">
        <is>
          <t>Yes</t>
        </is>
      </c>
      <c r="AC28" s="27" t="n"/>
      <c r="AD28" s="31" t="inlineStr">
        <is>
          <t>No</t>
        </is>
      </c>
      <c r="AE28" s="32">
        <f>IF(W28="","",IF(Z28="Yes","❌ Disc",IF(Y28="No","⚠ Missing",IF(AB28="Yes","✓ OK","⚠ Check"))))</f>
        <v/>
      </c>
      <c r="AF28" s="33" t="n"/>
      <c r="AG28" s="33" t="n"/>
      <c r="AH28" s="33" t="n"/>
      <c r="AI28" s="33" t="n"/>
      <c r="AJ28" s="33" t="n"/>
      <c r="AK28" s="33" t="n"/>
      <c r="AL28" s="27" t="n"/>
      <c r="AM28" s="34" t="n"/>
      <c r="AN28" s="35">
        <f>IF(AF28="","",IF(AI28="Yes","❌ Disc",IF(AH28="No","⚠ Missing",IF(AK28="Yes","✓ OK","⚠ Check"))))</f>
        <v/>
      </c>
      <c r="AO28" s="36" t="n"/>
      <c r="AP28" s="36" t="n"/>
      <c r="AQ28" s="36" t="n"/>
      <c r="AR28" s="36" t="n"/>
      <c r="AS28" s="36" t="n"/>
      <c r="AT28" s="36" t="n"/>
      <c r="AU28" s="27" t="n"/>
      <c r="AV28" s="37" t="n"/>
      <c r="AW28" s="38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BD-VRM-2026-0102</t>
        </is>
      </c>
      <c r="C29" s="25" t="inlineStr">
        <is>
          <t>Excel  - Essen Wallpaper 71056-1</t>
        </is>
      </c>
      <c r="D29" s="23" t="inlineStr">
        <is>
          <t>Excel</t>
        </is>
      </c>
      <c r="E29" s="43" t="n">
        <v>46125</v>
      </c>
      <c r="F29" s="26" t="inlineStr">
        <is>
          <t>Sunil CR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Good finish</t>
        </is>
      </c>
      <c r="J29" s="26" t="inlineStr">
        <is>
          <t>Yes</t>
        </is>
      </c>
      <c r="K29" s="27" t="n"/>
      <c r="L29" s="28" t="inlineStr">
        <is>
          <t>No</t>
        </is>
      </c>
      <c r="M29" s="29">
        <f>IF(E29="","",IF(H29="Yes","❌ Disc",IF(G29="No","⚠ Missing",IF(J29="Yes","✓ OK","⚠ Check"))))</f>
        <v/>
      </c>
      <c r="N29" s="43" t="n">
        <v>46193</v>
      </c>
      <c r="O29" s="26" t="inlineStr">
        <is>
          <t>Sunil CR</t>
        </is>
      </c>
      <c r="P29" s="26" t="inlineStr">
        <is>
          <t>Yes</t>
        </is>
      </c>
      <c r="Q29" s="26" t="inlineStr">
        <is>
          <t>No</t>
        </is>
      </c>
      <c r="R29" s="26" t="inlineStr">
        <is>
          <t>Good finish</t>
        </is>
      </c>
      <c r="S29" s="26" t="inlineStr">
        <is>
          <t>Yes</t>
        </is>
      </c>
      <c r="T29" s="27" t="n"/>
      <c r="U29" s="28" t="inlineStr">
        <is>
          <t>No</t>
        </is>
      </c>
      <c r="V29" s="29">
        <f>IF(N29="","",IF(Q29="Yes","❌ Disc",IF(P29="No","⚠ Missing",IF(S29="Yes","✓ OK","⚠ Check"))))</f>
        <v/>
      </c>
      <c r="W29" s="65" t="n">
        <v>46248</v>
      </c>
      <c r="X29" s="30" t="inlineStr">
        <is>
          <t>Sunil CR</t>
        </is>
      </c>
      <c r="Y29" s="30" t="inlineStr">
        <is>
          <t>Yes</t>
        </is>
      </c>
      <c r="Z29" s="30" t="n"/>
      <c r="AA29" s="30" t="inlineStr">
        <is>
          <t>Good finish</t>
        </is>
      </c>
      <c r="AB29" s="30" t="inlineStr">
        <is>
          <t>Yes</t>
        </is>
      </c>
      <c r="AC29" s="27" t="n"/>
      <c r="AD29" s="31" t="inlineStr">
        <is>
          <t>No</t>
        </is>
      </c>
      <c r="AE29" s="32">
        <f>IF(W29="","",IF(Z29="Yes","❌ Disc",IF(Y29="No","⚠ Missing",IF(AB29="Yes","✓ OK","⚠ Check"))))</f>
        <v/>
      </c>
      <c r="AF29" s="33" t="n"/>
      <c r="AG29" s="33" t="n"/>
      <c r="AH29" s="33" t="n"/>
      <c r="AI29" s="33" t="n"/>
      <c r="AJ29" s="33" t="n"/>
      <c r="AK29" s="33" t="n"/>
      <c r="AL29" s="27" t="n"/>
      <c r="AM29" s="34" t="n"/>
      <c r="AN29" s="35">
        <f>IF(AF29="","",IF(AI29="Yes","❌ Disc",IF(AH29="No","⚠ Missing",IF(AK29="Yes","✓ OK","⚠ Check"))))</f>
        <v/>
      </c>
      <c r="AO29" s="36" t="n"/>
      <c r="AP29" s="36" t="n"/>
      <c r="AQ29" s="36" t="n"/>
      <c r="AR29" s="36" t="n"/>
      <c r="AS29" s="36" t="n"/>
      <c r="AT29" s="36" t="n"/>
      <c r="AU29" s="27" t="n"/>
      <c r="AV29" s="37" t="n"/>
      <c r="AW29" s="38">
        <f>IF(AO29="","",IF(AR29="Yes","❌ Disc",IF(AQ29="No","⚠ Missing",IF(AT29="Yes","✓ OK","⚠ Check"))))</f>
        <v/>
      </c>
    </row>
    <row r="30" ht="18" customHeight="1" s="46">
      <c r="A30" s="39" t="n">
        <v>26</v>
      </c>
      <c r="B30" s="40" t="inlineStr">
        <is>
          <t>BD-VRM-2026-0103</t>
        </is>
      </c>
      <c r="C30" s="41" t="inlineStr">
        <is>
          <t>Excel  - Essen Wallpaper 71056-2</t>
        </is>
      </c>
      <c r="D30" s="39" t="inlineStr">
        <is>
          <t>Excel</t>
        </is>
      </c>
      <c r="E30" s="43" t="n">
        <v>46125</v>
      </c>
      <c r="F30" s="26" t="inlineStr">
        <is>
          <t>Sunil CR</t>
        </is>
      </c>
      <c r="G30" s="26" t="inlineStr">
        <is>
          <t>Yes</t>
        </is>
      </c>
      <c r="H30" s="26" t="inlineStr">
        <is>
          <t>No</t>
        </is>
      </c>
      <c r="I30" s="26" t="inlineStr">
        <is>
          <t>Good finish</t>
        </is>
      </c>
      <c r="J30" s="26" t="inlineStr">
        <is>
          <t>Yes</t>
        </is>
      </c>
      <c r="K30" s="27" t="n"/>
      <c r="L30" s="28" t="inlineStr">
        <is>
          <t>No</t>
        </is>
      </c>
      <c r="M30" s="29">
        <f>IF(E30="","",IF(H30="Yes","❌ Disc",IF(G30="No","⚠ Missing",IF(J30="Yes","✓ OK","⚠ Check"))))</f>
        <v/>
      </c>
      <c r="N30" s="43" t="n">
        <v>46193</v>
      </c>
      <c r="O30" s="26" t="inlineStr">
        <is>
          <t>Sunil CR</t>
        </is>
      </c>
      <c r="P30" s="26" t="inlineStr">
        <is>
          <t>Yes</t>
        </is>
      </c>
      <c r="Q30" s="26" t="inlineStr">
        <is>
          <t>No</t>
        </is>
      </c>
      <c r="R30" s="26" t="inlineStr">
        <is>
          <t>Good finish</t>
        </is>
      </c>
      <c r="S30" s="26" t="inlineStr">
        <is>
          <t>Yes</t>
        </is>
      </c>
      <c r="T30" s="27" t="n"/>
      <c r="U30" s="28" t="inlineStr">
        <is>
          <t>No</t>
        </is>
      </c>
      <c r="V30" s="29">
        <f>IF(N30="","",IF(Q30="Yes","❌ Disc",IF(P30="No","⚠ Missing",IF(S30="Yes","✓ OK","⚠ Check"))))</f>
        <v/>
      </c>
      <c r="W30" s="65" t="n">
        <v>46248</v>
      </c>
      <c r="X30" s="30" t="inlineStr">
        <is>
          <t>Sunil CR</t>
        </is>
      </c>
      <c r="Y30" s="30" t="inlineStr">
        <is>
          <t>Yes</t>
        </is>
      </c>
      <c r="Z30" s="30" t="n"/>
      <c r="AA30" s="30" t="inlineStr">
        <is>
          <t>Good finish</t>
        </is>
      </c>
      <c r="AB30" s="30" t="inlineStr">
        <is>
          <t>Yes</t>
        </is>
      </c>
      <c r="AC30" s="27" t="n"/>
      <c r="AD30" s="31" t="inlineStr">
        <is>
          <t>No</t>
        </is>
      </c>
      <c r="AE30" s="32">
        <f>IF(W30="","",IF(Z30="Yes","❌ Disc",IF(Y30="No","⚠ Missing",IF(AB30="Yes","✓ OK","⚠ Check"))))</f>
        <v/>
      </c>
      <c r="AF30" s="33" t="n"/>
      <c r="AG30" s="33" t="n"/>
      <c r="AH30" s="33" t="n"/>
      <c r="AI30" s="33" t="n"/>
      <c r="AJ30" s="33" t="n"/>
      <c r="AK30" s="33" t="n"/>
      <c r="AL30" s="27" t="n"/>
      <c r="AM30" s="34" t="n"/>
      <c r="AN30" s="35">
        <f>IF(AF30="","",IF(AI30="Yes","❌ Disc",IF(AH30="No","⚠ Missing",IF(AK30="Yes","✓ OK","⚠ Check"))))</f>
        <v/>
      </c>
      <c r="AO30" s="36" t="n"/>
      <c r="AP30" s="36" t="n"/>
      <c r="AQ30" s="36" t="n"/>
      <c r="AR30" s="36" t="n"/>
      <c r="AS30" s="36" t="n"/>
      <c r="AT30" s="36" t="n"/>
      <c r="AU30" s="27" t="n"/>
      <c r="AV30" s="37" t="n"/>
      <c r="AW30" s="38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BD-VRM-2026-0104</t>
        </is>
      </c>
      <c r="C31" s="25" t="inlineStr">
        <is>
          <t>Excel  - Essen Wallpaper 71056-3</t>
        </is>
      </c>
      <c r="D31" s="23" t="inlineStr">
        <is>
          <t>Excel</t>
        </is>
      </c>
      <c r="E31" s="43" t="n">
        <v>46125</v>
      </c>
      <c r="F31" s="26" t="inlineStr">
        <is>
          <t>Sunil CR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Good finish</t>
        </is>
      </c>
      <c r="J31" s="26" t="inlineStr">
        <is>
          <t>Yes</t>
        </is>
      </c>
      <c r="K31" s="27" t="n"/>
      <c r="L31" s="28" t="inlineStr">
        <is>
          <t>No</t>
        </is>
      </c>
      <c r="M31" s="29">
        <f>IF(E31="","",IF(H31="Yes","❌ Disc",IF(G31="No","⚠ Missing",IF(J31="Yes","✓ OK","⚠ Check"))))</f>
        <v/>
      </c>
      <c r="N31" s="43" t="n">
        <v>46193</v>
      </c>
      <c r="O31" s="26" t="inlineStr">
        <is>
          <t>Sunil CR</t>
        </is>
      </c>
      <c r="P31" s="26" t="inlineStr">
        <is>
          <t>Yes</t>
        </is>
      </c>
      <c r="Q31" s="26" t="inlineStr">
        <is>
          <t>No</t>
        </is>
      </c>
      <c r="R31" s="26" t="inlineStr">
        <is>
          <t>Good finish</t>
        </is>
      </c>
      <c r="S31" s="26" t="inlineStr">
        <is>
          <t>Yes</t>
        </is>
      </c>
      <c r="T31" s="27" t="n"/>
      <c r="U31" s="28" t="inlineStr">
        <is>
          <t>No</t>
        </is>
      </c>
      <c r="V31" s="29">
        <f>IF(N31="","",IF(Q31="Yes","❌ Disc",IF(P31="No","⚠ Missing",IF(S31="Yes","✓ OK","⚠ Check"))))</f>
        <v/>
      </c>
      <c r="W31" s="65" t="n">
        <v>46248</v>
      </c>
      <c r="X31" s="30" t="inlineStr">
        <is>
          <t>Sunil CR</t>
        </is>
      </c>
      <c r="Y31" s="30" t="inlineStr">
        <is>
          <t>Yes</t>
        </is>
      </c>
      <c r="Z31" s="30" t="n"/>
      <c r="AA31" s="30" t="inlineStr">
        <is>
          <t>Good finish</t>
        </is>
      </c>
      <c r="AB31" s="30" t="inlineStr">
        <is>
          <t>Yes</t>
        </is>
      </c>
      <c r="AC31" s="27" t="n"/>
      <c r="AD31" s="31" t="inlineStr">
        <is>
          <t>No</t>
        </is>
      </c>
      <c r="AE31" s="32">
        <f>IF(W31="","",IF(Z31="Yes","❌ Disc",IF(Y31="No","⚠ Missing",IF(AB31="Yes","✓ OK","⚠ Check"))))</f>
        <v/>
      </c>
      <c r="AF31" s="33" t="n"/>
      <c r="AG31" s="33" t="n"/>
      <c r="AH31" s="33" t="n"/>
      <c r="AI31" s="33" t="n"/>
      <c r="AJ31" s="33" t="n"/>
      <c r="AK31" s="33" t="n"/>
      <c r="AL31" s="27" t="n"/>
      <c r="AM31" s="34" t="n"/>
      <c r="AN31" s="35">
        <f>IF(AF31="","",IF(AI31="Yes","❌ Disc",IF(AH31="No","⚠ Missing",IF(AK31="Yes","✓ OK","⚠ Check"))))</f>
        <v/>
      </c>
      <c r="AO31" s="36" t="n"/>
      <c r="AP31" s="36" t="n"/>
      <c r="AQ31" s="36" t="n"/>
      <c r="AR31" s="36" t="n"/>
      <c r="AS31" s="36" t="n"/>
      <c r="AT31" s="36" t="n"/>
      <c r="AU31" s="27" t="n"/>
      <c r="AV31" s="37" t="n"/>
      <c r="AW31" s="38">
        <f>IF(AO31="","",IF(AR31="Yes","❌ Disc",IF(AQ31="No","⚠ Missing",IF(AT31="Yes","✓ OK","⚠ Check"))))</f>
        <v/>
      </c>
    </row>
    <row r="32" ht="18" customHeight="1" s="46">
      <c r="A32" s="39" t="n">
        <v>28</v>
      </c>
      <c r="B32" s="40" t="inlineStr">
        <is>
          <t>BD-VRM-2026-0105</t>
        </is>
      </c>
      <c r="C32" s="41" t="inlineStr">
        <is>
          <t>Excel  - Essen Wallpaper 71057-1</t>
        </is>
      </c>
      <c r="D32" s="39" t="inlineStr">
        <is>
          <t>Excel</t>
        </is>
      </c>
      <c r="E32" s="43" t="n">
        <v>46125</v>
      </c>
      <c r="F32" s="26" t="inlineStr">
        <is>
          <t>Sunil CR</t>
        </is>
      </c>
      <c r="G32" s="26" t="inlineStr">
        <is>
          <t>Yes</t>
        </is>
      </c>
      <c r="H32" s="26" t="inlineStr">
        <is>
          <t>No</t>
        </is>
      </c>
      <c r="I32" s="26" t="inlineStr">
        <is>
          <t>Good finish</t>
        </is>
      </c>
      <c r="J32" s="26" t="inlineStr">
        <is>
          <t>Yes</t>
        </is>
      </c>
      <c r="K32" s="27" t="n"/>
      <c r="L32" s="28" t="inlineStr">
        <is>
          <t>No</t>
        </is>
      </c>
      <c r="M32" s="29">
        <f>IF(E32="","",IF(H32="Yes","❌ Disc",IF(G32="No","⚠ Missing",IF(J32="Yes","✓ OK","⚠ Check"))))</f>
        <v/>
      </c>
      <c r="N32" s="43" t="n">
        <v>46193</v>
      </c>
      <c r="O32" s="26" t="inlineStr">
        <is>
          <t>Sunil CR</t>
        </is>
      </c>
      <c r="P32" s="26" t="inlineStr">
        <is>
          <t>Yes</t>
        </is>
      </c>
      <c r="Q32" s="26" t="inlineStr">
        <is>
          <t>No</t>
        </is>
      </c>
      <c r="R32" s="26" t="inlineStr">
        <is>
          <t>Good finish</t>
        </is>
      </c>
      <c r="S32" s="26" t="inlineStr">
        <is>
          <t>Yes</t>
        </is>
      </c>
      <c r="T32" s="27" t="n"/>
      <c r="U32" s="28" t="inlineStr">
        <is>
          <t>No</t>
        </is>
      </c>
      <c r="V32" s="29">
        <f>IF(N32="","",IF(Q32="Yes","❌ Disc",IF(P32="No","⚠ Missing",IF(S32="Yes","✓ OK","⚠ Check"))))</f>
        <v/>
      </c>
      <c r="W32" s="65" t="n">
        <v>46248</v>
      </c>
      <c r="X32" s="30" t="inlineStr">
        <is>
          <t>Sunil CR</t>
        </is>
      </c>
      <c r="Y32" s="30" t="inlineStr">
        <is>
          <t>Yes</t>
        </is>
      </c>
      <c r="Z32" s="30" t="n"/>
      <c r="AA32" s="30" t="inlineStr">
        <is>
          <t>Good finish</t>
        </is>
      </c>
      <c r="AB32" s="30" t="inlineStr">
        <is>
          <t>Yes</t>
        </is>
      </c>
      <c r="AC32" s="27" t="n"/>
      <c r="AD32" s="31" t="inlineStr">
        <is>
          <t>No</t>
        </is>
      </c>
      <c r="AE32" s="32">
        <f>IF(W32="","",IF(Z32="Yes","❌ Disc",IF(Y32="No","⚠ Missing",IF(AB32="Yes","✓ OK","⚠ Check"))))</f>
        <v/>
      </c>
      <c r="AF32" s="33" t="n"/>
      <c r="AG32" s="33" t="n"/>
      <c r="AH32" s="33" t="n"/>
      <c r="AI32" s="33" t="n"/>
      <c r="AJ32" s="33" t="n"/>
      <c r="AK32" s="33" t="n"/>
      <c r="AL32" s="27" t="n"/>
      <c r="AM32" s="34" t="n"/>
      <c r="AN32" s="35">
        <f>IF(AF32="","",IF(AI32="Yes","❌ Disc",IF(AH32="No","⚠ Missing",IF(AK32="Yes","✓ OK","⚠ Check"))))</f>
        <v/>
      </c>
      <c r="AO32" s="36" t="n"/>
      <c r="AP32" s="36" t="n"/>
      <c r="AQ32" s="36" t="n"/>
      <c r="AR32" s="36" t="n"/>
      <c r="AS32" s="36" t="n"/>
      <c r="AT32" s="36" t="n"/>
      <c r="AU32" s="27" t="n"/>
      <c r="AV32" s="37" t="n"/>
      <c r="AW32" s="38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BD-VRM-2026-0106</t>
        </is>
      </c>
      <c r="C33" s="25" t="inlineStr">
        <is>
          <t>Excel  - Essen Wallpaper 71057-2</t>
        </is>
      </c>
      <c r="D33" s="23" t="inlineStr">
        <is>
          <t>Excel</t>
        </is>
      </c>
      <c r="E33" s="43" t="n">
        <v>46125</v>
      </c>
      <c r="F33" s="26" t="inlineStr">
        <is>
          <t>Sunil CR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Good finish</t>
        </is>
      </c>
      <c r="J33" s="26" t="inlineStr">
        <is>
          <t>Yes</t>
        </is>
      </c>
      <c r="K33" s="27" t="n"/>
      <c r="L33" s="28" t="inlineStr">
        <is>
          <t>No</t>
        </is>
      </c>
      <c r="M33" s="29">
        <f>IF(E33="","",IF(H33="Yes","❌ Disc",IF(G33="No","⚠ Missing",IF(J33="Yes","✓ OK","⚠ Check"))))</f>
        <v/>
      </c>
      <c r="N33" s="43" t="n">
        <v>46193</v>
      </c>
      <c r="O33" s="26" t="inlineStr">
        <is>
          <t>Sunil CR</t>
        </is>
      </c>
      <c r="P33" s="26" t="inlineStr">
        <is>
          <t>Yes</t>
        </is>
      </c>
      <c r="Q33" s="26" t="inlineStr">
        <is>
          <t>No</t>
        </is>
      </c>
      <c r="R33" s="26" t="inlineStr">
        <is>
          <t>Good finish</t>
        </is>
      </c>
      <c r="S33" s="26" t="inlineStr">
        <is>
          <t>Yes</t>
        </is>
      </c>
      <c r="T33" s="27" t="n"/>
      <c r="U33" s="28" t="inlineStr">
        <is>
          <t>No</t>
        </is>
      </c>
      <c r="V33" s="29">
        <f>IF(N33="","",IF(Q33="Yes","❌ Disc",IF(P33="No","⚠ Missing",IF(S33="Yes","✓ OK","⚠ Check"))))</f>
        <v/>
      </c>
      <c r="W33" s="65" t="n">
        <v>46248</v>
      </c>
      <c r="X33" s="30" t="inlineStr">
        <is>
          <t>Sunil CR</t>
        </is>
      </c>
      <c r="Y33" s="30" t="inlineStr">
        <is>
          <t>Yes</t>
        </is>
      </c>
      <c r="Z33" s="30" t="n"/>
      <c r="AA33" s="30" t="inlineStr">
        <is>
          <t>Good finish</t>
        </is>
      </c>
      <c r="AB33" s="30" t="inlineStr">
        <is>
          <t>Yes</t>
        </is>
      </c>
      <c r="AC33" s="27" t="n"/>
      <c r="AD33" s="31" t="inlineStr">
        <is>
          <t>No</t>
        </is>
      </c>
      <c r="AE33" s="32">
        <f>IF(W33="","",IF(Z33="Yes","❌ Disc",IF(Y33="No","⚠ Missing",IF(AB33="Yes","✓ OK","⚠ Check"))))</f>
        <v/>
      </c>
      <c r="AF33" s="33" t="n"/>
      <c r="AG33" s="33" t="n"/>
      <c r="AH33" s="33" t="n"/>
      <c r="AI33" s="33" t="n"/>
      <c r="AJ33" s="33" t="n"/>
      <c r="AK33" s="33" t="n"/>
      <c r="AL33" s="27" t="n"/>
      <c r="AM33" s="34" t="n"/>
      <c r="AN33" s="35">
        <f>IF(AF33="","",IF(AI33="Yes","❌ Disc",IF(AH33="No","⚠ Missing",IF(AK33="Yes","✓ OK","⚠ Check"))))</f>
        <v/>
      </c>
      <c r="AO33" s="36" t="n"/>
      <c r="AP33" s="36" t="n"/>
      <c r="AQ33" s="36" t="n"/>
      <c r="AR33" s="36" t="n"/>
      <c r="AS33" s="36" t="n"/>
      <c r="AT33" s="36" t="n"/>
      <c r="AU33" s="27" t="n"/>
      <c r="AV33" s="37" t="n"/>
      <c r="AW33" s="38">
        <f>IF(AO33="","",IF(AR33="Yes","❌ Disc",IF(AQ33="No","⚠ Missing",IF(AT33="Yes","✓ OK","⚠ Check"))))</f>
        <v/>
      </c>
    </row>
    <row r="34" ht="18" customHeight="1" s="46">
      <c r="A34" s="39" t="n">
        <v>30</v>
      </c>
      <c r="B34" s="40" t="inlineStr">
        <is>
          <t>BD-VRM-2026-0107</t>
        </is>
      </c>
      <c r="C34" s="41" t="inlineStr">
        <is>
          <t>Excel  - Essen Wallpaper 71057-3</t>
        </is>
      </c>
      <c r="D34" s="39" t="inlineStr">
        <is>
          <t>Excel</t>
        </is>
      </c>
      <c r="E34" s="43" t="n">
        <v>46125</v>
      </c>
      <c r="F34" s="26" t="inlineStr">
        <is>
          <t>Sunil CR</t>
        </is>
      </c>
      <c r="G34" s="26" t="inlineStr">
        <is>
          <t>Yes</t>
        </is>
      </c>
      <c r="H34" s="26" t="inlineStr">
        <is>
          <t>No</t>
        </is>
      </c>
      <c r="I34" s="26" t="inlineStr">
        <is>
          <t>Good finish</t>
        </is>
      </c>
      <c r="J34" s="26" t="inlineStr">
        <is>
          <t>Yes</t>
        </is>
      </c>
      <c r="K34" s="27" t="n"/>
      <c r="L34" s="28" t="inlineStr">
        <is>
          <t>No</t>
        </is>
      </c>
      <c r="M34" s="29">
        <f>IF(E34="","",IF(H34="Yes","❌ Disc",IF(G34="No","⚠ Missing",IF(J34="Yes","✓ OK","⚠ Check"))))</f>
        <v/>
      </c>
      <c r="N34" s="43" t="n">
        <v>46193</v>
      </c>
      <c r="O34" s="26" t="inlineStr">
        <is>
          <t>Sunil CR</t>
        </is>
      </c>
      <c r="P34" s="26" t="inlineStr">
        <is>
          <t>Yes</t>
        </is>
      </c>
      <c r="Q34" s="26" t="inlineStr">
        <is>
          <t>No</t>
        </is>
      </c>
      <c r="R34" s="26" t="inlineStr">
        <is>
          <t>Good finish</t>
        </is>
      </c>
      <c r="S34" s="26" t="inlineStr">
        <is>
          <t>Yes</t>
        </is>
      </c>
      <c r="T34" s="27" t="n"/>
      <c r="U34" s="28" t="inlineStr">
        <is>
          <t>No</t>
        </is>
      </c>
      <c r="V34" s="29">
        <f>IF(N34="","",IF(Q34="Yes","❌ Disc",IF(P34="No","⚠ Missing",IF(S34="Yes","✓ OK","⚠ Check"))))</f>
        <v/>
      </c>
      <c r="W34" s="65" t="n">
        <v>46248</v>
      </c>
      <c r="X34" s="30" t="inlineStr">
        <is>
          <t>Sunil CR</t>
        </is>
      </c>
      <c r="Y34" s="30" t="inlineStr">
        <is>
          <t>Yes</t>
        </is>
      </c>
      <c r="Z34" s="30" t="n"/>
      <c r="AA34" s="30" t="inlineStr">
        <is>
          <t>Good finish</t>
        </is>
      </c>
      <c r="AB34" s="30" t="inlineStr">
        <is>
          <t>Yes</t>
        </is>
      </c>
      <c r="AC34" s="27" t="n"/>
      <c r="AD34" s="31" t="inlineStr">
        <is>
          <t>No</t>
        </is>
      </c>
      <c r="AE34" s="32">
        <f>IF(W34="","",IF(Z34="Yes","❌ Disc",IF(Y34="No","⚠ Missing",IF(AB34="Yes","✓ OK","⚠ Check"))))</f>
        <v/>
      </c>
      <c r="AF34" s="33" t="n"/>
      <c r="AG34" s="33" t="n"/>
      <c r="AH34" s="33" t="n"/>
      <c r="AI34" s="33" t="n"/>
      <c r="AJ34" s="33" t="n"/>
      <c r="AK34" s="33" t="n"/>
      <c r="AL34" s="27" t="n"/>
      <c r="AM34" s="34" t="n"/>
      <c r="AN34" s="35">
        <f>IF(AF34="","",IF(AI34="Yes","❌ Disc",IF(AH34="No","⚠ Missing",IF(AK34="Yes","✓ OK","⚠ Check"))))</f>
        <v/>
      </c>
      <c r="AO34" s="36" t="n"/>
      <c r="AP34" s="36" t="n"/>
      <c r="AQ34" s="36" t="n"/>
      <c r="AR34" s="36" t="n"/>
      <c r="AS34" s="36" t="n"/>
      <c r="AT34" s="36" t="n"/>
      <c r="AU34" s="27" t="n"/>
      <c r="AV34" s="37" t="n"/>
      <c r="AW34" s="38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BD-VRM-2026-0108</t>
        </is>
      </c>
      <c r="C35" s="25" t="inlineStr">
        <is>
          <t>Excel  - Essen Wallpaper 71057-4</t>
        </is>
      </c>
      <c r="D35" s="23" t="inlineStr">
        <is>
          <t>Excel</t>
        </is>
      </c>
      <c r="E35" s="43" t="n">
        <v>46125</v>
      </c>
      <c r="F35" s="26" t="inlineStr">
        <is>
          <t>Sunil CR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Good finish</t>
        </is>
      </c>
      <c r="J35" s="26" t="inlineStr">
        <is>
          <t>Yes</t>
        </is>
      </c>
      <c r="K35" s="27" t="n"/>
      <c r="L35" s="28" t="inlineStr">
        <is>
          <t>No</t>
        </is>
      </c>
      <c r="M35" s="29">
        <f>IF(E35="","",IF(H35="Yes","❌ Disc",IF(G35="No","⚠ Missing",IF(J35="Yes","✓ OK","⚠ Check"))))</f>
        <v/>
      </c>
      <c r="N35" s="43" t="n">
        <v>46193</v>
      </c>
      <c r="O35" s="26" t="inlineStr">
        <is>
          <t>Sunil CR</t>
        </is>
      </c>
      <c r="P35" s="26" t="inlineStr">
        <is>
          <t>Yes</t>
        </is>
      </c>
      <c r="Q35" s="26" t="inlineStr">
        <is>
          <t>No</t>
        </is>
      </c>
      <c r="R35" s="26" t="inlineStr">
        <is>
          <t>Good finish</t>
        </is>
      </c>
      <c r="S35" s="26" t="inlineStr">
        <is>
          <t>Yes</t>
        </is>
      </c>
      <c r="T35" s="27" t="n"/>
      <c r="U35" s="28" t="inlineStr">
        <is>
          <t>No</t>
        </is>
      </c>
      <c r="V35" s="29">
        <f>IF(N35="","",IF(Q35="Yes","❌ Disc",IF(P35="No","⚠ Missing",IF(S35="Yes","✓ OK","⚠ Check"))))</f>
        <v/>
      </c>
      <c r="W35" s="65" t="n">
        <v>46248</v>
      </c>
      <c r="X35" s="30" t="inlineStr">
        <is>
          <t>Sunil CR</t>
        </is>
      </c>
      <c r="Y35" s="30" t="inlineStr">
        <is>
          <t>Yes</t>
        </is>
      </c>
      <c r="Z35" s="30" t="n"/>
      <c r="AA35" s="30" t="inlineStr">
        <is>
          <t>Good finish</t>
        </is>
      </c>
      <c r="AB35" s="30" t="inlineStr">
        <is>
          <t>Yes</t>
        </is>
      </c>
      <c r="AC35" s="27" t="n"/>
      <c r="AD35" s="31" t="inlineStr">
        <is>
          <t>No</t>
        </is>
      </c>
      <c r="AE35" s="32">
        <f>IF(W35="","",IF(Z35="Yes","❌ Disc",IF(Y35="No","⚠ Missing",IF(AB35="Yes","✓ OK","⚠ Check"))))</f>
        <v/>
      </c>
      <c r="AF35" s="33" t="n"/>
      <c r="AG35" s="33" t="n"/>
      <c r="AH35" s="33" t="n"/>
      <c r="AI35" s="33" t="n"/>
      <c r="AJ35" s="33" t="n"/>
      <c r="AK35" s="33" t="n"/>
      <c r="AL35" s="27" t="n"/>
      <c r="AM35" s="34" t="n"/>
      <c r="AN35" s="35">
        <f>IF(AF35="","",IF(AI35="Yes","❌ Disc",IF(AH35="No","⚠ Missing",IF(AK35="Yes","✓ OK","⚠ Check"))))</f>
        <v/>
      </c>
      <c r="AO35" s="36" t="n"/>
      <c r="AP35" s="36" t="n"/>
      <c r="AQ35" s="36" t="n"/>
      <c r="AR35" s="36" t="n"/>
      <c r="AS35" s="36" t="n"/>
      <c r="AT35" s="36" t="n"/>
      <c r="AU35" s="27" t="n"/>
      <c r="AV35" s="37" t="n"/>
      <c r="AW35" s="38">
        <f>IF(AO35="","",IF(AR35="Yes","❌ Disc",IF(AQ35="No","⚠ Missing",IF(AT35="Yes","✓ OK","⚠ Check"))))</f>
        <v/>
      </c>
    </row>
    <row r="36" ht="18" customHeight="1" s="46">
      <c r="A36" s="39" t="n">
        <v>32</v>
      </c>
      <c r="B36" s="40" t="inlineStr">
        <is>
          <t>BD-VRM-2026-0109</t>
        </is>
      </c>
      <c r="C36" s="41" t="inlineStr">
        <is>
          <t>Excel  - Essen Wallpaper 71057-5</t>
        </is>
      </c>
      <c r="D36" s="39" t="inlineStr">
        <is>
          <t>Excel</t>
        </is>
      </c>
      <c r="E36" s="43" t="n">
        <v>46125</v>
      </c>
      <c r="F36" s="26" t="inlineStr">
        <is>
          <t>Sunil CR</t>
        </is>
      </c>
      <c r="G36" s="26" t="inlineStr">
        <is>
          <t>Yes</t>
        </is>
      </c>
      <c r="H36" s="26" t="inlineStr">
        <is>
          <t>No</t>
        </is>
      </c>
      <c r="I36" s="26" t="inlineStr">
        <is>
          <t>Good finish</t>
        </is>
      </c>
      <c r="J36" s="26" t="inlineStr">
        <is>
          <t>Yes</t>
        </is>
      </c>
      <c r="K36" s="27" t="n"/>
      <c r="L36" s="28" t="inlineStr">
        <is>
          <t>No</t>
        </is>
      </c>
      <c r="M36" s="29">
        <f>IF(E36="","",IF(H36="Yes","❌ Disc",IF(G36="No","⚠ Missing",IF(J36="Yes","✓ OK","⚠ Check"))))</f>
        <v/>
      </c>
      <c r="N36" s="43" t="n">
        <v>46193</v>
      </c>
      <c r="O36" s="26" t="inlineStr">
        <is>
          <t>Sunil CR</t>
        </is>
      </c>
      <c r="P36" s="26" t="inlineStr">
        <is>
          <t>Yes</t>
        </is>
      </c>
      <c r="Q36" s="26" t="inlineStr">
        <is>
          <t>No</t>
        </is>
      </c>
      <c r="R36" s="26" t="inlineStr">
        <is>
          <t>Good finish</t>
        </is>
      </c>
      <c r="S36" s="26" t="inlineStr">
        <is>
          <t>Yes</t>
        </is>
      </c>
      <c r="T36" s="27" t="n"/>
      <c r="U36" s="28" t="inlineStr">
        <is>
          <t>No</t>
        </is>
      </c>
      <c r="V36" s="29">
        <f>IF(N36="","",IF(Q36="Yes","❌ Disc",IF(P36="No","⚠ Missing",IF(S36="Yes","✓ OK","⚠ Check"))))</f>
        <v/>
      </c>
      <c r="W36" s="65" t="n">
        <v>46248</v>
      </c>
      <c r="X36" s="30" t="inlineStr">
        <is>
          <t>Sunil CR</t>
        </is>
      </c>
      <c r="Y36" s="30" t="inlineStr">
        <is>
          <t>Yes</t>
        </is>
      </c>
      <c r="Z36" s="30" t="n"/>
      <c r="AA36" s="30" t="inlineStr">
        <is>
          <t>Good finish</t>
        </is>
      </c>
      <c r="AB36" s="30" t="inlineStr">
        <is>
          <t>Yes</t>
        </is>
      </c>
      <c r="AC36" s="27" t="n"/>
      <c r="AD36" s="31" t="inlineStr">
        <is>
          <t>No</t>
        </is>
      </c>
      <c r="AE36" s="32">
        <f>IF(W36="","",IF(Z36="Yes","❌ Disc",IF(Y36="No","⚠ Missing",IF(AB36="Yes","✓ OK","⚠ Check"))))</f>
        <v/>
      </c>
      <c r="AF36" s="33" t="n"/>
      <c r="AG36" s="33" t="n"/>
      <c r="AH36" s="33" t="n"/>
      <c r="AI36" s="33" t="n"/>
      <c r="AJ36" s="33" t="n"/>
      <c r="AK36" s="33" t="n"/>
      <c r="AL36" s="27" t="n"/>
      <c r="AM36" s="34" t="n"/>
      <c r="AN36" s="35">
        <f>IF(AF36="","",IF(AI36="Yes","❌ Disc",IF(AH36="No","⚠ Missing",IF(AK36="Yes","✓ OK","⚠ Check"))))</f>
        <v/>
      </c>
      <c r="AO36" s="36" t="n"/>
      <c r="AP36" s="36" t="n"/>
      <c r="AQ36" s="36" t="n"/>
      <c r="AR36" s="36" t="n"/>
      <c r="AS36" s="36" t="n"/>
      <c r="AT36" s="36" t="n"/>
      <c r="AU36" s="27" t="n"/>
      <c r="AV36" s="37" t="n"/>
      <c r="AW36" s="38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BD-VRM-2026-0116</t>
        </is>
      </c>
      <c r="C37" s="25" t="inlineStr">
        <is>
          <t>Excel  - Essen Wallpaper 71058-1</t>
        </is>
      </c>
      <c r="D37" s="23" t="inlineStr">
        <is>
          <t>Excel</t>
        </is>
      </c>
      <c r="E37" s="43" t="n">
        <v>46125</v>
      </c>
      <c r="F37" s="26" t="inlineStr">
        <is>
          <t>Sunil CR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Good finish</t>
        </is>
      </c>
      <c r="J37" s="26" t="inlineStr">
        <is>
          <t>Yes</t>
        </is>
      </c>
      <c r="K37" s="27" t="n"/>
      <c r="L37" s="28" t="inlineStr">
        <is>
          <t>No</t>
        </is>
      </c>
      <c r="M37" s="29">
        <f>IF(E37="","",IF(H37="Yes","❌ Disc",IF(G37="No","⚠ Missing",IF(J37="Yes","✓ OK","⚠ Check"))))</f>
        <v/>
      </c>
      <c r="N37" s="43" t="n">
        <v>46193</v>
      </c>
      <c r="O37" s="26" t="inlineStr">
        <is>
          <t>Sunil CR</t>
        </is>
      </c>
      <c r="P37" s="26" t="inlineStr">
        <is>
          <t>Yes</t>
        </is>
      </c>
      <c r="Q37" s="26" t="inlineStr">
        <is>
          <t>No</t>
        </is>
      </c>
      <c r="R37" s="26" t="inlineStr">
        <is>
          <t>Good finish</t>
        </is>
      </c>
      <c r="S37" s="26" t="inlineStr">
        <is>
          <t>Yes</t>
        </is>
      </c>
      <c r="T37" s="27" t="n"/>
      <c r="U37" s="28" t="inlineStr">
        <is>
          <t>No</t>
        </is>
      </c>
      <c r="V37" s="29">
        <f>IF(N37="","",IF(Q37="Yes","❌ Disc",IF(P37="No","⚠ Missing",IF(S37="Yes","✓ OK","⚠ Check"))))</f>
        <v/>
      </c>
      <c r="W37" s="65" t="n">
        <v>46248</v>
      </c>
      <c r="X37" s="30" t="inlineStr">
        <is>
          <t>Sunil CR</t>
        </is>
      </c>
      <c r="Y37" s="30" t="inlineStr">
        <is>
          <t>Yes</t>
        </is>
      </c>
      <c r="Z37" s="30" t="n"/>
      <c r="AA37" s="30" t="inlineStr">
        <is>
          <t>Good finish</t>
        </is>
      </c>
      <c r="AB37" s="30" t="inlineStr">
        <is>
          <t>Yes</t>
        </is>
      </c>
      <c r="AC37" s="27" t="n"/>
      <c r="AD37" s="31" t="inlineStr">
        <is>
          <t>No</t>
        </is>
      </c>
      <c r="AE37" s="32">
        <f>IF(W37="","",IF(Z37="Yes","❌ Disc",IF(Y37="No","⚠ Missing",IF(AB37="Yes","✓ OK","⚠ Check"))))</f>
        <v/>
      </c>
      <c r="AF37" s="33" t="n"/>
      <c r="AG37" s="33" t="n"/>
      <c r="AH37" s="33" t="n"/>
      <c r="AI37" s="33" t="n"/>
      <c r="AJ37" s="33" t="n"/>
      <c r="AK37" s="33" t="n"/>
      <c r="AL37" s="27" t="n"/>
      <c r="AM37" s="34" t="n"/>
      <c r="AN37" s="35">
        <f>IF(AF37="","",IF(AI37="Yes","❌ Disc",IF(AH37="No","⚠ Missing",IF(AK37="Yes","✓ OK","⚠ Check"))))</f>
        <v/>
      </c>
      <c r="AO37" s="36" t="n"/>
      <c r="AP37" s="36" t="n"/>
      <c r="AQ37" s="36" t="n"/>
      <c r="AR37" s="36" t="n"/>
      <c r="AS37" s="36" t="n"/>
      <c r="AT37" s="36" t="n"/>
      <c r="AU37" s="27" t="n"/>
      <c r="AV37" s="37" t="n"/>
      <c r="AW37" s="38">
        <f>IF(AO37="","",IF(AR37="Yes","❌ Disc",IF(AQ37="No","⚠ Missing",IF(AT37="Yes","✓ OK","⚠ Check"))))</f>
        <v/>
      </c>
    </row>
    <row r="38" ht="18" customHeight="1" s="46">
      <c r="A38" s="39" t="n">
        <v>34</v>
      </c>
      <c r="B38" s="40" t="inlineStr">
        <is>
          <t>BD-VRM-2026-0117</t>
        </is>
      </c>
      <c r="C38" s="41" t="inlineStr">
        <is>
          <t>Excel  - Essen Wallpaper 71058-2</t>
        </is>
      </c>
      <c r="D38" s="39" t="inlineStr">
        <is>
          <t>Excel</t>
        </is>
      </c>
      <c r="E38" s="43" t="n">
        <v>46125</v>
      </c>
      <c r="F38" s="26" t="inlineStr">
        <is>
          <t>Sunil CR</t>
        </is>
      </c>
      <c r="G38" s="26" t="inlineStr">
        <is>
          <t>Yes</t>
        </is>
      </c>
      <c r="H38" s="26" t="inlineStr">
        <is>
          <t>No</t>
        </is>
      </c>
      <c r="I38" s="26" t="inlineStr">
        <is>
          <t>Good finish</t>
        </is>
      </c>
      <c r="J38" s="26" t="inlineStr">
        <is>
          <t>Yes</t>
        </is>
      </c>
      <c r="K38" s="27" t="n"/>
      <c r="L38" s="28" t="inlineStr">
        <is>
          <t>No</t>
        </is>
      </c>
      <c r="M38" s="29">
        <f>IF(E38="","",IF(H38="Yes","❌ Disc",IF(G38="No","⚠ Missing",IF(J38="Yes","✓ OK","⚠ Check"))))</f>
        <v/>
      </c>
      <c r="N38" s="43" t="n">
        <v>46193</v>
      </c>
      <c r="O38" s="26" t="inlineStr">
        <is>
          <t>Sunil CR</t>
        </is>
      </c>
      <c r="P38" s="26" t="inlineStr">
        <is>
          <t>Yes</t>
        </is>
      </c>
      <c r="Q38" s="26" t="inlineStr">
        <is>
          <t>No</t>
        </is>
      </c>
      <c r="R38" s="26" t="inlineStr">
        <is>
          <t>Good finish</t>
        </is>
      </c>
      <c r="S38" s="26" t="inlineStr">
        <is>
          <t>Yes</t>
        </is>
      </c>
      <c r="T38" s="27" t="n"/>
      <c r="U38" s="28" t="inlineStr">
        <is>
          <t>No</t>
        </is>
      </c>
      <c r="V38" s="29">
        <f>IF(N38="","",IF(Q38="Yes","❌ Disc",IF(P38="No","⚠ Missing",IF(S38="Yes","✓ OK","⚠ Check"))))</f>
        <v/>
      </c>
      <c r="W38" s="65" t="n">
        <v>46248</v>
      </c>
      <c r="X38" s="30" t="inlineStr">
        <is>
          <t>Sunil CR</t>
        </is>
      </c>
      <c r="Y38" s="30" t="inlineStr">
        <is>
          <t>Yes</t>
        </is>
      </c>
      <c r="Z38" s="30" t="n"/>
      <c r="AA38" s="30" t="inlineStr">
        <is>
          <t>Good finish</t>
        </is>
      </c>
      <c r="AB38" s="30" t="inlineStr">
        <is>
          <t>Yes</t>
        </is>
      </c>
      <c r="AC38" s="27" t="n"/>
      <c r="AD38" s="31" t="inlineStr">
        <is>
          <t>No</t>
        </is>
      </c>
      <c r="AE38" s="32">
        <f>IF(W38="","",IF(Z38="Yes","❌ Disc",IF(Y38="No","⚠ Missing",IF(AB38="Yes","✓ OK","⚠ Check"))))</f>
        <v/>
      </c>
      <c r="AF38" s="33" t="n"/>
      <c r="AG38" s="33" t="n"/>
      <c r="AH38" s="33" t="n"/>
      <c r="AI38" s="33" t="n"/>
      <c r="AJ38" s="33" t="n"/>
      <c r="AK38" s="33" t="n"/>
      <c r="AL38" s="27" t="n"/>
      <c r="AM38" s="34" t="n"/>
      <c r="AN38" s="35">
        <f>IF(AF38="","",IF(AI38="Yes","❌ Disc",IF(AH38="No","⚠ Missing",IF(AK38="Yes","✓ OK","⚠ Check"))))</f>
        <v/>
      </c>
      <c r="AO38" s="36" t="n"/>
      <c r="AP38" s="36" t="n"/>
      <c r="AQ38" s="36" t="n"/>
      <c r="AR38" s="36" t="n"/>
      <c r="AS38" s="36" t="n"/>
      <c r="AT38" s="36" t="n"/>
      <c r="AU38" s="27" t="n"/>
      <c r="AV38" s="37" t="n"/>
      <c r="AW38" s="38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BD-VRM-2026-0118</t>
        </is>
      </c>
      <c r="C39" s="25" t="inlineStr">
        <is>
          <t>Excel  - Essen Wallpaper 71058-3</t>
        </is>
      </c>
      <c r="D39" s="23" t="inlineStr">
        <is>
          <t>Excel</t>
        </is>
      </c>
      <c r="E39" s="43" t="n">
        <v>46125</v>
      </c>
      <c r="F39" s="26" t="inlineStr">
        <is>
          <t>Sunil CR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Good finish</t>
        </is>
      </c>
      <c r="J39" s="26" t="inlineStr">
        <is>
          <t>Yes</t>
        </is>
      </c>
      <c r="K39" s="27" t="n"/>
      <c r="L39" s="28" t="inlineStr">
        <is>
          <t>No</t>
        </is>
      </c>
      <c r="M39" s="29">
        <f>IF(E39="","",IF(H39="Yes","❌ Disc",IF(G39="No","⚠ Missing",IF(J39="Yes","✓ OK","⚠ Check"))))</f>
        <v/>
      </c>
      <c r="N39" s="43" t="n">
        <v>46193</v>
      </c>
      <c r="O39" s="26" t="inlineStr">
        <is>
          <t>Sunil CR</t>
        </is>
      </c>
      <c r="P39" s="26" t="inlineStr">
        <is>
          <t>Yes</t>
        </is>
      </c>
      <c r="Q39" s="26" t="inlineStr">
        <is>
          <t>No</t>
        </is>
      </c>
      <c r="R39" s="26" t="inlineStr">
        <is>
          <t>Good finish</t>
        </is>
      </c>
      <c r="S39" s="26" t="inlineStr">
        <is>
          <t>Yes</t>
        </is>
      </c>
      <c r="T39" s="27" t="n"/>
      <c r="U39" s="28" t="inlineStr">
        <is>
          <t>No</t>
        </is>
      </c>
      <c r="V39" s="29">
        <f>IF(N39="","",IF(Q39="Yes","❌ Disc",IF(P39="No","⚠ Missing",IF(S39="Yes","✓ OK","⚠ Check"))))</f>
        <v/>
      </c>
      <c r="W39" s="65" t="n">
        <v>46248</v>
      </c>
      <c r="X39" s="30" t="inlineStr">
        <is>
          <t>Sunil CR</t>
        </is>
      </c>
      <c r="Y39" s="30" t="inlineStr">
        <is>
          <t>Yes</t>
        </is>
      </c>
      <c r="Z39" s="30" t="n"/>
      <c r="AA39" s="30" t="inlineStr">
        <is>
          <t>Good finish</t>
        </is>
      </c>
      <c r="AB39" s="30" t="inlineStr">
        <is>
          <t>Yes</t>
        </is>
      </c>
      <c r="AC39" s="27" t="n"/>
      <c r="AD39" s="31" t="inlineStr">
        <is>
          <t>No</t>
        </is>
      </c>
      <c r="AE39" s="32">
        <f>IF(W39="","",IF(Z39="Yes","❌ Disc",IF(Y39="No","⚠ Missing",IF(AB39="Yes","✓ OK","⚠ Check"))))</f>
        <v/>
      </c>
      <c r="AF39" s="33" t="n"/>
      <c r="AG39" s="33" t="n"/>
      <c r="AH39" s="33" t="n"/>
      <c r="AI39" s="33" t="n"/>
      <c r="AJ39" s="33" t="n"/>
      <c r="AK39" s="33" t="n"/>
      <c r="AL39" s="27" t="n"/>
      <c r="AM39" s="34" t="n"/>
      <c r="AN39" s="35">
        <f>IF(AF39="","",IF(AI39="Yes","❌ Disc",IF(AH39="No","⚠ Missing",IF(AK39="Yes","✓ OK","⚠ Check"))))</f>
        <v/>
      </c>
      <c r="AO39" s="36" t="n"/>
      <c r="AP39" s="36" t="n"/>
      <c r="AQ39" s="36" t="n"/>
      <c r="AR39" s="36" t="n"/>
      <c r="AS39" s="36" t="n"/>
      <c r="AT39" s="36" t="n"/>
      <c r="AU39" s="27" t="n"/>
      <c r="AV39" s="37" t="n"/>
      <c r="AW39" s="38">
        <f>IF(AO39="","",IF(AR39="Yes","❌ Disc",IF(AQ39="No","⚠ Missing",IF(AT39="Yes","✓ OK","⚠ Check"))))</f>
        <v/>
      </c>
    </row>
    <row r="40" ht="18" customHeight="1" s="46">
      <c r="A40" s="39" t="n">
        <v>36</v>
      </c>
      <c r="B40" s="40" t="inlineStr">
        <is>
          <t>BD-VRM-2026-0119</t>
        </is>
      </c>
      <c r="C40" s="41" t="inlineStr">
        <is>
          <t>Excel  - Essen Wallpaper 71058-4</t>
        </is>
      </c>
      <c r="D40" s="39" t="inlineStr">
        <is>
          <t>Excel</t>
        </is>
      </c>
      <c r="E40" s="43" t="n">
        <v>46125</v>
      </c>
      <c r="F40" s="26" t="inlineStr">
        <is>
          <t>Sunil CR</t>
        </is>
      </c>
      <c r="G40" s="26" t="inlineStr">
        <is>
          <t>Yes</t>
        </is>
      </c>
      <c r="H40" s="26" t="inlineStr">
        <is>
          <t>No</t>
        </is>
      </c>
      <c r="I40" s="26" t="inlineStr">
        <is>
          <t>Good finish</t>
        </is>
      </c>
      <c r="J40" s="26" t="inlineStr">
        <is>
          <t>Yes</t>
        </is>
      </c>
      <c r="K40" s="27" t="n"/>
      <c r="L40" s="28" t="inlineStr">
        <is>
          <t>No</t>
        </is>
      </c>
      <c r="M40" s="29">
        <f>IF(E40="","",IF(H40="Yes","❌ Disc",IF(G40="No","⚠ Missing",IF(J40="Yes","✓ OK","⚠ Check"))))</f>
        <v/>
      </c>
      <c r="N40" s="43" t="n">
        <v>46193</v>
      </c>
      <c r="O40" s="26" t="inlineStr">
        <is>
          <t>Sunil CR</t>
        </is>
      </c>
      <c r="P40" s="26" t="inlineStr">
        <is>
          <t>Yes</t>
        </is>
      </c>
      <c r="Q40" s="26" t="inlineStr">
        <is>
          <t>No</t>
        </is>
      </c>
      <c r="R40" s="26" t="inlineStr">
        <is>
          <t>Good finish</t>
        </is>
      </c>
      <c r="S40" s="26" t="inlineStr">
        <is>
          <t>Yes</t>
        </is>
      </c>
      <c r="T40" s="27" t="n"/>
      <c r="U40" s="28" t="inlineStr">
        <is>
          <t>No</t>
        </is>
      </c>
      <c r="V40" s="29">
        <f>IF(N40="","",IF(Q40="Yes","❌ Disc",IF(P40="No","⚠ Missing",IF(S40="Yes","✓ OK","⚠ Check"))))</f>
        <v/>
      </c>
      <c r="W40" s="65" t="n">
        <v>46248</v>
      </c>
      <c r="X40" s="30" t="inlineStr">
        <is>
          <t>Sunil CR</t>
        </is>
      </c>
      <c r="Y40" s="30" t="inlineStr">
        <is>
          <t>Yes</t>
        </is>
      </c>
      <c r="Z40" s="30" t="n"/>
      <c r="AA40" s="30" t="inlineStr">
        <is>
          <t>Good finish</t>
        </is>
      </c>
      <c r="AB40" s="30" t="inlineStr">
        <is>
          <t>Yes</t>
        </is>
      </c>
      <c r="AC40" s="27" t="n"/>
      <c r="AD40" s="31" t="inlineStr">
        <is>
          <t>No</t>
        </is>
      </c>
      <c r="AE40" s="32">
        <f>IF(W40="","",IF(Z40="Yes","❌ Disc",IF(Y40="No","⚠ Missing",IF(AB40="Yes","✓ OK","⚠ Check"))))</f>
        <v/>
      </c>
      <c r="AF40" s="33" t="n"/>
      <c r="AG40" s="33" t="n"/>
      <c r="AH40" s="33" t="n"/>
      <c r="AI40" s="33" t="n"/>
      <c r="AJ40" s="33" t="n"/>
      <c r="AK40" s="33" t="n"/>
      <c r="AL40" s="27" t="n"/>
      <c r="AM40" s="34" t="n"/>
      <c r="AN40" s="35">
        <f>IF(AF40="","",IF(AI40="Yes","❌ Disc",IF(AH40="No","⚠ Missing",IF(AK40="Yes","✓ OK","⚠ Check"))))</f>
        <v/>
      </c>
      <c r="AO40" s="36" t="n"/>
      <c r="AP40" s="36" t="n"/>
      <c r="AQ40" s="36" t="n"/>
      <c r="AR40" s="36" t="n"/>
      <c r="AS40" s="36" t="n"/>
      <c r="AT40" s="36" t="n"/>
      <c r="AU40" s="27" t="n"/>
      <c r="AV40" s="37" t="n"/>
      <c r="AW40" s="38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BD-VRM-2026-0120</t>
        </is>
      </c>
      <c r="C41" s="25" t="inlineStr">
        <is>
          <t>Excel  - Essen Wallpaper 71059-1</t>
        </is>
      </c>
      <c r="D41" s="23" t="inlineStr">
        <is>
          <t>Excel</t>
        </is>
      </c>
      <c r="E41" s="43" t="n">
        <v>46125</v>
      </c>
      <c r="F41" s="26" t="inlineStr">
        <is>
          <t>Sunil CR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Good finish</t>
        </is>
      </c>
      <c r="J41" s="26" t="inlineStr">
        <is>
          <t>Yes</t>
        </is>
      </c>
      <c r="K41" s="27" t="n"/>
      <c r="L41" s="28" t="inlineStr">
        <is>
          <t>No</t>
        </is>
      </c>
      <c r="M41" s="29">
        <f>IF(E41="","",IF(H41="Yes","❌ Disc",IF(G41="No","⚠ Missing",IF(J41="Yes","✓ OK","⚠ Check"))))</f>
        <v/>
      </c>
      <c r="N41" s="43" t="n">
        <v>46193</v>
      </c>
      <c r="O41" s="26" t="inlineStr">
        <is>
          <t>Sunil CR</t>
        </is>
      </c>
      <c r="P41" s="26" t="inlineStr">
        <is>
          <t>Yes</t>
        </is>
      </c>
      <c r="Q41" s="26" t="inlineStr">
        <is>
          <t>No</t>
        </is>
      </c>
      <c r="R41" s="26" t="inlineStr">
        <is>
          <t>Good finish</t>
        </is>
      </c>
      <c r="S41" s="26" t="inlineStr">
        <is>
          <t>Yes</t>
        </is>
      </c>
      <c r="T41" s="27" t="n"/>
      <c r="U41" s="28" t="inlineStr">
        <is>
          <t>No</t>
        </is>
      </c>
      <c r="V41" s="29">
        <f>IF(N41="","",IF(Q41="Yes","❌ Disc",IF(P41="No","⚠ Missing",IF(S41="Yes","✓ OK","⚠ Check"))))</f>
        <v/>
      </c>
      <c r="W41" s="65" t="n">
        <v>46248</v>
      </c>
      <c r="X41" s="30" t="inlineStr">
        <is>
          <t>Sunil CR</t>
        </is>
      </c>
      <c r="Y41" s="30" t="inlineStr">
        <is>
          <t>Yes</t>
        </is>
      </c>
      <c r="Z41" s="30" t="n"/>
      <c r="AA41" s="30" t="inlineStr">
        <is>
          <t>Good finish</t>
        </is>
      </c>
      <c r="AB41" s="30" t="inlineStr">
        <is>
          <t>Yes</t>
        </is>
      </c>
      <c r="AC41" s="27" t="n"/>
      <c r="AD41" s="31" t="inlineStr">
        <is>
          <t>No</t>
        </is>
      </c>
      <c r="AE41" s="32">
        <f>IF(W41="","",IF(Z41="Yes","❌ Disc",IF(Y41="No","⚠ Missing",IF(AB41="Yes","✓ OK","⚠ Check"))))</f>
        <v/>
      </c>
      <c r="AF41" s="33" t="n"/>
      <c r="AG41" s="33" t="n"/>
      <c r="AH41" s="33" t="n"/>
      <c r="AI41" s="33" t="n"/>
      <c r="AJ41" s="33" t="n"/>
      <c r="AK41" s="33" t="n"/>
      <c r="AL41" s="27" t="n"/>
      <c r="AM41" s="34" t="n"/>
      <c r="AN41" s="35">
        <f>IF(AF41="","",IF(AI41="Yes","❌ Disc",IF(AH41="No","⚠ Missing",IF(AK41="Yes","✓ OK","⚠ Check"))))</f>
        <v/>
      </c>
      <c r="AO41" s="36" t="n"/>
      <c r="AP41" s="36" t="n"/>
      <c r="AQ41" s="36" t="n"/>
      <c r="AR41" s="36" t="n"/>
      <c r="AS41" s="36" t="n"/>
      <c r="AT41" s="36" t="n"/>
      <c r="AU41" s="27" t="n"/>
      <c r="AV41" s="37" t="n"/>
      <c r="AW41" s="38">
        <f>IF(AO41="","",IF(AR41="Yes","❌ Disc",IF(AQ41="No","⚠ Missing",IF(AT41="Yes","✓ OK","⚠ Check"))))</f>
        <v/>
      </c>
    </row>
    <row r="42" ht="18" customHeight="1" s="46">
      <c r="A42" s="39" t="n">
        <v>38</v>
      </c>
      <c r="B42" s="40" t="inlineStr">
        <is>
          <t>BD-VRM-2026-0121</t>
        </is>
      </c>
      <c r="C42" s="41" t="inlineStr">
        <is>
          <t>Excel  - Essen Wallpaper 71059-2</t>
        </is>
      </c>
      <c r="D42" s="39" t="inlineStr">
        <is>
          <t>Excel</t>
        </is>
      </c>
      <c r="E42" s="43" t="n">
        <v>46125</v>
      </c>
      <c r="F42" s="26" t="inlineStr">
        <is>
          <t>Sunil CR</t>
        </is>
      </c>
      <c r="G42" s="26" t="inlineStr">
        <is>
          <t>Yes</t>
        </is>
      </c>
      <c r="H42" s="26" t="inlineStr">
        <is>
          <t>No</t>
        </is>
      </c>
      <c r="I42" s="26" t="inlineStr">
        <is>
          <t>Good finish</t>
        </is>
      </c>
      <c r="J42" s="26" t="inlineStr">
        <is>
          <t>Yes</t>
        </is>
      </c>
      <c r="K42" s="27" t="n"/>
      <c r="L42" s="28" t="inlineStr">
        <is>
          <t>No</t>
        </is>
      </c>
      <c r="M42" s="29">
        <f>IF(E42="","",IF(H42="Yes","❌ Disc",IF(G42="No","⚠ Missing",IF(J42="Yes","✓ OK","⚠ Check"))))</f>
        <v/>
      </c>
      <c r="N42" s="43" t="n">
        <v>46193</v>
      </c>
      <c r="O42" s="26" t="inlineStr">
        <is>
          <t>Sunil CR</t>
        </is>
      </c>
      <c r="P42" s="26" t="inlineStr">
        <is>
          <t>Yes</t>
        </is>
      </c>
      <c r="Q42" s="26" t="inlineStr">
        <is>
          <t>No</t>
        </is>
      </c>
      <c r="R42" s="26" t="inlineStr">
        <is>
          <t>Good finish</t>
        </is>
      </c>
      <c r="S42" s="26" t="inlineStr">
        <is>
          <t>Yes</t>
        </is>
      </c>
      <c r="T42" s="27" t="n"/>
      <c r="U42" s="28" t="inlineStr">
        <is>
          <t>No</t>
        </is>
      </c>
      <c r="V42" s="29">
        <f>IF(N42="","",IF(Q42="Yes","❌ Disc",IF(P42="No","⚠ Missing",IF(S42="Yes","✓ OK","⚠ Check"))))</f>
        <v/>
      </c>
      <c r="W42" s="65" t="n">
        <v>46248</v>
      </c>
      <c r="X42" s="30" t="inlineStr">
        <is>
          <t>Sunil CR</t>
        </is>
      </c>
      <c r="Y42" s="30" t="inlineStr">
        <is>
          <t>Yes</t>
        </is>
      </c>
      <c r="Z42" s="30" t="n"/>
      <c r="AA42" s="30" t="inlineStr">
        <is>
          <t>Good finish</t>
        </is>
      </c>
      <c r="AB42" s="30" t="inlineStr">
        <is>
          <t>Yes</t>
        </is>
      </c>
      <c r="AC42" s="27" t="n"/>
      <c r="AD42" s="31" t="inlineStr">
        <is>
          <t>No</t>
        </is>
      </c>
      <c r="AE42" s="32">
        <f>IF(W42="","",IF(Z42="Yes","❌ Disc",IF(Y42="No","⚠ Missing",IF(AB42="Yes","✓ OK","⚠ Check"))))</f>
        <v/>
      </c>
      <c r="AF42" s="33" t="n"/>
      <c r="AG42" s="33" t="n"/>
      <c r="AH42" s="33" t="n"/>
      <c r="AI42" s="33" t="n"/>
      <c r="AJ42" s="33" t="n"/>
      <c r="AK42" s="33" t="n"/>
      <c r="AL42" s="27" t="n"/>
      <c r="AM42" s="34" t="n"/>
      <c r="AN42" s="35">
        <f>IF(AF42="","",IF(AI42="Yes","❌ Disc",IF(AH42="No","⚠ Missing",IF(AK42="Yes","✓ OK","⚠ Check"))))</f>
        <v/>
      </c>
      <c r="AO42" s="36" t="n"/>
      <c r="AP42" s="36" t="n"/>
      <c r="AQ42" s="36" t="n"/>
      <c r="AR42" s="36" t="n"/>
      <c r="AS42" s="36" t="n"/>
      <c r="AT42" s="36" t="n"/>
      <c r="AU42" s="27" t="n"/>
      <c r="AV42" s="37" t="n"/>
      <c r="AW42" s="38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BD-VRM-2026-0122</t>
        </is>
      </c>
      <c r="C43" s="25" t="inlineStr">
        <is>
          <t>Excel  - Essen Wallpaper 71059-3</t>
        </is>
      </c>
      <c r="D43" s="23" t="inlineStr">
        <is>
          <t>Excel</t>
        </is>
      </c>
      <c r="E43" s="43" t="n">
        <v>46125</v>
      </c>
      <c r="F43" s="26" t="inlineStr">
        <is>
          <t>Sunil CR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Good finish</t>
        </is>
      </c>
      <c r="J43" s="26" t="inlineStr">
        <is>
          <t>Yes</t>
        </is>
      </c>
      <c r="K43" s="27" t="n"/>
      <c r="L43" s="28" t="inlineStr">
        <is>
          <t>No</t>
        </is>
      </c>
      <c r="M43" s="29">
        <f>IF(E43="","",IF(H43="Yes","❌ Disc",IF(G43="No","⚠ Missing",IF(J43="Yes","✓ OK","⚠ Check"))))</f>
        <v/>
      </c>
      <c r="N43" s="43" t="n">
        <v>46193</v>
      </c>
      <c r="O43" s="26" t="inlineStr">
        <is>
          <t>Sunil CR</t>
        </is>
      </c>
      <c r="P43" s="26" t="inlineStr">
        <is>
          <t>Yes</t>
        </is>
      </c>
      <c r="Q43" s="26" t="inlineStr">
        <is>
          <t>No</t>
        </is>
      </c>
      <c r="R43" s="26" t="inlineStr">
        <is>
          <t>Good finish</t>
        </is>
      </c>
      <c r="S43" s="26" t="inlineStr">
        <is>
          <t>Yes</t>
        </is>
      </c>
      <c r="T43" s="27" t="n"/>
      <c r="U43" s="28" t="inlineStr">
        <is>
          <t>No</t>
        </is>
      </c>
      <c r="V43" s="29">
        <f>IF(N43="","",IF(Q43="Yes","❌ Disc",IF(P43="No","⚠ Missing",IF(S43="Yes","✓ OK","⚠ Check"))))</f>
        <v/>
      </c>
      <c r="W43" s="65" t="n">
        <v>46248</v>
      </c>
      <c r="X43" s="30" t="inlineStr">
        <is>
          <t>Sunil CR</t>
        </is>
      </c>
      <c r="Y43" s="30" t="inlineStr">
        <is>
          <t>Yes</t>
        </is>
      </c>
      <c r="Z43" s="30" t="n"/>
      <c r="AA43" s="30" t="inlineStr">
        <is>
          <t>Good finish</t>
        </is>
      </c>
      <c r="AB43" s="30" t="inlineStr">
        <is>
          <t>Yes</t>
        </is>
      </c>
      <c r="AC43" s="27" t="n"/>
      <c r="AD43" s="31" t="inlineStr">
        <is>
          <t>No</t>
        </is>
      </c>
      <c r="AE43" s="32">
        <f>IF(W43="","",IF(Z43="Yes","❌ Disc",IF(Y43="No","⚠ Missing",IF(AB43="Yes","✓ OK","⚠ Check"))))</f>
        <v/>
      </c>
      <c r="AF43" s="33" t="n"/>
      <c r="AG43" s="33" t="n"/>
      <c r="AH43" s="33" t="n"/>
      <c r="AI43" s="33" t="n"/>
      <c r="AJ43" s="33" t="n"/>
      <c r="AK43" s="33" t="n"/>
      <c r="AL43" s="27" t="n"/>
      <c r="AM43" s="34" t="n"/>
      <c r="AN43" s="35">
        <f>IF(AF43="","",IF(AI43="Yes","❌ Disc",IF(AH43="No","⚠ Missing",IF(AK43="Yes","✓ OK","⚠ Check"))))</f>
        <v/>
      </c>
      <c r="AO43" s="36" t="n"/>
      <c r="AP43" s="36" t="n"/>
      <c r="AQ43" s="36" t="n"/>
      <c r="AR43" s="36" t="n"/>
      <c r="AS43" s="36" t="n"/>
      <c r="AT43" s="36" t="n"/>
      <c r="AU43" s="27" t="n"/>
      <c r="AV43" s="37" t="n"/>
      <c r="AW43" s="38">
        <f>IF(AO43="","",IF(AR43="Yes","❌ Disc",IF(AQ43="No","⚠ Missing",IF(AT43="Yes","✓ OK","⚠ Check"))))</f>
        <v/>
      </c>
    </row>
    <row r="44" ht="18" customHeight="1" s="46">
      <c r="A44" s="39" t="n">
        <v>40</v>
      </c>
      <c r="B44" s="40" t="inlineStr">
        <is>
          <t>BD-VRM-2026-0085</t>
        </is>
      </c>
      <c r="C44" s="41" t="inlineStr">
        <is>
          <t>Excel  - Essen Wallpaper 71060-1</t>
        </is>
      </c>
      <c r="D44" s="39" t="inlineStr">
        <is>
          <t>Excel</t>
        </is>
      </c>
      <c r="E44" s="43" t="n">
        <v>46125</v>
      </c>
      <c r="F44" s="26" t="inlineStr">
        <is>
          <t>Sunil CR</t>
        </is>
      </c>
      <c r="G44" s="26" t="inlineStr">
        <is>
          <t>Yes</t>
        </is>
      </c>
      <c r="H44" s="26" t="inlineStr">
        <is>
          <t>No</t>
        </is>
      </c>
      <c r="I44" s="26" t="inlineStr">
        <is>
          <t>Good finish</t>
        </is>
      </c>
      <c r="J44" s="26" t="inlineStr">
        <is>
          <t>Yes</t>
        </is>
      </c>
      <c r="K44" s="27" t="n"/>
      <c r="L44" s="28" t="inlineStr">
        <is>
          <t>No</t>
        </is>
      </c>
      <c r="M44" s="29">
        <f>IF(E44="","",IF(H44="Yes","❌ Disc",IF(G44="No","⚠ Missing",IF(J44="Yes","✓ OK","⚠ Check"))))</f>
        <v/>
      </c>
      <c r="N44" s="43" t="n">
        <v>46193</v>
      </c>
      <c r="O44" s="26" t="inlineStr">
        <is>
          <t>Sunil CR</t>
        </is>
      </c>
      <c r="P44" s="26" t="inlineStr">
        <is>
          <t>Yes</t>
        </is>
      </c>
      <c r="Q44" s="26" t="inlineStr">
        <is>
          <t>No</t>
        </is>
      </c>
      <c r="R44" s="26" t="inlineStr">
        <is>
          <t>Good finish</t>
        </is>
      </c>
      <c r="S44" s="26" t="inlineStr">
        <is>
          <t>Yes</t>
        </is>
      </c>
      <c r="T44" s="27" t="n"/>
      <c r="U44" s="28" t="inlineStr">
        <is>
          <t>No</t>
        </is>
      </c>
      <c r="V44" s="29">
        <f>IF(N44="","",IF(Q44="Yes","❌ Disc",IF(P44="No","⚠ Missing",IF(S44="Yes","✓ OK","⚠ Check"))))</f>
        <v/>
      </c>
      <c r="W44" s="65" t="n">
        <v>46248</v>
      </c>
      <c r="X44" s="30" t="inlineStr">
        <is>
          <t>Sunil CR</t>
        </is>
      </c>
      <c r="Y44" s="30" t="inlineStr">
        <is>
          <t>Yes</t>
        </is>
      </c>
      <c r="Z44" s="30" t="n"/>
      <c r="AA44" s="30" t="inlineStr">
        <is>
          <t>Good finish</t>
        </is>
      </c>
      <c r="AB44" s="30" t="inlineStr">
        <is>
          <t>Yes</t>
        </is>
      </c>
      <c r="AC44" s="27" t="n"/>
      <c r="AD44" s="31" t="inlineStr">
        <is>
          <t>No</t>
        </is>
      </c>
      <c r="AE44" s="32">
        <f>IF(W44="","",IF(Z44="Yes","❌ Disc",IF(Y44="No","⚠ Missing",IF(AB44="Yes","✓ OK","⚠ Check"))))</f>
        <v/>
      </c>
      <c r="AF44" s="33" t="n"/>
      <c r="AG44" s="33" t="n"/>
      <c r="AH44" s="33" t="n"/>
      <c r="AI44" s="33" t="n"/>
      <c r="AJ44" s="33" t="n"/>
      <c r="AK44" s="33" t="n"/>
      <c r="AL44" s="27" t="n"/>
      <c r="AM44" s="34" t="n"/>
      <c r="AN44" s="35">
        <f>IF(AF44="","",IF(AI44="Yes","❌ Disc",IF(AH44="No","⚠ Missing",IF(AK44="Yes","✓ OK","⚠ Check"))))</f>
        <v/>
      </c>
      <c r="AO44" s="36" t="n"/>
      <c r="AP44" s="36" t="n"/>
      <c r="AQ44" s="36" t="n"/>
      <c r="AR44" s="36" t="n"/>
      <c r="AS44" s="36" t="n"/>
      <c r="AT44" s="36" t="n"/>
      <c r="AU44" s="27" t="n"/>
      <c r="AV44" s="37" t="n"/>
      <c r="AW44" s="38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BD-VRM-2026-0086</t>
        </is>
      </c>
      <c r="C45" s="25" t="inlineStr">
        <is>
          <t>Excel  - Essen Wallpaper 71060-2</t>
        </is>
      </c>
      <c r="D45" s="23" t="inlineStr">
        <is>
          <t>Excel</t>
        </is>
      </c>
      <c r="E45" s="43" t="n">
        <v>46125</v>
      </c>
      <c r="F45" s="26" t="inlineStr">
        <is>
          <t>Sunil CR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Good finish</t>
        </is>
      </c>
      <c r="J45" s="26" t="inlineStr">
        <is>
          <t>Yes</t>
        </is>
      </c>
      <c r="K45" s="27" t="n"/>
      <c r="L45" s="28" t="inlineStr">
        <is>
          <t>No</t>
        </is>
      </c>
      <c r="M45" s="29">
        <f>IF(E45="","",IF(H45="Yes","❌ Disc",IF(G45="No","⚠ Missing",IF(J45="Yes","✓ OK","⚠ Check"))))</f>
        <v/>
      </c>
      <c r="N45" s="43" t="n">
        <v>46193</v>
      </c>
      <c r="O45" s="26" t="inlineStr">
        <is>
          <t>Sunil CR</t>
        </is>
      </c>
      <c r="P45" s="26" t="inlineStr">
        <is>
          <t>Yes</t>
        </is>
      </c>
      <c r="Q45" s="26" t="inlineStr">
        <is>
          <t>No</t>
        </is>
      </c>
      <c r="R45" s="26" t="inlineStr">
        <is>
          <t>Good finish</t>
        </is>
      </c>
      <c r="S45" s="26" t="inlineStr">
        <is>
          <t>Yes</t>
        </is>
      </c>
      <c r="T45" s="27" t="n"/>
      <c r="U45" s="28" t="inlineStr">
        <is>
          <t>No</t>
        </is>
      </c>
      <c r="V45" s="29">
        <f>IF(N45="","",IF(Q45="Yes","❌ Disc",IF(P45="No","⚠ Missing",IF(S45="Yes","✓ OK","⚠ Check"))))</f>
        <v/>
      </c>
      <c r="W45" s="65" t="n">
        <v>46248</v>
      </c>
      <c r="X45" s="30" t="inlineStr">
        <is>
          <t>Sunil CR</t>
        </is>
      </c>
      <c r="Y45" s="30" t="inlineStr">
        <is>
          <t>Yes</t>
        </is>
      </c>
      <c r="Z45" s="30" t="n"/>
      <c r="AA45" s="30" t="inlineStr">
        <is>
          <t>Good finish</t>
        </is>
      </c>
      <c r="AB45" s="30" t="inlineStr">
        <is>
          <t>Yes</t>
        </is>
      </c>
      <c r="AC45" s="27" t="n"/>
      <c r="AD45" s="31" t="inlineStr">
        <is>
          <t>No</t>
        </is>
      </c>
      <c r="AE45" s="32">
        <f>IF(W45="","",IF(Z45="Yes","❌ Disc",IF(Y45="No","⚠ Missing",IF(AB45="Yes","✓ OK","⚠ Check"))))</f>
        <v/>
      </c>
      <c r="AF45" s="33" t="n"/>
      <c r="AG45" s="33" t="n"/>
      <c r="AH45" s="33" t="n"/>
      <c r="AI45" s="33" t="n"/>
      <c r="AJ45" s="33" t="n"/>
      <c r="AK45" s="33" t="n"/>
      <c r="AL45" s="27" t="n"/>
      <c r="AM45" s="34" t="n"/>
      <c r="AN45" s="35">
        <f>IF(AF45="","",IF(AI45="Yes","❌ Disc",IF(AH45="No","⚠ Missing",IF(AK45="Yes","✓ OK","⚠ Check"))))</f>
        <v/>
      </c>
      <c r="AO45" s="36" t="n"/>
      <c r="AP45" s="36" t="n"/>
      <c r="AQ45" s="36" t="n"/>
      <c r="AR45" s="36" t="n"/>
      <c r="AS45" s="36" t="n"/>
      <c r="AT45" s="36" t="n"/>
      <c r="AU45" s="27" t="n"/>
      <c r="AV45" s="37" t="n"/>
      <c r="AW45" s="38">
        <f>IF(AO45="","",IF(AR45="Yes","❌ Disc",IF(AQ45="No","⚠ Missing",IF(AT45="Yes","✓ OK","⚠ Check"))))</f>
        <v/>
      </c>
    </row>
    <row r="46" ht="18" customHeight="1" s="46">
      <c r="A46" s="39" t="n">
        <v>42</v>
      </c>
      <c r="B46" s="40" t="inlineStr">
        <is>
          <t>BD-VRM-2026-0087</t>
        </is>
      </c>
      <c r="C46" s="41" t="inlineStr">
        <is>
          <t>Excel  - Essen Wallpaper 71060-3</t>
        </is>
      </c>
      <c r="D46" s="39" t="inlineStr">
        <is>
          <t>Excel</t>
        </is>
      </c>
      <c r="E46" s="43" t="n">
        <v>46125</v>
      </c>
      <c r="F46" s="26" t="inlineStr">
        <is>
          <t>Sunil CR</t>
        </is>
      </c>
      <c r="G46" s="26" t="inlineStr">
        <is>
          <t>Yes</t>
        </is>
      </c>
      <c r="H46" s="26" t="inlineStr">
        <is>
          <t>No</t>
        </is>
      </c>
      <c r="I46" s="26" t="inlineStr">
        <is>
          <t>Good finish</t>
        </is>
      </c>
      <c r="J46" s="26" t="inlineStr">
        <is>
          <t>Yes</t>
        </is>
      </c>
      <c r="K46" s="27" t="n"/>
      <c r="L46" s="28" t="inlineStr">
        <is>
          <t>No</t>
        </is>
      </c>
      <c r="M46" s="29">
        <f>IF(E46="","",IF(H46="Yes","❌ Disc",IF(G46="No","⚠ Missing",IF(J46="Yes","✓ OK","⚠ Check"))))</f>
        <v/>
      </c>
      <c r="N46" s="43" t="n">
        <v>46193</v>
      </c>
      <c r="O46" s="26" t="inlineStr">
        <is>
          <t>Sunil CR</t>
        </is>
      </c>
      <c r="P46" s="26" t="inlineStr">
        <is>
          <t>Yes</t>
        </is>
      </c>
      <c r="Q46" s="26" t="inlineStr">
        <is>
          <t>No</t>
        </is>
      </c>
      <c r="R46" s="26" t="inlineStr">
        <is>
          <t>Good finish</t>
        </is>
      </c>
      <c r="S46" s="26" t="inlineStr">
        <is>
          <t>Yes</t>
        </is>
      </c>
      <c r="T46" s="27" t="n"/>
      <c r="U46" s="28" t="inlineStr">
        <is>
          <t>No</t>
        </is>
      </c>
      <c r="V46" s="29">
        <f>IF(N46="","",IF(Q46="Yes","❌ Disc",IF(P46="No","⚠ Missing",IF(S46="Yes","✓ OK","⚠ Check"))))</f>
        <v/>
      </c>
      <c r="W46" s="65" t="n">
        <v>46248</v>
      </c>
      <c r="X46" s="30" t="inlineStr">
        <is>
          <t>Sunil CR</t>
        </is>
      </c>
      <c r="Y46" s="30" t="inlineStr">
        <is>
          <t>Yes</t>
        </is>
      </c>
      <c r="Z46" s="30" t="n"/>
      <c r="AA46" s="30" t="inlineStr">
        <is>
          <t>Good finish</t>
        </is>
      </c>
      <c r="AB46" s="30" t="inlineStr">
        <is>
          <t>Yes</t>
        </is>
      </c>
      <c r="AC46" s="27" t="n"/>
      <c r="AD46" s="31" t="inlineStr">
        <is>
          <t>No</t>
        </is>
      </c>
      <c r="AE46" s="32">
        <f>IF(W46="","",IF(Z46="Yes","❌ Disc",IF(Y46="No","⚠ Missing",IF(AB46="Yes","✓ OK","⚠ Check"))))</f>
        <v/>
      </c>
      <c r="AF46" s="33" t="n"/>
      <c r="AG46" s="33" t="n"/>
      <c r="AH46" s="33" t="n"/>
      <c r="AI46" s="33" t="n"/>
      <c r="AJ46" s="33" t="n"/>
      <c r="AK46" s="33" t="n"/>
      <c r="AL46" s="27" t="n"/>
      <c r="AM46" s="34" t="n"/>
      <c r="AN46" s="35">
        <f>IF(AF46="","",IF(AI46="Yes","❌ Disc",IF(AH46="No","⚠ Missing",IF(AK46="Yes","✓ OK","⚠ Check"))))</f>
        <v/>
      </c>
      <c r="AO46" s="36" t="n"/>
      <c r="AP46" s="36" t="n"/>
      <c r="AQ46" s="36" t="n"/>
      <c r="AR46" s="36" t="n"/>
      <c r="AS46" s="36" t="n"/>
      <c r="AT46" s="36" t="n"/>
      <c r="AU46" s="27" t="n"/>
      <c r="AV46" s="37" t="n"/>
      <c r="AW46" s="38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BD-VRM-2026-0088</t>
        </is>
      </c>
      <c r="C47" s="25" t="inlineStr">
        <is>
          <t>Excel  - Essen Wallpaper 71060-4</t>
        </is>
      </c>
      <c r="D47" s="23" t="inlineStr">
        <is>
          <t>Excel</t>
        </is>
      </c>
      <c r="E47" s="43" t="n">
        <v>46125</v>
      </c>
      <c r="F47" s="26" t="inlineStr">
        <is>
          <t>Sunil CR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Good finish</t>
        </is>
      </c>
      <c r="J47" s="26" t="inlineStr">
        <is>
          <t>Yes</t>
        </is>
      </c>
      <c r="K47" s="27" t="n"/>
      <c r="L47" s="28" t="inlineStr">
        <is>
          <t>No</t>
        </is>
      </c>
      <c r="M47" s="29">
        <f>IF(E47="","",IF(H47="Yes","❌ Disc",IF(G47="No","⚠ Missing",IF(J47="Yes","✓ OK","⚠ Check"))))</f>
        <v/>
      </c>
      <c r="N47" s="43" t="n">
        <v>46193</v>
      </c>
      <c r="O47" s="26" t="inlineStr">
        <is>
          <t>Sunil CR</t>
        </is>
      </c>
      <c r="P47" s="26" t="inlineStr">
        <is>
          <t>Yes</t>
        </is>
      </c>
      <c r="Q47" s="26" t="inlineStr">
        <is>
          <t>No</t>
        </is>
      </c>
      <c r="R47" s="26" t="inlineStr">
        <is>
          <t>Good finish</t>
        </is>
      </c>
      <c r="S47" s="26" t="inlineStr">
        <is>
          <t>Yes</t>
        </is>
      </c>
      <c r="T47" s="27" t="n"/>
      <c r="U47" s="28" t="inlineStr">
        <is>
          <t>No</t>
        </is>
      </c>
      <c r="V47" s="29">
        <f>IF(N47="","",IF(Q47="Yes","❌ Disc",IF(P47="No","⚠ Missing",IF(S47="Yes","✓ OK","⚠ Check"))))</f>
        <v/>
      </c>
      <c r="W47" s="65" t="n">
        <v>46248</v>
      </c>
      <c r="X47" s="30" t="inlineStr">
        <is>
          <t>Sunil CR</t>
        </is>
      </c>
      <c r="Y47" s="30" t="inlineStr">
        <is>
          <t>Yes</t>
        </is>
      </c>
      <c r="Z47" s="30" t="n"/>
      <c r="AA47" s="30" t="inlineStr">
        <is>
          <t>Good finish</t>
        </is>
      </c>
      <c r="AB47" s="30" t="inlineStr">
        <is>
          <t>Yes</t>
        </is>
      </c>
      <c r="AC47" s="27" t="n"/>
      <c r="AD47" s="31" t="inlineStr">
        <is>
          <t>No</t>
        </is>
      </c>
      <c r="AE47" s="32">
        <f>IF(W47="","",IF(Z47="Yes","❌ Disc",IF(Y47="No","⚠ Missing",IF(AB47="Yes","✓ OK","⚠ Check"))))</f>
        <v/>
      </c>
      <c r="AF47" s="33" t="n"/>
      <c r="AG47" s="33" t="n"/>
      <c r="AH47" s="33" t="n"/>
      <c r="AI47" s="33" t="n"/>
      <c r="AJ47" s="33" t="n"/>
      <c r="AK47" s="33" t="n"/>
      <c r="AL47" s="27" t="n"/>
      <c r="AM47" s="34" t="n"/>
      <c r="AN47" s="35">
        <f>IF(AF47="","",IF(AI47="Yes","❌ Disc",IF(AH47="No","⚠ Missing",IF(AK47="Yes","✓ OK","⚠ Check"))))</f>
        <v/>
      </c>
      <c r="AO47" s="36" t="n"/>
      <c r="AP47" s="36" t="n"/>
      <c r="AQ47" s="36" t="n"/>
      <c r="AR47" s="36" t="n"/>
      <c r="AS47" s="36" t="n"/>
      <c r="AT47" s="36" t="n"/>
      <c r="AU47" s="27" t="n"/>
      <c r="AV47" s="37" t="n"/>
      <c r="AW47" s="38">
        <f>IF(AO47="","",IF(AR47="Yes","❌ Disc",IF(AQ47="No","⚠ Missing",IF(AT47="Yes","✓ OK","⚠ Check"))))</f>
        <v/>
      </c>
    </row>
    <row r="48" ht="18" customHeight="1" s="46">
      <c r="A48" s="39" t="n">
        <v>44</v>
      </c>
      <c r="B48" s="40" t="inlineStr">
        <is>
          <t>BD-VRM-2026-0094</t>
        </is>
      </c>
      <c r="C48" s="41" t="inlineStr">
        <is>
          <t>Excel  - Essen Wallpaper 71061-1</t>
        </is>
      </c>
      <c r="D48" s="39" t="inlineStr">
        <is>
          <t>Excel</t>
        </is>
      </c>
      <c r="E48" s="43" t="n">
        <v>46125</v>
      </c>
      <c r="F48" s="26" t="inlineStr">
        <is>
          <t>Sunil CR</t>
        </is>
      </c>
      <c r="G48" s="26" t="inlineStr">
        <is>
          <t>Yes</t>
        </is>
      </c>
      <c r="H48" s="26" t="inlineStr">
        <is>
          <t>No</t>
        </is>
      </c>
      <c r="I48" s="26" t="inlineStr">
        <is>
          <t>Good finish</t>
        </is>
      </c>
      <c r="J48" s="26" t="inlineStr">
        <is>
          <t>Yes</t>
        </is>
      </c>
      <c r="K48" s="27" t="n"/>
      <c r="L48" s="28" t="inlineStr">
        <is>
          <t>No</t>
        </is>
      </c>
      <c r="M48" s="29">
        <f>IF(E48="","",IF(H48="Yes","❌ Disc",IF(G48="No","⚠ Missing",IF(J48="Yes","✓ OK","⚠ Check"))))</f>
        <v/>
      </c>
      <c r="N48" s="43" t="n">
        <v>46193</v>
      </c>
      <c r="O48" s="26" t="inlineStr">
        <is>
          <t>Sunil CR</t>
        </is>
      </c>
      <c r="P48" s="26" t="inlineStr">
        <is>
          <t>Yes</t>
        </is>
      </c>
      <c r="Q48" s="26" t="inlineStr">
        <is>
          <t>No</t>
        </is>
      </c>
      <c r="R48" s="26" t="inlineStr">
        <is>
          <t>Good finish</t>
        </is>
      </c>
      <c r="S48" s="26" t="inlineStr">
        <is>
          <t>Yes</t>
        </is>
      </c>
      <c r="T48" s="27" t="n"/>
      <c r="U48" s="28" t="inlineStr">
        <is>
          <t>No</t>
        </is>
      </c>
      <c r="V48" s="29">
        <f>IF(N48="","",IF(Q48="Yes","❌ Disc",IF(P48="No","⚠ Missing",IF(S48="Yes","✓ OK","⚠ Check"))))</f>
        <v/>
      </c>
      <c r="W48" s="65" t="n">
        <v>46248</v>
      </c>
      <c r="X48" s="30" t="inlineStr">
        <is>
          <t>Sunil CR</t>
        </is>
      </c>
      <c r="Y48" s="30" t="inlineStr">
        <is>
          <t>Yes</t>
        </is>
      </c>
      <c r="Z48" s="30" t="n"/>
      <c r="AA48" s="30" t="inlineStr">
        <is>
          <t>Good finish</t>
        </is>
      </c>
      <c r="AB48" s="30" t="inlineStr">
        <is>
          <t>Yes</t>
        </is>
      </c>
      <c r="AC48" s="27" t="n"/>
      <c r="AD48" s="31" t="inlineStr">
        <is>
          <t>No</t>
        </is>
      </c>
      <c r="AE48" s="32">
        <f>IF(W48="","",IF(Z48="Yes","❌ Disc",IF(Y48="No","⚠ Missing",IF(AB48="Yes","✓ OK","⚠ Check"))))</f>
        <v/>
      </c>
      <c r="AF48" s="33" t="n"/>
      <c r="AG48" s="33" t="n"/>
      <c r="AH48" s="33" t="n"/>
      <c r="AI48" s="33" t="n"/>
      <c r="AJ48" s="33" t="n"/>
      <c r="AK48" s="33" t="n"/>
      <c r="AL48" s="27" t="n"/>
      <c r="AM48" s="34" t="n"/>
      <c r="AN48" s="35">
        <f>IF(AF48="","",IF(AI48="Yes","❌ Disc",IF(AH48="No","⚠ Missing",IF(AK48="Yes","✓ OK","⚠ Check"))))</f>
        <v/>
      </c>
      <c r="AO48" s="36" t="n"/>
      <c r="AP48" s="36" t="n"/>
      <c r="AQ48" s="36" t="n"/>
      <c r="AR48" s="36" t="n"/>
      <c r="AS48" s="36" t="n"/>
      <c r="AT48" s="36" t="n"/>
      <c r="AU48" s="27" t="n"/>
      <c r="AV48" s="37" t="n"/>
      <c r="AW48" s="38">
        <f>IF(AO48="","",IF(AR48="Yes","❌ Disc",IF(AQ48="No","⚠ Missing",IF(AT48="Yes","✓ OK","⚠ Check"))))</f>
        <v/>
      </c>
    </row>
    <row r="49" ht="18" customHeight="1" s="46">
      <c r="A49" s="23" t="n">
        <v>45</v>
      </c>
      <c r="B49" s="24" t="inlineStr">
        <is>
          <t>BD-VRM-2026-0095</t>
        </is>
      </c>
      <c r="C49" s="25" t="inlineStr">
        <is>
          <t>Excel  - Essen Wallpaper 71061-2</t>
        </is>
      </c>
      <c r="D49" s="23" t="inlineStr">
        <is>
          <t>Excel</t>
        </is>
      </c>
      <c r="E49" s="43" t="n">
        <v>46125</v>
      </c>
      <c r="F49" s="26" t="inlineStr">
        <is>
          <t>Sunil CR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Good finish</t>
        </is>
      </c>
      <c r="J49" s="26" t="inlineStr">
        <is>
          <t>Yes</t>
        </is>
      </c>
      <c r="K49" s="27" t="n"/>
      <c r="L49" s="28" t="inlineStr">
        <is>
          <t>No</t>
        </is>
      </c>
      <c r="M49" s="29">
        <f>IF(E49="","",IF(H49="Yes","❌ Disc",IF(G49="No","⚠ Missing",IF(J49="Yes","✓ OK","⚠ Check"))))</f>
        <v/>
      </c>
      <c r="N49" s="43" t="n">
        <v>46193</v>
      </c>
      <c r="O49" s="26" t="inlineStr">
        <is>
          <t>Sunil CR</t>
        </is>
      </c>
      <c r="P49" s="26" t="inlineStr">
        <is>
          <t>Yes</t>
        </is>
      </c>
      <c r="Q49" s="26" t="inlineStr">
        <is>
          <t>No</t>
        </is>
      </c>
      <c r="R49" s="26" t="inlineStr">
        <is>
          <t>Good finish</t>
        </is>
      </c>
      <c r="S49" s="26" t="inlineStr">
        <is>
          <t>Yes</t>
        </is>
      </c>
      <c r="T49" s="27" t="n"/>
      <c r="U49" s="28" t="inlineStr">
        <is>
          <t>No</t>
        </is>
      </c>
      <c r="V49" s="29">
        <f>IF(N49="","",IF(Q49="Yes","❌ Disc",IF(P49="No","⚠ Missing",IF(S49="Yes","✓ OK","⚠ Check"))))</f>
        <v/>
      </c>
      <c r="W49" s="65" t="n">
        <v>46248</v>
      </c>
      <c r="X49" s="30" t="inlineStr">
        <is>
          <t>Sunil CR</t>
        </is>
      </c>
      <c r="Y49" s="30" t="inlineStr">
        <is>
          <t>Yes</t>
        </is>
      </c>
      <c r="Z49" s="30" t="n"/>
      <c r="AA49" s="30" t="inlineStr">
        <is>
          <t>Good finish</t>
        </is>
      </c>
      <c r="AB49" s="30" t="inlineStr">
        <is>
          <t>Yes</t>
        </is>
      </c>
      <c r="AC49" s="27" t="n"/>
      <c r="AD49" s="31" t="inlineStr">
        <is>
          <t>No</t>
        </is>
      </c>
      <c r="AE49" s="32">
        <f>IF(W49="","",IF(Z49="Yes","❌ Disc",IF(Y49="No","⚠ Missing",IF(AB49="Yes","✓ OK","⚠ Check"))))</f>
        <v/>
      </c>
      <c r="AF49" s="33" t="n"/>
      <c r="AG49" s="33" t="n"/>
      <c r="AH49" s="33" t="n"/>
      <c r="AI49" s="33" t="n"/>
      <c r="AJ49" s="33" t="n"/>
      <c r="AK49" s="33" t="n"/>
      <c r="AL49" s="27" t="n"/>
      <c r="AM49" s="34" t="n"/>
      <c r="AN49" s="35">
        <f>IF(AF49="","",IF(AI49="Yes","❌ Disc",IF(AH49="No","⚠ Missing",IF(AK49="Yes","✓ OK","⚠ Check"))))</f>
        <v/>
      </c>
      <c r="AO49" s="36" t="n"/>
      <c r="AP49" s="36" t="n"/>
      <c r="AQ49" s="36" t="n"/>
      <c r="AR49" s="36" t="n"/>
      <c r="AS49" s="36" t="n"/>
      <c r="AT49" s="36" t="n"/>
      <c r="AU49" s="27" t="n"/>
      <c r="AV49" s="37" t="n"/>
      <c r="AW49" s="38">
        <f>IF(AO49="","",IF(AR49="Yes","❌ Disc",IF(AQ49="No","⚠ Missing",IF(AT49="Yes","✓ OK","⚠ Check"))))</f>
        <v/>
      </c>
    </row>
    <row r="50" ht="18" customHeight="1" s="46">
      <c r="A50" s="39" t="n">
        <v>46</v>
      </c>
      <c r="B50" s="40" t="inlineStr">
        <is>
          <t>BD-VRM-2026-0096</t>
        </is>
      </c>
      <c r="C50" s="41" t="inlineStr">
        <is>
          <t>Excel  - Essen Wallpaper 71061-3</t>
        </is>
      </c>
      <c r="D50" s="39" t="inlineStr">
        <is>
          <t>Excel</t>
        </is>
      </c>
      <c r="E50" s="43" t="n">
        <v>46125</v>
      </c>
      <c r="F50" s="26" t="inlineStr">
        <is>
          <t>Sunil CR</t>
        </is>
      </c>
      <c r="G50" s="26" t="inlineStr">
        <is>
          <t>Yes</t>
        </is>
      </c>
      <c r="H50" s="26" t="inlineStr">
        <is>
          <t>No</t>
        </is>
      </c>
      <c r="I50" s="26" t="inlineStr">
        <is>
          <t>Good finish</t>
        </is>
      </c>
      <c r="J50" s="26" t="inlineStr">
        <is>
          <t>Yes</t>
        </is>
      </c>
      <c r="K50" s="27" t="n"/>
      <c r="L50" s="28" t="inlineStr">
        <is>
          <t>No</t>
        </is>
      </c>
      <c r="M50" s="29">
        <f>IF(E50="","",IF(H50="Yes","❌ Disc",IF(G50="No","⚠ Missing",IF(J50="Yes","✓ OK","⚠ Check"))))</f>
        <v/>
      </c>
      <c r="N50" s="43" t="n">
        <v>46193</v>
      </c>
      <c r="O50" s="26" t="inlineStr">
        <is>
          <t>Sunil CR</t>
        </is>
      </c>
      <c r="P50" s="26" t="inlineStr">
        <is>
          <t>Yes</t>
        </is>
      </c>
      <c r="Q50" s="26" t="inlineStr">
        <is>
          <t>No</t>
        </is>
      </c>
      <c r="R50" s="26" t="inlineStr">
        <is>
          <t>Good finish</t>
        </is>
      </c>
      <c r="S50" s="26" t="inlineStr">
        <is>
          <t>Yes</t>
        </is>
      </c>
      <c r="T50" s="27" t="n"/>
      <c r="U50" s="28" t="inlineStr">
        <is>
          <t>No</t>
        </is>
      </c>
      <c r="V50" s="29">
        <f>IF(N50="","",IF(Q50="Yes","❌ Disc",IF(P50="No","⚠ Missing",IF(S50="Yes","✓ OK","⚠ Check"))))</f>
        <v/>
      </c>
      <c r="W50" s="65" t="n">
        <v>46248</v>
      </c>
      <c r="X50" s="30" t="inlineStr">
        <is>
          <t>Sunil CR</t>
        </is>
      </c>
      <c r="Y50" s="30" t="inlineStr">
        <is>
          <t>Yes</t>
        </is>
      </c>
      <c r="Z50" s="30" t="n"/>
      <c r="AA50" s="30" t="inlineStr">
        <is>
          <t>Good finish</t>
        </is>
      </c>
      <c r="AB50" s="30" t="inlineStr">
        <is>
          <t>Yes</t>
        </is>
      </c>
      <c r="AC50" s="27" t="n"/>
      <c r="AD50" s="31" t="inlineStr">
        <is>
          <t>No</t>
        </is>
      </c>
      <c r="AE50" s="32">
        <f>IF(W50="","",IF(Z50="Yes","❌ Disc",IF(Y50="No","⚠ Missing",IF(AB50="Yes","✓ OK","⚠ Check"))))</f>
        <v/>
      </c>
      <c r="AF50" s="33" t="n"/>
      <c r="AG50" s="33" t="n"/>
      <c r="AH50" s="33" t="n"/>
      <c r="AI50" s="33" t="n"/>
      <c r="AJ50" s="33" t="n"/>
      <c r="AK50" s="33" t="n"/>
      <c r="AL50" s="27" t="n"/>
      <c r="AM50" s="34" t="n"/>
      <c r="AN50" s="35">
        <f>IF(AF50="","",IF(AI50="Yes","❌ Disc",IF(AH50="No","⚠ Missing",IF(AK50="Yes","✓ OK","⚠ Check"))))</f>
        <v/>
      </c>
      <c r="AO50" s="36" t="n"/>
      <c r="AP50" s="36" t="n"/>
      <c r="AQ50" s="36" t="n"/>
      <c r="AR50" s="36" t="n"/>
      <c r="AS50" s="36" t="n"/>
      <c r="AT50" s="36" t="n"/>
      <c r="AU50" s="27" t="n"/>
      <c r="AV50" s="37" t="n"/>
      <c r="AW50" s="38">
        <f>IF(AO50="","",IF(AR50="Yes","❌ Disc",IF(AQ50="No","⚠ Missing",IF(AT50="Yes","✓ OK","⚠ Check"))))</f>
        <v/>
      </c>
    </row>
    <row r="51" ht="18" customHeight="1" s="46">
      <c r="A51" s="23" t="n">
        <v>47</v>
      </c>
      <c r="B51" s="24" t="inlineStr">
        <is>
          <t>BD-VRM-2026-0097</t>
        </is>
      </c>
      <c r="C51" s="25" t="inlineStr">
        <is>
          <t>Excel  - Essen Wallpaper 71061-4</t>
        </is>
      </c>
      <c r="D51" s="23" t="inlineStr">
        <is>
          <t>Excel</t>
        </is>
      </c>
      <c r="E51" s="43" t="n">
        <v>46125</v>
      </c>
      <c r="F51" s="26" t="inlineStr">
        <is>
          <t>Sunil CR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Good finish</t>
        </is>
      </c>
      <c r="J51" s="26" t="inlineStr">
        <is>
          <t>Yes</t>
        </is>
      </c>
      <c r="K51" s="27" t="n"/>
      <c r="L51" s="28" t="inlineStr">
        <is>
          <t>No</t>
        </is>
      </c>
      <c r="M51" s="29">
        <f>IF(E51="","",IF(H51="Yes","❌ Disc",IF(G51="No","⚠ Missing",IF(J51="Yes","✓ OK","⚠ Check"))))</f>
        <v/>
      </c>
      <c r="N51" s="43" t="n">
        <v>46193</v>
      </c>
      <c r="O51" s="26" t="inlineStr">
        <is>
          <t>Sunil CR</t>
        </is>
      </c>
      <c r="P51" s="26" t="inlineStr">
        <is>
          <t>Yes</t>
        </is>
      </c>
      <c r="Q51" s="26" t="inlineStr">
        <is>
          <t>No</t>
        </is>
      </c>
      <c r="R51" s="26" t="inlineStr">
        <is>
          <t>Good finish</t>
        </is>
      </c>
      <c r="S51" s="26" t="inlineStr">
        <is>
          <t>Yes</t>
        </is>
      </c>
      <c r="T51" s="27" t="n"/>
      <c r="U51" s="28" t="inlineStr">
        <is>
          <t>No</t>
        </is>
      </c>
      <c r="V51" s="29">
        <f>IF(N51="","",IF(Q51="Yes","❌ Disc",IF(P51="No","⚠ Missing",IF(S51="Yes","✓ OK","⚠ Check"))))</f>
        <v/>
      </c>
      <c r="W51" s="65" t="n">
        <v>46248</v>
      </c>
      <c r="X51" s="30" t="inlineStr">
        <is>
          <t>Sunil CR</t>
        </is>
      </c>
      <c r="Y51" s="30" t="inlineStr">
        <is>
          <t>Yes</t>
        </is>
      </c>
      <c r="Z51" s="30" t="n"/>
      <c r="AA51" s="30" t="inlineStr">
        <is>
          <t>Good finish</t>
        </is>
      </c>
      <c r="AB51" s="30" t="inlineStr">
        <is>
          <t>Yes</t>
        </is>
      </c>
      <c r="AC51" s="27" t="n"/>
      <c r="AD51" s="31" t="inlineStr">
        <is>
          <t>No</t>
        </is>
      </c>
      <c r="AE51" s="32">
        <f>IF(W51="","",IF(Z51="Yes","❌ Disc",IF(Y51="No","⚠ Missing",IF(AB51="Yes","✓ OK","⚠ Check"))))</f>
        <v/>
      </c>
      <c r="AF51" s="33" t="n"/>
      <c r="AG51" s="33" t="n"/>
      <c r="AH51" s="33" t="n"/>
      <c r="AI51" s="33" t="n"/>
      <c r="AJ51" s="33" t="n"/>
      <c r="AK51" s="33" t="n"/>
      <c r="AL51" s="27" t="n"/>
      <c r="AM51" s="34" t="n"/>
      <c r="AN51" s="35">
        <f>IF(AF51="","",IF(AI51="Yes","❌ Disc",IF(AH51="No","⚠ Missing",IF(AK51="Yes","✓ OK","⚠ Check"))))</f>
        <v/>
      </c>
      <c r="AO51" s="36" t="n"/>
      <c r="AP51" s="36" t="n"/>
      <c r="AQ51" s="36" t="n"/>
      <c r="AR51" s="36" t="n"/>
      <c r="AS51" s="36" t="n"/>
      <c r="AT51" s="36" t="n"/>
      <c r="AU51" s="27" t="n"/>
      <c r="AV51" s="37" t="n"/>
      <c r="AW51" s="38">
        <f>IF(AO51="","",IF(AR51="Yes","❌ Disc",IF(AQ51="No","⚠ Missing",IF(AT51="Yes","✓ OK","⚠ Check"))))</f>
        <v/>
      </c>
    </row>
    <row r="52" ht="18" customHeight="1" s="46">
      <c r="A52" s="39" t="n">
        <v>48</v>
      </c>
      <c r="B52" s="40" t="inlineStr">
        <is>
          <t>BD-VRM-2026-0098</t>
        </is>
      </c>
      <c r="C52" s="41" t="inlineStr">
        <is>
          <t>Excel  - Essen Wallpaper 71062-1</t>
        </is>
      </c>
      <c r="D52" s="39" t="inlineStr">
        <is>
          <t>Excel</t>
        </is>
      </c>
      <c r="E52" s="43" t="n">
        <v>46125</v>
      </c>
      <c r="F52" s="26" t="inlineStr">
        <is>
          <t>Sunil CR</t>
        </is>
      </c>
      <c r="G52" s="26" t="inlineStr">
        <is>
          <t>Yes</t>
        </is>
      </c>
      <c r="H52" s="26" t="inlineStr">
        <is>
          <t>No</t>
        </is>
      </c>
      <c r="I52" s="26" t="inlineStr">
        <is>
          <t>Good finish</t>
        </is>
      </c>
      <c r="J52" s="26" t="inlineStr">
        <is>
          <t>Yes</t>
        </is>
      </c>
      <c r="K52" s="27" t="n"/>
      <c r="L52" s="28" t="inlineStr">
        <is>
          <t>No</t>
        </is>
      </c>
      <c r="M52" s="29">
        <f>IF(E52="","",IF(H52="Yes","❌ Disc",IF(G52="No","⚠ Missing",IF(J52="Yes","✓ OK","⚠ Check"))))</f>
        <v/>
      </c>
      <c r="N52" s="43" t="n">
        <v>46193</v>
      </c>
      <c r="O52" s="26" t="inlineStr">
        <is>
          <t>Sunil CR</t>
        </is>
      </c>
      <c r="P52" s="26" t="inlineStr">
        <is>
          <t>Yes</t>
        </is>
      </c>
      <c r="Q52" s="26" t="inlineStr">
        <is>
          <t>No</t>
        </is>
      </c>
      <c r="R52" s="26" t="inlineStr">
        <is>
          <t>Good finish</t>
        </is>
      </c>
      <c r="S52" s="26" t="inlineStr">
        <is>
          <t>Yes</t>
        </is>
      </c>
      <c r="T52" s="27" t="n"/>
      <c r="U52" s="28" t="inlineStr">
        <is>
          <t>No</t>
        </is>
      </c>
      <c r="V52" s="29">
        <f>IF(N52="","",IF(Q52="Yes","❌ Disc",IF(P52="No","⚠ Missing",IF(S52="Yes","✓ OK","⚠ Check"))))</f>
        <v/>
      </c>
      <c r="W52" s="65" t="n">
        <v>46248</v>
      </c>
      <c r="X52" s="30" t="inlineStr">
        <is>
          <t>Sunil CR</t>
        </is>
      </c>
      <c r="Y52" s="30" t="inlineStr">
        <is>
          <t>Yes</t>
        </is>
      </c>
      <c r="Z52" s="30" t="n"/>
      <c r="AA52" s="30" t="inlineStr">
        <is>
          <t>Good finish</t>
        </is>
      </c>
      <c r="AB52" s="30" t="inlineStr">
        <is>
          <t>Yes</t>
        </is>
      </c>
      <c r="AC52" s="27" t="n"/>
      <c r="AD52" s="31" t="inlineStr">
        <is>
          <t>No</t>
        </is>
      </c>
      <c r="AE52" s="32">
        <f>IF(W52="","",IF(Z52="Yes","❌ Disc",IF(Y52="No","⚠ Missing",IF(AB52="Yes","✓ OK","⚠ Check"))))</f>
        <v/>
      </c>
      <c r="AF52" s="33" t="n"/>
      <c r="AG52" s="33" t="n"/>
      <c r="AH52" s="33" t="n"/>
      <c r="AI52" s="33" t="n"/>
      <c r="AJ52" s="33" t="n"/>
      <c r="AK52" s="33" t="n"/>
      <c r="AL52" s="27" t="n"/>
      <c r="AM52" s="34" t="n"/>
      <c r="AN52" s="35">
        <f>IF(AF52="","",IF(AI52="Yes","❌ Disc",IF(AH52="No","⚠ Missing",IF(AK52="Yes","✓ OK","⚠ Check"))))</f>
        <v/>
      </c>
      <c r="AO52" s="36" t="n"/>
      <c r="AP52" s="36" t="n"/>
      <c r="AQ52" s="36" t="n"/>
      <c r="AR52" s="36" t="n"/>
      <c r="AS52" s="36" t="n"/>
      <c r="AT52" s="36" t="n"/>
      <c r="AU52" s="27" t="n"/>
      <c r="AV52" s="37" t="n"/>
      <c r="AW52" s="38">
        <f>IF(AO52="","",IF(AR52="Yes","❌ Disc",IF(AQ52="No","⚠ Missing",IF(AT52="Yes","✓ OK","⚠ Check"))))</f>
        <v/>
      </c>
    </row>
    <row r="53" ht="18" customHeight="1" s="46">
      <c r="A53" s="23" t="n">
        <v>49</v>
      </c>
      <c r="B53" s="24" t="inlineStr">
        <is>
          <t>BD-VRM-2026-0099</t>
        </is>
      </c>
      <c r="C53" s="25" t="inlineStr">
        <is>
          <t>Excel  - Essen Wallpaper 71062-2</t>
        </is>
      </c>
      <c r="D53" s="23" t="inlineStr">
        <is>
          <t>Excel</t>
        </is>
      </c>
      <c r="E53" s="43" t="n">
        <v>46125</v>
      </c>
      <c r="F53" s="26" t="inlineStr">
        <is>
          <t>Sunil CR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Good finish</t>
        </is>
      </c>
      <c r="J53" s="26" t="inlineStr">
        <is>
          <t>Yes</t>
        </is>
      </c>
      <c r="K53" s="27" t="n"/>
      <c r="L53" s="28" t="inlineStr">
        <is>
          <t>No</t>
        </is>
      </c>
      <c r="M53" s="29">
        <f>IF(E53="","",IF(H53="Yes","❌ Disc",IF(G53="No","⚠ Missing",IF(J53="Yes","✓ OK","⚠ Check"))))</f>
        <v/>
      </c>
      <c r="N53" s="43" t="n">
        <v>46193</v>
      </c>
      <c r="O53" s="26" t="inlineStr">
        <is>
          <t>Sunil CR</t>
        </is>
      </c>
      <c r="P53" s="26" t="inlineStr">
        <is>
          <t>Yes</t>
        </is>
      </c>
      <c r="Q53" s="26" t="inlineStr">
        <is>
          <t>No</t>
        </is>
      </c>
      <c r="R53" s="26" t="inlineStr">
        <is>
          <t>Good finish</t>
        </is>
      </c>
      <c r="S53" s="26" t="inlineStr">
        <is>
          <t>Yes</t>
        </is>
      </c>
      <c r="T53" s="27" t="n"/>
      <c r="U53" s="28" t="inlineStr">
        <is>
          <t>No</t>
        </is>
      </c>
      <c r="V53" s="29">
        <f>IF(N53="","",IF(Q53="Yes","❌ Disc",IF(P53="No","⚠ Missing",IF(S53="Yes","✓ OK","⚠ Check"))))</f>
        <v/>
      </c>
      <c r="W53" s="65" t="n">
        <v>46248</v>
      </c>
      <c r="X53" s="30" t="inlineStr">
        <is>
          <t>Sunil CR</t>
        </is>
      </c>
      <c r="Y53" s="30" t="inlineStr">
        <is>
          <t>Yes</t>
        </is>
      </c>
      <c r="Z53" s="30" t="n"/>
      <c r="AA53" s="30" t="inlineStr">
        <is>
          <t>Good finish</t>
        </is>
      </c>
      <c r="AB53" s="30" t="inlineStr">
        <is>
          <t>Yes</t>
        </is>
      </c>
      <c r="AC53" s="27" t="n"/>
      <c r="AD53" s="31" t="inlineStr">
        <is>
          <t>No</t>
        </is>
      </c>
      <c r="AE53" s="32">
        <f>IF(W53="","",IF(Z53="Yes","❌ Disc",IF(Y53="No","⚠ Missing",IF(AB53="Yes","✓ OK","⚠ Check"))))</f>
        <v/>
      </c>
      <c r="AF53" s="33" t="n"/>
      <c r="AG53" s="33" t="n"/>
      <c r="AH53" s="33" t="n"/>
      <c r="AI53" s="33" t="n"/>
      <c r="AJ53" s="33" t="n"/>
      <c r="AK53" s="33" t="n"/>
      <c r="AL53" s="27" t="n"/>
      <c r="AM53" s="34" t="n"/>
      <c r="AN53" s="35">
        <f>IF(AF53="","",IF(AI53="Yes","❌ Disc",IF(AH53="No","⚠ Missing",IF(AK53="Yes","✓ OK","⚠ Check"))))</f>
        <v/>
      </c>
      <c r="AO53" s="36" t="n"/>
      <c r="AP53" s="36" t="n"/>
      <c r="AQ53" s="36" t="n"/>
      <c r="AR53" s="36" t="n"/>
      <c r="AS53" s="36" t="n"/>
      <c r="AT53" s="36" t="n"/>
      <c r="AU53" s="27" t="n"/>
      <c r="AV53" s="37" t="n"/>
      <c r="AW53" s="38">
        <f>IF(AO53="","",IF(AR53="Yes","❌ Disc",IF(AQ53="No","⚠ Missing",IF(AT53="Yes","✓ OK","⚠ Check"))))</f>
        <v/>
      </c>
    </row>
    <row r="54" ht="18" customHeight="1" s="46">
      <c r="A54" s="39" t="n">
        <v>50</v>
      </c>
      <c r="B54" s="40" t="inlineStr">
        <is>
          <t>BD-VRM-2026-0100</t>
        </is>
      </c>
      <c r="C54" s="41" t="inlineStr">
        <is>
          <t>Excel  - Essen Wallpaper 71062-3</t>
        </is>
      </c>
      <c r="D54" s="39" t="inlineStr">
        <is>
          <t>Excel</t>
        </is>
      </c>
      <c r="E54" s="43" t="n">
        <v>46125</v>
      </c>
      <c r="F54" s="26" t="inlineStr">
        <is>
          <t>Sunil CR</t>
        </is>
      </c>
      <c r="G54" s="26" t="inlineStr">
        <is>
          <t>Yes</t>
        </is>
      </c>
      <c r="H54" s="26" t="inlineStr">
        <is>
          <t>No</t>
        </is>
      </c>
      <c r="I54" s="26" t="inlineStr">
        <is>
          <t>Good finish</t>
        </is>
      </c>
      <c r="J54" s="26" t="inlineStr">
        <is>
          <t>Yes</t>
        </is>
      </c>
      <c r="K54" s="27" t="n"/>
      <c r="L54" s="28" t="inlineStr">
        <is>
          <t>No</t>
        </is>
      </c>
      <c r="M54" s="29">
        <f>IF(E54="","",IF(H54="Yes","❌ Disc",IF(G54="No","⚠ Missing",IF(J54="Yes","✓ OK","⚠ Check"))))</f>
        <v/>
      </c>
      <c r="N54" s="43" t="n">
        <v>46193</v>
      </c>
      <c r="O54" s="26" t="inlineStr">
        <is>
          <t>Sunil CR</t>
        </is>
      </c>
      <c r="P54" s="26" t="inlineStr">
        <is>
          <t>Yes</t>
        </is>
      </c>
      <c r="Q54" s="26" t="inlineStr">
        <is>
          <t>No</t>
        </is>
      </c>
      <c r="R54" s="26" t="inlineStr">
        <is>
          <t>Good finish</t>
        </is>
      </c>
      <c r="S54" s="26" t="inlineStr">
        <is>
          <t>Yes</t>
        </is>
      </c>
      <c r="T54" s="27" t="n"/>
      <c r="U54" s="28" t="inlineStr">
        <is>
          <t>No</t>
        </is>
      </c>
      <c r="V54" s="29">
        <f>IF(N54="","",IF(Q54="Yes","❌ Disc",IF(P54="No","⚠ Missing",IF(S54="Yes","✓ OK","⚠ Check"))))</f>
        <v/>
      </c>
      <c r="W54" s="65" t="n">
        <v>46248</v>
      </c>
      <c r="X54" s="30" t="inlineStr">
        <is>
          <t>Sunil CR</t>
        </is>
      </c>
      <c r="Y54" s="30" t="inlineStr">
        <is>
          <t>Yes</t>
        </is>
      </c>
      <c r="Z54" s="30" t="n"/>
      <c r="AA54" s="30" t="inlineStr">
        <is>
          <t>Good finish</t>
        </is>
      </c>
      <c r="AB54" s="30" t="inlineStr">
        <is>
          <t>Yes</t>
        </is>
      </c>
      <c r="AC54" s="27" t="n"/>
      <c r="AD54" s="31" t="inlineStr">
        <is>
          <t>No</t>
        </is>
      </c>
      <c r="AE54" s="32">
        <f>IF(W54="","",IF(Z54="Yes","❌ Disc",IF(Y54="No","⚠ Missing",IF(AB54="Yes","✓ OK","⚠ Check"))))</f>
        <v/>
      </c>
      <c r="AF54" s="33" t="n"/>
      <c r="AG54" s="33" t="n"/>
      <c r="AH54" s="33" t="n"/>
      <c r="AI54" s="33" t="n"/>
      <c r="AJ54" s="33" t="n"/>
      <c r="AK54" s="33" t="n"/>
      <c r="AL54" s="27" t="n"/>
      <c r="AM54" s="34" t="n"/>
      <c r="AN54" s="35">
        <f>IF(AF54="","",IF(AI54="Yes","❌ Disc",IF(AH54="No","⚠ Missing",IF(AK54="Yes","✓ OK","⚠ Check"))))</f>
        <v/>
      </c>
      <c r="AO54" s="36" t="n"/>
      <c r="AP54" s="36" t="n"/>
      <c r="AQ54" s="36" t="n"/>
      <c r="AR54" s="36" t="n"/>
      <c r="AS54" s="36" t="n"/>
      <c r="AT54" s="36" t="n"/>
      <c r="AU54" s="27" t="n"/>
      <c r="AV54" s="37" t="n"/>
      <c r="AW54" s="38">
        <f>IF(AO54="","",IF(AR54="Yes","❌ Disc",IF(AQ54="No","⚠ Missing",IF(AT54="Yes","✓ OK","⚠ Check"))))</f>
        <v/>
      </c>
    </row>
    <row r="55" ht="18" customHeight="1" s="46">
      <c r="A55" s="23" t="n">
        <v>51</v>
      </c>
      <c r="B55" s="24" t="inlineStr">
        <is>
          <t>BD-VRM-2026-0101</t>
        </is>
      </c>
      <c r="C55" s="25" t="inlineStr">
        <is>
          <t>Excel  - Essen Wallpaper 71062-4</t>
        </is>
      </c>
      <c r="D55" s="23" t="inlineStr">
        <is>
          <t>Excel</t>
        </is>
      </c>
      <c r="E55" s="43" t="n">
        <v>46125</v>
      </c>
      <c r="F55" s="26" t="inlineStr">
        <is>
          <t>Sunil CR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Good finish</t>
        </is>
      </c>
      <c r="J55" s="26" t="inlineStr">
        <is>
          <t>Yes</t>
        </is>
      </c>
      <c r="K55" s="27" t="n"/>
      <c r="L55" s="28" t="inlineStr">
        <is>
          <t>No</t>
        </is>
      </c>
      <c r="M55" s="29">
        <f>IF(E55="","",IF(H55="Yes","❌ Disc",IF(G55="No","⚠ Missing",IF(J55="Yes","✓ OK","⚠ Check"))))</f>
        <v/>
      </c>
      <c r="N55" s="43" t="n">
        <v>46193</v>
      </c>
      <c r="O55" s="26" t="inlineStr">
        <is>
          <t>Sunil CR</t>
        </is>
      </c>
      <c r="P55" s="26" t="inlineStr">
        <is>
          <t>Yes</t>
        </is>
      </c>
      <c r="Q55" s="26" t="inlineStr">
        <is>
          <t>No</t>
        </is>
      </c>
      <c r="R55" s="26" t="inlineStr">
        <is>
          <t>Good finish</t>
        </is>
      </c>
      <c r="S55" s="26" t="inlineStr">
        <is>
          <t>Yes</t>
        </is>
      </c>
      <c r="T55" s="27" t="n"/>
      <c r="U55" s="28" t="inlineStr">
        <is>
          <t>No</t>
        </is>
      </c>
      <c r="V55" s="29">
        <f>IF(N55="","",IF(Q55="Yes","❌ Disc",IF(P55="No","⚠ Missing",IF(S55="Yes","✓ OK","⚠ Check"))))</f>
        <v/>
      </c>
      <c r="W55" s="65" t="n">
        <v>46248</v>
      </c>
      <c r="X55" s="30" t="inlineStr">
        <is>
          <t>Sunil CR</t>
        </is>
      </c>
      <c r="Y55" s="30" t="inlineStr">
        <is>
          <t>Yes</t>
        </is>
      </c>
      <c r="Z55" s="30" t="n"/>
      <c r="AA55" s="30" t="inlineStr">
        <is>
          <t>Good finish</t>
        </is>
      </c>
      <c r="AB55" s="30" t="inlineStr">
        <is>
          <t>Yes</t>
        </is>
      </c>
      <c r="AC55" s="27" t="n"/>
      <c r="AD55" s="31" t="inlineStr">
        <is>
          <t>No</t>
        </is>
      </c>
      <c r="AE55" s="32">
        <f>IF(W55="","",IF(Z55="Yes","❌ Disc",IF(Y55="No","⚠ Missing",IF(AB55="Yes","✓ OK","⚠ Check"))))</f>
        <v/>
      </c>
      <c r="AF55" s="33" t="n"/>
      <c r="AG55" s="33" t="n"/>
      <c r="AH55" s="33" t="n"/>
      <c r="AI55" s="33" t="n"/>
      <c r="AJ55" s="33" t="n"/>
      <c r="AK55" s="33" t="n"/>
      <c r="AL55" s="27" t="n"/>
      <c r="AM55" s="34" t="n"/>
      <c r="AN55" s="35">
        <f>IF(AF55="","",IF(AI55="Yes","❌ Disc",IF(AH55="No","⚠ Missing",IF(AK55="Yes","✓ OK","⚠ Check"))))</f>
        <v/>
      </c>
      <c r="AO55" s="36" t="n"/>
      <c r="AP55" s="36" t="n"/>
      <c r="AQ55" s="36" t="n"/>
      <c r="AR55" s="36" t="n"/>
      <c r="AS55" s="36" t="n"/>
      <c r="AT55" s="36" t="n"/>
      <c r="AU55" s="27" t="n"/>
      <c r="AV55" s="37" t="n"/>
      <c r="AW55" s="38">
        <f>IF(AO55="","",IF(AR55="Yes","❌ Disc",IF(AQ55="No","⚠ Missing",IF(AT55="Yes","✓ OK","⚠ Check"))))</f>
        <v/>
      </c>
    </row>
    <row r="56" ht="18" customHeight="1" s="46">
      <c r="A56" s="39" t="n">
        <v>52</v>
      </c>
      <c r="B56" s="40" t="inlineStr">
        <is>
          <t>BD-VRM-2026-0134</t>
        </is>
      </c>
      <c r="C56" s="41" t="inlineStr">
        <is>
          <t>Excel  - Essen Wallpaper 71063-1</t>
        </is>
      </c>
      <c r="D56" s="39" t="inlineStr">
        <is>
          <t>Excel</t>
        </is>
      </c>
      <c r="E56" s="43" t="n">
        <v>46125</v>
      </c>
      <c r="F56" s="26" t="inlineStr">
        <is>
          <t>Sunil CR</t>
        </is>
      </c>
      <c r="G56" s="26" t="inlineStr">
        <is>
          <t>Yes</t>
        </is>
      </c>
      <c r="H56" s="26" t="inlineStr">
        <is>
          <t>No</t>
        </is>
      </c>
      <c r="I56" s="26" t="inlineStr">
        <is>
          <t>Good finish</t>
        </is>
      </c>
      <c r="J56" s="26" t="inlineStr">
        <is>
          <t>Yes</t>
        </is>
      </c>
      <c r="K56" s="27" t="n"/>
      <c r="L56" s="28" t="inlineStr">
        <is>
          <t>No</t>
        </is>
      </c>
      <c r="M56" s="29">
        <f>IF(E56="","",IF(H56="Yes","❌ Disc",IF(G56="No","⚠ Missing",IF(J56="Yes","✓ OK","⚠ Check"))))</f>
        <v/>
      </c>
      <c r="N56" s="43" t="n">
        <v>46193</v>
      </c>
      <c r="O56" s="26" t="inlineStr">
        <is>
          <t>Sunil CR</t>
        </is>
      </c>
      <c r="P56" s="26" t="inlineStr">
        <is>
          <t>Yes</t>
        </is>
      </c>
      <c r="Q56" s="26" t="inlineStr">
        <is>
          <t>No</t>
        </is>
      </c>
      <c r="R56" s="26" t="inlineStr">
        <is>
          <t>Good finish</t>
        </is>
      </c>
      <c r="S56" s="26" t="inlineStr">
        <is>
          <t>Yes</t>
        </is>
      </c>
      <c r="T56" s="27" t="n"/>
      <c r="U56" s="28" t="inlineStr">
        <is>
          <t>No</t>
        </is>
      </c>
      <c r="V56" s="29">
        <f>IF(N56="","",IF(Q56="Yes","❌ Disc",IF(P56="No","⚠ Missing",IF(S56="Yes","✓ OK","⚠ Check"))))</f>
        <v/>
      </c>
      <c r="W56" s="65" t="n">
        <v>46248</v>
      </c>
      <c r="X56" s="30" t="inlineStr">
        <is>
          <t>Sunil CR</t>
        </is>
      </c>
      <c r="Y56" s="30" t="inlineStr">
        <is>
          <t>Yes</t>
        </is>
      </c>
      <c r="Z56" s="30" t="n"/>
      <c r="AA56" s="30" t="inlineStr">
        <is>
          <t>Good finish</t>
        </is>
      </c>
      <c r="AB56" s="30" t="inlineStr">
        <is>
          <t>Yes</t>
        </is>
      </c>
      <c r="AC56" s="27" t="n"/>
      <c r="AD56" s="31" t="inlineStr">
        <is>
          <t>No</t>
        </is>
      </c>
      <c r="AE56" s="32">
        <f>IF(W56="","",IF(Z56="Yes","❌ Disc",IF(Y56="No","⚠ Missing",IF(AB56="Yes","✓ OK","⚠ Check"))))</f>
        <v/>
      </c>
      <c r="AF56" s="33" t="n"/>
      <c r="AG56" s="33" t="n"/>
      <c r="AH56" s="33" t="n"/>
      <c r="AI56" s="33" t="n"/>
      <c r="AJ56" s="33" t="n"/>
      <c r="AK56" s="33" t="n"/>
      <c r="AL56" s="27" t="n"/>
      <c r="AM56" s="34" t="n"/>
      <c r="AN56" s="35">
        <f>IF(AF56="","",IF(AI56="Yes","❌ Disc",IF(AH56="No","⚠ Missing",IF(AK56="Yes","✓ OK","⚠ Check"))))</f>
        <v/>
      </c>
      <c r="AO56" s="36" t="n"/>
      <c r="AP56" s="36" t="n"/>
      <c r="AQ56" s="36" t="n"/>
      <c r="AR56" s="36" t="n"/>
      <c r="AS56" s="36" t="n"/>
      <c r="AT56" s="36" t="n"/>
      <c r="AU56" s="27" t="n"/>
      <c r="AV56" s="37" t="n"/>
      <c r="AW56" s="38">
        <f>IF(AO56="","",IF(AR56="Yes","❌ Disc",IF(AQ56="No","⚠ Missing",IF(AT56="Yes","✓ OK","⚠ Check"))))</f>
        <v/>
      </c>
    </row>
    <row r="57" ht="18" customHeight="1" s="46">
      <c r="A57" s="23" t="n">
        <v>53</v>
      </c>
      <c r="B57" s="24" t="inlineStr">
        <is>
          <t>BD-VRM-2026-0135</t>
        </is>
      </c>
      <c r="C57" s="25" t="inlineStr">
        <is>
          <t>Excel  - Essen Wallpaper 71063-2</t>
        </is>
      </c>
      <c r="D57" s="23" t="inlineStr">
        <is>
          <t>Excel</t>
        </is>
      </c>
      <c r="E57" s="43" t="n">
        <v>46125</v>
      </c>
      <c r="F57" s="26" t="inlineStr">
        <is>
          <t>Sunil CR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Good finish</t>
        </is>
      </c>
      <c r="J57" s="26" t="inlineStr">
        <is>
          <t>Yes</t>
        </is>
      </c>
      <c r="K57" s="27" t="n"/>
      <c r="L57" s="28" t="inlineStr">
        <is>
          <t>No</t>
        </is>
      </c>
      <c r="M57" s="29">
        <f>IF(E57="","",IF(H57="Yes","❌ Disc",IF(G57="No","⚠ Missing",IF(J57="Yes","✓ OK","⚠ Check"))))</f>
        <v/>
      </c>
      <c r="N57" s="43" t="n">
        <v>46193</v>
      </c>
      <c r="O57" s="26" t="inlineStr">
        <is>
          <t>Sunil CR</t>
        </is>
      </c>
      <c r="P57" s="26" t="inlineStr">
        <is>
          <t>Yes</t>
        </is>
      </c>
      <c r="Q57" s="26" t="inlineStr">
        <is>
          <t>No</t>
        </is>
      </c>
      <c r="R57" s="26" t="inlineStr">
        <is>
          <t>Good finish</t>
        </is>
      </c>
      <c r="S57" s="26" t="inlineStr">
        <is>
          <t>Yes</t>
        </is>
      </c>
      <c r="T57" s="27" t="n"/>
      <c r="U57" s="28" t="inlineStr">
        <is>
          <t>No</t>
        </is>
      </c>
      <c r="V57" s="29">
        <f>IF(N57="","",IF(Q57="Yes","❌ Disc",IF(P57="No","⚠ Missing",IF(S57="Yes","✓ OK","⚠ Check"))))</f>
        <v/>
      </c>
      <c r="W57" s="65" t="n">
        <v>46248</v>
      </c>
      <c r="X57" s="30" t="inlineStr">
        <is>
          <t>Sunil CR</t>
        </is>
      </c>
      <c r="Y57" s="30" t="inlineStr">
        <is>
          <t>Yes</t>
        </is>
      </c>
      <c r="Z57" s="30" t="n"/>
      <c r="AA57" s="30" t="inlineStr">
        <is>
          <t>Good finish</t>
        </is>
      </c>
      <c r="AB57" s="30" t="inlineStr">
        <is>
          <t>Yes</t>
        </is>
      </c>
      <c r="AC57" s="27" t="n"/>
      <c r="AD57" s="31" t="inlineStr">
        <is>
          <t>No</t>
        </is>
      </c>
      <c r="AE57" s="32">
        <f>IF(W57="","",IF(Z57="Yes","❌ Disc",IF(Y57="No","⚠ Missing",IF(AB57="Yes","✓ OK","⚠ Check"))))</f>
        <v/>
      </c>
      <c r="AF57" s="33" t="n"/>
      <c r="AG57" s="33" t="n"/>
      <c r="AH57" s="33" t="n"/>
      <c r="AI57" s="33" t="n"/>
      <c r="AJ57" s="33" t="n"/>
      <c r="AK57" s="33" t="n"/>
      <c r="AL57" s="27" t="n"/>
      <c r="AM57" s="34" t="n"/>
      <c r="AN57" s="35">
        <f>IF(AF57="","",IF(AI57="Yes","❌ Disc",IF(AH57="No","⚠ Missing",IF(AK57="Yes","✓ OK","⚠ Check"))))</f>
        <v/>
      </c>
      <c r="AO57" s="36" t="n"/>
      <c r="AP57" s="36" t="n"/>
      <c r="AQ57" s="36" t="n"/>
      <c r="AR57" s="36" t="n"/>
      <c r="AS57" s="36" t="n"/>
      <c r="AT57" s="36" t="n"/>
      <c r="AU57" s="27" t="n"/>
      <c r="AV57" s="37" t="n"/>
      <c r="AW57" s="38">
        <f>IF(AO57="","",IF(AR57="Yes","❌ Disc",IF(AQ57="No","⚠ Missing",IF(AT57="Yes","✓ OK","⚠ Check"))))</f>
        <v/>
      </c>
    </row>
    <row r="58" ht="18" customHeight="1" s="46">
      <c r="A58" s="39" t="n">
        <v>54</v>
      </c>
      <c r="B58" s="40" t="inlineStr">
        <is>
          <t>BD-VRM-2026-0136</t>
        </is>
      </c>
      <c r="C58" s="41" t="inlineStr">
        <is>
          <t>Excel  - Essen Wallpaper 71063-3</t>
        </is>
      </c>
      <c r="D58" s="39" t="inlineStr">
        <is>
          <t>Excel</t>
        </is>
      </c>
      <c r="E58" s="43" t="n">
        <v>46125</v>
      </c>
      <c r="F58" s="26" t="inlineStr">
        <is>
          <t>Sunil CR</t>
        </is>
      </c>
      <c r="G58" s="26" t="inlineStr">
        <is>
          <t>Yes</t>
        </is>
      </c>
      <c r="H58" s="26" t="inlineStr">
        <is>
          <t>No</t>
        </is>
      </c>
      <c r="I58" s="26" t="inlineStr">
        <is>
          <t>Good finish</t>
        </is>
      </c>
      <c r="J58" s="26" t="inlineStr">
        <is>
          <t>Yes</t>
        </is>
      </c>
      <c r="K58" s="27" t="n"/>
      <c r="L58" s="28" t="inlineStr">
        <is>
          <t>No</t>
        </is>
      </c>
      <c r="M58" s="29">
        <f>IF(E58="","",IF(H58="Yes","❌ Disc",IF(G58="No","⚠ Missing",IF(J58="Yes","✓ OK","⚠ Check"))))</f>
        <v/>
      </c>
      <c r="N58" s="43" t="n">
        <v>46193</v>
      </c>
      <c r="O58" s="26" t="inlineStr">
        <is>
          <t>Sunil CR</t>
        </is>
      </c>
      <c r="P58" s="26" t="inlineStr">
        <is>
          <t>Yes</t>
        </is>
      </c>
      <c r="Q58" s="26" t="inlineStr">
        <is>
          <t>No</t>
        </is>
      </c>
      <c r="R58" s="26" t="inlineStr">
        <is>
          <t>Good finish</t>
        </is>
      </c>
      <c r="S58" s="26" t="inlineStr">
        <is>
          <t>Yes</t>
        </is>
      </c>
      <c r="T58" s="27" t="n"/>
      <c r="U58" s="28" t="inlineStr">
        <is>
          <t>No</t>
        </is>
      </c>
      <c r="V58" s="29">
        <f>IF(N58="","",IF(Q58="Yes","❌ Disc",IF(P58="No","⚠ Missing",IF(S58="Yes","✓ OK","⚠ Check"))))</f>
        <v/>
      </c>
      <c r="W58" s="65" t="n">
        <v>46248</v>
      </c>
      <c r="X58" s="30" t="inlineStr">
        <is>
          <t>Sunil CR</t>
        </is>
      </c>
      <c r="Y58" s="30" t="inlineStr">
        <is>
          <t>Yes</t>
        </is>
      </c>
      <c r="Z58" s="30" t="n"/>
      <c r="AA58" s="30" t="inlineStr">
        <is>
          <t>Good finish</t>
        </is>
      </c>
      <c r="AB58" s="30" t="inlineStr">
        <is>
          <t>Yes</t>
        </is>
      </c>
      <c r="AC58" s="27" t="n"/>
      <c r="AD58" s="31" t="inlineStr">
        <is>
          <t>No</t>
        </is>
      </c>
      <c r="AE58" s="32">
        <f>IF(W58="","",IF(Z58="Yes","❌ Disc",IF(Y58="No","⚠ Missing",IF(AB58="Yes","✓ OK","⚠ Check"))))</f>
        <v/>
      </c>
      <c r="AF58" s="33" t="n"/>
      <c r="AG58" s="33" t="n"/>
      <c r="AH58" s="33" t="n"/>
      <c r="AI58" s="33" t="n"/>
      <c r="AJ58" s="33" t="n"/>
      <c r="AK58" s="33" t="n"/>
      <c r="AL58" s="27" t="n"/>
      <c r="AM58" s="34" t="n"/>
      <c r="AN58" s="35">
        <f>IF(AF58="","",IF(AI58="Yes","❌ Disc",IF(AH58="No","⚠ Missing",IF(AK58="Yes","✓ OK","⚠ Check"))))</f>
        <v/>
      </c>
      <c r="AO58" s="36" t="n"/>
      <c r="AP58" s="36" t="n"/>
      <c r="AQ58" s="36" t="n"/>
      <c r="AR58" s="36" t="n"/>
      <c r="AS58" s="36" t="n"/>
      <c r="AT58" s="36" t="n"/>
      <c r="AU58" s="27" t="n"/>
      <c r="AV58" s="37" t="n"/>
      <c r="AW58" s="38">
        <f>IF(AO58="","",IF(AR58="Yes","❌ Disc",IF(AQ58="No","⚠ Missing",IF(AT58="Yes","✓ OK","⚠ Check"))))</f>
        <v/>
      </c>
    </row>
    <row r="59" ht="18" customHeight="1" s="46">
      <c r="A59" s="23" t="n">
        <v>55</v>
      </c>
      <c r="B59" s="24" t="inlineStr">
        <is>
          <t>BD-VRM-2026-0137</t>
        </is>
      </c>
      <c r="C59" s="25" t="inlineStr">
        <is>
          <t>Excel  - Essen Wallpaper 71063-4</t>
        </is>
      </c>
      <c r="D59" s="23" t="inlineStr">
        <is>
          <t>Excel</t>
        </is>
      </c>
      <c r="E59" s="43" t="n">
        <v>46125</v>
      </c>
      <c r="F59" s="26" t="inlineStr">
        <is>
          <t>Sunil CR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Good finish</t>
        </is>
      </c>
      <c r="J59" s="26" t="inlineStr">
        <is>
          <t>Yes</t>
        </is>
      </c>
      <c r="K59" s="27" t="n"/>
      <c r="L59" s="28" t="inlineStr">
        <is>
          <t>No</t>
        </is>
      </c>
      <c r="M59" s="29">
        <f>IF(E59="","",IF(H59="Yes","❌ Disc",IF(G59="No","⚠ Missing",IF(J59="Yes","✓ OK","⚠ Check"))))</f>
        <v/>
      </c>
      <c r="N59" s="43" t="n">
        <v>46193</v>
      </c>
      <c r="O59" s="26" t="inlineStr">
        <is>
          <t>Sunil CR</t>
        </is>
      </c>
      <c r="P59" s="26" t="inlineStr">
        <is>
          <t>Yes</t>
        </is>
      </c>
      <c r="Q59" s="26" t="inlineStr">
        <is>
          <t>No</t>
        </is>
      </c>
      <c r="R59" s="26" t="inlineStr">
        <is>
          <t>Good finish</t>
        </is>
      </c>
      <c r="S59" s="26" t="inlineStr">
        <is>
          <t>Yes</t>
        </is>
      </c>
      <c r="T59" s="27" t="n"/>
      <c r="U59" s="28" t="inlineStr">
        <is>
          <t>No</t>
        </is>
      </c>
      <c r="V59" s="29">
        <f>IF(N59="","",IF(Q59="Yes","❌ Disc",IF(P59="No","⚠ Missing",IF(S59="Yes","✓ OK","⚠ Check"))))</f>
        <v/>
      </c>
      <c r="W59" s="65" t="n">
        <v>46248</v>
      </c>
      <c r="X59" s="30" t="inlineStr">
        <is>
          <t>Sunil CR</t>
        </is>
      </c>
      <c r="Y59" s="30" t="inlineStr">
        <is>
          <t>Yes</t>
        </is>
      </c>
      <c r="Z59" s="30" t="n"/>
      <c r="AA59" s="30" t="inlineStr">
        <is>
          <t>Good finish</t>
        </is>
      </c>
      <c r="AB59" s="30" t="inlineStr">
        <is>
          <t>Yes</t>
        </is>
      </c>
      <c r="AC59" s="27" t="n"/>
      <c r="AD59" s="31" t="inlineStr">
        <is>
          <t>No</t>
        </is>
      </c>
      <c r="AE59" s="32">
        <f>IF(W59="","",IF(Z59="Yes","❌ Disc",IF(Y59="No","⚠ Missing",IF(AB59="Yes","✓ OK","⚠ Check"))))</f>
        <v/>
      </c>
      <c r="AF59" s="33" t="n"/>
      <c r="AG59" s="33" t="n"/>
      <c r="AH59" s="33" t="n"/>
      <c r="AI59" s="33" t="n"/>
      <c r="AJ59" s="33" t="n"/>
      <c r="AK59" s="33" t="n"/>
      <c r="AL59" s="27" t="n"/>
      <c r="AM59" s="34" t="n"/>
      <c r="AN59" s="35">
        <f>IF(AF59="","",IF(AI59="Yes","❌ Disc",IF(AH59="No","⚠ Missing",IF(AK59="Yes","✓ OK","⚠ Check"))))</f>
        <v/>
      </c>
      <c r="AO59" s="36" t="n"/>
      <c r="AP59" s="36" t="n"/>
      <c r="AQ59" s="36" t="n"/>
      <c r="AR59" s="36" t="n"/>
      <c r="AS59" s="36" t="n"/>
      <c r="AT59" s="36" t="n"/>
      <c r="AU59" s="27" t="n"/>
      <c r="AV59" s="37" t="n"/>
      <c r="AW59" s="38">
        <f>IF(AO59="","",IF(AR59="Yes","❌ Disc",IF(AQ59="No","⚠ Missing",IF(AT59="Yes","✓ OK","⚠ Check"))))</f>
        <v/>
      </c>
    </row>
    <row r="60" ht="18" customHeight="1" s="46">
      <c r="A60" s="39" t="n">
        <v>56</v>
      </c>
      <c r="B60" s="40" t="inlineStr">
        <is>
          <t>BD-VRM-2026-0130</t>
        </is>
      </c>
      <c r="C60" s="41" t="inlineStr">
        <is>
          <t>Excel  - Essen Wallpaper 71064-1</t>
        </is>
      </c>
      <c r="D60" s="39" t="inlineStr">
        <is>
          <t>Excel</t>
        </is>
      </c>
      <c r="E60" s="43" t="n">
        <v>46125</v>
      </c>
      <c r="F60" s="26" t="inlineStr">
        <is>
          <t>Sunil CR</t>
        </is>
      </c>
      <c r="G60" s="26" t="inlineStr">
        <is>
          <t>Yes</t>
        </is>
      </c>
      <c r="H60" s="26" t="inlineStr">
        <is>
          <t>No</t>
        </is>
      </c>
      <c r="I60" s="26" t="inlineStr">
        <is>
          <t>Good finish</t>
        </is>
      </c>
      <c r="J60" s="26" t="inlineStr">
        <is>
          <t>Yes</t>
        </is>
      </c>
      <c r="K60" s="27" t="n"/>
      <c r="L60" s="28" t="inlineStr">
        <is>
          <t>No</t>
        </is>
      </c>
      <c r="M60" s="29">
        <f>IF(E60="","",IF(H60="Yes","❌ Disc",IF(G60="No","⚠ Missing",IF(J60="Yes","✓ OK","⚠ Check"))))</f>
        <v/>
      </c>
      <c r="N60" s="43" t="n">
        <v>46193</v>
      </c>
      <c r="O60" s="26" t="inlineStr">
        <is>
          <t>Sunil CR</t>
        </is>
      </c>
      <c r="P60" s="26" t="inlineStr">
        <is>
          <t>Yes</t>
        </is>
      </c>
      <c r="Q60" s="26" t="inlineStr">
        <is>
          <t>No</t>
        </is>
      </c>
      <c r="R60" s="26" t="inlineStr">
        <is>
          <t>Good finish</t>
        </is>
      </c>
      <c r="S60" s="26" t="inlineStr">
        <is>
          <t>Yes</t>
        </is>
      </c>
      <c r="T60" s="27" t="n"/>
      <c r="U60" s="28" t="inlineStr">
        <is>
          <t>No</t>
        </is>
      </c>
      <c r="V60" s="29">
        <f>IF(N60="","",IF(Q60="Yes","❌ Disc",IF(P60="No","⚠ Missing",IF(S60="Yes","✓ OK","⚠ Check"))))</f>
        <v/>
      </c>
      <c r="W60" s="65" t="n">
        <v>46248</v>
      </c>
      <c r="X60" s="30" t="inlineStr">
        <is>
          <t>Sunil CR</t>
        </is>
      </c>
      <c r="Y60" s="30" t="inlineStr">
        <is>
          <t>Yes</t>
        </is>
      </c>
      <c r="Z60" s="30" t="n"/>
      <c r="AA60" s="30" t="inlineStr">
        <is>
          <t>Good finish</t>
        </is>
      </c>
      <c r="AB60" s="30" t="inlineStr">
        <is>
          <t>Yes</t>
        </is>
      </c>
      <c r="AC60" s="27" t="n"/>
      <c r="AD60" s="31" t="inlineStr">
        <is>
          <t>No</t>
        </is>
      </c>
      <c r="AE60" s="32">
        <f>IF(W60="","",IF(Z60="Yes","❌ Disc",IF(Y60="No","⚠ Missing",IF(AB60="Yes","✓ OK","⚠ Check"))))</f>
        <v/>
      </c>
      <c r="AF60" s="33" t="n"/>
      <c r="AG60" s="33" t="n"/>
      <c r="AH60" s="33" t="n"/>
      <c r="AI60" s="33" t="n"/>
      <c r="AJ60" s="33" t="n"/>
      <c r="AK60" s="33" t="n"/>
      <c r="AL60" s="27" t="n"/>
      <c r="AM60" s="34" t="n"/>
      <c r="AN60" s="35">
        <f>IF(AF60="","",IF(AI60="Yes","❌ Disc",IF(AH60="No","⚠ Missing",IF(AK60="Yes","✓ OK","⚠ Check"))))</f>
        <v/>
      </c>
      <c r="AO60" s="36" t="n"/>
      <c r="AP60" s="36" t="n"/>
      <c r="AQ60" s="36" t="n"/>
      <c r="AR60" s="36" t="n"/>
      <c r="AS60" s="36" t="n"/>
      <c r="AT60" s="36" t="n"/>
      <c r="AU60" s="27" t="n"/>
      <c r="AV60" s="37" t="n"/>
      <c r="AW60" s="38">
        <f>IF(AO60="","",IF(AR60="Yes","❌ Disc",IF(AQ60="No","⚠ Missing",IF(AT60="Yes","✓ OK","⚠ Check"))))</f>
        <v/>
      </c>
    </row>
    <row r="61" ht="18" customHeight="1" s="46">
      <c r="A61" s="23" t="n">
        <v>57</v>
      </c>
      <c r="B61" s="24" t="inlineStr">
        <is>
          <t>BD-VRM-2026-0131</t>
        </is>
      </c>
      <c r="C61" s="25" t="inlineStr">
        <is>
          <t>Excel  - Essen Wallpaper 71064-2</t>
        </is>
      </c>
      <c r="D61" s="23" t="inlineStr">
        <is>
          <t>Excel</t>
        </is>
      </c>
      <c r="E61" s="43" t="n">
        <v>46125</v>
      </c>
      <c r="F61" s="26" t="inlineStr">
        <is>
          <t>Sunil CR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Good finish</t>
        </is>
      </c>
      <c r="J61" s="26" t="inlineStr">
        <is>
          <t>Yes</t>
        </is>
      </c>
      <c r="K61" s="27" t="n"/>
      <c r="L61" s="28" t="inlineStr">
        <is>
          <t>No</t>
        </is>
      </c>
      <c r="M61" s="29">
        <f>IF(E61="","",IF(H61="Yes","❌ Disc",IF(G61="No","⚠ Missing",IF(J61="Yes","✓ OK","⚠ Check"))))</f>
        <v/>
      </c>
      <c r="N61" s="43" t="n">
        <v>46193</v>
      </c>
      <c r="O61" s="26" t="inlineStr">
        <is>
          <t>Sunil CR</t>
        </is>
      </c>
      <c r="P61" s="26" t="inlineStr">
        <is>
          <t>Yes</t>
        </is>
      </c>
      <c r="Q61" s="26" t="inlineStr">
        <is>
          <t>No</t>
        </is>
      </c>
      <c r="R61" s="26" t="inlineStr">
        <is>
          <t>Good finish</t>
        </is>
      </c>
      <c r="S61" s="26" t="inlineStr">
        <is>
          <t>Yes</t>
        </is>
      </c>
      <c r="T61" s="27" t="n"/>
      <c r="U61" s="28" t="inlineStr">
        <is>
          <t>No</t>
        </is>
      </c>
      <c r="V61" s="29">
        <f>IF(N61="","",IF(Q61="Yes","❌ Disc",IF(P61="No","⚠ Missing",IF(S61="Yes","✓ OK","⚠ Check"))))</f>
        <v/>
      </c>
      <c r="W61" s="65" t="n">
        <v>46248</v>
      </c>
      <c r="X61" s="30" t="inlineStr">
        <is>
          <t>Sunil CR</t>
        </is>
      </c>
      <c r="Y61" s="30" t="inlineStr">
        <is>
          <t>Yes</t>
        </is>
      </c>
      <c r="Z61" s="30" t="n"/>
      <c r="AA61" s="30" t="inlineStr">
        <is>
          <t>Good finish</t>
        </is>
      </c>
      <c r="AB61" s="30" t="inlineStr">
        <is>
          <t>Yes</t>
        </is>
      </c>
      <c r="AC61" s="27" t="n"/>
      <c r="AD61" s="31" t="inlineStr">
        <is>
          <t>No</t>
        </is>
      </c>
      <c r="AE61" s="32">
        <f>IF(W61="","",IF(Z61="Yes","❌ Disc",IF(Y61="No","⚠ Missing",IF(AB61="Yes","✓ OK","⚠ Check"))))</f>
        <v/>
      </c>
      <c r="AF61" s="33" t="n"/>
      <c r="AG61" s="33" t="n"/>
      <c r="AH61" s="33" t="n"/>
      <c r="AI61" s="33" t="n"/>
      <c r="AJ61" s="33" t="n"/>
      <c r="AK61" s="33" t="n"/>
      <c r="AL61" s="27" t="n"/>
      <c r="AM61" s="34" t="n"/>
      <c r="AN61" s="35">
        <f>IF(AF61="","",IF(AI61="Yes","❌ Disc",IF(AH61="No","⚠ Missing",IF(AK61="Yes","✓ OK","⚠ Check"))))</f>
        <v/>
      </c>
      <c r="AO61" s="36" t="n"/>
      <c r="AP61" s="36" t="n"/>
      <c r="AQ61" s="36" t="n"/>
      <c r="AR61" s="36" t="n"/>
      <c r="AS61" s="36" t="n"/>
      <c r="AT61" s="36" t="n"/>
      <c r="AU61" s="27" t="n"/>
      <c r="AV61" s="37" t="n"/>
      <c r="AW61" s="38">
        <f>IF(AO61="","",IF(AR61="Yes","❌ Disc",IF(AQ61="No","⚠ Missing",IF(AT61="Yes","✓ OK","⚠ Check"))))</f>
        <v/>
      </c>
    </row>
    <row r="62" ht="18" customHeight="1" s="46">
      <c r="A62" s="39" t="n">
        <v>58</v>
      </c>
      <c r="B62" s="40" t="inlineStr">
        <is>
          <t>BD-VRM-2026-0132</t>
        </is>
      </c>
      <c r="C62" s="41" t="inlineStr">
        <is>
          <t>Excel  - Essen Wallpaper 71064-3</t>
        </is>
      </c>
      <c r="D62" s="39" t="inlineStr">
        <is>
          <t>Excel</t>
        </is>
      </c>
      <c r="E62" s="43" t="n">
        <v>46125</v>
      </c>
      <c r="F62" s="26" t="inlineStr">
        <is>
          <t>Sunil CR</t>
        </is>
      </c>
      <c r="G62" s="26" t="inlineStr">
        <is>
          <t>Yes</t>
        </is>
      </c>
      <c r="H62" s="26" t="inlineStr">
        <is>
          <t>No</t>
        </is>
      </c>
      <c r="I62" s="26" t="inlineStr">
        <is>
          <t>Good finish</t>
        </is>
      </c>
      <c r="J62" s="26" t="inlineStr">
        <is>
          <t>Yes</t>
        </is>
      </c>
      <c r="K62" s="27" t="n"/>
      <c r="L62" s="28" t="inlineStr">
        <is>
          <t>No</t>
        </is>
      </c>
      <c r="M62" s="29">
        <f>IF(E62="","",IF(H62="Yes","❌ Disc",IF(G62="No","⚠ Missing",IF(J62="Yes","✓ OK","⚠ Check"))))</f>
        <v/>
      </c>
      <c r="N62" s="43" t="n">
        <v>46193</v>
      </c>
      <c r="O62" s="26" t="inlineStr">
        <is>
          <t>Sunil CR</t>
        </is>
      </c>
      <c r="P62" s="26" t="inlineStr">
        <is>
          <t>Yes</t>
        </is>
      </c>
      <c r="Q62" s="26" t="inlineStr">
        <is>
          <t>No</t>
        </is>
      </c>
      <c r="R62" s="26" t="inlineStr">
        <is>
          <t>Good finish</t>
        </is>
      </c>
      <c r="S62" s="26" t="inlineStr">
        <is>
          <t>Yes</t>
        </is>
      </c>
      <c r="T62" s="27" t="n"/>
      <c r="U62" s="28" t="inlineStr">
        <is>
          <t>No</t>
        </is>
      </c>
      <c r="V62" s="29">
        <f>IF(N62="","",IF(Q62="Yes","❌ Disc",IF(P62="No","⚠ Missing",IF(S62="Yes","✓ OK","⚠ Check"))))</f>
        <v/>
      </c>
      <c r="W62" s="65" t="n">
        <v>46248</v>
      </c>
      <c r="X62" s="30" t="inlineStr">
        <is>
          <t>Sunil CR</t>
        </is>
      </c>
      <c r="Y62" s="30" t="inlineStr">
        <is>
          <t>Yes</t>
        </is>
      </c>
      <c r="Z62" s="30" t="n"/>
      <c r="AA62" s="30" t="inlineStr">
        <is>
          <t>Good finish</t>
        </is>
      </c>
      <c r="AB62" s="30" t="inlineStr">
        <is>
          <t>Yes</t>
        </is>
      </c>
      <c r="AC62" s="27" t="n"/>
      <c r="AD62" s="31" t="inlineStr">
        <is>
          <t>No</t>
        </is>
      </c>
      <c r="AE62" s="32">
        <f>IF(W62="","",IF(Z62="Yes","❌ Disc",IF(Y62="No","⚠ Missing",IF(AB62="Yes","✓ OK","⚠ Check"))))</f>
        <v/>
      </c>
      <c r="AF62" s="33" t="n"/>
      <c r="AG62" s="33" t="n"/>
      <c r="AH62" s="33" t="n"/>
      <c r="AI62" s="33" t="n"/>
      <c r="AJ62" s="33" t="n"/>
      <c r="AK62" s="33" t="n"/>
      <c r="AL62" s="27" t="n"/>
      <c r="AM62" s="34" t="n"/>
      <c r="AN62" s="35">
        <f>IF(AF62="","",IF(AI62="Yes","❌ Disc",IF(AH62="No","⚠ Missing",IF(AK62="Yes","✓ OK","⚠ Check"))))</f>
        <v/>
      </c>
      <c r="AO62" s="36" t="n"/>
      <c r="AP62" s="36" t="n"/>
      <c r="AQ62" s="36" t="n"/>
      <c r="AR62" s="36" t="n"/>
      <c r="AS62" s="36" t="n"/>
      <c r="AT62" s="36" t="n"/>
      <c r="AU62" s="27" t="n"/>
      <c r="AV62" s="37" t="n"/>
      <c r="AW62" s="38">
        <f>IF(AO62="","",IF(AR62="Yes","❌ Disc",IF(AQ62="No","⚠ Missing",IF(AT62="Yes","✓ OK","⚠ Check"))))</f>
        <v/>
      </c>
    </row>
    <row r="63" ht="18" customHeight="1" s="46">
      <c r="A63" s="23" t="n">
        <v>59</v>
      </c>
      <c r="B63" s="24" t="inlineStr">
        <is>
          <t>BD-VRM-2026-0133</t>
        </is>
      </c>
      <c r="C63" s="25" t="inlineStr">
        <is>
          <t>Excel  - Essen Wallpaper 71064-4</t>
        </is>
      </c>
      <c r="D63" s="23" t="inlineStr">
        <is>
          <t>Excel</t>
        </is>
      </c>
      <c r="E63" s="43" t="n">
        <v>46125</v>
      </c>
      <c r="F63" s="26" t="inlineStr">
        <is>
          <t>Sunil CR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Good finish</t>
        </is>
      </c>
      <c r="J63" s="26" t="inlineStr">
        <is>
          <t>Yes</t>
        </is>
      </c>
      <c r="K63" s="27" t="n"/>
      <c r="L63" s="28" t="inlineStr">
        <is>
          <t>No</t>
        </is>
      </c>
      <c r="M63" s="29">
        <f>IF(E63="","",IF(H63="Yes","❌ Disc",IF(G63="No","⚠ Missing",IF(J63="Yes","✓ OK","⚠ Check"))))</f>
        <v/>
      </c>
      <c r="N63" s="43" t="n">
        <v>46193</v>
      </c>
      <c r="O63" s="26" t="inlineStr">
        <is>
          <t>Sunil CR</t>
        </is>
      </c>
      <c r="P63" s="26" t="inlineStr">
        <is>
          <t>Yes</t>
        </is>
      </c>
      <c r="Q63" s="26" t="inlineStr">
        <is>
          <t>No</t>
        </is>
      </c>
      <c r="R63" s="26" t="inlineStr">
        <is>
          <t>Good finish</t>
        </is>
      </c>
      <c r="S63" s="26" t="inlineStr">
        <is>
          <t>Yes</t>
        </is>
      </c>
      <c r="T63" s="27" t="n"/>
      <c r="U63" s="28" t="inlineStr">
        <is>
          <t>No</t>
        </is>
      </c>
      <c r="V63" s="29">
        <f>IF(N63="","",IF(Q63="Yes","❌ Disc",IF(P63="No","⚠ Missing",IF(S63="Yes","✓ OK","⚠ Check"))))</f>
        <v/>
      </c>
      <c r="W63" s="65" t="n">
        <v>46248</v>
      </c>
      <c r="X63" s="30" t="inlineStr">
        <is>
          <t>Sunil CR</t>
        </is>
      </c>
      <c r="Y63" s="30" t="inlineStr">
        <is>
          <t>Yes</t>
        </is>
      </c>
      <c r="Z63" s="30" t="n"/>
      <c r="AA63" s="30" t="inlineStr">
        <is>
          <t>Good finish</t>
        </is>
      </c>
      <c r="AB63" s="30" t="inlineStr">
        <is>
          <t>Yes</t>
        </is>
      </c>
      <c r="AC63" s="27" t="n"/>
      <c r="AD63" s="31" t="inlineStr">
        <is>
          <t>No</t>
        </is>
      </c>
      <c r="AE63" s="32">
        <f>IF(W63="","",IF(Z63="Yes","❌ Disc",IF(Y63="No","⚠ Missing",IF(AB63="Yes","✓ OK","⚠ Check"))))</f>
        <v/>
      </c>
      <c r="AF63" s="33" t="n"/>
      <c r="AG63" s="33" t="n"/>
      <c r="AH63" s="33" t="n"/>
      <c r="AI63" s="33" t="n"/>
      <c r="AJ63" s="33" t="n"/>
      <c r="AK63" s="33" t="n"/>
      <c r="AL63" s="27" t="n"/>
      <c r="AM63" s="34" t="n"/>
      <c r="AN63" s="35">
        <f>IF(AF63="","",IF(AI63="Yes","❌ Disc",IF(AH63="No","⚠ Missing",IF(AK63="Yes","✓ OK","⚠ Check"))))</f>
        <v/>
      </c>
      <c r="AO63" s="36" t="n"/>
      <c r="AP63" s="36" t="n"/>
      <c r="AQ63" s="36" t="n"/>
      <c r="AR63" s="36" t="n"/>
      <c r="AS63" s="36" t="n"/>
      <c r="AT63" s="36" t="n"/>
      <c r="AU63" s="27" t="n"/>
      <c r="AV63" s="37" t="n"/>
      <c r="AW63" s="38">
        <f>IF(AO63="","",IF(AR63="Yes","❌ Disc",IF(AQ63="No","⚠ Missing",IF(AT63="Yes","✓ OK","⚠ Check"))))</f>
        <v/>
      </c>
    </row>
    <row r="64" ht="18" customHeight="1" s="46">
      <c r="A64" s="39" t="n">
        <v>60</v>
      </c>
      <c r="B64" s="40" t="inlineStr">
        <is>
          <t>BD-VRM-2026-0337</t>
        </is>
      </c>
      <c r="C64" s="41" t="inlineStr">
        <is>
          <t>Excel  - Hot Spots  Wallpaper 36720-1</t>
        </is>
      </c>
      <c r="D64" s="39" t="inlineStr">
        <is>
          <t>Excel</t>
        </is>
      </c>
      <c r="E64" s="43" t="n">
        <v>46125</v>
      </c>
      <c r="F64" s="26" t="inlineStr">
        <is>
          <t>Sunil CR</t>
        </is>
      </c>
      <c r="G64" s="26" t="inlineStr">
        <is>
          <t>Yes</t>
        </is>
      </c>
      <c r="H64" s="26" t="inlineStr">
        <is>
          <t>No</t>
        </is>
      </c>
      <c r="I64" s="26" t="inlineStr">
        <is>
          <t>Good finish</t>
        </is>
      </c>
      <c r="J64" s="26" t="inlineStr">
        <is>
          <t>Yes</t>
        </is>
      </c>
      <c r="K64" s="27" t="n"/>
      <c r="L64" s="28" t="inlineStr">
        <is>
          <t>No</t>
        </is>
      </c>
      <c r="M64" s="29">
        <f>IF(E64="","",IF(H64="Yes","❌ Disc",IF(G64="No","⚠ Missing",IF(J64="Yes","✓ OK","⚠ Check"))))</f>
        <v/>
      </c>
      <c r="N64" s="43" t="n">
        <v>46193</v>
      </c>
      <c r="O64" s="26" t="inlineStr">
        <is>
          <t>Sunil CR</t>
        </is>
      </c>
      <c r="P64" s="26" t="inlineStr">
        <is>
          <t>Yes</t>
        </is>
      </c>
      <c r="Q64" s="26" t="inlineStr">
        <is>
          <t>No</t>
        </is>
      </c>
      <c r="R64" s="26" t="inlineStr">
        <is>
          <t>Good finish</t>
        </is>
      </c>
      <c r="S64" s="26" t="inlineStr">
        <is>
          <t>Yes</t>
        </is>
      </c>
      <c r="T64" s="27" t="n"/>
      <c r="U64" s="28" t="inlineStr">
        <is>
          <t>No</t>
        </is>
      </c>
      <c r="V64" s="29">
        <f>IF(N64="","",IF(Q64="Yes","❌ Disc",IF(P64="No","⚠ Missing",IF(S64="Yes","✓ OK","⚠ Check"))))</f>
        <v/>
      </c>
      <c r="W64" s="65" t="n">
        <v>46248</v>
      </c>
      <c r="X64" s="30" t="inlineStr">
        <is>
          <t>Sunil CR</t>
        </is>
      </c>
      <c r="Y64" s="30" t="inlineStr">
        <is>
          <t>Yes</t>
        </is>
      </c>
      <c r="Z64" s="30" t="n"/>
      <c r="AA64" s="30" t="inlineStr">
        <is>
          <t>Good finish</t>
        </is>
      </c>
      <c r="AB64" s="30" t="inlineStr">
        <is>
          <t>Yes</t>
        </is>
      </c>
      <c r="AC64" s="27" t="n"/>
      <c r="AD64" s="31" t="inlineStr">
        <is>
          <t>No</t>
        </is>
      </c>
      <c r="AE64" s="32">
        <f>IF(W64="","",IF(Z64="Yes","❌ Disc",IF(Y64="No","⚠ Missing",IF(AB64="Yes","✓ OK","⚠ Check"))))</f>
        <v/>
      </c>
      <c r="AF64" s="33" t="n"/>
      <c r="AG64" s="33" t="n"/>
      <c r="AH64" s="33" t="n"/>
      <c r="AI64" s="33" t="n"/>
      <c r="AJ64" s="33" t="n"/>
      <c r="AK64" s="33" t="n"/>
      <c r="AL64" s="27" t="n"/>
      <c r="AM64" s="34" t="n"/>
      <c r="AN64" s="35">
        <f>IF(AF64="","",IF(AI64="Yes","❌ Disc",IF(AH64="No","⚠ Missing",IF(AK64="Yes","✓ OK","⚠ Check"))))</f>
        <v/>
      </c>
      <c r="AO64" s="36" t="n"/>
      <c r="AP64" s="36" t="n"/>
      <c r="AQ64" s="36" t="n"/>
      <c r="AR64" s="36" t="n"/>
      <c r="AS64" s="36" t="n"/>
      <c r="AT64" s="36" t="n"/>
      <c r="AU64" s="27" t="n"/>
      <c r="AV64" s="37" t="n"/>
      <c r="AW64" s="38">
        <f>IF(AO64="","",IF(AR64="Yes","❌ Disc",IF(AQ64="No","⚠ Missing",IF(AT64="Yes","✓ OK","⚠ Check"))))</f>
        <v/>
      </c>
    </row>
    <row r="65" ht="18" customHeight="1" s="46">
      <c r="A65" s="23" t="n">
        <v>61</v>
      </c>
      <c r="B65" s="24" t="inlineStr">
        <is>
          <t>BD-VRM-2026-0338</t>
        </is>
      </c>
      <c r="C65" s="25" t="inlineStr">
        <is>
          <t>Excel  - Hot Spots  Wallpaper 36720-2</t>
        </is>
      </c>
      <c r="D65" s="23" t="inlineStr">
        <is>
          <t>Excel</t>
        </is>
      </c>
      <c r="E65" s="43" t="n">
        <v>46125</v>
      </c>
      <c r="F65" s="26" t="inlineStr">
        <is>
          <t>Sunil CR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Good finish</t>
        </is>
      </c>
      <c r="J65" s="26" t="inlineStr">
        <is>
          <t>Yes</t>
        </is>
      </c>
      <c r="K65" s="27" t="n"/>
      <c r="L65" s="28" t="inlineStr">
        <is>
          <t>No</t>
        </is>
      </c>
      <c r="M65" s="29">
        <f>IF(E65="","",IF(H65="Yes","❌ Disc",IF(G65="No","⚠ Missing",IF(J65="Yes","✓ OK","⚠ Check"))))</f>
        <v/>
      </c>
      <c r="N65" s="43" t="n">
        <v>46193</v>
      </c>
      <c r="O65" s="26" t="inlineStr">
        <is>
          <t>Sunil CR</t>
        </is>
      </c>
      <c r="P65" s="26" t="inlineStr">
        <is>
          <t>Yes</t>
        </is>
      </c>
      <c r="Q65" s="26" t="inlineStr">
        <is>
          <t>No</t>
        </is>
      </c>
      <c r="R65" s="26" t="inlineStr">
        <is>
          <t>Good finish</t>
        </is>
      </c>
      <c r="S65" s="26" t="inlineStr">
        <is>
          <t>Yes</t>
        </is>
      </c>
      <c r="T65" s="27" t="n"/>
      <c r="U65" s="28" t="inlineStr">
        <is>
          <t>No</t>
        </is>
      </c>
      <c r="V65" s="29">
        <f>IF(N65="","",IF(Q65="Yes","❌ Disc",IF(P65="No","⚠ Missing",IF(S65="Yes","✓ OK","⚠ Check"))))</f>
        <v/>
      </c>
      <c r="W65" s="65" t="n">
        <v>46248</v>
      </c>
      <c r="X65" s="30" t="inlineStr">
        <is>
          <t>Sunil CR</t>
        </is>
      </c>
      <c r="Y65" s="30" t="inlineStr">
        <is>
          <t>Yes</t>
        </is>
      </c>
      <c r="Z65" s="30" t="n"/>
      <c r="AA65" s="30" t="inlineStr">
        <is>
          <t>Good finish</t>
        </is>
      </c>
      <c r="AB65" s="30" t="inlineStr">
        <is>
          <t>Yes</t>
        </is>
      </c>
      <c r="AC65" s="27" t="n"/>
      <c r="AD65" s="31" t="inlineStr">
        <is>
          <t>No</t>
        </is>
      </c>
      <c r="AE65" s="32">
        <f>IF(W65="","",IF(Z65="Yes","❌ Disc",IF(Y65="No","⚠ Missing",IF(AB65="Yes","✓ OK","⚠ Check"))))</f>
        <v/>
      </c>
      <c r="AF65" s="33" t="n"/>
      <c r="AG65" s="33" t="n"/>
      <c r="AH65" s="33" t="n"/>
      <c r="AI65" s="33" t="n"/>
      <c r="AJ65" s="33" t="n"/>
      <c r="AK65" s="33" t="n"/>
      <c r="AL65" s="27" t="n"/>
      <c r="AM65" s="34" t="n"/>
      <c r="AN65" s="35">
        <f>IF(AF65="","",IF(AI65="Yes","❌ Disc",IF(AH65="No","⚠ Missing",IF(AK65="Yes","✓ OK","⚠ Check"))))</f>
        <v/>
      </c>
      <c r="AO65" s="36" t="n"/>
      <c r="AP65" s="36" t="n"/>
      <c r="AQ65" s="36" t="n"/>
      <c r="AR65" s="36" t="n"/>
      <c r="AS65" s="36" t="n"/>
      <c r="AT65" s="36" t="n"/>
      <c r="AU65" s="27" t="n"/>
      <c r="AV65" s="37" t="n"/>
      <c r="AW65" s="38">
        <f>IF(AO65="","",IF(AR65="Yes","❌ Disc",IF(AQ65="No","⚠ Missing",IF(AT65="Yes","✓ OK","⚠ Check"))))</f>
        <v/>
      </c>
    </row>
    <row r="66" ht="18" customHeight="1" s="46">
      <c r="A66" s="39" t="n">
        <v>62</v>
      </c>
      <c r="B66" s="40" t="inlineStr">
        <is>
          <t>BD-VRM-2026-0339</t>
        </is>
      </c>
      <c r="C66" s="41" t="inlineStr">
        <is>
          <t>Excel  - Hot Spots  Wallpaper 36720-3</t>
        </is>
      </c>
      <c r="D66" s="39" t="inlineStr">
        <is>
          <t>Excel</t>
        </is>
      </c>
      <c r="E66" s="43" t="n">
        <v>46125</v>
      </c>
      <c r="F66" s="26" t="inlineStr">
        <is>
          <t>Sunil CR</t>
        </is>
      </c>
      <c r="G66" s="26" t="inlineStr">
        <is>
          <t>Yes</t>
        </is>
      </c>
      <c r="H66" s="26" t="inlineStr">
        <is>
          <t>No</t>
        </is>
      </c>
      <c r="I66" s="26" t="inlineStr">
        <is>
          <t>Good finish</t>
        </is>
      </c>
      <c r="J66" s="26" t="inlineStr">
        <is>
          <t>Yes</t>
        </is>
      </c>
      <c r="K66" s="27" t="n"/>
      <c r="L66" s="28" t="inlineStr">
        <is>
          <t>No</t>
        </is>
      </c>
      <c r="M66" s="29">
        <f>IF(E66="","",IF(H66="Yes","❌ Disc",IF(G66="No","⚠ Missing",IF(J66="Yes","✓ OK","⚠ Check"))))</f>
        <v/>
      </c>
      <c r="N66" s="43" t="n">
        <v>46193</v>
      </c>
      <c r="O66" s="26" t="inlineStr">
        <is>
          <t>Sunil CR</t>
        </is>
      </c>
      <c r="P66" s="26" t="inlineStr">
        <is>
          <t>Yes</t>
        </is>
      </c>
      <c r="Q66" s="26" t="inlineStr">
        <is>
          <t>No</t>
        </is>
      </c>
      <c r="R66" s="26" t="inlineStr">
        <is>
          <t>Good finish</t>
        </is>
      </c>
      <c r="S66" s="26" t="inlineStr">
        <is>
          <t>Yes</t>
        </is>
      </c>
      <c r="T66" s="27" t="n"/>
      <c r="U66" s="28" t="inlineStr">
        <is>
          <t>No</t>
        </is>
      </c>
      <c r="V66" s="29">
        <f>IF(N66="","",IF(Q66="Yes","❌ Disc",IF(P66="No","⚠ Missing",IF(S66="Yes","✓ OK","⚠ Check"))))</f>
        <v/>
      </c>
      <c r="W66" s="65" t="n">
        <v>46248</v>
      </c>
      <c r="X66" s="30" t="inlineStr">
        <is>
          <t>Sunil CR</t>
        </is>
      </c>
      <c r="Y66" s="30" t="inlineStr">
        <is>
          <t>Yes</t>
        </is>
      </c>
      <c r="Z66" s="30" t="n"/>
      <c r="AA66" s="30" t="inlineStr">
        <is>
          <t>Good finish</t>
        </is>
      </c>
      <c r="AB66" s="30" t="inlineStr">
        <is>
          <t>Yes</t>
        </is>
      </c>
      <c r="AC66" s="27" t="n"/>
      <c r="AD66" s="31" t="inlineStr">
        <is>
          <t>No</t>
        </is>
      </c>
      <c r="AE66" s="32">
        <f>IF(W66="","",IF(Z66="Yes","❌ Disc",IF(Y66="No","⚠ Missing",IF(AB66="Yes","✓ OK","⚠ Check"))))</f>
        <v/>
      </c>
      <c r="AF66" s="33" t="n"/>
      <c r="AG66" s="33" t="n"/>
      <c r="AH66" s="33" t="n"/>
      <c r="AI66" s="33" t="n"/>
      <c r="AJ66" s="33" t="n"/>
      <c r="AK66" s="33" t="n"/>
      <c r="AL66" s="27" t="n"/>
      <c r="AM66" s="34" t="n"/>
      <c r="AN66" s="35">
        <f>IF(AF66="","",IF(AI66="Yes","❌ Disc",IF(AH66="No","⚠ Missing",IF(AK66="Yes","✓ OK","⚠ Check"))))</f>
        <v/>
      </c>
      <c r="AO66" s="36" t="n"/>
      <c r="AP66" s="36" t="n"/>
      <c r="AQ66" s="36" t="n"/>
      <c r="AR66" s="36" t="n"/>
      <c r="AS66" s="36" t="n"/>
      <c r="AT66" s="36" t="n"/>
      <c r="AU66" s="27" t="n"/>
      <c r="AV66" s="37" t="n"/>
      <c r="AW66" s="38">
        <f>IF(AO66="","",IF(AR66="Yes","❌ Disc",IF(AQ66="No","⚠ Missing",IF(AT66="Yes","✓ OK","⚠ Check"))))</f>
        <v/>
      </c>
    </row>
    <row r="67" ht="18" customHeight="1" s="46">
      <c r="A67" s="23" t="n">
        <v>63</v>
      </c>
      <c r="B67" s="24" t="inlineStr">
        <is>
          <t>BD-VRM-2026-0340</t>
        </is>
      </c>
      <c r="C67" s="25" t="inlineStr">
        <is>
          <t>Excel  - Hot Spots  Wallpaper 36720-4</t>
        </is>
      </c>
      <c r="D67" s="23" t="inlineStr">
        <is>
          <t>Excel</t>
        </is>
      </c>
      <c r="E67" s="43" t="n">
        <v>46125</v>
      </c>
      <c r="F67" s="26" t="inlineStr">
        <is>
          <t>Sunil CR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Good finish</t>
        </is>
      </c>
      <c r="J67" s="26" t="inlineStr">
        <is>
          <t>Yes</t>
        </is>
      </c>
      <c r="K67" s="27" t="n"/>
      <c r="L67" s="28" t="inlineStr">
        <is>
          <t>No</t>
        </is>
      </c>
      <c r="M67" s="29">
        <f>IF(E67="","",IF(H67="Yes","❌ Disc",IF(G67="No","⚠ Missing",IF(J67="Yes","✓ OK","⚠ Check"))))</f>
        <v/>
      </c>
      <c r="N67" s="43" t="n">
        <v>46193</v>
      </c>
      <c r="O67" s="26" t="inlineStr">
        <is>
          <t>Sunil CR</t>
        </is>
      </c>
      <c r="P67" s="26" t="inlineStr">
        <is>
          <t>Yes</t>
        </is>
      </c>
      <c r="Q67" s="26" t="inlineStr">
        <is>
          <t>No</t>
        </is>
      </c>
      <c r="R67" s="26" t="inlineStr">
        <is>
          <t>Good finish</t>
        </is>
      </c>
      <c r="S67" s="26" t="inlineStr">
        <is>
          <t>Yes</t>
        </is>
      </c>
      <c r="T67" s="27" t="n"/>
      <c r="U67" s="28" t="inlineStr">
        <is>
          <t>No</t>
        </is>
      </c>
      <c r="V67" s="29">
        <f>IF(N67="","",IF(Q67="Yes","❌ Disc",IF(P67="No","⚠ Missing",IF(S67="Yes","✓ OK","⚠ Check"))))</f>
        <v/>
      </c>
      <c r="W67" s="65" t="n">
        <v>46248</v>
      </c>
      <c r="X67" s="30" t="inlineStr">
        <is>
          <t>Sunil CR</t>
        </is>
      </c>
      <c r="Y67" s="30" t="inlineStr">
        <is>
          <t>Yes</t>
        </is>
      </c>
      <c r="Z67" s="30" t="n"/>
      <c r="AA67" s="30" t="inlineStr">
        <is>
          <t>Good finish</t>
        </is>
      </c>
      <c r="AB67" s="30" t="inlineStr">
        <is>
          <t>Yes</t>
        </is>
      </c>
      <c r="AC67" s="27" t="n"/>
      <c r="AD67" s="31" t="inlineStr">
        <is>
          <t>No</t>
        </is>
      </c>
      <c r="AE67" s="32">
        <f>IF(W67="","",IF(Z67="Yes","❌ Disc",IF(Y67="No","⚠ Missing",IF(AB67="Yes","✓ OK","⚠ Check"))))</f>
        <v/>
      </c>
      <c r="AF67" s="33" t="n"/>
      <c r="AG67" s="33" t="n"/>
      <c r="AH67" s="33" t="n"/>
      <c r="AI67" s="33" t="n"/>
      <c r="AJ67" s="33" t="n"/>
      <c r="AK67" s="33" t="n"/>
      <c r="AL67" s="27" t="n"/>
      <c r="AM67" s="34" t="n"/>
      <c r="AN67" s="35">
        <f>IF(AF67="","",IF(AI67="Yes","❌ Disc",IF(AH67="No","⚠ Missing",IF(AK67="Yes","✓ OK","⚠ Check"))))</f>
        <v/>
      </c>
      <c r="AO67" s="36" t="n"/>
      <c r="AP67" s="36" t="n"/>
      <c r="AQ67" s="36" t="n"/>
      <c r="AR67" s="36" t="n"/>
      <c r="AS67" s="36" t="n"/>
      <c r="AT67" s="36" t="n"/>
      <c r="AU67" s="27" t="n"/>
      <c r="AV67" s="37" t="n"/>
      <c r="AW67" s="38">
        <f>IF(AO67="","",IF(AR67="Yes","❌ Disc",IF(AQ67="No","⚠ Missing",IF(AT67="Yes","✓ OK","⚠ Check"))))</f>
        <v/>
      </c>
    </row>
    <row r="68" ht="18" customHeight="1" s="46">
      <c r="A68" s="39" t="n">
        <v>64</v>
      </c>
      <c r="B68" s="40" t="inlineStr">
        <is>
          <t>BD-VRM-2026-0341</t>
        </is>
      </c>
      <c r="C68" s="41" t="inlineStr">
        <is>
          <t>Excel  - Hot Spots  Wallpaper 36720-6</t>
        </is>
      </c>
      <c r="D68" s="39" t="inlineStr">
        <is>
          <t>Excel</t>
        </is>
      </c>
      <c r="E68" s="43" t="n">
        <v>46125</v>
      </c>
      <c r="F68" s="26" t="inlineStr">
        <is>
          <t>Sunil CR</t>
        </is>
      </c>
      <c r="G68" s="26" t="inlineStr">
        <is>
          <t>Yes</t>
        </is>
      </c>
      <c r="H68" s="26" t="inlineStr">
        <is>
          <t>No</t>
        </is>
      </c>
      <c r="I68" s="26" t="inlineStr">
        <is>
          <t>Good finish</t>
        </is>
      </c>
      <c r="J68" s="26" t="inlineStr">
        <is>
          <t>Yes</t>
        </is>
      </c>
      <c r="K68" s="27" t="n"/>
      <c r="L68" s="28" t="inlineStr">
        <is>
          <t>No</t>
        </is>
      </c>
      <c r="M68" s="29">
        <f>IF(E68="","",IF(H68="Yes","❌ Disc",IF(G68="No","⚠ Missing",IF(J68="Yes","✓ OK","⚠ Check"))))</f>
        <v/>
      </c>
      <c r="N68" s="43" t="n">
        <v>46193</v>
      </c>
      <c r="O68" s="26" t="inlineStr">
        <is>
          <t>Sunil CR</t>
        </is>
      </c>
      <c r="P68" s="26" t="inlineStr">
        <is>
          <t>Yes</t>
        </is>
      </c>
      <c r="Q68" s="26" t="inlineStr">
        <is>
          <t>No</t>
        </is>
      </c>
      <c r="R68" s="26" t="inlineStr">
        <is>
          <t>Good finish</t>
        </is>
      </c>
      <c r="S68" s="26" t="inlineStr">
        <is>
          <t>Yes</t>
        </is>
      </c>
      <c r="T68" s="27" t="n"/>
      <c r="U68" s="28" t="inlineStr">
        <is>
          <t>No</t>
        </is>
      </c>
      <c r="V68" s="29">
        <f>IF(N68="","",IF(Q68="Yes","❌ Disc",IF(P68="No","⚠ Missing",IF(S68="Yes","✓ OK","⚠ Check"))))</f>
        <v/>
      </c>
      <c r="W68" s="65" t="n">
        <v>46248</v>
      </c>
      <c r="X68" s="30" t="inlineStr">
        <is>
          <t>Sunil CR</t>
        </is>
      </c>
      <c r="Y68" s="30" t="inlineStr">
        <is>
          <t>Yes</t>
        </is>
      </c>
      <c r="Z68" s="30" t="n"/>
      <c r="AA68" s="30" t="inlineStr">
        <is>
          <t>Good finish</t>
        </is>
      </c>
      <c r="AB68" s="30" t="inlineStr">
        <is>
          <t>Yes</t>
        </is>
      </c>
      <c r="AC68" s="27" t="n"/>
      <c r="AD68" s="31" t="inlineStr">
        <is>
          <t>No</t>
        </is>
      </c>
      <c r="AE68" s="32">
        <f>IF(W68="","",IF(Z68="Yes","❌ Disc",IF(Y68="No","⚠ Missing",IF(AB68="Yes","✓ OK","⚠ Check"))))</f>
        <v/>
      </c>
      <c r="AF68" s="33" t="n"/>
      <c r="AG68" s="33" t="n"/>
      <c r="AH68" s="33" t="n"/>
      <c r="AI68" s="33" t="n"/>
      <c r="AJ68" s="33" t="n"/>
      <c r="AK68" s="33" t="n"/>
      <c r="AL68" s="27" t="n"/>
      <c r="AM68" s="34" t="n"/>
      <c r="AN68" s="35">
        <f>IF(AF68="","",IF(AI68="Yes","❌ Disc",IF(AH68="No","⚠ Missing",IF(AK68="Yes","✓ OK","⚠ Check"))))</f>
        <v/>
      </c>
      <c r="AO68" s="36" t="n"/>
      <c r="AP68" s="36" t="n"/>
      <c r="AQ68" s="36" t="n"/>
      <c r="AR68" s="36" t="n"/>
      <c r="AS68" s="36" t="n"/>
      <c r="AT68" s="36" t="n"/>
      <c r="AU68" s="27" t="n"/>
      <c r="AV68" s="37" t="n"/>
      <c r="AW68" s="38">
        <f>IF(AO68="","",IF(AR68="Yes","❌ Disc",IF(AQ68="No","⚠ Missing",IF(AT68="Yes","✓ OK","⚠ Check"))))</f>
        <v/>
      </c>
    </row>
    <row r="69" ht="18" customHeight="1" s="46">
      <c r="A69" s="23" t="n">
        <v>65</v>
      </c>
      <c r="B69" s="24" t="inlineStr">
        <is>
          <t>BD-VRM-2026-0342</t>
        </is>
      </c>
      <c r="C69" s="25" t="inlineStr">
        <is>
          <t>Excel  - Hot Spots  Wallpaper 36720-7</t>
        </is>
      </c>
      <c r="D69" s="23" t="inlineStr">
        <is>
          <t>Excel</t>
        </is>
      </c>
      <c r="E69" s="43" t="n">
        <v>46125</v>
      </c>
      <c r="F69" s="26" t="inlineStr">
        <is>
          <t>Sunil CR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Good finish</t>
        </is>
      </c>
      <c r="J69" s="26" t="inlineStr">
        <is>
          <t>Yes</t>
        </is>
      </c>
      <c r="K69" s="27" t="n"/>
      <c r="L69" s="28" t="inlineStr">
        <is>
          <t>No</t>
        </is>
      </c>
      <c r="M69" s="29">
        <f>IF(E69="","",IF(H69="Yes","❌ Disc",IF(G69="No","⚠ Missing",IF(J69="Yes","✓ OK","⚠ Check"))))</f>
        <v/>
      </c>
      <c r="N69" s="43" t="n">
        <v>46193</v>
      </c>
      <c r="O69" s="26" t="inlineStr">
        <is>
          <t>Sunil CR</t>
        </is>
      </c>
      <c r="P69" s="26" t="inlineStr">
        <is>
          <t>Yes</t>
        </is>
      </c>
      <c r="Q69" s="26" t="inlineStr">
        <is>
          <t>No</t>
        </is>
      </c>
      <c r="R69" s="26" t="inlineStr">
        <is>
          <t>Good finish</t>
        </is>
      </c>
      <c r="S69" s="26" t="inlineStr">
        <is>
          <t>Yes</t>
        </is>
      </c>
      <c r="T69" s="27" t="n"/>
      <c r="U69" s="28" t="inlineStr">
        <is>
          <t>No</t>
        </is>
      </c>
      <c r="V69" s="29">
        <f>IF(N69="","",IF(Q69="Yes","❌ Disc",IF(P69="No","⚠ Missing",IF(S69="Yes","✓ OK","⚠ Check"))))</f>
        <v/>
      </c>
      <c r="W69" s="65" t="n">
        <v>46248</v>
      </c>
      <c r="X69" s="30" t="inlineStr">
        <is>
          <t>Sunil CR</t>
        </is>
      </c>
      <c r="Y69" s="30" t="inlineStr">
        <is>
          <t>Yes</t>
        </is>
      </c>
      <c r="Z69" s="30" t="n"/>
      <c r="AA69" s="30" t="inlineStr">
        <is>
          <t>Good finish</t>
        </is>
      </c>
      <c r="AB69" s="30" t="inlineStr">
        <is>
          <t>Yes</t>
        </is>
      </c>
      <c r="AC69" s="27" t="n"/>
      <c r="AD69" s="31" t="inlineStr">
        <is>
          <t>No</t>
        </is>
      </c>
      <c r="AE69" s="32">
        <f>IF(W69="","",IF(Z69="Yes","❌ Disc",IF(Y69="No","⚠ Missing",IF(AB69="Yes","✓ OK","⚠ Check"))))</f>
        <v/>
      </c>
      <c r="AF69" s="33" t="n"/>
      <c r="AG69" s="33" t="n"/>
      <c r="AH69" s="33" t="n"/>
      <c r="AI69" s="33" t="n"/>
      <c r="AJ69" s="33" t="n"/>
      <c r="AK69" s="33" t="n"/>
      <c r="AL69" s="27" t="n"/>
      <c r="AM69" s="34" t="n"/>
      <c r="AN69" s="35">
        <f>IF(AF69="","",IF(AI69="Yes","❌ Disc",IF(AH69="No","⚠ Missing",IF(AK69="Yes","✓ OK","⚠ Check"))))</f>
        <v/>
      </c>
      <c r="AO69" s="36" t="n"/>
      <c r="AP69" s="36" t="n"/>
      <c r="AQ69" s="36" t="n"/>
      <c r="AR69" s="36" t="n"/>
      <c r="AS69" s="36" t="n"/>
      <c r="AT69" s="36" t="n"/>
      <c r="AU69" s="27" t="n"/>
      <c r="AV69" s="37" t="n"/>
      <c r="AW69" s="38">
        <f>IF(AO69="","",IF(AR69="Yes","❌ Disc",IF(AQ69="No","⚠ Missing",IF(AT69="Yes","✓ OK","⚠ Check"))))</f>
        <v/>
      </c>
    </row>
    <row r="70" ht="18" customHeight="1" s="46">
      <c r="A70" s="39" t="n">
        <v>66</v>
      </c>
      <c r="B70" s="40" t="inlineStr">
        <is>
          <t>BD-VRM-2026-0343</t>
        </is>
      </c>
      <c r="C70" s="41" t="inlineStr">
        <is>
          <t>Excel  - Hot Spots  Wallpaper 36721-4</t>
        </is>
      </c>
      <c r="D70" s="39" t="inlineStr">
        <is>
          <t>Excel</t>
        </is>
      </c>
      <c r="E70" s="43" t="n">
        <v>46125</v>
      </c>
      <c r="F70" s="26" t="inlineStr">
        <is>
          <t>Sunil CR</t>
        </is>
      </c>
      <c r="G70" s="26" t="inlineStr">
        <is>
          <t>Yes</t>
        </is>
      </c>
      <c r="H70" s="26" t="inlineStr">
        <is>
          <t>No</t>
        </is>
      </c>
      <c r="I70" s="26" t="inlineStr">
        <is>
          <t>Good finish</t>
        </is>
      </c>
      <c r="J70" s="26" t="inlineStr">
        <is>
          <t>Yes</t>
        </is>
      </c>
      <c r="K70" s="27" t="n"/>
      <c r="L70" s="28" t="inlineStr">
        <is>
          <t>No</t>
        </is>
      </c>
      <c r="M70" s="29">
        <f>IF(E70="","",IF(H70="Yes","❌ Disc",IF(G70="No","⚠ Missing",IF(J70="Yes","✓ OK","⚠ Check"))))</f>
        <v/>
      </c>
      <c r="N70" s="43" t="n">
        <v>46193</v>
      </c>
      <c r="O70" s="26" t="inlineStr">
        <is>
          <t>Sunil CR</t>
        </is>
      </c>
      <c r="P70" s="26" t="inlineStr">
        <is>
          <t>Yes</t>
        </is>
      </c>
      <c r="Q70" s="26" t="inlineStr">
        <is>
          <t>No</t>
        </is>
      </c>
      <c r="R70" s="26" t="inlineStr">
        <is>
          <t>Good finish</t>
        </is>
      </c>
      <c r="S70" s="26" t="inlineStr">
        <is>
          <t>Yes</t>
        </is>
      </c>
      <c r="T70" s="27" t="n"/>
      <c r="U70" s="28" t="inlineStr">
        <is>
          <t>No</t>
        </is>
      </c>
      <c r="V70" s="29">
        <f>IF(N70="","",IF(Q70="Yes","❌ Disc",IF(P70="No","⚠ Missing",IF(S70="Yes","✓ OK","⚠ Check"))))</f>
        <v/>
      </c>
      <c r="W70" s="65" t="n">
        <v>46248</v>
      </c>
      <c r="X70" s="30" t="inlineStr">
        <is>
          <t>Sunil CR</t>
        </is>
      </c>
      <c r="Y70" s="30" t="inlineStr">
        <is>
          <t>Yes</t>
        </is>
      </c>
      <c r="Z70" s="30" t="n"/>
      <c r="AA70" s="30" t="inlineStr">
        <is>
          <t>Good finish</t>
        </is>
      </c>
      <c r="AB70" s="30" t="inlineStr">
        <is>
          <t>Yes</t>
        </is>
      </c>
      <c r="AC70" s="27" t="n"/>
      <c r="AD70" s="31" t="inlineStr">
        <is>
          <t>No</t>
        </is>
      </c>
      <c r="AE70" s="32">
        <f>IF(W70="","",IF(Z70="Yes","❌ Disc",IF(Y70="No","⚠ Missing",IF(AB70="Yes","✓ OK","⚠ Check"))))</f>
        <v/>
      </c>
      <c r="AF70" s="33" t="n"/>
      <c r="AG70" s="33" t="n"/>
      <c r="AH70" s="33" t="n"/>
      <c r="AI70" s="33" t="n"/>
      <c r="AJ70" s="33" t="n"/>
      <c r="AK70" s="33" t="n"/>
      <c r="AL70" s="27" t="n"/>
      <c r="AM70" s="34" t="n"/>
      <c r="AN70" s="35">
        <f>IF(AF70="","",IF(AI70="Yes","❌ Disc",IF(AH70="No","⚠ Missing",IF(AK70="Yes","✓ OK","⚠ Check"))))</f>
        <v/>
      </c>
      <c r="AO70" s="36" t="n"/>
      <c r="AP70" s="36" t="n"/>
      <c r="AQ70" s="36" t="n"/>
      <c r="AR70" s="36" t="n"/>
      <c r="AS70" s="36" t="n"/>
      <c r="AT70" s="36" t="n"/>
      <c r="AU70" s="27" t="n"/>
      <c r="AV70" s="37" t="n"/>
      <c r="AW70" s="38">
        <f>IF(AO70="","",IF(AR70="Yes","❌ Disc",IF(AQ70="No","⚠ Missing",IF(AT70="Yes","✓ OK","⚠ Check"))))</f>
        <v/>
      </c>
    </row>
    <row r="71" ht="18" customHeight="1" s="46">
      <c r="A71" s="23" t="n">
        <v>67</v>
      </c>
      <c r="B71" s="24" t="inlineStr">
        <is>
          <t>BD-VRM-2026-0344</t>
        </is>
      </c>
      <c r="C71" s="25" t="inlineStr">
        <is>
          <t>Excel  - Hot Spots  Wallpaper 36721-5</t>
        </is>
      </c>
      <c r="D71" s="23" t="inlineStr">
        <is>
          <t>Excel</t>
        </is>
      </c>
      <c r="E71" s="43" t="n">
        <v>46125</v>
      </c>
      <c r="F71" s="26" t="inlineStr">
        <is>
          <t>Sunil CR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Good finish</t>
        </is>
      </c>
      <c r="J71" s="26" t="inlineStr">
        <is>
          <t>Yes</t>
        </is>
      </c>
      <c r="K71" s="27" t="n"/>
      <c r="L71" s="28" t="inlineStr">
        <is>
          <t>No</t>
        </is>
      </c>
      <c r="M71" s="29">
        <f>IF(E71="","",IF(H71="Yes","❌ Disc",IF(G71="No","⚠ Missing",IF(J71="Yes","✓ OK","⚠ Check"))))</f>
        <v/>
      </c>
      <c r="N71" s="43" t="n">
        <v>46193</v>
      </c>
      <c r="O71" s="26" t="inlineStr">
        <is>
          <t>Sunil CR</t>
        </is>
      </c>
      <c r="P71" s="26" t="inlineStr">
        <is>
          <t>Yes</t>
        </is>
      </c>
      <c r="Q71" s="26" t="inlineStr">
        <is>
          <t>No</t>
        </is>
      </c>
      <c r="R71" s="26" t="inlineStr">
        <is>
          <t>Good finish</t>
        </is>
      </c>
      <c r="S71" s="26" t="inlineStr">
        <is>
          <t>Yes</t>
        </is>
      </c>
      <c r="T71" s="27" t="n"/>
      <c r="U71" s="28" t="inlineStr">
        <is>
          <t>No</t>
        </is>
      </c>
      <c r="V71" s="29">
        <f>IF(N71="","",IF(Q71="Yes","❌ Disc",IF(P71="No","⚠ Missing",IF(S71="Yes","✓ OK","⚠ Check"))))</f>
        <v/>
      </c>
      <c r="W71" s="65" t="n">
        <v>46248</v>
      </c>
      <c r="X71" s="30" t="inlineStr">
        <is>
          <t>Sunil CR</t>
        </is>
      </c>
      <c r="Y71" s="30" t="inlineStr">
        <is>
          <t>Yes</t>
        </is>
      </c>
      <c r="Z71" s="30" t="n"/>
      <c r="AA71" s="30" t="inlineStr">
        <is>
          <t>Good finish</t>
        </is>
      </c>
      <c r="AB71" s="30" t="inlineStr">
        <is>
          <t>Yes</t>
        </is>
      </c>
      <c r="AC71" s="27" t="n"/>
      <c r="AD71" s="31" t="inlineStr">
        <is>
          <t>No</t>
        </is>
      </c>
      <c r="AE71" s="32">
        <f>IF(W71="","",IF(Z71="Yes","❌ Disc",IF(Y71="No","⚠ Missing",IF(AB71="Yes","✓ OK","⚠ Check"))))</f>
        <v/>
      </c>
      <c r="AF71" s="33" t="n"/>
      <c r="AG71" s="33" t="n"/>
      <c r="AH71" s="33" t="n"/>
      <c r="AI71" s="33" t="n"/>
      <c r="AJ71" s="33" t="n"/>
      <c r="AK71" s="33" t="n"/>
      <c r="AL71" s="27" t="n"/>
      <c r="AM71" s="34" t="n"/>
      <c r="AN71" s="35">
        <f>IF(AF71="","",IF(AI71="Yes","❌ Disc",IF(AH71="No","⚠ Missing",IF(AK71="Yes","✓ OK","⚠ Check"))))</f>
        <v/>
      </c>
      <c r="AO71" s="36" t="n"/>
      <c r="AP71" s="36" t="n"/>
      <c r="AQ71" s="36" t="n"/>
      <c r="AR71" s="36" t="n"/>
      <c r="AS71" s="36" t="n"/>
      <c r="AT71" s="36" t="n"/>
      <c r="AU71" s="27" t="n"/>
      <c r="AV71" s="37" t="n"/>
      <c r="AW71" s="38">
        <f>IF(AO71="","",IF(AR71="Yes","❌ Disc",IF(AQ71="No","⚠ Missing",IF(AT71="Yes","✓ OK","⚠ Check"))))</f>
        <v/>
      </c>
    </row>
    <row r="72" ht="18" customHeight="1" s="46">
      <c r="A72" s="39" t="n">
        <v>68</v>
      </c>
      <c r="B72" s="40" t="inlineStr">
        <is>
          <t>BD-VRM-2026-0345</t>
        </is>
      </c>
      <c r="C72" s="41" t="inlineStr">
        <is>
          <t>Excel  - Hot Spots  Wallpaper 36721-6</t>
        </is>
      </c>
      <c r="D72" s="39" t="inlineStr">
        <is>
          <t>Excel</t>
        </is>
      </c>
      <c r="E72" s="43" t="n">
        <v>46125</v>
      </c>
      <c r="F72" s="26" t="inlineStr">
        <is>
          <t>Sunil CR</t>
        </is>
      </c>
      <c r="G72" s="26" t="inlineStr">
        <is>
          <t>Yes</t>
        </is>
      </c>
      <c r="H72" s="26" t="inlineStr">
        <is>
          <t>No</t>
        </is>
      </c>
      <c r="I72" s="26" t="inlineStr">
        <is>
          <t>Good finish</t>
        </is>
      </c>
      <c r="J72" s="26" t="inlineStr">
        <is>
          <t>Yes</t>
        </is>
      </c>
      <c r="K72" s="27" t="n"/>
      <c r="L72" s="28" t="inlineStr">
        <is>
          <t>No</t>
        </is>
      </c>
      <c r="M72" s="29">
        <f>IF(E72="","",IF(H72="Yes","❌ Disc",IF(G72="No","⚠ Missing",IF(J72="Yes","✓ OK","⚠ Check"))))</f>
        <v/>
      </c>
      <c r="N72" s="43" t="n">
        <v>46193</v>
      </c>
      <c r="O72" s="26" t="inlineStr">
        <is>
          <t>Sunil CR</t>
        </is>
      </c>
      <c r="P72" s="26" t="inlineStr">
        <is>
          <t>Yes</t>
        </is>
      </c>
      <c r="Q72" s="26" t="inlineStr">
        <is>
          <t>No</t>
        </is>
      </c>
      <c r="R72" s="26" t="inlineStr">
        <is>
          <t>Good finish</t>
        </is>
      </c>
      <c r="S72" s="26" t="inlineStr">
        <is>
          <t>Yes</t>
        </is>
      </c>
      <c r="T72" s="27" t="n"/>
      <c r="U72" s="28" t="inlineStr">
        <is>
          <t>No</t>
        </is>
      </c>
      <c r="V72" s="29">
        <f>IF(N72="","",IF(Q72="Yes","❌ Disc",IF(P72="No","⚠ Missing",IF(S72="Yes","✓ OK","⚠ Check"))))</f>
        <v/>
      </c>
      <c r="W72" s="65" t="n">
        <v>46248</v>
      </c>
      <c r="X72" s="30" t="inlineStr">
        <is>
          <t>Sunil CR</t>
        </is>
      </c>
      <c r="Y72" s="30" t="inlineStr">
        <is>
          <t>Yes</t>
        </is>
      </c>
      <c r="Z72" s="30" t="n"/>
      <c r="AA72" s="30" t="inlineStr">
        <is>
          <t>Good finish</t>
        </is>
      </c>
      <c r="AB72" s="30" t="inlineStr">
        <is>
          <t>Yes</t>
        </is>
      </c>
      <c r="AC72" s="27" t="n"/>
      <c r="AD72" s="31" t="inlineStr">
        <is>
          <t>No</t>
        </is>
      </c>
      <c r="AE72" s="32">
        <f>IF(W72="","",IF(Z72="Yes","❌ Disc",IF(Y72="No","⚠ Missing",IF(AB72="Yes","✓ OK","⚠ Check"))))</f>
        <v/>
      </c>
      <c r="AF72" s="33" t="n"/>
      <c r="AG72" s="33" t="n"/>
      <c r="AH72" s="33" t="n"/>
      <c r="AI72" s="33" t="n"/>
      <c r="AJ72" s="33" t="n"/>
      <c r="AK72" s="33" t="n"/>
      <c r="AL72" s="27" t="n"/>
      <c r="AM72" s="34" t="n"/>
      <c r="AN72" s="35">
        <f>IF(AF72="","",IF(AI72="Yes","❌ Disc",IF(AH72="No","⚠ Missing",IF(AK72="Yes","✓ OK","⚠ Check"))))</f>
        <v/>
      </c>
      <c r="AO72" s="36" t="n"/>
      <c r="AP72" s="36" t="n"/>
      <c r="AQ72" s="36" t="n"/>
      <c r="AR72" s="36" t="n"/>
      <c r="AS72" s="36" t="n"/>
      <c r="AT72" s="36" t="n"/>
      <c r="AU72" s="27" t="n"/>
      <c r="AV72" s="37" t="n"/>
      <c r="AW72" s="38">
        <f>IF(AO72="","",IF(AR72="Yes","❌ Disc",IF(AQ72="No","⚠ Missing",IF(AT72="Yes","✓ OK","⚠ Check"))))</f>
        <v/>
      </c>
    </row>
    <row r="73" ht="18" customHeight="1" s="46">
      <c r="A73" s="23" t="n">
        <v>69</v>
      </c>
      <c r="B73" s="24" t="inlineStr">
        <is>
          <t>BD-VRM-2026-0346</t>
        </is>
      </c>
      <c r="C73" s="25" t="inlineStr">
        <is>
          <t>Excel  - Hot Spots  Wallpaper 36721-7</t>
        </is>
      </c>
      <c r="D73" s="23" t="inlineStr">
        <is>
          <t>Excel</t>
        </is>
      </c>
      <c r="E73" s="43" t="n">
        <v>46125</v>
      </c>
      <c r="F73" s="26" t="inlineStr">
        <is>
          <t>Sunil CR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Good finish</t>
        </is>
      </c>
      <c r="J73" s="26" t="inlineStr">
        <is>
          <t>Yes</t>
        </is>
      </c>
      <c r="K73" s="27" t="n"/>
      <c r="L73" s="28" t="inlineStr">
        <is>
          <t>No</t>
        </is>
      </c>
      <c r="M73" s="29">
        <f>IF(E73="","",IF(H73="Yes","❌ Disc",IF(G73="No","⚠ Missing",IF(J73="Yes","✓ OK","⚠ Check"))))</f>
        <v/>
      </c>
      <c r="N73" s="43" t="n">
        <v>46193</v>
      </c>
      <c r="O73" s="26" t="inlineStr">
        <is>
          <t>Sunil CR</t>
        </is>
      </c>
      <c r="P73" s="26" t="inlineStr">
        <is>
          <t>Yes</t>
        </is>
      </c>
      <c r="Q73" s="26" t="inlineStr">
        <is>
          <t>No</t>
        </is>
      </c>
      <c r="R73" s="26" t="inlineStr">
        <is>
          <t>Good finish</t>
        </is>
      </c>
      <c r="S73" s="26" t="inlineStr">
        <is>
          <t>Yes</t>
        </is>
      </c>
      <c r="T73" s="27" t="n"/>
      <c r="U73" s="28" t="inlineStr">
        <is>
          <t>No</t>
        </is>
      </c>
      <c r="V73" s="29">
        <f>IF(N73="","",IF(Q73="Yes","❌ Disc",IF(P73="No","⚠ Missing",IF(S73="Yes","✓ OK","⚠ Check"))))</f>
        <v/>
      </c>
      <c r="W73" s="65" t="n">
        <v>46248</v>
      </c>
      <c r="X73" s="30" t="inlineStr">
        <is>
          <t>Sunil CR</t>
        </is>
      </c>
      <c r="Y73" s="30" t="inlineStr">
        <is>
          <t>Yes</t>
        </is>
      </c>
      <c r="Z73" s="30" t="n"/>
      <c r="AA73" s="30" t="inlineStr">
        <is>
          <t>Good finish</t>
        </is>
      </c>
      <c r="AB73" s="30" t="inlineStr">
        <is>
          <t>Yes</t>
        </is>
      </c>
      <c r="AC73" s="27" t="n"/>
      <c r="AD73" s="31" t="inlineStr">
        <is>
          <t>No</t>
        </is>
      </c>
      <c r="AE73" s="32">
        <f>IF(W73="","",IF(Z73="Yes","❌ Disc",IF(Y73="No","⚠ Missing",IF(AB73="Yes","✓ OK","⚠ Check"))))</f>
        <v/>
      </c>
      <c r="AF73" s="33" t="n"/>
      <c r="AG73" s="33" t="n"/>
      <c r="AH73" s="33" t="n"/>
      <c r="AI73" s="33" t="n"/>
      <c r="AJ73" s="33" t="n"/>
      <c r="AK73" s="33" t="n"/>
      <c r="AL73" s="27" t="n"/>
      <c r="AM73" s="34" t="n"/>
      <c r="AN73" s="35">
        <f>IF(AF73="","",IF(AI73="Yes","❌ Disc",IF(AH73="No","⚠ Missing",IF(AK73="Yes","✓ OK","⚠ Check"))))</f>
        <v/>
      </c>
      <c r="AO73" s="36" t="n"/>
      <c r="AP73" s="36" t="n"/>
      <c r="AQ73" s="36" t="n"/>
      <c r="AR73" s="36" t="n"/>
      <c r="AS73" s="36" t="n"/>
      <c r="AT73" s="36" t="n"/>
      <c r="AU73" s="27" t="n"/>
      <c r="AV73" s="37" t="n"/>
      <c r="AW73" s="38">
        <f>IF(AO73="","",IF(AR73="Yes","❌ Disc",IF(AQ73="No","⚠ Missing",IF(AT73="Yes","✓ OK","⚠ Check"))))</f>
        <v/>
      </c>
    </row>
    <row r="74" ht="18" customHeight="1" s="46">
      <c r="A74" s="39" t="n">
        <v>70</v>
      </c>
      <c r="B74" s="40" t="inlineStr">
        <is>
          <t>BD-VRM-2026-0369</t>
        </is>
      </c>
      <c r="C74" s="41" t="inlineStr">
        <is>
          <t>Excel  - Hot Spots  Wallpaper 36924-1</t>
        </is>
      </c>
      <c r="D74" s="39" t="inlineStr">
        <is>
          <t>Excel</t>
        </is>
      </c>
      <c r="E74" s="43" t="n">
        <v>46125</v>
      </c>
      <c r="F74" s="26" t="inlineStr">
        <is>
          <t>Sunil CR</t>
        </is>
      </c>
      <c r="G74" s="26" t="inlineStr">
        <is>
          <t>Yes</t>
        </is>
      </c>
      <c r="H74" s="26" t="inlineStr">
        <is>
          <t>No</t>
        </is>
      </c>
      <c r="I74" s="26" t="inlineStr">
        <is>
          <t>Good finish</t>
        </is>
      </c>
      <c r="J74" s="26" t="inlineStr">
        <is>
          <t>Yes</t>
        </is>
      </c>
      <c r="K74" s="27" t="n"/>
      <c r="L74" s="28" t="inlineStr">
        <is>
          <t>No</t>
        </is>
      </c>
      <c r="M74" s="29">
        <f>IF(E74="","",IF(H74="Yes","❌ Disc",IF(G74="No","⚠ Missing",IF(J74="Yes","✓ OK","⚠ Check"))))</f>
        <v/>
      </c>
      <c r="N74" s="43" t="n">
        <v>46193</v>
      </c>
      <c r="O74" s="26" t="inlineStr">
        <is>
          <t>Sunil CR</t>
        </is>
      </c>
      <c r="P74" s="26" t="inlineStr">
        <is>
          <t>Yes</t>
        </is>
      </c>
      <c r="Q74" s="26" t="inlineStr">
        <is>
          <t>No</t>
        </is>
      </c>
      <c r="R74" s="26" t="inlineStr">
        <is>
          <t>Good finish</t>
        </is>
      </c>
      <c r="S74" s="26" t="inlineStr">
        <is>
          <t>Yes</t>
        </is>
      </c>
      <c r="T74" s="27" t="n"/>
      <c r="U74" s="28" t="inlineStr">
        <is>
          <t>No</t>
        </is>
      </c>
      <c r="V74" s="29">
        <f>IF(N74="","",IF(Q74="Yes","❌ Disc",IF(P74="No","⚠ Missing",IF(S74="Yes","✓ OK","⚠ Check"))))</f>
        <v/>
      </c>
      <c r="W74" s="65" t="n">
        <v>46248</v>
      </c>
      <c r="X74" s="30" t="inlineStr">
        <is>
          <t>Sunil CR</t>
        </is>
      </c>
      <c r="Y74" s="30" t="inlineStr">
        <is>
          <t>Yes</t>
        </is>
      </c>
      <c r="Z74" s="30" t="n"/>
      <c r="AA74" s="30" t="inlineStr">
        <is>
          <t>Good finish</t>
        </is>
      </c>
      <c r="AB74" s="30" t="inlineStr">
        <is>
          <t>Yes</t>
        </is>
      </c>
      <c r="AC74" s="27" t="n"/>
      <c r="AD74" s="31" t="inlineStr">
        <is>
          <t>No</t>
        </is>
      </c>
      <c r="AE74" s="32">
        <f>IF(W74="","",IF(Z74="Yes","❌ Disc",IF(Y74="No","⚠ Missing",IF(AB74="Yes","✓ OK","⚠ Check"))))</f>
        <v/>
      </c>
      <c r="AF74" s="33" t="n"/>
      <c r="AG74" s="33" t="n"/>
      <c r="AH74" s="33" t="n"/>
      <c r="AI74" s="33" t="n"/>
      <c r="AJ74" s="33" t="n"/>
      <c r="AK74" s="33" t="n"/>
      <c r="AL74" s="27" t="n"/>
      <c r="AM74" s="34" t="n"/>
      <c r="AN74" s="35">
        <f>IF(AF74="","",IF(AI74="Yes","❌ Disc",IF(AH74="No","⚠ Missing",IF(AK74="Yes","✓ OK","⚠ Check"))))</f>
        <v/>
      </c>
      <c r="AO74" s="36" t="n"/>
      <c r="AP74" s="36" t="n"/>
      <c r="AQ74" s="36" t="n"/>
      <c r="AR74" s="36" t="n"/>
      <c r="AS74" s="36" t="n"/>
      <c r="AT74" s="36" t="n"/>
      <c r="AU74" s="27" t="n"/>
      <c r="AV74" s="37" t="n"/>
      <c r="AW74" s="38">
        <f>IF(AO74="","",IF(AR74="Yes","❌ Disc",IF(AQ74="No","⚠ Missing",IF(AT74="Yes","✓ OK","⚠ Check"))))</f>
        <v/>
      </c>
    </row>
    <row r="75" ht="18" customHeight="1" s="46">
      <c r="A75" s="23" t="n">
        <v>71</v>
      </c>
      <c r="B75" s="24" t="inlineStr">
        <is>
          <t>BD-VRM-2026-0370</t>
        </is>
      </c>
      <c r="C75" s="25" t="inlineStr">
        <is>
          <t>Excel  - Hot Spots  Wallpaper 36924-2</t>
        </is>
      </c>
      <c r="D75" s="23" t="inlineStr">
        <is>
          <t>Excel</t>
        </is>
      </c>
      <c r="E75" s="43" t="n">
        <v>46125</v>
      </c>
      <c r="F75" s="26" t="inlineStr">
        <is>
          <t>Sunil CR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Good finish</t>
        </is>
      </c>
      <c r="J75" s="26" t="inlineStr">
        <is>
          <t>Yes</t>
        </is>
      </c>
      <c r="K75" s="27" t="n"/>
      <c r="L75" s="28" t="inlineStr">
        <is>
          <t>No</t>
        </is>
      </c>
      <c r="M75" s="29">
        <f>IF(E75="","",IF(H75="Yes","❌ Disc",IF(G75="No","⚠ Missing",IF(J75="Yes","✓ OK","⚠ Check"))))</f>
        <v/>
      </c>
      <c r="N75" s="43" t="n">
        <v>46193</v>
      </c>
      <c r="O75" s="26" t="inlineStr">
        <is>
          <t>Sunil CR</t>
        </is>
      </c>
      <c r="P75" s="26" t="inlineStr">
        <is>
          <t>Yes</t>
        </is>
      </c>
      <c r="Q75" s="26" t="inlineStr">
        <is>
          <t>No</t>
        </is>
      </c>
      <c r="R75" s="26" t="inlineStr">
        <is>
          <t>Good finish</t>
        </is>
      </c>
      <c r="S75" s="26" t="inlineStr">
        <is>
          <t>Yes</t>
        </is>
      </c>
      <c r="T75" s="27" t="n"/>
      <c r="U75" s="28" t="inlineStr">
        <is>
          <t>No</t>
        </is>
      </c>
      <c r="V75" s="29">
        <f>IF(N75="","",IF(Q75="Yes","❌ Disc",IF(P75="No","⚠ Missing",IF(S75="Yes","✓ OK","⚠ Check"))))</f>
        <v/>
      </c>
      <c r="W75" s="65" t="n">
        <v>46248</v>
      </c>
      <c r="X75" s="30" t="inlineStr">
        <is>
          <t>Sunil CR</t>
        </is>
      </c>
      <c r="Y75" s="30" t="inlineStr">
        <is>
          <t>Yes</t>
        </is>
      </c>
      <c r="Z75" s="30" t="n"/>
      <c r="AA75" s="30" t="inlineStr">
        <is>
          <t>Good finish</t>
        </is>
      </c>
      <c r="AB75" s="30" t="inlineStr">
        <is>
          <t>Yes</t>
        </is>
      </c>
      <c r="AC75" s="27" t="n"/>
      <c r="AD75" s="31" t="inlineStr">
        <is>
          <t>No</t>
        </is>
      </c>
      <c r="AE75" s="32">
        <f>IF(W75="","",IF(Z75="Yes","❌ Disc",IF(Y75="No","⚠ Missing",IF(AB75="Yes","✓ OK","⚠ Check"))))</f>
        <v/>
      </c>
      <c r="AF75" s="33" t="n"/>
      <c r="AG75" s="33" t="n"/>
      <c r="AH75" s="33" t="n"/>
      <c r="AI75" s="33" t="n"/>
      <c r="AJ75" s="33" t="n"/>
      <c r="AK75" s="33" t="n"/>
      <c r="AL75" s="27" t="n"/>
      <c r="AM75" s="34" t="n"/>
      <c r="AN75" s="35">
        <f>IF(AF75="","",IF(AI75="Yes","❌ Disc",IF(AH75="No","⚠ Missing",IF(AK75="Yes","✓ OK","⚠ Check"))))</f>
        <v/>
      </c>
      <c r="AO75" s="36" t="n"/>
      <c r="AP75" s="36" t="n"/>
      <c r="AQ75" s="36" t="n"/>
      <c r="AR75" s="36" t="n"/>
      <c r="AS75" s="36" t="n"/>
      <c r="AT75" s="36" t="n"/>
      <c r="AU75" s="27" t="n"/>
      <c r="AV75" s="37" t="n"/>
      <c r="AW75" s="38">
        <f>IF(AO75="","",IF(AR75="Yes","❌ Disc",IF(AQ75="No","⚠ Missing",IF(AT75="Yes","✓ OK","⚠ Check"))))</f>
        <v/>
      </c>
    </row>
    <row r="76" ht="18" customHeight="1" s="46">
      <c r="A76" s="39" t="n">
        <v>72</v>
      </c>
      <c r="B76" s="40" t="inlineStr">
        <is>
          <t>BD-VRM-2026-0371</t>
        </is>
      </c>
      <c r="C76" s="41" t="inlineStr">
        <is>
          <t>Excel  - Hot Spots  Wallpaper 36924-3</t>
        </is>
      </c>
      <c r="D76" s="39" t="inlineStr">
        <is>
          <t>Excel</t>
        </is>
      </c>
      <c r="E76" s="43" t="n">
        <v>46125</v>
      </c>
      <c r="F76" s="26" t="inlineStr">
        <is>
          <t>Sunil CR</t>
        </is>
      </c>
      <c r="G76" s="26" t="inlineStr">
        <is>
          <t>Yes</t>
        </is>
      </c>
      <c r="H76" s="26" t="inlineStr">
        <is>
          <t>No</t>
        </is>
      </c>
      <c r="I76" s="26" t="inlineStr">
        <is>
          <t>Good finish</t>
        </is>
      </c>
      <c r="J76" s="26" t="inlineStr">
        <is>
          <t>Yes</t>
        </is>
      </c>
      <c r="K76" s="27" t="n"/>
      <c r="L76" s="28" t="inlineStr">
        <is>
          <t>No</t>
        </is>
      </c>
      <c r="M76" s="29">
        <f>IF(E76="","",IF(H76="Yes","❌ Disc",IF(G76="No","⚠ Missing",IF(J76="Yes","✓ OK","⚠ Check"))))</f>
        <v/>
      </c>
      <c r="N76" s="43" t="n">
        <v>46193</v>
      </c>
      <c r="O76" s="26" t="inlineStr">
        <is>
          <t>Sunil CR</t>
        </is>
      </c>
      <c r="P76" s="26" t="inlineStr">
        <is>
          <t>Yes</t>
        </is>
      </c>
      <c r="Q76" s="26" t="inlineStr">
        <is>
          <t>No</t>
        </is>
      </c>
      <c r="R76" s="26" t="inlineStr">
        <is>
          <t>Good finish</t>
        </is>
      </c>
      <c r="S76" s="26" t="inlineStr">
        <is>
          <t>Yes</t>
        </is>
      </c>
      <c r="T76" s="27" t="n"/>
      <c r="U76" s="28" t="inlineStr">
        <is>
          <t>No</t>
        </is>
      </c>
      <c r="V76" s="29">
        <f>IF(N76="","",IF(Q76="Yes","❌ Disc",IF(P76="No","⚠ Missing",IF(S76="Yes","✓ OK","⚠ Check"))))</f>
        <v/>
      </c>
      <c r="W76" s="65" t="n">
        <v>46248</v>
      </c>
      <c r="X76" s="30" t="inlineStr">
        <is>
          <t>Sunil CR</t>
        </is>
      </c>
      <c r="Y76" s="30" t="inlineStr">
        <is>
          <t>Yes</t>
        </is>
      </c>
      <c r="Z76" s="30" t="n"/>
      <c r="AA76" s="30" t="inlineStr">
        <is>
          <t>Good finish</t>
        </is>
      </c>
      <c r="AB76" s="30" t="inlineStr">
        <is>
          <t>Yes</t>
        </is>
      </c>
      <c r="AC76" s="27" t="n"/>
      <c r="AD76" s="31" t="inlineStr">
        <is>
          <t>No</t>
        </is>
      </c>
      <c r="AE76" s="32">
        <f>IF(W76="","",IF(Z76="Yes","❌ Disc",IF(Y76="No","⚠ Missing",IF(AB76="Yes","✓ OK","⚠ Check"))))</f>
        <v/>
      </c>
      <c r="AF76" s="33" t="n"/>
      <c r="AG76" s="33" t="n"/>
      <c r="AH76" s="33" t="n"/>
      <c r="AI76" s="33" t="n"/>
      <c r="AJ76" s="33" t="n"/>
      <c r="AK76" s="33" t="n"/>
      <c r="AL76" s="27" t="n"/>
      <c r="AM76" s="34" t="n"/>
      <c r="AN76" s="35">
        <f>IF(AF76="","",IF(AI76="Yes","❌ Disc",IF(AH76="No","⚠ Missing",IF(AK76="Yes","✓ OK","⚠ Check"))))</f>
        <v/>
      </c>
      <c r="AO76" s="36" t="n"/>
      <c r="AP76" s="36" t="n"/>
      <c r="AQ76" s="36" t="n"/>
      <c r="AR76" s="36" t="n"/>
      <c r="AS76" s="36" t="n"/>
      <c r="AT76" s="36" t="n"/>
      <c r="AU76" s="27" t="n"/>
      <c r="AV76" s="37" t="n"/>
      <c r="AW76" s="38">
        <f>IF(AO76="","",IF(AR76="Yes","❌ Disc",IF(AQ76="No","⚠ Missing",IF(AT76="Yes","✓ OK","⚠ Check"))))</f>
        <v/>
      </c>
    </row>
    <row r="77" ht="18" customHeight="1" s="46">
      <c r="A77" s="23" t="n">
        <v>73</v>
      </c>
      <c r="B77" s="24" t="inlineStr">
        <is>
          <t>BD-VRM-2026-0372</t>
        </is>
      </c>
      <c r="C77" s="25" t="inlineStr">
        <is>
          <t>Excel  - Hot Spots  Wallpaper 36924-4</t>
        </is>
      </c>
      <c r="D77" s="23" t="inlineStr">
        <is>
          <t>Excel</t>
        </is>
      </c>
      <c r="E77" s="43" t="n">
        <v>46125</v>
      </c>
      <c r="F77" s="26" t="inlineStr">
        <is>
          <t>Sunil CR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Good finish</t>
        </is>
      </c>
      <c r="J77" s="26" t="inlineStr">
        <is>
          <t>Yes</t>
        </is>
      </c>
      <c r="K77" s="27" t="n"/>
      <c r="L77" s="28" t="inlineStr">
        <is>
          <t>No</t>
        </is>
      </c>
      <c r="M77" s="29">
        <f>IF(E77="","",IF(H77="Yes","❌ Disc",IF(G77="No","⚠ Missing",IF(J77="Yes","✓ OK","⚠ Check"))))</f>
        <v/>
      </c>
      <c r="N77" s="43" t="n">
        <v>46193</v>
      </c>
      <c r="O77" s="26" t="inlineStr">
        <is>
          <t>Sunil CR</t>
        </is>
      </c>
      <c r="P77" s="26" t="inlineStr">
        <is>
          <t>Yes</t>
        </is>
      </c>
      <c r="Q77" s="26" t="inlineStr">
        <is>
          <t>No</t>
        </is>
      </c>
      <c r="R77" s="26" t="inlineStr">
        <is>
          <t>Good finish</t>
        </is>
      </c>
      <c r="S77" s="26" t="inlineStr">
        <is>
          <t>Yes</t>
        </is>
      </c>
      <c r="T77" s="27" t="n"/>
      <c r="U77" s="28" t="inlineStr">
        <is>
          <t>No</t>
        </is>
      </c>
      <c r="V77" s="29">
        <f>IF(N77="","",IF(Q77="Yes","❌ Disc",IF(P77="No","⚠ Missing",IF(S77="Yes","✓ OK","⚠ Check"))))</f>
        <v/>
      </c>
      <c r="W77" s="65" t="n">
        <v>46248</v>
      </c>
      <c r="X77" s="30" t="inlineStr">
        <is>
          <t>Sunil CR</t>
        </is>
      </c>
      <c r="Y77" s="30" t="inlineStr">
        <is>
          <t>Yes</t>
        </is>
      </c>
      <c r="Z77" s="30" t="n"/>
      <c r="AA77" s="30" t="inlineStr">
        <is>
          <t>Good finish</t>
        </is>
      </c>
      <c r="AB77" s="30" t="inlineStr">
        <is>
          <t>Yes</t>
        </is>
      </c>
      <c r="AC77" s="27" t="n"/>
      <c r="AD77" s="31" t="inlineStr">
        <is>
          <t>No</t>
        </is>
      </c>
      <c r="AE77" s="32">
        <f>IF(W77="","",IF(Z77="Yes","❌ Disc",IF(Y77="No","⚠ Missing",IF(AB77="Yes","✓ OK","⚠ Check"))))</f>
        <v/>
      </c>
      <c r="AF77" s="33" t="n"/>
      <c r="AG77" s="33" t="n"/>
      <c r="AH77" s="33" t="n"/>
      <c r="AI77" s="33" t="n"/>
      <c r="AJ77" s="33" t="n"/>
      <c r="AK77" s="33" t="n"/>
      <c r="AL77" s="27" t="n"/>
      <c r="AM77" s="34" t="n"/>
      <c r="AN77" s="35">
        <f>IF(AF77="","",IF(AI77="Yes","❌ Disc",IF(AH77="No","⚠ Missing",IF(AK77="Yes","✓ OK","⚠ Check"))))</f>
        <v/>
      </c>
      <c r="AO77" s="36" t="n"/>
      <c r="AP77" s="36" t="n"/>
      <c r="AQ77" s="36" t="n"/>
      <c r="AR77" s="36" t="n"/>
      <c r="AS77" s="36" t="n"/>
      <c r="AT77" s="36" t="n"/>
      <c r="AU77" s="27" t="n"/>
      <c r="AV77" s="37" t="n"/>
      <c r="AW77" s="38">
        <f>IF(AO77="","",IF(AR77="Yes","❌ Disc",IF(AQ77="No","⚠ Missing",IF(AT77="Yes","✓ OK","⚠ Check"))))</f>
        <v/>
      </c>
    </row>
    <row r="78" ht="18" customHeight="1" s="46">
      <c r="A78" s="39" t="n">
        <v>74</v>
      </c>
      <c r="B78" s="40" t="inlineStr">
        <is>
          <t>BD-VRM-2026-0373</t>
        </is>
      </c>
      <c r="C78" s="41" t="inlineStr">
        <is>
          <t>Excel  - Hot Spots  Wallpaper 36924-5</t>
        </is>
      </c>
      <c r="D78" s="39" t="inlineStr">
        <is>
          <t>Excel</t>
        </is>
      </c>
      <c r="E78" s="43" t="n">
        <v>46125</v>
      </c>
      <c r="F78" s="26" t="inlineStr">
        <is>
          <t>Sunil CR</t>
        </is>
      </c>
      <c r="G78" s="26" t="inlineStr">
        <is>
          <t>Yes</t>
        </is>
      </c>
      <c r="H78" s="26" t="inlineStr">
        <is>
          <t>No</t>
        </is>
      </c>
      <c r="I78" s="26" t="inlineStr">
        <is>
          <t>Good finish</t>
        </is>
      </c>
      <c r="J78" s="26" t="inlineStr">
        <is>
          <t>Yes</t>
        </is>
      </c>
      <c r="K78" s="27" t="n"/>
      <c r="L78" s="28" t="inlineStr">
        <is>
          <t>No</t>
        </is>
      </c>
      <c r="M78" s="29">
        <f>IF(E78="","",IF(H78="Yes","❌ Disc",IF(G78="No","⚠ Missing",IF(J78="Yes","✓ OK","⚠ Check"))))</f>
        <v/>
      </c>
      <c r="N78" s="43" t="n">
        <v>46193</v>
      </c>
      <c r="O78" s="26" t="inlineStr">
        <is>
          <t>Sunil CR</t>
        </is>
      </c>
      <c r="P78" s="26" t="inlineStr">
        <is>
          <t>Yes</t>
        </is>
      </c>
      <c r="Q78" s="26" t="inlineStr">
        <is>
          <t>No</t>
        </is>
      </c>
      <c r="R78" s="26" t="inlineStr">
        <is>
          <t>Good finish</t>
        </is>
      </c>
      <c r="S78" s="26" t="inlineStr">
        <is>
          <t>Yes</t>
        </is>
      </c>
      <c r="T78" s="27" t="n"/>
      <c r="U78" s="28" t="inlineStr">
        <is>
          <t>No</t>
        </is>
      </c>
      <c r="V78" s="29">
        <f>IF(N78="","",IF(Q78="Yes","❌ Disc",IF(P78="No","⚠ Missing",IF(S78="Yes","✓ OK","⚠ Check"))))</f>
        <v/>
      </c>
      <c r="W78" s="65" t="n">
        <v>46248</v>
      </c>
      <c r="X78" s="30" t="inlineStr">
        <is>
          <t>Sunil CR</t>
        </is>
      </c>
      <c r="Y78" s="30" t="inlineStr">
        <is>
          <t>Yes</t>
        </is>
      </c>
      <c r="Z78" s="30" t="n"/>
      <c r="AA78" s="30" t="inlineStr">
        <is>
          <t>Good finish</t>
        </is>
      </c>
      <c r="AB78" s="30" t="inlineStr">
        <is>
          <t>Yes</t>
        </is>
      </c>
      <c r="AC78" s="27" t="n"/>
      <c r="AD78" s="31" t="inlineStr">
        <is>
          <t>No</t>
        </is>
      </c>
      <c r="AE78" s="32">
        <f>IF(W78="","",IF(Z78="Yes","❌ Disc",IF(Y78="No","⚠ Missing",IF(AB78="Yes","✓ OK","⚠ Check"))))</f>
        <v/>
      </c>
      <c r="AF78" s="33" t="n"/>
      <c r="AG78" s="33" t="n"/>
      <c r="AH78" s="33" t="n"/>
      <c r="AI78" s="33" t="n"/>
      <c r="AJ78" s="33" t="n"/>
      <c r="AK78" s="33" t="n"/>
      <c r="AL78" s="27" t="n"/>
      <c r="AM78" s="34" t="n"/>
      <c r="AN78" s="35">
        <f>IF(AF78="","",IF(AI78="Yes","❌ Disc",IF(AH78="No","⚠ Missing",IF(AK78="Yes","✓ OK","⚠ Check"))))</f>
        <v/>
      </c>
      <c r="AO78" s="36" t="n"/>
      <c r="AP78" s="36" t="n"/>
      <c r="AQ78" s="36" t="n"/>
      <c r="AR78" s="36" t="n"/>
      <c r="AS78" s="36" t="n"/>
      <c r="AT78" s="36" t="n"/>
      <c r="AU78" s="27" t="n"/>
      <c r="AV78" s="37" t="n"/>
      <c r="AW78" s="38">
        <f>IF(AO78="","",IF(AR78="Yes","❌ Disc",IF(AQ78="No","⚠ Missing",IF(AT78="Yes","✓ OK","⚠ Check"))))</f>
        <v/>
      </c>
    </row>
    <row r="79" ht="18" customHeight="1" s="46">
      <c r="A79" s="23" t="n">
        <v>75</v>
      </c>
      <c r="B79" s="24" t="inlineStr">
        <is>
          <t>BD-VRM-2026-0374</t>
        </is>
      </c>
      <c r="C79" s="25" t="inlineStr">
        <is>
          <t>Excel  - Hot Spots  Wallpaper 36924-6</t>
        </is>
      </c>
      <c r="D79" s="23" t="inlineStr">
        <is>
          <t>Excel</t>
        </is>
      </c>
      <c r="E79" s="43" t="n">
        <v>46125</v>
      </c>
      <c r="F79" s="26" t="inlineStr">
        <is>
          <t>Sunil CR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Good finish</t>
        </is>
      </c>
      <c r="J79" s="26" t="inlineStr">
        <is>
          <t>Yes</t>
        </is>
      </c>
      <c r="K79" s="27" t="n"/>
      <c r="L79" s="28" t="inlineStr">
        <is>
          <t>No</t>
        </is>
      </c>
      <c r="M79" s="29">
        <f>IF(E79="","",IF(H79="Yes","❌ Disc",IF(G79="No","⚠ Missing",IF(J79="Yes","✓ OK","⚠ Check"))))</f>
        <v/>
      </c>
      <c r="N79" s="43" t="n">
        <v>46193</v>
      </c>
      <c r="O79" s="26" t="inlineStr">
        <is>
          <t>Sunil CR</t>
        </is>
      </c>
      <c r="P79" s="26" t="inlineStr">
        <is>
          <t>Yes</t>
        </is>
      </c>
      <c r="Q79" s="26" t="inlineStr">
        <is>
          <t>No</t>
        </is>
      </c>
      <c r="R79" s="26" t="inlineStr">
        <is>
          <t>Good finish</t>
        </is>
      </c>
      <c r="S79" s="26" t="inlineStr">
        <is>
          <t>Yes</t>
        </is>
      </c>
      <c r="T79" s="27" t="n"/>
      <c r="U79" s="28" t="inlineStr">
        <is>
          <t>No</t>
        </is>
      </c>
      <c r="V79" s="29">
        <f>IF(N79="","",IF(Q79="Yes","❌ Disc",IF(P79="No","⚠ Missing",IF(S79="Yes","✓ OK","⚠ Check"))))</f>
        <v/>
      </c>
      <c r="W79" s="65" t="n">
        <v>46248</v>
      </c>
      <c r="X79" s="30" t="inlineStr">
        <is>
          <t>Sunil CR</t>
        </is>
      </c>
      <c r="Y79" s="30" t="inlineStr">
        <is>
          <t>Yes</t>
        </is>
      </c>
      <c r="Z79" s="30" t="n"/>
      <c r="AA79" s="30" t="inlineStr">
        <is>
          <t>Good finish</t>
        </is>
      </c>
      <c r="AB79" s="30" t="inlineStr">
        <is>
          <t>Yes</t>
        </is>
      </c>
      <c r="AC79" s="27" t="n"/>
      <c r="AD79" s="31" t="inlineStr">
        <is>
          <t>No</t>
        </is>
      </c>
      <c r="AE79" s="32">
        <f>IF(W79="","",IF(Z79="Yes","❌ Disc",IF(Y79="No","⚠ Missing",IF(AB79="Yes","✓ OK","⚠ Check"))))</f>
        <v/>
      </c>
      <c r="AF79" s="33" t="n"/>
      <c r="AG79" s="33" t="n"/>
      <c r="AH79" s="33" t="n"/>
      <c r="AI79" s="33" t="n"/>
      <c r="AJ79" s="33" t="n"/>
      <c r="AK79" s="33" t="n"/>
      <c r="AL79" s="27" t="n"/>
      <c r="AM79" s="34" t="n"/>
      <c r="AN79" s="35">
        <f>IF(AF79="","",IF(AI79="Yes","❌ Disc",IF(AH79="No","⚠ Missing",IF(AK79="Yes","✓ OK","⚠ Check"))))</f>
        <v/>
      </c>
      <c r="AO79" s="36" t="n"/>
      <c r="AP79" s="36" t="n"/>
      <c r="AQ79" s="36" t="n"/>
      <c r="AR79" s="36" t="n"/>
      <c r="AS79" s="36" t="n"/>
      <c r="AT79" s="36" t="n"/>
      <c r="AU79" s="27" t="n"/>
      <c r="AV79" s="37" t="n"/>
      <c r="AW79" s="38">
        <f>IF(AO79="","",IF(AR79="Yes","❌ Disc",IF(AQ79="No","⚠ Missing",IF(AT79="Yes","✓ OK","⚠ Check"))))</f>
        <v/>
      </c>
    </row>
    <row r="80" ht="18" customHeight="1" s="46">
      <c r="A80" s="39" t="n">
        <v>76</v>
      </c>
      <c r="B80" s="40" t="inlineStr">
        <is>
          <t>BD-VRM-2026-0375</t>
        </is>
      </c>
      <c r="C80" s="41" t="inlineStr">
        <is>
          <t>Excel  - Hot Spots  Wallpaper 36924-7</t>
        </is>
      </c>
      <c r="D80" s="39" t="inlineStr">
        <is>
          <t>Excel</t>
        </is>
      </c>
      <c r="E80" s="43" t="n">
        <v>46125</v>
      </c>
      <c r="F80" s="26" t="inlineStr">
        <is>
          <t>Sunil CR</t>
        </is>
      </c>
      <c r="G80" s="26" t="inlineStr">
        <is>
          <t>Yes</t>
        </is>
      </c>
      <c r="H80" s="26" t="inlineStr">
        <is>
          <t>No</t>
        </is>
      </c>
      <c r="I80" s="26" t="inlineStr">
        <is>
          <t>Good finish</t>
        </is>
      </c>
      <c r="J80" s="26" t="inlineStr">
        <is>
          <t>Yes</t>
        </is>
      </c>
      <c r="K80" s="27" t="n"/>
      <c r="L80" s="28" t="inlineStr">
        <is>
          <t>No</t>
        </is>
      </c>
      <c r="M80" s="29">
        <f>IF(E80="","",IF(H80="Yes","❌ Disc",IF(G80="No","⚠ Missing",IF(J80="Yes","✓ OK","⚠ Check"))))</f>
        <v/>
      </c>
      <c r="N80" s="43" t="n">
        <v>46193</v>
      </c>
      <c r="O80" s="26" t="inlineStr">
        <is>
          <t>Sunil CR</t>
        </is>
      </c>
      <c r="P80" s="26" t="inlineStr">
        <is>
          <t>Yes</t>
        </is>
      </c>
      <c r="Q80" s="26" t="inlineStr">
        <is>
          <t>No</t>
        </is>
      </c>
      <c r="R80" s="26" t="inlineStr">
        <is>
          <t>Good finish</t>
        </is>
      </c>
      <c r="S80" s="26" t="inlineStr">
        <is>
          <t>Yes</t>
        </is>
      </c>
      <c r="T80" s="27" t="n"/>
      <c r="U80" s="28" t="inlineStr">
        <is>
          <t>No</t>
        </is>
      </c>
      <c r="V80" s="29">
        <f>IF(N80="","",IF(Q80="Yes","❌ Disc",IF(P80="No","⚠ Missing",IF(S80="Yes","✓ OK","⚠ Check"))))</f>
        <v/>
      </c>
      <c r="W80" s="65" t="n">
        <v>46248</v>
      </c>
      <c r="X80" s="30" t="inlineStr">
        <is>
          <t>Sunil CR</t>
        </is>
      </c>
      <c r="Y80" s="30" t="inlineStr">
        <is>
          <t>Yes</t>
        </is>
      </c>
      <c r="Z80" s="30" t="n"/>
      <c r="AA80" s="30" t="inlineStr">
        <is>
          <t>Good finish</t>
        </is>
      </c>
      <c r="AB80" s="30" t="inlineStr">
        <is>
          <t>Yes</t>
        </is>
      </c>
      <c r="AC80" s="27" t="n"/>
      <c r="AD80" s="31" t="inlineStr">
        <is>
          <t>No</t>
        </is>
      </c>
      <c r="AE80" s="32">
        <f>IF(W80="","",IF(Z80="Yes","❌ Disc",IF(Y80="No","⚠ Missing",IF(AB80="Yes","✓ OK","⚠ Check"))))</f>
        <v/>
      </c>
      <c r="AF80" s="33" t="n"/>
      <c r="AG80" s="33" t="n"/>
      <c r="AH80" s="33" t="n"/>
      <c r="AI80" s="33" t="n"/>
      <c r="AJ80" s="33" t="n"/>
      <c r="AK80" s="33" t="n"/>
      <c r="AL80" s="27" t="n"/>
      <c r="AM80" s="34" t="n"/>
      <c r="AN80" s="35">
        <f>IF(AF80="","",IF(AI80="Yes","❌ Disc",IF(AH80="No","⚠ Missing",IF(AK80="Yes","✓ OK","⚠ Check"))))</f>
        <v/>
      </c>
      <c r="AO80" s="36" t="n"/>
      <c r="AP80" s="36" t="n"/>
      <c r="AQ80" s="36" t="n"/>
      <c r="AR80" s="36" t="n"/>
      <c r="AS80" s="36" t="n"/>
      <c r="AT80" s="36" t="n"/>
      <c r="AU80" s="27" t="n"/>
      <c r="AV80" s="37" t="n"/>
      <c r="AW80" s="38">
        <f>IF(AO80="","",IF(AR80="Yes","❌ Disc",IF(AQ80="No","⚠ Missing",IF(AT80="Yes","✓ OK","⚠ Check"))))</f>
        <v/>
      </c>
    </row>
    <row r="81" ht="18" customHeight="1" s="46">
      <c r="A81" s="23" t="n">
        <v>77</v>
      </c>
      <c r="B81" s="24" t="inlineStr">
        <is>
          <t>BD-VRM-2026-0376</t>
        </is>
      </c>
      <c r="C81" s="25" t="inlineStr">
        <is>
          <t>Excel  - Hot Spots  Wallpaper 36924-8</t>
        </is>
      </c>
      <c r="D81" s="23" t="inlineStr">
        <is>
          <t>Excel</t>
        </is>
      </c>
      <c r="E81" s="43" t="n">
        <v>46125</v>
      </c>
      <c r="F81" s="26" t="inlineStr">
        <is>
          <t>Sunil CR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Good finish</t>
        </is>
      </c>
      <c r="J81" s="26" t="inlineStr">
        <is>
          <t>Yes</t>
        </is>
      </c>
      <c r="K81" s="27" t="n"/>
      <c r="L81" s="28" t="inlineStr">
        <is>
          <t>No</t>
        </is>
      </c>
      <c r="M81" s="29">
        <f>IF(E81="","",IF(H81="Yes","❌ Disc",IF(G81="No","⚠ Missing",IF(J81="Yes","✓ OK","⚠ Check"))))</f>
        <v/>
      </c>
      <c r="N81" s="43" t="n">
        <v>46193</v>
      </c>
      <c r="O81" s="26" t="inlineStr">
        <is>
          <t>Sunil CR</t>
        </is>
      </c>
      <c r="P81" s="26" t="inlineStr">
        <is>
          <t>Yes</t>
        </is>
      </c>
      <c r="Q81" s="26" t="inlineStr">
        <is>
          <t>No</t>
        </is>
      </c>
      <c r="R81" s="26" t="inlineStr">
        <is>
          <t>Good finish</t>
        </is>
      </c>
      <c r="S81" s="26" t="inlineStr">
        <is>
          <t>Yes</t>
        </is>
      </c>
      <c r="T81" s="27" t="n"/>
      <c r="U81" s="28" t="inlineStr">
        <is>
          <t>No</t>
        </is>
      </c>
      <c r="V81" s="29">
        <f>IF(N81="","",IF(Q81="Yes","❌ Disc",IF(P81="No","⚠ Missing",IF(S81="Yes","✓ OK","⚠ Check"))))</f>
        <v/>
      </c>
      <c r="W81" s="65" t="n">
        <v>46248</v>
      </c>
      <c r="X81" s="30" t="inlineStr">
        <is>
          <t>Sunil CR</t>
        </is>
      </c>
      <c r="Y81" s="30" t="inlineStr">
        <is>
          <t>Yes</t>
        </is>
      </c>
      <c r="Z81" s="30" t="n"/>
      <c r="AA81" s="30" t="inlineStr">
        <is>
          <t>Good finish</t>
        </is>
      </c>
      <c r="AB81" s="30" t="inlineStr">
        <is>
          <t>Yes</t>
        </is>
      </c>
      <c r="AC81" s="27" t="n"/>
      <c r="AD81" s="31" t="inlineStr">
        <is>
          <t>No</t>
        </is>
      </c>
      <c r="AE81" s="32">
        <f>IF(W81="","",IF(Z81="Yes","❌ Disc",IF(Y81="No","⚠ Missing",IF(AB81="Yes","✓ OK","⚠ Check"))))</f>
        <v/>
      </c>
      <c r="AF81" s="33" t="n"/>
      <c r="AG81" s="33" t="n"/>
      <c r="AH81" s="33" t="n"/>
      <c r="AI81" s="33" t="n"/>
      <c r="AJ81" s="33" t="n"/>
      <c r="AK81" s="33" t="n"/>
      <c r="AL81" s="27" t="n"/>
      <c r="AM81" s="34" t="n"/>
      <c r="AN81" s="35">
        <f>IF(AF81="","",IF(AI81="Yes","❌ Disc",IF(AH81="No","⚠ Missing",IF(AK81="Yes","✓ OK","⚠ Check"))))</f>
        <v/>
      </c>
      <c r="AO81" s="36" t="n"/>
      <c r="AP81" s="36" t="n"/>
      <c r="AQ81" s="36" t="n"/>
      <c r="AR81" s="36" t="n"/>
      <c r="AS81" s="36" t="n"/>
      <c r="AT81" s="36" t="n"/>
      <c r="AU81" s="27" t="n"/>
      <c r="AV81" s="37" t="n"/>
      <c r="AW81" s="38">
        <f>IF(AO81="","",IF(AR81="Yes","❌ Disc",IF(AQ81="No","⚠ Missing",IF(AT81="Yes","✓ OK","⚠ Check"))))</f>
        <v/>
      </c>
    </row>
    <row r="82" ht="18" customHeight="1" s="46">
      <c r="A82" s="39" t="n">
        <v>78</v>
      </c>
      <c r="B82" s="40" t="inlineStr">
        <is>
          <t>BD-VRM-2026-0377</t>
        </is>
      </c>
      <c r="C82" s="41" t="inlineStr">
        <is>
          <t>Excel  - Hot Spots  Wallpaper 36924-9</t>
        </is>
      </c>
      <c r="D82" s="39" t="inlineStr">
        <is>
          <t>Excel</t>
        </is>
      </c>
      <c r="E82" s="43" t="n">
        <v>46125</v>
      </c>
      <c r="F82" s="26" t="inlineStr">
        <is>
          <t>Sunil CR</t>
        </is>
      </c>
      <c r="G82" s="26" t="inlineStr">
        <is>
          <t>Yes</t>
        </is>
      </c>
      <c r="H82" s="26" t="inlineStr">
        <is>
          <t>No</t>
        </is>
      </c>
      <c r="I82" s="26" t="inlineStr">
        <is>
          <t>Good finish</t>
        </is>
      </c>
      <c r="J82" s="26" t="inlineStr">
        <is>
          <t>Yes</t>
        </is>
      </c>
      <c r="K82" s="27" t="n"/>
      <c r="L82" s="28" t="inlineStr">
        <is>
          <t>No</t>
        </is>
      </c>
      <c r="M82" s="29">
        <f>IF(E82="","",IF(H82="Yes","❌ Disc",IF(G82="No","⚠ Missing",IF(J82="Yes","✓ OK","⚠ Check"))))</f>
        <v/>
      </c>
      <c r="N82" s="43" t="n">
        <v>46193</v>
      </c>
      <c r="O82" s="26" t="inlineStr">
        <is>
          <t>Sunil CR</t>
        </is>
      </c>
      <c r="P82" s="26" t="inlineStr">
        <is>
          <t>Yes</t>
        </is>
      </c>
      <c r="Q82" s="26" t="inlineStr">
        <is>
          <t>No</t>
        </is>
      </c>
      <c r="R82" s="26" t="inlineStr">
        <is>
          <t>Good finish</t>
        </is>
      </c>
      <c r="S82" s="26" t="inlineStr">
        <is>
          <t>Yes</t>
        </is>
      </c>
      <c r="T82" s="27" t="n"/>
      <c r="U82" s="28" t="inlineStr">
        <is>
          <t>No</t>
        </is>
      </c>
      <c r="V82" s="29">
        <f>IF(N82="","",IF(Q82="Yes","❌ Disc",IF(P82="No","⚠ Missing",IF(S82="Yes","✓ OK","⚠ Check"))))</f>
        <v/>
      </c>
      <c r="W82" s="65" t="n">
        <v>46248</v>
      </c>
      <c r="X82" s="30" t="inlineStr">
        <is>
          <t>Sunil CR</t>
        </is>
      </c>
      <c r="Y82" s="30" t="inlineStr">
        <is>
          <t>Yes</t>
        </is>
      </c>
      <c r="Z82" s="30" t="n"/>
      <c r="AA82" s="30" t="inlineStr">
        <is>
          <t>Good finish</t>
        </is>
      </c>
      <c r="AB82" s="30" t="inlineStr">
        <is>
          <t>Yes</t>
        </is>
      </c>
      <c r="AC82" s="27" t="n"/>
      <c r="AD82" s="31" t="inlineStr">
        <is>
          <t>No</t>
        </is>
      </c>
      <c r="AE82" s="32">
        <f>IF(W82="","",IF(Z82="Yes","❌ Disc",IF(Y82="No","⚠ Missing",IF(AB82="Yes","✓ OK","⚠ Check"))))</f>
        <v/>
      </c>
      <c r="AF82" s="33" t="n"/>
      <c r="AG82" s="33" t="n"/>
      <c r="AH82" s="33" t="n"/>
      <c r="AI82" s="33" t="n"/>
      <c r="AJ82" s="33" t="n"/>
      <c r="AK82" s="33" t="n"/>
      <c r="AL82" s="27" t="n"/>
      <c r="AM82" s="34" t="n"/>
      <c r="AN82" s="35">
        <f>IF(AF82="","",IF(AI82="Yes","❌ Disc",IF(AH82="No","⚠ Missing",IF(AK82="Yes","✓ OK","⚠ Check"))))</f>
        <v/>
      </c>
      <c r="AO82" s="36" t="n"/>
      <c r="AP82" s="36" t="n"/>
      <c r="AQ82" s="36" t="n"/>
      <c r="AR82" s="36" t="n"/>
      <c r="AS82" s="36" t="n"/>
      <c r="AT82" s="36" t="n"/>
      <c r="AU82" s="27" t="n"/>
      <c r="AV82" s="37" t="n"/>
      <c r="AW82" s="38">
        <f>IF(AO82="","",IF(AR82="Yes","❌ Disc",IF(AQ82="No","⚠ Missing",IF(AT82="Yes","✓ OK","⚠ Check"))))</f>
        <v/>
      </c>
    </row>
    <row r="83" ht="18" customHeight="1" s="46">
      <c r="A83" s="23" t="n">
        <v>79</v>
      </c>
      <c r="B83" s="24" t="inlineStr">
        <is>
          <t>BD-VRM-2026-0347</t>
        </is>
      </c>
      <c r="C83" s="25" t="inlineStr">
        <is>
          <t>Excel  - Hot Spots  Wallpaper 39565-2</t>
        </is>
      </c>
      <c r="D83" s="23" t="inlineStr">
        <is>
          <t>Excel</t>
        </is>
      </c>
      <c r="E83" s="43" t="n">
        <v>46125</v>
      </c>
      <c r="F83" s="26" t="inlineStr">
        <is>
          <t>Sunil CR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Good finish</t>
        </is>
      </c>
      <c r="J83" s="26" t="inlineStr">
        <is>
          <t>Yes</t>
        </is>
      </c>
      <c r="K83" s="27" t="n"/>
      <c r="L83" s="28" t="inlineStr">
        <is>
          <t>No</t>
        </is>
      </c>
      <c r="M83" s="29">
        <f>IF(E83="","",IF(H83="Yes","❌ Disc",IF(G83="No","⚠ Missing",IF(J83="Yes","✓ OK","⚠ Check"))))</f>
        <v/>
      </c>
      <c r="N83" s="43" t="n">
        <v>46193</v>
      </c>
      <c r="O83" s="26" t="inlineStr">
        <is>
          <t>Sunil CR</t>
        </is>
      </c>
      <c r="P83" s="26" t="inlineStr">
        <is>
          <t>Yes</t>
        </is>
      </c>
      <c r="Q83" s="26" t="inlineStr">
        <is>
          <t>No</t>
        </is>
      </c>
      <c r="R83" s="26" t="inlineStr">
        <is>
          <t>Good finish</t>
        </is>
      </c>
      <c r="S83" s="26" t="inlineStr">
        <is>
          <t>Yes</t>
        </is>
      </c>
      <c r="T83" s="27" t="n"/>
      <c r="U83" s="28" t="inlineStr">
        <is>
          <t>No</t>
        </is>
      </c>
      <c r="V83" s="29">
        <f>IF(N83="","",IF(Q83="Yes","❌ Disc",IF(P83="No","⚠ Missing",IF(S83="Yes","✓ OK","⚠ Check"))))</f>
        <v/>
      </c>
      <c r="W83" s="65" t="n">
        <v>46248</v>
      </c>
      <c r="X83" s="30" t="inlineStr">
        <is>
          <t>Sunil CR</t>
        </is>
      </c>
      <c r="Y83" s="30" t="inlineStr">
        <is>
          <t>Yes</t>
        </is>
      </c>
      <c r="Z83" s="30" t="n"/>
      <c r="AA83" s="30" t="inlineStr">
        <is>
          <t>Good finish</t>
        </is>
      </c>
      <c r="AB83" s="30" t="inlineStr">
        <is>
          <t>Yes</t>
        </is>
      </c>
      <c r="AC83" s="27" t="n"/>
      <c r="AD83" s="31" t="inlineStr">
        <is>
          <t>No</t>
        </is>
      </c>
      <c r="AE83" s="32">
        <f>IF(W83="","",IF(Z83="Yes","❌ Disc",IF(Y83="No","⚠ Missing",IF(AB83="Yes","✓ OK","⚠ Check"))))</f>
        <v/>
      </c>
      <c r="AF83" s="33" t="n"/>
      <c r="AG83" s="33" t="n"/>
      <c r="AH83" s="33" t="n"/>
      <c r="AI83" s="33" t="n"/>
      <c r="AJ83" s="33" t="n"/>
      <c r="AK83" s="33" t="n"/>
      <c r="AL83" s="27" t="n"/>
      <c r="AM83" s="34" t="n"/>
      <c r="AN83" s="35">
        <f>IF(AF83="","",IF(AI83="Yes","❌ Disc",IF(AH83="No","⚠ Missing",IF(AK83="Yes","✓ OK","⚠ Check"))))</f>
        <v/>
      </c>
      <c r="AO83" s="36" t="n"/>
      <c r="AP83" s="36" t="n"/>
      <c r="AQ83" s="36" t="n"/>
      <c r="AR83" s="36" t="n"/>
      <c r="AS83" s="36" t="n"/>
      <c r="AT83" s="36" t="n"/>
      <c r="AU83" s="27" t="n"/>
      <c r="AV83" s="37" t="n"/>
      <c r="AW83" s="38">
        <f>IF(AO83="","",IF(AR83="Yes","❌ Disc",IF(AQ83="No","⚠ Missing",IF(AT83="Yes","✓ OK","⚠ Check"))))</f>
        <v/>
      </c>
    </row>
    <row r="84" ht="18" customHeight="1" s="46">
      <c r="A84" s="39" t="n">
        <v>80</v>
      </c>
      <c r="B84" s="40" t="inlineStr">
        <is>
          <t>BD-VRM-2026-0348</t>
        </is>
      </c>
      <c r="C84" s="41" t="inlineStr">
        <is>
          <t>Excel  - Hot Spots  Wallpaper 39565-3</t>
        </is>
      </c>
      <c r="D84" s="39" t="inlineStr">
        <is>
          <t>Excel</t>
        </is>
      </c>
      <c r="E84" s="43" t="n">
        <v>46125</v>
      </c>
      <c r="F84" s="26" t="inlineStr">
        <is>
          <t>Sunil CR</t>
        </is>
      </c>
      <c r="G84" s="26" t="inlineStr">
        <is>
          <t>Yes</t>
        </is>
      </c>
      <c r="H84" s="26" t="inlineStr">
        <is>
          <t>No</t>
        </is>
      </c>
      <c r="I84" s="26" t="inlineStr">
        <is>
          <t>Good finish</t>
        </is>
      </c>
      <c r="J84" s="26" t="inlineStr">
        <is>
          <t>Yes</t>
        </is>
      </c>
      <c r="K84" s="27" t="n"/>
      <c r="L84" s="28" t="inlineStr">
        <is>
          <t>No</t>
        </is>
      </c>
      <c r="M84" s="29">
        <f>IF(E84="","",IF(H84="Yes","❌ Disc",IF(G84="No","⚠ Missing",IF(J84="Yes","✓ OK","⚠ Check"))))</f>
        <v/>
      </c>
      <c r="N84" s="43" t="n">
        <v>46193</v>
      </c>
      <c r="O84" s="26" t="inlineStr">
        <is>
          <t>Sunil CR</t>
        </is>
      </c>
      <c r="P84" s="26" t="inlineStr">
        <is>
          <t>Yes</t>
        </is>
      </c>
      <c r="Q84" s="26" t="inlineStr">
        <is>
          <t>No</t>
        </is>
      </c>
      <c r="R84" s="26" t="inlineStr">
        <is>
          <t>Good finish</t>
        </is>
      </c>
      <c r="S84" s="26" t="inlineStr">
        <is>
          <t>Yes</t>
        </is>
      </c>
      <c r="T84" s="27" t="n"/>
      <c r="U84" s="28" t="inlineStr">
        <is>
          <t>No</t>
        </is>
      </c>
      <c r="V84" s="29">
        <f>IF(N84="","",IF(Q84="Yes","❌ Disc",IF(P84="No","⚠ Missing",IF(S84="Yes","✓ OK","⚠ Check"))))</f>
        <v/>
      </c>
      <c r="W84" s="65" t="n">
        <v>46248</v>
      </c>
      <c r="X84" s="30" t="inlineStr">
        <is>
          <t>Sunil CR</t>
        </is>
      </c>
      <c r="Y84" s="30" t="inlineStr">
        <is>
          <t>Yes</t>
        </is>
      </c>
      <c r="Z84" s="30" t="n"/>
      <c r="AA84" s="30" t="inlineStr">
        <is>
          <t>Good finish</t>
        </is>
      </c>
      <c r="AB84" s="30" t="inlineStr">
        <is>
          <t>Yes</t>
        </is>
      </c>
      <c r="AC84" s="27" t="n"/>
      <c r="AD84" s="31" t="inlineStr">
        <is>
          <t>No</t>
        </is>
      </c>
      <c r="AE84" s="32">
        <f>IF(W84="","",IF(Z84="Yes","❌ Disc",IF(Y84="No","⚠ Missing",IF(AB84="Yes","✓ OK","⚠ Check"))))</f>
        <v/>
      </c>
      <c r="AF84" s="33" t="n"/>
      <c r="AG84" s="33" t="n"/>
      <c r="AH84" s="33" t="n"/>
      <c r="AI84" s="33" t="n"/>
      <c r="AJ84" s="33" t="n"/>
      <c r="AK84" s="33" t="n"/>
      <c r="AL84" s="27" t="n"/>
      <c r="AM84" s="34" t="n"/>
      <c r="AN84" s="35">
        <f>IF(AF84="","",IF(AI84="Yes","❌ Disc",IF(AH84="No","⚠ Missing",IF(AK84="Yes","✓ OK","⚠ Check"))))</f>
        <v/>
      </c>
      <c r="AO84" s="36" t="n"/>
      <c r="AP84" s="36" t="n"/>
      <c r="AQ84" s="36" t="n"/>
      <c r="AR84" s="36" t="n"/>
      <c r="AS84" s="36" t="n"/>
      <c r="AT84" s="36" t="n"/>
      <c r="AU84" s="27" t="n"/>
      <c r="AV84" s="37" t="n"/>
      <c r="AW84" s="38">
        <f>IF(AO84="","",IF(AR84="Yes","❌ Disc",IF(AQ84="No","⚠ Missing",IF(AT84="Yes","✓ OK","⚠ Check"))))</f>
        <v/>
      </c>
    </row>
    <row r="85" ht="18" customHeight="1" s="46">
      <c r="A85" s="23" t="n">
        <v>81</v>
      </c>
      <c r="B85" s="24" t="inlineStr">
        <is>
          <t>BD-VRM-2026-0349</t>
        </is>
      </c>
      <c r="C85" s="25" t="inlineStr">
        <is>
          <t>Excel  - Hot Spots  Wallpaper 39565-4</t>
        </is>
      </c>
      <c r="D85" s="23" t="inlineStr">
        <is>
          <t>Excel</t>
        </is>
      </c>
      <c r="E85" s="43" t="n">
        <v>46125</v>
      </c>
      <c r="F85" s="26" t="inlineStr">
        <is>
          <t>Sunil CR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Good finish</t>
        </is>
      </c>
      <c r="J85" s="26" t="inlineStr">
        <is>
          <t>Yes</t>
        </is>
      </c>
      <c r="K85" s="27" t="n"/>
      <c r="L85" s="28" t="inlineStr">
        <is>
          <t>No</t>
        </is>
      </c>
      <c r="M85" s="29">
        <f>IF(E85="","",IF(H85="Yes","❌ Disc",IF(G85="No","⚠ Missing",IF(J85="Yes","✓ OK","⚠ Check"))))</f>
        <v/>
      </c>
      <c r="N85" s="43" t="n">
        <v>46193</v>
      </c>
      <c r="O85" s="26" t="inlineStr">
        <is>
          <t>Sunil CR</t>
        </is>
      </c>
      <c r="P85" s="26" t="inlineStr">
        <is>
          <t>Yes</t>
        </is>
      </c>
      <c r="Q85" s="26" t="inlineStr">
        <is>
          <t>No</t>
        </is>
      </c>
      <c r="R85" s="26" t="inlineStr">
        <is>
          <t>Good finish</t>
        </is>
      </c>
      <c r="S85" s="26" t="inlineStr">
        <is>
          <t>Yes</t>
        </is>
      </c>
      <c r="T85" s="27" t="n"/>
      <c r="U85" s="28" t="inlineStr">
        <is>
          <t>No</t>
        </is>
      </c>
      <c r="V85" s="29">
        <f>IF(N85="","",IF(Q85="Yes","❌ Disc",IF(P85="No","⚠ Missing",IF(S85="Yes","✓ OK","⚠ Check"))))</f>
        <v/>
      </c>
      <c r="W85" s="65" t="n">
        <v>46248</v>
      </c>
      <c r="X85" s="30" t="inlineStr">
        <is>
          <t>Sunil CR</t>
        </is>
      </c>
      <c r="Y85" s="30" t="inlineStr">
        <is>
          <t>Yes</t>
        </is>
      </c>
      <c r="Z85" s="30" t="n"/>
      <c r="AA85" s="30" t="inlineStr">
        <is>
          <t>Good finish</t>
        </is>
      </c>
      <c r="AB85" s="30" t="inlineStr">
        <is>
          <t>Yes</t>
        </is>
      </c>
      <c r="AC85" s="27" t="n"/>
      <c r="AD85" s="31" t="inlineStr">
        <is>
          <t>No</t>
        </is>
      </c>
      <c r="AE85" s="32">
        <f>IF(W85="","",IF(Z85="Yes","❌ Disc",IF(Y85="No","⚠ Missing",IF(AB85="Yes","✓ OK","⚠ Check"))))</f>
        <v/>
      </c>
      <c r="AF85" s="33" t="n"/>
      <c r="AG85" s="33" t="n"/>
      <c r="AH85" s="33" t="n"/>
      <c r="AI85" s="33" t="n"/>
      <c r="AJ85" s="33" t="n"/>
      <c r="AK85" s="33" t="n"/>
      <c r="AL85" s="27" t="n"/>
      <c r="AM85" s="34" t="n"/>
      <c r="AN85" s="35">
        <f>IF(AF85="","",IF(AI85="Yes","❌ Disc",IF(AH85="No","⚠ Missing",IF(AK85="Yes","✓ OK","⚠ Check"))))</f>
        <v/>
      </c>
      <c r="AO85" s="36" t="n"/>
      <c r="AP85" s="36" t="n"/>
      <c r="AQ85" s="36" t="n"/>
      <c r="AR85" s="36" t="n"/>
      <c r="AS85" s="36" t="n"/>
      <c r="AT85" s="36" t="n"/>
      <c r="AU85" s="27" t="n"/>
      <c r="AV85" s="37" t="n"/>
      <c r="AW85" s="38">
        <f>IF(AO85="","",IF(AR85="Yes","❌ Disc",IF(AQ85="No","⚠ Missing",IF(AT85="Yes","✓ OK","⚠ Check"))))</f>
        <v/>
      </c>
    </row>
    <row r="86" ht="18" customHeight="1" s="46">
      <c r="A86" s="39" t="n">
        <v>82</v>
      </c>
      <c r="B86" s="40" t="inlineStr">
        <is>
          <t>BD-VRM-2026-0350</t>
        </is>
      </c>
      <c r="C86" s="41" t="inlineStr">
        <is>
          <t>Excel  - Hot Spots  Wallpaper 39565-5</t>
        </is>
      </c>
      <c r="D86" s="39" t="inlineStr">
        <is>
          <t>Excel</t>
        </is>
      </c>
      <c r="E86" s="43" t="n">
        <v>46125</v>
      </c>
      <c r="F86" s="26" t="inlineStr">
        <is>
          <t>Sunil CR</t>
        </is>
      </c>
      <c r="G86" s="26" t="inlineStr">
        <is>
          <t>Yes</t>
        </is>
      </c>
      <c r="H86" s="26" t="inlineStr">
        <is>
          <t>No</t>
        </is>
      </c>
      <c r="I86" s="26" t="inlineStr">
        <is>
          <t>Good finish</t>
        </is>
      </c>
      <c r="J86" s="26" t="inlineStr">
        <is>
          <t>Yes</t>
        </is>
      </c>
      <c r="K86" s="27" t="n"/>
      <c r="L86" s="28" t="inlineStr">
        <is>
          <t>No</t>
        </is>
      </c>
      <c r="M86" s="29">
        <f>IF(E86="","",IF(H86="Yes","❌ Disc",IF(G86="No","⚠ Missing",IF(J86="Yes","✓ OK","⚠ Check"))))</f>
        <v/>
      </c>
      <c r="N86" s="43" t="n">
        <v>46193</v>
      </c>
      <c r="O86" s="26" t="inlineStr">
        <is>
          <t>Sunil CR</t>
        </is>
      </c>
      <c r="P86" s="26" t="inlineStr">
        <is>
          <t>Yes</t>
        </is>
      </c>
      <c r="Q86" s="26" t="inlineStr">
        <is>
          <t>No</t>
        </is>
      </c>
      <c r="R86" s="26" t="inlineStr">
        <is>
          <t>Good finish</t>
        </is>
      </c>
      <c r="S86" s="26" t="inlineStr">
        <is>
          <t>Yes</t>
        </is>
      </c>
      <c r="T86" s="27" t="n"/>
      <c r="U86" s="28" t="inlineStr">
        <is>
          <t>No</t>
        </is>
      </c>
      <c r="V86" s="29">
        <f>IF(N86="","",IF(Q86="Yes","❌ Disc",IF(P86="No","⚠ Missing",IF(S86="Yes","✓ OK","⚠ Check"))))</f>
        <v/>
      </c>
      <c r="W86" s="65" t="n">
        <v>46248</v>
      </c>
      <c r="X86" s="30" t="inlineStr">
        <is>
          <t>Sunil CR</t>
        </is>
      </c>
      <c r="Y86" s="30" t="inlineStr">
        <is>
          <t>Yes</t>
        </is>
      </c>
      <c r="Z86" s="30" t="n"/>
      <c r="AA86" s="30" t="inlineStr">
        <is>
          <t>Good finish</t>
        </is>
      </c>
      <c r="AB86" s="30" t="inlineStr">
        <is>
          <t>Yes</t>
        </is>
      </c>
      <c r="AC86" s="27" t="n"/>
      <c r="AD86" s="31" t="inlineStr">
        <is>
          <t>No</t>
        </is>
      </c>
      <c r="AE86" s="32">
        <f>IF(W86="","",IF(Z86="Yes","❌ Disc",IF(Y86="No","⚠ Missing",IF(AB86="Yes","✓ OK","⚠ Check"))))</f>
        <v/>
      </c>
      <c r="AF86" s="33" t="n"/>
      <c r="AG86" s="33" t="n"/>
      <c r="AH86" s="33" t="n"/>
      <c r="AI86" s="33" t="n"/>
      <c r="AJ86" s="33" t="n"/>
      <c r="AK86" s="33" t="n"/>
      <c r="AL86" s="27" t="n"/>
      <c r="AM86" s="34" t="n"/>
      <c r="AN86" s="35">
        <f>IF(AF86="","",IF(AI86="Yes","❌ Disc",IF(AH86="No","⚠ Missing",IF(AK86="Yes","✓ OK","⚠ Check"))))</f>
        <v/>
      </c>
      <c r="AO86" s="36" t="n"/>
      <c r="AP86" s="36" t="n"/>
      <c r="AQ86" s="36" t="n"/>
      <c r="AR86" s="36" t="n"/>
      <c r="AS86" s="36" t="n"/>
      <c r="AT86" s="36" t="n"/>
      <c r="AU86" s="27" t="n"/>
      <c r="AV86" s="37" t="n"/>
      <c r="AW86" s="38">
        <f>IF(AO86="","",IF(AR86="Yes","❌ Disc",IF(AQ86="No","⚠ Missing",IF(AT86="Yes","✓ OK","⚠ Check"))))</f>
        <v/>
      </c>
    </row>
    <row r="87" ht="18" customHeight="1" s="46">
      <c r="A87" s="23" t="n">
        <v>83</v>
      </c>
      <c r="B87" s="24" t="inlineStr">
        <is>
          <t>BD-VRM-2026-0351</t>
        </is>
      </c>
      <c r="C87" s="25" t="inlineStr">
        <is>
          <t>Excel  - Hot Spots  Wallpaper 39565-6</t>
        </is>
      </c>
      <c r="D87" s="23" t="inlineStr">
        <is>
          <t>Excel</t>
        </is>
      </c>
      <c r="E87" s="43" t="n">
        <v>46125</v>
      </c>
      <c r="F87" s="26" t="inlineStr">
        <is>
          <t>Sunil CR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Good finish</t>
        </is>
      </c>
      <c r="J87" s="26" t="inlineStr">
        <is>
          <t>Yes</t>
        </is>
      </c>
      <c r="K87" s="27" t="n"/>
      <c r="L87" s="28" t="inlineStr">
        <is>
          <t>No</t>
        </is>
      </c>
      <c r="M87" s="29">
        <f>IF(E87="","",IF(H87="Yes","❌ Disc",IF(G87="No","⚠ Missing",IF(J87="Yes","✓ OK","⚠ Check"))))</f>
        <v/>
      </c>
      <c r="N87" s="43" t="n">
        <v>46193</v>
      </c>
      <c r="O87" s="26" t="inlineStr">
        <is>
          <t>Sunil CR</t>
        </is>
      </c>
      <c r="P87" s="26" t="inlineStr">
        <is>
          <t>Yes</t>
        </is>
      </c>
      <c r="Q87" s="26" t="inlineStr">
        <is>
          <t>No</t>
        </is>
      </c>
      <c r="R87" s="26" t="inlineStr">
        <is>
          <t>Good finish</t>
        </is>
      </c>
      <c r="S87" s="26" t="inlineStr">
        <is>
          <t>Yes</t>
        </is>
      </c>
      <c r="T87" s="27" t="n"/>
      <c r="U87" s="28" t="inlineStr">
        <is>
          <t>No</t>
        </is>
      </c>
      <c r="V87" s="29">
        <f>IF(N87="","",IF(Q87="Yes","❌ Disc",IF(P87="No","⚠ Missing",IF(S87="Yes","✓ OK","⚠ Check"))))</f>
        <v/>
      </c>
      <c r="W87" s="65" t="n">
        <v>46248</v>
      </c>
      <c r="X87" s="30" t="inlineStr">
        <is>
          <t>Sunil CR</t>
        </is>
      </c>
      <c r="Y87" s="30" t="inlineStr">
        <is>
          <t>Yes</t>
        </is>
      </c>
      <c r="Z87" s="30" t="n"/>
      <c r="AA87" s="30" t="inlineStr">
        <is>
          <t>Good finish</t>
        </is>
      </c>
      <c r="AB87" s="30" t="inlineStr">
        <is>
          <t>Yes</t>
        </is>
      </c>
      <c r="AC87" s="27" t="n"/>
      <c r="AD87" s="31" t="inlineStr">
        <is>
          <t>No</t>
        </is>
      </c>
      <c r="AE87" s="32">
        <f>IF(W87="","",IF(Z87="Yes","❌ Disc",IF(Y87="No","⚠ Missing",IF(AB87="Yes","✓ OK","⚠ Check"))))</f>
        <v/>
      </c>
      <c r="AF87" s="33" t="n"/>
      <c r="AG87" s="33" t="n"/>
      <c r="AH87" s="33" t="n"/>
      <c r="AI87" s="33" t="n"/>
      <c r="AJ87" s="33" t="n"/>
      <c r="AK87" s="33" t="n"/>
      <c r="AL87" s="27" t="n"/>
      <c r="AM87" s="34" t="n"/>
      <c r="AN87" s="35">
        <f>IF(AF87="","",IF(AI87="Yes","❌ Disc",IF(AH87="No","⚠ Missing",IF(AK87="Yes","✓ OK","⚠ Check"))))</f>
        <v/>
      </c>
      <c r="AO87" s="36" t="n"/>
      <c r="AP87" s="36" t="n"/>
      <c r="AQ87" s="36" t="n"/>
      <c r="AR87" s="36" t="n"/>
      <c r="AS87" s="36" t="n"/>
      <c r="AT87" s="36" t="n"/>
      <c r="AU87" s="27" t="n"/>
      <c r="AV87" s="37" t="n"/>
      <c r="AW87" s="38">
        <f>IF(AO87="","",IF(AR87="Yes","❌ Disc",IF(AQ87="No","⚠ Missing",IF(AT87="Yes","✓ OK","⚠ Check"))))</f>
        <v/>
      </c>
    </row>
    <row r="88" ht="18" customHeight="1" s="46">
      <c r="A88" s="39" t="n">
        <v>84</v>
      </c>
      <c r="B88" s="40" t="inlineStr">
        <is>
          <t>BD-VRM-2026-0352</t>
        </is>
      </c>
      <c r="C88" s="41" t="inlineStr">
        <is>
          <t>Excel  - Hot Spots  Wallpaper 39565-7</t>
        </is>
      </c>
      <c r="D88" s="39" t="inlineStr">
        <is>
          <t>Excel</t>
        </is>
      </c>
      <c r="E88" s="43" t="n">
        <v>46125</v>
      </c>
      <c r="F88" s="26" t="inlineStr">
        <is>
          <t>Sunil CR</t>
        </is>
      </c>
      <c r="G88" s="26" t="inlineStr">
        <is>
          <t>Yes</t>
        </is>
      </c>
      <c r="H88" s="26" t="inlineStr">
        <is>
          <t>No</t>
        </is>
      </c>
      <c r="I88" s="26" t="inlineStr">
        <is>
          <t>Good finish</t>
        </is>
      </c>
      <c r="J88" s="26" t="inlineStr">
        <is>
          <t>Yes</t>
        </is>
      </c>
      <c r="K88" s="27" t="n"/>
      <c r="L88" s="28" t="inlineStr">
        <is>
          <t>No</t>
        </is>
      </c>
      <c r="M88" s="29">
        <f>IF(E88="","",IF(H88="Yes","❌ Disc",IF(G88="No","⚠ Missing",IF(J88="Yes","✓ OK","⚠ Check"))))</f>
        <v/>
      </c>
      <c r="N88" s="43" t="n">
        <v>46193</v>
      </c>
      <c r="O88" s="26" t="inlineStr">
        <is>
          <t>Sunil CR</t>
        </is>
      </c>
      <c r="P88" s="26" t="inlineStr">
        <is>
          <t>Yes</t>
        </is>
      </c>
      <c r="Q88" s="26" t="inlineStr">
        <is>
          <t>No</t>
        </is>
      </c>
      <c r="R88" s="26" t="inlineStr">
        <is>
          <t>Good finish</t>
        </is>
      </c>
      <c r="S88" s="26" t="inlineStr">
        <is>
          <t>Yes</t>
        </is>
      </c>
      <c r="T88" s="27" t="n"/>
      <c r="U88" s="28" t="inlineStr">
        <is>
          <t>No</t>
        </is>
      </c>
      <c r="V88" s="29">
        <f>IF(N88="","",IF(Q88="Yes","❌ Disc",IF(P88="No","⚠ Missing",IF(S88="Yes","✓ OK","⚠ Check"))))</f>
        <v/>
      </c>
      <c r="W88" s="65" t="n">
        <v>46248</v>
      </c>
      <c r="X88" s="30" t="inlineStr">
        <is>
          <t>Sunil CR</t>
        </is>
      </c>
      <c r="Y88" s="30" t="inlineStr">
        <is>
          <t>Yes</t>
        </is>
      </c>
      <c r="Z88" s="30" t="n"/>
      <c r="AA88" s="30" t="inlineStr">
        <is>
          <t>Good finish</t>
        </is>
      </c>
      <c r="AB88" s="30" t="inlineStr">
        <is>
          <t>Yes</t>
        </is>
      </c>
      <c r="AC88" s="27" t="n"/>
      <c r="AD88" s="31" t="inlineStr">
        <is>
          <t>No</t>
        </is>
      </c>
      <c r="AE88" s="32">
        <f>IF(W88="","",IF(Z88="Yes","❌ Disc",IF(Y88="No","⚠ Missing",IF(AB88="Yes","✓ OK","⚠ Check"))))</f>
        <v/>
      </c>
      <c r="AF88" s="33" t="n"/>
      <c r="AG88" s="33" t="n"/>
      <c r="AH88" s="33" t="n"/>
      <c r="AI88" s="33" t="n"/>
      <c r="AJ88" s="33" t="n"/>
      <c r="AK88" s="33" t="n"/>
      <c r="AL88" s="27" t="n"/>
      <c r="AM88" s="34" t="n"/>
      <c r="AN88" s="35">
        <f>IF(AF88="","",IF(AI88="Yes","❌ Disc",IF(AH88="No","⚠ Missing",IF(AK88="Yes","✓ OK","⚠ Check"))))</f>
        <v/>
      </c>
      <c r="AO88" s="36" t="n"/>
      <c r="AP88" s="36" t="n"/>
      <c r="AQ88" s="36" t="n"/>
      <c r="AR88" s="36" t="n"/>
      <c r="AS88" s="36" t="n"/>
      <c r="AT88" s="36" t="n"/>
      <c r="AU88" s="27" t="n"/>
      <c r="AV88" s="37" t="n"/>
      <c r="AW88" s="38">
        <f>IF(AO88="","",IF(AR88="Yes","❌ Disc",IF(AQ88="No","⚠ Missing",IF(AT88="Yes","✓ OK","⚠ Check"))))</f>
        <v/>
      </c>
    </row>
    <row r="89" ht="18" customHeight="1" s="46">
      <c r="A89" s="23" t="n">
        <v>85</v>
      </c>
      <c r="B89" s="24" t="inlineStr">
        <is>
          <t>BD-VRM-2026-0353</t>
        </is>
      </c>
      <c r="C89" s="25" t="inlineStr">
        <is>
          <t>Excel  - Hot Spots  Wallpaper 39565-8</t>
        </is>
      </c>
      <c r="D89" s="23" t="inlineStr">
        <is>
          <t>Excel</t>
        </is>
      </c>
      <c r="E89" s="43" t="n">
        <v>46125</v>
      </c>
      <c r="F89" s="26" t="inlineStr">
        <is>
          <t>Sunil CR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Good finish</t>
        </is>
      </c>
      <c r="J89" s="26" t="inlineStr">
        <is>
          <t>Yes</t>
        </is>
      </c>
      <c r="K89" s="27" t="n"/>
      <c r="L89" s="28" t="inlineStr">
        <is>
          <t>No</t>
        </is>
      </c>
      <c r="M89" s="29">
        <f>IF(E89="","",IF(H89="Yes","❌ Disc",IF(G89="No","⚠ Missing",IF(J89="Yes","✓ OK","⚠ Check"))))</f>
        <v/>
      </c>
      <c r="N89" s="43" t="n">
        <v>46193</v>
      </c>
      <c r="O89" s="26" t="inlineStr">
        <is>
          <t>Sunil CR</t>
        </is>
      </c>
      <c r="P89" s="26" t="inlineStr">
        <is>
          <t>Yes</t>
        </is>
      </c>
      <c r="Q89" s="26" t="inlineStr">
        <is>
          <t>No</t>
        </is>
      </c>
      <c r="R89" s="26" t="inlineStr">
        <is>
          <t>Good finish</t>
        </is>
      </c>
      <c r="S89" s="26" t="inlineStr">
        <is>
          <t>Yes</t>
        </is>
      </c>
      <c r="T89" s="27" t="n"/>
      <c r="U89" s="28" t="inlineStr">
        <is>
          <t>No</t>
        </is>
      </c>
      <c r="V89" s="29">
        <f>IF(N89="","",IF(Q89="Yes","❌ Disc",IF(P89="No","⚠ Missing",IF(S89="Yes","✓ OK","⚠ Check"))))</f>
        <v/>
      </c>
      <c r="W89" s="65" t="n">
        <v>46248</v>
      </c>
      <c r="X89" s="30" t="inlineStr">
        <is>
          <t>Sunil CR</t>
        </is>
      </c>
      <c r="Y89" s="30" t="inlineStr">
        <is>
          <t>Yes</t>
        </is>
      </c>
      <c r="Z89" s="30" t="n"/>
      <c r="AA89" s="30" t="inlineStr">
        <is>
          <t>Good finish</t>
        </is>
      </c>
      <c r="AB89" s="30" t="inlineStr">
        <is>
          <t>Yes</t>
        </is>
      </c>
      <c r="AC89" s="27" t="n"/>
      <c r="AD89" s="31" t="inlineStr">
        <is>
          <t>No</t>
        </is>
      </c>
      <c r="AE89" s="32">
        <f>IF(W89="","",IF(Z89="Yes","❌ Disc",IF(Y89="No","⚠ Missing",IF(AB89="Yes","✓ OK","⚠ Check"))))</f>
        <v/>
      </c>
      <c r="AF89" s="33" t="n"/>
      <c r="AG89" s="33" t="n"/>
      <c r="AH89" s="33" t="n"/>
      <c r="AI89" s="33" t="n"/>
      <c r="AJ89" s="33" t="n"/>
      <c r="AK89" s="33" t="n"/>
      <c r="AL89" s="27" t="n"/>
      <c r="AM89" s="34" t="n"/>
      <c r="AN89" s="35">
        <f>IF(AF89="","",IF(AI89="Yes","❌ Disc",IF(AH89="No","⚠ Missing",IF(AK89="Yes","✓ OK","⚠ Check"))))</f>
        <v/>
      </c>
      <c r="AO89" s="36" t="n"/>
      <c r="AP89" s="36" t="n"/>
      <c r="AQ89" s="36" t="n"/>
      <c r="AR89" s="36" t="n"/>
      <c r="AS89" s="36" t="n"/>
      <c r="AT89" s="36" t="n"/>
      <c r="AU89" s="27" t="n"/>
      <c r="AV89" s="37" t="n"/>
      <c r="AW89" s="38">
        <f>IF(AO89="","",IF(AR89="Yes","❌ Disc",IF(AQ89="No","⚠ Missing",IF(AT89="Yes","✓ OK","⚠ Check"))))</f>
        <v/>
      </c>
    </row>
    <row r="90" ht="18" customHeight="1" s="46">
      <c r="A90" s="39" t="n">
        <v>86</v>
      </c>
      <c r="B90" s="40" t="inlineStr">
        <is>
          <t>BD-VRM-2026-0354</t>
        </is>
      </c>
      <c r="C90" s="41" t="inlineStr">
        <is>
          <t>Excel  - Hot Spots  Wallpaper 39565-9</t>
        </is>
      </c>
      <c r="D90" s="39" t="inlineStr">
        <is>
          <t>Excel</t>
        </is>
      </c>
      <c r="E90" s="43" t="n">
        <v>46125</v>
      </c>
      <c r="F90" s="26" t="inlineStr">
        <is>
          <t>Sunil CR</t>
        </is>
      </c>
      <c r="G90" s="26" t="inlineStr">
        <is>
          <t>Yes</t>
        </is>
      </c>
      <c r="H90" s="26" t="inlineStr">
        <is>
          <t>No</t>
        </is>
      </c>
      <c r="I90" s="26" t="inlineStr">
        <is>
          <t>Good finish</t>
        </is>
      </c>
      <c r="J90" s="26" t="inlineStr">
        <is>
          <t>Yes</t>
        </is>
      </c>
      <c r="K90" s="27" t="n"/>
      <c r="L90" s="28" t="inlineStr">
        <is>
          <t>No</t>
        </is>
      </c>
      <c r="M90" s="29">
        <f>IF(E90="","",IF(H90="Yes","❌ Disc",IF(G90="No","⚠ Missing",IF(J90="Yes","✓ OK","⚠ Check"))))</f>
        <v/>
      </c>
      <c r="N90" s="43" t="n">
        <v>46193</v>
      </c>
      <c r="O90" s="26" t="inlineStr">
        <is>
          <t>Sunil CR</t>
        </is>
      </c>
      <c r="P90" s="26" t="inlineStr">
        <is>
          <t>Yes</t>
        </is>
      </c>
      <c r="Q90" s="26" t="inlineStr">
        <is>
          <t>No</t>
        </is>
      </c>
      <c r="R90" s="26" t="inlineStr">
        <is>
          <t>Good finish</t>
        </is>
      </c>
      <c r="S90" s="26" t="inlineStr">
        <is>
          <t>Yes</t>
        </is>
      </c>
      <c r="T90" s="27" t="n"/>
      <c r="U90" s="28" t="inlineStr">
        <is>
          <t>No</t>
        </is>
      </c>
      <c r="V90" s="29">
        <f>IF(N90="","",IF(Q90="Yes","❌ Disc",IF(P90="No","⚠ Missing",IF(S90="Yes","✓ OK","⚠ Check"))))</f>
        <v/>
      </c>
      <c r="W90" s="65" t="n">
        <v>46248</v>
      </c>
      <c r="X90" s="30" t="inlineStr">
        <is>
          <t>Sunil CR</t>
        </is>
      </c>
      <c r="Y90" s="30" t="inlineStr">
        <is>
          <t>Yes</t>
        </is>
      </c>
      <c r="Z90" s="30" t="n"/>
      <c r="AA90" s="30" t="inlineStr">
        <is>
          <t>Good finish</t>
        </is>
      </c>
      <c r="AB90" s="30" t="inlineStr">
        <is>
          <t>Yes</t>
        </is>
      </c>
      <c r="AC90" s="27" t="n"/>
      <c r="AD90" s="31" t="inlineStr">
        <is>
          <t>No</t>
        </is>
      </c>
      <c r="AE90" s="32">
        <f>IF(W90="","",IF(Z90="Yes","❌ Disc",IF(Y90="No","⚠ Missing",IF(AB90="Yes","✓ OK","⚠ Check"))))</f>
        <v/>
      </c>
      <c r="AF90" s="33" t="n"/>
      <c r="AG90" s="33" t="n"/>
      <c r="AH90" s="33" t="n"/>
      <c r="AI90" s="33" t="n"/>
      <c r="AJ90" s="33" t="n"/>
      <c r="AK90" s="33" t="n"/>
      <c r="AL90" s="27" t="n"/>
      <c r="AM90" s="34" t="n"/>
      <c r="AN90" s="35">
        <f>IF(AF90="","",IF(AI90="Yes","❌ Disc",IF(AH90="No","⚠ Missing",IF(AK90="Yes","✓ OK","⚠ Check"))))</f>
        <v/>
      </c>
      <c r="AO90" s="36" t="n"/>
      <c r="AP90" s="36" t="n"/>
      <c r="AQ90" s="36" t="n"/>
      <c r="AR90" s="36" t="n"/>
      <c r="AS90" s="36" t="n"/>
      <c r="AT90" s="36" t="n"/>
      <c r="AU90" s="27" t="n"/>
      <c r="AV90" s="37" t="n"/>
      <c r="AW90" s="38">
        <f>IF(AO90="","",IF(AR90="Yes","❌ Disc",IF(AQ90="No","⚠ Missing",IF(AT90="Yes","✓ OK","⚠ Check"))))</f>
        <v/>
      </c>
    </row>
    <row r="91" ht="18" customHeight="1" s="46">
      <c r="A91" s="23" t="n">
        <v>87</v>
      </c>
      <c r="B91" s="24" t="inlineStr">
        <is>
          <t>BD-VRM-2026-0355</t>
        </is>
      </c>
      <c r="C91" s="25" t="inlineStr">
        <is>
          <t>Excel  - Hot Spots  Wallpaper 39566-1</t>
        </is>
      </c>
      <c r="D91" s="23" t="inlineStr">
        <is>
          <t>Excel</t>
        </is>
      </c>
      <c r="E91" s="43" t="n">
        <v>46125</v>
      </c>
      <c r="F91" s="26" t="inlineStr">
        <is>
          <t>Sunil CR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Good finish</t>
        </is>
      </c>
      <c r="J91" s="26" t="inlineStr">
        <is>
          <t>Yes</t>
        </is>
      </c>
      <c r="K91" s="27" t="n"/>
      <c r="L91" s="28" t="inlineStr">
        <is>
          <t>No</t>
        </is>
      </c>
      <c r="M91" s="29">
        <f>IF(E91="","",IF(H91="Yes","❌ Disc",IF(G91="No","⚠ Missing",IF(J91="Yes","✓ OK","⚠ Check"))))</f>
        <v/>
      </c>
      <c r="N91" s="43" t="n">
        <v>46193</v>
      </c>
      <c r="O91" s="26" t="inlineStr">
        <is>
          <t>Sunil CR</t>
        </is>
      </c>
      <c r="P91" s="26" t="inlineStr">
        <is>
          <t>Yes</t>
        </is>
      </c>
      <c r="Q91" s="26" t="inlineStr">
        <is>
          <t>No</t>
        </is>
      </c>
      <c r="R91" s="26" t="inlineStr">
        <is>
          <t>Good finish</t>
        </is>
      </c>
      <c r="S91" s="26" t="inlineStr">
        <is>
          <t>Yes</t>
        </is>
      </c>
      <c r="T91" s="27" t="n"/>
      <c r="U91" s="28" t="inlineStr">
        <is>
          <t>No</t>
        </is>
      </c>
      <c r="V91" s="29">
        <f>IF(N91="","",IF(Q91="Yes","❌ Disc",IF(P91="No","⚠ Missing",IF(S91="Yes","✓ OK","⚠ Check"))))</f>
        <v/>
      </c>
      <c r="W91" s="65" t="n">
        <v>46248</v>
      </c>
      <c r="X91" s="30" t="inlineStr">
        <is>
          <t>Sunil CR</t>
        </is>
      </c>
      <c r="Y91" s="30" t="inlineStr">
        <is>
          <t>Yes</t>
        </is>
      </c>
      <c r="Z91" s="30" t="n"/>
      <c r="AA91" s="30" t="inlineStr">
        <is>
          <t>Good finish</t>
        </is>
      </c>
      <c r="AB91" s="30" t="inlineStr">
        <is>
          <t>Yes</t>
        </is>
      </c>
      <c r="AC91" s="27" t="n"/>
      <c r="AD91" s="31" t="inlineStr">
        <is>
          <t>No</t>
        </is>
      </c>
      <c r="AE91" s="32">
        <f>IF(W91="","",IF(Z91="Yes","❌ Disc",IF(Y91="No","⚠ Missing",IF(AB91="Yes","✓ OK","⚠ Check"))))</f>
        <v/>
      </c>
      <c r="AF91" s="33" t="n"/>
      <c r="AG91" s="33" t="n"/>
      <c r="AH91" s="33" t="n"/>
      <c r="AI91" s="33" t="n"/>
      <c r="AJ91" s="33" t="n"/>
      <c r="AK91" s="33" t="n"/>
      <c r="AL91" s="27" t="n"/>
      <c r="AM91" s="34" t="n"/>
      <c r="AN91" s="35">
        <f>IF(AF91="","",IF(AI91="Yes","❌ Disc",IF(AH91="No","⚠ Missing",IF(AK91="Yes","✓ OK","⚠ Check"))))</f>
        <v/>
      </c>
      <c r="AO91" s="36" t="n"/>
      <c r="AP91" s="36" t="n"/>
      <c r="AQ91" s="36" t="n"/>
      <c r="AR91" s="36" t="n"/>
      <c r="AS91" s="36" t="n"/>
      <c r="AT91" s="36" t="n"/>
      <c r="AU91" s="27" t="n"/>
      <c r="AV91" s="37" t="n"/>
      <c r="AW91" s="38">
        <f>IF(AO91="","",IF(AR91="Yes","❌ Disc",IF(AQ91="No","⚠ Missing",IF(AT91="Yes","✓ OK","⚠ Check"))))</f>
        <v/>
      </c>
    </row>
    <row r="92" ht="18" customHeight="1" s="46">
      <c r="A92" s="39" t="n">
        <v>88</v>
      </c>
      <c r="B92" s="40" t="inlineStr">
        <is>
          <t>BD-VRM-2026-0356</t>
        </is>
      </c>
      <c r="C92" s="41" t="inlineStr">
        <is>
          <t>Excel  - Hot Spots  Wallpaper 39566-3</t>
        </is>
      </c>
      <c r="D92" s="39" t="inlineStr">
        <is>
          <t>Excel</t>
        </is>
      </c>
      <c r="E92" s="43" t="n">
        <v>46125</v>
      </c>
      <c r="F92" s="26" t="inlineStr">
        <is>
          <t>Sunil CR</t>
        </is>
      </c>
      <c r="G92" s="26" t="inlineStr">
        <is>
          <t>Yes</t>
        </is>
      </c>
      <c r="H92" s="26" t="inlineStr">
        <is>
          <t>No</t>
        </is>
      </c>
      <c r="I92" s="26" t="inlineStr">
        <is>
          <t>Good finish</t>
        </is>
      </c>
      <c r="J92" s="26" t="inlineStr">
        <is>
          <t>Yes</t>
        </is>
      </c>
      <c r="K92" s="27" t="n"/>
      <c r="L92" s="28" t="inlineStr">
        <is>
          <t>No</t>
        </is>
      </c>
      <c r="M92" s="29">
        <f>IF(E92="","",IF(H92="Yes","❌ Disc",IF(G92="No","⚠ Missing",IF(J92="Yes","✓ OK","⚠ Check"))))</f>
        <v/>
      </c>
      <c r="N92" s="43" t="n">
        <v>46193</v>
      </c>
      <c r="O92" s="26" t="inlineStr">
        <is>
          <t>Sunil CR</t>
        </is>
      </c>
      <c r="P92" s="26" t="inlineStr">
        <is>
          <t>Yes</t>
        </is>
      </c>
      <c r="Q92" s="26" t="inlineStr">
        <is>
          <t>No</t>
        </is>
      </c>
      <c r="R92" s="26" t="inlineStr">
        <is>
          <t>Good finish</t>
        </is>
      </c>
      <c r="S92" s="26" t="inlineStr">
        <is>
          <t>Yes</t>
        </is>
      </c>
      <c r="T92" s="27" t="n"/>
      <c r="U92" s="28" t="inlineStr">
        <is>
          <t>No</t>
        </is>
      </c>
      <c r="V92" s="29">
        <f>IF(N92="","",IF(Q92="Yes","❌ Disc",IF(P92="No","⚠ Missing",IF(S92="Yes","✓ OK","⚠ Check"))))</f>
        <v/>
      </c>
      <c r="W92" s="65" t="n">
        <v>46248</v>
      </c>
      <c r="X92" s="30" t="inlineStr">
        <is>
          <t>Sunil CR</t>
        </is>
      </c>
      <c r="Y92" s="30" t="inlineStr">
        <is>
          <t>Yes</t>
        </is>
      </c>
      <c r="Z92" s="30" t="n"/>
      <c r="AA92" s="30" t="inlineStr">
        <is>
          <t>Good finish</t>
        </is>
      </c>
      <c r="AB92" s="30" t="inlineStr">
        <is>
          <t>Yes</t>
        </is>
      </c>
      <c r="AC92" s="27" t="n"/>
      <c r="AD92" s="31" t="inlineStr">
        <is>
          <t>No</t>
        </is>
      </c>
      <c r="AE92" s="32">
        <f>IF(W92="","",IF(Z92="Yes","❌ Disc",IF(Y92="No","⚠ Missing",IF(AB92="Yes","✓ OK","⚠ Check"))))</f>
        <v/>
      </c>
      <c r="AF92" s="33" t="n"/>
      <c r="AG92" s="33" t="n"/>
      <c r="AH92" s="33" t="n"/>
      <c r="AI92" s="33" t="n"/>
      <c r="AJ92" s="33" t="n"/>
      <c r="AK92" s="33" t="n"/>
      <c r="AL92" s="27" t="n"/>
      <c r="AM92" s="34" t="n"/>
      <c r="AN92" s="35">
        <f>IF(AF92="","",IF(AI92="Yes","❌ Disc",IF(AH92="No","⚠ Missing",IF(AK92="Yes","✓ OK","⚠ Check"))))</f>
        <v/>
      </c>
      <c r="AO92" s="36" t="n"/>
      <c r="AP92" s="36" t="n"/>
      <c r="AQ92" s="36" t="n"/>
      <c r="AR92" s="36" t="n"/>
      <c r="AS92" s="36" t="n"/>
      <c r="AT92" s="36" t="n"/>
      <c r="AU92" s="27" t="n"/>
      <c r="AV92" s="37" t="n"/>
      <c r="AW92" s="38">
        <f>IF(AO92="","",IF(AR92="Yes","❌ Disc",IF(AQ92="No","⚠ Missing",IF(AT92="Yes","✓ OK","⚠ Check"))))</f>
        <v/>
      </c>
    </row>
    <row r="93" ht="18" customHeight="1" s="46">
      <c r="A93" s="23" t="n">
        <v>89</v>
      </c>
      <c r="B93" s="24" t="inlineStr">
        <is>
          <t>BD-VRM-2026-0357</t>
        </is>
      </c>
      <c r="C93" s="25" t="inlineStr">
        <is>
          <t>Excel  - Hot Spots  Wallpaper 39566-5</t>
        </is>
      </c>
      <c r="D93" s="23" t="inlineStr">
        <is>
          <t>Excel</t>
        </is>
      </c>
      <c r="E93" s="43" t="n">
        <v>46125</v>
      </c>
      <c r="F93" s="26" t="inlineStr">
        <is>
          <t>Sunil CR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Good finish</t>
        </is>
      </c>
      <c r="J93" s="26" t="inlineStr">
        <is>
          <t>Yes</t>
        </is>
      </c>
      <c r="K93" s="27" t="n"/>
      <c r="L93" s="28" t="inlineStr">
        <is>
          <t>No</t>
        </is>
      </c>
      <c r="M93" s="29">
        <f>IF(E93="","",IF(H93="Yes","❌ Disc",IF(G93="No","⚠ Missing",IF(J93="Yes","✓ OK","⚠ Check"))))</f>
        <v/>
      </c>
      <c r="N93" s="43" t="n">
        <v>46193</v>
      </c>
      <c r="O93" s="26" t="inlineStr">
        <is>
          <t>Sunil CR</t>
        </is>
      </c>
      <c r="P93" s="26" t="inlineStr">
        <is>
          <t>Yes</t>
        </is>
      </c>
      <c r="Q93" s="26" t="inlineStr">
        <is>
          <t>No</t>
        </is>
      </c>
      <c r="R93" s="26" t="inlineStr">
        <is>
          <t>Good finish</t>
        </is>
      </c>
      <c r="S93" s="26" t="inlineStr">
        <is>
          <t>Yes</t>
        </is>
      </c>
      <c r="T93" s="27" t="n"/>
      <c r="U93" s="28" t="inlineStr">
        <is>
          <t>No</t>
        </is>
      </c>
      <c r="V93" s="29">
        <f>IF(N93="","",IF(Q93="Yes","❌ Disc",IF(P93="No","⚠ Missing",IF(S93="Yes","✓ OK","⚠ Check"))))</f>
        <v/>
      </c>
      <c r="W93" s="65" t="n">
        <v>46248</v>
      </c>
      <c r="X93" s="30" t="inlineStr">
        <is>
          <t>Sunil CR</t>
        </is>
      </c>
      <c r="Y93" s="30" t="inlineStr">
        <is>
          <t>Yes</t>
        </is>
      </c>
      <c r="Z93" s="30" t="n"/>
      <c r="AA93" s="30" t="inlineStr">
        <is>
          <t>Good finish</t>
        </is>
      </c>
      <c r="AB93" s="30" t="inlineStr">
        <is>
          <t>Yes</t>
        </is>
      </c>
      <c r="AC93" s="27" t="n"/>
      <c r="AD93" s="31" t="inlineStr">
        <is>
          <t>No</t>
        </is>
      </c>
      <c r="AE93" s="32">
        <f>IF(W93="","",IF(Z93="Yes","❌ Disc",IF(Y93="No","⚠ Missing",IF(AB93="Yes","✓ OK","⚠ Check"))))</f>
        <v/>
      </c>
      <c r="AF93" s="33" t="n"/>
      <c r="AG93" s="33" t="n"/>
      <c r="AH93" s="33" t="n"/>
      <c r="AI93" s="33" t="n"/>
      <c r="AJ93" s="33" t="n"/>
      <c r="AK93" s="33" t="n"/>
      <c r="AL93" s="27" t="n"/>
      <c r="AM93" s="34" t="n"/>
      <c r="AN93" s="35">
        <f>IF(AF93="","",IF(AI93="Yes","❌ Disc",IF(AH93="No","⚠ Missing",IF(AK93="Yes","✓ OK","⚠ Check"))))</f>
        <v/>
      </c>
      <c r="AO93" s="36" t="n"/>
      <c r="AP93" s="36" t="n"/>
      <c r="AQ93" s="36" t="n"/>
      <c r="AR93" s="36" t="n"/>
      <c r="AS93" s="36" t="n"/>
      <c r="AT93" s="36" t="n"/>
      <c r="AU93" s="27" t="n"/>
      <c r="AV93" s="37" t="n"/>
      <c r="AW93" s="38">
        <f>IF(AO93="","",IF(AR93="Yes","❌ Disc",IF(AQ93="No","⚠ Missing",IF(AT93="Yes","✓ OK","⚠ Check"))))</f>
        <v/>
      </c>
    </row>
    <row r="94" ht="18" customHeight="1" s="46">
      <c r="A94" s="39" t="n">
        <v>90</v>
      </c>
      <c r="B94" s="40" t="inlineStr">
        <is>
          <t>BD-VRM-2026-0358</t>
        </is>
      </c>
      <c r="C94" s="41" t="inlineStr">
        <is>
          <t>Excel  - Hot Spots  Wallpaper 39566-6</t>
        </is>
      </c>
      <c r="D94" s="39" t="inlineStr">
        <is>
          <t>Excel</t>
        </is>
      </c>
      <c r="E94" s="43" t="n">
        <v>46125</v>
      </c>
      <c r="F94" s="26" t="inlineStr">
        <is>
          <t>Sunil CR</t>
        </is>
      </c>
      <c r="G94" s="26" t="inlineStr">
        <is>
          <t>Yes</t>
        </is>
      </c>
      <c r="H94" s="26" t="inlineStr">
        <is>
          <t>No</t>
        </is>
      </c>
      <c r="I94" s="26" t="inlineStr">
        <is>
          <t>Good finish</t>
        </is>
      </c>
      <c r="J94" s="26" t="inlineStr">
        <is>
          <t>Yes</t>
        </is>
      </c>
      <c r="K94" s="27" t="n"/>
      <c r="L94" s="28" t="inlineStr">
        <is>
          <t>No</t>
        </is>
      </c>
      <c r="M94" s="29">
        <f>IF(E94="","",IF(H94="Yes","❌ Disc",IF(G94="No","⚠ Missing",IF(J94="Yes","✓ OK","⚠ Check"))))</f>
        <v/>
      </c>
      <c r="N94" s="43" t="n">
        <v>46193</v>
      </c>
      <c r="O94" s="26" t="inlineStr">
        <is>
          <t>Sunil CR</t>
        </is>
      </c>
      <c r="P94" s="26" t="inlineStr">
        <is>
          <t>Yes</t>
        </is>
      </c>
      <c r="Q94" s="26" t="inlineStr">
        <is>
          <t>No</t>
        </is>
      </c>
      <c r="R94" s="26" t="inlineStr">
        <is>
          <t>Good finish</t>
        </is>
      </c>
      <c r="S94" s="26" t="inlineStr">
        <is>
          <t>Yes</t>
        </is>
      </c>
      <c r="T94" s="27" t="n"/>
      <c r="U94" s="28" t="inlineStr">
        <is>
          <t>No</t>
        </is>
      </c>
      <c r="V94" s="29">
        <f>IF(N94="","",IF(Q94="Yes","❌ Disc",IF(P94="No","⚠ Missing",IF(S94="Yes","✓ OK","⚠ Check"))))</f>
        <v/>
      </c>
      <c r="W94" s="65" t="n">
        <v>46248</v>
      </c>
      <c r="X94" s="30" t="inlineStr">
        <is>
          <t>Sunil CR</t>
        </is>
      </c>
      <c r="Y94" s="30" t="inlineStr">
        <is>
          <t>Yes</t>
        </is>
      </c>
      <c r="Z94" s="30" t="n"/>
      <c r="AA94" s="30" t="inlineStr">
        <is>
          <t>Good finish</t>
        </is>
      </c>
      <c r="AB94" s="30" t="inlineStr">
        <is>
          <t>Yes</t>
        </is>
      </c>
      <c r="AC94" s="27" t="n"/>
      <c r="AD94" s="31" t="inlineStr">
        <is>
          <t>No</t>
        </is>
      </c>
      <c r="AE94" s="32">
        <f>IF(W94="","",IF(Z94="Yes","❌ Disc",IF(Y94="No","⚠ Missing",IF(AB94="Yes","✓ OK","⚠ Check"))))</f>
        <v/>
      </c>
      <c r="AF94" s="33" t="n"/>
      <c r="AG94" s="33" t="n"/>
      <c r="AH94" s="33" t="n"/>
      <c r="AI94" s="33" t="n"/>
      <c r="AJ94" s="33" t="n"/>
      <c r="AK94" s="33" t="n"/>
      <c r="AL94" s="27" t="n"/>
      <c r="AM94" s="34" t="n"/>
      <c r="AN94" s="35">
        <f>IF(AF94="","",IF(AI94="Yes","❌ Disc",IF(AH94="No","⚠ Missing",IF(AK94="Yes","✓ OK","⚠ Check"))))</f>
        <v/>
      </c>
      <c r="AO94" s="36" t="n"/>
      <c r="AP94" s="36" t="n"/>
      <c r="AQ94" s="36" t="n"/>
      <c r="AR94" s="36" t="n"/>
      <c r="AS94" s="36" t="n"/>
      <c r="AT94" s="36" t="n"/>
      <c r="AU94" s="27" t="n"/>
      <c r="AV94" s="37" t="n"/>
      <c r="AW94" s="38">
        <f>IF(AO94="","",IF(AR94="Yes","❌ Disc",IF(AQ94="No","⚠ Missing",IF(AT94="Yes","✓ OK","⚠ Check"))))</f>
        <v/>
      </c>
    </row>
    <row r="95" ht="18" customHeight="1" s="46">
      <c r="A95" s="23" t="n">
        <v>91</v>
      </c>
      <c r="B95" s="24" t="inlineStr">
        <is>
          <t>BD-VRM-2026-0359</t>
        </is>
      </c>
      <c r="C95" s="25" t="inlineStr">
        <is>
          <t>Excel  - Hot Spots  Wallpaper 39566-7</t>
        </is>
      </c>
      <c r="D95" s="23" t="inlineStr">
        <is>
          <t>Excel</t>
        </is>
      </c>
      <c r="E95" s="43" t="n">
        <v>46125</v>
      </c>
      <c r="F95" s="26" t="inlineStr">
        <is>
          <t>Sunil CR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Good finish</t>
        </is>
      </c>
      <c r="J95" s="26" t="inlineStr">
        <is>
          <t>Yes</t>
        </is>
      </c>
      <c r="K95" s="27" t="n"/>
      <c r="L95" s="28" t="inlineStr">
        <is>
          <t>No</t>
        </is>
      </c>
      <c r="M95" s="29">
        <f>IF(E95="","",IF(H95="Yes","❌ Disc",IF(G95="No","⚠ Missing",IF(J95="Yes","✓ OK","⚠ Check"))))</f>
        <v/>
      </c>
      <c r="N95" s="43" t="n">
        <v>46193</v>
      </c>
      <c r="O95" s="26" t="inlineStr">
        <is>
          <t>Sunil CR</t>
        </is>
      </c>
      <c r="P95" s="26" t="inlineStr">
        <is>
          <t>Yes</t>
        </is>
      </c>
      <c r="Q95" s="26" t="inlineStr">
        <is>
          <t>No</t>
        </is>
      </c>
      <c r="R95" s="26" t="inlineStr">
        <is>
          <t>Good finish</t>
        </is>
      </c>
      <c r="S95" s="26" t="inlineStr">
        <is>
          <t>Yes</t>
        </is>
      </c>
      <c r="T95" s="27" t="n"/>
      <c r="U95" s="28" t="inlineStr">
        <is>
          <t>No</t>
        </is>
      </c>
      <c r="V95" s="29">
        <f>IF(N95="","",IF(Q95="Yes","❌ Disc",IF(P95="No","⚠ Missing",IF(S95="Yes","✓ OK","⚠ Check"))))</f>
        <v/>
      </c>
      <c r="W95" s="65" t="n">
        <v>46248</v>
      </c>
      <c r="X95" s="30" t="inlineStr">
        <is>
          <t>Sunil CR</t>
        </is>
      </c>
      <c r="Y95" s="30" t="inlineStr">
        <is>
          <t>Yes</t>
        </is>
      </c>
      <c r="Z95" s="30" t="n"/>
      <c r="AA95" s="30" t="inlineStr">
        <is>
          <t>Good finish</t>
        </is>
      </c>
      <c r="AB95" s="30" t="inlineStr">
        <is>
          <t>Yes</t>
        </is>
      </c>
      <c r="AC95" s="27" t="n"/>
      <c r="AD95" s="31" t="inlineStr">
        <is>
          <t>No</t>
        </is>
      </c>
      <c r="AE95" s="32">
        <f>IF(W95="","",IF(Z95="Yes","❌ Disc",IF(Y95="No","⚠ Missing",IF(AB95="Yes","✓ OK","⚠ Check"))))</f>
        <v/>
      </c>
      <c r="AF95" s="33" t="n"/>
      <c r="AG95" s="33" t="n"/>
      <c r="AH95" s="33" t="n"/>
      <c r="AI95" s="33" t="n"/>
      <c r="AJ95" s="33" t="n"/>
      <c r="AK95" s="33" t="n"/>
      <c r="AL95" s="27" t="n"/>
      <c r="AM95" s="34" t="n"/>
      <c r="AN95" s="35">
        <f>IF(AF95="","",IF(AI95="Yes","❌ Disc",IF(AH95="No","⚠ Missing",IF(AK95="Yes","✓ OK","⚠ Check"))))</f>
        <v/>
      </c>
      <c r="AO95" s="36" t="n"/>
      <c r="AP95" s="36" t="n"/>
      <c r="AQ95" s="36" t="n"/>
      <c r="AR95" s="36" t="n"/>
      <c r="AS95" s="36" t="n"/>
      <c r="AT95" s="36" t="n"/>
      <c r="AU95" s="27" t="n"/>
      <c r="AV95" s="37" t="n"/>
      <c r="AW95" s="38">
        <f>IF(AO95="","",IF(AR95="Yes","❌ Disc",IF(AQ95="No","⚠ Missing",IF(AT95="Yes","✓ OK","⚠ Check"))))</f>
        <v/>
      </c>
    </row>
    <row r="96" ht="18" customHeight="1" s="46">
      <c r="A96" s="39" t="n">
        <v>92</v>
      </c>
      <c r="B96" s="40" t="inlineStr">
        <is>
          <t>BD-VRM-2026-0360</t>
        </is>
      </c>
      <c r="C96" s="41" t="inlineStr">
        <is>
          <t>Excel  - Hot Spots  Wallpaper 39566-8</t>
        </is>
      </c>
      <c r="D96" s="39" t="inlineStr">
        <is>
          <t>Excel</t>
        </is>
      </c>
      <c r="E96" s="43" t="n">
        <v>46125</v>
      </c>
      <c r="F96" s="26" t="inlineStr">
        <is>
          <t>Sunil CR</t>
        </is>
      </c>
      <c r="G96" s="26" t="inlineStr">
        <is>
          <t>Yes</t>
        </is>
      </c>
      <c r="H96" s="26" t="inlineStr">
        <is>
          <t>No</t>
        </is>
      </c>
      <c r="I96" s="26" t="inlineStr">
        <is>
          <t>Good finish</t>
        </is>
      </c>
      <c r="J96" s="26" t="inlineStr">
        <is>
          <t>Yes</t>
        </is>
      </c>
      <c r="K96" s="27" t="n"/>
      <c r="L96" s="28" t="inlineStr">
        <is>
          <t>No</t>
        </is>
      </c>
      <c r="M96" s="29">
        <f>IF(E96="","",IF(H96="Yes","❌ Disc",IF(G96="No","⚠ Missing",IF(J96="Yes","✓ OK","⚠ Check"))))</f>
        <v/>
      </c>
      <c r="N96" s="43" t="n">
        <v>46193</v>
      </c>
      <c r="O96" s="26" t="inlineStr">
        <is>
          <t>Sunil CR</t>
        </is>
      </c>
      <c r="P96" s="26" t="inlineStr">
        <is>
          <t>Yes</t>
        </is>
      </c>
      <c r="Q96" s="26" t="inlineStr">
        <is>
          <t>No</t>
        </is>
      </c>
      <c r="R96" s="26" t="inlineStr">
        <is>
          <t>Good finish</t>
        </is>
      </c>
      <c r="S96" s="26" t="inlineStr">
        <is>
          <t>Yes</t>
        </is>
      </c>
      <c r="T96" s="27" t="n"/>
      <c r="U96" s="28" t="inlineStr">
        <is>
          <t>No</t>
        </is>
      </c>
      <c r="V96" s="29">
        <f>IF(N96="","",IF(Q96="Yes","❌ Disc",IF(P96="No","⚠ Missing",IF(S96="Yes","✓ OK","⚠ Check"))))</f>
        <v/>
      </c>
      <c r="W96" s="65" t="n">
        <v>46248</v>
      </c>
      <c r="X96" s="30" t="inlineStr">
        <is>
          <t>Sunil CR</t>
        </is>
      </c>
      <c r="Y96" s="30" t="inlineStr">
        <is>
          <t>Yes</t>
        </is>
      </c>
      <c r="Z96" s="30" t="n"/>
      <c r="AA96" s="30" t="inlineStr">
        <is>
          <t>Good finish</t>
        </is>
      </c>
      <c r="AB96" s="30" t="inlineStr">
        <is>
          <t>Yes</t>
        </is>
      </c>
      <c r="AC96" s="27" t="n"/>
      <c r="AD96" s="31" t="inlineStr">
        <is>
          <t>No</t>
        </is>
      </c>
      <c r="AE96" s="32">
        <f>IF(W96="","",IF(Z96="Yes","❌ Disc",IF(Y96="No","⚠ Missing",IF(AB96="Yes","✓ OK","⚠ Check"))))</f>
        <v/>
      </c>
      <c r="AF96" s="33" t="n"/>
      <c r="AG96" s="33" t="n"/>
      <c r="AH96" s="33" t="n"/>
      <c r="AI96" s="33" t="n"/>
      <c r="AJ96" s="33" t="n"/>
      <c r="AK96" s="33" t="n"/>
      <c r="AL96" s="27" t="n"/>
      <c r="AM96" s="34" t="n"/>
      <c r="AN96" s="35">
        <f>IF(AF96="","",IF(AI96="Yes","❌ Disc",IF(AH96="No","⚠ Missing",IF(AK96="Yes","✓ OK","⚠ Check"))))</f>
        <v/>
      </c>
      <c r="AO96" s="36" t="n"/>
      <c r="AP96" s="36" t="n"/>
      <c r="AQ96" s="36" t="n"/>
      <c r="AR96" s="36" t="n"/>
      <c r="AS96" s="36" t="n"/>
      <c r="AT96" s="36" t="n"/>
      <c r="AU96" s="27" t="n"/>
      <c r="AV96" s="37" t="n"/>
      <c r="AW96" s="38">
        <f>IF(AO96="","",IF(AR96="Yes","❌ Disc",IF(AQ96="No","⚠ Missing",IF(AT96="Yes","✓ OK","⚠ Check"))))</f>
        <v/>
      </c>
    </row>
    <row r="97" ht="18" customHeight="1" s="46">
      <c r="A97" s="23" t="n">
        <v>93</v>
      </c>
      <c r="B97" s="24" t="inlineStr">
        <is>
          <t>BD-VRM-2026-0361</t>
        </is>
      </c>
      <c r="C97" s="25" t="inlineStr">
        <is>
          <t>Excel  - Hot Spots  Wallpaper 39566-9</t>
        </is>
      </c>
      <c r="D97" s="23" t="inlineStr">
        <is>
          <t>Excel</t>
        </is>
      </c>
      <c r="E97" s="43" t="n">
        <v>46125</v>
      </c>
      <c r="F97" s="26" t="inlineStr">
        <is>
          <t>Sunil CR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Good finish</t>
        </is>
      </c>
      <c r="J97" s="26" t="inlineStr">
        <is>
          <t>Yes</t>
        </is>
      </c>
      <c r="K97" s="27" t="n"/>
      <c r="L97" s="28" t="inlineStr">
        <is>
          <t>No</t>
        </is>
      </c>
      <c r="M97" s="29">
        <f>IF(E97="","",IF(H97="Yes","❌ Disc",IF(G97="No","⚠ Missing",IF(J97="Yes","✓ OK","⚠ Check"))))</f>
        <v/>
      </c>
      <c r="N97" s="43" t="n">
        <v>46193</v>
      </c>
      <c r="O97" s="26" t="inlineStr">
        <is>
          <t>Sunil CR</t>
        </is>
      </c>
      <c r="P97" s="26" t="inlineStr">
        <is>
          <t>Yes</t>
        </is>
      </c>
      <c r="Q97" s="26" t="inlineStr">
        <is>
          <t>No</t>
        </is>
      </c>
      <c r="R97" s="26" t="inlineStr">
        <is>
          <t>Good finish</t>
        </is>
      </c>
      <c r="S97" s="26" t="inlineStr">
        <is>
          <t>Yes</t>
        </is>
      </c>
      <c r="T97" s="27" t="n"/>
      <c r="U97" s="28" t="inlineStr">
        <is>
          <t>No</t>
        </is>
      </c>
      <c r="V97" s="29">
        <f>IF(N97="","",IF(Q97="Yes","❌ Disc",IF(P97="No","⚠ Missing",IF(S97="Yes","✓ OK","⚠ Check"))))</f>
        <v/>
      </c>
      <c r="W97" s="65" t="n">
        <v>46248</v>
      </c>
      <c r="X97" s="30" t="inlineStr">
        <is>
          <t>Sunil CR</t>
        </is>
      </c>
      <c r="Y97" s="30" t="inlineStr">
        <is>
          <t>Yes</t>
        </is>
      </c>
      <c r="Z97" s="30" t="n"/>
      <c r="AA97" s="30" t="inlineStr">
        <is>
          <t>Good finish</t>
        </is>
      </c>
      <c r="AB97" s="30" t="inlineStr">
        <is>
          <t>Yes</t>
        </is>
      </c>
      <c r="AC97" s="27" t="n"/>
      <c r="AD97" s="31" t="inlineStr">
        <is>
          <t>No</t>
        </is>
      </c>
      <c r="AE97" s="32">
        <f>IF(W97="","",IF(Z97="Yes","❌ Disc",IF(Y97="No","⚠ Missing",IF(AB97="Yes","✓ OK","⚠ Check"))))</f>
        <v/>
      </c>
      <c r="AF97" s="33" t="n"/>
      <c r="AG97" s="33" t="n"/>
      <c r="AH97" s="33" t="n"/>
      <c r="AI97" s="33" t="n"/>
      <c r="AJ97" s="33" t="n"/>
      <c r="AK97" s="33" t="n"/>
      <c r="AL97" s="27" t="n"/>
      <c r="AM97" s="34" t="n"/>
      <c r="AN97" s="35">
        <f>IF(AF97="","",IF(AI97="Yes","❌ Disc",IF(AH97="No","⚠ Missing",IF(AK97="Yes","✓ OK","⚠ Check"))))</f>
        <v/>
      </c>
      <c r="AO97" s="36" t="n"/>
      <c r="AP97" s="36" t="n"/>
      <c r="AQ97" s="36" t="n"/>
      <c r="AR97" s="36" t="n"/>
      <c r="AS97" s="36" t="n"/>
      <c r="AT97" s="36" t="n"/>
      <c r="AU97" s="27" t="n"/>
      <c r="AV97" s="37" t="n"/>
      <c r="AW97" s="38">
        <f>IF(AO97="","",IF(AR97="Yes","❌ Disc",IF(AQ97="No","⚠ Missing",IF(AT97="Yes","✓ OK","⚠ Check"))))</f>
        <v/>
      </c>
    </row>
    <row r="98" ht="18" customHeight="1" s="46">
      <c r="A98" s="39" t="n">
        <v>94</v>
      </c>
      <c r="B98" s="40" t="inlineStr">
        <is>
          <t>BD-VRM-2026-0362</t>
        </is>
      </c>
      <c r="C98" s="41" t="inlineStr">
        <is>
          <t>Excel  - Hot Spots  Wallpaper 39567-2</t>
        </is>
      </c>
      <c r="D98" s="39" t="inlineStr">
        <is>
          <t>Excel</t>
        </is>
      </c>
      <c r="E98" s="43" t="n">
        <v>46125</v>
      </c>
      <c r="F98" s="26" t="inlineStr">
        <is>
          <t>Sunil CR</t>
        </is>
      </c>
      <c r="G98" s="26" t="inlineStr">
        <is>
          <t>Yes</t>
        </is>
      </c>
      <c r="H98" s="26" t="inlineStr">
        <is>
          <t>No</t>
        </is>
      </c>
      <c r="I98" s="26" t="inlineStr">
        <is>
          <t>Good finish</t>
        </is>
      </c>
      <c r="J98" s="26" t="inlineStr">
        <is>
          <t>Yes</t>
        </is>
      </c>
      <c r="K98" s="27" t="n"/>
      <c r="L98" s="28" t="inlineStr">
        <is>
          <t>No</t>
        </is>
      </c>
      <c r="M98" s="29">
        <f>IF(E98="","",IF(H98="Yes","❌ Disc",IF(G98="No","⚠ Missing",IF(J98="Yes","✓ OK","⚠ Check"))))</f>
        <v/>
      </c>
      <c r="N98" s="43" t="n">
        <v>46193</v>
      </c>
      <c r="O98" s="26" t="inlineStr">
        <is>
          <t>Sunil CR</t>
        </is>
      </c>
      <c r="P98" s="26" t="inlineStr">
        <is>
          <t>Yes</t>
        </is>
      </c>
      <c r="Q98" s="26" t="inlineStr">
        <is>
          <t>No</t>
        </is>
      </c>
      <c r="R98" s="26" t="inlineStr">
        <is>
          <t>Good finish</t>
        </is>
      </c>
      <c r="S98" s="26" t="inlineStr">
        <is>
          <t>Yes</t>
        </is>
      </c>
      <c r="T98" s="27" t="n"/>
      <c r="U98" s="28" t="inlineStr">
        <is>
          <t>No</t>
        </is>
      </c>
      <c r="V98" s="29">
        <f>IF(N98="","",IF(Q98="Yes","❌ Disc",IF(P98="No","⚠ Missing",IF(S98="Yes","✓ OK","⚠ Check"))))</f>
        <v/>
      </c>
      <c r="W98" s="65" t="n">
        <v>46248</v>
      </c>
      <c r="X98" s="30" t="inlineStr">
        <is>
          <t>Sunil CR</t>
        </is>
      </c>
      <c r="Y98" s="30" t="inlineStr">
        <is>
          <t>Yes</t>
        </is>
      </c>
      <c r="Z98" s="30" t="n"/>
      <c r="AA98" s="30" t="inlineStr">
        <is>
          <t>Good finish</t>
        </is>
      </c>
      <c r="AB98" s="30" t="inlineStr">
        <is>
          <t>Yes</t>
        </is>
      </c>
      <c r="AC98" s="27" t="n"/>
      <c r="AD98" s="31" t="inlineStr">
        <is>
          <t>No</t>
        </is>
      </c>
      <c r="AE98" s="32">
        <f>IF(W98="","",IF(Z98="Yes","❌ Disc",IF(Y98="No","⚠ Missing",IF(AB98="Yes","✓ OK","⚠ Check"))))</f>
        <v/>
      </c>
      <c r="AF98" s="33" t="n"/>
      <c r="AG98" s="33" t="n"/>
      <c r="AH98" s="33" t="n"/>
      <c r="AI98" s="33" t="n"/>
      <c r="AJ98" s="33" t="n"/>
      <c r="AK98" s="33" t="n"/>
      <c r="AL98" s="27" t="n"/>
      <c r="AM98" s="34" t="n"/>
      <c r="AN98" s="35">
        <f>IF(AF98="","",IF(AI98="Yes","❌ Disc",IF(AH98="No","⚠ Missing",IF(AK98="Yes","✓ OK","⚠ Check"))))</f>
        <v/>
      </c>
      <c r="AO98" s="36" t="n"/>
      <c r="AP98" s="36" t="n"/>
      <c r="AQ98" s="36" t="n"/>
      <c r="AR98" s="36" t="n"/>
      <c r="AS98" s="36" t="n"/>
      <c r="AT98" s="36" t="n"/>
      <c r="AU98" s="27" t="n"/>
      <c r="AV98" s="37" t="n"/>
      <c r="AW98" s="38">
        <f>IF(AO98="","",IF(AR98="Yes","❌ Disc",IF(AQ98="No","⚠ Missing",IF(AT98="Yes","✓ OK","⚠ Check"))))</f>
        <v/>
      </c>
    </row>
    <row r="99" ht="18" customHeight="1" s="46">
      <c r="A99" s="23" t="n">
        <v>95</v>
      </c>
      <c r="B99" s="24" t="inlineStr">
        <is>
          <t>BD-VRM-2026-0282</t>
        </is>
      </c>
      <c r="C99" s="25" t="inlineStr">
        <is>
          <t>Excel  - Hot Spots  Wallpaper 78198-1</t>
        </is>
      </c>
      <c r="D99" s="23" t="inlineStr">
        <is>
          <t>Excel</t>
        </is>
      </c>
      <c r="E99" s="43" t="n">
        <v>46125</v>
      </c>
      <c r="F99" s="26" t="inlineStr">
        <is>
          <t>Sunil CR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Good finish</t>
        </is>
      </c>
      <c r="J99" s="26" t="inlineStr">
        <is>
          <t>Yes</t>
        </is>
      </c>
      <c r="K99" s="27" t="n"/>
      <c r="L99" s="28" t="inlineStr">
        <is>
          <t>No</t>
        </is>
      </c>
      <c r="M99" s="29">
        <f>IF(E99="","",IF(H99="Yes","❌ Disc",IF(G99="No","⚠ Missing",IF(J99="Yes","✓ OK","⚠ Check"))))</f>
        <v/>
      </c>
      <c r="N99" s="43" t="n">
        <v>46193</v>
      </c>
      <c r="O99" s="26" t="inlineStr">
        <is>
          <t>Sunil CR</t>
        </is>
      </c>
      <c r="P99" s="26" t="inlineStr">
        <is>
          <t>Yes</t>
        </is>
      </c>
      <c r="Q99" s="26" t="inlineStr">
        <is>
          <t>No</t>
        </is>
      </c>
      <c r="R99" s="26" t="inlineStr">
        <is>
          <t>Good finish</t>
        </is>
      </c>
      <c r="S99" s="26" t="inlineStr">
        <is>
          <t>Yes</t>
        </is>
      </c>
      <c r="T99" s="27" t="n"/>
      <c r="U99" s="28" t="inlineStr">
        <is>
          <t>No</t>
        </is>
      </c>
      <c r="V99" s="29">
        <f>IF(N99="","",IF(Q99="Yes","❌ Disc",IF(P99="No","⚠ Missing",IF(S99="Yes","✓ OK","⚠ Check"))))</f>
        <v/>
      </c>
      <c r="W99" s="65" t="n">
        <v>46248</v>
      </c>
      <c r="X99" s="30" t="inlineStr">
        <is>
          <t>Sunil CR</t>
        </is>
      </c>
      <c r="Y99" s="30" t="inlineStr">
        <is>
          <t>Yes</t>
        </is>
      </c>
      <c r="Z99" s="30" t="n"/>
      <c r="AA99" s="30" t="inlineStr">
        <is>
          <t>Good finish</t>
        </is>
      </c>
      <c r="AB99" s="30" t="inlineStr">
        <is>
          <t>Yes</t>
        </is>
      </c>
      <c r="AC99" s="27" t="n"/>
      <c r="AD99" s="31" t="inlineStr">
        <is>
          <t>No</t>
        </is>
      </c>
      <c r="AE99" s="32">
        <f>IF(W99="","",IF(Z99="Yes","❌ Disc",IF(Y99="No","⚠ Missing",IF(AB99="Yes","✓ OK","⚠ Check"))))</f>
        <v/>
      </c>
      <c r="AF99" s="33" t="n"/>
      <c r="AG99" s="33" t="n"/>
      <c r="AH99" s="33" t="n"/>
      <c r="AI99" s="33" t="n"/>
      <c r="AJ99" s="33" t="n"/>
      <c r="AK99" s="33" t="n"/>
      <c r="AL99" s="27" t="n"/>
      <c r="AM99" s="34" t="n"/>
      <c r="AN99" s="35">
        <f>IF(AF99="","",IF(AI99="Yes","❌ Disc",IF(AH99="No","⚠ Missing",IF(AK99="Yes","✓ OK","⚠ Check"))))</f>
        <v/>
      </c>
      <c r="AO99" s="36" t="n"/>
      <c r="AP99" s="36" t="n"/>
      <c r="AQ99" s="36" t="n"/>
      <c r="AR99" s="36" t="n"/>
      <c r="AS99" s="36" t="n"/>
      <c r="AT99" s="36" t="n"/>
      <c r="AU99" s="27" t="n"/>
      <c r="AV99" s="37" t="n"/>
      <c r="AW99" s="38">
        <f>IF(AO99="","",IF(AR99="Yes","❌ Disc",IF(AQ99="No","⚠ Missing",IF(AT99="Yes","✓ OK","⚠ Check"))))</f>
        <v/>
      </c>
    </row>
    <row r="100" ht="18" customHeight="1" s="46">
      <c r="A100" s="39" t="n">
        <v>96</v>
      </c>
      <c r="B100" s="40" t="inlineStr">
        <is>
          <t>BD-VRM-2026-0283</t>
        </is>
      </c>
      <c r="C100" s="41" t="inlineStr">
        <is>
          <t>Excel  - Hot Spots  Wallpaper 78198-2</t>
        </is>
      </c>
      <c r="D100" s="39" t="inlineStr">
        <is>
          <t>Excel</t>
        </is>
      </c>
      <c r="E100" s="43" t="n">
        <v>46125</v>
      </c>
      <c r="F100" s="26" t="inlineStr">
        <is>
          <t>Sunil CR</t>
        </is>
      </c>
      <c r="G100" s="26" t="inlineStr">
        <is>
          <t>Yes</t>
        </is>
      </c>
      <c r="H100" s="26" t="inlineStr">
        <is>
          <t>No</t>
        </is>
      </c>
      <c r="I100" s="26" t="inlineStr">
        <is>
          <t>Good finish</t>
        </is>
      </c>
      <c r="J100" s="26" t="inlineStr">
        <is>
          <t>Yes</t>
        </is>
      </c>
      <c r="K100" s="27" t="n"/>
      <c r="L100" s="28" t="inlineStr">
        <is>
          <t>No</t>
        </is>
      </c>
      <c r="M100" s="29">
        <f>IF(E100="","",IF(H100="Yes","❌ Disc",IF(G100="No","⚠ Missing",IF(J100="Yes","✓ OK","⚠ Check"))))</f>
        <v/>
      </c>
      <c r="N100" s="43" t="n">
        <v>46193</v>
      </c>
      <c r="O100" s="26" t="inlineStr">
        <is>
          <t>Sunil CR</t>
        </is>
      </c>
      <c r="P100" s="26" t="inlineStr">
        <is>
          <t>Yes</t>
        </is>
      </c>
      <c r="Q100" s="26" t="inlineStr">
        <is>
          <t>No</t>
        </is>
      </c>
      <c r="R100" s="26" t="inlineStr">
        <is>
          <t>Good finish</t>
        </is>
      </c>
      <c r="S100" s="26" t="inlineStr">
        <is>
          <t>Yes</t>
        </is>
      </c>
      <c r="T100" s="27" t="n"/>
      <c r="U100" s="28" t="inlineStr">
        <is>
          <t>No</t>
        </is>
      </c>
      <c r="V100" s="29">
        <f>IF(N100="","",IF(Q100="Yes","❌ Disc",IF(P100="No","⚠ Missing",IF(S100="Yes","✓ OK","⚠ Check"))))</f>
        <v/>
      </c>
      <c r="W100" s="65" t="n">
        <v>46248</v>
      </c>
      <c r="X100" s="30" t="inlineStr">
        <is>
          <t>Sunil CR</t>
        </is>
      </c>
      <c r="Y100" s="30" t="inlineStr">
        <is>
          <t>Yes</t>
        </is>
      </c>
      <c r="Z100" s="30" t="n"/>
      <c r="AA100" s="30" t="inlineStr">
        <is>
          <t>Good finish</t>
        </is>
      </c>
      <c r="AB100" s="30" t="inlineStr">
        <is>
          <t>Yes</t>
        </is>
      </c>
      <c r="AC100" s="27" t="n"/>
      <c r="AD100" s="31" t="inlineStr">
        <is>
          <t>No</t>
        </is>
      </c>
      <c r="AE100" s="32">
        <f>IF(W100="","",IF(Z100="Yes","❌ Disc",IF(Y100="No","⚠ Missing",IF(AB100="Yes","✓ OK","⚠ Check"))))</f>
        <v/>
      </c>
      <c r="AF100" s="33" t="n"/>
      <c r="AG100" s="33" t="n"/>
      <c r="AH100" s="33" t="n"/>
      <c r="AI100" s="33" t="n"/>
      <c r="AJ100" s="33" t="n"/>
      <c r="AK100" s="33" t="n"/>
      <c r="AL100" s="27" t="n"/>
      <c r="AM100" s="34" t="n"/>
      <c r="AN100" s="35">
        <f>IF(AF100="","",IF(AI100="Yes","❌ Disc",IF(AH100="No","⚠ Missing",IF(AK100="Yes","✓ OK","⚠ Check"))))</f>
        <v/>
      </c>
      <c r="AO100" s="36" t="n"/>
      <c r="AP100" s="36" t="n"/>
      <c r="AQ100" s="36" t="n"/>
      <c r="AR100" s="36" t="n"/>
      <c r="AS100" s="36" t="n"/>
      <c r="AT100" s="36" t="n"/>
      <c r="AU100" s="27" t="n"/>
      <c r="AV100" s="37" t="n"/>
      <c r="AW100" s="38">
        <f>IF(AO100="","",IF(AR100="Yes","❌ Disc",IF(AQ100="No","⚠ Missing",IF(AT100="Yes","✓ OK","⚠ Check"))))</f>
        <v/>
      </c>
    </row>
    <row r="101" ht="18" customHeight="1" s="46">
      <c r="A101" s="23" t="n">
        <v>97</v>
      </c>
      <c r="B101" s="24" t="inlineStr">
        <is>
          <t>BD-VRM-2026-0284</t>
        </is>
      </c>
      <c r="C101" s="25" t="inlineStr">
        <is>
          <t>Excel  - Hot Spots  Wallpaper 78198-3</t>
        </is>
      </c>
      <c r="D101" s="23" t="inlineStr">
        <is>
          <t>Excel</t>
        </is>
      </c>
      <c r="E101" s="43" t="n">
        <v>46125</v>
      </c>
      <c r="F101" s="26" t="inlineStr">
        <is>
          <t>Sunil CR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Good finish</t>
        </is>
      </c>
      <c r="J101" s="26" t="inlineStr">
        <is>
          <t>Yes</t>
        </is>
      </c>
      <c r="K101" s="27" t="n"/>
      <c r="L101" s="28" t="inlineStr">
        <is>
          <t>No</t>
        </is>
      </c>
      <c r="M101" s="29">
        <f>IF(E101="","",IF(H101="Yes","❌ Disc",IF(G101="No","⚠ Missing",IF(J101="Yes","✓ OK","⚠ Check"))))</f>
        <v/>
      </c>
      <c r="N101" s="43" t="n">
        <v>46193</v>
      </c>
      <c r="O101" s="26" t="inlineStr">
        <is>
          <t>Sunil CR</t>
        </is>
      </c>
      <c r="P101" s="26" t="inlineStr">
        <is>
          <t>Yes</t>
        </is>
      </c>
      <c r="Q101" s="26" t="inlineStr">
        <is>
          <t>No</t>
        </is>
      </c>
      <c r="R101" s="26" t="inlineStr">
        <is>
          <t>Good finish</t>
        </is>
      </c>
      <c r="S101" s="26" t="inlineStr">
        <is>
          <t>Yes</t>
        </is>
      </c>
      <c r="T101" s="27" t="n"/>
      <c r="U101" s="28" t="inlineStr">
        <is>
          <t>No</t>
        </is>
      </c>
      <c r="V101" s="29">
        <f>IF(N101="","",IF(Q101="Yes","❌ Disc",IF(P101="No","⚠ Missing",IF(S101="Yes","✓ OK","⚠ Check"))))</f>
        <v/>
      </c>
      <c r="W101" s="65" t="n">
        <v>46248</v>
      </c>
      <c r="X101" s="30" t="inlineStr">
        <is>
          <t>Sunil CR</t>
        </is>
      </c>
      <c r="Y101" s="30" t="inlineStr">
        <is>
          <t>Yes</t>
        </is>
      </c>
      <c r="Z101" s="30" t="n"/>
      <c r="AA101" s="30" t="inlineStr">
        <is>
          <t>Good finish</t>
        </is>
      </c>
      <c r="AB101" s="30" t="inlineStr">
        <is>
          <t>Yes</t>
        </is>
      </c>
      <c r="AC101" s="27" t="n"/>
      <c r="AD101" s="31" t="inlineStr">
        <is>
          <t>No</t>
        </is>
      </c>
      <c r="AE101" s="32">
        <f>IF(W101="","",IF(Z101="Yes","❌ Disc",IF(Y101="No","⚠ Missing",IF(AB101="Yes","✓ OK","⚠ Check"))))</f>
        <v/>
      </c>
      <c r="AF101" s="33" t="n"/>
      <c r="AG101" s="33" t="n"/>
      <c r="AH101" s="33" t="n"/>
      <c r="AI101" s="33" t="n"/>
      <c r="AJ101" s="33" t="n"/>
      <c r="AK101" s="33" t="n"/>
      <c r="AL101" s="27" t="n"/>
      <c r="AM101" s="34" t="n"/>
      <c r="AN101" s="35">
        <f>IF(AF101="","",IF(AI101="Yes","❌ Disc",IF(AH101="No","⚠ Missing",IF(AK101="Yes","✓ OK","⚠ Check"))))</f>
        <v/>
      </c>
      <c r="AO101" s="36" t="n"/>
      <c r="AP101" s="36" t="n"/>
      <c r="AQ101" s="36" t="n"/>
      <c r="AR101" s="36" t="n"/>
      <c r="AS101" s="36" t="n"/>
      <c r="AT101" s="36" t="n"/>
      <c r="AU101" s="27" t="n"/>
      <c r="AV101" s="37" t="n"/>
      <c r="AW101" s="38">
        <f>IF(AO101="","",IF(AR101="Yes","❌ Disc",IF(AQ101="No","⚠ Missing",IF(AT101="Yes","✓ OK","⚠ Check"))))</f>
        <v/>
      </c>
    </row>
    <row r="102" ht="18" customHeight="1" s="46">
      <c r="A102" s="39" t="n">
        <v>98</v>
      </c>
      <c r="B102" s="40" t="inlineStr">
        <is>
          <t>BD-VRM-2026-0285</t>
        </is>
      </c>
      <c r="C102" s="41" t="inlineStr">
        <is>
          <t>Excel  - Hot Spots  Wallpaper 78198-4</t>
        </is>
      </c>
      <c r="D102" s="39" t="inlineStr">
        <is>
          <t>Excel</t>
        </is>
      </c>
      <c r="E102" s="43" t="n">
        <v>46125</v>
      </c>
      <c r="F102" s="26" t="inlineStr">
        <is>
          <t>Sunil CR</t>
        </is>
      </c>
      <c r="G102" s="26" t="inlineStr">
        <is>
          <t>Yes</t>
        </is>
      </c>
      <c r="H102" s="26" t="inlineStr">
        <is>
          <t>No</t>
        </is>
      </c>
      <c r="I102" s="26" t="inlineStr">
        <is>
          <t>Good finish</t>
        </is>
      </c>
      <c r="J102" s="26" t="inlineStr">
        <is>
          <t>Yes</t>
        </is>
      </c>
      <c r="K102" s="27" t="n"/>
      <c r="L102" s="28" t="inlineStr">
        <is>
          <t>No</t>
        </is>
      </c>
      <c r="M102" s="29">
        <f>IF(E102="","",IF(H102="Yes","❌ Disc",IF(G102="No","⚠ Missing",IF(J102="Yes","✓ OK","⚠ Check"))))</f>
        <v/>
      </c>
      <c r="N102" s="43" t="n">
        <v>46193</v>
      </c>
      <c r="O102" s="26" t="inlineStr">
        <is>
          <t>Sunil CR</t>
        </is>
      </c>
      <c r="P102" s="26" t="inlineStr">
        <is>
          <t>Yes</t>
        </is>
      </c>
      <c r="Q102" s="26" t="inlineStr">
        <is>
          <t>No</t>
        </is>
      </c>
      <c r="R102" s="26" t="inlineStr">
        <is>
          <t>Good finish</t>
        </is>
      </c>
      <c r="S102" s="26" t="inlineStr">
        <is>
          <t>Yes</t>
        </is>
      </c>
      <c r="T102" s="27" t="n"/>
      <c r="U102" s="28" t="inlineStr">
        <is>
          <t>No</t>
        </is>
      </c>
      <c r="V102" s="29">
        <f>IF(N102="","",IF(Q102="Yes","❌ Disc",IF(P102="No","⚠ Missing",IF(S102="Yes","✓ OK","⚠ Check"))))</f>
        <v/>
      </c>
      <c r="W102" s="65" t="n">
        <v>46248</v>
      </c>
      <c r="X102" s="30" t="inlineStr">
        <is>
          <t>Sunil CR</t>
        </is>
      </c>
      <c r="Y102" s="30" t="inlineStr">
        <is>
          <t>Yes</t>
        </is>
      </c>
      <c r="Z102" s="30" t="n"/>
      <c r="AA102" s="30" t="inlineStr">
        <is>
          <t>Good finish</t>
        </is>
      </c>
      <c r="AB102" s="30" t="inlineStr">
        <is>
          <t>Yes</t>
        </is>
      </c>
      <c r="AC102" s="27" t="n"/>
      <c r="AD102" s="31" t="inlineStr">
        <is>
          <t>No</t>
        </is>
      </c>
      <c r="AE102" s="32">
        <f>IF(W102="","",IF(Z102="Yes","❌ Disc",IF(Y102="No","⚠ Missing",IF(AB102="Yes","✓ OK","⚠ Check"))))</f>
        <v/>
      </c>
      <c r="AF102" s="33" t="n"/>
      <c r="AG102" s="33" t="n"/>
      <c r="AH102" s="33" t="n"/>
      <c r="AI102" s="33" t="n"/>
      <c r="AJ102" s="33" t="n"/>
      <c r="AK102" s="33" t="n"/>
      <c r="AL102" s="27" t="n"/>
      <c r="AM102" s="34" t="n"/>
      <c r="AN102" s="35">
        <f>IF(AF102="","",IF(AI102="Yes","❌ Disc",IF(AH102="No","⚠ Missing",IF(AK102="Yes","✓ OK","⚠ Check"))))</f>
        <v/>
      </c>
      <c r="AO102" s="36" t="n"/>
      <c r="AP102" s="36" t="n"/>
      <c r="AQ102" s="36" t="n"/>
      <c r="AR102" s="36" t="n"/>
      <c r="AS102" s="36" t="n"/>
      <c r="AT102" s="36" t="n"/>
      <c r="AU102" s="27" t="n"/>
      <c r="AV102" s="37" t="n"/>
      <c r="AW102" s="38">
        <f>IF(AO102="","",IF(AR102="Yes","❌ Disc",IF(AQ102="No","⚠ Missing",IF(AT102="Yes","✓ OK","⚠ Check"))))</f>
        <v/>
      </c>
    </row>
    <row r="103" ht="18" customHeight="1" s="46">
      <c r="A103" s="23" t="n">
        <v>99</v>
      </c>
      <c r="B103" s="24" t="inlineStr">
        <is>
          <t>BD-VRM-2026-0286</t>
        </is>
      </c>
      <c r="C103" s="25" t="inlineStr">
        <is>
          <t>Excel  - Hot Spots  Wallpaper 78198-5</t>
        </is>
      </c>
      <c r="D103" s="23" t="inlineStr">
        <is>
          <t>Excel</t>
        </is>
      </c>
      <c r="E103" s="43" t="n">
        <v>46125</v>
      </c>
      <c r="F103" s="26" t="inlineStr">
        <is>
          <t>Sunil CR</t>
        </is>
      </c>
      <c r="G103" s="26" t="inlineStr">
        <is>
          <t>Yes</t>
        </is>
      </c>
      <c r="H103" s="26" t="inlineStr">
        <is>
          <t>No</t>
        </is>
      </c>
      <c r="I103" s="26" t="inlineStr">
        <is>
          <t>Good finish</t>
        </is>
      </c>
      <c r="J103" s="26" t="inlineStr">
        <is>
          <t>Yes</t>
        </is>
      </c>
      <c r="K103" s="27" t="n"/>
      <c r="L103" s="28" t="inlineStr">
        <is>
          <t>No</t>
        </is>
      </c>
      <c r="M103" s="29">
        <f>IF(E103="","",IF(H103="Yes","❌ Disc",IF(G103="No","⚠ Missing",IF(J103="Yes","✓ OK","⚠ Check"))))</f>
        <v/>
      </c>
      <c r="N103" s="43" t="n">
        <v>46193</v>
      </c>
      <c r="O103" s="26" t="inlineStr">
        <is>
          <t>Sunil CR</t>
        </is>
      </c>
      <c r="P103" s="26" t="inlineStr">
        <is>
          <t>Yes</t>
        </is>
      </c>
      <c r="Q103" s="26" t="inlineStr">
        <is>
          <t>No</t>
        </is>
      </c>
      <c r="R103" s="26" t="inlineStr">
        <is>
          <t>Good finish</t>
        </is>
      </c>
      <c r="S103" s="26" t="inlineStr">
        <is>
          <t>Yes</t>
        </is>
      </c>
      <c r="T103" s="27" t="n"/>
      <c r="U103" s="28" t="inlineStr">
        <is>
          <t>No</t>
        </is>
      </c>
      <c r="V103" s="29">
        <f>IF(N103="","",IF(Q103="Yes","❌ Disc",IF(P103="No","⚠ Missing",IF(S103="Yes","✓ OK","⚠ Check"))))</f>
        <v/>
      </c>
      <c r="W103" s="65" t="n">
        <v>46248</v>
      </c>
      <c r="X103" s="30" t="inlineStr">
        <is>
          <t>Sunil CR</t>
        </is>
      </c>
      <c r="Y103" s="30" t="inlineStr">
        <is>
          <t>Yes</t>
        </is>
      </c>
      <c r="Z103" s="30" t="n"/>
      <c r="AA103" s="30" t="inlineStr">
        <is>
          <t>Good finish</t>
        </is>
      </c>
      <c r="AB103" s="30" t="inlineStr">
        <is>
          <t>Yes</t>
        </is>
      </c>
      <c r="AC103" s="27" t="n"/>
      <c r="AD103" s="31" t="inlineStr">
        <is>
          <t>No</t>
        </is>
      </c>
      <c r="AE103" s="32">
        <f>IF(W103="","",IF(Z103="Yes","❌ Disc",IF(Y103="No","⚠ Missing",IF(AB103="Yes","✓ OK","⚠ Check"))))</f>
        <v/>
      </c>
      <c r="AF103" s="33" t="n"/>
      <c r="AG103" s="33" t="n"/>
      <c r="AH103" s="33" t="n"/>
      <c r="AI103" s="33" t="n"/>
      <c r="AJ103" s="33" t="n"/>
      <c r="AK103" s="33" t="n"/>
      <c r="AL103" s="27" t="n"/>
      <c r="AM103" s="34" t="n"/>
      <c r="AN103" s="35">
        <f>IF(AF103="","",IF(AI103="Yes","❌ Disc",IF(AH103="No","⚠ Missing",IF(AK103="Yes","✓ OK","⚠ Check"))))</f>
        <v/>
      </c>
      <c r="AO103" s="36" t="n"/>
      <c r="AP103" s="36" t="n"/>
      <c r="AQ103" s="36" t="n"/>
      <c r="AR103" s="36" t="n"/>
      <c r="AS103" s="36" t="n"/>
      <c r="AT103" s="36" t="n"/>
      <c r="AU103" s="27" t="n"/>
      <c r="AV103" s="37" t="n"/>
      <c r="AW103" s="38">
        <f>IF(AO103="","",IF(AR103="Yes","❌ Disc",IF(AQ103="No","⚠ Missing",IF(AT103="Yes","✓ OK","⚠ Check"))))</f>
        <v/>
      </c>
    </row>
    <row r="104" ht="18" customHeight="1" s="46">
      <c r="A104" s="39" t="n">
        <v>100</v>
      </c>
      <c r="B104" s="40" t="inlineStr">
        <is>
          <t>BD-VRM-2026-0287</t>
        </is>
      </c>
      <c r="C104" s="41" t="inlineStr">
        <is>
          <t>Excel  - Hot Spots  Wallpaper 78199-1</t>
        </is>
      </c>
      <c r="D104" s="39" t="inlineStr">
        <is>
          <t>Excel</t>
        </is>
      </c>
      <c r="E104" s="43" t="n">
        <v>46125</v>
      </c>
      <c r="F104" s="26" t="inlineStr">
        <is>
          <t>Sunil CR</t>
        </is>
      </c>
      <c r="G104" s="26" t="inlineStr">
        <is>
          <t>Yes</t>
        </is>
      </c>
      <c r="H104" s="26" t="inlineStr">
        <is>
          <t>No</t>
        </is>
      </c>
      <c r="I104" s="26" t="inlineStr">
        <is>
          <t>Good finish</t>
        </is>
      </c>
      <c r="J104" s="26" t="inlineStr">
        <is>
          <t>Yes</t>
        </is>
      </c>
      <c r="K104" s="27" t="n"/>
      <c r="L104" s="28" t="inlineStr">
        <is>
          <t>No</t>
        </is>
      </c>
      <c r="M104" s="29">
        <f>IF(E104="","",IF(H104="Yes","❌ Disc",IF(G104="No","⚠ Missing",IF(J104="Yes","✓ OK","⚠ Check"))))</f>
        <v/>
      </c>
      <c r="N104" s="43" t="n">
        <v>46193</v>
      </c>
      <c r="O104" s="26" t="inlineStr">
        <is>
          <t>Sunil CR</t>
        </is>
      </c>
      <c r="P104" s="26" t="inlineStr">
        <is>
          <t>Yes</t>
        </is>
      </c>
      <c r="Q104" s="26" t="inlineStr">
        <is>
          <t>No</t>
        </is>
      </c>
      <c r="R104" s="26" t="inlineStr">
        <is>
          <t>Good finish</t>
        </is>
      </c>
      <c r="S104" s="26" t="inlineStr">
        <is>
          <t>Yes</t>
        </is>
      </c>
      <c r="T104" s="27" t="n"/>
      <c r="U104" s="28" t="inlineStr">
        <is>
          <t>No</t>
        </is>
      </c>
      <c r="V104" s="29">
        <f>IF(N104="","",IF(Q104="Yes","❌ Disc",IF(P104="No","⚠ Missing",IF(S104="Yes","✓ OK","⚠ Check"))))</f>
        <v/>
      </c>
      <c r="W104" s="65" t="n">
        <v>46248</v>
      </c>
      <c r="X104" s="30" t="inlineStr">
        <is>
          <t>Sunil CR</t>
        </is>
      </c>
      <c r="Y104" s="30" t="inlineStr">
        <is>
          <t>Yes</t>
        </is>
      </c>
      <c r="Z104" s="30" t="n"/>
      <c r="AA104" s="30" t="inlineStr">
        <is>
          <t>Good finish</t>
        </is>
      </c>
      <c r="AB104" s="30" t="inlineStr">
        <is>
          <t>Yes</t>
        </is>
      </c>
      <c r="AC104" s="27" t="n"/>
      <c r="AD104" s="31" t="inlineStr">
        <is>
          <t>No</t>
        </is>
      </c>
      <c r="AE104" s="32">
        <f>IF(W104="","",IF(Z104="Yes","❌ Disc",IF(Y104="No","⚠ Missing",IF(AB104="Yes","✓ OK","⚠ Check"))))</f>
        <v/>
      </c>
      <c r="AF104" s="33" t="n"/>
      <c r="AG104" s="33" t="n"/>
      <c r="AH104" s="33" t="n"/>
      <c r="AI104" s="33" t="n"/>
      <c r="AJ104" s="33" t="n"/>
      <c r="AK104" s="33" t="n"/>
      <c r="AL104" s="27" t="n"/>
      <c r="AM104" s="34" t="n"/>
      <c r="AN104" s="35">
        <f>IF(AF104="","",IF(AI104="Yes","❌ Disc",IF(AH104="No","⚠ Missing",IF(AK104="Yes","✓ OK","⚠ Check"))))</f>
        <v/>
      </c>
      <c r="AO104" s="36" t="n"/>
      <c r="AP104" s="36" t="n"/>
      <c r="AQ104" s="36" t="n"/>
      <c r="AR104" s="36" t="n"/>
      <c r="AS104" s="36" t="n"/>
      <c r="AT104" s="36" t="n"/>
      <c r="AU104" s="27" t="n"/>
      <c r="AV104" s="37" t="n"/>
      <c r="AW104" s="38">
        <f>IF(AO104="","",IF(AR104="Yes","❌ Disc",IF(AQ104="No","⚠ Missing",IF(AT104="Yes","✓ OK","⚠ Check"))))</f>
        <v/>
      </c>
    </row>
    <row r="105" ht="18" customHeight="1" s="46">
      <c r="A105" s="23" t="n">
        <v>101</v>
      </c>
      <c r="B105" s="24" t="inlineStr">
        <is>
          <t>BD-VRM-2026-0288</t>
        </is>
      </c>
      <c r="C105" s="25" t="inlineStr">
        <is>
          <t>Excel  - Hot Spots  Wallpaper 78199-2</t>
        </is>
      </c>
      <c r="D105" s="23" t="inlineStr">
        <is>
          <t>Excel</t>
        </is>
      </c>
      <c r="E105" s="43" t="n">
        <v>46125</v>
      </c>
      <c r="F105" s="26" t="inlineStr">
        <is>
          <t>Sunil CR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Good finish</t>
        </is>
      </c>
      <c r="J105" s="26" t="inlineStr">
        <is>
          <t>Yes</t>
        </is>
      </c>
      <c r="K105" s="27" t="n"/>
      <c r="L105" s="28" t="inlineStr">
        <is>
          <t>No</t>
        </is>
      </c>
      <c r="M105" s="29">
        <f>IF(E105="","",IF(H105="Yes","❌ Disc",IF(G105="No","⚠ Missing",IF(J105="Yes","✓ OK","⚠ Check"))))</f>
        <v/>
      </c>
      <c r="N105" s="43" t="n">
        <v>46193</v>
      </c>
      <c r="O105" s="26" t="inlineStr">
        <is>
          <t>Sunil CR</t>
        </is>
      </c>
      <c r="P105" s="26" t="inlineStr">
        <is>
          <t>Yes</t>
        </is>
      </c>
      <c r="Q105" s="26" t="inlineStr">
        <is>
          <t>No</t>
        </is>
      </c>
      <c r="R105" s="26" t="inlineStr">
        <is>
          <t>Good finish</t>
        </is>
      </c>
      <c r="S105" s="26" t="inlineStr">
        <is>
          <t>Yes</t>
        </is>
      </c>
      <c r="T105" s="27" t="n"/>
      <c r="U105" s="28" t="inlineStr">
        <is>
          <t>No</t>
        </is>
      </c>
      <c r="V105" s="29">
        <f>IF(N105="","",IF(Q105="Yes","❌ Disc",IF(P105="No","⚠ Missing",IF(S105="Yes","✓ OK","⚠ Check"))))</f>
        <v/>
      </c>
      <c r="W105" s="65" t="n">
        <v>46248</v>
      </c>
      <c r="X105" s="30" t="inlineStr">
        <is>
          <t>Sunil CR</t>
        </is>
      </c>
      <c r="Y105" s="30" t="inlineStr">
        <is>
          <t>Yes</t>
        </is>
      </c>
      <c r="Z105" s="30" t="n"/>
      <c r="AA105" s="30" t="inlineStr">
        <is>
          <t>Good finish</t>
        </is>
      </c>
      <c r="AB105" s="30" t="inlineStr">
        <is>
          <t>Yes</t>
        </is>
      </c>
      <c r="AC105" s="27" t="n"/>
      <c r="AD105" s="31" t="inlineStr">
        <is>
          <t>No</t>
        </is>
      </c>
      <c r="AE105" s="32">
        <f>IF(W105="","",IF(Z105="Yes","❌ Disc",IF(Y105="No","⚠ Missing",IF(AB105="Yes","✓ OK","⚠ Check"))))</f>
        <v/>
      </c>
      <c r="AF105" s="33" t="n"/>
      <c r="AG105" s="33" t="n"/>
      <c r="AH105" s="33" t="n"/>
      <c r="AI105" s="33" t="n"/>
      <c r="AJ105" s="33" t="n"/>
      <c r="AK105" s="33" t="n"/>
      <c r="AL105" s="27" t="n"/>
      <c r="AM105" s="34" t="n"/>
      <c r="AN105" s="35">
        <f>IF(AF105="","",IF(AI105="Yes","❌ Disc",IF(AH105="No","⚠ Missing",IF(AK105="Yes","✓ OK","⚠ Check"))))</f>
        <v/>
      </c>
      <c r="AO105" s="36" t="n"/>
      <c r="AP105" s="36" t="n"/>
      <c r="AQ105" s="36" t="n"/>
      <c r="AR105" s="36" t="n"/>
      <c r="AS105" s="36" t="n"/>
      <c r="AT105" s="36" t="n"/>
      <c r="AU105" s="27" t="n"/>
      <c r="AV105" s="37" t="n"/>
      <c r="AW105" s="38">
        <f>IF(AO105="","",IF(AR105="Yes","❌ Disc",IF(AQ105="No","⚠ Missing",IF(AT105="Yes","✓ OK","⚠ Check"))))</f>
        <v/>
      </c>
    </row>
    <row r="106" ht="18" customHeight="1" s="46">
      <c r="A106" s="39" t="n">
        <v>102</v>
      </c>
      <c r="B106" s="40" t="inlineStr">
        <is>
          <t>BD-VRM-2026-0289</t>
        </is>
      </c>
      <c r="C106" s="41" t="inlineStr">
        <is>
          <t>Excel  - Hot Spots  Wallpaper 78199-3</t>
        </is>
      </c>
      <c r="D106" s="39" t="inlineStr">
        <is>
          <t>Excel</t>
        </is>
      </c>
      <c r="E106" s="43" t="n">
        <v>46125</v>
      </c>
      <c r="F106" s="26" t="inlineStr">
        <is>
          <t>Sunil CR</t>
        </is>
      </c>
      <c r="G106" s="26" t="inlineStr">
        <is>
          <t>Yes</t>
        </is>
      </c>
      <c r="H106" s="26" t="inlineStr">
        <is>
          <t>No</t>
        </is>
      </c>
      <c r="I106" s="26" t="inlineStr">
        <is>
          <t>Good finish</t>
        </is>
      </c>
      <c r="J106" s="26" t="inlineStr">
        <is>
          <t>Yes</t>
        </is>
      </c>
      <c r="K106" s="27" t="n"/>
      <c r="L106" s="28" t="inlineStr">
        <is>
          <t>No</t>
        </is>
      </c>
      <c r="M106" s="29">
        <f>IF(E106="","",IF(H106="Yes","❌ Disc",IF(G106="No","⚠ Missing",IF(J106="Yes","✓ OK","⚠ Check"))))</f>
        <v/>
      </c>
      <c r="N106" s="43" t="n">
        <v>46193</v>
      </c>
      <c r="O106" s="26" t="inlineStr">
        <is>
          <t>Sunil CR</t>
        </is>
      </c>
      <c r="P106" s="26" t="inlineStr">
        <is>
          <t>Yes</t>
        </is>
      </c>
      <c r="Q106" s="26" t="inlineStr">
        <is>
          <t>No</t>
        </is>
      </c>
      <c r="R106" s="26" t="inlineStr">
        <is>
          <t>Good finish</t>
        </is>
      </c>
      <c r="S106" s="26" t="inlineStr">
        <is>
          <t>Yes</t>
        </is>
      </c>
      <c r="T106" s="27" t="n"/>
      <c r="U106" s="28" t="inlineStr">
        <is>
          <t>No</t>
        </is>
      </c>
      <c r="V106" s="29">
        <f>IF(N106="","",IF(Q106="Yes","❌ Disc",IF(P106="No","⚠ Missing",IF(S106="Yes","✓ OK","⚠ Check"))))</f>
        <v/>
      </c>
      <c r="W106" s="65" t="n">
        <v>46248</v>
      </c>
      <c r="X106" s="30" t="inlineStr">
        <is>
          <t>Sunil CR</t>
        </is>
      </c>
      <c r="Y106" s="30" t="inlineStr">
        <is>
          <t>Yes</t>
        </is>
      </c>
      <c r="Z106" s="30" t="n"/>
      <c r="AA106" s="30" t="inlineStr">
        <is>
          <t>Good finish</t>
        </is>
      </c>
      <c r="AB106" s="30" t="inlineStr">
        <is>
          <t>Yes</t>
        </is>
      </c>
      <c r="AC106" s="27" t="n"/>
      <c r="AD106" s="31" t="inlineStr">
        <is>
          <t>No</t>
        </is>
      </c>
      <c r="AE106" s="32">
        <f>IF(W106="","",IF(Z106="Yes","❌ Disc",IF(Y106="No","⚠ Missing",IF(AB106="Yes","✓ OK","⚠ Check"))))</f>
        <v/>
      </c>
      <c r="AF106" s="33" t="n"/>
      <c r="AG106" s="33" t="n"/>
      <c r="AH106" s="33" t="n"/>
      <c r="AI106" s="33" t="n"/>
      <c r="AJ106" s="33" t="n"/>
      <c r="AK106" s="33" t="n"/>
      <c r="AL106" s="27" t="n"/>
      <c r="AM106" s="34" t="n"/>
      <c r="AN106" s="35">
        <f>IF(AF106="","",IF(AI106="Yes","❌ Disc",IF(AH106="No","⚠ Missing",IF(AK106="Yes","✓ OK","⚠ Check"))))</f>
        <v/>
      </c>
      <c r="AO106" s="36" t="n"/>
      <c r="AP106" s="36" t="n"/>
      <c r="AQ106" s="36" t="n"/>
      <c r="AR106" s="36" t="n"/>
      <c r="AS106" s="36" t="n"/>
      <c r="AT106" s="36" t="n"/>
      <c r="AU106" s="27" t="n"/>
      <c r="AV106" s="37" t="n"/>
      <c r="AW106" s="38">
        <f>IF(AO106="","",IF(AR106="Yes","❌ Disc",IF(AQ106="No","⚠ Missing",IF(AT106="Yes","✓ OK","⚠ Check"))))</f>
        <v/>
      </c>
    </row>
    <row r="107" ht="18" customHeight="1" s="46">
      <c r="A107" s="23" t="n">
        <v>103</v>
      </c>
      <c r="B107" s="24" t="inlineStr">
        <is>
          <t>BD-VRM-2026-0290</t>
        </is>
      </c>
      <c r="C107" s="25" t="inlineStr">
        <is>
          <t>Excel  - Hot Spots  Wallpaper 78199-4</t>
        </is>
      </c>
      <c r="D107" s="23" t="inlineStr">
        <is>
          <t>Excel</t>
        </is>
      </c>
      <c r="E107" s="43" t="n">
        <v>46125</v>
      </c>
      <c r="F107" s="26" t="inlineStr">
        <is>
          <t>Sunil CR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Good finish</t>
        </is>
      </c>
      <c r="J107" s="26" t="inlineStr">
        <is>
          <t>Yes</t>
        </is>
      </c>
      <c r="K107" s="27" t="n"/>
      <c r="L107" s="28" t="inlineStr">
        <is>
          <t>No</t>
        </is>
      </c>
      <c r="M107" s="29">
        <f>IF(E107="","",IF(H107="Yes","❌ Disc",IF(G107="No","⚠ Missing",IF(J107="Yes","✓ OK","⚠ Check"))))</f>
        <v/>
      </c>
      <c r="N107" s="43" t="n">
        <v>46193</v>
      </c>
      <c r="O107" s="26" t="inlineStr">
        <is>
          <t>Sunil CR</t>
        </is>
      </c>
      <c r="P107" s="26" t="inlineStr">
        <is>
          <t>Yes</t>
        </is>
      </c>
      <c r="Q107" s="26" t="inlineStr">
        <is>
          <t>No</t>
        </is>
      </c>
      <c r="R107" s="26" t="inlineStr">
        <is>
          <t>Good finish</t>
        </is>
      </c>
      <c r="S107" s="26" t="inlineStr">
        <is>
          <t>Yes</t>
        </is>
      </c>
      <c r="T107" s="27" t="n"/>
      <c r="U107" s="28" t="inlineStr">
        <is>
          <t>No</t>
        </is>
      </c>
      <c r="V107" s="29">
        <f>IF(N107="","",IF(Q107="Yes","❌ Disc",IF(P107="No","⚠ Missing",IF(S107="Yes","✓ OK","⚠ Check"))))</f>
        <v/>
      </c>
      <c r="W107" s="65" t="n">
        <v>46248</v>
      </c>
      <c r="X107" s="30" t="inlineStr">
        <is>
          <t>Sunil CR</t>
        </is>
      </c>
      <c r="Y107" s="30" t="inlineStr">
        <is>
          <t>Yes</t>
        </is>
      </c>
      <c r="Z107" s="30" t="n"/>
      <c r="AA107" s="30" t="inlineStr">
        <is>
          <t>Good finish</t>
        </is>
      </c>
      <c r="AB107" s="30" t="inlineStr">
        <is>
          <t>Yes</t>
        </is>
      </c>
      <c r="AC107" s="27" t="n"/>
      <c r="AD107" s="31" t="inlineStr">
        <is>
          <t>No</t>
        </is>
      </c>
      <c r="AE107" s="32">
        <f>IF(W107="","",IF(Z107="Yes","❌ Disc",IF(Y107="No","⚠ Missing",IF(AB107="Yes","✓ OK","⚠ Check"))))</f>
        <v/>
      </c>
      <c r="AF107" s="33" t="n"/>
      <c r="AG107" s="33" t="n"/>
      <c r="AH107" s="33" t="n"/>
      <c r="AI107" s="33" t="n"/>
      <c r="AJ107" s="33" t="n"/>
      <c r="AK107" s="33" t="n"/>
      <c r="AL107" s="27" t="n"/>
      <c r="AM107" s="34" t="n"/>
      <c r="AN107" s="35">
        <f>IF(AF107="","",IF(AI107="Yes","❌ Disc",IF(AH107="No","⚠ Missing",IF(AK107="Yes","✓ OK","⚠ Check"))))</f>
        <v/>
      </c>
      <c r="AO107" s="36" t="n"/>
      <c r="AP107" s="36" t="n"/>
      <c r="AQ107" s="36" t="n"/>
      <c r="AR107" s="36" t="n"/>
      <c r="AS107" s="36" t="n"/>
      <c r="AT107" s="36" t="n"/>
      <c r="AU107" s="27" t="n"/>
      <c r="AV107" s="37" t="n"/>
      <c r="AW107" s="38">
        <f>IF(AO107="","",IF(AR107="Yes","❌ Disc",IF(AQ107="No","⚠ Missing",IF(AT107="Yes","✓ OK","⚠ Check"))))</f>
        <v/>
      </c>
    </row>
    <row r="108" ht="18" customHeight="1" s="46">
      <c r="A108" s="39" t="n">
        <v>104</v>
      </c>
      <c r="B108" s="40" t="inlineStr">
        <is>
          <t>BD-VRM-2026-0291</t>
        </is>
      </c>
      <c r="C108" s="41" t="inlineStr">
        <is>
          <t>Excel  - Hot Spots  Wallpaper 78199-5</t>
        </is>
      </c>
      <c r="D108" s="39" t="inlineStr">
        <is>
          <t>Excel</t>
        </is>
      </c>
      <c r="E108" s="43" t="n">
        <v>46125</v>
      </c>
      <c r="F108" s="26" t="inlineStr">
        <is>
          <t>Sunil CR</t>
        </is>
      </c>
      <c r="G108" s="26" t="inlineStr">
        <is>
          <t>Yes</t>
        </is>
      </c>
      <c r="H108" s="26" t="inlineStr">
        <is>
          <t>No</t>
        </is>
      </c>
      <c r="I108" s="26" t="inlineStr">
        <is>
          <t>Good finish</t>
        </is>
      </c>
      <c r="J108" s="26" t="inlineStr">
        <is>
          <t>Yes</t>
        </is>
      </c>
      <c r="K108" s="27" t="n"/>
      <c r="L108" s="28" t="inlineStr">
        <is>
          <t>No</t>
        </is>
      </c>
      <c r="M108" s="29">
        <f>IF(E108="","",IF(H108="Yes","❌ Disc",IF(G108="No","⚠ Missing",IF(J108="Yes","✓ OK","⚠ Check"))))</f>
        <v/>
      </c>
      <c r="N108" s="43" t="n">
        <v>46193</v>
      </c>
      <c r="O108" s="26" t="inlineStr">
        <is>
          <t>Sunil CR</t>
        </is>
      </c>
      <c r="P108" s="26" t="inlineStr">
        <is>
          <t>Yes</t>
        </is>
      </c>
      <c r="Q108" s="26" t="inlineStr">
        <is>
          <t>No</t>
        </is>
      </c>
      <c r="R108" s="26" t="inlineStr">
        <is>
          <t>Good finish</t>
        </is>
      </c>
      <c r="S108" s="26" t="inlineStr">
        <is>
          <t>Yes</t>
        </is>
      </c>
      <c r="T108" s="27" t="n"/>
      <c r="U108" s="28" t="inlineStr">
        <is>
          <t>No</t>
        </is>
      </c>
      <c r="V108" s="29">
        <f>IF(N108="","",IF(Q108="Yes","❌ Disc",IF(P108="No","⚠ Missing",IF(S108="Yes","✓ OK","⚠ Check"))))</f>
        <v/>
      </c>
      <c r="W108" s="65" t="n">
        <v>46248</v>
      </c>
      <c r="X108" s="30" t="inlineStr">
        <is>
          <t>Sunil CR</t>
        </is>
      </c>
      <c r="Y108" s="30" t="inlineStr">
        <is>
          <t>Yes</t>
        </is>
      </c>
      <c r="Z108" s="30" t="n"/>
      <c r="AA108" s="30" t="inlineStr">
        <is>
          <t>Good finish</t>
        </is>
      </c>
      <c r="AB108" s="30" t="inlineStr">
        <is>
          <t>Yes</t>
        </is>
      </c>
      <c r="AC108" s="27" t="n"/>
      <c r="AD108" s="31" t="inlineStr">
        <is>
          <t>No</t>
        </is>
      </c>
      <c r="AE108" s="32">
        <f>IF(W108="","",IF(Z108="Yes","❌ Disc",IF(Y108="No","⚠ Missing",IF(AB108="Yes","✓ OK","⚠ Check"))))</f>
        <v/>
      </c>
      <c r="AF108" s="33" t="n"/>
      <c r="AG108" s="33" t="n"/>
      <c r="AH108" s="33" t="n"/>
      <c r="AI108" s="33" t="n"/>
      <c r="AJ108" s="33" t="n"/>
      <c r="AK108" s="33" t="n"/>
      <c r="AL108" s="27" t="n"/>
      <c r="AM108" s="34" t="n"/>
      <c r="AN108" s="35">
        <f>IF(AF108="","",IF(AI108="Yes","❌ Disc",IF(AH108="No","⚠ Missing",IF(AK108="Yes","✓ OK","⚠ Check"))))</f>
        <v/>
      </c>
      <c r="AO108" s="36" t="n"/>
      <c r="AP108" s="36" t="n"/>
      <c r="AQ108" s="36" t="n"/>
      <c r="AR108" s="36" t="n"/>
      <c r="AS108" s="36" t="n"/>
      <c r="AT108" s="36" t="n"/>
      <c r="AU108" s="27" t="n"/>
      <c r="AV108" s="37" t="n"/>
      <c r="AW108" s="38">
        <f>IF(AO108="","",IF(AR108="Yes","❌ Disc",IF(AQ108="No","⚠ Missing",IF(AT108="Yes","✓ OK","⚠ Check"))))</f>
        <v/>
      </c>
    </row>
    <row r="109" ht="18" customHeight="1" s="46">
      <c r="A109" s="23" t="n">
        <v>105</v>
      </c>
      <c r="B109" s="24" t="inlineStr">
        <is>
          <t>BD-VRM-2026-0363</t>
        </is>
      </c>
      <c r="C109" s="25" t="inlineStr">
        <is>
          <t>Excel  - Hot Spots  Wallpaper 78203-1</t>
        </is>
      </c>
      <c r="D109" s="23" t="inlineStr">
        <is>
          <t>Excel</t>
        </is>
      </c>
      <c r="E109" s="43" t="n">
        <v>46125</v>
      </c>
      <c r="F109" s="26" t="inlineStr">
        <is>
          <t>Sunil CR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Good finish</t>
        </is>
      </c>
      <c r="J109" s="26" t="inlineStr">
        <is>
          <t>Yes</t>
        </is>
      </c>
      <c r="K109" s="27" t="n"/>
      <c r="L109" s="28" t="inlineStr">
        <is>
          <t>No</t>
        </is>
      </c>
      <c r="M109" s="29">
        <f>IF(E109="","",IF(H109="Yes","❌ Disc",IF(G109="No","⚠ Missing",IF(J109="Yes","✓ OK","⚠ Check"))))</f>
        <v/>
      </c>
      <c r="N109" s="43" t="n">
        <v>46193</v>
      </c>
      <c r="O109" s="26" t="inlineStr">
        <is>
          <t>Sunil CR</t>
        </is>
      </c>
      <c r="P109" s="26" t="inlineStr">
        <is>
          <t>Yes</t>
        </is>
      </c>
      <c r="Q109" s="26" t="inlineStr">
        <is>
          <t>No</t>
        </is>
      </c>
      <c r="R109" s="26" t="inlineStr">
        <is>
          <t>Good finish</t>
        </is>
      </c>
      <c r="S109" s="26" t="inlineStr">
        <is>
          <t>Yes</t>
        </is>
      </c>
      <c r="T109" s="27" t="n"/>
      <c r="U109" s="28" t="inlineStr">
        <is>
          <t>No</t>
        </is>
      </c>
      <c r="V109" s="29">
        <f>IF(N109="","",IF(Q109="Yes","❌ Disc",IF(P109="No","⚠ Missing",IF(S109="Yes","✓ OK","⚠ Check"))))</f>
        <v/>
      </c>
      <c r="W109" s="65" t="n">
        <v>46248</v>
      </c>
      <c r="X109" s="30" t="inlineStr">
        <is>
          <t>Sunil CR</t>
        </is>
      </c>
      <c r="Y109" s="30" t="inlineStr">
        <is>
          <t>Yes</t>
        </is>
      </c>
      <c r="Z109" s="30" t="n"/>
      <c r="AA109" s="30" t="inlineStr">
        <is>
          <t>Good finish</t>
        </is>
      </c>
      <c r="AB109" s="30" t="inlineStr">
        <is>
          <t>Yes</t>
        </is>
      </c>
      <c r="AC109" s="27" t="n"/>
      <c r="AD109" s="31" t="inlineStr">
        <is>
          <t>No</t>
        </is>
      </c>
      <c r="AE109" s="32">
        <f>IF(W109="","",IF(Z109="Yes","❌ Disc",IF(Y109="No","⚠ Missing",IF(AB109="Yes","✓ OK","⚠ Check"))))</f>
        <v/>
      </c>
      <c r="AF109" s="33" t="n"/>
      <c r="AG109" s="33" t="n"/>
      <c r="AH109" s="33" t="n"/>
      <c r="AI109" s="33" t="n"/>
      <c r="AJ109" s="33" t="n"/>
      <c r="AK109" s="33" t="n"/>
      <c r="AL109" s="27" t="n"/>
      <c r="AM109" s="34" t="n"/>
      <c r="AN109" s="35">
        <f>IF(AF109="","",IF(AI109="Yes","❌ Disc",IF(AH109="No","⚠ Missing",IF(AK109="Yes","✓ OK","⚠ Check"))))</f>
        <v/>
      </c>
      <c r="AO109" s="36" t="n"/>
      <c r="AP109" s="36" t="n"/>
      <c r="AQ109" s="36" t="n"/>
      <c r="AR109" s="36" t="n"/>
      <c r="AS109" s="36" t="n"/>
      <c r="AT109" s="36" t="n"/>
      <c r="AU109" s="27" t="n"/>
      <c r="AV109" s="37" t="n"/>
      <c r="AW109" s="38">
        <f>IF(AO109="","",IF(AR109="Yes","❌ Disc",IF(AQ109="No","⚠ Missing",IF(AT109="Yes","✓ OK","⚠ Check"))))</f>
        <v/>
      </c>
    </row>
    <row r="110" ht="18" customHeight="1" s="46">
      <c r="A110" s="39" t="n">
        <v>106</v>
      </c>
      <c r="B110" s="40" t="inlineStr">
        <is>
          <t>BD-VRM-2026-0364</t>
        </is>
      </c>
      <c r="C110" s="41" t="inlineStr">
        <is>
          <t>Excel  - Hot Spots  Wallpaper 78203-2</t>
        </is>
      </c>
      <c r="D110" s="39" t="inlineStr">
        <is>
          <t>Excel</t>
        </is>
      </c>
      <c r="E110" s="43" t="n">
        <v>46125</v>
      </c>
      <c r="F110" s="26" t="inlineStr">
        <is>
          <t>Sunil CR</t>
        </is>
      </c>
      <c r="G110" s="26" t="inlineStr">
        <is>
          <t>Yes</t>
        </is>
      </c>
      <c r="H110" s="26" t="inlineStr">
        <is>
          <t>No</t>
        </is>
      </c>
      <c r="I110" s="26" t="inlineStr">
        <is>
          <t>Good finish</t>
        </is>
      </c>
      <c r="J110" s="26" t="inlineStr">
        <is>
          <t>Yes</t>
        </is>
      </c>
      <c r="K110" s="27" t="n"/>
      <c r="L110" s="28" t="inlineStr">
        <is>
          <t>No</t>
        </is>
      </c>
      <c r="M110" s="29">
        <f>IF(E110="","",IF(H110="Yes","❌ Disc",IF(G110="No","⚠ Missing",IF(J110="Yes","✓ OK","⚠ Check"))))</f>
        <v/>
      </c>
      <c r="N110" s="43" t="n">
        <v>46193</v>
      </c>
      <c r="O110" s="26" t="inlineStr">
        <is>
          <t>Sunil CR</t>
        </is>
      </c>
      <c r="P110" s="26" t="inlineStr">
        <is>
          <t>Yes</t>
        </is>
      </c>
      <c r="Q110" s="26" t="inlineStr">
        <is>
          <t>No</t>
        </is>
      </c>
      <c r="R110" s="26" t="inlineStr">
        <is>
          <t>Good finish</t>
        </is>
      </c>
      <c r="S110" s="26" t="inlineStr">
        <is>
          <t>Yes</t>
        </is>
      </c>
      <c r="T110" s="27" t="n"/>
      <c r="U110" s="28" t="inlineStr">
        <is>
          <t>No</t>
        </is>
      </c>
      <c r="V110" s="29">
        <f>IF(N110="","",IF(Q110="Yes","❌ Disc",IF(P110="No","⚠ Missing",IF(S110="Yes","✓ OK","⚠ Check"))))</f>
        <v/>
      </c>
      <c r="W110" s="65" t="n">
        <v>46248</v>
      </c>
      <c r="X110" s="30" t="inlineStr">
        <is>
          <t>Sunil CR</t>
        </is>
      </c>
      <c r="Y110" s="30" t="inlineStr">
        <is>
          <t>Yes</t>
        </is>
      </c>
      <c r="Z110" s="30" t="n"/>
      <c r="AA110" s="30" t="inlineStr">
        <is>
          <t>Good finish</t>
        </is>
      </c>
      <c r="AB110" s="30" t="inlineStr">
        <is>
          <t>Yes</t>
        </is>
      </c>
      <c r="AC110" s="27" t="n"/>
      <c r="AD110" s="31" t="inlineStr">
        <is>
          <t>No</t>
        </is>
      </c>
      <c r="AE110" s="32">
        <f>IF(W110="","",IF(Z110="Yes","❌ Disc",IF(Y110="No","⚠ Missing",IF(AB110="Yes","✓ OK","⚠ Check"))))</f>
        <v/>
      </c>
      <c r="AF110" s="33" t="n"/>
      <c r="AG110" s="33" t="n"/>
      <c r="AH110" s="33" t="n"/>
      <c r="AI110" s="33" t="n"/>
      <c r="AJ110" s="33" t="n"/>
      <c r="AK110" s="33" t="n"/>
      <c r="AL110" s="27" t="n"/>
      <c r="AM110" s="34" t="n"/>
      <c r="AN110" s="35">
        <f>IF(AF110="","",IF(AI110="Yes","❌ Disc",IF(AH110="No","⚠ Missing",IF(AK110="Yes","✓ OK","⚠ Check"))))</f>
        <v/>
      </c>
      <c r="AO110" s="36" t="n"/>
      <c r="AP110" s="36" t="n"/>
      <c r="AQ110" s="36" t="n"/>
      <c r="AR110" s="36" t="n"/>
      <c r="AS110" s="36" t="n"/>
      <c r="AT110" s="36" t="n"/>
      <c r="AU110" s="27" t="n"/>
      <c r="AV110" s="37" t="n"/>
      <c r="AW110" s="38">
        <f>IF(AO110="","",IF(AR110="Yes","❌ Disc",IF(AQ110="No","⚠ Missing",IF(AT110="Yes","✓ OK","⚠ Check"))))</f>
        <v/>
      </c>
    </row>
    <row r="111" ht="18" customHeight="1" s="46">
      <c r="A111" s="23" t="n">
        <v>107</v>
      </c>
      <c r="B111" s="24" t="inlineStr">
        <is>
          <t>BD-VRM-2026-0365</t>
        </is>
      </c>
      <c r="C111" s="25" t="inlineStr">
        <is>
          <t>Excel  - Hot Spots  Wallpaper 78203-3</t>
        </is>
      </c>
      <c r="D111" s="23" t="inlineStr">
        <is>
          <t>Excel</t>
        </is>
      </c>
      <c r="E111" s="43" t="n">
        <v>46125</v>
      </c>
      <c r="F111" s="26" t="inlineStr">
        <is>
          <t>Sunil CR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Good finish</t>
        </is>
      </c>
      <c r="J111" s="26" t="inlineStr">
        <is>
          <t>Yes</t>
        </is>
      </c>
      <c r="K111" s="27" t="n"/>
      <c r="L111" s="28" t="inlineStr">
        <is>
          <t>No</t>
        </is>
      </c>
      <c r="M111" s="29">
        <f>IF(E111="","",IF(H111="Yes","❌ Disc",IF(G111="No","⚠ Missing",IF(J111="Yes","✓ OK","⚠ Check"))))</f>
        <v/>
      </c>
      <c r="N111" s="43" t="n">
        <v>46193</v>
      </c>
      <c r="O111" s="26" t="inlineStr">
        <is>
          <t>Sunil CR</t>
        </is>
      </c>
      <c r="P111" s="26" t="inlineStr">
        <is>
          <t>Yes</t>
        </is>
      </c>
      <c r="Q111" s="26" t="inlineStr">
        <is>
          <t>No</t>
        </is>
      </c>
      <c r="R111" s="26" t="inlineStr">
        <is>
          <t>Good finish</t>
        </is>
      </c>
      <c r="S111" s="26" t="inlineStr">
        <is>
          <t>Yes</t>
        </is>
      </c>
      <c r="T111" s="27" t="n"/>
      <c r="U111" s="28" t="inlineStr">
        <is>
          <t>No</t>
        </is>
      </c>
      <c r="V111" s="29">
        <f>IF(N111="","",IF(Q111="Yes","❌ Disc",IF(P111="No","⚠ Missing",IF(S111="Yes","✓ OK","⚠ Check"))))</f>
        <v/>
      </c>
      <c r="W111" s="65" t="n">
        <v>46248</v>
      </c>
      <c r="X111" s="30" t="inlineStr">
        <is>
          <t>Sunil CR</t>
        </is>
      </c>
      <c r="Y111" s="30" t="inlineStr">
        <is>
          <t>Yes</t>
        </is>
      </c>
      <c r="Z111" s="30" t="n"/>
      <c r="AA111" s="30" t="inlineStr">
        <is>
          <t>Good finish</t>
        </is>
      </c>
      <c r="AB111" s="30" t="inlineStr">
        <is>
          <t>Yes</t>
        </is>
      </c>
      <c r="AC111" s="27" t="n"/>
      <c r="AD111" s="31" t="inlineStr">
        <is>
          <t>No</t>
        </is>
      </c>
      <c r="AE111" s="32">
        <f>IF(W111="","",IF(Z111="Yes","❌ Disc",IF(Y111="No","⚠ Missing",IF(AB111="Yes","✓ OK","⚠ Check"))))</f>
        <v/>
      </c>
      <c r="AF111" s="33" t="n"/>
      <c r="AG111" s="33" t="n"/>
      <c r="AH111" s="33" t="n"/>
      <c r="AI111" s="33" t="n"/>
      <c r="AJ111" s="33" t="n"/>
      <c r="AK111" s="33" t="n"/>
      <c r="AL111" s="27" t="n"/>
      <c r="AM111" s="34" t="n"/>
      <c r="AN111" s="35">
        <f>IF(AF111="","",IF(AI111="Yes","❌ Disc",IF(AH111="No","⚠ Missing",IF(AK111="Yes","✓ OK","⚠ Check"))))</f>
        <v/>
      </c>
      <c r="AO111" s="36" t="n"/>
      <c r="AP111" s="36" t="n"/>
      <c r="AQ111" s="36" t="n"/>
      <c r="AR111" s="36" t="n"/>
      <c r="AS111" s="36" t="n"/>
      <c r="AT111" s="36" t="n"/>
      <c r="AU111" s="27" t="n"/>
      <c r="AV111" s="37" t="n"/>
      <c r="AW111" s="38">
        <f>IF(AO111="","",IF(AR111="Yes","❌ Disc",IF(AQ111="No","⚠ Missing",IF(AT111="Yes","✓ OK","⚠ Check"))))</f>
        <v/>
      </c>
    </row>
    <row r="112" ht="18" customHeight="1" s="46">
      <c r="A112" s="39" t="n">
        <v>108</v>
      </c>
      <c r="B112" s="40" t="inlineStr">
        <is>
          <t>BD-VRM-2026-0366</t>
        </is>
      </c>
      <c r="C112" s="41" t="inlineStr">
        <is>
          <t>Excel  - Hot Spots  Wallpaper 78203-4</t>
        </is>
      </c>
      <c r="D112" s="39" t="inlineStr">
        <is>
          <t>Excel</t>
        </is>
      </c>
      <c r="E112" s="43" t="n">
        <v>46125</v>
      </c>
      <c r="F112" s="26" t="inlineStr">
        <is>
          <t>Sunil CR</t>
        </is>
      </c>
      <c r="G112" s="26" t="inlineStr">
        <is>
          <t>Yes</t>
        </is>
      </c>
      <c r="H112" s="26" t="inlineStr">
        <is>
          <t>No</t>
        </is>
      </c>
      <c r="I112" s="26" t="inlineStr">
        <is>
          <t>Good finish</t>
        </is>
      </c>
      <c r="J112" s="26" t="inlineStr">
        <is>
          <t>Yes</t>
        </is>
      </c>
      <c r="K112" s="27" t="n"/>
      <c r="L112" s="28" t="inlineStr">
        <is>
          <t>No</t>
        </is>
      </c>
      <c r="M112" s="29">
        <f>IF(E112="","",IF(H112="Yes","❌ Disc",IF(G112="No","⚠ Missing",IF(J112="Yes","✓ OK","⚠ Check"))))</f>
        <v/>
      </c>
      <c r="N112" s="43" t="n">
        <v>46193</v>
      </c>
      <c r="O112" s="26" t="inlineStr">
        <is>
          <t>Sunil CR</t>
        </is>
      </c>
      <c r="P112" s="26" t="inlineStr">
        <is>
          <t>Yes</t>
        </is>
      </c>
      <c r="Q112" s="26" t="inlineStr">
        <is>
          <t>No</t>
        </is>
      </c>
      <c r="R112" s="26" t="inlineStr">
        <is>
          <t>Good finish</t>
        </is>
      </c>
      <c r="S112" s="26" t="inlineStr">
        <is>
          <t>Yes</t>
        </is>
      </c>
      <c r="T112" s="27" t="n"/>
      <c r="U112" s="28" t="inlineStr">
        <is>
          <t>No</t>
        </is>
      </c>
      <c r="V112" s="29">
        <f>IF(N112="","",IF(Q112="Yes","❌ Disc",IF(P112="No","⚠ Missing",IF(S112="Yes","✓ OK","⚠ Check"))))</f>
        <v/>
      </c>
      <c r="W112" s="65" t="n">
        <v>46248</v>
      </c>
      <c r="X112" s="30" t="inlineStr">
        <is>
          <t>Sunil CR</t>
        </is>
      </c>
      <c r="Y112" s="30" t="inlineStr">
        <is>
          <t>Yes</t>
        </is>
      </c>
      <c r="Z112" s="30" t="n"/>
      <c r="AA112" s="30" t="inlineStr">
        <is>
          <t>Good finish</t>
        </is>
      </c>
      <c r="AB112" s="30" t="inlineStr">
        <is>
          <t>Yes</t>
        </is>
      </c>
      <c r="AC112" s="27" t="n"/>
      <c r="AD112" s="31" t="inlineStr">
        <is>
          <t>No</t>
        </is>
      </c>
      <c r="AE112" s="32">
        <f>IF(W112="","",IF(Z112="Yes","❌ Disc",IF(Y112="No","⚠ Missing",IF(AB112="Yes","✓ OK","⚠ Check"))))</f>
        <v/>
      </c>
      <c r="AF112" s="33" t="n"/>
      <c r="AG112" s="33" t="n"/>
      <c r="AH112" s="33" t="n"/>
      <c r="AI112" s="33" t="n"/>
      <c r="AJ112" s="33" t="n"/>
      <c r="AK112" s="33" t="n"/>
      <c r="AL112" s="27" t="n"/>
      <c r="AM112" s="34" t="n"/>
      <c r="AN112" s="35">
        <f>IF(AF112="","",IF(AI112="Yes","❌ Disc",IF(AH112="No","⚠ Missing",IF(AK112="Yes","✓ OK","⚠ Check"))))</f>
        <v/>
      </c>
      <c r="AO112" s="36" t="n"/>
      <c r="AP112" s="36" t="n"/>
      <c r="AQ112" s="36" t="n"/>
      <c r="AR112" s="36" t="n"/>
      <c r="AS112" s="36" t="n"/>
      <c r="AT112" s="36" t="n"/>
      <c r="AU112" s="27" t="n"/>
      <c r="AV112" s="37" t="n"/>
      <c r="AW112" s="38">
        <f>IF(AO112="","",IF(AR112="Yes","❌ Disc",IF(AQ112="No","⚠ Missing",IF(AT112="Yes","✓ OK","⚠ Check"))))</f>
        <v/>
      </c>
    </row>
    <row r="113" ht="18" customHeight="1" s="46">
      <c r="A113" s="23" t="n">
        <v>109</v>
      </c>
      <c r="B113" s="24" t="inlineStr">
        <is>
          <t>BD-VRM-2026-0367</t>
        </is>
      </c>
      <c r="C113" s="25" t="inlineStr">
        <is>
          <t>Excel  - Hot Spots  Wallpaper 78203-5</t>
        </is>
      </c>
      <c r="D113" s="23" t="inlineStr">
        <is>
          <t>Excel</t>
        </is>
      </c>
      <c r="E113" s="43" t="n">
        <v>46125</v>
      </c>
      <c r="F113" s="26" t="inlineStr">
        <is>
          <t>Sunil CR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Good finish</t>
        </is>
      </c>
      <c r="J113" s="26" t="inlineStr">
        <is>
          <t>Yes</t>
        </is>
      </c>
      <c r="K113" s="27" t="n"/>
      <c r="L113" s="28" t="inlineStr">
        <is>
          <t>No</t>
        </is>
      </c>
      <c r="M113" s="29">
        <f>IF(E113="","",IF(H113="Yes","❌ Disc",IF(G113="No","⚠ Missing",IF(J113="Yes","✓ OK","⚠ Check"))))</f>
        <v/>
      </c>
      <c r="N113" s="43" t="n">
        <v>46193</v>
      </c>
      <c r="O113" s="26" t="inlineStr">
        <is>
          <t>Sunil CR</t>
        </is>
      </c>
      <c r="P113" s="26" t="inlineStr">
        <is>
          <t>Yes</t>
        </is>
      </c>
      <c r="Q113" s="26" t="inlineStr">
        <is>
          <t>No</t>
        </is>
      </c>
      <c r="R113" s="26" t="inlineStr">
        <is>
          <t>Good finish</t>
        </is>
      </c>
      <c r="S113" s="26" t="inlineStr">
        <is>
          <t>Yes</t>
        </is>
      </c>
      <c r="T113" s="27" t="n"/>
      <c r="U113" s="28" t="inlineStr">
        <is>
          <t>No</t>
        </is>
      </c>
      <c r="V113" s="29">
        <f>IF(N113="","",IF(Q113="Yes","❌ Disc",IF(P113="No","⚠ Missing",IF(S113="Yes","✓ OK","⚠ Check"))))</f>
        <v/>
      </c>
      <c r="W113" s="65" t="n">
        <v>46248</v>
      </c>
      <c r="X113" s="30" t="inlineStr">
        <is>
          <t>Sunil CR</t>
        </is>
      </c>
      <c r="Y113" s="30" t="inlineStr">
        <is>
          <t>Yes</t>
        </is>
      </c>
      <c r="Z113" s="30" t="n"/>
      <c r="AA113" s="30" t="inlineStr">
        <is>
          <t>Good finish</t>
        </is>
      </c>
      <c r="AB113" s="30" t="inlineStr">
        <is>
          <t>Yes</t>
        </is>
      </c>
      <c r="AC113" s="27" t="n"/>
      <c r="AD113" s="31" t="inlineStr">
        <is>
          <t>No</t>
        </is>
      </c>
      <c r="AE113" s="32">
        <f>IF(W113="","",IF(Z113="Yes","❌ Disc",IF(Y113="No","⚠ Missing",IF(AB113="Yes","✓ OK","⚠ Check"))))</f>
        <v/>
      </c>
      <c r="AF113" s="33" t="n"/>
      <c r="AG113" s="33" t="n"/>
      <c r="AH113" s="33" t="n"/>
      <c r="AI113" s="33" t="n"/>
      <c r="AJ113" s="33" t="n"/>
      <c r="AK113" s="33" t="n"/>
      <c r="AL113" s="27" t="n"/>
      <c r="AM113" s="34" t="n"/>
      <c r="AN113" s="35">
        <f>IF(AF113="","",IF(AI113="Yes","❌ Disc",IF(AH113="No","⚠ Missing",IF(AK113="Yes","✓ OK","⚠ Check"))))</f>
        <v/>
      </c>
      <c r="AO113" s="36" t="n"/>
      <c r="AP113" s="36" t="n"/>
      <c r="AQ113" s="36" t="n"/>
      <c r="AR113" s="36" t="n"/>
      <c r="AS113" s="36" t="n"/>
      <c r="AT113" s="36" t="n"/>
      <c r="AU113" s="27" t="n"/>
      <c r="AV113" s="37" t="n"/>
      <c r="AW113" s="38">
        <f>IF(AO113="","",IF(AR113="Yes","❌ Disc",IF(AQ113="No","⚠ Missing",IF(AT113="Yes","✓ OK","⚠ Check"))))</f>
        <v/>
      </c>
    </row>
    <row r="114" ht="18" customHeight="1" s="46">
      <c r="A114" s="39" t="n">
        <v>110</v>
      </c>
      <c r="B114" s="40" t="inlineStr">
        <is>
          <t>BD-VRM-2026-0368</t>
        </is>
      </c>
      <c r="C114" s="41" t="inlineStr">
        <is>
          <t>Excel  - Hot Spots  Wallpaper 78203-6</t>
        </is>
      </c>
      <c r="D114" s="39" t="inlineStr">
        <is>
          <t>Excel</t>
        </is>
      </c>
      <c r="E114" s="43" t="n">
        <v>46125</v>
      </c>
      <c r="F114" s="26" t="inlineStr">
        <is>
          <t>Sunil CR</t>
        </is>
      </c>
      <c r="G114" s="26" t="inlineStr">
        <is>
          <t>Yes</t>
        </is>
      </c>
      <c r="H114" s="26" t="inlineStr">
        <is>
          <t>No</t>
        </is>
      </c>
      <c r="I114" s="26" t="inlineStr">
        <is>
          <t>Good finish</t>
        </is>
      </c>
      <c r="J114" s="26" t="inlineStr">
        <is>
          <t>Yes</t>
        </is>
      </c>
      <c r="K114" s="27" t="n"/>
      <c r="L114" s="28" t="inlineStr">
        <is>
          <t>No</t>
        </is>
      </c>
      <c r="M114" s="29">
        <f>IF(E114="","",IF(H114="Yes","❌ Disc",IF(G114="No","⚠ Missing",IF(J114="Yes","✓ OK","⚠ Check"))))</f>
        <v/>
      </c>
      <c r="N114" s="43" t="n">
        <v>46193</v>
      </c>
      <c r="O114" s="26" t="inlineStr">
        <is>
          <t>Sunil CR</t>
        </is>
      </c>
      <c r="P114" s="26" t="inlineStr">
        <is>
          <t>Yes</t>
        </is>
      </c>
      <c r="Q114" s="26" t="inlineStr">
        <is>
          <t>No</t>
        </is>
      </c>
      <c r="R114" s="26" t="inlineStr">
        <is>
          <t>Good finish</t>
        </is>
      </c>
      <c r="S114" s="26" t="inlineStr">
        <is>
          <t>Yes</t>
        </is>
      </c>
      <c r="T114" s="27" t="n"/>
      <c r="U114" s="28" t="inlineStr">
        <is>
          <t>No</t>
        </is>
      </c>
      <c r="V114" s="29">
        <f>IF(N114="","",IF(Q114="Yes","❌ Disc",IF(P114="No","⚠ Missing",IF(S114="Yes","✓ OK","⚠ Check"))))</f>
        <v/>
      </c>
      <c r="W114" s="65" t="n">
        <v>46248</v>
      </c>
      <c r="X114" s="30" t="inlineStr">
        <is>
          <t>Sunil CR</t>
        </is>
      </c>
      <c r="Y114" s="30" t="inlineStr">
        <is>
          <t>Yes</t>
        </is>
      </c>
      <c r="Z114" s="30" t="n"/>
      <c r="AA114" s="30" t="inlineStr">
        <is>
          <t>Good finish</t>
        </is>
      </c>
      <c r="AB114" s="30" t="inlineStr">
        <is>
          <t>Yes</t>
        </is>
      </c>
      <c r="AC114" s="27" t="n"/>
      <c r="AD114" s="31" t="inlineStr">
        <is>
          <t>No</t>
        </is>
      </c>
      <c r="AE114" s="32">
        <f>IF(W114="","",IF(Z114="Yes","❌ Disc",IF(Y114="No","⚠ Missing",IF(AB114="Yes","✓ OK","⚠ Check"))))</f>
        <v/>
      </c>
      <c r="AF114" s="33" t="n"/>
      <c r="AG114" s="33" t="n"/>
      <c r="AH114" s="33" t="n"/>
      <c r="AI114" s="33" t="n"/>
      <c r="AJ114" s="33" t="n"/>
      <c r="AK114" s="33" t="n"/>
      <c r="AL114" s="27" t="n"/>
      <c r="AM114" s="34" t="n"/>
      <c r="AN114" s="35">
        <f>IF(AF114="","",IF(AI114="Yes","❌ Disc",IF(AH114="No","⚠ Missing",IF(AK114="Yes","✓ OK","⚠ Check"))))</f>
        <v/>
      </c>
      <c r="AO114" s="36" t="n"/>
      <c r="AP114" s="36" t="n"/>
      <c r="AQ114" s="36" t="n"/>
      <c r="AR114" s="36" t="n"/>
      <c r="AS114" s="36" t="n"/>
      <c r="AT114" s="36" t="n"/>
      <c r="AU114" s="27" t="n"/>
      <c r="AV114" s="37" t="n"/>
      <c r="AW114" s="38">
        <f>IF(AO114="","",IF(AR114="Yes","❌ Disc",IF(AQ114="No","⚠ Missing",IF(AT114="Yes","✓ OK","⚠ Check"))))</f>
        <v/>
      </c>
    </row>
    <row r="115" ht="18" customHeight="1" s="46">
      <c r="A115" s="23" t="n">
        <v>111</v>
      </c>
      <c r="B115" s="24" t="inlineStr">
        <is>
          <t>BD-VRM-2026-0292</t>
        </is>
      </c>
      <c r="C115" s="25" t="inlineStr">
        <is>
          <t>Excel  - Hot Spots  Wallpaper 78204-1</t>
        </is>
      </c>
      <c r="D115" s="23" t="inlineStr">
        <is>
          <t>Excel</t>
        </is>
      </c>
      <c r="E115" s="43" t="n">
        <v>46125</v>
      </c>
      <c r="F115" s="26" t="inlineStr">
        <is>
          <t>Sunil CR</t>
        </is>
      </c>
      <c r="G115" s="26" t="inlineStr">
        <is>
          <t>Yes</t>
        </is>
      </c>
      <c r="H115" s="26" t="inlineStr">
        <is>
          <t>No</t>
        </is>
      </c>
      <c r="I115" s="26" t="inlineStr">
        <is>
          <t>Good finish</t>
        </is>
      </c>
      <c r="J115" s="26" t="inlineStr">
        <is>
          <t>Yes</t>
        </is>
      </c>
      <c r="K115" s="27" t="n"/>
      <c r="L115" s="28" t="inlineStr">
        <is>
          <t>No</t>
        </is>
      </c>
      <c r="M115" s="29">
        <f>IF(E115="","",IF(H115="Yes","❌ Disc",IF(G115="No","⚠ Missing",IF(J115="Yes","✓ OK","⚠ Check"))))</f>
        <v/>
      </c>
      <c r="N115" s="43" t="n">
        <v>46193</v>
      </c>
      <c r="O115" s="26" t="inlineStr">
        <is>
          <t>Sunil CR</t>
        </is>
      </c>
      <c r="P115" s="26" t="inlineStr">
        <is>
          <t>Yes</t>
        </is>
      </c>
      <c r="Q115" s="26" t="inlineStr">
        <is>
          <t>No</t>
        </is>
      </c>
      <c r="R115" s="26" t="inlineStr">
        <is>
          <t>Good finish</t>
        </is>
      </c>
      <c r="S115" s="26" t="inlineStr">
        <is>
          <t>Yes</t>
        </is>
      </c>
      <c r="T115" s="27" t="n"/>
      <c r="U115" s="28" t="inlineStr">
        <is>
          <t>No</t>
        </is>
      </c>
      <c r="V115" s="29">
        <f>IF(N115="","",IF(Q115="Yes","❌ Disc",IF(P115="No","⚠ Missing",IF(S115="Yes","✓ OK","⚠ Check"))))</f>
        <v/>
      </c>
      <c r="W115" s="65" t="n">
        <v>46248</v>
      </c>
      <c r="X115" s="30" t="inlineStr">
        <is>
          <t>Sunil CR</t>
        </is>
      </c>
      <c r="Y115" s="30" t="inlineStr">
        <is>
          <t>Yes</t>
        </is>
      </c>
      <c r="Z115" s="30" t="n"/>
      <c r="AA115" s="30" t="inlineStr">
        <is>
          <t>Good finish</t>
        </is>
      </c>
      <c r="AB115" s="30" t="inlineStr">
        <is>
          <t>Yes</t>
        </is>
      </c>
      <c r="AC115" s="27" t="n"/>
      <c r="AD115" s="31" t="inlineStr">
        <is>
          <t>No</t>
        </is>
      </c>
      <c r="AE115" s="32">
        <f>IF(W115="","",IF(Z115="Yes","❌ Disc",IF(Y115="No","⚠ Missing",IF(AB115="Yes","✓ OK","⚠ Check"))))</f>
        <v/>
      </c>
      <c r="AF115" s="33" t="n"/>
      <c r="AG115" s="33" t="n"/>
      <c r="AH115" s="33" t="n"/>
      <c r="AI115" s="33" t="n"/>
      <c r="AJ115" s="33" t="n"/>
      <c r="AK115" s="33" t="n"/>
      <c r="AL115" s="27" t="n"/>
      <c r="AM115" s="34" t="n"/>
      <c r="AN115" s="35">
        <f>IF(AF115="","",IF(AI115="Yes","❌ Disc",IF(AH115="No","⚠ Missing",IF(AK115="Yes","✓ OK","⚠ Check"))))</f>
        <v/>
      </c>
      <c r="AO115" s="36" t="n"/>
      <c r="AP115" s="36" t="n"/>
      <c r="AQ115" s="36" t="n"/>
      <c r="AR115" s="36" t="n"/>
      <c r="AS115" s="36" t="n"/>
      <c r="AT115" s="36" t="n"/>
      <c r="AU115" s="27" t="n"/>
      <c r="AV115" s="37" t="n"/>
      <c r="AW115" s="38">
        <f>IF(AO115="","",IF(AR115="Yes","❌ Disc",IF(AQ115="No","⚠ Missing",IF(AT115="Yes","✓ OK","⚠ Check"))))</f>
        <v/>
      </c>
    </row>
    <row r="116" ht="18" customHeight="1" s="46">
      <c r="A116" s="39" t="n">
        <v>112</v>
      </c>
      <c r="B116" s="40" t="inlineStr">
        <is>
          <t>BD-VRM-2026-0293</t>
        </is>
      </c>
      <c r="C116" s="41" t="inlineStr">
        <is>
          <t>Excel  - Hot Spots  Wallpaper 78204-2</t>
        </is>
      </c>
      <c r="D116" s="39" t="inlineStr">
        <is>
          <t>Excel</t>
        </is>
      </c>
      <c r="E116" s="43" t="n">
        <v>46125</v>
      </c>
      <c r="F116" s="26" t="inlineStr">
        <is>
          <t>Sunil CR</t>
        </is>
      </c>
      <c r="G116" s="26" t="inlineStr">
        <is>
          <t>Yes</t>
        </is>
      </c>
      <c r="H116" s="26" t="inlineStr">
        <is>
          <t>No</t>
        </is>
      </c>
      <c r="I116" s="26" t="inlineStr">
        <is>
          <t>Good finish</t>
        </is>
      </c>
      <c r="J116" s="26" t="inlineStr">
        <is>
          <t>Yes</t>
        </is>
      </c>
      <c r="K116" s="27" t="n"/>
      <c r="L116" s="28" t="inlineStr">
        <is>
          <t>No</t>
        </is>
      </c>
      <c r="M116" s="29">
        <f>IF(E116="","",IF(H116="Yes","❌ Disc",IF(G116="No","⚠ Missing",IF(J116="Yes","✓ OK","⚠ Check"))))</f>
        <v/>
      </c>
      <c r="N116" s="43" t="n">
        <v>46193</v>
      </c>
      <c r="O116" s="26" t="inlineStr">
        <is>
          <t>Sunil CR</t>
        </is>
      </c>
      <c r="P116" s="26" t="inlineStr">
        <is>
          <t>Yes</t>
        </is>
      </c>
      <c r="Q116" s="26" t="inlineStr">
        <is>
          <t>No</t>
        </is>
      </c>
      <c r="R116" s="26" t="inlineStr">
        <is>
          <t>Good finish</t>
        </is>
      </c>
      <c r="S116" s="26" t="inlineStr">
        <is>
          <t>Yes</t>
        </is>
      </c>
      <c r="T116" s="27" t="n"/>
      <c r="U116" s="28" t="inlineStr">
        <is>
          <t>No</t>
        </is>
      </c>
      <c r="V116" s="29">
        <f>IF(N116="","",IF(Q116="Yes","❌ Disc",IF(P116="No","⚠ Missing",IF(S116="Yes","✓ OK","⚠ Check"))))</f>
        <v/>
      </c>
      <c r="W116" s="65" t="n">
        <v>46248</v>
      </c>
      <c r="X116" s="30" t="inlineStr">
        <is>
          <t>Sunil CR</t>
        </is>
      </c>
      <c r="Y116" s="30" t="inlineStr">
        <is>
          <t>Yes</t>
        </is>
      </c>
      <c r="Z116" s="30" t="n"/>
      <c r="AA116" s="30" t="inlineStr">
        <is>
          <t>Good finish</t>
        </is>
      </c>
      <c r="AB116" s="30" t="inlineStr">
        <is>
          <t>Yes</t>
        </is>
      </c>
      <c r="AC116" s="27" t="n"/>
      <c r="AD116" s="31" t="inlineStr">
        <is>
          <t>No</t>
        </is>
      </c>
      <c r="AE116" s="32">
        <f>IF(W116="","",IF(Z116="Yes","❌ Disc",IF(Y116="No","⚠ Missing",IF(AB116="Yes","✓ OK","⚠ Check"))))</f>
        <v/>
      </c>
      <c r="AF116" s="33" t="n"/>
      <c r="AG116" s="33" t="n"/>
      <c r="AH116" s="33" t="n"/>
      <c r="AI116" s="33" t="n"/>
      <c r="AJ116" s="33" t="n"/>
      <c r="AK116" s="33" t="n"/>
      <c r="AL116" s="27" t="n"/>
      <c r="AM116" s="34" t="n"/>
      <c r="AN116" s="35">
        <f>IF(AF116="","",IF(AI116="Yes","❌ Disc",IF(AH116="No","⚠ Missing",IF(AK116="Yes","✓ OK","⚠ Check"))))</f>
        <v/>
      </c>
      <c r="AO116" s="36" t="n"/>
      <c r="AP116" s="36" t="n"/>
      <c r="AQ116" s="36" t="n"/>
      <c r="AR116" s="36" t="n"/>
      <c r="AS116" s="36" t="n"/>
      <c r="AT116" s="36" t="n"/>
      <c r="AU116" s="27" t="n"/>
      <c r="AV116" s="37" t="n"/>
      <c r="AW116" s="38">
        <f>IF(AO116="","",IF(AR116="Yes","❌ Disc",IF(AQ116="No","⚠ Missing",IF(AT116="Yes","✓ OK","⚠ Check"))))</f>
        <v/>
      </c>
    </row>
    <row r="117" ht="18" customHeight="1" s="46">
      <c r="A117" s="23" t="n">
        <v>113</v>
      </c>
      <c r="B117" s="24" t="inlineStr">
        <is>
          <t>BD-VRM-2026-0294</t>
        </is>
      </c>
      <c r="C117" s="25" t="inlineStr">
        <is>
          <t>Excel  - Hot Spots  Wallpaper 78204-3</t>
        </is>
      </c>
      <c r="D117" s="23" t="inlineStr">
        <is>
          <t>Excel</t>
        </is>
      </c>
      <c r="E117" s="43" t="n">
        <v>46125</v>
      </c>
      <c r="F117" s="26" t="inlineStr">
        <is>
          <t>Sunil CR</t>
        </is>
      </c>
      <c r="G117" s="26" t="inlineStr">
        <is>
          <t>Yes</t>
        </is>
      </c>
      <c r="H117" s="26" t="inlineStr">
        <is>
          <t>No</t>
        </is>
      </c>
      <c r="I117" s="26" t="inlineStr">
        <is>
          <t>Good finish</t>
        </is>
      </c>
      <c r="J117" s="26" t="inlineStr">
        <is>
          <t>Yes</t>
        </is>
      </c>
      <c r="K117" s="27" t="n"/>
      <c r="L117" s="28" t="inlineStr">
        <is>
          <t>No</t>
        </is>
      </c>
      <c r="M117" s="29">
        <f>IF(E117="","",IF(H117="Yes","❌ Disc",IF(G117="No","⚠ Missing",IF(J117="Yes","✓ OK","⚠ Check"))))</f>
        <v/>
      </c>
      <c r="N117" s="43" t="n">
        <v>46193</v>
      </c>
      <c r="O117" s="26" t="inlineStr">
        <is>
          <t>Sunil CR</t>
        </is>
      </c>
      <c r="P117" s="26" t="inlineStr">
        <is>
          <t>Yes</t>
        </is>
      </c>
      <c r="Q117" s="26" t="inlineStr">
        <is>
          <t>No</t>
        </is>
      </c>
      <c r="R117" s="26" t="inlineStr">
        <is>
          <t>Good finish</t>
        </is>
      </c>
      <c r="S117" s="26" t="inlineStr">
        <is>
          <t>Yes</t>
        </is>
      </c>
      <c r="T117" s="27" t="n"/>
      <c r="U117" s="28" t="inlineStr">
        <is>
          <t>No</t>
        </is>
      </c>
      <c r="V117" s="29">
        <f>IF(N117="","",IF(Q117="Yes","❌ Disc",IF(P117="No","⚠ Missing",IF(S117="Yes","✓ OK","⚠ Check"))))</f>
        <v/>
      </c>
      <c r="W117" s="65" t="n">
        <v>46248</v>
      </c>
      <c r="X117" s="30" t="inlineStr">
        <is>
          <t>Sunil CR</t>
        </is>
      </c>
      <c r="Y117" s="30" t="inlineStr">
        <is>
          <t>Yes</t>
        </is>
      </c>
      <c r="Z117" s="30" t="n"/>
      <c r="AA117" s="30" t="inlineStr">
        <is>
          <t>Good finish</t>
        </is>
      </c>
      <c r="AB117" s="30" t="inlineStr">
        <is>
          <t>Yes</t>
        </is>
      </c>
      <c r="AC117" s="27" t="n"/>
      <c r="AD117" s="31" t="inlineStr">
        <is>
          <t>No</t>
        </is>
      </c>
      <c r="AE117" s="32">
        <f>IF(W117="","",IF(Z117="Yes","❌ Disc",IF(Y117="No","⚠ Missing",IF(AB117="Yes","✓ OK","⚠ Check"))))</f>
        <v/>
      </c>
      <c r="AF117" s="33" t="n"/>
      <c r="AG117" s="33" t="n"/>
      <c r="AH117" s="33" t="n"/>
      <c r="AI117" s="33" t="n"/>
      <c r="AJ117" s="33" t="n"/>
      <c r="AK117" s="33" t="n"/>
      <c r="AL117" s="27" t="n"/>
      <c r="AM117" s="34" t="n"/>
      <c r="AN117" s="35">
        <f>IF(AF117="","",IF(AI117="Yes","❌ Disc",IF(AH117="No","⚠ Missing",IF(AK117="Yes","✓ OK","⚠ Check"))))</f>
        <v/>
      </c>
      <c r="AO117" s="36" t="n"/>
      <c r="AP117" s="36" t="n"/>
      <c r="AQ117" s="36" t="n"/>
      <c r="AR117" s="36" t="n"/>
      <c r="AS117" s="36" t="n"/>
      <c r="AT117" s="36" t="n"/>
      <c r="AU117" s="27" t="n"/>
      <c r="AV117" s="37" t="n"/>
      <c r="AW117" s="38">
        <f>IF(AO117="","",IF(AR117="Yes","❌ Disc",IF(AQ117="No","⚠ Missing",IF(AT117="Yes","✓ OK","⚠ Check"))))</f>
        <v/>
      </c>
    </row>
    <row r="118" ht="18" customHeight="1" s="46">
      <c r="A118" s="39" t="n">
        <v>114</v>
      </c>
      <c r="B118" s="40" t="inlineStr">
        <is>
          <t>BD-VRM-2026-0295</t>
        </is>
      </c>
      <c r="C118" s="41" t="inlineStr">
        <is>
          <t>Excel  - Hot Spots  Wallpaper 78204-4</t>
        </is>
      </c>
      <c r="D118" s="39" t="inlineStr">
        <is>
          <t>Excel</t>
        </is>
      </c>
      <c r="E118" s="43" t="n">
        <v>46125</v>
      </c>
      <c r="F118" s="26" t="inlineStr">
        <is>
          <t>Sunil CR</t>
        </is>
      </c>
      <c r="G118" s="26" t="inlineStr">
        <is>
          <t>Yes</t>
        </is>
      </c>
      <c r="H118" s="26" t="inlineStr">
        <is>
          <t>No</t>
        </is>
      </c>
      <c r="I118" s="26" t="inlineStr">
        <is>
          <t>Good finish</t>
        </is>
      </c>
      <c r="J118" s="26" t="inlineStr">
        <is>
          <t>Yes</t>
        </is>
      </c>
      <c r="K118" s="27" t="n"/>
      <c r="L118" s="28" t="inlineStr">
        <is>
          <t>No</t>
        </is>
      </c>
      <c r="M118" s="29">
        <f>IF(E118="","",IF(H118="Yes","❌ Disc",IF(G118="No","⚠ Missing",IF(J118="Yes","✓ OK","⚠ Check"))))</f>
        <v/>
      </c>
      <c r="N118" s="43" t="n">
        <v>46193</v>
      </c>
      <c r="O118" s="26" t="inlineStr">
        <is>
          <t>Sunil CR</t>
        </is>
      </c>
      <c r="P118" s="26" t="inlineStr">
        <is>
          <t>Yes</t>
        </is>
      </c>
      <c r="Q118" s="26" t="inlineStr">
        <is>
          <t>No</t>
        </is>
      </c>
      <c r="R118" s="26" t="inlineStr">
        <is>
          <t>Good finish</t>
        </is>
      </c>
      <c r="S118" s="26" t="inlineStr">
        <is>
          <t>Yes</t>
        </is>
      </c>
      <c r="T118" s="27" t="n"/>
      <c r="U118" s="28" t="inlineStr">
        <is>
          <t>No</t>
        </is>
      </c>
      <c r="V118" s="29">
        <f>IF(N118="","",IF(Q118="Yes","❌ Disc",IF(P118="No","⚠ Missing",IF(S118="Yes","✓ OK","⚠ Check"))))</f>
        <v/>
      </c>
      <c r="W118" s="65" t="n">
        <v>46248</v>
      </c>
      <c r="X118" s="30" t="inlineStr">
        <is>
          <t>Sunil CR</t>
        </is>
      </c>
      <c r="Y118" s="30" t="inlineStr">
        <is>
          <t>Yes</t>
        </is>
      </c>
      <c r="Z118" s="30" t="n"/>
      <c r="AA118" s="30" t="inlineStr">
        <is>
          <t>Good finish</t>
        </is>
      </c>
      <c r="AB118" s="30" t="inlineStr">
        <is>
          <t>Yes</t>
        </is>
      </c>
      <c r="AC118" s="27" t="n"/>
      <c r="AD118" s="31" t="inlineStr">
        <is>
          <t>No</t>
        </is>
      </c>
      <c r="AE118" s="32">
        <f>IF(W118="","",IF(Z118="Yes","❌ Disc",IF(Y118="No","⚠ Missing",IF(AB118="Yes","✓ OK","⚠ Check"))))</f>
        <v/>
      </c>
      <c r="AF118" s="33" t="n"/>
      <c r="AG118" s="33" t="n"/>
      <c r="AH118" s="33" t="n"/>
      <c r="AI118" s="33" t="n"/>
      <c r="AJ118" s="33" t="n"/>
      <c r="AK118" s="33" t="n"/>
      <c r="AL118" s="27" t="n"/>
      <c r="AM118" s="34" t="n"/>
      <c r="AN118" s="35">
        <f>IF(AF118="","",IF(AI118="Yes","❌ Disc",IF(AH118="No","⚠ Missing",IF(AK118="Yes","✓ OK","⚠ Check"))))</f>
        <v/>
      </c>
      <c r="AO118" s="36" t="n"/>
      <c r="AP118" s="36" t="n"/>
      <c r="AQ118" s="36" t="n"/>
      <c r="AR118" s="36" t="n"/>
      <c r="AS118" s="36" t="n"/>
      <c r="AT118" s="36" t="n"/>
      <c r="AU118" s="27" t="n"/>
      <c r="AV118" s="37" t="n"/>
      <c r="AW118" s="38">
        <f>IF(AO118="","",IF(AR118="Yes","❌ Disc",IF(AQ118="No","⚠ Missing",IF(AT118="Yes","✓ OK","⚠ Check"))))</f>
        <v/>
      </c>
    </row>
    <row r="119" ht="18" customHeight="1" s="46">
      <c r="A119" s="23" t="n">
        <v>115</v>
      </c>
      <c r="B119" s="24" t="inlineStr">
        <is>
          <t>BD-VRM-2026-0296</t>
        </is>
      </c>
      <c r="C119" s="25" t="inlineStr">
        <is>
          <t>Excel  - Hot Spots  Wallpaper 78204-5</t>
        </is>
      </c>
      <c r="D119" s="23" t="inlineStr">
        <is>
          <t>Excel</t>
        </is>
      </c>
      <c r="E119" s="43" t="n">
        <v>46125</v>
      </c>
      <c r="F119" s="26" t="inlineStr">
        <is>
          <t>Sunil CR</t>
        </is>
      </c>
      <c r="G119" s="26" t="inlineStr">
        <is>
          <t>Yes</t>
        </is>
      </c>
      <c r="H119" s="26" t="inlineStr">
        <is>
          <t>No</t>
        </is>
      </c>
      <c r="I119" s="26" t="inlineStr">
        <is>
          <t>Good finish</t>
        </is>
      </c>
      <c r="J119" s="26" t="inlineStr">
        <is>
          <t>Yes</t>
        </is>
      </c>
      <c r="K119" s="27" t="n"/>
      <c r="L119" s="28" t="inlineStr">
        <is>
          <t>No</t>
        </is>
      </c>
      <c r="M119" s="29">
        <f>IF(E119="","",IF(H119="Yes","❌ Disc",IF(G119="No","⚠ Missing",IF(J119="Yes","✓ OK","⚠ Check"))))</f>
        <v/>
      </c>
      <c r="N119" s="43" t="n">
        <v>46193</v>
      </c>
      <c r="O119" s="26" t="inlineStr">
        <is>
          <t>Sunil CR</t>
        </is>
      </c>
      <c r="P119" s="26" t="inlineStr">
        <is>
          <t>Yes</t>
        </is>
      </c>
      <c r="Q119" s="26" t="inlineStr">
        <is>
          <t>No</t>
        </is>
      </c>
      <c r="R119" s="26" t="inlineStr">
        <is>
          <t>Good finish</t>
        </is>
      </c>
      <c r="S119" s="26" t="inlineStr">
        <is>
          <t>Yes</t>
        </is>
      </c>
      <c r="T119" s="27" t="n"/>
      <c r="U119" s="28" t="inlineStr">
        <is>
          <t>No</t>
        </is>
      </c>
      <c r="V119" s="29">
        <f>IF(N119="","",IF(Q119="Yes","❌ Disc",IF(P119="No","⚠ Missing",IF(S119="Yes","✓ OK","⚠ Check"))))</f>
        <v/>
      </c>
      <c r="W119" s="65" t="n">
        <v>46248</v>
      </c>
      <c r="X119" s="30" t="inlineStr">
        <is>
          <t>Sunil CR</t>
        </is>
      </c>
      <c r="Y119" s="30" t="inlineStr">
        <is>
          <t>Yes</t>
        </is>
      </c>
      <c r="Z119" s="30" t="n"/>
      <c r="AA119" s="30" t="inlineStr">
        <is>
          <t>Good finish</t>
        </is>
      </c>
      <c r="AB119" s="30" t="inlineStr">
        <is>
          <t>Yes</t>
        </is>
      </c>
      <c r="AC119" s="27" t="n"/>
      <c r="AD119" s="31" t="inlineStr">
        <is>
          <t>No</t>
        </is>
      </c>
      <c r="AE119" s="32">
        <f>IF(W119="","",IF(Z119="Yes","❌ Disc",IF(Y119="No","⚠ Missing",IF(AB119="Yes","✓ OK","⚠ Check"))))</f>
        <v/>
      </c>
      <c r="AF119" s="33" t="n"/>
      <c r="AG119" s="33" t="n"/>
      <c r="AH119" s="33" t="n"/>
      <c r="AI119" s="33" t="n"/>
      <c r="AJ119" s="33" t="n"/>
      <c r="AK119" s="33" t="n"/>
      <c r="AL119" s="27" t="n"/>
      <c r="AM119" s="34" t="n"/>
      <c r="AN119" s="35">
        <f>IF(AF119="","",IF(AI119="Yes","❌ Disc",IF(AH119="No","⚠ Missing",IF(AK119="Yes","✓ OK","⚠ Check"))))</f>
        <v/>
      </c>
      <c r="AO119" s="36" t="n"/>
      <c r="AP119" s="36" t="n"/>
      <c r="AQ119" s="36" t="n"/>
      <c r="AR119" s="36" t="n"/>
      <c r="AS119" s="36" t="n"/>
      <c r="AT119" s="36" t="n"/>
      <c r="AU119" s="27" t="n"/>
      <c r="AV119" s="37" t="n"/>
      <c r="AW119" s="38">
        <f>IF(AO119="","",IF(AR119="Yes","❌ Disc",IF(AQ119="No","⚠ Missing",IF(AT119="Yes","✓ OK","⚠ Check"))))</f>
        <v/>
      </c>
    </row>
    <row r="120" ht="18" customHeight="1" s="46">
      <c r="A120" s="39" t="n">
        <v>116</v>
      </c>
      <c r="B120" s="40" t="inlineStr">
        <is>
          <t>BD-VRM-2026-0297</t>
        </is>
      </c>
      <c r="C120" s="41" t="inlineStr">
        <is>
          <t>Excel  - Hot Spots  Wallpaper 78204-6</t>
        </is>
      </c>
      <c r="D120" s="39" t="inlineStr">
        <is>
          <t>Excel</t>
        </is>
      </c>
      <c r="E120" s="43" t="n">
        <v>46125</v>
      </c>
      <c r="F120" s="26" t="inlineStr">
        <is>
          <t>Sunil CR</t>
        </is>
      </c>
      <c r="G120" s="26" t="inlineStr">
        <is>
          <t>Yes</t>
        </is>
      </c>
      <c r="H120" s="26" t="inlineStr">
        <is>
          <t>No</t>
        </is>
      </c>
      <c r="I120" s="26" t="inlineStr">
        <is>
          <t>Good finish</t>
        </is>
      </c>
      <c r="J120" s="26" t="inlineStr">
        <is>
          <t>Yes</t>
        </is>
      </c>
      <c r="K120" s="27" t="n"/>
      <c r="L120" s="28" t="inlineStr">
        <is>
          <t>No</t>
        </is>
      </c>
      <c r="M120" s="29">
        <f>IF(E120="","",IF(H120="Yes","❌ Disc",IF(G120="No","⚠ Missing",IF(J120="Yes","✓ OK","⚠ Check"))))</f>
        <v/>
      </c>
      <c r="N120" s="43" t="n">
        <v>46193</v>
      </c>
      <c r="O120" s="26" t="inlineStr">
        <is>
          <t>Sunil CR</t>
        </is>
      </c>
      <c r="P120" s="26" t="inlineStr">
        <is>
          <t>Yes</t>
        </is>
      </c>
      <c r="Q120" s="26" t="inlineStr">
        <is>
          <t>No</t>
        </is>
      </c>
      <c r="R120" s="26" t="inlineStr">
        <is>
          <t>Good finish</t>
        </is>
      </c>
      <c r="S120" s="26" t="inlineStr">
        <is>
          <t>Yes</t>
        </is>
      </c>
      <c r="T120" s="27" t="n"/>
      <c r="U120" s="28" t="inlineStr">
        <is>
          <t>No</t>
        </is>
      </c>
      <c r="V120" s="29">
        <f>IF(N120="","",IF(Q120="Yes","❌ Disc",IF(P120="No","⚠ Missing",IF(S120="Yes","✓ OK","⚠ Check"))))</f>
        <v/>
      </c>
      <c r="W120" s="65" t="n">
        <v>46248</v>
      </c>
      <c r="X120" s="30" t="inlineStr">
        <is>
          <t>Sunil CR</t>
        </is>
      </c>
      <c r="Y120" s="30" t="inlineStr">
        <is>
          <t>Yes</t>
        </is>
      </c>
      <c r="Z120" s="30" t="n"/>
      <c r="AA120" s="30" t="inlineStr">
        <is>
          <t>Good finish</t>
        </is>
      </c>
      <c r="AB120" s="30" t="inlineStr">
        <is>
          <t>Yes</t>
        </is>
      </c>
      <c r="AC120" s="27" t="n"/>
      <c r="AD120" s="31" t="inlineStr">
        <is>
          <t>No</t>
        </is>
      </c>
      <c r="AE120" s="32">
        <f>IF(W120="","",IF(Z120="Yes","❌ Disc",IF(Y120="No","⚠ Missing",IF(AB120="Yes","✓ OK","⚠ Check"))))</f>
        <v/>
      </c>
      <c r="AF120" s="33" t="n"/>
      <c r="AG120" s="33" t="n"/>
      <c r="AH120" s="33" t="n"/>
      <c r="AI120" s="33" t="n"/>
      <c r="AJ120" s="33" t="n"/>
      <c r="AK120" s="33" t="n"/>
      <c r="AL120" s="27" t="n"/>
      <c r="AM120" s="34" t="n"/>
      <c r="AN120" s="35">
        <f>IF(AF120="","",IF(AI120="Yes","❌ Disc",IF(AH120="No","⚠ Missing",IF(AK120="Yes","✓ OK","⚠ Check"))))</f>
        <v/>
      </c>
      <c r="AO120" s="36" t="n"/>
      <c r="AP120" s="36" t="n"/>
      <c r="AQ120" s="36" t="n"/>
      <c r="AR120" s="36" t="n"/>
      <c r="AS120" s="36" t="n"/>
      <c r="AT120" s="36" t="n"/>
      <c r="AU120" s="27" t="n"/>
      <c r="AV120" s="37" t="n"/>
      <c r="AW120" s="38">
        <f>IF(AO120="","",IF(AR120="Yes","❌ Disc",IF(AQ120="No","⚠ Missing",IF(AT120="Yes","✓ OK","⚠ Check"))))</f>
        <v/>
      </c>
    </row>
    <row r="121" ht="18" customHeight="1" s="46">
      <c r="A121" s="23" t="n">
        <v>117</v>
      </c>
      <c r="B121" s="24" t="inlineStr">
        <is>
          <t>BD-VRM-2026-0304</t>
        </is>
      </c>
      <c r="C121" s="25" t="inlineStr">
        <is>
          <t>Excel  - Hot Spots  Wallpaper 78227-1</t>
        </is>
      </c>
      <c r="D121" s="23" t="inlineStr">
        <is>
          <t>Excel</t>
        </is>
      </c>
      <c r="E121" s="43" t="n">
        <v>46125</v>
      </c>
      <c r="F121" s="26" t="inlineStr">
        <is>
          <t>Sunil CR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Good finish</t>
        </is>
      </c>
      <c r="J121" s="26" t="inlineStr">
        <is>
          <t>Yes</t>
        </is>
      </c>
      <c r="K121" s="27" t="n"/>
      <c r="L121" s="28" t="inlineStr">
        <is>
          <t>No</t>
        </is>
      </c>
      <c r="M121" s="29">
        <f>IF(E121="","",IF(H121="Yes","❌ Disc",IF(G121="No","⚠ Missing",IF(J121="Yes","✓ OK","⚠ Check"))))</f>
        <v/>
      </c>
      <c r="N121" s="43" t="n">
        <v>46193</v>
      </c>
      <c r="O121" s="26" t="inlineStr">
        <is>
          <t>Sunil CR</t>
        </is>
      </c>
      <c r="P121" s="26" t="inlineStr">
        <is>
          <t>Yes</t>
        </is>
      </c>
      <c r="Q121" s="26" t="inlineStr">
        <is>
          <t>No</t>
        </is>
      </c>
      <c r="R121" s="26" t="inlineStr">
        <is>
          <t>Good finish</t>
        </is>
      </c>
      <c r="S121" s="26" t="inlineStr">
        <is>
          <t>Yes</t>
        </is>
      </c>
      <c r="T121" s="27" t="n"/>
      <c r="U121" s="28" t="inlineStr">
        <is>
          <t>No</t>
        </is>
      </c>
      <c r="V121" s="29">
        <f>IF(N121="","",IF(Q121="Yes","❌ Disc",IF(P121="No","⚠ Missing",IF(S121="Yes","✓ OK","⚠ Check"))))</f>
        <v/>
      </c>
      <c r="W121" s="65" t="n">
        <v>46248</v>
      </c>
      <c r="X121" s="30" t="inlineStr">
        <is>
          <t>Sunil CR</t>
        </is>
      </c>
      <c r="Y121" s="30" t="inlineStr">
        <is>
          <t>Yes</t>
        </is>
      </c>
      <c r="Z121" s="30" t="n"/>
      <c r="AA121" s="30" t="inlineStr">
        <is>
          <t>Good finish</t>
        </is>
      </c>
      <c r="AB121" s="30" t="inlineStr">
        <is>
          <t>Yes</t>
        </is>
      </c>
      <c r="AC121" s="27" t="n"/>
      <c r="AD121" s="31" t="inlineStr">
        <is>
          <t>No</t>
        </is>
      </c>
      <c r="AE121" s="32">
        <f>IF(W121="","",IF(Z121="Yes","❌ Disc",IF(Y121="No","⚠ Missing",IF(AB121="Yes","✓ OK","⚠ Check"))))</f>
        <v/>
      </c>
      <c r="AF121" s="33" t="n"/>
      <c r="AG121" s="33" t="n"/>
      <c r="AH121" s="33" t="n"/>
      <c r="AI121" s="33" t="n"/>
      <c r="AJ121" s="33" t="n"/>
      <c r="AK121" s="33" t="n"/>
      <c r="AL121" s="27" t="n"/>
      <c r="AM121" s="34" t="n"/>
      <c r="AN121" s="35">
        <f>IF(AF121="","",IF(AI121="Yes","❌ Disc",IF(AH121="No","⚠ Missing",IF(AK121="Yes","✓ OK","⚠ Check"))))</f>
        <v/>
      </c>
      <c r="AO121" s="36" t="n"/>
      <c r="AP121" s="36" t="n"/>
      <c r="AQ121" s="36" t="n"/>
      <c r="AR121" s="36" t="n"/>
      <c r="AS121" s="36" t="n"/>
      <c r="AT121" s="36" t="n"/>
      <c r="AU121" s="27" t="n"/>
      <c r="AV121" s="37" t="n"/>
      <c r="AW121" s="38">
        <f>IF(AO121="","",IF(AR121="Yes","❌ Disc",IF(AQ121="No","⚠ Missing",IF(AT121="Yes","✓ OK","⚠ Check"))))</f>
        <v/>
      </c>
    </row>
    <row r="122" ht="18" customHeight="1" s="46">
      <c r="A122" s="39" t="n">
        <v>118</v>
      </c>
      <c r="B122" s="40" t="inlineStr">
        <is>
          <t>BD-VRM-2026-0305</t>
        </is>
      </c>
      <c r="C122" s="41" t="inlineStr">
        <is>
          <t>Excel  - Hot Spots  Wallpaper 78227-2</t>
        </is>
      </c>
      <c r="D122" s="39" t="inlineStr">
        <is>
          <t>Excel</t>
        </is>
      </c>
      <c r="E122" s="43" t="n">
        <v>46125</v>
      </c>
      <c r="F122" s="26" t="inlineStr">
        <is>
          <t>Sunil CR</t>
        </is>
      </c>
      <c r="G122" s="26" t="inlineStr">
        <is>
          <t>Yes</t>
        </is>
      </c>
      <c r="H122" s="26" t="inlineStr">
        <is>
          <t>No</t>
        </is>
      </c>
      <c r="I122" s="26" t="inlineStr">
        <is>
          <t>Good finish</t>
        </is>
      </c>
      <c r="J122" s="26" t="inlineStr">
        <is>
          <t>Yes</t>
        </is>
      </c>
      <c r="K122" s="27" t="n"/>
      <c r="L122" s="28" t="inlineStr">
        <is>
          <t>No</t>
        </is>
      </c>
      <c r="M122" s="29">
        <f>IF(E122="","",IF(H122="Yes","❌ Disc",IF(G122="No","⚠ Missing",IF(J122="Yes","✓ OK","⚠ Check"))))</f>
        <v/>
      </c>
      <c r="N122" s="43" t="n">
        <v>46193</v>
      </c>
      <c r="O122" s="26" t="inlineStr">
        <is>
          <t>Sunil CR</t>
        </is>
      </c>
      <c r="P122" s="26" t="inlineStr">
        <is>
          <t>Yes</t>
        </is>
      </c>
      <c r="Q122" s="26" t="inlineStr">
        <is>
          <t>No</t>
        </is>
      </c>
      <c r="R122" s="26" t="inlineStr">
        <is>
          <t>Good finish</t>
        </is>
      </c>
      <c r="S122" s="26" t="inlineStr">
        <is>
          <t>Yes</t>
        </is>
      </c>
      <c r="T122" s="27" t="n"/>
      <c r="U122" s="28" t="inlineStr">
        <is>
          <t>No</t>
        </is>
      </c>
      <c r="V122" s="29">
        <f>IF(N122="","",IF(Q122="Yes","❌ Disc",IF(P122="No","⚠ Missing",IF(S122="Yes","✓ OK","⚠ Check"))))</f>
        <v/>
      </c>
      <c r="W122" s="65" t="n">
        <v>46248</v>
      </c>
      <c r="X122" s="30" t="inlineStr">
        <is>
          <t>Sunil CR</t>
        </is>
      </c>
      <c r="Y122" s="30" t="inlineStr">
        <is>
          <t>Yes</t>
        </is>
      </c>
      <c r="Z122" s="30" t="n"/>
      <c r="AA122" s="30" t="inlineStr">
        <is>
          <t>Good finish</t>
        </is>
      </c>
      <c r="AB122" s="30" t="inlineStr">
        <is>
          <t>Yes</t>
        </is>
      </c>
      <c r="AC122" s="27" t="n"/>
      <c r="AD122" s="31" t="inlineStr">
        <is>
          <t>No</t>
        </is>
      </c>
      <c r="AE122" s="32">
        <f>IF(W122="","",IF(Z122="Yes","❌ Disc",IF(Y122="No","⚠ Missing",IF(AB122="Yes","✓ OK","⚠ Check"))))</f>
        <v/>
      </c>
      <c r="AF122" s="33" t="n"/>
      <c r="AG122" s="33" t="n"/>
      <c r="AH122" s="33" t="n"/>
      <c r="AI122" s="33" t="n"/>
      <c r="AJ122" s="33" t="n"/>
      <c r="AK122" s="33" t="n"/>
      <c r="AL122" s="27" t="n"/>
      <c r="AM122" s="34" t="n"/>
      <c r="AN122" s="35">
        <f>IF(AF122="","",IF(AI122="Yes","❌ Disc",IF(AH122="No","⚠ Missing",IF(AK122="Yes","✓ OK","⚠ Check"))))</f>
        <v/>
      </c>
      <c r="AO122" s="36" t="n"/>
      <c r="AP122" s="36" t="n"/>
      <c r="AQ122" s="36" t="n"/>
      <c r="AR122" s="36" t="n"/>
      <c r="AS122" s="36" t="n"/>
      <c r="AT122" s="36" t="n"/>
      <c r="AU122" s="27" t="n"/>
      <c r="AV122" s="37" t="n"/>
      <c r="AW122" s="38">
        <f>IF(AO122="","",IF(AR122="Yes","❌ Disc",IF(AQ122="No","⚠ Missing",IF(AT122="Yes","✓ OK","⚠ Check"))))</f>
        <v/>
      </c>
    </row>
    <row r="123" ht="18" customHeight="1" s="46">
      <c r="A123" s="23" t="n">
        <v>119</v>
      </c>
      <c r="B123" s="24" t="inlineStr">
        <is>
          <t>BD-VRM-2026-0306</t>
        </is>
      </c>
      <c r="C123" s="25" t="inlineStr">
        <is>
          <t>Excel  - Hot Spots  Wallpaper 78227-3</t>
        </is>
      </c>
      <c r="D123" s="23" t="inlineStr">
        <is>
          <t>Excel</t>
        </is>
      </c>
      <c r="E123" s="43" t="n">
        <v>46125</v>
      </c>
      <c r="F123" s="26" t="inlineStr">
        <is>
          <t>Sunil CR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Good finish</t>
        </is>
      </c>
      <c r="J123" s="26" t="inlineStr">
        <is>
          <t>Yes</t>
        </is>
      </c>
      <c r="K123" s="27" t="n"/>
      <c r="L123" s="28" t="inlineStr">
        <is>
          <t>No</t>
        </is>
      </c>
      <c r="M123" s="29">
        <f>IF(E123="","",IF(H123="Yes","❌ Disc",IF(G123="No","⚠ Missing",IF(J123="Yes","✓ OK","⚠ Check"))))</f>
        <v/>
      </c>
      <c r="N123" s="43" t="n">
        <v>46193</v>
      </c>
      <c r="O123" s="26" t="inlineStr">
        <is>
          <t>Sunil CR</t>
        </is>
      </c>
      <c r="P123" s="26" t="inlineStr">
        <is>
          <t>Yes</t>
        </is>
      </c>
      <c r="Q123" s="26" t="inlineStr">
        <is>
          <t>No</t>
        </is>
      </c>
      <c r="R123" s="26" t="inlineStr">
        <is>
          <t>Good finish</t>
        </is>
      </c>
      <c r="S123" s="26" t="inlineStr">
        <is>
          <t>Yes</t>
        </is>
      </c>
      <c r="T123" s="27" t="n"/>
      <c r="U123" s="28" t="inlineStr">
        <is>
          <t>No</t>
        </is>
      </c>
      <c r="V123" s="29">
        <f>IF(N123="","",IF(Q123="Yes","❌ Disc",IF(P123="No","⚠ Missing",IF(S123="Yes","✓ OK","⚠ Check"))))</f>
        <v/>
      </c>
      <c r="W123" s="65" t="n">
        <v>46248</v>
      </c>
      <c r="X123" s="30" t="inlineStr">
        <is>
          <t>Sunil CR</t>
        </is>
      </c>
      <c r="Y123" s="30" t="inlineStr">
        <is>
          <t>Yes</t>
        </is>
      </c>
      <c r="Z123" s="30" t="n"/>
      <c r="AA123" s="30" t="inlineStr">
        <is>
          <t>Good finish</t>
        </is>
      </c>
      <c r="AB123" s="30" t="inlineStr">
        <is>
          <t>Yes</t>
        </is>
      </c>
      <c r="AC123" s="27" t="n"/>
      <c r="AD123" s="31" t="inlineStr">
        <is>
          <t>No</t>
        </is>
      </c>
      <c r="AE123" s="32">
        <f>IF(W123="","",IF(Z123="Yes","❌ Disc",IF(Y123="No","⚠ Missing",IF(AB123="Yes","✓ OK","⚠ Check"))))</f>
        <v/>
      </c>
      <c r="AF123" s="33" t="n"/>
      <c r="AG123" s="33" t="n"/>
      <c r="AH123" s="33" t="n"/>
      <c r="AI123" s="33" t="n"/>
      <c r="AJ123" s="33" t="n"/>
      <c r="AK123" s="33" t="n"/>
      <c r="AL123" s="27" t="n"/>
      <c r="AM123" s="34" t="n"/>
      <c r="AN123" s="35">
        <f>IF(AF123="","",IF(AI123="Yes","❌ Disc",IF(AH123="No","⚠ Missing",IF(AK123="Yes","✓ OK","⚠ Check"))))</f>
        <v/>
      </c>
      <c r="AO123" s="36" t="n"/>
      <c r="AP123" s="36" t="n"/>
      <c r="AQ123" s="36" t="n"/>
      <c r="AR123" s="36" t="n"/>
      <c r="AS123" s="36" t="n"/>
      <c r="AT123" s="36" t="n"/>
      <c r="AU123" s="27" t="n"/>
      <c r="AV123" s="37" t="n"/>
      <c r="AW123" s="38">
        <f>IF(AO123="","",IF(AR123="Yes","❌ Disc",IF(AQ123="No","⚠ Missing",IF(AT123="Yes","✓ OK","⚠ Check"))))</f>
        <v/>
      </c>
    </row>
    <row r="124" ht="18" customHeight="1" s="46">
      <c r="A124" s="39" t="n">
        <v>120</v>
      </c>
      <c r="B124" s="40" t="inlineStr">
        <is>
          <t>BD-VRM-2026-0307</t>
        </is>
      </c>
      <c r="C124" s="41" t="inlineStr">
        <is>
          <t>Excel  - Hot Spots  Wallpaper 78227-4</t>
        </is>
      </c>
      <c r="D124" s="39" t="inlineStr">
        <is>
          <t>Excel</t>
        </is>
      </c>
      <c r="E124" s="43" t="n">
        <v>46125</v>
      </c>
      <c r="F124" s="26" t="inlineStr">
        <is>
          <t>Sunil CR</t>
        </is>
      </c>
      <c r="G124" s="26" t="inlineStr">
        <is>
          <t>Yes</t>
        </is>
      </c>
      <c r="H124" s="26" t="inlineStr">
        <is>
          <t>No</t>
        </is>
      </c>
      <c r="I124" s="26" t="inlineStr">
        <is>
          <t>Good finish</t>
        </is>
      </c>
      <c r="J124" s="26" t="inlineStr">
        <is>
          <t>Yes</t>
        </is>
      </c>
      <c r="K124" s="27" t="n"/>
      <c r="L124" s="28" t="inlineStr">
        <is>
          <t>No</t>
        </is>
      </c>
      <c r="M124" s="29">
        <f>IF(E124="","",IF(H124="Yes","❌ Disc",IF(G124="No","⚠ Missing",IF(J124="Yes","✓ OK","⚠ Check"))))</f>
        <v/>
      </c>
      <c r="N124" s="43" t="n">
        <v>46193</v>
      </c>
      <c r="O124" s="26" t="inlineStr">
        <is>
          <t>Sunil CR</t>
        </is>
      </c>
      <c r="P124" s="26" t="inlineStr">
        <is>
          <t>Yes</t>
        </is>
      </c>
      <c r="Q124" s="26" t="inlineStr">
        <is>
          <t>No</t>
        </is>
      </c>
      <c r="R124" s="26" t="inlineStr">
        <is>
          <t>Good finish</t>
        </is>
      </c>
      <c r="S124" s="26" t="inlineStr">
        <is>
          <t>Yes</t>
        </is>
      </c>
      <c r="T124" s="27" t="n"/>
      <c r="U124" s="28" t="inlineStr">
        <is>
          <t>No</t>
        </is>
      </c>
      <c r="V124" s="29">
        <f>IF(N124="","",IF(Q124="Yes","❌ Disc",IF(P124="No","⚠ Missing",IF(S124="Yes","✓ OK","⚠ Check"))))</f>
        <v/>
      </c>
      <c r="W124" s="65" t="n">
        <v>46248</v>
      </c>
      <c r="X124" s="30" t="inlineStr">
        <is>
          <t>Sunil CR</t>
        </is>
      </c>
      <c r="Y124" s="30" t="inlineStr">
        <is>
          <t>Yes</t>
        </is>
      </c>
      <c r="Z124" s="30" t="n"/>
      <c r="AA124" s="30" t="inlineStr">
        <is>
          <t>Good finish</t>
        </is>
      </c>
      <c r="AB124" s="30" t="inlineStr">
        <is>
          <t>Yes</t>
        </is>
      </c>
      <c r="AC124" s="27" t="n"/>
      <c r="AD124" s="31" t="inlineStr">
        <is>
          <t>No</t>
        </is>
      </c>
      <c r="AE124" s="32">
        <f>IF(W124="","",IF(Z124="Yes","❌ Disc",IF(Y124="No","⚠ Missing",IF(AB124="Yes","✓ OK","⚠ Check"))))</f>
        <v/>
      </c>
      <c r="AF124" s="33" t="n"/>
      <c r="AG124" s="33" t="n"/>
      <c r="AH124" s="33" t="n"/>
      <c r="AI124" s="33" t="n"/>
      <c r="AJ124" s="33" t="n"/>
      <c r="AK124" s="33" t="n"/>
      <c r="AL124" s="27" t="n"/>
      <c r="AM124" s="34" t="n"/>
      <c r="AN124" s="35">
        <f>IF(AF124="","",IF(AI124="Yes","❌ Disc",IF(AH124="No","⚠ Missing",IF(AK124="Yes","✓ OK","⚠ Check"))))</f>
        <v/>
      </c>
      <c r="AO124" s="36" t="n"/>
      <c r="AP124" s="36" t="n"/>
      <c r="AQ124" s="36" t="n"/>
      <c r="AR124" s="36" t="n"/>
      <c r="AS124" s="36" t="n"/>
      <c r="AT124" s="36" t="n"/>
      <c r="AU124" s="27" t="n"/>
      <c r="AV124" s="37" t="n"/>
      <c r="AW124" s="38">
        <f>IF(AO124="","",IF(AR124="Yes","❌ Disc",IF(AQ124="No","⚠ Missing",IF(AT124="Yes","✓ OK","⚠ Check"))))</f>
        <v/>
      </c>
    </row>
    <row r="125" ht="18" customHeight="1" s="46">
      <c r="A125" s="23" t="n">
        <v>121</v>
      </c>
      <c r="B125" s="24" t="inlineStr">
        <is>
          <t>BD-VRM-2026-0298</t>
        </is>
      </c>
      <c r="C125" s="25" t="inlineStr">
        <is>
          <t>Excel  - Hot Spots  Wallpaper 78629-1</t>
        </is>
      </c>
      <c r="D125" s="23" t="inlineStr">
        <is>
          <t>Excel</t>
        </is>
      </c>
      <c r="E125" s="43" t="n">
        <v>46125</v>
      </c>
      <c r="F125" s="26" t="inlineStr">
        <is>
          <t>Sunil CR</t>
        </is>
      </c>
      <c r="G125" s="26" t="inlineStr">
        <is>
          <t>Yes</t>
        </is>
      </c>
      <c r="H125" s="26" t="inlineStr">
        <is>
          <t>No</t>
        </is>
      </c>
      <c r="I125" s="26" t="inlineStr">
        <is>
          <t>Good finish</t>
        </is>
      </c>
      <c r="J125" s="26" t="inlineStr">
        <is>
          <t>Yes</t>
        </is>
      </c>
      <c r="K125" s="27" t="n"/>
      <c r="L125" s="28" t="inlineStr">
        <is>
          <t>No</t>
        </is>
      </c>
      <c r="M125" s="29">
        <f>IF(E125="","",IF(H125="Yes","❌ Disc",IF(G125="No","⚠ Missing",IF(J125="Yes","✓ OK","⚠ Check"))))</f>
        <v/>
      </c>
      <c r="N125" s="43" t="n">
        <v>46193</v>
      </c>
      <c r="O125" s="26" t="inlineStr">
        <is>
          <t>Sunil CR</t>
        </is>
      </c>
      <c r="P125" s="26" t="inlineStr">
        <is>
          <t>Yes</t>
        </is>
      </c>
      <c r="Q125" s="26" t="inlineStr">
        <is>
          <t>No</t>
        </is>
      </c>
      <c r="R125" s="26" t="inlineStr">
        <is>
          <t>Good finish</t>
        </is>
      </c>
      <c r="S125" s="26" t="inlineStr">
        <is>
          <t>Yes</t>
        </is>
      </c>
      <c r="T125" s="27" t="n"/>
      <c r="U125" s="28" t="inlineStr">
        <is>
          <t>No</t>
        </is>
      </c>
      <c r="V125" s="29">
        <f>IF(N125="","",IF(Q125="Yes","❌ Disc",IF(P125="No","⚠ Missing",IF(S125="Yes","✓ OK","⚠ Check"))))</f>
        <v/>
      </c>
      <c r="W125" s="65" t="n">
        <v>46248</v>
      </c>
      <c r="X125" s="30" t="inlineStr">
        <is>
          <t>Sunil CR</t>
        </is>
      </c>
      <c r="Y125" s="30" t="inlineStr">
        <is>
          <t>Yes</t>
        </is>
      </c>
      <c r="Z125" s="30" t="n"/>
      <c r="AA125" s="30" t="inlineStr">
        <is>
          <t>Good finish</t>
        </is>
      </c>
      <c r="AB125" s="30" t="inlineStr">
        <is>
          <t>Yes</t>
        </is>
      </c>
      <c r="AC125" s="27" t="n"/>
      <c r="AD125" s="31" t="inlineStr">
        <is>
          <t>No</t>
        </is>
      </c>
      <c r="AE125" s="32">
        <f>IF(W125="","",IF(Z125="Yes","❌ Disc",IF(Y125="No","⚠ Missing",IF(AB125="Yes","✓ OK","⚠ Check"))))</f>
        <v/>
      </c>
      <c r="AF125" s="33" t="n"/>
      <c r="AG125" s="33" t="n"/>
      <c r="AH125" s="33" t="n"/>
      <c r="AI125" s="33" t="n"/>
      <c r="AJ125" s="33" t="n"/>
      <c r="AK125" s="33" t="n"/>
      <c r="AL125" s="27" t="n"/>
      <c r="AM125" s="34" t="n"/>
      <c r="AN125" s="35">
        <f>IF(AF125="","",IF(AI125="Yes","❌ Disc",IF(AH125="No","⚠ Missing",IF(AK125="Yes","✓ OK","⚠ Check"))))</f>
        <v/>
      </c>
      <c r="AO125" s="36" t="n"/>
      <c r="AP125" s="36" t="n"/>
      <c r="AQ125" s="36" t="n"/>
      <c r="AR125" s="36" t="n"/>
      <c r="AS125" s="36" t="n"/>
      <c r="AT125" s="36" t="n"/>
      <c r="AU125" s="27" t="n"/>
      <c r="AV125" s="37" t="n"/>
      <c r="AW125" s="38">
        <f>IF(AO125="","",IF(AR125="Yes","❌ Disc",IF(AQ125="No","⚠ Missing",IF(AT125="Yes","✓ OK","⚠ Check"))))</f>
        <v/>
      </c>
    </row>
    <row r="126" ht="18" customHeight="1" s="46">
      <c r="A126" s="39" t="n">
        <v>122</v>
      </c>
      <c r="B126" s="40" t="inlineStr">
        <is>
          <t>BD-VRM-2026-0299</t>
        </is>
      </c>
      <c r="C126" s="41" t="inlineStr">
        <is>
          <t>Excel  - Hot Spots  Wallpaper 78629-2</t>
        </is>
      </c>
      <c r="D126" s="39" t="inlineStr">
        <is>
          <t>Excel</t>
        </is>
      </c>
      <c r="E126" s="43" t="n">
        <v>46125</v>
      </c>
      <c r="F126" s="26" t="inlineStr">
        <is>
          <t>Sunil CR</t>
        </is>
      </c>
      <c r="G126" s="26" t="inlineStr">
        <is>
          <t>Yes</t>
        </is>
      </c>
      <c r="H126" s="26" t="inlineStr">
        <is>
          <t>No</t>
        </is>
      </c>
      <c r="I126" s="26" t="inlineStr">
        <is>
          <t>Good finish</t>
        </is>
      </c>
      <c r="J126" s="26" t="inlineStr">
        <is>
          <t>Yes</t>
        </is>
      </c>
      <c r="K126" s="27" t="n"/>
      <c r="L126" s="28" t="inlineStr">
        <is>
          <t>No</t>
        </is>
      </c>
      <c r="M126" s="29">
        <f>IF(E126="","",IF(H126="Yes","❌ Disc",IF(G126="No","⚠ Missing",IF(J126="Yes","✓ OK","⚠ Check"))))</f>
        <v/>
      </c>
      <c r="N126" s="43" t="n">
        <v>46193</v>
      </c>
      <c r="O126" s="26" t="inlineStr">
        <is>
          <t>Sunil CR</t>
        </is>
      </c>
      <c r="P126" s="26" t="inlineStr">
        <is>
          <t>Yes</t>
        </is>
      </c>
      <c r="Q126" s="26" t="inlineStr">
        <is>
          <t>No</t>
        </is>
      </c>
      <c r="R126" s="26" t="inlineStr">
        <is>
          <t>Good finish</t>
        </is>
      </c>
      <c r="S126" s="26" t="inlineStr">
        <is>
          <t>Yes</t>
        </is>
      </c>
      <c r="T126" s="27" t="n"/>
      <c r="U126" s="28" t="inlineStr">
        <is>
          <t>No</t>
        </is>
      </c>
      <c r="V126" s="29">
        <f>IF(N126="","",IF(Q126="Yes","❌ Disc",IF(P126="No","⚠ Missing",IF(S126="Yes","✓ OK","⚠ Check"))))</f>
        <v/>
      </c>
      <c r="W126" s="65" t="n">
        <v>46248</v>
      </c>
      <c r="X126" s="30" t="inlineStr">
        <is>
          <t>Sunil CR</t>
        </is>
      </c>
      <c r="Y126" s="30" t="inlineStr">
        <is>
          <t>Yes</t>
        </is>
      </c>
      <c r="Z126" s="30" t="n"/>
      <c r="AA126" s="30" t="inlineStr">
        <is>
          <t>Good finish</t>
        </is>
      </c>
      <c r="AB126" s="30" t="inlineStr">
        <is>
          <t>Yes</t>
        </is>
      </c>
      <c r="AC126" s="27" t="n"/>
      <c r="AD126" s="31" t="inlineStr">
        <is>
          <t>No</t>
        </is>
      </c>
      <c r="AE126" s="32">
        <f>IF(W126="","",IF(Z126="Yes","❌ Disc",IF(Y126="No","⚠ Missing",IF(AB126="Yes","✓ OK","⚠ Check"))))</f>
        <v/>
      </c>
      <c r="AF126" s="33" t="n"/>
      <c r="AG126" s="33" t="n"/>
      <c r="AH126" s="33" t="n"/>
      <c r="AI126" s="33" t="n"/>
      <c r="AJ126" s="33" t="n"/>
      <c r="AK126" s="33" t="n"/>
      <c r="AL126" s="27" t="n"/>
      <c r="AM126" s="34" t="n"/>
      <c r="AN126" s="35">
        <f>IF(AF126="","",IF(AI126="Yes","❌ Disc",IF(AH126="No","⚠ Missing",IF(AK126="Yes","✓ OK","⚠ Check"))))</f>
        <v/>
      </c>
      <c r="AO126" s="36" t="n"/>
      <c r="AP126" s="36" t="n"/>
      <c r="AQ126" s="36" t="n"/>
      <c r="AR126" s="36" t="n"/>
      <c r="AS126" s="36" t="n"/>
      <c r="AT126" s="36" t="n"/>
      <c r="AU126" s="27" t="n"/>
      <c r="AV126" s="37" t="n"/>
      <c r="AW126" s="38">
        <f>IF(AO126="","",IF(AR126="Yes","❌ Disc",IF(AQ126="No","⚠ Missing",IF(AT126="Yes","✓ OK","⚠ Check"))))</f>
        <v/>
      </c>
    </row>
    <row r="127" ht="18" customHeight="1" s="46">
      <c r="A127" s="23" t="n">
        <v>123</v>
      </c>
      <c r="B127" s="24" t="inlineStr">
        <is>
          <t>BD-VRM-2026-0300</t>
        </is>
      </c>
      <c r="C127" s="25" t="inlineStr">
        <is>
          <t>Excel  - Hot Spots  Wallpaper 78629-3</t>
        </is>
      </c>
      <c r="D127" s="23" t="inlineStr">
        <is>
          <t>Excel</t>
        </is>
      </c>
      <c r="E127" s="43" t="n">
        <v>46125</v>
      </c>
      <c r="F127" s="26" t="inlineStr">
        <is>
          <t>Sunil CR</t>
        </is>
      </c>
      <c r="G127" s="26" t="inlineStr">
        <is>
          <t>Yes</t>
        </is>
      </c>
      <c r="H127" s="26" t="inlineStr">
        <is>
          <t>No</t>
        </is>
      </c>
      <c r="I127" s="26" t="inlineStr">
        <is>
          <t>Good finish</t>
        </is>
      </c>
      <c r="J127" s="26" t="inlineStr">
        <is>
          <t>Yes</t>
        </is>
      </c>
      <c r="K127" s="27" t="n"/>
      <c r="L127" s="28" t="inlineStr">
        <is>
          <t>No</t>
        </is>
      </c>
      <c r="M127" s="29">
        <f>IF(E127="","",IF(H127="Yes","❌ Disc",IF(G127="No","⚠ Missing",IF(J127="Yes","✓ OK","⚠ Check"))))</f>
        <v/>
      </c>
      <c r="N127" s="43" t="n">
        <v>46193</v>
      </c>
      <c r="O127" s="26" t="inlineStr">
        <is>
          <t>Sunil CR</t>
        </is>
      </c>
      <c r="P127" s="26" t="inlineStr">
        <is>
          <t>Yes</t>
        </is>
      </c>
      <c r="Q127" s="26" t="inlineStr">
        <is>
          <t>No</t>
        </is>
      </c>
      <c r="R127" s="26" t="inlineStr">
        <is>
          <t>Good finish</t>
        </is>
      </c>
      <c r="S127" s="26" t="inlineStr">
        <is>
          <t>Yes</t>
        </is>
      </c>
      <c r="T127" s="27" t="n"/>
      <c r="U127" s="28" t="inlineStr">
        <is>
          <t>No</t>
        </is>
      </c>
      <c r="V127" s="29">
        <f>IF(N127="","",IF(Q127="Yes","❌ Disc",IF(P127="No","⚠ Missing",IF(S127="Yes","✓ OK","⚠ Check"))))</f>
        <v/>
      </c>
      <c r="W127" s="65" t="n">
        <v>46248</v>
      </c>
      <c r="X127" s="30" t="inlineStr">
        <is>
          <t>Sunil CR</t>
        </is>
      </c>
      <c r="Y127" s="30" t="inlineStr">
        <is>
          <t>Yes</t>
        </is>
      </c>
      <c r="Z127" s="30" t="n"/>
      <c r="AA127" s="30" t="inlineStr">
        <is>
          <t>Good finish</t>
        </is>
      </c>
      <c r="AB127" s="30" t="inlineStr">
        <is>
          <t>Yes</t>
        </is>
      </c>
      <c r="AC127" s="27" t="n"/>
      <c r="AD127" s="31" t="inlineStr">
        <is>
          <t>No</t>
        </is>
      </c>
      <c r="AE127" s="32">
        <f>IF(W127="","",IF(Z127="Yes","❌ Disc",IF(Y127="No","⚠ Missing",IF(AB127="Yes","✓ OK","⚠ Check"))))</f>
        <v/>
      </c>
      <c r="AF127" s="33" t="n"/>
      <c r="AG127" s="33" t="n"/>
      <c r="AH127" s="33" t="n"/>
      <c r="AI127" s="33" t="n"/>
      <c r="AJ127" s="33" t="n"/>
      <c r="AK127" s="33" t="n"/>
      <c r="AL127" s="27" t="n"/>
      <c r="AM127" s="34" t="n"/>
      <c r="AN127" s="35">
        <f>IF(AF127="","",IF(AI127="Yes","❌ Disc",IF(AH127="No","⚠ Missing",IF(AK127="Yes","✓ OK","⚠ Check"))))</f>
        <v/>
      </c>
      <c r="AO127" s="36" t="n"/>
      <c r="AP127" s="36" t="n"/>
      <c r="AQ127" s="36" t="n"/>
      <c r="AR127" s="36" t="n"/>
      <c r="AS127" s="36" t="n"/>
      <c r="AT127" s="36" t="n"/>
      <c r="AU127" s="27" t="n"/>
      <c r="AV127" s="37" t="n"/>
      <c r="AW127" s="38">
        <f>IF(AO127="","",IF(AR127="Yes","❌ Disc",IF(AQ127="No","⚠ Missing",IF(AT127="Yes","✓ OK","⚠ Check"))))</f>
        <v/>
      </c>
    </row>
    <row r="128" ht="18" customHeight="1" s="46">
      <c r="A128" s="39" t="n">
        <v>124</v>
      </c>
      <c r="B128" s="40" t="inlineStr">
        <is>
          <t>BD-VRM-2026-0301</t>
        </is>
      </c>
      <c r="C128" s="41" t="inlineStr">
        <is>
          <t>Excel  - Hot Spots  Wallpaper 78629-4</t>
        </is>
      </c>
      <c r="D128" s="39" t="inlineStr">
        <is>
          <t>Excel</t>
        </is>
      </c>
      <c r="E128" s="43" t="n">
        <v>46125</v>
      </c>
      <c r="F128" s="26" t="inlineStr">
        <is>
          <t>Sunil CR</t>
        </is>
      </c>
      <c r="G128" s="26" t="inlineStr">
        <is>
          <t>Yes</t>
        </is>
      </c>
      <c r="H128" s="26" t="inlineStr">
        <is>
          <t>No</t>
        </is>
      </c>
      <c r="I128" s="26" t="inlineStr">
        <is>
          <t>Good finish</t>
        </is>
      </c>
      <c r="J128" s="26" t="inlineStr">
        <is>
          <t>Yes</t>
        </is>
      </c>
      <c r="K128" s="27" t="n"/>
      <c r="L128" s="28" t="inlineStr">
        <is>
          <t>No</t>
        </is>
      </c>
      <c r="M128" s="29">
        <f>IF(E128="","",IF(H128="Yes","❌ Disc",IF(G128="No","⚠ Missing",IF(J128="Yes","✓ OK","⚠ Check"))))</f>
        <v/>
      </c>
      <c r="N128" s="43" t="n">
        <v>46193</v>
      </c>
      <c r="O128" s="26" t="inlineStr">
        <is>
          <t>Sunil CR</t>
        </is>
      </c>
      <c r="P128" s="26" t="inlineStr">
        <is>
          <t>Yes</t>
        </is>
      </c>
      <c r="Q128" s="26" t="inlineStr">
        <is>
          <t>No</t>
        </is>
      </c>
      <c r="R128" s="26" t="inlineStr">
        <is>
          <t>Good finish</t>
        </is>
      </c>
      <c r="S128" s="26" t="inlineStr">
        <is>
          <t>Yes</t>
        </is>
      </c>
      <c r="T128" s="27" t="n"/>
      <c r="U128" s="28" t="inlineStr">
        <is>
          <t>No</t>
        </is>
      </c>
      <c r="V128" s="29">
        <f>IF(N128="","",IF(Q128="Yes","❌ Disc",IF(P128="No","⚠ Missing",IF(S128="Yes","✓ OK","⚠ Check"))))</f>
        <v/>
      </c>
      <c r="W128" s="65" t="n">
        <v>46248</v>
      </c>
      <c r="X128" s="30" t="inlineStr">
        <is>
          <t>Sunil CR</t>
        </is>
      </c>
      <c r="Y128" s="30" t="inlineStr">
        <is>
          <t>Yes</t>
        </is>
      </c>
      <c r="Z128" s="30" t="n"/>
      <c r="AA128" s="30" t="inlineStr">
        <is>
          <t>Good finish</t>
        </is>
      </c>
      <c r="AB128" s="30" t="inlineStr">
        <is>
          <t>Yes</t>
        </is>
      </c>
      <c r="AC128" s="27" t="n"/>
      <c r="AD128" s="31" t="inlineStr">
        <is>
          <t>No</t>
        </is>
      </c>
      <c r="AE128" s="32">
        <f>IF(W128="","",IF(Z128="Yes","❌ Disc",IF(Y128="No","⚠ Missing",IF(AB128="Yes","✓ OK","⚠ Check"))))</f>
        <v/>
      </c>
      <c r="AF128" s="33" t="n"/>
      <c r="AG128" s="33" t="n"/>
      <c r="AH128" s="33" t="n"/>
      <c r="AI128" s="33" t="n"/>
      <c r="AJ128" s="33" t="n"/>
      <c r="AK128" s="33" t="n"/>
      <c r="AL128" s="27" t="n"/>
      <c r="AM128" s="34" t="n"/>
      <c r="AN128" s="35">
        <f>IF(AF128="","",IF(AI128="Yes","❌ Disc",IF(AH128="No","⚠ Missing",IF(AK128="Yes","✓ OK","⚠ Check"))))</f>
        <v/>
      </c>
      <c r="AO128" s="36" t="n"/>
      <c r="AP128" s="36" t="n"/>
      <c r="AQ128" s="36" t="n"/>
      <c r="AR128" s="36" t="n"/>
      <c r="AS128" s="36" t="n"/>
      <c r="AT128" s="36" t="n"/>
      <c r="AU128" s="27" t="n"/>
      <c r="AV128" s="37" t="n"/>
      <c r="AW128" s="38">
        <f>IF(AO128="","",IF(AR128="Yes","❌ Disc",IF(AQ128="No","⚠ Missing",IF(AT128="Yes","✓ OK","⚠ Check"))))</f>
        <v/>
      </c>
    </row>
    <row r="129" ht="18" customHeight="1" s="46">
      <c r="A129" s="23" t="n">
        <v>125</v>
      </c>
      <c r="B129" s="24" t="inlineStr">
        <is>
          <t>BD-VRM-2026-0302</t>
        </is>
      </c>
      <c r="C129" s="25" t="inlineStr">
        <is>
          <t>Excel  - Hot Spots  Wallpaper 78629-5</t>
        </is>
      </c>
      <c r="D129" s="23" t="inlineStr">
        <is>
          <t>Excel</t>
        </is>
      </c>
      <c r="E129" s="43" t="n">
        <v>46125</v>
      </c>
      <c r="F129" s="26" t="inlineStr">
        <is>
          <t>Sunil CR</t>
        </is>
      </c>
      <c r="G129" s="26" t="inlineStr">
        <is>
          <t>Yes</t>
        </is>
      </c>
      <c r="H129" s="26" t="inlineStr">
        <is>
          <t>No</t>
        </is>
      </c>
      <c r="I129" s="26" t="inlineStr">
        <is>
          <t>Good finish</t>
        </is>
      </c>
      <c r="J129" s="26" t="inlineStr">
        <is>
          <t>Yes</t>
        </is>
      </c>
      <c r="K129" s="27" t="n"/>
      <c r="L129" s="28" t="inlineStr">
        <is>
          <t>No</t>
        </is>
      </c>
      <c r="M129" s="29">
        <f>IF(E129="","",IF(H129="Yes","❌ Disc",IF(G129="No","⚠ Missing",IF(J129="Yes","✓ OK","⚠ Check"))))</f>
        <v/>
      </c>
      <c r="N129" s="43" t="n">
        <v>46193</v>
      </c>
      <c r="O129" s="26" t="inlineStr">
        <is>
          <t>Sunil CR</t>
        </is>
      </c>
      <c r="P129" s="26" t="inlineStr">
        <is>
          <t>Yes</t>
        </is>
      </c>
      <c r="Q129" s="26" t="inlineStr">
        <is>
          <t>No</t>
        </is>
      </c>
      <c r="R129" s="26" t="inlineStr">
        <is>
          <t>Good finish</t>
        </is>
      </c>
      <c r="S129" s="26" t="inlineStr">
        <is>
          <t>Yes</t>
        </is>
      </c>
      <c r="T129" s="27" t="n"/>
      <c r="U129" s="28" t="inlineStr">
        <is>
          <t>No</t>
        </is>
      </c>
      <c r="V129" s="29">
        <f>IF(N129="","",IF(Q129="Yes","❌ Disc",IF(P129="No","⚠ Missing",IF(S129="Yes","✓ OK","⚠ Check"))))</f>
        <v/>
      </c>
      <c r="W129" s="65" t="n">
        <v>46248</v>
      </c>
      <c r="X129" s="30" t="inlineStr">
        <is>
          <t>Sunil CR</t>
        </is>
      </c>
      <c r="Y129" s="30" t="inlineStr">
        <is>
          <t>Yes</t>
        </is>
      </c>
      <c r="Z129" s="30" t="n"/>
      <c r="AA129" s="30" t="inlineStr">
        <is>
          <t>Good finish</t>
        </is>
      </c>
      <c r="AB129" s="30" t="inlineStr">
        <is>
          <t>Yes</t>
        </is>
      </c>
      <c r="AC129" s="27" t="n"/>
      <c r="AD129" s="31" t="inlineStr">
        <is>
          <t>No</t>
        </is>
      </c>
      <c r="AE129" s="32">
        <f>IF(W129="","",IF(Z129="Yes","❌ Disc",IF(Y129="No","⚠ Missing",IF(AB129="Yes","✓ OK","⚠ Check"))))</f>
        <v/>
      </c>
      <c r="AF129" s="33" t="n"/>
      <c r="AG129" s="33" t="n"/>
      <c r="AH129" s="33" t="n"/>
      <c r="AI129" s="33" t="n"/>
      <c r="AJ129" s="33" t="n"/>
      <c r="AK129" s="33" t="n"/>
      <c r="AL129" s="27" t="n"/>
      <c r="AM129" s="34" t="n"/>
      <c r="AN129" s="35">
        <f>IF(AF129="","",IF(AI129="Yes","❌ Disc",IF(AH129="No","⚠ Missing",IF(AK129="Yes","✓ OK","⚠ Check"))))</f>
        <v/>
      </c>
      <c r="AO129" s="36" t="n"/>
      <c r="AP129" s="36" t="n"/>
      <c r="AQ129" s="36" t="n"/>
      <c r="AR129" s="36" t="n"/>
      <c r="AS129" s="36" t="n"/>
      <c r="AT129" s="36" t="n"/>
      <c r="AU129" s="27" t="n"/>
      <c r="AV129" s="37" t="n"/>
      <c r="AW129" s="38">
        <f>IF(AO129="","",IF(AR129="Yes","❌ Disc",IF(AQ129="No","⚠ Missing",IF(AT129="Yes","✓ OK","⚠ Check"))))</f>
        <v/>
      </c>
    </row>
    <row r="130" ht="18" customHeight="1" s="46">
      <c r="A130" s="39" t="n">
        <v>126</v>
      </c>
      <c r="B130" s="40" t="inlineStr">
        <is>
          <t>BD-VRM-2026-0303</t>
        </is>
      </c>
      <c r="C130" s="41" t="inlineStr">
        <is>
          <t>Excel  - Hot Spots  Wallpaper 78629-6</t>
        </is>
      </c>
      <c r="D130" s="39" t="inlineStr">
        <is>
          <t>Excel</t>
        </is>
      </c>
      <c r="E130" s="43" t="n">
        <v>46125</v>
      </c>
      <c r="F130" s="26" t="inlineStr">
        <is>
          <t>Sunil CR</t>
        </is>
      </c>
      <c r="G130" s="26" t="inlineStr">
        <is>
          <t>Yes</t>
        </is>
      </c>
      <c r="H130" s="26" t="inlineStr">
        <is>
          <t>No</t>
        </is>
      </c>
      <c r="I130" s="26" t="inlineStr">
        <is>
          <t>Good finish</t>
        </is>
      </c>
      <c r="J130" s="26" t="inlineStr">
        <is>
          <t>Yes</t>
        </is>
      </c>
      <c r="K130" s="27" t="n"/>
      <c r="L130" s="28" t="inlineStr">
        <is>
          <t>No</t>
        </is>
      </c>
      <c r="M130" s="29">
        <f>IF(E130="","",IF(H130="Yes","❌ Disc",IF(G130="No","⚠ Missing",IF(J130="Yes","✓ OK","⚠ Check"))))</f>
        <v/>
      </c>
      <c r="N130" s="43" t="n">
        <v>46193</v>
      </c>
      <c r="O130" s="26" t="inlineStr">
        <is>
          <t>Sunil CR</t>
        </is>
      </c>
      <c r="P130" s="26" t="inlineStr">
        <is>
          <t>Yes</t>
        </is>
      </c>
      <c r="Q130" s="26" t="inlineStr">
        <is>
          <t>No</t>
        </is>
      </c>
      <c r="R130" s="26" t="inlineStr">
        <is>
          <t>Good finish</t>
        </is>
      </c>
      <c r="S130" s="26" t="inlineStr">
        <is>
          <t>Yes</t>
        </is>
      </c>
      <c r="T130" s="27" t="n"/>
      <c r="U130" s="28" t="inlineStr">
        <is>
          <t>No</t>
        </is>
      </c>
      <c r="V130" s="29">
        <f>IF(N130="","",IF(Q130="Yes","❌ Disc",IF(P130="No","⚠ Missing",IF(S130="Yes","✓ OK","⚠ Check"))))</f>
        <v/>
      </c>
      <c r="W130" s="65" t="n">
        <v>46248</v>
      </c>
      <c r="X130" s="30" t="inlineStr">
        <is>
          <t>Sunil CR</t>
        </is>
      </c>
      <c r="Y130" s="30" t="inlineStr">
        <is>
          <t>Yes</t>
        </is>
      </c>
      <c r="Z130" s="30" t="n"/>
      <c r="AA130" s="30" t="inlineStr">
        <is>
          <t>Good finish</t>
        </is>
      </c>
      <c r="AB130" s="30" t="inlineStr">
        <is>
          <t>Yes</t>
        </is>
      </c>
      <c r="AC130" s="27" t="n"/>
      <c r="AD130" s="31" t="inlineStr">
        <is>
          <t>No</t>
        </is>
      </c>
      <c r="AE130" s="32">
        <f>IF(W130="","",IF(Z130="Yes","❌ Disc",IF(Y130="No","⚠ Missing",IF(AB130="Yes","✓ OK","⚠ Check"))))</f>
        <v/>
      </c>
      <c r="AF130" s="33" t="n"/>
      <c r="AG130" s="33" t="n"/>
      <c r="AH130" s="33" t="n"/>
      <c r="AI130" s="33" t="n"/>
      <c r="AJ130" s="33" t="n"/>
      <c r="AK130" s="33" t="n"/>
      <c r="AL130" s="27" t="n"/>
      <c r="AM130" s="34" t="n"/>
      <c r="AN130" s="35">
        <f>IF(AF130="","",IF(AI130="Yes","❌ Disc",IF(AH130="No","⚠ Missing",IF(AK130="Yes","✓ OK","⚠ Check"))))</f>
        <v/>
      </c>
      <c r="AO130" s="36" t="n"/>
      <c r="AP130" s="36" t="n"/>
      <c r="AQ130" s="36" t="n"/>
      <c r="AR130" s="36" t="n"/>
      <c r="AS130" s="36" t="n"/>
      <c r="AT130" s="36" t="n"/>
      <c r="AU130" s="27" t="n"/>
      <c r="AV130" s="37" t="n"/>
      <c r="AW130" s="38">
        <f>IF(AO130="","",IF(AR130="Yes","❌ Disc",IF(AQ130="No","⚠ Missing",IF(AT130="Yes","✓ OK","⚠ Check"))))</f>
        <v/>
      </c>
    </row>
    <row r="131" ht="18" customHeight="1" s="46">
      <c r="A131" s="23" t="n">
        <v>127</v>
      </c>
      <c r="B131" s="24" t="inlineStr">
        <is>
          <t>BD-VRM-2026-0308</t>
        </is>
      </c>
      <c r="C131" s="25" t="inlineStr">
        <is>
          <t>Excel  - Hot Spots  Wallpaper 78655-1</t>
        </is>
      </c>
      <c r="D131" s="23" t="inlineStr">
        <is>
          <t>Excel</t>
        </is>
      </c>
      <c r="E131" s="43" t="n">
        <v>46125</v>
      </c>
      <c r="F131" s="26" t="inlineStr">
        <is>
          <t>Sunil CR</t>
        </is>
      </c>
      <c r="G131" s="26" t="inlineStr">
        <is>
          <t>Yes</t>
        </is>
      </c>
      <c r="H131" s="26" t="inlineStr">
        <is>
          <t>No</t>
        </is>
      </c>
      <c r="I131" s="26" t="inlineStr">
        <is>
          <t>Good finish</t>
        </is>
      </c>
      <c r="J131" s="26" t="inlineStr">
        <is>
          <t>Yes</t>
        </is>
      </c>
      <c r="K131" s="27" t="n"/>
      <c r="L131" s="28" t="inlineStr">
        <is>
          <t>No</t>
        </is>
      </c>
      <c r="M131" s="29">
        <f>IF(E131="","",IF(H131="Yes","❌ Disc",IF(G131="No","⚠ Missing",IF(J131="Yes","✓ OK","⚠ Check"))))</f>
        <v/>
      </c>
      <c r="N131" s="43" t="n">
        <v>46193</v>
      </c>
      <c r="O131" s="26" t="inlineStr">
        <is>
          <t>Sunil CR</t>
        </is>
      </c>
      <c r="P131" s="26" t="inlineStr">
        <is>
          <t>Yes</t>
        </is>
      </c>
      <c r="Q131" s="26" t="inlineStr">
        <is>
          <t>No</t>
        </is>
      </c>
      <c r="R131" s="26" t="inlineStr">
        <is>
          <t>Good finish</t>
        </is>
      </c>
      <c r="S131" s="26" t="inlineStr">
        <is>
          <t>Yes</t>
        </is>
      </c>
      <c r="T131" s="27" t="n"/>
      <c r="U131" s="28" t="inlineStr">
        <is>
          <t>No</t>
        </is>
      </c>
      <c r="V131" s="29">
        <f>IF(N131="","",IF(Q131="Yes","❌ Disc",IF(P131="No","⚠ Missing",IF(S131="Yes","✓ OK","⚠ Check"))))</f>
        <v/>
      </c>
      <c r="W131" s="65" t="n">
        <v>46248</v>
      </c>
      <c r="X131" s="30" t="inlineStr">
        <is>
          <t>Sunil CR</t>
        </is>
      </c>
      <c r="Y131" s="30" t="inlineStr">
        <is>
          <t>Yes</t>
        </is>
      </c>
      <c r="Z131" s="30" t="n"/>
      <c r="AA131" s="30" t="inlineStr">
        <is>
          <t>Good finish</t>
        </is>
      </c>
      <c r="AB131" s="30" t="inlineStr">
        <is>
          <t>Yes</t>
        </is>
      </c>
      <c r="AC131" s="27" t="n"/>
      <c r="AD131" s="31" t="inlineStr">
        <is>
          <t>No</t>
        </is>
      </c>
      <c r="AE131" s="32">
        <f>IF(W131="","",IF(Z131="Yes","❌ Disc",IF(Y131="No","⚠ Missing",IF(AB131="Yes","✓ OK","⚠ Check"))))</f>
        <v/>
      </c>
      <c r="AF131" s="33" t="n"/>
      <c r="AG131" s="33" t="n"/>
      <c r="AH131" s="33" t="n"/>
      <c r="AI131" s="33" t="n"/>
      <c r="AJ131" s="33" t="n"/>
      <c r="AK131" s="33" t="n"/>
      <c r="AL131" s="27" t="n"/>
      <c r="AM131" s="34" t="n"/>
      <c r="AN131" s="35">
        <f>IF(AF131="","",IF(AI131="Yes","❌ Disc",IF(AH131="No","⚠ Missing",IF(AK131="Yes","✓ OK","⚠ Check"))))</f>
        <v/>
      </c>
      <c r="AO131" s="36" t="n"/>
      <c r="AP131" s="36" t="n"/>
      <c r="AQ131" s="36" t="n"/>
      <c r="AR131" s="36" t="n"/>
      <c r="AS131" s="36" t="n"/>
      <c r="AT131" s="36" t="n"/>
      <c r="AU131" s="27" t="n"/>
      <c r="AV131" s="37" t="n"/>
      <c r="AW131" s="38">
        <f>IF(AO131="","",IF(AR131="Yes","❌ Disc",IF(AQ131="No","⚠ Missing",IF(AT131="Yes","✓ OK","⚠ Check"))))</f>
        <v/>
      </c>
    </row>
    <row r="132" ht="18" customHeight="1" s="46">
      <c r="A132" s="39" t="n">
        <v>128</v>
      </c>
      <c r="B132" s="40" t="inlineStr">
        <is>
          <t>BD-VRM-2026-0309</t>
        </is>
      </c>
      <c r="C132" s="41" t="inlineStr">
        <is>
          <t>Excel  - Hot Spots  Wallpaper 78655-2</t>
        </is>
      </c>
      <c r="D132" s="39" t="inlineStr">
        <is>
          <t>Excel</t>
        </is>
      </c>
      <c r="E132" s="43" t="n">
        <v>46125</v>
      </c>
      <c r="F132" s="26" t="inlineStr">
        <is>
          <t>Sunil CR</t>
        </is>
      </c>
      <c r="G132" s="26" t="inlineStr">
        <is>
          <t>Yes</t>
        </is>
      </c>
      <c r="H132" s="26" t="inlineStr">
        <is>
          <t>No</t>
        </is>
      </c>
      <c r="I132" s="26" t="inlineStr">
        <is>
          <t>Good finish</t>
        </is>
      </c>
      <c r="J132" s="26" t="inlineStr">
        <is>
          <t>Yes</t>
        </is>
      </c>
      <c r="K132" s="27" t="n"/>
      <c r="L132" s="28" t="inlineStr">
        <is>
          <t>No</t>
        </is>
      </c>
      <c r="M132" s="29">
        <f>IF(E132="","",IF(H132="Yes","❌ Disc",IF(G132="No","⚠ Missing",IF(J132="Yes","✓ OK","⚠ Check"))))</f>
        <v/>
      </c>
      <c r="N132" s="43" t="n">
        <v>46193</v>
      </c>
      <c r="O132" s="26" t="inlineStr">
        <is>
          <t>Sunil CR</t>
        </is>
      </c>
      <c r="P132" s="26" t="inlineStr">
        <is>
          <t>Yes</t>
        </is>
      </c>
      <c r="Q132" s="26" t="inlineStr">
        <is>
          <t>No</t>
        </is>
      </c>
      <c r="R132" s="26" t="inlineStr">
        <is>
          <t>Good finish</t>
        </is>
      </c>
      <c r="S132" s="26" t="inlineStr">
        <is>
          <t>Yes</t>
        </is>
      </c>
      <c r="T132" s="27" t="n"/>
      <c r="U132" s="28" t="inlineStr">
        <is>
          <t>No</t>
        </is>
      </c>
      <c r="V132" s="29">
        <f>IF(N132="","",IF(Q132="Yes","❌ Disc",IF(P132="No","⚠ Missing",IF(S132="Yes","✓ OK","⚠ Check"))))</f>
        <v/>
      </c>
      <c r="W132" s="65" t="n">
        <v>46248</v>
      </c>
      <c r="X132" s="30" t="inlineStr">
        <is>
          <t>Sunil CR</t>
        </is>
      </c>
      <c r="Y132" s="30" t="inlineStr">
        <is>
          <t>Yes</t>
        </is>
      </c>
      <c r="Z132" s="30" t="n"/>
      <c r="AA132" s="30" t="inlineStr">
        <is>
          <t>Good finish</t>
        </is>
      </c>
      <c r="AB132" s="30" t="inlineStr">
        <is>
          <t>Yes</t>
        </is>
      </c>
      <c r="AC132" s="27" t="n"/>
      <c r="AD132" s="31" t="inlineStr">
        <is>
          <t>No</t>
        </is>
      </c>
      <c r="AE132" s="32">
        <f>IF(W132="","",IF(Z132="Yes","❌ Disc",IF(Y132="No","⚠ Missing",IF(AB132="Yes","✓ OK","⚠ Check"))))</f>
        <v/>
      </c>
      <c r="AF132" s="33" t="n"/>
      <c r="AG132" s="33" t="n"/>
      <c r="AH132" s="33" t="n"/>
      <c r="AI132" s="33" t="n"/>
      <c r="AJ132" s="33" t="n"/>
      <c r="AK132" s="33" t="n"/>
      <c r="AL132" s="27" t="n"/>
      <c r="AM132" s="34" t="n"/>
      <c r="AN132" s="35">
        <f>IF(AF132="","",IF(AI132="Yes","❌ Disc",IF(AH132="No","⚠ Missing",IF(AK132="Yes","✓ OK","⚠ Check"))))</f>
        <v/>
      </c>
      <c r="AO132" s="36" t="n"/>
      <c r="AP132" s="36" t="n"/>
      <c r="AQ132" s="36" t="n"/>
      <c r="AR132" s="36" t="n"/>
      <c r="AS132" s="36" t="n"/>
      <c r="AT132" s="36" t="n"/>
      <c r="AU132" s="27" t="n"/>
      <c r="AV132" s="37" t="n"/>
      <c r="AW132" s="38">
        <f>IF(AO132="","",IF(AR132="Yes","❌ Disc",IF(AQ132="No","⚠ Missing",IF(AT132="Yes","✓ OK","⚠ Check"))))</f>
        <v/>
      </c>
    </row>
    <row r="133" ht="18" customHeight="1" s="46">
      <c r="A133" s="23" t="n">
        <v>129</v>
      </c>
      <c r="B133" s="24" t="inlineStr">
        <is>
          <t>BD-VRM-2026-0310</t>
        </is>
      </c>
      <c r="C133" s="25" t="inlineStr">
        <is>
          <t>Excel  - Hot Spots  Wallpaper 78655-3</t>
        </is>
      </c>
      <c r="D133" s="23" t="inlineStr">
        <is>
          <t>Excel</t>
        </is>
      </c>
      <c r="E133" s="43" t="n">
        <v>46125</v>
      </c>
      <c r="F133" s="26" t="inlineStr">
        <is>
          <t>Sunil CR</t>
        </is>
      </c>
      <c r="G133" s="26" t="inlineStr">
        <is>
          <t>Yes</t>
        </is>
      </c>
      <c r="H133" s="26" t="inlineStr">
        <is>
          <t>No</t>
        </is>
      </c>
      <c r="I133" s="26" t="inlineStr">
        <is>
          <t>Good finish</t>
        </is>
      </c>
      <c r="J133" s="26" t="inlineStr">
        <is>
          <t>Yes</t>
        </is>
      </c>
      <c r="K133" s="27" t="n"/>
      <c r="L133" s="28" t="inlineStr">
        <is>
          <t>No</t>
        </is>
      </c>
      <c r="M133" s="29">
        <f>IF(E133="","",IF(H133="Yes","❌ Disc",IF(G133="No","⚠ Missing",IF(J133="Yes","✓ OK","⚠ Check"))))</f>
        <v/>
      </c>
      <c r="N133" s="43" t="n">
        <v>46193</v>
      </c>
      <c r="O133" s="26" t="inlineStr">
        <is>
          <t>Sunil CR</t>
        </is>
      </c>
      <c r="P133" s="26" t="inlineStr">
        <is>
          <t>Yes</t>
        </is>
      </c>
      <c r="Q133" s="26" t="inlineStr">
        <is>
          <t>No</t>
        </is>
      </c>
      <c r="R133" s="26" t="inlineStr">
        <is>
          <t>Good finish</t>
        </is>
      </c>
      <c r="S133" s="26" t="inlineStr">
        <is>
          <t>Yes</t>
        </is>
      </c>
      <c r="T133" s="27" t="n"/>
      <c r="U133" s="28" t="inlineStr">
        <is>
          <t>No</t>
        </is>
      </c>
      <c r="V133" s="29">
        <f>IF(N133="","",IF(Q133="Yes","❌ Disc",IF(P133="No","⚠ Missing",IF(S133="Yes","✓ OK","⚠ Check"))))</f>
        <v/>
      </c>
      <c r="W133" s="65" t="n">
        <v>46248</v>
      </c>
      <c r="X133" s="30" t="inlineStr">
        <is>
          <t>Sunil CR</t>
        </is>
      </c>
      <c r="Y133" s="30" t="inlineStr">
        <is>
          <t>Yes</t>
        </is>
      </c>
      <c r="Z133" s="30" t="n"/>
      <c r="AA133" s="30" t="inlineStr">
        <is>
          <t>Good finish</t>
        </is>
      </c>
      <c r="AB133" s="30" t="inlineStr">
        <is>
          <t>Yes</t>
        </is>
      </c>
      <c r="AC133" s="27" t="n"/>
      <c r="AD133" s="31" t="inlineStr">
        <is>
          <t>No</t>
        </is>
      </c>
      <c r="AE133" s="32">
        <f>IF(W133="","",IF(Z133="Yes","❌ Disc",IF(Y133="No","⚠ Missing",IF(AB133="Yes","✓ OK","⚠ Check"))))</f>
        <v/>
      </c>
      <c r="AF133" s="33" t="n"/>
      <c r="AG133" s="33" t="n"/>
      <c r="AH133" s="33" t="n"/>
      <c r="AI133" s="33" t="n"/>
      <c r="AJ133" s="33" t="n"/>
      <c r="AK133" s="33" t="n"/>
      <c r="AL133" s="27" t="n"/>
      <c r="AM133" s="34" t="n"/>
      <c r="AN133" s="35">
        <f>IF(AF133="","",IF(AI133="Yes","❌ Disc",IF(AH133="No","⚠ Missing",IF(AK133="Yes","✓ OK","⚠ Check"))))</f>
        <v/>
      </c>
      <c r="AO133" s="36" t="n"/>
      <c r="AP133" s="36" t="n"/>
      <c r="AQ133" s="36" t="n"/>
      <c r="AR133" s="36" t="n"/>
      <c r="AS133" s="36" t="n"/>
      <c r="AT133" s="36" t="n"/>
      <c r="AU133" s="27" t="n"/>
      <c r="AV133" s="37" t="n"/>
      <c r="AW133" s="38">
        <f>IF(AO133="","",IF(AR133="Yes","❌ Disc",IF(AQ133="No","⚠ Missing",IF(AT133="Yes","✓ OK","⚠ Check"))))</f>
        <v/>
      </c>
    </row>
    <row r="134" ht="18" customHeight="1" s="46">
      <c r="A134" s="39" t="n">
        <v>130</v>
      </c>
      <c r="B134" s="40" t="inlineStr">
        <is>
          <t>BD-VRM-2026-0311</t>
        </is>
      </c>
      <c r="C134" s="41" t="inlineStr">
        <is>
          <t>Excel  - Hot Spots  Wallpaper 78655-4</t>
        </is>
      </c>
      <c r="D134" s="39" t="inlineStr">
        <is>
          <t>Excel</t>
        </is>
      </c>
      <c r="E134" s="43" t="n">
        <v>46125</v>
      </c>
      <c r="F134" s="26" t="inlineStr">
        <is>
          <t>Sunil CR</t>
        </is>
      </c>
      <c r="G134" s="26" t="inlineStr">
        <is>
          <t>Yes</t>
        </is>
      </c>
      <c r="H134" s="26" t="inlineStr">
        <is>
          <t>No</t>
        </is>
      </c>
      <c r="I134" s="26" t="inlineStr">
        <is>
          <t>Good finish</t>
        </is>
      </c>
      <c r="J134" s="26" t="inlineStr">
        <is>
          <t>Yes</t>
        </is>
      </c>
      <c r="K134" s="27" t="n"/>
      <c r="L134" s="28" t="inlineStr">
        <is>
          <t>No</t>
        </is>
      </c>
      <c r="M134" s="29">
        <f>IF(E134="","",IF(H134="Yes","❌ Disc",IF(G134="No","⚠ Missing",IF(J134="Yes","✓ OK","⚠ Check"))))</f>
        <v/>
      </c>
      <c r="N134" s="43" t="n">
        <v>46193</v>
      </c>
      <c r="O134" s="26" t="inlineStr">
        <is>
          <t>Sunil CR</t>
        </is>
      </c>
      <c r="P134" s="26" t="inlineStr">
        <is>
          <t>Yes</t>
        </is>
      </c>
      <c r="Q134" s="26" t="inlineStr">
        <is>
          <t>No</t>
        </is>
      </c>
      <c r="R134" s="26" t="inlineStr">
        <is>
          <t>Good finish</t>
        </is>
      </c>
      <c r="S134" s="26" t="inlineStr">
        <is>
          <t>Yes</t>
        </is>
      </c>
      <c r="T134" s="27" t="n"/>
      <c r="U134" s="28" t="inlineStr">
        <is>
          <t>No</t>
        </is>
      </c>
      <c r="V134" s="29">
        <f>IF(N134="","",IF(Q134="Yes","❌ Disc",IF(P134="No","⚠ Missing",IF(S134="Yes","✓ OK","⚠ Check"))))</f>
        <v/>
      </c>
      <c r="W134" s="65" t="n">
        <v>46248</v>
      </c>
      <c r="X134" s="30" t="inlineStr">
        <is>
          <t>Sunil CR</t>
        </is>
      </c>
      <c r="Y134" s="30" t="inlineStr">
        <is>
          <t>Yes</t>
        </is>
      </c>
      <c r="Z134" s="30" t="n"/>
      <c r="AA134" s="30" t="inlineStr">
        <is>
          <t>Good finish</t>
        </is>
      </c>
      <c r="AB134" s="30" t="inlineStr">
        <is>
          <t>Yes</t>
        </is>
      </c>
      <c r="AC134" s="27" t="n"/>
      <c r="AD134" s="31" t="inlineStr">
        <is>
          <t>No</t>
        </is>
      </c>
      <c r="AE134" s="32">
        <f>IF(W134="","",IF(Z134="Yes","❌ Disc",IF(Y134="No","⚠ Missing",IF(AB134="Yes","✓ OK","⚠ Check"))))</f>
        <v/>
      </c>
      <c r="AF134" s="33" t="n"/>
      <c r="AG134" s="33" t="n"/>
      <c r="AH134" s="33" t="n"/>
      <c r="AI134" s="33" t="n"/>
      <c r="AJ134" s="33" t="n"/>
      <c r="AK134" s="33" t="n"/>
      <c r="AL134" s="27" t="n"/>
      <c r="AM134" s="34" t="n"/>
      <c r="AN134" s="35">
        <f>IF(AF134="","",IF(AI134="Yes","❌ Disc",IF(AH134="No","⚠ Missing",IF(AK134="Yes","✓ OK","⚠ Check"))))</f>
        <v/>
      </c>
      <c r="AO134" s="36" t="n"/>
      <c r="AP134" s="36" t="n"/>
      <c r="AQ134" s="36" t="n"/>
      <c r="AR134" s="36" t="n"/>
      <c r="AS134" s="36" t="n"/>
      <c r="AT134" s="36" t="n"/>
      <c r="AU134" s="27" t="n"/>
      <c r="AV134" s="37" t="n"/>
      <c r="AW134" s="38">
        <f>IF(AO134="","",IF(AR134="Yes","❌ Disc",IF(AQ134="No","⚠ Missing",IF(AT134="Yes","✓ OK","⚠ Check"))))</f>
        <v/>
      </c>
    </row>
    <row r="135" ht="18" customHeight="1" s="46">
      <c r="A135" s="23" t="n">
        <v>131</v>
      </c>
      <c r="B135" s="24" t="inlineStr">
        <is>
          <t>BD-VRM-2026-0312</t>
        </is>
      </c>
      <c r="C135" s="25" t="inlineStr">
        <is>
          <t>Excel  - Hot Spots  Wallpaper 78655-5</t>
        </is>
      </c>
      <c r="D135" s="23" t="inlineStr">
        <is>
          <t>Excel</t>
        </is>
      </c>
      <c r="E135" s="43" t="n">
        <v>46125</v>
      </c>
      <c r="F135" s="26" t="inlineStr">
        <is>
          <t>Sunil CR</t>
        </is>
      </c>
      <c r="G135" s="26" t="inlineStr">
        <is>
          <t>Yes</t>
        </is>
      </c>
      <c r="H135" s="26" t="inlineStr">
        <is>
          <t>No</t>
        </is>
      </c>
      <c r="I135" s="26" t="inlineStr">
        <is>
          <t>Good finish</t>
        </is>
      </c>
      <c r="J135" s="26" t="inlineStr">
        <is>
          <t>Yes</t>
        </is>
      </c>
      <c r="K135" s="27" t="n"/>
      <c r="L135" s="28" t="inlineStr">
        <is>
          <t>No</t>
        </is>
      </c>
      <c r="M135" s="29">
        <f>IF(E135="","",IF(H135="Yes","❌ Disc",IF(G135="No","⚠ Missing",IF(J135="Yes","✓ OK","⚠ Check"))))</f>
        <v/>
      </c>
      <c r="N135" s="43" t="n">
        <v>46193</v>
      </c>
      <c r="O135" s="26" t="inlineStr">
        <is>
          <t>Sunil CR</t>
        </is>
      </c>
      <c r="P135" s="26" t="inlineStr">
        <is>
          <t>Yes</t>
        </is>
      </c>
      <c r="Q135" s="26" t="inlineStr">
        <is>
          <t>No</t>
        </is>
      </c>
      <c r="R135" s="26" t="inlineStr">
        <is>
          <t>Good finish</t>
        </is>
      </c>
      <c r="S135" s="26" t="inlineStr">
        <is>
          <t>Yes</t>
        </is>
      </c>
      <c r="T135" s="27" t="n"/>
      <c r="U135" s="28" t="inlineStr">
        <is>
          <t>No</t>
        </is>
      </c>
      <c r="V135" s="29">
        <f>IF(N135="","",IF(Q135="Yes","❌ Disc",IF(P135="No","⚠ Missing",IF(S135="Yes","✓ OK","⚠ Check"))))</f>
        <v/>
      </c>
      <c r="W135" s="65" t="n">
        <v>46248</v>
      </c>
      <c r="X135" s="30" t="inlineStr">
        <is>
          <t>Sunil CR</t>
        </is>
      </c>
      <c r="Y135" s="30" t="inlineStr">
        <is>
          <t>Yes</t>
        </is>
      </c>
      <c r="Z135" s="30" t="n"/>
      <c r="AA135" s="30" t="inlineStr">
        <is>
          <t>Good finish</t>
        </is>
      </c>
      <c r="AB135" s="30" t="inlineStr">
        <is>
          <t>Yes</t>
        </is>
      </c>
      <c r="AC135" s="27" t="n"/>
      <c r="AD135" s="31" t="inlineStr">
        <is>
          <t>No</t>
        </is>
      </c>
      <c r="AE135" s="32">
        <f>IF(W135="","",IF(Z135="Yes","❌ Disc",IF(Y135="No","⚠ Missing",IF(AB135="Yes","✓ OK","⚠ Check"))))</f>
        <v/>
      </c>
      <c r="AF135" s="33" t="n"/>
      <c r="AG135" s="33" t="n"/>
      <c r="AH135" s="33" t="n"/>
      <c r="AI135" s="33" t="n"/>
      <c r="AJ135" s="33" t="n"/>
      <c r="AK135" s="33" t="n"/>
      <c r="AL135" s="27" t="n"/>
      <c r="AM135" s="34" t="n"/>
      <c r="AN135" s="35">
        <f>IF(AF135="","",IF(AI135="Yes","❌ Disc",IF(AH135="No","⚠ Missing",IF(AK135="Yes","✓ OK","⚠ Check"))))</f>
        <v/>
      </c>
      <c r="AO135" s="36" t="n"/>
      <c r="AP135" s="36" t="n"/>
      <c r="AQ135" s="36" t="n"/>
      <c r="AR135" s="36" t="n"/>
      <c r="AS135" s="36" t="n"/>
      <c r="AT135" s="36" t="n"/>
      <c r="AU135" s="27" t="n"/>
      <c r="AV135" s="37" t="n"/>
      <c r="AW135" s="38">
        <f>IF(AO135="","",IF(AR135="Yes","❌ Disc",IF(AQ135="No","⚠ Missing",IF(AT135="Yes","✓ OK","⚠ Check"))))</f>
        <v/>
      </c>
    </row>
    <row r="136" ht="18" customHeight="1" s="46">
      <c r="A136" s="39" t="n">
        <v>132</v>
      </c>
      <c r="B136" s="40" t="inlineStr">
        <is>
          <t>BD-VRM-2026-0313</t>
        </is>
      </c>
      <c r="C136" s="41" t="inlineStr">
        <is>
          <t>Excel  - Hot Spots  Wallpaper 78656-1</t>
        </is>
      </c>
      <c r="D136" s="39" t="inlineStr">
        <is>
          <t>Excel</t>
        </is>
      </c>
      <c r="E136" s="43" t="n">
        <v>46125</v>
      </c>
      <c r="F136" s="26" t="inlineStr">
        <is>
          <t>Sunil CR</t>
        </is>
      </c>
      <c r="G136" s="26" t="inlineStr">
        <is>
          <t>Yes</t>
        </is>
      </c>
      <c r="H136" s="26" t="inlineStr">
        <is>
          <t>No</t>
        </is>
      </c>
      <c r="I136" s="26" t="inlineStr">
        <is>
          <t>Good finish</t>
        </is>
      </c>
      <c r="J136" s="26" t="inlineStr">
        <is>
          <t>Yes</t>
        </is>
      </c>
      <c r="K136" s="27" t="n"/>
      <c r="L136" s="28" t="inlineStr">
        <is>
          <t>No</t>
        </is>
      </c>
      <c r="M136" s="29">
        <f>IF(E136="","",IF(H136="Yes","❌ Disc",IF(G136="No","⚠ Missing",IF(J136="Yes","✓ OK","⚠ Check"))))</f>
        <v/>
      </c>
      <c r="N136" s="43" t="n">
        <v>46193</v>
      </c>
      <c r="O136" s="26" t="inlineStr">
        <is>
          <t>Sunil CR</t>
        </is>
      </c>
      <c r="P136" s="26" t="inlineStr">
        <is>
          <t>Yes</t>
        </is>
      </c>
      <c r="Q136" s="26" t="inlineStr">
        <is>
          <t>No</t>
        </is>
      </c>
      <c r="R136" s="26" t="inlineStr">
        <is>
          <t>Good finish</t>
        </is>
      </c>
      <c r="S136" s="26" t="inlineStr">
        <is>
          <t>Yes</t>
        </is>
      </c>
      <c r="T136" s="27" t="n"/>
      <c r="U136" s="28" t="inlineStr">
        <is>
          <t>No</t>
        </is>
      </c>
      <c r="V136" s="29">
        <f>IF(N136="","",IF(Q136="Yes","❌ Disc",IF(P136="No","⚠ Missing",IF(S136="Yes","✓ OK","⚠ Check"))))</f>
        <v/>
      </c>
      <c r="W136" s="65" t="n">
        <v>46248</v>
      </c>
      <c r="X136" s="30" t="inlineStr">
        <is>
          <t>Sunil CR</t>
        </is>
      </c>
      <c r="Y136" s="30" t="inlineStr">
        <is>
          <t>Yes</t>
        </is>
      </c>
      <c r="Z136" s="30" t="n"/>
      <c r="AA136" s="30" t="inlineStr">
        <is>
          <t>Good finish</t>
        </is>
      </c>
      <c r="AB136" s="30" t="inlineStr">
        <is>
          <t>Yes</t>
        </is>
      </c>
      <c r="AC136" s="27" t="n"/>
      <c r="AD136" s="31" t="inlineStr">
        <is>
          <t>No</t>
        </is>
      </c>
      <c r="AE136" s="32">
        <f>IF(W136="","",IF(Z136="Yes","❌ Disc",IF(Y136="No","⚠ Missing",IF(AB136="Yes","✓ OK","⚠ Check"))))</f>
        <v/>
      </c>
      <c r="AF136" s="33" t="n"/>
      <c r="AG136" s="33" t="n"/>
      <c r="AH136" s="33" t="n"/>
      <c r="AI136" s="33" t="n"/>
      <c r="AJ136" s="33" t="n"/>
      <c r="AK136" s="33" t="n"/>
      <c r="AL136" s="27" t="n"/>
      <c r="AM136" s="34" t="n"/>
      <c r="AN136" s="35">
        <f>IF(AF136="","",IF(AI136="Yes","❌ Disc",IF(AH136="No","⚠ Missing",IF(AK136="Yes","✓ OK","⚠ Check"))))</f>
        <v/>
      </c>
      <c r="AO136" s="36" t="n"/>
      <c r="AP136" s="36" t="n"/>
      <c r="AQ136" s="36" t="n"/>
      <c r="AR136" s="36" t="n"/>
      <c r="AS136" s="36" t="n"/>
      <c r="AT136" s="36" t="n"/>
      <c r="AU136" s="27" t="n"/>
      <c r="AV136" s="37" t="n"/>
      <c r="AW136" s="38">
        <f>IF(AO136="","",IF(AR136="Yes","❌ Disc",IF(AQ136="No","⚠ Missing",IF(AT136="Yes","✓ OK","⚠ Check"))))</f>
        <v/>
      </c>
    </row>
    <row r="137" ht="18" customHeight="1" s="46">
      <c r="A137" s="23" t="n">
        <v>133</v>
      </c>
      <c r="B137" s="24" t="inlineStr">
        <is>
          <t>BD-VRM-2026-0314</t>
        </is>
      </c>
      <c r="C137" s="25" t="inlineStr">
        <is>
          <t>Excel  - Hot Spots  Wallpaper 78656-2</t>
        </is>
      </c>
      <c r="D137" s="23" t="inlineStr">
        <is>
          <t>Excel</t>
        </is>
      </c>
      <c r="E137" s="43" t="n">
        <v>46125</v>
      </c>
      <c r="F137" s="26" t="inlineStr">
        <is>
          <t>Sunil CR</t>
        </is>
      </c>
      <c r="G137" s="26" t="inlineStr">
        <is>
          <t>Yes</t>
        </is>
      </c>
      <c r="H137" s="26" t="inlineStr">
        <is>
          <t>No</t>
        </is>
      </c>
      <c r="I137" s="26" t="inlineStr">
        <is>
          <t>Good finish</t>
        </is>
      </c>
      <c r="J137" s="26" t="inlineStr">
        <is>
          <t>Yes</t>
        </is>
      </c>
      <c r="K137" s="27" t="n"/>
      <c r="L137" s="28" t="inlineStr">
        <is>
          <t>No</t>
        </is>
      </c>
      <c r="M137" s="29">
        <f>IF(E137="","",IF(H137="Yes","❌ Disc",IF(G137="No","⚠ Missing",IF(J137="Yes","✓ OK","⚠ Check"))))</f>
        <v/>
      </c>
      <c r="N137" s="43" t="n">
        <v>46193</v>
      </c>
      <c r="O137" s="26" t="inlineStr">
        <is>
          <t>Sunil CR</t>
        </is>
      </c>
      <c r="P137" s="26" t="inlineStr">
        <is>
          <t>Yes</t>
        </is>
      </c>
      <c r="Q137" s="26" t="inlineStr">
        <is>
          <t>No</t>
        </is>
      </c>
      <c r="R137" s="26" t="inlineStr">
        <is>
          <t>Good finish</t>
        </is>
      </c>
      <c r="S137" s="26" t="inlineStr">
        <is>
          <t>Yes</t>
        </is>
      </c>
      <c r="T137" s="27" t="n"/>
      <c r="U137" s="28" t="inlineStr">
        <is>
          <t>No</t>
        </is>
      </c>
      <c r="V137" s="29">
        <f>IF(N137="","",IF(Q137="Yes","❌ Disc",IF(P137="No","⚠ Missing",IF(S137="Yes","✓ OK","⚠ Check"))))</f>
        <v/>
      </c>
      <c r="W137" s="65" t="n">
        <v>46248</v>
      </c>
      <c r="X137" s="30" t="inlineStr">
        <is>
          <t>Sunil CR</t>
        </is>
      </c>
      <c r="Y137" s="30" t="inlineStr">
        <is>
          <t>Yes</t>
        </is>
      </c>
      <c r="Z137" s="30" t="n"/>
      <c r="AA137" s="30" t="inlineStr">
        <is>
          <t>Good finish</t>
        </is>
      </c>
      <c r="AB137" s="30" t="inlineStr">
        <is>
          <t>Yes</t>
        </is>
      </c>
      <c r="AC137" s="27" t="n"/>
      <c r="AD137" s="31" t="inlineStr">
        <is>
          <t>No</t>
        </is>
      </c>
      <c r="AE137" s="32">
        <f>IF(W137="","",IF(Z137="Yes","❌ Disc",IF(Y137="No","⚠ Missing",IF(AB137="Yes","✓ OK","⚠ Check"))))</f>
        <v/>
      </c>
      <c r="AF137" s="33" t="n"/>
      <c r="AG137" s="33" t="n"/>
      <c r="AH137" s="33" t="n"/>
      <c r="AI137" s="33" t="n"/>
      <c r="AJ137" s="33" t="n"/>
      <c r="AK137" s="33" t="n"/>
      <c r="AL137" s="27" t="n"/>
      <c r="AM137" s="34" t="n"/>
      <c r="AN137" s="35">
        <f>IF(AF137="","",IF(AI137="Yes","❌ Disc",IF(AH137="No","⚠ Missing",IF(AK137="Yes","✓ OK","⚠ Check"))))</f>
        <v/>
      </c>
      <c r="AO137" s="36" t="n"/>
      <c r="AP137" s="36" t="n"/>
      <c r="AQ137" s="36" t="n"/>
      <c r="AR137" s="36" t="n"/>
      <c r="AS137" s="36" t="n"/>
      <c r="AT137" s="36" t="n"/>
      <c r="AU137" s="27" t="n"/>
      <c r="AV137" s="37" t="n"/>
      <c r="AW137" s="38">
        <f>IF(AO137="","",IF(AR137="Yes","❌ Disc",IF(AQ137="No","⚠ Missing",IF(AT137="Yes","✓ OK","⚠ Check"))))</f>
        <v/>
      </c>
    </row>
    <row r="138" ht="18" customHeight="1" s="46">
      <c r="A138" s="39" t="n">
        <v>134</v>
      </c>
      <c r="B138" s="40" t="inlineStr">
        <is>
          <t>BD-VRM-2026-0315</t>
        </is>
      </c>
      <c r="C138" s="41" t="inlineStr">
        <is>
          <t>Excel  - Hot Spots  Wallpaper 78656-3</t>
        </is>
      </c>
      <c r="D138" s="39" t="inlineStr">
        <is>
          <t>Excel</t>
        </is>
      </c>
      <c r="E138" s="43" t="n">
        <v>46125</v>
      </c>
      <c r="F138" s="26" t="inlineStr">
        <is>
          <t>Sunil CR</t>
        </is>
      </c>
      <c r="G138" s="26" t="inlineStr">
        <is>
          <t>Yes</t>
        </is>
      </c>
      <c r="H138" s="26" t="inlineStr">
        <is>
          <t>No</t>
        </is>
      </c>
      <c r="I138" s="26" t="inlineStr">
        <is>
          <t>Good finish</t>
        </is>
      </c>
      <c r="J138" s="26" t="inlineStr">
        <is>
          <t>Yes</t>
        </is>
      </c>
      <c r="K138" s="27" t="n"/>
      <c r="L138" s="28" t="inlineStr">
        <is>
          <t>No</t>
        </is>
      </c>
      <c r="M138" s="29">
        <f>IF(E138="","",IF(H138="Yes","❌ Disc",IF(G138="No","⚠ Missing",IF(J138="Yes","✓ OK","⚠ Check"))))</f>
        <v/>
      </c>
      <c r="N138" s="43" t="n">
        <v>46193</v>
      </c>
      <c r="O138" s="26" t="inlineStr">
        <is>
          <t>Sunil CR</t>
        </is>
      </c>
      <c r="P138" s="26" t="inlineStr">
        <is>
          <t>Yes</t>
        </is>
      </c>
      <c r="Q138" s="26" t="inlineStr">
        <is>
          <t>No</t>
        </is>
      </c>
      <c r="R138" s="26" t="inlineStr">
        <is>
          <t>Good finish</t>
        </is>
      </c>
      <c r="S138" s="26" t="inlineStr">
        <is>
          <t>Yes</t>
        </is>
      </c>
      <c r="T138" s="27" t="n"/>
      <c r="U138" s="28" t="inlineStr">
        <is>
          <t>No</t>
        </is>
      </c>
      <c r="V138" s="29">
        <f>IF(N138="","",IF(Q138="Yes","❌ Disc",IF(P138="No","⚠ Missing",IF(S138="Yes","✓ OK","⚠ Check"))))</f>
        <v/>
      </c>
      <c r="W138" s="65" t="n">
        <v>46248</v>
      </c>
      <c r="X138" s="30" t="inlineStr">
        <is>
          <t>Sunil CR</t>
        </is>
      </c>
      <c r="Y138" s="30" t="inlineStr">
        <is>
          <t>Yes</t>
        </is>
      </c>
      <c r="Z138" s="30" t="n"/>
      <c r="AA138" s="30" t="inlineStr">
        <is>
          <t>Good finish</t>
        </is>
      </c>
      <c r="AB138" s="30" t="inlineStr">
        <is>
          <t>Yes</t>
        </is>
      </c>
      <c r="AC138" s="27" t="n"/>
      <c r="AD138" s="31" t="inlineStr">
        <is>
          <t>No</t>
        </is>
      </c>
      <c r="AE138" s="32">
        <f>IF(W138="","",IF(Z138="Yes","❌ Disc",IF(Y138="No","⚠ Missing",IF(AB138="Yes","✓ OK","⚠ Check"))))</f>
        <v/>
      </c>
      <c r="AF138" s="33" t="n"/>
      <c r="AG138" s="33" t="n"/>
      <c r="AH138" s="33" t="n"/>
      <c r="AI138" s="33" t="n"/>
      <c r="AJ138" s="33" t="n"/>
      <c r="AK138" s="33" t="n"/>
      <c r="AL138" s="27" t="n"/>
      <c r="AM138" s="34" t="n"/>
      <c r="AN138" s="35">
        <f>IF(AF138="","",IF(AI138="Yes","❌ Disc",IF(AH138="No","⚠ Missing",IF(AK138="Yes","✓ OK","⚠ Check"))))</f>
        <v/>
      </c>
      <c r="AO138" s="36" t="n"/>
      <c r="AP138" s="36" t="n"/>
      <c r="AQ138" s="36" t="n"/>
      <c r="AR138" s="36" t="n"/>
      <c r="AS138" s="36" t="n"/>
      <c r="AT138" s="36" t="n"/>
      <c r="AU138" s="27" t="n"/>
      <c r="AV138" s="37" t="n"/>
      <c r="AW138" s="38">
        <f>IF(AO138="","",IF(AR138="Yes","❌ Disc",IF(AQ138="No","⚠ Missing",IF(AT138="Yes","✓ OK","⚠ Check"))))</f>
        <v/>
      </c>
    </row>
    <row r="139" ht="18" customHeight="1" s="46">
      <c r="A139" s="23" t="n">
        <v>135</v>
      </c>
      <c r="B139" s="24" t="inlineStr">
        <is>
          <t>BD-VRM-2026-0316</t>
        </is>
      </c>
      <c r="C139" s="25" t="inlineStr">
        <is>
          <t>Excel  - Hot Spots  Wallpaper 78656-4</t>
        </is>
      </c>
      <c r="D139" s="23" t="inlineStr">
        <is>
          <t>Excel</t>
        </is>
      </c>
      <c r="E139" s="43" t="n">
        <v>46125</v>
      </c>
      <c r="F139" s="26" t="inlineStr">
        <is>
          <t>Sunil CR</t>
        </is>
      </c>
      <c r="G139" s="26" t="inlineStr">
        <is>
          <t>Yes</t>
        </is>
      </c>
      <c r="H139" s="26" t="inlineStr">
        <is>
          <t>No</t>
        </is>
      </c>
      <c r="I139" s="26" t="inlineStr">
        <is>
          <t>Good finish</t>
        </is>
      </c>
      <c r="J139" s="26" t="inlineStr">
        <is>
          <t>Yes</t>
        </is>
      </c>
      <c r="K139" s="27" t="n"/>
      <c r="L139" s="28" t="inlineStr">
        <is>
          <t>No</t>
        </is>
      </c>
      <c r="M139" s="29">
        <f>IF(E139="","",IF(H139="Yes","❌ Disc",IF(G139="No","⚠ Missing",IF(J139="Yes","✓ OK","⚠ Check"))))</f>
        <v/>
      </c>
      <c r="N139" s="43" t="n">
        <v>46193</v>
      </c>
      <c r="O139" s="26" t="inlineStr">
        <is>
          <t>Sunil CR</t>
        </is>
      </c>
      <c r="P139" s="26" t="inlineStr">
        <is>
          <t>Yes</t>
        </is>
      </c>
      <c r="Q139" s="26" t="inlineStr">
        <is>
          <t>No</t>
        </is>
      </c>
      <c r="R139" s="26" t="inlineStr">
        <is>
          <t>Good finish</t>
        </is>
      </c>
      <c r="S139" s="26" t="inlineStr">
        <is>
          <t>Yes</t>
        </is>
      </c>
      <c r="T139" s="27" t="n"/>
      <c r="U139" s="28" t="inlineStr">
        <is>
          <t>No</t>
        </is>
      </c>
      <c r="V139" s="29">
        <f>IF(N139="","",IF(Q139="Yes","❌ Disc",IF(P139="No","⚠ Missing",IF(S139="Yes","✓ OK","⚠ Check"))))</f>
        <v/>
      </c>
      <c r="W139" s="65" t="n">
        <v>46248</v>
      </c>
      <c r="X139" s="30" t="inlineStr">
        <is>
          <t>Sunil CR</t>
        </is>
      </c>
      <c r="Y139" s="30" t="inlineStr">
        <is>
          <t>Yes</t>
        </is>
      </c>
      <c r="Z139" s="30" t="n"/>
      <c r="AA139" s="30" t="inlineStr">
        <is>
          <t>Good finish</t>
        </is>
      </c>
      <c r="AB139" s="30" t="inlineStr">
        <is>
          <t>Yes</t>
        </is>
      </c>
      <c r="AC139" s="27" t="n"/>
      <c r="AD139" s="31" t="inlineStr">
        <is>
          <t>No</t>
        </is>
      </c>
      <c r="AE139" s="32">
        <f>IF(W139="","",IF(Z139="Yes","❌ Disc",IF(Y139="No","⚠ Missing",IF(AB139="Yes","✓ OK","⚠ Check"))))</f>
        <v/>
      </c>
      <c r="AF139" s="33" t="n"/>
      <c r="AG139" s="33" t="n"/>
      <c r="AH139" s="33" t="n"/>
      <c r="AI139" s="33" t="n"/>
      <c r="AJ139" s="33" t="n"/>
      <c r="AK139" s="33" t="n"/>
      <c r="AL139" s="27" t="n"/>
      <c r="AM139" s="34" t="n"/>
      <c r="AN139" s="35">
        <f>IF(AF139="","",IF(AI139="Yes","❌ Disc",IF(AH139="No","⚠ Missing",IF(AK139="Yes","✓ OK","⚠ Check"))))</f>
        <v/>
      </c>
      <c r="AO139" s="36" t="n"/>
      <c r="AP139" s="36" t="n"/>
      <c r="AQ139" s="36" t="n"/>
      <c r="AR139" s="36" t="n"/>
      <c r="AS139" s="36" t="n"/>
      <c r="AT139" s="36" t="n"/>
      <c r="AU139" s="27" t="n"/>
      <c r="AV139" s="37" t="n"/>
      <c r="AW139" s="38">
        <f>IF(AO139="","",IF(AR139="Yes","❌ Disc",IF(AQ139="No","⚠ Missing",IF(AT139="Yes","✓ OK","⚠ Check"))))</f>
        <v/>
      </c>
    </row>
    <row r="140" ht="18" customHeight="1" s="46">
      <c r="A140" s="39" t="n">
        <v>136</v>
      </c>
      <c r="B140" s="40" t="inlineStr">
        <is>
          <t>BD-VRM-2026-0317</t>
        </is>
      </c>
      <c r="C140" s="41" t="inlineStr">
        <is>
          <t>Excel  - Hot Spots  Wallpaper 78656-5</t>
        </is>
      </c>
      <c r="D140" s="39" t="inlineStr">
        <is>
          <t>Excel</t>
        </is>
      </c>
      <c r="E140" s="43" t="n">
        <v>46125</v>
      </c>
      <c r="F140" s="26" t="inlineStr">
        <is>
          <t>Sunil CR</t>
        </is>
      </c>
      <c r="G140" s="26" t="inlineStr">
        <is>
          <t>Yes</t>
        </is>
      </c>
      <c r="H140" s="26" t="inlineStr">
        <is>
          <t>No</t>
        </is>
      </c>
      <c r="I140" s="26" t="inlineStr">
        <is>
          <t>Good finish</t>
        </is>
      </c>
      <c r="J140" s="26" t="inlineStr">
        <is>
          <t>Yes</t>
        </is>
      </c>
      <c r="K140" s="27" t="n"/>
      <c r="L140" s="28" t="inlineStr">
        <is>
          <t>No</t>
        </is>
      </c>
      <c r="M140" s="29">
        <f>IF(E140="","",IF(H140="Yes","❌ Disc",IF(G140="No","⚠ Missing",IF(J140="Yes","✓ OK","⚠ Check"))))</f>
        <v/>
      </c>
      <c r="N140" s="43" t="n">
        <v>46193</v>
      </c>
      <c r="O140" s="26" t="inlineStr">
        <is>
          <t>Sunil CR</t>
        </is>
      </c>
      <c r="P140" s="26" t="inlineStr">
        <is>
          <t>Yes</t>
        </is>
      </c>
      <c r="Q140" s="26" t="inlineStr">
        <is>
          <t>No</t>
        </is>
      </c>
      <c r="R140" s="26" t="inlineStr">
        <is>
          <t>Good finish</t>
        </is>
      </c>
      <c r="S140" s="26" t="inlineStr">
        <is>
          <t>Yes</t>
        </is>
      </c>
      <c r="T140" s="27" t="n"/>
      <c r="U140" s="28" t="inlineStr">
        <is>
          <t>No</t>
        </is>
      </c>
      <c r="V140" s="29">
        <f>IF(N140="","",IF(Q140="Yes","❌ Disc",IF(P140="No","⚠ Missing",IF(S140="Yes","✓ OK","⚠ Check"))))</f>
        <v/>
      </c>
      <c r="W140" s="65" t="n">
        <v>46248</v>
      </c>
      <c r="X140" s="30" t="inlineStr">
        <is>
          <t>Sunil CR</t>
        </is>
      </c>
      <c r="Y140" s="30" t="inlineStr">
        <is>
          <t>Yes</t>
        </is>
      </c>
      <c r="Z140" s="30" t="n"/>
      <c r="AA140" s="30" t="inlineStr">
        <is>
          <t>Good finish</t>
        </is>
      </c>
      <c r="AB140" s="30" t="inlineStr">
        <is>
          <t>Yes</t>
        </is>
      </c>
      <c r="AC140" s="27" t="n"/>
      <c r="AD140" s="31" t="inlineStr">
        <is>
          <t>No</t>
        </is>
      </c>
      <c r="AE140" s="32">
        <f>IF(W140="","",IF(Z140="Yes","❌ Disc",IF(Y140="No","⚠ Missing",IF(AB140="Yes","✓ OK","⚠ Check"))))</f>
        <v/>
      </c>
      <c r="AF140" s="33" t="n"/>
      <c r="AG140" s="33" t="n"/>
      <c r="AH140" s="33" t="n"/>
      <c r="AI140" s="33" t="n"/>
      <c r="AJ140" s="33" t="n"/>
      <c r="AK140" s="33" t="n"/>
      <c r="AL140" s="27" t="n"/>
      <c r="AM140" s="34" t="n"/>
      <c r="AN140" s="35">
        <f>IF(AF140="","",IF(AI140="Yes","❌ Disc",IF(AH140="No","⚠ Missing",IF(AK140="Yes","✓ OK","⚠ Check"))))</f>
        <v/>
      </c>
      <c r="AO140" s="36" t="n"/>
      <c r="AP140" s="36" t="n"/>
      <c r="AQ140" s="36" t="n"/>
      <c r="AR140" s="36" t="n"/>
      <c r="AS140" s="36" t="n"/>
      <c r="AT140" s="36" t="n"/>
      <c r="AU140" s="27" t="n"/>
      <c r="AV140" s="37" t="n"/>
      <c r="AW140" s="38">
        <f>IF(AO140="","",IF(AR140="Yes","❌ Disc",IF(AQ140="No","⚠ Missing",IF(AT140="Yes","✓ OK","⚠ Check"))))</f>
        <v/>
      </c>
    </row>
    <row r="141" ht="18" customHeight="1" s="46">
      <c r="A141" s="23" t="n">
        <v>137</v>
      </c>
      <c r="B141" s="24" t="inlineStr">
        <is>
          <t>BD-VRM-2026-0318</t>
        </is>
      </c>
      <c r="C141" s="25" t="inlineStr">
        <is>
          <t>Excel  - Hot Spots  Wallpaper 78656-6</t>
        </is>
      </c>
      <c r="D141" s="23" t="inlineStr">
        <is>
          <t>Excel</t>
        </is>
      </c>
      <c r="E141" s="43" t="n">
        <v>46125</v>
      </c>
      <c r="F141" s="26" t="inlineStr">
        <is>
          <t>Sunil CR</t>
        </is>
      </c>
      <c r="G141" s="26" t="inlineStr">
        <is>
          <t>Yes</t>
        </is>
      </c>
      <c r="H141" s="26" t="inlineStr">
        <is>
          <t>No</t>
        </is>
      </c>
      <c r="I141" s="26" t="inlineStr">
        <is>
          <t>Good finish</t>
        </is>
      </c>
      <c r="J141" s="26" t="inlineStr">
        <is>
          <t>Yes</t>
        </is>
      </c>
      <c r="K141" s="27" t="n"/>
      <c r="L141" s="28" t="inlineStr">
        <is>
          <t>No</t>
        </is>
      </c>
      <c r="M141" s="29">
        <f>IF(E141="","",IF(H141="Yes","❌ Disc",IF(G141="No","⚠ Missing",IF(J141="Yes","✓ OK","⚠ Check"))))</f>
        <v/>
      </c>
      <c r="N141" s="43" t="n">
        <v>46193</v>
      </c>
      <c r="O141" s="26" t="inlineStr">
        <is>
          <t>Sunil CR</t>
        </is>
      </c>
      <c r="P141" s="26" t="inlineStr">
        <is>
          <t>Yes</t>
        </is>
      </c>
      <c r="Q141" s="26" t="inlineStr">
        <is>
          <t>No</t>
        </is>
      </c>
      <c r="R141" s="26" t="inlineStr">
        <is>
          <t>Good finish</t>
        </is>
      </c>
      <c r="S141" s="26" t="inlineStr">
        <is>
          <t>Yes</t>
        </is>
      </c>
      <c r="T141" s="27" t="n"/>
      <c r="U141" s="28" t="inlineStr">
        <is>
          <t>No</t>
        </is>
      </c>
      <c r="V141" s="29">
        <f>IF(N141="","",IF(Q141="Yes","❌ Disc",IF(P141="No","⚠ Missing",IF(S141="Yes","✓ OK","⚠ Check"))))</f>
        <v/>
      </c>
      <c r="W141" s="65" t="n">
        <v>46248</v>
      </c>
      <c r="X141" s="30" t="inlineStr">
        <is>
          <t>Sunil CR</t>
        </is>
      </c>
      <c r="Y141" s="30" t="inlineStr">
        <is>
          <t>Yes</t>
        </is>
      </c>
      <c r="Z141" s="30" t="n"/>
      <c r="AA141" s="30" t="inlineStr">
        <is>
          <t>Good finish</t>
        </is>
      </c>
      <c r="AB141" s="30" t="inlineStr">
        <is>
          <t>Yes</t>
        </is>
      </c>
      <c r="AC141" s="27" t="n"/>
      <c r="AD141" s="31" t="inlineStr">
        <is>
          <t>No</t>
        </is>
      </c>
      <c r="AE141" s="32">
        <f>IF(W141="","",IF(Z141="Yes","❌ Disc",IF(Y141="No","⚠ Missing",IF(AB141="Yes","✓ OK","⚠ Check"))))</f>
        <v/>
      </c>
      <c r="AF141" s="33" t="n"/>
      <c r="AG141" s="33" t="n"/>
      <c r="AH141" s="33" t="n"/>
      <c r="AI141" s="33" t="n"/>
      <c r="AJ141" s="33" t="n"/>
      <c r="AK141" s="33" t="n"/>
      <c r="AL141" s="27" t="n"/>
      <c r="AM141" s="34" t="n"/>
      <c r="AN141" s="35">
        <f>IF(AF141="","",IF(AI141="Yes","❌ Disc",IF(AH141="No","⚠ Missing",IF(AK141="Yes","✓ OK","⚠ Check"))))</f>
        <v/>
      </c>
      <c r="AO141" s="36" t="n"/>
      <c r="AP141" s="36" t="n"/>
      <c r="AQ141" s="36" t="n"/>
      <c r="AR141" s="36" t="n"/>
      <c r="AS141" s="36" t="n"/>
      <c r="AT141" s="36" t="n"/>
      <c r="AU141" s="27" t="n"/>
      <c r="AV141" s="37" t="n"/>
      <c r="AW141" s="38">
        <f>IF(AO141="","",IF(AR141="Yes","❌ Disc",IF(AQ141="No","⚠ Missing",IF(AT141="Yes","✓ OK","⚠ Check"))))</f>
        <v/>
      </c>
    </row>
    <row r="142" ht="18" customHeight="1" s="46">
      <c r="A142" s="39" t="n">
        <v>138</v>
      </c>
      <c r="B142" s="40" t="inlineStr">
        <is>
          <t>BD-VRM-2026-0319</t>
        </is>
      </c>
      <c r="C142" s="41" t="inlineStr">
        <is>
          <t>Excel  - Hot Spots  Wallpaper 78666-1</t>
        </is>
      </c>
      <c r="D142" s="39" t="inlineStr">
        <is>
          <t>Excel</t>
        </is>
      </c>
      <c r="E142" s="43" t="n">
        <v>46125</v>
      </c>
      <c r="F142" s="26" t="inlineStr">
        <is>
          <t>Sunil CR</t>
        </is>
      </c>
      <c r="G142" s="26" t="inlineStr">
        <is>
          <t>Yes</t>
        </is>
      </c>
      <c r="H142" s="26" t="inlineStr">
        <is>
          <t>No</t>
        </is>
      </c>
      <c r="I142" s="26" t="inlineStr">
        <is>
          <t>Good finish</t>
        </is>
      </c>
      <c r="J142" s="26" t="inlineStr">
        <is>
          <t>Yes</t>
        </is>
      </c>
      <c r="K142" s="27" t="n"/>
      <c r="L142" s="28" t="inlineStr">
        <is>
          <t>No</t>
        </is>
      </c>
      <c r="M142" s="29">
        <f>IF(E142="","",IF(H142="Yes","❌ Disc",IF(G142="No","⚠ Missing",IF(J142="Yes","✓ OK","⚠ Check"))))</f>
        <v/>
      </c>
      <c r="N142" s="43" t="n">
        <v>46193</v>
      </c>
      <c r="O142" s="26" t="inlineStr">
        <is>
          <t>Sunil CR</t>
        </is>
      </c>
      <c r="P142" s="26" t="inlineStr">
        <is>
          <t>Yes</t>
        </is>
      </c>
      <c r="Q142" s="26" t="inlineStr">
        <is>
          <t>No</t>
        </is>
      </c>
      <c r="R142" s="26" t="inlineStr">
        <is>
          <t>Good finish</t>
        </is>
      </c>
      <c r="S142" s="26" t="inlineStr">
        <is>
          <t>Yes</t>
        </is>
      </c>
      <c r="T142" s="27" t="n"/>
      <c r="U142" s="28" t="inlineStr">
        <is>
          <t>No</t>
        </is>
      </c>
      <c r="V142" s="29">
        <f>IF(N142="","",IF(Q142="Yes","❌ Disc",IF(P142="No","⚠ Missing",IF(S142="Yes","✓ OK","⚠ Check"))))</f>
        <v/>
      </c>
      <c r="W142" s="65" t="n">
        <v>46248</v>
      </c>
      <c r="X142" s="30" t="inlineStr">
        <is>
          <t>Sunil CR</t>
        </is>
      </c>
      <c r="Y142" s="30" t="inlineStr">
        <is>
          <t>Yes</t>
        </is>
      </c>
      <c r="Z142" s="30" t="n"/>
      <c r="AA142" s="30" t="inlineStr">
        <is>
          <t>Good finish</t>
        </is>
      </c>
      <c r="AB142" s="30" t="inlineStr">
        <is>
          <t>Yes</t>
        </is>
      </c>
      <c r="AC142" s="27" t="n"/>
      <c r="AD142" s="31" t="inlineStr">
        <is>
          <t>No</t>
        </is>
      </c>
      <c r="AE142" s="32">
        <f>IF(W142="","",IF(Z142="Yes","❌ Disc",IF(Y142="No","⚠ Missing",IF(AB142="Yes","✓ OK","⚠ Check"))))</f>
        <v/>
      </c>
      <c r="AF142" s="33" t="n"/>
      <c r="AG142" s="33" t="n"/>
      <c r="AH142" s="33" t="n"/>
      <c r="AI142" s="33" t="n"/>
      <c r="AJ142" s="33" t="n"/>
      <c r="AK142" s="33" t="n"/>
      <c r="AL142" s="27" t="n"/>
      <c r="AM142" s="34" t="n"/>
      <c r="AN142" s="35">
        <f>IF(AF142="","",IF(AI142="Yes","❌ Disc",IF(AH142="No","⚠ Missing",IF(AK142="Yes","✓ OK","⚠ Check"))))</f>
        <v/>
      </c>
      <c r="AO142" s="36" t="n"/>
      <c r="AP142" s="36" t="n"/>
      <c r="AQ142" s="36" t="n"/>
      <c r="AR142" s="36" t="n"/>
      <c r="AS142" s="36" t="n"/>
      <c r="AT142" s="36" t="n"/>
      <c r="AU142" s="27" t="n"/>
      <c r="AV142" s="37" t="n"/>
      <c r="AW142" s="38">
        <f>IF(AO142="","",IF(AR142="Yes","❌ Disc",IF(AQ142="No","⚠ Missing",IF(AT142="Yes","✓ OK","⚠ Check"))))</f>
        <v/>
      </c>
    </row>
    <row r="143" ht="18" customHeight="1" s="46">
      <c r="A143" s="23" t="n">
        <v>139</v>
      </c>
      <c r="B143" s="24" t="inlineStr">
        <is>
          <t>BD-VRM-2026-0320</t>
        </is>
      </c>
      <c r="C143" s="25" t="inlineStr">
        <is>
          <t>Excel  - Hot Spots  Wallpaper 78666-2</t>
        </is>
      </c>
      <c r="D143" s="23" t="inlineStr">
        <is>
          <t>Excel</t>
        </is>
      </c>
      <c r="E143" s="43" t="n">
        <v>46125</v>
      </c>
      <c r="F143" s="26" t="inlineStr">
        <is>
          <t>Sunil CR</t>
        </is>
      </c>
      <c r="G143" s="26" t="inlineStr">
        <is>
          <t>Yes</t>
        </is>
      </c>
      <c r="H143" s="26" t="inlineStr">
        <is>
          <t>No</t>
        </is>
      </c>
      <c r="I143" s="26" t="inlineStr">
        <is>
          <t>Good finish</t>
        </is>
      </c>
      <c r="J143" s="26" t="inlineStr">
        <is>
          <t>Yes</t>
        </is>
      </c>
      <c r="K143" s="27" t="n"/>
      <c r="L143" s="28" t="inlineStr">
        <is>
          <t>No</t>
        </is>
      </c>
      <c r="M143" s="29">
        <f>IF(E143="","",IF(H143="Yes","❌ Disc",IF(G143="No","⚠ Missing",IF(J143="Yes","✓ OK","⚠ Check"))))</f>
        <v/>
      </c>
      <c r="N143" s="43" t="n">
        <v>46193</v>
      </c>
      <c r="O143" s="26" t="inlineStr">
        <is>
          <t>Sunil CR</t>
        </is>
      </c>
      <c r="P143" s="26" t="inlineStr">
        <is>
          <t>Yes</t>
        </is>
      </c>
      <c r="Q143" s="26" t="inlineStr">
        <is>
          <t>No</t>
        </is>
      </c>
      <c r="R143" s="26" t="inlineStr">
        <is>
          <t>Good finish</t>
        </is>
      </c>
      <c r="S143" s="26" t="inlineStr">
        <is>
          <t>Yes</t>
        </is>
      </c>
      <c r="T143" s="27" t="n"/>
      <c r="U143" s="28" t="inlineStr">
        <is>
          <t>No</t>
        </is>
      </c>
      <c r="V143" s="29">
        <f>IF(N143="","",IF(Q143="Yes","❌ Disc",IF(P143="No","⚠ Missing",IF(S143="Yes","✓ OK","⚠ Check"))))</f>
        <v/>
      </c>
      <c r="W143" s="65" t="n">
        <v>46248</v>
      </c>
      <c r="X143" s="30" t="inlineStr">
        <is>
          <t>Sunil CR</t>
        </is>
      </c>
      <c r="Y143" s="30" t="inlineStr">
        <is>
          <t>Yes</t>
        </is>
      </c>
      <c r="Z143" s="30" t="n"/>
      <c r="AA143" s="30" t="inlineStr">
        <is>
          <t>Good finish</t>
        </is>
      </c>
      <c r="AB143" s="30" t="inlineStr">
        <is>
          <t>Yes</t>
        </is>
      </c>
      <c r="AC143" s="27" t="n"/>
      <c r="AD143" s="31" t="inlineStr">
        <is>
          <t>No</t>
        </is>
      </c>
      <c r="AE143" s="32">
        <f>IF(W143="","",IF(Z143="Yes","❌ Disc",IF(Y143="No","⚠ Missing",IF(AB143="Yes","✓ OK","⚠ Check"))))</f>
        <v/>
      </c>
      <c r="AF143" s="33" t="n"/>
      <c r="AG143" s="33" t="n"/>
      <c r="AH143" s="33" t="n"/>
      <c r="AI143" s="33" t="n"/>
      <c r="AJ143" s="33" t="n"/>
      <c r="AK143" s="33" t="n"/>
      <c r="AL143" s="27" t="n"/>
      <c r="AM143" s="34" t="n"/>
      <c r="AN143" s="35">
        <f>IF(AF143="","",IF(AI143="Yes","❌ Disc",IF(AH143="No","⚠ Missing",IF(AK143="Yes","✓ OK","⚠ Check"))))</f>
        <v/>
      </c>
      <c r="AO143" s="36" t="n"/>
      <c r="AP143" s="36" t="n"/>
      <c r="AQ143" s="36" t="n"/>
      <c r="AR143" s="36" t="n"/>
      <c r="AS143" s="36" t="n"/>
      <c r="AT143" s="36" t="n"/>
      <c r="AU143" s="27" t="n"/>
      <c r="AV143" s="37" t="n"/>
      <c r="AW143" s="38">
        <f>IF(AO143="","",IF(AR143="Yes","❌ Disc",IF(AQ143="No","⚠ Missing",IF(AT143="Yes","✓ OK","⚠ Check"))))</f>
        <v/>
      </c>
    </row>
    <row r="144" ht="18" customHeight="1" s="46">
      <c r="A144" s="39" t="n">
        <v>140</v>
      </c>
      <c r="B144" s="40" t="inlineStr">
        <is>
          <t>BD-VRM-2026-0321</t>
        </is>
      </c>
      <c r="C144" s="41" t="inlineStr">
        <is>
          <t>Excel  - Hot Spots  Wallpaper 78666-3</t>
        </is>
      </c>
      <c r="D144" s="39" t="inlineStr">
        <is>
          <t>Excel</t>
        </is>
      </c>
      <c r="E144" s="43" t="n">
        <v>46125</v>
      </c>
      <c r="F144" s="26" t="inlineStr">
        <is>
          <t>Sunil CR</t>
        </is>
      </c>
      <c r="G144" s="26" t="inlineStr">
        <is>
          <t>Yes</t>
        </is>
      </c>
      <c r="H144" s="26" t="inlineStr">
        <is>
          <t>No</t>
        </is>
      </c>
      <c r="I144" s="26" t="inlineStr">
        <is>
          <t>Good finish</t>
        </is>
      </c>
      <c r="J144" s="26" t="inlineStr">
        <is>
          <t>Yes</t>
        </is>
      </c>
      <c r="K144" s="27" t="n"/>
      <c r="L144" s="28" t="inlineStr">
        <is>
          <t>No</t>
        </is>
      </c>
      <c r="M144" s="29">
        <f>IF(E144="","",IF(H144="Yes","❌ Disc",IF(G144="No","⚠ Missing",IF(J144="Yes","✓ OK","⚠ Check"))))</f>
        <v/>
      </c>
      <c r="N144" s="43" t="n">
        <v>46193</v>
      </c>
      <c r="O144" s="26" t="inlineStr">
        <is>
          <t>Sunil CR</t>
        </is>
      </c>
      <c r="P144" s="26" t="inlineStr">
        <is>
          <t>Yes</t>
        </is>
      </c>
      <c r="Q144" s="26" t="inlineStr">
        <is>
          <t>No</t>
        </is>
      </c>
      <c r="R144" s="26" t="inlineStr">
        <is>
          <t>Good finish</t>
        </is>
      </c>
      <c r="S144" s="26" t="inlineStr">
        <is>
          <t>Yes</t>
        </is>
      </c>
      <c r="T144" s="27" t="n"/>
      <c r="U144" s="28" t="inlineStr">
        <is>
          <t>No</t>
        </is>
      </c>
      <c r="V144" s="29">
        <f>IF(N144="","",IF(Q144="Yes","❌ Disc",IF(P144="No","⚠ Missing",IF(S144="Yes","✓ OK","⚠ Check"))))</f>
        <v/>
      </c>
      <c r="W144" s="65" t="n">
        <v>46248</v>
      </c>
      <c r="X144" s="30" t="inlineStr">
        <is>
          <t>Sunil CR</t>
        </is>
      </c>
      <c r="Y144" s="30" t="inlineStr">
        <is>
          <t>Yes</t>
        </is>
      </c>
      <c r="Z144" s="30" t="n"/>
      <c r="AA144" s="30" t="inlineStr">
        <is>
          <t>Good finish</t>
        </is>
      </c>
      <c r="AB144" s="30" t="inlineStr">
        <is>
          <t>Yes</t>
        </is>
      </c>
      <c r="AC144" s="27" t="n"/>
      <c r="AD144" s="31" t="inlineStr">
        <is>
          <t>No</t>
        </is>
      </c>
      <c r="AE144" s="32">
        <f>IF(W144="","",IF(Z144="Yes","❌ Disc",IF(Y144="No","⚠ Missing",IF(AB144="Yes","✓ OK","⚠ Check"))))</f>
        <v/>
      </c>
      <c r="AF144" s="33" t="n"/>
      <c r="AG144" s="33" t="n"/>
      <c r="AH144" s="33" t="n"/>
      <c r="AI144" s="33" t="n"/>
      <c r="AJ144" s="33" t="n"/>
      <c r="AK144" s="33" t="n"/>
      <c r="AL144" s="27" t="n"/>
      <c r="AM144" s="34" t="n"/>
      <c r="AN144" s="35">
        <f>IF(AF144="","",IF(AI144="Yes","❌ Disc",IF(AH144="No","⚠ Missing",IF(AK144="Yes","✓ OK","⚠ Check"))))</f>
        <v/>
      </c>
      <c r="AO144" s="36" t="n"/>
      <c r="AP144" s="36" t="n"/>
      <c r="AQ144" s="36" t="n"/>
      <c r="AR144" s="36" t="n"/>
      <c r="AS144" s="36" t="n"/>
      <c r="AT144" s="36" t="n"/>
      <c r="AU144" s="27" t="n"/>
      <c r="AV144" s="37" t="n"/>
      <c r="AW144" s="38">
        <f>IF(AO144="","",IF(AR144="Yes","❌ Disc",IF(AQ144="No","⚠ Missing",IF(AT144="Yes","✓ OK","⚠ Check"))))</f>
        <v/>
      </c>
    </row>
    <row r="145" ht="18" customHeight="1" s="46">
      <c r="A145" s="23" t="n">
        <v>141</v>
      </c>
      <c r="B145" s="24" t="inlineStr">
        <is>
          <t>BD-VRM-2026-0322</t>
        </is>
      </c>
      <c r="C145" s="25" t="inlineStr">
        <is>
          <t>Excel  - Hot Spots  Wallpaper 78666-4</t>
        </is>
      </c>
      <c r="D145" s="23" t="inlineStr">
        <is>
          <t>Excel</t>
        </is>
      </c>
      <c r="E145" s="43" t="n">
        <v>46125</v>
      </c>
      <c r="F145" s="26" t="inlineStr">
        <is>
          <t>Sunil CR</t>
        </is>
      </c>
      <c r="G145" s="26" t="inlineStr">
        <is>
          <t>Yes</t>
        </is>
      </c>
      <c r="H145" s="26" t="inlineStr">
        <is>
          <t>No</t>
        </is>
      </c>
      <c r="I145" s="26" t="inlineStr">
        <is>
          <t>Good finish</t>
        </is>
      </c>
      <c r="J145" s="26" t="inlineStr">
        <is>
          <t>Yes</t>
        </is>
      </c>
      <c r="K145" s="27" t="n"/>
      <c r="L145" s="28" t="inlineStr">
        <is>
          <t>No</t>
        </is>
      </c>
      <c r="M145" s="29">
        <f>IF(E145="","",IF(H145="Yes","❌ Disc",IF(G145="No","⚠ Missing",IF(J145="Yes","✓ OK","⚠ Check"))))</f>
        <v/>
      </c>
      <c r="N145" s="43" t="n">
        <v>46193</v>
      </c>
      <c r="O145" s="26" t="inlineStr">
        <is>
          <t>Sunil CR</t>
        </is>
      </c>
      <c r="P145" s="26" t="inlineStr">
        <is>
          <t>Yes</t>
        </is>
      </c>
      <c r="Q145" s="26" t="inlineStr">
        <is>
          <t>No</t>
        </is>
      </c>
      <c r="R145" s="26" t="inlineStr">
        <is>
          <t>Good finish</t>
        </is>
      </c>
      <c r="S145" s="26" t="inlineStr">
        <is>
          <t>Yes</t>
        </is>
      </c>
      <c r="T145" s="27" t="n"/>
      <c r="U145" s="28" t="inlineStr">
        <is>
          <t>No</t>
        </is>
      </c>
      <c r="V145" s="29">
        <f>IF(N145="","",IF(Q145="Yes","❌ Disc",IF(P145="No","⚠ Missing",IF(S145="Yes","✓ OK","⚠ Check"))))</f>
        <v/>
      </c>
      <c r="W145" s="65" t="n">
        <v>46248</v>
      </c>
      <c r="X145" s="30" t="inlineStr">
        <is>
          <t>Sunil CR</t>
        </is>
      </c>
      <c r="Y145" s="30" t="inlineStr">
        <is>
          <t>Yes</t>
        </is>
      </c>
      <c r="Z145" s="30" t="n"/>
      <c r="AA145" s="30" t="inlineStr">
        <is>
          <t>Good finish</t>
        </is>
      </c>
      <c r="AB145" s="30" t="inlineStr">
        <is>
          <t>Yes</t>
        </is>
      </c>
      <c r="AC145" s="27" t="n"/>
      <c r="AD145" s="31" t="inlineStr">
        <is>
          <t>No</t>
        </is>
      </c>
      <c r="AE145" s="32">
        <f>IF(W145="","",IF(Z145="Yes","❌ Disc",IF(Y145="No","⚠ Missing",IF(AB145="Yes","✓ OK","⚠ Check"))))</f>
        <v/>
      </c>
      <c r="AF145" s="33" t="n"/>
      <c r="AG145" s="33" t="n"/>
      <c r="AH145" s="33" t="n"/>
      <c r="AI145" s="33" t="n"/>
      <c r="AJ145" s="33" t="n"/>
      <c r="AK145" s="33" t="n"/>
      <c r="AL145" s="27" t="n"/>
      <c r="AM145" s="34" t="n"/>
      <c r="AN145" s="35">
        <f>IF(AF145="","",IF(AI145="Yes","❌ Disc",IF(AH145="No","⚠ Missing",IF(AK145="Yes","✓ OK","⚠ Check"))))</f>
        <v/>
      </c>
      <c r="AO145" s="36" t="n"/>
      <c r="AP145" s="36" t="n"/>
      <c r="AQ145" s="36" t="n"/>
      <c r="AR145" s="36" t="n"/>
      <c r="AS145" s="36" t="n"/>
      <c r="AT145" s="36" t="n"/>
      <c r="AU145" s="27" t="n"/>
      <c r="AV145" s="37" t="n"/>
      <c r="AW145" s="38">
        <f>IF(AO145="","",IF(AR145="Yes","❌ Disc",IF(AQ145="No","⚠ Missing",IF(AT145="Yes","✓ OK","⚠ Check"))))</f>
        <v/>
      </c>
    </row>
    <row r="146" ht="18" customHeight="1" s="46">
      <c r="A146" s="39" t="n">
        <v>142</v>
      </c>
      <c r="B146" s="40" t="inlineStr">
        <is>
          <t>BD-VRM-2026-0323</t>
        </is>
      </c>
      <c r="C146" s="41" t="inlineStr">
        <is>
          <t>Excel  - Hot Spots  Wallpaper 78666-5</t>
        </is>
      </c>
      <c r="D146" s="39" t="inlineStr">
        <is>
          <t>Excel</t>
        </is>
      </c>
      <c r="E146" s="43" t="n">
        <v>46125</v>
      </c>
      <c r="F146" s="26" t="inlineStr">
        <is>
          <t>Sunil CR</t>
        </is>
      </c>
      <c r="G146" s="26" t="inlineStr">
        <is>
          <t>Yes</t>
        </is>
      </c>
      <c r="H146" s="26" t="inlineStr">
        <is>
          <t>No</t>
        </is>
      </c>
      <c r="I146" s="26" t="inlineStr">
        <is>
          <t>Good finish</t>
        </is>
      </c>
      <c r="J146" s="26" t="inlineStr">
        <is>
          <t>Yes</t>
        </is>
      </c>
      <c r="K146" s="27" t="n"/>
      <c r="L146" s="28" t="inlineStr">
        <is>
          <t>No</t>
        </is>
      </c>
      <c r="M146" s="29">
        <f>IF(E146="","",IF(H146="Yes","❌ Disc",IF(G146="No","⚠ Missing",IF(J146="Yes","✓ OK","⚠ Check"))))</f>
        <v/>
      </c>
      <c r="N146" s="43" t="n">
        <v>46193</v>
      </c>
      <c r="O146" s="26" t="inlineStr">
        <is>
          <t>Sunil CR</t>
        </is>
      </c>
      <c r="P146" s="26" t="inlineStr">
        <is>
          <t>Yes</t>
        </is>
      </c>
      <c r="Q146" s="26" t="inlineStr">
        <is>
          <t>No</t>
        </is>
      </c>
      <c r="R146" s="26" t="inlineStr">
        <is>
          <t>Good finish</t>
        </is>
      </c>
      <c r="S146" s="26" t="inlineStr">
        <is>
          <t>Yes</t>
        </is>
      </c>
      <c r="T146" s="27" t="n"/>
      <c r="U146" s="28" t="inlineStr">
        <is>
          <t>No</t>
        </is>
      </c>
      <c r="V146" s="29">
        <f>IF(N146="","",IF(Q146="Yes","❌ Disc",IF(P146="No","⚠ Missing",IF(S146="Yes","✓ OK","⚠ Check"))))</f>
        <v/>
      </c>
      <c r="W146" s="65" t="n">
        <v>46248</v>
      </c>
      <c r="X146" s="30" t="inlineStr">
        <is>
          <t>Sunil CR</t>
        </is>
      </c>
      <c r="Y146" s="30" t="inlineStr">
        <is>
          <t>Yes</t>
        </is>
      </c>
      <c r="Z146" s="30" t="n"/>
      <c r="AA146" s="30" t="inlineStr">
        <is>
          <t>Good finish</t>
        </is>
      </c>
      <c r="AB146" s="30" t="inlineStr">
        <is>
          <t>Yes</t>
        </is>
      </c>
      <c r="AC146" s="27" t="n"/>
      <c r="AD146" s="31" t="inlineStr">
        <is>
          <t>No</t>
        </is>
      </c>
      <c r="AE146" s="32">
        <f>IF(W146="","",IF(Z146="Yes","❌ Disc",IF(Y146="No","⚠ Missing",IF(AB146="Yes","✓ OK","⚠ Check"))))</f>
        <v/>
      </c>
      <c r="AF146" s="33" t="n"/>
      <c r="AG146" s="33" t="n"/>
      <c r="AH146" s="33" t="n"/>
      <c r="AI146" s="33" t="n"/>
      <c r="AJ146" s="33" t="n"/>
      <c r="AK146" s="33" t="n"/>
      <c r="AL146" s="27" t="n"/>
      <c r="AM146" s="34" t="n"/>
      <c r="AN146" s="35">
        <f>IF(AF146="","",IF(AI146="Yes","❌ Disc",IF(AH146="No","⚠ Missing",IF(AK146="Yes","✓ OK","⚠ Check"))))</f>
        <v/>
      </c>
      <c r="AO146" s="36" t="n"/>
      <c r="AP146" s="36" t="n"/>
      <c r="AQ146" s="36" t="n"/>
      <c r="AR146" s="36" t="n"/>
      <c r="AS146" s="36" t="n"/>
      <c r="AT146" s="36" t="n"/>
      <c r="AU146" s="27" t="n"/>
      <c r="AV146" s="37" t="n"/>
      <c r="AW146" s="38">
        <f>IF(AO146="","",IF(AR146="Yes","❌ Disc",IF(AQ146="No","⚠ Missing",IF(AT146="Yes","✓ OK","⚠ Check"))))</f>
        <v/>
      </c>
    </row>
    <row r="147" ht="18" customHeight="1" s="46">
      <c r="A147" s="23" t="n">
        <v>143</v>
      </c>
      <c r="B147" s="24" t="inlineStr">
        <is>
          <t>BD-VRM-2026-0324</t>
        </is>
      </c>
      <c r="C147" s="25" t="inlineStr">
        <is>
          <t>Excel  - Hot Spots  Wallpaper 78666-6</t>
        </is>
      </c>
      <c r="D147" s="23" t="inlineStr">
        <is>
          <t>Excel</t>
        </is>
      </c>
      <c r="E147" s="43" t="n">
        <v>46125</v>
      </c>
      <c r="F147" s="26" t="inlineStr">
        <is>
          <t>Sunil CR</t>
        </is>
      </c>
      <c r="G147" s="26" t="inlineStr">
        <is>
          <t>Yes</t>
        </is>
      </c>
      <c r="H147" s="26" t="inlineStr">
        <is>
          <t>No</t>
        </is>
      </c>
      <c r="I147" s="26" t="inlineStr">
        <is>
          <t>Good finish</t>
        </is>
      </c>
      <c r="J147" s="26" t="inlineStr">
        <is>
          <t>Yes</t>
        </is>
      </c>
      <c r="K147" s="27" t="n"/>
      <c r="L147" s="28" t="inlineStr">
        <is>
          <t>No</t>
        </is>
      </c>
      <c r="M147" s="29">
        <f>IF(E147="","",IF(H147="Yes","❌ Disc",IF(G147="No","⚠ Missing",IF(J147="Yes","✓ OK","⚠ Check"))))</f>
        <v/>
      </c>
      <c r="N147" s="43" t="n">
        <v>46193</v>
      </c>
      <c r="O147" s="26" t="inlineStr">
        <is>
          <t>Sunil CR</t>
        </is>
      </c>
      <c r="P147" s="26" t="inlineStr">
        <is>
          <t>Yes</t>
        </is>
      </c>
      <c r="Q147" s="26" t="inlineStr">
        <is>
          <t>No</t>
        </is>
      </c>
      <c r="R147" s="26" t="inlineStr">
        <is>
          <t>Good finish</t>
        </is>
      </c>
      <c r="S147" s="26" t="inlineStr">
        <is>
          <t>Yes</t>
        </is>
      </c>
      <c r="T147" s="27" t="n"/>
      <c r="U147" s="28" t="inlineStr">
        <is>
          <t>No</t>
        </is>
      </c>
      <c r="V147" s="29">
        <f>IF(N147="","",IF(Q147="Yes","❌ Disc",IF(P147="No","⚠ Missing",IF(S147="Yes","✓ OK","⚠ Check"))))</f>
        <v/>
      </c>
      <c r="W147" s="65" t="n">
        <v>46248</v>
      </c>
      <c r="X147" s="30" t="inlineStr">
        <is>
          <t>Sunil CR</t>
        </is>
      </c>
      <c r="Y147" s="30" t="inlineStr">
        <is>
          <t>Yes</t>
        </is>
      </c>
      <c r="Z147" s="30" t="n"/>
      <c r="AA147" s="30" t="inlineStr">
        <is>
          <t>Good finish</t>
        </is>
      </c>
      <c r="AB147" s="30" t="inlineStr">
        <is>
          <t>Yes</t>
        </is>
      </c>
      <c r="AC147" s="27" t="n"/>
      <c r="AD147" s="31" t="inlineStr">
        <is>
          <t>No</t>
        </is>
      </c>
      <c r="AE147" s="32">
        <f>IF(W147="","",IF(Z147="Yes","❌ Disc",IF(Y147="No","⚠ Missing",IF(AB147="Yes","✓ OK","⚠ Check"))))</f>
        <v/>
      </c>
      <c r="AF147" s="33" t="n"/>
      <c r="AG147" s="33" t="n"/>
      <c r="AH147" s="33" t="n"/>
      <c r="AI147" s="33" t="n"/>
      <c r="AJ147" s="33" t="n"/>
      <c r="AK147" s="33" t="n"/>
      <c r="AL147" s="27" t="n"/>
      <c r="AM147" s="34" t="n"/>
      <c r="AN147" s="35">
        <f>IF(AF147="","",IF(AI147="Yes","❌ Disc",IF(AH147="No","⚠ Missing",IF(AK147="Yes","✓ OK","⚠ Check"))))</f>
        <v/>
      </c>
      <c r="AO147" s="36" t="n"/>
      <c r="AP147" s="36" t="n"/>
      <c r="AQ147" s="36" t="n"/>
      <c r="AR147" s="36" t="n"/>
      <c r="AS147" s="36" t="n"/>
      <c r="AT147" s="36" t="n"/>
      <c r="AU147" s="27" t="n"/>
      <c r="AV147" s="37" t="n"/>
      <c r="AW147" s="38">
        <f>IF(AO147="","",IF(AR147="Yes","❌ Disc",IF(AQ147="No","⚠ Missing",IF(AT147="Yes","✓ OK","⚠ Check"))))</f>
        <v/>
      </c>
    </row>
    <row r="148" ht="18" customHeight="1" s="46">
      <c r="A148" s="39" t="n">
        <v>144</v>
      </c>
      <c r="B148" s="40" t="inlineStr">
        <is>
          <t>BD-VRM-2026-0325</t>
        </is>
      </c>
      <c r="C148" s="41" t="inlineStr">
        <is>
          <t>Excel  - Hot Spots  Wallpaper 78666-7</t>
        </is>
      </c>
      <c r="D148" s="39" t="inlineStr">
        <is>
          <t>Excel</t>
        </is>
      </c>
      <c r="E148" s="43" t="n">
        <v>46125</v>
      </c>
      <c r="F148" s="26" t="inlineStr">
        <is>
          <t>Sunil CR</t>
        </is>
      </c>
      <c r="G148" s="26" t="inlineStr">
        <is>
          <t>Yes</t>
        </is>
      </c>
      <c r="H148" s="26" t="inlineStr">
        <is>
          <t>No</t>
        </is>
      </c>
      <c r="I148" s="26" t="inlineStr">
        <is>
          <t>Good finish</t>
        </is>
      </c>
      <c r="J148" s="26" t="inlineStr">
        <is>
          <t>Yes</t>
        </is>
      </c>
      <c r="K148" s="27" t="n"/>
      <c r="L148" s="28" t="inlineStr">
        <is>
          <t>No</t>
        </is>
      </c>
      <c r="M148" s="29">
        <f>IF(E148="","",IF(H148="Yes","❌ Disc",IF(G148="No","⚠ Missing",IF(J148="Yes","✓ OK","⚠ Check"))))</f>
        <v/>
      </c>
      <c r="N148" s="43" t="n">
        <v>46193</v>
      </c>
      <c r="O148" s="26" t="inlineStr">
        <is>
          <t>Sunil CR</t>
        </is>
      </c>
      <c r="P148" s="26" t="inlineStr">
        <is>
          <t>Yes</t>
        </is>
      </c>
      <c r="Q148" s="26" t="inlineStr">
        <is>
          <t>No</t>
        </is>
      </c>
      <c r="R148" s="26" t="inlineStr">
        <is>
          <t>Good finish</t>
        </is>
      </c>
      <c r="S148" s="26" t="inlineStr">
        <is>
          <t>Yes</t>
        </is>
      </c>
      <c r="T148" s="27" t="n"/>
      <c r="U148" s="28" t="inlineStr">
        <is>
          <t>No</t>
        </is>
      </c>
      <c r="V148" s="29">
        <f>IF(N148="","",IF(Q148="Yes","❌ Disc",IF(P148="No","⚠ Missing",IF(S148="Yes","✓ OK","⚠ Check"))))</f>
        <v/>
      </c>
      <c r="W148" s="65" t="n">
        <v>46248</v>
      </c>
      <c r="X148" s="30" t="inlineStr">
        <is>
          <t>Sunil CR</t>
        </is>
      </c>
      <c r="Y148" s="30" t="inlineStr">
        <is>
          <t>Yes</t>
        </is>
      </c>
      <c r="Z148" s="30" t="n"/>
      <c r="AA148" s="30" t="inlineStr">
        <is>
          <t>Good finish</t>
        </is>
      </c>
      <c r="AB148" s="30" t="inlineStr">
        <is>
          <t>Yes</t>
        </is>
      </c>
      <c r="AC148" s="27" t="n"/>
      <c r="AD148" s="31" t="inlineStr">
        <is>
          <t>No</t>
        </is>
      </c>
      <c r="AE148" s="32">
        <f>IF(W148="","",IF(Z148="Yes","❌ Disc",IF(Y148="No","⚠ Missing",IF(AB148="Yes","✓ OK","⚠ Check"))))</f>
        <v/>
      </c>
      <c r="AF148" s="33" t="n"/>
      <c r="AG148" s="33" t="n"/>
      <c r="AH148" s="33" t="n"/>
      <c r="AI148" s="33" t="n"/>
      <c r="AJ148" s="33" t="n"/>
      <c r="AK148" s="33" t="n"/>
      <c r="AL148" s="27" t="n"/>
      <c r="AM148" s="34" t="n"/>
      <c r="AN148" s="35">
        <f>IF(AF148="","",IF(AI148="Yes","❌ Disc",IF(AH148="No","⚠ Missing",IF(AK148="Yes","✓ OK","⚠ Check"))))</f>
        <v/>
      </c>
      <c r="AO148" s="36" t="n"/>
      <c r="AP148" s="36" t="n"/>
      <c r="AQ148" s="36" t="n"/>
      <c r="AR148" s="36" t="n"/>
      <c r="AS148" s="36" t="n"/>
      <c r="AT148" s="36" t="n"/>
      <c r="AU148" s="27" t="n"/>
      <c r="AV148" s="37" t="n"/>
      <c r="AW148" s="38">
        <f>IF(AO148="","",IF(AR148="Yes","❌ Disc",IF(AQ148="No","⚠ Missing",IF(AT148="Yes","✓ OK","⚠ Check"))))</f>
        <v/>
      </c>
    </row>
    <row r="149" ht="18" customHeight="1" s="46">
      <c r="A149" s="23" t="n">
        <v>145</v>
      </c>
      <c r="B149" s="24" t="inlineStr">
        <is>
          <t>BD-VRM-2026-0326</t>
        </is>
      </c>
      <c r="C149" s="25" t="inlineStr">
        <is>
          <t>Excel  - Hot Spots  Wallpaper 78672-1</t>
        </is>
      </c>
      <c r="D149" s="23" t="inlineStr">
        <is>
          <t>Excel</t>
        </is>
      </c>
      <c r="E149" s="43" t="n">
        <v>46125</v>
      </c>
      <c r="F149" s="26" t="inlineStr">
        <is>
          <t>Sunil CR</t>
        </is>
      </c>
      <c r="G149" s="26" t="inlineStr">
        <is>
          <t>Yes</t>
        </is>
      </c>
      <c r="H149" s="26" t="inlineStr">
        <is>
          <t>No</t>
        </is>
      </c>
      <c r="I149" s="26" t="inlineStr">
        <is>
          <t>Good finish</t>
        </is>
      </c>
      <c r="J149" s="26" t="inlineStr">
        <is>
          <t>Yes</t>
        </is>
      </c>
      <c r="K149" s="27" t="n"/>
      <c r="L149" s="28" t="inlineStr">
        <is>
          <t>No</t>
        </is>
      </c>
      <c r="M149" s="29">
        <f>IF(E149="","",IF(H149="Yes","❌ Disc",IF(G149="No","⚠ Missing",IF(J149="Yes","✓ OK","⚠ Check"))))</f>
        <v/>
      </c>
      <c r="N149" s="43" t="n">
        <v>46193</v>
      </c>
      <c r="O149" s="26" t="inlineStr">
        <is>
          <t>Sunil CR</t>
        </is>
      </c>
      <c r="P149" s="26" t="inlineStr">
        <is>
          <t>Yes</t>
        </is>
      </c>
      <c r="Q149" s="26" t="inlineStr">
        <is>
          <t>No</t>
        </is>
      </c>
      <c r="R149" s="26" t="inlineStr">
        <is>
          <t>Good finish</t>
        </is>
      </c>
      <c r="S149" s="26" t="inlineStr">
        <is>
          <t>Yes</t>
        </is>
      </c>
      <c r="T149" s="27" t="n"/>
      <c r="U149" s="28" t="inlineStr">
        <is>
          <t>No</t>
        </is>
      </c>
      <c r="V149" s="29">
        <f>IF(N149="","",IF(Q149="Yes","❌ Disc",IF(P149="No","⚠ Missing",IF(S149="Yes","✓ OK","⚠ Check"))))</f>
        <v/>
      </c>
      <c r="W149" s="65" t="n">
        <v>46248</v>
      </c>
      <c r="X149" s="30" t="inlineStr">
        <is>
          <t>Sunil CR</t>
        </is>
      </c>
      <c r="Y149" s="30" t="inlineStr">
        <is>
          <t>Yes</t>
        </is>
      </c>
      <c r="Z149" s="30" t="n"/>
      <c r="AA149" s="30" t="inlineStr">
        <is>
          <t>Good finish</t>
        </is>
      </c>
      <c r="AB149" s="30" t="inlineStr">
        <is>
          <t>Yes</t>
        </is>
      </c>
      <c r="AC149" s="27" t="n"/>
      <c r="AD149" s="31" t="inlineStr">
        <is>
          <t>No</t>
        </is>
      </c>
      <c r="AE149" s="32">
        <f>IF(W149="","",IF(Z149="Yes","❌ Disc",IF(Y149="No","⚠ Missing",IF(AB149="Yes","✓ OK","⚠ Check"))))</f>
        <v/>
      </c>
      <c r="AF149" s="33" t="n"/>
      <c r="AG149" s="33" t="n"/>
      <c r="AH149" s="33" t="n"/>
      <c r="AI149" s="33" t="n"/>
      <c r="AJ149" s="33" t="n"/>
      <c r="AK149" s="33" t="n"/>
      <c r="AL149" s="27" t="n"/>
      <c r="AM149" s="34" t="n"/>
      <c r="AN149" s="35">
        <f>IF(AF149="","",IF(AI149="Yes","❌ Disc",IF(AH149="No","⚠ Missing",IF(AK149="Yes","✓ OK","⚠ Check"))))</f>
        <v/>
      </c>
      <c r="AO149" s="36" t="n"/>
      <c r="AP149" s="36" t="n"/>
      <c r="AQ149" s="36" t="n"/>
      <c r="AR149" s="36" t="n"/>
      <c r="AS149" s="36" t="n"/>
      <c r="AT149" s="36" t="n"/>
      <c r="AU149" s="27" t="n"/>
      <c r="AV149" s="37" t="n"/>
      <c r="AW149" s="38">
        <f>IF(AO149="","",IF(AR149="Yes","❌ Disc",IF(AQ149="No","⚠ Missing",IF(AT149="Yes","✓ OK","⚠ Check"))))</f>
        <v/>
      </c>
    </row>
    <row r="150" ht="18" customHeight="1" s="46">
      <c r="A150" s="39" t="n">
        <v>146</v>
      </c>
      <c r="B150" s="40" t="inlineStr">
        <is>
          <t>BD-VRM-2026-0327</t>
        </is>
      </c>
      <c r="C150" s="41" t="inlineStr">
        <is>
          <t>Excel  - Hot Spots  Wallpaper 78672-2</t>
        </is>
      </c>
      <c r="D150" s="39" t="inlineStr">
        <is>
          <t>Excel</t>
        </is>
      </c>
      <c r="E150" s="43" t="n">
        <v>46125</v>
      </c>
      <c r="F150" s="26" t="inlineStr">
        <is>
          <t>Sunil CR</t>
        </is>
      </c>
      <c r="G150" s="26" t="inlineStr">
        <is>
          <t>Yes</t>
        </is>
      </c>
      <c r="H150" s="26" t="inlineStr">
        <is>
          <t>No</t>
        </is>
      </c>
      <c r="I150" s="26" t="inlineStr">
        <is>
          <t>Good finish</t>
        </is>
      </c>
      <c r="J150" s="26" t="inlineStr">
        <is>
          <t>Yes</t>
        </is>
      </c>
      <c r="K150" s="27" t="n"/>
      <c r="L150" s="28" t="inlineStr">
        <is>
          <t>No</t>
        </is>
      </c>
      <c r="M150" s="29">
        <f>IF(E150="","",IF(H150="Yes","❌ Disc",IF(G150="No","⚠ Missing",IF(J150="Yes","✓ OK","⚠ Check"))))</f>
        <v/>
      </c>
      <c r="N150" s="43" t="n">
        <v>46193</v>
      </c>
      <c r="O150" s="26" t="inlineStr">
        <is>
          <t>Sunil CR</t>
        </is>
      </c>
      <c r="P150" s="26" t="inlineStr">
        <is>
          <t>Yes</t>
        </is>
      </c>
      <c r="Q150" s="26" t="inlineStr">
        <is>
          <t>No</t>
        </is>
      </c>
      <c r="R150" s="26" t="inlineStr">
        <is>
          <t>Good finish</t>
        </is>
      </c>
      <c r="S150" s="26" t="inlineStr">
        <is>
          <t>Yes</t>
        </is>
      </c>
      <c r="T150" s="27" t="n"/>
      <c r="U150" s="28" t="inlineStr">
        <is>
          <t>No</t>
        </is>
      </c>
      <c r="V150" s="29">
        <f>IF(N150="","",IF(Q150="Yes","❌ Disc",IF(P150="No","⚠ Missing",IF(S150="Yes","✓ OK","⚠ Check"))))</f>
        <v/>
      </c>
      <c r="W150" s="65" t="n">
        <v>46248</v>
      </c>
      <c r="X150" s="30" t="inlineStr">
        <is>
          <t>Sunil CR</t>
        </is>
      </c>
      <c r="Y150" s="30" t="inlineStr">
        <is>
          <t>Yes</t>
        </is>
      </c>
      <c r="Z150" s="30" t="n"/>
      <c r="AA150" s="30" t="inlineStr">
        <is>
          <t>Good finish</t>
        </is>
      </c>
      <c r="AB150" s="30" t="inlineStr">
        <is>
          <t>Yes</t>
        </is>
      </c>
      <c r="AC150" s="27" t="n"/>
      <c r="AD150" s="31" t="inlineStr">
        <is>
          <t>No</t>
        </is>
      </c>
      <c r="AE150" s="32">
        <f>IF(W150="","",IF(Z150="Yes","❌ Disc",IF(Y150="No","⚠ Missing",IF(AB150="Yes","✓ OK","⚠ Check"))))</f>
        <v/>
      </c>
      <c r="AF150" s="33" t="n"/>
      <c r="AG150" s="33" t="n"/>
      <c r="AH150" s="33" t="n"/>
      <c r="AI150" s="33" t="n"/>
      <c r="AJ150" s="33" t="n"/>
      <c r="AK150" s="33" t="n"/>
      <c r="AL150" s="27" t="n"/>
      <c r="AM150" s="34" t="n"/>
      <c r="AN150" s="35">
        <f>IF(AF150="","",IF(AI150="Yes","❌ Disc",IF(AH150="No","⚠ Missing",IF(AK150="Yes","✓ OK","⚠ Check"))))</f>
        <v/>
      </c>
      <c r="AO150" s="36" t="n"/>
      <c r="AP150" s="36" t="n"/>
      <c r="AQ150" s="36" t="n"/>
      <c r="AR150" s="36" t="n"/>
      <c r="AS150" s="36" t="n"/>
      <c r="AT150" s="36" t="n"/>
      <c r="AU150" s="27" t="n"/>
      <c r="AV150" s="37" t="n"/>
      <c r="AW150" s="38">
        <f>IF(AO150="","",IF(AR150="Yes","❌ Disc",IF(AQ150="No","⚠ Missing",IF(AT150="Yes","✓ OK","⚠ Check"))))</f>
        <v/>
      </c>
    </row>
    <row r="151" ht="18" customHeight="1" s="46">
      <c r="A151" s="23" t="n">
        <v>147</v>
      </c>
      <c r="B151" s="24" t="inlineStr">
        <is>
          <t>BD-VRM-2026-0328</t>
        </is>
      </c>
      <c r="C151" s="25" t="inlineStr">
        <is>
          <t>Excel  - Hot Spots  Wallpaper 78672-3</t>
        </is>
      </c>
      <c r="D151" s="23" t="inlineStr">
        <is>
          <t>Excel</t>
        </is>
      </c>
      <c r="E151" s="43" t="n">
        <v>46125</v>
      </c>
      <c r="F151" s="26" t="inlineStr">
        <is>
          <t>Sunil CR</t>
        </is>
      </c>
      <c r="G151" s="26" t="inlineStr">
        <is>
          <t>Yes</t>
        </is>
      </c>
      <c r="H151" s="26" t="inlineStr">
        <is>
          <t>No</t>
        </is>
      </c>
      <c r="I151" s="26" t="inlineStr">
        <is>
          <t>Good finish</t>
        </is>
      </c>
      <c r="J151" s="26" t="inlineStr">
        <is>
          <t>Yes</t>
        </is>
      </c>
      <c r="K151" s="27" t="n"/>
      <c r="L151" s="28" t="inlineStr">
        <is>
          <t>No</t>
        </is>
      </c>
      <c r="M151" s="29">
        <f>IF(E151="","",IF(H151="Yes","❌ Disc",IF(G151="No","⚠ Missing",IF(J151="Yes","✓ OK","⚠ Check"))))</f>
        <v/>
      </c>
      <c r="N151" s="43" t="n">
        <v>46193</v>
      </c>
      <c r="O151" s="26" t="inlineStr">
        <is>
          <t>Sunil CR</t>
        </is>
      </c>
      <c r="P151" s="26" t="inlineStr">
        <is>
          <t>Yes</t>
        </is>
      </c>
      <c r="Q151" s="26" t="inlineStr">
        <is>
          <t>No</t>
        </is>
      </c>
      <c r="R151" s="26" t="inlineStr">
        <is>
          <t>Good finish</t>
        </is>
      </c>
      <c r="S151" s="26" t="inlineStr">
        <is>
          <t>Yes</t>
        </is>
      </c>
      <c r="T151" s="27" t="n"/>
      <c r="U151" s="28" t="inlineStr">
        <is>
          <t>No</t>
        </is>
      </c>
      <c r="V151" s="29">
        <f>IF(N151="","",IF(Q151="Yes","❌ Disc",IF(P151="No","⚠ Missing",IF(S151="Yes","✓ OK","⚠ Check"))))</f>
        <v/>
      </c>
      <c r="W151" s="65" t="n">
        <v>46248</v>
      </c>
      <c r="X151" s="30" t="inlineStr">
        <is>
          <t>Sunil CR</t>
        </is>
      </c>
      <c r="Y151" s="30" t="inlineStr">
        <is>
          <t>Yes</t>
        </is>
      </c>
      <c r="Z151" s="30" t="n"/>
      <c r="AA151" s="30" t="inlineStr">
        <is>
          <t>Good finish</t>
        </is>
      </c>
      <c r="AB151" s="30" t="inlineStr">
        <is>
          <t>Yes</t>
        </is>
      </c>
      <c r="AC151" s="27" t="n"/>
      <c r="AD151" s="31" t="inlineStr">
        <is>
          <t>No</t>
        </is>
      </c>
      <c r="AE151" s="32">
        <f>IF(W151="","",IF(Z151="Yes","❌ Disc",IF(Y151="No","⚠ Missing",IF(AB151="Yes","✓ OK","⚠ Check"))))</f>
        <v/>
      </c>
      <c r="AF151" s="33" t="n"/>
      <c r="AG151" s="33" t="n"/>
      <c r="AH151" s="33" t="n"/>
      <c r="AI151" s="33" t="n"/>
      <c r="AJ151" s="33" t="n"/>
      <c r="AK151" s="33" t="n"/>
      <c r="AL151" s="27" t="n"/>
      <c r="AM151" s="34" t="n"/>
      <c r="AN151" s="35">
        <f>IF(AF151="","",IF(AI151="Yes","❌ Disc",IF(AH151="No","⚠ Missing",IF(AK151="Yes","✓ OK","⚠ Check"))))</f>
        <v/>
      </c>
      <c r="AO151" s="36" t="n"/>
      <c r="AP151" s="36" t="n"/>
      <c r="AQ151" s="36" t="n"/>
      <c r="AR151" s="36" t="n"/>
      <c r="AS151" s="36" t="n"/>
      <c r="AT151" s="36" t="n"/>
      <c r="AU151" s="27" t="n"/>
      <c r="AV151" s="37" t="n"/>
      <c r="AW151" s="38">
        <f>IF(AO151="","",IF(AR151="Yes","❌ Disc",IF(AQ151="No","⚠ Missing",IF(AT151="Yes","✓ OK","⚠ Check"))))</f>
        <v/>
      </c>
    </row>
    <row r="152" ht="18" customHeight="1" s="46">
      <c r="A152" s="39" t="n">
        <v>148</v>
      </c>
      <c r="B152" s="40" t="inlineStr">
        <is>
          <t>BD-VRM-2026-0329</t>
        </is>
      </c>
      <c r="C152" s="41" t="inlineStr">
        <is>
          <t>Excel  - Hot Spots  Wallpaper 78672-4</t>
        </is>
      </c>
      <c r="D152" s="39" t="inlineStr">
        <is>
          <t>Excel</t>
        </is>
      </c>
      <c r="E152" s="43" t="n">
        <v>46125</v>
      </c>
      <c r="F152" s="26" t="inlineStr">
        <is>
          <t>Sunil CR</t>
        </is>
      </c>
      <c r="G152" s="26" t="inlineStr">
        <is>
          <t>Yes</t>
        </is>
      </c>
      <c r="H152" s="26" t="inlineStr">
        <is>
          <t>No</t>
        </is>
      </c>
      <c r="I152" s="26" t="inlineStr">
        <is>
          <t>Good finish</t>
        </is>
      </c>
      <c r="J152" s="26" t="inlineStr">
        <is>
          <t>Yes</t>
        </is>
      </c>
      <c r="K152" s="27" t="n"/>
      <c r="L152" s="28" t="inlineStr">
        <is>
          <t>No</t>
        </is>
      </c>
      <c r="M152" s="29">
        <f>IF(E152="","",IF(H152="Yes","❌ Disc",IF(G152="No","⚠ Missing",IF(J152="Yes","✓ OK","⚠ Check"))))</f>
        <v/>
      </c>
      <c r="N152" s="43" t="n">
        <v>46193</v>
      </c>
      <c r="O152" s="26" t="inlineStr">
        <is>
          <t>Sunil CR</t>
        </is>
      </c>
      <c r="P152" s="26" t="inlineStr">
        <is>
          <t>Yes</t>
        </is>
      </c>
      <c r="Q152" s="26" t="inlineStr">
        <is>
          <t>No</t>
        </is>
      </c>
      <c r="R152" s="26" t="inlineStr">
        <is>
          <t>Good finish</t>
        </is>
      </c>
      <c r="S152" s="26" t="inlineStr">
        <is>
          <t>Yes</t>
        </is>
      </c>
      <c r="T152" s="27" t="n"/>
      <c r="U152" s="28" t="inlineStr">
        <is>
          <t>No</t>
        </is>
      </c>
      <c r="V152" s="29">
        <f>IF(N152="","",IF(Q152="Yes","❌ Disc",IF(P152="No","⚠ Missing",IF(S152="Yes","✓ OK","⚠ Check"))))</f>
        <v/>
      </c>
      <c r="W152" s="65" t="n">
        <v>46248</v>
      </c>
      <c r="X152" s="30" t="inlineStr">
        <is>
          <t>Sunil CR</t>
        </is>
      </c>
      <c r="Y152" s="30" t="inlineStr">
        <is>
          <t>Yes</t>
        </is>
      </c>
      <c r="Z152" s="30" t="n"/>
      <c r="AA152" s="30" t="inlineStr">
        <is>
          <t>Good finish</t>
        </is>
      </c>
      <c r="AB152" s="30" t="inlineStr">
        <is>
          <t>Yes</t>
        </is>
      </c>
      <c r="AC152" s="27" t="n"/>
      <c r="AD152" s="31" t="inlineStr">
        <is>
          <t>No</t>
        </is>
      </c>
      <c r="AE152" s="32">
        <f>IF(W152="","",IF(Z152="Yes","❌ Disc",IF(Y152="No","⚠ Missing",IF(AB152="Yes","✓ OK","⚠ Check"))))</f>
        <v/>
      </c>
      <c r="AF152" s="33" t="n"/>
      <c r="AG152" s="33" t="n"/>
      <c r="AH152" s="33" t="n"/>
      <c r="AI152" s="33" t="n"/>
      <c r="AJ152" s="33" t="n"/>
      <c r="AK152" s="33" t="n"/>
      <c r="AL152" s="27" t="n"/>
      <c r="AM152" s="34" t="n"/>
      <c r="AN152" s="35">
        <f>IF(AF152="","",IF(AI152="Yes","❌ Disc",IF(AH152="No","⚠ Missing",IF(AK152="Yes","✓ OK","⚠ Check"))))</f>
        <v/>
      </c>
      <c r="AO152" s="36" t="n"/>
      <c r="AP152" s="36" t="n"/>
      <c r="AQ152" s="36" t="n"/>
      <c r="AR152" s="36" t="n"/>
      <c r="AS152" s="36" t="n"/>
      <c r="AT152" s="36" t="n"/>
      <c r="AU152" s="27" t="n"/>
      <c r="AV152" s="37" t="n"/>
      <c r="AW152" s="38">
        <f>IF(AO152="","",IF(AR152="Yes","❌ Disc",IF(AQ152="No","⚠ Missing",IF(AT152="Yes","✓ OK","⚠ Check"))))</f>
        <v/>
      </c>
    </row>
    <row r="153" ht="18" customHeight="1" s="46">
      <c r="A153" s="23" t="n">
        <v>149</v>
      </c>
      <c r="B153" s="24" t="inlineStr">
        <is>
          <t>BD-VRM-2026-0330</t>
        </is>
      </c>
      <c r="C153" s="25" t="inlineStr">
        <is>
          <t>Excel  - Hot Spots  Wallpaper 78672-5</t>
        </is>
      </c>
      <c r="D153" s="23" t="inlineStr">
        <is>
          <t>Excel</t>
        </is>
      </c>
      <c r="E153" s="43" t="n">
        <v>46125</v>
      </c>
      <c r="F153" s="26" t="inlineStr">
        <is>
          <t>Sunil CR</t>
        </is>
      </c>
      <c r="G153" s="26" t="inlineStr">
        <is>
          <t>Yes</t>
        </is>
      </c>
      <c r="H153" s="26" t="inlineStr">
        <is>
          <t>No</t>
        </is>
      </c>
      <c r="I153" s="26" t="inlineStr">
        <is>
          <t>Good finish</t>
        </is>
      </c>
      <c r="J153" s="26" t="inlineStr">
        <is>
          <t>Yes</t>
        </is>
      </c>
      <c r="K153" s="27" t="n"/>
      <c r="L153" s="28" t="inlineStr">
        <is>
          <t>No</t>
        </is>
      </c>
      <c r="M153" s="29">
        <f>IF(E153="","",IF(H153="Yes","❌ Disc",IF(G153="No","⚠ Missing",IF(J153="Yes","✓ OK","⚠ Check"))))</f>
        <v/>
      </c>
      <c r="N153" s="43" t="n">
        <v>46193</v>
      </c>
      <c r="O153" s="26" t="inlineStr">
        <is>
          <t>Sunil CR</t>
        </is>
      </c>
      <c r="P153" s="26" t="inlineStr">
        <is>
          <t>Yes</t>
        </is>
      </c>
      <c r="Q153" s="26" t="inlineStr">
        <is>
          <t>No</t>
        </is>
      </c>
      <c r="R153" s="26" t="inlineStr">
        <is>
          <t>Good finish</t>
        </is>
      </c>
      <c r="S153" s="26" t="inlineStr">
        <is>
          <t>Yes</t>
        </is>
      </c>
      <c r="T153" s="27" t="n"/>
      <c r="U153" s="28" t="inlineStr">
        <is>
          <t>No</t>
        </is>
      </c>
      <c r="V153" s="29">
        <f>IF(N153="","",IF(Q153="Yes","❌ Disc",IF(P153="No","⚠ Missing",IF(S153="Yes","✓ OK","⚠ Check"))))</f>
        <v/>
      </c>
      <c r="W153" s="65" t="n">
        <v>46248</v>
      </c>
      <c r="X153" s="30" t="inlineStr">
        <is>
          <t>Sunil CR</t>
        </is>
      </c>
      <c r="Y153" s="30" t="inlineStr">
        <is>
          <t>Yes</t>
        </is>
      </c>
      <c r="Z153" s="30" t="n"/>
      <c r="AA153" s="30" t="inlineStr">
        <is>
          <t>Good finish</t>
        </is>
      </c>
      <c r="AB153" s="30" t="inlineStr">
        <is>
          <t>Yes</t>
        </is>
      </c>
      <c r="AC153" s="27" t="n"/>
      <c r="AD153" s="31" t="inlineStr">
        <is>
          <t>No</t>
        </is>
      </c>
      <c r="AE153" s="32">
        <f>IF(W153="","",IF(Z153="Yes","❌ Disc",IF(Y153="No","⚠ Missing",IF(AB153="Yes","✓ OK","⚠ Check"))))</f>
        <v/>
      </c>
      <c r="AF153" s="33" t="n"/>
      <c r="AG153" s="33" t="n"/>
      <c r="AH153" s="33" t="n"/>
      <c r="AI153" s="33" t="n"/>
      <c r="AJ153" s="33" t="n"/>
      <c r="AK153" s="33" t="n"/>
      <c r="AL153" s="27" t="n"/>
      <c r="AM153" s="34" t="n"/>
      <c r="AN153" s="35">
        <f>IF(AF153="","",IF(AI153="Yes","❌ Disc",IF(AH153="No","⚠ Missing",IF(AK153="Yes","✓ OK","⚠ Check"))))</f>
        <v/>
      </c>
      <c r="AO153" s="36" t="n"/>
      <c r="AP153" s="36" t="n"/>
      <c r="AQ153" s="36" t="n"/>
      <c r="AR153" s="36" t="n"/>
      <c r="AS153" s="36" t="n"/>
      <c r="AT153" s="36" t="n"/>
      <c r="AU153" s="27" t="n"/>
      <c r="AV153" s="37" t="n"/>
      <c r="AW153" s="38">
        <f>IF(AO153="","",IF(AR153="Yes","❌ Disc",IF(AQ153="No","⚠ Missing",IF(AT153="Yes","✓ OK","⚠ Check"))))</f>
        <v/>
      </c>
    </row>
    <row r="154" ht="18" customHeight="1" s="46">
      <c r="A154" s="39" t="n">
        <v>150</v>
      </c>
      <c r="B154" s="40" t="inlineStr">
        <is>
          <t>BD-VRM-2026-0331</t>
        </is>
      </c>
      <c r="C154" s="41" t="inlineStr">
        <is>
          <t>Excel  - Hot Spots  Wallpaper 78673-1</t>
        </is>
      </c>
      <c r="D154" s="39" t="inlineStr">
        <is>
          <t>Excel</t>
        </is>
      </c>
      <c r="E154" s="43" t="n">
        <v>46125</v>
      </c>
      <c r="F154" s="26" t="inlineStr">
        <is>
          <t>Sunil CR</t>
        </is>
      </c>
      <c r="G154" s="26" t="inlineStr">
        <is>
          <t>Yes</t>
        </is>
      </c>
      <c r="H154" s="26" t="inlineStr">
        <is>
          <t>No</t>
        </is>
      </c>
      <c r="I154" s="26" t="inlineStr">
        <is>
          <t>Good finish</t>
        </is>
      </c>
      <c r="J154" s="26" t="inlineStr">
        <is>
          <t>Yes</t>
        </is>
      </c>
      <c r="K154" s="27" t="n"/>
      <c r="L154" s="28" t="inlineStr">
        <is>
          <t>No</t>
        </is>
      </c>
      <c r="M154" s="29">
        <f>IF(E154="","",IF(H154="Yes","❌ Disc",IF(G154="No","⚠ Missing",IF(J154="Yes","✓ OK","⚠ Check"))))</f>
        <v/>
      </c>
      <c r="N154" s="43" t="n">
        <v>46193</v>
      </c>
      <c r="O154" s="26" t="inlineStr">
        <is>
          <t>Sunil CR</t>
        </is>
      </c>
      <c r="P154" s="26" t="inlineStr">
        <is>
          <t>Yes</t>
        </is>
      </c>
      <c r="Q154" s="26" t="inlineStr">
        <is>
          <t>No</t>
        </is>
      </c>
      <c r="R154" s="26" t="inlineStr">
        <is>
          <t>Good finish</t>
        </is>
      </c>
      <c r="S154" s="26" t="inlineStr">
        <is>
          <t>Yes</t>
        </is>
      </c>
      <c r="T154" s="27" t="n"/>
      <c r="U154" s="28" t="inlineStr">
        <is>
          <t>No</t>
        </is>
      </c>
      <c r="V154" s="29">
        <f>IF(N154="","",IF(Q154="Yes","❌ Disc",IF(P154="No","⚠ Missing",IF(S154="Yes","✓ OK","⚠ Check"))))</f>
        <v/>
      </c>
      <c r="W154" s="65" t="n">
        <v>46248</v>
      </c>
      <c r="X154" s="30" t="inlineStr">
        <is>
          <t>Sunil CR</t>
        </is>
      </c>
      <c r="Y154" s="30" t="inlineStr">
        <is>
          <t>Yes</t>
        </is>
      </c>
      <c r="Z154" s="30" t="n"/>
      <c r="AA154" s="30" t="inlineStr">
        <is>
          <t>Good finish</t>
        </is>
      </c>
      <c r="AB154" s="30" t="inlineStr">
        <is>
          <t>Yes</t>
        </is>
      </c>
      <c r="AC154" s="27" t="n"/>
      <c r="AD154" s="31" t="inlineStr">
        <is>
          <t>No</t>
        </is>
      </c>
      <c r="AE154" s="32">
        <f>IF(W154="","",IF(Z154="Yes","❌ Disc",IF(Y154="No","⚠ Missing",IF(AB154="Yes","✓ OK","⚠ Check"))))</f>
        <v/>
      </c>
      <c r="AF154" s="33" t="n"/>
      <c r="AG154" s="33" t="n"/>
      <c r="AH154" s="33" t="n"/>
      <c r="AI154" s="33" t="n"/>
      <c r="AJ154" s="33" t="n"/>
      <c r="AK154" s="33" t="n"/>
      <c r="AL154" s="27" t="n"/>
      <c r="AM154" s="34" t="n"/>
      <c r="AN154" s="35">
        <f>IF(AF154="","",IF(AI154="Yes","❌ Disc",IF(AH154="No","⚠ Missing",IF(AK154="Yes","✓ OK","⚠ Check"))))</f>
        <v/>
      </c>
      <c r="AO154" s="36" t="n"/>
      <c r="AP154" s="36" t="n"/>
      <c r="AQ154" s="36" t="n"/>
      <c r="AR154" s="36" t="n"/>
      <c r="AS154" s="36" t="n"/>
      <c r="AT154" s="36" t="n"/>
      <c r="AU154" s="27" t="n"/>
      <c r="AV154" s="37" t="n"/>
      <c r="AW154" s="38">
        <f>IF(AO154="","",IF(AR154="Yes","❌ Disc",IF(AQ154="No","⚠ Missing",IF(AT154="Yes","✓ OK","⚠ Check"))))</f>
        <v/>
      </c>
    </row>
    <row r="155" ht="18" customHeight="1" s="46">
      <c r="A155" s="23" t="n">
        <v>151</v>
      </c>
      <c r="B155" s="24" t="inlineStr">
        <is>
          <t>BD-VRM-2026-0332</t>
        </is>
      </c>
      <c r="C155" s="25" t="inlineStr">
        <is>
          <t>Excel  - Hot Spots  Wallpaper 78673-2</t>
        </is>
      </c>
      <c r="D155" s="23" t="inlineStr">
        <is>
          <t>Excel</t>
        </is>
      </c>
      <c r="E155" s="43" t="n">
        <v>46125</v>
      </c>
      <c r="F155" s="26" t="inlineStr">
        <is>
          <t>Sunil CR</t>
        </is>
      </c>
      <c r="G155" s="26" t="inlineStr">
        <is>
          <t>Yes</t>
        </is>
      </c>
      <c r="H155" s="26" t="inlineStr">
        <is>
          <t>No</t>
        </is>
      </c>
      <c r="I155" s="26" t="inlineStr">
        <is>
          <t>Good finish</t>
        </is>
      </c>
      <c r="J155" s="26" t="inlineStr">
        <is>
          <t>Yes</t>
        </is>
      </c>
      <c r="K155" s="27" t="n"/>
      <c r="L155" s="28" t="inlineStr">
        <is>
          <t>No</t>
        </is>
      </c>
      <c r="M155" s="29">
        <f>IF(E155="","",IF(H155="Yes","❌ Disc",IF(G155="No","⚠ Missing",IF(J155="Yes","✓ OK","⚠ Check"))))</f>
        <v/>
      </c>
      <c r="N155" s="43" t="n">
        <v>46193</v>
      </c>
      <c r="O155" s="26" t="inlineStr">
        <is>
          <t>Sunil CR</t>
        </is>
      </c>
      <c r="P155" s="26" t="inlineStr">
        <is>
          <t>Yes</t>
        </is>
      </c>
      <c r="Q155" s="26" t="inlineStr">
        <is>
          <t>No</t>
        </is>
      </c>
      <c r="R155" s="26" t="inlineStr">
        <is>
          <t>Good finish</t>
        </is>
      </c>
      <c r="S155" s="26" t="inlineStr">
        <is>
          <t>Yes</t>
        </is>
      </c>
      <c r="T155" s="27" t="n"/>
      <c r="U155" s="28" t="inlineStr">
        <is>
          <t>No</t>
        </is>
      </c>
      <c r="V155" s="29">
        <f>IF(N155="","",IF(Q155="Yes","❌ Disc",IF(P155="No","⚠ Missing",IF(S155="Yes","✓ OK","⚠ Check"))))</f>
        <v/>
      </c>
      <c r="W155" s="65" t="n">
        <v>46248</v>
      </c>
      <c r="X155" s="30" t="inlineStr">
        <is>
          <t>Sunil CR</t>
        </is>
      </c>
      <c r="Y155" s="30" t="inlineStr">
        <is>
          <t>Yes</t>
        </is>
      </c>
      <c r="Z155" s="30" t="n"/>
      <c r="AA155" s="30" t="inlineStr">
        <is>
          <t>Good finish</t>
        </is>
      </c>
      <c r="AB155" s="30" t="inlineStr">
        <is>
          <t>Yes</t>
        </is>
      </c>
      <c r="AC155" s="27" t="n"/>
      <c r="AD155" s="31" t="inlineStr">
        <is>
          <t>No</t>
        </is>
      </c>
      <c r="AE155" s="32">
        <f>IF(W155="","",IF(Z155="Yes","❌ Disc",IF(Y155="No","⚠ Missing",IF(AB155="Yes","✓ OK","⚠ Check"))))</f>
        <v/>
      </c>
      <c r="AF155" s="33" t="n"/>
      <c r="AG155" s="33" t="n"/>
      <c r="AH155" s="33" t="n"/>
      <c r="AI155" s="33" t="n"/>
      <c r="AJ155" s="33" t="n"/>
      <c r="AK155" s="33" t="n"/>
      <c r="AL155" s="27" t="n"/>
      <c r="AM155" s="34" t="n"/>
      <c r="AN155" s="35">
        <f>IF(AF155="","",IF(AI155="Yes","❌ Disc",IF(AH155="No","⚠ Missing",IF(AK155="Yes","✓ OK","⚠ Check"))))</f>
        <v/>
      </c>
      <c r="AO155" s="36" t="n"/>
      <c r="AP155" s="36" t="n"/>
      <c r="AQ155" s="36" t="n"/>
      <c r="AR155" s="36" t="n"/>
      <c r="AS155" s="36" t="n"/>
      <c r="AT155" s="36" t="n"/>
      <c r="AU155" s="27" t="n"/>
      <c r="AV155" s="37" t="n"/>
      <c r="AW155" s="38">
        <f>IF(AO155="","",IF(AR155="Yes","❌ Disc",IF(AQ155="No","⚠ Missing",IF(AT155="Yes","✓ OK","⚠ Check"))))</f>
        <v/>
      </c>
    </row>
    <row r="156" ht="18" customHeight="1" s="46">
      <c r="A156" s="39" t="n">
        <v>152</v>
      </c>
      <c r="B156" s="40" t="inlineStr">
        <is>
          <t>BD-VRM-2026-0333</t>
        </is>
      </c>
      <c r="C156" s="41" t="inlineStr">
        <is>
          <t>Excel  - Hot Spots  Wallpaper 78673-3</t>
        </is>
      </c>
      <c r="D156" s="39" t="inlineStr">
        <is>
          <t>Excel</t>
        </is>
      </c>
      <c r="E156" s="43" t="n">
        <v>46125</v>
      </c>
      <c r="F156" s="26" t="inlineStr">
        <is>
          <t>Sunil CR</t>
        </is>
      </c>
      <c r="G156" s="26" t="inlineStr">
        <is>
          <t>Yes</t>
        </is>
      </c>
      <c r="H156" s="26" t="inlineStr">
        <is>
          <t>No</t>
        </is>
      </c>
      <c r="I156" s="26" t="inlineStr">
        <is>
          <t>Good finish</t>
        </is>
      </c>
      <c r="J156" s="26" t="inlineStr">
        <is>
          <t>Yes</t>
        </is>
      </c>
      <c r="K156" s="27" t="n"/>
      <c r="L156" s="28" t="inlineStr">
        <is>
          <t>No</t>
        </is>
      </c>
      <c r="M156" s="29">
        <f>IF(E156="","",IF(H156="Yes","❌ Disc",IF(G156="No","⚠ Missing",IF(J156="Yes","✓ OK","⚠ Check"))))</f>
        <v/>
      </c>
      <c r="N156" s="43" t="n">
        <v>46193</v>
      </c>
      <c r="O156" s="26" t="inlineStr">
        <is>
          <t>Sunil CR</t>
        </is>
      </c>
      <c r="P156" s="26" t="inlineStr">
        <is>
          <t>Yes</t>
        </is>
      </c>
      <c r="Q156" s="26" t="inlineStr">
        <is>
          <t>No</t>
        </is>
      </c>
      <c r="R156" s="26" t="inlineStr">
        <is>
          <t>Good finish</t>
        </is>
      </c>
      <c r="S156" s="26" t="inlineStr">
        <is>
          <t>Yes</t>
        </is>
      </c>
      <c r="T156" s="27" t="n"/>
      <c r="U156" s="28" t="inlineStr">
        <is>
          <t>No</t>
        </is>
      </c>
      <c r="V156" s="29">
        <f>IF(N156="","",IF(Q156="Yes","❌ Disc",IF(P156="No","⚠ Missing",IF(S156="Yes","✓ OK","⚠ Check"))))</f>
        <v/>
      </c>
      <c r="W156" s="65" t="n">
        <v>46248</v>
      </c>
      <c r="X156" s="30" t="inlineStr">
        <is>
          <t>Sunil CR</t>
        </is>
      </c>
      <c r="Y156" s="30" t="inlineStr">
        <is>
          <t>Yes</t>
        </is>
      </c>
      <c r="Z156" s="30" t="n"/>
      <c r="AA156" s="30" t="inlineStr">
        <is>
          <t>Good finish</t>
        </is>
      </c>
      <c r="AB156" s="30" t="inlineStr">
        <is>
          <t>Yes</t>
        </is>
      </c>
      <c r="AC156" s="27" t="n"/>
      <c r="AD156" s="31" t="inlineStr">
        <is>
          <t>No</t>
        </is>
      </c>
      <c r="AE156" s="32">
        <f>IF(W156="","",IF(Z156="Yes","❌ Disc",IF(Y156="No","⚠ Missing",IF(AB156="Yes","✓ OK","⚠ Check"))))</f>
        <v/>
      </c>
      <c r="AF156" s="33" t="n"/>
      <c r="AG156" s="33" t="n"/>
      <c r="AH156" s="33" t="n"/>
      <c r="AI156" s="33" t="n"/>
      <c r="AJ156" s="33" t="n"/>
      <c r="AK156" s="33" t="n"/>
      <c r="AL156" s="27" t="n"/>
      <c r="AM156" s="34" t="n"/>
      <c r="AN156" s="35">
        <f>IF(AF156="","",IF(AI156="Yes","❌ Disc",IF(AH156="No","⚠ Missing",IF(AK156="Yes","✓ OK","⚠ Check"))))</f>
        <v/>
      </c>
      <c r="AO156" s="36" t="n"/>
      <c r="AP156" s="36" t="n"/>
      <c r="AQ156" s="36" t="n"/>
      <c r="AR156" s="36" t="n"/>
      <c r="AS156" s="36" t="n"/>
      <c r="AT156" s="36" t="n"/>
      <c r="AU156" s="27" t="n"/>
      <c r="AV156" s="37" t="n"/>
      <c r="AW156" s="38">
        <f>IF(AO156="","",IF(AR156="Yes","❌ Disc",IF(AQ156="No","⚠ Missing",IF(AT156="Yes","✓ OK","⚠ Check"))))</f>
        <v/>
      </c>
    </row>
    <row r="157" ht="18" customHeight="1" s="46">
      <c r="A157" s="23" t="n">
        <v>153</v>
      </c>
      <c r="B157" s="24" t="inlineStr">
        <is>
          <t>BD-VRM-2026-0334</t>
        </is>
      </c>
      <c r="C157" s="25" t="inlineStr">
        <is>
          <t>Excel  - Hot Spots  Wallpaper 78673-4</t>
        </is>
      </c>
      <c r="D157" s="23" t="inlineStr">
        <is>
          <t>Excel</t>
        </is>
      </c>
      <c r="E157" s="43" t="n">
        <v>46125</v>
      </c>
      <c r="F157" s="26" t="inlineStr">
        <is>
          <t>Sunil CR</t>
        </is>
      </c>
      <c r="G157" s="26" t="inlineStr">
        <is>
          <t>Yes</t>
        </is>
      </c>
      <c r="H157" s="26" t="inlineStr">
        <is>
          <t>No</t>
        </is>
      </c>
      <c r="I157" s="26" t="inlineStr">
        <is>
          <t>Good finish</t>
        </is>
      </c>
      <c r="J157" s="26" t="inlineStr">
        <is>
          <t>Yes</t>
        </is>
      </c>
      <c r="K157" s="27" t="n"/>
      <c r="L157" s="28" t="inlineStr">
        <is>
          <t>No</t>
        </is>
      </c>
      <c r="M157" s="29">
        <f>IF(E157="","",IF(H157="Yes","❌ Disc",IF(G157="No","⚠ Missing",IF(J157="Yes","✓ OK","⚠ Check"))))</f>
        <v/>
      </c>
      <c r="N157" s="43" t="n">
        <v>46193</v>
      </c>
      <c r="O157" s="26" t="inlineStr">
        <is>
          <t>Sunil CR</t>
        </is>
      </c>
      <c r="P157" s="26" t="inlineStr">
        <is>
          <t>Yes</t>
        </is>
      </c>
      <c r="Q157" s="26" t="inlineStr">
        <is>
          <t>No</t>
        </is>
      </c>
      <c r="R157" s="26" t="inlineStr">
        <is>
          <t>Good finish</t>
        </is>
      </c>
      <c r="S157" s="26" t="inlineStr">
        <is>
          <t>Yes</t>
        </is>
      </c>
      <c r="T157" s="27" t="n"/>
      <c r="U157" s="28" t="inlineStr">
        <is>
          <t>No</t>
        </is>
      </c>
      <c r="V157" s="29">
        <f>IF(N157="","",IF(Q157="Yes","❌ Disc",IF(P157="No","⚠ Missing",IF(S157="Yes","✓ OK","⚠ Check"))))</f>
        <v/>
      </c>
      <c r="W157" s="65" t="n">
        <v>46248</v>
      </c>
      <c r="X157" s="30" t="inlineStr">
        <is>
          <t>Sunil CR</t>
        </is>
      </c>
      <c r="Y157" s="30" t="inlineStr">
        <is>
          <t>Yes</t>
        </is>
      </c>
      <c r="Z157" s="30" t="n"/>
      <c r="AA157" s="30" t="inlineStr">
        <is>
          <t>Good finish</t>
        </is>
      </c>
      <c r="AB157" s="30" t="inlineStr">
        <is>
          <t>Yes</t>
        </is>
      </c>
      <c r="AC157" s="27" t="n"/>
      <c r="AD157" s="31" t="inlineStr">
        <is>
          <t>No</t>
        </is>
      </c>
      <c r="AE157" s="32">
        <f>IF(W157="","",IF(Z157="Yes","❌ Disc",IF(Y157="No","⚠ Missing",IF(AB157="Yes","✓ OK","⚠ Check"))))</f>
        <v/>
      </c>
      <c r="AF157" s="33" t="n"/>
      <c r="AG157" s="33" t="n"/>
      <c r="AH157" s="33" t="n"/>
      <c r="AI157" s="33" t="n"/>
      <c r="AJ157" s="33" t="n"/>
      <c r="AK157" s="33" t="n"/>
      <c r="AL157" s="27" t="n"/>
      <c r="AM157" s="34" t="n"/>
      <c r="AN157" s="35">
        <f>IF(AF157="","",IF(AI157="Yes","❌ Disc",IF(AH157="No","⚠ Missing",IF(AK157="Yes","✓ OK","⚠ Check"))))</f>
        <v/>
      </c>
      <c r="AO157" s="36" t="n"/>
      <c r="AP157" s="36" t="n"/>
      <c r="AQ157" s="36" t="n"/>
      <c r="AR157" s="36" t="n"/>
      <c r="AS157" s="36" t="n"/>
      <c r="AT157" s="36" t="n"/>
      <c r="AU157" s="27" t="n"/>
      <c r="AV157" s="37" t="n"/>
      <c r="AW157" s="38">
        <f>IF(AO157="","",IF(AR157="Yes","❌ Disc",IF(AQ157="No","⚠ Missing",IF(AT157="Yes","✓ OK","⚠ Check"))))</f>
        <v/>
      </c>
    </row>
    <row r="158" ht="18" customHeight="1" s="46">
      <c r="A158" s="39" t="n">
        <v>154</v>
      </c>
      <c r="B158" s="40" t="inlineStr">
        <is>
          <t>BD-VRM-2026-0335</t>
        </is>
      </c>
      <c r="C158" s="41" t="inlineStr">
        <is>
          <t>Excel  - Hot Spots  Wallpaper 78673-5</t>
        </is>
      </c>
      <c r="D158" s="39" t="inlineStr">
        <is>
          <t>Excel</t>
        </is>
      </c>
      <c r="E158" s="43" t="n">
        <v>46125</v>
      </c>
      <c r="F158" s="26" t="inlineStr">
        <is>
          <t>Sunil CR</t>
        </is>
      </c>
      <c r="G158" s="26" t="inlineStr">
        <is>
          <t>Yes</t>
        </is>
      </c>
      <c r="H158" s="26" t="inlineStr">
        <is>
          <t>No</t>
        </is>
      </c>
      <c r="I158" s="26" t="inlineStr">
        <is>
          <t>Good finish</t>
        </is>
      </c>
      <c r="J158" s="26" t="inlineStr">
        <is>
          <t>Yes</t>
        </is>
      </c>
      <c r="K158" s="27" t="n"/>
      <c r="L158" s="28" t="inlineStr">
        <is>
          <t>No</t>
        </is>
      </c>
      <c r="M158" s="29">
        <f>IF(E158="","",IF(H158="Yes","❌ Disc",IF(G158="No","⚠ Missing",IF(J158="Yes","✓ OK","⚠ Check"))))</f>
        <v/>
      </c>
      <c r="N158" s="43" t="n">
        <v>46193</v>
      </c>
      <c r="O158" s="26" t="inlineStr">
        <is>
          <t>Sunil CR</t>
        </is>
      </c>
      <c r="P158" s="26" t="inlineStr">
        <is>
          <t>Yes</t>
        </is>
      </c>
      <c r="Q158" s="26" t="inlineStr">
        <is>
          <t>No</t>
        </is>
      </c>
      <c r="R158" s="26" t="inlineStr">
        <is>
          <t>Good finish</t>
        </is>
      </c>
      <c r="S158" s="26" t="inlineStr">
        <is>
          <t>Yes</t>
        </is>
      </c>
      <c r="T158" s="27" t="n"/>
      <c r="U158" s="28" t="inlineStr">
        <is>
          <t>No</t>
        </is>
      </c>
      <c r="V158" s="29">
        <f>IF(N158="","",IF(Q158="Yes","❌ Disc",IF(P158="No","⚠ Missing",IF(S158="Yes","✓ OK","⚠ Check"))))</f>
        <v/>
      </c>
      <c r="W158" s="65" t="n">
        <v>46248</v>
      </c>
      <c r="X158" s="30" t="inlineStr">
        <is>
          <t>Sunil CR</t>
        </is>
      </c>
      <c r="Y158" s="30" t="inlineStr">
        <is>
          <t>Yes</t>
        </is>
      </c>
      <c r="Z158" s="30" t="n"/>
      <c r="AA158" s="30" t="inlineStr">
        <is>
          <t>Good finish</t>
        </is>
      </c>
      <c r="AB158" s="30" t="inlineStr">
        <is>
          <t>Yes</t>
        </is>
      </c>
      <c r="AC158" s="27" t="n"/>
      <c r="AD158" s="31" t="inlineStr">
        <is>
          <t>No</t>
        </is>
      </c>
      <c r="AE158" s="32">
        <f>IF(W158="","",IF(Z158="Yes","❌ Disc",IF(Y158="No","⚠ Missing",IF(AB158="Yes","✓ OK","⚠ Check"))))</f>
        <v/>
      </c>
      <c r="AF158" s="33" t="n"/>
      <c r="AG158" s="33" t="n"/>
      <c r="AH158" s="33" t="n"/>
      <c r="AI158" s="33" t="n"/>
      <c r="AJ158" s="33" t="n"/>
      <c r="AK158" s="33" t="n"/>
      <c r="AL158" s="27" t="n"/>
      <c r="AM158" s="34" t="n"/>
      <c r="AN158" s="35">
        <f>IF(AF158="","",IF(AI158="Yes","❌ Disc",IF(AH158="No","⚠ Missing",IF(AK158="Yes","✓ OK","⚠ Check"))))</f>
        <v/>
      </c>
      <c r="AO158" s="36" t="n"/>
      <c r="AP158" s="36" t="n"/>
      <c r="AQ158" s="36" t="n"/>
      <c r="AR158" s="36" t="n"/>
      <c r="AS158" s="36" t="n"/>
      <c r="AT158" s="36" t="n"/>
      <c r="AU158" s="27" t="n"/>
      <c r="AV158" s="37" t="n"/>
      <c r="AW158" s="38">
        <f>IF(AO158="","",IF(AR158="Yes","❌ Disc",IF(AQ158="No","⚠ Missing",IF(AT158="Yes","✓ OK","⚠ Check"))))</f>
        <v/>
      </c>
    </row>
    <row r="159" ht="18" customHeight="1" s="46">
      <c r="A159" s="23" t="n">
        <v>155</v>
      </c>
      <c r="B159" s="24" t="inlineStr">
        <is>
          <t>BD-VRM-2026-0336</t>
        </is>
      </c>
      <c r="C159" s="25" t="inlineStr">
        <is>
          <t>Excel  - Hot Spots  Wallpaper 78673-6</t>
        </is>
      </c>
      <c r="D159" s="23" t="inlineStr">
        <is>
          <t>Excel</t>
        </is>
      </c>
      <c r="E159" s="43" t="n">
        <v>46125</v>
      </c>
      <c r="F159" s="26" t="inlineStr">
        <is>
          <t>Sunil CR</t>
        </is>
      </c>
      <c r="G159" s="26" t="inlineStr">
        <is>
          <t>Yes</t>
        </is>
      </c>
      <c r="H159" s="26" t="inlineStr">
        <is>
          <t>No</t>
        </is>
      </c>
      <c r="I159" s="26" t="inlineStr">
        <is>
          <t>Good finish</t>
        </is>
      </c>
      <c r="J159" s="26" t="inlineStr">
        <is>
          <t>Yes</t>
        </is>
      </c>
      <c r="K159" s="27" t="n"/>
      <c r="L159" s="28" t="inlineStr">
        <is>
          <t>No</t>
        </is>
      </c>
      <c r="M159" s="29">
        <f>IF(E159="","",IF(H159="Yes","❌ Disc",IF(G159="No","⚠ Missing",IF(J159="Yes","✓ OK","⚠ Check"))))</f>
        <v/>
      </c>
      <c r="N159" s="43" t="n">
        <v>46193</v>
      </c>
      <c r="O159" s="26" t="inlineStr">
        <is>
          <t>Sunil CR</t>
        </is>
      </c>
      <c r="P159" s="26" t="inlineStr">
        <is>
          <t>Yes</t>
        </is>
      </c>
      <c r="Q159" s="26" t="inlineStr">
        <is>
          <t>No</t>
        </is>
      </c>
      <c r="R159" s="26" t="inlineStr">
        <is>
          <t>Good finish</t>
        </is>
      </c>
      <c r="S159" s="26" t="inlineStr">
        <is>
          <t>Yes</t>
        </is>
      </c>
      <c r="T159" s="27" t="n"/>
      <c r="U159" s="28" t="inlineStr">
        <is>
          <t>No</t>
        </is>
      </c>
      <c r="V159" s="29">
        <f>IF(N159="","",IF(Q159="Yes","❌ Disc",IF(P159="No","⚠ Missing",IF(S159="Yes","✓ OK","⚠ Check"))))</f>
        <v/>
      </c>
      <c r="W159" s="65" t="n">
        <v>46248</v>
      </c>
      <c r="X159" s="30" t="inlineStr">
        <is>
          <t>Sunil CR</t>
        </is>
      </c>
      <c r="Y159" s="30" t="inlineStr">
        <is>
          <t>Yes</t>
        </is>
      </c>
      <c r="Z159" s="30" t="n"/>
      <c r="AA159" s="30" t="inlineStr">
        <is>
          <t>Good finish</t>
        </is>
      </c>
      <c r="AB159" s="30" t="inlineStr">
        <is>
          <t>Yes</t>
        </is>
      </c>
      <c r="AC159" s="27" t="n"/>
      <c r="AD159" s="31" t="inlineStr">
        <is>
          <t>No</t>
        </is>
      </c>
      <c r="AE159" s="32">
        <f>IF(W159="","",IF(Z159="Yes","❌ Disc",IF(Y159="No","⚠ Missing",IF(AB159="Yes","✓ OK","⚠ Check"))))</f>
        <v/>
      </c>
      <c r="AF159" s="33" t="n"/>
      <c r="AG159" s="33" t="n"/>
      <c r="AH159" s="33" t="n"/>
      <c r="AI159" s="33" t="n"/>
      <c r="AJ159" s="33" t="n"/>
      <c r="AK159" s="33" t="n"/>
      <c r="AL159" s="27" t="n"/>
      <c r="AM159" s="34" t="n"/>
      <c r="AN159" s="35">
        <f>IF(AF159="","",IF(AI159="Yes","❌ Disc",IF(AH159="No","⚠ Missing",IF(AK159="Yes","✓ OK","⚠ Check"))))</f>
        <v/>
      </c>
      <c r="AO159" s="36" t="n"/>
      <c r="AP159" s="36" t="n"/>
      <c r="AQ159" s="36" t="n"/>
      <c r="AR159" s="36" t="n"/>
      <c r="AS159" s="36" t="n"/>
      <c r="AT159" s="36" t="n"/>
      <c r="AU159" s="27" t="n"/>
      <c r="AV159" s="37" t="n"/>
      <c r="AW159" s="38">
        <f>IF(AO159="","",IF(AR159="Yes","❌ Disc",IF(AQ159="No","⚠ Missing",IF(AT159="Yes","✓ OK","⚠ Check"))))</f>
        <v/>
      </c>
    </row>
    <row r="160" ht="18" customHeight="1" s="46">
      <c r="A160" s="39" t="n">
        <v>156</v>
      </c>
      <c r="B160" s="40" t="inlineStr">
        <is>
          <t>BD-VRM-2026-0220</t>
        </is>
      </c>
      <c r="C160" s="41" t="inlineStr">
        <is>
          <t>Excel - Aurora 2 Wallpaper 4000-1</t>
        </is>
      </c>
      <c r="D160" s="39" t="inlineStr">
        <is>
          <t>Excel</t>
        </is>
      </c>
      <c r="E160" s="43" t="n">
        <v>46125</v>
      </c>
      <c r="F160" s="26" t="inlineStr">
        <is>
          <t>Sunil CR</t>
        </is>
      </c>
      <c r="G160" s="26" t="inlineStr">
        <is>
          <t>Yes</t>
        </is>
      </c>
      <c r="H160" s="26" t="inlineStr">
        <is>
          <t>No</t>
        </is>
      </c>
      <c r="I160" s="26" t="inlineStr">
        <is>
          <t>Good finish</t>
        </is>
      </c>
      <c r="J160" s="26" t="inlineStr">
        <is>
          <t>Yes</t>
        </is>
      </c>
      <c r="K160" s="27" t="n"/>
      <c r="L160" s="28" t="inlineStr">
        <is>
          <t>No</t>
        </is>
      </c>
      <c r="M160" s="29">
        <f>IF(E160="","",IF(H160="Yes","❌ Disc",IF(G160="No","⚠ Missing",IF(J160="Yes","✓ OK","⚠ Check"))))</f>
        <v/>
      </c>
      <c r="N160" s="43" t="n">
        <v>46193</v>
      </c>
      <c r="O160" s="26" t="inlineStr">
        <is>
          <t>Sunil CR</t>
        </is>
      </c>
      <c r="P160" s="26" t="inlineStr">
        <is>
          <t>Yes</t>
        </is>
      </c>
      <c r="Q160" s="26" t="inlineStr">
        <is>
          <t>No</t>
        </is>
      </c>
      <c r="R160" s="26" t="inlineStr">
        <is>
          <t>Good finish</t>
        </is>
      </c>
      <c r="S160" s="26" t="inlineStr">
        <is>
          <t>Yes</t>
        </is>
      </c>
      <c r="T160" s="27" t="n"/>
      <c r="U160" s="28" t="inlineStr">
        <is>
          <t>No</t>
        </is>
      </c>
      <c r="V160" s="29">
        <f>IF(N160="","",IF(Q160="Yes","❌ Disc",IF(P160="No","⚠ Missing",IF(S160="Yes","✓ OK","⚠ Check"))))</f>
        <v/>
      </c>
      <c r="W160" s="65" t="n">
        <v>46248</v>
      </c>
      <c r="X160" s="30" t="inlineStr">
        <is>
          <t>Sunil CR</t>
        </is>
      </c>
      <c r="Y160" s="30" t="inlineStr">
        <is>
          <t>Yes</t>
        </is>
      </c>
      <c r="Z160" s="30" t="n"/>
      <c r="AA160" s="30" t="inlineStr">
        <is>
          <t>Good finish</t>
        </is>
      </c>
      <c r="AB160" s="30" t="inlineStr">
        <is>
          <t>Yes</t>
        </is>
      </c>
      <c r="AC160" s="27" t="n"/>
      <c r="AD160" s="31" t="inlineStr">
        <is>
          <t>No</t>
        </is>
      </c>
      <c r="AE160" s="32">
        <f>IF(W160="","",IF(Z160="Yes","❌ Disc",IF(Y160="No","⚠ Missing",IF(AB160="Yes","✓ OK","⚠ Check"))))</f>
        <v/>
      </c>
      <c r="AF160" s="33" t="n"/>
      <c r="AG160" s="33" t="n"/>
      <c r="AH160" s="33" t="n"/>
      <c r="AI160" s="33" t="n"/>
      <c r="AJ160" s="33" t="n"/>
      <c r="AK160" s="33" t="n"/>
      <c r="AL160" s="27" t="n"/>
      <c r="AM160" s="34" t="n"/>
      <c r="AN160" s="35">
        <f>IF(AF160="","",IF(AI160="Yes","❌ Disc",IF(AH160="No","⚠ Missing",IF(AK160="Yes","✓ OK","⚠ Check"))))</f>
        <v/>
      </c>
      <c r="AO160" s="36" t="n"/>
      <c r="AP160" s="36" t="n"/>
      <c r="AQ160" s="36" t="n"/>
      <c r="AR160" s="36" t="n"/>
      <c r="AS160" s="36" t="n"/>
      <c r="AT160" s="36" t="n"/>
      <c r="AU160" s="27" t="n"/>
      <c r="AV160" s="37" t="n"/>
      <c r="AW160" s="38">
        <f>IF(AO160="","",IF(AR160="Yes","❌ Disc",IF(AQ160="No","⚠ Missing",IF(AT160="Yes","✓ OK","⚠ Check"))))</f>
        <v/>
      </c>
    </row>
    <row r="161" ht="18" customHeight="1" s="46">
      <c r="A161" s="23" t="n">
        <v>157</v>
      </c>
      <c r="B161" s="24" t="inlineStr">
        <is>
          <t>BD-VRM-2026-0221</t>
        </is>
      </c>
      <c r="C161" s="25" t="inlineStr">
        <is>
          <t>Excel - Aurora 2 Wallpaper 4000-3</t>
        </is>
      </c>
      <c r="D161" s="23" t="inlineStr">
        <is>
          <t>Excel</t>
        </is>
      </c>
      <c r="E161" s="43" t="n">
        <v>46125</v>
      </c>
      <c r="F161" s="26" t="inlineStr">
        <is>
          <t>Sunil CR</t>
        </is>
      </c>
      <c r="G161" s="26" t="inlineStr">
        <is>
          <t>Yes</t>
        </is>
      </c>
      <c r="H161" s="26" t="inlineStr">
        <is>
          <t>No</t>
        </is>
      </c>
      <c r="I161" s="26" t="inlineStr">
        <is>
          <t>Good finish</t>
        </is>
      </c>
      <c r="J161" s="26" t="inlineStr">
        <is>
          <t>Yes</t>
        </is>
      </c>
      <c r="K161" s="27" t="n"/>
      <c r="L161" s="28" t="inlineStr">
        <is>
          <t>No</t>
        </is>
      </c>
      <c r="M161" s="29">
        <f>IF(E161="","",IF(H161="Yes","❌ Disc",IF(G161="No","⚠ Missing",IF(J161="Yes","✓ OK","⚠ Check"))))</f>
        <v/>
      </c>
      <c r="N161" s="43" t="n">
        <v>46193</v>
      </c>
      <c r="O161" s="26" t="inlineStr">
        <is>
          <t>Sunil CR</t>
        </is>
      </c>
      <c r="P161" s="26" t="inlineStr">
        <is>
          <t>Yes</t>
        </is>
      </c>
      <c r="Q161" s="26" t="inlineStr">
        <is>
          <t>No</t>
        </is>
      </c>
      <c r="R161" s="26" t="inlineStr">
        <is>
          <t>Good finish</t>
        </is>
      </c>
      <c r="S161" s="26" t="inlineStr">
        <is>
          <t>Yes</t>
        </is>
      </c>
      <c r="T161" s="27" t="n"/>
      <c r="U161" s="28" t="inlineStr">
        <is>
          <t>No</t>
        </is>
      </c>
      <c r="V161" s="29">
        <f>IF(N161="","",IF(Q161="Yes","❌ Disc",IF(P161="No","⚠ Missing",IF(S161="Yes","✓ OK","⚠ Check"))))</f>
        <v/>
      </c>
      <c r="W161" s="65" t="n">
        <v>46248</v>
      </c>
      <c r="X161" s="30" t="inlineStr">
        <is>
          <t>Sunil CR</t>
        </is>
      </c>
      <c r="Y161" s="30" t="inlineStr">
        <is>
          <t>Yes</t>
        </is>
      </c>
      <c r="Z161" s="30" t="n"/>
      <c r="AA161" s="30" t="inlineStr">
        <is>
          <t>Good finish</t>
        </is>
      </c>
      <c r="AB161" s="30" t="inlineStr">
        <is>
          <t>Yes</t>
        </is>
      </c>
      <c r="AC161" s="27" t="n"/>
      <c r="AD161" s="31" t="inlineStr">
        <is>
          <t>No</t>
        </is>
      </c>
      <c r="AE161" s="32">
        <f>IF(W161="","",IF(Z161="Yes","❌ Disc",IF(Y161="No","⚠ Missing",IF(AB161="Yes","✓ OK","⚠ Check"))))</f>
        <v/>
      </c>
      <c r="AF161" s="33" t="n"/>
      <c r="AG161" s="33" t="n"/>
      <c r="AH161" s="33" t="n"/>
      <c r="AI161" s="33" t="n"/>
      <c r="AJ161" s="33" t="n"/>
      <c r="AK161" s="33" t="n"/>
      <c r="AL161" s="27" t="n"/>
      <c r="AM161" s="34" t="n"/>
      <c r="AN161" s="35">
        <f>IF(AF161="","",IF(AI161="Yes","❌ Disc",IF(AH161="No","⚠ Missing",IF(AK161="Yes","✓ OK","⚠ Check"))))</f>
        <v/>
      </c>
      <c r="AO161" s="36" t="n"/>
      <c r="AP161" s="36" t="n"/>
      <c r="AQ161" s="36" t="n"/>
      <c r="AR161" s="36" t="n"/>
      <c r="AS161" s="36" t="n"/>
      <c r="AT161" s="36" t="n"/>
      <c r="AU161" s="27" t="n"/>
      <c r="AV161" s="37" t="n"/>
      <c r="AW161" s="38">
        <f>IF(AO161="","",IF(AR161="Yes","❌ Disc",IF(AQ161="No","⚠ Missing",IF(AT161="Yes","✓ OK","⚠ Check"))))</f>
        <v/>
      </c>
    </row>
    <row r="162" ht="18" customHeight="1" s="46">
      <c r="A162" s="39" t="n">
        <v>158</v>
      </c>
      <c r="B162" s="40" t="inlineStr">
        <is>
          <t>BD-VRM-2026-0159</t>
        </is>
      </c>
      <c r="C162" s="41" t="inlineStr">
        <is>
          <t>Excel - Aurora 2 Wallpaper 4016-1</t>
        </is>
      </c>
      <c r="D162" s="39" t="inlineStr">
        <is>
          <t>Excel</t>
        </is>
      </c>
      <c r="E162" s="43" t="n">
        <v>46125</v>
      </c>
      <c r="F162" s="26" t="inlineStr">
        <is>
          <t>Sunil CR</t>
        </is>
      </c>
      <c r="G162" s="26" t="inlineStr">
        <is>
          <t>Yes</t>
        </is>
      </c>
      <c r="H162" s="26" t="inlineStr">
        <is>
          <t>No</t>
        </is>
      </c>
      <c r="I162" s="26" t="inlineStr">
        <is>
          <t>Good finish</t>
        </is>
      </c>
      <c r="J162" s="26" t="inlineStr">
        <is>
          <t>Yes</t>
        </is>
      </c>
      <c r="K162" s="27" t="n"/>
      <c r="L162" s="28" t="inlineStr">
        <is>
          <t>No</t>
        </is>
      </c>
      <c r="M162" s="29">
        <f>IF(E162="","",IF(H162="Yes","❌ Disc",IF(G162="No","⚠ Missing",IF(J162="Yes","✓ OK","⚠ Check"))))</f>
        <v/>
      </c>
      <c r="N162" s="43" t="n">
        <v>46193</v>
      </c>
      <c r="O162" s="26" t="inlineStr">
        <is>
          <t>Sunil CR</t>
        </is>
      </c>
      <c r="P162" s="26" t="inlineStr">
        <is>
          <t>Yes</t>
        </is>
      </c>
      <c r="Q162" s="26" t="inlineStr">
        <is>
          <t>No</t>
        </is>
      </c>
      <c r="R162" s="26" t="inlineStr">
        <is>
          <t>Good finish</t>
        </is>
      </c>
      <c r="S162" s="26" t="inlineStr">
        <is>
          <t>Yes</t>
        </is>
      </c>
      <c r="T162" s="27" t="n"/>
      <c r="U162" s="28" t="inlineStr">
        <is>
          <t>No</t>
        </is>
      </c>
      <c r="V162" s="29">
        <f>IF(N162="","",IF(Q162="Yes","❌ Disc",IF(P162="No","⚠ Missing",IF(S162="Yes","✓ OK","⚠ Check"))))</f>
        <v/>
      </c>
      <c r="W162" s="65" t="n">
        <v>46248</v>
      </c>
      <c r="X162" s="30" t="inlineStr">
        <is>
          <t>Sunil CR</t>
        </is>
      </c>
      <c r="Y162" s="30" t="inlineStr">
        <is>
          <t>Yes</t>
        </is>
      </c>
      <c r="Z162" s="30" t="n"/>
      <c r="AA162" s="30" t="inlineStr">
        <is>
          <t>Good finish</t>
        </is>
      </c>
      <c r="AB162" s="30" t="inlineStr">
        <is>
          <t>Yes</t>
        </is>
      </c>
      <c r="AC162" s="27" t="n"/>
      <c r="AD162" s="31" t="inlineStr">
        <is>
          <t>No</t>
        </is>
      </c>
      <c r="AE162" s="32">
        <f>IF(W162="","",IF(Z162="Yes","❌ Disc",IF(Y162="No","⚠ Missing",IF(AB162="Yes","✓ OK","⚠ Check"))))</f>
        <v/>
      </c>
      <c r="AF162" s="33" t="n"/>
      <c r="AG162" s="33" t="n"/>
      <c r="AH162" s="33" t="n"/>
      <c r="AI162" s="33" t="n"/>
      <c r="AJ162" s="33" t="n"/>
      <c r="AK162" s="33" t="n"/>
      <c r="AL162" s="27" t="n"/>
      <c r="AM162" s="34" t="n"/>
      <c r="AN162" s="35">
        <f>IF(AF162="","",IF(AI162="Yes","❌ Disc",IF(AH162="No","⚠ Missing",IF(AK162="Yes","✓ OK","⚠ Check"))))</f>
        <v/>
      </c>
      <c r="AO162" s="36" t="n"/>
      <c r="AP162" s="36" t="n"/>
      <c r="AQ162" s="36" t="n"/>
      <c r="AR162" s="36" t="n"/>
      <c r="AS162" s="36" t="n"/>
      <c r="AT162" s="36" t="n"/>
      <c r="AU162" s="27" t="n"/>
      <c r="AV162" s="37" t="n"/>
      <c r="AW162" s="38">
        <f>IF(AO162="","",IF(AR162="Yes","❌ Disc",IF(AQ162="No","⚠ Missing",IF(AT162="Yes","✓ OK","⚠ Check"))))</f>
        <v/>
      </c>
    </row>
    <row r="163" ht="18" customHeight="1" s="46">
      <c r="A163" s="23" t="n">
        <v>159</v>
      </c>
      <c r="B163" s="24" t="inlineStr">
        <is>
          <t>BD-VRM-2026-0160</t>
        </is>
      </c>
      <c r="C163" s="25" t="inlineStr">
        <is>
          <t>Excel - Aurora 2 Wallpaper 4016-3</t>
        </is>
      </c>
      <c r="D163" s="23" t="inlineStr">
        <is>
          <t>Excel</t>
        </is>
      </c>
      <c r="E163" s="43" t="n">
        <v>46125</v>
      </c>
      <c r="F163" s="26" t="inlineStr">
        <is>
          <t>Sunil CR</t>
        </is>
      </c>
      <c r="G163" s="26" t="inlineStr">
        <is>
          <t>Yes</t>
        </is>
      </c>
      <c r="H163" s="26" t="inlineStr">
        <is>
          <t>No</t>
        </is>
      </c>
      <c r="I163" s="26" t="inlineStr">
        <is>
          <t>Good finish</t>
        </is>
      </c>
      <c r="J163" s="26" t="inlineStr">
        <is>
          <t>Yes</t>
        </is>
      </c>
      <c r="K163" s="27" t="n"/>
      <c r="L163" s="28" t="inlineStr">
        <is>
          <t>No</t>
        </is>
      </c>
      <c r="M163" s="29">
        <f>IF(E163="","",IF(H163="Yes","❌ Disc",IF(G163="No","⚠ Missing",IF(J163="Yes","✓ OK","⚠ Check"))))</f>
        <v/>
      </c>
      <c r="N163" s="43" t="n">
        <v>46193</v>
      </c>
      <c r="O163" s="26" t="inlineStr">
        <is>
          <t>Sunil CR</t>
        </is>
      </c>
      <c r="P163" s="26" t="inlineStr">
        <is>
          <t>Yes</t>
        </is>
      </c>
      <c r="Q163" s="26" t="inlineStr">
        <is>
          <t>No</t>
        </is>
      </c>
      <c r="R163" s="26" t="inlineStr">
        <is>
          <t>Good finish</t>
        </is>
      </c>
      <c r="S163" s="26" t="inlineStr">
        <is>
          <t>Yes</t>
        </is>
      </c>
      <c r="T163" s="27" t="n"/>
      <c r="U163" s="28" t="inlineStr">
        <is>
          <t>No</t>
        </is>
      </c>
      <c r="V163" s="29">
        <f>IF(N163="","",IF(Q163="Yes","❌ Disc",IF(P163="No","⚠ Missing",IF(S163="Yes","✓ OK","⚠ Check"))))</f>
        <v/>
      </c>
      <c r="W163" s="65" t="n">
        <v>46248</v>
      </c>
      <c r="X163" s="30" t="inlineStr">
        <is>
          <t>Sunil CR</t>
        </is>
      </c>
      <c r="Y163" s="30" t="inlineStr">
        <is>
          <t>Yes</t>
        </is>
      </c>
      <c r="Z163" s="30" t="n"/>
      <c r="AA163" s="30" t="inlineStr">
        <is>
          <t>Good finish</t>
        </is>
      </c>
      <c r="AB163" s="30" t="inlineStr">
        <is>
          <t>Yes</t>
        </is>
      </c>
      <c r="AC163" s="27" t="n"/>
      <c r="AD163" s="31" t="inlineStr">
        <is>
          <t>No</t>
        </is>
      </c>
      <c r="AE163" s="32">
        <f>IF(W163="","",IF(Z163="Yes","❌ Disc",IF(Y163="No","⚠ Missing",IF(AB163="Yes","✓ OK","⚠ Check"))))</f>
        <v/>
      </c>
      <c r="AF163" s="33" t="n"/>
      <c r="AG163" s="33" t="n"/>
      <c r="AH163" s="33" t="n"/>
      <c r="AI163" s="33" t="n"/>
      <c r="AJ163" s="33" t="n"/>
      <c r="AK163" s="33" t="n"/>
      <c r="AL163" s="27" t="n"/>
      <c r="AM163" s="34" t="n"/>
      <c r="AN163" s="35">
        <f>IF(AF163="","",IF(AI163="Yes","❌ Disc",IF(AH163="No","⚠ Missing",IF(AK163="Yes","✓ OK","⚠ Check"))))</f>
        <v/>
      </c>
      <c r="AO163" s="36" t="n"/>
      <c r="AP163" s="36" t="n"/>
      <c r="AQ163" s="36" t="n"/>
      <c r="AR163" s="36" t="n"/>
      <c r="AS163" s="36" t="n"/>
      <c r="AT163" s="36" t="n"/>
      <c r="AU163" s="27" t="n"/>
      <c r="AV163" s="37" t="n"/>
      <c r="AW163" s="38">
        <f>IF(AO163="","",IF(AR163="Yes","❌ Disc",IF(AQ163="No","⚠ Missing",IF(AT163="Yes","✓ OK","⚠ Check"))))</f>
        <v/>
      </c>
    </row>
    <row r="164" ht="18" customHeight="1" s="46">
      <c r="A164" s="39" t="n">
        <v>160</v>
      </c>
      <c r="B164" s="40" t="inlineStr">
        <is>
          <t>BD-VRM-2026-0196</t>
        </is>
      </c>
      <c r="C164" s="41" t="inlineStr">
        <is>
          <t>Excel - Aurora 2 Wallpaper 4024-1</t>
        </is>
      </c>
      <c r="D164" s="39" t="inlineStr">
        <is>
          <t>Excel</t>
        </is>
      </c>
      <c r="E164" s="43" t="n">
        <v>46125</v>
      </c>
      <c r="F164" s="26" t="inlineStr">
        <is>
          <t>Sunil CR</t>
        </is>
      </c>
      <c r="G164" s="26" t="inlineStr">
        <is>
          <t>Yes</t>
        </is>
      </c>
      <c r="H164" s="26" t="inlineStr">
        <is>
          <t>No</t>
        </is>
      </c>
      <c r="I164" s="26" t="inlineStr">
        <is>
          <t>Good finish</t>
        </is>
      </c>
      <c r="J164" s="26" t="inlineStr">
        <is>
          <t>Yes</t>
        </is>
      </c>
      <c r="K164" s="27" t="n"/>
      <c r="L164" s="28" t="inlineStr">
        <is>
          <t>No</t>
        </is>
      </c>
      <c r="M164" s="29">
        <f>IF(E164="","",IF(H164="Yes","❌ Disc",IF(G164="No","⚠ Missing",IF(J164="Yes","✓ OK","⚠ Check"))))</f>
        <v/>
      </c>
      <c r="N164" s="43" t="n">
        <v>46193</v>
      </c>
      <c r="O164" s="26" t="inlineStr">
        <is>
          <t>Sunil CR</t>
        </is>
      </c>
      <c r="P164" s="26" t="inlineStr">
        <is>
          <t>Yes</t>
        </is>
      </c>
      <c r="Q164" s="26" t="inlineStr">
        <is>
          <t>No</t>
        </is>
      </c>
      <c r="R164" s="26" t="inlineStr">
        <is>
          <t>Good finish</t>
        </is>
      </c>
      <c r="S164" s="26" t="inlineStr">
        <is>
          <t>Yes</t>
        </is>
      </c>
      <c r="T164" s="27" t="n"/>
      <c r="U164" s="28" t="inlineStr">
        <is>
          <t>No</t>
        </is>
      </c>
      <c r="V164" s="29">
        <f>IF(N164="","",IF(Q164="Yes","❌ Disc",IF(P164="No","⚠ Missing",IF(S164="Yes","✓ OK","⚠ Check"))))</f>
        <v/>
      </c>
      <c r="W164" s="65" t="n">
        <v>46248</v>
      </c>
      <c r="X164" s="30" t="inlineStr">
        <is>
          <t>Sunil CR</t>
        </is>
      </c>
      <c r="Y164" s="30" t="inlineStr">
        <is>
          <t>Yes</t>
        </is>
      </c>
      <c r="Z164" s="30" t="n"/>
      <c r="AA164" s="30" t="inlineStr">
        <is>
          <t>Good finish</t>
        </is>
      </c>
      <c r="AB164" s="30" t="inlineStr">
        <is>
          <t>Yes</t>
        </is>
      </c>
      <c r="AC164" s="27" t="n"/>
      <c r="AD164" s="31" t="inlineStr">
        <is>
          <t>No</t>
        </is>
      </c>
      <c r="AE164" s="32">
        <f>IF(W164="","",IF(Z164="Yes","❌ Disc",IF(Y164="No","⚠ Missing",IF(AB164="Yes","✓ OK","⚠ Check"))))</f>
        <v/>
      </c>
      <c r="AF164" s="33" t="n"/>
      <c r="AG164" s="33" t="n"/>
      <c r="AH164" s="33" t="n"/>
      <c r="AI164" s="33" t="n"/>
      <c r="AJ164" s="33" t="n"/>
      <c r="AK164" s="33" t="n"/>
      <c r="AL164" s="27" t="n"/>
      <c r="AM164" s="34" t="n"/>
      <c r="AN164" s="35">
        <f>IF(AF164="","",IF(AI164="Yes","❌ Disc",IF(AH164="No","⚠ Missing",IF(AK164="Yes","✓ OK","⚠ Check"))))</f>
        <v/>
      </c>
      <c r="AO164" s="36" t="n"/>
      <c r="AP164" s="36" t="n"/>
      <c r="AQ164" s="36" t="n"/>
      <c r="AR164" s="36" t="n"/>
      <c r="AS164" s="36" t="n"/>
      <c r="AT164" s="36" t="n"/>
      <c r="AU164" s="27" t="n"/>
      <c r="AV164" s="37" t="n"/>
      <c r="AW164" s="38">
        <f>IF(AO164="","",IF(AR164="Yes","❌ Disc",IF(AQ164="No","⚠ Missing",IF(AT164="Yes","✓ OK","⚠ Check"))))</f>
        <v/>
      </c>
    </row>
    <row r="165" ht="18" customHeight="1" s="46">
      <c r="A165" s="23" t="n">
        <v>161</v>
      </c>
      <c r="B165" s="24" t="inlineStr">
        <is>
          <t>BD-VRM-2026-0197</t>
        </is>
      </c>
      <c r="C165" s="25" t="inlineStr">
        <is>
          <t>Excel - Aurora 2 Wallpaper 4024-2</t>
        </is>
      </c>
      <c r="D165" s="23" t="inlineStr">
        <is>
          <t>Excel</t>
        </is>
      </c>
      <c r="E165" s="43" t="n">
        <v>46125</v>
      </c>
      <c r="F165" s="26" t="inlineStr">
        <is>
          <t>Sunil CR</t>
        </is>
      </c>
      <c r="G165" s="26" t="inlineStr">
        <is>
          <t>Yes</t>
        </is>
      </c>
      <c r="H165" s="26" t="inlineStr">
        <is>
          <t>No</t>
        </is>
      </c>
      <c r="I165" s="26" t="inlineStr">
        <is>
          <t>Good finish</t>
        </is>
      </c>
      <c r="J165" s="26" t="inlineStr">
        <is>
          <t>Yes</t>
        </is>
      </c>
      <c r="K165" s="27" t="n"/>
      <c r="L165" s="28" t="inlineStr">
        <is>
          <t>No</t>
        </is>
      </c>
      <c r="M165" s="29">
        <f>IF(E165="","",IF(H165="Yes","❌ Disc",IF(G165="No","⚠ Missing",IF(J165="Yes","✓ OK","⚠ Check"))))</f>
        <v/>
      </c>
      <c r="N165" s="43" t="n">
        <v>46193</v>
      </c>
      <c r="O165" s="26" t="inlineStr">
        <is>
          <t>Sunil CR</t>
        </is>
      </c>
      <c r="P165" s="26" t="inlineStr">
        <is>
          <t>Yes</t>
        </is>
      </c>
      <c r="Q165" s="26" t="inlineStr">
        <is>
          <t>No</t>
        </is>
      </c>
      <c r="R165" s="26" t="inlineStr">
        <is>
          <t>Good finish</t>
        </is>
      </c>
      <c r="S165" s="26" t="inlineStr">
        <is>
          <t>Yes</t>
        </is>
      </c>
      <c r="T165" s="27" t="n"/>
      <c r="U165" s="28" t="inlineStr">
        <is>
          <t>No</t>
        </is>
      </c>
      <c r="V165" s="29">
        <f>IF(N165="","",IF(Q165="Yes","❌ Disc",IF(P165="No","⚠ Missing",IF(S165="Yes","✓ OK","⚠ Check"))))</f>
        <v/>
      </c>
      <c r="W165" s="65" t="n">
        <v>46248</v>
      </c>
      <c r="X165" s="30" t="inlineStr">
        <is>
          <t>Sunil CR</t>
        </is>
      </c>
      <c r="Y165" s="30" t="inlineStr">
        <is>
          <t>Yes</t>
        </is>
      </c>
      <c r="Z165" s="30" t="n"/>
      <c r="AA165" s="30" t="inlineStr">
        <is>
          <t>Good finish</t>
        </is>
      </c>
      <c r="AB165" s="30" t="inlineStr">
        <is>
          <t>Yes</t>
        </is>
      </c>
      <c r="AC165" s="27" t="n"/>
      <c r="AD165" s="31" t="inlineStr">
        <is>
          <t>No</t>
        </is>
      </c>
      <c r="AE165" s="32">
        <f>IF(W165="","",IF(Z165="Yes","❌ Disc",IF(Y165="No","⚠ Missing",IF(AB165="Yes","✓ OK","⚠ Check"))))</f>
        <v/>
      </c>
      <c r="AF165" s="33" t="n"/>
      <c r="AG165" s="33" t="n"/>
      <c r="AH165" s="33" t="n"/>
      <c r="AI165" s="33" t="n"/>
      <c r="AJ165" s="33" t="n"/>
      <c r="AK165" s="33" t="n"/>
      <c r="AL165" s="27" t="n"/>
      <c r="AM165" s="34" t="n"/>
      <c r="AN165" s="35">
        <f>IF(AF165="","",IF(AI165="Yes","❌ Disc",IF(AH165="No","⚠ Missing",IF(AK165="Yes","✓ OK","⚠ Check"))))</f>
        <v/>
      </c>
      <c r="AO165" s="36" t="n"/>
      <c r="AP165" s="36" t="n"/>
      <c r="AQ165" s="36" t="n"/>
      <c r="AR165" s="36" t="n"/>
      <c r="AS165" s="36" t="n"/>
      <c r="AT165" s="36" t="n"/>
      <c r="AU165" s="27" t="n"/>
      <c r="AV165" s="37" t="n"/>
      <c r="AW165" s="38">
        <f>IF(AO165="","",IF(AR165="Yes","❌ Disc",IF(AQ165="No","⚠ Missing",IF(AT165="Yes","✓ OK","⚠ Check"))))</f>
        <v/>
      </c>
    </row>
    <row r="166" ht="18" customHeight="1" s="46">
      <c r="A166" s="39" t="n">
        <v>162</v>
      </c>
      <c r="B166" s="40" t="inlineStr">
        <is>
          <t>BD-VRM-2026-0198</t>
        </is>
      </c>
      <c r="C166" s="41" t="inlineStr">
        <is>
          <t>Excel - Aurora 2 Wallpaper 4024-3</t>
        </is>
      </c>
      <c r="D166" s="39" t="inlineStr">
        <is>
          <t>Excel</t>
        </is>
      </c>
      <c r="E166" s="43" t="n">
        <v>46125</v>
      </c>
      <c r="F166" s="26" t="inlineStr">
        <is>
          <t>Sunil CR</t>
        </is>
      </c>
      <c r="G166" s="26" t="inlineStr">
        <is>
          <t>Yes</t>
        </is>
      </c>
      <c r="H166" s="26" t="inlineStr">
        <is>
          <t>No</t>
        </is>
      </c>
      <c r="I166" s="26" t="inlineStr">
        <is>
          <t>Good finish</t>
        </is>
      </c>
      <c r="J166" s="26" t="inlineStr">
        <is>
          <t>Yes</t>
        </is>
      </c>
      <c r="K166" s="27" t="n"/>
      <c r="L166" s="28" t="inlineStr">
        <is>
          <t>No</t>
        </is>
      </c>
      <c r="M166" s="29">
        <f>IF(E166="","",IF(H166="Yes","❌ Disc",IF(G166="No","⚠ Missing",IF(J166="Yes","✓ OK","⚠ Check"))))</f>
        <v/>
      </c>
      <c r="N166" s="43" t="n">
        <v>46193</v>
      </c>
      <c r="O166" s="26" t="inlineStr">
        <is>
          <t>Sunil CR</t>
        </is>
      </c>
      <c r="P166" s="26" t="inlineStr">
        <is>
          <t>Yes</t>
        </is>
      </c>
      <c r="Q166" s="26" t="inlineStr">
        <is>
          <t>No</t>
        </is>
      </c>
      <c r="R166" s="26" t="inlineStr">
        <is>
          <t>Good finish</t>
        </is>
      </c>
      <c r="S166" s="26" t="inlineStr">
        <is>
          <t>Yes</t>
        </is>
      </c>
      <c r="T166" s="27" t="n"/>
      <c r="U166" s="28" t="inlineStr">
        <is>
          <t>No</t>
        </is>
      </c>
      <c r="V166" s="29">
        <f>IF(N166="","",IF(Q166="Yes","❌ Disc",IF(P166="No","⚠ Missing",IF(S166="Yes","✓ OK","⚠ Check"))))</f>
        <v/>
      </c>
      <c r="W166" s="65" t="n">
        <v>46248</v>
      </c>
      <c r="X166" s="30" t="inlineStr">
        <is>
          <t>Sunil CR</t>
        </is>
      </c>
      <c r="Y166" s="30" t="inlineStr">
        <is>
          <t>Yes</t>
        </is>
      </c>
      <c r="Z166" s="30" t="n"/>
      <c r="AA166" s="30" t="inlineStr">
        <is>
          <t>Good finish</t>
        </is>
      </c>
      <c r="AB166" s="30" t="inlineStr">
        <is>
          <t>Yes</t>
        </is>
      </c>
      <c r="AC166" s="27" t="n"/>
      <c r="AD166" s="31" t="inlineStr">
        <is>
          <t>No</t>
        </is>
      </c>
      <c r="AE166" s="32">
        <f>IF(W166="","",IF(Z166="Yes","❌ Disc",IF(Y166="No","⚠ Missing",IF(AB166="Yes","✓ OK","⚠ Check"))))</f>
        <v/>
      </c>
      <c r="AF166" s="33" t="n"/>
      <c r="AG166" s="33" t="n"/>
      <c r="AH166" s="33" t="n"/>
      <c r="AI166" s="33" t="n"/>
      <c r="AJ166" s="33" t="n"/>
      <c r="AK166" s="33" t="n"/>
      <c r="AL166" s="27" t="n"/>
      <c r="AM166" s="34" t="n"/>
      <c r="AN166" s="35">
        <f>IF(AF166="","",IF(AI166="Yes","❌ Disc",IF(AH166="No","⚠ Missing",IF(AK166="Yes","✓ OK","⚠ Check"))))</f>
        <v/>
      </c>
      <c r="AO166" s="36" t="n"/>
      <c r="AP166" s="36" t="n"/>
      <c r="AQ166" s="36" t="n"/>
      <c r="AR166" s="36" t="n"/>
      <c r="AS166" s="36" t="n"/>
      <c r="AT166" s="36" t="n"/>
      <c r="AU166" s="27" t="n"/>
      <c r="AV166" s="37" t="n"/>
      <c r="AW166" s="38">
        <f>IF(AO166="","",IF(AR166="Yes","❌ Disc",IF(AQ166="No","⚠ Missing",IF(AT166="Yes","✓ OK","⚠ Check"))))</f>
        <v/>
      </c>
    </row>
    <row r="167" ht="18" customHeight="1" s="46">
      <c r="A167" s="23" t="n">
        <v>163</v>
      </c>
      <c r="B167" s="24" t="inlineStr">
        <is>
          <t>BD-VRM-2026-0199</t>
        </is>
      </c>
      <c r="C167" s="25" t="inlineStr">
        <is>
          <t>Excel - Aurora 2 Wallpaper 4024-4</t>
        </is>
      </c>
      <c r="D167" s="23" t="inlineStr">
        <is>
          <t>Excel</t>
        </is>
      </c>
      <c r="E167" s="43" t="n">
        <v>46125</v>
      </c>
      <c r="F167" s="26" t="inlineStr">
        <is>
          <t>Sunil CR</t>
        </is>
      </c>
      <c r="G167" s="26" t="inlineStr">
        <is>
          <t>Yes</t>
        </is>
      </c>
      <c r="H167" s="26" t="inlineStr">
        <is>
          <t>No</t>
        </is>
      </c>
      <c r="I167" s="26" t="inlineStr">
        <is>
          <t>Good finish</t>
        </is>
      </c>
      <c r="J167" s="26" t="inlineStr">
        <is>
          <t>Yes</t>
        </is>
      </c>
      <c r="K167" s="27" t="n"/>
      <c r="L167" s="28" t="inlineStr">
        <is>
          <t>No</t>
        </is>
      </c>
      <c r="M167" s="29">
        <f>IF(E167="","",IF(H167="Yes","❌ Disc",IF(G167="No","⚠ Missing",IF(J167="Yes","✓ OK","⚠ Check"))))</f>
        <v/>
      </c>
      <c r="N167" s="43" t="n">
        <v>46193</v>
      </c>
      <c r="O167" s="26" t="inlineStr">
        <is>
          <t>Sunil CR</t>
        </is>
      </c>
      <c r="P167" s="26" t="inlineStr">
        <is>
          <t>Yes</t>
        </is>
      </c>
      <c r="Q167" s="26" t="inlineStr">
        <is>
          <t>No</t>
        </is>
      </c>
      <c r="R167" s="26" t="inlineStr">
        <is>
          <t>Good finish</t>
        </is>
      </c>
      <c r="S167" s="26" t="inlineStr">
        <is>
          <t>Yes</t>
        </is>
      </c>
      <c r="T167" s="27" t="n"/>
      <c r="U167" s="28" t="inlineStr">
        <is>
          <t>No</t>
        </is>
      </c>
      <c r="V167" s="29">
        <f>IF(N167="","",IF(Q167="Yes","❌ Disc",IF(P167="No","⚠ Missing",IF(S167="Yes","✓ OK","⚠ Check"))))</f>
        <v/>
      </c>
      <c r="W167" s="65" t="n">
        <v>46248</v>
      </c>
      <c r="X167" s="30" t="inlineStr">
        <is>
          <t>Sunil CR</t>
        </is>
      </c>
      <c r="Y167" s="30" t="inlineStr">
        <is>
          <t>Yes</t>
        </is>
      </c>
      <c r="Z167" s="30" t="n"/>
      <c r="AA167" s="30" t="inlineStr">
        <is>
          <t>Good finish</t>
        </is>
      </c>
      <c r="AB167" s="30" t="inlineStr">
        <is>
          <t>Yes</t>
        </is>
      </c>
      <c r="AC167" s="27" t="n"/>
      <c r="AD167" s="31" t="inlineStr">
        <is>
          <t>No</t>
        </is>
      </c>
      <c r="AE167" s="32">
        <f>IF(W167="","",IF(Z167="Yes","❌ Disc",IF(Y167="No","⚠ Missing",IF(AB167="Yes","✓ OK","⚠ Check"))))</f>
        <v/>
      </c>
      <c r="AF167" s="33" t="n"/>
      <c r="AG167" s="33" t="n"/>
      <c r="AH167" s="33" t="n"/>
      <c r="AI167" s="33" t="n"/>
      <c r="AJ167" s="33" t="n"/>
      <c r="AK167" s="33" t="n"/>
      <c r="AL167" s="27" t="n"/>
      <c r="AM167" s="34" t="n"/>
      <c r="AN167" s="35">
        <f>IF(AF167="","",IF(AI167="Yes","❌ Disc",IF(AH167="No","⚠ Missing",IF(AK167="Yes","✓ OK","⚠ Check"))))</f>
        <v/>
      </c>
      <c r="AO167" s="36" t="n"/>
      <c r="AP167" s="36" t="n"/>
      <c r="AQ167" s="36" t="n"/>
      <c r="AR167" s="36" t="n"/>
      <c r="AS167" s="36" t="n"/>
      <c r="AT167" s="36" t="n"/>
      <c r="AU167" s="27" t="n"/>
      <c r="AV167" s="37" t="n"/>
      <c r="AW167" s="38">
        <f>IF(AO167="","",IF(AR167="Yes","❌ Disc",IF(AQ167="No","⚠ Missing",IF(AT167="Yes","✓ OK","⚠ Check"))))</f>
        <v/>
      </c>
    </row>
    <row r="168" ht="18" customHeight="1" s="46">
      <c r="A168" s="39" t="n">
        <v>164</v>
      </c>
      <c r="B168" s="40" t="inlineStr">
        <is>
          <t>BD-VRM-2026-0200</t>
        </is>
      </c>
      <c r="C168" s="41" t="inlineStr">
        <is>
          <t>Excel - Aurora 2 Wallpaper 4024-5</t>
        </is>
      </c>
      <c r="D168" s="39" t="inlineStr">
        <is>
          <t>Excel</t>
        </is>
      </c>
      <c r="E168" s="43" t="n">
        <v>46125</v>
      </c>
      <c r="F168" s="26" t="inlineStr">
        <is>
          <t>Sunil CR</t>
        </is>
      </c>
      <c r="G168" s="26" t="inlineStr">
        <is>
          <t>Yes</t>
        </is>
      </c>
      <c r="H168" s="26" t="inlineStr">
        <is>
          <t>No</t>
        </is>
      </c>
      <c r="I168" s="26" t="inlineStr">
        <is>
          <t>Good finish</t>
        </is>
      </c>
      <c r="J168" s="26" t="inlineStr">
        <is>
          <t>Yes</t>
        </is>
      </c>
      <c r="K168" s="27" t="n"/>
      <c r="L168" s="28" t="inlineStr">
        <is>
          <t>No</t>
        </is>
      </c>
      <c r="M168" s="29">
        <f>IF(E168="","",IF(H168="Yes","❌ Disc",IF(G168="No","⚠ Missing",IF(J168="Yes","✓ OK","⚠ Check"))))</f>
        <v/>
      </c>
      <c r="N168" s="43" t="n">
        <v>46193</v>
      </c>
      <c r="O168" s="26" t="inlineStr">
        <is>
          <t>Sunil CR</t>
        </is>
      </c>
      <c r="P168" s="26" t="inlineStr">
        <is>
          <t>Yes</t>
        </is>
      </c>
      <c r="Q168" s="26" t="inlineStr">
        <is>
          <t>No</t>
        </is>
      </c>
      <c r="R168" s="26" t="inlineStr">
        <is>
          <t>Good finish</t>
        </is>
      </c>
      <c r="S168" s="26" t="inlineStr">
        <is>
          <t>Yes</t>
        </is>
      </c>
      <c r="T168" s="27" t="n"/>
      <c r="U168" s="28" t="inlineStr">
        <is>
          <t>No</t>
        </is>
      </c>
      <c r="V168" s="29">
        <f>IF(N168="","",IF(Q168="Yes","❌ Disc",IF(P168="No","⚠ Missing",IF(S168="Yes","✓ OK","⚠ Check"))))</f>
        <v/>
      </c>
      <c r="W168" s="65" t="n">
        <v>46248</v>
      </c>
      <c r="X168" s="30" t="inlineStr">
        <is>
          <t>Sunil CR</t>
        </is>
      </c>
      <c r="Y168" s="30" t="inlineStr">
        <is>
          <t>Yes</t>
        </is>
      </c>
      <c r="Z168" s="30" t="n"/>
      <c r="AA168" s="30" t="inlineStr">
        <is>
          <t>Good finish</t>
        </is>
      </c>
      <c r="AB168" s="30" t="inlineStr">
        <is>
          <t>Yes</t>
        </is>
      </c>
      <c r="AC168" s="27" t="n"/>
      <c r="AD168" s="31" t="inlineStr">
        <is>
          <t>No</t>
        </is>
      </c>
      <c r="AE168" s="32">
        <f>IF(W168="","",IF(Z168="Yes","❌ Disc",IF(Y168="No","⚠ Missing",IF(AB168="Yes","✓ OK","⚠ Check"))))</f>
        <v/>
      </c>
      <c r="AF168" s="33" t="n"/>
      <c r="AG168" s="33" t="n"/>
      <c r="AH168" s="33" t="n"/>
      <c r="AI168" s="33" t="n"/>
      <c r="AJ168" s="33" t="n"/>
      <c r="AK168" s="33" t="n"/>
      <c r="AL168" s="27" t="n"/>
      <c r="AM168" s="34" t="n"/>
      <c r="AN168" s="35">
        <f>IF(AF168="","",IF(AI168="Yes","❌ Disc",IF(AH168="No","⚠ Missing",IF(AK168="Yes","✓ OK","⚠ Check"))))</f>
        <v/>
      </c>
      <c r="AO168" s="36" t="n"/>
      <c r="AP168" s="36" t="n"/>
      <c r="AQ168" s="36" t="n"/>
      <c r="AR168" s="36" t="n"/>
      <c r="AS168" s="36" t="n"/>
      <c r="AT168" s="36" t="n"/>
      <c r="AU168" s="27" t="n"/>
      <c r="AV168" s="37" t="n"/>
      <c r="AW168" s="38">
        <f>IF(AO168="","",IF(AR168="Yes","❌ Disc",IF(AQ168="No","⚠ Missing",IF(AT168="Yes","✓ OK","⚠ Check"))))</f>
        <v/>
      </c>
    </row>
    <row r="169" ht="18" customHeight="1" s="46">
      <c r="A169" s="23" t="n">
        <v>165</v>
      </c>
      <c r="B169" s="24" t="inlineStr">
        <is>
          <t>BD-VRM-2026-0201</t>
        </is>
      </c>
      <c r="C169" s="25" t="inlineStr">
        <is>
          <t>Excel - Aurora 2 Wallpaper 4024-6</t>
        </is>
      </c>
      <c r="D169" s="23" t="inlineStr">
        <is>
          <t>Excel</t>
        </is>
      </c>
      <c r="E169" s="43" t="n">
        <v>46125</v>
      </c>
      <c r="F169" s="26" t="inlineStr">
        <is>
          <t>Sunil CR</t>
        </is>
      </c>
      <c r="G169" s="26" t="inlineStr">
        <is>
          <t>Yes</t>
        </is>
      </c>
      <c r="H169" s="26" t="inlineStr">
        <is>
          <t>No</t>
        </is>
      </c>
      <c r="I169" s="26" t="inlineStr">
        <is>
          <t>Good finish</t>
        </is>
      </c>
      <c r="J169" s="26" t="inlineStr">
        <is>
          <t>Yes</t>
        </is>
      </c>
      <c r="K169" s="27" t="n"/>
      <c r="L169" s="28" t="inlineStr">
        <is>
          <t>No</t>
        </is>
      </c>
      <c r="M169" s="29">
        <f>IF(E169="","",IF(H169="Yes","❌ Disc",IF(G169="No","⚠ Missing",IF(J169="Yes","✓ OK","⚠ Check"))))</f>
        <v/>
      </c>
      <c r="N169" s="43" t="n">
        <v>46193</v>
      </c>
      <c r="O169" s="26" t="inlineStr">
        <is>
          <t>Sunil CR</t>
        </is>
      </c>
      <c r="P169" s="26" t="inlineStr">
        <is>
          <t>Yes</t>
        </is>
      </c>
      <c r="Q169" s="26" t="inlineStr">
        <is>
          <t>No</t>
        </is>
      </c>
      <c r="R169" s="26" t="inlineStr">
        <is>
          <t>Good finish</t>
        </is>
      </c>
      <c r="S169" s="26" t="inlineStr">
        <is>
          <t>Yes</t>
        </is>
      </c>
      <c r="T169" s="27" t="n"/>
      <c r="U169" s="28" t="inlineStr">
        <is>
          <t>No</t>
        </is>
      </c>
      <c r="V169" s="29">
        <f>IF(N169="","",IF(Q169="Yes","❌ Disc",IF(P169="No","⚠ Missing",IF(S169="Yes","✓ OK","⚠ Check"))))</f>
        <v/>
      </c>
      <c r="W169" s="65" t="n">
        <v>46248</v>
      </c>
      <c r="X169" s="30" t="inlineStr">
        <is>
          <t>Sunil CR</t>
        </is>
      </c>
      <c r="Y169" s="30" t="inlineStr">
        <is>
          <t>Yes</t>
        </is>
      </c>
      <c r="Z169" s="30" t="n"/>
      <c r="AA169" s="30" t="inlineStr">
        <is>
          <t>Good finish</t>
        </is>
      </c>
      <c r="AB169" s="30" t="inlineStr">
        <is>
          <t>Yes</t>
        </is>
      </c>
      <c r="AC169" s="27" t="n"/>
      <c r="AD169" s="31" t="inlineStr">
        <is>
          <t>No</t>
        </is>
      </c>
      <c r="AE169" s="32">
        <f>IF(W169="","",IF(Z169="Yes","❌ Disc",IF(Y169="No","⚠ Missing",IF(AB169="Yes","✓ OK","⚠ Check"))))</f>
        <v/>
      </c>
      <c r="AF169" s="33" t="n"/>
      <c r="AG169" s="33" t="n"/>
      <c r="AH169" s="33" t="n"/>
      <c r="AI169" s="33" t="n"/>
      <c r="AJ169" s="33" t="n"/>
      <c r="AK169" s="33" t="n"/>
      <c r="AL169" s="27" t="n"/>
      <c r="AM169" s="34" t="n"/>
      <c r="AN169" s="35">
        <f>IF(AF169="","",IF(AI169="Yes","❌ Disc",IF(AH169="No","⚠ Missing",IF(AK169="Yes","✓ OK","⚠ Check"))))</f>
        <v/>
      </c>
      <c r="AO169" s="36" t="n"/>
      <c r="AP169" s="36" t="n"/>
      <c r="AQ169" s="36" t="n"/>
      <c r="AR169" s="36" t="n"/>
      <c r="AS169" s="36" t="n"/>
      <c r="AT169" s="36" t="n"/>
      <c r="AU169" s="27" t="n"/>
      <c r="AV169" s="37" t="n"/>
      <c r="AW169" s="38">
        <f>IF(AO169="","",IF(AR169="Yes","❌ Disc",IF(AQ169="No","⚠ Missing",IF(AT169="Yes","✓ OK","⚠ Check"))))</f>
        <v/>
      </c>
    </row>
    <row r="170" ht="18" customHeight="1" s="46">
      <c r="A170" s="39" t="n">
        <v>166</v>
      </c>
      <c r="B170" s="40" t="inlineStr">
        <is>
          <t>BD-VRM-2026-0202</t>
        </is>
      </c>
      <c r="C170" s="41" t="inlineStr">
        <is>
          <t>Excel - Aurora 2 Wallpaper 4024-7</t>
        </is>
      </c>
      <c r="D170" s="39" t="inlineStr">
        <is>
          <t>Excel</t>
        </is>
      </c>
      <c r="E170" s="43" t="n">
        <v>46125</v>
      </c>
      <c r="F170" s="26" t="inlineStr">
        <is>
          <t>Sunil CR</t>
        </is>
      </c>
      <c r="G170" s="26" t="inlineStr">
        <is>
          <t>Yes</t>
        </is>
      </c>
      <c r="H170" s="26" t="inlineStr">
        <is>
          <t>No</t>
        </is>
      </c>
      <c r="I170" s="26" t="inlineStr">
        <is>
          <t>Good finish</t>
        </is>
      </c>
      <c r="J170" s="26" t="inlineStr">
        <is>
          <t>Yes</t>
        </is>
      </c>
      <c r="K170" s="27" t="n"/>
      <c r="L170" s="28" t="inlineStr">
        <is>
          <t>No</t>
        </is>
      </c>
      <c r="M170" s="29">
        <f>IF(E170="","",IF(H170="Yes","❌ Disc",IF(G170="No","⚠ Missing",IF(J170="Yes","✓ OK","⚠ Check"))))</f>
        <v/>
      </c>
      <c r="N170" s="43" t="n">
        <v>46193</v>
      </c>
      <c r="O170" s="26" t="inlineStr">
        <is>
          <t>Sunil CR</t>
        </is>
      </c>
      <c r="P170" s="26" t="inlineStr">
        <is>
          <t>Yes</t>
        </is>
      </c>
      <c r="Q170" s="26" t="inlineStr">
        <is>
          <t>No</t>
        </is>
      </c>
      <c r="R170" s="26" t="inlineStr">
        <is>
          <t>Good finish</t>
        </is>
      </c>
      <c r="S170" s="26" t="inlineStr">
        <is>
          <t>Yes</t>
        </is>
      </c>
      <c r="T170" s="27" t="n"/>
      <c r="U170" s="28" t="inlineStr">
        <is>
          <t>No</t>
        </is>
      </c>
      <c r="V170" s="29">
        <f>IF(N170="","",IF(Q170="Yes","❌ Disc",IF(P170="No","⚠ Missing",IF(S170="Yes","✓ OK","⚠ Check"))))</f>
        <v/>
      </c>
      <c r="W170" s="65" t="n">
        <v>46248</v>
      </c>
      <c r="X170" s="30" t="inlineStr">
        <is>
          <t>Sunil CR</t>
        </is>
      </c>
      <c r="Y170" s="30" t="inlineStr">
        <is>
          <t>Yes</t>
        </is>
      </c>
      <c r="Z170" s="30" t="n"/>
      <c r="AA170" s="30" t="inlineStr">
        <is>
          <t>Good finish</t>
        </is>
      </c>
      <c r="AB170" s="30" t="inlineStr">
        <is>
          <t>Yes</t>
        </is>
      </c>
      <c r="AC170" s="27" t="n"/>
      <c r="AD170" s="31" t="inlineStr">
        <is>
          <t>No</t>
        </is>
      </c>
      <c r="AE170" s="32">
        <f>IF(W170="","",IF(Z170="Yes","❌ Disc",IF(Y170="No","⚠ Missing",IF(AB170="Yes","✓ OK","⚠ Check"))))</f>
        <v/>
      </c>
      <c r="AF170" s="33" t="n"/>
      <c r="AG170" s="33" t="n"/>
      <c r="AH170" s="33" t="n"/>
      <c r="AI170" s="33" t="n"/>
      <c r="AJ170" s="33" t="n"/>
      <c r="AK170" s="33" t="n"/>
      <c r="AL170" s="27" t="n"/>
      <c r="AM170" s="34" t="n"/>
      <c r="AN170" s="35">
        <f>IF(AF170="","",IF(AI170="Yes","❌ Disc",IF(AH170="No","⚠ Missing",IF(AK170="Yes","✓ OK","⚠ Check"))))</f>
        <v/>
      </c>
      <c r="AO170" s="36" t="n"/>
      <c r="AP170" s="36" t="n"/>
      <c r="AQ170" s="36" t="n"/>
      <c r="AR170" s="36" t="n"/>
      <c r="AS170" s="36" t="n"/>
      <c r="AT170" s="36" t="n"/>
      <c r="AU170" s="27" t="n"/>
      <c r="AV170" s="37" t="n"/>
      <c r="AW170" s="38">
        <f>IF(AO170="","",IF(AR170="Yes","❌ Disc",IF(AQ170="No","⚠ Missing",IF(AT170="Yes","✓ OK","⚠ Check"))))</f>
        <v/>
      </c>
    </row>
    <row r="171" ht="18" customHeight="1" s="46">
      <c r="A171" s="23" t="n">
        <v>167</v>
      </c>
      <c r="B171" s="24" t="inlineStr">
        <is>
          <t>BD-VRM-2026-0203</t>
        </is>
      </c>
      <c r="C171" s="25" t="inlineStr">
        <is>
          <t>Excel - Aurora 2 Wallpaper 4025-1</t>
        </is>
      </c>
      <c r="D171" s="23" t="inlineStr">
        <is>
          <t>Excel</t>
        </is>
      </c>
      <c r="E171" s="43" t="n">
        <v>46125</v>
      </c>
      <c r="F171" s="26" t="inlineStr">
        <is>
          <t>Sunil CR</t>
        </is>
      </c>
      <c r="G171" s="26" t="inlineStr">
        <is>
          <t>Yes</t>
        </is>
      </c>
      <c r="H171" s="26" t="inlineStr">
        <is>
          <t>No</t>
        </is>
      </c>
      <c r="I171" s="26" t="inlineStr">
        <is>
          <t>Good finish</t>
        </is>
      </c>
      <c r="J171" s="26" t="inlineStr">
        <is>
          <t>Yes</t>
        </is>
      </c>
      <c r="K171" s="27" t="n"/>
      <c r="L171" s="28" t="inlineStr">
        <is>
          <t>No</t>
        </is>
      </c>
      <c r="M171" s="29">
        <f>IF(E171="","",IF(H171="Yes","❌ Disc",IF(G171="No","⚠ Missing",IF(J171="Yes","✓ OK","⚠ Check"))))</f>
        <v/>
      </c>
      <c r="N171" s="43" t="n">
        <v>46193</v>
      </c>
      <c r="O171" s="26" t="inlineStr">
        <is>
          <t>Sunil CR</t>
        </is>
      </c>
      <c r="P171" s="26" t="inlineStr">
        <is>
          <t>Yes</t>
        </is>
      </c>
      <c r="Q171" s="26" t="inlineStr">
        <is>
          <t>No</t>
        </is>
      </c>
      <c r="R171" s="26" t="inlineStr">
        <is>
          <t>Good finish</t>
        </is>
      </c>
      <c r="S171" s="26" t="inlineStr">
        <is>
          <t>Yes</t>
        </is>
      </c>
      <c r="T171" s="27" t="n"/>
      <c r="U171" s="28" t="inlineStr">
        <is>
          <t>No</t>
        </is>
      </c>
      <c r="V171" s="29">
        <f>IF(N171="","",IF(Q171="Yes","❌ Disc",IF(P171="No","⚠ Missing",IF(S171="Yes","✓ OK","⚠ Check"))))</f>
        <v/>
      </c>
      <c r="W171" s="65" t="n">
        <v>46248</v>
      </c>
      <c r="X171" s="30" t="inlineStr">
        <is>
          <t>Sunil CR</t>
        </is>
      </c>
      <c r="Y171" s="30" t="inlineStr">
        <is>
          <t>Yes</t>
        </is>
      </c>
      <c r="Z171" s="30" t="n"/>
      <c r="AA171" s="30" t="inlineStr">
        <is>
          <t>Good finish</t>
        </is>
      </c>
      <c r="AB171" s="30" t="inlineStr">
        <is>
          <t>Yes</t>
        </is>
      </c>
      <c r="AC171" s="27" t="n"/>
      <c r="AD171" s="31" t="inlineStr">
        <is>
          <t>No</t>
        </is>
      </c>
      <c r="AE171" s="32">
        <f>IF(W171="","",IF(Z171="Yes","❌ Disc",IF(Y171="No","⚠ Missing",IF(AB171="Yes","✓ OK","⚠ Check"))))</f>
        <v/>
      </c>
      <c r="AF171" s="33" t="n"/>
      <c r="AG171" s="33" t="n"/>
      <c r="AH171" s="33" t="n"/>
      <c r="AI171" s="33" t="n"/>
      <c r="AJ171" s="33" t="n"/>
      <c r="AK171" s="33" t="n"/>
      <c r="AL171" s="27" t="n"/>
      <c r="AM171" s="34" t="n"/>
      <c r="AN171" s="35">
        <f>IF(AF171="","",IF(AI171="Yes","❌ Disc",IF(AH171="No","⚠ Missing",IF(AK171="Yes","✓ OK","⚠ Check"))))</f>
        <v/>
      </c>
      <c r="AO171" s="36" t="n"/>
      <c r="AP171" s="36" t="n"/>
      <c r="AQ171" s="36" t="n"/>
      <c r="AR171" s="36" t="n"/>
      <c r="AS171" s="36" t="n"/>
      <c r="AT171" s="36" t="n"/>
      <c r="AU171" s="27" t="n"/>
      <c r="AV171" s="37" t="n"/>
      <c r="AW171" s="38">
        <f>IF(AO171="","",IF(AR171="Yes","❌ Disc",IF(AQ171="No","⚠ Missing",IF(AT171="Yes","✓ OK","⚠ Check"))))</f>
        <v/>
      </c>
    </row>
    <row r="172" ht="18" customHeight="1" s="46">
      <c r="A172" s="39" t="n">
        <v>168</v>
      </c>
      <c r="B172" s="40" t="inlineStr">
        <is>
          <t>BD-VRM-2026-0204</t>
        </is>
      </c>
      <c r="C172" s="41" t="inlineStr">
        <is>
          <t>Excel - Aurora 2 Wallpaper 4025-2</t>
        </is>
      </c>
      <c r="D172" s="39" t="inlineStr">
        <is>
          <t>Excel</t>
        </is>
      </c>
      <c r="E172" s="43" t="n">
        <v>46125</v>
      </c>
      <c r="F172" s="26" t="inlineStr">
        <is>
          <t>Sunil CR</t>
        </is>
      </c>
      <c r="G172" s="26" t="inlineStr">
        <is>
          <t>Yes</t>
        </is>
      </c>
      <c r="H172" s="26" t="inlineStr">
        <is>
          <t>No</t>
        </is>
      </c>
      <c r="I172" s="26" t="inlineStr">
        <is>
          <t>Good finish</t>
        </is>
      </c>
      <c r="J172" s="26" t="inlineStr">
        <is>
          <t>Yes</t>
        </is>
      </c>
      <c r="K172" s="27" t="n"/>
      <c r="L172" s="28" t="inlineStr">
        <is>
          <t>No</t>
        </is>
      </c>
      <c r="M172" s="29">
        <f>IF(E172="","",IF(H172="Yes","❌ Disc",IF(G172="No","⚠ Missing",IF(J172="Yes","✓ OK","⚠ Check"))))</f>
        <v/>
      </c>
      <c r="N172" s="43" t="n">
        <v>46193</v>
      </c>
      <c r="O172" s="26" t="inlineStr">
        <is>
          <t>Sunil CR</t>
        </is>
      </c>
      <c r="P172" s="26" t="inlineStr">
        <is>
          <t>Yes</t>
        </is>
      </c>
      <c r="Q172" s="26" t="inlineStr">
        <is>
          <t>No</t>
        </is>
      </c>
      <c r="R172" s="26" t="inlineStr">
        <is>
          <t>Good finish</t>
        </is>
      </c>
      <c r="S172" s="26" t="inlineStr">
        <is>
          <t>Yes</t>
        </is>
      </c>
      <c r="T172" s="27" t="n"/>
      <c r="U172" s="28" t="inlineStr">
        <is>
          <t>No</t>
        </is>
      </c>
      <c r="V172" s="29">
        <f>IF(N172="","",IF(Q172="Yes","❌ Disc",IF(P172="No","⚠ Missing",IF(S172="Yes","✓ OK","⚠ Check"))))</f>
        <v/>
      </c>
      <c r="W172" s="65" t="n">
        <v>46248</v>
      </c>
      <c r="X172" s="30" t="inlineStr">
        <is>
          <t>Sunil CR</t>
        </is>
      </c>
      <c r="Y172" s="30" t="inlineStr">
        <is>
          <t>Yes</t>
        </is>
      </c>
      <c r="Z172" s="30" t="n"/>
      <c r="AA172" s="30" t="inlineStr">
        <is>
          <t>Good finish</t>
        </is>
      </c>
      <c r="AB172" s="30" t="inlineStr">
        <is>
          <t>Yes</t>
        </is>
      </c>
      <c r="AC172" s="27" t="n"/>
      <c r="AD172" s="31" t="inlineStr">
        <is>
          <t>No</t>
        </is>
      </c>
      <c r="AE172" s="32">
        <f>IF(W172="","",IF(Z172="Yes","❌ Disc",IF(Y172="No","⚠ Missing",IF(AB172="Yes","✓ OK","⚠ Check"))))</f>
        <v/>
      </c>
      <c r="AF172" s="33" t="n"/>
      <c r="AG172" s="33" t="n"/>
      <c r="AH172" s="33" t="n"/>
      <c r="AI172" s="33" t="n"/>
      <c r="AJ172" s="33" t="n"/>
      <c r="AK172" s="33" t="n"/>
      <c r="AL172" s="27" t="n"/>
      <c r="AM172" s="34" t="n"/>
      <c r="AN172" s="35">
        <f>IF(AF172="","",IF(AI172="Yes","❌ Disc",IF(AH172="No","⚠ Missing",IF(AK172="Yes","✓ OK","⚠ Check"))))</f>
        <v/>
      </c>
      <c r="AO172" s="36" t="n"/>
      <c r="AP172" s="36" t="n"/>
      <c r="AQ172" s="36" t="n"/>
      <c r="AR172" s="36" t="n"/>
      <c r="AS172" s="36" t="n"/>
      <c r="AT172" s="36" t="n"/>
      <c r="AU172" s="27" t="n"/>
      <c r="AV172" s="37" t="n"/>
      <c r="AW172" s="38">
        <f>IF(AO172="","",IF(AR172="Yes","❌ Disc",IF(AQ172="No","⚠ Missing",IF(AT172="Yes","✓ OK","⚠ Check"))))</f>
        <v/>
      </c>
    </row>
    <row r="173" ht="18" customHeight="1" s="46">
      <c r="A173" s="23" t="n">
        <v>169</v>
      </c>
      <c r="B173" s="24" t="inlineStr">
        <is>
          <t>BD-VRM-2026-0205</t>
        </is>
      </c>
      <c r="C173" s="25" t="inlineStr">
        <is>
          <t>Excel - Aurora 2 Wallpaper 4025-3</t>
        </is>
      </c>
      <c r="D173" s="23" t="inlineStr">
        <is>
          <t>Excel</t>
        </is>
      </c>
      <c r="E173" s="43" t="n">
        <v>46125</v>
      </c>
      <c r="F173" s="26" t="inlineStr">
        <is>
          <t>Sunil CR</t>
        </is>
      </c>
      <c r="G173" s="26" t="inlineStr">
        <is>
          <t>Yes</t>
        </is>
      </c>
      <c r="H173" s="26" t="inlineStr">
        <is>
          <t>No</t>
        </is>
      </c>
      <c r="I173" s="26" t="inlineStr">
        <is>
          <t>Good finish</t>
        </is>
      </c>
      <c r="J173" s="26" t="inlineStr">
        <is>
          <t>Yes</t>
        </is>
      </c>
      <c r="K173" s="27" t="n"/>
      <c r="L173" s="28" t="inlineStr">
        <is>
          <t>No</t>
        </is>
      </c>
      <c r="M173" s="29">
        <f>IF(E173="","",IF(H173="Yes","❌ Disc",IF(G173="No","⚠ Missing",IF(J173="Yes","✓ OK","⚠ Check"))))</f>
        <v/>
      </c>
      <c r="N173" s="43" t="n">
        <v>46193</v>
      </c>
      <c r="O173" s="26" t="inlineStr">
        <is>
          <t>Sunil CR</t>
        </is>
      </c>
      <c r="P173" s="26" t="inlineStr">
        <is>
          <t>Yes</t>
        </is>
      </c>
      <c r="Q173" s="26" t="inlineStr">
        <is>
          <t>No</t>
        </is>
      </c>
      <c r="R173" s="26" t="inlineStr">
        <is>
          <t>Good finish</t>
        </is>
      </c>
      <c r="S173" s="26" t="inlineStr">
        <is>
          <t>Yes</t>
        </is>
      </c>
      <c r="T173" s="27" t="n"/>
      <c r="U173" s="28" t="inlineStr">
        <is>
          <t>No</t>
        </is>
      </c>
      <c r="V173" s="29">
        <f>IF(N173="","",IF(Q173="Yes","❌ Disc",IF(P173="No","⚠ Missing",IF(S173="Yes","✓ OK","⚠ Check"))))</f>
        <v/>
      </c>
      <c r="W173" s="65" t="n">
        <v>46248</v>
      </c>
      <c r="X173" s="30" t="inlineStr">
        <is>
          <t>Sunil CR</t>
        </is>
      </c>
      <c r="Y173" s="30" t="inlineStr">
        <is>
          <t>Yes</t>
        </is>
      </c>
      <c r="Z173" s="30" t="n"/>
      <c r="AA173" s="30" t="inlineStr">
        <is>
          <t>Good finish</t>
        </is>
      </c>
      <c r="AB173" s="30" t="inlineStr">
        <is>
          <t>Yes</t>
        </is>
      </c>
      <c r="AC173" s="27" t="n"/>
      <c r="AD173" s="31" t="inlineStr">
        <is>
          <t>No</t>
        </is>
      </c>
      <c r="AE173" s="32">
        <f>IF(W173="","",IF(Z173="Yes","❌ Disc",IF(Y173="No","⚠ Missing",IF(AB173="Yes","✓ OK","⚠ Check"))))</f>
        <v/>
      </c>
      <c r="AF173" s="33" t="n"/>
      <c r="AG173" s="33" t="n"/>
      <c r="AH173" s="33" t="n"/>
      <c r="AI173" s="33" t="n"/>
      <c r="AJ173" s="33" t="n"/>
      <c r="AK173" s="33" t="n"/>
      <c r="AL173" s="27" t="n"/>
      <c r="AM173" s="34" t="n"/>
      <c r="AN173" s="35">
        <f>IF(AF173="","",IF(AI173="Yes","❌ Disc",IF(AH173="No","⚠ Missing",IF(AK173="Yes","✓ OK","⚠ Check"))))</f>
        <v/>
      </c>
      <c r="AO173" s="36" t="n"/>
      <c r="AP173" s="36" t="n"/>
      <c r="AQ173" s="36" t="n"/>
      <c r="AR173" s="36" t="n"/>
      <c r="AS173" s="36" t="n"/>
      <c r="AT173" s="36" t="n"/>
      <c r="AU173" s="27" t="n"/>
      <c r="AV173" s="37" t="n"/>
      <c r="AW173" s="38">
        <f>IF(AO173="","",IF(AR173="Yes","❌ Disc",IF(AQ173="No","⚠ Missing",IF(AT173="Yes","✓ OK","⚠ Check"))))</f>
        <v/>
      </c>
    </row>
    <row r="174" ht="18" customHeight="1" s="46">
      <c r="A174" s="39" t="n">
        <v>170</v>
      </c>
      <c r="B174" s="40" t="inlineStr">
        <is>
          <t>BD-VRM-2026-0206</t>
        </is>
      </c>
      <c r="C174" s="41" t="inlineStr">
        <is>
          <t>Excel - Aurora 2 Wallpaper 4026-1</t>
        </is>
      </c>
      <c r="D174" s="39" t="inlineStr">
        <is>
          <t>Excel</t>
        </is>
      </c>
      <c r="E174" s="43" t="n">
        <v>46125</v>
      </c>
      <c r="F174" s="26" t="inlineStr">
        <is>
          <t>Sunil CR</t>
        </is>
      </c>
      <c r="G174" s="26" t="inlineStr">
        <is>
          <t>Yes</t>
        </is>
      </c>
      <c r="H174" s="26" t="inlineStr">
        <is>
          <t>No</t>
        </is>
      </c>
      <c r="I174" s="26" t="inlineStr">
        <is>
          <t>Good finish</t>
        </is>
      </c>
      <c r="J174" s="26" t="inlineStr">
        <is>
          <t>Yes</t>
        </is>
      </c>
      <c r="K174" s="27" t="n"/>
      <c r="L174" s="28" t="inlineStr">
        <is>
          <t>No</t>
        </is>
      </c>
      <c r="M174" s="29">
        <f>IF(E174="","",IF(H174="Yes","❌ Disc",IF(G174="No","⚠ Missing",IF(J174="Yes","✓ OK","⚠ Check"))))</f>
        <v/>
      </c>
      <c r="N174" s="43" t="n">
        <v>46193</v>
      </c>
      <c r="O174" s="26" t="inlineStr">
        <is>
          <t>Sunil CR</t>
        </is>
      </c>
      <c r="P174" s="26" t="inlineStr">
        <is>
          <t>Yes</t>
        </is>
      </c>
      <c r="Q174" s="26" t="inlineStr">
        <is>
          <t>No</t>
        </is>
      </c>
      <c r="R174" s="26" t="inlineStr">
        <is>
          <t>Good finish</t>
        </is>
      </c>
      <c r="S174" s="26" t="inlineStr">
        <is>
          <t>Yes</t>
        </is>
      </c>
      <c r="T174" s="27" t="n"/>
      <c r="U174" s="28" t="inlineStr">
        <is>
          <t>No</t>
        </is>
      </c>
      <c r="V174" s="29">
        <f>IF(N174="","",IF(Q174="Yes","❌ Disc",IF(P174="No","⚠ Missing",IF(S174="Yes","✓ OK","⚠ Check"))))</f>
        <v/>
      </c>
      <c r="W174" s="65" t="n">
        <v>46248</v>
      </c>
      <c r="X174" s="30" t="inlineStr">
        <is>
          <t>Sunil CR</t>
        </is>
      </c>
      <c r="Y174" s="30" t="inlineStr">
        <is>
          <t>Yes</t>
        </is>
      </c>
      <c r="Z174" s="30" t="n"/>
      <c r="AA174" s="30" t="inlineStr">
        <is>
          <t>Good finish</t>
        </is>
      </c>
      <c r="AB174" s="30" t="inlineStr">
        <is>
          <t>Yes</t>
        </is>
      </c>
      <c r="AC174" s="27" t="n"/>
      <c r="AD174" s="31" t="inlineStr">
        <is>
          <t>No</t>
        </is>
      </c>
      <c r="AE174" s="32">
        <f>IF(W174="","",IF(Z174="Yes","❌ Disc",IF(Y174="No","⚠ Missing",IF(AB174="Yes","✓ OK","⚠ Check"))))</f>
        <v/>
      </c>
      <c r="AF174" s="33" t="n"/>
      <c r="AG174" s="33" t="n"/>
      <c r="AH174" s="33" t="n"/>
      <c r="AI174" s="33" t="n"/>
      <c r="AJ174" s="33" t="n"/>
      <c r="AK174" s="33" t="n"/>
      <c r="AL174" s="27" t="n"/>
      <c r="AM174" s="34" t="n"/>
      <c r="AN174" s="35">
        <f>IF(AF174="","",IF(AI174="Yes","❌ Disc",IF(AH174="No","⚠ Missing",IF(AK174="Yes","✓ OK","⚠ Check"))))</f>
        <v/>
      </c>
      <c r="AO174" s="36" t="n"/>
      <c r="AP174" s="36" t="n"/>
      <c r="AQ174" s="36" t="n"/>
      <c r="AR174" s="36" t="n"/>
      <c r="AS174" s="36" t="n"/>
      <c r="AT174" s="36" t="n"/>
      <c r="AU174" s="27" t="n"/>
      <c r="AV174" s="37" t="n"/>
      <c r="AW174" s="38">
        <f>IF(AO174="","",IF(AR174="Yes","❌ Disc",IF(AQ174="No","⚠ Missing",IF(AT174="Yes","✓ OK","⚠ Check"))))</f>
        <v/>
      </c>
    </row>
    <row r="175" ht="18" customHeight="1" s="46">
      <c r="A175" s="23" t="n">
        <v>171</v>
      </c>
      <c r="B175" s="24" t="inlineStr">
        <is>
          <t>BD-VRM-2026-0207</t>
        </is>
      </c>
      <c r="C175" s="25" t="inlineStr">
        <is>
          <t>Excel - Aurora 2 Wallpaper 4026-2</t>
        </is>
      </c>
      <c r="D175" s="23" t="inlineStr">
        <is>
          <t>Excel</t>
        </is>
      </c>
      <c r="E175" s="43" t="n">
        <v>46125</v>
      </c>
      <c r="F175" s="26" t="inlineStr">
        <is>
          <t>Sunil CR</t>
        </is>
      </c>
      <c r="G175" s="26" t="inlineStr">
        <is>
          <t>Yes</t>
        </is>
      </c>
      <c r="H175" s="26" t="inlineStr">
        <is>
          <t>No</t>
        </is>
      </c>
      <c r="I175" s="26" t="inlineStr">
        <is>
          <t>Good finish</t>
        </is>
      </c>
      <c r="J175" s="26" t="inlineStr">
        <is>
          <t>Yes</t>
        </is>
      </c>
      <c r="K175" s="27" t="n"/>
      <c r="L175" s="28" t="inlineStr">
        <is>
          <t>No</t>
        </is>
      </c>
      <c r="M175" s="29">
        <f>IF(E175="","",IF(H175="Yes","❌ Disc",IF(G175="No","⚠ Missing",IF(J175="Yes","✓ OK","⚠ Check"))))</f>
        <v/>
      </c>
      <c r="N175" s="43" t="n">
        <v>46193</v>
      </c>
      <c r="O175" s="26" t="inlineStr">
        <is>
          <t>Sunil CR</t>
        </is>
      </c>
      <c r="P175" s="26" t="inlineStr">
        <is>
          <t>Yes</t>
        </is>
      </c>
      <c r="Q175" s="26" t="inlineStr">
        <is>
          <t>No</t>
        </is>
      </c>
      <c r="R175" s="26" t="inlineStr">
        <is>
          <t>Good finish</t>
        </is>
      </c>
      <c r="S175" s="26" t="inlineStr">
        <is>
          <t>Yes</t>
        </is>
      </c>
      <c r="T175" s="27" t="n"/>
      <c r="U175" s="28" t="inlineStr">
        <is>
          <t>No</t>
        </is>
      </c>
      <c r="V175" s="29">
        <f>IF(N175="","",IF(Q175="Yes","❌ Disc",IF(P175="No","⚠ Missing",IF(S175="Yes","✓ OK","⚠ Check"))))</f>
        <v/>
      </c>
      <c r="W175" s="65" t="n">
        <v>46248</v>
      </c>
      <c r="X175" s="30" t="inlineStr">
        <is>
          <t>Sunil CR</t>
        </is>
      </c>
      <c r="Y175" s="30" t="inlineStr">
        <is>
          <t>Yes</t>
        </is>
      </c>
      <c r="Z175" s="30" t="n"/>
      <c r="AA175" s="30" t="inlineStr">
        <is>
          <t>Good finish</t>
        </is>
      </c>
      <c r="AB175" s="30" t="inlineStr">
        <is>
          <t>Yes</t>
        </is>
      </c>
      <c r="AC175" s="27" t="n"/>
      <c r="AD175" s="31" t="inlineStr">
        <is>
          <t>No</t>
        </is>
      </c>
      <c r="AE175" s="32">
        <f>IF(W175="","",IF(Z175="Yes","❌ Disc",IF(Y175="No","⚠ Missing",IF(AB175="Yes","✓ OK","⚠ Check"))))</f>
        <v/>
      </c>
      <c r="AF175" s="33" t="n"/>
      <c r="AG175" s="33" t="n"/>
      <c r="AH175" s="33" t="n"/>
      <c r="AI175" s="33" t="n"/>
      <c r="AJ175" s="33" t="n"/>
      <c r="AK175" s="33" t="n"/>
      <c r="AL175" s="27" t="n"/>
      <c r="AM175" s="34" t="n"/>
      <c r="AN175" s="35">
        <f>IF(AF175="","",IF(AI175="Yes","❌ Disc",IF(AH175="No","⚠ Missing",IF(AK175="Yes","✓ OK","⚠ Check"))))</f>
        <v/>
      </c>
      <c r="AO175" s="36" t="n"/>
      <c r="AP175" s="36" t="n"/>
      <c r="AQ175" s="36" t="n"/>
      <c r="AR175" s="36" t="n"/>
      <c r="AS175" s="36" t="n"/>
      <c r="AT175" s="36" t="n"/>
      <c r="AU175" s="27" t="n"/>
      <c r="AV175" s="37" t="n"/>
      <c r="AW175" s="38">
        <f>IF(AO175="","",IF(AR175="Yes","❌ Disc",IF(AQ175="No","⚠ Missing",IF(AT175="Yes","✓ OK","⚠ Check"))))</f>
        <v/>
      </c>
    </row>
    <row r="176" ht="18" customHeight="1" s="46">
      <c r="A176" s="39" t="n">
        <v>172</v>
      </c>
      <c r="B176" s="40" t="inlineStr">
        <is>
          <t>BD-VRM-2026-0208</t>
        </is>
      </c>
      <c r="C176" s="41" t="inlineStr">
        <is>
          <t>Excel - Aurora 2 Wallpaper 4026-3</t>
        </is>
      </c>
      <c r="D176" s="39" t="inlineStr">
        <is>
          <t>Excel</t>
        </is>
      </c>
      <c r="E176" s="43" t="n">
        <v>46125</v>
      </c>
      <c r="F176" s="26" t="inlineStr">
        <is>
          <t>Sunil CR</t>
        </is>
      </c>
      <c r="G176" s="26" t="inlineStr">
        <is>
          <t>Yes</t>
        </is>
      </c>
      <c r="H176" s="26" t="inlineStr">
        <is>
          <t>No</t>
        </is>
      </c>
      <c r="I176" s="26" t="inlineStr">
        <is>
          <t>Good finish</t>
        </is>
      </c>
      <c r="J176" s="26" t="inlineStr">
        <is>
          <t>Yes</t>
        </is>
      </c>
      <c r="K176" s="27" t="n"/>
      <c r="L176" s="28" t="inlineStr">
        <is>
          <t>No</t>
        </is>
      </c>
      <c r="M176" s="29">
        <f>IF(E176="","",IF(H176="Yes","❌ Disc",IF(G176="No","⚠ Missing",IF(J176="Yes","✓ OK","⚠ Check"))))</f>
        <v/>
      </c>
      <c r="N176" s="43" t="n">
        <v>46193</v>
      </c>
      <c r="O176" s="26" t="inlineStr">
        <is>
          <t>Sunil CR</t>
        </is>
      </c>
      <c r="P176" s="26" t="inlineStr">
        <is>
          <t>Yes</t>
        </is>
      </c>
      <c r="Q176" s="26" t="inlineStr">
        <is>
          <t>No</t>
        </is>
      </c>
      <c r="R176" s="26" t="inlineStr">
        <is>
          <t>Good finish</t>
        </is>
      </c>
      <c r="S176" s="26" t="inlineStr">
        <is>
          <t>Yes</t>
        </is>
      </c>
      <c r="T176" s="27" t="n"/>
      <c r="U176" s="28" t="inlineStr">
        <is>
          <t>No</t>
        </is>
      </c>
      <c r="V176" s="29">
        <f>IF(N176="","",IF(Q176="Yes","❌ Disc",IF(P176="No","⚠ Missing",IF(S176="Yes","✓ OK","⚠ Check"))))</f>
        <v/>
      </c>
      <c r="W176" s="65" t="n">
        <v>46248</v>
      </c>
      <c r="X176" s="30" t="inlineStr">
        <is>
          <t>Sunil CR</t>
        </is>
      </c>
      <c r="Y176" s="30" t="inlineStr">
        <is>
          <t>Yes</t>
        </is>
      </c>
      <c r="Z176" s="30" t="n"/>
      <c r="AA176" s="30" t="inlineStr">
        <is>
          <t>Good finish</t>
        </is>
      </c>
      <c r="AB176" s="30" t="inlineStr">
        <is>
          <t>Yes</t>
        </is>
      </c>
      <c r="AC176" s="27" t="n"/>
      <c r="AD176" s="31" t="inlineStr">
        <is>
          <t>No</t>
        </is>
      </c>
      <c r="AE176" s="32">
        <f>IF(W176="","",IF(Z176="Yes","❌ Disc",IF(Y176="No","⚠ Missing",IF(AB176="Yes","✓ OK","⚠ Check"))))</f>
        <v/>
      </c>
      <c r="AF176" s="33" t="n"/>
      <c r="AG176" s="33" t="n"/>
      <c r="AH176" s="33" t="n"/>
      <c r="AI176" s="33" t="n"/>
      <c r="AJ176" s="33" t="n"/>
      <c r="AK176" s="33" t="n"/>
      <c r="AL176" s="27" t="n"/>
      <c r="AM176" s="34" t="n"/>
      <c r="AN176" s="35">
        <f>IF(AF176="","",IF(AI176="Yes","❌ Disc",IF(AH176="No","⚠ Missing",IF(AK176="Yes","✓ OK","⚠ Check"))))</f>
        <v/>
      </c>
      <c r="AO176" s="36" t="n"/>
      <c r="AP176" s="36" t="n"/>
      <c r="AQ176" s="36" t="n"/>
      <c r="AR176" s="36" t="n"/>
      <c r="AS176" s="36" t="n"/>
      <c r="AT176" s="36" t="n"/>
      <c r="AU176" s="27" t="n"/>
      <c r="AV176" s="37" t="n"/>
      <c r="AW176" s="38">
        <f>IF(AO176="","",IF(AR176="Yes","❌ Disc",IF(AQ176="No","⚠ Missing",IF(AT176="Yes","✓ OK","⚠ Check"))))</f>
        <v/>
      </c>
    </row>
    <row r="177" ht="18" customHeight="1" s="46">
      <c r="A177" s="23" t="n">
        <v>173</v>
      </c>
      <c r="B177" s="24" t="inlineStr">
        <is>
          <t>BD-VRM-2026-0209</t>
        </is>
      </c>
      <c r="C177" s="25" t="inlineStr">
        <is>
          <t>Excel - Aurora 2 Wallpaper 4026-4</t>
        </is>
      </c>
      <c r="D177" s="23" t="inlineStr">
        <is>
          <t>Excel</t>
        </is>
      </c>
      <c r="E177" s="43" t="n">
        <v>46125</v>
      </c>
      <c r="F177" s="26" t="inlineStr">
        <is>
          <t>Sunil CR</t>
        </is>
      </c>
      <c r="G177" s="26" t="inlineStr">
        <is>
          <t>Yes</t>
        </is>
      </c>
      <c r="H177" s="26" t="inlineStr">
        <is>
          <t>No</t>
        </is>
      </c>
      <c r="I177" s="26" t="inlineStr">
        <is>
          <t>Good finish</t>
        </is>
      </c>
      <c r="J177" s="26" t="inlineStr">
        <is>
          <t>Yes</t>
        </is>
      </c>
      <c r="K177" s="27" t="n"/>
      <c r="L177" s="28" t="inlineStr">
        <is>
          <t>No</t>
        </is>
      </c>
      <c r="M177" s="29">
        <f>IF(E177="","",IF(H177="Yes","❌ Disc",IF(G177="No","⚠ Missing",IF(J177="Yes","✓ OK","⚠ Check"))))</f>
        <v/>
      </c>
      <c r="N177" s="43" t="n">
        <v>46193</v>
      </c>
      <c r="O177" s="26" t="inlineStr">
        <is>
          <t>Sunil CR</t>
        </is>
      </c>
      <c r="P177" s="26" t="inlineStr">
        <is>
          <t>Yes</t>
        </is>
      </c>
      <c r="Q177" s="26" t="inlineStr">
        <is>
          <t>No</t>
        </is>
      </c>
      <c r="R177" s="26" t="inlineStr">
        <is>
          <t>Good finish</t>
        </is>
      </c>
      <c r="S177" s="26" t="inlineStr">
        <is>
          <t>Yes</t>
        </is>
      </c>
      <c r="T177" s="27" t="n"/>
      <c r="U177" s="28" t="inlineStr">
        <is>
          <t>No</t>
        </is>
      </c>
      <c r="V177" s="29">
        <f>IF(N177="","",IF(Q177="Yes","❌ Disc",IF(P177="No","⚠ Missing",IF(S177="Yes","✓ OK","⚠ Check"))))</f>
        <v/>
      </c>
      <c r="W177" s="65" t="n">
        <v>46248</v>
      </c>
      <c r="X177" s="30" t="inlineStr">
        <is>
          <t>Sunil CR</t>
        </is>
      </c>
      <c r="Y177" s="30" t="inlineStr">
        <is>
          <t>Yes</t>
        </is>
      </c>
      <c r="Z177" s="30" t="n"/>
      <c r="AA177" s="30" t="inlineStr">
        <is>
          <t>Good finish</t>
        </is>
      </c>
      <c r="AB177" s="30" t="inlineStr">
        <is>
          <t>Yes</t>
        </is>
      </c>
      <c r="AC177" s="27" t="n"/>
      <c r="AD177" s="31" t="inlineStr">
        <is>
          <t>No</t>
        </is>
      </c>
      <c r="AE177" s="32">
        <f>IF(W177="","",IF(Z177="Yes","❌ Disc",IF(Y177="No","⚠ Missing",IF(AB177="Yes","✓ OK","⚠ Check"))))</f>
        <v/>
      </c>
      <c r="AF177" s="33" t="n"/>
      <c r="AG177" s="33" t="n"/>
      <c r="AH177" s="33" t="n"/>
      <c r="AI177" s="33" t="n"/>
      <c r="AJ177" s="33" t="n"/>
      <c r="AK177" s="33" t="n"/>
      <c r="AL177" s="27" t="n"/>
      <c r="AM177" s="34" t="n"/>
      <c r="AN177" s="35">
        <f>IF(AF177="","",IF(AI177="Yes","❌ Disc",IF(AH177="No","⚠ Missing",IF(AK177="Yes","✓ OK","⚠ Check"))))</f>
        <v/>
      </c>
      <c r="AO177" s="36" t="n"/>
      <c r="AP177" s="36" t="n"/>
      <c r="AQ177" s="36" t="n"/>
      <c r="AR177" s="36" t="n"/>
      <c r="AS177" s="36" t="n"/>
      <c r="AT177" s="36" t="n"/>
      <c r="AU177" s="27" t="n"/>
      <c r="AV177" s="37" t="n"/>
      <c r="AW177" s="38">
        <f>IF(AO177="","",IF(AR177="Yes","❌ Disc",IF(AQ177="No","⚠ Missing",IF(AT177="Yes","✓ OK","⚠ Check"))))</f>
        <v/>
      </c>
    </row>
    <row r="178" ht="18" customHeight="1" s="46">
      <c r="A178" s="39" t="n">
        <v>174</v>
      </c>
      <c r="B178" s="40" t="inlineStr">
        <is>
          <t>BD-VRM-2026-0210</t>
        </is>
      </c>
      <c r="C178" s="41" t="inlineStr">
        <is>
          <t>Excel - Aurora 2 Wallpaper 4027-1</t>
        </is>
      </c>
      <c r="D178" s="39" t="inlineStr">
        <is>
          <t>Excel</t>
        </is>
      </c>
      <c r="E178" s="43" t="n">
        <v>46125</v>
      </c>
      <c r="F178" s="26" t="inlineStr">
        <is>
          <t>Sunil CR</t>
        </is>
      </c>
      <c r="G178" s="26" t="inlineStr">
        <is>
          <t>Yes</t>
        </is>
      </c>
      <c r="H178" s="26" t="inlineStr">
        <is>
          <t>No</t>
        </is>
      </c>
      <c r="I178" s="26" t="inlineStr">
        <is>
          <t>Good finish</t>
        </is>
      </c>
      <c r="J178" s="26" t="inlineStr">
        <is>
          <t>Yes</t>
        </is>
      </c>
      <c r="K178" s="27" t="n"/>
      <c r="L178" s="28" t="inlineStr">
        <is>
          <t>No</t>
        </is>
      </c>
      <c r="M178" s="29">
        <f>IF(E178="","",IF(H178="Yes","❌ Disc",IF(G178="No","⚠ Missing",IF(J178="Yes","✓ OK","⚠ Check"))))</f>
        <v/>
      </c>
      <c r="N178" s="43" t="n">
        <v>46193</v>
      </c>
      <c r="O178" s="26" t="inlineStr">
        <is>
          <t>Sunil CR</t>
        </is>
      </c>
      <c r="P178" s="26" t="inlineStr">
        <is>
          <t>Yes</t>
        </is>
      </c>
      <c r="Q178" s="26" t="inlineStr">
        <is>
          <t>No</t>
        </is>
      </c>
      <c r="R178" s="26" t="inlineStr">
        <is>
          <t>Good finish</t>
        </is>
      </c>
      <c r="S178" s="26" t="inlineStr">
        <is>
          <t>Yes</t>
        </is>
      </c>
      <c r="T178" s="27" t="n"/>
      <c r="U178" s="28" t="inlineStr">
        <is>
          <t>No</t>
        </is>
      </c>
      <c r="V178" s="29">
        <f>IF(N178="","",IF(Q178="Yes","❌ Disc",IF(P178="No","⚠ Missing",IF(S178="Yes","✓ OK","⚠ Check"))))</f>
        <v/>
      </c>
      <c r="W178" s="65" t="n">
        <v>46248</v>
      </c>
      <c r="X178" s="30" t="inlineStr">
        <is>
          <t>Sunil CR</t>
        </is>
      </c>
      <c r="Y178" s="30" t="inlineStr">
        <is>
          <t>Yes</t>
        </is>
      </c>
      <c r="Z178" s="30" t="n"/>
      <c r="AA178" s="30" t="inlineStr">
        <is>
          <t>Good finish</t>
        </is>
      </c>
      <c r="AB178" s="30" t="inlineStr">
        <is>
          <t>Yes</t>
        </is>
      </c>
      <c r="AC178" s="27" t="n"/>
      <c r="AD178" s="31" t="inlineStr">
        <is>
          <t>No</t>
        </is>
      </c>
      <c r="AE178" s="32">
        <f>IF(W178="","",IF(Z178="Yes","❌ Disc",IF(Y178="No","⚠ Missing",IF(AB178="Yes","✓ OK","⚠ Check"))))</f>
        <v/>
      </c>
      <c r="AF178" s="33" t="n"/>
      <c r="AG178" s="33" t="n"/>
      <c r="AH178" s="33" t="n"/>
      <c r="AI178" s="33" t="n"/>
      <c r="AJ178" s="33" t="n"/>
      <c r="AK178" s="33" t="n"/>
      <c r="AL178" s="27" t="n"/>
      <c r="AM178" s="34" t="n"/>
      <c r="AN178" s="35">
        <f>IF(AF178="","",IF(AI178="Yes","❌ Disc",IF(AH178="No","⚠ Missing",IF(AK178="Yes","✓ OK","⚠ Check"))))</f>
        <v/>
      </c>
      <c r="AO178" s="36" t="n"/>
      <c r="AP178" s="36" t="n"/>
      <c r="AQ178" s="36" t="n"/>
      <c r="AR178" s="36" t="n"/>
      <c r="AS178" s="36" t="n"/>
      <c r="AT178" s="36" t="n"/>
      <c r="AU178" s="27" t="n"/>
      <c r="AV178" s="37" t="n"/>
      <c r="AW178" s="38">
        <f>IF(AO178="","",IF(AR178="Yes","❌ Disc",IF(AQ178="No","⚠ Missing",IF(AT178="Yes","✓ OK","⚠ Check"))))</f>
        <v/>
      </c>
    </row>
    <row r="179" ht="18" customHeight="1" s="46">
      <c r="A179" s="23" t="n">
        <v>175</v>
      </c>
      <c r="B179" s="24" t="inlineStr">
        <is>
          <t>BD-VRM-2026-0211</t>
        </is>
      </c>
      <c r="C179" s="25" t="inlineStr">
        <is>
          <t>Excel - Aurora 2 Wallpaper 4027-2</t>
        </is>
      </c>
      <c r="D179" s="23" t="inlineStr">
        <is>
          <t>Excel</t>
        </is>
      </c>
      <c r="E179" s="43" t="n">
        <v>46125</v>
      </c>
      <c r="F179" s="26" t="inlineStr">
        <is>
          <t>Sunil CR</t>
        </is>
      </c>
      <c r="G179" s="26" t="inlineStr">
        <is>
          <t>Yes</t>
        </is>
      </c>
      <c r="H179" s="26" t="inlineStr">
        <is>
          <t>No</t>
        </is>
      </c>
      <c r="I179" s="26" t="inlineStr">
        <is>
          <t>Good finish</t>
        </is>
      </c>
      <c r="J179" s="26" t="inlineStr">
        <is>
          <t>Yes</t>
        </is>
      </c>
      <c r="K179" s="27" t="n"/>
      <c r="L179" s="28" t="inlineStr">
        <is>
          <t>No</t>
        </is>
      </c>
      <c r="M179" s="29">
        <f>IF(E179="","",IF(H179="Yes","❌ Disc",IF(G179="No","⚠ Missing",IF(J179="Yes","✓ OK","⚠ Check"))))</f>
        <v/>
      </c>
      <c r="N179" s="43" t="n">
        <v>46193</v>
      </c>
      <c r="O179" s="26" t="inlineStr">
        <is>
          <t>Sunil CR</t>
        </is>
      </c>
      <c r="P179" s="26" t="inlineStr">
        <is>
          <t>Yes</t>
        </is>
      </c>
      <c r="Q179" s="26" t="inlineStr">
        <is>
          <t>No</t>
        </is>
      </c>
      <c r="R179" s="26" t="inlineStr">
        <is>
          <t>Good finish</t>
        </is>
      </c>
      <c r="S179" s="26" t="inlineStr">
        <is>
          <t>Yes</t>
        </is>
      </c>
      <c r="T179" s="27" t="n"/>
      <c r="U179" s="28" t="inlineStr">
        <is>
          <t>No</t>
        </is>
      </c>
      <c r="V179" s="29">
        <f>IF(N179="","",IF(Q179="Yes","❌ Disc",IF(P179="No","⚠ Missing",IF(S179="Yes","✓ OK","⚠ Check"))))</f>
        <v/>
      </c>
      <c r="W179" s="65" t="n">
        <v>46248</v>
      </c>
      <c r="X179" s="30" t="inlineStr">
        <is>
          <t>Sunil CR</t>
        </is>
      </c>
      <c r="Y179" s="30" t="inlineStr">
        <is>
          <t>Yes</t>
        </is>
      </c>
      <c r="Z179" s="30" t="n"/>
      <c r="AA179" s="30" t="inlineStr">
        <is>
          <t>Good finish</t>
        </is>
      </c>
      <c r="AB179" s="30" t="inlineStr">
        <is>
          <t>Yes</t>
        </is>
      </c>
      <c r="AC179" s="27" t="n"/>
      <c r="AD179" s="31" t="inlineStr">
        <is>
          <t>No</t>
        </is>
      </c>
      <c r="AE179" s="32">
        <f>IF(W179="","",IF(Z179="Yes","❌ Disc",IF(Y179="No","⚠ Missing",IF(AB179="Yes","✓ OK","⚠ Check"))))</f>
        <v/>
      </c>
      <c r="AF179" s="33" t="n"/>
      <c r="AG179" s="33" t="n"/>
      <c r="AH179" s="33" t="n"/>
      <c r="AI179" s="33" t="n"/>
      <c r="AJ179" s="33" t="n"/>
      <c r="AK179" s="33" t="n"/>
      <c r="AL179" s="27" t="n"/>
      <c r="AM179" s="34" t="n"/>
      <c r="AN179" s="35">
        <f>IF(AF179="","",IF(AI179="Yes","❌ Disc",IF(AH179="No","⚠ Missing",IF(AK179="Yes","✓ OK","⚠ Check"))))</f>
        <v/>
      </c>
      <c r="AO179" s="36" t="n"/>
      <c r="AP179" s="36" t="n"/>
      <c r="AQ179" s="36" t="n"/>
      <c r="AR179" s="36" t="n"/>
      <c r="AS179" s="36" t="n"/>
      <c r="AT179" s="36" t="n"/>
      <c r="AU179" s="27" t="n"/>
      <c r="AV179" s="37" t="n"/>
      <c r="AW179" s="38">
        <f>IF(AO179="","",IF(AR179="Yes","❌ Disc",IF(AQ179="No","⚠ Missing",IF(AT179="Yes","✓ OK","⚠ Check"))))</f>
        <v/>
      </c>
    </row>
    <row r="180" ht="18" customHeight="1" s="46">
      <c r="A180" s="39" t="n">
        <v>176</v>
      </c>
      <c r="B180" s="40" t="inlineStr">
        <is>
          <t>BD-VRM-2026-0212</t>
        </is>
      </c>
      <c r="C180" s="41" t="inlineStr">
        <is>
          <t>Excel - Aurora 2 Wallpaper 4028-1</t>
        </is>
      </c>
      <c r="D180" s="39" t="inlineStr">
        <is>
          <t>Excel</t>
        </is>
      </c>
      <c r="E180" s="43" t="n">
        <v>46125</v>
      </c>
      <c r="F180" s="26" t="inlineStr">
        <is>
          <t>Sunil CR</t>
        </is>
      </c>
      <c r="G180" s="26" t="inlineStr">
        <is>
          <t>Yes</t>
        </is>
      </c>
      <c r="H180" s="26" t="inlineStr">
        <is>
          <t>No</t>
        </is>
      </c>
      <c r="I180" s="26" t="inlineStr">
        <is>
          <t>Good finish</t>
        </is>
      </c>
      <c r="J180" s="26" t="inlineStr">
        <is>
          <t>Yes</t>
        </is>
      </c>
      <c r="K180" s="27" t="n"/>
      <c r="L180" s="28" t="inlineStr">
        <is>
          <t>No</t>
        </is>
      </c>
      <c r="M180" s="29">
        <f>IF(E180="","",IF(H180="Yes","❌ Disc",IF(G180="No","⚠ Missing",IF(J180="Yes","✓ OK","⚠ Check"))))</f>
        <v/>
      </c>
      <c r="N180" s="43" t="n">
        <v>46193</v>
      </c>
      <c r="O180" s="26" t="inlineStr">
        <is>
          <t>Sunil CR</t>
        </is>
      </c>
      <c r="P180" s="26" t="inlineStr">
        <is>
          <t>Yes</t>
        </is>
      </c>
      <c r="Q180" s="26" t="inlineStr">
        <is>
          <t>No</t>
        </is>
      </c>
      <c r="R180" s="26" t="inlineStr">
        <is>
          <t>Good finish</t>
        </is>
      </c>
      <c r="S180" s="26" t="inlineStr">
        <is>
          <t>Yes</t>
        </is>
      </c>
      <c r="T180" s="27" t="n"/>
      <c r="U180" s="28" t="inlineStr">
        <is>
          <t>No</t>
        </is>
      </c>
      <c r="V180" s="29">
        <f>IF(N180="","",IF(Q180="Yes","❌ Disc",IF(P180="No","⚠ Missing",IF(S180="Yes","✓ OK","⚠ Check"))))</f>
        <v/>
      </c>
      <c r="W180" s="65" t="n">
        <v>46248</v>
      </c>
      <c r="X180" s="30" t="inlineStr">
        <is>
          <t>Sunil CR</t>
        </is>
      </c>
      <c r="Y180" s="30" t="inlineStr">
        <is>
          <t>Yes</t>
        </is>
      </c>
      <c r="Z180" s="30" t="n"/>
      <c r="AA180" s="30" t="inlineStr">
        <is>
          <t>Good finish</t>
        </is>
      </c>
      <c r="AB180" s="30" t="inlineStr">
        <is>
          <t>Yes</t>
        </is>
      </c>
      <c r="AC180" s="27" t="n"/>
      <c r="AD180" s="31" t="inlineStr">
        <is>
          <t>No</t>
        </is>
      </c>
      <c r="AE180" s="32">
        <f>IF(W180="","",IF(Z180="Yes","❌ Disc",IF(Y180="No","⚠ Missing",IF(AB180="Yes","✓ OK","⚠ Check"))))</f>
        <v/>
      </c>
      <c r="AF180" s="33" t="n"/>
      <c r="AG180" s="33" t="n"/>
      <c r="AH180" s="33" t="n"/>
      <c r="AI180" s="33" t="n"/>
      <c r="AJ180" s="33" t="n"/>
      <c r="AK180" s="33" t="n"/>
      <c r="AL180" s="27" t="n"/>
      <c r="AM180" s="34" t="n"/>
      <c r="AN180" s="35">
        <f>IF(AF180="","",IF(AI180="Yes","❌ Disc",IF(AH180="No","⚠ Missing",IF(AK180="Yes","✓ OK","⚠ Check"))))</f>
        <v/>
      </c>
      <c r="AO180" s="36" t="n"/>
      <c r="AP180" s="36" t="n"/>
      <c r="AQ180" s="36" t="n"/>
      <c r="AR180" s="36" t="n"/>
      <c r="AS180" s="36" t="n"/>
      <c r="AT180" s="36" t="n"/>
      <c r="AU180" s="27" t="n"/>
      <c r="AV180" s="37" t="n"/>
      <c r="AW180" s="38">
        <f>IF(AO180="","",IF(AR180="Yes","❌ Disc",IF(AQ180="No","⚠ Missing",IF(AT180="Yes","✓ OK","⚠ Check"))))</f>
        <v/>
      </c>
    </row>
    <row r="181" ht="18" customHeight="1" s="46">
      <c r="A181" s="23" t="n">
        <v>177</v>
      </c>
      <c r="B181" s="24" t="inlineStr">
        <is>
          <t>BD-VRM-2026-0213</t>
        </is>
      </c>
      <c r="C181" s="25" t="inlineStr">
        <is>
          <t>Excel - Aurora 2 Wallpaper 4028-2</t>
        </is>
      </c>
      <c r="D181" s="23" t="inlineStr">
        <is>
          <t>Excel</t>
        </is>
      </c>
      <c r="E181" s="43" t="n">
        <v>46125</v>
      </c>
      <c r="F181" s="26" t="inlineStr">
        <is>
          <t>Sunil CR</t>
        </is>
      </c>
      <c r="G181" s="26" t="inlineStr">
        <is>
          <t>Yes</t>
        </is>
      </c>
      <c r="H181" s="26" t="inlineStr">
        <is>
          <t>No</t>
        </is>
      </c>
      <c r="I181" s="26" t="inlineStr">
        <is>
          <t>Good finish</t>
        </is>
      </c>
      <c r="J181" s="26" t="inlineStr">
        <is>
          <t>Yes</t>
        </is>
      </c>
      <c r="K181" s="27" t="n"/>
      <c r="L181" s="28" t="inlineStr">
        <is>
          <t>No</t>
        </is>
      </c>
      <c r="M181" s="29">
        <f>IF(E181="","",IF(H181="Yes","❌ Disc",IF(G181="No","⚠ Missing",IF(J181="Yes","✓ OK","⚠ Check"))))</f>
        <v/>
      </c>
      <c r="N181" s="43" t="n">
        <v>46193</v>
      </c>
      <c r="O181" s="26" t="inlineStr">
        <is>
          <t>Sunil CR</t>
        </is>
      </c>
      <c r="P181" s="26" t="inlineStr">
        <is>
          <t>Yes</t>
        </is>
      </c>
      <c r="Q181" s="26" t="inlineStr">
        <is>
          <t>No</t>
        </is>
      </c>
      <c r="R181" s="26" t="inlineStr">
        <is>
          <t>Good finish</t>
        </is>
      </c>
      <c r="S181" s="26" t="inlineStr">
        <is>
          <t>Yes</t>
        </is>
      </c>
      <c r="T181" s="27" t="n"/>
      <c r="U181" s="28" t="inlineStr">
        <is>
          <t>No</t>
        </is>
      </c>
      <c r="V181" s="29">
        <f>IF(N181="","",IF(Q181="Yes","❌ Disc",IF(P181="No","⚠ Missing",IF(S181="Yes","✓ OK","⚠ Check"))))</f>
        <v/>
      </c>
      <c r="W181" s="65" t="n">
        <v>46248</v>
      </c>
      <c r="X181" s="30" t="inlineStr">
        <is>
          <t>Sunil CR</t>
        </is>
      </c>
      <c r="Y181" s="30" t="inlineStr">
        <is>
          <t>Yes</t>
        </is>
      </c>
      <c r="Z181" s="30" t="n"/>
      <c r="AA181" s="30" t="inlineStr">
        <is>
          <t>Good finish</t>
        </is>
      </c>
      <c r="AB181" s="30" t="inlineStr">
        <is>
          <t>Yes</t>
        </is>
      </c>
      <c r="AC181" s="27" t="n"/>
      <c r="AD181" s="31" t="inlineStr">
        <is>
          <t>No</t>
        </is>
      </c>
      <c r="AE181" s="32">
        <f>IF(W181="","",IF(Z181="Yes","❌ Disc",IF(Y181="No","⚠ Missing",IF(AB181="Yes","✓ OK","⚠ Check"))))</f>
        <v/>
      </c>
      <c r="AF181" s="33" t="n"/>
      <c r="AG181" s="33" t="n"/>
      <c r="AH181" s="33" t="n"/>
      <c r="AI181" s="33" t="n"/>
      <c r="AJ181" s="33" t="n"/>
      <c r="AK181" s="33" t="n"/>
      <c r="AL181" s="27" t="n"/>
      <c r="AM181" s="34" t="n"/>
      <c r="AN181" s="35">
        <f>IF(AF181="","",IF(AI181="Yes","❌ Disc",IF(AH181="No","⚠ Missing",IF(AK181="Yes","✓ OK","⚠ Check"))))</f>
        <v/>
      </c>
      <c r="AO181" s="36" t="n"/>
      <c r="AP181" s="36" t="n"/>
      <c r="AQ181" s="36" t="n"/>
      <c r="AR181" s="36" t="n"/>
      <c r="AS181" s="36" t="n"/>
      <c r="AT181" s="36" t="n"/>
      <c r="AU181" s="27" t="n"/>
      <c r="AV181" s="37" t="n"/>
      <c r="AW181" s="38">
        <f>IF(AO181="","",IF(AR181="Yes","❌ Disc",IF(AQ181="No","⚠ Missing",IF(AT181="Yes","✓ OK","⚠ Check"))))</f>
        <v/>
      </c>
    </row>
    <row r="182" ht="18" customHeight="1" s="46">
      <c r="A182" s="39" t="n">
        <v>178</v>
      </c>
      <c r="B182" s="40" t="inlineStr">
        <is>
          <t>BD-VRM-2026-0214</t>
        </is>
      </c>
      <c r="C182" s="41" t="inlineStr">
        <is>
          <t>Excel - Aurora 2 Wallpaper 4028-3</t>
        </is>
      </c>
      <c r="D182" s="39" t="inlineStr">
        <is>
          <t>Excel</t>
        </is>
      </c>
      <c r="E182" s="43" t="n">
        <v>46125</v>
      </c>
      <c r="F182" s="26" t="inlineStr">
        <is>
          <t>Sunil CR</t>
        </is>
      </c>
      <c r="G182" s="26" t="inlineStr">
        <is>
          <t>Yes</t>
        </is>
      </c>
      <c r="H182" s="26" t="inlineStr">
        <is>
          <t>No</t>
        </is>
      </c>
      <c r="I182" s="26" t="inlineStr">
        <is>
          <t>Good finish</t>
        </is>
      </c>
      <c r="J182" s="26" t="inlineStr">
        <is>
          <t>Yes</t>
        </is>
      </c>
      <c r="K182" s="27" t="n"/>
      <c r="L182" s="28" t="inlineStr">
        <is>
          <t>No</t>
        </is>
      </c>
      <c r="M182" s="29">
        <f>IF(E182="","",IF(H182="Yes","❌ Disc",IF(G182="No","⚠ Missing",IF(J182="Yes","✓ OK","⚠ Check"))))</f>
        <v/>
      </c>
      <c r="N182" s="43" t="n">
        <v>46193</v>
      </c>
      <c r="O182" s="26" t="inlineStr">
        <is>
          <t>Sunil CR</t>
        </is>
      </c>
      <c r="P182" s="26" t="inlineStr">
        <is>
          <t>Yes</t>
        </is>
      </c>
      <c r="Q182" s="26" t="inlineStr">
        <is>
          <t>No</t>
        </is>
      </c>
      <c r="R182" s="26" t="inlineStr">
        <is>
          <t>Good finish</t>
        </is>
      </c>
      <c r="S182" s="26" t="inlineStr">
        <is>
          <t>Yes</t>
        </is>
      </c>
      <c r="T182" s="27" t="n"/>
      <c r="U182" s="28" t="inlineStr">
        <is>
          <t>No</t>
        </is>
      </c>
      <c r="V182" s="29">
        <f>IF(N182="","",IF(Q182="Yes","❌ Disc",IF(P182="No","⚠ Missing",IF(S182="Yes","✓ OK","⚠ Check"))))</f>
        <v/>
      </c>
      <c r="W182" s="65" t="n">
        <v>46248</v>
      </c>
      <c r="X182" s="30" t="inlineStr">
        <is>
          <t>Sunil CR</t>
        </is>
      </c>
      <c r="Y182" s="30" t="inlineStr">
        <is>
          <t>Yes</t>
        </is>
      </c>
      <c r="Z182" s="30" t="n"/>
      <c r="AA182" s="30" t="inlineStr">
        <is>
          <t>Good finish</t>
        </is>
      </c>
      <c r="AB182" s="30" t="inlineStr">
        <is>
          <t>Yes</t>
        </is>
      </c>
      <c r="AC182" s="27" t="n"/>
      <c r="AD182" s="31" t="inlineStr">
        <is>
          <t>No</t>
        </is>
      </c>
      <c r="AE182" s="32">
        <f>IF(W182="","",IF(Z182="Yes","❌ Disc",IF(Y182="No","⚠ Missing",IF(AB182="Yes","✓ OK","⚠ Check"))))</f>
        <v/>
      </c>
      <c r="AF182" s="33" t="n"/>
      <c r="AG182" s="33" t="n"/>
      <c r="AH182" s="33" t="n"/>
      <c r="AI182" s="33" t="n"/>
      <c r="AJ182" s="33" t="n"/>
      <c r="AK182" s="33" t="n"/>
      <c r="AL182" s="27" t="n"/>
      <c r="AM182" s="34" t="n"/>
      <c r="AN182" s="35">
        <f>IF(AF182="","",IF(AI182="Yes","❌ Disc",IF(AH182="No","⚠ Missing",IF(AK182="Yes","✓ OK","⚠ Check"))))</f>
        <v/>
      </c>
      <c r="AO182" s="36" t="n"/>
      <c r="AP182" s="36" t="n"/>
      <c r="AQ182" s="36" t="n"/>
      <c r="AR182" s="36" t="n"/>
      <c r="AS182" s="36" t="n"/>
      <c r="AT182" s="36" t="n"/>
      <c r="AU182" s="27" t="n"/>
      <c r="AV182" s="37" t="n"/>
      <c r="AW182" s="38">
        <f>IF(AO182="","",IF(AR182="Yes","❌ Disc",IF(AQ182="No","⚠ Missing",IF(AT182="Yes","✓ OK","⚠ Check"))))</f>
        <v/>
      </c>
    </row>
    <row r="183" ht="18" customHeight="1" s="46">
      <c r="A183" s="23" t="n">
        <v>179</v>
      </c>
      <c r="B183" s="24" t="inlineStr">
        <is>
          <t>BD-VRM-2026-0215</t>
        </is>
      </c>
      <c r="C183" s="25" t="inlineStr">
        <is>
          <t>Excel - Aurora 2 Wallpaper 4028-4</t>
        </is>
      </c>
      <c r="D183" s="23" t="inlineStr">
        <is>
          <t>Excel</t>
        </is>
      </c>
      <c r="E183" s="43" t="n">
        <v>46125</v>
      </c>
      <c r="F183" s="26" t="inlineStr">
        <is>
          <t>Sunil CR</t>
        </is>
      </c>
      <c r="G183" s="26" t="inlineStr">
        <is>
          <t>Yes</t>
        </is>
      </c>
      <c r="H183" s="26" t="inlineStr">
        <is>
          <t>No</t>
        </is>
      </c>
      <c r="I183" s="26" t="inlineStr">
        <is>
          <t>Good finish</t>
        </is>
      </c>
      <c r="J183" s="26" t="inlineStr">
        <is>
          <t>Yes</t>
        </is>
      </c>
      <c r="K183" s="27" t="n"/>
      <c r="L183" s="28" t="inlineStr">
        <is>
          <t>No</t>
        </is>
      </c>
      <c r="M183" s="29">
        <f>IF(E183="","",IF(H183="Yes","❌ Disc",IF(G183="No","⚠ Missing",IF(J183="Yes","✓ OK","⚠ Check"))))</f>
        <v/>
      </c>
      <c r="N183" s="43" t="n">
        <v>46193</v>
      </c>
      <c r="O183" s="26" t="inlineStr">
        <is>
          <t>Sunil CR</t>
        </is>
      </c>
      <c r="P183" s="26" t="inlineStr">
        <is>
          <t>Yes</t>
        </is>
      </c>
      <c r="Q183" s="26" t="inlineStr">
        <is>
          <t>No</t>
        </is>
      </c>
      <c r="R183" s="26" t="inlineStr">
        <is>
          <t>Good finish</t>
        </is>
      </c>
      <c r="S183" s="26" t="inlineStr">
        <is>
          <t>Yes</t>
        </is>
      </c>
      <c r="T183" s="27" t="n"/>
      <c r="U183" s="28" t="inlineStr">
        <is>
          <t>No</t>
        </is>
      </c>
      <c r="V183" s="29">
        <f>IF(N183="","",IF(Q183="Yes","❌ Disc",IF(P183="No","⚠ Missing",IF(S183="Yes","✓ OK","⚠ Check"))))</f>
        <v/>
      </c>
      <c r="W183" s="65" t="n">
        <v>46248</v>
      </c>
      <c r="X183" s="30" t="inlineStr">
        <is>
          <t>Sunil CR</t>
        </is>
      </c>
      <c r="Y183" s="30" t="inlineStr">
        <is>
          <t>Yes</t>
        </is>
      </c>
      <c r="Z183" s="30" t="n"/>
      <c r="AA183" s="30" t="inlineStr">
        <is>
          <t>Good finish</t>
        </is>
      </c>
      <c r="AB183" s="30" t="inlineStr">
        <is>
          <t>Yes</t>
        </is>
      </c>
      <c r="AC183" s="27" t="n"/>
      <c r="AD183" s="31" t="inlineStr">
        <is>
          <t>No</t>
        </is>
      </c>
      <c r="AE183" s="32">
        <f>IF(W183="","",IF(Z183="Yes","❌ Disc",IF(Y183="No","⚠ Missing",IF(AB183="Yes","✓ OK","⚠ Check"))))</f>
        <v/>
      </c>
      <c r="AF183" s="33" t="n"/>
      <c r="AG183" s="33" t="n"/>
      <c r="AH183" s="33" t="n"/>
      <c r="AI183" s="33" t="n"/>
      <c r="AJ183" s="33" t="n"/>
      <c r="AK183" s="33" t="n"/>
      <c r="AL183" s="27" t="n"/>
      <c r="AM183" s="34" t="n"/>
      <c r="AN183" s="35">
        <f>IF(AF183="","",IF(AI183="Yes","❌ Disc",IF(AH183="No","⚠ Missing",IF(AK183="Yes","✓ OK","⚠ Check"))))</f>
        <v/>
      </c>
      <c r="AO183" s="36" t="n"/>
      <c r="AP183" s="36" t="n"/>
      <c r="AQ183" s="36" t="n"/>
      <c r="AR183" s="36" t="n"/>
      <c r="AS183" s="36" t="n"/>
      <c r="AT183" s="36" t="n"/>
      <c r="AU183" s="27" t="n"/>
      <c r="AV183" s="37" t="n"/>
      <c r="AW183" s="38">
        <f>IF(AO183="","",IF(AR183="Yes","❌ Disc",IF(AQ183="No","⚠ Missing",IF(AT183="Yes","✓ OK","⚠ Check"))))</f>
        <v/>
      </c>
    </row>
    <row r="184" ht="18" customHeight="1" s="46">
      <c r="A184" s="39" t="n">
        <v>180</v>
      </c>
      <c r="B184" s="40" t="inlineStr">
        <is>
          <t>BD-VRM-2026-0216</t>
        </is>
      </c>
      <c r="C184" s="41" t="inlineStr">
        <is>
          <t>Excel - Aurora 2 Wallpaper 4028-5</t>
        </is>
      </c>
      <c r="D184" s="39" t="inlineStr">
        <is>
          <t>Excel</t>
        </is>
      </c>
      <c r="E184" s="43" t="n">
        <v>46125</v>
      </c>
      <c r="F184" s="26" t="inlineStr">
        <is>
          <t>Sunil CR</t>
        </is>
      </c>
      <c r="G184" s="26" t="inlineStr">
        <is>
          <t>Yes</t>
        </is>
      </c>
      <c r="H184" s="26" t="inlineStr">
        <is>
          <t>No</t>
        </is>
      </c>
      <c r="I184" s="26" t="inlineStr">
        <is>
          <t>Good finish</t>
        </is>
      </c>
      <c r="J184" s="26" t="inlineStr">
        <is>
          <t>Yes</t>
        </is>
      </c>
      <c r="K184" s="27" t="n"/>
      <c r="L184" s="28" t="inlineStr">
        <is>
          <t>No</t>
        </is>
      </c>
      <c r="M184" s="29">
        <f>IF(E184="","",IF(H184="Yes","❌ Disc",IF(G184="No","⚠ Missing",IF(J184="Yes","✓ OK","⚠ Check"))))</f>
        <v/>
      </c>
      <c r="N184" s="43" t="n">
        <v>46193</v>
      </c>
      <c r="O184" s="26" t="inlineStr">
        <is>
          <t>Sunil CR</t>
        </is>
      </c>
      <c r="P184" s="26" t="inlineStr">
        <is>
          <t>Yes</t>
        </is>
      </c>
      <c r="Q184" s="26" t="inlineStr">
        <is>
          <t>No</t>
        </is>
      </c>
      <c r="R184" s="26" t="inlineStr">
        <is>
          <t>Good finish</t>
        </is>
      </c>
      <c r="S184" s="26" t="inlineStr">
        <is>
          <t>Yes</t>
        </is>
      </c>
      <c r="T184" s="27" t="n"/>
      <c r="U184" s="28" t="inlineStr">
        <is>
          <t>No</t>
        </is>
      </c>
      <c r="V184" s="29">
        <f>IF(N184="","",IF(Q184="Yes","❌ Disc",IF(P184="No","⚠ Missing",IF(S184="Yes","✓ OK","⚠ Check"))))</f>
        <v/>
      </c>
      <c r="W184" s="65" t="n">
        <v>46248</v>
      </c>
      <c r="X184" s="30" t="inlineStr">
        <is>
          <t>Sunil CR</t>
        </is>
      </c>
      <c r="Y184" s="30" t="inlineStr">
        <is>
          <t>Yes</t>
        </is>
      </c>
      <c r="Z184" s="30" t="n"/>
      <c r="AA184" s="30" t="inlineStr">
        <is>
          <t>Good finish</t>
        </is>
      </c>
      <c r="AB184" s="30" t="inlineStr">
        <is>
          <t>Yes</t>
        </is>
      </c>
      <c r="AC184" s="27" t="n"/>
      <c r="AD184" s="31" t="inlineStr">
        <is>
          <t>No</t>
        </is>
      </c>
      <c r="AE184" s="32">
        <f>IF(W184="","",IF(Z184="Yes","❌ Disc",IF(Y184="No","⚠ Missing",IF(AB184="Yes","✓ OK","⚠ Check"))))</f>
        <v/>
      </c>
      <c r="AF184" s="33" t="n"/>
      <c r="AG184" s="33" t="n"/>
      <c r="AH184" s="33" t="n"/>
      <c r="AI184" s="33" t="n"/>
      <c r="AJ184" s="33" t="n"/>
      <c r="AK184" s="33" t="n"/>
      <c r="AL184" s="27" t="n"/>
      <c r="AM184" s="34" t="n"/>
      <c r="AN184" s="35">
        <f>IF(AF184="","",IF(AI184="Yes","❌ Disc",IF(AH184="No","⚠ Missing",IF(AK184="Yes","✓ OK","⚠ Check"))))</f>
        <v/>
      </c>
      <c r="AO184" s="36" t="n"/>
      <c r="AP184" s="36" t="n"/>
      <c r="AQ184" s="36" t="n"/>
      <c r="AR184" s="36" t="n"/>
      <c r="AS184" s="36" t="n"/>
      <c r="AT184" s="36" t="n"/>
      <c r="AU184" s="27" t="n"/>
      <c r="AV184" s="37" t="n"/>
      <c r="AW184" s="38">
        <f>IF(AO184="","",IF(AR184="Yes","❌ Disc",IF(AQ184="No","⚠ Missing",IF(AT184="Yes","✓ OK","⚠ Check"))))</f>
        <v/>
      </c>
    </row>
    <row r="185" ht="18" customHeight="1" s="46">
      <c r="A185" s="23" t="n">
        <v>181</v>
      </c>
      <c r="B185" s="24" t="inlineStr">
        <is>
          <t>BD-VRM-2026-0217</t>
        </is>
      </c>
      <c r="C185" s="25" t="inlineStr">
        <is>
          <t>Excel - Aurora 2 Wallpaper 4029-1</t>
        </is>
      </c>
      <c r="D185" s="23" t="inlineStr">
        <is>
          <t>Excel</t>
        </is>
      </c>
      <c r="E185" s="43" t="n">
        <v>46125</v>
      </c>
      <c r="F185" s="26" t="inlineStr">
        <is>
          <t>Sunil CR</t>
        </is>
      </c>
      <c r="G185" s="26" t="inlineStr">
        <is>
          <t>Yes</t>
        </is>
      </c>
      <c r="H185" s="26" t="inlineStr">
        <is>
          <t>No</t>
        </is>
      </c>
      <c r="I185" s="26" t="inlineStr">
        <is>
          <t>Good finish</t>
        </is>
      </c>
      <c r="J185" s="26" t="inlineStr">
        <is>
          <t>Yes</t>
        </is>
      </c>
      <c r="K185" s="27" t="n"/>
      <c r="L185" s="28" t="inlineStr">
        <is>
          <t>No</t>
        </is>
      </c>
      <c r="M185" s="29">
        <f>IF(E185="","",IF(H185="Yes","❌ Disc",IF(G185="No","⚠ Missing",IF(J185="Yes","✓ OK","⚠ Check"))))</f>
        <v/>
      </c>
      <c r="N185" s="43" t="n">
        <v>46193</v>
      </c>
      <c r="O185" s="26" t="inlineStr">
        <is>
          <t>Sunil CR</t>
        </is>
      </c>
      <c r="P185" s="26" t="inlineStr">
        <is>
          <t>Yes</t>
        </is>
      </c>
      <c r="Q185" s="26" t="inlineStr">
        <is>
          <t>No</t>
        </is>
      </c>
      <c r="R185" s="26" t="inlineStr">
        <is>
          <t>Good finish</t>
        </is>
      </c>
      <c r="S185" s="26" t="inlineStr">
        <is>
          <t>Yes</t>
        </is>
      </c>
      <c r="T185" s="27" t="n"/>
      <c r="U185" s="28" t="inlineStr">
        <is>
          <t>No</t>
        </is>
      </c>
      <c r="V185" s="29">
        <f>IF(N185="","",IF(Q185="Yes","❌ Disc",IF(P185="No","⚠ Missing",IF(S185="Yes","✓ OK","⚠ Check"))))</f>
        <v/>
      </c>
      <c r="W185" s="65" t="n">
        <v>46248</v>
      </c>
      <c r="X185" s="30" t="inlineStr">
        <is>
          <t>Sunil CR</t>
        </is>
      </c>
      <c r="Y185" s="30" t="inlineStr">
        <is>
          <t>Yes</t>
        </is>
      </c>
      <c r="Z185" s="30" t="n"/>
      <c r="AA185" s="30" t="inlineStr">
        <is>
          <t>Good finish</t>
        </is>
      </c>
      <c r="AB185" s="30" t="inlineStr">
        <is>
          <t>Yes</t>
        </is>
      </c>
      <c r="AC185" s="27" t="n"/>
      <c r="AD185" s="31" t="inlineStr">
        <is>
          <t>No</t>
        </is>
      </c>
      <c r="AE185" s="32">
        <f>IF(W185="","",IF(Z185="Yes","❌ Disc",IF(Y185="No","⚠ Missing",IF(AB185="Yes","✓ OK","⚠ Check"))))</f>
        <v/>
      </c>
      <c r="AF185" s="33" t="n"/>
      <c r="AG185" s="33" t="n"/>
      <c r="AH185" s="33" t="n"/>
      <c r="AI185" s="33" t="n"/>
      <c r="AJ185" s="33" t="n"/>
      <c r="AK185" s="33" t="n"/>
      <c r="AL185" s="27" t="n"/>
      <c r="AM185" s="34" t="n"/>
      <c r="AN185" s="35">
        <f>IF(AF185="","",IF(AI185="Yes","❌ Disc",IF(AH185="No","⚠ Missing",IF(AK185="Yes","✓ OK","⚠ Check"))))</f>
        <v/>
      </c>
      <c r="AO185" s="36" t="n"/>
      <c r="AP185" s="36" t="n"/>
      <c r="AQ185" s="36" t="n"/>
      <c r="AR185" s="36" t="n"/>
      <c r="AS185" s="36" t="n"/>
      <c r="AT185" s="36" t="n"/>
      <c r="AU185" s="27" t="n"/>
      <c r="AV185" s="37" t="n"/>
      <c r="AW185" s="38">
        <f>IF(AO185="","",IF(AR185="Yes","❌ Disc",IF(AQ185="No","⚠ Missing",IF(AT185="Yes","✓ OK","⚠ Check"))))</f>
        <v/>
      </c>
    </row>
    <row r="186" ht="18" customHeight="1" s="46">
      <c r="A186" s="39" t="n">
        <v>182</v>
      </c>
      <c r="B186" s="40" t="inlineStr">
        <is>
          <t>BD-VRM-2026-0218</t>
        </is>
      </c>
      <c r="C186" s="41" t="inlineStr">
        <is>
          <t>Excel - Aurora 2 Wallpaper 4029-2</t>
        </is>
      </c>
      <c r="D186" s="39" t="inlineStr">
        <is>
          <t>Excel</t>
        </is>
      </c>
      <c r="E186" s="43" t="n">
        <v>46125</v>
      </c>
      <c r="F186" s="26" t="inlineStr">
        <is>
          <t>Sunil CR</t>
        </is>
      </c>
      <c r="G186" s="26" t="inlineStr">
        <is>
          <t>Yes</t>
        </is>
      </c>
      <c r="H186" s="26" t="inlineStr">
        <is>
          <t>No</t>
        </is>
      </c>
      <c r="I186" s="26" t="inlineStr">
        <is>
          <t>Good finish</t>
        </is>
      </c>
      <c r="J186" s="26" t="inlineStr">
        <is>
          <t>Yes</t>
        </is>
      </c>
      <c r="K186" s="27" t="n"/>
      <c r="L186" s="28" t="inlineStr">
        <is>
          <t>No</t>
        </is>
      </c>
      <c r="M186" s="29">
        <f>IF(E186="","",IF(H186="Yes","❌ Disc",IF(G186="No","⚠ Missing",IF(J186="Yes","✓ OK","⚠ Check"))))</f>
        <v/>
      </c>
      <c r="N186" s="43" t="n">
        <v>46193</v>
      </c>
      <c r="O186" s="26" t="inlineStr">
        <is>
          <t>Sunil CR</t>
        </is>
      </c>
      <c r="P186" s="26" t="inlineStr">
        <is>
          <t>Yes</t>
        </is>
      </c>
      <c r="Q186" s="26" t="inlineStr">
        <is>
          <t>No</t>
        </is>
      </c>
      <c r="R186" s="26" t="inlineStr">
        <is>
          <t>Good finish</t>
        </is>
      </c>
      <c r="S186" s="26" t="inlineStr">
        <is>
          <t>Yes</t>
        </is>
      </c>
      <c r="T186" s="27" t="n"/>
      <c r="U186" s="28" t="inlineStr">
        <is>
          <t>No</t>
        </is>
      </c>
      <c r="V186" s="29">
        <f>IF(N186="","",IF(Q186="Yes","❌ Disc",IF(P186="No","⚠ Missing",IF(S186="Yes","✓ OK","⚠ Check"))))</f>
        <v/>
      </c>
      <c r="W186" s="65" t="n">
        <v>46248</v>
      </c>
      <c r="X186" s="30" t="inlineStr">
        <is>
          <t>Sunil CR</t>
        </is>
      </c>
      <c r="Y186" s="30" t="inlineStr">
        <is>
          <t>Yes</t>
        </is>
      </c>
      <c r="Z186" s="30" t="n"/>
      <c r="AA186" s="30" t="inlineStr">
        <is>
          <t>Good finish</t>
        </is>
      </c>
      <c r="AB186" s="30" t="inlineStr">
        <is>
          <t>Yes</t>
        </is>
      </c>
      <c r="AC186" s="27" t="n"/>
      <c r="AD186" s="31" t="inlineStr">
        <is>
          <t>No</t>
        </is>
      </c>
      <c r="AE186" s="32">
        <f>IF(W186="","",IF(Z186="Yes","❌ Disc",IF(Y186="No","⚠ Missing",IF(AB186="Yes","✓ OK","⚠ Check"))))</f>
        <v/>
      </c>
      <c r="AF186" s="33" t="n"/>
      <c r="AG186" s="33" t="n"/>
      <c r="AH186" s="33" t="n"/>
      <c r="AI186" s="33" t="n"/>
      <c r="AJ186" s="33" t="n"/>
      <c r="AK186" s="33" t="n"/>
      <c r="AL186" s="27" t="n"/>
      <c r="AM186" s="34" t="n"/>
      <c r="AN186" s="35">
        <f>IF(AF186="","",IF(AI186="Yes","❌ Disc",IF(AH186="No","⚠ Missing",IF(AK186="Yes","✓ OK","⚠ Check"))))</f>
        <v/>
      </c>
      <c r="AO186" s="36" t="n"/>
      <c r="AP186" s="36" t="n"/>
      <c r="AQ186" s="36" t="n"/>
      <c r="AR186" s="36" t="n"/>
      <c r="AS186" s="36" t="n"/>
      <c r="AT186" s="36" t="n"/>
      <c r="AU186" s="27" t="n"/>
      <c r="AV186" s="37" t="n"/>
      <c r="AW186" s="38">
        <f>IF(AO186="","",IF(AR186="Yes","❌ Disc",IF(AQ186="No","⚠ Missing",IF(AT186="Yes","✓ OK","⚠ Check"))))</f>
        <v/>
      </c>
    </row>
    <row r="187" ht="18" customHeight="1" s="46">
      <c r="A187" s="23" t="n">
        <v>183</v>
      </c>
      <c r="B187" s="24" t="inlineStr">
        <is>
          <t>BD-VRM-2026-0219</t>
        </is>
      </c>
      <c r="C187" s="25" t="inlineStr">
        <is>
          <t>Excel - Aurora 2 Wallpaper 4029-3</t>
        </is>
      </c>
      <c r="D187" s="23" t="inlineStr">
        <is>
          <t>Excel</t>
        </is>
      </c>
      <c r="E187" s="43" t="n">
        <v>46125</v>
      </c>
      <c r="F187" s="26" t="inlineStr">
        <is>
          <t>Sunil CR</t>
        </is>
      </c>
      <c r="G187" s="26" t="inlineStr">
        <is>
          <t>Yes</t>
        </is>
      </c>
      <c r="H187" s="26" t="inlineStr">
        <is>
          <t>No</t>
        </is>
      </c>
      <c r="I187" s="26" t="inlineStr">
        <is>
          <t>Good finish</t>
        </is>
      </c>
      <c r="J187" s="26" t="inlineStr">
        <is>
          <t>Yes</t>
        </is>
      </c>
      <c r="K187" s="27" t="n"/>
      <c r="L187" s="28" t="inlineStr">
        <is>
          <t>No</t>
        </is>
      </c>
      <c r="M187" s="29">
        <f>IF(E187="","",IF(H187="Yes","❌ Disc",IF(G187="No","⚠ Missing",IF(J187="Yes","✓ OK","⚠ Check"))))</f>
        <v/>
      </c>
      <c r="N187" s="43" t="n">
        <v>46193</v>
      </c>
      <c r="O187" s="26" t="inlineStr">
        <is>
          <t>Sunil CR</t>
        </is>
      </c>
      <c r="P187" s="26" t="inlineStr">
        <is>
          <t>Yes</t>
        </is>
      </c>
      <c r="Q187" s="26" t="inlineStr">
        <is>
          <t>No</t>
        </is>
      </c>
      <c r="R187" s="26" t="inlineStr">
        <is>
          <t>Good finish</t>
        </is>
      </c>
      <c r="S187" s="26" t="inlineStr">
        <is>
          <t>Yes</t>
        </is>
      </c>
      <c r="T187" s="27" t="n"/>
      <c r="U187" s="28" t="inlineStr">
        <is>
          <t>No</t>
        </is>
      </c>
      <c r="V187" s="29">
        <f>IF(N187="","",IF(Q187="Yes","❌ Disc",IF(P187="No","⚠ Missing",IF(S187="Yes","✓ OK","⚠ Check"))))</f>
        <v/>
      </c>
      <c r="W187" s="65" t="n">
        <v>46248</v>
      </c>
      <c r="X187" s="30" t="inlineStr">
        <is>
          <t>Sunil CR</t>
        </is>
      </c>
      <c r="Y187" s="30" t="inlineStr">
        <is>
          <t>Yes</t>
        </is>
      </c>
      <c r="Z187" s="30" t="n"/>
      <c r="AA187" s="30" t="inlineStr">
        <is>
          <t>Good finish</t>
        </is>
      </c>
      <c r="AB187" s="30" t="inlineStr">
        <is>
          <t>Yes</t>
        </is>
      </c>
      <c r="AC187" s="27" t="n"/>
      <c r="AD187" s="31" t="inlineStr">
        <is>
          <t>No</t>
        </is>
      </c>
      <c r="AE187" s="32">
        <f>IF(W187="","",IF(Z187="Yes","❌ Disc",IF(Y187="No","⚠ Missing",IF(AB187="Yes","✓ OK","⚠ Check"))))</f>
        <v/>
      </c>
      <c r="AF187" s="33" t="n"/>
      <c r="AG187" s="33" t="n"/>
      <c r="AH187" s="33" t="n"/>
      <c r="AI187" s="33" t="n"/>
      <c r="AJ187" s="33" t="n"/>
      <c r="AK187" s="33" t="n"/>
      <c r="AL187" s="27" t="n"/>
      <c r="AM187" s="34" t="n"/>
      <c r="AN187" s="35">
        <f>IF(AF187="","",IF(AI187="Yes","❌ Disc",IF(AH187="No","⚠ Missing",IF(AK187="Yes","✓ OK","⚠ Check"))))</f>
        <v/>
      </c>
      <c r="AO187" s="36" t="n"/>
      <c r="AP187" s="36" t="n"/>
      <c r="AQ187" s="36" t="n"/>
      <c r="AR187" s="36" t="n"/>
      <c r="AS187" s="36" t="n"/>
      <c r="AT187" s="36" t="n"/>
      <c r="AU187" s="27" t="n"/>
      <c r="AV187" s="37" t="n"/>
      <c r="AW187" s="38">
        <f>IF(AO187="","",IF(AR187="Yes","❌ Disc",IF(AQ187="No","⚠ Missing",IF(AT187="Yes","✓ OK","⚠ Check"))))</f>
        <v/>
      </c>
    </row>
    <row r="188" ht="18" customHeight="1" s="46">
      <c r="A188" s="39" t="n">
        <v>184</v>
      </c>
      <c r="B188" s="40" t="inlineStr">
        <is>
          <t>BD-VRM-2026-0187</t>
        </is>
      </c>
      <c r="C188" s="41" t="inlineStr">
        <is>
          <t>Excel - Aurora 2 Wallpaper 4030-1</t>
        </is>
      </c>
      <c r="D188" s="39" t="inlineStr">
        <is>
          <t>Excel</t>
        </is>
      </c>
      <c r="E188" s="43" t="n">
        <v>46125</v>
      </c>
      <c r="F188" s="26" t="inlineStr">
        <is>
          <t>Sunil CR</t>
        </is>
      </c>
      <c r="G188" s="26" t="inlineStr">
        <is>
          <t>Yes</t>
        </is>
      </c>
      <c r="H188" s="26" t="inlineStr">
        <is>
          <t>No</t>
        </is>
      </c>
      <c r="I188" s="26" t="inlineStr">
        <is>
          <t>Good finish</t>
        </is>
      </c>
      <c r="J188" s="26" t="inlineStr">
        <is>
          <t>Yes</t>
        </is>
      </c>
      <c r="K188" s="27" t="n"/>
      <c r="L188" s="28" t="inlineStr">
        <is>
          <t>No</t>
        </is>
      </c>
      <c r="M188" s="29">
        <f>IF(E188="","",IF(H188="Yes","❌ Disc",IF(G188="No","⚠ Missing",IF(J188="Yes","✓ OK","⚠ Check"))))</f>
        <v/>
      </c>
      <c r="N188" s="43" t="n">
        <v>46193</v>
      </c>
      <c r="O188" s="26" t="inlineStr">
        <is>
          <t>Sunil CR</t>
        </is>
      </c>
      <c r="P188" s="26" t="inlineStr">
        <is>
          <t>Yes</t>
        </is>
      </c>
      <c r="Q188" s="26" t="inlineStr">
        <is>
          <t>No</t>
        </is>
      </c>
      <c r="R188" s="26" t="inlineStr">
        <is>
          <t>Good finish</t>
        </is>
      </c>
      <c r="S188" s="26" t="inlineStr">
        <is>
          <t>Yes</t>
        </is>
      </c>
      <c r="T188" s="27" t="n"/>
      <c r="U188" s="28" t="inlineStr">
        <is>
          <t>No</t>
        </is>
      </c>
      <c r="V188" s="29">
        <f>IF(N188="","",IF(Q188="Yes","❌ Disc",IF(P188="No","⚠ Missing",IF(S188="Yes","✓ OK","⚠ Check"))))</f>
        <v/>
      </c>
      <c r="W188" s="65" t="n">
        <v>46248</v>
      </c>
      <c r="X188" s="30" t="inlineStr">
        <is>
          <t>Sunil CR</t>
        </is>
      </c>
      <c r="Y188" s="30" t="inlineStr">
        <is>
          <t>Yes</t>
        </is>
      </c>
      <c r="Z188" s="30" t="n"/>
      <c r="AA188" s="30" t="inlineStr">
        <is>
          <t>Good finish</t>
        </is>
      </c>
      <c r="AB188" s="30" t="inlineStr">
        <is>
          <t>Yes</t>
        </is>
      </c>
      <c r="AC188" s="27" t="n"/>
      <c r="AD188" s="31" t="inlineStr">
        <is>
          <t>No</t>
        </is>
      </c>
      <c r="AE188" s="32">
        <f>IF(W188="","",IF(Z188="Yes","❌ Disc",IF(Y188="No","⚠ Missing",IF(AB188="Yes","✓ OK","⚠ Check"))))</f>
        <v/>
      </c>
      <c r="AF188" s="33" t="n"/>
      <c r="AG188" s="33" t="n"/>
      <c r="AH188" s="33" t="n"/>
      <c r="AI188" s="33" t="n"/>
      <c r="AJ188" s="33" t="n"/>
      <c r="AK188" s="33" t="n"/>
      <c r="AL188" s="27" t="n"/>
      <c r="AM188" s="34" t="n"/>
      <c r="AN188" s="35">
        <f>IF(AF188="","",IF(AI188="Yes","❌ Disc",IF(AH188="No","⚠ Missing",IF(AK188="Yes","✓ OK","⚠ Check"))))</f>
        <v/>
      </c>
      <c r="AO188" s="36" t="n"/>
      <c r="AP188" s="36" t="n"/>
      <c r="AQ188" s="36" t="n"/>
      <c r="AR188" s="36" t="n"/>
      <c r="AS188" s="36" t="n"/>
      <c r="AT188" s="36" t="n"/>
      <c r="AU188" s="27" t="n"/>
      <c r="AV188" s="37" t="n"/>
      <c r="AW188" s="38">
        <f>IF(AO188="","",IF(AR188="Yes","❌ Disc",IF(AQ188="No","⚠ Missing",IF(AT188="Yes","✓ OK","⚠ Check"))))</f>
        <v/>
      </c>
    </row>
    <row r="189" ht="18" customHeight="1" s="46">
      <c r="A189" s="23" t="n">
        <v>185</v>
      </c>
      <c r="B189" s="24" t="inlineStr">
        <is>
          <t>BD-VRM-2026-0188</t>
        </is>
      </c>
      <c r="C189" s="25" t="inlineStr">
        <is>
          <t>Excel - Aurora 2 Wallpaper 4030-2</t>
        </is>
      </c>
      <c r="D189" s="23" t="inlineStr">
        <is>
          <t>Excel</t>
        </is>
      </c>
      <c r="E189" s="43" t="n">
        <v>46125</v>
      </c>
      <c r="F189" s="26" t="inlineStr">
        <is>
          <t>Sunil CR</t>
        </is>
      </c>
      <c r="G189" s="26" t="inlineStr">
        <is>
          <t>Yes</t>
        </is>
      </c>
      <c r="H189" s="26" t="inlineStr">
        <is>
          <t>No</t>
        </is>
      </c>
      <c r="I189" s="26" t="inlineStr">
        <is>
          <t>Good finish</t>
        </is>
      </c>
      <c r="J189" s="26" t="inlineStr">
        <is>
          <t>Yes</t>
        </is>
      </c>
      <c r="K189" s="27" t="n"/>
      <c r="L189" s="28" t="inlineStr">
        <is>
          <t>No</t>
        </is>
      </c>
      <c r="M189" s="29">
        <f>IF(E189="","",IF(H189="Yes","❌ Disc",IF(G189="No","⚠ Missing",IF(J189="Yes","✓ OK","⚠ Check"))))</f>
        <v/>
      </c>
      <c r="N189" s="43" t="n">
        <v>46193</v>
      </c>
      <c r="O189" s="26" t="inlineStr">
        <is>
          <t>Sunil CR</t>
        </is>
      </c>
      <c r="P189" s="26" t="inlineStr">
        <is>
          <t>Yes</t>
        </is>
      </c>
      <c r="Q189" s="26" t="inlineStr">
        <is>
          <t>No</t>
        </is>
      </c>
      <c r="R189" s="26" t="inlineStr">
        <is>
          <t>Good finish</t>
        </is>
      </c>
      <c r="S189" s="26" t="inlineStr">
        <is>
          <t>Yes</t>
        </is>
      </c>
      <c r="T189" s="27" t="n"/>
      <c r="U189" s="28" t="inlineStr">
        <is>
          <t>No</t>
        </is>
      </c>
      <c r="V189" s="29">
        <f>IF(N189="","",IF(Q189="Yes","❌ Disc",IF(P189="No","⚠ Missing",IF(S189="Yes","✓ OK","⚠ Check"))))</f>
        <v/>
      </c>
      <c r="W189" s="65" t="n">
        <v>46248</v>
      </c>
      <c r="X189" s="30" t="inlineStr">
        <is>
          <t>Sunil CR</t>
        </is>
      </c>
      <c r="Y189" s="30" t="inlineStr">
        <is>
          <t>Yes</t>
        </is>
      </c>
      <c r="Z189" s="30" t="n"/>
      <c r="AA189" s="30" t="inlineStr">
        <is>
          <t>Good finish</t>
        </is>
      </c>
      <c r="AB189" s="30" t="inlineStr">
        <is>
          <t>Yes</t>
        </is>
      </c>
      <c r="AC189" s="27" t="n"/>
      <c r="AD189" s="31" t="inlineStr">
        <is>
          <t>No</t>
        </is>
      </c>
      <c r="AE189" s="32">
        <f>IF(W189="","",IF(Z189="Yes","❌ Disc",IF(Y189="No","⚠ Missing",IF(AB189="Yes","✓ OK","⚠ Check"))))</f>
        <v/>
      </c>
      <c r="AF189" s="33" t="n"/>
      <c r="AG189" s="33" t="n"/>
      <c r="AH189" s="33" t="n"/>
      <c r="AI189" s="33" t="n"/>
      <c r="AJ189" s="33" t="n"/>
      <c r="AK189" s="33" t="n"/>
      <c r="AL189" s="27" t="n"/>
      <c r="AM189" s="34" t="n"/>
      <c r="AN189" s="35">
        <f>IF(AF189="","",IF(AI189="Yes","❌ Disc",IF(AH189="No","⚠ Missing",IF(AK189="Yes","✓ OK","⚠ Check"))))</f>
        <v/>
      </c>
      <c r="AO189" s="36" t="n"/>
      <c r="AP189" s="36" t="n"/>
      <c r="AQ189" s="36" t="n"/>
      <c r="AR189" s="36" t="n"/>
      <c r="AS189" s="36" t="n"/>
      <c r="AT189" s="36" t="n"/>
      <c r="AU189" s="27" t="n"/>
      <c r="AV189" s="37" t="n"/>
      <c r="AW189" s="38">
        <f>IF(AO189="","",IF(AR189="Yes","❌ Disc",IF(AQ189="No","⚠ Missing",IF(AT189="Yes","✓ OK","⚠ Check"))))</f>
        <v/>
      </c>
    </row>
    <row r="190" ht="18" customHeight="1" s="46">
      <c r="A190" s="39" t="n">
        <v>186</v>
      </c>
      <c r="B190" s="40" t="inlineStr">
        <is>
          <t>BD-VRM-2026-0189</t>
        </is>
      </c>
      <c r="C190" s="41" t="inlineStr">
        <is>
          <t>Excel - Aurora 2 Wallpaper 4030-3</t>
        </is>
      </c>
      <c r="D190" s="39" t="inlineStr">
        <is>
          <t>Excel</t>
        </is>
      </c>
      <c r="E190" s="43" t="n">
        <v>46125</v>
      </c>
      <c r="F190" s="26" t="inlineStr">
        <is>
          <t>Sunil CR</t>
        </is>
      </c>
      <c r="G190" s="26" t="inlineStr">
        <is>
          <t>Yes</t>
        </is>
      </c>
      <c r="H190" s="26" t="inlineStr">
        <is>
          <t>No</t>
        </is>
      </c>
      <c r="I190" s="26" t="inlineStr">
        <is>
          <t>Good finish</t>
        </is>
      </c>
      <c r="J190" s="26" t="inlineStr">
        <is>
          <t>Yes</t>
        </is>
      </c>
      <c r="K190" s="27" t="n"/>
      <c r="L190" s="28" t="inlineStr">
        <is>
          <t>No</t>
        </is>
      </c>
      <c r="M190" s="29">
        <f>IF(E190="","",IF(H190="Yes","❌ Disc",IF(G190="No","⚠ Missing",IF(J190="Yes","✓ OK","⚠ Check"))))</f>
        <v/>
      </c>
      <c r="N190" s="43" t="n">
        <v>46193</v>
      </c>
      <c r="O190" s="26" t="inlineStr">
        <is>
          <t>Sunil CR</t>
        </is>
      </c>
      <c r="P190" s="26" t="inlineStr">
        <is>
          <t>Yes</t>
        </is>
      </c>
      <c r="Q190" s="26" t="inlineStr">
        <is>
          <t>No</t>
        </is>
      </c>
      <c r="R190" s="26" t="inlineStr">
        <is>
          <t>Good finish</t>
        </is>
      </c>
      <c r="S190" s="26" t="inlineStr">
        <is>
          <t>Yes</t>
        </is>
      </c>
      <c r="T190" s="27" t="n"/>
      <c r="U190" s="28" t="inlineStr">
        <is>
          <t>No</t>
        </is>
      </c>
      <c r="V190" s="29">
        <f>IF(N190="","",IF(Q190="Yes","❌ Disc",IF(P190="No","⚠ Missing",IF(S190="Yes","✓ OK","⚠ Check"))))</f>
        <v/>
      </c>
      <c r="W190" s="65" t="n">
        <v>46248</v>
      </c>
      <c r="X190" s="30" t="inlineStr">
        <is>
          <t>Sunil CR</t>
        </is>
      </c>
      <c r="Y190" s="30" t="inlineStr">
        <is>
          <t>Yes</t>
        </is>
      </c>
      <c r="Z190" s="30" t="n"/>
      <c r="AA190" s="30" t="inlineStr">
        <is>
          <t>Good finish</t>
        </is>
      </c>
      <c r="AB190" s="30" t="inlineStr">
        <is>
          <t>Yes</t>
        </is>
      </c>
      <c r="AC190" s="27" t="n"/>
      <c r="AD190" s="31" t="inlineStr">
        <is>
          <t>No</t>
        </is>
      </c>
      <c r="AE190" s="32">
        <f>IF(W190="","",IF(Z190="Yes","❌ Disc",IF(Y190="No","⚠ Missing",IF(AB190="Yes","✓ OK","⚠ Check"))))</f>
        <v/>
      </c>
      <c r="AF190" s="33" t="n"/>
      <c r="AG190" s="33" t="n"/>
      <c r="AH190" s="33" t="n"/>
      <c r="AI190" s="33" t="n"/>
      <c r="AJ190" s="33" t="n"/>
      <c r="AK190" s="33" t="n"/>
      <c r="AL190" s="27" t="n"/>
      <c r="AM190" s="34" t="n"/>
      <c r="AN190" s="35">
        <f>IF(AF190="","",IF(AI190="Yes","❌ Disc",IF(AH190="No","⚠ Missing",IF(AK190="Yes","✓ OK","⚠ Check"))))</f>
        <v/>
      </c>
      <c r="AO190" s="36" t="n"/>
      <c r="AP190" s="36" t="n"/>
      <c r="AQ190" s="36" t="n"/>
      <c r="AR190" s="36" t="n"/>
      <c r="AS190" s="36" t="n"/>
      <c r="AT190" s="36" t="n"/>
      <c r="AU190" s="27" t="n"/>
      <c r="AV190" s="37" t="n"/>
      <c r="AW190" s="38">
        <f>IF(AO190="","",IF(AR190="Yes","❌ Disc",IF(AQ190="No","⚠ Missing",IF(AT190="Yes","✓ OK","⚠ Check"))))</f>
        <v/>
      </c>
    </row>
    <row r="191" ht="18" customHeight="1" s="46">
      <c r="A191" s="23" t="n">
        <v>187</v>
      </c>
      <c r="B191" s="24" t="inlineStr">
        <is>
          <t>BD-VRM-2026-0190</t>
        </is>
      </c>
      <c r="C191" s="25" t="inlineStr">
        <is>
          <t>Excel - Aurora 2 Wallpaper 4031-1</t>
        </is>
      </c>
      <c r="D191" s="23" t="inlineStr">
        <is>
          <t>Excel</t>
        </is>
      </c>
      <c r="E191" s="43" t="n">
        <v>46125</v>
      </c>
      <c r="F191" s="26" t="inlineStr">
        <is>
          <t>Sunil CR</t>
        </is>
      </c>
      <c r="G191" s="26" t="inlineStr">
        <is>
          <t>Yes</t>
        </is>
      </c>
      <c r="H191" s="26" t="inlineStr">
        <is>
          <t>No</t>
        </is>
      </c>
      <c r="I191" s="26" t="inlineStr">
        <is>
          <t>Good finish</t>
        </is>
      </c>
      <c r="J191" s="26" t="inlineStr">
        <is>
          <t>Yes</t>
        </is>
      </c>
      <c r="K191" s="27" t="n"/>
      <c r="L191" s="28" t="inlineStr">
        <is>
          <t>No</t>
        </is>
      </c>
      <c r="M191" s="29">
        <f>IF(E191="","",IF(H191="Yes","❌ Disc",IF(G191="No","⚠ Missing",IF(J191="Yes","✓ OK","⚠ Check"))))</f>
        <v/>
      </c>
      <c r="N191" s="43" t="n">
        <v>46193</v>
      </c>
      <c r="O191" s="26" t="inlineStr">
        <is>
          <t>Sunil CR</t>
        </is>
      </c>
      <c r="P191" s="26" t="inlineStr">
        <is>
          <t>Yes</t>
        </is>
      </c>
      <c r="Q191" s="26" t="inlineStr">
        <is>
          <t>No</t>
        </is>
      </c>
      <c r="R191" s="26" t="inlineStr">
        <is>
          <t>Good finish</t>
        </is>
      </c>
      <c r="S191" s="26" t="inlineStr">
        <is>
          <t>Yes</t>
        </is>
      </c>
      <c r="T191" s="27" t="n"/>
      <c r="U191" s="28" t="inlineStr">
        <is>
          <t>No</t>
        </is>
      </c>
      <c r="V191" s="29">
        <f>IF(N191="","",IF(Q191="Yes","❌ Disc",IF(P191="No","⚠ Missing",IF(S191="Yes","✓ OK","⚠ Check"))))</f>
        <v/>
      </c>
      <c r="W191" s="65" t="n">
        <v>46248</v>
      </c>
      <c r="X191" s="30" t="inlineStr">
        <is>
          <t>Sunil CR</t>
        </is>
      </c>
      <c r="Y191" s="30" t="inlineStr">
        <is>
          <t>Yes</t>
        </is>
      </c>
      <c r="Z191" s="30" t="n"/>
      <c r="AA191" s="30" t="inlineStr">
        <is>
          <t>Good finish</t>
        </is>
      </c>
      <c r="AB191" s="30" t="inlineStr">
        <is>
          <t>Yes</t>
        </is>
      </c>
      <c r="AC191" s="27" t="n"/>
      <c r="AD191" s="31" t="inlineStr">
        <is>
          <t>No</t>
        </is>
      </c>
      <c r="AE191" s="32">
        <f>IF(W191="","",IF(Z191="Yes","❌ Disc",IF(Y191="No","⚠ Missing",IF(AB191="Yes","✓ OK","⚠ Check"))))</f>
        <v/>
      </c>
      <c r="AF191" s="33" t="n"/>
      <c r="AG191" s="33" t="n"/>
      <c r="AH191" s="33" t="n"/>
      <c r="AI191" s="33" t="n"/>
      <c r="AJ191" s="33" t="n"/>
      <c r="AK191" s="33" t="n"/>
      <c r="AL191" s="27" t="n"/>
      <c r="AM191" s="34" t="n"/>
      <c r="AN191" s="35">
        <f>IF(AF191="","",IF(AI191="Yes","❌ Disc",IF(AH191="No","⚠ Missing",IF(AK191="Yes","✓ OK","⚠ Check"))))</f>
        <v/>
      </c>
      <c r="AO191" s="36" t="n"/>
      <c r="AP191" s="36" t="n"/>
      <c r="AQ191" s="36" t="n"/>
      <c r="AR191" s="36" t="n"/>
      <c r="AS191" s="36" t="n"/>
      <c r="AT191" s="36" t="n"/>
      <c r="AU191" s="27" t="n"/>
      <c r="AV191" s="37" t="n"/>
      <c r="AW191" s="38">
        <f>IF(AO191="","",IF(AR191="Yes","❌ Disc",IF(AQ191="No","⚠ Missing",IF(AT191="Yes","✓ OK","⚠ Check"))))</f>
        <v/>
      </c>
    </row>
    <row r="192" ht="18" customHeight="1" s="46">
      <c r="A192" s="39" t="n">
        <v>188</v>
      </c>
      <c r="B192" s="40" t="inlineStr">
        <is>
          <t>BD-VRM-2026-0191</t>
        </is>
      </c>
      <c r="C192" s="41" t="inlineStr">
        <is>
          <t>Excel - Aurora 2 Wallpaper 4031-2</t>
        </is>
      </c>
      <c r="D192" s="39" t="inlineStr">
        <is>
          <t>Excel</t>
        </is>
      </c>
      <c r="E192" s="43" t="n">
        <v>46125</v>
      </c>
      <c r="F192" s="26" t="inlineStr">
        <is>
          <t>Sunil CR</t>
        </is>
      </c>
      <c r="G192" s="26" t="inlineStr">
        <is>
          <t>Yes</t>
        </is>
      </c>
      <c r="H192" s="26" t="inlineStr">
        <is>
          <t>No</t>
        </is>
      </c>
      <c r="I192" s="26" t="inlineStr">
        <is>
          <t>Good finish</t>
        </is>
      </c>
      <c r="J192" s="26" t="inlineStr">
        <is>
          <t>Yes</t>
        </is>
      </c>
      <c r="K192" s="27" t="n"/>
      <c r="L192" s="28" t="inlineStr">
        <is>
          <t>No</t>
        </is>
      </c>
      <c r="M192" s="29">
        <f>IF(E192="","",IF(H192="Yes","❌ Disc",IF(G192="No","⚠ Missing",IF(J192="Yes","✓ OK","⚠ Check"))))</f>
        <v/>
      </c>
      <c r="N192" s="43" t="n">
        <v>46193</v>
      </c>
      <c r="O192" s="26" t="inlineStr">
        <is>
          <t>Sunil CR</t>
        </is>
      </c>
      <c r="P192" s="26" t="inlineStr">
        <is>
          <t>Yes</t>
        </is>
      </c>
      <c r="Q192" s="26" t="inlineStr">
        <is>
          <t>No</t>
        </is>
      </c>
      <c r="R192" s="26" t="inlineStr">
        <is>
          <t>Good finish</t>
        </is>
      </c>
      <c r="S192" s="26" t="inlineStr">
        <is>
          <t>Yes</t>
        </is>
      </c>
      <c r="T192" s="27" t="n"/>
      <c r="U192" s="28" t="inlineStr">
        <is>
          <t>No</t>
        </is>
      </c>
      <c r="V192" s="29">
        <f>IF(N192="","",IF(Q192="Yes","❌ Disc",IF(P192="No","⚠ Missing",IF(S192="Yes","✓ OK","⚠ Check"))))</f>
        <v/>
      </c>
      <c r="W192" s="65" t="n">
        <v>46248</v>
      </c>
      <c r="X192" s="30" t="inlineStr">
        <is>
          <t>Sunil CR</t>
        </is>
      </c>
      <c r="Y192" s="30" t="inlineStr">
        <is>
          <t>Yes</t>
        </is>
      </c>
      <c r="Z192" s="30" t="n"/>
      <c r="AA192" s="30" t="inlineStr">
        <is>
          <t>Good finish</t>
        </is>
      </c>
      <c r="AB192" s="30" t="inlineStr">
        <is>
          <t>Yes</t>
        </is>
      </c>
      <c r="AC192" s="27" t="n"/>
      <c r="AD192" s="31" t="inlineStr">
        <is>
          <t>No</t>
        </is>
      </c>
      <c r="AE192" s="32">
        <f>IF(W192="","",IF(Z192="Yes","❌ Disc",IF(Y192="No","⚠ Missing",IF(AB192="Yes","✓ OK","⚠ Check"))))</f>
        <v/>
      </c>
      <c r="AF192" s="33" t="n"/>
      <c r="AG192" s="33" t="n"/>
      <c r="AH192" s="33" t="n"/>
      <c r="AI192" s="33" t="n"/>
      <c r="AJ192" s="33" t="n"/>
      <c r="AK192" s="33" t="n"/>
      <c r="AL192" s="27" t="n"/>
      <c r="AM192" s="34" t="n"/>
      <c r="AN192" s="35">
        <f>IF(AF192="","",IF(AI192="Yes","❌ Disc",IF(AH192="No","⚠ Missing",IF(AK192="Yes","✓ OK","⚠ Check"))))</f>
        <v/>
      </c>
      <c r="AO192" s="36" t="n"/>
      <c r="AP192" s="36" t="n"/>
      <c r="AQ192" s="36" t="n"/>
      <c r="AR192" s="36" t="n"/>
      <c r="AS192" s="36" t="n"/>
      <c r="AT192" s="36" t="n"/>
      <c r="AU192" s="27" t="n"/>
      <c r="AV192" s="37" t="n"/>
      <c r="AW192" s="38">
        <f>IF(AO192="","",IF(AR192="Yes","❌ Disc",IF(AQ192="No","⚠ Missing",IF(AT192="Yes","✓ OK","⚠ Check"))))</f>
        <v/>
      </c>
    </row>
    <row r="193" ht="18" customHeight="1" s="46">
      <c r="A193" s="23" t="n">
        <v>189</v>
      </c>
      <c r="B193" s="24" t="inlineStr">
        <is>
          <t>BD-VRM-2026-0192</t>
        </is>
      </c>
      <c r="C193" s="25" t="inlineStr">
        <is>
          <t>Excel - Aurora 2 Wallpaper 4031-3</t>
        </is>
      </c>
      <c r="D193" s="23" t="inlineStr">
        <is>
          <t>Excel</t>
        </is>
      </c>
      <c r="E193" s="43" t="n">
        <v>46125</v>
      </c>
      <c r="F193" s="26" t="inlineStr">
        <is>
          <t>Sunil CR</t>
        </is>
      </c>
      <c r="G193" s="26" t="inlineStr">
        <is>
          <t>Yes</t>
        </is>
      </c>
      <c r="H193" s="26" t="inlineStr">
        <is>
          <t>No</t>
        </is>
      </c>
      <c r="I193" s="26" t="inlineStr">
        <is>
          <t>Good finish</t>
        </is>
      </c>
      <c r="J193" s="26" t="inlineStr">
        <is>
          <t>Yes</t>
        </is>
      </c>
      <c r="K193" s="27" t="n"/>
      <c r="L193" s="28" t="inlineStr">
        <is>
          <t>No</t>
        </is>
      </c>
      <c r="M193" s="29">
        <f>IF(E193="","",IF(H193="Yes","❌ Disc",IF(G193="No","⚠ Missing",IF(J193="Yes","✓ OK","⚠ Check"))))</f>
        <v/>
      </c>
      <c r="N193" s="43" t="n">
        <v>46193</v>
      </c>
      <c r="O193" s="26" t="inlineStr">
        <is>
          <t>Sunil CR</t>
        </is>
      </c>
      <c r="P193" s="26" t="inlineStr">
        <is>
          <t>Yes</t>
        </is>
      </c>
      <c r="Q193" s="26" t="inlineStr">
        <is>
          <t>No</t>
        </is>
      </c>
      <c r="R193" s="26" t="inlineStr">
        <is>
          <t>Good finish</t>
        </is>
      </c>
      <c r="S193" s="26" t="inlineStr">
        <is>
          <t>Yes</t>
        </is>
      </c>
      <c r="T193" s="27" t="n"/>
      <c r="U193" s="28" t="inlineStr">
        <is>
          <t>No</t>
        </is>
      </c>
      <c r="V193" s="29">
        <f>IF(N193="","",IF(Q193="Yes","❌ Disc",IF(P193="No","⚠ Missing",IF(S193="Yes","✓ OK","⚠ Check"))))</f>
        <v/>
      </c>
      <c r="W193" s="65" t="n">
        <v>46248</v>
      </c>
      <c r="X193" s="30" t="inlineStr">
        <is>
          <t>Sunil CR</t>
        </is>
      </c>
      <c r="Y193" s="30" t="inlineStr">
        <is>
          <t>Yes</t>
        </is>
      </c>
      <c r="Z193" s="30" t="n"/>
      <c r="AA193" s="30" t="inlineStr">
        <is>
          <t>Good finish</t>
        </is>
      </c>
      <c r="AB193" s="30" t="inlineStr">
        <is>
          <t>Yes</t>
        </is>
      </c>
      <c r="AC193" s="27" t="n"/>
      <c r="AD193" s="31" t="inlineStr">
        <is>
          <t>No</t>
        </is>
      </c>
      <c r="AE193" s="32">
        <f>IF(W193="","",IF(Z193="Yes","❌ Disc",IF(Y193="No","⚠ Missing",IF(AB193="Yes","✓ OK","⚠ Check"))))</f>
        <v/>
      </c>
      <c r="AF193" s="33" t="n"/>
      <c r="AG193" s="33" t="n"/>
      <c r="AH193" s="33" t="n"/>
      <c r="AI193" s="33" t="n"/>
      <c r="AJ193" s="33" t="n"/>
      <c r="AK193" s="33" t="n"/>
      <c r="AL193" s="27" t="n"/>
      <c r="AM193" s="34" t="n"/>
      <c r="AN193" s="35">
        <f>IF(AF193="","",IF(AI193="Yes","❌ Disc",IF(AH193="No","⚠ Missing",IF(AK193="Yes","✓ OK","⚠ Check"))))</f>
        <v/>
      </c>
      <c r="AO193" s="36" t="n"/>
      <c r="AP193" s="36" t="n"/>
      <c r="AQ193" s="36" t="n"/>
      <c r="AR193" s="36" t="n"/>
      <c r="AS193" s="36" t="n"/>
      <c r="AT193" s="36" t="n"/>
      <c r="AU193" s="27" t="n"/>
      <c r="AV193" s="37" t="n"/>
      <c r="AW193" s="38">
        <f>IF(AO193="","",IF(AR193="Yes","❌ Disc",IF(AQ193="No","⚠ Missing",IF(AT193="Yes","✓ OK","⚠ Check"))))</f>
        <v/>
      </c>
    </row>
    <row r="194" ht="18" customHeight="1" s="46">
      <c r="A194" s="39" t="n">
        <v>190</v>
      </c>
      <c r="B194" s="40" t="inlineStr">
        <is>
          <t>BD-VRM-2026-0193</t>
        </is>
      </c>
      <c r="C194" s="41" t="inlineStr">
        <is>
          <t>Excel - Aurora 2 Wallpaper 4032-1</t>
        </is>
      </c>
      <c r="D194" s="39" t="inlineStr">
        <is>
          <t>Excel</t>
        </is>
      </c>
      <c r="E194" s="43" t="n">
        <v>46125</v>
      </c>
      <c r="F194" s="26" t="inlineStr">
        <is>
          <t>Sunil CR</t>
        </is>
      </c>
      <c r="G194" s="26" t="inlineStr">
        <is>
          <t>Yes</t>
        </is>
      </c>
      <c r="H194" s="26" t="inlineStr">
        <is>
          <t>No</t>
        </is>
      </c>
      <c r="I194" s="26" t="inlineStr">
        <is>
          <t>Good finish</t>
        </is>
      </c>
      <c r="J194" s="26" t="inlineStr">
        <is>
          <t>Yes</t>
        </is>
      </c>
      <c r="K194" s="27" t="n"/>
      <c r="L194" s="28" t="inlineStr">
        <is>
          <t>No</t>
        </is>
      </c>
      <c r="M194" s="29">
        <f>IF(E194="","",IF(H194="Yes","❌ Disc",IF(G194="No","⚠ Missing",IF(J194="Yes","✓ OK","⚠ Check"))))</f>
        <v/>
      </c>
      <c r="N194" s="43" t="n">
        <v>46193</v>
      </c>
      <c r="O194" s="26" t="inlineStr">
        <is>
          <t>Sunil CR</t>
        </is>
      </c>
      <c r="P194" s="26" t="inlineStr">
        <is>
          <t>Yes</t>
        </is>
      </c>
      <c r="Q194" s="26" t="inlineStr">
        <is>
          <t>No</t>
        </is>
      </c>
      <c r="R194" s="26" t="inlineStr">
        <is>
          <t>Good finish</t>
        </is>
      </c>
      <c r="S194" s="26" t="inlineStr">
        <is>
          <t>Yes</t>
        </is>
      </c>
      <c r="T194" s="27" t="n"/>
      <c r="U194" s="28" t="inlineStr">
        <is>
          <t>No</t>
        </is>
      </c>
      <c r="V194" s="29">
        <f>IF(N194="","",IF(Q194="Yes","❌ Disc",IF(P194="No","⚠ Missing",IF(S194="Yes","✓ OK","⚠ Check"))))</f>
        <v/>
      </c>
      <c r="W194" s="65" t="n">
        <v>46248</v>
      </c>
      <c r="X194" s="30" t="inlineStr">
        <is>
          <t>Sunil CR</t>
        </is>
      </c>
      <c r="Y194" s="30" t="inlineStr">
        <is>
          <t>Yes</t>
        </is>
      </c>
      <c r="Z194" s="30" t="n"/>
      <c r="AA194" s="30" t="inlineStr">
        <is>
          <t>Good finish</t>
        </is>
      </c>
      <c r="AB194" s="30" t="inlineStr">
        <is>
          <t>Yes</t>
        </is>
      </c>
      <c r="AC194" s="27" t="n"/>
      <c r="AD194" s="31" t="inlineStr">
        <is>
          <t>No</t>
        </is>
      </c>
      <c r="AE194" s="32">
        <f>IF(W194="","",IF(Z194="Yes","❌ Disc",IF(Y194="No","⚠ Missing",IF(AB194="Yes","✓ OK","⚠ Check"))))</f>
        <v/>
      </c>
      <c r="AF194" s="33" t="n"/>
      <c r="AG194" s="33" t="n"/>
      <c r="AH194" s="33" t="n"/>
      <c r="AI194" s="33" t="n"/>
      <c r="AJ194" s="33" t="n"/>
      <c r="AK194" s="33" t="n"/>
      <c r="AL194" s="27" t="n"/>
      <c r="AM194" s="34" t="n"/>
      <c r="AN194" s="35">
        <f>IF(AF194="","",IF(AI194="Yes","❌ Disc",IF(AH194="No","⚠ Missing",IF(AK194="Yes","✓ OK","⚠ Check"))))</f>
        <v/>
      </c>
      <c r="AO194" s="36" t="n"/>
      <c r="AP194" s="36" t="n"/>
      <c r="AQ194" s="36" t="n"/>
      <c r="AR194" s="36" t="n"/>
      <c r="AS194" s="36" t="n"/>
      <c r="AT194" s="36" t="n"/>
      <c r="AU194" s="27" t="n"/>
      <c r="AV194" s="37" t="n"/>
      <c r="AW194" s="38">
        <f>IF(AO194="","",IF(AR194="Yes","❌ Disc",IF(AQ194="No","⚠ Missing",IF(AT194="Yes","✓ OK","⚠ Check"))))</f>
        <v/>
      </c>
    </row>
    <row r="195" ht="18" customHeight="1" s="46">
      <c r="A195" s="23" t="n">
        <v>191</v>
      </c>
      <c r="B195" s="24" t="inlineStr">
        <is>
          <t>BD-VRM-2026-0194</t>
        </is>
      </c>
      <c r="C195" s="25" t="inlineStr">
        <is>
          <t>Excel - Aurora 2 Wallpaper 4032-2</t>
        </is>
      </c>
      <c r="D195" s="23" t="inlineStr">
        <is>
          <t>Excel</t>
        </is>
      </c>
      <c r="E195" s="43" t="n">
        <v>46125</v>
      </c>
      <c r="F195" s="26" t="inlineStr">
        <is>
          <t>Sunil CR</t>
        </is>
      </c>
      <c r="G195" s="26" t="inlineStr">
        <is>
          <t>Yes</t>
        </is>
      </c>
      <c r="H195" s="26" t="inlineStr">
        <is>
          <t>No</t>
        </is>
      </c>
      <c r="I195" s="26" t="inlineStr">
        <is>
          <t>Good finish</t>
        </is>
      </c>
      <c r="J195" s="26" t="inlineStr">
        <is>
          <t>Yes</t>
        </is>
      </c>
      <c r="K195" s="27" t="n"/>
      <c r="L195" s="28" t="inlineStr">
        <is>
          <t>No</t>
        </is>
      </c>
      <c r="M195" s="29">
        <f>IF(E195="","",IF(H195="Yes","❌ Disc",IF(G195="No","⚠ Missing",IF(J195="Yes","✓ OK","⚠ Check"))))</f>
        <v/>
      </c>
      <c r="N195" s="43" t="n">
        <v>46193</v>
      </c>
      <c r="O195" s="26" t="inlineStr">
        <is>
          <t>Sunil CR</t>
        </is>
      </c>
      <c r="P195" s="26" t="inlineStr">
        <is>
          <t>Yes</t>
        </is>
      </c>
      <c r="Q195" s="26" t="inlineStr">
        <is>
          <t>No</t>
        </is>
      </c>
      <c r="R195" s="26" t="inlineStr">
        <is>
          <t>Good finish</t>
        </is>
      </c>
      <c r="S195" s="26" t="inlineStr">
        <is>
          <t>Yes</t>
        </is>
      </c>
      <c r="T195" s="27" t="n"/>
      <c r="U195" s="28" t="inlineStr">
        <is>
          <t>No</t>
        </is>
      </c>
      <c r="V195" s="29">
        <f>IF(N195="","",IF(Q195="Yes","❌ Disc",IF(P195="No","⚠ Missing",IF(S195="Yes","✓ OK","⚠ Check"))))</f>
        <v/>
      </c>
      <c r="W195" s="65" t="n">
        <v>46248</v>
      </c>
      <c r="X195" s="30" t="inlineStr">
        <is>
          <t>Sunil CR</t>
        </is>
      </c>
      <c r="Y195" s="30" t="inlineStr">
        <is>
          <t>Yes</t>
        </is>
      </c>
      <c r="Z195" s="30" t="n"/>
      <c r="AA195" s="30" t="inlineStr">
        <is>
          <t>Good finish</t>
        </is>
      </c>
      <c r="AB195" s="30" t="inlineStr">
        <is>
          <t>Yes</t>
        </is>
      </c>
      <c r="AC195" s="27" t="n"/>
      <c r="AD195" s="31" t="inlineStr">
        <is>
          <t>No</t>
        </is>
      </c>
      <c r="AE195" s="32">
        <f>IF(W195="","",IF(Z195="Yes","❌ Disc",IF(Y195="No","⚠ Missing",IF(AB195="Yes","✓ OK","⚠ Check"))))</f>
        <v/>
      </c>
      <c r="AF195" s="33" t="n"/>
      <c r="AG195" s="33" t="n"/>
      <c r="AH195" s="33" t="n"/>
      <c r="AI195" s="33" t="n"/>
      <c r="AJ195" s="33" t="n"/>
      <c r="AK195" s="33" t="n"/>
      <c r="AL195" s="27" t="n"/>
      <c r="AM195" s="34" t="n"/>
      <c r="AN195" s="35">
        <f>IF(AF195="","",IF(AI195="Yes","❌ Disc",IF(AH195="No","⚠ Missing",IF(AK195="Yes","✓ OK","⚠ Check"))))</f>
        <v/>
      </c>
      <c r="AO195" s="36" t="n"/>
      <c r="AP195" s="36" t="n"/>
      <c r="AQ195" s="36" t="n"/>
      <c r="AR195" s="36" t="n"/>
      <c r="AS195" s="36" t="n"/>
      <c r="AT195" s="36" t="n"/>
      <c r="AU195" s="27" t="n"/>
      <c r="AV195" s="37" t="n"/>
      <c r="AW195" s="38">
        <f>IF(AO195="","",IF(AR195="Yes","❌ Disc",IF(AQ195="No","⚠ Missing",IF(AT195="Yes","✓ OK","⚠ Check"))))</f>
        <v/>
      </c>
    </row>
    <row r="196" ht="18" customHeight="1" s="46">
      <c r="A196" s="39" t="n">
        <v>192</v>
      </c>
      <c r="B196" s="40" t="inlineStr">
        <is>
          <t>BD-VRM-2026-0195</t>
        </is>
      </c>
      <c r="C196" s="41" t="inlineStr">
        <is>
          <t>Excel - Aurora 2 Wallpaper 4032-3</t>
        </is>
      </c>
      <c r="D196" s="39" t="inlineStr">
        <is>
          <t>Excel</t>
        </is>
      </c>
      <c r="E196" s="43" t="n">
        <v>46125</v>
      </c>
      <c r="F196" s="26" t="inlineStr">
        <is>
          <t>Sunil CR</t>
        </is>
      </c>
      <c r="G196" s="26" t="inlineStr">
        <is>
          <t>Yes</t>
        </is>
      </c>
      <c r="H196" s="26" t="inlineStr">
        <is>
          <t>No</t>
        </is>
      </c>
      <c r="I196" s="26" t="inlineStr">
        <is>
          <t>Good finish</t>
        </is>
      </c>
      <c r="J196" s="26" t="inlineStr">
        <is>
          <t>Yes</t>
        </is>
      </c>
      <c r="K196" s="27" t="n"/>
      <c r="L196" s="28" t="inlineStr">
        <is>
          <t>No</t>
        </is>
      </c>
      <c r="M196" s="29">
        <f>IF(E196="","",IF(H196="Yes","❌ Disc",IF(G196="No","⚠ Missing",IF(J196="Yes","✓ OK","⚠ Check"))))</f>
        <v/>
      </c>
      <c r="N196" s="43" t="n">
        <v>46193</v>
      </c>
      <c r="O196" s="26" t="inlineStr">
        <is>
          <t>Sunil CR</t>
        </is>
      </c>
      <c r="P196" s="26" t="inlineStr">
        <is>
          <t>Yes</t>
        </is>
      </c>
      <c r="Q196" s="26" t="inlineStr">
        <is>
          <t>No</t>
        </is>
      </c>
      <c r="R196" s="26" t="inlineStr">
        <is>
          <t>Good finish</t>
        </is>
      </c>
      <c r="S196" s="26" t="inlineStr">
        <is>
          <t>Yes</t>
        </is>
      </c>
      <c r="T196" s="27" t="n"/>
      <c r="U196" s="28" t="inlineStr">
        <is>
          <t>No</t>
        </is>
      </c>
      <c r="V196" s="29">
        <f>IF(N196="","",IF(Q196="Yes","❌ Disc",IF(P196="No","⚠ Missing",IF(S196="Yes","✓ OK","⚠ Check"))))</f>
        <v/>
      </c>
      <c r="W196" s="65" t="n">
        <v>46248</v>
      </c>
      <c r="X196" s="30" t="inlineStr">
        <is>
          <t>Sunil CR</t>
        </is>
      </c>
      <c r="Y196" s="30" t="inlineStr">
        <is>
          <t>Yes</t>
        </is>
      </c>
      <c r="Z196" s="30" t="n"/>
      <c r="AA196" s="30" t="inlineStr">
        <is>
          <t>Good finish</t>
        </is>
      </c>
      <c r="AB196" s="30" t="inlineStr">
        <is>
          <t>Yes</t>
        </is>
      </c>
      <c r="AC196" s="27" t="n"/>
      <c r="AD196" s="31" t="inlineStr">
        <is>
          <t>No</t>
        </is>
      </c>
      <c r="AE196" s="32">
        <f>IF(W196="","",IF(Z196="Yes","❌ Disc",IF(Y196="No","⚠ Missing",IF(AB196="Yes","✓ OK","⚠ Check"))))</f>
        <v/>
      </c>
      <c r="AF196" s="33" t="n"/>
      <c r="AG196" s="33" t="n"/>
      <c r="AH196" s="33" t="n"/>
      <c r="AI196" s="33" t="n"/>
      <c r="AJ196" s="33" t="n"/>
      <c r="AK196" s="33" t="n"/>
      <c r="AL196" s="27" t="n"/>
      <c r="AM196" s="34" t="n"/>
      <c r="AN196" s="35">
        <f>IF(AF196="","",IF(AI196="Yes","❌ Disc",IF(AH196="No","⚠ Missing",IF(AK196="Yes","✓ OK","⚠ Check"))))</f>
        <v/>
      </c>
      <c r="AO196" s="36" t="n"/>
      <c r="AP196" s="36" t="n"/>
      <c r="AQ196" s="36" t="n"/>
      <c r="AR196" s="36" t="n"/>
      <c r="AS196" s="36" t="n"/>
      <c r="AT196" s="36" t="n"/>
      <c r="AU196" s="27" t="n"/>
      <c r="AV196" s="37" t="n"/>
      <c r="AW196" s="38">
        <f>IF(AO196="","",IF(AR196="Yes","❌ Disc",IF(AQ196="No","⚠ Missing",IF(AT196="Yes","✓ OK","⚠ Check"))))</f>
        <v/>
      </c>
    </row>
    <row r="197" ht="18" customHeight="1" s="46">
      <c r="A197" s="23" t="n">
        <v>193</v>
      </c>
      <c r="B197" s="24" t="inlineStr">
        <is>
          <t>BD-VRM-2026-0163</t>
        </is>
      </c>
      <c r="C197" s="25" t="inlineStr">
        <is>
          <t>Excel - Aurora 2 Wallpaper 4033-1</t>
        </is>
      </c>
      <c r="D197" s="23" t="inlineStr">
        <is>
          <t>Excel</t>
        </is>
      </c>
      <c r="E197" s="43" t="n">
        <v>46125</v>
      </c>
      <c r="F197" s="26" t="inlineStr">
        <is>
          <t>Sunil CR</t>
        </is>
      </c>
      <c r="G197" s="26" t="inlineStr">
        <is>
          <t>Yes</t>
        </is>
      </c>
      <c r="H197" s="26" t="inlineStr">
        <is>
          <t>No</t>
        </is>
      </c>
      <c r="I197" s="26" t="inlineStr">
        <is>
          <t>Good finish</t>
        </is>
      </c>
      <c r="J197" s="26" t="inlineStr">
        <is>
          <t>Yes</t>
        </is>
      </c>
      <c r="K197" s="27" t="n"/>
      <c r="L197" s="28" t="inlineStr">
        <is>
          <t>No</t>
        </is>
      </c>
      <c r="M197" s="29">
        <f>IF(E197="","",IF(H197="Yes","❌ Disc",IF(G197="No","⚠ Missing",IF(J197="Yes","✓ OK","⚠ Check"))))</f>
        <v/>
      </c>
      <c r="N197" s="43" t="n">
        <v>46193</v>
      </c>
      <c r="O197" s="26" t="inlineStr">
        <is>
          <t>Sunil CR</t>
        </is>
      </c>
      <c r="P197" s="26" t="inlineStr">
        <is>
          <t>Yes</t>
        </is>
      </c>
      <c r="Q197" s="26" t="inlineStr">
        <is>
          <t>No</t>
        </is>
      </c>
      <c r="R197" s="26" t="inlineStr">
        <is>
          <t>Good finish</t>
        </is>
      </c>
      <c r="S197" s="26" t="inlineStr">
        <is>
          <t>Yes</t>
        </is>
      </c>
      <c r="T197" s="27" t="n"/>
      <c r="U197" s="28" t="inlineStr">
        <is>
          <t>No</t>
        </is>
      </c>
      <c r="V197" s="29">
        <f>IF(N197="","",IF(Q197="Yes","❌ Disc",IF(P197="No","⚠ Missing",IF(S197="Yes","✓ OK","⚠ Check"))))</f>
        <v/>
      </c>
      <c r="W197" s="65" t="n">
        <v>46248</v>
      </c>
      <c r="X197" s="30" t="inlineStr">
        <is>
          <t>Sunil CR</t>
        </is>
      </c>
      <c r="Y197" s="30" t="inlineStr">
        <is>
          <t>Yes</t>
        </is>
      </c>
      <c r="Z197" s="30" t="n"/>
      <c r="AA197" s="30" t="inlineStr">
        <is>
          <t>Good finish</t>
        </is>
      </c>
      <c r="AB197" s="30" t="inlineStr">
        <is>
          <t>Yes</t>
        </is>
      </c>
      <c r="AC197" s="27" t="n"/>
      <c r="AD197" s="31" t="inlineStr">
        <is>
          <t>No</t>
        </is>
      </c>
      <c r="AE197" s="32">
        <f>IF(W197="","",IF(Z197="Yes","❌ Disc",IF(Y197="No","⚠ Missing",IF(AB197="Yes","✓ OK","⚠ Check"))))</f>
        <v/>
      </c>
      <c r="AF197" s="33" t="n"/>
      <c r="AG197" s="33" t="n"/>
      <c r="AH197" s="33" t="n"/>
      <c r="AI197" s="33" t="n"/>
      <c r="AJ197" s="33" t="n"/>
      <c r="AK197" s="33" t="n"/>
      <c r="AL197" s="27" t="n"/>
      <c r="AM197" s="34" t="n"/>
      <c r="AN197" s="35">
        <f>IF(AF197="","",IF(AI197="Yes","❌ Disc",IF(AH197="No","⚠ Missing",IF(AK197="Yes","✓ OK","⚠ Check"))))</f>
        <v/>
      </c>
      <c r="AO197" s="36" t="n"/>
      <c r="AP197" s="36" t="n"/>
      <c r="AQ197" s="36" t="n"/>
      <c r="AR197" s="36" t="n"/>
      <c r="AS197" s="36" t="n"/>
      <c r="AT197" s="36" t="n"/>
      <c r="AU197" s="27" t="n"/>
      <c r="AV197" s="37" t="n"/>
      <c r="AW197" s="38">
        <f>IF(AO197="","",IF(AR197="Yes","❌ Disc",IF(AQ197="No","⚠ Missing",IF(AT197="Yes","✓ OK","⚠ Check"))))</f>
        <v/>
      </c>
    </row>
    <row r="198" ht="18" customHeight="1" s="46">
      <c r="A198" s="39" t="n">
        <v>194</v>
      </c>
      <c r="B198" s="40" t="inlineStr">
        <is>
          <t>BD-VRM-2026-0164</t>
        </is>
      </c>
      <c r="C198" s="41" t="inlineStr">
        <is>
          <t>Excel - Aurora 2 Wallpaper 4033-2</t>
        </is>
      </c>
      <c r="D198" s="39" t="inlineStr">
        <is>
          <t>Excel</t>
        </is>
      </c>
      <c r="E198" s="43" t="n">
        <v>46125</v>
      </c>
      <c r="F198" s="26" t="inlineStr">
        <is>
          <t>Sunil CR</t>
        </is>
      </c>
      <c r="G198" s="26" t="inlineStr">
        <is>
          <t>Yes</t>
        </is>
      </c>
      <c r="H198" s="26" t="inlineStr">
        <is>
          <t>No</t>
        </is>
      </c>
      <c r="I198" s="26" t="inlineStr">
        <is>
          <t>Good finish</t>
        </is>
      </c>
      <c r="J198" s="26" t="inlineStr">
        <is>
          <t>Yes</t>
        </is>
      </c>
      <c r="K198" s="27" t="n"/>
      <c r="L198" s="28" t="inlineStr">
        <is>
          <t>No</t>
        </is>
      </c>
      <c r="M198" s="29">
        <f>IF(E198="","",IF(H198="Yes","❌ Disc",IF(G198="No","⚠ Missing",IF(J198="Yes","✓ OK","⚠ Check"))))</f>
        <v/>
      </c>
      <c r="N198" s="43" t="n">
        <v>46193</v>
      </c>
      <c r="O198" s="26" t="inlineStr">
        <is>
          <t>Sunil CR</t>
        </is>
      </c>
      <c r="P198" s="26" t="inlineStr">
        <is>
          <t>Yes</t>
        </is>
      </c>
      <c r="Q198" s="26" t="inlineStr">
        <is>
          <t>No</t>
        </is>
      </c>
      <c r="R198" s="26" t="inlineStr">
        <is>
          <t>Good finish</t>
        </is>
      </c>
      <c r="S198" s="26" t="inlineStr">
        <is>
          <t>Yes</t>
        </is>
      </c>
      <c r="T198" s="27" t="n"/>
      <c r="U198" s="28" t="inlineStr">
        <is>
          <t>No</t>
        </is>
      </c>
      <c r="V198" s="29">
        <f>IF(N198="","",IF(Q198="Yes","❌ Disc",IF(P198="No","⚠ Missing",IF(S198="Yes","✓ OK","⚠ Check"))))</f>
        <v/>
      </c>
      <c r="W198" s="65" t="n">
        <v>46248</v>
      </c>
      <c r="X198" s="30" t="inlineStr">
        <is>
          <t>Sunil CR</t>
        </is>
      </c>
      <c r="Y198" s="30" t="inlineStr">
        <is>
          <t>Yes</t>
        </is>
      </c>
      <c r="Z198" s="30" t="n"/>
      <c r="AA198" s="30" t="inlineStr">
        <is>
          <t>Good finish</t>
        </is>
      </c>
      <c r="AB198" s="30" t="inlineStr">
        <is>
          <t>Yes</t>
        </is>
      </c>
      <c r="AC198" s="27" t="n"/>
      <c r="AD198" s="31" t="inlineStr">
        <is>
          <t>No</t>
        </is>
      </c>
      <c r="AE198" s="32">
        <f>IF(W198="","",IF(Z198="Yes","❌ Disc",IF(Y198="No","⚠ Missing",IF(AB198="Yes","✓ OK","⚠ Check"))))</f>
        <v/>
      </c>
      <c r="AF198" s="33" t="n"/>
      <c r="AG198" s="33" t="n"/>
      <c r="AH198" s="33" t="n"/>
      <c r="AI198" s="33" t="n"/>
      <c r="AJ198" s="33" t="n"/>
      <c r="AK198" s="33" t="n"/>
      <c r="AL198" s="27" t="n"/>
      <c r="AM198" s="34" t="n"/>
      <c r="AN198" s="35">
        <f>IF(AF198="","",IF(AI198="Yes","❌ Disc",IF(AH198="No","⚠ Missing",IF(AK198="Yes","✓ OK","⚠ Check"))))</f>
        <v/>
      </c>
      <c r="AO198" s="36" t="n"/>
      <c r="AP198" s="36" t="n"/>
      <c r="AQ198" s="36" t="n"/>
      <c r="AR198" s="36" t="n"/>
      <c r="AS198" s="36" t="n"/>
      <c r="AT198" s="36" t="n"/>
      <c r="AU198" s="27" t="n"/>
      <c r="AV198" s="37" t="n"/>
      <c r="AW198" s="38">
        <f>IF(AO198="","",IF(AR198="Yes","❌ Disc",IF(AQ198="No","⚠ Missing",IF(AT198="Yes","✓ OK","⚠ Check"))))</f>
        <v/>
      </c>
    </row>
    <row r="199" ht="18" customHeight="1" s="46">
      <c r="A199" s="23" t="n">
        <v>195</v>
      </c>
      <c r="B199" s="24" t="inlineStr">
        <is>
          <t>BD-VRM-2026-0165</t>
        </is>
      </c>
      <c r="C199" s="25" t="inlineStr">
        <is>
          <t>Excel - Aurora 2 Wallpaper 4033-3</t>
        </is>
      </c>
      <c r="D199" s="23" t="inlineStr">
        <is>
          <t>Excel</t>
        </is>
      </c>
      <c r="E199" s="43" t="n">
        <v>46125</v>
      </c>
      <c r="F199" s="26" t="inlineStr">
        <is>
          <t>Sunil CR</t>
        </is>
      </c>
      <c r="G199" s="26" t="inlineStr">
        <is>
          <t>Yes</t>
        </is>
      </c>
      <c r="H199" s="26" t="inlineStr">
        <is>
          <t>No</t>
        </is>
      </c>
      <c r="I199" s="26" t="inlineStr">
        <is>
          <t>Good finish</t>
        </is>
      </c>
      <c r="J199" s="26" t="inlineStr">
        <is>
          <t>Yes</t>
        </is>
      </c>
      <c r="K199" s="27" t="n"/>
      <c r="L199" s="28" t="inlineStr">
        <is>
          <t>No</t>
        </is>
      </c>
      <c r="M199" s="29">
        <f>IF(E199="","",IF(H199="Yes","❌ Disc",IF(G199="No","⚠ Missing",IF(J199="Yes","✓ OK","⚠ Check"))))</f>
        <v/>
      </c>
      <c r="N199" s="43" t="n">
        <v>46193</v>
      </c>
      <c r="O199" s="26" t="inlineStr">
        <is>
          <t>Sunil CR</t>
        </is>
      </c>
      <c r="P199" s="26" t="inlineStr">
        <is>
          <t>Yes</t>
        </is>
      </c>
      <c r="Q199" s="26" t="inlineStr">
        <is>
          <t>No</t>
        </is>
      </c>
      <c r="R199" s="26" t="inlineStr">
        <is>
          <t>Good finish</t>
        </is>
      </c>
      <c r="S199" s="26" t="inlineStr">
        <is>
          <t>Yes</t>
        </is>
      </c>
      <c r="T199" s="27" t="n"/>
      <c r="U199" s="28" t="inlineStr">
        <is>
          <t>No</t>
        </is>
      </c>
      <c r="V199" s="29">
        <f>IF(N199="","",IF(Q199="Yes","❌ Disc",IF(P199="No","⚠ Missing",IF(S199="Yes","✓ OK","⚠ Check"))))</f>
        <v/>
      </c>
      <c r="W199" s="65" t="n">
        <v>46248</v>
      </c>
      <c r="X199" s="30" t="inlineStr">
        <is>
          <t>Sunil CR</t>
        </is>
      </c>
      <c r="Y199" s="30" t="inlineStr">
        <is>
          <t>Yes</t>
        </is>
      </c>
      <c r="Z199" s="30" t="n"/>
      <c r="AA199" s="30" t="inlineStr">
        <is>
          <t>Good finish</t>
        </is>
      </c>
      <c r="AB199" s="30" t="inlineStr">
        <is>
          <t>Yes</t>
        </is>
      </c>
      <c r="AC199" s="27" t="n"/>
      <c r="AD199" s="31" t="inlineStr">
        <is>
          <t>No</t>
        </is>
      </c>
      <c r="AE199" s="32">
        <f>IF(W199="","",IF(Z199="Yes","❌ Disc",IF(Y199="No","⚠ Missing",IF(AB199="Yes","✓ OK","⚠ Check"))))</f>
        <v/>
      </c>
      <c r="AF199" s="33" t="n"/>
      <c r="AG199" s="33" t="n"/>
      <c r="AH199" s="33" t="n"/>
      <c r="AI199" s="33" t="n"/>
      <c r="AJ199" s="33" t="n"/>
      <c r="AK199" s="33" t="n"/>
      <c r="AL199" s="27" t="n"/>
      <c r="AM199" s="34" t="n"/>
      <c r="AN199" s="35">
        <f>IF(AF199="","",IF(AI199="Yes","❌ Disc",IF(AH199="No","⚠ Missing",IF(AK199="Yes","✓ OK","⚠ Check"))))</f>
        <v/>
      </c>
      <c r="AO199" s="36" t="n"/>
      <c r="AP199" s="36" t="n"/>
      <c r="AQ199" s="36" t="n"/>
      <c r="AR199" s="36" t="n"/>
      <c r="AS199" s="36" t="n"/>
      <c r="AT199" s="36" t="n"/>
      <c r="AU199" s="27" t="n"/>
      <c r="AV199" s="37" t="n"/>
      <c r="AW199" s="38">
        <f>IF(AO199="","",IF(AR199="Yes","❌ Disc",IF(AQ199="No","⚠ Missing",IF(AT199="Yes","✓ OK","⚠ Check"))))</f>
        <v/>
      </c>
    </row>
    <row r="200" ht="18" customHeight="1" s="46">
      <c r="A200" s="39" t="n">
        <v>196</v>
      </c>
      <c r="B200" s="40" t="inlineStr">
        <is>
          <t>BD-VRM-2026-0166</t>
        </is>
      </c>
      <c r="C200" s="41" t="inlineStr">
        <is>
          <t>Excel - Aurora 2 Wallpaper 4033-4</t>
        </is>
      </c>
      <c r="D200" s="39" t="inlineStr">
        <is>
          <t>Excel</t>
        </is>
      </c>
      <c r="E200" s="43" t="n">
        <v>46125</v>
      </c>
      <c r="F200" s="26" t="inlineStr">
        <is>
          <t>Sunil CR</t>
        </is>
      </c>
      <c r="G200" s="26" t="inlineStr">
        <is>
          <t>Yes</t>
        </is>
      </c>
      <c r="H200" s="26" t="inlineStr">
        <is>
          <t>No</t>
        </is>
      </c>
      <c r="I200" s="26" t="inlineStr">
        <is>
          <t>Good finish</t>
        </is>
      </c>
      <c r="J200" s="26" t="inlineStr">
        <is>
          <t>Yes</t>
        </is>
      </c>
      <c r="K200" s="27" t="n"/>
      <c r="L200" s="28" t="inlineStr">
        <is>
          <t>No</t>
        </is>
      </c>
      <c r="M200" s="29">
        <f>IF(E200="","",IF(H200="Yes","❌ Disc",IF(G200="No","⚠ Missing",IF(J200="Yes","✓ OK","⚠ Check"))))</f>
        <v/>
      </c>
      <c r="N200" s="43" t="n">
        <v>46193</v>
      </c>
      <c r="O200" s="26" t="inlineStr">
        <is>
          <t>Sunil CR</t>
        </is>
      </c>
      <c r="P200" s="26" t="inlineStr">
        <is>
          <t>Yes</t>
        </is>
      </c>
      <c r="Q200" s="26" t="inlineStr">
        <is>
          <t>No</t>
        </is>
      </c>
      <c r="R200" s="26" t="inlineStr">
        <is>
          <t>Good finish</t>
        </is>
      </c>
      <c r="S200" s="26" t="inlineStr">
        <is>
          <t>Yes</t>
        </is>
      </c>
      <c r="T200" s="27" t="n"/>
      <c r="U200" s="28" t="inlineStr">
        <is>
          <t>No</t>
        </is>
      </c>
      <c r="V200" s="29">
        <f>IF(N200="","",IF(Q200="Yes","❌ Disc",IF(P200="No","⚠ Missing",IF(S200="Yes","✓ OK","⚠ Check"))))</f>
        <v/>
      </c>
      <c r="W200" s="65" t="n">
        <v>46248</v>
      </c>
      <c r="X200" s="30" t="inlineStr">
        <is>
          <t>Sunil CR</t>
        </is>
      </c>
      <c r="Y200" s="30" t="inlineStr">
        <is>
          <t>Yes</t>
        </is>
      </c>
      <c r="Z200" s="30" t="n"/>
      <c r="AA200" s="30" t="inlineStr">
        <is>
          <t>Good finish</t>
        </is>
      </c>
      <c r="AB200" s="30" t="inlineStr">
        <is>
          <t>Yes</t>
        </is>
      </c>
      <c r="AC200" s="27" t="n"/>
      <c r="AD200" s="31" t="inlineStr">
        <is>
          <t>No</t>
        </is>
      </c>
      <c r="AE200" s="32">
        <f>IF(W200="","",IF(Z200="Yes","❌ Disc",IF(Y200="No","⚠ Missing",IF(AB200="Yes","✓ OK","⚠ Check"))))</f>
        <v/>
      </c>
      <c r="AF200" s="33" t="n"/>
      <c r="AG200" s="33" t="n"/>
      <c r="AH200" s="33" t="n"/>
      <c r="AI200" s="33" t="n"/>
      <c r="AJ200" s="33" t="n"/>
      <c r="AK200" s="33" t="n"/>
      <c r="AL200" s="27" t="n"/>
      <c r="AM200" s="34" t="n"/>
      <c r="AN200" s="35">
        <f>IF(AF200="","",IF(AI200="Yes","❌ Disc",IF(AH200="No","⚠ Missing",IF(AK200="Yes","✓ OK","⚠ Check"))))</f>
        <v/>
      </c>
      <c r="AO200" s="36" t="n"/>
      <c r="AP200" s="36" t="n"/>
      <c r="AQ200" s="36" t="n"/>
      <c r="AR200" s="36" t="n"/>
      <c r="AS200" s="36" t="n"/>
      <c r="AT200" s="36" t="n"/>
      <c r="AU200" s="27" t="n"/>
      <c r="AV200" s="37" t="n"/>
      <c r="AW200" s="38">
        <f>IF(AO200="","",IF(AR200="Yes","❌ Disc",IF(AQ200="No","⚠ Missing",IF(AT200="Yes","✓ OK","⚠ Check"))))</f>
        <v/>
      </c>
    </row>
    <row r="201" ht="18" customHeight="1" s="46">
      <c r="A201" s="23" t="n">
        <v>197</v>
      </c>
      <c r="B201" s="24" t="inlineStr">
        <is>
          <t>BD-VRM-2026-0167</t>
        </is>
      </c>
      <c r="C201" s="25" t="inlineStr">
        <is>
          <t>Excel - Aurora 2 Wallpaper 4033-5</t>
        </is>
      </c>
      <c r="D201" s="23" t="inlineStr">
        <is>
          <t>Excel</t>
        </is>
      </c>
      <c r="E201" s="43" t="n">
        <v>46125</v>
      </c>
      <c r="F201" s="26" t="inlineStr">
        <is>
          <t>Sunil CR</t>
        </is>
      </c>
      <c r="G201" s="26" t="inlineStr">
        <is>
          <t>Yes</t>
        </is>
      </c>
      <c r="H201" s="26" t="inlineStr">
        <is>
          <t>No</t>
        </is>
      </c>
      <c r="I201" s="26" t="inlineStr">
        <is>
          <t>Good finish</t>
        </is>
      </c>
      <c r="J201" s="26" t="inlineStr">
        <is>
          <t>Yes</t>
        </is>
      </c>
      <c r="K201" s="27" t="n"/>
      <c r="L201" s="28" t="inlineStr">
        <is>
          <t>No</t>
        </is>
      </c>
      <c r="M201" s="29">
        <f>IF(E201="","",IF(H201="Yes","❌ Disc",IF(G201="No","⚠ Missing",IF(J201="Yes","✓ OK","⚠ Check"))))</f>
        <v/>
      </c>
      <c r="N201" s="43" t="n">
        <v>46193</v>
      </c>
      <c r="O201" s="26" t="inlineStr">
        <is>
          <t>Sunil CR</t>
        </is>
      </c>
      <c r="P201" s="26" t="inlineStr">
        <is>
          <t>Yes</t>
        </is>
      </c>
      <c r="Q201" s="26" t="inlineStr">
        <is>
          <t>No</t>
        </is>
      </c>
      <c r="R201" s="26" t="inlineStr">
        <is>
          <t>Good finish</t>
        </is>
      </c>
      <c r="S201" s="26" t="inlineStr">
        <is>
          <t>Yes</t>
        </is>
      </c>
      <c r="T201" s="27" t="n"/>
      <c r="U201" s="28" t="inlineStr">
        <is>
          <t>No</t>
        </is>
      </c>
      <c r="V201" s="29">
        <f>IF(N201="","",IF(Q201="Yes","❌ Disc",IF(P201="No","⚠ Missing",IF(S201="Yes","✓ OK","⚠ Check"))))</f>
        <v/>
      </c>
      <c r="W201" s="65" t="n">
        <v>46248</v>
      </c>
      <c r="X201" s="30" t="inlineStr">
        <is>
          <t>Sunil CR</t>
        </is>
      </c>
      <c r="Y201" s="30" t="inlineStr">
        <is>
          <t>Yes</t>
        </is>
      </c>
      <c r="Z201" s="30" t="n"/>
      <c r="AA201" s="30" t="inlineStr">
        <is>
          <t>Good finish</t>
        </is>
      </c>
      <c r="AB201" s="30" t="inlineStr">
        <is>
          <t>Yes</t>
        </is>
      </c>
      <c r="AC201" s="27" t="n"/>
      <c r="AD201" s="31" t="inlineStr">
        <is>
          <t>No</t>
        </is>
      </c>
      <c r="AE201" s="32">
        <f>IF(W201="","",IF(Z201="Yes","❌ Disc",IF(Y201="No","⚠ Missing",IF(AB201="Yes","✓ OK","⚠ Check"))))</f>
        <v/>
      </c>
      <c r="AF201" s="33" t="n"/>
      <c r="AG201" s="33" t="n"/>
      <c r="AH201" s="33" t="n"/>
      <c r="AI201" s="33" t="n"/>
      <c r="AJ201" s="33" t="n"/>
      <c r="AK201" s="33" t="n"/>
      <c r="AL201" s="27" t="n"/>
      <c r="AM201" s="34" t="n"/>
      <c r="AN201" s="35">
        <f>IF(AF201="","",IF(AI201="Yes","❌ Disc",IF(AH201="No","⚠ Missing",IF(AK201="Yes","✓ OK","⚠ Check"))))</f>
        <v/>
      </c>
      <c r="AO201" s="36" t="n"/>
      <c r="AP201" s="36" t="n"/>
      <c r="AQ201" s="36" t="n"/>
      <c r="AR201" s="36" t="n"/>
      <c r="AS201" s="36" t="n"/>
      <c r="AT201" s="36" t="n"/>
      <c r="AU201" s="27" t="n"/>
      <c r="AV201" s="37" t="n"/>
      <c r="AW201" s="38">
        <f>IF(AO201="","",IF(AR201="Yes","❌ Disc",IF(AQ201="No","⚠ Missing",IF(AT201="Yes","✓ OK","⚠ Check"))))</f>
        <v/>
      </c>
    </row>
    <row r="202" ht="18" customHeight="1" s="46">
      <c r="A202" s="39" t="n">
        <v>198</v>
      </c>
      <c r="B202" s="40" t="inlineStr">
        <is>
          <t>BD-VRM-2026-0168</t>
        </is>
      </c>
      <c r="C202" s="41" t="inlineStr">
        <is>
          <t>Excel - Aurora 2 Wallpaper 4033-6</t>
        </is>
      </c>
      <c r="D202" s="39" t="inlineStr">
        <is>
          <t>Excel</t>
        </is>
      </c>
      <c r="E202" s="43" t="n">
        <v>46125</v>
      </c>
      <c r="F202" s="26" t="inlineStr">
        <is>
          <t>Sunil CR</t>
        </is>
      </c>
      <c r="G202" s="26" t="inlineStr">
        <is>
          <t>Yes</t>
        </is>
      </c>
      <c r="H202" s="26" t="inlineStr">
        <is>
          <t>No</t>
        </is>
      </c>
      <c r="I202" s="26" t="inlineStr">
        <is>
          <t>Good finish</t>
        </is>
      </c>
      <c r="J202" s="26" t="inlineStr">
        <is>
          <t>Yes</t>
        </is>
      </c>
      <c r="K202" s="27" t="n"/>
      <c r="L202" s="28" t="inlineStr">
        <is>
          <t>No</t>
        </is>
      </c>
      <c r="M202" s="29">
        <f>IF(E202="","",IF(H202="Yes","❌ Disc",IF(G202="No","⚠ Missing",IF(J202="Yes","✓ OK","⚠ Check"))))</f>
        <v/>
      </c>
      <c r="N202" s="43" t="n">
        <v>46193</v>
      </c>
      <c r="O202" s="26" t="inlineStr">
        <is>
          <t>Sunil CR</t>
        </is>
      </c>
      <c r="P202" s="26" t="inlineStr">
        <is>
          <t>Yes</t>
        </is>
      </c>
      <c r="Q202" s="26" t="inlineStr">
        <is>
          <t>No</t>
        </is>
      </c>
      <c r="R202" s="26" t="inlineStr">
        <is>
          <t>Good finish</t>
        </is>
      </c>
      <c r="S202" s="26" t="inlineStr">
        <is>
          <t>Yes</t>
        </is>
      </c>
      <c r="T202" s="27" t="n"/>
      <c r="U202" s="28" t="inlineStr">
        <is>
          <t>No</t>
        </is>
      </c>
      <c r="V202" s="29">
        <f>IF(N202="","",IF(Q202="Yes","❌ Disc",IF(P202="No","⚠ Missing",IF(S202="Yes","✓ OK","⚠ Check"))))</f>
        <v/>
      </c>
      <c r="W202" s="65" t="n">
        <v>46248</v>
      </c>
      <c r="X202" s="30" t="inlineStr">
        <is>
          <t>Sunil CR</t>
        </is>
      </c>
      <c r="Y202" s="30" t="inlineStr">
        <is>
          <t>Yes</t>
        </is>
      </c>
      <c r="Z202" s="30" t="n"/>
      <c r="AA202" s="30" t="inlineStr">
        <is>
          <t>Good finish</t>
        </is>
      </c>
      <c r="AB202" s="30" t="inlineStr">
        <is>
          <t>Yes</t>
        </is>
      </c>
      <c r="AC202" s="27" t="n"/>
      <c r="AD202" s="31" t="inlineStr">
        <is>
          <t>No</t>
        </is>
      </c>
      <c r="AE202" s="32">
        <f>IF(W202="","",IF(Z202="Yes","❌ Disc",IF(Y202="No","⚠ Missing",IF(AB202="Yes","✓ OK","⚠ Check"))))</f>
        <v/>
      </c>
      <c r="AF202" s="33" t="n"/>
      <c r="AG202" s="33" t="n"/>
      <c r="AH202" s="33" t="n"/>
      <c r="AI202" s="33" t="n"/>
      <c r="AJ202" s="33" t="n"/>
      <c r="AK202" s="33" t="n"/>
      <c r="AL202" s="27" t="n"/>
      <c r="AM202" s="34" t="n"/>
      <c r="AN202" s="35">
        <f>IF(AF202="","",IF(AI202="Yes","❌ Disc",IF(AH202="No","⚠ Missing",IF(AK202="Yes","✓ OK","⚠ Check"))))</f>
        <v/>
      </c>
      <c r="AO202" s="36" t="n"/>
      <c r="AP202" s="36" t="n"/>
      <c r="AQ202" s="36" t="n"/>
      <c r="AR202" s="36" t="n"/>
      <c r="AS202" s="36" t="n"/>
      <c r="AT202" s="36" t="n"/>
      <c r="AU202" s="27" t="n"/>
      <c r="AV202" s="37" t="n"/>
      <c r="AW202" s="38">
        <f>IF(AO202="","",IF(AR202="Yes","❌ Disc",IF(AQ202="No","⚠ Missing",IF(AT202="Yes","✓ OK","⚠ Check"))))</f>
        <v/>
      </c>
    </row>
    <row r="203" ht="18" customHeight="1" s="46">
      <c r="A203" s="23" t="n">
        <v>199</v>
      </c>
      <c r="B203" s="24" t="inlineStr">
        <is>
          <t>BD-VRM-2026-0182</t>
        </is>
      </c>
      <c r="C203" s="25" t="inlineStr">
        <is>
          <t>Excel - Aurora 2 Wallpaper 4034-1</t>
        </is>
      </c>
      <c r="D203" s="23" t="inlineStr">
        <is>
          <t>Excel</t>
        </is>
      </c>
      <c r="E203" s="43" t="n">
        <v>46125</v>
      </c>
      <c r="F203" s="26" t="inlineStr">
        <is>
          <t>Sunil CR</t>
        </is>
      </c>
      <c r="G203" s="26" t="inlineStr">
        <is>
          <t>Yes</t>
        </is>
      </c>
      <c r="H203" s="26" t="inlineStr">
        <is>
          <t>No</t>
        </is>
      </c>
      <c r="I203" s="26" t="inlineStr">
        <is>
          <t>Good finish</t>
        </is>
      </c>
      <c r="J203" s="26" t="inlineStr">
        <is>
          <t>Yes</t>
        </is>
      </c>
      <c r="K203" s="27" t="n"/>
      <c r="L203" s="28" t="inlineStr">
        <is>
          <t>No</t>
        </is>
      </c>
      <c r="M203" s="29">
        <f>IF(E203="","",IF(H203="Yes","❌ Disc",IF(G203="No","⚠ Missing",IF(J203="Yes","✓ OK","⚠ Check"))))</f>
        <v/>
      </c>
      <c r="N203" s="43" t="n">
        <v>46193</v>
      </c>
      <c r="O203" s="26" t="inlineStr">
        <is>
          <t>Sunil CR</t>
        </is>
      </c>
      <c r="P203" s="26" t="inlineStr">
        <is>
          <t>Yes</t>
        </is>
      </c>
      <c r="Q203" s="26" t="inlineStr">
        <is>
          <t>No</t>
        </is>
      </c>
      <c r="R203" s="26" t="inlineStr">
        <is>
          <t>Good finish</t>
        </is>
      </c>
      <c r="S203" s="26" t="inlineStr">
        <is>
          <t>Yes</t>
        </is>
      </c>
      <c r="T203" s="27" t="n"/>
      <c r="U203" s="28" t="inlineStr">
        <is>
          <t>No</t>
        </is>
      </c>
      <c r="V203" s="29">
        <f>IF(N203="","",IF(Q203="Yes","❌ Disc",IF(P203="No","⚠ Missing",IF(S203="Yes","✓ OK","⚠ Check"))))</f>
        <v/>
      </c>
      <c r="W203" s="65" t="n">
        <v>46248</v>
      </c>
      <c r="X203" s="30" t="inlineStr">
        <is>
          <t>Sunil CR</t>
        </is>
      </c>
      <c r="Y203" s="30" t="inlineStr">
        <is>
          <t>Yes</t>
        </is>
      </c>
      <c r="Z203" s="30" t="n"/>
      <c r="AA203" s="30" t="inlineStr">
        <is>
          <t>Good finish</t>
        </is>
      </c>
      <c r="AB203" s="30" t="inlineStr">
        <is>
          <t>Yes</t>
        </is>
      </c>
      <c r="AC203" s="27" t="n"/>
      <c r="AD203" s="31" t="inlineStr">
        <is>
          <t>No</t>
        </is>
      </c>
      <c r="AE203" s="32">
        <f>IF(W203="","",IF(Z203="Yes","❌ Disc",IF(Y203="No","⚠ Missing",IF(AB203="Yes","✓ OK","⚠ Check"))))</f>
        <v/>
      </c>
      <c r="AF203" s="33" t="n"/>
      <c r="AG203" s="33" t="n"/>
      <c r="AH203" s="33" t="n"/>
      <c r="AI203" s="33" t="n"/>
      <c r="AJ203" s="33" t="n"/>
      <c r="AK203" s="33" t="n"/>
      <c r="AL203" s="27" t="n"/>
      <c r="AM203" s="34" t="n"/>
      <c r="AN203" s="35">
        <f>IF(AF203="","",IF(AI203="Yes","❌ Disc",IF(AH203="No","⚠ Missing",IF(AK203="Yes","✓ OK","⚠ Check"))))</f>
        <v/>
      </c>
      <c r="AO203" s="36" t="n"/>
      <c r="AP203" s="36" t="n"/>
      <c r="AQ203" s="36" t="n"/>
      <c r="AR203" s="36" t="n"/>
      <c r="AS203" s="36" t="n"/>
      <c r="AT203" s="36" t="n"/>
      <c r="AU203" s="27" t="n"/>
      <c r="AV203" s="37" t="n"/>
      <c r="AW203" s="38">
        <f>IF(AO203="","",IF(AR203="Yes","❌ Disc",IF(AQ203="No","⚠ Missing",IF(AT203="Yes","✓ OK","⚠ Check"))))</f>
        <v/>
      </c>
    </row>
    <row r="204" ht="18" customHeight="1" s="46">
      <c r="A204" s="39" t="n">
        <v>200</v>
      </c>
      <c r="B204" s="40" t="inlineStr">
        <is>
          <t>BD-VRM-2026-0183</t>
        </is>
      </c>
      <c r="C204" s="41" t="inlineStr">
        <is>
          <t>Excel - Aurora 2 Wallpaper 4034-2</t>
        </is>
      </c>
      <c r="D204" s="39" t="inlineStr">
        <is>
          <t>Excel</t>
        </is>
      </c>
      <c r="E204" s="43" t="n">
        <v>46125</v>
      </c>
      <c r="F204" s="26" t="inlineStr">
        <is>
          <t>Sunil CR</t>
        </is>
      </c>
      <c r="G204" s="26" t="inlineStr">
        <is>
          <t>Yes</t>
        </is>
      </c>
      <c r="H204" s="26" t="inlineStr">
        <is>
          <t>No</t>
        </is>
      </c>
      <c r="I204" s="26" t="inlineStr">
        <is>
          <t>Good finish</t>
        </is>
      </c>
      <c r="J204" s="26" t="inlineStr">
        <is>
          <t>Yes</t>
        </is>
      </c>
      <c r="K204" s="27" t="n"/>
      <c r="L204" s="28" t="inlineStr">
        <is>
          <t>No</t>
        </is>
      </c>
      <c r="M204" s="29">
        <f>IF(E204="","",IF(H204="Yes","❌ Disc",IF(G204="No","⚠ Missing",IF(J204="Yes","✓ OK","⚠ Check"))))</f>
        <v/>
      </c>
      <c r="N204" s="43" t="n">
        <v>46193</v>
      </c>
      <c r="O204" s="26" t="inlineStr">
        <is>
          <t>Sunil CR</t>
        </is>
      </c>
      <c r="P204" s="26" t="inlineStr">
        <is>
          <t>Yes</t>
        </is>
      </c>
      <c r="Q204" s="26" t="inlineStr">
        <is>
          <t>No</t>
        </is>
      </c>
      <c r="R204" s="26" t="inlineStr">
        <is>
          <t>Good finish</t>
        </is>
      </c>
      <c r="S204" s="26" t="inlineStr">
        <is>
          <t>Yes</t>
        </is>
      </c>
      <c r="T204" s="27" t="n"/>
      <c r="U204" s="28" t="inlineStr">
        <is>
          <t>No</t>
        </is>
      </c>
      <c r="V204" s="29">
        <f>IF(N204="","",IF(Q204="Yes","❌ Disc",IF(P204="No","⚠ Missing",IF(S204="Yes","✓ OK","⚠ Check"))))</f>
        <v/>
      </c>
      <c r="W204" s="65" t="n">
        <v>46248</v>
      </c>
      <c r="X204" s="30" t="inlineStr">
        <is>
          <t>Sunil CR</t>
        </is>
      </c>
      <c r="Y204" s="30" t="inlineStr">
        <is>
          <t>Yes</t>
        </is>
      </c>
      <c r="Z204" s="30" t="n"/>
      <c r="AA204" s="30" t="inlineStr">
        <is>
          <t>Good finish</t>
        </is>
      </c>
      <c r="AB204" s="30" t="inlineStr">
        <is>
          <t>Yes</t>
        </is>
      </c>
      <c r="AC204" s="27" t="n"/>
      <c r="AD204" s="31" t="inlineStr">
        <is>
          <t>No</t>
        </is>
      </c>
      <c r="AE204" s="32">
        <f>IF(W204="","",IF(Z204="Yes","❌ Disc",IF(Y204="No","⚠ Missing",IF(AB204="Yes","✓ OK","⚠ Check"))))</f>
        <v/>
      </c>
      <c r="AF204" s="33" t="n"/>
      <c r="AG204" s="33" t="n"/>
      <c r="AH204" s="33" t="n"/>
      <c r="AI204" s="33" t="n"/>
      <c r="AJ204" s="33" t="n"/>
      <c r="AK204" s="33" t="n"/>
      <c r="AL204" s="27" t="n"/>
      <c r="AM204" s="34" t="n"/>
      <c r="AN204" s="35">
        <f>IF(AF204="","",IF(AI204="Yes","❌ Disc",IF(AH204="No","⚠ Missing",IF(AK204="Yes","✓ OK","⚠ Check"))))</f>
        <v/>
      </c>
      <c r="AO204" s="36" t="n"/>
      <c r="AP204" s="36" t="n"/>
      <c r="AQ204" s="36" t="n"/>
      <c r="AR204" s="36" t="n"/>
      <c r="AS204" s="36" t="n"/>
      <c r="AT204" s="36" t="n"/>
      <c r="AU204" s="27" t="n"/>
      <c r="AV204" s="37" t="n"/>
      <c r="AW204" s="38">
        <f>IF(AO204="","",IF(AR204="Yes","❌ Disc",IF(AQ204="No","⚠ Missing",IF(AT204="Yes","✓ OK","⚠ Check"))))</f>
        <v/>
      </c>
    </row>
    <row r="205" ht="18" customHeight="1" s="46">
      <c r="A205" s="23" t="n">
        <v>201</v>
      </c>
      <c r="B205" s="24" t="inlineStr">
        <is>
          <t>BD-VRM-2026-0184</t>
        </is>
      </c>
      <c r="C205" s="25" t="inlineStr">
        <is>
          <t>Excel - Aurora 2 Wallpaper 4034-3</t>
        </is>
      </c>
      <c r="D205" s="23" t="inlineStr">
        <is>
          <t>Excel</t>
        </is>
      </c>
      <c r="E205" s="43" t="n">
        <v>46125</v>
      </c>
      <c r="F205" s="26" t="inlineStr">
        <is>
          <t>Sunil CR</t>
        </is>
      </c>
      <c r="G205" s="26" t="inlineStr">
        <is>
          <t>Yes</t>
        </is>
      </c>
      <c r="H205" s="26" t="inlineStr">
        <is>
          <t>No</t>
        </is>
      </c>
      <c r="I205" s="26" t="inlineStr">
        <is>
          <t>Good finish</t>
        </is>
      </c>
      <c r="J205" s="26" t="inlineStr">
        <is>
          <t>Yes</t>
        </is>
      </c>
      <c r="K205" s="27" t="n"/>
      <c r="L205" s="28" t="inlineStr">
        <is>
          <t>No</t>
        </is>
      </c>
      <c r="M205" s="29">
        <f>IF(E205="","",IF(H205="Yes","❌ Disc",IF(G205="No","⚠ Missing",IF(J205="Yes","✓ OK","⚠ Check"))))</f>
        <v/>
      </c>
      <c r="N205" s="43" t="n">
        <v>46193</v>
      </c>
      <c r="O205" s="26" t="inlineStr">
        <is>
          <t>Sunil CR</t>
        </is>
      </c>
      <c r="P205" s="26" t="inlineStr">
        <is>
          <t>Yes</t>
        </is>
      </c>
      <c r="Q205" s="26" t="inlineStr">
        <is>
          <t>No</t>
        </is>
      </c>
      <c r="R205" s="26" t="inlineStr">
        <is>
          <t>Good finish</t>
        </is>
      </c>
      <c r="S205" s="26" t="inlineStr">
        <is>
          <t>Yes</t>
        </is>
      </c>
      <c r="T205" s="27" t="n"/>
      <c r="U205" s="28" t="inlineStr">
        <is>
          <t>No</t>
        </is>
      </c>
      <c r="V205" s="29">
        <f>IF(N205="","",IF(Q205="Yes","❌ Disc",IF(P205="No","⚠ Missing",IF(S205="Yes","✓ OK","⚠ Check"))))</f>
        <v/>
      </c>
      <c r="W205" s="65" t="n">
        <v>46248</v>
      </c>
      <c r="X205" s="30" t="inlineStr">
        <is>
          <t>Sunil CR</t>
        </is>
      </c>
      <c r="Y205" s="30" t="inlineStr">
        <is>
          <t>Yes</t>
        </is>
      </c>
      <c r="Z205" s="30" t="n"/>
      <c r="AA205" s="30" t="inlineStr">
        <is>
          <t>Good finish</t>
        </is>
      </c>
      <c r="AB205" s="30" t="inlineStr">
        <is>
          <t>Yes</t>
        </is>
      </c>
      <c r="AC205" s="27" t="n"/>
      <c r="AD205" s="31" t="inlineStr">
        <is>
          <t>No</t>
        </is>
      </c>
      <c r="AE205" s="32">
        <f>IF(W205="","",IF(Z205="Yes","❌ Disc",IF(Y205="No","⚠ Missing",IF(AB205="Yes","✓ OK","⚠ Check"))))</f>
        <v/>
      </c>
      <c r="AF205" s="33" t="n"/>
      <c r="AG205" s="33" t="n"/>
      <c r="AH205" s="33" t="n"/>
      <c r="AI205" s="33" t="n"/>
      <c r="AJ205" s="33" t="n"/>
      <c r="AK205" s="33" t="n"/>
      <c r="AL205" s="27" t="n"/>
      <c r="AM205" s="34" t="n"/>
      <c r="AN205" s="35">
        <f>IF(AF205="","",IF(AI205="Yes","❌ Disc",IF(AH205="No","⚠ Missing",IF(AK205="Yes","✓ OK","⚠ Check"))))</f>
        <v/>
      </c>
      <c r="AO205" s="36" t="n"/>
      <c r="AP205" s="36" t="n"/>
      <c r="AQ205" s="36" t="n"/>
      <c r="AR205" s="36" t="n"/>
      <c r="AS205" s="36" t="n"/>
      <c r="AT205" s="36" t="n"/>
      <c r="AU205" s="27" t="n"/>
      <c r="AV205" s="37" t="n"/>
      <c r="AW205" s="38">
        <f>IF(AO205="","",IF(AR205="Yes","❌ Disc",IF(AQ205="No","⚠ Missing",IF(AT205="Yes","✓ OK","⚠ Check"))))</f>
        <v/>
      </c>
    </row>
    <row r="206" ht="18" customHeight="1" s="46">
      <c r="A206" s="39" t="n">
        <v>202</v>
      </c>
      <c r="B206" s="40" t="inlineStr">
        <is>
          <t>BD-VRM-2026-0185</t>
        </is>
      </c>
      <c r="C206" s="41" t="inlineStr">
        <is>
          <t>Excel - Aurora 2 Wallpaper 4034-4</t>
        </is>
      </c>
      <c r="D206" s="39" t="inlineStr">
        <is>
          <t>Excel</t>
        </is>
      </c>
      <c r="E206" s="43" t="n">
        <v>46125</v>
      </c>
      <c r="F206" s="26" t="inlineStr">
        <is>
          <t>Sunil CR</t>
        </is>
      </c>
      <c r="G206" s="26" t="inlineStr">
        <is>
          <t>Yes</t>
        </is>
      </c>
      <c r="H206" s="26" t="inlineStr">
        <is>
          <t>No</t>
        </is>
      </c>
      <c r="I206" s="26" t="inlineStr">
        <is>
          <t>Good finish</t>
        </is>
      </c>
      <c r="J206" s="26" t="inlineStr">
        <is>
          <t>Yes</t>
        </is>
      </c>
      <c r="K206" s="27" t="n"/>
      <c r="L206" s="28" t="inlineStr">
        <is>
          <t>No</t>
        </is>
      </c>
      <c r="M206" s="29">
        <f>IF(E206="","",IF(H206="Yes","❌ Disc",IF(G206="No","⚠ Missing",IF(J206="Yes","✓ OK","⚠ Check"))))</f>
        <v/>
      </c>
      <c r="N206" s="43" t="n">
        <v>46193</v>
      </c>
      <c r="O206" s="26" t="inlineStr">
        <is>
          <t>Sunil CR</t>
        </is>
      </c>
      <c r="P206" s="26" t="inlineStr">
        <is>
          <t>Yes</t>
        </is>
      </c>
      <c r="Q206" s="26" t="inlineStr">
        <is>
          <t>No</t>
        </is>
      </c>
      <c r="R206" s="26" t="inlineStr">
        <is>
          <t>Good finish</t>
        </is>
      </c>
      <c r="S206" s="26" t="inlineStr">
        <is>
          <t>Yes</t>
        </is>
      </c>
      <c r="T206" s="27" t="n"/>
      <c r="U206" s="28" t="inlineStr">
        <is>
          <t>No</t>
        </is>
      </c>
      <c r="V206" s="29">
        <f>IF(N206="","",IF(Q206="Yes","❌ Disc",IF(P206="No","⚠ Missing",IF(S206="Yes","✓ OK","⚠ Check"))))</f>
        <v/>
      </c>
      <c r="W206" s="65" t="n">
        <v>46248</v>
      </c>
      <c r="X206" s="30" t="inlineStr">
        <is>
          <t>Sunil CR</t>
        </is>
      </c>
      <c r="Y206" s="30" t="inlineStr">
        <is>
          <t>Yes</t>
        </is>
      </c>
      <c r="Z206" s="30" t="n"/>
      <c r="AA206" s="30" t="inlineStr">
        <is>
          <t>Good finish</t>
        </is>
      </c>
      <c r="AB206" s="30" t="inlineStr">
        <is>
          <t>Yes</t>
        </is>
      </c>
      <c r="AC206" s="27" t="n"/>
      <c r="AD206" s="31" t="inlineStr">
        <is>
          <t>No</t>
        </is>
      </c>
      <c r="AE206" s="32">
        <f>IF(W206="","",IF(Z206="Yes","❌ Disc",IF(Y206="No","⚠ Missing",IF(AB206="Yes","✓ OK","⚠ Check"))))</f>
        <v/>
      </c>
      <c r="AF206" s="33" t="n"/>
      <c r="AG206" s="33" t="n"/>
      <c r="AH206" s="33" t="n"/>
      <c r="AI206" s="33" t="n"/>
      <c r="AJ206" s="33" t="n"/>
      <c r="AK206" s="33" t="n"/>
      <c r="AL206" s="27" t="n"/>
      <c r="AM206" s="34" t="n"/>
      <c r="AN206" s="35">
        <f>IF(AF206="","",IF(AI206="Yes","❌ Disc",IF(AH206="No","⚠ Missing",IF(AK206="Yes","✓ OK","⚠ Check"))))</f>
        <v/>
      </c>
      <c r="AO206" s="36" t="n"/>
      <c r="AP206" s="36" t="n"/>
      <c r="AQ206" s="36" t="n"/>
      <c r="AR206" s="36" t="n"/>
      <c r="AS206" s="36" t="n"/>
      <c r="AT206" s="36" t="n"/>
      <c r="AU206" s="27" t="n"/>
      <c r="AV206" s="37" t="n"/>
      <c r="AW206" s="38">
        <f>IF(AO206="","",IF(AR206="Yes","❌ Disc",IF(AQ206="No","⚠ Missing",IF(AT206="Yes","✓ OK","⚠ Check"))))</f>
        <v/>
      </c>
    </row>
    <row r="207" ht="18" customHeight="1" s="46">
      <c r="A207" s="23" t="n">
        <v>203</v>
      </c>
      <c r="B207" s="24" t="inlineStr">
        <is>
          <t>BD-VRM-2026-0186</t>
        </is>
      </c>
      <c r="C207" s="25" t="inlineStr">
        <is>
          <t>Excel - Aurora 2 Wallpaper 4034-5</t>
        </is>
      </c>
      <c r="D207" s="23" t="inlineStr">
        <is>
          <t>Excel</t>
        </is>
      </c>
      <c r="E207" s="43" t="n">
        <v>46125</v>
      </c>
      <c r="F207" s="26" t="inlineStr">
        <is>
          <t>Sunil CR</t>
        </is>
      </c>
      <c r="G207" s="26" t="inlineStr">
        <is>
          <t>Yes</t>
        </is>
      </c>
      <c r="H207" s="26" t="inlineStr">
        <is>
          <t>No</t>
        </is>
      </c>
      <c r="I207" s="26" t="inlineStr">
        <is>
          <t>Good finish</t>
        </is>
      </c>
      <c r="J207" s="26" t="inlineStr">
        <is>
          <t>Yes</t>
        </is>
      </c>
      <c r="K207" s="27" t="n"/>
      <c r="L207" s="28" t="inlineStr">
        <is>
          <t>No</t>
        </is>
      </c>
      <c r="M207" s="29">
        <f>IF(E207="","",IF(H207="Yes","❌ Disc",IF(G207="No","⚠ Missing",IF(J207="Yes","✓ OK","⚠ Check"))))</f>
        <v/>
      </c>
      <c r="N207" s="43" t="n">
        <v>46193</v>
      </c>
      <c r="O207" s="26" t="inlineStr">
        <is>
          <t>Sunil CR</t>
        </is>
      </c>
      <c r="P207" s="26" t="inlineStr">
        <is>
          <t>Yes</t>
        </is>
      </c>
      <c r="Q207" s="26" t="inlineStr">
        <is>
          <t>No</t>
        </is>
      </c>
      <c r="R207" s="26" t="inlineStr">
        <is>
          <t>Good finish</t>
        </is>
      </c>
      <c r="S207" s="26" t="inlineStr">
        <is>
          <t>Yes</t>
        </is>
      </c>
      <c r="T207" s="27" t="n"/>
      <c r="U207" s="28" t="inlineStr">
        <is>
          <t>No</t>
        </is>
      </c>
      <c r="V207" s="29">
        <f>IF(N207="","",IF(Q207="Yes","❌ Disc",IF(P207="No","⚠ Missing",IF(S207="Yes","✓ OK","⚠ Check"))))</f>
        <v/>
      </c>
      <c r="W207" s="65" t="n">
        <v>46248</v>
      </c>
      <c r="X207" s="30" t="inlineStr">
        <is>
          <t>Sunil CR</t>
        </is>
      </c>
      <c r="Y207" s="30" t="inlineStr">
        <is>
          <t>Yes</t>
        </is>
      </c>
      <c r="Z207" s="30" t="n"/>
      <c r="AA207" s="30" t="inlineStr">
        <is>
          <t>Good finish</t>
        </is>
      </c>
      <c r="AB207" s="30" t="inlineStr">
        <is>
          <t>Yes</t>
        </is>
      </c>
      <c r="AC207" s="27" t="n"/>
      <c r="AD207" s="31" t="inlineStr">
        <is>
          <t>No</t>
        </is>
      </c>
      <c r="AE207" s="32">
        <f>IF(W207="","",IF(Z207="Yes","❌ Disc",IF(Y207="No","⚠ Missing",IF(AB207="Yes","✓ OK","⚠ Check"))))</f>
        <v/>
      </c>
      <c r="AF207" s="33" t="n"/>
      <c r="AG207" s="33" t="n"/>
      <c r="AH207" s="33" t="n"/>
      <c r="AI207" s="33" t="n"/>
      <c r="AJ207" s="33" t="n"/>
      <c r="AK207" s="33" t="n"/>
      <c r="AL207" s="27" t="n"/>
      <c r="AM207" s="34" t="n"/>
      <c r="AN207" s="35">
        <f>IF(AF207="","",IF(AI207="Yes","❌ Disc",IF(AH207="No","⚠ Missing",IF(AK207="Yes","✓ OK","⚠ Check"))))</f>
        <v/>
      </c>
      <c r="AO207" s="36" t="n"/>
      <c r="AP207" s="36" t="n"/>
      <c r="AQ207" s="36" t="n"/>
      <c r="AR207" s="36" t="n"/>
      <c r="AS207" s="36" t="n"/>
      <c r="AT207" s="36" t="n"/>
      <c r="AU207" s="27" t="n"/>
      <c r="AV207" s="37" t="n"/>
      <c r="AW207" s="38">
        <f>IF(AO207="","",IF(AR207="Yes","❌ Disc",IF(AQ207="No","⚠ Missing",IF(AT207="Yes","✓ OK","⚠ Check"))))</f>
        <v/>
      </c>
    </row>
    <row r="208" ht="18" customHeight="1" s="46">
      <c r="A208" s="39" t="n">
        <v>204</v>
      </c>
      <c r="B208" s="40" t="inlineStr">
        <is>
          <t>BD-VRM-2026-0176</t>
        </is>
      </c>
      <c r="C208" s="41" t="inlineStr">
        <is>
          <t>Excel - Aurora 2 Wallpaper 4035-1</t>
        </is>
      </c>
      <c r="D208" s="39" t="inlineStr">
        <is>
          <t>Excel</t>
        </is>
      </c>
      <c r="E208" s="43" t="n">
        <v>46125</v>
      </c>
      <c r="F208" s="26" t="inlineStr">
        <is>
          <t>Sunil CR</t>
        </is>
      </c>
      <c r="G208" s="26" t="inlineStr">
        <is>
          <t>Yes</t>
        </is>
      </c>
      <c r="H208" s="26" t="inlineStr">
        <is>
          <t>No</t>
        </is>
      </c>
      <c r="I208" s="26" t="inlineStr">
        <is>
          <t>Good finish</t>
        </is>
      </c>
      <c r="J208" s="26" t="inlineStr">
        <is>
          <t>Yes</t>
        </is>
      </c>
      <c r="K208" s="27" t="n"/>
      <c r="L208" s="28" t="inlineStr">
        <is>
          <t>No</t>
        </is>
      </c>
      <c r="M208" s="29">
        <f>IF(E208="","",IF(H208="Yes","❌ Disc",IF(G208="No","⚠ Missing",IF(J208="Yes","✓ OK","⚠ Check"))))</f>
        <v/>
      </c>
      <c r="N208" s="43" t="n">
        <v>46193</v>
      </c>
      <c r="O208" s="26" t="inlineStr">
        <is>
          <t>Sunil CR</t>
        </is>
      </c>
      <c r="P208" s="26" t="inlineStr">
        <is>
          <t>Yes</t>
        </is>
      </c>
      <c r="Q208" s="26" t="inlineStr">
        <is>
          <t>No</t>
        </is>
      </c>
      <c r="R208" s="26" t="inlineStr">
        <is>
          <t>Good finish</t>
        </is>
      </c>
      <c r="S208" s="26" t="inlineStr">
        <is>
          <t>Yes</t>
        </is>
      </c>
      <c r="T208" s="27" t="n"/>
      <c r="U208" s="28" t="inlineStr">
        <is>
          <t>No</t>
        </is>
      </c>
      <c r="V208" s="29">
        <f>IF(N208="","",IF(Q208="Yes","❌ Disc",IF(P208="No","⚠ Missing",IF(S208="Yes","✓ OK","⚠ Check"))))</f>
        <v/>
      </c>
      <c r="W208" s="65" t="n">
        <v>46248</v>
      </c>
      <c r="X208" s="30" t="inlineStr">
        <is>
          <t>Sunil CR</t>
        </is>
      </c>
      <c r="Y208" s="30" t="inlineStr">
        <is>
          <t>Yes</t>
        </is>
      </c>
      <c r="Z208" s="30" t="n"/>
      <c r="AA208" s="30" t="inlineStr">
        <is>
          <t>Good finish</t>
        </is>
      </c>
      <c r="AB208" s="30" t="inlineStr">
        <is>
          <t>Yes</t>
        </is>
      </c>
      <c r="AC208" s="27" t="n"/>
      <c r="AD208" s="31" t="inlineStr">
        <is>
          <t>No</t>
        </is>
      </c>
      <c r="AE208" s="32">
        <f>IF(W208="","",IF(Z208="Yes","❌ Disc",IF(Y208="No","⚠ Missing",IF(AB208="Yes","✓ OK","⚠ Check"))))</f>
        <v/>
      </c>
      <c r="AF208" s="33" t="n"/>
      <c r="AG208" s="33" t="n"/>
      <c r="AH208" s="33" t="n"/>
      <c r="AI208" s="33" t="n"/>
      <c r="AJ208" s="33" t="n"/>
      <c r="AK208" s="33" t="n"/>
      <c r="AL208" s="27" t="n"/>
      <c r="AM208" s="34" t="n"/>
      <c r="AN208" s="35">
        <f>IF(AF208="","",IF(AI208="Yes","❌ Disc",IF(AH208="No","⚠ Missing",IF(AK208="Yes","✓ OK","⚠ Check"))))</f>
        <v/>
      </c>
      <c r="AO208" s="36" t="n"/>
      <c r="AP208" s="36" t="n"/>
      <c r="AQ208" s="36" t="n"/>
      <c r="AR208" s="36" t="n"/>
      <c r="AS208" s="36" t="n"/>
      <c r="AT208" s="36" t="n"/>
      <c r="AU208" s="27" t="n"/>
      <c r="AV208" s="37" t="n"/>
      <c r="AW208" s="38">
        <f>IF(AO208="","",IF(AR208="Yes","❌ Disc",IF(AQ208="No","⚠ Missing",IF(AT208="Yes","✓ OK","⚠ Check"))))</f>
        <v/>
      </c>
    </row>
    <row r="209" ht="18" customHeight="1" s="46">
      <c r="A209" s="23" t="n">
        <v>205</v>
      </c>
      <c r="B209" s="24" t="inlineStr">
        <is>
          <t>BD-VRM-2026-0177</t>
        </is>
      </c>
      <c r="C209" s="25" t="inlineStr">
        <is>
          <t>Excel - Aurora 2 Wallpaper 4035-2</t>
        </is>
      </c>
      <c r="D209" s="23" t="inlineStr">
        <is>
          <t>Excel</t>
        </is>
      </c>
      <c r="E209" s="43" t="n">
        <v>46125</v>
      </c>
      <c r="F209" s="26" t="inlineStr">
        <is>
          <t>Sunil CR</t>
        </is>
      </c>
      <c r="G209" s="26" t="inlineStr">
        <is>
          <t>Yes</t>
        </is>
      </c>
      <c r="H209" s="26" t="inlineStr">
        <is>
          <t>No</t>
        </is>
      </c>
      <c r="I209" s="26" t="inlineStr">
        <is>
          <t>Good finish</t>
        </is>
      </c>
      <c r="J209" s="26" t="inlineStr">
        <is>
          <t>Yes</t>
        </is>
      </c>
      <c r="K209" s="27" t="n"/>
      <c r="L209" s="28" t="inlineStr">
        <is>
          <t>No</t>
        </is>
      </c>
      <c r="M209" s="29">
        <f>IF(E209="","",IF(H209="Yes","❌ Disc",IF(G209="No","⚠ Missing",IF(J209="Yes","✓ OK","⚠ Check"))))</f>
        <v/>
      </c>
      <c r="N209" s="43" t="n">
        <v>46193</v>
      </c>
      <c r="O209" s="26" t="inlineStr">
        <is>
          <t>Sunil CR</t>
        </is>
      </c>
      <c r="P209" s="26" t="inlineStr">
        <is>
          <t>Yes</t>
        </is>
      </c>
      <c r="Q209" s="26" t="inlineStr">
        <is>
          <t>No</t>
        </is>
      </c>
      <c r="R209" s="26" t="inlineStr">
        <is>
          <t>Good finish</t>
        </is>
      </c>
      <c r="S209" s="26" t="inlineStr">
        <is>
          <t>Yes</t>
        </is>
      </c>
      <c r="T209" s="27" t="n"/>
      <c r="U209" s="28" t="inlineStr">
        <is>
          <t>No</t>
        </is>
      </c>
      <c r="V209" s="29">
        <f>IF(N209="","",IF(Q209="Yes","❌ Disc",IF(P209="No","⚠ Missing",IF(S209="Yes","✓ OK","⚠ Check"))))</f>
        <v/>
      </c>
      <c r="W209" s="65" t="n">
        <v>46248</v>
      </c>
      <c r="X209" s="30" t="inlineStr">
        <is>
          <t>Sunil CR</t>
        </is>
      </c>
      <c r="Y209" s="30" t="inlineStr">
        <is>
          <t>Yes</t>
        </is>
      </c>
      <c r="Z209" s="30" t="n"/>
      <c r="AA209" s="30" t="inlineStr">
        <is>
          <t>Good finish</t>
        </is>
      </c>
      <c r="AB209" s="30" t="inlineStr">
        <is>
          <t>Yes</t>
        </is>
      </c>
      <c r="AC209" s="27" t="n"/>
      <c r="AD209" s="31" t="inlineStr">
        <is>
          <t>No</t>
        </is>
      </c>
      <c r="AE209" s="32">
        <f>IF(W209="","",IF(Z209="Yes","❌ Disc",IF(Y209="No","⚠ Missing",IF(AB209="Yes","✓ OK","⚠ Check"))))</f>
        <v/>
      </c>
      <c r="AF209" s="33" t="n"/>
      <c r="AG209" s="33" t="n"/>
      <c r="AH209" s="33" t="n"/>
      <c r="AI209" s="33" t="n"/>
      <c r="AJ209" s="33" t="n"/>
      <c r="AK209" s="33" t="n"/>
      <c r="AL209" s="27" t="n"/>
      <c r="AM209" s="34" t="n"/>
      <c r="AN209" s="35">
        <f>IF(AF209="","",IF(AI209="Yes","❌ Disc",IF(AH209="No","⚠ Missing",IF(AK209="Yes","✓ OK","⚠ Check"))))</f>
        <v/>
      </c>
      <c r="AO209" s="36" t="n"/>
      <c r="AP209" s="36" t="n"/>
      <c r="AQ209" s="36" t="n"/>
      <c r="AR209" s="36" t="n"/>
      <c r="AS209" s="36" t="n"/>
      <c r="AT209" s="36" t="n"/>
      <c r="AU209" s="27" t="n"/>
      <c r="AV209" s="37" t="n"/>
      <c r="AW209" s="38">
        <f>IF(AO209="","",IF(AR209="Yes","❌ Disc",IF(AQ209="No","⚠ Missing",IF(AT209="Yes","✓ OK","⚠ Check"))))</f>
        <v/>
      </c>
    </row>
    <row r="210" ht="18" customHeight="1" s="46">
      <c r="A210" s="39" t="n">
        <v>206</v>
      </c>
      <c r="B210" s="40" t="inlineStr">
        <is>
          <t>BD-VRM-2026-0178</t>
        </is>
      </c>
      <c r="C210" s="41" t="inlineStr">
        <is>
          <t>Excel - Aurora 2 Wallpaper 4035-3</t>
        </is>
      </c>
      <c r="D210" s="39" t="inlineStr">
        <is>
          <t>Excel</t>
        </is>
      </c>
      <c r="E210" s="43" t="n">
        <v>46125</v>
      </c>
      <c r="F210" s="26" t="inlineStr">
        <is>
          <t>Sunil CR</t>
        </is>
      </c>
      <c r="G210" s="26" t="inlineStr">
        <is>
          <t>Yes</t>
        </is>
      </c>
      <c r="H210" s="26" t="inlineStr">
        <is>
          <t>No</t>
        </is>
      </c>
      <c r="I210" s="26" t="inlineStr">
        <is>
          <t>Good finish</t>
        </is>
      </c>
      <c r="J210" s="26" t="inlineStr">
        <is>
          <t>Yes</t>
        </is>
      </c>
      <c r="K210" s="27" t="n"/>
      <c r="L210" s="28" t="inlineStr">
        <is>
          <t>No</t>
        </is>
      </c>
      <c r="M210" s="29">
        <f>IF(E210="","",IF(H210="Yes","❌ Disc",IF(G210="No","⚠ Missing",IF(J210="Yes","✓ OK","⚠ Check"))))</f>
        <v/>
      </c>
      <c r="N210" s="43" t="n">
        <v>46193</v>
      </c>
      <c r="O210" s="26" t="inlineStr">
        <is>
          <t>Sunil CR</t>
        </is>
      </c>
      <c r="P210" s="26" t="inlineStr">
        <is>
          <t>Yes</t>
        </is>
      </c>
      <c r="Q210" s="26" t="inlineStr">
        <is>
          <t>No</t>
        </is>
      </c>
      <c r="R210" s="26" t="inlineStr">
        <is>
          <t>Good finish</t>
        </is>
      </c>
      <c r="S210" s="26" t="inlineStr">
        <is>
          <t>Yes</t>
        </is>
      </c>
      <c r="T210" s="27" t="n"/>
      <c r="U210" s="28" t="inlineStr">
        <is>
          <t>No</t>
        </is>
      </c>
      <c r="V210" s="29">
        <f>IF(N210="","",IF(Q210="Yes","❌ Disc",IF(P210="No","⚠ Missing",IF(S210="Yes","✓ OK","⚠ Check"))))</f>
        <v/>
      </c>
      <c r="W210" s="65" t="n">
        <v>46248</v>
      </c>
      <c r="X210" s="30" t="inlineStr">
        <is>
          <t>Sunil CR</t>
        </is>
      </c>
      <c r="Y210" s="30" t="inlineStr">
        <is>
          <t>Yes</t>
        </is>
      </c>
      <c r="Z210" s="30" t="n"/>
      <c r="AA210" s="30" t="inlineStr">
        <is>
          <t>Good finish</t>
        </is>
      </c>
      <c r="AB210" s="30" t="inlineStr">
        <is>
          <t>Yes</t>
        </is>
      </c>
      <c r="AC210" s="27" t="n"/>
      <c r="AD210" s="31" t="inlineStr">
        <is>
          <t>No</t>
        </is>
      </c>
      <c r="AE210" s="32">
        <f>IF(W210="","",IF(Z210="Yes","❌ Disc",IF(Y210="No","⚠ Missing",IF(AB210="Yes","✓ OK","⚠ Check"))))</f>
        <v/>
      </c>
      <c r="AF210" s="33" t="n"/>
      <c r="AG210" s="33" t="n"/>
      <c r="AH210" s="33" t="n"/>
      <c r="AI210" s="33" t="n"/>
      <c r="AJ210" s="33" t="n"/>
      <c r="AK210" s="33" t="n"/>
      <c r="AL210" s="27" t="n"/>
      <c r="AM210" s="34" t="n"/>
      <c r="AN210" s="35">
        <f>IF(AF210="","",IF(AI210="Yes","❌ Disc",IF(AH210="No","⚠ Missing",IF(AK210="Yes","✓ OK","⚠ Check"))))</f>
        <v/>
      </c>
      <c r="AO210" s="36" t="n"/>
      <c r="AP210" s="36" t="n"/>
      <c r="AQ210" s="36" t="n"/>
      <c r="AR210" s="36" t="n"/>
      <c r="AS210" s="36" t="n"/>
      <c r="AT210" s="36" t="n"/>
      <c r="AU210" s="27" t="n"/>
      <c r="AV210" s="37" t="n"/>
      <c r="AW210" s="38">
        <f>IF(AO210="","",IF(AR210="Yes","❌ Disc",IF(AQ210="No","⚠ Missing",IF(AT210="Yes","✓ OK","⚠ Check"))))</f>
        <v/>
      </c>
    </row>
    <row r="211" ht="18" customHeight="1" s="46">
      <c r="A211" s="23" t="n">
        <v>207</v>
      </c>
      <c r="B211" s="24" t="inlineStr">
        <is>
          <t>BD-VRM-2026-0179</t>
        </is>
      </c>
      <c r="C211" s="25" t="inlineStr">
        <is>
          <t>Excel - Aurora 2 Wallpaper 4036-1</t>
        </is>
      </c>
      <c r="D211" s="23" t="inlineStr">
        <is>
          <t>Excel</t>
        </is>
      </c>
      <c r="E211" s="43" t="n">
        <v>46125</v>
      </c>
      <c r="F211" s="26" t="inlineStr">
        <is>
          <t>Sunil CR</t>
        </is>
      </c>
      <c r="G211" s="26" t="inlineStr">
        <is>
          <t>Yes</t>
        </is>
      </c>
      <c r="H211" s="26" t="inlineStr">
        <is>
          <t>No</t>
        </is>
      </c>
      <c r="I211" s="26" t="inlineStr">
        <is>
          <t>Good finish</t>
        </is>
      </c>
      <c r="J211" s="26" t="inlineStr">
        <is>
          <t>Yes</t>
        </is>
      </c>
      <c r="K211" s="27" t="n"/>
      <c r="L211" s="28" t="inlineStr">
        <is>
          <t>No</t>
        </is>
      </c>
      <c r="M211" s="29">
        <f>IF(E211="","",IF(H211="Yes","❌ Disc",IF(G211="No","⚠ Missing",IF(J211="Yes","✓ OK","⚠ Check"))))</f>
        <v/>
      </c>
      <c r="N211" s="43" t="n">
        <v>46193</v>
      </c>
      <c r="O211" s="26" t="inlineStr">
        <is>
          <t>Sunil CR</t>
        </is>
      </c>
      <c r="P211" s="26" t="inlineStr">
        <is>
          <t>Yes</t>
        </is>
      </c>
      <c r="Q211" s="26" t="inlineStr">
        <is>
          <t>No</t>
        </is>
      </c>
      <c r="R211" s="26" t="inlineStr">
        <is>
          <t>Good finish</t>
        </is>
      </c>
      <c r="S211" s="26" t="inlineStr">
        <is>
          <t>Yes</t>
        </is>
      </c>
      <c r="T211" s="27" t="n"/>
      <c r="U211" s="28" t="inlineStr">
        <is>
          <t>No</t>
        </is>
      </c>
      <c r="V211" s="29">
        <f>IF(N211="","",IF(Q211="Yes","❌ Disc",IF(P211="No","⚠ Missing",IF(S211="Yes","✓ OK","⚠ Check"))))</f>
        <v/>
      </c>
      <c r="W211" s="65" t="n">
        <v>46248</v>
      </c>
      <c r="X211" s="30" t="inlineStr">
        <is>
          <t>Sunil CR</t>
        </is>
      </c>
      <c r="Y211" s="30" t="inlineStr">
        <is>
          <t>Yes</t>
        </is>
      </c>
      <c r="Z211" s="30" t="n"/>
      <c r="AA211" s="30" t="inlineStr">
        <is>
          <t>Good finish</t>
        </is>
      </c>
      <c r="AB211" s="30" t="inlineStr">
        <is>
          <t>Yes</t>
        </is>
      </c>
      <c r="AC211" s="27" t="n"/>
      <c r="AD211" s="31" t="inlineStr">
        <is>
          <t>No</t>
        </is>
      </c>
      <c r="AE211" s="32">
        <f>IF(W211="","",IF(Z211="Yes","❌ Disc",IF(Y211="No","⚠ Missing",IF(AB211="Yes","✓ OK","⚠ Check"))))</f>
        <v/>
      </c>
      <c r="AF211" s="33" t="n"/>
      <c r="AG211" s="33" t="n"/>
      <c r="AH211" s="33" t="n"/>
      <c r="AI211" s="33" t="n"/>
      <c r="AJ211" s="33" t="n"/>
      <c r="AK211" s="33" t="n"/>
      <c r="AL211" s="27" t="n"/>
      <c r="AM211" s="34" t="n"/>
      <c r="AN211" s="35">
        <f>IF(AF211="","",IF(AI211="Yes","❌ Disc",IF(AH211="No","⚠ Missing",IF(AK211="Yes","✓ OK","⚠ Check"))))</f>
        <v/>
      </c>
      <c r="AO211" s="36" t="n"/>
      <c r="AP211" s="36" t="n"/>
      <c r="AQ211" s="36" t="n"/>
      <c r="AR211" s="36" t="n"/>
      <c r="AS211" s="36" t="n"/>
      <c r="AT211" s="36" t="n"/>
      <c r="AU211" s="27" t="n"/>
      <c r="AV211" s="37" t="n"/>
      <c r="AW211" s="38">
        <f>IF(AO211="","",IF(AR211="Yes","❌ Disc",IF(AQ211="No","⚠ Missing",IF(AT211="Yes","✓ OK","⚠ Check"))))</f>
        <v/>
      </c>
    </row>
    <row r="212" ht="18" customHeight="1" s="46">
      <c r="A212" s="39" t="n">
        <v>208</v>
      </c>
      <c r="B212" s="40" t="inlineStr">
        <is>
          <t>BD-VRM-2026-0180</t>
        </is>
      </c>
      <c r="C212" s="41" t="inlineStr">
        <is>
          <t>Excel - Aurora 2 Wallpaper 4036-2</t>
        </is>
      </c>
      <c r="D212" s="39" t="inlineStr">
        <is>
          <t>Excel</t>
        </is>
      </c>
      <c r="E212" s="43" t="n">
        <v>46125</v>
      </c>
      <c r="F212" s="26" t="inlineStr">
        <is>
          <t>Sunil CR</t>
        </is>
      </c>
      <c r="G212" s="26" t="inlineStr">
        <is>
          <t>Yes</t>
        </is>
      </c>
      <c r="H212" s="26" t="inlineStr">
        <is>
          <t>No</t>
        </is>
      </c>
      <c r="I212" s="26" t="inlineStr">
        <is>
          <t>Good finish</t>
        </is>
      </c>
      <c r="J212" s="26" t="inlineStr">
        <is>
          <t>Yes</t>
        </is>
      </c>
      <c r="K212" s="27" t="n"/>
      <c r="L212" s="28" t="inlineStr">
        <is>
          <t>No</t>
        </is>
      </c>
      <c r="M212" s="29">
        <f>IF(E212="","",IF(H212="Yes","❌ Disc",IF(G212="No","⚠ Missing",IF(J212="Yes","✓ OK","⚠ Check"))))</f>
        <v/>
      </c>
      <c r="N212" s="43" t="n">
        <v>46193</v>
      </c>
      <c r="O212" s="26" t="inlineStr">
        <is>
          <t>Sunil CR</t>
        </is>
      </c>
      <c r="P212" s="26" t="inlineStr">
        <is>
          <t>Yes</t>
        </is>
      </c>
      <c r="Q212" s="26" t="inlineStr">
        <is>
          <t>No</t>
        </is>
      </c>
      <c r="R212" s="26" t="inlineStr">
        <is>
          <t>Good finish</t>
        </is>
      </c>
      <c r="S212" s="26" t="inlineStr">
        <is>
          <t>Yes</t>
        </is>
      </c>
      <c r="T212" s="27" t="n"/>
      <c r="U212" s="28" t="inlineStr">
        <is>
          <t>No</t>
        </is>
      </c>
      <c r="V212" s="29">
        <f>IF(N212="","",IF(Q212="Yes","❌ Disc",IF(P212="No","⚠ Missing",IF(S212="Yes","✓ OK","⚠ Check"))))</f>
        <v/>
      </c>
      <c r="W212" s="65" t="n">
        <v>46248</v>
      </c>
      <c r="X212" s="30" t="inlineStr">
        <is>
          <t>Sunil CR</t>
        </is>
      </c>
      <c r="Y212" s="30" t="inlineStr">
        <is>
          <t>Yes</t>
        </is>
      </c>
      <c r="Z212" s="30" t="n"/>
      <c r="AA212" s="30" t="inlineStr">
        <is>
          <t>Good finish</t>
        </is>
      </c>
      <c r="AB212" s="30" t="inlineStr">
        <is>
          <t>Yes</t>
        </is>
      </c>
      <c r="AC212" s="27" t="n"/>
      <c r="AD212" s="31" t="inlineStr">
        <is>
          <t>No</t>
        </is>
      </c>
      <c r="AE212" s="32">
        <f>IF(W212="","",IF(Z212="Yes","❌ Disc",IF(Y212="No","⚠ Missing",IF(AB212="Yes","✓ OK","⚠ Check"))))</f>
        <v/>
      </c>
      <c r="AF212" s="33" t="n"/>
      <c r="AG212" s="33" t="n"/>
      <c r="AH212" s="33" t="n"/>
      <c r="AI212" s="33" t="n"/>
      <c r="AJ212" s="33" t="n"/>
      <c r="AK212" s="33" t="n"/>
      <c r="AL212" s="27" t="n"/>
      <c r="AM212" s="34" t="n"/>
      <c r="AN212" s="35">
        <f>IF(AF212="","",IF(AI212="Yes","❌ Disc",IF(AH212="No","⚠ Missing",IF(AK212="Yes","✓ OK","⚠ Check"))))</f>
        <v/>
      </c>
      <c r="AO212" s="36" t="n"/>
      <c r="AP212" s="36" t="n"/>
      <c r="AQ212" s="36" t="n"/>
      <c r="AR212" s="36" t="n"/>
      <c r="AS212" s="36" t="n"/>
      <c r="AT212" s="36" t="n"/>
      <c r="AU212" s="27" t="n"/>
      <c r="AV212" s="37" t="n"/>
      <c r="AW212" s="38">
        <f>IF(AO212="","",IF(AR212="Yes","❌ Disc",IF(AQ212="No","⚠ Missing",IF(AT212="Yes","✓ OK","⚠ Check"))))</f>
        <v/>
      </c>
    </row>
    <row r="213" ht="18" customHeight="1" s="46">
      <c r="A213" s="23" t="n">
        <v>209</v>
      </c>
      <c r="B213" s="24" t="inlineStr">
        <is>
          <t>BD-VRM-2026-0181</t>
        </is>
      </c>
      <c r="C213" s="25" t="inlineStr">
        <is>
          <t>Excel - Aurora 2 Wallpaper 4036-3</t>
        </is>
      </c>
      <c r="D213" s="23" t="inlineStr">
        <is>
          <t>Excel</t>
        </is>
      </c>
      <c r="E213" s="43" t="n">
        <v>46125</v>
      </c>
      <c r="F213" s="26" t="inlineStr">
        <is>
          <t>Sunil CR</t>
        </is>
      </c>
      <c r="G213" s="26" t="inlineStr">
        <is>
          <t>Yes</t>
        </is>
      </c>
      <c r="H213" s="26" t="inlineStr">
        <is>
          <t>No</t>
        </is>
      </c>
      <c r="I213" s="26" t="inlineStr">
        <is>
          <t>Good finish</t>
        </is>
      </c>
      <c r="J213" s="26" t="inlineStr">
        <is>
          <t>Yes</t>
        </is>
      </c>
      <c r="K213" s="27" t="n"/>
      <c r="L213" s="28" t="inlineStr">
        <is>
          <t>No</t>
        </is>
      </c>
      <c r="M213" s="29">
        <f>IF(E213="","",IF(H213="Yes","❌ Disc",IF(G213="No","⚠ Missing",IF(J213="Yes","✓ OK","⚠ Check"))))</f>
        <v/>
      </c>
      <c r="N213" s="43" t="n">
        <v>46193</v>
      </c>
      <c r="O213" s="26" t="inlineStr">
        <is>
          <t>Sunil CR</t>
        </is>
      </c>
      <c r="P213" s="26" t="inlineStr">
        <is>
          <t>Yes</t>
        </is>
      </c>
      <c r="Q213" s="26" t="inlineStr">
        <is>
          <t>No</t>
        </is>
      </c>
      <c r="R213" s="26" t="inlineStr">
        <is>
          <t>Good finish</t>
        </is>
      </c>
      <c r="S213" s="26" t="inlineStr">
        <is>
          <t>Yes</t>
        </is>
      </c>
      <c r="T213" s="27" t="n"/>
      <c r="U213" s="28" t="inlineStr">
        <is>
          <t>No</t>
        </is>
      </c>
      <c r="V213" s="29">
        <f>IF(N213="","",IF(Q213="Yes","❌ Disc",IF(P213="No","⚠ Missing",IF(S213="Yes","✓ OK","⚠ Check"))))</f>
        <v/>
      </c>
      <c r="W213" s="65" t="n">
        <v>46248</v>
      </c>
      <c r="X213" s="30" t="inlineStr">
        <is>
          <t>Sunil CR</t>
        </is>
      </c>
      <c r="Y213" s="30" t="inlineStr">
        <is>
          <t>Yes</t>
        </is>
      </c>
      <c r="Z213" s="30" t="n"/>
      <c r="AA213" s="30" t="inlineStr">
        <is>
          <t>Good finish</t>
        </is>
      </c>
      <c r="AB213" s="30" t="inlineStr">
        <is>
          <t>Yes</t>
        </is>
      </c>
      <c r="AC213" s="27" t="n"/>
      <c r="AD213" s="31" t="inlineStr">
        <is>
          <t>No</t>
        </is>
      </c>
      <c r="AE213" s="32">
        <f>IF(W213="","",IF(Z213="Yes","❌ Disc",IF(Y213="No","⚠ Missing",IF(AB213="Yes","✓ OK","⚠ Check"))))</f>
        <v/>
      </c>
      <c r="AF213" s="33" t="n"/>
      <c r="AG213" s="33" t="n"/>
      <c r="AH213" s="33" t="n"/>
      <c r="AI213" s="33" t="n"/>
      <c r="AJ213" s="33" t="n"/>
      <c r="AK213" s="33" t="n"/>
      <c r="AL213" s="27" t="n"/>
      <c r="AM213" s="34" t="n"/>
      <c r="AN213" s="35">
        <f>IF(AF213="","",IF(AI213="Yes","❌ Disc",IF(AH213="No","⚠ Missing",IF(AK213="Yes","✓ OK","⚠ Check"))))</f>
        <v/>
      </c>
      <c r="AO213" s="36" t="n"/>
      <c r="AP213" s="36" t="n"/>
      <c r="AQ213" s="36" t="n"/>
      <c r="AR213" s="36" t="n"/>
      <c r="AS213" s="36" t="n"/>
      <c r="AT213" s="36" t="n"/>
      <c r="AU213" s="27" t="n"/>
      <c r="AV213" s="37" t="n"/>
      <c r="AW213" s="38">
        <f>IF(AO213="","",IF(AR213="Yes","❌ Disc",IF(AQ213="No","⚠ Missing",IF(AT213="Yes","✓ OK","⚠ Check"))))</f>
        <v/>
      </c>
    </row>
    <row r="214" ht="18" customHeight="1" s="46">
      <c r="A214" s="39" t="n">
        <v>210</v>
      </c>
      <c r="B214" s="40" t="inlineStr">
        <is>
          <t>BD-VRM-2026-0172</t>
        </is>
      </c>
      <c r="C214" s="41" t="inlineStr">
        <is>
          <t>Excel - Aurora 2 Wallpaper 4037-1</t>
        </is>
      </c>
      <c r="D214" s="39" t="inlineStr">
        <is>
          <t>Excel</t>
        </is>
      </c>
      <c r="E214" s="43" t="n">
        <v>46125</v>
      </c>
      <c r="F214" s="26" t="inlineStr">
        <is>
          <t>Sunil CR</t>
        </is>
      </c>
      <c r="G214" s="26" t="inlineStr">
        <is>
          <t>Yes</t>
        </is>
      </c>
      <c r="H214" s="26" t="inlineStr">
        <is>
          <t>No</t>
        </is>
      </c>
      <c r="I214" s="26" t="inlineStr">
        <is>
          <t>Good finish</t>
        </is>
      </c>
      <c r="J214" s="26" t="inlineStr">
        <is>
          <t>Yes</t>
        </is>
      </c>
      <c r="K214" s="27" t="n"/>
      <c r="L214" s="28" t="inlineStr">
        <is>
          <t>No</t>
        </is>
      </c>
      <c r="M214" s="29">
        <f>IF(E214="","",IF(H214="Yes","❌ Disc",IF(G214="No","⚠ Missing",IF(J214="Yes","✓ OK","⚠ Check"))))</f>
        <v/>
      </c>
      <c r="N214" s="43" t="n">
        <v>46193</v>
      </c>
      <c r="O214" s="26" t="inlineStr">
        <is>
          <t>Sunil CR</t>
        </is>
      </c>
      <c r="P214" s="26" t="inlineStr">
        <is>
          <t>Yes</t>
        </is>
      </c>
      <c r="Q214" s="26" t="inlineStr">
        <is>
          <t>No</t>
        </is>
      </c>
      <c r="R214" s="26" t="inlineStr">
        <is>
          <t>Good finish</t>
        </is>
      </c>
      <c r="S214" s="26" t="inlineStr">
        <is>
          <t>Yes</t>
        </is>
      </c>
      <c r="T214" s="27" t="n"/>
      <c r="U214" s="28" t="inlineStr">
        <is>
          <t>No</t>
        </is>
      </c>
      <c r="V214" s="29">
        <f>IF(N214="","",IF(Q214="Yes","❌ Disc",IF(P214="No","⚠ Missing",IF(S214="Yes","✓ OK","⚠ Check"))))</f>
        <v/>
      </c>
      <c r="W214" s="65" t="n">
        <v>46248</v>
      </c>
      <c r="X214" s="30" t="inlineStr">
        <is>
          <t>Sunil CR</t>
        </is>
      </c>
      <c r="Y214" s="30" t="inlineStr">
        <is>
          <t>Yes</t>
        </is>
      </c>
      <c r="Z214" s="30" t="n"/>
      <c r="AA214" s="30" t="inlineStr">
        <is>
          <t>Good finish</t>
        </is>
      </c>
      <c r="AB214" s="30" t="inlineStr">
        <is>
          <t>Yes</t>
        </is>
      </c>
      <c r="AC214" s="27" t="n"/>
      <c r="AD214" s="31" t="inlineStr">
        <is>
          <t>No</t>
        </is>
      </c>
      <c r="AE214" s="32">
        <f>IF(W214="","",IF(Z214="Yes","❌ Disc",IF(Y214="No","⚠ Missing",IF(AB214="Yes","✓ OK","⚠ Check"))))</f>
        <v/>
      </c>
      <c r="AF214" s="33" t="n"/>
      <c r="AG214" s="33" t="n"/>
      <c r="AH214" s="33" t="n"/>
      <c r="AI214" s="33" t="n"/>
      <c r="AJ214" s="33" t="n"/>
      <c r="AK214" s="33" t="n"/>
      <c r="AL214" s="27" t="n"/>
      <c r="AM214" s="34" t="n"/>
      <c r="AN214" s="35">
        <f>IF(AF214="","",IF(AI214="Yes","❌ Disc",IF(AH214="No","⚠ Missing",IF(AK214="Yes","✓ OK","⚠ Check"))))</f>
        <v/>
      </c>
      <c r="AO214" s="36" t="n"/>
      <c r="AP214" s="36" t="n"/>
      <c r="AQ214" s="36" t="n"/>
      <c r="AR214" s="36" t="n"/>
      <c r="AS214" s="36" t="n"/>
      <c r="AT214" s="36" t="n"/>
      <c r="AU214" s="27" t="n"/>
      <c r="AV214" s="37" t="n"/>
      <c r="AW214" s="38">
        <f>IF(AO214="","",IF(AR214="Yes","❌ Disc",IF(AQ214="No","⚠ Missing",IF(AT214="Yes","✓ OK","⚠ Check"))))</f>
        <v/>
      </c>
    </row>
    <row r="215" ht="18" customHeight="1" s="46">
      <c r="A215" s="23" t="n">
        <v>211</v>
      </c>
      <c r="B215" s="24" t="inlineStr">
        <is>
          <t>BD-VRM-2026-0173</t>
        </is>
      </c>
      <c r="C215" s="25" t="inlineStr">
        <is>
          <t>Excel - Aurora 2 Wallpaper 4037-2</t>
        </is>
      </c>
      <c r="D215" s="23" t="inlineStr">
        <is>
          <t>Excel</t>
        </is>
      </c>
      <c r="E215" s="43" t="n">
        <v>46125</v>
      </c>
      <c r="F215" s="26" t="inlineStr">
        <is>
          <t>Sunil CR</t>
        </is>
      </c>
      <c r="G215" s="26" t="inlineStr">
        <is>
          <t>Yes</t>
        </is>
      </c>
      <c r="H215" s="26" t="inlineStr">
        <is>
          <t>No</t>
        </is>
      </c>
      <c r="I215" s="26" t="inlineStr">
        <is>
          <t>Good finish</t>
        </is>
      </c>
      <c r="J215" s="26" t="inlineStr">
        <is>
          <t>Yes</t>
        </is>
      </c>
      <c r="K215" s="27" t="n"/>
      <c r="L215" s="28" t="inlineStr">
        <is>
          <t>No</t>
        </is>
      </c>
      <c r="M215" s="29">
        <f>IF(E215="","",IF(H215="Yes","❌ Disc",IF(G215="No","⚠ Missing",IF(J215="Yes","✓ OK","⚠ Check"))))</f>
        <v/>
      </c>
      <c r="N215" s="43" t="n">
        <v>46193</v>
      </c>
      <c r="O215" s="26" t="inlineStr">
        <is>
          <t>Sunil CR</t>
        </is>
      </c>
      <c r="P215" s="26" t="inlineStr">
        <is>
          <t>Yes</t>
        </is>
      </c>
      <c r="Q215" s="26" t="inlineStr">
        <is>
          <t>No</t>
        </is>
      </c>
      <c r="R215" s="26" t="inlineStr">
        <is>
          <t>Good finish</t>
        </is>
      </c>
      <c r="S215" s="26" t="inlineStr">
        <is>
          <t>Yes</t>
        </is>
      </c>
      <c r="T215" s="27" t="n"/>
      <c r="U215" s="28" t="inlineStr">
        <is>
          <t>No</t>
        </is>
      </c>
      <c r="V215" s="29">
        <f>IF(N215="","",IF(Q215="Yes","❌ Disc",IF(P215="No","⚠ Missing",IF(S215="Yes","✓ OK","⚠ Check"))))</f>
        <v/>
      </c>
      <c r="W215" s="65" t="n">
        <v>46248</v>
      </c>
      <c r="X215" s="30" t="inlineStr">
        <is>
          <t>Sunil CR</t>
        </is>
      </c>
      <c r="Y215" s="30" t="inlineStr">
        <is>
          <t>Yes</t>
        </is>
      </c>
      <c r="Z215" s="30" t="n"/>
      <c r="AA215" s="30" t="inlineStr">
        <is>
          <t>Good finish</t>
        </is>
      </c>
      <c r="AB215" s="30" t="inlineStr">
        <is>
          <t>Yes</t>
        </is>
      </c>
      <c r="AC215" s="27" t="n"/>
      <c r="AD215" s="31" t="inlineStr">
        <is>
          <t>No</t>
        </is>
      </c>
      <c r="AE215" s="32">
        <f>IF(W215="","",IF(Z215="Yes","❌ Disc",IF(Y215="No","⚠ Missing",IF(AB215="Yes","✓ OK","⚠ Check"))))</f>
        <v/>
      </c>
      <c r="AF215" s="33" t="n"/>
      <c r="AG215" s="33" t="n"/>
      <c r="AH215" s="33" t="n"/>
      <c r="AI215" s="33" t="n"/>
      <c r="AJ215" s="33" t="n"/>
      <c r="AK215" s="33" t="n"/>
      <c r="AL215" s="27" t="n"/>
      <c r="AM215" s="34" t="n"/>
      <c r="AN215" s="35">
        <f>IF(AF215="","",IF(AI215="Yes","❌ Disc",IF(AH215="No","⚠ Missing",IF(AK215="Yes","✓ OK","⚠ Check"))))</f>
        <v/>
      </c>
      <c r="AO215" s="36" t="n"/>
      <c r="AP215" s="36" t="n"/>
      <c r="AQ215" s="36" t="n"/>
      <c r="AR215" s="36" t="n"/>
      <c r="AS215" s="36" t="n"/>
      <c r="AT215" s="36" t="n"/>
      <c r="AU215" s="27" t="n"/>
      <c r="AV215" s="37" t="n"/>
      <c r="AW215" s="38">
        <f>IF(AO215="","",IF(AR215="Yes","❌ Disc",IF(AQ215="No","⚠ Missing",IF(AT215="Yes","✓ OK","⚠ Check"))))</f>
        <v/>
      </c>
    </row>
    <row r="216" ht="18" customHeight="1" s="46">
      <c r="A216" s="39" t="n">
        <v>212</v>
      </c>
      <c r="B216" s="40" t="inlineStr">
        <is>
          <t>BD-VRM-2026-0174</t>
        </is>
      </c>
      <c r="C216" s="41" t="inlineStr">
        <is>
          <t>Excel - Aurora 2 Wallpaper 4037-3</t>
        </is>
      </c>
      <c r="D216" s="39" t="inlineStr">
        <is>
          <t>Excel</t>
        </is>
      </c>
      <c r="E216" s="43" t="n">
        <v>46125</v>
      </c>
      <c r="F216" s="26" t="inlineStr">
        <is>
          <t>Sunil CR</t>
        </is>
      </c>
      <c r="G216" s="26" t="inlineStr">
        <is>
          <t>Yes</t>
        </is>
      </c>
      <c r="H216" s="26" t="inlineStr">
        <is>
          <t>No</t>
        </is>
      </c>
      <c r="I216" s="26" t="inlineStr">
        <is>
          <t>Good finish</t>
        </is>
      </c>
      <c r="J216" s="26" t="inlineStr">
        <is>
          <t>Yes</t>
        </is>
      </c>
      <c r="K216" s="27" t="n"/>
      <c r="L216" s="28" t="inlineStr">
        <is>
          <t>No</t>
        </is>
      </c>
      <c r="M216" s="29">
        <f>IF(E216="","",IF(H216="Yes","❌ Disc",IF(G216="No","⚠ Missing",IF(J216="Yes","✓ OK","⚠ Check"))))</f>
        <v/>
      </c>
      <c r="N216" s="43" t="n">
        <v>46193</v>
      </c>
      <c r="O216" s="26" t="inlineStr">
        <is>
          <t>Sunil CR</t>
        </is>
      </c>
      <c r="P216" s="26" t="inlineStr">
        <is>
          <t>Yes</t>
        </is>
      </c>
      <c r="Q216" s="26" t="inlineStr">
        <is>
          <t>No</t>
        </is>
      </c>
      <c r="R216" s="26" t="inlineStr">
        <is>
          <t>Good finish</t>
        </is>
      </c>
      <c r="S216" s="26" t="inlineStr">
        <is>
          <t>Yes</t>
        </is>
      </c>
      <c r="T216" s="27" t="n"/>
      <c r="U216" s="28" t="inlineStr">
        <is>
          <t>No</t>
        </is>
      </c>
      <c r="V216" s="29">
        <f>IF(N216="","",IF(Q216="Yes","❌ Disc",IF(P216="No","⚠ Missing",IF(S216="Yes","✓ OK","⚠ Check"))))</f>
        <v/>
      </c>
      <c r="W216" s="65" t="n">
        <v>46248</v>
      </c>
      <c r="X216" s="30" t="inlineStr">
        <is>
          <t>Sunil CR</t>
        </is>
      </c>
      <c r="Y216" s="30" t="inlineStr">
        <is>
          <t>Yes</t>
        </is>
      </c>
      <c r="Z216" s="30" t="n"/>
      <c r="AA216" s="30" t="inlineStr">
        <is>
          <t>Good finish</t>
        </is>
      </c>
      <c r="AB216" s="30" t="inlineStr">
        <is>
          <t>Yes</t>
        </is>
      </c>
      <c r="AC216" s="27" t="n"/>
      <c r="AD216" s="31" t="inlineStr">
        <is>
          <t>No</t>
        </is>
      </c>
      <c r="AE216" s="32">
        <f>IF(W216="","",IF(Z216="Yes","❌ Disc",IF(Y216="No","⚠ Missing",IF(AB216="Yes","✓ OK","⚠ Check"))))</f>
        <v/>
      </c>
      <c r="AF216" s="33" t="n"/>
      <c r="AG216" s="33" t="n"/>
      <c r="AH216" s="33" t="n"/>
      <c r="AI216" s="33" t="n"/>
      <c r="AJ216" s="33" t="n"/>
      <c r="AK216" s="33" t="n"/>
      <c r="AL216" s="27" t="n"/>
      <c r="AM216" s="34" t="n"/>
      <c r="AN216" s="35">
        <f>IF(AF216="","",IF(AI216="Yes","❌ Disc",IF(AH216="No","⚠ Missing",IF(AK216="Yes","✓ OK","⚠ Check"))))</f>
        <v/>
      </c>
      <c r="AO216" s="36" t="n"/>
      <c r="AP216" s="36" t="n"/>
      <c r="AQ216" s="36" t="n"/>
      <c r="AR216" s="36" t="n"/>
      <c r="AS216" s="36" t="n"/>
      <c r="AT216" s="36" t="n"/>
      <c r="AU216" s="27" t="n"/>
      <c r="AV216" s="37" t="n"/>
      <c r="AW216" s="38">
        <f>IF(AO216="","",IF(AR216="Yes","❌ Disc",IF(AQ216="No","⚠ Missing",IF(AT216="Yes","✓ OK","⚠ Check"))))</f>
        <v/>
      </c>
    </row>
    <row r="217" ht="18" customHeight="1" s="46">
      <c r="A217" s="23" t="n">
        <v>213</v>
      </c>
      <c r="B217" s="24" t="inlineStr">
        <is>
          <t>BD-VRM-2026-0175</t>
        </is>
      </c>
      <c r="C217" s="25" t="inlineStr">
        <is>
          <t>Excel - Aurora 2 Wallpaper 4037-4</t>
        </is>
      </c>
      <c r="D217" s="23" t="inlineStr">
        <is>
          <t>Excel</t>
        </is>
      </c>
      <c r="E217" s="43" t="n">
        <v>46125</v>
      </c>
      <c r="F217" s="26" t="inlineStr">
        <is>
          <t>Sunil CR</t>
        </is>
      </c>
      <c r="G217" s="26" t="inlineStr">
        <is>
          <t>Yes</t>
        </is>
      </c>
      <c r="H217" s="26" t="inlineStr">
        <is>
          <t>No</t>
        </is>
      </c>
      <c r="I217" s="26" t="inlineStr">
        <is>
          <t>Good finish</t>
        </is>
      </c>
      <c r="J217" s="26" t="inlineStr">
        <is>
          <t>Yes</t>
        </is>
      </c>
      <c r="K217" s="27" t="n"/>
      <c r="L217" s="28" t="inlineStr">
        <is>
          <t>No</t>
        </is>
      </c>
      <c r="M217" s="29">
        <f>IF(E217="","",IF(H217="Yes","❌ Disc",IF(G217="No","⚠ Missing",IF(J217="Yes","✓ OK","⚠ Check"))))</f>
        <v/>
      </c>
      <c r="N217" s="43" t="n">
        <v>46193</v>
      </c>
      <c r="O217" s="26" t="inlineStr">
        <is>
          <t>Sunil CR</t>
        </is>
      </c>
      <c r="P217" s="26" t="inlineStr">
        <is>
          <t>Yes</t>
        </is>
      </c>
      <c r="Q217" s="26" t="inlineStr">
        <is>
          <t>No</t>
        </is>
      </c>
      <c r="R217" s="26" t="inlineStr">
        <is>
          <t>Good finish</t>
        </is>
      </c>
      <c r="S217" s="26" t="inlineStr">
        <is>
          <t>Yes</t>
        </is>
      </c>
      <c r="T217" s="27" t="n"/>
      <c r="U217" s="28" t="inlineStr">
        <is>
          <t>No</t>
        </is>
      </c>
      <c r="V217" s="29">
        <f>IF(N217="","",IF(Q217="Yes","❌ Disc",IF(P217="No","⚠ Missing",IF(S217="Yes","✓ OK","⚠ Check"))))</f>
        <v/>
      </c>
      <c r="W217" s="65" t="n">
        <v>46248</v>
      </c>
      <c r="X217" s="30" t="inlineStr">
        <is>
          <t>Sunil CR</t>
        </is>
      </c>
      <c r="Y217" s="30" t="inlineStr">
        <is>
          <t>Yes</t>
        </is>
      </c>
      <c r="Z217" s="30" t="n"/>
      <c r="AA217" s="30" t="inlineStr">
        <is>
          <t>Good finish</t>
        </is>
      </c>
      <c r="AB217" s="30" t="inlineStr">
        <is>
          <t>Yes</t>
        </is>
      </c>
      <c r="AC217" s="27" t="n"/>
      <c r="AD217" s="31" t="inlineStr">
        <is>
          <t>No</t>
        </is>
      </c>
      <c r="AE217" s="32">
        <f>IF(W217="","",IF(Z217="Yes","❌ Disc",IF(Y217="No","⚠ Missing",IF(AB217="Yes","✓ OK","⚠ Check"))))</f>
        <v/>
      </c>
      <c r="AF217" s="33" t="n"/>
      <c r="AG217" s="33" t="n"/>
      <c r="AH217" s="33" t="n"/>
      <c r="AI217" s="33" t="n"/>
      <c r="AJ217" s="33" t="n"/>
      <c r="AK217" s="33" t="n"/>
      <c r="AL217" s="27" t="n"/>
      <c r="AM217" s="34" t="n"/>
      <c r="AN217" s="35">
        <f>IF(AF217="","",IF(AI217="Yes","❌ Disc",IF(AH217="No","⚠ Missing",IF(AK217="Yes","✓ OK","⚠ Check"))))</f>
        <v/>
      </c>
      <c r="AO217" s="36" t="n"/>
      <c r="AP217" s="36" t="n"/>
      <c r="AQ217" s="36" t="n"/>
      <c r="AR217" s="36" t="n"/>
      <c r="AS217" s="36" t="n"/>
      <c r="AT217" s="36" t="n"/>
      <c r="AU217" s="27" t="n"/>
      <c r="AV217" s="37" t="n"/>
      <c r="AW217" s="38">
        <f>IF(AO217="","",IF(AR217="Yes","❌ Disc",IF(AQ217="No","⚠ Missing",IF(AT217="Yes","✓ OK","⚠ Check"))))</f>
        <v/>
      </c>
    </row>
    <row r="218" ht="18" customHeight="1" s="46">
      <c r="A218" s="39" t="n">
        <v>214</v>
      </c>
      <c r="B218" s="40" t="inlineStr">
        <is>
          <t>BD-VRM-2026-0169</t>
        </is>
      </c>
      <c r="C218" s="41" t="inlineStr">
        <is>
          <t>Excel - Aurora 2 Wallpaper 4038-1</t>
        </is>
      </c>
      <c r="D218" s="39" t="inlineStr">
        <is>
          <t>Excel</t>
        </is>
      </c>
      <c r="E218" s="43" t="n">
        <v>46125</v>
      </c>
      <c r="F218" s="26" t="inlineStr">
        <is>
          <t>Sunil CR</t>
        </is>
      </c>
      <c r="G218" s="26" t="inlineStr">
        <is>
          <t>Yes</t>
        </is>
      </c>
      <c r="H218" s="26" t="inlineStr">
        <is>
          <t>No</t>
        </is>
      </c>
      <c r="I218" s="26" t="inlineStr">
        <is>
          <t>Good finish</t>
        </is>
      </c>
      <c r="J218" s="26" t="inlineStr">
        <is>
          <t>Yes</t>
        </is>
      </c>
      <c r="K218" s="27" t="n"/>
      <c r="L218" s="28" t="inlineStr">
        <is>
          <t>No</t>
        </is>
      </c>
      <c r="M218" s="29">
        <f>IF(E218="","",IF(H218="Yes","❌ Disc",IF(G218="No","⚠ Missing",IF(J218="Yes","✓ OK","⚠ Check"))))</f>
        <v/>
      </c>
      <c r="N218" s="43" t="n">
        <v>46193</v>
      </c>
      <c r="O218" s="26" t="inlineStr">
        <is>
          <t>Sunil CR</t>
        </is>
      </c>
      <c r="P218" s="26" t="inlineStr">
        <is>
          <t>Yes</t>
        </is>
      </c>
      <c r="Q218" s="26" t="inlineStr">
        <is>
          <t>No</t>
        </is>
      </c>
      <c r="R218" s="26" t="inlineStr">
        <is>
          <t>Good finish</t>
        </is>
      </c>
      <c r="S218" s="26" t="inlineStr">
        <is>
          <t>Yes</t>
        </is>
      </c>
      <c r="T218" s="27" t="n"/>
      <c r="U218" s="28" t="inlineStr">
        <is>
          <t>No</t>
        </is>
      </c>
      <c r="V218" s="29">
        <f>IF(N218="","",IF(Q218="Yes","❌ Disc",IF(P218="No","⚠ Missing",IF(S218="Yes","✓ OK","⚠ Check"))))</f>
        <v/>
      </c>
      <c r="W218" s="65" t="n">
        <v>46248</v>
      </c>
      <c r="X218" s="30" t="inlineStr">
        <is>
          <t>Sunil CR</t>
        </is>
      </c>
      <c r="Y218" s="30" t="inlineStr">
        <is>
          <t>Yes</t>
        </is>
      </c>
      <c r="Z218" s="30" t="n"/>
      <c r="AA218" s="30" t="inlineStr">
        <is>
          <t>Good finish</t>
        </is>
      </c>
      <c r="AB218" s="30" t="inlineStr">
        <is>
          <t>Yes</t>
        </is>
      </c>
      <c r="AC218" s="27" t="n"/>
      <c r="AD218" s="31" t="inlineStr">
        <is>
          <t>No</t>
        </is>
      </c>
      <c r="AE218" s="32">
        <f>IF(W218="","",IF(Z218="Yes","❌ Disc",IF(Y218="No","⚠ Missing",IF(AB218="Yes","✓ OK","⚠ Check"))))</f>
        <v/>
      </c>
      <c r="AF218" s="33" t="n"/>
      <c r="AG218" s="33" t="n"/>
      <c r="AH218" s="33" t="n"/>
      <c r="AI218" s="33" t="n"/>
      <c r="AJ218" s="33" t="n"/>
      <c r="AK218" s="33" t="n"/>
      <c r="AL218" s="27" t="n"/>
      <c r="AM218" s="34" t="n"/>
      <c r="AN218" s="35">
        <f>IF(AF218="","",IF(AI218="Yes","❌ Disc",IF(AH218="No","⚠ Missing",IF(AK218="Yes","✓ OK","⚠ Check"))))</f>
        <v/>
      </c>
      <c r="AO218" s="36" t="n"/>
      <c r="AP218" s="36" t="n"/>
      <c r="AQ218" s="36" t="n"/>
      <c r="AR218" s="36" t="n"/>
      <c r="AS218" s="36" t="n"/>
      <c r="AT218" s="36" t="n"/>
      <c r="AU218" s="27" t="n"/>
      <c r="AV218" s="37" t="n"/>
      <c r="AW218" s="38">
        <f>IF(AO218="","",IF(AR218="Yes","❌ Disc",IF(AQ218="No","⚠ Missing",IF(AT218="Yes","✓ OK","⚠ Check"))))</f>
        <v/>
      </c>
    </row>
    <row r="219" ht="18" customHeight="1" s="46">
      <c r="A219" s="23" t="n">
        <v>215</v>
      </c>
      <c r="B219" s="24" t="inlineStr">
        <is>
          <t>BD-VRM-2026-0170</t>
        </is>
      </c>
      <c r="C219" s="25" t="inlineStr">
        <is>
          <t>Excel - Aurora 2 Wallpaper 4038-2</t>
        </is>
      </c>
      <c r="D219" s="23" t="inlineStr">
        <is>
          <t>Excel</t>
        </is>
      </c>
      <c r="E219" s="43" t="n">
        <v>46125</v>
      </c>
      <c r="F219" s="26" t="inlineStr">
        <is>
          <t>Sunil CR</t>
        </is>
      </c>
      <c r="G219" s="26" t="inlineStr">
        <is>
          <t>Yes</t>
        </is>
      </c>
      <c r="H219" s="26" t="inlineStr">
        <is>
          <t>No</t>
        </is>
      </c>
      <c r="I219" s="26" t="inlineStr">
        <is>
          <t>Good finish</t>
        </is>
      </c>
      <c r="J219" s="26" t="inlineStr">
        <is>
          <t>Yes</t>
        </is>
      </c>
      <c r="K219" s="27" t="n"/>
      <c r="L219" s="28" t="inlineStr">
        <is>
          <t>No</t>
        </is>
      </c>
      <c r="M219" s="29">
        <f>IF(E219="","",IF(H219="Yes","❌ Disc",IF(G219="No","⚠ Missing",IF(J219="Yes","✓ OK","⚠ Check"))))</f>
        <v/>
      </c>
      <c r="N219" s="43" t="n">
        <v>46193</v>
      </c>
      <c r="O219" s="26" t="inlineStr">
        <is>
          <t>Sunil CR</t>
        </is>
      </c>
      <c r="P219" s="26" t="inlineStr">
        <is>
          <t>Yes</t>
        </is>
      </c>
      <c r="Q219" s="26" t="inlineStr">
        <is>
          <t>No</t>
        </is>
      </c>
      <c r="R219" s="26" t="inlineStr">
        <is>
          <t>Good finish</t>
        </is>
      </c>
      <c r="S219" s="26" t="inlineStr">
        <is>
          <t>Yes</t>
        </is>
      </c>
      <c r="T219" s="27" t="n"/>
      <c r="U219" s="28" t="inlineStr">
        <is>
          <t>No</t>
        </is>
      </c>
      <c r="V219" s="29">
        <f>IF(N219="","",IF(Q219="Yes","❌ Disc",IF(P219="No","⚠ Missing",IF(S219="Yes","✓ OK","⚠ Check"))))</f>
        <v/>
      </c>
      <c r="W219" s="65" t="n">
        <v>46248</v>
      </c>
      <c r="X219" s="30" t="inlineStr">
        <is>
          <t>Sunil CR</t>
        </is>
      </c>
      <c r="Y219" s="30" t="inlineStr">
        <is>
          <t>Yes</t>
        </is>
      </c>
      <c r="Z219" s="30" t="n"/>
      <c r="AA219" s="30" t="inlineStr">
        <is>
          <t>Good finish</t>
        </is>
      </c>
      <c r="AB219" s="30" t="inlineStr">
        <is>
          <t>Yes</t>
        </is>
      </c>
      <c r="AC219" s="27" t="n"/>
      <c r="AD219" s="31" t="inlineStr">
        <is>
          <t>No</t>
        </is>
      </c>
      <c r="AE219" s="32">
        <f>IF(W219="","",IF(Z219="Yes","❌ Disc",IF(Y219="No","⚠ Missing",IF(AB219="Yes","✓ OK","⚠ Check"))))</f>
        <v/>
      </c>
      <c r="AF219" s="33" t="n"/>
      <c r="AG219" s="33" t="n"/>
      <c r="AH219" s="33" t="n"/>
      <c r="AI219" s="33" t="n"/>
      <c r="AJ219" s="33" t="n"/>
      <c r="AK219" s="33" t="n"/>
      <c r="AL219" s="27" t="n"/>
      <c r="AM219" s="34" t="n"/>
      <c r="AN219" s="35">
        <f>IF(AF219="","",IF(AI219="Yes","❌ Disc",IF(AH219="No","⚠ Missing",IF(AK219="Yes","✓ OK","⚠ Check"))))</f>
        <v/>
      </c>
      <c r="AO219" s="36" t="n"/>
      <c r="AP219" s="36" t="n"/>
      <c r="AQ219" s="36" t="n"/>
      <c r="AR219" s="36" t="n"/>
      <c r="AS219" s="36" t="n"/>
      <c r="AT219" s="36" t="n"/>
      <c r="AU219" s="27" t="n"/>
      <c r="AV219" s="37" t="n"/>
      <c r="AW219" s="38">
        <f>IF(AO219="","",IF(AR219="Yes","❌ Disc",IF(AQ219="No","⚠ Missing",IF(AT219="Yes","✓ OK","⚠ Check"))))</f>
        <v/>
      </c>
    </row>
    <row r="220" ht="18" customHeight="1" s="46">
      <c r="A220" s="39" t="n">
        <v>216</v>
      </c>
      <c r="B220" s="40" t="inlineStr">
        <is>
          <t>BD-VRM-2026-0171</t>
        </is>
      </c>
      <c r="C220" s="41" t="inlineStr">
        <is>
          <t>Excel - Aurora 2 Wallpaper 4038-3</t>
        </is>
      </c>
      <c r="D220" s="39" t="inlineStr">
        <is>
          <t>Excel</t>
        </is>
      </c>
      <c r="E220" s="43" t="n">
        <v>46125</v>
      </c>
      <c r="F220" s="26" t="inlineStr">
        <is>
          <t>Sunil CR</t>
        </is>
      </c>
      <c r="G220" s="26" t="inlineStr">
        <is>
          <t>Yes</t>
        </is>
      </c>
      <c r="H220" s="26" t="inlineStr">
        <is>
          <t>No</t>
        </is>
      </c>
      <c r="I220" s="26" t="inlineStr">
        <is>
          <t>Good finish</t>
        </is>
      </c>
      <c r="J220" s="26" t="inlineStr">
        <is>
          <t>Yes</t>
        </is>
      </c>
      <c r="K220" s="27" t="n"/>
      <c r="L220" s="28" t="inlineStr">
        <is>
          <t>No</t>
        </is>
      </c>
      <c r="M220" s="29">
        <f>IF(E220="","",IF(H220="Yes","❌ Disc",IF(G220="No","⚠ Missing",IF(J220="Yes","✓ OK","⚠ Check"))))</f>
        <v/>
      </c>
      <c r="N220" s="43" t="n">
        <v>46193</v>
      </c>
      <c r="O220" s="26" t="inlineStr">
        <is>
          <t>Sunil CR</t>
        </is>
      </c>
      <c r="P220" s="26" t="inlineStr">
        <is>
          <t>Yes</t>
        </is>
      </c>
      <c r="Q220" s="26" t="inlineStr">
        <is>
          <t>No</t>
        </is>
      </c>
      <c r="R220" s="26" t="inlineStr">
        <is>
          <t>Good finish</t>
        </is>
      </c>
      <c r="S220" s="26" t="inlineStr">
        <is>
          <t>Yes</t>
        </is>
      </c>
      <c r="T220" s="27" t="n"/>
      <c r="U220" s="28" t="inlineStr">
        <is>
          <t>No</t>
        </is>
      </c>
      <c r="V220" s="29">
        <f>IF(N220="","",IF(Q220="Yes","❌ Disc",IF(P220="No","⚠ Missing",IF(S220="Yes","✓ OK","⚠ Check"))))</f>
        <v/>
      </c>
      <c r="W220" s="65" t="n">
        <v>46248</v>
      </c>
      <c r="X220" s="30" t="inlineStr">
        <is>
          <t>Sunil CR</t>
        </is>
      </c>
      <c r="Y220" s="30" t="inlineStr">
        <is>
          <t>Yes</t>
        </is>
      </c>
      <c r="Z220" s="30" t="n"/>
      <c r="AA220" s="30" t="inlineStr">
        <is>
          <t>Good finish</t>
        </is>
      </c>
      <c r="AB220" s="30" t="inlineStr">
        <is>
          <t>Yes</t>
        </is>
      </c>
      <c r="AC220" s="27" t="n"/>
      <c r="AD220" s="31" t="inlineStr">
        <is>
          <t>No</t>
        </is>
      </c>
      <c r="AE220" s="32">
        <f>IF(W220="","",IF(Z220="Yes","❌ Disc",IF(Y220="No","⚠ Missing",IF(AB220="Yes","✓ OK","⚠ Check"))))</f>
        <v/>
      </c>
      <c r="AF220" s="33" t="n"/>
      <c r="AG220" s="33" t="n"/>
      <c r="AH220" s="33" t="n"/>
      <c r="AI220" s="33" t="n"/>
      <c r="AJ220" s="33" t="n"/>
      <c r="AK220" s="33" t="n"/>
      <c r="AL220" s="27" t="n"/>
      <c r="AM220" s="34" t="n"/>
      <c r="AN220" s="35">
        <f>IF(AF220="","",IF(AI220="Yes","❌ Disc",IF(AH220="No","⚠ Missing",IF(AK220="Yes","✓ OK","⚠ Check"))))</f>
        <v/>
      </c>
      <c r="AO220" s="36" t="n"/>
      <c r="AP220" s="36" t="n"/>
      <c r="AQ220" s="36" t="n"/>
      <c r="AR220" s="36" t="n"/>
      <c r="AS220" s="36" t="n"/>
      <c r="AT220" s="36" t="n"/>
      <c r="AU220" s="27" t="n"/>
      <c r="AV220" s="37" t="n"/>
      <c r="AW220" s="38">
        <f>IF(AO220="","",IF(AR220="Yes","❌ Disc",IF(AQ220="No","⚠ Missing",IF(AT220="Yes","✓ OK","⚠ Check"))))</f>
        <v/>
      </c>
    </row>
    <row r="221" ht="18" customHeight="1" s="46">
      <c r="A221" s="23" t="n">
        <v>217</v>
      </c>
      <c r="B221" s="24" t="inlineStr">
        <is>
          <t>BD-VRM-2026-0161</t>
        </is>
      </c>
      <c r="C221" s="25" t="inlineStr">
        <is>
          <t>Excel - Aurora 2 Wallpaper 4039-1</t>
        </is>
      </c>
      <c r="D221" s="23" t="inlineStr">
        <is>
          <t>Excel</t>
        </is>
      </c>
      <c r="E221" s="43" t="n">
        <v>46125</v>
      </c>
      <c r="F221" s="26" t="inlineStr">
        <is>
          <t>Sunil CR</t>
        </is>
      </c>
      <c r="G221" s="26" t="inlineStr">
        <is>
          <t>Yes</t>
        </is>
      </c>
      <c r="H221" s="26" t="inlineStr">
        <is>
          <t>No</t>
        </is>
      </c>
      <c r="I221" s="26" t="inlineStr">
        <is>
          <t>Good finish</t>
        </is>
      </c>
      <c r="J221" s="26" t="inlineStr">
        <is>
          <t>Yes</t>
        </is>
      </c>
      <c r="K221" s="27" t="n"/>
      <c r="L221" s="28" t="inlineStr">
        <is>
          <t>No</t>
        </is>
      </c>
      <c r="M221" s="29">
        <f>IF(E221="","",IF(H221="Yes","❌ Disc",IF(G221="No","⚠ Missing",IF(J221="Yes","✓ OK","⚠ Check"))))</f>
        <v/>
      </c>
      <c r="N221" s="43" t="n">
        <v>46193</v>
      </c>
      <c r="O221" s="26" t="inlineStr">
        <is>
          <t>Sunil CR</t>
        </is>
      </c>
      <c r="P221" s="26" t="inlineStr">
        <is>
          <t>Yes</t>
        </is>
      </c>
      <c r="Q221" s="26" t="inlineStr">
        <is>
          <t>No</t>
        </is>
      </c>
      <c r="R221" s="26" t="inlineStr">
        <is>
          <t>Good finish</t>
        </is>
      </c>
      <c r="S221" s="26" t="inlineStr">
        <is>
          <t>Yes</t>
        </is>
      </c>
      <c r="T221" s="27" t="n"/>
      <c r="U221" s="28" t="inlineStr">
        <is>
          <t>No</t>
        </is>
      </c>
      <c r="V221" s="29">
        <f>IF(N221="","",IF(Q221="Yes","❌ Disc",IF(P221="No","⚠ Missing",IF(S221="Yes","✓ OK","⚠ Check"))))</f>
        <v/>
      </c>
      <c r="W221" s="65" t="n">
        <v>46248</v>
      </c>
      <c r="X221" s="30" t="inlineStr">
        <is>
          <t>Sunil CR</t>
        </is>
      </c>
      <c r="Y221" s="30" t="inlineStr">
        <is>
          <t>Yes</t>
        </is>
      </c>
      <c r="Z221" s="30" t="n"/>
      <c r="AA221" s="30" t="inlineStr">
        <is>
          <t>Good finish</t>
        </is>
      </c>
      <c r="AB221" s="30" t="inlineStr">
        <is>
          <t>Yes</t>
        </is>
      </c>
      <c r="AC221" s="27" t="n"/>
      <c r="AD221" s="31" t="inlineStr">
        <is>
          <t>No</t>
        </is>
      </c>
      <c r="AE221" s="32">
        <f>IF(W221="","",IF(Z221="Yes","❌ Disc",IF(Y221="No","⚠ Missing",IF(AB221="Yes","✓ OK","⚠ Check"))))</f>
        <v/>
      </c>
      <c r="AF221" s="33" t="n"/>
      <c r="AG221" s="33" t="n"/>
      <c r="AH221" s="33" t="n"/>
      <c r="AI221" s="33" t="n"/>
      <c r="AJ221" s="33" t="n"/>
      <c r="AK221" s="33" t="n"/>
      <c r="AL221" s="27" t="n"/>
      <c r="AM221" s="34" t="n"/>
      <c r="AN221" s="35">
        <f>IF(AF221="","",IF(AI221="Yes","❌ Disc",IF(AH221="No","⚠ Missing",IF(AK221="Yes","✓ OK","⚠ Check"))))</f>
        <v/>
      </c>
      <c r="AO221" s="36" t="n"/>
      <c r="AP221" s="36" t="n"/>
      <c r="AQ221" s="36" t="n"/>
      <c r="AR221" s="36" t="n"/>
      <c r="AS221" s="36" t="n"/>
      <c r="AT221" s="36" t="n"/>
      <c r="AU221" s="27" t="n"/>
      <c r="AV221" s="37" t="n"/>
      <c r="AW221" s="38">
        <f>IF(AO221="","",IF(AR221="Yes","❌ Disc",IF(AQ221="No","⚠ Missing",IF(AT221="Yes","✓ OK","⚠ Check"))))</f>
        <v/>
      </c>
    </row>
    <row r="222" ht="18" customHeight="1" s="46">
      <c r="A222" s="39" t="n">
        <v>218</v>
      </c>
      <c r="B222" s="40" t="inlineStr">
        <is>
          <t>BD-VRM-2026-0162</t>
        </is>
      </c>
      <c r="C222" s="41" t="inlineStr">
        <is>
          <t>Excel - Aurora 2 Wallpaper 4039-2</t>
        </is>
      </c>
      <c r="D222" s="39" t="inlineStr">
        <is>
          <t>Excel</t>
        </is>
      </c>
      <c r="E222" s="43" t="n">
        <v>46125</v>
      </c>
      <c r="F222" s="26" t="inlineStr">
        <is>
          <t>Sunil CR</t>
        </is>
      </c>
      <c r="G222" s="26" t="inlineStr">
        <is>
          <t>Yes</t>
        </is>
      </c>
      <c r="H222" s="26" t="inlineStr">
        <is>
          <t>No</t>
        </is>
      </c>
      <c r="I222" s="26" t="inlineStr">
        <is>
          <t>Good finish</t>
        </is>
      </c>
      <c r="J222" s="26" t="inlineStr">
        <is>
          <t>Yes</t>
        </is>
      </c>
      <c r="K222" s="27" t="n"/>
      <c r="L222" s="28" t="inlineStr">
        <is>
          <t>No</t>
        </is>
      </c>
      <c r="M222" s="29">
        <f>IF(E222="","",IF(H222="Yes","❌ Disc",IF(G222="No","⚠ Missing",IF(J222="Yes","✓ OK","⚠ Check"))))</f>
        <v/>
      </c>
      <c r="N222" s="43" t="n">
        <v>46193</v>
      </c>
      <c r="O222" s="26" t="inlineStr">
        <is>
          <t>Sunil CR</t>
        </is>
      </c>
      <c r="P222" s="26" t="inlineStr">
        <is>
          <t>Yes</t>
        </is>
      </c>
      <c r="Q222" s="26" t="inlineStr">
        <is>
          <t>No</t>
        </is>
      </c>
      <c r="R222" s="26" t="inlineStr">
        <is>
          <t>Good finish</t>
        </is>
      </c>
      <c r="S222" s="26" t="inlineStr">
        <is>
          <t>Yes</t>
        </is>
      </c>
      <c r="T222" s="27" t="n"/>
      <c r="U222" s="28" t="inlineStr">
        <is>
          <t>No</t>
        </is>
      </c>
      <c r="V222" s="29">
        <f>IF(N222="","",IF(Q222="Yes","❌ Disc",IF(P222="No","⚠ Missing",IF(S222="Yes","✓ OK","⚠ Check"))))</f>
        <v/>
      </c>
      <c r="W222" s="65" t="n">
        <v>46248</v>
      </c>
      <c r="X222" s="30" t="inlineStr">
        <is>
          <t>Sunil CR</t>
        </is>
      </c>
      <c r="Y222" s="30" t="inlineStr">
        <is>
          <t>Yes</t>
        </is>
      </c>
      <c r="Z222" s="30" t="n"/>
      <c r="AA222" s="30" t="inlineStr">
        <is>
          <t>Good finish</t>
        </is>
      </c>
      <c r="AB222" s="30" t="inlineStr">
        <is>
          <t>Yes</t>
        </is>
      </c>
      <c r="AC222" s="27" t="n"/>
      <c r="AD222" s="31" t="inlineStr">
        <is>
          <t>No</t>
        </is>
      </c>
      <c r="AE222" s="32">
        <f>IF(W222="","",IF(Z222="Yes","❌ Disc",IF(Y222="No","⚠ Missing",IF(AB222="Yes","✓ OK","⚠ Check"))))</f>
        <v/>
      </c>
      <c r="AF222" s="33" t="n"/>
      <c r="AG222" s="33" t="n"/>
      <c r="AH222" s="33" t="n"/>
      <c r="AI222" s="33" t="n"/>
      <c r="AJ222" s="33" t="n"/>
      <c r="AK222" s="33" t="n"/>
      <c r="AL222" s="27" t="n"/>
      <c r="AM222" s="34" t="n"/>
      <c r="AN222" s="35">
        <f>IF(AF222="","",IF(AI222="Yes","❌ Disc",IF(AH222="No","⚠ Missing",IF(AK222="Yes","✓ OK","⚠ Check"))))</f>
        <v/>
      </c>
      <c r="AO222" s="36" t="n"/>
      <c r="AP222" s="36" t="n"/>
      <c r="AQ222" s="36" t="n"/>
      <c r="AR222" s="36" t="n"/>
      <c r="AS222" s="36" t="n"/>
      <c r="AT222" s="36" t="n"/>
      <c r="AU222" s="27" t="n"/>
      <c r="AV222" s="37" t="n"/>
      <c r="AW222" s="38">
        <f>IF(AO222="","",IF(AR222="Yes","❌ Disc",IF(AQ222="No","⚠ Missing",IF(AT222="Yes","✓ OK","⚠ Check"))))</f>
        <v/>
      </c>
    </row>
    <row r="223" ht="18" customHeight="1" s="46">
      <c r="A223" s="23" t="n">
        <v>219</v>
      </c>
      <c r="B223" s="24" t="inlineStr">
        <is>
          <t>BD-VRM-2026-0138</t>
        </is>
      </c>
      <c r="C223" s="25" t="inlineStr">
        <is>
          <t>Excel - Aurora 2 Wallpaper 4040-1</t>
        </is>
      </c>
      <c r="D223" s="23" t="inlineStr">
        <is>
          <t>Excel</t>
        </is>
      </c>
      <c r="E223" s="43" t="n">
        <v>46125</v>
      </c>
      <c r="F223" s="26" t="inlineStr">
        <is>
          <t>Sunil CR</t>
        </is>
      </c>
      <c r="G223" s="26" t="inlineStr">
        <is>
          <t>Yes</t>
        </is>
      </c>
      <c r="H223" s="26" t="inlineStr">
        <is>
          <t>No</t>
        </is>
      </c>
      <c r="I223" s="26" t="inlineStr">
        <is>
          <t>Good finish</t>
        </is>
      </c>
      <c r="J223" s="26" t="inlineStr">
        <is>
          <t>Yes</t>
        </is>
      </c>
      <c r="K223" s="27" t="n"/>
      <c r="L223" s="28" t="inlineStr">
        <is>
          <t>No</t>
        </is>
      </c>
      <c r="M223" s="29">
        <f>IF(E223="","",IF(H223="Yes","❌ Disc",IF(G223="No","⚠ Missing",IF(J223="Yes","✓ OK","⚠ Check"))))</f>
        <v/>
      </c>
      <c r="N223" s="43" t="n">
        <v>46193</v>
      </c>
      <c r="O223" s="26" t="inlineStr">
        <is>
          <t>Sunil CR</t>
        </is>
      </c>
      <c r="P223" s="26" t="inlineStr">
        <is>
          <t>Yes</t>
        </is>
      </c>
      <c r="Q223" s="26" t="inlineStr">
        <is>
          <t>No</t>
        </is>
      </c>
      <c r="R223" s="26" t="inlineStr">
        <is>
          <t>Good finish</t>
        </is>
      </c>
      <c r="S223" s="26" t="inlineStr">
        <is>
          <t>Yes</t>
        </is>
      </c>
      <c r="T223" s="27" t="n"/>
      <c r="U223" s="28" t="inlineStr">
        <is>
          <t>No</t>
        </is>
      </c>
      <c r="V223" s="29">
        <f>IF(N223="","",IF(Q223="Yes","❌ Disc",IF(P223="No","⚠ Missing",IF(S223="Yes","✓ OK","⚠ Check"))))</f>
        <v/>
      </c>
      <c r="W223" s="65" t="n">
        <v>46248</v>
      </c>
      <c r="X223" s="30" t="inlineStr">
        <is>
          <t>Sunil CR</t>
        </is>
      </c>
      <c r="Y223" s="30" t="inlineStr">
        <is>
          <t>Yes</t>
        </is>
      </c>
      <c r="Z223" s="30" t="n"/>
      <c r="AA223" s="30" t="inlineStr">
        <is>
          <t>Good finish</t>
        </is>
      </c>
      <c r="AB223" s="30" t="inlineStr">
        <is>
          <t>Yes</t>
        </is>
      </c>
      <c r="AC223" s="27" t="n"/>
      <c r="AD223" s="31" t="inlineStr">
        <is>
          <t>No</t>
        </is>
      </c>
      <c r="AE223" s="32">
        <f>IF(W223="","",IF(Z223="Yes","❌ Disc",IF(Y223="No","⚠ Missing",IF(AB223="Yes","✓ OK","⚠ Check"))))</f>
        <v/>
      </c>
      <c r="AF223" s="33" t="n"/>
      <c r="AG223" s="33" t="n"/>
      <c r="AH223" s="33" t="n"/>
      <c r="AI223" s="33" t="n"/>
      <c r="AJ223" s="33" t="n"/>
      <c r="AK223" s="33" t="n"/>
      <c r="AL223" s="27" t="n"/>
      <c r="AM223" s="34" t="n"/>
      <c r="AN223" s="35">
        <f>IF(AF223="","",IF(AI223="Yes","❌ Disc",IF(AH223="No","⚠ Missing",IF(AK223="Yes","✓ OK","⚠ Check"))))</f>
        <v/>
      </c>
      <c r="AO223" s="36" t="n"/>
      <c r="AP223" s="36" t="n"/>
      <c r="AQ223" s="36" t="n"/>
      <c r="AR223" s="36" t="n"/>
      <c r="AS223" s="36" t="n"/>
      <c r="AT223" s="36" t="n"/>
      <c r="AU223" s="27" t="n"/>
      <c r="AV223" s="37" t="n"/>
      <c r="AW223" s="38">
        <f>IF(AO223="","",IF(AR223="Yes","❌ Disc",IF(AQ223="No","⚠ Missing",IF(AT223="Yes","✓ OK","⚠ Check"))))</f>
        <v/>
      </c>
    </row>
    <row r="224" ht="18" customHeight="1" s="46">
      <c r="A224" s="39" t="n">
        <v>220</v>
      </c>
      <c r="B224" s="40" t="inlineStr">
        <is>
          <t>BD-VRM-2026-0139</t>
        </is>
      </c>
      <c r="C224" s="41" t="inlineStr">
        <is>
          <t>Excel - Aurora 2 Wallpaper 4040-2</t>
        </is>
      </c>
      <c r="D224" s="39" t="inlineStr">
        <is>
          <t>Excel</t>
        </is>
      </c>
      <c r="E224" s="43" t="n">
        <v>46125</v>
      </c>
      <c r="F224" s="26" t="inlineStr">
        <is>
          <t>Sunil CR</t>
        </is>
      </c>
      <c r="G224" s="26" t="inlineStr">
        <is>
          <t>Yes</t>
        </is>
      </c>
      <c r="H224" s="26" t="inlineStr">
        <is>
          <t>No</t>
        </is>
      </c>
      <c r="I224" s="26" t="inlineStr">
        <is>
          <t>Good finish</t>
        </is>
      </c>
      <c r="J224" s="26" t="inlineStr">
        <is>
          <t>Yes</t>
        </is>
      </c>
      <c r="K224" s="27" t="n"/>
      <c r="L224" s="28" t="inlineStr">
        <is>
          <t>No</t>
        </is>
      </c>
      <c r="M224" s="29">
        <f>IF(E224="","",IF(H224="Yes","❌ Disc",IF(G224="No","⚠ Missing",IF(J224="Yes","✓ OK","⚠ Check"))))</f>
        <v/>
      </c>
      <c r="N224" s="43" t="n">
        <v>46193</v>
      </c>
      <c r="O224" s="26" t="inlineStr">
        <is>
          <t>Sunil CR</t>
        </is>
      </c>
      <c r="P224" s="26" t="inlineStr">
        <is>
          <t>Yes</t>
        </is>
      </c>
      <c r="Q224" s="26" t="inlineStr">
        <is>
          <t>No</t>
        </is>
      </c>
      <c r="R224" s="26" t="inlineStr">
        <is>
          <t>Good finish</t>
        </is>
      </c>
      <c r="S224" s="26" t="inlineStr">
        <is>
          <t>Yes</t>
        </is>
      </c>
      <c r="T224" s="27" t="n"/>
      <c r="U224" s="28" t="inlineStr">
        <is>
          <t>No</t>
        </is>
      </c>
      <c r="V224" s="29">
        <f>IF(N224="","",IF(Q224="Yes","❌ Disc",IF(P224="No","⚠ Missing",IF(S224="Yes","✓ OK","⚠ Check"))))</f>
        <v/>
      </c>
      <c r="W224" s="65" t="n">
        <v>46248</v>
      </c>
      <c r="X224" s="30" t="inlineStr">
        <is>
          <t>Sunil CR</t>
        </is>
      </c>
      <c r="Y224" s="30" t="inlineStr">
        <is>
          <t>Yes</t>
        </is>
      </c>
      <c r="Z224" s="30" t="n"/>
      <c r="AA224" s="30" t="inlineStr">
        <is>
          <t>Good finish</t>
        </is>
      </c>
      <c r="AB224" s="30" t="inlineStr">
        <is>
          <t>Yes</t>
        </is>
      </c>
      <c r="AC224" s="27" t="n"/>
      <c r="AD224" s="31" t="inlineStr">
        <is>
          <t>No</t>
        </is>
      </c>
      <c r="AE224" s="32">
        <f>IF(W224="","",IF(Z224="Yes","❌ Disc",IF(Y224="No","⚠ Missing",IF(AB224="Yes","✓ OK","⚠ Check"))))</f>
        <v/>
      </c>
      <c r="AF224" s="33" t="n"/>
      <c r="AG224" s="33" t="n"/>
      <c r="AH224" s="33" t="n"/>
      <c r="AI224" s="33" t="n"/>
      <c r="AJ224" s="33" t="n"/>
      <c r="AK224" s="33" t="n"/>
      <c r="AL224" s="27" t="n"/>
      <c r="AM224" s="34" t="n"/>
      <c r="AN224" s="35">
        <f>IF(AF224="","",IF(AI224="Yes","❌ Disc",IF(AH224="No","⚠ Missing",IF(AK224="Yes","✓ OK","⚠ Check"))))</f>
        <v/>
      </c>
      <c r="AO224" s="36" t="n"/>
      <c r="AP224" s="36" t="n"/>
      <c r="AQ224" s="36" t="n"/>
      <c r="AR224" s="36" t="n"/>
      <c r="AS224" s="36" t="n"/>
      <c r="AT224" s="36" t="n"/>
      <c r="AU224" s="27" t="n"/>
      <c r="AV224" s="37" t="n"/>
      <c r="AW224" s="38">
        <f>IF(AO224="","",IF(AR224="Yes","❌ Disc",IF(AQ224="No","⚠ Missing",IF(AT224="Yes","✓ OK","⚠ Check"))))</f>
        <v/>
      </c>
    </row>
    <row r="225" ht="18" customHeight="1" s="46">
      <c r="A225" s="23" t="n">
        <v>221</v>
      </c>
      <c r="B225" s="24" t="inlineStr">
        <is>
          <t>BD-VRM-2026-0140</t>
        </is>
      </c>
      <c r="C225" s="25" t="inlineStr">
        <is>
          <t>Excel - Aurora 2 Wallpaper 4040-3</t>
        </is>
      </c>
      <c r="D225" s="23" t="inlineStr">
        <is>
          <t>Excel</t>
        </is>
      </c>
      <c r="E225" s="43" t="n">
        <v>46125</v>
      </c>
      <c r="F225" s="26" t="inlineStr">
        <is>
          <t>Sunil CR</t>
        </is>
      </c>
      <c r="G225" s="26" t="inlineStr">
        <is>
          <t>Yes</t>
        </is>
      </c>
      <c r="H225" s="26" t="inlineStr">
        <is>
          <t>No</t>
        </is>
      </c>
      <c r="I225" s="26" t="inlineStr">
        <is>
          <t>Good finish</t>
        </is>
      </c>
      <c r="J225" s="26" t="inlineStr">
        <is>
          <t>Yes</t>
        </is>
      </c>
      <c r="K225" s="27" t="n"/>
      <c r="L225" s="28" t="inlineStr">
        <is>
          <t>No</t>
        </is>
      </c>
      <c r="M225" s="29">
        <f>IF(E225="","",IF(H225="Yes","❌ Disc",IF(G225="No","⚠ Missing",IF(J225="Yes","✓ OK","⚠ Check"))))</f>
        <v/>
      </c>
      <c r="N225" s="43" t="n">
        <v>46193</v>
      </c>
      <c r="O225" s="26" t="inlineStr">
        <is>
          <t>Sunil CR</t>
        </is>
      </c>
      <c r="P225" s="26" t="inlineStr">
        <is>
          <t>Yes</t>
        </is>
      </c>
      <c r="Q225" s="26" t="inlineStr">
        <is>
          <t>No</t>
        </is>
      </c>
      <c r="R225" s="26" t="inlineStr">
        <is>
          <t>Good finish</t>
        </is>
      </c>
      <c r="S225" s="26" t="inlineStr">
        <is>
          <t>Yes</t>
        </is>
      </c>
      <c r="T225" s="27" t="n"/>
      <c r="U225" s="28" t="inlineStr">
        <is>
          <t>No</t>
        </is>
      </c>
      <c r="V225" s="29">
        <f>IF(N225="","",IF(Q225="Yes","❌ Disc",IF(P225="No","⚠ Missing",IF(S225="Yes","✓ OK","⚠ Check"))))</f>
        <v/>
      </c>
      <c r="W225" s="65" t="n">
        <v>46248</v>
      </c>
      <c r="X225" s="30" t="inlineStr">
        <is>
          <t>Sunil CR</t>
        </is>
      </c>
      <c r="Y225" s="30" t="inlineStr">
        <is>
          <t>Yes</t>
        </is>
      </c>
      <c r="Z225" s="30" t="n"/>
      <c r="AA225" s="30" t="inlineStr">
        <is>
          <t>Good finish</t>
        </is>
      </c>
      <c r="AB225" s="30" t="inlineStr">
        <is>
          <t>Yes</t>
        </is>
      </c>
      <c r="AC225" s="27" t="n"/>
      <c r="AD225" s="31" t="inlineStr">
        <is>
          <t>No</t>
        </is>
      </c>
      <c r="AE225" s="32">
        <f>IF(W225="","",IF(Z225="Yes","❌ Disc",IF(Y225="No","⚠ Missing",IF(AB225="Yes","✓ OK","⚠ Check"))))</f>
        <v/>
      </c>
      <c r="AF225" s="33" t="n"/>
      <c r="AG225" s="33" t="n"/>
      <c r="AH225" s="33" t="n"/>
      <c r="AI225" s="33" t="n"/>
      <c r="AJ225" s="33" t="n"/>
      <c r="AK225" s="33" t="n"/>
      <c r="AL225" s="27" t="n"/>
      <c r="AM225" s="34" t="n"/>
      <c r="AN225" s="35">
        <f>IF(AF225="","",IF(AI225="Yes","❌ Disc",IF(AH225="No","⚠ Missing",IF(AK225="Yes","✓ OK","⚠ Check"))))</f>
        <v/>
      </c>
      <c r="AO225" s="36" t="n"/>
      <c r="AP225" s="36" t="n"/>
      <c r="AQ225" s="36" t="n"/>
      <c r="AR225" s="36" t="n"/>
      <c r="AS225" s="36" t="n"/>
      <c r="AT225" s="36" t="n"/>
      <c r="AU225" s="27" t="n"/>
      <c r="AV225" s="37" t="n"/>
      <c r="AW225" s="38">
        <f>IF(AO225="","",IF(AR225="Yes","❌ Disc",IF(AQ225="No","⚠ Missing",IF(AT225="Yes","✓ OK","⚠ Check"))))</f>
        <v/>
      </c>
    </row>
    <row r="226" ht="18" customHeight="1" s="46">
      <c r="A226" s="39" t="n">
        <v>222</v>
      </c>
      <c r="B226" s="40" t="inlineStr">
        <is>
          <t>BD-VRM-2026-0141</t>
        </is>
      </c>
      <c r="C226" s="41" t="inlineStr">
        <is>
          <t>Excel - Aurora 2 Wallpaper 4040-4</t>
        </is>
      </c>
      <c r="D226" s="39" t="inlineStr">
        <is>
          <t>Excel</t>
        </is>
      </c>
      <c r="E226" s="43" t="n">
        <v>46125</v>
      </c>
      <c r="F226" s="26" t="inlineStr">
        <is>
          <t>Sunil CR</t>
        </is>
      </c>
      <c r="G226" s="26" t="inlineStr">
        <is>
          <t>Yes</t>
        </is>
      </c>
      <c r="H226" s="26" t="inlineStr">
        <is>
          <t>No</t>
        </is>
      </c>
      <c r="I226" s="26" t="inlineStr">
        <is>
          <t>Good finish</t>
        </is>
      </c>
      <c r="J226" s="26" t="inlineStr">
        <is>
          <t>Yes</t>
        </is>
      </c>
      <c r="K226" s="27" t="n"/>
      <c r="L226" s="28" t="inlineStr">
        <is>
          <t>No</t>
        </is>
      </c>
      <c r="M226" s="29">
        <f>IF(E226="","",IF(H226="Yes","❌ Disc",IF(G226="No","⚠ Missing",IF(J226="Yes","✓ OK","⚠ Check"))))</f>
        <v/>
      </c>
      <c r="N226" s="43" t="n">
        <v>46193</v>
      </c>
      <c r="O226" s="26" t="inlineStr">
        <is>
          <t>Sunil CR</t>
        </is>
      </c>
      <c r="P226" s="26" t="inlineStr">
        <is>
          <t>Yes</t>
        </is>
      </c>
      <c r="Q226" s="26" t="inlineStr">
        <is>
          <t>No</t>
        </is>
      </c>
      <c r="R226" s="26" t="inlineStr">
        <is>
          <t>Good finish</t>
        </is>
      </c>
      <c r="S226" s="26" t="inlineStr">
        <is>
          <t>Yes</t>
        </is>
      </c>
      <c r="T226" s="27" t="n"/>
      <c r="U226" s="28" t="inlineStr">
        <is>
          <t>No</t>
        </is>
      </c>
      <c r="V226" s="29">
        <f>IF(N226="","",IF(Q226="Yes","❌ Disc",IF(P226="No","⚠ Missing",IF(S226="Yes","✓ OK","⚠ Check"))))</f>
        <v/>
      </c>
      <c r="W226" s="65" t="n">
        <v>46248</v>
      </c>
      <c r="X226" s="30" t="inlineStr">
        <is>
          <t>Sunil CR</t>
        </is>
      </c>
      <c r="Y226" s="30" t="inlineStr">
        <is>
          <t>Yes</t>
        </is>
      </c>
      <c r="Z226" s="30" t="n"/>
      <c r="AA226" s="30" t="inlineStr">
        <is>
          <t>Good finish</t>
        </is>
      </c>
      <c r="AB226" s="30" t="inlineStr">
        <is>
          <t>Yes</t>
        </is>
      </c>
      <c r="AC226" s="27" t="n"/>
      <c r="AD226" s="31" t="inlineStr">
        <is>
          <t>No</t>
        </is>
      </c>
      <c r="AE226" s="32">
        <f>IF(W226="","",IF(Z226="Yes","❌ Disc",IF(Y226="No","⚠ Missing",IF(AB226="Yes","✓ OK","⚠ Check"))))</f>
        <v/>
      </c>
      <c r="AF226" s="33" t="n"/>
      <c r="AG226" s="33" t="n"/>
      <c r="AH226" s="33" t="n"/>
      <c r="AI226" s="33" t="n"/>
      <c r="AJ226" s="33" t="n"/>
      <c r="AK226" s="33" t="n"/>
      <c r="AL226" s="27" t="n"/>
      <c r="AM226" s="34" t="n"/>
      <c r="AN226" s="35">
        <f>IF(AF226="","",IF(AI226="Yes","❌ Disc",IF(AH226="No","⚠ Missing",IF(AK226="Yes","✓ OK","⚠ Check"))))</f>
        <v/>
      </c>
      <c r="AO226" s="36" t="n"/>
      <c r="AP226" s="36" t="n"/>
      <c r="AQ226" s="36" t="n"/>
      <c r="AR226" s="36" t="n"/>
      <c r="AS226" s="36" t="n"/>
      <c r="AT226" s="36" t="n"/>
      <c r="AU226" s="27" t="n"/>
      <c r="AV226" s="37" t="n"/>
      <c r="AW226" s="38">
        <f>IF(AO226="","",IF(AR226="Yes","❌ Disc",IF(AQ226="No","⚠ Missing",IF(AT226="Yes","✓ OK","⚠ Check"))))</f>
        <v/>
      </c>
    </row>
    <row r="227" ht="18" customHeight="1" s="46">
      <c r="A227" s="23" t="n">
        <v>223</v>
      </c>
      <c r="B227" s="24" t="inlineStr">
        <is>
          <t>BD-VRM-2026-0142</t>
        </is>
      </c>
      <c r="C227" s="25" t="inlineStr">
        <is>
          <t>Excel - Aurora 2 Wallpaper 4040-5</t>
        </is>
      </c>
      <c r="D227" s="23" t="inlineStr">
        <is>
          <t>Excel</t>
        </is>
      </c>
      <c r="E227" s="43" t="n">
        <v>46125</v>
      </c>
      <c r="F227" s="26" t="inlineStr">
        <is>
          <t>Sunil CR</t>
        </is>
      </c>
      <c r="G227" s="26" t="inlineStr">
        <is>
          <t>Yes</t>
        </is>
      </c>
      <c r="H227" s="26" t="inlineStr">
        <is>
          <t>No</t>
        </is>
      </c>
      <c r="I227" s="26" t="inlineStr">
        <is>
          <t>Good finish</t>
        </is>
      </c>
      <c r="J227" s="26" t="inlineStr">
        <is>
          <t>Yes</t>
        </is>
      </c>
      <c r="K227" s="27" t="n"/>
      <c r="L227" s="28" t="inlineStr">
        <is>
          <t>No</t>
        </is>
      </c>
      <c r="M227" s="29">
        <f>IF(E227="","",IF(H227="Yes","❌ Disc",IF(G227="No","⚠ Missing",IF(J227="Yes","✓ OK","⚠ Check"))))</f>
        <v/>
      </c>
      <c r="N227" s="43" t="n">
        <v>46193</v>
      </c>
      <c r="O227" s="26" t="inlineStr">
        <is>
          <t>Sunil CR</t>
        </is>
      </c>
      <c r="P227" s="26" t="inlineStr">
        <is>
          <t>Yes</t>
        </is>
      </c>
      <c r="Q227" s="26" t="inlineStr">
        <is>
          <t>No</t>
        </is>
      </c>
      <c r="R227" s="26" t="inlineStr">
        <is>
          <t>Good finish</t>
        </is>
      </c>
      <c r="S227" s="26" t="inlineStr">
        <is>
          <t>Yes</t>
        </is>
      </c>
      <c r="T227" s="27" t="n"/>
      <c r="U227" s="28" t="inlineStr">
        <is>
          <t>No</t>
        </is>
      </c>
      <c r="V227" s="29">
        <f>IF(N227="","",IF(Q227="Yes","❌ Disc",IF(P227="No","⚠ Missing",IF(S227="Yes","✓ OK","⚠ Check"))))</f>
        <v/>
      </c>
      <c r="W227" s="65" t="n">
        <v>46248</v>
      </c>
      <c r="X227" s="30" t="inlineStr">
        <is>
          <t>Sunil CR</t>
        </is>
      </c>
      <c r="Y227" s="30" t="inlineStr">
        <is>
          <t>Yes</t>
        </is>
      </c>
      <c r="Z227" s="30" t="n"/>
      <c r="AA227" s="30" t="inlineStr">
        <is>
          <t>Good finish</t>
        </is>
      </c>
      <c r="AB227" s="30" t="inlineStr">
        <is>
          <t>Yes</t>
        </is>
      </c>
      <c r="AC227" s="27" t="n"/>
      <c r="AD227" s="31" t="inlineStr">
        <is>
          <t>No</t>
        </is>
      </c>
      <c r="AE227" s="32">
        <f>IF(W227="","",IF(Z227="Yes","❌ Disc",IF(Y227="No","⚠ Missing",IF(AB227="Yes","✓ OK","⚠ Check"))))</f>
        <v/>
      </c>
      <c r="AF227" s="33" t="n"/>
      <c r="AG227" s="33" t="n"/>
      <c r="AH227" s="33" t="n"/>
      <c r="AI227" s="33" t="n"/>
      <c r="AJ227" s="33" t="n"/>
      <c r="AK227" s="33" t="n"/>
      <c r="AL227" s="27" t="n"/>
      <c r="AM227" s="34" t="n"/>
      <c r="AN227" s="35">
        <f>IF(AF227="","",IF(AI227="Yes","❌ Disc",IF(AH227="No","⚠ Missing",IF(AK227="Yes","✓ OK","⚠ Check"))))</f>
        <v/>
      </c>
      <c r="AO227" s="36" t="n"/>
      <c r="AP227" s="36" t="n"/>
      <c r="AQ227" s="36" t="n"/>
      <c r="AR227" s="36" t="n"/>
      <c r="AS227" s="36" t="n"/>
      <c r="AT227" s="36" t="n"/>
      <c r="AU227" s="27" t="n"/>
      <c r="AV227" s="37" t="n"/>
      <c r="AW227" s="38">
        <f>IF(AO227="","",IF(AR227="Yes","❌ Disc",IF(AQ227="No","⚠ Missing",IF(AT227="Yes","✓ OK","⚠ Check"))))</f>
        <v/>
      </c>
    </row>
    <row r="228" ht="18" customHeight="1" s="46">
      <c r="A228" s="39" t="n">
        <v>224</v>
      </c>
      <c r="B228" s="40" t="inlineStr">
        <is>
          <t>BD-VRM-2026-0143</t>
        </is>
      </c>
      <c r="C228" s="41" t="inlineStr">
        <is>
          <t>Excel - Aurora 2 Wallpaper 4040-6</t>
        </is>
      </c>
      <c r="D228" s="39" t="inlineStr">
        <is>
          <t>Excel</t>
        </is>
      </c>
      <c r="E228" s="43" t="n">
        <v>46125</v>
      </c>
      <c r="F228" s="26" t="inlineStr">
        <is>
          <t>Sunil CR</t>
        </is>
      </c>
      <c r="G228" s="26" t="inlineStr">
        <is>
          <t>Yes</t>
        </is>
      </c>
      <c r="H228" s="26" t="inlineStr">
        <is>
          <t>No</t>
        </is>
      </c>
      <c r="I228" s="26" t="inlineStr">
        <is>
          <t>Good finish</t>
        </is>
      </c>
      <c r="J228" s="26" t="inlineStr">
        <is>
          <t>Yes</t>
        </is>
      </c>
      <c r="K228" s="27" t="n"/>
      <c r="L228" s="28" t="inlineStr">
        <is>
          <t>No</t>
        </is>
      </c>
      <c r="M228" s="29">
        <f>IF(E228="","",IF(H228="Yes","❌ Disc",IF(G228="No","⚠ Missing",IF(J228="Yes","✓ OK","⚠ Check"))))</f>
        <v/>
      </c>
      <c r="N228" s="43" t="n">
        <v>46193</v>
      </c>
      <c r="O228" s="26" t="inlineStr">
        <is>
          <t>Sunil CR</t>
        </is>
      </c>
      <c r="P228" s="26" t="inlineStr">
        <is>
          <t>Yes</t>
        </is>
      </c>
      <c r="Q228" s="26" t="inlineStr">
        <is>
          <t>No</t>
        </is>
      </c>
      <c r="R228" s="26" t="inlineStr">
        <is>
          <t>Good finish</t>
        </is>
      </c>
      <c r="S228" s="26" t="inlineStr">
        <is>
          <t>Yes</t>
        </is>
      </c>
      <c r="T228" s="27" t="n"/>
      <c r="U228" s="28" t="inlineStr">
        <is>
          <t>No</t>
        </is>
      </c>
      <c r="V228" s="29">
        <f>IF(N228="","",IF(Q228="Yes","❌ Disc",IF(P228="No","⚠ Missing",IF(S228="Yes","✓ OK","⚠ Check"))))</f>
        <v/>
      </c>
      <c r="W228" s="65" t="n">
        <v>46248</v>
      </c>
      <c r="X228" s="30" t="inlineStr">
        <is>
          <t>Sunil CR</t>
        </is>
      </c>
      <c r="Y228" s="30" t="inlineStr">
        <is>
          <t>Yes</t>
        </is>
      </c>
      <c r="Z228" s="30" t="n"/>
      <c r="AA228" s="30" t="inlineStr">
        <is>
          <t>Good finish</t>
        </is>
      </c>
      <c r="AB228" s="30" t="inlineStr">
        <is>
          <t>Yes</t>
        </is>
      </c>
      <c r="AC228" s="27" t="n"/>
      <c r="AD228" s="31" t="inlineStr">
        <is>
          <t>No</t>
        </is>
      </c>
      <c r="AE228" s="32">
        <f>IF(W228="","",IF(Z228="Yes","❌ Disc",IF(Y228="No","⚠ Missing",IF(AB228="Yes","✓ OK","⚠ Check"))))</f>
        <v/>
      </c>
      <c r="AF228" s="33" t="n"/>
      <c r="AG228" s="33" t="n"/>
      <c r="AH228" s="33" t="n"/>
      <c r="AI228" s="33" t="n"/>
      <c r="AJ228" s="33" t="n"/>
      <c r="AK228" s="33" t="n"/>
      <c r="AL228" s="27" t="n"/>
      <c r="AM228" s="34" t="n"/>
      <c r="AN228" s="35">
        <f>IF(AF228="","",IF(AI228="Yes","❌ Disc",IF(AH228="No","⚠ Missing",IF(AK228="Yes","✓ OK","⚠ Check"))))</f>
        <v/>
      </c>
      <c r="AO228" s="36" t="n"/>
      <c r="AP228" s="36" t="n"/>
      <c r="AQ228" s="36" t="n"/>
      <c r="AR228" s="36" t="n"/>
      <c r="AS228" s="36" t="n"/>
      <c r="AT228" s="36" t="n"/>
      <c r="AU228" s="27" t="n"/>
      <c r="AV228" s="37" t="n"/>
      <c r="AW228" s="38">
        <f>IF(AO228="","",IF(AR228="Yes","❌ Disc",IF(AQ228="No","⚠ Missing",IF(AT228="Yes","✓ OK","⚠ Check"))))</f>
        <v/>
      </c>
    </row>
    <row r="229" ht="18" customHeight="1" s="46">
      <c r="A229" s="23" t="n">
        <v>225</v>
      </c>
      <c r="B229" s="24" t="inlineStr">
        <is>
          <t>BD-VRM-2026-0144</t>
        </is>
      </c>
      <c r="C229" s="25" t="inlineStr">
        <is>
          <t>Excel - Aurora 2 Wallpaper 4041-1</t>
        </is>
      </c>
      <c r="D229" s="23" t="inlineStr">
        <is>
          <t>Excel</t>
        </is>
      </c>
      <c r="E229" s="43" t="n">
        <v>46125</v>
      </c>
      <c r="F229" s="26" t="inlineStr">
        <is>
          <t>Sunil CR</t>
        </is>
      </c>
      <c r="G229" s="26" t="inlineStr">
        <is>
          <t>Yes</t>
        </is>
      </c>
      <c r="H229" s="26" t="inlineStr">
        <is>
          <t>No</t>
        </is>
      </c>
      <c r="I229" s="26" t="inlineStr">
        <is>
          <t>Good finish</t>
        </is>
      </c>
      <c r="J229" s="26" t="inlineStr">
        <is>
          <t>Yes</t>
        </is>
      </c>
      <c r="K229" s="27" t="n"/>
      <c r="L229" s="28" t="inlineStr">
        <is>
          <t>No</t>
        </is>
      </c>
      <c r="M229" s="29">
        <f>IF(E229="","",IF(H229="Yes","❌ Disc",IF(G229="No","⚠ Missing",IF(J229="Yes","✓ OK","⚠ Check"))))</f>
        <v/>
      </c>
      <c r="N229" s="43" t="n">
        <v>46193</v>
      </c>
      <c r="O229" s="26" t="inlineStr">
        <is>
          <t>Sunil CR</t>
        </is>
      </c>
      <c r="P229" s="26" t="inlineStr">
        <is>
          <t>Yes</t>
        </is>
      </c>
      <c r="Q229" s="26" t="inlineStr">
        <is>
          <t>No</t>
        </is>
      </c>
      <c r="R229" s="26" t="inlineStr">
        <is>
          <t>Good finish</t>
        </is>
      </c>
      <c r="S229" s="26" t="inlineStr">
        <is>
          <t>Yes</t>
        </is>
      </c>
      <c r="T229" s="27" t="n"/>
      <c r="U229" s="28" t="inlineStr">
        <is>
          <t>No</t>
        </is>
      </c>
      <c r="V229" s="29">
        <f>IF(N229="","",IF(Q229="Yes","❌ Disc",IF(P229="No","⚠ Missing",IF(S229="Yes","✓ OK","⚠ Check"))))</f>
        <v/>
      </c>
      <c r="W229" s="65" t="n">
        <v>46248</v>
      </c>
      <c r="X229" s="30" t="inlineStr">
        <is>
          <t>Sunil CR</t>
        </is>
      </c>
      <c r="Y229" s="30" t="inlineStr">
        <is>
          <t>Yes</t>
        </is>
      </c>
      <c r="Z229" s="30" t="n"/>
      <c r="AA229" s="30" t="inlineStr">
        <is>
          <t>Good finish</t>
        </is>
      </c>
      <c r="AB229" s="30" t="inlineStr">
        <is>
          <t>Yes</t>
        </is>
      </c>
      <c r="AC229" s="27" t="n"/>
      <c r="AD229" s="31" t="inlineStr">
        <is>
          <t>No</t>
        </is>
      </c>
      <c r="AE229" s="32">
        <f>IF(W229="","",IF(Z229="Yes","❌ Disc",IF(Y229="No","⚠ Missing",IF(AB229="Yes","✓ OK","⚠ Check"))))</f>
        <v/>
      </c>
      <c r="AF229" s="33" t="n"/>
      <c r="AG229" s="33" t="n"/>
      <c r="AH229" s="33" t="n"/>
      <c r="AI229" s="33" t="n"/>
      <c r="AJ229" s="33" t="n"/>
      <c r="AK229" s="33" t="n"/>
      <c r="AL229" s="27" t="n"/>
      <c r="AM229" s="34" t="n"/>
      <c r="AN229" s="35">
        <f>IF(AF229="","",IF(AI229="Yes","❌ Disc",IF(AH229="No","⚠ Missing",IF(AK229="Yes","✓ OK","⚠ Check"))))</f>
        <v/>
      </c>
      <c r="AO229" s="36" t="n"/>
      <c r="AP229" s="36" t="n"/>
      <c r="AQ229" s="36" t="n"/>
      <c r="AR229" s="36" t="n"/>
      <c r="AS229" s="36" t="n"/>
      <c r="AT229" s="36" t="n"/>
      <c r="AU229" s="27" t="n"/>
      <c r="AV229" s="37" t="n"/>
      <c r="AW229" s="38">
        <f>IF(AO229="","",IF(AR229="Yes","❌ Disc",IF(AQ229="No","⚠ Missing",IF(AT229="Yes","✓ OK","⚠ Check"))))</f>
        <v/>
      </c>
    </row>
    <row r="230" ht="18" customHeight="1" s="46">
      <c r="A230" s="39" t="n">
        <v>226</v>
      </c>
      <c r="B230" s="40" t="inlineStr">
        <is>
          <t>BD-VRM-2026-0145</t>
        </is>
      </c>
      <c r="C230" s="41" t="inlineStr">
        <is>
          <t>Excel - Aurora 2 Wallpaper 4041-2</t>
        </is>
      </c>
      <c r="D230" s="39" t="inlineStr">
        <is>
          <t>Excel</t>
        </is>
      </c>
      <c r="E230" s="43" t="n">
        <v>46125</v>
      </c>
      <c r="F230" s="26" t="inlineStr">
        <is>
          <t>Sunil CR</t>
        </is>
      </c>
      <c r="G230" s="26" t="inlineStr">
        <is>
          <t>Yes</t>
        </is>
      </c>
      <c r="H230" s="26" t="inlineStr">
        <is>
          <t>No</t>
        </is>
      </c>
      <c r="I230" s="26" t="inlineStr">
        <is>
          <t>Good finish</t>
        </is>
      </c>
      <c r="J230" s="26" t="inlineStr">
        <is>
          <t>Yes</t>
        </is>
      </c>
      <c r="K230" s="27" t="n"/>
      <c r="L230" s="28" t="inlineStr">
        <is>
          <t>No</t>
        </is>
      </c>
      <c r="M230" s="29">
        <f>IF(E230="","",IF(H230="Yes","❌ Disc",IF(G230="No","⚠ Missing",IF(J230="Yes","✓ OK","⚠ Check"))))</f>
        <v/>
      </c>
      <c r="N230" s="43" t="n">
        <v>46193</v>
      </c>
      <c r="O230" s="26" t="inlineStr">
        <is>
          <t>Sunil CR</t>
        </is>
      </c>
      <c r="P230" s="26" t="inlineStr">
        <is>
          <t>Yes</t>
        </is>
      </c>
      <c r="Q230" s="26" t="inlineStr">
        <is>
          <t>No</t>
        </is>
      </c>
      <c r="R230" s="26" t="inlineStr">
        <is>
          <t>Good finish</t>
        </is>
      </c>
      <c r="S230" s="26" t="inlineStr">
        <is>
          <t>Yes</t>
        </is>
      </c>
      <c r="T230" s="27" t="n"/>
      <c r="U230" s="28" t="inlineStr">
        <is>
          <t>No</t>
        </is>
      </c>
      <c r="V230" s="29">
        <f>IF(N230="","",IF(Q230="Yes","❌ Disc",IF(P230="No","⚠ Missing",IF(S230="Yes","✓ OK","⚠ Check"))))</f>
        <v/>
      </c>
      <c r="W230" s="65" t="n">
        <v>46248</v>
      </c>
      <c r="X230" s="30" t="inlineStr">
        <is>
          <t>Sunil CR</t>
        </is>
      </c>
      <c r="Y230" s="30" t="inlineStr">
        <is>
          <t>Yes</t>
        </is>
      </c>
      <c r="Z230" s="30" t="n"/>
      <c r="AA230" s="30" t="inlineStr">
        <is>
          <t>Good finish</t>
        </is>
      </c>
      <c r="AB230" s="30" t="inlineStr">
        <is>
          <t>Yes</t>
        </is>
      </c>
      <c r="AC230" s="27" t="n"/>
      <c r="AD230" s="31" t="inlineStr">
        <is>
          <t>No</t>
        </is>
      </c>
      <c r="AE230" s="32">
        <f>IF(W230="","",IF(Z230="Yes","❌ Disc",IF(Y230="No","⚠ Missing",IF(AB230="Yes","✓ OK","⚠ Check"))))</f>
        <v/>
      </c>
      <c r="AF230" s="33" t="n"/>
      <c r="AG230" s="33" t="n"/>
      <c r="AH230" s="33" t="n"/>
      <c r="AI230" s="33" t="n"/>
      <c r="AJ230" s="33" t="n"/>
      <c r="AK230" s="33" t="n"/>
      <c r="AL230" s="27" t="n"/>
      <c r="AM230" s="34" t="n"/>
      <c r="AN230" s="35">
        <f>IF(AF230="","",IF(AI230="Yes","❌ Disc",IF(AH230="No","⚠ Missing",IF(AK230="Yes","✓ OK","⚠ Check"))))</f>
        <v/>
      </c>
      <c r="AO230" s="36" t="n"/>
      <c r="AP230" s="36" t="n"/>
      <c r="AQ230" s="36" t="n"/>
      <c r="AR230" s="36" t="n"/>
      <c r="AS230" s="36" t="n"/>
      <c r="AT230" s="36" t="n"/>
      <c r="AU230" s="27" t="n"/>
      <c r="AV230" s="37" t="n"/>
      <c r="AW230" s="38">
        <f>IF(AO230="","",IF(AR230="Yes","❌ Disc",IF(AQ230="No","⚠ Missing",IF(AT230="Yes","✓ OK","⚠ Check"))))</f>
        <v/>
      </c>
    </row>
    <row r="231" ht="18" customHeight="1" s="46">
      <c r="A231" s="23" t="n">
        <v>227</v>
      </c>
      <c r="B231" s="24" t="inlineStr">
        <is>
          <t>BD-VRM-2026-0146</t>
        </is>
      </c>
      <c r="C231" s="25" t="inlineStr">
        <is>
          <t>Excel - Aurora 2 Wallpaper 4041-3</t>
        </is>
      </c>
      <c r="D231" s="23" t="inlineStr">
        <is>
          <t>Excel</t>
        </is>
      </c>
      <c r="E231" s="43" t="n">
        <v>46125</v>
      </c>
      <c r="F231" s="26" t="inlineStr">
        <is>
          <t>Sunil CR</t>
        </is>
      </c>
      <c r="G231" s="26" t="inlineStr">
        <is>
          <t>Yes</t>
        </is>
      </c>
      <c r="H231" s="26" t="inlineStr">
        <is>
          <t>No</t>
        </is>
      </c>
      <c r="I231" s="26" t="inlineStr">
        <is>
          <t>Good finish</t>
        </is>
      </c>
      <c r="J231" s="26" t="inlineStr">
        <is>
          <t>Yes</t>
        </is>
      </c>
      <c r="K231" s="27" t="n"/>
      <c r="L231" s="28" t="inlineStr">
        <is>
          <t>No</t>
        </is>
      </c>
      <c r="M231" s="29">
        <f>IF(E231="","",IF(H231="Yes","❌ Disc",IF(G231="No","⚠ Missing",IF(J231="Yes","✓ OK","⚠ Check"))))</f>
        <v/>
      </c>
      <c r="N231" s="43" t="n">
        <v>46193</v>
      </c>
      <c r="O231" s="26" t="inlineStr">
        <is>
          <t>Sunil CR</t>
        </is>
      </c>
      <c r="P231" s="26" t="inlineStr">
        <is>
          <t>Yes</t>
        </is>
      </c>
      <c r="Q231" s="26" t="inlineStr">
        <is>
          <t>No</t>
        </is>
      </c>
      <c r="R231" s="26" t="inlineStr">
        <is>
          <t>Good finish</t>
        </is>
      </c>
      <c r="S231" s="26" t="inlineStr">
        <is>
          <t>Yes</t>
        </is>
      </c>
      <c r="T231" s="27" t="n"/>
      <c r="U231" s="28" t="inlineStr">
        <is>
          <t>No</t>
        </is>
      </c>
      <c r="V231" s="29">
        <f>IF(N231="","",IF(Q231="Yes","❌ Disc",IF(P231="No","⚠ Missing",IF(S231="Yes","✓ OK","⚠ Check"))))</f>
        <v/>
      </c>
      <c r="W231" s="65" t="n">
        <v>46248</v>
      </c>
      <c r="X231" s="30" t="inlineStr">
        <is>
          <t>Sunil CR</t>
        </is>
      </c>
      <c r="Y231" s="30" t="inlineStr">
        <is>
          <t>Yes</t>
        </is>
      </c>
      <c r="Z231" s="30" t="n"/>
      <c r="AA231" s="30" t="inlineStr">
        <is>
          <t>Good finish</t>
        </is>
      </c>
      <c r="AB231" s="30" t="inlineStr">
        <is>
          <t>Yes</t>
        </is>
      </c>
      <c r="AC231" s="27" t="n"/>
      <c r="AD231" s="31" t="inlineStr">
        <is>
          <t>No</t>
        </is>
      </c>
      <c r="AE231" s="32">
        <f>IF(W231="","",IF(Z231="Yes","❌ Disc",IF(Y231="No","⚠ Missing",IF(AB231="Yes","✓ OK","⚠ Check"))))</f>
        <v/>
      </c>
      <c r="AF231" s="33" t="n"/>
      <c r="AG231" s="33" t="n"/>
      <c r="AH231" s="33" t="n"/>
      <c r="AI231" s="33" t="n"/>
      <c r="AJ231" s="33" t="n"/>
      <c r="AK231" s="33" t="n"/>
      <c r="AL231" s="27" t="n"/>
      <c r="AM231" s="34" t="n"/>
      <c r="AN231" s="35">
        <f>IF(AF231="","",IF(AI231="Yes","❌ Disc",IF(AH231="No","⚠ Missing",IF(AK231="Yes","✓ OK","⚠ Check"))))</f>
        <v/>
      </c>
      <c r="AO231" s="36" t="n"/>
      <c r="AP231" s="36" t="n"/>
      <c r="AQ231" s="36" t="n"/>
      <c r="AR231" s="36" t="n"/>
      <c r="AS231" s="36" t="n"/>
      <c r="AT231" s="36" t="n"/>
      <c r="AU231" s="27" t="n"/>
      <c r="AV231" s="37" t="n"/>
      <c r="AW231" s="38">
        <f>IF(AO231="","",IF(AR231="Yes","❌ Disc",IF(AQ231="No","⚠ Missing",IF(AT231="Yes","✓ OK","⚠ Check"))))</f>
        <v/>
      </c>
    </row>
    <row r="232" ht="18" customHeight="1" s="46">
      <c r="A232" s="39" t="n">
        <v>228</v>
      </c>
      <c r="B232" s="40" t="inlineStr">
        <is>
          <t>BD-VRM-2026-0150</t>
        </is>
      </c>
      <c r="C232" s="41" t="inlineStr">
        <is>
          <t>Excel - Aurora 2 Wallpaper 4042-1</t>
        </is>
      </c>
      <c r="D232" s="39" t="inlineStr">
        <is>
          <t>Excel</t>
        </is>
      </c>
      <c r="E232" s="43" t="n">
        <v>46125</v>
      </c>
      <c r="F232" s="26" t="inlineStr">
        <is>
          <t>Sunil CR</t>
        </is>
      </c>
      <c r="G232" s="26" t="inlineStr">
        <is>
          <t>Yes</t>
        </is>
      </c>
      <c r="H232" s="26" t="inlineStr">
        <is>
          <t>No</t>
        </is>
      </c>
      <c r="I232" s="26" t="inlineStr">
        <is>
          <t>Good finish</t>
        </is>
      </c>
      <c r="J232" s="26" t="inlineStr">
        <is>
          <t>Yes</t>
        </is>
      </c>
      <c r="K232" s="27" t="n"/>
      <c r="L232" s="28" t="inlineStr">
        <is>
          <t>No</t>
        </is>
      </c>
      <c r="M232" s="29">
        <f>IF(E232="","",IF(H232="Yes","❌ Disc",IF(G232="No","⚠ Missing",IF(J232="Yes","✓ OK","⚠ Check"))))</f>
        <v/>
      </c>
      <c r="N232" s="43" t="n">
        <v>46193</v>
      </c>
      <c r="O232" s="26" t="inlineStr">
        <is>
          <t>Sunil CR</t>
        </is>
      </c>
      <c r="P232" s="26" t="inlineStr">
        <is>
          <t>Yes</t>
        </is>
      </c>
      <c r="Q232" s="26" t="inlineStr">
        <is>
          <t>No</t>
        </is>
      </c>
      <c r="R232" s="26" t="inlineStr">
        <is>
          <t>Good finish</t>
        </is>
      </c>
      <c r="S232" s="26" t="inlineStr">
        <is>
          <t>Yes</t>
        </is>
      </c>
      <c r="T232" s="27" t="n"/>
      <c r="U232" s="28" t="inlineStr">
        <is>
          <t>No</t>
        </is>
      </c>
      <c r="V232" s="29">
        <f>IF(N232="","",IF(Q232="Yes","❌ Disc",IF(P232="No","⚠ Missing",IF(S232="Yes","✓ OK","⚠ Check"))))</f>
        <v/>
      </c>
      <c r="W232" s="65" t="n">
        <v>46248</v>
      </c>
      <c r="X232" s="30" t="inlineStr">
        <is>
          <t>Sunil CR</t>
        </is>
      </c>
      <c r="Y232" s="30" t="inlineStr">
        <is>
          <t>Yes</t>
        </is>
      </c>
      <c r="Z232" s="30" t="n"/>
      <c r="AA232" s="30" t="inlineStr">
        <is>
          <t>Good finish</t>
        </is>
      </c>
      <c r="AB232" s="30" t="inlineStr">
        <is>
          <t>Yes</t>
        </is>
      </c>
      <c r="AC232" s="27" t="n"/>
      <c r="AD232" s="31" t="inlineStr">
        <is>
          <t>No</t>
        </is>
      </c>
      <c r="AE232" s="32">
        <f>IF(W232="","",IF(Z232="Yes","❌ Disc",IF(Y232="No","⚠ Missing",IF(AB232="Yes","✓ OK","⚠ Check"))))</f>
        <v/>
      </c>
      <c r="AF232" s="33" t="n"/>
      <c r="AG232" s="33" t="n"/>
      <c r="AH232" s="33" t="n"/>
      <c r="AI232" s="33" t="n"/>
      <c r="AJ232" s="33" t="n"/>
      <c r="AK232" s="33" t="n"/>
      <c r="AL232" s="27" t="n"/>
      <c r="AM232" s="34" t="n"/>
      <c r="AN232" s="35">
        <f>IF(AF232="","",IF(AI232="Yes","❌ Disc",IF(AH232="No","⚠ Missing",IF(AK232="Yes","✓ OK","⚠ Check"))))</f>
        <v/>
      </c>
      <c r="AO232" s="36" t="n"/>
      <c r="AP232" s="36" t="n"/>
      <c r="AQ232" s="36" t="n"/>
      <c r="AR232" s="36" t="n"/>
      <c r="AS232" s="36" t="n"/>
      <c r="AT232" s="36" t="n"/>
      <c r="AU232" s="27" t="n"/>
      <c r="AV232" s="37" t="n"/>
      <c r="AW232" s="38">
        <f>IF(AO232="","",IF(AR232="Yes","❌ Disc",IF(AQ232="No","⚠ Missing",IF(AT232="Yes","✓ OK","⚠ Check"))))</f>
        <v/>
      </c>
    </row>
    <row r="233" ht="18" customHeight="1" s="46">
      <c r="A233" s="23" t="n">
        <v>229</v>
      </c>
      <c r="B233" s="24" t="inlineStr">
        <is>
          <t>BD-VRM-2026-0151</t>
        </is>
      </c>
      <c r="C233" s="25" t="inlineStr">
        <is>
          <t>Excel - Aurora 2 Wallpaper 4042-2</t>
        </is>
      </c>
      <c r="D233" s="23" t="inlineStr">
        <is>
          <t>Excel</t>
        </is>
      </c>
      <c r="E233" s="43" t="n">
        <v>46125</v>
      </c>
      <c r="F233" s="26" t="inlineStr">
        <is>
          <t>Sunil CR</t>
        </is>
      </c>
      <c r="G233" s="26" t="inlineStr">
        <is>
          <t>Yes</t>
        </is>
      </c>
      <c r="H233" s="26" t="inlineStr">
        <is>
          <t>No</t>
        </is>
      </c>
      <c r="I233" s="26" t="inlineStr">
        <is>
          <t>Good finish</t>
        </is>
      </c>
      <c r="J233" s="26" t="inlineStr">
        <is>
          <t>Yes</t>
        </is>
      </c>
      <c r="K233" s="27" t="n"/>
      <c r="L233" s="28" t="inlineStr">
        <is>
          <t>No</t>
        </is>
      </c>
      <c r="M233" s="29">
        <f>IF(E233="","",IF(H233="Yes","❌ Disc",IF(G233="No","⚠ Missing",IF(J233="Yes","✓ OK","⚠ Check"))))</f>
        <v/>
      </c>
      <c r="N233" s="43" t="n">
        <v>46193</v>
      </c>
      <c r="O233" s="26" t="inlineStr">
        <is>
          <t>Sunil CR</t>
        </is>
      </c>
      <c r="P233" s="26" t="inlineStr">
        <is>
          <t>Yes</t>
        </is>
      </c>
      <c r="Q233" s="26" t="inlineStr">
        <is>
          <t>No</t>
        </is>
      </c>
      <c r="R233" s="26" t="inlineStr">
        <is>
          <t>Good finish</t>
        </is>
      </c>
      <c r="S233" s="26" t="inlineStr">
        <is>
          <t>Yes</t>
        </is>
      </c>
      <c r="T233" s="27" t="n"/>
      <c r="U233" s="28" t="inlineStr">
        <is>
          <t>No</t>
        </is>
      </c>
      <c r="V233" s="29">
        <f>IF(N233="","",IF(Q233="Yes","❌ Disc",IF(P233="No","⚠ Missing",IF(S233="Yes","✓ OK","⚠ Check"))))</f>
        <v/>
      </c>
      <c r="W233" s="65" t="n">
        <v>46248</v>
      </c>
      <c r="X233" s="30" t="inlineStr">
        <is>
          <t>Sunil CR</t>
        </is>
      </c>
      <c r="Y233" s="30" t="inlineStr">
        <is>
          <t>Yes</t>
        </is>
      </c>
      <c r="Z233" s="30" t="n"/>
      <c r="AA233" s="30" t="inlineStr">
        <is>
          <t>Good finish</t>
        </is>
      </c>
      <c r="AB233" s="30" t="inlineStr">
        <is>
          <t>Yes</t>
        </is>
      </c>
      <c r="AC233" s="27" t="n"/>
      <c r="AD233" s="31" t="inlineStr">
        <is>
          <t>No</t>
        </is>
      </c>
      <c r="AE233" s="32">
        <f>IF(W233="","",IF(Z233="Yes","❌ Disc",IF(Y233="No","⚠ Missing",IF(AB233="Yes","✓ OK","⚠ Check"))))</f>
        <v/>
      </c>
      <c r="AF233" s="33" t="n"/>
      <c r="AG233" s="33" t="n"/>
      <c r="AH233" s="33" t="n"/>
      <c r="AI233" s="33" t="n"/>
      <c r="AJ233" s="33" t="n"/>
      <c r="AK233" s="33" t="n"/>
      <c r="AL233" s="27" t="n"/>
      <c r="AM233" s="34" t="n"/>
      <c r="AN233" s="35">
        <f>IF(AF233="","",IF(AI233="Yes","❌ Disc",IF(AH233="No","⚠ Missing",IF(AK233="Yes","✓ OK","⚠ Check"))))</f>
        <v/>
      </c>
      <c r="AO233" s="36" t="n"/>
      <c r="AP233" s="36" t="n"/>
      <c r="AQ233" s="36" t="n"/>
      <c r="AR233" s="36" t="n"/>
      <c r="AS233" s="36" t="n"/>
      <c r="AT233" s="36" t="n"/>
      <c r="AU233" s="27" t="n"/>
      <c r="AV233" s="37" t="n"/>
      <c r="AW233" s="38">
        <f>IF(AO233="","",IF(AR233="Yes","❌ Disc",IF(AQ233="No","⚠ Missing",IF(AT233="Yes","✓ OK","⚠ Check"))))</f>
        <v/>
      </c>
    </row>
    <row r="234" ht="18" customHeight="1" s="46">
      <c r="A234" s="39" t="n">
        <v>230</v>
      </c>
      <c r="B234" s="40" t="inlineStr">
        <is>
          <t>BD-VRM-2026-0152</t>
        </is>
      </c>
      <c r="C234" s="41" t="inlineStr">
        <is>
          <t>Excel - Aurora 2 Wallpaper 4042-3</t>
        </is>
      </c>
      <c r="D234" s="39" t="inlineStr">
        <is>
          <t>Excel</t>
        </is>
      </c>
      <c r="E234" s="43" t="n">
        <v>46125</v>
      </c>
      <c r="F234" s="26" t="inlineStr">
        <is>
          <t>Sunil CR</t>
        </is>
      </c>
      <c r="G234" s="26" t="inlineStr">
        <is>
          <t>Yes</t>
        </is>
      </c>
      <c r="H234" s="26" t="inlineStr">
        <is>
          <t>No</t>
        </is>
      </c>
      <c r="I234" s="26" t="inlineStr">
        <is>
          <t>Good finish</t>
        </is>
      </c>
      <c r="J234" s="26" t="inlineStr">
        <is>
          <t>Yes</t>
        </is>
      </c>
      <c r="K234" s="27" t="n"/>
      <c r="L234" s="28" t="inlineStr">
        <is>
          <t>No</t>
        </is>
      </c>
      <c r="M234" s="29">
        <f>IF(E234="","",IF(H234="Yes","❌ Disc",IF(G234="No","⚠ Missing",IF(J234="Yes","✓ OK","⚠ Check"))))</f>
        <v/>
      </c>
      <c r="N234" s="43" t="n">
        <v>46193</v>
      </c>
      <c r="O234" s="26" t="inlineStr">
        <is>
          <t>Sunil CR</t>
        </is>
      </c>
      <c r="P234" s="26" t="inlineStr">
        <is>
          <t>Yes</t>
        </is>
      </c>
      <c r="Q234" s="26" t="inlineStr">
        <is>
          <t>No</t>
        </is>
      </c>
      <c r="R234" s="26" t="inlineStr">
        <is>
          <t>Good finish</t>
        </is>
      </c>
      <c r="S234" s="26" t="inlineStr">
        <is>
          <t>Yes</t>
        </is>
      </c>
      <c r="T234" s="27" t="n"/>
      <c r="U234" s="28" t="inlineStr">
        <is>
          <t>No</t>
        </is>
      </c>
      <c r="V234" s="29">
        <f>IF(N234="","",IF(Q234="Yes","❌ Disc",IF(P234="No","⚠ Missing",IF(S234="Yes","✓ OK","⚠ Check"))))</f>
        <v/>
      </c>
      <c r="W234" s="65" t="n">
        <v>46248</v>
      </c>
      <c r="X234" s="30" t="inlineStr">
        <is>
          <t>Sunil CR</t>
        </is>
      </c>
      <c r="Y234" s="30" t="inlineStr">
        <is>
          <t>Yes</t>
        </is>
      </c>
      <c r="Z234" s="30" t="n"/>
      <c r="AA234" s="30" t="inlineStr">
        <is>
          <t>Good finish</t>
        </is>
      </c>
      <c r="AB234" s="30" t="inlineStr">
        <is>
          <t>Yes</t>
        </is>
      </c>
      <c r="AC234" s="27" t="n"/>
      <c r="AD234" s="31" t="inlineStr">
        <is>
          <t>No</t>
        </is>
      </c>
      <c r="AE234" s="32">
        <f>IF(W234="","",IF(Z234="Yes","❌ Disc",IF(Y234="No","⚠ Missing",IF(AB234="Yes","✓ OK","⚠ Check"))))</f>
        <v/>
      </c>
      <c r="AF234" s="33" t="n"/>
      <c r="AG234" s="33" t="n"/>
      <c r="AH234" s="33" t="n"/>
      <c r="AI234" s="33" t="n"/>
      <c r="AJ234" s="33" t="n"/>
      <c r="AK234" s="33" t="n"/>
      <c r="AL234" s="27" t="n"/>
      <c r="AM234" s="34" t="n"/>
      <c r="AN234" s="35">
        <f>IF(AF234="","",IF(AI234="Yes","❌ Disc",IF(AH234="No","⚠ Missing",IF(AK234="Yes","✓ OK","⚠ Check"))))</f>
        <v/>
      </c>
      <c r="AO234" s="36" t="n"/>
      <c r="AP234" s="36" t="n"/>
      <c r="AQ234" s="36" t="n"/>
      <c r="AR234" s="36" t="n"/>
      <c r="AS234" s="36" t="n"/>
      <c r="AT234" s="36" t="n"/>
      <c r="AU234" s="27" t="n"/>
      <c r="AV234" s="37" t="n"/>
      <c r="AW234" s="38">
        <f>IF(AO234="","",IF(AR234="Yes","❌ Disc",IF(AQ234="No","⚠ Missing",IF(AT234="Yes","✓ OK","⚠ Check"))))</f>
        <v/>
      </c>
    </row>
    <row r="235" ht="18" customHeight="1" s="46">
      <c r="A235" s="23" t="n">
        <v>231</v>
      </c>
      <c r="B235" s="24" t="inlineStr">
        <is>
          <t>BD-VRM-2026-0153</t>
        </is>
      </c>
      <c r="C235" s="25" t="inlineStr">
        <is>
          <t>Excel - Aurora 2 Wallpaper 4042-4</t>
        </is>
      </c>
      <c r="D235" s="23" t="inlineStr">
        <is>
          <t>Excel</t>
        </is>
      </c>
      <c r="E235" s="43" t="n">
        <v>46125</v>
      </c>
      <c r="F235" s="26" t="inlineStr">
        <is>
          <t>Sunil CR</t>
        </is>
      </c>
      <c r="G235" s="26" t="inlineStr">
        <is>
          <t>Yes</t>
        </is>
      </c>
      <c r="H235" s="26" t="inlineStr">
        <is>
          <t>No</t>
        </is>
      </c>
      <c r="I235" s="26" t="inlineStr">
        <is>
          <t>Good finish</t>
        </is>
      </c>
      <c r="J235" s="26" t="inlineStr">
        <is>
          <t>Yes</t>
        </is>
      </c>
      <c r="K235" s="27" t="n"/>
      <c r="L235" s="28" t="inlineStr">
        <is>
          <t>No</t>
        </is>
      </c>
      <c r="M235" s="29">
        <f>IF(E235="","",IF(H235="Yes","❌ Disc",IF(G235="No","⚠ Missing",IF(J235="Yes","✓ OK","⚠ Check"))))</f>
        <v/>
      </c>
      <c r="N235" s="43" t="n">
        <v>46193</v>
      </c>
      <c r="O235" s="26" t="inlineStr">
        <is>
          <t>Sunil CR</t>
        </is>
      </c>
      <c r="P235" s="26" t="inlineStr">
        <is>
          <t>Yes</t>
        </is>
      </c>
      <c r="Q235" s="26" t="inlineStr">
        <is>
          <t>No</t>
        </is>
      </c>
      <c r="R235" s="26" t="inlineStr">
        <is>
          <t>Good finish</t>
        </is>
      </c>
      <c r="S235" s="26" t="inlineStr">
        <is>
          <t>Yes</t>
        </is>
      </c>
      <c r="T235" s="27" t="n"/>
      <c r="U235" s="28" t="inlineStr">
        <is>
          <t>No</t>
        </is>
      </c>
      <c r="V235" s="29">
        <f>IF(N235="","",IF(Q235="Yes","❌ Disc",IF(P235="No","⚠ Missing",IF(S235="Yes","✓ OK","⚠ Check"))))</f>
        <v/>
      </c>
      <c r="W235" s="65" t="n">
        <v>46248</v>
      </c>
      <c r="X235" s="30" t="inlineStr">
        <is>
          <t>Sunil CR</t>
        </is>
      </c>
      <c r="Y235" s="30" t="inlineStr">
        <is>
          <t>Yes</t>
        </is>
      </c>
      <c r="Z235" s="30" t="n"/>
      <c r="AA235" s="30" t="inlineStr">
        <is>
          <t>Good finish</t>
        </is>
      </c>
      <c r="AB235" s="30" t="inlineStr">
        <is>
          <t>Yes</t>
        </is>
      </c>
      <c r="AC235" s="27" t="n"/>
      <c r="AD235" s="31" t="inlineStr">
        <is>
          <t>No</t>
        </is>
      </c>
      <c r="AE235" s="32">
        <f>IF(W235="","",IF(Z235="Yes","❌ Disc",IF(Y235="No","⚠ Missing",IF(AB235="Yes","✓ OK","⚠ Check"))))</f>
        <v/>
      </c>
      <c r="AF235" s="33" t="n"/>
      <c r="AG235" s="33" t="n"/>
      <c r="AH235" s="33" t="n"/>
      <c r="AI235" s="33" t="n"/>
      <c r="AJ235" s="33" t="n"/>
      <c r="AK235" s="33" t="n"/>
      <c r="AL235" s="27" t="n"/>
      <c r="AM235" s="34" t="n"/>
      <c r="AN235" s="35">
        <f>IF(AF235="","",IF(AI235="Yes","❌ Disc",IF(AH235="No","⚠ Missing",IF(AK235="Yes","✓ OK","⚠ Check"))))</f>
        <v/>
      </c>
      <c r="AO235" s="36" t="n"/>
      <c r="AP235" s="36" t="n"/>
      <c r="AQ235" s="36" t="n"/>
      <c r="AR235" s="36" t="n"/>
      <c r="AS235" s="36" t="n"/>
      <c r="AT235" s="36" t="n"/>
      <c r="AU235" s="27" t="n"/>
      <c r="AV235" s="37" t="n"/>
      <c r="AW235" s="38">
        <f>IF(AO235="","",IF(AR235="Yes","❌ Disc",IF(AQ235="No","⚠ Missing",IF(AT235="Yes","✓ OK","⚠ Check"))))</f>
        <v/>
      </c>
    </row>
    <row r="236" ht="18" customHeight="1" s="46">
      <c r="A236" s="39" t="n">
        <v>232</v>
      </c>
      <c r="B236" s="40" t="inlineStr">
        <is>
          <t>BD-VRM-2026-0154</t>
        </is>
      </c>
      <c r="C236" s="41" t="inlineStr">
        <is>
          <t>Excel - Aurora 2 Wallpaper 4042-5</t>
        </is>
      </c>
      <c r="D236" s="39" t="inlineStr">
        <is>
          <t>Excel</t>
        </is>
      </c>
      <c r="E236" s="43" t="n">
        <v>46125</v>
      </c>
      <c r="F236" s="26" t="inlineStr">
        <is>
          <t>Sunil CR</t>
        </is>
      </c>
      <c r="G236" s="26" t="inlineStr">
        <is>
          <t>Yes</t>
        </is>
      </c>
      <c r="H236" s="26" t="inlineStr">
        <is>
          <t>No</t>
        </is>
      </c>
      <c r="I236" s="26" t="inlineStr">
        <is>
          <t>Good finish</t>
        </is>
      </c>
      <c r="J236" s="26" t="inlineStr">
        <is>
          <t>Yes</t>
        </is>
      </c>
      <c r="K236" s="27" t="n"/>
      <c r="L236" s="28" t="inlineStr">
        <is>
          <t>No</t>
        </is>
      </c>
      <c r="M236" s="29">
        <f>IF(E236="","",IF(H236="Yes","❌ Disc",IF(G236="No","⚠ Missing",IF(J236="Yes","✓ OK","⚠ Check"))))</f>
        <v/>
      </c>
      <c r="N236" s="43" t="n">
        <v>46193</v>
      </c>
      <c r="O236" s="26" t="inlineStr">
        <is>
          <t>Sunil CR</t>
        </is>
      </c>
      <c r="P236" s="26" t="inlineStr">
        <is>
          <t>Yes</t>
        </is>
      </c>
      <c r="Q236" s="26" t="inlineStr">
        <is>
          <t>No</t>
        </is>
      </c>
      <c r="R236" s="26" t="inlineStr">
        <is>
          <t>Good finish</t>
        </is>
      </c>
      <c r="S236" s="26" t="inlineStr">
        <is>
          <t>Yes</t>
        </is>
      </c>
      <c r="T236" s="27" t="n"/>
      <c r="U236" s="28" t="inlineStr">
        <is>
          <t>No</t>
        </is>
      </c>
      <c r="V236" s="29">
        <f>IF(N236="","",IF(Q236="Yes","❌ Disc",IF(P236="No","⚠ Missing",IF(S236="Yes","✓ OK","⚠ Check"))))</f>
        <v/>
      </c>
      <c r="W236" s="65" t="n">
        <v>46248</v>
      </c>
      <c r="X236" s="30" t="inlineStr">
        <is>
          <t>Sunil CR</t>
        </is>
      </c>
      <c r="Y236" s="30" t="inlineStr">
        <is>
          <t>Yes</t>
        </is>
      </c>
      <c r="Z236" s="30" t="n"/>
      <c r="AA236" s="30" t="inlineStr">
        <is>
          <t>Good finish</t>
        </is>
      </c>
      <c r="AB236" s="30" t="inlineStr">
        <is>
          <t>Yes</t>
        </is>
      </c>
      <c r="AC236" s="27" t="n"/>
      <c r="AD236" s="31" t="inlineStr">
        <is>
          <t>No</t>
        </is>
      </c>
      <c r="AE236" s="32">
        <f>IF(W236="","",IF(Z236="Yes","❌ Disc",IF(Y236="No","⚠ Missing",IF(AB236="Yes","✓ OK","⚠ Check"))))</f>
        <v/>
      </c>
      <c r="AF236" s="33" t="n"/>
      <c r="AG236" s="33" t="n"/>
      <c r="AH236" s="33" t="n"/>
      <c r="AI236" s="33" t="n"/>
      <c r="AJ236" s="33" t="n"/>
      <c r="AK236" s="33" t="n"/>
      <c r="AL236" s="27" t="n"/>
      <c r="AM236" s="34" t="n"/>
      <c r="AN236" s="35">
        <f>IF(AF236="","",IF(AI236="Yes","❌ Disc",IF(AH236="No","⚠ Missing",IF(AK236="Yes","✓ OK","⚠ Check"))))</f>
        <v/>
      </c>
      <c r="AO236" s="36" t="n"/>
      <c r="AP236" s="36" t="n"/>
      <c r="AQ236" s="36" t="n"/>
      <c r="AR236" s="36" t="n"/>
      <c r="AS236" s="36" t="n"/>
      <c r="AT236" s="36" t="n"/>
      <c r="AU236" s="27" t="n"/>
      <c r="AV236" s="37" t="n"/>
      <c r="AW236" s="38">
        <f>IF(AO236="","",IF(AR236="Yes","❌ Disc",IF(AQ236="No","⚠ Missing",IF(AT236="Yes","✓ OK","⚠ Check"))))</f>
        <v/>
      </c>
    </row>
    <row r="237" ht="18" customHeight="1" s="46">
      <c r="A237" s="23" t="n">
        <v>233</v>
      </c>
      <c r="B237" s="24" t="inlineStr">
        <is>
          <t>BD-VRM-2026-0155</t>
        </is>
      </c>
      <c r="C237" s="25" t="inlineStr">
        <is>
          <t>Excel - Aurora 2 Wallpaper 4042-6</t>
        </is>
      </c>
      <c r="D237" s="23" t="inlineStr">
        <is>
          <t>Excel</t>
        </is>
      </c>
      <c r="E237" s="43" t="n">
        <v>46125</v>
      </c>
      <c r="F237" s="26" t="inlineStr">
        <is>
          <t>Sunil CR</t>
        </is>
      </c>
      <c r="G237" s="26" t="inlineStr">
        <is>
          <t>Yes</t>
        </is>
      </c>
      <c r="H237" s="26" t="inlineStr">
        <is>
          <t>No</t>
        </is>
      </c>
      <c r="I237" s="26" t="inlineStr">
        <is>
          <t>Good finish</t>
        </is>
      </c>
      <c r="J237" s="26" t="inlineStr">
        <is>
          <t>Yes</t>
        </is>
      </c>
      <c r="K237" s="27" t="n"/>
      <c r="L237" s="28" t="inlineStr">
        <is>
          <t>No</t>
        </is>
      </c>
      <c r="M237" s="29">
        <f>IF(E237="","",IF(H237="Yes","❌ Disc",IF(G237="No","⚠ Missing",IF(J237="Yes","✓ OK","⚠ Check"))))</f>
        <v/>
      </c>
      <c r="N237" s="43" t="n">
        <v>46193</v>
      </c>
      <c r="O237" s="26" t="inlineStr">
        <is>
          <t>Sunil CR</t>
        </is>
      </c>
      <c r="P237" s="26" t="inlineStr">
        <is>
          <t>Yes</t>
        </is>
      </c>
      <c r="Q237" s="26" t="inlineStr">
        <is>
          <t>No</t>
        </is>
      </c>
      <c r="R237" s="26" t="inlineStr">
        <is>
          <t>Good finish</t>
        </is>
      </c>
      <c r="S237" s="26" t="inlineStr">
        <is>
          <t>Yes</t>
        </is>
      </c>
      <c r="T237" s="27" t="n"/>
      <c r="U237" s="28" t="inlineStr">
        <is>
          <t>No</t>
        </is>
      </c>
      <c r="V237" s="29">
        <f>IF(N237="","",IF(Q237="Yes","❌ Disc",IF(P237="No","⚠ Missing",IF(S237="Yes","✓ OK","⚠ Check"))))</f>
        <v/>
      </c>
      <c r="W237" s="65" t="n">
        <v>46248</v>
      </c>
      <c r="X237" s="30" t="inlineStr">
        <is>
          <t>Sunil CR</t>
        </is>
      </c>
      <c r="Y237" s="30" t="inlineStr">
        <is>
          <t>Yes</t>
        </is>
      </c>
      <c r="Z237" s="30" t="n"/>
      <c r="AA237" s="30" t="inlineStr">
        <is>
          <t>Good finish</t>
        </is>
      </c>
      <c r="AB237" s="30" t="inlineStr">
        <is>
          <t>Yes</t>
        </is>
      </c>
      <c r="AC237" s="27" t="n"/>
      <c r="AD237" s="31" t="inlineStr">
        <is>
          <t>No</t>
        </is>
      </c>
      <c r="AE237" s="32">
        <f>IF(W237="","",IF(Z237="Yes","❌ Disc",IF(Y237="No","⚠ Missing",IF(AB237="Yes","✓ OK","⚠ Check"))))</f>
        <v/>
      </c>
      <c r="AF237" s="33" t="n"/>
      <c r="AG237" s="33" t="n"/>
      <c r="AH237" s="33" t="n"/>
      <c r="AI237" s="33" t="n"/>
      <c r="AJ237" s="33" t="n"/>
      <c r="AK237" s="33" t="n"/>
      <c r="AL237" s="27" t="n"/>
      <c r="AM237" s="34" t="n"/>
      <c r="AN237" s="35">
        <f>IF(AF237="","",IF(AI237="Yes","❌ Disc",IF(AH237="No","⚠ Missing",IF(AK237="Yes","✓ OK","⚠ Check"))))</f>
        <v/>
      </c>
      <c r="AO237" s="36" t="n"/>
      <c r="AP237" s="36" t="n"/>
      <c r="AQ237" s="36" t="n"/>
      <c r="AR237" s="36" t="n"/>
      <c r="AS237" s="36" t="n"/>
      <c r="AT237" s="36" t="n"/>
      <c r="AU237" s="27" t="n"/>
      <c r="AV237" s="37" t="n"/>
      <c r="AW237" s="38">
        <f>IF(AO237="","",IF(AR237="Yes","❌ Disc",IF(AQ237="No","⚠ Missing",IF(AT237="Yes","✓ OK","⚠ Check"))))</f>
        <v/>
      </c>
    </row>
    <row r="238" ht="18" customHeight="1" s="46">
      <c r="A238" s="39" t="n">
        <v>234</v>
      </c>
      <c r="B238" s="40" t="inlineStr">
        <is>
          <t>BD-VRM-2026-0147</t>
        </is>
      </c>
      <c r="C238" s="41" t="inlineStr">
        <is>
          <t>Excel - Aurora 2 Wallpaper 4043-1</t>
        </is>
      </c>
      <c r="D238" s="39" t="inlineStr">
        <is>
          <t>Excel</t>
        </is>
      </c>
      <c r="E238" s="43" t="n">
        <v>46125</v>
      </c>
      <c r="F238" s="26" t="inlineStr">
        <is>
          <t>Sunil CR</t>
        </is>
      </c>
      <c r="G238" s="26" t="inlineStr">
        <is>
          <t>Yes</t>
        </is>
      </c>
      <c r="H238" s="26" t="inlineStr">
        <is>
          <t>No</t>
        </is>
      </c>
      <c r="I238" s="26" t="inlineStr">
        <is>
          <t>Good finish</t>
        </is>
      </c>
      <c r="J238" s="26" t="inlineStr">
        <is>
          <t>Yes</t>
        </is>
      </c>
      <c r="K238" s="27" t="n"/>
      <c r="L238" s="28" t="inlineStr">
        <is>
          <t>No</t>
        </is>
      </c>
      <c r="M238" s="29">
        <f>IF(E238="","",IF(H238="Yes","❌ Disc",IF(G238="No","⚠ Missing",IF(J238="Yes","✓ OK","⚠ Check"))))</f>
        <v/>
      </c>
      <c r="N238" s="43" t="n">
        <v>46193</v>
      </c>
      <c r="O238" s="26" t="inlineStr">
        <is>
          <t>Sunil CR</t>
        </is>
      </c>
      <c r="P238" s="26" t="inlineStr">
        <is>
          <t>Yes</t>
        </is>
      </c>
      <c r="Q238" s="26" t="inlineStr">
        <is>
          <t>No</t>
        </is>
      </c>
      <c r="R238" s="26" t="inlineStr">
        <is>
          <t>Good finish</t>
        </is>
      </c>
      <c r="S238" s="26" t="inlineStr">
        <is>
          <t>Yes</t>
        </is>
      </c>
      <c r="T238" s="27" t="n"/>
      <c r="U238" s="28" t="inlineStr">
        <is>
          <t>No</t>
        </is>
      </c>
      <c r="V238" s="29">
        <f>IF(N238="","",IF(Q238="Yes","❌ Disc",IF(P238="No","⚠ Missing",IF(S238="Yes","✓ OK","⚠ Check"))))</f>
        <v/>
      </c>
      <c r="W238" s="65" t="n">
        <v>46248</v>
      </c>
      <c r="X238" s="30" t="inlineStr">
        <is>
          <t>Sunil CR</t>
        </is>
      </c>
      <c r="Y238" s="30" t="inlineStr">
        <is>
          <t>Yes</t>
        </is>
      </c>
      <c r="Z238" s="30" t="n"/>
      <c r="AA238" s="30" t="inlineStr">
        <is>
          <t>Good finish</t>
        </is>
      </c>
      <c r="AB238" s="30" t="inlineStr">
        <is>
          <t>Yes</t>
        </is>
      </c>
      <c r="AC238" s="27" t="n"/>
      <c r="AD238" s="31" t="inlineStr">
        <is>
          <t>No</t>
        </is>
      </c>
      <c r="AE238" s="32">
        <f>IF(W238="","",IF(Z238="Yes","❌ Disc",IF(Y238="No","⚠ Missing",IF(AB238="Yes","✓ OK","⚠ Check"))))</f>
        <v/>
      </c>
      <c r="AF238" s="33" t="n"/>
      <c r="AG238" s="33" t="n"/>
      <c r="AH238" s="33" t="n"/>
      <c r="AI238" s="33" t="n"/>
      <c r="AJ238" s="33" t="n"/>
      <c r="AK238" s="33" t="n"/>
      <c r="AL238" s="27" t="n"/>
      <c r="AM238" s="34" t="n"/>
      <c r="AN238" s="35">
        <f>IF(AF238="","",IF(AI238="Yes","❌ Disc",IF(AH238="No","⚠ Missing",IF(AK238="Yes","✓ OK","⚠ Check"))))</f>
        <v/>
      </c>
      <c r="AO238" s="36" t="n"/>
      <c r="AP238" s="36" t="n"/>
      <c r="AQ238" s="36" t="n"/>
      <c r="AR238" s="36" t="n"/>
      <c r="AS238" s="36" t="n"/>
      <c r="AT238" s="36" t="n"/>
      <c r="AU238" s="27" t="n"/>
      <c r="AV238" s="37" t="n"/>
      <c r="AW238" s="38">
        <f>IF(AO238="","",IF(AR238="Yes","❌ Disc",IF(AQ238="No","⚠ Missing",IF(AT238="Yes","✓ OK","⚠ Check"))))</f>
        <v/>
      </c>
    </row>
    <row r="239" ht="18" customHeight="1" s="46">
      <c r="A239" s="23" t="n">
        <v>235</v>
      </c>
      <c r="B239" s="24" t="inlineStr">
        <is>
          <t>BD-VRM-2026-0148</t>
        </is>
      </c>
      <c r="C239" s="25" t="inlineStr">
        <is>
          <t>Excel - Aurora 2 Wallpaper 4043-2</t>
        </is>
      </c>
      <c r="D239" s="23" t="inlineStr">
        <is>
          <t>Excel</t>
        </is>
      </c>
      <c r="E239" s="43" t="n">
        <v>46125</v>
      </c>
      <c r="F239" s="26" t="inlineStr">
        <is>
          <t>Sunil CR</t>
        </is>
      </c>
      <c r="G239" s="26" t="inlineStr">
        <is>
          <t>Yes</t>
        </is>
      </c>
      <c r="H239" s="26" t="inlineStr">
        <is>
          <t>No</t>
        </is>
      </c>
      <c r="I239" s="26" t="inlineStr">
        <is>
          <t>Good finish</t>
        </is>
      </c>
      <c r="J239" s="26" t="inlineStr">
        <is>
          <t>Yes</t>
        </is>
      </c>
      <c r="K239" s="27" t="n"/>
      <c r="L239" s="28" t="inlineStr">
        <is>
          <t>No</t>
        </is>
      </c>
      <c r="M239" s="29">
        <f>IF(E239="","",IF(H239="Yes","❌ Disc",IF(G239="No","⚠ Missing",IF(J239="Yes","✓ OK","⚠ Check"))))</f>
        <v/>
      </c>
      <c r="N239" s="43" t="n">
        <v>46193</v>
      </c>
      <c r="O239" s="26" t="inlineStr">
        <is>
          <t>Sunil CR</t>
        </is>
      </c>
      <c r="P239" s="26" t="inlineStr">
        <is>
          <t>Yes</t>
        </is>
      </c>
      <c r="Q239" s="26" t="inlineStr">
        <is>
          <t>No</t>
        </is>
      </c>
      <c r="R239" s="26" t="inlineStr">
        <is>
          <t>Good finish</t>
        </is>
      </c>
      <c r="S239" s="26" t="inlineStr">
        <is>
          <t>Yes</t>
        </is>
      </c>
      <c r="T239" s="27" t="n"/>
      <c r="U239" s="28" t="inlineStr">
        <is>
          <t>No</t>
        </is>
      </c>
      <c r="V239" s="29">
        <f>IF(N239="","",IF(Q239="Yes","❌ Disc",IF(P239="No","⚠ Missing",IF(S239="Yes","✓ OK","⚠ Check"))))</f>
        <v/>
      </c>
      <c r="W239" s="65" t="n">
        <v>46248</v>
      </c>
      <c r="X239" s="30" t="inlineStr">
        <is>
          <t>Sunil CR</t>
        </is>
      </c>
      <c r="Y239" s="30" t="inlineStr">
        <is>
          <t>Yes</t>
        </is>
      </c>
      <c r="Z239" s="30" t="n"/>
      <c r="AA239" s="30" t="inlineStr">
        <is>
          <t>Good finish</t>
        </is>
      </c>
      <c r="AB239" s="30" t="inlineStr">
        <is>
          <t>Yes</t>
        </is>
      </c>
      <c r="AC239" s="27" t="n"/>
      <c r="AD239" s="31" t="inlineStr">
        <is>
          <t>No</t>
        </is>
      </c>
      <c r="AE239" s="32">
        <f>IF(W239="","",IF(Z239="Yes","❌ Disc",IF(Y239="No","⚠ Missing",IF(AB239="Yes","✓ OK","⚠ Check"))))</f>
        <v/>
      </c>
      <c r="AF239" s="33" t="n"/>
      <c r="AG239" s="33" t="n"/>
      <c r="AH239" s="33" t="n"/>
      <c r="AI239" s="33" t="n"/>
      <c r="AJ239" s="33" t="n"/>
      <c r="AK239" s="33" t="n"/>
      <c r="AL239" s="27" t="n"/>
      <c r="AM239" s="34" t="n"/>
      <c r="AN239" s="35">
        <f>IF(AF239="","",IF(AI239="Yes","❌ Disc",IF(AH239="No","⚠ Missing",IF(AK239="Yes","✓ OK","⚠ Check"))))</f>
        <v/>
      </c>
      <c r="AO239" s="36" t="n"/>
      <c r="AP239" s="36" t="n"/>
      <c r="AQ239" s="36" t="n"/>
      <c r="AR239" s="36" t="n"/>
      <c r="AS239" s="36" t="n"/>
      <c r="AT239" s="36" t="n"/>
      <c r="AU239" s="27" t="n"/>
      <c r="AV239" s="37" t="n"/>
      <c r="AW239" s="38">
        <f>IF(AO239="","",IF(AR239="Yes","❌ Disc",IF(AQ239="No","⚠ Missing",IF(AT239="Yes","✓ OK","⚠ Check"))))</f>
        <v/>
      </c>
    </row>
    <row r="240" ht="18" customHeight="1" s="46">
      <c r="A240" s="39" t="n">
        <v>236</v>
      </c>
      <c r="B240" s="40" t="inlineStr">
        <is>
          <t>BD-VRM-2026-0149</t>
        </is>
      </c>
      <c r="C240" s="41" t="inlineStr">
        <is>
          <t>Excel - Aurora 2 Wallpaper 4043-3</t>
        </is>
      </c>
      <c r="D240" s="39" t="inlineStr">
        <is>
          <t>Excel</t>
        </is>
      </c>
      <c r="E240" s="43" t="n">
        <v>46125</v>
      </c>
      <c r="F240" s="26" t="inlineStr">
        <is>
          <t>Sunil CR</t>
        </is>
      </c>
      <c r="G240" s="26" t="inlineStr">
        <is>
          <t>Yes</t>
        </is>
      </c>
      <c r="H240" s="26" t="inlineStr">
        <is>
          <t>No</t>
        </is>
      </c>
      <c r="I240" s="26" t="inlineStr">
        <is>
          <t>Good finish</t>
        </is>
      </c>
      <c r="J240" s="26" t="inlineStr">
        <is>
          <t>Yes</t>
        </is>
      </c>
      <c r="K240" s="27" t="n"/>
      <c r="L240" s="28" t="inlineStr">
        <is>
          <t>No</t>
        </is>
      </c>
      <c r="M240" s="29">
        <f>IF(E240="","",IF(H240="Yes","❌ Disc",IF(G240="No","⚠ Missing",IF(J240="Yes","✓ OK","⚠ Check"))))</f>
        <v/>
      </c>
      <c r="N240" s="43" t="n">
        <v>46193</v>
      </c>
      <c r="O240" s="26" t="inlineStr">
        <is>
          <t>Sunil CR</t>
        </is>
      </c>
      <c r="P240" s="26" t="inlineStr">
        <is>
          <t>Yes</t>
        </is>
      </c>
      <c r="Q240" s="26" t="inlineStr">
        <is>
          <t>No</t>
        </is>
      </c>
      <c r="R240" s="26" t="inlineStr">
        <is>
          <t>Good finish</t>
        </is>
      </c>
      <c r="S240" s="26" t="inlineStr">
        <is>
          <t>Yes</t>
        </is>
      </c>
      <c r="T240" s="27" t="n"/>
      <c r="U240" s="28" t="inlineStr">
        <is>
          <t>No</t>
        </is>
      </c>
      <c r="V240" s="29">
        <f>IF(N240="","",IF(Q240="Yes","❌ Disc",IF(P240="No","⚠ Missing",IF(S240="Yes","✓ OK","⚠ Check"))))</f>
        <v/>
      </c>
      <c r="W240" s="65" t="n">
        <v>46248</v>
      </c>
      <c r="X240" s="30" t="inlineStr">
        <is>
          <t>Sunil CR</t>
        </is>
      </c>
      <c r="Y240" s="30" t="inlineStr">
        <is>
          <t>Yes</t>
        </is>
      </c>
      <c r="Z240" s="30" t="n"/>
      <c r="AA240" s="30" t="inlineStr">
        <is>
          <t>Good finish</t>
        </is>
      </c>
      <c r="AB240" s="30" t="inlineStr">
        <is>
          <t>Yes</t>
        </is>
      </c>
      <c r="AC240" s="27" t="n"/>
      <c r="AD240" s="31" t="inlineStr">
        <is>
          <t>No</t>
        </is>
      </c>
      <c r="AE240" s="32">
        <f>IF(W240="","",IF(Z240="Yes","❌ Disc",IF(Y240="No","⚠ Missing",IF(AB240="Yes","✓ OK","⚠ Check"))))</f>
        <v/>
      </c>
      <c r="AF240" s="33" t="n"/>
      <c r="AG240" s="33" t="n"/>
      <c r="AH240" s="33" t="n"/>
      <c r="AI240" s="33" t="n"/>
      <c r="AJ240" s="33" t="n"/>
      <c r="AK240" s="33" t="n"/>
      <c r="AL240" s="27" t="n"/>
      <c r="AM240" s="34" t="n"/>
      <c r="AN240" s="35">
        <f>IF(AF240="","",IF(AI240="Yes","❌ Disc",IF(AH240="No","⚠ Missing",IF(AK240="Yes","✓ OK","⚠ Check"))))</f>
        <v/>
      </c>
      <c r="AO240" s="36" t="n"/>
      <c r="AP240" s="36" t="n"/>
      <c r="AQ240" s="36" t="n"/>
      <c r="AR240" s="36" t="n"/>
      <c r="AS240" s="36" t="n"/>
      <c r="AT240" s="36" t="n"/>
      <c r="AU240" s="27" t="n"/>
      <c r="AV240" s="37" t="n"/>
      <c r="AW240" s="38">
        <f>IF(AO240="","",IF(AR240="Yes","❌ Disc",IF(AQ240="No","⚠ Missing",IF(AT240="Yes","✓ OK","⚠ Check"))))</f>
        <v/>
      </c>
    </row>
    <row r="241" ht="18" customHeight="1" s="46">
      <c r="A241" s="23" t="n">
        <v>237</v>
      </c>
      <c r="B241" s="24" t="inlineStr">
        <is>
          <t>BD-VRM-2026-0156</t>
        </is>
      </c>
      <c r="C241" s="25" t="inlineStr">
        <is>
          <t>Excel - Aurora 2 Wallpaper 4044-1</t>
        </is>
      </c>
      <c r="D241" s="23" t="inlineStr">
        <is>
          <t>Excel</t>
        </is>
      </c>
      <c r="E241" s="43" t="n">
        <v>46125</v>
      </c>
      <c r="F241" s="26" t="inlineStr">
        <is>
          <t>Sunil CR</t>
        </is>
      </c>
      <c r="G241" s="26" t="inlineStr">
        <is>
          <t>Yes</t>
        </is>
      </c>
      <c r="H241" s="26" t="inlineStr">
        <is>
          <t>No</t>
        </is>
      </c>
      <c r="I241" s="26" t="inlineStr">
        <is>
          <t>Good finish</t>
        </is>
      </c>
      <c r="J241" s="26" t="inlineStr">
        <is>
          <t>Yes</t>
        </is>
      </c>
      <c r="K241" s="27" t="n"/>
      <c r="L241" s="28" t="inlineStr">
        <is>
          <t>No</t>
        </is>
      </c>
      <c r="M241" s="29">
        <f>IF(E241="","",IF(H241="Yes","❌ Disc",IF(G241="No","⚠ Missing",IF(J241="Yes","✓ OK","⚠ Check"))))</f>
        <v/>
      </c>
      <c r="N241" s="43" t="n">
        <v>46193</v>
      </c>
      <c r="O241" s="26" t="inlineStr">
        <is>
          <t>Sunil CR</t>
        </is>
      </c>
      <c r="P241" s="26" t="inlineStr">
        <is>
          <t>Yes</t>
        </is>
      </c>
      <c r="Q241" s="26" t="inlineStr">
        <is>
          <t>No</t>
        </is>
      </c>
      <c r="R241" s="26" t="inlineStr">
        <is>
          <t>Good finish</t>
        </is>
      </c>
      <c r="S241" s="26" t="inlineStr">
        <is>
          <t>Yes</t>
        </is>
      </c>
      <c r="T241" s="27" t="n"/>
      <c r="U241" s="28" t="inlineStr">
        <is>
          <t>No</t>
        </is>
      </c>
      <c r="V241" s="29">
        <f>IF(N241="","",IF(Q241="Yes","❌ Disc",IF(P241="No","⚠ Missing",IF(S241="Yes","✓ OK","⚠ Check"))))</f>
        <v/>
      </c>
      <c r="W241" s="65" t="n">
        <v>46248</v>
      </c>
      <c r="X241" s="30" t="inlineStr">
        <is>
          <t>Sunil CR</t>
        </is>
      </c>
      <c r="Y241" s="30" t="inlineStr">
        <is>
          <t>Yes</t>
        </is>
      </c>
      <c r="Z241" s="30" t="n"/>
      <c r="AA241" s="30" t="inlineStr">
        <is>
          <t>Good finish</t>
        </is>
      </c>
      <c r="AB241" s="30" t="inlineStr">
        <is>
          <t>Yes</t>
        </is>
      </c>
      <c r="AC241" s="27" t="n"/>
      <c r="AD241" s="31" t="inlineStr">
        <is>
          <t>No</t>
        </is>
      </c>
      <c r="AE241" s="32">
        <f>IF(W241="","",IF(Z241="Yes","❌ Disc",IF(Y241="No","⚠ Missing",IF(AB241="Yes","✓ OK","⚠ Check"))))</f>
        <v/>
      </c>
      <c r="AF241" s="33" t="n"/>
      <c r="AG241" s="33" t="n"/>
      <c r="AH241" s="33" t="n"/>
      <c r="AI241" s="33" t="n"/>
      <c r="AJ241" s="33" t="n"/>
      <c r="AK241" s="33" t="n"/>
      <c r="AL241" s="27" t="n"/>
      <c r="AM241" s="34" t="n"/>
      <c r="AN241" s="35">
        <f>IF(AF241="","",IF(AI241="Yes","❌ Disc",IF(AH241="No","⚠ Missing",IF(AK241="Yes","✓ OK","⚠ Check"))))</f>
        <v/>
      </c>
      <c r="AO241" s="36" t="n"/>
      <c r="AP241" s="36" t="n"/>
      <c r="AQ241" s="36" t="n"/>
      <c r="AR241" s="36" t="n"/>
      <c r="AS241" s="36" t="n"/>
      <c r="AT241" s="36" t="n"/>
      <c r="AU241" s="27" t="n"/>
      <c r="AV241" s="37" t="n"/>
      <c r="AW241" s="38">
        <f>IF(AO241="","",IF(AR241="Yes","❌ Disc",IF(AQ241="No","⚠ Missing",IF(AT241="Yes","✓ OK","⚠ Check"))))</f>
        <v/>
      </c>
    </row>
    <row r="242" ht="18" customHeight="1" s="46">
      <c r="A242" s="39" t="n">
        <v>238</v>
      </c>
      <c r="B242" s="40" t="inlineStr">
        <is>
          <t>BD-VRM-2026-0157</t>
        </is>
      </c>
      <c r="C242" s="41" t="inlineStr">
        <is>
          <t>Excel - Aurora 2 Wallpaper 4044-2</t>
        </is>
      </c>
      <c r="D242" s="39" t="inlineStr">
        <is>
          <t>Excel</t>
        </is>
      </c>
      <c r="E242" s="43" t="n">
        <v>46125</v>
      </c>
      <c r="F242" s="26" t="inlineStr">
        <is>
          <t>Sunil CR</t>
        </is>
      </c>
      <c r="G242" s="26" t="inlineStr">
        <is>
          <t>Yes</t>
        </is>
      </c>
      <c r="H242" s="26" t="inlineStr">
        <is>
          <t>No</t>
        </is>
      </c>
      <c r="I242" s="26" t="inlineStr">
        <is>
          <t>Good finish</t>
        </is>
      </c>
      <c r="J242" s="26" t="inlineStr">
        <is>
          <t>Yes</t>
        </is>
      </c>
      <c r="K242" s="27" t="n"/>
      <c r="L242" s="28" t="inlineStr">
        <is>
          <t>No</t>
        </is>
      </c>
      <c r="M242" s="29">
        <f>IF(E242="","",IF(H242="Yes","❌ Disc",IF(G242="No","⚠ Missing",IF(J242="Yes","✓ OK","⚠ Check"))))</f>
        <v/>
      </c>
      <c r="N242" s="43" t="n">
        <v>46193</v>
      </c>
      <c r="O242" s="26" t="inlineStr">
        <is>
          <t>Sunil CR</t>
        </is>
      </c>
      <c r="P242" s="26" t="inlineStr">
        <is>
          <t>Yes</t>
        </is>
      </c>
      <c r="Q242" s="26" t="inlineStr">
        <is>
          <t>No</t>
        </is>
      </c>
      <c r="R242" s="26" t="inlineStr">
        <is>
          <t>Good finish</t>
        </is>
      </c>
      <c r="S242" s="26" t="inlineStr">
        <is>
          <t>Yes</t>
        </is>
      </c>
      <c r="T242" s="27" t="n"/>
      <c r="U242" s="28" t="inlineStr">
        <is>
          <t>No</t>
        </is>
      </c>
      <c r="V242" s="29">
        <f>IF(N242="","",IF(Q242="Yes","❌ Disc",IF(P242="No","⚠ Missing",IF(S242="Yes","✓ OK","⚠ Check"))))</f>
        <v/>
      </c>
      <c r="W242" s="65" t="n">
        <v>46248</v>
      </c>
      <c r="X242" s="30" t="inlineStr">
        <is>
          <t>Sunil CR</t>
        </is>
      </c>
      <c r="Y242" s="30" t="inlineStr">
        <is>
          <t>Yes</t>
        </is>
      </c>
      <c r="Z242" s="30" t="n"/>
      <c r="AA242" s="30" t="inlineStr">
        <is>
          <t>Good finish</t>
        </is>
      </c>
      <c r="AB242" s="30" t="inlineStr">
        <is>
          <t>Yes</t>
        </is>
      </c>
      <c r="AC242" s="27" t="n"/>
      <c r="AD242" s="31" t="inlineStr">
        <is>
          <t>No</t>
        </is>
      </c>
      <c r="AE242" s="32">
        <f>IF(W242="","",IF(Z242="Yes","❌ Disc",IF(Y242="No","⚠ Missing",IF(AB242="Yes","✓ OK","⚠ Check"))))</f>
        <v/>
      </c>
      <c r="AF242" s="33" t="n"/>
      <c r="AG242" s="33" t="n"/>
      <c r="AH242" s="33" t="n"/>
      <c r="AI242" s="33" t="n"/>
      <c r="AJ242" s="33" t="n"/>
      <c r="AK242" s="33" t="n"/>
      <c r="AL242" s="27" t="n"/>
      <c r="AM242" s="34" t="n"/>
      <c r="AN242" s="35">
        <f>IF(AF242="","",IF(AI242="Yes","❌ Disc",IF(AH242="No","⚠ Missing",IF(AK242="Yes","✓ OK","⚠ Check"))))</f>
        <v/>
      </c>
      <c r="AO242" s="36" t="n"/>
      <c r="AP242" s="36" t="n"/>
      <c r="AQ242" s="36" t="n"/>
      <c r="AR242" s="36" t="n"/>
      <c r="AS242" s="36" t="n"/>
      <c r="AT242" s="36" t="n"/>
      <c r="AU242" s="27" t="n"/>
      <c r="AV242" s="37" t="n"/>
      <c r="AW242" s="38">
        <f>IF(AO242="","",IF(AR242="Yes","❌ Disc",IF(AQ242="No","⚠ Missing",IF(AT242="Yes","✓ OK","⚠ Check"))))</f>
        <v/>
      </c>
    </row>
    <row r="243" ht="18" customHeight="1" s="46">
      <c r="A243" s="23" t="n">
        <v>239</v>
      </c>
      <c r="B243" s="24" t="inlineStr">
        <is>
          <t>BD-VRM-2026-0158</t>
        </is>
      </c>
      <c r="C243" s="25" t="inlineStr">
        <is>
          <t>Excel - Aurora 2 Wallpaper 4044-3</t>
        </is>
      </c>
      <c r="D243" s="23" t="inlineStr">
        <is>
          <t>Excel</t>
        </is>
      </c>
      <c r="E243" s="43" t="n">
        <v>46125</v>
      </c>
      <c r="F243" s="26" t="inlineStr">
        <is>
          <t>Sunil CR</t>
        </is>
      </c>
      <c r="G243" s="26" t="inlineStr">
        <is>
          <t>Yes</t>
        </is>
      </c>
      <c r="H243" s="26" t="inlineStr">
        <is>
          <t>No</t>
        </is>
      </c>
      <c r="I243" s="26" t="inlineStr">
        <is>
          <t>Good finish</t>
        </is>
      </c>
      <c r="J243" s="26" t="inlineStr">
        <is>
          <t>Yes</t>
        </is>
      </c>
      <c r="K243" s="27" t="n"/>
      <c r="L243" s="28" t="inlineStr">
        <is>
          <t>No</t>
        </is>
      </c>
      <c r="M243" s="29">
        <f>IF(E243="","",IF(H243="Yes","❌ Disc",IF(G243="No","⚠ Missing",IF(J243="Yes","✓ OK","⚠ Check"))))</f>
        <v/>
      </c>
      <c r="N243" s="43" t="n">
        <v>46193</v>
      </c>
      <c r="O243" s="26" t="inlineStr">
        <is>
          <t>Sunil CR</t>
        </is>
      </c>
      <c r="P243" s="26" t="inlineStr">
        <is>
          <t>Yes</t>
        </is>
      </c>
      <c r="Q243" s="26" t="inlineStr">
        <is>
          <t>No</t>
        </is>
      </c>
      <c r="R243" s="26" t="inlineStr">
        <is>
          <t>Good finish</t>
        </is>
      </c>
      <c r="S243" s="26" t="inlineStr">
        <is>
          <t>Yes</t>
        </is>
      </c>
      <c r="T243" s="27" t="n"/>
      <c r="U243" s="28" t="inlineStr">
        <is>
          <t>No</t>
        </is>
      </c>
      <c r="V243" s="29">
        <f>IF(N243="","",IF(Q243="Yes","❌ Disc",IF(P243="No","⚠ Missing",IF(S243="Yes","✓ OK","⚠ Check"))))</f>
        <v/>
      </c>
      <c r="W243" s="65" t="n">
        <v>46248</v>
      </c>
      <c r="X243" s="30" t="inlineStr">
        <is>
          <t>Sunil CR</t>
        </is>
      </c>
      <c r="Y243" s="30" t="inlineStr">
        <is>
          <t>Yes</t>
        </is>
      </c>
      <c r="Z243" s="30" t="n"/>
      <c r="AA243" s="30" t="inlineStr">
        <is>
          <t>Good finish</t>
        </is>
      </c>
      <c r="AB243" s="30" t="inlineStr">
        <is>
          <t>Yes</t>
        </is>
      </c>
      <c r="AC243" s="27" t="n"/>
      <c r="AD243" s="31" t="inlineStr">
        <is>
          <t>No</t>
        </is>
      </c>
      <c r="AE243" s="32">
        <f>IF(W243="","",IF(Z243="Yes","❌ Disc",IF(Y243="No","⚠ Missing",IF(AB243="Yes","✓ OK","⚠ Check"))))</f>
        <v/>
      </c>
      <c r="AF243" s="33" t="n"/>
      <c r="AG243" s="33" t="n"/>
      <c r="AH243" s="33" t="n"/>
      <c r="AI243" s="33" t="n"/>
      <c r="AJ243" s="33" t="n"/>
      <c r="AK243" s="33" t="n"/>
      <c r="AL243" s="27" t="n"/>
      <c r="AM243" s="34" t="n"/>
      <c r="AN243" s="35">
        <f>IF(AF243="","",IF(AI243="Yes","❌ Disc",IF(AH243="No","⚠ Missing",IF(AK243="Yes","✓ OK","⚠ Check"))))</f>
        <v/>
      </c>
      <c r="AO243" s="36" t="n"/>
      <c r="AP243" s="36" t="n"/>
      <c r="AQ243" s="36" t="n"/>
      <c r="AR243" s="36" t="n"/>
      <c r="AS243" s="36" t="n"/>
      <c r="AT243" s="36" t="n"/>
      <c r="AU243" s="27" t="n"/>
      <c r="AV243" s="37" t="n"/>
      <c r="AW243" s="38">
        <f>IF(AO243="","",IF(AR243="Yes","❌ Disc",IF(AQ243="No","⚠ Missing",IF(AT243="Yes","✓ OK","⚠ Check"))))</f>
        <v/>
      </c>
    </row>
    <row r="244" ht="18" customHeight="1" s="46">
      <c r="A244" s="39" t="n">
        <v>240</v>
      </c>
      <c r="B244" s="40" t="inlineStr">
        <is>
          <t>BD-VRM-2026-0378</t>
        </is>
      </c>
      <c r="C244" s="41" t="inlineStr">
        <is>
          <t>Excel - Deshaj Wallpaper 7800-1</t>
        </is>
      </c>
      <c r="D244" s="39" t="inlineStr">
        <is>
          <t>Excel</t>
        </is>
      </c>
      <c r="E244" s="43" t="n">
        <v>46125</v>
      </c>
      <c r="F244" s="26" t="inlineStr">
        <is>
          <t>Sunil CR</t>
        </is>
      </c>
      <c r="G244" s="26" t="inlineStr">
        <is>
          <t>Yes</t>
        </is>
      </c>
      <c r="H244" s="26" t="inlineStr">
        <is>
          <t>No</t>
        </is>
      </c>
      <c r="I244" s="26" t="inlineStr">
        <is>
          <t>Good finish</t>
        </is>
      </c>
      <c r="J244" s="26" t="inlineStr">
        <is>
          <t>Yes</t>
        </is>
      </c>
      <c r="K244" s="27" t="n"/>
      <c r="L244" s="28" t="inlineStr">
        <is>
          <t>No</t>
        </is>
      </c>
      <c r="M244" s="29">
        <f>IF(E244="","",IF(H244="Yes","❌ Disc",IF(G244="No","⚠ Missing",IF(J244="Yes","✓ OK","⚠ Check"))))</f>
        <v/>
      </c>
      <c r="N244" s="43" t="n">
        <v>46193</v>
      </c>
      <c r="O244" s="26" t="inlineStr">
        <is>
          <t>Sunil CR</t>
        </is>
      </c>
      <c r="P244" s="26" t="inlineStr">
        <is>
          <t>Yes</t>
        </is>
      </c>
      <c r="Q244" s="26" t="inlineStr">
        <is>
          <t>No</t>
        </is>
      </c>
      <c r="R244" s="26" t="inlineStr">
        <is>
          <t>Good finish</t>
        </is>
      </c>
      <c r="S244" s="26" t="inlineStr">
        <is>
          <t>Yes</t>
        </is>
      </c>
      <c r="T244" s="27" t="n"/>
      <c r="U244" s="28" t="inlineStr">
        <is>
          <t>No</t>
        </is>
      </c>
      <c r="V244" s="29">
        <f>IF(N244="","",IF(Q244="Yes","❌ Disc",IF(P244="No","⚠ Missing",IF(S244="Yes","✓ OK","⚠ Check"))))</f>
        <v/>
      </c>
      <c r="W244" s="65" t="n">
        <v>46248</v>
      </c>
      <c r="X244" s="30" t="inlineStr">
        <is>
          <t>Sunil CR</t>
        </is>
      </c>
      <c r="Y244" s="30" t="inlineStr">
        <is>
          <t>Yes</t>
        </is>
      </c>
      <c r="Z244" s="30" t="n"/>
      <c r="AA244" s="30" t="inlineStr">
        <is>
          <t>Good finish</t>
        </is>
      </c>
      <c r="AB244" s="30" t="inlineStr">
        <is>
          <t>Yes</t>
        </is>
      </c>
      <c r="AC244" s="27" t="n"/>
      <c r="AD244" s="31" t="inlineStr">
        <is>
          <t>No</t>
        </is>
      </c>
      <c r="AE244" s="32">
        <f>IF(W244="","",IF(Z244="Yes","❌ Disc",IF(Y244="No","⚠ Missing",IF(AB244="Yes","✓ OK","⚠ Check"))))</f>
        <v/>
      </c>
      <c r="AF244" s="33" t="n"/>
      <c r="AG244" s="33" t="n"/>
      <c r="AH244" s="33" t="n"/>
      <c r="AI244" s="33" t="n"/>
      <c r="AJ244" s="33" t="n"/>
      <c r="AK244" s="33" t="n"/>
      <c r="AL244" s="27" t="n"/>
      <c r="AM244" s="34" t="n"/>
      <c r="AN244" s="35">
        <f>IF(AF244="","",IF(AI244="Yes","❌ Disc",IF(AH244="No","⚠ Missing",IF(AK244="Yes","✓ OK","⚠ Check"))))</f>
        <v/>
      </c>
      <c r="AO244" s="36" t="n"/>
      <c r="AP244" s="36" t="n"/>
      <c r="AQ244" s="36" t="n"/>
      <c r="AR244" s="36" t="n"/>
      <c r="AS244" s="36" t="n"/>
      <c r="AT244" s="36" t="n"/>
      <c r="AU244" s="27" t="n"/>
      <c r="AV244" s="37" t="n"/>
      <c r="AW244" s="38">
        <f>IF(AO244="","",IF(AR244="Yes","❌ Disc",IF(AQ244="No","⚠ Missing",IF(AT244="Yes","✓ OK","⚠ Check"))))</f>
        <v/>
      </c>
    </row>
    <row r="245" ht="18" customHeight="1" s="46">
      <c r="A245" s="23" t="n">
        <v>241</v>
      </c>
      <c r="B245" s="24" t="inlineStr">
        <is>
          <t>BD-VRM-2026-0379</t>
        </is>
      </c>
      <c r="C245" s="25" t="inlineStr">
        <is>
          <t>Excel - Deshaj Wallpaper 7800-2</t>
        </is>
      </c>
      <c r="D245" s="23" t="inlineStr">
        <is>
          <t>Excel</t>
        </is>
      </c>
      <c r="E245" s="43" t="n">
        <v>46125</v>
      </c>
      <c r="F245" s="26" t="inlineStr">
        <is>
          <t>Sunil CR</t>
        </is>
      </c>
      <c r="G245" s="26" t="inlineStr">
        <is>
          <t>Yes</t>
        </is>
      </c>
      <c r="H245" s="26" t="inlineStr">
        <is>
          <t>No</t>
        </is>
      </c>
      <c r="I245" s="26" t="inlineStr">
        <is>
          <t>Good finish</t>
        </is>
      </c>
      <c r="J245" s="26" t="inlineStr">
        <is>
          <t>Yes</t>
        </is>
      </c>
      <c r="K245" s="27" t="n"/>
      <c r="L245" s="28" t="inlineStr">
        <is>
          <t>No</t>
        </is>
      </c>
      <c r="M245" s="29">
        <f>IF(E245="","",IF(H245="Yes","❌ Disc",IF(G245="No","⚠ Missing",IF(J245="Yes","✓ OK","⚠ Check"))))</f>
        <v/>
      </c>
      <c r="N245" s="43" t="n">
        <v>46193</v>
      </c>
      <c r="O245" s="26" t="inlineStr">
        <is>
          <t>Sunil CR</t>
        </is>
      </c>
      <c r="P245" s="26" t="inlineStr">
        <is>
          <t>Yes</t>
        </is>
      </c>
      <c r="Q245" s="26" t="inlineStr">
        <is>
          <t>No</t>
        </is>
      </c>
      <c r="R245" s="26" t="inlineStr">
        <is>
          <t>Good finish</t>
        </is>
      </c>
      <c r="S245" s="26" t="inlineStr">
        <is>
          <t>Yes</t>
        </is>
      </c>
      <c r="T245" s="27" t="n"/>
      <c r="U245" s="28" t="inlineStr">
        <is>
          <t>No</t>
        </is>
      </c>
      <c r="V245" s="29">
        <f>IF(N245="","",IF(Q245="Yes","❌ Disc",IF(P245="No","⚠ Missing",IF(S245="Yes","✓ OK","⚠ Check"))))</f>
        <v/>
      </c>
      <c r="W245" s="65" t="n">
        <v>46248</v>
      </c>
      <c r="X245" s="30" t="inlineStr">
        <is>
          <t>Sunil CR</t>
        </is>
      </c>
      <c r="Y245" s="30" t="inlineStr">
        <is>
          <t>Yes</t>
        </is>
      </c>
      <c r="Z245" s="30" t="n"/>
      <c r="AA245" s="30" t="inlineStr">
        <is>
          <t>Good finish</t>
        </is>
      </c>
      <c r="AB245" s="30" t="inlineStr">
        <is>
          <t>Yes</t>
        </is>
      </c>
      <c r="AC245" s="27" t="n"/>
      <c r="AD245" s="31" t="inlineStr">
        <is>
          <t>No</t>
        </is>
      </c>
      <c r="AE245" s="32">
        <f>IF(W245="","",IF(Z245="Yes","❌ Disc",IF(Y245="No","⚠ Missing",IF(AB245="Yes","✓ OK","⚠ Check"))))</f>
        <v/>
      </c>
      <c r="AF245" s="33" t="n"/>
      <c r="AG245" s="33" t="n"/>
      <c r="AH245" s="33" t="n"/>
      <c r="AI245" s="33" t="n"/>
      <c r="AJ245" s="33" t="n"/>
      <c r="AK245" s="33" t="n"/>
      <c r="AL245" s="27" t="n"/>
      <c r="AM245" s="34" t="n"/>
      <c r="AN245" s="35">
        <f>IF(AF245="","",IF(AI245="Yes","❌ Disc",IF(AH245="No","⚠ Missing",IF(AK245="Yes","✓ OK","⚠ Check"))))</f>
        <v/>
      </c>
      <c r="AO245" s="36" t="n"/>
      <c r="AP245" s="36" t="n"/>
      <c r="AQ245" s="36" t="n"/>
      <c r="AR245" s="36" t="n"/>
      <c r="AS245" s="36" t="n"/>
      <c r="AT245" s="36" t="n"/>
      <c r="AU245" s="27" t="n"/>
      <c r="AV245" s="37" t="n"/>
      <c r="AW245" s="38">
        <f>IF(AO245="","",IF(AR245="Yes","❌ Disc",IF(AQ245="No","⚠ Missing",IF(AT245="Yes","✓ OK","⚠ Check"))))</f>
        <v/>
      </c>
    </row>
    <row r="246" ht="18" customHeight="1" s="46">
      <c r="A246" s="39" t="n">
        <v>242</v>
      </c>
      <c r="B246" s="40" t="inlineStr">
        <is>
          <t>BD-VRM-2026-0380</t>
        </is>
      </c>
      <c r="C246" s="41" t="inlineStr">
        <is>
          <t>Excel - Deshaj Wallpaper 7800-3</t>
        </is>
      </c>
      <c r="D246" s="39" t="inlineStr">
        <is>
          <t>Excel</t>
        </is>
      </c>
      <c r="E246" s="43" t="n">
        <v>46125</v>
      </c>
      <c r="F246" s="26" t="inlineStr">
        <is>
          <t>Sunil CR</t>
        </is>
      </c>
      <c r="G246" s="26" t="inlineStr">
        <is>
          <t>Yes</t>
        </is>
      </c>
      <c r="H246" s="26" t="inlineStr">
        <is>
          <t>No</t>
        </is>
      </c>
      <c r="I246" s="26" t="inlineStr">
        <is>
          <t>Good finish</t>
        </is>
      </c>
      <c r="J246" s="26" t="inlineStr">
        <is>
          <t>Yes</t>
        </is>
      </c>
      <c r="K246" s="27" t="n"/>
      <c r="L246" s="28" t="inlineStr">
        <is>
          <t>No</t>
        </is>
      </c>
      <c r="M246" s="29">
        <f>IF(E246="","",IF(H246="Yes","❌ Disc",IF(G246="No","⚠ Missing",IF(J246="Yes","✓ OK","⚠ Check"))))</f>
        <v/>
      </c>
      <c r="N246" s="43" t="n">
        <v>46193</v>
      </c>
      <c r="O246" s="26" t="inlineStr">
        <is>
          <t>Sunil CR</t>
        </is>
      </c>
      <c r="P246" s="26" t="inlineStr">
        <is>
          <t>Yes</t>
        </is>
      </c>
      <c r="Q246" s="26" t="inlineStr">
        <is>
          <t>No</t>
        </is>
      </c>
      <c r="R246" s="26" t="inlineStr">
        <is>
          <t>Good finish</t>
        </is>
      </c>
      <c r="S246" s="26" t="inlineStr">
        <is>
          <t>Yes</t>
        </is>
      </c>
      <c r="T246" s="27" t="n"/>
      <c r="U246" s="28" t="inlineStr">
        <is>
          <t>No</t>
        </is>
      </c>
      <c r="V246" s="29">
        <f>IF(N246="","",IF(Q246="Yes","❌ Disc",IF(P246="No","⚠ Missing",IF(S246="Yes","✓ OK","⚠ Check"))))</f>
        <v/>
      </c>
      <c r="W246" s="65" t="n">
        <v>46248</v>
      </c>
      <c r="X246" s="30" t="inlineStr">
        <is>
          <t>Sunil CR</t>
        </is>
      </c>
      <c r="Y246" s="30" t="inlineStr">
        <is>
          <t>Yes</t>
        </is>
      </c>
      <c r="Z246" s="30" t="n"/>
      <c r="AA246" s="30" t="inlineStr">
        <is>
          <t>Good finish</t>
        </is>
      </c>
      <c r="AB246" s="30" t="inlineStr">
        <is>
          <t>Yes</t>
        </is>
      </c>
      <c r="AC246" s="27" t="n"/>
      <c r="AD246" s="31" t="inlineStr">
        <is>
          <t>No</t>
        </is>
      </c>
      <c r="AE246" s="32">
        <f>IF(W246="","",IF(Z246="Yes","❌ Disc",IF(Y246="No","⚠ Missing",IF(AB246="Yes","✓ OK","⚠ Check"))))</f>
        <v/>
      </c>
      <c r="AF246" s="33" t="n"/>
      <c r="AG246" s="33" t="n"/>
      <c r="AH246" s="33" t="n"/>
      <c r="AI246" s="33" t="n"/>
      <c r="AJ246" s="33" t="n"/>
      <c r="AK246" s="33" t="n"/>
      <c r="AL246" s="27" t="n"/>
      <c r="AM246" s="34" t="n"/>
      <c r="AN246" s="35">
        <f>IF(AF246="","",IF(AI246="Yes","❌ Disc",IF(AH246="No","⚠ Missing",IF(AK246="Yes","✓ OK","⚠ Check"))))</f>
        <v/>
      </c>
      <c r="AO246" s="36" t="n"/>
      <c r="AP246" s="36" t="n"/>
      <c r="AQ246" s="36" t="n"/>
      <c r="AR246" s="36" t="n"/>
      <c r="AS246" s="36" t="n"/>
      <c r="AT246" s="36" t="n"/>
      <c r="AU246" s="27" t="n"/>
      <c r="AV246" s="37" t="n"/>
      <c r="AW246" s="38">
        <f>IF(AO246="","",IF(AR246="Yes","❌ Disc",IF(AQ246="No","⚠ Missing",IF(AT246="Yes","✓ OK","⚠ Check"))))</f>
        <v/>
      </c>
    </row>
    <row r="247" ht="18" customHeight="1" s="46">
      <c r="A247" s="23" t="n">
        <v>243</v>
      </c>
      <c r="B247" s="24" t="inlineStr">
        <is>
          <t>BD-VRM-2026-0381</t>
        </is>
      </c>
      <c r="C247" s="25" t="inlineStr">
        <is>
          <t>Excel - Deshaj Wallpaper 7800-4</t>
        </is>
      </c>
      <c r="D247" s="23" t="inlineStr">
        <is>
          <t>Excel</t>
        </is>
      </c>
      <c r="E247" s="43" t="n">
        <v>46125</v>
      </c>
      <c r="F247" s="26" t="inlineStr">
        <is>
          <t>Sunil CR</t>
        </is>
      </c>
      <c r="G247" s="26" t="inlineStr">
        <is>
          <t>Yes</t>
        </is>
      </c>
      <c r="H247" s="26" t="inlineStr">
        <is>
          <t>No</t>
        </is>
      </c>
      <c r="I247" s="26" t="inlineStr">
        <is>
          <t>Good finish</t>
        </is>
      </c>
      <c r="J247" s="26" t="inlineStr">
        <is>
          <t>Yes</t>
        </is>
      </c>
      <c r="K247" s="27" t="n"/>
      <c r="L247" s="28" t="inlineStr">
        <is>
          <t>No</t>
        </is>
      </c>
      <c r="M247" s="29">
        <f>IF(E247="","",IF(H247="Yes","❌ Disc",IF(G247="No","⚠ Missing",IF(J247="Yes","✓ OK","⚠ Check"))))</f>
        <v/>
      </c>
      <c r="N247" s="43" t="n">
        <v>46193</v>
      </c>
      <c r="O247" s="26" t="inlineStr">
        <is>
          <t>Sunil CR</t>
        </is>
      </c>
      <c r="P247" s="26" t="inlineStr">
        <is>
          <t>Yes</t>
        </is>
      </c>
      <c r="Q247" s="26" t="inlineStr">
        <is>
          <t>No</t>
        </is>
      </c>
      <c r="R247" s="26" t="inlineStr">
        <is>
          <t>Good finish</t>
        </is>
      </c>
      <c r="S247" s="26" t="inlineStr">
        <is>
          <t>Yes</t>
        </is>
      </c>
      <c r="T247" s="27" t="n"/>
      <c r="U247" s="28" t="inlineStr">
        <is>
          <t>No</t>
        </is>
      </c>
      <c r="V247" s="29">
        <f>IF(N247="","",IF(Q247="Yes","❌ Disc",IF(P247="No","⚠ Missing",IF(S247="Yes","✓ OK","⚠ Check"))))</f>
        <v/>
      </c>
      <c r="W247" s="65" t="n">
        <v>46248</v>
      </c>
      <c r="X247" s="30" t="inlineStr">
        <is>
          <t>Sunil CR</t>
        </is>
      </c>
      <c r="Y247" s="30" t="inlineStr">
        <is>
          <t>Yes</t>
        </is>
      </c>
      <c r="Z247" s="30" t="n"/>
      <c r="AA247" s="30" t="inlineStr">
        <is>
          <t>Good finish</t>
        </is>
      </c>
      <c r="AB247" s="30" t="inlineStr">
        <is>
          <t>Yes</t>
        </is>
      </c>
      <c r="AC247" s="27" t="n"/>
      <c r="AD247" s="31" t="inlineStr">
        <is>
          <t>No</t>
        </is>
      </c>
      <c r="AE247" s="32">
        <f>IF(W247="","",IF(Z247="Yes","❌ Disc",IF(Y247="No","⚠ Missing",IF(AB247="Yes","✓ OK","⚠ Check"))))</f>
        <v/>
      </c>
      <c r="AF247" s="33" t="n"/>
      <c r="AG247" s="33" t="n"/>
      <c r="AH247" s="33" t="n"/>
      <c r="AI247" s="33" t="n"/>
      <c r="AJ247" s="33" t="n"/>
      <c r="AK247" s="33" t="n"/>
      <c r="AL247" s="27" t="n"/>
      <c r="AM247" s="34" t="n"/>
      <c r="AN247" s="35">
        <f>IF(AF247="","",IF(AI247="Yes","❌ Disc",IF(AH247="No","⚠ Missing",IF(AK247="Yes","✓ OK","⚠ Check"))))</f>
        <v/>
      </c>
      <c r="AO247" s="36" t="n"/>
      <c r="AP247" s="36" t="n"/>
      <c r="AQ247" s="36" t="n"/>
      <c r="AR247" s="36" t="n"/>
      <c r="AS247" s="36" t="n"/>
      <c r="AT247" s="36" t="n"/>
      <c r="AU247" s="27" t="n"/>
      <c r="AV247" s="37" t="n"/>
      <c r="AW247" s="38">
        <f>IF(AO247="","",IF(AR247="Yes","❌ Disc",IF(AQ247="No","⚠ Missing",IF(AT247="Yes","✓ OK","⚠ Check"))))</f>
        <v/>
      </c>
    </row>
    <row r="248" ht="18" customHeight="1" s="46">
      <c r="A248" s="39" t="n">
        <v>244</v>
      </c>
      <c r="B248" s="40" t="inlineStr">
        <is>
          <t>BD-VRM-2026-0382</t>
        </is>
      </c>
      <c r="C248" s="41" t="inlineStr">
        <is>
          <t>Excel - Deshaj Wallpaper 7800-5</t>
        </is>
      </c>
      <c r="D248" s="39" t="inlineStr">
        <is>
          <t>Excel</t>
        </is>
      </c>
      <c r="E248" s="43" t="n">
        <v>46125</v>
      </c>
      <c r="F248" s="26" t="inlineStr">
        <is>
          <t>Sunil CR</t>
        </is>
      </c>
      <c r="G248" s="26" t="inlineStr">
        <is>
          <t>Yes</t>
        </is>
      </c>
      <c r="H248" s="26" t="inlineStr">
        <is>
          <t>No</t>
        </is>
      </c>
      <c r="I248" s="26" t="inlineStr">
        <is>
          <t>Good finish</t>
        </is>
      </c>
      <c r="J248" s="26" t="inlineStr">
        <is>
          <t>Yes</t>
        </is>
      </c>
      <c r="K248" s="27" t="n"/>
      <c r="L248" s="28" t="inlineStr">
        <is>
          <t>No</t>
        </is>
      </c>
      <c r="M248" s="29">
        <f>IF(E248="","",IF(H248="Yes","❌ Disc",IF(G248="No","⚠ Missing",IF(J248="Yes","✓ OK","⚠ Check"))))</f>
        <v/>
      </c>
      <c r="N248" s="43" t="n">
        <v>46193</v>
      </c>
      <c r="O248" s="26" t="inlineStr">
        <is>
          <t>Sunil CR</t>
        </is>
      </c>
      <c r="P248" s="26" t="inlineStr">
        <is>
          <t>Yes</t>
        </is>
      </c>
      <c r="Q248" s="26" t="inlineStr">
        <is>
          <t>No</t>
        </is>
      </c>
      <c r="R248" s="26" t="inlineStr">
        <is>
          <t>Good finish</t>
        </is>
      </c>
      <c r="S248" s="26" t="inlineStr">
        <is>
          <t>Yes</t>
        </is>
      </c>
      <c r="T248" s="27" t="n"/>
      <c r="U248" s="28" t="inlineStr">
        <is>
          <t>No</t>
        </is>
      </c>
      <c r="V248" s="29">
        <f>IF(N248="","",IF(Q248="Yes","❌ Disc",IF(P248="No","⚠ Missing",IF(S248="Yes","✓ OK","⚠ Check"))))</f>
        <v/>
      </c>
      <c r="W248" s="65" t="n">
        <v>46248</v>
      </c>
      <c r="X248" s="30" t="inlineStr">
        <is>
          <t>Sunil CR</t>
        </is>
      </c>
      <c r="Y248" s="30" t="inlineStr">
        <is>
          <t>Yes</t>
        </is>
      </c>
      <c r="Z248" s="30" t="n"/>
      <c r="AA248" s="30" t="inlineStr">
        <is>
          <t>Good finish</t>
        </is>
      </c>
      <c r="AB248" s="30" t="inlineStr">
        <is>
          <t>Yes</t>
        </is>
      </c>
      <c r="AC248" s="27" t="n"/>
      <c r="AD248" s="31" t="inlineStr">
        <is>
          <t>No</t>
        </is>
      </c>
      <c r="AE248" s="32">
        <f>IF(W248="","",IF(Z248="Yes","❌ Disc",IF(Y248="No","⚠ Missing",IF(AB248="Yes","✓ OK","⚠ Check"))))</f>
        <v/>
      </c>
      <c r="AF248" s="33" t="n"/>
      <c r="AG248" s="33" t="n"/>
      <c r="AH248" s="33" t="n"/>
      <c r="AI248" s="33" t="n"/>
      <c r="AJ248" s="33" t="n"/>
      <c r="AK248" s="33" t="n"/>
      <c r="AL248" s="27" t="n"/>
      <c r="AM248" s="34" t="n"/>
      <c r="AN248" s="35">
        <f>IF(AF248="","",IF(AI248="Yes","❌ Disc",IF(AH248="No","⚠ Missing",IF(AK248="Yes","✓ OK","⚠ Check"))))</f>
        <v/>
      </c>
      <c r="AO248" s="36" t="n"/>
      <c r="AP248" s="36" t="n"/>
      <c r="AQ248" s="36" t="n"/>
      <c r="AR248" s="36" t="n"/>
      <c r="AS248" s="36" t="n"/>
      <c r="AT248" s="36" t="n"/>
      <c r="AU248" s="27" t="n"/>
      <c r="AV248" s="37" t="n"/>
      <c r="AW248" s="38">
        <f>IF(AO248="","",IF(AR248="Yes","❌ Disc",IF(AQ248="No","⚠ Missing",IF(AT248="Yes","✓ OK","⚠ Check"))))</f>
        <v/>
      </c>
    </row>
    <row r="249" ht="18" customHeight="1" s="46">
      <c r="A249" s="23" t="n">
        <v>245</v>
      </c>
      <c r="B249" s="24" t="inlineStr">
        <is>
          <t>BD-VRM-2026-0383</t>
        </is>
      </c>
      <c r="C249" s="25" t="inlineStr">
        <is>
          <t>Excel - Deshaj Wallpaper 7801-1</t>
        </is>
      </c>
      <c r="D249" s="23" t="inlineStr">
        <is>
          <t>Excel</t>
        </is>
      </c>
      <c r="E249" s="43" t="n">
        <v>46125</v>
      </c>
      <c r="F249" s="26" t="inlineStr">
        <is>
          <t>Sunil CR</t>
        </is>
      </c>
      <c r="G249" s="26" t="inlineStr">
        <is>
          <t>Yes</t>
        </is>
      </c>
      <c r="H249" s="26" t="inlineStr">
        <is>
          <t>No</t>
        </is>
      </c>
      <c r="I249" s="26" t="inlineStr">
        <is>
          <t>Good finish</t>
        </is>
      </c>
      <c r="J249" s="26" t="inlineStr">
        <is>
          <t>Yes</t>
        </is>
      </c>
      <c r="K249" s="27" t="n"/>
      <c r="L249" s="28" t="inlineStr">
        <is>
          <t>No</t>
        </is>
      </c>
      <c r="M249" s="29">
        <f>IF(E249="","",IF(H249="Yes","❌ Disc",IF(G249="No","⚠ Missing",IF(J249="Yes","✓ OK","⚠ Check"))))</f>
        <v/>
      </c>
      <c r="N249" s="43" t="n">
        <v>46193</v>
      </c>
      <c r="O249" s="26" t="inlineStr">
        <is>
          <t>Sunil CR</t>
        </is>
      </c>
      <c r="P249" s="26" t="inlineStr">
        <is>
          <t>Yes</t>
        </is>
      </c>
      <c r="Q249" s="26" t="inlineStr">
        <is>
          <t>No</t>
        </is>
      </c>
      <c r="R249" s="26" t="inlineStr">
        <is>
          <t>Good finish</t>
        </is>
      </c>
      <c r="S249" s="26" t="inlineStr">
        <is>
          <t>Yes</t>
        </is>
      </c>
      <c r="T249" s="27" t="n"/>
      <c r="U249" s="28" t="inlineStr">
        <is>
          <t>No</t>
        </is>
      </c>
      <c r="V249" s="29">
        <f>IF(N249="","",IF(Q249="Yes","❌ Disc",IF(P249="No","⚠ Missing",IF(S249="Yes","✓ OK","⚠ Check"))))</f>
        <v/>
      </c>
      <c r="W249" s="65" t="n">
        <v>46248</v>
      </c>
      <c r="X249" s="30" t="inlineStr">
        <is>
          <t>Sunil CR</t>
        </is>
      </c>
      <c r="Y249" s="30" t="inlineStr">
        <is>
          <t>Yes</t>
        </is>
      </c>
      <c r="Z249" s="30" t="n"/>
      <c r="AA249" s="30" t="inlineStr">
        <is>
          <t>Good finish</t>
        </is>
      </c>
      <c r="AB249" s="30" t="inlineStr">
        <is>
          <t>Yes</t>
        </is>
      </c>
      <c r="AC249" s="27" t="n"/>
      <c r="AD249" s="31" t="inlineStr">
        <is>
          <t>No</t>
        </is>
      </c>
      <c r="AE249" s="32">
        <f>IF(W249="","",IF(Z249="Yes","❌ Disc",IF(Y249="No","⚠ Missing",IF(AB249="Yes","✓ OK","⚠ Check"))))</f>
        <v/>
      </c>
      <c r="AF249" s="33" t="n"/>
      <c r="AG249" s="33" t="n"/>
      <c r="AH249" s="33" t="n"/>
      <c r="AI249" s="33" t="n"/>
      <c r="AJ249" s="33" t="n"/>
      <c r="AK249" s="33" t="n"/>
      <c r="AL249" s="27" t="n"/>
      <c r="AM249" s="34" t="n"/>
      <c r="AN249" s="35">
        <f>IF(AF249="","",IF(AI249="Yes","❌ Disc",IF(AH249="No","⚠ Missing",IF(AK249="Yes","✓ OK","⚠ Check"))))</f>
        <v/>
      </c>
      <c r="AO249" s="36" t="n"/>
      <c r="AP249" s="36" t="n"/>
      <c r="AQ249" s="36" t="n"/>
      <c r="AR249" s="36" t="n"/>
      <c r="AS249" s="36" t="n"/>
      <c r="AT249" s="36" t="n"/>
      <c r="AU249" s="27" t="n"/>
      <c r="AV249" s="37" t="n"/>
      <c r="AW249" s="38">
        <f>IF(AO249="","",IF(AR249="Yes","❌ Disc",IF(AQ249="No","⚠ Missing",IF(AT249="Yes","✓ OK","⚠ Check"))))</f>
        <v/>
      </c>
    </row>
    <row r="250" ht="18" customHeight="1" s="46">
      <c r="A250" s="39" t="n">
        <v>246</v>
      </c>
      <c r="B250" s="40" t="inlineStr">
        <is>
          <t>BD-VRM-2026-0384</t>
        </is>
      </c>
      <c r="C250" s="41" t="inlineStr">
        <is>
          <t>Excel - Deshaj Wallpaper 7801-2</t>
        </is>
      </c>
      <c r="D250" s="39" t="inlineStr">
        <is>
          <t>Excel</t>
        </is>
      </c>
      <c r="E250" s="43" t="n">
        <v>46125</v>
      </c>
      <c r="F250" s="26" t="inlineStr">
        <is>
          <t>Sunil CR</t>
        </is>
      </c>
      <c r="G250" s="26" t="inlineStr">
        <is>
          <t>Yes</t>
        </is>
      </c>
      <c r="H250" s="26" t="inlineStr">
        <is>
          <t>No</t>
        </is>
      </c>
      <c r="I250" s="26" t="inlineStr">
        <is>
          <t>Good finish</t>
        </is>
      </c>
      <c r="J250" s="26" t="inlineStr">
        <is>
          <t>Yes</t>
        </is>
      </c>
      <c r="K250" s="27" t="n"/>
      <c r="L250" s="28" t="inlineStr">
        <is>
          <t>No</t>
        </is>
      </c>
      <c r="M250" s="29">
        <f>IF(E250="","",IF(H250="Yes","❌ Disc",IF(G250="No","⚠ Missing",IF(J250="Yes","✓ OK","⚠ Check"))))</f>
        <v/>
      </c>
      <c r="N250" s="43" t="n">
        <v>46193</v>
      </c>
      <c r="O250" s="26" t="inlineStr">
        <is>
          <t>Sunil CR</t>
        </is>
      </c>
      <c r="P250" s="26" t="inlineStr">
        <is>
          <t>Yes</t>
        </is>
      </c>
      <c r="Q250" s="26" t="inlineStr">
        <is>
          <t>No</t>
        </is>
      </c>
      <c r="R250" s="26" t="inlineStr">
        <is>
          <t>Good finish</t>
        </is>
      </c>
      <c r="S250" s="26" t="inlineStr">
        <is>
          <t>Yes</t>
        </is>
      </c>
      <c r="T250" s="27" t="n"/>
      <c r="U250" s="28" t="inlineStr">
        <is>
          <t>No</t>
        </is>
      </c>
      <c r="V250" s="29">
        <f>IF(N250="","",IF(Q250="Yes","❌ Disc",IF(P250="No","⚠ Missing",IF(S250="Yes","✓ OK","⚠ Check"))))</f>
        <v/>
      </c>
      <c r="W250" s="65" t="n">
        <v>46248</v>
      </c>
      <c r="X250" s="30" t="inlineStr">
        <is>
          <t>Sunil CR</t>
        </is>
      </c>
      <c r="Y250" s="30" t="inlineStr">
        <is>
          <t>Yes</t>
        </is>
      </c>
      <c r="Z250" s="30" t="n"/>
      <c r="AA250" s="30" t="inlineStr">
        <is>
          <t>Good finish</t>
        </is>
      </c>
      <c r="AB250" s="30" t="inlineStr">
        <is>
          <t>Yes</t>
        </is>
      </c>
      <c r="AC250" s="27" t="n"/>
      <c r="AD250" s="31" t="inlineStr">
        <is>
          <t>No</t>
        </is>
      </c>
      <c r="AE250" s="32">
        <f>IF(W250="","",IF(Z250="Yes","❌ Disc",IF(Y250="No","⚠ Missing",IF(AB250="Yes","✓ OK","⚠ Check"))))</f>
        <v/>
      </c>
      <c r="AF250" s="33" t="n"/>
      <c r="AG250" s="33" t="n"/>
      <c r="AH250" s="33" t="n"/>
      <c r="AI250" s="33" t="n"/>
      <c r="AJ250" s="33" t="n"/>
      <c r="AK250" s="33" t="n"/>
      <c r="AL250" s="27" t="n"/>
      <c r="AM250" s="34" t="n"/>
      <c r="AN250" s="35">
        <f>IF(AF250="","",IF(AI250="Yes","❌ Disc",IF(AH250="No","⚠ Missing",IF(AK250="Yes","✓ OK","⚠ Check"))))</f>
        <v/>
      </c>
      <c r="AO250" s="36" t="n"/>
      <c r="AP250" s="36" t="n"/>
      <c r="AQ250" s="36" t="n"/>
      <c r="AR250" s="36" t="n"/>
      <c r="AS250" s="36" t="n"/>
      <c r="AT250" s="36" t="n"/>
      <c r="AU250" s="27" t="n"/>
      <c r="AV250" s="37" t="n"/>
      <c r="AW250" s="38">
        <f>IF(AO250="","",IF(AR250="Yes","❌ Disc",IF(AQ250="No","⚠ Missing",IF(AT250="Yes","✓ OK","⚠ Check"))))</f>
        <v/>
      </c>
    </row>
    <row r="251" ht="18" customHeight="1" s="46">
      <c r="A251" s="23" t="n">
        <v>247</v>
      </c>
      <c r="B251" s="24" t="inlineStr">
        <is>
          <t>BD-VRM-2026-0385</t>
        </is>
      </c>
      <c r="C251" s="25" t="inlineStr">
        <is>
          <t>Excel - Deshaj Wallpaper 7801-3</t>
        </is>
      </c>
      <c r="D251" s="23" t="inlineStr">
        <is>
          <t>Excel</t>
        </is>
      </c>
      <c r="E251" s="43" t="n">
        <v>46125</v>
      </c>
      <c r="F251" s="26" t="inlineStr">
        <is>
          <t>Sunil CR</t>
        </is>
      </c>
      <c r="G251" s="26" t="inlineStr">
        <is>
          <t>Yes</t>
        </is>
      </c>
      <c r="H251" s="26" t="inlineStr">
        <is>
          <t>No</t>
        </is>
      </c>
      <c r="I251" s="26" t="inlineStr">
        <is>
          <t>Good finish</t>
        </is>
      </c>
      <c r="J251" s="26" t="inlineStr">
        <is>
          <t>Yes</t>
        </is>
      </c>
      <c r="K251" s="27" t="n"/>
      <c r="L251" s="28" t="inlineStr">
        <is>
          <t>No</t>
        </is>
      </c>
      <c r="M251" s="29">
        <f>IF(E251="","",IF(H251="Yes","❌ Disc",IF(G251="No","⚠ Missing",IF(J251="Yes","✓ OK","⚠ Check"))))</f>
        <v/>
      </c>
      <c r="N251" s="43" t="n">
        <v>46193</v>
      </c>
      <c r="O251" s="26" t="inlineStr">
        <is>
          <t>Sunil CR</t>
        </is>
      </c>
      <c r="P251" s="26" t="inlineStr">
        <is>
          <t>Yes</t>
        </is>
      </c>
      <c r="Q251" s="26" t="inlineStr">
        <is>
          <t>No</t>
        </is>
      </c>
      <c r="R251" s="26" t="inlineStr">
        <is>
          <t>Good finish</t>
        </is>
      </c>
      <c r="S251" s="26" t="inlineStr">
        <is>
          <t>Yes</t>
        </is>
      </c>
      <c r="T251" s="27" t="n"/>
      <c r="U251" s="28" t="inlineStr">
        <is>
          <t>No</t>
        </is>
      </c>
      <c r="V251" s="29">
        <f>IF(N251="","",IF(Q251="Yes","❌ Disc",IF(P251="No","⚠ Missing",IF(S251="Yes","✓ OK","⚠ Check"))))</f>
        <v/>
      </c>
      <c r="W251" s="65" t="n">
        <v>46248</v>
      </c>
      <c r="X251" s="30" t="inlineStr">
        <is>
          <t>Sunil CR</t>
        </is>
      </c>
      <c r="Y251" s="30" t="inlineStr">
        <is>
          <t>Yes</t>
        </is>
      </c>
      <c r="Z251" s="30" t="n"/>
      <c r="AA251" s="30" t="inlineStr">
        <is>
          <t>Good finish</t>
        </is>
      </c>
      <c r="AB251" s="30" t="inlineStr">
        <is>
          <t>Yes</t>
        </is>
      </c>
      <c r="AC251" s="27" t="n"/>
      <c r="AD251" s="31" t="inlineStr">
        <is>
          <t>No</t>
        </is>
      </c>
      <c r="AE251" s="32">
        <f>IF(W251="","",IF(Z251="Yes","❌ Disc",IF(Y251="No","⚠ Missing",IF(AB251="Yes","✓ OK","⚠ Check"))))</f>
        <v/>
      </c>
      <c r="AF251" s="33" t="n"/>
      <c r="AG251" s="33" t="n"/>
      <c r="AH251" s="33" t="n"/>
      <c r="AI251" s="33" t="n"/>
      <c r="AJ251" s="33" t="n"/>
      <c r="AK251" s="33" t="n"/>
      <c r="AL251" s="27" t="n"/>
      <c r="AM251" s="34" t="n"/>
      <c r="AN251" s="35">
        <f>IF(AF251="","",IF(AI251="Yes","❌ Disc",IF(AH251="No","⚠ Missing",IF(AK251="Yes","✓ OK","⚠ Check"))))</f>
        <v/>
      </c>
      <c r="AO251" s="36" t="n"/>
      <c r="AP251" s="36" t="n"/>
      <c r="AQ251" s="36" t="n"/>
      <c r="AR251" s="36" t="n"/>
      <c r="AS251" s="36" t="n"/>
      <c r="AT251" s="36" t="n"/>
      <c r="AU251" s="27" t="n"/>
      <c r="AV251" s="37" t="n"/>
      <c r="AW251" s="38">
        <f>IF(AO251="","",IF(AR251="Yes","❌ Disc",IF(AQ251="No","⚠ Missing",IF(AT251="Yes","✓ OK","⚠ Check"))))</f>
        <v/>
      </c>
    </row>
    <row r="252" ht="18" customHeight="1" s="46">
      <c r="A252" s="39" t="n">
        <v>248</v>
      </c>
      <c r="B252" s="40" t="inlineStr">
        <is>
          <t>BD-VRM-2026-0386</t>
        </is>
      </c>
      <c r="C252" s="41" t="inlineStr">
        <is>
          <t>Excel - Deshaj Wallpaper 7801-4</t>
        </is>
      </c>
      <c r="D252" s="39" t="inlineStr">
        <is>
          <t>Excel</t>
        </is>
      </c>
      <c r="E252" s="43" t="n">
        <v>46125</v>
      </c>
      <c r="F252" s="26" t="inlineStr">
        <is>
          <t>Sunil CR</t>
        </is>
      </c>
      <c r="G252" s="26" t="inlineStr">
        <is>
          <t>Yes</t>
        </is>
      </c>
      <c r="H252" s="26" t="inlineStr">
        <is>
          <t>No</t>
        </is>
      </c>
      <c r="I252" s="26" t="inlineStr">
        <is>
          <t>Good finish</t>
        </is>
      </c>
      <c r="J252" s="26" t="inlineStr">
        <is>
          <t>Yes</t>
        </is>
      </c>
      <c r="K252" s="27" t="n"/>
      <c r="L252" s="28" t="inlineStr">
        <is>
          <t>No</t>
        </is>
      </c>
      <c r="M252" s="29">
        <f>IF(E252="","",IF(H252="Yes","❌ Disc",IF(G252="No","⚠ Missing",IF(J252="Yes","✓ OK","⚠ Check"))))</f>
        <v/>
      </c>
      <c r="N252" s="43" t="n">
        <v>46193</v>
      </c>
      <c r="O252" s="26" t="inlineStr">
        <is>
          <t>Sunil CR</t>
        </is>
      </c>
      <c r="P252" s="26" t="inlineStr">
        <is>
          <t>Yes</t>
        </is>
      </c>
      <c r="Q252" s="26" t="inlineStr">
        <is>
          <t>No</t>
        </is>
      </c>
      <c r="R252" s="26" t="inlineStr">
        <is>
          <t>Good finish</t>
        </is>
      </c>
      <c r="S252" s="26" t="inlineStr">
        <is>
          <t>Yes</t>
        </is>
      </c>
      <c r="T252" s="27" t="n"/>
      <c r="U252" s="28" t="inlineStr">
        <is>
          <t>No</t>
        </is>
      </c>
      <c r="V252" s="29">
        <f>IF(N252="","",IF(Q252="Yes","❌ Disc",IF(P252="No","⚠ Missing",IF(S252="Yes","✓ OK","⚠ Check"))))</f>
        <v/>
      </c>
      <c r="W252" s="65" t="n">
        <v>46248</v>
      </c>
      <c r="X252" s="30" t="inlineStr">
        <is>
          <t>Sunil CR</t>
        </is>
      </c>
      <c r="Y252" s="30" t="inlineStr">
        <is>
          <t>Yes</t>
        </is>
      </c>
      <c r="Z252" s="30" t="n"/>
      <c r="AA252" s="30" t="inlineStr">
        <is>
          <t>Good finish</t>
        </is>
      </c>
      <c r="AB252" s="30" t="inlineStr">
        <is>
          <t>Yes</t>
        </is>
      </c>
      <c r="AC252" s="27" t="n"/>
      <c r="AD252" s="31" t="inlineStr">
        <is>
          <t>No</t>
        </is>
      </c>
      <c r="AE252" s="32">
        <f>IF(W252="","",IF(Z252="Yes","❌ Disc",IF(Y252="No","⚠ Missing",IF(AB252="Yes","✓ OK","⚠ Check"))))</f>
        <v/>
      </c>
      <c r="AF252" s="33" t="n"/>
      <c r="AG252" s="33" t="n"/>
      <c r="AH252" s="33" t="n"/>
      <c r="AI252" s="33" t="n"/>
      <c r="AJ252" s="33" t="n"/>
      <c r="AK252" s="33" t="n"/>
      <c r="AL252" s="27" t="n"/>
      <c r="AM252" s="34" t="n"/>
      <c r="AN252" s="35">
        <f>IF(AF252="","",IF(AI252="Yes","❌ Disc",IF(AH252="No","⚠ Missing",IF(AK252="Yes","✓ OK","⚠ Check"))))</f>
        <v/>
      </c>
      <c r="AO252" s="36" t="n"/>
      <c r="AP252" s="36" t="n"/>
      <c r="AQ252" s="36" t="n"/>
      <c r="AR252" s="36" t="n"/>
      <c r="AS252" s="36" t="n"/>
      <c r="AT252" s="36" t="n"/>
      <c r="AU252" s="27" t="n"/>
      <c r="AV252" s="37" t="n"/>
      <c r="AW252" s="38">
        <f>IF(AO252="","",IF(AR252="Yes","❌ Disc",IF(AQ252="No","⚠ Missing",IF(AT252="Yes","✓ OK","⚠ Check"))))</f>
        <v/>
      </c>
    </row>
    <row r="253" ht="18" customHeight="1" s="46">
      <c r="A253" s="23" t="n">
        <v>249</v>
      </c>
      <c r="B253" s="24" t="inlineStr">
        <is>
          <t>BD-VRM-2026-0387</t>
        </is>
      </c>
      <c r="C253" s="25" t="inlineStr">
        <is>
          <t>Excel - Deshaj Wallpaper 7801-5</t>
        </is>
      </c>
      <c r="D253" s="23" t="inlineStr">
        <is>
          <t>Excel</t>
        </is>
      </c>
      <c r="E253" s="43" t="n">
        <v>46125</v>
      </c>
      <c r="F253" s="26" t="inlineStr">
        <is>
          <t>Sunil CR</t>
        </is>
      </c>
      <c r="G253" s="26" t="inlineStr">
        <is>
          <t>Yes</t>
        </is>
      </c>
      <c r="H253" s="26" t="inlineStr">
        <is>
          <t>No</t>
        </is>
      </c>
      <c r="I253" s="26" t="inlineStr">
        <is>
          <t>Good finish</t>
        </is>
      </c>
      <c r="J253" s="26" t="inlineStr">
        <is>
          <t>Yes</t>
        </is>
      </c>
      <c r="K253" s="27" t="n"/>
      <c r="L253" s="28" t="inlineStr">
        <is>
          <t>No</t>
        </is>
      </c>
      <c r="M253" s="29">
        <f>IF(E253="","",IF(H253="Yes","❌ Disc",IF(G253="No","⚠ Missing",IF(J253="Yes","✓ OK","⚠ Check"))))</f>
        <v/>
      </c>
      <c r="N253" s="43" t="n">
        <v>46193</v>
      </c>
      <c r="O253" s="26" t="inlineStr">
        <is>
          <t>Sunil CR</t>
        </is>
      </c>
      <c r="P253" s="26" t="inlineStr">
        <is>
          <t>Yes</t>
        </is>
      </c>
      <c r="Q253" s="26" t="inlineStr">
        <is>
          <t>No</t>
        </is>
      </c>
      <c r="R253" s="26" t="inlineStr">
        <is>
          <t>Good finish</t>
        </is>
      </c>
      <c r="S253" s="26" t="inlineStr">
        <is>
          <t>Yes</t>
        </is>
      </c>
      <c r="T253" s="27" t="n"/>
      <c r="U253" s="28" t="inlineStr">
        <is>
          <t>No</t>
        </is>
      </c>
      <c r="V253" s="29">
        <f>IF(N253="","",IF(Q253="Yes","❌ Disc",IF(P253="No","⚠ Missing",IF(S253="Yes","✓ OK","⚠ Check"))))</f>
        <v/>
      </c>
      <c r="W253" s="65" t="n">
        <v>46248</v>
      </c>
      <c r="X253" s="30" t="inlineStr">
        <is>
          <t>Sunil CR</t>
        </is>
      </c>
      <c r="Y253" s="30" t="inlineStr">
        <is>
          <t>Yes</t>
        </is>
      </c>
      <c r="Z253" s="30" t="n"/>
      <c r="AA253" s="30" t="inlineStr">
        <is>
          <t>Good finish</t>
        </is>
      </c>
      <c r="AB253" s="30" t="inlineStr">
        <is>
          <t>Yes</t>
        </is>
      </c>
      <c r="AC253" s="27" t="n"/>
      <c r="AD253" s="31" t="inlineStr">
        <is>
          <t>No</t>
        </is>
      </c>
      <c r="AE253" s="32">
        <f>IF(W253="","",IF(Z253="Yes","❌ Disc",IF(Y253="No","⚠ Missing",IF(AB253="Yes","✓ OK","⚠ Check"))))</f>
        <v/>
      </c>
      <c r="AF253" s="33" t="n"/>
      <c r="AG253" s="33" t="n"/>
      <c r="AH253" s="33" t="n"/>
      <c r="AI253" s="33" t="n"/>
      <c r="AJ253" s="33" t="n"/>
      <c r="AK253" s="33" t="n"/>
      <c r="AL253" s="27" t="n"/>
      <c r="AM253" s="34" t="n"/>
      <c r="AN253" s="35">
        <f>IF(AF253="","",IF(AI253="Yes","❌ Disc",IF(AH253="No","⚠ Missing",IF(AK253="Yes","✓ OK","⚠ Check"))))</f>
        <v/>
      </c>
      <c r="AO253" s="36" t="n"/>
      <c r="AP253" s="36" t="n"/>
      <c r="AQ253" s="36" t="n"/>
      <c r="AR253" s="36" t="n"/>
      <c r="AS253" s="36" t="n"/>
      <c r="AT253" s="36" t="n"/>
      <c r="AU253" s="27" t="n"/>
      <c r="AV253" s="37" t="n"/>
      <c r="AW253" s="38">
        <f>IF(AO253="","",IF(AR253="Yes","❌ Disc",IF(AQ253="No","⚠ Missing",IF(AT253="Yes","✓ OK","⚠ Check"))))</f>
        <v/>
      </c>
    </row>
    <row r="254" ht="18" customHeight="1" s="46">
      <c r="A254" s="39" t="n">
        <v>250</v>
      </c>
      <c r="B254" s="40" t="inlineStr">
        <is>
          <t>BD-VRM-2026-0388</t>
        </is>
      </c>
      <c r="C254" s="41" t="inlineStr">
        <is>
          <t>Excel - Deshaj Wallpaper 7801-6</t>
        </is>
      </c>
      <c r="D254" s="39" t="inlineStr">
        <is>
          <t>Excel</t>
        </is>
      </c>
      <c r="E254" s="43" t="n">
        <v>46125</v>
      </c>
      <c r="F254" s="26" t="inlineStr">
        <is>
          <t>Sunil CR</t>
        </is>
      </c>
      <c r="G254" s="26" t="inlineStr">
        <is>
          <t>Yes</t>
        </is>
      </c>
      <c r="H254" s="26" t="inlineStr">
        <is>
          <t>No</t>
        </is>
      </c>
      <c r="I254" s="26" t="inlineStr">
        <is>
          <t>Good finish</t>
        </is>
      </c>
      <c r="J254" s="26" t="inlineStr">
        <is>
          <t>Yes</t>
        </is>
      </c>
      <c r="K254" s="27" t="n"/>
      <c r="L254" s="28" t="inlineStr">
        <is>
          <t>No</t>
        </is>
      </c>
      <c r="M254" s="29">
        <f>IF(E254="","",IF(H254="Yes","❌ Disc",IF(G254="No","⚠ Missing",IF(J254="Yes","✓ OK","⚠ Check"))))</f>
        <v/>
      </c>
      <c r="N254" s="43" t="n">
        <v>46193</v>
      </c>
      <c r="O254" s="26" t="inlineStr">
        <is>
          <t>Sunil CR</t>
        </is>
      </c>
      <c r="P254" s="26" t="inlineStr">
        <is>
          <t>Yes</t>
        </is>
      </c>
      <c r="Q254" s="26" t="inlineStr">
        <is>
          <t>No</t>
        </is>
      </c>
      <c r="R254" s="26" t="inlineStr">
        <is>
          <t>Good finish</t>
        </is>
      </c>
      <c r="S254" s="26" t="inlineStr">
        <is>
          <t>Yes</t>
        </is>
      </c>
      <c r="T254" s="27" t="n"/>
      <c r="U254" s="28" t="inlineStr">
        <is>
          <t>No</t>
        </is>
      </c>
      <c r="V254" s="29">
        <f>IF(N254="","",IF(Q254="Yes","❌ Disc",IF(P254="No","⚠ Missing",IF(S254="Yes","✓ OK","⚠ Check"))))</f>
        <v/>
      </c>
      <c r="W254" s="65" t="n">
        <v>46248</v>
      </c>
      <c r="X254" s="30" t="inlineStr">
        <is>
          <t>Sunil CR</t>
        </is>
      </c>
      <c r="Y254" s="30" t="inlineStr">
        <is>
          <t>Yes</t>
        </is>
      </c>
      <c r="Z254" s="30" t="n"/>
      <c r="AA254" s="30" t="inlineStr">
        <is>
          <t>Good finish</t>
        </is>
      </c>
      <c r="AB254" s="30" t="inlineStr">
        <is>
          <t>Yes</t>
        </is>
      </c>
      <c r="AC254" s="27" t="n"/>
      <c r="AD254" s="31" t="inlineStr">
        <is>
          <t>No</t>
        </is>
      </c>
      <c r="AE254" s="32">
        <f>IF(W254="","",IF(Z254="Yes","❌ Disc",IF(Y254="No","⚠ Missing",IF(AB254="Yes","✓ OK","⚠ Check"))))</f>
        <v/>
      </c>
      <c r="AF254" s="33" t="n"/>
      <c r="AG254" s="33" t="n"/>
      <c r="AH254" s="33" t="n"/>
      <c r="AI254" s="33" t="n"/>
      <c r="AJ254" s="33" t="n"/>
      <c r="AK254" s="33" t="n"/>
      <c r="AL254" s="27" t="n"/>
      <c r="AM254" s="34" t="n"/>
      <c r="AN254" s="35">
        <f>IF(AF254="","",IF(AI254="Yes","❌ Disc",IF(AH254="No","⚠ Missing",IF(AK254="Yes","✓ OK","⚠ Check"))))</f>
        <v/>
      </c>
      <c r="AO254" s="36" t="n"/>
      <c r="AP254" s="36" t="n"/>
      <c r="AQ254" s="36" t="n"/>
      <c r="AR254" s="36" t="n"/>
      <c r="AS254" s="36" t="n"/>
      <c r="AT254" s="36" t="n"/>
      <c r="AU254" s="27" t="n"/>
      <c r="AV254" s="37" t="n"/>
      <c r="AW254" s="38">
        <f>IF(AO254="","",IF(AR254="Yes","❌ Disc",IF(AQ254="No","⚠ Missing",IF(AT254="Yes","✓ OK","⚠ Check"))))</f>
        <v/>
      </c>
    </row>
    <row r="255" ht="18" customHeight="1" s="46">
      <c r="A255" s="23" t="n">
        <v>251</v>
      </c>
      <c r="B255" s="24" t="inlineStr">
        <is>
          <t>BD-VRM-2026-0389</t>
        </is>
      </c>
      <c r="C255" s="25" t="inlineStr">
        <is>
          <t>Excel - Deshaj Wallpaper 7802-1</t>
        </is>
      </c>
      <c r="D255" s="23" t="inlineStr">
        <is>
          <t>Excel</t>
        </is>
      </c>
      <c r="E255" s="43" t="n">
        <v>46125</v>
      </c>
      <c r="F255" s="26" t="inlineStr">
        <is>
          <t>Sunil CR</t>
        </is>
      </c>
      <c r="G255" s="26" t="inlineStr">
        <is>
          <t>Yes</t>
        </is>
      </c>
      <c r="H255" s="26" t="inlineStr">
        <is>
          <t>No</t>
        </is>
      </c>
      <c r="I255" s="26" t="inlineStr">
        <is>
          <t>Good finish</t>
        </is>
      </c>
      <c r="J255" s="26" t="inlineStr">
        <is>
          <t>Yes</t>
        </is>
      </c>
      <c r="K255" s="27" t="n"/>
      <c r="L255" s="28" t="inlineStr">
        <is>
          <t>No</t>
        </is>
      </c>
      <c r="M255" s="29">
        <f>IF(E255="","",IF(H255="Yes","❌ Disc",IF(G255="No","⚠ Missing",IF(J255="Yes","✓ OK","⚠ Check"))))</f>
        <v/>
      </c>
      <c r="N255" s="43" t="n">
        <v>46193</v>
      </c>
      <c r="O255" s="26" t="inlineStr">
        <is>
          <t>Sunil CR</t>
        </is>
      </c>
      <c r="P255" s="26" t="inlineStr">
        <is>
          <t>Yes</t>
        </is>
      </c>
      <c r="Q255" s="26" t="inlineStr">
        <is>
          <t>No</t>
        </is>
      </c>
      <c r="R255" s="26" t="inlineStr">
        <is>
          <t>Good finish</t>
        </is>
      </c>
      <c r="S255" s="26" t="inlineStr">
        <is>
          <t>Yes</t>
        </is>
      </c>
      <c r="T255" s="27" t="n"/>
      <c r="U255" s="28" t="inlineStr">
        <is>
          <t>No</t>
        </is>
      </c>
      <c r="V255" s="29">
        <f>IF(N255="","",IF(Q255="Yes","❌ Disc",IF(P255="No","⚠ Missing",IF(S255="Yes","✓ OK","⚠ Check"))))</f>
        <v/>
      </c>
      <c r="W255" s="65" t="n">
        <v>46248</v>
      </c>
      <c r="X255" s="30" t="inlineStr">
        <is>
          <t>Sunil CR</t>
        </is>
      </c>
      <c r="Y255" s="30" t="inlineStr">
        <is>
          <t>Yes</t>
        </is>
      </c>
      <c r="Z255" s="30" t="n"/>
      <c r="AA255" s="30" t="inlineStr">
        <is>
          <t>Good finish</t>
        </is>
      </c>
      <c r="AB255" s="30" t="inlineStr">
        <is>
          <t>Yes</t>
        </is>
      </c>
      <c r="AC255" s="27" t="n"/>
      <c r="AD255" s="31" t="inlineStr">
        <is>
          <t>No</t>
        </is>
      </c>
      <c r="AE255" s="32">
        <f>IF(W255="","",IF(Z255="Yes","❌ Disc",IF(Y255="No","⚠ Missing",IF(AB255="Yes","✓ OK","⚠ Check"))))</f>
        <v/>
      </c>
      <c r="AF255" s="33" t="n"/>
      <c r="AG255" s="33" t="n"/>
      <c r="AH255" s="33" t="n"/>
      <c r="AI255" s="33" t="n"/>
      <c r="AJ255" s="33" t="n"/>
      <c r="AK255" s="33" t="n"/>
      <c r="AL255" s="27" t="n"/>
      <c r="AM255" s="34" t="n"/>
      <c r="AN255" s="35">
        <f>IF(AF255="","",IF(AI255="Yes","❌ Disc",IF(AH255="No","⚠ Missing",IF(AK255="Yes","✓ OK","⚠ Check"))))</f>
        <v/>
      </c>
      <c r="AO255" s="36" t="n"/>
      <c r="AP255" s="36" t="n"/>
      <c r="AQ255" s="36" t="n"/>
      <c r="AR255" s="36" t="n"/>
      <c r="AS255" s="36" t="n"/>
      <c r="AT255" s="36" t="n"/>
      <c r="AU255" s="27" t="n"/>
      <c r="AV255" s="37" t="n"/>
      <c r="AW255" s="38">
        <f>IF(AO255="","",IF(AR255="Yes","❌ Disc",IF(AQ255="No","⚠ Missing",IF(AT255="Yes","✓ OK","⚠ Check"))))</f>
        <v/>
      </c>
    </row>
    <row r="256" ht="18" customHeight="1" s="46">
      <c r="A256" s="39" t="n">
        <v>252</v>
      </c>
      <c r="B256" s="40" t="inlineStr">
        <is>
          <t>BD-VRM-2026-0390</t>
        </is>
      </c>
      <c r="C256" s="41" t="inlineStr">
        <is>
          <t>Excel - Deshaj Wallpaper 7802-2</t>
        </is>
      </c>
      <c r="D256" s="39" t="inlineStr">
        <is>
          <t>Excel</t>
        </is>
      </c>
      <c r="E256" s="43" t="n">
        <v>46125</v>
      </c>
      <c r="F256" s="26" t="inlineStr">
        <is>
          <t>Sunil CR</t>
        </is>
      </c>
      <c r="G256" s="26" t="inlineStr">
        <is>
          <t>Yes</t>
        </is>
      </c>
      <c r="H256" s="26" t="inlineStr">
        <is>
          <t>No</t>
        </is>
      </c>
      <c r="I256" s="26" t="inlineStr">
        <is>
          <t>Good finish</t>
        </is>
      </c>
      <c r="J256" s="26" t="inlineStr">
        <is>
          <t>Yes</t>
        </is>
      </c>
      <c r="K256" s="27" t="n"/>
      <c r="L256" s="28" t="inlineStr">
        <is>
          <t>No</t>
        </is>
      </c>
      <c r="M256" s="29">
        <f>IF(E256="","",IF(H256="Yes","❌ Disc",IF(G256="No","⚠ Missing",IF(J256="Yes","✓ OK","⚠ Check"))))</f>
        <v/>
      </c>
      <c r="N256" s="43" t="n">
        <v>46193</v>
      </c>
      <c r="O256" s="26" t="inlineStr">
        <is>
          <t>Sunil CR</t>
        </is>
      </c>
      <c r="P256" s="26" t="inlineStr">
        <is>
          <t>Yes</t>
        </is>
      </c>
      <c r="Q256" s="26" t="inlineStr">
        <is>
          <t>No</t>
        </is>
      </c>
      <c r="R256" s="26" t="inlineStr">
        <is>
          <t>Good finish</t>
        </is>
      </c>
      <c r="S256" s="26" t="inlineStr">
        <is>
          <t>Yes</t>
        </is>
      </c>
      <c r="T256" s="27" t="n"/>
      <c r="U256" s="28" t="inlineStr">
        <is>
          <t>No</t>
        </is>
      </c>
      <c r="V256" s="29">
        <f>IF(N256="","",IF(Q256="Yes","❌ Disc",IF(P256="No","⚠ Missing",IF(S256="Yes","✓ OK","⚠ Check"))))</f>
        <v/>
      </c>
      <c r="W256" s="65" t="n">
        <v>46248</v>
      </c>
      <c r="X256" s="30" t="inlineStr">
        <is>
          <t>Sunil CR</t>
        </is>
      </c>
      <c r="Y256" s="30" t="inlineStr">
        <is>
          <t>Yes</t>
        </is>
      </c>
      <c r="Z256" s="30" t="n"/>
      <c r="AA256" s="30" t="inlineStr">
        <is>
          <t>Good finish</t>
        </is>
      </c>
      <c r="AB256" s="30" t="inlineStr">
        <is>
          <t>Yes</t>
        </is>
      </c>
      <c r="AC256" s="27" t="n"/>
      <c r="AD256" s="31" t="inlineStr">
        <is>
          <t>No</t>
        </is>
      </c>
      <c r="AE256" s="32">
        <f>IF(W256="","",IF(Z256="Yes","❌ Disc",IF(Y256="No","⚠ Missing",IF(AB256="Yes","✓ OK","⚠ Check"))))</f>
        <v/>
      </c>
      <c r="AF256" s="33" t="n"/>
      <c r="AG256" s="33" t="n"/>
      <c r="AH256" s="33" t="n"/>
      <c r="AI256" s="33" t="n"/>
      <c r="AJ256" s="33" t="n"/>
      <c r="AK256" s="33" t="n"/>
      <c r="AL256" s="27" t="n"/>
      <c r="AM256" s="34" t="n"/>
      <c r="AN256" s="35">
        <f>IF(AF256="","",IF(AI256="Yes","❌ Disc",IF(AH256="No","⚠ Missing",IF(AK256="Yes","✓ OK","⚠ Check"))))</f>
        <v/>
      </c>
      <c r="AO256" s="36" t="n"/>
      <c r="AP256" s="36" t="n"/>
      <c r="AQ256" s="36" t="n"/>
      <c r="AR256" s="36" t="n"/>
      <c r="AS256" s="36" t="n"/>
      <c r="AT256" s="36" t="n"/>
      <c r="AU256" s="27" t="n"/>
      <c r="AV256" s="37" t="n"/>
      <c r="AW256" s="38">
        <f>IF(AO256="","",IF(AR256="Yes","❌ Disc",IF(AQ256="No","⚠ Missing",IF(AT256="Yes","✓ OK","⚠ Check"))))</f>
        <v/>
      </c>
    </row>
    <row r="257" ht="18" customHeight="1" s="46">
      <c r="A257" s="23" t="n">
        <v>253</v>
      </c>
      <c r="B257" s="24" t="inlineStr">
        <is>
          <t>BD-VRM-2026-0391</t>
        </is>
      </c>
      <c r="C257" s="25" t="inlineStr">
        <is>
          <t>Excel - Deshaj Wallpaper 7802-3</t>
        </is>
      </c>
      <c r="D257" s="23" t="inlineStr">
        <is>
          <t>Excel</t>
        </is>
      </c>
      <c r="E257" s="43" t="n">
        <v>46125</v>
      </c>
      <c r="F257" s="26" t="inlineStr">
        <is>
          <t>Sunil CR</t>
        </is>
      </c>
      <c r="G257" s="26" t="inlineStr">
        <is>
          <t>Yes</t>
        </is>
      </c>
      <c r="H257" s="26" t="inlineStr">
        <is>
          <t>No</t>
        </is>
      </c>
      <c r="I257" s="26" t="inlineStr">
        <is>
          <t>Good finish</t>
        </is>
      </c>
      <c r="J257" s="26" t="inlineStr">
        <is>
          <t>Yes</t>
        </is>
      </c>
      <c r="K257" s="27" t="n"/>
      <c r="L257" s="28" t="inlineStr">
        <is>
          <t>No</t>
        </is>
      </c>
      <c r="M257" s="29">
        <f>IF(E257="","",IF(H257="Yes","❌ Disc",IF(G257="No","⚠ Missing",IF(J257="Yes","✓ OK","⚠ Check"))))</f>
        <v/>
      </c>
      <c r="N257" s="43" t="n">
        <v>46193</v>
      </c>
      <c r="O257" s="26" t="inlineStr">
        <is>
          <t>Sunil CR</t>
        </is>
      </c>
      <c r="P257" s="26" t="inlineStr">
        <is>
          <t>Yes</t>
        </is>
      </c>
      <c r="Q257" s="26" t="inlineStr">
        <is>
          <t>No</t>
        </is>
      </c>
      <c r="R257" s="26" t="inlineStr">
        <is>
          <t>Good finish</t>
        </is>
      </c>
      <c r="S257" s="26" t="inlineStr">
        <is>
          <t>Yes</t>
        </is>
      </c>
      <c r="T257" s="27" t="n"/>
      <c r="U257" s="28" t="inlineStr">
        <is>
          <t>No</t>
        </is>
      </c>
      <c r="V257" s="29">
        <f>IF(N257="","",IF(Q257="Yes","❌ Disc",IF(P257="No","⚠ Missing",IF(S257="Yes","✓ OK","⚠ Check"))))</f>
        <v/>
      </c>
      <c r="W257" s="65" t="n">
        <v>46248</v>
      </c>
      <c r="X257" s="30" t="inlineStr">
        <is>
          <t>Sunil CR</t>
        </is>
      </c>
      <c r="Y257" s="30" t="inlineStr">
        <is>
          <t>Yes</t>
        </is>
      </c>
      <c r="Z257" s="30" t="n"/>
      <c r="AA257" s="30" t="inlineStr">
        <is>
          <t>Good finish</t>
        </is>
      </c>
      <c r="AB257" s="30" t="inlineStr">
        <is>
          <t>Yes</t>
        </is>
      </c>
      <c r="AC257" s="27" t="n"/>
      <c r="AD257" s="31" t="inlineStr">
        <is>
          <t>No</t>
        </is>
      </c>
      <c r="AE257" s="32">
        <f>IF(W257="","",IF(Z257="Yes","❌ Disc",IF(Y257="No","⚠ Missing",IF(AB257="Yes","✓ OK","⚠ Check"))))</f>
        <v/>
      </c>
      <c r="AF257" s="33" t="n"/>
      <c r="AG257" s="33" t="n"/>
      <c r="AH257" s="33" t="n"/>
      <c r="AI257" s="33" t="n"/>
      <c r="AJ257" s="33" t="n"/>
      <c r="AK257" s="33" t="n"/>
      <c r="AL257" s="27" t="n"/>
      <c r="AM257" s="34" t="n"/>
      <c r="AN257" s="35">
        <f>IF(AF257="","",IF(AI257="Yes","❌ Disc",IF(AH257="No","⚠ Missing",IF(AK257="Yes","✓ OK","⚠ Check"))))</f>
        <v/>
      </c>
      <c r="AO257" s="36" t="n"/>
      <c r="AP257" s="36" t="n"/>
      <c r="AQ257" s="36" t="n"/>
      <c r="AR257" s="36" t="n"/>
      <c r="AS257" s="36" t="n"/>
      <c r="AT257" s="36" t="n"/>
      <c r="AU257" s="27" t="n"/>
      <c r="AV257" s="37" t="n"/>
      <c r="AW257" s="38">
        <f>IF(AO257="","",IF(AR257="Yes","❌ Disc",IF(AQ257="No","⚠ Missing",IF(AT257="Yes","✓ OK","⚠ Check"))))</f>
        <v/>
      </c>
    </row>
    <row r="258" ht="18" customHeight="1" s="46">
      <c r="A258" s="39" t="n">
        <v>254</v>
      </c>
      <c r="B258" s="40" t="inlineStr">
        <is>
          <t>BD-VRM-2026-0392</t>
        </is>
      </c>
      <c r="C258" s="41" t="inlineStr">
        <is>
          <t>Excel - Deshaj Wallpaper 7802-4</t>
        </is>
      </c>
      <c r="D258" s="39" t="inlineStr">
        <is>
          <t>Excel</t>
        </is>
      </c>
      <c r="E258" s="43" t="n">
        <v>46125</v>
      </c>
      <c r="F258" s="26" t="inlineStr">
        <is>
          <t>Sunil CR</t>
        </is>
      </c>
      <c r="G258" s="26" t="inlineStr">
        <is>
          <t>Yes</t>
        </is>
      </c>
      <c r="H258" s="26" t="inlineStr">
        <is>
          <t>No</t>
        </is>
      </c>
      <c r="I258" s="26" t="inlineStr">
        <is>
          <t>Good finish</t>
        </is>
      </c>
      <c r="J258" s="26" t="inlineStr">
        <is>
          <t>Yes</t>
        </is>
      </c>
      <c r="K258" s="27" t="n"/>
      <c r="L258" s="28" t="inlineStr">
        <is>
          <t>No</t>
        </is>
      </c>
      <c r="M258" s="29">
        <f>IF(E258="","",IF(H258="Yes","❌ Disc",IF(G258="No","⚠ Missing",IF(J258="Yes","✓ OK","⚠ Check"))))</f>
        <v/>
      </c>
      <c r="N258" s="43" t="n">
        <v>46193</v>
      </c>
      <c r="O258" s="26" t="inlineStr">
        <is>
          <t>Sunil CR</t>
        </is>
      </c>
      <c r="P258" s="26" t="inlineStr">
        <is>
          <t>Yes</t>
        </is>
      </c>
      <c r="Q258" s="26" t="inlineStr">
        <is>
          <t>No</t>
        </is>
      </c>
      <c r="R258" s="26" t="inlineStr">
        <is>
          <t>Good finish</t>
        </is>
      </c>
      <c r="S258" s="26" t="inlineStr">
        <is>
          <t>Yes</t>
        </is>
      </c>
      <c r="T258" s="27" t="n"/>
      <c r="U258" s="28" t="inlineStr">
        <is>
          <t>No</t>
        </is>
      </c>
      <c r="V258" s="29">
        <f>IF(N258="","",IF(Q258="Yes","❌ Disc",IF(P258="No","⚠ Missing",IF(S258="Yes","✓ OK","⚠ Check"))))</f>
        <v/>
      </c>
      <c r="W258" s="65" t="n">
        <v>46248</v>
      </c>
      <c r="X258" s="30" t="inlineStr">
        <is>
          <t>Sunil CR</t>
        </is>
      </c>
      <c r="Y258" s="30" t="inlineStr">
        <is>
          <t>Yes</t>
        </is>
      </c>
      <c r="Z258" s="30" t="n"/>
      <c r="AA258" s="30" t="inlineStr">
        <is>
          <t>Good finish</t>
        </is>
      </c>
      <c r="AB258" s="30" t="inlineStr">
        <is>
          <t>Yes</t>
        </is>
      </c>
      <c r="AC258" s="27" t="n"/>
      <c r="AD258" s="31" t="inlineStr">
        <is>
          <t>No</t>
        </is>
      </c>
      <c r="AE258" s="32">
        <f>IF(W258="","",IF(Z258="Yes","❌ Disc",IF(Y258="No","⚠ Missing",IF(AB258="Yes","✓ OK","⚠ Check"))))</f>
        <v/>
      </c>
      <c r="AF258" s="33" t="n"/>
      <c r="AG258" s="33" t="n"/>
      <c r="AH258" s="33" t="n"/>
      <c r="AI258" s="33" t="n"/>
      <c r="AJ258" s="33" t="n"/>
      <c r="AK258" s="33" t="n"/>
      <c r="AL258" s="27" t="n"/>
      <c r="AM258" s="34" t="n"/>
      <c r="AN258" s="35">
        <f>IF(AF258="","",IF(AI258="Yes","❌ Disc",IF(AH258="No","⚠ Missing",IF(AK258="Yes","✓ OK","⚠ Check"))))</f>
        <v/>
      </c>
      <c r="AO258" s="36" t="n"/>
      <c r="AP258" s="36" t="n"/>
      <c r="AQ258" s="36" t="n"/>
      <c r="AR258" s="36" t="n"/>
      <c r="AS258" s="36" t="n"/>
      <c r="AT258" s="36" t="n"/>
      <c r="AU258" s="27" t="n"/>
      <c r="AV258" s="37" t="n"/>
      <c r="AW258" s="38">
        <f>IF(AO258="","",IF(AR258="Yes","❌ Disc",IF(AQ258="No","⚠ Missing",IF(AT258="Yes","✓ OK","⚠ Check"))))</f>
        <v/>
      </c>
    </row>
    <row r="259" ht="18" customHeight="1" s="46">
      <c r="A259" s="23" t="n">
        <v>255</v>
      </c>
      <c r="B259" s="24" t="inlineStr">
        <is>
          <t>BD-VRM-2026-0393</t>
        </is>
      </c>
      <c r="C259" s="25" t="inlineStr">
        <is>
          <t>Excel - Deshaj Wallpaper 7802-5</t>
        </is>
      </c>
      <c r="D259" s="23" t="inlineStr">
        <is>
          <t>Excel</t>
        </is>
      </c>
      <c r="E259" s="43" t="n">
        <v>46125</v>
      </c>
      <c r="F259" s="26" t="inlineStr">
        <is>
          <t>Sunil CR</t>
        </is>
      </c>
      <c r="G259" s="26" t="inlineStr">
        <is>
          <t>Yes</t>
        </is>
      </c>
      <c r="H259" s="26" t="inlineStr">
        <is>
          <t>No</t>
        </is>
      </c>
      <c r="I259" s="26" t="inlineStr">
        <is>
          <t>Good finish</t>
        </is>
      </c>
      <c r="J259" s="26" t="inlineStr">
        <is>
          <t>Yes</t>
        </is>
      </c>
      <c r="K259" s="27" t="n"/>
      <c r="L259" s="28" t="inlineStr">
        <is>
          <t>No</t>
        </is>
      </c>
      <c r="M259" s="29">
        <f>IF(E259="","",IF(H259="Yes","❌ Disc",IF(G259="No","⚠ Missing",IF(J259="Yes","✓ OK","⚠ Check"))))</f>
        <v/>
      </c>
      <c r="N259" s="43" t="n">
        <v>46193</v>
      </c>
      <c r="O259" s="26" t="inlineStr">
        <is>
          <t>Sunil CR</t>
        </is>
      </c>
      <c r="P259" s="26" t="inlineStr">
        <is>
          <t>Yes</t>
        </is>
      </c>
      <c r="Q259" s="26" t="inlineStr">
        <is>
          <t>No</t>
        </is>
      </c>
      <c r="R259" s="26" t="inlineStr">
        <is>
          <t>Good finish</t>
        </is>
      </c>
      <c r="S259" s="26" t="inlineStr">
        <is>
          <t>Yes</t>
        </is>
      </c>
      <c r="T259" s="27" t="n"/>
      <c r="U259" s="28" t="inlineStr">
        <is>
          <t>No</t>
        </is>
      </c>
      <c r="V259" s="29">
        <f>IF(N259="","",IF(Q259="Yes","❌ Disc",IF(P259="No","⚠ Missing",IF(S259="Yes","✓ OK","⚠ Check"))))</f>
        <v/>
      </c>
      <c r="W259" s="65" t="n">
        <v>46248</v>
      </c>
      <c r="X259" s="30" t="inlineStr">
        <is>
          <t>Sunil CR</t>
        </is>
      </c>
      <c r="Y259" s="30" t="inlineStr">
        <is>
          <t>Yes</t>
        </is>
      </c>
      <c r="Z259" s="30" t="n"/>
      <c r="AA259" s="30" t="inlineStr">
        <is>
          <t>Good finish</t>
        </is>
      </c>
      <c r="AB259" s="30" t="inlineStr">
        <is>
          <t>Yes</t>
        </is>
      </c>
      <c r="AC259" s="27" t="n"/>
      <c r="AD259" s="31" t="inlineStr">
        <is>
          <t>No</t>
        </is>
      </c>
      <c r="AE259" s="32">
        <f>IF(W259="","",IF(Z259="Yes","❌ Disc",IF(Y259="No","⚠ Missing",IF(AB259="Yes","✓ OK","⚠ Check"))))</f>
        <v/>
      </c>
      <c r="AF259" s="33" t="n"/>
      <c r="AG259" s="33" t="n"/>
      <c r="AH259" s="33" t="n"/>
      <c r="AI259" s="33" t="n"/>
      <c r="AJ259" s="33" t="n"/>
      <c r="AK259" s="33" t="n"/>
      <c r="AL259" s="27" t="n"/>
      <c r="AM259" s="34" t="n"/>
      <c r="AN259" s="35">
        <f>IF(AF259="","",IF(AI259="Yes","❌ Disc",IF(AH259="No","⚠ Missing",IF(AK259="Yes","✓ OK","⚠ Check"))))</f>
        <v/>
      </c>
      <c r="AO259" s="36" t="n"/>
      <c r="AP259" s="36" t="n"/>
      <c r="AQ259" s="36" t="n"/>
      <c r="AR259" s="36" t="n"/>
      <c r="AS259" s="36" t="n"/>
      <c r="AT259" s="36" t="n"/>
      <c r="AU259" s="27" t="n"/>
      <c r="AV259" s="37" t="n"/>
      <c r="AW259" s="38">
        <f>IF(AO259="","",IF(AR259="Yes","❌ Disc",IF(AQ259="No","⚠ Missing",IF(AT259="Yes","✓ OK","⚠ Check"))))</f>
        <v/>
      </c>
    </row>
    <row r="260" ht="18" customHeight="1" s="46">
      <c r="A260" s="39" t="n">
        <v>256</v>
      </c>
      <c r="B260" s="40" t="inlineStr">
        <is>
          <t>BD-VRM-2026-0394</t>
        </is>
      </c>
      <c r="C260" s="41" t="inlineStr">
        <is>
          <t>Excel - Deshaj Wallpaper 7802-6</t>
        </is>
      </c>
      <c r="D260" s="39" t="inlineStr">
        <is>
          <t>Excel</t>
        </is>
      </c>
      <c r="E260" s="43" t="n">
        <v>46125</v>
      </c>
      <c r="F260" s="26" t="inlineStr">
        <is>
          <t>Sunil CR</t>
        </is>
      </c>
      <c r="G260" s="26" t="inlineStr">
        <is>
          <t>Yes</t>
        </is>
      </c>
      <c r="H260" s="26" t="inlineStr">
        <is>
          <t>No</t>
        </is>
      </c>
      <c r="I260" s="26" t="inlineStr">
        <is>
          <t>Good finish</t>
        </is>
      </c>
      <c r="J260" s="26" t="inlineStr">
        <is>
          <t>Yes</t>
        </is>
      </c>
      <c r="K260" s="27" t="n"/>
      <c r="L260" s="28" t="inlineStr">
        <is>
          <t>No</t>
        </is>
      </c>
      <c r="M260" s="29">
        <f>IF(E260="","",IF(H260="Yes","❌ Disc",IF(G260="No","⚠ Missing",IF(J260="Yes","✓ OK","⚠ Check"))))</f>
        <v/>
      </c>
      <c r="N260" s="43" t="n">
        <v>46193</v>
      </c>
      <c r="O260" s="26" t="inlineStr">
        <is>
          <t>Sunil CR</t>
        </is>
      </c>
      <c r="P260" s="26" t="inlineStr">
        <is>
          <t>Yes</t>
        </is>
      </c>
      <c r="Q260" s="26" t="inlineStr">
        <is>
          <t>No</t>
        </is>
      </c>
      <c r="R260" s="26" t="inlineStr">
        <is>
          <t>Good finish</t>
        </is>
      </c>
      <c r="S260" s="26" t="inlineStr">
        <is>
          <t>Yes</t>
        </is>
      </c>
      <c r="T260" s="27" t="n"/>
      <c r="U260" s="28" t="inlineStr">
        <is>
          <t>No</t>
        </is>
      </c>
      <c r="V260" s="29">
        <f>IF(N260="","",IF(Q260="Yes","❌ Disc",IF(P260="No","⚠ Missing",IF(S260="Yes","✓ OK","⚠ Check"))))</f>
        <v/>
      </c>
      <c r="W260" s="65" t="n">
        <v>46248</v>
      </c>
      <c r="X260" s="30" t="inlineStr">
        <is>
          <t>Sunil CR</t>
        </is>
      </c>
      <c r="Y260" s="30" t="inlineStr">
        <is>
          <t>Yes</t>
        </is>
      </c>
      <c r="Z260" s="30" t="n"/>
      <c r="AA260" s="30" t="inlineStr">
        <is>
          <t>Good finish</t>
        </is>
      </c>
      <c r="AB260" s="30" t="inlineStr">
        <is>
          <t>Yes</t>
        </is>
      </c>
      <c r="AC260" s="27" t="n"/>
      <c r="AD260" s="31" t="inlineStr">
        <is>
          <t>No</t>
        </is>
      </c>
      <c r="AE260" s="32">
        <f>IF(W260="","",IF(Z260="Yes","❌ Disc",IF(Y260="No","⚠ Missing",IF(AB260="Yes","✓ OK","⚠ Check"))))</f>
        <v/>
      </c>
      <c r="AF260" s="33" t="n"/>
      <c r="AG260" s="33" t="n"/>
      <c r="AH260" s="33" t="n"/>
      <c r="AI260" s="33" t="n"/>
      <c r="AJ260" s="33" t="n"/>
      <c r="AK260" s="33" t="n"/>
      <c r="AL260" s="27" t="n"/>
      <c r="AM260" s="34" t="n"/>
      <c r="AN260" s="35">
        <f>IF(AF260="","",IF(AI260="Yes","❌ Disc",IF(AH260="No","⚠ Missing",IF(AK260="Yes","✓ OK","⚠ Check"))))</f>
        <v/>
      </c>
      <c r="AO260" s="36" t="n"/>
      <c r="AP260" s="36" t="n"/>
      <c r="AQ260" s="36" t="n"/>
      <c r="AR260" s="36" t="n"/>
      <c r="AS260" s="36" t="n"/>
      <c r="AT260" s="36" t="n"/>
      <c r="AU260" s="27" t="n"/>
      <c r="AV260" s="37" t="n"/>
      <c r="AW260" s="38">
        <f>IF(AO260="","",IF(AR260="Yes","❌ Disc",IF(AQ260="No","⚠ Missing",IF(AT260="Yes","✓ OK","⚠ Check"))))</f>
        <v/>
      </c>
    </row>
    <row r="261" ht="18" customHeight="1" s="46">
      <c r="A261" s="23" t="n">
        <v>257</v>
      </c>
      <c r="B261" s="24" t="inlineStr">
        <is>
          <t>BD-VRM-2026-0395</t>
        </is>
      </c>
      <c r="C261" s="25" t="inlineStr">
        <is>
          <t>Excel - Deshaj Wallpaper 7803-1</t>
        </is>
      </c>
      <c r="D261" s="23" t="inlineStr">
        <is>
          <t>Excel</t>
        </is>
      </c>
      <c r="E261" s="43" t="n">
        <v>46125</v>
      </c>
      <c r="F261" s="26" t="inlineStr">
        <is>
          <t>Sunil CR</t>
        </is>
      </c>
      <c r="G261" s="26" t="inlineStr">
        <is>
          <t>Yes</t>
        </is>
      </c>
      <c r="H261" s="26" t="inlineStr">
        <is>
          <t>No</t>
        </is>
      </c>
      <c r="I261" s="26" t="inlineStr">
        <is>
          <t>Good finish</t>
        </is>
      </c>
      <c r="J261" s="26" t="inlineStr">
        <is>
          <t>Yes</t>
        </is>
      </c>
      <c r="K261" s="27" t="n"/>
      <c r="L261" s="28" t="inlineStr">
        <is>
          <t>No</t>
        </is>
      </c>
      <c r="M261" s="29">
        <f>IF(E261="","",IF(H261="Yes","❌ Disc",IF(G261="No","⚠ Missing",IF(J261="Yes","✓ OK","⚠ Check"))))</f>
        <v/>
      </c>
      <c r="N261" s="43" t="n">
        <v>46193</v>
      </c>
      <c r="O261" s="26" t="inlineStr">
        <is>
          <t>Sunil CR</t>
        </is>
      </c>
      <c r="P261" s="26" t="inlineStr">
        <is>
          <t>Yes</t>
        </is>
      </c>
      <c r="Q261" s="26" t="inlineStr">
        <is>
          <t>No</t>
        </is>
      </c>
      <c r="R261" s="26" t="inlineStr">
        <is>
          <t>Good finish</t>
        </is>
      </c>
      <c r="S261" s="26" t="inlineStr">
        <is>
          <t>Yes</t>
        </is>
      </c>
      <c r="T261" s="27" t="n"/>
      <c r="U261" s="28" t="inlineStr">
        <is>
          <t>No</t>
        </is>
      </c>
      <c r="V261" s="29">
        <f>IF(N261="","",IF(Q261="Yes","❌ Disc",IF(P261="No","⚠ Missing",IF(S261="Yes","✓ OK","⚠ Check"))))</f>
        <v/>
      </c>
      <c r="W261" s="65" t="n">
        <v>46248</v>
      </c>
      <c r="X261" s="30" t="inlineStr">
        <is>
          <t>Sunil CR</t>
        </is>
      </c>
      <c r="Y261" s="30" t="inlineStr">
        <is>
          <t>Yes</t>
        </is>
      </c>
      <c r="Z261" s="30" t="n"/>
      <c r="AA261" s="30" t="inlineStr">
        <is>
          <t>Good finish</t>
        </is>
      </c>
      <c r="AB261" s="30" t="inlineStr">
        <is>
          <t>Yes</t>
        </is>
      </c>
      <c r="AC261" s="27" t="n"/>
      <c r="AD261" s="31" t="inlineStr">
        <is>
          <t>No</t>
        </is>
      </c>
      <c r="AE261" s="32">
        <f>IF(W261="","",IF(Z261="Yes","❌ Disc",IF(Y261="No","⚠ Missing",IF(AB261="Yes","✓ OK","⚠ Check"))))</f>
        <v/>
      </c>
      <c r="AF261" s="33" t="n"/>
      <c r="AG261" s="33" t="n"/>
      <c r="AH261" s="33" t="n"/>
      <c r="AI261" s="33" t="n"/>
      <c r="AJ261" s="33" t="n"/>
      <c r="AK261" s="33" t="n"/>
      <c r="AL261" s="27" t="n"/>
      <c r="AM261" s="34" t="n"/>
      <c r="AN261" s="35">
        <f>IF(AF261="","",IF(AI261="Yes","❌ Disc",IF(AH261="No","⚠ Missing",IF(AK261="Yes","✓ OK","⚠ Check"))))</f>
        <v/>
      </c>
      <c r="AO261" s="36" t="n"/>
      <c r="AP261" s="36" t="n"/>
      <c r="AQ261" s="36" t="n"/>
      <c r="AR261" s="36" t="n"/>
      <c r="AS261" s="36" t="n"/>
      <c r="AT261" s="36" t="n"/>
      <c r="AU261" s="27" t="n"/>
      <c r="AV261" s="37" t="n"/>
      <c r="AW261" s="38">
        <f>IF(AO261="","",IF(AR261="Yes","❌ Disc",IF(AQ261="No","⚠ Missing",IF(AT261="Yes","✓ OK","⚠ Check"))))</f>
        <v/>
      </c>
    </row>
    <row r="262" ht="18" customHeight="1" s="46">
      <c r="A262" s="39" t="n">
        <v>258</v>
      </c>
      <c r="B262" s="40" t="inlineStr">
        <is>
          <t>BD-VRM-2026-0396</t>
        </is>
      </c>
      <c r="C262" s="41" t="inlineStr">
        <is>
          <t>Excel - Deshaj Wallpaper 7803-2</t>
        </is>
      </c>
      <c r="D262" s="39" t="inlineStr">
        <is>
          <t>Excel</t>
        </is>
      </c>
      <c r="E262" s="43" t="n">
        <v>46125</v>
      </c>
      <c r="F262" s="26" t="inlineStr">
        <is>
          <t>Sunil CR</t>
        </is>
      </c>
      <c r="G262" s="26" t="inlineStr">
        <is>
          <t>Yes</t>
        </is>
      </c>
      <c r="H262" s="26" t="inlineStr">
        <is>
          <t>No</t>
        </is>
      </c>
      <c r="I262" s="26" t="inlineStr">
        <is>
          <t>Good finish</t>
        </is>
      </c>
      <c r="J262" s="26" t="inlineStr">
        <is>
          <t>Yes</t>
        </is>
      </c>
      <c r="K262" s="27" t="n"/>
      <c r="L262" s="28" t="inlineStr">
        <is>
          <t>No</t>
        </is>
      </c>
      <c r="M262" s="29">
        <f>IF(E262="","",IF(H262="Yes","❌ Disc",IF(G262="No","⚠ Missing",IF(J262="Yes","✓ OK","⚠ Check"))))</f>
        <v/>
      </c>
      <c r="N262" s="43" t="n">
        <v>46193</v>
      </c>
      <c r="O262" s="26" t="inlineStr">
        <is>
          <t>Sunil CR</t>
        </is>
      </c>
      <c r="P262" s="26" t="inlineStr">
        <is>
          <t>Yes</t>
        </is>
      </c>
      <c r="Q262" s="26" t="inlineStr">
        <is>
          <t>No</t>
        </is>
      </c>
      <c r="R262" s="26" t="inlineStr">
        <is>
          <t>Good finish</t>
        </is>
      </c>
      <c r="S262" s="26" t="inlineStr">
        <is>
          <t>Yes</t>
        </is>
      </c>
      <c r="T262" s="27" t="n"/>
      <c r="U262" s="28" t="inlineStr">
        <is>
          <t>No</t>
        </is>
      </c>
      <c r="V262" s="29">
        <f>IF(N262="","",IF(Q262="Yes","❌ Disc",IF(P262="No","⚠ Missing",IF(S262="Yes","✓ OK","⚠ Check"))))</f>
        <v/>
      </c>
      <c r="W262" s="65" t="n">
        <v>46248</v>
      </c>
      <c r="X262" s="30" t="inlineStr">
        <is>
          <t>Sunil CR</t>
        </is>
      </c>
      <c r="Y262" s="30" t="inlineStr">
        <is>
          <t>Yes</t>
        </is>
      </c>
      <c r="Z262" s="30" t="n"/>
      <c r="AA262" s="30" t="inlineStr">
        <is>
          <t>Good finish</t>
        </is>
      </c>
      <c r="AB262" s="30" t="inlineStr">
        <is>
          <t>Yes</t>
        </is>
      </c>
      <c r="AC262" s="27" t="n"/>
      <c r="AD262" s="31" t="inlineStr">
        <is>
          <t>No</t>
        </is>
      </c>
      <c r="AE262" s="32">
        <f>IF(W262="","",IF(Z262="Yes","❌ Disc",IF(Y262="No","⚠ Missing",IF(AB262="Yes","✓ OK","⚠ Check"))))</f>
        <v/>
      </c>
      <c r="AF262" s="33" t="n"/>
      <c r="AG262" s="33" t="n"/>
      <c r="AH262" s="33" t="n"/>
      <c r="AI262" s="33" t="n"/>
      <c r="AJ262" s="33" t="n"/>
      <c r="AK262" s="33" t="n"/>
      <c r="AL262" s="27" t="n"/>
      <c r="AM262" s="34" t="n"/>
      <c r="AN262" s="35">
        <f>IF(AF262="","",IF(AI262="Yes","❌ Disc",IF(AH262="No","⚠ Missing",IF(AK262="Yes","✓ OK","⚠ Check"))))</f>
        <v/>
      </c>
      <c r="AO262" s="36" t="n"/>
      <c r="AP262" s="36" t="n"/>
      <c r="AQ262" s="36" t="n"/>
      <c r="AR262" s="36" t="n"/>
      <c r="AS262" s="36" t="n"/>
      <c r="AT262" s="36" t="n"/>
      <c r="AU262" s="27" t="n"/>
      <c r="AV262" s="37" t="n"/>
      <c r="AW262" s="38">
        <f>IF(AO262="","",IF(AR262="Yes","❌ Disc",IF(AQ262="No","⚠ Missing",IF(AT262="Yes","✓ OK","⚠ Check"))))</f>
        <v/>
      </c>
    </row>
    <row r="263" ht="18" customHeight="1" s="46">
      <c r="A263" s="23" t="n">
        <v>259</v>
      </c>
      <c r="B263" s="24" t="inlineStr">
        <is>
          <t>BD-VRM-2026-0397</t>
        </is>
      </c>
      <c r="C263" s="25" t="inlineStr">
        <is>
          <t>Excel - Deshaj Wallpaper 7803-3</t>
        </is>
      </c>
      <c r="D263" s="23" t="inlineStr">
        <is>
          <t>Excel</t>
        </is>
      </c>
      <c r="E263" s="43" t="n">
        <v>46125</v>
      </c>
      <c r="F263" s="26" t="inlineStr">
        <is>
          <t>Sunil CR</t>
        </is>
      </c>
      <c r="G263" s="26" t="inlineStr">
        <is>
          <t>Yes</t>
        </is>
      </c>
      <c r="H263" s="26" t="inlineStr">
        <is>
          <t>No</t>
        </is>
      </c>
      <c r="I263" s="26" t="inlineStr">
        <is>
          <t>Good finish</t>
        </is>
      </c>
      <c r="J263" s="26" t="inlineStr">
        <is>
          <t>Yes</t>
        </is>
      </c>
      <c r="K263" s="27" t="n"/>
      <c r="L263" s="28" t="inlineStr">
        <is>
          <t>No</t>
        </is>
      </c>
      <c r="M263" s="29">
        <f>IF(E263="","",IF(H263="Yes","❌ Disc",IF(G263="No","⚠ Missing",IF(J263="Yes","✓ OK","⚠ Check"))))</f>
        <v/>
      </c>
      <c r="N263" s="43" t="n">
        <v>46193</v>
      </c>
      <c r="O263" s="26" t="inlineStr">
        <is>
          <t>Sunil CR</t>
        </is>
      </c>
      <c r="P263" s="26" t="inlineStr">
        <is>
          <t>Yes</t>
        </is>
      </c>
      <c r="Q263" s="26" t="inlineStr">
        <is>
          <t>No</t>
        </is>
      </c>
      <c r="R263" s="26" t="inlineStr">
        <is>
          <t>Good finish</t>
        </is>
      </c>
      <c r="S263" s="26" t="inlineStr">
        <is>
          <t>Yes</t>
        </is>
      </c>
      <c r="T263" s="27" t="n"/>
      <c r="U263" s="28" t="inlineStr">
        <is>
          <t>No</t>
        </is>
      </c>
      <c r="V263" s="29">
        <f>IF(N263="","",IF(Q263="Yes","❌ Disc",IF(P263="No","⚠ Missing",IF(S263="Yes","✓ OK","⚠ Check"))))</f>
        <v/>
      </c>
      <c r="W263" s="65" t="n">
        <v>46248</v>
      </c>
      <c r="X263" s="30" t="inlineStr">
        <is>
          <t>Sunil CR</t>
        </is>
      </c>
      <c r="Y263" s="30" t="inlineStr">
        <is>
          <t>Yes</t>
        </is>
      </c>
      <c r="Z263" s="30" t="n"/>
      <c r="AA263" s="30" t="inlineStr">
        <is>
          <t>Good finish</t>
        </is>
      </c>
      <c r="AB263" s="30" t="inlineStr">
        <is>
          <t>Yes</t>
        </is>
      </c>
      <c r="AC263" s="27" t="n"/>
      <c r="AD263" s="31" t="inlineStr">
        <is>
          <t>No</t>
        </is>
      </c>
      <c r="AE263" s="32">
        <f>IF(W263="","",IF(Z263="Yes","❌ Disc",IF(Y263="No","⚠ Missing",IF(AB263="Yes","✓ OK","⚠ Check"))))</f>
        <v/>
      </c>
      <c r="AF263" s="33" t="n"/>
      <c r="AG263" s="33" t="n"/>
      <c r="AH263" s="33" t="n"/>
      <c r="AI263" s="33" t="n"/>
      <c r="AJ263" s="33" t="n"/>
      <c r="AK263" s="33" t="n"/>
      <c r="AL263" s="27" t="n"/>
      <c r="AM263" s="34" t="n"/>
      <c r="AN263" s="35">
        <f>IF(AF263="","",IF(AI263="Yes","❌ Disc",IF(AH263="No","⚠ Missing",IF(AK263="Yes","✓ OK","⚠ Check"))))</f>
        <v/>
      </c>
      <c r="AO263" s="36" t="n"/>
      <c r="AP263" s="36" t="n"/>
      <c r="AQ263" s="36" t="n"/>
      <c r="AR263" s="36" t="n"/>
      <c r="AS263" s="36" t="n"/>
      <c r="AT263" s="36" t="n"/>
      <c r="AU263" s="27" t="n"/>
      <c r="AV263" s="37" t="n"/>
      <c r="AW263" s="38">
        <f>IF(AO263="","",IF(AR263="Yes","❌ Disc",IF(AQ263="No","⚠ Missing",IF(AT263="Yes","✓ OK","⚠ Check"))))</f>
        <v/>
      </c>
    </row>
    <row r="264" ht="18" customHeight="1" s="46">
      <c r="A264" s="39" t="n">
        <v>260</v>
      </c>
      <c r="B264" s="40" t="inlineStr">
        <is>
          <t>BD-VRM-2026-0398</t>
        </is>
      </c>
      <c r="C264" s="41" t="inlineStr">
        <is>
          <t>Excel - Deshaj Wallpaper 7803-4</t>
        </is>
      </c>
      <c r="D264" s="39" t="inlineStr">
        <is>
          <t>Excel</t>
        </is>
      </c>
      <c r="E264" s="43" t="n">
        <v>46125</v>
      </c>
      <c r="F264" s="26" t="inlineStr">
        <is>
          <t>Sunil CR</t>
        </is>
      </c>
      <c r="G264" s="26" t="inlineStr">
        <is>
          <t>Yes</t>
        </is>
      </c>
      <c r="H264" s="26" t="inlineStr">
        <is>
          <t>No</t>
        </is>
      </c>
      <c r="I264" s="26" t="inlineStr">
        <is>
          <t>Good finish</t>
        </is>
      </c>
      <c r="J264" s="26" t="inlineStr">
        <is>
          <t>Yes</t>
        </is>
      </c>
      <c r="K264" s="27" t="n"/>
      <c r="L264" s="28" t="inlineStr">
        <is>
          <t>No</t>
        </is>
      </c>
      <c r="M264" s="29">
        <f>IF(E264="","",IF(H264="Yes","❌ Disc",IF(G264="No","⚠ Missing",IF(J264="Yes","✓ OK","⚠ Check"))))</f>
        <v/>
      </c>
      <c r="N264" s="43" t="n">
        <v>46193</v>
      </c>
      <c r="O264" s="26" t="inlineStr">
        <is>
          <t>Sunil CR</t>
        </is>
      </c>
      <c r="P264" s="26" t="inlineStr">
        <is>
          <t>Yes</t>
        </is>
      </c>
      <c r="Q264" s="26" t="inlineStr">
        <is>
          <t>No</t>
        </is>
      </c>
      <c r="R264" s="26" t="inlineStr">
        <is>
          <t>Good finish</t>
        </is>
      </c>
      <c r="S264" s="26" t="inlineStr">
        <is>
          <t>Yes</t>
        </is>
      </c>
      <c r="T264" s="27" t="n"/>
      <c r="U264" s="28" t="inlineStr">
        <is>
          <t>No</t>
        </is>
      </c>
      <c r="V264" s="29">
        <f>IF(N264="","",IF(Q264="Yes","❌ Disc",IF(P264="No","⚠ Missing",IF(S264="Yes","✓ OK","⚠ Check"))))</f>
        <v/>
      </c>
      <c r="W264" s="65" t="n">
        <v>46248</v>
      </c>
      <c r="X264" s="30" t="inlineStr">
        <is>
          <t>Sunil CR</t>
        </is>
      </c>
      <c r="Y264" s="30" t="inlineStr">
        <is>
          <t>Yes</t>
        </is>
      </c>
      <c r="Z264" s="30" t="n"/>
      <c r="AA264" s="30" t="inlineStr">
        <is>
          <t>Good finish</t>
        </is>
      </c>
      <c r="AB264" s="30" t="inlineStr">
        <is>
          <t>Yes</t>
        </is>
      </c>
      <c r="AC264" s="27" t="n"/>
      <c r="AD264" s="31" t="inlineStr">
        <is>
          <t>No</t>
        </is>
      </c>
      <c r="AE264" s="32">
        <f>IF(W264="","",IF(Z264="Yes","❌ Disc",IF(Y264="No","⚠ Missing",IF(AB264="Yes","✓ OK","⚠ Check"))))</f>
        <v/>
      </c>
      <c r="AF264" s="33" t="n"/>
      <c r="AG264" s="33" t="n"/>
      <c r="AH264" s="33" t="n"/>
      <c r="AI264" s="33" t="n"/>
      <c r="AJ264" s="33" t="n"/>
      <c r="AK264" s="33" t="n"/>
      <c r="AL264" s="27" t="n"/>
      <c r="AM264" s="34" t="n"/>
      <c r="AN264" s="35">
        <f>IF(AF264="","",IF(AI264="Yes","❌ Disc",IF(AH264="No","⚠ Missing",IF(AK264="Yes","✓ OK","⚠ Check"))))</f>
        <v/>
      </c>
      <c r="AO264" s="36" t="n"/>
      <c r="AP264" s="36" t="n"/>
      <c r="AQ264" s="36" t="n"/>
      <c r="AR264" s="36" t="n"/>
      <c r="AS264" s="36" t="n"/>
      <c r="AT264" s="36" t="n"/>
      <c r="AU264" s="27" t="n"/>
      <c r="AV264" s="37" t="n"/>
      <c r="AW264" s="38">
        <f>IF(AO264="","",IF(AR264="Yes","❌ Disc",IF(AQ264="No","⚠ Missing",IF(AT264="Yes","✓ OK","⚠ Check"))))</f>
        <v/>
      </c>
    </row>
    <row r="265" ht="18" customHeight="1" s="46">
      <c r="A265" s="23" t="n">
        <v>261</v>
      </c>
      <c r="B265" s="24" t="inlineStr">
        <is>
          <t>BD-VRM-2026-0399</t>
        </is>
      </c>
      <c r="C265" s="25" t="inlineStr">
        <is>
          <t>Excel - Deshaj Wallpaper 7803-5</t>
        </is>
      </c>
      <c r="D265" s="23" t="inlineStr">
        <is>
          <t>Excel</t>
        </is>
      </c>
      <c r="E265" s="43" t="n">
        <v>46125</v>
      </c>
      <c r="F265" s="26" t="inlineStr">
        <is>
          <t>Sunil CR</t>
        </is>
      </c>
      <c r="G265" s="26" t="inlineStr">
        <is>
          <t>Yes</t>
        </is>
      </c>
      <c r="H265" s="26" t="inlineStr">
        <is>
          <t>No</t>
        </is>
      </c>
      <c r="I265" s="26" t="inlineStr">
        <is>
          <t>Good finish</t>
        </is>
      </c>
      <c r="J265" s="26" t="inlineStr">
        <is>
          <t>Yes</t>
        </is>
      </c>
      <c r="K265" s="27" t="n"/>
      <c r="L265" s="28" t="inlineStr">
        <is>
          <t>No</t>
        </is>
      </c>
      <c r="M265" s="29">
        <f>IF(E265="","",IF(H265="Yes","❌ Disc",IF(G265="No","⚠ Missing",IF(J265="Yes","✓ OK","⚠ Check"))))</f>
        <v/>
      </c>
      <c r="N265" s="43" t="n">
        <v>46193</v>
      </c>
      <c r="O265" s="26" t="inlineStr">
        <is>
          <t>Sunil CR</t>
        </is>
      </c>
      <c r="P265" s="26" t="inlineStr">
        <is>
          <t>Yes</t>
        </is>
      </c>
      <c r="Q265" s="26" t="inlineStr">
        <is>
          <t>No</t>
        </is>
      </c>
      <c r="R265" s="26" t="inlineStr">
        <is>
          <t>Good finish</t>
        </is>
      </c>
      <c r="S265" s="26" t="inlineStr">
        <is>
          <t>Yes</t>
        </is>
      </c>
      <c r="T265" s="27" t="n"/>
      <c r="U265" s="28" t="inlineStr">
        <is>
          <t>No</t>
        </is>
      </c>
      <c r="V265" s="29">
        <f>IF(N265="","",IF(Q265="Yes","❌ Disc",IF(P265="No","⚠ Missing",IF(S265="Yes","✓ OK","⚠ Check"))))</f>
        <v/>
      </c>
      <c r="W265" s="65" t="n">
        <v>46248</v>
      </c>
      <c r="X265" s="30" t="inlineStr">
        <is>
          <t>Sunil CR</t>
        </is>
      </c>
      <c r="Y265" s="30" t="inlineStr">
        <is>
          <t>Yes</t>
        </is>
      </c>
      <c r="Z265" s="30" t="n"/>
      <c r="AA265" s="30" t="inlineStr">
        <is>
          <t>Good finish</t>
        </is>
      </c>
      <c r="AB265" s="30" t="inlineStr">
        <is>
          <t>Yes</t>
        </is>
      </c>
      <c r="AC265" s="27" t="n"/>
      <c r="AD265" s="31" t="inlineStr">
        <is>
          <t>No</t>
        </is>
      </c>
      <c r="AE265" s="32">
        <f>IF(W265="","",IF(Z265="Yes","❌ Disc",IF(Y265="No","⚠ Missing",IF(AB265="Yes","✓ OK","⚠ Check"))))</f>
        <v/>
      </c>
      <c r="AF265" s="33" t="n"/>
      <c r="AG265" s="33" t="n"/>
      <c r="AH265" s="33" t="n"/>
      <c r="AI265" s="33" t="n"/>
      <c r="AJ265" s="33" t="n"/>
      <c r="AK265" s="33" t="n"/>
      <c r="AL265" s="27" t="n"/>
      <c r="AM265" s="34" t="n"/>
      <c r="AN265" s="35">
        <f>IF(AF265="","",IF(AI265="Yes","❌ Disc",IF(AH265="No","⚠ Missing",IF(AK265="Yes","✓ OK","⚠ Check"))))</f>
        <v/>
      </c>
      <c r="AO265" s="36" t="n"/>
      <c r="AP265" s="36" t="n"/>
      <c r="AQ265" s="36" t="n"/>
      <c r="AR265" s="36" t="n"/>
      <c r="AS265" s="36" t="n"/>
      <c r="AT265" s="36" t="n"/>
      <c r="AU265" s="27" t="n"/>
      <c r="AV265" s="37" t="n"/>
      <c r="AW265" s="38">
        <f>IF(AO265="","",IF(AR265="Yes","❌ Disc",IF(AQ265="No","⚠ Missing",IF(AT265="Yes","✓ OK","⚠ Check"))))</f>
        <v/>
      </c>
    </row>
    <row r="266" ht="18" customHeight="1" s="46">
      <c r="A266" s="39" t="n">
        <v>262</v>
      </c>
      <c r="B266" s="40" t="inlineStr">
        <is>
          <t>BD-VRM-2026-0400</t>
        </is>
      </c>
      <c r="C266" s="41" t="inlineStr">
        <is>
          <t>Excel - Deshaj Wallpaper 7804-1</t>
        </is>
      </c>
      <c r="D266" s="39" t="inlineStr">
        <is>
          <t>Excel</t>
        </is>
      </c>
      <c r="E266" s="43" t="n">
        <v>46125</v>
      </c>
      <c r="F266" s="26" t="inlineStr">
        <is>
          <t>Sunil CR</t>
        </is>
      </c>
      <c r="G266" s="26" t="inlineStr">
        <is>
          <t>Yes</t>
        </is>
      </c>
      <c r="H266" s="26" t="inlineStr">
        <is>
          <t>No</t>
        </is>
      </c>
      <c r="I266" s="26" t="inlineStr">
        <is>
          <t>Good finish</t>
        </is>
      </c>
      <c r="J266" s="26" t="inlineStr">
        <is>
          <t>Yes</t>
        </is>
      </c>
      <c r="K266" s="27" t="n"/>
      <c r="L266" s="28" t="inlineStr">
        <is>
          <t>No</t>
        </is>
      </c>
      <c r="M266" s="29">
        <f>IF(E266="","",IF(H266="Yes","❌ Disc",IF(G266="No","⚠ Missing",IF(J266="Yes","✓ OK","⚠ Check"))))</f>
        <v/>
      </c>
      <c r="N266" s="43" t="n">
        <v>46193</v>
      </c>
      <c r="O266" s="26" t="inlineStr">
        <is>
          <t>Sunil CR</t>
        </is>
      </c>
      <c r="P266" s="26" t="inlineStr">
        <is>
          <t>Yes</t>
        </is>
      </c>
      <c r="Q266" s="26" t="inlineStr">
        <is>
          <t>No</t>
        </is>
      </c>
      <c r="R266" s="26" t="inlineStr">
        <is>
          <t>Good finish</t>
        </is>
      </c>
      <c r="S266" s="26" t="inlineStr">
        <is>
          <t>Yes</t>
        </is>
      </c>
      <c r="T266" s="27" t="n"/>
      <c r="U266" s="28" t="inlineStr">
        <is>
          <t>No</t>
        </is>
      </c>
      <c r="V266" s="29">
        <f>IF(N266="","",IF(Q266="Yes","❌ Disc",IF(P266="No","⚠ Missing",IF(S266="Yes","✓ OK","⚠ Check"))))</f>
        <v/>
      </c>
      <c r="W266" s="65" t="n">
        <v>46248</v>
      </c>
      <c r="X266" s="30" t="inlineStr">
        <is>
          <t>Sunil CR</t>
        </is>
      </c>
      <c r="Y266" s="30" t="inlineStr">
        <is>
          <t>Yes</t>
        </is>
      </c>
      <c r="Z266" s="30" t="n"/>
      <c r="AA266" s="30" t="inlineStr">
        <is>
          <t>Good finish</t>
        </is>
      </c>
      <c r="AB266" s="30" t="inlineStr">
        <is>
          <t>Yes</t>
        </is>
      </c>
      <c r="AC266" s="27" t="n"/>
      <c r="AD266" s="31" t="inlineStr">
        <is>
          <t>No</t>
        </is>
      </c>
      <c r="AE266" s="32">
        <f>IF(W266="","",IF(Z266="Yes","❌ Disc",IF(Y266="No","⚠ Missing",IF(AB266="Yes","✓ OK","⚠ Check"))))</f>
        <v/>
      </c>
      <c r="AF266" s="33" t="n"/>
      <c r="AG266" s="33" t="n"/>
      <c r="AH266" s="33" t="n"/>
      <c r="AI266" s="33" t="n"/>
      <c r="AJ266" s="33" t="n"/>
      <c r="AK266" s="33" t="n"/>
      <c r="AL266" s="27" t="n"/>
      <c r="AM266" s="34" t="n"/>
      <c r="AN266" s="35">
        <f>IF(AF266="","",IF(AI266="Yes","❌ Disc",IF(AH266="No","⚠ Missing",IF(AK266="Yes","✓ OK","⚠ Check"))))</f>
        <v/>
      </c>
      <c r="AO266" s="36" t="n"/>
      <c r="AP266" s="36" t="n"/>
      <c r="AQ266" s="36" t="n"/>
      <c r="AR266" s="36" t="n"/>
      <c r="AS266" s="36" t="n"/>
      <c r="AT266" s="36" t="n"/>
      <c r="AU266" s="27" t="n"/>
      <c r="AV266" s="37" t="n"/>
      <c r="AW266" s="38">
        <f>IF(AO266="","",IF(AR266="Yes","❌ Disc",IF(AQ266="No","⚠ Missing",IF(AT266="Yes","✓ OK","⚠ Check"))))</f>
        <v/>
      </c>
    </row>
    <row r="267" ht="18" customHeight="1" s="46">
      <c r="A267" s="23" t="n">
        <v>263</v>
      </c>
      <c r="B267" s="24" t="inlineStr">
        <is>
          <t>BD-VRM-2026-0401</t>
        </is>
      </c>
      <c r="C267" s="25" t="inlineStr">
        <is>
          <t>Excel - Deshaj Wallpaper 7804-2</t>
        </is>
      </c>
      <c r="D267" s="23" t="inlineStr">
        <is>
          <t>Excel</t>
        </is>
      </c>
      <c r="E267" s="43" t="n">
        <v>46125</v>
      </c>
      <c r="F267" s="26" t="inlineStr">
        <is>
          <t>Sunil CR</t>
        </is>
      </c>
      <c r="G267" s="26" t="inlineStr">
        <is>
          <t>Yes</t>
        </is>
      </c>
      <c r="H267" s="26" t="inlineStr">
        <is>
          <t>No</t>
        </is>
      </c>
      <c r="I267" s="26" t="inlineStr">
        <is>
          <t>Good finish</t>
        </is>
      </c>
      <c r="J267" s="26" t="inlineStr">
        <is>
          <t>Yes</t>
        </is>
      </c>
      <c r="K267" s="27" t="n"/>
      <c r="L267" s="28" t="inlineStr">
        <is>
          <t>No</t>
        </is>
      </c>
      <c r="M267" s="29">
        <f>IF(E267="","",IF(H267="Yes","❌ Disc",IF(G267="No","⚠ Missing",IF(J267="Yes","✓ OK","⚠ Check"))))</f>
        <v/>
      </c>
      <c r="N267" s="43" t="n">
        <v>46193</v>
      </c>
      <c r="O267" s="26" t="inlineStr">
        <is>
          <t>Sunil CR</t>
        </is>
      </c>
      <c r="P267" s="26" t="inlineStr">
        <is>
          <t>Yes</t>
        </is>
      </c>
      <c r="Q267" s="26" t="inlineStr">
        <is>
          <t>No</t>
        </is>
      </c>
      <c r="R267" s="26" t="inlineStr">
        <is>
          <t>Good finish</t>
        </is>
      </c>
      <c r="S267" s="26" t="inlineStr">
        <is>
          <t>Yes</t>
        </is>
      </c>
      <c r="T267" s="27" t="n"/>
      <c r="U267" s="28" t="inlineStr">
        <is>
          <t>No</t>
        </is>
      </c>
      <c r="V267" s="29">
        <f>IF(N267="","",IF(Q267="Yes","❌ Disc",IF(P267="No","⚠ Missing",IF(S267="Yes","✓ OK","⚠ Check"))))</f>
        <v/>
      </c>
      <c r="W267" s="65" t="n">
        <v>46248</v>
      </c>
      <c r="X267" s="30" t="inlineStr">
        <is>
          <t>Sunil CR</t>
        </is>
      </c>
      <c r="Y267" s="30" t="inlineStr">
        <is>
          <t>Yes</t>
        </is>
      </c>
      <c r="Z267" s="30" t="n"/>
      <c r="AA267" s="30" t="inlineStr">
        <is>
          <t>Good finish</t>
        </is>
      </c>
      <c r="AB267" s="30" t="inlineStr">
        <is>
          <t>Yes</t>
        </is>
      </c>
      <c r="AC267" s="27" t="n"/>
      <c r="AD267" s="31" t="inlineStr">
        <is>
          <t>No</t>
        </is>
      </c>
      <c r="AE267" s="32">
        <f>IF(W267="","",IF(Z267="Yes","❌ Disc",IF(Y267="No","⚠ Missing",IF(AB267="Yes","✓ OK","⚠ Check"))))</f>
        <v/>
      </c>
      <c r="AF267" s="33" t="n"/>
      <c r="AG267" s="33" t="n"/>
      <c r="AH267" s="33" t="n"/>
      <c r="AI267" s="33" t="n"/>
      <c r="AJ267" s="33" t="n"/>
      <c r="AK267" s="33" t="n"/>
      <c r="AL267" s="27" t="n"/>
      <c r="AM267" s="34" t="n"/>
      <c r="AN267" s="35">
        <f>IF(AF267="","",IF(AI267="Yes","❌ Disc",IF(AH267="No","⚠ Missing",IF(AK267="Yes","✓ OK","⚠ Check"))))</f>
        <v/>
      </c>
      <c r="AO267" s="36" t="n"/>
      <c r="AP267" s="36" t="n"/>
      <c r="AQ267" s="36" t="n"/>
      <c r="AR267" s="36" t="n"/>
      <c r="AS267" s="36" t="n"/>
      <c r="AT267" s="36" t="n"/>
      <c r="AU267" s="27" t="n"/>
      <c r="AV267" s="37" t="n"/>
      <c r="AW267" s="38">
        <f>IF(AO267="","",IF(AR267="Yes","❌ Disc",IF(AQ267="No","⚠ Missing",IF(AT267="Yes","✓ OK","⚠ Check"))))</f>
        <v/>
      </c>
    </row>
    <row r="268" ht="18" customHeight="1" s="46">
      <c r="A268" s="39" t="n">
        <v>264</v>
      </c>
      <c r="B268" s="40" t="inlineStr">
        <is>
          <t>BD-VRM-2026-0402</t>
        </is>
      </c>
      <c r="C268" s="41" t="inlineStr">
        <is>
          <t>Excel - Deshaj Wallpaper 7804-3</t>
        </is>
      </c>
      <c r="D268" s="39" t="inlineStr">
        <is>
          <t>Excel</t>
        </is>
      </c>
      <c r="E268" s="43" t="n">
        <v>46125</v>
      </c>
      <c r="F268" s="26" t="inlineStr">
        <is>
          <t>Sunil CR</t>
        </is>
      </c>
      <c r="G268" s="26" t="inlineStr">
        <is>
          <t>Yes</t>
        </is>
      </c>
      <c r="H268" s="26" t="inlineStr">
        <is>
          <t>No</t>
        </is>
      </c>
      <c r="I268" s="26" t="inlineStr">
        <is>
          <t>Good finish</t>
        </is>
      </c>
      <c r="J268" s="26" t="inlineStr">
        <is>
          <t>Yes</t>
        </is>
      </c>
      <c r="K268" s="27" t="n"/>
      <c r="L268" s="28" t="inlineStr">
        <is>
          <t>No</t>
        </is>
      </c>
      <c r="M268" s="29">
        <f>IF(E268="","",IF(H268="Yes","❌ Disc",IF(G268="No","⚠ Missing",IF(J268="Yes","✓ OK","⚠ Check"))))</f>
        <v/>
      </c>
      <c r="N268" s="43" t="n">
        <v>46193</v>
      </c>
      <c r="O268" s="26" t="inlineStr">
        <is>
          <t>Sunil CR</t>
        </is>
      </c>
      <c r="P268" s="26" t="inlineStr">
        <is>
          <t>Yes</t>
        </is>
      </c>
      <c r="Q268" s="26" t="inlineStr">
        <is>
          <t>No</t>
        </is>
      </c>
      <c r="R268" s="26" t="inlineStr">
        <is>
          <t>Good finish</t>
        </is>
      </c>
      <c r="S268" s="26" t="inlineStr">
        <is>
          <t>Yes</t>
        </is>
      </c>
      <c r="T268" s="27" t="n"/>
      <c r="U268" s="28" t="inlineStr">
        <is>
          <t>No</t>
        </is>
      </c>
      <c r="V268" s="29">
        <f>IF(N268="","",IF(Q268="Yes","❌ Disc",IF(P268="No","⚠ Missing",IF(S268="Yes","✓ OK","⚠ Check"))))</f>
        <v/>
      </c>
      <c r="W268" s="65" t="n">
        <v>46248</v>
      </c>
      <c r="X268" s="30" t="inlineStr">
        <is>
          <t>Sunil CR</t>
        </is>
      </c>
      <c r="Y268" s="30" t="inlineStr">
        <is>
          <t>Yes</t>
        </is>
      </c>
      <c r="Z268" s="30" t="n"/>
      <c r="AA268" s="30" t="inlineStr">
        <is>
          <t>Good finish</t>
        </is>
      </c>
      <c r="AB268" s="30" t="inlineStr">
        <is>
          <t>Yes</t>
        </is>
      </c>
      <c r="AC268" s="27" t="n"/>
      <c r="AD268" s="31" t="inlineStr">
        <is>
          <t>No</t>
        </is>
      </c>
      <c r="AE268" s="32">
        <f>IF(W268="","",IF(Z268="Yes","❌ Disc",IF(Y268="No","⚠ Missing",IF(AB268="Yes","✓ OK","⚠ Check"))))</f>
        <v/>
      </c>
      <c r="AF268" s="33" t="n"/>
      <c r="AG268" s="33" t="n"/>
      <c r="AH268" s="33" t="n"/>
      <c r="AI268" s="33" t="n"/>
      <c r="AJ268" s="33" t="n"/>
      <c r="AK268" s="33" t="n"/>
      <c r="AL268" s="27" t="n"/>
      <c r="AM268" s="34" t="n"/>
      <c r="AN268" s="35">
        <f>IF(AF268="","",IF(AI268="Yes","❌ Disc",IF(AH268="No","⚠ Missing",IF(AK268="Yes","✓ OK","⚠ Check"))))</f>
        <v/>
      </c>
      <c r="AO268" s="36" t="n"/>
      <c r="AP268" s="36" t="n"/>
      <c r="AQ268" s="36" t="n"/>
      <c r="AR268" s="36" t="n"/>
      <c r="AS268" s="36" t="n"/>
      <c r="AT268" s="36" t="n"/>
      <c r="AU268" s="27" t="n"/>
      <c r="AV268" s="37" t="n"/>
      <c r="AW268" s="38">
        <f>IF(AO268="","",IF(AR268="Yes","❌ Disc",IF(AQ268="No","⚠ Missing",IF(AT268="Yes","✓ OK","⚠ Check"))))</f>
        <v/>
      </c>
    </row>
    <row r="269" ht="18" customHeight="1" s="46">
      <c r="A269" s="23" t="n">
        <v>265</v>
      </c>
      <c r="B269" s="24" t="inlineStr">
        <is>
          <t>BD-VRM-2026-0403</t>
        </is>
      </c>
      <c r="C269" s="25" t="inlineStr">
        <is>
          <t>Excel - Deshaj Wallpaper 7804-4</t>
        </is>
      </c>
      <c r="D269" s="23" t="inlineStr">
        <is>
          <t>Excel</t>
        </is>
      </c>
      <c r="E269" s="43" t="n">
        <v>46125</v>
      </c>
      <c r="F269" s="26" t="inlineStr">
        <is>
          <t>Sunil CR</t>
        </is>
      </c>
      <c r="G269" s="26" t="inlineStr">
        <is>
          <t>Yes</t>
        </is>
      </c>
      <c r="H269" s="26" t="inlineStr">
        <is>
          <t>No</t>
        </is>
      </c>
      <c r="I269" s="26" t="inlineStr">
        <is>
          <t>Good finish</t>
        </is>
      </c>
      <c r="J269" s="26" t="inlineStr">
        <is>
          <t>Yes</t>
        </is>
      </c>
      <c r="K269" s="27" t="n"/>
      <c r="L269" s="28" t="inlineStr">
        <is>
          <t>No</t>
        </is>
      </c>
      <c r="M269" s="29">
        <f>IF(E269="","",IF(H269="Yes","❌ Disc",IF(G269="No","⚠ Missing",IF(J269="Yes","✓ OK","⚠ Check"))))</f>
        <v/>
      </c>
      <c r="N269" s="43" t="n">
        <v>46193</v>
      </c>
      <c r="O269" s="26" t="inlineStr">
        <is>
          <t>Sunil CR</t>
        </is>
      </c>
      <c r="P269" s="26" t="inlineStr">
        <is>
          <t>Yes</t>
        </is>
      </c>
      <c r="Q269" s="26" t="inlineStr">
        <is>
          <t>No</t>
        </is>
      </c>
      <c r="R269" s="26" t="inlineStr">
        <is>
          <t>Good finish</t>
        </is>
      </c>
      <c r="S269" s="26" t="inlineStr">
        <is>
          <t>Yes</t>
        </is>
      </c>
      <c r="T269" s="27" t="n"/>
      <c r="U269" s="28" t="inlineStr">
        <is>
          <t>No</t>
        </is>
      </c>
      <c r="V269" s="29">
        <f>IF(N269="","",IF(Q269="Yes","❌ Disc",IF(P269="No","⚠ Missing",IF(S269="Yes","✓ OK","⚠ Check"))))</f>
        <v/>
      </c>
      <c r="W269" s="65" t="n">
        <v>46248</v>
      </c>
      <c r="X269" s="30" t="inlineStr">
        <is>
          <t>Sunil CR</t>
        </is>
      </c>
      <c r="Y269" s="30" t="inlineStr">
        <is>
          <t>Yes</t>
        </is>
      </c>
      <c r="Z269" s="30" t="n"/>
      <c r="AA269" s="30" t="inlineStr">
        <is>
          <t>Good finish</t>
        </is>
      </c>
      <c r="AB269" s="30" t="inlineStr">
        <is>
          <t>Yes</t>
        </is>
      </c>
      <c r="AC269" s="27" t="n"/>
      <c r="AD269" s="31" t="inlineStr">
        <is>
          <t>No</t>
        </is>
      </c>
      <c r="AE269" s="32">
        <f>IF(W269="","",IF(Z269="Yes","❌ Disc",IF(Y269="No","⚠ Missing",IF(AB269="Yes","✓ OK","⚠ Check"))))</f>
        <v/>
      </c>
      <c r="AF269" s="33" t="n"/>
      <c r="AG269" s="33" t="n"/>
      <c r="AH269" s="33" t="n"/>
      <c r="AI269" s="33" t="n"/>
      <c r="AJ269" s="33" t="n"/>
      <c r="AK269" s="33" t="n"/>
      <c r="AL269" s="27" t="n"/>
      <c r="AM269" s="34" t="n"/>
      <c r="AN269" s="35">
        <f>IF(AF269="","",IF(AI269="Yes","❌ Disc",IF(AH269="No","⚠ Missing",IF(AK269="Yes","✓ OK","⚠ Check"))))</f>
        <v/>
      </c>
      <c r="AO269" s="36" t="n"/>
      <c r="AP269" s="36" t="n"/>
      <c r="AQ269" s="36" t="n"/>
      <c r="AR269" s="36" t="n"/>
      <c r="AS269" s="36" t="n"/>
      <c r="AT269" s="36" t="n"/>
      <c r="AU269" s="27" t="n"/>
      <c r="AV269" s="37" t="n"/>
      <c r="AW269" s="38">
        <f>IF(AO269="","",IF(AR269="Yes","❌ Disc",IF(AQ269="No","⚠ Missing",IF(AT269="Yes","✓ OK","⚠ Check"))))</f>
        <v/>
      </c>
    </row>
    <row r="270" ht="18" customHeight="1" s="46">
      <c r="A270" s="39" t="n">
        <v>266</v>
      </c>
      <c r="B270" s="40" t="inlineStr">
        <is>
          <t>BD-VRM-2026-0404</t>
        </is>
      </c>
      <c r="C270" s="41" t="inlineStr">
        <is>
          <t>Excel - Deshaj Wallpaper 7804-5</t>
        </is>
      </c>
      <c r="D270" s="39" t="inlineStr">
        <is>
          <t>Excel</t>
        </is>
      </c>
      <c r="E270" s="43" t="n">
        <v>46125</v>
      </c>
      <c r="F270" s="26" t="inlineStr">
        <is>
          <t>Sunil CR</t>
        </is>
      </c>
      <c r="G270" s="26" t="inlineStr">
        <is>
          <t>Yes</t>
        </is>
      </c>
      <c r="H270" s="26" t="inlineStr">
        <is>
          <t>No</t>
        </is>
      </c>
      <c r="I270" s="26" t="inlineStr">
        <is>
          <t>Good finish</t>
        </is>
      </c>
      <c r="J270" s="26" t="inlineStr">
        <is>
          <t>Yes</t>
        </is>
      </c>
      <c r="K270" s="27" t="n"/>
      <c r="L270" s="28" t="inlineStr">
        <is>
          <t>No</t>
        </is>
      </c>
      <c r="M270" s="29">
        <f>IF(E270="","",IF(H270="Yes","❌ Disc",IF(G270="No","⚠ Missing",IF(J270="Yes","✓ OK","⚠ Check"))))</f>
        <v/>
      </c>
      <c r="N270" s="43" t="n">
        <v>46193</v>
      </c>
      <c r="O270" s="26" t="inlineStr">
        <is>
          <t>Sunil CR</t>
        </is>
      </c>
      <c r="P270" s="26" t="inlineStr">
        <is>
          <t>Yes</t>
        </is>
      </c>
      <c r="Q270" s="26" t="inlineStr">
        <is>
          <t>No</t>
        </is>
      </c>
      <c r="R270" s="26" t="inlineStr">
        <is>
          <t>Good finish</t>
        </is>
      </c>
      <c r="S270" s="26" t="inlineStr">
        <is>
          <t>Yes</t>
        </is>
      </c>
      <c r="T270" s="27" t="n"/>
      <c r="U270" s="28" t="inlineStr">
        <is>
          <t>No</t>
        </is>
      </c>
      <c r="V270" s="29">
        <f>IF(N270="","",IF(Q270="Yes","❌ Disc",IF(P270="No","⚠ Missing",IF(S270="Yes","✓ OK","⚠ Check"))))</f>
        <v/>
      </c>
      <c r="W270" s="65" t="n">
        <v>46248</v>
      </c>
      <c r="X270" s="30" t="inlineStr">
        <is>
          <t>Sunil CR</t>
        </is>
      </c>
      <c r="Y270" s="30" t="inlineStr">
        <is>
          <t>Yes</t>
        </is>
      </c>
      <c r="Z270" s="30" t="n"/>
      <c r="AA270" s="30" t="inlineStr">
        <is>
          <t>Good finish</t>
        </is>
      </c>
      <c r="AB270" s="30" t="inlineStr">
        <is>
          <t>Yes</t>
        </is>
      </c>
      <c r="AC270" s="27" t="n"/>
      <c r="AD270" s="31" t="inlineStr">
        <is>
          <t>No</t>
        </is>
      </c>
      <c r="AE270" s="32">
        <f>IF(W270="","",IF(Z270="Yes","❌ Disc",IF(Y270="No","⚠ Missing",IF(AB270="Yes","✓ OK","⚠ Check"))))</f>
        <v/>
      </c>
      <c r="AF270" s="33" t="n"/>
      <c r="AG270" s="33" t="n"/>
      <c r="AH270" s="33" t="n"/>
      <c r="AI270" s="33" t="n"/>
      <c r="AJ270" s="33" t="n"/>
      <c r="AK270" s="33" t="n"/>
      <c r="AL270" s="27" t="n"/>
      <c r="AM270" s="34" t="n"/>
      <c r="AN270" s="35">
        <f>IF(AF270="","",IF(AI270="Yes","❌ Disc",IF(AH270="No","⚠ Missing",IF(AK270="Yes","✓ OK","⚠ Check"))))</f>
        <v/>
      </c>
      <c r="AO270" s="36" t="n"/>
      <c r="AP270" s="36" t="n"/>
      <c r="AQ270" s="36" t="n"/>
      <c r="AR270" s="36" t="n"/>
      <c r="AS270" s="36" t="n"/>
      <c r="AT270" s="36" t="n"/>
      <c r="AU270" s="27" t="n"/>
      <c r="AV270" s="37" t="n"/>
      <c r="AW270" s="38">
        <f>IF(AO270="","",IF(AR270="Yes","❌ Disc",IF(AQ270="No","⚠ Missing",IF(AT270="Yes","✓ OK","⚠ Check"))))</f>
        <v/>
      </c>
    </row>
    <row r="271" ht="18" customHeight="1" s="46">
      <c r="A271" s="23" t="n">
        <v>267</v>
      </c>
      <c r="B271" s="24" t="inlineStr">
        <is>
          <t>BD-VRM-2026-0405</t>
        </is>
      </c>
      <c r="C271" s="25" t="inlineStr">
        <is>
          <t>Excel - Deshaj Wallpaper 7805-1</t>
        </is>
      </c>
      <c r="D271" s="23" t="inlineStr">
        <is>
          <t>Excel</t>
        </is>
      </c>
      <c r="E271" s="43" t="n">
        <v>46125</v>
      </c>
      <c r="F271" s="26" t="inlineStr">
        <is>
          <t>Sunil CR</t>
        </is>
      </c>
      <c r="G271" s="26" t="inlineStr">
        <is>
          <t>Yes</t>
        </is>
      </c>
      <c r="H271" s="26" t="inlineStr">
        <is>
          <t>No</t>
        </is>
      </c>
      <c r="I271" s="26" t="inlineStr">
        <is>
          <t>Good finish</t>
        </is>
      </c>
      <c r="J271" s="26" t="inlineStr">
        <is>
          <t>Yes</t>
        </is>
      </c>
      <c r="K271" s="27" t="n"/>
      <c r="L271" s="28" t="inlineStr">
        <is>
          <t>No</t>
        </is>
      </c>
      <c r="M271" s="29">
        <f>IF(E271="","",IF(H271="Yes","❌ Disc",IF(G271="No","⚠ Missing",IF(J271="Yes","✓ OK","⚠ Check"))))</f>
        <v/>
      </c>
      <c r="N271" s="43" t="n">
        <v>46193</v>
      </c>
      <c r="O271" s="26" t="inlineStr">
        <is>
          <t>Sunil CR</t>
        </is>
      </c>
      <c r="P271" s="26" t="inlineStr">
        <is>
          <t>Yes</t>
        </is>
      </c>
      <c r="Q271" s="26" t="inlineStr">
        <is>
          <t>No</t>
        </is>
      </c>
      <c r="R271" s="26" t="inlineStr">
        <is>
          <t>Good finish</t>
        </is>
      </c>
      <c r="S271" s="26" t="inlineStr">
        <is>
          <t>Yes</t>
        </is>
      </c>
      <c r="T271" s="27" t="n"/>
      <c r="U271" s="28" t="inlineStr">
        <is>
          <t>No</t>
        </is>
      </c>
      <c r="V271" s="29">
        <f>IF(N271="","",IF(Q271="Yes","❌ Disc",IF(P271="No","⚠ Missing",IF(S271="Yes","✓ OK","⚠ Check"))))</f>
        <v/>
      </c>
      <c r="W271" s="65" t="n">
        <v>46248</v>
      </c>
      <c r="X271" s="30" t="inlineStr">
        <is>
          <t>Sunil CR</t>
        </is>
      </c>
      <c r="Y271" s="30" t="inlineStr">
        <is>
          <t>Yes</t>
        </is>
      </c>
      <c r="Z271" s="30" t="n"/>
      <c r="AA271" s="30" t="inlineStr">
        <is>
          <t>Good finish</t>
        </is>
      </c>
      <c r="AB271" s="30" t="inlineStr">
        <is>
          <t>Yes</t>
        </is>
      </c>
      <c r="AC271" s="27" t="n"/>
      <c r="AD271" s="31" t="inlineStr">
        <is>
          <t>No</t>
        </is>
      </c>
      <c r="AE271" s="32">
        <f>IF(W271="","",IF(Z271="Yes","❌ Disc",IF(Y271="No","⚠ Missing",IF(AB271="Yes","✓ OK","⚠ Check"))))</f>
        <v/>
      </c>
      <c r="AF271" s="33" t="n"/>
      <c r="AG271" s="33" t="n"/>
      <c r="AH271" s="33" t="n"/>
      <c r="AI271" s="33" t="n"/>
      <c r="AJ271" s="33" t="n"/>
      <c r="AK271" s="33" t="n"/>
      <c r="AL271" s="27" t="n"/>
      <c r="AM271" s="34" t="n"/>
      <c r="AN271" s="35">
        <f>IF(AF271="","",IF(AI271="Yes","❌ Disc",IF(AH271="No","⚠ Missing",IF(AK271="Yes","✓ OK","⚠ Check"))))</f>
        <v/>
      </c>
      <c r="AO271" s="36" t="n"/>
      <c r="AP271" s="36" t="n"/>
      <c r="AQ271" s="36" t="n"/>
      <c r="AR271" s="36" t="n"/>
      <c r="AS271" s="36" t="n"/>
      <c r="AT271" s="36" t="n"/>
      <c r="AU271" s="27" t="n"/>
      <c r="AV271" s="37" t="n"/>
      <c r="AW271" s="38">
        <f>IF(AO271="","",IF(AR271="Yes","❌ Disc",IF(AQ271="No","⚠ Missing",IF(AT271="Yes","✓ OK","⚠ Check"))))</f>
        <v/>
      </c>
    </row>
    <row r="272" ht="18" customHeight="1" s="46">
      <c r="A272" s="39" t="n">
        <v>268</v>
      </c>
      <c r="B272" s="40" t="inlineStr">
        <is>
          <t>BD-VRM-2026-0406</t>
        </is>
      </c>
      <c r="C272" s="41" t="inlineStr">
        <is>
          <t>Excel - Deshaj Wallpaper 7805-2</t>
        </is>
      </c>
      <c r="D272" s="39" t="inlineStr">
        <is>
          <t>Excel</t>
        </is>
      </c>
      <c r="E272" s="43" t="n">
        <v>46125</v>
      </c>
      <c r="F272" s="26" t="inlineStr">
        <is>
          <t>Sunil CR</t>
        </is>
      </c>
      <c r="G272" s="26" t="inlineStr">
        <is>
          <t>Yes</t>
        </is>
      </c>
      <c r="H272" s="26" t="inlineStr">
        <is>
          <t>No</t>
        </is>
      </c>
      <c r="I272" s="26" t="inlineStr">
        <is>
          <t>Good finish</t>
        </is>
      </c>
      <c r="J272" s="26" t="inlineStr">
        <is>
          <t>Yes</t>
        </is>
      </c>
      <c r="K272" s="27" t="n"/>
      <c r="L272" s="28" t="inlineStr">
        <is>
          <t>No</t>
        </is>
      </c>
      <c r="M272" s="29">
        <f>IF(E272="","",IF(H272="Yes","❌ Disc",IF(G272="No","⚠ Missing",IF(J272="Yes","✓ OK","⚠ Check"))))</f>
        <v/>
      </c>
      <c r="N272" s="43" t="n">
        <v>46193</v>
      </c>
      <c r="O272" s="26" t="inlineStr">
        <is>
          <t>Sunil CR</t>
        </is>
      </c>
      <c r="P272" s="26" t="inlineStr">
        <is>
          <t>Yes</t>
        </is>
      </c>
      <c r="Q272" s="26" t="inlineStr">
        <is>
          <t>No</t>
        </is>
      </c>
      <c r="R272" s="26" t="inlineStr">
        <is>
          <t>Good finish</t>
        </is>
      </c>
      <c r="S272" s="26" t="inlineStr">
        <is>
          <t>Yes</t>
        </is>
      </c>
      <c r="T272" s="27" t="n"/>
      <c r="U272" s="28" t="inlineStr">
        <is>
          <t>No</t>
        </is>
      </c>
      <c r="V272" s="29">
        <f>IF(N272="","",IF(Q272="Yes","❌ Disc",IF(P272="No","⚠ Missing",IF(S272="Yes","✓ OK","⚠ Check"))))</f>
        <v/>
      </c>
      <c r="W272" s="65" t="n">
        <v>46248</v>
      </c>
      <c r="X272" s="30" t="inlineStr">
        <is>
          <t>Sunil CR</t>
        </is>
      </c>
      <c r="Y272" s="30" t="inlineStr">
        <is>
          <t>Yes</t>
        </is>
      </c>
      <c r="Z272" s="30" t="n"/>
      <c r="AA272" s="30" t="inlineStr">
        <is>
          <t>Good finish</t>
        </is>
      </c>
      <c r="AB272" s="30" t="inlineStr">
        <is>
          <t>Yes</t>
        </is>
      </c>
      <c r="AC272" s="27" t="n"/>
      <c r="AD272" s="31" t="inlineStr">
        <is>
          <t>No</t>
        </is>
      </c>
      <c r="AE272" s="32">
        <f>IF(W272="","",IF(Z272="Yes","❌ Disc",IF(Y272="No","⚠ Missing",IF(AB272="Yes","✓ OK","⚠ Check"))))</f>
        <v/>
      </c>
      <c r="AF272" s="33" t="n"/>
      <c r="AG272" s="33" t="n"/>
      <c r="AH272" s="33" t="n"/>
      <c r="AI272" s="33" t="n"/>
      <c r="AJ272" s="33" t="n"/>
      <c r="AK272" s="33" t="n"/>
      <c r="AL272" s="27" t="n"/>
      <c r="AM272" s="34" t="n"/>
      <c r="AN272" s="35">
        <f>IF(AF272="","",IF(AI272="Yes","❌ Disc",IF(AH272="No","⚠ Missing",IF(AK272="Yes","✓ OK","⚠ Check"))))</f>
        <v/>
      </c>
      <c r="AO272" s="36" t="n"/>
      <c r="AP272" s="36" t="n"/>
      <c r="AQ272" s="36" t="n"/>
      <c r="AR272" s="36" t="n"/>
      <c r="AS272" s="36" t="n"/>
      <c r="AT272" s="36" t="n"/>
      <c r="AU272" s="27" t="n"/>
      <c r="AV272" s="37" t="n"/>
      <c r="AW272" s="38">
        <f>IF(AO272="","",IF(AR272="Yes","❌ Disc",IF(AQ272="No","⚠ Missing",IF(AT272="Yes","✓ OK","⚠ Check"))))</f>
        <v/>
      </c>
    </row>
    <row r="273" ht="18" customHeight="1" s="46">
      <c r="A273" s="23" t="n">
        <v>269</v>
      </c>
      <c r="B273" s="24" t="inlineStr">
        <is>
          <t>BD-VRM-2026-0407</t>
        </is>
      </c>
      <c r="C273" s="25" t="inlineStr">
        <is>
          <t>Excel - Deshaj Wallpaper 7805-3</t>
        </is>
      </c>
      <c r="D273" s="23" t="inlineStr">
        <is>
          <t>Excel</t>
        </is>
      </c>
      <c r="E273" s="43" t="n">
        <v>46125</v>
      </c>
      <c r="F273" s="26" t="inlineStr">
        <is>
          <t>Sunil CR</t>
        </is>
      </c>
      <c r="G273" s="26" t="inlineStr">
        <is>
          <t>Yes</t>
        </is>
      </c>
      <c r="H273" s="26" t="inlineStr">
        <is>
          <t>No</t>
        </is>
      </c>
      <c r="I273" s="26" t="inlineStr">
        <is>
          <t>Good finish</t>
        </is>
      </c>
      <c r="J273" s="26" t="inlineStr">
        <is>
          <t>Yes</t>
        </is>
      </c>
      <c r="K273" s="27" t="n"/>
      <c r="L273" s="28" t="inlineStr">
        <is>
          <t>No</t>
        </is>
      </c>
      <c r="M273" s="29">
        <f>IF(E273="","",IF(H273="Yes","❌ Disc",IF(G273="No","⚠ Missing",IF(J273="Yes","✓ OK","⚠ Check"))))</f>
        <v/>
      </c>
      <c r="N273" s="43" t="n">
        <v>46193</v>
      </c>
      <c r="O273" s="26" t="inlineStr">
        <is>
          <t>Sunil CR</t>
        </is>
      </c>
      <c r="P273" s="26" t="inlineStr">
        <is>
          <t>Yes</t>
        </is>
      </c>
      <c r="Q273" s="26" t="inlineStr">
        <is>
          <t>No</t>
        </is>
      </c>
      <c r="R273" s="26" t="inlineStr">
        <is>
          <t>Good finish</t>
        </is>
      </c>
      <c r="S273" s="26" t="inlineStr">
        <is>
          <t>Yes</t>
        </is>
      </c>
      <c r="T273" s="27" t="n"/>
      <c r="U273" s="28" t="inlineStr">
        <is>
          <t>No</t>
        </is>
      </c>
      <c r="V273" s="29">
        <f>IF(N273="","",IF(Q273="Yes","❌ Disc",IF(P273="No","⚠ Missing",IF(S273="Yes","✓ OK","⚠ Check"))))</f>
        <v/>
      </c>
      <c r="W273" s="65" t="n">
        <v>46248</v>
      </c>
      <c r="X273" s="30" t="inlineStr">
        <is>
          <t>Sunil CR</t>
        </is>
      </c>
      <c r="Y273" s="30" t="inlineStr">
        <is>
          <t>Yes</t>
        </is>
      </c>
      <c r="Z273" s="30" t="n"/>
      <c r="AA273" s="30" t="inlineStr">
        <is>
          <t>Good finish</t>
        </is>
      </c>
      <c r="AB273" s="30" t="inlineStr">
        <is>
          <t>Yes</t>
        </is>
      </c>
      <c r="AC273" s="27" t="n"/>
      <c r="AD273" s="31" t="inlineStr">
        <is>
          <t>No</t>
        </is>
      </c>
      <c r="AE273" s="32">
        <f>IF(W273="","",IF(Z273="Yes","❌ Disc",IF(Y273="No","⚠ Missing",IF(AB273="Yes","✓ OK","⚠ Check"))))</f>
        <v/>
      </c>
      <c r="AF273" s="33" t="n"/>
      <c r="AG273" s="33" t="n"/>
      <c r="AH273" s="33" t="n"/>
      <c r="AI273" s="33" t="n"/>
      <c r="AJ273" s="33" t="n"/>
      <c r="AK273" s="33" t="n"/>
      <c r="AL273" s="27" t="n"/>
      <c r="AM273" s="34" t="n"/>
      <c r="AN273" s="35">
        <f>IF(AF273="","",IF(AI273="Yes","❌ Disc",IF(AH273="No","⚠ Missing",IF(AK273="Yes","✓ OK","⚠ Check"))))</f>
        <v/>
      </c>
      <c r="AO273" s="36" t="n"/>
      <c r="AP273" s="36" t="n"/>
      <c r="AQ273" s="36" t="n"/>
      <c r="AR273" s="36" t="n"/>
      <c r="AS273" s="36" t="n"/>
      <c r="AT273" s="36" t="n"/>
      <c r="AU273" s="27" t="n"/>
      <c r="AV273" s="37" t="n"/>
      <c r="AW273" s="38">
        <f>IF(AO273="","",IF(AR273="Yes","❌ Disc",IF(AQ273="No","⚠ Missing",IF(AT273="Yes","✓ OK","⚠ Check"))))</f>
        <v/>
      </c>
    </row>
    <row r="274" ht="18" customHeight="1" s="46">
      <c r="A274" s="39" t="n">
        <v>270</v>
      </c>
      <c r="B274" s="40" t="inlineStr">
        <is>
          <t>BD-VRM-2026-0408</t>
        </is>
      </c>
      <c r="C274" s="41" t="inlineStr">
        <is>
          <t>Excel - Deshaj Wallpaper 7805-4</t>
        </is>
      </c>
      <c r="D274" s="39" t="inlineStr">
        <is>
          <t>Excel</t>
        </is>
      </c>
      <c r="E274" s="43" t="n">
        <v>46125</v>
      </c>
      <c r="F274" s="26" t="inlineStr">
        <is>
          <t>Sunil CR</t>
        </is>
      </c>
      <c r="G274" s="26" t="inlineStr">
        <is>
          <t>Yes</t>
        </is>
      </c>
      <c r="H274" s="26" t="inlineStr">
        <is>
          <t>No</t>
        </is>
      </c>
      <c r="I274" s="26" t="inlineStr">
        <is>
          <t>Good finish</t>
        </is>
      </c>
      <c r="J274" s="26" t="inlineStr">
        <is>
          <t>Yes</t>
        </is>
      </c>
      <c r="K274" s="27" t="n"/>
      <c r="L274" s="28" t="inlineStr">
        <is>
          <t>No</t>
        </is>
      </c>
      <c r="M274" s="29">
        <f>IF(E274="","",IF(H274="Yes","❌ Disc",IF(G274="No","⚠ Missing",IF(J274="Yes","✓ OK","⚠ Check"))))</f>
        <v/>
      </c>
      <c r="N274" s="43" t="n">
        <v>46193</v>
      </c>
      <c r="O274" s="26" t="inlineStr">
        <is>
          <t>Sunil CR</t>
        </is>
      </c>
      <c r="P274" s="26" t="inlineStr">
        <is>
          <t>Yes</t>
        </is>
      </c>
      <c r="Q274" s="26" t="inlineStr">
        <is>
          <t>No</t>
        </is>
      </c>
      <c r="R274" s="26" t="inlineStr">
        <is>
          <t>Good finish</t>
        </is>
      </c>
      <c r="S274" s="26" t="inlineStr">
        <is>
          <t>Yes</t>
        </is>
      </c>
      <c r="T274" s="27" t="n"/>
      <c r="U274" s="28" t="inlineStr">
        <is>
          <t>No</t>
        </is>
      </c>
      <c r="V274" s="29">
        <f>IF(N274="","",IF(Q274="Yes","❌ Disc",IF(P274="No","⚠ Missing",IF(S274="Yes","✓ OK","⚠ Check"))))</f>
        <v/>
      </c>
      <c r="W274" s="65" t="n">
        <v>46248</v>
      </c>
      <c r="X274" s="30" t="inlineStr">
        <is>
          <t>Sunil CR</t>
        </is>
      </c>
      <c r="Y274" s="30" t="inlineStr">
        <is>
          <t>Yes</t>
        </is>
      </c>
      <c r="Z274" s="30" t="n"/>
      <c r="AA274" s="30" t="inlineStr">
        <is>
          <t>Good finish</t>
        </is>
      </c>
      <c r="AB274" s="30" t="inlineStr">
        <is>
          <t>Yes</t>
        </is>
      </c>
      <c r="AC274" s="27" t="n"/>
      <c r="AD274" s="31" t="inlineStr">
        <is>
          <t>No</t>
        </is>
      </c>
      <c r="AE274" s="32">
        <f>IF(W274="","",IF(Z274="Yes","❌ Disc",IF(Y274="No","⚠ Missing",IF(AB274="Yes","✓ OK","⚠ Check"))))</f>
        <v/>
      </c>
      <c r="AF274" s="33" t="n"/>
      <c r="AG274" s="33" t="n"/>
      <c r="AH274" s="33" t="n"/>
      <c r="AI274" s="33" t="n"/>
      <c r="AJ274" s="33" t="n"/>
      <c r="AK274" s="33" t="n"/>
      <c r="AL274" s="27" t="n"/>
      <c r="AM274" s="34" t="n"/>
      <c r="AN274" s="35">
        <f>IF(AF274="","",IF(AI274="Yes","❌ Disc",IF(AH274="No","⚠ Missing",IF(AK274="Yes","✓ OK","⚠ Check"))))</f>
        <v/>
      </c>
      <c r="AO274" s="36" t="n"/>
      <c r="AP274" s="36" t="n"/>
      <c r="AQ274" s="36" t="n"/>
      <c r="AR274" s="36" t="n"/>
      <c r="AS274" s="36" t="n"/>
      <c r="AT274" s="36" t="n"/>
      <c r="AU274" s="27" t="n"/>
      <c r="AV274" s="37" t="n"/>
      <c r="AW274" s="38">
        <f>IF(AO274="","",IF(AR274="Yes","❌ Disc",IF(AQ274="No","⚠ Missing",IF(AT274="Yes","✓ OK","⚠ Check"))))</f>
        <v/>
      </c>
    </row>
    <row r="275" ht="18" customHeight="1" s="46">
      <c r="A275" s="23" t="n">
        <v>271</v>
      </c>
      <c r="B275" s="24" t="inlineStr">
        <is>
          <t>BD-VRM-2026-0409</t>
        </is>
      </c>
      <c r="C275" s="25" t="inlineStr">
        <is>
          <t>Excel - Deshaj Wallpaper 7805-5</t>
        </is>
      </c>
      <c r="D275" s="23" t="inlineStr">
        <is>
          <t>Excel</t>
        </is>
      </c>
      <c r="E275" s="43" t="n">
        <v>46125</v>
      </c>
      <c r="F275" s="26" t="inlineStr">
        <is>
          <t>Sunil CR</t>
        </is>
      </c>
      <c r="G275" s="26" t="inlineStr">
        <is>
          <t>Yes</t>
        </is>
      </c>
      <c r="H275" s="26" t="inlineStr">
        <is>
          <t>No</t>
        </is>
      </c>
      <c r="I275" s="26" t="inlineStr">
        <is>
          <t>Good finish</t>
        </is>
      </c>
      <c r="J275" s="26" t="inlineStr">
        <is>
          <t>Yes</t>
        </is>
      </c>
      <c r="K275" s="27" t="n"/>
      <c r="L275" s="28" t="inlineStr">
        <is>
          <t>No</t>
        </is>
      </c>
      <c r="M275" s="29">
        <f>IF(E275="","",IF(H275="Yes","❌ Disc",IF(G275="No","⚠ Missing",IF(J275="Yes","✓ OK","⚠ Check"))))</f>
        <v/>
      </c>
      <c r="N275" s="43" t="n">
        <v>46193</v>
      </c>
      <c r="O275" s="26" t="inlineStr">
        <is>
          <t>Sunil CR</t>
        </is>
      </c>
      <c r="P275" s="26" t="inlineStr">
        <is>
          <t>Yes</t>
        </is>
      </c>
      <c r="Q275" s="26" t="inlineStr">
        <is>
          <t>No</t>
        </is>
      </c>
      <c r="R275" s="26" t="inlineStr">
        <is>
          <t>Good finish</t>
        </is>
      </c>
      <c r="S275" s="26" t="inlineStr">
        <is>
          <t>Yes</t>
        </is>
      </c>
      <c r="T275" s="27" t="n"/>
      <c r="U275" s="28" t="inlineStr">
        <is>
          <t>No</t>
        </is>
      </c>
      <c r="V275" s="29">
        <f>IF(N275="","",IF(Q275="Yes","❌ Disc",IF(P275="No","⚠ Missing",IF(S275="Yes","✓ OK","⚠ Check"))))</f>
        <v/>
      </c>
      <c r="W275" s="65" t="n">
        <v>46248</v>
      </c>
      <c r="X275" s="30" t="inlineStr">
        <is>
          <t>Sunil CR</t>
        </is>
      </c>
      <c r="Y275" s="30" t="inlineStr">
        <is>
          <t>Yes</t>
        </is>
      </c>
      <c r="Z275" s="30" t="n"/>
      <c r="AA275" s="30" t="inlineStr">
        <is>
          <t>Good finish</t>
        </is>
      </c>
      <c r="AB275" s="30" t="inlineStr">
        <is>
          <t>Yes</t>
        </is>
      </c>
      <c r="AC275" s="27" t="n"/>
      <c r="AD275" s="31" t="inlineStr">
        <is>
          <t>No</t>
        </is>
      </c>
      <c r="AE275" s="32">
        <f>IF(W275="","",IF(Z275="Yes","❌ Disc",IF(Y275="No","⚠ Missing",IF(AB275="Yes","✓ OK","⚠ Check"))))</f>
        <v/>
      </c>
      <c r="AF275" s="33" t="n"/>
      <c r="AG275" s="33" t="n"/>
      <c r="AH275" s="33" t="n"/>
      <c r="AI275" s="33" t="n"/>
      <c r="AJ275" s="33" t="n"/>
      <c r="AK275" s="33" t="n"/>
      <c r="AL275" s="27" t="n"/>
      <c r="AM275" s="34" t="n"/>
      <c r="AN275" s="35">
        <f>IF(AF275="","",IF(AI275="Yes","❌ Disc",IF(AH275="No","⚠ Missing",IF(AK275="Yes","✓ OK","⚠ Check"))))</f>
        <v/>
      </c>
      <c r="AO275" s="36" t="n"/>
      <c r="AP275" s="36" t="n"/>
      <c r="AQ275" s="36" t="n"/>
      <c r="AR275" s="36" t="n"/>
      <c r="AS275" s="36" t="n"/>
      <c r="AT275" s="36" t="n"/>
      <c r="AU275" s="27" t="n"/>
      <c r="AV275" s="37" t="n"/>
      <c r="AW275" s="38">
        <f>IF(AO275="","",IF(AR275="Yes","❌ Disc",IF(AQ275="No","⚠ Missing",IF(AT275="Yes","✓ OK","⚠ Check"))))</f>
        <v/>
      </c>
    </row>
    <row r="276" ht="18" customHeight="1" s="46">
      <c r="A276" s="39" t="n">
        <v>272</v>
      </c>
      <c r="B276" s="40" t="inlineStr">
        <is>
          <t>BD-VRM-2026-0410</t>
        </is>
      </c>
      <c r="C276" s="41" t="inlineStr">
        <is>
          <t>Excel - Deshaj Wallpaper 7805-6</t>
        </is>
      </c>
      <c r="D276" s="39" t="inlineStr">
        <is>
          <t>Excel</t>
        </is>
      </c>
      <c r="E276" s="43" t="n">
        <v>46125</v>
      </c>
      <c r="F276" s="26" t="inlineStr">
        <is>
          <t>Sunil CR</t>
        </is>
      </c>
      <c r="G276" s="26" t="inlineStr">
        <is>
          <t>Yes</t>
        </is>
      </c>
      <c r="H276" s="26" t="inlineStr">
        <is>
          <t>No</t>
        </is>
      </c>
      <c r="I276" s="26" t="inlineStr">
        <is>
          <t>Good finish</t>
        </is>
      </c>
      <c r="J276" s="26" t="inlineStr">
        <is>
          <t>Yes</t>
        </is>
      </c>
      <c r="K276" s="27" t="n"/>
      <c r="L276" s="28" t="inlineStr">
        <is>
          <t>No</t>
        </is>
      </c>
      <c r="M276" s="29">
        <f>IF(E276="","",IF(H276="Yes","❌ Disc",IF(G276="No","⚠ Missing",IF(J276="Yes","✓ OK","⚠ Check"))))</f>
        <v/>
      </c>
      <c r="N276" s="43" t="n">
        <v>46193</v>
      </c>
      <c r="O276" s="26" t="inlineStr">
        <is>
          <t>Sunil CR</t>
        </is>
      </c>
      <c r="P276" s="26" t="inlineStr">
        <is>
          <t>Yes</t>
        </is>
      </c>
      <c r="Q276" s="26" t="inlineStr">
        <is>
          <t>No</t>
        </is>
      </c>
      <c r="R276" s="26" t="inlineStr">
        <is>
          <t>Good finish</t>
        </is>
      </c>
      <c r="S276" s="26" t="inlineStr">
        <is>
          <t>Yes</t>
        </is>
      </c>
      <c r="T276" s="27" t="n"/>
      <c r="U276" s="28" t="inlineStr">
        <is>
          <t>No</t>
        </is>
      </c>
      <c r="V276" s="29">
        <f>IF(N276="","",IF(Q276="Yes","❌ Disc",IF(P276="No","⚠ Missing",IF(S276="Yes","✓ OK","⚠ Check"))))</f>
        <v/>
      </c>
      <c r="W276" s="65" t="n">
        <v>46248</v>
      </c>
      <c r="X276" s="30" t="inlineStr">
        <is>
          <t>Sunil CR</t>
        </is>
      </c>
      <c r="Y276" s="30" t="inlineStr">
        <is>
          <t>Yes</t>
        </is>
      </c>
      <c r="Z276" s="30" t="n"/>
      <c r="AA276" s="30" t="inlineStr">
        <is>
          <t>Good finish</t>
        </is>
      </c>
      <c r="AB276" s="30" t="inlineStr">
        <is>
          <t>Yes</t>
        </is>
      </c>
      <c r="AC276" s="27" t="n"/>
      <c r="AD276" s="31" t="inlineStr">
        <is>
          <t>No</t>
        </is>
      </c>
      <c r="AE276" s="32">
        <f>IF(W276="","",IF(Z276="Yes","❌ Disc",IF(Y276="No","⚠ Missing",IF(AB276="Yes","✓ OK","⚠ Check"))))</f>
        <v/>
      </c>
      <c r="AF276" s="33" t="n"/>
      <c r="AG276" s="33" t="n"/>
      <c r="AH276" s="33" t="n"/>
      <c r="AI276" s="33" t="n"/>
      <c r="AJ276" s="33" t="n"/>
      <c r="AK276" s="33" t="n"/>
      <c r="AL276" s="27" t="n"/>
      <c r="AM276" s="34" t="n"/>
      <c r="AN276" s="35">
        <f>IF(AF276="","",IF(AI276="Yes","❌ Disc",IF(AH276="No","⚠ Missing",IF(AK276="Yes","✓ OK","⚠ Check"))))</f>
        <v/>
      </c>
      <c r="AO276" s="36" t="n"/>
      <c r="AP276" s="36" t="n"/>
      <c r="AQ276" s="36" t="n"/>
      <c r="AR276" s="36" t="n"/>
      <c r="AS276" s="36" t="n"/>
      <c r="AT276" s="36" t="n"/>
      <c r="AU276" s="27" t="n"/>
      <c r="AV276" s="37" t="n"/>
      <c r="AW276" s="38">
        <f>IF(AO276="","",IF(AR276="Yes","❌ Disc",IF(AQ276="No","⚠ Missing",IF(AT276="Yes","✓ OK","⚠ Check"))))</f>
        <v/>
      </c>
    </row>
    <row r="277" ht="18" customHeight="1" s="46">
      <c r="A277" s="23" t="n">
        <v>273</v>
      </c>
      <c r="B277" s="24" t="inlineStr">
        <is>
          <t>BD-VRM-2026-0411</t>
        </is>
      </c>
      <c r="C277" s="25" t="inlineStr">
        <is>
          <t>Excel - Deshaj Wallpaper 7806-1</t>
        </is>
      </c>
      <c r="D277" s="23" t="inlineStr">
        <is>
          <t>Excel</t>
        </is>
      </c>
      <c r="E277" s="43" t="n">
        <v>46125</v>
      </c>
      <c r="F277" s="26" t="inlineStr">
        <is>
          <t>Sunil CR</t>
        </is>
      </c>
      <c r="G277" s="26" t="inlineStr">
        <is>
          <t>Yes</t>
        </is>
      </c>
      <c r="H277" s="26" t="inlineStr">
        <is>
          <t>No</t>
        </is>
      </c>
      <c r="I277" s="26" t="inlineStr">
        <is>
          <t>Good finish</t>
        </is>
      </c>
      <c r="J277" s="26" t="inlineStr">
        <is>
          <t>Yes</t>
        </is>
      </c>
      <c r="K277" s="27" t="n"/>
      <c r="L277" s="28" t="inlineStr">
        <is>
          <t>No</t>
        </is>
      </c>
      <c r="M277" s="29">
        <f>IF(E277="","",IF(H277="Yes","❌ Disc",IF(G277="No","⚠ Missing",IF(J277="Yes","✓ OK","⚠ Check"))))</f>
        <v/>
      </c>
      <c r="N277" s="43" t="n">
        <v>46193</v>
      </c>
      <c r="O277" s="26" t="inlineStr">
        <is>
          <t>Sunil CR</t>
        </is>
      </c>
      <c r="P277" s="26" t="inlineStr">
        <is>
          <t>Yes</t>
        </is>
      </c>
      <c r="Q277" s="26" t="inlineStr">
        <is>
          <t>No</t>
        </is>
      </c>
      <c r="R277" s="26" t="inlineStr">
        <is>
          <t>Good finish</t>
        </is>
      </c>
      <c r="S277" s="26" t="inlineStr">
        <is>
          <t>Yes</t>
        </is>
      </c>
      <c r="T277" s="27" t="n"/>
      <c r="U277" s="28" t="inlineStr">
        <is>
          <t>No</t>
        </is>
      </c>
      <c r="V277" s="29">
        <f>IF(N277="","",IF(Q277="Yes","❌ Disc",IF(P277="No","⚠ Missing",IF(S277="Yes","✓ OK","⚠ Check"))))</f>
        <v/>
      </c>
      <c r="W277" s="65" t="n">
        <v>46248</v>
      </c>
      <c r="X277" s="30" t="inlineStr">
        <is>
          <t>Sunil CR</t>
        </is>
      </c>
      <c r="Y277" s="30" t="inlineStr">
        <is>
          <t>Yes</t>
        </is>
      </c>
      <c r="Z277" s="30" t="n"/>
      <c r="AA277" s="30" t="inlineStr">
        <is>
          <t>Good finish</t>
        </is>
      </c>
      <c r="AB277" s="30" t="inlineStr">
        <is>
          <t>Yes</t>
        </is>
      </c>
      <c r="AC277" s="27" t="n"/>
      <c r="AD277" s="31" t="inlineStr">
        <is>
          <t>No</t>
        </is>
      </c>
      <c r="AE277" s="32">
        <f>IF(W277="","",IF(Z277="Yes","❌ Disc",IF(Y277="No","⚠ Missing",IF(AB277="Yes","✓ OK","⚠ Check"))))</f>
        <v/>
      </c>
      <c r="AF277" s="33" t="n"/>
      <c r="AG277" s="33" t="n"/>
      <c r="AH277" s="33" t="n"/>
      <c r="AI277" s="33" t="n"/>
      <c r="AJ277" s="33" t="n"/>
      <c r="AK277" s="33" t="n"/>
      <c r="AL277" s="27" t="n"/>
      <c r="AM277" s="34" t="n"/>
      <c r="AN277" s="35">
        <f>IF(AF277="","",IF(AI277="Yes","❌ Disc",IF(AH277="No","⚠ Missing",IF(AK277="Yes","✓ OK","⚠ Check"))))</f>
        <v/>
      </c>
      <c r="AO277" s="36" t="n"/>
      <c r="AP277" s="36" t="n"/>
      <c r="AQ277" s="36" t="n"/>
      <c r="AR277" s="36" t="n"/>
      <c r="AS277" s="36" t="n"/>
      <c r="AT277" s="36" t="n"/>
      <c r="AU277" s="27" t="n"/>
      <c r="AV277" s="37" t="n"/>
      <c r="AW277" s="38">
        <f>IF(AO277="","",IF(AR277="Yes","❌ Disc",IF(AQ277="No","⚠ Missing",IF(AT277="Yes","✓ OK","⚠ Check"))))</f>
        <v/>
      </c>
    </row>
    <row r="278" ht="18" customHeight="1" s="46">
      <c r="A278" s="39" t="n">
        <v>274</v>
      </c>
      <c r="B278" s="40" t="inlineStr">
        <is>
          <t>BD-VRM-2026-0412</t>
        </is>
      </c>
      <c r="C278" s="41" t="inlineStr">
        <is>
          <t>Excel - Deshaj Wallpaper 7806-2</t>
        </is>
      </c>
      <c r="D278" s="39" t="inlineStr">
        <is>
          <t>Excel</t>
        </is>
      </c>
      <c r="E278" s="43" t="n">
        <v>46125</v>
      </c>
      <c r="F278" s="26" t="inlineStr">
        <is>
          <t>Sunil CR</t>
        </is>
      </c>
      <c r="G278" s="26" t="inlineStr">
        <is>
          <t>Yes</t>
        </is>
      </c>
      <c r="H278" s="26" t="inlineStr">
        <is>
          <t>No</t>
        </is>
      </c>
      <c r="I278" s="26" t="inlineStr">
        <is>
          <t>Good finish</t>
        </is>
      </c>
      <c r="J278" s="26" t="inlineStr">
        <is>
          <t>Yes</t>
        </is>
      </c>
      <c r="K278" s="27" t="n"/>
      <c r="L278" s="28" t="inlineStr">
        <is>
          <t>No</t>
        </is>
      </c>
      <c r="M278" s="29">
        <f>IF(E278="","",IF(H278="Yes","❌ Disc",IF(G278="No","⚠ Missing",IF(J278="Yes","✓ OK","⚠ Check"))))</f>
        <v/>
      </c>
      <c r="N278" s="43" t="n">
        <v>46193</v>
      </c>
      <c r="O278" s="26" t="inlineStr">
        <is>
          <t>Sunil CR</t>
        </is>
      </c>
      <c r="P278" s="26" t="inlineStr">
        <is>
          <t>Yes</t>
        </is>
      </c>
      <c r="Q278" s="26" t="inlineStr">
        <is>
          <t>No</t>
        </is>
      </c>
      <c r="R278" s="26" t="inlineStr">
        <is>
          <t>Good finish</t>
        </is>
      </c>
      <c r="S278" s="26" t="inlineStr">
        <is>
          <t>Yes</t>
        </is>
      </c>
      <c r="T278" s="27" t="n"/>
      <c r="U278" s="28" t="inlineStr">
        <is>
          <t>No</t>
        </is>
      </c>
      <c r="V278" s="29">
        <f>IF(N278="","",IF(Q278="Yes","❌ Disc",IF(P278="No","⚠ Missing",IF(S278="Yes","✓ OK","⚠ Check"))))</f>
        <v/>
      </c>
      <c r="W278" s="65" t="n">
        <v>46248</v>
      </c>
      <c r="X278" s="30" t="inlineStr">
        <is>
          <t>Sunil CR</t>
        </is>
      </c>
      <c r="Y278" s="30" t="inlineStr">
        <is>
          <t>Yes</t>
        </is>
      </c>
      <c r="Z278" s="30" t="n"/>
      <c r="AA278" s="30" t="inlineStr">
        <is>
          <t>Good finish</t>
        </is>
      </c>
      <c r="AB278" s="30" t="inlineStr">
        <is>
          <t>Yes</t>
        </is>
      </c>
      <c r="AC278" s="27" t="n"/>
      <c r="AD278" s="31" t="inlineStr">
        <is>
          <t>No</t>
        </is>
      </c>
      <c r="AE278" s="32">
        <f>IF(W278="","",IF(Z278="Yes","❌ Disc",IF(Y278="No","⚠ Missing",IF(AB278="Yes","✓ OK","⚠ Check"))))</f>
        <v/>
      </c>
      <c r="AF278" s="33" t="n"/>
      <c r="AG278" s="33" t="n"/>
      <c r="AH278" s="33" t="n"/>
      <c r="AI278" s="33" t="n"/>
      <c r="AJ278" s="33" t="n"/>
      <c r="AK278" s="33" t="n"/>
      <c r="AL278" s="27" t="n"/>
      <c r="AM278" s="34" t="n"/>
      <c r="AN278" s="35">
        <f>IF(AF278="","",IF(AI278="Yes","❌ Disc",IF(AH278="No","⚠ Missing",IF(AK278="Yes","✓ OK","⚠ Check"))))</f>
        <v/>
      </c>
      <c r="AO278" s="36" t="n"/>
      <c r="AP278" s="36" t="n"/>
      <c r="AQ278" s="36" t="n"/>
      <c r="AR278" s="36" t="n"/>
      <c r="AS278" s="36" t="n"/>
      <c r="AT278" s="36" t="n"/>
      <c r="AU278" s="27" t="n"/>
      <c r="AV278" s="37" t="n"/>
      <c r="AW278" s="38">
        <f>IF(AO278="","",IF(AR278="Yes","❌ Disc",IF(AQ278="No","⚠ Missing",IF(AT278="Yes","✓ OK","⚠ Check"))))</f>
        <v/>
      </c>
    </row>
    <row r="279" ht="18" customHeight="1" s="46">
      <c r="A279" s="23" t="n">
        <v>275</v>
      </c>
      <c r="B279" s="24" t="inlineStr">
        <is>
          <t>BD-VRM-2026-0413</t>
        </is>
      </c>
      <c r="C279" s="25" t="inlineStr">
        <is>
          <t>Excel - Deshaj Wallpaper 7806-3</t>
        </is>
      </c>
      <c r="D279" s="23" t="inlineStr">
        <is>
          <t>Excel</t>
        </is>
      </c>
      <c r="E279" s="43" t="n">
        <v>46125</v>
      </c>
      <c r="F279" s="26" t="inlineStr">
        <is>
          <t>Sunil CR</t>
        </is>
      </c>
      <c r="G279" s="26" t="inlineStr">
        <is>
          <t>Yes</t>
        </is>
      </c>
      <c r="H279" s="26" t="inlineStr">
        <is>
          <t>No</t>
        </is>
      </c>
      <c r="I279" s="26" t="inlineStr">
        <is>
          <t>Good finish</t>
        </is>
      </c>
      <c r="J279" s="26" t="inlineStr">
        <is>
          <t>Yes</t>
        </is>
      </c>
      <c r="K279" s="27" t="n"/>
      <c r="L279" s="28" t="inlineStr">
        <is>
          <t>No</t>
        </is>
      </c>
      <c r="M279" s="29">
        <f>IF(E279="","",IF(H279="Yes","❌ Disc",IF(G279="No","⚠ Missing",IF(J279="Yes","✓ OK","⚠ Check"))))</f>
        <v/>
      </c>
      <c r="N279" s="43" t="n">
        <v>46193</v>
      </c>
      <c r="O279" s="26" t="inlineStr">
        <is>
          <t>Sunil CR</t>
        </is>
      </c>
      <c r="P279" s="26" t="inlineStr">
        <is>
          <t>Yes</t>
        </is>
      </c>
      <c r="Q279" s="26" t="inlineStr">
        <is>
          <t>No</t>
        </is>
      </c>
      <c r="R279" s="26" t="inlineStr">
        <is>
          <t>Good finish</t>
        </is>
      </c>
      <c r="S279" s="26" t="inlineStr">
        <is>
          <t>Yes</t>
        </is>
      </c>
      <c r="T279" s="27" t="n"/>
      <c r="U279" s="28" t="inlineStr">
        <is>
          <t>No</t>
        </is>
      </c>
      <c r="V279" s="29">
        <f>IF(N279="","",IF(Q279="Yes","❌ Disc",IF(P279="No","⚠ Missing",IF(S279="Yes","✓ OK","⚠ Check"))))</f>
        <v/>
      </c>
      <c r="W279" s="65" t="n">
        <v>46248</v>
      </c>
      <c r="X279" s="30" t="inlineStr">
        <is>
          <t>Sunil CR</t>
        </is>
      </c>
      <c r="Y279" s="30" t="inlineStr">
        <is>
          <t>Yes</t>
        </is>
      </c>
      <c r="Z279" s="30" t="n"/>
      <c r="AA279" s="30" t="inlineStr">
        <is>
          <t>Good finish</t>
        </is>
      </c>
      <c r="AB279" s="30" t="inlineStr">
        <is>
          <t>Yes</t>
        </is>
      </c>
      <c r="AC279" s="27" t="n"/>
      <c r="AD279" s="31" t="inlineStr">
        <is>
          <t>No</t>
        </is>
      </c>
      <c r="AE279" s="32">
        <f>IF(W279="","",IF(Z279="Yes","❌ Disc",IF(Y279="No","⚠ Missing",IF(AB279="Yes","✓ OK","⚠ Check"))))</f>
        <v/>
      </c>
      <c r="AF279" s="33" t="n"/>
      <c r="AG279" s="33" t="n"/>
      <c r="AH279" s="33" t="n"/>
      <c r="AI279" s="33" t="n"/>
      <c r="AJ279" s="33" t="n"/>
      <c r="AK279" s="33" t="n"/>
      <c r="AL279" s="27" t="n"/>
      <c r="AM279" s="34" t="n"/>
      <c r="AN279" s="35">
        <f>IF(AF279="","",IF(AI279="Yes","❌ Disc",IF(AH279="No","⚠ Missing",IF(AK279="Yes","✓ OK","⚠ Check"))))</f>
        <v/>
      </c>
      <c r="AO279" s="36" t="n"/>
      <c r="AP279" s="36" t="n"/>
      <c r="AQ279" s="36" t="n"/>
      <c r="AR279" s="36" t="n"/>
      <c r="AS279" s="36" t="n"/>
      <c r="AT279" s="36" t="n"/>
      <c r="AU279" s="27" t="n"/>
      <c r="AV279" s="37" t="n"/>
      <c r="AW279" s="38">
        <f>IF(AO279="","",IF(AR279="Yes","❌ Disc",IF(AQ279="No","⚠ Missing",IF(AT279="Yes","✓ OK","⚠ Check"))))</f>
        <v/>
      </c>
    </row>
    <row r="280" ht="18" customHeight="1" s="46">
      <c r="A280" s="39" t="n">
        <v>276</v>
      </c>
      <c r="B280" s="40" t="inlineStr">
        <is>
          <t>BD-VRM-2026-0414</t>
        </is>
      </c>
      <c r="C280" s="41" t="inlineStr">
        <is>
          <t>Excel - Deshaj Wallpaper 7806-4</t>
        </is>
      </c>
      <c r="D280" s="39" t="inlineStr">
        <is>
          <t>Excel</t>
        </is>
      </c>
      <c r="E280" s="43" t="n">
        <v>46125</v>
      </c>
      <c r="F280" s="26" t="inlineStr">
        <is>
          <t>Sunil CR</t>
        </is>
      </c>
      <c r="G280" s="26" t="inlineStr">
        <is>
          <t>Yes</t>
        </is>
      </c>
      <c r="H280" s="26" t="inlineStr">
        <is>
          <t>No</t>
        </is>
      </c>
      <c r="I280" s="26" t="inlineStr">
        <is>
          <t>Good finish</t>
        </is>
      </c>
      <c r="J280" s="26" t="inlineStr">
        <is>
          <t>Yes</t>
        </is>
      </c>
      <c r="K280" s="27" t="n"/>
      <c r="L280" s="28" t="inlineStr">
        <is>
          <t>No</t>
        </is>
      </c>
      <c r="M280" s="29">
        <f>IF(E280="","",IF(H280="Yes","❌ Disc",IF(G280="No","⚠ Missing",IF(J280="Yes","✓ OK","⚠ Check"))))</f>
        <v/>
      </c>
      <c r="N280" s="43" t="n">
        <v>46193</v>
      </c>
      <c r="O280" s="26" t="inlineStr">
        <is>
          <t>Sunil CR</t>
        </is>
      </c>
      <c r="P280" s="26" t="inlineStr">
        <is>
          <t>Yes</t>
        </is>
      </c>
      <c r="Q280" s="26" t="inlineStr">
        <is>
          <t>No</t>
        </is>
      </c>
      <c r="R280" s="26" t="inlineStr">
        <is>
          <t>Good finish</t>
        </is>
      </c>
      <c r="S280" s="26" t="inlineStr">
        <is>
          <t>Yes</t>
        </is>
      </c>
      <c r="T280" s="27" t="n"/>
      <c r="U280" s="28" t="inlineStr">
        <is>
          <t>No</t>
        </is>
      </c>
      <c r="V280" s="29">
        <f>IF(N280="","",IF(Q280="Yes","❌ Disc",IF(P280="No","⚠ Missing",IF(S280="Yes","✓ OK","⚠ Check"))))</f>
        <v/>
      </c>
      <c r="W280" s="65" t="n">
        <v>46248</v>
      </c>
      <c r="X280" s="30" t="inlineStr">
        <is>
          <t>Sunil CR</t>
        </is>
      </c>
      <c r="Y280" s="30" t="inlineStr">
        <is>
          <t>Yes</t>
        </is>
      </c>
      <c r="Z280" s="30" t="n"/>
      <c r="AA280" s="30" t="inlineStr">
        <is>
          <t>Good finish</t>
        </is>
      </c>
      <c r="AB280" s="30" t="inlineStr">
        <is>
          <t>Yes</t>
        </is>
      </c>
      <c r="AC280" s="27" t="n"/>
      <c r="AD280" s="31" t="inlineStr">
        <is>
          <t>No</t>
        </is>
      </c>
      <c r="AE280" s="32">
        <f>IF(W280="","",IF(Z280="Yes","❌ Disc",IF(Y280="No","⚠ Missing",IF(AB280="Yes","✓ OK","⚠ Check"))))</f>
        <v/>
      </c>
      <c r="AF280" s="33" t="n"/>
      <c r="AG280" s="33" t="n"/>
      <c r="AH280" s="33" t="n"/>
      <c r="AI280" s="33" t="n"/>
      <c r="AJ280" s="33" t="n"/>
      <c r="AK280" s="33" t="n"/>
      <c r="AL280" s="27" t="n"/>
      <c r="AM280" s="34" t="n"/>
      <c r="AN280" s="35">
        <f>IF(AF280="","",IF(AI280="Yes","❌ Disc",IF(AH280="No","⚠ Missing",IF(AK280="Yes","✓ OK","⚠ Check"))))</f>
        <v/>
      </c>
      <c r="AO280" s="36" t="n"/>
      <c r="AP280" s="36" t="n"/>
      <c r="AQ280" s="36" t="n"/>
      <c r="AR280" s="36" t="n"/>
      <c r="AS280" s="36" t="n"/>
      <c r="AT280" s="36" t="n"/>
      <c r="AU280" s="27" t="n"/>
      <c r="AV280" s="37" t="n"/>
      <c r="AW280" s="38">
        <f>IF(AO280="","",IF(AR280="Yes","❌ Disc",IF(AQ280="No","⚠ Missing",IF(AT280="Yes","✓ OK","⚠ Check"))))</f>
        <v/>
      </c>
    </row>
    <row r="281" ht="18" customHeight="1" s="46">
      <c r="A281" s="23" t="n">
        <v>277</v>
      </c>
      <c r="B281" s="24" t="inlineStr">
        <is>
          <t>BD-VRM-2026-0415</t>
        </is>
      </c>
      <c r="C281" s="25" t="inlineStr">
        <is>
          <t>Excel - Deshaj Wallpaper 7806-5</t>
        </is>
      </c>
      <c r="D281" s="23" t="inlineStr">
        <is>
          <t>Excel</t>
        </is>
      </c>
      <c r="E281" s="43" t="n">
        <v>46125</v>
      </c>
      <c r="F281" s="26" t="inlineStr">
        <is>
          <t>Sunil CR</t>
        </is>
      </c>
      <c r="G281" s="26" t="inlineStr">
        <is>
          <t>Yes</t>
        </is>
      </c>
      <c r="H281" s="26" t="inlineStr">
        <is>
          <t>No</t>
        </is>
      </c>
      <c r="I281" s="26" t="inlineStr">
        <is>
          <t>Good finish</t>
        </is>
      </c>
      <c r="J281" s="26" t="inlineStr">
        <is>
          <t>Yes</t>
        </is>
      </c>
      <c r="K281" s="27" t="n"/>
      <c r="L281" s="28" t="inlineStr">
        <is>
          <t>No</t>
        </is>
      </c>
      <c r="M281" s="29">
        <f>IF(E281="","",IF(H281="Yes","❌ Disc",IF(G281="No","⚠ Missing",IF(J281="Yes","✓ OK","⚠ Check"))))</f>
        <v/>
      </c>
      <c r="N281" s="43" t="n">
        <v>46193</v>
      </c>
      <c r="O281" s="26" t="inlineStr">
        <is>
          <t>Sunil CR</t>
        </is>
      </c>
      <c r="P281" s="26" t="inlineStr">
        <is>
          <t>Yes</t>
        </is>
      </c>
      <c r="Q281" s="26" t="inlineStr">
        <is>
          <t>No</t>
        </is>
      </c>
      <c r="R281" s="26" t="inlineStr">
        <is>
          <t>Good finish</t>
        </is>
      </c>
      <c r="S281" s="26" t="inlineStr">
        <is>
          <t>Yes</t>
        </is>
      </c>
      <c r="T281" s="27" t="n"/>
      <c r="U281" s="28" t="inlineStr">
        <is>
          <t>No</t>
        </is>
      </c>
      <c r="V281" s="29">
        <f>IF(N281="","",IF(Q281="Yes","❌ Disc",IF(P281="No","⚠ Missing",IF(S281="Yes","✓ OK","⚠ Check"))))</f>
        <v/>
      </c>
      <c r="W281" s="65" t="n">
        <v>46248</v>
      </c>
      <c r="X281" s="30" t="inlineStr">
        <is>
          <t>Sunil CR</t>
        </is>
      </c>
      <c r="Y281" s="30" t="inlineStr">
        <is>
          <t>Yes</t>
        </is>
      </c>
      <c r="Z281" s="30" t="n"/>
      <c r="AA281" s="30" t="inlineStr">
        <is>
          <t>Good finish</t>
        </is>
      </c>
      <c r="AB281" s="30" t="inlineStr">
        <is>
          <t>Yes</t>
        </is>
      </c>
      <c r="AC281" s="27" t="n"/>
      <c r="AD281" s="31" t="inlineStr">
        <is>
          <t>No</t>
        </is>
      </c>
      <c r="AE281" s="32">
        <f>IF(W281="","",IF(Z281="Yes","❌ Disc",IF(Y281="No","⚠ Missing",IF(AB281="Yes","✓ OK","⚠ Check"))))</f>
        <v/>
      </c>
      <c r="AF281" s="33" t="n"/>
      <c r="AG281" s="33" t="n"/>
      <c r="AH281" s="33" t="n"/>
      <c r="AI281" s="33" t="n"/>
      <c r="AJ281" s="33" t="n"/>
      <c r="AK281" s="33" t="n"/>
      <c r="AL281" s="27" t="n"/>
      <c r="AM281" s="34" t="n"/>
      <c r="AN281" s="35">
        <f>IF(AF281="","",IF(AI281="Yes","❌ Disc",IF(AH281="No","⚠ Missing",IF(AK281="Yes","✓ OK","⚠ Check"))))</f>
        <v/>
      </c>
      <c r="AO281" s="36" t="n"/>
      <c r="AP281" s="36" t="n"/>
      <c r="AQ281" s="36" t="n"/>
      <c r="AR281" s="36" t="n"/>
      <c r="AS281" s="36" t="n"/>
      <c r="AT281" s="36" t="n"/>
      <c r="AU281" s="27" t="n"/>
      <c r="AV281" s="37" t="n"/>
      <c r="AW281" s="38">
        <f>IF(AO281="","",IF(AR281="Yes","❌ Disc",IF(AQ281="No","⚠ Missing",IF(AT281="Yes","✓ OK","⚠ Check"))))</f>
        <v/>
      </c>
    </row>
    <row r="282" ht="18" customHeight="1" s="46">
      <c r="A282" s="39" t="n">
        <v>278</v>
      </c>
      <c r="B282" s="40" t="inlineStr">
        <is>
          <t>BD-VRM-2026-0416</t>
        </is>
      </c>
      <c r="C282" s="41" t="inlineStr">
        <is>
          <t>Excel - Deshaj Wallpaper 7807-1</t>
        </is>
      </c>
      <c r="D282" s="39" t="inlineStr">
        <is>
          <t>Excel</t>
        </is>
      </c>
      <c r="E282" s="43" t="n">
        <v>46125</v>
      </c>
      <c r="F282" s="26" t="inlineStr">
        <is>
          <t>Sunil CR</t>
        </is>
      </c>
      <c r="G282" s="26" t="inlineStr">
        <is>
          <t>Yes</t>
        </is>
      </c>
      <c r="H282" s="26" t="inlineStr">
        <is>
          <t>No</t>
        </is>
      </c>
      <c r="I282" s="26" t="inlineStr">
        <is>
          <t>Good finish</t>
        </is>
      </c>
      <c r="J282" s="26" t="inlineStr">
        <is>
          <t>Yes</t>
        </is>
      </c>
      <c r="K282" s="27" t="n"/>
      <c r="L282" s="28" t="inlineStr">
        <is>
          <t>No</t>
        </is>
      </c>
      <c r="M282" s="29">
        <f>IF(E282="","",IF(H282="Yes","❌ Disc",IF(G282="No","⚠ Missing",IF(J282="Yes","✓ OK","⚠ Check"))))</f>
        <v/>
      </c>
      <c r="N282" s="43" t="n">
        <v>46193</v>
      </c>
      <c r="O282" s="26" t="inlineStr">
        <is>
          <t>Sunil CR</t>
        </is>
      </c>
      <c r="P282" s="26" t="inlineStr">
        <is>
          <t>Yes</t>
        </is>
      </c>
      <c r="Q282" s="26" t="inlineStr">
        <is>
          <t>No</t>
        </is>
      </c>
      <c r="R282" s="26" t="inlineStr">
        <is>
          <t>Good finish</t>
        </is>
      </c>
      <c r="S282" s="26" t="inlineStr">
        <is>
          <t>Yes</t>
        </is>
      </c>
      <c r="T282" s="27" t="n"/>
      <c r="U282" s="28" t="inlineStr">
        <is>
          <t>No</t>
        </is>
      </c>
      <c r="V282" s="29">
        <f>IF(N282="","",IF(Q282="Yes","❌ Disc",IF(P282="No","⚠ Missing",IF(S282="Yes","✓ OK","⚠ Check"))))</f>
        <v/>
      </c>
      <c r="W282" s="65" t="n">
        <v>46248</v>
      </c>
      <c r="X282" s="30" t="inlineStr">
        <is>
          <t>Sunil CR</t>
        </is>
      </c>
      <c r="Y282" s="30" t="inlineStr">
        <is>
          <t>Yes</t>
        </is>
      </c>
      <c r="Z282" s="30" t="n"/>
      <c r="AA282" s="30" t="inlineStr">
        <is>
          <t>Good finish</t>
        </is>
      </c>
      <c r="AB282" s="30" t="inlineStr">
        <is>
          <t>Yes</t>
        </is>
      </c>
      <c r="AC282" s="27" t="n"/>
      <c r="AD282" s="31" t="inlineStr">
        <is>
          <t>No</t>
        </is>
      </c>
      <c r="AE282" s="32">
        <f>IF(W282="","",IF(Z282="Yes","❌ Disc",IF(Y282="No","⚠ Missing",IF(AB282="Yes","✓ OK","⚠ Check"))))</f>
        <v/>
      </c>
      <c r="AF282" s="33" t="n"/>
      <c r="AG282" s="33" t="n"/>
      <c r="AH282" s="33" t="n"/>
      <c r="AI282" s="33" t="n"/>
      <c r="AJ282" s="33" t="n"/>
      <c r="AK282" s="33" t="n"/>
      <c r="AL282" s="27" t="n"/>
      <c r="AM282" s="34" t="n"/>
      <c r="AN282" s="35">
        <f>IF(AF282="","",IF(AI282="Yes","❌ Disc",IF(AH282="No","⚠ Missing",IF(AK282="Yes","✓ OK","⚠ Check"))))</f>
        <v/>
      </c>
      <c r="AO282" s="36" t="n"/>
      <c r="AP282" s="36" t="n"/>
      <c r="AQ282" s="36" t="n"/>
      <c r="AR282" s="36" t="n"/>
      <c r="AS282" s="36" t="n"/>
      <c r="AT282" s="36" t="n"/>
      <c r="AU282" s="27" t="n"/>
      <c r="AV282" s="37" t="n"/>
      <c r="AW282" s="38">
        <f>IF(AO282="","",IF(AR282="Yes","❌ Disc",IF(AQ282="No","⚠ Missing",IF(AT282="Yes","✓ OK","⚠ Check"))))</f>
        <v/>
      </c>
    </row>
    <row r="283" ht="18" customHeight="1" s="46">
      <c r="A283" s="23" t="n">
        <v>279</v>
      </c>
      <c r="B283" s="24" t="inlineStr">
        <is>
          <t>BD-VRM-2026-0417</t>
        </is>
      </c>
      <c r="C283" s="25" t="inlineStr">
        <is>
          <t>Excel - Deshaj Wallpaper 7807-2</t>
        </is>
      </c>
      <c r="D283" s="23" t="inlineStr">
        <is>
          <t>Excel</t>
        </is>
      </c>
      <c r="E283" s="43" t="n">
        <v>46125</v>
      </c>
      <c r="F283" s="26" t="inlineStr">
        <is>
          <t>Sunil CR</t>
        </is>
      </c>
      <c r="G283" s="26" t="inlineStr">
        <is>
          <t>Yes</t>
        </is>
      </c>
      <c r="H283" s="26" t="inlineStr">
        <is>
          <t>No</t>
        </is>
      </c>
      <c r="I283" s="26" t="inlineStr">
        <is>
          <t>Good finish</t>
        </is>
      </c>
      <c r="J283" s="26" t="inlineStr">
        <is>
          <t>Yes</t>
        </is>
      </c>
      <c r="K283" s="27" t="n"/>
      <c r="L283" s="28" t="inlineStr">
        <is>
          <t>No</t>
        </is>
      </c>
      <c r="M283" s="29">
        <f>IF(E283="","",IF(H283="Yes","❌ Disc",IF(G283="No","⚠ Missing",IF(J283="Yes","✓ OK","⚠ Check"))))</f>
        <v/>
      </c>
      <c r="N283" s="43" t="n">
        <v>46193</v>
      </c>
      <c r="O283" s="26" t="inlineStr">
        <is>
          <t>Sunil CR</t>
        </is>
      </c>
      <c r="P283" s="26" t="inlineStr">
        <is>
          <t>Yes</t>
        </is>
      </c>
      <c r="Q283" s="26" t="inlineStr">
        <is>
          <t>No</t>
        </is>
      </c>
      <c r="R283" s="26" t="inlineStr">
        <is>
          <t>Good finish</t>
        </is>
      </c>
      <c r="S283" s="26" t="inlineStr">
        <is>
          <t>Yes</t>
        </is>
      </c>
      <c r="T283" s="27" t="n"/>
      <c r="U283" s="28" t="inlineStr">
        <is>
          <t>No</t>
        </is>
      </c>
      <c r="V283" s="29">
        <f>IF(N283="","",IF(Q283="Yes","❌ Disc",IF(P283="No","⚠ Missing",IF(S283="Yes","✓ OK","⚠ Check"))))</f>
        <v/>
      </c>
      <c r="W283" s="65" t="n">
        <v>46248</v>
      </c>
      <c r="X283" s="30" t="inlineStr">
        <is>
          <t>Sunil CR</t>
        </is>
      </c>
      <c r="Y283" s="30" t="inlineStr">
        <is>
          <t>Yes</t>
        </is>
      </c>
      <c r="Z283" s="30" t="n"/>
      <c r="AA283" s="30" t="inlineStr">
        <is>
          <t>Good finish</t>
        </is>
      </c>
      <c r="AB283" s="30" t="inlineStr">
        <is>
          <t>Yes</t>
        </is>
      </c>
      <c r="AC283" s="27" t="n"/>
      <c r="AD283" s="31" t="inlineStr">
        <is>
          <t>No</t>
        </is>
      </c>
      <c r="AE283" s="32">
        <f>IF(W283="","",IF(Z283="Yes","❌ Disc",IF(Y283="No","⚠ Missing",IF(AB283="Yes","✓ OK","⚠ Check"))))</f>
        <v/>
      </c>
      <c r="AF283" s="33" t="n"/>
      <c r="AG283" s="33" t="n"/>
      <c r="AH283" s="33" t="n"/>
      <c r="AI283" s="33" t="n"/>
      <c r="AJ283" s="33" t="n"/>
      <c r="AK283" s="33" t="n"/>
      <c r="AL283" s="27" t="n"/>
      <c r="AM283" s="34" t="n"/>
      <c r="AN283" s="35">
        <f>IF(AF283="","",IF(AI283="Yes","❌ Disc",IF(AH283="No","⚠ Missing",IF(AK283="Yes","✓ OK","⚠ Check"))))</f>
        <v/>
      </c>
      <c r="AO283" s="36" t="n"/>
      <c r="AP283" s="36" t="n"/>
      <c r="AQ283" s="36" t="n"/>
      <c r="AR283" s="36" t="n"/>
      <c r="AS283" s="36" t="n"/>
      <c r="AT283" s="36" t="n"/>
      <c r="AU283" s="27" t="n"/>
      <c r="AV283" s="37" t="n"/>
      <c r="AW283" s="38">
        <f>IF(AO283="","",IF(AR283="Yes","❌ Disc",IF(AQ283="No","⚠ Missing",IF(AT283="Yes","✓ OK","⚠ Check"))))</f>
        <v/>
      </c>
    </row>
    <row r="284" ht="18" customHeight="1" s="46">
      <c r="A284" s="39" t="n">
        <v>280</v>
      </c>
      <c r="B284" s="40" t="inlineStr">
        <is>
          <t>BD-VRM-2026-0418</t>
        </is>
      </c>
      <c r="C284" s="41" t="inlineStr">
        <is>
          <t>Excel - Deshaj Wallpaper 7807-3</t>
        </is>
      </c>
      <c r="D284" s="39" t="inlineStr">
        <is>
          <t>Excel</t>
        </is>
      </c>
      <c r="E284" s="43" t="n">
        <v>46125</v>
      </c>
      <c r="F284" s="26" t="inlineStr">
        <is>
          <t>Sunil CR</t>
        </is>
      </c>
      <c r="G284" s="26" t="inlineStr">
        <is>
          <t>Yes</t>
        </is>
      </c>
      <c r="H284" s="26" t="inlineStr">
        <is>
          <t>No</t>
        </is>
      </c>
      <c r="I284" s="26" t="inlineStr">
        <is>
          <t>Good finish</t>
        </is>
      </c>
      <c r="J284" s="26" t="inlineStr">
        <is>
          <t>Yes</t>
        </is>
      </c>
      <c r="K284" s="27" t="n"/>
      <c r="L284" s="28" t="inlineStr">
        <is>
          <t>No</t>
        </is>
      </c>
      <c r="M284" s="29">
        <f>IF(E284="","",IF(H284="Yes","❌ Disc",IF(G284="No","⚠ Missing",IF(J284="Yes","✓ OK","⚠ Check"))))</f>
        <v/>
      </c>
      <c r="N284" s="43" t="n">
        <v>46193</v>
      </c>
      <c r="O284" s="26" t="inlineStr">
        <is>
          <t>Sunil CR</t>
        </is>
      </c>
      <c r="P284" s="26" t="inlineStr">
        <is>
          <t>Yes</t>
        </is>
      </c>
      <c r="Q284" s="26" t="inlineStr">
        <is>
          <t>No</t>
        </is>
      </c>
      <c r="R284" s="26" t="inlineStr">
        <is>
          <t>Good finish</t>
        </is>
      </c>
      <c r="S284" s="26" t="inlineStr">
        <is>
          <t>Yes</t>
        </is>
      </c>
      <c r="T284" s="27" t="n"/>
      <c r="U284" s="28" t="inlineStr">
        <is>
          <t>No</t>
        </is>
      </c>
      <c r="V284" s="29">
        <f>IF(N284="","",IF(Q284="Yes","❌ Disc",IF(P284="No","⚠ Missing",IF(S284="Yes","✓ OK","⚠ Check"))))</f>
        <v/>
      </c>
      <c r="W284" s="65" t="n">
        <v>46248</v>
      </c>
      <c r="X284" s="30" t="inlineStr">
        <is>
          <t>Sunil CR</t>
        </is>
      </c>
      <c r="Y284" s="30" t="inlineStr">
        <is>
          <t>Yes</t>
        </is>
      </c>
      <c r="Z284" s="30" t="n"/>
      <c r="AA284" s="30" t="inlineStr">
        <is>
          <t>Good finish</t>
        </is>
      </c>
      <c r="AB284" s="30" t="inlineStr">
        <is>
          <t>Yes</t>
        </is>
      </c>
      <c r="AC284" s="27" t="n"/>
      <c r="AD284" s="31" t="inlineStr">
        <is>
          <t>No</t>
        </is>
      </c>
      <c r="AE284" s="32">
        <f>IF(W284="","",IF(Z284="Yes","❌ Disc",IF(Y284="No","⚠ Missing",IF(AB284="Yes","✓ OK","⚠ Check"))))</f>
        <v/>
      </c>
      <c r="AF284" s="33" t="n"/>
      <c r="AG284" s="33" t="n"/>
      <c r="AH284" s="33" t="n"/>
      <c r="AI284" s="33" t="n"/>
      <c r="AJ284" s="33" t="n"/>
      <c r="AK284" s="33" t="n"/>
      <c r="AL284" s="27" t="n"/>
      <c r="AM284" s="34" t="n"/>
      <c r="AN284" s="35">
        <f>IF(AF284="","",IF(AI284="Yes","❌ Disc",IF(AH284="No","⚠ Missing",IF(AK284="Yes","✓ OK","⚠ Check"))))</f>
        <v/>
      </c>
      <c r="AO284" s="36" t="n"/>
      <c r="AP284" s="36" t="n"/>
      <c r="AQ284" s="36" t="n"/>
      <c r="AR284" s="36" t="n"/>
      <c r="AS284" s="36" t="n"/>
      <c r="AT284" s="36" t="n"/>
      <c r="AU284" s="27" t="n"/>
      <c r="AV284" s="37" t="n"/>
      <c r="AW284" s="38">
        <f>IF(AO284="","",IF(AR284="Yes","❌ Disc",IF(AQ284="No","⚠ Missing",IF(AT284="Yes","✓ OK","⚠ Check"))))</f>
        <v/>
      </c>
    </row>
    <row r="285" ht="18" customHeight="1" s="46">
      <c r="A285" s="23" t="n">
        <v>281</v>
      </c>
      <c r="B285" s="24" t="inlineStr">
        <is>
          <t>BD-VRM-2026-0419</t>
        </is>
      </c>
      <c r="C285" s="25" t="inlineStr">
        <is>
          <t>Excel - Deshaj Wallpaper 7807-4</t>
        </is>
      </c>
      <c r="D285" s="23" t="inlineStr">
        <is>
          <t>Excel</t>
        </is>
      </c>
      <c r="E285" s="43" t="n">
        <v>46125</v>
      </c>
      <c r="F285" s="26" t="inlineStr">
        <is>
          <t>Sunil CR</t>
        </is>
      </c>
      <c r="G285" s="26" t="inlineStr">
        <is>
          <t>Yes</t>
        </is>
      </c>
      <c r="H285" s="26" t="inlineStr">
        <is>
          <t>No</t>
        </is>
      </c>
      <c r="I285" s="26" t="inlineStr">
        <is>
          <t>Good finish</t>
        </is>
      </c>
      <c r="J285" s="26" t="inlineStr">
        <is>
          <t>Yes</t>
        </is>
      </c>
      <c r="K285" s="27" t="n"/>
      <c r="L285" s="28" t="inlineStr">
        <is>
          <t>No</t>
        </is>
      </c>
      <c r="M285" s="29">
        <f>IF(E285="","",IF(H285="Yes","❌ Disc",IF(G285="No","⚠ Missing",IF(J285="Yes","✓ OK","⚠ Check"))))</f>
        <v/>
      </c>
      <c r="N285" s="43" t="n">
        <v>46193</v>
      </c>
      <c r="O285" s="26" t="inlineStr">
        <is>
          <t>Sunil CR</t>
        </is>
      </c>
      <c r="P285" s="26" t="inlineStr">
        <is>
          <t>Yes</t>
        </is>
      </c>
      <c r="Q285" s="26" t="inlineStr">
        <is>
          <t>No</t>
        </is>
      </c>
      <c r="R285" s="26" t="inlineStr">
        <is>
          <t>Good finish</t>
        </is>
      </c>
      <c r="S285" s="26" t="inlineStr">
        <is>
          <t>Yes</t>
        </is>
      </c>
      <c r="T285" s="27" t="n"/>
      <c r="U285" s="28" t="inlineStr">
        <is>
          <t>No</t>
        </is>
      </c>
      <c r="V285" s="29">
        <f>IF(N285="","",IF(Q285="Yes","❌ Disc",IF(P285="No","⚠ Missing",IF(S285="Yes","✓ OK","⚠ Check"))))</f>
        <v/>
      </c>
      <c r="W285" s="65" t="n">
        <v>46248</v>
      </c>
      <c r="X285" s="30" t="inlineStr">
        <is>
          <t>Sunil CR</t>
        </is>
      </c>
      <c r="Y285" s="30" t="inlineStr">
        <is>
          <t>Yes</t>
        </is>
      </c>
      <c r="Z285" s="30" t="n"/>
      <c r="AA285" s="30" t="inlineStr">
        <is>
          <t>Good finish</t>
        </is>
      </c>
      <c r="AB285" s="30" t="inlineStr">
        <is>
          <t>Yes</t>
        </is>
      </c>
      <c r="AC285" s="27" t="n"/>
      <c r="AD285" s="31" t="inlineStr">
        <is>
          <t>No</t>
        </is>
      </c>
      <c r="AE285" s="32">
        <f>IF(W285="","",IF(Z285="Yes","❌ Disc",IF(Y285="No","⚠ Missing",IF(AB285="Yes","✓ OK","⚠ Check"))))</f>
        <v/>
      </c>
      <c r="AF285" s="33" t="n"/>
      <c r="AG285" s="33" t="n"/>
      <c r="AH285" s="33" t="n"/>
      <c r="AI285" s="33" t="n"/>
      <c r="AJ285" s="33" t="n"/>
      <c r="AK285" s="33" t="n"/>
      <c r="AL285" s="27" t="n"/>
      <c r="AM285" s="34" t="n"/>
      <c r="AN285" s="35">
        <f>IF(AF285="","",IF(AI285="Yes","❌ Disc",IF(AH285="No","⚠ Missing",IF(AK285="Yes","✓ OK","⚠ Check"))))</f>
        <v/>
      </c>
      <c r="AO285" s="36" t="n"/>
      <c r="AP285" s="36" t="n"/>
      <c r="AQ285" s="36" t="n"/>
      <c r="AR285" s="36" t="n"/>
      <c r="AS285" s="36" t="n"/>
      <c r="AT285" s="36" t="n"/>
      <c r="AU285" s="27" t="n"/>
      <c r="AV285" s="37" t="n"/>
      <c r="AW285" s="38">
        <f>IF(AO285="","",IF(AR285="Yes","❌ Disc",IF(AQ285="No","⚠ Missing",IF(AT285="Yes","✓ OK","⚠ Check"))))</f>
        <v/>
      </c>
    </row>
    <row r="286" ht="18" customHeight="1" s="46">
      <c r="A286" s="39" t="n">
        <v>282</v>
      </c>
      <c r="B286" s="40" t="inlineStr">
        <is>
          <t>BD-VRM-2026-0420</t>
        </is>
      </c>
      <c r="C286" s="41" t="inlineStr">
        <is>
          <t>Excel - Deshaj Wallpaper 7807-5</t>
        </is>
      </c>
      <c r="D286" s="39" t="inlineStr">
        <is>
          <t>Excel</t>
        </is>
      </c>
      <c r="E286" s="43" t="n">
        <v>46125</v>
      </c>
      <c r="F286" s="26" t="inlineStr">
        <is>
          <t>Sunil CR</t>
        </is>
      </c>
      <c r="G286" s="26" t="inlineStr">
        <is>
          <t>Yes</t>
        </is>
      </c>
      <c r="H286" s="26" t="inlineStr">
        <is>
          <t>No</t>
        </is>
      </c>
      <c r="I286" s="26" t="inlineStr">
        <is>
          <t>Good finish</t>
        </is>
      </c>
      <c r="J286" s="26" t="inlineStr">
        <is>
          <t>Yes</t>
        </is>
      </c>
      <c r="K286" s="27" t="n"/>
      <c r="L286" s="28" t="inlineStr">
        <is>
          <t>No</t>
        </is>
      </c>
      <c r="M286" s="29">
        <f>IF(E286="","",IF(H286="Yes","❌ Disc",IF(G286="No","⚠ Missing",IF(J286="Yes","✓ OK","⚠ Check"))))</f>
        <v/>
      </c>
      <c r="N286" s="43" t="n">
        <v>46193</v>
      </c>
      <c r="O286" s="26" t="inlineStr">
        <is>
          <t>Sunil CR</t>
        </is>
      </c>
      <c r="P286" s="26" t="inlineStr">
        <is>
          <t>Yes</t>
        </is>
      </c>
      <c r="Q286" s="26" t="inlineStr">
        <is>
          <t>No</t>
        </is>
      </c>
      <c r="R286" s="26" t="inlineStr">
        <is>
          <t>Good finish</t>
        </is>
      </c>
      <c r="S286" s="26" t="inlineStr">
        <is>
          <t>Yes</t>
        </is>
      </c>
      <c r="T286" s="27" t="n"/>
      <c r="U286" s="28" t="inlineStr">
        <is>
          <t>No</t>
        </is>
      </c>
      <c r="V286" s="29">
        <f>IF(N286="","",IF(Q286="Yes","❌ Disc",IF(P286="No","⚠ Missing",IF(S286="Yes","✓ OK","⚠ Check"))))</f>
        <v/>
      </c>
      <c r="W286" s="65" t="n">
        <v>46248</v>
      </c>
      <c r="X286" s="30" t="inlineStr">
        <is>
          <t>Sunil CR</t>
        </is>
      </c>
      <c r="Y286" s="30" t="inlineStr">
        <is>
          <t>Yes</t>
        </is>
      </c>
      <c r="Z286" s="30" t="n"/>
      <c r="AA286" s="30" t="inlineStr">
        <is>
          <t>Good finish</t>
        </is>
      </c>
      <c r="AB286" s="30" t="inlineStr">
        <is>
          <t>Yes</t>
        </is>
      </c>
      <c r="AC286" s="27" t="n"/>
      <c r="AD286" s="31" t="inlineStr">
        <is>
          <t>No</t>
        </is>
      </c>
      <c r="AE286" s="32">
        <f>IF(W286="","",IF(Z286="Yes","❌ Disc",IF(Y286="No","⚠ Missing",IF(AB286="Yes","✓ OK","⚠ Check"))))</f>
        <v/>
      </c>
      <c r="AF286" s="33" t="n"/>
      <c r="AG286" s="33" t="n"/>
      <c r="AH286" s="33" t="n"/>
      <c r="AI286" s="33" t="n"/>
      <c r="AJ286" s="33" t="n"/>
      <c r="AK286" s="33" t="n"/>
      <c r="AL286" s="27" t="n"/>
      <c r="AM286" s="34" t="n"/>
      <c r="AN286" s="35">
        <f>IF(AF286="","",IF(AI286="Yes","❌ Disc",IF(AH286="No","⚠ Missing",IF(AK286="Yes","✓ OK","⚠ Check"))))</f>
        <v/>
      </c>
      <c r="AO286" s="36" t="n"/>
      <c r="AP286" s="36" t="n"/>
      <c r="AQ286" s="36" t="n"/>
      <c r="AR286" s="36" t="n"/>
      <c r="AS286" s="36" t="n"/>
      <c r="AT286" s="36" t="n"/>
      <c r="AU286" s="27" t="n"/>
      <c r="AV286" s="37" t="n"/>
      <c r="AW286" s="38">
        <f>IF(AO286="","",IF(AR286="Yes","❌ Disc",IF(AQ286="No","⚠ Missing",IF(AT286="Yes","✓ OK","⚠ Check"))))</f>
        <v/>
      </c>
    </row>
    <row r="287" ht="18" customHeight="1" s="46">
      <c r="A287" s="23" t="n">
        <v>283</v>
      </c>
      <c r="B287" s="24" t="inlineStr">
        <is>
          <t>BD-VRM-2026-0421</t>
        </is>
      </c>
      <c r="C287" s="25" t="inlineStr">
        <is>
          <t>Excel - Deshaj Wallpaper 7808-1</t>
        </is>
      </c>
      <c r="D287" s="23" t="inlineStr">
        <is>
          <t>Excel</t>
        </is>
      </c>
      <c r="E287" s="43" t="n">
        <v>46125</v>
      </c>
      <c r="F287" s="26" t="inlineStr">
        <is>
          <t>Sunil CR</t>
        </is>
      </c>
      <c r="G287" s="26" t="inlineStr">
        <is>
          <t>Yes</t>
        </is>
      </c>
      <c r="H287" s="26" t="inlineStr">
        <is>
          <t>No</t>
        </is>
      </c>
      <c r="I287" s="26" t="inlineStr">
        <is>
          <t>Good finish</t>
        </is>
      </c>
      <c r="J287" s="26" t="inlineStr">
        <is>
          <t>Yes</t>
        </is>
      </c>
      <c r="K287" s="27" t="n"/>
      <c r="L287" s="28" t="inlineStr">
        <is>
          <t>No</t>
        </is>
      </c>
      <c r="M287" s="29">
        <f>IF(E287="","",IF(H287="Yes","❌ Disc",IF(G287="No","⚠ Missing",IF(J287="Yes","✓ OK","⚠ Check"))))</f>
        <v/>
      </c>
      <c r="N287" s="43" t="n">
        <v>46193</v>
      </c>
      <c r="O287" s="26" t="inlineStr">
        <is>
          <t>Sunil CR</t>
        </is>
      </c>
      <c r="P287" s="26" t="inlineStr">
        <is>
          <t>Yes</t>
        </is>
      </c>
      <c r="Q287" s="26" t="inlineStr">
        <is>
          <t>No</t>
        </is>
      </c>
      <c r="R287" s="26" t="inlineStr">
        <is>
          <t>Good finish</t>
        </is>
      </c>
      <c r="S287" s="26" t="inlineStr">
        <is>
          <t>Yes</t>
        </is>
      </c>
      <c r="T287" s="27" t="n"/>
      <c r="U287" s="28" t="inlineStr">
        <is>
          <t>No</t>
        </is>
      </c>
      <c r="V287" s="29">
        <f>IF(N287="","",IF(Q287="Yes","❌ Disc",IF(P287="No","⚠ Missing",IF(S287="Yes","✓ OK","⚠ Check"))))</f>
        <v/>
      </c>
      <c r="W287" s="65" t="n">
        <v>46248</v>
      </c>
      <c r="X287" s="30" t="inlineStr">
        <is>
          <t>Sunil CR</t>
        </is>
      </c>
      <c r="Y287" s="30" t="inlineStr">
        <is>
          <t>Yes</t>
        </is>
      </c>
      <c r="Z287" s="30" t="n"/>
      <c r="AA287" s="30" t="inlineStr">
        <is>
          <t>Good finish</t>
        </is>
      </c>
      <c r="AB287" s="30" t="inlineStr">
        <is>
          <t>Yes</t>
        </is>
      </c>
      <c r="AC287" s="27" t="n"/>
      <c r="AD287" s="31" t="inlineStr">
        <is>
          <t>No</t>
        </is>
      </c>
      <c r="AE287" s="32">
        <f>IF(W287="","",IF(Z287="Yes","❌ Disc",IF(Y287="No","⚠ Missing",IF(AB287="Yes","✓ OK","⚠ Check"))))</f>
        <v/>
      </c>
      <c r="AF287" s="33" t="n"/>
      <c r="AG287" s="33" t="n"/>
      <c r="AH287" s="33" t="n"/>
      <c r="AI287" s="33" t="n"/>
      <c r="AJ287" s="33" t="n"/>
      <c r="AK287" s="33" t="n"/>
      <c r="AL287" s="27" t="n"/>
      <c r="AM287" s="34" t="n"/>
      <c r="AN287" s="35">
        <f>IF(AF287="","",IF(AI287="Yes","❌ Disc",IF(AH287="No","⚠ Missing",IF(AK287="Yes","✓ OK","⚠ Check"))))</f>
        <v/>
      </c>
      <c r="AO287" s="36" t="n"/>
      <c r="AP287" s="36" t="n"/>
      <c r="AQ287" s="36" t="n"/>
      <c r="AR287" s="36" t="n"/>
      <c r="AS287" s="36" t="n"/>
      <c r="AT287" s="36" t="n"/>
      <c r="AU287" s="27" t="n"/>
      <c r="AV287" s="37" t="n"/>
      <c r="AW287" s="38">
        <f>IF(AO287="","",IF(AR287="Yes","❌ Disc",IF(AQ287="No","⚠ Missing",IF(AT287="Yes","✓ OK","⚠ Check"))))</f>
        <v/>
      </c>
    </row>
    <row r="288" ht="18" customHeight="1" s="46">
      <c r="A288" s="39" t="n">
        <v>284</v>
      </c>
      <c r="B288" s="40" t="inlineStr">
        <is>
          <t>BD-VRM-2026-0422</t>
        </is>
      </c>
      <c r="C288" s="41" t="inlineStr">
        <is>
          <t>Excel - Deshaj Wallpaper 7808-2</t>
        </is>
      </c>
      <c r="D288" s="39" t="inlineStr">
        <is>
          <t>Excel</t>
        </is>
      </c>
      <c r="E288" s="43" t="n">
        <v>46125</v>
      </c>
      <c r="F288" s="26" t="inlineStr">
        <is>
          <t>Sunil CR</t>
        </is>
      </c>
      <c r="G288" s="26" t="inlineStr">
        <is>
          <t>Yes</t>
        </is>
      </c>
      <c r="H288" s="26" t="inlineStr">
        <is>
          <t>No</t>
        </is>
      </c>
      <c r="I288" s="26" t="inlineStr">
        <is>
          <t>Good finish</t>
        </is>
      </c>
      <c r="J288" s="26" t="inlineStr">
        <is>
          <t>Yes</t>
        </is>
      </c>
      <c r="K288" s="27" t="n"/>
      <c r="L288" s="28" t="inlineStr">
        <is>
          <t>No</t>
        </is>
      </c>
      <c r="M288" s="29">
        <f>IF(E288="","",IF(H288="Yes","❌ Disc",IF(G288="No","⚠ Missing",IF(J288="Yes","✓ OK","⚠ Check"))))</f>
        <v/>
      </c>
      <c r="N288" s="43" t="n">
        <v>46193</v>
      </c>
      <c r="O288" s="26" t="inlineStr">
        <is>
          <t>Sunil CR</t>
        </is>
      </c>
      <c r="P288" s="26" t="inlineStr">
        <is>
          <t>Yes</t>
        </is>
      </c>
      <c r="Q288" s="26" t="inlineStr">
        <is>
          <t>No</t>
        </is>
      </c>
      <c r="R288" s="26" t="inlineStr">
        <is>
          <t>Good finish</t>
        </is>
      </c>
      <c r="S288" s="26" t="inlineStr">
        <is>
          <t>Yes</t>
        </is>
      </c>
      <c r="T288" s="27" t="n"/>
      <c r="U288" s="28" t="inlineStr">
        <is>
          <t>No</t>
        </is>
      </c>
      <c r="V288" s="29">
        <f>IF(N288="","",IF(Q288="Yes","❌ Disc",IF(P288="No","⚠ Missing",IF(S288="Yes","✓ OK","⚠ Check"))))</f>
        <v/>
      </c>
      <c r="W288" s="65" t="n">
        <v>46248</v>
      </c>
      <c r="X288" s="30" t="inlineStr">
        <is>
          <t>Sunil CR</t>
        </is>
      </c>
      <c r="Y288" s="30" t="inlineStr">
        <is>
          <t>Yes</t>
        </is>
      </c>
      <c r="Z288" s="30" t="n"/>
      <c r="AA288" s="30" t="inlineStr">
        <is>
          <t>Good finish</t>
        </is>
      </c>
      <c r="AB288" s="30" t="inlineStr">
        <is>
          <t>Yes</t>
        </is>
      </c>
      <c r="AC288" s="27" t="n"/>
      <c r="AD288" s="31" t="inlineStr">
        <is>
          <t>No</t>
        </is>
      </c>
      <c r="AE288" s="32">
        <f>IF(W288="","",IF(Z288="Yes","❌ Disc",IF(Y288="No","⚠ Missing",IF(AB288="Yes","✓ OK","⚠ Check"))))</f>
        <v/>
      </c>
      <c r="AF288" s="33" t="n"/>
      <c r="AG288" s="33" t="n"/>
      <c r="AH288" s="33" t="n"/>
      <c r="AI288" s="33" t="n"/>
      <c r="AJ288" s="33" t="n"/>
      <c r="AK288" s="33" t="n"/>
      <c r="AL288" s="27" t="n"/>
      <c r="AM288" s="34" t="n"/>
      <c r="AN288" s="35">
        <f>IF(AF288="","",IF(AI288="Yes","❌ Disc",IF(AH288="No","⚠ Missing",IF(AK288="Yes","✓ OK","⚠ Check"))))</f>
        <v/>
      </c>
      <c r="AO288" s="36" t="n"/>
      <c r="AP288" s="36" t="n"/>
      <c r="AQ288" s="36" t="n"/>
      <c r="AR288" s="36" t="n"/>
      <c r="AS288" s="36" t="n"/>
      <c r="AT288" s="36" t="n"/>
      <c r="AU288" s="27" t="n"/>
      <c r="AV288" s="37" t="n"/>
      <c r="AW288" s="38">
        <f>IF(AO288="","",IF(AR288="Yes","❌ Disc",IF(AQ288="No","⚠ Missing",IF(AT288="Yes","✓ OK","⚠ Check"))))</f>
        <v/>
      </c>
    </row>
    <row r="289" ht="18" customHeight="1" s="46">
      <c r="A289" s="23" t="n">
        <v>285</v>
      </c>
      <c r="B289" s="24" t="inlineStr">
        <is>
          <t>BD-VRM-2026-0423</t>
        </is>
      </c>
      <c r="C289" s="25" t="inlineStr">
        <is>
          <t>Excel - Deshaj Wallpaper 7808-3</t>
        </is>
      </c>
      <c r="D289" s="23" t="inlineStr">
        <is>
          <t>Excel</t>
        </is>
      </c>
      <c r="E289" s="43" t="n">
        <v>46125</v>
      </c>
      <c r="F289" s="26" t="inlineStr">
        <is>
          <t>Sunil CR</t>
        </is>
      </c>
      <c r="G289" s="26" t="inlineStr">
        <is>
          <t>Yes</t>
        </is>
      </c>
      <c r="H289" s="26" t="inlineStr">
        <is>
          <t>No</t>
        </is>
      </c>
      <c r="I289" s="26" t="inlineStr">
        <is>
          <t>Good finish</t>
        </is>
      </c>
      <c r="J289" s="26" t="inlineStr">
        <is>
          <t>Yes</t>
        </is>
      </c>
      <c r="K289" s="27" t="n"/>
      <c r="L289" s="28" t="inlineStr">
        <is>
          <t>No</t>
        </is>
      </c>
      <c r="M289" s="29">
        <f>IF(E289="","",IF(H289="Yes","❌ Disc",IF(G289="No","⚠ Missing",IF(J289="Yes","✓ OK","⚠ Check"))))</f>
        <v/>
      </c>
      <c r="N289" s="43" t="n">
        <v>46193</v>
      </c>
      <c r="O289" s="26" t="inlineStr">
        <is>
          <t>Sunil CR</t>
        </is>
      </c>
      <c r="P289" s="26" t="inlineStr">
        <is>
          <t>Yes</t>
        </is>
      </c>
      <c r="Q289" s="26" t="inlineStr">
        <is>
          <t>No</t>
        </is>
      </c>
      <c r="R289" s="26" t="inlineStr">
        <is>
          <t>Good finish</t>
        </is>
      </c>
      <c r="S289" s="26" t="inlineStr">
        <is>
          <t>Yes</t>
        </is>
      </c>
      <c r="T289" s="27" t="n"/>
      <c r="U289" s="28" t="inlineStr">
        <is>
          <t>No</t>
        </is>
      </c>
      <c r="V289" s="29">
        <f>IF(N289="","",IF(Q289="Yes","❌ Disc",IF(P289="No","⚠ Missing",IF(S289="Yes","✓ OK","⚠ Check"))))</f>
        <v/>
      </c>
      <c r="W289" s="65" t="n">
        <v>46248</v>
      </c>
      <c r="X289" s="30" t="inlineStr">
        <is>
          <t>Sunil CR</t>
        </is>
      </c>
      <c r="Y289" s="30" t="inlineStr">
        <is>
          <t>Yes</t>
        </is>
      </c>
      <c r="Z289" s="30" t="n"/>
      <c r="AA289" s="30" t="inlineStr">
        <is>
          <t>Good finish</t>
        </is>
      </c>
      <c r="AB289" s="30" t="inlineStr">
        <is>
          <t>Yes</t>
        </is>
      </c>
      <c r="AC289" s="27" t="n"/>
      <c r="AD289" s="31" t="inlineStr">
        <is>
          <t>No</t>
        </is>
      </c>
      <c r="AE289" s="32">
        <f>IF(W289="","",IF(Z289="Yes","❌ Disc",IF(Y289="No","⚠ Missing",IF(AB289="Yes","✓ OK","⚠ Check"))))</f>
        <v/>
      </c>
      <c r="AF289" s="33" t="n"/>
      <c r="AG289" s="33" t="n"/>
      <c r="AH289" s="33" t="n"/>
      <c r="AI289" s="33" t="n"/>
      <c r="AJ289" s="33" t="n"/>
      <c r="AK289" s="33" t="n"/>
      <c r="AL289" s="27" t="n"/>
      <c r="AM289" s="34" t="n"/>
      <c r="AN289" s="35">
        <f>IF(AF289="","",IF(AI289="Yes","❌ Disc",IF(AH289="No","⚠ Missing",IF(AK289="Yes","✓ OK","⚠ Check"))))</f>
        <v/>
      </c>
      <c r="AO289" s="36" t="n"/>
      <c r="AP289" s="36" t="n"/>
      <c r="AQ289" s="36" t="n"/>
      <c r="AR289" s="36" t="n"/>
      <c r="AS289" s="36" t="n"/>
      <c r="AT289" s="36" t="n"/>
      <c r="AU289" s="27" t="n"/>
      <c r="AV289" s="37" t="n"/>
      <c r="AW289" s="38">
        <f>IF(AO289="","",IF(AR289="Yes","❌ Disc",IF(AQ289="No","⚠ Missing",IF(AT289="Yes","✓ OK","⚠ Check"))))</f>
        <v/>
      </c>
    </row>
    <row r="290" ht="18" customHeight="1" s="46">
      <c r="A290" s="39" t="n">
        <v>286</v>
      </c>
      <c r="B290" s="40" t="inlineStr">
        <is>
          <t>BD-VRM-2026-0424</t>
        </is>
      </c>
      <c r="C290" s="41" t="inlineStr">
        <is>
          <t>Excel - Deshaj Wallpaper 7808-4</t>
        </is>
      </c>
      <c r="D290" s="39" t="inlineStr">
        <is>
          <t>Excel</t>
        </is>
      </c>
      <c r="E290" s="43" t="n">
        <v>46125</v>
      </c>
      <c r="F290" s="26" t="inlineStr">
        <is>
          <t>Sunil CR</t>
        </is>
      </c>
      <c r="G290" s="26" t="inlineStr">
        <is>
          <t>Yes</t>
        </is>
      </c>
      <c r="H290" s="26" t="inlineStr">
        <is>
          <t>No</t>
        </is>
      </c>
      <c r="I290" s="26" t="inlineStr">
        <is>
          <t>Good finish</t>
        </is>
      </c>
      <c r="J290" s="26" t="inlineStr">
        <is>
          <t>Yes</t>
        </is>
      </c>
      <c r="K290" s="27" t="n"/>
      <c r="L290" s="28" t="inlineStr">
        <is>
          <t>No</t>
        </is>
      </c>
      <c r="M290" s="29">
        <f>IF(E290="","",IF(H290="Yes","❌ Disc",IF(G290="No","⚠ Missing",IF(J290="Yes","✓ OK","⚠ Check"))))</f>
        <v/>
      </c>
      <c r="N290" s="43" t="n">
        <v>46193</v>
      </c>
      <c r="O290" s="26" t="inlineStr">
        <is>
          <t>Sunil CR</t>
        </is>
      </c>
      <c r="P290" s="26" t="inlineStr">
        <is>
          <t>Yes</t>
        </is>
      </c>
      <c r="Q290" s="26" t="inlineStr">
        <is>
          <t>No</t>
        </is>
      </c>
      <c r="R290" s="26" t="inlineStr">
        <is>
          <t>Good finish</t>
        </is>
      </c>
      <c r="S290" s="26" t="inlineStr">
        <is>
          <t>Yes</t>
        </is>
      </c>
      <c r="T290" s="27" t="n"/>
      <c r="U290" s="28" t="inlineStr">
        <is>
          <t>No</t>
        </is>
      </c>
      <c r="V290" s="29">
        <f>IF(N290="","",IF(Q290="Yes","❌ Disc",IF(P290="No","⚠ Missing",IF(S290="Yes","✓ OK","⚠ Check"))))</f>
        <v/>
      </c>
      <c r="W290" s="65" t="n">
        <v>46248</v>
      </c>
      <c r="X290" s="30" t="inlineStr">
        <is>
          <t>Sunil CR</t>
        </is>
      </c>
      <c r="Y290" s="30" t="inlineStr">
        <is>
          <t>Yes</t>
        </is>
      </c>
      <c r="Z290" s="30" t="n"/>
      <c r="AA290" s="30" t="inlineStr">
        <is>
          <t>Good finish</t>
        </is>
      </c>
      <c r="AB290" s="30" t="inlineStr">
        <is>
          <t>Yes</t>
        </is>
      </c>
      <c r="AC290" s="27" t="n"/>
      <c r="AD290" s="31" t="inlineStr">
        <is>
          <t>No</t>
        </is>
      </c>
      <c r="AE290" s="32">
        <f>IF(W290="","",IF(Z290="Yes","❌ Disc",IF(Y290="No","⚠ Missing",IF(AB290="Yes","✓ OK","⚠ Check"))))</f>
        <v/>
      </c>
      <c r="AF290" s="33" t="n"/>
      <c r="AG290" s="33" t="n"/>
      <c r="AH290" s="33" t="n"/>
      <c r="AI290" s="33" t="n"/>
      <c r="AJ290" s="33" t="n"/>
      <c r="AK290" s="33" t="n"/>
      <c r="AL290" s="27" t="n"/>
      <c r="AM290" s="34" t="n"/>
      <c r="AN290" s="35">
        <f>IF(AF290="","",IF(AI290="Yes","❌ Disc",IF(AH290="No","⚠ Missing",IF(AK290="Yes","✓ OK","⚠ Check"))))</f>
        <v/>
      </c>
      <c r="AO290" s="36" t="n"/>
      <c r="AP290" s="36" t="n"/>
      <c r="AQ290" s="36" t="n"/>
      <c r="AR290" s="36" t="n"/>
      <c r="AS290" s="36" t="n"/>
      <c r="AT290" s="36" t="n"/>
      <c r="AU290" s="27" t="n"/>
      <c r="AV290" s="37" t="n"/>
      <c r="AW290" s="38">
        <f>IF(AO290="","",IF(AR290="Yes","❌ Disc",IF(AQ290="No","⚠ Missing",IF(AT290="Yes","✓ OK","⚠ Check"))))</f>
        <v/>
      </c>
    </row>
    <row r="291" ht="18" customHeight="1" s="46">
      <c r="A291" s="23" t="n">
        <v>287</v>
      </c>
      <c r="B291" s="24" t="inlineStr">
        <is>
          <t>BD-VRM-2026-0425</t>
        </is>
      </c>
      <c r="C291" s="25" t="inlineStr">
        <is>
          <t>Excel - Deshaj Wallpaper 7808-5</t>
        </is>
      </c>
      <c r="D291" s="23" t="inlineStr">
        <is>
          <t>Excel</t>
        </is>
      </c>
      <c r="E291" s="43" t="n">
        <v>46125</v>
      </c>
      <c r="F291" s="26" t="inlineStr">
        <is>
          <t>Sunil CR</t>
        </is>
      </c>
      <c r="G291" s="26" t="inlineStr">
        <is>
          <t>Yes</t>
        </is>
      </c>
      <c r="H291" s="26" t="inlineStr">
        <is>
          <t>No</t>
        </is>
      </c>
      <c r="I291" s="26" t="inlineStr">
        <is>
          <t>Good finish</t>
        </is>
      </c>
      <c r="J291" s="26" t="inlineStr">
        <is>
          <t>Yes</t>
        </is>
      </c>
      <c r="K291" s="27" t="n"/>
      <c r="L291" s="28" t="inlineStr">
        <is>
          <t>No</t>
        </is>
      </c>
      <c r="M291" s="29">
        <f>IF(E291="","",IF(H291="Yes","❌ Disc",IF(G291="No","⚠ Missing",IF(J291="Yes","✓ OK","⚠ Check"))))</f>
        <v/>
      </c>
      <c r="N291" s="43" t="n">
        <v>46193</v>
      </c>
      <c r="O291" s="26" t="inlineStr">
        <is>
          <t>Sunil CR</t>
        </is>
      </c>
      <c r="P291" s="26" t="inlineStr">
        <is>
          <t>Yes</t>
        </is>
      </c>
      <c r="Q291" s="26" t="inlineStr">
        <is>
          <t>No</t>
        </is>
      </c>
      <c r="R291" s="26" t="inlineStr">
        <is>
          <t>Good finish</t>
        </is>
      </c>
      <c r="S291" s="26" t="inlineStr">
        <is>
          <t>Yes</t>
        </is>
      </c>
      <c r="T291" s="27" t="n"/>
      <c r="U291" s="28" t="inlineStr">
        <is>
          <t>No</t>
        </is>
      </c>
      <c r="V291" s="29">
        <f>IF(N291="","",IF(Q291="Yes","❌ Disc",IF(P291="No","⚠ Missing",IF(S291="Yes","✓ OK","⚠ Check"))))</f>
        <v/>
      </c>
      <c r="W291" s="65" t="n">
        <v>46248</v>
      </c>
      <c r="X291" s="30" t="inlineStr">
        <is>
          <t>Sunil CR</t>
        </is>
      </c>
      <c r="Y291" s="30" t="inlineStr">
        <is>
          <t>Yes</t>
        </is>
      </c>
      <c r="Z291" s="30" t="n"/>
      <c r="AA291" s="30" t="inlineStr">
        <is>
          <t>Good finish</t>
        </is>
      </c>
      <c r="AB291" s="30" t="inlineStr">
        <is>
          <t>Yes</t>
        </is>
      </c>
      <c r="AC291" s="27" t="n"/>
      <c r="AD291" s="31" t="inlineStr">
        <is>
          <t>No</t>
        </is>
      </c>
      <c r="AE291" s="32">
        <f>IF(W291="","",IF(Z291="Yes","❌ Disc",IF(Y291="No","⚠ Missing",IF(AB291="Yes","✓ OK","⚠ Check"))))</f>
        <v/>
      </c>
      <c r="AF291" s="33" t="n"/>
      <c r="AG291" s="33" t="n"/>
      <c r="AH291" s="33" t="n"/>
      <c r="AI291" s="33" t="n"/>
      <c r="AJ291" s="33" t="n"/>
      <c r="AK291" s="33" t="n"/>
      <c r="AL291" s="27" t="n"/>
      <c r="AM291" s="34" t="n"/>
      <c r="AN291" s="35">
        <f>IF(AF291="","",IF(AI291="Yes","❌ Disc",IF(AH291="No","⚠ Missing",IF(AK291="Yes","✓ OK","⚠ Check"))))</f>
        <v/>
      </c>
      <c r="AO291" s="36" t="n"/>
      <c r="AP291" s="36" t="n"/>
      <c r="AQ291" s="36" t="n"/>
      <c r="AR291" s="36" t="n"/>
      <c r="AS291" s="36" t="n"/>
      <c r="AT291" s="36" t="n"/>
      <c r="AU291" s="27" t="n"/>
      <c r="AV291" s="37" t="n"/>
      <c r="AW291" s="38">
        <f>IF(AO291="","",IF(AR291="Yes","❌ Disc",IF(AQ291="No","⚠ Missing",IF(AT291="Yes","✓ OK","⚠ Check"))))</f>
        <v/>
      </c>
    </row>
    <row r="292" ht="18" customHeight="1" s="46">
      <c r="A292" s="39" t="n">
        <v>288</v>
      </c>
      <c r="B292" s="40" t="inlineStr">
        <is>
          <t>BD-VRM-2026-0426</t>
        </is>
      </c>
      <c r="C292" s="41" t="inlineStr">
        <is>
          <t>Excel - Deshaj Wallpaper 7809-1</t>
        </is>
      </c>
      <c r="D292" s="39" t="inlineStr">
        <is>
          <t>Excel</t>
        </is>
      </c>
      <c r="E292" s="43" t="n">
        <v>46125</v>
      </c>
      <c r="F292" s="26" t="inlineStr">
        <is>
          <t>Sunil CR</t>
        </is>
      </c>
      <c r="G292" s="26" t="inlineStr">
        <is>
          <t>Yes</t>
        </is>
      </c>
      <c r="H292" s="26" t="inlineStr">
        <is>
          <t>No</t>
        </is>
      </c>
      <c r="I292" s="26" t="inlineStr">
        <is>
          <t>Good finish</t>
        </is>
      </c>
      <c r="J292" s="26" t="inlineStr">
        <is>
          <t>Yes</t>
        </is>
      </c>
      <c r="K292" s="27" t="n"/>
      <c r="L292" s="28" t="inlineStr">
        <is>
          <t>No</t>
        </is>
      </c>
      <c r="M292" s="29">
        <f>IF(E292="","",IF(H292="Yes","❌ Disc",IF(G292="No","⚠ Missing",IF(J292="Yes","✓ OK","⚠ Check"))))</f>
        <v/>
      </c>
      <c r="N292" s="43" t="n">
        <v>46193</v>
      </c>
      <c r="O292" s="26" t="inlineStr">
        <is>
          <t>Sunil CR</t>
        </is>
      </c>
      <c r="P292" s="26" t="inlineStr">
        <is>
          <t>Yes</t>
        </is>
      </c>
      <c r="Q292" s="26" t="inlineStr">
        <is>
          <t>No</t>
        </is>
      </c>
      <c r="R292" s="26" t="inlineStr">
        <is>
          <t>Good finish</t>
        </is>
      </c>
      <c r="S292" s="26" t="inlineStr">
        <is>
          <t>Yes</t>
        </is>
      </c>
      <c r="T292" s="27" t="n"/>
      <c r="U292" s="28" t="inlineStr">
        <is>
          <t>No</t>
        </is>
      </c>
      <c r="V292" s="29">
        <f>IF(N292="","",IF(Q292="Yes","❌ Disc",IF(P292="No","⚠ Missing",IF(S292="Yes","✓ OK","⚠ Check"))))</f>
        <v/>
      </c>
      <c r="W292" s="65" t="n">
        <v>46248</v>
      </c>
      <c r="X292" s="30" t="inlineStr">
        <is>
          <t>Sunil CR</t>
        </is>
      </c>
      <c r="Y292" s="30" t="inlineStr">
        <is>
          <t>Yes</t>
        </is>
      </c>
      <c r="Z292" s="30" t="n"/>
      <c r="AA292" s="30" t="inlineStr">
        <is>
          <t>Good finish</t>
        </is>
      </c>
      <c r="AB292" s="30" t="inlineStr">
        <is>
          <t>Yes</t>
        </is>
      </c>
      <c r="AC292" s="27" t="n"/>
      <c r="AD292" s="31" t="inlineStr">
        <is>
          <t>No</t>
        </is>
      </c>
      <c r="AE292" s="32">
        <f>IF(W292="","",IF(Z292="Yes","❌ Disc",IF(Y292="No","⚠ Missing",IF(AB292="Yes","✓ OK","⚠ Check"))))</f>
        <v/>
      </c>
      <c r="AF292" s="33" t="n"/>
      <c r="AG292" s="33" t="n"/>
      <c r="AH292" s="33" t="n"/>
      <c r="AI292" s="33" t="n"/>
      <c r="AJ292" s="33" t="n"/>
      <c r="AK292" s="33" t="n"/>
      <c r="AL292" s="27" t="n"/>
      <c r="AM292" s="34" t="n"/>
      <c r="AN292" s="35">
        <f>IF(AF292="","",IF(AI292="Yes","❌ Disc",IF(AH292="No","⚠ Missing",IF(AK292="Yes","✓ OK","⚠ Check"))))</f>
        <v/>
      </c>
      <c r="AO292" s="36" t="n"/>
      <c r="AP292" s="36" t="n"/>
      <c r="AQ292" s="36" t="n"/>
      <c r="AR292" s="36" t="n"/>
      <c r="AS292" s="36" t="n"/>
      <c r="AT292" s="36" t="n"/>
      <c r="AU292" s="27" t="n"/>
      <c r="AV292" s="37" t="n"/>
      <c r="AW292" s="38">
        <f>IF(AO292="","",IF(AR292="Yes","❌ Disc",IF(AQ292="No","⚠ Missing",IF(AT292="Yes","✓ OK","⚠ Check"))))</f>
        <v/>
      </c>
    </row>
    <row r="293" ht="18" customHeight="1" s="46">
      <c r="A293" s="23" t="n">
        <v>289</v>
      </c>
      <c r="B293" s="24" t="inlineStr">
        <is>
          <t>BD-VRM-2026-0427</t>
        </is>
      </c>
      <c r="C293" s="25" t="inlineStr">
        <is>
          <t>Excel - Deshaj Wallpaper 7809-2</t>
        </is>
      </c>
      <c r="D293" s="23" t="inlineStr">
        <is>
          <t>Excel</t>
        </is>
      </c>
      <c r="E293" s="43" t="n">
        <v>46125</v>
      </c>
      <c r="F293" s="26" t="inlineStr">
        <is>
          <t>Sunil CR</t>
        </is>
      </c>
      <c r="G293" s="26" t="inlineStr">
        <is>
          <t>Yes</t>
        </is>
      </c>
      <c r="H293" s="26" t="inlineStr">
        <is>
          <t>No</t>
        </is>
      </c>
      <c r="I293" s="26" t="inlineStr">
        <is>
          <t>Good finish</t>
        </is>
      </c>
      <c r="J293" s="26" t="inlineStr">
        <is>
          <t>Yes</t>
        </is>
      </c>
      <c r="K293" s="27" t="n"/>
      <c r="L293" s="28" t="inlineStr">
        <is>
          <t>No</t>
        </is>
      </c>
      <c r="M293" s="29">
        <f>IF(E293="","",IF(H293="Yes","❌ Disc",IF(G293="No","⚠ Missing",IF(J293="Yes","✓ OK","⚠ Check"))))</f>
        <v/>
      </c>
      <c r="N293" s="43" t="n">
        <v>46193</v>
      </c>
      <c r="O293" s="26" t="inlineStr">
        <is>
          <t>Sunil CR</t>
        </is>
      </c>
      <c r="P293" s="26" t="inlineStr">
        <is>
          <t>Yes</t>
        </is>
      </c>
      <c r="Q293" s="26" t="inlineStr">
        <is>
          <t>No</t>
        </is>
      </c>
      <c r="R293" s="26" t="inlineStr">
        <is>
          <t>Good finish</t>
        </is>
      </c>
      <c r="S293" s="26" t="inlineStr">
        <is>
          <t>Yes</t>
        </is>
      </c>
      <c r="T293" s="27" t="n"/>
      <c r="U293" s="28" t="inlineStr">
        <is>
          <t>No</t>
        </is>
      </c>
      <c r="V293" s="29">
        <f>IF(N293="","",IF(Q293="Yes","❌ Disc",IF(P293="No","⚠ Missing",IF(S293="Yes","✓ OK","⚠ Check"))))</f>
        <v/>
      </c>
      <c r="W293" s="65" t="n">
        <v>46248</v>
      </c>
      <c r="X293" s="30" t="inlineStr">
        <is>
          <t>Sunil CR</t>
        </is>
      </c>
      <c r="Y293" s="30" t="inlineStr">
        <is>
          <t>Yes</t>
        </is>
      </c>
      <c r="Z293" s="30" t="n"/>
      <c r="AA293" s="30" t="inlineStr">
        <is>
          <t>Good finish</t>
        </is>
      </c>
      <c r="AB293" s="30" t="inlineStr">
        <is>
          <t>Yes</t>
        </is>
      </c>
      <c r="AC293" s="27" t="n"/>
      <c r="AD293" s="31" t="inlineStr">
        <is>
          <t>No</t>
        </is>
      </c>
      <c r="AE293" s="32">
        <f>IF(W293="","",IF(Z293="Yes","❌ Disc",IF(Y293="No","⚠ Missing",IF(AB293="Yes","✓ OK","⚠ Check"))))</f>
        <v/>
      </c>
      <c r="AF293" s="33" t="n"/>
      <c r="AG293" s="33" t="n"/>
      <c r="AH293" s="33" t="n"/>
      <c r="AI293" s="33" t="n"/>
      <c r="AJ293" s="33" t="n"/>
      <c r="AK293" s="33" t="n"/>
      <c r="AL293" s="27" t="n"/>
      <c r="AM293" s="34" t="n"/>
      <c r="AN293" s="35">
        <f>IF(AF293="","",IF(AI293="Yes","❌ Disc",IF(AH293="No","⚠ Missing",IF(AK293="Yes","✓ OK","⚠ Check"))))</f>
        <v/>
      </c>
      <c r="AO293" s="36" t="n"/>
      <c r="AP293" s="36" t="n"/>
      <c r="AQ293" s="36" t="n"/>
      <c r="AR293" s="36" t="n"/>
      <c r="AS293" s="36" t="n"/>
      <c r="AT293" s="36" t="n"/>
      <c r="AU293" s="27" t="n"/>
      <c r="AV293" s="37" t="n"/>
      <c r="AW293" s="38">
        <f>IF(AO293="","",IF(AR293="Yes","❌ Disc",IF(AQ293="No","⚠ Missing",IF(AT293="Yes","✓ OK","⚠ Check"))))</f>
        <v/>
      </c>
    </row>
    <row r="294" ht="18" customHeight="1" s="46">
      <c r="A294" s="39" t="n">
        <v>290</v>
      </c>
      <c r="B294" s="40" t="inlineStr">
        <is>
          <t>BD-VRM-2026-0428</t>
        </is>
      </c>
      <c r="C294" s="41" t="inlineStr">
        <is>
          <t>Excel - Deshaj Wallpaper 7809-3</t>
        </is>
      </c>
      <c r="D294" s="39" t="inlineStr">
        <is>
          <t>Excel</t>
        </is>
      </c>
      <c r="E294" s="43" t="n">
        <v>46125</v>
      </c>
      <c r="F294" s="26" t="inlineStr">
        <is>
          <t>Sunil CR</t>
        </is>
      </c>
      <c r="G294" s="26" t="inlineStr">
        <is>
          <t>Yes</t>
        </is>
      </c>
      <c r="H294" s="26" t="inlineStr">
        <is>
          <t>No</t>
        </is>
      </c>
      <c r="I294" s="26" t="inlineStr">
        <is>
          <t>Good finish</t>
        </is>
      </c>
      <c r="J294" s="26" t="inlineStr">
        <is>
          <t>Yes</t>
        </is>
      </c>
      <c r="K294" s="27" t="n"/>
      <c r="L294" s="28" t="inlineStr">
        <is>
          <t>No</t>
        </is>
      </c>
      <c r="M294" s="29">
        <f>IF(E294="","",IF(H294="Yes","❌ Disc",IF(G294="No","⚠ Missing",IF(J294="Yes","✓ OK","⚠ Check"))))</f>
        <v/>
      </c>
      <c r="N294" s="43" t="n">
        <v>46193</v>
      </c>
      <c r="O294" s="26" t="inlineStr">
        <is>
          <t>Sunil CR</t>
        </is>
      </c>
      <c r="P294" s="26" t="inlineStr">
        <is>
          <t>Yes</t>
        </is>
      </c>
      <c r="Q294" s="26" t="inlineStr">
        <is>
          <t>No</t>
        </is>
      </c>
      <c r="R294" s="26" t="inlineStr">
        <is>
          <t>Good finish</t>
        </is>
      </c>
      <c r="S294" s="26" t="inlineStr">
        <is>
          <t>Yes</t>
        </is>
      </c>
      <c r="T294" s="27" t="n"/>
      <c r="U294" s="28" t="inlineStr">
        <is>
          <t>No</t>
        </is>
      </c>
      <c r="V294" s="29">
        <f>IF(N294="","",IF(Q294="Yes","❌ Disc",IF(P294="No","⚠ Missing",IF(S294="Yes","✓ OK","⚠ Check"))))</f>
        <v/>
      </c>
      <c r="W294" s="65" t="n">
        <v>46248</v>
      </c>
      <c r="X294" s="30" t="inlineStr">
        <is>
          <t>Sunil CR</t>
        </is>
      </c>
      <c r="Y294" s="30" t="inlineStr">
        <is>
          <t>Yes</t>
        </is>
      </c>
      <c r="Z294" s="30" t="n"/>
      <c r="AA294" s="30" t="inlineStr">
        <is>
          <t>Good finish</t>
        </is>
      </c>
      <c r="AB294" s="30" t="inlineStr">
        <is>
          <t>Yes</t>
        </is>
      </c>
      <c r="AC294" s="27" t="n"/>
      <c r="AD294" s="31" t="inlineStr">
        <is>
          <t>No</t>
        </is>
      </c>
      <c r="AE294" s="32">
        <f>IF(W294="","",IF(Z294="Yes","❌ Disc",IF(Y294="No","⚠ Missing",IF(AB294="Yes","✓ OK","⚠ Check"))))</f>
        <v/>
      </c>
      <c r="AF294" s="33" t="n"/>
      <c r="AG294" s="33" t="n"/>
      <c r="AH294" s="33" t="n"/>
      <c r="AI294" s="33" t="n"/>
      <c r="AJ294" s="33" t="n"/>
      <c r="AK294" s="33" t="n"/>
      <c r="AL294" s="27" t="n"/>
      <c r="AM294" s="34" t="n"/>
      <c r="AN294" s="35">
        <f>IF(AF294="","",IF(AI294="Yes","❌ Disc",IF(AH294="No","⚠ Missing",IF(AK294="Yes","✓ OK","⚠ Check"))))</f>
        <v/>
      </c>
      <c r="AO294" s="36" t="n"/>
      <c r="AP294" s="36" t="n"/>
      <c r="AQ294" s="36" t="n"/>
      <c r="AR294" s="36" t="n"/>
      <c r="AS294" s="36" t="n"/>
      <c r="AT294" s="36" t="n"/>
      <c r="AU294" s="27" t="n"/>
      <c r="AV294" s="37" t="n"/>
      <c r="AW294" s="38">
        <f>IF(AO294="","",IF(AR294="Yes","❌ Disc",IF(AQ294="No","⚠ Missing",IF(AT294="Yes","✓ OK","⚠ Check"))))</f>
        <v/>
      </c>
    </row>
    <row r="295" ht="18" customHeight="1" s="46">
      <c r="A295" s="23" t="n">
        <v>291</v>
      </c>
      <c r="B295" s="24" t="inlineStr">
        <is>
          <t>BD-VRM-2026-0429</t>
        </is>
      </c>
      <c r="C295" s="25" t="inlineStr">
        <is>
          <t>Excel - Deshaj Wallpaper 7809-4</t>
        </is>
      </c>
      <c r="D295" s="23" t="inlineStr">
        <is>
          <t>Excel</t>
        </is>
      </c>
      <c r="E295" s="43" t="n">
        <v>46125</v>
      </c>
      <c r="F295" s="26" t="inlineStr">
        <is>
          <t>Sunil CR</t>
        </is>
      </c>
      <c r="G295" s="26" t="inlineStr">
        <is>
          <t>Yes</t>
        </is>
      </c>
      <c r="H295" s="26" t="inlineStr">
        <is>
          <t>No</t>
        </is>
      </c>
      <c r="I295" s="26" t="inlineStr">
        <is>
          <t>Good finish</t>
        </is>
      </c>
      <c r="J295" s="26" t="inlineStr">
        <is>
          <t>Yes</t>
        </is>
      </c>
      <c r="K295" s="27" t="n"/>
      <c r="L295" s="28" t="inlineStr">
        <is>
          <t>No</t>
        </is>
      </c>
      <c r="M295" s="29">
        <f>IF(E295="","",IF(H295="Yes","❌ Disc",IF(G295="No","⚠ Missing",IF(J295="Yes","✓ OK","⚠ Check"))))</f>
        <v/>
      </c>
      <c r="N295" s="43" t="n">
        <v>46193</v>
      </c>
      <c r="O295" s="26" t="inlineStr">
        <is>
          <t>Sunil CR</t>
        </is>
      </c>
      <c r="P295" s="26" t="inlineStr">
        <is>
          <t>Yes</t>
        </is>
      </c>
      <c r="Q295" s="26" t="inlineStr">
        <is>
          <t>No</t>
        </is>
      </c>
      <c r="R295" s="26" t="inlineStr">
        <is>
          <t>Good finish</t>
        </is>
      </c>
      <c r="S295" s="26" t="inlineStr">
        <is>
          <t>Yes</t>
        </is>
      </c>
      <c r="T295" s="27" t="n"/>
      <c r="U295" s="28" t="inlineStr">
        <is>
          <t>No</t>
        </is>
      </c>
      <c r="V295" s="29">
        <f>IF(N295="","",IF(Q295="Yes","❌ Disc",IF(P295="No","⚠ Missing",IF(S295="Yes","✓ OK","⚠ Check"))))</f>
        <v/>
      </c>
      <c r="W295" s="65" t="n">
        <v>46248</v>
      </c>
      <c r="X295" s="30" t="inlineStr">
        <is>
          <t>Sunil CR</t>
        </is>
      </c>
      <c r="Y295" s="30" t="inlineStr">
        <is>
          <t>Yes</t>
        </is>
      </c>
      <c r="Z295" s="30" t="n"/>
      <c r="AA295" s="30" t="inlineStr">
        <is>
          <t>Good finish</t>
        </is>
      </c>
      <c r="AB295" s="30" t="inlineStr">
        <is>
          <t>Yes</t>
        </is>
      </c>
      <c r="AC295" s="27" t="n"/>
      <c r="AD295" s="31" t="inlineStr">
        <is>
          <t>No</t>
        </is>
      </c>
      <c r="AE295" s="32">
        <f>IF(W295="","",IF(Z295="Yes","❌ Disc",IF(Y295="No","⚠ Missing",IF(AB295="Yes","✓ OK","⚠ Check"))))</f>
        <v/>
      </c>
      <c r="AF295" s="33" t="n"/>
      <c r="AG295" s="33" t="n"/>
      <c r="AH295" s="33" t="n"/>
      <c r="AI295" s="33" t="n"/>
      <c r="AJ295" s="33" t="n"/>
      <c r="AK295" s="33" t="n"/>
      <c r="AL295" s="27" t="n"/>
      <c r="AM295" s="34" t="n"/>
      <c r="AN295" s="35">
        <f>IF(AF295="","",IF(AI295="Yes","❌ Disc",IF(AH295="No","⚠ Missing",IF(AK295="Yes","✓ OK","⚠ Check"))))</f>
        <v/>
      </c>
      <c r="AO295" s="36" t="n"/>
      <c r="AP295" s="36" t="n"/>
      <c r="AQ295" s="36" t="n"/>
      <c r="AR295" s="36" t="n"/>
      <c r="AS295" s="36" t="n"/>
      <c r="AT295" s="36" t="n"/>
      <c r="AU295" s="27" t="n"/>
      <c r="AV295" s="37" t="n"/>
      <c r="AW295" s="38">
        <f>IF(AO295="","",IF(AR295="Yes","❌ Disc",IF(AQ295="No","⚠ Missing",IF(AT295="Yes","✓ OK","⚠ Check"))))</f>
        <v/>
      </c>
    </row>
    <row r="296" ht="18" customHeight="1" s="46">
      <c r="A296" s="39" t="n">
        <v>292</v>
      </c>
      <c r="B296" s="40" t="inlineStr">
        <is>
          <t>BD-VRM-2026-0430</t>
        </is>
      </c>
      <c r="C296" s="41" t="inlineStr">
        <is>
          <t>Excel - Deshaj Wallpaper 7809-5</t>
        </is>
      </c>
      <c r="D296" s="39" t="inlineStr">
        <is>
          <t>Excel</t>
        </is>
      </c>
      <c r="E296" s="43" t="n">
        <v>46125</v>
      </c>
      <c r="F296" s="26" t="inlineStr">
        <is>
          <t>Sunil CR</t>
        </is>
      </c>
      <c r="G296" s="26" t="inlineStr">
        <is>
          <t>Yes</t>
        </is>
      </c>
      <c r="H296" s="26" t="inlineStr">
        <is>
          <t>No</t>
        </is>
      </c>
      <c r="I296" s="26" t="inlineStr">
        <is>
          <t>Good finish</t>
        </is>
      </c>
      <c r="J296" s="26" t="inlineStr">
        <is>
          <t>Yes</t>
        </is>
      </c>
      <c r="K296" s="27" t="n"/>
      <c r="L296" s="28" t="inlineStr">
        <is>
          <t>No</t>
        </is>
      </c>
      <c r="M296" s="29">
        <f>IF(E296="","",IF(H296="Yes","❌ Disc",IF(G296="No","⚠ Missing",IF(J296="Yes","✓ OK","⚠ Check"))))</f>
        <v/>
      </c>
      <c r="N296" s="43" t="n">
        <v>46193</v>
      </c>
      <c r="O296" s="26" t="inlineStr">
        <is>
          <t>Sunil CR</t>
        </is>
      </c>
      <c r="P296" s="26" t="inlineStr">
        <is>
          <t>Yes</t>
        </is>
      </c>
      <c r="Q296" s="26" t="inlineStr">
        <is>
          <t>No</t>
        </is>
      </c>
      <c r="R296" s="26" t="inlineStr">
        <is>
          <t>Good finish</t>
        </is>
      </c>
      <c r="S296" s="26" t="inlineStr">
        <is>
          <t>Yes</t>
        </is>
      </c>
      <c r="T296" s="27" t="n"/>
      <c r="U296" s="28" t="inlineStr">
        <is>
          <t>No</t>
        </is>
      </c>
      <c r="V296" s="29">
        <f>IF(N296="","",IF(Q296="Yes","❌ Disc",IF(P296="No","⚠ Missing",IF(S296="Yes","✓ OK","⚠ Check"))))</f>
        <v/>
      </c>
      <c r="W296" s="65" t="n">
        <v>46248</v>
      </c>
      <c r="X296" s="30" t="inlineStr">
        <is>
          <t>Sunil CR</t>
        </is>
      </c>
      <c r="Y296" s="30" t="inlineStr">
        <is>
          <t>Yes</t>
        </is>
      </c>
      <c r="Z296" s="30" t="n"/>
      <c r="AA296" s="30" t="inlineStr">
        <is>
          <t>Good finish</t>
        </is>
      </c>
      <c r="AB296" s="30" t="inlineStr">
        <is>
          <t>Yes</t>
        </is>
      </c>
      <c r="AC296" s="27" t="n"/>
      <c r="AD296" s="31" t="inlineStr">
        <is>
          <t>No</t>
        </is>
      </c>
      <c r="AE296" s="32">
        <f>IF(W296="","",IF(Z296="Yes","❌ Disc",IF(Y296="No","⚠ Missing",IF(AB296="Yes","✓ OK","⚠ Check"))))</f>
        <v/>
      </c>
      <c r="AF296" s="33" t="n"/>
      <c r="AG296" s="33" t="n"/>
      <c r="AH296" s="33" t="n"/>
      <c r="AI296" s="33" t="n"/>
      <c r="AJ296" s="33" t="n"/>
      <c r="AK296" s="33" t="n"/>
      <c r="AL296" s="27" t="n"/>
      <c r="AM296" s="34" t="n"/>
      <c r="AN296" s="35">
        <f>IF(AF296="","",IF(AI296="Yes","❌ Disc",IF(AH296="No","⚠ Missing",IF(AK296="Yes","✓ OK","⚠ Check"))))</f>
        <v/>
      </c>
      <c r="AO296" s="36" t="n"/>
      <c r="AP296" s="36" t="n"/>
      <c r="AQ296" s="36" t="n"/>
      <c r="AR296" s="36" t="n"/>
      <c r="AS296" s="36" t="n"/>
      <c r="AT296" s="36" t="n"/>
      <c r="AU296" s="27" t="n"/>
      <c r="AV296" s="37" t="n"/>
      <c r="AW296" s="38">
        <f>IF(AO296="","",IF(AR296="Yes","❌ Disc",IF(AQ296="No","⚠ Missing",IF(AT296="Yes","✓ OK","⚠ Check"))))</f>
        <v/>
      </c>
    </row>
    <row r="297" ht="18" customHeight="1" s="46">
      <c r="A297" s="23" t="n">
        <v>293</v>
      </c>
      <c r="B297" s="24" t="inlineStr">
        <is>
          <t>BD-VRM-2026-0454</t>
        </is>
      </c>
      <c r="C297" s="25" t="inlineStr">
        <is>
          <t>Excel - Joy  Wallpaper FOL105</t>
        </is>
      </c>
      <c r="D297" s="23" t="inlineStr">
        <is>
          <t>Excel</t>
        </is>
      </c>
      <c r="E297" s="43" t="n">
        <v>46125</v>
      </c>
      <c r="F297" s="26" t="inlineStr">
        <is>
          <t>Sunil CR</t>
        </is>
      </c>
      <c r="G297" s="26" t="inlineStr">
        <is>
          <t>No</t>
        </is>
      </c>
      <c r="H297" s="26" t="inlineStr">
        <is>
          <t>No</t>
        </is>
      </c>
      <c r="I297" s="26" t="inlineStr">
        <is>
          <t>Not Available</t>
        </is>
      </c>
      <c r="J297" s="26" t="inlineStr">
        <is>
          <t>No</t>
        </is>
      </c>
      <c r="K297" s="27" t="n"/>
      <c r="L297" s="28" t="inlineStr">
        <is>
          <t>Yes</t>
        </is>
      </c>
      <c r="M297" s="29">
        <f>IF(E297="","",IF(H297="Yes","❌ Disc",IF(G297="No","⚠ Missing",IF(J297="Yes","✓ OK","⚠ Check"))))</f>
        <v/>
      </c>
      <c r="N297" s="43" t="n">
        <v>46193</v>
      </c>
      <c r="O297" s="26" t="inlineStr">
        <is>
          <t>Sunil CR</t>
        </is>
      </c>
      <c r="P297" s="26" t="inlineStr">
        <is>
          <t>No</t>
        </is>
      </c>
      <c r="Q297" s="26" t="inlineStr">
        <is>
          <t>No</t>
        </is>
      </c>
      <c r="R297" s="26" t="inlineStr">
        <is>
          <t>Not Available</t>
        </is>
      </c>
      <c r="S297" s="26" t="inlineStr">
        <is>
          <t>No</t>
        </is>
      </c>
      <c r="T297" s="27" t="n"/>
      <c r="U297" s="28" t="inlineStr">
        <is>
          <t>Yes</t>
        </is>
      </c>
      <c r="V297" s="29">
        <f>IF(N297="","",IF(Q297="Yes","❌ Disc",IF(P297="No","⚠ Missing",IF(S297="Yes","✓ OK","⚠ Check"))))</f>
        <v/>
      </c>
      <c r="W297" s="65" t="n">
        <v>46248</v>
      </c>
      <c r="X297" s="30" t="inlineStr">
        <is>
          <t>Sunil CR</t>
        </is>
      </c>
      <c r="Y297" s="30" t="inlineStr">
        <is>
          <t>No</t>
        </is>
      </c>
      <c r="Z297" s="30" t="n"/>
      <c r="AA297" s="30" t="inlineStr">
        <is>
          <t>Not Available</t>
        </is>
      </c>
      <c r="AB297" s="30" t="inlineStr">
        <is>
          <t>No</t>
        </is>
      </c>
      <c r="AC297" s="27" t="n"/>
      <c r="AD297" s="31" t="inlineStr">
        <is>
          <t>Yes</t>
        </is>
      </c>
      <c r="AE297" s="32">
        <f>IF(W297="","",IF(Z297="Yes","❌ Disc",IF(Y297="No","⚠ Missing",IF(AB297="Yes","✓ OK","⚠ Check"))))</f>
        <v/>
      </c>
      <c r="AF297" s="33" t="n"/>
      <c r="AG297" s="33" t="n"/>
      <c r="AH297" s="33" t="n"/>
      <c r="AI297" s="33" t="n"/>
      <c r="AJ297" s="33" t="n"/>
      <c r="AK297" s="33" t="n"/>
      <c r="AL297" s="27" t="n"/>
      <c r="AM297" s="34" t="n"/>
      <c r="AN297" s="35">
        <f>IF(AF297="","",IF(AI297="Yes","❌ Disc",IF(AH297="No","⚠ Missing",IF(AK297="Yes","✓ OK","⚠ Check"))))</f>
        <v/>
      </c>
      <c r="AO297" s="36" t="n"/>
      <c r="AP297" s="36" t="n"/>
      <c r="AQ297" s="36" t="n"/>
      <c r="AR297" s="36" t="n"/>
      <c r="AS297" s="36" t="n"/>
      <c r="AT297" s="36" t="n"/>
      <c r="AU297" s="27" t="n"/>
      <c r="AV297" s="37" t="n"/>
      <c r="AW297" s="38">
        <f>IF(AO297="","",IF(AR297="Yes","❌ Disc",IF(AQ297="No","⚠ Missing",IF(AT297="Yes","✓ OK","⚠ Check"))))</f>
        <v/>
      </c>
    </row>
    <row r="298" ht="18" customHeight="1" s="46">
      <c r="A298" s="39" t="n">
        <v>294</v>
      </c>
      <c r="B298" s="40" t="inlineStr">
        <is>
          <t>BD-VRM-2026-0455</t>
        </is>
      </c>
      <c r="C298" s="41" t="inlineStr">
        <is>
          <t>Excel - Joy  Wallpaper FOL109</t>
        </is>
      </c>
      <c r="D298" s="39" t="inlineStr">
        <is>
          <t>Excel</t>
        </is>
      </c>
      <c r="E298" s="43" t="n">
        <v>46125</v>
      </c>
      <c r="F298" s="26" t="inlineStr">
        <is>
          <t>Sunil CR</t>
        </is>
      </c>
      <c r="G298" s="26" t="inlineStr">
        <is>
          <t>No</t>
        </is>
      </c>
      <c r="H298" s="26" t="inlineStr">
        <is>
          <t>No</t>
        </is>
      </c>
      <c r="I298" s="26" t="inlineStr">
        <is>
          <t>Not Available</t>
        </is>
      </c>
      <c r="J298" s="26" t="inlineStr">
        <is>
          <t>No</t>
        </is>
      </c>
      <c r="K298" s="27" t="n"/>
      <c r="L298" s="28" t="inlineStr">
        <is>
          <t>Yes</t>
        </is>
      </c>
      <c r="M298" s="29">
        <f>IF(E298="","",IF(H298="Yes","❌ Disc",IF(G298="No","⚠ Missing",IF(J298="Yes","✓ OK","⚠ Check"))))</f>
        <v/>
      </c>
      <c r="N298" s="43" t="n">
        <v>46193</v>
      </c>
      <c r="O298" s="26" t="inlineStr">
        <is>
          <t>Sunil CR</t>
        </is>
      </c>
      <c r="P298" s="26" t="inlineStr">
        <is>
          <t>No</t>
        </is>
      </c>
      <c r="Q298" s="26" t="inlineStr">
        <is>
          <t>No</t>
        </is>
      </c>
      <c r="R298" s="26" t="inlineStr">
        <is>
          <t>Not Available</t>
        </is>
      </c>
      <c r="S298" s="26" t="inlineStr">
        <is>
          <t>No</t>
        </is>
      </c>
      <c r="T298" s="27" t="n"/>
      <c r="U298" s="28" t="inlineStr">
        <is>
          <t>Yes</t>
        </is>
      </c>
      <c r="V298" s="29">
        <f>IF(N298="","",IF(Q298="Yes","❌ Disc",IF(P298="No","⚠ Missing",IF(S298="Yes","✓ OK","⚠ Check"))))</f>
        <v/>
      </c>
      <c r="W298" s="65" t="n">
        <v>46248</v>
      </c>
      <c r="X298" s="30" t="inlineStr">
        <is>
          <t>Sunil CR</t>
        </is>
      </c>
      <c r="Y298" s="30" t="inlineStr">
        <is>
          <t>No</t>
        </is>
      </c>
      <c r="Z298" s="30" t="n"/>
      <c r="AA298" s="30" t="inlineStr">
        <is>
          <t>Not Available</t>
        </is>
      </c>
      <c r="AB298" s="30" t="inlineStr">
        <is>
          <t>No</t>
        </is>
      </c>
      <c r="AC298" s="27" t="n"/>
      <c r="AD298" s="31" t="inlineStr">
        <is>
          <t>Yes</t>
        </is>
      </c>
      <c r="AE298" s="32">
        <f>IF(W298="","",IF(Z298="Yes","❌ Disc",IF(Y298="No","⚠ Missing",IF(AB298="Yes","✓ OK","⚠ Check"))))</f>
        <v/>
      </c>
      <c r="AF298" s="33" t="n"/>
      <c r="AG298" s="33" t="n"/>
      <c r="AH298" s="33" t="n"/>
      <c r="AI298" s="33" t="n"/>
      <c r="AJ298" s="33" t="n"/>
      <c r="AK298" s="33" t="n"/>
      <c r="AL298" s="27" t="n"/>
      <c r="AM298" s="34" t="n"/>
      <c r="AN298" s="35">
        <f>IF(AF298="","",IF(AI298="Yes","❌ Disc",IF(AH298="No","⚠ Missing",IF(AK298="Yes","✓ OK","⚠ Check"))))</f>
        <v/>
      </c>
      <c r="AO298" s="36" t="n"/>
      <c r="AP298" s="36" t="n"/>
      <c r="AQ298" s="36" t="n"/>
      <c r="AR298" s="36" t="n"/>
      <c r="AS298" s="36" t="n"/>
      <c r="AT298" s="36" t="n"/>
      <c r="AU298" s="27" t="n"/>
      <c r="AV298" s="37" t="n"/>
      <c r="AW298" s="38">
        <f>IF(AO298="","",IF(AR298="Yes","❌ Disc",IF(AQ298="No","⚠ Missing",IF(AT298="Yes","✓ OK","⚠ Check"))))</f>
        <v/>
      </c>
    </row>
    <row r="299" ht="18" customHeight="1" s="46">
      <c r="A299" s="23" t="n">
        <v>295</v>
      </c>
      <c r="B299" s="24" t="inlineStr">
        <is>
          <t>BD-VRM-2026-0456</t>
        </is>
      </c>
      <c r="C299" s="25" t="inlineStr">
        <is>
          <t>Excel - Joy  Wallpaper FOL111</t>
        </is>
      </c>
      <c r="D299" s="23" t="inlineStr">
        <is>
          <t>Excel</t>
        </is>
      </c>
      <c r="E299" s="43" t="n">
        <v>46125</v>
      </c>
      <c r="F299" s="26" t="inlineStr">
        <is>
          <t>Sunil CR</t>
        </is>
      </c>
      <c r="G299" s="26" t="inlineStr">
        <is>
          <t>No</t>
        </is>
      </c>
      <c r="H299" s="26" t="inlineStr">
        <is>
          <t>No</t>
        </is>
      </c>
      <c r="I299" s="26" t="inlineStr">
        <is>
          <t>Not Available</t>
        </is>
      </c>
      <c r="J299" s="26" t="inlineStr">
        <is>
          <t>No</t>
        </is>
      </c>
      <c r="K299" s="27" t="n"/>
      <c r="L299" s="28" t="inlineStr">
        <is>
          <t>Yes</t>
        </is>
      </c>
      <c r="M299" s="29">
        <f>IF(E299="","",IF(H299="Yes","❌ Disc",IF(G299="No","⚠ Missing",IF(J299="Yes","✓ OK","⚠ Check"))))</f>
        <v/>
      </c>
      <c r="N299" s="43" t="n">
        <v>46193</v>
      </c>
      <c r="O299" s="26" t="inlineStr">
        <is>
          <t>Sunil CR</t>
        </is>
      </c>
      <c r="P299" s="26" t="inlineStr">
        <is>
          <t>No</t>
        </is>
      </c>
      <c r="Q299" s="26" t="inlineStr">
        <is>
          <t>No</t>
        </is>
      </c>
      <c r="R299" s="26" t="inlineStr">
        <is>
          <t>Not Available</t>
        </is>
      </c>
      <c r="S299" s="26" t="inlineStr">
        <is>
          <t>No</t>
        </is>
      </c>
      <c r="T299" s="27" t="n"/>
      <c r="U299" s="28" t="inlineStr">
        <is>
          <t>Yes</t>
        </is>
      </c>
      <c r="V299" s="29">
        <f>IF(N299="","",IF(Q299="Yes","❌ Disc",IF(P299="No","⚠ Missing",IF(S299="Yes","✓ OK","⚠ Check"))))</f>
        <v/>
      </c>
      <c r="W299" s="65" t="n">
        <v>46248</v>
      </c>
      <c r="X299" s="30" t="inlineStr">
        <is>
          <t>Sunil CR</t>
        </is>
      </c>
      <c r="Y299" s="30" t="inlineStr">
        <is>
          <t>No</t>
        </is>
      </c>
      <c r="Z299" s="30" t="n"/>
      <c r="AA299" s="30" t="inlineStr">
        <is>
          <t>Not Available</t>
        </is>
      </c>
      <c r="AB299" s="30" t="inlineStr">
        <is>
          <t>No</t>
        </is>
      </c>
      <c r="AC299" s="27" t="n"/>
      <c r="AD299" s="31" t="inlineStr">
        <is>
          <t>Yes</t>
        </is>
      </c>
      <c r="AE299" s="32">
        <f>IF(W299="","",IF(Z299="Yes","❌ Disc",IF(Y299="No","⚠ Missing",IF(AB299="Yes","✓ OK","⚠ Check"))))</f>
        <v/>
      </c>
      <c r="AF299" s="33" t="n"/>
      <c r="AG299" s="33" t="n"/>
      <c r="AH299" s="33" t="n"/>
      <c r="AI299" s="33" t="n"/>
      <c r="AJ299" s="33" t="n"/>
      <c r="AK299" s="33" t="n"/>
      <c r="AL299" s="27" t="n"/>
      <c r="AM299" s="34" t="n"/>
      <c r="AN299" s="35">
        <f>IF(AF299="","",IF(AI299="Yes","❌ Disc",IF(AH299="No","⚠ Missing",IF(AK299="Yes","✓ OK","⚠ Check"))))</f>
        <v/>
      </c>
      <c r="AO299" s="36" t="n"/>
      <c r="AP299" s="36" t="n"/>
      <c r="AQ299" s="36" t="n"/>
      <c r="AR299" s="36" t="n"/>
      <c r="AS299" s="36" t="n"/>
      <c r="AT299" s="36" t="n"/>
      <c r="AU299" s="27" t="n"/>
      <c r="AV299" s="37" t="n"/>
      <c r="AW299" s="38">
        <f>IF(AO299="","",IF(AR299="Yes","❌ Disc",IF(AQ299="No","⚠ Missing",IF(AT299="Yes","✓ OK","⚠ Check"))))</f>
        <v/>
      </c>
    </row>
    <row r="300" ht="18" customHeight="1" s="46">
      <c r="A300" s="39" t="n">
        <v>296</v>
      </c>
      <c r="B300" s="40" t="inlineStr">
        <is>
          <t>BD-VRM-2026-0444</t>
        </is>
      </c>
      <c r="C300" s="41" t="inlineStr">
        <is>
          <t>Excel - Joy  Wallpaper JOY001</t>
        </is>
      </c>
      <c r="D300" s="39" t="inlineStr">
        <is>
          <t>Excel</t>
        </is>
      </c>
      <c r="E300" s="43" t="n">
        <v>46125</v>
      </c>
      <c r="F300" s="26" t="inlineStr">
        <is>
          <t>Sunil CR</t>
        </is>
      </c>
      <c r="G300" s="26" t="inlineStr">
        <is>
          <t>Yes</t>
        </is>
      </c>
      <c r="H300" s="26" t="inlineStr">
        <is>
          <t>No</t>
        </is>
      </c>
      <c r="I300" s="26" t="inlineStr">
        <is>
          <t>Good finish</t>
        </is>
      </c>
      <c r="J300" s="26" t="inlineStr">
        <is>
          <t>Yes</t>
        </is>
      </c>
      <c r="K300" s="27" t="n"/>
      <c r="L300" s="28" t="inlineStr">
        <is>
          <t>No</t>
        </is>
      </c>
      <c r="M300" s="29">
        <f>IF(E300="","",IF(H300="Yes","❌ Disc",IF(G300="No","⚠ Missing",IF(J300="Yes","✓ OK","⚠ Check"))))</f>
        <v/>
      </c>
      <c r="N300" s="43" t="n">
        <v>46193</v>
      </c>
      <c r="O300" s="26" t="inlineStr">
        <is>
          <t>Sunil CR</t>
        </is>
      </c>
      <c r="P300" s="26" t="inlineStr">
        <is>
          <t>Yes</t>
        </is>
      </c>
      <c r="Q300" s="26" t="inlineStr">
        <is>
          <t>No</t>
        </is>
      </c>
      <c r="R300" s="26" t="inlineStr">
        <is>
          <t>Good finish</t>
        </is>
      </c>
      <c r="S300" s="26" t="inlineStr">
        <is>
          <t>Yes</t>
        </is>
      </c>
      <c r="T300" s="27" t="n"/>
      <c r="U300" s="28" t="inlineStr">
        <is>
          <t>No</t>
        </is>
      </c>
      <c r="V300" s="29">
        <f>IF(N300="","",IF(Q300="Yes","❌ Disc",IF(P300="No","⚠ Missing",IF(S300="Yes","✓ OK","⚠ Check"))))</f>
        <v/>
      </c>
      <c r="W300" s="65" t="n">
        <v>46248</v>
      </c>
      <c r="X300" s="30" t="inlineStr">
        <is>
          <t>Sunil CR</t>
        </is>
      </c>
      <c r="Y300" s="30" t="inlineStr">
        <is>
          <t>Yes</t>
        </is>
      </c>
      <c r="Z300" s="30" t="n"/>
      <c r="AA300" s="30" t="inlineStr">
        <is>
          <t>Good finish</t>
        </is>
      </c>
      <c r="AB300" s="30" t="inlineStr">
        <is>
          <t>Yes</t>
        </is>
      </c>
      <c r="AC300" s="27" t="n"/>
      <c r="AD300" s="31" t="inlineStr">
        <is>
          <t>No</t>
        </is>
      </c>
      <c r="AE300" s="32">
        <f>IF(W300="","",IF(Z300="Yes","❌ Disc",IF(Y300="No","⚠ Missing",IF(AB300="Yes","✓ OK","⚠ Check"))))</f>
        <v/>
      </c>
      <c r="AF300" s="33" t="n"/>
      <c r="AG300" s="33" t="n"/>
      <c r="AH300" s="33" t="n"/>
      <c r="AI300" s="33" t="n"/>
      <c r="AJ300" s="33" t="n"/>
      <c r="AK300" s="33" t="n"/>
      <c r="AL300" s="27" t="n"/>
      <c r="AM300" s="34" t="n"/>
      <c r="AN300" s="35">
        <f>IF(AF300="","",IF(AI300="Yes","❌ Disc",IF(AH300="No","⚠ Missing",IF(AK300="Yes","✓ OK","⚠ Check"))))</f>
        <v/>
      </c>
      <c r="AO300" s="36" t="n"/>
      <c r="AP300" s="36" t="n"/>
      <c r="AQ300" s="36" t="n"/>
      <c r="AR300" s="36" t="n"/>
      <c r="AS300" s="36" t="n"/>
      <c r="AT300" s="36" t="n"/>
      <c r="AU300" s="27" t="n"/>
      <c r="AV300" s="37" t="n"/>
      <c r="AW300" s="38">
        <f>IF(AO300="","",IF(AR300="Yes","❌ Disc",IF(AQ300="No","⚠ Missing",IF(AT300="Yes","✓ OK","⚠ Check"))))</f>
        <v/>
      </c>
    </row>
    <row r="301" ht="18" customHeight="1" s="46">
      <c r="A301" s="23" t="n">
        <v>297</v>
      </c>
      <c r="B301" s="24" t="inlineStr">
        <is>
          <t>BD-VRM-2026-0451</t>
        </is>
      </c>
      <c r="C301" s="25" t="inlineStr">
        <is>
          <t>Excel - Joy  Wallpaper JOY002</t>
        </is>
      </c>
      <c r="D301" s="23" t="inlineStr">
        <is>
          <t>Excel</t>
        </is>
      </c>
      <c r="E301" s="43" t="n">
        <v>46125</v>
      </c>
      <c r="F301" s="26" t="inlineStr">
        <is>
          <t>Sunil CR</t>
        </is>
      </c>
      <c r="G301" s="26" t="inlineStr">
        <is>
          <t>Yes</t>
        </is>
      </c>
      <c r="H301" s="26" t="inlineStr">
        <is>
          <t>No</t>
        </is>
      </c>
      <c r="I301" s="26" t="inlineStr">
        <is>
          <t>Good finish</t>
        </is>
      </c>
      <c r="J301" s="26" t="inlineStr">
        <is>
          <t>Yes</t>
        </is>
      </c>
      <c r="K301" s="27" t="n"/>
      <c r="L301" s="28" t="inlineStr">
        <is>
          <t>No</t>
        </is>
      </c>
      <c r="M301" s="29">
        <f>IF(E301="","",IF(H301="Yes","❌ Disc",IF(G301="No","⚠ Missing",IF(J301="Yes","✓ OK","⚠ Check"))))</f>
        <v/>
      </c>
      <c r="N301" s="43" t="n">
        <v>46193</v>
      </c>
      <c r="O301" s="26" t="inlineStr">
        <is>
          <t>Sunil CR</t>
        </is>
      </c>
      <c r="P301" s="26" t="inlineStr">
        <is>
          <t>Yes</t>
        </is>
      </c>
      <c r="Q301" s="26" t="inlineStr">
        <is>
          <t>No</t>
        </is>
      </c>
      <c r="R301" s="26" t="inlineStr">
        <is>
          <t>Good finish</t>
        </is>
      </c>
      <c r="S301" s="26" t="inlineStr">
        <is>
          <t>Yes</t>
        </is>
      </c>
      <c r="T301" s="27" t="n"/>
      <c r="U301" s="28" t="inlineStr">
        <is>
          <t>No</t>
        </is>
      </c>
      <c r="V301" s="29">
        <f>IF(N301="","",IF(Q301="Yes","❌ Disc",IF(P301="No","⚠ Missing",IF(S301="Yes","✓ OK","⚠ Check"))))</f>
        <v/>
      </c>
      <c r="W301" s="65" t="n">
        <v>46248</v>
      </c>
      <c r="X301" s="30" t="inlineStr">
        <is>
          <t>Sunil CR</t>
        </is>
      </c>
      <c r="Y301" s="30" t="inlineStr">
        <is>
          <t>Yes</t>
        </is>
      </c>
      <c r="Z301" s="30" t="n"/>
      <c r="AA301" s="30" t="inlineStr">
        <is>
          <t>Good finish</t>
        </is>
      </c>
      <c r="AB301" s="30" t="inlineStr">
        <is>
          <t>Yes</t>
        </is>
      </c>
      <c r="AC301" s="27" t="n"/>
      <c r="AD301" s="31" t="inlineStr">
        <is>
          <t>No</t>
        </is>
      </c>
      <c r="AE301" s="32">
        <f>IF(W301="","",IF(Z301="Yes","❌ Disc",IF(Y301="No","⚠ Missing",IF(AB301="Yes","✓ OK","⚠ Check"))))</f>
        <v/>
      </c>
      <c r="AF301" s="33" t="n"/>
      <c r="AG301" s="33" t="n"/>
      <c r="AH301" s="33" t="n"/>
      <c r="AI301" s="33" t="n"/>
      <c r="AJ301" s="33" t="n"/>
      <c r="AK301" s="33" t="n"/>
      <c r="AL301" s="27" t="n"/>
      <c r="AM301" s="34" t="n"/>
      <c r="AN301" s="35">
        <f>IF(AF301="","",IF(AI301="Yes","❌ Disc",IF(AH301="No","⚠ Missing",IF(AK301="Yes","✓ OK","⚠ Check"))))</f>
        <v/>
      </c>
      <c r="AO301" s="36" t="n"/>
      <c r="AP301" s="36" t="n"/>
      <c r="AQ301" s="36" t="n"/>
      <c r="AR301" s="36" t="n"/>
      <c r="AS301" s="36" t="n"/>
      <c r="AT301" s="36" t="n"/>
      <c r="AU301" s="27" t="n"/>
      <c r="AV301" s="37" t="n"/>
      <c r="AW301" s="38">
        <f>IF(AO301="","",IF(AR301="Yes","❌ Disc",IF(AQ301="No","⚠ Missing",IF(AT301="Yes","✓ OK","⚠ Check"))))</f>
        <v/>
      </c>
    </row>
    <row r="302" ht="18" customHeight="1" s="46">
      <c r="A302" s="39" t="n">
        <v>298</v>
      </c>
      <c r="B302" s="40" t="inlineStr">
        <is>
          <t>BD-VRM-2026-0431</t>
        </is>
      </c>
      <c r="C302" s="41" t="inlineStr">
        <is>
          <t>Excel - Joy  Wallpaper JOY003</t>
        </is>
      </c>
      <c r="D302" s="39" t="inlineStr">
        <is>
          <t>Excel</t>
        </is>
      </c>
      <c r="E302" s="43" t="n">
        <v>46125</v>
      </c>
      <c r="F302" s="26" t="inlineStr">
        <is>
          <t>Sunil CR</t>
        </is>
      </c>
      <c r="G302" s="26" t="inlineStr">
        <is>
          <t>Yes</t>
        </is>
      </c>
      <c r="H302" s="26" t="inlineStr">
        <is>
          <t>No</t>
        </is>
      </c>
      <c r="I302" s="26" t="inlineStr">
        <is>
          <t>Good finish</t>
        </is>
      </c>
      <c r="J302" s="26" t="inlineStr">
        <is>
          <t>Yes</t>
        </is>
      </c>
      <c r="K302" s="27" t="n"/>
      <c r="L302" s="28" t="inlineStr">
        <is>
          <t>No</t>
        </is>
      </c>
      <c r="M302" s="29">
        <f>IF(E302="","",IF(H302="Yes","❌ Disc",IF(G302="No","⚠ Missing",IF(J302="Yes","✓ OK","⚠ Check"))))</f>
        <v/>
      </c>
      <c r="N302" s="43" t="n">
        <v>46193</v>
      </c>
      <c r="O302" s="26" t="inlineStr">
        <is>
          <t>Sunil CR</t>
        </is>
      </c>
      <c r="P302" s="26" t="inlineStr">
        <is>
          <t>Yes</t>
        </is>
      </c>
      <c r="Q302" s="26" t="inlineStr">
        <is>
          <t>No</t>
        </is>
      </c>
      <c r="R302" s="26" t="inlineStr">
        <is>
          <t>Good finish</t>
        </is>
      </c>
      <c r="S302" s="26" t="inlineStr">
        <is>
          <t>Yes</t>
        </is>
      </c>
      <c r="T302" s="27" t="n"/>
      <c r="U302" s="28" t="inlineStr">
        <is>
          <t>No</t>
        </is>
      </c>
      <c r="V302" s="29">
        <f>IF(N302="","",IF(Q302="Yes","❌ Disc",IF(P302="No","⚠ Missing",IF(S302="Yes","✓ OK","⚠ Check"))))</f>
        <v/>
      </c>
      <c r="W302" s="65" t="n">
        <v>46248</v>
      </c>
      <c r="X302" s="30" t="inlineStr">
        <is>
          <t>Sunil CR</t>
        </is>
      </c>
      <c r="Y302" s="30" t="inlineStr">
        <is>
          <t>Yes</t>
        </is>
      </c>
      <c r="Z302" s="30" t="n"/>
      <c r="AA302" s="30" t="inlineStr">
        <is>
          <t>Good finish</t>
        </is>
      </c>
      <c r="AB302" s="30" t="inlineStr">
        <is>
          <t>Yes</t>
        </is>
      </c>
      <c r="AC302" s="27" t="n"/>
      <c r="AD302" s="31" t="inlineStr">
        <is>
          <t>No</t>
        </is>
      </c>
      <c r="AE302" s="32">
        <f>IF(W302="","",IF(Z302="Yes","❌ Disc",IF(Y302="No","⚠ Missing",IF(AB302="Yes","✓ OK","⚠ Check"))))</f>
        <v/>
      </c>
      <c r="AF302" s="33" t="n"/>
      <c r="AG302" s="33" t="n"/>
      <c r="AH302" s="33" t="n"/>
      <c r="AI302" s="33" t="n"/>
      <c r="AJ302" s="33" t="n"/>
      <c r="AK302" s="33" t="n"/>
      <c r="AL302" s="27" t="n"/>
      <c r="AM302" s="34" t="n"/>
      <c r="AN302" s="35">
        <f>IF(AF302="","",IF(AI302="Yes","❌ Disc",IF(AH302="No","⚠ Missing",IF(AK302="Yes","✓ OK","⚠ Check"))))</f>
        <v/>
      </c>
      <c r="AO302" s="36" t="n"/>
      <c r="AP302" s="36" t="n"/>
      <c r="AQ302" s="36" t="n"/>
      <c r="AR302" s="36" t="n"/>
      <c r="AS302" s="36" t="n"/>
      <c r="AT302" s="36" t="n"/>
      <c r="AU302" s="27" t="n"/>
      <c r="AV302" s="37" t="n"/>
      <c r="AW302" s="38">
        <f>IF(AO302="","",IF(AR302="Yes","❌ Disc",IF(AQ302="No","⚠ Missing",IF(AT302="Yes","✓ OK","⚠ Check"))))</f>
        <v/>
      </c>
    </row>
    <row r="303" ht="18" customHeight="1" s="46">
      <c r="A303" s="23" t="n">
        <v>299</v>
      </c>
      <c r="B303" s="24" t="inlineStr">
        <is>
          <t>BD-VRM-2026-0439</t>
        </is>
      </c>
      <c r="C303" s="25" t="inlineStr">
        <is>
          <t>Excel - Joy  Wallpaper JOY004</t>
        </is>
      </c>
      <c r="D303" s="23" t="inlineStr">
        <is>
          <t>Excel</t>
        </is>
      </c>
      <c r="E303" s="43" t="n">
        <v>46125</v>
      </c>
      <c r="F303" s="26" t="inlineStr">
        <is>
          <t>Sunil CR</t>
        </is>
      </c>
      <c r="G303" s="26" t="inlineStr">
        <is>
          <t>Yes</t>
        </is>
      </c>
      <c r="H303" s="26" t="inlineStr">
        <is>
          <t>No</t>
        </is>
      </c>
      <c r="I303" s="26" t="inlineStr">
        <is>
          <t>Good finish</t>
        </is>
      </c>
      <c r="J303" s="26" t="inlineStr">
        <is>
          <t>Yes</t>
        </is>
      </c>
      <c r="K303" s="27" t="n"/>
      <c r="L303" s="28" t="inlineStr">
        <is>
          <t>No</t>
        </is>
      </c>
      <c r="M303" s="29">
        <f>IF(E303="","",IF(H303="Yes","❌ Disc",IF(G303="No","⚠ Missing",IF(J303="Yes","✓ OK","⚠ Check"))))</f>
        <v/>
      </c>
      <c r="N303" s="43" t="n">
        <v>46193</v>
      </c>
      <c r="O303" s="26" t="inlineStr">
        <is>
          <t>Sunil CR</t>
        </is>
      </c>
      <c r="P303" s="26" t="inlineStr">
        <is>
          <t>Yes</t>
        </is>
      </c>
      <c r="Q303" s="26" t="inlineStr">
        <is>
          <t>No</t>
        </is>
      </c>
      <c r="R303" s="26" t="inlineStr">
        <is>
          <t>Good finish</t>
        </is>
      </c>
      <c r="S303" s="26" t="inlineStr">
        <is>
          <t>Yes</t>
        </is>
      </c>
      <c r="T303" s="27" t="n"/>
      <c r="U303" s="28" t="inlineStr">
        <is>
          <t>No</t>
        </is>
      </c>
      <c r="V303" s="29">
        <f>IF(N303="","",IF(Q303="Yes","❌ Disc",IF(P303="No","⚠ Missing",IF(S303="Yes","✓ OK","⚠ Check"))))</f>
        <v/>
      </c>
      <c r="W303" s="65" t="n">
        <v>46248</v>
      </c>
      <c r="X303" s="30" t="inlineStr">
        <is>
          <t>Sunil CR</t>
        </is>
      </c>
      <c r="Y303" s="30" t="inlineStr">
        <is>
          <t>Yes</t>
        </is>
      </c>
      <c r="Z303" s="30" t="n"/>
      <c r="AA303" s="30" t="inlineStr">
        <is>
          <t>Good finish</t>
        </is>
      </c>
      <c r="AB303" s="30" t="inlineStr">
        <is>
          <t>Yes</t>
        </is>
      </c>
      <c r="AC303" s="27" t="n"/>
      <c r="AD303" s="31" t="inlineStr">
        <is>
          <t>No</t>
        </is>
      </c>
      <c r="AE303" s="32">
        <f>IF(W303="","",IF(Z303="Yes","❌ Disc",IF(Y303="No","⚠ Missing",IF(AB303="Yes","✓ OK","⚠ Check"))))</f>
        <v/>
      </c>
      <c r="AF303" s="33" t="n"/>
      <c r="AG303" s="33" t="n"/>
      <c r="AH303" s="33" t="n"/>
      <c r="AI303" s="33" t="n"/>
      <c r="AJ303" s="33" t="n"/>
      <c r="AK303" s="33" t="n"/>
      <c r="AL303" s="27" t="n"/>
      <c r="AM303" s="34" t="n"/>
      <c r="AN303" s="35">
        <f>IF(AF303="","",IF(AI303="Yes","❌ Disc",IF(AH303="No","⚠ Missing",IF(AK303="Yes","✓ OK","⚠ Check"))))</f>
        <v/>
      </c>
      <c r="AO303" s="36" t="n"/>
      <c r="AP303" s="36" t="n"/>
      <c r="AQ303" s="36" t="n"/>
      <c r="AR303" s="36" t="n"/>
      <c r="AS303" s="36" t="n"/>
      <c r="AT303" s="36" t="n"/>
      <c r="AU303" s="27" t="n"/>
      <c r="AV303" s="37" t="n"/>
      <c r="AW303" s="38">
        <f>IF(AO303="","",IF(AR303="Yes","❌ Disc",IF(AQ303="No","⚠ Missing",IF(AT303="Yes","✓ OK","⚠ Check"))))</f>
        <v/>
      </c>
    </row>
    <row r="304" ht="18" customHeight="1" s="46">
      <c r="A304" s="39" t="n">
        <v>300</v>
      </c>
      <c r="B304" s="40" t="inlineStr">
        <is>
          <t>BD-VRM-2026-0436</t>
        </is>
      </c>
      <c r="C304" s="41" t="inlineStr">
        <is>
          <t>Excel - Joy  Wallpaper JOY005</t>
        </is>
      </c>
      <c r="D304" s="39" t="inlineStr">
        <is>
          <t>Excel</t>
        </is>
      </c>
      <c r="E304" s="43" t="n">
        <v>46125</v>
      </c>
      <c r="F304" s="26" t="inlineStr">
        <is>
          <t>Sunil CR</t>
        </is>
      </c>
      <c r="G304" s="26" t="inlineStr">
        <is>
          <t>Yes</t>
        </is>
      </c>
      <c r="H304" s="26" t="inlineStr">
        <is>
          <t>No</t>
        </is>
      </c>
      <c r="I304" s="26" t="inlineStr">
        <is>
          <t>Good finish</t>
        </is>
      </c>
      <c r="J304" s="26" t="inlineStr">
        <is>
          <t>Yes</t>
        </is>
      </c>
      <c r="K304" s="27" t="n"/>
      <c r="L304" s="28" t="inlineStr">
        <is>
          <t>No</t>
        </is>
      </c>
      <c r="M304" s="29">
        <f>IF(E304="","",IF(H304="Yes","❌ Disc",IF(G304="No","⚠ Missing",IF(J304="Yes","✓ OK","⚠ Check"))))</f>
        <v/>
      </c>
      <c r="N304" s="43" t="n">
        <v>46193</v>
      </c>
      <c r="O304" s="26" t="inlineStr">
        <is>
          <t>Sunil CR</t>
        </is>
      </c>
      <c r="P304" s="26" t="inlineStr">
        <is>
          <t>Yes</t>
        </is>
      </c>
      <c r="Q304" s="26" t="inlineStr">
        <is>
          <t>No</t>
        </is>
      </c>
      <c r="R304" s="26" t="inlineStr">
        <is>
          <t>Good finish</t>
        </is>
      </c>
      <c r="S304" s="26" t="inlineStr">
        <is>
          <t>Yes</t>
        </is>
      </c>
      <c r="T304" s="27" t="n"/>
      <c r="U304" s="28" t="inlineStr">
        <is>
          <t>No</t>
        </is>
      </c>
      <c r="V304" s="29">
        <f>IF(N304="","",IF(Q304="Yes","❌ Disc",IF(P304="No","⚠ Missing",IF(S304="Yes","✓ OK","⚠ Check"))))</f>
        <v/>
      </c>
      <c r="W304" s="65" t="n">
        <v>46248</v>
      </c>
      <c r="X304" s="30" t="inlineStr">
        <is>
          <t>Sunil CR</t>
        </is>
      </c>
      <c r="Y304" s="30" t="inlineStr">
        <is>
          <t>Yes</t>
        </is>
      </c>
      <c r="Z304" s="30" t="n"/>
      <c r="AA304" s="30" t="inlineStr">
        <is>
          <t>Good finish</t>
        </is>
      </c>
      <c r="AB304" s="30" t="inlineStr">
        <is>
          <t>Yes</t>
        </is>
      </c>
      <c r="AC304" s="27" t="n"/>
      <c r="AD304" s="31" t="inlineStr">
        <is>
          <t>No</t>
        </is>
      </c>
      <c r="AE304" s="32">
        <f>IF(W304="","",IF(Z304="Yes","❌ Disc",IF(Y304="No","⚠ Missing",IF(AB304="Yes","✓ OK","⚠ Check"))))</f>
        <v/>
      </c>
      <c r="AF304" s="33" t="n"/>
      <c r="AG304" s="33" t="n"/>
      <c r="AH304" s="33" t="n"/>
      <c r="AI304" s="33" t="n"/>
      <c r="AJ304" s="33" t="n"/>
      <c r="AK304" s="33" t="n"/>
      <c r="AL304" s="27" t="n"/>
      <c r="AM304" s="34" t="n"/>
      <c r="AN304" s="35">
        <f>IF(AF304="","",IF(AI304="Yes","❌ Disc",IF(AH304="No","⚠ Missing",IF(AK304="Yes","✓ OK","⚠ Check"))))</f>
        <v/>
      </c>
      <c r="AO304" s="36" t="n"/>
      <c r="AP304" s="36" t="n"/>
      <c r="AQ304" s="36" t="n"/>
      <c r="AR304" s="36" t="n"/>
      <c r="AS304" s="36" t="n"/>
      <c r="AT304" s="36" t="n"/>
      <c r="AU304" s="27" t="n"/>
      <c r="AV304" s="37" t="n"/>
      <c r="AW304" s="38">
        <f>IF(AO304="","",IF(AR304="Yes","❌ Disc",IF(AQ304="No","⚠ Missing",IF(AT304="Yes","✓ OK","⚠ Check"))))</f>
        <v/>
      </c>
    </row>
    <row r="305" ht="18" customHeight="1" s="46">
      <c r="A305" s="23" t="n">
        <v>301</v>
      </c>
      <c r="B305" s="24" t="inlineStr">
        <is>
          <t>BD-VRM-2026-0447</t>
        </is>
      </c>
      <c r="C305" s="25" t="inlineStr">
        <is>
          <t>Excel - Joy  Wallpaper JOY201</t>
        </is>
      </c>
      <c r="D305" s="23" t="inlineStr">
        <is>
          <t>Excel</t>
        </is>
      </c>
      <c r="E305" s="43" t="n">
        <v>46125</v>
      </c>
      <c r="F305" s="26" t="inlineStr">
        <is>
          <t>Sunil CR</t>
        </is>
      </c>
      <c r="G305" s="26" t="inlineStr">
        <is>
          <t>Yes</t>
        </is>
      </c>
      <c r="H305" s="26" t="inlineStr">
        <is>
          <t>No</t>
        </is>
      </c>
      <c r="I305" s="26" t="inlineStr">
        <is>
          <t>Good finish</t>
        </is>
      </c>
      <c r="J305" s="26" t="inlineStr">
        <is>
          <t>Yes</t>
        </is>
      </c>
      <c r="K305" s="27" t="n"/>
      <c r="L305" s="28" t="inlineStr">
        <is>
          <t>No</t>
        </is>
      </c>
      <c r="M305" s="29">
        <f>IF(E305="","",IF(H305="Yes","❌ Disc",IF(G305="No","⚠ Missing",IF(J305="Yes","✓ OK","⚠ Check"))))</f>
        <v/>
      </c>
      <c r="N305" s="43" t="n">
        <v>46193</v>
      </c>
      <c r="O305" s="26" t="inlineStr">
        <is>
          <t>Sunil CR</t>
        </is>
      </c>
      <c r="P305" s="26" t="inlineStr">
        <is>
          <t>Yes</t>
        </is>
      </c>
      <c r="Q305" s="26" t="inlineStr">
        <is>
          <t>No</t>
        </is>
      </c>
      <c r="R305" s="26" t="inlineStr">
        <is>
          <t>Good finish</t>
        </is>
      </c>
      <c r="S305" s="26" t="inlineStr">
        <is>
          <t>Yes</t>
        </is>
      </c>
      <c r="T305" s="27" t="n"/>
      <c r="U305" s="28" t="inlineStr">
        <is>
          <t>No</t>
        </is>
      </c>
      <c r="V305" s="29">
        <f>IF(N305="","",IF(Q305="Yes","❌ Disc",IF(P305="No","⚠ Missing",IF(S305="Yes","✓ OK","⚠ Check"))))</f>
        <v/>
      </c>
      <c r="W305" s="65" t="n">
        <v>46248</v>
      </c>
      <c r="X305" s="30" t="inlineStr">
        <is>
          <t>Sunil CR</t>
        </is>
      </c>
      <c r="Y305" s="30" t="inlineStr">
        <is>
          <t>Yes</t>
        </is>
      </c>
      <c r="Z305" s="30" t="n"/>
      <c r="AA305" s="30" t="inlineStr">
        <is>
          <t>Good finish</t>
        </is>
      </c>
      <c r="AB305" s="30" t="inlineStr">
        <is>
          <t>Yes</t>
        </is>
      </c>
      <c r="AC305" s="27" t="n"/>
      <c r="AD305" s="31" t="inlineStr">
        <is>
          <t>No</t>
        </is>
      </c>
      <c r="AE305" s="32">
        <f>IF(W305="","",IF(Z305="Yes","❌ Disc",IF(Y305="No","⚠ Missing",IF(AB305="Yes","✓ OK","⚠ Check"))))</f>
        <v/>
      </c>
      <c r="AF305" s="33" t="n"/>
      <c r="AG305" s="33" t="n"/>
      <c r="AH305" s="33" t="n"/>
      <c r="AI305" s="33" t="n"/>
      <c r="AJ305" s="33" t="n"/>
      <c r="AK305" s="33" t="n"/>
      <c r="AL305" s="27" t="n"/>
      <c r="AM305" s="34" t="n"/>
      <c r="AN305" s="35">
        <f>IF(AF305="","",IF(AI305="Yes","❌ Disc",IF(AH305="No","⚠ Missing",IF(AK305="Yes","✓ OK","⚠ Check"))))</f>
        <v/>
      </c>
      <c r="AO305" s="36" t="n"/>
      <c r="AP305" s="36" t="n"/>
      <c r="AQ305" s="36" t="n"/>
      <c r="AR305" s="36" t="n"/>
      <c r="AS305" s="36" t="n"/>
      <c r="AT305" s="36" t="n"/>
      <c r="AU305" s="27" t="n"/>
      <c r="AV305" s="37" t="n"/>
      <c r="AW305" s="38">
        <f>IF(AO305="","",IF(AR305="Yes","❌ Disc",IF(AQ305="No","⚠ Missing",IF(AT305="Yes","✓ OK","⚠ Check"))))</f>
        <v/>
      </c>
    </row>
    <row r="306" ht="18" customHeight="1" s="46">
      <c r="A306" s="39" t="n">
        <v>302</v>
      </c>
      <c r="B306" s="40" t="inlineStr">
        <is>
          <t>BD-VRM-2026-0448</t>
        </is>
      </c>
      <c r="C306" s="41" t="inlineStr">
        <is>
          <t>Excel - Joy  Wallpaper JOY202</t>
        </is>
      </c>
      <c r="D306" s="39" t="inlineStr">
        <is>
          <t>Excel</t>
        </is>
      </c>
      <c r="E306" s="43" t="n">
        <v>46125</v>
      </c>
      <c r="F306" s="26" t="inlineStr">
        <is>
          <t>Sunil CR</t>
        </is>
      </c>
      <c r="G306" s="26" t="inlineStr">
        <is>
          <t>Yes</t>
        </is>
      </c>
      <c r="H306" s="26" t="inlineStr">
        <is>
          <t>No</t>
        </is>
      </c>
      <c r="I306" s="26" t="inlineStr">
        <is>
          <t>Good finish</t>
        </is>
      </c>
      <c r="J306" s="26" t="inlineStr">
        <is>
          <t>Yes</t>
        </is>
      </c>
      <c r="K306" s="27" t="n"/>
      <c r="L306" s="28" t="inlineStr">
        <is>
          <t>No</t>
        </is>
      </c>
      <c r="M306" s="29">
        <f>IF(E306="","",IF(H306="Yes","❌ Disc",IF(G306="No","⚠ Missing",IF(J306="Yes","✓ OK","⚠ Check"))))</f>
        <v/>
      </c>
      <c r="N306" s="43" t="n">
        <v>46193</v>
      </c>
      <c r="O306" s="26" t="inlineStr">
        <is>
          <t>Sunil CR</t>
        </is>
      </c>
      <c r="P306" s="26" t="inlineStr">
        <is>
          <t>Yes</t>
        </is>
      </c>
      <c r="Q306" s="26" t="inlineStr">
        <is>
          <t>No</t>
        </is>
      </c>
      <c r="R306" s="26" t="inlineStr">
        <is>
          <t>Good finish</t>
        </is>
      </c>
      <c r="S306" s="26" t="inlineStr">
        <is>
          <t>Yes</t>
        </is>
      </c>
      <c r="T306" s="27" t="n"/>
      <c r="U306" s="28" t="inlineStr">
        <is>
          <t>No</t>
        </is>
      </c>
      <c r="V306" s="29">
        <f>IF(N306="","",IF(Q306="Yes","❌ Disc",IF(P306="No","⚠ Missing",IF(S306="Yes","✓ OK","⚠ Check"))))</f>
        <v/>
      </c>
      <c r="W306" s="65" t="n">
        <v>46248</v>
      </c>
      <c r="X306" s="30" t="inlineStr">
        <is>
          <t>Sunil CR</t>
        </is>
      </c>
      <c r="Y306" s="30" t="inlineStr">
        <is>
          <t>Yes</t>
        </is>
      </c>
      <c r="Z306" s="30" t="n"/>
      <c r="AA306" s="30" t="inlineStr">
        <is>
          <t>Good finish</t>
        </is>
      </c>
      <c r="AB306" s="30" t="inlineStr">
        <is>
          <t>Yes</t>
        </is>
      </c>
      <c r="AC306" s="27" t="n"/>
      <c r="AD306" s="31" t="inlineStr">
        <is>
          <t>No</t>
        </is>
      </c>
      <c r="AE306" s="32">
        <f>IF(W306="","",IF(Z306="Yes","❌ Disc",IF(Y306="No","⚠ Missing",IF(AB306="Yes","✓ OK","⚠ Check"))))</f>
        <v/>
      </c>
      <c r="AF306" s="33" t="n"/>
      <c r="AG306" s="33" t="n"/>
      <c r="AH306" s="33" t="n"/>
      <c r="AI306" s="33" t="n"/>
      <c r="AJ306" s="33" t="n"/>
      <c r="AK306" s="33" t="n"/>
      <c r="AL306" s="27" t="n"/>
      <c r="AM306" s="34" t="n"/>
      <c r="AN306" s="35">
        <f>IF(AF306="","",IF(AI306="Yes","❌ Disc",IF(AH306="No","⚠ Missing",IF(AK306="Yes","✓ OK","⚠ Check"))))</f>
        <v/>
      </c>
      <c r="AO306" s="36" t="n"/>
      <c r="AP306" s="36" t="n"/>
      <c r="AQ306" s="36" t="n"/>
      <c r="AR306" s="36" t="n"/>
      <c r="AS306" s="36" t="n"/>
      <c r="AT306" s="36" t="n"/>
      <c r="AU306" s="27" t="n"/>
      <c r="AV306" s="37" t="n"/>
      <c r="AW306" s="38">
        <f>IF(AO306="","",IF(AR306="Yes","❌ Disc",IF(AQ306="No","⚠ Missing",IF(AT306="Yes","✓ OK","⚠ Check"))))</f>
        <v/>
      </c>
    </row>
    <row r="307" ht="18" customHeight="1" s="46">
      <c r="A307" s="23" t="n">
        <v>303</v>
      </c>
      <c r="B307" s="24" t="inlineStr">
        <is>
          <t>BD-VRM-2026-0442</t>
        </is>
      </c>
      <c r="C307" s="25" t="inlineStr">
        <is>
          <t>Excel - Joy  Wallpaper JOY203</t>
        </is>
      </c>
      <c r="D307" s="23" t="inlineStr">
        <is>
          <t>Excel</t>
        </is>
      </c>
      <c r="E307" s="43" t="n">
        <v>46125</v>
      </c>
      <c r="F307" s="26" t="inlineStr">
        <is>
          <t>Sunil CR</t>
        </is>
      </c>
      <c r="G307" s="26" t="inlineStr">
        <is>
          <t>Yes</t>
        </is>
      </c>
      <c r="H307" s="26" t="inlineStr">
        <is>
          <t>No</t>
        </is>
      </c>
      <c r="I307" s="26" t="inlineStr">
        <is>
          <t>Good finish</t>
        </is>
      </c>
      <c r="J307" s="26" t="inlineStr">
        <is>
          <t>Yes</t>
        </is>
      </c>
      <c r="K307" s="27" t="n"/>
      <c r="L307" s="28" t="inlineStr">
        <is>
          <t>No</t>
        </is>
      </c>
      <c r="M307" s="29">
        <f>IF(E307="","",IF(H307="Yes","❌ Disc",IF(G307="No","⚠ Missing",IF(J307="Yes","✓ OK","⚠ Check"))))</f>
        <v/>
      </c>
      <c r="N307" s="43" t="n">
        <v>46193</v>
      </c>
      <c r="O307" s="26" t="inlineStr">
        <is>
          <t>Sunil CR</t>
        </is>
      </c>
      <c r="P307" s="26" t="inlineStr">
        <is>
          <t>Yes</t>
        </is>
      </c>
      <c r="Q307" s="26" t="inlineStr">
        <is>
          <t>No</t>
        </is>
      </c>
      <c r="R307" s="26" t="inlineStr">
        <is>
          <t>Good finish</t>
        </is>
      </c>
      <c r="S307" s="26" t="inlineStr">
        <is>
          <t>Yes</t>
        </is>
      </c>
      <c r="T307" s="27" t="n"/>
      <c r="U307" s="28" t="inlineStr">
        <is>
          <t>No</t>
        </is>
      </c>
      <c r="V307" s="29">
        <f>IF(N307="","",IF(Q307="Yes","❌ Disc",IF(P307="No","⚠ Missing",IF(S307="Yes","✓ OK","⚠ Check"))))</f>
        <v/>
      </c>
      <c r="W307" s="65" t="n">
        <v>46248</v>
      </c>
      <c r="X307" s="30" t="inlineStr">
        <is>
          <t>Sunil CR</t>
        </is>
      </c>
      <c r="Y307" s="30" t="inlineStr">
        <is>
          <t>Yes</t>
        </is>
      </c>
      <c r="Z307" s="30" t="n"/>
      <c r="AA307" s="30" t="inlineStr">
        <is>
          <t>Good finish</t>
        </is>
      </c>
      <c r="AB307" s="30" t="inlineStr">
        <is>
          <t>Yes</t>
        </is>
      </c>
      <c r="AC307" s="27" t="n"/>
      <c r="AD307" s="31" t="inlineStr">
        <is>
          <t>No</t>
        </is>
      </c>
      <c r="AE307" s="32">
        <f>IF(W307="","",IF(Z307="Yes","❌ Disc",IF(Y307="No","⚠ Missing",IF(AB307="Yes","✓ OK","⚠ Check"))))</f>
        <v/>
      </c>
      <c r="AF307" s="33" t="n"/>
      <c r="AG307" s="33" t="n"/>
      <c r="AH307" s="33" t="n"/>
      <c r="AI307" s="33" t="n"/>
      <c r="AJ307" s="33" t="n"/>
      <c r="AK307" s="33" t="n"/>
      <c r="AL307" s="27" t="n"/>
      <c r="AM307" s="34" t="n"/>
      <c r="AN307" s="35">
        <f>IF(AF307="","",IF(AI307="Yes","❌ Disc",IF(AH307="No","⚠ Missing",IF(AK307="Yes","✓ OK","⚠ Check"))))</f>
        <v/>
      </c>
      <c r="AO307" s="36" t="n"/>
      <c r="AP307" s="36" t="n"/>
      <c r="AQ307" s="36" t="n"/>
      <c r="AR307" s="36" t="n"/>
      <c r="AS307" s="36" t="n"/>
      <c r="AT307" s="36" t="n"/>
      <c r="AU307" s="27" t="n"/>
      <c r="AV307" s="37" t="n"/>
      <c r="AW307" s="38">
        <f>IF(AO307="","",IF(AR307="Yes","❌ Disc",IF(AQ307="No","⚠ Missing",IF(AT307="Yes","✓ OK","⚠ Check"))))</f>
        <v/>
      </c>
    </row>
    <row r="308" ht="18" customHeight="1" s="46">
      <c r="A308" s="39" t="n">
        <v>304</v>
      </c>
      <c r="B308" s="40" t="inlineStr">
        <is>
          <t>BD-VRM-2026-0435</t>
        </is>
      </c>
      <c r="C308" s="41" t="inlineStr">
        <is>
          <t>Excel - Joy  Wallpaper JOY204</t>
        </is>
      </c>
      <c r="D308" s="39" t="inlineStr">
        <is>
          <t>Excel</t>
        </is>
      </c>
      <c r="E308" s="43" t="n">
        <v>46125</v>
      </c>
      <c r="F308" s="26" t="inlineStr">
        <is>
          <t>Sunil CR</t>
        </is>
      </c>
      <c r="G308" s="26" t="inlineStr">
        <is>
          <t>Yes</t>
        </is>
      </c>
      <c r="H308" s="26" t="inlineStr">
        <is>
          <t>No</t>
        </is>
      </c>
      <c r="I308" s="26" t="inlineStr">
        <is>
          <t>Good finish</t>
        </is>
      </c>
      <c r="J308" s="26" t="inlineStr">
        <is>
          <t>Yes</t>
        </is>
      </c>
      <c r="K308" s="27" t="n"/>
      <c r="L308" s="28" t="inlineStr">
        <is>
          <t>No</t>
        </is>
      </c>
      <c r="M308" s="29">
        <f>IF(E308="","",IF(H308="Yes","❌ Disc",IF(G308="No","⚠ Missing",IF(J308="Yes","✓ OK","⚠ Check"))))</f>
        <v/>
      </c>
      <c r="N308" s="43" t="n">
        <v>46193</v>
      </c>
      <c r="O308" s="26" t="inlineStr">
        <is>
          <t>Sunil CR</t>
        </is>
      </c>
      <c r="P308" s="26" t="inlineStr">
        <is>
          <t>Yes</t>
        </is>
      </c>
      <c r="Q308" s="26" t="inlineStr">
        <is>
          <t>No</t>
        </is>
      </c>
      <c r="R308" s="26" t="inlineStr">
        <is>
          <t>Good finish</t>
        </is>
      </c>
      <c r="S308" s="26" t="inlineStr">
        <is>
          <t>Yes</t>
        </is>
      </c>
      <c r="T308" s="27" t="n"/>
      <c r="U308" s="28" t="inlineStr">
        <is>
          <t>No</t>
        </is>
      </c>
      <c r="V308" s="29">
        <f>IF(N308="","",IF(Q308="Yes","❌ Disc",IF(P308="No","⚠ Missing",IF(S308="Yes","✓ OK","⚠ Check"))))</f>
        <v/>
      </c>
      <c r="W308" s="65" t="n">
        <v>46248</v>
      </c>
      <c r="X308" s="30" t="inlineStr">
        <is>
          <t>Sunil CR</t>
        </is>
      </c>
      <c r="Y308" s="30" t="inlineStr">
        <is>
          <t>Yes</t>
        </is>
      </c>
      <c r="Z308" s="30" t="n"/>
      <c r="AA308" s="30" t="inlineStr">
        <is>
          <t>Good finish</t>
        </is>
      </c>
      <c r="AB308" s="30" t="inlineStr">
        <is>
          <t>Yes</t>
        </is>
      </c>
      <c r="AC308" s="27" t="n"/>
      <c r="AD308" s="31" t="inlineStr">
        <is>
          <t>No</t>
        </is>
      </c>
      <c r="AE308" s="32">
        <f>IF(W308="","",IF(Z308="Yes","❌ Disc",IF(Y308="No","⚠ Missing",IF(AB308="Yes","✓ OK","⚠ Check"))))</f>
        <v/>
      </c>
      <c r="AF308" s="33" t="n"/>
      <c r="AG308" s="33" t="n"/>
      <c r="AH308" s="33" t="n"/>
      <c r="AI308" s="33" t="n"/>
      <c r="AJ308" s="33" t="n"/>
      <c r="AK308" s="33" t="n"/>
      <c r="AL308" s="27" t="n"/>
      <c r="AM308" s="34" t="n"/>
      <c r="AN308" s="35">
        <f>IF(AF308="","",IF(AI308="Yes","❌ Disc",IF(AH308="No","⚠ Missing",IF(AK308="Yes","✓ OK","⚠ Check"))))</f>
        <v/>
      </c>
      <c r="AO308" s="36" t="n"/>
      <c r="AP308" s="36" t="n"/>
      <c r="AQ308" s="36" t="n"/>
      <c r="AR308" s="36" t="n"/>
      <c r="AS308" s="36" t="n"/>
      <c r="AT308" s="36" t="n"/>
      <c r="AU308" s="27" t="n"/>
      <c r="AV308" s="37" t="n"/>
      <c r="AW308" s="38">
        <f>IF(AO308="","",IF(AR308="Yes","❌ Disc",IF(AQ308="No","⚠ Missing",IF(AT308="Yes","✓ OK","⚠ Check"))))</f>
        <v/>
      </c>
    </row>
    <row r="309" ht="18" customHeight="1" s="46">
      <c r="A309" s="23" t="n">
        <v>305</v>
      </c>
      <c r="B309" s="24" t="inlineStr">
        <is>
          <t>BD-VRM-2026-0445</t>
        </is>
      </c>
      <c r="C309" s="25" t="inlineStr">
        <is>
          <t>Excel - Joy  Wallpaper JOY301</t>
        </is>
      </c>
      <c r="D309" s="23" t="inlineStr">
        <is>
          <t>Excel</t>
        </is>
      </c>
      <c r="E309" s="43" t="n">
        <v>46125</v>
      </c>
      <c r="F309" s="26" t="inlineStr">
        <is>
          <t>Sunil CR</t>
        </is>
      </c>
      <c r="G309" s="26" t="inlineStr">
        <is>
          <t>Yes</t>
        </is>
      </c>
      <c r="H309" s="26" t="inlineStr">
        <is>
          <t>No</t>
        </is>
      </c>
      <c r="I309" s="26" t="inlineStr">
        <is>
          <t>Good finish</t>
        </is>
      </c>
      <c r="J309" s="26" t="inlineStr">
        <is>
          <t>Yes</t>
        </is>
      </c>
      <c r="K309" s="27" t="n"/>
      <c r="L309" s="28" t="inlineStr">
        <is>
          <t>No</t>
        </is>
      </c>
      <c r="M309" s="29">
        <f>IF(E309="","",IF(H309="Yes","❌ Disc",IF(G309="No","⚠ Missing",IF(J309="Yes","✓ OK","⚠ Check"))))</f>
        <v/>
      </c>
      <c r="N309" s="43" t="n">
        <v>46193</v>
      </c>
      <c r="O309" s="26" t="inlineStr">
        <is>
          <t>Sunil CR</t>
        </is>
      </c>
      <c r="P309" s="26" t="inlineStr">
        <is>
          <t>Yes</t>
        </is>
      </c>
      <c r="Q309" s="26" t="inlineStr">
        <is>
          <t>No</t>
        </is>
      </c>
      <c r="R309" s="26" t="inlineStr">
        <is>
          <t>Good finish</t>
        </is>
      </c>
      <c r="S309" s="26" t="inlineStr">
        <is>
          <t>Yes</t>
        </is>
      </c>
      <c r="T309" s="27" t="n"/>
      <c r="U309" s="28" t="inlineStr">
        <is>
          <t>No</t>
        </is>
      </c>
      <c r="V309" s="29">
        <f>IF(N309="","",IF(Q309="Yes","❌ Disc",IF(P309="No","⚠ Missing",IF(S309="Yes","✓ OK","⚠ Check"))))</f>
        <v/>
      </c>
      <c r="W309" s="65" t="n">
        <v>46248</v>
      </c>
      <c r="X309" s="30" t="inlineStr">
        <is>
          <t>Sunil CR</t>
        </is>
      </c>
      <c r="Y309" s="30" t="inlineStr">
        <is>
          <t>Yes</t>
        </is>
      </c>
      <c r="Z309" s="30" t="n"/>
      <c r="AA309" s="30" t="inlineStr">
        <is>
          <t>Good finish</t>
        </is>
      </c>
      <c r="AB309" s="30" t="inlineStr">
        <is>
          <t>Yes</t>
        </is>
      </c>
      <c r="AC309" s="27" t="n"/>
      <c r="AD309" s="31" t="inlineStr">
        <is>
          <t>No</t>
        </is>
      </c>
      <c r="AE309" s="32">
        <f>IF(W309="","",IF(Z309="Yes","❌ Disc",IF(Y309="No","⚠ Missing",IF(AB309="Yes","✓ OK","⚠ Check"))))</f>
        <v/>
      </c>
      <c r="AF309" s="33" t="n"/>
      <c r="AG309" s="33" t="n"/>
      <c r="AH309" s="33" t="n"/>
      <c r="AI309" s="33" t="n"/>
      <c r="AJ309" s="33" t="n"/>
      <c r="AK309" s="33" t="n"/>
      <c r="AL309" s="27" t="n"/>
      <c r="AM309" s="34" t="n"/>
      <c r="AN309" s="35">
        <f>IF(AF309="","",IF(AI309="Yes","❌ Disc",IF(AH309="No","⚠ Missing",IF(AK309="Yes","✓ OK","⚠ Check"))))</f>
        <v/>
      </c>
      <c r="AO309" s="36" t="n"/>
      <c r="AP309" s="36" t="n"/>
      <c r="AQ309" s="36" t="n"/>
      <c r="AR309" s="36" t="n"/>
      <c r="AS309" s="36" t="n"/>
      <c r="AT309" s="36" t="n"/>
      <c r="AU309" s="27" t="n"/>
      <c r="AV309" s="37" t="n"/>
      <c r="AW309" s="38">
        <f>IF(AO309="","",IF(AR309="Yes","❌ Disc",IF(AQ309="No","⚠ Missing",IF(AT309="Yes","✓ OK","⚠ Check"))))</f>
        <v/>
      </c>
    </row>
    <row r="310" ht="18" customHeight="1" s="46">
      <c r="A310" s="39" t="n">
        <v>306</v>
      </c>
      <c r="B310" s="40" t="inlineStr">
        <is>
          <t>BD-VRM-2026-0446</t>
        </is>
      </c>
      <c r="C310" s="41" t="inlineStr">
        <is>
          <t>Excel - Joy  Wallpaper JOY302</t>
        </is>
      </c>
      <c r="D310" s="39" t="inlineStr">
        <is>
          <t>Excel</t>
        </is>
      </c>
      <c r="E310" s="43" t="n">
        <v>46125</v>
      </c>
      <c r="F310" s="26" t="inlineStr">
        <is>
          <t>Sunil CR</t>
        </is>
      </c>
      <c r="G310" s="26" t="inlineStr">
        <is>
          <t>Yes</t>
        </is>
      </c>
      <c r="H310" s="26" t="inlineStr">
        <is>
          <t>No</t>
        </is>
      </c>
      <c r="I310" s="26" t="inlineStr">
        <is>
          <t>Good finish</t>
        </is>
      </c>
      <c r="J310" s="26" t="inlineStr">
        <is>
          <t>Yes</t>
        </is>
      </c>
      <c r="K310" s="27" t="n"/>
      <c r="L310" s="28" t="inlineStr">
        <is>
          <t>No</t>
        </is>
      </c>
      <c r="M310" s="29">
        <f>IF(E310="","",IF(H310="Yes","❌ Disc",IF(G310="No","⚠ Missing",IF(J310="Yes","✓ OK","⚠ Check"))))</f>
        <v/>
      </c>
      <c r="N310" s="43" t="n">
        <v>46193</v>
      </c>
      <c r="O310" s="26" t="inlineStr">
        <is>
          <t>Sunil CR</t>
        </is>
      </c>
      <c r="P310" s="26" t="inlineStr">
        <is>
          <t>Yes</t>
        </is>
      </c>
      <c r="Q310" s="26" t="inlineStr">
        <is>
          <t>No</t>
        </is>
      </c>
      <c r="R310" s="26" t="inlineStr">
        <is>
          <t>Good finish</t>
        </is>
      </c>
      <c r="S310" s="26" t="inlineStr">
        <is>
          <t>Yes</t>
        </is>
      </c>
      <c r="T310" s="27" t="n"/>
      <c r="U310" s="28" t="inlineStr">
        <is>
          <t>No</t>
        </is>
      </c>
      <c r="V310" s="29">
        <f>IF(N310="","",IF(Q310="Yes","❌ Disc",IF(P310="No","⚠ Missing",IF(S310="Yes","✓ OK","⚠ Check"))))</f>
        <v/>
      </c>
      <c r="W310" s="65" t="n">
        <v>46248</v>
      </c>
      <c r="X310" s="30" t="inlineStr">
        <is>
          <t>Sunil CR</t>
        </is>
      </c>
      <c r="Y310" s="30" t="inlineStr">
        <is>
          <t>Yes</t>
        </is>
      </c>
      <c r="Z310" s="30" t="n"/>
      <c r="AA310" s="30" t="inlineStr">
        <is>
          <t>Good finish</t>
        </is>
      </c>
      <c r="AB310" s="30" t="inlineStr">
        <is>
          <t>Yes</t>
        </is>
      </c>
      <c r="AC310" s="27" t="n"/>
      <c r="AD310" s="31" t="inlineStr">
        <is>
          <t>No</t>
        </is>
      </c>
      <c r="AE310" s="32">
        <f>IF(W310="","",IF(Z310="Yes","❌ Disc",IF(Y310="No","⚠ Missing",IF(AB310="Yes","✓ OK","⚠ Check"))))</f>
        <v/>
      </c>
      <c r="AF310" s="33" t="n"/>
      <c r="AG310" s="33" t="n"/>
      <c r="AH310" s="33" t="n"/>
      <c r="AI310" s="33" t="n"/>
      <c r="AJ310" s="33" t="n"/>
      <c r="AK310" s="33" t="n"/>
      <c r="AL310" s="27" t="n"/>
      <c r="AM310" s="34" t="n"/>
      <c r="AN310" s="35">
        <f>IF(AF310="","",IF(AI310="Yes","❌ Disc",IF(AH310="No","⚠ Missing",IF(AK310="Yes","✓ OK","⚠ Check"))))</f>
        <v/>
      </c>
      <c r="AO310" s="36" t="n"/>
      <c r="AP310" s="36" t="n"/>
      <c r="AQ310" s="36" t="n"/>
      <c r="AR310" s="36" t="n"/>
      <c r="AS310" s="36" t="n"/>
      <c r="AT310" s="36" t="n"/>
      <c r="AU310" s="27" t="n"/>
      <c r="AV310" s="37" t="n"/>
      <c r="AW310" s="38">
        <f>IF(AO310="","",IF(AR310="Yes","❌ Disc",IF(AQ310="No","⚠ Missing",IF(AT310="Yes","✓ OK","⚠ Check"))))</f>
        <v/>
      </c>
    </row>
    <row r="311" ht="18" customHeight="1" s="46">
      <c r="A311" s="23" t="n">
        <v>307</v>
      </c>
      <c r="B311" s="24" t="inlineStr">
        <is>
          <t>BD-VRM-2026-0443</t>
        </is>
      </c>
      <c r="C311" s="25" t="inlineStr">
        <is>
          <t>Excel - Joy  Wallpaper JOY303</t>
        </is>
      </c>
      <c r="D311" s="23" t="inlineStr">
        <is>
          <t>Excel</t>
        </is>
      </c>
      <c r="E311" s="43" t="n">
        <v>46125</v>
      </c>
      <c r="F311" s="26" t="inlineStr">
        <is>
          <t>Sunil CR</t>
        </is>
      </c>
      <c r="G311" s="26" t="inlineStr">
        <is>
          <t>Yes</t>
        </is>
      </c>
      <c r="H311" s="26" t="inlineStr">
        <is>
          <t>No</t>
        </is>
      </c>
      <c r="I311" s="26" t="inlineStr">
        <is>
          <t>Good finish</t>
        </is>
      </c>
      <c r="J311" s="26" t="inlineStr">
        <is>
          <t>Yes</t>
        </is>
      </c>
      <c r="K311" s="27" t="n"/>
      <c r="L311" s="28" t="inlineStr">
        <is>
          <t>No</t>
        </is>
      </c>
      <c r="M311" s="29">
        <f>IF(E311="","",IF(H311="Yes","❌ Disc",IF(G311="No","⚠ Missing",IF(J311="Yes","✓ OK","⚠ Check"))))</f>
        <v/>
      </c>
      <c r="N311" s="43" t="n">
        <v>46193</v>
      </c>
      <c r="O311" s="26" t="inlineStr">
        <is>
          <t>Sunil CR</t>
        </is>
      </c>
      <c r="P311" s="26" t="inlineStr">
        <is>
          <t>Yes</t>
        </is>
      </c>
      <c r="Q311" s="26" t="inlineStr">
        <is>
          <t>No</t>
        </is>
      </c>
      <c r="R311" s="26" t="inlineStr">
        <is>
          <t>Good finish</t>
        </is>
      </c>
      <c r="S311" s="26" t="inlineStr">
        <is>
          <t>Yes</t>
        </is>
      </c>
      <c r="T311" s="27" t="n"/>
      <c r="U311" s="28" t="inlineStr">
        <is>
          <t>No</t>
        </is>
      </c>
      <c r="V311" s="29">
        <f>IF(N311="","",IF(Q311="Yes","❌ Disc",IF(P311="No","⚠ Missing",IF(S311="Yes","✓ OK","⚠ Check"))))</f>
        <v/>
      </c>
      <c r="W311" s="65" t="n">
        <v>46248</v>
      </c>
      <c r="X311" s="30" t="inlineStr">
        <is>
          <t>Sunil CR</t>
        </is>
      </c>
      <c r="Y311" s="30" t="inlineStr">
        <is>
          <t>Yes</t>
        </is>
      </c>
      <c r="Z311" s="30" t="n"/>
      <c r="AA311" s="30" t="inlineStr">
        <is>
          <t>Good finish</t>
        </is>
      </c>
      <c r="AB311" s="30" t="inlineStr">
        <is>
          <t>Yes</t>
        </is>
      </c>
      <c r="AC311" s="27" t="n"/>
      <c r="AD311" s="31" t="inlineStr">
        <is>
          <t>No</t>
        </is>
      </c>
      <c r="AE311" s="32">
        <f>IF(W311="","",IF(Z311="Yes","❌ Disc",IF(Y311="No","⚠ Missing",IF(AB311="Yes","✓ OK","⚠ Check"))))</f>
        <v/>
      </c>
      <c r="AF311" s="33" t="n"/>
      <c r="AG311" s="33" t="n"/>
      <c r="AH311" s="33" t="n"/>
      <c r="AI311" s="33" t="n"/>
      <c r="AJ311" s="33" t="n"/>
      <c r="AK311" s="33" t="n"/>
      <c r="AL311" s="27" t="n"/>
      <c r="AM311" s="34" t="n"/>
      <c r="AN311" s="35">
        <f>IF(AF311="","",IF(AI311="Yes","❌ Disc",IF(AH311="No","⚠ Missing",IF(AK311="Yes","✓ OK","⚠ Check"))))</f>
        <v/>
      </c>
      <c r="AO311" s="36" t="n"/>
      <c r="AP311" s="36" t="n"/>
      <c r="AQ311" s="36" t="n"/>
      <c r="AR311" s="36" t="n"/>
      <c r="AS311" s="36" t="n"/>
      <c r="AT311" s="36" t="n"/>
      <c r="AU311" s="27" t="n"/>
      <c r="AV311" s="37" t="n"/>
      <c r="AW311" s="38">
        <f>IF(AO311="","",IF(AR311="Yes","❌ Disc",IF(AQ311="No","⚠ Missing",IF(AT311="Yes","✓ OK","⚠ Check"))))</f>
        <v/>
      </c>
    </row>
    <row r="312" ht="18" customHeight="1" s="46">
      <c r="A312" s="39" t="n">
        <v>308</v>
      </c>
      <c r="B312" s="40" t="inlineStr">
        <is>
          <t>BD-VRM-2026-0450</t>
        </is>
      </c>
      <c r="C312" s="41" t="inlineStr">
        <is>
          <t>Excel - Joy  Wallpaper JOY304</t>
        </is>
      </c>
      <c r="D312" s="39" t="inlineStr">
        <is>
          <t>Excel</t>
        </is>
      </c>
      <c r="E312" s="43" t="n">
        <v>46125</v>
      </c>
      <c r="F312" s="26" t="inlineStr">
        <is>
          <t>Sunil CR</t>
        </is>
      </c>
      <c r="G312" s="26" t="inlineStr">
        <is>
          <t>Yes</t>
        </is>
      </c>
      <c r="H312" s="26" t="inlineStr">
        <is>
          <t>No</t>
        </is>
      </c>
      <c r="I312" s="26" t="inlineStr">
        <is>
          <t>Good finish</t>
        </is>
      </c>
      <c r="J312" s="26" t="inlineStr">
        <is>
          <t>Yes</t>
        </is>
      </c>
      <c r="K312" s="27" t="n"/>
      <c r="L312" s="28" t="inlineStr">
        <is>
          <t>No</t>
        </is>
      </c>
      <c r="M312" s="29">
        <f>IF(E312="","",IF(H312="Yes","❌ Disc",IF(G312="No","⚠ Missing",IF(J312="Yes","✓ OK","⚠ Check"))))</f>
        <v/>
      </c>
      <c r="N312" s="43" t="n">
        <v>46193</v>
      </c>
      <c r="O312" s="26" t="inlineStr">
        <is>
          <t>Sunil CR</t>
        </is>
      </c>
      <c r="P312" s="26" t="inlineStr">
        <is>
          <t>Yes</t>
        </is>
      </c>
      <c r="Q312" s="26" t="inlineStr">
        <is>
          <t>No</t>
        </is>
      </c>
      <c r="R312" s="26" t="inlineStr">
        <is>
          <t>Good finish</t>
        </is>
      </c>
      <c r="S312" s="26" t="inlineStr">
        <is>
          <t>Yes</t>
        </is>
      </c>
      <c r="T312" s="27" t="n"/>
      <c r="U312" s="28" t="inlineStr">
        <is>
          <t>No</t>
        </is>
      </c>
      <c r="V312" s="29">
        <f>IF(N312="","",IF(Q312="Yes","❌ Disc",IF(P312="No","⚠ Missing",IF(S312="Yes","✓ OK","⚠ Check"))))</f>
        <v/>
      </c>
      <c r="W312" s="65" t="n">
        <v>46248</v>
      </c>
      <c r="X312" s="30" t="inlineStr">
        <is>
          <t>Sunil CR</t>
        </is>
      </c>
      <c r="Y312" s="30" t="inlineStr">
        <is>
          <t>Yes</t>
        </is>
      </c>
      <c r="Z312" s="30" t="n"/>
      <c r="AA312" s="30" t="inlineStr">
        <is>
          <t>Good finish</t>
        </is>
      </c>
      <c r="AB312" s="30" t="inlineStr">
        <is>
          <t>Yes</t>
        </is>
      </c>
      <c r="AC312" s="27" t="n"/>
      <c r="AD312" s="31" t="inlineStr">
        <is>
          <t>No</t>
        </is>
      </c>
      <c r="AE312" s="32">
        <f>IF(W312="","",IF(Z312="Yes","❌ Disc",IF(Y312="No","⚠ Missing",IF(AB312="Yes","✓ OK","⚠ Check"))))</f>
        <v/>
      </c>
      <c r="AF312" s="33" t="n"/>
      <c r="AG312" s="33" t="n"/>
      <c r="AH312" s="33" t="n"/>
      <c r="AI312" s="33" t="n"/>
      <c r="AJ312" s="33" t="n"/>
      <c r="AK312" s="33" t="n"/>
      <c r="AL312" s="27" t="n"/>
      <c r="AM312" s="34" t="n"/>
      <c r="AN312" s="35">
        <f>IF(AF312="","",IF(AI312="Yes","❌ Disc",IF(AH312="No","⚠ Missing",IF(AK312="Yes","✓ OK","⚠ Check"))))</f>
        <v/>
      </c>
      <c r="AO312" s="36" t="n"/>
      <c r="AP312" s="36" t="n"/>
      <c r="AQ312" s="36" t="n"/>
      <c r="AR312" s="36" t="n"/>
      <c r="AS312" s="36" t="n"/>
      <c r="AT312" s="36" t="n"/>
      <c r="AU312" s="27" t="n"/>
      <c r="AV312" s="37" t="n"/>
      <c r="AW312" s="38">
        <f>IF(AO312="","",IF(AR312="Yes","❌ Disc",IF(AQ312="No","⚠ Missing",IF(AT312="Yes","✓ OK","⚠ Check"))))</f>
        <v/>
      </c>
    </row>
    <row r="313" ht="18" customHeight="1" s="46">
      <c r="A313" s="23" t="n">
        <v>309</v>
      </c>
      <c r="B313" s="24" t="inlineStr">
        <is>
          <t>BD-VRM-2026-0452</t>
        </is>
      </c>
      <c r="C313" s="25" t="inlineStr">
        <is>
          <t>Excel - Joy  Wallpaper JOY305</t>
        </is>
      </c>
      <c r="D313" s="23" t="inlineStr">
        <is>
          <t>Excel</t>
        </is>
      </c>
      <c r="E313" s="43" t="n">
        <v>46125</v>
      </c>
      <c r="F313" s="26" t="inlineStr">
        <is>
          <t>Sunil CR</t>
        </is>
      </c>
      <c r="G313" s="26" t="inlineStr">
        <is>
          <t>Yes</t>
        </is>
      </c>
      <c r="H313" s="26" t="inlineStr">
        <is>
          <t>No</t>
        </is>
      </c>
      <c r="I313" s="26" t="inlineStr">
        <is>
          <t>Good finish</t>
        </is>
      </c>
      <c r="J313" s="26" t="inlineStr">
        <is>
          <t>Yes</t>
        </is>
      </c>
      <c r="K313" s="27" t="n"/>
      <c r="L313" s="28" t="inlineStr">
        <is>
          <t>No</t>
        </is>
      </c>
      <c r="M313" s="29">
        <f>IF(E313="","",IF(H313="Yes","❌ Disc",IF(G313="No","⚠ Missing",IF(J313="Yes","✓ OK","⚠ Check"))))</f>
        <v/>
      </c>
      <c r="N313" s="43" t="n">
        <v>46193</v>
      </c>
      <c r="O313" s="26" t="inlineStr">
        <is>
          <t>Sunil CR</t>
        </is>
      </c>
      <c r="P313" s="26" t="inlineStr">
        <is>
          <t>Yes</t>
        </is>
      </c>
      <c r="Q313" s="26" t="inlineStr">
        <is>
          <t>No</t>
        </is>
      </c>
      <c r="R313" s="26" t="inlineStr">
        <is>
          <t>Good finish</t>
        </is>
      </c>
      <c r="S313" s="26" t="inlineStr">
        <is>
          <t>Yes</t>
        </is>
      </c>
      <c r="T313" s="27" t="n"/>
      <c r="U313" s="28" t="inlineStr">
        <is>
          <t>No</t>
        </is>
      </c>
      <c r="V313" s="29">
        <f>IF(N313="","",IF(Q313="Yes","❌ Disc",IF(P313="No","⚠ Missing",IF(S313="Yes","✓ OK","⚠ Check"))))</f>
        <v/>
      </c>
      <c r="W313" s="65" t="n">
        <v>46248</v>
      </c>
      <c r="X313" s="30" t="inlineStr">
        <is>
          <t>Sunil CR</t>
        </is>
      </c>
      <c r="Y313" s="30" t="inlineStr">
        <is>
          <t>Yes</t>
        </is>
      </c>
      <c r="Z313" s="30" t="n"/>
      <c r="AA313" s="30" t="inlineStr">
        <is>
          <t>Good finish</t>
        </is>
      </c>
      <c r="AB313" s="30" t="inlineStr">
        <is>
          <t>Yes</t>
        </is>
      </c>
      <c r="AC313" s="27" t="n"/>
      <c r="AD313" s="31" t="inlineStr">
        <is>
          <t>No</t>
        </is>
      </c>
      <c r="AE313" s="32">
        <f>IF(W313="","",IF(Z313="Yes","❌ Disc",IF(Y313="No","⚠ Missing",IF(AB313="Yes","✓ OK","⚠ Check"))))</f>
        <v/>
      </c>
      <c r="AF313" s="33" t="n"/>
      <c r="AG313" s="33" t="n"/>
      <c r="AH313" s="33" t="n"/>
      <c r="AI313" s="33" t="n"/>
      <c r="AJ313" s="33" t="n"/>
      <c r="AK313" s="33" t="n"/>
      <c r="AL313" s="27" t="n"/>
      <c r="AM313" s="34" t="n"/>
      <c r="AN313" s="35">
        <f>IF(AF313="","",IF(AI313="Yes","❌ Disc",IF(AH313="No","⚠ Missing",IF(AK313="Yes","✓ OK","⚠ Check"))))</f>
        <v/>
      </c>
      <c r="AO313" s="36" t="n"/>
      <c r="AP313" s="36" t="n"/>
      <c r="AQ313" s="36" t="n"/>
      <c r="AR313" s="36" t="n"/>
      <c r="AS313" s="36" t="n"/>
      <c r="AT313" s="36" t="n"/>
      <c r="AU313" s="27" t="n"/>
      <c r="AV313" s="37" t="n"/>
      <c r="AW313" s="38">
        <f>IF(AO313="","",IF(AR313="Yes","❌ Disc",IF(AQ313="No","⚠ Missing",IF(AT313="Yes","✓ OK","⚠ Check"))))</f>
        <v/>
      </c>
    </row>
    <row r="314" ht="18" customHeight="1" s="46">
      <c r="A314" s="39" t="n">
        <v>310</v>
      </c>
      <c r="B314" s="40" t="inlineStr">
        <is>
          <t>BD-VRM-2026-0453</t>
        </is>
      </c>
      <c r="C314" s="41" t="inlineStr">
        <is>
          <t>Excel - Joy  Wallpaper JOY306</t>
        </is>
      </c>
      <c r="D314" s="39" t="inlineStr">
        <is>
          <t>Excel</t>
        </is>
      </c>
      <c r="E314" s="43" t="n">
        <v>46125</v>
      </c>
      <c r="F314" s="26" t="inlineStr">
        <is>
          <t>Sunil CR</t>
        </is>
      </c>
      <c r="G314" s="26" t="inlineStr">
        <is>
          <t>Yes</t>
        </is>
      </c>
      <c r="H314" s="26" t="inlineStr">
        <is>
          <t>No</t>
        </is>
      </c>
      <c r="I314" s="26" t="inlineStr">
        <is>
          <t>Good finish</t>
        </is>
      </c>
      <c r="J314" s="26" t="inlineStr">
        <is>
          <t>Yes</t>
        </is>
      </c>
      <c r="K314" s="27" t="n"/>
      <c r="L314" s="28" t="inlineStr">
        <is>
          <t>No</t>
        </is>
      </c>
      <c r="M314" s="29">
        <f>IF(E314="","",IF(H314="Yes","❌ Disc",IF(G314="No","⚠ Missing",IF(J314="Yes","✓ OK","⚠ Check"))))</f>
        <v/>
      </c>
      <c r="N314" s="43" t="n">
        <v>46193</v>
      </c>
      <c r="O314" s="26" t="inlineStr">
        <is>
          <t>Sunil CR</t>
        </is>
      </c>
      <c r="P314" s="26" t="inlineStr">
        <is>
          <t>Yes</t>
        </is>
      </c>
      <c r="Q314" s="26" t="inlineStr">
        <is>
          <t>No</t>
        </is>
      </c>
      <c r="R314" s="26" t="inlineStr">
        <is>
          <t>Good finish</t>
        </is>
      </c>
      <c r="S314" s="26" t="inlineStr">
        <is>
          <t>Yes</t>
        </is>
      </c>
      <c r="T314" s="27" t="n"/>
      <c r="U314" s="28" t="inlineStr">
        <is>
          <t>No</t>
        </is>
      </c>
      <c r="V314" s="29">
        <f>IF(N314="","",IF(Q314="Yes","❌ Disc",IF(P314="No","⚠ Missing",IF(S314="Yes","✓ OK","⚠ Check"))))</f>
        <v/>
      </c>
      <c r="W314" s="65" t="n">
        <v>46248</v>
      </c>
      <c r="X314" s="30" t="inlineStr">
        <is>
          <t>Sunil CR</t>
        </is>
      </c>
      <c r="Y314" s="30" t="inlineStr">
        <is>
          <t>Yes</t>
        </is>
      </c>
      <c r="Z314" s="30" t="n"/>
      <c r="AA314" s="30" t="inlineStr">
        <is>
          <t>Good finish</t>
        </is>
      </c>
      <c r="AB314" s="30" t="inlineStr">
        <is>
          <t>Yes</t>
        </is>
      </c>
      <c r="AC314" s="27" t="n"/>
      <c r="AD314" s="31" t="inlineStr">
        <is>
          <t>No</t>
        </is>
      </c>
      <c r="AE314" s="32">
        <f>IF(W314="","",IF(Z314="Yes","❌ Disc",IF(Y314="No","⚠ Missing",IF(AB314="Yes","✓ OK","⚠ Check"))))</f>
        <v/>
      </c>
      <c r="AF314" s="33" t="n"/>
      <c r="AG314" s="33" t="n"/>
      <c r="AH314" s="33" t="n"/>
      <c r="AI314" s="33" t="n"/>
      <c r="AJ314" s="33" t="n"/>
      <c r="AK314" s="33" t="n"/>
      <c r="AL314" s="27" t="n"/>
      <c r="AM314" s="34" t="n"/>
      <c r="AN314" s="35">
        <f>IF(AF314="","",IF(AI314="Yes","❌ Disc",IF(AH314="No","⚠ Missing",IF(AK314="Yes","✓ OK","⚠ Check"))))</f>
        <v/>
      </c>
      <c r="AO314" s="36" t="n"/>
      <c r="AP314" s="36" t="n"/>
      <c r="AQ314" s="36" t="n"/>
      <c r="AR314" s="36" t="n"/>
      <c r="AS314" s="36" t="n"/>
      <c r="AT314" s="36" t="n"/>
      <c r="AU314" s="27" t="n"/>
      <c r="AV314" s="37" t="n"/>
      <c r="AW314" s="38">
        <f>IF(AO314="","",IF(AR314="Yes","❌ Disc",IF(AQ314="No","⚠ Missing",IF(AT314="Yes","✓ OK","⚠ Check"))))</f>
        <v/>
      </c>
    </row>
    <row r="315" ht="18" customHeight="1" s="46">
      <c r="A315" s="23" t="n">
        <v>311</v>
      </c>
      <c r="B315" s="24" t="inlineStr">
        <is>
          <t>BD-VRM-2026-0432</t>
        </is>
      </c>
      <c r="C315" s="25" t="inlineStr">
        <is>
          <t>Excel - Joy  Wallpaper JOY307</t>
        </is>
      </c>
      <c r="D315" s="23" t="inlineStr">
        <is>
          <t>Excel</t>
        </is>
      </c>
      <c r="E315" s="43" t="n">
        <v>46125</v>
      </c>
      <c r="F315" s="26" t="inlineStr">
        <is>
          <t>Sunil CR</t>
        </is>
      </c>
      <c r="G315" s="26" t="inlineStr">
        <is>
          <t>Yes</t>
        </is>
      </c>
      <c r="H315" s="26" t="inlineStr">
        <is>
          <t>No</t>
        </is>
      </c>
      <c r="I315" s="26" t="inlineStr">
        <is>
          <t>Good finish</t>
        </is>
      </c>
      <c r="J315" s="26" t="inlineStr">
        <is>
          <t>Yes</t>
        </is>
      </c>
      <c r="K315" s="27" t="n"/>
      <c r="L315" s="28" t="inlineStr">
        <is>
          <t>No</t>
        </is>
      </c>
      <c r="M315" s="29">
        <f>IF(E315="","",IF(H315="Yes","❌ Disc",IF(G315="No","⚠ Missing",IF(J315="Yes","✓ OK","⚠ Check"))))</f>
        <v/>
      </c>
      <c r="N315" s="43" t="n">
        <v>46193</v>
      </c>
      <c r="O315" s="26" t="inlineStr">
        <is>
          <t>Sunil CR</t>
        </is>
      </c>
      <c r="P315" s="26" t="inlineStr">
        <is>
          <t>Yes</t>
        </is>
      </c>
      <c r="Q315" s="26" t="inlineStr">
        <is>
          <t>No</t>
        </is>
      </c>
      <c r="R315" s="26" t="inlineStr">
        <is>
          <t>Good finish</t>
        </is>
      </c>
      <c r="S315" s="26" t="inlineStr">
        <is>
          <t>Yes</t>
        </is>
      </c>
      <c r="T315" s="27" t="n"/>
      <c r="U315" s="28" t="inlineStr">
        <is>
          <t>No</t>
        </is>
      </c>
      <c r="V315" s="29">
        <f>IF(N315="","",IF(Q315="Yes","❌ Disc",IF(P315="No","⚠ Missing",IF(S315="Yes","✓ OK","⚠ Check"))))</f>
        <v/>
      </c>
      <c r="W315" s="65" t="n">
        <v>46248</v>
      </c>
      <c r="X315" s="30" t="inlineStr">
        <is>
          <t>Sunil CR</t>
        </is>
      </c>
      <c r="Y315" s="30" t="inlineStr">
        <is>
          <t>Yes</t>
        </is>
      </c>
      <c r="Z315" s="30" t="n"/>
      <c r="AA315" s="30" t="inlineStr">
        <is>
          <t>Good finish</t>
        </is>
      </c>
      <c r="AB315" s="30" t="inlineStr">
        <is>
          <t>Yes</t>
        </is>
      </c>
      <c r="AC315" s="27" t="n"/>
      <c r="AD315" s="31" t="inlineStr">
        <is>
          <t>No</t>
        </is>
      </c>
      <c r="AE315" s="32">
        <f>IF(W315="","",IF(Z315="Yes","❌ Disc",IF(Y315="No","⚠ Missing",IF(AB315="Yes","✓ OK","⚠ Check"))))</f>
        <v/>
      </c>
      <c r="AF315" s="33" t="n"/>
      <c r="AG315" s="33" t="n"/>
      <c r="AH315" s="33" t="n"/>
      <c r="AI315" s="33" t="n"/>
      <c r="AJ315" s="33" t="n"/>
      <c r="AK315" s="33" t="n"/>
      <c r="AL315" s="27" t="n"/>
      <c r="AM315" s="34" t="n"/>
      <c r="AN315" s="35">
        <f>IF(AF315="","",IF(AI315="Yes","❌ Disc",IF(AH315="No","⚠ Missing",IF(AK315="Yes","✓ OK","⚠ Check"))))</f>
        <v/>
      </c>
      <c r="AO315" s="36" t="n"/>
      <c r="AP315" s="36" t="n"/>
      <c r="AQ315" s="36" t="n"/>
      <c r="AR315" s="36" t="n"/>
      <c r="AS315" s="36" t="n"/>
      <c r="AT315" s="36" t="n"/>
      <c r="AU315" s="27" t="n"/>
      <c r="AV315" s="37" t="n"/>
      <c r="AW315" s="38">
        <f>IF(AO315="","",IF(AR315="Yes","❌ Disc",IF(AQ315="No","⚠ Missing",IF(AT315="Yes","✓ OK","⚠ Check"))))</f>
        <v/>
      </c>
    </row>
    <row r="316" ht="18" customHeight="1" s="46">
      <c r="A316" s="39" t="n">
        <v>312</v>
      </c>
      <c r="B316" s="40" t="inlineStr">
        <is>
          <t>BD-VRM-2026-0449</t>
        </is>
      </c>
      <c r="C316" s="41" t="inlineStr">
        <is>
          <t>Excel - Joy  Wallpaper JOY308</t>
        </is>
      </c>
      <c r="D316" s="39" t="inlineStr">
        <is>
          <t>Excel</t>
        </is>
      </c>
      <c r="E316" s="43" t="n">
        <v>46125</v>
      </c>
      <c r="F316" s="26" t="inlineStr">
        <is>
          <t>Sunil CR</t>
        </is>
      </c>
      <c r="G316" s="26" t="inlineStr">
        <is>
          <t>Yes</t>
        </is>
      </c>
      <c r="H316" s="26" t="inlineStr">
        <is>
          <t>No</t>
        </is>
      </c>
      <c r="I316" s="26" t="inlineStr">
        <is>
          <t>Good finish</t>
        </is>
      </c>
      <c r="J316" s="26" t="inlineStr">
        <is>
          <t>Yes</t>
        </is>
      </c>
      <c r="K316" s="27" t="n"/>
      <c r="L316" s="28" t="inlineStr">
        <is>
          <t>No</t>
        </is>
      </c>
      <c r="M316" s="29">
        <f>IF(E316="","",IF(H316="Yes","❌ Disc",IF(G316="No","⚠ Missing",IF(J316="Yes","✓ OK","⚠ Check"))))</f>
        <v/>
      </c>
      <c r="N316" s="43" t="n">
        <v>46193</v>
      </c>
      <c r="O316" s="26" t="inlineStr">
        <is>
          <t>Sunil CR</t>
        </is>
      </c>
      <c r="P316" s="26" t="inlineStr">
        <is>
          <t>Yes</t>
        </is>
      </c>
      <c r="Q316" s="26" t="inlineStr">
        <is>
          <t>No</t>
        </is>
      </c>
      <c r="R316" s="26" t="inlineStr">
        <is>
          <t>Good finish</t>
        </is>
      </c>
      <c r="S316" s="26" t="inlineStr">
        <is>
          <t>Yes</t>
        </is>
      </c>
      <c r="T316" s="27" t="n"/>
      <c r="U316" s="28" t="inlineStr">
        <is>
          <t>No</t>
        </is>
      </c>
      <c r="V316" s="29">
        <f>IF(N316="","",IF(Q316="Yes","❌ Disc",IF(P316="No","⚠ Missing",IF(S316="Yes","✓ OK","⚠ Check"))))</f>
        <v/>
      </c>
      <c r="W316" s="65" t="n">
        <v>46248</v>
      </c>
      <c r="X316" s="30" t="inlineStr">
        <is>
          <t>Sunil CR</t>
        </is>
      </c>
      <c r="Y316" s="30" t="inlineStr">
        <is>
          <t>Yes</t>
        </is>
      </c>
      <c r="Z316" s="30" t="n"/>
      <c r="AA316" s="30" t="inlineStr">
        <is>
          <t>Good finish</t>
        </is>
      </c>
      <c r="AB316" s="30" t="inlineStr">
        <is>
          <t>Yes</t>
        </is>
      </c>
      <c r="AC316" s="27" t="n"/>
      <c r="AD316" s="31" t="inlineStr">
        <is>
          <t>No</t>
        </is>
      </c>
      <c r="AE316" s="32">
        <f>IF(W316="","",IF(Z316="Yes","❌ Disc",IF(Y316="No","⚠ Missing",IF(AB316="Yes","✓ OK","⚠ Check"))))</f>
        <v/>
      </c>
      <c r="AF316" s="33" t="n"/>
      <c r="AG316" s="33" t="n"/>
      <c r="AH316" s="33" t="n"/>
      <c r="AI316" s="33" t="n"/>
      <c r="AJ316" s="33" t="n"/>
      <c r="AK316" s="33" t="n"/>
      <c r="AL316" s="27" t="n"/>
      <c r="AM316" s="34" t="n"/>
      <c r="AN316" s="35">
        <f>IF(AF316="","",IF(AI316="Yes","❌ Disc",IF(AH316="No","⚠ Missing",IF(AK316="Yes","✓ OK","⚠ Check"))))</f>
        <v/>
      </c>
      <c r="AO316" s="36" t="n"/>
      <c r="AP316" s="36" t="n"/>
      <c r="AQ316" s="36" t="n"/>
      <c r="AR316" s="36" t="n"/>
      <c r="AS316" s="36" t="n"/>
      <c r="AT316" s="36" t="n"/>
      <c r="AU316" s="27" t="n"/>
      <c r="AV316" s="37" t="n"/>
      <c r="AW316" s="38">
        <f>IF(AO316="","",IF(AR316="Yes","❌ Disc",IF(AQ316="No","⚠ Missing",IF(AT316="Yes","✓ OK","⚠ Check"))))</f>
        <v/>
      </c>
    </row>
    <row r="317" ht="18" customHeight="1" s="46">
      <c r="A317" s="23" t="n">
        <v>313</v>
      </c>
      <c r="B317" s="24" t="inlineStr">
        <is>
          <t>BD-VRM-2026-0433</t>
        </is>
      </c>
      <c r="C317" s="25" t="inlineStr">
        <is>
          <t>Excel - Joy  Wallpaper JOY309</t>
        </is>
      </c>
      <c r="D317" s="23" t="inlineStr">
        <is>
          <t>Excel</t>
        </is>
      </c>
      <c r="E317" s="43" t="n">
        <v>46125</v>
      </c>
      <c r="F317" s="26" t="inlineStr">
        <is>
          <t>Sunil CR</t>
        </is>
      </c>
      <c r="G317" s="26" t="inlineStr">
        <is>
          <t>Yes</t>
        </is>
      </c>
      <c r="H317" s="26" t="inlineStr">
        <is>
          <t>No</t>
        </is>
      </c>
      <c r="I317" s="26" t="inlineStr">
        <is>
          <t>Good finish</t>
        </is>
      </c>
      <c r="J317" s="26" t="inlineStr">
        <is>
          <t>Yes</t>
        </is>
      </c>
      <c r="K317" s="27" t="n"/>
      <c r="L317" s="28" t="inlineStr">
        <is>
          <t>No</t>
        </is>
      </c>
      <c r="M317" s="29">
        <f>IF(E317="","",IF(H317="Yes","❌ Disc",IF(G317="No","⚠ Missing",IF(J317="Yes","✓ OK","⚠ Check"))))</f>
        <v/>
      </c>
      <c r="N317" s="43" t="n">
        <v>46193</v>
      </c>
      <c r="O317" s="26" t="inlineStr">
        <is>
          <t>Sunil CR</t>
        </is>
      </c>
      <c r="P317" s="26" t="inlineStr">
        <is>
          <t>Yes</t>
        </is>
      </c>
      <c r="Q317" s="26" t="inlineStr">
        <is>
          <t>No</t>
        </is>
      </c>
      <c r="R317" s="26" t="inlineStr">
        <is>
          <t>Good finish</t>
        </is>
      </c>
      <c r="S317" s="26" t="inlineStr">
        <is>
          <t>Yes</t>
        </is>
      </c>
      <c r="T317" s="27" t="n"/>
      <c r="U317" s="28" t="inlineStr">
        <is>
          <t>No</t>
        </is>
      </c>
      <c r="V317" s="29">
        <f>IF(N317="","",IF(Q317="Yes","❌ Disc",IF(P317="No","⚠ Missing",IF(S317="Yes","✓ OK","⚠ Check"))))</f>
        <v/>
      </c>
      <c r="W317" s="65" t="n">
        <v>46248</v>
      </c>
      <c r="X317" s="30" t="inlineStr">
        <is>
          <t>Sunil CR</t>
        </is>
      </c>
      <c r="Y317" s="30" t="inlineStr">
        <is>
          <t>Yes</t>
        </is>
      </c>
      <c r="Z317" s="30" t="n"/>
      <c r="AA317" s="30" t="inlineStr">
        <is>
          <t>Good finish</t>
        </is>
      </c>
      <c r="AB317" s="30" t="inlineStr">
        <is>
          <t>Yes</t>
        </is>
      </c>
      <c r="AC317" s="27" t="n"/>
      <c r="AD317" s="31" t="inlineStr">
        <is>
          <t>No</t>
        </is>
      </c>
      <c r="AE317" s="32">
        <f>IF(W317="","",IF(Z317="Yes","❌ Disc",IF(Y317="No","⚠ Missing",IF(AB317="Yes","✓ OK","⚠ Check"))))</f>
        <v/>
      </c>
      <c r="AF317" s="33" t="n"/>
      <c r="AG317" s="33" t="n"/>
      <c r="AH317" s="33" t="n"/>
      <c r="AI317" s="33" t="n"/>
      <c r="AJ317" s="33" t="n"/>
      <c r="AK317" s="33" t="n"/>
      <c r="AL317" s="27" t="n"/>
      <c r="AM317" s="34" t="n"/>
      <c r="AN317" s="35">
        <f>IF(AF317="","",IF(AI317="Yes","❌ Disc",IF(AH317="No","⚠ Missing",IF(AK317="Yes","✓ OK","⚠ Check"))))</f>
        <v/>
      </c>
      <c r="AO317" s="36" t="n"/>
      <c r="AP317" s="36" t="n"/>
      <c r="AQ317" s="36" t="n"/>
      <c r="AR317" s="36" t="n"/>
      <c r="AS317" s="36" t="n"/>
      <c r="AT317" s="36" t="n"/>
      <c r="AU317" s="27" t="n"/>
      <c r="AV317" s="37" t="n"/>
      <c r="AW317" s="38">
        <f>IF(AO317="","",IF(AR317="Yes","❌ Disc",IF(AQ317="No","⚠ Missing",IF(AT317="Yes","✓ OK","⚠ Check"))))</f>
        <v/>
      </c>
    </row>
    <row r="318" ht="18" customHeight="1" s="46">
      <c r="A318" s="39" t="n">
        <v>314</v>
      </c>
      <c r="B318" s="40" t="inlineStr">
        <is>
          <t>BD-VRM-2026-0441</t>
        </is>
      </c>
      <c r="C318" s="41" t="inlineStr">
        <is>
          <t>Excel - Joy  Wallpaper JOY310</t>
        </is>
      </c>
      <c r="D318" s="39" t="inlineStr">
        <is>
          <t>Excel</t>
        </is>
      </c>
      <c r="E318" s="43" t="n">
        <v>46125</v>
      </c>
      <c r="F318" s="26" t="inlineStr">
        <is>
          <t>Sunil CR</t>
        </is>
      </c>
      <c r="G318" s="26" t="inlineStr">
        <is>
          <t>Yes</t>
        </is>
      </c>
      <c r="H318" s="26" t="inlineStr">
        <is>
          <t>No</t>
        </is>
      </c>
      <c r="I318" s="26" t="inlineStr">
        <is>
          <t>Good finish</t>
        </is>
      </c>
      <c r="J318" s="26" t="inlineStr">
        <is>
          <t>Yes</t>
        </is>
      </c>
      <c r="K318" s="27" t="n"/>
      <c r="L318" s="28" t="inlineStr">
        <is>
          <t>No</t>
        </is>
      </c>
      <c r="M318" s="29">
        <f>IF(E318="","",IF(H318="Yes","❌ Disc",IF(G318="No","⚠ Missing",IF(J318="Yes","✓ OK","⚠ Check"))))</f>
        <v/>
      </c>
      <c r="N318" s="43" t="n">
        <v>46193</v>
      </c>
      <c r="O318" s="26" t="inlineStr">
        <is>
          <t>Sunil CR</t>
        </is>
      </c>
      <c r="P318" s="26" t="inlineStr">
        <is>
          <t>Yes</t>
        </is>
      </c>
      <c r="Q318" s="26" t="inlineStr">
        <is>
          <t>No</t>
        </is>
      </c>
      <c r="R318" s="26" t="inlineStr">
        <is>
          <t>Good finish</t>
        </is>
      </c>
      <c r="S318" s="26" t="inlineStr">
        <is>
          <t>Yes</t>
        </is>
      </c>
      <c r="T318" s="27" t="n"/>
      <c r="U318" s="28" t="inlineStr">
        <is>
          <t>No</t>
        </is>
      </c>
      <c r="V318" s="29">
        <f>IF(N318="","",IF(Q318="Yes","❌ Disc",IF(P318="No","⚠ Missing",IF(S318="Yes","✓ OK","⚠ Check"))))</f>
        <v/>
      </c>
      <c r="W318" s="65" t="n">
        <v>46248</v>
      </c>
      <c r="X318" s="30" t="inlineStr">
        <is>
          <t>Sunil CR</t>
        </is>
      </c>
      <c r="Y318" s="30" t="inlineStr">
        <is>
          <t>Yes</t>
        </is>
      </c>
      <c r="Z318" s="30" t="n"/>
      <c r="AA318" s="30" t="inlineStr">
        <is>
          <t>Good finish</t>
        </is>
      </c>
      <c r="AB318" s="30" t="inlineStr">
        <is>
          <t>Yes</t>
        </is>
      </c>
      <c r="AC318" s="27" t="n"/>
      <c r="AD318" s="31" t="inlineStr">
        <is>
          <t>No</t>
        </is>
      </c>
      <c r="AE318" s="32">
        <f>IF(W318="","",IF(Z318="Yes","❌ Disc",IF(Y318="No","⚠ Missing",IF(AB318="Yes","✓ OK","⚠ Check"))))</f>
        <v/>
      </c>
      <c r="AF318" s="33" t="n"/>
      <c r="AG318" s="33" t="n"/>
      <c r="AH318" s="33" t="n"/>
      <c r="AI318" s="33" t="n"/>
      <c r="AJ318" s="33" t="n"/>
      <c r="AK318" s="33" t="n"/>
      <c r="AL318" s="27" t="n"/>
      <c r="AM318" s="34" t="n"/>
      <c r="AN318" s="35">
        <f>IF(AF318="","",IF(AI318="Yes","❌ Disc",IF(AH318="No","⚠ Missing",IF(AK318="Yes","✓ OK","⚠ Check"))))</f>
        <v/>
      </c>
      <c r="AO318" s="36" t="n"/>
      <c r="AP318" s="36" t="n"/>
      <c r="AQ318" s="36" t="n"/>
      <c r="AR318" s="36" t="n"/>
      <c r="AS318" s="36" t="n"/>
      <c r="AT318" s="36" t="n"/>
      <c r="AU318" s="27" t="n"/>
      <c r="AV318" s="37" t="n"/>
      <c r="AW318" s="38">
        <f>IF(AO318="","",IF(AR318="Yes","❌ Disc",IF(AQ318="No","⚠ Missing",IF(AT318="Yes","✓ OK","⚠ Check"))))</f>
        <v/>
      </c>
    </row>
    <row r="319" ht="18" customHeight="1" s="46">
      <c r="A319" s="23" t="n">
        <v>315</v>
      </c>
      <c r="B319" s="24" t="inlineStr">
        <is>
          <t>BD-VRM-2026-0438</t>
        </is>
      </c>
      <c r="C319" s="25" t="inlineStr">
        <is>
          <t>Excel - Joy  Wallpaper JOY311</t>
        </is>
      </c>
      <c r="D319" s="23" t="inlineStr">
        <is>
          <t>Excel</t>
        </is>
      </c>
      <c r="E319" s="43" t="n">
        <v>46125</v>
      </c>
      <c r="F319" s="26" t="inlineStr">
        <is>
          <t>Sunil CR</t>
        </is>
      </c>
      <c r="G319" s="26" t="inlineStr">
        <is>
          <t>Yes</t>
        </is>
      </c>
      <c r="H319" s="26" t="inlineStr">
        <is>
          <t>No</t>
        </is>
      </c>
      <c r="I319" s="26" t="inlineStr">
        <is>
          <t>Good finish</t>
        </is>
      </c>
      <c r="J319" s="26" t="inlineStr">
        <is>
          <t>Yes</t>
        </is>
      </c>
      <c r="K319" s="27" t="n"/>
      <c r="L319" s="28" t="inlineStr">
        <is>
          <t>No</t>
        </is>
      </c>
      <c r="M319" s="29">
        <f>IF(E319="","",IF(H319="Yes","❌ Disc",IF(G319="No","⚠ Missing",IF(J319="Yes","✓ OK","⚠ Check"))))</f>
        <v/>
      </c>
      <c r="N319" s="43" t="n">
        <v>46193</v>
      </c>
      <c r="O319" s="26" t="inlineStr">
        <is>
          <t>Sunil CR</t>
        </is>
      </c>
      <c r="P319" s="26" t="inlineStr">
        <is>
          <t>Yes</t>
        </is>
      </c>
      <c r="Q319" s="26" t="inlineStr">
        <is>
          <t>No</t>
        </is>
      </c>
      <c r="R319" s="26" t="inlineStr">
        <is>
          <t>Good finish</t>
        </is>
      </c>
      <c r="S319" s="26" t="inlineStr">
        <is>
          <t>Yes</t>
        </is>
      </c>
      <c r="T319" s="27" t="n"/>
      <c r="U319" s="28" t="inlineStr">
        <is>
          <t>No</t>
        </is>
      </c>
      <c r="V319" s="29">
        <f>IF(N319="","",IF(Q319="Yes","❌ Disc",IF(P319="No","⚠ Missing",IF(S319="Yes","✓ OK","⚠ Check"))))</f>
        <v/>
      </c>
      <c r="W319" s="65" t="n">
        <v>46248</v>
      </c>
      <c r="X319" s="30" t="inlineStr">
        <is>
          <t>Sunil CR</t>
        </is>
      </c>
      <c r="Y319" s="30" t="inlineStr">
        <is>
          <t>Yes</t>
        </is>
      </c>
      <c r="Z319" s="30" t="n"/>
      <c r="AA319" s="30" t="inlineStr">
        <is>
          <t>Good finish</t>
        </is>
      </c>
      <c r="AB319" s="30" t="inlineStr">
        <is>
          <t>Yes</t>
        </is>
      </c>
      <c r="AC319" s="27" t="n"/>
      <c r="AD319" s="31" t="inlineStr">
        <is>
          <t>No</t>
        </is>
      </c>
      <c r="AE319" s="32">
        <f>IF(W319="","",IF(Z319="Yes","❌ Disc",IF(Y319="No","⚠ Missing",IF(AB319="Yes","✓ OK","⚠ Check"))))</f>
        <v/>
      </c>
      <c r="AF319" s="33" t="n"/>
      <c r="AG319" s="33" t="n"/>
      <c r="AH319" s="33" t="n"/>
      <c r="AI319" s="33" t="n"/>
      <c r="AJ319" s="33" t="n"/>
      <c r="AK319" s="33" t="n"/>
      <c r="AL319" s="27" t="n"/>
      <c r="AM319" s="34" t="n"/>
      <c r="AN319" s="35">
        <f>IF(AF319="","",IF(AI319="Yes","❌ Disc",IF(AH319="No","⚠ Missing",IF(AK319="Yes","✓ OK","⚠ Check"))))</f>
        <v/>
      </c>
      <c r="AO319" s="36" t="n"/>
      <c r="AP319" s="36" t="n"/>
      <c r="AQ319" s="36" t="n"/>
      <c r="AR319" s="36" t="n"/>
      <c r="AS319" s="36" t="n"/>
      <c r="AT319" s="36" t="n"/>
      <c r="AU319" s="27" t="n"/>
      <c r="AV319" s="37" t="n"/>
      <c r="AW319" s="38">
        <f>IF(AO319="","",IF(AR319="Yes","❌ Disc",IF(AQ319="No","⚠ Missing",IF(AT319="Yes","✓ OK","⚠ Check"))))</f>
        <v/>
      </c>
    </row>
    <row r="320" ht="18" customHeight="1" s="46">
      <c r="A320" s="39" t="n">
        <v>316</v>
      </c>
      <c r="B320" s="40" t="inlineStr">
        <is>
          <t>BD-VRM-2026-0440</t>
        </is>
      </c>
      <c r="C320" s="41" t="inlineStr">
        <is>
          <t>Excel - Joy  Wallpaper JOY312</t>
        </is>
      </c>
      <c r="D320" s="39" t="inlineStr">
        <is>
          <t>Excel</t>
        </is>
      </c>
      <c r="E320" s="43" t="n">
        <v>46125</v>
      </c>
      <c r="F320" s="26" t="inlineStr">
        <is>
          <t>Sunil CR</t>
        </is>
      </c>
      <c r="G320" s="26" t="inlineStr">
        <is>
          <t>Yes</t>
        </is>
      </c>
      <c r="H320" s="26" t="inlineStr">
        <is>
          <t>No</t>
        </is>
      </c>
      <c r="I320" s="26" t="inlineStr">
        <is>
          <t>Good finish</t>
        </is>
      </c>
      <c r="J320" s="26" t="inlineStr">
        <is>
          <t>Yes</t>
        </is>
      </c>
      <c r="K320" s="27" t="n"/>
      <c r="L320" s="28" t="inlineStr">
        <is>
          <t>No</t>
        </is>
      </c>
      <c r="M320" s="29">
        <f>IF(E320="","",IF(H320="Yes","❌ Disc",IF(G320="No","⚠ Missing",IF(J320="Yes","✓ OK","⚠ Check"))))</f>
        <v/>
      </c>
      <c r="N320" s="43" t="n">
        <v>46193</v>
      </c>
      <c r="O320" s="26" t="inlineStr">
        <is>
          <t>Sunil CR</t>
        </is>
      </c>
      <c r="P320" s="26" t="inlineStr">
        <is>
          <t>Yes</t>
        </is>
      </c>
      <c r="Q320" s="26" t="inlineStr">
        <is>
          <t>No</t>
        </is>
      </c>
      <c r="R320" s="26" t="inlineStr">
        <is>
          <t>Good finish</t>
        </is>
      </c>
      <c r="S320" s="26" t="inlineStr">
        <is>
          <t>Yes</t>
        </is>
      </c>
      <c r="T320" s="27" t="n"/>
      <c r="U320" s="28" t="inlineStr">
        <is>
          <t>No</t>
        </is>
      </c>
      <c r="V320" s="29">
        <f>IF(N320="","",IF(Q320="Yes","❌ Disc",IF(P320="No","⚠ Missing",IF(S320="Yes","✓ OK","⚠ Check"))))</f>
        <v/>
      </c>
      <c r="W320" s="65" t="n">
        <v>46248</v>
      </c>
      <c r="X320" s="30" t="inlineStr">
        <is>
          <t>Sunil CR</t>
        </is>
      </c>
      <c r="Y320" s="30" t="inlineStr">
        <is>
          <t>Yes</t>
        </is>
      </c>
      <c r="Z320" s="30" t="n"/>
      <c r="AA320" s="30" t="inlineStr">
        <is>
          <t>Good finish</t>
        </is>
      </c>
      <c r="AB320" s="30" t="inlineStr">
        <is>
          <t>Yes</t>
        </is>
      </c>
      <c r="AC320" s="27" t="n"/>
      <c r="AD320" s="31" t="inlineStr">
        <is>
          <t>No</t>
        </is>
      </c>
      <c r="AE320" s="32">
        <f>IF(W320="","",IF(Z320="Yes","❌ Disc",IF(Y320="No","⚠ Missing",IF(AB320="Yes","✓ OK","⚠ Check"))))</f>
        <v/>
      </c>
      <c r="AF320" s="33" t="n"/>
      <c r="AG320" s="33" t="n"/>
      <c r="AH320" s="33" t="n"/>
      <c r="AI320" s="33" t="n"/>
      <c r="AJ320" s="33" t="n"/>
      <c r="AK320" s="33" t="n"/>
      <c r="AL320" s="27" t="n"/>
      <c r="AM320" s="34" t="n"/>
      <c r="AN320" s="35">
        <f>IF(AF320="","",IF(AI320="Yes","❌ Disc",IF(AH320="No","⚠ Missing",IF(AK320="Yes","✓ OK","⚠ Check"))))</f>
        <v/>
      </c>
      <c r="AO320" s="36" t="n"/>
      <c r="AP320" s="36" t="n"/>
      <c r="AQ320" s="36" t="n"/>
      <c r="AR320" s="36" t="n"/>
      <c r="AS320" s="36" t="n"/>
      <c r="AT320" s="36" t="n"/>
      <c r="AU320" s="27" t="n"/>
      <c r="AV320" s="37" t="n"/>
      <c r="AW320" s="38">
        <f>IF(AO320="","",IF(AR320="Yes","❌ Disc",IF(AQ320="No","⚠ Missing",IF(AT320="Yes","✓ OK","⚠ Check"))))</f>
        <v/>
      </c>
    </row>
    <row r="321" ht="18" customHeight="1" s="46">
      <c r="A321" s="23" t="n">
        <v>317</v>
      </c>
      <c r="B321" s="24" t="inlineStr">
        <is>
          <t>BD-VRM-2026-0434</t>
        </is>
      </c>
      <c r="C321" s="25" t="inlineStr">
        <is>
          <t>Excel - Joy  Wallpaper JOY313</t>
        </is>
      </c>
      <c r="D321" s="23" t="inlineStr">
        <is>
          <t>Excel</t>
        </is>
      </c>
      <c r="E321" s="43" t="n">
        <v>46125</v>
      </c>
      <c r="F321" s="26" t="inlineStr">
        <is>
          <t>Sunil CR</t>
        </is>
      </c>
      <c r="G321" s="26" t="inlineStr">
        <is>
          <t>Yes</t>
        </is>
      </c>
      <c r="H321" s="26" t="inlineStr">
        <is>
          <t>No</t>
        </is>
      </c>
      <c r="I321" s="26" t="inlineStr">
        <is>
          <t>Good finish</t>
        </is>
      </c>
      <c r="J321" s="26" t="inlineStr">
        <is>
          <t>Yes</t>
        </is>
      </c>
      <c r="K321" s="27" t="n"/>
      <c r="L321" s="28" t="inlineStr">
        <is>
          <t>No</t>
        </is>
      </c>
      <c r="M321" s="29">
        <f>IF(E321="","",IF(H321="Yes","❌ Disc",IF(G321="No","⚠ Missing",IF(J321="Yes","✓ OK","⚠ Check"))))</f>
        <v/>
      </c>
      <c r="N321" s="43" t="n">
        <v>46193</v>
      </c>
      <c r="O321" s="26" t="inlineStr">
        <is>
          <t>Sunil CR</t>
        </is>
      </c>
      <c r="P321" s="26" t="inlineStr">
        <is>
          <t>Yes</t>
        </is>
      </c>
      <c r="Q321" s="26" t="inlineStr">
        <is>
          <t>No</t>
        </is>
      </c>
      <c r="R321" s="26" t="inlineStr">
        <is>
          <t>Good finish</t>
        </is>
      </c>
      <c r="S321" s="26" t="inlineStr">
        <is>
          <t>Yes</t>
        </is>
      </c>
      <c r="T321" s="27" t="n"/>
      <c r="U321" s="28" t="inlineStr">
        <is>
          <t>No</t>
        </is>
      </c>
      <c r="V321" s="29">
        <f>IF(N321="","",IF(Q321="Yes","❌ Disc",IF(P321="No","⚠ Missing",IF(S321="Yes","✓ OK","⚠ Check"))))</f>
        <v/>
      </c>
      <c r="W321" s="65" t="n">
        <v>46248</v>
      </c>
      <c r="X321" s="30" t="inlineStr">
        <is>
          <t>Sunil CR</t>
        </is>
      </c>
      <c r="Y321" s="30" t="inlineStr">
        <is>
          <t>Yes</t>
        </is>
      </c>
      <c r="Z321" s="30" t="n"/>
      <c r="AA321" s="30" t="inlineStr">
        <is>
          <t>Good finish</t>
        </is>
      </c>
      <c r="AB321" s="30" t="inlineStr">
        <is>
          <t>Yes</t>
        </is>
      </c>
      <c r="AC321" s="27" t="n"/>
      <c r="AD321" s="31" t="inlineStr">
        <is>
          <t>No</t>
        </is>
      </c>
      <c r="AE321" s="32">
        <f>IF(W321="","",IF(Z321="Yes","❌ Disc",IF(Y321="No","⚠ Missing",IF(AB321="Yes","✓ OK","⚠ Check"))))</f>
        <v/>
      </c>
      <c r="AF321" s="33" t="n"/>
      <c r="AG321" s="33" t="n"/>
      <c r="AH321" s="33" t="n"/>
      <c r="AI321" s="33" t="n"/>
      <c r="AJ321" s="33" t="n"/>
      <c r="AK321" s="33" t="n"/>
      <c r="AL321" s="27" t="n"/>
      <c r="AM321" s="34" t="n"/>
      <c r="AN321" s="35">
        <f>IF(AF321="","",IF(AI321="Yes","❌ Disc",IF(AH321="No","⚠ Missing",IF(AK321="Yes","✓ OK","⚠ Check"))))</f>
        <v/>
      </c>
      <c r="AO321" s="36" t="n"/>
      <c r="AP321" s="36" t="n"/>
      <c r="AQ321" s="36" t="n"/>
      <c r="AR321" s="36" t="n"/>
      <c r="AS321" s="36" t="n"/>
      <c r="AT321" s="36" t="n"/>
      <c r="AU321" s="27" t="n"/>
      <c r="AV321" s="37" t="n"/>
      <c r="AW321" s="38">
        <f>IF(AO321="","",IF(AR321="Yes","❌ Disc",IF(AQ321="No","⚠ Missing",IF(AT321="Yes","✓ OK","⚠ Check"))))</f>
        <v/>
      </c>
    </row>
    <row r="322" ht="18" customHeight="1" s="46">
      <c r="A322" s="39" t="n">
        <v>318</v>
      </c>
      <c r="B322" s="40" t="inlineStr">
        <is>
          <t>BD-VRM-2026-0437</t>
        </is>
      </c>
      <c r="C322" s="41" t="inlineStr">
        <is>
          <t>Excel - Joy  Wallpaper JOY314</t>
        </is>
      </c>
      <c r="D322" s="39" t="inlineStr">
        <is>
          <t>Excel</t>
        </is>
      </c>
      <c r="E322" s="43" t="n">
        <v>46125</v>
      </c>
      <c r="F322" s="26" t="inlineStr">
        <is>
          <t>Sunil CR</t>
        </is>
      </c>
      <c r="G322" s="26" t="inlineStr">
        <is>
          <t>Yes</t>
        </is>
      </c>
      <c r="H322" s="26" t="inlineStr">
        <is>
          <t>No</t>
        </is>
      </c>
      <c r="I322" s="26" t="inlineStr">
        <is>
          <t>Good finish</t>
        </is>
      </c>
      <c r="J322" s="26" t="inlineStr">
        <is>
          <t>Yes</t>
        </is>
      </c>
      <c r="K322" s="27" t="n"/>
      <c r="L322" s="28" t="inlineStr">
        <is>
          <t>No</t>
        </is>
      </c>
      <c r="M322" s="29">
        <f>IF(E322="","",IF(H322="Yes","❌ Disc",IF(G322="No","⚠ Missing",IF(J322="Yes","✓ OK","⚠ Check"))))</f>
        <v/>
      </c>
      <c r="N322" s="43" t="n">
        <v>46193</v>
      </c>
      <c r="O322" s="26" t="inlineStr">
        <is>
          <t>Sunil CR</t>
        </is>
      </c>
      <c r="P322" s="26" t="inlineStr">
        <is>
          <t>Yes</t>
        </is>
      </c>
      <c r="Q322" s="26" t="inlineStr">
        <is>
          <t>No</t>
        </is>
      </c>
      <c r="R322" s="26" t="inlineStr">
        <is>
          <t>Good finish</t>
        </is>
      </c>
      <c r="S322" s="26" t="inlineStr">
        <is>
          <t>Yes</t>
        </is>
      </c>
      <c r="T322" s="27" t="n"/>
      <c r="U322" s="28" t="inlineStr">
        <is>
          <t>No</t>
        </is>
      </c>
      <c r="V322" s="29">
        <f>IF(N322="","",IF(Q322="Yes","❌ Disc",IF(P322="No","⚠ Missing",IF(S322="Yes","✓ OK","⚠ Check"))))</f>
        <v/>
      </c>
      <c r="W322" s="65" t="n">
        <v>46248</v>
      </c>
      <c r="X322" s="30" t="inlineStr">
        <is>
          <t>Sunil CR</t>
        </is>
      </c>
      <c r="Y322" s="30" t="inlineStr">
        <is>
          <t>Yes</t>
        </is>
      </c>
      <c r="Z322" s="30" t="n"/>
      <c r="AA322" s="30" t="inlineStr">
        <is>
          <t>Good finish</t>
        </is>
      </c>
      <c r="AB322" s="30" t="inlineStr">
        <is>
          <t>Yes</t>
        </is>
      </c>
      <c r="AC322" s="27" t="n"/>
      <c r="AD322" s="31" t="inlineStr">
        <is>
          <t>No</t>
        </is>
      </c>
      <c r="AE322" s="32">
        <f>IF(W322="","",IF(Z322="Yes","❌ Disc",IF(Y322="No","⚠ Missing",IF(AB322="Yes","✓ OK","⚠ Check"))))</f>
        <v/>
      </c>
      <c r="AF322" s="33" t="n"/>
      <c r="AG322" s="33" t="n"/>
      <c r="AH322" s="33" t="n"/>
      <c r="AI322" s="33" t="n"/>
      <c r="AJ322" s="33" t="n"/>
      <c r="AK322" s="33" t="n"/>
      <c r="AL322" s="27" t="n"/>
      <c r="AM322" s="34" t="n"/>
      <c r="AN322" s="35">
        <f>IF(AF322="","",IF(AI322="Yes","❌ Disc",IF(AH322="No","⚠ Missing",IF(AK322="Yes","✓ OK","⚠ Check"))))</f>
        <v/>
      </c>
      <c r="AO322" s="36" t="n"/>
      <c r="AP322" s="36" t="n"/>
      <c r="AQ322" s="36" t="n"/>
      <c r="AR322" s="36" t="n"/>
      <c r="AS322" s="36" t="n"/>
      <c r="AT322" s="36" t="n"/>
      <c r="AU322" s="27" t="n"/>
      <c r="AV322" s="37" t="n"/>
      <c r="AW322" s="38">
        <f>IF(AO322="","",IF(AR322="Yes","❌ Disc",IF(AQ322="No","⚠ Missing",IF(AT322="Yes","✓ OK","⚠ Check"))))</f>
        <v/>
      </c>
    </row>
    <row r="323" ht="18" customHeight="1" s="46">
      <c r="A323" s="23" t="n">
        <v>319</v>
      </c>
      <c r="B323" s="24" t="inlineStr">
        <is>
          <t>BD-VRM-2026-0024</t>
        </is>
      </c>
      <c r="C323" s="25" t="inlineStr">
        <is>
          <t>Excel - Lohas Wallpaper 87456-1</t>
        </is>
      </c>
      <c r="D323" s="23" t="inlineStr">
        <is>
          <t>Excel</t>
        </is>
      </c>
      <c r="E323" s="43" t="n">
        <v>46125</v>
      </c>
      <c r="F323" s="26" t="inlineStr">
        <is>
          <t>Sunil CR</t>
        </is>
      </c>
      <c r="G323" s="26" t="inlineStr">
        <is>
          <t>Yes</t>
        </is>
      </c>
      <c r="H323" s="26" t="inlineStr">
        <is>
          <t>No</t>
        </is>
      </c>
      <c r="I323" s="26" t="inlineStr">
        <is>
          <t>Good finish</t>
        </is>
      </c>
      <c r="J323" s="26" t="inlineStr">
        <is>
          <t>Yes</t>
        </is>
      </c>
      <c r="K323" s="27" t="n"/>
      <c r="L323" s="28" t="inlineStr">
        <is>
          <t>No</t>
        </is>
      </c>
      <c r="M323" s="29">
        <f>IF(E323="","",IF(H323="Yes","❌ Disc",IF(G323="No","⚠ Missing",IF(J323="Yes","✓ OK","⚠ Check"))))</f>
        <v/>
      </c>
      <c r="N323" s="43" t="n">
        <v>46193</v>
      </c>
      <c r="O323" s="26" t="inlineStr">
        <is>
          <t>Sunil CR</t>
        </is>
      </c>
      <c r="P323" s="26" t="inlineStr">
        <is>
          <t>Yes</t>
        </is>
      </c>
      <c r="Q323" s="26" t="inlineStr">
        <is>
          <t>No</t>
        </is>
      </c>
      <c r="R323" s="26" t="inlineStr">
        <is>
          <t>Good finish</t>
        </is>
      </c>
      <c r="S323" s="26" t="inlineStr">
        <is>
          <t>Yes</t>
        </is>
      </c>
      <c r="T323" s="27" t="n"/>
      <c r="U323" s="28" t="inlineStr">
        <is>
          <t>No</t>
        </is>
      </c>
      <c r="V323" s="29">
        <f>IF(N323="","",IF(Q323="Yes","❌ Disc",IF(P323="No","⚠ Missing",IF(S323="Yes","✓ OK","⚠ Check"))))</f>
        <v/>
      </c>
      <c r="W323" s="65" t="n">
        <v>46248</v>
      </c>
      <c r="X323" s="30" t="inlineStr">
        <is>
          <t>Sunil CR</t>
        </is>
      </c>
      <c r="Y323" s="30" t="inlineStr">
        <is>
          <t>Yes</t>
        </is>
      </c>
      <c r="Z323" s="30" t="n"/>
      <c r="AA323" s="30" t="inlineStr">
        <is>
          <t>Good finish</t>
        </is>
      </c>
      <c r="AB323" s="30" t="inlineStr">
        <is>
          <t>Yes</t>
        </is>
      </c>
      <c r="AC323" s="27" t="n"/>
      <c r="AD323" s="31" t="inlineStr">
        <is>
          <t>No</t>
        </is>
      </c>
      <c r="AE323" s="32">
        <f>IF(W323="","",IF(Z323="Yes","❌ Disc",IF(Y323="No","⚠ Missing",IF(AB323="Yes","✓ OK","⚠ Check"))))</f>
        <v/>
      </c>
      <c r="AF323" s="33" t="n"/>
      <c r="AG323" s="33" t="n"/>
      <c r="AH323" s="33" t="n"/>
      <c r="AI323" s="33" t="n"/>
      <c r="AJ323" s="33" t="n"/>
      <c r="AK323" s="33" t="n"/>
      <c r="AL323" s="27" t="n"/>
      <c r="AM323" s="34" t="n"/>
      <c r="AN323" s="35">
        <f>IF(AF323="","",IF(AI323="Yes","❌ Disc",IF(AH323="No","⚠ Missing",IF(AK323="Yes","✓ OK","⚠ Check"))))</f>
        <v/>
      </c>
      <c r="AO323" s="36" t="n"/>
      <c r="AP323" s="36" t="n"/>
      <c r="AQ323" s="36" t="n"/>
      <c r="AR323" s="36" t="n"/>
      <c r="AS323" s="36" t="n"/>
      <c r="AT323" s="36" t="n"/>
      <c r="AU323" s="27" t="n"/>
      <c r="AV323" s="37" t="n"/>
      <c r="AW323" s="38">
        <f>IF(AO323="","",IF(AR323="Yes","❌ Disc",IF(AQ323="No","⚠ Missing",IF(AT323="Yes","✓ OK","⚠ Check"))))</f>
        <v/>
      </c>
    </row>
    <row r="324" ht="18" customHeight="1" s="46">
      <c r="A324" s="39" t="n">
        <v>320</v>
      </c>
      <c r="B324" s="40" t="inlineStr">
        <is>
          <t>BD-VRM-2026-0025</t>
        </is>
      </c>
      <c r="C324" s="41" t="inlineStr">
        <is>
          <t>Excel - Lohas Wallpaper 87456-2</t>
        </is>
      </c>
      <c r="D324" s="39" t="inlineStr">
        <is>
          <t>Excel</t>
        </is>
      </c>
      <c r="E324" s="43" t="n">
        <v>46125</v>
      </c>
      <c r="F324" s="26" t="inlineStr">
        <is>
          <t>Sunil CR</t>
        </is>
      </c>
      <c r="G324" s="26" t="inlineStr">
        <is>
          <t>Yes</t>
        </is>
      </c>
      <c r="H324" s="26" t="inlineStr">
        <is>
          <t>No</t>
        </is>
      </c>
      <c r="I324" s="26" t="inlineStr">
        <is>
          <t>Good finish</t>
        </is>
      </c>
      <c r="J324" s="26" t="inlineStr">
        <is>
          <t>Yes</t>
        </is>
      </c>
      <c r="K324" s="27" t="n"/>
      <c r="L324" s="28" t="inlineStr">
        <is>
          <t>No</t>
        </is>
      </c>
      <c r="M324" s="29">
        <f>IF(E324="","",IF(H324="Yes","❌ Disc",IF(G324="No","⚠ Missing",IF(J324="Yes","✓ OK","⚠ Check"))))</f>
        <v/>
      </c>
      <c r="N324" s="43" t="n">
        <v>46193</v>
      </c>
      <c r="O324" s="26" t="inlineStr">
        <is>
          <t>Sunil CR</t>
        </is>
      </c>
      <c r="P324" s="26" t="inlineStr">
        <is>
          <t>Yes</t>
        </is>
      </c>
      <c r="Q324" s="26" t="inlineStr">
        <is>
          <t>No</t>
        </is>
      </c>
      <c r="R324" s="26" t="inlineStr">
        <is>
          <t>Good finish</t>
        </is>
      </c>
      <c r="S324" s="26" t="inlineStr">
        <is>
          <t>Yes</t>
        </is>
      </c>
      <c r="T324" s="27" t="n"/>
      <c r="U324" s="28" t="inlineStr">
        <is>
          <t>No</t>
        </is>
      </c>
      <c r="V324" s="29">
        <f>IF(N324="","",IF(Q324="Yes","❌ Disc",IF(P324="No","⚠ Missing",IF(S324="Yes","✓ OK","⚠ Check"))))</f>
        <v/>
      </c>
      <c r="W324" s="65" t="n">
        <v>46248</v>
      </c>
      <c r="X324" s="30" t="inlineStr">
        <is>
          <t>Sunil CR</t>
        </is>
      </c>
      <c r="Y324" s="30" t="inlineStr">
        <is>
          <t>Yes</t>
        </is>
      </c>
      <c r="Z324" s="30" t="n"/>
      <c r="AA324" s="30" t="inlineStr">
        <is>
          <t>Good finish</t>
        </is>
      </c>
      <c r="AB324" s="30" t="inlineStr">
        <is>
          <t>Yes</t>
        </is>
      </c>
      <c r="AC324" s="27" t="n"/>
      <c r="AD324" s="31" t="inlineStr">
        <is>
          <t>No</t>
        </is>
      </c>
      <c r="AE324" s="32">
        <f>IF(W324="","",IF(Z324="Yes","❌ Disc",IF(Y324="No","⚠ Missing",IF(AB324="Yes","✓ OK","⚠ Check"))))</f>
        <v/>
      </c>
      <c r="AF324" s="33" t="n"/>
      <c r="AG324" s="33" t="n"/>
      <c r="AH324" s="33" t="n"/>
      <c r="AI324" s="33" t="n"/>
      <c r="AJ324" s="33" t="n"/>
      <c r="AK324" s="33" t="n"/>
      <c r="AL324" s="27" t="n"/>
      <c r="AM324" s="34" t="n"/>
      <c r="AN324" s="35">
        <f>IF(AF324="","",IF(AI324="Yes","❌ Disc",IF(AH324="No","⚠ Missing",IF(AK324="Yes","✓ OK","⚠ Check"))))</f>
        <v/>
      </c>
      <c r="AO324" s="36" t="n"/>
      <c r="AP324" s="36" t="n"/>
      <c r="AQ324" s="36" t="n"/>
      <c r="AR324" s="36" t="n"/>
      <c r="AS324" s="36" t="n"/>
      <c r="AT324" s="36" t="n"/>
      <c r="AU324" s="27" t="n"/>
      <c r="AV324" s="37" t="n"/>
      <c r="AW324" s="38">
        <f>IF(AO324="","",IF(AR324="Yes","❌ Disc",IF(AQ324="No","⚠ Missing",IF(AT324="Yes","✓ OK","⚠ Check"))))</f>
        <v/>
      </c>
    </row>
    <row r="325" ht="18" customHeight="1" s="46">
      <c r="A325" s="23" t="n">
        <v>321</v>
      </c>
      <c r="B325" s="24" t="inlineStr">
        <is>
          <t>BD-VRM-2026-0026</t>
        </is>
      </c>
      <c r="C325" s="25" t="inlineStr">
        <is>
          <t>Excel - Lohas Wallpaper 87456-3</t>
        </is>
      </c>
      <c r="D325" s="23" t="inlineStr">
        <is>
          <t>Excel</t>
        </is>
      </c>
      <c r="E325" s="43" t="n">
        <v>46125</v>
      </c>
      <c r="F325" s="26" t="inlineStr">
        <is>
          <t>Sunil CR</t>
        </is>
      </c>
      <c r="G325" s="26" t="inlineStr">
        <is>
          <t>Yes</t>
        </is>
      </c>
      <c r="H325" s="26" t="inlineStr">
        <is>
          <t>No</t>
        </is>
      </c>
      <c r="I325" s="26" t="inlineStr">
        <is>
          <t>Good finish</t>
        </is>
      </c>
      <c r="J325" s="26" t="inlineStr">
        <is>
          <t>Yes</t>
        </is>
      </c>
      <c r="K325" s="27" t="n"/>
      <c r="L325" s="28" t="inlineStr">
        <is>
          <t>No</t>
        </is>
      </c>
      <c r="M325" s="29">
        <f>IF(E325="","",IF(H325="Yes","❌ Disc",IF(G325="No","⚠ Missing",IF(J325="Yes","✓ OK","⚠ Check"))))</f>
        <v/>
      </c>
      <c r="N325" s="43" t="n">
        <v>46193</v>
      </c>
      <c r="O325" s="26" t="inlineStr">
        <is>
          <t>Sunil CR</t>
        </is>
      </c>
      <c r="P325" s="26" t="inlineStr">
        <is>
          <t>Yes</t>
        </is>
      </c>
      <c r="Q325" s="26" t="inlineStr">
        <is>
          <t>No</t>
        </is>
      </c>
      <c r="R325" s="26" t="inlineStr">
        <is>
          <t>Good finish</t>
        </is>
      </c>
      <c r="S325" s="26" t="inlineStr">
        <is>
          <t>Yes</t>
        </is>
      </c>
      <c r="T325" s="27" t="n"/>
      <c r="U325" s="28" t="inlineStr">
        <is>
          <t>No</t>
        </is>
      </c>
      <c r="V325" s="29">
        <f>IF(N325="","",IF(Q325="Yes","❌ Disc",IF(P325="No","⚠ Missing",IF(S325="Yes","✓ OK","⚠ Check"))))</f>
        <v/>
      </c>
      <c r="W325" s="65" t="n">
        <v>46248</v>
      </c>
      <c r="X325" s="30" t="inlineStr">
        <is>
          <t>Sunil CR</t>
        </is>
      </c>
      <c r="Y325" s="30" t="inlineStr">
        <is>
          <t>Yes</t>
        </is>
      </c>
      <c r="Z325" s="30" t="n"/>
      <c r="AA325" s="30" t="inlineStr">
        <is>
          <t>Good finish</t>
        </is>
      </c>
      <c r="AB325" s="30" t="inlineStr">
        <is>
          <t>Yes</t>
        </is>
      </c>
      <c r="AC325" s="27" t="n"/>
      <c r="AD325" s="31" t="inlineStr">
        <is>
          <t>No</t>
        </is>
      </c>
      <c r="AE325" s="32">
        <f>IF(W325="","",IF(Z325="Yes","❌ Disc",IF(Y325="No","⚠ Missing",IF(AB325="Yes","✓ OK","⚠ Check"))))</f>
        <v/>
      </c>
      <c r="AF325" s="33" t="n"/>
      <c r="AG325" s="33" t="n"/>
      <c r="AH325" s="33" t="n"/>
      <c r="AI325" s="33" t="n"/>
      <c r="AJ325" s="33" t="n"/>
      <c r="AK325" s="33" t="n"/>
      <c r="AL325" s="27" t="n"/>
      <c r="AM325" s="34" t="n"/>
      <c r="AN325" s="35">
        <f>IF(AF325="","",IF(AI325="Yes","❌ Disc",IF(AH325="No","⚠ Missing",IF(AK325="Yes","✓ OK","⚠ Check"))))</f>
        <v/>
      </c>
      <c r="AO325" s="36" t="n"/>
      <c r="AP325" s="36" t="n"/>
      <c r="AQ325" s="36" t="n"/>
      <c r="AR325" s="36" t="n"/>
      <c r="AS325" s="36" t="n"/>
      <c r="AT325" s="36" t="n"/>
      <c r="AU325" s="27" t="n"/>
      <c r="AV325" s="37" t="n"/>
      <c r="AW325" s="38">
        <f>IF(AO325="","",IF(AR325="Yes","❌ Disc",IF(AQ325="No","⚠ Missing",IF(AT325="Yes","✓ OK","⚠ Check"))))</f>
        <v/>
      </c>
    </row>
    <row r="326" ht="18" customHeight="1" s="46">
      <c r="A326" s="39" t="n">
        <v>322</v>
      </c>
      <c r="B326" s="40" t="inlineStr">
        <is>
          <t>BD-VRM-2026-0027</t>
        </is>
      </c>
      <c r="C326" s="41" t="inlineStr">
        <is>
          <t>Excel - Lohas Wallpaper 87456-4</t>
        </is>
      </c>
      <c r="D326" s="39" t="inlineStr">
        <is>
          <t>Excel</t>
        </is>
      </c>
      <c r="E326" s="43" t="n">
        <v>46125</v>
      </c>
      <c r="F326" s="26" t="inlineStr">
        <is>
          <t>Sunil CR</t>
        </is>
      </c>
      <c r="G326" s="26" t="inlineStr">
        <is>
          <t>Yes</t>
        </is>
      </c>
      <c r="H326" s="26" t="inlineStr">
        <is>
          <t>No</t>
        </is>
      </c>
      <c r="I326" s="26" t="inlineStr">
        <is>
          <t>Good finish</t>
        </is>
      </c>
      <c r="J326" s="26" t="inlineStr">
        <is>
          <t>Yes</t>
        </is>
      </c>
      <c r="K326" s="27" t="n"/>
      <c r="L326" s="28" t="inlineStr">
        <is>
          <t>No</t>
        </is>
      </c>
      <c r="M326" s="29">
        <f>IF(E326="","",IF(H326="Yes","❌ Disc",IF(G326="No","⚠ Missing",IF(J326="Yes","✓ OK","⚠ Check"))))</f>
        <v/>
      </c>
      <c r="N326" s="43" t="n">
        <v>46193</v>
      </c>
      <c r="O326" s="26" t="inlineStr">
        <is>
          <t>Sunil CR</t>
        </is>
      </c>
      <c r="P326" s="26" t="inlineStr">
        <is>
          <t>Yes</t>
        </is>
      </c>
      <c r="Q326" s="26" t="inlineStr">
        <is>
          <t>No</t>
        </is>
      </c>
      <c r="R326" s="26" t="inlineStr">
        <is>
          <t>Good finish</t>
        </is>
      </c>
      <c r="S326" s="26" t="inlineStr">
        <is>
          <t>Yes</t>
        </is>
      </c>
      <c r="T326" s="27" t="n"/>
      <c r="U326" s="28" t="inlineStr">
        <is>
          <t>No</t>
        </is>
      </c>
      <c r="V326" s="29">
        <f>IF(N326="","",IF(Q326="Yes","❌ Disc",IF(P326="No","⚠ Missing",IF(S326="Yes","✓ OK","⚠ Check"))))</f>
        <v/>
      </c>
      <c r="W326" s="65" t="n">
        <v>46248</v>
      </c>
      <c r="X326" s="30" t="inlineStr">
        <is>
          <t>Sunil CR</t>
        </is>
      </c>
      <c r="Y326" s="30" t="inlineStr">
        <is>
          <t>Yes</t>
        </is>
      </c>
      <c r="Z326" s="30" t="n"/>
      <c r="AA326" s="30" t="inlineStr">
        <is>
          <t>Good finish</t>
        </is>
      </c>
      <c r="AB326" s="30" t="inlineStr">
        <is>
          <t>Yes</t>
        </is>
      </c>
      <c r="AC326" s="27" t="n"/>
      <c r="AD326" s="31" t="inlineStr">
        <is>
          <t>No</t>
        </is>
      </c>
      <c r="AE326" s="32">
        <f>IF(W326="","",IF(Z326="Yes","❌ Disc",IF(Y326="No","⚠ Missing",IF(AB326="Yes","✓ OK","⚠ Check"))))</f>
        <v/>
      </c>
      <c r="AF326" s="33" t="n"/>
      <c r="AG326" s="33" t="n"/>
      <c r="AH326" s="33" t="n"/>
      <c r="AI326" s="33" t="n"/>
      <c r="AJ326" s="33" t="n"/>
      <c r="AK326" s="33" t="n"/>
      <c r="AL326" s="27" t="n"/>
      <c r="AM326" s="34" t="n"/>
      <c r="AN326" s="35">
        <f>IF(AF326="","",IF(AI326="Yes","❌ Disc",IF(AH326="No","⚠ Missing",IF(AK326="Yes","✓ OK","⚠ Check"))))</f>
        <v/>
      </c>
      <c r="AO326" s="36" t="n"/>
      <c r="AP326" s="36" t="n"/>
      <c r="AQ326" s="36" t="n"/>
      <c r="AR326" s="36" t="n"/>
      <c r="AS326" s="36" t="n"/>
      <c r="AT326" s="36" t="n"/>
      <c r="AU326" s="27" t="n"/>
      <c r="AV326" s="37" t="n"/>
      <c r="AW326" s="38">
        <f>IF(AO326="","",IF(AR326="Yes","❌ Disc",IF(AQ326="No","⚠ Missing",IF(AT326="Yes","✓ OK","⚠ Check"))))</f>
        <v/>
      </c>
    </row>
    <row r="327" ht="18" customHeight="1" s="46">
      <c r="A327" s="23" t="n">
        <v>323</v>
      </c>
      <c r="B327" s="24" t="inlineStr">
        <is>
          <t>BD-VRM-2026-0028</t>
        </is>
      </c>
      <c r="C327" s="25" t="inlineStr">
        <is>
          <t>Excel - Lohas Wallpaper 87456-5</t>
        </is>
      </c>
      <c r="D327" s="23" t="inlineStr">
        <is>
          <t>Excel</t>
        </is>
      </c>
      <c r="E327" s="43" t="n">
        <v>46125</v>
      </c>
      <c r="F327" s="26" t="inlineStr">
        <is>
          <t>Sunil CR</t>
        </is>
      </c>
      <c r="G327" s="26" t="inlineStr">
        <is>
          <t>Yes</t>
        </is>
      </c>
      <c r="H327" s="26" t="inlineStr">
        <is>
          <t>No</t>
        </is>
      </c>
      <c r="I327" s="26" t="inlineStr">
        <is>
          <t>Good finish</t>
        </is>
      </c>
      <c r="J327" s="26" t="inlineStr">
        <is>
          <t>Yes</t>
        </is>
      </c>
      <c r="K327" s="27" t="n"/>
      <c r="L327" s="28" t="inlineStr">
        <is>
          <t>No</t>
        </is>
      </c>
      <c r="M327" s="29">
        <f>IF(E327="","",IF(H327="Yes","❌ Disc",IF(G327="No","⚠ Missing",IF(J327="Yes","✓ OK","⚠ Check"))))</f>
        <v/>
      </c>
      <c r="N327" s="43" t="n">
        <v>46193</v>
      </c>
      <c r="O327" s="26" t="inlineStr">
        <is>
          <t>Sunil CR</t>
        </is>
      </c>
      <c r="P327" s="26" t="inlineStr">
        <is>
          <t>Yes</t>
        </is>
      </c>
      <c r="Q327" s="26" t="inlineStr">
        <is>
          <t>No</t>
        </is>
      </c>
      <c r="R327" s="26" t="inlineStr">
        <is>
          <t>Good finish</t>
        </is>
      </c>
      <c r="S327" s="26" t="inlineStr">
        <is>
          <t>Yes</t>
        </is>
      </c>
      <c r="T327" s="27" t="n"/>
      <c r="U327" s="28" t="inlineStr">
        <is>
          <t>No</t>
        </is>
      </c>
      <c r="V327" s="29">
        <f>IF(N327="","",IF(Q327="Yes","❌ Disc",IF(P327="No","⚠ Missing",IF(S327="Yes","✓ OK","⚠ Check"))))</f>
        <v/>
      </c>
      <c r="W327" s="65" t="n">
        <v>46248</v>
      </c>
      <c r="X327" s="30" t="inlineStr">
        <is>
          <t>Sunil CR</t>
        </is>
      </c>
      <c r="Y327" s="30" t="inlineStr">
        <is>
          <t>Yes</t>
        </is>
      </c>
      <c r="Z327" s="30" t="n"/>
      <c r="AA327" s="30" t="inlineStr">
        <is>
          <t>Good finish</t>
        </is>
      </c>
      <c r="AB327" s="30" t="inlineStr">
        <is>
          <t>Yes</t>
        </is>
      </c>
      <c r="AC327" s="27" t="n"/>
      <c r="AD327" s="31" t="inlineStr">
        <is>
          <t>No</t>
        </is>
      </c>
      <c r="AE327" s="32">
        <f>IF(W327="","",IF(Z327="Yes","❌ Disc",IF(Y327="No","⚠ Missing",IF(AB327="Yes","✓ OK","⚠ Check"))))</f>
        <v/>
      </c>
      <c r="AF327" s="33" t="n"/>
      <c r="AG327" s="33" t="n"/>
      <c r="AH327" s="33" t="n"/>
      <c r="AI327" s="33" t="n"/>
      <c r="AJ327" s="33" t="n"/>
      <c r="AK327" s="33" t="n"/>
      <c r="AL327" s="27" t="n"/>
      <c r="AM327" s="34" t="n"/>
      <c r="AN327" s="35">
        <f>IF(AF327="","",IF(AI327="Yes","❌ Disc",IF(AH327="No","⚠ Missing",IF(AK327="Yes","✓ OK","⚠ Check"))))</f>
        <v/>
      </c>
      <c r="AO327" s="36" t="n"/>
      <c r="AP327" s="36" t="n"/>
      <c r="AQ327" s="36" t="n"/>
      <c r="AR327" s="36" t="n"/>
      <c r="AS327" s="36" t="n"/>
      <c r="AT327" s="36" t="n"/>
      <c r="AU327" s="27" t="n"/>
      <c r="AV327" s="37" t="n"/>
      <c r="AW327" s="38">
        <f>IF(AO327="","",IF(AR327="Yes","❌ Disc",IF(AQ327="No","⚠ Missing",IF(AT327="Yes","✓ OK","⚠ Check"))))</f>
        <v/>
      </c>
    </row>
    <row r="328" ht="18" customHeight="1" s="46">
      <c r="A328" s="39" t="n">
        <v>324</v>
      </c>
      <c r="B328" s="40" t="inlineStr">
        <is>
          <t>BD-VRM-2026-0029</t>
        </is>
      </c>
      <c r="C328" s="41" t="inlineStr">
        <is>
          <t>Excel - Lohas Wallpaper 87456-6</t>
        </is>
      </c>
      <c r="D328" s="39" t="inlineStr">
        <is>
          <t>Excel</t>
        </is>
      </c>
      <c r="E328" s="43" t="n">
        <v>46125</v>
      </c>
      <c r="F328" s="26" t="inlineStr">
        <is>
          <t>Sunil CR</t>
        </is>
      </c>
      <c r="G328" s="26" t="inlineStr">
        <is>
          <t>Yes</t>
        </is>
      </c>
      <c r="H328" s="26" t="inlineStr">
        <is>
          <t>No</t>
        </is>
      </c>
      <c r="I328" s="26" t="inlineStr">
        <is>
          <t>Good finish</t>
        </is>
      </c>
      <c r="J328" s="26" t="inlineStr">
        <is>
          <t>Yes</t>
        </is>
      </c>
      <c r="K328" s="27" t="n"/>
      <c r="L328" s="28" t="inlineStr">
        <is>
          <t>No</t>
        </is>
      </c>
      <c r="M328" s="29">
        <f>IF(E328="","",IF(H328="Yes","❌ Disc",IF(G328="No","⚠ Missing",IF(J328="Yes","✓ OK","⚠ Check"))))</f>
        <v/>
      </c>
      <c r="N328" s="43" t="n">
        <v>46193</v>
      </c>
      <c r="O328" s="26" t="inlineStr">
        <is>
          <t>Sunil CR</t>
        </is>
      </c>
      <c r="P328" s="26" t="inlineStr">
        <is>
          <t>Yes</t>
        </is>
      </c>
      <c r="Q328" s="26" t="inlineStr">
        <is>
          <t>No</t>
        </is>
      </c>
      <c r="R328" s="26" t="inlineStr">
        <is>
          <t>Good finish</t>
        </is>
      </c>
      <c r="S328" s="26" t="inlineStr">
        <is>
          <t>Yes</t>
        </is>
      </c>
      <c r="T328" s="27" t="n"/>
      <c r="U328" s="28" t="inlineStr">
        <is>
          <t>No</t>
        </is>
      </c>
      <c r="V328" s="29">
        <f>IF(N328="","",IF(Q328="Yes","❌ Disc",IF(P328="No","⚠ Missing",IF(S328="Yes","✓ OK","⚠ Check"))))</f>
        <v/>
      </c>
      <c r="W328" s="65" t="n">
        <v>46248</v>
      </c>
      <c r="X328" s="30" t="inlineStr">
        <is>
          <t>Sunil CR</t>
        </is>
      </c>
      <c r="Y328" s="30" t="inlineStr">
        <is>
          <t>Yes</t>
        </is>
      </c>
      <c r="Z328" s="30" t="n"/>
      <c r="AA328" s="30" t="inlineStr">
        <is>
          <t>Good finish</t>
        </is>
      </c>
      <c r="AB328" s="30" t="inlineStr">
        <is>
          <t>Yes</t>
        </is>
      </c>
      <c r="AC328" s="27" t="n"/>
      <c r="AD328" s="31" t="inlineStr">
        <is>
          <t>No</t>
        </is>
      </c>
      <c r="AE328" s="32">
        <f>IF(W328="","",IF(Z328="Yes","❌ Disc",IF(Y328="No","⚠ Missing",IF(AB328="Yes","✓ OK","⚠ Check"))))</f>
        <v/>
      </c>
      <c r="AF328" s="33" t="n"/>
      <c r="AG328" s="33" t="n"/>
      <c r="AH328" s="33" t="n"/>
      <c r="AI328" s="33" t="n"/>
      <c r="AJ328" s="33" t="n"/>
      <c r="AK328" s="33" t="n"/>
      <c r="AL328" s="27" t="n"/>
      <c r="AM328" s="34" t="n"/>
      <c r="AN328" s="35">
        <f>IF(AF328="","",IF(AI328="Yes","❌ Disc",IF(AH328="No","⚠ Missing",IF(AK328="Yes","✓ OK","⚠ Check"))))</f>
        <v/>
      </c>
      <c r="AO328" s="36" t="n"/>
      <c r="AP328" s="36" t="n"/>
      <c r="AQ328" s="36" t="n"/>
      <c r="AR328" s="36" t="n"/>
      <c r="AS328" s="36" t="n"/>
      <c r="AT328" s="36" t="n"/>
      <c r="AU328" s="27" t="n"/>
      <c r="AV328" s="37" t="n"/>
      <c r="AW328" s="38">
        <f>IF(AO328="","",IF(AR328="Yes","❌ Disc",IF(AQ328="No","⚠ Missing",IF(AT328="Yes","✓ OK","⚠ Check"))))</f>
        <v/>
      </c>
    </row>
    <row r="329" ht="18" customHeight="1" s="46">
      <c r="A329" s="23" t="n">
        <v>325</v>
      </c>
      <c r="B329" s="24" t="inlineStr">
        <is>
          <t>BD-VRM-2026-0030</t>
        </is>
      </c>
      <c r="C329" s="25" t="inlineStr">
        <is>
          <t>Excel - Lohas Wallpaper 87456-7</t>
        </is>
      </c>
      <c r="D329" s="23" t="inlineStr">
        <is>
          <t>Excel</t>
        </is>
      </c>
      <c r="E329" s="43" t="n">
        <v>46125</v>
      </c>
      <c r="F329" s="26" t="inlineStr">
        <is>
          <t>Sunil CR</t>
        </is>
      </c>
      <c r="G329" s="26" t="inlineStr">
        <is>
          <t>Yes</t>
        </is>
      </c>
      <c r="H329" s="26" t="inlineStr">
        <is>
          <t>No</t>
        </is>
      </c>
      <c r="I329" s="26" t="inlineStr">
        <is>
          <t>Good finish</t>
        </is>
      </c>
      <c r="J329" s="26" t="inlineStr">
        <is>
          <t>Yes</t>
        </is>
      </c>
      <c r="K329" s="27" t="n"/>
      <c r="L329" s="28" t="inlineStr">
        <is>
          <t>No</t>
        </is>
      </c>
      <c r="M329" s="29">
        <f>IF(E329="","",IF(H329="Yes","❌ Disc",IF(G329="No","⚠ Missing",IF(J329="Yes","✓ OK","⚠ Check"))))</f>
        <v/>
      </c>
      <c r="N329" s="43" t="n">
        <v>46193</v>
      </c>
      <c r="O329" s="26" t="inlineStr">
        <is>
          <t>Sunil CR</t>
        </is>
      </c>
      <c r="P329" s="26" t="inlineStr">
        <is>
          <t>Yes</t>
        </is>
      </c>
      <c r="Q329" s="26" t="inlineStr">
        <is>
          <t>No</t>
        </is>
      </c>
      <c r="R329" s="26" t="inlineStr">
        <is>
          <t>Good finish</t>
        </is>
      </c>
      <c r="S329" s="26" t="inlineStr">
        <is>
          <t>Yes</t>
        </is>
      </c>
      <c r="T329" s="27" t="n"/>
      <c r="U329" s="28" t="inlineStr">
        <is>
          <t>No</t>
        </is>
      </c>
      <c r="V329" s="29">
        <f>IF(N329="","",IF(Q329="Yes","❌ Disc",IF(P329="No","⚠ Missing",IF(S329="Yes","✓ OK","⚠ Check"))))</f>
        <v/>
      </c>
      <c r="W329" s="65" t="n">
        <v>46248</v>
      </c>
      <c r="X329" s="30" t="inlineStr">
        <is>
          <t>Sunil CR</t>
        </is>
      </c>
      <c r="Y329" s="30" t="inlineStr">
        <is>
          <t>Yes</t>
        </is>
      </c>
      <c r="Z329" s="30" t="n"/>
      <c r="AA329" s="30" t="inlineStr">
        <is>
          <t>Good finish</t>
        </is>
      </c>
      <c r="AB329" s="30" t="inlineStr">
        <is>
          <t>Yes</t>
        </is>
      </c>
      <c r="AC329" s="27" t="n"/>
      <c r="AD329" s="31" t="inlineStr">
        <is>
          <t>No</t>
        </is>
      </c>
      <c r="AE329" s="32">
        <f>IF(W329="","",IF(Z329="Yes","❌ Disc",IF(Y329="No","⚠ Missing",IF(AB329="Yes","✓ OK","⚠ Check"))))</f>
        <v/>
      </c>
      <c r="AF329" s="33" t="n"/>
      <c r="AG329" s="33" t="n"/>
      <c r="AH329" s="33" t="n"/>
      <c r="AI329" s="33" t="n"/>
      <c r="AJ329" s="33" t="n"/>
      <c r="AK329" s="33" t="n"/>
      <c r="AL329" s="27" t="n"/>
      <c r="AM329" s="34" t="n"/>
      <c r="AN329" s="35">
        <f>IF(AF329="","",IF(AI329="Yes","❌ Disc",IF(AH329="No","⚠ Missing",IF(AK329="Yes","✓ OK","⚠ Check"))))</f>
        <v/>
      </c>
      <c r="AO329" s="36" t="n"/>
      <c r="AP329" s="36" t="n"/>
      <c r="AQ329" s="36" t="n"/>
      <c r="AR329" s="36" t="n"/>
      <c r="AS329" s="36" t="n"/>
      <c r="AT329" s="36" t="n"/>
      <c r="AU329" s="27" t="n"/>
      <c r="AV329" s="37" t="n"/>
      <c r="AW329" s="38">
        <f>IF(AO329="","",IF(AR329="Yes","❌ Disc",IF(AQ329="No","⚠ Missing",IF(AT329="Yes","✓ OK","⚠ Check"))))</f>
        <v/>
      </c>
    </row>
    <row r="330" ht="18" customHeight="1" s="46">
      <c r="A330" s="39" t="n">
        <v>326</v>
      </c>
      <c r="B330" s="40" t="inlineStr">
        <is>
          <t>BD-VRM-2026-0035</t>
        </is>
      </c>
      <c r="C330" s="41" t="inlineStr">
        <is>
          <t>Excel - Lohas Wallpaper 87458-2</t>
        </is>
      </c>
      <c r="D330" s="39" t="inlineStr">
        <is>
          <t>Excel</t>
        </is>
      </c>
      <c r="E330" s="43" t="n">
        <v>46125</v>
      </c>
      <c r="F330" s="26" t="inlineStr">
        <is>
          <t>Sunil CR</t>
        </is>
      </c>
      <c r="G330" s="26" t="inlineStr">
        <is>
          <t>Yes</t>
        </is>
      </c>
      <c r="H330" s="26" t="inlineStr">
        <is>
          <t>No</t>
        </is>
      </c>
      <c r="I330" s="26" t="inlineStr">
        <is>
          <t>Good finish</t>
        </is>
      </c>
      <c r="J330" s="26" t="inlineStr">
        <is>
          <t>Yes</t>
        </is>
      </c>
      <c r="K330" s="27" t="n"/>
      <c r="L330" s="28" t="inlineStr">
        <is>
          <t>No</t>
        </is>
      </c>
      <c r="M330" s="29">
        <f>IF(E330="","",IF(H330="Yes","❌ Disc",IF(G330="No","⚠ Missing",IF(J330="Yes","✓ OK","⚠ Check"))))</f>
        <v/>
      </c>
      <c r="N330" s="43" t="n">
        <v>46193</v>
      </c>
      <c r="O330" s="26" t="inlineStr">
        <is>
          <t>Sunil CR</t>
        </is>
      </c>
      <c r="P330" s="26" t="inlineStr">
        <is>
          <t>Yes</t>
        </is>
      </c>
      <c r="Q330" s="26" t="inlineStr">
        <is>
          <t>No</t>
        </is>
      </c>
      <c r="R330" s="26" t="inlineStr">
        <is>
          <t>Good finish</t>
        </is>
      </c>
      <c r="S330" s="26" t="inlineStr">
        <is>
          <t>Yes</t>
        </is>
      </c>
      <c r="T330" s="27" t="n"/>
      <c r="U330" s="28" t="inlineStr">
        <is>
          <t>No</t>
        </is>
      </c>
      <c r="V330" s="29">
        <f>IF(N330="","",IF(Q330="Yes","❌ Disc",IF(P330="No","⚠ Missing",IF(S330="Yes","✓ OK","⚠ Check"))))</f>
        <v/>
      </c>
      <c r="W330" s="65" t="n">
        <v>46248</v>
      </c>
      <c r="X330" s="30" t="inlineStr">
        <is>
          <t>Sunil CR</t>
        </is>
      </c>
      <c r="Y330" s="30" t="inlineStr">
        <is>
          <t>Yes</t>
        </is>
      </c>
      <c r="Z330" s="30" t="n"/>
      <c r="AA330" s="30" t="inlineStr">
        <is>
          <t>Good finish</t>
        </is>
      </c>
      <c r="AB330" s="30" t="inlineStr">
        <is>
          <t>Yes</t>
        </is>
      </c>
      <c r="AC330" s="27" t="n"/>
      <c r="AD330" s="31" t="inlineStr">
        <is>
          <t>No</t>
        </is>
      </c>
      <c r="AE330" s="32">
        <f>IF(W330="","",IF(Z330="Yes","❌ Disc",IF(Y330="No","⚠ Missing",IF(AB330="Yes","✓ OK","⚠ Check"))))</f>
        <v/>
      </c>
      <c r="AF330" s="33" t="n"/>
      <c r="AG330" s="33" t="n"/>
      <c r="AH330" s="33" t="n"/>
      <c r="AI330" s="33" t="n"/>
      <c r="AJ330" s="33" t="n"/>
      <c r="AK330" s="33" t="n"/>
      <c r="AL330" s="27" t="n"/>
      <c r="AM330" s="34" t="n"/>
      <c r="AN330" s="35">
        <f>IF(AF330="","",IF(AI330="Yes","❌ Disc",IF(AH330="No","⚠ Missing",IF(AK330="Yes","✓ OK","⚠ Check"))))</f>
        <v/>
      </c>
      <c r="AO330" s="36" t="n"/>
      <c r="AP330" s="36" t="n"/>
      <c r="AQ330" s="36" t="n"/>
      <c r="AR330" s="36" t="n"/>
      <c r="AS330" s="36" t="n"/>
      <c r="AT330" s="36" t="n"/>
      <c r="AU330" s="27" t="n"/>
      <c r="AV330" s="37" t="n"/>
      <c r="AW330" s="38">
        <f>IF(AO330="","",IF(AR330="Yes","❌ Disc",IF(AQ330="No","⚠ Missing",IF(AT330="Yes","✓ OK","⚠ Check"))))</f>
        <v/>
      </c>
    </row>
    <row r="331" ht="18" customHeight="1" s="46">
      <c r="A331" s="23" t="n">
        <v>327</v>
      </c>
      <c r="B331" s="24" t="inlineStr">
        <is>
          <t>BD-VRM-2026-0057</t>
        </is>
      </c>
      <c r="C331" s="25" t="inlineStr">
        <is>
          <t>Excel - Lohas Wallpaper 87459-1</t>
        </is>
      </c>
      <c r="D331" s="23" t="inlineStr">
        <is>
          <t>Excel</t>
        </is>
      </c>
      <c r="E331" s="43" t="n">
        <v>46125</v>
      </c>
      <c r="F331" s="26" t="inlineStr">
        <is>
          <t>Sunil CR</t>
        </is>
      </c>
      <c r="G331" s="26" t="inlineStr">
        <is>
          <t>Yes</t>
        </is>
      </c>
      <c r="H331" s="26" t="inlineStr">
        <is>
          <t>No</t>
        </is>
      </c>
      <c r="I331" s="26" t="inlineStr">
        <is>
          <t>Good finish</t>
        </is>
      </c>
      <c r="J331" s="26" t="inlineStr">
        <is>
          <t>Yes</t>
        </is>
      </c>
      <c r="K331" s="27" t="n"/>
      <c r="L331" s="28" t="inlineStr">
        <is>
          <t>No</t>
        </is>
      </c>
      <c r="M331" s="29">
        <f>IF(E331="","",IF(H331="Yes","❌ Disc",IF(G331="No","⚠ Missing",IF(J331="Yes","✓ OK","⚠ Check"))))</f>
        <v/>
      </c>
      <c r="N331" s="43" t="n">
        <v>46193</v>
      </c>
      <c r="O331" s="26" t="inlineStr">
        <is>
          <t>Sunil CR</t>
        </is>
      </c>
      <c r="P331" s="26" t="inlineStr">
        <is>
          <t>Yes</t>
        </is>
      </c>
      <c r="Q331" s="26" t="inlineStr">
        <is>
          <t>No</t>
        </is>
      </c>
      <c r="R331" s="26" t="inlineStr">
        <is>
          <t>Good finish</t>
        </is>
      </c>
      <c r="S331" s="26" t="inlineStr">
        <is>
          <t>Yes</t>
        </is>
      </c>
      <c r="T331" s="27" t="n"/>
      <c r="U331" s="28" t="inlineStr">
        <is>
          <t>No</t>
        </is>
      </c>
      <c r="V331" s="29">
        <f>IF(N331="","",IF(Q331="Yes","❌ Disc",IF(P331="No","⚠ Missing",IF(S331="Yes","✓ OK","⚠ Check"))))</f>
        <v/>
      </c>
      <c r="W331" s="65" t="n">
        <v>46248</v>
      </c>
      <c r="X331" s="30" t="inlineStr">
        <is>
          <t>Sunil CR</t>
        </is>
      </c>
      <c r="Y331" s="30" t="inlineStr">
        <is>
          <t>Yes</t>
        </is>
      </c>
      <c r="Z331" s="30" t="n"/>
      <c r="AA331" s="30" t="inlineStr">
        <is>
          <t>Good finish</t>
        </is>
      </c>
      <c r="AB331" s="30" t="inlineStr">
        <is>
          <t>Yes</t>
        </is>
      </c>
      <c r="AC331" s="27" t="n"/>
      <c r="AD331" s="31" t="inlineStr">
        <is>
          <t>No</t>
        </is>
      </c>
      <c r="AE331" s="32">
        <f>IF(W331="","",IF(Z331="Yes","❌ Disc",IF(Y331="No","⚠ Missing",IF(AB331="Yes","✓ OK","⚠ Check"))))</f>
        <v/>
      </c>
      <c r="AF331" s="33" t="n"/>
      <c r="AG331" s="33" t="n"/>
      <c r="AH331" s="33" t="n"/>
      <c r="AI331" s="33" t="n"/>
      <c r="AJ331" s="33" t="n"/>
      <c r="AK331" s="33" t="n"/>
      <c r="AL331" s="27" t="n"/>
      <c r="AM331" s="34" t="n"/>
      <c r="AN331" s="35">
        <f>IF(AF331="","",IF(AI331="Yes","❌ Disc",IF(AH331="No","⚠ Missing",IF(AK331="Yes","✓ OK","⚠ Check"))))</f>
        <v/>
      </c>
      <c r="AO331" s="36" t="n"/>
      <c r="AP331" s="36" t="n"/>
      <c r="AQ331" s="36" t="n"/>
      <c r="AR331" s="36" t="n"/>
      <c r="AS331" s="36" t="n"/>
      <c r="AT331" s="36" t="n"/>
      <c r="AU331" s="27" t="n"/>
      <c r="AV331" s="37" t="n"/>
      <c r="AW331" s="38">
        <f>IF(AO331="","",IF(AR331="Yes","❌ Disc",IF(AQ331="No","⚠ Missing",IF(AT331="Yes","✓ OK","⚠ Check"))))</f>
        <v/>
      </c>
    </row>
    <row r="332" ht="18" customHeight="1" s="46">
      <c r="A332" s="39" t="n">
        <v>328</v>
      </c>
      <c r="B332" s="40" t="inlineStr">
        <is>
          <t>BD-VRM-2026-0058</t>
        </is>
      </c>
      <c r="C332" s="41" t="inlineStr">
        <is>
          <t>Excel - Lohas Wallpaper 87459-2</t>
        </is>
      </c>
      <c r="D332" s="39" t="inlineStr">
        <is>
          <t>Excel</t>
        </is>
      </c>
      <c r="E332" s="43" t="n">
        <v>46125</v>
      </c>
      <c r="F332" s="26" t="inlineStr">
        <is>
          <t>Sunil CR</t>
        </is>
      </c>
      <c r="G332" s="26" t="inlineStr">
        <is>
          <t>Yes</t>
        </is>
      </c>
      <c r="H332" s="26" t="inlineStr">
        <is>
          <t>No</t>
        </is>
      </c>
      <c r="I332" s="26" t="inlineStr">
        <is>
          <t>Good finish</t>
        </is>
      </c>
      <c r="J332" s="26" t="inlineStr">
        <is>
          <t>Yes</t>
        </is>
      </c>
      <c r="K332" s="27" t="n"/>
      <c r="L332" s="28" t="inlineStr">
        <is>
          <t>No</t>
        </is>
      </c>
      <c r="M332" s="29">
        <f>IF(E332="","",IF(H332="Yes","❌ Disc",IF(G332="No","⚠ Missing",IF(J332="Yes","✓ OK","⚠ Check"))))</f>
        <v/>
      </c>
      <c r="N332" s="43" t="n">
        <v>46193</v>
      </c>
      <c r="O332" s="26" t="inlineStr">
        <is>
          <t>Sunil CR</t>
        </is>
      </c>
      <c r="P332" s="26" t="inlineStr">
        <is>
          <t>Yes</t>
        </is>
      </c>
      <c r="Q332" s="26" t="inlineStr">
        <is>
          <t>No</t>
        </is>
      </c>
      <c r="R332" s="26" t="inlineStr">
        <is>
          <t>Good finish</t>
        </is>
      </c>
      <c r="S332" s="26" t="inlineStr">
        <is>
          <t>Yes</t>
        </is>
      </c>
      <c r="T332" s="27" t="n"/>
      <c r="U332" s="28" t="inlineStr">
        <is>
          <t>No</t>
        </is>
      </c>
      <c r="V332" s="29">
        <f>IF(N332="","",IF(Q332="Yes","❌ Disc",IF(P332="No","⚠ Missing",IF(S332="Yes","✓ OK","⚠ Check"))))</f>
        <v/>
      </c>
      <c r="W332" s="65" t="n">
        <v>46248</v>
      </c>
      <c r="X332" s="30" t="inlineStr">
        <is>
          <t>Sunil CR</t>
        </is>
      </c>
      <c r="Y332" s="30" t="inlineStr">
        <is>
          <t>Yes</t>
        </is>
      </c>
      <c r="Z332" s="30" t="n"/>
      <c r="AA332" s="30" t="inlineStr">
        <is>
          <t>Good finish</t>
        </is>
      </c>
      <c r="AB332" s="30" t="inlineStr">
        <is>
          <t>Yes</t>
        </is>
      </c>
      <c r="AC332" s="27" t="n"/>
      <c r="AD332" s="31" t="inlineStr">
        <is>
          <t>No</t>
        </is>
      </c>
      <c r="AE332" s="32">
        <f>IF(W332="","",IF(Z332="Yes","❌ Disc",IF(Y332="No","⚠ Missing",IF(AB332="Yes","✓ OK","⚠ Check"))))</f>
        <v/>
      </c>
      <c r="AF332" s="33" t="n"/>
      <c r="AG332" s="33" t="n"/>
      <c r="AH332" s="33" t="n"/>
      <c r="AI332" s="33" t="n"/>
      <c r="AJ332" s="33" t="n"/>
      <c r="AK332" s="33" t="n"/>
      <c r="AL332" s="27" t="n"/>
      <c r="AM332" s="34" t="n"/>
      <c r="AN332" s="35">
        <f>IF(AF332="","",IF(AI332="Yes","❌ Disc",IF(AH332="No","⚠ Missing",IF(AK332="Yes","✓ OK","⚠ Check"))))</f>
        <v/>
      </c>
      <c r="AO332" s="36" t="n"/>
      <c r="AP332" s="36" t="n"/>
      <c r="AQ332" s="36" t="n"/>
      <c r="AR332" s="36" t="n"/>
      <c r="AS332" s="36" t="n"/>
      <c r="AT332" s="36" t="n"/>
      <c r="AU332" s="27" t="n"/>
      <c r="AV332" s="37" t="n"/>
      <c r="AW332" s="38">
        <f>IF(AO332="","",IF(AR332="Yes","❌ Disc",IF(AQ332="No","⚠ Missing",IF(AT332="Yes","✓ OK","⚠ Check"))))</f>
        <v/>
      </c>
    </row>
    <row r="333" ht="18" customHeight="1" s="46">
      <c r="A333" s="23" t="n">
        <v>329</v>
      </c>
      <c r="B333" s="24" t="inlineStr">
        <is>
          <t>BD-VRM-2026-0059</t>
        </is>
      </c>
      <c r="C333" s="25" t="inlineStr">
        <is>
          <t>Excel - Lohas Wallpaper 87459-3</t>
        </is>
      </c>
      <c r="D333" s="23" t="inlineStr">
        <is>
          <t>Excel</t>
        </is>
      </c>
      <c r="E333" s="43" t="n">
        <v>46125</v>
      </c>
      <c r="F333" s="26" t="inlineStr">
        <is>
          <t>Sunil CR</t>
        </is>
      </c>
      <c r="G333" s="26" t="inlineStr">
        <is>
          <t>Yes</t>
        </is>
      </c>
      <c r="H333" s="26" t="inlineStr">
        <is>
          <t>No</t>
        </is>
      </c>
      <c r="I333" s="26" t="inlineStr">
        <is>
          <t>Good finish</t>
        </is>
      </c>
      <c r="J333" s="26" t="inlineStr">
        <is>
          <t>Yes</t>
        </is>
      </c>
      <c r="K333" s="27" t="n"/>
      <c r="L333" s="28" t="inlineStr">
        <is>
          <t>No</t>
        </is>
      </c>
      <c r="M333" s="29">
        <f>IF(E333="","",IF(H333="Yes","❌ Disc",IF(G333="No","⚠ Missing",IF(J333="Yes","✓ OK","⚠ Check"))))</f>
        <v/>
      </c>
      <c r="N333" s="43" t="n">
        <v>46193</v>
      </c>
      <c r="O333" s="26" t="inlineStr">
        <is>
          <t>Sunil CR</t>
        </is>
      </c>
      <c r="P333" s="26" t="inlineStr">
        <is>
          <t>Yes</t>
        </is>
      </c>
      <c r="Q333" s="26" t="inlineStr">
        <is>
          <t>No</t>
        </is>
      </c>
      <c r="R333" s="26" t="inlineStr">
        <is>
          <t>Good finish</t>
        </is>
      </c>
      <c r="S333" s="26" t="inlineStr">
        <is>
          <t>Yes</t>
        </is>
      </c>
      <c r="T333" s="27" t="n"/>
      <c r="U333" s="28" t="inlineStr">
        <is>
          <t>No</t>
        </is>
      </c>
      <c r="V333" s="29">
        <f>IF(N333="","",IF(Q333="Yes","❌ Disc",IF(P333="No","⚠ Missing",IF(S333="Yes","✓ OK","⚠ Check"))))</f>
        <v/>
      </c>
      <c r="W333" s="65" t="n">
        <v>46248</v>
      </c>
      <c r="X333" s="30" t="inlineStr">
        <is>
          <t>Sunil CR</t>
        </is>
      </c>
      <c r="Y333" s="30" t="inlineStr">
        <is>
          <t>Yes</t>
        </is>
      </c>
      <c r="Z333" s="30" t="n"/>
      <c r="AA333" s="30" t="inlineStr">
        <is>
          <t>Good finish</t>
        </is>
      </c>
      <c r="AB333" s="30" t="inlineStr">
        <is>
          <t>Yes</t>
        </is>
      </c>
      <c r="AC333" s="27" t="n"/>
      <c r="AD333" s="31" t="inlineStr">
        <is>
          <t>No</t>
        </is>
      </c>
      <c r="AE333" s="32">
        <f>IF(W333="","",IF(Z333="Yes","❌ Disc",IF(Y333="No","⚠ Missing",IF(AB333="Yes","✓ OK","⚠ Check"))))</f>
        <v/>
      </c>
      <c r="AF333" s="33" t="n"/>
      <c r="AG333" s="33" t="n"/>
      <c r="AH333" s="33" t="n"/>
      <c r="AI333" s="33" t="n"/>
      <c r="AJ333" s="33" t="n"/>
      <c r="AK333" s="33" t="n"/>
      <c r="AL333" s="27" t="n"/>
      <c r="AM333" s="34" t="n"/>
      <c r="AN333" s="35">
        <f>IF(AF333="","",IF(AI333="Yes","❌ Disc",IF(AH333="No","⚠ Missing",IF(AK333="Yes","✓ OK","⚠ Check"))))</f>
        <v/>
      </c>
      <c r="AO333" s="36" t="n"/>
      <c r="AP333" s="36" t="n"/>
      <c r="AQ333" s="36" t="n"/>
      <c r="AR333" s="36" t="n"/>
      <c r="AS333" s="36" t="n"/>
      <c r="AT333" s="36" t="n"/>
      <c r="AU333" s="27" t="n"/>
      <c r="AV333" s="37" t="n"/>
      <c r="AW333" s="38">
        <f>IF(AO333="","",IF(AR333="Yes","❌ Disc",IF(AQ333="No","⚠ Missing",IF(AT333="Yes","✓ OK","⚠ Check"))))</f>
        <v/>
      </c>
    </row>
    <row r="334" ht="18" customHeight="1" s="46">
      <c r="A334" s="39" t="n">
        <v>330</v>
      </c>
      <c r="B334" s="40" t="inlineStr">
        <is>
          <t>BD-VRM-2026-0060</t>
        </is>
      </c>
      <c r="C334" s="41" t="inlineStr">
        <is>
          <t>Excel - Lohas Wallpaper 87459-4</t>
        </is>
      </c>
      <c r="D334" s="39" t="inlineStr">
        <is>
          <t>Excel</t>
        </is>
      </c>
      <c r="E334" s="43" t="n">
        <v>46125</v>
      </c>
      <c r="F334" s="26" t="inlineStr">
        <is>
          <t>Sunil CR</t>
        </is>
      </c>
      <c r="G334" s="26" t="inlineStr">
        <is>
          <t>Yes</t>
        </is>
      </c>
      <c r="H334" s="26" t="inlineStr">
        <is>
          <t>No</t>
        </is>
      </c>
      <c r="I334" s="26" t="inlineStr">
        <is>
          <t>Good finish</t>
        </is>
      </c>
      <c r="J334" s="26" t="inlineStr">
        <is>
          <t>Yes</t>
        </is>
      </c>
      <c r="K334" s="27" t="n"/>
      <c r="L334" s="28" t="inlineStr">
        <is>
          <t>No</t>
        </is>
      </c>
      <c r="M334" s="29">
        <f>IF(E334="","",IF(H334="Yes","❌ Disc",IF(G334="No","⚠ Missing",IF(J334="Yes","✓ OK","⚠ Check"))))</f>
        <v/>
      </c>
      <c r="N334" s="43" t="n">
        <v>46193</v>
      </c>
      <c r="O334" s="26" t="inlineStr">
        <is>
          <t>Sunil CR</t>
        </is>
      </c>
      <c r="P334" s="26" t="inlineStr">
        <is>
          <t>Yes</t>
        </is>
      </c>
      <c r="Q334" s="26" t="inlineStr">
        <is>
          <t>No</t>
        </is>
      </c>
      <c r="R334" s="26" t="inlineStr">
        <is>
          <t>Good finish</t>
        </is>
      </c>
      <c r="S334" s="26" t="inlineStr">
        <is>
          <t>Yes</t>
        </is>
      </c>
      <c r="T334" s="27" t="n"/>
      <c r="U334" s="28" t="inlineStr">
        <is>
          <t>No</t>
        </is>
      </c>
      <c r="V334" s="29">
        <f>IF(N334="","",IF(Q334="Yes","❌ Disc",IF(P334="No","⚠ Missing",IF(S334="Yes","✓ OK","⚠ Check"))))</f>
        <v/>
      </c>
      <c r="W334" s="65" t="n">
        <v>46248</v>
      </c>
      <c r="X334" s="30" t="inlineStr">
        <is>
          <t>Sunil CR</t>
        </is>
      </c>
      <c r="Y334" s="30" t="inlineStr">
        <is>
          <t>Yes</t>
        </is>
      </c>
      <c r="Z334" s="30" t="n"/>
      <c r="AA334" s="30" t="inlineStr">
        <is>
          <t>Good finish</t>
        </is>
      </c>
      <c r="AB334" s="30" t="inlineStr">
        <is>
          <t>Yes</t>
        </is>
      </c>
      <c r="AC334" s="27" t="n"/>
      <c r="AD334" s="31" t="inlineStr">
        <is>
          <t>No</t>
        </is>
      </c>
      <c r="AE334" s="32">
        <f>IF(W334="","",IF(Z334="Yes","❌ Disc",IF(Y334="No","⚠ Missing",IF(AB334="Yes","✓ OK","⚠ Check"))))</f>
        <v/>
      </c>
      <c r="AF334" s="33" t="n"/>
      <c r="AG334" s="33" t="n"/>
      <c r="AH334" s="33" t="n"/>
      <c r="AI334" s="33" t="n"/>
      <c r="AJ334" s="33" t="n"/>
      <c r="AK334" s="33" t="n"/>
      <c r="AL334" s="27" t="n"/>
      <c r="AM334" s="34" t="n"/>
      <c r="AN334" s="35">
        <f>IF(AF334="","",IF(AI334="Yes","❌ Disc",IF(AH334="No","⚠ Missing",IF(AK334="Yes","✓ OK","⚠ Check"))))</f>
        <v/>
      </c>
      <c r="AO334" s="36" t="n"/>
      <c r="AP334" s="36" t="n"/>
      <c r="AQ334" s="36" t="n"/>
      <c r="AR334" s="36" t="n"/>
      <c r="AS334" s="36" t="n"/>
      <c r="AT334" s="36" t="n"/>
      <c r="AU334" s="27" t="n"/>
      <c r="AV334" s="37" t="n"/>
      <c r="AW334" s="38">
        <f>IF(AO334="","",IF(AR334="Yes","❌ Disc",IF(AQ334="No","⚠ Missing",IF(AT334="Yes","✓ OK","⚠ Check"))))</f>
        <v/>
      </c>
    </row>
    <row r="335" ht="18" customHeight="1" s="46">
      <c r="A335" s="23" t="n">
        <v>331</v>
      </c>
      <c r="B335" s="24" t="inlineStr">
        <is>
          <t>BD-VRM-2026-0061</t>
        </is>
      </c>
      <c r="C335" s="25" t="inlineStr">
        <is>
          <t>Excel - Lohas Wallpaper 87459-5</t>
        </is>
      </c>
      <c r="D335" s="23" t="inlineStr">
        <is>
          <t>Excel</t>
        </is>
      </c>
      <c r="E335" s="43" t="n">
        <v>46125</v>
      </c>
      <c r="F335" s="26" t="inlineStr">
        <is>
          <t>Sunil CR</t>
        </is>
      </c>
      <c r="G335" s="26" t="inlineStr">
        <is>
          <t>Yes</t>
        </is>
      </c>
      <c r="H335" s="26" t="inlineStr">
        <is>
          <t>No</t>
        </is>
      </c>
      <c r="I335" s="26" t="inlineStr">
        <is>
          <t>Good finish</t>
        </is>
      </c>
      <c r="J335" s="26" t="inlineStr">
        <is>
          <t>Yes</t>
        </is>
      </c>
      <c r="K335" s="27" t="n"/>
      <c r="L335" s="28" t="inlineStr">
        <is>
          <t>No</t>
        </is>
      </c>
      <c r="M335" s="29">
        <f>IF(E335="","",IF(H335="Yes","❌ Disc",IF(G335="No","⚠ Missing",IF(J335="Yes","✓ OK","⚠ Check"))))</f>
        <v/>
      </c>
      <c r="N335" s="43" t="n">
        <v>46193</v>
      </c>
      <c r="O335" s="26" t="inlineStr">
        <is>
          <t>Sunil CR</t>
        </is>
      </c>
      <c r="P335" s="26" t="inlineStr">
        <is>
          <t>Yes</t>
        </is>
      </c>
      <c r="Q335" s="26" t="inlineStr">
        <is>
          <t>No</t>
        </is>
      </c>
      <c r="R335" s="26" t="inlineStr">
        <is>
          <t>Good finish</t>
        </is>
      </c>
      <c r="S335" s="26" t="inlineStr">
        <is>
          <t>Yes</t>
        </is>
      </c>
      <c r="T335" s="27" t="n"/>
      <c r="U335" s="28" t="inlineStr">
        <is>
          <t>No</t>
        </is>
      </c>
      <c r="V335" s="29">
        <f>IF(N335="","",IF(Q335="Yes","❌ Disc",IF(P335="No","⚠ Missing",IF(S335="Yes","✓ OK","⚠ Check"))))</f>
        <v/>
      </c>
      <c r="W335" s="65" t="n">
        <v>46248</v>
      </c>
      <c r="X335" s="30" t="inlineStr">
        <is>
          <t>Sunil CR</t>
        </is>
      </c>
      <c r="Y335" s="30" t="inlineStr">
        <is>
          <t>Yes</t>
        </is>
      </c>
      <c r="Z335" s="30" t="n"/>
      <c r="AA335" s="30" t="inlineStr">
        <is>
          <t>Good finish</t>
        </is>
      </c>
      <c r="AB335" s="30" t="inlineStr">
        <is>
          <t>Yes</t>
        </is>
      </c>
      <c r="AC335" s="27" t="n"/>
      <c r="AD335" s="31" t="inlineStr">
        <is>
          <t>No</t>
        </is>
      </c>
      <c r="AE335" s="32">
        <f>IF(W335="","",IF(Z335="Yes","❌ Disc",IF(Y335="No","⚠ Missing",IF(AB335="Yes","✓ OK","⚠ Check"))))</f>
        <v/>
      </c>
      <c r="AF335" s="33" t="n"/>
      <c r="AG335" s="33" t="n"/>
      <c r="AH335" s="33" t="n"/>
      <c r="AI335" s="33" t="n"/>
      <c r="AJ335" s="33" t="n"/>
      <c r="AK335" s="33" t="n"/>
      <c r="AL335" s="27" t="n"/>
      <c r="AM335" s="34" t="n"/>
      <c r="AN335" s="35">
        <f>IF(AF335="","",IF(AI335="Yes","❌ Disc",IF(AH335="No","⚠ Missing",IF(AK335="Yes","✓ OK","⚠ Check"))))</f>
        <v/>
      </c>
      <c r="AO335" s="36" t="n"/>
      <c r="AP335" s="36" t="n"/>
      <c r="AQ335" s="36" t="n"/>
      <c r="AR335" s="36" t="n"/>
      <c r="AS335" s="36" t="n"/>
      <c r="AT335" s="36" t="n"/>
      <c r="AU335" s="27" t="n"/>
      <c r="AV335" s="37" t="n"/>
      <c r="AW335" s="38">
        <f>IF(AO335="","",IF(AR335="Yes","❌ Disc",IF(AQ335="No","⚠ Missing",IF(AT335="Yes","✓ OK","⚠ Check"))))</f>
        <v/>
      </c>
    </row>
    <row r="336" ht="18" customHeight="1" s="46">
      <c r="A336" s="39" t="n">
        <v>332</v>
      </c>
      <c r="B336" s="40" t="inlineStr">
        <is>
          <t>BD-VRM-2026-0062</t>
        </is>
      </c>
      <c r="C336" s="41" t="inlineStr">
        <is>
          <t>Excel - Lohas Wallpaper 87459-6</t>
        </is>
      </c>
      <c r="D336" s="39" t="inlineStr">
        <is>
          <t>Excel</t>
        </is>
      </c>
      <c r="E336" s="43" t="n">
        <v>46125</v>
      </c>
      <c r="F336" s="26" t="inlineStr">
        <is>
          <t>Sunil CR</t>
        </is>
      </c>
      <c r="G336" s="26" t="inlineStr">
        <is>
          <t>Yes</t>
        </is>
      </c>
      <c r="H336" s="26" t="inlineStr">
        <is>
          <t>No</t>
        </is>
      </c>
      <c r="I336" s="26" t="inlineStr">
        <is>
          <t>Good finish</t>
        </is>
      </c>
      <c r="J336" s="26" t="inlineStr">
        <is>
          <t>Yes</t>
        </is>
      </c>
      <c r="K336" s="27" t="n"/>
      <c r="L336" s="28" t="inlineStr">
        <is>
          <t>No</t>
        </is>
      </c>
      <c r="M336" s="29">
        <f>IF(E336="","",IF(H336="Yes","❌ Disc",IF(G336="No","⚠ Missing",IF(J336="Yes","✓ OK","⚠ Check"))))</f>
        <v/>
      </c>
      <c r="N336" s="43" t="n">
        <v>46193</v>
      </c>
      <c r="O336" s="26" t="inlineStr">
        <is>
          <t>Sunil CR</t>
        </is>
      </c>
      <c r="P336" s="26" t="inlineStr">
        <is>
          <t>Yes</t>
        </is>
      </c>
      <c r="Q336" s="26" t="inlineStr">
        <is>
          <t>No</t>
        </is>
      </c>
      <c r="R336" s="26" t="inlineStr">
        <is>
          <t>Good finish</t>
        </is>
      </c>
      <c r="S336" s="26" t="inlineStr">
        <is>
          <t>Yes</t>
        </is>
      </c>
      <c r="T336" s="27" t="n"/>
      <c r="U336" s="28" t="inlineStr">
        <is>
          <t>No</t>
        </is>
      </c>
      <c r="V336" s="29">
        <f>IF(N336="","",IF(Q336="Yes","❌ Disc",IF(P336="No","⚠ Missing",IF(S336="Yes","✓ OK","⚠ Check"))))</f>
        <v/>
      </c>
      <c r="W336" s="65" t="n">
        <v>46248</v>
      </c>
      <c r="X336" s="30" t="inlineStr">
        <is>
          <t>Sunil CR</t>
        </is>
      </c>
      <c r="Y336" s="30" t="inlineStr">
        <is>
          <t>Yes</t>
        </is>
      </c>
      <c r="Z336" s="30" t="n"/>
      <c r="AA336" s="30" t="inlineStr">
        <is>
          <t>Good finish</t>
        </is>
      </c>
      <c r="AB336" s="30" t="inlineStr">
        <is>
          <t>Yes</t>
        </is>
      </c>
      <c r="AC336" s="27" t="n"/>
      <c r="AD336" s="31" t="inlineStr">
        <is>
          <t>No</t>
        </is>
      </c>
      <c r="AE336" s="32">
        <f>IF(W336="","",IF(Z336="Yes","❌ Disc",IF(Y336="No","⚠ Missing",IF(AB336="Yes","✓ OK","⚠ Check"))))</f>
        <v/>
      </c>
      <c r="AF336" s="33" t="n"/>
      <c r="AG336" s="33" t="n"/>
      <c r="AH336" s="33" t="n"/>
      <c r="AI336" s="33" t="n"/>
      <c r="AJ336" s="33" t="n"/>
      <c r="AK336" s="33" t="n"/>
      <c r="AL336" s="27" t="n"/>
      <c r="AM336" s="34" t="n"/>
      <c r="AN336" s="35">
        <f>IF(AF336="","",IF(AI336="Yes","❌ Disc",IF(AH336="No","⚠ Missing",IF(AK336="Yes","✓ OK","⚠ Check"))))</f>
        <v/>
      </c>
      <c r="AO336" s="36" t="n"/>
      <c r="AP336" s="36" t="n"/>
      <c r="AQ336" s="36" t="n"/>
      <c r="AR336" s="36" t="n"/>
      <c r="AS336" s="36" t="n"/>
      <c r="AT336" s="36" t="n"/>
      <c r="AU336" s="27" t="n"/>
      <c r="AV336" s="37" t="n"/>
      <c r="AW336" s="38">
        <f>IF(AO336="","",IF(AR336="Yes","❌ Disc",IF(AQ336="No","⚠ Missing",IF(AT336="Yes","✓ OK","⚠ Check"))))</f>
        <v/>
      </c>
    </row>
    <row r="337" ht="18" customHeight="1" s="46">
      <c r="A337" s="23" t="n">
        <v>333</v>
      </c>
      <c r="B337" s="24" t="inlineStr">
        <is>
          <t>BD-VRM-2026-0071</t>
        </is>
      </c>
      <c r="C337" s="25" t="inlineStr">
        <is>
          <t>Excel - Lohas Wallpaper 87460-1</t>
        </is>
      </c>
      <c r="D337" s="23" t="inlineStr">
        <is>
          <t>Excel</t>
        </is>
      </c>
      <c r="E337" s="43" t="n">
        <v>46125</v>
      </c>
      <c r="F337" s="26" t="inlineStr">
        <is>
          <t>Sunil CR</t>
        </is>
      </c>
      <c r="G337" s="26" t="inlineStr">
        <is>
          <t>Yes</t>
        </is>
      </c>
      <c r="H337" s="26" t="inlineStr">
        <is>
          <t>No</t>
        </is>
      </c>
      <c r="I337" s="26" t="inlineStr">
        <is>
          <t>Good finish</t>
        </is>
      </c>
      <c r="J337" s="26" t="inlineStr">
        <is>
          <t>Yes</t>
        </is>
      </c>
      <c r="K337" s="27" t="n"/>
      <c r="L337" s="28" t="inlineStr">
        <is>
          <t>No</t>
        </is>
      </c>
      <c r="M337" s="29">
        <f>IF(E337="","",IF(H337="Yes","❌ Disc",IF(G337="No","⚠ Missing",IF(J337="Yes","✓ OK","⚠ Check"))))</f>
        <v/>
      </c>
      <c r="N337" s="43" t="n">
        <v>46193</v>
      </c>
      <c r="O337" s="26" t="inlineStr">
        <is>
          <t>Sunil CR</t>
        </is>
      </c>
      <c r="P337" s="26" t="inlineStr">
        <is>
          <t>Yes</t>
        </is>
      </c>
      <c r="Q337" s="26" t="inlineStr">
        <is>
          <t>No</t>
        </is>
      </c>
      <c r="R337" s="26" t="inlineStr">
        <is>
          <t>Good finish</t>
        </is>
      </c>
      <c r="S337" s="26" t="inlineStr">
        <is>
          <t>Yes</t>
        </is>
      </c>
      <c r="T337" s="27" t="n"/>
      <c r="U337" s="28" t="inlineStr">
        <is>
          <t>No</t>
        </is>
      </c>
      <c r="V337" s="29">
        <f>IF(N337="","",IF(Q337="Yes","❌ Disc",IF(P337="No","⚠ Missing",IF(S337="Yes","✓ OK","⚠ Check"))))</f>
        <v/>
      </c>
      <c r="W337" s="65" t="n">
        <v>46248</v>
      </c>
      <c r="X337" s="30" t="inlineStr">
        <is>
          <t>Sunil CR</t>
        </is>
      </c>
      <c r="Y337" s="30" t="inlineStr">
        <is>
          <t>Yes</t>
        </is>
      </c>
      <c r="Z337" s="30" t="n"/>
      <c r="AA337" s="30" t="inlineStr">
        <is>
          <t>Good finish</t>
        </is>
      </c>
      <c r="AB337" s="30" t="inlineStr">
        <is>
          <t>Yes</t>
        </is>
      </c>
      <c r="AC337" s="27" t="n"/>
      <c r="AD337" s="31" t="inlineStr">
        <is>
          <t>No</t>
        </is>
      </c>
      <c r="AE337" s="32">
        <f>IF(W337="","",IF(Z337="Yes","❌ Disc",IF(Y337="No","⚠ Missing",IF(AB337="Yes","✓ OK","⚠ Check"))))</f>
        <v/>
      </c>
      <c r="AF337" s="33" t="n"/>
      <c r="AG337" s="33" t="n"/>
      <c r="AH337" s="33" t="n"/>
      <c r="AI337" s="33" t="n"/>
      <c r="AJ337" s="33" t="n"/>
      <c r="AK337" s="33" t="n"/>
      <c r="AL337" s="27" t="n"/>
      <c r="AM337" s="34" t="n"/>
      <c r="AN337" s="35">
        <f>IF(AF337="","",IF(AI337="Yes","❌ Disc",IF(AH337="No","⚠ Missing",IF(AK337="Yes","✓ OK","⚠ Check"))))</f>
        <v/>
      </c>
      <c r="AO337" s="36" t="n"/>
      <c r="AP337" s="36" t="n"/>
      <c r="AQ337" s="36" t="n"/>
      <c r="AR337" s="36" t="n"/>
      <c r="AS337" s="36" t="n"/>
      <c r="AT337" s="36" t="n"/>
      <c r="AU337" s="27" t="n"/>
      <c r="AV337" s="37" t="n"/>
      <c r="AW337" s="38">
        <f>IF(AO337="","",IF(AR337="Yes","❌ Disc",IF(AQ337="No","⚠ Missing",IF(AT337="Yes","✓ OK","⚠ Check"))))</f>
        <v/>
      </c>
    </row>
    <row r="338" ht="18" customHeight="1" s="46">
      <c r="A338" s="39" t="n">
        <v>334</v>
      </c>
      <c r="B338" s="40" t="inlineStr">
        <is>
          <t>BD-VRM-2026-0072</t>
        </is>
      </c>
      <c r="C338" s="41" t="inlineStr">
        <is>
          <t>Excel - Lohas Wallpaper 87460-2</t>
        </is>
      </c>
      <c r="D338" s="39" t="inlineStr">
        <is>
          <t>Excel</t>
        </is>
      </c>
      <c r="E338" s="43" t="n">
        <v>46125</v>
      </c>
      <c r="F338" s="26" t="inlineStr">
        <is>
          <t>Sunil CR</t>
        </is>
      </c>
      <c r="G338" s="26" t="inlineStr">
        <is>
          <t>Yes</t>
        </is>
      </c>
      <c r="H338" s="26" t="inlineStr">
        <is>
          <t>No</t>
        </is>
      </c>
      <c r="I338" s="26" t="inlineStr">
        <is>
          <t>Good finish</t>
        </is>
      </c>
      <c r="J338" s="26" t="inlineStr">
        <is>
          <t>Yes</t>
        </is>
      </c>
      <c r="K338" s="27" t="n"/>
      <c r="L338" s="28" t="inlineStr">
        <is>
          <t>No</t>
        </is>
      </c>
      <c r="M338" s="29">
        <f>IF(E338="","",IF(H338="Yes","❌ Disc",IF(G338="No","⚠ Missing",IF(J338="Yes","✓ OK","⚠ Check"))))</f>
        <v/>
      </c>
      <c r="N338" s="43" t="n">
        <v>46193</v>
      </c>
      <c r="O338" s="26" t="inlineStr">
        <is>
          <t>Sunil CR</t>
        </is>
      </c>
      <c r="P338" s="26" t="inlineStr">
        <is>
          <t>Yes</t>
        </is>
      </c>
      <c r="Q338" s="26" t="inlineStr">
        <is>
          <t>No</t>
        </is>
      </c>
      <c r="R338" s="26" t="inlineStr">
        <is>
          <t>Good finish</t>
        </is>
      </c>
      <c r="S338" s="26" t="inlineStr">
        <is>
          <t>Yes</t>
        </is>
      </c>
      <c r="T338" s="27" t="n"/>
      <c r="U338" s="28" t="inlineStr">
        <is>
          <t>No</t>
        </is>
      </c>
      <c r="V338" s="29">
        <f>IF(N338="","",IF(Q338="Yes","❌ Disc",IF(P338="No","⚠ Missing",IF(S338="Yes","✓ OK","⚠ Check"))))</f>
        <v/>
      </c>
      <c r="W338" s="65" t="n">
        <v>46248</v>
      </c>
      <c r="X338" s="30" t="inlineStr">
        <is>
          <t>Sunil CR</t>
        </is>
      </c>
      <c r="Y338" s="30" t="inlineStr">
        <is>
          <t>Yes</t>
        </is>
      </c>
      <c r="Z338" s="30" t="n"/>
      <c r="AA338" s="30" t="inlineStr">
        <is>
          <t>Good finish</t>
        </is>
      </c>
      <c r="AB338" s="30" t="inlineStr">
        <is>
          <t>Yes</t>
        </is>
      </c>
      <c r="AC338" s="27" t="n"/>
      <c r="AD338" s="31" t="inlineStr">
        <is>
          <t>No</t>
        </is>
      </c>
      <c r="AE338" s="32">
        <f>IF(W338="","",IF(Z338="Yes","❌ Disc",IF(Y338="No","⚠ Missing",IF(AB338="Yes","✓ OK","⚠ Check"))))</f>
        <v/>
      </c>
      <c r="AF338" s="33" t="n"/>
      <c r="AG338" s="33" t="n"/>
      <c r="AH338" s="33" t="n"/>
      <c r="AI338" s="33" t="n"/>
      <c r="AJ338" s="33" t="n"/>
      <c r="AK338" s="33" t="n"/>
      <c r="AL338" s="27" t="n"/>
      <c r="AM338" s="34" t="n"/>
      <c r="AN338" s="35">
        <f>IF(AF338="","",IF(AI338="Yes","❌ Disc",IF(AH338="No","⚠ Missing",IF(AK338="Yes","✓ OK","⚠ Check"))))</f>
        <v/>
      </c>
      <c r="AO338" s="36" t="n"/>
      <c r="AP338" s="36" t="n"/>
      <c r="AQ338" s="36" t="n"/>
      <c r="AR338" s="36" t="n"/>
      <c r="AS338" s="36" t="n"/>
      <c r="AT338" s="36" t="n"/>
      <c r="AU338" s="27" t="n"/>
      <c r="AV338" s="37" t="n"/>
      <c r="AW338" s="38">
        <f>IF(AO338="","",IF(AR338="Yes","❌ Disc",IF(AQ338="No","⚠ Missing",IF(AT338="Yes","✓ OK","⚠ Check"))))</f>
        <v/>
      </c>
    </row>
    <row r="339" ht="18" customHeight="1" s="46">
      <c r="A339" s="23" t="n">
        <v>335</v>
      </c>
      <c r="B339" s="24" t="inlineStr">
        <is>
          <t>BD-VRM-2026-0073</t>
        </is>
      </c>
      <c r="C339" s="25" t="inlineStr">
        <is>
          <t>Excel - Lohas Wallpaper 87460-3</t>
        </is>
      </c>
      <c r="D339" s="23" t="inlineStr">
        <is>
          <t>Excel</t>
        </is>
      </c>
      <c r="E339" s="43" t="n">
        <v>46125</v>
      </c>
      <c r="F339" s="26" t="inlineStr">
        <is>
          <t>Sunil CR</t>
        </is>
      </c>
      <c r="G339" s="26" t="inlineStr">
        <is>
          <t>Yes</t>
        </is>
      </c>
      <c r="H339" s="26" t="inlineStr">
        <is>
          <t>No</t>
        </is>
      </c>
      <c r="I339" s="26" t="inlineStr">
        <is>
          <t>Good finish</t>
        </is>
      </c>
      <c r="J339" s="26" t="inlineStr">
        <is>
          <t>Yes</t>
        </is>
      </c>
      <c r="K339" s="27" t="n"/>
      <c r="L339" s="28" t="inlineStr">
        <is>
          <t>No</t>
        </is>
      </c>
      <c r="M339" s="29">
        <f>IF(E339="","",IF(H339="Yes","❌ Disc",IF(G339="No","⚠ Missing",IF(J339="Yes","✓ OK","⚠ Check"))))</f>
        <v/>
      </c>
      <c r="N339" s="43" t="n">
        <v>46193</v>
      </c>
      <c r="O339" s="26" t="inlineStr">
        <is>
          <t>Sunil CR</t>
        </is>
      </c>
      <c r="P339" s="26" t="inlineStr">
        <is>
          <t>Yes</t>
        </is>
      </c>
      <c r="Q339" s="26" t="inlineStr">
        <is>
          <t>No</t>
        </is>
      </c>
      <c r="R339" s="26" t="inlineStr">
        <is>
          <t>Good finish</t>
        </is>
      </c>
      <c r="S339" s="26" t="inlineStr">
        <is>
          <t>Yes</t>
        </is>
      </c>
      <c r="T339" s="27" t="n"/>
      <c r="U339" s="28" t="inlineStr">
        <is>
          <t>No</t>
        </is>
      </c>
      <c r="V339" s="29">
        <f>IF(N339="","",IF(Q339="Yes","❌ Disc",IF(P339="No","⚠ Missing",IF(S339="Yes","✓ OK","⚠ Check"))))</f>
        <v/>
      </c>
      <c r="W339" s="65" t="n">
        <v>46248</v>
      </c>
      <c r="X339" s="30" t="inlineStr">
        <is>
          <t>Sunil CR</t>
        </is>
      </c>
      <c r="Y339" s="30" t="inlineStr">
        <is>
          <t>Yes</t>
        </is>
      </c>
      <c r="Z339" s="30" t="n"/>
      <c r="AA339" s="30" t="inlineStr">
        <is>
          <t>Good finish</t>
        </is>
      </c>
      <c r="AB339" s="30" t="inlineStr">
        <is>
          <t>Yes</t>
        </is>
      </c>
      <c r="AC339" s="27" t="n"/>
      <c r="AD339" s="31" t="inlineStr">
        <is>
          <t>No</t>
        </is>
      </c>
      <c r="AE339" s="32">
        <f>IF(W339="","",IF(Z339="Yes","❌ Disc",IF(Y339="No","⚠ Missing",IF(AB339="Yes","✓ OK","⚠ Check"))))</f>
        <v/>
      </c>
      <c r="AF339" s="33" t="n"/>
      <c r="AG339" s="33" t="n"/>
      <c r="AH339" s="33" t="n"/>
      <c r="AI339" s="33" t="n"/>
      <c r="AJ339" s="33" t="n"/>
      <c r="AK339" s="33" t="n"/>
      <c r="AL339" s="27" t="n"/>
      <c r="AM339" s="34" t="n"/>
      <c r="AN339" s="35">
        <f>IF(AF339="","",IF(AI339="Yes","❌ Disc",IF(AH339="No","⚠ Missing",IF(AK339="Yes","✓ OK","⚠ Check"))))</f>
        <v/>
      </c>
      <c r="AO339" s="36" t="n"/>
      <c r="AP339" s="36" t="n"/>
      <c r="AQ339" s="36" t="n"/>
      <c r="AR339" s="36" t="n"/>
      <c r="AS339" s="36" t="n"/>
      <c r="AT339" s="36" t="n"/>
      <c r="AU339" s="27" t="n"/>
      <c r="AV339" s="37" t="n"/>
      <c r="AW339" s="38">
        <f>IF(AO339="","",IF(AR339="Yes","❌ Disc",IF(AQ339="No","⚠ Missing",IF(AT339="Yes","✓ OK","⚠ Check"))))</f>
        <v/>
      </c>
    </row>
    <row r="340" ht="18" customHeight="1" s="46">
      <c r="A340" s="39" t="n">
        <v>336</v>
      </c>
      <c r="B340" s="40" t="inlineStr">
        <is>
          <t>BD-VRM-2026-0074</t>
        </is>
      </c>
      <c r="C340" s="41" t="inlineStr">
        <is>
          <t>Excel - Lohas Wallpaper 87460-4</t>
        </is>
      </c>
      <c r="D340" s="39" t="inlineStr">
        <is>
          <t>Excel</t>
        </is>
      </c>
      <c r="E340" s="43" t="n">
        <v>46125</v>
      </c>
      <c r="F340" s="26" t="inlineStr">
        <is>
          <t>Sunil CR</t>
        </is>
      </c>
      <c r="G340" s="26" t="inlineStr">
        <is>
          <t>Yes</t>
        </is>
      </c>
      <c r="H340" s="26" t="inlineStr">
        <is>
          <t>No</t>
        </is>
      </c>
      <c r="I340" s="26" t="inlineStr">
        <is>
          <t>Good finish</t>
        </is>
      </c>
      <c r="J340" s="26" t="inlineStr">
        <is>
          <t>Yes</t>
        </is>
      </c>
      <c r="K340" s="27" t="n"/>
      <c r="L340" s="28" t="inlineStr">
        <is>
          <t>No</t>
        </is>
      </c>
      <c r="M340" s="29">
        <f>IF(E340="","",IF(H340="Yes","❌ Disc",IF(G340="No","⚠ Missing",IF(J340="Yes","✓ OK","⚠ Check"))))</f>
        <v/>
      </c>
      <c r="N340" s="43" t="n">
        <v>46193</v>
      </c>
      <c r="O340" s="26" t="inlineStr">
        <is>
          <t>Sunil CR</t>
        </is>
      </c>
      <c r="P340" s="26" t="inlineStr">
        <is>
          <t>Yes</t>
        </is>
      </c>
      <c r="Q340" s="26" t="inlineStr">
        <is>
          <t>No</t>
        </is>
      </c>
      <c r="R340" s="26" t="inlineStr">
        <is>
          <t>Good finish</t>
        </is>
      </c>
      <c r="S340" s="26" t="inlineStr">
        <is>
          <t>Yes</t>
        </is>
      </c>
      <c r="T340" s="27" t="n"/>
      <c r="U340" s="28" t="inlineStr">
        <is>
          <t>No</t>
        </is>
      </c>
      <c r="V340" s="29">
        <f>IF(N340="","",IF(Q340="Yes","❌ Disc",IF(P340="No","⚠ Missing",IF(S340="Yes","✓ OK","⚠ Check"))))</f>
        <v/>
      </c>
      <c r="W340" s="65" t="n">
        <v>46248</v>
      </c>
      <c r="X340" s="30" t="inlineStr">
        <is>
          <t>Sunil CR</t>
        </is>
      </c>
      <c r="Y340" s="30" t="inlineStr">
        <is>
          <t>Yes</t>
        </is>
      </c>
      <c r="Z340" s="30" t="n"/>
      <c r="AA340" s="30" t="inlineStr">
        <is>
          <t>Good finish</t>
        </is>
      </c>
      <c r="AB340" s="30" t="inlineStr">
        <is>
          <t>Yes</t>
        </is>
      </c>
      <c r="AC340" s="27" t="n"/>
      <c r="AD340" s="31" t="inlineStr">
        <is>
          <t>No</t>
        </is>
      </c>
      <c r="AE340" s="32">
        <f>IF(W340="","",IF(Z340="Yes","❌ Disc",IF(Y340="No","⚠ Missing",IF(AB340="Yes","✓ OK","⚠ Check"))))</f>
        <v/>
      </c>
      <c r="AF340" s="33" t="n"/>
      <c r="AG340" s="33" t="n"/>
      <c r="AH340" s="33" t="n"/>
      <c r="AI340" s="33" t="n"/>
      <c r="AJ340" s="33" t="n"/>
      <c r="AK340" s="33" t="n"/>
      <c r="AL340" s="27" t="n"/>
      <c r="AM340" s="34" t="n"/>
      <c r="AN340" s="35">
        <f>IF(AF340="","",IF(AI340="Yes","❌ Disc",IF(AH340="No","⚠ Missing",IF(AK340="Yes","✓ OK","⚠ Check"))))</f>
        <v/>
      </c>
      <c r="AO340" s="36" t="n"/>
      <c r="AP340" s="36" t="n"/>
      <c r="AQ340" s="36" t="n"/>
      <c r="AR340" s="36" t="n"/>
      <c r="AS340" s="36" t="n"/>
      <c r="AT340" s="36" t="n"/>
      <c r="AU340" s="27" t="n"/>
      <c r="AV340" s="37" t="n"/>
      <c r="AW340" s="38">
        <f>IF(AO340="","",IF(AR340="Yes","❌ Disc",IF(AQ340="No","⚠ Missing",IF(AT340="Yes","✓ OK","⚠ Check"))))</f>
        <v/>
      </c>
    </row>
    <row r="341" ht="18" customHeight="1" s="46">
      <c r="A341" s="23" t="n">
        <v>337</v>
      </c>
      <c r="B341" s="24" t="inlineStr">
        <is>
          <t>BD-VRM-2026-0075</t>
        </is>
      </c>
      <c r="C341" s="25" t="inlineStr">
        <is>
          <t>Excel - Lohas Wallpaper 87460-5</t>
        </is>
      </c>
      <c r="D341" s="23" t="inlineStr">
        <is>
          <t>Excel</t>
        </is>
      </c>
      <c r="E341" s="43" t="n">
        <v>46125</v>
      </c>
      <c r="F341" s="26" t="inlineStr">
        <is>
          <t>Sunil CR</t>
        </is>
      </c>
      <c r="G341" s="26" t="inlineStr">
        <is>
          <t>Yes</t>
        </is>
      </c>
      <c r="H341" s="26" t="inlineStr">
        <is>
          <t>No</t>
        </is>
      </c>
      <c r="I341" s="26" t="inlineStr">
        <is>
          <t>Good finish</t>
        </is>
      </c>
      <c r="J341" s="26" t="inlineStr">
        <is>
          <t>Yes</t>
        </is>
      </c>
      <c r="K341" s="27" t="n"/>
      <c r="L341" s="28" t="inlineStr">
        <is>
          <t>No</t>
        </is>
      </c>
      <c r="M341" s="29">
        <f>IF(E341="","",IF(H341="Yes","❌ Disc",IF(G341="No","⚠ Missing",IF(J341="Yes","✓ OK","⚠ Check"))))</f>
        <v/>
      </c>
      <c r="N341" s="43" t="n">
        <v>46193</v>
      </c>
      <c r="O341" s="26" t="inlineStr">
        <is>
          <t>Sunil CR</t>
        </is>
      </c>
      <c r="P341" s="26" t="inlineStr">
        <is>
          <t>Yes</t>
        </is>
      </c>
      <c r="Q341" s="26" t="inlineStr">
        <is>
          <t>No</t>
        </is>
      </c>
      <c r="R341" s="26" t="inlineStr">
        <is>
          <t>Good finish</t>
        </is>
      </c>
      <c r="S341" s="26" t="inlineStr">
        <is>
          <t>Yes</t>
        </is>
      </c>
      <c r="T341" s="27" t="n"/>
      <c r="U341" s="28" t="inlineStr">
        <is>
          <t>No</t>
        </is>
      </c>
      <c r="V341" s="29">
        <f>IF(N341="","",IF(Q341="Yes","❌ Disc",IF(P341="No","⚠ Missing",IF(S341="Yes","✓ OK","⚠ Check"))))</f>
        <v/>
      </c>
      <c r="W341" s="65" t="n">
        <v>46248</v>
      </c>
      <c r="X341" s="30" t="inlineStr">
        <is>
          <t>Sunil CR</t>
        </is>
      </c>
      <c r="Y341" s="30" t="inlineStr">
        <is>
          <t>Yes</t>
        </is>
      </c>
      <c r="Z341" s="30" t="n"/>
      <c r="AA341" s="30" t="inlineStr">
        <is>
          <t>Good finish</t>
        </is>
      </c>
      <c r="AB341" s="30" t="inlineStr">
        <is>
          <t>Yes</t>
        </is>
      </c>
      <c r="AC341" s="27" t="n"/>
      <c r="AD341" s="31" t="inlineStr">
        <is>
          <t>No</t>
        </is>
      </c>
      <c r="AE341" s="32">
        <f>IF(W341="","",IF(Z341="Yes","❌ Disc",IF(Y341="No","⚠ Missing",IF(AB341="Yes","✓ OK","⚠ Check"))))</f>
        <v/>
      </c>
      <c r="AF341" s="33" t="n"/>
      <c r="AG341" s="33" t="n"/>
      <c r="AH341" s="33" t="n"/>
      <c r="AI341" s="33" t="n"/>
      <c r="AJ341" s="33" t="n"/>
      <c r="AK341" s="33" t="n"/>
      <c r="AL341" s="27" t="n"/>
      <c r="AM341" s="34" t="n"/>
      <c r="AN341" s="35">
        <f>IF(AF341="","",IF(AI341="Yes","❌ Disc",IF(AH341="No","⚠ Missing",IF(AK341="Yes","✓ OK","⚠ Check"))))</f>
        <v/>
      </c>
      <c r="AO341" s="36" t="n"/>
      <c r="AP341" s="36" t="n"/>
      <c r="AQ341" s="36" t="n"/>
      <c r="AR341" s="36" t="n"/>
      <c r="AS341" s="36" t="n"/>
      <c r="AT341" s="36" t="n"/>
      <c r="AU341" s="27" t="n"/>
      <c r="AV341" s="37" t="n"/>
      <c r="AW341" s="38">
        <f>IF(AO341="","",IF(AR341="Yes","❌ Disc",IF(AQ341="No","⚠ Missing",IF(AT341="Yes","✓ OK","⚠ Check"))))</f>
        <v/>
      </c>
    </row>
    <row r="342" ht="18" customHeight="1" s="46">
      <c r="A342" s="39" t="n">
        <v>338</v>
      </c>
      <c r="B342" s="40" t="inlineStr">
        <is>
          <t>BD-VRM-2026-0076</t>
        </is>
      </c>
      <c r="C342" s="41" t="inlineStr">
        <is>
          <t>Excel - Lohas Wallpaper 87460-6</t>
        </is>
      </c>
      <c r="D342" s="39" t="inlineStr">
        <is>
          <t>Excel</t>
        </is>
      </c>
      <c r="E342" s="43" t="n">
        <v>46125</v>
      </c>
      <c r="F342" s="26" t="inlineStr">
        <is>
          <t>Sunil CR</t>
        </is>
      </c>
      <c r="G342" s="26" t="inlineStr">
        <is>
          <t>Yes</t>
        </is>
      </c>
      <c r="H342" s="26" t="inlineStr">
        <is>
          <t>No</t>
        </is>
      </c>
      <c r="I342" s="26" t="inlineStr">
        <is>
          <t>Good finish</t>
        </is>
      </c>
      <c r="J342" s="26" t="inlineStr">
        <is>
          <t>Yes</t>
        </is>
      </c>
      <c r="K342" s="27" t="n"/>
      <c r="L342" s="28" t="inlineStr">
        <is>
          <t>No</t>
        </is>
      </c>
      <c r="M342" s="29">
        <f>IF(E342="","",IF(H342="Yes","❌ Disc",IF(G342="No","⚠ Missing",IF(J342="Yes","✓ OK","⚠ Check"))))</f>
        <v/>
      </c>
      <c r="N342" s="43" t="n">
        <v>46193</v>
      </c>
      <c r="O342" s="26" t="inlineStr">
        <is>
          <t>Sunil CR</t>
        </is>
      </c>
      <c r="P342" s="26" t="inlineStr">
        <is>
          <t>Yes</t>
        </is>
      </c>
      <c r="Q342" s="26" t="inlineStr">
        <is>
          <t>No</t>
        </is>
      </c>
      <c r="R342" s="26" t="inlineStr">
        <is>
          <t>Good finish</t>
        </is>
      </c>
      <c r="S342" s="26" t="inlineStr">
        <is>
          <t>Yes</t>
        </is>
      </c>
      <c r="T342" s="27" t="n"/>
      <c r="U342" s="28" t="inlineStr">
        <is>
          <t>No</t>
        </is>
      </c>
      <c r="V342" s="29">
        <f>IF(N342="","",IF(Q342="Yes","❌ Disc",IF(P342="No","⚠ Missing",IF(S342="Yes","✓ OK","⚠ Check"))))</f>
        <v/>
      </c>
      <c r="W342" s="65" t="n">
        <v>46248</v>
      </c>
      <c r="X342" s="30" t="inlineStr">
        <is>
          <t>Sunil CR</t>
        </is>
      </c>
      <c r="Y342" s="30" t="inlineStr">
        <is>
          <t>Yes</t>
        </is>
      </c>
      <c r="Z342" s="30" t="n"/>
      <c r="AA342" s="30" t="inlineStr">
        <is>
          <t>Good finish</t>
        </is>
      </c>
      <c r="AB342" s="30" t="inlineStr">
        <is>
          <t>Yes</t>
        </is>
      </c>
      <c r="AC342" s="27" t="n"/>
      <c r="AD342" s="31" t="inlineStr">
        <is>
          <t>No</t>
        </is>
      </c>
      <c r="AE342" s="32">
        <f>IF(W342="","",IF(Z342="Yes","❌ Disc",IF(Y342="No","⚠ Missing",IF(AB342="Yes","✓ OK","⚠ Check"))))</f>
        <v/>
      </c>
      <c r="AF342" s="33" t="n"/>
      <c r="AG342" s="33" t="n"/>
      <c r="AH342" s="33" t="n"/>
      <c r="AI342" s="33" t="n"/>
      <c r="AJ342" s="33" t="n"/>
      <c r="AK342" s="33" t="n"/>
      <c r="AL342" s="27" t="n"/>
      <c r="AM342" s="34" t="n"/>
      <c r="AN342" s="35">
        <f>IF(AF342="","",IF(AI342="Yes","❌ Disc",IF(AH342="No","⚠ Missing",IF(AK342="Yes","✓ OK","⚠ Check"))))</f>
        <v/>
      </c>
      <c r="AO342" s="36" t="n"/>
      <c r="AP342" s="36" t="n"/>
      <c r="AQ342" s="36" t="n"/>
      <c r="AR342" s="36" t="n"/>
      <c r="AS342" s="36" t="n"/>
      <c r="AT342" s="36" t="n"/>
      <c r="AU342" s="27" t="n"/>
      <c r="AV342" s="37" t="n"/>
      <c r="AW342" s="38">
        <f>IF(AO342="","",IF(AR342="Yes","❌ Disc",IF(AQ342="No","⚠ Missing",IF(AT342="Yes","✓ OK","⚠ Check"))))</f>
        <v/>
      </c>
    </row>
    <row r="343" ht="18" customHeight="1" s="46">
      <c r="A343" s="23" t="n">
        <v>339</v>
      </c>
      <c r="B343" s="24" t="inlineStr">
        <is>
          <t>BD-VRM-2026-0077</t>
        </is>
      </c>
      <c r="C343" s="25" t="inlineStr">
        <is>
          <t>Excel - Lohas Wallpaper 87460-7</t>
        </is>
      </c>
      <c r="D343" s="23" t="inlineStr">
        <is>
          <t>Excel</t>
        </is>
      </c>
      <c r="E343" s="43" t="n">
        <v>46125</v>
      </c>
      <c r="F343" s="26" t="inlineStr">
        <is>
          <t>Sunil CR</t>
        </is>
      </c>
      <c r="G343" s="26" t="inlineStr">
        <is>
          <t>Yes</t>
        </is>
      </c>
      <c r="H343" s="26" t="inlineStr">
        <is>
          <t>No</t>
        </is>
      </c>
      <c r="I343" s="26" t="inlineStr">
        <is>
          <t>Good finish</t>
        </is>
      </c>
      <c r="J343" s="26" t="inlineStr">
        <is>
          <t>Yes</t>
        </is>
      </c>
      <c r="K343" s="27" t="n"/>
      <c r="L343" s="28" t="inlineStr">
        <is>
          <t>No</t>
        </is>
      </c>
      <c r="M343" s="29">
        <f>IF(E343="","",IF(H343="Yes","❌ Disc",IF(G343="No","⚠ Missing",IF(J343="Yes","✓ OK","⚠ Check"))))</f>
        <v/>
      </c>
      <c r="N343" s="43" t="n">
        <v>46193</v>
      </c>
      <c r="O343" s="26" t="inlineStr">
        <is>
          <t>Sunil CR</t>
        </is>
      </c>
      <c r="P343" s="26" t="inlineStr">
        <is>
          <t>Yes</t>
        </is>
      </c>
      <c r="Q343" s="26" t="inlineStr">
        <is>
          <t>No</t>
        </is>
      </c>
      <c r="R343" s="26" t="inlineStr">
        <is>
          <t>Good finish</t>
        </is>
      </c>
      <c r="S343" s="26" t="inlineStr">
        <is>
          <t>Yes</t>
        </is>
      </c>
      <c r="T343" s="27" t="n"/>
      <c r="U343" s="28" t="inlineStr">
        <is>
          <t>No</t>
        </is>
      </c>
      <c r="V343" s="29">
        <f>IF(N343="","",IF(Q343="Yes","❌ Disc",IF(P343="No","⚠ Missing",IF(S343="Yes","✓ OK","⚠ Check"))))</f>
        <v/>
      </c>
      <c r="W343" s="65" t="n">
        <v>46248</v>
      </c>
      <c r="X343" s="30" t="inlineStr">
        <is>
          <t>Sunil CR</t>
        </is>
      </c>
      <c r="Y343" s="30" t="inlineStr">
        <is>
          <t>Yes</t>
        </is>
      </c>
      <c r="Z343" s="30" t="n"/>
      <c r="AA343" s="30" t="inlineStr">
        <is>
          <t>Good finish</t>
        </is>
      </c>
      <c r="AB343" s="30" t="inlineStr">
        <is>
          <t>Yes</t>
        </is>
      </c>
      <c r="AC343" s="27" t="n"/>
      <c r="AD343" s="31" t="inlineStr">
        <is>
          <t>No</t>
        </is>
      </c>
      <c r="AE343" s="32">
        <f>IF(W343="","",IF(Z343="Yes","❌ Disc",IF(Y343="No","⚠ Missing",IF(AB343="Yes","✓ OK","⚠ Check"))))</f>
        <v/>
      </c>
      <c r="AF343" s="33" t="n"/>
      <c r="AG343" s="33" t="n"/>
      <c r="AH343" s="33" t="n"/>
      <c r="AI343" s="33" t="n"/>
      <c r="AJ343" s="33" t="n"/>
      <c r="AK343" s="33" t="n"/>
      <c r="AL343" s="27" t="n"/>
      <c r="AM343" s="34" t="n"/>
      <c r="AN343" s="35">
        <f>IF(AF343="","",IF(AI343="Yes","❌ Disc",IF(AH343="No","⚠ Missing",IF(AK343="Yes","✓ OK","⚠ Check"))))</f>
        <v/>
      </c>
      <c r="AO343" s="36" t="n"/>
      <c r="AP343" s="36" t="n"/>
      <c r="AQ343" s="36" t="n"/>
      <c r="AR343" s="36" t="n"/>
      <c r="AS343" s="36" t="n"/>
      <c r="AT343" s="36" t="n"/>
      <c r="AU343" s="27" t="n"/>
      <c r="AV343" s="37" t="n"/>
      <c r="AW343" s="38">
        <f>IF(AO343="","",IF(AR343="Yes","❌ Disc",IF(AQ343="No","⚠ Missing",IF(AT343="Yes","✓ OK","⚠ Check"))))</f>
        <v/>
      </c>
    </row>
    <row r="344" ht="18" customHeight="1" s="46">
      <c r="A344" s="39" t="n">
        <v>340</v>
      </c>
      <c r="B344" s="40" t="inlineStr">
        <is>
          <t>BD-VRM-2026-0078</t>
        </is>
      </c>
      <c r="C344" s="41" t="inlineStr">
        <is>
          <t>Excel - Lohas Wallpaper 87460-8</t>
        </is>
      </c>
      <c r="D344" s="39" t="inlineStr">
        <is>
          <t>Excel</t>
        </is>
      </c>
      <c r="E344" s="43" t="n">
        <v>46125</v>
      </c>
      <c r="F344" s="26" t="inlineStr">
        <is>
          <t>Sunil CR</t>
        </is>
      </c>
      <c r="G344" s="26" t="inlineStr">
        <is>
          <t>Yes</t>
        </is>
      </c>
      <c r="H344" s="26" t="inlineStr">
        <is>
          <t>No</t>
        </is>
      </c>
      <c r="I344" s="26" t="inlineStr">
        <is>
          <t>Good finish</t>
        </is>
      </c>
      <c r="J344" s="26" t="inlineStr">
        <is>
          <t>Yes</t>
        </is>
      </c>
      <c r="K344" s="27" t="n"/>
      <c r="L344" s="28" t="inlineStr">
        <is>
          <t>No</t>
        </is>
      </c>
      <c r="M344" s="29">
        <f>IF(E344="","",IF(H344="Yes","❌ Disc",IF(G344="No","⚠ Missing",IF(J344="Yes","✓ OK","⚠ Check"))))</f>
        <v/>
      </c>
      <c r="N344" s="43" t="n">
        <v>46193</v>
      </c>
      <c r="O344" s="26" t="inlineStr">
        <is>
          <t>Sunil CR</t>
        </is>
      </c>
      <c r="P344" s="26" t="inlineStr">
        <is>
          <t>Yes</t>
        </is>
      </c>
      <c r="Q344" s="26" t="inlineStr">
        <is>
          <t>No</t>
        </is>
      </c>
      <c r="R344" s="26" t="inlineStr">
        <is>
          <t>Good finish</t>
        </is>
      </c>
      <c r="S344" s="26" t="inlineStr">
        <is>
          <t>Yes</t>
        </is>
      </c>
      <c r="T344" s="27" t="n"/>
      <c r="U344" s="28" t="inlineStr">
        <is>
          <t>No</t>
        </is>
      </c>
      <c r="V344" s="29">
        <f>IF(N344="","",IF(Q344="Yes","❌ Disc",IF(P344="No","⚠ Missing",IF(S344="Yes","✓ OK","⚠ Check"))))</f>
        <v/>
      </c>
      <c r="W344" s="65" t="n">
        <v>46248</v>
      </c>
      <c r="X344" s="30" t="inlineStr">
        <is>
          <t>Sunil CR</t>
        </is>
      </c>
      <c r="Y344" s="30" t="inlineStr">
        <is>
          <t>Yes</t>
        </is>
      </c>
      <c r="Z344" s="30" t="n"/>
      <c r="AA344" s="30" t="inlineStr">
        <is>
          <t>Good finish</t>
        </is>
      </c>
      <c r="AB344" s="30" t="inlineStr">
        <is>
          <t>Yes</t>
        </is>
      </c>
      <c r="AC344" s="27" t="n"/>
      <c r="AD344" s="31" t="inlineStr">
        <is>
          <t>No</t>
        </is>
      </c>
      <c r="AE344" s="32">
        <f>IF(W344="","",IF(Z344="Yes","❌ Disc",IF(Y344="No","⚠ Missing",IF(AB344="Yes","✓ OK","⚠ Check"))))</f>
        <v/>
      </c>
      <c r="AF344" s="33" t="n"/>
      <c r="AG344" s="33" t="n"/>
      <c r="AH344" s="33" t="n"/>
      <c r="AI344" s="33" t="n"/>
      <c r="AJ344" s="33" t="n"/>
      <c r="AK344" s="33" t="n"/>
      <c r="AL344" s="27" t="n"/>
      <c r="AM344" s="34" t="n"/>
      <c r="AN344" s="35">
        <f>IF(AF344="","",IF(AI344="Yes","❌ Disc",IF(AH344="No","⚠ Missing",IF(AK344="Yes","✓ OK","⚠ Check"))))</f>
        <v/>
      </c>
      <c r="AO344" s="36" t="n"/>
      <c r="AP344" s="36" t="n"/>
      <c r="AQ344" s="36" t="n"/>
      <c r="AR344" s="36" t="n"/>
      <c r="AS344" s="36" t="n"/>
      <c r="AT344" s="36" t="n"/>
      <c r="AU344" s="27" t="n"/>
      <c r="AV344" s="37" t="n"/>
      <c r="AW344" s="38">
        <f>IF(AO344="","",IF(AR344="Yes","❌ Disc",IF(AQ344="No","⚠ Missing",IF(AT344="Yes","✓ OK","⚠ Check"))))</f>
        <v/>
      </c>
    </row>
    <row r="345" ht="18" customHeight="1" s="46">
      <c r="A345" s="23" t="n">
        <v>341</v>
      </c>
      <c r="B345" s="24" t="inlineStr">
        <is>
          <t>BD-VRM-2026-0063</t>
        </is>
      </c>
      <c r="C345" s="25" t="inlineStr">
        <is>
          <t>Excel - Lohas Wallpaper 87461-1</t>
        </is>
      </c>
      <c r="D345" s="23" t="inlineStr">
        <is>
          <t>Excel</t>
        </is>
      </c>
      <c r="E345" s="43" t="n">
        <v>46125</v>
      </c>
      <c r="F345" s="26" t="inlineStr">
        <is>
          <t>Sunil CR</t>
        </is>
      </c>
      <c r="G345" s="26" t="inlineStr">
        <is>
          <t>Yes</t>
        </is>
      </c>
      <c r="H345" s="26" t="inlineStr">
        <is>
          <t>No</t>
        </is>
      </c>
      <c r="I345" s="26" t="inlineStr">
        <is>
          <t>Good finish</t>
        </is>
      </c>
      <c r="J345" s="26" t="inlineStr">
        <is>
          <t>Yes</t>
        </is>
      </c>
      <c r="K345" s="27" t="n"/>
      <c r="L345" s="28" t="inlineStr">
        <is>
          <t>No</t>
        </is>
      </c>
      <c r="M345" s="29">
        <f>IF(E345="","",IF(H345="Yes","❌ Disc",IF(G345="No","⚠ Missing",IF(J345="Yes","✓ OK","⚠ Check"))))</f>
        <v/>
      </c>
      <c r="N345" s="43" t="n">
        <v>46193</v>
      </c>
      <c r="O345" s="26" t="inlineStr">
        <is>
          <t>Sunil CR</t>
        </is>
      </c>
      <c r="P345" s="26" t="inlineStr">
        <is>
          <t>Yes</t>
        </is>
      </c>
      <c r="Q345" s="26" t="inlineStr">
        <is>
          <t>No</t>
        </is>
      </c>
      <c r="R345" s="26" t="inlineStr">
        <is>
          <t>Good finish</t>
        </is>
      </c>
      <c r="S345" s="26" t="inlineStr">
        <is>
          <t>Yes</t>
        </is>
      </c>
      <c r="T345" s="27" t="n"/>
      <c r="U345" s="28" t="inlineStr">
        <is>
          <t>No</t>
        </is>
      </c>
      <c r="V345" s="29">
        <f>IF(N345="","",IF(Q345="Yes","❌ Disc",IF(P345="No","⚠ Missing",IF(S345="Yes","✓ OK","⚠ Check"))))</f>
        <v/>
      </c>
      <c r="W345" s="65" t="n">
        <v>46248</v>
      </c>
      <c r="X345" s="30" t="inlineStr">
        <is>
          <t>Sunil CR</t>
        </is>
      </c>
      <c r="Y345" s="30" t="inlineStr">
        <is>
          <t>Yes</t>
        </is>
      </c>
      <c r="Z345" s="30" t="n"/>
      <c r="AA345" s="30" t="inlineStr">
        <is>
          <t>Good finish</t>
        </is>
      </c>
      <c r="AB345" s="30" t="inlineStr">
        <is>
          <t>Yes</t>
        </is>
      </c>
      <c r="AC345" s="27" t="n"/>
      <c r="AD345" s="31" t="inlineStr">
        <is>
          <t>No</t>
        </is>
      </c>
      <c r="AE345" s="32">
        <f>IF(W345="","",IF(Z345="Yes","❌ Disc",IF(Y345="No","⚠ Missing",IF(AB345="Yes","✓ OK","⚠ Check"))))</f>
        <v/>
      </c>
      <c r="AF345" s="33" t="n"/>
      <c r="AG345" s="33" t="n"/>
      <c r="AH345" s="33" t="n"/>
      <c r="AI345" s="33" t="n"/>
      <c r="AJ345" s="33" t="n"/>
      <c r="AK345" s="33" t="n"/>
      <c r="AL345" s="27" t="n"/>
      <c r="AM345" s="34" t="n"/>
      <c r="AN345" s="35">
        <f>IF(AF345="","",IF(AI345="Yes","❌ Disc",IF(AH345="No","⚠ Missing",IF(AK345="Yes","✓ OK","⚠ Check"))))</f>
        <v/>
      </c>
      <c r="AO345" s="36" t="n"/>
      <c r="AP345" s="36" t="n"/>
      <c r="AQ345" s="36" t="n"/>
      <c r="AR345" s="36" t="n"/>
      <c r="AS345" s="36" t="n"/>
      <c r="AT345" s="36" t="n"/>
      <c r="AU345" s="27" t="n"/>
      <c r="AV345" s="37" t="n"/>
      <c r="AW345" s="38">
        <f>IF(AO345="","",IF(AR345="Yes","❌ Disc",IF(AQ345="No","⚠ Missing",IF(AT345="Yes","✓ OK","⚠ Check"))))</f>
        <v/>
      </c>
    </row>
    <row r="346" ht="18" customHeight="1" s="46">
      <c r="A346" s="39" t="n">
        <v>342</v>
      </c>
      <c r="B346" s="40" t="inlineStr">
        <is>
          <t>BD-VRM-2026-0064</t>
        </is>
      </c>
      <c r="C346" s="41" t="inlineStr">
        <is>
          <t>Excel - Lohas Wallpaper 87461-2</t>
        </is>
      </c>
      <c r="D346" s="39" t="inlineStr">
        <is>
          <t>Excel</t>
        </is>
      </c>
      <c r="E346" s="43" t="n">
        <v>46125</v>
      </c>
      <c r="F346" s="26" t="inlineStr">
        <is>
          <t>Sunil CR</t>
        </is>
      </c>
      <c r="G346" s="26" t="inlineStr">
        <is>
          <t>Yes</t>
        </is>
      </c>
      <c r="H346" s="26" t="inlineStr">
        <is>
          <t>No</t>
        </is>
      </c>
      <c r="I346" s="26" t="inlineStr">
        <is>
          <t>Good finish</t>
        </is>
      </c>
      <c r="J346" s="26" t="inlineStr">
        <is>
          <t>Yes</t>
        </is>
      </c>
      <c r="K346" s="27" t="n"/>
      <c r="L346" s="28" t="inlineStr">
        <is>
          <t>No</t>
        </is>
      </c>
      <c r="M346" s="29">
        <f>IF(E346="","",IF(H346="Yes","❌ Disc",IF(G346="No","⚠ Missing",IF(J346="Yes","✓ OK","⚠ Check"))))</f>
        <v/>
      </c>
      <c r="N346" s="43" t="n">
        <v>46193</v>
      </c>
      <c r="O346" s="26" t="inlineStr">
        <is>
          <t>Sunil CR</t>
        </is>
      </c>
      <c r="P346" s="26" t="inlineStr">
        <is>
          <t>Yes</t>
        </is>
      </c>
      <c r="Q346" s="26" t="inlineStr">
        <is>
          <t>No</t>
        </is>
      </c>
      <c r="R346" s="26" t="inlineStr">
        <is>
          <t>Good finish</t>
        </is>
      </c>
      <c r="S346" s="26" t="inlineStr">
        <is>
          <t>Yes</t>
        </is>
      </c>
      <c r="T346" s="27" t="n"/>
      <c r="U346" s="28" t="inlineStr">
        <is>
          <t>No</t>
        </is>
      </c>
      <c r="V346" s="29">
        <f>IF(N346="","",IF(Q346="Yes","❌ Disc",IF(P346="No","⚠ Missing",IF(S346="Yes","✓ OK","⚠ Check"))))</f>
        <v/>
      </c>
      <c r="W346" s="65" t="n">
        <v>46248</v>
      </c>
      <c r="X346" s="30" t="inlineStr">
        <is>
          <t>Sunil CR</t>
        </is>
      </c>
      <c r="Y346" s="30" t="inlineStr">
        <is>
          <t>Yes</t>
        </is>
      </c>
      <c r="Z346" s="30" t="n"/>
      <c r="AA346" s="30" t="inlineStr">
        <is>
          <t>Good finish</t>
        </is>
      </c>
      <c r="AB346" s="30" t="inlineStr">
        <is>
          <t>Yes</t>
        </is>
      </c>
      <c r="AC346" s="27" t="n"/>
      <c r="AD346" s="31" t="inlineStr">
        <is>
          <t>No</t>
        </is>
      </c>
      <c r="AE346" s="32">
        <f>IF(W346="","",IF(Z346="Yes","❌ Disc",IF(Y346="No","⚠ Missing",IF(AB346="Yes","✓ OK","⚠ Check"))))</f>
        <v/>
      </c>
      <c r="AF346" s="33" t="n"/>
      <c r="AG346" s="33" t="n"/>
      <c r="AH346" s="33" t="n"/>
      <c r="AI346" s="33" t="n"/>
      <c r="AJ346" s="33" t="n"/>
      <c r="AK346" s="33" t="n"/>
      <c r="AL346" s="27" t="n"/>
      <c r="AM346" s="34" t="n"/>
      <c r="AN346" s="35">
        <f>IF(AF346="","",IF(AI346="Yes","❌ Disc",IF(AH346="No","⚠ Missing",IF(AK346="Yes","✓ OK","⚠ Check"))))</f>
        <v/>
      </c>
      <c r="AO346" s="36" t="n"/>
      <c r="AP346" s="36" t="n"/>
      <c r="AQ346" s="36" t="n"/>
      <c r="AR346" s="36" t="n"/>
      <c r="AS346" s="36" t="n"/>
      <c r="AT346" s="36" t="n"/>
      <c r="AU346" s="27" t="n"/>
      <c r="AV346" s="37" t="n"/>
      <c r="AW346" s="38">
        <f>IF(AO346="","",IF(AR346="Yes","❌ Disc",IF(AQ346="No","⚠ Missing",IF(AT346="Yes","✓ OK","⚠ Check"))))</f>
        <v/>
      </c>
    </row>
    <row r="347" ht="18" customHeight="1" s="46">
      <c r="A347" s="23" t="n">
        <v>343</v>
      </c>
      <c r="B347" s="24" t="inlineStr">
        <is>
          <t>BD-VRM-2026-0065</t>
        </is>
      </c>
      <c r="C347" s="25" t="inlineStr">
        <is>
          <t>Excel - Lohas Wallpaper 87461-3</t>
        </is>
      </c>
      <c r="D347" s="23" t="inlineStr">
        <is>
          <t>Excel</t>
        </is>
      </c>
      <c r="E347" s="43" t="n">
        <v>46125</v>
      </c>
      <c r="F347" s="26" t="inlineStr">
        <is>
          <t>Sunil CR</t>
        </is>
      </c>
      <c r="G347" s="26" t="inlineStr">
        <is>
          <t>Yes</t>
        </is>
      </c>
      <c r="H347" s="26" t="inlineStr">
        <is>
          <t>No</t>
        </is>
      </c>
      <c r="I347" s="26" t="inlineStr">
        <is>
          <t>Good finish</t>
        </is>
      </c>
      <c r="J347" s="26" t="inlineStr">
        <is>
          <t>Yes</t>
        </is>
      </c>
      <c r="K347" s="27" t="n"/>
      <c r="L347" s="28" t="inlineStr">
        <is>
          <t>No</t>
        </is>
      </c>
      <c r="M347" s="29">
        <f>IF(E347="","",IF(H347="Yes","❌ Disc",IF(G347="No","⚠ Missing",IF(J347="Yes","✓ OK","⚠ Check"))))</f>
        <v/>
      </c>
      <c r="N347" s="43" t="n">
        <v>46193</v>
      </c>
      <c r="O347" s="26" t="inlineStr">
        <is>
          <t>Sunil CR</t>
        </is>
      </c>
      <c r="P347" s="26" t="inlineStr">
        <is>
          <t>Yes</t>
        </is>
      </c>
      <c r="Q347" s="26" t="inlineStr">
        <is>
          <t>No</t>
        </is>
      </c>
      <c r="R347" s="26" t="inlineStr">
        <is>
          <t>Good finish</t>
        </is>
      </c>
      <c r="S347" s="26" t="inlineStr">
        <is>
          <t>Yes</t>
        </is>
      </c>
      <c r="T347" s="27" t="n"/>
      <c r="U347" s="28" t="inlineStr">
        <is>
          <t>No</t>
        </is>
      </c>
      <c r="V347" s="29">
        <f>IF(N347="","",IF(Q347="Yes","❌ Disc",IF(P347="No","⚠ Missing",IF(S347="Yes","✓ OK","⚠ Check"))))</f>
        <v/>
      </c>
      <c r="W347" s="65" t="n">
        <v>46248</v>
      </c>
      <c r="X347" s="30" t="inlineStr">
        <is>
          <t>Sunil CR</t>
        </is>
      </c>
      <c r="Y347" s="30" t="inlineStr">
        <is>
          <t>Yes</t>
        </is>
      </c>
      <c r="Z347" s="30" t="n"/>
      <c r="AA347" s="30" t="inlineStr">
        <is>
          <t>Good finish</t>
        </is>
      </c>
      <c r="AB347" s="30" t="inlineStr">
        <is>
          <t>Yes</t>
        </is>
      </c>
      <c r="AC347" s="27" t="n"/>
      <c r="AD347" s="31" t="inlineStr">
        <is>
          <t>No</t>
        </is>
      </c>
      <c r="AE347" s="32">
        <f>IF(W347="","",IF(Z347="Yes","❌ Disc",IF(Y347="No","⚠ Missing",IF(AB347="Yes","✓ OK","⚠ Check"))))</f>
        <v/>
      </c>
      <c r="AF347" s="33" t="n"/>
      <c r="AG347" s="33" t="n"/>
      <c r="AH347" s="33" t="n"/>
      <c r="AI347" s="33" t="n"/>
      <c r="AJ347" s="33" t="n"/>
      <c r="AK347" s="33" t="n"/>
      <c r="AL347" s="27" t="n"/>
      <c r="AM347" s="34" t="n"/>
      <c r="AN347" s="35">
        <f>IF(AF347="","",IF(AI347="Yes","❌ Disc",IF(AH347="No","⚠ Missing",IF(AK347="Yes","✓ OK","⚠ Check"))))</f>
        <v/>
      </c>
      <c r="AO347" s="36" t="n"/>
      <c r="AP347" s="36" t="n"/>
      <c r="AQ347" s="36" t="n"/>
      <c r="AR347" s="36" t="n"/>
      <c r="AS347" s="36" t="n"/>
      <c r="AT347" s="36" t="n"/>
      <c r="AU347" s="27" t="n"/>
      <c r="AV347" s="37" t="n"/>
      <c r="AW347" s="38">
        <f>IF(AO347="","",IF(AR347="Yes","❌ Disc",IF(AQ347="No","⚠ Missing",IF(AT347="Yes","✓ OK","⚠ Check"))))</f>
        <v/>
      </c>
    </row>
    <row r="348" ht="18" customHeight="1" s="46">
      <c r="A348" s="39" t="n">
        <v>344</v>
      </c>
      <c r="B348" s="40" t="inlineStr">
        <is>
          <t>BD-VRM-2026-0066</t>
        </is>
      </c>
      <c r="C348" s="41" t="inlineStr">
        <is>
          <t>Excel - Lohas Wallpaper 87461-4</t>
        </is>
      </c>
      <c r="D348" s="39" t="inlineStr">
        <is>
          <t>Excel</t>
        </is>
      </c>
      <c r="E348" s="43" t="n">
        <v>46125</v>
      </c>
      <c r="F348" s="26" t="inlineStr">
        <is>
          <t>Sunil CR</t>
        </is>
      </c>
      <c r="G348" s="26" t="inlineStr">
        <is>
          <t>Yes</t>
        </is>
      </c>
      <c r="H348" s="26" t="inlineStr">
        <is>
          <t>No</t>
        </is>
      </c>
      <c r="I348" s="26" t="inlineStr">
        <is>
          <t>Good finish</t>
        </is>
      </c>
      <c r="J348" s="26" t="inlineStr">
        <is>
          <t>Yes</t>
        </is>
      </c>
      <c r="K348" s="27" t="n"/>
      <c r="L348" s="28" t="inlineStr">
        <is>
          <t>No</t>
        </is>
      </c>
      <c r="M348" s="29">
        <f>IF(E348="","",IF(H348="Yes","❌ Disc",IF(G348="No","⚠ Missing",IF(J348="Yes","✓ OK","⚠ Check"))))</f>
        <v/>
      </c>
      <c r="N348" s="43" t="n">
        <v>46193</v>
      </c>
      <c r="O348" s="26" t="inlineStr">
        <is>
          <t>Sunil CR</t>
        </is>
      </c>
      <c r="P348" s="26" t="inlineStr">
        <is>
          <t>Yes</t>
        </is>
      </c>
      <c r="Q348" s="26" t="inlineStr">
        <is>
          <t>No</t>
        </is>
      </c>
      <c r="R348" s="26" t="inlineStr">
        <is>
          <t>Good finish</t>
        </is>
      </c>
      <c r="S348" s="26" t="inlineStr">
        <is>
          <t>Yes</t>
        </is>
      </c>
      <c r="T348" s="27" t="n"/>
      <c r="U348" s="28" t="inlineStr">
        <is>
          <t>No</t>
        </is>
      </c>
      <c r="V348" s="29">
        <f>IF(N348="","",IF(Q348="Yes","❌ Disc",IF(P348="No","⚠ Missing",IF(S348="Yes","✓ OK","⚠ Check"))))</f>
        <v/>
      </c>
      <c r="W348" s="65" t="n">
        <v>46248</v>
      </c>
      <c r="X348" s="30" t="inlineStr">
        <is>
          <t>Sunil CR</t>
        </is>
      </c>
      <c r="Y348" s="30" t="inlineStr">
        <is>
          <t>Yes</t>
        </is>
      </c>
      <c r="Z348" s="30" t="n"/>
      <c r="AA348" s="30" t="inlineStr">
        <is>
          <t>Good finish</t>
        </is>
      </c>
      <c r="AB348" s="30" t="inlineStr">
        <is>
          <t>Yes</t>
        </is>
      </c>
      <c r="AC348" s="27" t="n"/>
      <c r="AD348" s="31" t="inlineStr">
        <is>
          <t>No</t>
        </is>
      </c>
      <c r="AE348" s="32">
        <f>IF(W348="","",IF(Z348="Yes","❌ Disc",IF(Y348="No","⚠ Missing",IF(AB348="Yes","✓ OK","⚠ Check"))))</f>
        <v/>
      </c>
      <c r="AF348" s="33" t="n"/>
      <c r="AG348" s="33" t="n"/>
      <c r="AH348" s="33" t="n"/>
      <c r="AI348" s="33" t="n"/>
      <c r="AJ348" s="33" t="n"/>
      <c r="AK348" s="33" t="n"/>
      <c r="AL348" s="27" t="n"/>
      <c r="AM348" s="34" t="n"/>
      <c r="AN348" s="35">
        <f>IF(AF348="","",IF(AI348="Yes","❌ Disc",IF(AH348="No","⚠ Missing",IF(AK348="Yes","✓ OK","⚠ Check"))))</f>
        <v/>
      </c>
      <c r="AO348" s="36" t="n"/>
      <c r="AP348" s="36" t="n"/>
      <c r="AQ348" s="36" t="n"/>
      <c r="AR348" s="36" t="n"/>
      <c r="AS348" s="36" t="n"/>
      <c r="AT348" s="36" t="n"/>
      <c r="AU348" s="27" t="n"/>
      <c r="AV348" s="37" t="n"/>
      <c r="AW348" s="38">
        <f>IF(AO348="","",IF(AR348="Yes","❌ Disc",IF(AQ348="No","⚠ Missing",IF(AT348="Yes","✓ OK","⚠ Check"))))</f>
        <v/>
      </c>
    </row>
    <row r="349" ht="18" customHeight="1" s="46">
      <c r="A349" s="23" t="n">
        <v>345</v>
      </c>
      <c r="B349" s="24" t="inlineStr">
        <is>
          <t>BD-VRM-2026-0067</t>
        </is>
      </c>
      <c r="C349" s="25" t="inlineStr">
        <is>
          <t>Excel - Lohas Wallpaper 87461-5</t>
        </is>
      </c>
      <c r="D349" s="23" t="inlineStr">
        <is>
          <t>Excel</t>
        </is>
      </c>
      <c r="E349" s="43" t="n">
        <v>46125</v>
      </c>
      <c r="F349" s="26" t="inlineStr">
        <is>
          <t>Sunil CR</t>
        </is>
      </c>
      <c r="G349" s="26" t="inlineStr">
        <is>
          <t>Yes</t>
        </is>
      </c>
      <c r="H349" s="26" t="inlineStr">
        <is>
          <t>No</t>
        </is>
      </c>
      <c r="I349" s="26" t="inlineStr">
        <is>
          <t>Good finish</t>
        </is>
      </c>
      <c r="J349" s="26" t="inlineStr">
        <is>
          <t>Yes</t>
        </is>
      </c>
      <c r="K349" s="27" t="n"/>
      <c r="L349" s="28" t="inlineStr">
        <is>
          <t>No</t>
        </is>
      </c>
      <c r="M349" s="29">
        <f>IF(E349="","",IF(H349="Yes","❌ Disc",IF(G349="No","⚠ Missing",IF(J349="Yes","✓ OK","⚠ Check"))))</f>
        <v/>
      </c>
      <c r="N349" s="43" t="n">
        <v>46193</v>
      </c>
      <c r="O349" s="26" t="inlineStr">
        <is>
          <t>Sunil CR</t>
        </is>
      </c>
      <c r="P349" s="26" t="inlineStr">
        <is>
          <t>Yes</t>
        </is>
      </c>
      <c r="Q349" s="26" t="inlineStr">
        <is>
          <t>No</t>
        </is>
      </c>
      <c r="R349" s="26" t="inlineStr">
        <is>
          <t>Good finish</t>
        </is>
      </c>
      <c r="S349" s="26" t="inlineStr">
        <is>
          <t>Yes</t>
        </is>
      </c>
      <c r="T349" s="27" t="n"/>
      <c r="U349" s="28" t="inlineStr">
        <is>
          <t>No</t>
        </is>
      </c>
      <c r="V349" s="29">
        <f>IF(N349="","",IF(Q349="Yes","❌ Disc",IF(P349="No","⚠ Missing",IF(S349="Yes","✓ OK","⚠ Check"))))</f>
        <v/>
      </c>
      <c r="W349" s="65" t="n">
        <v>46248</v>
      </c>
      <c r="X349" s="30" t="inlineStr">
        <is>
          <t>Sunil CR</t>
        </is>
      </c>
      <c r="Y349" s="30" t="inlineStr">
        <is>
          <t>Yes</t>
        </is>
      </c>
      <c r="Z349" s="30" t="n"/>
      <c r="AA349" s="30" t="inlineStr">
        <is>
          <t>Good finish</t>
        </is>
      </c>
      <c r="AB349" s="30" t="inlineStr">
        <is>
          <t>Yes</t>
        </is>
      </c>
      <c r="AC349" s="27" t="n"/>
      <c r="AD349" s="31" t="inlineStr">
        <is>
          <t>No</t>
        </is>
      </c>
      <c r="AE349" s="32">
        <f>IF(W349="","",IF(Z349="Yes","❌ Disc",IF(Y349="No","⚠ Missing",IF(AB349="Yes","✓ OK","⚠ Check"))))</f>
        <v/>
      </c>
      <c r="AF349" s="33" t="n"/>
      <c r="AG349" s="33" t="n"/>
      <c r="AH349" s="33" t="n"/>
      <c r="AI349" s="33" t="n"/>
      <c r="AJ349" s="33" t="n"/>
      <c r="AK349" s="33" t="n"/>
      <c r="AL349" s="27" t="n"/>
      <c r="AM349" s="34" t="n"/>
      <c r="AN349" s="35">
        <f>IF(AF349="","",IF(AI349="Yes","❌ Disc",IF(AH349="No","⚠ Missing",IF(AK349="Yes","✓ OK","⚠ Check"))))</f>
        <v/>
      </c>
      <c r="AO349" s="36" t="n"/>
      <c r="AP349" s="36" t="n"/>
      <c r="AQ349" s="36" t="n"/>
      <c r="AR349" s="36" t="n"/>
      <c r="AS349" s="36" t="n"/>
      <c r="AT349" s="36" t="n"/>
      <c r="AU349" s="27" t="n"/>
      <c r="AV349" s="37" t="n"/>
      <c r="AW349" s="38">
        <f>IF(AO349="","",IF(AR349="Yes","❌ Disc",IF(AQ349="No","⚠ Missing",IF(AT349="Yes","✓ OK","⚠ Check"))))</f>
        <v/>
      </c>
    </row>
    <row r="350" ht="18" customHeight="1" s="46">
      <c r="A350" s="39" t="n">
        <v>346</v>
      </c>
      <c r="B350" s="40" t="inlineStr">
        <is>
          <t>BD-VRM-2026-0068</t>
        </is>
      </c>
      <c r="C350" s="41" t="inlineStr">
        <is>
          <t>Excel - Lohas Wallpaper 87461-6</t>
        </is>
      </c>
      <c r="D350" s="39" t="inlineStr">
        <is>
          <t>Excel</t>
        </is>
      </c>
      <c r="E350" s="43" t="n">
        <v>46125</v>
      </c>
      <c r="F350" s="26" t="inlineStr">
        <is>
          <t>Sunil CR</t>
        </is>
      </c>
      <c r="G350" s="26" t="inlineStr">
        <is>
          <t>Yes</t>
        </is>
      </c>
      <c r="H350" s="26" t="inlineStr">
        <is>
          <t>No</t>
        </is>
      </c>
      <c r="I350" s="26" t="inlineStr">
        <is>
          <t>Good finish</t>
        </is>
      </c>
      <c r="J350" s="26" t="inlineStr">
        <is>
          <t>Yes</t>
        </is>
      </c>
      <c r="K350" s="27" t="n"/>
      <c r="L350" s="28" t="inlineStr">
        <is>
          <t>No</t>
        </is>
      </c>
      <c r="M350" s="29">
        <f>IF(E350="","",IF(H350="Yes","❌ Disc",IF(G350="No","⚠ Missing",IF(J350="Yes","✓ OK","⚠ Check"))))</f>
        <v/>
      </c>
      <c r="N350" s="43" t="n">
        <v>46193</v>
      </c>
      <c r="O350" s="26" t="inlineStr">
        <is>
          <t>Sunil CR</t>
        </is>
      </c>
      <c r="P350" s="26" t="inlineStr">
        <is>
          <t>Yes</t>
        </is>
      </c>
      <c r="Q350" s="26" t="inlineStr">
        <is>
          <t>No</t>
        </is>
      </c>
      <c r="R350" s="26" t="inlineStr">
        <is>
          <t>Good finish</t>
        </is>
      </c>
      <c r="S350" s="26" t="inlineStr">
        <is>
          <t>Yes</t>
        </is>
      </c>
      <c r="T350" s="27" t="n"/>
      <c r="U350" s="28" t="inlineStr">
        <is>
          <t>No</t>
        </is>
      </c>
      <c r="V350" s="29">
        <f>IF(N350="","",IF(Q350="Yes","❌ Disc",IF(P350="No","⚠ Missing",IF(S350="Yes","✓ OK","⚠ Check"))))</f>
        <v/>
      </c>
      <c r="W350" s="65" t="n">
        <v>46248</v>
      </c>
      <c r="X350" s="30" t="inlineStr">
        <is>
          <t>Sunil CR</t>
        </is>
      </c>
      <c r="Y350" s="30" t="inlineStr">
        <is>
          <t>Yes</t>
        </is>
      </c>
      <c r="Z350" s="30" t="n"/>
      <c r="AA350" s="30" t="inlineStr">
        <is>
          <t>Good finish</t>
        </is>
      </c>
      <c r="AB350" s="30" t="inlineStr">
        <is>
          <t>Yes</t>
        </is>
      </c>
      <c r="AC350" s="27" t="n"/>
      <c r="AD350" s="31" t="inlineStr">
        <is>
          <t>No</t>
        </is>
      </c>
      <c r="AE350" s="32">
        <f>IF(W350="","",IF(Z350="Yes","❌ Disc",IF(Y350="No","⚠ Missing",IF(AB350="Yes","✓ OK","⚠ Check"))))</f>
        <v/>
      </c>
      <c r="AF350" s="33" t="n"/>
      <c r="AG350" s="33" t="n"/>
      <c r="AH350" s="33" t="n"/>
      <c r="AI350" s="33" t="n"/>
      <c r="AJ350" s="33" t="n"/>
      <c r="AK350" s="33" t="n"/>
      <c r="AL350" s="27" t="n"/>
      <c r="AM350" s="34" t="n"/>
      <c r="AN350" s="35">
        <f>IF(AF350="","",IF(AI350="Yes","❌ Disc",IF(AH350="No","⚠ Missing",IF(AK350="Yes","✓ OK","⚠ Check"))))</f>
        <v/>
      </c>
      <c r="AO350" s="36" t="n"/>
      <c r="AP350" s="36" t="n"/>
      <c r="AQ350" s="36" t="n"/>
      <c r="AR350" s="36" t="n"/>
      <c r="AS350" s="36" t="n"/>
      <c r="AT350" s="36" t="n"/>
      <c r="AU350" s="27" t="n"/>
      <c r="AV350" s="37" t="n"/>
      <c r="AW350" s="38">
        <f>IF(AO350="","",IF(AR350="Yes","❌ Disc",IF(AQ350="No","⚠ Missing",IF(AT350="Yes","✓ OK","⚠ Check"))))</f>
        <v/>
      </c>
    </row>
    <row r="351" ht="18" customHeight="1" s="46">
      <c r="A351" s="23" t="n">
        <v>347</v>
      </c>
      <c r="B351" s="24" t="inlineStr">
        <is>
          <t>BD-VRM-2026-0069</t>
        </is>
      </c>
      <c r="C351" s="25" t="inlineStr">
        <is>
          <t>Excel - Lohas Wallpaper 87461-7</t>
        </is>
      </c>
      <c r="D351" s="23" t="inlineStr">
        <is>
          <t>Excel</t>
        </is>
      </c>
      <c r="E351" s="43" t="n">
        <v>46125</v>
      </c>
      <c r="F351" s="26" t="inlineStr">
        <is>
          <t>Sunil CR</t>
        </is>
      </c>
      <c r="G351" s="26" t="inlineStr">
        <is>
          <t>Yes</t>
        </is>
      </c>
      <c r="H351" s="26" t="inlineStr">
        <is>
          <t>No</t>
        </is>
      </c>
      <c r="I351" s="26" t="inlineStr">
        <is>
          <t>Good finish</t>
        </is>
      </c>
      <c r="J351" s="26" t="inlineStr">
        <is>
          <t>Yes</t>
        </is>
      </c>
      <c r="K351" s="27" t="n"/>
      <c r="L351" s="28" t="inlineStr">
        <is>
          <t>No</t>
        </is>
      </c>
      <c r="M351" s="29">
        <f>IF(E351="","",IF(H351="Yes","❌ Disc",IF(G351="No","⚠ Missing",IF(J351="Yes","✓ OK","⚠ Check"))))</f>
        <v/>
      </c>
      <c r="N351" s="43" t="n">
        <v>46193</v>
      </c>
      <c r="O351" s="26" t="inlineStr">
        <is>
          <t>Sunil CR</t>
        </is>
      </c>
      <c r="P351" s="26" t="inlineStr">
        <is>
          <t>Yes</t>
        </is>
      </c>
      <c r="Q351" s="26" t="inlineStr">
        <is>
          <t>No</t>
        </is>
      </c>
      <c r="R351" s="26" t="inlineStr">
        <is>
          <t>Good finish</t>
        </is>
      </c>
      <c r="S351" s="26" t="inlineStr">
        <is>
          <t>Yes</t>
        </is>
      </c>
      <c r="T351" s="27" t="n"/>
      <c r="U351" s="28" t="inlineStr">
        <is>
          <t>No</t>
        </is>
      </c>
      <c r="V351" s="29">
        <f>IF(N351="","",IF(Q351="Yes","❌ Disc",IF(P351="No","⚠ Missing",IF(S351="Yes","✓ OK","⚠ Check"))))</f>
        <v/>
      </c>
      <c r="W351" s="65" t="n">
        <v>46248</v>
      </c>
      <c r="X351" s="30" t="inlineStr">
        <is>
          <t>Sunil CR</t>
        </is>
      </c>
      <c r="Y351" s="30" t="inlineStr">
        <is>
          <t>Yes</t>
        </is>
      </c>
      <c r="Z351" s="30" t="n"/>
      <c r="AA351" s="30" t="inlineStr">
        <is>
          <t>Good finish</t>
        </is>
      </c>
      <c r="AB351" s="30" t="inlineStr">
        <is>
          <t>Yes</t>
        </is>
      </c>
      <c r="AC351" s="27" t="n"/>
      <c r="AD351" s="31" t="inlineStr">
        <is>
          <t>No</t>
        </is>
      </c>
      <c r="AE351" s="32">
        <f>IF(W351="","",IF(Z351="Yes","❌ Disc",IF(Y351="No","⚠ Missing",IF(AB351="Yes","✓ OK","⚠ Check"))))</f>
        <v/>
      </c>
      <c r="AF351" s="33" t="n"/>
      <c r="AG351" s="33" t="n"/>
      <c r="AH351" s="33" t="n"/>
      <c r="AI351" s="33" t="n"/>
      <c r="AJ351" s="33" t="n"/>
      <c r="AK351" s="33" t="n"/>
      <c r="AL351" s="27" t="n"/>
      <c r="AM351" s="34" t="n"/>
      <c r="AN351" s="35">
        <f>IF(AF351="","",IF(AI351="Yes","❌ Disc",IF(AH351="No","⚠ Missing",IF(AK351="Yes","✓ OK","⚠ Check"))))</f>
        <v/>
      </c>
      <c r="AO351" s="36" t="n"/>
      <c r="AP351" s="36" t="n"/>
      <c r="AQ351" s="36" t="n"/>
      <c r="AR351" s="36" t="n"/>
      <c r="AS351" s="36" t="n"/>
      <c r="AT351" s="36" t="n"/>
      <c r="AU351" s="27" t="n"/>
      <c r="AV351" s="37" t="n"/>
      <c r="AW351" s="38">
        <f>IF(AO351="","",IF(AR351="Yes","❌ Disc",IF(AQ351="No","⚠ Missing",IF(AT351="Yes","✓ OK","⚠ Check"))))</f>
        <v/>
      </c>
    </row>
    <row r="352" ht="18" customHeight="1" s="46">
      <c r="A352" s="39" t="n">
        <v>348</v>
      </c>
      <c r="B352" s="40" t="inlineStr">
        <is>
          <t>BD-VRM-2026-0070</t>
        </is>
      </c>
      <c r="C352" s="41" t="inlineStr">
        <is>
          <t>Excel - Lohas Wallpaper 87461-9</t>
        </is>
      </c>
      <c r="D352" s="39" t="inlineStr">
        <is>
          <t>Excel</t>
        </is>
      </c>
      <c r="E352" s="43" t="n">
        <v>46125</v>
      </c>
      <c r="F352" s="26" t="inlineStr">
        <is>
          <t>Sunil CR</t>
        </is>
      </c>
      <c r="G352" s="26" t="inlineStr">
        <is>
          <t>Yes</t>
        </is>
      </c>
      <c r="H352" s="26" t="inlineStr">
        <is>
          <t>No</t>
        </is>
      </c>
      <c r="I352" s="26" t="inlineStr">
        <is>
          <t>Good finish</t>
        </is>
      </c>
      <c r="J352" s="26" t="inlineStr">
        <is>
          <t>Yes</t>
        </is>
      </c>
      <c r="K352" s="27" t="n"/>
      <c r="L352" s="28" t="inlineStr">
        <is>
          <t>No</t>
        </is>
      </c>
      <c r="M352" s="29">
        <f>IF(E352="","",IF(H352="Yes","❌ Disc",IF(G352="No","⚠ Missing",IF(J352="Yes","✓ OK","⚠ Check"))))</f>
        <v/>
      </c>
      <c r="N352" s="43" t="n">
        <v>46193</v>
      </c>
      <c r="O352" s="26" t="inlineStr">
        <is>
          <t>Sunil CR</t>
        </is>
      </c>
      <c r="P352" s="26" t="inlineStr">
        <is>
          <t>Yes</t>
        </is>
      </c>
      <c r="Q352" s="26" t="inlineStr">
        <is>
          <t>No</t>
        </is>
      </c>
      <c r="R352" s="26" t="inlineStr">
        <is>
          <t>Good finish</t>
        </is>
      </c>
      <c r="S352" s="26" t="inlineStr">
        <is>
          <t>Yes</t>
        </is>
      </c>
      <c r="T352" s="27" t="n"/>
      <c r="U352" s="28" t="inlineStr">
        <is>
          <t>No</t>
        </is>
      </c>
      <c r="V352" s="29">
        <f>IF(N352="","",IF(Q352="Yes","❌ Disc",IF(P352="No","⚠ Missing",IF(S352="Yes","✓ OK","⚠ Check"))))</f>
        <v/>
      </c>
      <c r="W352" s="65" t="n">
        <v>46248</v>
      </c>
      <c r="X352" s="30" t="inlineStr">
        <is>
          <t>Sunil CR</t>
        </is>
      </c>
      <c r="Y352" s="30" t="inlineStr">
        <is>
          <t>Yes</t>
        </is>
      </c>
      <c r="Z352" s="30" t="n"/>
      <c r="AA352" s="30" t="inlineStr">
        <is>
          <t>Good finish</t>
        </is>
      </c>
      <c r="AB352" s="30" t="inlineStr">
        <is>
          <t>Yes</t>
        </is>
      </c>
      <c r="AC352" s="27" t="n"/>
      <c r="AD352" s="31" t="inlineStr">
        <is>
          <t>No</t>
        </is>
      </c>
      <c r="AE352" s="32">
        <f>IF(W352="","",IF(Z352="Yes","❌ Disc",IF(Y352="No","⚠ Missing",IF(AB352="Yes","✓ OK","⚠ Check"))))</f>
        <v/>
      </c>
      <c r="AF352" s="33" t="n"/>
      <c r="AG352" s="33" t="n"/>
      <c r="AH352" s="33" t="n"/>
      <c r="AI352" s="33" t="n"/>
      <c r="AJ352" s="33" t="n"/>
      <c r="AK352" s="33" t="n"/>
      <c r="AL352" s="27" t="n"/>
      <c r="AM352" s="34" t="n"/>
      <c r="AN352" s="35">
        <f>IF(AF352="","",IF(AI352="Yes","❌ Disc",IF(AH352="No","⚠ Missing",IF(AK352="Yes","✓ OK","⚠ Check"))))</f>
        <v/>
      </c>
      <c r="AO352" s="36" t="n"/>
      <c r="AP352" s="36" t="n"/>
      <c r="AQ352" s="36" t="n"/>
      <c r="AR352" s="36" t="n"/>
      <c r="AS352" s="36" t="n"/>
      <c r="AT352" s="36" t="n"/>
      <c r="AU352" s="27" t="n"/>
      <c r="AV352" s="37" t="n"/>
      <c r="AW352" s="38">
        <f>IF(AO352="","",IF(AR352="Yes","❌ Disc",IF(AQ352="No","⚠ Missing",IF(AT352="Yes","✓ OK","⚠ Check"))))</f>
        <v/>
      </c>
    </row>
    <row r="353" ht="18" customHeight="1" s="46">
      <c r="A353" s="23" t="n">
        <v>349</v>
      </c>
      <c r="B353" s="24" t="inlineStr">
        <is>
          <t>BD-VRM-2026-0053</t>
        </is>
      </c>
      <c r="C353" s="25" t="inlineStr">
        <is>
          <t>Excel - Lohas Wallpaper 87464-1</t>
        </is>
      </c>
      <c r="D353" s="23" t="inlineStr">
        <is>
          <t>Excel</t>
        </is>
      </c>
      <c r="E353" s="43" t="n">
        <v>46125</v>
      </c>
      <c r="F353" s="26" t="inlineStr">
        <is>
          <t>Sunil CR</t>
        </is>
      </c>
      <c r="G353" s="26" t="inlineStr">
        <is>
          <t>Yes</t>
        </is>
      </c>
      <c r="H353" s="26" t="inlineStr">
        <is>
          <t>No</t>
        </is>
      </c>
      <c r="I353" s="26" t="inlineStr">
        <is>
          <t>Good finish</t>
        </is>
      </c>
      <c r="J353" s="26" t="inlineStr">
        <is>
          <t>Yes</t>
        </is>
      </c>
      <c r="K353" s="27" t="n"/>
      <c r="L353" s="28" t="inlineStr">
        <is>
          <t>No</t>
        </is>
      </c>
      <c r="M353" s="29">
        <f>IF(E353="","",IF(H353="Yes","❌ Disc",IF(G353="No","⚠ Missing",IF(J353="Yes","✓ OK","⚠ Check"))))</f>
        <v/>
      </c>
      <c r="N353" s="43" t="n">
        <v>46193</v>
      </c>
      <c r="O353" s="26" t="inlineStr">
        <is>
          <t>Sunil CR</t>
        </is>
      </c>
      <c r="P353" s="26" t="inlineStr">
        <is>
          <t>Yes</t>
        </is>
      </c>
      <c r="Q353" s="26" t="inlineStr">
        <is>
          <t>No</t>
        </is>
      </c>
      <c r="R353" s="26" t="inlineStr">
        <is>
          <t>Good finish</t>
        </is>
      </c>
      <c r="S353" s="26" t="inlineStr">
        <is>
          <t>Yes</t>
        </is>
      </c>
      <c r="T353" s="27" t="n"/>
      <c r="U353" s="28" t="inlineStr">
        <is>
          <t>No</t>
        </is>
      </c>
      <c r="V353" s="29">
        <f>IF(N353="","",IF(Q353="Yes","❌ Disc",IF(P353="No","⚠ Missing",IF(S353="Yes","✓ OK","⚠ Check"))))</f>
        <v/>
      </c>
      <c r="W353" s="65" t="n">
        <v>46248</v>
      </c>
      <c r="X353" s="30" t="inlineStr">
        <is>
          <t>Sunil CR</t>
        </is>
      </c>
      <c r="Y353" s="30" t="inlineStr">
        <is>
          <t>Yes</t>
        </is>
      </c>
      <c r="Z353" s="30" t="n"/>
      <c r="AA353" s="30" t="inlineStr">
        <is>
          <t>Good finish</t>
        </is>
      </c>
      <c r="AB353" s="30" t="inlineStr">
        <is>
          <t>Yes</t>
        </is>
      </c>
      <c r="AC353" s="27" t="n"/>
      <c r="AD353" s="31" t="inlineStr">
        <is>
          <t>No</t>
        </is>
      </c>
      <c r="AE353" s="32">
        <f>IF(W353="","",IF(Z353="Yes","❌ Disc",IF(Y353="No","⚠ Missing",IF(AB353="Yes","✓ OK","⚠ Check"))))</f>
        <v/>
      </c>
      <c r="AF353" s="33" t="n"/>
      <c r="AG353" s="33" t="n"/>
      <c r="AH353" s="33" t="n"/>
      <c r="AI353" s="33" t="n"/>
      <c r="AJ353" s="33" t="n"/>
      <c r="AK353" s="33" t="n"/>
      <c r="AL353" s="27" t="n"/>
      <c r="AM353" s="34" t="n"/>
      <c r="AN353" s="35">
        <f>IF(AF353="","",IF(AI353="Yes","❌ Disc",IF(AH353="No","⚠ Missing",IF(AK353="Yes","✓ OK","⚠ Check"))))</f>
        <v/>
      </c>
      <c r="AO353" s="36" t="n"/>
      <c r="AP353" s="36" t="n"/>
      <c r="AQ353" s="36" t="n"/>
      <c r="AR353" s="36" t="n"/>
      <c r="AS353" s="36" t="n"/>
      <c r="AT353" s="36" t="n"/>
      <c r="AU353" s="27" t="n"/>
      <c r="AV353" s="37" t="n"/>
      <c r="AW353" s="38">
        <f>IF(AO353="","",IF(AR353="Yes","❌ Disc",IF(AQ353="No","⚠ Missing",IF(AT353="Yes","✓ OK","⚠ Check"))))</f>
        <v/>
      </c>
    </row>
    <row r="354" ht="18" customHeight="1" s="46">
      <c r="A354" s="39" t="n">
        <v>350</v>
      </c>
      <c r="B354" s="40" t="inlineStr">
        <is>
          <t>BD-VRM-2026-0054</t>
        </is>
      </c>
      <c r="C354" s="41" t="inlineStr">
        <is>
          <t>Excel - Lohas Wallpaper 87464-2</t>
        </is>
      </c>
      <c r="D354" s="39" t="inlineStr">
        <is>
          <t>Excel</t>
        </is>
      </c>
      <c r="E354" s="43" t="n">
        <v>46125</v>
      </c>
      <c r="F354" s="26" t="inlineStr">
        <is>
          <t>Sunil CR</t>
        </is>
      </c>
      <c r="G354" s="26" t="inlineStr">
        <is>
          <t>Yes</t>
        </is>
      </c>
      <c r="H354" s="26" t="inlineStr">
        <is>
          <t>No</t>
        </is>
      </c>
      <c r="I354" s="26" t="inlineStr">
        <is>
          <t>Good finish</t>
        </is>
      </c>
      <c r="J354" s="26" t="inlineStr">
        <is>
          <t>Yes</t>
        </is>
      </c>
      <c r="K354" s="27" t="n"/>
      <c r="L354" s="28" t="inlineStr">
        <is>
          <t>No</t>
        </is>
      </c>
      <c r="M354" s="29">
        <f>IF(E354="","",IF(H354="Yes","❌ Disc",IF(G354="No","⚠ Missing",IF(J354="Yes","✓ OK","⚠ Check"))))</f>
        <v/>
      </c>
      <c r="N354" s="43" t="n">
        <v>46193</v>
      </c>
      <c r="O354" s="26" t="inlineStr">
        <is>
          <t>Sunil CR</t>
        </is>
      </c>
      <c r="P354" s="26" t="inlineStr">
        <is>
          <t>Yes</t>
        </is>
      </c>
      <c r="Q354" s="26" t="inlineStr">
        <is>
          <t>No</t>
        </is>
      </c>
      <c r="R354" s="26" t="inlineStr">
        <is>
          <t>Good finish</t>
        </is>
      </c>
      <c r="S354" s="26" t="inlineStr">
        <is>
          <t>Yes</t>
        </is>
      </c>
      <c r="T354" s="27" t="n"/>
      <c r="U354" s="28" t="inlineStr">
        <is>
          <t>No</t>
        </is>
      </c>
      <c r="V354" s="29">
        <f>IF(N354="","",IF(Q354="Yes","❌ Disc",IF(P354="No","⚠ Missing",IF(S354="Yes","✓ OK","⚠ Check"))))</f>
        <v/>
      </c>
      <c r="W354" s="65" t="n">
        <v>46248</v>
      </c>
      <c r="X354" s="30" t="inlineStr">
        <is>
          <t>Sunil CR</t>
        </is>
      </c>
      <c r="Y354" s="30" t="inlineStr">
        <is>
          <t>Yes</t>
        </is>
      </c>
      <c r="Z354" s="30" t="n"/>
      <c r="AA354" s="30" t="inlineStr">
        <is>
          <t>Good finish</t>
        </is>
      </c>
      <c r="AB354" s="30" t="inlineStr">
        <is>
          <t>Yes</t>
        </is>
      </c>
      <c r="AC354" s="27" t="n"/>
      <c r="AD354" s="31" t="inlineStr">
        <is>
          <t>No</t>
        </is>
      </c>
      <c r="AE354" s="32">
        <f>IF(W354="","",IF(Z354="Yes","❌ Disc",IF(Y354="No","⚠ Missing",IF(AB354="Yes","✓ OK","⚠ Check"))))</f>
        <v/>
      </c>
      <c r="AF354" s="33" t="n"/>
      <c r="AG354" s="33" t="n"/>
      <c r="AH354" s="33" t="n"/>
      <c r="AI354" s="33" t="n"/>
      <c r="AJ354" s="33" t="n"/>
      <c r="AK354" s="33" t="n"/>
      <c r="AL354" s="27" t="n"/>
      <c r="AM354" s="34" t="n"/>
      <c r="AN354" s="35">
        <f>IF(AF354="","",IF(AI354="Yes","❌ Disc",IF(AH354="No","⚠ Missing",IF(AK354="Yes","✓ OK","⚠ Check"))))</f>
        <v/>
      </c>
      <c r="AO354" s="36" t="n"/>
      <c r="AP354" s="36" t="n"/>
      <c r="AQ354" s="36" t="n"/>
      <c r="AR354" s="36" t="n"/>
      <c r="AS354" s="36" t="n"/>
      <c r="AT354" s="36" t="n"/>
      <c r="AU354" s="27" t="n"/>
      <c r="AV354" s="37" t="n"/>
      <c r="AW354" s="38">
        <f>IF(AO354="","",IF(AR354="Yes","❌ Disc",IF(AQ354="No","⚠ Missing",IF(AT354="Yes","✓ OK","⚠ Check"))))</f>
        <v/>
      </c>
    </row>
    <row r="355" ht="18" customHeight="1" s="46">
      <c r="A355" s="23" t="n">
        <v>351</v>
      </c>
      <c r="B355" s="24" t="inlineStr">
        <is>
          <t>BD-VRM-2026-0055</t>
        </is>
      </c>
      <c r="C355" s="25" t="inlineStr">
        <is>
          <t>Excel - Lohas Wallpaper 87464-3</t>
        </is>
      </c>
      <c r="D355" s="23" t="inlineStr">
        <is>
          <t>Excel</t>
        </is>
      </c>
      <c r="E355" s="43" t="n">
        <v>46125</v>
      </c>
      <c r="F355" s="26" t="inlineStr">
        <is>
          <t>Sunil CR</t>
        </is>
      </c>
      <c r="G355" s="26" t="inlineStr">
        <is>
          <t>Yes</t>
        </is>
      </c>
      <c r="H355" s="26" t="inlineStr">
        <is>
          <t>No</t>
        </is>
      </c>
      <c r="I355" s="26" t="inlineStr">
        <is>
          <t>Good finish</t>
        </is>
      </c>
      <c r="J355" s="26" t="inlineStr">
        <is>
          <t>Yes</t>
        </is>
      </c>
      <c r="K355" s="27" t="n"/>
      <c r="L355" s="28" t="inlineStr">
        <is>
          <t>No</t>
        </is>
      </c>
      <c r="M355" s="29">
        <f>IF(E355="","",IF(H355="Yes","❌ Disc",IF(G355="No","⚠ Missing",IF(J355="Yes","✓ OK","⚠ Check"))))</f>
        <v/>
      </c>
      <c r="N355" s="43" t="n">
        <v>46193</v>
      </c>
      <c r="O355" s="26" t="inlineStr">
        <is>
          <t>Sunil CR</t>
        </is>
      </c>
      <c r="P355" s="26" t="inlineStr">
        <is>
          <t>Yes</t>
        </is>
      </c>
      <c r="Q355" s="26" t="inlineStr">
        <is>
          <t>No</t>
        </is>
      </c>
      <c r="R355" s="26" t="inlineStr">
        <is>
          <t>Good finish</t>
        </is>
      </c>
      <c r="S355" s="26" t="inlineStr">
        <is>
          <t>Yes</t>
        </is>
      </c>
      <c r="T355" s="27" t="n"/>
      <c r="U355" s="28" t="inlineStr">
        <is>
          <t>No</t>
        </is>
      </c>
      <c r="V355" s="29">
        <f>IF(N355="","",IF(Q355="Yes","❌ Disc",IF(P355="No","⚠ Missing",IF(S355="Yes","✓ OK","⚠ Check"))))</f>
        <v/>
      </c>
      <c r="W355" s="65" t="n">
        <v>46248</v>
      </c>
      <c r="X355" s="30" t="inlineStr">
        <is>
          <t>Sunil CR</t>
        </is>
      </c>
      <c r="Y355" s="30" t="inlineStr">
        <is>
          <t>Yes</t>
        </is>
      </c>
      <c r="Z355" s="30" t="n"/>
      <c r="AA355" s="30" t="inlineStr">
        <is>
          <t>Good finish</t>
        </is>
      </c>
      <c r="AB355" s="30" t="inlineStr">
        <is>
          <t>Yes</t>
        </is>
      </c>
      <c r="AC355" s="27" t="n"/>
      <c r="AD355" s="31" t="inlineStr">
        <is>
          <t>No</t>
        </is>
      </c>
      <c r="AE355" s="32">
        <f>IF(W355="","",IF(Z355="Yes","❌ Disc",IF(Y355="No","⚠ Missing",IF(AB355="Yes","✓ OK","⚠ Check"))))</f>
        <v/>
      </c>
      <c r="AF355" s="33" t="n"/>
      <c r="AG355" s="33" t="n"/>
      <c r="AH355" s="33" t="n"/>
      <c r="AI355" s="33" t="n"/>
      <c r="AJ355" s="33" t="n"/>
      <c r="AK355" s="33" t="n"/>
      <c r="AL355" s="27" t="n"/>
      <c r="AM355" s="34" t="n"/>
      <c r="AN355" s="35">
        <f>IF(AF355="","",IF(AI355="Yes","❌ Disc",IF(AH355="No","⚠ Missing",IF(AK355="Yes","✓ OK","⚠ Check"))))</f>
        <v/>
      </c>
      <c r="AO355" s="36" t="n"/>
      <c r="AP355" s="36" t="n"/>
      <c r="AQ355" s="36" t="n"/>
      <c r="AR355" s="36" t="n"/>
      <c r="AS355" s="36" t="n"/>
      <c r="AT355" s="36" t="n"/>
      <c r="AU355" s="27" t="n"/>
      <c r="AV355" s="37" t="n"/>
      <c r="AW355" s="38">
        <f>IF(AO355="","",IF(AR355="Yes","❌ Disc",IF(AQ355="No","⚠ Missing",IF(AT355="Yes","✓ OK","⚠ Check"))))</f>
        <v/>
      </c>
    </row>
    <row r="356" ht="18" customHeight="1" s="46">
      <c r="A356" s="39" t="n">
        <v>352</v>
      </c>
      <c r="B356" s="40" t="inlineStr">
        <is>
          <t>BD-VRM-2026-0056</t>
        </is>
      </c>
      <c r="C356" s="41" t="inlineStr">
        <is>
          <t>Excel - Lohas Wallpaper 87464-4</t>
        </is>
      </c>
      <c r="D356" s="39" t="inlineStr">
        <is>
          <t>Excel</t>
        </is>
      </c>
      <c r="E356" s="43" t="n">
        <v>46125</v>
      </c>
      <c r="F356" s="26" t="inlineStr">
        <is>
          <t>Sunil CR</t>
        </is>
      </c>
      <c r="G356" s="26" t="inlineStr">
        <is>
          <t>Yes</t>
        </is>
      </c>
      <c r="H356" s="26" t="inlineStr">
        <is>
          <t>No</t>
        </is>
      </c>
      <c r="I356" s="26" t="inlineStr">
        <is>
          <t>Good finish</t>
        </is>
      </c>
      <c r="J356" s="26" t="inlineStr">
        <is>
          <t>Yes</t>
        </is>
      </c>
      <c r="K356" s="27" t="n"/>
      <c r="L356" s="28" t="inlineStr">
        <is>
          <t>No</t>
        </is>
      </c>
      <c r="M356" s="29">
        <f>IF(E356="","",IF(H356="Yes","❌ Disc",IF(G356="No","⚠ Missing",IF(J356="Yes","✓ OK","⚠ Check"))))</f>
        <v/>
      </c>
      <c r="N356" s="43" t="n">
        <v>46193</v>
      </c>
      <c r="O356" s="26" t="inlineStr">
        <is>
          <t>Sunil CR</t>
        </is>
      </c>
      <c r="P356" s="26" t="inlineStr">
        <is>
          <t>Yes</t>
        </is>
      </c>
      <c r="Q356" s="26" t="inlineStr">
        <is>
          <t>No</t>
        </is>
      </c>
      <c r="R356" s="26" t="inlineStr">
        <is>
          <t>Good finish</t>
        </is>
      </c>
      <c r="S356" s="26" t="inlineStr">
        <is>
          <t>Yes</t>
        </is>
      </c>
      <c r="T356" s="27" t="n"/>
      <c r="U356" s="28" t="inlineStr">
        <is>
          <t>No</t>
        </is>
      </c>
      <c r="V356" s="29">
        <f>IF(N356="","",IF(Q356="Yes","❌ Disc",IF(P356="No","⚠ Missing",IF(S356="Yes","✓ OK","⚠ Check"))))</f>
        <v/>
      </c>
      <c r="W356" s="65" t="n">
        <v>46248</v>
      </c>
      <c r="X356" s="30" t="inlineStr">
        <is>
          <t>Sunil CR</t>
        </is>
      </c>
      <c r="Y356" s="30" t="inlineStr">
        <is>
          <t>Yes</t>
        </is>
      </c>
      <c r="Z356" s="30" t="n"/>
      <c r="AA356" s="30" t="inlineStr">
        <is>
          <t>Good finish</t>
        </is>
      </c>
      <c r="AB356" s="30" t="inlineStr">
        <is>
          <t>Yes</t>
        </is>
      </c>
      <c r="AC356" s="27" t="n"/>
      <c r="AD356" s="31" t="inlineStr">
        <is>
          <t>No</t>
        </is>
      </c>
      <c r="AE356" s="32">
        <f>IF(W356="","",IF(Z356="Yes","❌ Disc",IF(Y356="No","⚠ Missing",IF(AB356="Yes","✓ OK","⚠ Check"))))</f>
        <v/>
      </c>
      <c r="AF356" s="33" t="n"/>
      <c r="AG356" s="33" t="n"/>
      <c r="AH356" s="33" t="n"/>
      <c r="AI356" s="33" t="n"/>
      <c r="AJ356" s="33" t="n"/>
      <c r="AK356" s="33" t="n"/>
      <c r="AL356" s="27" t="n"/>
      <c r="AM356" s="34" t="n"/>
      <c r="AN356" s="35">
        <f>IF(AF356="","",IF(AI356="Yes","❌ Disc",IF(AH356="No","⚠ Missing",IF(AK356="Yes","✓ OK","⚠ Check"))))</f>
        <v/>
      </c>
      <c r="AO356" s="36" t="n"/>
      <c r="AP356" s="36" t="n"/>
      <c r="AQ356" s="36" t="n"/>
      <c r="AR356" s="36" t="n"/>
      <c r="AS356" s="36" t="n"/>
      <c r="AT356" s="36" t="n"/>
      <c r="AU356" s="27" t="n"/>
      <c r="AV356" s="37" t="n"/>
      <c r="AW356" s="38">
        <f>IF(AO356="","",IF(AR356="Yes","❌ Disc",IF(AQ356="No","⚠ Missing",IF(AT356="Yes","✓ OK","⚠ Check"))))</f>
        <v/>
      </c>
    </row>
    <row r="357" ht="18" customHeight="1" s="46">
      <c r="A357" s="23" t="n">
        <v>353</v>
      </c>
      <c r="B357" s="24" t="inlineStr">
        <is>
          <t>BD-VRM-2026-0033</t>
        </is>
      </c>
      <c r="C357" s="25" t="inlineStr">
        <is>
          <t>Excel - Lohas Wallpaper 87466-1</t>
        </is>
      </c>
      <c r="D357" s="23" t="inlineStr">
        <is>
          <t>Excel</t>
        </is>
      </c>
      <c r="E357" s="43" t="n">
        <v>46125</v>
      </c>
      <c r="F357" s="26" t="inlineStr">
        <is>
          <t>Sunil CR</t>
        </is>
      </c>
      <c r="G357" s="26" t="inlineStr">
        <is>
          <t>Yes</t>
        </is>
      </c>
      <c r="H357" s="26" t="inlineStr">
        <is>
          <t>No</t>
        </is>
      </c>
      <c r="I357" s="26" t="inlineStr">
        <is>
          <t>Good finish</t>
        </is>
      </c>
      <c r="J357" s="26" t="inlineStr">
        <is>
          <t>Yes</t>
        </is>
      </c>
      <c r="K357" s="27" t="n"/>
      <c r="L357" s="28" t="inlineStr">
        <is>
          <t>No</t>
        </is>
      </c>
      <c r="M357" s="29">
        <f>IF(E357="","",IF(H357="Yes","❌ Disc",IF(G357="No","⚠ Missing",IF(J357="Yes","✓ OK","⚠ Check"))))</f>
        <v/>
      </c>
      <c r="N357" s="43" t="n">
        <v>46193</v>
      </c>
      <c r="O357" s="26" t="inlineStr">
        <is>
          <t>Sunil CR</t>
        </is>
      </c>
      <c r="P357" s="26" t="inlineStr">
        <is>
          <t>Yes</t>
        </is>
      </c>
      <c r="Q357" s="26" t="inlineStr">
        <is>
          <t>No</t>
        </is>
      </c>
      <c r="R357" s="26" t="inlineStr">
        <is>
          <t>Good finish</t>
        </is>
      </c>
      <c r="S357" s="26" t="inlineStr">
        <is>
          <t>Yes</t>
        </is>
      </c>
      <c r="T357" s="27" t="n"/>
      <c r="U357" s="28" t="inlineStr">
        <is>
          <t>No</t>
        </is>
      </c>
      <c r="V357" s="29">
        <f>IF(N357="","",IF(Q357="Yes","❌ Disc",IF(P357="No","⚠ Missing",IF(S357="Yes","✓ OK","⚠ Check"))))</f>
        <v/>
      </c>
      <c r="W357" s="65" t="n">
        <v>46248</v>
      </c>
      <c r="X357" s="30" t="inlineStr">
        <is>
          <t>Sunil CR</t>
        </is>
      </c>
      <c r="Y357" s="30" t="inlineStr">
        <is>
          <t>Yes</t>
        </is>
      </c>
      <c r="Z357" s="30" t="n"/>
      <c r="AA357" s="30" t="inlineStr">
        <is>
          <t>Good finish</t>
        </is>
      </c>
      <c r="AB357" s="30" t="inlineStr">
        <is>
          <t>Yes</t>
        </is>
      </c>
      <c r="AC357" s="27" t="n"/>
      <c r="AD357" s="31" t="inlineStr">
        <is>
          <t>No</t>
        </is>
      </c>
      <c r="AE357" s="32">
        <f>IF(W357="","",IF(Z357="Yes","❌ Disc",IF(Y357="No","⚠ Missing",IF(AB357="Yes","✓ OK","⚠ Check"))))</f>
        <v/>
      </c>
      <c r="AF357" s="33" t="n"/>
      <c r="AG357" s="33" t="n"/>
      <c r="AH357" s="33" t="n"/>
      <c r="AI357" s="33" t="n"/>
      <c r="AJ357" s="33" t="n"/>
      <c r="AK357" s="33" t="n"/>
      <c r="AL357" s="27" t="n"/>
      <c r="AM357" s="34" t="n"/>
      <c r="AN357" s="35">
        <f>IF(AF357="","",IF(AI357="Yes","❌ Disc",IF(AH357="No","⚠ Missing",IF(AK357="Yes","✓ OK","⚠ Check"))))</f>
        <v/>
      </c>
      <c r="AO357" s="36" t="n"/>
      <c r="AP357" s="36" t="n"/>
      <c r="AQ357" s="36" t="n"/>
      <c r="AR357" s="36" t="n"/>
      <c r="AS357" s="36" t="n"/>
      <c r="AT357" s="36" t="n"/>
      <c r="AU357" s="27" t="n"/>
      <c r="AV357" s="37" t="n"/>
      <c r="AW357" s="38">
        <f>IF(AO357="","",IF(AR357="Yes","❌ Disc",IF(AQ357="No","⚠ Missing",IF(AT357="Yes","✓ OK","⚠ Check"))))</f>
        <v/>
      </c>
    </row>
    <row r="358" ht="18" customHeight="1" s="46">
      <c r="A358" s="39" t="n">
        <v>354</v>
      </c>
      <c r="B358" s="40" t="inlineStr">
        <is>
          <t>BD-VRM-2026-0034</t>
        </is>
      </c>
      <c r="C358" s="41" t="inlineStr">
        <is>
          <t>Excel - Lohas Wallpaper 87466-2</t>
        </is>
      </c>
      <c r="D358" s="39" t="inlineStr">
        <is>
          <t>Excel</t>
        </is>
      </c>
      <c r="E358" s="43" t="n">
        <v>46125</v>
      </c>
      <c r="F358" s="26" t="inlineStr">
        <is>
          <t>Sunil CR</t>
        </is>
      </c>
      <c r="G358" s="26" t="inlineStr">
        <is>
          <t>Yes</t>
        </is>
      </c>
      <c r="H358" s="26" t="inlineStr">
        <is>
          <t>No</t>
        </is>
      </c>
      <c r="I358" s="26" t="inlineStr">
        <is>
          <t>Good finish</t>
        </is>
      </c>
      <c r="J358" s="26" t="inlineStr">
        <is>
          <t>Yes</t>
        </is>
      </c>
      <c r="K358" s="27" t="n"/>
      <c r="L358" s="28" t="inlineStr">
        <is>
          <t>No</t>
        </is>
      </c>
      <c r="M358" s="29">
        <f>IF(E358="","",IF(H358="Yes","❌ Disc",IF(G358="No","⚠ Missing",IF(J358="Yes","✓ OK","⚠ Check"))))</f>
        <v/>
      </c>
      <c r="N358" s="43" t="n">
        <v>46193</v>
      </c>
      <c r="O358" s="26" t="inlineStr">
        <is>
          <t>Sunil CR</t>
        </is>
      </c>
      <c r="P358" s="26" t="inlineStr">
        <is>
          <t>Yes</t>
        </is>
      </c>
      <c r="Q358" s="26" t="inlineStr">
        <is>
          <t>No</t>
        </is>
      </c>
      <c r="R358" s="26" t="inlineStr">
        <is>
          <t>Good finish</t>
        </is>
      </c>
      <c r="S358" s="26" t="inlineStr">
        <is>
          <t>Yes</t>
        </is>
      </c>
      <c r="T358" s="27" t="n"/>
      <c r="U358" s="28" t="inlineStr">
        <is>
          <t>No</t>
        </is>
      </c>
      <c r="V358" s="29">
        <f>IF(N358="","",IF(Q358="Yes","❌ Disc",IF(P358="No","⚠ Missing",IF(S358="Yes","✓ OK","⚠ Check"))))</f>
        <v/>
      </c>
      <c r="W358" s="65" t="n">
        <v>46248</v>
      </c>
      <c r="X358" s="30" t="inlineStr">
        <is>
          <t>Sunil CR</t>
        </is>
      </c>
      <c r="Y358" s="30" t="inlineStr">
        <is>
          <t>Yes</t>
        </is>
      </c>
      <c r="Z358" s="30" t="n"/>
      <c r="AA358" s="30" t="inlineStr">
        <is>
          <t>Good finish</t>
        </is>
      </c>
      <c r="AB358" s="30" t="inlineStr">
        <is>
          <t>Yes</t>
        </is>
      </c>
      <c r="AC358" s="27" t="n"/>
      <c r="AD358" s="31" t="inlineStr">
        <is>
          <t>No</t>
        </is>
      </c>
      <c r="AE358" s="32">
        <f>IF(W358="","",IF(Z358="Yes","❌ Disc",IF(Y358="No","⚠ Missing",IF(AB358="Yes","✓ OK","⚠ Check"))))</f>
        <v/>
      </c>
      <c r="AF358" s="33" t="n"/>
      <c r="AG358" s="33" t="n"/>
      <c r="AH358" s="33" t="n"/>
      <c r="AI358" s="33" t="n"/>
      <c r="AJ358" s="33" t="n"/>
      <c r="AK358" s="33" t="n"/>
      <c r="AL358" s="27" t="n"/>
      <c r="AM358" s="34" t="n"/>
      <c r="AN358" s="35">
        <f>IF(AF358="","",IF(AI358="Yes","❌ Disc",IF(AH358="No","⚠ Missing",IF(AK358="Yes","✓ OK","⚠ Check"))))</f>
        <v/>
      </c>
      <c r="AO358" s="36" t="n"/>
      <c r="AP358" s="36" t="n"/>
      <c r="AQ358" s="36" t="n"/>
      <c r="AR358" s="36" t="n"/>
      <c r="AS358" s="36" t="n"/>
      <c r="AT358" s="36" t="n"/>
      <c r="AU358" s="27" t="n"/>
      <c r="AV358" s="37" t="n"/>
      <c r="AW358" s="38">
        <f>IF(AO358="","",IF(AR358="Yes","❌ Disc",IF(AQ358="No","⚠ Missing",IF(AT358="Yes","✓ OK","⚠ Check"))))</f>
        <v/>
      </c>
    </row>
    <row r="359" ht="18" customHeight="1" s="46">
      <c r="A359" s="23" t="n">
        <v>355</v>
      </c>
      <c r="B359" s="24" t="inlineStr">
        <is>
          <t>BD-VRM-2026-0048</t>
        </is>
      </c>
      <c r="C359" s="25" t="inlineStr">
        <is>
          <t>Excel - Lohas Wallpaper 87467-1</t>
        </is>
      </c>
      <c r="D359" s="23" t="inlineStr">
        <is>
          <t>Excel</t>
        </is>
      </c>
      <c r="E359" s="43" t="n">
        <v>46125</v>
      </c>
      <c r="F359" s="26" t="inlineStr">
        <is>
          <t>Sunil CR</t>
        </is>
      </c>
      <c r="G359" s="26" t="inlineStr">
        <is>
          <t>Yes</t>
        </is>
      </c>
      <c r="H359" s="26" t="inlineStr">
        <is>
          <t>No</t>
        </is>
      </c>
      <c r="I359" s="26" t="inlineStr">
        <is>
          <t>Good finish</t>
        </is>
      </c>
      <c r="J359" s="26" t="inlineStr">
        <is>
          <t>Yes</t>
        </is>
      </c>
      <c r="K359" s="27" t="n"/>
      <c r="L359" s="28" t="inlineStr">
        <is>
          <t>No</t>
        </is>
      </c>
      <c r="M359" s="29">
        <f>IF(E359="","",IF(H359="Yes","❌ Disc",IF(G359="No","⚠ Missing",IF(J359="Yes","✓ OK","⚠ Check"))))</f>
        <v/>
      </c>
      <c r="N359" s="43" t="n">
        <v>46193</v>
      </c>
      <c r="O359" s="26" t="inlineStr">
        <is>
          <t>Sunil CR</t>
        </is>
      </c>
      <c r="P359" s="26" t="inlineStr">
        <is>
          <t>Yes</t>
        </is>
      </c>
      <c r="Q359" s="26" t="inlineStr">
        <is>
          <t>No</t>
        </is>
      </c>
      <c r="R359" s="26" t="inlineStr">
        <is>
          <t>Good finish</t>
        </is>
      </c>
      <c r="S359" s="26" t="inlineStr">
        <is>
          <t>Yes</t>
        </is>
      </c>
      <c r="T359" s="27" t="n"/>
      <c r="U359" s="28" t="inlineStr">
        <is>
          <t>No</t>
        </is>
      </c>
      <c r="V359" s="29">
        <f>IF(N359="","",IF(Q359="Yes","❌ Disc",IF(P359="No","⚠ Missing",IF(S359="Yes","✓ OK","⚠ Check"))))</f>
        <v/>
      </c>
      <c r="W359" s="65" t="n">
        <v>46248</v>
      </c>
      <c r="X359" s="30" t="inlineStr">
        <is>
          <t>Sunil CR</t>
        </is>
      </c>
      <c r="Y359" s="30" t="inlineStr">
        <is>
          <t>Yes</t>
        </is>
      </c>
      <c r="Z359" s="30" t="n"/>
      <c r="AA359" s="30" t="inlineStr">
        <is>
          <t>Good finish</t>
        </is>
      </c>
      <c r="AB359" s="30" t="inlineStr">
        <is>
          <t>Yes</t>
        </is>
      </c>
      <c r="AC359" s="27" t="n"/>
      <c r="AD359" s="31" t="inlineStr">
        <is>
          <t>No</t>
        </is>
      </c>
      <c r="AE359" s="32">
        <f>IF(W359="","",IF(Z359="Yes","❌ Disc",IF(Y359="No","⚠ Missing",IF(AB359="Yes","✓ OK","⚠ Check"))))</f>
        <v/>
      </c>
      <c r="AF359" s="33" t="n"/>
      <c r="AG359" s="33" t="n"/>
      <c r="AH359" s="33" t="n"/>
      <c r="AI359" s="33" t="n"/>
      <c r="AJ359" s="33" t="n"/>
      <c r="AK359" s="33" t="n"/>
      <c r="AL359" s="27" t="n"/>
      <c r="AM359" s="34" t="n"/>
      <c r="AN359" s="35">
        <f>IF(AF359="","",IF(AI359="Yes","❌ Disc",IF(AH359="No","⚠ Missing",IF(AK359="Yes","✓ OK","⚠ Check"))))</f>
        <v/>
      </c>
      <c r="AO359" s="36" t="n"/>
      <c r="AP359" s="36" t="n"/>
      <c r="AQ359" s="36" t="n"/>
      <c r="AR359" s="36" t="n"/>
      <c r="AS359" s="36" t="n"/>
      <c r="AT359" s="36" t="n"/>
      <c r="AU359" s="27" t="n"/>
      <c r="AV359" s="37" t="n"/>
      <c r="AW359" s="38">
        <f>IF(AO359="","",IF(AR359="Yes","❌ Disc",IF(AQ359="No","⚠ Missing",IF(AT359="Yes","✓ OK","⚠ Check"))))</f>
        <v/>
      </c>
    </row>
    <row r="360" ht="18" customHeight="1" s="46">
      <c r="A360" s="39" t="n">
        <v>356</v>
      </c>
      <c r="B360" s="40" t="inlineStr">
        <is>
          <t>BD-VRM-2026-0049</t>
        </is>
      </c>
      <c r="C360" s="41" t="inlineStr">
        <is>
          <t>Excel - Lohas Wallpaper 87467-2</t>
        </is>
      </c>
      <c r="D360" s="39" t="inlineStr">
        <is>
          <t>Excel</t>
        </is>
      </c>
      <c r="E360" s="43" t="n">
        <v>46125</v>
      </c>
      <c r="F360" s="26" t="inlineStr">
        <is>
          <t>Sunil CR</t>
        </is>
      </c>
      <c r="G360" s="26" t="inlineStr">
        <is>
          <t>Yes</t>
        </is>
      </c>
      <c r="H360" s="26" t="inlineStr">
        <is>
          <t>No</t>
        </is>
      </c>
      <c r="I360" s="26" t="inlineStr">
        <is>
          <t>Good finish</t>
        </is>
      </c>
      <c r="J360" s="26" t="inlineStr">
        <is>
          <t>Yes</t>
        </is>
      </c>
      <c r="K360" s="27" t="n"/>
      <c r="L360" s="28" t="inlineStr">
        <is>
          <t>No</t>
        </is>
      </c>
      <c r="M360" s="29">
        <f>IF(E360="","",IF(H360="Yes","❌ Disc",IF(G360="No","⚠ Missing",IF(J360="Yes","✓ OK","⚠ Check"))))</f>
        <v/>
      </c>
      <c r="N360" s="43" t="n">
        <v>46193</v>
      </c>
      <c r="O360" s="26" t="inlineStr">
        <is>
          <t>Sunil CR</t>
        </is>
      </c>
      <c r="P360" s="26" t="inlineStr">
        <is>
          <t>Yes</t>
        </is>
      </c>
      <c r="Q360" s="26" t="inlineStr">
        <is>
          <t>No</t>
        </is>
      </c>
      <c r="R360" s="26" t="inlineStr">
        <is>
          <t>Good finish</t>
        </is>
      </c>
      <c r="S360" s="26" t="inlineStr">
        <is>
          <t>Yes</t>
        </is>
      </c>
      <c r="T360" s="27" t="n"/>
      <c r="U360" s="28" t="inlineStr">
        <is>
          <t>No</t>
        </is>
      </c>
      <c r="V360" s="29">
        <f>IF(N360="","",IF(Q360="Yes","❌ Disc",IF(P360="No","⚠ Missing",IF(S360="Yes","✓ OK","⚠ Check"))))</f>
        <v/>
      </c>
      <c r="W360" s="65" t="n">
        <v>46248</v>
      </c>
      <c r="X360" s="30" t="inlineStr">
        <is>
          <t>Sunil CR</t>
        </is>
      </c>
      <c r="Y360" s="30" t="inlineStr">
        <is>
          <t>Yes</t>
        </is>
      </c>
      <c r="Z360" s="30" t="n"/>
      <c r="AA360" s="30" t="inlineStr">
        <is>
          <t>Good finish</t>
        </is>
      </c>
      <c r="AB360" s="30" t="inlineStr">
        <is>
          <t>Yes</t>
        </is>
      </c>
      <c r="AC360" s="27" t="n"/>
      <c r="AD360" s="31" t="inlineStr">
        <is>
          <t>No</t>
        </is>
      </c>
      <c r="AE360" s="32">
        <f>IF(W360="","",IF(Z360="Yes","❌ Disc",IF(Y360="No","⚠ Missing",IF(AB360="Yes","✓ OK","⚠ Check"))))</f>
        <v/>
      </c>
      <c r="AF360" s="33" t="n"/>
      <c r="AG360" s="33" t="n"/>
      <c r="AH360" s="33" t="n"/>
      <c r="AI360" s="33" t="n"/>
      <c r="AJ360" s="33" t="n"/>
      <c r="AK360" s="33" t="n"/>
      <c r="AL360" s="27" t="n"/>
      <c r="AM360" s="34" t="n"/>
      <c r="AN360" s="35">
        <f>IF(AF360="","",IF(AI360="Yes","❌ Disc",IF(AH360="No","⚠ Missing",IF(AK360="Yes","✓ OK","⚠ Check"))))</f>
        <v/>
      </c>
      <c r="AO360" s="36" t="n"/>
      <c r="AP360" s="36" t="n"/>
      <c r="AQ360" s="36" t="n"/>
      <c r="AR360" s="36" t="n"/>
      <c r="AS360" s="36" t="n"/>
      <c r="AT360" s="36" t="n"/>
      <c r="AU360" s="27" t="n"/>
      <c r="AV360" s="37" t="n"/>
      <c r="AW360" s="38">
        <f>IF(AO360="","",IF(AR360="Yes","❌ Disc",IF(AQ360="No","⚠ Missing",IF(AT360="Yes","✓ OK","⚠ Check"))))</f>
        <v/>
      </c>
    </row>
    <row r="361" ht="18" customHeight="1" s="46">
      <c r="A361" s="23" t="n">
        <v>357</v>
      </c>
      <c r="B361" s="24" t="inlineStr">
        <is>
          <t>BD-VRM-2026-0050</t>
        </is>
      </c>
      <c r="C361" s="25" t="inlineStr">
        <is>
          <t>Excel - Lohas Wallpaper 87467-3</t>
        </is>
      </c>
      <c r="D361" s="23" t="inlineStr">
        <is>
          <t>Excel</t>
        </is>
      </c>
      <c r="E361" s="43" t="n">
        <v>46125</v>
      </c>
      <c r="F361" s="26" t="inlineStr">
        <is>
          <t>Sunil CR</t>
        </is>
      </c>
      <c r="G361" s="26" t="inlineStr">
        <is>
          <t>Yes</t>
        </is>
      </c>
      <c r="H361" s="26" t="inlineStr">
        <is>
          <t>No</t>
        </is>
      </c>
      <c r="I361" s="26" t="inlineStr">
        <is>
          <t>Good finish</t>
        </is>
      </c>
      <c r="J361" s="26" t="inlineStr">
        <is>
          <t>Yes</t>
        </is>
      </c>
      <c r="K361" s="27" t="n"/>
      <c r="L361" s="28" t="inlineStr">
        <is>
          <t>No</t>
        </is>
      </c>
      <c r="M361" s="29">
        <f>IF(E361="","",IF(H361="Yes","❌ Disc",IF(G361="No","⚠ Missing",IF(J361="Yes","✓ OK","⚠ Check"))))</f>
        <v/>
      </c>
      <c r="N361" s="43" t="n">
        <v>46193</v>
      </c>
      <c r="O361" s="26" t="inlineStr">
        <is>
          <t>Sunil CR</t>
        </is>
      </c>
      <c r="P361" s="26" t="inlineStr">
        <is>
          <t>Yes</t>
        </is>
      </c>
      <c r="Q361" s="26" t="inlineStr">
        <is>
          <t>No</t>
        </is>
      </c>
      <c r="R361" s="26" t="inlineStr">
        <is>
          <t>Good finish</t>
        </is>
      </c>
      <c r="S361" s="26" t="inlineStr">
        <is>
          <t>Yes</t>
        </is>
      </c>
      <c r="T361" s="27" t="n"/>
      <c r="U361" s="28" t="inlineStr">
        <is>
          <t>No</t>
        </is>
      </c>
      <c r="V361" s="29">
        <f>IF(N361="","",IF(Q361="Yes","❌ Disc",IF(P361="No","⚠ Missing",IF(S361="Yes","✓ OK","⚠ Check"))))</f>
        <v/>
      </c>
      <c r="W361" s="65" t="n">
        <v>46248</v>
      </c>
      <c r="X361" s="30" t="inlineStr">
        <is>
          <t>Sunil CR</t>
        </is>
      </c>
      <c r="Y361" s="30" t="inlineStr">
        <is>
          <t>Yes</t>
        </is>
      </c>
      <c r="Z361" s="30" t="n"/>
      <c r="AA361" s="30" t="inlineStr">
        <is>
          <t>Good finish</t>
        </is>
      </c>
      <c r="AB361" s="30" t="inlineStr">
        <is>
          <t>Yes</t>
        </is>
      </c>
      <c r="AC361" s="27" t="n"/>
      <c r="AD361" s="31" t="inlineStr">
        <is>
          <t>No</t>
        </is>
      </c>
      <c r="AE361" s="32">
        <f>IF(W361="","",IF(Z361="Yes","❌ Disc",IF(Y361="No","⚠ Missing",IF(AB361="Yes","✓ OK","⚠ Check"))))</f>
        <v/>
      </c>
      <c r="AF361" s="33" t="n"/>
      <c r="AG361" s="33" t="n"/>
      <c r="AH361" s="33" t="n"/>
      <c r="AI361" s="33" t="n"/>
      <c r="AJ361" s="33" t="n"/>
      <c r="AK361" s="33" t="n"/>
      <c r="AL361" s="27" t="n"/>
      <c r="AM361" s="34" t="n"/>
      <c r="AN361" s="35">
        <f>IF(AF361="","",IF(AI361="Yes","❌ Disc",IF(AH361="No","⚠ Missing",IF(AK361="Yes","✓ OK","⚠ Check"))))</f>
        <v/>
      </c>
      <c r="AO361" s="36" t="n"/>
      <c r="AP361" s="36" t="n"/>
      <c r="AQ361" s="36" t="n"/>
      <c r="AR361" s="36" t="n"/>
      <c r="AS361" s="36" t="n"/>
      <c r="AT361" s="36" t="n"/>
      <c r="AU361" s="27" t="n"/>
      <c r="AV361" s="37" t="n"/>
      <c r="AW361" s="38">
        <f>IF(AO361="","",IF(AR361="Yes","❌ Disc",IF(AQ361="No","⚠ Missing",IF(AT361="Yes","✓ OK","⚠ Check"))))</f>
        <v/>
      </c>
    </row>
    <row r="362" ht="18" customHeight="1" s="46">
      <c r="A362" s="39" t="n">
        <v>358</v>
      </c>
      <c r="B362" s="40" t="inlineStr">
        <is>
          <t>BD-VRM-2026-0051</t>
        </is>
      </c>
      <c r="C362" s="41" t="inlineStr">
        <is>
          <t>Excel - Lohas Wallpaper 87467-4</t>
        </is>
      </c>
      <c r="D362" s="39" t="inlineStr">
        <is>
          <t>Excel</t>
        </is>
      </c>
      <c r="E362" s="43" t="n">
        <v>46125</v>
      </c>
      <c r="F362" s="26" t="inlineStr">
        <is>
          <t>Sunil CR</t>
        </is>
      </c>
      <c r="G362" s="26" t="inlineStr">
        <is>
          <t>Yes</t>
        </is>
      </c>
      <c r="H362" s="26" t="inlineStr">
        <is>
          <t>No</t>
        </is>
      </c>
      <c r="I362" s="26" t="inlineStr">
        <is>
          <t>Good finish</t>
        </is>
      </c>
      <c r="J362" s="26" t="inlineStr">
        <is>
          <t>Yes</t>
        </is>
      </c>
      <c r="K362" s="27" t="n"/>
      <c r="L362" s="28" t="inlineStr">
        <is>
          <t>No</t>
        </is>
      </c>
      <c r="M362" s="29">
        <f>IF(E362="","",IF(H362="Yes","❌ Disc",IF(G362="No","⚠ Missing",IF(J362="Yes","✓ OK","⚠ Check"))))</f>
        <v/>
      </c>
      <c r="N362" s="43" t="n">
        <v>46193</v>
      </c>
      <c r="O362" s="26" t="inlineStr">
        <is>
          <t>Sunil CR</t>
        </is>
      </c>
      <c r="P362" s="26" t="inlineStr">
        <is>
          <t>Yes</t>
        </is>
      </c>
      <c r="Q362" s="26" t="inlineStr">
        <is>
          <t>No</t>
        </is>
      </c>
      <c r="R362" s="26" t="inlineStr">
        <is>
          <t>Good finish</t>
        </is>
      </c>
      <c r="S362" s="26" t="inlineStr">
        <is>
          <t>Yes</t>
        </is>
      </c>
      <c r="T362" s="27" t="n"/>
      <c r="U362" s="28" t="inlineStr">
        <is>
          <t>No</t>
        </is>
      </c>
      <c r="V362" s="29">
        <f>IF(N362="","",IF(Q362="Yes","❌ Disc",IF(P362="No","⚠ Missing",IF(S362="Yes","✓ OK","⚠ Check"))))</f>
        <v/>
      </c>
      <c r="W362" s="65" t="n">
        <v>46248</v>
      </c>
      <c r="X362" s="30" t="inlineStr">
        <is>
          <t>Sunil CR</t>
        </is>
      </c>
      <c r="Y362" s="30" t="inlineStr">
        <is>
          <t>Yes</t>
        </is>
      </c>
      <c r="Z362" s="30" t="n"/>
      <c r="AA362" s="30" t="inlineStr">
        <is>
          <t>Good finish</t>
        </is>
      </c>
      <c r="AB362" s="30" t="inlineStr">
        <is>
          <t>Yes</t>
        </is>
      </c>
      <c r="AC362" s="27" t="n"/>
      <c r="AD362" s="31" t="inlineStr">
        <is>
          <t>No</t>
        </is>
      </c>
      <c r="AE362" s="32">
        <f>IF(W362="","",IF(Z362="Yes","❌ Disc",IF(Y362="No","⚠ Missing",IF(AB362="Yes","✓ OK","⚠ Check"))))</f>
        <v/>
      </c>
      <c r="AF362" s="33" t="n"/>
      <c r="AG362" s="33" t="n"/>
      <c r="AH362" s="33" t="n"/>
      <c r="AI362" s="33" t="n"/>
      <c r="AJ362" s="33" t="n"/>
      <c r="AK362" s="33" t="n"/>
      <c r="AL362" s="27" t="n"/>
      <c r="AM362" s="34" t="n"/>
      <c r="AN362" s="35">
        <f>IF(AF362="","",IF(AI362="Yes","❌ Disc",IF(AH362="No","⚠ Missing",IF(AK362="Yes","✓ OK","⚠ Check"))))</f>
        <v/>
      </c>
      <c r="AO362" s="36" t="n"/>
      <c r="AP362" s="36" t="n"/>
      <c r="AQ362" s="36" t="n"/>
      <c r="AR362" s="36" t="n"/>
      <c r="AS362" s="36" t="n"/>
      <c r="AT362" s="36" t="n"/>
      <c r="AU362" s="27" t="n"/>
      <c r="AV362" s="37" t="n"/>
      <c r="AW362" s="38">
        <f>IF(AO362="","",IF(AR362="Yes","❌ Disc",IF(AQ362="No","⚠ Missing",IF(AT362="Yes","✓ OK","⚠ Check"))))</f>
        <v/>
      </c>
    </row>
    <row r="363" ht="18" customHeight="1" s="46">
      <c r="A363" s="23" t="n">
        <v>359</v>
      </c>
      <c r="B363" s="24" t="inlineStr">
        <is>
          <t>BD-VRM-2026-0052</t>
        </is>
      </c>
      <c r="C363" s="25" t="inlineStr">
        <is>
          <t>Excel - Lohas Wallpaper 87467-5</t>
        </is>
      </c>
      <c r="D363" s="23" t="inlineStr">
        <is>
          <t>Excel</t>
        </is>
      </c>
      <c r="E363" s="43" t="n">
        <v>46125</v>
      </c>
      <c r="F363" s="26" t="inlineStr">
        <is>
          <t>Sunil CR</t>
        </is>
      </c>
      <c r="G363" s="26" t="inlineStr">
        <is>
          <t>Yes</t>
        </is>
      </c>
      <c r="H363" s="26" t="inlineStr">
        <is>
          <t>No</t>
        </is>
      </c>
      <c r="I363" s="26" t="inlineStr">
        <is>
          <t>Good finish</t>
        </is>
      </c>
      <c r="J363" s="26" t="inlineStr">
        <is>
          <t>Yes</t>
        </is>
      </c>
      <c r="K363" s="27" t="n"/>
      <c r="L363" s="28" t="inlineStr">
        <is>
          <t>No</t>
        </is>
      </c>
      <c r="M363" s="29">
        <f>IF(E363="","",IF(H363="Yes","❌ Disc",IF(G363="No","⚠ Missing",IF(J363="Yes","✓ OK","⚠ Check"))))</f>
        <v/>
      </c>
      <c r="N363" s="43" t="n">
        <v>46193</v>
      </c>
      <c r="O363" s="26" t="inlineStr">
        <is>
          <t>Sunil CR</t>
        </is>
      </c>
      <c r="P363" s="26" t="inlineStr">
        <is>
          <t>Yes</t>
        </is>
      </c>
      <c r="Q363" s="26" t="inlineStr">
        <is>
          <t>No</t>
        </is>
      </c>
      <c r="R363" s="26" t="inlineStr">
        <is>
          <t>Good finish</t>
        </is>
      </c>
      <c r="S363" s="26" t="inlineStr">
        <is>
          <t>Yes</t>
        </is>
      </c>
      <c r="T363" s="27" t="n"/>
      <c r="U363" s="28" t="inlineStr">
        <is>
          <t>No</t>
        </is>
      </c>
      <c r="V363" s="29">
        <f>IF(N363="","",IF(Q363="Yes","❌ Disc",IF(P363="No","⚠ Missing",IF(S363="Yes","✓ OK","⚠ Check"))))</f>
        <v/>
      </c>
      <c r="W363" s="65" t="n">
        <v>46248</v>
      </c>
      <c r="X363" s="30" t="inlineStr">
        <is>
          <t>Sunil CR</t>
        </is>
      </c>
      <c r="Y363" s="30" t="inlineStr">
        <is>
          <t>Yes</t>
        </is>
      </c>
      <c r="Z363" s="30" t="n"/>
      <c r="AA363" s="30" t="inlineStr">
        <is>
          <t>Good finish</t>
        </is>
      </c>
      <c r="AB363" s="30" t="inlineStr">
        <is>
          <t>Yes</t>
        </is>
      </c>
      <c r="AC363" s="27" t="n"/>
      <c r="AD363" s="31" t="inlineStr">
        <is>
          <t>No</t>
        </is>
      </c>
      <c r="AE363" s="32">
        <f>IF(W363="","",IF(Z363="Yes","❌ Disc",IF(Y363="No","⚠ Missing",IF(AB363="Yes","✓ OK","⚠ Check"))))</f>
        <v/>
      </c>
      <c r="AF363" s="33" t="n"/>
      <c r="AG363" s="33" t="n"/>
      <c r="AH363" s="33" t="n"/>
      <c r="AI363" s="33" t="n"/>
      <c r="AJ363" s="33" t="n"/>
      <c r="AK363" s="33" t="n"/>
      <c r="AL363" s="27" t="n"/>
      <c r="AM363" s="34" t="n"/>
      <c r="AN363" s="35">
        <f>IF(AF363="","",IF(AI363="Yes","❌ Disc",IF(AH363="No","⚠ Missing",IF(AK363="Yes","✓ OK","⚠ Check"))))</f>
        <v/>
      </c>
      <c r="AO363" s="36" t="n"/>
      <c r="AP363" s="36" t="n"/>
      <c r="AQ363" s="36" t="n"/>
      <c r="AR363" s="36" t="n"/>
      <c r="AS363" s="36" t="n"/>
      <c r="AT363" s="36" t="n"/>
      <c r="AU363" s="27" t="n"/>
      <c r="AV363" s="37" t="n"/>
      <c r="AW363" s="38">
        <f>IF(AO363="","",IF(AR363="Yes","❌ Disc",IF(AQ363="No","⚠ Missing",IF(AT363="Yes","✓ OK","⚠ Check"))))</f>
        <v/>
      </c>
    </row>
    <row r="364" ht="18" customHeight="1" s="46">
      <c r="A364" s="39" t="n">
        <v>360</v>
      </c>
      <c r="B364" s="40" t="inlineStr">
        <is>
          <t>BD-VRM-2026-0041</t>
        </is>
      </c>
      <c r="C364" s="41" t="inlineStr">
        <is>
          <t>Excel - Lohas Wallpaper 87468-1</t>
        </is>
      </c>
      <c r="D364" s="39" t="inlineStr">
        <is>
          <t>Excel</t>
        </is>
      </c>
      <c r="E364" s="43" t="n">
        <v>46125</v>
      </c>
      <c r="F364" s="26" t="inlineStr">
        <is>
          <t>Sunil CR</t>
        </is>
      </c>
      <c r="G364" s="26" t="inlineStr">
        <is>
          <t>Yes</t>
        </is>
      </c>
      <c r="H364" s="26" t="inlineStr">
        <is>
          <t>No</t>
        </is>
      </c>
      <c r="I364" s="26" t="inlineStr">
        <is>
          <t>Good finish</t>
        </is>
      </c>
      <c r="J364" s="26" t="inlineStr">
        <is>
          <t>Yes</t>
        </is>
      </c>
      <c r="K364" s="27" t="n"/>
      <c r="L364" s="28" t="inlineStr">
        <is>
          <t>No</t>
        </is>
      </c>
      <c r="M364" s="29">
        <f>IF(E364="","",IF(H364="Yes","❌ Disc",IF(G364="No","⚠ Missing",IF(J364="Yes","✓ OK","⚠ Check"))))</f>
        <v/>
      </c>
      <c r="N364" s="43" t="n">
        <v>46193</v>
      </c>
      <c r="O364" s="26" t="inlineStr">
        <is>
          <t>Sunil CR</t>
        </is>
      </c>
      <c r="P364" s="26" t="inlineStr">
        <is>
          <t>Yes</t>
        </is>
      </c>
      <c r="Q364" s="26" t="inlineStr">
        <is>
          <t>No</t>
        </is>
      </c>
      <c r="R364" s="26" t="inlineStr">
        <is>
          <t>Good finish</t>
        </is>
      </c>
      <c r="S364" s="26" t="inlineStr">
        <is>
          <t>Yes</t>
        </is>
      </c>
      <c r="T364" s="27" t="n"/>
      <c r="U364" s="28" t="inlineStr">
        <is>
          <t>No</t>
        </is>
      </c>
      <c r="V364" s="29">
        <f>IF(N364="","",IF(Q364="Yes","❌ Disc",IF(P364="No","⚠ Missing",IF(S364="Yes","✓ OK","⚠ Check"))))</f>
        <v/>
      </c>
      <c r="W364" s="65" t="n">
        <v>46248</v>
      </c>
      <c r="X364" s="30" t="inlineStr">
        <is>
          <t>Sunil CR</t>
        </is>
      </c>
      <c r="Y364" s="30" t="inlineStr">
        <is>
          <t>Yes</t>
        </is>
      </c>
      <c r="Z364" s="30" t="n"/>
      <c r="AA364" s="30" t="inlineStr">
        <is>
          <t>Good finish</t>
        </is>
      </c>
      <c r="AB364" s="30" t="inlineStr">
        <is>
          <t>Yes</t>
        </is>
      </c>
      <c r="AC364" s="27" t="n"/>
      <c r="AD364" s="31" t="inlineStr">
        <is>
          <t>No</t>
        </is>
      </c>
      <c r="AE364" s="32">
        <f>IF(W364="","",IF(Z364="Yes","❌ Disc",IF(Y364="No","⚠ Missing",IF(AB364="Yes","✓ OK","⚠ Check"))))</f>
        <v/>
      </c>
      <c r="AF364" s="33" t="n"/>
      <c r="AG364" s="33" t="n"/>
      <c r="AH364" s="33" t="n"/>
      <c r="AI364" s="33" t="n"/>
      <c r="AJ364" s="33" t="n"/>
      <c r="AK364" s="33" t="n"/>
      <c r="AL364" s="27" t="n"/>
      <c r="AM364" s="34" t="n"/>
      <c r="AN364" s="35">
        <f>IF(AF364="","",IF(AI364="Yes","❌ Disc",IF(AH364="No","⚠ Missing",IF(AK364="Yes","✓ OK","⚠ Check"))))</f>
        <v/>
      </c>
      <c r="AO364" s="36" t="n"/>
      <c r="AP364" s="36" t="n"/>
      <c r="AQ364" s="36" t="n"/>
      <c r="AR364" s="36" t="n"/>
      <c r="AS364" s="36" t="n"/>
      <c r="AT364" s="36" t="n"/>
      <c r="AU364" s="27" t="n"/>
      <c r="AV364" s="37" t="n"/>
      <c r="AW364" s="38">
        <f>IF(AO364="","",IF(AR364="Yes","❌ Disc",IF(AQ364="No","⚠ Missing",IF(AT364="Yes","✓ OK","⚠ Check"))))</f>
        <v/>
      </c>
    </row>
    <row r="365" ht="18" customHeight="1" s="46">
      <c r="A365" s="23" t="n">
        <v>361</v>
      </c>
      <c r="B365" s="24" t="inlineStr">
        <is>
          <t>BD-VRM-2026-0042</t>
        </is>
      </c>
      <c r="C365" s="25" t="inlineStr">
        <is>
          <t>Excel - Lohas Wallpaper 87468-2</t>
        </is>
      </c>
      <c r="D365" s="23" t="inlineStr">
        <is>
          <t>Excel</t>
        </is>
      </c>
      <c r="E365" s="43" t="n">
        <v>46125</v>
      </c>
      <c r="F365" s="26" t="inlineStr">
        <is>
          <t>Sunil CR</t>
        </is>
      </c>
      <c r="G365" s="26" t="inlineStr">
        <is>
          <t>Yes</t>
        </is>
      </c>
      <c r="H365" s="26" t="inlineStr">
        <is>
          <t>No</t>
        </is>
      </c>
      <c r="I365" s="26" t="inlineStr">
        <is>
          <t>Good finish</t>
        </is>
      </c>
      <c r="J365" s="26" t="inlineStr">
        <is>
          <t>Yes</t>
        </is>
      </c>
      <c r="K365" s="27" t="n"/>
      <c r="L365" s="28" t="inlineStr">
        <is>
          <t>No</t>
        </is>
      </c>
      <c r="M365" s="29">
        <f>IF(E365="","",IF(H365="Yes","❌ Disc",IF(G365="No","⚠ Missing",IF(J365="Yes","✓ OK","⚠ Check"))))</f>
        <v/>
      </c>
      <c r="N365" s="43" t="n">
        <v>46193</v>
      </c>
      <c r="O365" s="26" t="inlineStr">
        <is>
          <t>Sunil CR</t>
        </is>
      </c>
      <c r="P365" s="26" t="inlineStr">
        <is>
          <t>Yes</t>
        </is>
      </c>
      <c r="Q365" s="26" t="inlineStr">
        <is>
          <t>No</t>
        </is>
      </c>
      <c r="R365" s="26" t="inlineStr">
        <is>
          <t>Good finish</t>
        </is>
      </c>
      <c r="S365" s="26" t="inlineStr">
        <is>
          <t>Yes</t>
        </is>
      </c>
      <c r="T365" s="27" t="n"/>
      <c r="U365" s="28" t="inlineStr">
        <is>
          <t>No</t>
        </is>
      </c>
      <c r="V365" s="29">
        <f>IF(N365="","",IF(Q365="Yes","❌ Disc",IF(P365="No","⚠ Missing",IF(S365="Yes","✓ OK","⚠ Check"))))</f>
        <v/>
      </c>
      <c r="W365" s="65" t="n">
        <v>46248</v>
      </c>
      <c r="X365" s="30" t="inlineStr">
        <is>
          <t>Sunil CR</t>
        </is>
      </c>
      <c r="Y365" s="30" t="inlineStr">
        <is>
          <t>Yes</t>
        </is>
      </c>
      <c r="Z365" s="30" t="n"/>
      <c r="AA365" s="30" t="inlineStr">
        <is>
          <t>Good finish</t>
        </is>
      </c>
      <c r="AB365" s="30" t="inlineStr">
        <is>
          <t>Yes</t>
        </is>
      </c>
      <c r="AC365" s="27" t="n"/>
      <c r="AD365" s="31" t="inlineStr">
        <is>
          <t>No</t>
        </is>
      </c>
      <c r="AE365" s="32">
        <f>IF(W365="","",IF(Z365="Yes","❌ Disc",IF(Y365="No","⚠ Missing",IF(AB365="Yes","✓ OK","⚠ Check"))))</f>
        <v/>
      </c>
      <c r="AF365" s="33" t="n"/>
      <c r="AG365" s="33" t="n"/>
      <c r="AH365" s="33" t="n"/>
      <c r="AI365" s="33" t="n"/>
      <c r="AJ365" s="33" t="n"/>
      <c r="AK365" s="33" t="n"/>
      <c r="AL365" s="27" t="n"/>
      <c r="AM365" s="34" t="n"/>
      <c r="AN365" s="35">
        <f>IF(AF365="","",IF(AI365="Yes","❌ Disc",IF(AH365="No","⚠ Missing",IF(AK365="Yes","✓ OK","⚠ Check"))))</f>
        <v/>
      </c>
      <c r="AO365" s="36" t="n"/>
      <c r="AP365" s="36" t="n"/>
      <c r="AQ365" s="36" t="n"/>
      <c r="AR365" s="36" t="n"/>
      <c r="AS365" s="36" t="n"/>
      <c r="AT365" s="36" t="n"/>
      <c r="AU365" s="27" t="n"/>
      <c r="AV365" s="37" t="n"/>
      <c r="AW365" s="38">
        <f>IF(AO365="","",IF(AR365="Yes","❌ Disc",IF(AQ365="No","⚠ Missing",IF(AT365="Yes","✓ OK","⚠ Check"))))</f>
        <v/>
      </c>
    </row>
    <row r="366" ht="18" customHeight="1" s="46">
      <c r="A366" s="39" t="n">
        <v>362</v>
      </c>
      <c r="B366" s="40" t="inlineStr">
        <is>
          <t>BD-VRM-2026-0043</t>
        </is>
      </c>
      <c r="C366" s="41" t="inlineStr">
        <is>
          <t>Excel - Lohas Wallpaper 87468-3</t>
        </is>
      </c>
      <c r="D366" s="39" t="inlineStr">
        <is>
          <t>Excel</t>
        </is>
      </c>
      <c r="E366" s="43" t="n">
        <v>46125</v>
      </c>
      <c r="F366" s="26" t="inlineStr">
        <is>
          <t>Sunil CR</t>
        </is>
      </c>
      <c r="G366" s="26" t="inlineStr">
        <is>
          <t>Yes</t>
        </is>
      </c>
      <c r="H366" s="26" t="inlineStr">
        <is>
          <t>No</t>
        </is>
      </c>
      <c r="I366" s="26" t="inlineStr">
        <is>
          <t>Good finish</t>
        </is>
      </c>
      <c r="J366" s="26" t="inlineStr">
        <is>
          <t>Yes</t>
        </is>
      </c>
      <c r="K366" s="27" t="n"/>
      <c r="L366" s="28" t="inlineStr">
        <is>
          <t>No</t>
        </is>
      </c>
      <c r="M366" s="29">
        <f>IF(E366="","",IF(H366="Yes","❌ Disc",IF(G366="No","⚠ Missing",IF(J366="Yes","✓ OK","⚠ Check"))))</f>
        <v/>
      </c>
      <c r="N366" s="43" t="n">
        <v>46193</v>
      </c>
      <c r="O366" s="26" t="inlineStr">
        <is>
          <t>Sunil CR</t>
        </is>
      </c>
      <c r="P366" s="26" t="inlineStr">
        <is>
          <t>Yes</t>
        </is>
      </c>
      <c r="Q366" s="26" t="inlineStr">
        <is>
          <t>No</t>
        </is>
      </c>
      <c r="R366" s="26" t="inlineStr">
        <is>
          <t>Good finish</t>
        </is>
      </c>
      <c r="S366" s="26" t="inlineStr">
        <is>
          <t>Yes</t>
        </is>
      </c>
      <c r="T366" s="27" t="n"/>
      <c r="U366" s="28" t="inlineStr">
        <is>
          <t>No</t>
        </is>
      </c>
      <c r="V366" s="29">
        <f>IF(N366="","",IF(Q366="Yes","❌ Disc",IF(P366="No","⚠ Missing",IF(S366="Yes","✓ OK","⚠ Check"))))</f>
        <v/>
      </c>
      <c r="W366" s="65" t="n">
        <v>46248</v>
      </c>
      <c r="X366" s="30" t="inlineStr">
        <is>
          <t>Sunil CR</t>
        </is>
      </c>
      <c r="Y366" s="30" t="inlineStr">
        <is>
          <t>Yes</t>
        </is>
      </c>
      <c r="Z366" s="30" t="n"/>
      <c r="AA366" s="30" t="inlineStr">
        <is>
          <t>Good finish</t>
        </is>
      </c>
      <c r="AB366" s="30" t="inlineStr">
        <is>
          <t>Yes</t>
        </is>
      </c>
      <c r="AC366" s="27" t="n"/>
      <c r="AD366" s="31" t="inlineStr">
        <is>
          <t>No</t>
        </is>
      </c>
      <c r="AE366" s="32">
        <f>IF(W366="","",IF(Z366="Yes","❌ Disc",IF(Y366="No","⚠ Missing",IF(AB366="Yes","✓ OK","⚠ Check"))))</f>
        <v/>
      </c>
      <c r="AF366" s="33" t="n"/>
      <c r="AG366" s="33" t="n"/>
      <c r="AH366" s="33" t="n"/>
      <c r="AI366" s="33" t="n"/>
      <c r="AJ366" s="33" t="n"/>
      <c r="AK366" s="33" t="n"/>
      <c r="AL366" s="27" t="n"/>
      <c r="AM366" s="34" t="n"/>
      <c r="AN366" s="35">
        <f>IF(AF366="","",IF(AI366="Yes","❌ Disc",IF(AH366="No","⚠ Missing",IF(AK366="Yes","✓ OK","⚠ Check"))))</f>
        <v/>
      </c>
      <c r="AO366" s="36" t="n"/>
      <c r="AP366" s="36" t="n"/>
      <c r="AQ366" s="36" t="n"/>
      <c r="AR366" s="36" t="n"/>
      <c r="AS366" s="36" t="n"/>
      <c r="AT366" s="36" t="n"/>
      <c r="AU366" s="27" t="n"/>
      <c r="AV366" s="37" t="n"/>
      <c r="AW366" s="38">
        <f>IF(AO366="","",IF(AR366="Yes","❌ Disc",IF(AQ366="No","⚠ Missing",IF(AT366="Yes","✓ OK","⚠ Check"))))</f>
        <v/>
      </c>
    </row>
    <row r="367" ht="18" customHeight="1" s="46">
      <c r="A367" s="23" t="n">
        <v>363</v>
      </c>
      <c r="B367" s="24" t="inlineStr">
        <is>
          <t>BD-VRM-2026-0044</t>
        </is>
      </c>
      <c r="C367" s="25" t="inlineStr">
        <is>
          <t>Excel - Lohas Wallpaper 87468-4</t>
        </is>
      </c>
      <c r="D367" s="23" t="inlineStr">
        <is>
          <t>Excel</t>
        </is>
      </c>
      <c r="E367" s="43" t="n">
        <v>46125</v>
      </c>
      <c r="F367" s="26" t="inlineStr">
        <is>
          <t>Sunil CR</t>
        </is>
      </c>
      <c r="G367" s="26" t="inlineStr">
        <is>
          <t>Yes</t>
        </is>
      </c>
      <c r="H367" s="26" t="inlineStr">
        <is>
          <t>No</t>
        </is>
      </c>
      <c r="I367" s="26" t="inlineStr">
        <is>
          <t>Good finish</t>
        </is>
      </c>
      <c r="J367" s="26" t="inlineStr">
        <is>
          <t>Yes</t>
        </is>
      </c>
      <c r="K367" s="27" t="n"/>
      <c r="L367" s="28" t="inlineStr">
        <is>
          <t>No</t>
        </is>
      </c>
      <c r="M367" s="29">
        <f>IF(E367="","",IF(H367="Yes","❌ Disc",IF(G367="No","⚠ Missing",IF(J367="Yes","✓ OK","⚠ Check"))))</f>
        <v/>
      </c>
      <c r="N367" s="43" t="n">
        <v>46193</v>
      </c>
      <c r="O367" s="26" t="inlineStr">
        <is>
          <t>Sunil CR</t>
        </is>
      </c>
      <c r="P367" s="26" t="inlineStr">
        <is>
          <t>Yes</t>
        </is>
      </c>
      <c r="Q367" s="26" t="inlineStr">
        <is>
          <t>No</t>
        </is>
      </c>
      <c r="R367" s="26" t="inlineStr">
        <is>
          <t>Good finish</t>
        </is>
      </c>
      <c r="S367" s="26" t="inlineStr">
        <is>
          <t>Yes</t>
        </is>
      </c>
      <c r="T367" s="27" t="n"/>
      <c r="U367" s="28" t="inlineStr">
        <is>
          <t>No</t>
        </is>
      </c>
      <c r="V367" s="29">
        <f>IF(N367="","",IF(Q367="Yes","❌ Disc",IF(P367="No","⚠ Missing",IF(S367="Yes","✓ OK","⚠ Check"))))</f>
        <v/>
      </c>
      <c r="W367" s="65" t="n">
        <v>46248</v>
      </c>
      <c r="X367" s="30" t="inlineStr">
        <is>
          <t>Sunil CR</t>
        </is>
      </c>
      <c r="Y367" s="30" t="inlineStr">
        <is>
          <t>Yes</t>
        </is>
      </c>
      <c r="Z367" s="30" t="n"/>
      <c r="AA367" s="30" t="inlineStr">
        <is>
          <t>Good finish</t>
        </is>
      </c>
      <c r="AB367" s="30" t="inlineStr">
        <is>
          <t>Yes</t>
        </is>
      </c>
      <c r="AC367" s="27" t="n"/>
      <c r="AD367" s="31" t="inlineStr">
        <is>
          <t>No</t>
        </is>
      </c>
      <c r="AE367" s="32">
        <f>IF(W367="","",IF(Z367="Yes","❌ Disc",IF(Y367="No","⚠ Missing",IF(AB367="Yes","✓ OK","⚠ Check"))))</f>
        <v/>
      </c>
      <c r="AF367" s="33" t="n"/>
      <c r="AG367" s="33" t="n"/>
      <c r="AH367" s="33" t="n"/>
      <c r="AI367" s="33" t="n"/>
      <c r="AJ367" s="33" t="n"/>
      <c r="AK367" s="33" t="n"/>
      <c r="AL367" s="27" t="n"/>
      <c r="AM367" s="34" t="n"/>
      <c r="AN367" s="35">
        <f>IF(AF367="","",IF(AI367="Yes","❌ Disc",IF(AH367="No","⚠ Missing",IF(AK367="Yes","✓ OK","⚠ Check"))))</f>
        <v/>
      </c>
      <c r="AO367" s="36" t="n"/>
      <c r="AP367" s="36" t="n"/>
      <c r="AQ367" s="36" t="n"/>
      <c r="AR367" s="36" t="n"/>
      <c r="AS367" s="36" t="n"/>
      <c r="AT367" s="36" t="n"/>
      <c r="AU367" s="27" t="n"/>
      <c r="AV367" s="37" t="n"/>
      <c r="AW367" s="38">
        <f>IF(AO367="","",IF(AR367="Yes","❌ Disc",IF(AQ367="No","⚠ Missing",IF(AT367="Yes","✓ OK","⚠ Check"))))</f>
        <v/>
      </c>
    </row>
    <row r="368" ht="18" customHeight="1" s="46">
      <c r="A368" s="39" t="n">
        <v>364</v>
      </c>
      <c r="B368" s="40" t="inlineStr">
        <is>
          <t>BD-VRM-2026-0045</t>
        </is>
      </c>
      <c r="C368" s="41" t="inlineStr">
        <is>
          <t>Excel - Lohas Wallpaper 87468-5</t>
        </is>
      </c>
      <c r="D368" s="39" t="inlineStr">
        <is>
          <t>Excel</t>
        </is>
      </c>
      <c r="E368" s="43" t="n">
        <v>46125</v>
      </c>
      <c r="F368" s="26" t="inlineStr">
        <is>
          <t>Sunil CR</t>
        </is>
      </c>
      <c r="G368" s="26" t="inlineStr">
        <is>
          <t>Yes</t>
        </is>
      </c>
      <c r="H368" s="26" t="inlineStr">
        <is>
          <t>No</t>
        </is>
      </c>
      <c r="I368" s="26" t="inlineStr">
        <is>
          <t>Good finish</t>
        </is>
      </c>
      <c r="J368" s="26" t="inlineStr">
        <is>
          <t>Yes</t>
        </is>
      </c>
      <c r="K368" s="27" t="n"/>
      <c r="L368" s="28" t="inlineStr">
        <is>
          <t>No</t>
        </is>
      </c>
      <c r="M368" s="29">
        <f>IF(E368="","",IF(H368="Yes","❌ Disc",IF(G368="No","⚠ Missing",IF(J368="Yes","✓ OK","⚠ Check"))))</f>
        <v/>
      </c>
      <c r="N368" s="43" t="n">
        <v>46193</v>
      </c>
      <c r="O368" s="26" t="inlineStr">
        <is>
          <t>Sunil CR</t>
        </is>
      </c>
      <c r="P368" s="26" t="inlineStr">
        <is>
          <t>Yes</t>
        </is>
      </c>
      <c r="Q368" s="26" t="inlineStr">
        <is>
          <t>No</t>
        </is>
      </c>
      <c r="R368" s="26" t="inlineStr">
        <is>
          <t>Good finish</t>
        </is>
      </c>
      <c r="S368" s="26" t="inlineStr">
        <is>
          <t>Yes</t>
        </is>
      </c>
      <c r="T368" s="27" t="n"/>
      <c r="U368" s="28" t="inlineStr">
        <is>
          <t>No</t>
        </is>
      </c>
      <c r="V368" s="29">
        <f>IF(N368="","",IF(Q368="Yes","❌ Disc",IF(P368="No","⚠ Missing",IF(S368="Yes","✓ OK","⚠ Check"))))</f>
        <v/>
      </c>
      <c r="W368" s="65" t="n">
        <v>46248</v>
      </c>
      <c r="X368" s="30" t="inlineStr">
        <is>
          <t>Sunil CR</t>
        </is>
      </c>
      <c r="Y368" s="30" t="inlineStr">
        <is>
          <t>Yes</t>
        </is>
      </c>
      <c r="Z368" s="30" t="n"/>
      <c r="AA368" s="30" t="inlineStr">
        <is>
          <t>Good finish</t>
        </is>
      </c>
      <c r="AB368" s="30" t="inlineStr">
        <is>
          <t>Yes</t>
        </is>
      </c>
      <c r="AC368" s="27" t="n"/>
      <c r="AD368" s="31" t="inlineStr">
        <is>
          <t>No</t>
        </is>
      </c>
      <c r="AE368" s="32">
        <f>IF(W368="","",IF(Z368="Yes","❌ Disc",IF(Y368="No","⚠ Missing",IF(AB368="Yes","✓ OK","⚠ Check"))))</f>
        <v/>
      </c>
      <c r="AF368" s="33" t="n"/>
      <c r="AG368" s="33" t="n"/>
      <c r="AH368" s="33" t="n"/>
      <c r="AI368" s="33" t="n"/>
      <c r="AJ368" s="33" t="n"/>
      <c r="AK368" s="33" t="n"/>
      <c r="AL368" s="27" t="n"/>
      <c r="AM368" s="34" t="n"/>
      <c r="AN368" s="35">
        <f>IF(AF368="","",IF(AI368="Yes","❌ Disc",IF(AH368="No","⚠ Missing",IF(AK368="Yes","✓ OK","⚠ Check"))))</f>
        <v/>
      </c>
      <c r="AO368" s="36" t="n"/>
      <c r="AP368" s="36" t="n"/>
      <c r="AQ368" s="36" t="n"/>
      <c r="AR368" s="36" t="n"/>
      <c r="AS368" s="36" t="n"/>
      <c r="AT368" s="36" t="n"/>
      <c r="AU368" s="27" t="n"/>
      <c r="AV368" s="37" t="n"/>
      <c r="AW368" s="38">
        <f>IF(AO368="","",IF(AR368="Yes","❌ Disc",IF(AQ368="No","⚠ Missing",IF(AT368="Yes","✓ OK","⚠ Check"))))</f>
        <v/>
      </c>
    </row>
    <row r="369" ht="18" customHeight="1" s="46">
      <c r="A369" s="23" t="n">
        <v>365</v>
      </c>
      <c r="B369" s="24" t="inlineStr">
        <is>
          <t>BD-VRM-2026-0046</t>
        </is>
      </c>
      <c r="C369" s="25" t="inlineStr">
        <is>
          <t>Excel - Lohas Wallpaper 87468-6</t>
        </is>
      </c>
      <c r="D369" s="23" t="inlineStr">
        <is>
          <t>Excel</t>
        </is>
      </c>
      <c r="E369" s="43" t="n">
        <v>46125</v>
      </c>
      <c r="F369" s="26" t="inlineStr">
        <is>
          <t>Sunil CR</t>
        </is>
      </c>
      <c r="G369" s="26" t="inlineStr">
        <is>
          <t>Yes</t>
        </is>
      </c>
      <c r="H369" s="26" t="inlineStr">
        <is>
          <t>No</t>
        </is>
      </c>
      <c r="I369" s="26" t="inlineStr">
        <is>
          <t>Good finish</t>
        </is>
      </c>
      <c r="J369" s="26" t="inlineStr">
        <is>
          <t>Yes</t>
        </is>
      </c>
      <c r="K369" s="27" t="n"/>
      <c r="L369" s="28" t="inlineStr">
        <is>
          <t>No</t>
        </is>
      </c>
      <c r="M369" s="29">
        <f>IF(E369="","",IF(H369="Yes","❌ Disc",IF(G369="No","⚠ Missing",IF(J369="Yes","✓ OK","⚠ Check"))))</f>
        <v/>
      </c>
      <c r="N369" s="43" t="n">
        <v>46193</v>
      </c>
      <c r="O369" s="26" t="inlineStr">
        <is>
          <t>Sunil CR</t>
        </is>
      </c>
      <c r="P369" s="26" t="inlineStr">
        <is>
          <t>Yes</t>
        </is>
      </c>
      <c r="Q369" s="26" t="inlineStr">
        <is>
          <t>No</t>
        </is>
      </c>
      <c r="R369" s="26" t="inlineStr">
        <is>
          <t>Good finish</t>
        </is>
      </c>
      <c r="S369" s="26" t="inlineStr">
        <is>
          <t>Yes</t>
        </is>
      </c>
      <c r="T369" s="27" t="n"/>
      <c r="U369" s="28" t="inlineStr">
        <is>
          <t>No</t>
        </is>
      </c>
      <c r="V369" s="29">
        <f>IF(N369="","",IF(Q369="Yes","❌ Disc",IF(P369="No","⚠ Missing",IF(S369="Yes","✓ OK","⚠ Check"))))</f>
        <v/>
      </c>
      <c r="W369" s="65" t="n">
        <v>46248</v>
      </c>
      <c r="X369" s="30" t="inlineStr">
        <is>
          <t>Sunil CR</t>
        </is>
      </c>
      <c r="Y369" s="30" t="inlineStr">
        <is>
          <t>Yes</t>
        </is>
      </c>
      <c r="Z369" s="30" t="n"/>
      <c r="AA369" s="30" t="inlineStr">
        <is>
          <t>Good finish</t>
        </is>
      </c>
      <c r="AB369" s="30" t="inlineStr">
        <is>
          <t>Yes</t>
        </is>
      </c>
      <c r="AC369" s="27" t="n"/>
      <c r="AD369" s="31" t="inlineStr">
        <is>
          <t>No</t>
        </is>
      </c>
      <c r="AE369" s="32">
        <f>IF(W369="","",IF(Z369="Yes","❌ Disc",IF(Y369="No","⚠ Missing",IF(AB369="Yes","✓ OK","⚠ Check"))))</f>
        <v/>
      </c>
      <c r="AF369" s="33" t="n"/>
      <c r="AG369" s="33" t="n"/>
      <c r="AH369" s="33" t="n"/>
      <c r="AI369" s="33" t="n"/>
      <c r="AJ369" s="33" t="n"/>
      <c r="AK369" s="33" t="n"/>
      <c r="AL369" s="27" t="n"/>
      <c r="AM369" s="34" t="n"/>
      <c r="AN369" s="35">
        <f>IF(AF369="","",IF(AI369="Yes","❌ Disc",IF(AH369="No","⚠ Missing",IF(AK369="Yes","✓ OK","⚠ Check"))))</f>
        <v/>
      </c>
      <c r="AO369" s="36" t="n"/>
      <c r="AP369" s="36" t="n"/>
      <c r="AQ369" s="36" t="n"/>
      <c r="AR369" s="36" t="n"/>
      <c r="AS369" s="36" t="n"/>
      <c r="AT369" s="36" t="n"/>
      <c r="AU369" s="27" t="n"/>
      <c r="AV369" s="37" t="n"/>
      <c r="AW369" s="38">
        <f>IF(AO369="","",IF(AR369="Yes","❌ Disc",IF(AQ369="No","⚠ Missing",IF(AT369="Yes","✓ OK","⚠ Check"))))</f>
        <v/>
      </c>
    </row>
    <row r="370" ht="18" customHeight="1" s="46">
      <c r="A370" s="39" t="n">
        <v>366</v>
      </c>
      <c r="B370" s="40" t="inlineStr">
        <is>
          <t>BD-VRM-2026-0047</t>
        </is>
      </c>
      <c r="C370" s="41" t="inlineStr">
        <is>
          <t>Excel - Lohas Wallpaper 87468-7</t>
        </is>
      </c>
      <c r="D370" s="39" t="inlineStr">
        <is>
          <t>Excel</t>
        </is>
      </c>
      <c r="E370" s="43" t="n">
        <v>46125</v>
      </c>
      <c r="F370" s="26" t="inlineStr">
        <is>
          <t>Sunil CR</t>
        </is>
      </c>
      <c r="G370" s="26" t="inlineStr">
        <is>
          <t>Yes</t>
        </is>
      </c>
      <c r="H370" s="26" t="inlineStr">
        <is>
          <t>No</t>
        </is>
      </c>
      <c r="I370" s="26" t="inlineStr">
        <is>
          <t>Good finish</t>
        </is>
      </c>
      <c r="J370" s="26" t="inlineStr">
        <is>
          <t>Yes</t>
        </is>
      </c>
      <c r="K370" s="27" t="n"/>
      <c r="L370" s="28" t="inlineStr">
        <is>
          <t>No</t>
        </is>
      </c>
      <c r="M370" s="29">
        <f>IF(E370="","",IF(H370="Yes","❌ Disc",IF(G370="No","⚠ Missing",IF(J370="Yes","✓ OK","⚠ Check"))))</f>
        <v/>
      </c>
      <c r="N370" s="43" t="n">
        <v>46193</v>
      </c>
      <c r="O370" s="26" t="inlineStr">
        <is>
          <t>Sunil CR</t>
        </is>
      </c>
      <c r="P370" s="26" t="inlineStr">
        <is>
          <t>Yes</t>
        </is>
      </c>
      <c r="Q370" s="26" t="inlineStr">
        <is>
          <t>No</t>
        </is>
      </c>
      <c r="R370" s="26" t="inlineStr">
        <is>
          <t>Good finish</t>
        </is>
      </c>
      <c r="S370" s="26" t="inlineStr">
        <is>
          <t>Yes</t>
        </is>
      </c>
      <c r="T370" s="27" t="n"/>
      <c r="U370" s="28" t="inlineStr">
        <is>
          <t>No</t>
        </is>
      </c>
      <c r="V370" s="29">
        <f>IF(N370="","",IF(Q370="Yes","❌ Disc",IF(P370="No","⚠ Missing",IF(S370="Yes","✓ OK","⚠ Check"))))</f>
        <v/>
      </c>
      <c r="W370" s="65" t="n">
        <v>46248</v>
      </c>
      <c r="X370" s="30" t="inlineStr">
        <is>
          <t>Sunil CR</t>
        </is>
      </c>
      <c r="Y370" s="30" t="inlineStr">
        <is>
          <t>Yes</t>
        </is>
      </c>
      <c r="Z370" s="30" t="n"/>
      <c r="AA370" s="30" t="inlineStr">
        <is>
          <t>Good finish</t>
        </is>
      </c>
      <c r="AB370" s="30" t="inlineStr">
        <is>
          <t>Yes</t>
        </is>
      </c>
      <c r="AC370" s="27" t="n"/>
      <c r="AD370" s="31" t="inlineStr">
        <is>
          <t>No</t>
        </is>
      </c>
      <c r="AE370" s="32">
        <f>IF(W370="","",IF(Z370="Yes","❌ Disc",IF(Y370="No","⚠ Missing",IF(AB370="Yes","✓ OK","⚠ Check"))))</f>
        <v/>
      </c>
      <c r="AF370" s="33" t="n"/>
      <c r="AG370" s="33" t="n"/>
      <c r="AH370" s="33" t="n"/>
      <c r="AI370" s="33" t="n"/>
      <c r="AJ370" s="33" t="n"/>
      <c r="AK370" s="33" t="n"/>
      <c r="AL370" s="27" t="n"/>
      <c r="AM370" s="34" t="n"/>
      <c r="AN370" s="35">
        <f>IF(AF370="","",IF(AI370="Yes","❌ Disc",IF(AH370="No","⚠ Missing",IF(AK370="Yes","✓ OK","⚠ Check"))))</f>
        <v/>
      </c>
      <c r="AO370" s="36" t="n"/>
      <c r="AP370" s="36" t="n"/>
      <c r="AQ370" s="36" t="n"/>
      <c r="AR370" s="36" t="n"/>
      <c r="AS370" s="36" t="n"/>
      <c r="AT370" s="36" t="n"/>
      <c r="AU370" s="27" t="n"/>
      <c r="AV370" s="37" t="n"/>
      <c r="AW370" s="38">
        <f>IF(AO370="","",IF(AR370="Yes","❌ Disc",IF(AQ370="No","⚠ Missing",IF(AT370="Yes","✓ OK","⚠ Check"))))</f>
        <v/>
      </c>
    </row>
    <row r="371" ht="18" customHeight="1" s="46">
      <c r="A371" s="23" t="n">
        <v>367</v>
      </c>
      <c r="B371" s="24" t="inlineStr">
        <is>
          <t>BD-VRM-2026-0036</t>
        </is>
      </c>
      <c r="C371" s="25" t="inlineStr">
        <is>
          <t>Excel - Lohas Wallpaper 87469-1</t>
        </is>
      </c>
      <c r="D371" s="23" t="inlineStr">
        <is>
          <t>Excel</t>
        </is>
      </c>
      <c r="E371" s="43" t="n">
        <v>46125</v>
      </c>
      <c r="F371" s="26" t="inlineStr">
        <is>
          <t>Sunil CR</t>
        </is>
      </c>
      <c r="G371" s="26" t="inlineStr">
        <is>
          <t>Yes</t>
        </is>
      </c>
      <c r="H371" s="26" t="inlineStr">
        <is>
          <t>No</t>
        </is>
      </c>
      <c r="I371" s="26" t="inlineStr">
        <is>
          <t>Good finish</t>
        </is>
      </c>
      <c r="J371" s="26" t="inlineStr">
        <is>
          <t>Yes</t>
        </is>
      </c>
      <c r="K371" s="27" t="n"/>
      <c r="L371" s="28" t="inlineStr">
        <is>
          <t>No</t>
        </is>
      </c>
      <c r="M371" s="29">
        <f>IF(E371="","",IF(H371="Yes","❌ Disc",IF(G371="No","⚠ Missing",IF(J371="Yes","✓ OK","⚠ Check"))))</f>
        <v/>
      </c>
      <c r="N371" s="43" t="n">
        <v>46193</v>
      </c>
      <c r="O371" s="26" t="inlineStr">
        <is>
          <t>Sunil CR</t>
        </is>
      </c>
      <c r="P371" s="26" t="inlineStr">
        <is>
          <t>Yes</t>
        </is>
      </c>
      <c r="Q371" s="26" t="inlineStr">
        <is>
          <t>No</t>
        </is>
      </c>
      <c r="R371" s="26" t="inlineStr">
        <is>
          <t>Good finish</t>
        </is>
      </c>
      <c r="S371" s="26" t="inlineStr">
        <is>
          <t>Yes</t>
        </is>
      </c>
      <c r="T371" s="27" t="n"/>
      <c r="U371" s="28" t="inlineStr">
        <is>
          <t>No</t>
        </is>
      </c>
      <c r="V371" s="29">
        <f>IF(N371="","",IF(Q371="Yes","❌ Disc",IF(P371="No","⚠ Missing",IF(S371="Yes","✓ OK","⚠ Check"))))</f>
        <v/>
      </c>
      <c r="W371" s="65" t="n">
        <v>46248</v>
      </c>
      <c r="X371" s="30" t="inlineStr">
        <is>
          <t>Sunil CR</t>
        </is>
      </c>
      <c r="Y371" s="30" t="inlineStr">
        <is>
          <t>Yes</t>
        </is>
      </c>
      <c r="Z371" s="30" t="n"/>
      <c r="AA371" s="30" t="inlineStr">
        <is>
          <t>Good finish</t>
        </is>
      </c>
      <c r="AB371" s="30" t="inlineStr">
        <is>
          <t>Yes</t>
        </is>
      </c>
      <c r="AC371" s="27" t="n"/>
      <c r="AD371" s="31" t="inlineStr">
        <is>
          <t>No</t>
        </is>
      </c>
      <c r="AE371" s="32">
        <f>IF(W371="","",IF(Z371="Yes","❌ Disc",IF(Y371="No","⚠ Missing",IF(AB371="Yes","✓ OK","⚠ Check"))))</f>
        <v/>
      </c>
      <c r="AF371" s="33" t="n"/>
      <c r="AG371" s="33" t="n"/>
      <c r="AH371" s="33" t="n"/>
      <c r="AI371" s="33" t="n"/>
      <c r="AJ371" s="33" t="n"/>
      <c r="AK371" s="33" t="n"/>
      <c r="AL371" s="27" t="n"/>
      <c r="AM371" s="34" t="n"/>
      <c r="AN371" s="35">
        <f>IF(AF371="","",IF(AI371="Yes","❌ Disc",IF(AH371="No","⚠ Missing",IF(AK371="Yes","✓ OK","⚠ Check"))))</f>
        <v/>
      </c>
      <c r="AO371" s="36" t="n"/>
      <c r="AP371" s="36" t="n"/>
      <c r="AQ371" s="36" t="n"/>
      <c r="AR371" s="36" t="n"/>
      <c r="AS371" s="36" t="n"/>
      <c r="AT371" s="36" t="n"/>
      <c r="AU371" s="27" t="n"/>
      <c r="AV371" s="37" t="n"/>
      <c r="AW371" s="38">
        <f>IF(AO371="","",IF(AR371="Yes","❌ Disc",IF(AQ371="No","⚠ Missing",IF(AT371="Yes","✓ OK","⚠ Check"))))</f>
        <v/>
      </c>
    </row>
    <row r="372" ht="18" customHeight="1" s="46">
      <c r="A372" s="39" t="n">
        <v>368</v>
      </c>
      <c r="B372" s="40" t="inlineStr">
        <is>
          <t>BD-VRM-2026-0037</t>
        </is>
      </c>
      <c r="C372" s="41" t="inlineStr">
        <is>
          <t>Excel - Lohas Wallpaper 87469-2</t>
        </is>
      </c>
      <c r="D372" s="39" t="inlineStr">
        <is>
          <t>Excel</t>
        </is>
      </c>
      <c r="E372" s="43" t="n">
        <v>46125</v>
      </c>
      <c r="F372" s="26" t="inlineStr">
        <is>
          <t>Sunil CR</t>
        </is>
      </c>
      <c r="G372" s="26" t="inlineStr">
        <is>
          <t>Yes</t>
        </is>
      </c>
      <c r="H372" s="26" t="inlineStr">
        <is>
          <t>No</t>
        </is>
      </c>
      <c r="I372" s="26" t="inlineStr">
        <is>
          <t>Good finish</t>
        </is>
      </c>
      <c r="J372" s="26" t="inlineStr">
        <is>
          <t>Yes</t>
        </is>
      </c>
      <c r="K372" s="27" t="n"/>
      <c r="L372" s="28" t="inlineStr">
        <is>
          <t>No</t>
        </is>
      </c>
      <c r="M372" s="29">
        <f>IF(E372="","",IF(H372="Yes","❌ Disc",IF(G372="No","⚠ Missing",IF(J372="Yes","✓ OK","⚠ Check"))))</f>
        <v/>
      </c>
      <c r="N372" s="43" t="n">
        <v>46193</v>
      </c>
      <c r="O372" s="26" t="inlineStr">
        <is>
          <t>Sunil CR</t>
        </is>
      </c>
      <c r="P372" s="26" t="inlineStr">
        <is>
          <t>Yes</t>
        </is>
      </c>
      <c r="Q372" s="26" t="inlineStr">
        <is>
          <t>No</t>
        </is>
      </c>
      <c r="R372" s="26" t="inlineStr">
        <is>
          <t>Good finish</t>
        </is>
      </c>
      <c r="S372" s="26" t="inlineStr">
        <is>
          <t>Yes</t>
        </is>
      </c>
      <c r="T372" s="27" t="n"/>
      <c r="U372" s="28" t="inlineStr">
        <is>
          <t>No</t>
        </is>
      </c>
      <c r="V372" s="29">
        <f>IF(N372="","",IF(Q372="Yes","❌ Disc",IF(P372="No","⚠ Missing",IF(S372="Yes","✓ OK","⚠ Check"))))</f>
        <v/>
      </c>
      <c r="W372" s="65" t="n">
        <v>46248</v>
      </c>
      <c r="X372" s="30" t="inlineStr">
        <is>
          <t>Sunil CR</t>
        </is>
      </c>
      <c r="Y372" s="30" t="inlineStr">
        <is>
          <t>Yes</t>
        </is>
      </c>
      <c r="Z372" s="30" t="n"/>
      <c r="AA372" s="30" t="inlineStr">
        <is>
          <t>Good finish</t>
        </is>
      </c>
      <c r="AB372" s="30" t="inlineStr">
        <is>
          <t>Yes</t>
        </is>
      </c>
      <c r="AC372" s="27" t="n"/>
      <c r="AD372" s="31" t="inlineStr">
        <is>
          <t>No</t>
        </is>
      </c>
      <c r="AE372" s="32">
        <f>IF(W372="","",IF(Z372="Yes","❌ Disc",IF(Y372="No","⚠ Missing",IF(AB372="Yes","✓ OK","⚠ Check"))))</f>
        <v/>
      </c>
      <c r="AF372" s="33" t="n"/>
      <c r="AG372" s="33" t="n"/>
      <c r="AH372" s="33" t="n"/>
      <c r="AI372" s="33" t="n"/>
      <c r="AJ372" s="33" t="n"/>
      <c r="AK372" s="33" t="n"/>
      <c r="AL372" s="27" t="n"/>
      <c r="AM372" s="34" t="n"/>
      <c r="AN372" s="35">
        <f>IF(AF372="","",IF(AI372="Yes","❌ Disc",IF(AH372="No","⚠ Missing",IF(AK372="Yes","✓ OK","⚠ Check"))))</f>
        <v/>
      </c>
      <c r="AO372" s="36" t="n"/>
      <c r="AP372" s="36" t="n"/>
      <c r="AQ372" s="36" t="n"/>
      <c r="AR372" s="36" t="n"/>
      <c r="AS372" s="36" t="n"/>
      <c r="AT372" s="36" t="n"/>
      <c r="AU372" s="27" t="n"/>
      <c r="AV372" s="37" t="n"/>
      <c r="AW372" s="38">
        <f>IF(AO372="","",IF(AR372="Yes","❌ Disc",IF(AQ372="No","⚠ Missing",IF(AT372="Yes","✓ OK","⚠ Check"))))</f>
        <v/>
      </c>
    </row>
    <row r="373" ht="18" customHeight="1" s="46">
      <c r="A373" s="23" t="n">
        <v>369</v>
      </c>
      <c r="B373" s="24" t="inlineStr">
        <is>
          <t>BD-VRM-2026-0038</t>
        </is>
      </c>
      <c r="C373" s="25" t="inlineStr">
        <is>
          <t>Excel - Lohas Wallpaper 87469-3</t>
        </is>
      </c>
      <c r="D373" s="23" t="inlineStr">
        <is>
          <t>Excel</t>
        </is>
      </c>
      <c r="E373" s="43" t="n">
        <v>46125</v>
      </c>
      <c r="F373" s="26" t="inlineStr">
        <is>
          <t>Sunil CR</t>
        </is>
      </c>
      <c r="G373" s="26" t="inlineStr">
        <is>
          <t>Yes</t>
        </is>
      </c>
      <c r="H373" s="26" t="inlineStr">
        <is>
          <t>No</t>
        </is>
      </c>
      <c r="I373" s="26" t="inlineStr">
        <is>
          <t>Good finish</t>
        </is>
      </c>
      <c r="J373" s="26" t="inlineStr">
        <is>
          <t>Yes</t>
        </is>
      </c>
      <c r="K373" s="27" t="n"/>
      <c r="L373" s="28" t="inlineStr">
        <is>
          <t>No</t>
        </is>
      </c>
      <c r="M373" s="29">
        <f>IF(E373="","",IF(H373="Yes","❌ Disc",IF(G373="No","⚠ Missing",IF(J373="Yes","✓ OK","⚠ Check"))))</f>
        <v/>
      </c>
      <c r="N373" s="43" t="n">
        <v>46193</v>
      </c>
      <c r="O373" s="26" t="inlineStr">
        <is>
          <t>Sunil CR</t>
        </is>
      </c>
      <c r="P373" s="26" t="inlineStr">
        <is>
          <t>Yes</t>
        </is>
      </c>
      <c r="Q373" s="26" t="inlineStr">
        <is>
          <t>No</t>
        </is>
      </c>
      <c r="R373" s="26" t="inlineStr">
        <is>
          <t>Good finish</t>
        </is>
      </c>
      <c r="S373" s="26" t="inlineStr">
        <is>
          <t>Yes</t>
        </is>
      </c>
      <c r="T373" s="27" t="n"/>
      <c r="U373" s="28" t="inlineStr">
        <is>
          <t>No</t>
        </is>
      </c>
      <c r="V373" s="29">
        <f>IF(N373="","",IF(Q373="Yes","❌ Disc",IF(P373="No","⚠ Missing",IF(S373="Yes","✓ OK","⚠ Check"))))</f>
        <v/>
      </c>
      <c r="W373" s="65" t="n">
        <v>46248</v>
      </c>
      <c r="X373" s="30" t="inlineStr">
        <is>
          <t>Sunil CR</t>
        </is>
      </c>
      <c r="Y373" s="30" t="inlineStr">
        <is>
          <t>Yes</t>
        </is>
      </c>
      <c r="Z373" s="30" t="n"/>
      <c r="AA373" s="30" t="inlineStr">
        <is>
          <t>Good finish</t>
        </is>
      </c>
      <c r="AB373" s="30" t="inlineStr">
        <is>
          <t>Yes</t>
        </is>
      </c>
      <c r="AC373" s="27" t="n"/>
      <c r="AD373" s="31" t="inlineStr">
        <is>
          <t>No</t>
        </is>
      </c>
      <c r="AE373" s="32">
        <f>IF(W373="","",IF(Z373="Yes","❌ Disc",IF(Y373="No","⚠ Missing",IF(AB373="Yes","✓ OK","⚠ Check"))))</f>
        <v/>
      </c>
      <c r="AF373" s="33" t="n"/>
      <c r="AG373" s="33" t="n"/>
      <c r="AH373" s="33" t="n"/>
      <c r="AI373" s="33" t="n"/>
      <c r="AJ373" s="33" t="n"/>
      <c r="AK373" s="33" t="n"/>
      <c r="AL373" s="27" t="n"/>
      <c r="AM373" s="34" t="n"/>
      <c r="AN373" s="35">
        <f>IF(AF373="","",IF(AI373="Yes","❌ Disc",IF(AH373="No","⚠ Missing",IF(AK373="Yes","✓ OK","⚠ Check"))))</f>
        <v/>
      </c>
      <c r="AO373" s="36" t="n"/>
      <c r="AP373" s="36" t="n"/>
      <c r="AQ373" s="36" t="n"/>
      <c r="AR373" s="36" t="n"/>
      <c r="AS373" s="36" t="n"/>
      <c r="AT373" s="36" t="n"/>
      <c r="AU373" s="27" t="n"/>
      <c r="AV373" s="37" t="n"/>
      <c r="AW373" s="38">
        <f>IF(AO373="","",IF(AR373="Yes","❌ Disc",IF(AQ373="No","⚠ Missing",IF(AT373="Yes","✓ OK","⚠ Check"))))</f>
        <v/>
      </c>
    </row>
    <row r="374" ht="18" customHeight="1" s="46">
      <c r="A374" s="39" t="n">
        <v>370</v>
      </c>
      <c r="B374" s="40" t="inlineStr">
        <is>
          <t>BD-VRM-2026-0039</t>
        </is>
      </c>
      <c r="C374" s="41" t="inlineStr">
        <is>
          <t>Excel - Lohas Wallpaper 87469-4</t>
        </is>
      </c>
      <c r="D374" s="39" t="inlineStr">
        <is>
          <t>Excel</t>
        </is>
      </c>
      <c r="E374" s="43" t="n">
        <v>46125</v>
      </c>
      <c r="F374" s="26" t="inlineStr">
        <is>
          <t>Sunil CR</t>
        </is>
      </c>
      <c r="G374" s="26" t="inlineStr">
        <is>
          <t>Yes</t>
        </is>
      </c>
      <c r="H374" s="26" t="inlineStr">
        <is>
          <t>No</t>
        </is>
      </c>
      <c r="I374" s="26" t="inlineStr">
        <is>
          <t>Good finish</t>
        </is>
      </c>
      <c r="J374" s="26" t="inlineStr">
        <is>
          <t>Yes</t>
        </is>
      </c>
      <c r="K374" s="27" t="n"/>
      <c r="L374" s="28" t="inlineStr">
        <is>
          <t>No</t>
        </is>
      </c>
      <c r="M374" s="29">
        <f>IF(E374="","",IF(H374="Yes","❌ Disc",IF(G374="No","⚠ Missing",IF(J374="Yes","✓ OK","⚠ Check"))))</f>
        <v/>
      </c>
      <c r="N374" s="43" t="n">
        <v>46193</v>
      </c>
      <c r="O374" s="26" t="inlineStr">
        <is>
          <t>Sunil CR</t>
        </is>
      </c>
      <c r="P374" s="26" t="inlineStr">
        <is>
          <t>Yes</t>
        </is>
      </c>
      <c r="Q374" s="26" t="inlineStr">
        <is>
          <t>No</t>
        </is>
      </c>
      <c r="R374" s="26" t="inlineStr">
        <is>
          <t>Good finish</t>
        </is>
      </c>
      <c r="S374" s="26" t="inlineStr">
        <is>
          <t>Yes</t>
        </is>
      </c>
      <c r="T374" s="27" t="n"/>
      <c r="U374" s="28" t="inlineStr">
        <is>
          <t>No</t>
        </is>
      </c>
      <c r="V374" s="29">
        <f>IF(N374="","",IF(Q374="Yes","❌ Disc",IF(P374="No","⚠ Missing",IF(S374="Yes","✓ OK","⚠ Check"))))</f>
        <v/>
      </c>
      <c r="W374" s="65" t="n">
        <v>46248</v>
      </c>
      <c r="X374" s="30" t="inlineStr">
        <is>
          <t>Sunil CR</t>
        </is>
      </c>
      <c r="Y374" s="30" t="inlineStr">
        <is>
          <t>Yes</t>
        </is>
      </c>
      <c r="Z374" s="30" t="n"/>
      <c r="AA374" s="30" t="inlineStr">
        <is>
          <t>Good finish</t>
        </is>
      </c>
      <c r="AB374" s="30" t="inlineStr">
        <is>
          <t>Yes</t>
        </is>
      </c>
      <c r="AC374" s="27" t="n"/>
      <c r="AD374" s="31" t="inlineStr">
        <is>
          <t>No</t>
        </is>
      </c>
      <c r="AE374" s="32">
        <f>IF(W374="","",IF(Z374="Yes","❌ Disc",IF(Y374="No","⚠ Missing",IF(AB374="Yes","✓ OK","⚠ Check"))))</f>
        <v/>
      </c>
      <c r="AF374" s="33" t="n"/>
      <c r="AG374" s="33" t="n"/>
      <c r="AH374" s="33" t="n"/>
      <c r="AI374" s="33" t="n"/>
      <c r="AJ374" s="33" t="n"/>
      <c r="AK374" s="33" t="n"/>
      <c r="AL374" s="27" t="n"/>
      <c r="AM374" s="34" t="n"/>
      <c r="AN374" s="35">
        <f>IF(AF374="","",IF(AI374="Yes","❌ Disc",IF(AH374="No","⚠ Missing",IF(AK374="Yes","✓ OK","⚠ Check"))))</f>
        <v/>
      </c>
      <c r="AO374" s="36" t="n"/>
      <c r="AP374" s="36" t="n"/>
      <c r="AQ374" s="36" t="n"/>
      <c r="AR374" s="36" t="n"/>
      <c r="AS374" s="36" t="n"/>
      <c r="AT374" s="36" t="n"/>
      <c r="AU374" s="27" t="n"/>
      <c r="AV374" s="37" t="n"/>
      <c r="AW374" s="38">
        <f>IF(AO374="","",IF(AR374="Yes","❌ Disc",IF(AQ374="No","⚠ Missing",IF(AT374="Yes","✓ OK","⚠ Check"))))</f>
        <v/>
      </c>
    </row>
    <row r="375" ht="18" customHeight="1" s="46">
      <c r="A375" s="23" t="n">
        <v>371</v>
      </c>
      <c r="B375" s="24" t="inlineStr">
        <is>
          <t>BD-VRM-2026-0040</t>
        </is>
      </c>
      <c r="C375" s="25" t="inlineStr">
        <is>
          <t>Excel - Lohas Wallpaper 87469-5</t>
        </is>
      </c>
      <c r="D375" s="23" t="inlineStr">
        <is>
          <t>Excel</t>
        </is>
      </c>
      <c r="E375" s="43" t="n">
        <v>46125</v>
      </c>
      <c r="F375" s="26" t="inlineStr">
        <is>
          <t>Sunil CR</t>
        </is>
      </c>
      <c r="G375" s="26" t="inlineStr">
        <is>
          <t>Yes</t>
        </is>
      </c>
      <c r="H375" s="26" t="inlineStr">
        <is>
          <t>No</t>
        </is>
      </c>
      <c r="I375" s="26" t="inlineStr">
        <is>
          <t>Good finish</t>
        </is>
      </c>
      <c r="J375" s="26" t="inlineStr">
        <is>
          <t>Yes</t>
        </is>
      </c>
      <c r="K375" s="27" t="n"/>
      <c r="L375" s="28" t="inlineStr">
        <is>
          <t>No</t>
        </is>
      </c>
      <c r="M375" s="29">
        <f>IF(E375="","",IF(H375="Yes","❌ Disc",IF(G375="No","⚠ Missing",IF(J375="Yes","✓ OK","⚠ Check"))))</f>
        <v/>
      </c>
      <c r="N375" s="43" t="n">
        <v>46193</v>
      </c>
      <c r="O375" s="26" t="inlineStr">
        <is>
          <t>Sunil CR</t>
        </is>
      </c>
      <c r="P375" s="26" t="inlineStr">
        <is>
          <t>Yes</t>
        </is>
      </c>
      <c r="Q375" s="26" t="inlineStr">
        <is>
          <t>No</t>
        </is>
      </c>
      <c r="R375" s="26" t="inlineStr">
        <is>
          <t>Good finish</t>
        </is>
      </c>
      <c r="S375" s="26" t="inlineStr">
        <is>
          <t>Yes</t>
        </is>
      </c>
      <c r="T375" s="27" t="n"/>
      <c r="U375" s="28" t="inlineStr">
        <is>
          <t>No</t>
        </is>
      </c>
      <c r="V375" s="29">
        <f>IF(N375="","",IF(Q375="Yes","❌ Disc",IF(P375="No","⚠ Missing",IF(S375="Yes","✓ OK","⚠ Check"))))</f>
        <v/>
      </c>
      <c r="W375" s="65" t="n">
        <v>46248</v>
      </c>
      <c r="X375" s="30" t="inlineStr">
        <is>
          <t>Sunil CR</t>
        </is>
      </c>
      <c r="Y375" s="30" t="inlineStr">
        <is>
          <t>Yes</t>
        </is>
      </c>
      <c r="Z375" s="30" t="n"/>
      <c r="AA375" s="30" t="inlineStr">
        <is>
          <t>Good finish</t>
        </is>
      </c>
      <c r="AB375" s="30" t="inlineStr">
        <is>
          <t>Yes</t>
        </is>
      </c>
      <c r="AC375" s="27" t="n"/>
      <c r="AD375" s="31" t="inlineStr">
        <is>
          <t>No</t>
        </is>
      </c>
      <c r="AE375" s="32">
        <f>IF(W375="","",IF(Z375="Yes","❌ Disc",IF(Y375="No","⚠ Missing",IF(AB375="Yes","✓ OK","⚠ Check"))))</f>
        <v/>
      </c>
      <c r="AF375" s="33" t="n"/>
      <c r="AG375" s="33" t="n"/>
      <c r="AH375" s="33" t="n"/>
      <c r="AI375" s="33" t="n"/>
      <c r="AJ375" s="33" t="n"/>
      <c r="AK375" s="33" t="n"/>
      <c r="AL375" s="27" t="n"/>
      <c r="AM375" s="34" t="n"/>
      <c r="AN375" s="35">
        <f>IF(AF375="","",IF(AI375="Yes","❌ Disc",IF(AH375="No","⚠ Missing",IF(AK375="Yes","✓ OK","⚠ Check"))))</f>
        <v/>
      </c>
      <c r="AO375" s="36" t="n"/>
      <c r="AP375" s="36" t="n"/>
      <c r="AQ375" s="36" t="n"/>
      <c r="AR375" s="36" t="n"/>
      <c r="AS375" s="36" t="n"/>
      <c r="AT375" s="36" t="n"/>
      <c r="AU375" s="27" t="n"/>
      <c r="AV375" s="37" t="n"/>
      <c r="AW375" s="38">
        <f>IF(AO375="","",IF(AR375="Yes","❌ Disc",IF(AQ375="No","⚠ Missing",IF(AT375="Yes","✓ OK","⚠ Check"))))</f>
        <v/>
      </c>
    </row>
    <row r="376" ht="18" customHeight="1" s="46">
      <c r="A376" s="39" t="n">
        <v>372</v>
      </c>
      <c r="B376" s="40" t="inlineStr">
        <is>
          <t>BD-VRM-2026-0020</t>
        </is>
      </c>
      <c r="C376" s="41" t="inlineStr">
        <is>
          <t>Excel - Lohas Wallpaper 87470-1</t>
        </is>
      </c>
      <c r="D376" s="39" t="inlineStr">
        <is>
          <t>Excel</t>
        </is>
      </c>
      <c r="E376" s="43" t="n">
        <v>46125</v>
      </c>
      <c r="F376" s="26" t="inlineStr">
        <is>
          <t>Sunil CR</t>
        </is>
      </c>
      <c r="G376" s="26" t="inlineStr">
        <is>
          <t>Yes</t>
        </is>
      </c>
      <c r="H376" s="26" t="inlineStr">
        <is>
          <t>No</t>
        </is>
      </c>
      <c r="I376" s="26" t="inlineStr">
        <is>
          <t>Good finish</t>
        </is>
      </c>
      <c r="J376" s="26" t="inlineStr">
        <is>
          <t>Yes</t>
        </is>
      </c>
      <c r="K376" s="27" t="n"/>
      <c r="L376" s="28" t="inlineStr">
        <is>
          <t>No</t>
        </is>
      </c>
      <c r="M376" s="29">
        <f>IF(E376="","",IF(H376="Yes","❌ Disc",IF(G376="No","⚠ Missing",IF(J376="Yes","✓ OK","⚠ Check"))))</f>
        <v/>
      </c>
      <c r="N376" s="43" t="n">
        <v>46193</v>
      </c>
      <c r="O376" s="26" t="inlineStr">
        <is>
          <t>Sunil CR</t>
        </is>
      </c>
      <c r="P376" s="26" t="inlineStr">
        <is>
          <t>Yes</t>
        </is>
      </c>
      <c r="Q376" s="26" t="inlineStr">
        <is>
          <t>No</t>
        </is>
      </c>
      <c r="R376" s="26" t="inlineStr">
        <is>
          <t>Good finish</t>
        </is>
      </c>
      <c r="S376" s="26" t="inlineStr">
        <is>
          <t>Yes</t>
        </is>
      </c>
      <c r="T376" s="27" t="n"/>
      <c r="U376" s="28" t="inlineStr">
        <is>
          <t>No</t>
        </is>
      </c>
      <c r="V376" s="29">
        <f>IF(N376="","",IF(Q376="Yes","❌ Disc",IF(P376="No","⚠ Missing",IF(S376="Yes","✓ OK","⚠ Check"))))</f>
        <v/>
      </c>
      <c r="W376" s="65" t="n">
        <v>46248</v>
      </c>
      <c r="X376" s="30" t="inlineStr">
        <is>
          <t>Sunil CR</t>
        </is>
      </c>
      <c r="Y376" s="30" t="inlineStr">
        <is>
          <t>Yes</t>
        </is>
      </c>
      <c r="Z376" s="30" t="n"/>
      <c r="AA376" s="30" t="inlineStr">
        <is>
          <t>Good finish</t>
        </is>
      </c>
      <c r="AB376" s="30" t="inlineStr">
        <is>
          <t>Yes</t>
        </is>
      </c>
      <c r="AC376" s="27" t="n"/>
      <c r="AD376" s="31" t="inlineStr">
        <is>
          <t>No</t>
        </is>
      </c>
      <c r="AE376" s="32">
        <f>IF(W376="","",IF(Z376="Yes","❌ Disc",IF(Y376="No","⚠ Missing",IF(AB376="Yes","✓ OK","⚠ Check"))))</f>
        <v/>
      </c>
      <c r="AF376" s="33" t="n"/>
      <c r="AG376" s="33" t="n"/>
      <c r="AH376" s="33" t="n"/>
      <c r="AI376" s="33" t="n"/>
      <c r="AJ376" s="33" t="n"/>
      <c r="AK376" s="33" t="n"/>
      <c r="AL376" s="27" t="n"/>
      <c r="AM376" s="34" t="n"/>
      <c r="AN376" s="35">
        <f>IF(AF376="","",IF(AI376="Yes","❌ Disc",IF(AH376="No","⚠ Missing",IF(AK376="Yes","✓ OK","⚠ Check"))))</f>
        <v/>
      </c>
      <c r="AO376" s="36" t="n"/>
      <c r="AP376" s="36" t="n"/>
      <c r="AQ376" s="36" t="n"/>
      <c r="AR376" s="36" t="n"/>
      <c r="AS376" s="36" t="n"/>
      <c r="AT376" s="36" t="n"/>
      <c r="AU376" s="27" t="n"/>
      <c r="AV376" s="37" t="n"/>
      <c r="AW376" s="38">
        <f>IF(AO376="","",IF(AR376="Yes","❌ Disc",IF(AQ376="No","⚠ Missing",IF(AT376="Yes","✓ OK","⚠ Check"))))</f>
        <v/>
      </c>
    </row>
    <row r="377" ht="18" customHeight="1" s="46">
      <c r="A377" s="23" t="n">
        <v>373</v>
      </c>
      <c r="B377" s="24" t="inlineStr">
        <is>
          <t>BD-VRM-2026-0021</t>
        </is>
      </c>
      <c r="C377" s="25" t="inlineStr">
        <is>
          <t>Excel - Lohas Wallpaper 87470-2</t>
        </is>
      </c>
      <c r="D377" s="23" t="inlineStr">
        <is>
          <t>Excel</t>
        </is>
      </c>
      <c r="E377" s="43" t="n">
        <v>46125</v>
      </c>
      <c r="F377" s="26" t="inlineStr">
        <is>
          <t>Sunil CR</t>
        </is>
      </c>
      <c r="G377" s="26" t="inlineStr">
        <is>
          <t>Yes</t>
        </is>
      </c>
      <c r="H377" s="26" t="inlineStr">
        <is>
          <t>No</t>
        </is>
      </c>
      <c r="I377" s="26" t="inlineStr">
        <is>
          <t>Good finish</t>
        </is>
      </c>
      <c r="J377" s="26" t="inlineStr">
        <is>
          <t>Yes</t>
        </is>
      </c>
      <c r="K377" s="27" t="n"/>
      <c r="L377" s="28" t="inlineStr">
        <is>
          <t>No</t>
        </is>
      </c>
      <c r="M377" s="29">
        <f>IF(E377="","",IF(H377="Yes","❌ Disc",IF(G377="No","⚠ Missing",IF(J377="Yes","✓ OK","⚠ Check"))))</f>
        <v/>
      </c>
      <c r="N377" s="43" t="n">
        <v>46193</v>
      </c>
      <c r="O377" s="26" t="inlineStr">
        <is>
          <t>Sunil CR</t>
        </is>
      </c>
      <c r="P377" s="26" t="inlineStr">
        <is>
          <t>Yes</t>
        </is>
      </c>
      <c r="Q377" s="26" t="inlineStr">
        <is>
          <t>No</t>
        </is>
      </c>
      <c r="R377" s="26" t="inlineStr">
        <is>
          <t>Good finish</t>
        </is>
      </c>
      <c r="S377" s="26" t="inlineStr">
        <is>
          <t>Yes</t>
        </is>
      </c>
      <c r="T377" s="27" t="n"/>
      <c r="U377" s="28" t="inlineStr">
        <is>
          <t>No</t>
        </is>
      </c>
      <c r="V377" s="29">
        <f>IF(N377="","",IF(Q377="Yes","❌ Disc",IF(P377="No","⚠ Missing",IF(S377="Yes","✓ OK","⚠ Check"))))</f>
        <v/>
      </c>
      <c r="W377" s="65" t="n">
        <v>46248</v>
      </c>
      <c r="X377" s="30" t="inlineStr">
        <is>
          <t>Sunil CR</t>
        </is>
      </c>
      <c r="Y377" s="30" t="inlineStr">
        <is>
          <t>Yes</t>
        </is>
      </c>
      <c r="Z377" s="30" t="n"/>
      <c r="AA377" s="30" t="inlineStr">
        <is>
          <t>Good finish</t>
        </is>
      </c>
      <c r="AB377" s="30" t="inlineStr">
        <is>
          <t>Yes</t>
        </is>
      </c>
      <c r="AC377" s="27" t="n"/>
      <c r="AD377" s="31" t="inlineStr">
        <is>
          <t>No</t>
        </is>
      </c>
      <c r="AE377" s="32">
        <f>IF(W377="","",IF(Z377="Yes","❌ Disc",IF(Y377="No","⚠ Missing",IF(AB377="Yes","✓ OK","⚠ Check"))))</f>
        <v/>
      </c>
      <c r="AF377" s="33" t="n"/>
      <c r="AG377" s="33" t="n"/>
      <c r="AH377" s="33" t="n"/>
      <c r="AI377" s="33" t="n"/>
      <c r="AJ377" s="33" t="n"/>
      <c r="AK377" s="33" t="n"/>
      <c r="AL377" s="27" t="n"/>
      <c r="AM377" s="34" t="n"/>
      <c r="AN377" s="35">
        <f>IF(AF377="","",IF(AI377="Yes","❌ Disc",IF(AH377="No","⚠ Missing",IF(AK377="Yes","✓ OK","⚠ Check"))))</f>
        <v/>
      </c>
      <c r="AO377" s="36" t="n"/>
      <c r="AP377" s="36" t="n"/>
      <c r="AQ377" s="36" t="n"/>
      <c r="AR377" s="36" t="n"/>
      <c r="AS377" s="36" t="n"/>
      <c r="AT377" s="36" t="n"/>
      <c r="AU377" s="27" t="n"/>
      <c r="AV377" s="37" t="n"/>
      <c r="AW377" s="38">
        <f>IF(AO377="","",IF(AR377="Yes","❌ Disc",IF(AQ377="No","⚠ Missing",IF(AT377="Yes","✓ OK","⚠ Check"))))</f>
        <v/>
      </c>
    </row>
    <row r="378" ht="18" customHeight="1" s="46">
      <c r="A378" s="39" t="n">
        <v>374</v>
      </c>
      <c r="B378" s="40" t="inlineStr">
        <is>
          <t>BD-VRM-2026-0022</t>
        </is>
      </c>
      <c r="C378" s="41" t="inlineStr">
        <is>
          <t>Excel - Lohas Wallpaper 87470-3</t>
        </is>
      </c>
      <c r="D378" s="39" t="inlineStr">
        <is>
          <t>Excel</t>
        </is>
      </c>
      <c r="E378" s="43" t="n">
        <v>46125</v>
      </c>
      <c r="F378" s="26" t="inlineStr">
        <is>
          <t>Sunil CR</t>
        </is>
      </c>
      <c r="G378" s="26" t="inlineStr">
        <is>
          <t>Yes</t>
        </is>
      </c>
      <c r="H378" s="26" t="inlineStr">
        <is>
          <t>No</t>
        </is>
      </c>
      <c r="I378" s="26" t="inlineStr">
        <is>
          <t>Good finish</t>
        </is>
      </c>
      <c r="J378" s="26" t="inlineStr">
        <is>
          <t>Yes</t>
        </is>
      </c>
      <c r="K378" s="27" t="n"/>
      <c r="L378" s="28" t="inlineStr">
        <is>
          <t>No</t>
        </is>
      </c>
      <c r="M378" s="29">
        <f>IF(E378="","",IF(H378="Yes","❌ Disc",IF(G378="No","⚠ Missing",IF(J378="Yes","✓ OK","⚠ Check"))))</f>
        <v/>
      </c>
      <c r="N378" s="43" t="n">
        <v>46193</v>
      </c>
      <c r="O378" s="26" t="inlineStr">
        <is>
          <t>Sunil CR</t>
        </is>
      </c>
      <c r="P378" s="26" t="inlineStr">
        <is>
          <t>Yes</t>
        </is>
      </c>
      <c r="Q378" s="26" t="inlineStr">
        <is>
          <t>No</t>
        </is>
      </c>
      <c r="R378" s="26" t="inlineStr">
        <is>
          <t>Good finish</t>
        </is>
      </c>
      <c r="S378" s="26" t="inlineStr">
        <is>
          <t>Yes</t>
        </is>
      </c>
      <c r="T378" s="27" t="n"/>
      <c r="U378" s="28" t="inlineStr">
        <is>
          <t>No</t>
        </is>
      </c>
      <c r="V378" s="29">
        <f>IF(N378="","",IF(Q378="Yes","❌ Disc",IF(P378="No","⚠ Missing",IF(S378="Yes","✓ OK","⚠ Check"))))</f>
        <v/>
      </c>
      <c r="W378" s="65" t="n">
        <v>46248</v>
      </c>
      <c r="X378" s="30" t="inlineStr">
        <is>
          <t>Sunil CR</t>
        </is>
      </c>
      <c r="Y378" s="30" t="inlineStr">
        <is>
          <t>Yes</t>
        </is>
      </c>
      <c r="Z378" s="30" t="n"/>
      <c r="AA378" s="30" t="inlineStr">
        <is>
          <t>Good finish</t>
        </is>
      </c>
      <c r="AB378" s="30" t="inlineStr">
        <is>
          <t>Yes</t>
        </is>
      </c>
      <c r="AC378" s="27" t="n"/>
      <c r="AD378" s="31" t="inlineStr">
        <is>
          <t>No</t>
        </is>
      </c>
      <c r="AE378" s="32">
        <f>IF(W378="","",IF(Z378="Yes","❌ Disc",IF(Y378="No","⚠ Missing",IF(AB378="Yes","✓ OK","⚠ Check"))))</f>
        <v/>
      </c>
      <c r="AF378" s="33" t="n"/>
      <c r="AG378" s="33" t="n"/>
      <c r="AH378" s="33" t="n"/>
      <c r="AI378" s="33" t="n"/>
      <c r="AJ378" s="33" t="n"/>
      <c r="AK378" s="33" t="n"/>
      <c r="AL378" s="27" t="n"/>
      <c r="AM378" s="34" t="n"/>
      <c r="AN378" s="35">
        <f>IF(AF378="","",IF(AI378="Yes","❌ Disc",IF(AH378="No","⚠ Missing",IF(AK378="Yes","✓ OK","⚠ Check"))))</f>
        <v/>
      </c>
      <c r="AO378" s="36" t="n"/>
      <c r="AP378" s="36" t="n"/>
      <c r="AQ378" s="36" t="n"/>
      <c r="AR378" s="36" t="n"/>
      <c r="AS378" s="36" t="n"/>
      <c r="AT378" s="36" t="n"/>
      <c r="AU378" s="27" t="n"/>
      <c r="AV378" s="37" t="n"/>
      <c r="AW378" s="38">
        <f>IF(AO378="","",IF(AR378="Yes","❌ Disc",IF(AQ378="No","⚠ Missing",IF(AT378="Yes","✓ OK","⚠ Check"))))</f>
        <v/>
      </c>
    </row>
    <row r="379" ht="18" customHeight="1" s="46">
      <c r="A379" s="23" t="n">
        <v>375</v>
      </c>
      <c r="B379" s="24" t="inlineStr">
        <is>
          <t>BD-VRM-2026-0023</t>
        </is>
      </c>
      <c r="C379" s="25" t="inlineStr">
        <is>
          <t>Excel - Lohas Wallpaper 87470-4</t>
        </is>
      </c>
      <c r="D379" s="23" t="inlineStr">
        <is>
          <t>Excel</t>
        </is>
      </c>
      <c r="E379" s="43" t="n">
        <v>46125</v>
      </c>
      <c r="F379" s="26" t="inlineStr">
        <is>
          <t>Sunil CR</t>
        </is>
      </c>
      <c r="G379" s="26" t="inlineStr">
        <is>
          <t>Yes</t>
        </is>
      </c>
      <c r="H379" s="26" t="inlineStr">
        <is>
          <t>No</t>
        </is>
      </c>
      <c r="I379" s="26" t="inlineStr">
        <is>
          <t>Good finish</t>
        </is>
      </c>
      <c r="J379" s="26" t="inlineStr">
        <is>
          <t>Yes</t>
        </is>
      </c>
      <c r="K379" s="27" t="n"/>
      <c r="L379" s="28" t="inlineStr">
        <is>
          <t>No</t>
        </is>
      </c>
      <c r="M379" s="29">
        <f>IF(E379="","",IF(H379="Yes","❌ Disc",IF(G379="No","⚠ Missing",IF(J379="Yes","✓ OK","⚠ Check"))))</f>
        <v/>
      </c>
      <c r="N379" s="43" t="n">
        <v>46193</v>
      </c>
      <c r="O379" s="26" t="inlineStr">
        <is>
          <t>Sunil CR</t>
        </is>
      </c>
      <c r="P379" s="26" t="inlineStr">
        <is>
          <t>Yes</t>
        </is>
      </c>
      <c r="Q379" s="26" t="inlineStr">
        <is>
          <t>No</t>
        </is>
      </c>
      <c r="R379" s="26" t="inlineStr">
        <is>
          <t>Good finish</t>
        </is>
      </c>
      <c r="S379" s="26" t="inlineStr">
        <is>
          <t>Yes</t>
        </is>
      </c>
      <c r="T379" s="27" t="n"/>
      <c r="U379" s="28" t="inlineStr">
        <is>
          <t>No</t>
        </is>
      </c>
      <c r="V379" s="29">
        <f>IF(N379="","",IF(Q379="Yes","❌ Disc",IF(P379="No","⚠ Missing",IF(S379="Yes","✓ OK","⚠ Check"))))</f>
        <v/>
      </c>
      <c r="W379" s="65" t="n">
        <v>46248</v>
      </c>
      <c r="X379" s="30" t="inlineStr">
        <is>
          <t>Sunil CR</t>
        </is>
      </c>
      <c r="Y379" s="30" t="inlineStr">
        <is>
          <t>Yes</t>
        </is>
      </c>
      <c r="Z379" s="30" t="n"/>
      <c r="AA379" s="30" t="inlineStr">
        <is>
          <t>Good finish</t>
        </is>
      </c>
      <c r="AB379" s="30" t="inlineStr">
        <is>
          <t>Yes</t>
        </is>
      </c>
      <c r="AC379" s="27" t="n"/>
      <c r="AD379" s="31" t="inlineStr">
        <is>
          <t>No</t>
        </is>
      </c>
      <c r="AE379" s="32">
        <f>IF(W379="","",IF(Z379="Yes","❌ Disc",IF(Y379="No","⚠ Missing",IF(AB379="Yes","✓ OK","⚠ Check"))))</f>
        <v/>
      </c>
      <c r="AF379" s="33" t="n"/>
      <c r="AG379" s="33" t="n"/>
      <c r="AH379" s="33" t="n"/>
      <c r="AI379" s="33" t="n"/>
      <c r="AJ379" s="33" t="n"/>
      <c r="AK379" s="33" t="n"/>
      <c r="AL379" s="27" t="n"/>
      <c r="AM379" s="34" t="n"/>
      <c r="AN379" s="35">
        <f>IF(AF379="","",IF(AI379="Yes","❌ Disc",IF(AH379="No","⚠ Missing",IF(AK379="Yes","✓ OK","⚠ Check"))))</f>
        <v/>
      </c>
      <c r="AO379" s="36" t="n"/>
      <c r="AP379" s="36" t="n"/>
      <c r="AQ379" s="36" t="n"/>
      <c r="AR379" s="36" t="n"/>
      <c r="AS379" s="36" t="n"/>
      <c r="AT379" s="36" t="n"/>
      <c r="AU379" s="27" t="n"/>
      <c r="AV379" s="37" t="n"/>
      <c r="AW379" s="38">
        <f>IF(AO379="","",IF(AR379="Yes","❌ Disc",IF(AQ379="No","⚠ Missing",IF(AT379="Yes","✓ OK","⚠ Check"))))</f>
        <v/>
      </c>
    </row>
    <row r="380" ht="18" customHeight="1" s="46">
      <c r="A380" s="39" t="n">
        <v>376</v>
      </c>
      <c r="B380" s="40" t="inlineStr">
        <is>
          <t>BD-VRM-2026-0031</t>
        </is>
      </c>
      <c r="C380" s="41" t="inlineStr">
        <is>
          <t>Excel - Lohas Wallpaper 87473-1</t>
        </is>
      </c>
      <c r="D380" s="39" t="inlineStr">
        <is>
          <t>Excel</t>
        </is>
      </c>
      <c r="E380" s="43" t="n">
        <v>46125</v>
      </c>
      <c r="F380" s="26" t="inlineStr">
        <is>
          <t>Sunil CR</t>
        </is>
      </c>
      <c r="G380" s="26" t="inlineStr">
        <is>
          <t>Yes</t>
        </is>
      </c>
      <c r="H380" s="26" t="inlineStr">
        <is>
          <t>No</t>
        </is>
      </c>
      <c r="I380" s="26" t="inlineStr">
        <is>
          <t>Good finish</t>
        </is>
      </c>
      <c r="J380" s="26" t="inlineStr">
        <is>
          <t>Yes</t>
        </is>
      </c>
      <c r="K380" s="27" t="n"/>
      <c r="L380" s="28" t="inlineStr">
        <is>
          <t>No</t>
        </is>
      </c>
      <c r="M380" s="29">
        <f>IF(E380="","",IF(H380="Yes","❌ Disc",IF(G380="No","⚠ Missing",IF(J380="Yes","✓ OK","⚠ Check"))))</f>
        <v/>
      </c>
      <c r="N380" s="43" t="n">
        <v>46193</v>
      </c>
      <c r="O380" s="26" t="inlineStr">
        <is>
          <t>Sunil CR</t>
        </is>
      </c>
      <c r="P380" s="26" t="inlineStr">
        <is>
          <t>Yes</t>
        </is>
      </c>
      <c r="Q380" s="26" t="inlineStr">
        <is>
          <t>No</t>
        </is>
      </c>
      <c r="R380" s="26" t="inlineStr">
        <is>
          <t>Good finish</t>
        </is>
      </c>
      <c r="S380" s="26" t="inlineStr">
        <is>
          <t>Yes</t>
        </is>
      </c>
      <c r="T380" s="27" t="n"/>
      <c r="U380" s="28" t="inlineStr">
        <is>
          <t>No</t>
        </is>
      </c>
      <c r="V380" s="29">
        <f>IF(N380="","",IF(Q380="Yes","❌ Disc",IF(P380="No","⚠ Missing",IF(S380="Yes","✓ OK","⚠ Check"))))</f>
        <v/>
      </c>
      <c r="W380" s="65" t="n">
        <v>46248</v>
      </c>
      <c r="X380" s="30" t="inlineStr">
        <is>
          <t>Sunil CR</t>
        </is>
      </c>
      <c r="Y380" s="30" t="inlineStr">
        <is>
          <t>Yes</t>
        </is>
      </c>
      <c r="Z380" s="30" t="n"/>
      <c r="AA380" s="30" t="inlineStr">
        <is>
          <t>Good finish</t>
        </is>
      </c>
      <c r="AB380" s="30" t="inlineStr">
        <is>
          <t>Yes</t>
        </is>
      </c>
      <c r="AC380" s="27" t="n"/>
      <c r="AD380" s="31" t="inlineStr">
        <is>
          <t>No</t>
        </is>
      </c>
      <c r="AE380" s="32">
        <f>IF(W380="","",IF(Z380="Yes","❌ Disc",IF(Y380="No","⚠ Missing",IF(AB380="Yes","✓ OK","⚠ Check"))))</f>
        <v/>
      </c>
      <c r="AF380" s="33" t="n"/>
      <c r="AG380" s="33" t="n"/>
      <c r="AH380" s="33" t="n"/>
      <c r="AI380" s="33" t="n"/>
      <c r="AJ380" s="33" t="n"/>
      <c r="AK380" s="33" t="n"/>
      <c r="AL380" s="27" t="n"/>
      <c r="AM380" s="34" t="n"/>
      <c r="AN380" s="35">
        <f>IF(AF380="","",IF(AI380="Yes","❌ Disc",IF(AH380="No","⚠ Missing",IF(AK380="Yes","✓ OK","⚠ Check"))))</f>
        <v/>
      </c>
      <c r="AO380" s="36" t="n"/>
      <c r="AP380" s="36" t="n"/>
      <c r="AQ380" s="36" t="n"/>
      <c r="AR380" s="36" t="n"/>
      <c r="AS380" s="36" t="n"/>
      <c r="AT380" s="36" t="n"/>
      <c r="AU380" s="27" t="n"/>
      <c r="AV380" s="37" t="n"/>
      <c r="AW380" s="38">
        <f>IF(AO380="","",IF(AR380="Yes","❌ Disc",IF(AQ380="No","⚠ Missing",IF(AT380="Yes","✓ OK","⚠ Check"))))</f>
        <v/>
      </c>
    </row>
    <row r="381" ht="18" customHeight="1" s="46">
      <c r="A381" s="23" t="n">
        <v>377</v>
      </c>
      <c r="B381" s="24" t="inlineStr">
        <is>
          <t>BD-VRM-2026-0032</t>
        </is>
      </c>
      <c r="C381" s="25" t="inlineStr">
        <is>
          <t>Excel - Lohas Wallpaper 87473-2</t>
        </is>
      </c>
      <c r="D381" s="23" t="inlineStr">
        <is>
          <t>Excel</t>
        </is>
      </c>
      <c r="E381" s="43" t="n">
        <v>46125</v>
      </c>
      <c r="F381" s="26" t="inlineStr">
        <is>
          <t>Sunil CR</t>
        </is>
      </c>
      <c r="G381" s="26" t="inlineStr">
        <is>
          <t>Yes</t>
        </is>
      </c>
      <c r="H381" s="26" t="inlineStr">
        <is>
          <t>No</t>
        </is>
      </c>
      <c r="I381" s="26" t="inlineStr">
        <is>
          <t>Good finish</t>
        </is>
      </c>
      <c r="J381" s="26" t="inlineStr">
        <is>
          <t>Yes</t>
        </is>
      </c>
      <c r="K381" s="27" t="n"/>
      <c r="L381" s="28" t="inlineStr">
        <is>
          <t>No</t>
        </is>
      </c>
      <c r="M381" s="29">
        <f>IF(E381="","",IF(H381="Yes","❌ Disc",IF(G381="No","⚠ Missing",IF(J381="Yes","✓ OK","⚠ Check"))))</f>
        <v/>
      </c>
      <c r="N381" s="43" t="n">
        <v>46193</v>
      </c>
      <c r="O381" s="26" t="inlineStr">
        <is>
          <t>Sunil CR</t>
        </is>
      </c>
      <c r="P381" s="26" t="inlineStr">
        <is>
          <t>Yes</t>
        </is>
      </c>
      <c r="Q381" s="26" t="inlineStr">
        <is>
          <t>No</t>
        </is>
      </c>
      <c r="R381" s="26" t="inlineStr">
        <is>
          <t>Good finish</t>
        </is>
      </c>
      <c r="S381" s="26" t="inlineStr">
        <is>
          <t>Yes</t>
        </is>
      </c>
      <c r="T381" s="27" t="n"/>
      <c r="U381" s="28" t="inlineStr">
        <is>
          <t>No</t>
        </is>
      </c>
      <c r="V381" s="29">
        <f>IF(N381="","",IF(Q381="Yes","❌ Disc",IF(P381="No","⚠ Missing",IF(S381="Yes","✓ OK","⚠ Check"))))</f>
        <v/>
      </c>
      <c r="W381" s="65" t="n">
        <v>46248</v>
      </c>
      <c r="X381" s="30" t="inlineStr">
        <is>
          <t>Sunil CR</t>
        </is>
      </c>
      <c r="Y381" s="30" t="inlineStr">
        <is>
          <t>Yes</t>
        </is>
      </c>
      <c r="Z381" s="30" t="n"/>
      <c r="AA381" s="30" t="inlineStr">
        <is>
          <t>Good finish</t>
        </is>
      </c>
      <c r="AB381" s="30" t="inlineStr">
        <is>
          <t>Yes</t>
        </is>
      </c>
      <c r="AC381" s="27" t="n"/>
      <c r="AD381" s="31" t="inlineStr">
        <is>
          <t>No</t>
        </is>
      </c>
      <c r="AE381" s="32">
        <f>IF(W381="","",IF(Z381="Yes","❌ Disc",IF(Y381="No","⚠ Missing",IF(AB381="Yes","✓ OK","⚠ Check"))))</f>
        <v/>
      </c>
      <c r="AF381" s="33" t="n"/>
      <c r="AG381" s="33" t="n"/>
      <c r="AH381" s="33" t="n"/>
      <c r="AI381" s="33" t="n"/>
      <c r="AJ381" s="33" t="n"/>
      <c r="AK381" s="33" t="n"/>
      <c r="AL381" s="27" t="n"/>
      <c r="AM381" s="34" t="n"/>
      <c r="AN381" s="35">
        <f>IF(AF381="","",IF(AI381="Yes","❌ Disc",IF(AH381="No","⚠ Missing",IF(AK381="Yes","✓ OK","⚠ Check"))))</f>
        <v/>
      </c>
      <c r="AO381" s="36" t="n"/>
      <c r="AP381" s="36" t="n"/>
      <c r="AQ381" s="36" t="n"/>
      <c r="AR381" s="36" t="n"/>
      <c r="AS381" s="36" t="n"/>
      <c r="AT381" s="36" t="n"/>
      <c r="AU381" s="27" t="n"/>
      <c r="AV381" s="37" t="n"/>
      <c r="AW381" s="38">
        <f>IF(AO381="","",IF(AR381="Yes","❌ Disc",IF(AQ381="No","⚠ Missing",IF(AT381="Yes","✓ OK","⚠ Check"))))</f>
        <v/>
      </c>
    </row>
    <row r="382" ht="18" customHeight="1" s="46">
      <c r="A382" s="39" t="n">
        <v>378</v>
      </c>
      <c r="B382" s="40" t="inlineStr">
        <is>
          <t>BD-VRM-2026-0016</t>
        </is>
      </c>
      <c r="C382" s="41" t="inlineStr">
        <is>
          <t>Excel - Lohas Wallpaper 87474-1</t>
        </is>
      </c>
      <c r="D382" s="39" t="inlineStr">
        <is>
          <t>Excel</t>
        </is>
      </c>
      <c r="E382" s="43" t="n">
        <v>46125</v>
      </c>
      <c r="F382" s="26" t="inlineStr">
        <is>
          <t>Sunil CR</t>
        </is>
      </c>
      <c r="G382" s="26" t="inlineStr">
        <is>
          <t>Yes</t>
        </is>
      </c>
      <c r="H382" s="26" t="inlineStr">
        <is>
          <t>No</t>
        </is>
      </c>
      <c r="I382" s="26" t="inlineStr">
        <is>
          <t>Good finish</t>
        </is>
      </c>
      <c r="J382" s="26" t="inlineStr">
        <is>
          <t>Yes</t>
        </is>
      </c>
      <c r="K382" s="27" t="n"/>
      <c r="L382" s="28" t="inlineStr">
        <is>
          <t>No</t>
        </is>
      </c>
      <c r="M382" s="29">
        <f>IF(E382="","",IF(H382="Yes","❌ Disc",IF(G382="No","⚠ Missing",IF(J382="Yes","✓ OK","⚠ Check"))))</f>
        <v/>
      </c>
      <c r="N382" s="43" t="n">
        <v>46193</v>
      </c>
      <c r="O382" s="26" t="inlineStr">
        <is>
          <t>Sunil CR</t>
        </is>
      </c>
      <c r="P382" s="26" t="inlineStr">
        <is>
          <t>Yes</t>
        </is>
      </c>
      <c r="Q382" s="26" t="inlineStr">
        <is>
          <t>No</t>
        </is>
      </c>
      <c r="R382" s="26" t="inlineStr">
        <is>
          <t>Good finish</t>
        </is>
      </c>
      <c r="S382" s="26" t="inlineStr">
        <is>
          <t>Yes</t>
        </is>
      </c>
      <c r="T382" s="27" t="n"/>
      <c r="U382" s="28" t="inlineStr">
        <is>
          <t>No</t>
        </is>
      </c>
      <c r="V382" s="29">
        <f>IF(N382="","",IF(Q382="Yes","❌ Disc",IF(P382="No","⚠ Missing",IF(S382="Yes","✓ OK","⚠ Check"))))</f>
        <v/>
      </c>
      <c r="W382" s="65" t="n">
        <v>46248</v>
      </c>
      <c r="X382" s="30" t="inlineStr">
        <is>
          <t>Sunil CR</t>
        </is>
      </c>
      <c r="Y382" s="30" t="inlineStr">
        <is>
          <t>Yes</t>
        </is>
      </c>
      <c r="Z382" s="30" t="n"/>
      <c r="AA382" s="30" t="inlineStr">
        <is>
          <t>Good finish</t>
        </is>
      </c>
      <c r="AB382" s="30" t="inlineStr">
        <is>
          <t>Yes</t>
        </is>
      </c>
      <c r="AC382" s="27" t="n"/>
      <c r="AD382" s="31" t="inlineStr">
        <is>
          <t>No</t>
        </is>
      </c>
      <c r="AE382" s="32">
        <f>IF(W382="","",IF(Z382="Yes","❌ Disc",IF(Y382="No","⚠ Missing",IF(AB382="Yes","✓ OK","⚠ Check"))))</f>
        <v/>
      </c>
      <c r="AF382" s="33" t="n"/>
      <c r="AG382" s="33" t="n"/>
      <c r="AH382" s="33" t="n"/>
      <c r="AI382" s="33" t="n"/>
      <c r="AJ382" s="33" t="n"/>
      <c r="AK382" s="33" t="n"/>
      <c r="AL382" s="27" t="n"/>
      <c r="AM382" s="34" t="n"/>
      <c r="AN382" s="35">
        <f>IF(AF382="","",IF(AI382="Yes","❌ Disc",IF(AH382="No","⚠ Missing",IF(AK382="Yes","✓ OK","⚠ Check"))))</f>
        <v/>
      </c>
      <c r="AO382" s="36" t="n"/>
      <c r="AP382" s="36" t="n"/>
      <c r="AQ382" s="36" t="n"/>
      <c r="AR382" s="36" t="n"/>
      <c r="AS382" s="36" t="n"/>
      <c r="AT382" s="36" t="n"/>
      <c r="AU382" s="27" t="n"/>
      <c r="AV382" s="37" t="n"/>
      <c r="AW382" s="38">
        <f>IF(AO382="","",IF(AR382="Yes","❌ Disc",IF(AQ382="No","⚠ Missing",IF(AT382="Yes","✓ OK","⚠ Check"))))</f>
        <v/>
      </c>
    </row>
    <row r="383" ht="18" customHeight="1" s="46">
      <c r="A383" s="23" t="n">
        <v>379</v>
      </c>
      <c r="B383" s="24" t="inlineStr">
        <is>
          <t>BD-VRM-2026-0017</t>
        </is>
      </c>
      <c r="C383" s="25" t="inlineStr">
        <is>
          <t>Excel - Lohas Wallpaper 87474-2</t>
        </is>
      </c>
      <c r="D383" s="23" t="inlineStr">
        <is>
          <t>Excel</t>
        </is>
      </c>
      <c r="E383" s="43" t="n">
        <v>46125</v>
      </c>
      <c r="F383" s="26" t="inlineStr">
        <is>
          <t>Sunil CR</t>
        </is>
      </c>
      <c r="G383" s="26" t="inlineStr">
        <is>
          <t>Yes</t>
        </is>
      </c>
      <c r="H383" s="26" t="inlineStr">
        <is>
          <t>No</t>
        </is>
      </c>
      <c r="I383" s="26" t="inlineStr">
        <is>
          <t>Good finish</t>
        </is>
      </c>
      <c r="J383" s="26" t="inlineStr">
        <is>
          <t>Yes</t>
        </is>
      </c>
      <c r="K383" s="27" t="n"/>
      <c r="L383" s="28" t="inlineStr">
        <is>
          <t>No</t>
        </is>
      </c>
      <c r="M383" s="29">
        <f>IF(E383="","",IF(H383="Yes","❌ Disc",IF(G383="No","⚠ Missing",IF(J383="Yes","✓ OK","⚠ Check"))))</f>
        <v/>
      </c>
      <c r="N383" s="43" t="n">
        <v>46193</v>
      </c>
      <c r="O383" s="26" t="inlineStr">
        <is>
          <t>Sunil CR</t>
        </is>
      </c>
      <c r="P383" s="26" t="inlineStr">
        <is>
          <t>Yes</t>
        </is>
      </c>
      <c r="Q383" s="26" t="inlineStr">
        <is>
          <t>No</t>
        </is>
      </c>
      <c r="R383" s="26" t="inlineStr">
        <is>
          <t>Good finish</t>
        </is>
      </c>
      <c r="S383" s="26" t="inlineStr">
        <is>
          <t>Yes</t>
        </is>
      </c>
      <c r="T383" s="27" t="n"/>
      <c r="U383" s="28" t="inlineStr">
        <is>
          <t>No</t>
        </is>
      </c>
      <c r="V383" s="29">
        <f>IF(N383="","",IF(Q383="Yes","❌ Disc",IF(P383="No","⚠ Missing",IF(S383="Yes","✓ OK","⚠ Check"))))</f>
        <v/>
      </c>
      <c r="W383" s="65" t="n">
        <v>46248</v>
      </c>
      <c r="X383" s="30" t="inlineStr">
        <is>
          <t>Sunil CR</t>
        </is>
      </c>
      <c r="Y383" s="30" t="inlineStr">
        <is>
          <t>Yes</t>
        </is>
      </c>
      <c r="Z383" s="30" t="n"/>
      <c r="AA383" s="30" t="inlineStr">
        <is>
          <t>Good finish</t>
        </is>
      </c>
      <c r="AB383" s="30" t="inlineStr">
        <is>
          <t>Yes</t>
        </is>
      </c>
      <c r="AC383" s="27" t="n"/>
      <c r="AD383" s="31" t="inlineStr">
        <is>
          <t>No</t>
        </is>
      </c>
      <c r="AE383" s="32">
        <f>IF(W383="","",IF(Z383="Yes","❌ Disc",IF(Y383="No","⚠ Missing",IF(AB383="Yes","✓ OK","⚠ Check"))))</f>
        <v/>
      </c>
      <c r="AF383" s="33" t="n"/>
      <c r="AG383" s="33" t="n"/>
      <c r="AH383" s="33" t="n"/>
      <c r="AI383" s="33" t="n"/>
      <c r="AJ383" s="33" t="n"/>
      <c r="AK383" s="33" t="n"/>
      <c r="AL383" s="27" t="n"/>
      <c r="AM383" s="34" t="n"/>
      <c r="AN383" s="35">
        <f>IF(AF383="","",IF(AI383="Yes","❌ Disc",IF(AH383="No","⚠ Missing",IF(AK383="Yes","✓ OK","⚠ Check"))))</f>
        <v/>
      </c>
      <c r="AO383" s="36" t="n"/>
      <c r="AP383" s="36" t="n"/>
      <c r="AQ383" s="36" t="n"/>
      <c r="AR383" s="36" t="n"/>
      <c r="AS383" s="36" t="n"/>
      <c r="AT383" s="36" t="n"/>
      <c r="AU383" s="27" t="n"/>
      <c r="AV383" s="37" t="n"/>
      <c r="AW383" s="38">
        <f>IF(AO383="","",IF(AR383="Yes","❌ Disc",IF(AQ383="No","⚠ Missing",IF(AT383="Yes","✓ OK","⚠ Check"))))</f>
        <v/>
      </c>
    </row>
    <row r="384" ht="18" customHeight="1" s="46">
      <c r="A384" s="39" t="n">
        <v>380</v>
      </c>
      <c r="B384" s="40" t="inlineStr">
        <is>
          <t>BD-VRM-2026-0018</t>
        </is>
      </c>
      <c r="C384" s="41" t="inlineStr">
        <is>
          <t>Excel - Lohas Wallpaper 87474-3</t>
        </is>
      </c>
      <c r="D384" s="39" t="inlineStr">
        <is>
          <t>Excel</t>
        </is>
      </c>
      <c r="E384" s="43" t="n">
        <v>46125</v>
      </c>
      <c r="F384" s="26" t="inlineStr">
        <is>
          <t>Sunil CR</t>
        </is>
      </c>
      <c r="G384" s="26" t="inlineStr">
        <is>
          <t>Yes</t>
        </is>
      </c>
      <c r="H384" s="26" t="inlineStr">
        <is>
          <t>No</t>
        </is>
      </c>
      <c r="I384" s="26" t="inlineStr">
        <is>
          <t>Good finish</t>
        </is>
      </c>
      <c r="J384" s="26" t="inlineStr">
        <is>
          <t>Yes</t>
        </is>
      </c>
      <c r="K384" s="27" t="n"/>
      <c r="L384" s="28" t="inlineStr">
        <is>
          <t>No</t>
        </is>
      </c>
      <c r="M384" s="29">
        <f>IF(E384="","",IF(H384="Yes","❌ Disc",IF(G384="No","⚠ Missing",IF(J384="Yes","✓ OK","⚠ Check"))))</f>
        <v/>
      </c>
      <c r="N384" s="43" t="n">
        <v>46193</v>
      </c>
      <c r="O384" s="26" t="inlineStr">
        <is>
          <t>Sunil CR</t>
        </is>
      </c>
      <c r="P384" s="26" t="inlineStr">
        <is>
          <t>Yes</t>
        </is>
      </c>
      <c r="Q384" s="26" t="inlineStr">
        <is>
          <t>No</t>
        </is>
      </c>
      <c r="R384" s="26" t="inlineStr">
        <is>
          <t>Good finish</t>
        </is>
      </c>
      <c r="S384" s="26" t="inlineStr">
        <is>
          <t>Yes</t>
        </is>
      </c>
      <c r="T384" s="27" t="n"/>
      <c r="U384" s="28" t="inlineStr">
        <is>
          <t>No</t>
        </is>
      </c>
      <c r="V384" s="29">
        <f>IF(N384="","",IF(Q384="Yes","❌ Disc",IF(P384="No","⚠ Missing",IF(S384="Yes","✓ OK","⚠ Check"))))</f>
        <v/>
      </c>
      <c r="W384" s="65" t="n">
        <v>46248</v>
      </c>
      <c r="X384" s="30" t="inlineStr">
        <is>
          <t>Sunil CR</t>
        </is>
      </c>
      <c r="Y384" s="30" t="inlineStr">
        <is>
          <t>Yes</t>
        </is>
      </c>
      <c r="Z384" s="30" t="n"/>
      <c r="AA384" s="30" t="inlineStr">
        <is>
          <t>Good finish</t>
        </is>
      </c>
      <c r="AB384" s="30" t="inlineStr">
        <is>
          <t>Yes</t>
        </is>
      </c>
      <c r="AC384" s="27" t="n"/>
      <c r="AD384" s="31" t="inlineStr">
        <is>
          <t>No</t>
        </is>
      </c>
      <c r="AE384" s="32">
        <f>IF(W384="","",IF(Z384="Yes","❌ Disc",IF(Y384="No","⚠ Missing",IF(AB384="Yes","✓ OK","⚠ Check"))))</f>
        <v/>
      </c>
      <c r="AF384" s="33" t="n"/>
      <c r="AG384" s="33" t="n"/>
      <c r="AH384" s="33" t="n"/>
      <c r="AI384" s="33" t="n"/>
      <c r="AJ384" s="33" t="n"/>
      <c r="AK384" s="33" t="n"/>
      <c r="AL384" s="27" t="n"/>
      <c r="AM384" s="34" t="n"/>
      <c r="AN384" s="35">
        <f>IF(AF384="","",IF(AI384="Yes","❌ Disc",IF(AH384="No","⚠ Missing",IF(AK384="Yes","✓ OK","⚠ Check"))))</f>
        <v/>
      </c>
      <c r="AO384" s="36" t="n"/>
      <c r="AP384" s="36" t="n"/>
      <c r="AQ384" s="36" t="n"/>
      <c r="AR384" s="36" t="n"/>
      <c r="AS384" s="36" t="n"/>
      <c r="AT384" s="36" t="n"/>
      <c r="AU384" s="27" t="n"/>
      <c r="AV384" s="37" t="n"/>
      <c r="AW384" s="38">
        <f>IF(AO384="","",IF(AR384="Yes","❌ Disc",IF(AQ384="No","⚠ Missing",IF(AT384="Yes","✓ OK","⚠ Check"))))</f>
        <v/>
      </c>
    </row>
    <row r="385" ht="18" customHeight="1" s="46">
      <c r="A385" s="23" t="n">
        <v>381</v>
      </c>
      <c r="B385" s="24" t="inlineStr">
        <is>
          <t>BD-VRM-2026-0019</t>
        </is>
      </c>
      <c r="C385" s="25" t="inlineStr">
        <is>
          <t>Excel - Lohas Wallpaper 87474-4</t>
        </is>
      </c>
      <c r="D385" s="23" t="inlineStr">
        <is>
          <t>Excel</t>
        </is>
      </c>
      <c r="E385" s="43" t="n">
        <v>46125</v>
      </c>
      <c r="F385" s="26" t="inlineStr">
        <is>
          <t>Sunil CR</t>
        </is>
      </c>
      <c r="G385" s="26" t="inlineStr">
        <is>
          <t>Yes</t>
        </is>
      </c>
      <c r="H385" s="26" t="inlineStr">
        <is>
          <t>No</t>
        </is>
      </c>
      <c r="I385" s="26" t="inlineStr">
        <is>
          <t>Good finish</t>
        </is>
      </c>
      <c r="J385" s="26" t="inlineStr">
        <is>
          <t>Yes</t>
        </is>
      </c>
      <c r="K385" s="27" t="n"/>
      <c r="L385" s="28" t="inlineStr">
        <is>
          <t>No</t>
        </is>
      </c>
      <c r="M385" s="29">
        <f>IF(E385="","",IF(H385="Yes","❌ Disc",IF(G385="No","⚠ Missing",IF(J385="Yes","✓ OK","⚠ Check"))))</f>
        <v/>
      </c>
      <c r="N385" s="43" t="n">
        <v>46193</v>
      </c>
      <c r="O385" s="26" t="inlineStr">
        <is>
          <t>Sunil CR</t>
        </is>
      </c>
      <c r="P385" s="26" t="inlineStr">
        <is>
          <t>Yes</t>
        </is>
      </c>
      <c r="Q385" s="26" t="inlineStr">
        <is>
          <t>No</t>
        </is>
      </c>
      <c r="R385" s="26" t="inlineStr">
        <is>
          <t>Good finish</t>
        </is>
      </c>
      <c r="S385" s="26" t="inlineStr">
        <is>
          <t>Yes</t>
        </is>
      </c>
      <c r="T385" s="27" t="n"/>
      <c r="U385" s="28" t="inlineStr">
        <is>
          <t>No</t>
        </is>
      </c>
      <c r="V385" s="29">
        <f>IF(N385="","",IF(Q385="Yes","❌ Disc",IF(P385="No","⚠ Missing",IF(S385="Yes","✓ OK","⚠ Check"))))</f>
        <v/>
      </c>
      <c r="W385" s="65" t="n">
        <v>46248</v>
      </c>
      <c r="X385" s="30" t="inlineStr">
        <is>
          <t>Sunil CR</t>
        </is>
      </c>
      <c r="Y385" s="30" t="inlineStr">
        <is>
          <t>Yes</t>
        </is>
      </c>
      <c r="Z385" s="30" t="n"/>
      <c r="AA385" s="30" t="inlineStr">
        <is>
          <t>Good finish</t>
        </is>
      </c>
      <c r="AB385" s="30" t="inlineStr">
        <is>
          <t>Yes</t>
        </is>
      </c>
      <c r="AC385" s="27" t="n"/>
      <c r="AD385" s="31" t="inlineStr">
        <is>
          <t>No</t>
        </is>
      </c>
      <c r="AE385" s="32">
        <f>IF(W385="","",IF(Z385="Yes","❌ Disc",IF(Y385="No","⚠ Missing",IF(AB385="Yes","✓ OK","⚠ Check"))))</f>
        <v/>
      </c>
      <c r="AF385" s="33" t="n"/>
      <c r="AG385" s="33" t="n"/>
      <c r="AH385" s="33" t="n"/>
      <c r="AI385" s="33" t="n"/>
      <c r="AJ385" s="33" t="n"/>
      <c r="AK385" s="33" t="n"/>
      <c r="AL385" s="27" t="n"/>
      <c r="AM385" s="34" t="n"/>
      <c r="AN385" s="35">
        <f>IF(AF385="","",IF(AI385="Yes","❌ Disc",IF(AH385="No","⚠ Missing",IF(AK385="Yes","✓ OK","⚠ Check"))))</f>
        <v/>
      </c>
      <c r="AO385" s="36" t="n"/>
      <c r="AP385" s="36" t="n"/>
      <c r="AQ385" s="36" t="n"/>
      <c r="AR385" s="36" t="n"/>
      <c r="AS385" s="36" t="n"/>
      <c r="AT385" s="36" t="n"/>
      <c r="AU385" s="27" t="n"/>
      <c r="AV385" s="37" t="n"/>
      <c r="AW385" s="38">
        <f>IF(AO385="","",IF(AR385="Yes","❌ Disc",IF(AQ385="No","⚠ Missing",IF(AT385="Yes","✓ OK","⚠ Check"))))</f>
        <v/>
      </c>
    </row>
    <row r="386" ht="18" customHeight="1" s="46">
      <c r="A386" s="39" t="n">
        <v>382</v>
      </c>
      <c r="B386" s="40" t="inlineStr">
        <is>
          <t>BD-VRM-2026-0011</t>
        </is>
      </c>
      <c r="C386" s="41" t="inlineStr">
        <is>
          <t>Excel - Lohas Wallpaper 87475-1</t>
        </is>
      </c>
      <c r="D386" s="39" t="inlineStr">
        <is>
          <t>Excel</t>
        </is>
      </c>
      <c r="E386" s="43" t="n">
        <v>46125</v>
      </c>
      <c r="F386" s="26" t="inlineStr">
        <is>
          <t>Sunil CR</t>
        </is>
      </c>
      <c r="G386" s="26" t="inlineStr">
        <is>
          <t>Yes</t>
        </is>
      </c>
      <c r="H386" s="26" t="inlineStr">
        <is>
          <t>No</t>
        </is>
      </c>
      <c r="I386" s="26" t="inlineStr">
        <is>
          <t>Good finish</t>
        </is>
      </c>
      <c r="J386" s="26" t="inlineStr">
        <is>
          <t>Yes</t>
        </is>
      </c>
      <c r="K386" s="27" t="n"/>
      <c r="L386" s="28" t="inlineStr">
        <is>
          <t>No</t>
        </is>
      </c>
      <c r="M386" s="29">
        <f>IF(E386="","",IF(H386="Yes","❌ Disc",IF(G386="No","⚠ Missing",IF(J386="Yes","✓ OK","⚠ Check"))))</f>
        <v/>
      </c>
      <c r="N386" s="43" t="n">
        <v>46193</v>
      </c>
      <c r="O386" s="26" t="inlineStr">
        <is>
          <t>Sunil CR</t>
        </is>
      </c>
      <c r="P386" s="26" t="inlineStr">
        <is>
          <t>Yes</t>
        </is>
      </c>
      <c r="Q386" s="26" t="inlineStr">
        <is>
          <t>No</t>
        </is>
      </c>
      <c r="R386" s="26" t="inlineStr">
        <is>
          <t>Good finish</t>
        </is>
      </c>
      <c r="S386" s="26" t="inlineStr">
        <is>
          <t>Yes</t>
        </is>
      </c>
      <c r="T386" s="27" t="n"/>
      <c r="U386" s="28" t="inlineStr">
        <is>
          <t>No</t>
        </is>
      </c>
      <c r="V386" s="29">
        <f>IF(N386="","",IF(Q386="Yes","❌ Disc",IF(P386="No","⚠ Missing",IF(S386="Yes","✓ OK","⚠ Check"))))</f>
        <v/>
      </c>
      <c r="W386" s="65" t="n">
        <v>46248</v>
      </c>
      <c r="X386" s="30" t="inlineStr">
        <is>
          <t>Sunil CR</t>
        </is>
      </c>
      <c r="Y386" s="30" t="inlineStr">
        <is>
          <t>Yes</t>
        </is>
      </c>
      <c r="Z386" s="30" t="n"/>
      <c r="AA386" s="30" t="inlineStr">
        <is>
          <t>Good finish</t>
        </is>
      </c>
      <c r="AB386" s="30" t="inlineStr">
        <is>
          <t>Yes</t>
        </is>
      </c>
      <c r="AC386" s="27" t="n"/>
      <c r="AD386" s="31" t="inlineStr">
        <is>
          <t>No</t>
        </is>
      </c>
      <c r="AE386" s="32">
        <f>IF(W386="","",IF(Z386="Yes","❌ Disc",IF(Y386="No","⚠ Missing",IF(AB386="Yes","✓ OK","⚠ Check"))))</f>
        <v/>
      </c>
      <c r="AF386" s="33" t="n"/>
      <c r="AG386" s="33" t="n"/>
      <c r="AH386" s="33" t="n"/>
      <c r="AI386" s="33" t="n"/>
      <c r="AJ386" s="33" t="n"/>
      <c r="AK386" s="33" t="n"/>
      <c r="AL386" s="27" t="n"/>
      <c r="AM386" s="34" t="n"/>
      <c r="AN386" s="35">
        <f>IF(AF386="","",IF(AI386="Yes","❌ Disc",IF(AH386="No","⚠ Missing",IF(AK386="Yes","✓ OK","⚠ Check"))))</f>
        <v/>
      </c>
      <c r="AO386" s="36" t="n"/>
      <c r="AP386" s="36" t="n"/>
      <c r="AQ386" s="36" t="n"/>
      <c r="AR386" s="36" t="n"/>
      <c r="AS386" s="36" t="n"/>
      <c r="AT386" s="36" t="n"/>
      <c r="AU386" s="27" t="n"/>
      <c r="AV386" s="37" t="n"/>
      <c r="AW386" s="38">
        <f>IF(AO386="","",IF(AR386="Yes","❌ Disc",IF(AQ386="No","⚠ Missing",IF(AT386="Yes","✓ OK","⚠ Check"))))</f>
        <v/>
      </c>
    </row>
    <row r="387" ht="18" customHeight="1" s="46">
      <c r="A387" s="23" t="n">
        <v>383</v>
      </c>
      <c r="B387" s="24" t="inlineStr">
        <is>
          <t>BD-VRM-2026-0012</t>
        </is>
      </c>
      <c r="C387" s="25" t="inlineStr">
        <is>
          <t>Excel - Lohas Wallpaper 87475-2</t>
        </is>
      </c>
      <c r="D387" s="23" t="inlineStr">
        <is>
          <t>Excel</t>
        </is>
      </c>
      <c r="E387" s="43" t="n">
        <v>46125</v>
      </c>
      <c r="F387" s="26" t="inlineStr">
        <is>
          <t>Sunil CR</t>
        </is>
      </c>
      <c r="G387" s="26" t="inlineStr">
        <is>
          <t>Yes</t>
        </is>
      </c>
      <c r="H387" s="26" t="inlineStr">
        <is>
          <t>No</t>
        </is>
      </c>
      <c r="I387" s="26" t="inlineStr">
        <is>
          <t>Good finish</t>
        </is>
      </c>
      <c r="J387" s="26" t="inlineStr">
        <is>
          <t>Yes</t>
        </is>
      </c>
      <c r="K387" s="27" t="n"/>
      <c r="L387" s="28" t="inlineStr">
        <is>
          <t>No</t>
        </is>
      </c>
      <c r="M387" s="29">
        <f>IF(E387="","",IF(H387="Yes","❌ Disc",IF(G387="No","⚠ Missing",IF(J387="Yes","✓ OK","⚠ Check"))))</f>
        <v/>
      </c>
      <c r="N387" s="43" t="n">
        <v>46193</v>
      </c>
      <c r="O387" s="26" t="inlineStr">
        <is>
          <t>Sunil CR</t>
        </is>
      </c>
      <c r="P387" s="26" t="inlineStr">
        <is>
          <t>Yes</t>
        </is>
      </c>
      <c r="Q387" s="26" t="inlineStr">
        <is>
          <t>No</t>
        </is>
      </c>
      <c r="R387" s="26" t="inlineStr">
        <is>
          <t>Good finish</t>
        </is>
      </c>
      <c r="S387" s="26" t="inlineStr">
        <is>
          <t>Yes</t>
        </is>
      </c>
      <c r="T387" s="27" t="n"/>
      <c r="U387" s="28" t="inlineStr">
        <is>
          <t>No</t>
        </is>
      </c>
      <c r="V387" s="29">
        <f>IF(N387="","",IF(Q387="Yes","❌ Disc",IF(P387="No","⚠ Missing",IF(S387="Yes","✓ OK","⚠ Check"))))</f>
        <v/>
      </c>
      <c r="W387" s="65" t="n">
        <v>46248</v>
      </c>
      <c r="X387" s="30" t="inlineStr">
        <is>
          <t>Sunil CR</t>
        </is>
      </c>
      <c r="Y387" s="30" t="inlineStr">
        <is>
          <t>Yes</t>
        </is>
      </c>
      <c r="Z387" s="30" t="n"/>
      <c r="AA387" s="30" t="inlineStr">
        <is>
          <t>Good finish</t>
        </is>
      </c>
      <c r="AB387" s="30" t="inlineStr">
        <is>
          <t>Yes</t>
        </is>
      </c>
      <c r="AC387" s="27" t="n"/>
      <c r="AD387" s="31" t="inlineStr">
        <is>
          <t>No</t>
        </is>
      </c>
      <c r="AE387" s="32">
        <f>IF(W387="","",IF(Z387="Yes","❌ Disc",IF(Y387="No","⚠ Missing",IF(AB387="Yes","✓ OK","⚠ Check"))))</f>
        <v/>
      </c>
      <c r="AF387" s="33" t="n"/>
      <c r="AG387" s="33" t="n"/>
      <c r="AH387" s="33" t="n"/>
      <c r="AI387" s="33" t="n"/>
      <c r="AJ387" s="33" t="n"/>
      <c r="AK387" s="33" t="n"/>
      <c r="AL387" s="27" t="n"/>
      <c r="AM387" s="34" t="n"/>
      <c r="AN387" s="35">
        <f>IF(AF387="","",IF(AI387="Yes","❌ Disc",IF(AH387="No","⚠ Missing",IF(AK387="Yes","✓ OK","⚠ Check"))))</f>
        <v/>
      </c>
      <c r="AO387" s="36" t="n"/>
      <c r="AP387" s="36" t="n"/>
      <c r="AQ387" s="36" t="n"/>
      <c r="AR387" s="36" t="n"/>
      <c r="AS387" s="36" t="n"/>
      <c r="AT387" s="36" t="n"/>
      <c r="AU387" s="27" t="n"/>
      <c r="AV387" s="37" t="n"/>
      <c r="AW387" s="38">
        <f>IF(AO387="","",IF(AR387="Yes","❌ Disc",IF(AQ387="No","⚠ Missing",IF(AT387="Yes","✓ OK","⚠ Check"))))</f>
        <v/>
      </c>
    </row>
    <row r="388" ht="18" customHeight="1" s="46">
      <c r="A388" s="39" t="n">
        <v>384</v>
      </c>
      <c r="B388" s="40" t="inlineStr">
        <is>
          <t>BD-VRM-2026-0013</t>
        </is>
      </c>
      <c r="C388" s="41" t="inlineStr">
        <is>
          <t>Excel - Lohas Wallpaper 87475-3</t>
        </is>
      </c>
      <c r="D388" s="39" t="inlineStr">
        <is>
          <t>Excel</t>
        </is>
      </c>
      <c r="E388" s="43" t="n">
        <v>46125</v>
      </c>
      <c r="F388" s="26" t="inlineStr">
        <is>
          <t>Sunil CR</t>
        </is>
      </c>
      <c r="G388" s="26" t="inlineStr">
        <is>
          <t>Yes</t>
        </is>
      </c>
      <c r="H388" s="26" t="inlineStr">
        <is>
          <t>No</t>
        </is>
      </c>
      <c r="I388" s="26" t="inlineStr">
        <is>
          <t>Good finish</t>
        </is>
      </c>
      <c r="J388" s="26" t="inlineStr">
        <is>
          <t>Yes</t>
        </is>
      </c>
      <c r="K388" s="27" t="n"/>
      <c r="L388" s="28" t="inlineStr">
        <is>
          <t>No</t>
        </is>
      </c>
      <c r="M388" s="29">
        <f>IF(E388="","",IF(H388="Yes","❌ Disc",IF(G388="No","⚠ Missing",IF(J388="Yes","✓ OK","⚠ Check"))))</f>
        <v/>
      </c>
      <c r="N388" s="43" t="n">
        <v>46193</v>
      </c>
      <c r="O388" s="26" t="inlineStr">
        <is>
          <t>Sunil CR</t>
        </is>
      </c>
      <c r="P388" s="26" t="inlineStr">
        <is>
          <t>Yes</t>
        </is>
      </c>
      <c r="Q388" s="26" t="inlineStr">
        <is>
          <t>No</t>
        </is>
      </c>
      <c r="R388" s="26" t="inlineStr">
        <is>
          <t>Good finish</t>
        </is>
      </c>
      <c r="S388" s="26" t="inlineStr">
        <is>
          <t>Yes</t>
        </is>
      </c>
      <c r="T388" s="27" t="n"/>
      <c r="U388" s="28" t="inlineStr">
        <is>
          <t>No</t>
        </is>
      </c>
      <c r="V388" s="29">
        <f>IF(N388="","",IF(Q388="Yes","❌ Disc",IF(P388="No","⚠ Missing",IF(S388="Yes","✓ OK","⚠ Check"))))</f>
        <v/>
      </c>
      <c r="W388" s="65" t="n">
        <v>46248</v>
      </c>
      <c r="X388" s="30" t="inlineStr">
        <is>
          <t>Sunil CR</t>
        </is>
      </c>
      <c r="Y388" s="30" t="inlineStr">
        <is>
          <t>Yes</t>
        </is>
      </c>
      <c r="Z388" s="30" t="n"/>
      <c r="AA388" s="30" t="inlineStr">
        <is>
          <t>Good finish</t>
        </is>
      </c>
      <c r="AB388" s="30" t="inlineStr">
        <is>
          <t>Yes</t>
        </is>
      </c>
      <c r="AC388" s="27" t="n"/>
      <c r="AD388" s="31" t="inlineStr">
        <is>
          <t>No</t>
        </is>
      </c>
      <c r="AE388" s="32">
        <f>IF(W388="","",IF(Z388="Yes","❌ Disc",IF(Y388="No","⚠ Missing",IF(AB388="Yes","✓ OK","⚠ Check"))))</f>
        <v/>
      </c>
      <c r="AF388" s="33" t="n"/>
      <c r="AG388" s="33" t="n"/>
      <c r="AH388" s="33" t="n"/>
      <c r="AI388" s="33" t="n"/>
      <c r="AJ388" s="33" t="n"/>
      <c r="AK388" s="33" t="n"/>
      <c r="AL388" s="27" t="n"/>
      <c r="AM388" s="34" t="n"/>
      <c r="AN388" s="35">
        <f>IF(AF388="","",IF(AI388="Yes","❌ Disc",IF(AH388="No","⚠ Missing",IF(AK388="Yes","✓ OK","⚠ Check"))))</f>
        <v/>
      </c>
      <c r="AO388" s="36" t="n"/>
      <c r="AP388" s="36" t="n"/>
      <c r="AQ388" s="36" t="n"/>
      <c r="AR388" s="36" t="n"/>
      <c r="AS388" s="36" t="n"/>
      <c r="AT388" s="36" t="n"/>
      <c r="AU388" s="27" t="n"/>
      <c r="AV388" s="37" t="n"/>
      <c r="AW388" s="38">
        <f>IF(AO388="","",IF(AR388="Yes","❌ Disc",IF(AQ388="No","⚠ Missing",IF(AT388="Yes","✓ OK","⚠ Check"))))</f>
        <v/>
      </c>
    </row>
    <row r="389" ht="18" customHeight="1" s="46">
      <c r="A389" s="23" t="n">
        <v>385</v>
      </c>
      <c r="B389" s="24" t="inlineStr">
        <is>
          <t>BD-VRM-2026-0014</t>
        </is>
      </c>
      <c r="C389" s="25" t="inlineStr">
        <is>
          <t>Excel - Lohas Wallpaper 87475-4</t>
        </is>
      </c>
      <c r="D389" s="23" t="inlineStr">
        <is>
          <t>Excel</t>
        </is>
      </c>
      <c r="E389" s="43" t="n">
        <v>46125</v>
      </c>
      <c r="F389" s="26" t="inlineStr">
        <is>
          <t>Sunil CR</t>
        </is>
      </c>
      <c r="G389" s="26" t="inlineStr">
        <is>
          <t>Yes</t>
        </is>
      </c>
      <c r="H389" s="26" t="inlineStr">
        <is>
          <t>No</t>
        </is>
      </c>
      <c r="I389" s="26" t="inlineStr">
        <is>
          <t>Good finish</t>
        </is>
      </c>
      <c r="J389" s="26" t="inlineStr">
        <is>
          <t>Yes</t>
        </is>
      </c>
      <c r="K389" s="27" t="n"/>
      <c r="L389" s="28" t="inlineStr">
        <is>
          <t>No</t>
        </is>
      </c>
      <c r="M389" s="29">
        <f>IF(E389="","",IF(H389="Yes","❌ Disc",IF(G389="No","⚠ Missing",IF(J389="Yes","✓ OK","⚠ Check"))))</f>
        <v/>
      </c>
      <c r="N389" s="43" t="n">
        <v>46193</v>
      </c>
      <c r="O389" s="26" t="inlineStr">
        <is>
          <t>Sunil CR</t>
        </is>
      </c>
      <c r="P389" s="26" t="inlineStr">
        <is>
          <t>Yes</t>
        </is>
      </c>
      <c r="Q389" s="26" t="inlineStr">
        <is>
          <t>No</t>
        </is>
      </c>
      <c r="R389" s="26" t="inlineStr">
        <is>
          <t>Good finish</t>
        </is>
      </c>
      <c r="S389" s="26" t="inlineStr">
        <is>
          <t>Yes</t>
        </is>
      </c>
      <c r="T389" s="27" t="n"/>
      <c r="U389" s="28" t="inlineStr">
        <is>
          <t>No</t>
        </is>
      </c>
      <c r="V389" s="29">
        <f>IF(N389="","",IF(Q389="Yes","❌ Disc",IF(P389="No","⚠ Missing",IF(S389="Yes","✓ OK","⚠ Check"))))</f>
        <v/>
      </c>
      <c r="W389" s="65" t="n">
        <v>46248</v>
      </c>
      <c r="X389" s="30" t="inlineStr">
        <is>
          <t>Sunil CR</t>
        </is>
      </c>
      <c r="Y389" s="30" t="inlineStr">
        <is>
          <t>Yes</t>
        </is>
      </c>
      <c r="Z389" s="30" t="n"/>
      <c r="AA389" s="30" t="inlineStr">
        <is>
          <t>Good finish</t>
        </is>
      </c>
      <c r="AB389" s="30" t="inlineStr">
        <is>
          <t>Yes</t>
        </is>
      </c>
      <c r="AC389" s="27" t="n"/>
      <c r="AD389" s="31" t="inlineStr">
        <is>
          <t>No</t>
        </is>
      </c>
      <c r="AE389" s="32">
        <f>IF(W389="","",IF(Z389="Yes","❌ Disc",IF(Y389="No","⚠ Missing",IF(AB389="Yes","✓ OK","⚠ Check"))))</f>
        <v/>
      </c>
      <c r="AF389" s="33" t="n"/>
      <c r="AG389" s="33" t="n"/>
      <c r="AH389" s="33" t="n"/>
      <c r="AI389" s="33" t="n"/>
      <c r="AJ389" s="33" t="n"/>
      <c r="AK389" s="33" t="n"/>
      <c r="AL389" s="27" t="n"/>
      <c r="AM389" s="34" t="n"/>
      <c r="AN389" s="35">
        <f>IF(AF389="","",IF(AI389="Yes","❌ Disc",IF(AH389="No","⚠ Missing",IF(AK389="Yes","✓ OK","⚠ Check"))))</f>
        <v/>
      </c>
      <c r="AO389" s="36" t="n"/>
      <c r="AP389" s="36" t="n"/>
      <c r="AQ389" s="36" t="n"/>
      <c r="AR389" s="36" t="n"/>
      <c r="AS389" s="36" t="n"/>
      <c r="AT389" s="36" t="n"/>
      <c r="AU389" s="27" t="n"/>
      <c r="AV389" s="37" t="n"/>
      <c r="AW389" s="38">
        <f>IF(AO389="","",IF(AR389="Yes","❌ Disc",IF(AQ389="No","⚠ Missing",IF(AT389="Yes","✓ OK","⚠ Check"))))</f>
        <v/>
      </c>
    </row>
    <row r="390" ht="18" customHeight="1" s="46">
      <c r="A390" s="39" t="n">
        <v>386</v>
      </c>
      <c r="B390" s="40" t="inlineStr">
        <is>
          <t>BD-VRM-2026-0015</t>
        </is>
      </c>
      <c r="C390" s="41" t="inlineStr">
        <is>
          <t>Excel - Lohas Wallpaper 87475-5</t>
        </is>
      </c>
      <c r="D390" s="39" t="inlineStr">
        <is>
          <t>Excel</t>
        </is>
      </c>
      <c r="E390" s="43" t="n">
        <v>46125</v>
      </c>
      <c r="F390" s="26" t="inlineStr">
        <is>
          <t>Sunil CR</t>
        </is>
      </c>
      <c r="G390" s="26" t="inlineStr">
        <is>
          <t>Yes</t>
        </is>
      </c>
      <c r="H390" s="26" t="inlineStr">
        <is>
          <t>No</t>
        </is>
      </c>
      <c r="I390" s="26" t="inlineStr">
        <is>
          <t>Good finish</t>
        </is>
      </c>
      <c r="J390" s="26" t="inlineStr">
        <is>
          <t>Yes</t>
        </is>
      </c>
      <c r="K390" s="27" t="n"/>
      <c r="L390" s="28" t="inlineStr">
        <is>
          <t>No</t>
        </is>
      </c>
      <c r="M390" s="29">
        <f>IF(E390="","",IF(H390="Yes","❌ Disc",IF(G390="No","⚠ Missing",IF(J390="Yes","✓ OK","⚠ Check"))))</f>
        <v/>
      </c>
      <c r="N390" s="43" t="n">
        <v>46193</v>
      </c>
      <c r="O390" s="26" t="inlineStr">
        <is>
          <t>Sunil CR</t>
        </is>
      </c>
      <c r="P390" s="26" t="inlineStr">
        <is>
          <t>Yes</t>
        </is>
      </c>
      <c r="Q390" s="26" t="inlineStr">
        <is>
          <t>No</t>
        </is>
      </c>
      <c r="R390" s="26" t="inlineStr">
        <is>
          <t>Good finish</t>
        </is>
      </c>
      <c r="S390" s="26" t="inlineStr">
        <is>
          <t>Yes</t>
        </is>
      </c>
      <c r="T390" s="27" t="n"/>
      <c r="U390" s="28" t="inlineStr">
        <is>
          <t>No</t>
        </is>
      </c>
      <c r="V390" s="29">
        <f>IF(N390="","",IF(Q390="Yes","❌ Disc",IF(P390="No","⚠ Missing",IF(S390="Yes","✓ OK","⚠ Check"))))</f>
        <v/>
      </c>
      <c r="W390" s="65" t="n">
        <v>46248</v>
      </c>
      <c r="X390" s="30" t="inlineStr">
        <is>
          <t>Sunil CR</t>
        </is>
      </c>
      <c r="Y390" s="30" t="inlineStr">
        <is>
          <t>Yes</t>
        </is>
      </c>
      <c r="Z390" s="30" t="n"/>
      <c r="AA390" s="30" t="inlineStr">
        <is>
          <t>Good finish</t>
        </is>
      </c>
      <c r="AB390" s="30" t="inlineStr">
        <is>
          <t>Yes</t>
        </is>
      </c>
      <c r="AC390" s="27" t="n"/>
      <c r="AD390" s="31" t="inlineStr">
        <is>
          <t>No</t>
        </is>
      </c>
      <c r="AE390" s="32">
        <f>IF(W390="","",IF(Z390="Yes","❌ Disc",IF(Y390="No","⚠ Missing",IF(AB390="Yes","✓ OK","⚠ Check"))))</f>
        <v/>
      </c>
      <c r="AF390" s="33" t="n"/>
      <c r="AG390" s="33" t="n"/>
      <c r="AH390" s="33" t="n"/>
      <c r="AI390" s="33" t="n"/>
      <c r="AJ390" s="33" t="n"/>
      <c r="AK390" s="33" t="n"/>
      <c r="AL390" s="27" t="n"/>
      <c r="AM390" s="34" t="n"/>
      <c r="AN390" s="35">
        <f>IF(AF390="","",IF(AI390="Yes","❌ Disc",IF(AH390="No","⚠ Missing",IF(AK390="Yes","✓ OK","⚠ Check"))))</f>
        <v/>
      </c>
      <c r="AO390" s="36" t="n"/>
      <c r="AP390" s="36" t="n"/>
      <c r="AQ390" s="36" t="n"/>
      <c r="AR390" s="36" t="n"/>
      <c r="AS390" s="36" t="n"/>
      <c r="AT390" s="36" t="n"/>
      <c r="AU390" s="27" t="n"/>
      <c r="AV390" s="37" t="n"/>
      <c r="AW390" s="38">
        <f>IF(AO390="","",IF(AR390="Yes","❌ Disc",IF(AQ390="No","⚠ Missing",IF(AT390="Yes","✓ OK","⚠ Check"))))</f>
        <v/>
      </c>
    </row>
    <row r="391" ht="18" customHeight="1" s="46">
      <c r="A391" s="23" t="n">
        <v>387</v>
      </c>
      <c r="B391" s="24" t="inlineStr">
        <is>
          <t>BD-VRM-2026-0005</t>
        </is>
      </c>
      <c r="C391" s="25" t="inlineStr">
        <is>
          <t>Excel - Lohas Wallpaper 87476-1</t>
        </is>
      </c>
      <c r="D391" s="23" t="inlineStr">
        <is>
          <t>Excel</t>
        </is>
      </c>
      <c r="E391" s="43" t="n">
        <v>46125</v>
      </c>
      <c r="F391" s="26" t="inlineStr">
        <is>
          <t>Sunil CR</t>
        </is>
      </c>
      <c r="G391" s="26" t="inlineStr">
        <is>
          <t>Yes</t>
        </is>
      </c>
      <c r="H391" s="26" t="inlineStr">
        <is>
          <t>No</t>
        </is>
      </c>
      <c r="I391" s="26" t="inlineStr">
        <is>
          <t>Good finish</t>
        </is>
      </c>
      <c r="J391" s="26" t="inlineStr">
        <is>
          <t>Yes</t>
        </is>
      </c>
      <c r="K391" s="27" t="n"/>
      <c r="L391" s="28" t="inlineStr">
        <is>
          <t>No</t>
        </is>
      </c>
      <c r="M391" s="29">
        <f>IF(E391="","",IF(H391="Yes","❌ Disc",IF(G391="No","⚠ Missing",IF(J391="Yes","✓ OK","⚠ Check"))))</f>
        <v/>
      </c>
      <c r="N391" s="43" t="n">
        <v>46193</v>
      </c>
      <c r="O391" s="26" t="inlineStr">
        <is>
          <t>Sunil CR</t>
        </is>
      </c>
      <c r="P391" s="26" t="inlineStr">
        <is>
          <t>Yes</t>
        </is>
      </c>
      <c r="Q391" s="26" t="inlineStr">
        <is>
          <t>No</t>
        </is>
      </c>
      <c r="R391" s="26" t="inlineStr">
        <is>
          <t>Good finish</t>
        </is>
      </c>
      <c r="S391" s="26" t="inlineStr">
        <is>
          <t>Yes</t>
        </is>
      </c>
      <c r="T391" s="27" t="n"/>
      <c r="U391" s="28" t="inlineStr">
        <is>
          <t>No</t>
        </is>
      </c>
      <c r="V391" s="29">
        <f>IF(N391="","",IF(Q391="Yes","❌ Disc",IF(P391="No","⚠ Missing",IF(S391="Yes","✓ OK","⚠ Check"))))</f>
        <v/>
      </c>
      <c r="W391" s="65" t="n">
        <v>46248</v>
      </c>
      <c r="X391" s="30" t="inlineStr">
        <is>
          <t>Sunil CR</t>
        </is>
      </c>
      <c r="Y391" s="30" t="inlineStr">
        <is>
          <t>Yes</t>
        </is>
      </c>
      <c r="Z391" s="30" t="n"/>
      <c r="AA391" s="30" t="inlineStr">
        <is>
          <t>Good finish</t>
        </is>
      </c>
      <c r="AB391" s="30" t="inlineStr">
        <is>
          <t>Yes</t>
        </is>
      </c>
      <c r="AC391" s="27" t="n"/>
      <c r="AD391" s="31" t="inlineStr">
        <is>
          <t>No</t>
        </is>
      </c>
      <c r="AE391" s="32">
        <f>IF(W391="","",IF(Z391="Yes","❌ Disc",IF(Y391="No","⚠ Missing",IF(AB391="Yes","✓ OK","⚠ Check"))))</f>
        <v/>
      </c>
      <c r="AF391" s="33" t="n"/>
      <c r="AG391" s="33" t="n"/>
      <c r="AH391" s="33" t="n"/>
      <c r="AI391" s="33" t="n"/>
      <c r="AJ391" s="33" t="n"/>
      <c r="AK391" s="33" t="n"/>
      <c r="AL391" s="27" t="n"/>
      <c r="AM391" s="34" t="n"/>
      <c r="AN391" s="35">
        <f>IF(AF391="","",IF(AI391="Yes","❌ Disc",IF(AH391="No","⚠ Missing",IF(AK391="Yes","✓ OK","⚠ Check"))))</f>
        <v/>
      </c>
      <c r="AO391" s="36" t="n"/>
      <c r="AP391" s="36" t="n"/>
      <c r="AQ391" s="36" t="n"/>
      <c r="AR391" s="36" t="n"/>
      <c r="AS391" s="36" t="n"/>
      <c r="AT391" s="36" t="n"/>
      <c r="AU391" s="27" t="n"/>
      <c r="AV391" s="37" t="n"/>
      <c r="AW391" s="38">
        <f>IF(AO391="","",IF(AR391="Yes","❌ Disc",IF(AQ391="No","⚠ Missing",IF(AT391="Yes","✓ OK","⚠ Check"))))</f>
        <v/>
      </c>
    </row>
    <row r="392" ht="18" customHeight="1" s="46">
      <c r="A392" s="39" t="n">
        <v>388</v>
      </c>
      <c r="B392" s="40" t="inlineStr">
        <is>
          <t>BD-VRM-2026-0006</t>
        </is>
      </c>
      <c r="C392" s="41" t="inlineStr">
        <is>
          <t>Excel - Lohas Wallpaper 87476-2</t>
        </is>
      </c>
      <c r="D392" s="39" t="inlineStr">
        <is>
          <t>Excel</t>
        </is>
      </c>
      <c r="E392" s="43" t="n">
        <v>46125</v>
      </c>
      <c r="F392" s="26" t="inlineStr">
        <is>
          <t>Sunil CR</t>
        </is>
      </c>
      <c r="G392" s="26" t="inlineStr">
        <is>
          <t>Yes</t>
        </is>
      </c>
      <c r="H392" s="26" t="inlineStr">
        <is>
          <t>No</t>
        </is>
      </c>
      <c r="I392" s="26" t="inlineStr">
        <is>
          <t>Good finish</t>
        </is>
      </c>
      <c r="J392" s="26" t="inlineStr">
        <is>
          <t>Yes</t>
        </is>
      </c>
      <c r="K392" s="27" t="n"/>
      <c r="L392" s="28" t="inlineStr">
        <is>
          <t>No</t>
        </is>
      </c>
      <c r="M392" s="29">
        <f>IF(E392="","",IF(H392="Yes","❌ Disc",IF(G392="No","⚠ Missing",IF(J392="Yes","✓ OK","⚠ Check"))))</f>
        <v/>
      </c>
      <c r="N392" s="43" t="n">
        <v>46193</v>
      </c>
      <c r="O392" s="26" t="inlineStr">
        <is>
          <t>Sunil CR</t>
        </is>
      </c>
      <c r="P392" s="26" t="inlineStr">
        <is>
          <t>Yes</t>
        </is>
      </c>
      <c r="Q392" s="26" t="inlineStr">
        <is>
          <t>No</t>
        </is>
      </c>
      <c r="R392" s="26" t="inlineStr">
        <is>
          <t>Good finish</t>
        </is>
      </c>
      <c r="S392" s="26" t="inlineStr">
        <is>
          <t>Yes</t>
        </is>
      </c>
      <c r="T392" s="27" t="n"/>
      <c r="U392" s="28" t="inlineStr">
        <is>
          <t>No</t>
        </is>
      </c>
      <c r="V392" s="29">
        <f>IF(N392="","",IF(Q392="Yes","❌ Disc",IF(P392="No","⚠ Missing",IF(S392="Yes","✓ OK","⚠ Check"))))</f>
        <v/>
      </c>
      <c r="W392" s="65" t="n">
        <v>46248</v>
      </c>
      <c r="X392" s="30" t="inlineStr">
        <is>
          <t>Sunil CR</t>
        </is>
      </c>
      <c r="Y392" s="30" t="inlineStr">
        <is>
          <t>Yes</t>
        </is>
      </c>
      <c r="Z392" s="30" t="n"/>
      <c r="AA392" s="30" t="inlineStr">
        <is>
          <t>Good finish</t>
        </is>
      </c>
      <c r="AB392" s="30" t="inlineStr">
        <is>
          <t>Yes</t>
        </is>
      </c>
      <c r="AC392" s="27" t="n"/>
      <c r="AD392" s="31" t="inlineStr">
        <is>
          <t>No</t>
        </is>
      </c>
      <c r="AE392" s="32">
        <f>IF(W392="","",IF(Z392="Yes","❌ Disc",IF(Y392="No","⚠ Missing",IF(AB392="Yes","✓ OK","⚠ Check"))))</f>
        <v/>
      </c>
      <c r="AF392" s="33" t="n"/>
      <c r="AG392" s="33" t="n"/>
      <c r="AH392" s="33" t="n"/>
      <c r="AI392" s="33" t="n"/>
      <c r="AJ392" s="33" t="n"/>
      <c r="AK392" s="33" t="n"/>
      <c r="AL392" s="27" t="n"/>
      <c r="AM392" s="34" t="n"/>
      <c r="AN392" s="35">
        <f>IF(AF392="","",IF(AI392="Yes","❌ Disc",IF(AH392="No","⚠ Missing",IF(AK392="Yes","✓ OK","⚠ Check"))))</f>
        <v/>
      </c>
      <c r="AO392" s="36" t="n"/>
      <c r="AP392" s="36" t="n"/>
      <c r="AQ392" s="36" t="n"/>
      <c r="AR392" s="36" t="n"/>
      <c r="AS392" s="36" t="n"/>
      <c r="AT392" s="36" t="n"/>
      <c r="AU392" s="27" t="n"/>
      <c r="AV392" s="37" t="n"/>
      <c r="AW392" s="38">
        <f>IF(AO392="","",IF(AR392="Yes","❌ Disc",IF(AQ392="No","⚠ Missing",IF(AT392="Yes","✓ OK","⚠ Check"))))</f>
        <v/>
      </c>
    </row>
    <row r="393" ht="18" customHeight="1" s="46">
      <c r="A393" s="23" t="n">
        <v>389</v>
      </c>
      <c r="B393" s="24" t="inlineStr">
        <is>
          <t>BD-VRM-2026-0007</t>
        </is>
      </c>
      <c r="C393" s="25" t="inlineStr">
        <is>
          <t>Excel - Lohas Wallpaper 87476-3</t>
        </is>
      </c>
      <c r="D393" s="23" t="inlineStr">
        <is>
          <t>Excel</t>
        </is>
      </c>
      <c r="E393" s="43" t="n">
        <v>46125</v>
      </c>
      <c r="F393" s="26" t="inlineStr">
        <is>
          <t>Sunil CR</t>
        </is>
      </c>
      <c r="G393" s="26" t="inlineStr">
        <is>
          <t>Yes</t>
        </is>
      </c>
      <c r="H393" s="26" t="inlineStr">
        <is>
          <t>No</t>
        </is>
      </c>
      <c r="I393" s="26" t="inlineStr">
        <is>
          <t>Good finish</t>
        </is>
      </c>
      <c r="J393" s="26" t="inlineStr">
        <is>
          <t>Yes</t>
        </is>
      </c>
      <c r="K393" s="27" t="n"/>
      <c r="L393" s="28" t="inlineStr">
        <is>
          <t>No</t>
        </is>
      </c>
      <c r="M393" s="29">
        <f>IF(E393="","",IF(H393="Yes","❌ Disc",IF(G393="No","⚠ Missing",IF(J393="Yes","✓ OK","⚠ Check"))))</f>
        <v/>
      </c>
      <c r="N393" s="43" t="n">
        <v>46193</v>
      </c>
      <c r="O393" s="26" t="inlineStr">
        <is>
          <t>Sunil CR</t>
        </is>
      </c>
      <c r="P393" s="26" t="inlineStr">
        <is>
          <t>Yes</t>
        </is>
      </c>
      <c r="Q393" s="26" t="inlineStr">
        <is>
          <t>No</t>
        </is>
      </c>
      <c r="R393" s="26" t="inlineStr">
        <is>
          <t>Good finish</t>
        </is>
      </c>
      <c r="S393" s="26" t="inlineStr">
        <is>
          <t>Yes</t>
        </is>
      </c>
      <c r="T393" s="27" t="n"/>
      <c r="U393" s="28" t="inlineStr">
        <is>
          <t>No</t>
        </is>
      </c>
      <c r="V393" s="29">
        <f>IF(N393="","",IF(Q393="Yes","❌ Disc",IF(P393="No","⚠ Missing",IF(S393="Yes","✓ OK","⚠ Check"))))</f>
        <v/>
      </c>
      <c r="W393" s="65" t="n">
        <v>46248</v>
      </c>
      <c r="X393" s="30" t="inlineStr">
        <is>
          <t>Sunil CR</t>
        </is>
      </c>
      <c r="Y393" s="30" t="inlineStr">
        <is>
          <t>Yes</t>
        </is>
      </c>
      <c r="Z393" s="30" t="n"/>
      <c r="AA393" s="30" t="inlineStr">
        <is>
          <t>Good finish</t>
        </is>
      </c>
      <c r="AB393" s="30" t="inlineStr">
        <is>
          <t>Yes</t>
        </is>
      </c>
      <c r="AC393" s="27" t="n"/>
      <c r="AD393" s="31" t="inlineStr">
        <is>
          <t>No</t>
        </is>
      </c>
      <c r="AE393" s="32">
        <f>IF(W393="","",IF(Z393="Yes","❌ Disc",IF(Y393="No","⚠ Missing",IF(AB393="Yes","✓ OK","⚠ Check"))))</f>
        <v/>
      </c>
      <c r="AF393" s="33" t="n"/>
      <c r="AG393" s="33" t="n"/>
      <c r="AH393" s="33" t="n"/>
      <c r="AI393" s="33" t="n"/>
      <c r="AJ393" s="33" t="n"/>
      <c r="AK393" s="33" t="n"/>
      <c r="AL393" s="27" t="n"/>
      <c r="AM393" s="34" t="n"/>
      <c r="AN393" s="35">
        <f>IF(AF393="","",IF(AI393="Yes","❌ Disc",IF(AH393="No","⚠ Missing",IF(AK393="Yes","✓ OK","⚠ Check"))))</f>
        <v/>
      </c>
      <c r="AO393" s="36" t="n"/>
      <c r="AP393" s="36" t="n"/>
      <c r="AQ393" s="36" t="n"/>
      <c r="AR393" s="36" t="n"/>
      <c r="AS393" s="36" t="n"/>
      <c r="AT393" s="36" t="n"/>
      <c r="AU393" s="27" t="n"/>
      <c r="AV393" s="37" t="n"/>
      <c r="AW393" s="38">
        <f>IF(AO393="","",IF(AR393="Yes","❌ Disc",IF(AQ393="No","⚠ Missing",IF(AT393="Yes","✓ OK","⚠ Check"))))</f>
        <v/>
      </c>
    </row>
    <row r="394" ht="18" customHeight="1" s="46">
      <c r="A394" s="39" t="n">
        <v>390</v>
      </c>
      <c r="B394" s="40" t="inlineStr">
        <is>
          <t>BD-VRM-2026-0008</t>
        </is>
      </c>
      <c r="C394" s="41" t="inlineStr">
        <is>
          <t>Excel - Lohas Wallpaper 87476-4</t>
        </is>
      </c>
      <c r="D394" s="39" t="inlineStr">
        <is>
          <t>Excel</t>
        </is>
      </c>
      <c r="E394" s="43" t="n">
        <v>46125</v>
      </c>
      <c r="F394" s="26" t="inlineStr">
        <is>
          <t>Sunil CR</t>
        </is>
      </c>
      <c r="G394" s="26" t="inlineStr">
        <is>
          <t>Yes</t>
        </is>
      </c>
      <c r="H394" s="26" t="inlineStr">
        <is>
          <t>No</t>
        </is>
      </c>
      <c r="I394" s="26" t="inlineStr">
        <is>
          <t>Good finish</t>
        </is>
      </c>
      <c r="J394" s="26" t="inlineStr">
        <is>
          <t>Yes</t>
        </is>
      </c>
      <c r="K394" s="27" t="n"/>
      <c r="L394" s="28" t="inlineStr">
        <is>
          <t>No</t>
        </is>
      </c>
      <c r="M394" s="29">
        <f>IF(E394="","",IF(H394="Yes","❌ Disc",IF(G394="No","⚠ Missing",IF(J394="Yes","✓ OK","⚠ Check"))))</f>
        <v/>
      </c>
      <c r="N394" s="43" t="n">
        <v>46193</v>
      </c>
      <c r="O394" s="26" t="inlineStr">
        <is>
          <t>Sunil CR</t>
        </is>
      </c>
      <c r="P394" s="26" t="inlineStr">
        <is>
          <t>Yes</t>
        </is>
      </c>
      <c r="Q394" s="26" t="inlineStr">
        <is>
          <t>No</t>
        </is>
      </c>
      <c r="R394" s="26" t="inlineStr">
        <is>
          <t>Good finish</t>
        </is>
      </c>
      <c r="S394" s="26" t="inlineStr">
        <is>
          <t>Yes</t>
        </is>
      </c>
      <c r="T394" s="27" t="n"/>
      <c r="U394" s="28" t="inlineStr">
        <is>
          <t>No</t>
        </is>
      </c>
      <c r="V394" s="29">
        <f>IF(N394="","",IF(Q394="Yes","❌ Disc",IF(P394="No","⚠ Missing",IF(S394="Yes","✓ OK","⚠ Check"))))</f>
        <v/>
      </c>
      <c r="W394" s="65" t="n">
        <v>46248</v>
      </c>
      <c r="X394" s="30" t="inlineStr">
        <is>
          <t>Sunil CR</t>
        </is>
      </c>
      <c r="Y394" s="30" t="inlineStr">
        <is>
          <t>Yes</t>
        </is>
      </c>
      <c r="Z394" s="30" t="n"/>
      <c r="AA394" s="30" t="inlineStr">
        <is>
          <t>Good finish</t>
        </is>
      </c>
      <c r="AB394" s="30" t="inlineStr">
        <is>
          <t>Yes</t>
        </is>
      </c>
      <c r="AC394" s="27" t="n"/>
      <c r="AD394" s="31" t="inlineStr">
        <is>
          <t>No</t>
        </is>
      </c>
      <c r="AE394" s="32">
        <f>IF(W394="","",IF(Z394="Yes","❌ Disc",IF(Y394="No","⚠ Missing",IF(AB394="Yes","✓ OK","⚠ Check"))))</f>
        <v/>
      </c>
      <c r="AF394" s="33" t="n"/>
      <c r="AG394" s="33" t="n"/>
      <c r="AH394" s="33" t="n"/>
      <c r="AI394" s="33" t="n"/>
      <c r="AJ394" s="33" t="n"/>
      <c r="AK394" s="33" t="n"/>
      <c r="AL394" s="27" t="n"/>
      <c r="AM394" s="34" t="n"/>
      <c r="AN394" s="35">
        <f>IF(AF394="","",IF(AI394="Yes","❌ Disc",IF(AH394="No","⚠ Missing",IF(AK394="Yes","✓ OK","⚠ Check"))))</f>
        <v/>
      </c>
      <c r="AO394" s="36" t="n"/>
      <c r="AP394" s="36" t="n"/>
      <c r="AQ394" s="36" t="n"/>
      <c r="AR394" s="36" t="n"/>
      <c r="AS394" s="36" t="n"/>
      <c r="AT394" s="36" t="n"/>
      <c r="AU394" s="27" t="n"/>
      <c r="AV394" s="37" t="n"/>
      <c r="AW394" s="38">
        <f>IF(AO394="","",IF(AR394="Yes","❌ Disc",IF(AQ394="No","⚠ Missing",IF(AT394="Yes","✓ OK","⚠ Check"))))</f>
        <v/>
      </c>
    </row>
    <row r="395" ht="18" customHeight="1" s="46">
      <c r="A395" s="23" t="n">
        <v>391</v>
      </c>
      <c r="B395" s="24" t="inlineStr">
        <is>
          <t>BD-VRM-2026-0009</t>
        </is>
      </c>
      <c r="C395" s="25" t="inlineStr">
        <is>
          <t>Excel - Lohas Wallpaper 87476-5</t>
        </is>
      </c>
      <c r="D395" s="23" t="inlineStr">
        <is>
          <t>Excel</t>
        </is>
      </c>
      <c r="E395" s="43" t="n">
        <v>46125</v>
      </c>
      <c r="F395" s="26" t="inlineStr">
        <is>
          <t>Sunil CR</t>
        </is>
      </c>
      <c r="G395" s="26" t="inlineStr">
        <is>
          <t>Yes</t>
        </is>
      </c>
      <c r="H395" s="26" t="inlineStr">
        <is>
          <t>No</t>
        </is>
      </c>
      <c r="I395" s="26" t="inlineStr">
        <is>
          <t>Good finish</t>
        </is>
      </c>
      <c r="J395" s="26" t="inlineStr">
        <is>
          <t>Yes</t>
        </is>
      </c>
      <c r="K395" s="27" t="n"/>
      <c r="L395" s="28" t="inlineStr">
        <is>
          <t>No</t>
        </is>
      </c>
      <c r="M395" s="29">
        <f>IF(E395="","",IF(H395="Yes","❌ Disc",IF(G395="No","⚠ Missing",IF(J395="Yes","✓ OK","⚠ Check"))))</f>
        <v/>
      </c>
      <c r="N395" s="43" t="n">
        <v>46193</v>
      </c>
      <c r="O395" s="26" t="inlineStr">
        <is>
          <t>Sunil CR</t>
        </is>
      </c>
      <c r="P395" s="26" t="inlineStr">
        <is>
          <t>Yes</t>
        </is>
      </c>
      <c r="Q395" s="26" t="inlineStr">
        <is>
          <t>No</t>
        </is>
      </c>
      <c r="R395" s="26" t="inlineStr">
        <is>
          <t>Good finish</t>
        </is>
      </c>
      <c r="S395" s="26" t="inlineStr">
        <is>
          <t>Yes</t>
        </is>
      </c>
      <c r="T395" s="27" t="n"/>
      <c r="U395" s="28" t="inlineStr">
        <is>
          <t>No</t>
        </is>
      </c>
      <c r="V395" s="29">
        <f>IF(N395="","",IF(Q395="Yes","❌ Disc",IF(P395="No","⚠ Missing",IF(S395="Yes","✓ OK","⚠ Check"))))</f>
        <v/>
      </c>
      <c r="W395" s="65" t="n">
        <v>46248</v>
      </c>
      <c r="X395" s="30" t="inlineStr">
        <is>
          <t>Sunil CR</t>
        </is>
      </c>
      <c r="Y395" s="30" t="inlineStr">
        <is>
          <t>Yes</t>
        </is>
      </c>
      <c r="Z395" s="30" t="n"/>
      <c r="AA395" s="30" t="inlineStr">
        <is>
          <t>Good finish</t>
        </is>
      </c>
      <c r="AB395" s="30" t="inlineStr">
        <is>
          <t>Yes</t>
        </is>
      </c>
      <c r="AC395" s="27" t="n"/>
      <c r="AD395" s="31" t="inlineStr">
        <is>
          <t>No</t>
        </is>
      </c>
      <c r="AE395" s="32">
        <f>IF(W395="","",IF(Z395="Yes","❌ Disc",IF(Y395="No","⚠ Missing",IF(AB395="Yes","✓ OK","⚠ Check"))))</f>
        <v/>
      </c>
      <c r="AF395" s="33" t="n"/>
      <c r="AG395" s="33" t="n"/>
      <c r="AH395" s="33" t="n"/>
      <c r="AI395" s="33" t="n"/>
      <c r="AJ395" s="33" t="n"/>
      <c r="AK395" s="33" t="n"/>
      <c r="AL395" s="27" t="n"/>
      <c r="AM395" s="34" t="n"/>
      <c r="AN395" s="35">
        <f>IF(AF395="","",IF(AI395="Yes","❌ Disc",IF(AH395="No","⚠ Missing",IF(AK395="Yes","✓ OK","⚠ Check"))))</f>
        <v/>
      </c>
      <c r="AO395" s="36" t="n"/>
      <c r="AP395" s="36" t="n"/>
      <c r="AQ395" s="36" t="n"/>
      <c r="AR395" s="36" t="n"/>
      <c r="AS395" s="36" t="n"/>
      <c r="AT395" s="36" t="n"/>
      <c r="AU395" s="27" t="n"/>
      <c r="AV395" s="37" t="n"/>
      <c r="AW395" s="38">
        <f>IF(AO395="","",IF(AR395="Yes","❌ Disc",IF(AQ395="No","⚠ Missing",IF(AT395="Yes","✓ OK","⚠ Check"))))</f>
        <v/>
      </c>
    </row>
    <row r="396" ht="18" customHeight="1" s="46">
      <c r="A396" s="39" t="n">
        <v>392</v>
      </c>
      <c r="B396" s="40" t="inlineStr">
        <is>
          <t>BD-VRM-2026-0010</t>
        </is>
      </c>
      <c r="C396" s="41" t="inlineStr">
        <is>
          <t>Excel - Lohas Wallpaper 87476-6</t>
        </is>
      </c>
      <c r="D396" s="39" t="inlineStr">
        <is>
          <t>Excel</t>
        </is>
      </c>
      <c r="E396" s="43" t="n">
        <v>46125</v>
      </c>
      <c r="F396" s="26" t="inlineStr">
        <is>
          <t>Sunil CR</t>
        </is>
      </c>
      <c r="G396" s="26" t="inlineStr">
        <is>
          <t>Yes</t>
        </is>
      </c>
      <c r="H396" s="26" t="inlineStr">
        <is>
          <t>No</t>
        </is>
      </c>
      <c r="I396" s="26" t="inlineStr">
        <is>
          <t>Good finish</t>
        </is>
      </c>
      <c r="J396" s="26" t="inlineStr">
        <is>
          <t>Yes</t>
        </is>
      </c>
      <c r="K396" s="27" t="n"/>
      <c r="L396" s="28" t="inlineStr">
        <is>
          <t>No</t>
        </is>
      </c>
      <c r="M396" s="29">
        <f>IF(E396="","",IF(H396="Yes","❌ Disc",IF(G396="No","⚠ Missing",IF(J396="Yes","✓ OK","⚠ Check"))))</f>
        <v/>
      </c>
      <c r="N396" s="43" t="n">
        <v>46193</v>
      </c>
      <c r="O396" s="26" t="inlineStr">
        <is>
          <t>Sunil CR</t>
        </is>
      </c>
      <c r="P396" s="26" t="inlineStr">
        <is>
          <t>Yes</t>
        </is>
      </c>
      <c r="Q396" s="26" t="inlineStr">
        <is>
          <t>No</t>
        </is>
      </c>
      <c r="R396" s="26" t="inlineStr">
        <is>
          <t>Good finish</t>
        </is>
      </c>
      <c r="S396" s="26" t="inlineStr">
        <is>
          <t>Yes</t>
        </is>
      </c>
      <c r="T396" s="27" t="n"/>
      <c r="U396" s="28" t="inlineStr">
        <is>
          <t>No</t>
        </is>
      </c>
      <c r="V396" s="29">
        <f>IF(N396="","",IF(Q396="Yes","❌ Disc",IF(P396="No","⚠ Missing",IF(S396="Yes","✓ OK","⚠ Check"))))</f>
        <v/>
      </c>
      <c r="W396" s="65" t="n">
        <v>46248</v>
      </c>
      <c r="X396" s="30" t="inlineStr">
        <is>
          <t>Sunil CR</t>
        </is>
      </c>
      <c r="Y396" s="30" t="inlineStr">
        <is>
          <t>Yes</t>
        </is>
      </c>
      <c r="Z396" s="30" t="n"/>
      <c r="AA396" s="30" t="inlineStr">
        <is>
          <t>Good finish</t>
        </is>
      </c>
      <c r="AB396" s="30" t="inlineStr">
        <is>
          <t>Yes</t>
        </is>
      </c>
      <c r="AC396" s="27" t="n"/>
      <c r="AD396" s="31" t="inlineStr">
        <is>
          <t>No</t>
        </is>
      </c>
      <c r="AE396" s="32">
        <f>IF(W396="","",IF(Z396="Yes","❌ Disc",IF(Y396="No","⚠ Missing",IF(AB396="Yes","✓ OK","⚠ Check"))))</f>
        <v/>
      </c>
      <c r="AF396" s="33" t="n"/>
      <c r="AG396" s="33" t="n"/>
      <c r="AH396" s="33" t="n"/>
      <c r="AI396" s="33" t="n"/>
      <c r="AJ396" s="33" t="n"/>
      <c r="AK396" s="33" t="n"/>
      <c r="AL396" s="27" t="n"/>
      <c r="AM396" s="34" t="n"/>
      <c r="AN396" s="35">
        <f>IF(AF396="","",IF(AI396="Yes","❌ Disc",IF(AH396="No","⚠ Missing",IF(AK396="Yes","✓ OK","⚠ Check"))))</f>
        <v/>
      </c>
      <c r="AO396" s="36" t="n"/>
      <c r="AP396" s="36" t="n"/>
      <c r="AQ396" s="36" t="n"/>
      <c r="AR396" s="36" t="n"/>
      <c r="AS396" s="36" t="n"/>
      <c r="AT396" s="36" t="n"/>
      <c r="AU396" s="27" t="n"/>
      <c r="AV396" s="37" t="n"/>
      <c r="AW396" s="38">
        <f>IF(AO396="","",IF(AR396="Yes","❌ Disc",IF(AQ396="No","⚠ Missing",IF(AT396="Yes","✓ OK","⚠ Check"))))</f>
        <v/>
      </c>
    </row>
    <row r="397" ht="18" customHeight="1" s="46">
      <c r="A397" s="23" t="n">
        <v>393</v>
      </c>
      <c r="B397" s="24" t="inlineStr">
        <is>
          <t>BD-VRM-2026-0001</t>
        </is>
      </c>
      <c r="C397" s="25" t="inlineStr">
        <is>
          <t>Excel - Lohas Wallpaper 87477-1</t>
        </is>
      </c>
      <c r="D397" s="23" t="inlineStr">
        <is>
          <t>Excel</t>
        </is>
      </c>
      <c r="E397" s="43" t="n">
        <v>46125</v>
      </c>
      <c r="F397" s="26" t="inlineStr">
        <is>
          <t>Sunil CR</t>
        </is>
      </c>
      <c r="G397" s="26" t="inlineStr">
        <is>
          <t>Yes</t>
        </is>
      </c>
      <c r="H397" s="26" t="inlineStr">
        <is>
          <t>No</t>
        </is>
      </c>
      <c r="I397" s="26" t="inlineStr">
        <is>
          <t>Good finish</t>
        </is>
      </c>
      <c r="J397" s="26" t="inlineStr">
        <is>
          <t>Yes</t>
        </is>
      </c>
      <c r="K397" s="27" t="n"/>
      <c r="L397" s="28" t="inlineStr">
        <is>
          <t>No</t>
        </is>
      </c>
      <c r="M397" s="29">
        <f>IF(E397="","",IF(H397="Yes","❌ Disc",IF(G397="No","⚠ Missing",IF(J397="Yes","✓ OK","⚠ Check"))))</f>
        <v/>
      </c>
      <c r="N397" s="43" t="n">
        <v>46193</v>
      </c>
      <c r="O397" s="26" t="inlineStr">
        <is>
          <t>Sunil CR</t>
        </is>
      </c>
      <c r="P397" s="26" t="inlineStr">
        <is>
          <t>Yes</t>
        </is>
      </c>
      <c r="Q397" s="26" t="inlineStr">
        <is>
          <t>No</t>
        </is>
      </c>
      <c r="R397" s="26" t="inlineStr">
        <is>
          <t>Good finish</t>
        </is>
      </c>
      <c r="S397" s="26" t="inlineStr">
        <is>
          <t>Yes</t>
        </is>
      </c>
      <c r="T397" s="27" t="n"/>
      <c r="U397" s="28" t="inlineStr">
        <is>
          <t>No</t>
        </is>
      </c>
      <c r="V397" s="29">
        <f>IF(N397="","",IF(Q397="Yes","❌ Disc",IF(P397="No","⚠ Missing",IF(S397="Yes","✓ OK","⚠ Check"))))</f>
        <v/>
      </c>
      <c r="W397" s="65" t="n">
        <v>46248</v>
      </c>
      <c r="X397" s="30" t="inlineStr">
        <is>
          <t>Sunil CR</t>
        </is>
      </c>
      <c r="Y397" s="30" t="inlineStr">
        <is>
          <t>Yes</t>
        </is>
      </c>
      <c r="Z397" s="30" t="n"/>
      <c r="AA397" s="30" t="inlineStr">
        <is>
          <t>Good finish</t>
        </is>
      </c>
      <c r="AB397" s="30" t="inlineStr">
        <is>
          <t>Yes</t>
        </is>
      </c>
      <c r="AC397" s="27" t="n"/>
      <c r="AD397" s="31" t="inlineStr">
        <is>
          <t>No</t>
        </is>
      </c>
      <c r="AE397" s="32">
        <f>IF(W397="","",IF(Z397="Yes","❌ Disc",IF(Y397="No","⚠ Missing",IF(AB397="Yes","✓ OK","⚠ Check"))))</f>
        <v/>
      </c>
      <c r="AF397" s="33" t="n"/>
      <c r="AG397" s="33" t="n"/>
      <c r="AH397" s="33" t="n"/>
      <c r="AI397" s="33" t="n"/>
      <c r="AJ397" s="33" t="n"/>
      <c r="AK397" s="33" t="n"/>
      <c r="AL397" s="27" t="n"/>
      <c r="AM397" s="34" t="n"/>
      <c r="AN397" s="35">
        <f>IF(AF397="","",IF(AI397="Yes","❌ Disc",IF(AH397="No","⚠ Missing",IF(AK397="Yes","✓ OK","⚠ Check"))))</f>
        <v/>
      </c>
      <c r="AO397" s="36" t="n"/>
      <c r="AP397" s="36" t="n"/>
      <c r="AQ397" s="36" t="n"/>
      <c r="AR397" s="36" t="n"/>
      <c r="AS397" s="36" t="n"/>
      <c r="AT397" s="36" t="n"/>
      <c r="AU397" s="27" t="n"/>
      <c r="AV397" s="37" t="n"/>
      <c r="AW397" s="38">
        <f>IF(AO397="","",IF(AR397="Yes","❌ Disc",IF(AQ397="No","⚠ Missing",IF(AT397="Yes","✓ OK","⚠ Check"))))</f>
        <v/>
      </c>
    </row>
    <row r="398" ht="18" customHeight="1" s="46">
      <c r="A398" s="39" t="n">
        <v>394</v>
      </c>
      <c r="B398" s="40" t="inlineStr">
        <is>
          <t>BD-VRM-2026-0002</t>
        </is>
      </c>
      <c r="C398" s="41" t="inlineStr">
        <is>
          <t>Excel - Lohas Wallpaper 87477-2</t>
        </is>
      </c>
      <c r="D398" s="39" t="inlineStr">
        <is>
          <t>Excel</t>
        </is>
      </c>
      <c r="E398" s="43" t="n">
        <v>46125</v>
      </c>
      <c r="F398" s="26" t="inlineStr">
        <is>
          <t>Sunil CR</t>
        </is>
      </c>
      <c r="G398" s="26" t="inlineStr">
        <is>
          <t>Yes</t>
        </is>
      </c>
      <c r="H398" s="26" t="inlineStr">
        <is>
          <t>No</t>
        </is>
      </c>
      <c r="I398" s="26" t="inlineStr">
        <is>
          <t>Good finish</t>
        </is>
      </c>
      <c r="J398" s="26" t="inlineStr">
        <is>
          <t>Yes</t>
        </is>
      </c>
      <c r="K398" s="27" t="n"/>
      <c r="L398" s="28" t="inlineStr">
        <is>
          <t>No</t>
        </is>
      </c>
      <c r="M398" s="29">
        <f>IF(E398="","",IF(H398="Yes","❌ Disc",IF(G398="No","⚠ Missing",IF(J398="Yes","✓ OK","⚠ Check"))))</f>
        <v/>
      </c>
      <c r="N398" s="43" t="n">
        <v>46193</v>
      </c>
      <c r="O398" s="26" t="inlineStr">
        <is>
          <t>Sunil CR</t>
        </is>
      </c>
      <c r="P398" s="26" t="inlineStr">
        <is>
          <t>Yes</t>
        </is>
      </c>
      <c r="Q398" s="26" t="inlineStr">
        <is>
          <t>No</t>
        </is>
      </c>
      <c r="R398" s="26" t="inlineStr">
        <is>
          <t>Good finish</t>
        </is>
      </c>
      <c r="S398" s="26" t="inlineStr">
        <is>
          <t>Yes</t>
        </is>
      </c>
      <c r="T398" s="27" t="n"/>
      <c r="U398" s="28" t="inlineStr">
        <is>
          <t>No</t>
        </is>
      </c>
      <c r="V398" s="29">
        <f>IF(N398="","",IF(Q398="Yes","❌ Disc",IF(P398="No","⚠ Missing",IF(S398="Yes","✓ OK","⚠ Check"))))</f>
        <v/>
      </c>
      <c r="W398" s="65" t="n">
        <v>46248</v>
      </c>
      <c r="X398" s="30" t="inlineStr">
        <is>
          <t>Sunil CR</t>
        </is>
      </c>
      <c r="Y398" s="30" t="inlineStr">
        <is>
          <t>Yes</t>
        </is>
      </c>
      <c r="Z398" s="30" t="n"/>
      <c r="AA398" s="30" t="inlineStr">
        <is>
          <t>Good finish</t>
        </is>
      </c>
      <c r="AB398" s="30" t="inlineStr">
        <is>
          <t>Yes</t>
        </is>
      </c>
      <c r="AC398" s="27" t="n"/>
      <c r="AD398" s="31" t="inlineStr">
        <is>
          <t>No</t>
        </is>
      </c>
      <c r="AE398" s="32">
        <f>IF(W398="","",IF(Z398="Yes","❌ Disc",IF(Y398="No","⚠ Missing",IF(AB398="Yes","✓ OK","⚠ Check"))))</f>
        <v/>
      </c>
      <c r="AF398" s="33" t="n"/>
      <c r="AG398" s="33" t="n"/>
      <c r="AH398" s="33" t="n"/>
      <c r="AI398" s="33" t="n"/>
      <c r="AJ398" s="33" t="n"/>
      <c r="AK398" s="33" t="n"/>
      <c r="AL398" s="27" t="n"/>
      <c r="AM398" s="34" t="n"/>
      <c r="AN398" s="35">
        <f>IF(AF398="","",IF(AI398="Yes","❌ Disc",IF(AH398="No","⚠ Missing",IF(AK398="Yes","✓ OK","⚠ Check"))))</f>
        <v/>
      </c>
      <c r="AO398" s="36" t="n"/>
      <c r="AP398" s="36" t="n"/>
      <c r="AQ398" s="36" t="n"/>
      <c r="AR398" s="36" t="n"/>
      <c r="AS398" s="36" t="n"/>
      <c r="AT398" s="36" t="n"/>
      <c r="AU398" s="27" t="n"/>
      <c r="AV398" s="37" t="n"/>
      <c r="AW398" s="38">
        <f>IF(AO398="","",IF(AR398="Yes","❌ Disc",IF(AQ398="No","⚠ Missing",IF(AT398="Yes","✓ OK","⚠ Check"))))</f>
        <v/>
      </c>
    </row>
    <row r="399" ht="18" customHeight="1" s="46">
      <c r="A399" s="23" t="n">
        <v>395</v>
      </c>
      <c r="B399" s="24" t="inlineStr">
        <is>
          <t>BD-VRM-2026-0003</t>
        </is>
      </c>
      <c r="C399" s="25" t="inlineStr">
        <is>
          <t>Excel - Lohas Wallpaper 87477-3</t>
        </is>
      </c>
      <c r="D399" s="23" t="inlineStr">
        <is>
          <t>Excel</t>
        </is>
      </c>
      <c r="E399" s="43" t="n">
        <v>46125</v>
      </c>
      <c r="F399" s="26" t="inlineStr">
        <is>
          <t>Sunil CR</t>
        </is>
      </c>
      <c r="G399" s="26" t="inlineStr">
        <is>
          <t>Yes</t>
        </is>
      </c>
      <c r="H399" s="26" t="inlineStr">
        <is>
          <t>No</t>
        </is>
      </c>
      <c r="I399" s="26" t="inlineStr">
        <is>
          <t>Good finish</t>
        </is>
      </c>
      <c r="J399" s="26" t="inlineStr">
        <is>
          <t>Yes</t>
        </is>
      </c>
      <c r="K399" s="27" t="n"/>
      <c r="L399" s="28" t="inlineStr">
        <is>
          <t>No</t>
        </is>
      </c>
      <c r="M399" s="29">
        <f>IF(E399="","",IF(H399="Yes","❌ Disc",IF(G399="No","⚠ Missing",IF(J399="Yes","✓ OK","⚠ Check"))))</f>
        <v/>
      </c>
      <c r="N399" s="43" t="n">
        <v>46193</v>
      </c>
      <c r="O399" s="26" t="inlineStr">
        <is>
          <t>Sunil CR</t>
        </is>
      </c>
      <c r="P399" s="26" t="inlineStr">
        <is>
          <t>Yes</t>
        </is>
      </c>
      <c r="Q399" s="26" t="inlineStr">
        <is>
          <t>No</t>
        </is>
      </c>
      <c r="R399" s="26" t="inlineStr">
        <is>
          <t>Good finish</t>
        </is>
      </c>
      <c r="S399" s="26" t="inlineStr">
        <is>
          <t>Yes</t>
        </is>
      </c>
      <c r="T399" s="27" t="n"/>
      <c r="U399" s="28" t="inlineStr">
        <is>
          <t>No</t>
        </is>
      </c>
      <c r="V399" s="29">
        <f>IF(N399="","",IF(Q399="Yes","❌ Disc",IF(P399="No","⚠ Missing",IF(S399="Yes","✓ OK","⚠ Check"))))</f>
        <v/>
      </c>
      <c r="W399" s="65" t="n">
        <v>46248</v>
      </c>
      <c r="X399" s="30" t="inlineStr">
        <is>
          <t>Sunil CR</t>
        </is>
      </c>
      <c r="Y399" s="30" t="inlineStr">
        <is>
          <t>Yes</t>
        </is>
      </c>
      <c r="Z399" s="30" t="n"/>
      <c r="AA399" s="30" t="inlineStr">
        <is>
          <t>Good finish</t>
        </is>
      </c>
      <c r="AB399" s="30" t="inlineStr">
        <is>
          <t>Yes</t>
        </is>
      </c>
      <c r="AC399" s="27" t="n"/>
      <c r="AD399" s="31" t="inlineStr">
        <is>
          <t>No</t>
        </is>
      </c>
      <c r="AE399" s="32">
        <f>IF(W399="","",IF(Z399="Yes","❌ Disc",IF(Y399="No","⚠ Missing",IF(AB399="Yes","✓ OK","⚠ Check"))))</f>
        <v/>
      </c>
      <c r="AF399" s="33" t="n"/>
      <c r="AG399" s="33" t="n"/>
      <c r="AH399" s="33" t="n"/>
      <c r="AI399" s="33" t="n"/>
      <c r="AJ399" s="33" t="n"/>
      <c r="AK399" s="33" t="n"/>
      <c r="AL399" s="27" t="n"/>
      <c r="AM399" s="34" t="n"/>
      <c r="AN399" s="35">
        <f>IF(AF399="","",IF(AI399="Yes","❌ Disc",IF(AH399="No","⚠ Missing",IF(AK399="Yes","✓ OK","⚠ Check"))))</f>
        <v/>
      </c>
      <c r="AO399" s="36" t="n"/>
      <c r="AP399" s="36" t="n"/>
      <c r="AQ399" s="36" t="n"/>
      <c r="AR399" s="36" t="n"/>
      <c r="AS399" s="36" t="n"/>
      <c r="AT399" s="36" t="n"/>
      <c r="AU399" s="27" t="n"/>
      <c r="AV399" s="37" t="n"/>
      <c r="AW399" s="38">
        <f>IF(AO399="","",IF(AR399="Yes","❌ Disc",IF(AQ399="No","⚠ Missing",IF(AT399="Yes","✓ OK","⚠ Check"))))</f>
        <v/>
      </c>
    </row>
    <row r="400" ht="18" customHeight="1" s="46">
      <c r="A400" s="39" t="n">
        <v>396</v>
      </c>
      <c r="B400" s="40" t="inlineStr">
        <is>
          <t>BD-VRM-2026-0004</t>
        </is>
      </c>
      <c r="C400" s="41" t="inlineStr">
        <is>
          <t>Excel - Lohas Wallpaper 87477-4</t>
        </is>
      </c>
      <c r="D400" s="39" t="inlineStr">
        <is>
          <t>Excel</t>
        </is>
      </c>
      <c r="E400" s="43" t="n">
        <v>46125</v>
      </c>
      <c r="F400" s="26" t="inlineStr">
        <is>
          <t>Sunil CR</t>
        </is>
      </c>
      <c r="G400" s="26" t="inlineStr">
        <is>
          <t>Yes</t>
        </is>
      </c>
      <c r="H400" s="26" t="inlineStr">
        <is>
          <t>No</t>
        </is>
      </c>
      <c r="I400" s="26" t="inlineStr">
        <is>
          <t>Good finish</t>
        </is>
      </c>
      <c r="J400" s="26" t="inlineStr">
        <is>
          <t>Yes</t>
        </is>
      </c>
      <c r="K400" s="27" t="n"/>
      <c r="L400" s="28" t="inlineStr">
        <is>
          <t>No</t>
        </is>
      </c>
      <c r="M400" s="29">
        <f>IF(E400="","",IF(H400="Yes","❌ Disc",IF(G400="No","⚠ Missing",IF(J400="Yes","✓ OK","⚠ Check"))))</f>
        <v/>
      </c>
      <c r="N400" s="43" t="n">
        <v>46193</v>
      </c>
      <c r="O400" s="26" t="inlineStr">
        <is>
          <t>Sunil CR</t>
        </is>
      </c>
      <c r="P400" s="26" t="inlineStr">
        <is>
          <t>Yes</t>
        </is>
      </c>
      <c r="Q400" s="26" t="inlineStr">
        <is>
          <t>No</t>
        </is>
      </c>
      <c r="R400" s="26" t="inlineStr">
        <is>
          <t>Good finish</t>
        </is>
      </c>
      <c r="S400" s="26" t="inlineStr">
        <is>
          <t>Yes</t>
        </is>
      </c>
      <c r="T400" s="27" t="n"/>
      <c r="U400" s="28" t="inlineStr">
        <is>
          <t>No</t>
        </is>
      </c>
      <c r="V400" s="29">
        <f>IF(N400="","",IF(Q400="Yes","❌ Disc",IF(P400="No","⚠ Missing",IF(S400="Yes","✓ OK","⚠ Check"))))</f>
        <v/>
      </c>
      <c r="W400" s="65" t="n">
        <v>46248</v>
      </c>
      <c r="X400" s="30" t="inlineStr">
        <is>
          <t>Sunil CR</t>
        </is>
      </c>
      <c r="Y400" s="30" t="inlineStr">
        <is>
          <t>Yes</t>
        </is>
      </c>
      <c r="Z400" s="30" t="n"/>
      <c r="AA400" s="30" t="inlineStr">
        <is>
          <t>Good finish</t>
        </is>
      </c>
      <c r="AB400" s="30" t="inlineStr">
        <is>
          <t>Yes</t>
        </is>
      </c>
      <c r="AC400" s="27" t="n"/>
      <c r="AD400" s="31" t="inlineStr">
        <is>
          <t>No</t>
        </is>
      </c>
      <c r="AE400" s="32">
        <f>IF(W400="","",IF(Z400="Yes","❌ Disc",IF(Y400="No","⚠ Missing",IF(AB400="Yes","✓ OK","⚠ Check"))))</f>
        <v/>
      </c>
      <c r="AF400" s="33" t="n"/>
      <c r="AG400" s="33" t="n"/>
      <c r="AH400" s="33" t="n"/>
      <c r="AI400" s="33" t="n"/>
      <c r="AJ400" s="33" t="n"/>
      <c r="AK400" s="33" t="n"/>
      <c r="AL400" s="27" t="n"/>
      <c r="AM400" s="34" t="n"/>
      <c r="AN400" s="35">
        <f>IF(AF400="","",IF(AI400="Yes","❌ Disc",IF(AH400="No","⚠ Missing",IF(AK400="Yes","✓ OK","⚠ Check"))))</f>
        <v/>
      </c>
      <c r="AO400" s="36" t="n"/>
      <c r="AP400" s="36" t="n"/>
      <c r="AQ400" s="36" t="n"/>
      <c r="AR400" s="36" t="n"/>
      <c r="AS400" s="36" t="n"/>
      <c r="AT400" s="36" t="n"/>
      <c r="AU400" s="27" t="n"/>
      <c r="AV400" s="37" t="n"/>
      <c r="AW400" s="38">
        <f>IF(AO400="","",IF(AR400="Yes","❌ Disc",IF(AQ400="No","⚠ Missing",IF(AT400="Yes","✓ OK","⚠ Check"))))</f>
        <v/>
      </c>
    </row>
    <row r="401" ht="18" customHeight="1" s="46">
      <c r="A401" s="23" t="n">
        <v>397</v>
      </c>
      <c r="B401" s="24" t="inlineStr">
        <is>
          <t>BD-VRM-2026-0457</t>
        </is>
      </c>
      <c r="C401" s="25" t="inlineStr">
        <is>
          <t>Excel - Rock  Wallpaper ROC001</t>
        </is>
      </c>
      <c r="D401" s="23" t="inlineStr">
        <is>
          <t>Excel</t>
        </is>
      </c>
      <c r="E401" s="43" t="n">
        <v>46125</v>
      </c>
      <c r="F401" s="26" t="inlineStr">
        <is>
          <t>Sunil CR</t>
        </is>
      </c>
      <c r="G401" s="26" t="inlineStr">
        <is>
          <t>Yes</t>
        </is>
      </c>
      <c r="H401" s="26" t="inlineStr">
        <is>
          <t>No</t>
        </is>
      </c>
      <c r="I401" s="26" t="inlineStr">
        <is>
          <t>Good finish</t>
        </is>
      </c>
      <c r="J401" s="26" t="inlineStr">
        <is>
          <t>Yes</t>
        </is>
      </c>
      <c r="K401" s="27" t="n"/>
      <c r="L401" s="28" t="inlineStr">
        <is>
          <t>No</t>
        </is>
      </c>
      <c r="M401" s="29">
        <f>IF(E401="","",IF(H401="Yes","❌ Disc",IF(G401="No","⚠ Missing",IF(J401="Yes","✓ OK","⚠ Check"))))</f>
        <v/>
      </c>
      <c r="N401" s="43" t="n">
        <v>46193</v>
      </c>
      <c r="O401" s="26" t="inlineStr">
        <is>
          <t>Sunil CR</t>
        </is>
      </c>
      <c r="P401" s="26" t="inlineStr">
        <is>
          <t>Yes</t>
        </is>
      </c>
      <c r="Q401" s="26" t="inlineStr">
        <is>
          <t>No</t>
        </is>
      </c>
      <c r="R401" s="26" t="inlineStr">
        <is>
          <t>Good finish</t>
        </is>
      </c>
      <c r="S401" s="26" t="inlineStr">
        <is>
          <t>Yes</t>
        </is>
      </c>
      <c r="T401" s="27" t="n"/>
      <c r="U401" s="28" t="inlineStr">
        <is>
          <t>No</t>
        </is>
      </c>
      <c r="V401" s="29">
        <f>IF(N401="","",IF(Q401="Yes","❌ Disc",IF(P401="No","⚠ Missing",IF(S401="Yes","✓ OK","⚠ Check"))))</f>
        <v/>
      </c>
      <c r="W401" s="65" t="n">
        <v>46248</v>
      </c>
      <c r="X401" s="30" t="inlineStr">
        <is>
          <t>Sunil CR</t>
        </is>
      </c>
      <c r="Y401" s="30" t="inlineStr">
        <is>
          <t>Yes</t>
        </is>
      </c>
      <c r="Z401" s="30" t="n"/>
      <c r="AA401" s="30" t="inlineStr">
        <is>
          <t>Good finish</t>
        </is>
      </c>
      <c r="AB401" s="30" t="inlineStr">
        <is>
          <t>Yes</t>
        </is>
      </c>
      <c r="AC401" s="27" t="n"/>
      <c r="AD401" s="31" t="inlineStr">
        <is>
          <t>No</t>
        </is>
      </c>
      <c r="AE401" s="32">
        <f>IF(W401="","",IF(Z401="Yes","❌ Disc",IF(Y401="No","⚠ Missing",IF(AB401="Yes","✓ OK","⚠ Check"))))</f>
        <v/>
      </c>
      <c r="AF401" s="33" t="n"/>
      <c r="AG401" s="33" t="n"/>
      <c r="AH401" s="33" t="n"/>
      <c r="AI401" s="33" t="n"/>
      <c r="AJ401" s="33" t="n"/>
      <c r="AK401" s="33" t="n"/>
      <c r="AL401" s="27" t="n"/>
      <c r="AM401" s="34" t="n"/>
      <c r="AN401" s="35">
        <f>IF(AF401="","",IF(AI401="Yes","❌ Disc",IF(AH401="No","⚠ Missing",IF(AK401="Yes","✓ OK","⚠ Check"))))</f>
        <v/>
      </c>
      <c r="AO401" s="36" t="n"/>
      <c r="AP401" s="36" t="n"/>
      <c r="AQ401" s="36" t="n"/>
      <c r="AR401" s="36" t="n"/>
      <c r="AS401" s="36" t="n"/>
      <c r="AT401" s="36" t="n"/>
      <c r="AU401" s="27" t="n"/>
      <c r="AV401" s="37" t="n"/>
      <c r="AW401" s="38">
        <f>IF(AO401="","",IF(AR401="Yes","❌ Disc",IF(AQ401="No","⚠ Missing",IF(AT401="Yes","✓ OK","⚠ Check"))))</f>
        <v/>
      </c>
    </row>
    <row r="402" ht="18" customHeight="1" s="46">
      <c r="A402" s="39" t="n">
        <v>398</v>
      </c>
      <c r="B402" s="40" t="inlineStr">
        <is>
          <t>BD-VRM-2026-0458</t>
        </is>
      </c>
      <c r="C402" s="41" t="inlineStr">
        <is>
          <t>Excel - Rock  Wallpaper ROC002</t>
        </is>
      </c>
      <c r="D402" s="39" t="inlineStr">
        <is>
          <t>Excel</t>
        </is>
      </c>
      <c r="E402" s="43" t="n">
        <v>46125</v>
      </c>
      <c r="F402" s="26" t="inlineStr">
        <is>
          <t>Sunil CR</t>
        </is>
      </c>
      <c r="G402" s="26" t="inlineStr">
        <is>
          <t>Yes</t>
        </is>
      </c>
      <c r="H402" s="26" t="inlineStr">
        <is>
          <t>No</t>
        </is>
      </c>
      <c r="I402" s="26" t="inlineStr">
        <is>
          <t>Good finish</t>
        </is>
      </c>
      <c r="J402" s="26" t="inlineStr">
        <is>
          <t>Yes</t>
        </is>
      </c>
      <c r="K402" s="27" t="n"/>
      <c r="L402" s="28" t="inlineStr">
        <is>
          <t>No</t>
        </is>
      </c>
      <c r="M402" s="29">
        <f>IF(E402="","",IF(H402="Yes","❌ Disc",IF(G402="No","⚠ Missing",IF(J402="Yes","✓ OK","⚠ Check"))))</f>
        <v/>
      </c>
      <c r="N402" s="43" t="n">
        <v>46193</v>
      </c>
      <c r="O402" s="26" t="inlineStr">
        <is>
          <t>Sunil CR</t>
        </is>
      </c>
      <c r="P402" s="26" t="inlineStr">
        <is>
          <t>Yes</t>
        </is>
      </c>
      <c r="Q402" s="26" t="inlineStr">
        <is>
          <t>No</t>
        </is>
      </c>
      <c r="R402" s="26" t="inlineStr">
        <is>
          <t>Good finish</t>
        </is>
      </c>
      <c r="S402" s="26" t="inlineStr">
        <is>
          <t>Yes</t>
        </is>
      </c>
      <c r="T402" s="27" t="n"/>
      <c r="U402" s="28" t="inlineStr">
        <is>
          <t>No</t>
        </is>
      </c>
      <c r="V402" s="29">
        <f>IF(N402="","",IF(Q402="Yes","❌ Disc",IF(P402="No","⚠ Missing",IF(S402="Yes","✓ OK","⚠ Check"))))</f>
        <v/>
      </c>
      <c r="W402" s="65" t="n">
        <v>46248</v>
      </c>
      <c r="X402" s="30" t="inlineStr">
        <is>
          <t>Sunil CR</t>
        </is>
      </c>
      <c r="Y402" s="30" t="inlineStr">
        <is>
          <t>Yes</t>
        </is>
      </c>
      <c r="Z402" s="30" t="n"/>
      <c r="AA402" s="30" t="inlineStr">
        <is>
          <t>Good finish</t>
        </is>
      </c>
      <c r="AB402" s="30" t="inlineStr">
        <is>
          <t>Yes</t>
        </is>
      </c>
      <c r="AC402" s="27" t="n"/>
      <c r="AD402" s="31" t="inlineStr">
        <is>
          <t>No</t>
        </is>
      </c>
      <c r="AE402" s="32">
        <f>IF(W402="","",IF(Z402="Yes","❌ Disc",IF(Y402="No","⚠ Missing",IF(AB402="Yes","✓ OK","⚠ Check"))))</f>
        <v/>
      </c>
      <c r="AF402" s="33" t="n"/>
      <c r="AG402" s="33" t="n"/>
      <c r="AH402" s="33" t="n"/>
      <c r="AI402" s="33" t="n"/>
      <c r="AJ402" s="33" t="n"/>
      <c r="AK402" s="33" t="n"/>
      <c r="AL402" s="27" t="n"/>
      <c r="AM402" s="34" t="n"/>
      <c r="AN402" s="35">
        <f>IF(AF402="","",IF(AI402="Yes","❌ Disc",IF(AH402="No","⚠ Missing",IF(AK402="Yes","✓ OK","⚠ Check"))))</f>
        <v/>
      </c>
      <c r="AO402" s="36" t="n"/>
      <c r="AP402" s="36" t="n"/>
      <c r="AQ402" s="36" t="n"/>
      <c r="AR402" s="36" t="n"/>
      <c r="AS402" s="36" t="n"/>
      <c r="AT402" s="36" t="n"/>
      <c r="AU402" s="27" t="n"/>
      <c r="AV402" s="37" t="n"/>
      <c r="AW402" s="38">
        <f>IF(AO402="","",IF(AR402="Yes","❌ Disc",IF(AQ402="No","⚠ Missing",IF(AT402="Yes","✓ OK","⚠ Check"))))</f>
        <v/>
      </c>
    </row>
    <row r="403" ht="18" customHeight="1" s="46">
      <c r="A403" s="23" t="n">
        <v>399</v>
      </c>
      <c r="B403" s="24" t="inlineStr">
        <is>
          <t>BD-VRM-2026-0459</t>
        </is>
      </c>
      <c r="C403" s="25" t="inlineStr">
        <is>
          <t>Excel - Rock  Wallpaper ROC003</t>
        </is>
      </c>
      <c r="D403" s="23" t="inlineStr">
        <is>
          <t>Excel</t>
        </is>
      </c>
      <c r="E403" s="43" t="n">
        <v>46125</v>
      </c>
      <c r="F403" s="26" t="inlineStr">
        <is>
          <t>Sunil CR</t>
        </is>
      </c>
      <c r="G403" s="26" t="inlineStr">
        <is>
          <t>Yes</t>
        </is>
      </c>
      <c r="H403" s="26" t="inlineStr">
        <is>
          <t>No</t>
        </is>
      </c>
      <c r="I403" s="26" t="inlineStr">
        <is>
          <t>Good finish</t>
        </is>
      </c>
      <c r="J403" s="26" t="inlineStr">
        <is>
          <t>Yes</t>
        </is>
      </c>
      <c r="K403" s="27" t="n"/>
      <c r="L403" s="28" t="inlineStr">
        <is>
          <t>No</t>
        </is>
      </c>
      <c r="M403" s="29">
        <f>IF(E403="","",IF(H403="Yes","❌ Disc",IF(G403="No","⚠ Missing",IF(J403="Yes","✓ OK","⚠ Check"))))</f>
        <v/>
      </c>
      <c r="N403" s="43" t="n">
        <v>46193</v>
      </c>
      <c r="O403" s="26" t="inlineStr">
        <is>
          <t>Sunil CR</t>
        </is>
      </c>
      <c r="P403" s="26" t="inlineStr">
        <is>
          <t>Yes</t>
        </is>
      </c>
      <c r="Q403" s="26" t="inlineStr">
        <is>
          <t>No</t>
        </is>
      </c>
      <c r="R403" s="26" t="inlineStr">
        <is>
          <t>Good finish</t>
        </is>
      </c>
      <c r="S403" s="26" t="inlineStr">
        <is>
          <t>Yes</t>
        </is>
      </c>
      <c r="T403" s="27" t="n"/>
      <c r="U403" s="28" t="inlineStr">
        <is>
          <t>No</t>
        </is>
      </c>
      <c r="V403" s="29">
        <f>IF(N403="","",IF(Q403="Yes","❌ Disc",IF(P403="No","⚠ Missing",IF(S403="Yes","✓ OK","⚠ Check"))))</f>
        <v/>
      </c>
      <c r="W403" s="65" t="n">
        <v>46248</v>
      </c>
      <c r="X403" s="30" t="inlineStr">
        <is>
          <t>Sunil CR</t>
        </is>
      </c>
      <c r="Y403" s="30" t="inlineStr">
        <is>
          <t>Yes</t>
        </is>
      </c>
      <c r="Z403" s="30" t="n"/>
      <c r="AA403" s="30" t="inlineStr">
        <is>
          <t>Good finish</t>
        </is>
      </c>
      <c r="AB403" s="30" t="inlineStr">
        <is>
          <t>Yes</t>
        </is>
      </c>
      <c r="AC403" s="27" t="n"/>
      <c r="AD403" s="31" t="inlineStr">
        <is>
          <t>No</t>
        </is>
      </c>
      <c r="AE403" s="32">
        <f>IF(W403="","",IF(Z403="Yes","❌ Disc",IF(Y403="No","⚠ Missing",IF(AB403="Yes","✓ OK","⚠ Check"))))</f>
        <v/>
      </c>
      <c r="AF403" s="33" t="n"/>
      <c r="AG403" s="33" t="n"/>
      <c r="AH403" s="33" t="n"/>
      <c r="AI403" s="33" t="n"/>
      <c r="AJ403" s="33" t="n"/>
      <c r="AK403" s="33" t="n"/>
      <c r="AL403" s="27" t="n"/>
      <c r="AM403" s="34" t="n"/>
      <c r="AN403" s="35">
        <f>IF(AF403="","",IF(AI403="Yes","❌ Disc",IF(AH403="No","⚠ Missing",IF(AK403="Yes","✓ OK","⚠ Check"))))</f>
        <v/>
      </c>
      <c r="AO403" s="36" t="n"/>
      <c r="AP403" s="36" t="n"/>
      <c r="AQ403" s="36" t="n"/>
      <c r="AR403" s="36" t="n"/>
      <c r="AS403" s="36" t="n"/>
      <c r="AT403" s="36" t="n"/>
      <c r="AU403" s="27" t="n"/>
      <c r="AV403" s="37" t="n"/>
      <c r="AW403" s="38">
        <f>IF(AO403="","",IF(AR403="Yes","❌ Disc",IF(AQ403="No","⚠ Missing",IF(AT403="Yes","✓ OK","⚠ Check"))))</f>
        <v/>
      </c>
    </row>
    <row r="404" ht="18" customHeight="1" s="46">
      <c r="A404" s="39" t="n">
        <v>400</v>
      </c>
      <c r="B404" s="40" t="inlineStr">
        <is>
          <t>BD-VRM-2026-0460</t>
        </is>
      </c>
      <c r="C404" s="41" t="inlineStr">
        <is>
          <t>Excel - Rock  Wallpaper ROC004</t>
        </is>
      </c>
      <c r="D404" s="39" t="inlineStr">
        <is>
          <t>Excel</t>
        </is>
      </c>
      <c r="E404" s="43" t="n">
        <v>46125</v>
      </c>
      <c r="F404" s="26" t="inlineStr">
        <is>
          <t>Sunil CR</t>
        </is>
      </c>
      <c r="G404" s="26" t="inlineStr">
        <is>
          <t>Yes</t>
        </is>
      </c>
      <c r="H404" s="26" t="inlineStr">
        <is>
          <t>No</t>
        </is>
      </c>
      <c r="I404" s="26" t="inlineStr">
        <is>
          <t>Good finish</t>
        </is>
      </c>
      <c r="J404" s="26" t="inlineStr">
        <is>
          <t>Yes</t>
        </is>
      </c>
      <c r="K404" s="27" t="n"/>
      <c r="L404" s="28" t="inlineStr">
        <is>
          <t>No</t>
        </is>
      </c>
      <c r="M404" s="29">
        <f>IF(E404="","",IF(H404="Yes","❌ Disc",IF(G404="No","⚠ Missing",IF(J404="Yes","✓ OK","⚠ Check"))))</f>
        <v/>
      </c>
      <c r="N404" s="43" t="n">
        <v>46193</v>
      </c>
      <c r="O404" s="26" t="inlineStr">
        <is>
          <t>Sunil CR</t>
        </is>
      </c>
      <c r="P404" s="26" t="inlineStr">
        <is>
          <t>Yes</t>
        </is>
      </c>
      <c r="Q404" s="26" t="inlineStr">
        <is>
          <t>No</t>
        </is>
      </c>
      <c r="R404" s="26" t="inlineStr">
        <is>
          <t>Good finish</t>
        </is>
      </c>
      <c r="S404" s="26" t="inlineStr">
        <is>
          <t>Yes</t>
        </is>
      </c>
      <c r="T404" s="27" t="n"/>
      <c r="U404" s="28" t="inlineStr">
        <is>
          <t>No</t>
        </is>
      </c>
      <c r="V404" s="29">
        <f>IF(N404="","",IF(Q404="Yes","❌ Disc",IF(P404="No","⚠ Missing",IF(S404="Yes","✓ OK","⚠ Check"))))</f>
        <v/>
      </c>
      <c r="W404" s="65" t="n">
        <v>46248</v>
      </c>
      <c r="X404" s="30" t="inlineStr">
        <is>
          <t>Sunil CR</t>
        </is>
      </c>
      <c r="Y404" s="30" t="inlineStr">
        <is>
          <t>Yes</t>
        </is>
      </c>
      <c r="Z404" s="30" t="n"/>
      <c r="AA404" s="30" t="inlineStr">
        <is>
          <t>Good finish</t>
        </is>
      </c>
      <c r="AB404" s="30" t="inlineStr">
        <is>
          <t>Yes</t>
        </is>
      </c>
      <c r="AC404" s="27" t="n"/>
      <c r="AD404" s="31" t="inlineStr">
        <is>
          <t>No</t>
        </is>
      </c>
      <c r="AE404" s="32">
        <f>IF(W404="","",IF(Z404="Yes","❌ Disc",IF(Y404="No","⚠ Missing",IF(AB404="Yes","✓ OK","⚠ Check"))))</f>
        <v/>
      </c>
      <c r="AF404" s="33" t="n"/>
      <c r="AG404" s="33" t="n"/>
      <c r="AH404" s="33" t="n"/>
      <c r="AI404" s="33" t="n"/>
      <c r="AJ404" s="33" t="n"/>
      <c r="AK404" s="33" t="n"/>
      <c r="AL404" s="27" t="n"/>
      <c r="AM404" s="34" t="n"/>
      <c r="AN404" s="35">
        <f>IF(AF404="","",IF(AI404="Yes","❌ Disc",IF(AH404="No","⚠ Missing",IF(AK404="Yes","✓ OK","⚠ Check"))))</f>
        <v/>
      </c>
      <c r="AO404" s="36" t="n"/>
      <c r="AP404" s="36" t="n"/>
      <c r="AQ404" s="36" t="n"/>
      <c r="AR404" s="36" t="n"/>
      <c r="AS404" s="36" t="n"/>
      <c r="AT404" s="36" t="n"/>
      <c r="AU404" s="27" t="n"/>
      <c r="AV404" s="37" t="n"/>
      <c r="AW404" s="38">
        <f>IF(AO404="","",IF(AR404="Yes","❌ Disc",IF(AQ404="No","⚠ Missing",IF(AT404="Yes","✓ OK","⚠ Check"))))</f>
        <v/>
      </c>
    </row>
    <row r="405" ht="18" customHeight="1" s="46">
      <c r="A405" s="23" t="n">
        <v>401</v>
      </c>
      <c r="B405" s="24" t="inlineStr">
        <is>
          <t>BD-VRM-2026-0461</t>
        </is>
      </c>
      <c r="C405" s="25" t="inlineStr">
        <is>
          <t>Excel - Rock  Wallpaper ROC005</t>
        </is>
      </c>
      <c r="D405" s="23" t="inlineStr">
        <is>
          <t>Excel</t>
        </is>
      </c>
      <c r="E405" s="43" t="n">
        <v>46125</v>
      </c>
      <c r="F405" s="26" t="inlineStr">
        <is>
          <t>Sunil CR</t>
        </is>
      </c>
      <c r="G405" s="26" t="inlineStr">
        <is>
          <t>Yes</t>
        </is>
      </c>
      <c r="H405" s="26" t="inlineStr">
        <is>
          <t>No</t>
        </is>
      </c>
      <c r="I405" s="26" t="inlineStr">
        <is>
          <t>Good finish</t>
        </is>
      </c>
      <c r="J405" s="26" t="inlineStr">
        <is>
          <t>Yes</t>
        </is>
      </c>
      <c r="K405" s="27" t="n"/>
      <c r="L405" s="28" t="inlineStr">
        <is>
          <t>No</t>
        </is>
      </c>
      <c r="M405" s="29">
        <f>IF(E405="","",IF(H405="Yes","❌ Disc",IF(G405="No","⚠ Missing",IF(J405="Yes","✓ OK","⚠ Check"))))</f>
        <v/>
      </c>
      <c r="N405" s="43" t="n">
        <v>46193</v>
      </c>
      <c r="O405" s="26" t="inlineStr">
        <is>
          <t>Sunil CR</t>
        </is>
      </c>
      <c r="P405" s="26" t="inlineStr">
        <is>
          <t>Yes</t>
        </is>
      </c>
      <c r="Q405" s="26" t="inlineStr">
        <is>
          <t>No</t>
        </is>
      </c>
      <c r="R405" s="26" t="inlineStr">
        <is>
          <t>Good finish</t>
        </is>
      </c>
      <c r="S405" s="26" t="inlineStr">
        <is>
          <t>Yes</t>
        </is>
      </c>
      <c r="T405" s="27" t="n"/>
      <c r="U405" s="28" t="inlineStr">
        <is>
          <t>No</t>
        </is>
      </c>
      <c r="V405" s="29">
        <f>IF(N405="","",IF(Q405="Yes","❌ Disc",IF(P405="No","⚠ Missing",IF(S405="Yes","✓ OK","⚠ Check"))))</f>
        <v/>
      </c>
      <c r="W405" s="65" t="n">
        <v>46248</v>
      </c>
      <c r="X405" s="30" t="inlineStr">
        <is>
          <t>Sunil CR</t>
        </is>
      </c>
      <c r="Y405" s="30" t="inlineStr">
        <is>
          <t>Yes</t>
        </is>
      </c>
      <c r="Z405" s="30" t="n"/>
      <c r="AA405" s="30" t="inlineStr">
        <is>
          <t>Good finish</t>
        </is>
      </c>
      <c r="AB405" s="30" t="inlineStr">
        <is>
          <t>Yes</t>
        </is>
      </c>
      <c r="AC405" s="27" t="n"/>
      <c r="AD405" s="31" t="inlineStr">
        <is>
          <t>No</t>
        </is>
      </c>
      <c r="AE405" s="32">
        <f>IF(W405="","",IF(Z405="Yes","❌ Disc",IF(Y405="No","⚠ Missing",IF(AB405="Yes","✓ OK","⚠ Check"))))</f>
        <v/>
      </c>
      <c r="AF405" s="33" t="n"/>
      <c r="AG405" s="33" t="n"/>
      <c r="AH405" s="33" t="n"/>
      <c r="AI405" s="33" t="n"/>
      <c r="AJ405" s="33" t="n"/>
      <c r="AK405" s="33" t="n"/>
      <c r="AL405" s="27" t="n"/>
      <c r="AM405" s="34" t="n"/>
      <c r="AN405" s="35">
        <f>IF(AF405="","",IF(AI405="Yes","❌ Disc",IF(AH405="No","⚠ Missing",IF(AK405="Yes","✓ OK","⚠ Check"))))</f>
        <v/>
      </c>
      <c r="AO405" s="36" t="n"/>
      <c r="AP405" s="36" t="n"/>
      <c r="AQ405" s="36" t="n"/>
      <c r="AR405" s="36" t="n"/>
      <c r="AS405" s="36" t="n"/>
      <c r="AT405" s="36" t="n"/>
      <c r="AU405" s="27" t="n"/>
      <c r="AV405" s="37" t="n"/>
      <c r="AW405" s="38">
        <f>IF(AO405="","",IF(AR405="Yes","❌ Disc",IF(AQ405="No","⚠ Missing",IF(AT405="Yes","✓ OK","⚠ Check"))))</f>
        <v/>
      </c>
    </row>
    <row r="406" ht="18" customHeight="1" s="46">
      <c r="A406" s="39" t="n">
        <v>402</v>
      </c>
      <c r="B406" s="40" t="inlineStr">
        <is>
          <t>BD-VRM-2026-0462</t>
        </is>
      </c>
      <c r="C406" s="41" t="inlineStr">
        <is>
          <t>Excel - Rock  Wallpaper ROC006</t>
        </is>
      </c>
      <c r="D406" s="39" t="inlineStr">
        <is>
          <t>Excel</t>
        </is>
      </c>
      <c r="E406" s="43" t="n">
        <v>46125</v>
      </c>
      <c r="F406" s="26" t="inlineStr">
        <is>
          <t>Sunil CR</t>
        </is>
      </c>
      <c r="G406" s="26" t="inlineStr">
        <is>
          <t>Yes</t>
        </is>
      </c>
      <c r="H406" s="26" t="inlineStr">
        <is>
          <t>No</t>
        </is>
      </c>
      <c r="I406" s="26" t="inlineStr">
        <is>
          <t>Good finish</t>
        </is>
      </c>
      <c r="J406" s="26" t="inlineStr">
        <is>
          <t>Yes</t>
        </is>
      </c>
      <c r="K406" s="27" t="n"/>
      <c r="L406" s="28" t="inlineStr">
        <is>
          <t>No</t>
        </is>
      </c>
      <c r="M406" s="29">
        <f>IF(E406="","",IF(H406="Yes","❌ Disc",IF(G406="No","⚠ Missing",IF(J406="Yes","✓ OK","⚠ Check"))))</f>
        <v/>
      </c>
      <c r="N406" s="43" t="n">
        <v>46193</v>
      </c>
      <c r="O406" s="26" t="inlineStr">
        <is>
          <t>Sunil CR</t>
        </is>
      </c>
      <c r="P406" s="26" t="inlineStr">
        <is>
          <t>Yes</t>
        </is>
      </c>
      <c r="Q406" s="26" t="inlineStr">
        <is>
          <t>No</t>
        </is>
      </c>
      <c r="R406" s="26" t="inlineStr">
        <is>
          <t>Good finish</t>
        </is>
      </c>
      <c r="S406" s="26" t="inlineStr">
        <is>
          <t>Yes</t>
        </is>
      </c>
      <c r="T406" s="27" t="n"/>
      <c r="U406" s="28" t="inlineStr">
        <is>
          <t>No</t>
        </is>
      </c>
      <c r="V406" s="29">
        <f>IF(N406="","",IF(Q406="Yes","❌ Disc",IF(P406="No","⚠ Missing",IF(S406="Yes","✓ OK","⚠ Check"))))</f>
        <v/>
      </c>
      <c r="W406" s="65" t="n">
        <v>46248</v>
      </c>
      <c r="X406" s="30" t="inlineStr">
        <is>
          <t>Sunil CR</t>
        </is>
      </c>
      <c r="Y406" s="30" t="inlineStr">
        <is>
          <t>Yes</t>
        </is>
      </c>
      <c r="Z406" s="30" t="n"/>
      <c r="AA406" s="30" t="inlineStr">
        <is>
          <t>Good finish</t>
        </is>
      </c>
      <c r="AB406" s="30" t="inlineStr">
        <is>
          <t>Yes</t>
        </is>
      </c>
      <c r="AC406" s="27" t="n"/>
      <c r="AD406" s="31" t="inlineStr">
        <is>
          <t>No</t>
        </is>
      </c>
      <c r="AE406" s="32">
        <f>IF(W406="","",IF(Z406="Yes","❌ Disc",IF(Y406="No","⚠ Missing",IF(AB406="Yes","✓ OK","⚠ Check"))))</f>
        <v/>
      </c>
      <c r="AF406" s="33" t="n"/>
      <c r="AG406" s="33" t="n"/>
      <c r="AH406" s="33" t="n"/>
      <c r="AI406" s="33" t="n"/>
      <c r="AJ406" s="33" t="n"/>
      <c r="AK406" s="33" t="n"/>
      <c r="AL406" s="27" t="n"/>
      <c r="AM406" s="34" t="n"/>
      <c r="AN406" s="35">
        <f>IF(AF406="","",IF(AI406="Yes","❌ Disc",IF(AH406="No","⚠ Missing",IF(AK406="Yes","✓ OK","⚠ Check"))))</f>
        <v/>
      </c>
      <c r="AO406" s="36" t="n"/>
      <c r="AP406" s="36" t="n"/>
      <c r="AQ406" s="36" t="n"/>
      <c r="AR406" s="36" t="n"/>
      <c r="AS406" s="36" t="n"/>
      <c r="AT406" s="36" t="n"/>
      <c r="AU406" s="27" t="n"/>
      <c r="AV406" s="37" t="n"/>
      <c r="AW406" s="38">
        <f>IF(AO406="","",IF(AR406="Yes","❌ Disc",IF(AQ406="No","⚠ Missing",IF(AT406="Yes","✓ OK","⚠ Check"))))</f>
        <v/>
      </c>
    </row>
    <row r="407" ht="18" customHeight="1" s="46">
      <c r="A407" s="23" t="n">
        <v>403</v>
      </c>
      <c r="B407" s="24" t="inlineStr">
        <is>
          <t>BD-VRM-2026-0463</t>
        </is>
      </c>
      <c r="C407" s="25" t="inlineStr">
        <is>
          <t>Excel - Rock  Wallpaper ROC007</t>
        </is>
      </c>
      <c r="D407" s="23" t="inlineStr">
        <is>
          <t>Excel</t>
        </is>
      </c>
      <c r="E407" s="43" t="n">
        <v>46125</v>
      </c>
      <c r="F407" s="26" t="inlineStr">
        <is>
          <t>Sunil CR</t>
        </is>
      </c>
      <c r="G407" s="26" t="inlineStr">
        <is>
          <t>Yes</t>
        </is>
      </c>
      <c r="H407" s="26" t="inlineStr">
        <is>
          <t>No</t>
        </is>
      </c>
      <c r="I407" s="26" t="inlineStr">
        <is>
          <t>Good finish</t>
        </is>
      </c>
      <c r="J407" s="26" t="inlineStr">
        <is>
          <t>Yes</t>
        </is>
      </c>
      <c r="K407" s="27" t="n"/>
      <c r="L407" s="28" t="inlineStr">
        <is>
          <t>No</t>
        </is>
      </c>
      <c r="M407" s="29">
        <f>IF(E407="","",IF(H407="Yes","❌ Disc",IF(G407="No","⚠ Missing",IF(J407="Yes","✓ OK","⚠ Check"))))</f>
        <v/>
      </c>
      <c r="N407" s="43" t="n">
        <v>46193</v>
      </c>
      <c r="O407" s="26" t="inlineStr">
        <is>
          <t>Sunil CR</t>
        </is>
      </c>
      <c r="P407" s="26" t="inlineStr">
        <is>
          <t>Yes</t>
        </is>
      </c>
      <c r="Q407" s="26" t="inlineStr">
        <is>
          <t>No</t>
        </is>
      </c>
      <c r="R407" s="26" t="inlineStr">
        <is>
          <t>Good finish</t>
        </is>
      </c>
      <c r="S407" s="26" t="inlineStr">
        <is>
          <t>Yes</t>
        </is>
      </c>
      <c r="T407" s="27" t="n"/>
      <c r="U407" s="28" t="inlineStr">
        <is>
          <t>No</t>
        </is>
      </c>
      <c r="V407" s="29">
        <f>IF(N407="","",IF(Q407="Yes","❌ Disc",IF(P407="No","⚠ Missing",IF(S407="Yes","✓ OK","⚠ Check"))))</f>
        <v/>
      </c>
      <c r="W407" s="65" t="n">
        <v>46248</v>
      </c>
      <c r="X407" s="30" t="inlineStr">
        <is>
          <t>Sunil CR</t>
        </is>
      </c>
      <c r="Y407" s="30" t="inlineStr">
        <is>
          <t>Yes</t>
        </is>
      </c>
      <c r="Z407" s="30" t="n"/>
      <c r="AA407" s="30" t="inlineStr">
        <is>
          <t>Good finish</t>
        </is>
      </c>
      <c r="AB407" s="30" t="inlineStr">
        <is>
          <t>Yes</t>
        </is>
      </c>
      <c r="AC407" s="27" t="n"/>
      <c r="AD407" s="31" t="inlineStr">
        <is>
          <t>No</t>
        </is>
      </c>
      <c r="AE407" s="32">
        <f>IF(W407="","",IF(Z407="Yes","❌ Disc",IF(Y407="No","⚠ Missing",IF(AB407="Yes","✓ OK","⚠ Check"))))</f>
        <v/>
      </c>
      <c r="AF407" s="33" t="n"/>
      <c r="AG407" s="33" t="n"/>
      <c r="AH407" s="33" t="n"/>
      <c r="AI407" s="33" t="n"/>
      <c r="AJ407" s="33" t="n"/>
      <c r="AK407" s="33" t="n"/>
      <c r="AL407" s="27" t="n"/>
      <c r="AM407" s="34" t="n"/>
      <c r="AN407" s="35">
        <f>IF(AF407="","",IF(AI407="Yes","❌ Disc",IF(AH407="No","⚠ Missing",IF(AK407="Yes","✓ OK","⚠ Check"))))</f>
        <v/>
      </c>
      <c r="AO407" s="36" t="n"/>
      <c r="AP407" s="36" t="n"/>
      <c r="AQ407" s="36" t="n"/>
      <c r="AR407" s="36" t="n"/>
      <c r="AS407" s="36" t="n"/>
      <c r="AT407" s="36" t="n"/>
      <c r="AU407" s="27" t="n"/>
      <c r="AV407" s="37" t="n"/>
      <c r="AW407" s="38">
        <f>IF(AO407="","",IF(AR407="Yes","❌ Disc",IF(AQ407="No","⚠ Missing",IF(AT407="Yes","✓ OK","⚠ Check"))))</f>
        <v/>
      </c>
    </row>
    <row r="408" ht="18" customHeight="1" s="46">
      <c r="A408" s="39" t="n">
        <v>404</v>
      </c>
      <c r="B408" s="40" t="inlineStr">
        <is>
          <t>BD-VRM-2026-0464</t>
        </is>
      </c>
      <c r="C408" s="41" t="inlineStr">
        <is>
          <t>Excel - Rock  Wallpaper ROC008</t>
        </is>
      </c>
      <c r="D408" s="39" t="inlineStr">
        <is>
          <t>Excel</t>
        </is>
      </c>
      <c r="E408" s="43" t="n">
        <v>46125</v>
      </c>
      <c r="F408" s="26" t="inlineStr">
        <is>
          <t>Sunil CR</t>
        </is>
      </c>
      <c r="G408" s="26" t="inlineStr">
        <is>
          <t>Yes</t>
        </is>
      </c>
      <c r="H408" s="26" t="inlineStr">
        <is>
          <t>No</t>
        </is>
      </c>
      <c r="I408" s="26" t="inlineStr">
        <is>
          <t>Good finish</t>
        </is>
      </c>
      <c r="J408" s="26" t="inlineStr">
        <is>
          <t>Yes</t>
        </is>
      </c>
      <c r="K408" s="27" t="n"/>
      <c r="L408" s="28" t="inlineStr">
        <is>
          <t>No</t>
        </is>
      </c>
      <c r="M408" s="29">
        <f>IF(E408="","",IF(H408="Yes","❌ Disc",IF(G408="No","⚠ Missing",IF(J408="Yes","✓ OK","⚠ Check"))))</f>
        <v/>
      </c>
      <c r="N408" s="43" t="n">
        <v>46193</v>
      </c>
      <c r="O408" s="26" t="inlineStr">
        <is>
          <t>Sunil CR</t>
        </is>
      </c>
      <c r="P408" s="26" t="inlineStr">
        <is>
          <t>Yes</t>
        </is>
      </c>
      <c r="Q408" s="26" t="inlineStr">
        <is>
          <t>No</t>
        </is>
      </c>
      <c r="R408" s="26" t="inlineStr">
        <is>
          <t>Good finish</t>
        </is>
      </c>
      <c r="S408" s="26" t="inlineStr">
        <is>
          <t>Yes</t>
        </is>
      </c>
      <c r="T408" s="27" t="n"/>
      <c r="U408" s="28" t="inlineStr">
        <is>
          <t>No</t>
        </is>
      </c>
      <c r="V408" s="29">
        <f>IF(N408="","",IF(Q408="Yes","❌ Disc",IF(P408="No","⚠ Missing",IF(S408="Yes","✓ OK","⚠ Check"))))</f>
        <v/>
      </c>
      <c r="W408" s="65" t="n">
        <v>46248</v>
      </c>
      <c r="X408" s="30" t="inlineStr">
        <is>
          <t>Sunil CR</t>
        </is>
      </c>
      <c r="Y408" s="30" t="inlineStr">
        <is>
          <t>Yes</t>
        </is>
      </c>
      <c r="Z408" s="30" t="n"/>
      <c r="AA408" s="30" t="inlineStr">
        <is>
          <t>Good finish</t>
        </is>
      </c>
      <c r="AB408" s="30" t="inlineStr">
        <is>
          <t>Yes</t>
        </is>
      </c>
      <c r="AC408" s="27" t="n"/>
      <c r="AD408" s="31" t="inlineStr">
        <is>
          <t>No</t>
        </is>
      </c>
      <c r="AE408" s="32">
        <f>IF(W408="","",IF(Z408="Yes","❌ Disc",IF(Y408="No","⚠ Missing",IF(AB408="Yes","✓ OK","⚠ Check"))))</f>
        <v/>
      </c>
      <c r="AF408" s="33" t="n"/>
      <c r="AG408" s="33" t="n"/>
      <c r="AH408" s="33" t="n"/>
      <c r="AI408" s="33" t="n"/>
      <c r="AJ408" s="33" t="n"/>
      <c r="AK408" s="33" t="n"/>
      <c r="AL408" s="27" t="n"/>
      <c r="AM408" s="34" t="n"/>
      <c r="AN408" s="35">
        <f>IF(AF408="","",IF(AI408="Yes","❌ Disc",IF(AH408="No","⚠ Missing",IF(AK408="Yes","✓ OK","⚠ Check"))))</f>
        <v/>
      </c>
      <c r="AO408" s="36" t="n"/>
      <c r="AP408" s="36" t="n"/>
      <c r="AQ408" s="36" t="n"/>
      <c r="AR408" s="36" t="n"/>
      <c r="AS408" s="36" t="n"/>
      <c r="AT408" s="36" t="n"/>
      <c r="AU408" s="27" t="n"/>
      <c r="AV408" s="37" t="n"/>
      <c r="AW408" s="38">
        <f>IF(AO408="","",IF(AR408="Yes","❌ Disc",IF(AQ408="No","⚠ Missing",IF(AT408="Yes","✓ OK","⚠ Check"))))</f>
        <v/>
      </c>
    </row>
    <row r="409" ht="18" customHeight="1" s="46">
      <c r="A409" s="23" t="n">
        <v>405</v>
      </c>
      <c r="B409" s="24" t="inlineStr">
        <is>
          <t>BD-VRM-2026-0465</t>
        </is>
      </c>
      <c r="C409" s="25" t="inlineStr">
        <is>
          <t>Excel - Rock  Wallpaper ROC009</t>
        </is>
      </c>
      <c r="D409" s="23" t="inlineStr">
        <is>
          <t>Excel</t>
        </is>
      </c>
      <c r="E409" s="43" t="n">
        <v>46125</v>
      </c>
      <c r="F409" s="26" t="inlineStr">
        <is>
          <t>Sunil CR</t>
        </is>
      </c>
      <c r="G409" s="26" t="inlineStr">
        <is>
          <t>Yes</t>
        </is>
      </c>
      <c r="H409" s="26" t="inlineStr">
        <is>
          <t>No</t>
        </is>
      </c>
      <c r="I409" s="26" t="inlineStr">
        <is>
          <t>Good finish</t>
        </is>
      </c>
      <c r="J409" s="26" t="inlineStr">
        <is>
          <t>Yes</t>
        </is>
      </c>
      <c r="K409" s="27" t="n"/>
      <c r="L409" s="28" t="inlineStr">
        <is>
          <t>No</t>
        </is>
      </c>
      <c r="M409" s="29">
        <f>IF(E409="","",IF(H409="Yes","❌ Disc",IF(G409="No","⚠ Missing",IF(J409="Yes","✓ OK","⚠ Check"))))</f>
        <v/>
      </c>
      <c r="N409" s="43" t="n">
        <v>46193</v>
      </c>
      <c r="O409" s="26" t="inlineStr">
        <is>
          <t>Sunil CR</t>
        </is>
      </c>
      <c r="P409" s="26" t="inlineStr">
        <is>
          <t>Yes</t>
        </is>
      </c>
      <c r="Q409" s="26" t="inlineStr">
        <is>
          <t>No</t>
        </is>
      </c>
      <c r="R409" s="26" t="inlineStr">
        <is>
          <t>Good finish</t>
        </is>
      </c>
      <c r="S409" s="26" t="inlineStr">
        <is>
          <t>Yes</t>
        </is>
      </c>
      <c r="T409" s="27" t="n"/>
      <c r="U409" s="28" t="inlineStr">
        <is>
          <t>No</t>
        </is>
      </c>
      <c r="V409" s="29">
        <f>IF(N409="","",IF(Q409="Yes","❌ Disc",IF(P409="No","⚠ Missing",IF(S409="Yes","✓ OK","⚠ Check"))))</f>
        <v/>
      </c>
      <c r="W409" s="65" t="n">
        <v>46248</v>
      </c>
      <c r="X409" s="30" t="inlineStr">
        <is>
          <t>Sunil CR</t>
        </is>
      </c>
      <c r="Y409" s="30" t="inlineStr">
        <is>
          <t>Yes</t>
        </is>
      </c>
      <c r="Z409" s="30" t="n"/>
      <c r="AA409" s="30" t="inlineStr">
        <is>
          <t>Good finish</t>
        </is>
      </c>
      <c r="AB409" s="30" t="inlineStr">
        <is>
          <t>Yes</t>
        </is>
      </c>
      <c r="AC409" s="27" t="n"/>
      <c r="AD409" s="31" t="inlineStr">
        <is>
          <t>No</t>
        </is>
      </c>
      <c r="AE409" s="32">
        <f>IF(W409="","",IF(Z409="Yes","❌ Disc",IF(Y409="No","⚠ Missing",IF(AB409="Yes","✓ OK","⚠ Check"))))</f>
        <v/>
      </c>
      <c r="AF409" s="33" t="n"/>
      <c r="AG409" s="33" t="n"/>
      <c r="AH409" s="33" t="n"/>
      <c r="AI409" s="33" t="n"/>
      <c r="AJ409" s="33" t="n"/>
      <c r="AK409" s="33" t="n"/>
      <c r="AL409" s="27" t="n"/>
      <c r="AM409" s="34" t="n"/>
      <c r="AN409" s="35">
        <f>IF(AF409="","",IF(AI409="Yes","❌ Disc",IF(AH409="No","⚠ Missing",IF(AK409="Yes","✓ OK","⚠ Check"))))</f>
        <v/>
      </c>
      <c r="AO409" s="36" t="n"/>
      <c r="AP409" s="36" t="n"/>
      <c r="AQ409" s="36" t="n"/>
      <c r="AR409" s="36" t="n"/>
      <c r="AS409" s="36" t="n"/>
      <c r="AT409" s="36" t="n"/>
      <c r="AU409" s="27" t="n"/>
      <c r="AV409" s="37" t="n"/>
      <c r="AW409" s="38">
        <f>IF(AO409="","",IF(AR409="Yes","❌ Disc",IF(AQ409="No","⚠ Missing",IF(AT409="Yes","✓ OK","⚠ Check"))))</f>
        <v/>
      </c>
    </row>
    <row r="410" ht="18" customHeight="1" s="46">
      <c r="A410" s="39" t="n">
        <v>406</v>
      </c>
      <c r="B410" s="40" t="inlineStr">
        <is>
          <t>BD-VRM-2026-0466</t>
        </is>
      </c>
      <c r="C410" s="41" t="inlineStr">
        <is>
          <t>Excel - Rock  Wallpaper ROC010</t>
        </is>
      </c>
      <c r="D410" s="39" t="inlineStr">
        <is>
          <t>Excel</t>
        </is>
      </c>
      <c r="E410" s="43" t="n">
        <v>46125</v>
      </c>
      <c r="F410" s="26" t="inlineStr">
        <is>
          <t>Sunil CR</t>
        </is>
      </c>
      <c r="G410" s="26" t="inlineStr">
        <is>
          <t>Yes</t>
        </is>
      </c>
      <c r="H410" s="26" t="inlineStr">
        <is>
          <t>No</t>
        </is>
      </c>
      <c r="I410" s="26" t="inlineStr">
        <is>
          <t>Good finish</t>
        </is>
      </c>
      <c r="J410" s="26" t="inlineStr">
        <is>
          <t>Yes</t>
        </is>
      </c>
      <c r="K410" s="27" t="n"/>
      <c r="L410" s="28" t="inlineStr">
        <is>
          <t>No</t>
        </is>
      </c>
      <c r="M410" s="29">
        <f>IF(E410="","",IF(H410="Yes","❌ Disc",IF(G410="No","⚠ Missing",IF(J410="Yes","✓ OK","⚠ Check"))))</f>
        <v/>
      </c>
      <c r="N410" s="43" t="n">
        <v>46193</v>
      </c>
      <c r="O410" s="26" t="inlineStr">
        <is>
          <t>Sunil CR</t>
        </is>
      </c>
      <c r="P410" s="26" t="inlineStr">
        <is>
          <t>Yes</t>
        </is>
      </c>
      <c r="Q410" s="26" t="inlineStr">
        <is>
          <t>No</t>
        </is>
      </c>
      <c r="R410" s="26" t="inlineStr">
        <is>
          <t>Good finish</t>
        </is>
      </c>
      <c r="S410" s="26" t="inlineStr">
        <is>
          <t>Yes</t>
        </is>
      </c>
      <c r="T410" s="27" t="n"/>
      <c r="U410" s="28" t="inlineStr">
        <is>
          <t>No</t>
        </is>
      </c>
      <c r="V410" s="29">
        <f>IF(N410="","",IF(Q410="Yes","❌ Disc",IF(P410="No","⚠ Missing",IF(S410="Yes","✓ OK","⚠ Check"))))</f>
        <v/>
      </c>
      <c r="W410" s="65" t="n">
        <v>46248</v>
      </c>
      <c r="X410" s="30" t="inlineStr">
        <is>
          <t>Sunil CR</t>
        </is>
      </c>
      <c r="Y410" s="30" t="inlineStr">
        <is>
          <t>Yes</t>
        </is>
      </c>
      <c r="Z410" s="30" t="n"/>
      <c r="AA410" s="30" t="inlineStr">
        <is>
          <t>Good finish</t>
        </is>
      </c>
      <c r="AB410" s="30" t="inlineStr">
        <is>
          <t>Yes</t>
        </is>
      </c>
      <c r="AC410" s="27" t="n"/>
      <c r="AD410" s="31" t="inlineStr">
        <is>
          <t>No</t>
        </is>
      </c>
      <c r="AE410" s="32">
        <f>IF(W410="","",IF(Z410="Yes","❌ Disc",IF(Y410="No","⚠ Missing",IF(AB410="Yes","✓ OK","⚠ Check"))))</f>
        <v/>
      </c>
      <c r="AF410" s="33" t="n"/>
      <c r="AG410" s="33" t="n"/>
      <c r="AH410" s="33" t="n"/>
      <c r="AI410" s="33" t="n"/>
      <c r="AJ410" s="33" t="n"/>
      <c r="AK410" s="33" t="n"/>
      <c r="AL410" s="27" t="n"/>
      <c r="AM410" s="34" t="n"/>
      <c r="AN410" s="35">
        <f>IF(AF410="","",IF(AI410="Yes","❌ Disc",IF(AH410="No","⚠ Missing",IF(AK410="Yes","✓ OK","⚠ Check"))))</f>
        <v/>
      </c>
      <c r="AO410" s="36" t="n"/>
      <c r="AP410" s="36" t="n"/>
      <c r="AQ410" s="36" t="n"/>
      <c r="AR410" s="36" t="n"/>
      <c r="AS410" s="36" t="n"/>
      <c r="AT410" s="36" t="n"/>
      <c r="AU410" s="27" t="n"/>
      <c r="AV410" s="37" t="n"/>
      <c r="AW410" s="38">
        <f>IF(AO410="","",IF(AR410="Yes","❌ Disc",IF(AQ410="No","⚠ Missing",IF(AT410="Yes","✓ OK","⚠ Check"))))</f>
        <v/>
      </c>
    </row>
    <row r="411" ht="18" customHeight="1" s="46">
      <c r="A411" s="23" t="n">
        <v>407</v>
      </c>
      <c r="B411" s="24" t="inlineStr">
        <is>
          <t>BD-VRM-2026-0481</t>
        </is>
      </c>
      <c r="C411" s="25" t="inlineStr">
        <is>
          <t>Excel - Rock  Wallpaper ROC101</t>
        </is>
      </c>
      <c r="D411" s="23" t="inlineStr">
        <is>
          <t>Excel</t>
        </is>
      </c>
      <c r="E411" s="43" t="n">
        <v>46125</v>
      </c>
      <c r="F411" s="26" t="inlineStr">
        <is>
          <t>Sunil CR</t>
        </is>
      </c>
      <c r="G411" s="26" t="inlineStr">
        <is>
          <t>Yes</t>
        </is>
      </c>
      <c r="H411" s="26" t="inlineStr">
        <is>
          <t>No</t>
        </is>
      </c>
      <c r="I411" s="26" t="inlineStr">
        <is>
          <t>Good finish</t>
        </is>
      </c>
      <c r="J411" s="26" t="inlineStr">
        <is>
          <t>Yes</t>
        </is>
      </c>
      <c r="K411" s="27" t="n"/>
      <c r="L411" s="28" t="inlineStr">
        <is>
          <t>No</t>
        </is>
      </c>
      <c r="M411" s="29">
        <f>IF(E411="","",IF(H411="Yes","❌ Disc",IF(G411="No","⚠ Missing",IF(J411="Yes","✓ OK","⚠ Check"))))</f>
        <v/>
      </c>
      <c r="N411" s="43" t="n">
        <v>46193</v>
      </c>
      <c r="O411" s="26" t="inlineStr">
        <is>
          <t>Sunil CR</t>
        </is>
      </c>
      <c r="P411" s="26" t="inlineStr">
        <is>
          <t>Yes</t>
        </is>
      </c>
      <c r="Q411" s="26" t="inlineStr">
        <is>
          <t>No</t>
        </is>
      </c>
      <c r="R411" s="26" t="inlineStr">
        <is>
          <t>Good finish</t>
        </is>
      </c>
      <c r="S411" s="26" t="inlineStr">
        <is>
          <t>Yes</t>
        </is>
      </c>
      <c r="T411" s="27" t="n"/>
      <c r="U411" s="28" t="inlineStr">
        <is>
          <t>No</t>
        </is>
      </c>
      <c r="V411" s="29">
        <f>IF(N411="","",IF(Q411="Yes","❌ Disc",IF(P411="No","⚠ Missing",IF(S411="Yes","✓ OK","⚠ Check"))))</f>
        <v/>
      </c>
      <c r="W411" s="65" t="n">
        <v>46248</v>
      </c>
      <c r="X411" s="30" t="inlineStr">
        <is>
          <t>Sunil CR</t>
        </is>
      </c>
      <c r="Y411" s="30" t="inlineStr">
        <is>
          <t>Yes</t>
        </is>
      </c>
      <c r="Z411" s="30" t="n"/>
      <c r="AA411" s="30" t="inlineStr">
        <is>
          <t>Good finish</t>
        </is>
      </c>
      <c r="AB411" s="30" t="inlineStr">
        <is>
          <t>Yes</t>
        </is>
      </c>
      <c r="AC411" s="27" t="n"/>
      <c r="AD411" s="31" t="inlineStr">
        <is>
          <t>No</t>
        </is>
      </c>
      <c r="AE411" s="32">
        <f>IF(W411="","",IF(Z411="Yes","❌ Disc",IF(Y411="No","⚠ Missing",IF(AB411="Yes","✓ OK","⚠ Check"))))</f>
        <v/>
      </c>
      <c r="AF411" s="33" t="n"/>
      <c r="AG411" s="33" t="n"/>
      <c r="AH411" s="33" t="n"/>
      <c r="AI411" s="33" t="n"/>
      <c r="AJ411" s="33" t="n"/>
      <c r="AK411" s="33" t="n"/>
      <c r="AL411" s="27" t="n"/>
      <c r="AM411" s="34" t="n"/>
      <c r="AN411" s="35">
        <f>IF(AF411="","",IF(AI411="Yes","❌ Disc",IF(AH411="No","⚠ Missing",IF(AK411="Yes","✓ OK","⚠ Check"))))</f>
        <v/>
      </c>
      <c r="AO411" s="36" t="n"/>
      <c r="AP411" s="36" t="n"/>
      <c r="AQ411" s="36" t="n"/>
      <c r="AR411" s="36" t="n"/>
      <c r="AS411" s="36" t="n"/>
      <c r="AT411" s="36" t="n"/>
      <c r="AU411" s="27" t="n"/>
      <c r="AV411" s="37" t="n"/>
      <c r="AW411" s="38">
        <f>IF(AO411="","",IF(AR411="Yes","❌ Disc",IF(AQ411="No","⚠ Missing",IF(AT411="Yes","✓ OK","⚠ Check"))))</f>
        <v/>
      </c>
    </row>
    <row r="412" ht="18" customHeight="1" s="46">
      <c r="A412" s="39" t="n">
        <v>408</v>
      </c>
      <c r="B412" s="40" t="inlineStr">
        <is>
          <t>BD-VRM-2026-0482</t>
        </is>
      </c>
      <c r="C412" s="41" t="inlineStr">
        <is>
          <t>Excel - Rock  Wallpaper ROC102</t>
        </is>
      </c>
      <c r="D412" s="39" t="inlineStr">
        <is>
          <t>Excel</t>
        </is>
      </c>
      <c r="E412" s="43" t="n">
        <v>46125</v>
      </c>
      <c r="F412" s="26" t="inlineStr">
        <is>
          <t>Sunil CR</t>
        </is>
      </c>
      <c r="G412" s="26" t="inlineStr">
        <is>
          <t>Yes</t>
        </is>
      </c>
      <c r="H412" s="26" t="inlineStr">
        <is>
          <t>No</t>
        </is>
      </c>
      <c r="I412" s="26" t="inlineStr">
        <is>
          <t>Good finish</t>
        </is>
      </c>
      <c r="J412" s="26" t="inlineStr">
        <is>
          <t>Yes</t>
        </is>
      </c>
      <c r="K412" s="27" t="n"/>
      <c r="L412" s="28" t="inlineStr">
        <is>
          <t>No</t>
        </is>
      </c>
      <c r="M412" s="29">
        <f>IF(E412="","",IF(H412="Yes","❌ Disc",IF(G412="No","⚠ Missing",IF(J412="Yes","✓ OK","⚠ Check"))))</f>
        <v/>
      </c>
      <c r="N412" s="43" t="n">
        <v>46193</v>
      </c>
      <c r="O412" s="26" t="inlineStr">
        <is>
          <t>Sunil CR</t>
        </is>
      </c>
      <c r="P412" s="26" t="inlineStr">
        <is>
          <t>Yes</t>
        </is>
      </c>
      <c r="Q412" s="26" t="inlineStr">
        <is>
          <t>No</t>
        </is>
      </c>
      <c r="R412" s="26" t="inlineStr">
        <is>
          <t>Good finish</t>
        </is>
      </c>
      <c r="S412" s="26" t="inlineStr">
        <is>
          <t>Yes</t>
        </is>
      </c>
      <c r="T412" s="27" t="n"/>
      <c r="U412" s="28" t="inlineStr">
        <is>
          <t>No</t>
        </is>
      </c>
      <c r="V412" s="29">
        <f>IF(N412="","",IF(Q412="Yes","❌ Disc",IF(P412="No","⚠ Missing",IF(S412="Yes","✓ OK","⚠ Check"))))</f>
        <v/>
      </c>
      <c r="W412" s="65" t="n">
        <v>46248</v>
      </c>
      <c r="X412" s="30" t="inlineStr">
        <is>
          <t>Sunil CR</t>
        </is>
      </c>
      <c r="Y412" s="30" t="inlineStr">
        <is>
          <t>Yes</t>
        </is>
      </c>
      <c r="Z412" s="30" t="n"/>
      <c r="AA412" s="30" t="inlineStr">
        <is>
          <t>Good finish</t>
        </is>
      </c>
      <c r="AB412" s="30" t="inlineStr">
        <is>
          <t>Yes</t>
        </is>
      </c>
      <c r="AC412" s="27" t="n"/>
      <c r="AD412" s="31" t="inlineStr">
        <is>
          <t>No</t>
        </is>
      </c>
      <c r="AE412" s="32">
        <f>IF(W412="","",IF(Z412="Yes","❌ Disc",IF(Y412="No","⚠ Missing",IF(AB412="Yes","✓ OK","⚠ Check"))))</f>
        <v/>
      </c>
      <c r="AF412" s="33" t="n"/>
      <c r="AG412" s="33" t="n"/>
      <c r="AH412" s="33" t="n"/>
      <c r="AI412" s="33" t="n"/>
      <c r="AJ412" s="33" t="n"/>
      <c r="AK412" s="33" t="n"/>
      <c r="AL412" s="27" t="n"/>
      <c r="AM412" s="34" t="n"/>
      <c r="AN412" s="35">
        <f>IF(AF412="","",IF(AI412="Yes","❌ Disc",IF(AH412="No","⚠ Missing",IF(AK412="Yes","✓ OK","⚠ Check"))))</f>
        <v/>
      </c>
      <c r="AO412" s="36" t="n"/>
      <c r="AP412" s="36" t="n"/>
      <c r="AQ412" s="36" t="n"/>
      <c r="AR412" s="36" t="n"/>
      <c r="AS412" s="36" t="n"/>
      <c r="AT412" s="36" t="n"/>
      <c r="AU412" s="27" t="n"/>
      <c r="AV412" s="37" t="n"/>
      <c r="AW412" s="38">
        <f>IF(AO412="","",IF(AR412="Yes","❌ Disc",IF(AQ412="No","⚠ Missing",IF(AT412="Yes","✓ OK","⚠ Check"))))</f>
        <v/>
      </c>
    </row>
    <row r="413" ht="18" customHeight="1" s="46">
      <c r="A413" s="23" t="n">
        <v>409</v>
      </c>
      <c r="B413" s="24" t="inlineStr">
        <is>
          <t>BD-VRM-2026-0483</t>
        </is>
      </c>
      <c r="C413" s="25" t="inlineStr">
        <is>
          <t>Excel - Rock  Wallpaper ROC103</t>
        </is>
      </c>
      <c r="D413" s="23" t="inlineStr">
        <is>
          <t>Excel</t>
        </is>
      </c>
      <c r="E413" s="43" t="n">
        <v>46125</v>
      </c>
      <c r="F413" s="26" t="inlineStr">
        <is>
          <t>Sunil CR</t>
        </is>
      </c>
      <c r="G413" s="26" t="inlineStr">
        <is>
          <t>Yes</t>
        </is>
      </c>
      <c r="H413" s="26" t="inlineStr">
        <is>
          <t>No</t>
        </is>
      </c>
      <c r="I413" s="26" t="inlineStr">
        <is>
          <t>Good finish</t>
        </is>
      </c>
      <c r="J413" s="26" t="inlineStr">
        <is>
          <t>Yes</t>
        </is>
      </c>
      <c r="K413" s="27" t="n"/>
      <c r="L413" s="28" t="inlineStr">
        <is>
          <t>No</t>
        </is>
      </c>
      <c r="M413" s="29">
        <f>IF(E413="","",IF(H413="Yes","❌ Disc",IF(G413="No","⚠ Missing",IF(J413="Yes","✓ OK","⚠ Check"))))</f>
        <v/>
      </c>
      <c r="N413" s="43" t="n">
        <v>46193</v>
      </c>
      <c r="O413" s="26" t="inlineStr">
        <is>
          <t>Sunil CR</t>
        </is>
      </c>
      <c r="P413" s="26" t="inlineStr">
        <is>
          <t>Yes</t>
        </is>
      </c>
      <c r="Q413" s="26" t="inlineStr">
        <is>
          <t>No</t>
        </is>
      </c>
      <c r="R413" s="26" t="inlineStr">
        <is>
          <t>Good finish</t>
        </is>
      </c>
      <c r="S413" s="26" t="inlineStr">
        <is>
          <t>Yes</t>
        </is>
      </c>
      <c r="T413" s="27" t="n"/>
      <c r="U413" s="28" t="inlineStr">
        <is>
          <t>No</t>
        </is>
      </c>
      <c r="V413" s="29">
        <f>IF(N413="","",IF(Q413="Yes","❌ Disc",IF(P413="No","⚠ Missing",IF(S413="Yes","✓ OK","⚠ Check"))))</f>
        <v/>
      </c>
      <c r="W413" s="65" t="n">
        <v>46248</v>
      </c>
      <c r="X413" s="30" t="inlineStr">
        <is>
          <t>Sunil CR</t>
        </is>
      </c>
      <c r="Y413" s="30" t="inlineStr">
        <is>
          <t>Yes</t>
        </is>
      </c>
      <c r="Z413" s="30" t="n"/>
      <c r="AA413" s="30" t="inlineStr">
        <is>
          <t>Good finish</t>
        </is>
      </c>
      <c r="AB413" s="30" t="inlineStr">
        <is>
          <t>Yes</t>
        </is>
      </c>
      <c r="AC413" s="27" t="n"/>
      <c r="AD413" s="31" t="inlineStr">
        <is>
          <t>No</t>
        </is>
      </c>
      <c r="AE413" s="32">
        <f>IF(W413="","",IF(Z413="Yes","❌ Disc",IF(Y413="No","⚠ Missing",IF(AB413="Yes","✓ OK","⚠ Check"))))</f>
        <v/>
      </c>
      <c r="AF413" s="33" t="n"/>
      <c r="AG413" s="33" t="n"/>
      <c r="AH413" s="33" t="n"/>
      <c r="AI413" s="33" t="n"/>
      <c r="AJ413" s="33" t="n"/>
      <c r="AK413" s="33" t="n"/>
      <c r="AL413" s="27" t="n"/>
      <c r="AM413" s="34" t="n"/>
      <c r="AN413" s="35">
        <f>IF(AF413="","",IF(AI413="Yes","❌ Disc",IF(AH413="No","⚠ Missing",IF(AK413="Yes","✓ OK","⚠ Check"))))</f>
        <v/>
      </c>
      <c r="AO413" s="36" t="n"/>
      <c r="AP413" s="36" t="n"/>
      <c r="AQ413" s="36" t="n"/>
      <c r="AR413" s="36" t="n"/>
      <c r="AS413" s="36" t="n"/>
      <c r="AT413" s="36" t="n"/>
      <c r="AU413" s="27" t="n"/>
      <c r="AV413" s="37" t="n"/>
      <c r="AW413" s="38">
        <f>IF(AO413="","",IF(AR413="Yes","❌ Disc",IF(AQ413="No","⚠ Missing",IF(AT413="Yes","✓ OK","⚠ Check"))))</f>
        <v/>
      </c>
    </row>
    <row r="414" ht="18" customHeight="1" s="46">
      <c r="A414" s="39" t="n">
        <v>410</v>
      </c>
      <c r="B414" s="40" t="inlineStr">
        <is>
          <t>BD-VRM-2026-0484</t>
        </is>
      </c>
      <c r="C414" s="41" t="inlineStr">
        <is>
          <t>Excel - Rock  Wallpaper ROC104</t>
        </is>
      </c>
      <c r="D414" s="39" t="inlineStr">
        <is>
          <t>Excel</t>
        </is>
      </c>
      <c r="E414" s="43" t="n">
        <v>46125</v>
      </c>
      <c r="F414" s="26" t="inlineStr">
        <is>
          <t>Sunil CR</t>
        </is>
      </c>
      <c r="G414" s="26" t="inlineStr">
        <is>
          <t>Yes</t>
        </is>
      </c>
      <c r="H414" s="26" t="inlineStr">
        <is>
          <t>No</t>
        </is>
      </c>
      <c r="I414" s="26" t="inlineStr">
        <is>
          <t>Good finish</t>
        </is>
      </c>
      <c r="J414" s="26" t="inlineStr">
        <is>
          <t>Yes</t>
        </is>
      </c>
      <c r="K414" s="27" t="n"/>
      <c r="L414" s="28" t="inlineStr">
        <is>
          <t>No</t>
        </is>
      </c>
      <c r="M414" s="29">
        <f>IF(E414="","",IF(H414="Yes","❌ Disc",IF(G414="No","⚠ Missing",IF(J414="Yes","✓ OK","⚠ Check"))))</f>
        <v/>
      </c>
      <c r="N414" s="43" t="n">
        <v>46193</v>
      </c>
      <c r="O414" s="26" t="inlineStr">
        <is>
          <t>Sunil CR</t>
        </is>
      </c>
      <c r="P414" s="26" t="inlineStr">
        <is>
          <t>Yes</t>
        </is>
      </c>
      <c r="Q414" s="26" t="inlineStr">
        <is>
          <t>No</t>
        </is>
      </c>
      <c r="R414" s="26" t="inlineStr">
        <is>
          <t>Good finish</t>
        </is>
      </c>
      <c r="S414" s="26" t="inlineStr">
        <is>
          <t>Yes</t>
        </is>
      </c>
      <c r="T414" s="27" t="n"/>
      <c r="U414" s="28" t="inlineStr">
        <is>
          <t>No</t>
        </is>
      </c>
      <c r="V414" s="29">
        <f>IF(N414="","",IF(Q414="Yes","❌ Disc",IF(P414="No","⚠ Missing",IF(S414="Yes","✓ OK","⚠ Check"))))</f>
        <v/>
      </c>
      <c r="W414" s="65" t="n">
        <v>46248</v>
      </c>
      <c r="X414" s="30" t="inlineStr">
        <is>
          <t>Sunil CR</t>
        </is>
      </c>
      <c r="Y414" s="30" t="inlineStr">
        <is>
          <t>Yes</t>
        </is>
      </c>
      <c r="Z414" s="30" t="n"/>
      <c r="AA414" s="30" t="inlineStr">
        <is>
          <t>Good finish</t>
        </is>
      </c>
      <c r="AB414" s="30" t="inlineStr">
        <is>
          <t>Yes</t>
        </is>
      </c>
      <c r="AC414" s="27" t="n"/>
      <c r="AD414" s="31" t="inlineStr">
        <is>
          <t>No</t>
        </is>
      </c>
      <c r="AE414" s="32">
        <f>IF(W414="","",IF(Z414="Yes","❌ Disc",IF(Y414="No","⚠ Missing",IF(AB414="Yes","✓ OK","⚠ Check"))))</f>
        <v/>
      </c>
      <c r="AF414" s="33" t="n"/>
      <c r="AG414" s="33" t="n"/>
      <c r="AH414" s="33" t="n"/>
      <c r="AI414" s="33" t="n"/>
      <c r="AJ414" s="33" t="n"/>
      <c r="AK414" s="33" t="n"/>
      <c r="AL414" s="27" t="n"/>
      <c r="AM414" s="34" t="n"/>
      <c r="AN414" s="35">
        <f>IF(AF414="","",IF(AI414="Yes","❌ Disc",IF(AH414="No","⚠ Missing",IF(AK414="Yes","✓ OK","⚠ Check"))))</f>
        <v/>
      </c>
      <c r="AO414" s="36" t="n"/>
      <c r="AP414" s="36" t="n"/>
      <c r="AQ414" s="36" t="n"/>
      <c r="AR414" s="36" t="n"/>
      <c r="AS414" s="36" t="n"/>
      <c r="AT414" s="36" t="n"/>
      <c r="AU414" s="27" t="n"/>
      <c r="AV414" s="37" t="n"/>
      <c r="AW414" s="38">
        <f>IF(AO414="","",IF(AR414="Yes","❌ Disc",IF(AQ414="No","⚠ Missing",IF(AT414="Yes","✓ OK","⚠ Check"))))</f>
        <v/>
      </c>
    </row>
    <row r="415" ht="18" customHeight="1" s="46">
      <c r="A415" s="23" t="n">
        <v>411</v>
      </c>
      <c r="B415" s="24" t="inlineStr">
        <is>
          <t>BD-VRM-2026-0476</t>
        </is>
      </c>
      <c r="C415" s="25" t="inlineStr">
        <is>
          <t>Excel - Rock  Wallpaper ROC201</t>
        </is>
      </c>
      <c r="D415" s="23" t="inlineStr">
        <is>
          <t>Excel</t>
        </is>
      </c>
      <c r="E415" s="43" t="n">
        <v>46125</v>
      </c>
      <c r="F415" s="26" t="inlineStr">
        <is>
          <t>Sunil CR</t>
        </is>
      </c>
      <c r="G415" s="26" t="inlineStr">
        <is>
          <t>Yes</t>
        </is>
      </c>
      <c r="H415" s="26" t="inlineStr">
        <is>
          <t>No</t>
        </is>
      </c>
      <c r="I415" s="26" t="inlineStr">
        <is>
          <t>Good finish</t>
        </is>
      </c>
      <c r="J415" s="26" t="inlineStr">
        <is>
          <t>Yes</t>
        </is>
      </c>
      <c r="K415" s="27" t="n"/>
      <c r="L415" s="28" t="inlineStr">
        <is>
          <t>No</t>
        </is>
      </c>
      <c r="M415" s="29">
        <f>IF(E415="","",IF(H415="Yes","❌ Disc",IF(G415="No","⚠ Missing",IF(J415="Yes","✓ OK","⚠ Check"))))</f>
        <v/>
      </c>
      <c r="N415" s="43" t="n">
        <v>46193</v>
      </c>
      <c r="O415" s="26" t="inlineStr">
        <is>
          <t>Sunil CR</t>
        </is>
      </c>
      <c r="P415" s="26" t="inlineStr">
        <is>
          <t>Yes</t>
        </is>
      </c>
      <c r="Q415" s="26" t="inlineStr">
        <is>
          <t>No</t>
        </is>
      </c>
      <c r="R415" s="26" t="inlineStr">
        <is>
          <t>Good finish</t>
        </is>
      </c>
      <c r="S415" s="26" t="inlineStr">
        <is>
          <t>Yes</t>
        </is>
      </c>
      <c r="T415" s="27" t="n"/>
      <c r="U415" s="28" t="inlineStr">
        <is>
          <t>No</t>
        </is>
      </c>
      <c r="V415" s="29">
        <f>IF(N415="","",IF(Q415="Yes","❌ Disc",IF(P415="No","⚠ Missing",IF(S415="Yes","✓ OK","⚠ Check"))))</f>
        <v/>
      </c>
      <c r="W415" s="65" t="n">
        <v>46248</v>
      </c>
      <c r="X415" s="30" t="inlineStr">
        <is>
          <t>Sunil CR</t>
        </is>
      </c>
      <c r="Y415" s="30" t="inlineStr">
        <is>
          <t>Yes</t>
        </is>
      </c>
      <c r="Z415" s="30" t="n"/>
      <c r="AA415" s="30" t="inlineStr">
        <is>
          <t>Good finish</t>
        </is>
      </c>
      <c r="AB415" s="30" t="inlineStr">
        <is>
          <t>Yes</t>
        </is>
      </c>
      <c r="AC415" s="27" t="n"/>
      <c r="AD415" s="31" t="inlineStr">
        <is>
          <t>No</t>
        </is>
      </c>
      <c r="AE415" s="32">
        <f>IF(W415="","",IF(Z415="Yes","❌ Disc",IF(Y415="No","⚠ Missing",IF(AB415="Yes","✓ OK","⚠ Check"))))</f>
        <v/>
      </c>
      <c r="AF415" s="33" t="n"/>
      <c r="AG415" s="33" t="n"/>
      <c r="AH415" s="33" t="n"/>
      <c r="AI415" s="33" t="n"/>
      <c r="AJ415" s="33" t="n"/>
      <c r="AK415" s="33" t="n"/>
      <c r="AL415" s="27" t="n"/>
      <c r="AM415" s="34" t="n"/>
      <c r="AN415" s="35">
        <f>IF(AF415="","",IF(AI415="Yes","❌ Disc",IF(AH415="No","⚠ Missing",IF(AK415="Yes","✓ OK","⚠ Check"))))</f>
        <v/>
      </c>
      <c r="AO415" s="36" t="n"/>
      <c r="AP415" s="36" t="n"/>
      <c r="AQ415" s="36" t="n"/>
      <c r="AR415" s="36" t="n"/>
      <c r="AS415" s="36" t="n"/>
      <c r="AT415" s="36" t="n"/>
      <c r="AU415" s="27" t="n"/>
      <c r="AV415" s="37" t="n"/>
      <c r="AW415" s="38">
        <f>IF(AO415="","",IF(AR415="Yes","❌ Disc",IF(AQ415="No","⚠ Missing",IF(AT415="Yes","✓ OK","⚠ Check"))))</f>
        <v/>
      </c>
    </row>
    <row r="416" ht="18" customHeight="1" s="46">
      <c r="A416" s="39" t="n">
        <v>412</v>
      </c>
      <c r="B416" s="40" t="inlineStr">
        <is>
          <t>BD-VRM-2026-0477</t>
        </is>
      </c>
      <c r="C416" s="41" t="inlineStr">
        <is>
          <t>Excel - Rock  Wallpaper ROC202</t>
        </is>
      </c>
      <c r="D416" s="39" t="inlineStr">
        <is>
          <t>Excel</t>
        </is>
      </c>
      <c r="E416" s="43" t="n">
        <v>46125</v>
      </c>
      <c r="F416" s="26" t="inlineStr">
        <is>
          <t>Sunil CR</t>
        </is>
      </c>
      <c r="G416" s="26" t="inlineStr">
        <is>
          <t>Yes</t>
        </is>
      </c>
      <c r="H416" s="26" t="inlineStr">
        <is>
          <t>No</t>
        </is>
      </c>
      <c r="I416" s="26" t="inlineStr">
        <is>
          <t>Good finish</t>
        </is>
      </c>
      <c r="J416" s="26" t="inlineStr">
        <is>
          <t>Yes</t>
        </is>
      </c>
      <c r="K416" s="27" t="n"/>
      <c r="L416" s="28" t="inlineStr">
        <is>
          <t>No</t>
        </is>
      </c>
      <c r="M416" s="29">
        <f>IF(E416="","",IF(H416="Yes","❌ Disc",IF(G416="No","⚠ Missing",IF(J416="Yes","✓ OK","⚠ Check"))))</f>
        <v/>
      </c>
      <c r="N416" s="43" t="n">
        <v>46193</v>
      </c>
      <c r="O416" s="26" t="inlineStr">
        <is>
          <t>Sunil CR</t>
        </is>
      </c>
      <c r="P416" s="26" t="inlineStr">
        <is>
          <t>Yes</t>
        </is>
      </c>
      <c r="Q416" s="26" t="inlineStr">
        <is>
          <t>No</t>
        </is>
      </c>
      <c r="R416" s="26" t="inlineStr">
        <is>
          <t>Good finish</t>
        </is>
      </c>
      <c r="S416" s="26" t="inlineStr">
        <is>
          <t>Yes</t>
        </is>
      </c>
      <c r="T416" s="27" t="n"/>
      <c r="U416" s="28" t="inlineStr">
        <is>
          <t>No</t>
        </is>
      </c>
      <c r="V416" s="29">
        <f>IF(N416="","",IF(Q416="Yes","❌ Disc",IF(P416="No","⚠ Missing",IF(S416="Yes","✓ OK","⚠ Check"))))</f>
        <v/>
      </c>
      <c r="W416" s="65" t="n">
        <v>46248</v>
      </c>
      <c r="X416" s="30" t="inlineStr">
        <is>
          <t>Sunil CR</t>
        </is>
      </c>
      <c r="Y416" s="30" t="inlineStr">
        <is>
          <t>Yes</t>
        </is>
      </c>
      <c r="Z416" s="30" t="n"/>
      <c r="AA416" s="30" t="inlineStr">
        <is>
          <t>Good finish</t>
        </is>
      </c>
      <c r="AB416" s="30" t="inlineStr">
        <is>
          <t>Yes</t>
        </is>
      </c>
      <c r="AC416" s="27" t="n"/>
      <c r="AD416" s="31" t="inlineStr">
        <is>
          <t>No</t>
        </is>
      </c>
      <c r="AE416" s="32">
        <f>IF(W416="","",IF(Z416="Yes","❌ Disc",IF(Y416="No","⚠ Missing",IF(AB416="Yes","✓ OK","⚠ Check"))))</f>
        <v/>
      </c>
      <c r="AF416" s="33" t="n"/>
      <c r="AG416" s="33" t="n"/>
      <c r="AH416" s="33" t="n"/>
      <c r="AI416" s="33" t="n"/>
      <c r="AJ416" s="33" t="n"/>
      <c r="AK416" s="33" t="n"/>
      <c r="AL416" s="27" t="n"/>
      <c r="AM416" s="34" t="n"/>
      <c r="AN416" s="35">
        <f>IF(AF416="","",IF(AI416="Yes","❌ Disc",IF(AH416="No","⚠ Missing",IF(AK416="Yes","✓ OK","⚠ Check"))))</f>
        <v/>
      </c>
      <c r="AO416" s="36" t="n"/>
      <c r="AP416" s="36" t="n"/>
      <c r="AQ416" s="36" t="n"/>
      <c r="AR416" s="36" t="n"/>
      <c r="AS416" s="36" t="n"/>
      <c r="AT416" s="36" t="n"/>
      <c r="AU416" s="27" t="n"/>
      <c r="AV416" s="37" t="n"/>
      <c r="AW416" s="38">
        <f>IF(AO416="","",IF(AR416="Yes","❌ Disc",IF(AQ416="No","⚠ Missing",IF(AT416="Yes","✓ OK","⚠ Check"))))</f>
        <v/>
      </c>
    </row>
    <row r="417" ht="18" customHeight="1" s="46">
      <c r="A417" s="23" t="n">
        <v>413</v>
      </c>
      <c r="B417" s="24" t="inlineStr">
        <is>
          <t>BD-VRM-2026-0478</t>
        </is>
      </c>
      <c r="C417" s="25" t="inlineStr">
        <is>
          <t>Excel - Rock  Wallpaper ROC203</t>
        </is>
      </c>
      <c r="D417" s="23" t="inlineStr">
        <is>
          <t>Excel</t>
        </is>
      </c>
      <c r="E417" s="43" t="n">
        <v>46125</v>
      </c>
      <c r="F417" s="26" t="inlineStr">
        <is>
          <t>Sunil CR</t>
        </is>
      </c>
      <c r="G417" s="26" t="inlineStr">
        <is>
          <t>Yes</t>
        </is>
      </c>
      <c r="H417" s="26" t="inlineStr">
        <is>
          <t>No</t>
        </is>
      </c>
      <c r="I417" s="26" t="inlineStr">
        <is>
          <t>Good finish</t>
        </is>
      </c>
      <c r="J417" s="26" t="inlineStr">
        <is>
          <t>Yes</t>
        </is>
      </c>
      <c r="K417" s="27" t="n"/>
      <c r="L417" s="28" t="inlineStr">
        <is>
          <t>No</t>
        </is>
      </c>
      <c r="M417" s="29">
        <f>IF(E417="","",IF(H417="Yes","❌ Disc",IF(G417="No","⚠ Missing",IF(J417="Yes","✓ OK","⚠ Check"))))</f>
        <v/>
      </c>
      <c r="N417" s="43" t="n">
        <v>46193</v>
      </c>
      <c r="O417" s="26" t="inlineStr">
        <is>
          <t>Sunil CR</t>
        </is>
      </c>
      <c r="P417" s="26" t="inlineStr">
        <is>
          <t>Yes</t>
        </is>
      </c>
      <c r="Q417" s="26" t="inlineStr">
        <is>
          <t>No</t>
        </is>
      </c>
      <c r="R417" s="26" t="inlineStr">
        <is>
          <t>Good finish</t>
        </is>
      </c>
      <c r="S417" s="26" t="inlineStr">
        <is>
          <t>Yes</t>
        </is>
      </c>
      <c r="T417" s="27" t="n"/>
      <c r="U417" s="28" t="inlineStr">
        <is>
          <t>No</t>
        </is>
      </c>
      <c r="V417" s="29">
        <f>IF(N417="","",IF(Q417="Yes","❌ Disc",IF(P417="No","⚠ Missing",IF(S417="Yes","✓ OK","⚠ Check"))))</f>
        <v/>
      </c>
      <c r="W417" s="65" t="n">
        <v>46248</v>
      </c>
      <c r="X417" s="30" t="inlineStr">
        <is>
          <t>Sunil CR</t>
        </is>
      </c>
      <c r="Y417" s="30" t="inlineStr">
        <is>
          <t>Yes</t>
        </is>
      </c>
      <c r="Z417" s="30" t="n"/>
      <c r="AA417" s="30" t="inlineStr">
        <is>
          <t>Good finish</t>
        </is>
      </c>
      <c r="AB417" s="30" t="inlineStr">
        <is>
          <t>Yes</t>
        </is>
      </c>
      <c r="AC417" s="27" t="n"/>
      <c r="AD417" s="31" t="inlineStr">
        <is>
          <t>No</t>
        </is>
      </c>
      <c r="AE417" s="32">
        <f>IF(W417="","",IF(Z417="Yes","❌ Disc",IF(Y417="No","⚠ Missing",IF(AB417="Yes","✓ OK","⚠ Check"))))</f>
        <v/>
      </c>
      <c r="AF417" s="33" t="n"/>
      <c r="AG417" s="33" t="n"/>
      <c r="AH417" s="33" t="n"/>
      <c r="AI417" s="33" t="n"/>
      <c r="AJ417" s="33" t="n"/>
      <c r="AK417" s="33" t="n"/>
      <c r="AL417" s="27" t="n"/>
      <c r="AM417" s="34" t="n"/>
      <c r="AN417" s="35">
        <f>IF(AF417="","",IF(AI417="Yes","❌ Disc",IF(AH417="No","⚠ Missing",IF(AK417="Yes","✓ OK","⚠ Check"))))</f>
        <v/>
      </c>
      <c r="AO417" s="36" t="n"/>
      <c r="AP417" s="36" t="n"/>
      <c r="AQ417" s="36" t="n"/>
      <c r="AR417" s="36" t="n"/>
      <c r="AS417" s="36" t="n"/>
      <c r="AT417" s="36" t="n"/>
      <c r="AU417" s="27" t="n"/>
      <c r="AV417" s="37" t="n"/>
      <c r="AW417" s="38">
        <f>IF(AO417="","",IF(AR417="Yes","❌ Disc",IF(AQ417="No","⚠ Missing",IF(AT417="Yes","✓ OK","⚠ Check"))))</f>
        <v/>
      </c>
    </row>
    <row r="418" ht="18" customHeight="1" s="46">
      <c r="A418" s="39" t="n">
        <v>414</v>
      </c>
      <c r="B418" s="40" t="inlineStr">
        <is>
          <t>BD-VRM-2026-0479</t>
        </is>
      </c>
      <c r="C418" s="41" t="inlineStr">
        <is>
          <t>Excel - Rock  Wallpaper ROC204</t>
        </is>
      </c>
      <c r="D418" s="39" t="inlineStr">
        <is>
          <t>Excel</t>
        </is>
      </c>
      <c r="E418" s="43" t="n">
        <v>46125</v>
      </c>
      <c r="F418" s="26" t="inlineStr">
        <is>
          <t>Sunil CR</t>
        </is>
      </c>
      <c r="G418" s="26" t="inlineStr">
        <is>
          <t>Yes</t>
        </is>
      </c>
      <c r="H418" s="26" t="inlineStr">
        <is>
          <t>No</t>
        </is>
      </c>
      <c r="I418" s="26" t="inlineStr">
        <is>
          <t>Good finish</t>
        </is>
      </c>
      <c r="J418" s="26" t="inlineStr">
        <is>
          <t>Yes</t>
        </is>
      </c>
      <c r="K418" s="27" t="n"/>
      <c r="L418" s="28" t="inlineStr">
        <is>
          <t>No</t>
        </is>
      </c>
      <c r="M418" s="29">
        <f>IF(E418="","",IF(H418="Yes","❌ Disc",IF(G418="No","⚠ Missing",IF(J418="Yes","✓ OK","⚠ Check"))))</f>
        <v/>
      </c>
      <c r="N418" s="43" t="n">
        <v>46193</v>
      </c>
      <c r="O418" s="26" t="inlineStr">
        <is>
          <t>Sunil CR</t>
        </is>
      </c>
      <c r="P418" s="26" t="inlineStr">
        <is>
          <t>Yes</t>
        </is>
      </c>
      <c r="Q418" s="26" t="inlineStr">
        <is>
          <t>No</t>
        </is>
      </c>
      <c r="R418" s="26" t="inlineStr">
        <is>
          <t>Good finish</t>
        </is>
      </c>
      <c r="S418" s="26" t="inlineStr">
        <is>
          <t>Yes</t>
        </is>
      </c>
      <c r="T418" s="27" t="n"/>
      <c r="U418" s="28" t="inlineStr">
        <is>
          <t>No</t>
        </is>
      </c>
      <c r="V418" s="29">
        <f>IF(N418="","",IF(Q418="Yes","❌ Disc",IF(P418="No","⚠ Missing",IF(S418="Yes","✓ OK","⚠ Check"))))</f>
        <v/>
      </c>
      <c r="W418" s="65" t="n">
        <v>46248</v>
      </c>
      <c r="X418" s="30" t="inlineStr">
        <is>
          <t>Sunil CR</t>
        </is>
      </c>
      <c r="Y418" s="30" t="inlineStr">
        <is>
          <t>Yes</t>
        </is>
      </c>
      <c r="Z418" s="30" t="n"/>
      <c r="AA418" s="30" t="inlineStr">
        <is>
          <t>Good finish</t>
        </is>
      </c>
      <c r="AB418" s="30" t="inlineStr">
        <is>
          <t>Yes</t>
        </is>
      </c>
      <c r="AC418" s="27" t="n"/>
      <c r="AD418" s="31" t="inlineStr">
        <is>
          <t>No</t>
        </is>
      </c>
      <c r="AE418" s="32">
        <f>IF(W418="","",IF(Z418="Yes","❌ Disc",IF(Y418="No","⚠ Missing",IF(AB418="Yes","✓ OK","⚠ Check"))))</f>
        <v/>
      </c>
      <c r="AF418" s="33" t="n"/>
      <c r="AG418" s="33" t="n"/>
      <c r="AH418" s="33" t="n"/>
      <c r="AI418" s="33" t="n"/>
      <c r="AJ418" s="33" t="n"/>
      <c r="AK418" s="33" t="n"/>
      <c r="AL418" s="27" t="n"/>
      <c r="AM418" s="34" t="n"/>
      <c r="AN418" s="35">
        <f>IF(AF418="","",IF(AI418="Yes","❌ Disc",IF(AH418="No","⚠ Missing",IF(AK418="Yes","✓ OK","⚠ Check"))))</f>
        <v/>
      </c>
      <c r="AO418" s="36" t="n"/>
      <c r="AP418" s="36" t="n"/>
      <c r="AQ418" s="36" t="n"/>
      <c r="AR418" s="36" t="n"/>
      <c r="AS418" s="36" t="n"/>
      <c r="AT418" s="36" t="n"/>
      <c r="AU418" s="27" t="n"/>
      <c r="AV418" s="37" t="n"/>
      <c r="AW418" s="38">
        <f>IF(AO418="","",IF(AR418="Yes","❌ Disc",IF(AQ418="No","⚠ Missing",IF(AT418="Yes","✓ OK","⚠ Check"))))</f>
        <v/>
      </c>
    </row>
    <row r="419" ht="18" customHeight="1" s="46">
      <c r="A419" s="23" t="n">
        <v>415</v>
      </c>
      <c r="B419" s="24" t="inlineStr">
        <is>
          <t>BD-VRM-2026-0480</t>
        </is>
      </c>
      <c r="C419" s="25" t="inlineStr">
        <is>
          <t>Excel - Rock  Wallpaper ROC205</t>
        </is>
      </c>
      <c r="D419" s="23" t="inlineStr">
        <is>
          <t>Excel</t>
        </is>
      </c>
      <c r="E419" s="43" t="n">
        <v>46125</v>
      </c>
      <c r="F419" s="26" t="inlineStr">
        <is>
          <t>Sunil CR</t>
        </is>
      </c>
      <c r="G419" s="26" t="inlineStr">
        <is>
          <t>Yes</t>
        </is>
      </c>
      <c r="H419" s="26" t="inlineStr">
        <is>
          <t>No</t>
        </is>
      </c>
      <c r="I419" s="26" t="inlineStr">
        <is>
          <t>Good finish</t>
        </is>
      </c>
      <c r="J419" s="26" t="inlineStr">
        <is>
          <t>Yes</t>
        </is>
      </c>
      <c r="K419" s="27" t="n"/>
      <c r="L419" s="28" t="inlineStr">
        <is>
          <t>No</t>
        </is>
      </c>
      <c r="M419" s="29">
        <f>IF(E419="","",IF(H419="Yes","❌ Disc",IF(G419="No","⚠ Missing",IF(J419="Yes","✓ OK","⚠ Check"))))</f>
        <v/>
      </c>
      <c r="N419" s="43" t="n">
        <v>46193</v>
      </c>
      <c r="O419" s="26" t="inlineStr">
        <is>
          <t>Sunil CR</t>
        </is>
      </c>
      <c r="P419" s="26" t="inlineStr">
        <is>
          <t>Yes</t>
        </is>
      </c>
      <c r="Q419" s="26" t="inlineStr">
        <is>
          <t>No</t>
        </is>
      </c>
      <c r="R419" s="26" t="inlineStr">
        <is>
          <t>Good finish</t>
        </is>
      </c>
      <c r="S419" s="26" t="inlineStr">
        <is>
          <t>Yes</t>
        </is>
      </c>
      <c r="T419" s="27" t="n"/>
      <c r="U419" s="28" t="inlineStr">
        <is>
          <t>No</t>
        </is>
      </c>
      <c r="V419" s="29">
        <f>IF(N419="","",IF(Q419="Yes","❌ Disc",IF(P419="No","⚠ Missing",IF(S419="Yes","✓ OK","⚠ Check"))))</f>
        <v/>
      </c>
      <c r="W419" s="65" t="n">
        <v>46248</v>
      </c>
      <c r="X419" s="30" t="inlineStr">
        <is>
          <t>Sunil CR</t>
        </is>
      </c>
      <c r="Y419" s="30" t="inlineStr">
        <is>
          <t>Yes</t>
        </is>
      </c>
      <c r="Z419" s="30" t="n"/>
      <c r="AA419" s="30" t="inlineStr">
        <is>
          <t>Good finish</t>
        </is>
      </c>
      <c r="AB419" s="30" t="inlineStr">
        <is>
          <t>Yes</t>
        </is>
      </c>
      <c r="AC419" s="27" t="n"/>
      <c r="AD419" s="31" t="inlineStr">
        <is>
          <t>No</t>
        </is>
      </c>
      <c r="AE419" s="32">
        <f>IF(W419="","",IF(Z419="Yes","❌ Disc",IF(Y419="No","⚠ Missing",IF(AB419="Yes","✓ OK","⚠ Check"))))</f>
        <v/>
      </c>
      <c r="AF419" s="33" t="n"/>
      <c r="AG419" s="33" t="n"/>
      <c r="AH419" s="33" t="n"/>
      <c r="AI419" s="33" t="n"/>
      <c r="AJ419" s="33" t="n"/>
      <c r="AK419" s="33" t="n"/>
      <c r="AL419" s="27" t="n"/>
      <c r="AM419" s="34" t="n"/>
      <c r="AN419" s="35">
        <f>IF(AF419="","",IF(AI419="Yes","❌ Disc",IF(AH419="No","⚠ Missing",IF(AK419="Yes","✓ OK","⚠ Check"))))</f>
        <v/>
      </c>
      <c r="AO419" s="36" t="n"/>
      <c r="AP419" s="36" t="n"/>
      <c r="AQ419" s="36" t="n"/>
      <c r="AR419" s="36" t="n"/>
      <c r="AS419" s="36" t="n"/>
      <c r="AT419" s="36" t="n"/>
      <c r="AU419" s="27" t="n"/>
      <c r="AV419" s="37" t="n"/>
      <c r="AW419" s="38">
        <f>IF(AO419="","",IF(AR419="Yes","❌ Disc",IF(AQ419="No","⚠ Missing",IF(AT419="Yes","✓ OK","⚠ Check"))))</f>
        <v/>
      </c>
    </row>
    <row r="420" ht="18" customHeight="1" s="46">
      <c r="A420" s="39" t="n">
        <v>416</v>
      </c>
      <c r="B420" s="40" t="inlineStr">
        <is>
          <t>BD-VRM-2026-0472</t>
        </is>
      </c>
      <c r="C420" s="41" t="inlineStr">
        <is>
          <t>Excel - Rock  Wallpaper ROC301</t>
        </is>
      </c>
      <c r="D420" s="39" t="inlineStr">
        <is>
          <t>Excel</t>
        </is>
      </c>
      <c r="E420" s="43" t="n">
        <v>46125</v>
      </c>
      <c r="F420" s="26" t="inlineStr">
        <is>
          <t>Sunil CR</t>
        </is>
      </c>
      <c r="G420" s="26" t="inlineStr">
        <is>
          <t>Yes</t>
        </is>
      </c>
      <c r="H420" s="26" t="inlineStr">
        <is>
          <t>No</t>
        </is>
      </c>
      <c r="I420" s="26" t="inlineStr">
        <is>
          <t>Good finish</t>
        </is>
      </c>
      <c r="J420" s="26" t="inlineStr">
        <is>
          <t>Yes</t>
        </is>
      </c>
      <c r="K420" s="27" t="n"/>
      <c r="L420" s="28" t="inlineStr">
        <is>
          <t>No</t>
        </is>
      </c>
      <c r="M420" s="29">
        <f>IF(E420="","",IF(H420="Yes","❌ Disc",IF(G420="No","⚠ Missing",IF(J420="Yes","✓ OK","⚠ Check"))))</f>
        <v/>
      </c>
      <c r="N420" s="43" t="n">
        <v>46193</v>
      </c>
      <c r="O420" s="26" t="inlineStr">
        <is>
          <t>Sunil CR</t>
        </is>
      </c>
      <c r="P420" s="26" t="inlineStr">
        <is>
          <t>Yes</t>
        </is>
      </c>
      <c r="Q420" s="26" t="inlineStr">
        <is>
          <t>No</t>
        </is>
      </c>
      <c r="R420" s="26" t="inlineStr">
        <is>
          <t>Good finish</t>
        </is>
      </c>
      <c r="S420" s="26" t="inlineStr">
        <is>
          <t>Yes</t>
        </is>
      </c>
      <c r="T420" s="27" t="n"/>
      <c r="U420" s="28" t="inlineStr">
        <is>
          <t>No</t>
        </is>
      </c>
      <c r="V420" s="29">
        <f>IF(N420="","",IF(Q420="Yes","❌ Disc",IF(P420="No","⚠ Missing",IF(S420="Yes","✓ OK","⚠ Check"))))</f>
        <v/>
      </c>
      <c r="W420" s="65" t="n">
        <v>46248</v>
      </c>
      <c r="X420" s="30" t="inlineStr">
        <is>
          <t>Sunil CR</t>
        </is>
      </c>
      <c r="Y420" s="30" t="inlineStr">
        <is>
          <t>Yes</t>
        </is>
      </c>
      <c r="Z420" s="30" t="n"/>
      <c r="AA420" s="30" t="inlineStr">
        <is>
          <t>Good finish</t>
        </is>
      </c>
      <c r="AB420" s="30" t="inlineStr">
        <is>
          <t>Yes</t>
        </is>
      </c>
      <c r="AC420" s="27" t="n"/>
      <c r="AD420" s="31" t="inlineStr">
        <is>
          <t>No</t>
        </is>
      </c>
      <c r="AE420" s="32">
        <f>IF(W420="","",IF(Z420="Yes","❌ Disc",IF(Y420="No","⚠ Missing",IF(AB420="Yes","✓ OK","⚠ Check"))))</f>
        <v/>
      </c>
      <c r="AF420" s="33" t="n"/>
      <c r="AG420" s="33" t="n"/>
      <c r="AH420" s="33" t="n"/>
      <c r="AI420" s="33" t="n"/>
      <c r="AJ420" s="33" t="n"/>
      <c r="AK420" s="33" t="n"/>
      <c r="AL420" s="27" t="n"/>
      <c r="AM420" s="34" t="n"/>
      <c r="AN420" s="35">
        <f>IF(AF420="","",IF(AI420="Yes","❌ Disc",IF(AH420="No","⚠ Missing",IF(AK420="Yes","✓ OK","⚠ Check"))))</f>
        <v/>
      </c>
      <c r="AO420" s="36" t="n"/>
      <c r="AP420" s="36" t="n"/>
      <c r="AQ420" s="36" t="n"/>
      <c r="AR420" s="36" t="n"/>
      <c r="AS420" s="36" t="n"/>
      <c r="AT420" s="36" t="n"/>
      <c r="AU420" s="27" t="n"/>
      <c r="AV420" s="37" t="n"/>
      <c r="AW420" s="38">
        <f>IF(AO420="","",IF(AR420="Yes","❌ Disc",IF(AQ420="No","⚠ Missing",IF(AT420="Yes","✓ OK","⚠ Check"))))</f>
        <v/>
      </c>
    </row>
    <row r="421" ht="18" customHeight="1" s="46">
      <c r="A421" s="23" t="n">
        <v>417</v>
      </c>
      <c r="B421" s="24" t="inlineStr">
        <is>
          <t>BD-VRM-2026-0473</t>
        </is>
      </c>
      <c r="C421" s="25" t="inlineStr">
        <is>
          <t>Excel - Rock  Wallpaper ROC302</t>
        </is>
      </c>
      <c r="D421" s="23" t="inlineStr">
        <is>
          <t>Excel</t>
        </is>
      </c>
      <c r="E421" s="43" t="n">
        <v>46125</v>
      </c>
      <c r="F421" s="26" t="inlineStr">
        <is>
          <t>Sunil CR</t>
        </is>
      </c>
      <c r="G421" s="26" t="inlineStr">
        <is>
          <t>Yes</t>
        </is>
      </c>
      <c r="H421" s="26" t="inlineStr">
        <is>
          <t>No</t>
        </is>
      </c>
      <c r="I421" s="26" t="inlineStr">
        <is>
          <t>Good finish</t>
        </is>
      </c>
      <c r="J421" s="26" t="inlineStr">
        <is>
          <t>Yes</t>
        </is>
      </c>
      <c r="K421" s="27" t="n"/>
      <c r="L421" s="28" t="inlineStr">
        <is>
          <t>No</t>
        </is>
      </c>
      <c r="M421" s="29">
        <f>IF(E421="","",IF(H421="Yes","❌ Disc",IF(G421="No","⚠ Missing",IF(J421="Yes","✓ OK","⚠ Check"))))</f>
        <v/>
      </c>
      <c r="N421" s="43" t="n">
        <v>46193</v>
      </c>
      <c r="O421" s="26" t="inlineStr">
        <is>
          <t>Sunil CR</t>
        </is>
      </c>
      <c r="P421" s="26" t="inlineStr">
        <is>
          <t>Yes</t>
        </is>
      </c>
      <c r="Q421" s="26" t="inlineStr">
        <is>
          <t>No</t>
        </is>
      </c>
      <c r="R421" s="26" t="inlineStr">
        <is>
          <t>Good finish</t>
        </is>
      </c>
      <c r="S421" s="26" t="inlineStr">
        <is>
          <t>Yes</t>
        </is>
      </c>
      <c r="T421" s="27" t="n"/>
      <c r="U421" s="28" t="inlineStr">
        <is>
          <t>No</t>
        </is>
      </c>
      <c r="V421" s="29">
        <f>IF(N421="","",IF(Q421="Yes","❌ Disc",IF(P421="No","⚠ Missing",IF(S421="Yes","✓ OK","⚠ Check"))))</f>
        <v/>
      </c>
      <c r="W421" s="65" t="n">
        <v>46248</v>
      </c>
      <c r="X421" s="30" t="inlineStr">
        <is>
          <t>Sunil CR</t>
        </is>
      </c>
      <c r="Y421" s="30" t="inlineStr">
        <is>
          <t>Yes</t>
        </is>
      </c>
      <c r="Z421" s="30" t="n"/>
      <c r="AA421" s="30" t="inlineStr">
        <is>
          <t>Good finish</t>
        </is>
      </c>
      <c r="AB421" s="30" t="inlineStr">
        <is>
          <t>Yes</t>
        </is>
      </c>
      <c r="AC421" s="27" t="n"/>
      <c r="AD421" s="31" t="inlineStr">
        <is>
          <t>No</t>
        </is>
      </c>
      <c r="AE421" s="32">
        <f>IF(W421="","",IF(Z421="Yes","❌ Disc",IF(Y421="No","⚠ Missing",IF(AB421="Yes","✓ OK","⚠ Check"))))</f>
        <v/>
      </c>
      <c r="AF421" s="33" t="n"/>
      <c r="AG421" s="33" t="n"/>
      <c r="AH421" s="33" t="n"/>
      <c r="AI421" s="33" t="n"/>
      <c r="AJ421" s="33" t="n"/>
      <c r="AK421" s="33" t="n"/>
      <c r="AL421" s="27" t="n"/>
      <c r="AM421" s="34" t="n"/>
      <c r="AN421" s="35">
        <f>IF(AF421="","",IF(AI421="Yes","❌ Disc",IF(AH421="No","⚠ Missing",IF(AK421="Yes","✓ OK","⚠ Check"))))</f>
        <v/>
      </c>
      <c r="AO421" s="36" t="n"/>
      <c r="AP421" s="36" t="n"/>
      <c r="AQ421" s="36" t="n"/>
      <c r="AR421" s="36" t="n"/>
      <c r="AS421" s="36" t="n"/>
      <c r="AT421" s="36" t="n"/>
      <c r="AU421" s="27" t="n"/>
      <c r="AV421" s="37" t="n"/>
      <c r="AW421" s="38">
        <f>IF(AO421="","",IF(AR421="Yes","❌ Disc",IF(AQ421="No","⚠ Missing",IF(AT421="Yes","✓ OK","⚠ Check"))))</f>
        <v/>
      </c>
    </row>
    <row r="422" ht="18" customHeight="1" s="46">
      <c r="A422" s="39" t="n">
        <v>418</v>
      </c>
      <c r="B422" s="40" t="inlineStr">
        <is>
          <t>BD-VRM-2026-0474</t>
        </is>
      </c>
      <c r="C422" s="41" t="inlineStr">
        <is>
          <t>Excel - Rock  Wallpaper ROC303</t>
        </is>
      </c>
      <c r="D422" s="39" t="inlineStr">
        <is>
          <t>Excel</t>
        </is>
      </c>
      <c r="E422" s="43" t="n">
        <v>46125</v>
      </c>
      <c r="F422" s="26" t="inlineStr">
        <is>
          <t>Sunil CR</t>
        </is>
      </c>
      <c r="G422" s="26" t="inlineStr">
        <is>
          <t>Yes</t>
        </is>
      </c>
      <c r="H422" s="26" t="inlineStr">
        <is>
          <t>No</t>
        </is>
      </c>
      <c r="I422" s="26" t="inlineStr">
        <is>
          <t>Good finish</t>
        </is>
      </c>
      <c r="J422" s="26" t="inlineStr">
        <is>
          <t>Yes</t>
        </is>
      </c>
      <c r="K422" s="27" t="n"/>
      <c r="L422" s="28" t="inlineStr">
        <is>
          <t>No</t>
        </is>
      </c>
      <c r="M422" s="29">
        <f>IF(E422="","",IF(H422="Yes","❌ Disc",IF(G422="No","⚠ Missing",IF(J422="Yes","✓ OK","⚠ Check"))))</f>
        <v/>
      </c>
      <c r="N422" s="43" t="n">
        <v>46193</v>
      </c>
      <c r="O422" s="26" t="inlineStr">
        <is>
          <t>Sunil CR</t>
        </is>
      </c>
      <c r="P422" s="26" t="inlineStr">
        <is>
          <t>Yes</t>
        </is>
      </c>
      <c r="Q422" s="26" t="inlineStr">
        <is>
          <t>No</t>
        </is>
      </c>
      <c r="R422" s="26" t="inlineStr">
        <is>
          <t>Good finish</t>
        </is>
      </c>
      <c r="S422" s="26" t="inlineStr">
        <is>
          <t>Yes</t>
        </is>
      </c>
      <c r="T422" s="27" t="n"/>
      <c r="U422" s="28" t="inlineStr">
        <is>
          <t>No</t>
        </is>
      </c>
      <c r="V422" s="29">
        <f>IF(N422="","",IF(Q422="Yes","❌ Disc",IF(P422="No","⚠ Missing",IF(S422="Yes","✓ OK","⚠ Check"))))</f>
        <v/>
      </c>
      <c r="W422" s="65" t="n">
        <v>46248</v>
      </c>
      <c r="X422" s="30" t="inlineStr">
        <is>
          <t>Sunil CR</t>
        </is>
      </c>
      <c r="Y422" s="30" t="inlineStr">
        <is>
          <t>Yes</t>
        </is>
      </c>
      <c r="Z422" s="30" t="n"/>
      <c r="AA422" s="30" t="inlineStr">
        <is>
          <t>Good finish</t>
        </is>
      </c>
      <c r="AB422" s="30" t="inlineStr">
        <is>
          <t>Yes</t>
        </is>
      </c>
      <c r="AC422" s="27" t="n"/>
      <c r="AD422" s="31" t="inlineStr">
        <is>
          <t>No</t>
        </is>
      </c>
      <c r="AE422" s="32">
        <f>IF(W422="","",IF(Z422="Yes","❌ Disc",IF(Y422="No","⚠ Missing",IF(AB422="Yes","✓ OK","⚠ Check"))))</f>
        <v/>
      </c>
      <c r="AF422" s="33" t="n"/>
      <c r="AG422" s="33" t="n"/>
      <c r="AH422" s="33" t="n"/>
      <c r="AI422" s="33" t="n"/>
      <c r="AJ422" s="33" t="n"/>
      <c r="AK422" s="33" t="n"/>
      <c r="AL422" s="27" t="n"/>
      <c r="AM422" s="34" t="n"/>
      <c r="AN422" s="35">
        <f>IF(AF422="","",IF(AI422="Yes","❌ Disc",IF(AH422="No","⚠ Missing",IF(AK422="Yes","✓ OK","⚠ Check"))))</f>
        <v/>
      </c>
      <c r="AO422" s="36" t="n"/>
      <c r="AP422" s="36" t="n"/>
      <c r="AQ422" s="36" t="n"/>
      <c r="AR422" s="36" t="n"/>
      <c r="AS422" s="36" t="n"/>
      <c r="AT422" s="36" t="n"/>
      <c r="AU422" s="27" t="n"/>
      <c r="AV422" s="37" t="n"/>
      <c r="AW422" s="38">
        <f>IF(AO422="","",IF(AR422="Yes","❌ Disc",IF(AQ422="No","⚠ Missing",IF(AT422="Yes","✓ OK","⚠ Check"))))</f>
        <v/>
      </c>
    </row>
    <row r="423" ht="18" customHeight="1" s="46">
      <c r="A423" s="23" t="n">
        <v>419</v>
      </c>
      <c r="B423" s="24" t="inlineStr">
        <is>
          <t>BD-VRM-2026-0475</t>
        </is>
      </c>
      <c r="C423" s="25" t="inlineStr">
        <is>
          <t>Excel - Rock  Wallpaper ROC304</t>
        </is>
      </c>
      <c r="D423" s="23" t="inlineStr">
        <is>
          <t>Excel</t>
        </is>
      </c>
      <c r="E423" s="43" t="n">
        <v>46125</v>
      </c>
      <c r="F423" s="26" t="inlineStr">
        <is>
          <t>Sunil CR</t>
        </is>
      </c>
      <c r="G423" s="26" t="inlineStr">
        <is>
          <t>Yes</t>
        </is>
      </c>
      <c r="H423" s="26" t="inlineStr">
        <is>
          <t>No</t>
        </is>
      </c>
      <c r="I423" s="26" t="inlineStr">
        <is>
          <t>Good finish</t>
        </is>
      </c>
      <c r="J423" s="26" t="inlineStr">
        <is>
          <t>Yes</t>
        </is>
      </c>
      <c r="K423" s="27" t="n"/>
      <c r="L423" s="28" t="inlineStr">
        <is>
          <t>No</t>
        </is>
      </c>
      <c r="M423" s="29">
        <f>IF(E423="","",IF(H423="Yes","❌ Disc",IF(G423="No","⚠ Missing",IF(J423="Yes","✓ OK","⚠ Check"))))</f>
        <v/>
      </c>
      <c r="N423" s="43" t="n">
        <v>46193</v>
      </c>
      <c r="O423" s="26" t="inlineStr">
        <is>
          <t>Sunil CR</t>
        </is>
      </c>
      <c r="P423" s="26" t="inlineStr">
        <is>
          <t>Yes</t>
        </is>
      </c>
      <c r="Q423" s="26" t="inlineStr">
        <is>
          <t>No</t>
        </is>
      </c>
      <c r="R423" s="26" t="inlineStr">
        <is>
          <t>Good finish</t>
        </is>
      </c>
      <c r="S423" s="26" t="inlineStr">
        <is>
          <t>Yes</t>
        </is>
      </c>
      <c r="T423" s="27" t="n"/>
      <c r="U423" s="28" t="inlineStr">
        <is>
          <t>No</t>
        </is>
      </c>
      <c r="V423" s="29">
        <f>IF(N423="","",IF(Q423="Yes","❌ Disc",IF(P423="No","⚠ Missing",IF(S423="Yes","✓ OK","⚠ Check"))))</f>
        <v/>
      </c>
      <c r="W423" s="65" t="n">
        <v>46248</v>
      </c>
      <c r="X423" s="30" t="inlineStr">
        <is>
          <t>Sunil CR</t>
        </is>
      </c>
      <c r="Y423" s="30" t="inlineStr">
        <is>
          <t>Yes</t>
        </is>
      </c>
      <c r="Z423" s="30" t="n"/>
      <c r="AA423" s="30" t="inlineStr">
        <is>
          <t>Good finish</t>
        </is>
      </c>
      <c r="AB423" s="30" t="inlineStr">
        <is>
          <t>Yes</t>
        </is>
      </c>
      <c r="AC423" s="27" t="n"/>
      <c r="AD423" s="31" t="inlineStr">
        <is>
          <t>No</t>
        </is>
      </c>
      <c r="AE423" s="32">
        <f>IF(W423="","",IF(Z423="Yes","❌ Disc",IF(Y423="No","⚠ Missing",IF(AB423="Yes","✓ OK","⚠ Check"))))</f>
        <v/>
      </c>
      <c r="AF423" s="33" t="n"/>
      <c r="AG423" s="33" t="n"/>
      <c r="AH423" s="33" t="n"/>
      <c r="AI423" s="33" t="n"/>
      <c r="AJ423" s="33" t="n"/>
      <c r="AK423" s="33" t="n"/>
      <c r="AL423" s="27" t="n"/>
      <c r="AM423" s="34" t="n"/>
      <c r="AN423" s="35">
        <f>IF(AF423="","",IF(AI423="Yes","❌ Disc",IF(AH423="No","⚠ Missing",IF(AK423="Yes","✓ OK","⚠ Check"))))</f>
        <v/>
      </c>
      <c r="AO423" s="36" t="n"/>
      <c r="AP423" s="36" t="n"/>
      <c r="AQ423" s="36" t="n"/>
      <c r="AR423" s="36" t="n"/>
      <c r="AS423" s="36" t="n"/>
      <c r="AT423" s="36" t="n"/>
      <c r="AU423" s="27" t="n"/>
      <c r="AV423" s="37" t="n"/>
      <c r="AW423" s="38">
        <f>IF(AO423="","",IF(AR423="Yes","❌ Disc",IF(AQ423="No","⚠ Missing",IF(AT423="Yes","✓ OK","⚠ Check"))))</f>
        <v/>
      </c>
    </row>
    <row r="424" ht="18" customHeight="1" s="46">
      <c r="A424" s="39" t="n">
        <v>420</v>
      </c>
      <c r="B424" s="40" t="inlineStr">
        <is>
          <t>BD-VRM-2026-0467</t>
        </is>
      </c>
      <c r="C424" s="41" t="inlineStr">
        <is>
          <t>Excel - Rock  Wallpaper ROC401</t>
        </is>
      </c>
      <c r="D424" s="39" t="inlineStr">
        <is>
          <t>Excel</t>
        </is>
      </c>
      <c r="E424" s="43" t="n">
        <v>46125</v>
      </c>
      <c r="F424" s="26" t="inlineStr">
        <is>
          <t>Sunil CR</t>
        </is>
      </c>
      <c r="G424" s="26" t="inlineStr">
        <is>
          <t>Yes</t>
        </is>
      </c>
      <c r="H424" s="26" t="inlineStr">
        <is>
          <t>No</t>
        </is>
      </c>
      <c r="I424" s="26" t="inlineStr">
        <is>
          <t>Good finish</t>
        </is>
      </c>
      <c r="J424" s="26" t="inlineStr">
        <is>
          <t>Yes</t>
        </is>
      </c>
      <c r="K424" s="27" t="n"/>
      <c r="L424" s="28" t="inlineStr">
        <is>
          <t>No</t>
        </is>
      </c>
      <c r="M424" s="29">
        <f>IF(E424="","",IF(H424="Yes","❌ Disc",IF(G424="No","⚠ Missing",IF(J424="Yes","✓ OK","⚠ Check"))))</f>
        <v/>
      </c>
      <c r="N424" s="43" t="n">
        <v>46193</v>
      </c>
      <c r="O424" s="26" t="inlineStr">
        <is>
          <t>Sunil CR</t>
        </is>
      </c>
      <c r="P424" s="26" t="inlineStr">
        <is>
          <t>Yes</t>
        </is>
      </c>
      <c r="Q424" s="26" t="inlineStr">
        <is>
          <t>No</t>
        </is>
      </c>
      <c r="R424" s="26" t="inlineStr">
        <is>
          <t>Good finish</t>
        </is>
      </c>
      <c r="S424" s="26" t="inlineStr">
        <is>
          <t>Yes</t>
        </is>
      </c>
      <c r="T424" s="27" t="n"/>
      <c r="U424" s="28" t="inlineStr">
        <is>
          <t>No</t>
        </is>
      </c>
      <c r="V424" s="29">
        <f>IF(N424="","",IF(Q424="Yes","❌ Disc",IF(P424="No","⚠ Missing",IF(S424="Yes","✓ OK","⚠ Check"))))</f>
        <v/>
      </c>
      <c r="W424" s="65" t="n">
        <v>46248</v>
      </c>
      <c r="X424" s="30" t="inlineStr">
        <is>
          <t>Sunil CR</t>
        </is>
      </c>
      <c r="Y424" s="30" t="inlineStr">
        <is>
          <t>Yes</t>
        </is>
      </c>
      <c r="Z424" s="30" t="n"/>
      <c r="AA424" s="30" t="inlineStr">
        <is>
          <t>Good finish</t>
        </is>
      </c>
      <c r="AB424" s="30" t="inlineStr">
        <is>
          <t>Yes</t>
        </is>
      </c>
      <c r="AC424" s="27" t="n"/>
      <c r="AD424" s="31" t="inlineStr">
        <is>
          <t>No</t>
        </is>
      </c>
      <c r="AE424" s="32">
        <f>IF(W424="","",IF(Z424="Yes","❌ Disc",IF(Y424="No","⚠ Missing",IF(AB424="Yes","✓ OK","⚠ Check"))))</f>
        <v/>
      </c>
      <c r="AF424" s="33" t="n"/>
      <c r="AG424" s="33" t="n"/>
      <c r="AH424" s="33" t="n"/>
      <c r="AI424" s="33" t="n"/>
      <c r="AJ424" s="33" t="n"/>
      <c r="AK424" s="33" t="n"/>
      <c r="AL424" s="27" t="n"/>
      <c r="AM424" s="34" t="n"/>
      <c r="AN424" s="35">
        <f>IF(AF424="","",IF(AI424="Yes","❌ Disc",IF(AH424="No","⚠ Missing",IF(AK424="Yes","✓ OK","⚠ Check"))))</f>
        <v/>
      </c>
      <c r="AO424" s="36" t="n"/>
      <c r="AP424" s="36" t="n"/>
      <c r="AQ424" s="36" t="n"/>
      <c r="AR424" s="36" t="n"/>
      <c r="AS424" s="36" t="n"/>
      <c r="AT424" s="36" t="n"/>
      <c r="AU424" s="27" t="n"/>
      <c r="AV424" s="37" t="n"/>
      <c r="AW424" s="38">
        <f>IF(AO424="","",IF(AR424="Yes","❌ Disc",IF(AQ424="No","⚠ Missing",IF(AT424="Yes","✓ OK","⚠ Check"))))</f>
        <v/>
      </c>
    </row>
    <row r="425" ht="18" customHeight="1" s="46">
      <c r="A425" s="23" t="n">
        <v>421</v>
      </c>
      <c r="B425" s="24" t="inlineStr">
        <is>
          <t>BD-VRM-2026-0468</t>
        </is>
      </c>
      <c r="C425" s="25" t="inlineStr">
        <is>
          <t>Excel - Rock  Wallpaper ROC402</t>
        </is>
      </c>
      <c r="D425" s="23" t="inlineStr">
        <is>
          <t>Excel</t>
        </is>
      </c>
      <c r="E425" s="43" t="n">
        <v>46125</v>
      </c>
      <c r="F425" s="26" t="inlineStr">
        <is>
          <t>Sunil CR</t>
        </is>
      </c>
      <c r="G425" s="26" t="inlineStr">
        <is>
          <t>Yes</t>
        </is>
      </c>
      <c r="H425" s="26" t="inlineStr">
        <is>
          <t>No</t>
        </is>
      </c>
      <c r="I425" s="26" t="inlineStr">
        <is>
          <t>Good finish</t>
        </is>
      </c>
      <c r="J425" s="26" t="inlineStr">
        <is>
          <t>Yes</t>
        </is>
      </c>
      <c r="K425" s="27" t="n"/>
      <c r="L425" s="28" t="inlineStr">
        <is>
          <t>No</t>
        </is>
      </c>
      <c r="M425" s="29">
        <f>IF(E425="","",IF(H425="Yes","❌ Disc",IF(G425="No","⚠ Missing",IF(J425="Yes","✓ OK","⚠ Check"))))</f>
        <v/>
      </c>
      <c r="N425" s="43" t="n">
        <v>46193</v>
      </c>
      <c r="O425" s="26" t="inlineStr">
        <is>
          <t>Sunil CR</t>
        </is>
      </c>
      <c r="P425" s="26" t="inlineStr">
        <is>
          <t>Yes</t>
        </is>
      </c>
      <c r="Q425" s="26" t="inlineStr">
        <is>
          <t>No</t>
        </is>
      </c>
      <c r="R425" s="26" t="inlineStr">
        <is>
          <t>Good finish</t>
        </is>
      </c>
      <c r="S425" s="26" t="inlineStr">
        <is>
          <t>Yes</t>
        </is>
      </c>
      <c r="T425" s="27" t="n"/>
      <c r="U425" s="28" t="inlineStr">
        <is>
          <t>No</t>
        </is>
      </c>
      <c r="V425" s="29">
        <f>IF(N425="","",IF(Q425="Yes","❌ Disc",IF(P425="No","⚠ Missing",IF(S425="Yes","✓ OK","⚠ Check"))))</f>
        <v/>
      </c>
      <c r="W425" s="65" t="n">
        <v>46248</v>
      </c>
      <c r="X425" s="30" t="inlineStr">
        <is>
          <t>Sunil CR</t>
        </is>
      </c>
      <c r="Y425" s="30" t="inlineStr">
        <is>
          <t>Yes</t>
        </is>
      </c>
      <c r="Z425" s="30" t="n"/>
      <c r="AA425" s="30" t="inlineStr">
        <is>
          <t>Good finish</t>
        </is>
      </c>
      <c r="AB425" s="30" t="inlineStr">
        <is>
          <t>Yes</t>
        </is>
      </c>
      <c r="AC425" s="27" t="n"/>
      <c r="AD425" s="31" t="inlineStr">
        <is>
          <t>No</t>
        </is>
      </c>
      <c r="AE425" s="32">
        <f>IF(W425="","",IF(Z425="Yes","❌ Disc",IF(Y425="No","⚠ Missing",IF(AB425="Yes","✓ OK","⚠ Check"))))</f>
        <v/>
      </c>
      <c r="AF425" s="33" t="n"/>
      <c r="AG425" s="33" t="n"/>
      <c r="AH425" s="33" t="n"/>
      <c r="AI425" s="33" t="n"/>
      <c r="AJ425" s="33" t="n"/>
      <c r="AK425" s="33" t="n"/>
      <c r="AL425" s="27" t="n"/>
      <c r="AM425" s="34" t="n"/>
      <c r="AN425" s="35">
        <f>IF(AF425="","",IF(AI425="Yes","❌ Disc",IF(AH425="No","⚠ Missing",IF(AK425="Yes","✓ OK","⚠ Check"))))</f>
        <v/>
      </c>
      <c r="AO425" s="36" t="n"/>
      <c r="AP425" s="36" t="n"/>
      <c r="AQ425" s="36" t="n"/>
      <c r="AR425" s="36" t="n"/>
      <c r="AS425" s="36" t="n"/>
      <c r="AT425" s="36" t="n"/>
      <c r="AU425" s="27" t="n"/>
      <c r="AV425" s="37" t="n"/>
      <c r="AW425" s="38">
        <f>IF(AO425="","",IF(AR425="Yes","❌ Disc",IF(AQ425="No","⚠ Missing",IF(AT425="Yes","✓ OK","⚠ Check"))))</f>
        <v/>
      </c>
    </row>
    <row r="426" ht="18" customHeight="1" s="46">
      <c r="A426" s="39" t="n">
        <v>422</v>
      </c>
      <c r="B426" s="40" t="inlineStr">
        <is>
          <t>BD-VRM-2026-0469</t>
        </is>
      </c>
      <c r="C426" s="41" t="inlineStr">
        <is>
          <t>Excel - Rock  Wallpaper ROC403</t>
        </is>
      </c>
      <c r="D426" s="39" t="inlineStr">
        <is>
          <t>Excel</t>
        </is>
      </c>
      <c r="E426" s="43" t="n">
        <v>46125</v>
      </c>
      <c r="F426" s="26" t="inlineStr">
        <is>
          <t>Sunil CR</t>
        </is>
      </c>
      <c r="G426" s="26" t="inlineStr">
        <is>
          <t>Yes</t>
        </is>
      </c>
      <c r="H426" s="26" t="inlineStr">
        <is>
          <t>No</t>
        </is>
      </c>
      <c r="I426" s="26" t="inlineStr">
        <is>
          <t>Good finish</t>
        </is>
      </c>
      <c r="J426" s="26" t="inlineStr">
        <is>
          <t>Yes</t>
        </is>
      </c>
      <c r="K426" s="27" t="n"/>
      <c r="L426" s="28" t="inlineStr">
        <is>
          <t>No</t>
        </is>
      </c>
      <c r="M426" s="29">
        <f>IF(E426="","",IF(H426="Yes","❌ Disc",IF(G426="No","⚠ Missing",IF(J426="Yes","✓ OK","⚠ Check"))))</f>
        <v/>
      </c>
      <c r="N426" s="43" t="n">
        <v>46193</v>
      </c>
      <c r="O426" s="26" t="inlineStr">
        <is>
          <t>Sunil CR</t>
        </is>
      </c>
      <c r="P426" s="26" t="inlineStr">
        <is>
          <t>Yes</t>
        </is>
      </c>
      <c r="Q426" s="26" t="inlineStr">
        <is>
          <t>No</t>
        </is>
      </c>
      <c r="R426" s="26" t="inlineStr">
        <is>
          <t>Good finish</t>
        </is>
      </c>
      <c r="S426" s="26" t="inlineStr">
        <is>
          <t>Yes</t>
        </is>
      </c>
      <c r="T426" s="27" t="n"/>
      <c r="U426" s="28" t="inlineStr">
        <is>
          <t>No</t>
        </is>
      </c>
      <c r="V426" s="29">
        <f>IF(N426="","",IF(Q426="Yes","❌ Disc",IF(P426="No","⚠ Missing",IF(S426="Yes","✓ OK","⚠ Check"))))</f>
        <v/>
      </c>
      <c r="W426" s="65" t="n">
        <v>46248</v>
      </c>
      <c r="X426" s="30" t="inlineStr">
        <is>
          <t>Sunil CR</t>
        </is>
      </c>
      <c r="Y426" s="30" t="inlineStr">
        <is>
          <t>Yes</t>
        </is>
      </c>
      <c r="Z426" s="30" t="n"/>
      <c r="AA426" s="30" t="inlineStr">
        <is>
          <t>Good finish</t>
        </is>
      </c>
      <c r="AB426" s="30" t="inlineStr">
        <is>
          <t>Yes</t>
        </is>
      </c>
      <c r="AC426" s="27" t="n"/>
      <c r="AD426" s="31" t="inlineStr">
        <is>
          <t>No</t>
        </is>
      </c>
      <c r="AE426" s="32">
        <f>IF(W426="","",IF(Z426="Yes","❌ Disc",IF(Y426="No","⚠ Missing",IF(AB426="Yes","✓ OK","⚠ Check"))))</f>
        <v/>
      </c>
      <c r="AF426" s="33" t="n"/>
      <c r="AG426" s="33" t="n"/>
      <c r="AH426" s="33" t="n"/>
      <c r="AI426" s="33" t="n"/>
      <c r="AJ426" s="33" t="n"/>
      <c r="AK426" s="33" t="n"/>
      <c r="AL426" s="27" t="n"/>
      <c r="AM426" s="34" t="n"/>
      <c r="AN426" s="35">
        <f>IF(AF426="","",IF(AI426="Yes","❌ Disc",IF(AH426="No","⚠ Missing",IF(AK426="Yes","✓ OK","⚠ Check"))))</f>
        <v/>
      </c>
      <c r="AO426" s="36" t="n"/>
      <c r="AP426" s="36" t="n"/>
      <c r="AQ426" s="36" t="n"/>
      <c r="AR426" s="36" t="n"/>
      <c r="AS426" s="36" t="n"/>
      <c r="AT426" s="36" t="n"/>
      <c r="AU426" s="27" t="n"/>
      <c r="AV426" s="37" t="n"/>
      <c r="AW426" s="38">
        <f>IF(AO426="","",IF(AR426="Yes","❌ Disc",IF(AQ426="No","⚠ Missing",IF(AT426="Yes","✓ OK","⚠ Check"))))</f>
        <v/>
      </c>
    </row>
    <row r="427" ht="18" customHeight="1" s="46">
      <c r="A427" s="23" t="n">
        <v>423</v>
      </c>
      <c r="B427" s="24" t="inlineStr">
        <is>
          <t>BD-VRM-2026-0470</t>
        </is>
      </c>
      <c r="C427" s="25" t="inlineStr">
        <is>
          <t>Excel - Rock  Wallpaper ROC404</t>
        </is>
      </c>
      <c r="D427" s="23" t="inlineStr">
        <is>
          <t>Excel</t>
        </is>
      </c>
      <c r="E427" s="43" t="n">
        <v>46125</v>
      </c>
      <c r="F427" s="26" t="inlineStr">
        <is>
          <t>Sunil CR</t>
        </is>
      </c>
      <c r="G427" s="26" t="inlineStr">
        <is>
          <t>Yes</t>
        </is>
      </c>
      <c r="H427" s="26" t="inlineStr">
        <is>
          <t>No</t>
        </is>
      </c>
      <c r="I427" s="26" t="inlineStr">
        <is>
          <t>Good finish</t>
        </is>
      </c>
      <c r="J427" s="26" t="inlineStr">
        <is>
          <t>Yes</t>
        </is>
      </c>
      <c r="K427" s="27" t="n"/>
      <c r="L427" s="28" t="inlineStr">
        <is>
          <t>No</t>
        </is>
      </c>
      <c r="M427" s="29">
        <f>IF(E427="","",IF(H427="Yes","❌ Disc",IF(G427="No","⚠ Missing",IF(J427="Yes","✓ OK","⚠ Check"))))</f>
        <v/>
      </c>
      <c r="N427" s="43" t="n">
        <v>46193</v>
      </c>
      <c r="O427" s="26" t="inlineStr">
        <is>
          <t>Sunil CR</t>
        </is>
      </c>
      <c r="P427" s="26" t="inlineStr">
        <is>
          <t>Yes</t>
        </is>
      </c>
      <c r="Q427" s="26" t="inlineStr">
        <is>
          <t>No</t>
        </is>
      </c>
      <c r="R427" s="26" t="inlineStr">
        <is>
          <t>Good finish</t>
        </is>
      </c>
      <c r="S427" s="26" t="inlineStr">
        <is>
          <t>Yes</t>
        </is>
      </c>
      <c r="T427" s="27" t="n"/>
      <c r="U427" s="28" t="inlineStr">
        <is>
          <t>No</t>
        </is>
      </c>
      <c r="V427" s="29">
        <f>IF(N427="","",IF(Q427="Yes","❌ Disc",IF(P427="No","⚠ Missing",IF(S427="Yes","✓ OK","⚠ Check"))))</f>
        <v/>
      </c>
      <c r="W427" s="65" t="n">
        <v>46248</v>
      </c>
      <c r="X427" s="30" t="inlineStr">
        <is>
          <t>Sunil CR</t>
        </is>
      </c>
      <c r="Y427" s="30" t="inlineStr">
        <is>
          <t>Yes</t>
        </is>
      </c>
      <c r="Z427" s="30" t="n"/>
      <c r="AA427" s="30" t="inlineStr">
        <is>
          <t>Good finish</t>
        </is>
      </c>
      <c r="AB427" s="30" t="inlineStr">
        <is>
          <t>Yes</t>
        </is>
      </c>
      <c r="AC427" s="27" t="n"/>
      <c r="AD427" s="31" t="inlineStr">
        <is>
          <t>No</t>
        </is>
      </c>
      <c r="AE427" s="32">
        <f>IF(W427="","",IF(Z427="Yes","❌ Disc",IF(Y427="No","⚠ Missing",IF(AB427="Yes","✓ OK","⚠ Check"))))</f>
        <v/>
      </c>
      <c r="AF427" s="33" t="n"/>
      <c r="AG427" s="33" t="n"/>
      <c r="AH427" s="33" t="n"/>
      <c r="AI427" s="33" t="n"/>
      <c r="AJ427" s="33" t="n"/>
      <c r="AK427" s="33" t="n"/>
      <c r="AL427" s="27" t="n"/>
      <c r="AM427" s="34" t="n"/>
      <c r="AN427" s="35">
        <f>IF(AF427="","",IF(AI427="Yes","❌ Disc",IF(AH427="No","⚠ Missing",IF(AK427="Yes","✓ OK","⚠ Check"))))</f>
        <v/>
      </c>
      <c r="AO427" s="36" t="n"/>
      <c r="AP427" s="36" t="n"/>
      <c r="AQ427" s="36" t="n"/>
      <c r="AR427" s="36" t="n"/>
      <c r="AS427" s="36" t="n"/>
      <c r="AT427" s="36" t="n"/>
      <c r="AU427" s="27" t="n"/>
      <c r="AV427" s="37" t="n"/>
      <c r="AW427" s="38">
        <f>IF(AO427="","",IF(AR427="Yes","❌ Disc",IF(AQ427="No","⚠ Missing",IF(AT427="Yes","✓ OK","⚠ Check"))))</f>
        <v/>
      </c>
    </row>
    <row r="428" ht="18" customHeight="1" s="46">
      <c r="A428" s="39" t="n">
        <v>424</v>
      </c>
      <c r="B428" s="40" t="inlineStr">
        <is>
          <t>BD-VRM-2026-0471</t>
        </is>
      </c>
      <c r="C428" s="41" t="inlineStr">
        <is>
          <t>Excel - Rock  Wallpaper ROC405</t>
        </is>
      </c>
      <c r="D428" s="39" t="inlineStr">
        <is>
          <t>Excel</t>
        </is>
      </c>
      <c r="E428" s="43" t="n">
        <v>46125</v>
      </c>
      <c r="F428" s="26" t="inlineStr">
        <is>
          <t>Sunil CR</t>
        </is>
      </c>
      <c r="G428" s="26" t="inlineStr">
        <is>
          <t>Yes</t>
        </is>
      </c>
      <c r="H428" s="26" t="inlineStr">
        <is>
          <t>No</t>
        </is>
      </c>
      <c r="I428" s="26" t="inlineStr">
        <is>
          <t>Good finish</t>
        </is>
      </c>
      <c r="J428" s="26" t="inlineStr">
        <is>
          <t>Yes</t>
        </is>
      </c>
      <c r="K428" s="27" t="n"/>
      <c r="L428" s="28" t="inlineStr">
        <is>
          <t>No</t>
        </is>
      </c>
      <c r="M428" s="29">
        <f>IF(E428="","",IF(H428="Yes","❌ Disc",IF(G428="No","⚠ Missing",IF(J428="Yes","✓ OK","⚠ Check"))))</f>
        <v/>
      </c>
      <c r="N428" s="43" t="n">
        <v>46193</v>
      </c>
      <c r="O428" s="26" t="inlineStr">
        <is>
          <t>Sunil CR</t>
        </is>
      </c>
      <c r="P428" s="26" t="inlineStr">
        <is>
          <t>Yes</t>
        </is>
      </c>
      <c r="Q428" s="26" t="inlineStr">
        <is>
          <t>No</t>
        </is>
      </c>
      <c r="R428" s="26" t="inlineStr">
        <is>
          <t>Good finish</t>
        </is>
      </c>
      <c r="S428" s="26" t="inlineStr">
        <is>
          <t>Yes</t>
        </is>
      </c>
      <c r="T428" s="27" t="n"/>
      <c r="U428" s="28" t="inlineStr">
        <is>
          <t>No</t>
        </is>
      </c>
      <c r="V428" s="29">
        <f>IF(N428="","",IF(Q428="Yes","❌ Disc",IF(P428="No","⚠ Missing",IF(S428="Yes","✓ OK","⚠ Check"))))</f>
        <v/>
      </c>
      <c r="W428" s="65" t="n">
        <v>46248</v>
      </c>
      <c r="X428" s="30" t="inlineStr">
        <is>
          <t>Sunil CR</t>
        </is>
      </c>
      <c r="Y428" s="30" t="inlineStr">
        <is>
          <t>Yes</t>
        </is>
      </c>
      <c r="Z428" s="30" t="n"/>
      <c r="AA428" s="30" t="inlineStr">
        <is>
          <t>Good finish</t>
        </is>
      </c>
      <c r="AB428" s="30" t="inlineStr">
        <is>
          <t>Yes</t>
        </is>
      </c>
      <c r="AC428" s="27" t="n"/>
      <c r="AD428" s="31" t="inlineStr">
        <is>
          <t>No</t>
        </is>
      </c>
      <c r="AE428" s="32">
        <f>IF(W428="","",IF(Z428="Yes","❌ Disc",IF(Y428="No","⚠ Missing",IF(AB428="Yes","✓ OK","⚠ Check"))))</f>
        <v/>
      </c>
      <c r="AF428" s="33" t="n"/>
      <c r="AG428" s="33" t="n"/>
      <c r="AH428" s="33" t="n"/>
      <c r="AI428" s="33" t="n"/>
      <c r="AJ428" s="33" t="n"/>
      <c r="AK428" s="33" t="n"/>
      <c r="AL428" s="27" t="n"/>
      <c r="AM428" s="34" t="n"/>
      <c r="AN428" s="35">
        <f>IF(AF428="","",IF(AI428="Yes","❌ Disc",IF(AH428="No","⚠ Missing",IF(AK428="Yes","✓ OK","⚠ Check"))))</f>
        <v/>
      </c>
      <c r="AO428" s="36" t="n"/>
      <c r="AP428" s="36" t="n"/>
      <c r="AQ428" s="36" t="n"/>
      <c r="AR428" s="36" t="n"/>
      <c r="AS428" s="36" t="n"/>
      <c r="AT428" s="36" t="n"/>
      <c r="AU428" s="27" t="n"/>
      <c r="AV428" s="37" t="n"/>
      <c r="AW428" s="38">
        <f>IF(AO428="","",IF(AR428="Yes","❌ Disc",IF(AQ428="No","⚠ Missing",IF(AT428="Yes","✓ OK","⚠ Check"))))</f>
        <v/>
      </c>
    </row>
    <row r="429" ht="18" customHeight="1" s="46">
      <c r="A429" s="23" t="n">
        <v>425</v>
      </c>
      <c r="B429" s="24" t="inlineStr">
        <is>
          <t>BD-VRM-2026-0232</t>
        </is>
      </c>
      <c r="C429" s="25" t="inlineStr">
        <is>
          <t>Excel - Spectrum Wallpaper 5001-1</t>
        </is>
      </c>
      <c r="D429" s="23" t="inlineStr">
        <is>
          <t>Excel</t>
        </is>
      </c>
      <c r="E429" s="43" t="n">
        <v>46125</v>
      </c>
      <c r="F429" s="26" t="inlineStr">
        <is>
          <t>Sunil CR</t>
        </is>
      </c>
      <c r="G429" s="26" t="inlineStr">
        <is>
          <t>Yes</t>
        </is>
      </c>
      <c r="H429" s="26" t="inlineStr">
        <is>
          <t>No</t>
        </is>
      </c>
      <c r="I429" s="26" t="inlineStr">
        <is>
          <t>Good finish</t>
        </is>
      </c>
      <c r="J429" s="26" t="inlineStr">
        <is>
          <t>Yes</t>
        </is>
      </c>
      <c r="K429" s="27" t="n"/>
      <c r="L429" s="28" t="inlineStr">
        <is>
          <t>No</t>
        </is>
      </c>
      <c r="M429" s="29">
        <f>IF(E429="","",IF(H429="Yes","❌ Disc",IF(G429="No","⚠ Missing",IF(J429="Yes","✓ OK","⚠ Check"))))</f>
        <v/>
      </c>
      <c r="N429" s="43" t="n">
        <v>46193</v>
      </c>
      <c r="O429" s="26" t="inlineStr">
        <is>
          <t>Sunil CR</t>
        </is>
      </c>
      <c r="P429" s="26" t="inlineStr">
        <is>
          <t>Yes</t>
        </is>
      </c>
      <c r="Q429" s="26" t="inlineStr">
        <is>
          <t>No</t>
        </is>
      </c>
      <c r="R429" s="26" t="inlineStr">
        <is>
          <t>Good finish</t>
        </is>
      </c>
      <c r="S429" s="26" t="inlineStr">
        <is>
          <t>Yes</t>
        </is>
      </c>
      <c r="T429" s="27" t="n"/>
      <c r="U429" s="28" t="inlineStr">
        <is>
          <t>No</t>
        </is>
      </c>
      <c r="V429" s="29">
        <f>IF(N429="","",IF(Q429="Yes","❌ Disc",IF(P429="No","⚠ Missing",IF(S429="Yes","✓ OK","⚠ Check"))))</f>
        <v/>
      </c>
      <c r="W429" s="65" t="n">
        <v>46248</v>
      </c>
      <c r="X429" s="30" t="inlineStr">
        <is>
          <t>Sunil CR</t>
        </is>
      </c>
      <c r="Y429" s="30" t="inlineStr">
        <is>
          <t>Yes</t>
        </is>
      </c>
      <c r="Z429" s="30" t="n"/>
      <c r="AA429" s="30" t="inlineStr">
        <is>
          <t>Good finish</t>
        </is>
      </c>
      <c r="AB429" s="30" t="inlineStr">
        <is>
          <t>Yes</t>
        </is>
      </c>
      <c r="AC429" s="27" t="n"/>
      <c r="AD429" s="31" t="inlineStr">
        <is>
          <t>No</t>
        </is>
      </c>
      <c r="AE429" s="32">
        <f>IF(W429="","",IF(Z429="Yes","❌ Disc",IF(Y429="No","⚠ Missing",IF(AB429="Yes","✓ OK","⚠ Check"))))</f>
        <v/>
      </c>
      <c r="AF429" s="33" t="n"/>
      <c r="AG429" s="33" t="n"/>
      <c r="AH429" s="33" t="n"/>
      <c r="AI429" s="33" t="n"/>
      <c r="AJ429" s="33" t="n"/>
      <c r="AK429" s="33" t="n"/>
      <c r="AL429" s="27" t="n"/>
      <c r="AM429" s="34" t="n"/>
      <c r="AN429" s="35">
        <f>IF(AF429="","",IF(AI429="Yes","❌ Disc",IF(AH429="No","⚠ Missing",IF(AK429="Yes","✓ OK","⚠ Check"))))</f>
        <v/>
      </c>
      <c r="AO429" s="36" t="n"/>
      <c r="AP429" s="36" t="n"/>
      <c r="AQ429" s="36" t="n"/>
      <c r="AR429" s="36" t="n"/>
      <c r="AS429" s="36" t="n"/>
      <c r="AT429" s="36" t="n"/>
      <c r="AU429" s="27" t="n"/>
      <c r="AV429" s="37" t="n"/>
      <c r="AW429" s="38">
        <f>IF(AO429="","",IF(AR429="Yes","❌ Disc",IF(AQ429="No","⚠ Missing",IF(AT429="Yes","✓ OK","⚠ Check"))))</f>
        <v/>
      </c>
    </row>
    <row r="430" ht="18" customHeight="1" s="46">
      <c r="A430" s="39" t="n">
        <v>426</v>
      </c>
      <c r="B430" s="40" t="inlineStr">
        <is>
          <t>BD-VRM-2026-0233</t>
        </is>
      </c>
      <c r="C430" s="41" t="inlineStr">
        <is>
          <t>Excel - Spectrum Wallpaper 5001-2</t>
        </is>
      </c>
      <c r="D430" s="39" t="inlineStr">
        <is>
          <t>Excel</t>
        </is>
      </c>
      <c r="E430" s="43" t="n">
        <v>46125</v>
      </c>
      <c r="F430" s="26" t="inlineStr">
        <is>
          <t>Sunil CR</t>
        </is>
      </c>
      <c r="G430" s="26" t="inlineStr">
        <is>
          <t>Yes</t>
        </is>
      </c>
      <c r="H430" s="26" t="inlineStr">
        <is>
          <t>No</t>
        </is>
      </c>
      <c r="I430" s="26" t="inlineStr">
        <is>
          <t>Good finish</t>
        </is>
      </c>
      <c r="J430" s="26" t="inlineStr">
        <is>
          <t>Yes</t>
        </is>
      </c>
      <c r="K430" s="27" t="n"/>
      <c r="L430" s="28" t="inlineStr">
        <is>
          <t>No</t>
        </is>
      </c>
      <c r="M430" s="29">
        <f>IF(E430="","",IF(H430="Yes","❌ Disc",IF(G430="No","⚠ Missing",IF(J430="Yes","✓ OK","⚠ Check"))))</f>
        <v/>
      </c>
      <c r="N430" s="43" t="n">
        <v>46193</v>
      </c>
      <c r="O430" s="26" t="inlineStr">
        <is>
          <t>Sunil CR</t>
        </is>
      </c>
      <c r="P430" s="26" t="inlineStr">
        <is>
          <t>Yes</t>
        </is>
      </c>
      <c r="Q430" s="26" t="inlineStr">
        <is>
          <t>No</t>
        </is>
      </c>
      <c r="R430" s="26" t="inlineStr">
        <is>
          <t>Good finish</t>
        </is>
      </c>
      <c r="S430" s="26" t="inlineStr">
        <is>
          <t>Yes</t>
        </is>
      </c>
      <c r="T430" s="27" t="n"/>
      <c r="U430" s="28" t="inlineStr">
        <is>
          <t>No</t>
        </is>
      </c>
      <c r="V430" s="29">
        <f>IF(N430="","",IF(Q430="Yes","❌ Disc",IF(P430="No","⚠ Missing",IF(S430="Yes","✓ OK","⚠ Check"))))</f>
        <v/>
      </c>
      <c r="W430" s="65" t="n">
        <v>46248</v>
      </c>
      <c r="X430" s="30" t="inlineStr">
        <is>
          <t>Sunil CR</t>
        </is>
      </c>
      <c r="Y430" s="30" t="inlineStr">
        <is>
          <t>Yes</t>
        </is>
      </c>
      <c r="Z430" s="30" t="n"/>
      <c r="AA430" s="30" t="inlineStr">
        <is>
          <t>Good finish</t>
        </is>
      </c>
      <c r="AB430" s="30" t="inlineStr">
        <is>
          <t>Yes</t>
        </is>
      </c>
      <c r="AC430" s="27" t="n"/>
      <c r="AD430" s="31" t="inlineStr">
        <is>
          <t>No</t>
        </is>
      </c>
      <c r="AE430" s="32">
        <f>IF(W430="","",IF(Z430="Yes","❌ Disc",IF(Y430="No","⚠ Missing",IF(AB430="Yes","✓ OK","⚠ Check"))))</f>
        <v/>
      </c>
      <c r="AF430" s="33" t="n"/>
      <c r="AG430" s="33" t="n"/>
      <c r="AH430" s="33" t="n"/>
      <c r="AI430" s="33" t="n"/>
      <c r="AJ430" s="33" t="n"/>
      <c r="AK430" s="33" t="n"/>
      <c r="AL430" s="27" t="n"/>
      <c r="AM430" s="34" t="n"/>
      <c r="AN430" s="35">
        <f>IF(AF430="","",IF(AI430="Yes","❌ Disc",IF(AH430="No","⚠ Missing",IF(AK430="Yes","✓ OK","⚠ Check"))))</f>
        <v/>
      </c>
      <c r="AO430" s="36" t="n"/>
      <c r="AP430" s="36" t="n"/>
      <c r="AQ430" s="36" t="n"/>
      <c r="AR430" s="36" t="n"/>
      <c r="AS430" s="36" t="n"/>
      <c r="AT430" s="36" t="n"/>
      <c r="AU430" s="27" t="n"/>
      <c r="AV430" s="37" t="n"/>
      <c r="AW430" s="38">
        <f>IF(AO430="","",IF(AR430="Yes","❌ Disc",IF(AQ430="No","⚠ Missing",IF(AT430="Yes","✓ OK","⚠ Check"))))</f>
        <v/>
      </c>
    </row>
    <row r="431" ht="18" customHeight="1" s="46">
      <c r="A431" s="23" t="n">
        <v>427</v>
      </c>
      <c r="B431" s="24" t="inlineStr">
        <is>
          <t>BD-VRM-2026-0234</t>
        </is>
      </c>
      <c r="C431" s="25" t="inlineStr">
        <is>
          <t>Excel - Spectrum Wallpaper 5001-3</t>
        </is>
      </c>
      <c r="D431" s="23" t="inlineStr">
        <is>
          <t>Excel</t>
        </is>
      </c>
      <c r="E431" s="43" t="n">
        <v>46125</v>
      </c>
      <c r="F431" s="26" t="inlineStr">
        <is>
          <t>Sunil CR</t>
        </is>
      </c>
      <c r="G431" s="26" t="inlineStr">
        <is>
          <t>Yes</t>
        </is>
      </c>
      <c r="H431" s="26" t="inlineStr">
        <is>
          <t>No</t>
        </is>
      </c>
      <c r="I431" s="26" t="inlineStr">
        <is>
          <t>Good finish</t>
        </is>
      </c>
      <c r="J431" s="26" t="inlineStr">
        <is>
          <t>Yes</t>
        </is>
      </c>
      <c r="K431" s="27" t="n"/>
      <c r="L431" s="28" t="inlineStr">
        <is>
          <t>No</t>
        </is>
      </c>
      <c r="M431" s="29">
        <f>IF(E431="","",IF(H431="Yes","❌ Disc",IF(G431="No","⚠ Missing",IF(J431="Yes","✓ OK","⚠ Check"))))</f>
        <v/>
      </c>
      <c r="N431" s="43" t="n">
        <v>46193</v>
      </c>
      <c r="O431" s="26" t="inlineStr">
        <is>
          <t>Sunil CR</t>
        </is>
      </c>
      <c r="P431" s="26" t="inlineStr">
        <is>
          <t>Yes</t>
        </is>
      </c>
      <c r="Q431" s="26" t="inlineStr">
        <is>
          <t>No</t>
        </is>
      </c>
      <c r="R431" s="26" t="inlineStr">
        <is>
          <t>Good finish</t>
        </is>
      </c>
      <c r="S431" s="26" t="inlineStr">
        <is>
          <t>Yes</t>
        </is>
      </c>
      <c r="T431" s="27" t="n"/>
      <c r="U431" s="28" t="inlineStr">
        <is>
          <t>No</t>
        </is>
      </c>
      <c r="V431" s="29">
        <f>IF(N431="","",IF(Q431="Yes","❌ Disc",IF(P431="No","⚠ Missing",IF(S431="Yes","✓ OK","⚠ Check"))))</f>
        <v/>
      </c>
      <c r="W431" s="65" t="n">
        <v>46248</v>
      </c>
      <c r="X431" s="30" t="inlineStr">
        <is>
          <t>Sunil CR</t>
        </is>
      </c>
      <c r="Y431" s="30" t="inlineStr">
        <is>
          <t>Yes</t>
        </is>
      </c>
      <c r="Z431" s="30" t="n"/>
      <c r="AA431" s="30" t="inlineStr">
        <is>
          <t>Good finish</t>
        </is>
      </c>
      <c r="AB431" s="30" t="inlineStr">
        <is>
          <t>Yes</t>
        </is>
      </c>
      <c r="AC431" s="27" t="n"/>
      <c r="AD431" s="31" t="inlineStr">
        <is>
          <t>No</t>
        </is>
      </c>
      <c r="AE431" s="32">
        <f>IF(W431="","",IF(Z431="Yes","❌ Disc",IF(Y431="No","⚠ Missing",IF(AB431="Yes","✓ OK","⚠ Check"))))</f>
        <v/>
      </c>
      <c r="AF431" s="33" t="n"/>
      <c r="AG431" s="33" t="n"/>
      <c r="AH431" s="33" t="n"/>
      <c r="AI431" s="33" t="n"/>
      <c r="AJ431" s="33" t="n"/>
      <c r="AK431" s="33" t="n"/>
      <c r="AL431" s="27" t="n"/>
      <c r="AM431" s="34" t="n"/>
      <c r="AN431" s="35">
        <f>IF(AF431="","",IF(AI431="Yes","❌ Disc",IF(AH431="No","⚠ Missing",IF(AK431="Yes","✓ OK","⚠ Check"))))</f>
        <v/>
      </c>
      <c r="AO431" s="36" t="n"/>
      <c r="AP431" s="36" t="n"/>
      <c r="AQ431" s="36" t="n"/>
      <c r="AR431" s="36" t="n"/>
      <c r="AS431" s="36" t="n"/>
      <c r="AT431" s="36" t="n"/>
      <c r="AU431" s="27" t="n"/>
      <c r="AV431" s="37" t="n"/>
      <c r="AW431" s="38">
        <f>IF(AO431="","",IF(AR431="Yes","❌ Disc",IF(AQ431="No","⚠ Missing",IF(AT431="Yes","✓ OK","⚠ Check"))))</f>
        <v/>
      </c>
    </row>
    <row r="432" ht="18" customHeight="1" s="46">
      <c r="A432" s="39" t="n">
        <v>428</v>
      </c>
      <c r="B432" s="40" t="inlineStr">
        <is>
          <t>BD-VRM-2026-0235</t>
        </is>
      </c>
      <c r="C432" s="41" t="inlineStr">
        <is>
          <t>Excel - Spectrum Wallpaper 5001-4</t>
        </is>
      </c>
      <c r="D432" s="39" t="inlineStr">
        <is>
          <t>Excel</t>
        </is>
      </c>
      <c r="E432" s="43" t="n">
        <v>46125</v>
      </c>
      <c r="F432" s="26" t="inlineStr">
        <is>
          <t>Sunil CR</t>
        </is>
      </c>
      <c r="G432" s="26" t="inlineStr">
        <is>
          <t>Yes</t>
        </is>
      </c>
      <c r="H432" s="26" t="inlineStr">
        <is>
          <t>No</t>
        </is>
      </c>
      <c r="I432" s="26" t="inlineStr">
        <is>
          <t>Good finish</t>
        </is>
      </c>
      <c r="J432" s="26" t="inlineStr">
        <is>
          <t>Yes</t>
        </is>
      </c>
      <c r="K432" s="27" t="n"/>
      <c r="L432" s="28" t="inlineStr">
        <is>
          <t>No</t>
        </is>
      </c>
      <c r="M432" s="29">
        <f>IF(E432="","",IF(H432="Yes","❌ Disc",IF(G432="No","⚠ Missing",IF(J432="Yes","✓ OK","⚠ Check"))))</f>
        <v/>
      </c>
      <c r="N432" s="43" t="n">
        <v>46193</v>
      </c>
      <c r="O432" s="26" t="inlineStr">
        <is>
          <t>Sunil CR</t>
        </is>
      </c>
      <c r="P432" s="26" t="inlineStr">
        <is>
          <t>Yes</t>
        </is>
      </c>
      <c r="Q432" s="26" t="inlineStr">
        <is>
          <t>No</t>
        </is>
      </c>
      <c r="R432" s="26" t="inlineStr">
        <is>
          <t>Good finish</t>
        </is>
      </c>
      <c r="S432" s="26" t="inlineStr">
        <is>
          <t>Yes</t>
        </is>
      </c>
      <c r="T432" s="27" t="n"/>
      <c r="U432" s="28" t="inlineStr">
        <is>
          <t>No</t>
        </is>
      </c>
      <c r="V432" s="29">
        <f>IF(N432="","",IF(Q432="Yes","❌ Disc",IF(P432="No","⚠ Missing",IF(S432="Yes","✓ OK","⚠ Check"))))</f>
        <v/>
      </c>
      <c r="W432" s="65" t="n">
        <v>46248</v>
      </c>
      <c r="X432" s="30" t="inlineStr">
        <is>
          <t>Sunil CR</t>
        </is>
      </c>
      <c r="Y432" s="30" t="inlineStr">
        <is>
          <t>Yes</t>
        </is>
      </c>
      <c r="Z432" s="30" t="n"/>
      <c r="AA432" s="30" t="inlineStr">
        <is>
          <t>Good finish</t>
        </is>
      </c>
      <c r="AB432" s="30" t="inlineStr">
        <is>
          <t>Yes</t>
        </is>
      </c>
      <c r="AC432" s="27" t="n"/>
      <c r="AD432" s="31" t="inlineStr">
        <is>
          <t>No</t>
        </is>
      </c>
      <c r="AE432" s="32">
        <f>IF(W432="","",IF(Z432="Yes","❌ Disc",IF(Y432="No","⚠ Missing",IF(AB432="Yes","✓ OK","⚠ Check"))))</f>
        <v/>
      </c>
      <c r="AF432" s="33" t="n"/>
      <c r="AG432" s="33" t="n"/>
      <c r="AH432" s="33" t="n"/>
      <c r="AI432" s="33" t="n"/>
      <c r="AJ432" s="33" t="n"/>
      <c r="AK432" s="33" t="n"/>
      <c r="AL432" s="27" t="n"/>
      <c r="AM432" s="34" t="n"/>
      <c r="AN432" s="35">
        <f>IF(AF432="","",IF(AI432="Yes","❌ Disc",IF(AH432="No","⚠ Missing",IF(AK432="Yes","✓ OK","⚠ Check"))))</f>
        <v/>
      </c>
      <c r="AO432" s="36" t="n"/>
      <c r="AP432" s="36" t="n"/>
      <c r="AQ432" s="36" t="n"/>
      <c r="AR432" s="36" t="n"/>
      <c r="AS432" s="36" t="n"/>
      <c r="AT432" s="36" t="n"/>
      <c r="AU432" s="27" t="n"/>
      <c r="AV432" s="37" t="n"/>
      <c r="AW432" s="38">
        <f>IF(AO432="","",IF(AR432="Yes","❌ Disc",IF(AQ432="No","⚠ Missing",IF(AT432="Yes","✓ OK","⚠ Check"))))</f>
        <v/>
      </c>
    </row>
    <row r="433" ht="18" customHeight="1" s="46">
      <c r="A433" s="23" t="n">
        <v>429</v>
      </c>
      <c r="B433" s="24" t="inlineStr">
        <is>
          <t>BD-VRM-2026-0236</t>
        </is>
      </c>
      <c r="C433" s="25" t="inlineStr">
        <is>
          <t>Excel - Spectrum Wallpaper 5001-5</t>
        </is>
      </c>
      <c r="D433" s="23" t="inlineStr">
        <is>
          <t>Excel</t>
        </is>
      </c>
      <c r="E433" s="43" t="n">
        <v>46125</v>
      </c>
      <c r="F433" s="26" t="inlineStr">
        <is>
          <t>Sunil CR</t>
        </is>
      </c>
      <c r="G433" s="26" t="inlineStr">
        <is>
          <t>Yes</t>
        </is>
      </c>
      <c r="H433" s="26" t="inlineStr">
        <is>
          <t>No</t>
        </is>
      </c>
      <c r="I433" s="26" t="inlineStr">
        <is>
          <t>Good finish</t>
        </is>
      </c>
      <c r="J433" s="26" t="inlineStr">
        <is>
          <t>Yes</t>
        </is>
      </c>
      <c r="K433" s="27" t="n"/>
      <c r="L433" s="28" t="inlineStr">
        <is>
          <t>No</t>
        </is>
      </c>
      <c r="M433" s="29">
        <f>IF(E433="","",IF(H433="Yes","❌ Disc",IF(G433="No","⚠ Missing",IF(J433="Yes","✓ OK","⚠ Check"))))</f>
        <v/>
      </c>
      <c r="N433" s="43" t="n">
        <v>46193</v>
      </c>
      <c r="O433" s="26" t="inlineStr">
        <is>
          <t>Sunil CR</t>
        </is>
      </c>
      <c r="P433" s="26" t="inlineStr">
        <is>
          <t>Yes</t>
        </is>
      </c>
      <c r="Q433" s="26" t="inlineStr">
        <is>
          <t>No</t>
        </is>
      </c>
      <c r="R433" s="26" t="inlineStr">
        <is>
          <t>Good finish</t>
        </is>
      </c>
      <c r="S433" s="26" t="inlineStr">
        <is>
          <t>Yes</t>
        </is>
      </c>
      <c r="T433" s="27" t="n"/>
      <c r="U433" s="28" t="inlineStr">
        <is>
          <t>No</t>
        </is>
      </c>
      <c r="V433" s="29">
        <f>IF(N433="","",IF(Q433="Yes","❌ Disc",IF(P433="No","⚠ Missing",IF(S433="Yes","✓ OK","⚠ Check"))))</f>
        <v/>
      </c>
      <c r="W433" s="65" t="n">
        <v>46248</v>
      </c>
      <c r="X433" s="30" t="inlineStr">
        <is>
          <t>Sunil CR</t>
        </is>
      </c>
      <c r="Y433" s="30" t="inlineStr">
        <is>
          <t>Yes</t>
        </is>
      </c>
      <c r="Z433" s="30" t="n"/>
      <c r="AA433" s="30" t="inlineStr">
        <is>
          <t>Good finish</t>
        </is>
      </c>
      <c r="AB433" s="30" t="inlineStr">
        <is>
          <t>Yes</t>
        </is>
      </c>
      <c r="AC433" s="27" t="n"/>
      <c r="AD433" s="31" t="inlineStr">
        <is>
          <t>No</t>
        </is>
      </c>
      <c r="AE433" s="32">
        <f>IF(W433="","",IF(Z433="Yes","❌ Disc",IF(Y433="No","⚠ Missing",IF(AB433="Yes","✓ OK","⚠ Check"))))</f>
        <v/>
      </c>
      <c r="AF433" s="33" t="n"/>
      <c r="AG433" s="33" t="n"/>
      <c r="AH433" s="33" t="n"/>
      <c r="AI433" s="33" t="n"/>
      <c r="AJ433" s="33" t="n"/>
      <c r="AK433" s="33" t="n"/>
      <c r="AL433" s="27" t="n"/>
      <c r="AM433" s="34" t="n"/>
      <c r="AN433" s="35">
        <f>IF(AF433="","",IF(AI433="Yes","❌ Disc",IF(AH433="No","⚠ Missing",IF(AK433="Yes","✓ OK","⚠ Check"))))</f>
        <v/>
      </c>
      <c r="AO433" s="36" t="n"/>
      <c r="AP433" s="36" t="n"/>
      <c r="AQ433" s="36" t="n"/>
      <c r="AR433" s="36" t="n"/>
      <c r="AS433" s="36" t="n"/>
      <c r="AT433" s="36" t="n"/>
      <c r="AU433" s="27" t="n"/>
      <c r="AV433" s="37" t="n"/>
      <c r="AW433" s="38">
        <f>IF(AO433="","",IF(AR433="Yes","❌ Disc",IF(AQ433="No","⚠ Missing",IF(AT433="Yes","✓ OK","⚠ Check"))))</f>
        <v/>
      </c>
    </row>
    <row r="434" ht="18" customHeight="1" s="46">
      <c r="A434" s="39" t="n">
        <v>430</v>
      </c>
      <c r="B434" s="40" t="inlineStr">
        <is>
          <t>BD-VRM-2026-0222</t>
        </is>
      </c>
      <c r="C434" s="41" t="inlineStr">
        <is>
          <t>Excel - Spectrum Wallpaper 5002-1</t>
        </is>
      </c>
      <c r="D434" s="39" t="inlineStr">
        <is>
          <t>Excel</t>
        </is>
      </c>
      <c r="E434" s="43" t="n">
        <v>46125</v>
      </c>
      <c r="F434" s="26" t="inlineStr">
        <is>
          <t>Sunil CR</t>
        </is>
      </c>
      <c r="G434" s="26" t="inlineStr">
        <is>
          <t>Yes</t>
        </is>
      </c>
      <c r="H434" s="26" t="inlineStr">
        <is>
          <t>No</t>
        </is>
      </c>
      <c r="I434" s="26" t="inlineStr">
        <is>
          <t>Good finish</t>
        </is>
      </c>
      <c r="J434" s="26" t="inlineStr">
        <is>
          <t>Yes</t>
        </is>
      </c>
      <c r="K434" s="27" t="n"/>
      <c r="L434" s="28" t="inlineStr">
        <is>
          <t>No</t>
        </is>
      </c>
      <c r="M434" s="29">
        <f>IF(E434="","",IF(H434="Yes","❌ Disc",IF(G434="No","⚠ Missing",IF(J434="Yes","✓ OK","⚠ Check"))))</f>
        <v/>
      </c>
      <c r="N434" s="43" t="n">
        <v>46193</v>
      </c>
      <c r="O434" s="26" t="inlineStr">
        <is>
          <t>Sunil CR</t>
        </is>
      </c>
      <c r="P434" s="26" t="inlineStr">
        <is>
          <t>Yes</t>
        </is>
      </c>
      <c r="Q434" s="26" t="inlineStr">
        <is>
          <t>No</t>
        </is>
      </c>
      <c r="R434" s="26" t="inlineStr">
        <is>
          <t>Good finish</t>
        </is>
      </c>
      <c r="S434" s="26" t="inlineStr">
        <is>
          <t>Yes</t>
        </is>
      </c>
      <c r="T434" s="27" t="n"/>
      <c r="U434" s="28" t="inlineStr">
        <is>
          <t>No</t>
        </is>
      </c>
      <c r="V434" s="29">
        <f>IF(N434="","",IF(Q434="Yes","❌ Disc",IF(P434="No","⚠ Missing",IF(S434="Yes","✓ OK","⚠ Check"))))</f>
        <v/>
      </c>
      <c r="W434" s="65" t="n">
        <v>46248</v>
      </c>
      <c r="X434" s="30" t="inlineStr">
        <is>
          <t>Sunil CR</t>
        </is>
      </c>
      <c r="Y434" s="30" t="inlineStr">
        <is>
          <t>Yes</t>
        </is>
      </c>
      <c r="Z434" s="30" t="n"/>
      <c r="AA434" s="30" t="inlineStr">
        <is>
          <t>Good finish</t>
        </is>
      </c>
      <c r="AB434" s="30" t="inlineStr">
        <is>
          <t>Yes</t>
        </is>
      </c>
      <c r="AC434" s="27" t="n"/>
      <c r="AD434" s="31" t="inlineStr">
        <is>
          <t>No</t>
        </is>
      </c>
      <c r="AE434" s="32">
        <f>IF(W434="","",IF(Z434="Yes","❌ Disc",IF(Y434="No","⚠ Missing",IF(AB434="Yes","✓ OK","⚠ Check"))))</f>
        <v/>
      </c>
      <c r="AF434" s="33" t="n"/>
      <c r="AG434" s="33" t="n"/>
      <c r="AH434" s="33" t="n"/>
      <c r="AI434" s="33" t="n"/>
      <c r="AJ434" s="33" t="n"/>
      <c r="AK434" s="33" t="n"/>
      <c r="AL434" s="27" t="n"/>
      <c r="AM434" s="34" t="n"/>
      <c r="AN434" s="35">
        <f>IF(AF434="","",IF(AI434="Yes","❌ Disc",IF(AH434="No","⚠ Missing",IF(AK434="Yes","✓ OK","⚠ Check"))))</f>
        <v/>
      </c>
      <c r="AO434" s="36" t="n"/>
      <c r="AP434" s="36" t="n"/>
      <c r="AQ434" s="36" t="n"/>
      <c r="AR434" s="36" t="n"/>
      <c r="AS434" s="36" t="n"/>
      <c r="AT434" s="36" t="n"/>
      <c r="AU434" s="27" t="n"/>
      <c r="AV434" s="37" t="n"/>
      <c r="AW434" s="38">
        <f>IF(AO434="","",IF(AR434="Yes","❌ Disc",IF(AQ434="No","⚠ Missing",IF(AT434="Yes","✓ OK","⚠ Check"))))</f>
        <v/>
      </c>
    </row>
    <row r="435" ht="18" customHeight="1" s="46">
      <c r="A435" s="23" t="n">
        <v>431</v>
      </c>
      <c r="B435" s="24" t="inlineStr">
        <is>
          <t>BD-VRM-2026-0223</t>
        </is>
      </c>
      <c r="C435" s="25" t="inlineStr">
        <is>
          <t>Excel - Spectrum Wallpaper 5002-2</t>
        </is>
      </c>
      <c r="D435" s="23" t="inlineStr">
        <is>
          <t>Excel</t>
        </is>
      </c>
      <c r="E435" s="43" t="n">
        <v>46125</v>
      </c>
      <c r="F435" s="26" t="inlineStr">
        <is>
          <t>Sunil CR</t>
        </is>
      </c>
      <c r="G435" s="26" t="inlineStr">
        <is>
          <t>Yes</t>
        </is>
      </c>
      <c r="H435" s="26" t="inlineStr">
        <is>
          <t>No</t>
        </is>
      </c>
      <c r="I435" s="26" t="inlineStr">
        <is>
          <t>Good finish</t>
        </is>
      </c>
      <c r="J435" s="26" t="inlineStr">
        <is>
          <t>Yes</t>
        </is>
      </c>
      <c r="K435" s="27" t="n"/>
      <c r="L435" s="28" t="inlineStr">
        <is>
          <t>No</t>
        </is>
      </c>
      <c r="M435" s="29">
        <f>IF(E435="","",IF(H435="Yes","❌ Disc",IF(G435="No","⚠ Missing",IF(J435="Yes","✓ OK","⚠ Check"))))</f>
        <v/>
      </c>
      <c r="N435" s="43" t="n">
        <v>46193</v>
      </c>
      <c r="O435" s="26" t="inlineStr">
        <is>
          <t>Sunil CR</t>
        </is>
      </c>
      <c r="P435" s="26" t="inlineStr">
        <is>
          <t>Yes</t>
        </is>
      </c>
      <c r="Q435" s="26" t="inlineStr">
        <is>
          <t>No</t>
        </is>
      </c>
      <c r="R435" s="26" t="inlineStr">
        <is>
          <t>Good finish</t>
        </is>
      </c>
      <c r="S435" s="26" t="inlineStr">
        <is>
          <t>Yes</t>
        </is>
      </c>
      <c r="T435" s="27" t="n"/>
      <c r="U435" s="28" t="inlineStr">
        <is>
          <t>No</t>
        </is>
      </c>
      <c r="V435" s="29">
        <f>IF(N435="","",IF(Q435="Yes","❌ Disc",IF(P435="No","⚠ Missing",IF(S435="Yes","✓ OK","⚠ Check"))))</f>
        <v/>
      </c>
      <c r="W435" s="65" t="n">
        <v>46248</v>
      </c>
      <c r="X435" s="30" t="inlineStr">
        <is>
          <t>Sunil CR</t>
        </is>
      </c>
      <c r="Y435" s="30" t="inlineStr">
        <is>
          <t>Yes</t>
        </is>
      </c>
      <c r="Z435" s="30" t="n"/>
      <c r="AA435" s="30" t="inlineStr">
        <is>
          <t>Good finish</t>
        </is>
      </c>
      <c r="AB435" s="30" t="inlineStr">
        <is>
          <t>Yes</t>
        </is>
      </c>
      <c r="AC435" s="27" t="n"/>
      <c r="AD435" s="31" t="inlineStr">
        <is>
          <t>No</t>
        </is>
      </c>
      <c r="AE435" s="32">
        <f>IF(W435="","",IF(Z435="Yes","❌ Disc",IF(Y435="No","⚠ Missing",IF(AB435="Yes","✓ OK","⚠ Check"))))</f>
        <v/>
      </c>
      <c r="AF435" s="33" t="n"/>
      <c r="AG435" s="33" t="n"/>
      <c r="AH435" s="33" t="n"/>
      <c r="AI435" s="33" t="n"/>
      <c r="AJ435" s="33" t="n"/>
      <c r="AK435" s="33" t="n"/>
      <c r="AL435" s="27" t="n"/>
      <c r="AM435" s="34" t="n"/>
      <c r="AN435" s="35">
        <f>IF(AF435="","",IF(AI435="Yes","❌ Disc",IF(AH435="No","⚠ Missing",IF(AK435="Yes","✓ OK","⚠ Check"))))</f>
        <v/>
      </c>
      <c r="AO435" s="36" t="n"/>
      <c r="AP435" s="36" t="n"/>
      <c r="AQ435" s="36" t="n"/>
      <c r="AR435" s="36" t="n"/>
      <c r="AS435" s="36" t="n"/>
      <c r="AT435" s="36" t="n"/>
      <c r="AU435" s="27" t="n"/>
      <c r="AV435" s="37" t="n"/>
      <c r="AW435" s="38">
        <f>IF(AO435="","",IF(AR435="Yes","❌ Disc",IF(AQ435="No","⚠ Missing",IF(AT435="Yes","✓ OK","⚠ Check"))))</f>
        <v/>
      </c>
    </row>
    <row r="436" ht="18" customHeight="1" s="46">
      <c r="A436" s="39" t="n">
        <v>432</v>
      </c>
      <c r="B436" s="40" t="inlineStr">
        <is>
          <t>BD-VRM-2026-0224</t>
        </is>
      </c>
      <c r="C436" s="41" t="inlineStr">
        <is>
          <t>Excel - Spectrum Wallpaper 5002-3</t>
        </is>
      </c>
      <c r="D436" s="39" t="inlineStr">
        <is>
          <t>Excel</t>
        </is>
      </c>
      <c r="E436" s="43" t="n">
        <v>46125</v>
      </c>
      <c r="F436" s="26" t="inlineStr">
        <is>
          <t>Sunil CR</t>
        </is>
      </c>
      <c r="G436" s="26" t="inlineStr">
        <is>
          <t>Yes</t>
        </is>
      </c>
      <c r="H436" s="26" t="inlineStr">
        <is>
          <t>No</t>
        </is>
      </c>
      <c r="I436" s="26" t="inlineStr">
        <is>
          <t>Good finish</t>
        </is>
      </c>
      <c r="J436" s="26" t="inlineStr">
        <is>
          <t>Yes</t>
        </is>
      </c>
      <c r="K436" s="27" t="n"/>
      <c r="L436" s="28" t="inlineStr">
        <is>
          <t>No</t>
        </is>
      </c>
      <c r="M436" s="29">
        <f>IF(E436="","",IF(H436="Yes","❌ Disc",IF(G436="No","⚠ Missing",IF(J436="Yes","✓ OK","⚠ Check"))))</f>
        <v/>
      </c>
      <c r="N436" s="43" t="n">
        <v>46193</v>
      </c>
      <c r="O436" s="26" t="inlineStr">
        <is>
          <t>Sunil CR</t>
        </is>
      </c>
      <c r="P436" s="26" t="inlineStr">
        <is>
          <t>Yes</t>
        </is>
      </c>
      <c r="Q436" s="26" t="inlineStr">
        <is>
          <t>No</t>
        </is>
      </c>
      <c r="R436" s="26" t="inlineStr">
        <is>
          <t>Good finish</t>
        </is>
      </c>
      <c r="S436" s="26" t="inlineStr">
        <is>
          <t>Yes</t>
        </is>
      </c>
      <c r="T436" s="27" t="n"/>
      <c r="U436" s="28" t="inlineStr">
        <is>
          <t>No</t>
        </is>
      </c>
      <c r="V436" s="29">
        <f>IF(N436="","",IF(Q436="Yes","❌ Disc",IF(P436="No","⚠ Missing",IF(S436="Yes","✓ OK","⚠ Check"))))</f>
        <v/>
      </c>
      <c r="W436" s="65" t="n">
        <v>46248</v>
      </c>
      <c r="X436" s="30" t="inlineStr">
        <is>
          <t>Sunil CR</t>
        </is>
      </c>
      <c r="Y436" s="30" t="inlineStr">
        <is>
          <t>Yes</t>
        </is>
      </c>
      <c r="Z436" s="30" t="n"/>
      <c r="AA436" s="30" t="inlineStr">
        <is>
          <t>Good finish</t>
        </is>
      </c>
      <c r="AB436" s="30" t="inlineStr">
        <is>
          <t>Yes</t>
        </is>
      </c>
      <c r="AC436" s="27" t="n"/>
      <c r="AD436" s="31" t="inlineStr">
        <is>
          <t>No</t>
        </is>
      </c>
      <c r="AE436" s="32">
        <f>IF(W436="","",IF(Z436="Yes","❌ Disc",IF(Y436="No","⚠ Missing",IF(AB436="Yes","✓ OK","⚠ Check"))))</f>
        <v/>
      </c>
      <c r="AF436" s="33" t="n"/>
      <c r="AG436" s="33" t="n"/>
      <c r="AH436" s="33" t="n"/>
      <c r="AI436" s="33" t="n"/>
      <c r="AJ436" s="33" t="n"/>
      <c r="AK436" s="33" t="n"/>
      <c r="AL436" s="27" t="n"/>
      <c r="AM436" s="34" t="n"/>
      <c r="AN436" s="35">
        <f>IF(AF436="","",IF(AI436="Yes","❌ Disc",IF(AH436="No","⚠ Missing",IF(AK436="Yes","✓ OK","⚠ Check"))))</f>
        <v/>
      </c>
      <c r="AO436" s="36" t="n"/>
      <c r="AP436" s="36" t="n"/>
      <c r="AQ436" s="36" t="n"/>
      <c r="AR436" s="36" t="n"/>
      <c r="AS436" s="36" t="n"/>
      <c r="AT436" s="36" t="n"/>
      <c r="AU436" s="27" t="n"/>
      <c r="AV436" s="37" t="n"/>
      <c r="AW436" s="38">
        <f>IF(AO436="","",IF(AR436="Yes","❌ Disc",IF(AQ436="No","⚠ Missing",IF(AT436="Yes","✓ OK","⚠ Check"))))</f>
        <v/>
      </c>
    </row>
    <row r="437" ht="18" customHeight="1" s="46">
      <c r="A437" s="23" t="n">
        <v>433</v>
      </c>
      <c r="B437" s="24" t="inlineStr">
        <is>
          <t>BD-VRM-2026-0225</t>
        </is>
      </c>
      <c r="C437" s="25" t="inlineStr">
        <is>
          <t>Excel - Spectrum Wallpaper 5002-4</t>
        </is>
      </c>
      <c r="D437" s="23" t="inlineStr">
        <is>
          <t>Excel</t>
        </is>
      </c>
      <c r="E437" s="43" t="n">
        <v>46125</v>
      </c>
      <c r="F437" s="26" t="inlineStr">
        <is>
          <t>Sunil CR</t>
        </is>
      </c>
      <c r="G437" s="26" t="inlineStr">
        <is>
          <t>Yes</t>
        </is>
      </c>
      <c r="H437" s="26" t="inlineStr">
        <is>
          <t>No</t>
        </is>
      </c>
      <c r="I437" s="26" t="inlineStr">
        <is>
          <t>Good finish</t>
        </is>
      </c>
      <c r="J437" s="26" t="inlineStr">
        <is>
          <t>Yes</t>
        </is>
      </c>
      <c r="K437" s="27" t="n"/>
      <c r="L437" s="28" t="inlineStr">
        <is>
          <t>No</t>
        </is>
      </c>
      <c r="M437" s="29">
        <f>IF(E437="","",IF(H437="Yes","❌ Disc",IF(G437="No","⚠ Missing",IF(J437="Yes","✓ OK","⚠ Check"))))</f>
        <v/>
      </c>
      <c r="N437" s="43" t="n">
        <v>46193</v>
      </c>
      <c r="O437" s="26" t="inlineStr">
        <is>
          <t>Sunil CR</t>
        </is>
      </c>
      <c r="P437" s="26" t="inlineStr">
        <is>
          <t>Yes</t>
        </is>
      </c>
      <c r="Q437" s="26" t="inlineStr">
        <is>
          <t>No</t>
        </is>
      </c>
      <c r="R437" s="26" t="inlineStr">
        <is>
          <t>Good finish</t>
        </is>
      </c>
      <c r="S437" s="26" t="inlineStr">
        <is>
          <t>Yes</t>
        </is>
      </c>
      <c r="T437" s="27" t="n"/>
      <c r="U437" s="28" t="inlineStr">
        <is>
          <t>No</t>
        </is>
      </c>
      <c r="V437" s="29">
        <f>IF(N437="","",IF(Q437="Yes","❌ Disc",IF(P437="No","⚠ Missing",IF(S437="Yes","✓ OK","⚠ Check"))))</f>
        <v/>
      </c>
      <c r="W437" s="65" t="n">
        <v>46248</v>
      </c>
      <c r="X437" s="30" t="inlineStr">
        <is>
          <t>Sunil CR</t>
        </is>
      </c>
      <c r="Y437" s="30" t="inlineStr">
        <is>
          <t>Yes</t>
        </is>
      </c>
      <c r="Z437" s="30" t="n"/>
      <c r="AA437" s="30" t="inlineStr">
        <is>
          <t>Good finish</t>
        </is>
      </c>
      <c r="AB437" s="30" t="inlineStr">
        <is>
          <t>Yes</t>
        </is>
      </c>
      <c r="AC437" s="27" t="n"/>
      <c r="AD437" s="31" t="inlineStr">
        <is>
          <t>No</t>
        </is>
      </c>
      <c r="AE437" s="32">
        <f>IF(W437="","",IF(Z437="Yes","❌ Disc",IF(Y437="No","⚠ Missing",IF(AB437="Yes","✓ OK","⚠ Check"))))</f>
        <v/>
      </c>
      <c r="AF437" s="33" t="n"/>
      <c r="AG437" s="33" t="n"/>
      <c r="AH437" s="33" t="n"/>
      <c r="AI437" s="33" t="n"/>
      <c r="AJ437" s="33" t="n"/>
      <c r="AK437" s="33" t="n"/>
      <c r="AL437" s="27" t="n"/>
      <c r="AM437" s="34" t="n"/>
      <c r="AN437" s="35">
        <f>IF(AF437="","",IF(AI437="Yes","❌ Disc",IF(AH437="No","⚠ Missing",IF(AK437="Yes","✓ OK","⚠ Check"))))</f>
        <v/>
      </c>
      <c r="AO437" s="36" t="n"/>
      <c r="AP437" s="36" t="n"/>
      <c r="AQ437" s="36" t="n"/>
      <c r="AR437" s="36" t="n"/>
      <c r="AS437" s="36" t="n"/>
      <c r="AT437" s="36" t="n"/>
      <c r="AU437" s="27" t="n"/>
      <c r="AV437" s="37" t="n"/>
      <c r="AW437" s="38">
        <f>IF(AO437="","",IF(AR437="Yes","❌ Disc",IF(AQ437="No","⚠ Missing",IF(AT437="Yes","✓ OK","⚠ Check"))))</f>
        <v/>
      </c>
    </row>
    <row r="438" ht="18" customHeight="1" s="46">
      <c r="A438" s="39" t="n">
        <v>434</v>
      </c>
      <c r="B438" s="40" t="inlineStr">
        <is>
          <t>BD-VRM-2026-0226</t>
        </is>
      </c>
      <c r="C438" s="41" t="inlineStr">
        <is>
          <t>Excel - Spectrum Wallpaper 5002-5</t>
        </is>
      </c>
      <c r="D438" s="39" t="inlineStr">
        <is>
          <t>Excel</t>
        </is>
      </c>
      <c r="E438" s="43" t="n">
        <v>46125</v>
      </c>
      <c r="F438" s="26" t="inlineStr">
        <is>
          <t>Sunil CR</t>
        </is>
      </c>
      <c r="G438" s="26" t="inlineStr">
        <is>
          <t>Yes</t>
        </is>
      </c>
      <c r="H438" s="26" t="inlineStr">
        <is>
          <t>No</t>
        </is>
      </c>
      <c r="I438" s="26" t="inlineStr">
        <is>
          <t>Good finish</t>
        </is>
      </c>
      <c r="J438" s="26" t="inlineStr">
        <is>
          <t>Yes</t>
        </is>
      </c>
      <c r="K438" s="27" t="n"/>
      <c r="L438" s="28" t="inlineStr">
        <is>
          <t>No</t>
        </is>
      </c>
      <c r="M438" s="29">
        <f>IF(E438="","",IF(H438="Yes","❌ Disc",IF(G438="No","⚠ Missing",IF(J438="Yes","✓ OK","⚠ Check"))))</f>
        <v/>
      </c>
      <c r="N438" s="43" t="n">
        <v>46193</v>
      </c>
      <c r="O438" s="26" t="inlineStr">
        <is>
          <t>Sunil CR</t>
        </is>
      </c>
      <c r="P438" s="26" t="inlineStr">
        <is>
          <t>Yes</t>
        </is>
      </c>
      <c r="Q438" s="26" t="inlineStr">
        <is>
          <t>No</t>
        </is>
      </c>
      <c r="R438" s="26" t="inlineStr">
        <is>
          <t>Good finish</t>
        </is>
      </c>
      <c r="S438" s="26" t="inlineStr">
        <is>
          <t>Yes</t>
        </is>
      </c>
      <c r="T438" s="27" t="n"/>
      <c r="U438" s="28" t="inlineStr">
        <is>
          <t>No</t>
        </is>
      </c>
      <c r="V438" s="29">
        <f>IF(N438="","",IF(Q438="Yes","❌ Disc",IF(P438="No","⚠ Missing",IF(S438="Yes","✓ OK","⚠ Check"))))</f>
        <v/>
      </c>
      <c r="W438" s="65" t="n">
        <v>46248</v>
      </c>
      <c r="X438" s="30" t="inlineStr">
        <is>
          <t>Sunil CR</t>
        </is>
      </c>
      <c r="Y438" s="30" t="inlineStr">
        <is>
          <t>Yes</t>
        </is>
      </c>
      <c r="Z438" s="30" t="n"/>
      <c r="AA438" s="30" t="inlineStr">
        <is>
          <t>Good finish</t>
        </is>
      </c>
      <c r="AB438" s="30" t="inlineStr">
        <is>
          <t>Yes</t>
        </is>
      </c>
      <c r="AC438" s="27" t="n"/>
      <c r="AD438" s="31" t="inlineStr">
        <is>
          <t>No</t>
        </is>
      </c>
      <c r="AE438" s="32">
        <f>IF(W438="","",IF(Z438="Yes","❌ Disc",IF(Y438="No","⚠ Missing",IF(AB438="Yes","✓ OK","⚠ Check"))))</f>
        <v/>
      </c>
      <c r="AF438" s="33" t="n"/>
      <c r="AG438" s="33" t="n"/>
      <c r="AH438" s="33" t="n"/>
      <c r="AI438" s="33" t="n"/>
      <c r="AJ438" s="33" t="n"/>
      <c r="AK438" s="33" t="n"/>
      <c r="AL438" s="27" t="n"/>
      <c r="AM438" s="34" t="n"/>
      <c r="AN438" s="35">
        <f>IF(AF438="","",IF(AI438="Yes","❌ Disc",IF(AH438="No","⚠ Missing",IF(AK438="Yes","✓ OK","⚠ Check"))))</f>
        <v/>
      </c>
      <c r="AO438" s="36" t="n"/>
      <c r="AP438" s="36" t="n"/>
      <c r="AQ438" s="36" t="n"/>
      <c r="AR438" s="36" t="n"/>
      <c r="AS438" s="36" t="n"/>
      <c r="AT438" s="36" t="n"/>
      <c r="AU438" s="27" t="n"/>
      <c r="AV438" s="37" t="n"/>
      <c r="AW438" s="38">
        <f>IF(AO438="","",IF(AR438="Yes","❌ Disc",IF(AQ438="No","⚠ Missing",IF(AT438="Yes","✓ OK","⚠ Check"))))</f>
        <v/>
      </c>
    </row>
    <row r="439" ht="18" customHeight="1" s="46">
      <c r="A439" s="23" t="n">
        <v>435</v>
      </c>
      <c r="B439" s="24" t="inlineStr">
        <is>
          <t>BD-VRM-2026-0258</t>
        </is>
      </c>
      <c r="C439" s="25" t="inlineStr">
        <is>
          <t>Excel - Spectrum Wallpaper 5003-1</t>
        </is>
      </c>
      <c r="D439" s="23" t="inlineStr">
        <is>
          <t>Excel</t>
        </is>
      </c>
      <c r="E439" s="43" t="n">
        <v>46125</v>
      </c>
      <c r="F439" s="26" t="inlineStr">
        <is>
          <t>Sunil CR</t>
        </is>
      </c>
      <c r="G439" s="26" t="inlineStr">
        <is>
          <t>Yes</t>
        </is>
      </c>
      <c r="H439" s="26" t="inlineStr">
        <is>
          <t>No</t>
        </is>
      </c>
      <c r="I439" s="26" t="inlineStr">
        <is>
          <t>Good finish</t>
        </is>
      </c>
      <c r="J439" s="26" t="inlineStr">
        <is>
          <t>Yes</t>
        </is>
      </c>
      <c r="K439" s="27" t="n"/>
      <c r="L439" s="28" t="inlineStr">
        <is>
          <t>No</t>
        </is>
      </c>
      <c r="M439" s="29">
        <f>IF(E439="","",IF(H439="Yes","❌ Disc",IF(G439="No","⚠ Missing",IF(J439="Yes","✓ OK","⚠ Check"))))</f>
        <v/>
      </c>
      <c r="N439" s="43" t="n">
        <v>46193</v>
      </c>
      <c r="O439" s="26" t="inlineStr">
        <is>
          <t>Sunil CR</t>
        </is>
      </c>
      <c r="P439" s="26" t="inlineStr">
        <is>
          <t>Yes</t>
        </is>
      </c>
      <c r="Q439" s="26" t="inlineStr">
        <is>
          <t>No</t>
        </is>
      </c>
      <c r="R439" s="26" t="inlineStr">
        <is>
          <t>Good finish</t>
        </is>
      </c>
      <c r="S439" s="26" t="inlineStr">
        <is>
          <t>Yes</t>
        </is>
      </c>
      <c r="T439" s="27" t="n"/>
      <c r="U439" s="28" t="inlineStr">
        <is>
          <t>No</t>
        </is>
      </c>
      <c r="V439" s="29">
        <f>IF(N439="","",IF(Q439="Yes","❌ Disc",IF(P439="No","⚠ Missing",IF(S439="Yes","✓ OK","⚠ Check"))))</f>
        <v/>
      </c>
      <c r="W439" s="65" t="n">
        <v>46248</v>
      </c>
      <c r="X439" s="30" t="inlineStr">
        <is>
          <t>Sunil CR</t>
        </is>
      </c>
      <c r="Y439" s="30" t="inlineStr">
        <is>
          <t>Yes</t>
        </is>
      </c>
      <c r="Z439" s="30" t="n"/>
      <c r="AA439" s="30" t="inlineStr">
        <is>
          <t>Good finish</t>
        </is>
      </c>
      <c r="AB439" s="30" t="inlineStr">
        <is>
          <t>Yes</t>
        </is>
      </c>
      <c r="AC439" s="27" t="n"/>
      <c r="AD439" s="31" t="inlineStr">
        <is>
          <t>No</t>
        </is>
      </c>
      <c r="AE439" s="32">
        <f>IF(W439="","",IF(Z439="Yes","❌ Disc",IF(Y439="No","⚠ Missing",IF(AB439="Yes","✓ OK","⚠ Check"))))</f>
        <v/>
      </c>
      <c r="AF439" s="33" t="n"/>
      <c r="AG439" s="33" t="n"/>
      <c r="AH439" s="33" t="n"/>
      <c r="AI439" s="33" t="n"/>
      <c r="AJ439" s="33" t="n"/>
      <c r="AK439" s="33" t="n"/>
      <c r="AL439" s="27" t="n"/>
      <c r="AM439" s="34" t="n"/>
      <c r="AN439" s="35">
        <f>IF(AF439="","",IF(AI439="Yes","❌ Disc",IF(AH439="No","⚠ Missing",IF(AK439="Yes","✓ OK","⚠ Check"))))</f>
        <v/>
      </c>
      <c r="AO439" s="36" t="n"/>
      <c r="AP439" s="36" t="n"/>
      <c r="AQ439" s="36" t="n"/>
      <c r="AR439" s="36" t="n"/>
      <c r="AS439" s="36" t="n"/>
      <c r="AT439" s="36" t="n"/>
      <c r="AU439" s="27" t="n"/>
      <c r="AV439" s="37" t="n"/>
      <c r="AW439" s="38">
        <f>IF(AO439="","",IF(AR439="Yes","❌ Disc",IF(AQ439="No","⚠ Missing",IF(AT439="Yes","✓ OK","⚠ Check"))))</f>
        <v/>
      </c>
    </row>
    <row r="440" ht="18" customHeight="1" s="46">
      <c r="A440" s="39" t="n">
        <v>436</v>
      </c>
      <c r="B440" s="40" t="inlineStr">
        <is>
          <t>BD-VRM-2026-0259</t>
        </is>
      </c>
      <c r="C440" s="41" t="inlineStr">
        <is>
          <t>Excel - Spectrum Wallpaper 5003-2</t>
        </is>
      </c>
      <c r="D440" s="39" t="inlineStr">
        <is>
          <t>Excel</t>
        </is>
      </c>
      <c r="E440" s="43" t="n">
        <v>46125</v>
      </c>
      <c r="F440" s="26" t="inlineStr">
        <is>
          <t>Sunil CR</t>
        </is>
      </c>
      <c r="G440" s="26" t="inlineStr">
        <is>
          <t>Yes</t>
        </is>
      </c>
      <c r="H440" s="26" t="inlineStr">
        <is>
          <t>No</t>
        </is>
      </c>
      <c r="I440" s="26" t="inlineStr">
        <is>
          <t>Good finish</t>
        </is>
      </c>
      <c r="J440" s="26" t="inlineStr">
        <is>
          <t>Yes</t>
        </is>
      </c>
      <c r="K440" s="27" t="n"/>
      <c r="L440" s="28" t="inlineStr">
        <is>
          <t>No</t>
        </is>
      </c>
      <c r="M440" s="29">
        <f>IF(E440="","",IF(H440="Yes","❌ Disc",IF(G440="No","⚠ Missing",IF(J440="Yes","✓ OK","⚠ Check"))))</f>
        <v/>
      </c>
      <c r="N440" s="43" t="n">
        <v>46193</v>
      </c>
      <c r="O440" s="26" t="inlineStr">
        <is>
          <t>Sunil CR</t>
        </is>
      </c>
      <c r="P440" s="26" t="inlineStr">
        <is>
          <t>Yes</t>
        </is>
      </c>
      <c r="Q440" s="26" t="inlineStr">
        <is>
          <t>No</t>
        </is>
      </c>
      <c r="R440" s="26" t="inlineStr">
        <is>
          <t>Good finish</t>
        </is>
      </c>
      <c r="S440" s="26" t="inlineStr">
        <is>
          <t>Yes</t>
        </is>
      </c>
      <c r="T440" s="27" t="n"/>
      <c r="U440" s="28" t="inlineStr">
        <is>
          <t>No</t>
        </is>
      </c>
      <c r="V440" s="29">
        <f>IF(N440="","",IF(Q440="Yes","❌ Disc",IF(P440="No","⚠ Missing",IF(S440="Yes","✓ OK","⚠ Check"))))</f>
        <v/>
      </c>
      <c r="W440" s="65" t="n">
        <v>46248</v>
      </c>
      <c r="X440" s="30" t="inlineStr">
        <is>
          <t>Sunil CR</t>
        </is>
      </c>
      <c r="Y440" s="30" t="inlineStr">
        <is>
          <t>Yes</t>
        </is>
      </c>
      <c r="Z440" s="30" t="n"/>
      <c r="AA440" s="30" t="inlineStr">
        <is>
          <t>Good finish</t>
        </is>
      </c>
      <c r="AB440" s="30" t="inlineStr">
        <is>
          <t>Yes</t>
        </is>
      </c>
      <c r="AC440" s="27" t="n"/>
      <c r="AD440" s="31" t="inlineStr">
        <is>
          <t>No</t>
        </is>
      </c>
      <c r="AE440" s="32">
        <f>IF(W440="","",IF(Z440="Yes","❌ Disc",IF(Y440="No","⚠ Missing",IF(AB440="Yes","✓ OK","⚠ Check"))))</f>
        <v/>
      </c>
      <c r="AF440" s="33" t="n"/>
      <c r="AG440" s="33" t="n"/>
      <c r="AH440" s="33" t="n"/>
      <c r="AI440" s="33" t="n"/>
      <c r="AJ440" s="33" t="n"/>
      <c r="AK440" s="33" t="n"/>
      <c r="AL440" s="27" t="n"/>
      <c r="AM440" s="34" t="n"/>
      <c r="AN440" s="35">
        <f>IF(AF440="","",IF(AI440="Yes","❌ Disc",IF(AH440="No","⚠ Missing",IF(AK440="Yes","✓ OK","⚠ Check"))))</f>
        <v/>
      </c>
      <c r="AO440" s="36" t="n"/>
      <c r="AP440" s="36" t="n"/>
      <c r="AQ440" s="36" t="n"/>
      <c r="AR440" s="36" t="n"/>
      <c r="AS440" s="36" t="n"/>
      <c r="AT440" s="36" t="n"/>
      <c r="AU440" s="27" t="n"/>
      <c r="AV440" s="37" t="n"/>
      <c r="AW440" s="38">
        <f>IF(AO440="","",IF(AR440="Yes","❌ Disc",IF(AQ440="No","⚠ Missing",IF(AT440="Yes","✓ OK","⚠ Check"))))</f>
        <v/>
      </c>
    </row>
    <row r="441" ht="18" customHeight="1" s="46">
      <c r="A441" s="23" t="n">
        <v>437</v>
      </c>
      <c r="B441" s="24" t="inlineStr">
        <is>
          <t>BD-VRM-2026-0260</t>
        </is>
      </c>
      <c r="C441" s="25" t="inlineStr">
        <is>
          <t>Excel - Spectrum Wallpaper 5003-3</t>
        </is>
      </c>
      <c r="D441" s="23" t="inlineStr">
        <is>
          <t>Excel</t>
        </is>
      </c>
      <c r="E441" s="43" t="n">
        <v>46125</v>
      </c>
      <c r="F441" s="26" t="inlineStr">
        <is>
          <t>Sunil CR</t>
        </is>
      </c>
      <c r="G441" s="26" t="inlineStr">
        <is>
          <t>Yes</t>
        </is>
      </c>
      <c r="H441" s="26" t="inlineStr">
        <is>
          <t>No</t>
        </is>
      </c>
      <c r="I441" s="26" t="inlineStr">
        <is>
          <t>Good finish</t>
        </is>
      </c>
      <c r="J441" s="26" t="inlineStr">
        <is>
          <t>Yes</t>
        </is>
      </c>
      <c r="K441" s="27" t="n"/>
      <c r="L441" s="28" t="inlineStr">
        <is>
          <t>No</t>
        </is>
      </c>
      <c r="M441" s="29">
        <f>IF(E441="","",IF(H441="Yes","❌ Disc",IF(G441="No","⚠ Missing",IF(J441="Yes","✓ OK","⚠ Check"))))</f>
        <v/>
      </c>
      <c r="N441" s="43" t="n">
        <v>46193</v>
      </c>
      <c r="O441" s="26" t="inlineStr">
        <is>
          <t>Sunil CR</t>
        </is>
      </c>
      <c r="P441" s="26" t="inlineStr">
        <is>
          <t>Yes</t>
        </is>
      </c>
      <c r="Q441" s="26" t="inlineStr">
        <is>
          <t>No</t>
        </is>
      </c>
      <c r="R441" s="26" t="inlineStr">
        <is>
          <t>Good finish</t>
        </is>
      </c>
      <c r="S441" s="26" t="inlineStr">
        <is>
          <t>Yes</t>
        </is>
      </c>
      <c r="T441" s="27" t="n"/>
      <c r="U441" s="28" t="inlineStr">
        <is>
          <t>No</t>
        </is>
      </c>
      <c r="V441" s="29">
        <f>IF(N441="","",IF(Q441="Yes","❌ Disc",IF(P441="No","⚠ Missing",IF(S441="Yes","✓ OK","⚠ Check"))))</f>
        <v/>
      </c>
      <c r="W441" s="65" t="n">
        <v>46248</v>
      </c>
      <c r="X441" s="30" t="inlineStr">
        <is>
          <t>Sunil CR</t>
        </is>
      </c>
      <c r="Y441" s="30" t="inlineStr">
        <is>
          <t>Yes</t>
        </is>
      </c>
      <c r="Z441" s="30" t="n"/>
      <c r="AA441" s="30" t="inlineStr">
        <is>
          <t>Good finish</t>
        </is>
      </c>
      <c r="AB441" s="30" t="inlineStr">
        <is>
          <t>Yes</t>
        </is>
      </c>
      <c r="AC441" s="27" t="n"/>
      <c r="AD441" s="31" t="inlineStr">
        <is>
          <t>No</t>
        </is>
      </c>
      <c r="AE441" s="32">
        <f>IF(W441="","",IF(Z441="Yes","❌ Disc",IF(Y441="No","⚠ Missing",IF(AB441="Yes","✓ OK","⚠ Check"))))</f>
        <v/>
      </c>
      <c r="AF441" s="33" t="n"/>
      <c r="AG441" s="33" t="n"/>
      <c r="AH441" s="33" t="n"/>
      <c r="AI441" s="33" t="n"/>
      <c r="AJ441" s="33" t="n"/>
      <c r="AK441" s="33" t="n"/>
      <c r="AL441" s="27" t="n"/>
      <c r="AM441" s="34" t="n"/>
      <c r="AN441" s="35">
        <f>IF(AF441="","",IF(AI441="Yes","❌ Disc",IF(AH441="No","⚠ Missing",IF(AK441="Yes","✓ OK","⚠ Check"))))</f>
        <v/>
      </c>
      <c r="AO441" s="36" t="n"/>
      <c r="AP441" s="36" t="n"/>
      <c r="AQ441" s="36" t="n"/>
      <c r="AR441" s="36" t="n"/>
      <c r="AS441" s="36" t="n"/>
      <c r="AT441" s="36" t="n"/>
      <c r="AU441" s="27" t="n"/>
      <c r="AV441" s="37" t="n"/>
      <c r="AW441" s="38">
        <f>IF(AO441="","",IF(AR441="Yes","❌ Disc",IF(AQ441="No","⚠ Missing",IF(AT441="Yes","✓ OK","⚠ Check"))))</f>
        <v/>
      </c>
    </row>
    <row r="442" ht="18" customHeight="1" s="46">
      <c r="A442" s="39" t="n">
        <v>438</v>
      </c>
      <c r="B442" s="40" t="inlineStr">
        <is>
          <t>BD-VRM-2026-0261</t>
        </is>
      </c>
      <c r="C442" s="41" t="inlineStr">
        <is>
          <t>Excel - Spectrum Wallpaper 5003-4</t>
        </is>
      </c>
      <c r="D442" s="39" t="inlineStr">
        <is>
          <t>Excel</t>
        </is>
      </c>
      <c r="E442" s="43" t="n">
        <v>46125</v>
      </c>
      <c r="F442" s="26" t="inlineStr">
        <is>
          <t>Sunil CR</t>
        </is>
      </c>
      <c r="G442" s="26" t="inlineStr">
        <is>
          <t>Yes</t>
        </is>
      </c>
      <c r="H442" s="26" t="inlineStr">
        <is>
          <t>No</t>
        </is>
      </c>
      <c r="I442" s="26" t="inlineStr">
        <is>
          <t>Good finish</t>
        </is>
      </c>
      <c r="J442" s="26" t="inlineStr">
        <is>
          <t>Yes</t>
        </is>
      </c>
      <c r="K442" s="27" t="n"/>
      <c r="L442" s="28" t="inlineStr">
        <is>
          <t>No</t>
        </is>
      </c>
      <c r="M442" s="29">
        <f>IF(E442="","",IF(H442="Yes","❌ Disc",IF(G442="No","⚠ Missing",IF(J442="Yes","✓ OK","⚠ Check"))))</f>
        <v/>
      </c>
      <c r="N442" s="43" t="n">
        <v>46193</v>
      </c>
      <c r="O442" s="26" t="inlineStr">
        <is>
          <t>Sunil CR</t>
        </is>
      </c>
      <c r="P442" s="26" t="inlineStr">
        <is>
          <t>Yes</t>
        </is>
      </c>
      <c r="Q442" s="26" t="inlineStr">
        <is>
          <t>No</t>
        </is>
      </c>
      <c r="R442" s="26" t="inlineStr">
        <is>
          <t>Good finish</t>
        </is>
      </c>
      <c r="S442" s="26" t="inlineStr">
        <is>
          <t>Yes</t>
        </is>
      </c>
      <c r="T442" s="27" t="n"/>
      <c r="U442" s="28" t="inlineStr">
        <is>
          <t>No</t>
        </is>
      </c>
      <c r="V442" s="29">
        <f>IF(N442="","",IF(Q442="Yes","❌ Disc",IF(P442="No","⚠ Missing",IF(S442="Yes","✓ OK","⚠ Check"))))</f>
        <v/>
      </c>
      <c r="W442" s="65" t="n">
        <v>46248</v>
      </c>
      <c r="X442" s="30" t="inlineStr">
        <is>
          <t>Sunil CR</t>
        </is>
      </c>
      <c r="Y442" s="30" t="inlineStr">
        <is>
          <t>Yes</t>
        </is>
      </c>
      <c r="Z442" s="30" t="n"/>
      <c r="AA442" s="30" t="inlineStr">
        <is>
          <t>Good finish</t>
        </is>
      </c>
      <c r="AB442" s="30" t="inlineStr">
        <is>
          <t>Yes</t>
        </is>
      </c>
      <c r="AC442" s="27" t="n"/>
      <c r="AD442" s="31" t="inlineStr">
        <is>
          <t>No</t>
        </is>
      </c>
      <c r="AE442" s="32">
        <f>IF(W442="","",IF(Z442="Yes","❌ Disc",IF(Y442="No","⚠ Missing",IF(AB442="Yes","✓ OK","⚠ Check"))))</f>
        <v/>
      </c>
      <c r="AF442" s="33" t="n"/>
      <c r="AG442" s="33" t="n"/>
      <c r="AH442" s="33" t="n"/>
      <c r="AI442" s="33" t="n"/>
      <c r="AJ442" s="33" t="n"/>
      <c r="AK442" s="33" t="n"/>
      <c r="AL442" s="27" t="n"/>
      <c r="AM442" s="34" t="n"/>
      <c r="AN442" s="35">
        <f>IF(AF442="","",IF(AI442="Yes","❌ Disc",IF(AH442="No","⚠ Missing",IF(AK442="Yes","✓ OK","⚠ Check"))))</f>
        <v/>
      </c>
      <c r="AO442" s="36" t="n"/>
      <c r="AP442" s="36" t="n"/>
      <c r="AQ442" s="36" t="n"/>
      <c r="AR442" s="36" t="n"/>
      <c r="AS442" s="36" t="n"/>
      <c r="AT442" s="36" t="n"/>
      <c r="AU442" s="27" t="n"/>
      <c r="AV442" s="37" t="n"/>
      <c r="AW442" s="38">
        <f>IF(AO442="","",IF(AR442="Yes","❌ Disc",IF(AQ442="No","⚠ Missing",IF(AT442="Yes","✓ OK","⚠ Check"))))</f>
        <v/>
      </c>
    </row>
    <row r="443" ht="18" customHeight="1" s="46">
      <c r="A443" s="23" t="n">
        <v>439</v>
      </c>
      <c r="B443" s="24" t="inlineStr">
        <is>
          <t>BD-VRM-2026-0262</t>
        </is>
      </c>
      <c r="C443" s="25" t="inlineStr">
        <is>
          <t>Excel - Spectrum Wallpaper 5003-5</t>
        </is>
      </c>
      <c r="D443" s="23" t="inlineStr">
        <is>
          <t>Excel</t>
        </is>
      </c>
      <c r="E443" s="43" t="n">
        <v>46125</v>
      </c>
      <c r="F443" s="26" t="inlineStr">
        <is>
          <t>Sunil CR</t>
        </is>
      </c>
      <c r="G443" s="26" t="inlineStr">
        <is>
          <t>Yes</t>
        </is>
      </c>
      <c r="H443" s="26" t="inlineStr">
        <is>
          <t>No</t>
        </is>
      </c>
      <c r="I443" s="26" t="inlineStr">
        <is>
          <t>Good finish</t>
        </is>
      </c>
      <c r="J443" s="26" t="inlineStr">
        <is>
          <t>Yes</t>
        </is>
      </c>
      <c r="K443" s="27" t="n"/>
      <c r="L443" s="28" t="inlineStr">
        <is>
          <t>No</t>
        </is>
      </c>
      <c r="M443" s="29">
        <f>IF(E443="","",IF(H443="Yes","❌ Disc",IF(G443="No","⚠ Missing",IF(J443="Yes","✓ OK","⚠ Check"))))</f>
        <v/>
      </c>
      <c r="N443" s="43" t="n">
        <v>46193</v>
      </c>
      <c r="O443" s="26" t="inlineStr">
        <is>
          <t>Sunil CR</t>
        </is>
      </c>
      <c r="P443" s="26" t="inlineStr">
        <is>
          <t>Yes</t>
        </is>
      </c>
      <c r="Q443" s="26" t="inlineStr">
        <is>
          <t>No</t>
        </is>
      </c>
      <c r="R443" s="26" t="inlineStr">
        <is>
          <t>Good finish</t>
        </is>
      </c>
      <c r="S443" s="26" t="inlineStr">
        <is>
          <t>Yes</t>
        </is>
      </c>
      <c r="T443" s="27" t="n"/>
      <c r="U443" s="28" t="inlineStr">
        <is>
          <t>No</t>
        </is>
      </c>
      <c r="V443" s="29">
        <f>IF(N443="","",IF(Q443="Yes","❌ Disc",IF(P443="No","⚠ Missing",IF(S443="Yes","✓ OK","⚠ Check"))))</f>
        <v/>
      </c>
      <c r="W443" s="65" t="n">
        <v>46248</v>
      </c>
      <c r="X443" s="30" t="inlineStr">
        <is>
          <t>Sunil CR</t>
        </is>
      </c>
      <c r="Y443" s="30" t="inlineStr">
        <is>
          <t>Yes</t>
        </is>
      </c>
      <c r="Z443" s="30" t="n"/>
      <c r="AA443" s="30" t="inlineStr">
        <is>
          <t>Good finish</t>
        </is>
      </c>
      <c r="AB443" s="30" t="inlineStr">
        <is>
          <t>Yes</t>
        </is>
      </c>
      <c r="AC443" s="27" t="n"/>
      <c r="AD443" s="31" t="inlineStr">
        <is>
          <t>No</t>
        </is>
      </c>
      <c r="AE443" s="32">
        <f>IF(W443="","",IF(Z443="Yes","❌ Disc",IF(Y443="No","⚠ Missing",IF(AB443="Yes","✓ OK","⚠ Check"))))</f>
        <v/>
      </c>
      <c r="AF443" s="33" t="n"/>
      <c r="AG443" s="33" t="n"/>
      <c r="AH443" s="33" t="n"/>
      <c r="AI443" s="33" t="n"/>
      <c r="AJ443" s="33" t="n"/>
      <c r="AK443" s="33" t="n"/>
      <c r="AL443" s="27" t="n"/>
      <c r="AM443" s="34" t="n"/>
      <c r="AN443" s="35">
        <f>IF(AF443="","",IF(AI443="Yes","❌ Disc",IF(AH443="No","⚠ Missing",IF(AK443="Yes","✓ OK","⚠ Check"))))</f>
        <v/>
      </c>
      <c r="AO443" s="36" t="n"/>
      <c r="AP443" s="36" t="n"/>
      <c r="AQ443" s="36" t="n"/>
      <c r="AR443" s="36" t="n"/>
      <c r="AS443" s="36" t="n"/>
      <c r="AT443" s="36" t="n"/>
      <c r="AU443" s="27" t="n"/>
      <c r="AV443" s="37" t="n"/>
      <c r="AW443" s="38">
        <f>IF(AO443="","",IF(AR443="Yes","❌ Disc",IF(AQ443="No","⚠ Missing",IF(AT443="Yes","✓ OK","⚠ Check"))))</f>
        <v/>
      </c>
    </row>
    <row r="444" ht="18" customHeight="1" s="46">
      <c r="A444" s="39" t="n">
        <v>440</v>
      </c>
      <c r="B444" s="40" t="inlineStr">
        <is>
          <t>BD-VRM-2026-0247</t>
        </is>
      </c>
      <c r="C444" s="41" t="inlineStr">
        <is>
          <t>Excel - Spectrum Wallpaper 5004-1</t>
        </is>
      </c>
      <c r="D444" s="39" t="inlineStr">
        <is>
          <t>Excel</t>
        </is>
      </c>
      <c r="E444" s="43" t="n">
        <v>46125</v>
      </c>
      <c r="F444" s="26" t="inlineStr">
        <is>
          <t>Sunil CR</t>
        </is>
      </c>
      <c r="G444" s="26" t="inlineStr">
        <is>
          <t>Yes</t>
        </is>
      </c>
      <c r="H444" s="26" t="inlineStr">
        <is>
          <t>No</t>
        </is>
      </c>
      <c r="I444" s="26" t="inlineStr">
        <is>
          <t>Good finish</t>
        </is>
      </c>
      <c r="J444" s="26" t="inlineStr">
        <is>
          <t>Yes</t>
        </is>
      </c>
      <c r="K444" s="27" t="n"/>
      <c r="L444" s="28" t="inlineStr">
        <is>
          <t>No</t>
        </is>
      </c>
      <c r="M444" s="29">
        <f>IF(E444="","",IF(H444="Yes","❌ Disc",IF(G444="No","⚠ Missing",IF(J444="Yes","✓ OK","⚠ Check"))))</f>
        <v/>
      </c>
      <c r="N444" s="43" t="n">
        <v>46193</v>
      </c>
      <c r="O444" s="26" t="inlineStr">
        <is>
          <t>Sunil CR</t>
        </is>
      </c>
      <c r="P444" s="26" t="inlineStr">
        <is>
          <t>Yes</t>
        </is>
      </c>
      <c r="Q444" s="26" t="inlineStr">
        <is>
          <t>No</t>
        </is>
      </c>
      <c r="R444" s="26" t="inlineStr">
        <is>
          <t>Good finish</t>
        </is>
      </c>
      <c r="S444" s="26" t="inlineStr">
        <is>
          <t>Yes</t>
        </is>
      </c>
      <c r="T444" s="27" t="n"/>
      <c r="U444" s="28" t="inlineStr">
        <is>
          <t>No</t>
        </is>
      </c>
      <c r="V444" s="29">
        <f>IF(N444="","",IF(Q444="Yes","❌ Disc",IF(P444="No","⚠ Missing",IF(S444="Yes","✓ OK","⚠ Check"))))</f>
        <v/>
      </c>
      <c r="W444" s="65" t="n">
        <v>46248</v>
      </c>
      <c r="X444" s="30" t="inlineStr">
        <is>
          <t>Sunil CR</t>
        </is>
      </c>
      <c r="Y444" s="30" t="inlineStr">
        <is>
          <t>Yes</t>
        </is>
      </c>
      <c r="Z444" s="30" t="n"/>
      <c r="AA444" s="30" t="inlineStr">
        <is>
          <t>Good finish</t>
        </is>
      </c>
      <c r="AB444" s="30" t="inlineStr">
        <is>
          <t>Yes</t>
        </is>
      </c>
      <c r="AC444" s="27" t="n"/>
      <c r="AD444" s="31" t="inlineStr">
        <is>
          <t>No</t>
        </is>
      </c>
      <c r="AE444" s="32">
        <f>IF(W444="","",IF(Z444="Yes","❌ Disc",IF(Y444="No","⚠ Missing",IF(AB444="Yes","✓ OK","⚠ Check"))))</f>
        <v/>
      </c>
      <c r="AF444" s="33" t="n"/>
      <c r="AG444" s="33" t="n"/>
      <c r="AH444" s="33" t="n"/>
      <c r="AI444" s="33" t="n"/>
      <c r="AJ444" s="33" t="n"/>
      <c r="AK444" s="33" t="n"/>
      <c r="AL444" s="27" t="n"/>
      <c r="AM444" s="34" t="n"/>
      <c r="AN444" s="35">
        <f>IF(AF444="","",IF(AI444="Yes","❌ Disc",IF(AH444="No","⚠ Missing",IF(AK444="Yes","✓ OK","⚠ Check"))))</f>
        <v/>
      </c>
      <c r="AO444" s="36" t="n"/>
      <c r="AP444" s="36" t="n"/>
      <c r="AQ444" s="36" t="n"/>
      <c r="AR444" s="36" t="n"/>
      <c r="AS444" s="36" t="n"/>
      <c r="AT444" s="36" t="n"/>
      <c r="AU444" s="27" t="n"/>
      <c r="AV444" s="37" t="n"/>
      <c r="AW444" s="38">
        <f>IF(AO444="","",IF(AR444="Yes","❌ Disc",IF(AQ444="No","⚠ Missing",IF(AT444="Yes","✓ OK","⚠ Check"))))</f>
        <v/>
      </c>
    </row>
    <row r="445" ht="18" customHeight="1" s="46">
      <c r="A445" s="23" t="n">
        <v>441</v>
      </c>
      <c r="B445" s="24" t="inlineStr">
        <is>
          <t>BD-VRM-2026-0248</t>
        </is>
      </c>
      <c r="C445" s="25" t="inlineStr">
        <is>
          <t>Excel - Spectrum Wallpaper 5004-2</t>
        </is>
      </c>
      <c r="D445" s="23" t="inlineStr">
        <is>
          <t>Excel</t>
        </is>
      </c>
      <c r="E445" s="43" t="n">
        <v>46125</v>
      </c>
      <c r="F445" s="26" t="inlineStr">
        <is>
          <t>Sunil CR</t>
        </is>
      </c>
      <c r="G445" s="26" t="inlineStr">
        <is>
          <t>Yes</t>
        </is>
      </c>
      <c r="H445" s="26" t="inlineStr">
        <is>
          <t>No</t>
        </is>
      </c>
      <c r="I445" s="26" t="inlineStr">
        <is>
          <t>Good finish</t>
        </is>
      </c>
      <c r="J445" s="26" t="inlineStr">
        <is>
          <t>Yes</t>
        </is>
      </c>
      <c r="K445" s="27" t="n"/>
      <c r="L445" s="28" t="inlineStr">
        <is>
          <t>No</t>
        </is>
      </c>
      <c r="M445" s="29">
        <f>IF(E445="","",IF(H445="Yes","❌ Disc",IF(G445="No","⚠ Missing",IF(J445="Yes","✓ OK","⚠ Check"))))</f>
        <v/>
      </c>
      <c r="N445" s="43" t="n">
        <v>46193</v>
      </c>
      <c r="O445" s="26" t="inlineStr">
        <is>
          <t>Sunil CR</t>
        </is>
      </c>
      <c r="P445" s="26" t="inlineStr">
        <is>
          <t>Yes</t>
        </is>
      </c>
      <c r="Q445" s="26" t="inlineStr">
        <is>
          <t>No</t>
        </is>
      </c>
      <c r="R445" s="26" t="inlineStr">
        <is>
          <t>Good finish</t>
        </is>
      </c>
      <c r="S445" s="26" t="inlineStr">
        <is>
          <t>Yes</t>
        </is>
      </c>
      <c r="T445" s="27" t="n"/>
      <c r="U445" s="28" t="inlineStr">
        <is>
          <t>No</t>
        </is>
      </c>
      <c r="V445" s="29">
        <f>IF(N445="","",IF(Q445="Yes","❌ Disc",IF(P445="No","⚠ Missing",IF(S445="Yes","✓ OK","⚠ Check"))))</f>
        <v/>
      </c>
      <c r="W445" s="65" t="n">
        <v>46248</v>
      </c>
      <c r="X445" s="30" t="inlineStr">
        <is>
          <t>Sunil CR</t>
        </is>
      </c>
      <c r="Y445" s="30" t="inlineStr">
        <is>
          <t>Yes</t>
        </is>
      </c>
      <c r="Z445" s="30" t="n"/>
      <c r="AA445" s="30" t="inlineStr">
        <is>
          <t>Good finish</t>
        </is>
      </c>
      <c r="AB445" s="30" t="inlineStr">
        <is>
          <t>Yes</t>
        </is>
      </c>
      <c r="AC445" s="27" t="n"/>
      <c r="AD445" s="31" t="inlineStr">
        <is>
          <t>No</t>
        </is>
      </c>
      <c r="AE445" s="32">
        <f>IF(W445="","",IF(Z445="Yes","❌ Disc",IF(Y445="No","⚠ Missing",IF(AB445="Yes","✓ OK","⚠ Check"))))</f>
        <v/>
      </c>
      <c r="AF445" s="33" t="n"/>
      <c r="AG445" s="33" t="n"/>
      <c r="AH445" s="33" t="n"/>
      <c r="AI445" s="33" t="n"/>
      <c r="AJ445" s="33" t="n"/>
      <c r="AK445" s="33" t="n"/>
      <c r="AL445" s="27" t="n"/>
      <c r="AM445" s="34" t="n"/>
      <c r="AN445" s="35">
        <f>IF(AF445="","",IF(AI445="Yes","❌ Disc",IF(AH445="No","⚠ Missing",IF(AK445="Yes","✓ OK","⚠ Check"))))</f>
        <v/>
      </c>
      <c r="AO445" s="36" t="n"/>
      <c r="AP445" s="36" t="n"/>
      <c r="AQ445" s="36" t="n"/>
      <c r="AR445" s="36" t="n"/>
      <c r="AS445" s="36" t="n"/>
      <c r="AT445" s="36" t="n"/>
      <c r="AU445" s="27" t="n"/>
      <c r="AV445" s="37" t="n"/>
      <c r="AW445" s="38">
        <f>IF(AO445="","",IF(AR445="Yes","❌ Disc",IF(AQ445="No","⚠ Missing",IF(AT445="Yes","✓ OK","⚠ Check"))))</f>
        <v/>
      </c>
    </row>
    <row r="446" ht="18" customHeight="1" s="46">
      <c r="A446" s="39" t="n">
        <v>442</v>
      </c>
      <c r="B446" s="40" t="inlineStr">
        <is>
          <t>BD-VRM-2026-0249</t>
        </is>
      </c>
      <c r="C446" s="41" t="inlineStr">
        <is>
          <t>Excel - Spectrum Wallpaper 5004-3</t>
        </is>
      </c>
      <c r="D446" s="39" t="inlineStr">
        <is>
          <t>Excel</t>
        </is>
      </c>
      <c r="E446" s="43" t="n">
        <v>46125</v>
      </c>
      <c r="F446" s="26" t="inlineStr">
        <is>
          <t>Sunil CR</t>
        </is>
      </c>
      <c r="G446" s="26" t="inlineStr">
        <is>
          <t>Yes</t>
        </is>
      </c>
      <c r="H446" s="26" t="inlineStr">
        <is>
          <t>No</t>
        </is>
      </c>
      <c r="I446" s="26" t="inlineStr">
        <is>
          <t>Good finish</t>
        </is>
      </c>
      <c r="J446" s="26" t="inlineStr">
        <is>
          <t>Yes</t>
        </is>
      </c>
      <c r="K446" s="27" t="n"/>
      <c r="L446" s="28" t="inlineStr">
        <is>
          <t>No</t>
        </is>
      </c>
      <c r="M446" s="29">
        <f>IF(E446="","",IF(H446="Yes","❌ Disc",IF(G446="No","⚠ Missing",IF(J446="Yes","✓ OK","⚠ Check"))))</f>
        <v/>
      </c>
      <c r="N446" s="43" t="n">
        <v>46193</v>
      </c>
      <c r="O446" s="26" t="inlineStr">
        <is>
          <t>Sunil CR</t>
        </is>
      </c>
      <c r="P446" s="26" t="inlineStr">
        <is>
          <t>Yes</t>
        </is>
      </c>
      <c r="Q446" s="26" t="inlineStr">
        <is>
          <t>No</t>
        </is>
      </c>
      <c r="R446" s="26" t="inlineStr">
        <is>
          <t>Good finish</t>
        </is>
      </c>
      <c r="S446" s="26" t="inlineStr">
        <is>
          <t>Yes</t>
        </is>
      </c>
      <c r="T446" s="27" t="n"/>
      <c r="U446" s="28" t="inlineStr">
        <is>
          <t>No</t>
        </is>
      </c>
      <c r="V446" s="29">
        <f>IF(N446="","",IF(Q446="Yes","❌ Disc",IF(P446="No","⚠ Missing",IF(S446="Yes","✓ OK","⚠ Check"))))</f>
        <v/>
      </c>
      <c r="W446" s="65" t="n">
        <v>46248</v>
      </c>
      <c r="X446" s="30" t="inlineStr">
        <is>
          <t>Sunil CR</t>
        </is>
      </c>
      <c r="Y446" s="30" t="inlineStr">
        <is>
          <t>Yes</t>
        </is>
      </c>
      <c r="Z446" s="30" t="n"/>
      <c r="AA446" s="30" t="inlineStr">
        <is>
          <t>Good finish</t>
        </is>
      </c>
      <c r="AB446" s="30" t="inlineStr">
        <is>
          <t>Yes</t>
        </is>
      </c>
      <c r="AC446" s="27" t="n"/>
      <c r="AD446" s="31" t="inlineStr">
        <is>
          <t>No</t>
        </is>
      </c>
      <c r="AE446" s="32">
        <f>IF(W446="","",IF(Z446="Yes","❌ Disc",IF(Y446="No","⚠ Missing",IF(AB446="Yes","✓ OK","⚠ Check"))))</f>
        <v/>
      </c>
      <c r="AF446" s="33" t="n"/>
      <c r="AG446" s="33" t="n"/>
      <c r="AH446" s="33" t="n"/>
      <c r="AI446" s="33" t="n"/>
      <c r="AJ446" s="33" t="n"/>
      <c r="AK446" s="33" t="n"/>
      <c r="AL446" s="27" t="n"/>
      <c r="AM446" s="34" t="n"/>
      <c r="AN446" s="35">
        <f>IF(AF446="","",IF(AI446="Yes","❌ Disc",IF(AH446="No","⚠ Missing",IF(AK446="Yes","✓ OK","⚠ Check"))))</f>
        <v/>
      </c>
      <c r="AO446" s="36" t="n"/>
      <c r="AP446" s="36" t="n"/>
      <c r="AQ446" s="36" t="n"/>
      <c r="AR446" s="36" t="n"/>
      <c r="AS446" s="36" t="n"/>
      <c r="AT446" s="36" t="n"/>
      <c r="AU446" s="27" t="n"/>
      <c r="AV446" s="37" t="n"/>
      <c r="AW446" s="38">
        <f>IF(AO446="","",IF(AR446="Yes","❌ Disc",IF(AQ446="No","⚠ Missing",IF(AT446="Yes","✓ OK","⚠ Check"))))</f>
        <v/>
      </c>
    </row>
    <row r="447" ht="18" customHeight="1" s="46">
      <c r="A447" s="23" t="n">
        <v>443</v>
      </c>
      <c r="B447" s="24" t="inlineStr">
        <is>
          <t>BD-VRM-2026-0250</t>
        </is>
      </c>
      <c r="C447" s="25" t="inlineStr">
        <is>
          <t>Excel - Spectrum Wallpaper 5004-4</t>
        </is>
      </c>
      <c r="D447" s="23" t="inlineStr">
        <is>
          <t>Excel</t>
        </is>
      </c>
      <c r="E447" s="43" t="n">
        <v>46125</v>
      </c>
      <c r="F447" s="26" t="inlineStr">
        <is>
          <t>Sunil CR</t>
        </is>
      </c>
      <c r="G447" s="26" t="inlineStr">
        <is>
          <t>Yes</t>
        </is>
      </c>
      <c r="H447" s="26" t="inlineStr">
        <is>
          <t>No</t>
        </is>
      </c>
      <c r="I447" s="26" t="inlineStr">
        <is>
          <t>Good finish</t>
        </is>
      </c>
      <c r="J447" s="26" t="inlineStr">
        <is>
          <t>Yes</t>
        </is>
      </c>
      <c r="K447" s="27" t="n"/>
      <c r="L447" s="28" t="inlineStr">
        <is>
          <t>No</t>
        </is>
      </c>
      <c r="M447" s="29">
        <f>IF(E447="","",IF(H447="Yes","❌ Disc",IF(G447="No","⚠ Missing",IF(J447="Yes","✓ OK","⚠ Check"))))</f>
        <v/>
      </c>
      <c r="N447" s="43" t="n">
        <v>46193</v>
      </c>
      <c r="O447" s="26" t="inlineStr">
        <is>
          <t>Sunil CR</t>
        </is>
      </c>
      <c r="P447" s="26" t="inlineStr">
        <is>
          <t>Yes</t>
        </is>
      </c>
      <c r="Q447" s="26" t="inlineStr">
        <is>
          <t>No</t>
        </is>
      </c>
      <c r="R447" s="26" t="inlineStr">
        <is>
          <t>Good finish</t>
        </is>
      </c>
      <c r="S447" s="26" t="inlineStr">
        <is>
          <t>Yes</t>
        </is>
      </c>
      <c r="T447" s="27" t="n"/>
      <c r="U447" s="28" t="inlineStr">
        <is>
          <t>No</t>
        </is>
      </c>
      <c r="V447" s="29">
        <f>IF(N447="","",IF(Q447="Yes","❌ Disc",IF(P447="No","⚠ Missing",IF(S447="Yes","✓ OK","⚠ Check"))))</f>
        <v/>
      </c>
      <c r="W447" s="65" t="n">
        <v>46248</v>
      </c>
      <c r="X447" s="30" t="inlineStr">
        <is>
          <t>Sunil CR</t>
        </is>
      </c>
      <c r="Y447" s="30" t="inlineStr">
        <is>
          <t>Yes</t>
        </is>
      </c>
      <c r="Z447" s="30" t="n"/>
      <c r="AA447" s="30" t="inlineStr">
        <is>
          <t>Good finish</t>
        </is>
      </c>
      <c r="AB447" s="30" t="inlineStr">
        <is>
          <t>Yes</t>
        </is>
      </c>
      <c r="AC447" s="27" t="n"/>
      <c r="AD447" s="31" t="inlineStr">
        <is>
          <t>No</t>
        </is>
      </c>
      <c r="AE447" s="32">
        <f>IF(W447="","",IF(Z447="Yes","❌ Disc",IF(Y447="No","⚠ Missing",IF(AB447="Yes","✓ OK","⚠ Check"))))</f>
        <v/>
      </c>
      <c r="AF447" s="33" t="n"/>
      <c r="AG447" s="33" t="n"/>
      <c r="AH447" s="33" t="n"/>
      <c r="AI447" s="33" t="n"/>
      <c r="AJ447" s="33" t="n"/>
      <c r="AK447" s="33" t="n"/>
      <c r="AL447" s="27" t="n"/>
      <c r="AM447" s="34" t="n"/>
      <c r="AN447" s="35">
        <f>IF(AF447="","",IF(AI447="Yes","❌ Disc",IF(AH447="No","⚠ Missing",IF(AK447="Yes","✓ OK","⚠ Check"))))</f>
        <v/>
      </c>
      <c r="AO447" s="36" t="n"/>
      <c r="AP447" s="36" t="n"/>
      <c r="AQ447" s="36" t="n"/>
      <c r="AR447" s="36" t="n"/>
      <c r="AS447" s="36" t="n"/>
      <c r="AT447" s="36" t="n"/>
      <c r="AU447" s="27" t="n"/>
      <c r="AV447" s="37" t="n"/>
      <c r="AW447" s="38">
        <f>IF(AO447="","",IF(AR447="Yes","❌ Disc",IF(AQ447="No","⚠ Missing",IF(AT447="Yes","✓ OK","⚠ Check"))))</f>
        <v/>
      </c>
    </row>
    <row r="448" ht="18" customHeight="1" s="46">
      <c r="A448" s="39" t="n">
        <v>444</v>
      </c>
      <c r="B448" s="40" t="inlineStr">
        <is>
          <t>BD-VRM-2026-0251</t>
        </is>
      </c>
      <c r="C448" s="41" t="inlineStr">
        <is>
          <t>Excel - Spectrum Wallpaper 5004-5</t>
        </is>
      </c>
      <c r="D448" s="39" t="inlineStr">
        <is>
          <t>Excel</t>
        </is>
      </c>
      <c r="E448" s="43" t="n">
        <v>46125</v>
      </c>
      <c r="F448" s="26" t="inlineStr">
        <is>
          <t>Sunil CR</t>
        </is>
      </c>
      <c r="G448" s="26" t="inlineStr">
        <is>
          <t>Yes</t>
        </is>
      </c>
      <c r="H448" s="26" t="inlineStr">
        <is>
          <t>No</t>
        </is>
      </c>
      <c r="I448" s="26" t="inlineStr">
        <is>
          <t>Good finish</t>
        </is>
      </c>
      <c r="J448" s="26" t="inlineStr">
        <is>
          <t>Yes</t>
        </is>
      </c>
      <c r="K448" s="27" t="n"/>
      <c r="L448" s="28" t="inlineStr">
        <is>
          <t>No</t>
        </is>
      </c>
      <c r="M448" s="29">
        <f>IF(E448="","",IF(H448="Yes","❌ Disc",IF(G448="No","⚠ Missing",IF(J448="Yes","✓ OK","⚠ Check"))))</f>
        <v/>
      </c>
      <c r="N448" s="43" t="n">
        <v>46193</v>
      </c>
      <c r="O448" s="26" t="inlineStr">
        <is>
          <t>Sunil CR</t>
        </is>
      </c>
      <c r="P448" s="26" t="inlineStr">
        <is>
          <t>Yes</t>
        </is>
      </c>
      <c r="Q448" s="26" t="inlineStr">
        <is>
          <t>No</t>
        </is>
      </c>
      <c r="R448" s="26" t="inlineStr">
        <is>
          <t>Good finish</t>
        </is>
      </c>
      <c r="S448" s="26" t="inlineStr">
        <is>
          <t>Yes</t>
        </is>
      </c>
      <c r="T448" s="27" t="n"/>
      <c r="U448" s="28" t="inlineStr">
        <is>
          <t>No</t>
        </is>
      </c>
      <c r="V448" s="29">
        <f>IF(N448="","",IF(Q448="Yes","❌ Disc",IF(P448="No","⚠ Missing",IF(S448="Yes","✓ OK","⚠ Check"))))</f>
        <v/>
      </c>
      <c r="W448" s="65" t="n">
        <v>46248</v>
      </c>
      <c r="X448" s="30" t="inlineStr">
        <is>
          <t>Sunil CR</t>
        </is>
      </c>
      <c r="Y448" s="30" t="inlineStr">
        <is>
          <t>Yes</t>
        </is>
      </c>
      <c r="Z448" s="30" t="n"/>
      <c r="AA448" s="30" t="inlineStr">
        <is>
          <t>Good finish</t>
        </is>
      </c>
      <c r="AB448" s="30" t="inlineStr">
        <is>
          <t>Yes</t>
        </is>
      </c>
      <c r="AC448" s="27" t="n"/>
      <c r="AD448" s="31" t="inlineStr">
        <is>
          <t>No</t>
        </is>
      </c>
      <c r="AE448" s="32">
        <f>IF(W448="","",IF(Z448="Yes","❌ Disc",IF(Y448="No","⚠ Missing",IF(AB448="Yes","✓ OK","⚠ Check"))))</f>
        <v/>
      </c>
      <c r="AF448" s="33" t="n"/>
      <c r="AG448" s="33" t="n"/>
      <c r="AH448" s="33" t="n"/>
      <c r="AI448" s="33" t="n"/>
      <c r="AJ448" s="33" t="n"/>
      <c r="AK448" s="33" t="n"/>
      <c r="AL448" s="27" t="n"/>
      <c r="AM448" s="34" t="n"/>
      <c r="AN448" s="35">
        <f>IF(AF448="","",IF(AI448="Yes","❌ Disc",IF(AH448="No","⚠ Missing",IF(AK448="Yes","✓ OK","⚠ Check"))))</f>
        <v/>
      </c>
      <c r="AO448" s="36" t="n"/>
      <c r="AP448" s="36" t="n"/>
      <c r="AQ448" s="36" t="n"/>
      <c r="AR448" s="36" t="n"/>
      <c r="AS448" s="36" t="n"/>
      <c r="AT448" s="36" t="n"/>
      <c r="AU448" s="27" t="n"/>
      <c r="AV448" s="37" t="n"/>
      <c r="AW448" s="38">
        <f>IF(AO448="","",IF(AR448="Yes","❌ Disc",IF(AQ448="No","⚠ Missing",IF(AT448="Yes","✓ OK","⚠ Check"))))</f>
        <v/>
      </c>
    </row>
    <row r="449" ht="18" customHeight="1" s="46">
      <c r="A449" s="23" t="n">
        <v>445</v>
      </c>
      <c r="B449" s="24" t="inlineStr">
        <is>
          <t>BD-VRM-2026-0263</t>
        </is>
      </c>
      <c r="C449" s="25" t="inlineStr">
        <is>
          <t>Excel - Spectrum Wallpaper 5005-1</t>
        </is>
      </c>
      <c r="D449" s="23" t="inlineStr">
        <is>
          <t>Excel</t>
        </is>
      </c>
      <c r="E449" s="43" t="n">
        <v>46125</v>
      </c>
      <c r="F449" s="26" t="inlineStr">
        <is>
          <t>Sunil CR</t>
        </is>
      </c>
      <c r="G449" s="26" t="inlineStr">
        <is>
          <t>Yes</t>
        </is>
      </c>
      <c r="H449" s="26" t="inlineStr">
        <is>
          <t>No</t>
        </is>
      </c>
      <c r="I449" s="26" t="inlineStr">
        <is>
          <t>Good finish</t>
        </is>
      </c>
      <c r="J449" s="26" t="inlineStr">
        <is>
          <t>Yes</t>
        </is>
      </c>
      <c r="K449" s="27" t="n"/>
      <c r="L449" s="28" t="inlineStr">
        <is>
          <t>No</t>
        </is>
      </c>
      <c r="M449" s="29">
        <f>IF(E449="","",IF(H449="Yes","❌ Disc",IF(G449="No","⚠ Missing",IF(J449="Yes","✓ OK","⚠ Check"))))</f>
        <v/>
      </c>
      <c r="N449" s="43" t="n">
        <v>46193</v>
      </c>
      <c r="O449" s="26" t="inlineStr">
        <is>
          <t>Sunil CR</t>
        </is>
      </c>
      <c r="P449" s="26" t="inlineStr">
        <is>
          <t>Yes</t>
        </is>
      </c>
      <c r="Q449" s="26" t="inlineStr">
        <is>
          <t>No</t>
        </is>
      </c>
      <c r="R449" s="26" t="inlineStr">
        <is>
          <t>Good finish</t>
        </is>
      </c>
      <c r="S449" s="26" t="inlineStr">
        <is>
          <t>Yes</t>
        </is>
      </c>
      <c r="T449" s="27" t="n"/>
      <c r="U449" s="28" t="inlineStr">
        <is>
          <t>No</t>
        </is>
      </c>
      <c r="V449" s="29">
        <f>IF(N449="","",IF(Q449="Yes","❌ Disc",IF(P449="No","⚠ Missing",IF(S449="Yes","✓ OK","⚠ Check"))))</f>
        <v/>
      </c>
      <c r="W449" s="65" t="n">
        <v>46248</v>
      </c>
      <c r="X449" s="30" t="inlineStr">
        <is>
          <t>Sunil CR</t>
        </is>
      </c>
      <c r="Y449" s="30" t="inlineStr">
        <is>
          <t>Yes</t>
        </is>
      </c>
      <c r="Z449" s="30" t="n"/>
      <c r="AA449" s="30" t="inlineStr">
        <is>
          <t>Good finish</t>
        </is>
      </c>
      <c r="AB449" s="30" t="inlineStr">
        <is>
          <t>Yes</t>
        </is>
      </c>
      <c r="AC449" s="27" t="n"/>
      <c r="AD449" s="31" t="inlineStr">
        <is>
          <t>No</t>
        </is>
      </c>
      <c r="AE449" s="32">
        <f>IF(W449="","",IF(Z449="Yes","❌ Disc",IF(Y449="No","⚠ Missing",IF(AB449="Yes","✓ OK","⚠ Check"))))</f>
        <v/>
      </c>
      <c r="AF449" s="33" t="n"/>
      <c r="AG449" s="33" t="n"/>
      <c r="AH449" s="33" t="n"/>
      <c r="AI449" s="33" t="n"/>
      <c r="AJ449" s="33" t="n"/>
      <c r="AK449" s="33" t="n"/>
      <c r="AL449" s="27" t="n"/>
      <c r="AM449" s="34" t="n"/>
      <c r="AN449" s="35">
        <f>IF(AF449="","",IF(AI449="Yes","❌ Disc",IF(AH449="No","⚠ Missing",IF(AK449="Yes","✓ OK","⚠ Check"))))</f>
        <v/>
      </c>
      <c r="AO449" s="36" t="n"/>
      <c r="AP449" s="36" t="n"/>
      <c r="AQ449" s="36" t="n"/>
      <c r="AR449" s="36" t="n"/>
      <c r="AS449" s="36" t="n"/>
      <c r="AT449" s="36" t="n"/>
      <c r="AU449" s="27" t="n"/>
      <c r="AV449" s="37" t="n"/>
      <c r="AW449" s="38">
        <f>IF(AO449="","",IF(AR449="Yes","❌ Disc",IF(AQ449="No","⚠ Missing",IF(AT449="Yes","✓ OK","⚠ Check"))))</f>
        <v/>
      </c>
    </row>
    <row r="450" ht="18" customHeight="1" s="46">
      <c r="A450" s="39" t="n">
        <v>446</v>
      </c>
      <c r="B450" s="40" t="inlineStr">
        <is>
          <t>BD-VRM-2026-0264</t>
        </is>
      </c>
      <c r="C450" s="41" t="inlineStr">
        <is>
          <t>Excel - Spectrum Wallpaper 5005-2</t>
        </is>
      </c>
      <c r="D450" s="39" t="inlineStr">
        <is>
          <t>Excel</t>
        </is>
      </c>
      <c r="E450" s="43" t="n">
        <v>46125</v>
      </c>
      <c r="F450" s="26" t="inlineStr">
        <is>
          <t>Sunil CR</t>
        </is>
      </c>
      <c r="G450" s="26" t="inlineStr">
        <is>
          <t>Yes</t>
        </is>
      </c>
      <c r="H450" s="26" t="inlineStr">
        <is>
          <t>No</t>
        </is>
      </c>
      <c r="I450" s="26" t="inlineStr">
        <is>
          <t>Good finish</t>
        </is>
      </c>
      <c r="J450" s="26" t="inlineStr">
        <is>
          <t>Yes</t>
        </is>
      </c>
      <c r="K450" s="27" t="n"/>
      <c r="L450" s="28" t="inlineStr">
        <is>
          <t>No</t>
        </is>
      </c>
      <c r="M450" s="29">
        <f>IF(E450="","",IF(H450="Yes","❌ Disc",IF(G450="No","⚠ Missing",IF(J450="Yes","✓ OK","⚠ Check"))))</f>
        <v/>
      </c>
      <c r="N450" s="43" t="n">
        <v>46193</v>
      </c>
      <c r="O450" s="26" t="inlineStr">
        <is>
          <t>Sunil CR</t>
        </is>
      </c>
      <c r="P450" s="26" t="inlineStr">
        <is>
          <t>Yes</t>
        </is>
      </c>
      <c r="Q450" s="26" t="inlineStr">
        <is>
          <t>No</t>
        </is>
      </c>
      <c r="R450" s="26" t="inlineStr">
        <is>
          <t>Good finish</t>
        </is>
      </c>
      <c r="S450" s="26" t="inlineStr">
        <is>
          <t>Yes</t>
        </is>
      </c>
      <c r="T450" s="27" t="n"/>
      <c r="U450" s="28" t="inlineStr">
        <is>
          <t>No</t>
        </is>
      </c>
      <c r="V450" s="29">
        <f>IF(N450="","",IF(Q450="Yes","❌ Disc",IF(P450="No","⚠ Missing",IF(S450="Yes","✓ OK","⚠ Check"))))</f>
        <v/>
      </c>
      <c r="W450" s="65" t="n">
        <v>46248</v>
      </c>
      <c r="X450" s="30" t="inlineStr">
        <is>
          <t>Sunil CR</t>
        </is>
      </c>
      <c r="Y450" s="30" t="inlineStr">
        <is>
          <t>Yes</t>
        </is>
      </c>
      <c r="Z450" s="30" t="n"/>
      <c r="AA450" s="30" t="inlineStr">
        <is>
          <t>Good finish</t>
        </is>
      </c>
      <c r="AB450" s="30" t="inlineStr">
        <is>
          <t>Yes</t>
        </is>
      </c>
      <c r="AC450" s="27" t="n"/>
      <c r="AD450" s="31" t="inlineStr">
        <is>
          <t>No</t>
        </is>
      </c>
      <c r="AE450" s="32">
        <f>IF(W450="","",IF(Z450="Yes","❌ Disc",IF(Y450="No","⚠ Missing",IF(AB450="Yes","✓ OK","⚠ Check"))))</f>
        <v/>
      </c>
      <c r="AF450" s="33" t="n"/>
      <c r="AG450" s="33" t="n"/>
      <c r="AH450" s="33" t="n"/>
      <c r="AI450" s="33" t="n"/>
      <c r="AJ450" s="33" t="n"/>
      <c r="AK450" s="33" t="n"/>
      <c r="AL450" s="27" t="n"/>
      <c r="AM450" s="34" t="n"/>
      <c r="AN450" s="35">
        <f>IF(AF450="","",IF(AI450="Yes","❌ Disc",IF(AH450="No","⚠ Missing",IF(AK450="Yes","✓ OK","⚠ Check"))))</f>
        <v/>
      </c>
      <c r="AO450" s="36" t="n"/>
      <c r="AP450" s="36" t="n"/>
      <c r="AQ450" s="36" t="n"/>
      <c r="AR450" s="36" t="n"/>
      <c r="AS450" s="36" t="n"/>
      <c r="AT450" s="36" t="n"/>
      <c r="AU450" s="27" t="n"/>
      <c r="AV450" s="37" t="n"/>
      <c r="AW450" s="38">
        <f>IF(AO450="","",IF(AR450="Yes","❌ Disc",IF(AQ450="No","⚠ Missing",IF(AT450="Yes","✓ OK","⚠ Check"))))</f>
        <v/>
      </c>
    </row>
    <row r="451" ht="18" customHeight="1" s="46">
      <c r="A451" s="23" t="n">
        <v>447</v>
      </c>
      <c r="B451" s="24" t="inlineStr">
        <is>
          <t>BD-VRM-2026-0265</t>
        </is>
      </c>
      <c r="C451" s="25" t="inlineStr">
        <is>
          <t>Excel - Spectrum Wallpaper 5005-3</t>
        </is>
      </c>
      <c r="D451" s="23" t="inlineStr">
        <is>
          <t>Excel</t>
        </is>
      </c>
      <c r="E451" s="43" t="n">
        <v>46125</v>
      </c>
      <c r="F451" s="26" t="inlineStr">
        <is>
          <t>Sunil CR</t>
        </is>
      </c>
      <c r="G451" s="26" t="inlineStr">
        <is>
          <t>Yes</t>
        </is>
      </c>
      <c r="H451" s="26" t="inlineStr">
        <is>
          <t>No</t>
        </is>
      </c>
      <c r="I451" s="26" t="inlineStr">
        <is>
          <t>Good finish</t>
        </is>
      </c>
      <c r="J451" s="26" t="inlineStr">
        <is>
          <t>Yes</t>
        </is>
      </c>
      <c r="K451" s="27" t="n"/>
      <c r="L451" s="28" t="inlineStr">
        <is>
          <t>No</t>
        </is>
      </c>
      <c r="M451" s="29">
        <f>IF(E451="","",IF(H451="Yes","❌ Disc",IF(G451="No","⚠ Missing",IF(J451="Yes","✓ OK","⚠ Check"))))</f>
        <v/>
      </c>
      <c r="N451" s="43" t="n">
        <v>46193</v>
      </c>
      <c r="O451" s="26" t="inlineStr">
        <is>
          <t>Sunil CR</t>
        </is>
      </c>
      <c r="P451" s="26" t="inlineStr">
        <is>
          <t>Yes</t>
        </is>
      </c>
      <c r="Q451" s="26" t="inlineStr">
        <is>
          <t>No</t>
        </is>
      </c>
      <c r="R451" s="26" t="inlineStr">
        <is>
          <t>Good finish</t>
        </is>
      </c>
      <c r="S451" s="26" t="inlineStr">
        <is>
          <t>Yes</t>
        </is>
      </c>
      <c r="T451" s="27" t="n"/>
      <c r="U451" s="28" t="inlineStr">
        <is>
          <t>No</t>
        </is>
      </c>
      <c r="V451" s="29">
        <f>IF(N451="","",IF(Q451="Yes","❌ Disc",IF(P451="No","⚠ Missing",IF(S451="Yes","✓ OK","⚠ Check"))))</f>
        <v/>
      </c>
      <c r="W451" s="65" t="n">
        <v>46248</v>
      </c>
      <c r="X451" s="30" t="inlineStr">
        <is>
          <t>Sunil CR</t>
        </is>
      </c>
      <c r="Y451" s="30" t="inlineStr">
        <is>
          <t>Yes</t>
        </is>
      </c>
      <c r="Z451" s="30" t="n"/>
      <c r="AA451" s="30" t="inlineStr">
        <is>
          <t>Good finish</t>
        </is>
      </c>
      <c r="AB451" s="30" t="inlineStr">
        <is>
          <t>Yes</t>
        </is>
      </c>
      <c r="AC451" s="27" t="n"/>
      <c r="AD451" s="31" t="inlineStr">
        <is>
          <t>No</t>
        </is>
      </c>
      <c r="AE451" s="32">
        <f>IF(W451="","",IF(Z451="Yes","❌ Disc",IF(Y451="No","⚠ Missing",IF(AB451="Yes","✓ OK","⚠ Check"))))</f>
        <v/>
      </c>
      <c r="AF451" s="33" t="n"/>
      <c r="AG451" s="33" t="n"/>
      <c r="AH451" s="33" t="n"/>
      <c r="AI451" s="33" t="n"/>
      <c r="AJ451" s="33" t="n"/>
      <c r="AK451" s="33" t="n"/>
      <c r="AL451" s="27" t="n"/>
      <c r="AM451" s="34" t="n"/>
      <c r="AN451" s="35">
        <f>IF(AF451="","",IF(AI451="Yes","❌ Disc",IF(AH451="No","⚠ Missing",IF(AK451="Yes","✓ OK","⚠ Check"))))</f>
        <v/>
      </c>
      <c r="AO451" s="36" t="n"/>
      <c r="AP451" s="36" t="n"/>
      <c r="AQ451" s="36" t="n"/>
      <c r="AR451" s="36" t="n"/>
      <c r="AS451" s="36" t="n"/>
      <c r="AT451" s="36" t="n"/>
      <c r="AU451" s="27" t="n"/>
      <c r="AV451" s="37" t="n"/>
      <c r="AW451" s="38">
        <f>IF(AO451="","",IF(AR451="Yes","❌ Disc",IF(AQ451="No","⚠ Missing",IF(AT451="Yes","✓ OK","⚠ Check"))))</f>
        <v/>
      </c>
    </row>
    <row r="452" ht="18" customHeight="1" s="46">
      <c r="A452" s="39" t="n">
        <v>448</v>
      </c>
      <c r="B452" s="40" t="inlineStr">
        <is>
          <t>BD-VRM-2026-0266</t>
        </is>
      </c>
      <c r="C452" s="41" t="inlineStr">
        <is>
          <t>Excel - Spectrum Wallpaper 5005-4</t>
        </is>
      </c>
      <c r="D452" s="39" t="inlineStr">
        <is>
          <t>Excel</t>
        </is>
      </c>
      <c r="E452" s="43" t="n">
        <v>46125</v>
      </c>
      <c r="F452" s="26" t="inlineStr">
        <is>
          <t>Sunil CR</t>
        </is>
      </c>
      <c r="G452" s="26" t="inlineStr">
        <is>
          <t>Yes</t>
        </is>
      </c>
      <c r="H452" s="26" t="inlineStr">
        <is>
          <t>No</t>
        </is>
      </c>
      <c r="I452" s="26" t="inlineStr">
        <is>
          <t>Good finish</t>
        </is>
      </c>
      <c r="J452" s="26" t="inlineStr">
        <is>
          <t>Yes</t>
        </is>
      </c>
      <c r="K452" s="27" t="n"/>
      <c r="L452" s="28" t="inlineStr">
        <is>
          <t>No</t>
        </is>
      </c>
      <c r="M452" s="29">
        <f>IF(E452="","",IF(H452="Yes","❌ Disc",IF(G452="No","⚠ Missing",IF(J452="Yes","✓ OK","⚠ Check"))))</f>
        <v/>
      </c>
      <c r="N452" s="43" t="n">
        <v>46193</v>
      </c>
      <c r="O452" s="26" t="inlineStr">
        <is>
          <t>Sunil CR</t>
        </is>
      </c>
      <c r="P452" s="26" t="inlineStr">
        <is>
          <t>Yes</t>
        </is>
      </c>
      <c r="Q452" s="26" t="inlineStr">
        <is>
          <t>No</t>
        </is>
      </c>
      <c r="R452" s="26" t="inlineStr">
        <is>
          <t>Good finish</t>
        </is>
      </c>
      <c r="S452" s="26" t="inlineStr">
        <is>
          <t>Yes</t>
        </is>
      </c>
      <c r="T452" s="27" t="n"/>
      <c r="U452" s="28" t="inlineStr">
        <is>
          <t>No</t>
        </is>
      </c>
      <c r="V452" s="29">
        <f>IF(N452="","",IF(Q452="Yes","❌ Disc",IF(P452="No","⚠ Missing",IF(S452="Yes","✓ OK","⚠ Check"))))</f>
        <v/>
      </c>
      <c r="W452" s="65" t="n">
        <v>46248</v>
      </c>
      <c r="X452" s="30" t="inlineStr">
        <is>
          <t>Sunil CR</t>
        </is>
      </c>
      <c r="Y452" s="30" t="inlineStr">
        <is>
          <t>Yes</t>
        </is>
      </c>
      <c r="Z452" s="30" t="n"/>
      <c r="AA452" s="30" t="inlineStr">
        <is>
          <t>Good finish</t>
        </is>
      </c>
      <c r="AB452" s="30" t="inlineStr">
        <is>
          <t>Yes</t>
        </is>
      </c>
      <c r="AC452" s="27" t="n"/>
      <c r="AD452" s="31" t="inlineStr">
        <is>
          <t>No</t>
        </is>
      </c>
      <c r="AE452" s="32">
        <f>IF(W452="","",IF(Z452="Yes","❌ Disc",IF(Y452="No","⚠ Missing",IF(AB452="Yes","✓ OK","⚠ Check"))))</f>
        <v/>
      </c>
      <c r="AF452" s="33" t="n"/>
      <c r="AG452" s="33" t="n"/>
      <c r="AH452" s="33" t="n"/>
      <c r="AI452" s="33" t="n"/>
      <c r="AJ452" s="33" t="n"/>
      <c r="AK452" s="33" t="n"/>
      <c r="AL452" s="27" t="n"/>
      <c r="AM452" s="34" t="n"/>
      <c r="AN452" s="35">
        <f>IF(AF452="","",IF(AI452="Yes","❌ Disc",IF(AH452="No","⚠ Missing",IF(AK452="Yes","✓ OK","⚠ Check"))))</f>
        <v/>
      </c>
      <c r="AO452" s="36" t="n"/>
      <c r="AP452" s="36" t="n"/>
      <c r="AQ452" s="36" t="n"/>
      <c r="AR452" s="36" t="n"/>
      <c r="AS452" s="36" t="n"/>
      <c r="AT452" s="36" t="n"/>
      <c r="AU452" s="27" t="n"/>
      <c r="AV452" s="37" t="n"/>
      <c r="AW452" s="38">
        <f>IF(AO452="","",IF(AR452="Yes","❌ Disc",IF(AQ452="No","⚠ Missing",IF(AT452="Yes","✓ OK","⚠ Check"))))</f>
        <v/>
      </c>
    </row>
    <row r="453" ht="18" customHeight="1" s="46">
      <c r="A453" s="23" t="n">
        <v>449</v>
      </c>
      <c r="B453" s="24" t="inlineStr">
        <is>
          <t>BD-VRM-2026-0267</t>
        </is>
      </c>
      <c r="C453" s="25" t="inlineStr">
        <is>
          <t>Excel - Spectrum Wallpaper 5005-5</t>
        </is>
      </c>
      <c r="D453" s="23" t="inlineStr">
        <is>
          <t>Excel</t>
        </is>
      </c>
      <c r="E453" s="43" t="n">
        <v>46125</v>
      </c>
      <c r="F453" s="26" t="inlineStr">
        <is>
          <t>Sunil CR</t>
        </is>
      </c>
      <c r="G453" s="26" t="inlineStr">
        <is>
          <t>Yes</t>
        </is>
      </c>
      <c r="H453" s="26" t="inlineStr">
        <is>
          <t>No</t>
        </is>
      </c>
      <c r="I453" s="26" t="inlineStr">
        <is>
          <t>Good finish</t>
        </is>
      </c>
      <c r="J453" s="26" t="inlineStr">
        <is>
          <t>Yes</t>
        </is>
      </c>
      <c r="K453" s="27" t="n"/>
      <c r="L453" s="28" t="inlineStr">
        <is>
          <t>No</t>
        </is>
      </c>
      <c r="M453" s="29">
        <f>IF(E453="","",IF(H453="Yes","❌ Disc",IF(G453="No","⚠ Missing",IF(J453="Yes","✓ OK","⚠ Check"))))</f>
        <v/>
      </c>
      <c r="N453" s="43" t="n">
        <v>46193</v>
      </c>
      <c r="O453" s="26" t="inlineStr">
        <is>
          <t>Sunil CR</t>
        </is>
      </c>
      <c r="P453" s="26" t="inlineStr">
        <is>
          <t>Yes</t>
        </is>
      </c>
      <c r="Q453" s="26" t="inlineStr">
        <is>
          <t>No</t>
        </is>
      </c>
      <c r="R453" s="26" t="inlineStr">
        <is>
          <t>Good finish</t>
        </is>
      </c>
      <c r="S453" s="26" t="inlineStr">
        <is>
          <t>Yes</t>
        </is>
      </c>
      <c r="T453" s="27" t="n"/>
      <c r="U453" s="28" t="inlineStr">
        <is>
          <t>No</t>
        </is>
      </c>
      <c r="V453" s="29">
        <f>IF(N453="","",IF(Q453="Yes","❌ Disc",IF(P453="No","⚠ Missing",IF(S453="Yes","✓ OK","⚠ Check"))))</f>
        <v/>
      </c>
      <c r="W453" s="65" t="n">
        <v>46248</v>
      </c>
      <c r="X453" s="30" t="inlineStr">
        <is>
          <t>Sunil CR</t>
        </is>
      </c>
      <c r="Y453" s="30" t="inlineStr">
        <is>
          <t>Yes</t>
        </is>
      </c>
      <c r="Z453" s="30" t="n"/>
      <c r="AA453" s="30" t="inlineStr">
        <is>
          <t>Good finish</t>
        </is>
      </c>
      <c r="AB453" s="30" t="inlineStr">
        <is>
          <t>Yes</t>
        </is>
      </c>
      <c r="AC453" s="27" t="n"/>
      <c r="AD453" s="31" t="inlineStr">
        <is>
          <t>No</t>
        </is>
      </c>
      <c r="AE453" s="32">
        <f>IF(W453="","",IF(Z453="Yes","❌ Disc",IF(Y453="No","⚠ Missing",IF(AB453="Yes","✓ OK","⚠ Check"))))</f>
        <v/>
      </c>
      <c r="AF453" s="33" t="n"/>
      <c r="AG453" s="33" t="n"/>
      <c r="AH453" s="33" t="n"/>
      <c r="AI453" s="33" t="n"/>
      <c r="AJ453" s="33" t="n"/>
      <c r="AK453" s="33" t="n"/>
      <c r="AL453" s="27" t="n"/>
      <c r="AM453" s="34" t="n"/>
      <c r="AN453" s="35">
        <f>IF(AF453="","",IF(AI453="Yes","❌ Disc",IF(AH453="No","⚠ Missing",IF(AK453="Yes","✓ OK","⚠ Check"))))</f>
        <v/>
      </c>
      <c r="AO453" s="36" t="n"/>
      <c r="AP453" s="36" t="n"/>
      <c r="AQ453" s="36" t="n"/>
      <c r="AR453" s="36" t="n"/>
      <c r="AS453" s="36" t="n"/>
      <c r="AT453" s="36" t="n"/>
      <c r="AU453" s="27" t="n"/>
      <c r="AV453" s="37" t="n"/>
      <c r="AW453" s="38">
        <f>IF(AO453="","",IF(AR453="Yes","❌ Disc",IF(AQ453="No","⚠ Missing",IF(AT453="Yes","✓ OK","⚠ Check"))))</f>
        <v/>
      </c>
    </row>
    <row r="454" ht="18" customHeight="1" s="46">
      <c r="A454" s="39" t="n">
        <v>450</v>
      </c>
      <c r="B454" s="40" t="inlineStr">
        <is>
          <t>BD-VRM-2026-0252</t>
        </is>
      </c>
      <c r="C454" s="41" t="inlineStr">
        <is>
          <t>Excel - Spectrum Wallpaper 5006-1</t>
        </is>
      </c>
      <c r="D454" s="39" t="inlineStr">
        <is>
          <t>Excel</t>
        </is>
      </c>
      <c r="E454" s="43" t="n">
        <v>46125</v>
      </c>
      <c r="F454" s="26" t="inlineStr">
        <is>
          <t>Sunil CR</t>
        </is>
      </c>
      <c r="G454" s="26" t="inlineStr">
        <is>
          <t>Yes</t>
        </is>
      </c>
      <c r="H454" s="26" t="inlineStr">
        <is>
          <t>No</t>
        </is>
      </c>
      <c r="I454" s="26" t="inlineStr">
        <is>
          <t>Good finish</t>
        </is>
      </c>
      <c r="J454" s="26" t="inlineStr">
        <is>
          <t>Yes</t>
        </is>
      </c>
      <c r="K454" s="27" t="n"/>
      <c r="L454" s="28" t="inlineStr">
        <is>
          <t>No</t>
        </is>
      </c>
      <c r="M454" s="29">
        <f>IF(E454="","",IF(H454="Yes","❌ Disc",IF(G454="No","⚠ Missing",IF(J454="Yes","✓ OK","⚠ Check"))))</f>
        <v/>
      </c>
      <c r="N454" s="43" t="n">
        <v>46193</v>
      </c>
      <c r="O454" s="26" t="inlineStr">
        <is>
          <t>Sunil CR</t>
        </is>
      </c>
      <c r="P454" s="26" t="inlineStr">
        <is>
          <t>Yes</t>
        </is>
      </c>
      <c r="Q454" s="26" t="inlineStr">
        <is>
          <t>No</t>
        </is>
      </c>
      <c r="R454" s="26" t="inlineStr">
        <is>
          <t>Good finish</t>
        </is>
      </c>
      <c r="S454" s="26" t="inlineStr">
        <is>
          <t>Yes</t>
        </is>
      </c>
      <c r="T454" s="27" t="n"/>
      <c r="U454" s="28" t="inlineStr">
        <is>
          <t>No</t>
        </is>
      </c>
      <c r="V454" s="29">
        <f>IF(N454="","",IF(Q454="Yes","❌ Disc",IF(P454="No","⚠ Missing",IF(S454="Yes","✓ OK","⚠ Check"))))</f>
        <v/>
      </c>
      <c r="W454" s="65" t="n">
        <v>46248</v>
      </c>
      <c r="X454" s="30" t="inlineStr">
        <is>
          <t>Sunil CR</t>
        </is>
      </c>
      <c r="Y454" s="30" t="inlineStr">
        <is>
          <t>Yes</t>
        </is>
      </c>
      <c r="Z454" s="30" t="n"/>
      <c r="AA454" s="30" t="inlineStr">
        <is>
          <t>Good finish</t>
        </is>
      </c>
      <c r="AB454" s="30" t="inlineStr">
        <is>
          <t>Yes</t>
        </is>
      </c>
      <c r="AC454" s="27" t="n"/>
      <c r="AD454" s="31" t="inlineStr">
        <is>
          <t>No</t>
        </is>
      </c>
      <c r="AE454" s="32">
        <f>IF(W454="","",IF(Z454="Yes","❌ Disc",IF(Y454="No","⚠ Missing",IF(AB454="Yes","✓ OK","⚠ Check"))))</f>
        <v/>
      </c>
      <c r="AF454" s="33" t="n"/>
      <c r="AG454" s="33" t="n"/>
      <c r="AH454" s="33" t="n"/>
      <c r="AI454" s="33" t="n"/>
      <c r="AJ454" s="33" t="n"/>
      <c r="AK454" s="33" t="n"/>
      <c r="AL454" s="27" t="n"/>
      <c r="AM454" s="34" t="n"/>
      <c r="AN454" s="35">
        <f>IF(AF454="","",IF(AI454="Yes","❌ Disc",IF(AH454="No","⚠ Missing",IF(AK454="Yes","✓ OK","⚠ Check"))))</f>
        <v/>
      </c>
      <c r="AO454" s="36" t="n"/>
      <c r="AP454" s="36" t="n"/>
      <c r="AQ454" s="36" t="n"/>
      <c r="AR454" s="36" t="n"/>
      <c r="AS454" s="36" t="n"/>
      <c r="AT454" s="36" t="n"/>
      <c r="AU454" s="27" t="n"/>
      <c r="AV454" s="37" t="n"/>
      <c r="AW454" s="38">
        <f>IF(AO454="","",IF(AR454="Yes","❌ Disc",IF(AQ454="No","⚠ Missing",IF(AT454="Yes","✓ OK","⚠ Check"))))</f>
        <v/>
      </c>
    </row>
    <row r="455" ht="18" customHeight="1" s="46">
      <c r="A455" s="23" t="n">
        <v>451</v>
      </c>
      <c r="B455" s="24" t="inlineStr">
        <is>
          <t>BD-VRM-2026-0253</t>
        </is>
      </c>
      <c r="C455" s="25" t="inlineStr">
        <is>
          <t>Excel - Spectrum Wallpaper 5006-2</t>
        </is>
      </c>
      <c r="D455" s="23" t="inlineStr">
        <is>
          <t>Excel</t>
        </is>
      </c>
      <c r="E455" s="43" t="n">
        <v>46125</v>
      </c>
      <c r="F455" s="26" t="inlineStr">
        <is>
          <t>Sunil CR</t>
        </is>
      </c>
      <c r="G455" s="26" t="inlineStr">
        <is>
          <t>Yes</t>
        </is>
      </c>
      <c r="H455" s="26" t="inlineStr">
        <is>
          <t>No</t>
        </is>
      </c>
      <c r="I455" s="26" t="inlineStr">
        <is>
          <t>Good finish</t>
        </is>
      </c>
      <c r="J455" s="26" t="inlineStr">
        <is>
          <t>Yes</t>
        </is>
      </c>
      <c r="K455" s="27" t="n"/>
      <c r="L455" s="28" t="inlineStr">
        <is>
          <t>No</t>
        </is>
      </c>
      <c r="M455" s="29">
        <f>IF(E455="","",IF(H455="Yes","❌ Disc",IF(G455="No","⚠ Missing",IF(J455="Yes","✓ OK","⚠ Check"))))</f>
        <v/>
      </c>
      <c r="N455" s="43" t="n">
        <v>46193</v>
      </c>
      <c r="O455" s="26" t="inlineStr">
        <is>
          <t>Sunil CR</t>
        </is>
      </c>
      <c r="P455" s="26" t="inlineStr">
        <is>
          <t>Yes</t>
        </is>
      </c>
      <c r="Q455" s="26" t="inlineStr">
        <is>
          <t>No</t>
        </is>
      </c>
      <c r="R455" s="26" t="inlineStr">
        <is>
          <t>Good finish</t>
        </is>
      </c>
      <c r="S455" s="26" t="inlineStr">
        <is>
          <t>Yes</t>
        </is>
      </c>
      <c r="T455" s="27" t="n"/>
      <c r="U455" s="28" t="inlineStr">
        <is>
          <t>No</t>
        </is>
      </c>
      <c r="V455" s="29">
        <f>IF(N455="","",IF(Q455="Yes","❌ Disc",IF(P455="No","⚠ Missing",IF(S455="Yes","✓ OK","⚠ Check"))))</f>
        <v/>
      </c>
      <c r="W455" s="65" t="n">
        <v>46248</v>
      </c>
      <c r="X455" s="30" t="inlineStr">
        <is>
          <t>Sunil CR</t>
        </is>
      </c>
      <c r="Y455" s="30" t="inlineStr">
        <is>
          <t>Yes</t>
        </is>
      </c>
      <c r="Z455" s="30" t="n"/>
      <c r="AA455" s="30" t="inlineStr">
        <is>
          <t>Good finish</t>
        </is>
      </c>
      <c r="AB455" s="30" t="inlineStr">
        <is>
          <t>Yes</t>
        </is>
      </c>
      <c r="AC455" s="27" t="n"/>
      <c r="AD455" s="31" t="inlineStr">
        <is>
          <t>No</t>
        </is>
      </c>
      <c r="AE455" s="32">
        <f>IF(W455="","",IF(Z455="Yes","❌ Disc",IF(Y455="No","⚠ Missing",IF(AB455="Yes","✓ OK","⚠ Check"))))</f>
        <v/>
      </c>
      <c r="AF455" s="33" t="n"/>
      <c r="AG455" s="33" t="n"/>
      <c r="AH455" s="33" t="n"/>
      <c r="AI455" s="33" t="n"/>
      <c r="AJ455" s="33" t="n"/>
      <c r="AK455" s="33" t="n"/>
      <c r="AL455" s="27" t="n"/>
      <c r="AM455" s="34" t="n"/>
      <c r="AN455" s="35">
        <f>IF(AF455="","",IF(AI455="Yes","❌ Disc",IF(AH455="No","⚠ Missing",IF(AK455="Yes","✓ OK","⚠ Check"))))</f>
        <v/>
      </c>
      <c r="AO455" s="36" t="n"/>
      <c r="AP455" s="36" t="n"/>
      <c r="AQ455" s="36" t="n"/>
      <c r="AR455" s="36" t="n"/>
      <c r="AS455" s="36" t="n"/>
      <c r="AT455" s="36" t="n"/>
      <c r="AU455" s="27" t="n"/>
      <c r="AV455" s="37" t="n"/>
      <c r="AW455" s="38">
        <f>IF(AO455="","",IF(AR455="Yes","❌ Disc",IF(AQ455="No","⚠ Missing",IF(AT455="Yes","✓ OK","⚠ Check"))))</f>
        <v/>
      </c>
    </row>
    <row r="456" ht="18" customHeight="1" s="46">
      <c r="A456" s="39" t="n">
        <v>452</v>
      </c>
      <c r="B456" s="40" t="inlineStr">
        <is>
          <t>BD-VRM-2026-0254</t>
        </is>
      </c>
      <c r="C456" s="41" t="inlineStr">
        <is>
          <t>Excel - Spectrum Wallpaper 5006-3</t>
        </is>
      </c>
      <c r="D456" s="39" t="inlineStr">
        <is>
          <t>Excel</t>
        </is>
      </c>
      <c r="E456" s="43" t="n">
        <v>46125</v>
      </c>
      <c r="F456" s="26" t="inlineStr">
        <is>
          <t>Sunil CR</t>
        </is>
      </c>
      <c r="G456" s="26" t="inlineStr">
        <is>
          <t>Yes</t>
        </is>
      </c>
      <c r="H456" s="26" t="inlineStr">
        <is>
          <t>No</t>
        </is>
      </c>
      <c r="I456" s="26" t="inlineStr">
        <is>
          <t>Good finish</t>
        </is>
      </c>
      <c r="J456" s="26" t="inlineStr">
        <is>
          <t>Yes</t>
        </is>
      </c>
      <c r="K456" s="27" t="n"/>
      <c r="L456" s="28" t="inlineStr">
        <is>
          <t>No</t>
        </is>
      </c>
      <c r="M456" s="29">
        <f>IF(E456="","",IF(H456="Yes","❌ Disc",IF(G456="No","⚠ Missing",IF(J456="Yes","✓ OK","⚠ Check"))))</f>
        <v/>
      </c>
      <c r="N456" s="43" t="n">
        <v>46193</v>
      </c>
      <c r="O456" s="26" t="inlineStr">
        <is>
          <t>Sunil CR</t>
        </is>
      </c>
      <c r="P456" s="26" t="inlineStr">
        <is>
          <t>Yes</t>
        </is>
      </c>
      <c r="Q456" s="26" t="inlineStr">
        <is>
          <t>No</t>
        </is>
      </c>
      <c r="R456" s="26" t="inlineStr">
        <is>
          <t>Good finish</t>
        </is>
      </c>
      <c r="S456" s="26" t="inlineStr">
        <is>
          <t>Yes</t>
        </is>
      </c>
      <c r="T456" s="27" t="n"/>
      <c r="U456" s="28" t="inlineStr">
        <is>
          <t>No</t>
        </is>
      </c>
      <c r="V456" s="29">
        <f>IF(N456="","",IF(Q456="Yes","❌ Disc",IF(P456="No","⚠ Missing",IF(S456="Yes","✓ OK","⚠ Check"))))</f>
        <v/>
      </c>
      <c r="W456" s="65" t="n">
        <v>46248</v>
      </c>
      <c r="X456" s="30" t="inlineStr">
        <is>
          <t>Sunil CR</t>
        </is>
      </c>
      <c r="Y456" s="30" t="inlineStr">
        <is>
          <t>Yes</t>
        </is>
      </c>
      <c r="Z456" s="30" t="n"/>
      <c r="AA456" s="30" t="inlineStr">
        <is>
          <t>Good finish</t>
        </is>
      </c>
      <c r="AB456" s="30" t="inlineStr">
        <is>
          <t>Yes</t>
        </is>
      </c>
      <c r="AC456" s="27" t="n"/>
      <c r="AD456" s="31" t="inlineStr">
        <is>
          <t>No</t>
        </is>
      </c>
      <c r="AE456" s="32">
        <f>IF(W456="","",IF(Z456="Yes","❌ Disc",IF(Y456="No","⚠ Missing",IF(AB456="Yes","✓ OK","⚠ Check"))))</f>
        <v/>
      </c>
      <c r="AF456" s="33" t="n"/>
      <c r="AG456" s="33" t="n"/>
      <c r="AH456" s="33" t="n"/>
      <c r="AI456" s="33" t="n"/>
      <c r="AJ456" s="33" t="n"/>
      <c r="AK456" s="33" t="n"/>
      <c r="AL456" s="27" t="n"/>
      <c r="AM456" s="34" t="n"/>
      <c r="AN456" s="35">
        <f>IF(AF456="","",IF(AI456="Yes","❌ Disc",IF(AH456="No","⚠ Missing",IF(AK456="Yes","✓ OK","⚠ Check"))))</f>
        <v/>
      </c>
      <c r="AO456" s="36" t="n"/>
      <c r="AP456" s="36" t="n"/>
      <c r="AQ456" s="36" t="n"/>
      <c r="AR456" s="36" t="n"/>
      <c r="AS456" s="36" t="n"/>
      <c r="AT456" s="36" t="n"/>
      <c r="AU456" s="27" t="n"/>
      <c r="AV456" s="37" t="n"/>
      <c r="AW456" s="38">
        <f>IF(AO456="","",IF(AR456="Yes","❌ Disc",IF(AQ456="No","⚠ Missing",IF(AT456="Yes","✓ OK","⚠ Check"))))</f>
        <v/>
      </c>
    </row>
    <row r="457" ht="18" customHeight="1" s="46">
      <c r="A457" s="23" t="n">
        <v>453</v>
      </c>
      <c r="B457" s="24" t="inlineStr">
        <is>
          <t>BD-VRM-2026-0255</t>
        </is>
      </c>
      <c r="C457" s="25" t="inlineStr">
        <is>
          <t>Excel - Spectrum Wallpaper 5006-4</t>
        </is>
      </c>
      <c r="D457" s="23" t="inlineStr">
        <is>
          <t>Excel</t>
        </is>
      </c>
      <c r="E457" s="43" t="n">
        <v>46125</v>
      </c>
      <c r="F457" s="26" t="inlineStr">
        <is>
          <t>Sunil CR</t>
        </is>
      </c>
      <c r="G457" s="26" t="inlineStr">
        <is>
          <t>Yes</t>
        </is>
      </c>
      <c r="H457" s="26" t="inlineStr">
        <is>
          <t>No</t>
        </is>
      </c>
      <c r="I457" s="26" t="inlineStr">
        <is>
          <t>Good finish</t>
        </is>
      </c>
      <c r="J457" s="26" t="inlineStr">
        <is>
          <t>Yes</t>
        </is>
      </c>
      <c r="K457" s="27" t="n"/>
      <c r="L457" s="28" t="inlineStr">
        <is>
          <t>No</t>
        </is>
      </c>
      <c r="M457" s="29">
        <f>IF(E457="","",IF(H457="Yes","❌ Disc",IF(G457="No","⚠ Missing",IF(J457="Yes","✓ OK","⚠ Check"))))</f>
        <v/>
      </c>
      <c r="N457" s="43" t="n">
        <v>46193</v>
      </c>
      <c r="O457" s="26" t="inlineStr">
        <is>
          <t>Sunil CR</t>
        </is>
      </c>
      <c r="P457" s="26" t="inlineStr">
        <is>
          <t>Yes</t>
        </is>
      </c>
      <c r="Q457" s="26" t="inlineStr">
        <is>
          <t>No</t>
        </is>
      </c>
      <c r="R457" s="26" t="inlineStr">
        <is>
          <t>Good finish</t>
        </is>
      </c>
      <c r="S457" s="26" t="inlineStr">
        <is>
          <t>Yes</t>
        </is>
      </c>
      <c r="T457" s="27" t="n"/>
      <c r="U457" s="28" t="inlineStr">
        <is>
          <t>No</t>
        </is>
      </c>
      <c r="V457" s="29">
        <f>IF(N457="","",IF(Q457="Yes","❌ Disc",IF(P457="No","⚠ Missing",IF(S457="Yes","✓ OK","⚠ Check"))))</f>
        <v/>
      </c>
      <c r="W457" s="65" t="n">
        <v>46248</v>
      </c>
      <c r="X457" s="30" t="inlineStr">
        <is>
          <t>Sunil CR</t>
        </is>
      </c>
      <c r="Y457" s="30" t="inlineStr">
        <is>
          <t>Yes</t>
        </is>
      </c>
      <c r="Z457" s="30" t="n"/>
      <c r="AA457" s="30" t="inlineStr">
        <is>
          <t>Good finish</t>
        </is>
      </c>
      <c r="AB457" s="30" t="inlineStr">
        <is>
          <t>Yes</t>
        </is>
      </c>
      <c r="AC457" s="27" t="n"/>
      <c r="AD457" s="31" t="inlineStr">
        <is>
          <t>No</t>
        </is>
      </c>
      <c r="AE457" s="32">
        <f>IF(W457="","",IF(Z457="Yes","❌ Disc",IF(Y457="No","⚠ Missing",IF(AB457="Yes","✓ OK","⚠ Check"))))</f>
        <v/>
      </c>
      <c r="AF457" s="33" t="n"/>
      <c r="AG457" s="33" t="n"/>
      <c r="AH457" s="33" t="n"/>
      <c r="AI457" s="33" t="n"/>
      <c r="AJ457" s="33" t="n"/>
      <c r="AK457" s="33" t="n"/>
      <c r="AL457" s="27" t="n"/>
      <c r="AM457" s="34" t="n"/>
      <c r="AN457" s="35">
        <f>IF(AF457="","",IF(AI457="Yes","❌ Disc",IF(AH457="No","⚠ Missing",IF(AK457="Yes","✓ OK","⚠ Check"))))</f>
        <v/>
      </c>
      <c r="AO457" s="36" t="n"/>
      <c r="AP457" s="36" t="n"/>
      <c r="AQ457" s="36" t="n"/>
      <c r="AR457" s="36" t="n"/>
      <c r="AS457" s="36" t="n"/>
      <c r="AT457" s="36" t="n"/>
      <c r="AU457" s="27" t="n"/>
      <c r="AV457" s="37" t="n"/>
      <c r="AW457" s="38">
        <f>IF(AO457="","",IF(AR457="Yes","❌ Disc",IF(AQ457="No","⚠ Missing",IF(AT457="Yes","✓ OK","⚠ Check"))))</f>
        <v/>
      </c>
    </row>
    <row r="458" ht="18" customHeight="1" s="46">
      <c r="A458" s="39" t="n">
        <v>454</v>
      </c>
      <c r="B458" s="40" t="inlineStr">
        <is>
          <t>BD-VRM-2026-0256</t>
        </is>
      </c>
      <c r="C458" s="41" t="inlineStr">
        <is>
          <t>Excel - Spectrum Wallpaper 5006-5</t>
        </is>
      </c>
      <c r="D458" s="39" t="inlineStr">
        <is>
          <t>Excel</t>
        </is>
      </c>
      <c r="E458" s="43" t="n">
        <v>46125</v>
      </c>
      <c r="F458" s="26" t="inlineStr">
        <is>
          <t>Sunil CR</t>
        </is>
      </c>
      <c r="G458" s="26" t="inlineStr">
        <is>
          <t>Yes</t>
        </is>
      </c>
      <c r="H458" s="26" t="inlineStr">
        <is>
          <t>No</t>
        </is>
      </c>
      <c r="I458" s="26" t="inlineStr">
        <is>
          <t>Good finish</t>
        </is>
      </c>
      <c r="J458" s="26" t="inlineStr">
        <is>
          <t>Yes</t>
        </is>
      </c>
      <c r="K458" s="27" t="n"/>
      <c r="L458" s="28" t="inlineStr">
        <is>
          <t>No</t>
        </is>
      </c>
      <c r="M458" s="29">
        <f>IF(E458="","",IF(H458="Yes","❌ Disc",IF(G458="No","⚠ Missing",IF(J458="Yes","✓ OK","⚠ Check"))))</f>
        <v/>
      </c>
      <c r="N458" s="43" t="n">
        <v>46193</v>
      </c>
      <c r="O458" s="26" t="inlineStr">
        <is>
          <t>Sunil CR</t>
        </is>
      </c>
      <c r="P458" s="26" t="inlineStr">
        <is>
          <t>Yes</t>
        </is>
      </c>
      <c r="Q458" s="26" t="inlineStr">
        <is>
          <t>No</t>
        </is>
      </c>
      <c r="R458" s="26" t="inlineStr">
        <is>
          <t>Good finish</t>
        </is>
      </c>
      <c r="S458" s="26" t="inlineStr">
        <is>
          <t>Yes</t>
        </is>
      </c>
      <c r="T458" s="27" t="n"/>
      <c r="U458" s="28" t="inlineStr">
        <is>
          <t>No</t>
        </is>
      </c>
      <c r="V458" s="29">
        <f>IF(N458="","",IF(Q458="Yes","❌ Disc",IF(P458="No","⚠ Missing",IF(S458="Yes","✓ OK","⚠ Check"))))</f>
        <v/>
      </c>
      <c r="W458" s="65" t="n">
        <v>46248</v>
      </c>
      <c r="X458" s="30" t="inlineStr">
        <is>
          <t>Sunil CR</t>
        </is>
      </c>
      <c r="Y458" s="30" t="inlineStr">
        <is>
          <t>Yes</t>
        </is>
      </c>
      <c r="Z458" s="30" t="n"/>
      <c r="AA458" s="30" t="inlineStr">
        <is>
          <t>Good finish</t>
        </is>
      </c>
      <c r="AB458" s="30" t="inlineStr">
        <is>
          <t>Yes</t>
        </is>
      </c>
      <c r="AC458" s="27" t="n"/>
      <c r="AD458" s="31" t="inlineStr">
        <is>
          <t>No</t>
        </is>
      </c>
      <c r="AE458" s="32">
        <f>IF(W458="","",IF(Z458="Yes","❌ Disc",IF(Y458="No","⚠ Missing",IF(AB458="Yes","✓ OK","⚠ Check"))))</f>
        <v/>
      </c>
      <c r="AF458" s="33" t="n"/>
      <c r="AG458" s="33" t="n"/>
      <c r="AH458" s="33" t="n"/>
      <c r="AI458" s="33" t="n"/>
      <c r="AJ458" s="33" t="n"/>
      <c r="AK458" s="33" t="n"/>
      <c r="AL458" s="27" t="n"/>
      <c r="AM458" s="34" t="n"/>
      <c r="AN458" s="35">
        <f>IF(AF458="","",IF(AI458="Yes","❌ Disc",IF(AH458="No","⚠ Missing",IF(AK458="Yes","✓ OK","⚠ Check"))))</f>
        <v/>
      </c>
      <c r="AO458" s="36" t="n"/>
      <c r="AP458" s="36" t="n"/>
      <c r="AQ458" s="36" t="n"/>
      <c r="AR458" s="36" t="n"/>
      <c r="AS458" s="36" t="n"/>
      <c r="AT458" s="36" t="n"/>
      <c r="AU458" s="27" t="n"/>
      <c r="AV458" s="37" t="n"/>
      <c r="AW458" s="38">
        <f>IF(AO458="","",IF(AR458="Yes","❌ Disc",IF(AQ458="No","⚠ Missing",IF(AT458="Yes","✓ OK","⚠ Check"))))</f>
        <v/>
      </c>
    </row>
    <row r="459" ht="18" customHeight="1" s="46">
      <c r="A459" s="23" t="n">
        <v>455</v>
      </c>
      <c r="B459" s="24" t="inlineStr">
        <is>
          <t>BD-VRM-2026-0257</t>
        </is>
      </c>
      <c r="C459" s="25" t="inlineStr">
        <is>
          <t>Excel - Spectrum Wallpaper 5006-6</t>
        </is>
      </c>
      <c r="D459" s="23" t="inlineStr">
        <is>
          <t>Excel</t>
        </is>
      </c>
      <c r="E459" s="43" t="n">
        <v>46125</v>
      </c>
      <c r="F459" s="26" t="inlineStr">
        <is>
          <t>Sunil CR</t>
        </is>
      </c>
      <c r="G459" s="26" t="inlineStr">
        <is>
          <t>Yes</t>
        </is>
      </c>
      <c r="H459" s="26" t="inlineStr">
        <is>
          <t>No</t>
        </is>
      </c>
      <c r="I459" s="26" t="inlineStr">
        <is>
          <t>Good finish</t>
        </is>
      </c>
      <c r="J459" s="26" t="inlineStr">
        <is>
          <t>Yes</t>
        </is>
      </c>
      <c r="K459" s="27" t="n"/>
      <c r="L459" s="28" t="inlineStr">
        <is>
          <t>No</t>
        </is>
      </c>
      <c r="M459" s="29">
        <f>IF(E459="","",IF(H459="Yes","❌ Disc",IF(G459="No","⚠ Missing",IF(J459="Yes","✓ OK","⚠ Check"))))</f>
        <v/>
      </c>
      <c r="N459" s="43" t="n">
        <v>46193</v>
      </c>
      <c r="O459" s="26" t="inlineStr">
        <is>
          <t>Sunil CR</t>
        </is>
      </c>
      <c r="P459" s="26" t="inlineStr">
        <is>
          <t>Yes</t>
        </is>
      </c>
      <c r="Q459" s="26" t="inlineStr">
        <is>
          <t>No</t>
        </is>
      </c>
      <c r="R459" s="26" t="inlineStr">
        <is>
          <t>Good finish</t>
        </is>
      </c>
      <c r="S459" s="26" t="inlineStr">
        <is>
          <t>Yes</t>
        </is>
      </c>
      <c r="T459" s="27" t="n"/>
      <c r="U459" s="28" t="inlineStr">
        <is>
          <t>No</t>
        </is>
      </c>
      <c r="V459" s="29">
        <f>IF(N459="","",IF(Q459="Yes","❌ Disc",IF(P459="No","⚠ Missing",IF(S459="Yes","✓ OK","⚠ Check"))))</f>
        <v/>
      </c>
      <c r="W459" s="65" t="n">
        <v>46248</v>
      </c>
      <c r="X459" s="30" t="inlineStr">
        <is>
          <t>Sunil CR</t>
        </is>
      </c>
      <c r="Y459" s="30" t="inlineStr">
        <is>
          <t>Yes</t>
        </is>
      </c>
      <c r="Z459" s="30" t="n"/>
      <c r="AA459" s="30" t="inlineStr">
        <is>
          <t>Good finish</t>
        </is>
      </c>
      <c r="AB459" s="30" t="inlineStr">
        <is>
          <t>Yes</t>
        </is>
      </c>
      <c r="AC459" s="27" t="n"/>
      <c r="AD459" s="31" t="inlineStr">
        <is>
          <t>No</t>
        </is>
      </c>
      <c r="AE459" s="32">
        <f>IF(W459="","",IF(Z459="Yes","❌ Disc",IF(Y459="No","⚠ Missing",IF(AB459="Yes","✓ OK","⚠ Check"))))</f>
        <v/>
      </c>
      <c r="AF459" s="33" t="n"/>
      <c r="AG459" s="33" t="n"/>
      <c r="AH459" s="33" t="n"/>
      <c r="AI459" s="33" t="n"/>
      <c r="AJ459" s="33" t="n"/>
      <c r="AK459" s="33" t="n"/>
      <c r="AL459" s="27" t="n"/>
      <c r="AM459" s="34" t="n"/>
      <c r="AN459" s="35">
        <f>IF(AF459="","",IF(AI459="Yes","❌ Disc",IF(AH459="No","⚠ Missing",IF(AK459="Yes","✓ OK","⚠ Check"))))</f>
        <v/>
      </c>
      <c r="AO459" s="36" t="n"/>
      <c r="AP459" s="36" t="n"/>
      <c r="AQ459" s="36" t="n"/>
      <c r="AR459" s="36" t="n"/>
      <c r="AS459" s="36" t="n"/>
      <c r="AT459" s="36" t="n"/>
      <c r="AU459" s="27" t="n"/>
      <c r="AV459" s="37" t="n"/>
      <c r="AW459" s="38">
        <f>IF(AO459="","",IF(AR459="Yes","❌ Disc",IF(AQ459="No","⚠ Missing",IF(AT459="Yes","✓ OK","⚠ Check"))))</f>
        <v/>
      </c>
    </row>
    <row r="460" ht="18" customHeight="1" s="46">
      <c r="A460" s="39" t="n">
        <v>456</v>
      </c>
      <c r="B460" s="40" t="inlineStr">
        <is>
          <t>BD-VRM-2026-0242</t>
        </is>
      </c>
      <c r="C460" s="41" t="inlineStr">
        <is>
          <t>Excel - Spectrum Wallpaper 5007-1</t>
        </is>
      </c>
      <c r="D460" s="39" t="inlineStr">
        <is>
          <t>Excel</t>
        </is>
      </c>
      <c r="E460" s="43" t="n">
        <v>46125</v>
      </c>
      <c r="F460" s="26" t="inlineStr">
        <is>
          <t>Sunil CR</t>
        </is>
      </c>
      <c r="G460" s="26" t="inlineStr">
        <is>
          <t>Yes</t>
        </is>
      </c>
      <c r="H460" s="26" t="inlineStr">
        <is>
          <t>No</t>
        </is>
      </c>
      <c r="I460" s="26" t="inlineStr">
        <is>
          <t>Good finish</t>
        </is>
      </c>
      <c r="J460" s="26" t="inlineStr">
        <is>
          <t>Yes</t>
        </is>
      </c>
      <c r="K460" s="27" t="n"/>
      <c r="L460" s="28" t="inlineStr">
        <is>
          <t>No</t>
        </is>
      </c>
      <c r="M460" s="29">
        <f>IF(E460="","",IF(H460="Yes","❌ Disc",IF(G460="No","⚠ Missing",IF(J460="Yes","✓ OK","⚠ Check"))))</f>
        <v/>
      </c>
      <c r="N460" s="43" t="n">
        <v>46193</v>
      </c>
      <c r="O460" s="26" t="inlineStr">
        <is>
          <t>Sunil CR</t>
        </is>
      </c>
      <c r="P460" s="26" t="inlineStr">
        <is>
          <t>Yes</t>
        </is>
      </c>
      <c r="Q460" s="26" t="inlineStr">
        <is>
          <t>No</t>
        </is>
      </c>
      <c r="R460" s="26" t="inlineStr">
        <is>
          <t>Good finish</t>
        </is>
      </c>
      <c r="S460" s="26" t="inlineStr">
        <is>
          <t>Yes</t>
        </is>
      </c>
      <c r="T460" s="27" t="n"/>
      <c r="U460" s="28" t="inlineStr">
        <is>
          <t>No</t>
        </is>
      </c>
      <c r="V460" s="29">
        <f>IF(N460="","",IF(Q460="Yes","❌ Disc",IF(P460="No","⚠ Missing",IF(S460="Yes","✓ OK","⚠ Check"))))</f>
        <v/>
      </c>
      <c r="W460" s="65" t="n">
        <v>46248</v>
      </c>
      <c r="X460" s="30" t="inlineStr">
        <is>
          <t>Sunil CR</t>
        </is>
      </c>
      <c r="Y460" s="30" t="inlineStr">
        <is>
          <t>Yes</t>
        </is>
      </c>
      <c r="Z460" s="30" t="n"/>
      <c r="AA460" s="30" t="inlineStr">
        <is>
          <t>Good finish</t>
        </is>
      </c>
      <c r="AB460" s="30" t="inlineStr">
        <is>
          <t>Yes</t>
        </is>
      </c>
      <c r="AC460" s="27" t="n"/>
      <c r="AD460" s="31" t="inlineStr">
        <is>
          <t>No</t>
        </is>
      </c>
      <c r="AE460" s="32">
        <f>IF(W460="","",IF(Z460="Yes","❌ Disc",IF(Y460="No","⚠ Missing",IF(AB460="Yes","✓ OK","⚠ Check"))))</f>
        <v/>
      </c>
      <c r="AF460" s="33" t="n"/>
      <c r="AG460" s="33" t="n"/>
      <c r="AH460" s="33" t="n"/>
      <c r="AI460" s="33" t="n"/>
      <c r="AJ460" s="33" t="n"/>
      <c r="AK460" s="33" t="n"/>
      <c r="AL460" s="27" t="n"/>
      <c r="AM460" s="34" t="n"/>
      <c r="AN460" s="35">
        <f>IF(AF460="","",IF(AI460="Yes","❌ Disc",IF(AH460="No","⚠ Missing",IF(AK460="Yes","✓ OK","⚠ Check"))))</f>
        <v/>
      </c>
      <c r="AO460" s="36" t="n"/>
      <c r="AP460" s="36" t="n"/>
      <c r="AQ460" s="36" t="n"/>
      <c r="AR460" s="36" t="n"/>
      <c r="AS460" s="36" t="n"/>
      <c r="AT460" s="36" t="n"/>
      <c r="AU460" s="27" t="n"/>
      <c r="AV460" s="37" t="n"/>
      <c r="AW460" s="38">
        <f>IF(AO460="","",IF(AR460="Yes","❌ Disc",IF(AQ460="No","⚠ Missing",IF(AT460="Yes","✓ OK","⚠ Check"))))</f>
        <v/>
      </c>
    </row>
    <row r="461" ht="18" customHeight="1" s="46">
      <c r="A461" s="23" t="n">
        <v>457</v>
      </c>
      <c r="B461" s="24" t="inlineStr">
        <is>
          <t>BD-VRM-2026-0243</t>
        </is>
      </c>
      <c r="C461" s="25" t="inlineStr">
        <is>
          <t>Excel - Spectrum Wallpaper 5007-2</t>
        </is>
      </c>
      <c r="D461" s="23" t="inlineStr">
        <is>
          <t>Excel</t>
        </is>
      </c>
      <c r="E461" s="43" t="n">
        <v>46125</v>
      </c>
      <c r="F461" s="26" t="inlineStr">
        <is>
          <t>Sunil CR</t>
        </is>
      </c>
      <c r="G461" s="26" t="inlineStr">
        <is>
          <t>Yes</t>
        </is>
      </c>
      <c r="H461" s="26" t="inlineStr">
        <is>
          <t>No</t>
        </is>
      </c>
      <c r="I461" s="26" t="inlineStr">
        <is>
          <t>Good finish</t>
        </is>
      </c>
      <c r="J461" s="26" t="inlineStr">
        <is>
          <t>Yes</t>
        </is>
      </c>
      <c r="K461" s="27" t="n"/>
      <c r="L461" s="28" t="inlineStr">
        <is>
          <t>No</t>
        </is>
      </c>
      <c r="M461" s="29">
        <f>IF(E461="","",IF(H461="Yes","❌ Disc",IF(G461="No","⚠ Missing",IF(J461="Yes","✓ OK","⚠ Check"))))</f>
        <v/>
      </c>
      <c r="N461" s="43" t="n">
        <v>46193</v>
      </c>
      <c r="O461" s="26" t="inlineStr">
        <is>
          <t>Sunil CR</t>
        </is>
      </c>
      <c r="P461" s="26" t="inlineStr">
        <is>
          <t>Yes</t>
        </is>
      </c>
      <c r="Q461" s="26" t="inlineStr">
        <is>
          <t>No</t>
        </is>
      </c>
      <c r="R461" s="26" t="inlineStr">
        <is>
          <t>Good finish</t>
        </is>
      </c>
      <c r="S461" s="26" t="inlineStr">
        <is>
          <t>Yes</t>
        </is>
      </c>
      <c r="T461" s="27" t="n"/>
      <c r="U461" s="28" t="inlineStr">
        <is>
          <t>No</t>
        </is>
      </c>
      <c r="V461" s="29">
        <f>IF(N461="","",IF(Q461="Yes","❌ Disc",IF(P461="No","⚠ Missing",IF(S461="Yes","✓ OK","⚠ Check"))))</f>
        <v/>
      </c>
      <c r="W461" s="65" t="n">
        <v>46248</v>
      </c>
      <c r="X461" s="30" t="inlineStr">
        <is>
          <t>Sunil CR</t>
        </is>
      </c>
      <c r="Y461" s="30" t="inlineStr">
        <is>
          <t>Yes</t>
        </is>
      </c>
      <c r="Z461" s="30" t="n"/>
      <c r="AA461" s="30" t="inlineStr">
        <is>
          <t>Good finish</t>
        </is>
      </c>
      <c r="AB461" s="30" t="inlineStr">
        <is>
          <t>Yes</t>
        </is>
      </c>
      <c r="AC461" s="27" t="n"/>
      <c r="AD461" s="31" t="inlineStr">
        <is>
          <t>No</t>
        </is>
      </c>
      <c r="AE461" s="32">
        <f>IF(W461="","",IF(Z461="Yes","❌ Disc",IF(Y461="No","⚠ Missing",IF(AB461="Yes","✓ OK","⚠ Check"))))</f>
        <v/>
      </c>
      <c r="AF461" s="33" t="n"/>
      <c r="AG461" s="33" t="n"/>
      <c r="AH461" s="33" t="n"/>
      <c r="AI461" s="33" t="n"/>
      <c r="AJ461" s="33" t="n"/>
      <c r="AK461" s="33" t="n"/>
      <c r="AL461" s="27" t="n"/>
      <c r="AM461" s="34" t="n"/>
      <c r="AN461" s="35">
        <f>IF(AF461="","",IF(AI461="Yes","❌ Disc",IF(AH461="No","⚠ Missing",IF(AK461="Yes","✓ OK","⚠ Check"))))</f>
        <v/>
      </c>
      <c r="AO461" s="36" t="n"/>
      <c r="AP461" s="36" t="n"/>
      <c r="AQ461" s="36" t="n"/>
      <c r="AR461" s="36" t="n"/>
      <c r="AS461" s="36" t="n"/>
      <c r="AT461" s="36" t="n"/>
      <c r="AU461" s="27" t="n"/>
      <c r="AV461" s="37" t="n"/>
      <c r="AW461" s="38">
        <f>IF(AO461="","",IF(AR461="Yes","❌ Disc",IF(AQ461="No","⚠ Missing",IF(AT461="Yes","✓ OK","⚠ Check"))))</f>
        <v/>
      </c>
    </row>
    <row r="462" ht="18" customHeight="1" s="46">
      <c r="A462" s="39" t="n">
        <v>458</v>
      </c>
      <c r="B462" s="40" t="inlineStr">
        <is>
          <t>BD-VRM-2026-0244</t>
        </is>
      </c>
      <c r="C462" s="41" t="inlineStr">
        <is>
          <t>Excel - Spectrum Wallpaper 5007-3</t>
        </is>
      </c>
      <c r="D462" s="39" t="inlineStr">
        <is>
          <t>Excel</t>
        </is>
      </c>
      <c r="E462" s="43" t="n">
        <v>46125</v>
      </c>
      <c r="F462" s="26" t="inlineStr">
        <is>
          <t>Sunil CR</t>
        </is>
      </c>
      <c r="G462" s="26" t="inlineStr">
        <is>
          <t>Yes</t>
        </is>
      </c>
      <c r="H462" s="26" t="inlineStr">
        <is>
          <t>No</t>
        </is>
      </c>
      <c r="I462" s="26" t="inlineStr">
        <is>
          <t>Good finish</t>
        </is>
      </c>
      <c r="J462" s="26" t="inlineStr">
        <is>
          <t>Yes</t>
        </is>
      </c>
      <c r="K462" s="27" t="n"/>
      <c r="L462" s="28" t="inlineStr">
        <is>
          <t>No</t>
        </is>
      </c>
      <c r="M462" s="29">
        <f>IF(E462="","",IF(H462="Yes","❌ Disc",IF(G462="No","⚠ Missing",IF(J462="Yes","✓ OK","⚠ Check"))))</f>
        <v/>
      </c>
      <c r="N462" s="43" t="n">
        <v>46193</v>
      </c>
      <c r="O462" s="26" t="inlineStr">
        <is>
          <t>Sunil CR</t>
        </is>
      </c>
      <c r="P462" s="26" t="inlineStr">
        <is>
          <t>Yes</t>
        </is>
      </c>
      <c r="Q462" s="26" t="inlineStr">
        <is>
          <t>No</t>
        </is>
      </c>
      <c r="R462" s="26" t="inlineStr">
        <is>
          <t>Good finish</t>
        </is>
      </c>
      <c r="S462" s="26" t="inlineStr">
        <is>
          <t>Yes</t>
        </is>
      </c>
      <c r="T462" s="27" t="n"/>
      <c r="U462" s="28" t="inlineStr">
        <is>
          <t>No</t>
        </is>
      </c>
      <c r="V462" s="29">
        <f>IF(N462="","",IF(Q462="Yes","❌ Disc",IF(P462="No","⚠ Missing",IF(S462="Yes","✓ OK","⚠ Check"))))</f>
        <v/>
      </c>
      <c r="W462" s="65" t="n">
        <v>46248</v>
      </c>
      <c r="X462" s="30" t="inlineStr">
        <is>
          <t>Sunil CR</t>
        </is>
      </c>
      <c r="Y462" s="30" t="inlineStr">
        <is>
          <t>Yes</t>
        </is>
      </c>
      <c r="Z462" s="30" t="n"/>
      <c r="AA462" s="30" t="inlineStr">
        <is>
          <t>Good finish</t>
        </is>
      </c>
      <c r="AB462" s="30" t="inlineStr">
        <is>
          <t>Yes</t>
        </is>
      </c>
      <c r="AC462" s="27" t="n"/>
      <c r="AD462" s="31" t="inlineStr">
        <is>
          <t>No</t>
        </is>
      </c>
      <c r="AE462" s="32">
        <f>IF(W462="","",IF(Z462="Yes","❌ Disc",IF(Y462="No","⚠ Missing",IF(AB462="Yes","✓ OK","⚠ Check"))))</f>
        <v/>
      </c>
      <c r="AF462" s="33" t="n"/>
      <c r="AG462" s="33" t="n"/>
      <c r="AH462" s="33" t="n"/>
      <c r="AI462" s="33" t="n"/>
      <c r="AJ462" s="33" t="n"/>
      <c r="AK462" s="33" t="n"/>
      <c r="AL462" s="27" t="n"/>
      <c r="AM462" s="34" t="n"/>
      <c r="AN462" s="35">
        <f>IF(AF462="","",IF(AI462="Yes","❌ Disc",IF(AH462="No","⚠ Missing",IF(AK462="Yes","✓ OK","⚠ Check"))))</f>
        <v/>
      </c>
      <c r="AO462" s="36" t="n"/>
      <c r="AP462" s="36" t="n"/>
      <c r="AQ462" s="36" t="n"/>
      <c r="AR462" s="36" t="n"/>
      <c r="AS462" s="36" t="n"/>
      <c r="AT462" s="36" t="n"/>
      <c r="AU462" s="27" t="n"/>
      <c r="AV462" s="37" t="n"/>
      <c r="AW462" s="38">
        <f>IF(AO462="","",IF(AR462="Yes","❌ Disc",IF(AQ462="No","⚠ Missing",IF(AT462="Yes","✓ OK","⚠ Check"))))</f>
        <v/>
      </c>
    </row>
    <row r="463" ht="18" customHeight="1" s="46">
      <c r="A463" s="23" t="n">
        <v>459</v>
      </c>
      <c r="B463" s="24" t="inlineStr">
        <is>
          <t>BD-VRM-2026-0245</t>
        </is>
      </c>
      <c r="C463" s="25" t="inlineStr">
        <is>
          <t>Excel - Spectrum Wallpaper 5007-4</t>
        </is>
      </c>
      <c r="D463" s="23" t="inlineStr">
        <is>
          <t>Excel</t>
        </is>
      </c>
      <c r="E463" s="43" t="n">
        <v>46125</v>
      </c>
      <c r="F463" s="26" t="inlineStr">
        <is>
          <t>Sunil CR</t>
        </is>
      </c>
      <c r="G463" s="26" t="inlineStr">
        <is>
          <t>Yes</t>
        </is>
      </c>
      <c r="H463" s="26" t="inlineStr">
        <is>
          <t>No</t>
        </is>
      </c>
      <c r="I463" s="26" t="inlineStr">
        <is>
          <t>Good finish</t>
        </is>
      </c>
      <c r="J463" s="26" t="inlineStr">
        <is>
          <t>Yes</t>
        </is>
      </c>
      <c r="K463" s="27" t="n"/>
      <c r="L463" s="28" t="inlineStr">
        <is>
          <t>No</t>
        </is>
      </c>
      <c r="M463" s="29">
        <f>IF(E463="","",IF(H463="Yes","❌ Disc",IF(G463="No","⚠ Missing",IF(J463="Yes","✓ OK","⚠ Check"))))</f>
        <v/>
      </c>
      <c r="N463" s="43" t="n">
        <v>46193</v>
      </c>
      <c r="O463" s="26" t="inlineStr">
        <is>
          <t>Sunil CR</t>
        </is>
      </c>
      <c r="P463" s="26" t="inlineStr">
        <is>
          <t>Yes</t>
        </is>
      </c>
      <c r="Q463" s="26" t="inlineStr">
        <is>
          <t>No</t>
        </is>
      </c>
      <c r="R463" s="26" t="inlineStr">
        <is>
          <t>Good finish</t>
        </is>
      </c>
      <c r="S463" s="26" t="inlineStr">
        <is>
          <t>Yes</t>
        </is>
      </c>
      <c r="T463" s="27" t="n"/>
      <c r="U463" s="28" t="inlineStr">
        <is>
          <t>No</t>
        </is>
      </c>
      <c r="V463" s="29">
        <f>IF(N463="","",IF(Q463="Yes","❌ Disc",IF(P463="No","⚠ Missing",IF(S463="Yes","✓ OK","⚠ Check"))))</f>
        <v/>
      </c>
      <c r="W463" s="65" t="n">
        <v>46248</v>
      </c>
      <c r="X463" s="30" t="inlineStr">
        <is>
          <t>Sunil CR</t>
        </is>
      </c>
      <c r="Y463" s="30" t="inlineStr">
        <is>
          <t>Yes</t>
        </is>
      </c>
      <c r="Z463" s="30" t="n"/>
      <c r="AA463" s="30" t="inlineStr">
        <is>
          <t>Good finish</t>
        </is>
      </c>
      <c r="AB463" s="30" t="inlineStr">
        <is>
          <t>Yes</t>
        </is>
      </c>
      <c r="AC463" s="27" t="n"/>
      <c r="AD463" s="31" t="inlineStr">
        <is>
          <t>No</t>
        </is>
      </c>
      <c r="AE463" s="32">
        <f>IF(W463="","",IF(Z463="Yes","❌ Disc",IF(Y463="No","⚠ Missing",IF(AB463="Yes","✓ OK","⚠ Check"))))</f>
        <v/>
      </c>
      <c r="AF463" s="33" t="n"/>
      <c r="AG463" s="33" t="n"/>
      <c r="AH463" s="33" t="n"/>
      <c r="AI463" s="33" t="n"/>
      <c r="AJ463" s="33" t="n"/>
      <c r="AK463" s="33" t="n"/>
      <c r="AL463" s="27" t="n"/>
      <c r="AM463" s="34" t="n"/>
      <c r="AN463" s="35">
        <f>IF(AF463="","",IF(AI463="Yes","❌ Disc",IF(AH463="No","⚠ Missing",IF(AK463="Yes","✓ OK","⚠ Check"))))</f>
        <v/>
      </c>
      <c r="AO463" s="36" t="n"/>
      <c r="AP463" s="36" t="n"/>
      <c r="AQ463" s="36" t="n"/>
      <c r="AR463" s="36" t="n"/>
      <c r="AS463" s="36" t="n"/>
      <c r="AT463" s="36" t="n"/>
      <c r="AU463" s="27" t="n"/>
      <c r="AV463" s="37" t="n"/>
      <c r="AW463" s="38">
        <f>IF(AO463="","",IF(AR463="Yes","❌ Disc",IF(AQ463="No","⚠ Missing",IF(AT463="Yes","✓ OK","⚠ Check"))))</f>
        <v/>
      </c>
    </row>
    <row r="464" ht="18" customHeight="1" s="46">
      <c r="A464" s="39" t="n">
        <v>460</v>
      </c>
      <c r="B464" s="40" t="inlineStr">
        <is>
          <t>BD-VRM-2026-0246</t>
        </is>
      </c>
      <c r="C464" s="41" t="inlineStr">
        <is>
          <t>Excel - Spectrum Wallpaper 5007-5</t>
        </is>
      </c>
      <c r="D464" s="39" t="inlineStr">
        <is>
          <t>Excel</t>
        </is>
      </c>
      <c r="E464" s="43" t="n">
        <v>46125</v>
      </c>
      <c r="F464" s="26" t="inlineStr">
        <is>
          <t>Sunil CR</t>
        </is>
      </c>
      <c r="G464" s="26" t="inlineStr">
        <is>
          <t>Yes</t>
        </is>
      </c>
      <c r="H464" s="26" t="inlineStr">
        <is>
          <t>No</t>
        </is>
      </c>
      <c r="I464" s="26" t="inlineStr">
        <is>
          <t>Good finish</t>
        </is>
      </c>
      <c r="J464" s="26" t="inlineStr">
        <is>
          <t>Yes</t>
        </is>
      </c>
      <c r="K464" s="27" t="n"/>
      <c r="L464" s="28" t="inlineStr">
        <is>
          <t>No</t>
        </is>
      </c>
      <c r="M464" s="29">
        <f>IF(E464="","",IF(H464="Yes","❌ Disc",IF(G464="No","⚠ Missing",IF(J464="Yes","✓ OK","⚠ Check"))))</f>
        <v/>
      </c>
      <c r="N464" s="43" t="n">
        <v>46193</v>
      </c>
      <c r="O464" s="26" t="inlineStr">
        <is>
          <t>Sunil CR</t>
        </is>
      </c>
      <c r="P464" s="26" t="inlineStr">
        <is>
          <t>Yes</t>
        </is>
      </c>
      <c r="Q464" s="26" t="inlineStr">
        <is>
          <t>No</t>
        </is>
      </c>
      <c r="R464" s="26" t="inlineStr">
        <is>
          <t>Good finish</t>
        </is>
      </c>
      <c r="S464" s="26" t="inlineStr">
        <is>
          <t>Yes</t>
        </is>
      </c>
      <c r="T464" s="27" t="n"/>
      <c r="U464" s="28" t="inlineStr">
        <is>
          <t>No</t>
        </is>
      </c>
      <c r="V464" s="29">
        <f>IF(N464="","",IF(Q464="Yes","❌ Disc",IF(P464="No","⚠ Missing",IF(S464="Yes","✓ OK","⚠ Check"))))</f>
        <v/>
      </c>
      <c r="W464" s="65" t="n">
        <v>46248</v>
      </c>
      <c r="X464" s="30" t="inlineStr">
        <is>
          <t>Sunil CR</t>
        </is>
      </c>
      <c r="Y464" s="30" t="inlineStr">
        <is>
          <t>Yes</t>
        </is>
      </c>
      <c r="Z464" s="30" t="n"/>
      <c r="AA464" s="30" t="inlineStr">
        <is>
          <t>Good finish</t>
        </is>
      </c>
      <c r="AB464" s="30" t="inlineStr">
        <is>
          <t>Yes</t>
        </is>
      </c>
      <c r="AC464" s="27" t="n"/>
      <c r="AD464" s="31" t="inlineStr">
        <is>
          <t>No</t>
        </is>
      </c>
      <c r="AE464" s="32">
        <f>IF(W464="","",IF(Z464="Yes","❌ Disc",IF(Y464="No","⚠ Missing",IF(AB464="Yes","✓ OK","⚠ Check"))))</f>
        <v/>
      </c>
      <c r="AF464" s="33" t="n"/>
      <c r="AG464" s="33" t="n"/>
      <c r="AH464" s="33" t="n"/>
      <c r="AI464" s="33" t="n"/>
      <c r="AJ464" s="33" t="n"/>
      <c r="AK464" s="33" t="n"/>
      <c r="AL464" s="27" t="n"/>
      <c r="AM464" s="34" t="n"/>
      <c r="AN464" s="35">
        <f>IF(AF464="","",IF(AI464="Yes","❌ Disc",IF(AH464="No","⚠ Missing",IF(AK464="Yes","✓ OK","⚠ Check"))))</f>
        <v/>
      </c>
      <c r="AO464" s="36" t="n"/>
      <c r="AP464" s="36" t="n"/>
      <c r="AQ464" s="36" t="n"/>
      <c r="AR464" s="36" t="n"/>
      <c r="AS464" s="36" t="n"/>
      <c r="AT464" s="36" t="n"/>
      <c r="AU464" s="27" t="n"/>
      <c r="AV464" s="37" t="n"/>
      <c r="AW464" s="38">
        <f>IF(AO464="","",IF(AR464="Yes","❌ Disc",IF(AQ464="No","⚠ Missing",IF(AT464="Yes","✓ OK","⚠ Check"))))</f>
        <v/>
      </c>
    </row>
    <row r="465" ht="18" customHeight="1" s="46">
      <c r="A465" s="23" t="n">
        <v>461</v>
      </c>
      <c r="B465" s="24" t="inlineStr">
        <is>
          <t>BD-VRM-2026-0268</t>
        </is>
      </c>
      <c r="C465" s="25" t="inlineStr">
        <is>
          <t>Excel - Spectrum Wallpaper 5008-1</t>
        </is>
      </c>
      <c r="D465" s="23" t="inlineStr">
        <is>
          <t>Excel</t>
        </is>
      </c>
      <c r="E465" s="43" t="n">
        <v>46125</v>
      </c>
      <c r="F465" s="26" t="inlineStr">
        <is>
          <t>Sunil CR</t>
        </is>
      </c>
      <c r="G465" s="26" t="inlineStr">
        <is>
          <t>Yes</t>
        </is>
      </c>
      <c r="H465" s="26" t="inlineStr">
        <is>
          <t>No</t>
        </is>
      </c>
      <c r="I465" s="26" t="inlineStr">
        <is>
          <t>Good finish</t>
        </is>
      </c>
      <c r="J465" s="26" t="inlineStr">
        <is>
          <t>Yes</t>
        </is>
      </c>
      <c r="K465" s="27" t="n"/>
      <c r="L465" s="28" t="inlineStr">
        <is>
          <t>No</t>
        </is>
      </c>
      <c r="M465" s="29">
        <f>IF(E465="","",IF(H465="Yes","❌ Disc",IF(G465="No","⚠ Missing",IF(J465="Yes","✓ OK","⚠ Check"))))</f>
        <v/>
      </c>
      <c r="N465" s="43" t="n">
        <v>46193</v>
      </c>
      <c r="O465" s="26" t="inlineStr">
        <is>
          <t>Sunil CR</t>
        </is>
      </c>
      <c r="P465" s="26" t="inlineStr">
        <is>
          <t>Yes</t>
        </is>
      </c>
      <c r="Q465" s="26" t="inlineStr">
        <is>
          <t>No</t>
        </is>
      </c>
      <c r="R465" s="26" t="inlineStr">
        <is>
          <t>Good finish</t>
        </is>
      </c>
      <c r="S465" s="26" t="inlineStr">
        <is>
          <t>Yes</t>
        </is>
      </c>
      <c r="T465" s="27" t="n"/>
      <c r="U465" s="28" t="inlineStr">
        <is>
          <t>No</t>
        </is>
      </c>
      <c r="V465" s="29">
        <f>IF(N465="","",IF(Q465="Yes","❌ Disc",IF(P465="No","⚠ Missing",IF(S465="Yes","✓ OK","⚠ Check"))))</f>
        <v/>
      </c>
      <c r="W465" s="65" t="n">
        <v>46248</v>
      </c>
      <c r="X465" s="30" t="inlineStr">
        <is>
          <t>Sunil CR</t>
        </is>
      </c>
      <c r="Y465" s="30" t="inlineStr">
        <is>
          <t>Yes</t>
        </is>
      </c>
      <c r="Z465" s="30" t="n"/>
      <c r="AA465" s="30" t="inlineStr">
        <is>
          <t>Good finish</t>
        </is>
      </c>
      <c r="AB465" s="30" t="inlineStr">
        <is>
          <t>Yes</t>
        </is>
      </c>
      <c r="AC465" s="27" t="n"/>
      <c r="AD465" s="31" t="inlineStr">
        <is>
          <t>No</t>
        </is>
      </c>
      <c r="AE465" s="32">
        <f>IF(W465="","",IF(Z465="Yes","❌ Disc",IF(Y465="No","⚠ Missing",IF(AB465="Yes","✓ OK","⚠ Check"))))</f>
        <v/>
      </c>
      <c r="AF465" s="33" t="n"/>
      <c r="AG465" s="33" t="n"/>
      <c r="AH465" s="33" t="n"/>
      <c r="AI465" s="33" t="n"/>
      <c r="AJ465" s="33" t="n"/>
      <c r="AK465" s="33" t="n"/>
      <c r="AL465" s="27" t="n"/>
      <c r="AM465" s="34" t="n"/>
      <c r="AN465" s="35">
        <f>IF(AF465="","",IF(AI465="Yes","❌ Disc",IF(AH465="No","⚠ Missing",IF(AK465="Yes","✓ OK","⚠ Check"))))</f>
        <v/>
      </c>
      <c r="AO465" s="36" t="n"/>
      <c r="AP465" s="36" t="n"/>
      <c r="AQ465" s="36" t="n"/>
      <c r="AR465" s="36" t="n"/>
      <c r="AS465" s="36" t="n"/>
      <c r="AT465" s="36" t="n"/>
      <c r="AU465" s="27" t="n"/>
      <c r="AV465" s="37" t="n"/>
      <c r="AW465" s="38">
        <f>IF(AO465="","",IF(AR465="Yes","❌ Disc",IF(AQ465="No","⚠ Missing",IF(AT465="Yes","✓ OK","⚠ Check"))))</f>
        <v/>
      </c>
    </row>
    <row r="466" ht="18" customHeight="1" s="46">
      <c r="A466" s="39" t="n">
        <v>462</v>
      </c>
      <c r="B466" s="40" t="inlineStr">
        <is>
          <t>BD-VRM-2026-0269</t>
        </is>
      </c>
      <c r="C466" s="41" t="inlineStr">
        <is>
          <t>Excel - Spectrum Wallpaper 5008-2</t>
        </is>
      </c>
      <c r="D466" s="39" t="inlineStr">
        <is>
          <t>Excel</t>
        </is>
      </c>
      <c r="E466" s="43" t="n">
        <v>46125</v>
      </c>
      <c r="F466" s="26" t="inlineStr">
        <is>
          <t>Sunil CR</t>
        </is>
      </c>
      <c r="G466" s="26" t="inlineStr">
        <is>
          <t>Yes</t>
        </is>
      </c>
      <c r="H466" s="26" t="inlineStr">
        <is>
          <t>No</t>
        </is>
      </c>
      <c r="I466" s="26" t="inlineStr">
        <is>
          <t>Good finish</t>
        </is>
      </c>
      <c r="J466" s="26" t="inlineStr">
        <is>
          <t>Yes</t>
        </is>
      </c>
      <c r="K466" s="27" t="n"/>
      <c r="L466" s="28" t="inlineStr">
        <is>
          <t>No</t>
        </is>
      </c>
      <c r="M466" s="29">
        <f>IF(E466="","",IF(H466="Yes","❌ Disc",IF(G466="No","⚠ Missing",IF(J466="Yes","✓ OK","⚠ Check"))))</f>
        <v/>
      </c>
      <c r="N466" s="43" t="n">
        <v>46193</v>
      </c>
      <c r="O466" s="26" t="inlineStr">
        <is>
          <t>Sunil CR</t>
        </is>
      </c>
      <c r="P466" s="26" t="inlineStr">
        <is>
          <t>Yes</t>
        </is>
      </c>
      <c r="Q466" s="26" t="inlineStr">
        <is>
          <t>No</t>
        </is>
      </c>
      <c r="R466" s="26" t="inlineStr">
        <is>
          <t>Good finish</t>
        </is>
      </c>
      <c r="S466" s="26" t="inlineStr">
        <is>
          <t>Yes</t>
        </is>
      </c>
      <c r="T466" s="27" t="n"/>
      <c r="U466" s="28" t="inlineStr">
        <is>
          <t>No</t>
        </is>
      </c>
      <c r="V466" s="29">
        <f>IF(N466="","",IF(Q466="Yes","❌ Disc",IF(P466="No","⚠ Missing",IF(S466="Yes","✓ OK","⚠ Check"))))</f>
        <v/>
      </c>
      <c r="W466" s="65" t="n">
        <v>46248</v>
      </c>
      <c r="X466" s="30" t="inlineStr">
        <is>
          <t>Sunil CR</t>
        </is>
      </c>
      <c r="Y466" s="30" t="inlineStr">
        <is>
          <t>Yes</t>
        </is>
      </c>
      <c r="Z466" s="30" t="n"/>
      <c r="AA466" s="30" t="inlineStr">
        <is>
          <t>Good finish</t>
        </is>
      </c>
      <c r="AB466" s="30" t="inlineStr">
        <is>
          <t>Yes</t>
        </is>
      </c>
      <c r="AC466" s="27" t="n"/>
      <c r="AD466" s="31" t="inlineStr">
        <is>
          <t>No</t>
        </is>
      </c>
      <c r="AE466" s="32">
        <f>IF(W466="","",IF(Z466="Yes","❌ Disc",IF(Y466="No","⚠ Missing",IF(AB466="Yes","✓ OK","⚠ Check"))))</f>
        <v/>
      </c>
      <c r="AF466" s="33" t="n"/>
      <c r="AG466" s="33" t="n"/>
      <c r="AH466" s="33" t="n"/>
      <c r="AI466" s="33" t="n"/>
      <c r="AJ466" s="33" t="n"/>
      <c r="AK466" s="33" t="n"/>
      <c r="AL466" s="27" t="n"/>
      <c r="AM466" s="34" t="n"/>
      <c r="AN466" s="35">
        <f>IF(AF466="","",IF(AI466="Yes","❌ Disc",IF(AH466="No","⚠ Missing",IF(AK466="Yes","✓ OK","⚠ Check"))))</f>
        <v/>
      </c>
      <c r="AO466" s="36" t="n"/>
      <c r="AP466" s="36" t="n"/>
      <c r="AQ466" s="36" t="n"/>
      <c r="AR466" s="36" t="n"/>
      <c r="AS466" s="36" t="n"/>
      <c r="AT466" s="36" t="n"/>
      <c r="AU466" s="27" t="n"/>
      <c r="AV466" s="37" t="n"/>
      <c r="AW466" s="38">
        <f>IF(AO466="","",IF(AR466="Yes","❌ Disc",IF(AQ466="No","⚠ Missing",IF(AT466="Yes","✓ OK","⚠ Check"))))</f>
        <v/>
      </c>
    </row>
    <row r="467" ht="18" customHeight="1" s="46">
      <c r="A467" s="23" t="n">
        <v>463</v>
      </c>
      <c r="B467" s="24" t="inlineStr">
        <is>
          <t>BD-VRM-2026-0270</t>
        </is>
      </c>
      <c r="C467" s="25" t="inlineStr">
        <is>
          <t>Excel - Spectrum Wallpaper 5008-3</t>
        </is>
      </c>
      <c r="D467" s="23" t="inlineStr">
        <is>
          <t>Excel</t>
        </is>
      </c>
      <c r="E467" s="43" t="n">
        <v>46125</v>
      </c>
      <c r="F467" s="26" t="inlineStr">
        <is>
          <t>Sunil CR</t>
        </is>
      </c>
      <c r="G467" s="26" t="inlineStr">
        <is>
          <t>Yes</t>
        </is>
      </c>
      <c r="H467" s="26" t="inlineStr">
        <is>
          <t>No</t>
        </is>
      </c>
      <c r="I467" s="26" t="inlineStr">
        <is>
          <t>Good finish</t>
        </is>
      </c>
      <c r="J467" s="26" t="inlineStr">
        <is>
          <t>Yes</t>
        </is>
      </c>
      <c r="K467" s="27" t="n"/>
      <c r="L467" s="28" t="inlineStr">
        <is>
          <t>No</t>
        </is>
      </c>
      <c r="M467" s="29">
        <f>IF(E467="","",IF(H467="Yes","❌ Disc",IF(G467="No","⚠ Missing",IF(J467="Yes","✓ OK","⚠ Check"))))</f>
        <v/>
      </c>
      <c r="N467" s="43" t="n">
        <v>46193</v>
      </c>
      <c r="O467" s="26" t="inlineStr">
        <is>
          <t>Sunil CR</t>
        </is>
      </c>
      <c r="P467" s="26" t="inlineStr">
        <is>
          <t>Yes</t>
        </is>
      </c>
      <c r="Q467" s="26" t="inlineStr">
        <is>
          <t>No</t>
        </is>
      </c>
      <c r="R467" s="26" t="inlineStr">
        <is>
          <t>Good finish</t>
        </is>
      </c>
      <c r="S467" s="26" t="inlineStr">
        <is>
          <t>Yes</t>
        </is>
      </c>
      <c r="T467" s="27" t="n"/>
      <c r="U467" s="28" t="inlineStr">
        <is>
          <t>No</t>
        </is>
      </c>
      <c r="V467" s="29">
        <f>IF(N467="","",IF(Q467="Yes","❌ Disc",IF(P467="No","⚠ Missing",IF(S467="Yes","✓ OK","⚠ Check"))))</f>
        <v/>
      </c>
      <c r="W467" s="65" t="n">
        <v>46248</v>
      </c>
      <c r="X467" s="30" t="inlineStr">
        <is>
          <t>Sunil CR</t>
        </is>
      </c>
      <c r="Y467" s="30" t="inlineStr">
        <is>
          <t>Yes</t>
        </is>
      </c>
      <c r="Z467" s="30" t="n"/>
      <c r="AA467" s="30" t="inlineStr">
        <is>
          <t>Good finish</t>
        </is>
      </c>
      <c r="AB467" s="30" t="inlineStr">
        <is>
          <t>Yes</t>
        </is>
      </c>
      <c r="AC467" s="27" t="n"/>
      <c r="AD467" s="31" t="inlineStr">
        <is>
          <t>No</t>
        </is>
      </c>
      <c r="AE467" s="32">
        <f>IF(W467="","",IF(Z467="Yes","❌ Disc",IF(Y467="No","⚠ Missing",IF(AB467="Yes","✓ OK","⚠ Check"))))</f>
        <v/>
      </c>
      <c r="AF467" s="33" t="n"/>
      <c r="AG467" s="33" t="n"/>
      <c r="AH467" s="33" t="n"/>
      <c r="AI467" s="33" t="n"/>
      <c r="AJ467" s="33" t="n"/>
      <c r="AK467" s="33" t="n"/>
      <c r="AL467" s="27" t="n"/>
      <c r="AM467" s="34" t="n"/>
      <c r="AN467" s="35">
        <f>IF(AF467="","",IF(AI467="Yes","❌ Disc",IF(AH467="No","⚠ Missing",IF(AK467="Yes","✓ OK","⚠ Check"))))</f>
        <v/>
      </c>
      <c r="AO467" s="36" t="n"/>
      <c r="AP467" s="36" t="n"/>
      <c r="AQ467" s="36" t="n"/>
      <c r="AR467" s="36" t="n"/>
      <c r="AS467" s="36" t="n"/>
      <c r="AT467" s="36" t="n"/>
      <c r="AU467" s="27" t="n"/>
      <c r="AV467" s="37" t="n"/>
      <c r="AW467" s="38">
        <f>IF(AO467="","",IF(AR467="Yes","❌ Disc",IF(AQ467="No","⚠ Missing",IF(AT467="Yes","✓ OK","⚠ Check"))))</f>
        <v/>
      </c>
    </row>
    <row r="468" ht="18" customHeight="1" s="46">
      <c r="A468" s="39" t="n">
        <v>464</v>
      </c>
      <c r="B468" s="40" t="inlineStr">
        <is>
          <t>BD-VRM-2026-0271</t>
        </is>
      </c>
      <c r="C468" s="41" t="inlineStr">
        <is>
          <t>Excel - Spectrum Wallpaper 5008-4</t>
        </is>
      </c>
      <c r="D468" s="39" t="inlineStr">
        <is>
          <t>Excel</t>
        </is>
      </c>
      <c r="E468" s="43" t="n">
        <v>46125</v>
      </c>
      <c r="F468" s="26" t="inlineStr">
        <is>
          <t>Sunil CR</t>
        </is>
      </c>
      <c r="G468" s="26" t="inlineStr">
        <is>
          <t>Yes</t>
        </is>
      </c>
      <c r="H468" s="26" t="inlineStr">
        <is>
          <t>No</t>
        </is>
      </c>
      <c r="I468" s="26" t="inlineStr">
        <is>
          <t>Good finish</t>
        </is>
      </c>
      <c r="J468" s="26" t="inlineStr">
        <is>
          <t>Yes</t>
        </is>
      </c>
      <c r="K468" s="27" t="n"/>
      <c r="L468" s="28" t="inlineStr">
        <is>
          <t>No</t>
        </is>
      </c>
      <c r="M468" s="29">
        <f>IF(E468="","",IF(H468="Yes","❌ Disc",IF(G468="No","⚠ Missing",IF(J468="Yes","✓ OK","⚠ Check"))))</f>
        <v/>
      </c>
      <c r="N468" s="43" t="n">
        <v>46193</v>
      </c>
      <c r="O468" s="26" t="inlineStr">
        <is>
          <t>Sunil CR</t>
        </is>
      </c>
      <c r="P468" s="26" t="inlineStr">
        <is>
          <t>Yes</t>
        </is>
      </c>
      <c r="Q468" s="26" t="inlineStr">
        <is>
          <t>No</t>
        </is>
      </c>
      <c r="R468" s="26" t="inlineStr">
        <is>
          <t>Good finish</t>
        </is>
      </c>
      <c r="S468" s="26" t="inlineStr">
        <is>
          <t>Yes</t>
        </is>
      </c>
      <c r="T468" s="27" t="n"/>
      <c r="U468" s="28" t="inlineStr">
        <is>
          <t>No</t>
        </is>
      </c>
      <c r="V468" s="29">
        <f>IF(N468="","",IF(Q468="Yes","❌ Disc",IF(P468="No","⚠ Missing",IF(S468="Yes","✓ OK","⚠ Check"))))</f>
        <v/>
      </c>
      <c r="W468" s="65" t="n">
        <v>46248</v>
      </c>
      <c r="X468" s="30" t="inlineStr">
        <is>
          <t>Sunil CR</t>
        </is>
      </c>
      <c r="Y468" s="30" t="inlineStr">
        <is>
          <t>Yes</t>
        </is>
      </c>
      <c r="Z468" s="30" t="n"/>
      <c r="AA468" s="30" t="inlineStr">
        <is>
          <t>Good finish</t>
        </is>
      </c>
      <c r="AB468" s="30" t="inlineStr">
        <is>
          <t>Yes</t>
        </is>
      </c>
      <c r="AC468" s="27" t="n"/>
      <c r="AD468" s="31" t="inlineStr">
        <is>
          <t>No</t>
        </is>
      </c>
      <c r="AE468" s="32">
        <f>IF(W468="","",IF(Z468="Yes","❌ Disc",IF(Y468="No","⚠ Missing",IF(AB468="Yes","✓ OK","⚠ Check"))))</f>
        <v/>
      </c>
      <c r="AF468" s="33" t="n"/>
      <c r="AG468" s="33" t="n"/>
      <c r="AH468" s="33" t="n"/>
      <c r="AI468" s="33" t="n"/>
      <c r="AJ468" s="33" t="n"/>
      <c r="AK468" s="33" t="n"/>
      <c r="AL468" s="27" t="n"/>
      <c r="AM468" s="34" t="n"/>
      <c r="AN468" s="35">
        <f>IF(AF468="","",IF(AI468="Yes","❌ Disc",IF(AH468="No","⚠ Missing",IF(AK468="Yes","✓ OK","⚠ Check"))))</f>
        <v/>
      </c>
      <c r="AO468" s="36" t="n"/>
      <c r="AP468" s="36" t="n"/>
      <c r="AQ468" s="36" t="n"/>
      <c r="AR468" s="36" t="n"/>
      <c r="AS468" s="36" t="n"/>
      <c r="AT468" s="36" t="n"/>
      <c r="AU468" s="27" t="n"/>
      <c r="AV468" s="37" t="n"/>
      <c r="AW468" s="38">
        <f>IF(AO468="","",IF(AR468="Yes","❌ Disc",IF(AQ468="No","⚠ Missing",IF(AT468="Yes","✓ OK","⚠ Check"))))</f>
        <v/>
      </c>
    </row>
    <row r="469" ht="18" customHeight="1" s="46">
      <c r="A469" s="23" t="n">
        <v>465</v>
      </c>
      <c r="B469" s="24" t="inlineStr">
        <is>
          <t>BD-VRM-2026-0272</t>
        </is>
      </c>
      <c r="C469" s="25" t="inlineStr">
        <is>
          <t>Excel - Spectrum Wallpaper 5008-5</t>
        </is>
      </c>
      <c r="D469" s="23" t="inlineStr">
        <is>
          <t>Excel</t>
        </is>
      </c>
      <c r="E469" s="43" t="n">
        <v>46125</v>
      </c>
      <c r="F469" s="26" t="inlineStr">
        <is>
          <t>Sunil CR</t>
        </is>
      </c>
      <c r="G469" s="26" t="inlineStr">
        <is>
          <t>Yes</t>
        </is>
      </c>
      <c r="H469" s="26" t="inlineStr">
        <is>
          <t>No</t>
        </is>
      </c>
      <c r="I469" s="26" t="inlineStr">
        <is>
          <t>Good finish</t>
        </is>
      </c>
      <c r="J469" s="26" t="inlineStr">
        <is>
          <t>Yes</t>
        </is>
      </c>
      <c r="K469" s="27" t="n"/>
      <c r="L469" s="28" t="inlineStr">
        <is>
          <t>No</t>
        </is>
      </c>
      <c r="M469" s="29">
        <f>IF(E469="","",IF(H469="Yes","❌ Disc",IF(G469="No","⚠ Missing",IF(J469="Yes","✓ OK","⚠ Check"))))</f>
        <v/>
      </c>
      <c r="N469" s="43" t="n">
        <v>46193</v>
      </c>
      <c r="O469" s="26" t="inlineStr">
        <is>
          <t>Sunil CR</t>
        </is>
      </c>
      <c r="P469" s="26" t="inlineStr">
        <is>
          <t>Yes</t>
        </is>
      </c>
      <c r="Q469" s="26" t="inlineStr">
        <is>
          <t>No</t>
        </is>
      </c>
      <c r="R469" s="26" t="inlineStr">
        <is>
          <t>Good finish</t>
        </is>
      </c>
      <c r="S469" s="26" t="inlineStr">
        <is>
          <t>Yes</t>
        </is>
      </c>
      <c r="T469" s="27" t="n"/>
      <c r="U469" s="28" t="inlineStr">
        <is>
          <t>No</t>
        </is>
      </c>
      <c r="V469" s="29">
        <f>IF(N469="","",IF(Q469="Yes","❌ Disc",IF(P469="No","⚠ Missing",IF(S469="Yes","✓ OK","⚠ Check"))))</f>
        <v/>
      </c>
      <c r="W469" s="65" t="n">
        <v>46248</v>
      </c>
      <c r="X469" s="30" t="inlineStr">
        <is>
          <t>Sunil CR</t>
        </is>
      </c>
      <c r="Y469" s="30" t="inlineStr">
        <is>
          <t>Yes</t>
        </is>
      </c>
      <c r="Z469" s="30" t="n"/>
      <c r="AA469" s="30" t="inlineStr">
        <is>
          <t>Good finish</t>
        </is>
      </c>
      <c r="AB469" s="30" t="inlineStr">
        <is>
          <t>Yes</t>
        </is>
      </c>
      <c r="AC469" s="27" t="n"/>
      <c r="AD469" s="31" t="inlineStr">
        <is>
          <t>No</t>
        </is>
      </c>
      <c r="AE469" s="32">
        <f>IF(W469="","",IF(Z469="Yes","❌ Disc",IF(Y469="No","⚠ Missing",IF(AB469="Yes","✓ OK","⚠ Check"))))</f>
        <v/>
      </c>
      <c r="AF469" s="33" t="n"/>
      <c r="AG469" s="33" t="n"/>
      <c r="AH469" s="33" t="n"/>
      <c r="AI469" s="33" t="n"/>
      <c r="AJ469" s="33" t="n"/>
      <c r="AK469" s="33" t="n"/>
      <c r="AL469" s="27" t="n"/>
      <c r="AM469" s="34" t="n"/>
      <c r="AN469" s="35">
        <f>IF(AF469="","",IF(AI469="Yes","❌ Disc",IF(AH469="No","⚠ Missing",IF(AK469="Yes","✓ OK","⚠ Check"))))</f>
        <v/>
      </c>
      <c r="AO469" s="36" t="n"/>
      <c r="AP469" s="36" t="n"/>
      <c r="AQ469" s="36" t="n"/>
      <c r="AR469" s="36" t="n"/>
      <c r="AS469" s="36" t="n"/>
      <c r="AT469" s="36" t="n"/>
      <c r="AU469" s="27" t="n"/>
      <c r="AV469" s="37" t="n"/>
      <c r="AW469" s="38">
        <f>IF(AO469="","",IF(AR469="Yes","❌ Disc",IF(AQ469="No","⚠ Missing",IF(AT469="Yes","✓ OK","⚠ Check"))))</f>
        <v/>
      </c>
    </row>
    <row r="470" ht="18" customHeight="1" s="46">
      <c r="A470" s="39" t="n">
        <v>466</v>
      </c>
      <c r="B470" s="40" t="inlineStr">
        <is>
          <t>BD-VRM-2026-0273</t>
        </is>
      </c>
      <c r="C470" s="41" t="inlineStr">
        <is>
          <t>Excel - Spectrum Wallpaper 5008-6</t>
        </is>
      </c>
      <c r="D470" s="39" t="inlineStr">
        <is>
          <t>Excel</t>
        </is>
      </c>
      <c r="E470" s="43" t="n">
        <v>46125</v>
      </c>
      <c r="F470" s="26" t="inlineStr">
        <is>
          <t>Sunil CR</t>
        </is>
      </c>
      <c r="G470" s="26" t="inlineStr">
        <is>
          <t>Yes</t>
        </is>
      </c>
      <c r="H470" s="26" t="inlineStr">
        <is>
          <t>No</t>
        </is>
      </c>
      <c r="I470" s="26" t="inlineStr">
        <is>
          <t>Good finish</t>
        </is>
      </c>
      <c r="J470" s="26" t="inlineStr">
        <is>
          <t>Yes</t>
        </is>
      </c>
      <c r="K470" s="27" t="n"/>
      <c r="L470" s="28" t="inlineStr">
        <is>
          <t>No</t>
        </is>
      </c>
      <c r="M470" s="29">
        <f>IF(E470="","",IF(H470="Yes","❌ Disc",IF(G470="No","⚠ Missing",IF(J470="Yes","✓ OK","⚠ Check"))))</f>
        <v/>
      </c>
      <c r="N470" s="43" t="n">
        <v>46193</v>
      </c>
      <c r="O470" s="26" t="inlineStr">
        <is>
          <t>Sunil CR</t>
        </is>
      </c>
      <c r="P470" s="26" t="inlineStr">
        <is>
          <t>Yes</t>
        </is>
      </c>
      <c r="Q470" s="26" t="inlineStr">
        <is>
          <t>No</t>
        </is>
      </c>
      <c r="R470" s="26" t="inlineStr">
        <is>
          <t>Good finish</t>
        </is>
      </c>
      <c r="S470" s="26" t="inlineStr">
        <is>
          <t>Yes</t>
        </is>
      </c>
      <c r="T470" s="27" t="n"/>
      <c r="U470" s="28" t="inlineStr">
        <is>
          <t>No</t>
        </is>
      </c>
      <c r="V470" s="29">
        <f>IF(N470="","",IF(Q470="Yes","❌ Disc",IF(P470="No","⚠ Missing",IF(S470="Yes","✓ OK","⚠ Check"))))</f>
        <v/>
      </c>
      <c r="W470" s="65" t="n">
        <v>46248</v>
      </c>
      <c r="X470" s="30" t="inlineStr">
        <is>
          <t>Sunil CR</t>
        </is>
      </c>
      <c r="Y470" s="30" t="inlineStr">
        <is>
          <t>Yes</t>
        </is>
      </c>
      <c r="Z470" s="30" t="n"/>
      <c r="AA470" s="30" t="inlineStr">
        <is>
          <t>Good finish</t>
        </is>
      </c>
      <c r="AB470" s="30" t="inlineStr">
        <is>
          <t>Yes</t>
        </is>
      </c>
      <c r="AC470" s="27" t="n"/>
      <c r="AD470" s="31" t="inlineStr">
        <is>
          <t>No</t>
        </is>
      </c>
      <c r="AE470" s="32">
        <f>IF(W470="","",IF(Z470="Yes","❌ Disc",IF(Y470="No","⚠ Missing",IF(AB470="Yes","✓ OK","⚠ Check"))))</f>
        <v/>
      </c>
      <c r="AF470" s="33" t="n"/>
      <c r="AG470" s="33" t="n"/>
      <c r="AH470" s="33" t="n"/>
      <c r="AI470" s="33" t="n"/>
      <c r="AJ470" s="33" t="n"/>
      <c r="AK470" s="33" t="n"/>
      <c r="AL470" s="27" t="n"/>
      <c r="AM470" s="34" t="n"/>
      <c r="AN470" s="35">
        <f>IF(AF470="","",IF(AI470="Yes","❌ Disc",IF(AH470="No","⚠ Missing",IF(AK470="Yes","✓ OK","⚠ Check"))))</f>
        <v/>
      </c>
      <c r="AO470" s="36" t="n"/>
      <c r="AP470" s="36" t="n"/>
      <c r="AQ470" s="36" t="n"/>
      <c r="AR470" s="36" t="n"/>
      <c r="AS470" s="36" t="n"/>
      <c r="AT470" s="36" t="n"/>
      <c r="AU470" s="27" t="n"/>
      <c r="AV470" s="37" t="n"/>
      <c r="AW470" s="38">
        <f>IF(AO470="","",IF(AR470="Yes","❌ Disc",IF(AQ470="No","⚠ Missing",IF(AT470="Yes","✓ OK","⚠ Check"))))</f>
        <v/>
      </c>
    </row>
    <row r="471" ht="18" customHeight="1" s="46">
      <c r="A471" s="23" t="n">
        <v>467</v>
      </c>
      <c r="B471" s="24" t="inlineStr">
        <is>
          <t>BD-VRM-2026-0274</t>
        </is>
      </c>
      <c r="C471" s="25" t="inlineStr">
        <is>
          <t>Excel - Spectrum Wallpaper 5008-7</t>
        </is>
      </c>
      <c r="D471" s="23" t="inlineStr">
        <is>
          <t>Excel</t>
        </is>
      </c>
      <c r="E471" s="43" t="n">
        <v>46125</v>
      </c>
      <c r="F471" s="26" t="inlineStr">
        <is>
          <t>Sunil CR</t>
        </is>
      </c>
      <c r="G471" s="26" t="inlineStr">
        <is>
          <t>Yes</t>
        </is>
      </c>
      <c r="H471" s="26" t="inlineStr">
        <is>
          <t>No</t>
        </is>
      </c>
      <c r="I471" s="26" t="inlineStr">
        <is>
          <t>Good finish</t>
        </is>
      </c>
      <c r="J471" s="26" t="inlineStr">
        <is>
          <t>Yes</t>
        </is>
      </c>
      <c r="K471" s="27" t="n"/>
      <c r="L471" s="28" t="inlineStr">
        <is>
          <t>No</t>
        </is>
      </c>
      <c r="M471" s="29">
        <f>IF(E471="","",IF(H471="Yes","❌ Disc",IF(G471="No","⚠ Missing",IF(J471="Yes","✓ OK","⚠ Check"))))</f>
        <v/>
      </c>
      <c r="N471" s="43" t="n">
        <v>46193</v>
      </c>
      <c r="O471" s="26" t="inlineStr">
        <is>
          <t>Sunil CR</t>
        </is>
      </c>
      <c r="P471" s="26" t="inlineStr">
        <is>
          <t>Yes</t>
        </is>
      </c>
      <c r="Q471" s="26" t="inlineStr">
        <is>
          <t>No</t>
        </is>
      </c>
      <c r="R471" s="26" t="inlineStr">
        <is>
          <t>Good finish</t>
        </is>
      </c>
      <c r="S471" s="26" t="inlineStr">
        <is>
          <t>Yes</t>
        </is>
      </c>
      <c r="T471" s="27" t="n"/>
      <c r="U471" s="28" t="inlineStr">
        <is>
          <t>No</t>
        </is>
      </c>
      <c r="V471" s="29">
        <f>IF(N471="","",IF(Q471="Yes","❌ Disc",IF(P471="No","⚠ Missing",IF(S471="Yes","✓ OK","⚠ Check"))))</f>
        <v/>
      </c>
      <c r="W471" s="65" t="n">
        <v>46248</v>
      </c>
      <c r="X471" s="30" t="inlineStr">
        <is>
          <t>Sunil CR</t>
        </is>
      </c>
      <c r="Y471" s="30" t="inlineStr">
        <is>
          <t>Yes</t>
        </is>
      </c>
      <c r="Z471" s="30" t="n"/>
      <c r="AA471" s="30" t="inlineStr">
        <is>
          <t>Good finish</t>
        </is>
      </c>
      <c r="AB471" s="30" t="inlineStr">
        <is>
          <t>Yes</t>
        </is>
      </c>
      <c r="AC471" s="27" t="n"/>
      <c r="AD471" s="31" t="inlineStr">
        <is>
          <t>No</t>
        </is>
      </c>
      <c r="AE471" s="32">
        <f>IF(W471="","",IF(Z471="Yes","❌ Disc",IF(Y471="No","⚠ Missing",IF(AB471="Yes","✓ OK","⚠ Check"))))</f>
        <v/>
      </c>
      <c r="AF471" s="33" t="n"/>
      <c r="AG471" s="33" t="n"/>
      <c r="AH471" s="33" t="n"/>
      <c r="AI471" s="33" t="n"/>
      <c r="AJ471" s="33" t="n"/>
      <c r="AK471" s="33" t="n"/>
      <c r="AL471" s="27" t="n"/>
      <c r="AM471" s="34" t="n"/>
      <c r="AN471" s="35">
        <f>IF(AF471="","",IF(AI471="Yes","❌ Disc",IF(AH471="No","⚠ Missing",IF(AK471="Yes","✓ OK","⚠ Check"))))</f>
        <v/>
      </c>
      <c r="AO471" s="36" t="n"/>
      <c r="AP471" s="36" t="n"/>
      <c r="AQ471" s="36" t="n"/>
      <c r="AR471" s="36" t="n"/>
      <c r="AS471" s="36" t="n"/>
      <c r="AT471" s="36" t="n"/>
      <c r="AU471" s="27" t="n"/>
      <c r="AV471" s="37" t="n"/>
      <c r="AW471" s="38">
        <f>IF(AO471="","",IF(AR471="Yes","❌ Disc",IF(AQ471="No","⚠ Missing",IF(AT471="Yes","✓ OK","⚠ Check"))))</f>
        <v/>
      </c>
    </row>
    <row r="472" ht="18" customHeight="1" s="46">
      <c r="A472" s="39" t="n">
        <v>468</v>
      </c>
      <c r="B472" s="40" t="inlineStr">
        <is>
          <t>BD-VRM-2026-0275</t>
        </is>
      </c>
      <c r="C472" s="41" t="inlineStr">
        <is>
          <t>Excel - Spectrum Wallpaper 5009-1</t>
        </is>
      </c>
      <c r="D472" s="39" t="inlineStr">
        <is>
          <t>Excel</t>
        </is>
      </c>
      <c r="E472" s="43" t="n">
        <v>46125</v>
      </c>
      <c r="F472" s="26" t="inlineStr">
        <is>
          <t>Sunil CR</t>
        </is>
      </c>
      <c r="G472" s="26" t="inlineStr">
        <is>
          <t>Yes</t>
        </is>
      </c>
      <c r="H472" s="26" t="inlineStr">
        <is>
          <t>No</t>
        </is>
      </c>
      <c r="I472" s="26" t="inlineStr">
        <is>
          <t>Good finish</t>
        </is>
      </c>
      <c r="J472" s="26" t="inlineStr">
        <is>
          <t>Yes</t>
        </is>
      </c>
      <c r="K472" s="27" t="n"/>
      <c r="L472" s="28" t="inlineStr">
        <is>
          <t>No</t>
        </is>
      </c>
      <c r="M472" s="29">
        <f>IF(E472="","",IF(H472="Yes","❌ Disc",IF(G472="No","⚠ Missing",IF(J472="Yes","✓ OK","⚠ Check"))))</f>
        <v/>
      </c>
      <c r="N472" s="43" t="n">
        <v>46193</v>
      </c>
      <c r="O472" s="26" t="inlineStr">
        <is>
          <t>Sunil CR</t>
        </is>
      </c>
      <c r="P472" s="26" t="inlineStr">
        <is>
          <t>Yes</t>
        </is>
      </c>
      <c r="Q472" s="26" t="inlineStr">
        <is>
          <t>No</t>
        </is>
      </c>
      <c r="R472" s="26" t="inlineStr">
        <is>
          <t>Good finish</t>
        </is>
      </c>
      <c r="S472" s="26" t="inlineStr">
        <is>
          <t>Yes</t>
        </is>
      </c>
      <c r="T472" s="27" t="n"/>
      <c r="U472" s="28" t="inlineStr">
        <is>
          <t>No</t>
        </is>
      </c>
      <c r="V472" s="29">
        <f>IF(N472="","",IF(Q472="Yes","❌ Disc",IF(P472="No","⚠ Missing",IF(S472="Yes","✓ OK","⚠ Check"))))</f>
        <v/>
      </c>
      <c r="W472" s="65" t="n">
        <v>46248</v>
      </c>
      <c r="X472" s="30" t="inlineStr">
        <is>
          <t>Sunil CR</t>
        </is>
      </c>
      <c r="Y472" s="30" t="inlineStr">
        <is>
          <t>Yes</t>
        </is>
      </c>
      <c r="Z472" s="30" t="n"/>
      <c r="AA472" s="30" t="inlineStr">
        <is>
          <t>Good finish</t>
        </is>
      </c>
      <c r="AB472" s="30" t="inlineStr">
        <is>
          <t>Yes</t>
        </is>
      </c>
      <c r="AC472" s="27" t="n"/>
      <c r="AD472" s="31" t="inlineStr">
        <is>
          <t>No</t>
        </is>
      </c>
      <c r="AE472" s="32">
        <f>IF(W472="","",IF(Z472="Yes","❌ Disc",IF(Y472="No","⚠ Missing",IF(AB472="Yes","✓ OK","⚠ Check"))))</f>
        <v/>
      </c>
      <c r="AF472" s="33" t="n"/>
      <c r="AG472" s="33" t="n"/>
      <c r="AH472" s="33" t="n"/>
      <c r="AI472" s="33" t="n"/>
      <c r="AJ472" s="33" t="n"/>
      <c r="AK472" s="33" t="n"/>
      <c r="AL472" s="27" t="n"/>
      <c r="AM472" s="34" t="n"/>
      <c r="AN472" s="35">
        <f>IF(AF472="","",IF(AI472="Yes","❌ Disc",IF(AH472="No","⚠ Missing",IF(AK472="Yes","✓ OK","⚠ Check"))))</f>
        <v/>
      </c>
      <c r="AO472" s="36" t="n"/>
      <c r="AP472" s="36" t="n"/>
      <c r="AQ472" s="36" t="n"/>
      <c r="AR472" s="36" t="n"/>
      <c r="AS472" s="36" t="n"/>
      <c r="AT472" s="36" t="n"/>
      <c r="AU472" s="27" t="n"/>
      <c r="AV472" s="37" t="n"/>
      <c r="AW472" s="38">
        <f>IF(AO472="","",IF(AR472="Yes","❌ Disc",IF(AQ472="No","⚠ Missing",IF(AT472="Yes","✓ OK","⚠ Check"))))</f>
        <v/>
      </c>
    </row>
    <row r="473" ht="18" customHeight="1" s="46">
      <c r="A473" s="23" t="n">
        <v>469</v>
      </c>
      <c r="B473" s="24" t="inlineStr">
        <is>
          <t>BD-VRM-2026-0276</t>
        </is>
      </c>
      <c r="C473" s="25" t="inlineStr">
        <is>
          <t>Excel - Spectrum Wallpaper 5009-2</t>
        </is>
      </c>
      <c r="D473" s="23" t="inlineStr">
        <is>
          <t>Excel</t>
        </is>
      </c>
      <c r="E473" s="43" t="n">
        <v>46125</v>
      </c>
      <c r="F473" s="26" t="inlineStr">
        <is>
          <t>Sunil CR</t>
        </is>
      </c>
      <c r="G473" s="26" t="inlineStr">
        <is>
          <t>Yes</t>
        </is>
      </c>
      <c r="H473" s="26" t="inlineStr">
        <is>
          <t>No</t>
        </is>
      </c>
      <c r="I473" s="26" t="inlineStr">
        <is>
          <t>Good finish</t>
        </is>
      </c>
      <c r="J473" s="26" t="inlineStr">
        <is>
          <t>Yes</t>
        </is>
      </c>
      <c r="K473" s="27" t="n"/>
      <c r="L473" s="28" t="inlineStr">
        <is>
          <t>No</t>
        </is>
      </c>
      <c r="M473" s="29">
        <f>IF(E473="","",IF(H473="Yes","❌ Disc",IF(G473="No","⚠ Missing",IF(J473="Yes","✓ OK","⚠ Check"))))</f>
        <v/>
      </c>
      <c r="N473" s="43" t="n">
        <v>46193</v>
      </c>
      <c r="O473" s="26" t="inlineStr">
        <is>
          <t>Sunil CR</t>
        </is>
      </c>
      <c r="P473" s="26" t="inlineStr">
        <is>
          <t>Yes</t>
        </is>
      </c>
      <c r="Q473" s="26" t="inlineStr">
        <is>
          <t>No</t>
        </is>
      </c>
      <c r="R473" s="26" t="inlineStr">
        <is>
          <t>Good finish</t>
        </is>
      </c>
      <c r="S473" s="26" t="inlineStr">
        <is>
          <t>Yes</t>
        </is>
      </c>
      <c r="T473" s="27" t="n"/>
      <c r="U473" s="28" t="inlineStr">
        <is>
          <t>No</t>
        </is>
      </c>
      <c r="V473" s="29">
        <f>IF(N473="","",IF(Q473="Yes","❌ Disc",IF(P473="No","⚠ Missing",IF(S473="Yes","✓ OK","⚠ Check"))))</f>
        <v/>
      </c>
      <c r="W473" s="65" t="n">
        <v>46248</v>
      </c>
      <c r="X473" s="30" t="inlineStr">
        <is>
          <t>Sunil CR</t>
        </is>
      </c>
      <c r="Y473" s="30" t="inlineStr">
        <is>
          <t>Yes</t>
        </is>
      </c>
      <c r="Z473" s="30" t="n"/>
      <c r="AA473" s="30" t="inlineStr">
        <is>
          <t>Good finish</t>
        </is>
      </c>
      <c r="AB473" s="30" t="inlineStr">
        <is>
          <t>Yes</t>
        </is>
      </c>
      <c r="AC473" s="27" t="n"/>
      <c r="AD473" s="31" t="inlineStr">
        <is>
          <t>No</t>
        </is>
      </c>
      <c r="AE473" s="32">
        <f>IF(W473="","",IF(Z473="Yes","❌ Disc",IF(Y473="No","⚠ Missing",IF(AB473="Yes","✓ OK","⚠ Check"))))</f>
        <v/>
      </c>
      <c r="AF473" s="33" t="n"/>
      <c r="AG473" s="33" t="n"/>
      <c r="AH473" s="33" t="n"/>
      <c r="AI473" s="33" t="n"/>
      <c r="AJ473" s="33" t="n"/>
      <c r="AK473" s="33" t="n"/>
      <c r="AL473" s="27" t="n"/>
      <c r="AM473" s="34" t="n"/>
      <c r="AN473" s="35">
        <f>IF(AF473="","",IF(AI473="Yes","❌ Disc",IF(AH473="No","⚠ Missing",IF(AK473="Yes","✓ OK","⚠ Check"))))</f>
        <v/>
      </c>
      <c r="AO473" s="36" t="n"/>
      <c r="AP473" s="36" t="n"/>
      <c r="AQ473" s="36" t="n"/>
      <c r="AR473" s="36" t="n"/>
      <c r="AS473" s="36" t="n"/>
      <c r="AT473" s="36" t="n"/>
      <c r="AU473" s="27" t="n"/>
      <c r="AV473" s="37" t="n"/>
      <c r="AW473" s="38">
        <f>IF(AO473="","",IF(AR473="Yes","❌ Disc",IF(AQ473="No","⚠ Missing",IF(AT473="Yes","✓ OK","⚠ Check"))))</f>
        <v/>
      </c>
    </row>
    <row r="474" ht="18" customHeight="1" s="46">
      <c r="A474" s="39" t="n">
        <v>470</v>
      </c>
      <c r="B474" s="40" t="inlineStr">
        <is>
          <t>BD-VRM-2026-0277</t>
        </is>
      </c>
      <c r="C474" s="41" t="inlineStr">
        <is>
          <t>Excel - Spectrum Wallpaper 5009-3</t>
        </is>
      </c>
      <c r="D474" s="39" t="inlineStr">
        <is>
          <t>Excel</t>
        </is>
      </c>
      <c r="E474" s="43" t="n">
        <v>46125</v>
      </c>
      <c r="F474" s="26" t="inlineStr">
        <is>
          <t>Sunil CR</t>
        </is>
      </c>
      <c r="G474" s="26" t="inlineStr">
        <is>
          <t>Yes</t>
        </is>
      </c>
      <c r="H474" s="26" t="inlineStr">
        <is>
          <t>No</t>
        </is>
      </c>
      <c r="I474" s="26" t="inlineStr">
        <is>
          <t>Good finish</t>
        </is>
      </c>
      <c r="J474" s="26" t="inlineStr">
        <is>
          <t>Yes</t>
        </is>
      </c>
      <c r="K474" s="27" t="n"/>
      <c r="L474" s="28" t="inlineStr">
        <is>
          <t>No</t>
        </is>
      </c>
      <c r="M474" s="29">
        <f>IF(E474="","",IF(H474="Yes","❌ Disc",IF(G474="No","⚠ Missing",IF(J474="Yes","✓ OK","⚠ Check"))))</f>
        <v/>
      </c>
      <c r="N474" s="43" t="n">
        <v>46193</v>
      </c>
      <c r="O474" s="26" t="inlineStr">
        <is>
          <t>Sunil CR</t>
        </is>
      </c>
      <c r="P474" s="26" t="inlineStr">
        <is>
          <t>Yes</t>
        </is>
      </c>
      <c r="Q474" s="26" t="inlineStr">
        <is>
          <t>No</t>
        </is>
      </c>
      <c r="R474" s="26" t="inlineStr">
        <is>
          <t>Good finish</t>
        </is>
      </c>
      <c r="S474" s="26" t="inlineStr">
        <is>
          <t>Yes</t>
        </is>
      </c>
      <c r="T474" s="27" t="n"/>
      <c r="U474" s="28" t="inlineStr">
        <is>
          <t>No</t>
        </is>
      </c>
      <c r="V474" s="29">
        <f>IF(N474="","",IF(Q474="Yes","❌ Disc",IF(P474="No","⚠ Missing",IF(S474="Yes","✓ OK","⚠ Check"))))</f>
        <v/>
      </c>
      <c r="W474" s="65" t="n">
        <v>46248</v>
      </c>
      <c r="X474" s="30" t="inlineStr">
        <is>
          <t>Sunil CR</t>
        </is>
      </c>
      <c r="Y474" s="30" t="inlineStr">
        <is>
          <t>Yes</t>
        </is>
      </c>
      <c r="Z474" s="30" t="n"/>
      <c r="AA474" s="30" t="inlineStr">
        <is>
          <t>Good finish</t>
        </is>
      </c>
      <c r="AB474" s="30" t="inlineStr">
        <is>
          <t>Yes</t>
        </is>
      </c>
      <c r="AC474" s="27" t="n"/>
      <c r="AD474" s="31" t="inlineStr">
        <is>
          <t>No</t>
        </is>
      </c>
      <c r="AE474" s="32">
        <f>IF(W474="","",IF(Z474="Yes","❌ Disc",IF(Y474="No","⚠ Missing",IF(AB474="Yes","✓ OK","⚠ Check"))))</f>
        <v/>
      </c>
      <c r="AF474" s="33" t="n"/>
      <c r="AG474" s="33" t="n"/>
      <c r="AH474" s="33" t="n"/>
      <c r="AI474" s="33" t="n"/>
      <c r="AJ474" s="33" t="n"/>
      <c r="AK474" s="33" t="n"/>
      <c r="AL474" s="27" t="n"/>
      <c r="AM474" s="34" t="n"/>
      <c r="AN474" s="35">
        <f>IF(AF474="","",IF(AI474="Yes","❌ Disc",IF(AH474="No","⚠ Missing",IF(AK474="Yes","✓ OK","⚠ Check"))))</f>
        <v/>
      </c>
      <c r="AO474" s="36" t="n"/>
      <c r="AP474" s="36" t="n"/>
      <c r="AQ474" s="36" t="n"/>
      <c r="AR474" s="36" t="n"/>
      <c r="AS474" s="36" t="n"/>
      <c r="AT474" s="36" t="n"/>
      <c r="AU474" s="27" t="n"/>
      <c r="AV474" s="37" t="n"/>
      <c r="AW474" s="38">
        <f>IF(AO474="","",IF(AR474="Yes","❌ Disc",IF(AQ474="No","⚠ Missing",IF(AT474="Yes","✓ OK","⚠ Check"))))</f>
        <v/>
      </c>
    </row>
    <row r="475" ht="18" customHeight="1" s="46">
      <c r="A475" s="23" t="n">
        <v>471</v>
      </c>
      <c r="B475" s="24" t="inlineStr">
        <is>
          <t>BD-VRM-2026-0278</t>
        </is>
      </c>
      <c r="C475" s="25" t="inlineStr">
        <is>
          <t>Excel - Spectrum Wallpaper 5009-4</t>
        </is>
      </c>
      <c r="D475" s="23" t="inlineStr">
        <is>
          <t>Excel</t>
        </is>
      </c>
      <c r="E475" s="43" t="n">
        <v>46125</v>
      </c>
      <c r="F475" s="26" t="inlineStr">
        <is>
          <t>Sunil CR</t>
        </is>
      </c>
      <c r="G475" s="26" t="inlineStr">
        <is>
          <t>Yes</t>
        </is>
      </c>
      <c r="H475" s="26" t="inlineStr">
        <is>
          <t>No</t>
        </is>
      </c>
      <c r="I475" s="26" t="inlineStr">
        <is>
          <t>Good finish</t>
        </is>
      </c>
      <c r="J475" s="26" t="inlineStr">
        <is>
          <t>Yes</t>
        </is>
      </c>
      <c r="K475" s="27" t="n"/>
      <c r="L475" s="28" t="inlineStr">
        <is>
          <t>No</t>
        </is>
      </c>
      <c r="M475" s="29">
        <f>IF(E475="","",IF(H475="Yes","❌ Disc",IF(G475="No","⚠ Missing",IF(J475="Yes","✓ OK","⚠ Check"))))</f>
        <v/>
      </c>
      <c r="N475" s="43" t="n">
        <v>46193</v>
      </c>
      <c r="O475" s="26" t="inlineStr">
        <is>
          <t>Sunil CR</t>
        </is>
      </c>
      <c r="P475" s="26" t="inlineStr">
        <is>
          <t>Yes</t>
        </is>
      </c>
      <c r="Q475" s="26" t="inlineStr">
        <is>
          <t>No</t>
        </is>
      </c>
      <c r="R475" s="26" t="inlineStr">
        <is>
          <t>Good finish</t>
        </is>
      </c>
      <c r="S475" s="26" t="inlineStr">
        <is>
          <t>Yes</t>
        </is>
      </c>
      <c r="T475" s="27" t="n"/>
      <c r="U475" s="28" t="inlineStr">
        <is>
          <t>No</t>
        </is>
      </c>
      <c r="V475" s="29">
        <f>IF(N475="","",IF(Q475="Yes","❌ Disc",IF(P475="No","⚠ Missing",IF(S475="Yes","✓ OK","⚠ Check"))))</f>
        <v/>
      </c>
      <c r="W475" s="65" t="n">
        <v>46248</v>
      </c>
      <c r="X475" s="30" t="inlineStr">
        <is>
          <t>Sunil CR</t>
        </is>
      </c>
      <c r="Y475" s="30" t="inlineStr">
        <is>
          <t>Yes</t>
        </is>
      </c>
      <c r="Z475" s="30" t="n"/>
      <c r="AA475" s="30" t="inlineStr">
        <is>
          <t>Good finish</t>
        </is>
      </c>
      <c r="AB475" s="30" t="inlineStr">
        <is>
          <t>Yes</t>
        </is>
      </c>
      <c r="AC475" s="27" t="n"/>
      <c r="AD475" s="31" t="inlineStr">
        <is>
          <t>No</t>
        </is>
      </c>
      <c r="AE475" s="32">
        <f>IF(W475="","",IF(Z475="Yes","❌ Disc",IF(Y475="No","⚠ Missing",IF(AB475="Yes","✓ OK","⚠ Check"))))</f>
        <v/>
      </c>
      <c r="AF475" s="33" t="n"/>
      <c r="AG475" s="33" t="n"/>
      <c r="AH475" s="33" t="n"/>
      <c r="AI475" s="33" t="n"/>
      <c r="AJ475" s="33" t="n"/>
      <c r="AK475" s="33" t="n"/>
      <c r="AL475" s="27" t="n"/>
      <c r="AM475" s="34" t="n"/>
      <c r="AN475" s="35">
        <f>IF(AF475="","",IF(AI475="Yes","❌ Disc",IF(AH475="No","⚠ Missing",IF(AK475="Yes","✓ OK","⚠ Check"))))</f>
        <v/>
      </c>
      <c r="AO475" s="36" t="n"/>
      <c r="AP475" s="36" t="n"/>
      <c r="AQ475" s="36" t="n"/>
      <c r="AR475" s="36" t="n"/>
      <c r="AS475" s="36" t="n"/>
      <c r="AT475" s="36" t="n"/>
      <c r="AU475" s="27" t="n"/>
      <c r="AV475" s="37" t="n"/>
      <c r="AW475" s="38">
        <f>IF(AO475="","",IF(AR475="Yes","❌ Disc",IF(AQ475="No","⚠ Missing",IF(AT475="Yes","✓ OK","⚠ Check"))))</f>
        <v/>
      </c>
    </row>
    <row r="476" ht="18" customHeight="1" s="46">
      <c r="A476" s="39" t="n">
        <v>472</v>
      </c>
      <c r="B476" s="40" t="inlineStr">
        <is>
          <t>BD-VRM-2026-0279</t>
        </is>
      </c>
      <c r="C476" s="41" t="inlineStr">
        <is>
          <t>Excel - Spectrum Wallpaper 5009-5</t>
        </is>
      </c>
      <c r="D476" s="39" t="inlineStr">
        <is>
          <t>Excel</t>
        </is>
      </c>
      <c r="E476" s="43" t="n">
        <v>46125</v>
      </c>
      <c r="F476" s="26" t="inlineStr">
        <is>
          <t>Sunil CR</t>
        </is>
      </c>
      <c r="G476" s="26" t="inlineStr">
        <is>
          <t>Yes</t>
        </is>
      </c>
      <c r="H476" s="26" t="inlineStr">
        <is>
          <t>No</t>
        </is>
      </c>
      <c r="I476" s="26" t="inlineStr">
        <is>
          <t>Good finish</t>
        </is>
      </c>
      <c r="J476" s="26" t="inlineStr">
        <is>
          <t>Yes</t>
        </is>
      </c>
      <c r="K476" s="27" t="n"/>
      <c r="L476" s="28" t="inlineStr">
        <is>
          <t>No</t>
        </is>
      </c>
      <c r="M476" s="29">
        <f>IF(E476="","",IF(H476="Yes","❌ Disc",IF(G476="No","⚠ Missing",IF(J476="Yes","✓ OK","⚠ Check"))))</f>
        <v/>
      </c>
      <c r="N476" s="43" t="n">
        <v>46193</v>
      </c>
      <c r="O476" s="26" t="inlineStr">
        <is>
          <t>Sunil CR</t>
        </is>
      </c>
      <c r="P476" s="26" t="inlineStr">
        <is>
          <t>Yes</t>
        </is>
      </c>
      <c r="Q476" s="26" t="inlineStr">
        <is>
          <t>No</t>
        </is>
      </c>
      <c r="R476" s="26" t="inlineStr">
        <is>
          <t>Good finish</t>
        </is>
      </c>
      <c r="S476" s="26" t="inlineStr">
        <is>
          <t>Yes</t>
        </is>
      </c>
      <c r="T476" s="27" t="n"/>
      <c r="U476" s="28" t="inlineStr">
        <is>
          <t>No</t>
        </is>
      </c>
      <c r="V476" s="29">
        <f>IF(N476="","",IF(Q476="Yes","❌ Disc",IF(P476="No","⚠ Missing",IF(S476="Yes","✓ OK","⚠ Check"))))</f>
        <v/>
      </c>
      <c r="W476" s="65" t="n">
        <v>46248</v>
      </c>
      <c r="X476" s="30" t="inlineStr">
        <is>
          <t>Sunil CR</t>
        </is>
      </c>
      <c r="Y476" s="30" t="inlineStr">
        <is>
          <t>Yes</t>
        </is>
      </c>
      <c r="Z476" s="30" t="n"/>
      <c r="AA476" s="30" t="inlineStr">
        <is>
          <t>Good finish</t>
        </is>
      </c>
      <c r="AB476" s="30" t="inlineStr">
        <is>
          <t>Yes</t>
        </is>
      </c>
      <c r="AC476" s="27" t="n"/>
      <c r="AD476" s="31" t="inlineStr">
        <is>
          <t>No</t>
        </is>
      </c>
      <c r="AE476" s="32">
        <f>IF(W476="","",IF(Z476="Yes","❌ Disc",IF(Y476="No","⚠ Missing",IF(AB476="Yes","✓ OK","⚠ Check"))))</f>
        <v/>
      </c>
      <c r="AF476" s="33" t="n"/>
      <c r="AG476" s="33" t="n"/>
      <c r="AH476" s="33" t="n"/>
      <c r="AI476" s="33" t="n"/>
      <c r="AJ476" s="33" t="n"/>
      <c r="AK476" s="33" t="n"/>
      <c r="AL476" s="27" t="n"/>
      <c r="AM476" s="34" t="n"/>
      <c r="AN476" s="35">
        <f>IF(AF476="","",IF(AI476="Yes","❌ Disc",IF(AH476="No","⚠ Missing",IF(AK476="Yes","✓ OK","⚠ Check"))))</f>
        <v/>
      </c>
      <c r="AO476" s="36" t="n"/>
      <c r="AP476" s="36" t="n"/>
      <c r="AQ476" s="36" t="n"/>
      <c r="AR476" s="36" t="n"/>
      <c r="AS476" s="36" t="n"/>
      <c r="AT476" s="36" t="n"/>
      <c r="AU476" s="27" t="n"/>
      <c r="AV476" s="37" t="n"/>
      <c r="AW476" s="38">
        <f>IF(AO476="","",IF(AR476="Yes","❌ Disc",IF(AQ476="No","⚠ Missing",IF(AT476="Yes","✓ OK","⚠ Check"))))</f>
        <v/>
      </c>
    </row>
    <row r="477" ht="18" customHeight="1" s="46">
      <c r="A477" s="23" t="n">
        <v>473</v>
      </c>
      <c r="B477" s="24" t="inlineStr">
        <is>
          <t>BD-VRM-2026-0280</t>
        </is>
      </c>
      <c r="C477" s="25" t="inlineStr">
        <is>
          <t>Excel - Spectrum Wallpaper 5009-6</t>
        </is>
      </c>
      <c r="D477" s="23" t="inlineStr">
        <is>
          <t>Excel</t>
        </is>
      </c>
      <c r="E477" s="43" t="n">
        <v>46125</v>
      </c>
      <c r="F477" s="26" t="inlineStr">
        <is>
          <t>Sunil CR</t>
        </is>
      </c>
      <c r="G477" s="26" t="inlineStr">
        <is>
          <t>Yes</t>
        </is>
      </c>
      <c r="H477" s="26" t="inlineStr">
        <is>
          <t>No</t>
        </is>
      </c>
      <c r="I477" s="26" t="inlineStr">
        <is>
          <t>Good finish</t>
        </is>
      </c>
      <c r="J477" s="26" t="inlineStr">
        <is>
          <t>Yes</t>
        </is>
      </c>
      <c r="K477" s="27" t="n"/>
      <c r="L477" s="28" t="inlineStr">
        <is>
          <t>No</t>
        </is>
      </c>
      <c r="M477" s="29">
        <f>IF(E477="","",IF(H477="Yes","❌ Disc",IF(G477="No","⚠ Missing",IF(J477="Yes","✓ OK","⚠ Check"))))</f>
        <v/>
      </c>
      <c r="N477" s="43" t="n">
        <v>46193</v>
      </c>
      <c r="O477" s="26" t="inlineStr">
        <is>
          <t>Sunil CR</t>
        </is>
      </c>
      <c r="P477" s="26" t="inlineStr">
        <is>
          <t>Yes</t>
        </is>
      </c>
      <c r="Q477" s="26" t="inlineStr">
        <is>
          <t>No</t>
        </is>
      </c>
      <c r="R477" s="26" t="inlineStr">
        <is>
          <t>Good finish</t>
        </is>
      </c>
      <c r="S477" s="26" t="inlineStr">
        <is>
          <t>Yes</t>
        </is>
      </c>
      <c r="T477" s="27" t="n"/>
      <c r="U477" s="28" t="inlineStr">
        <is>
          <t>No</t>
        </is>
      </c>
      <c r="V477" s="29">
        <f>IF(N477="","",IF(Q477="Yes","❌ Disc",IF(P477="No","⚠ Missing",IF(S477="Yes","✓ OK","⚠ Check"))))</f>
        <v/>
      </c>
      <c r="W477" s="65" t="n">
        <v>46248</v>
      </c>
      <c r="X477" s="30" t="inlineStr">
        <is>
          <t>Sunil CR</t>
        </is>
      </c>
      <c r="Y477" s="30" t="inlineStr">
        <is>
          <t>Yes</t>
        </is>
      </c>
      <c r="Z477" s="30" t="n"/>
      <c r="AA477" s="30" t="inlineStr">
        <is>
          <t>Good finish</t>
        </is>
      </c>
      <c r="AB477" s="30" t="inlineStr">
        <is>
          <t>Yes</t>
        </is>
      </c>
      <c r="AC477" s="27" t="n"/>
      <c r="AD477" s="31" t="inlineStr">
        <is>
          <t>No</t>
        </is>
      </c>
      <c r="AE477" s="32">
        <f>IF(W477="","",IF(Z477="Yes","❌ Disc",IF(Y477="No","⚠ Missing",IF(AB477="Yes","✓ OK","⚠ Check"))))</f>
        <v/>
      </c>
      <c r="AF477" s="33" t="n"/>
      <c r="AG477" s="33" t="n"/>
      <c r="AH477" s="33" t="n"/>
      <c r="AI477" s="33" t="n"/>
      <c r="AJ477" s="33" t="n"/>
      <c r="AK477" s="33" t="n"/>
      <c r="AL477" s="27" t="n"/>
      <c r="AM477" s="34" t="n"/>
      <c r="AN477" s="35">
        <f>IF(AF477="","",IF(AI477="Yes","❌ Disc",IF(AH477="No","⚠ Missing",IF(AK477="Yes","✓ OK","⚠ Check"))))</f>
        <v/>
      </c>
      <c r="AO477" s="36" t="n"/>
      <c r="AP477" s="36" t="n"/>
      <c r="AQ477" s="36" t="n"/>
      <c r="AR477" s="36" t="n"/>
      <c r="AS477" s="36" t="n"/>
      <c r="AT477" s="36" t="n"/>
      <c r="AU477" s="27" t="n"/>
      <c r="AV477" s="37" t="n"/>
      <c r="AW477" s="38">
        <f>IF(AO477="","",IF(AR477="Yes","❌ Disc",IF(AQ477="No","⚠ Missing",IF(AT477="Yes","✓ OK","⚠ Check"))))</f>
        <v/>
      </c>
    </row>
    <row r="478" ht="18" customHeight="1" s="46">
      <c r="A478" s="39" t="n">
        <v>474</v>
      </c>
      <c r="B478" s="40" t="inlineStr">
        <is>
          <t>BD-VRM-2026-0281</t>
        </is>
      </c>
      <c r="C478" s="41" t="inlineStr">
        <is>
          <t>Excel - Spectrum Wallpaper 5009-7</t>
        </is>
      </c>
      <c r="D478" s="39" t="inlineStr">
        <is>
          <t>Excel</t>
        </is>
      </c>
      <c r="E478" s="43" t="n">
        <v>46125</v>
      </c>
      <c r="F478" s="26" t="inlineStr">
        <is>
          <t>Sunil CR</t>
        </is>
      </c>
      <c r="G478" s="26" t="inlineStr">
        <is>
          <t>Yes</t>
        </is>
      </c>
      <c r="H478" s="26" t="inlineStr">
        <is>
          <t>No</t>
        </is>
      </c>
      <c r="I478" s="26" t="inlineStr">
        <is>
          <t>Good finish</t>
        </is>
      </c>
      <c r="J478" s="26" t="inlineStr">
        <is>
          <t>Yes</t>
        </is>
      </c>
      <c r="K478" s="27" t="n"/>
      <c r="L478" s="28" t="inlineStr">
        <is>
          <t>No</t>
        </is>
      </c>
      <c r="M478" s="29">
        <f>IF(E478="","",IF(H478="Yes","❌ Disc",IF(G478="No","⚠ Missing",IF(J478="Yes","✓ OK","⚠ Check"))))</f>
        <v/>
      </c>
      <c r="N478" s="43" t="n">
        <v>46193</v>
      </c>
      <c r="O478" s="26" t="inlineStr">
        <is>
          <t>Sunil CR</t>
        </is>
      </c>
      <c r="P478" s="26" t="inlineStr">
        <is>
          <t>Yes</t>
        </is>
      </c>
      <c r="Q478" s="26" t="inlineStr">
        <is>
          <t>No</t>
        </is>
      </c>
      <c r="R478" s="26" t="inlineStr">
        <is>
          <t>Good finish</t>
        </is>
      </c>
      <c r="S478" s="26" t="inlineStr">
        <is>
          <t>Yes</t>
        </is>
      </c>
      <c r="T478" s="27" t="n"/>
      <c r="U478" s="28" t="inlineStr">
        <is>
          <t>No</t>
        </is>
      </c>
      <c r="V478" s="29">
        <f>IF(N478="","",IF(Q478="Yes","❌ Disc",IF(P478="No","⚠ Missing",IF(S478="Yes","✓ OK","⚠ Check"))))</f>
        <v/>
      </c>
      <c r="W478" s="65" t="n">
        <v>46248</v>
      </c>
      <c r="X478" s="30" t="inlineStr">
        <is>
          <t>Sunil CR</t>
        </is>
      </c>
      <c r="Y478" s="30" t="inlineStr">
        <is>
          <t>Yes</t>
        </is>
      </c>
      <c r="Z478" s="30" t="n"/>
      <c r="AA478" s="30" t="inlineStr">
        <is>
          <t>Good finish</t>
        </is>
      </c>
      <c r="AB478" s="30" t="inlineStr">
        <is>
          <t>Yes</t>
        </is>
      </c>
      <c r="AC478" s="27" t="n"/>
      <c r="AD478" s="31" t="inlineStr">
        <is>
          <t>No</t>
        </is>
      </c>
      <c r="AE478" s="32">
        <f>IF(W478="","",IF(Z478="Yes","❌ Disc",IF(Y478="No","⚠ Missing",IF(AB478="Yes","✓ OK","⚠ Check"))))</f>
        <v/>
      </c>
      <c r="AF478" s="33" t="n"/>
      <c r="AG478" s="33" t="n"/>
      <c r="AH478" s="33" t="n"/>
      <c r="AI478" s="33" t="n"/>
      <c r="AJ478" s="33" t="n"/>
      <c r="AK478" s="33" t="n"/>
      <c r="AL478" s="27" t="n"/>
      <c r="AM478" s="34" t="n"/>
      <c r="AN478" s="35">
        <f>IF(AF478="","",IF(AI478="Yes","❌ Disc",IF(AH478="No","⚠ Missing",IF(AK478="Yes","✓ OK","⚠ Check"))))</f>
        <v/>
      </c>
      <c r="AO478" s="36" t="n"/>
      <c r="AP478" s="36" t="n"/>
      <c r="AQ478" s="36" t="n"/>
      <c r="AR478" s="36" t="n"/>
      <c r="AS478" s="36" t="n"/>
      <c r="AT478" s="36" t="n"/>
      <c r="AU478" s="27" t="n"/>
      <c r="AV478" s="37" t="n"/>
      <c r="AW478" s="38">
        <f>IF(AO478="","",IF(AR478="Yes","❌ Disc",IF(AQ478="No","⚠ Missing",IF(AT478="Yes","✓ OK","⚠ Check"))))</f>
        <v/>
      </c>
    </row>
    <row r="479" ht="18" customHeight="1" s="46">
      <c r="A479" s="23" t="n">
        <v>475</v>
      </c>
      <c r="B479" s="24" t="inlineStr">
        <is>
          <t>BD-VRM-2026-0227</t>
        </is>
      </c>
      <c r="C479" s="25" t="inlineStr">
        <is>
          <t>Excel - Spectrum Wallpaper 5010-1</t>
        </is>
      </c>
      <c r="D479" s="23" t="inlineStr">
        <is>
          <t>Excel</t>
        </is>
      </c>
      <c r="E479" s="43" t="n">
        <v>46125</v>
      </c>
      <c r="F479" s="26" t="inlineStr">
        <is>
          <t>Sunil CR</t>
        </is>
      </c>
      <c r="G479" s="26" t="inlineStr">
        <is>
          <t>Yes</t>
        </is>
      </c>
      <c r="H479" s="26" t="inlineStr">
        <is>
          <t>No</t>
        </is>
      </c>
      <c r="I479" s="26" t="inlineStr">
        <is>
          <t>Good finish</t>
        </is>
      </c>
      <c r="J479" s="26" t="inlineStr">
        <is>
          <t>Yes</t>
        </is>
      </c>
      <c r="K479" s="27" t="n"/>
      <c r="L479" s="28" t="inlineStr">
        <is>
          <t>No</t>
        </is>
      </c>
      <c r="M479" s="29">
        <f>IF(E479="","",IF(H479="Yes","❌ Disc",IF(G479="No","⚠ Missing",IF(J479="Yes","✓ OK","⚠ Check"))))</f>
        <v/>
      </c>
      <c r="N479" s="43" t="n">
        <v>46193</v>
      </c>
      <c r="O479" s="26" t="inlineStr">
        <is>
          <t>Sunil CR</t>
        </is>
      </c>
      <c r="P479" s="26" t="inlineStr">
        <is>
          <t>Yes</t>
        </is>
      </c>
      <c r="Q479" s="26" t="inlineStr">
        <is>
          <t>No</t>
        </is>
      </c>
      <c r="R479" s="26" t="inlineStr">
        <is>
          <t>Good finish</t>
        </is>
      </c>
      <c r="S479" s="26" t="inlineStr">
        <is>
          <t>Yes</t>
        </is>
      </c>
      <c r="T479" s="27" t="n"/>
      <c r="U479" s="28" t="inlineStr">
        <is>
          <t>No</t>
        </is>
      </c>
      <c r="V479" s="29">
        <f>IF(N479="","",IF(Q479="Yes","❌ Disc",IF(P479="No","⚠ Missing",IF(S479="Yes","✓ OK","⚠ Check"))))</f>
        <v/>
      </c>
      <c r="W479" s="65" t="n">
        <v>46248</v>
      </c>
      <c r="X479" s="30" t="inlineStr">
        <is>
          <t>Sunil CR</t>
        </is>
      </c>
      <c r="Y479" s="30" t="inlineStr">
        <is>
          <t>Yes</t>
        </is>
      </c>
      <c r="Z479" s="30" t="n"/>
      <c r="AA479" s="30" t="inlineStr">
        <is>
          <t>Good finish</t>
        </is>
      </c>
      <c r="AB479" s="30" t="inlineStr">
        <is>
          <t>Yes</t>
        </is>
      </c>
      <c r="AC479" s="27" t="n"/>
      <c r="AD479" s="31" t="inlineStr">
        <is>
          <t>No</t>
        </is>
      </c>
      <c r="AE479" s="32">
        <f>IF(W479="","",IF(Z479="Yes","❌ Disc",IF(Y479="No","⚠ Missing",IF(AB479="Yes","✓ OK","⚠ Check"))))</f>
        <v/>
      </c>
      <c r="AF479" s="33" t="n"/>
      <c r="AG479" s="33" t="n"/>
      <c r="AH479" s="33" t="n"/>
      <c r="AI479" s="33" t="n"/>
      <c r="AJ479" s="33" t="n"/>
      <c r="AK479" s="33" t="n"/>
      <c r="AL479" s="27" t="n"/>
      <c r="AM479" s="34" t="n"/>
      <c r="AN479" s="35">
        <f>IF(AF479="","",IF(AI479="Yes","❌ Disc",IF(AH479="No","⚠ Missing",IF(AK479="Yes","✓ OK","⚠ Check"))))</f>
        <v/>
      </c>
      <c r="AO479" s="36" t="n"/>
      <c r="AP479" s="36" t="n"/>
      <c r="AQ479" s="36" t="n"/>
      <c r="AR479" s="36" t="n"/>
      <c r="AS479" s="36" t="n"/>
      <c r="AT479" s="36" t="n"/>
      <c r="AU479" s="27" t="n"/>
      <c r="AV479" s="37" t="n"/>
      <c r="AW479" s="38">
        <f>IF(AO479="","",IF(AR479="Yes","❌ Disc",IF(AQ479="No","⚠ Missing",IF(AT479="Yes","✓ OK","⚠ Check"))))</f>
        <v/>
      </c>
    </row>
    <row r="480" ht="18" customHeight="1" s="46">
      <c r="A480" s="39" t="n">
        <v>476</v>
      </c>
      <c r="B480" s="40" t="inlineStr">
        <is>
          <t>BD-VRM-2026-0228</t>
        </is>
      </c>
      <c r="C480" s="41" t="inlineStr">
        <is>
          <t>Excel - Spectrum Wallpaper 5010-2</t>
        </is>
      </c>
      <c r="D480" s="39" t="inlineStr">
        <is>
          <t>Excel</t>
        </is>
      </c>
      <c r="E480" s="43" t="n">
        <v>46125</v>
      </c>
      <c r="F480" s="26" t="inlineStr">
        <is>
          <t>Sunil CR</t>
        </is>
      </c>
      <c r="G480" s="26" t="inlineStr">
        <is>
          <t>Yes</t>
        </is>
      </c>
      <c r="H480" s="26" t="inlineStr">
        <is>
          <t>No</t>
        </is>
      </c>
      <c r="I480" s="26" t="inlineStr">
        <is>
          <t>Good finish</t>
        </is>
      </c>
      <c r="J480" s="26" t="inlineStr">
        <is>
          <t>Yes</t>
        </is>
      </c>
      <c r="K480" s="27" t="n"/>
      <c r="L480" s="28" t="inlineStr">
        <is>
          <t>No</t>
        </is>
      </c>
      <c r="M480" s="29">
        <f>IF(E480="","",IF(H480="Yes","❌ Disc",IF(G480="No","⚠ Missing",IF(J480="Yes","✓ OK","⚠ Check"))))</f>
        <v/>
      </c>
      <c r="N480" s="43" t="n">
        <v>46193</v>
      </c>
      <c r="O480" s="26" t="inlineStr">
        <is>
          <t>Sunil CR</t>
        </is>
      </c>
      <c r="P480" s="26" t="inlineStr">
        <is>
          <t>Yes</t>
        </is>
      </c>
      <c r="Q480" s="26" t="inlineStr">
        <is>
          <t>No</t>
        </is>
      </c>
      <c r="R480" s="26" t="inlineStr">
        <is>
          <t>Good finish</t>
        </is>
      </c>
      <c r="S480" s="26" t="inlineStr">
        <is>
          <t>Yes</t>
        </is>
      </c>
      <c r="T480" s="27" t="n"/>
      <c r="U480" s="28" t="inlineStr">
        <is>
          <t>No</t>
        </is>
      </c>
      <c r="V480" s="29">
        <f>IF(N480="","",IF(Q480="Yes","❌ Disc",IF(P480="No","⚠ Missing",IF(S480="Yes","✓ OK","⚠ Check"))))</f>
        <v/>
      </c>
      <c r="W480" s="65" t="n">
        <v>46248</v>
      </c>
      <c r="X480" s="30" t="inlineStr">
        <is>
          <t>Sunil CR</t>
        </is>
      </c>
      <c r="Y480" s="30" t="inlineStr">
        <is>
          <t>Yes</t>
        </is>
      </c>
      <c r="Z480" s="30" t="n"/>
      <c r="AA480" s="30" t="inlineStr">
        <is>
          <t>Good finish</t>
        </is>
      </c>
      <c r="AB480" s="30" t="inlineStr">
        <is>
          <t>Yes</t>
        </is>
      </c>
      <c r="AC480" s="27" t="n"/>
      <c r="AD480" s="31" t="inlineStr">
        <is>
          <t>No</t>
        </is>
      </c>
      <c r="AE480" s="32">
        <f>IF(W480="","",IF(Z480="Yes","❌ Disc",IF(Y480="No","⚠ Missing",IF(AB480="Yes","✓ OK","⚠ Check"))))</f>
        <v/>
      </c>
      <c r="AF480" s="33" t="n"/>
      <c r="AG480" s="33" t="n"/>
      <c r="AH480" s="33" t="n"/>
      <c r="AI480" s="33" t="n"/>
      <c r="AJ480" s="33" t="n"/>
      <c r="AK480" s="33" t="n"/>
      <c r="AL480" s="27" t="n"/>
      <c r="AM480" s="34" t="n"/>
      <c r="AN480" s="35">
        <f>IF(AF480="","",IF(AI480="Yes","❌ Disc",IF(AH480="No","⚠ Missing",IF(AK480="Yes","✓ OK","⚠ Check"))))</f>
        <v/>
      </c>
      <c r="AO480" s="36" t="n"/>
      <c r="AP480" s="36" t="n"/>
      <c r="AQ480" s="36" t="n"/>
      <c r="AR480" s="36" t="n"/>
      <c r="AS480" s="36" t="n"/>
      <c r="AT480" s="36" t="n"/>
      <c r="AU480" s="27" t="n"/>
      <c r="AV480" s="37" t="n"/>
      <c r="AW480" s="38">
        <f>IF(AO480="","",IF(AR480="Yes","❌ Disc",IF(AQ480="No","⚠ Missing",IF(AT480="Yes","✓ OK","⚠ Check"))))</f>
        <v/>
      </c>
    </row>
    <row r="481" ht="18" customHeight="1" s="46">
      <c r="A481" s="23" t="n">
        <v>477</v>
      </c>
      <c r="B481" s="24" t="inlineStr">
        <is>
          <t>BD-VRM-2026-0229</t>
        </is>
      </c>
      <c r="C481" s="25" t="inlineStr">
        <is>
          <t>Excel - Spectrum Wallpaper 5010-3</t>
        </is>
      </c>
      <c r="D481" s="23" t="inlineStr">
        <is>
          <t>Excel</t>
        </is>
      </c>
      <c r="E481" s="43" t="n">
        <v>46125</v>
      </c>
      <c r="F481" s="26" t="inlineStr">
        <is>
          <t>Sunil CR</t>
        </is>
      </c>
      <c r="G481" s="26" t="inlineStr">
        <is>
          <t>Yes</t>
        </is>
      </c>
      <c r="H481" s="26" t="inlineStr">
        <is>
          <t>No</t>
        </is>
      </c>
      <c r="I481" s="26" t="inlineStr">
        <is>
          <t>Good finish</t>
        </is>
      </c>
      <c r="J481" s="26" t="inlineStr">
        <is>
          <t>Yes</t>
        </is>
      </c>
      <c r="K481" s="27" t="n"/>
      <c r="L481" s="28" t="inlineStr">
        <is>
          <t>No</t>
        </is>
      </c>
      <c r="M481" s="29">
        <f>IF(E481="","",IF(H481="Yes","❌ Disc",IF(G481="No","⚠ Missing",IF(J481="Yes","✓ OK","⚠ Check"))))</f>
        <v/>
      </c>
      <c r="N481" s="43" t="n">
        <v>46193</v>
      </c>
      <c r="O481" s="26" t="inlineStr">
        <is>
          <t>Sunil CR</t>
        </is>
      </c>
      <c r="P481" s="26" t="inlineStr">
        <is>
          <t>Yes</t>
        </is>
      </c>
      <c r="Q481" s="26" t="inlineStr">
        <is>
          <t>No</t>
        </is>
      </c>
      <c r="R481" s="26" t="inlineStr">
        <is>
          <t>Good finish</t>
        </is>
      </c>
      <c r="S481" s="26" t="inlineStr">
        <is>
          <t>Yes</t>
        </is>
      </c>
      <c r="T481" s="27" t="n"/>
      <c r="U481" s="28" t="inlineStr">
        <is>
          <t>No</t>
        </is>
      </c>
      <c r="V481" s="29">
        <f>IF(N481="","",IF(Q481="Yes","❌ Disc",IF(P481="No","⚠ Missing",IF(S481="Yes","✓ OK","⚠ Check"))))</f>
        <v/>
      </c>
      <c r="W481" s="65" t="n">
        <v>46248</v>
      </c>
      <c r="X481" s="30" t="inlineStr">
        <is>
          <t>Sunil CR</t>
        </is>
      </c>
      <c r="Y481" s="30" t="inlineStr">
        <is>
          <t>Yes</t>
        </is>
      </c>
      <c r="Z481" s="30" t="n"/>
      <c r="AA481" s="30" t="inlineStr">
        <is>
          <t>Good finish</t>
        </is>
      </c>
      <c r="AB481" s="30" t="inlineStr">
        <is>
          <t>Yes</t>
        </is>
      </c>
      <c r="AC481" s="27" t="n"/>
      <c r="AD481" s="31" t="inlineStr">
        <is>
          <t>No</t>
        </is>
      </c>
      <c r="AE481" s="32">
        <f>IF(W481="","",IF(Z481="Yes","❌ Disc",IF(Y481="No","⚠ Missing",IF(AB481="Yes","✓ OK","⚠ Check"))))</f>
        <v/>
      </c>
      <c r="AF481" s="33" t="n"/>
      <c r="AG481" s="33" t="n"/>
      <c r="AH481" s="33" t="n"/>
      <c r="AI481" s="33" t="n"/>
      <c r="AJ481" s="33" t="n"/>
      <c r="AK481" s="33" t="n"/>
      <c r="AL481" s="27" t="n"/>
      <c r="AM481" s="34" t="n"/>
      <c r="AN481" s="35">
        <f>IF(AF481="","",IF(AI481="Yes","❌ Disc",IF(AH481="No","⚠ Missing",IF(AK481="Yes","✓ OK","⚠ Check"))))</f>
        <v/>
      </c>
      <c r="AO481" s="36" t="n"/>
      <c r="AP481" s="36" t="n"/>
      <c r="AQ481" s="36" t="n"/>
      <c r="AR481" s="36" t="n"/>
      <c r="AS481" s="36" t="n"/>
      <c r="AT481" s="36" t="n"/>
      <c r="AU481" s="27" t="n"/>
      <c r="AV481" s="37" t="n"/>
      <c r="AW481" s="38">
        <f>IF(AO481="","",IF(AR481="Yes","❌ Disc",IF(AQ481="No","⚠ Missing",IF(AT481="Yes","✓ OK","⚠ Check"))))</f>
        <v/>
      </c>
    </row>
    <row r="482" ht="18" customHeight="1" s="46">
      <c r="A482" s="39" t="n">
        <v>478</v>
      </c>
      <c r="B482" s="40" t="inlineStr">
        <is>
          <t>BD-VRM-2026-0230</t>
        </is>
      </c>
      <c r="C482" s="41" t="inlineStr">
        <is>
          <t>Excel - Spectrum Wallpaper 5010-4</t>
        </is>
      </c>
      <c r="D482" s="39" t="inlineStr">
        <is>
          <t>Excel</t>
        </is>
      </c>
      <c r="E482" s="43" t="n">
        <v>46125</v>
      </c>
      <c r="F482" s="26" t="inlineStr">
        <is>
          <t>Sunil CR</t>
        </is>
      </c>
      <c r="G482" s="26" t="inlineStr">
        <is>
          <t>Yes</t>
        </is>
      </c>
      <c r="H482" s="26" t="inlineStr">
        <is>
          <t>No</t>
        </is>
      </c>
      <c r="I482" s="26" t="inlineStr">
        <is>
          <t>Good finish</t>
        </is>
      </c>
      <c r="J482" s="26" t="inlineStr">
        <is>
          <t>Yes</t>
        </is>
      </c>
      <c r="K482" s="27" t="n"/>
      <c r="L482" s="28" t="inlineStr">
        <is>
          <t>No</t>
        </is>
      </c>
      <c r="M482" s="29">
        <f>IF(E482="","",IF(H482="Yes","❌ Disc",IF(G482="No","⚠ Missing",IF(J482="Yes","✓ OK","⚠ Check"))))</f>
        <v/>
      </c>
      <c r="N482" s="43" t="n">
        <v>46193</v>
      </c>
      <c r="O482" s="26" t="inlineStr">
        <is>
          <t>Sunil CR</t>
        </is>
      </c>
      <c r="P482" s="26" t="inlineStr">
        <is>
          <t>Yes</t>
        </is>
      </c>
      <c r="Q482" s="26" t="inlineStr">
        <is>
          <t>No</t>
        </is>
      </c>
      <c r="R482" s="26" t="inlineStr">
        <is>
          <t>Good finish</t>
        </is>
      </c>
      <c r="S482" s="26" t="inlineStr">
        <is>
          <t>Yes</t>
        </is>
      </c>
      <c r="T482" s="27" t="n"/>
      <c r="U482" s="28" t="inlineStr">
        <is>
          <t>No</t>
        </is>
      </c>
      <c r="V482" s="29">
        <f>IF(N482="","",IF(Q482="Yes","❌ Disc",IF(P482="No","⚠ Missing",IF(S482="Yes","✓ OK","⚠ Check"))))</f>
        <v/>
      </c>
      <c r="W482" s="65" t="n">
        <v>46248</v>
      </c>
      <c r="X482" s="30" t="inlineStr">
        <is>
          <t>Sunil CR</t>
        </is>
      </c>
      <c r="Y482" s="30" t="inlineStr">
        <is>
          <t>Yes</t>
        </is>
      </c>
      <c r="Z482" s="30" t="n"/>
      <c r="AA482" s="30" t="inlineStr">
        <is>
          <t>Good finish</t>
        </is>
      </c>
      <c r="AB482" s="30" t="inlineStr">
        <is>
          <t>Yes</t>
        </is>
      </c>
      <c r="AC482" s="27" t="n"/>
      <c r="AD482" s="31" t="inlineStr">
        <is>
          <t>No</t>
        </is>
      </c>
      <c r="AE482" s="32">
        <f>IF(W482="","",IF(Z482="Yes","❌ Disc",IF(Y482="No","⚠ Missing",IF(AB482="Yes","✓ OK","⚠ Check"))))</f>
        <v/>
      </c>
      <c r="AF482" s="33" t="n"/>
      <c r="AG482" s="33" t="n"/>
      <c r="AH482" s="33" t="n"/>
      <c r="AI482" s="33" t="n"/>
      <c r="AJ482" s="33" t="n"/>
      <c r="AK482" s="33" t="n"/>
      <c r="AL482" s="27" t="n"/>
      <c r="AM482" s="34" t="n"/>
      <c r="AN482" s="35">
        <f>IF(AF482="","",IF(AI482="Yes","❌ Disc",IF(AH482="No","⚠ Missing",IF(AK482="Yes","✓ OK","⚠ Check"))))</f>
        <v/>
      </c>
      <c r="AO482" s="36" t="n"/>
      <c r="AP482" s="36" t="n"/>
      <c r="AQ482" s="36" t="n"/>
      <c r="AR482" s="36" t="n"/>
      <c r="AS482" s="36" t="n"/>
      <c r="AT482" s="36" t="n"/>
      <c r="AU482" s="27" t="n"/>
      <c r="AV482" s="37" t="n"/>
      <c r="AW482" s="38">
        <f>IF(AO482="","",IF(AR482="Yes","❌ Disc",IF(AQ482="No","⚠ Missing",IF(AT482="Yes","✓ OK","⚠ Check"))))</f>
        <v/>
      </c>
    </row>
    <row r="483" ht="18" customHeight="1" s="46">
      <c r="A483" s="23" t="n">
        <v>479</v>
      </c>
      <c r="B483" s="24" t="inlineStr">
        <is>
          <t>BD-VRM-2026-0231</t>
        </is>
      </c>
      <c r="C483" s="25" t="inlineStr">
        <is>
          <t>Excel - Spectrum Wallpaper 5010-5</t>
        </is>
      </c>
      <c r="D483" s="23" t="inlineStr">
        <is>
          <t>Excel</t>
        </is>
      </c>
      <c r="E483" s="43" t="n">
        <v>46125</v>
      </c>
      <c r="F483" s="26" t="inlineStr">
        <is>
          <t>Sunil CR</t>
        </is>
      </c>
      <c r="G483" s="26" t="inlineStr">
        <is>
          <t>Yes</t>
        </is>
      </c>
      <c r="H483" s="26" t="inlineStr">
        <is>
          <t>No</t>
        </is>
      </c>
      <c r="I483" s="26" t="inlineStr">
        <is>
          <t>Good finish</t>
        </is>
      </c>
      <c r="J483" s="26" t="inlineStr">
        <is>
          <t>Yes</t>
        </is>
      </c>
      <c r="K483" s="27" t="n"/>
      <c r="L483" s="28" t="inlineStr">
        <is>
          <t>No</t>
        </is>
      </c>
      <c r="M483" s="29">
        <f>IF(E483="","",IF(H483="Yes","❌ Disc",IF(G483="No","⚠ Missing",IF(J483="Yes","✓ OK","⚠ Check"))))</f>
        <v/>
      </c>
      <c r="N483" s="43" t="n">
        <v>46193</v>
      </c>
      <c r="O483" s="26" t="inlineStr">
        <is>
          <t>Sunil CR</t>
        </is>
      </c>
      <c r="P483" s="26" t="inlineStr">
        <is>
          <t>Yes</t>
        </is>
      </c>
      <c r="Q483" s="26" t="inlineStr">
        <is>
          <t>No</t>
        </is>
      </c>
      <c r="R483" s="26" t="inlineStr">
        <is>
          <t>Good finish</t>
        </is>
      </c>
      <c r="S483" s="26" t="inlineStr">
        <is>
          <t>Yes</t>
        </is>
      </c>
      <c r="T483" s="27" t="n"/>
      <c r="U483" s="28" t="inlineStr">
        <is>
          <t>No</t>
        </is>
      </c>
      <c r="V483" s="29">
        <f>IF(N483="","",IF(Q483="Yes","❌ Disc",IF(P483="No","⚠ Missing",IF(S483="Yes","✓ OK","⚠ Check"))))</f>
        <v/>
      </c>
      <c r="W483" s="65" t="n">
        <v>46248</v>
      </c>
      <c r="X483" s="30" t="inlineStr">
        <is>
          <t>Sunil CR</t>
        </is>
      </c>
      <c r="Y483" s="30" t="inlineStr">
        <is>
          <t>Yes</t>
        </is>
      </c>
      <c r="Z483" s="30" t="n"/>
      <c r="AA483" s="30" t="inlineStr">
        <is>
          <t>Good finish</t>
        </is>
      </c>
      <c r="AB483" s="30" t="inlineStr">
        <is>
          <t>Yes</t>
        </is>
      </c>
      <c r="AC483" s="27" t="n"/>
      <c r="AD483" s="31" t="inlineStr">
        <is>
          <t>No</t>
        </is>
      </c>
      <c r="AE483" s="32">
        <f>IF(W483="","",IF(Z483="Yes","❌ Disc",IF(Y483="No","⚠ Missing",IF(AB483="Yes","✓ OK","⚠ Check"))))</f>
        <v/>
      </c>
      <c r="AF483" s="33" t="n"/>
      <c r="AG483" s="33" t="n"/>
      <c r="AH483" s="33" t="n"/>
      <c r="AI483" s="33" t="n"/>
      <c r="AJ483" s="33" t="n"/>
      <c r="AK483" s="33" t="n"/>
      <c r="AL483" s="27" t="n"/>
      <c r="AM483" s="34" t="n"/>
      <c r="AN483" s="35">
        <f>IF(AF483="","",IF(AI483="Yes","❌ Disc",IF(AH483="No","⚠ Missing",IF(AK483="Yes","✓ OK","⚠ Check"))))</f>
        <v/>
      </c>
      <c r="AO483" s="36" t="n"/>
      <c r="AP483" s="36" t="n"/>
      <c r="AQ483" s="36" t="n"/>
      <c r="AR483" s="36" t="n"/>
      <c r="AS483" s="36" t="n"/>
      <c r="AT483" s="36" t="n"/>
      <c r="AU483" s="27" t="n"/>
      <c r="AV483" s="37" t="n"/>
      <c r="AW483" s="38">
        <f>IF(AO483="","",IF(AR483="Yes","❌ Disc",IF(AQ483="No","⚠ Missing",IF(AT483="Yes","✓ OK","⚠ Check"))))</f>
        <v/>
      </c>
    </row>
    <row r="484" ht="18" customHeight="1" s="46">
      <c r="A484" s="39" t="n">
        <v>480</v>
      </c>
      <c r="B484" s="40" t="inlineStr">
        <is>
          <t>BD-VRM-2026-0237</t>
        </is>
      </c>
      <c r="C484" s="41" t="inlineStr">
        <is>
          <t>Excel - Spectrum Wallpaper 5011-1</t>
        </is>
      </c>
      <c r="D484" s="39" t="inlineStr">
        <is>
          <t>Excel</t>
        </is>
      </c>
      <c r="E484" s="43" t="n">
        <v>46125</v>
      </c>
      <c r="F484" s="26" t="inlineStr">
        <is>
          <t>Sunil CR</t>
        </is>
      </c>
      <c r="G484" s="26" t="inlineStr">
        <is>
          <t>Yes</t>
        </is>
      </c>
      <c r="H484" s="26" t="inlineStr">
        <is>
          <t>No</t>
        </is>
      </c>
      <c r="I484" s="26" t="inlineStr">
        <is>
          <t>Good finish</t>
        </is>
      </c>
      <c r="J484" s="26" t="inlineStr">
        <is>
          <t>Yes</t>
        </is>
      </c>
      <c r="K484" s="27" t="n"/>
      <c r="L484" s="28" t="inlineStr">
        <is>
          <t>No</t>
        </is>
      </c>
      <c r="M484" s="29">
        <f>IF(E484="","",IF(H484="Yes","❌ Disc",IF(G484="No","⚠ Missing",IF(J484="Yes","✓ OK","⚠ Check"))))</f>
        <v/>
      </c>
      <c r="N484" s="43" t="n">
        <v>46193</v>
      </c>
      <c r="O484" s="26" t="inlineStr">
        <is>
          <t>Sunil CR</t>
        </is>
      </c>
      <c r="P484" s="26" t="inlineStr">
        <is>
          <t>Yes</t>
        </is>
      </c>
      <c r="Q484" s="26" t="inlineStr">
        <is>
          <t>No</t>
        </is>
      </c>
      <c r="R484" s="26" t="inlineStr">
        <is>
          <t>Good finish</t>
        </is>
      </c>
      <c r="S484" s="26" t="inlineStr">
        <is>
          <t>Yes</t>
        </is>
      </c>
      <c r="T484" s="27" t="n"/>
      <c r="U484" s="28" t="inlineStr">
        <is>
          <t>No</t>
        </is>
      </c>
      <c r="V484" s="29">
        <f>IF(N484="","",IF(Q484="Yes","❌ Disc",IF(P484="No","⚠ Missing",IF(S484="Yes","✓ OK","⚠ Check"))))</f>
        <v/>
      </c>
      <c r="W484" s="65" t="n">
        <v>46248</v>
      </c>
      <c r="X484" s="30" t="inlineStr">
        <is>
          <t>Sunil CR</t>
        </is>
      </c>
      <c r="Y484" s="30" t="inlineStr">
        <is>
          <t>Yes</t>
        </is>
      </c>
      <c r="Z484" s="30" t="n"/>
      <c r="AA484" s="30" t="inlineStr">
        <is>
          <t>Good finish</t>
        </is>
      </c>
      <c r="AB484" s="30" t="inlineStr">
        <is>
          <t>Yes</t>
        </is>
      </c>
      <c r="AC484" s="27" t="n"/>
      <c r="AD484" s="31" t="inlineStr">
        <is>
          <t>No</t>
        </is>
      </c>
      <c r="AE484" s="32">
        <f>IF(W484="","",IF(Z484="Yes","❌ Disc",IF(Y484="No","⚠ Missing",IF(AB484="Yes","✓ OK","⚠ Check"))))</f>
        <v/>
      </c>
      <c r="AF484" s="33" t="n"/>
      <c r="AG484" s="33" t="n"/>
      <c r="AH484" s="33" t="n"/>
      <c r="AI484" s="33" t="n"/>
      <c r="AJ484" s="33" t="n"/>
      <c r="AK484" s="33" t="n"/>
      <c r="AL484" s="27" t="n"/>
      <c r="AM484" s="34" t="n"/>
      <c r="AN484" s="35">
        <f>IF(AF484="","",IF(AI484="Yes","❌ Disc",IF(AH484="No","⚠ Missing",IF(AK484="Yes","✓ OK","⚠ Check"))))</f>
        <v/>
      </c>
      <c r="AO484" s="36" t="n"/>
      <c r="AP484" s="36" t="n"/>
      <c r="AQ484" s="36" t="n"/>
      <c r="AR484" s="36" t="n"/>
      <c r="AS484" s="36" t="n"/>
      <c r="AT484" s="36" t="n"/>
      <c r="AU484" s="27" t="n"/>
      <c r="AV484" s="37" t="n"/>
      <c r="AW484" s="38">
        <f>IF(AO484="","",IF(AR484="Yes","❌ Disc",IF(AQ484="No","⚠ Missing",IF(AT484="Yes","✓ OK","⚠ Check"))))</f>
        <v/>
      </c>
    </row>
    <row r="485" ht="18" customHeight="1" s="46">
      <c r="A485" s="23" t="n">
        <v>481</v>
      </c>
      <c r="B485" s="24" t="inlineStr">
        <is>
          <t>BD-VRM-2026-0238</t>
        </is>
      </c>
      <c r="C485" s="25" t="inlineStr">
        <is>
          <t>Excel - Spectrum Wallpaper 5011-2</t>
        </is>
      </c>
      <c r="D485" s="23" t="inlineStr">
        <is>
          <t>Excel</t>
        </is>
      </c>
      <c r="E485" s="43" t="n">
        <v>46125</v>
      </c>
      <c r="F485" s="26" t="inlineStr">
        <is>
          <t>Sunil CR</t>
        </is>
      </c>
      <c r="G485" s="26" t="inlineStr">
        <is>
          <t>Yes</t>
        </is>
      </c>
      <c r="H485" s="26" t="inlineStr">
        <is>
          <t>No</t>
        </is>
      </c>
      <c r="I485" s="26" t="inlineStr">
        <is>
          <t>Good finish</t>
        </is>
      </c>
      <c r="J485" s="26" t="inlineStr">
        <is>
          <t>Yes</t>
        </is>
      </c>
      <c r="K485" s="27" t="n"/>
      <c r="L485" s="28" t="inlineStr">
        <is>
          <t>No</t>
        </is>
      </c>
      <c r="M485" s="29">
        <f>IF(E485="","",IF(H485="Yes","❌ Disc",IF(G485="No","⚠ Missing",IF(J485="Yes","✓ OK","⚠ Check"))))</f>
        <v/>
      </c>
      <c r="N485" s="43" t="n">
        <v>46193</v>
      </c>
      <c r="O485" s="26" t="inlineStr">
        <is>
          <t>Sunil CR</t>
        </is>
      </c>
      <c r="P485" s="26" t="inlineStr">
        <is>
          <t>Yes</t>
        </is>
      </c>
      <c r="Q485" s="26" t="inlineStr">
        <is>
          <t>No</t>
        </is>
      </c>
      <c r="R485" s="26" t="inlineStr">
        <is>
          <t>Good finish</t>
        </is>
      </c>
      <c r="S485" s="26" t="inlineStr">
        <is>
          <t>Yes</t>
        </is>
      </c>
      <c r="T485" s="27" t="n"/>
      <c r="U485" s="28" t="inlineStr">
        <is>
          <t>No</t>
        </is>
      </c>
      <c r="V485" s="29">
        <f>IF(N485="","",IF(Q485="Yes","❌ Disc",IF(P485="No","⚠ Missing",IF(S485="Yes","✓ OK","⚠ Check"))))</f>
        <v/>
      </c>
      <c r="W485" s="65" t="n">
        <v>46248</v>
      </c>
      <c r="X485" s="30" t="inlineStr">
        <is>
          <t>Sunil CR</t>
        </is>
      </c>
      <c r="Y485" s="30" t="inlineStr">
        <is>
          <t>Yes</t>
        </is>
      </c>
      <c r="Z485" s="30" t="n"/>
      <c r="AA485" s="30" t="inlineStr">
        <is>
          <t>Good finish</t>
        </is>
      </c>
      <c r="AB485" s="30" t="inlineStr">
        <is>
          <t>Yes</t>
        </is>
      </c>
      <c r="AC485" s="27" t="n"/>
      <c r="AD485" s="31" t="inlineStr">
        <is>
          <t>No</t>
        </is>
      </c>
      <c r="AE485" s="32">
        <f>IF(W485="","",IF(Z485="Yes","❌ Disc",IF(Y485="No","⚠ Missing",IF(AB485="Yes","✓ OK","⚠ Check"))))</f>
        <v/>
      </c>
      <c r="AF485" s="33" t="n"/>
      <c r="AG485" s="33" t="n"/>
      <c r="AH485" s="33" t="n"/>
      <c r="AI485" s="33" t="n"/>
      <c r="AJ485" s="33" t="n"/>
      <c r="AK485" s="33" t="n"/>
      <c r="AL485" s="27" t="n"/>
      <c r="AM485" s="34" t="n"/>
      <c r="AN485" s="35">
        <f>IF(AF485="","",IF(AI485="Yes","❌ Disc",IF(AH485="No","⚠ Missing",IF(AK485="Yes","✓ OK","⚠ Check"))))</f>
        <v/>
      </c>
      <c r="AO485" s="36" t="n"/>
      <c r="AP485" s="36" t="n"/>
      <c r="AQ485" s="36" t="n"/>
      <c r="AR485" s="36" t="n"/>
      <c r="AS485" s="36" t="n"/>
      <c r="AT485" s="36" t="n"/>
      <c r="AU485" s="27" t="n"/>
      <c r="AV485" s="37" t="n"/>
      <c r="AW485" s="38">
        <f>IF(AO485="","",IF(AR485="Yes","❌ Disc",IF(AQ485="No","⚠ Missing",IF(AT485="Yes","✓ OK","⚠ Check"))))</f>
        <v/>
      </c>
    </row>
    <row r="486" ht="18" customHeight="1" s="46">
      <c r="A486" s="39" t="n">
        <v>482</v>
      </c>
      <c r="B486" s="40" t="inlineStr">
        <is>
          <t>BD-VRM-2026-0239</t>
        </is>
      </c>
      <c r="C486" s="41" t="inlineStr">
        <is>
          <t>Excel - Spectrum Wallpaper 5011-3</t>
        </is>
      </c>
      <c r="D486" s="39" t="inlineStr">
        <is>
          <t>Excel</t>
        </is>
      </c>
      <c r="E486" s="43" t="n">
        <v>46125</v>
      </c>
      <c r="F486" s="26" t="inlineStr">
        <is>
          <t>Sunil CR</t>
        </is>
      </c>
      <c r="G486" s="26" t="inlineStr">
        <is>
          <t>Yes</t>
        </is>
      </c>
      <c r="H486" s="26" t="inlineStr">
        <is>
          <t>No</t>
        </is>
      </c>
      <c r="I486" s="26" t="inlineStr">
        <is>
          <t>Good finish</t>
        </is>
      </c>
      <c r="J486" s="26" t="inlineStr">
        <is>
          <t>Yes</t>
        </is>
      </c>
      <c r="K486" s="27" t="n"/>
      <c r="L486" s="28" t="inlineStr">
        <is>
          <t>No</t>
        </is>
      </c>
      <c r="M486" s="29">
        <f>IF(E486="","",IF(H486="Yes","❌ Disc",IF(G486="No","⚠ Missing",IF(J486="Yes","✓ OK","⚠ Check"))))</f>
        <v/>
      </c>
      <c r="N486" s="43" t="n">
        <v>46193</v>
      </c>
      <c r="O486" s="26" t="inlineStr">
        <is>
          <t>Sunil CR</t>
        </is>
      </c>
      <c r="P486" s="26" t="inlineStr">
        <is>
          <t>Yes</t>
        </is>
      </c>
      <c r="Q486" s="26" t="inlineStr">
        <is>
          <t>No</t>
        </is>
      </c>
      <c r="R486" s="26" t="inlineStr">
        <is>
          <t>Good finish</t>
        </is>
      </c>
      <c r="S486" s="26" t="inlineStr">
        <is>
          <t>Yes</t>
        </is>
      </c>
      <c r="T486" s="27" t="n"/>
      <c r="U486" s="28" t="inlineStr">
        <is>
          <t>No</t>
        </is>
      </c>
      <c r="V486" s="29">
        <f>IF(N486="","",IF(Q486="Yes","❌ Disc",IF(P486="No","⚠ Missing",IF(S486="Yes","✓ OK","⚠ Check"))))</f>
        <v/>
      </c>
      <c r="W486" s="65" t="n">
        <v>46248</v>
      </c>
      <c r="X486" s="30" t="inlineStr">
        <is>
          <t>Sunil CR</t>
        </is>
      </c>
      <c r="Y486" s="30" t="inlineStr">
        <is>
          <t>Yes</t>
        </is>
      </c>
      <c r="Z486" s="30" t="n"/>
      <c r="AA486" s="30" t="inlineStr">
        <is>
          <t>Good finish</t>
        </is>
      </c>
      <c r="AB486" s="30" t="inlineStr">
        <is>
          <t>Yes</t>
        </is>
      </c>
      <c r="AC486" s="27" t="n"/>
      <c r="AD486" s="31" t="inlineStr">
        <is>
          <t>No</t>
        </is>
      </c>
      <c r="AE486" s="32">
        <f>IF(W486="","",IF(Z486="Yes","❌ Disc",IF(Y486="No","⚠ Missing",IF(AB486="Yes","✓ OK","⚠ Check"))))</f>
        <v/>
      </c>
      <c r="AF486" s="33" t="n"/>
      <c r="AG486" s="33" t="n"/>
      <c r="AH486" s="33" t="n"/>
      <c r="AI486" s="33" t="n"/>
      <c r="AJ486" s="33" t="n"/>
      <c r="AK486" s="33" t="n"/>
      <c r="AL486" s="27" t="n"/>
      <c r="AM486" s="34" t="n"/>
      <c r="AN486" s="35">
        <f>IF(AF486="","",IF(AI486="Yes","❌ Disc",IF(AH486="No","⚠ Missing",IF(AK486="Yes","✓ OK","⚠ Check"))))</f>
        <v/>
      </c>
      <c r="AO486" s="36" t="n"/>
      <c r="AP486" s="36" t="n"/>
      <c r="AQ486" s="36" t="n"/>
      <c r="AR486" s="36" t="n"/>
      <c r="AS486" s="36" t="n"/>
      <c r="AT486" s="36" t="n"/>
      <c r="AU486" s="27" t="n"/>
      <c r="AV486" s="37" t="n"/>
      <c r="AW486" s="38">
        <f>IF(AO486="","",IF(AR486="Yes","❌ Disc",IF(AQ486="No","⚠ Missing",IF(AT486="Yes","✓ OK","⚠ Check"))))</f>
        <v/>
      </c>
    </row>
    <row r="487" ht="18" customHeight="1" s="46">
      <c r="A487" s="23" t="n">
        <v>483</v>
      </c>
      <c r="B487" s="24" t="inlineStr">
        <is>
          <t>BD-VRM-2026-0240</t>
        </is>
      </c>
      <c r="C487" s="25" t="inlineStr">
        <is>
          <t>Excel - Spectrum Wallpaper 5011-4</t>
        </is>
      </c>
      <c r="D487" s="23" t="inlineStr">
        <is>
          <t>Excel</t>
        </is>
      </c>
      <c r="E487" s="43" t="n">
        <v>46125</v>
      </c>
      <c r="F487" s="26" t="inlineStr">
        <is>
          <t>Sunil CR</t>
        </is>
      </c>
      <c r="G487" s="26" t="inlineStr">
        <is>
          <t>Yes</t>
        </is>
      </c>
      <c r="H487" s="26" t="inlineStr">
        <is>
          <t>No</t>
        </is>
      </c>
      <c r="I487" s="26" t="inlineStr">
        <is>
          <t>Good finish</t>
        </is>
      </c>
      <c r="J487" s="26" t="inlineStr">
        <is>
          <t>Yes</t>
        </is>
      </c>
      <c r="K487" s="27" t="n"/>
      <c r="L487" s="28" t="inlineStr">
        <is>
          <t>No</t>
        </is>
      </c>
      <c r="M487" s="29">
        <f>IF(E487="","",IF(H487="Yes","❌ Disc",IF(G487="No","⚠ Missing",IF(J487="Yes","✓ OK","⚠ Check"))))</f>
        <v/>
      </c>
      <c r="N487" s="43" t="n">
        <v>46193</v>
      </c>
      <c r="O487" s="26" t="inlineStr">
        <is>
          <t>Sunil CR</t>
        </is>
      </c>
      <c r="P487" s="26" t="inlineStr">
        <is>
          <t>Yes</t>
        </is>
      </c>
      <c r="Q487" s="26" t="inlineStr">
        <is>
          <t>No</t>
        </is>
      </c>
      <c r="R487" s="26" t="inlineStr">
        <is>
          <t>Good finish</t>
        </is>
      </c>
      <c r="S487" s="26" t="inlineStr">
        <is>
          <t>Yes</t>
        </is>
      </c>
      <c r="T487" s="27" t="n"/>
      <c r="U487" s="28" t="inlineStr">
        <is>
          <t>No</t>
        </is>
      </c>
      <c r="V487" s="29">
        <f>IF(N487="","",IF(Q487="Yes","❌ Disc",IF(P487="No","⚠ Missing",IF(S487="Yes","✓ OK","⚠ Check"))))</f>
        <v/>
      </c>
      <c r="W487" s="65" t="n">
        <v>46248</v>
      </c>
      <c r="X487" s="30" t="inlineStr">
        <is>
          <t>Sunil CR</t>
        </is>
      </c>
      <c r="Y487" s="30" t="inlineStr">
        <is>
          <t>Yes</t>
        </is>
      </c>
      <c r="Z487" s="30" t="n"/>
      <c r="AA487" s="30" t="inlineStr">
        <is>
          <t>Good finish</t>
        </is>
      </c>
      <c r="AB487" s="30" t="inlineStr">
        <is>
          <t>Yes</t>
        </is>
      </c>
      <c r="AC487" s="27" t="n"/>
      <c r="AD487" s="31" t="inlineStr">
        <is>
          <t>No</t>
        </is>
      </c>
      <c r="AE487" s="32">
        <f>IF(W487="","",IF(Z487="Yes","❌ Disc",IF(Y487="No","⚠ Missing",IF(AB487="Yes","✓ OK","⚠ Check"))))</f>
        <v/>
      </c>
      <c r="AF487" s="33" t="n"/>
      <c r="AG487" s="33" t="n"/>
      <c r="AH487" s="33" t="n"/>
      <c r="AI487" s="33" t="n"/>
      <c r="AJ487" s="33" t="n"/>
      <c r="AK487" s="33" t="n"/>
      <c r="AL487" s="27" t="n"/>
      <c r="AM487" s="34" t="n"/>
      <c r="AN487" s="35">
        <f>IF(AF487="","",IF(AI487="Yes","❌ Disc",IF(AH487="No","⚠ Missing",IF(AK487="Yes","✓ OK","⚠ Check"))))</f>
        <v/>
      </c>
      <c r="AO487" s="36" t="n"/>
      <c r="AP487" s="36" t="n"/>
      <c r="AQ487" s="36" t="n"/>
      <c r="AR487" s="36" t="n"/>
      <c r="AS487" s="36" t="n"/>
      <c r="AT487" s="36" t="n"/>
      <c r="AU487" s="27" t="n"/>
      <c r="AV487" s="37" t="n"/>
      <c r="AW487" s="38">
        <f>IF(AO487="","",IF(AR487="Yes","❌ Disc",IF(AQ487="No","⚠ Missing",IF(AT487="Yes","✓ OK","⚠ Check"))))</f>
        <v/>
      </c>
    </row>
    <row r="488" ht="18" customHeight="1" s="46">
      <c r="A488" s="39" t="n">
        <v>484</v>
      </c>
      <c r="B488" s="40" t="inlineStr">
        <is>
          <t>BD-VRM-2026-0241</t>
        </is>
      </c>
      <c r="C488" s="41" t="inlineStr">
        <is>
          <t>Excel - Spectrum Wallpaper 5011-5</t>
        </is>
      </c>
      <c r="D488" s="39" t="inlineStr">
        <is>
          <t>Excel</t>
        </is>
      </c>
      <c r="E488" s="43" t="n">
        <v>46125</v>
      </c>
      <c r="F488" s="26" t="inlineStr">
        <is>
          <t>Sunil CR</t>
        </is>
      </c>
      <c r="G488" s="26" t="inlineStr">
        <is>
          <t>Yes</t>
        </is>
      </c>
      <c r="H488" s="26" t="inlineStr">
        <is>
          <t>No</t>
        </is>
      </c>
      <c r="I488" s="26" t="inlineStr">
        <is>
          <t>Good finish</t>
        </is>
      </c>
      <c r="J488" s="26" t="inlineStr">
        <is>
          <t>Yes</t>
        </is>
      </c>
      <c r="K488" s="27" t="n"/>
      <c r="L488" s="28" t="inlineStr">
        <is>
          <t>No</t>
        </is>
      </c>
      <c r="M488" s="29">
        <f>IF(E488="","",IF(H488="Yes","❌ Disc",IF(G488="No","⚠ Missing",IF(J488="Yes","✓ OK","⚠ Check"))))</f>
        <v/>
      </c>
      <c r="N488" s="43" t="n">
        <v>46193</v>
      </c>
      <c r="O488" s="26" t="inlineStr">
        <is>
          <t>Sunil CR</t>
        </is>
      </c>
      <c r="P488" s="26" t="inlineStr">
        <is>
          <t>Yes</t>
        </is>
      </c>
      <c r="Q488" s="26" t="inlineStr">
        <is>
          <t>No</t>
        </is>
      </c>
      <c r="R488" s="26" t="inlineStr">
        <is>
          <t>Good finish</t>
        </is>
      </c>
      <c r="S488" s="26" t="inlineStr">
        <is>
          <t>Yes</t>
        </is>
      </c>
      <c r="T488" s="27" t="n"/>
      <c r="U488" s="28" t="inlineStr">
        <is>
          <t>No</t>
        </is>
      </c>
      <c r="V488" s="29">
        <f>IF(N488="","",IF(Q488="Yes","❌ Disc",IF(P488="No","⚠ Missing",IF(S488="Yes","✓ OK","⚠ Check"))))</f>
        <v/>
      </c>
      <c r="W488" s="65" t="n">
        <v>46248</v>
      </c>
      <c r="X488" s="30" t="inlineStr">
        <is>
          <t>Sunil CR</t>
        </is>
      </c>
      <c r="Y488" s="30" t="inlineStr">
        <is>
          <t>Yes</t>
        </is>
      </c>
      <c r="Z488" s="30" t="n"/>
      <c r="AA488" s="30" t="inlineStr">
        <is>
          <t>Good finish</t>
        </is>
      </c>
      <c r="AB488" s="30" t="inlineStr">
        <is>
          <t>Yes</t>
        </is>
      </c>
      <c r="AC488" s="27" t="n"/>
      <c r="AD488" s="31" t="inlineStr">
        <is>
          <t>No</t>
        </is>
      </c>
      <c r="AE488" s="32">
        <f>IF(W488="","",IF(Z488="Yes","❌ Disc",IF(Y488="No","⚠ Missing",IF(AB488="Yes","✓ OK","⚠ Check"))))</f>
        <v/>
      </c>
      <c r="AF488" s="33" t="n"/>
      <c r="AG488" s="33" t="n"/>
      <c r="AH488" s="33" t="n"/>
      <c r="AI488" s="33" t="n"/>
      <c r="AJ488" s="33" t="n"/>
      <c r="AK488" s="33" t="n"/>
      <c r="AL488" s="27" t="n"/>
      <c r="AM488" s="34" t="n"/>
      <c r="AN488" s="35">
        <f>IF(AF488="","",IF(AI488="Yes","❌ Disc",IF(AH488="No","⚠ Missing",IF(AK488="Yes","✓ OK","⚠ Check"))))</f>
        <v/>
      </c>
      <c r="AO488" s="36" t="n"/>
      <c r="AP488" s="36" t="n"/>
      <c r="AQ488" s="36" t="n"/>
      <c r="AR488" s="36" t="n"/>
      <c r="AS488" s="36" t="n"/>
      <c r="AT488" s="36" t="n"/>
      <c r="AU488" s="27" t="n"/>
      <c r="AV488" s="37" t="n"/>
      <c r="AW488" s="38">
        <f>IF(AO488="","",IF(AR488="Yes","❌ Disc",IF(AQ488="No","⚠ Missing",IF(AT488="Yes","✓ OK","⚠ Check"))))</f>
        <v/>
      </c>
    </row>
    <row r="489" ht="18" customHeight="1" s="46">
      <c r="A489" s="23" t="n">
        <v>485</v>
      </c>
      <c r="B489" s="24" t="inlineStr">
        <is>
          <t>BD-VRM-2023-4766</t>
        </is>
      </c>
      <c r="C489" s="25" t="inlineStr">
        <is>
          <t>Bonito Wall Decor - 3D Abstract Floral Pattern Bedroom Wallpaper 601221 - Soft feel paper</t>
        </is>
      </c>
      <c r="D489" s="23" t="inlineStr">
        <is>
          <t>Life n Colors</t>
        </is>
      </c>
      <c r="E489" s="43" t="n">
        <v>46126</v>
      </c>
      <c r="F489" s="26" t="inlineStr">
        <is>
          <t>Sunil CR</t>
        </is>
      </c>
      <c r="G489" s="26" t="inlineStr">
        <is>
          <t>Yes</t>
        </is>
      </c>
      <c r="H489" s="26" t="inlineStr">
        <is>
          <t>No</t>
        </is>
      </c>
      <c r="I489" s="26" t="inlineStr">
        <is>
          <t>Good finish</t>
        </is>
      </c>
      <c r="J489" s="26" t="inlineStr">
        <is>
          <t>Yes</t>
        </is>
      </c>
      <c r="K489" s="27" t="n"/>
      <c r="L489" s="28" t="inlineStr">
        <is>
          <t>No</t>
        </is>
      </c>
      <c r="M489" s="29">
        <f>IF(E489="","",IF(H489="Yes","❌ Disc",IF(G489="No","⚠ Missing",IF(J489="Yes","✓ OK","⚠ Check"))))</f>
        <v/>
      </c>
      <c r="N489" s="43" t="n">
        <v>46193</v>
      </c>
      <c r="O489" s="26" t="inlineStr">
        <is>
          <t>Sunil CR</t>
        </is>
      </c>
      <c r="P489" s="26" t="inlineStr">
        <is>
          <t>Yes</t>
        </is>
      </c>
      <c r="Q489" s="26" t="inlineStr">
        <is>
          <t>No</t>
        </is>
      </c>
      <c r="R489" s="26" t="inlineStr">
        <is>
          <t>Good finish</t>
        </is>
      </c>
      <c r="S489" s="26" t="inlineStr">
        <is>
          <t>Yes</t>
        </is>
      </c>
      <c r="T489" s="27" t="n"/>
      <c r="U489" s="28" t="inlineStr">
        <is>
          <t>No</t>
        </is>
      </c>
      <c r="V489" s="29">
        <f>IF(N489="","",IF(Q489="Yes","❌ Disc",IF(P489="No","⚠ Missing",IF(S489="Yes","✓ OK","⚠ Check"))))</f>
        <v/>
      </c>
      <c r="W489" s="65" t="n">
        <v>46248</v>
      </c>
      <c r="X489" s="30" t="inlineStr">
        <is>
          <t>Sunil CR</t>
        </is>
      </c>
      <c r="Y489" s="30" t="inlineStr">
        <is>
          <t>Yes</t>
        </is>
      </c>
      <c r="Z489" s="30" t="n"/>
      <c r="AA489" s="30" t="inlineStr">
        <is>
          <t>Good finish</t>
        </is>
      </c>
      <c r="AB489" s="30" t="inlineStr">
        <is>
          <t>Yes</t>
        </is>
      </c>
      <c r="AC489" s="27" t="n"/>
      <c r="AD489" s="31" t="inlineStr">
        <is>
          <t>No</t>
        </is>
      </c>
      <c r="AE489" s="32">
        <f>IF(W489="","",IF(Z489="Yes","❌ Disc",IF(Y489="No","⚠ Missing",IF(AB489="Yes","✓ OK","⚠ Check"))))</f>
        <v/>
      </c>
      <c r="AF489" s="33" t="n"/>
      <c r="AG489" s="33" t="n"/>
      <c r="AH489" s="33" t="n"/>
      <c r="AI489" s="33" t="n"/>
      <c r="AJ489" s="33" t="n"/>
      <c r="AK489" s="33" t="n"/>
      <c r="AL489" s="27" t="n"/>
      <c r="AM489" s="34" t="n"/>
      <c r="AN489" s="35">
        <f>IF(AF489="","",IF(AI489="Yes","❌ Disc",IF(AH489="No","⚠ Missing",IF(AK489="Yes","✓ OK","⚠ Check"))))</f>
        <v/>
      </c>
      <c r="AO489" s="36" t="n"/>
      <c r="AP489" s="36" t="n"/>
      <c r="AQ489" s="36" t="n"/>
      <c r="AR489" s="36" t="n"/>
      <c r="AS489" s="36" t="n"/>
      <c r="AT489" s="36" t="n"/>
      <c r="AU489" s="27" t="n"/>
      <c r="AV489" s="37" t="n"/>
      <c r="AW489" s="38">
        <f>IF(AO489="","",IF(AR489="Yes","❌ Disc",IF(AQ489="No","⚠ Missing",IF(AT489="Yes","✓ OK","⚠ Check"))))</f>
        <v/>
      </c>
    </row>
    <row r="490" ht="18" customHeight="1" s="46">
      <c r="A490" s="39" t="n">
        <v>486</v>
      </c>
      <c r="B490" s="40" t="inlineStr">
        <is>
          <t>BD-VRM-2023-4791</t>
        </is>
      </c>
      <c r="C490" s="41" t="inlineStr">
        <is>
          <t>Bonito Wall Decor - 3D Abstract Floral Pattern Bedroom Wallpaper 601222 - Canvas paper</t>
        </is>
      </c>
      <c r="D490" s="39" t="inlineStr">
        <is>
          <t>Life n Colors</t>
        </is>
      </c>
      <c r="E490" s="43" t="n">
        <v>46126</v>
      </c>
      <c r="F490" s="26" t="inlineStr">
        <is>
          <t>Sunil CR</t>
        </is>
      </c>
      <c r="G490" s="26" t="inlineStr">
        <is>
          <t>Yes</t>
        </is>
      </c>
      <c r="H490" s="26" t="inlineStr">
        <is>
          <t>No</t>
        </is>
      </c>
      <c r="I490" s="26" t="inlineStr">
        <is>
          <t>Good finish</t>
        </is>
      </c>
      <c r="J490" s="26" t="inlineStr">
        <is>
          <t>Yes</t>
        </is>
      </c>
      <c r="K490" s="27" t="n"/>
      <c r="L490" s="28" t="inlineStr">
        <is>
          <t>No</t>
        </is>
      </c>
      <c r="M490" s="29">
        <f>IF(E490="","",IF(H490="Yes","❌ Disc",IF(G490="No","⚠ Missing",IF(J490="Yes","✓ OK","⚠ Check"))))</f>
        <v/>
      </c>
      <c r="N490" s="43" t="n">
        <v>46193</v>
      </c>
      <c r="O490" s="26" t="inlineStr">
        <is>
          <t>Sunil CR</t>
        </is>
      </c>
      <c r="P490" s="26" t="inlineStr">
        <is>
          <t>Yes</t>
        </is>
      </c>
      <c r="Q490" s="26" t="inlineStr">
        <is>
          <t>No</t>
        </is>
      </c>
      <c r="R490" s="26" t="inlineStr">
        <is>
          <t>Good finish</t>
        </is>
      </c>
      <c r="S490" s="26" t="inlineStr">
        <is>
          <t>Yes</t>
        </is>
      </c>
      <c r="T490" s="27" t="n"/>
      <c r="U490" s="28" t="inlineStr">
        <is>
          <t>No</t>
        </is>
      </c>
      <c r="V490" s="29">
        <f>IF(N490="","",IF(Q490="Yes","❌ Disc",IF(P490="No","⚠ Missing",IF(S490="Yes","✓ OK","⚠ Check"))))</f>
        <v/>
      </c>
      <c r="W490" s="65" t="n">
        <v>46248</v>
      </c>
      <c r="X490" s="30" t="inlineStr">
        <is>
          <t>Sunil CR</t>
        </is>
      </c>
      <c r="Y490" s="30" t="inlineStr">
        <is>
          <t>Yes</t>
        </is>
      </c>
      <c r="Z490" s="30" t="n"/>
      <c r="AA490" s="30" t="inlineStr">
        <is>
          <t>Good finish</t>
        </is>
      </c>
      <c r="AB490" s="30" t="inlineStr">
        <is>
          <t>Yes</t>
        </is>
      </c>
      <c r="AC490" s="27" t="n"/>
      <c r="AD490" s="31" t="inlineStr">
        <is>
          <t>No</t>
        </is>
      </c>
      <c r="AE490" s="32">
        <f>IF(W490="","",IF(Z490="Yes","❌ Disc",IF(Y490="No","⚠ Missing",IF(AB490="Yes","✓ OK","⚠ Check"))))</f>
        <v/>
      </c>
      <c r="AF490" s="33" t="n"/>
      <c r="AG490" s="33" t="n"/>
      <c r="AH490" s="33" t="n"/>
      <c r="AI490" s="33" t="n"/>
      <c r="AJ490" s="33" t="n"/>
      <c r="AK490" s="33" t="n"/>
      <c r="AL490" s="27" t="n"/>
      <c r="AM490" s="34" t="n"/>
      <c r="AN490" s="35">
        <f>IF(AF490="","",IF(AI490="Yes","❌ Disc",IF(AH490="No","⚠ Missing",IF(AK490="Yes","✓ OK","⚠ Check"))))</f>
        <v/>
      </c>
      <c r="AO490" s="36" t="n"/>
      <c r="AP490" s="36" t="n"/>
      <c r="AQ490" s="36" t="n"/>
      <c r="AR490" s="36" t="n"/>
      <c r="AS490" s="36" t="n"/>
      <c r="AT490" s="36" t="n"/>
      <c r="AU490" s="27" t="n"/>
      <c r="AV490" s="37" t="n"/>
      <c r="AW490" s="38">
        <f>IF(AO490="","",IF(AR490="Yes","❌ Disc",IF(AQ490="No","⚠ Missing",IF(AT490="Yes","✓ OK","⚠ Check"))))</f>
        <v/>
      </c>
    </row>
    <row r="491" ht="18" customHeight="1" s="46">
      <c r="A491" s="23" t="n">
        <v>487</v>
      </c>
      <c r="B491" s="24" t="inlineStr">
        <is>
          <t>BD-VRM-2023-4760</t>
        </is>
      </c>
      <c r="C491" s="25" t="inlineStr">
        <is>
          <t>Bonito Wall Decor - 3D Molding Decorative Room Wallpaper, Green 600921 - Soft feel paper</t>
        </is>
      </c>
      <c r="D491" s="23" t="inlineStr">
        <is>
          <t>Life n Colors</t>
        </is>
      </c>
      <c r="E491" s="43" t="n">
        <v>46126</v>
      </c>
      <c r="F491" s="26" t="inlineStr">
        <is>
          <t>Sunil CR</t>
        </is>
      </c>
      <c r="G491" s="26" t="inlineStr">
        <is>
          <t>Yes</t>
        </is>
      </c>
      <c r="H491" s="26" t="inlineStr">
        <is>
          <t>No</t>
        </is>
      </c>
      <c r="I491" s="26" t="inlineStr">
        <is>
          <t>Good finish</t>
        </is>
      </c>
      <c r="J491" s="26" t="inlineStr">
        <is>
          <t>Yes</t>
        </is>
      </c>
      <c r="K491" s="27" t="n"/>
      <c r="L491" s="28" t="inlineStr">
        <is>
          <t>No</t>
        </is>
      </c>
      <c r="M491" s="29">
        <f>IF(E491="","",IF(H491="Yes","❌ Disc",IF(G491="No","⚠ Missing",IF(J491="Yes","✓ OK","⚠ Check"))))</f>
        <v/>
      </c>
      <c r="N491" s="43" t="n">
        <v>46193</v>
      </c>
      <c r="O491" s="26" t="inlineStr">
        <is>
          <t>Sunil CR</t>
        </is>
      </c>
      <c r="P491" s="26" t="inlineStr">
        <is>
          <t>Yes</t>
        </is>
      </c>
      <c r="Q491" s="26" t="inlineStr">
        <is>
          <t>No</t>
        </is>
      </c>
      <c r="R491" s="26" t="inlineStr">
        <is>
          <t>Good finish</t>
        </is>
      </c>
      <c r="S491" s="26" t="inlineStr">
        <is>
          <t>Yes</t>
        </is>
      </c>
      <c r="T491" s="27" t="n"/>
      <c r="U491" s="28" t="inlineStr">
        <is>
          <t>No</t>
        </is>
      </c>
      <c r="V491" s="29">
        <f>IF(N491="","",IF(Q491="Yes","❌ Disc",IF(P491="No","⚠ Missing",IF(S491="Yes","✓ OK","⚠ Check"))))</f>
        <v/>
      </c>
      <c r="W491" s="65" t="n">
        <v>46248</v>
      </c>
      <c r="X491" s="30" t="inlineStr">
        <is>
          <t>Sunil CR</t>
        </is>
      </c>
      <c r="Y491" s="30" t="inlineStr">
        <is>
          <t>Yes</t>
        </is>
      </c>
      <c r="Z491" s="30" t="n"/>
      <c r="AA491" s="30" t="inlineStr">
        <is>
          <t>Good finish</t>
        </is>
      </c>
      <c r="AB491" s="30" t="inlineStr">
        <is>
          <t>Yes</t>
        </is>
      </c>
      <c r="AC491" s="27" t="n"/>
      <c r="AD491" s="31" t="inlineStr">
        <is>
          <t>No</t>
        </is>
      </c>
      <c r="AE491" s="32">
        <f>IF(W491="","",IF(Z491="Yes","❌ Disc",IF(Y491="No","⚠ Missing",IF(AB491="Yes","✓ OK","⚠ Check"))))</f>
        <v/>
      </c>
      <c r="AF491" s="33" t="n"/>
      <c r="AG491" s="33" t="n"/>
      <c r="AH491" s="33" t="n"/>
      <c r="AI491" s="33" t="n"/>
      <c r="AJ491" s="33" t="n"/>
      <c r="AK491" s="33" t="n"/>
      <c r="AL491" s="27" t="n"/>
      <c r="AM491" s="34" t="n"/>
      <c r="AN491" s="35">
        <f>IF(AF491="","",IF(AI491="Yes","❌ Disc",IF(AH491="No","⚠ Missing",IF(AK491="Yes","✓ OK","⚠ Check"))))</f>
        <v/>
      </c>
      <c r="AO491" s="36" t="n"/>
      <c r="AP491" s="36" t="n"/>
      <c r="AQ491" s="36" t="n"/>
      <c r="AR491" s="36" t="n"/>
      <c r="AS491" s="36" t="n"/>
      <c r="AT491" s="36" t="n"/>
      <c r="AU491" s="27" t="n"/>
      <c r="AV491" s="37" t="n"/>
      <c r="AW491" s="38">
        <f>IF(AO491="","",IF(AR491="Yes","❌ Disc",IF(AQ491="No","⚠ Missing",IF(AT491="Yes","✓ OK","⚠ Check"))))</f>
        <v/>
      </c>
    </row>
    <row r="492" ht="18" customHeight="1" s="46">
      <c r="A492" s="39" t="n">
        <v>488</v>
      </c>
      <c r="B492" s="40" t="inlineStr">
        <is>
          <t>BD-VRM-2023-4785</t>
        </is>
      </c>
      <c r="C492" s="41" t="inlineStr">
        <is>
          <t>Bonito Wall Decor - 3D Molding Decorative Room Wallpaper, Green 600922 - Canvas paper</t>
        </is>
      </c>
      <c r="D492" s="39" t="inlineStr">
        <is>
          <t>Life n Colors</t>
        </is>
      </c>
      <c r="E492" s="43" t="n">
        <v>46126</v>
      </c>
      <c r="F492" s="26" t="inlineStr">
        <is>
          <t>Sunil CR</t>
        </is>
      </c>
      <c r="G492" s="26" t="inlineStr">
        <is>
          <t>Yes</t>
        </is>
      </c>
      <c r="H492" s="26" t="inlineStr">
        <is>
          <t>No</t>
        </is>
      </c>
      <c r="I492" s="26" t="inlineStr">
        <is>
          <t>Good finish</t>
        </is>
      </c>
      <c r="J492" s="26" t="inlineStr">
        <is>
          <t>Yes</t>
        </is>
      </c>
      <c r="K492" s="27" t="n"/>
      <c r="L492" s="28" t="inlineStr">
        <is>
          <t>No</t>
        </is>
      </c>
      <c r="M492" s="29">
        <f>IF(E492="","",IF(H492="Yes","❌ Disc",IF(G492="No","⚠ Missing",IF(J492="Yes","✓ OK","⚠ Check"))))</f>
        <v/>
      </c>
      <c r="N492" s="43" t="n">
        <v>46193</v>
      </c>
      <c r="O492" s="26" t="inlineStr">
        <is>
          <t>Sunil CR</t>
        </is>
      </c>
      <c r="P492" s="26" t="inlineStr">
        <is>
          <t>Yes</t>
        </is>
      </c>
      <c r="Q492" s="26" t="inlineStr">
        <is>
          <t>No</t>
        </is>
      </c>
      <c r="R492" s="26" t="inlineStr">
        <is>
          <t>Good finish</t>
        </is>
      </c>
      <c r="S492" s="26" t="inlineStr">
        <is>
          <t>Yes</t>
        </is>
      </c>
      <c r="T492" s="27" t="n"/>
      <c r="U492" s="28" t="inlineStr">
        <is>
          <t>No</t>
        </is>
      </c>
      <c r="V492" s="29">
        <f>IF(N492="","",IF(Q492="Yes","❌ Disc",IF(P492="No","⚠ Missing",IF(S492="Yes","✓ OK","⚠ Check"))))</f>
        <v/>
      </c>
      <c r="W492" s="65" t="n">
        <v>46248</v>
      </c>
      <c r="X492" s="30" t="inlineStr">
        <is>
          <t>Sunil CR</t>
        </is>
      </c>
      <c r="Y492" s="30" t="inlineStr">
        <is>
          <t>Yes</t>
        </is>
      </c>
      <c r="Z492" s="30" t="n"/>
      <c r="AA492" s="30" t="inlineStr">
        <is>
          <t>Good finish</t>
        </is>
      </c>
      <c r="AB492" s="30" t="inlineStr">
        <is>
          <t>Yes</t>
        </is>
      </c>
      <c r="AC492" s="27" t="n"/>
      <c r="AD492" s="31" t="inlineStr">
        <is>
          <t>No</t>
        </is>
      </c>
      <c r="AE492" s="32">
        <f>IF(W492="","",IF(Z492="Yes","❌ Disc",IF(Y492="No","⚠ Missing",IF(AB492="Yes","✓ OK","⚠ Check"))))</f>
        <v/>
      </c>
      <c r="AF492" s="33" t="n"/>
      <c r="AG492" s="33" t="n"/>
      <c r="AH492" s="33" t="n"/>
      <c r="AI492" s="33" t="n"/>
      <c r="AJ492" s="33" t="n"/>
      <c r="AK492" s="33" t="n"/>
      <c r="AL492" s="27" t="n"/>
      <c r="AM492" s="34" t="n"/>
      <c r="AN492" s="35">
        <f>IF(AF492="","",IF(AI492="Yes","❌ Disc",IF(AH492="No","⚠ Missing",IF(AK492="Yes","✓ OK","⚠ Check"))))</f>
        <v/>
      </c>
      <c r="AO492" s="36" t="n"/>
      <c r="AP492" s="36" t="n"/>
      <c r="AQ492" s="36" t="n"/>
      <c r="AR492" s="36" t="n"/>
      <c r="AS492" s="36" t="n"/>
      <c r="AT492" s="36" t="n"/>
      <c r="AU492" s="27" t="n"/>
      <c r="AV492" s="37" t="n"/>
      <c r="AW492" s="38">
        <f>IF(AO492="","",IF(AR492="Yes","❌ Disc",IF(AQ492="No","⚠ Missing",IF(AT492="Yes","✓ OK","⚠ Check"))))</f>
        <v/>
      </c>
    </row>
    <row r="493" ht="18" customHeight="1" s="46">
      <c r="A493" s="23" t="n">
        <v>489</v>
      </c>
      <c r="B493" s="24" t="inlineStr">
        <is>
          <t>BD-VRM-2023-4745</t>
        </is>
      </c>
      <c r="C493" s="25" t="inlineStr">
        <is>
          <t>Bonito Wall Decor - Animals Going on Picnic, Kids Room Wallpaper 600211 - Soft feel paper</t>
        </is>
      </c>
      <c r="D493" s="23" t="inlineStr">
        <is>
          <t>Life n Colors</t>
        </is>
      </c>
      <c r="E493" s="43" t="n">
        <v>46126</v>
      </c>
      <c r="F493" s="26" t="inlineStr">
        <is>
          <t>Sunil CR</t>
        </is>
      </c>
      <c r="G493" s="26" t="inlineStr">
        <is>
          <t>Yes</t>
        </is>
      </c>
      <c r="H493" s="26" t="inlineStr">
        <is>
          <t>No</t>
        </is>
      </c>
      <c r="I493" s="26" t="inlineStr">
        <is>
          <t>Good finish</t>
        </is>
      </c>
      <c r="J493" s="26" t="inlineStr">
        <is>
          <t>Yes</t>
        </is>
      </c>
      <c r="K493" s="27" t="n"/>
      <c r="L493" s="28" t="inlineStr">
        <is>
          <t>No</t>
        </is>
      </c>
      <c r="M493" s="29">
        <f>IF(E493="","",IF(H493="Yes","❌ Disc",IF(G493="No","⚠ Missing",IF(J493="Yes","✓ OK","⚠ Check"))))</f>
        <v/>
      </c>
      <c r="N493" s="43" t="n">
        <v>46193</v>
      </c>
      <c r="O493" s="26" t="inlineStr">
        <is>
          <t>Sunil CR</t>
        </is>
      </c>
      <c r="P493" s="26" t="inlineStr">
        <is>
          <t>Yes</t>
        </is>
      </c>
      <c r="Q493" s="26" t="inlineStr">
        <is>
          <t>No</t>
        </is>
      </c>
      <c r="R493" s="26" t="inlineStr">
        <is>
          <t>Good finish</t>
        </is>
      </c>
      <c r="S493" s="26" t="inlineStr">
        <is>
          <t>Yes</t>
        </is>
      </c>
      <c r="T493" s="27" t="n"/>
      <c r="U493" s="28" t="inlineStr">
        <is>
          <t>No</t>
        </is>
      </c>
      <c r="V493" s="29">
        <f>IF(N493="","",IF(Q493="Yes","❌ Disc",IF(P493="No","⚠ Missing",IF(S493="Yes","✓ OK","⚠ Check"))))</f>
        <v/>
      </c>
      <c r="W493" s="65" t="n">
        <v>46248</v>
      </c>
      <c r="X493" s="30" t="inlineStr">
        <is>
          <t>Sunil CR</t>
        </is>
      </c>
      <c r="Y493" s="30" t="inlineStr">
        <is>
          <t>Yes</t>
        </is>
      </c>
      <c r="Z493" s="30" t="n"/>
      <c r="AA493" s="30" t="inlineStr">
        <is>
          <t>Good finish</t>
        </is>
      </c>
      <c r="AB493" s="30" t="inlineStr">
        <is>
          <t>Yes</t>
        </is>
      </c>
      <c r="AC493" s="27" t="n"/>
      <c r="AD493" s="31" t="inlineStr">
        <is>
          <t>No</t>
        </is>
      </c>
      <c r="AE493" s="32">
        <f>IF(W493="","",IF(Z493="Yes","❌ Disc",IF(Y493="No","⚠ Missing",IF(AB493="Yes","✓ OK","⚠ Check"))))</f>
        <v/>
      </c>
      <c r="AF493" s="33" t="n"/>
      <c r="AG493" s="33" t="n"/>
      <c r="AH493" s="33" t="n"/>
      <c r="AI493" s="33" t="n"/>
      <c r="AJ493" s="33" t="n"/>
      <c r="AK493" s="33" t="n"/>
      <c r="AL493" s="27" t="n"/>
      <c r="AM493" s="34" t="n"/>
      <c r="AN493" s="35">
        <f>IF(AF493="","",IF(AI493="Yes","❌ Disc",IF(AH493="No","⚠ Missing",IF(AK493="Yes","✓ OK","⚠ Check"))))</f>
        <v/>
      </c>
      <c r="AO493" s="36" t="n"/>
      <c r="AP493" s="36" t="n"/>
      <c r="AQ493" s="36" t="n"/>
      <c r="AR493" s="36" t="n"/>
      <c r="AS493" s="36" t="n"/>
      <c r="AT493" s="36" t="n"/>
      <c r="AU493" s="27" t="n"/>
      <c r="AV493" s="37" t="n"/>
      <c r="AW493" s="38">
        <f>IF(AO493="","",IF(AR493="Yes","❌ Disc",IF(AQ493="No","⚠ Missing",IF(AT493="Yes","✓ OK","⚠ Check"))))</f>
        <v/>
      </c>
    </row>
    <row r="494" ht="18" customHeight="1" s="46">
      <c r="A494" s="39" t="n">
        <v>490</v>
      </c>
      <c r="B494" s="40" t="inlineStr">
        <is>
          <t>BD-VRM-2023-4770</t>
        </is>
      </c>
      <c r="C494" s="41" t="inlineStr">
        <is>
          <t>Bonito Wall Decor - Animals Going on Picnic, Kids Room Wallpaper 600212 - Canvas paper</t>
        </is>
      </c>
      <c r="D494" s="39" t="inlineStr">
        <is>
          <t>Life n Colors</t>
        </is>
      </c>
      <c r="E494" s="43" t="n">
        <v>46126</v>
      </c>
      <c r="F494" s="26" t="inlineStr">
        <is>
          <t>Sunil CR</t>
        </is>
      </c>
      <c r="G494" s="26" t="inlineStr">
        <is>
          <t>Yes</t>
        </is>
      </c>
      <c r="H494" s="26" t="inlineStr">
        <is>
          <t>No</t>
        </is>
      </c>
      <c r="I494" s="26" t="inlineStr">
        <is>
          <t>Good finish</t>
        </is>
      </c>
      <c r="J494" s="26" t="inlineStr">
        <is>
          <t>Yes</t>
        </is>
      </c>
      <c r="K494" s="27" t="n"/>
      <c r="L494" s="28" t="inlineStr">
        <is>
          <t>No</t>
        </is>
      </c>
      <c r="M494" s="29">
        <f>IF(E494="","",IF(H494="Yes","❌ Disc",IF(G494="No","⚠ Missing",IF(J494="Yes","✓ OK","⚠ Check"))))</f>
        <v/>
      </c>
      <c r="N494" s="43" t="n">
        <v>46193</v>
      </c>
      <c r="O494" s="26" t="inlineStr">
        <is>
          <t>Sunil CR</t>
        </is>
      </c>
      <c r="P494" s="26" t="inlineStr">
        <is>
          <t>Yes</t>
        </is>
      </c>
      <c r="Q494" s="26" t="inlineStr">
        <is>
          <t>No</t>
        </is>
      </c>
      <c r="R494" s="26" t="inlineStr">
        <is>
          <t>Good finish</t>
        </is>
      </c>
      <c r="S494" s="26" t="inlineStr">
        <is>
          <t>Yes</t>
        </is>
      </c>
      <c r="T494" s="27" t="n"/>
      <c r="U494" s="28" t="inlineStr">
        <is>
          <t>No</t>
        </is>
      </c>
      <c r="V494" s="29">
        <f>IF(N494="","",IF(Q494="Yes","❌ Disc",IF(P494="No","⚠ Missing",IF(S494="Yes","✓ OK","⚠ Check"))))</f>
        <v/>
      </c>
      <c r="W494" s="65" t="n">
        <v>46248</v>
      </c>
      <c r="X494" s="30" t="inlineStr">
        <is>
          <t>Sunil CR</t>
        </is>
      </c>
      <c r="Y494" s="30" t="inlineStr">
        <is>
          <t>Yes</t>
        </is>
      </c>
      <c r="Z494" s="30" t="n"/>
      <c r="AA494" s="30" t="inlineStr">
        <is>
          <t>Good finish</t>
        </is>
      </c>
      <c r="AB494" s="30" t="inlineStr">
        <is>
          <t>Yes</t>
        </is>
      </c>
      <c r="AC494" s="27" t="n"/>
      <c r="AD494" s="31" t="inlineStr">
        <is>
          <t>No</t>
        </is>
      </c>
      <c r="AE494" s="32">
        <f>IF(W494="","",IF(Z494="Yes","❌ Disc",IF(Y494="No","⚠ Missing",IF(AB494="Yes","✓ OK","⚠ Check"))))</f>
        <v/>
      </c>
      <c r="AF494" s="33" t="n"/>
      <c r="AG494" s="33" t="n"/>
      <c r="AH494" s="33" t="n"/>
      <c r="AI494" s="33" t="n"/>
      <c r="AJ494" s="33" t="n"/>
      <c r="AK494" s="33" t="n"/>
      <c r="AL494" s="27" t="n"/>
      <c r="AM494" s="34" t="n"/>
      <c r="AN494" s="35">
        <f>IF(AF494="","",IF(AI494="Yes","❌ Disc",IF(AH494="No","⚠ Missing",IF(AK494="Yes","✓ OK","⚠ Check"))))</f>
        <v/>
      </c>
      <c r="AO494" s="36" t="n"/>
      <c r="AP494" s="36" t="n"/>
      <c r="AQ494" s="36" t="n"/>
      <c r="AR494" s="36" t="n"/>
      <c r="AS494" s="36" t="n"/>
      <c r="AT494" s="36" t="n"/>
      <c r="AU494" s="27" t="n"/>
      <c r="AV494" s="37" t="n"/>
      <c r="AW494" s="38">
        <f>IF(AO494="","",IF(AR494="Yes","❌ Disc",IF(AQ494="No","⚠ Missing",IF(AT494="Yes","✓ OK","⚠ Check"))))</f>
        <v/>
      </c>
    </row>
    <row r="495" ht="18" customHeight="1" s="46">
      <c r="A495" s="23" t="n">
        <v>491</v>
      </c>
      <c r="B495" s="24" t="inlineStr">
        <is>
          <t>BD-VRM-2023-4751</t>
        </is>
      </c>
      <c r="C495" s="25" t="inlineStr">
        <is>
          <t>Bonito Wall Decor - Beautiful Flying Animals Kids Room Wallpaper 600511 - Soft feel paper [BBP]</t>
        </is>
      </c>
      <c r="D495" s="23" t="inlineStr">
        <is>
          <t>Life n Colors</t>
        </is>
      </c>
      <c r="E495" s="43" t="n">
        <v>46126</v>
      </c>
      <c r="F495" s="26" t="inlineStr">
        <is>
          <t>Sunil CR</t>
        </is>
      </c>
      <c r="G495" s="26" t="inlineStr">
        <is>
          <t>Yes</t>
        </is>
      </c>
      <c r="H495" s="26" t="inlineStr">
        <is>
          <t>No</t>
        </is>
      </c>
      <c r="I495" s="26" t="inlineStr">
        <is>
          <t>Good finish</t>
        </is>
      </c>
      <c r="J495" s="26" t="inlineStr">
        <is>
          <t>Yes</t>
        </is>
      </c>
      <c r="K495" s="27" t="n"/>
      <c r="L495" s="28" t="inlineStr">
        <is>
          <t>No</t>
        </is>
      </c>
      <c r="M495" s="29">
        <f>IF(E495="","",IF(H495="Yes","❌ Disc",IF(G495="No","⚠ Missing",IF(J495="Yes","✓ OK","⚠ Check"))))</f>
        <v/>
      </c>
      <c r="N495" s="43" t="n">
        <v>46193</v>
      </c>
      <c r="O495" s="26" t="inlineStr">
        <is>
          <t>Sunil CR</t>
        </is>
      </c>
      <c r="P495" s="26" t="inlineStr">
        <is>
          <t>Yes</t>
        </is>
      </c>
      <c r="Q495" s="26" t="inlineStr">
        <is>
          <t>No</t>
        </is>
      </c>
      <c r="R495" s="26" t="inlineStr">
        <is>
          <t>Good finish</t>
        </is>
      </c>
      <c r="S495" s="26" t="inlineStr">
        <is>
          <t>Yes</t>
        </is>
      </c>
      <c r="T495" s="27" t="n"/>
      <c r="U495" s="28" t="inlineStr">
        <is>
          <t>No</t>
        </is>
      </c>
      <c r="V495" s="29">
        <f>IF(N495="","",IF(Q495="Yes","❌ Disc",IF(P495="No","⚠ Missing",IF(S495="Yes","✓ OK","⚠ Check"))))</f>
        <v/>
      </c>
      <c r="W495" s="65" t="n">
        <v>46248</v>
      </c>
      <c r="X495" s="30" t="inlineStr">
        <is>
          <t>Sunil CR</t>
        </is>
      </c>
      <c r="Y495" s="30" t="inlineStr">
        <is>
          <t>Yes</t>
        </is>
      </c>
      <c r="Z495" s="30" t="n"/>
      <c r="AA495" s="30" t="inlineStr">
        <is>
          <t>Good finish</t>
        </is>
      </c>
      <c r="AB495" s="30" t="inlineStr">
        <is>
          <t>Yes</t>
        </is>
      </c>
      <c r="AC495" s="27" t="n"/>
      <c r="AD495" s="31" t="inlineStr">
        <is>
          <t>No</t>
        </is>
      </c>
      <c r="AE495" s="32">
        <f>IF(W495="","",IF(Z495="Yes","❌ Disc",IF(Y495="No","⚠ Missing",IF(AB495="Yes","✓ OK","⚠ Check"))))</f>
        <v/>
      </c>
      <c r="AF495" s="33" t="n"/>
      <c r="AG495" s="33" t="n"/>
      <c r="AH495" s="33" t="n"/>
      <c r="AI495" s="33" t="n"/>
      <c r="AJ495" s="33" t="n"/>
      <c r="AK495" s="33" t="n"/>
      <c r="AL495" s="27" t="n"/>
      <c r="AM495" s="34" t="n"/>
      <c r="AN495" s="35">
        <f>IF(AF495="","",IF(AI495="Yes","❌ Disc",IF(AH495="No","⚠ Missing",IF(AK495="Yes","✓ OK","⚠ Check"))))</f>
        <v/>
      </c>
      <c r="AO495" s="36" t="n"/>
      <c r="AP495" s="36" t="n"/>
      <c r="AQ495" s="36" t="n"/>
      <c r="AR495" s="36" t="n"/>
      <c r="AS495" s="36" t="n"/>
      <c r="AT495" s="36" t="n"/>
      <c r="AU495" s="27" t="n"/>
      <c r="AV495" s="37" t="n"/>
      <c r="AW495" s="38">
        <f>IF(AO495="","",IF(AR495="Yes","❌ Disc",IF(AQ495="No","⚠ Missing",IF(AT495="Yes","✓ OK","⚠ Check"))))</f>
        <v/>
      </c>
    </row>
    <row r="496" ht="18" customHeight="1" s="46">
      <c r="A496" s="39" t="n">
        <v>492</v>
      </c>
      <c r="B496" s="40" t="inlineStr">
        <is>
          <t>BD-VRM-2023-4776</t>
        </is>
      </c>
      <c r="C496" s="41" t="inlineStr">
        <is>
          <t>Bonito Wall Decor - Beautiful Flying Animals Kids Room Wallpaper 600512 - Canvas paper</t>
        </is>
      </c>
      <c r="D496" s="39" t="inlineStr">
        <is>
          <t>Life n Colors</t>
        </is>
      </c>
      <c r="E496" s="43" t="n">
        <v>46126</v>
      </c>
      <c r="F496" s="26" t="inlineStr">
        <is>
          <t>Sunil CR</t>
        </is>
      </c>
      <c r="G496" s="26" t="inlineStr">
        <is>
          <t>Yes</t>
        </is>
      </c>
      <c r="H496" s="26" t="inlineStr">
        <is>
          <t>No</t>
        </is>
      </c>
      <c r="I496" s="26" t="inlineStr">
        <is>
          <t>Good finish</t>
        </is>
      </c>
      <c r="J496" s="26" t="inlineStr">
        <is>
          <t>Yes</t>
        </is>
      </c>
      <c r="K496" s="27" t="n"/>
      <c r="L496" s="28" t="inlineStr">
        <is>
          <t>No</t>
        </is>
      </c>
      <c r="M496" s="29">
        <f>IF(E496="","",IF(H496="Yes","❌ Disc",IF(G496="No","⚠ Missing",IF(J496="Yes","✓ OK","⚠ Check"))))</f>
        <v/>
      </c>
      <c r="N496" s="43" t="n">
        <v>46193</v>
      </c>
      <c r="O496" s="26" t="inlineStr">
        <is>
          <t>Sunil CR</t>
        </is>
      </c>
      <c r="P496" s="26" t="inlineStr">
        <is>
          <t>Yes</t>
        </is>
      </c>
      <c r="Q496" s="26" t="inlineStr">
        <is>
          <t>No</t>
        </is>
      </c>
      <c r="R496" s="26" t="inlineStr">
        <is>
          <t>Good finish</t>
        </is>
      </c>
      <c r="S496" s="26" t="inlineStr">
        <is>
          <t>Yes</t>
        </is>
      </c>
      <c r="T496" s="27" t="n"/>
      <c r="U496" s="28" t="inlineStr">
        <is>
          <t>No</t>
        </is>
      </c>
      <c r="V496" s="29">
        <f>IF(N496="","",IF(Q496="Yes","❌ Disc",IF(P496="No","⚠ Missing",IF(S496="Yes","✓ OK","⚠ Check"))))</f>
        <v/>
      </c>
      <c r="W496" s="65" t="n">
        <v>46248</v>
      </c>
      <c r="X496" s="30" t="inlineStr">
        <is>
          <t>Sunil CR</t>
        </is>
      </c>
      <c r="Y496" s="30" t="inlineStr">
        <is>
          <t>Yes</t>
        </is>
      </c>
      <c r="Z496" s="30" t="n"/>
      <c r="AA496" s="30" t="inlineStr">
        <is>
          <t>Good finish</t>
        </is>
      </c>
      <c r="AB496" s="30" t="inlineStr">
        <is>
          <t>Yes</t>
        </is>
      </c>
      <c r="AC496" s="27" t="n"/>
      <c r="AD496" s="31" t="inlineStr">
        <is>
          <t>No</t>
        </is>
      </c>
      <c r="AE496" s="32">
        <f>IF(W496="","",IF(Z496="Yes","❌ Disc",IF(Y496="No","⚠ Missing",IF(AB496="Yes","✓ OK","⚠ Check"))))</f>
        <v/>
      </c>
      <c r="AF496" s="33" t="n"/>
      <c r="AG496" s="33" t="n"/>
      <c r="AH496" s="33" t="n"/>
      <c r="AI496" s="33" t="n"/>
      <c r="AJ496" s="33" t="n"/>
      <c r="AK496" s="33" t="n"/>
      <c r="AL496" s="27" t="n"/>
      <c r="AM496" s="34" t="n"/>
      <c r="AN496" s="35">
        <f>IF(AF496="","",IF(AI496="Yes","❌ Disc",IF(AH496="No","⚠ Missing",IF(AK496="Yes","✓ OK","⚠ Check"))))</f>
        <v/>
      </c>
      <c r="AO496" s="36" t="n"/>
      <c r="AP496" s="36" t="n"/>
      <c r="AQ496" s="36" t="n"/>
      <c r="AR496" s="36" t="n"/>
      <c r="AS496" s="36" t="n"/>
      <c r="AT496" s="36" t="n"/>
      <c r="AU496" s="27" t="n"/>
      <c r="AV496" s="37" t="n"/>
      <c r="AW496" s="38">
        <f>IF(AO496="","",IF(AR496="Yes","❌ Disc",IF(AQ496="No","⚠ Missing",IF(AT496="Yes","✓ OK","⚠ Check"))))</f>
        <v/>
      </c>
    </row>
    <row r="497" ht="18" customHeight="1" s="46">
      <c r="A497" s="23" t="n">
        <v>493</v>
      </c>
      <c r="B497" s="24" t="inlineStr">
        <is>
          <t>BD-VRM-2024-0521</t>
        </is>
      </c>
      <c r="C497" s="25" t="inlineStr">
        <is>
          <t>Bonito Wall Decor - Big Floral Wallpaper For Rooms Blossoms In Twilight (Canvas Paper - 603612)</t>
        </is>
      </c>
      <c r="D497" s="23" t="inlineStr">
        <is>
          <t>Life n Colors</t>
        </is>
      </c>
      <c r="E497" s="43" t="n">
        <v>46126</v>
      </c>
      <c r="F497" s="26" t="inlineStr">
        <is>
          <t>Sunil CR</t>
        </is>
      </c>
      <c r="G497" s="26" t="inlineStr">
        <is>
          <t>Yes</t>
        </is>
      </c>
      <c r="H497" s="26" t="inlineStr">
        <is>
          <t>No</t>
        </is>
      </c>
      <c r="I497" s="26" t="inlineStr">
        <is>
          <t>Good finish</t>
        </is>
      </c>
      <c r="J497" s="26" t="inlineStr">
        <is>
          <t>Yes</t>
        </is>
      </c>
      <c r="K497" s="27" t="n"/>
      <c r="L497" s="28" t="inlineStr">
        <is>
          <t>No</t>
        </is>
      </c>
      <c r="M497" s="29">
        <f>IF(E497="","",IF(H497="Yes","❌ Disc",IF(G497="No","⚠ Missing",IF(J497="Yes","✓ OK","⚠ Check"))))</f>
        <v/>
      </c>
      <c r="N497" s="43" t="n">
        <v>46193</v>
      </c>
      <c r="O497" s="26" t="inlineStr">
        <is>
          <t>Sunil CR</t>
        </is>
      </c>
      <c r="P497" s="26" t="inlineStr">
        <is>
          <t>Yes</t>
        </is>
      </c>
      <c r="Q497" s="26" t="inlineStr">
        <is>
          <t>No</t>
        </is>
      </c>
      <c r="R497" s="26" t="inlineStr">
        <is>
          <t>Good finish</t>
        </is>
      </c>
      <c r="S497" s="26" t="inlineStr">
        <is>
          <t>Yes</t>
        </is>
      </c>
      <c r="T497" s="27" t="n"/>
      <c r="U497" s="28" t="inlineStr">
        <is>
          <t>No</t>
        </is>
      </c>
      <c r="V497" s="29">
        <f>IF(N497="","",IF(Q497="Yes","❌ Disc",IF(P497="No","⚠ Missing",IF(S497="Yes","✓ OK","⚠ Check"))))</f>
        <v/>
      </c>
      <c r="W497" s="65" t="n">
        <v>46248</v>
      </c>
      <c r="X497" s="30" t="inlineStr">
        <is>
          <t>Sunil CR</t>
        </is>
      </c>
      <c r="Y497" s="30" t="inlineStr">
        <is>
          <t>Yes</t>
        </is>
      </c>
      <c r="Z497" s="30" t="n"/>
      <c r="AA497" s="30" t="inlineStr">
        <is>
          <t>Good finish</t>
        </is>
      </c>
      <c r="AB497" s="30" t="inlineStr">
        <is>
          <t>Yes</t>
        </is>
      </c>
      <c r="AC497" s="27" t="n"/>
      <c r="AD497" s="31" t="inlineStr">
        <is>
          <t>No</t>
        </is>
      </c>
      <c r="AE497" s="32">
        <f>IF(W497="","",IF(Z497="Yes","❌ Disc",IF(Y497="No","⚠ Missing",IF(AB497="Yes","✓ OK","⚠ Check"))))</f>
        <v/>
      </c>
      <c r="AF497" s="33" t="n"/>
      <c r="AG497" s="33" t="n"/>
      <c r="AH497" s="33" t="n"/>
      <c r="AI497" s="33" t="n"/>
      <c r="AJ497" s="33" t="n"/>
      <c r="AK497" s="33" t="n"/>
      <c r="AL497" s="27" t="n"/>
      <c r="AM497" s="34" t="n"/>
      <c r="AN497" s="35">
        <f>IF(AF497="","",IF(AI497="Yes","❌ Disc",IF(AH497="No","⚠ Missing",IF(AK497="Yes","✓ OK","⚠ Check"))))</f>
        <v/>
      </c>
      <c r="AO497" s="36" t="n"/>
      <c r="AP497" s="36" t="n"/>
      <c r="AQ497" s="36" t="n"/>
      <c r="AR497" s="36" t="n"/>
      <c r="AS497" s="36" t="n"/>
      <c r="AT497" s="36" t="n"/>
      <c r="AU497" s="27" t="n"/>
      <c r="AV497" s="37" t="n"/>
      <c r="AW497" s="38">
        <f>IF(AO497="","",IF(AR497="Yes","❌ Disc",IF(AQ497="No","⚠ Missing",IF(AT497="Yes","✓ OK","⚠ Check"))))</f>
        <v/>
      </c>
    </row>
    <row r="498" ht="18" customHeight="1" s="46">
      <c r="A498" s="39" t="n">
        <v>494</v>
      </c>
      <c r="B498" s="40" t="inlineStr">
        <is>
          <t>BD-VRM-2024-0533</t>
        </is>
      </c>
      <c r="C498" s="41" t="inlineStr">
        <is>
          <t>Bonito Wall Decor - Big Floral Wallpaper For Rooms Blossoms In Twilight (Handmade Paper - 604222)</t>
        </is>
      </c>
      <c r="D498" s="39" t="inlineStr">
        <is>
          <t>Life n Colors</t>
        </is>
      </c>
      <c r="E498" s="43" t="n">
        <v>46126</v>
      </c>
      <c r="F498" s="26" t="inlineStr">
        <is>
          <t>Sunil CR</t>
        </is>
      </c>
      <c r="G498" s="26" t="inlineStr">
        <is>
          <t>Yes</t>
        </is>
      </c>
      <c r="H498" s="26" t="inlineStr">
        <is>
          <t>No</t>
        </is>
      </c>
      <c r="I498" s="26" t="inlineStr">
        <is>
          <t>Good finish</t>
        </is>
      </c>
      <c r="J498" s="26" t="inlineStr">
        <is>
          <t>Yes</t>
        </is>
      </c>
      <c r="K498" s="27" t="n"/>
      <c r="L498" s="28" t="inlineStr">
        <is>
          <t>No</t>
        </is>
      </c>
      <c r="M498" s="29">
        <f>IF(E498="","",IF(H498="Yes","❌ Disc",IF(G498="No","⚠ Missing",IF(J498="Yes","✓ OK","⚠ Check"))))</f>
        <v/>
      </c>
      <c r="N498" s="43" t="n">
        <v>46193</v>
      </c>
      <c r="O498" s="26" t="inlineStr">
        <is>
          <t>Sunil CR</t>
        </is>
      </c>
      <c r="P498" s="26" t="inlineStr">
        <is>
          <t>Yes</t>
        </is>
      </c>
      <c r="Q498" s="26" t="inlineStr">
        <is>
          <t>No</t>
        </is>
      </c>
      <c r="R498" s="26" t="inlineStr">
        <is>
          <t>Good finish</t>
        </is>
      </c>
      <c r="S498" s="26" t="inlineStr">
        <is>
          <t>Yes</t>
        </is>
      </c>
      <c r="T498" s="27" t="n"/>
      <c r="U498" s="28" t="inlineStr">
        <is>
          <t>No</t>
        </is>
      </c>
      <c r="V498" s="29">
        <f>IF(N498="","",IF(Q498="Yes","❌ Disc",IF(P498="No","⚠ Missing",IF(S498="Yes","✓ OK","⚠ Check"))))</f>
        <v/>
      </c>
      <c r="W498" s="65" t="n">
        <v>46248</v>
      </c>
      <c r="X498" s="30" t="inlineStr">
        <is>
          <t>Sunil CR</t>
        </is>
      </c>
      <c r="Y498" s="30" t="inlineStr">
        <is>
          <t>Yes</t>
        </is>
      </c>
      <c r="Z498" s="30" t="n"/>
      <c r="AA498" s="30" t="inlineStr">
        <is>
          <t>Good finish</t>
        </is>
      </c>
      <c r="AB498" s="30" t="inlineStr">
        <is>
          <t>Yes</t>
        </is>
      </c>
      <c r="AC498" s="27" t="n"/>
      <c r="AD498" s="31" t="inlineStr">
        <is>
          <t>No</t>
        </is>
      </c>
      <c r="AE498" s="32">
        <f>IF(W498="","",IF(Z498="Yes","❌ Disc",IF(Y498="No","⚠ Missing",IF(AB498="Yes","✓ OK","⚠ Check"))))</f>
        <v/>
      </c>
      <c r="AF498" s="33" t="n"/>
      <c r="AG498" s="33" t="n"/>
      <c r="AH498" s="33" t="n"/>
      <c r="AI498" s="33" t="n"/>
      <c r="AJ498" s="33" t="n"/>
      <c r="AK498" s="33" t="n"/>
      <c r="AL498" s="27" t="n"/>
      <c r="AM498" s="34" t="n"/>
      <c r="AN498" s="35">
        <f>IF(AF498="","",IF(AI498="Yes","❌ Disc",IF(AH498="No","⚠ Missing",IF(AK498="Yes","✓ OK","⚠ Check"))))</f>
        <v/>
      </c>
      <c r="AO498" s="36" t="n"/>
      <c r="AP498" s="36" t="n"/>
      <c r="AQ498" s="36" t="n"/>
      <c r="AR498" s="36" t="n"/>
      <c r="AS498" s="36" t="n"/>
      <c r="AT498" s="36" t="n"/>
      <c r="AU498" s="27" t="n"/>
      <c r="AV498" s="37" t="n"/>
      <c r="AW498" s="38">
        <f>IF(AO498="","",IF(AR498="Yes","❌ Disc",IF(AQ498="No","⚠ Missing",IF(AT498="Yes","✓ OK","⚠ Check"))))</f>
        <v/>
      </c>
    </row>
    <row r="499" ht="18" customHeight="1" s="46">
      <c r="A499" s="23" t="n">
        <v>495</v>
      </c>
      <c r="B499" s="24" t="inlineStr">
        <is>
          <t>BD-VRM-2023-4759</t>
        </is>
      </c>
      <c r="C499" s="25" t="inlineStr">
        <is>
          <t>Bonito Wall Decor - Black and White Abstract Pattern Wallpaper for Walls 600911 - Soft feel paper</t>
        </is>
      </c>
      <c r="D499" s="23" t="inlineStr">
        <is>
          <t>Life n Colors</t>
        </is>
      </c>
      <c r="E499" s="43" t="n">
        <v>46126</v>
      </c>
      <c r="F499" s="26" t="inlineStr">
        <is>
          <t>Sunil CR</t>
        </is>
      </c>
      <c r="G499" s="26" t="inlineStr">
        <is>
          <t>Yes</t>
        </is>
      </c>
      <c r="H499" s="26" t="inlineStr">
        <is>
          <t>No</t>
        </is>
      </c>
      <c r="I499" s="26" t="inlineStr">
        <is>
          <t>Good finish</t>
        </is>
      </c>
      <c r="J499" s="26" t="inlineStr">
        <is>
          <t>Yes</t>
        </is>
      </c>
      <c r="K499" s="27" t="n"/>
      <c r="L499" s="28" t="inlineStr">
        <is>
          <t>No</t>
        </is>
      </c>
      <c r="M499" s="29">
        <f>IF(E499="","",IF(H499="Yes","❌ Disc",IF(G499="No","⚠ Missing",IF(J499="Yes","✓ OK","⚠ Check"))))</f>
        <v/>
      </c>
      <c r="N499" s="43" t="n">
        <v>46193</v>
      </c>
      <c r="O499" s="26" t="inlineStr">
        <is>
          <t>Sunil CR</t>
        </is>
      </c>
      <c r="P499" s="26" t="inlineStr">
        <is>
          <t>Yes</t>
        </is>
      </c>
      <c r="Q499" s="26" t="inlineStr">
        <is>
          <t>No</t>
        </is>
      </c>
      <c r="R499" s="26" t="inlineStr">
        <is>
          <t>Good finish</t>
        </is>
      </c>
      <c r="S499" s="26" t="inlineStr">
        <is>
          <t>Yes</t>
        </is>
      </c>
      <c r="T499" s="27" t="n"/>
      <c r="U499" s="28" t="inlineStr">
        <is>
          <t>No</t>
        </is>
      </c>
      <c r="V499" s="29">
        <f>IF(N499="","",IF(Q499="Yes","❌ Disc",IF(P499="No","⚠ Missing",IF(S499="Yes","✓ OK","⚠ Check"))))</f>
        <v/>
      </c>
      <c r="W499" s="65" t="n">
        <v>46248</v>
      </c>
      <c r="X499" s="30" t="inlineStr">
        <is>
          <t>Sunil CR</t>
        </is>
      </c>
      <c r="Y499" s="30" t="inlineStr">
        <is>
          <t>Yes</t>
        </is>
      </c>
      <c r="Z499" s="30" t="n"/>
      <c r="AA499" s="30" t="inlineStr">
        <is>
          <t>Good finish</t>
        </is>
      </c>
      <c r="AB499" s="30" t="inlineStr">
        <is>
          <t>Yes</t>
        </is>
      </c>
      <c r="AC499" s="27" t="n"/>
      <c r="AD499" s="31" t="inlineStr">
        <is>
          <t>No</t>
        </is>
      </c>
      <c r="AE499" s="32">
        <f>IF(W499="","",IF(Z499="Yes","❌ Disc",IF(Y499="No","⚠ Missing",IF(AB499="Yes","✓ OK","⚠ Check"))))</f>
        <v/>
      </c>
      <c r="AF499" s="33" t="n"/>
      <c r="AG499" s="33" t="n"/>
      <c r="AH499" s="33" t="n"/>
      <c r="AI499" s="33" t="n"/>
      <c r="AJ499" s="33" t="n"/>
      <c r="AK499" s="33" t="n"/>
      <c r="AL499" s="27" t="n"/>
      <c r="AM499" s="34" t="n"/>
      <c r="AN499" s="35">
        <f>IF(AF499="","",IF(AI499="Yes","❌ Disc",IF(AH499="No","⚠ Missing",IF(AK499="Yes","✓ OK","⚠ Check"))))</f>
        <v/>
      </c>
      <c r="AO499" s="36" t="n"/>
      <c r="AP499" s="36" t="n"/>
      <c r="AQ499" s="36" t="n"/>
      <c r="AR499" s="36" t="n"/>
      <c r="AS499" s="36" t="n"/>
      <c r="AT499" s="36" t="n"/>
      <c r="AU499" s="27" t="n"/>
      <c r="AV499" s="37" t="n"/>
      <c r="AW499" s="38">
        <f>IF(AO499="","",IF(AR499="Yes","❌ Disc",IF(AQ499="No","⚠ Missing",IF(AT499="Yes","✓ OK","⚠ Check"))))</f>
        <v/>
      </c>
    </row>
    <row r="500" ht="18" customHeight="1" s="46">
      <c r="A500" s="39" t="n">
        <v>496</v>
      </c>
      <c r="B500" s="40" t="inlineStr">
        <is>
          <t>BD-VRM-2023-4784</t>
        </is>
      </c>
      <c r="C500" s="41" t="inlineStr">
        <is>
          <t>Bonito Wall Decor - Black and White Abstract Pattern Wallpaper for Walls 600912 - Canvas paper [BBP]</t>
        </is>
      </c>
      <c r="D500" s="39" t="inlineStr">
        <is>
          <t>Life n Colors</t>
        </is>
      </c>
      <c r="E500" s="43" t="n">
        <v>46126</v>
      </c>
      <c r="F500" s="26" t="inlineStr">
        <is>
          <t>Sunil CR</t>
        </is>
      </c>
      <c r="G500" s="26" t="inlineStr">
        <is>
          <t>Yes</t>
        </is>
      </c>
      <c r="H500" s="26" t="inlineStr">
        <is>
          <t>No</t>
        </is>
      </c>
      <c r="I500" s="26" t="inlineStr">
        <is>
          <t>Good finish</t>
        </is>
      </c>
      <c r="J500" s="26" t="inlineStr">
        <is>
          <t>Yes</t>
        </is>
      </c>
      <c r="K500" s="27" t="n"/>
      <c r="L500" s="28" t="inlineStr">
        <is>
          <t>No</t>
        </is>
      </c>
      <c r="M500" s="29">
        <f>IF(E500="","",IF(H500="Yes","❌ Disc",IF(G500="No","⚠ Missing",IF(J500="Yes","✓ OK","⚠ Check"))))</f>
        <v/>
      </c>
      <c r="N500" s="43" t="n">
        <v>46193</v>
      </c>
      <c r="O500" s="26" t="inlineStr">
        <is>
          <t>Sunil CR</t>
        </is>
      </c>
      <c r="P500" s="26" t="inlineStr">
        <is>
          <t>Yes</t>
        </is>
      </c>
      <c r="Q500" s="26" t="inlineStr">
        <is>
          <t>No</t>
        </is>
      </c>
      <c r="R500" s="26" t="inlineStr">
        <is>
          <t>Good finish</t>
        </is>
      </c>
      <c r="S500" s="26" t="inlineStr">
        <is>
          <t>Yes</t>
        </is>
      </c>
      <c r="T500" s="27" t="n"/>
      <c r="U500" s="28" t="inlineStr">
        <is>
          <t>No</t>
        </is>
      </c>
      <c r="V500" s="29">
        <f>IF(N500="","",IF(Q500="Yes","❌ Disc",IF(P500="No","⚠ Missing",IF(S500="Yes","✓ OK","⚠ Check"))))</f>
        <v/>
      </c>
      <c r="W500" s="65" t="n">
        <v>46248</v>
      </c>
      <c r="X500" s="30" t="inlineStr">
        <is>
          <t>Sunil CR</t>
        </is>
      </c>
      <c r="Y500" s="30" t="inlineStr">
        <is>
          <t>Yes</t>
        </is>
      </c>
      <c r="Z500" s="30" t="n"/>
      <c r="AA500" s="30" t="inlineStr">
        <is>
          <t>Good finish</t>
        </is>
      </c>
      <c r="AB500" s="30" t="inlineStr">
        <is>
          <t>Yes</t>
        </is>
      </c>
      <c r="AC500" s="27" t="n"/>
      <c r="AD500" s="31" t="inlineStr">
        <is>
          <t>No</t>
        </is>
      </c>
      <c r="AE500" s="32">
        <f>IF(W500="","",IF(Z500="Yes","❌ Disc",IF(Y500="No","⚠ Missing",IF(AB500="Yes","✓ OK","⚠ Check"))))</f>
        <v/>
      </c>
      <c r="AF500" s="33" t="n"/>
      <c r="AG500" s="33" t="n"/>
      <c r="AH500" s="33" t="n"/>
      <c r="AI500" s="33" t="n"/>
      <c r="AJ500" s="33" t="n"/>
      <c r="AK500" s="33" t="n"/>
      <c r="AL500" s="27" t="n"/>
      <c r="AM500" s="34" t="n"/>
      <c r="AN500" s="35">
        <f>IF(AF500="","",IF(AI500="Yes","❌ Disc",IF(AH500="No","⚠ Missing",IF(AK500="Yes","✓ OK","⚠ Check"))))</f>
        <v/>
      </c>
      <c r="AO500" s="36" t="n"/>
      <c r="AP500" s="36" t="n"/>
      <c r="AQ500" s="36" t="n"/>
      <c r="AR500" s="36" t="n"/>
      <c r="AS500" s="36" t="n"/>
      <c r="AT500" s="36" t="n"/>
      <c r="AU500" s="27" t="n"/>
      <c r="AV500" s="37" t="n"/>
      <c r="AW500" s="38">
        <f>IF(AO500="","",IF(AR500="Yes","❌ Disc",IF(AQ500="No","⚠ Missing",IF(AT500="Yes","✓ OK","⚠ Check"))))</f>
        <v/>
      </c>
    </row>
    <row r="501" ht="18" customHeight="1" s="46">
      <c r="A501" s="23" t="n">
        <v>497</v>
      </c>
      <c r="B501" s="24" t="inlineStr">
        <is>
          <t>BD-VRM-2023-4794</t>
        </is>
      </c>
      <c r="C501" s="25" t="inlineStr">
        <is>
          <t>Bonito Wall Decor - Blossom, Peach Chinoiserie Wallpaper 601411 - Premium Soft feel paper [BBP]</t>
        </is>
      </c>
      <c r="D501" s="23" t="inlineStr">
        <is>
          <t>Life n Colors</t>
        </is>
      </c>
      <c r="E501" s="43" t="n">
        <v>46126</v>
      </c>
      <c r="F501" s="26" t="inlineStr">
        <is>
          <t>Sunil CR</t>
        </is>
      </c>
      <c r="G501" s="26" t="inlineStr">
        <is>
          <t>Yes</t>
        </is>
      </c>
      <c r="H501" s="26" t="inlineStr">
        <is>
          <t>No</t>
        </is>
      </c>
      <c r="I501" s="26" t="inlineStr">
        <is>
          <t>Good finish</t>
        </is>
      </c>
      <c r="J501" s="26" t="inlineStr">
        <is>
          <t>Yes</t>
        </is>
      </c>
      <c r="K501" s="27" t="n"/>
      <c r="L501" s="28" t="inlineStr">
        <is>
          <t>No</t>
        </is>
      </c>
      <c r="M501" s="29">
        <f>IF(E501="","",IF(H501="Yes","❌ Disc",IF(G501="No","⚠ Missing",IF(J501="Yes","✓ OK","⚠ Check"))))</f>
        <v/>
      </c>
      <c r="N501" s="43" t="n">
        <v>46193</v>
      </c>
      <c r="O501" s="26" t="inlineStr">
        <is>
          <t>Sunil CR</t>
        </is>
      </c>
      <c r="P501" s="26" t="inlineStr">
        <is>
          <t>Yes</t>
        </is>
      </c>
      <c r="Q501" s="26" t="inlineStr">
        <is>
          <t>No</t>
        </is>
      </c>
      <c r="R501" s="26" t="inlineStr">
        <is>
          <t>Good finish</t>
        </is>
      </c>
      <c r="S501" s="26" t="inlineStr">
        <is>
          <t>Yes</t>
        </is>
      </c>
      <c r="T501" s="27" t="n"/>
      <c r="U501" s="28" t="inlineStr">
        <is>
          <t>No</t>
        </is>
      </c>
      <c r="V501" s="29">
        <f>IF(N501="","",IF(Q501="Yes","❌ Disc",IF(P501="No","⚠ Missing",IF(S501="Yes","✓ OK","⚠ Check"))))</f>
        <v/>
      </c>
      <c r="W501" s="65" t="n">
        <v>46248</v>
      </c>
      <c r="X501" s="30" t="inlineStr">
        <is>
          <t>Sunil CR</t>
        </is>
      </c>
      <c r="Y501" s="30" t="inlineStr">
        <is>
          <t>Yes</t>
        </is>
      </c>
      <c r="Z501" s="30" t="n"/>
      <c r="AA501" s="30" t="inlineStr">
        <is>
          <t>Good finish</t>
        </is>
      </c>
      <c r="AB501" s="30" t="inlineStr">
        <is>
          <t>Yes</t>
        </is>
      </c>
      <c r="AC501" s="27" t="n"/>
      <c r="AD501" s="31" t="inlineStr">
        <is>
          <t>No</t>
        </is>
      </c>
      <c r="AE501" s="32">
        <f>IF(W501="","",IF(Z501="Yes","❌ Disc",IF(Y501="No","⚠ Missing",IF(AB501="Yes","✓ OK","⚠ Check"))))</f>
        <v/>
      </c>
      <c r="AF501" s="33" t="n"/>
      <c r="AG501" s="33" t="n"/>
      <c r="AH501" s="33" t="n"/>
      <c r="AI501" s="33" t="n"/>
      <c r="AJ501" s="33" t="n"/>
      <c r="AK501" s="33" t="n"/>
      <c r="AL501" s="27" t="n"/>
      <c r="AM501" s="34" t="n"/>
      <c r="AN501" s="35">
        <f>IF(AF501="","",IF(AI501="Yes","❌ Disc",IF(AH501="No","⚠ Missing",IF(AK501="Yes","✓ OK","⚠ Check"))))</f>
        <v/>
      </c>
      <c r="AO501" s="36" t="n"/>
      <c r="AP501" s="36" t="n"/>
      <c r="AQ501" s="36" t="n"/>
      <c r="AR501" s="36" t="n"/>
      <c r="AS501" s="36" t="n"/>
      <c r="AT501" s="36" t="n"/>
      <c r="AU501" s="27" t="n"/>
      <c r="AV501" s="37" t="n"/>
      <c r="AW501" s="38">
        <f>IF(AO501="","",IF(AR501="Yes","❌ Disc",IF(AQ501="No","⚠ Missing",IF(AT501="Yes","✓ OK","⚠ Check"))))</f>
        <v/>
      </c>
    </row>
    <row r="502" ht="18" customHeight="1" s="46">
      <c r="A502" s="39" t="n">
        <v>498</v>
      </c>
      <c r="B502" s="40" t="inlineStr">
        <is>
          <t>BD-VRM-2023-4800</t>
        </is>
      </c>
      <c r="C502" s="41" t="inlineStr">
        <is>
          <t>Bonito Wall Decor - Blossom, Peach Chinoiserie Wallpaper 601412 - Premium Canvas paper</t>
        </is>
      </c>
      <c r="D502" s="39" t="inlineStr">
        <is>
          <t>Life n Colors</t>
        </is>
      </c>
      <c r="E502" s="43" t="n">
        <v>46126</v>
      </c>
      <c r="F502" s="26" t="inlineStr">
        <is>
          <t>Sunil CR</t>
        </is>
      </c>
      <c r="G502" s="26" t="inlineStr">
        <is>
          <t>Yes</t>
        </is>
      </c>
      <c r="H502" s="26" t="inlineStr">
        <is>
          <t>No</t>
        </is>
      </c>
      <c r="I502" s="26" t="inlineStr">
        <is>
          <t>Good finish</t>
        </is>
      </c>
      <c r="J502" s="26" t="inlineStr">
        <is>
          <t>Yes</t>
        </is>
      </c>
      <c r="K502" s="27" t="n"/>
      <c r="L502" s="28" t="inlineStr">
        <is>
          <t>No</t>
        </is>
      </c>
      <c r="M502" s="29">
        <f>IF(E502="","",IF(H502="Yes","❌ Disc",IF(G502="No","⚠ Missing",IF(J502="Yes","✓ OK","⚠ Check"))))</f>
        <v/>
      </c>
      <c r="N502" s="43" t="n">
        <v>46193</v>
      </c>
      <c r="O502" s="26" t="inlineStr">
        <is>
          <t>Sunil CR</t>
        </is>
      </c>
      <c r="P502" s="26" t="inlineStr">
        <is>
          <t>Yes</t>
        </is>
      </c>
      <c r="Q502" s="26" t="inlineStr">
        <is>
          <t>No</t>
        </is>
      </c>
      <c r="R502" s="26" t="inlineStr">
        <is>
          <t>Good finish</t>
        </is>
      </c>
      <c r="S502" s="26" t="inlineStr">
        <is>
          <t>Yes</t>
        </is>
      </c>
      <c r="T502" s="27" t="n"/>
      <c r="U502" s="28" t="inlineStr">
        <is>
          <t>No</t>
        </is>
      </c>
      <c r="V502" s="29">
        <f>IF(N502="","",IF(Q502="Yes","❌ Disc",IF(P502="No","⚠ Missing",IF(S502="Yes","✓ OK","⚠ Check"))))</f>
        <v/>
      </c>
      <c r="W502" s="65" t="n">
        <v>46248</v>
      </c>
      <c r="X502" s="30" t="inlineStr">
        <is>
          <t>Sunil CR</t>
        </is>
      </c>
      <c r="Y502" s="30" t="inlineStr">
        <is>
          <t>Yes</t>
        </is>
      </c>
      <c r="Z502" s="30" t="n"/>
      <c r="AA502" s="30" t="inlineStr">
        <is>
          <t>Good finish</t>
        </is>
      </c>
      <c r="AB502" s="30" t="inlineStr">
        <is>
          <t>Yes</t>
        </is>
      </c>
      <c r="AC502" s="27" t="n"/>
      <c r="AD502" s="31" t="inlineStr">
        <is>
          <t>No</t>
        </is>
      </c>
      <c r="AE502" s="32">
        <f>IF(W502="","",IF(Z502="Yes","❌ Disc",IF(Y502="No","⚠ Missing",IF(AB502="Yes","✓ OK","⚠ Check"))))</f>
        <v/>
      </c>
      <c r="AF502" s="33" t="n"/>
      <c r="AG502" s="33" t="n"/>
      <c r="AH502" s="33" t="n"/>
      <c r="AI502" s="33" t="n"/>
      <c r="AJ502" s="33" t="n"/>
      <c r="AK502" s="33" t="n"/>
      <c r="AL502" s="27" t="n"/>
      <c r="AM502" s="34" t="n"/>
      <c r="AN502" s="35">
        <f>IF(AF502="","",IF(AI502="Yes","❌ Disc",IF(AH502="No","⚠ Missing",IF(AK502="Yes","✓ OK","⚠ Check"))))</f>
        <v/>
      </c>
      <c r="AO502" s="36" t="n"/>
      <c r="AP502" s="36" t="n"/>
      <c r="AQ502" s="36" t="n"/>
      <c r="AR502" s="36" t="n"/>
      <c r="AS502" s="36" t="n"/>
      <c r="AT502" s="36" t="n"/>
      <c r="AU502" s="27" t="n"/>
      <c r="AV502" s="37" t="n"/>
      <c r="AW502" s="38">
        <f>IF(AO502="","",IF(AR502="Yes","❌ Disc",IF(AQ502="No","⚠ Missing",IF(AT502="Yes","✓ OK","⚠ Check"))))</f>
        <v/>
      </c>
    </row>
    <row r="503" ht="18" customHeight="1" s="46">
      <c r="A503" s="23" t="n">
        <v>499</v>
      </c>
      <c r="B503" s="24" t="inlineStr">
        <is>
          <t>BD-VRM-2024-0520</t>
        </is>
      </c>
      <c r="C503" s="25" t="inlineStr">
        <is>
          <t>Bonito Wall Decor - Britannia Oasis European Room Wallpaper Golden Hues (Canvas Paper - 603522)</t>
        </is>
      </c>
      <c r="D503" s="23" t="inlineStr">
        <is>
          <t>Life n Colors</t>
        </is>
      </c>
      <c r="E503" s="43" t="n">
        <v>46126</v>
      </c>
      <c r="F503" s="26" t="inlineStr">
        <is>
          <t>Sunil CR</t>
        </is>
      </c>
      <c r="G503" s="26" t="inlineStr">
        <is>
          <t>Yes</t>
        </is>
      </c>
      <c r="H503" s="26" t="inlineStr">
        <is>
          <t>No</t>
        </is>
      </c>
      <c r="I503" s="26" t="inlineStr">
        <is>
          <t>Good finish</t>
        </is>
      </c>
      <c r="J503" s="26" t="inlineStr">
        <is>
          <t>Yes</t>
        </is>
      </c>
      <c r="K503" s="27" t="n"/>
      <c r="L503" s="28" t="inlineStr">
        <is>
          <t>No</t>
        </is>
      </c>
      <c r="M503" s="29">
        <f>IF(E503="","",IF(H503="Yes","❌ Disc",IF(G503="No","⚠ Missing",IF(J503="Yes","✓ OK","⚠ Check"))))</f>
        <v/>
      </c>
      <c r="N503" s="43" t="n">
        <v>46193</v>
      </c>
      <c r="O503" s="26" t="inlineStr">
        <is>
          <t>Sunil CR</t>
        </is>
      </c>
      <c r="P503" s="26" t="inlineStr">
        <is>
          <t>Yes</t>
        </is>
      </c>
      <c r="Q503" s="26" t="inlineStr">
        <is>
          <t>No</t>
        </is>
      </c>
      <c r="R503" s="26" t="inlineStr">
        <is>
          <t>Good finish</t>
        </is>
      </c>
      <c r="S503" s="26" t="inlineStr">
        <is>
          <t>Yes</t>
        </is>
      </c>
      <c r="T503" s="27" t="n"/>
      <c r="U503" s="28" t="inlineStr">
        <is>
          <t>No</t>
        </is>
      </c>
      <c r="V503" s="29">
        <f>IF(N503="","",IF(Q503="Yes","❌ Disc",IF(P503="No","⚠ Missing",IF(S503="Yes","✓ OK","⚠ Check"))))</f>
        <v/>
      </c>
      <c r="W503" s="65" t="n">
        <v>46248</v>
      </c>
      <c r="X503" s="30" t="inlineStr">
        <is>
          <t>Sunil CR</t>
        </is>
      </c>
      <c r="Y503" s="30" t="inlineStr">
        <is>
          <t>Yes</t>
        </is>
      </c>
      <c r="Z503" s="30" t="n"/>
      <c r="AA503" s="30" t="inlineStr">
        <is>
          <t>Good finish</t>
        </is>
      </c>
      <c r="AB503" s="30" t="inlineStr">
        <is>
          <t>Yes</t>
        </is>
      </c>
      <c r="AC503" s="27" t="n"/>
      <c r="AD503" s="31" t="inlineStr">
        <is>
          <t>No</t>
        </is>
      </c>
      <c r="AE503" s="32">
        <f>IF(W503="","",IF(Z503="Yes","❌ Disc",IF(Y503="No","⚠ Missing",IF(AB503="Yes","✓ OK","⚠ Check"))))</f>
        <v/>
      </c>
      <c r="AF503" s="33" t="n"/>
      <c r="AG503" s="33" t="n"/>
      <c r="AH503" s="33" t="n"/>
      <c r="AI503" s="33" t="n"/>
      <c r="AJ503" s="33" t="n"/>
      <c r="AK503" s="33" t="n"/>
      <c r="AL503" s="27" t="n"/>
      <c r="AM503" s="34" t="n"/>
      <c r="AN503" s="35">
        <f>IF(AF503="","",IF(AI503="Yes","❌ Disc",IF(AH503="No","⚠ Missing",IF(AK503="Yes","✓ OK","⚠ Check"))))</f>
        <v/>
      </c>
      <c r="AO503" s="36" t="n"/>
      <c r="AP503" s="36" t="n"/>
      <c r="AQ503" s="36" t="n"/>
      <c r="AR503" s="36" t="n"/>
      <c r="AS503" s="36" t="n"/>
      <c r="AT503" s="36" t="n"/>
      <c r="AU503" s="27" t="n"/>
      <c r="AV503" s="37" t="n"/>
      <c r="AW503" s="38">
        <f>IF(AO503="","",IF(AR503="Yes","❌ Disc",IF(AQ503="No","⚠ Missing",IF(AT503="Yes","✓ OK","⚠ Check"))))</f>
        <v/>
      </c>
    </row>
    <row r="504" ht="18" customHeight="1" s="46">
      <c r="A504" s="39" t="n">
        <v>500</v>
      </c>
      <c r="B504" s="40" t="inlineStr">
        <is>
          <t>BD-VRM-2023-4754</t>
        </is>
      </c>
      <c r="C504" s="41" t="inlineStr">
        <is>
          <t>Bonito Wall Decor - Chinoiserie Floral Theme Wallpaper for Walls 600621 - Soft feel paper [BBP]</t>
        </is>
      </c>
      <c r="D504" s="39" t="inlineStr">
        <is>
          <t>Life n Colors</t>
        </is>
      </c>
      <c r="E504" s="43" t="n">
        <v>46126</v>
      </c>
      <c r="F504" s="26" t="inlineStr">
        <is>
          <t>Sunil CR</t>
        </is>
      </c>
      <c r="G504" s="26" t="inlineStr">
        <is>
          <t>Yes</t>
        </is>
      </c>
      <c r="H504" s="26" t="inlineStr">
        <is>
          <t>No</t>
        </is>
      </c>
      <c r="I504" s="26" t="inlineStr">
        <is>
          <t>Good finish</t>
        </is>
      </c>
      <c r="J504" s="26" t="inlineStr">
        <is>
          <t>Yes</t>
        </is>
      </c>
      <c r="K504" s="27" t="n"/>
      <c r="L504" s="28" t="inlineStr">
        <is>
          <t>No</t>
        </is>
      </c>
      <c r="M504" s="29">
        <f>IF(E504="","",IF(H504="Yes","❌ Disc",IF(G504="No","⚠ Missing",IF(J504="Yes","✓ OK","⚠ Check"))))</f>
        <v/>
      </c>
      <c r="N504" s="43" t="n">
        <v>46193</v>
      </c>
      <c r="O504" s="26" t="inlineStr">
        <is>
          <t>Sunil CR</t>
        </is>
      </c>
      <c r="P504" s="26" t="inlineStr">
        <is>
          <t>Yes</t>
        </is>
      </c>
      <c r="Q504" s="26" t="inlineStr">
        <is>
          <t>No</t>
        </is>
      </c>
      <c r="R504" s="26" t="inlineStr">
        <is>
          <t>Good finish</t>
        </is>
      </c>
      <c r="S504" s="26" t="inlineStr">
        <is>
          <t>Yes</t>
        </is>
      </c>
      <c r="T504" s="27" t="n"/>
      <c r="U504" s="28" t="inlineStr">
        <is>
          <t>No</t>
        </is>
      </c>
      <c r="V504" s="29">
        <f>IF(N504="","",IF(Q504="Yes","❌ Disc",IF(P504="No","⚠ Missing",IF(S504="Yes","✓ OK","⚠ Check"))))</f>
        <v/>
      </c>
      <c r="W504" s="65" t="n">
        <v>46248</v>
      </c>
      <c r="X504" s="30" t="inlineStr">
        <is>
          <t>Sunil CR</t>
        </is>
      </c>
      <c r="Y504" s="30" t="inlineStr">
        <is>
          <t>Yes</t>
        </is>
      </c>
      <c r="Z504" s="30" t="n"/>
      <c r="AA504" s="30" t="inlineStr">
        <is>
          <t>Good finish</t>
        </is>
      </c>
      <c r="AB504" s="30" t="inlineStr">
        <is>
          <t>Yes</t>
        </is>
      </c>
      <c r="AC504" s="27" t="n"/>
      <c r="AD504" s="31" t="inlineStr">
        <is>
          <t>No</t>
        </is>
      </c>
      <c r="AE504" s="32">
        <f>IF(W504="","",IF(Z504="Yes","❌ Disc",IF(Y504="No","⚠ Missing",IF(AB504="Yes","✓ OK","⚠ Check"))))</f>
        <v/>
      </c>
      <c r="AF504" s="33" t="n"/>
      <c r="AG504" s="33" t="n"/>
      <c r="AH504" s="33" t="n"/>
      <c r="AI504" s="33" t="n"/>
      <c r="AJ504" s="33" t="n"/>
      <c r="AK504" s="33" t="n"/>
      <c r="AL504" s="27" t="n"/>
      <c r="AM504" s="34" t="n"/>
      <c r="AN504" s="35">
        <f>IF(AF504="","",IF(AI504="Yes","❌ Disc",IF(AH504="No","⚠ Missing",IF(AK504="Yes","✓ OK","⚠ Check"))))</f>
        <v/>
      </c>
      <c r="AO504" s="36" t="n"/>
      <c r="AP504" s="36" t="n"/>
      <c r="AQ504" s="36" t="n"/>
      <c r="AR504" s="36" t="n"/>
      <c r="AS504" s="36" t="n"/>
      <c r="AT504" s="36" t="n"/>
      <c r="AU504" s="27" t="n"/>
      <c r="AV504" s="37" t="n"/>
      <c r="AW504" s="38">
        <f>IF(AO504="","",IF(AR504="Yes","❌ Disc",IF(AQ504="No","⚠ Missing",IF(AT504="Yes","✓ OK","⚠ Check"))))</f>
        <v/>
      </c>
    </row>
    <row r="505" ht="18" customHeight="1" s="46">
      <c r="A505" s="23" t="n">
        <v>501</v>
      </c>
      <c r="B505" s="24" t="inlineStr">
        <is>
          <t>BD-VRM-2023-4779</t>
        </is>
      </c>
      <c r="C505" s="25" t="inlineStr">
        <is>
          <t>Bonito Wall Decor - Chinoiserie Floral Theme Wallpaper for Walls 600622 - Canvas paper</t>
        </is>
      </c>
      <c r="D505" s="23" t="inlineStr">
        <is>
          <t>Life n Colors</t>
        </is>
      </c>
      <c r="E505" s="43" t="n">
        <v>46126</v>
      </c>
      <c r="F505" s="26" t="inlineStr">
        <is>
          <t>Sunil CR</t>
        </is>
      </c>
      <c r="G505" s="26" t="inlineStr">
        <is>
          <t>Yes</t>
        </is>
      </c>
      <c r="H505" s="26" t="inlineStr">
        <is>
          <t>No</t>
        </is>
      </c>
      <c r="I505" s="26" t="inlineStr">
        <is>
          <t>Good finish</t>
        </is>
      </c>
      <c r="J505" s="26" t="inlineStr">
        <is>
          <t>Yes</t>
        </is>
      </c>
      <c r="K505" s="27" t="n"/>
      <c r="L505" s="28" t="inlineStr">
        <is>
          <t>No</t>
        </is>
      </c>
      <c r="M505" s="29">
        <f>IF(E505="","",IF(H505="Yes","❌ Disc",IF(G505="No","⚠ Missing",IF(J505="Yes","✓ OK","⚠ Check"))))</f>
        <v/>
      </c>
      <c r="N505" s="43" t="n">
        <v>46193</v>
      </c>
      <c r="O505" s="26" t="inlineStr">
        <is>
          <t>Sunil CR</t>
        </is>
      </c>
      <c r="P505" s="26" t="inlineStr">
        <is>
          <t>Yes</t>
        </is>
      </c>
      <c r="Q505" s="26" t="inlineStr">
        <is>
          <t>No</t>
        </is>
      </c>
      <c r="R505" s="26" t="inlineStr">
        <is>
          <t>Good finish</t>
        </is>
      </c>
      <c r="S505" s="26" t="inlineStr">
        <is>
          <t>Yes</t>
        </is>
      </c>
      <c r="T505" s="27" t="n"/>
      <c r="U505" s="28" t="inlineStr">
        <is>
          <t>No</t>
        </is>
      </c>
      <c r="V505" s="29">
        <f>IF(N505="","",IF(Q505="Yes","❌ Disc",IF(P505="No","⚠ Missing",IF(S505="Yes","✓ OK","⚠ Check"))))</f>
        <v/>
      </c>
      <c r="W505" s="65" t="n">
        <v>46248</v>
      </c>
      <c r="X505" s="30" t="inlineStr">
        <is>
          <t>Sunil CR</t>
        </is>
      </c>
      <c r="Y505" s="30" t="inlineStr">
        <is>
          <t>Yes</t>
        </is>
      </c>
      <c r="Z505" s="30" t="n"/>
      <c r="AA505" s="30" t="inlineStr">
        <is>
          <t>Good finish</t>
        </is>
      </c>
      <c r="AB505" s="30" t="inlineStr">
        <is>
          <t>Yes</t>
        </is>
      </c>
      <c r="AC505" s="27" t="n"/>
      <c r="AD505" s="31" t="inlineStr">
        <is>
          <t>No</t>
        </is>
      </c>
      <c r="AE505" s="32">
        <f>IF(W505="","",IF(Z505="Yes","❌ Disc",IF(Y505="No","⚠ Missing",IF(AB505="Yes","✓ OK","⚠ Check"))))</f>
        <v/>
      </c>
      <c r="AF505" s="33" t="n"/>
      <c r="AG505" s="33" t="n"/>
      <c r="AH505" s="33" t="n"/>
      <c r="AI505" s="33" t="n"/>
      <c r="AJ505" s="33" t="n"/>
      <c r="AK505" s="33" t="n"/>
      <c r="AL505" s="27" t="n"/>
      <c r="AM505" s="34" t="n"/>
      <c r="AN505" s="35">
        <f>IF(AF505="","",IF(AI505="Yes","❌ Disc",IF(AH505="No","⚠ Missing",IF(AK505="Yes","✓ OK","⚠ Check"))))</f>
        <v/>
      </c>
      <c r="AO505" s="36" t="n"/>
      <c r="AP505" s="36" t="n"/>
      <c r="AQ505" s="36" t="n"/>
      <c r="AR505" s="36" t="n"/>
      <c r="AS505" s="36" t="n"/>
      <c r="AT505" s="36" t="n"/>
      <c r="AU505" s="27" t="n"/>
      <c r="AV505" s="37" t="n"/>
      <c r="AW505" s="38">
        <f>IF(AO505="","",IF(AR505="Yes","❌ Disc",IF(AQ505="No","⚠ Missing",IF(AT505="Yes","✓ OK","⚠ Check"))))</f>
        <v/>
      </c>
    </row>
    <row r="506" ht="18" customHeight="1" s="46">
      <c r="A506" s="39" t="n">
        <v>502</v>
      </c>
      <c r="B506" s="40" t="inlineStr">
        <is>
          <t>BD-VRM-2024-0517</t>
        </is>
      </c>
      <c r="C506" s="41" t="inlineStr">
        <is>
          <t>Bonito Wall Decor - Chinoiserie Whispers Artful Wall Mural Customised (Canvas Paper - 603412)</t>
        </is>
      </c>
      <c r="D506" s="39" t="inlineStr">
        <is>
          <t>Life n Colors</t>
        </is>
      </c>
      <c r="E506" s="43" t="n">
        <v>46126</v>
      </c>
      <c r="F506" s="26" t="inlineStr">
        <is>
          <t>Sunil CR</t>
        </is>
      </c>
      <c r="G506" s="26" t="inlineStr">
        <is>
          <t>Yes</t>
        </is>
      </c>
      <c r="H506" s="26" t="inlineStr">
        <is>
          <t>No</t>
        </is>
      </c>
      <c r="I506" s="26" t="inlineStr">
        <is>
          <t>Good finish</t>
        </is>
      </c>
      <c r="J506" s="26" t="inlineStr">
        <is>
          <t>Yes</t>
        </is>
      </c>
      <c r="K506" s="27" t="n"/>
      <c r="L506" s="28" t="inlineStr">
        <is>
          <t>No</t>
        </is>
      </c>
      <c r="M506" s="29">
        <f>IF(E506="","",IF(H506="Yes","❌ Disc",IF(G506="No","⚠ Missing",IF(J506="Yes","✓ OK","⚠ Check"))))</f>
        <v/>
      </c>
      <c r="N506" s="43" t="n">
        <v>46193</v>
      </c>
      <c r="O506" s="26" t="inlineStr">
        <is>
          <t>Sunil CR</t>
        </is>
      </c>
      <c r="P506" s="26" t="inlineStr">
        <is>
          <t>Yes</t>
        </is>
      </c>
      <c r="Q506" s="26" t="inlineStr">
        <is>
          <t>No</t>
        </is>
      </c>
      <c r="R506" s="26" t="inlineStr">
        <is>
          <t>Good finish</t>
        </is>
      </c>
      <c r="S506" s="26" t="inlineStr">
        <is>
          <t>Yes</t>
        </is>
      </c>
      <c r="T506" s="27" t="n"/>
      <c r="U506" s="28" t="inlineStr">
        <is>
          <t>No</t>
        </is>
      </c>
      <c r="V506" s="29">
        <f>IF(N506="","",IF(Q506="Yes","❌ Disc",IF(P506="No","⚠ Missing",IF(S506="Yes","✓ OK","⚠ Check"))))</f>
        <v/>
      </c>
      <c r="W506" s="65" t="n">
        <v>46248</v>
      </c>
      <c r="X506" s="30" t="inlineStr">
        <is>
          <t>Sunil CR</t>
        </is>
      </c>
      <c r="Y506" s="30" t="inlineStr">
        <is>
          <t>Yes</t>
        </is>
      </c>
      <c r="Z506" s="30" t="n"/>
      <c r="AA506" s="30" t="inlineStr">
        <is>
          <t>Good finish</t>
        </is>
      </c>
      <c r="AB506" s="30" t="inlineStr">
        <is>
          <t>Yes</t>
        </is>
      </c>
      <c r="AC506" s="27" t="n"/>
      <c r="AD506" s="31" t="inlineStr">
        <is>
          <t>No</t>
        </is>
      </c>
      <c r="AE506" s="32">
        <f>IF(W506="","",IF(Z506="Yes","❌ Disc",IF(Y506="No","⚠ Missing",IF(AB506="Yes","✓ OK","⚠ Check"))))</f>
        <v/>
      </c>
      <c r="AF506" s="33" t="n"/>
      <c r="AG506" s="33" t="n"/>
      <c r="AH506" s="33" t="n"/>
      <c r="AI506" s="33" t="n"/>
      <c r="AJ506" s="33" t="n"/>
      <c r="AK506" s="33" t="n"/>
      <c r="AL506" s="27" t="n"/>
      <c r="AM506" s="34" t="n"/>
      <c r="AN506" s="35">
        <f>IF(AF506="","",IF(AI506="Yes","❌ Disc",IF(AH506="No","⚠ Missing",IF(AK506="Yes","✓ OK","⚠ Check"))))</f>
        <v/>
      </c>
      <c r="AO506" s="36" t="n"/>
      <c r="AP506" s="36" t="n"/>
      <c r="AQ506" s="36" t="n"/>
      <c r="AR506" s="36" t="n"/>
      <c r="AS506" s="36" t="n"/>
      <c r="AT506" s="36" t="n"/>
      <c r="AU506" s="27" t="n"/>
      <c r="AV506" s="37" t="n"/>
      <c r="AW506" s="38">
        <f>IF(AO506="","",IF(AR506="Yes","❌ Disc",IF(AQ506="No","⚠ Missing",IF(AT506="Yes","✓ OK","⚠ Check"))))</f>
        <v/>
      </c>
    </row>
    <row r="507" ht="18" customHeight="1" s="46">
      <c r="A507" s="23" t="n">
        <v>503</v>
      </c>
      <c r="B507" s="24" t="inlineStr">
        <is>
          <t>BD-VRM-2024-0529</t>
        </is>
      </c>
      <c r="C507" s="25" t="inlineStr">
        <is>
          <t>Bonito Wall Decor - Chinoiserie Whispers Artful Wall Mural Customised (Handmade Paper - 604022)</t>
        </is>
      </c>
      <c r="D507" s="23" t="inlineStr">
        <is>
          <t>Life n Colors</t>
        </is>
      </c>
      <c r="E507" s="43" t="n">
        <v>46126</v>
      </c>
      <c r="F507" s="26" t="inlineStr">
        <is>
          <t>Sunil CR</t>
        </is>
      </c>
      <c r="G507" s="26" t="inlineStr">
        <is>
          <t>Yes</t>
        </is>
      </c>
      <c r="H507" s="26" t="inlineStr">
        <is>
          <t>No</t>
        </is>
      </c>
      <c r="I507" s="26" t="inlineStr">
        <is>
          <t>Good finish</t>
        </is>
      </c>
      <c r="J507" s="26" t="inlineStr">
        <is>
          <t>Yes</t>
        </is>
      </c>
      <c r="K507" s="27" t="n"/>
      <c r="L507" s="28" t="inlineStr">
        <is>
          <t>No</t>
        </is>
      </c>
      <c r="M507" s="29">
        <f>IF(E507="","",IF(H507="Yes","❌ Disc",IF(G507="No","⚠ Missing",IF(J507="Yes","✓ OK","⚠ Check"))))</f>
        <v/>
      </c>
      <c r="N507" s="43" t="n">
        <v>46193</v>
      </c>
      <c r="O507" s="26" t="inlineStr">
        <is>
          <t>Sunil CR</t>
        </is>
      </c>
      <c r="P507" s="26" t="inlineStr">
        <is>
          <t>Yes</t>
        </is>
      </c>
      <c r="Q507" s="26" t="inlineStr">
        <is>
          <t>No</t>
        </is>
      </c>
      <c r="R507" s="26" t="inlineStr">
        <is>
          <t>Good finish</t>
        </is>
      </c>
      <c r="S507" s="26" t="inlineStr">
        <is>
          <t>Yes</t>
        </is>
      </c>
      <c r="T507" s="27" t="n"/>
      <c r="U507" s="28" t="inlineStr">
        <is>
          <t>No</t>
        </is>
      </c>
      <c r="V507" s="29">
        <f>IF(N507="","",IF(Q507="Yes","❌ Disc",IF(P507="No","⚠ Missing",IF(S507="Yes","✓ OK","⚠ Check"))))</f>
        <v/>
      </c>
      <c r="W507" s="65" t="n">
        <v>46248</v>
      </c>
      <c r="X507" s="30" t="inlineStr">
        <is>
          <t>Sunil CR</t>
        </is>
      </c>
      <c r="Y507" s="30" t="inlineStr">
        <is>
          <t>Yes</t>
        </is>
      </c>
      <c r="Z507" s="30" t="n"/>
      <c r="AA507" s="30" t="inlineStr">
        <is>
          <t>Good finish</t>
        </is>
      </c>
      <c r="AB507" s="30" t="inlineStr">
        <is>
          <t>Yes</t>
        </is>
      </c>
      <c r="AC507" s="27" t="n"/>
      <c r="AD507" s="31" t="inlineStr">
        <is>
          <t>No</t>
        </is>
      </c>
      <c r="AE507" s="32">
        <f>IF(W507="","",IF(Z507="Yes","❌ Disc",IF(Y507="No","⚠ Missing",IF(AB507="Yes","✓ OK","⚠ Check"))))</f>
        <v/>
      </c>
      <c r="AF507" s="33" t="n"/>
      <c r="AG507" s="33" t="n"/>
      <c r="AH507" s="33" t="n"/>
      <c r="AI507" s="33" t="n"/>
      <c r="AJ507" s="33" t="n"/>
      <c r="AK507" s="33" t="n"/>
      <c r="AL507" s="27" t="n"/>
      <c r="AM507" s="34" t="n"/>
      <c r="AN507" s="35">
        <f>IF(AF507="","",IF(AI507="Yes","❌ Disc",IF(AH507="No","⚠ Missing",IF(AK507="Yes","✓ OK","⚠ Check"))))</f>
        <v/>
      </c>
      <c r="AO507" s="36" t="n"/>
      <c r="AP507" s="36" t="n"/>
      <c r="AQ507" s="36" t="n"/>
      <c r="AR507" s="36" t="n"/>
      <c r="AS507" s="36" t="n"/>
      <c r="AT507" s="36" t="n"/>
      <c r="AU507" s="27" t="n"/>
      <c r="AV507" s="37" t="n"/>
      <c r="AW507" s="38">
        <f>IF(AO507="","",IF(AR507="Yes","❌ Disc",IF(AQ507="No","⚠ Missing",IF(AT507="Yes","✓ OK","⚠ Check"))))</f>
        <v/>
      </c>
    </row>
    <row r="508" ht="18" customHeight="1" s="46">
      <c r="A508" s="39" t="n">
        <v>504</v>
      </c>
      <c r="B508" s="40" t="inlineStr">
        <is>
          <t>BD-VRM-2023-4748</t>
        </is>
      </c>
      <c r="C508" s="41" t="inlineStr">
        <is>
          <t>Bonito Wall Decor - Customised Space Theme Wallpaper for Kids Room, Planets, rockets, Astronauts 600321 - Soft feel paper</t>
        </is>
      </c>
      <c r="D508" s="39" t="inlineStr">
        <is>
          <t>Life n Colors</t>
        </is>
      </c>
      <c r="E508" s="43" t="n">
        <v>46126</v>
      </c>
      <c r="F508" s="26" t="inlineStr">
        <is>
          <t>Sunil CR</t>
        </is>
      </c>
      <c r="G508" s="26" t="inlineStr">
        <is>
          <t>Yes</t>
        </is>
      </c>
      <c r="H508" s="26" t="inlineStr">
        <is>
          <t>No</t>
        </is>
      </c>
      <c r="I508" s="26" t="inlineStr">
        <is>
          <t>Good finish</t>
        </is>
      </c>
      <c r="J508" s="26" t="inlineStr">
        <is>
          <t>Yes</t>
        </is>
      </c>
      <c r="K508" s="27" t="n"/>
      <c r="L508" s="28" t="inlineStr">
        <is>
          <t>No</t>
        </is>
      </c>
      <c r="M508" s="29">
        <f>IF(E508="","",IF(H508="Yes","❌ Disc",IF(G508="No","⚠ Missing",IF(J508="Yes","✓ OK","⚠ Check"))))</f>
        <v/>
      </c>
      <c r="N508" s="43" t="n">
        <v>46193</v>
      </c>
      <c r="O508" s="26" t="inlineStr">
        <is>
          <t>Sunil CR</t>
        </is>
      </c>
      <c r="P508" s="26" t="inlineStr">
        <is>
          <t>Yes</t>
        </is>
      </c>
      <c r="Q508" s="26" t="inlineStr">
        <is>
          <t>No</t>
        </is>
      </c>
      <c r="R508" s="26" t="inlineStr">
        <is>
          <t>Good finish</t>
        </is>
      </c>
      <c r="S508" s="26" t="inlineStr">
        <is>
          <t>Yes</t>
        </is>
      </c>
      <c r="T508" s="27" t="n"/>
      <c r="U508" s="28" t="inlineStr">
        <is>
          <t>No</t>
        </is>
      </c>
      <c r="V508" s="29">
        <f>IF(N508="","",IF(Q508="Yes","❌ Disc",IF(P508="No","⚠ Missing",IF(S508="Yes","✓ OK","⚠ Check"))))</f>
        <v/>
      </c>
      <c r="W508" s="65" t="n">
        <v>46248</v>
      </c>
      <c r="X508" s="30" t="inlineStr">
        <is>
          <t>Sunil CR</t>
        </is>
      </c>
      <c r="Y508" s="30" t="inlineStr">
        <is>
          <t>Yes</t>
        </is>
      </c>
      <c r="Z508" s="30" t="n"/>
      <c r="AA508" s="30" t="inlineStr">
        <is>
          <t>Good finish</t>
        </is>
      </c>
      <c r="AB508" s="30" t="inlineStr">
        <is>
          <t>Yes</t>
        </is>
      </c>
      <c r="AC508" s="27" t="n"/>
      <c r="AD508" s="31" t="inlineStr">
        <is>
          <t>No</t>
        </is>
      </c>
      <c r="AE508" s="32">
        <f>IF(W508="","",IF(Z508="Yes","❌ Disc",IF(Y508="No","⚠ Missing",IF(AB508="Yes","✓ OK","⚠ Check"))))</f>
        <v/>
      </c>
      <c r="AF508" s="33" t="n"/>
      <c r="AG508" s="33" t="n"/>
      <c r="AH508" s="33" t="n"/>
      <c r="AI508" s="33" t="n"/>
      <c r="AJ508" s="33" t="n"/>
      <c r="AK508" s="33" t="n"/>
      <c r="AL508" s="27" t="n"/>
      <c r="AM508" s="34" t="n"/>
      <c r="AN508" s="35">
        <f>IF(AF508="","",IF(AI508="Yes","❌ Disc",IF(AH508="No","⚠ Missing",IF(AK508="Yes","✓ OK","⚠ Check"))))</f>
        <v/>
      </c>
      <c r="AO508" s="36" t="n"/>
      <c r="AP508" s="36" t="n"/>
      <c r="AQ508" s="36" t="n"/>
      <c r="AR508" s="36" t="n"/>
      <c r="AS508" s="36" t="n"/>
      <c r="AT508" s="36" t="n"/>
      <c r="AU508" s="27" t="n"/>
      <c r="AV508" s="37" t="n"/>
      <c r="AW508" s="38">
        <f>IF(AO508="","",IF(AR508="Yes","❌ Disc",IF(AQ508="No","⚠ Missing",IF(AT508="Yes","✓ OK","⚠ Check"))))</f>
        <v/>
      </c>
    </row>
    <row r="509" ht="18" customHeight="1" s="46">
      <c r="A509" s="23" t="n">
        <v>505</v>
      </c>
      <c r="B509" s="24" t="inlineStr">
        <is>
          <t>BD-VRM-2023-4773</t>
        </is>
      </c>
      <c r="C509" s="25" t="inlineStr">
        <is>
          <t>Bonito Wall Decor - Customised Space Theme Wallpaper for Kids Room, Planets, rockets, Astronauts 600322 - Canvas paper</t>
        </is>
      </c>
      <c r="D509" s="23" t="inlineStr">
        <is>
          <t>Life n Colors</t>
        </is>
      </c>
      <c r="E509" s="43" t="n">
        <v>46126</v>
      </c>
      <c r="F509" s="26" t="inlineStr">
        <is>
          <t>Sunil CR</t>
        </is>
      </c>
      <c r="G509" s="26" t="inlineStr">
        <is>
          <t>Yes</t>
        </is>
      </c>
      <c r="H509" s="26" t="inlineStr">
        <is>
          <t>No</t>
        </is>
      </c>
      <c r="I509" s="26" t="inlineStr">
        <is>
          <t>Good finish</t>
        </is>
      </c>
      <c r="J509" s="26" t="inlineStr">
        <is>
          <t>Yes</t>
        </is>
      </c>
      <c r="K509" s="27" t="n"/>
      <c r="L509" s="28" t="inlineStr">
        <is>
          <t>No</t>
        </is>
      </c>
      <c r="M509" s="29">
        <f>IF(E509="","",IF(H509="Yes","❌ Disc",IF(G509="No","⚠ Missing",IF(J509="Yes","✓ OK","⚠ Check"))))</f>
        <v/>
      </c>
      <c r="N509" s="43" t="n">
        <v>46193</v>
      </c>
      <c r="O509" s="26" t="inlineStr">
        <is>
          <t>Sunil CR</t>
        </is>
      </c>
      <c r="P509" s="26" t="inlineStr">
        <is>
          <t>Yes</t>
        </is>
      </c>
      <c r="Q509" s="26" t="inlineStr">
        <is>
          <t>No</t>
        </is>
      </c>
      <c r="R509" s="26" t="inlineStr">
        <is>
          <t>Good finish</t>
        </is>
      </c>
      <c r="S509" s="26" t="inlineStr">
        <is>
          <t>Yes</t>
        </is>
      </c>
      <c r="T509" s="27" t="n"/>
      <c r="U509" s="28" t="inlineStr">
        <is>
          <t>No</t>
        </is>
      </c>
      <c r="V509" s="29">
        <f>IF(N509="","",IF(Q509="Yes","❌ Disc",IF(P509="No","⚠ Missing",IF(S509="Yes","✓ OK","⚠ Check"))))</f>
        <v/>
      </c>
      <c r="W509" s="65" t="n">
        <v>46248</v>
      </c>
      <c r="X509" s="30" t="inlineStr">
        <is>
          <t>Sunil CR</t>
        </is>
      </c>
      <c r="Y509" s="30" t="inlineStr">
        <is>
          <t>Yes</t>
        </is>
      </c>
      <c r="Z509" s="30" t="n"/>
      <c r="AA509" s="30" t="inlineStr">
        <is>
          <t>Good finish</t>
        </is>
      </c>
      <c r="AB509" s="30" t="inlineStr">
        <is>
          <t>Yes</t>
        </is>
      </c>
      <c r="AC509" s="27" t="n"/>
      <c r="AD509" s="31" t="inlineStr">
        <is>
          <t>No</t>
        </is>
      </c>
      <c r="AE509" s="32">
        <f>IF(W509="","",IF(Z509="Yes","❌ Disc",IF(Y509="No","⚠ Missing",IF(AB509="Yes","✓ OK","⚠ Check"))))</f>
        <v/>
      </c>
      <c r="AF509" s="33" t="n"/>
      <c r="AG509" s="33" t="n"/>
      <c r="AH509" s="33" t="n"/>
      <c r="AI509" s="33" t="n"/>
      <c r="AJ509" s="33" t="n"/>
      <c r="AK509" s="33" t="n"/>
      <c r="AL509" s="27" t="n"/>
      <c r="AM509" s="34" t="n"/>
      <c r="AN509" s="35">
        <f>IF(AF509="","",IF(AI509="Yes","❌ Disc",IF(AH509="No","⚠ Missing",IF(AK509="Yes","✓ OK","⚠ Check"))))</f>
        <v/>
      </c>
      <c r="AO509" s="36" t="n"/>
      <c r="AP509" s="36" t="n"/>
      <c r="AQ509" s="36" t="n"/>
      <c r="AR509" s="36" t="n"/>
      <c r="AS509" s="36" t="n"/>
      <c r="AT509" s="36" t="n"/>
      <c r="AU509" s="27" t="n"/>
      <c r="AV509" s="37" t="n"/>
      <c r="AW509" s="38">
        <f>IF(AO509="","",IF(AR509="Yes","❌ Disc",IF(AQ509="No","⚠ Missing",IF(AT509="Yes","✓ OK","⚠ Check"))))</f>
        <v/>
      </c>
    </row>
    <row r="510" ht="18" customHeight="1" s="46">
      <c r="A510" s="39" t="n">
        <v>506</v>
      </c>
      <c r="B510" s="40" t="inlineStr">
        <is>
          <t>BD-VRM-2023-4750</t>
        </is>
      </c>
      <c r="C510" s="41" t="inlineStr">
        <is>
          <t>Bonito Wall Decor - Cute Fairies Wallpaper for Girls Room Walls 600421 - Soft feel paper</t>
        </is>
      </c>
      <c r="D510" s="39" t="inlineStr">
        <is>
          <t>Life n Colors</t>
        </is>
      </c>
      <c r="E510" s="43" t="n">
        <v>46126</v>
      </c>
      <c r="F510" s="26" t="inlineStr">
        <is>
          <t>Sunil CR</t>
        </is>
      </c>
      <c r="G510" s="26" t="inlineStr">
        <is>
          <t>Yes</t>
        </is>
      </c>
      <c r="H510" s="26" t="inlineStr">
        <is>
          <t>No</t>
        </is>
      </c>
      <c r="I510" s="26" t="inlineStr">
        <is>
          <t>Good finish</t>
        </is>
      </c>
      <c r="J510" s="26" t="inlineStr">
        <is>
          <t>Yes</t>
        </is>
      </c>
      <c r="K510" s="27" t="n"/>
      <c r="L510" s="28" t="inlineStr">
        <is>
          <t>No</t>
        </is>
      </c>
      <c r="M510" s="29">
        <f>IF(E510="","",IF(H510="Yes","❌ Disc",IF(G510="No","⚠ Missing",IF(J510="Yes","✓ OK","⚠ Check"))))</f>
        <v/>
      </c>
      <c r="N510" s="43" t="n">
        <v>46193</v>
      </c>
      <c r="O510" s="26" t="inlineStr">
        <is>
          <t>Sunil CR</t>
        </is>
      </c>
      <c r="P510" s="26" t="inlineStr">
        <is>
          <t>Yes</t>
        </is>
      </c>
      <c r="Q510" s="26" t="inlineStr">
        <is>
          <t>No</t>
        </is>
      </c>
      <c r="R510" s="26" t="inlineStr">
        <is>
          <t>Good finish</t>
        </is>
      </c>
      <c r="S510" s="26" t="inlineStr">
        <is>
          <t>Yes</t>
        </is>
      </c>
      <c r="T510" s="27" t="n"/>
      <c r="U510" s="28" t="inlineStr">
        <is>
          <t>No</t>
        </is>
      </c>
      <c r="V510" s="29">
        <f>IF(N510="","",IF(Q510="Yes","❌ Disc",IF(P510="No","⚠ Missing",IF(S510="Yes","✓ OK","⚠ Check"))))</f>
        <v/>
      </c>
      <c r="W510" s="65" t="n">
        <v>46248</v>
      </c>
      <c r="X510" s="30" t="inlineStr">
        <is>
          <t>Sunil CR</t>
        </is>
      </c>
      <c r="Y510" s="30" t="inlineStr">
        <is>
          <t>Yes</t>
        </is>
      </c>
      <c r="Z510" s="30" t="n"/>
      <c r="AA510" s="30" t="inlineStr">
        <is>
          <t>Good finish</t>
        </is>
      </c>
      <c r="AB510" s="30" t="inlineStr">
        <is>
          <t>Yes</t>
        </is>
      </c>
      <c r="AC510" s="27" t="n"/>
      <c r="AD510" s="31" t="inlineStr">
        <is>
          <t>No</t>
        </is>
      </c>
      <c r="AE510" s="32">
        <f>IF(W510="","",IF(Z510="Yes","❌ Disc",IF(Y510="No","⚠ Missing",IF(AB510="Yes","✓ OK","⚠ Check"))))</f>
        <v/>
      </c>
      <c r="AF510" s="33" t="n"/>
      <c r="AG510" s="33" t="n"/>
      <c r="AH510" s="33" t="n"/>
      <c r="AI510" s="33" t="n"/>
      <c r="AJ510" s="33" t="n"/>
      <c r="AK510" s="33" t="n"/>
      <c r="AL510" s="27" t="n"/>
      <c r="AM510" s="34" t="n"/>
      <c r="AN510" s="35">
        <f>IF(AF510="","",IF(AI510="Yes","❌ Disc",IF(AH510="No","⚠ Missing",IF(AK510="Yes","✓ OK","⚠ Check"))))</f>
        <v/>
      </c>
      <c r="AO510" s="36" t="n"/>
      <c r="AP510" s="36" t="n"/>
      <c r="AQ510" s="36" t="n"/>
      <c r="AR510" s="36" t="n"/>
      <c r="AS510" s="36" t="n"/>
      <c r="AT510" s="36" t="n"/>
      <c r="AU510" s="27" t="n"/>
      <c r="AV510" s="37" t="n"/>
      <c r="AW510" s="38">
        <f>IF(AO510="","",IF(AR510="Yes","❌ Disc",IF(AQ510="No","⚠ Missing",IF(AT510="Yes","✓ OK","⚠ Check"))))</f>
        <v/>
      </c>
    </row>
    <row r="511" ht="18" customHeight="1" s="46">
      <c r="A511" s="23" t="n">
        <v>507</v>
      </c>
      <c r="B511" s="24" t="inlineStr">
        <is>
          <t>BD-VRM-2023-4775</t>
        </is>
      </c>
      <c r="C511" s="25" t="inlineStr">
        <is>
          <t>Bonito Wall Decor - Cute Fairies Wallpaper for Girls Room Walls 600422 - Canvas paper [BBP]</t>
        </is>
      </c>
      <c r="D511" s="23" t="inlineStr">
        <is>
          <t>Life n Colors</t>
        </is>
      </c>
      <c r="E511" s="43" t="n">
        <v>46126</v>
      </c>
      <c r="F511" s="26" t="inlineStr">
        <is>
          <t>Sunil CR</t>
        </is>
      </c>
      <c r="G511" s="26" t="inlineStr">
        <is>
          <t>Yes</t>
        </is>
      </c>
      <c r="H511" s="26" t="inlineStr">
        <is>
          <t>No</t>
        </is>
      </c>
      <c r="I511" s="26" t="inlineStr">
        <is>
          <t>Good finish</t>
        </is>
      </c>
      <c r="J511" s="26" t="inlineStr">
        <is>
          <t>Yes</t>
        </is>
      </c>
      <c r="K511" s="27" t="n"/>
      <c r="L511" s="28" t="inlineStr">
        <is>
          <t>No</t>
        </is>
      </c>
      <c r="M511" s="29">
        <f>IF(E511="","",IF(H511="Yes","❌ Disc",IF(G511="No","⚠ Missing",IF(J511="Yes","✓ OK","⚠ Check"))))</f>
        <v/>
      </c>
      <c r="N511" s="43" t="n">
        <v>46193</v>
      </c>
      <c r="O511" s="26" t="inlineStr">
        <is>
          <t>Sunil CR</t>
        </is>
      </c>
      <c r="P511" s="26" t="inlineStr">
        <is>
          <t>Yes</t>
        </is>
      </c>
      <c r="Q511" s="26" t="inlineStr">
        <is>
          <t>No</t>
        </is>
      </c>
      <c r="R511" s="26" t="inlineStr">
        <is>
          <t>Good finish</t>
        </is>
      </c>
      <c r="S511" s="26" t="inlineStr">
        <is>
          <t>Yes</t>
        </is>
      </c>
      <c r="T511" s="27" t="n"/>
      <c r="U511" s="28" t="inlineStr">
        <is>
          <t>No</t>
        </is>
      </c>
      <c r="V511" s="29">
        <f>IF(N511="","",IF(Q511="Yes","❌ Disc",IF(P511="No","⚠ Missing",IF(S511="Yes","✓ OK","⚠ Check"))))</f>
        <v/>
      </c>
      <c r="W511" s="65" t="n">
        <v>46248</v>
      </c>
      <c r="X511" s="30" t="inlineStr">
        <is>
          <t>Sunil CR</t>
        </is>
      </c>
      <c r="Y511" s="30" t="inlineStr">
        <is>
          <t>Yes</t>
        </is>
      </c>
      <c r="Z511" s="30" t="n"/>
      <c r="AA511" s="30" t="inlineStr">
        <is>
          <t>Good finish</t>
        </is>
      </c>
      <c r="AB511" s="30" t="inlineStr">
        <is>
          <t>Yes</t>
        </is>
      </c>
      <c r="AC511" s="27" t="n"/>
      <c r="AD511" s="31" t="inlineStr">
        <is>
          <t>No</t>
        </is>
      </c>
      <c r="AE511" s="32">
        <f>IF(W511="","",IF(Z511="Yes","❌ Disc",IF(Y511="No","⚠ Missing",IF(AB511="Yes","✓ OK","⚠ Check"))))</f>
        <v/>
      </c>
      <c r="AF511" s="33" t="n"/>
      <c r="AG511" s="33" t="n"/>
      <c r="AH511" s="33" t="n"/>
      <c r="AI511" s="33" t="n"/>
      <c r="AJ511" s="33" t="n"/>
      <c r="AK511" s="33" t="n"/>
      <c r="AL511" s="27" t="n"/>
      <c r="AM511" s="34" t="n"/>
      <c r="AN511" s="35">
        <f>IF(AF511="","",IF(AI511="Yes","❌ Disc",IF(AH511="No","⚠ Missing",IF(AK511="Yes","✓ OK","⚠ Check"))))</f>
        <v/>
      </c>
      <c r="AO511" s="36" t="n"/>
      <c r="AP511" s="36" t="n"/>
      <c r="AQ511" s="36" t="n"/>
      <c r="AR511" s="36" t="n"/>
      <c r="AS511" s="36" t="n"/>
      <c r="AT511" s="36" t="n"/>
      <c r="AU511" s="27" t="n"/>
      <c r="AV511" s="37" t="n"/>
      <c r="AW511" s="38">
        <f>IF(AO511="","",IF(AR511="Yes","❌ Disc",IF(AQ511="No","⚠ Missing",IF(AT511="Yes","✓ OK","⚠ Check"))))</f>
        <v/>
      </c>
    </row>
    <row r="512" ht="18" customHeight="1" s="46">
      <c r="A512" s="39" t="n">
        <v>508</v>
      </c>
      <c r="B512" s="40" t="inlineStr">
        <is>
          <t>BD-VRM-2024-0518</t>
        </is>
      </c>
      <c r="C512" s="41" t="inlineStr">
        <is>
          <t>Bonito Wall Decor - Deep Harmony Abstract Wall Wallpaper Customised (Canvas Paper - 603422)</t>
        </is>
      </c>
      <c r="D512" s="39" t="inlineStr">
        <is>
          <t>Life n Colors</t>
        </is>
      </c>
      <c r="E512" s="43" t="n">
        <v>46126</v>
      </c>
      <c r="F512" s="26" t="inlineStr">
        <is>
          <t>Sunil CR</t>
        </is>
      </c>
      <c r="G512" s="26" t="inlineStr">
        <is>
          <t>Yes</t>
        </is>
      </c>
      <c r="H512" s="26" t="inlineStr">
        <is>
          <t>No</t>
        </is>
      </c>
      <c r="I512" s="26" t="inlineStr">
        <is>
          <t>Good finish</t>
        </is>
      </c>
      <c r="J512" s="26" t="inlineStr">
        <is>
          <t>Yes</t>
        </is>
      </c>
      <c r="K512" s="27" t="n"/>
      <c r="L512" s="28" t="inlineStr">
        <is>
          <t>No</t>
        </is>
      </c>
      <c r="M512" s="29">
        <f>IF(E512="","",IF(H512="Yes","❌ Disc",IF(G512="No","⚠ Missing",IF(J512="Yes","✓ OK","⚠ Check"))))</f>
        <v/>
      </c>
      <c r="N512" s="43" t="n">
        <v>46193</v>
      </c>
      <c r="O512" s="26" t="inlineStr">
        <is>
          <t>Sunil CR</t>
        </is>
      </c>
      <c r="P512" s="26" t="inlineStr">
        <is>
          <t>Yes</t>
        </is>
      </c>
      <c r="Q512" s="26" t="inlineStr">
        <is>
          <t>No</t>
        </is>
      </c>
      <c r="R512" s="26" t="inlineStr">
        <is>
          <t>Good finish</t>
        </is>
      </c>
      <c r="S512" s="26" t="inlineStr">
        <is>
          <t>Yes</t>
        </is>
      </c>
      <c r="T512" s="27" t="n"/>
      <c r="U512" s="28" t="inlineStr">
        <is>
          <t>No</t>
        </is>
      </c>
      <c r="V512" s="29">
        <f>IF(N512="","",IF(Q512="Yes","❌ Disc",IF(P512="No","⚠ Missing",IF(S512="Yes","✓ OK","⚠ Check"))))</f>
        <v/>
      </c>
      <c r="W512" s="65" t="n">
        <v>46248</v>
      </c>
      <c r="X512" s="30" t="inlineStr">
        <is>
          <t>Sunil CR</t>
        </is>
      </c>
      <c r="Y512" s="30" t="inlineStr">
        <is>
          <t>Yes</t>
        </is>
      </c>
      <c r="Z512" s="30" t="n"/>
      <c r="AA512" s="30" t="inlineStr">
        <is>
          <t>Good finish</t>
        </is>
      </c>
      <c r="AB512" s="30" t="inlineStr">
        <is>
          <t>Yes</t>
        </is>
      </c>
      <c r="AC512" s="27" t="n"/>
      <c r="AD512" s="31" t="inlineStr">
        <is>
          <t>No</t>
        </is>
      </c>
      <c r="AE512" s="32">
        <f>IF(W512="","",IF(Z512="Yes","❌ Disc",IF(Y512="No","⚠ Missing",IF(AB512="Yes","✓ OK","⚠ Check"))))</f>
        <v/>
      </c>
      <c r="AF512" s="33" t="n"/>
      <c r="AG512" s="33" t="n"/>
      <c r="AH512" s="33" t="n"/>
      <c r="AI512" s="33" t="n"/>
      <c r="AJ512" s="33" t="n"/>
      <c r="AK512" s="33" t="n"/>
      <c r="AL512" s="27" t="n"/>
      <c r="AM512" s="34" t="n"/>
      <c r="AN512" s="35">
        <f>IF(AF512="","",IF(AI512="Yes","❌ Disc",IF(AH512="No","⚠ Missing",IF(AK512="Yes","✓ OK","⚠ Check"))))</f>
        <v/>
      </c>
      <c r="AO512" s="36" t="n"/>
      <c r="AP512" s="36" t="n"/>
      <c r="AQ512" s="36" t="n"/>
      <c r="AR512" s="36" t="n"/>
      <c r="AS512" s="36" t="n"/>
      <c r="AT512" s="36" t="n"/>
      <c r="AU512" s="27" t="n"/>
      <c r="AV512" s="37" t="n"/>
      <c r="AW512" s="38">
        <f>IF(AO512="","",IF(AR512="Yes","❌ Disc",IF(AQ512="No","⚠ Missing",IF(AT512="Yes","✓ OK","⚠ Check"))))</f>
        <v/>
      </c>
    </row>
    <row r="513" ht="18" customHeight="1" s="46">
      <c r="A513" s="23" t="n">
        <v>509</v>
      </c>
      <c r="B513" s="24" t="inlineStr">
        <is>
          <t>BD-VRM-2024-0530</t>
        </is>
      </c>
      <c r="C513" s="25" t="inlineStr">
        <is>
          <t>Bonito Wall Decor - Deep Harmony Abstract Wall Wallpaper Customised (Handmade Paper - 604112)</t>
        </is>
      </c>
      <c r="D513" s="23" t="inlineStr">
        <is>
          <t>Life n Colors</t>
        </is>
      </c>
      <c r="E513" s="43" t="n">
        <v>46126</v>
      </c>
      <c r="F513" s="26" t="inlineStr">
        <is>
          <t>Sunil CR</t>
        </is>
      </c>
      <c r="G513" s="26" t="inlineStr">
        <is>
          <t>Yes</t>
        </is>
      </c>
      <c r="H513" s="26" t="inlineStr">
        <is>
          <t>No</t>
        </is>
      </c>
      <c r="I513" s="26" t="inlineStr">
        <is>
          <t>Good finish</t>
        </is>
      </c>
      <c r="J513" s="26" t="inlineStr">
        <is>
          <t>Yes</t>
        </is>
      </c>
      <c r="K513" s="27" t="n"/>
      <c r="L513" s="28" t="inlineStr">
        <is>
          <t>No</t>
        </is>
      </c>
      <c r="M513" s="29">
        <f>IF(E513="","",IF(H513="Yes","❌ Disc",IF(G513="No","⚠ Missing",IF(J513="Yes","✓ OK","⚠ Check"))))</f>
        <v/>
      </c>
      <c r="N513" s="43" t="n">
        <v>46193</v>
      </c>
      <c r="O513" s="26" t="inlineStr">
        <is>
          <t>Sunil CR</t>
        </is>
      </c>
      <c r="P513" s="26" t="inlineStr">
        <is>
          <t>Yes</t>
        </is>
      </c>
      <c r="Q513" s="26" t="inlineStr">
        <is>
          <t>No</t>
        </is>
      </c>
      <c r="R513" s="26" t="inlineStr">
        <is>
          <t>Good finish</t>
        </is>
      </c>
      <c r="S513" s="26" t="inlineStr">
        <is>
          <t>Yes</t>
        </is>
      </c>
      <c r="T513" s="27" t="n"/>
      <c r="U513" s="28" t="inlineStr">
        <is>
          <t>No</t>
        </is>
      </c>
      <c r="V513" s="29">
        <f>IF(N513="","",IF(Q513="Yes","❌ Disc",IF(P513="No","⚠ Missing",IF(S513="Yes","✓ OK","⚠ Check"))))</f>
        <v/>
      </c>
      <c r="W513" s="65" t="n">
        <v>46248</v>
      </c>
      <c r="X513" s="30" t="inlineStr">
        <is>
          <t>Sunil CR</t>
        </is>
      </c>
      <c r="Y513" s="30" t="inlineStr">
        <is>
          <t>Yes</t>
        </is>
      </c>
      <c r="Z513" s="30" t="n"/>
      <c r="AA513" s="30" t="inlineStr">
        <is>
          <t>Good finish</t>
        </is>
      </c>
      <c r="AB513" s="30" t="inlineStr">
        <is>
          <t>Yes</t>
        </is>
      </c>
      <c r="AC513" s="27" t="n"/>
      <c r="AD513" s="31" t="inlineStr">
        <is>
          <t>No</t>
        </is>
      </c>
      <c r="AE513" s="32">
        <f>IF(W513="","",IF(Z513="Yes","❌ Disc",IF(Y513="No","⚠ Missing",IF(AB513="Yes","✓ OK","⚠ Check"))))</f>
        <v/>
      </c>
      <c r="AF513" s="33" t="n"/>
      <c r="AG513" s="33" t="n"/>
      <c r="AH513" s="33" t="n"/>
      <c r="AI513" s="33" t="n"/>
      <c r="AJ513" s="33" t="n"/>
      <c r="AK513" s="33" t="n"/>
      <c r="AL513" s="27" t="n"/>
      <c r="AM513" s="34" t="n"/>
      <c r="AN513" s="35">
        <f>IF(AF513="","",IF(AI513="Yes","❌ Disc",IF(AH513="No","⚠ Missing",IF(AK513="Yes","✓ OK","⚠ Check"))))</f>
        <v/>
      </c>
      <c r="AO513" s="36" t="n"/>
      <c r="AP513" s="36" t="n"/>
      <c r="AQ513" s="36" t="n"/>
      <c r="AR513" s="36" t="n"/>
      <c r="AS513" s="36" t="n"/>
      <c r="AT513" s="36" t="n"/>
      <c r="AU513" s="27" t="n"/>
      <c r="AV513" s="37" t="n"/>
      <c r="AW513" s="38">
        <f>IF(AO513="","",IF(AR513="Yes","❌ Disc",IF(AQ513="No","⚠ Missing",IF(AT513="Yes","✓ OK","⚠ Check"))))</f>
        <v/>
      </c>
    </row>
    <row r="514" ht="18" customHeight="1" s="46">
      <c r="A514" s="39" t="n">
        <v>510</v>
      </c>
      <c r="B514" s="40" t="inlineStr">
        <is>
          <t>BD-VRM-2023-4749</t>
        </is>
      </c>
      <c r="C514" s="41" t="inlineStr">
        <is>
          <t>Bonito Wall Decor - Dreamy Elephant Design for Kids Room Nursery Wallpaper 600411 - Soft feel paper</t>
        </is>
      </c>
      <c r="D514" s="39" t="inlineStr">
        <is>
          <t>Life n Colors</t>
        </is>
      </c>
      <c r="E514" s="43" t="n">
        <v>46126</v>
      </c>
      <c r="F514" s="26" t="inlineStr">
        <is>
          <t>Sunil CR</t>
        </is>
      </c>
      <c r="G514" s="26" t="inlineStr">
        <is>
          <t>Yes</t>
        </is>
      </c>
      <c r="H514" s="26" t="inlineStr">
        <is>
          <t>No</t>
        </is>
      </c>
      <c r="I514" s="26" t="inlineStr">
        <is>
          <t>Good finish</t>
        </is>
      </c>
      <c r="J514" s="26" t="inlineStr">
        <is>
          <t>Yes</t>
        </is>
      </c>
      <c r="K514" s="27" t="n"/>
      <c r="L514" s="28" t="inlineStr">
        <is>
          <t>No</t>
        </is>
      </c>
      <c r="M514" s="29">
        <f>IF(E514="","",IF(H514="Yes","❌ Disc",IF(G514="No","⚠ Missing",IF(J514="Yes","✓ OK","⚠ Check"))))</f>
        <v/>
      </c>
      <c r="N514" s="43" t="n">
        <v>46193</v>
      </c>
      <c r="O514" s="26" t="inlineStr">
        <is>
          <t>Sunil CR</t>
        </is>
      </c>
      <c r="P514" s="26" t="inlineStr">
        <is>
          <t>Yes</t>
        </is>
      </c>
      <c r="Q514" s="26" t="inlineStr">
        <is>
          <t>No</t>
        </is>
      </c>
      <c r="R514" s="26" t="inlineStr">
        <is>
          <t>Good finish</t>
        </is>
      </c>
      <c r="S514" s="26" t="inlineStr">
        <is>
          <t>Yes</t>
        </is>
      </c>
      <c r="T514" s="27" t="n"/>
      <c r="U514" s="28" t="inlineStr">
        <is>
          <t>No</t>
        </is>
      </c>
      <c r="V514" s="29">
        <f>IF(N514="","",IF(Q514="Yes","❌ Disc",IF(P514="No","⚠ Missing",IF(S514="Yes","✓ OK","⚠ Check"))))</f>
        <v/>
      </c>
      <c r="W514" s="65" t="n">
        <v>46248</v>
      </c>
      <c r="X514" s="30" t="inlineStr">
        <is>
          <t>Sunil CR</t>
        </is>
      </c>
      <c r="Y514" s="30" t="inlineStr">
        <is>
          <t>Yes</t>
        </is>
      </c>
      <c r="Z514" s="30" t="n"/>
      <c r="AA514" s="30" t="inlineStr">
        <is>
          <t>Good finish</t>
        </is>
      </c>
      <c r="AB514" s="30" t="inlineStr">
        <is>
          <t>Yes</t>
        </is>
      </c>
      <c r="AC514" s="27" t="n"/>
      <c r="AD514" s="31" t="inlineStr">
        <is>
          <t>No</t>
        </is>
      </c>
      <c r="AE514" s="32">
        <f>IF(W514="","",IF(Z514="Yes","❌ Disc",IF(Y514="No","⚠ Missing",IF(AB514="Yes","✓ OK","⚠ Check"))))</f>
        <v/>
      </c>
      <c r="AF514" s="33" t="n"/>
      <c r="AG514" s="33" t="n"/>
      <c r="AH514" s="33" t="n"/>
      <c r="AI514" s="33" t="n"/>
      <c r="AJ514" s="33" t="n"/>
      <c r="AK514" s="33" t="n"/>
      <c r="AL514" s="27" t="n"/>
      <c r="AM514" s="34" t="n"/>
      <c r="AN514" s="35">
        <f>IF(AF514="","",IF(AI514="Yes","❌ Disc",IF(AH514="No","⚠ Missing",IF(AK514="Yes","✓ OK","⚠ Check"))))</f>
        <v/>
      </c>
      <c r="AO514" s="36" t="n"/>
      <c r="AP514" s="36" t="n"/>
      <c r="AQ514" s="36" t="n"/>
      <c r="AR514" s="36" t="n"/>
      <c r="AS514" s="36" t="n"/>
      <c r="AT514" s="36" t="n"/>
      <c r="AU514" s="27" t="n"/>
      <c r="AV514" s="37" t="n"/>
      <c r="AW514" s="38">
        <f>IF(AO514="","",IF(AR514="Yes","❌ Disc",IF(AQ514="No","⚠ Missing",IF(AT514="Yes","✓ OK","⚠ Check"))))</f>
        <v/>
      </c>
    </row>
    <row r="515" ht="18" customHeight="1" s="46">
      <c r="A515" s="23" t="n">
        <v>511</v>
      </c>
      <c r="B515" s="24" t="inlineStr">
        <is>
          <t>BD-VRM-2023-4774</t>
        </is>
      </c>
      <c r="C515" s="25" t="inlineStr">
        <is>
          <t>Bonito Wall Decor - Dreamy Elephant Design for Kids Room Nursery Wallpaper 600412 - Canvas paper</t>
        </is>
      </c>
      <c r="D515" s="23" t="inlineStr">
        <is>
          <t>Life n Colors</t>
        </is>
      </c>
      <c r="E515" s="43" t="n">
        <v>46126</v>
      </c>
      <c r="F515" s="26" t="inlineStr">
        <is>
          <t>Sunil CR</t>
        </is>
      </c>
      <c r="G515" s="26" t="inlineStr">
        <is>
          <t>Yes</t>
        </is>
      </c>
      <c r="H515" s="26" t="inlineStr">
        <is>
          <t>No</t>
        </is>
      </c>
      <c r="I515" s="26" t="inlineStr">
        <is>
          <t>Good finish</t>
        </is>
      </c>
      <c r="J515" s="26" t="inlineStr">
        <is>
          <t>Yes</t>
        </is>
      </c>
      <c r="K515" s="27" t="n"/>
      <c r="L515" s="28" t="inlineStr">
        <is>
          <t>No</t>
        </is>
      </c>
      <c r="M515" s="29">
        <f>IF(E515="","",IF(H515="Yes","❌ Disc",IF(G515="No","⚠ Missing",IF(J515="Yes","✓ OK","⚠ Check"))))</f>
        <v/>
      </c>
      <c r="N515" s="43" t="n">
        <v>46193</v>
      </c>
      <c r="O515" s="26" t="inlineStr">
        <is>
          <t>Sunil CR</t>
        </is>
      </c>
      <c r="P515" s="26" t="inlineStr">
        <is>
          <t>Yes</t>
        </is>
      </c>
      <c r="Q515" s="26" t="inlineStr">
        <is>
          <t>No</t>
        </is>
      </c>
      <c r="R515" s="26" t="inlineStr">
        <is>
          <t>Good finish</t>
        </is>
      </c>
      <c r="S515" s="26" t="inlineStr">
        <is>
          <t>Yes</t>
        </is>
      </c>
      <c r="T515" s="27" t="n"/>
      <c r="U515" s="28" t="inlineStr">
        <is>
          <t>No</t>
        </is>
      </c>
      <c r="V515" s="29">
        <f>IF(N515="","",IF(Q515="Yes","❌ Disc",IF(P515="No","⚠ Missing",IF(S515="Yes","✓ OK","⚠ Check"))))</f>
        <v/>
      </c>
      <c r="W515" s="65" t="n">
        <v>46248</v>
      </c>
      <c r="X515" s="30" t="inlineStr">
        <is>
          <t>Sunil CR</t>
        </is>
      </c>
      <c r="Y515" s="30" t="inlineStr">
        <is>
          <t>Yes</t>
        </is>
      </c>
      <c r="Z515" s="30" t="n"/>
      <c r="AA515" s="30" t="inlineStr">
        <is>
          <t>Good finish</t>
        </is>
      </c>
      <c r="AB515" s="30" t="inlineStr">
        <is>
          <t>Yes</t>
        </is>
      </c>
      <c r="AC515" s="27" t="n"/>
      <c r="AD515" s="31" t="inlineStr">
        <is>
          <t>No</t>
        </is>
      </c>
      <c r="AE515" s="32">
        <f>IF(W515="","",IF(Z515="Yes","❌ Disc",IF(Y515="No","⚠ Missing",IF(AB515="Yes","✓ OK","⚠ Check"))))</f>
        <v/>
      </c>
      <c r="AF515" s="33" t="n"/>
      <c r="AG515" s="33" t="n"/>
      <c r="AH515" s="33" t="n"/>
      <c r="AI515" s="33" t="n"/>
      <c r="AJ515" s="33" t="n"/>
      <c r="AK515" s="33" t="n"/>
      <c r="AL515" s="27" t="n"/>
      <c r="AM515" s="34" t="n"/>
      <c r="AN515" s="35">
        <f>IF(AF515="","",IF(AI515="Yes","❌ Disc",IF(AH515="No","⚠ Missing",IF(AK515="Yes","✓ OK","⚠ Check"))))</f>
        <v/>
      </c>
      <c r="AO515" s="36" t="n"/>
      <c r="AP515" s="36" t="n"/>
      <c r="AQ515" s="36" t="n"/>
      <c r="AR515" s="36" t="n"/>
      <c r="AS515" s="36" t="n"/>
      <c r="AT515" s="36" t="n"/>
      <c r="AU515" s="27" t="n"/>
      <c r="AV515" s="37" t="n"/>
      <c r="AW515" s="38">
        <f>IF(AO515="","",IF(AR515="Yes","❌ Disc",IF(AQ515="No","⚠ Missing",IF(AT515="Yes","✓ OK","⚠ Check"))))</f>
        <v/>
      </c>
    </row>
    <row r="516" ht="18" customHeight="1" s="46">
      <c r="A516" s="39" t="n">
        <v>512</v>
      </c>
      <c r="B516" s="40" t="inlineStr">
        <is>
          <t>BD-VRM-2023-4797</t>
        </is>
      </c>
      <c r="C516" s="41" t="inlineStr">
        <is>
          <t>Bonito Wall Decor - Ehsaas, Grisaille Foliage Wallpaper 601521 - Premium Soft feel paper</t>
        </is>
      </c>
      <c r="D516" s="39" t="inlineStr">
        <is>
          <t>Life n Colors</t>
        </is>
      </c>
      <c r="E516" s="43" t="n">
        <v>46126</v>
      </c>
      <c r="F516" s="26" t="inlineStr">
        <is>
          <t>Sunil CR</t>
        </is>
      </c>
      <c r="G516" s="26" t="inlineStr">
        <is>
          <t>Yes</t>
        </is>
      </c>
      <c r="H516" s="26" t="inlineStr">
        <is>
          <t>No</t>
        </is>
      </c>
      <c r="I516" s="26" t="inlineStr">
        <is>
          <t>Good finish</t>
        </is>
      </c>
      <c r="J516" s="26" t="inlineStr">
        <is>
          <t>Yes</t>
        </is>
      </c>
      <c r="K516" s="27" t="n"/>
      <c r="L516" s="28" t="inlineStr">
        <is>
          <t>No</t>
        </is>
      </c>
      <c r="M516" s="29">
        <f>IF(E516="","",IF(H516="Yes","❌ Disc",IF(G516="No","⚠ Missing",IF(J516="Yes","✓ OK","⚠ Check"))))</f>
        <v/>
      </c>
      <c r="N516" s="43" t="n">
        <v>46193</v>
      </c>
      <c r="O516" s="26" t="inlineStr">
        <is>
          <t>Sunil CR</t>
        </is>
      </c>
      <c r="P516" s="26" t="inlineStr">
        <is>
          <t>Yes</t>
        </is>
      </c>
      <c r="Q516" s="26" t="inlineStr">
        <is>
          <t>No</t>
        </is>
      </c>
      <c r="R516" s="26" t="inlineStr">
        <is>
          <t>Good finish</t>
        </is>
      </c>
      <c r="S516" s="26" t="inlineStr">
        <is>
          <t>Yes</t>
        </is>
      </c>
      <c r="T516" s="27" t="n"/>
      <c r="U516" s="28" t="inlineStr">
        <is>
          <t>No</t>
        </is>
      </c>
      <c r="V516" s="29">
        <f>IF(N516="","",IF(Q516="Yes","❌ Disc",IF(P516="No","⚠ Missing",IF(S516="Yes","✓ OK","⚠ Check"))))</f>
        <v/>
      </c>
      <c r="W516" s="65" t="n">
        <v>46248</v>
      </c>
      <c r="X516" s="30" t="inlineStr">
        <is>
          <t>Sunil CR</t>
        </is>
      </c>
      <c r="Y516" s="30" t="inlineStr">
        <is>
          <t>Yes</t>
        </is>
      </c>
      <c r="Z516" s="30" t="n"/>
      <c r="AA516" s="30" t="inlineStr">
        <is>
          <t>Good finish</t>
        </is>
      </c>
      <c r="AB516" s="30" t="inlineStr">
        <is>
          <t>Yes</t>
        </is>
      </c>
      <c r="AC516" s="27" t="n"/>
      <c r="AD516" s="31" t="inlineStr">
        <is>
          <t>No</t>
        </is>
      </c>
      <c r="AE516" s="32">
        <f>IF(W516="","",IF(Z516="Yes","❌ Disc",IF(Y516="No","⚠ Missing",IF(AB516="Yes","✓ OK","⚠ Check"))))</f>
        <v/>
      </c>
      <c r="AF516" s="33" t="n"/>
      <c r="AG516" s="33" t="n"/>
      <c r="AH516" s="33" t="n"/>
      <c r="AI516" s="33" t="n"/>
      <c r="AJ516" s="33" t="n"/>
      <c r="AK516" s="33" t="n"/>
      <c r="AL516" s="27" t="n"/>
      <c r="AM516" s="34" t="n"/>
      <c r="AN516" s="35">
        <f>IF(AF516="","",IF(AI516="Yes","❌ Disc",IF(AH516="No","⚠ Missing",IF(AK516="Yes","✓ OK","⚠ Check"))))</f>
        <v/>
      </c>
      <c r="AO516" s="36" t="n"/>
      <c r="AP516" s="36" t="n"/>
      <c r="AQ516" s="36" t="n"/>
      <c r="AR516" s="36" t="n"/>
      <c r="AS516" s="36" t="n"/>
      <c r="AT516" s="36" t="n"/>
      <c r="AU516" s="27" t="n"/>
      <c r="AV516" s="37" t="n"/>
      <c r="AW516" s="38">
        <f>IF(AO516="","",IF(AR516="Yes","❌ Disc",IF(AQ516="No","⚠ Missing",IF(AT516="Yes","✓ OK","⚠ Check"))))</f>
        <v/>
      </c>
    </row>
    <row r="517" ht="18" customHeight="1" s="46">
      <c r="A517" s="23" t="n">
        <v>513</v>
      </c>
      <c r="B517" s="24" t="inlineStr">
        <is>
          <t>BD-VRM-2023-4803</t>
        </is>
      </c>
      <c r="C517" s="25" t="inlineStr">
        <is>
          <t>Bonito Wall Decor - Ehsaas, Grisaille Foliage Wallpaper 601522 - Premium Canvas paper</t>
        </is>
      </c>
      <c r="D517" s="23" t="inlineStr">
        <is>
          <t>Life n Colors</t>
        </is>
      </c>
      <c r="E517" s="43" t="n">
        <v>46126</v>
      </c>
      <c r="F517" s="26" t="inlineStr">
        <is>
          <t>Sunil CR</t>
        </is>
      </c>
      <c r="G517" s="26" t="inlineStr">
        <is>
          <t>Yes</t>
        </is>
      </c>
      <c r="H517" s="26" t="inlineStr">
        <is>
          <t>No</t>
        </is>
      </c>
      <c r="I517" s="26" t="inlineStr">
        <is>
          <t>Good finish</t>
        </is>
      </c>
      <c r="J517" s="26" t="inlineStr">
        <is>
          <t>Yes</t>
        </is>
      </c>
      <c r="K517" s="27" t="n"/>
      <c r="L517" s="28" t="inlineStr">
        <is>
          <t>No</t>
        </is>
      </c>
      <c r="M517" s="29">
        <f>IF(E517="","",IF(H517="Yes","❌ Disc",IF(G517="No","⚠ Missing",IF(J517="Yes","✓ OK","⚠ Check"))))</f>
        <v/>
      </c>
      <c r="N517" s="43" t="n">
        <v>46193</v>
      </c>
      <c r="O517" s="26" t="inlineStr">
        <is>
          <t>Sunil CR</t>
        </is>
      </c>
      <c r="P517" s="26" t="inlineStr">
        <is>
          <t>Yes</t>
        </is>
      </c>
      <c r="Q517" s="26" t="inlineStr">
        <is>
          <t>No</t>
        </is>
      </c>
      <c r="R517" s="26" t="inlineStr">
        <is>
          <t>Good finish</t>
        </is>
      </c>
      <c r="S517" s="26" t="inlineStr">
        <is>
          <t>Yes</t>
        </is>
      </c>
      <c r="T517" s="27" t="n"/>
      <c r="U517" s="28" t="inlineStr">
        <is>
          <t>No</t>
        </is>
      </c>
      <c r="V517" s="29">
        <f>IF(N517="","",IF(Q517="Yes","❌ Disc",IF(P517="No","⚠ Missing",IF(S517="Yes","✓ OK","⚠ Check"))))</f>
        <v/>
      </c>
      <c r="W517" s="65" t="n">
        <v>46248</v>
      </c>
      <c r="X517" s="30" t="inlineStr">
        <is>
          <t>Sunil CR</t>
        </is>
      </c>
      <c r="Y517" s="30" t="inlineStr">
        <is>
          <t>Yes</t>
        </is>
      </c>
      <c r="Z517" s="30" t="n"/>
      <c r="AA517" s="30" t="inlineStr">
        <is>
          <t>Good finish</t>
        </is>
      </c>
      <c r="AB517" s="30" t="inlineStr">
        <is>
          <t>Yes</t>
        </is>
      </c>
      <c r="AC517" s="27" t="n"/>
      <c r="AD517" s="31" t="inlineStr">
        <is>
          <t>No</t>
        </is>
      </c>
      <c r="AE517" s="32">
        <f>IF(W517="","",IF(Z517="Yes","❌ Disc",IF(Y517="No","⚠ Missing",IF(AB517="Yes","✓ OK","⚠ Check"))))</f>
        <v/>
      </c>
      <c r="AF517" s="33" t="n"/>
      <c r="AG517" s="33" t="n"/>
      <c r="AH517" s="33" t="n"/>
      <c r="AI517" s="33" t="n"/>
      <c r="AJ517" s="33" t="n"/>
      <c r="AK517" s="33" t="n"/>
      <c r="AL517" s="27" t="n"/>
      <c r="AM517" s="34" t="n"/>
      <c r="AN517" s="35">
        <f>IF(AF517="","",IF(AI517="Yes","❌ Disc",IF(AH517="No","⚠ Missing",IF(AK517="Yes","✓ OK","⚠ Check"))))</f>
        <v/>
      </c>
      <c r="AO517" s="36" t="n"/>
      <c r="AP517" s="36" t="n"/>
      <c r="AQ517" s="36" t="n"/>
      <c r="AR517" s="36" t="n"/>
      <c r="AS517" s="36" t="n"/>
      <c r="AT517" s="36" t="n"/>
      <c r="AU517" s="27" t="n"/>
      <c r="AV517" s="37" t="n"/>
      <c r="AW517" s="38">
        <f>IF(AO517="","",IF(AR517="Yes","❌ Disc",IF(AQ517="No","⚠ Missing",IF(AT517="Yes","✓ OK","⚠ Check"))))</f>
        <v/>
      </c>
    </row>
    <row r="518" ht="18" customHeight="1" s="46">
      <c r="A518" s="39" t="n">
        <v>514</v>
      </c>
      <c r="B518" s="40" t="inlineStr">
        <is>
          <t>BD-VRM-2024-0515</t>
        </is>
      </c>
      <c r="C518" s="41" t="inlineStr">
        <is>
          <t>Bonito Wall Decor - Ethereal Dreams Misty European Wallpaper (Canvas Paper - 603312)</t>
        </is>
      </c>
      <c r="D518" s="39" t="inlineStr">
        <is>
          <t>Life n Colors</t>
        </is>
      </c>
      <c r="E518" s="43" t="n">
        <v>46126</v>
      </c>
      <c r="F518" s="26" t="inlineStr">
        <is>
          <t>Sunil CR</t>
        </is>
      </c>
      <c r="G518" s="26" t="inlineStr">
        <is>
          <t>Yes</t>
        </is>
      </c>
      <c r="H518" s="26" t="inlineStr">
        <is>
          <t>No</t>
        </is>
      </c>
      <c r="I518" s="26" t="inlineStr">
        <is>
          <t>Good finish</t>
        </is>
      </c>
      <c r="J518" s="26" t="inlineStr">
        <is>
          <t>Yes</t>
        </is>
      </c>
      <c r="K518" s="27" t="n"/>
      <c r="L518" s="28" t="inlineStr">
        <is>
          <t>No</t>
        </is>
      </c>
      <c r="M518" s="29">
        <f>IF(E518="","",IF(H518="Yes","❌ Disc",IF(G518="No","⚠ Missing",IF(J518="Yes","✓ OK","⚠ Check"))))</f>
        <v/>
      </c>
      <c r="N518" s="43" t="n">
        <v>46193</v>
      </c>
      <c r="O518" s="26" t="inlineStr">
        <is>
          <t>Sunil CR</t>
        </is>
      </c>
      <c r="P518" s="26" t="inlineStr">
        <is>
          <t>Yes</t>
        </is>
      </c>
      <c r="Q518" s="26" t="inlineStr">
        <is>
          <t>No</t>
        </is>
      </c>
      <c r="R518" s="26" t="inlineStr">
        <is>
          <t>Good finish</t>
        </is>
      </c>
      <c r="S518" s="26" t="inlineStr">
        <is>
          <t>Yes</t>
        </is>
      </c>
      <c r="T518" s="27" t="n"/>
      <c r="U518" s="28" t="inlineStr">
        <is>
          <t>No</t>
        </is>
      </c>
      <c r="V518" s="29">
        <f>IF(N518="","",IF(Q518="Yes","❌ Disc",IF(P518="No","⚠ Missing",IF(S518="Yes","✓ OK","⚠ Check"))))</f>
        <v/>
      </c>
      <c r="W518" s="65" t="n">
        <v>46248</v>
      </c>
      <c r="X518" s="30" t="inlineStr">
        <is>
          <t>Sunil CR</t>
        </is>
      </c>
      <c r="Y518" s="30" t="inlineStr">
        <is>
          <t>Yes</t>
        </is>
      </c>
      <c r="Z518" s="30" t="n"/>
      <c r="AA518" s="30" t="inlineStr">
        <is>
          <t>Good finish</t>
        </is>
      </c>
      <c r="AB518" s="30" t="inlineStr">
        <is>
          <t>Yes</t>
        </is>
      </c>
      <c r="AC518" s="27" t="n"/>
      <c r="AD518" s="31" t="inlineStr">
        <is>
          <t>No</t>
        </is>
      </c>
      <c r="AE518" s="32">
        <f>IF(W518="","",IF(Z518="Yes","❌ Disc",IF(Y518="No","⚠ Missing",IF(AB518="Yes","✓ OK","⚠ Check"))))</f>
        <v/>
      </c>
      <c r="AF518" s="33" t="n"/>
      <c r="AG518" s="33" t="n"/>
      <c r="AH518" s="33" t="n"/>
      <c r="AI518" s="33" t="n"/>
      <c r="AJ518" s="33" t="n"/>
      <c r="AK518" s="33" t="n"/>
      <c r="AL518" s="27" t="n"/>
      <c r="AM518" s="34" t="n"/>
      <c r="AN518" s="35">
        <f>IF(AF518="","",IF(AI518="Yes","❌ Disc",IF(AH518="No","⚠ Missing",IF(AK518="Yes","✓ OK","⚠ Check"))))</f>
        <v/>
      </c>
      <c r="AO518" s="36" t="n"/>
      <c r="AP518" s="36" t="n"/>
      <c r="AQ518" s="36" t="n"/>
      <c r="AR518" s="36" t="n"/>
      <c r="AS518" s="36" t="n"/>
      <c r="AT518" s="36" t="n"/>
      <c r="AU518" s="27" t="n"/>
      <c r="AV518" s="37" t="n"/>
      <c r="AW518" s="38">
        <f>IF(AO518="","",IF(AR518="Yes","❌ Disc",IF(AQ518="No","⚠ Missing",IF(AT518="Yes","✓ OK","⚠ Check"))))</f>
        <v/>
      </c>
    </row>
    <row r="519" ht="18" customHeight="1" s="46">
      <c r="A519" s="23" t="n">
        <v>515</v>
      </c>
      <c r="B519" s="24" t="inlineStr">
        <is>
          <t>BD-VRM-2024-0527</t>
        </is>
      </c>
      <c r="C519" s="25" t="inlineStr">
        <is>
          <t>Bonito Wall Decor - Ethereal Dreams Misty European Wallpaper (Handmade Paper - 603922)</t>
        </is>
      </c>
      <c r="D519" s="23" t="inlineStr">
        <is>
          <t>Life n Colors</t>
        </is>
      </c>
      <c r="E519" s="43" t="n">
        <v>46126</v>
      </c>
      <c r="F519" s="26" t="inlineStr">
        <is>
          <t>Sunil CR</t>
        </is>
      </c>
      <c r="G519" s="26" t="inlineStr">
        <is>
          <t>Yes</t>
        </is>
      </c>
      <c r="H519" s="26" t="inlineStr">
        <is>
          <t>No</t>
        </is>
      </c>
      <c r="I519" s="26" t="inlineStr">
        <is>
          <t>Good finish</t>
        </is>
      </c>
      <c r="J519" s="26" t="inlineStr">
        <is>
          <t>Yes</t>
        </is>
      </c>
      <c r="K519" s="27" t="n"/>
      <c r="L519" s="28" t="inlineStr">
        <is>
          <t>No</t>
        </is>
      </c>
      <c r="M519" s="29">
        <f>IF(E519="","",IF(H519="Yes","❌ Disc",IF(G519="No","⚠ Missing",IF(J519="Yes","✓ OK","⚠ Check"))))</f>
        <v/>
      </c>
      <c r="N519" s="43" t="n">
        <v>46193</v>
      </c>
      <c r="O519" s="26" t="inlineStr">
        <is>
          <t>Sunil CR</t>
        </is>
      </c>
      <c r="P519" s="26" t="inlineStr">
        <is>
          <t>Yes</t>
        </is>
      </c>
      <c r="Q519" s="26" t="inlineStr">
        <is>
          <t>No</t>
        </is>
      </c>
      <c r="R519" s="26" t="inlineStr">
        <is>
          <t>Good finish</t>
        </is>
      </c>
      <c r="S519" s="26" t="inlineStr">
        <is>
          <t>Yes</t>
        </is>
      </c>
      <c r="T519" s="27" t="n"/>
      <c r="U519" s="28" t="inlineStr">
        <is>
          <t>No</t>
        </is>
      </c>
      <c r="V519" s="29">
        <f>IF(N519="","",IF(Q519="Yes","❌ Disc",IF(P519="No","⚠ Missing",IF(S519="Yes","✓ OK","⚠ Check"))))</f>
        <v/>
      </c>
      <c r="W519" s="65" t="n">
        <v>46248</v>
      </c>
      <c r="X519" s="30" t="inlineStr">
        <is>
          <t>Sunil CR</t>
        </is>
      </c>
      <c r="Y519" s="30" t="inlineStr">
        <is>
          <t>Yes</t>
        </is>
      </c>
      <c r="Z519" s="30" t="n"/>
      <c r="AA519" s="30" t="inlineStr">
        <is>
          <t>Good finish</t>
        </is>
      </c>
      <c r="AB519" s="30" t="inlineStr">
        <is>
          <t>Yes</t>
        </is>
      </c>
      <c r="AC519" s="27" t="n"/>
      <c r="AD519" s="31" t="inlineStr">
        <is>
          <t>No</t>
        </is>
      </c>
      <c r="AE519" s="32">
        <f>IF(W519="","",IF(Z519="Yes","❌ Disc",IF(Y519="No","⚠ Missing",IF(AB519="Yes","✓ OK","⚠ Check"))))</f>
        <v/>
      </c>
      <c r="AF519" s="33" t="n"/>
      <c r="AG519" s="33" t="n"/>
      <c r="AH519" s="33" t="n"/>
      <c r="AI519" s="33" t="n"/>
      <c r="AJ519" s="33" t="n"/>
      <c r="AK519" s="33" t="n"/>
      <c r="AL519" s="27" t="n"/>
      <c r="AM519" s="34" t="n"/>
      <c r="AN519" s="35">
        <f>IF(AF519="","",IF(AI519="Yes","❌ Disc",IF(AH519="No","⚠ Missing",IF(AK519="Yes","✓ OK","⚠ Check"))))</f>
        <v/>
      </c>
      <c r="AO519" s="36" t="n"/>
      <c r="AP519" s="36" t="n"/>
      <c r="AQ519" s="36" t="n"/>
      <c r="AR519" s="36" t="n"/>
      <c r="AS519" s="36" t="n"/>
      <c r="AT519" s="36" t="n"/>
      <c r="AU519" s="27" t="n"/>
      <c r="AV519" s="37" t="n"/>
      <c r="AW519" s="38">
        <f>IF(AO519="","",IF(AR519="Yes","❌ Disc",IF(AQ519="No","⚠ Missing",IF(AT519="Yes","✓ OK","⚠ Check"))))</f>
        <v/>
      </c>
    </row>
    <row r="520" ht="18" customHeight="1" s="46">
      <c r="A520" s="39" t="n">
        <v>516</v>
      </c>
      <c r="B520" s="40" t="inlineStr">
        <is>
          <t>BD-VRM-2023-4767</t>
        </is>
      </c>
      <c r="C520" s="41" t="inlineStr">
        <is>
          <t>Bonito Wall Decor - Face Art Design, Dirt Brown, Distorted Textured Wallpaper 601311 - Soft feel paper</t>
        </is>
      </c>
      <c r="D520" s="39" t="inlineStr">
        <is>
          <t>Life n Colors</t>
        </is>
      </c>
      <c r="E520" s="43" t="n">
        <v>46126</v>
      </c>
      <c r="F520" s="26" t="inlineStr">
        <is>
          <t>Sunil CR</t>
        </is>
      </c>
      <c r="G520" s="26" t="inlineStr">
        <is>
          <t>Yes</t>
        </is>
      </c>
      <c r="H520" s="26" t="inlineStr">
        <is>
          <t>No</t>
        </is>
      </c>
      <c r="I520" s="26" t="inlineStr">
        <is>
          <t>Good finish</t>
        </is>
      </c>
      <c r="J520" s="26" t="inlineStr">
        <is>
          <t>Yes</t>
        </is>
      </c>
      <c r="K520" s="27" t="n"/>
      <c r="L520" s="28" t="inlineStr">
        <is>
          <t>No</t>
        </is>
      </c>
      <c r="M520" s="29">
        <f>IF(E520="","",IF(H520="Yes","❌ Disc",IF(G520="No","⚠ Missing",IF(J520="Yes","✓ OK","⚠ Check"))))</f>
        <v/>
      </c>
      <c r="N520" s="43" t="n">
        <v>46193</v>
      </c>
      <c r="O520" s="26" t="inlineStr">
        <is>
          <t>Sunil CR</t>
        </is>
      </c>
      <c r="P520" s="26" t="inlineStr">
        <is>
          <t>Yes</t>
        </is>
      </c>
      <c r="Q520" s="26" t="inlineStr">
        <is>
          <t>No</t>
        </is>
      </c>
      <c r="R520" s="26" t="inlineStr">
        <is>
          <t>Good finish</t>
        </is>
      </c>
      <c r="S520" s="26" t="inlineStr">
        <is>
          <t>Yes</t>
        </is>
      </c>
      <c r="T520" s="27" t="n"/>
      <c r="U520" s="28" t="inlineStr">
        <is>
          <t>No</t>
        </is>
      </c>
      <c r="V520" s="29">
        <f>IF(N520="","",IF(Q520="Yes","❌ Disc",IF(P520="No","⚠ Missing",IF(S520="Yes","✓ OK","⚠ Check"))))</f>
        <v/>
      </c>
      <c r="W520" s="65" t="n">
        <v>46248</v>
      </c>
      <c r="X520" s="30" t="inlineStr">
        <is>
          <t>Sunil CR</t>
        </is>
      </c>
      <c r="Y520" s="30" t="inlineStr">
        <is>
          <t>Yes</t>
        </is>
      </c>
      <c r="Z520" s="30" t="n"/>
      <c r="AA520" s="30" t="inlineStr">
        <is>
          <t>Good finish</t>
        </is>
      </c>
      <c r="AB520" s="30" t="inlineStr">
        <is>
          <t>Yes</t>
        </is>
      </c>
      <c r="AC520" s="27" t="n"/>
      <c r="AD520" s="31" t="inlineStr">
        <is>
          <t>No</t>
        </is>
      </c>
      <c r="AE520" s="32">
        <f>IF(W520="","",IF(Z520="Yes","❌ Disc",IF(Y520="No","⚠ Missing",IF(AB520="Yes","✓ OK","⚠ Check"))))</f>
        <v/>
      </c>
      <c r="AF520" s="33" t="n"/>
      <c r="AG520" s="33" t="n"/>
      <c r="AH520" s="33" t="n"/>
      <c r="AI520" s="33" t="n"/>
      <c r="AJ520" s="33" t="n"/>
      <c r="AK520" s="33" t="n"/>
      <c r="AL520" s="27" t="n"/>
      <c r="AM520" s="34" t="n"/>
      <c r="AN520" s="35">
        <f>IF(AF520="","",IF(AI520="Yes","❌ Disc",IF(AH520="No","⚠ Missing",IF(AK520="Yes","✓ OK","⚠ Check"))))</f>
        <v/>
      </c>
      <c r="AO520" s="36" t="n"/>
      <c r="AP520" s="36" t="n"/>
      <c r="AQ520" s="36" t="n"/>
      <c r="AR520" s="36" t="n"/>
      <c r="AS520" s="36" t="n"/>
      <c r="AT520" s="36" t="n"/>
      <c r="AU520" s="27" t="n"/>
      <c r="AV520" s="37" t="n"/>
      <c r="AW520" s="38">
        <f>IF(AO520="","",IF(AR520="Yes","❌ Disc",IF(AQ520="No","⚠ Missing",IF(AT520="Yes","✓ OK","⚠ Check"))))</f>
        <v/>
      </c>
    </row>
    <row r="521" ht="18" customHeight="1" s="46">
      <c r="A521" s="23" t="n">
        <v>517</v>
      </c>
      <c r="B521" s="24" t="inlineStr">
        <is>
          <t>BD-VRM-2023-4792</t>
        </is>
      </c>
      <c r="C521" s="25" t="inlineStr">
        <is>
          <t>Bonito Wall Decor - Face Art Design, Dirt Brown, Distorted Textured Wallpaper 601312 - Canvas paper</t>
        </is>
      </c>
      <c r="D521" s="23" t="inlineStr">
        <is>
          <t>Life n Colors</t>
        </is>
      </c>
      <c r="E521" s="43" t="n">
        <v>46126</v>
      </c>
      <c r="F521" s="26" t="inlineStr">
        <is>
          <t>Sunil CR</t>
        </is>
      </c>
      <c r="G521" s="26" t="inlineStr">
        <is>
          <t>Yes</t>
        </is>
      </c>
      <c r="H521" s="26" t="inlineStr">
        <is>
          <t>No</t>
        </is>
      </c>
      <c r="I521" s="26" t="inlineStr">
        <is>
          <t>Good finish</t>
        </is>
      </c>
      <c r="J521" s="26" t="inlineStr">
        <is>
          <t>Yes</t>
        </is>
      </c>
      <c r="K521" s="27" t="n"/>
      <c r="L521" s="28" t="inlineStr">
        <is>
          <t>No</t>
        </is>
      </c>
      <c r="M521" s="29">
        <f>IF(E521="","",IF(H521="Yes","❌ Disc",IF(G521="No","⚠ Missing",IF(J521="Yes","✓ OK","⚠ Check"))))</f>
        <v/>
      </c>
      <c r="N521" s="43" t="n">
        <v>46193</v>
      </c>
      <c r="O521" s="26" t="inlineStr">
        <is>
          <t>Sunil CR</t>
        </is>
      </c>
      <c r="P521" s="26" t="inlineStr">
        <is>
          <t>Yes</t>
        </is>
      </c>
      <c r="Q521" s="26" t="inlineStr">
        <is>
          <t>No</t>
        </is>
      </c>
      <c r="R521" s="26" t="inlineStr">
        <is>
          <t>Good finish</t>
        </is>
      </c>
      <c r="S521" s="26" t="inlineStr">
        <is>
          <t>Yes</t>
        </is>
      </c>
      <c r="T521" s="27" t="n"/>
      <c r="U521" s="28" t="inlineStr">
        <is>
          <t>No</t>
        </is>
      </c>
      <c r="V521" s="29">
        <f>IF(N521="","",IF(Q521="Yes","❌ Disc",IF(P521="No","⚠ Missing",IF(S521="Yes","✓ OK","⚠ Check"))))</f>
        <v/>
      </c>
      <c r="W521" s="65" t="n">
        <v>46248</v>
      </c>
      <c r="X521" s="30" t="inlineStr">
        <is>
          <t>Sunil CR</t>
        </is>
      </c>
      <c r="Y521" s="30" t="inlineStr">
        <is>
          <t>Yes</t>
        </is>
      </c>
      <c r="Z521" s="30" t="n"/>
      <c r="AA521" s="30" t="inlineStr">
        <is>
          <t>Good finish</t>
        </is>
      </c>
      <c r="AB521" s="30" t="inlineStr">
        <is>
          <t>Yes</t>
        </is>
      </c>
      <c r="AC521" s="27" t="n"/>
      <c r="AD521" s="31" t="inlineStr">
        <is>
          <t>No</t>
        </is>
      </c>
      <c r="AE521" s="32">
        <f>IF(W521="","",IF(Z521="Yes","❌ Disc",IF(Y521="No","⚠ Missing",IF(AB521="Yes","✓ OK","⚠ Check"))))</f>
        <v/>
      </c>
      <c r="AF521" s="33" t="n"/>
      <c r="AG521" s="33" t="n"/>
      <c r="AH521" s="33" t="n"/>
      <c r="AI521" s="33" t="n"/>
      <c r="AJ521" s="33" t="n"/>
      <c r="AK521" s="33" t="n"/>
      <c r="AL521" s="27" t="n"/>
      <c r="AM521" s="34" t="n"/>
      <c r="AN521" s="35">
        <f>IF(AF521="","",IF(AI521="Yes","❌ Disc",IF(AH521="No","⚠ Missing",IF(AK521="Yes","✓ OK","⚠ Check"))))</f>
        <v/>
      </c>
      <c r="AO521" s="36" t="n"/>
      <c r="AP521" s="36" t="n"/>
      <c r="AQ521" s="36" t="n"/>
      <c r="AR521" s="36" t="n"/>
      <c r="AS521" s="36" t="n"/>
      <c r="AT521" s="36" t="n"/>
      <c r="AU521" s="27" t="n"/>
      <c r="AV521" s="37" t="n"/>
      <c r="AW521" s="38">
        <f>IF(AO521="","",IF(AR521="Yes","❌ Disc",IF(AQ521="No","⚠ Missing",IF(AT521="Yes","✓ OK","⚠ Check"))))</f>
        <v/>
      </c>
    </row>
    <row r="522" ht="18" customHeight="1" s="46">
      <c r="A522" s="39" t="n">
        <v>518</v>
      </c>
      <c r="B522" s="40" t="inlineStr">
        <is>
          <t>BD-VRM-2023-4746</t>
        </is>
      </c>
      <c r="C522" s="41" t="inlineStr">
        <is>
          <t>Bonito Wall Decor - Fairyland Dreams Girls Room Wallpaper 600221 - Soft feel paper</t>
        </is>
      </c>
      <c r="D522" s="39" t="inlineStr">
        <is>
          <t>Life n Colors</t>
        </is>
      </c>
      <c r="E522" s="43" t="n">
        <v>46126</v>
      </c>
      <c r="F522" s="26" t="inlineStr">
        <is>
          <t>Sunil CR</t>
        </is>
      </c>
      <c r="G522" s="26" t="inlineStr">
        <is>
          <t>Yes</t>
        </is>
      </c>
      <c r="H522" s="26" t="inlineStr">
        <is>
          <t>No</t>
        </is>
      </c>
      <c r="I522" s="26" t="inlineStr">
        <is>
          <t>Good finish</t>
        </is>
      </c>
      <c r="J522" s="26" t="inlineStr">
        <is>
          <t>Yes</t>
        </is>
      </c>
      <c r="K522" s="27" t="n"/>
      <c r="L522" s="28" t="inlineStr">
        <is>
          <t>No</t>
        </is>
      </c>
      <c r="M522" s="29">
        <f>IF(E522="","",IF(H522="Yes","❌ Disc",IF(G522="No","⚠ Missing",IF(J522="Yes","✓ OK","⚠ Check"))))</f>
        <v/>
      </c>
      <c r="N522" s="43" t="n">
        <v>46193</v>
      </c>
      <c r="O522" s="26" t="inlineStr">
        <is>
          <t>Sunil CR</t>
        </is>
      </c>
      <c r="P522" s="26" t="inlineStr">
        <is>
          <t>Yes</t>
        </is>
      </c>
      <c r="Q522" s="26" t="inlineStr">
        <is>
          <t>No</t>
        </is>
      </c>
      <c r="R522" s="26" t="inlineStr">
        <is>
          <t>Good finish</t>
        </is>
      </c>
      <c r="S522" s="26" t="inlineStr">
        <is>
          <t>Yes</t>
        </is>
      </c>
      <c r="T522" s="27" t="n"/>
      <c r="U522" s="28" t="inlineStr">
        <is>
          <t>No</t>
        </is>
      </c>
      <c r="V522" s="29">
        <f>IF(N522="","",IF(Q522="Yes","❌ Disc",IF(P522="No","⚠ Missing",IF(S522="Yes","✓ OK","⚠ Check"))))</f>
        <v/>
      </c>
      <c r="W522" s="65" t="n">
        <v>46248</v>
      </c>
      <c r="X522" s="30" t="inlineStr">
        <is>
          <t>Sunil CR</t>
        </is>
      </c>
      <c r="Y522" s="30" t="inlineStr">
        <is>
          <t>Yes</t>
        </is>
      </c>
      <c r="Z522" s="30" t="n"/>
      <c r="AA522" s="30" t="inlineStr">
        <is>
          <t>Good finish</t>
        </is>
      </c>
      <c r="AB522" s="30" t="inlineStr">
        <is>
          <t>Yes</t>
        </is>
      </c>
      <c r="AC522" s="27" t="n"/>
      <c r="AD522" s="31" t="inlineStr">
        <is>
          <t>No</t>
        </is>
      </c>
      <c r="AE522" s="32">
        <f>IF(W522="","",IF(Z522="Yes","❌ Disc",IF(Y522="No","⚠ Missing",IF(AB522="Yes","✓ OK","⚠ Check"))))</f>
        <v/>
      </c>
      <c r="AF522" s="33" t="n"/>
      <c r="AG522" s="33" t="n"/>
      <c r="AH522" s="33" t="n"/>
      <c r="AI522" s="33" t="n"/>
      <c r="AJ522" s="33" t="n"/>
      <c r="AK522" s="33" t="n"/>
      <c r="AL522" s="27" t="n"/>
      <c r="AM522" s="34" t="n"/>
      <c r="AN522" s="35">
        <f>IF(AF522="","",IF(AI522="Yes","❌ Disc",IF(AH522="No","⚠ Missing",IF(AK522="Yes","✓ OK","⚠ Check"))))</f>
        <v/>
      </c>
      <c r="AO522" s="36" t="n"/>
      <c r="AP522" s="36" t="n"/>
      <c r="AQ522" s="36" t="n"/>
      <c r="AR522" s="36" t="n"/>
      <c r="AS522" s="36" t="n"/>
      <c r="AT522" s="36" t="n"/>
      <c r="AU522" s="27" t="n"/>
      <c r="AV522" s="37" t="n"/>
      <c r="AW522" s="38">
        <f>IF(AO522="","",IF(AR522="Yes","❌ Disc",IF(AQ522="No","⚠ Missing",IF(AT522="Yes","✓ OK","⚠ Check"))))</f>
        <v/>
      </c>
    </row>
    <row r="523" ht="18" customHeight="1" s="46">
      <c r="A523" s="23" t="n">
        <v>519</v>
      </c>
      <c r="B523" s="24" t="inlineStr">
        <is>
          <t>BD-VRM-2023-4771</t>
        </is>
      </c>
      <c r="C523" s="25" t="inlineStr">
        <is>
          <t>Bonito Wall Decor - Fairyland Dreams Girls Room Wallpaper 600222 - Canvas paper</t>
        </is>
      </c>
      <c r="D523" s="23" t="inlineStr">
        <is>
          <t>Life n Colors</t>
        </is>
      </c>
      <c r="E523" s="43" t="n">
        <v>46126</v>
      </c>
      <c r="F523" s="26" t="inlineStr">
        <is>
          <t>Sunil CR</t>
        </is>
      </c>
      <c r="G523" s="26" t="inlineStr">
        <is>
          <t>Yes</t>
        </is>
      </c>
      <c r="H523" s="26" t="inlineStr">
        <is>
          <t>No</t>
        </is>
      </c>
      <c r="I523" s="26" t="inlineStr">
        <is>
          <t>Good finish</t>
        </is>
      </c>
      <c r="J523" s="26" t="inlineStr">
        <is>
          <t>Yes</t>
        </is>
      </c>
      <c r="K523" s="27" t="n"/>
      <c r="L523" s="28" t="inlineStr">
        <is>
          <t>No</t>
        </is>
      </c>
      <c r="M523" s="29">
        <f>IF(E523="","",IF(H523="Yes","❌ Disc",IF(G523="No","⚠ Missing",IF(J523="Yes","✓ OK","⚠ Check"))))</f>
        <v/>
      </c>
      <c r="N523" s="43" t="n">
        <v>46193</v>
      </c>
      <c r="O523" s="26" t="inlineStr">
        <is>
          <t>Sunil CR</t>
        </is>
      </c>
      <c r="P523" s="26" t="inlineStr">
        <is>
          <t>Yes</t>
        </is>
      </c>
      <c r="Q523" s="26" t="inlineStr">
        <is>
          <t>No</t>
        </is>
      </c>
      <c r="R523" s="26" t="inlineStr">
        <is>
          <t>Good finish</t>
        </is>
      </c>
      <c r="S523" s="26" t="inlineStr">
        <is>
          <t>Yes</t>
        </is>
      </c>
      <c r="T523" s="27" t="n"/>
      <c r="U523" s="28" t="inlineStr">
        <is>
          <t>No</t>
        </is>
      </c>
      <c r="V523" s="29">
        <f>IF(N523="","",IF(Q523="Yes","❌ Disc",IF(P523="No","⚠ Missing",IF(S523="Yes","✓ OK","⚠ Check"))))</f>
        <v/>
      </c>
      <c r="W523" s="65" t="n">
        <v>46248</v>
      </c>
      <c r="X523" s="30" t="inlineStr">
        <is>
          <t>Sunil CR</t>
        </is>
      </c>
      <c r="Y523" s="30" t="inlineStr">
        <is>
          <t>Yes</t>
        </is>
      </c>
      <c r="Z523" s="30" t="n"/>
      <c r="AA523" s="30" t="inlineStr">
        <is>
          <t>Good finish</t>
        </is>
      </c>
      <c r="AB523" s="30" t="inlineStr">
        <is>
          <t>Yes</t>
        </is>
      </c>
      <c r="AC523" s="27" t="n"/>
      <c r="AD523" s="31" t="inlineStr">
        <is>
          <t>No</t>
        </is>
      </c>
      <c r="AE523" s="32">
        <f>IF(W523="","",IF(Z523="Yes","❌ Disc",IF(Y523="No","⚠ Missing",IF(AB523="Yes","✓ OK","⚠ Check"))))</f>
        <v/>
      </c>
      <c r="AF523" s="33" t="n"/>
      <c r="AG523" s="33" t="n"/>
      <c r="AH523" s="33" t="n"/>
      <c r="AI523" s="33" t="n"/>
      <c r="AJ523" s="33" t="n"/>
      <c r="AK523" s="33" t="n"/>
      <c r="AL523" s="27" t="n"/>
      <c r="AM523" s="34" t="n"/>
      <c r="AN523" s="35">
        <f>IF(AF523="","",IF(AI523="Yes","❌ Disc",IF(AH523="No","⚠ Missing",IF(AK523="Yes","✓ OK","⚠ Check"))))</f>
        <v/>
      </c>
      <c r="AO523" s="36" t="n"/>
      <c r="AP523" s="36" t="n"/>
      <c r="AQ523" s="36" t="n"/>
      <c r="AR523" s="36" t="n"/>
      <c r="AS523" s="36" t="n"/>
      <c r="AT523" s="36" t="n"/>
      <c r="AU523" s="27" t="n"/>
      <c r="AV523" s="37" t="n"/>
      <c r="AW523" s="38">
        <f>IF(AO523="","",IF(AR523="Yes","❌ Disc",IF(AQ523="No","⚠ Missing",IF(AT523="Yes","✓ OK","⚠ Check"))))</f>
        <v/>
      </c>
    </row>
    <row r="524" ht="18" customHeight="1" s="46">
      <c r="A524" s="39" t="n">
        <v>520</v>
      </c>
      <c r="B524" s="40" t="inlineStr">
        <is>
          <t>BD-VRM-2024-0525</t>
        </is>
      </c>
      <c r="C524" s="41" t="inlineStr">
        <is>
          <t>Bonito Wall Decor - Garden Charm European Style Room Wallpaper Customised (Handmade Paper - 603822)</t>
        </is>
      </c>
      <c r="D524" s="39" t="inlineStr">
        <is>
          <t>Life n Colors</t>
        </is>
      </c>
      <c r="E524" s="43" t="n">
        <v>46126</v>
      </c>
      <c r="F524" s="26" t="inlineStr">
        <is>
          <t>Sunil CR</t>
        </is>
      </c>
      <c r="G524" s="26" t="inlineStr">
        <is>
          <t>Yes</t>
        </is>
      </c>
      <c r="H524" s="26" t="inlineStr">
        <is>
          <t>No</t>
        </is>
      </c>
      <c r="I524" s="26" t="inlineStr">
        <is>
          <t>Good finish</t>
        </is>
      </c>
      <c r="J524" s="26" t="inlineStr">
        <is>
          <t>Yes</t>
        </is>
      </c>
      <c r="K524" s="27" t="n"/>
      <c r="L524" s="28" t="inlineStr">
        <is>
          <t>No</t>
        </is>
      </c>
      <c r="M524" s="29">
        <f>IF(E524="","",IF(H524="Yes","❌ Disc",IF(G524="No","⚠ Missing",IF(J524="Yes","✓ OK","⚠ Check"))))</f>
        <v/>
      </c>
      <c r="N524" s="43" t="n">
        <v>46193</v>
      </c>
      <c r="O524" s="26" t="inlineStr">
        <is>
          <t>Sunil CR</t>
        </is>
      </c>
      <c r="P524" s="26" t="inlineStr">
        <is>
          <t>Yes</t>
        </is>
      </c>
      <c r="Q524" s="26" t="inlineStr">
        <is>
          <t>No</t>
        </is>
      </c>
      <c r="R524" s="26" t="inlineStr">
        <is>
          <t>Good finish</t>
        </is>
      </c>
      <c r="S524" s="26" t="inlineStr">
        <is>
          <t>Yes</t>
        </is>
      </c>
      <c r="T524" s="27" t="n"/>
      <c r="U524" s="28" t="inlineStr">
        <is>
          <t>No</t>
        </is>
      </c>
      <c r="V524" s="29">
        <f>IF(N524="","",IF(Q524="Yes","❌ Disc",IF(P524="No","⚠ Missing",IF(S524="Yes","✓ OK","⚠ Check"))))</f>
        <v/>
      </c>
      <c r="W524" s="65" t="n">
        <v>46248</v>
      </c>
      <c r="X524" s="30" t="inlineStr">
        <is>
          <t>Sunil CR</t>
        </is>
      </c>
      <c r="Y524" s="30" t="inlineStr">
        <is>
          <t>Yes</t>
        </is>
      </c>
      <c r="Z524" s="30" t="n"/>
      <c r="AA524" s="30" t="inlineStr">
        <is>
          <t>Good finish</t>
        </is>
      </c>
      <c r="AB524" s="30" t="inlineStr">
        <is>
          <t>Yes</t>
        </is>
      </c>
      <c r="AC524" s="27" t="n"/>
      <c r="AD524" s="31" t="inlineStr">
        <is>
          <t>No</t>
        </is>
      </c>
      <c r="AE524" s="32">
        <f>IF(W524="","",IF(Z524="Yes","❌ Disc",IF(Y524="No","⚠ Missing",IF(AB524="Yes","✓ OK","⚠ Check"))))</f>
        <v/>
      </c>
      <c r="AF524" s="33" t="n"/>
      <c r="AG524" s="33" t="n"/>
      <c r="AH524" s="33" t="n"/>
      <c r="AI524" s="33" t="n"/>
      <c r="AJ524" s="33" t="n"/>
      <c r="AK524" s="33" t="n"/>
      <c r="AL524" s="27" t="n"/>
      <c r="AM524" s="34" t="n"/>
      <c r="AN524" s="35">
        <f>IF(AF524="","",IF(AI524="Yes","❌ Disc",IF(AH524="No","⚠ Missing",IF(AK524="Yes","✓ OK","⚠ Check"))))</f>
        <v/>
      </c>
      <c r="AO524" s="36" t="n"/>
      <c r="AP524" s="36" t="n"/>
      <c r="AQ524" s="36" t="n"/>
      <c r="AR524" s="36" t="n"/>
      <c r="AS524" s="36" t="n"/>
      <c r="AT524" s="36" t="n"/>
      <c r="AU524" s="27" t="n"/>
      <c r="AV524" s="37" t="n"/>
      <c r="AW524" s="38">
        <f>IF(AO524="","",IF(AR524="Yes","❌ Disc",IF(AQ524="No","⚠ Missing",IF(AT524="Yes","✓ OK","⚠ Check"))))</f>
        <v/>
      </c>
    </row>
    <row r="525" ht="18" customHeight="1" s="46">
      <c r="A525" s="23" t="n">
        <v>521</v>
      </c>
      <c r="B525" s="24" t="inlineStr">
        <is>
          <t>BD-VRM-2024-0513</t>
        </is>
      </c>
      <c r="C525" s="25" t="inlineStr">
        <is>
          <t>Bonito Wall Decor - Garden Charm European Style Room Wallpaper, Customised (Canvas Paper - 603212)</t>
        </is>
      </c>
      <c r="D525" s="23" t="inlineStr">
        <is>
          <t>Life n Colors</t>
        </is>
      </c>
      <c r="E525" s="43" t="n">
        <v>46126</v>
      </c>
      <c r="F525" s="26" t="inlineStr">
        <is>
          <t>Sunil CR</t>
        </is>
      </c>
      <c r="G525" s="26" t="inlineStr">
        <is>
          <t>Yes</t>
        </is>
      </c>
      <c r="H525" s="26" t="inlineStr">
        <is>
          <t>No</t>
        </is>
      </c>
      <c r="I525" s="26" t="inlineStr">
        <is>
          <t>Good finish</t>
        </is>
      </c>
      <c r="J525" s="26" t="inlineStr">
        <is>
          <t>Yes</t>
        </is>
      </c>
      <c r="K525" s="27" t="n"/>
      <c r="L525" s="28" t="inlineStr">
        <is>
          <t>No</t>
        </is>
      </c>
      <c r="M525" s="29">
        <f>IF(E525="","",IF(H525="Yes","❌ Disc",IF(G525="No","⚠ Missing",IF(J525="Yes","✓ OK","⚠ Check"))))</f>
        <v/>
      </c>
      <c r="N525" s="43" t="n">
        <v>46193</v>
      </c>
      <c r="O525" s="26" t="inlineStr">
        <is>
          <t>Sunil CR</t>
        </is>
      </c>
      <c r="P525" s="26" t="inlineStr">
        <is>
          <t>Yes</t>
        </is>
      </c>
      <c r="Q525" s="26" t="inlineStr">
        <is>
          <t>No</t>
        </is>
      </c>
      <c r="R525" s="26" t="inlineStr">
        <is>
          <t>Good finish</t>
        </is>
      </c>
      <c r="S525" s="26" t="inlineStr">
        <is>
          <t>Yes</t>
        </is>
      </c>
      <c r="T525" s="27" t="n"/>
      <c r="U525" s="28" t="inlineStr">
        <is>
          <t>No</t>
        </is>
      </c>
      <c r="V525" s="29">
        <f>IF(N525="","",IF(Q525="Yes","❌ Disc",IF(P525="No","⚠ Missing",IF(S525="Yes","✓ OK","⚠ Check"))))</f>
        <v/>
      </c>
      <c r="W525" s="65" t="n">
        <v>46248</v>
      </c>
      <c r="X525" s="30" t="inlineStr">
        <is>
          <t>Sunil CR</t>
        </is>
      </c>
      <c r="Y525" s="30" t="inlineStr">
        <is>
          <t>Yes</t>
        </is>
      </c>
      <c r="Z525" s="30" t="n"/>
      <c r="AA525" s="30" t="inlineStr">
        <is>
          <t>Good finish</t>
        </is>
      </c>
      <c r="AB525" s="30" t="inlineStr">
        <is>
          <t>Yes</t>
        </is>
      </c>
      <c r="AC525" s="27" t="n"/>
      <c r="AD525" s="31" t="inlineStr">
        <is>
          <t>No</t>
        </is>
      </c>
      <c r="AE525" s="32">
        <f>IF(W525="","",IF(Z525="Yes","❌ Disc",IF(Y525="No","⚠ Missing",IF(AB525="Yes","✓ OK","⚠ Check"))))</f>
        <v/>
      </c>
      <c r="AF525" s="33" t="n"/>
      <c r="AG525" s="33" t="n"/>
      <c r="AH525" s="33" t="n"/>
      <c r="AI525" s="33" t="n"/>
      <c r="AJ525" s="33" t="n"/>
      <c r="AK525" s="33" t="n"/>
      <c r="AL525" s="27" t="n"/>
      <c r="AM525" s="34" t="n"/>
      <c r="AN525" s="35">
        <f>IF(AF525="","",IF(AI525="Yes","❌ Disc",IF(AH525="No","⚠ Missing",IF(AK525="Yes","✓ OK","⚠ Check"))))</f>
        <v/>
      </c>
      <c r="AO525" s="36" t="n"/>
      <c r="AP525" s="36" t="n"/>
      <c r="AQ525" s="36" t="n"/>
      <c r="AR525" s="36" t="n"/>
      <c r="AS525" s="36" t="n"/>
      <c r="AT525" s="36" t="n"/>
      <c r="AU525" s="27" t="n"/>
      <c r="AV525" s="37" t="n"/>
      <c r="AW525" s="38">
        <f>IF(AO525="","",IF(AR525="Yes","❌ Disc",IF(AQ525="No","⚠ Missing",IF(AT525="Yes","✓ OK","⚠ Check"))))</f>
        <v/>
      </c>
    </row>
    <row r="526" ht="18" customHeight="1" s="46">
      <c r="A526" s="39" t="n">
        <v>522</v>
      </c>
      <c r="B526" s="40" t="inlineStr">
        <is>
          <t>BD-VRM-2024-0516</t>
        </is>
      </c>
      <c r="C526" s="41" t="inlineStr">
        <is>
          <t>Bonito Wall Decor - Garden Elegance Continental Room Wallpaper (Canvas Paper - 603322)</t>
        </is>
      </c>
      <c r="D526" s="39" t="inlineStr">
        <is>
          <t>Life n Colors</t>
        </is>
      </c>
      <c r="E526" s="43" t="n">
        <v>46126</v>
      </c>
      <c r="F526" s="26" t="inlineStr">
        <is>
          <t>Sunil CR</t>
        </is>
      </c>
      <c r="G526" s="26" t="inlineStr">
        <is>
          <t>Yes</t>
        </is>
      </c>
      <c r="H526" s="26" t="inlineStr">
        <is>
          <t>No</t>
        </is>
      </c>
      <c r="I526" s="26" t="inlineStr">
        <is>
          <t>Good finish</t>
        </is>
      </c>
      <c r="J526" s="26" t="inlineStr">
        <is>
          <t>Yes</t>
        </is>
      </c>
      <c r="K526" s="27" t="n"/>
      <c r="L526" s="28" t="inlineStr">
        <is>
          <t>No</t>
        </is>
      </c>
      <c r="M526" s="29">
        <f>IF(E526="","",IF(H526="Yes","❌ Disc",IF(G526="No","⚠ Missing",IF(J526="Yes","✓ OK","⚠ Check"))))</f>
        <v/>
      </c>
      <c r="N526" s="43" t="n">
        <v>46193</v>
      </c>
      <c r="O526" s="26" t="inlineStr">
        <is>
          <t>Sunil CR</t>
        </is>
      </c>
      <c r="P526" s="26" t="inlineStr">
        <is>
          <t>Yes</t>
        </is>
      </c>
      <c r="Q526" s="26" t="inlineStr">
        <is>
          <t>No</t>
        </is>
      </c>
      <c r="R526" s="26" t="inlineStr">
        <is>
          <t>Good finish</t>
        </is>
      </c>
      <c r="S526" s="26" t="inlineStr">
        <is>
          <t>Yes</t>
        </is>
      </c>
      <c r="T526" s="27" t="n"/>
      <c r="U526" s="28" t="inlineStr">
        <is>
          <t>No</t>
        </is>
      </c>
      <c r="V526" s="29">
        <f>IF(N526="","",IF(Q526="Yes","❌ Disc",IF(P526="No","⚠ Missing",IF(S526="Yes","✓ OK","⚠ Check"))))</f>
        <v/>
      </c>
      <c r="W526" s="65" t="n">
        <v>46248</v>
      </c>
      <c r="X526" s="30" t="inlineStr">
        <is>
          <t>Sunil CR</t>
        </is>
      </c>
      <c r="Y526" s="30" t="inlineStr">
        <is>
          <t>Yes</t>
        </is>
      </c>
      <c r="Z526" s="30" t="n"/>
      <c r="AA526" s="30" t="inlineStr">
        <is>
          <t>Good finish</t>
        </is>
      </c>
      <c r="AB526" s="30" t="inlineStr">
        <is>
          <t>Yes</t>
        </is>
      </c>
      <c r="AC526" s="27" t="n"/>
      <c r="AD526" s="31" t="inlineStr">
        <is>
          <t>No</t>
        </is>
      </c>
      <c r="AE526" s="32">
        <f>IF(W526="","",IF(Z526="Yes","❌ Disc",IF(Y526="No","⚠ Missing",IF(AB526="Yes","✓ OK","⚠ Check"))))</f>
        <v/>
      </c>
      <c r="AF526" s="33" t="n"/>
      <c r="AG526" s="33" t="n"/>
      <c r="AH526" s="33" t="n"/>
      <c r="AI526" s="33" t="n"/>
      <c r="AJ526" s="33" t="n"/>
      <c r="AK526" s="33" t="n"/>
      <c r="AL526" s="27" t="n"/>
      <c r="AM526" s="34" t="n"/>
      <c r="AN526" s="35">
        <f>IF(AF526="","",IF(AI526="Yes","❌ Disc",IF(AH526="No","⚠ Missing",IF(AK526="Yes","✓ OK","⚠ Check"))))</f>
        <v/>
      </c>
      <c r="AO526" s="36" t="n"/>
      <c r="AP526" s="36" t="n"/>
      <c r="AQ526" s="36" t="n"/>
      <c r="AR526" s="36" t="n"/>
      <c r="AS526" s="36" t="n"/>
      <c r="AT526" s="36" t="n"/>
      <c r="AU526" s="27" t="n"/>
      <c r="AV526" s="37" t="n"/>
      <c r="AW526" s="38">
        <f>IF(AO526="","",IF(AR526="Yes","❌ Disc",IF(AQ526="No","⚠ Missing",IF(AT526="Yes","✓ OK","⚠ Check"))))</f>
        <v/>
      </c>
    </row>
    <row r="527" ht="18" customHeight="1" s="46">
      <c r="A527" s="23" t="n">
        <v>523</v>
      </c>
      <c r="B527" s="24" t="inlineStr">
        <is>
          <t>BD-VRM-2024-0528</t>
        </is>
      </c>
      <c r="C527" s="25" t="inlineStr">
        <is>
          <t>Bonito Wall Decor - Garden Elegance Continental Room Wallpaper (Handmade Paper - 604012)</t>
        </is>
      </c>
      <c r="D527" s="23" t="inlineStr">
        <is>
          <t>Life n Colors</t>
        </is>
      </c>
      <c r="E527" s="43" t="n">
        <v>46126</v>
      </c>
      <c r="F527" s="26" t="inlineStr">
        <is>
          <t>Sunil CR</t>
        </is>
      </c>
      <c r="G527" s="26" t="inlineStr">
        <is>
          <t>Yes</t>
        </is>
      </c>
      <c r="H527" s="26" t="inlineStr">
        <is>
          <t>No</t>
        </is>
      </c>
      <c r="I527" s="26" t="inlineStr">
        <is>
          <t>Good finish</t>
        </is>
      </c>
      <c r="J527" s="26" t="inlineStr">
        <is>
          <t>Yes</t>
        </is>
      </c>
      <c r="K527" s="27" t="n"/>
      <c r="L527" s="28" t="inlineStr">
        <is>
          <t>No</t>
        </is>
      </c>
      <c r="M527" s="29">
        <f>IF(E527="","",IF(H527="Yes","❌ Disc",IF(G527="No","⚠ Missing",IF(J527="Yes","✓ OK","⚠ Check"))))</f>
        <v/>
      </c>
      <c r="N527" s="43" t="n">
        <v>46193</v>
      </c>
      <c r="O527" s="26" t="inlineStr">
        <is>
          <t>Sunil CR</t>
        </is>
      </c>
      <c r="P527" s="26" t="inlineStr">
        <is>
          <t>Yes</t>
        </is>
      </c>
      <c r="Q527" s="26" t="inlineStr">
        <is>
          <t>No</t>
        </is>
      </c>
      <c r="R527" s="26" t="inlineStr">
        <is>
          <t>Good finish</t>
        </is>
      </c>
      <c r="S527" s="26" t="inlineStr">
        <is>
          <t>Yes</t>
        </is>
      </c>
      <c r="T527" s="27" t="n"/>
      <c r="U527" s="28" t="inlineStr">
        <is>
          <t>No</t>
        </is>
      </c>
      <c r="V527" s="29">
        <f>IF(N527="","",IF(Q527="Yes","❌ Disc",IF(P527="No","⚠ Missing",IF(S527="Yes","✓ OK","⚠ Check"))))</f>
        <v/>
      </c>
      <c r="W527" s="65" t="n">
        <v>46248</v>
      </c>
      <c r="X527" s="30" t="inlineStr">
        <is>
          <t>Sunil CR</t>
        </is>
      </c>
      <c r="Y527" s="30" t="inlineStr">
        <is>
          <t>Yes</t>
        </is>
      </c>
      <c r="Z527" s="30" t="n"/>
      <c r="AA527" s="30" t="inlineStr">
        <is>
          <t>Good finish</t>
        </is>
      </c>
      <c r="AB527" s="30" t="inlineStr">
        <is>
          <t>Yes</t>
        </is>
      </c>
      <c r="AC527" s="27" t="n"/>
      <c r="AD527" s="31" t="inlineStr">
        <is>
          <t>No</t>
        </is>
      </c>
      <c r="AE527" s="32">
        <f>IF(W527="","",IF(Z527="Yes","❌ Disc",IF(Y527="No","⚠ Missing",IF(AB527="Yes","✓ OK","⚠ Check"))))</f>
        <v/>
      </c>
      <c r="AF527" s="33" t="n"/>
      <c r="AG527" s="33" t="n"/>
      <c r="AH527" s="33" t="n"/>
      <c r="AI527" s="33" t="n"/>
      <c r="AJ527" s="33" t="n"/>
      <c r="AK527" s="33" t="n"/>
      <c r="AL527" s="27" t="n"/>
      <c r="AM527" s="34" t="n"/>
      <c r="AN527" s="35">
        <f>IF(AF527="","",IF(AI527="Yes","❌ Disc",IF(AH527="No","⚠ Missing",IF(AK527="Yes","✓ OK","⚠ Check"))))</f>
        <v/>
      </c>
      <c r="AO527" s="36" t="n"/>
      <c r="AP527" s="36" t="n"/>
      <c r="AQ527" s="36" t="n"/>
      <c r="AR527" s="36" t="n"/>
      <c r="AS527" s="36" t="n"/>
      <c r="AT527" s="36" t="n"/>
      <c r="AU527" s="27" t="n"/>
      <c r="AV527" s="37" t="n"/>
      <c r="AW527" s="38">
        <f>IF(AO527="","",IF(AR527="Yes","❌ Disc",IF(AQ527="No","⚠ Missing",IF(AT527="Yes","✓ OK","⚠ Check"))))</f>
        <v/>
      </c>
    </row>
    <row r="528" ht="18" customHeight="1" s="46">
      <c r="A528" s="39" t="n">
        <v>524</v>
      </c>
      <c r="B528" s="40" t="inlineStr">
        <is>
          <t>BD-VRM-2024-0512</t>
        </is>
      </c>
      <c r="C528" s="41" t="inlineStr">
        <is>
          <t>Bonito Wall Decor - Geet Madhubani Wallpaper Clay Beige Color (Canvas Paper - 603122)</t>
        </is>
      </c>
      <c r="D528" s="39" t="inlineStr">
        <is>
          <t>Life n Colors</t>
        </is>
      </c>
      <c r="E528" s="43" t="n">
        <v>46126</v>
      </c>
      <c r="F528" s="26" t="inlineStr">
        <is>
          <t>Sunil CR</t>
        </is>
      </c>
      <c r="G528" s="26" t="inlineStr">
        <is>
          <t>Yes</t>
        </is>
      </c>
      <c r="H528" s="26" t="inlineStr">
        <is>
          <t>No</t>
        </is>
      </c>
      <c r="I528" s="26" t="inlineStr">
        <is>
          <t>Good finish</t>
        </is>
      </c>
      <c r="J528" s="26" t="inlineStr">
        <is>
          <t>Yes</t>
        </is>
      </c>
      <c r="K528" s="27" t="n"/>
      <c r="L528" s="28" t="inlineStr">
        <is>
          <t>No</t>
        </is>
      </c>
      <c r="M528" s="29">
        <f>IF(E528="","",IF(H528="Yes","❌ Disc",IF(G528="No","⚠ Missing",IF(J528="Yes","✓ OK","⚠ Check"))))</f>
        <v/>
      </c>
      <c r="N528" s="43" t="n">
        <v>46193</v>
      </c>
      <c r="O528" s="26" t="inlineStr">
        <is>
          <t>Sunil CR</t>
        </is>
      </c>
      <c r="P528" s="26" t="inlineStr">
        <is>
          <t>Yes</t>
        </is>
      </c>
      <c r="Q528" s="26" t="inlineStr">
        <is>
          <t>No</t>
        </is>
      </c>
      <c r="R528" s="26" t="inlineStr">
        <is>
          <t>Good finish</t>
        </is>
      </c>
      <c r="S528" s="26" t="inlineStr">
        <is>
          <t>Yes</t>
        </is>
      </c>
      <c r="T528" s="27" t="n"/>
      <c r="U528" s="28" t="inlineStr">
        <is>
          <t>No</t>
        </is>
      </c>
      <c r="V528" s="29">
        <f>IF(N528="","",IF(Q528="Yes","❌ Disc",IF(P528="No","⚠ Missing",IF(S528="Yes","✓ OK","⚠ Check"))))</f>
        <v/>
      </c>
      <c r="W528" s="65" t="n">
        <v>46248</v>
      </c>
      <c r="X528" s="30" t="inlineStr">
        <is>
          <t>Sunil CR</t>
        </is>
      </c>
      <c r="Y528" s="30" t="inlineStr">
        <is>
          <t>Yes</t>
        </is>
      </c>
      <c r="Z528" s="30" t="n"/>
      <c r="AA528" s="30" t="inlineStr">
        <is>
          <t>Good finish</t>
        </is>
      </c>
      <c r="AB528" s="30" t="inlineStr">
        <is>
          <t>Yes</t>
        </is>
      </c>
      <c r="AC528" s="27" t="n"/>
      <c r="AD528" s="31" t="inlineStr">
        <is>
          <t>No</t>
        </is>
      </c>
      <c r="AE528" s="32">
        <f>IF(W528="","",IF(Z528="Yes","❌ Disc",IF(Y528="No","⚠ Missing",IF(AB528="Yes","✓ OK","⚠ Check"))))</f>
        <v/>
      </c>
      <c r="AF528" s="33" t="n"/>
      <c r="AG528" s="33" t="n"/>
      <c r="AH528" s="33" t="n"/>
      <c r="AI528" s="33" t="n"/>
      <c r="AJ528" s="33" t="n"/>
      <c r="AK528" s="33" t="n"/>
      <c r="AL528" s="27" t="n"/>
      <c r="AM528" s="34" t="n"/>
      <c r="AN528" s="35">
        <f>IF(AF528="","",IF(AI528="Yes","❌ Disc",IF(AH528="No","⚠ Missing",IF(AK528="Yes","✓ OK","⚠ Check"))))</f>
        <v/>
      </c>
      <c r="AO528" s="36" t="n"/>
      <c r="AP528" s="36" t="n"/>
      <c r="AQ528" s="36" t="n"/>
      <c r="AR528" s="36" t="n"/>
      <c r="AS528" s="36" t="n"/>
      <c r="AT528" s="36" t="n"/>
      <c r="AU528" s="27" t="n"/>
      <c r="AV528" s="37" t="n"/>
      <c r="AW528" s="38">
        <f>IF(AO528="","",IF(AR528="Yes","❌ Disc",IF(AQ528="No","⚠ Missing",IF(AT528="Yes","✓ OK","⚠ Check"))))</f>
        <v/>
      </c>
    </row>
    <row r="529" ht="18" customHeight="1" s="46">
      <c r="A529" s="23" t="n">
        <v>525</v>
      </c>
      <c r="B529" s="24" t="inlineStr">
        <is>
          <t>BD-VRM-2024-0524</t>
        </is>
      </c>
      <c r="C529" s="25" t="inlineStr">
        <is>
          <t>Bonito Wall Decor - Geet Madhubani Wallpaper Clay Beige Color (Handmade Paper - 603812)</t>
        </is>
      </c>
      <c r="D529" s="23" t="inlineStr">
        <is>
          <t>Life n Colors</t>
        </is>
      </c>
      <c r="E529" s="43" t="n">
        <v>46126</v>
      </c>
      <c r="F529" s="26" t="inlineStr">
        <is>
          <t>Sunil CR</t>
        </is>
      </c>
      <c r="G529" s="26" t="inlineStr">
        <is>
          <t>Yes</t>
        </is>
      </c>
      <c r="H529" s="26" t="inlineStr">
        <is>
          <t>No</t>
        </is>
      </c>
      <c r="I529" s="26" t="inlineStr">
        <is>
          <t>Good finish</t>
        </is>
      </c>
      <c r="J529" s="26" t="inlineStr">
        <is>
          <t>Yes</t>
        </is>
      </c>
      <c r="K529" s="27" t="n"/>
      <c r="L529" s="28" t="inlineStr">
        <is>
          <t>No</t>
        </is>
      </c>
      <c r="M529" s="29">
        <f>IF(E529="","",IF(H529="Yes","❌ Disc",IF(G529="No","⚠ Missing",IF(J529="Yes","✓ OK","⚠ Check"))))</f>
        <v/>
      </c>
      <c r="N529" s="43" t="n">
        <v>46193</v>
      </c>
      <c r="O529" s="26" t="inlineStr">
        <is>
          <t>Sunil CR</t>
        </is>
      </c>
      <c r="P529" s="26" t="inlineStr">
        <is>
          <t>Yes</t>
        </is>
      </c>
      <c r="Q529" s="26" t="inlineStr">
        <is>
          <t>No</t>
        </is>
      </c>
      <c r="R529" s="26" t="inlineStr">
        <is>
          <t>Good finish</t>
        </is>
      </c>
      <c r="S529" s="26" t="inlineStr">
        <is>
          <t>Yes</t>
        </is>
      </c>
      <c r="T529" s="27" t="n"/>
      <c r="U529" s="28" t="inlineStr">
        <is>
          <t>No</t>
        </is>
      </c>
      <c r="V529" s="29">
        <f>IF(N529="","",IF(Q529="Yes","❌ Disc",IF(P529="No","⚠ Missing",IF(S529="Yes","✓ OK","⚠ Check"))))</f>
        <v/>
      </c>
      <c r="W529" s="65" t="n">
        <v>46248</v>
      </c>
      <c r="X529" s="30" t="inlineStr">
        <is>
          <t>Sunil CR</t>
        </is>
      </c>
      <c r="Y529" s="30" t="inlineStr">
        <is>
          <t>Yes</t>
        </is>
      </c>
      <c r="Z529" s="30" t="n"/>
      <c r="AA529" s="30" t="inlineStr">
        <is>
          <t>Good finish</t>
        </is>
      </c>
      <c r="AB529" s="30" t="inlineStr">
        <is>
          <t>Yes</t>
        </is>
      </c>
      <c r="AC529" s="27" t="n"/>
      <c r="AD529" s="31" t="inlineStr">
        <is>
          <t>No</t>
        </is>
      </c>
      <c r="AE529" s="32">
        <f>IF(W529="","",IF(Z529="Yes","❌ Disc",IF(Y529="No","⚠ Missing",IF(AB529="Yes","✓ OK","⚠ Check"))))</f>
        <v/>
      </c>
      <c r="AF529" s="33" t="n"/>
      <c r="AG529" s="33" t="n"/>
      <c r="AH529" s="33" t="n"/>
      <c r="AI529" s="33" t="n"/>
      <c r="AJ529" s="33" t="n"/>
      <c r="AK529" s="33" t="n"/>
      <c r="AL529" s="27" t="n"/>
      <c r="AM529" s="34" t="n"/>
      <c r="AN529" s="35">
        <f>IF(AF529="","",IF(AI529="Yes","❌ Disc",IF(AH529="No","⚠ Missing",IF(AK529="Yes","✓ OK","⚠ Check"))))</f>
        <v/>
      </c>
      <c r="AO529" s="36" t="n"/>
      <c r="AP529" s="36" t="n"/>
      <c r="AQ529" s="36" t="n"/>
      <c r="AR529" s="36" t="n"/>
      <c r="AS529" s="36" t="n"/>
      <c r="AT529" s="36" t="n"/>
      <c r="AU529" s="27" t="n"/>
      <c r="AV529" s="37" t="n"/>
      <c r="AW529" s="38">
        <f>IF(AO529="","",IF(AR529="Yes","❌ Disc",IF(AQ529="No","⚠ Missing",IF(AT529="Yes","✓ OK","⚠ Check"))))</f>
        <v/>
      </c>
    </row>
    <row r="530" ht="18" customHeight="1" s="46">
      <c r="A530" s="39" t="n">
        <v>526</v>
      </c>
      <c r="B530" s="40" t="inlineStr">
        <is>
          <t>BD-VRM-2023-4761</t>
        </is>
      </c>
      <c r="C530" s="41" t="inlineStr">
        <is>
          <t>Bonito Wall Decor - Indian Ethnic Blue print Customized wallpaper 601011 - Soft feel paper</t>
        </is>
      </c>
      <c r="D530" s="39" t="inlineStr">
        <is>
          <t>Life n Colors</t>
        </is>
      </c>
      <c r="E530" s="43" t="n">
        <v>46126</v>
      </c>
      <c r="F530" s="26" t="inlineStr">
        <is>
          <t>Sunil CR</t>
        </is>
      </c>
      <c r="G530" s="26" t="inlineStr">
        <is>
          <t>Yes</t>
        </is>
      </c>
      <c r="H530" s="26" t="inlineStr">
        <is>
          <t>No</t>
        </is>
      </c>
      <c r="I530" s="26" t="inlineStr">
        <is>
          <t>Good finish</t>
        </is>
      </c>
      <c r="J530" s="26" t="inlineStr">
        <is>
          <t>Yes</t>
        </is>
      </c>
      <c r="K530" s="27" t="n"/>
      <c r="L530" s="28" t="inlineStr">
        <is>
          <t>No</t>
        </is>
      </c>
      <c r="M530" s="29">
        <f>IF(E530="","",IF(H530="Yes","❌ Disc",IF(G530="No","⚠ Missing",IF(J530="Yes","✓ OK","⚠ Check"))))</f>
        <v/>
      </c>
      <c r="N530" s="43" t="n">
        <v>46193</v>
      </c>
      <c r="O530" s="26" t="inlineStr">
        <is>
          <t>Sunil CR</t>
        </is>
      </c>
      <c r="P530" s="26" t="inlineStr">
        <is>
          <t>Yes</t>
        </is>
      </c>
      <c r="Q530" s="26" t="inlineStr">
        <is>
          <t>No</t>
        </is>
      </c>
      <c r="R530" s="26" t="inlineStr">
        <is>
          <t>Good finish</t>
        </is>
      </c>
      <c r="S530" s="26" t="inlineStr">
        <is>
          <t>Yes</t>
        </is>
      </c>
      <c r="T530" s="27" t="n"/>
      <c r="U530" s="28" t="inlineStr">
        <is>
          <t>No</t>
        </is>
      </c>
      <c r="V530" s="29">
        <f>IF(N530="","",IF(Q530="Yes","❌ Disc",IF(P530="No","⚠ Missing",IF(S530="Yes","✓ OK","⚠ Check"))))</f>
        <v/>
      </c>
      <c r="W530" s="65" t="n">
        <v>46248</v>
      </c>
      <c r="X530" s="30" t="inlineStr">
        <is>
          <t>Sunil CR</t>
        </is>
      </c>
      <c r="Y530" s="30" t="inlineStr">
        <is>
          <t>Yes</t>
        </is>
      </c>
      <c r="Z530" s="30" t="n"/>
      <c r="AA530" s="30" t="inlineStr">
        <is>
          <t>Good finish</t>
        </is>
      </c>
      <c r="AB530" s="30" t="inlineStr">
        <is>
          <t>Yes</t>
        </is>
      </c>
      <c r="AC530" s="27" t="n"/>
      <c r="AD530" s="31" t="inlineStr">
        <is>
          <t>No</t>
        </is>
      </c>
      <c r="AE530" s="32">
        <f>IF(W530="","",IF(Z530="Yes","❌ Disc",IF(Y530="No","⚠ Missing",IF(AB530="Yes","✓ OK","⚠ Check"))))</f>
        <v/>
      </c>
      <c r="AF530" s="33" t="n"/>
      <c r="AG530" s="33" t="n"/>
      <c r="AH530" s="33" t="n"/>
      <c r="AI530" s="33" t="n"/>
      <c r="AJ530" s="33" t="n"/>
      <c r="AK530" s="33" t="n"/>
      <c r="AL530" s="27" t="n"/>
      <c r="AM530" s="34" t="n"/>
      <c r="AN530" s="35">
        <f>IF(AF530="","",IF(AI530="Yes","❌ Disc",IF(AH530="No","⚠ Missing",IF(AK530="Yes","✓ OK","⚠ Check"))))</f>
        <v/>
      </c>
      <c r="AO530" s="36" t="n"/>
      <c r="AP530" s="36" t="n"/>
      <c r="AQ530" s="36" t="n"/>
      <c r="AR530" s="36" t="n"/>
      <c r="AS530" s="36" t="n"/>
      <c r="AT530" s="36" t="n"/>
      <c r="AU530" s="27" t="n"/>
      <c r="AV530" s="37" t="n"/>
      <c r="AW530" s="38">
        <f>IF(AO530="","",IF(AR530="Yes","❌ Disc",IF(AQ530="No","⚠ Missing",IF(AT530="Yes","✓ OK","⚠ Check"))))</f>
        <v/>
      </c>
    </row>
    <row r="531" ht="18" customHeight="1" s="46">
      <c r="A531" s="23" t="n">
        <v>527</v>
      </c>
      <c r="B531" s="24" t="inlineStr">
        <is>
          <t>BD-VRM-2023-4786</t>
        </is>
      </c>
      <c r="C531" s="25" t="inlineStr">
        <is>
          <t>Bonito Wall Decor - Indian Ethnic Blue print Customized wallpaper 601012 - Canvas paper</t>
        </is>
      </c>
      <c r="D531" s="23" t="inlineStr">
        <is>
          <t>Life n Colors</t>
        </is>
      </c>
      <c r="E531" s="43" t="n">
        <v>46126</v>
      </c>
      <c r="F531" s="26" t="inlineStr">
        <is>
          <t>Sunil CR</t>
        </is>
      </c>
      <c r="G531" s="26" t="inlineStr">
        <is>
          <t>Yes</t>
        </is>
      </c>
      <c r="H531" s="26" t="inlineStr">
        <is>
          <t>No</t>
        </is>
      </c>
      <c r="I531" s="26" t="inlineStr">
        <is>
          <t>Good finish</t>
        </is>
      </c>
      <c r="J531" s="26" t="inlineStr">
        <is>
          <t>Yes</t>
        </is>
      </c>
      <c r="K531" s="27" t="n"/>
      <c r="L531" s="28" t="inlineStr">
        <is>
          <t>No</t>
        </is>
      </c>
      <c r="M531" s="29">
        <f>IF(E531="","",IF(H531="Yes","❌ Disc",IF(G531="No","⚠ Missing",IF(J531="Yes","✓ OK","⚠ Check"))))</f>
        <v/>
      </c>
      <c r="N531" s="43" t="n">
        <v>46193</v>
      </c>
      <c r="O531" s="26" t="inlineStr">
        <is>
          <t>Sunil CR</t>
        </is>
      </c>
      <c r="P531" s="26" t="inlineStr">
        <is>
          <t>Yes</t>
        </is>
      </c>
      <c r="Q531" s="26" t="inlineStr">
        <is>
          <t>No</t>
        </is>
      </c>
      <c r="R531" s="26" t="inlineStr">
        <is>
          <t>Good finish</t>
        </is>
      </c>
      <c r="S531" s="26" t="inlineStr">
        <is>
          <t>Yes</t>
        </is>
      </c>
      <c r="T531" s="27" t="n"/>
      <c r="U531" s="28" t="inlineStr">
        <is>
          <t>No</t>
        </is>
      </c>
      <c r="V531" s="29">
        <f>IF(N531="","",IF(Q531="Yes","❌ Disc",IF(P531="No","⚠ Missing",IF(S531="Yes","✓ OK","⚠ Check"))))</f>
        <v/>
      </c>
      <c r="W531" s="65" t="n">
        <v>46248</v>
      </c>
      <c r="X531" s="30" t="inlineStr">
        <is>
          <t>Sunil CR</t>
        </is>
      </c>
      <c r="Y531" s="30" t="inlineStr">
        <is>
          <t>Yes</t>
        </is>
      </c>
      <c r="Z531" s="30" t="n"/>
      <c r="AA531" s="30" t="inlineStr">
        <is>
          <t>Good finish</t>
        </is>
      </c>
      <c r="AB531" s="30" t="inlineStr">
        <is>
          <t>Yes</t>
        </is>
      </c>
      <c r="AC531" s="27" t="n"/>
      <c r="AD531" s="31" t="inlineStr">
        <is>
          <t>No</t>
        </is>
      </c>
      <c r="AE531" s="32">
        <f>IF(W531="","",IF(Z531="Yes","❌ Disc",IF(Y531="No","⚠ Missing",IF(AB531="Yes","✓ OK","⚠ Check"))))</f>
        <v/>
      </c>
      <c r="AF531" s="33" t="n"/>
      <c r="AG531" s="33" t="n"/>
      <c r="AH531" s="33" t="n"/>
      <c r="AI531" s="33" t="n"/>
      <c r="AJ531" s="33" t="n"/>
      <c r="AK531" s="33" t="n"/>
      <c r="AL531" s="27" t="n"/>
      <c r="AM531" s="34" t="n"/>
      <c r="AN531" s="35">
        <f>IF(AF531="","",IF(AI531="Yes","❌ Disc",IF(AH531="No","⚠ Missing",IF(AK531="Yes","✓ OK","⚠ Check"))))</f>
        <v/>
      </c>
      <c r="AO531" s="36" t="n"/>
      <c r="AP531" s="36" t="n"/>
      <c r="AQ531" s="36" t="n"/>
      <c r="AR531" s="36" t="n"/>
      <c r="AS531" s="36" t="n"/>
      <c r="AT531" s="36" t="n"/>
      <c r="AU531" s="27" t="n"/>
      <c r="AV531" s="37" t="n"/>
      <c r="AW531" s="38">
        <f>IF(AO531="","",IF(AR531="Yes","❌ Disc",IF(AQ531="No","⚠ Missing",IF(AT531="Yes","✓ OK","⚠ Check"))))</f>
        <v/>
      </c>
    </row>
    <row r="532" ht="18" customHeight="1" s="46">
      <c r="A532" s="39" t="n">
        <v>528</v>
      </c>
      <c r="B532" s="40" t="inlineStr">
        <is>
          <t>BD-VRM-2023-4763</t>
        </is>
      </c>
      <c r="C532" s="41" t="inlineStr">
        <is>
          <t>Bonito Wall Decor - Indian Multicolor FloralÂ Fusion Customised Wallpaper 601111 - Soft Feel Paper</t>
        </is>
      </c>
      <c r="D532" s="39" t="inlineStr">
        <is>
          <t>Life n Colors</t>
        </is>
      </c>
      <c r="E532" s="43" t="n">
        <v>46126</v>
      </c>
      <c r="F532" s="26" t="inlineStr">
        <is>
          <t>Sunil CR</t>
        </is>
      </c>
      <c r="G532" s="26" t="inlineStr">
        <is>
          <t>Yes</t>
        </is>
      </c>
      <c r="H532" s="26" t="inlineStr">
        <is>
          <t>No</t>
        </is>
      </c>
      <c r="I532" s="26" t="inlineStr">
        <is>
          <t>Good finish</t>
        </is>
      </c>
      <c r="J532" s="26" t="inlineStr">
        <is>
          <t>Yes</t>
        </is>
      </c>
      <c r="K532" s="27" t="n"/>
      <c r="L532" s="28" t="inlineStr">
        <is>
          <t>No</t>
        </is>
      </c>
      <c r="M532" s="29">
        <f>IF(E532="","",IF(H532="Yes","❌ Disc",IF(G532="No","⚠ Missing",IF(J532="Yes","✓ OK","⚠ Check"))))</f>
        <v/>
      </c>
      <c r="N532" s="43" t="n">
        <v>46193</v>
      </c>
      <c r="O532" s="26" t="inlineStr">
        <is>
          <t>Sunil CR</t>
        </is>
      </c>
      <c r="P532" s="26" t="inlineStr">
        <is>
          <t>Yes</t>
        </is>
      </c>
      <c r="Q532" s="26" t="inlineStr">
        <is>
          <t>No</t>
        </is>
      </c>
      <c r="R532" s="26" t="inlineStr">
        <is>
          <t>Good finish</t>
        </is>
      </c>
      <c r="S532" s="26" t="inlineStr">
        <is>
          <t>Yes</t>
        </is>
      </c>
      <c r="T532" s="27" t="n"/>
      <c r="U532" s="28" t="inlineStr">
        <is>
          <t>No</t>
        </is>
      </c>
      <c r="V532" s="29">
        <f>IF(N532="","",IF(Q532="Yes","❌ Disc",IF(P532="No","⚠ Missing",IF(S532="Yes","✓ OK","⚠ Check"))))</f>
        <v/>
      </c>
      <c r="W532" s="65" t="n">
        <v>46248</v>
      </c>
      <c r="X532" s="30" t="inlineStr">
        <is>
          <t>Sunil CR</t>
        </is>
      </c>
      <c r="Y532" s="30" t="inlineStr">
        <is>
          <t>Yes</t>
        </is>
      </c>
      <c r="Z532" s="30" t="n"/>
      <c r="AA532" s="30" t="inlineStr">
        <is>
          <t>Good finish</t>
        </is>
      </c>
      <c r="AB532" s="30" t="inlineStr">
        <is>
          <t>Yes</t>
        </is>
      </c>
      <c r="AC532" s="27" t="n"/>
      <c r="AD532" s="31" t="inlineStr">
        <is>
          <t>No</t>
        </is>
      </c>
      <c r="AE532" s="32">
        <f>IF(W532="","",IF(Z532="Yes","❌ Disc",IF(Y532="No","⚠ Missing",IF(AB532="Yes","✓ OK","⚠ Check"))))</f>
        <v/>
      </c>
      <c r="AF532" s="33" t="n"/>
      <c r="AG532" s="33" t="n"/>
      <c r="AH532" s="33" t="n"/>
      <c r="AI532" s="33" t="n"/>
      <c r="AJ532" s="33" t="n"/>
      <c r="AK532" s="33" t="n"/>
      <c r="AL532" s="27" t="n"/>
      <c r="AM532" s="34" t="n"/>
      <c r="AN532" s="35">
        <f>IF(AF532="","",IF(AI532="Yes","❌ Disc",IF(AH532="No","⚠ Missing",IF(AK532="Yes","✓ OK","⚠ Check"))))</f>
        <v/>
      </c>
      <c r="AO532" s="36" t="n"/>
      <c r="AP532" s="36" t="n"/>
      <c r="AQ532" s="36" t="n"/>
      <c r="AR532" s="36" t="n"/>
      <c r="AS532" s="36" t="n"/>
      <c r="AT532" s="36" t="n"/>
      <c r="AU532" s="27" t="n"/>
      <c r="AV532" s="37" t="n"/>
      <c r="AW532" s="38">
        <f>IF(AO532="","",IF(AR532="Yes","❌ Disc",IF(AQ532="No","⚠ Missing",IF(AT532="Yes","✓ OK","⚠ Check"))))</f>
        <v/>
      </c>
    </row>
    <row r="533" ht="18" customHeight="1" s="46">
      <c r="A533" s="23" t="n">
        <v>529</v>
      </c>
      <c r="B533" s="24" t="inlineStr">
        <is>
          <t>BD-VRM-2023-4788</t>
        </is>
      </c>
      <c r="C533" s="25" t="inlineStr">
        <is>
          <t>Bonito Wall Decor - Indian Multicolor FloralÂ Fusion Customised Wallpaper 601112 - Canvas Paper</t>
        </is>
      </c>
      <c r="D533" s="23" t="inlineStr">
        <is>
          <t>Life n Colors</t>
        </is>
      </c>
      <c r="E533" s="43" t="n">
        <v>46126</v>
      </c>
      <c r="F533" s="26" t="inlineStr">
        <is>
          <t>Sunil CR</t>
        </is>
      </c>
      <c r="G533" s="26" t="inlineStr">
        <is>
          <t>Yes</t>
        </is>
      </c>
      <c r="H533" s="26" t="inlineStr">
        <is>
          <t>No</t>
        </is>
      </c>
      <c r="I533" s="26" t="inlineStr">
        <is>
          <t>Good finish</t>
        </is>
      </c>
      <c r="J533" s="26" t="inlineStr">
        <is>
          <t>Yes</t>
        </is>
      </c>
      <c r="K533" s="27" t="n"/>
      <c r="L533" s="28" t="inlineStr">
        <is>
          <t>No</t>
        </is>
      </c>
      <c r="M533" s="29">
        <f>IF(E533="","",IF(H533="Yes","❌ Disc",IF(G533="No","⚠ Missing",IF(J533="Yes","✓ OK","⚠ Check"))))</f>
        <v/>
      </c>
      <c r="N533" s="43" t="n">
        <v>46193</v>
      </c>
      <c r="O533" s="26" t="inlineStr">
        <is>
          <t>Sunil CR</t>
        </is>
      </c>
      <c r="P533" s="26" t="inlineStr">
        <is>
          <t>Yes</t>
        </is>
      </c>
      <c r="Q533" s="26" t="inlineStr">
        <is>
          <t>No</t>
        </is>
      </c>
      <c r="R533" s="26" t="inlineStr">
        <is>
          <t>Good finish</t>
        </is>
      </c>
      <c r="S533" s="26" t="inlineStr">
        <is>
          <t>Yes</t>
        </is>
      </c>
      <c r="T533" s="27" t="n"/>
      <c r="U533" s="28" t="inlineStr">
        <is>
          <t>No</t>
        </is>
      </c>
      <c r="V533" s="29">
        <f>IF(N533="","",IF(Q533="Yes","❌ Disc",IF(P533="No","⚠ Missing",IF(S533="Yes","✓ OK","⚠ Check"))))</f>
        <v/>
      </c>
      <c r="W533" s="65" t="n">
        <v>46248</v>
      </c>
      <c r="X533" s="30" t="inlineStr">
        <is>
          <t>Sunil CR</t>
        </is>
      </c>
      <c r="Y533" s="30" t="inlineStr">
        <is>
          <t>Yes</t>
        </is>
      </c>
      <c r="Z533" s="30" t="n"/>
      <c r="AA533" s="30" t="inlineStr">
        <is>
          <t>Good finish</t>
        </is>
      </c>
      <c r="AB533" s="30" t="inlineStr">
        <is>
          <t>Yes</t>
        </is>
      </c>
      <c r="AC533" s="27" t="n"/>
      <c r="AD533" s="31" t="inlineStr">
        <is>
          <t>No</t>
        </is>
      </c>
      <c r="AE533" s="32">
        <f>IF(W533="","",IF(Z533="Yes","❌ Disc",IF(Y533="No","⚠ Missing",IF(AB533="Yes","✓ OK","⚠ Check"))))</f>
        <v/>
      </c>
      <c r="AF533" s="33" t="n"/>
      <c r="AG533" s="33" t="n"/>
      <c r="AH533" s="33" t="n"/>
      <c r="AI533" s="33" t="n"/>
      <c r="AJ533" s="33" t="n"/>
      <c r="AK533" s="33" t="n"/>
      <c r="AL533" s="27" t="n"/>
      <c r="AM533" s="34" t="n"/>
      <c r="AN533" s="35">
        <f>IF(AF533="","",IF(AI533="Yes","❌ Disc",IF(AH533="No","⚠ Missing",IF(AK533="Yes","✓ OK","⚠ Check"))))</f>
        <v/>
      </c>
      <c r="AO533" s="36" t="n"/>
      <c r="AP533" s="36" t="n"/>
      <c r="AQ533" s="36" t="n"/>
      <c r="AR533" s="36" t="n"/>
      <c r="AS533" s="36" t="n"/>
      <c r="AT533" s="36" t="n"/>
      <c r="AU533" s="27" t="n"/>
      <c r="AV533" s="37" t="n"/>
      <c r="AW533" s="38">
        <f>IF(AO533="","",IF(AR533="Yes","❌ Disc",IF(AQ533="No","⚠ Missing",IF(AT533="Yes","✓ OK","⚠ Check"))))</f>
        <v/>
      </c>
    </row>
    <row r="534" ht="18" customHeight="1" s="46">
      <c r="A534" s="39" t="n">
        <v>530</v>
      </c>
      <c r="B534" s="40" t="inlineStr">
        <is>
          <t>BD-VRM-2023-4758</t>
        </is>
      </c>
      <c r="C534" s="41" t="inlineStr">
        <is>
          <t>Bonito Wall Decor - Indo Persian Carpet Design, Wallpaper for Walls 600821 - Soft feel paper</t>
        </is>
      </c>
      <c r="D534" s="39" t="inlineStr">
        <is>
          <t>Life n Colors</t>
        </is>
      </c>
      <c r="E534" s="43" t="n">
        <v>46126</v>
      </c>
      <c r="F534" s="26" t="inlineStr">
        <is>
          <t>Sunil CR</t>
        </is>
      </c>
      <c r="G534" s="26" t="inlineStr">
        <is>
          <t>Yes</t>
        </is>
      </c>
      <c r="H534" s="26" t="inlineStr">
        <is>
          <t>No</t>
        </is>
      </c>
      <c r="I534" s="26" t="inlineStr">
        <is>
          <t>Good finish</t>
        </is>
      </c>
      <c r="J534" s="26" t="inlineStr">
        <is>
          <t>Yes</t>
        </is>
      </c>
      <c r="K534" s="27" t="n"/>
      <c r="L534" s="28" t="inlineStr">
        <is>
          <t>No</t>
        </is>
      </c>
      <c r="M534" s="29">
        <f>IF(E534="","",IF(H534="Yes","❌ Disc",IF(G534="No","⚠ Missing",IF(J534="Yes","✓ OK","⚠ Check"))))</f>
        <v/>
      </c>
      <c r="N534" s="43" t="n">
        <v>46193</v>
      </c>
      <c r="O534" s="26" t="inlineStr">
        <is>
          <t>Sunil CR</t>
        </is>
      </c>
      <c r="P534" s="26" t="inlineStr">
        <is>
          <t>Yes</t>
        </is>
      </c>
      <c r="Q534" s="26" t="inlineStr">
        <is>
          <t>No</t>
        </is>
      </c>
      <c r="R534" s="26" t="inlineStr">
        <is>
          <t>Good finish</t>
        </is>
      </c>
      <c r="S534" s="26" t="inlineStr">
        <is>
          <t>Yes</t>
        </is>
      </c>
      <c r="T534" s="27" t="n"/>
      <c r="U534" s="28" t="inlineStr">
        <is>
          <t>No</t>
        </is>
      </c>
      <c r="V534" s="29">
        <f>IF(N534="","",IF(Q534="Yes","❌ Disc",IF(P534="No","⚠ Missing",IF(S534="Yes","✓ OK","⚠ Check"))))</f>
        <v/>
      </c>
      <c r="W534" s="65" t="n">
        <v>46248</v>
      </c>
      <c r="X534" s="30" t="inlineStr">
        <is>
          <t>Sunil CR</t>
        </is>
      </c>
      <c r="Y534" s="30" t="inlineStr">
        <is>
          <t>Yes</t>
        </is>
      </c>
      <c r="Z534" s="30" t="n"/>
      <c r="AA534" s="30" t="inlineStr">
        <is>
          <t>Good finish</t>
        </is>
      </c>
      <c r="AB534" s="30" t="inlineStr">
        <is>
          <t>Yes</t>
        </is>
      </c>
      <c r="AC534" s="27" t="n"/>
      <c r="AD534" s="31" t="inlineStr">
        <is>
          <t>No</t>
        </is>
      </c>
      <c r="AE534" s="32">
        <f>IF(W534="","",IF(Z534="Yes","❌ Disc",IF(Y534="No","⚠ Missing",IF(AB534="Yes","✓ OK","⚠ Check"))))</f>
        <v/>
      </c>
      <c r="AF534" s="33" t="n"/>
      <c r="AG534" s="33" t="n"/>
      <c r="AH534" s="33" t="n"/>
      <c r="AI534" s="33" t="n"/>
      <c r="AJ534" s="33" t="n"/>
      <c r="AK534" s="33" t="n"/>
      <c r="AL534" s="27" t="n"/>
      <c r="AM534" s="34" t="n"/>
      <c r="AN534" s="35">
        <f>IF(AF534="","",IF(AI534="Yes","❌ Disc",IF(AH534="No","⚠ Missing",IF(AK534="Yes","✓ OK","⚠ Check"))))</f>
        <v/>
      </c>
      <c r="AO534" s="36" t="n"/>
      <c r="AP534" s="36" t="n"/>
      <c r="AQ534" s="36" t="n"/>
      <c r="AR534" s="36" t="n"/>
      <c r="AS534" s="36" t="n"/>
      <c r="AT534" s="36" t="n"/>
      <c r="AU534" s="27" t="n"/>
      <c r="AV534" s="37" t="n"/>
      <c r="AW534" s="38">
        <f>IF(AO534="","",IF(AR534="Yes","❌ Disc",IF(AQ534="No","⚠ Missing",IF(AT534="Yes","✓ OK","⚠ Check"))))</f>
        <v/>
      </c>
    </row>
    <row r="535" ht="18" customHeight="1" s="46">
      <c r="A535" s="23" t="n">
        <v>531</v>
      </c>
      <c r="B535" s="24" t="inlineStr">
        <is>
          <t>BD-VRM-2023-4783</t>
        </is>
      </c>
      <c r="C535" s="25" t="inlineStr">
        <is>
          <t>Bonito Wall Decor - Indo Persian Carpet Design, Wallpaper for Walls 600822 - Canvas paper</t>
        </is>
      </c>
      <c r="D535" s="23" t="inlineStr">
        <is>
          <t>Life n Colors</t>
        </is>
      </c>
      <c r="E535" s="43" t="n">
        <v>46126</v>
      </c>
      <c r="F535" s="26" t="inlineStr">
        <is>
          <t>Sunil CR</t>
        </is>
      </c>
      <c r="G535" s="26" t="inlineStr">
        <is>
          <t>Yes</t>
        </is>
      </c>
      <c r="H535" s="26" t="inlineStr">
        <is>
          <t>No</t>
        </is>
      </c>
      <c r="I535" s="26" t="inlineStr">
        <is>
          <t>Good finish</t>
        </is>
      </c>
      <c r="J535" s="26" t="inlineStr">
        <is>
          <t>Yes</t>
        </is>
      </c>
      <c r="K535" s="27" t="n"/>
      <c r="L535" s="28" t="inlineStr">
        <is>
          <t>No</t>
        </is>
      </c>
      <c r="M535" s="29">
        <f>IF(E535="","",IF(H535="Yes","❌ Disc",IF(G535="No","⚠ Missing",IF(J535="Yes","✓ OK","⚠ Check"))))</f>
        <v/>
      </c>
      <c r="N535" s="43" t="n">
        <v>46193</v>
      </c>
      <c r="O535" s="26" t="inlineStr">
        <is>
          <t>Sunil CR</t>
        </is>
      </c>
      <c r="P535" s="26" t="inlineStr">
        <is>
          <t>Yes</t>
        </is>
      </c>
      <c r="Q535" s="26" t="inlineStr">
        <is>
          <t>No</t>
        </is>
      </c>
      <c r="R535" s="26" t="inlineStr">
        <is>
          <t>Good finish</t>
        </is>
      </c>
      <c r="S535" s="26" t="inlineStr">
        <is>
          <t>Yes</t>
        </is>
      </c>
      <c r="T535" s="27" t="n"/>
      <c r="U535" s="28" t="inlineStr">
        <is>
          <t>No</t>
        </is>
      </c>
      <c r="V535" s="29">
        <f>IF(N535="","",IF(Q535="Yes","❌ Disc",IF(P535="No","⚠ Missing",IF(S535="Yes","✓ OK","⚠ Check"))))</f>
        <v/>
      </c>
      <c r="W535" s="65" t="n">
        <v>46248</v>
      </c>
      <c r="X535" s="30" t="inlineStr">
        <is>
          <t>Sunil CR</t>
        </is>
      </c>
      <c r="Y535" s="30" t="inlineStr">
        <is>
          <t>Yes</t>
        </is>
      </c>
      <c r="Z535" s="30" t="n"/>
      <c r="AA535" s="30" t="inlineStr">
        <is>
          <t>Good finish</t>
        </is>
      </c>
      <c r="AB535" s="30" t="inlineStr">
        <is>
          <t>Yes</t>
        </is>
      </c>
      <c r="AC535" s="27" t="n"/>
      <c r="AD535" s="31" t="inlineStr">
        <is>
          <t>No</t>
        </is>
      </c>
      <c r="AE535" s="32">
        <f>IF(W535="","",IF(Z535="Yes","❌ Disc",IF(Y535="No","⚠ Missing",IF(AB535="Yes","✓ OK","⚠ Check"))))</f>
        <v/>
      </c>
      <c r="AF535" s="33" t="n"/>
      <c r="AG535" s="33" t="n"/>
      <c r="AH535" s="33" t="n"/>
      <c r="AI535" s="33" t="n"/>
      <c r="AJ535" s="33" t="n"/>
      <c r="AK535" s="33" t="n"/>
      <c r="AL535" s="27" t="n"/>
      <c r="AM535" s="34" t="n"/>
      <c r="AN535" s="35">
        <f>IF(AF535="","",IF(AI535="Yes","❌ Disc",IF(AH535="No","⚠ Missing",IF(AK535="Yes","✓ OK","⚠ Check"))))</f>
        <v/>
      </c>
      <c r="AO535" s="36" t="n"/>
      <c r="AP535" s="36" t="n"/>
      <c r="AQ535" s="36" t="n"/>
      <c r="AR535" s="36" t="n"/>
      <c r="AS535" s="36" t="n"/>
      <c r="AT535" s="36" t="n"/>
      <c r="AU535" s="27" t="n"/>
      <c r="AV535" s="37" t="n"/>
      <c r="AW535" s="38">
        <f>IF(AO535="","",IF(AR535="Yes","❌ Disc",IF(AQ535="No","⚠ Missing",IF(AT535="Yes","✓ OK","⚠ Check"))))</f>
        <v/>
      </c>
    </row>
    <row r="536" ht="18" customHeight="1" s="46">
      <c r="A536" s="39" t="n">
        <v>532</v>
      </c>
      <c r="B536" s="40" t="inlineStr">
        <is>
          <t>BD-VRM-2023-4795</t>
        </is>
      </c>
      <c r="C536" s="41" t="inlineStr">
        <is>
          <t>Bonito Wall Decor - Industrial Look Ikat Pattern Fusion Design Wallpaper 601421 - Premium Soft feel paper [BBP]</t>
        </is>
      </c>
      <c r="D536" s="39" t="inlineStr">
        <is>
          <t>Life n Colors</t>
        </is>
      </c>
      <c r="E536" s="43" t="n">
        <v>46126</v>
      </c>
      <c r="F536" s="26" t="inlineStr">
        <is>
          <t>Sunil CR</t>
        </is>
      </c>
      <c r="G536" s="26" t="inlineStr">
        <is>
          <t>Yes</t>
        </is>
      </c>
      <c r="H536" s="26" t="inlineStr">
        <is>
          <t>No</t>
        </is>
      </c>
      <c r="I536" s="26" t="inlineStr">
        <is>
          <t>Good finish</t>
        </is>
      </c>
      <c r="J536" s="26" t="inlineStr">
        <is>
          <t>Yes</t>
        </is>
      </c>
      <c r="K536" s="27" t="n"/>
      <c r="L536" s="28" t="inlineStr">
        <is>
          <t>No</t>
        </is>
      </c>
      <c r="M536" s="29">
        <f>IF(E536="","",IF(H536="Yes","❌ Disc",IF(G536="No","⚠ Missing",IF(J536="Yes","✓ OK","⚠ Check"))))</f>
        <v/>
      </c>
      <c r="N536" s="43" t="n">
        <v>46193</v>
      </c>
      <c r="O536" s="26" t="inlineStr">
        <is>
          <t>Sunil CR</t>
        </is>
      </c>
      <c r="P536" s="26" t="inlineStr">
        <is>
          <t>Yes</t>
        </is>
      </c>
      <c r="Q536" s="26" t="inlineStr">
        <is>
          <t>No</t>
        </is>
      </c>
      <c r="R536" s="26" t="inlineStr">
        <is>
          <t>Good finish</t>
        </is>
      </c>
      <c r="S536" s="26" t="inlineStr">
        <is>
          <t>Yes</t>
        </is>
      </c>
      <c r="T536" s="27" t="n"/>
      <c r="U536" s="28" t="inlineStr">
        <is>
          <t>No</t>
        </is>
      </c>
      <c r="V536" s="29">
        <f>IF(N536="","",IF(Q536="Yes","❌ Disc",IF(P536="No","⚠ Missing",IF(S536="Yes","✓ OK","⚠ Check"))))</f>
        <v/>
      </c>
      <c r="W536" s="65" t="n">
        <v>46248</v>
      </c>
      <c r="X536" s="30" t="inlineStr">
        <is>
          <t>Sunil CR</t>
        </is>
      </c>
      <c r="Y536" s="30" t="inlineStr">
        <is>
          <t>Yes</t>
        </is>
      </c>
      <c r="Z536" s="30" t="n"/>
      <c r="AA536" s="30" t="inlineStr">
        <is>
          <t>Good finish</t>
        </is>
      </c>
      <c r="AB536" s="30" t="inlineStr">
        <is>
          <t>Yes</t>
        </is>
      </c>
      <c r="AC536" s="27" t="n"/>
      <c r="AD536" s="31" t="inlineStr">
        <is>
          <t>No</t>
        </is>
      </c>
      <c r="AE536" s="32">
        <f>IF(W536="","",IF(Z536="Yes","❌ Disc",IF(Y536="No","⚠ Missing",IF(AB536="Yes","✓ OK","⚠ Check"))))</f>
        <v/>
      </c>
      <c r="AF536" s="33" t="n"/>
      <c r="AG536" s="33" t="n"/>
      <c r="AH536" s="33" t="n"/>
      <c r="AI536" s="33" t="n"/>
      <c r="AJ536" s="33" t="n"/>
      <c r="AK536" s="33" t="n"/>
      <c r="AL536" s="27" t="n"/>
      <c r="AM536" s="34" t="n"/>
      <c r="AN536" s="35">
        <f>IF(AF536="","",IF(AI536="Yes","❌ Disc",IF(AH536="No","⚠ Missing",IF(AK536="Yes","✓ OK","⚠ Check"))))</f>
        <v/>
      </c>
      <c r="AO536" s="36" t="n"/>
      <c r="AP536" s="36" t="n"/>
      <c r="AQ536" s="36" t="n"/>
      <c r="AR536" s="36" t="n"/>
      <c r="AS536" s="36" t="n"/>
      <c r="AT536" s="36" t="n"/>
      <c r="AU536" s="27" t="n"/>
      <c r="AV536" s="37" t="n"/>
      <c r="AW536" s="38">
        <f>IF(AO536="","",IF(AR536="Yes","❌ Disc",IF(AQ536="No","⚠ Missing",IF(AT536="Yes","✓ OK","⚠ Check"))))</f>
        <v/>
      </c>
    </row>
    <row r="537" ht="18" customHeight="1" s="46">
      <c r="A537" s="23" t="n">
        <v>533</v>
      </c>
      <c r="B537" s="24" t="inlineStr">
        <is>
          <t>BD-VRM-2023-4801</t>
        </is>
      </c>
      <c r="C537" s="25" t="inlineStr">
        <is>
          <t>Bonito Wall Decor - Industrial Look Ikat Pattern Fusion Design Wallpaper 601422 - Premium Canvas paper</t>
        </is>
      </c>
      <c r="D537" s="23" t="inlineStr">
        <is>
          <t>Life n Colors</t>
        </is>
      </c>
      <c r="E537" s="43" t="n">
        <v>46126</v>
      </c>
      <c r="F537" s="26" t="inlineStr">
        <is>
          <t>Sunil CR</t>
        </is>
      </c>
      <c r="G537" s="26" t="inlineStr">
        <is>
          <t>Yes</t>
        </is>
      </c>
      <c r="H537" s="26" t="inlineStr">
        <is>
          <t>No</t>
        </is>
      </c>
      <c r="I537" s="26" t="inlineStr">
        <is>
          <t>Good finish</t>
        </is>
      </c>
      <c r="J537" s="26" t="inlineStr">
        <is>
          <t>Yes</t>
        </is>
      </c>
      <c r="K537" s="27" t="n"/>
      <c r="L537" s="28" t="inlineStr">
        <is>
          <t>No</t>
        </is>
      </c>
      <c r="M537" s="29">
        <f>IF(E537="","",IF(H537="Yes","❌ Disc",IF(G537="No","⚠ Missing",IF(J537="Yes","✓ OK","⚠ Check"))))</f>
        <v/>
      </c>
      <c r="N537" s="43" t="n">
        <v>46193</v>
      </c>
      <c r="O537" s="26" t="inlineStr">
        <is>
          <t>Sunil CR</t>
        </is>
      </c>
      <c r="P537" s="26" t="inlineStr">
        <is>
          <t>Yes</t>
        </is>
      </c>
      <c r="Q537" s="26" t="inlineStr">
        <is>
          <t>No</t>
        </is>
      </c>
      <c r="R537" s="26" t="inlineStr">
        <is>
          <t>Good finish</t>
        </is>
      </c>
      <c r="S537" s="26" t="inlineStr">
        <is>
          <t>Yes</t>
        </is>
      </c>
      <c r="T537" s="27" t="n"/>
      <c r="U537" s="28" t="inlineStr">
        <is>
          <t>No</t>
        </is>
      </c>
      <c r="V537" s="29">
        <f>IF(N537="","",IF(Q537="Yes","❌ Disc",IF(P537="No","⚠ Missing",IF(S537="Yes","✓ OK","⚠ Check"))))</f>
        <v/>
      </c>
      <c r="W537" s="65" t="n">
        <v>46248</v>
      </c>
      <c r="X537" s="30" t="inlineStr">
        <is>
          <t>Sunil CR</t>
        </is>
      </c>
      <c r="Y537" s="30" t="inlineStr">
        <is>
          <t>Yes</t>
        </is>
      </c>
      <c r="Z537" s="30" t="n"/>
      <c r="AA537" s="30" t="inlineStr">
        <is>
          <t>Good finish</t>
        </is>
      </c>
      <c r="AB537" s="30" t="inlineStr">
        <is>
          <t>Yes</t>
        </is>
      </c>
      <c r="AC537" s="27" t="n"/>
      <c r="AD537" s="31" t="inlineStr">
        <is>
          <t>No</t>
        </is>
      </c>
      <c r="AE537" s="32">
        <f>IF(W537="","",IF(Z537="Yes","❌ Disc",IF(Y537="No","⚠ Missing",IF(AB537="Yes","✓ OK","⚠ Check"))))</f>
        <v/>
      </c>
      <c r="AF537" s="33" t="n"/>
      <c r="AG537" s="33" t="n"/>
      <c r="AH537" s="33" t="n"/>
      <c r="AI537" s="33" t="n"/>
      <c r="AJ537" s="33" t="n"/>
      <c r="AK537" s="33" t="n"/>
      <c r="AL537" s="27" t="n"/>
      <c r="AM537" s="34" t="n"/>
      <c r="AN537" s="35">
        <f>IF(AF537="","",IF(AI537="Yes","❌ Disc",IF(AH537="No","⚠ Missing",IF(AK537="Yes","✓ OK","⚠ Check"))))</f>
        <v/>
      </c>
      <c r="AO537" s="36" t="n"/>
      <c r="AP537" s="36" t="n"/>
      <c r="AQ537" s="36" t="n"/>
      <c r="AR537" s="36" t="n"/>
      <c r="AS537" s="36" t="n"/>
      <c r="AT537" s="36" t="n"/>
      <c r="AU537" s="27" t="n"/>
      <c r="AV537" s="37" t="n"/>
      <c r="AW537" s="38">
        <f>IF(AO537="","",IF(AR537="Yes","❌ Disc",IF(AQ537="No","⚠ Missing",IF(AT537="Yes","✓ OK","⚠ Check"))))</f>
        <v/>
      </c>
    </row>
    <row r="538" ht="18" customHeight="1" s="46">
      <c r="A538" s="39" t="n">
        <v>534</v>
      </c>
      <c r="B538" s="40" t="inlineStr">
        <is>
          <t>BD-VRM-2024-0519</t>
        </is>
      </c>
      <c r="C538" s="41" t="inlineStr">
        <is>
          <t>Bonito Wall Decor - Japanese Garden Wallpaper For Luxury Homes In Gold Colors (Canvas Paper - 603512)</t>
        </is>
      </c>
      <c r="D538" s="39" t="inlineStr">
        <is>
          <t>Life n Colors</t>
        </is>
      </c>
      <c r="E538" s="43" t="n">
        <v>46126</v>
      </c>
      <c r="F538" s="26" t="inlineStr">
        <is>
          <t>Sunil CR</t>
        </is>
      </c>
      <c r="G538" s="26" t="inlineStr">
        <is>
          <t>Yes</t>
        </is>
      </c>
      <c r="H538" s="26" t="inlineStr">
        <is>
          <t>No</t>
        </is>
      </c>
      <c r="I538" s="26" t="inlineStr">
        <is>
          <t>Good finish</t>
        </is>
      </c>
      <c r="J538" s="26" t="inlineStr">
        <is>
          <t>Yes</t>
        </is>
      </c>
      <c r="K538" s="27" t="n"/>
      <c r="L538" s="28" t="inlineStr">
        <is>
          <t>No</t>
        </is>
      </c>
      <c r="M538" s="29">
        <f>IF(E538="","",IF(H538="Yes","❌ Disc",IF(G538="No","⚠ Missing",IF(J538="Yes","✓ OK","⚠ Check"))))</f>
        <v/>
      </c>
      <c r="N538" s="43" t="n">
        <v>46193</v>
      </c>
      <c r="O538" s="26" t="inlineStr">
        <is>
          <t>Sunil CR</t>
        </is>
      </c>
      <c r="P538" s="26" t="inlineStr">
        <is>
          <t>Yes</t>
        </is>
      </c>
      <c r="Q538" s="26" t="inlineStr">
        <is>
          <t>No</t>
        </is>
      </c>
      <c r="R538" s="26" t="inlineStr">
        <is>
          <t>Good finish</t>
        </is>
      </c>
      <c r="S538" s="26" t="inlineStr">
        <is>
          <t>Yes</t>
        </is>
      </c>
      <c r="T538" s="27" t="n"/>
      <c r="U538" s="28" t="inlineStr">
        <is>
          <t>No</t>
        </is>
      </c>
      <c r="V538" s="29">
        <f>IF(N538="","",IF(Q538="Yes","❌ Disc",IF(P538="No","⚠ Missing",IF(S538="Yes","✓ OK","⚠ Check"))))</f>
        <v/>
      </c>
      <c r="W538" s="65" t="n">
        <v>46248</v>
      </c>
      <c r="X538" s="30" t="inlineStr">
        <is>
          <t>Sunil CR</t>
        </is>
      </c>
      <c r="Y538" s="30" t="inlineStr">
        <is>
          <t>Yes</t>
        </is>
      </c>
      <c r="Z538" s="30" t="n"/>
      <c r="AA538" s="30" t="inlineStr">
        <is>
          <t>Good finish</t>
        </is>
      </c>
      <c r="AB538" s="30" t="inlineStr">
        <is>
          <t>Yes</t>
        </is>
      </c>
      <c r="AC538" s="27" t="n"/>
      <c r="AD538" s="31" t="inlineStr">
        <is>
          <t>No</t>
        </is>
      </c>
      <c r="AE538" s="32">
        <f>IF(W538="","",IF(Z538="Yes","❌ Disc",IF(Y538="No","⚠ Missing",IF(AB538="Yes","✓ OK","⚠ Check"))))</f>
        <v/>
      </c>
      <c r="AF538" s="33" t="n"/>
      <c r="AG538" s="33" t="n"/>
      <c r="AH538" s="33" t="n"/>
      <c r="AI538" s="33" t="n"/>
      <c r="AJ538" s="33" t="n"/>
      <c r="AK538" s="33" t="n"/>
      <c r="AL538" s="27" t="n"/>
      <c r="AM538" s="34" t="n"/>
      <c r="AN538" s="35">
        <f>IF(AF538="","",IF(AI538="Yes","❌ Disc",IF(AH538="No","⚠ Missing",IF(AK538="Yes","✓ OK","⚠ Check"))))</f>
        <v/>
      </c>
      <c r="AO538" s="36" t="n"/>
      <c r="AP538" s="36" t="n"/>
      <c r="AQ538" s="36" t="n"/>
      <c r="AR538" s="36" t="n"/>
      <c r="AS538" s="36" t="n"/>
      <c r="AT538" s="36" t="n"/>
      <c r="AU538" s="27" t="n"/>
      <c r="AV538" s="37" t="n"/>
      <c r="AW538" s="38">
        <f>IF(AO538="","",IF(AR538="Yes","❌ Disc",IF(AQ538="No","⚠ Missing",IF(AT538="Yes","✓ OK","⚠ Check"))))</f>
        <v/>
      </c>
    </row>
    <row r="539" ht="18" customHeight="1" s="46">
      <c r="A539" s="23" t="n">
        <v>535</v>
      </c>
      <c r="B539" s="24" t="inlineStr">
        <is>
          <t>BD-VRM-2024-0531</t>
        </is>
      </c>
      <c r="C539" s="25" t="inlineStr">
        <is>
          <t>Bonito Wall Decor - Japanese Garden Wallpaper For Luxury Homes In Gold Colors (Handmade Paper - 604122)</t>
        </is>
      </c>
      <c r="D539" s="23" t="inlineStr">
        <is>
          <t>Life n Colors</t>
        </is>
      </c>
      <c r="E539" s="43" t="n">
        <v>46126</v>
      </c>
      <c r="F539" s="26" t="inlineStr">
        <is>
          <t>Sunil CR</t>
        </is>
      </c>
      <c r="G539" s="26" t="inlineStr">
        <is>
          <t>Yes</t>
        </is>
      </c>
      <c r="H539" s="26" t="inlineStr">
        <is>
          <t>No</t>
        </is>
      </c>
      <c r="I539" s="26" t="inlineStr">
        <is>
          <t>Good finish</t>
        </is>
      </c>
      <c r="J539" s="26" t="inlineStr">
        <is>
          <t>Yes</t>
        </is>
      </c>
      <c r="K539" s="27" t="n"/>
      <c r="L539" s="28" t="inlineStr">
        <is>
          <t>No</t>
        </is>
      </c>
      <c r="M539" s="29">
        <f>IF(E539="","",IF(H539="Yes","❌ Disc",IF(G539="No","⚠ Missing",IF(J539="Yes","✓ OK","⚠ Check"))))</f>
        <v/>
      </c>
      <c r="N539" s="43" t="n">
        <v>46193</v>
      </c>
      <c r="O539" s="26" t="inlineStr">
        <is>
          <t>Sunil CR</t>
        </is>
      </c>
      <c r="P539" s="26" t="inlineStr">
        <is>
          <t>Yes</t>
        </is>
      </c>
      <c r="Q539" s="26" t="inlineStr">
        <is>
          <t>No</t>
        </is>
      </c>
      <c r="R539" s="26" t="inlineStr">
        <is>
          <t>Good finish</t>
        </is>
      </c>
      <c r="S539" s="26" t="inlineStr">
        <is>
          <t>Yes</t>
        </is>
      </c>
      <c r="T539" s="27" t="n"/>
      <c r="U539" s="28" t="inlineStr">
        <is>
          <t>No</t>
        </is>
      </c>
      <c r="V539" s="29">
        <f>IF(N539="","",IF(Q539="Yes","❌ Disc",IF(P539="No","⚠ Missing",IF(S539="Yes","✓ OK","⚠ Check"))))</f>
        <v/>
      </c>
      <c r="W539" s="65" t="n">
        <v>46248</v>
      </c>
      <c r="X539" s="30" t="inlineStr">
        <is>
          <t>Sunil CR</t>
        </is>
      </c>
      <c r="Y539" s="30" t="inlineStr">
        <is>
          <t>Yes</t>
        </is>
      </c>
      <c r="Z539" s="30" t="n"/>
      <c r="AA539" s="30" t="inlineStr">
        <is>
          <t>Good finish</t>
        </is>
      </c>
      <c r="AB539" s="30" t="inlineStr">
        <is>
          <t>Yes</t>
        </is>
      </c>
      <c r="AC539" s="27" t="n"/>
      <c r="AD539" s="31" t="inlineStr">
        <is>
          <t>No</t>
        </is>
      </c>
      <c r="AE539" s="32">
        <f>IF(W539="","",IF(Z539="Yes","❌ Disc",IF(Y539="No","⚠ Missing",IF(AB539="Yes","✓ OK","⚠ Check"))))</f>
        <v/>
      </c>
      <c r="AF539" s="33" t="n"/>
      <c r="AG539" s="33" t="n"/>
      <c r="AH539" s="33" t="n"/>
      <c r="AI539" s="33" t="n"/>
      <c r="AJ539" s="33" t="n"/>
      <c r="AK539" s="33" t="n"/>
      <c r="AL539" s="27" t="n"/>
      <c r="AM539" s="34" t="n"/>
      <c r="AN539" s="35">
        <f>IF(AF539="","",IF(AI539="Yes","❌ Disc",IF(AH539="No","⚠ Missing",IF(AK539="Yes","✓ OK","⚠ Check"))))</f>
        <v/>
      </c>
      <c r="AO539" s="36" t="n"/>
      <c r="AP539" s="36" t="n"/>
      <c r="AQ539" s="36" t="n"/>
      <c r="AR539" s="36" t="n"/>
      <c r="AS539" s="36" t="n"/>
      <c r="AT539" s="36" t="n"/>
      <c r="AU539" s="27" t="n"/>
      <c r="AV539" s="37" t="n"/>
      <c r="AW539" s="38">
        <f>IF(AO539="","",IF(AR539="Yes","❌ Disc",IF(AQ539="No","⚠ Missing",IF(AT539="Yes","✓ OK","⚠ Check"))))</f>
        <v/>
      </c>
    </row>
    <row r="540" ht="18" customHeight="1" s="46">
      <c r="A540" s="39" t="n">
        <v>536</v>
      </c>
      <c r="B540" s="40" t="inlineStr">
        <is>
          <t>BD-VRM-2024-0510</t>
        </is>
      </c>
      <c r="C540" s="41" t="inlineStr">
        <is>
          <t>Bonito Wall Decor - Kesari Blossom Indian Motifs Room Wallpaper (Canvas Paper - 603112)</t>
        </is>
      </c>
      <c r="D540" s="39" t="inlineStr">
        <is>
          <t>Life n Colors</t>
        </is>
      </c>
      <c r="E540" s="43" t="n">
        <v>46126</v>
      </c>
      <c r="F540" s="26" t="inlineStr">
        <is>
          <t>Sunil CR</t>
        </is>
      </c>
      <c r="G540" s="26" t="inlineStr">
        <is>
          <t>Yes</t>
        </is>
      </c>
      <c r="H540" s="26" t="inlineStr">
        <is>
          <t>No</t>
        </is>
      </c>
      <c r="I540" s="26" t="inlineStr">
        <is>
          <t>Good finish</t>
        </is>
      </c>
      <c r="J540" s="26" t="inlineStr">
        <is>
          <t>Yes</t>
        </is>
      </c>
      <c r="K540" s="27" t="n"/>
      <c r="L540" s="28" t="inlineStr">
        <is>
          <t>No</t>
        </is>
      </c>
      <c r="M540" s="29">
        <f>IF(E540="","",IF(H540="Yes","❌ Disc",IF(G540="No","⚠ Missing",IF(J540="Yes","✓ OK","⚠ Check"))))</f>
        <v/>
      </c>
      <c r="N540" s="43" t="n">
        <v>46193</v>
      </c>
      <c r="O540" s="26" t="inlineStr">
        <is>
          <t>Sunil CR</t>
        </is>
      </c>
      <c r="P540" s="26" t="inlineStr">
        <is>
          <t>Yes</t>
        </is>
      </c>
      <c r="Q540" s="26" t="inlineStr">
        <is>
          <t>No</t>
        </is>
      </c>
      <c r="R540" s="26" t="inlineStr">
        <is>
          <t>Good finish</t>
        </is>
      </c>
      <c r="S540" s="26" t="inlineStr">
        <is>
          <t>Yes</t>
        </is>
      </c>
      <c r="T540" s="27" t="n"/>
      <c r="U540" s="28" t="inlineStr">
        <is>
          <t>No</t>
        </is>
      </c>
      <c r="V540" s="29">
        <f>IF(N540="","",IF(Q540="Yes","❌ Disc",IF(P540="No","⚠ Missing",IF(S540="Yes","✓ OK","⚠ Check"))))</f>
        <v/>
      </c>
      <c r="W540" s="65" t="n">
        <v>46248</v>
      </c>
      <c r="X540" s="30" t="inlineStr">
        <is>
          <t>Sunil CR</t>
        </is>
      </c>
      <c r="Y540" s="30" t="inlineStr">
        <is>
          <t>Yes</t>
        </is>
      </c>
      <c r="Z540" s="30" t="n"/>
      <c r="AA540" s="30" t="inlineStr">
        <is>
          <t>Good finish</t>
        </is>
      </c>
      <c r="AB540" s="30" t="inlineStr">
        <is>
          <t>Yes</t>
        </is>
      </c>
      <c r="AC540" s="27" t="n"/>
      <c r="AD540" s="31" t="inlineStr">
        <is>
          <t>No</t>
        </is>
      </c>
      <c r="AE540" s="32">
        <f>IF(W540="","",IF(Z540="Yes","❌ Disc",IF(Y540="No","⚠ Missing",IF(AB540="Yes","✓ OK","⚠ Check"))))</f>
        <v/>
      </c>
      <c r="AF540" s="33" t="n"/>
      <c r="AG540" s="33" t="n"/>
      <c r="AH540" s="33" t="n"/>
      <c r="AI540" s="33" t="n"/>
      <c r="AJ540" s="33" t="n"/>
      <c r="AK540" s="33" t="n"/>
      <c r="AL540" s="27" t="n"/>
      <c r="AM540" s="34" t="n"/>
      <c r="AN540" s="35">
        <f>IF(AF540="","",IF(AI540="Yes","❌ Disc",IF(AH540="No","⚠ Missing",IF(AK540="Yes","✓ OK","⚠ Check"))))</f>
        <v/>
      </c>
      <c r="AO540" s="36" t="n"/>
      <c r="AP540" s="36" t="n"/>
      <c r="AQ540" s="36" t="n"/>
      <c r="AR540" s="36" t="n"/>
      <c r="AS540" s="36" t="n"/>
      <c r="AT540" s="36" t="n"/>
      <c r="AU540" s="27" t="n"/>
      <c r="AV540" s="37" t="n"/>
      <c r="AW540" s="38">
        <f>IF(AO540="","",IF(AR540="Yes","❌ Disc",IF(AQ540="No","⚠ Missing",IF(AT540="Yes","✓ OK","⚠ Check"))))</f>
        <v/>
      </c>
    </row>
    <row r="541" ht="18" customHeight="1" s="46">
      <c r="A541" s="23" t="n">
        <v>537</v>
      </c>
      <c r="B541" s="24" t="inlineStr">
        <is>
          <t>BD-VRM-2024-0507</t>
        </is>
      </c>
      <c r="C541" s="25" t="inlineStr">
        <is>
          <t>Bonito Wall Decor - Kesari Blossom Indian Motifs Room Wallpaper (Soft Feel Paper - 602322)</t>
        </is>
      </c>
      <c r="D541" s="23" t="inlineStr">
        <is>
          <t>Life n Colors</t>
        </is>
      </c>
      <c r="E541" s="43" t="n">
        <v>46126</v>
      </c>
      <c r="F541" s="26" t="inlineStr">
        <is>
          <t>Sunil CR</t>
        </is>
      </c>
      <c r="G541" s="26" t="inlineStr">
        <is>
          <t>Yes</t>
        </is>
      </c>
      <c r="H541" s="26" t="inlineStr">
        <is>
          <t>No</t>
        </is>
      </c>
      <c r="I541" s="26" t="inlineStr">
        <is>
          <t>Good finish</t>
        </is>
      </c>
      <c r="J541" s="26" t="inlineStr">
        <is>
          <t>Yes</t>
        </is>
      </c>
      <c r="K541" s="27" t="n"/>
      <c r="L541" s="28" t="inlineStr">
        <is>
          <t>No</t>
        </is>
      </c>
      <c r="M541" s="29">
        <f>IF(E541="","",IF(H541="Yes","❌ Disc",IF(G541="No","⚠ Missing",IF(J541="Yes","✓ OK","⚠ Check"))))</f>
        <v/>
      </c>
      <c r="N541" s="43" t="n">
        <v>46193</v>
      </c>
      <c r="O541" s="26" t="inlineStr">
        <is>
          <t>Sunil CR</t>
        </is>
      </c>
      <c r="P541" s="26" t="inlineStr">
        <is>
          <t>Yes</t>
        </is>
      </c>
      <c r="Q541" s="26" t="inlineStr">
        <is>
          <t>No</t>
        </is>
      </c>
      <c r="R541" s="26" t="inlineStr">
        <is>
          <t>Good finish</t>
        </is>
      </c>
      <c r="S541" s="26" t="inlineStr">
        <is>
          <t>Yes</t>
        </is>
      </c>
      <c r="T541" s="27" t="n"/>
      <c r="U541" s="28" t="inlineStr">
        <is>
          <t>No</t>
        </is>
      </c>
      <c r="V541" s="29">
        <f>IF(N541="","",IF(Q541="Yes","❌ Disc",IF(P541="No","⚠ Missing",IF(S541="Yes","✓ OK","⚠ Check"))))</f>
        <v/>
      </c>
      <c r="W541" s="65" t="n">
        <v>46248</v>
      </c>
      <c r="X541" s="30" t="inlineStr">
        <is>
          <t>Sunil CR</t>
        </is>
      </c>
      <c r="Y541" s="30" t="inlineStr">
        <is>
          <t>Yes</t>
        </is>
      </c>
      <c r="Z541" s="30" t="n"/>
      <c r="AA541" s="30" t="inlineStr">
        <is>
          <t>Good finish</t>
        </is>
      </c>
      <c r="AB541" s="30" t="inlineStr">
        <is>
          <t>Yes</t>
        </is>
      </c>
      <c r="AC541" s="27" t="n"/>
      <c r="AD541" s="31" t="inlineStr">
        <is>
          <t>No</t>
        </is>
      </c>
      <c r="AE541" s="32">
        <f>IF(W541="","",IF(Z541="Yes","❌ Disc",IF(Y541="No","⚠ Missing",IF(AB541="Yes","✓ OK","⚠ Check"))))</f>
        <v/>
      </c>
      <c r="AF541" s="33" t="n"/>
      <c r="AG541" s="33" t="n"/>
      <c r="AH541" s="33" t="n"/>
      <c r="AI541" s="33" t="n"/>
      <c r="AJ541" s="33" t="n"/>
      <c r="AK541" s="33" t="n"/>
      <c r="AL541" s="27" t="n"/>
      <c r="AM541" s="34" t="n"/>
      <c r="AN541" s="35">
        <f>IF(AF541="","",IF(AI541="Yes","❌ Disc",IF(AH541="No","⚠ Missing",IF(AK541="Yes","✓ OK","⚠ Check"))))</f>
        <v/>
      </c>
      <c r="AO541" s="36" t="n"/>
      <c r="AP541" s="36" t="n"/>
      <c r="AQ541" s="36" t="n"/>
      <c r="AR541" s="36" t="n"/>
      <c r="AS541" s="36" t="n"/>
      <c r="AT541" s="36" t="n"/>
      <c r="AU541" s="27" t="n"/>
      <c r="AV541" s="37" t="n"/>
      <c r="AW541" s="38">
        <f>IF(AO541="","",IF(AR541="Yes","❌ Disc",IF(AQ541="No","⚠ Missing",IF(AT541="Yes","✓ OK","⚠ Check"))))</f>
        <v/>
      </c>
    </row>
    <row r="542" ht="18" customHeight="1" s="46">
      <c r="A542" s="39" t="n">
        <v>538</v>
      </c>
      <c r="B542" s="40" t="inlineStr">
        <is>
          <t>BD-VRM-2023-4793</t>
        </is>
      </c>
      <c r="C542" s="41" t="inlineStr">
        <is>
          <t>Bonito Wall Decor - Khoob, Tropical Trees Black and White Wallpaper 601321 - Premium Soft feel paper</t>
        </is>
      </c>
      <c r="D542" s="39" t="inlineStr">
        <is>
          <t>Life n Colors</t>
        </is>
      </c>
      <c r="E542" s="43" t="n">
        <v>46126</v>
      </c>
      <c r="F542" s="26" t="inlineStr">
        <is>
          <t>Sunil CR</t>
        </is>
      </c>
      <c r="G542" s="26" t="inlineStr">
        <is>
          <t>Yes</t>
        </is>
      </c>
      <c r="H542" s="26" t="inlineStr">
        <is>
          <t>No</t>
        </is>
      </c>
      <c r="I542" s="26" t="inlineStr">
        <is>
          <t>Good finish</t>
        </is>
      </c>
      <c r="J542" s="26" t="inlineStr">
        <is>
          <t>Yes</t>
        </is>
      </c>
      <c r="K542" s="27" t="n"/>
      <c r="L542" s="28" t="inlineStr">
        <is>
          <t>No</t>
        </is>
      </c>
      <c r="M542" s="29">
        <f>IF(E542="","",IF(H542="Yes","❌ Disc",IF(G542="No","⚠ Missing",IF(J542="Yes","✓ OK","⚠ Check"))))</f>
        <v/>
      </c>
      <c r="N542" s="43" t="n">
        <v>46193</v>
      </c>
      <c r="O542" s="26" t="inlineStr">
        <is>
          <t>Sunil CR</t>
        </is>
      </c>
      <c r="P542" s="26" t="inlineStr">
        <is>
          <t>Yes</t>
        </is>
      </c>
      <c r="Q542" s="26" t="inlineStr">
        <is>
          <t>No</t>
        </is>
      </c>
      <c r="R542" s="26" t="inlineStr">
        <is>
          <t>Good finish</t>
        </is>
      </c>
      <c r="S542" s="26" t="inlineStr">
        <is>
          <t>Yes</t>
        </is>
      </c>
      <c r="T542" s="27" t="n"/>
      <c r="U542" s="28" t="inlineStr">
        <is>
          <t>No</t>
        </is>
      </c>
      <c r="V542" s="29">
        <f>IF(N542="","",IF(Q542="Yes","❌ Disc",IF(P542="No","⚠ Missing",IF(S542="Yes","✓ OK","⚠ Check"))))</f>
        <v/>
      </c>
      <c r="W542" s="65" t="n">
        <v>46248</v>
      </c>
      <c r="X542" s="30" t="inlineStr">
        <is>
          <t>Sunil CR</t>
        </is>
      </c>
      <c r="Y542" s="30" t="inlineStr">
        <is>
          <t>Yes</t>
        </is>
      </c>
      <c r="Z542" s="30" t="n"/>
      <c r="AA542" s="30" t="inlineStr">
        <is>
          <t>Good finish</t>
        </is>
      </c>
      <c r="AB542" s="30" t="inlineStr">
        <is>
          <t>Yes</t>
        </is>
      </c>
      <c r="AC542" s="27" t="n"/>
      <c r="AD542" s="31" t="inlineStr">
        <is>
          <t>No</t>
        </is>
      </c>
      <c r="AE542" s="32">
        <f>IF(W542="","",IF(Z542="Yes","❌ Disc",IF(Y542="No","⚠ Missing",IF(AB542="Yes","✓ OK","⚠ Check"))))</f>
        <v/>
      </c>
      <c r="AF542" s="33" t="n"/>
      <c r="AG542" s="33" t="n"/>
      <c r="AH542" s="33" t="n"/>
      <c r="AI542" s="33" t="n"/>
      <c r="AJ542" s="33" t="n"/>
      <c r="AK542" s="33" t="n"/>
      <c r="AL542" s="27" t="n"/>
      <c r="AM542" s="34" t="n"/>
      <c r="AN542" s="35">
        <f>IF(AF542="","",IF(AI542="Yes","❌ Disc",IF(AH542="No","⚠ Missing",IF(AK542="Yes","✓ OK","⚠ Check"))))</f>
        <v/>
      </c>
      <c r="AO542" s="36" t="n"/>
      <c r="AP542" s="36" t="n"/>
      <c r="AQ542" s="36" t="n"/>
      <c r="AR542" s="36" t="n"/>
      <c r="AS542" s="36" t="n"/>
      <c r="AT542" s="36" t="n"/>
      <c r="AU542" s="27" t="n"/>
      <c r="AV542" s="37" t="n"/>
      <c r="AW542" s="38">
        <f>IF(AO542="","",IF(AR542="Yes","❌ Disc",IF(AQ542="No","⚠ Missing",IF(AT542="Yes","✓ OK","⚠ Check"))))</f>
        <v/>
      </c>
    </row>
    <row r="543" ht="18" customHeight="1" s="46">
      <c r="A543" s="23" t="n">
        <v>539</v>
      </c>
      <c r="B543" s="24" t="inlineStr">
        <is>
          <t>BD-VRM-2023-4799</t>
        </is>
      </c>
      <c r="C543" s="25" t="inlineStr">
        <is>
          <t>Bonito Wall Decor - Khoob, Tropical Trees Black and White Wallpaper 601322 - Premium Canvas paper</t>
        </is>
      </c>
      <c r="D543" s="23" t="inlineStr">
        <is>
          <t>Life n Colors</t>
        </is>
      </c>
      <c r="E543" s="43" t="n">
        <v>46126</v>
      </c>
      <c r="F543" s="26" t="inlineStr">
        <is>
          <t>Sunil CR</t>
        </is>
      </c>
      <c r="G543" s="26" t="inlineStr">
        <is>
          <t>Yes</t>
        </is>
      </c>
      <c r="H543" s="26" t="inlineStr">
        <is>
          <t>No</t>
        </is>
      </c>
      <c r="I543" s="26" t="inlineStr">
        <is>
          <t>Good finish</t>
        </is>
      </c>
      <c r="J543" s="26" t="inlineStr">
        <is>
          <t>Yes</t>
        </is>
      </c>
      <c r="K543" s="27" t="n"/>
      <c r="L543" s="28" t="inlineStr">
        <is>
          <t>No</t>
        </is>
      </c>
      <c r="M543" s="29">
        <f>IF(E543="","",IF(H543="Yes","❌ Disc",IF(G543="No","⚠ Missing",IF(J543="Yes","✓ OK","⚠ Check"))))</f>
        <v/>
      </c>
      <c r="N543" s="43" t="n">
        <v>46193</v>
      </c>
      <c r="O543" s="26" t="inlineStr">
        <is>
          <t>Sunil CR</t>
        </is>
      </c>
      <c r="P543" s="26" t="inlineStr">
        <is>
          <t>Yes</t>
        </is>
      </c>
      <c r="Q543" s="26" t="inlineStr">
        <is>
          <t>No</t>
        </is>
      </c>
      <c r="R543" s="26" t="inlineStr">
        <is>
          <t>Good finish</t>
        </is>
      </c>
      <c r="S543" s="26" t="inlineStr">
        <is>
          <t>Yes</t>
        </is>
      </c>
      <c r="T543" s="27" t="n"/>
      <c r="U543" s="28" t="inlineStr">
        <is>
          <t>No</t>
        </is>
      </c>
      <c r="V543" s="29">
        <f>IF(N543="","",IF(Q543="Yes","❌ Disc",IF(P543="No","⚠ Missing",IF(S543="Yes","✓ OK","⚠ Check"))))</f>
        <v/>
      </c>
      <c r="W543" s="65" t="n">
        <v>46248</v>
      </c>
      <c r="X543" s="30" t="inlineStr">
        <is>
          <t>Sunil CR</t>
        </is>
      </c>
      <c r="Y543" s="30" t="inlineStr">
        <is>
          <t>Yes</t>
        </is>
      </c>
      <c r="Z543" s="30" t="n"/>
      <c r="AA543" s="30" t="inlineStr">
        <is>
          <t>Good finish</t>
        </is>
      </c>
      <c r="AB543" s="30" t="inlineStr">
        <is>
          <t>Yes</t>
        </is>
      </c>
      <c r="AC543" s="27" t="n"/>
      <c r="AD543" s="31" t="inlineStr">
        <is>
          <t>No</t>
        </is>
      </c>
      <c r="AE543" s="32">
        <f>IF(W543="","",IF(Z543="Yes","❌ Disc",IF(Y543="No","⚠ Missing",IF(AB543="Yes","✓ OK","⚠ Check"))))</f>
        <v/>
      </c>
      <c r="AF543" s="33" t="n"/>
      <c r="AG543" s="33" t="n"/>
      <c r="AH543" s="33" t="n"/>
      <c r="AI543" s="33" t="n"/>
      <c r="AJ543" s="33" t="n"/>
      <c r="AK543" s="33" t="n"/>
      <c r="AL543" s="27" t="n"/>
      <c r="AM543" s="34" t="n"/>
      <c r="AN543" s="35">
        <f>IF(AF543="","",IF(AI543="Yes","❌ Disc",IF(AH543="No","⚠ Missing",IF(AK543="Yes","✓ OK","⚠ Check"))))</f>
        <v/>
      </c>
      <c r="AO543" s="36" t="n"/>
      <c r="AP543" s="36" t="n"/>
      <c r="AQ543" s="36" t="n"/>
      <c r="AR543" s="36" t="n"/>
      <c r="AS543" s="36" t="n"/>
      <c r="AT543" s="36" t="n"/>
      <c r="AU543" s="27" t="n"/>
      <c r="AV543" s="37" t="n"/>
      <c r="AW543" s="38">
        <f>IF(AO543="","",IF(AR543="Yes","❌ Disc",IF(AQ543="No","⚠ Missing",IF(AT543="Yes","✓ OK","⚠ Check"))))</f>
        <v/>
      </c>
    </row>
    <row r="544" ht="18" customHeight="1" s="46">
      <c r="A544" s="39" t="n">
        <v>540</v>
      </c>
      <c r="B544" s="40" t="inlineStr">
        <is>
          <t>BD-VRM-2023-4743</t>
        </is>
      </c>
      <c r="C544" s="41" t="inlineStr">
        <is>
          <t>Bonito Wall Decor - Lets go on a moon walk, Cute kids room wallpaper 600111 - Soft feel paper</t>
        </is>
      </c>
      <c r="D544" s="39" t="inlineStr">
        <is>
          <t>Life n Colors</t>
        </is>
      </c>
      <c r="E544" s="43" t="n">
        <v>46126</v>
      </c>
      <c r="F544" s="26" t="inlineStr">
        <is>
          <t>Sunil CR</t>
        </is>
      </c>
      <c r="G544" s="26" t="inlineStr">
        <is>
          <t>Yes</t>
        </is>
      </c>
      <c r="H544" s="26" t="inlineStr">
        <is>
          <t>No</t>
        </is>
      </c>
      <c r="I544" s="26" t="inlineStr">
        <is>
          <t>Good finish</t>
        </is>
      </c>
      <c r="J544" s="26" t="inlineStr">
        <is>
          <t>Yes</t>
        </is>
      </c>
      <c r="K544" s="27" t="n"/>
      <c r="L544" s="28" t="inlineStr">
        <is>
          <t>No</t>
        </is>
      </c>
      <c r="M544" s="29">
        <f>IF(E544="","",IF(H544="Yes","❌ Disc",IF(G544="No","⚠ Missing",IF(J544="Yes","✓ OK","⚠ Check"))))</f>
        <v/>
      </c>
      <c r="N544" s="43" t="n">
        <v>46193</v>
      </c>
      <c r="O544" s="26" t="inlineStr">
        <is>
          <t>Sunil CR</t>
        </is>
      </c>
      <c r="P544" s="26" t="inlineStr">
        <is>
          <t>Yes</t>
        </is>
      </c>
      <c r="Q544" s="26" t="inlineStr">
        <is>
          <t>No</t>
        </is>
      </c>
      <c r="R544" s="26" t="inlineStr">
        <is>
          <t>Good finish</t>
        </is>
      </c>
      <c r="S544" s="26" t="inlineStr">
        <is>
          <t>Yes</t>
        </is>
      </c>
      <c r="T544" s="27" t="n"/>
      <c r="U544" s="28" t="inlineStr">
        <is>
          <t>No</t>
        </is>
      </c>
      <c r="V544" s="29">
        <f>IF(N544="","",IF(Q544="Yes","❌ Disc",IF(P544="No","⚠ Missing",IF(S544="Yes","✓ OK","⚠ Check"))))</f>
        <v/>
      </c>
      <c r="W544" s="65" t="n">
        <v>46248</v>
      </c>
      <c r="X544" s="30" t="inlineStr">
        <is>
          <t>Sunil CR</t>
        </is>
      </c>
      <c r="Y544" s="30" t="inlineStr">
        <is>
          <t>Yes</t>
        </is>
      </c>
      <c r="Z544" s="30" t="n"/>
      <c r="AA544" s="30" t="inlineStr">
        <is>
          <t>Good finish</t>
        </is>
      </c>
      <c r="AB544" s="30" t="inlineStr">
        <is>
          <t>Yes</t>
        </is>
      </c>
      <c r="AC544" s="27" t="n"/>
      <c r="AD544" s="31" t="inlineStr">
        <is>
          <t>No</t>
        </is>
      </c>
      <c r="AE544" s="32">
        <f>IF(W544="","",IF(Z544="Yes","❌ Disc",IF(Y544="No","⚠ Missing",IF(AB544="Yes","✓ OK","⚠ Check"))))</f>
        <v/>
      </c>
      <c r="AF544" s="33" t="n"/>
      <c r="AG544" s="33" t="n"/>
      <c r="AH544" s="33" t="n"/>
      <c r="AI544" s="33" t="n"/>
      <c r="AJ544" s="33" t="n"/>
      <c r="AK544" s="33" t="n"/>
      <c r="AL544" s="27" t="n"/>
      <c r="AM544" s="34" t="n"/>
      <c r="AN544" s="35">
        <f>IF(AF544="","",IF(AI544="Yes","❌ Disc",IF(AH544="No","⚠ Missing",IF(AK544="Yes","✓ OK","⚠ Check"))))</f>
        <v/>
      </c>
      <c r="AO544" s="36" t="n"/>
      <c r="AP544" s="36" t="n"/>
      <c r="AQ544" s="36" t="n"/>
      <c r="AR544" s="36" t="n"/>
      <c r="AS544" s="36" t="n"/>
      <c r="AT544" s="36" t="n"/>
      <c r="AU544" s="27" t="n"/>
      <c r="AV544" s="37" t="n"/>
      <c r="AW544" s="38">
        <f>IF(AO544="","",IF(AR544="Yes","❌ Disc",IF(AQ544="No","⚠ Missing",IF(AT544="Yes","✓ OK","⚠ Check"))))</f>
        <v/>
      </c>
    </row>
    <row r="545" ht="18" customHeight="1" s="46">
      <c r="A545" s="23" t="n">
        <v>541</v>
      </c>
      <c r="B545" s="24" t="inlineStr">
        <is>
          <t>BD-VRM-2023-4768</t>
        </is>
      </c>
      <c r="C545" s="25" t="inlineStr">
        <is>
          <t>Bonito Wall Decor - Lets go on a moon walk, Cute kids room wallpaper 600112 - Canvas paper</t>
        </is>
      </c>
      <c r="D545" s="23" t="inlineStr">
        <is>
          <t>Life n Colors</t>
        </is>
      </c>
      <c r="E545" s="43" t="n">
        <v>46126</v>
      </c>
      <c r="F545" s="26" t="inlineStr">
        <is>
          <t>Sunil CR</t>
        </is>
      </c>
      <c r="G545" s="26" t="inlineStr">
        <is>
          <t>Yes</t>
        </is>
      </c>
      <c r="H545" s="26" t="inlineStr">
        <is>
          <t>No</t>
        </is>
      </c>
      <c r="I545" s="26" t="inlineStr">
        <is>
          <t>Good finish</t>
        </is>
      </c>
      <c r="J545" s="26" t="inlineStr">
        <is>
          <t>Yes</t>
        </is>
      </c>
      <c r="K545" s="27" t="n"/>
      <c r="L545" s="28" t="inlineStr">
        <is>
          <t>No</t>
        </is>
      </c>
      <c r="M545" s="29">
        <f>IF(E545="","",IF(H545="Yes","❌ Disc",IF(G545="No","⚠ Missing",IF(J545="Yes","✓ OK","⚠ Check"))))</f>
        <v/>
      </c>
      <c r="N545" s="43" t="n">
        <v>46193</v>
      </c>
      <c r="O545" s="26" t="inlineStr">
        <is>
          <t>Sunil CR</t>
        </is>
      </c>
      <c r="P545" s="26" t="inlineStr">
        <is>
          <t>Yes</t>
        </is>
      </c>
      <c r="Q545" s="26" t="inlineStr">
        <is>
          <t>No</t>
        </is>
      </c>
      <c r="R545" s="26" t="inlineStr">
        <is>
          <t>Good finish</t>
        </is>
      </c>
      <c r="S545" s="26" t="inlineStr">
        <is>
          <t>Yes</t>
        </is>
      </c>
      <c r="T545" s="27" t="n"/>
      <c r="U545" s="28" t="inlineStr">
        <is>
          <t>No</t>
        </is>
      </c>
      <c r="V545" s="29">
        <f>IF(N545="","",IF(Q545="Yes","❌ Disc",IF(P545="No","⚠ Missing",IF(S545="Yes","✓ OK","⚠ Check"))))</f>
        <v/>
      </c>
      <c r="W545" s="65" t="n">
        <v>46248</v>
      </c>
      <c r="X545" s="30" t="inlineStr">
        <is>
          <t>Sunil CR</t>
        </is>
      </c>
      <c r="Y545" s="30" t="inlineStr">
        <is>
          <t>Yes</t>
        </is>
      </c>
      <c r="Z545" s="30" t="n"/>
      <c r="AA545" s="30" t="inlineStr">
        <is>
          <t>Good finish</t>
        </is>
      </c>
      <c r="AB545" s="30" t="inlineStr">
        <is>
          <t>Yes</t>
        </is>
      </c>
      <c r="AC545" s="27" t="n"/>
      <c r="AD545" s="31" t="inlineStr">
        <is>
          <t>No</t>
        </is>
      </c>
      <c r="AE545" s="32">
        <f>IF(W545="","",IF(Z545="Yes","❌ Disc",IF(Y545="No","⚠ Missing",IF(AB545="Yes","✓ OK","⚠ Check"))))</f>
        <v/>
      </c>
      <c r="AF545" s="33" t="n"/>
      <c r="AG545" s="33" t="n"/>
      <c r="AH545" s="33" t="n"/>
      <c r="AI545" s="33" t="n"/>
      <c r="AJ545" s="33" t="n"/>
      <c r="AK545" s="33" t="n"/>
      <c r="AL545" s="27" t="n"/>
      <c r="AM545" s="34" t="n"/>
      <c r="AN545" s="35">
        <f>IF(AF545="","",IF(AI545="Yes","❌ Disc",IF(AH545="No","⚠ Missing",IF(AK545="Yes","✓ OK","⚠ Check"))))</f>
        <v/>
      </c>
      <c r="AO545" s="36" t="n"/>
      <c r="AP545" s="36" t="n"/>
      <c r="AQ545" s="36" t="n"/>
      <c r="AR545" s="36" t="n"/>
      <c r="AS545" s="36" t="n"/>
      <c r="AT545" s="36" t="n"/>
      <c r="AU545" s="27" t="n"/>
      <c r="AV545" s="37" t="n"/>
      <c r="AW545" s="38">
        <f>IF(AO545="","",IF(AR545="Yes","❌ Disc",IF(AQ545="No","⚠ Missing",IF(AT545="Yes","✓ OK","⚠ Check"))))</f>
        <v/>
      </c>
    </row>
    <row r="546" ht="18" customHeight="1" s="46">
      <c r="A546" s="39" t="n">
        <v>542</v>
      </c>
      <c r="B546" s="40" t="inlineStr">
        <is>
          <t>BD-VRM-2024-0522</t>
        </is>
      </c>
      <c r="C546" s="41" t="inlineStr">
        <is>
          <t>Bonito Wall Decor - Medieval Majesty European Theme Wall Wallpaper (Canvas Paper - 603622)</t>
        </is>
      </c>
      <c r="D546" s="39" t="inlineStr">
        <is>
          <t>Life n Colors</t>
        </is>
      </c>
      <c r="E546" s="43" t="n">
        <v>46126</v>
      </c>
      <c r="F546" s="26" t="inlineStr">
        <is>
          <t>Sunil CR</t>
        </is>
      </c>
      <c r="G546" s="26" t="inlineStr">
        <is>
          <t>Yes</t>
        </is>
      </c>
      <c r="H546" s="26" t="inlineStr">
        <is>
          <t>No</t>
        </is>
      </c>
      <c r="I546" s="26" t="inlineStr">
        <is>
          <t>Good finish</t>
        </is>
      </c>
      <c r="J546" s="26" t="inlineStr">
        <is>
          <t>Yes</t>
        </is>
      </c>
      <c r="K546" s="27" t="n"/>
      <c r="L546" s="28" t="inlineStr">
        <is>
          <t>No</t>
        </is>
      </c>
      <c r="M546" s="29">
        <f>IF(E546="","",IF(H546="Yes","❌ Disc",IF(G546="No","⚠ Missing",IF(J546="Yes","✓ OK","⚠ Check"))))</f>
        <v/>
      </c>
      <c r="N546" s="43" t="n">
        <v>46193</v>
      </c>
      <c r="O546" s="26" t="inlineStr">
        <is>
          <t>Sunil CR</t>
        </is>
      </c>
      <c r="P546" s="26" t="inlineStr">
        <is>
          <t>Yes</t>
        </is>
      </c>
      <c r="Q546" s="26" t="inlineStr">
        <is>
          <t>No</t>
        </is>
      </c>
      <c r="R546" s="26" t="inlineStr">
        <is>
          <t>Good finish</t>
        </is>
      </c>
      <c r="S546" s="26" t="inlineStr">
        <is>
          <t>Yes</t>
        </is>
      </c>
      <c r="T546" s="27" t="n"/>
      <c r="U546" s="28" t="inlineStr">
        <is>
          <t>No</t>
        </is>
      </c>
      <c r="V546" s="29">
        <f>IF(N546="","",IF(Q546="Yes","❌ Disc",IF(P546="No","⚠ Missing",IF(S546="Yes","✓ OK","⚠ Check"))))</f>
        <v/>
      </c>
      <c r="W546" s="65" t="n">
        <v>46248</v>
      </c>
      <c r="X546" s="30" t="inlineStr">
        <is>
          <t>Sunil CR</t>
        </is>
      </c>
      <c r="Y546" s="30" t="inlineStr">
        <is>
          <t>Yes</t>
        </is>
      </c>
      <c r="Z546" s="30" t="n"/>
      <c r="AA546" s="30" t="inlineStr">
        <is>
          <t>Good finish</t>
        </is>
      </c>
      <c r="AB546" s="30" t="inlineStr">
        <is>
          <t>Yes</t>
        </is>
      </c>
      <c r="AC546" s="27" t="n"/>
      <c r="AD546" s="31" t="inlineStr">
        <is>
          <t>No</t>
        </is>
      </c>
      <c r="AE546" s="32">
        <f>IF(W546="","",IF(Z546="Yes","❌ Disc",IF(Y546="No","⚠ Missing",IF(AB546="Yes","✓ OK","⚠ Check"))))</f>
        <v/>
      </c>
      <c r="AF546" s="33" t="n"/>
      <c r="AG546" s="33" t="n"/>
      <c r="AH546" s="33" t="n"/>
      <c r="AI546" s="33" t="n"/>
      <c r="AJ546" s="33" t="n"/>
      <c r="AK546" s="33" t="n"/>
      <c r="AL546" s="27" t="n"/>
      <c r="AM546" s="34" t="n"/>
      <c r="AN546" s="35">
        <f>IF(AF546="","",IF(AI546="Yes","❌ Disc",IF(AH546="No","⚠ Missing",IF(AK546="Yes","✓ OK","⚠ Check"))))</f>
        <v/>
      </c>
      <c r="AO546" s="36" t="n"/>
      <c r="AP546" s="36" t="n"/>
      <c r="AQ546" s="36" t="n"/>
      <c r="AR546" s="36" t="n"/>
      <c r="AS546" s="36" t="n"/>
      <c r="AT546" s="36" t="n"/>
      <c r="AU546" s="27" t="n"/>
      <c r="AV546" s="37" t="n"/>
      <c r="AW546" s="38">
        <f>IF(AO546="","",IF(AR546="Yes","❌ Disc",IF(AQ546="No","⚠ Missing",IF(AT546="Yes","✓ OK","⚠ Check"))))</f>
        <v/>
      </c>
    </row>
    <row r="547" ht="18" customHeight="1" s="46">
      <c r="A547" s="23" t="n">
        <v>543</v>
      </c>
      <c r="B547" s="24" t="inlineStr">
        <is>
          <t>BD-VRM-2024-0514</t>
        </is>
      </c>
      <c r="C547" s="25" t="inlineStr">
        <is>
          <t>Bonito Wall Decor - Mint Blossom Vintage Chinoiserie Wallpaper For Walls (Canvas Paper - 603222)</t>
        </is>
      </c>
      <c r="D547" s="23" t="inlineStr">
        <is>
          <t>Life n Colors</t>
        </is>
      </c>
      <c r="E547" s="43" t="n">
        <v>46126</v>
      </c>
      <c r="F547" s="26" t="inlineStr">
        <is>
          <t>Sunil CR</t>
        </is>
      </c>
      <c r="G547" s="26" t="inlineStr">
        <is>
          <t>Yes</t>
        </is>
      </c>
      <c r="H547" s="26" t="inlineStr">
        <is>
          <t>No</t>
        </is>
      </c>
      <c r="I547" s="26" t="inlineStr">
        <is>
          <t>Good finish</t>
        </is>
      </c>
      <c r="J547" s="26" t="inlineStr">
        <is>
          <t>Yes</t>
        </is>
      </c>
      <c r="K547" s="27" t="n"/>
      <c r="L547" s="28" t="inlineStr">
        <is>
          <t>No</t>
        </is>
      </c>
      <c r="M547" s="29">
        <f>IF(E547="","",IF(H547="Yes","❌ Disc",IF(G547="No","⚠ Missing",IF(J547="Yes","✓ OK","⚠ Check"))))</f>
        <v/>
      </c>
      <c r="N547" s="43" t="n">
        <v>46193</v>
      </c>
      <c r="O547" s="26" t="inlineStr">
        <is>
          <t>Sunil CR</t>
        </is>
      </c>
      <c r="P547" s="26" t="inlineStr">
        <is>
          <t>Yes</t>
        </is>
      </c>
      <c r="Q547" s="26" t="inlineStr">
        <is>
          <t>No</t>
        </is>
      </c>
      <c r="R547" s="26" t="inlineStr">
        <is>
          <t>Good finish</t>
        </is>
      </c>
      <c r="S547" s="26" t="inlineStr">
        <is>
          <t>Yes</t>
        </is>
      </c>
      <c r="T547" s="27" t="n"/>
      <c r="U547" s="28" t="inlineStr">
        <is>
          <t>No</t>
        </is>
      </c>
      <c r="V547" s="29">
        <f>IF(N547="","",IF(Q547="Yes","❌ Disc",IF(P547="No","⚠ Missing",IF(S547="Yes","✓ OK","⚠ Check"))))</f>
        <v/>
      </c>
      <c r="W547" s="65" t="n">
        <v>46248</v>
      </c>
      <c r="X547" s="30" t="inlineStr">
        <is>
          <t>Sunil CR</t>
        </is>
      </c>
      <c r="Y547" s="30" t="inlineStr">
        <is>
          <t>Yes</t>
        </is>
      </c>
      <c r="Z547" s="30" t="n"/>
      <c r="AA547" s="30" t="inlineStr">
        <is>
          <t>Good finish</t>
        </is>
      </c>
      <c r="AB547" s="30" t="inlineStr">
        <is>
          <t>Yes</t>
        </is>
      </c>
      <c r="AC547" s="27" t="n"/>
      <c r="AD547" s="31" t="inlineStr">
        <is>
          <t>No</t>
        </is>
      </c>
      <c r="AE547" s="32">
        <f>IF(W547="","",IF(Z547="Yes","❌ Disc",IF(Y547="No","⚠ Missing",IF(AB547="Yes","✓ OK","⚠ Check"))))</f>
        <v/>
      </c>
      <c r="AF547" s="33" t="n"/>
      <c r="AG547" s="33" t="n"/>
      <c r="AH547" s="33" t="n"/>
      <c r="AI547" s="33" t="n"/>
      <c r="AJ547" s="33" t="n"/>
      <c r="AK547" s="33" t="n"/>
      <c r="AL547" s="27" t="n"/>
      <c r="AM547" s="34" t="n"/>
      <c r="AN547" s="35">
        <f>IF(AF547="","",IF(AI547="Yes","❌ Disc",IF(AH547="No","⚠ Missing",IF(AK547="Yes","✓ OK","⚠ Check"))))</f>
        <v/>
      </c>
      <c r="AO547" s="36" t="n"/>
      <c r="AP547" s="36" t="n"/>
      <c r="AQ547" s="36" t="n"/>
      <c r="AR547" s="36" t="n"/>
      <c r="AS547" s="36" t="n"/>
      <c r="AT547" s="36" t="n"/>
      <c r="AU547" s="27" t="n"/>
      <c r="AV547" s="37" t="n"/>
      <c r="AW547" s="38">
        <f>IF(AO547="","",IF(AR547="Yes","❌ Disc",IF(AQ547="No","⚠ Missing",IF(AT547="Yes","✓ OK","⚠ Check"))))</f>
        <v/>
      </c>
    </row>
    <row r="548" ht="18" customHeight="1" s="46">
      <c r="A548" s="39" t="n">
        <v>544</v>
      </c>
      <c r="B548" s="40" t="inlineStr">
        <is>
          <t>BD-VRM-2024-0526</t>
        </is>
      </c>
      <c r="C548" s="41" t="inlineStr">
        <is>
          <t>Bonito Wall Decor - Mint Blossom Vintage Chinoiserie Wallpaper For Walls (Handmade Paper - 603912)</t>
        </is>
      </c>
      <c r="D548" s="39" t="inlineStr">
        <is>
          <t>Life n Colors</t>
        </is>
      </c>
      <c r="E548" s="43" t="n">
        <v>46126</v>
      </c>
      <c r="F548" s="26" t="inlineStr">
        <is>
          <t>Sunil CR</t>
        </is>
      </c>
      <c r="G548" s="26" t="inlineStr">
        <is>
          <t>Yes</t>
        </is>
      </c>
      <c r="H548" s="26" t="inlineStr">
        <is>
          <t>No</t>
        </is>
      </c>
      <c r="I548" s="26" t="inlineStr">
        <is>
          <t>Good finish</t>
        </is>
      </c>
      <c r="J548" s="26" t="inlineStr">
        <is>
          <t>Yes</t>
        </is>
      </c>
      <c r="K548" s="27" t="n"/>
      <c r="L548" s="28" t="inlineStr">
        <is>
          <t>No</t>
        </is>
      </c>
      <c r="M548" s="29">
        <f>IF(E548="","",IF(H548="Yes","❌ Disc",IF(G548="No","⚠ Missing",IF(J548="Yes","✓ OK","⚠ Check"))))</f>
        <v/>
      </c>
      <c r="N548" s="43" t="n">
        <v>46193</v>
      </c>
      <c r="O548" s="26" t="inlineStr">
        <is>
          <t>Sunil CR</t>
        </is>
      </c>
      <c r="P548" s="26" t="inlineStr">
        <is>
          <t>Yes</t>
        </is>
      </c>
      <c r="Q548" s="26" t="inlineStr">
        <is>
          <t>No</t>
        </is>
      </c>
      <c r="R548" s="26" t="inlineStr">
        <is>
          <t>Good finish</t>
        </is>
      </c>
      <c r="S548" s="26" t="inlineStr">
        <is>
          <t>Yes</t>
        </is>
      </c>
      <c r="T548" s="27" t="n"/>
      <c r="U548" s="28" t="inlineStr">
        <is>
          <t>No</t>
        </is>
      </c>
      <c r="V548" s="29">
        <f>IF(N548="","",IF(Q548="Yes","❌ Disc",IF(P548="No","⚠ Missing",IF(S548="Yes","✓ OK","⚠ Check"))))</f>
        <v/>
      </c>
      <c r="W548" s="65" t="n">
        <v>46248</v>
      </c>
      <c r="X548" s="30" t="inlineStr">
        <is>
          <t>Sunil CR</t>
        </is>
      </c>
      <c r="Y548" s="30" t="inlineStr">
        <is>
          <t>Yes</t>
        </is>
      </c>
      <c r="Z548" s="30" t="n"/>
      <c r="AA548" s="30" t="inlineStr">
        <is>
          <t>Good finish</t>
        </is>
      </c>
      <c r="AB548" s="30" t="inlineStr">
        <is>
          <t>Yes</t>
        </is>
      </c>
      <c r="AC548" s="27" t="n"/>
      <c r="AD548" s="31" t="inlineStr">
        <is>
          <t>No</t>
        </is>
      </c>
      <c r="AE548" s="32">
        <f>IF(W548="","",IF(Z548="Yes","❌ Disc",IF(Y548="No","⚠ Missing",IF(AB548="Yes","✓ OK","⚠ Check"))))</f>
        <v/>
      </c>
      <c r="AF548" s="33" t="n"/>
      <c r="AG548" s="33" t="n"/>
      <c r="AH548" s="33" t="n"/>
      <c r="AI548" s="33" t="n"/>
      <c r="AJ548" s="33" t="n"/>
      <c r="AK548" s="33" t="n"/>
      <c r="AL548" s="27" t="n"/>
      <c r="AM548" s="34" t="n"/>
      <c r="AN548" s="35">
        <f>IF(AF548="","",IF(AI548="Yes","❌ Disc",IF(AH548="No","⚠ Missing",IF(AK548="Yes","✓ OK","⚠ Check"))))</f>
        <v/>
      </c>
      <c r="AO548" s="36" t="n"/>
      <c r="AP548" s="36" t="n"/>
      <c r="AQ548" s="36" t="n"/>
      <c r="AR548" s="36" t="n"/>
      <c r="AS548" s="36" t="n"/>
      <c r="AT548" s="36" t="n"/>
      <c r="AU548" s="27" t="n"/>
      <c r="AV548" s="37" t="n"/>
      <c r="AW548" s="38">
        <f>IF(AO548="","",IF(AR548="Yes","❌ Disc",IF(AQ548="No","⚠ Missing",IF(AT548="Yes","✓ OK","⚠ Check"))))</f>
        <v/>
      </c>
    </row>
    <row r="549" ht="18" customHeight="1" s="46">
      <c r="A549" s="23" t="n">
        <v>545</v>
      </c>
      <c r="B549" s="24" t="inlineStr">
        <is>
          <t>BD-VRM-2023-4764</t>
        </is>
      </c>
      <c r="C549" s="25" t="inlineStr">
        <is>
          <t>Bonito Wall Decor - Mint Pastel Geometric Minimalist Customised Wallpaper 601121 - Soft Feel Paper</t>
        </is>
      </c>
      <c r="D549" s="23" t="inlineStr">
        <is>
          <t>Life n Colors</t>
        </is>
      </c>
      <c r="E549" s="43" t="n">
        <v>46126</v>
      </c>
      <c r="F549" s="26" t="inlineStr">
        <is>
          <t>Sunil CR</t>
        </is>
      </c>
      <c r="G549" s="26" t="inlineStr">
        <is>
          <t>Yes</t>
        </is>
      </c>
      <c r="H549" s="26" t="inlineStr">
        <is>
          <t>No</t>
        </is>
      </c>
      <c r="I549" s="26" t="inlineStr">
        <is>
          <t>Good finish</t>
        </is>
      </c>
      <c r="J549" s="26" t="inlineStr">
        <is>
          <t>Yes</t>
        </is>
      </c>
      <c r="K549" s="27" t="n"/>
      <c r="L549" s="28" t="inlineStr">
        <is>
          <t>No</t>
        </is>
      </c>
      <c r="M549" s="29">
        <f>IF(E549="","",IF(H549="Yes","❌ Disc",IF(G549="No","⚠ Missing",IF(J549="Yes","✓ OK","⚠ Check"))))</f>
        <v/>
      </c>
      <c r="N549" s="43" t="n">
        <v>46193</v>
      </c>
      <c r="O549" s="26" t="inlineStr">
        <is>
          <t>Sunil CR</t>
        </is>
      </c>
      <c r="P549" s="26" t="inlineStr">
        <is>
          <t>Yes</t>
        </is>
      </c>
      <c r="Q549" s="26" t="inlineStr">
        <is>
          <t>No</t>
        </is>
      </c>
      <c r="R549" s="26" t="inlineStr">
        <is>
          <t>Good finish</t>
        </is>
      </c>
      <c r="S549" s="26" t="inlineStr">
        <is>
          <t>Yes</t>
        </is>
      </c>
      <c r="T549" s="27" t="n"/>
      <c r="U549" s="28" t="inlineStr">
        <is>
          <t>No</t>
        </is>
      </c>
      <c r="V549" s="29">
        <f>IF(N549="","",IF(Q549="Yes","❌ Disc",IF(P549="No","⚠ Missing",IF(S549="Yes","✓ OK","⚠ Check"))))</f>
        <v/>
      </c>
      <c r="W549" s="65" t="n">
        <v>46248</v>
      </c>
      <c r="X549" s="30" t="inlineStr">
        <is>
          <t>Sunil CR</t>
        </is>
      </c>
      <c r="Y549" s="30" t="inlineStr">
        <is>
          <t>Yes</t>
        </is>
      </c>
      <c r="Z549" s="30" t="n"/>
      <c r="AA549" s="30" t="inlineStr">
        <is>
          <t>Good finish</t>
        </is>
      </c>
      <c r="AB549" s="30" t="inlineStr">
        <is>
          <t>Yes</t>
        </is>
      </c>
      <c r="AC549" s="27" t="n"/>
      <c r="AD549" s="31" t="inlineStr">
        <is>
          <t>No</t>
        </is>
      </c>
      <c r="AE549" s="32">
        <f>IF(W549="","",IF(Z549="Yes","❌ Disc",IF(Y549="No","⚠ Missing",IF(AB549="Yes","✓ OK","⚠ Check"))))</f>
        <v/>
      </c>
      <c r="AF549" s="33" t="n"/>
      <c r="AG549" s="33" t="n"/>
      <c r="AH549" s="33" t="n"/>
      <c r="AI549" s="33" t="n"/>
      <c r="AJ549" s="33" t="n"/>
      <c r="AK549" s="33" t="n"/>
      <c r="AL549" s="27" t="n"/>
      <c r="AM549" s="34" t="n"/>
      <c r="AN549" s="35">
        <f>IF(AF549="","",IF(AI549="Yes","❌ Disc",IF(AH549="No","⚠ Missing",IF(AK549="Yes","✓ OK","⚠ Check"))))</f>
        <v/>
      </c>
      <c r="AO549" s="36" t="n"/>
      <c r="AP549" s="36" t="n"/>
      <c r="AQ549" s="36" t="n"/>
      <c r="AR549" s="36" t="n"/>
      <c r="AS549" s="36" t="n"/>
      <c r="AT549" s="36" t="n"/>
      <c r="AU549" s="27" t="n"/>
      <c r="AV549" s="37" t="n"/>
      <c r="AW549" s="38">
        <f>IF(AO549="","",IF(AR549="Yes","❌ Disc",IF(AQ549="No","⚠ Missing",IF(AT549="Yes","✓ OK","⚠ Check"))))</f>
        <v/>
      </c>
    </row>
    <row r="550" ht="18" customHeight="1" s="46">
      <c r="A550" s="39" t="n">
        <v>546</v>
      </c>
      <c r="B550" s="40" t="inlineStr">
        <is>
          <t>BD-VRM-2023-4789</t>
        </is>
      </c>
      <c r="C550" s="41" t="inlineStr">
        <is>
          <t>Bonito Wall Decor - Mint Pastel Geometric Minimalist Customised Wallpaper 601122 - Canvas Paper</t>
        </is>
      </c>
      <c r="D550" s="39" t="inlineStr">
        <is>
          <t>Life n Colors</t>
        </is>
      </c>
      <c r="E550" s="43" t="n">
        <v>46126</v>
      </c>
      <c r="F550" s="26" t="inlineStr">
        <is>
          <t>Sunil CR</t>
        </is>
      </c>
      <c r="G550" s="26" t="inlineStr">
        <is>
          <t>Yes</t>
        </is>
      </c>
      <c r="H550" s="26" t="inlineStr">
        <is>
          <t>No</t>
        </is>
      </c>
      <c r="I550" s="26" t="inlineStr">
        <is>
          <t>Good finish</t>
        </is>
      </c>
      <c r="J550" s="26" t="inlineStr">
        <is>
          <t>Yes</t>
        </is>
      </c>
      <c r="K550" s="27" t="n"/>
      <c r="L550" s="28" t="inlineStr">
        <is>
          <t>No</t>
        </is>
      </c>
      <c r="M550" s="29">
        <f>IF(E550="","",IF(H550="Yes","❌ Disc",IF(G550="No","⚠ Missing",IF(J550="Yes","✓ OK","⚠ Check"))))</f>
        <v/>
      </c>
      <c r="N550" s="43" t="n">
        <v>46193</v>
      </c>
      <c r="O550" s="26" t="inlineStr">
        <is>
          <t>Sunil CR</t>
        </is>
      </c>
      <c r="P550" s="26" t="inlineStr">
        <is>
          <t>Yes</t>
        </is>
      </c>
      <c r="Q550" s="26" t="inlineStr">
        <is>
          <t>No</t>
        </is>
      </c>
      <c r="R550" s="26" t="inlineStr">
        <is>
          <t>Good finish</t>
        </is>
      </c>
      <c r="S550" s="26" t="inlineStr">
        <is>
          <t>Yes</t>
        </is>
      </c>
      <c r="T550" s="27" t="n"/>
      <c r="U550" s="28" t="inlineStr">
        <is>
          <t>No</t>
        </is>
      </c>
      <c r="V550" s="29">
        <f>IF(N550="","",IF(Q550="Yes","❌ Disc",IF(P550="No","⚠ Missing",IF(S550="Yes","✓ OK","⚠ Check"))))</f>
        <v/>
      </c>
      <c r="W550" s="65" t="n">
        <v>46248</v>
      </c>
      <c r="X550" s="30" t="inlineStr">
        <is>
          <t>Sunil CR</t>
        </is>
      </c>
      <c r="Y550" s="30" t="inlineStr">
        <is>
          <t>Yes</t>
        </is>
      </c>
      <c r="Z550" s="30" t="n"/>
      <c r="AA550" s="30" t="inlineStr">
        <is>
          <t>Good finish</t>
        </is>
      </c>
      <c r="AB550" s="30" t="inlineStr">
        <is>
          <t>Yes</t>
        </is>
      </c>
      <c r="AC550" s="27" t="n"/>
      <c r="AD550" s="31" t="inlineStr">
        <is>
          <t>No</t>
        </is>
      </c>
      <c r="AE550" s="32">
        <f>IF(W550="","",IF(Z550="Yes","❌ Disc",IF(Y550="No","⚠ Missing",IF(AB550="Yes","✓ OK","⚠ Check"))))</f>
        <v/>
      </c>
      <c r="AF550" s="33" t="n"/>
      <c r="AG550" s="33" t="n"/>
      <c r="AH550" s="33" t="n"/>
      <c r="AI550" s="33" t="n"/>
      <c r="AJ550" s="33" t="n"/>
      <c r="AK550" s="33" t="n"/>
      <c r="AL550" s="27" t="n"/>
      <c r="AM550" s="34" t="n"/>
      <c r="AN550" s="35">
        <f>IF(AF550="","",IF(AI550="Yes","❌ Disc",IF(AH550="No","⚠ Missing",IF(AK550="Yes","✓ OK","⚠ Check"))))</f>
        <v/>
      </c>
      <c r="AO550" s="36" t="n"/>
      <c r="AP550" s="36" t="n"/>
      <c r="AQ550" s="36" t="n"/>
      <c r="AR550" s="36" t="n"/>
      <c r="AS550" s="36" t="n"/>
      <c r="AT550" s="36" t="n"/>
      <c r="AU550" s="27" t="n"/>
      <c r="AV550" s="37" t="n"/>
      <c r="AW550" s="38">
        <f>IF(AO550="","",IF(AR550="Yes","❌ Disc",IF(AQ550="No","⚠ Missing",IF(AT550="Yes","✓ OK","⚠ Check"))))</f>
        <v/>
      </c>
    </row>
    <row r="551" ht="18" customHeight="1" s="46">
      <c r="A551" s="23" t="n">
        <v>547</v>
      </c>
      <c r="B551" s="24" t="inlineStr">
        <is>
          <t>BD-VRM-2024-0535</t>
        </is>
      </c>
      <c r="C551" s="25" t="inlineStr">
        <is>
          <t>Bonito Wall Decor - Morni Peacock And Flowers Chinoiserie Design For Walls, Yellow (Handmade Paper - 604322)</t>
        </is>
      </c>
      <c r="D551" s="23" t="inlineStr">
        <is>
          <t>Life n Colors</t>
        </is>
      </c>
      <c r="E551" s="43" t="n">
        <v>46126</v>
      </c>
      <c r="F551" s="26" t="inlineStr">
        <is>
          <t>Sunil CR</t>
        </is>
      </c>
      <c r="G551" s="26" t="inlineStr">
        <is>
          <t>Yes</t>
        </is>
      </c>
      <c r="H551" s="26" t="inlineStr">
        <is>
          <t>No</t>
        </is>
      </c>
      <c r="I551" s="26" t="inlineStr">
        <is>
          <t>Good finish</t>
        </is>
      </c>
      <c r="J551" s="26" t="inlineStr">
        <is>
          <t>Yes</t>
        </is>
      </c>
      <c r="K551" s="27" t="n"/>
      <c r="L551" s="28" t="inlineStr">
        <is>
          <t>No</t>
        </is>
      </c>
      <c r="M551" s="29">
        <f>IF(E551="","",IF(H551="Yes","❌ Disc",IF(G551="No","⚠ Missing",IF(J551="Yes","✓ OK","⚠ Check"))))</f>
        <v/>
      </c>
      <c r="N551" s="43" t="n">
        <v>46193</v>
      </c>
      <c r="O551" s="26" t="inlineStr">
        <is>
          <t>Sunil CR</t>
        </is>
      </c>
      <c r="P551" s="26" t="inlineStr">
        <is>
          <t>Yes</t>
        </is>
      </c>
      <c r="Q551" s="26" t="inlineStr">
        <is>
          <t>No</t>
        </is>
      </c>
      <c r="R551" s="26" t="inlineStr">
        <is>
          <t>Good finish</t>
        </is>
      </c>
      <c r="S551" s="26" t="inlineStr">
        <is>
          <t>Yes</t>
        </is>
      </c>
      <c r="T551" s="27" t="n"/>
      <c r="U551" s="28" t="inlineStr">
        <is>
          <t>No</t>
        </is>
      </c>
      <c r="V551" s="29">
        <f>IF(N551="","",IF(Q551="Yes","❌ Disc",IF(P551="No","⚠ Missing",IF(S551="Yes","✓ OK","⚠ Check"))))</f>
        <v/>
      </c>
      <c r="W551" s="65" t="n">
        <v>46248</v>
      </c>
      <c r="X551" s="30" t="inlineStr">
        <is>
          <t>Sunil CR</t>
        </is>
      </c>
      <c r="Y551" s="30" t="inlineStr">
        <is>
          <t>Yes</t>
        </is>
      </c>
      <c r="Z551" s="30" t="n"/>
      <c r="AA551" s="30" t="inlineStr">
        <is>
          <t>Good finish</t>
        </is>
      </c>
      <c r="AB551" s="30" t="inlineStr">
        <is>
          <t>Yes</t>
        </is>
      </c>
      <c r="AC551" s="27" t="n"/>
      <c r="AD551" s="31" t="inlineStr">
        <is>
          <t>No</t>
        </is>
      </c>
      <c r="AE551" s="32">
        <f>IF(W551="","",IF(Z551="Yes","❌ Disc",IF(Y551="No","⚠ Missing",IF(AB551="Yes","✓ OK","⚠ Check"))))</f>
        <v/>
      </c>
      <c r="AF551" s="33" t="n"/>
      <c r="AG551" s="33" t="n"/>
      <c r="AH551" s="33" t="n"/>
      <c r="AI551" s="33" t="n"/>
      <c r="AJ551" s="33" t="n"/>
      <c r="AK551" s="33" t="n"/>
      <c r="AL551" s="27" t="n"/>
      <c r="AM551" s="34" t="n"/>
      <c r="AN551" s="35">
        <f>IF(AF551="","",IF(AI551="Yes","❌ Disc",IF(AH551="No","⚠ Missing",IF(AK551="Yes","✓ OK","⚠ Check"))))</f>
        <v/>
      </c>
      <c r="AO551" s="36" t="n"/>
      <c r="AP551" s="36" t="n"/>
      <c r="AQ551" s="36" t="n"/>
      <c r="AR551" s="36" t="n"/>
      <c r="AS551" s="36" t="n"/>
      <c r="AT551" s="36" t="n"/>
      <c r="AU551" s="27" t="n"/>
      <c r="AV551" s="37" t="n"/>
      <c r="AW551" s="38">
        <f>IF(AO551="","",IF(AR551="Yes","❌ Disc",IF(AQ551="No","⚠ Missing",IF(AT551="Yes","✓ OK","⚠ Check"))))</f>
        <v/>
      </c>
    </row>
    <row r="552" ht="18" customHeight="1" s="46">
      <c r="A552" s="39" t="n">
        <v>548</v>
      </c>
      <c r="B552" s="40" t="inlineStr">
        <is>
          <t>BD-VRM-2024-0523</t>
        </is>
      </c>
      <c r="C552" s="41" t="inlineStr">
        <is>
          <t>Bonito Wall Decor - Morni, Peacock And Flowers Chinoiserie Design For Walls Yellow (Canvas Paper - 604412)</t>
        </is>
      </c>
      <c r="D552" s="39" t="inlineStr">
        <is>
          <t>Life n Colors</t>
        </is>
      </c>
      <c r="E552" s="43" t="n">
        <v>46126</v>
      </c>
      <c r="F552" s="26" t="inlineStr">
        <is>
          <t>Sunil CR</t>
        </is>
      </c>
      <c r="G552" s="26" t="inlineStr">
        <is>
          <t>Yes</t>
        </is>
      </c>
      <c r="H552" s="26" t="inlineStr">
        <is>
          <t>No</t>
        </is>
      </c>
      <c r="I552" s="26" t="inlineStr">
        <is>
          <t>Good finish</t>
        </is>
      </c>
      <c r="J552" s="26" t="inlineStr">
        <is>
          <t>Yes</t>
        </is>
      </c>
      <c r="K552" s="27" t="n"/>
      <c r="L552" s="28" t="inlineStr">
        <is>
          <t>No</t>
        </is>
      </c>
      <c r="M552" s="29">
        <f>IF(E552="","",IF(H552="Yes","❌ Disc",IF(G552="No","⚠ Missing",IF(J552="Yes","✓ OK","⚠ Check"))))</f>
        <v/>
      </c>
      <c r="N552" s="43" t="n">
        <v>46193</v>
      </c>
      <c r="O552" s="26" t="inlineStr">
        <is>
          <t>Sunil CR</t>
        </is>
      </c>
      <c r="P552" s="26" t="inlineStr">
        <is>
          <t>Yes</t>
        </is>
      </c>
      <c r="Q552" s="26" t="inlineStr">
        <is>
          <t>No</t>
        </is>
      </c>
      <c r="R552" s="26" t="inlineStr">
        <is>
          <t>Good finish</t>
        </is>
      </c>
      <c r="S552" s="26" t="inlineStr">
        <is>
          <t>Yes</t>
        </is>
      </c>
      <c r="T552" s="27" t="n"/>
      <c r="U552" s="28" t="inlineStr">
        <is>
          <t>No</t>
        </is>
      </c>
      <c r="V552" s="29">
        <f>IF(N552="","",IF(Q552="Yes","❌ Disc",IF(P552="No","⚠ Missing",IF(S552="Yes","✓ OK","⚠ Check"))))</f>
        <v/>
      </c>
      <c r="W552" s="65" t="n">
        <v>46248</v>
      </c>
      <c r="X552" s="30" t="inlineStr">
        <is>
          <t>Sunil CR</t>
        </is>
      </c>
      <c r="Y552" s="30" t="inlineStr">
        <is>
          <t>Yes</t>
        </is>
      </c>
      <c r="Z552" s="30" t="n"/>
      <c r="AA552" s="30" t="inlineStr">
        <is>
          <t>Good finish</t>
        </is>
      </c>
      <c r="AB552" s="30" t="inlineStr">
        <is>
          <t>Yes</t>
        </is>
      </c>
      <c r="AC552" s="27" t="n"/>
      <c r="AD552" s="31" t="inlineStr">
        <is>
          <t>No</t>
        </is>
      </c>
      <c r="AE552" s="32">
        <f>IF(W552="","",IF(Z552="Yes","❌ Disc",IF(Y552="No","⚠ Missing",IF(AB552="Yes","✓ OK","⚠ Check"))))</f>
        <v/>
      </c>
      <c r="AF552" s="33" t="n"/>
      <c r="AG552" s="33" t="n"/>
      <c r="AH552" s="33" t="n"/>
      <c r="AI552" s="33" t="n"/>
      <c r="AJ552" s="33" t="n"/>
      <c r="AK552" s="33" t="n"/>
      <c r="AL552" s="27" t="n"/>
      <c r="AM552" s="34" t="n"/>
      <c r="AN552" s="35">
        <f>IF(AF552="","",IF(AI552="Yes","❌ Disc",IF(AH552="No","⚠ Missing",IF(AK552="Yes","✓ OK","⚠ Check"))))</f>
        <v/>
      </c>
      <c r="AO552" s="36" t="n"/>
      <c r="AP552" s="36" t="n"/>
      <c r="AQ552" s="36" t="n"/>
      <c r="AR552" s="36" t="n"/>
      <c r="AS552" s="36" t="n"/>
      <c r="AT552" s="36" t="n"/>
      <c r="AU552" s="27" t="n"/>
      <c r="AV552" s="37" t="n"/>
      <c r="AW552" s="38">
        <f>IF(AO552="","",IF(AR552="Yes","❌ Disc",IF(AQ552="No","⚠ Missing",IF(AT552="Yes","✓ OK","⚠ Check"))))</f>
        <v/>
      </c>
    </row>
    <row r="553" ht="18" customHeight="1" s="46">
      <c r="A553" s="23" t="n">
        <v>549</v>
      </c>
      <c r="B553" s="24" t="inlineStr">
        <is>
          <t>BD-VRM-2023-4757</t>
        </is>
      </c>
      <c r="C553" s="25" t="inlineStr">
        <is>
          <t>Bonito Wall Decor - Mystic India Striped Wallpaper for Rooms 600811 - Soft feel paper</t>
        </is>
      </c>
      <c r="D553" s="23" t="inlineStr">
        <is>
          <t>Life n Colors</t>
        </is>
      </c>
      <c r="E553" s="43" t="n">
        <v>46126</v>
      </c>
      <c r="F553" s="26" t="inlineStr">
        <is>
          <t>Sunil CR</t>
        </is>
      </c>
      <c r="G553" s="26" t="inlineStr">
        <is>
          <t>Yes</t>
        </is>
      </c>
      <c r="H553" s="26" t="inlineStr">
        <is>
          <t>No</t>
        </is>
      </c>
      <c r="I553" s="26" t="inlineStr">
        <is>
          <t>Good finish</t>
        </is>
      </c>
      <c r="J553" s="26" t="inlineStr">
        <is>
          <t>Yes</t>
        </is>
      </c>
      <c r="K553" s="27" t="n"/>
      <c r="L553" s="28" t="inlineStr">
        <is>
          <t>No</t>
        </is>
      </c>
      <c r="M553" s="29">
        <f>IF(E553="","",IF(H553="Yes","❌ Disc",IF(G553="No","⚠ Missing",IF(J553="Yes","✓ OK","⚠ Check"))))</f>
        <v/>
      </c>
      <c r="N553" s="43" t="n">
        <v>46193</v>
      </c>
      <c r="O553" s="26" t="inlineStr">
        <is>
          <t>Sunil CR</t>
        </is>
      </c>
      <c r="P553" s="26" t="inlineStr">
        <is>
          <t>Yes</t>
        </is>
      </c>
      <c r="Q553" s="26" t="inlineStr">
        <is>
          <t>No</t>
        </is>
      </c>
      <c r="R553" s="26" t="inlineStr">
        <is>
          <t>Good finish</t>
        </is>
      </c>
      <c r="S553" s="26" t="inlineStr">
        <is>
          <t>Yes</t>
        </is>
      </c>
      <c r="T553" s="27" t="n"/>
      <c r="U553" s="28" t="inlineStr">
        <is>
          <t>No</t>
        </is>
      </c>
      <c r="V553" s="29">
        <f>IF(N553="","",IF(Q553="Yes","❌ Disc",IF(P553="No","⚠ Missing",IF(S553="Yes","✓ OK","⚠ Check"))))</f>
        <v/>
      </c>
      <c r="W553" s="65" t="n">
        <v>46248</v>
      </c>
      <c r="X553" s="30" t="inlineStr">
        <is>
          <t>Sunil CR</t>
        </is>
      </c>
      <c r="Y553" s="30" t="inlineStr">
        <is>
          <t>Yes</t>
        </is>
      </c>
      <c r="Z553" s="30" t="n"/>
      <c r="AA553" s="30" t="inlineStr">
        <is>
          <t>Good finish</t>
        </is>
      </c>
      <c r="AB553" s="30" t="inlineStr">
        <is>
          <t>Yes</t>
        </is>
      </c>
      <c r="AC553" s="27" t="n"/>
      <c r="AD553" s="31" t="inlineStr">
        <is>
          <t>No</t>
        </is>
      </c>
      <c r="AE553" s="32">
        <f>IF(W553="","",IF(Z553="Yes","❌ Disc",IF(Y553="No","⚠ Missing",IF(AB553="Yes","✓ OK","⚠ Check"))))</f>
        <v/>
      </c>
      <c r="AF553" s="33" t="n"/>
      <c r="AG553" s="33" t="n"/>
      <c r="AH553" s="33" t="n"/>
      <c r="AI553" s="33" t="n"/>
      <c r="AJ553" s="33" t="n"/>
      <c r="AK553" s="33" t="n"/>
      <c r="AL553" s="27" t="n"/>
      <c r="AM553" s="34" t="n"/>
      <c r="AN553" s="35">
        <f>IF(AF553="","",IF(AI553="Yes","❌ Disc",IF(AH553="No","⚠ Missing",IF(AK553="Yes","✓ OK","⚠ Check"))))</f>
        <v/>
      </c>
      <c r="AO553" s="36" t="n"/>
      <c r="AP553" s="36" t="n"/>
      <c r="AQ553" s="36" t="n"/>
      <c r="AR553" s="36" t="n"/>
      <c r="AS553" s="36" t="n"/>
      <c r="AT553" s="36" t="n"/>
      <c r="AU553" s="27" t="n"/>
      <c r="AV553" s="37" t="n"/>
      <c r="AW553" s="38">
        <f>IF(AO553="","",IF(AR553="Yes","❌ Disc",IF(AQ553="No","⚠ Missing",IF(AT553="Yes","✓ OK","⚠ Check"))))</f>
        <v/>
      </c>
    </row>
    <row r="554" ht="18" customHeight="1" s="46">
      <c r="A554" s="39" t="n">
        <v>550</v>
      </c>
      <c r="B554" s="40" t="inlineStr">
        <is>
          <t>BD-VRM-2023-4782</t>
        </is>
      </c>
      <c r="C554" s="41" t="inlineStr">
        <is>
          <t>Bonito Wall Decor - Mystic India Striped Wallpaper for Rooms 600812 - Canvas paper</t>
        </is>
      </c>
      <c r="D554" s="39" t="inlineStr">
        <is>
          <t>Life n Colors</t>
        </is>
      </c>
      <c r="E554" s="43" t="n">
        <v>46126</v>
      </c>
      <c r="F554" s="26" t="inlineStr">
        <is>
          <t>Sunil CR</t>
        </is>
      </c>
      <c r="G554" s="26" t="inlineStr">
        <is>
          <t>Yes</t>
        </is>
      </c>
      <c r="H554" s="26" t="inlineStr">
        <is>
          <t>No</t>
        </is>
      </c>
      <c r="I554" s="26" t="inlineStr">
        <is>
          <t>Good finish</t>
        </is>
      </c>
      <c r="J554" s="26" t="inlineStr">
        <is>
          <t>Yes</t>
        </is>
      </c>
      <c r="K554" s="27" t="n"/>
      <c r="L554" s="28" t="inlineStr">
        <is>
          <t>No</t>
        </is>
      </c>
      <c r="M554" s="29">
        <f>IF(E554="","",IF(H554="Yes","❌ Disc",IF(G554="No","⚠ Missing",IF(J554="Yes","✓ OK","⚠ Check"))))</f>
        <v/>
      </c>
      <c r="N554" s="43" t="n">
        <v>46193</v>
      </c>
      <c r="O554" s="26" t="inlineStr">
        <is>
          <t>Sunil CR</t>
        </is>
      </c>
      <c r="P554" s="26" t="inlineStr">
        <is>
          <t>Yes</t>
        </is>
      </c>
      <c r="Q554" s="26" t="inlineStr">
        <is>
          <t>No</t>
        </is>
      </c>
      <c r="R554" s="26" t="inlineStr">
        <is>
          <t>Good finish</t>
        </is>
      </c>
      <c r="S554" s="26" t="inlineStr">
        <is>
          <t>Yes</t>
        </is>
      </c>
      <c r="T554" s="27" t="n"/>
      <c r="U554" s="28" t="inlineStr">
        <is>
          <t>No</t>
        </is>
      </c>
      <c r="V554" s="29">
        <f>IF(N554="","",IF(Q554="Yes","❌ Disc",IF(P554="No","⚠ Missing",IF(S554="Yes","✓ OK","⚠ Check"))))</f>
        <v/>
      </c>
      <c r="W554" s="65" t="n">
        <v>46248</v>
      </c>
      <c r="X554" s="30" t="inlineStr">
        <is>
          <t>Sunil CR</t>
        </is>
      </c>
      <c r="Y554" s="30" t="inlineStr">
        <is>
          <t>Yes</t>
        </is>
      </c>
      <c r="Z554" s="30" t="n"/>
      <c r="AA554" s="30" t="inlineStr">
        <is>
          <t>Good finish</t>
        </is>
      </c>
      <c r="AB554" s="30" t="inlineStr">
        <is>
          <t>Yes</t>
        </is>
      </c>
      <c r="AC554" s="27" t="n"/>
      <c r="AD554" s="31" t="inlineStr">
        <is>
          <t>No</t>
        </is>
      </c>
      <c r="AE554" s="32">
        <f>IF(W554="","",IF(Z554="Yes","❌ Disc",IF(Y554="No","⚠ Missing",IF(AB554="Yes","✓ OK","⚠ Check"))))</f>
        <v/>
      </c>
      <c r="AF554" s="33" t="n"/>
      <c r="AG554" s="33" t="n"/>
      <c r="AH554" s="33" t="n"/>
      <c r="AI554" s="33" t="n"/>
      <c r="AJ554" s="33" t="n"/>
      <c r="AK554" s="33" t="n"/>
      <c r="AL554" s="27" t="n"/>
      <c r="AM554" s="34" t="n"/>
      <c r="AN554" s="35">
        <f>IF(AF554="","",IF(AI554="Yes","❌ Disc",IF(AH554="No","⚠ Missing",IF(AK554="Yes","✓ OK","⚠ Check"))))</f>
        <v/>
      </c>
      <c r="AO554" s="36" t="n"/>
      <c r="AP554" s="36" t="n"/>
      <c r="AQ554" s="36" t="n"/>
      <c r="AR554" s="36" t="n"/>
      <c r="AS554" s="36" t="n"/>
      <c r="AT554" s="36" t="n"/>
      <c r="AU554" s="27" t="n"/>
      <c r="AV554" s="37" t="n"/>
      <c r="AW554" s="38">
        <f>IF(AO554="","",IF(AR554="Yes","❌ Disc",IF(AQ554="No","⚠ Missing",IF(AT554="Yes","✓ OK","⚠ Check"))))</f>
        <v/>
      </c>
    </row>
    <row r="555" ht="18" customHeight="1" s="46">
      <c r="A555" s="23" t="n">
        <v>551</v>
      </c>
      <c r="B555" s="24" t="inlineStr">
        <is>
          <t>BD-VRM-2024-0148</t>
        </is>
      </c>
      <c r="C555" s="25" t="inlineStr">
        <is>
          <t>Bonito Wall Decor - Pen Sketch Wallpaper,City Look Design Customised - Canvas Texture Paper</t>
        </is>
      </c>
      <c r="D555" s="23" t="inlineStr">
        <is>
          <t>Life n Colors</t>
        </is>
      </c>
      <c r="E555" s="43" t="n">
        <v>46126</v>
      </c>
      <c r="F555" s="26" t="inlineStr">
        <is>
          <t>Sunil CR</t>
        </is>
      </c>
      <c r="G555" s="26" t="inlineStr">
        <is>
          <t>Yes</t>
        </is>
      </c>
      <c r="H555" s="26" t="inlineStr">
        <is>
          <t>No</t>
        </is>
      </c>
      <c r="I555" s="26" t="inlineStr">
        <is>
          <t>Good finish</t>
        </is>
      </c>
      <c r="J555" s="26" t="inlineStr">
        <is>
          <t>Yes</t>
        </is>
      </c>
      <c r="K555" s="27" t="n"/>
      <c r="L555" s="28" t="inlineStr">
        <is>
          <t>No</t>
        </is>
      </c>
      <c r="M555" s="29">
        <f>IF(E555="","",IF(H555="Yes","❌ Disc",IF(G555="No","⚠ Missing",IF(J555="Yes","✓ OK","⚠ Check"))))</f>
        <v/>
      </c>
      <c r="N555" s="43" t="n">
        <v>46193</v>
      </c>
      <c r="O555" s="26" t="inlineStr">
        <is>
          <t>Sunil CR</t>
        </is>
      </c>
      <c r="P555" s="26" t="inlineStr">
        <is>
          <t>Yes</t>
        </is>
      </c>
      <c r="Q555" s="26" t="inlineStr">
        <is>
          <t>No</t>
        </is>
      </c>
      <c r="R555" s="26" t="inlineStr">
        <is>
          <t>Good finish</t>
        </is>
      </c>
      <c r="S555" s="26" t="inlineStr">
        <is>
          <t>Yes</t>
        </is>
      </c>
      <c r="T555" s="27" t="n"/>
      <c r="U555" s="28" t="inlineStr">
        <is>
          <t>No</t>
        </is>
      </c>
      <c r="V555" s="29">
        <f>IF(N555="","",IF(Q555="Yes","❌ Disc",IF(P555="No","⚠ Missing",IF(S555="Yes","✓ OK","⚠ Check"))))</f>
        <v/>
      </c>
      <c r="W555" s="65" t="n">
        <v>46248</v>
      </c>
      <c r="X555" s="30" t="inlineStr">
        <is>
          <t>Sunil CR</t>
        </is>
      </c>
      <c r="Y555" s="30" t="inlineStr">
        <is>
          <t>Yes</t>
        </is>
      </c>
      <c r="Z555" s="30" t="n"/>
      <c r="AA555" s="30" t="inlineStr">
        <is>
          <t>Good finish</t>
        </is>
      </c>
      <c r="AB555" s="30" t="inlineStr">
        <is>
          <t>Yes</t>
        </is>
      </c>
      <c r="AC555" s="27" t="n"/>
      <c r="AD555" s="31" t="inlineStr">
        <is>
          <t>No</t>
        </is>
      </c>
      <c r="AE555" s="32">
        <f>IF(W555="","",IF(Z555="Yes","❌ Disc",IF(Y555="No","⚠ Missing",IF(AB555="Yes","✓ OK","⚠ Check"))))</f>
        <v/>
      </c>
      <c r="AF555" s="33" t="n"/>
      <c r="AG555" s="33" t="n"/>
      <c r="AH555" s="33" t="n"/>
      <c r="AI555" s="33" t="n"/>
      <c r="AJ555" s="33" t="n"/>
      <c r="AK555" s="33" t="n"/>
      <c r="AL555" s="27" t="n"/>
      <c r="AM555" s="34" t="n"/>
      <c r="AN555" s="35">
        <f>IF(AF555="","",IF(AI555="Yes","❌ Disc",IF(AH555="No","⚠ Missing",IF(AK555="Yes","✓ OK","⚠ Check"))))</f>
        <v/>
      </c>
      <c r="AO555" s="36" t="n"/>
      <c r="AP555" s="36" t="n"/>
      <c r="AQ555" s="36" t="n"/>
      <c r="AR555" s="36" t="n"/>
      <c r="AS555" s="36" t="n"/>
      <c r="AT555" s="36" t="n"/>
      <c r="AU555" s="27" t="n"/>
      <c r="AV555" s="37" t="n"/>
      <c r="AW555" s="38">
        <f>IF(AO555="","",IF(AR555="Yes","❌ Disc",IF(AQ555="No","⚠ Missing",IF(AT555="Yes","✓ OK","⚠ Check"))))</f>
        <v/>
      </c>
    </row>
    <row r="556" ht="18" customHeight="1" s="46">
      <c r="A556" s="39" t="n">
        <v>552</v>
      </c>
      <c r="B556" s="40" t="inlineStr">
        <is>
          <t>BD-VRM-2024-0147</t>
        </is>
      </c>
      <c r="C556" s="41" t="inlineStr">
        <is>
          <t>Bonito Wall Decor - Pen Sketch Wallpaper,City Look Design Customised - Soft Feel</t>
        </is>
      </c>
      <c r="D556" s="39" t="inlineStr">
        <is>
          <t>Life n Colors</t>
        </is>
      </c>
      <c r="E556" s="43" t="n">
        <v>46126</v>
      </c>
      <c r="F556" s="26" t="inlineStr">
        <is>
          <t>Sunil CR</t>
        </is>
      </c>
      <c r="G556" s="26" t="inlineStr">
        <is>
          <t>Yes</t>
        </is>
      </c>
      <c r="H556" s="26" t="inlineStr">
        <is>
          <t>No</t>
        </is>
      </c>
      <c r="I556" s="26" t="inlineStr">
        <is>
          <t>Good finish</t>
        </is>
      </c>
      <c r="J556" s="26" t="inlineStr">
        <is>
          <t>Yes</t>
        </is>
      </c>
      <c r="K556" s="27" t="n"/>
      <c r="L556" s="28" t="inlineStr">
        <is>
          <t>No</t>
        </is>
      </c>
      <c r="M556" s="29">
        <f>IF(E556="","",IF(H556="Yes","❌ Disc",IF(G556="No","⚠ Missing",IF(J556="Yes","✓ OK","⚠ Check"))))</f>
        <v/>
      </c>
      <c r="N556" s="43" t="n">
        <v>46193</v>
      </c>
      <c r="O556" s="26" t="inlineStr">
        <is>
          <t>Sunil CR</t>
        </is>
      </c>
      <c r="P556" s="26" t="inlineStr">
        <is>
          <t>Yes</t>
        </is>
      </c>
      <c r="Q556" s="26" t="inlineStr">
        <is>
          <t>No</t>
        </is>
      </c>
      <c r="R556" s="26" t="inlineStr">
        <is>
          <t>Good finish</t>
        </is>
      </c>
      <c r="S556" s="26" t="inlineStr">
        <is>
          <t>Yes</t>
        </is>
      </c>
      <c r="T556" s="27" t="n"/>
      <c r="U556" s="28" t="inlineStr">
        <is>
          <t>No</t>
        </is>
      </c>
      <c r="V556" s="29">
        <f>IF(N556="","",IF(Q556="Yes","❌ Disc",IF(P556="No","⚠ Missing",IF(S556="Yes","✓ OK","⚠ Check"))))</f>
        <v/>
      </c>
      <c r="W556" s="65" t="n">
        <v>46248</v>
      </c>
      <c r="X556" s="30" t="inlineStr">
        <is>
          <t>Sunil CR</t>
        </is>
      </c>
      <c r="Y556" s="30" t="inlineStr">
        <is>
          <t>Yes</t>
        </is>
      </c>
      <c r="Z556" s="30" t="n"/>
      <c r="AA556" s="30" t="inlineStr">
        <is>
          <t>Good finish</t>
        </is>
      </c>
      <c r="AB556" s="30" t="inlineStr">
        <is>
          <t>Yes</t>
        </is>
      </c>
      <c r="AC556" s="27" t="n"/>
      <c r="AD556" s="31" t="inlineStr">
        <is>
          <t>No</t>
        </is>
      </c>
      <c r="AE556" s="32">
        <f>IF(W556="","",IF(Z556="Yes","❌ Disc",IF(Y556="No","⚠ Missing",IF(AB556="Yes","✓ OK","⚠ Check"))))</f>
        <v/>
      </c>
      <c r="AF556" s="33" t="n"/>
      <c r="AG556" s="33" t="n"/>
      <c r="AH556" s="33" t="n"/>
      <c r="AI556" s="33" t="n"/>
      <c r="AJ556" s="33" t="n"/>
      <c r="AK556" s="33" t="n"/>
      <c r="AL556" s="27" t="n"/>
      <c r="AM556" s="34" t="n"/>
      <c r="AN556" s="35">
        <f>IF(AF556="","",IF(AI556="Yes","❌ Disc",IF(AH556="No","⚠ Missing",IF(AK556="Yes","✓ OK","⚠ Check"))))</f>
        <v/>
      </c>
      <c r="AO556" s="36" t="n"/>
      <c r="AP556" s="36" t="n"/>
      <c r="AQ556" s="36" t="n"/>
      <c r="AR556" s="36" t="n"/>
      <c r="AS556" s="36" t="n"/>
      <c r="AT556" s="36" t="n"/>
      <c r="AU556" s="27" t="n"/>
      <c r="AV556" s="37" t="n"/>
      <c r="AW556" s="38">
        <f>IF(AO556="","",IF(AR556="Yes","❌ Disc",IF(AQ556="No","⚠ Missing",IF(AT556="Yes","✓ OK","⚠ Check"))))</f>
        <v/>
      </c>
    </row>
    <row r="557" ht="18" customHeight="1" s="46">
      <c r="A557" s="23" t="n">
        <v>553</v>
      </c>
      <c r="B557" s="24" t="inlineStr">
        <is>
          <t>BD-VRM-2023-4755</t>
        </is>
      </c>
      <c r="C557" s="25" t="inlineStr">
        <is>
          <t>Bonito Wall Decor - Pink Large Floral Print Wallpaper for Rooms 600711 - Soft feel paper</t>
        </is>
      </c>
      <c r="D557" s="23" t="inlineStr">
        <is>
          <t>Life n Colors</t>
        </is>
      </c>
      <c r="E557" s="43" t="n">
        <v>46126</v>
      </c>
      <c r="F557" s="26" t="inlineStr">
        <is>
          <t>Sunil CR</t>
        </is>
      </c>
      <c r="G557" s="26" t="inlineStr">
        <is>
          <t>Yes</t>
        </is>
      </c>
      <c r="H557" s="26" t="inlineStr">
        <is>
          <t>No</t>
        </is>
      </c>
      <c r="I557" s="26" t="inlineStr">
        <is>
          <t>Good finish</t>
        </is>
      </c>
      <c r="J557" s="26" t="inlineStr">
        <is>
          <t>Yes</t>
        </is>
      </c>
      <c r="K557" s="27" t="n"/>
      <c r="L557" s="28" t="inlineStr">
        <is>
          <t>No</t>
        </is>
      </c>
      <c r="M557" s="29">
        <f>IF(E557="","",IF(H557="Yes","❌ Disc",IF(G557="No","⚠ Missing",IF(J557="Yes","✓ OK","⚠ Check"))))</f>
        <v/>
      </c>
      <c r="N557" s="43" t="n">
        <v>46193</v>
      </c>
      <c r="O557" s="26" t="inlineStr">
        <is>
          <t>Sunil CR</t>
        </is>
      </c>
      <c r="P557" s="26" t="inlineStr">
        <is>
          <t>Yes</t>
        </is>
      </c>
      <c r="Q557" s="26" t="inlineStr">
        <is>
          <t>No</t>
        </is>
      </c>
      <c r="R557" s="26" t="inlineStr">
        <is>
          <t>Good finish</t>
        </is>
      </c>
      <c r="S557" s="26" t="inlineStr">
        <is>
          <t>Yes</t>
        </is>
      </c>
      <c r="T557" s="27" t="n"/>
      <c r="U557" s="28" t="inlineStr">
        <is>
          <t>No</t>
        </is>
      </c>
      <c r="V557" s="29">
        <f>IF(N557="","",IF(Q557="Yes","❌ Disc",IF(P557="No","⚠ Missing",IF(S557="Yes","✓ OK","⚠ Check"))))</f>
        <v/>
      </c>
      <c r="W557" s="65" t="n">
        <v>46248</v>
      </c>
      <c r="X557" s="30" t="inlineStr">
        <is>
          <t>Sunil CR</t>
        </is>
      </c>
      <c r="Y557" s="30" t="inlineStr">
        <is>
          <t>Yes</t>
        </is>
      </c>
      <c r="Z557" s="30" t="n"/>
      <c r="AA557" s="30" t="inlineStr">
        <is>
          <t>Good finish</t>
        </is>
      </c>
      <c r="AB557" s="30" t="inlineStr">
        <is>
          <t>Yes</t>
        </is>
      </c>
      <c r="AC557" s="27" t="n"/>
      <c r="AD557" s="31" t="inlineStr">
        <is>
          <t>No</t>
        </is>
      </c>
      <c r="AE557" s="32">
        <f>IF(W557="","",IF(Z557="Yes","❌ Disc",IF(Y557="No","⚠ Missing",IF(AB557="Yes","✓ OK","⚠ Check"))))</f>
        <v/>
      </c>
      <c r="AF557" s="33" t="n"/>
      <c r="AG557" s="33" t="n"/>
      <c r="AH557" s="33" t="n"/>
      <c r="AI557" s="33" t="n"/>
      <c r="AJ557" s="33" t="n"/>
      <c r="AK557" s="33" t="n"/>
      <c r="AL557" s="27" t="n"/>
      <c r="AM557" s="34" t="n"/>
      <c r="AN557" s="35">
        <f>IF(AF557="","",IF(AI557="Yes","❌ Disc",IF(AH557="No","⚠ Missing",IF(AK557="Yes","✓ OK","⚠ Check"))))</f>
        <v/>
      </c>
      <c r="AO557" s="36" t="n"/>
      <c r="AP557" s="36" t="n"/>
      <c r="AQ557" s="36" t="n"/>
      <c r="AR557" s="36" t="n"/>
      <c r="AS557" s="36" t="n"/>
      <c r="AT557" s="36" t="n"/>
      <c r="AU557" s="27" t="n"/>
      <c r="AV557" s="37" t="n"/>
      <c r="AW557" s="38">
        <f>IF(AO557="","",IF(AR557="Yes","❌ Disc",IF(AQ557="No","⚠ Missing",IF(AT557="Yes","✓ OK","⚠ Check"))))</f>
        <v/>
      </c>
    </row>
    <row r="558" ht="18" customHeight="1" s="46">
      <c r="A558" s="39" t="n">
        <v>554</v>
      </c>
      <c r="B558" s="40" t="inlineStr">
        <is>
          <t>BD-VRM-2023-4780</t>
        </is>
      </c>
      <c r="C558" s="41" t="inlineStr">
        <is>
          <t>Bonito Wall Decor - Pink Large Floral Print Wallpaper for Rooms 600712 - Canvas paper</t>
        </is>
      </c>
      <c r="D558" s="39" t="inlineStr">
        <is>
          <t>Life n Colors</t>
        </is>
      </c>
      <c r="E558" s="43" t="n">
        <v>46126</v>
      </c>
      <c r="F558" s="26" t="inlineStr">
        <is>
          <t>Sunil CR</t>
        </is>
      </c>
      <c r="G558" s="26" t="inlineStr">
        <is>
          <t>Yes</t>
        </is>
      </c>
      <c r="H558" s="26" t="inlineStr">
        <is>
          <t>No</t>
        </is>
      </c>
      <c r="I558" s="26" t="inlineStr">
        <is>
          <t>Good finish</t>
        </is>
      </c>
      <c r="J558" s="26" t="inlineStr">
        <is>
          <t>Yes</t>
        </is>
      </c>
      <c r="K558" s="27" t="n"/>
      <c r="L558" s="28" t="inlineStr">
        <is>
          <t>No</t>
        </is>
      </c>
      <c r="M558" s="29">
        <f>IF(E558="","",IF(H558="Yes","❌ Disc",IF(G558="No","⚠ Missing",IF(J558="Yes","✓ OK","⚠ Check"))))</f>
        <v/>
      </c>
      <c r="N558" s="43" t="n">
        <v>46193</v>
      </c>
      <c r="O558" s="26" t="inlineStr">
        <is>
          <t>Sunil CR</t>
        </is>
      </c>
      <c r="P558" s="26" t="inlineStr">
        <is>
          <t>Yes</t>
        </is>
      </c>
      <c r="Q558" s="26" t="inlineStr">
        <is>
          <t>No</t>
        </is>
      </c>
      <c r="R558" s="26" t="inlineStr">
        <is>
          <t>Good finish</t>
        </is>
      </c>
      <c r="S558" s="26" t="inlineStr">
        <is>
          <t>Yes</t>
        </is>
      </c>
      <c r="T558" s="27" t="n"/>
      <c r="U558" s="28" t="inlineStr">
        <is>
          <t>No</t>
        </is>
      </c>
      <c r="V558" s="29">
        <f>IF(N558="","",IF(Q558="Yes","❌ Disc",IF(P558="No","⚠ Missing",IF(S558="Yes","✓ OK","⚠ Check"))))</f>
        <v/>
      </c>
      <c r="W558" s="65" t="n">
        <v>46248</v>
      </c>
      <c r="X558" s="30" t="inlineStr">
        <is>
          <t>Sunil CR</t>
        </is>
      </c>
      <c r="Y558" s="30" t="inlineStr">
        <is>
          <t>Yes</t>
        </is>
      </c>
      <c r="Z558" s="30" t="n"/>
      <c r="AA558" s="30" t="inlineStr">
        <is>
          <t>Good finish</t>
        </is>
      </c>
      <c r="AB558" s="30" t="inlineStr">
        <is>
          <t>Yes</t>
        </is>
      </c>
      <c r="AC558" s="27" t="n"/>
      <c r="AD558" s="31" t="inlineStr">
        <is>
          <t>No</t>
        </is>
      </c>
      <c r="AE558" s="32">
        <f>IF(W558="","",IF(Z558="Yes","❌ Disc",IF(Y558="No","⚠ Missing",IF(AB558="Yes","✓ OK","⚠ Check"))))</f>
        <v/>
      </c>
      <c r="AF558" s="33" t="n"/>
      <c r="AG558" s="33" t="n"/>
      <c r="AH558" s="33" t="n"/>
      <c r="AI558" s="33" t="n"/>
      <c r="AJ558" s="33" t="n"/>
      <c r="AK558" s="33" t="n"/>
      <c r="AL558" s="27" t="n"/>
      <c r="AM558" s="34" t="n"/>
      <c r="AN558" s="35">
        <f>IF(AF558="","",IF(AI558="Yes","❌ Disc",IF(AH558="No","⚠ Missing",IF(AK558="Yes","✓ OK","⚠ Check"))))</f>
        <v/>
      </c>
      <c r="AO558" s="36" t="n"/>
      <c r="AP558" s="36" t="n"/>
      <c r="AQ558" s="36" t="n"/>
      <c r="AR558" s="36" t="n"/>
      <c r="AS558" s="36" t="n"/>
      <c r="AT558" s="36" t="n"/>
      <c r="AU558" s="27" t="n"/>
      <c r="AV558" s="37" t="n"/>
      <c r="AW558" s="38">
        <f>IF(AO558="","",IF(AR558="Yes","❌ Disc",IF(AQ558="No","⚠ Missing",IF(AT558="Yes","✓ OK","⚠ Check"))))</f>
        <v/>
      </c>
    </row>
    <row r="559" ht="18" customHeight="1" s="46">
      <c r="A559" s="23" t="n">
        <v>555</v>
      </c>
      <c r="B559" s="24" t="inlineStr">
        <is>
          <t>BD-VRM-2024-0511</t>
        </is>
      </c>
      <c r="C559" s="25" t="inlineStr">
        <is>
          <t>Bonito Wall Decor - Plum Blossom Chinoiserie Style Wallpaper For Rooms (Canvas Paper - 603712)</t>
        </is>
      </c>
      <c r="D559" s="23" t="inlineStr">
        <is>
          <t>Life n Colors</t>
        </is>
      </c>
      <c r="E559" s="43" t="n">
        <v>46126</v>
      </c>
      <c r="F559" s="26" t="inlineStr">
        <is>
          <t>Sunil CR</t>
        </is>
      </c>
      <c r="G559" s="26" t="inlineStr">
        <is>
          <t>Yes</t>
        </is>
      </c>
      <c r="H559" s="26" t="inlineStr">
        <is>
          <t>No</t>
        </is>
      </c>
      <c r="I559" s="26" t="inlineStr">
        <is>
          <t>Good finish</t>
        </is>
      </c>
      <c r="J559" s="26" t="inlineStr">
        <is>
          <t>Yes</t>
        </is>
      </c>
      <c r="K559" s="27" t="n"/>
      <c r="L559" s="28" t="inlineStr">
        <is>
          <t>No</t>
        </is>
      </c>
      <c r="M559" s="29">
        <f>IF(E559="","",IF(H559="Yes","❌ Disc",IF(G559="No","⚠ Missing",IF(J559="Yes","✓ OK","⚠ Check"))))</f>
        <v/>
      </c>
      <c r="N559" s="43" t="n">
        <v>46193</v>
      </c>
      <c r="O559" s="26" t="inlineStr">
        <is>
          <t>Sunil CR</t>
        </is>
      </c>
      <c r="P559" s="26" t="inlineStr">
        <is>
          <t>Yes</t>
        </is>
      </c>
      <c r="Q559" s="26" t="inlineStr">
        <is>
          <t>No</t>
        </is>
      </c>
      <c r="R559" s="26" t="inlineStr">
        <is>
          <t>Good finish</t>
        </is>
      </c>
      <c r="S559" s="26" t="inlineStr">
        <is>
          <t>Yes</t>
        </is>
      </c>
      <c r="T559" s="27" t="n"/>
      <c r="U559" s="28" t="inlineStr">
        <is>
          <t>No</t>
        </is>
      </c>
      <c r="V559" s="29">
        <f>IF(N559="","",IF(Q559="Yes","❌ Disc",IF(P559="No","⚠ Missing",IF(S559="Yes","✓ OK","⚠ Check"))))</f>
        <v/>
      </c>
      <c r="W559" s="65" t="n">
        <v>46248</v>
      </c>
      <c r="X559" s="30" t="inlineStr">
        <is>
          <t>Sunil CR</t>
        </is>
      </c>
      <c r="Y559" s="30" t="inlineStr">
        <is>
          <t>Yes</t>
        </is>
      </c>
      <c r="Z559" s="30" t="n"/>
      <c r="AA559" s="30" t="inlineStr">
        <is>
          <t>Good finish</t>
        </is>
      </c>
      <c r="AB559" s="30" t="inlineStr">
        <is>
          <t>Yes</t>
        </is>
      </c>
      <c r="AC559" s="27" t="n"/>
      <c r="AD559" s="31" t="inlineStr">
        <is>
          <t>No</t>
        </is>
      </c>
      <c r="AE559" s="32">
        <f>IF(W559="","",IF(Z559="Yes","❌ Disc",IF(Y559="No","⚠ Missing",IF(AB559="Yes","✓ OK","⚠ Check"))))</f>
        <v/>
      </c>
      <c r="AF559" s="33" t="n"/>
      <c r="AG559" s="33" t="n"/>
      <c r="AH559" s="33" t="n"/>
      <c r="AI559" s="33" t="n"/>
      <c r="AJ559" s="33" t="n"/>
      <c r="AK559" s="33" t="n"/>
      <c r="AL559" s="27" t="n"/>
      <c r="AM559" s="34" t="n"/>
      <c r="AN559" s="35">
        <f>IF(AF559="","",IF(AI559="Yes","❌ Disc",IF(AH559="No","⚠ Missing",IF(AK559="Yes","✓ OK","⚠ Check"))))</f>
        <v/>
      </c>
      <c r="AO559" s="36" t="n"/>
      <c r="AP559" s="36" t="n"/>
      <c r="AQ559" s="36" t="n"/>
      <c r="AR559" s="36" t="n"/>
      <c r="AS559" s="36" t="n"/>
      <c r="AT559" s="36" t="n"/>
      <c r="AU559" s="27" t="n"/>
      <c r="AV559" s="37" t="n"/>
      <c r="AW559" s="38">
        <f>IF(AO559="","",IF(AR559="Yes","❌ Disc",IF(AQ559="No","⚠ Missing",IF(AT559="Yes","✓ OK","⚠ Check"))))</f>
        <v/>
      </c>
    </row>
    <row r="560" ht="18" customHeight="1" s="46">
      <c r="A560" s="39" t="n">
        <v>556</v>
      </c>
      <c r="B560" s="40" t="inlineStr">
        <is>
          <t>BD-VRM-2024-0508</t>
        </is>
      </c>
      <c r="C560" s="41" t="inlineStr">
        <is>
          <t>Bonito Wall Decor - Plum Blossom Chinoiserie Style Wallpaper For Rooms (Soft Feel Paper - 603722)</t>
        </is>
      </c>
      <c r="D560" s="39" t="inlineStr">
        <is>
          <t>Life n Colors</t>
        </is>
      </c>
      <c r="E560" s="43" t="n">
        <v>46126</v>
      </c>
      <c r="F560" s="26" t="inlineStr">
        <is>
          <t>Sunil CR</t>
        </is>
      </c>
      <c r="G560" s="26" t="inlineStr">
        <is>
          <t>Yes</t>
        </is>
      </c>
      <c r="H560" s="26" t="inlineStr">
        <is>
          <t>No</t>
        </is>
      </c>
      <c r="I560" s="26" t="inlineStr">
        <is>
          <t>Good finish</t>
        </is>
      </c>
      <c r="J560" s="26" t="inlineStr">
        <is>
          <t>Yes</t>
        </is>
      </c>
      <c r="K560" s="27" t="n"/>
      <c r="L560" s="28" t="inlineStr">
        <is>
          <t>No</t>
        </is>
      </c>
      <c r="M560" s="29">
        <f>IF(E560="","",IF(H560="Yes","❌ Disc",IF(G560="No","⚠ Missing",IF(J560="Yes","✓ OK","⚠ Check"))))</f>
        <v/>
      </c>
      <c r="N560" s="43" t="n">
        <v>46193</v>
      </c>
      <c r="O560" s="26" t="inlineStr">
        <is>
          <t>Sunil CR</t>
        </is>
      </c>
      <c r="P560" s="26" t="inlineStr">
        <is>
          <t>Yes</t>
        </is>
      </c>
      <c r="Q560" s="26" t="inlineStr">
        <is>
          <t>No</t>
        </is>
      </c>
      <c r="R560" s="26" t="inlineStr">
        <is>
          <t>Good finish</t>
        </is>
      </c>
      <c r="S560" s="26" t="inlineStr">
        <is>
          <t>Yes</t>
        </is>
      </c>
      <c r="T560" s="27" t="n"/>
      <c r="U560" s="28" t="inlineStr">
        <is>
          <t>No</t>
        </is>
      </c>
      <c r="V560" s="29">
        <f>IF(N560="","",IF(Q560="Yes","❌ Disc",IF(P560="No","⚠ Missing",IF(S560="Yes","✓ OK","⚠ Check"))))</f>
        <v/>
      </c>
      <c r="W560" s="65" t="n">
        <v>46248</v>
      </c>
      <c r="X560" s="30" t="inlineStr">
        <is>
          <t>Sunil CR</t>
        </is>
      </c>
      <c r="Y560" s="30" t="inlineStr">
        <is>
          <t>Yes</t>
        </is>
      </c>
      <c r="Z560" s="30" t="n"/>
      <c r="AA560" s="30" t="inlineStr">
        <is>
          <t>Good finish</t>
        </is>
      </c>
      <c r="AB560" s="30" t="inlineStr">
        <is>
          <t>Yes</t>
        </is>
      </c>
      <c r="AC560" s="27" t="n"/>
      <c r="AD560" s="31" t="inlineStr">
        <is>
          <t>No</t>
        </is>
      </c>
      <c r="AE560" s="32">
        <f>IF(W560="","",IF(Z560="Yes","❌ Disc",IF(Y560="No","⚠ Missing",IF(AB560="Yes","✓ OK","⚠ Check"))))</f>
        <v/>
      </c>
      <c r="AF560" s="33" t="n"/>
      <c r="AG560" s="33" t="n"/>
      <c r="AH560" s="33" t="n"/>
      <c r="AI560" s="33" t="n"/>
      <c r="AJ560" s="33" t="n"/>
      <c r="AK560" s="33" t="n"/>
      <c r="AL560" s="27" t="n"/>
      <c r="AM560" s="34" t="n"/>
      <c r="AN560" s="35">
        <f>IF(AF560="","",IF(AI560="Yes","❌ Disc",IF(AH560="No","⚠ Missing",IF(AK560="Yes","✓ OK","⚠ Check"))))</f>
        <v/>
      </c>
      <c r="AO560" s="36" t="n"/>
      <c r="AP560" s="36" t="n"/>
      <c r="AQ560" s="36" t="n"/>
      <c r="AR560" s="36" t="n"/>
      <c r="AS560" s="36" t="n"/>
      <c r="AT560" s="36" t="n"/>
      <c r="AU560" s="27" t="n"/>
      <c r="AV560" s="37" t="n"/>
      <c r="AW560" s="38">
        <f>IF(AO560="","",IF(AR560="Yes","❌ Disc",IF(AQ560="No","⚠ Missing",IF(AT560="Yes","✓ OK","⚠ Check"))))</f>
        <v/>
      </c>
    </row>
    <row r="561" ht="18" customHeight="1" s="46">
      <c r="A561" s="23" t="n">
        <v>557</v>
      </c>
      <c r="B561" s="24" t="inlineStr">
        <is>
          <t>BD-VRM-2023-4796</t>
        </is>
      </c>
      <c r="C561" s="25" t="inlineStr">
        <is>
          <t>Bonito Wall Decor - Poetry, Modern Wallpaper for Homes 601511 - Premium Soft feel paper [BBP]</t>
        </is>
      </c>
      <c r="D561" s="23" t="inlineStr">
        <is>
          <t>Life n Colors</t>
        </is>
      </c>
      <c r="E561" s="43" t="n">
        <v>46126</v>
      </c>
      <c r="F561" s="26" t="inlineStr">
        <is>
          <t>Sunil CR</t>
        </is>
      </c>
      <c r="G561" s="26" t="inlineStr">
        <is>
          <t>Yes</t>
        </is>
      </c>
      <c r="H561" s="26" t="inlineStr">
        <is>
          <t>No</t>
        </is>
      </c>
      <c r="I561" s="26" t="inlineStr">
        <is>
          <t>Good finish</t>
        </is>
      </c>
      <c r="J561" s="26" t="inlineStr">
        <is>
          <t>Yes</t>
        </is>
      </c>
      <c r="K561" s="27" t="n"/>
      <c r="L561" s="28" t="inlineStr">
        <is>
          <t>No</t>
        </is>
      </c>
      <c r="M561" s="29">
        <f>IF(E561="","",IF(H561="Yes","❌ Disc",IF(G561="No","⚠ Missing",IF(J561="Yes","✓ OK","⚠ Check"))))</f>
        <v/>
      </c>
      <c r="N561" s="43" t="n">
        <v>46193</v>
      </c>
      <c r="O561" s="26" t="inlineStr">
        <is>
          <t>Sunil CR</t>
        </is>
      </c>
      <c r="P561" s="26" t="inlineStr">
        <is>
          <t>Yes</t>
        </is>
      </c>
      <c r="Q561" s="26" t="inlineStr">
        <is>
          <t>No</t>
        </is>
      </c>
      <c r="R561" s="26" t="inlineStr">
        <is>
          <t>Good finish</t>
        </is>
      </c>
      <c r="S561" s="26" t="inlineStr">
        <is>
          <t>Yes</t>
        </is>
      </c>
      <c r="T561" s="27" t="n"/>
      <c r="U561" s="28" t="inlineStr">
        <is>
          <t>No</t>
        </is>
      </c>
      <c r="V561" s="29">
        <f>IF(N561="","",IF(Q561="Yes","❌ Disc",IF(P561="No","⚠ Missing",IF(S561="Yes","✓ OK","⚠ Check"))))</f>
        <v/>
      </c>
      <c r="W561" s="65" t="n">
        <v>46248</v>
      </c>
      <c r="X561" s="30" t="inlineStr">
        <is>
          <t>Sunil CR</t>
        </is>
      </c>
      <c r="Y561" s="30" t="inlineStr">
        <is>
          <t>Yes</t>
        </is>
      </c>
      <c r="Z561" s="30" t="n"/>
      <c r="AA561" s="30" t="inlineStr">
        <is>
          <t>Good finish</t>
        </is>
      </c>
      <c r="AB561" s="30" t="inlineStr">
        <is>
          <t>Yes</t>
        </is>
      </c>
      <c r="AC561" s="27" t="n"/>
      <c r="AD561" s="31" t="inlineStr">
        <is>
          <t>No</t>
        </is>
      </c>
      <c r="AE561" s="32">
        <f>IF(W561="","",IF(Z561="Yes","❌ Disc",IF(Y561="No","⚠ Missing",IF(AB561="Yes","✓ OK","⚠ Check"))))</f>
        <v/>
      </c>
      <c r="AF561" s="33" t="n"/>
      <c r="AG561" s="33" t="n"/>
      <c r="AH561" s="33" t="n"/>
      <c r="AI561" s="33" t="n"/>
      <c r="AJ561" s="33" t="n"/>
      <c r="AK561" s="33" t="n"/>
      <c r="AL561" s="27" t="n"/>
      <c r="AM561" s="34" t="n"/>
      <c r="AN561" s="35">
        <f>IF(AF561="","",IF(AI561="Yes","❌ Disc",IF(AH561="No","⚠ Missing",IF(AK561="Yes","✓ OK","⚠ Check"))))</f>
        <v/>
      </c>
      <c r="AO561" s="36" t="n"/>
      <c r="AP561" s="36" t="n"/>
      <c r="AQ561" s="36" t="n"/>
      <c r="AR561" s="36" t="n"/>
      <c r="AS561" s="36" t="n"/>
      <c r="AT561" s="36" t="n"/>
      <c r="AU561" s="27" t="n"/>
      <c r="AV561" s="37" t="n"/>
      <c r="AW561" s="38">
        <f>IF(AO561="","",IF(AR561="Yes","❌ Disc",IF(AQ561="No","⚠ Missing",IF(AT561="Yes","✓ OK","⚠ Check"))))</f>
        <v/>
      </c>
    </row>
    <row r="562" ht="18" customHeight="1" s="46">
      <c r="A562" s="39" t="n">
        <v>558</v>
      </c>
      <c r="B562" s="40" t="inlineStr">
        <is>
          <t>BD-VRM-2023-4802</t>
        </is>
      </c>
      <c r="C562" s="41" t="inlineStr">
        <is>
          <t>Bonito Wall Decor - Poetry, Modern Wallpaper for Homes 601512 - Premium Canvas paper</t>
        </is>
      </c>
      <c r="D562" s="39" t="inlineStr">
        <is>
          <t>Life n Colors</t>
        </is>
      </c>
      <c r="E562" s="43" t="n">
        <v>46126</v>
      </c>
      <c r="F562" s="26" t="inlineStr">
        <is>
          <t>Sunil CR</t>
        </is>
      </c>
      <c r="G562" s="26" t="inlineStr">
        <is>
          <t>Yes</t>
        </is>
      </c>
      <c r="H562" s="26" t="inlineStr">
        <is>
          <t>No</t>
        </is>
      </c>
      <c r="I562" s="26" t="inlineStr">
        <is>
          <t>Good finish</t>
        </is>
      </c>
      <c r="J562" s="26" t="inlineStr">
        <is>
          <t>Yes</t>
        </is>
      </c>
      <c r="K562" s="27" t="n"/>
      <c r="L562" s="28" t="inlineStr">
        <is>
          <t>No</t>
        </is>
      </c>
      <c r="M562" s="29">
        <f>IF(E562="","",IF(H562="Yes","❌ Disc",IF(G562="No","⚠ Missing",IF(J562="Yes","✓ OK","⚠ Check"))))</f>
        <v/>
      </c>
      <c r="N562" s="43" t="n">
        <v>46193</v>
      </c>
      <c r="O562" s="26" t="inlineStr">
        <is>
          <t>Sunil CR</t>
        </is>
      </c>
      <c r="P562" s="26" t="inlineStr">
        <is>
          <t>Yes</t>
        </is>
      </c>
      <c r="Q562" s="26" t="inlineStr">
        <is>
          <t>No</t>
        </is>
      </c>
      <c r="R562" s="26" t="inlineStr">
        <is>
          <t>Good finish</t>
        </is>
      </c>
      <c r="S562" s="26" t="inlineStr">
        <is>
          <t>Yes</t>
        </is>
      </c>
      <c r="T562" s="27" t="n"/>
      <c r="U562" s="28" t="inlineStr">
        <is>
          <t>No</t>
        </is>
      </c>
      <c r="V562" s="29">
        <f>IF(N562="","",IF(Q562="Yes","❌ Disc",IF(P562="No","⚠ Missing",IF(S562="Yes","✓ OK","⚠ Check"))))</f>
        <v/>
      </c>
      <c r="W562" s="65" t="n">
        <v>46248</v>
      </c>
      <c r="X562" s="30" t="inlineStr">
        <is>
          <t>Sunil CR</t>
        </is>
      </c>
      <c r="Y562" s="30" t="inlineStr">
        <is>
          <t>Yes</t>
        </is>
      </c>
      <c r="Z562" s="30" t="n"/>
      <c r="AA562" s="30" t="inlineStr">
        <is>
          <t>Good finish</t>
        </is>
      </c>
      <c r="AB562" s="30" t="inlineStr">
        <is>
          <t>Yes</t>
        </is>
      </c>
      <c r="AC562" s="27" t="n"/>
      <c r="AD562" s="31" t="inlineStr">
        <is>
          <t>No</t>
        </is>
      </c>
      <c r="AE562" s="32">
        <f>IF(W562="","",IF(Z562="Yes","❌ Disc",IF(Y562="No","⚠ Missing",IF(AB562="Yes","✓ OK","⚠ Check"))))</f>
        <v/>
      </c>
      <c r="AF562" s="33" t="n"/>
      <c r="AG562" s="33" t="n"/>
      <c r="AH562" s="33" t="n"/>
      <c r="AI562" s="33" t="n"/>
      <c r="AJ562" s="33" t="n"/>
      <c r="AK562" s="33" t="n"/>
      <c r="AL562" s="27" t="n"/>
      <c r="AM562" s="34" t="n"/>
      <c r="AN562" s="35">
        <f>IF(AF562="","",IF(AI562="Yes","❌ Disc",IF(AH562="No","⚠ Missing",IF(AK562="Yes","✓ OK","⚠ Check"))))</f>
        <v/>
      </c>
      <c r="AO562" s="36" t="n"/>
      <c r="AP562" s="36" t="n"/>
      <c r="AQ562" s="36" t="n"/>
      <c r="AR562" s="36" t="n"/>
      <c r="AS562" s="36" t="n"/>
      <c r="AT562" s="36" t="n"/>
      <c r="AU562" s="27" t="n"/>
      <c r="AV562" s="37" t="n"/>
      <c r="AW562" s="38">
        <f>IF(AO562="","",IF(AR562="Yes","❌ Disc",IF(AQ562="No","⚠ Missing",IF(AT562="Yes","✓ OK","⚠ Check"))))</f>
        <v/>
      </c>
    </row>
    <row r="563" ht="18" customHeight="1" s="46">
      <c r="A563" s="23" t="n">
        <v>559</v>
      </c>
      <c r="B563" s="24" t="inlineStr">
        <is>
          <t>BD-VRM-2023-4747</t>
        </is>
      </c>
      <c r="C563" s="25" t="inlineStr">
        <is>
          <t>Bonito Wall Decor - Rainbow &amp; Hot Air Balloons Themes Children Room Wall Designs, Custom Wallpaper 600311 - Soft feel paper</t>
        </is>
      </c>
      <c r="D563" s="23" t="inlineStr">
        <is>
          <t>Life n Colors</t>
        </is>
      </c>
      <c r="E563" s="43" t="n">
        <v>46126</v>
      </c>
      <c r="F563" s="26" t="inlineStr">
        <is>
          <t>Sunil CR</t>
        </is>
      </c>
      <c r="G563" s="26" t="inlineStr">
        <is>
          <t>Yes</t>
        </is>
      </c>
      <c r="H563" s="26" t="inlineStr">
        <is>
          <t>No</t>
        </is>
      </c>
      <c r="I563" s="26" t="inlineStr">
        <is>
          <t>Good finish</t>
        </is>
      </c>
      <c r="J563" s="26" t="inlineStr">
        <is>
          <t>Yes</t>
        </is>
      </c>
      <c r="K563" s="27" t="n"/>
      <c r="L563" s="28" t="inlineStr">
        <is>
          <t>No</t>
        </is>
      </c>
      <c r="M563" s="29">
        <f>IF(E563="","",IF(H563="Yes","❌ Disc",IF(G563="No","⚠ Missing",IF(J563="Yes","✓ OK","⚠ Check"))))</f>
        <v/>
      </c>
      <c r="N563" s="43" t="n">
        <v>46193</v>
      </c>
      <c r="O563" s="26" t="inlineStr">
        <is>
          <t>Sunil CR</t>
        </is>
      </c>
      <c r="P563" s="26" t="inlineStr">
        <is>
          <t>Yes</t>
        </is>
      </c>
      <c r="Q563" s="26" t="inlineStr">
        <is>
          <t>No</t>
        </is>
      </c>
      <c r="R563" s="26" t="inlineStr">
        <is>
          <t>Good finish</t>
        </is>
      </c>
      <c r="S563" s="26" t="inlineStr">
        <is>
          <t>Yes</t>
        </is>
      </c>
      <c r="T563" s="27" t="n"/>
      <c r="U563" s="28" t="inlineStr">
        <is>
          <t>No</t>
        </is>
      </c>
      <c r="V563" s="29">
        <f>IF(N563="","",IF(Q563="Yes","❌ Disc",IF(P563="No","⚠ Missing",IF(S563="Yes","✓ OK","⚠ Check"))))</f>
        <v/>
      </c>
      <c r="W563" s="65" t="n">
        <v>46248</v>
      </c>
      <c r="X563" s="30" t="inlineStr">
        <is>
          <t>Sunil CR</t>
        </is>
      </c>
      <c r="Y563" s="30" t="inlineStr">
        <is>
          <t>Yes</t>
        </is>
      </c>
      <c r="Z563" s="30" t="n"/>
      <c r="AA563" s="30" t="inlineStr">
        <is>
          <t>Good finish</t>
        </is>
      </c>
      <c r="AB563" s="30" t="inlineStr">
        <is>
          <t>Yes</t>
        </is>
      </c>
      <c r="AC563" s="27" t="n"/>
      <c r="AD563" s="31" t="inlineStr">
        <is>
          <t>No</t>
        </is>
      </c>
      <c r="AE563" s="32">
        <f>IF(W563="","",IF(Z563="Yes","❌ Disc",IF(Y563="No","⚠ Missing",IF(AB563="Yes","✓ OK","⚠ Check"))))</f>
        <v/>
      </c>
      <c r="AF563" s="33" t="n"/>
      <c r="AG563" s="33" t="n"/>
      <c r="AH563" s="33" t="n"/>
      <c r="AI563" s="33" t="n"/>
      <c r="AJ563" s="33" t="n"/>
      <c r="AK563" s="33" t="n"/>
      <c r="AL563" s="27" t="n"/>
      <c r="AM563" s="34" t="n"/>
      <c r="AN563" s="35">
        <f>IF(AF563="","",IF(AI563="Yes","❌ Disc",IF(AH563="No","⚠ Missing",IF(AK563="Yes","✓ OK","⚠ Check"))))</f>
        <v/>
      </c>
      <c r="AO563" s="36" t="n"/>
      <c r="AP563" s="36" t="n"/>
      <c r="AQ563" s="36" t="n"/>
      <c r="AR563" s="36" t="n"/>
      <c r="AS563" s="36" t="n"/>
      <c r="AT563" s="36" t="n"/>
      <c r="AU563" s="27" t="n"/>
      <c r="AV563" s="37" t="n"/>
      <c r="AW563" s="38">
        <f>IF(AO563="","",IF(AR563="Yes","❌ Disc",IF(AQ563="No","⚠ Missing",IF(AT563="Yes","✓ OK","⚠ Check"))))</f>
        <v/>
      </c>
    </row>
    <row r="564" ht="18" customHeight="1" s="46">
      <c r="A564" s="39" t="n">
        <v>560</v>
      </c>
      <c r="B564" s="40" t="inlineStr">
        <is>
          <t>BD-VRM-2023-4772</t>
        </is>
      </c>
      <c r="C564" s="41" t="inlineStr">
        <is>
          <t>Bonito Wall Decor - Rainbow &amp; Hot Air Balloons Themes Children Room Wall Designs, Custom Wallpaper 600312 - Canvas paper</t>
        </is>
      </c>
      <c r="D564" s="39" t="inlineStr">
        <is>
          <t>Life n Colors</t>
        </is>
      </c>
      <c r="E564" s="43" t="n">
        <v>46126</v>
      </c>
      <c r="F564" s="26" t="inlineStr">
        <is>
          <t>Sunil CR</t>
        </is>
      </c>
      <c r="G564" s="26" t="inlineStr">
        <is>
          <t>Yes</t>
        </is>
      </c>
      <c r="H564" s="26" t="inlineStr">
        <is>
          <t>No</t>
        </is>
      </c>
      <c r="I564" s="26" t="inlineStr">
        <is>
          <t>Good finish</t>
        </is>
      </c>
      <c r="J564" s="26" t="inlineStr">
        <is>
          <t>Yes</t>
        </is>
      </c>
      <c r="K564" s="27" t="n"/>
      <c r="L564" s="28" t="inlineStr">
        <is>
          <t>No</t>
        </is>
      </c>
      <c r="M564" s="29">
        <f>IF(E564="","",IF(H564="Yes","❌ Disc",IF(G564="No","⚠ Missing",IF(J564="Yes","✓ OK","⚠ Check"))))</f>
        <v/>
      </c>
      <c r="N564" s="43" t="n">
        <v>46193</v>
      </c>
      <c r="O564" s="26" t="inlineStr">
        <is>
          <t>Sunil CR</t>
        </is>
      </c>
      <c r="P564" s="26" t="inlineStr">
        <is>
          <t>Yes</t>
        </is>
      </c>
      <c r="Q564" s="26" t="inlineStr">
        <is>
          <t>No</t>
        </is>
      </c>
      <c r="R564" s="26" t="inlineStr">
        <is>
          <t>Good finish</t>
        </is>
      </c>
      <c r="S564" s="26" t="inlineStr">
        <is>
          <t>Yes</t>
        </is>
      </c>
      <c r="T564" s="27" t="n"/>
      <c r="U564" s="28" t="inlineStr">
        <is>
          <t>No</t>
        </is>
      </c>
      <c r="V564" s="29">
        <f>IF(N564="","",IF(Q564="Yes","❌ Disc",IF(P564="No","⚠ Missing",IF(S564="Yes","✓ OK","⚠ Check"))))</f>
        <v/>
      </c>
      <c r="W564" s="65" t="n">
        <v>46248</v>
      </c>
      <c r="X564" s="30" t="inlineStr">
        <is>
          <t>Sunil CR</t>
        </is>
      </c>
      <c r="Y564" s="30" t="inlineStr">
        <is>
          <t>Yes</t>
        </is>
      </c>
      <c r="Z564" s="30" t="n"/>
      <c r="AA564" s="30" t="inlineStr">
        <is>
          <t>Good finish</t>
        </is>
      </c>
      <c r="AB564" s="30" t="inlineStr">
        <is>
          <t>Yes</t>
        </is>
      </c>
      <c r="AC564" s="27" t="n"/>
      <c r="AD564" s="31" t="inlineStr">
        <is>
          <t>No</t>
        </is>
      </c>
      <c r="AE564" s="32">
        <f>IF(W564="","",IF(Z564="Yes","❌ Disc",IF(Y564="No","⚠ Missing",IF(AB564="Yes","✓ OK","⚠ Check"))))</f>
        <v/>
      </c>
      <c r="AF564" s="33" t="n"/>
      <c r="AG564" s="33" t="n"/>
      <c r="AH564" s="33" t="n"/>
      <c r="AI564" s="33" t="n"/>
      <c r="AJ564" s="33" t="n"/>
      <c r="AK564" s="33" t="n"/>
      <c r="AL564" s="27" t="n"/>
      <c r="AM564" s="34" t="n"/>
      <c r="AN564" s="35">
        <f>IF(AF564="","",IF(AI564="Yes","❌ Disc",IF(AH564="No","⚠ Missing",IF(AK564="Yes","✓ OK","⚠ Check"))))</f>
        <v/>
      </c>
      <c r="AO564" s="36" t="n"/>
      <c r="AP564" s="36" t="n"/>
      <c r="AQ564" s="36" t="n"/>
      <c r="AR564" s="36" t="n"/>
      <c r="AS564" s="36" t="n"/>
      <c r="AT564" s="36" t="n"/>
      <c r="AU564" s="27" t="n"/>
      <c r="AV564" s="37" t="n"/>
      <c r="AW564" s="38">
        <f>IF(AO564="","",IF(AR564="Yes","❌ Disc",IF(AQ564="No","⚠ Missing",IF(AT564="Yes","✓ OK","⚠ Check"))))</f>
        <v/>
      </c>
    </row>
    <row r="565" ht="18" customHeight="1" s="46">
      <c r="A565" s="23" t="n">
        <v>561</v>
      </c>
      <c r="B565" s="24" t="inlineStr">
        <is>
          <t>BD-VRM-2023-4798</t>
        </is>
      </c>
      <c r="C565" s="25" t="inlineStr">
        <is>
          <t>Bonito Wall Decor - Shalimar - Mughal Inspired Colorful Wallpaper 601611 - Premium Soft feel paper</t>
        </is>
      </c>
      <c r="D565" s="23" t="inlineStr">
        <is>
          <t>Life n Colors</t>
        </is>
      </c>
      <c r="E565" s="43" t="n">
        <v>46126</v>
      </c>
      <c r="F565" s="26" t="inlineStr">
        <is>
          <t>Sunil CR</t>
        </is>
      </c>
      <c r="G565" s="26" t="inlineStr">
        <is>
          <t>Yes</t>
        </is>
      </c>
      <c r="H565" s="26" t="inlineStr">
        <is>
          <t>No</t>
        </is>
      </c>
      <c r="I565" s="26" t="inlineStr">
        <is>
          <t>Good finish</t>
        </is>
      </c>
      <c r="J565" s="26" t="inlineStr">
        <is>
          <t>Yes</t>
        </is>
      </c>
      <c r="K565" s="27" t="n"/>
      <c r="L565" s="28" t="inlineStr">
        <is>
          <t>No</t>
        </is>
      </c>
      <c r="M565" s="29">
        <f>IF(E565="","",IF(H565="Yes","❌ Disc",IF(G565="No","⚠ Missing",IF(J565="Yes","✓ OK","⚠ Check"))))</f>
        <v/>
      </c>
      <c r="N565" s="43" t="n">
        <v>46193</v>
      </c>
      <c r="O565" s="26" t="inlineStr">
        <is>
          <t>Sunil CR</t>
        </is>
      </c>
      <c r="P565" s="26" t="inlineStr">
        <is>
          <t>Yes</t>
        </is>
      </c>
      <c r="Q565" s="26" t="inlineStr">
        <is>
          <t>No</t>
        </is>
      </c>
      <c r="R565" s="26" t="inlineStr">
        <is>
          <t>Good finish</t>
        </is>
      </c>
      <c r="S565" s="26" t="inlineStr">
        <is>
          <t>Yes</t>
        </is>
      </c>
      <c r="T565" s="27" t="n"/>
      <c r="U565" s="28" t="inlineStr">
        <is>
          <t>No</t>
        </is>
      </c>
      <c r="V565" s="29">
        <f>IF(N565="","",IF(Q565="Yes","❌ Disc",IF(P565="No","⚠ Missing",IF(S565="Yes","✓ OK","⚠ Check"))))</f>
        <v/>
      </c>
      <c r="W565" s="65" t="n">
        <v>46248</v>
      </c>
      <c r="X565" s="30" t="inlineStr">
        <is>
          <t>Sunil CR</t>
        </is>
      </c>
      <c r="Y565" s="30" t="inlineStr">
        <is>
          <t>Yes</t>
        </is>
      </c>
      <c r="Z565" s="30" t="n"/>
      <c r="AA565" s="30" t="inlineStr">
        <is>
          <t>Good finish</t>
        </is>
      </c>
      <c r="AB565" s="30" t="inlineStr">
        <is>
          <t>Yes</t>
        </is>
      </c>
      <c r="AC565" s="27" t="n"/>
      <c r="AD565" s="31" t="inlineStr">
        <is>
          <t>No</t>
        </is>
      </c>
      <c r="AE565" s="32">
        <f>IF(W565="","",IF(Z565="Yes","❌ Disc",IF(Y565="No","⚠ Missing",IF(AB565="Yes","✓ OK","⚠ Check"))))</f>
        <v/>
      </c>
      <c r="AF565" s="33" t="n"/>
      <c r="AG565" s="33" t="n"/>
      <c r="AH565" s="33" t="n"/>
      <c r="AI565" s="33" t="n"/>
      <c r="AJ565" s="33" t="n"/>
      <c r="AK565" s="33" t="n"/>
      <c r="AL565" s="27" t="n"/>
      <c r="AM565" s="34" t="n"/>
      <c r="AN565" s="35">
        <f>IF(AF565="","",IF(AI565="Yes","❌ Disc",IF(AH565="No","⚠ Missing",IF(AK565="Yes","✓ OK","⚠ Check"))))</f>
        <v/>
      </c>
      <c r="AO565" s="36" t="n"/>
      <c r="AP565" s="36" t="n"/>
      <c r="AQ565" s="36" t="n"/>
      <c r="AR565" s="36" t="n"/>
      <c r="AS565" s="36" t="n"/>
      <c r="AT565" s="36" t="n"/>
      <c r="AU565" s="27" t="n"/>
      <c r="AV565" s="37" t="n"/>
      <c r="AW565" s="38">
        <f>IF(AO565="","",IF(AR565="Yes","❌ Disc",IF(AQ565="No","⚠ Missing",IF(AT565="Yes","✓ OK","⚠ Check"))))</f>
        <v/>
      </c>
    </row>
    <row r="566" ht="18" customHeight="1" s="46">
      <c r="A566" s="39" t="n">
        <v>562</v>
      </c>
      <c r="B566" s="40" t="inlineStr">
        <is>
          <t>BD-VRM-2023-4804</t>
        </is>
      </c>
      <c r="C566" s="41" t="inlineStr">
        <is>
          <t>Bonito Wall Decor - Shalimar - Mughal Inspired Colorful Wallpaper 601612 - Premium Canvas paper</t>
        </is>
      </c>
      <c r="D566" s="39" t="inlineStr">
        <is>
          <t>Life n Colors</t>
        </is>
      </c>
      <c r="E566" s="43" t="n">
        <v>46126</v>
      </c>
      <c r="F566" s="26" t="inlineStr">
        <is>
          <t>Sunil CR</t>
        </is>
      </c>
      <c r="G566" s="26" t="inlineStr">
        <is>
          <t>Yes</t>
        </is>
      </c>
      <c r="H566" s="26" t="inlineStr">
        <is>
          <t>No</t>
        </is>
      </c>
      <c r="I566" s="26" t="inlineStr">
        <is>
          <t>Good finish</t>
        </is>
      </c>
      <c r="J566" s="26" t="inlineStr">
        <is>
          <t>Yes</t>
        </is>
      </c>
      <c r="K566" s="27" t="n"/>
      <c r="L566" s="28" t="inlineStr">
        <is>
          <t>No</t>
        </is>
      </c>
      <c r="M566" s="29">
        <f>IF(E566="","",IF(H566="Yes","❌ Disc",IF(G566="No","⚠ Missing",IF(J566="Yes","✓ OK","⚠ Check"))))</f>
        <v/>
      </c>
      <c r="N566" s="43" t="n">
        <v>46193</v>
      </c>
      <c r="O566" s="26" t="inlineStr">
        <is>
          <t>Sunil CR</t>
        </is>
      </c>
      <c r="P566" s="26" t="inlineStr">
        <is>
          <t>Yes</t>
        </is>
      </c>
      <c r="Q566" s="26" t="inlineStr">
        <is>
          <t>No</t>
        </is>
      </c>
      <c r="R566" s="26" t="inlineStr">
        <is>
          <t>Good finish</t>
        </is>
      </c>
      <c r="S566" s="26" t="inlineStr">
        <is>
          <t>Yes</t>
        </is>
      </c>
      <c r="T566" s="27" t="n"/>
      <c r="U566" s="28" t="inlineStr">
        <is>
          <t>No</t>
        </is>
      </c>
      <c r="V566" s="29">
        <f>IF(N566="","",IF(Q566="Yes","❌ Disc",IF(P566="No","⚠ Missing",IF(S566="Yes","✓ OK","⚠ Check"))))</f>
        <v/>
      </c>
      <c r="W566" s="65" t="n">
        <v>46248</v>
      </c>
      <c r="X566" s="30" t="inlineStr">
        <is>
          <t>Sunil CR</t>
        </is>
      </c>
      <c r="Y566" s="30" t="inlineStr">
        <is>
          <t>Yes</t>
        </is>
      </c>
      <c r="Z566" s="30" t="n"/>
      <c r="AA566" s="30" t="inlineStr">
        <is>
          <t>Good finish</t>
        </is>
      </c>
      <c r="AB566" s="30" t="inlineStr">
        <is>
          <t>Yes</t>
        </is>
      </c>
      <c r="AC566" s="27" t="n"/>
      <c r="AD566" s="31" t="inlineStr">
        <is>
          <t>No</t>
        </is>
      </c>
      <c r="AE566" s="32">
        <f>IF(W566="","",IF(Z566="Yes","❌ Disc",IF(Y566="No","⚠ Missing",IF(AB566="Yes","✓ OK","⚠ Check"))))</f>
        <v/>
      </c>
      <c r="AF566" s="33" t="n"/>
      <c r="AG566" s="33" t="n"/>
      <c r="AH566" s="33" t="n"/>
      <c r="AI566" s="33" t="n"/>
      <c r="AJ566" s="33" t="n"/>
      <c r="AK566" s="33" t="n"/>
      <c r="AL566" s="27" t="n"/>
      <c r="AM566" s="34" t="n"/>
      <c r="AN566" s="35">
        <f>IF(AF566="","",IF(AI566="Yes","❌ Disc",IF(AH566="No","⚠ Missing",IF(AK566="Yes","✓ OK","⚠ Check"))))</f>
        <v/>
      </c>
      <c r="AO566" s="36" t="n"/>
      <c r="AP566" s="36" t="n"/>
      <c r="AQ566" s="36" t="n"/>
      <c r="AR566" s="36" t="n"/>
      <c r="AS566" s="36" t="n"/>
      <c r="AT566" s="36" t="n"/>
      <c r="AU566" s="27" t="n"/>
      <c r="AV566" s="37" t="n"/>
      <c r="AW566" s="38">
        <f>IF(AO566="","",IF(AR566="Yes","❌ Disc",IF(AQ566="No","⚠ Missing",IF(AT566="Yes","✓ OK","⚠ Check"))))</f>
        <v/>
      </c>
    </row>
    <row r="567" ht="18" customHeight="1" s="46">
      <c r="A567" s="23" t="n">
        <v>563</v>
      </c>
      <c r="B567" s="24" t="inlineStr">
        <is>
          <t>BD-VRM-2023-4744</t>
        </is>
      </c>
      <c r="C567" s="25" t="inlineStr">
        <is>
          <t>Bonito Wall Decor - The Sea Voyage, Kids Room Wallpaper 600121 - Soft feel paper</t>
        </is>
      </c>
      <c r="D567" s="23" t="inlineStr">
        <is>
          <t>Life n Colors</t>
        </is>
      </c>
      <c r="E567" s="43" t="n">
        <v>46126</v>
      </c>
      <c r="F567" s="26" t="inlineStr">
        <is>
          <t>Sunil CR</t>
        </is>
      </c>
      <c r="G567" s="26" t="inlineStr">
        <is>
          <t>Yes</t>
        </is>
      </c>
      <c r="H567" s="26" t="inlineStr">
        <is>
          <t>No</t>
        </is>
      </c>
      <c r="I567" s="26" t="inlineStr">
        <is>
          <t>Good finish</t>
        </is>
      </c>
      <c r="J567" s="26" t="inlineStr">
        <is>
          <t>Yes</t>
        </is>
      </c>
      <c r="K567" s="27" t="n"/>
      <c r="L567" s="28" t="inlineStr">
        <is>
          <t>No</t>
        </is>
      </c>
      <c r="M567" s="29">
        <f>IF(E567="","",IF(H567="Yes","❌ Disc",IF(G567="No","⚠ Missing",IF(J567="Yes","✓ OK","⚠ Check"))))</f>
        <v/>
      </c>
      <c r="N567" s="43" t="n">
        <v>46193</v>
      </c>
      <c r="O567" s="26" t="inlineStr">
        <is>
          <t>Sunil CR</t>
        </is>
      </c>
      <c r="P567" s="26" t="inlineStr">
        <is>
          <t>Yes</t>
        </is>
      </c>
      <c r="Q567" s="26" t="inlineStr">
        <is>
          <t>No</t>
        </is>
      </c>
      <c r="R567" s="26" t="inlineStr">
        <is>
          <t>Good finish</t>
        </is>
      </c>
      <c r="S567" s="26" t="inlineStr">
        <is>
          <t>Yes</t>
        </is>
      </c>
      <c r="T567" s="27" t="n"/>
      <c r="U567" s="28" t="inlineStr">
        <is>
          <t>No</t>
        </is>
      </c>
      <c r="V567" s="29">
        <f>IF(N567="","",IF(Q567="Yes","❌ Disc",IF(P567="No","⚠ Missing",IF(S567="Yes","✓ OK","⚠ Check"))))</f>
        <v/>
      </c>
      <c r="W567" s="65" t="n">
        <v>46248</v>
      </c>
      <c r="X567" s="30" t="inlineStr">
        <is>
          <t>Sunil CR</t>
        </is>
      </c>
      <c r="Y567" s="30" t="inlineStr">
        <is>
          <t>Yes</t>
        </is>
      </c>
      <c r="Z567" s="30" t="n"/>
      <c r="AA567" s="30" t="inlineStr">
        <is>
          <t>Good finish</t>
        </is>
      </c>
      <c r="AB567" s="30" t="inlineStr">
        <is>
          <t>Yes</t>
        </is>
      </c>
      <c r="AC567" s="27" t="n"/>
      <c r="AD567" s="31" t="inlineStr">
        <is>
          <t>No</t>
        </is>
      </c>
      <c r="AE567" s="32">
        <f>IF(W567="","",IF(Z567="Yes","❌ Disc",IF(Y567="No","⚠ Missing",IF(AB567="Yes","✓ OK","⚠ Check"))))</f>
        <v/>
      </c>
      <c r="AF567" s="33" t="n"/>
      <c r="AG567" s="33" t="n"/>
      <c r="AH567" s="33" t="n"/>
      <c r="AI567" s="33" t="n"/>
      <c r="AJ567" s="33" t="n"/>
      <c r="AK567" s="33" t="n"/>
      <c r="AL567" s="27" t="n"/>
      <c r="AM567" s="34" t="n"/>
      <c r="AN567" s="35">
        <f>IF(AF567="","",IF(AI567="Yes","❌ Disc",IF(AH567="No","⚠ Missing",IF(AK567="Yes","✓ OK","⚠ Check"))))</f>
        <v/>
      </c>
      <c r="AO567" s="36" t="n"/>
      <c r="AP567" s="36" t="n"/>
      <c r="AQ567" s="36" t="n"/>
      <c r="AR567" s="36" t="n"/>
      <c r="AS567" s="36" t="n"/>
      <c r="AT567" s="36" t="n"/>
      <c r="AU567" s="27" t="n"/>
      <c r="AV567" s="37" t="n"/>
      <c r="AW567" s="38">
        <f>IF(AO567="","",IF(AR567="Yes","❌ Disc",IF(AQ567="No","⚠ Missing",IF(AT567="Yes","✓ OK","⚠ Check"))))</f>
        <v/>
      </c>
    </row>
    <row r="568" ht="18" customHeight="1" s="46">
      <c r="A568" s="39" t="n">
        <v>564</v>
      </c>
      <c r="B568" s="40" t="inlineStr">
        <is>
          <t>BD-VRM-2023-4769</t>
        </is>
      </c>
      <c r="C568" s="41" t="inlineStr">
        <is>
          <t>Bonito Wall Decor - The Sea Voyage, Kids Room Wallpaper 600122 - Canvas paper [BBP]</t>
        </is>
      </c>
      <c r="D568" s="39" t="inlineStr">
        <is>
          <t>Life n Colors</t>
        </is>
      </c>
      <c r="E568" s="43" t="n">
        <v>46126</v>
      </c>
      <c r="F568" s="26" t="inlineStr">
        <is>
          <t>Sunil CR</t>
        </is>
      </c>
      <c r="G568" s="26" t="inlineStr">
        <is>
          <t>Yes</t>
        </is>
      </c>
      <c r="H568" s="26" t="inlineStr">
        <is>
          <t>No</t>
        </is>
      </c>
      <c r="I568" s="26" t="inlineStr">
        <is>
          <t>Good finish</t>
        </is>
      </c>
      <c r="J568" s="26" t="inlineStr">
        <is>
          <t>Yes</t>
        </is>
      </c>
      <c r="K568" s="27" t="n"/>
      <c r="L568" s="28" t="inlineStr">
        <is>
          <t>No</t>
        </is>
      </c>
      <c r="M568" s="29">
        <f>IF(E568="","",IF(H568="Yes","❌ Disc",IF(G568="No","⚠ Missing",IF(J568="Yes","✓ OK","⚠ Check"))))</f>
        <v/>
      </c>
      <c r="N568" s="43" t="n">
        <v>46193</v>
      </c>
      <c r="O568" s="26" t="inlineStr">
        <is>
          <t>Sunil CR</t>
        </is>
      </c>
      <c r="P568" s="26" t="inlineStr">
        <is>
          <t>Yes</t>
        </is>
      </c>
      <c r="Q568" s="26" t="inlineStr">
        <is>
          <t>No</t>
        </is>
      </c>
      <c r="R568" s="26" t="inlineStr">
        <is>
          <t>Good finish</t>
        </is>
      </c>
      <c r="S568" s="26" t="inlineStr">
        <is>
          <t>Yes</t>
        </is>
      </c>
      <c r="T568" s="27" t="n"/>
      <c r="U568" s="28" t="inlineStr">
        <is>
          <t>No</t>
        </is>
      </c>
      <c r="V568" s="29">
        <f>IF(N568="","",IF(Q568="Yes","❌ Disc",IF(P568="No","⚠ Missing",IF(S568="Yes","✓ OK","⚠ Check"))))</f>
        <v/>
      </c>
      <c r="W568" s="65" t="n">
        <v>46248</v>
      </c>
      <c r="X568" s="30" t="inlineStr">
        <is>
          <t>Sunil CR</t>
        </is>
      </c>
      <c r="Y568" s="30" t="inlineStr">
        <is>
          <t>Yes</t>
        </is>
      </c>
      <c r="Z568" s="30" t="n"/>
      <c r="AA568" s="30" t="inlineStr">
        <is>
          <t>Good finish</t>
        </is>
      </c>
      <c r="AB568" s="30" t="inlineStr">
        <is>
          <t>Yes</t>
        </is>
      </c>
      <c r="AC568" s="27" t="n"/>
      <c r="AD568" s="31" t="inlineStr">
        <is>
          <t>No</t>
        </is>
      </c>
      <c r="AE568" s="32">
        <f>IF(W568="","",IF(Z568="Yes","❌ Disc",IF(Y568="No","⚠ Missing",IF(AB568="Yes","✓ OK","⚠ Check"))))</f>
        <v/>
      </c>
      <c r="AF568" s="33" t="n"/>
      <c r="AG568" s="33" t="n"/>
      <c r="AH568" s="33" t="n"/>
      <c r="AI568" s="33" t="n"/>
      <c r="AJ568" s="33" t="n"/>
      <c r="AK568" s="33" t="n"/>
      <c r="AL568" s="27" t="n"/>
      <c r="AM568" s="34" t="n"/>
      <c r="AN568" s="35">
        <f>IF(AF568="","",IF(AI568="Yes","❌ Disc",IF(AH568="No","⚠ Missing",IF(AK568="Yes","✓ OK","⚠ Check"))))</f>
        <v/>
      </c>
      <c r="AO568" s="36" t="n"/>
      <c r="AP568" s="36" t="n"/>
      <c r="AQ568" s="36" t="n"/>
      <c r="AR568" s="36" t="n"/>
      <c r="AS568" s="36" t="n"/>
      <c r="AT568" s="36" t="n"/>
      <c r="AU568" s="27" t="n"/>
      <c r="AV568" s="37" t="n"/>
      <c r="AW568" s="38">
        <f>IF(AO568="","",IF(AR568="Yes","❌ Disc",IF(AQ568="No","⚠ Missing",IF(AT568="Yes","✓ OK","⚠ Check"))))</f>
        <v/>
      </c>
    </row>
    <row r="569" ht="18" customHeight="1" s="46">
      <c r="A569" s="23" t="n">
        <v>565</v>
      </c>
      <c r="B569" s="24" t="inlineStr">
        <is>
          <t>BD-VRM-2023-4753</t>
        </is>
      </c>
      <c r="C569" s="25" t="inlineStr">
        <is>
          <t>Bonito Wall Decor - Tropical Leaf Pattern Background Customised Wallpaper 600611 - Soft feel paper [BBP]</t>
        </is>
      </c>
      <c r="D569" s="23" t="inlineStr">
        <is>
          <t>Life n Colors</t>
        </is>
      </c>
      <c r="E569" s="43" t="n">
        <v>46126</v>
      </c>
      <c r="F569" s="26" t="inlineStr">
        <is>
          <t>Sunil CR</t>
        </is>
      </c>
      <c r="G569" s="26" t="inlineStr">
        <is>
          <t>Yes</t>
        </is>
      </c>
      <c r="H569" s="26" t="inlineStr">
        <is>
          <t>No</t>
        </is>
      </c>
      <c r="I569" s="26" t="inlineStr">
        <is>
          <t>Good finish</t>
        </is>
      </c>
      <c r="J569" s="26" t="inlineStr">
        <is>
          <t>Yes</t>
        </is>
      </c>
      <c r="K569" s="27" t="n"/>
      <c r="L569" s="28" t="inlineStr">
        <is>
          <t>No</t>
        </is>
      </c>
      <c r="M569" s="29">
        <f>IF(E569="","",IF(H569="Yes","❌ Disc",IF(G569="No","⚠ Missing",IF(J569="Yes","✓ OK","⚠ Check"))))</f>
        <v/>
      </c>
      <c r="N569" s="43" t="n">
        <v>46193</v>
      </c>
      <c r="O569" s="26" t="inlineStr">
        <is>
          <t>Sunil CR</t>
        </is>
      </c>
      <c r="P569" s="26" t="inlineStr">
        <is>
          <t>Yes</t>
        </is>
      </c>
      <c r="Q569" s="26" t="inlineStr">
        <is>
          <t>No</t>
        </is>
      </c>
      <c r="R569" s="26" t="inlineStr">
        <is>
          <t>Good finish</t>
        </is>
      </c>
      <c r="S569" s="26" t="inlineStr">
        <is>
          <t>Yes</t>
        </is>
      </c>
      <c r="T569" s="27" t="n"/>
      <c r="U569" s="28" t="inlineStr">
        <is>
          <t>No</t>
        </is>
      </c>
      <c r="V569" s="29">
        <f>IF(N569="","",IF(Q569="Yes","❌ Disc",IF(P569="No","⚠ Missing",IF(S569="Yes","✓ OK","⚠ Check"))))</f>
        <v/>
      </c>
      <c r="W569" s="65" t="n">
        <v>46248</v>
      </c>
      <c r="X569" s="30" t="inlineStr">
        <is>
          <t>Sunil CR</t>
        </is>
      </c>
      <c r="Y569" s="30" t="inlineStr">
        <is>
          <t>Yes</t>
        </is>
      </c>
      <c r="Z569" s="30" t="n"/>
      <c r="AA569" s="30" t="inlineStr">
        <is>
          <t>Good finish</t>
        </is>
      </c>
      <c r="AB569" s="30" t="inlineStr">
        <is>
          <t>Yes</t>
        </is>
      </c>
      <c r="AC569" s="27" t="n"/>
      <c r="AD569" s="31" t="inlineStr">
        <is>
          <t>No</t>
        </is>
      </c>
      <c r="AE569" s="32">
        <f>IF(W569="","",IF(Z569="Yes","❌ Disc",IF(Y569="No","⚠ Missing",IF(AB569="Yes","✓ OK","⚠ Check"))))</f>
        <v/>
      </c>
      <c r="AF569" s="33" t="n"/>
      <c r="AG569" s="33" t="n"/>
      <c r="AH569" s="33" t="n"/>
      <c r="AI569" s="33" t="n"/>
      <c r="AJ569" s="33" t="n"/>
      <c r="AK569" s="33" t="n"/>
      <c r="AL569" s="27" t="n"/>
      <c r="AM569" s="34" t="n"/>
      <c r="AN569" s="35">
        <f>IF(AF569="","",IF(AI569="Yes","❌ Disc",IF(AH569="No","⚠ Missing",IF(AK569="Yes","✓ OK","⚠ Check"))))</f>
        <v/>
      </c>
      <c r="AO569" s="36" t="n"/>
      <c r="AP569" s="36" t="n"/>
      <c r="AQ569" s="36" t="n"/>
      <c r="AR569" s="36" t="n"/>
      <c r="AS569" s="36" t="n"/>
      <c r="AT569" s="36" t="n"/>
      <c r="AU569" s="27" t="n"/>
      <c r="AV569" s="37" t="n"/>
      <c r="AW569" s="38">
        <f>IF(AO569="","",IF(AR569="Yes","❌ Disc",IF(AQ569="No","⚠ Missing",IF(AT569="Yes","✓ OK","⚠ Check"))))</f>
        <v/>
      </c>
    </row>
    <row r="570" ht="18" customHeight="1" s="46">
      <c r="A570" s="39" t="n">
        <v>566</v>
      </c>
      <c r="B570" s="40" t="inlineStr">
        <is>
          <t>BD-VRM-2023-4778</t>
        </is>
      </c>
      <c r="C570" s="41" t="inlineStr">
        <is>
          <t>Bonito Wall Decor - Tropical Leaf Pattern Background Customised Wallpaper 600612 - Canvas paper</t>
        </is>
      </c>
      <c r="D570" s="39" t="inlineStr">
        <is>
          <t>Life n Colors</t>
        </is>
      </c>
      <c r="E570" s="43" t="n">
        <v>46126</v>
      </c>
      <c r="F570" s="26" t="inlineStr">
        <is>
          <t>Sunil CR</t>
        </is>
      </c>
      <c r="G570" s="26" t="inlineStr">
        <is>
          <t>Yes</t>
        </is>
      </c>
      <c r="H570" s="26" t="inlineStr">
        <is>
          <t>No</t>
        </is>
      </c>
      <c r="I570" s="26" t="inlineStr">
        <is>
          <t>Good finish</t>
        </is>
      </c>
      <c r="J570" s="26" t="inlineStr">
        <is>
          <t>Yes</t>
        </is>
      </c>
      <c r="K570" s="27" t="n"/>
      <c r="L570" s="28" t="inlineStr">
        <is>
          <t>No</t>
        </is>
      </c>
      <c r="M570" s="29">
        <f>IF(E570="","",IF(H570="Yes","❌ Disc",IF(G570="No","⚠ Missing",IF(J570="Yes","✓ OK","⚠ Check"))))</f>
        <v/>
      </c>
      <c r="N570" s="43" t="n">
        <v>46193</v>
      </c>
      <c r="O570" s="26" t="inlineStr">
        <is>
          <t>Sunil CR</t>
        </is>
      </c>
      <c r="P570" s="26" t="inlineStr">
        <is>
          <t>Yes</t>
        </is>
      </c>
      <c r="Q570" s="26" t="inlineStr">
        <is>
          <t>No</t>
        </is>
      </c>
      <c r="R570" s="26" t="inlineStr">
        <is>
          <t>Good finish</t>
        </is>
      </c>
      <c r="S570" s="26" t="inlineStr">
        <is>
          <t>Yes</t>
        </is>
      </c>
      <c r="T570" s="27" t="n"/>
      <c r="U570" s="28" t="inlineStr">
        <is>
          <t>No</t>
        </is>
      </c>
      <c r="V570" s="29">
        <f>IF(N570="","",IF(Q570="Yes","❌ Disc",IF(P570="No","⚠ Missing",IF(S570="Yes","✓ OK","⚠ Check"))))</f>
        <v/>
      </c>
      <c r="W570" s="65" t="n">
        <v>46248</v>
      </c>
      <c r="X570" s="30" t="inlineStr">
        <is>
          <t>Sunil CR</t>
        </is>
      </c>
      <c r="Y570" s="30" t="inlineStr">
        <is>
          <t>Yes</t>
        </is>
      </c>
      <c r="Z570" s="30" t="n"/>
      <c r="AA570" s="30" t="inlineStr">
        <is>
          <t>Good finish</t>
        </is>
      </c>
      <c r="AB570" s="30" t="inlineStr">
        <is>
          <t>Yes</t>
        </is>
      </c>
      <c r="AC570" s="27" t="n"/>
      <c r="AD570" s="31" t="inlineStr">
        <is>
          <t>No</t>
        </is>
      </c>
      <c r="AE570" s="32">
        <f>IF(W570="","",IF(Z570="Yes","❌ Disc",IF(Y570="No","⚠ Missing",IF(AB570="Yes","✓ OK","⚠ Check"))))</f>
        <v/>
      </c>
      <c r="AF570" s="33" t="n"/>
      <c r="AG570" s="33" t="n"/>
      <c r="AH570" s="33" t="n"/>
      <c r="AI570" s="33" t="n"/>
      <c r="AJ570" s="33" t="n"/>
      <c r="AK570" s="33" t="n"/>
      <c r="AL570" s="27" t="n"/>
      <c r="AM570" s="34" t="n"/>
      <c r="AN570" s="35">
        <f>IF(AF570="","",IF(AI570="Yes","❌ Disc",IF(AH570="No","⚠ Missing",IF(AK570="Yes","✓ OK","⚠ Check"))))</f>
        <v/>
      </c>
      <c r="AO570" s="36" t="n"/>
      <c r="AP570" s="36" t="n"/>
      <c r="AQ570" s="36" t="n"/>
      <c r="AR570" s="36" t="n"/>
      <c r="AS570" s="36" t="n"/>
      <c r="AT570" s="36" t="n"/>
      <c r="AU570" s="27" t="n"/>
      <c r="AV570" s="37" t="n"/>
      <c r="AW570" s="38">
        <f>IF(AO570="","",IF(AR570="Yes","❌ Disc",IF(AQ570="No","⚠ Missing",IF(AT570="Yes","✓ OK","⚠ Check"))))</f>
        <v/>
      </c>
    </row>
    <row r="571" ht="18" customHeight="1" s="46">
      <c r="A571" s="23" t="n">
        <v>567</v>
      </c>
      <c r="B571" s="24" t="inlineStr">
        <is>
          <t>BD-VRM-2023-4756</t>
        </is>
      </c>
      <c r="C571" s="25" t="inlineStr">
        <is>
          <t>Bonito Wall Decor - Unique Hanging Floral and Bird Wallpaper for Bedrooms 600721 - Soft feel paper</t>
        </is>
      </c>
      <c r="D571" s="23" t="inlineStr">
        <is>
          <t>Life n Colors</t>
        </is>
      </c>
      <c r="E571" s="43" t="n">
        <v>46126</v>
      </c>
      <c r="F571" s="26" t="inlineStr">
        <is>
          <t>Sunil CR</t>
        </is>
      </c>
      <c r="G571" s="26" t="inlineStr">
        <is>
          <t>Yes</t>
        </is>
      </c>
      <c r="H571" s="26" t="inlineStr">
        <is>
          <t>No</t>
        </is>
      </c>
      <c r="I571" s="26" t="inlineStr">
        <is>
          <t>Good finish</t>
        </is>
      </c>
      <c r="J571" s="26" t="inlineStr">
        <is>
          <t>Yes</t>
        </is>
      </c>
      <c r="K571" s="27" t="n"/>
      <c r="L571" s="28" t="inlineStr">
        <is>
          <t>No</t>
        </is>
      </c>
      <c r="M571" s="29">
        <f>IF(E571="","",IF(H571="Yes","❌ Disc",IF(G571="No","⚠ Missing",IF(J571="Yes","✓ OK","⚠ Check"))))</f>
        <v/>
      </c>
      <c r="N571" s="43" t="n">
        <v>46193</v>
      </c>
      <c r="O571" s="26" t="inlineStr">
        <is>
          <t>Sunil CR</t>
        </is>
      </c>
      <c r="P571" s="26" t="inlineStr">
        <is>
          <t>Yes</t>
        </is>
      </c>
      <c r="Q571" s="26" t="inlineStr">
        <is>
          <t>No</t>
        </is>
      </c>
      <c r="R571" s="26" t="inlineStr">
        <is>
          <t>Good finish</t>
        </is>
      </c>
      <c r="S571" s="26" t="inlineStr">
        <is>
          <t>Yes</t>
        </is>
      </c>
      <c r="T571" s="27" t="n"/>
      <c r="U571" s="28" t="inlineStr">
        <is>
          <t>No</t>
        </is>
      </c>
      <c r="V571" s="29">
        <f>IF(N571="","",IF(Q571="Yes","❌ Disc",IF(P571="No","⚠ Missing",IF(S571="Yes","✓ OK","⚠ Check"))))</f>
        <v/>
      </c>
      <c r="W571" s="65" t="n">
        <v>46248</v>
      </c>
      <c r="X571" s="30" t="inlineStr">
        <is>
          <t>Sunil CR</t>
        </is>
      </c>
      <c r="Y571" s="30" t="inlineStr">
        <is>
          <t>Yes</t>
        </is>
      </c>
      <c r="Z571" s="30" t="n"/>
      <c r="AA571" s="30" t="inlineStr">
        <is>
          <t>Good finish</t>
        </is>
      </c>
      <c r="AB571" s="30" t="inlineStr">
        <is>
          <t>Yes</t>
        </is>
      </c>
      <c r="AC571" s="27" t="n"/>
      <c r="AD571" s="31" t="inlineStr">
        <is>
          <t>No</t>
        </is>
      </c>
      <c r="AE571" s="32">
        <f>IF(W571="","",IF(Z571="Yes","❌ Disc",IF(Y571="No","⚠ Missing",IF(AB571="Yes","✓ OK","⚠ Check"))))</f>
        <v/>
      </c>
      <c r="AF571" s="33" t="n"/>
      <c r="AG571" s="33" t="n"/>
      <c r="AH571" s="33" t="n"/>
      <c r="AI571" s="33" t="n"/>
      <c r="AJ571" s="33" t="n"/>
      <c r="AK571" s="33" t="n"/>
      <c r="AL571" s="27" t="n"/>
      <c r="AM571" s="34" t="n"/>
      <c r="AN571" s="35">
        <f>IF(AF571="","",IF(AI571="Yes","❌ Disc",IF(AH571="No","⚠ Missing",IF(AK571="Yes","✓ OK","⚠ Check"))))</f>
        <v/>
      </c>
      <c r="AO571" s="36" t="n"/>
      <c r="AP571" s="36" t="n"/>
      <c r="AQ571" s="36" t="n"/>
      <c r="AR571" s="36" t="n"/>
      <c r="AS571" s="36" t="n"/>
      <c r="AT571" s="36" t="n"/>
      <c r="AU571" s="27" t="n"/>
      <c r="AV571" s="37" t="n"/>
      <c r="AW571" s="38">
        <f>IF(AO571="","",IF(AR571="Yes","❌ Disc",IF(AQ571="No","⚠ Missing",IF(AT571="Yes","✓ OK","⚠ Check"))))</f>
        <v/>
      </c>
    </row>
    <row r="572" ht="18" customHeight="1" s="46">
      <c r="A572" s="39" t="n">
        <v>568</v>
      </c>
      <c r="B572" s="40" t="inlineStr">
        <is>
          <t>BD-VRM-2023-4781</t>
        </is>
      </c>
      <c r="C572" s="41" t="inlineStr">
        <is>
          <t>Bonito Wall Decor - Unique Hanging Floral and Bird Wallpaper for Bedrooms 600722 - Canvas paper</t>
        </is>
      </c>
      <c r="D572" s="39" t="inlineStr">
        <is>
          <t>Life n Colors</t>
        </is>
      </c>
      <c r="E572" s="43" t="n">
        <v>46126</v>
      </c>
      <c r="F572" s="26" t="inlineStr">
        <is>
          <t>Sunil CR</t>
        </is>
      </c>
      <c r="G572" s="26" t="inlineStr">
        <is>
          <t>Yes</t>
        </is>
      </c>
      <c r="H572" s="26" t="inlineStr">
        <is>
          <t>No</t>
        </is>
      </c>
      <c r="I572" s="26" t="inlineStr">
        <is>
          <t>Good finish</t>
        </is>
      </c>
      <c r="J572" s="26" t="inlineStr">
        <is>
          <t>Yes</t>
        </is>
      </c>
      <c r="K572" s="27" t="n"/>
      <c r="L572" s="28" t="inlineStr">
        <is>
          <t>No</t>
        </is>
      </c>
      <c r="M572" s="29">
        <f>IF(E572="","",IF(H572="Yes","❌ Disc",IF(G572="No","⚠ Missing",IF(J572="Yes","✓ OK","⚠ Check"))))</f>
        <v/>
      </c>
      <c r="N572" s="43" t="n">
        <v>46193</v>
      </c>
      <c r="O572" s="26" t="inlineStr">
        <is>
          <t>Sunil CR</t>
        </is>
      </c>
      <c r="P572" s="26" t="inlineStr">
        <is>
          <t>Yes</t>
        </is>
      </c>
      <c r="Q572" s="26" t="inlineStr">
        <is>
          <t>No</t>
        </is>
      </c>
      <c r="R572" s="26" t="inlineStr">
        <is>
          <t>Good finish</t>
        </is>
      </c>
      <c r="S572" s="26" t="inlineStr">
        <is>
          <t>Yes</t>
        </is>
      </c>
      <c r="T572" s="27" t="n"/>
      <c r="U572" s="28" t="inlineStr">
        <is>
          <t>No</t>
        </is>
      </c>
      <c r="V572" s="29">
        <f>IF(N572="","",IF(Q572="Yes","❌ Disc",IF(P572="No","⚠ Missing",IF(S572="Yes","✓ OK","⚠ Check"))))</f>
        <v/>
      </c>
      <c r="W572" s="65" t="n">
        <v>46248</v>
      </c>
      <c r="X572" s="30" t="inlineStr">
        <is>
          <t>Sunil CR</t>
        </is>
      </c>
      <c r="Y572" s="30" t="inlineStr">
        <is>
          <t>Yes</t>
        </is>
      </c>
      <c r="Z572" s="30" t="n"/>
      <c r="AA572" s="30" t="inlineStr">
        <is>
          <t>Good finish</t>
        </is>
      </c>
      <c r="AB572" s="30" t="inlineStr">
        <is>
          <t>Yes</t>
        </is>
      </c>
      <c r="AC572" s="27" t="n"/>
      <c r="AD572" s="31" t="inlineStr">
        <is>
          <t>No</t>
        </is>
      </c>
      <c r="AE572" s="32">
        <f>IF(W572="","",IF(Z572="Yes","❌ Disc",IF(Y572="No","⚠ Missing",IF(AB572="Yes","✓ OK","⚠ Check"))))</f>
        <v/>
      </c>
      <c r="AF572" s="33" t="n"/>
      <c r="AG572" s="33" t="n"/>
      <c r="AH572" s="33" t="n"/>
      <c r="AI572" s="33" t="n"/>
      <c r="AJ572" s="33" t="n"/>
      <c r="AK572" s="33" t="n"/>
      <c r="AL572" s="27" t="n"/>
      <c r="AM572" s="34" t="n"/>
      <c r="AN572" s="35">
        <f>IF(AF572="","",IF(AI572="Yes","❌ Disc",IF(AH572="No","⚠ Missing",IF(AK572="Yes","✓ OK","⚠ Check"))))</f>
        <v/>
      </c>
      <c r="AO572" s="36" t="n"/>
      <c r="AP572" s="36" t="n"/>
      <c r="AQ572" s="36" t="n"/>
      <c r="AR572" s="36" t="n"/>
      <c r="AS572" s="36" t="n"/>
      <c r="AT572" s="36" t="n"/>
      <c r="AU572" s="27" t="n"/>
      <c r="AV572" s="37" t="n"/>
      <c r="AW572" s="38">
        <f>IF(AO572="","",IF(AR572="Yes","❌ Disc",IF(AQ572="No","⚠ Missing",IF(AT572="Yes","✓ OK","⚠ Check"))))</f>
        <v/>
      </c>
    </row>
    <row r="573" ht="18" customHeight="1" s="46">
      <c r="A573" s="23" t="n">
        <v>569</v>
      </c>
      <c r="B573" s="24" t="inlineStr">
        <is>
          <t>BD-VRM-2023-4752</t>
        </is>
      </c>
      <c r="C573" s="25" t="inlineStr">
        <is>
          <t>Bonito Wall Decor - Vintage Style Floral Pattern Wallpaper for Rooms 600521 - Soft feel paper</t>
        </is>
      </c>
      <c r="D573" s="23" t="inlineStr">
        <is>
          <t>Life n Colors</t>
        </is>
      </c>
      <c r="E573" s="43" t="n">
        <v>46126</v>
      </c>
      <c r="F573" s="26" t="inlineStr">
        <is>
          <t>Sunil CR</t>
        </is>
      </c>
      <c r="G573" s="26" t="inlineStr">
        <is>
          <t>Yes</t>
        </is>
      </c>
      <c r="H573" s="26" t="inlineStr">
        <is>
          <t>No</t>
        </is>
      </c>
      <c r="I573" s="26" t="inlineStr">
        <is>
          <t>Good finish</t>
        </is>
      </c>
      <c r="J573" s="26" t="inlineStr">
        <is>
          <t>Yes</t>
        </is>
      </c>
      <c r="K573" s="27" t="n"/>
      <c r="L573" s="28" t="inlineStr">
        <is>
          <t>No</t>
        </is>
      </c>
      <c r="M573" s="29">
        <f>IF(E573="","",IF(H573="Yes","❌ Disc",IF(G573="No","⚠ Missing",IF(J573="Yes","✓ OK","⚠ Check"))))</f>
        <v/>
      </c>
      <c r="N573" s="43" t="n">
        <v>46193</v>
      </c>
      <c r="O573" s="26" t="inlineStr">
        <is>
          <t>Sunil CR</t>
        </is>
      </c>
      <c r="P573" s="26" t="inlineStr">
        <is>
          <t>Yes</t>
        </is>
      </c>
      <c r="Q573" s="26" t="inlineStr">
        <is>
          <t>No</t>
        </is>
      </c>
      <c r="R573" s="26" t="inlineStr">
        <is>
          <t>Good finish</t>
        </is>
      </c>
      <c r="S573" s="26" t="inlineStr">
        <is>
          <t>Yes</t>
        </is>
      </c>
      <c r="T573" s="27" t="n"/>
      <c r="U573" s="28" t="inlineStr">
        <is>
          <t>No</t>
        </is>
      </c>
      <c r="V573" s="29">
        <f>IF(N573="","",IF(Q573="Yes","❌ Disc",IF(P573="No","⚠ Missing",IF(S573="Yes","✓ OK","⚠ Check"))))</f>
        <v/>
      </c>
      <c r="W573" s="65" t="n">
        <v>46248</v>
      </c>
      <c r="X573" s="30" t="inlineStr">
        <is>
          <t>Sunil CR</t>
        </is>
      </c>
      <c r="Y573" s="30" t="inlineStr">
        <is>
          <t>Yes</t>
        </is>
      </c>
      <c r="Z573" s="30" t="n"/>
      <c r="AA573" s="30" t="inlineStr">
        <is>
          <t>Good finish</t>
        </is>
      </c>
      <c r="AB573" s="30" t="inlineStr">
        <is>
          <t>Yes</t>
        </is>
      </c>
      <c r="AC573" s="27" t="n"/>
      <c r="AD573" s="31" t="inlineStr">
        <is>
          <t>No</t>
        </is>
      </c>
      <c r="AE573" s="32">
        <f>IF(W573="","",IF(Z573="Yes","❌ Disc",IF(Y573="No","⚠ Missing",IF(AB573="Yes","✓ OK","⚠ Check"))))</f>
        <v/>
      </c>
      <c r="AF573" s="33" t="n"/>
      <c r="AG573" s="33" t="n"/>
      <c r="AH573" s="33" t="n"/>
      <c r="AI573" s="33" t="n"/>
      <c r="AJ573" s="33" t="n"/>
      <c r="AK573" s="33" t="n"/>
      <c r="AL573" s="27" t="n"/>
      <c r="AM573" s="34" t="n"/>
      <c r="AN573" s="35">
        <f>IF(AF573="","",IF(AI573="Yes","❌ Disc",IF(AH573="No","⚠ Missing",IF(AK573="Yes","✓ OK","⚠ Check"))))</f>
        <v/>
      </c>
      <c r="AO573" s="36" t="n"/>
      <c r="AP573" s="36" t="n"/>
      <c r="AQ573" s="36" t="n"/>
      <c r="AR573" s="36" t="n"/>
      <c r="AS573" s="36" t="n"/>
      <c r="AT573" s="36" t="n"/>
      <c r="AU573" s="27" t="n"/>
      <c r="AV573" s="37" t="n"/>
      <c r="AW573" s="38">
        <f>IF(AO573="","",IF(AR573="Yes","❌ Disc",IF(AQ573="No","⚠ Missing",IF(AT573="Yes","✓ OK","⚠ Check"))))</f>
        <v/>
      </c>
    </row>
    <row r="574" ht="18" customHeight="1" s="46">
      <c r="A574" s="39" t="n">
        <v>570</v>
      </c>
      <c r="B574" s="40" t="inlineStr">
        <is>
          <t>BD-VRM-2023-4777</t>
        </is>
      </c>
      <c r="C574" s="41" t="inlineStr">
        <is>
          <t>Bonito Wall Decor - Vintage Style Floral Pattern Wallpaper for Rooms 600522 - Canvas paper</t>
        </is>
      </c>
      <c r="D574" s="39" t="inlineStr">
        <is>
          <t>Life n Colors</t>
        </is>
      </c>
      <c r="E574" s="43" t="n">
        <v>46126</v>
      </c>
      <c r="F574" s="26" t="inlineStr">
        <is>
          <t>Sunil CR</t>
        </is>
      </c>
      <c r="G574" s="26" t="inlineStr">
        <is>
          <t>Yes</t>
        </is>
      </c>
      <c r="H574" s="26" t="inlineStr">
        <is>
          <t>No</t>
        </is>
      </c>
      <c r="I574" s="26" t="inlineStr">
        <is>
          <t>Good finish</t>
        </is>
      </c>
      <c r="J574" s="26" t="inlineStr">
        <is>
          <t>Yes</t>
        </is>
      </c>
      <c r="K574" s="27" t="n"/>
      <c r="L574" s="28" t="inlineStr">
        <is>
          <t>No</t>
        </is>
      </c>
      <c r="M574" s="29">
        <f>IF(E574="","",IF(H574="Yes","❌ Disc",IF(G574="No","⚠ Missing",IF(J574="Yes","✓ OK","⚠ Check"))))</f>
        <v/>
      </c>
      <c r="N574" s="43" t="n">
        <v>46193</v>
      </c>
      <c r="O574" s="26" t="inlineStr">
        <is>
          <t>Sunil CR</t>
        </is>
      </c>
      <c r="P574" s="26" t="inlineStr">
        <is>
          <t>Yes</t>
        </is>
      </c>
      <c r="Q574" s="26" t="inlineStr">
        <is>
          <t>No</t>
        </is>
      </c>
      <c r="R574" s="26" t="inlineStr">
        <is>
          <t>Good finish</t>
        </is>
      </c>
      <c r="S574" s="26" t="inlineStr">
        <is>
          <t>Yes</t>
        </is>
      </c>
      <c r="T574" s="27" t="n"/>
      <c r="U574" s="28" t="inlineStr">
        <is>
          <t>No</t>
        </is>
      </c>
      <c r="V574" s="29">
        <f>IF(N574="","",IF(Q574="Yes","❌ Disc",IF(P574="No","⚠ Missing",IF(S574="Yes","✓ OK","⚠ Check"))))</f>
        <v/>
      </c>
      <c r="W574" s="65" t="n">
        <v>46248</v>
      </c>
      <c r="X574" s="30" t="inlineStr">
        <is>
          <t>Sunil CR</t>
        </is>
      </c>
      <c r="Y574" s="30" t="inlineStr">
        <is>
          <t>Yes</t>
        </is>
      </c>
      <c r="Z574" s="30" t="n"/>
      <c r="AA574" s="30" t="inlineStr">
        <is>
          <t>Good finish</t>
        </is>
      </c>
      <c r="AB574" s="30" t="inlineStr">
        <is>
          <t>Yes</t>
        </is>
      </c>
      <c r="AC574" s="27" t="n"/>
      <c r="AD574" s="31" t="inlineStr">
        <is>
          <t>No</t>
        </is>
      </c>
      <c r="AE574" s="32">
        <f>IF(W574="","",IF(Z574="Yes","❌ Disc",IF(Y574="No","⚠ Missing",IF(AB574="Yes","✓ OK","⚠ Check"))))</f>
        <v/>
      </c>
      <c r="AF574" s="33" t="n"/>
      <c r="AG574" s="33" t="n"/>
      <c r="AH574" s="33" t="n"/>
      <c r="AI574" s="33" t="n"/>
      <c r="AJ574" s="33" t="n"/>
      <c r="AK574" s="33" t="n"/>
      <c r="AL574" s="27" t="n"/>
      <c r="AM574" s="34" t="n"/>
      <c r="AN574" s="35">
        <f>IF(AF574="","",IF(AI574="Yes","❌ Disc",IF(AH574="No","⚠ Missing",IF(AK574="Yes","✓ OK","⚠ Check"))))</f>
        <v/>
      </c>
      <c r="AO574" s="36" t="n"/>
      <c r="AP574" s="36" t="n"/>
      <c r="AQ574" s="36" t="n"/>
      <c r="AR574" s="36" t="n"/>
      <c r="AS574" s="36" t="n"/>
      <c r="AT574" s="36" t="n"/>
      <c r="AU574" s="27" t="n"/>
      <c r="AV574" s="37" t="n"/>
      <c r="AW574" s="38">
        <f>IF(AO574="","",IF(AR574="Yes","❌ Disc",IF(AQ574="No","⚠ Missing",IF(AT574="Yes","✓ OK","⚠ Check"))))</f>
        <v/>
      </c>
    </row>
    <row r="575" ht="18" customHeight="1" s="46">
      <c r="A575" s="23" t="n">
        <v>571</v>
      </c>
      <c r="B575" s="24" t="inlineStr">
        <is>
          <t>BD-VRM-2024-0509</t>
        </is>
      </c>
      <c r="C575" s="25" t="inlineStr">
        <is>
          <t>Bonito Wall Decor - Water Colors Look Floral Wallpaper (Canvas Paper - 602412)</t>
        </is>
      </c>
      <c r="D575" s="23" t="inlineStr">
        <is>
          <t>Life n Colors</t>
        </is>
      </c>
      <c r="E575" s="43" t="n">
        <v>46126</v>
      </c>
      <c r="F575" s="26" t="inlineStr">
        <is>
          <t>Sunil CR</t>
        </is>
      </c>
      <c r="G575" s="26" t="inlineStr">
        <is>
          <t>Yes</t>
        </is>
      </c>
      <c r="H575" s="26" t="inlineStr">
        <is>
          <t>No</t>
        </is>
      </c>
      <c r="I575" s="26" t="inlineStr">
        <is>
          <t>Good finish</t>
        </is>
      </c>
      <c r="J575" s="26" t="inlineStr">
        <is>
          <t>Yes</t>
        </is>
      </c>
      <c r="K575" s="27" t="n"/>
      <c r="L575" s="28" t="inlineStr">
        <is>
          <t>No</t>
        </is>
      </c>
      <c r="M575" s="29">
        <f>IF(E575="","",IF(H575="Yes","❌ Disc",IF(G575="No","⚠ Missing",IF(J575="Yes","✓ OK","⚠ Check"))))</f>
        <v/>
      </c>
      <c r="N575" s="43" t="n">
        <v>46193</v>
      </c>
      <c r="O575" s="26" t="inlineStr">
        <is>
          <t>Sunil CR</t>
        </is>
      </c>
      <c r="P575" s="26" t="inlineStr">
        <is>
          <t>Yes</t>
        </is>
      </c>
      <c r="Q575" s="26" t="inlineStr">
        <is>
          <t>No</t>
        </is>
      </c>
      <c r="R575" s="26" t="inlineStr">
        <is>
          <t>Good finish</t>
        </is>
      </c>
      <c r="S575" s="26" t="inlineStr">
        <is>
          <t>Yes</t>
        </is>
      </c>
      <c r="T575" s="27" t="n"/>
      <c r="U575" s="28" t="inlineStr">
        <is>
          <t>No</t>
        </is>
      </c>
      <c r="V575" s="29">
        <f>IF(N575="","",IF(Q575="Yes","❌ Disc",IF(P575="No","⚠ Missing",IF(S575="Yes","✓ OK","⚠ Check"))))</f>
        <v/>
      </c>
      <c r="W575" s="65" t="n">
        <v>46248</v>
      </c>
      <c r="X575" s="30" t="inlineStr">
        <is>
          <t>Sunil CR</t>
        </is>
      </c>
      <c r="Y575" s="30" t="inlineStr">
        <is>
          <t>Yes</t>
        </is>
      </c>
      <c r="Z575" s="30" t="n"/>
      <c r="AA575" s="30" t="inlineStr">
        <is>
          <t>Good finish</t>
        </is>
      </c>
      <c r="AB575" s="30" t="inlineStr">
        <is>
          <t>Yes</t>
        </is>
      </c>
      <c r="AC575" s="27" t="n"/>
      <c r="AD575" s="31" t="inlineStr">
        <is>
          <t>No</t>
        </is>
      </c>
      <c r="AE575" s="32">
        <f>IF(W575="","",IF(Z575="Yes","❌ Disc",IF(Y575="No","⚠ Missing",IF(AB575="Yes","✓ OK","⚠ Check"))))</f>
        <v/>
      </c>
      <c r="AF575" s="33" t="n"/>
      <c r="AG575" s="33" t="n"/>
      <c r="AH575" s="33" t="n"/>
      <c r="AI575" s="33" t="n"/>
      <c r="AJ575" s="33" t="n"/>
      <c r="AK575" s="33" t="n"/>
      <c r="AL575" s="27" t="n"/>
      <c r="AM575" s="34" t="n"/>
      <c r="AN575" s="35">
        <f>IF(AF575="","",IF(AI575="Yes","❌ Disc",IF(AH575="No","⚠ Missing",IF(AK575="Yes","✓ OK","⚠ Check"))))</f>
        <v/>
      </c>
      <c r="AO575" s="36" t="n"/>
      <c r="AP575" s="36" t="n"/>
      <c r="AQ575" s="36" t="n"/>
      <c r="AR575" s="36" t="n"/>
      <c r="AS575" s="36" t="n"/>
      <c r="AT575" s="36" t="n"/>
      <c r="AU575" s="27" t="n"/>
      <c r="AV575" s="37" t="n"/>
      <c r="AW575" s="38">
        <f>IF(AO575="","",IF(AR575="Yes","❌ Disc",IF(AQ575="No","⚠ Missing",IF(AT575="Yes","✓ OK","⚠ Check"))))</f>
        <v/>
      </c>
    </row>
    <row r="576" ht="18" customHeight="1" s="46">
      <c r="A576" s="39" t="n">
        <v>572</v>
      </c>
      <c r="B576" s="40" t="inlineStr">
        <is>
          <t>BD-VRM-2024-0506</t>
        </is>
      </c>
      <c r="C576" s="41" t="inlineStr">
        <is>
          <t>Bonito Wall Decor - Water Colors Look Floral Wallpaper (Soft Feel Paper - 601622)</t>
        </is>
      </c>
      <c r="D576" s="39" t="inlineStr">
        <is>
          <t>Life n Colors</t>
        </is>
      </c>
      <c r="E576" s="43" t="n">
        <v>46126</v>
      </c>
      <c r="F576" s="26" t="inlineStr">
        <is>
          <t>Sunil CR</t>
        </is>
      </c>
      <c r="G576" s="26" t="inlineStr">
        <is>
          <t>Yes</t>
        </is>
      </c>
      <c r="H576" s="26" t="inlineStr">
        <is>
          <t>No</t>
        </is>
      </c>
      <c r="I576" s="26" t="inlineStr">
        <is>
          <t>Good finish</t>
        </is>
      </c>
      <c r="J576" s="26" t="inlineStr">
        <is>
          <t>Yes</t>
        </is>
      </c>
      <c r="K576" s="27" t="n"/>
      <c r="L576" s="28" t="inlineStr">
        <is>
          <t>No</t>
        </is>
      </c>
      <c r="M576" s="29">
        <f>IF(E576="","",IF(H576="Yes","❌ Disc",IF(G576="No","⚠ Missing",IF(J576="Yes","✓ OK","⚠ Check"))))</f>
        <v/>
      </c>
      <c r="N576" s="43" t="n">
        <v>46193</v>
      </c>
      <c r="O576" s="26" t="inlineStr">
        <is>
          <t>Sunil CR</t>
        </is>
      </c>
      <c r="P576" s="26" t="inlineStr">
        <is>
          <t>Yes</t>
        </is>
      </c>
      <c r="Q576" s="26" t="inlineStr">
        <is>
          <t>No</t>
        </is>
      </c>
      <c r="R576" s="26" t="inlineStr">
        <is>
          <t>Good finish</t>
        </is>
      </c>
      <c r="S576" s="26" t="inlineStr">
        <is>
          <t>Yes</t>
        </is>
      </c>
      <c r="T576" s="27" t="n"/>
      <c r="U576" s="28" t="inlineStr">
        <is>
          <t>No</t>
        </is>
      </c>
      <c r="V576" s="29">
        <f>IF(N576="","",IF(Q576="Yes","❌ Disc",IF(P576="No","⚠ Missing",IF(S576="Yes","✓ OK","⚠ Check"))))</f>
        <v/>
      </c>
      <c r="W576" s="65" t="n">
        <v>46248</v>
      </c>
      <c r="X576" s="30" t="inlineStr">
        <is>
          <t>Sunil CR</t>
        </is>
      </c>
      <c r="Y576" s="30" t="inlineStr">
        <is>
          <t>Yes</t>
        </is>
      </c>
      <c r="Z576" s="30" t="n"/>
      <c r="AA576" s="30" t="inlineStr">
        <is>
          <t>Good finish</t>
        </is>
      </c>
      <c r="AB576" s="30" t="inlineStr">
        <is>
          <t>Yes</t>
        </is>
      </c>
      <c r="AC576" s="27" t="n"/>
      <c r="AD576" s="31" t="inlineStr">
        <is>
          <t>No</t>
        </is>
      </c>
      <c r="AE576" s="32">
        <f>IF(W576="","",IF(Z576="Yes","❌ Disc",IF(Y576="No","⚠ Missing",IF(AB576="Yes","✓ OK","⚠ Check"))))</f>
        <v/>
      </c>
      <c r="AF576" s="33" t="n"/>
      <c r="AG576" s="33" t="n"/>
      <c r="AH576" s="33" t="n"/>
      <c r="AI576" s="33" t="n"/>
      <c r="AJ576" s="33" t="n"/>
      <c r="AK576" s="33" t="n"/>
      <c r="AL576" s="27" t="n"/>
      <c r="AM576" s="34" t="n"/>
      <c r="AN576" s="35">
        <f>IF(AF576="","",IF(AI576="Yes","❌ Disc",IF(AH576="No","⚠ Missing",IF(AK576="Yes","✓ OK","⚠ Check"))))</f>
        <v/>
      </c>
      <c r="AO576" s="36" t="n"/>
      <c r="AP576" s="36" t="n"/>
      <c r="AQ576" s="36" t="n"/>
      <c r="AR576" s="36" t="n"/>
      <c r="AS576" s="36" t="n"/>
      <c r="AT576" s="36" t="n"/>
      <c r="AU576" s="27" t="n"/>
      <c r="AV576" s="37" t="n"/>
      <c r="AW576" s="38">
        <f>IF(AO576="","",IF(AR576="Yes","❌ Disc",IF(AQ576="No","⚠ Missing",IF(AT576="Yes","✓ OK","⚠ Check"))))</f>
        <v/>
      </c>
    </row>
    <row r="577" ht="18" customHeight="1" s="46">
      <c r="A577" s="23" t="n">
        <v>573</v>
      </c>
      <c r="B577" s="24" t="inlineStr">
        <is>
          <t>BD-VRM-2023-4762</t>
        </is>
      </c>
      <c r="C577" s="25" t="inlineStr">
        <is>
          <t>Bonito Wall Decor - Whimsical Waves Blue Watercolor Serenity Wallpaper for Bedroom 601021 - Soft feel paper</t>
        </is>
      </c>
      <c r="D577" s="23" t="inlineStr">
        <is>
          <t>Life n Colors</t>
        </is>
      </c>
      <c r="E577" s="43" t="n">
        <v>46126</v>
      </c>
      <c r="F577" s="26" t="inlineStr">
        <is>
          <t>Sunil CR</t>
        </is>
      </c>
      <c r="G577" s="26" t="inlineStr">
        <is>
          <t>Yes</t>
        </is>
      </c>
      <c r="H577" s="26" t="inlineStr">
        <is>
          <t>No</t>
        </is>
      </c>
      <c r="I577" s="26" t="inlineStr">
        <is>
          <t>Good finish</t>
        </is>
      </c>
      <c r="J577" s="26" t="inlineStr">
        <is>
          <t>Yes</t>
        </is>
      </c>
      <c r="K577" s="27" t="n"/>
      <c r="L577" s="28" t="inlineStr">
        <is>
          <t>No</t>
        </is>
      </c>
      <c r="M577" s="29">
        <f>IF(E577="","",IF(H577="Yes","❌ Disc",IF(G577="No","⚠ Missing",IF(J577="Yes","✓ OK","⚠ Check"))))</f>
        <v/>
      </c>
      <c r="N577" s="43" t="n">
        <v>46193</v>
      </c>
      <c r="O577" s="26" t="inlineStr">
        <is>
          <t>Sunil CR</t>
        </is>
      </c>
      <c r="P577" s="26" t="inlineStr">
        <is>
          <t>Yes</t>
        </is>
      </c>
      <c r="Q577" s="26" t="inlineStr">
        <is>
          <t>No</t>
        </is>
      </c>
      <c r="R577" s="26" t="inlineStr">
        <is>
          <t>Good finish</t>
        </is>
      </c>
      <c r="S577" s="26" t="inlineStr">
        <is>
          <t>Yes</t>
        </is>
      </c>
      <c r="T577" s="27" t="n"/>
      <c r="U577" s="28" t="inlineStr">
        <is>
          <t>No</t>
        </is>
      </c>
      <c r="V577" s="29">
        <f>IF(N577="","",IF(Q577="Yes","❌ Disc",IF(P577="No","⚠ Missing",IF(S577="Yes","✓ OK","⚠ Check"))))</f>
        <v/>
      </c>
      <c r="W577" s="65" t="n">
        <v>46248</v>
      </c>
      <c r="X577" s="30" t="inlineStr">
        <is>
          <t>Sunil CR</t>
        </is>
      </c>
      <c r="Y577" s="30" t="inlineStr">
        <is>
          <t>Yes</t>
        </is>
      </c>
      <c r="Z577" s="30" t="n"/>
      <c r="AA577" s="30" t="inlineStr">
        <is>
          <t>Good finish</t>
        </is>
      </c>
      <c r="AB577" s="30" t="inlineStr">
        <is>
          <t>Yes</t>
        </is>
      </c>
      <c r="AC577" s="27" t="n"/>
      <c r="AD577" s="31" t="inlineStr">
        <is>
          <t>No</t>
        </is>
      </c>
      <c r="AE577" s="32">
        <f>IF(W577="","",IF(Z577="Yes","❌ Disc",IF(Y577="No","⚠ Missing",IF(AB577="Yes","✓ OK","⚠ Check"))))</f>
        <v/>
      </c>
      <c r="AF577" s="33" t="n"/>
      <c r="AG577" s="33" t="n"/>
      <c r="AH577" s="33" t="n"/>
      <c r="AI577" s="33" t="n"/>
      <c r="AJ577" s="33" t="n"/>
      <c r="AK577" s="33" t="n"/>
      <c r="AL577" s="27" t="n"/>
      <c r="AM577" s="34" t="n"/>
      <c r="AN577" s="35">
        <f>IF(AF577="","",IF(AI577="Yes","❌ Disc",IF(AH577="No","⚠ Missing",IF(AK577="Yes","✓ OK","⚠ Check"))))</f>
        <v/>
      </c>
      <c r="AO577" s="36" t="n"/>
      <c r="AP577" s="36" t="n"/>
      <c r="AQ577" s="36" t="n"/>
      <c r="AR577" s="36" t="n"/>
      <c r="AS577" s="36" t="n"/>
      <c r="AT577" s="36" t="n"/>
      <c r="AU577" s="27" t="n"/>
      <c r="AV577" s="37" t="n"/>
      <c r="AW577" s="38">
        <f>IF(AO577="","",IF(AR577="Yes","❌ Disc",IF(AQ577="No","⚠ Missing",IF(AT577="Yes","✓ OK","⚠ Check"))))</f>
        <v/>
      </c>
    </row>
    <row r="578" ht="18" customHeight="1" s="46">
      <c r="A578" s="39" t="n">
        <v>574</v>
      </c>
      <c r="B578" s="40" t="inlineStr">
        <is>
          <t>BD-VRM-2023-4787</t>
        </is>
      </c>
      <c r="C578" s="41" t="inlineStr">
        <is>
          <t>Bonito Wall Decor - Whimsical Waves Blue Watercolor Serenity Wallpaper for Bedroom 601022 - Canvas paper</t>
        </is>
      </c>
      <c r="D578" s="39" t="inlineStr">
        <is>
          <t>Life n Colors</t>
        </is>
      </c>
      <c r="E578" s="43" t="n">
        <v>46126</v>
      </c>
      <c r="F578" s="26" t="inlineStr">
        <is>
          <t>Sunil CR</t>
        </is>
      </c>
      <c r="G578" s="26" t="inlineStr">
        <is>
          <t>Yes</t>
        </is>
      </c>
      <c r="H578" s="26" t="inlineStr">
        <is>
          <t>No</t>
        </is>
      </c>
      <c r="I578" s="26" t="inlineStr">
        <is>
          <t>Good finish</t>
        </is>
      </c>
      <c r="J578" s="26" t="inlineStr">
        <is>
          <t>Yes</t>
        </is>
      </c>
      <c r="K578" s="27" t="n"/>
      <c r="L578" s="28" t="inlineStr">
        <is>
          <t>No</t>
        </is>
      </c>
      <c r="M578" s="29">
        <f>IF(E578="","",IF(H578="Yes","❌ Disc",IF(G578="No","⚠ Missing",IF(J578="Yes","✓ OK","⚠ Check"))))</f>
        <v/>
      </c>
      <c r="N578" s="43" t="n">
        <v>46193</v>
      </c>
      <c r="O578" s="26" t="inlineStr">
        <is>
          <t>Sunil CR</t>
        </is>
      </c>
      <c r="P578" s="26" t="inlineStr">
        <is>
          <t>Yes</t>
        </is>
      </c>
      <c r="Q578" s="26" t="inlineStr">
        <is>
          <t>No</t>
        </is>
      </c>
      <c r="R578" s="26" t="inlineStr">
        <is>
          <t>Good finish</t>
        </is>
      </c>
      <c r="S578" s="26" t="inlineStr">
        <is>
          <t>Yes</t>
        </is>
      </c>
      <c r="T578" s="27" t="n"/>
      <c r="U578" s="28" t="inlineStr">
        <is>
          <t>No</t>
        </is>
      </c>
      <c r="V578" s="29">
        <f>IF(N578="","",IF(Q578="Yes","❌ Disc",IF(P578="No","⚠ Missing",IF(S578="Yes","✓ OK","⚠ Check"))))</f>
        <v/>
      </c>
      <c r="W578" s="65" t="n">
        <v>46248</v>
      </c>
      <c r="X578" s="30" t="inlineStr">
        <is>
          <t>Sunil CR</t>
        </is>
      </c>
      <c r="Y578" s="30" t="inlineStr">
        <is>
          <t>Yes</t>
        </is>
      </c>
      <c r="Z578" s="30" t="n"/>
      <c r="AA578" s="30" t="inlineStr">
        <is>
          <t>Good finish</t>
        </is>
      </c>
      <c r="AB578" s="30" t="inlineStr">
        <is>
          <t>Yes</t>
        </is>
      </c>
      <c r="AC578" s="27" t="n"/>
      <c r="AD578" s="31" t="inlineStr">
        <is>
          <t>No</t>
        </is>
      </c>
      <c r="AE578" s="32">
        <f>IF(W578="","",IF(Z578="Yes","❌ Disc",IF(Y578="No","⚠ Missing",IF(AB578="Yes","✓ OK","⚠ Check"))))</f>
        <v/>
      </c>
      <c r="AF578" s="33" t="n"/>
      <c r="AG578" s="33" t="n"/>
      <c r="AH578" s="33" t="n"/>
      <c r="AI578" s="33" t="n"/>
      <c r="AJ578" s="33" t="n"/>
      <c r="AK578" s="33" t="n"/>
      <c r="AL578" s="27" t="n"/>
      <c r="AM578" s="34" t="n"/>
      <c r="AN578" s="35">
        <f>IF(AF578="","",IF(AI578="Yes","❌ Disc",IF(AH578="No","⚠ Missing",IF(AK578="Yes","✓ OK","⚠ Check"))))</f>
        <v/>
      </c>
      <c r="AO578" s="36" t="n"/>
      <c r="AP578" s="36" t="n"/>
      <c r="AQ578" s="36" t="n"/>
      <c r="AR578" s="36" t="n"/>
      <c r="AS578" s="36" t="n"/>
      <c r="AT578" s="36" t="n"/>
      <c r="AU578" s="27" t="n"/>
      <c r="AV578" s="37" t="n"/>
      <c r="AW578" s="38">
        <f>IF(AO578="","",IF(AR578="Yes","❌ Disc",IF(AQ578="No","⚠ Missing",IF(AT578="Yes","✓ OK","⚠ Check"))))</f>
        <v/>
      </c>
    </row>
    <row r="579" ht="18" customHeight="1" s="46">
      <c r="A579" s="23" t="n">
        <v>575</v>
      </c>
      <c r="B579" s="24" t="inlineStr">
        <is>
          <t>WP LNCCN1126157</t>
        </is>
      </c>
      <c r="C579" s="25" t="inlineStr">
        <is>
          <t>Life n Colors - 3D Abstract Pattern Using Geometric Blocks for Walls  -  Canvas - a texture paper</t>
        </is>
      </c>
      <c r="D579" s="23" t="inlineStr">
        <is>
          <t>Life n Colors</t>
        </is>
      </c>
      <c r="E579" s="43" t="n">
        <v>46126</v>
      </c>
      <c r="F579" s="26" t="inlineStr">
        <is>
          <t>Sunil CR</t>
        </is>
      </c>
      <c r="G579" s="26" t="inlineStr">
        <is>
          <t>Yes</t>
        </is>
      </c>
      <c r="H579" s="26" t="inlineStr">
        <is>
          <t>No</t>
        </is>
      </c>
      <c r="I579" s="26" t="inlineStr">
        <is>
          <t>Good finish</t>
        </is>
      </c>
      <c r="J579" s="26" t="inlineStr">
        <is>
          <t>Yes</t>
        </is>
      </c>
      <c r="K579" s="27" t="n"/>
      <c r="L579" s="28" t="inlineStr">
        <is>
          <t>No</t>
        </is>
      </c>
      <c r="M579" s="29">
        <f>IF(E579="","",IF(H579="Yes","❌ Disc",IF(G579="No","⚠ Missing",IF(J579="Yes","✓ OK","⚠ Check"))))</f>
        <v/>
      </c>
      <c r="N579" s="43" t="n">
        <v>46193</v>
      </c>
      <c r="O579" s="26" t="inlineStr">
        <is>
          <t>Sunil CR</t>
        </is>
      </c>
      <c r="P579" s="26" t="inlineStr">
        <is>
          <t>Yes</t>
        </is>
      </c>
      <c r="Q579" s="26" t="inlineStr">
        <is>
          <t>No</t>
        </is>
      </c>
      <c r="R579" s="26" t="inlineStr">
        <is>
          <t>Good finish</t>
        </is>
      </c>
      <c r="S579" s="26" t="inlineStr">
        <is>
          <t>Yes</t>
        </is>
      </c>
      <c r="T579" s="27" t="n"/>
      <c r="U579" s="28" t="inlineStr">
        <is>
          <t>No</t>
        </is>
      </c>
      <c r="V579" s="29">
        <f>IF(N579="","",IF(Q579="Yes","❌ Disc",IF(P579="No","⚠ Missing",IF(S579="Yes","✓ OK","⚠ Check"))))</f>
        <v/>
      </c>
      <c r="W579" s="65" t="n">
        <v>46248</v>
      </c>
      <c r="X579" s="30" t="inlineStr">
        <is>
          <t>Sunil CR</t>
        </is>
      </c>
      <c r="Y579" s="30" t="inlineStr">
        <is>
          <t>Yes</t>
        </is>
      </c>
      <c r="Z579" s="30" t="n"/>
      <c r="AA579" s="30" t="inlineStr">
        <is>
          <t>Good finish</t>
        </is>
      </c>
      <c r="AB579" s="30" t="inlineStr">
        <is>
          <t>Yes</t>
        </is>
      </c>
      <c r="AC579" s="27" t="n"/>
      <c r="AD579" s="31" t="inlineStr">
        <is>
          <t>No</t>
        </is>
      </c>
      <c r="AE579" s="32">
        <f>IF(W579="","",IF(Z579="Yes","❌ Disc",IF(Y579="No","⚠ Missing",IF(AB579="Yes","✓ OK","⚠ Check"))))</f>
        <v/>
      </c>
      <c r="AF579" s="33" t="n"/>
      <c r="AG579" s="33" t="n"/>
      <c r="AH579" s="33" t="n"/>
      <c r="AI579" s="33" t="n"/>
      <c r="AJ579" s="33" t="n"/>
      <c r="AK579" s="33" t="n"/>
      <c r="AL579" s="27" t="n"/>
      <c r="AM579" s="34" t="n"/>
      <c r="AN579" s="35">
        <f>IF(AF579="","",IF(AI579="Yes","❌ Disc",IF(AH579="No","⚠ Missing",IF(AK579="Yes","✓ OK","⚠ Check"))))</f>
        <v/>
      </c>
      <c r="AO579" s="36" t="n"/>
      <c r="AP579" s="36" t="n"/>
      <c r="AQ579" s="36" t="n"/>
      <c r="AR579" s="36" t="n"/>
      <c r="AS579" s="36" t="n"/>
      <c r="AT579" s="36" t="n"/>
      <c r="AU579" s="27" t="n"/>
      <c r="AV579" s="37" t="n"/>
      <c r="AW579" s="38">
        <f>IF(AO579="","",IF(AR579="Yes","❌ Disc",IF(AQ579="No","⚠ Missing",IF(AT579="Yes","✓ OK","⚠ Check"))))</f>
        <v/>
      </c>
    </row>
    <row r="580" ht="18" customHeight="1" s="46">
      <c r="A580" s="39" t="n">
        <v>576</v>
      </c>
      <c r="B580" s="40" t="inlineStr">
        <is>
          <t>WP LNCSF1126157</t>
        </is>
      </c>
      <c r="C580" s="41" t="inlineStr">
        <is>
          <t>Life n Colors - 3D Abstract Pattern Using Geometric Blocks for Walls  - Non-woven - a soft feel paper</t>
        </is>
      </c>
      <c r="D580" s="39" t="inlineStr">
        <is>
          <t>Life n Colors</t>
        </is>
      </c>
      <c r="E580" s="43" t="n">
        <v>46126</v>
      </c>
      <c r="F580" s="26" t="inlineStr">
        <is>
          <t>Sunil CR</t>
        </is>
      </c>
      <c r="G580" s="26" t="inlineStr">
        <is>
          <t>Yes</t>
        </is>
      </c>
      <c r="H580" s="26" t="inlineStr">
        <is>
          <t>No</t>
        </is>
      </c>
      <c r="I580" s="26" t="inlineStr">
        <is>
          <t>Good finish</t>
        </is>
      </c>
      <c r="J580" s="26" t="inlineStr">
        <is>
          <t>Yes</t>
        </is>
      </c>
      <c r="K580" s="27" t="n"/>
      <c r="L580" s="28" t="inlineStr">
        <is>
          <t>No</t>
        </is>
      </c>
      <c r="M580" s="29">
        <f>IF(E580="","",IF(H580="Yes","❌ Disc",IF(G580="No","⚠ Missing",IF(J580="Yes","✓ OK","⚠ Check"))))</f>
        <v/>
      </c>
      <c r="N580" s="43" t="n">
        <v>46193</v>
      </c>
      <c r="O580" s="26" t="inlineStr">
        <is>
          <t>Sunil CR</t>
        </is>
      </c>
      <c r="P580" s="26" t="inlineStr">
        <is>
          <t>Yes</t>
        </is>
      </c>
      <c r="Q580" s="26" t="inlineStr">
        <is>
          <t>No</t>
        </is>
      </c>
      <c r="R580" s="26" t="inlineStr">
        <is>
          <t>Good finish</t>
        </is>
      </c>
      <c r="S580" s="26" t="inlineStr">
        <is>
          <t>Yes</t>
        </is>
      </c>
      <c r="T580" s="27" t="n"/>
      <c r="U580" s="28" t="inlineStr">
        <is>
          <t>No</t>
        </is>
      </c>
      <c r="V580" s="29">
        <f>IF(N580="","",IF(Q580="Yes","❌ Disc",IF(P580="No","⚠ Missing",IF(S580="Yes","✓ OK","⚠ Check"))))</f>
        <v/>
      </c>
      <c r="W580" s="65" t="n">
        <v>46248</v>
      </c>
      <c r="X580" s="30" t="inlineStr">
        <is>
          <t>Sunil CR</t>
        </is>
      </c>
      <c r="Y580" s="30" t="inlineStr">
        <is>
          <t>Yes</t>
        </is>
      </c>
      <c r="Z580" s="30" t="n"/>
      <c r="AA580" s="30" t="inlineStr">
        <is>
          <t>Good finish</t>
        </is>
      </c>
      <c r="AB580" s="30" t="inlineStr">
        <is>
          <t>Yes</t>
        </is>
      </c>
      <c r="AC580" s="27" t="n"/>
      <c r="AD580" s="31" t="inlineStr">
        <is>
          <t>No</t>
        </is>
      </c>
      <c r="AE580" s="32">
        <f>IF(W580="","",IF(Z580="Yes","❌ Disc",IF(Y580="No","⚠ Missing",IF(AB580="Yes","✓ OK","⚠ Check"))))</f>
        <v/>
      </c>
      <c r="AF580" s="33" t="n"/>
      <c r="AG580" s="33" t="n"/>
      <c r="AH580" s="33" t="n"/>
      <c r="AI580" s="33" t="n"/>
      <c r="AJ580" s="33" t="n"/>
      <c r="AK580" s="33" t="n"/>
      <c r="AL580" s="27" t="n"/>
      <c r="AM580" s="34" t="n"/>
      <c r="AN580" s="35">
        <f>IF(AF580="","",IF(AI580="Yes","❌ Disc",IF(AH580="No","⚠ Missing",IF(AK580="Yes","✓ OK","⚠ Check"))))</f>
        <v/>
      </c>
      <c r="AO580" s="36" t="n"/>
      <c r="AP580" s="36" t="n"/>
      <c r="AQ580" s="36" t="n"/>
      <c r="AR580" s="36" t="n"/>
      <c r="AS580" s="36" t="n"/>
      <c r="AT580" s="36" t="n"/>
      <c r="AU580" s="27" t="n"/>
      <c r="AV580" s="37" t="n"/>
      <c r="AW580" s="38">
        <f>IF(AO580="","",IF(AR580="Yes","❌ Disc",IF(AQ580="No","⚠ Missing",IF(AT580="Yes","✓ OK","⚠ Check"))))</f>
        <v/>
      </c>
    </row>
    <row r="581" ht="18" customHeight="1" s="46">
      <c r="A581" s="23" t="n">
        <v>577</v>
      </c>
      <c r="B581" s="24" t="inlineStr">
        <is>
          <t>WP LNCCN1046952</t>
        </is>
      </c>
      <c r="C581" s="25" t="inlineStr">
        <is>
          <t>Life n Colors - 3D Chevron Wallpaper, Pastel Blue, Customised  -  Canvas - a texture paper</t>
        </is>
      </c>
      <c r="D581" s="23" t="inlineStr">
        <is>
          <t>Life n Colors</t>
        </is>
      </c>
      <c r="E581" s="43" t="n">
        <v>46126</v>
      </c>
      <c r="F581" s="26" t="inlineStr">
        <is>
          <t>Sunil CR</t>
        </is>
      </c>
      <c r="G581" s="26" t="inlineStr">
        <is>
          <t>Yes</t>
        </is>
      </c>
      <c r="H581" s="26" t="inlineStr">
        <is>
          <t>No</t>
        </is>
      </c>
      <c r="I581" s="26" t="inlineStr">
        <is>
          <t>Good finish</t>
        </is>
      </c>
      <c r="J581" s="26" t="inlineStr">
        <is>
          <t>Yes</t>
        </is>
      </c>
      <c r="K581" s="27" t="n"/>
      <c r="L581" s="28" t="inlineStr">
        <is>
          <t>No</t>
        </is>
      </c>
      <c r="M581" s="29">
        <f>IF(E581="","",IF(H581="Yes","❌ Disc",IF(G581="No","⚠ Missing",IF(J581="Yes","✓ OK","⚠ Check"))))</f>
        <v/>
      </c>
      <c r="N581" s="43" t="n">
        <v>46193</v>
      </c>
      <c r="O581" s="26" t="inlineStr">
        <is>
          <t>Sunil CR</t>
        </is>
      </c>
      <c r="P581" s="26" t="inlineStr">
        <is>
          <t>Yes</t>
        </is>
      </c>
      <c r="Q581" s="26" t="inlineStr">
        <is>
          <t>No</t>
        </is>
      </c>
      <c r="R581" s="26" t="inlineStr">
        <is>
          <t>Good finish</t>
        </is>
      </c>
      <c r="S581" s="26" t="inlineStr">
        <is>
          <t>Yes</t>
        </is>
      </c>
      <c r="T581" s="27" t="n"/>
      <c r="U581" s="28" t="inlineStr">
        <is>
          <t>No</t>
        </is>
      </c>
      <c r="V581" s="29">
        <f>IF(N581="","",IF(Q581="Yes","❌ Disc",IF(P581="No","⚠ Missing",IF(S581="Yes","✓ OK","⚠ Check"))))</f>
        <v/>
      </c>
      <c r="W581" s="65" t="n">
        <v>46248</v>
      </c>
      <c r="X581" s="30" t="inlineStr">
        <is>
          <t>Sunil CR</t>
        </is>
      </c>
      <c r="Y581" s="30" t="inlineStr">
        <is>
          <t>Yes</t>
        </is>
      </c>
      <c r="Z581" s="30" t="n"/>
      <c r="AA581" s="30" t="inlineStr">
        <is>
          <t>Good finish</t>
        </is>
      </c>
      <c r="AB581" s="30" t="inlineStr">
        <is>
          <t>Yes</t>
        </is>
      </c>
      <c r="AC581" s="27" t="n"/>
      <c r="AD581" s="31" t="inlineStr">
        <is>
          <t>No</t>
        </is>
      </c>
      <c r="AE581" s="32">
        <f>IF(W581="","",IF(Z581="Yes","❌ Disc",IF(Y581="No","⚠ Missing",IF(AB581="Yes","✓ OK","⚠ Check"))))</f>
        <v/>
      </c>
      <c r="AF581" s="33" t="n"/>
      <c r="AG581" s="33" t="n"/>
      <c r="AH581" s="33" t="n"/>
      <c r="AI581" s="33" t="n"/>
      <c r="AJ581" s="33" t="n"/>
      <c r="AK581" s="33" t="n"/>
      <c r="AL581" s="27" t="n"/>
      <c r="AM581" s="34" t="n"/>
      <c r="AN581" s="35">
        <f>IF(AF581="","",IF(AI581="Yes","❌ Disc",IF(AH581="No","⚠ Missing",IF(AK581="Yes","✓ OK","⚠ Check"))))</f>
        <v/>
      </c>
      <c r="AO581" s="36" t="n"/>
      <c r="AP581" s="36" t="n"/>
      <c r="AQ581" s="36" t="n"/>
      <c r="AR581" s="36" t="n"/>
      <c r="AS581" s="36" t="n"/>
      <c r="AT581" s="36" t="n"/>
      <c r="AU581" s="27" t="n"/>
      <c r="AV581" s="37" t="n"/>
      <c r="AW581" s="38">
        <f>IF(AO581="","",IF(AR581="Yes","❌ Disc",IF(AQ581="No","⚠ Missing",IF(AT581="Yes","✓ OK","⚠ Check"))))</f>
        <v/>
      </c>
    </row>
    <row r="582" ht="18" customHeight="1" s="46">
      <c r="A582" s="39" t="n">
        <v>578</v>
      </c>
      <c r="B582" s="40" t="inlineStr">
        <is>
          <t>WP LNCSF1046952</t>
        </is>
      </c>
      <c r="C582" s="41" t="inlineStr">
        <is>
          <t>Life n Colors - 3D Chevron Wallpaper, Pastel Blue, Customised  - Non-woven - a soft feel paper</t>
        </is>
      </c>
      <c r="D582" s="39" t="inlineStr">
        <is>
          <t>Life n Colors</t>
        </is>
      </c>
      <c r="E582" s="43" t="n">
        <v>46126</v>
      </c>
      <c r="F582" s="26" t="inlineStr">
        <is>
          <t>Sunil CR</t>
        </is>
      </c>
      <c r="G582" s="26" t="inlineStr">
        <is>
          <t>Yes</t>
        </is>
      </c>
      <c r="H582" s="26" t="inlineStr">
        <is>
          <t>No</t>
        </is>
      </c>
      <c r="I582" s="26" t="inlineStr">
        <is>
          <t>Good finish</t>
        </is>
      </c>
      <c r="J582" s="26" t="inlineStr">
        <is>
          <t>Yes</t>
        </is>
      </c>
      <c r="K582" s="27" t="n"/>
      <c r="L582" s="28" t="inlineStr">
        <is>
          <t>No</t>
        </is>
      </c>
      <c r="M582" s="29">
        <f>IF(E582="","",IF(H582="Yes","❌ Disc",IF(G582="No","⚠ Missing",IF(J582="Yes","✓ OK","⚠ Check"))))</f>
        <v/>
      </c>
      <c r="N582" s="43" t="n">
        <v>46193</v>
      </c>
      <c r="O582" s="26" t="inlineStr">
        <is>
          <t>Sunil CR</t>
        </is>
      </c>
      <c r="P582" s="26" t="inlineStr">
        <is>
          <t>Yes</t>
        </is>
      </c>
      <c r="Q582" s="26" t="inlineStr">
        <is>
          <t>No</t>
        </is>
      </c>
      <c r="R582" s="26" t="inlineStr">
        <is>
          <t>Good finish</t>
        </is>
      </c>
      <c r="S582" s="26" t="inlineStr">
        <is>
          <t>Yes</t>
        </is>
      </c>
      <c r="T582" s="27" t="n"/>
      <c r="U582" s="28" t="inlineStr">
        <is>
          <t>No</t>
        </is>
      </c>
      <c r="V582" s="29">
        <f>IF(N582="","",IF(Q582="Yes","❌ Disc",IF(P582="No","⚠ Missing",IF(S582="Yes","✓ OK","⚠ Check"))))</f>
        <v/>
      </c>
      <c r="W582" s="65" t="n">
        <v>46248</v>
      </c>
      <c r="X582" s="30" t="inlineStr">
        <is>
          <t>Sunil CR</t>
        </is>
      </c>
      <c r="Y582" s="30" t="inlineStr">
        <is>
          <t>Yes</t>
        </is>
      </c>
      <c r="Z582" s="30" t="n"/>
      <c r="AA582" s="30" t="inlineStr">
        <is>
          <t>Good finish</t>
        </is>
      </c>
      <c r="AB582" s="30" t="inlineStr">
        <is>
          <t>Yes</t>
        </is>
      </c>
      <c r="AC582" s="27" t="n"/>
      <c r="AD582" s="31" t="inlineStr">
        <is>
          <t>No</t>
        </is>
      </c>
      <c r="AE582" s="32">
        <f>IF(W582="","",IF(Z582="Yes","❌ Disc",IF(Y582="No","⚠ Missing",IF(AB582="Yes","✓ OK","⚠ Check"))))</f>
        <v/>
      </c>
      <c r="AF582" s="33" t="n"/>
      <c r="AG582" s="33" t="n"/>
      <c r="AH582" s="33" t="n"/>
      <c r="AI582" s="33" t="n"/>
      <c r="AJ582" s="33" t="n"/>
      <c r="AK582" s="33" t="n"/>
      <c r="AL582" s="27" t="n"/>
      <c r="AM582" s="34" t="n"/>
      <c r="AN582" s="35">
        <f>IF(AF582="","",IF(AI582="Yes","❌ Disc",IF(AH582="No","⚠ Missing",IF(AK582="Yes","✓ OK","⚠ Check"))))</f>
        <v/>
      </c>
      <c r="AO582" s="36" t="n"/>
      <c r="AP582" s="36" t="n"/>
      <c r="AQ582" s="36" t="n"/>
      <c r="AR582" s="36" t="n"/>
      <c r="AS582" s="36" t="n"/>
      <c r="AT582" s="36" t="n"/>
      <c r="AU582" s="27" t="n"/>
      <c r="AV582" s="37" t="n"/>
      <c r="AW582" s="38">
        <f>IF(AO582="","",IF(AR582="Yes","❌ Disc",IF(AQ582="No","⚠ Missing",IF(AT582="Yes","✓ OK","⚠ Check"))))</f>
        <v/>
      </c>
    </row>
    <row r="583" ht="18" customHeight="1" s="46">
      <c r="A583" s="23" t="n">
        <v>579</v>
      </c>
      <c r="B583" s="24" t="inlineStr">
        <is>
          <t>WP LNCCN1045184</t>
        </is>
      </c>
      <c r="C583" s="25" t="inlineStr">
        <is>
          <t>Life n Colors - 3D Chevron Wallpaper, Pastel Pink, Customised  -  Canvas - a texture paper</t>
        </is>
      </c>
      <c r="D583" s="23" t="inlineStr">
        <is>
          <t>Life n Colors</t>
        </is>
      </c>
      <c r="E583" s="43" t="n">
        <v>46126</v>
      </c>
      <c r="F583" s="26" t="inlineStr">
        <is>
          <t>Sunil CR</t>
        </is>
      </c>
      <c r="G583" s="26" t="inlineStr">
        <is>
          <t>Yes</t>
        </is>
      </c>
      <c r="H583" s="26" t="inlineStr">
        <is>
          <t>No</t>
        </is>
      </c>
      <c r="I583" s="26" t="inlineStr">
        <is>
          <t>Good finish</t>
        </is>
      </c>
      <c r="J583" s="26" t="inlineStr">
        <is>
          <t>Yes</t>
        </is>
      </c>
      <c r="K583" s="27" t="n"/>
      <c r="L583" s="28" t="inlineStr">
        <is>
          <t>No</t>
        </is>
      </c>
      <c r="M583" s="29">
        <f>IF(E583="","",IF(H583="Yes","❌ Disc",IF(G583="No","⚠ Missing",IF(J583="Yes","✓ OK","⚠ Check"))))</f>
        <v/>
      </c>
      <c r="N583" s="43" t="n">
        <v>46193</v>
      </c>
      <c r="O583" s="26" t="inlineStr">
        <is>
          <t>Sunil CR</t>
        </is>
      </c>
      <c r="P583" s="26" t="inlineStr">
        <is>
          <t>Yes</t>
        </is>
      </c>
      <c r="Q583" s="26" t="inlineStr">
        <is>
          <t>No</t>
        </is>
      </c>
      <c r="R583" s="26" t="inlineStr">
        <is>
          <t>Good finish</t>
        </is>
      </c>
      <c r="S583" s="26" t="inlineStr">
        <is>
          <t>Yes</t>
        </is>
      </c>
      <c r="T583" s="27" t="n"/>
      <c r="U583" s="28" t="inlineStr">
        <is>
          <t>No</t>
        </is>
      </c>
      <c r="V583" s="29">
        <f>IF(N583="","",IF(Q583="Yes","❌ Disc",IF(P583="No","⚠ Missing",IF(S583="Yes","✓ OK","⚠ Check"))))</f>
        <v/>
      </c>
      <c r="W583" s="65" t="n">
        <v>46248</v>
      </c>
      <c r="X583" s="30" t="inlineStr">
        <is>
          <t>Sunil CR</t>
        </is>
      </c>
      <c r="Y583" s="30" t="inlineStr">
        <is>
          <t>Yes</t>
        </is>
      </c>
      <c r="Z583" s="30" t="n"/>
      <c r="AA583" s="30" t="inlineStr">
        <is>
          <t>Good finish</t>
        </is>
      </c>
      <c r="AB583" s="30" t="inlineStr">
        <is>
          <t>Yes</t>
        </is>
      </c>
      <c r="AC583" s="27" t="n"/>
      <c r="AD583" s="31" t="inlineStr">
        <is>
          <t>No</t>
        </is>
      </c>
      <c r="AE583" s="32">
        <f>IF(W583="","",IF(Z583="Yes","❌ Disc",IF(Y583="No","⚠ Missing",IF(AB583="Yes","✓ OK","⚠ Check"))))</f>
        <v/>
      </c>
      <c r="AF583" s="33" t="n"/>
      <c r="AG583" s="33" t="n"/>
      <c r="AH583" s="33" t="n"/>
      <c r="AI583" s="33" t="n"/>
      <c r="AJ583" s="33" t="n"/>
      <c r="AK583" s="33" t="n"/>
      <c r="AL583" s="27" t="n"/>
      <c r="AM583" s="34" t="n"/>
      <c r="AN583" s="35">
        <f>IF(AF583="","",IF(AI583="Yes","❌ Disc",IF(AH583="No","⚠ Missing",IF(AK583="Yes","✓ OK","⚠ Check"))))</f>
        <v/>
      </c>
      <c r="AO583" s="36" t="n"/>
      <c r="AP583" s="36" t="n"/>
      <c r="AQ583" s="36" t="n"/>
      <c r="AR583" s="36" t="n"/>
      <c r="AS583" s="36" t="n"/>
      <c r="AT583" s="36" t="n"/>
      <c r="AU583" s="27" t="n"/>
      <c r="AV583" s="37" t="n"/>
      <c r="AW583" s="38">
        <f>IF(AO583="","",IF(AR583="Yes","❌ Disc",IF(AQ583="No","⚠ Missing",IF(AT583="Yes","✓ OK","⚠ Check"))))</f>
        <v/>
      </c>
    </row>
    <row r="584" ht="18" customHeight="1" s="46">
      <c r="A584" s="39" t="n">
        <v>580</v>
      </c>
      <c r="B584" s="40" t="inlineStr">
        <is>
          <t>WP LNCSF1045184</t>
        </is>
      </c>
      <c r="C584" s="41" t="inlineStr">
        <is>
          <t>Life n Colors - 3D Chevron Wallpaper, Pastel Pink, Customised  - Non-woven - a soft feel paper</t>
        </is>
      </c>
      <c r="D584" s="39" t="inlineStr">
        <is>
          <t>Life n Colors</t>
        </is>
      </c>
      <c r="E584" s="43" t="n">
        <v>46126</v>
      </c>
      <c r="F584" s="26" t="inlineStr">
        <is>
          <t>Sunil CR</t>
        </is>
      </c>
      <c r="G584" s="26" t="inlineStr">
        <is>
          <t>Yes</t>
        </is>
      </c>
      <c r="H584" s="26" t="inlineStr">
        <is>
          <t>No</t>
        </is>
      </c>
      <c r="I584" s="26" t="inlineStr">
        <is>
          <t>Good finish</t>
        </is>
      </c>
      <c r="J584" s="26" t="inlineStr">
        <is>
          <t>Yes</t>
        </is>
      </c>
      <c r="K584" s="27" t="n"/>
      <c r="L584" s="28" t="inlineStr">
        <is>
          <t>No</t>
        </is>
      </c>
      <c r="M584" s="29">
        <f>IF(E584="","",IF(H584="Yes","❌ Disc",IF(G584="No","⚠ Missing",IF(J584="Yes","✓ OK","⚠ Check"))))</f>
        <v/>
      </c>
      <c r="N584" s="43" t="n">
        <v>46193</v>
      </c>
      <c r="O584" s="26" t="inlineStr">
        <is>
          <t>Sunil CR</t>
        </is>
      </c>
      <c r="P584" s="26" t="inlineStr">
        <is>
          <t>Yes</t>
        </is>
      </c>
      <c r="Q584" s="26" t="inlineStr">
        <is>
          <t>No</t>
        </is>
      </c>
      <c r="R584" s="26" t="inlineStr">
        <is>
          <t>Good finish</t>
        </is>
      </c>
      <c r="S584" s="26" t="inlineStr">
        <is>
          <t>Yes</t>
        </is>
      </c>
      <c r="T584" s="27" t="n"/>
      <c r="U584" s="28" t="inlineStr">
        <is>
          <t>No</t>
        </is>
      </c>
      <c r="V584" s="29">
        <f>IF(N584="","",IF(Q584="Yes","❌ Disc",IF(P584="No","⚠ Missing",IF(S584="Yes","✓ OK","⚠ Check"))))</f>
        <v/>
      </c>
      <c r="W584" s="65" t="n">
        <v>46248</v>
      </c>
      <c r="X584" s="30" t="inlineStr">
        <is>
          <t>Sunil CR</t>
        </is>
      </c>
      <c r="Y584" s="30" t="inlineStr">
        <is>
          <t>Yes</t>
        </is>
      </c>
      <c r="Z584" s="30" t="n"/>
      <c r="AA584" s="30" t="inlineStr">
        <is>
          <t>Good finish</t>
        </is>
      </c>
      <c r="AB584" s="30" t="inlineStr">
        <is>
          <t>Yes</t>
        </is>
      </c>
      <c r="AC584" s="27" t="n"/>
      <c r="AD584" s="31" t="inlineStr">
        <is>
          <t>No</t>
        </is>
      </c>
      <c r="AE584" s="32">
        <f>IF(W584="","",IF(Z584="Yes","❌ Disc",IF(Y584="No","⚠ Missing",IF(AB584="Yes","✓ OK","⚠ Check"))))</f>
        <v/>
      </c>
      <c r="AF584" s="33" t="n"/>
      <c r="AG584" s="33" t="n"/>
      <c r="AH584" s="33" t="n"/>
      <c r="AI584" s="33" t="n"/>
      <c r="AJ584" s="33" t="n"/>
      <c r="AK584" s="33" t="n"/>
      <c r="AL584" s="27" t="n"/>
      <c r="AM584" s="34" t="n"/>
      <c r="AN584" s="35">
        <f>IF(AF584="","",IF(AI584="Yes","❌ Disc",IF(AH584="No","⚠ Missing",IF(AK584="Yes","✓ OK","⚠ Check"))))</f>
        <v/>
      </c>
      <c r="AO584" s="36" t="n"/>
      <c r="AP584" s="36" t="n"/>
      <c r="AQ584" s="36" t="n"/>
      <c r="AR584" s="36" t="n"/>
      <c r="AS584" s="36" t="n"/>
      <c r="AT584" s="36" t="n"/>
      <c r="AU584" s="27" t="n"/>
      <c r="AV584" s="37" t="n"/>
      <c r="AW584" s="38">
        <f>IF(AO584="","",IF(AR584="Yes","❌ Disc",IF(AQ584="No","⚠ Missing",IF(AT584="Yes","✓ OK","⚠ Check"))))</f>
        <v/>
      </c>
    </row>
    <row r="585" ht="18" customHeight="1" s="46">
      <c r="A585" s="23" t="n">
        <v>581</v>
      </c>
      <c r="B585" s="24" t="inlineStr">
        <is>
          <t>WP LNCCN1007601</t>
        </is>
      </c>
      <c r="C585" s="25" t="inlineStr">
        <is>
          <t>Life n Colors - 3D Exposed Red Brick Look Wallpapers  -  Canvas - a texture paper</t>
        </is>
      </c>
      <c r="D585" s="23" t="inlineStr">
        <is>
          <t>Life n Colors</t>
        </is>
      </c>
      <c r="E585" s="43" t="n">
        <v>46126</v>
      </c>
      <c r="F585" s="26" t="inlineStr">
        <is>
          <t>Sunil CR</t>
        </is>
      </c>
      <c r="G585" s="26" t="inlineStr">
        <is>
          <t>Yes</t>
        </is>
      </c>
      <c r="H585" s="26" t="inlineStr">
        <is>
          <t>No</t>
        </is>
      </c>
      <c r="I585" s="26" t="inlineStr">
        <is>
          <t>Good finish</t>
        </is>
      </c>
      <c r="J585" s="26" t="inlineStr">
        <is>
          <t>Yes</t>
        </is>
      </c>
      <c r="K585" s="27" t="n"/>
      <c r="L585" s="28" t="inlineStr">
        <is>
          <t>No</t>
        </is>
      </c>
      <c r="M585" s="29">
        <f>IF(E585="","",IF(H585="Yes","❌ Disc",IF(G585="No","⚠ Missing",IF(J585="Yes","✓ OK","⚠ Check"))))</f>
        <v/>
      </c>
      <c r="N585" s="43" t="n">
        <v>46193</v>
      </c>
      <c r="O585" s="26" t="inlineStr">
        <is>
          <t>Sunil CR</t>
        </is>
      </c>
      <c r="P585" s="26" t="inlineStr">
        <is>
          <t>Yes</t>
        </is>
      </c>
      <c r="Q585" s="26" t="inlineStr">
        <is>
          <t>No</t>
        </is>
      </c>
      <c r="R585" s="26" t="inlineStr">
        <is>
          <t>Good finish</t>
        </is>
      </c>
      <c r="S585" s="26" t="inlineStr">
        <is>
          <t>Yes</t>
        </is>
      </c>
      <c r="T585" s="27" t="n"/>
      <c r="U585" s="28" t="inlineStr">
        <is>
          <t>No</t>
        </is>
      </c>
      <c r="V585" s="29">
        <f>IF(N585="","",IF(Q585="Yes","❌ Disc",IF(P585="No","⚠ Missing",IF(S585="Yes","✓ OK","⚠ Check"))))</f>
        <v/>
      </c>
      <c r="W585" s="65" t="n">
        <v>46248</v>
      </c>
      <c r="X585" s="30" t="inlineStr">
        <is>
          <t>Sunil CR</t>
        </is>
      </c>
      <c r="Y585" s="30" t="inlineStr">
        <is>
          <t>Yes</t>
        </is>
      </c>
      <c r="Z585" s="30" t="n"/>
      <c r="AA585" s="30" t="inlineStr">
        <is>
          <t>Good finish</t>
        </is>
      </c>
      <c r="AB585" s="30" t="inlineStr">
        <is>
          <t>Yes</t>
        </is>
      </c>
      <c r="AC585" s="27" t="n"/>
      <c r="AD585" s="31" t="inlineStr">
        <is>
          <t>No</t>
        </is>
      </c>
      <c r="AE585" s="32">
        <f>IF(W585="","",IF(Z585="Yes","❌ Disc",IF(Y585="No","⚠ Missing",IF(AB585="Yes","✓ OK","⚠ Check"))))</f>
        <v/>
      </c>
      <c r="AF585" s="33" t="n"/>
      <c r="AG585" s="33" t="n"/>
      <c r="AH585" s="33" t="n"/>
      <c r="AI585" s="33" t="n"/>
      <c r="AJ585" s="33" t="n"/>
      <c r="AK585" s="33" t="n"/>
      <c r="AL585" s="27" t="n"/>
      <c r="AM585" s="34" t="n"/>
      <c r="AN585" s="35">
        <f>IF(AF585="","",IF(AI585="Yes","❌ Disc",IF(AH585="No","⚠ Missing",IF(AK585="Yes","✓ OK","⚠ Check"))))</f>
        <v/>
      </c>
      <c r="AO585" s="36" t="n"/>
      <c r="AP585" s="36" t="n"/>
      <c r="AQ585" s="36" t="n"/>
      <c r="AR585" s="36" t="n"/>
      <c r="AS585" s="36" t="n"/>
      <c r="AT585" s="36" t="n"/>
      <c r="AU585" s="27" t="n"/>
      <c r="AV585" s="37" t="n"/>
      <c r="AW585" s="38">
        <f>IF(AO585="","",IF(AR585="Yes","❌ Disc",IF(AQ585="No","⚠ Missing",IF(AT585="Yes","✓ OK","⚠ Check"))))</f>
        <v/>
      </c>
    </row>
    <row r="586" ht="18" customHeight="1" s="46">
      <c r="A586" s="39" t="n">
        <v>582</v>
      </c>
      <c r="B586" s="40" t="inlineStr">
        <is>
          <t>WP LNCSF1007601</t>
        </is>
      </c>
      <c r="C586" s="41" t="inlineStr">
        <is>
          <t>Life n Colors - 3D Exposed Red Brick Look Wallpapers  - Non-woven - a soft feel paper</t>
        </is>
      </c>
      <c r="D586" s="39" t="inlineStr">
        <is>
          <t>Life n Colors</t>
        </is>
      </c>
      <c r="E586" s="43" t="n">
        <v>46126</v>
      </c>
      <c r="F586" s="26" t="inlineStr">
        <is>
          <t>Sunil CR</t>
        </is>
      </c>
      <c r="G586" s="26" t="inlineStr">
        <is>
          <t>Yes</t>
        </is>
      </c>
      <c r="H586" s="26" t="inlineStr">
        <is>
          <t>No</t>
        </is>
      </c>
      <c r="I586" s="26" t="inlineStr">
        <is>
          <t>Good finish</t>
        </is>
      </c>
      <c r="J586" s="26" t="inlineStr">
        <is>
          <t>Yes</t>
        </is>
      </c>
      <c r="K586" s="27" t="n"/>
      <c r="L586" s="28" t="inlineStr">
        <is>
          <t>No</t>
        </is>
      </c>
      <c r="M586" s="29">
        <f>IF(E586="","",IF(H586="Yes","❌ Disc",IF(G586="No","⚠ Missing",IF(J586="Yes","✓ OK","⚠ Check"))))</f>
        <v/>
      </c>
      <c r="N586" s="43" t="n">
        <v>46193</v>
      </c>
      <c r="O586" s="26" t="inlineStr">
        <is>
          <t>Sunil CR</t>
        </is>
      </c>
      <c r="P586" s="26" t="inlineStr">
        <is>
          <t>Yes</t>
        </is>
      </c>
      <c r="Q586" s="26" t="inlineStr">
        <is>
          <t>No</t>
        </is>
      </c>
      <c r="R586" s="26" t="inlineStr">
        <is>
          <t>Good finish</t>
        </is>
      </c>
      <c r="S586" s="26" t="inlineStr">
        <is>
          <t>Yes</t>
        </is>
      </c>
      <c r="T586" s="27" t="n"/>
      <c r="U586" s="28" t="inlineStr">
        <is>
          <t>No</t>
        </is>
      </c>
      <c r="V586" s="29">
        <f>IF(N586="","",IF(Q586="Yes","❌ Disc",IF(P586="No","⚠ Missing",IF(S586="Yes","✓ OK","⚠ Check"))))</f>
        <v/>
      </c>
      <c r="W586" s="65" t="n">
        <v>46248</v>
      </c>
      <c r="X586" s="30" t="inlineStr">
        <is>
          <t>Sunil CR</t>
        </is>
      </c>
      <c r="Y586" s="30" t="inlineStr">
        <is>
          <t>Yes</t>
        </is>
      </c>
      <c r="Z586" s="30" t="n"/>
      <c r="AA586" s="30" t="inlineStr">
        <is>
          <t>Good finish</t>
        </is>
      </c>
      <c r="AB586" s="30" t="inlineStr">
        <is>
          <t>Yes</t>
        </is>
      </c>
      <c r="AC586" s="27" t="n"/>
      <c r="AD586" s="31" t="inlineStr">
        <is>
          <t>No</t>
        </is>
      </c>
      <c r="AE586" s="32">
        <f>IF(W586="","",IF(Z586="Yes","❌ Disc",IF(Y586="No","⚠ Missing",IF(AB586="Yes","✓ OK","⚠ Check"))))</f>
        <v/>
      </c>
      <c r="AF586" s="33" t="n"/>
      <c r="AG586" s="33" t="n"/>
      <c r="AH586" s="33" t="n"/>
      <c r="AI586" s="33" t="n"/>
      <c r="AJ586" s="33" t="n"/>
      <c r="AK586" s="33" t="n"/>
      <c r="AL586" s="27" t="n"/>
      <c r="AM586" s="34" t="n"/>
      <c r="AN586" s="35">
        <f>IF(AF586="","",IF(AI586="Yes","❌ Disc",IF(AH586="No","⚠ Missing",IF(AK586="Yes","✓ OK","⚠ Check"))))</f>
        <v/>
      </c>
      <c r="AO586" s="36" t="n"/>
      <c r="AP586" s="36" t="n"/>
      <c r="AQ586" s="36" t="n"/>
      <c r="AR586" s="36" t="n"/>
      <c r="AS586" s="36" t="n"/>
      <c r="AT586" s="36" t="n"/>
      <c r="AU586" s="27" t="n"/>
      <c r="AV586" s="37" t="n"/>
      <c r="AW586" s="38">
        <f>IF(AO586="","",IF(AR586="Yes","❌ Disc",IF(AQ586="No","⚠ Missing",IF(AT586="Yes","✓ OK","⚠ Check"))))</f>
        <v/>
      </c>
    </row>
    <row r="587" ht="18" customHeight="1" s="46">
      <c r="A587" s="23" t="n">
        <v>583</v>
      </c>
      <c r="B587" s="24" t="inlineStr">
        <is>
          <t>WP LNCCN1023339</t>
        </is>
      </c>
      <c r="C587" s="25" t="inlineStr">
        <is>
          <t>Life n Colors - 3D Green and Golden Geometric Panels Wallpaper  -  Canvas - a texture paper</t>
        </is>
      </c>
      <c r="D587" s="23" t="inlineStr">
        <is>
          <t>Life n Colors</t>
        </is>
      </c>
      <c r="E587" s="43" t="n">
        <v>46126</v>
      </c>
      <c r="F587" s="26" t="inlineStr">
        <is>
          <t>Sunil CR</t>
        </is>
      </c>
      <c r="G587" s="26" t="inlineStr">
        <is>
          <t>Yes</t>
        </is>
      </c>
      <c r="H587" s="26" t="inlineStr">
        <is>
          <t>No</t>
        </is>
      </c>
      <c r="I587" s="26" t="inlineStr">
        <is>
          <t>Good finish</t>
        </is>
      </c>
      <c r="J587" s="26" t="inlineStr">
        <is>
          <t>Yes</t>
        </is>
      </c>
      <c r="K587" s="27" t="n"/>
      <c r="L587" s="28" t="inlineStr">
        <is>
          <t>No</t>
        </is>
      </c>
      <c r="M587" s="29">
        <f>IF(E587="","",IF(H587="Yes","❌ Disc",IF(G587="No","⚠ Missing",IF(J587="Yes","✓ OK","⚠ Check"))))</f>
        <v/>
      </c>
      <c r="N587" s="43" t="n">
        <v>46193</v>
      </c>
      <c r="O587" s="26" t="inlineStr">
        <is>
          <t>Sunil CR</t>
        </is>
      </c>
      <c r="P587" s="26" t="inlineStr">
        <is>
          <t>Yes</t>
        </is>
      </c>
      <c r="Q587" s="26" t="inlineStr">
        <is>
          <t>No</t>
        </is>
      </c>
      <c r="R587" s="26" t="inlineStr">
        <is>
          <t>Good finish</t>
        </is>
      </c>
      <c r="S587" s="26" t="inlineStr">
        <is>
          <t>Yes</t>
        </is>
      </c>
      <c r="T587" s="27" t="n"/>
      <c r="U587" s="28" t="inlineStr">
        <is>
          <t>No</t>
        </is>
      </c>
      <c r="V587" s="29">
        <f>IF(N587="","",IF(Q587="Yes","❌ Disc",IF(P587="No","⚠ Missing",IF(S587="Yes","✓ OK","⚠ Check"))))</f>
        <v/>
      </c>
      <c r="W587" s="65" t="n">
        <v>46248</v>
      </c>
      <c r="X587" s="30" t="inlineStr">
        <is>
          <t>Sunil CR</t>
        </is>
      </c>
      <c r="Y587" s="30" t="inlineStr">
        <is>
          <t>Yes</t>
        </is>
      </c>
      <c r="Z587" s="30" t="n"/>
      <c r="AA587" s="30" t="inlineStr">
        <is>
          <t>Good finish</t>
        </is>
      </c>
      <c r="AB587" s="30" t="inlineStr">
        <is>
          <t>Yes</t>
        </is>
      </c>
      <c r="AC587" s="27" t="n"/>
      <c r="AD587" s="31" t="inlineStr">
        <is>
          <t>No</t>
        </is>
      </c>
      <c r="AE587" s="32">
        <f>IF(W587="","",IF(Z587="Yes","❌ Disc",IF(Y587="No","⚠ Missing",IF(AB587="Yes","✓ OK","⚠ Check"))))</f>
        <v/>
      </c>
      <c r="AF587" s="33" t="n"/>
      <c r="AG587" s="33" t="n"/>
      <c r="AH587" s="33" t="n"/>
      <c r="AI587" s="33" t="n"/>
      <c r="AJ587" s="33" t="n"/>
      <c r="AK587" s="33" t="n"/>
      <c r="AL587" s="27" t="n"/>
      <c r="AM587" s="34" t="n"/>
      <c r="AN587" s="35">
        <f>IF(AF587="","",IF(AI587="Yes","❌ Disc",IF(AH587="No","⚠ Missing",IF(AK587="Yes","✓ OK","⚠ Check"))))</f>
        <v/>
      </c>
      <c r="AO587" s="36" t="n"/>
      <c r="AP587" s="36" t="n"/>
      <c r="AQ587" s="36" t="n"/>
      <c r="AR587" s="36" t="n"/>
      <c r="AS587" s="36" t="n"/>
      <c r="AT587" s="36" t="n"/>
      <c r="AU587" s="27" t="n"/>
      <c r="AV587" s="37" t="n"/>
      <c r="AW587" s="38">
        <f>IF(AO587="","",IF(AR587="Yes","❌ Disc",IF(AQ587="No","⚠ Missing",IF(AT587="Yes","✓ OK","⚠ Check"))))</f>
        <v/>
      </c>
    </row>
    <row r="588" ht="18" customHeight="1" s="46">
      <c r="A588" s="39" t="n">
        <v>584</v>
      </c>
      <c r="B588" s="40" t="inlineStr">
        <is>
          <t>WP LNCSF1023339</t>
        </is>
      </c>
      <c r="C588" s="41" t="inlineStr">
        <is>
          <t>Life n Colors - 3D Green and Golden Geometric Panels Wallpaper  - Non-woven - a soft feel paper</t>
        </is>
      </c>
      <c r="D588" s="39" t="inlineStr">
        <is>
          <t>Life n Colors</t>
        </is>
      </c>
      <c r="E588" s="43" t="n">
        <v>46126</v>
      </c>
      <c r="F588" s="26" t="inlineStr">
        <is>
          <t>Sunil CR</t>
        </is>
      </c>
      <c r="G588" s="26" t="inlineStr">
        <is>
          <t>Yes</t>
        </is>
      </c>
      <c r="H588" s="26" t="inlineStr">
        <is>
          <t>No</t>
        </is>
      </c>
      <c r="I588" s="26" t="inlineStr">
        <is>
          <t>Good finish</t>
        </is>
      </c>
      <c r="J588" s="26" t="inlineStr">
        <is>
          <t>Yes</t>
        </is>
      </c>
      <c r="K588" s="27" t="n"/>
      <c r="L588" s="28" t="inlineStr">
        <is>
          <t>No</t>
        </is>
      </c>
      <c r="M588" s="29">
        <f>IF(E588="","",IF(H588="Yes","❌ Disc",IF(G588="No","⚠ Missing",IF(J588="Yes","✓ OK","⚠ Check"))))</f>
        <v/>
      </c>
      <c r="N588" s="43" t="n">
        <v>46193</v>
      </c>
      <c r="O588" s="26" t="inlineStr">
        <is>
          <t>Sunil CR</t>
        </is>
      </c>
      <c r="P588" s="26" t="inlineStr">
        <is>
          <t>Yes</t>
        </is>
      </c>
      <c r="Q588" s="26" t="inlineStr">
        <is>
          <t>No</t>
        </is>
      </c>
      <c r="R588" s="26" t="inlineStr">
        <is>
          <t>Good finish</t>
        </is>
      </c>
      <c r="S588" s="26" t="inlineStr">
        <is>
          <t>Yes</t>
        </is>
      </c>
      <c r="T588" s="27" t="n"/>
      <c r="U588" s="28" t="inlineStr">
        <is>
          <t>No</t>
        </is>
      </c>
      <c r="V588" s="29">
        <f>IF(N588="","",IF(Q588="Yes","❌ Disc",IF(P588="No","⚠ Missing",IF(S588="Yes","✓ OK","⚠ Check"))))</f>
        <v/>
      </c>
      <c r="W588" s="65" t="n">
        <v>46248</v>
      </c>
      <c r="X588" s="30" t="inlineStr">
        <is>
          <t>Sunil CR</t>
        </is>
      </c>
      <c r="Y588" s="30" t="inlineStr">
        <is>
          <t>Yes</t>
        </is>
      </c>
      <c r="Z588" s="30" t="n"/>
      <c r="AA588" s="30" t="inlineStr">
        <is>
          <t>Good finish</t>
        </is>
      </c>
      <c r="AB588" s="30" t="inlineStr">
        <is>
          <t>Yes</t>
        </is>
      </c>
      <c r="AC588" s="27" t="n"/>
      <c r="AD588" s="31" t="inlineStr">
        <is>
          <t>No</t>
        </is>
      </c>
      <c r="AE588" s="32">
        <f>IF(W588="","",IF(Z588="Yes","❌ Disc",IF(Y588="No","⚠ Missing",IF(AB588="Yes","✓ OK","⚠ Check"))))</f>
        <v/>
      </c>
      <c r="AF588" s="33" t="n"/>
      <c r="AG588" s="33" t="n"/>
      <c r="AH588" s="33" t="n"/>
      <c r="AI588" s="33" t="n"/>
      <c r="AJ588" s="33" t="n"/>
      <c r="AK588" s="33" t="n"/>
      <c r="AL588" s="27" t="n"/>
      <c r="AM588" s="34" t="n"/>
      <c r="AN588" s="35">
        <f>IF(AF588="","",IF(AI588="Yes","❌ Disc",IF(AH588="No","⚠ Missing",IF(AK588="Yes","✓ OK","⚠ Check"))))</f>
        <v/>
      </c>
      <c r="AO588" s="36" t="n"/>
      <c r="AP588" s="36" t="n"/>
      <c r="AQ588" s="36" t="n"/>
      <c r="AR588" s="36" t="n"/>
      <c r="AS588" s="36" t="n"/>
      <c r="AT588" s="36" t="n"/>
      <c r="AU588" s="27" t="n"/>
      <c r="AV588" s="37" t="n"/>
      <c r="AW588" s="38">
        <f>IF(AO588="","",IF(AR588="Yes","❌ Disc",IF(AQ588="No","⚠ Missing",IF(AT588="Yes","✓ OK","⚠ Check"))))</f>
        <v/>
      </c>
    </row>
    <row r="589" ht="18" customHeight="1" s="46">
      <c r="A589" s="23" t="n">
        <v>585</v>
      </c>
      <c r="B589" s="24" t="inlineStr">
        <is>
          <t>WP LNCCN1088023</t>
        </is>
      </c>
      <c r="C589" s="25" t="inlineStr">
        <is>
          <t>Life n Colors - 3D Grey Tile Texture Wallpaper for Rooms  -  Canvas - a texture paper</t>
        </is>
      </c>
      <c r="D589" s="23" t="inlineStr">
        <is>
          <t>Life n Colors</t>
        </is>
      </c>
      <c r="E589" s="43" t="n">
        <v>46126</v>
      </c>
      <c r="F589" s="26" t="inlineStr">
        <is>
          <t>Sunil CR</t>
        </is>
      </c>
      <c r="G589" s="26" t="inlineStr">
        <is>
          <t>Yes</t>
        </is>
      </c>
      <c r="H589" s="26" t="inlineStr">
        <is>
          <t>No</t>
        </is>
      </c>
      <c r="I589" s="26" t="inlineStr">
        <is>
          <t>Good finish</t>
        </is>
      </c>
      <c r="J589" s="26" t="inlineStr">
        <is>
          <t>Yes</t>
        </is>
      </c>
      <c r="K589" s="27" t="n"/>
      <c r="L589" s="28" t="inlineStr">
        <is>
          <t>No</t>
        </is>
      </c>
      <c r="M589" s="29">
        <f>IF(E589="","",IF(H589="Yes","❌ Disc",IF(G589="No","⚠ Missing",IF(J589="Yes","✓ OK","⚠ Check"))))</f>
        <v/>
      </c>
      <c r="N589" s="43" t="n">
        <v>46193</v>
      </c>
      <c r="O589" s="26" t="inlineStr">
        <is>
          <t>Sunil CR</t>
        </is>
      </c>
      <c r="P589" s="26" t="inlineStr">
        <is>
          <t>Yes</t>
        </is>
      </c>
      <c r="Q589" s="26" t="inlineStr">
        <is>
          <t>No</t>
        </is>
      </c>
      <c r="R589" s="26" t="inlineStr">
        <is>
          <t>Good finish</t>
        </is>
      </c>
      <c r="S589" s="26" t="inlineStr">
        <is>
          <t>Yes</t>
        </is>
      </c>
      <c r="T589" s="27" t="n"/>
      <c r="U589" s="28" t="inlineStr">
        <is>
          <t>No</t>
        </is>
      </c>
      <c r="V589" s="29">
        <f>IF(N589="","",IF(Q589="Yes","❌ Disc",IF(P589="No","⚠ Missing",IF(S589="Yes","✓ OK","⚠ Check"))))</f>
        <v/>
      </c>
      <c r="W589" s="65" t="n">
        <v>46248</v>
      </c>
      <c r="X589" s="30" t="inlineStr">
        <is>
          <t>Sunil CR</t>
        </is>
      </c>
      <c r="Y589" s="30" t="inlineStr">
        <is>
          <t>Yes</t>
        </is>
      </c>
      <c r="Z589" s="30" t="n"/>
      <c r="AA589" s="30" t="inlineStr">
        <is>
          <t>Good finish</t>
        </is>
      </c>
      <c r="AB589" s="30" t="inlineStr">
        <is>
          <t>Yes</t>
        </is>
      </c>
      <c r="AC589" s="27" t="n"/>
      <c r="AD589" s="31" t="inlineStr">
        <is>
          <t>No</t>
        </is>
      </c>
      <c r="AE589" s="32">
        <f>IF(W589="","",IF(Z589="Yes","❌ Disc",IF(Y589="No","⚠ Missing",IF(AB589="Yes","✓ OK","⚠ Check"))))</f>
        <v/>
      </c>
      <c r="AF589" s="33" t="n"/>
      <c r="AG589" s="33" t="n"/>
      <c r="AH589" s="33" t="n"/>
      <c r="AI589" s="33" t="n"/>
      <c r="AJ589" s="33" t="n"/>
      <c r="AK589" s="33" t="n"/>
      <c r="AL589" s="27" t="n"/>
      <c r="AM589" s="34" t="n"/>
      <c r="AN589" s="35">
        <f>IF(AF589="","",IF(AI589="Yes","❌ Disc",IF(AH589="No","⚠ Missing",IF(AK589="Yes","✓ OK","⚠ Check"))))</f>
        <v/>
      </c>
      <c r="AO589" s="36" t="n"/>
      <c r="AP589" s="36" t="n"/>
      <c r="AQ589" s="36" t="n"/>
      <c r="AR589" s="36" t="n"/>
      <c r="AS589" s="36" t="n"/>
      <c r="AT589" s="36" t="n"/>
      <c r="AU589" s="27" t="n"/>
      <c r="AV589" s="37" t="n"/>
      <c r="AW589" s="38">
        <f>IF(AO589="","",IF(AR589="Yes","❌ Disc",IF(AQ589="No","⚠ Missing",IF(AT589="Yes","✓ OK","⚠ Check"))))</f>
        <v/>
      </c>
    </row>
    <row r="590" ht="18" customHeight="1" s="46">
      <c r="A590" s="39" t="n">
        <v>586</v>
      </c>
      <c r="B590" s="40" t="inlineStr">
        <is>
          <t>WP LNCSF1088023</t>
        </is>
      </c>
      <c r="C590" s="41" t="inlineStr">
        <is>
          <t>Life n Colors - 3D Grey Tile Texture Wallpaper for Rooms  - Non-woven - a soft feel paper</t>
        </is>
      </c>
      <c r="D590" s="39" t="inlineStr">
        <is>
          <t>Life n Colors</t>
        </is>
      </c>
      <c r="E590" s="43" t="n">
        <v>46126</v>
      </c>
      <c r="F590" s="26" t="inlineStr">
        <is>
          <t>Sunil CR</t>
        </is>
      </c>
      <c r="G590" s="26" t="inlineStr">
        <is>
          <t>Yes</t>
        </is>
      </c>
      <c r="H590" s="26" t="inlineStr">
        <is>
          <t>No</t>
        </is>
      </c>
      <c r="I590" s="26" t="inlineStr">
        <is>
          <t>Good finish</t>
        </is>
      </c>
      <c r="J590" s="26" t="inlineStr">
        <is>
          <t>Yes</t>
        </is>
      </c>
      <c r="K590" s="27" t="n"/>
      <c r="L590" s="28" t="inlineStr">
        <is>
          <t>No</t>
        </is>
      </c>
      <c r="M590" s="29">
        <f>IF(E590="","",IF(H590="Yes","❌ Disc",IF(G590="No","⚠ Missing",IF(J590="Yes","✓ OK","⚠ Check"))))</f>
        <v/>
      </c>
      <c r="N590" s="43" t="n">
        <v>46193</v>
      </c>
      <c r="O590" s="26" t="inlineStr">
        <is>
          <t>Sunil CR</t>
        </is>
      </c>
      <c r="P590" s="26" t="inlineStr">
        <is>
          <t>Yes</t>
        </is>
      </c>
      <c r="Q590" s="26" t="inlineStr">
        <is>
          <t>No</t>
        </is>
      </c>
      <c r="R590" s="26" t="inlineStr">
        <is>
          <t>Good finish</t>
        </is>
      </c>
      <c r="S590" s="26" t="inlineStr">
        <is>
          <t>Yes</t>
        </is>
      </c>
      <c r="T590" s="27" t="n"/>
      <c r="U590" s="28" t="inlineStr">
        <is>
          <t>No</t>
        </is>
      </c>
      <c r="V590" s="29">
        <f>IF(N590="","",IF(Q590="Yes","❌ Disc",IF(P590="No","⚠ Missing",IF(S590="Yes","✓ OK","⚠ Check"))))</f>
        <v/>
      </c>
      <c r="W590" s="65" t="n">
        <v>46248</v>
      </c>
      <c r="X590" s="30" t="inlineStr">
        <is>
          <t>Sunil CR</t>
        </is>
      </c>
      <c r="Y590" s="30" t="inlineStr">
        <is>
          <t>Yes</t>
        </is>
      </c>
      <c r="Z590" s="30" t="n"/>
      <c r="AA590" s="30" t="inlineStr">
        <is>
          <t>Good finish</t>
        </is>
      </c>
      <c r="AB590" s="30" t="inlineStr">
        <is>
          <t>Yes</t>
        </is>
      </c>
      <c r="AC590" s="27" t="n"/>
      <c r="AD590" s="31" t="inlineStr">
        <is>
          <t>No</t>
        </is>
      </c>
      <c r="AE590" s="32">
        <f>IF(W590="","",IF(Z590="Yes","❌ Disc",IF(Y590="No","⚠ Missing",IF(AB590="Yes","✓ OK","⚠ Check"))))</f>
        <v/>
      </c>
      <c r="AF590" s="33" t="n"/>
      <c r="AG590" s="33" t="n"/>
      <c r="AH590" s="33" t="n"/>
      <c r="AI590" s="33" t="n"/>
      <c r="AJ590" s="33" t="n"/>
      <c r="AK590" s="33" t="n"/>
      <c r="AL590" s="27" t="n"/>
      <c r="AM590" s="34" t="n"/>
      <c r="AN590" s="35">
        <f>IF(AF590="","",IF(AI590="Yes","❌ Disc",IF(AH590="No","⚠ Missing",IF(AK590="Yes","✓ OK","⚠ Check"))))</f>
        <v/>
      </c>
      <c r="AO590" s="36" t="n"/>
      <c r="AP590" s="36" t="n"/>
      <c r="AQ590" s="36" t="n"/>
      <c r="AR590" s="36" t="n"/>
      <c r="AS590" s="36" t="n"/>
      <c r="AT590" s="36" t="n"/>
      <c r="AU590" s="27" t="n"/>
      <c r="AV590" s="37" t="n"/>
      <c r="AW590" s="38">
        <f>IF(AO590="","",IF(AR590="Yes","❌ Disc",IF(AQ590="No","⚠ Missing",IF(AT590="Yes","✓ OK","⚠ Check"))))</f>
        <v/>
      </c>
    </row>
    <row r="591" ht="18" customHeight="1" s="46">
      <c r="A591" s="23" t="n">
        <v>587</v>
      </c>
      <c r="B591" s="24" t="inlineStr">
        <is>
          <t>WP LNCCN1050249</t>
        </is>
      </c>
      <c r="C591" s="25" t="inlineStr">
        <is>
          <t>Life n Colors - 3D Look Geometric Pattern, Brown &amp; Green, Customised  -  Canvas - a texture paper</t>
        </is>
      </c>
      <c r="D591" s="23" t="inlineStr">
        <is>
          <t>Life n Colors</t>
        </is>
      </c>
      <c r="E591" s="43" t="n">
        <v>46126</v>
      </c>
      <c r="F591" s="26" t="inlineStr">
        <is>
          <t>Sunil CR</t>
        </is>
      </c>
      <c r="G591" s="26" t="inlineStr">
        <is>
          <t>Yes</t>
        </is>
      </c>
      <c r="H591" s="26" t="inlineStr">
        <is>
          <t>No</t>
        </is>
      </c>
      <c r="I591" s="26" t="inlineStr">
        <is>
          <t>Good finish</t>
        </is>
      </c>
      <c r="J591" s="26" t="inlineStr">
        <is>
          <t>Yes</t>
        </is>
      </c>
      <c r="K591" s="27" t="n"/>
      <c r="L591" s="28" t="inlineStr">
        <is>
          <t>No</t>
        </is>
      </c>
      <c r="M591" s="29">
        <f>IF(E591="","",IF(H591="Yes","❌ Disc",IF(G591="No","⚠ Missing",IF(J591="Yes","✓ OK","⚠ Check"))))</f>
        <v/>
      </c>
      <c r="N591" s="43" t="n">
        <v>46193</v>
      </c>
      <c r="O591" s="26" t="inlineStr">
        <is>
          <t>Sunil CR</t>
        </is>
      </c>
      <c r="P591" s="26" t="inlineStr">
        <is>
          <t>Yes</t>
        </is>
      </c>
      <c r="Q591" s="26" t="inlineStr">
        <is>
          <t>No</t>
        </is>
      </c>
      <c r="R591" s="26" t="inlineStr">
        <is>
          <t>Good finish</t>
        </is>
      </c>
      <c r="S591" s="26" t="inlineStr">
        <is>
          <t>Yes</t>
        </is>
      </c>
      <c r="T591" s="27" t="n"/>
      <c r="U591" s="28" t="inlineStr">
        <is>
          <t>No</t>
        </is>
      </c>
      <c r="V591" s="29">
        <f>IF(N591="","",IF(Q591="Yes","❌ Disc",IF(P591="No","⚠ Missing",IF(S591="Yes","✓ OK","⚠ Check"))))</f>
        <v/>
      </c>
      <c r="W591" s="65" t="n">
        <v>46248</v>
      </c>
      <c r="X591" s="30" t="inlineStr">
        <is>
          <t>Sunil CR</t>
        </is>
      </c>
      <c r="Y591" s="30" t="inlineStr">
        <is>
          <t>Yes</t>
        </is>
      </c>
      <c r="Z591" s="30" t="n"/>
      <c r="AA591" s="30" t="inlineStr">
        <is>
          <t>Good finish</t>
        </is>
      </c>
      <c r="AB591" s="30" t="inlineStr">
        <is>
          <t>Yes</t>
        </is>
      </c>
      <c r="AC591" s="27" t="n"/>
      <c r="AD591" s="31" t="inlineStr">
        <is>
          <t>No</t>
        </is>
      </c>
      <c r="AE591" s="32">
        <f>IF(W591="","",IF(Z591="Yes","❌ Disc",IF(Y591="No","⚠ Missing",IF(AB591="Yes","✓ OK","⚠ Check"))))</f>
        <v/>
      </c>
      <c r="AF591" s="33" t="n"/>
      <c r="AG591" s="33" t="n"/>
      <c r="AH591" s="33" t="n"/>
      <c r="AI591" s="33" t="n"/>
      <c r="AJ591" s="33" t="n"/>
      <c r="AK591" s="33" t="n"/>
      <c r="AL591" s="27" t="n"/>
      <c r="AM591" s="34" t="n"/>
      <c r="AN591" s="35">
        <f>IF(AF591="","",IF(AI591="Yes","❌ Disc",IF(AH591="No","⚠ Missing",IF(AK591="Yes","✓ OK","⚠ Check"))))</f>
        <v/>
      </c>
      <c r="AO591" s="36" t="n"/>
      <c r="AP591" s="36" t="n"/>
      <c r="AQ591" s="36" t="n"/>
      <c r="AR591" s="36" t="n"/>
      <c r="AS591" s="36" t="n"/>
      <c r="AT591" s="36" t="n"/>
      <c r="AU591" s="27" t="n"/>
      <c r="AV591" s="37" t="n"/>
      <c r="AW591" s="38">
        <f>IF(AO591="","",IF(AR591="Yes","❌ Disc",IF(AQ591="No","⚠ Missing",IF(AT591="Yes","✓ OK","⚠ Check"))))</f>
        <v/>
      </c>
    </row>
    <row r="592" ht="18" customHeight="1" s="46">
      <c r="A592" s="39" t="n">
        <v>588</v>
      </c>
      <c r="B592" s="40" t="inlineStr">
        <is>
          <t>WP LNCSF1050249</t>
        </is>
      </c>
      <c r="C592" s="41" t="inlineStr">
        <is>
          <t>Life n Colors - 3D Look Geometric Pattern, Brown &amp; Green, Customised  - Non-woven - a soft feel paper</t>
        </is>
      </c>
      <c r="D592" s="39" t="inlineStr">
        <is>
          <t>Life n Colors</t>
        </is>
      </c>
      <c r="E592" s="43" t="n">
        <v>46126</v>
      </c>
      <c r="F592" s="26" t="inlineStr">
        <is>
          <t>Sunil CR</t>
        </is>
      </c>
      <c r="G592" s="26" t="inlineStr">
        <is>
          <t>Yes</t>
        </is>
      </c>
      <c r="H592" s="26" t="inlineStr">
        <is>
          <t>No</t>
        </is>
      </c>
      <c r="I592" s="26" t="inlineStr">
        <is>
          <t>Good finish</t>
        </is>
      </c>
      <c r="J592" s="26" t="inlineStr">
        <is>
          <t>Yes</t>
        </is>
      </c>
      <c r="K592" s="27" t="n"/>
      <c r="L592" s="28" t="inlineStr">
        <is>
          <t>No</t>
        </is>
      </c>
      <c r="M592" s="29">
        <f>IF(E592="","",IF(H592="Yes","❌ Disc",IF(G592="No","⚠ Missing",IF(J592="Yes","✓ OK","⚠ Check"))))</f>
        <v/>
      </c>
      <c r="N592" s="43" t="n">
        <v>46193</v>
      </c>
      <c r="O592" s="26" t="inlineStr">
        <is>
          <t>Sunil CR</t>
        </is>
      </c>
      <c r="P592" s="26" t="inlineStr">
        <is>
          <t>Yes</t>
        </is>
      </c>
      <c r="Q592" s="26" t="inlineStr">
        <is>
          <t>No</t>
        </is>
      </c>
      <c r="R592" s="26" t="inlineStr">
        <is>
          <t>Good finish</t>
        </is>
      </c>
      <c r="S592" s="26" t="inlineStr">
        <is>
          <t>Yes</t>
        </is>
      </c>
      <c r="T592" s="27" t="n"/>
      <c r="U592" s="28" t="inlineStr">
        <is>
          <t>No</t>
        </is>
      </c>
      <c r="V592" s="29">
        <f>IF(N592="","",IF(Q592="Yes","❌ Disc",IF(P592="No","⚠ Missing",IF(S592="Yes","✓ OK","⚠ Check"))))</f>
        <v/>
      </c>
      <c r="W592" s="65" t="n">
        <v>46248</v>
      </c>
      <c r="X592" s="30" t="inlineStr">
        <is>
          <t>Sunil CR</t>
        </is>
      </c>
      <c r="Y592" s="30" t="inlineStr">
        <is>
          <t>Yes</t>
        </is>
      </c>
      <c r="Z592" s="30" t="n"/>
      <c r="AA592" s="30" t="inlineStr">
        <is>
          <t>Good finish</t>
        </is>
      </c>
      <c r="AB592" s="30" t="inlineStr">
        <is>
          <t>Yes</t>
        </is>
      </c>
      <c r="AC592" s="27" t="n"/>
      <c r="AD592" s="31" t="inlineStr">
        <is>
          <t>No</t>
        </is>
      </c>
      <c r="AE592" s="32">
        <f>IF(W592="","",IF(Z592="Yes","❌ Disc",IF(Y592="No","⚠ Missing",IF(AB592="Yes","✓ OK","⚠ Check"))))</f>
        <v/>
      </c>
      <c r="AF592" s="33" t="n"/>
      <c r="AG592" s="33" t="n"/>
      <c r="AH592" s="33" t="n"/>
      <c r="AI592" s="33" t="n"/>
      <c r="AJ592" s="33" t="n"/>
      <c r="AK592" s="33" t="n"/>
      <c r="AL592" s="27" t="n"/>
      <c r="AM592" s="34" t="n"/>
      <c r="AN592" s="35">
        <f>IF(AF592="","",IF(AI592="Yes","❌ Disc",IF(AH592="No","⚠ Missing",IF(AK592="Yes","✓ OK","⚠ Check"))))</f>
        <v/>
      </c>
      <c r="AO592" s="36" t="n"/>
      <c r="AP592" s="36" t="n"/>
      <c r="AQ592" s="36" t="n"/>
      <c r="AR592" s="36" t="n"/>
      <c r="AS592" s="36" t="n"/>
      <c r="AT592" s="36" t="n"/>
      <c r="AU592" s="27" t="n"/>
      <c r="AV592" s="37" t="n"/>
      <c r="AW592" s="38">
        <f>IF(AO592="","",IF(AR592="Yes","❌ Disc",IF(AQ592="No","⚠ Missing",IF(AT592="Yes","✓ OK","⚠ Check"))))</f>
        <v/>
      </c>
    </row>
    <row r="593" ht="18" customHeight="1" s="46">
      <c r="A593" s="23" t="n">
        <v>589</v>
      </c>
      <c r="B593" s="24" t="inlineStr">
        <is>
          <t>WP LNCCN1040226</t>
        </is>
      </c>
      <c r="C593" s="25" t="inlineStr">
        <is>
          <t>Life n Colors - 3D Look Marble Wallpaper with Gold Color Lines  -  Canvas - a texture paper</t>
        </is>
      </c>
      <c r="D593" s="23" t="inlineStr">
        <is>
          <t>Life n Colors</t>
        </is>
      </c>
      <c r="E593" s="43" t="n">
        <v>46126</v>
      </c>
      <c r="F593" s="26" t="inlineStr">
        <is>
          <t>Sunil CR</t>
        </is>
      </c>
      <c r="G593" s="26" t="inlineStr">
        <is>
          <t>Yes</t>
        </is>
      </c>
      <c r="H593" s="26" t="inlineStr">
        <is>
          <t>No</t>
        </is>
      </c>
      <c r="I593" s="26" t="inlineStr">
        <is>
          <t>Good finish</t>
        </is>
      </c>
      <c r="J593" s="26" t="inlineStr">
        <is>
          <t>Yes</t>
        </is>
      </c>
      <c r="K593" s="27" t="n"/>
      <c r="L593" s="28" t="inlineStr">
        <is>
          <t>No</t>
        </is>
      </c>
      <c r="M593" s="29">
        <f>IF(E593="","",IF(H593="Yes","❌ Disc",IF(G593="No","⚠ Missing",IF(J593="Yes","✓ OK","⚠ Check"))))</f>
        <v/>
      </c>
      <c r="N593" s="43" t="n">
        <v>46193</v>
      </c>
      <c r="O593" s="26" t="inlineStr">
        <is>
          <t>Sunil CR</t>
        </is>
      </c>
      <c r="P593" s="26" t="inlineStr">
        <is>
          <t>Yes</t>
        </is>
      </c>
      <c r="Q593" s="26" t="inlineStr">
        <is>
          <t>No</t>
        </is>
      </c>
      <c r="R593" s="26" t="inlineStr">
        <is>
          <t>Good finish</t>
        </is>
      </c>
      <c r="S593" s="26" t="inlineStr">
        <is>
          <t>Yes</t>
        </is>
      </c>
      <c r="T593" s="27" t="n"/>
      <c r="U593" s="28" t="inlineStr">
        <is>
          <t>No</t>
        </is>
      </c>
      <c r="V593" s="29">
        <f>IF(N593="","",IF(Q593="Yes","❌ Disc",IF(P593="No","⚠ Missing",IF(S593="Yes","✓ OK","⚠ Check"))))</f>
        <v/>
      </c>
      <c r="W593" s="65" t="n">
        <v>46248</v>
      </c>
      <c r="X593" s="30" t="inlineStr">
        <is>
          <t>Sunil CR</t>
        </is>
      </c>
      <c r="Y593" s="30" t="inlineStr">
        <is>
          <t>Yes</t>
        </is>
      </c>
      <c r="Z593" s="30" t="n"/>
      <c r="AA593" s="30" t="inlineStr">
        <is>
          <t>Good finish</t>
        </is>
      </c>
      <c r="AB593" s="30" t="inlineStr">
        <is>
          <t>Yes</t>
        </is>
      </c>
      <c r="AC593" s="27" t="n"/>
      <c r="AD593" s="31" t="inlineStr">
        <is>
          <t>No</t>
        </is>
      </c>
      <c r="AE593" s="32">
        <f>IF(W593="","",IF(Z593="Yes","❌ Disc",IF(Y593="No","⚠ Missing",IF(AB593="Yes","✓ OK","⚠ Check"))))</f>
        <v/>
      </c>
      <c r="AF593" s="33" t="n"/>
      <c r="AG593" s="33" t="n"/>
      <c r="AH593" s="33" t="n"/>
      <c r="AI593" s="33" t="n"/>
      <c r="AJ593" s="33" t="n"/>
      <c r="AK593" s="33" t="n"/>
      <c r="AL593" s="27" t="n"/>
      <c r="AM593" s="34" t="n"/>
      <c r="AN593" s="35">
        <f>IF(AF593="","",IF(AI593="Yes","❌ Disc",IF(AH593="No","⚠ Missing",IF(AK593="Yes","✓ OK","⚠ Check"))))</f>
        <v/>
      </c>
      <c r="AO593" s="36" t="n"/>
      <c r="AP593" s="36" t="n"/>
      <c r="AQ593" s="36" t="n"/>
      <c r="AR593" s="36" t="n"/>
      <c r="AS593" s="36" t="n"/>
      <c r="AT593" s="36" t="n"/>
      <c r="AU593" s="27" t="n"/>
      <c r="AV593" s="37" t="n"/>
      <c r="AW593" s="38">
        <f>IF(AO593="","",IF(AR593="Yes","❌ Disc",IF(AQ593="No","⚠ Missing",IF(AT593="Yes","✓ OK","⚠ Check"))))</f>
        <v/>
      </c>
    </row>
    <row r="594" ht="18" customHeight="1" s="46">
      <c r="A594" s="39" t="n">
        <v>590</v>
      </c>
      <c r="B594" s="40" t="inlineStr">
        <is>
          <t>WP LNCSF1040226</t>
        </is>
      </c>
      <c r="C594" s="41" t="inlineStr">
        <is>
          <t>Life n Colors - 3D Look Marble Wallpaper with Gold Color Lines  - Non-woven - a soft feel paper</t>
        </is>
      </c>
      <c r="D594" s="39" t="inlineStr">
        <is>
          <t>Life n Colors</t>
        </is>
      </c>
      <c r="E594" s="43" t="n">
        <v>46126</v>
      </c>
      <c r="F594" s="26" t="inlineStr">
        <is>
          <t>Sunil CR</t>
        </is>
      </c>
      <c r="G594" s="26" t="inlineStr">
        <is>
          <t>Yes</t>
        </is>
      </c>
      <c r="H594" s="26" t="inlineStr">
        <is>
          <t>No</t>
        </is>
      </c>
      <c r="I594" s="26" t="inlineStr">
        <is>
          <t>Good finish</t>
        </is>
      </c>
      <c r="J594" s="26" t="inlineStr">
        <is>
          <t>Yes</t>
        </is>
      </c>
      <c r="K594" s="27" t="n"/>
      <c r="L594" s="28" t="inlineStr">
        <is>
          <t>No</t>
        </is>
      </c>
      <c r="M594" s="29">
        <f>IF(E594="","",IF(H594="Yes","❌ Disc",IF(G594="No","⚠ Missing",IF(J594="Yes","✓ OK","⚠ Check"))))</f>
        <v/>
      </c>
      <c r="N594" s="43" t="n">
        <v>46193</v>
      </c>
      <c r="O594" s="26" t="inlineStr">
        <is>
          <t>Sunil CR</t>
        </is>
      </c>
      <c r="P594" s="26" t="inlineStr">
        <is>
          <t>Yes</t>
        </is>
      </c>
      <c r="Q594" s="26" t="inlineStr">
        <is>
          <t>No</t>
        </is>
      </c>
      <c r="R594" s="26" t="inlineStr">
        <is>
          <t>Good finish</t>
        </is>
      </c>
      <c r="S594" s="26" t="inlineStr">
        <is>
          <t>Yes</t>
        </is>
      </c>
      <c r="T594" s="27" t="n"/>
      <c r="U594" s="28" t="inlineStr">
        <is>
          <t>No</t>
        </is>
      </c>
      <c r="V594" s="29">
        <f>IF(N594="","",IF(Q594="Yes","❌ Disc",IF(P594="No","⚠ Missing",IF(S594="Yes","✓ OK","⚠ Check"))))</f>
        <v/>
      </c>
      <c r="W594" s="65" t="n">
        <v>46248</v>
      </c>
      <c r="X594" s="30" t="inlineStr">
        <is>
          <t>Sunil CR</t>
        </is>
      </c>
      <c r="Y594" s="30" t="inlineStr">
        <is>
          <t>Yes</t>
        </is>
      </c>
      <c r="Z594" s="30" t="n"/>
      <c r="AA594" s="30" t="inlineStr">
        <is>
          <t>Good finish</t>
        </is>
      </c>
      <c r="AB594" s="30" t="inlineStr">
        <is>
          <t>Yes</t>
        </is>
      </c>
      <c r="AC594" s="27" t="n"/>
      <c r="AD594" s="31" t="inlineStr">
        <is>
          <t>No</t>
        </is>
      </c>
      <c r="AE594" s="32">
        <f>IF(W594="","",IF(Z594="Yes","❌ Disc",IF(Y594="No","⚠ Missing",IF(AB594="Yes","✓ OK","⚠ Check"))))</f>
        <v/>
      </c>
      <c r="AF594" s="33" t="n"/>
      <c r="AG594" s="33" t="n"/>
      <c r="AH594" s="33" t="n"/>
      <c r="AI594" s="33" t="n"/>
      <c r="AJ594" s="33" t="n"/>
      <c r="AK594" s="33" t="n"/>
      <c r="AL594" s="27" t="n"/>
      <c r="AM594" s="34" t="n"/>
      <c r="AN594" s="35">
        <f>IF(AF594="","",IF(AI594="Yes","❌ Disc",IF(AH594="No","⚠ Missing",IF(AK594="Yes","✓ OK","⚠ Check"))))</f>
        <v/>
      </c>
      <c r="AO594" s="36" t="n"/>
      <c r="AP594" s="36" t="n"/>
      <c r="AQ594" s="36" t="n"/>
      <c r="AR594" s="36" t="n"/>
      <c r="AS594" s="36" t="n"/>
      <c r="AT594" s="36" t="n"/>
      <c r="AU594" s="27" t="n"/>
      <c r="AV594" s="37" t="n"/>
      <c r="AW594" s="38">
        <f>IF(AO594="","",IF(AR594="Yes","❌ Disc",IF(AQ594="No","⚠ Missing",IF(AT594="Yes","✓ OK","⚠ Check"))))</f>
        <v/>
      </c>
    </row>
    <row r="595" ht="18" customHeight="1" s="46">
      <c r="A595" s="23" t="n">
        <v>591</v>
      </c>
      <c r="B595" s="24" t="inlineStr">
        <is>
          <t>WP LNCCN1026255</t>
        </is>
      </c>
      <c r="C595" s="25" t="inlineStr">
        <is>
          <t>Life n Colors - 3D Look Stone in Concrete Wallpaper  -  Canvas - a texture paper</t>
        </is>
      </c>
      <c r="D595" s="23" t="inlineStr">
        <is>
          <t>Life n Colors</t>
        </is>
      </c>
      <c r="E595" s="43" t="n">
        <v>46126</v>
      </c>
      <c r="F595" s="26" t="inlineStr">
        <is>
          <t>Sunil CR</t>
        </is>
      </c>
      <c r="G595" s="26" t="inlineStr">
        <is>
          <t>Yes</t>
        </is>
      </c>
      <c r="H595" s="26" t="inlineStr">
        <is>
          <t>No</t>
        </is>
      </c>
      <c r="I595" s="26" t="inlineStr">
        <is>
          <t>Good finish</t>
        </is>
      </c>
      <c r="J595" s="26" t="inlineStr">
        <is>
          <t>Yes</t>
        </is>
      </c>
      <c r="K595" s="27" t="n"/>
      <c r="L595" s="28" t="inlineStr">
        <is>
          <t>No</t>
        </is>
      </c>
      <c r="M595" s="29">
        <f>IF(E595="","",IF(H595="Yes","❌ Disc",IF(G595="No","⚠ Missing",IF(J595="Yes","✓ OK","⚠ Check"))))</f>
        <v/>
      </c>
      <c r="N595" s="43" t="n">
        <v>46193</v>
      </c>
      <c r="O595" s="26" t="inlineStr">
        <is>
          <t>Sunil CR</t>
        </is>
      </c>
      <c r="P595" s="26" t="inlineStr">
        <is>
          <t>Yes</t>
        </is>
      </c>
      <c r="Q595" s="26" t="inlineStr">
        <is>
          <t>No</t>
        </is>
      </c>
      <c r="R595" s="26" t="inlineStr">
        <is>
          <t>Good finish</t>
        </is>
      </c>
      <c r="S595" s="26" t="inlineStr">
        <is>
          <t>Yes</t>
        </is>
      </c>
      <c r="T595" s="27" t="n"/>
      <c r="U595" s="28" t="inlineStr">
        <is>
          <t>No</t>
        </is>
      </c>
      <c r="V595" s="29">
        <f>IF(N595="","",IF(Q595="Yes","❌ Disc",IF(P595="No","⚠ Missing",IF(S595="Yes","✓ OK","⚠ Check"))))</f>
        <v/>
      </c>
      <c r="W595" s="65" t="n">
        <v>46248</v>
      </c>
      <c r="X595" s="30" t="inlineStr">
        <is>
          <t>Sunil CR</t>
        </is>
      </c>
      <c r="Y595" s="30" t="inlineStr">
        <is>
          <t>Yes</t>
        </is>
      </c>
      <c r="Z595" s="30" t="n"/>
      <c r="AA595" s="30" t="inlineStr">
        <is>
          <t>Good finish</t>
        </is>
      </c>
      <c r="AB595" s="30" t="inlineStr">
        <is>
          <t>Yes</t>
        </is>
      </c>
      <c r="AC595" s="27" t="n"/>
      <c r="AD595" s="31" t="inlineStr">
        <is>
          <t>No</t>
        </is>
      </c>
      <c r="AE595" s="32">
        <f>IF(W595="","",IF(Z595="Yes","❌ Disc",IF(Y595="No","⚠ Missing",IF(AB595="Yes","✓ OK","⚠ Check"))))</f>
        <v/>
      </c>
      <c r="AF595" s="33" t="n"/>
      <c r="AG595" s="33" t="n"/>
      <c r="AH595" s="33" t="n"/>
      <c r="AI595" s="33" t="n"/>
      <c r="AJ595" s="33" t="n"/>
      <c r="AK595" s="33" t="n"/>
      <c r="AL595" s="27" t="n"/>
      <c r="AM595" s="34" t="n"/>
      <c r="AN595" s="35">
        <f>IF(AF595="","",IF(AI595="Yes","❌ Disc",IF(AH595="No","⚠ Missing",IF(AK595="Yes","✓ OK","⚠ Check"))))</f>
        <v/>
      </c>
      <c r="AO595" s="36" t="n"/>
      <c r="AP595" s="36" t="n"/>
      <c r="AQ595" s="36" t="n"/>
      <c r="AR595" s="36" t="n"/>
      <c r="AS595" s="36" t="n"/>
      <c r="AT595" s="36" t="n"/>
      <c r="AU595" s="27" t="n"/>
      <c r="AV595" s="37" t="n"/>
      <c r="AW595" s="38">
        <f>IF(AO595="","",IF(AR595="Yes","❌ Disc",IF(AQ595="No","⚠ Missing",IF(AT595="Yes","✓ OK","⚠ Check"))))</f>
        <v/>
      </c>
    </row>
    <row r="596" ht="18" customHeight="1" s="46">
      <c r="A596" s="39" t="n">
        <v>592</v>
      </c>
      <c r="B596" s="40" t="inlineStr">
        <is>
          <t>WP LNCSF1026255</t>
        </is>
      </c>
      <c r="C596" s="41" t="inlineStr">
        <is>
          <t>Life n Colors - 3D Look Stone in Concrete Wallpaper  - Non-woven - a soft feel paper</t>
        </is>
      </c>
      <c r="D596" s="39" t="inlineStr">
        <is>
          <t>Life n Colors</t>
        </is>
      </c>
      <c r="E596" s="43" t="n">
        <v>46126</v>
      </c>
      <c r="F596" s="26" t="inlineStr">
        <is>
          <t>Sunil CR</t>
        </is>
      </c>
      <c r="G596" s="26" t="inlineStr">
        <is>
          <t>Yes</t>
        </is>
      </c>
      <c r="H596" s="26" t="inlineStr">
        <is>
          <t>No</t>
        </is>
      </c>
      <c r="I596" s="26" t="inlineStr">
        <is>
          <t>Good finish</t>
        </is>
      </c>
      <c r="J596" s="26" t="inlineStr">
        <is>
          <t>Yes</t>
        </is>
      </c>
      <c r="K596" s="27" t="n"/>
      <c r="L596" s="28" t="inlineStr">
        <is>
          <t>No</t>
        </is>
      </c>
      <c r="M596" s="29">
        <f>IF(E596="","",IF(H596="Yes","❌ Disc",IF(G596="No","⚠ Missing",IF(J596="Yes","✓ OK","⚠ Check"))))</f>
        <v/>
      </c>
      <c r="N596" s="43" t="n">
        <v>46193</v>
      </c>
      <c r="O596" s="26" t="inlineStr">
        <is>
          <t>Sunil CR</t>
        </is>
      </c>
      <c r="P596" s="26" t="inlineStr">
        <is>
          <t>Yes</t>
        </is>
      </c>
      <c r="Q596" s="26" t="inlineStr">
        <is>
          <t>No</t>
        </is>
      </c>
      <c r="R596" s="26" t="inlineStr">
        <is>
          <t>Good finish</t>
        </is>
      </c>
      <c r="S596" s="26" t="inlineStr">
        <is>
          <t>Yes</t>
        </is>
      </c>
      <c r="T596" s="27" t="n"/>
      <c r="U596" s="28" t="inlineStr">
        <is>
          <t>No</t>
        </is>
      </c>
      <c r="V596" s="29">
        <f>IF(N596="","",IF(Q596="Yes","❌ Disc",IF(P596="No","⚠ Missing",IF(S596="Yes","✓ OK","⚠ Check"))))</f>
        <v/>
      </c>
      <c r="W596" s="65" t="n">
        <v>46248</v>
      </c>
      <c r="X596" s="30" t="inlineStr">
        <is>
          <t>Sunil CR</t>
        </is>
      </c>
      <c r="Y596" s="30" t="inlineStr">
        <is>
          <t>Yes</t>
        </is>
      </c>
      <c r="Z596" s="30" t="n"/>
      <c r="AA596" s="30" t="inlineStr">
        <is>
          <t>Good finish</t>
        </is>
      </c>
      <c r="AB596" s="30" t="inlineStr">
        <is>
          <t>Yes</t>
        </is>
      </c>
      <c r="AC596" s="27" t="n"/>
      <c r="AD596" s="31" t="inlineStr">
        <is>
          <t>No</t>
        </is>
      </c>
      <c r="AE596" s="32">
        <f>IF(W596="","",IF(Z596="Yes","❌ Disc",IF(Y596="No","⚠ Missing",IF(AB596="Yes","✓ OK","⚠ Check"))))</f>
        <v/>
      </c>
      <c r="AF596" s="33" t="n"/>
      <c r="AG596" s="33" t="n"/>
      <c r="AH596" s="33" t="n"/>
      <c r="AI596" s="33" t="n"/>
      <c r="AJ596" s="33" t="n"/>
      <c r="AK596" s="33" t="n"/>
      <c r="AL596" s="27" t="n"/>
      <c r="AM596" s="34" t="n"/>
      <c r="AN596" s="35">
        <f>IF(AF596="","",IF(AI596="Yes","❌ Disc",IF(AH596="No","⚠ Missing",IF(AK596="Yes","✓ OK","⚠ Check"))))</f>
        <v/>
      </c>
      <c r="AO596" s="36" t="n"/>
      <c r="AP596" s="36" t="n"/>
      <c r="AQ596" s="36" t="n"/>
      <c r="AR596" s="36" t="n"/>
      <c r="AS596" s="36" t="n"/>
      <c r="AT596" s="36" t="n"/>
      <c r="AU596" s="27" t="n"/>
      <c r="AV596" s="37" t="n"/>
      <c r="AW596" s="38">
        <f>IF(AO596="","",IF(AR596="Yes","❌ Disc",IF(AQ596="No","⚠ Missing",IF(AT596="Yes","✓ OK","⚠ Check"))))</f>
        <v/>
      </c>
    </row>
    <row r="597" ht="18" customHeight="1" s="46">
      <c r="A597" s="23" t="n">
        <v>593</v>
      </c>
      <c r="B597" s="24" t="inlineStr">
        <is>
          <t>WP LNCCN1043458</t>
        </is>
      </c>
      <c r="C597" s="25" t="inlineStr">
        <is>
          <t>Life n Colors - 3D Moulding Design Wallpaper, Customised for Walls  -  Canvas - a texture paper</t>
        </is>
      </c>
      <c r="D597" s="23" t="inlineStr">
        <is>
          <t>Life n Colors</t>
        </is>
      </c>
      <c r="E597" s="43" t="n">
        <v>46126</v>
      </c>
      <c r="F597" s="26" t="inlineStr">
        <is>
          <t>Sunil CR</t>
        </is>
      </c>
      <c r="G597" s="26" t="inlineStr">
        <is>
          <t>Yes</t>
        </is>
      </c>
      <c r="H597" s="26" t="inlineStr">
        <is>
          <t>No</t>
        </is>
      </c>
      <c r="I597" s="26" t="inlineStr">
        <is>
          <t>Good finish</t>
        </is>
      </c>
      <c r="J597" s="26" t="inlineStr">
        <is>
          <t>Yes</t>
        </is>
      </c>
      <c r="K597" s="27" t="n"/>
      <c r="L597" s="28" t="inlineStr">
        <is>
          <t>No</t>
        </is>
      </c>
      <c r="M597" s="29">
        <f>IF(E597="","",IF(H597="Yes","❌ Disc",IF(G597="No","⚠ Missing",IF(J597="Yes","✓ OK","⚠ Check"))))</f>
        <v/>
      </c>
      <c r="N597" s="43" t="n">
        <v>46193</v>
      </c>
      <c r="O597" s="26" t="inlineStr">
        <is>
          <t>Sunil CR</t>
        </is>
      </c>
      <c r="P597" s="26" t="inlineStr">
        <is>
          <t>Yes</t>
        </is>
      </c>
      <c r="Q597" s="26" t="inlineStr">
        <is>
          <t>No</t>
        </is>
      </c>
      <c r="R597" s="26" t="inlineStr">
        <is>
          <t>Good finish</t>
        </is>
      </c>
      <c r="S597" s="26" t="inlineStr">
        <is>
          <t>Yes</t>
        </is>
      </c>
      <c r="T597" s="27" t="n"/>
      <c r="U597" s="28" t="inlineStr">
        <is>
          <t>No</t>
        </is>
      </c>
      <c r="V597" s="29">
        <f>IF(N597="","",IF(Q597="Yes","❌ Disc",IF(P597="No","⚠ Missing",IF(S597="Yes","✓ OK","⚠ Check"))))</f>
        <v/>
      </c>
      <c r="W597" s="65" t="n">
        <v>46248</v>
      </c>
      <c r="X597" s="30" t="inlineStr">
        <is>
          <t>Sunil CR</t>
        </is>
      </c>
      <c r="Y597" s="30" t="inlineStr">
        <is>
          <t>Yes</t>
        </is>
      </c>
      <c r="Z597" s="30" t="n"/>
      <c r="AA597" s="30" t="inlineStr">
        <is>
          <t>Good finish</t>
        </is>
      </c>
      <c r="AB597" s="30" t="inlineStr">
        <is>
          <t>Yes</t>
        </is>
      </c>
      <c r="AC597" s="27" t="n"/>
      <c r="AD597" s="31" t="inlineStr">
        <is>
          <t>No</t>
        </is>
      </c>
      <c r="AE597" s="32">
        <f>IF(W597="","",IF(Z597="Yes","❌ Disc",IF(Y597="No","⚠ Missing",IF(AB597="Yes","✓ OK","⚠ Check"))))</f>
        <v/>
      </c>
      <c r="AF597" s="33" t="n"/>
      <c r="AG597" s="33" t="n"/>
      <c r="AH597" s="33" t="n"/>
      <c r="AI597" s="33" t="n"/>
      <c r="AJ597" s="33" t="n"/>
      <c r="AK597" s="33" t="n"/>
      <c r="AL597" s="27" t="n"/>
      <c r="AM597" s="34" t="n"/>
      <c r="AN597" s="35">
        <f>IF(AF597="","",IF(AI597="Yes","❌ Disc",IF(AH597="No","⚠ Missing",IF(AK597="Yes","✓ OK","⚠ Check"))))</f>
        <v/>
      </c>
      <c r="AO597" s="36" t="n"/>
      <c r="AP597" s="36" t="n"/>
      <c r="AQ597" s="36" t="n"/>
      <c r="AR597" s="36" t="n"/>
      <c r="AS597" s="36" t="n"/>
      <c r="AT597" s="36" t="n"/>
      <c r="AU597" s="27" t="n"/>
      <c r="AV597" s="37" t="n"/>
      <c r="AW597" s="38">
        <f>IF(AO597="","",IF(AR597="Yes","❌ Disc",IF(AQ597="No","⚠ Missing",IF(AT597="Yes","✓ OK","⚠ Check"))))</f>
        <v/>
      </c>
    </row>
    <row r="598" ht="18" customHeight="1" s="46">
      <c r="A598" s="39" t="n">
        <v>594</v>
      </c>
      <c r="B598" s="40" t="inlineStr">
        <is>
          <t>WP LNCSF1043458</t>
        </is>
      </c>
      <c r="C598" s="41" t="inlineStr">
        <is>
          <t>Life n Colors - 3D Moulding Design Wallpaper, Customised for Walls  - Non-woven - a soft feel paper</t>
        </is>
      </c>
      <c r="D598" s="39" t="inlineStr">
        <is>
          <t>Life n Colors</t>
        </is>
      </c>
      <c r="E598" s="43" t="n">
        <v>46126</v>
      </c>
      <c r="F598" s="26" t="inlineStr">
        <is>
          <t>Sunil CR</t>
        </is>
      </c>
      <c r="G598" s="26" t="inlineStr">
        <is>
          <t>Yes</t>
        </is>
      </c>
      <c r="H598" s="26" t="inlineStr">
        <is>
          <t>No</t>
        </is>
      </c>
      <c r="I598" s="26" t="inlineStr">
        <is>
          <t>Good finish</t>
        </is>
      </c>
      <c r="J598" s="26" t="inlineStr">
        <is>
          <t>Yes</t>
        </is>
      </c>
      <c r="K598" s="27" t="n"/>
      <c r="L598" s="28" t="inlineStr">
        <is>
          <t>No</t>
        </is>
      </c>
      <c r="M598" s="29">
        <f>IF(E598="","",IF(H598="Yes","❌ Disc",IF(G598="No","⚠ Missing",IF(J598="Yes","✓ OK","⚠ Check"))))</f>
        <v/>
      </c>
      <c r="N598" s="43" t="n">
        <v>46193</v>
      </c>
      <c r="O598" s="26" t="inlineStr">
        <is>
          <t>Sunil CR</t>
        </is>
      </c>
      <c r="P598" s="26" t="inlineStr">
        <is>
          <t>Yes</t>
        </is>
      </c>
      <c r="Q598" s="26" t="inlineStr">
        <is>
          <t>No</t>
        </is>
      </c>
      <c r="R598" s="26" t="inlineStr">
        <is>
          <t>Good finish</t>
        </is>
      </c>
      <c r="S598" s="26" t="inlineStr">
        <is>
          <t>Yes</t>
        </is>
      </c>
      <c r="T598" s="27" t="n"/>
      <c r="U598" s="28" t="inlineStr">
        <is>
          <t>No</t>
        </is>
      </c>
      <c r="V598" s="29">
        <f>IF(N598="","",IF(Q598="Yes","❌ Disc",IF(P598="No","⚠ Missing",IF(S598="Yes","✓ OK","⚠ Check"))))</f>
        <v/>
      </c>
      <c r="W598" s="65" t="n">
        <v>46248</v>
      </c>
      <c r="X598" s="30" t="inlineStr">
        <is>
          <t>Sunil CR</t>
        </is>
      </c>
      <c r="Y598" s="30" t="inlineStr">
        <is>
          <t>Yes</t>
        </is>
      </c>
      <c r="Z598" s="30" t="n"/>
      <c r="AA598" s="30" t="inlineStr">
        <is>
          <t>Good finish</t>
        </is>
      </c>
      <c r="AB598" s="30" t="inlineStr">
        <is>
          <t>Yes</t>
        </is>
      </c>
      <c r="AC598" s="27" t="n"/>
      <c r="AD598" s="31" t="inlineStr">
        <is>
          <t>No</t>
        </is>
      </c>
      <c r="AE598" s="32">
        <f>IF(W598="","",IF(Z598="Yes","❌ Disc",IF(Y598="No","⚠ Missing",IF(AB598="Yes","✓ OK","⚠ Check"))))</f>
        <v/>
      </c>
      <c r="AF598" s="33" t="n"/>
      <c r="AG598" s="33" t="n"/>
      <c r="AH598" s="33" t="n"/>
      <c r="AI598" s="33" t="n"/>
      <c r="AJ598" s="33" t="n"/>
      <c r="AK598" s="33" t="n"/>
      <c r="AL598" s="27" t="n"/>
      <c r="AM598" s="34" t="n"/>
      <c r="AN598" s="35">
        <f>IF(AF598="","",IF(AI598="Yes","❌ Disc",IF(AH598="No","⚠ Missing",IF(AK598="Yes","✓ OK","⚠ Check"))))</f>
        <v/>
      </c>
      <c r="AO598" s="36" t="n"/>
      <c r="AP598" s="36" t="n"/>
      <c r="AQ598" s="36" t="n"/>
      <c r="AR598" s="36" t="n"/>
      <c r="AS598" s="36" t="n"/>
      <c r="AT598" s="36" t="n"/>
      <c r="AU598" s="27" t="n"/>
      <c r="AV598" s="37" t="n"/>
      <c r="AW598" s="38">
        <f>IF(AO598="","",IF(AR598="Yes","❌ Disc",IF(AQ598="No","⚠ Missing",IF(AT598="Yes","✓ OK","⚠ Check"))))</f>
        <v/>
      </c>
    </row>
    <row r="599" ht="18" customHeight="1" s="46">
      <c r="A599" s="23" t="n">
        <v>595</v>
      </c>
      <c r="B599" s="24" t="inlineStr">
        <is>
          <t>WP LNCCN1124405</t>
        </is>
      </c>
      <c r="C599" s="25" t="inlineStr">
        <is>
          <t>Life n Colors - 3D Moulding Wall Panel Theme Wallpaper  -  Canvas - a texture paper</t>
        </is>
      </c>
      <c r="D599" s="23" t="inlineStr">
        <is>
          <t>Life n Colors</t>
        </is>
      </c>
      <c r="E599" s="43" t="n">
        <v>46126</v>
      </c>
      <c r="F599" s="26" t="inlineStr">
        <is>
          <t>Sunil CR</t>
        </is>
      </c>
      <c r="G599" s="26" t="inlineStr">
        <is>
          <t>Yes</t>
        </is>
      </c>
      <c r="H599" s="26" t="inlineStr">
        <is>
          <t>No</t>
        </is>
      </c>
      <c r="I599" s="26" t="inlineStr">
        <is>
          <t>Good finish</t>
        </is>
      </c>
      <c r="J599" s="26" t="inlineStr">
        <is>
          <t>Yes</t>
        </is>
      </c>
      <c r="K599" s="27" t="n"/>
      <c r="L599" s="28" t="inlineStr">
        <is>
          <t>No</t>
        </is>
      </c>
      <c r="M599" s="29">
        <f>IF(E599="","",IF(H599="Yes","❌ Disc",IF(G599="No","⚠ Missing",IF(J599="Yes","✓ OK","⚠ Check"))))</f>
        <v/>
      </c>
      <c r="N599" s="43" t="n">
        <v>46193</v>
      </c>
      <c r="O599" s="26" t="inlineStr">
        <is>
          <t>Sunil CR</t>
        </is>
      </c>
      <c r="P599" s="26" t="inlineStr">
        <is>
          <t>Yes</t>
        </is>
      </c>
      <c r="Q599" s="26" t="inlineStr">
        <is>
          <t>No</t>
        </is>
      </c>
      <c r="R599" s="26" t="inlineStr">
        <is>
          <t>Good finish</t>
        </is>
      </c>
      <c r="S599" s="26" t="inlineStr">
        <is>
          <t>Yes</t>
        </is>
      </c>
      <c r="T599" s="27" t="n"/>
      <c r="U599" s="28" t="inlineStr">
        <is>
          <t>No</t>
        </is>
      </c>
      <c r="V599" s="29">
        <f>IF(N599="","",IF(Q599="Yes","❌ Disc",IF(P599="No","⚠ Missing",IF(S599="Yes","✓ OK","⚠ Check"))))</f>
        <v/>
      </c>
      <c r="W599" s="65" t="n">
        <v>46248</v>
      </c>
      <c r="X599" s="30" t="inlineStr">
        <is>
          <t>Sunil CR</t>
        </is>
      </c>
      <c r="Y599" s="30" t="inlineStr">
        <is>
          <t>Yes</t>
        </is>
      </c>
      <c r="Z599" s="30" t="n"/>
      <c r="AA599" s="30" t="inlineStr">
        <is>
          <t>Good finish</t>
        </is>
      </c>
      <c r="AB599" s="30" t="inlineStr">
        <is>
          <t>Yes</t>
        </is>
      </c>
      <c r="AC599" s="27" t="n"/>
      <c r="AD599" s="31" t="inlineStr">
        <is>
          <t>No</t>
        </is>
      </c>
      <c r="AE599" s="32">
        <f>IF(W599="","",IF(Z599="Yes","❌ Disc",IF(Y599="No","⚠ Missing",IF(AB599="Yes","✓ OK","⚠ Check"))))</f>
        <v/>
      </c>
      <c r="AF599" s="33" t="n"/>
      <c r="AG599" s="33" t="n"/>
      <c r="AH599" s="33" t="n"/>
      <c r="AI599" s="33" t="n"/>
      <c r="AJ599" s="33" t="n"/>
      <c r="AK599" s="33" t="n"/>
      <c r="AL599" s="27" t="n"/>
      <c r="AM599" s="34" t="n"/>
      <c r="AN599" s="35">
        <f>IF(AF599="","",IF(AI599="Yes","❌ Disc",IF(AH599="No","⚠ Missing",IF(AK599="Yes","✓ OK","⚠ Check"))))</f>
        <v/>
      </c>
      <c r="AO599" s="36" t="n"/>
      <c r="AP599" s="36" t="n"/>
      <c r="AQ599" s="36" t="n"/>
      <c r="AR599" s="36" t="n"/>
      <c r="AS599" s="36" t="n"/>
      <c r="AT599" s="36" t="n"/>
      <c r="AU599" s="27" t="n"/>
      <c r="AV599" s="37" t="n"/>
      <c r="AW599" s="38">
        <f>IF(AO599="","",IF(AR599="Yes","❌ Disc",IF(AQ599="No","⚠ Missing",IF(AT599="Yes","✓ OK","⚠ Check"))))</f>
        <v/>
      </c>
    </row>
    <row r="600" ht="18" customHeight="1" s="46">
      <c r="A600" s="39" t="n">
        <v>596</v>
      </c>
      <c r="B600" s="40" t="inlineStr">
        <is>
          <t>WP LNCSF1124405</t>
        </is>
      </c>
      <c r="C600" s="41" t="inlineStr">
        <is>
          <t>Life n Colors - 3D Moulding Wall Panel Theme Wallpaper  - Non-woven - a soft feel paper</t>
        </is>
      </c>
      <c r="D600" s="39" t="inlineStr">
        <is>
          <t>Life n Colors</t>
        </is>
      </c>
      <c r="E600" s="43" t="n">
        <v>46126</v>
      </c>
      <c r="F600" s="26" t="inlineStr">
        <is>
          <t>Sunil CR</t>
        </is>
      </c>
      <c r="G600" s="26" t="inlineStr">
        <is>
          <t>Yes</t>
        </is>
      </c>
      <c r="H600" s="26" t="inlineStr">
        <is>
          <t>No</t>
        </is>
      </c>
      <c r="I600" s="26" t="inlineStr">
        <is>
          <t>Good finish</t>
        </is>
      </c>
      <c r="J600" s="26" t="inlineStr">
        <is>
          <t>Yes</t>
        </is>
      </c>
      <c r="K600" s="27" t="n"/>
      <c r="L600" s="28" t="inlineStr">
        <is>
          <t>No</t>
        </is>
      </c>
      <c r="M600" s="29">
        <f>IF(E600="","",IF(H600="Yes","❌ Disc",IF(G600="No","⚠ Missing",IF(J600="Yes","✓ OK","⚠ Check"))))</f>
        <v/>
      </c>
      <c r="N600" s="43" t="n">
        <v>46193</v>
      </c>
      <c r="O600" s="26" t="inlineStr">
        <is>
          <t>Sunil CR</t>
        </is>
      </c>
      <c r="P600" s="26" t="inlineStr">
        <is>
          <t>Yes</t>
        </is>
      </c>
      <c r="Q600" s="26" t="inlineStr">
        <is>
          <t>No</t>
        </is>
      </c>
      <c r="R600" s="26" t="inlineStr">
        <is>
          <t>Good finish</t>
        </is>
      </c>
      <c r="S600" s="26" t="inlineStr">
        <is>
          <t>Yes</t>
        </is>
      </c>
      <c r="T600" s="27" t="n"/>
      <c r="U600" s="28" t="inlineStr">
        <is>
          <t>No</t>
        </is>
      </c>
      <c r="V600" s="29">
        <f>IF(N600="","",IF(Q600="Yes","❌ Disc",IF(P600="No","⚠ Missing",IF(S600="Yes","✓ OK","⚠ Check"))))</f>
        <v/>
      </c>
      <c r="W600" s="65" t="n">
        <v>46248</v>
      </c>
      <c r="X600" s="30" t="inlineStr">
        <is>
          <t>Sunil CR</t>
        </is>
      </c>
      <c r="Y600" s="30" t="inlineStr">
        <is>
          <t>Yes</t>
        </is>
      </c>
      <c r="Z600" s="30" t="n"/>
      <c r="AA600" s="30" t="inlineStr">
        <is>
          <t>Good finish</t>
        </is>
      </c>
      <c r="AB600" s="30" t="inlineStr">
        <is>
          <t>Yes</t>
        </is>
      </c>
      <c r="AC600" s="27" t="n"/>
      <c r="AD600" s="31" t="inlineStr">
        <is>
          <t>No</t>
        </is>
      </c>
      <c r="AE600" s="32">
        <f>IF(W600="","",IF(Z600="Yes","❌ Disc",IF(Y600="No","⚠ Missing",IF(AB600="Yes","✓ OK","⚠ Check"))))</f>
        <v/>
      </c>
      <c r="AF600" s="33" t="n"/>
      <c r="AG600" s="33" t="n"/>
      <c r="AH600" s="33" t="n"/>
      <c r="AI600" s="33" t="n"/>
      <c r="AJ600" s="33" t="n"/>
      <c r="AK600" s="33" t="n"/>
      <c r="AL600" s="27" t="n"/>
      <c r="AM600" s="34" t="n"/>
      <c r="AN600" s="35">
        <f>IF(AF600="","",IF(AI600="Yes","❌ Disc",IF(AH600="No","⚠ Missing",IF(AK600="Yes","✓ OK","⚠ Check"))))</f>
        <v/>
      </c>
      <c r="AO600" s="36" t="n"/>
      <c r="AP600" s="36" t="n"/>
      <c r="AQ600" s="36" t="n"/>
      <c r="AR600" s="36" t="n"/>
      <c r="AS600" s="36" t="n"/>
      <c r="AT600" s="36" t="n"/>
      <c r="AU600" s="27" t="n"/>
      <c r="AV600" s="37" t="n"/>
      <c r="AW600" s="38">
        <f>IF(AO600="","",IF(AR600="Yes","❌ Disc",IF(AQ600="No","⚠ Missing",IF(AT600="Yes","✓ OK","⚠ Check"))))</f>
        <v/>
      </c>
    </row>
    <row r="601" ht="18" customHeight="1" s="46">
      <c r="A601" s="23" t="n">
        <v>597</v>
      </c>
      <c r="B601" s="24" t="inlineStr">
        <is>
          <t>WP LNCCN1005893</t>
        </is>
      </c>
      <c r="C601" s="25" t="inlineStr">
        <is>
          <t>Life n Colors - 3D Red Brick Wallpaper for Home and Office  -  Canvas - a texture paper</t>
        </is>
      </c>
      <c r="D601" s="23" t="inlineStr">
        <is>
          <t>Life n Colors</t>
        </is>
      </c>
      <c r="E601" s="43" t="n">
        <v>46126</v>
      </c>
      <c r="F601" s="26" t="inlineStr">
        <is>
          <t>Sunil CR</t>
        </is>
      </c>
      <c r="G601" s="26" t="inlineStr">
        <is>
          <t>Yes</t>
        </is>
      </c>
      <c r="H601" s="26" t="inlineStr">
        <is>
          <t>No</t>
        </is>
      </c>
      <c r="I601" s="26" t="inlineStr">
        <is>
          <t>Good finish</t>
        </is>
      </c>
      <c r="J601" s="26" t="inlineStr">
        <is>
          <t>Yes</t>
        </is>
      </c>
      <c r="K601" s="27" t="n"/>
      <c r="L601" s="28" t="inlineStr">
        <is>
          <t>No</t>
        </is>
      </c>
      <c r="M601" s="29">
        <f>IF(E601="","",IF(H601="Yes","❌ Disc",IF(G601="No","⚠ Missing",IF(J601="Yes","✓ OK","⚠ Check"))))</f>
        <v/>
      </c>
      <c r="N601" s="43" t="n">
        <v>46193</v>
      </c>
      <c r="O601" s="26" t="inlineStr">
        <is>
          <t>Sunil CR</t>
        </is>
      </c>
      <c r="P601" s="26" t="inlineStr">
        <is>
          <t>Yes</t>
        </is>
      </c>
      <c r="Q601" s="26" t="inlineStr">
        <is>
          <t>No</t>
        </is>
      </c>
      <c r="R601" s="26" t="inlineStr">
        <is>
          <t>Good finish</t>
        </is>
      </c>
      <c r="S601" s="26" t="inlineStr">
        <is>
          <t>Yes</t>
        </is>
      </c>
      <c r="T601" s="27" t="n"/>
      <c r="U601" s="28" t="inlineStr">
        <is>
          <t>No</t>
        </is>
      </c>
      <c r="V601" s="29">
        <f>IF(N601="","",IF(Q601="Yes","❌ Disc",IF(P601="No","⚠ Missing",IF(S601="Yes","✓ OK","⚠ Check"))))</f>
        <v/>
      </c>
      <c r="W601" s="65" t="n">
        <v>46248</v>
      </c>
      <c r="X601" s="30" t="inlineStr">
        <is>
          <t>Sunil CR</t>
        </is>
      </c>
      <c r="Y601" s="30" t="inlineStr">
        <is>
          <t>Yes</t>
        </is>
      </c>
      <c r="Z601" s="30" t="n"/>
      <c r="AA601" s="30" t="inlineStr">
        <is>
          <t>Good finish</t>
        </is>
      </c>
      <c r="AB601" s="30" t="inlineStr">
        <is>
          <t>Yes</t>
        </is>
      </c>
      <c r="AC601" s="27" t="n"/>
      <c r="AD601" s="31" t="inlineStr">
        <is>
          <t>No</t>
        </is>
      </c>
      <c r="AE601" s="32">
        <f>IF(W601="","",IF(Z601="Yes","❌ Disc",IF(Y601="No","⚠ Missing",IF(AB601="Yes","✓ OK","⚠ Check"))))</f>
        <v/>
      </c>
      <c r="AF601" s="33" t="n"/>
      <c r="AG601" s="33" t="n"/>
      <c r="AH601" s="33" t="n"/>
      <c r="AI601" s="33" t="n"/>
      <c r="AJ601" s="33" t="n"/>
      <c r="AK601" s="33" t="n"/>
      <c r="AL601" s="27" t="n"/>
      <c r="AM601" s="34" t="n"/>
      <c r="AN601" s="35">
        <f>IF(AF601="","",IF(AI601="Yes","❌ Disc",IF(AH601="No","⚠ Missing",IF(AK601="Yes","✓ OK","⚠ Check"))))</f>
        <v/>
      </c>
      <c r="AO601" s="36" t="n"/>
      <c r="AP601" s="36" t="n"/>
      <c r="AQ601" s="36" t="n"/>
      <c r="AR601" s="36" t="n"/>
      <c r="AS601" s="36" t="n"/>
      <c r="AT601" s="36" t="n"/>
      <c r="AU601" s="27" t="n"/>
      <c r="AV601" s="37" t="n"/>
      <c r="AW601" s="38">
        <f>IF(AO601="","",IF(AR601="Yes","❌ Disc",IF(AQ601="No","⚠ Missing",IF(AT601="Yes","✓ OK","⚠ Check"))))</f>
        <v/>
      </c>
    </row>
    <row r="602" ht="18" customHeight="1" s="46">
      <c r="A602" s="39" t="n">
        <v>598</v>
      </c>
      <c r="B602" s="40" t="inlineStr">
        <is>
          <t>WP LNCSF1005893</t>
        </is>
      </c>
      <c r="C602" s="41" t="inlineStr">
        <is>
          <t>Life n Colors - 3D Red Brick Wallpaper for Home and Office  - Non-woven - a soft feel paper</t>
        </is>
      </c>
      <c r="D602" s="39" t="inlineStr">
        <is>
          <t>Life n Colors</t>
        </is>
      </c>
      <c r="E602" s="43" t="n">
        <v>46126</v>
      </c>
      <c r="F602" s="26" t="inlineStr">
        <is>
          <t>Sunil CR</t>
        </is>
      </c>
      <c r="G602" s="26" t="inlineStr">
        <is>
          <t>Yes</t>
        </is>
      </c>
      <c r="H602" s="26" t="inlineStr">
        <is>
          <t>No</t>
        </is>
      </c>
      <c r="I602" s="26" t="inlineStr">
        <is>
          <t>Good finish</t>
        </is>
      </c>
      <c r="J602" s="26" t="inlineStr">
        <is>
          <t>Yes</t>
        </is>
      </c>
      <c r="K602" s="27" t="n"/>
      <c r="L602" s="28" t="inlineStr">
        <is>
          <t>No</t>
        </is>
      </c>
      <c r="M602" s="29">
        <f>IF(E602="","",IF(H602="Yes","❌ Disc",IF(G602="No","⚠ Missing",IF(J602="Yes","✓ OK","⚠ Check"))))</f>
        <v/>
      </c>
      <c r="N602" s="43" t="n">
        <v>46193</v>
      </c>
      <c r="O602" s="26" t="inlineStr">
        <is>
          <t>Sunil CR</t>
        </is>
      </c>
      <c r="P602" s="26" t="inlineStr">
        <is>
          <t>Yes</t>
        </is>
      </c>
      <c r="Q602" s="26" t="inlineStr">
        <is>
          <t>No</t>
        </is>
      </c>
      <c r="R602" s="26" t="inlineStr">
        <is>
          <t>Good finish</t>
        </is>
      </c>
      <c r="S602" s="26" t="inlineStr">
        <is>
          <t>Yes</t>
        </is>
      </c>
      <c r="T602" s="27" t="n"/>
      <c r="U602" s="28" t="inlineStr">
        <is>
          <t>No</t>
        </is>
      </c>
      <c r="V602" s="29">
        <f>IF(N602="","",IF(Q602="Yes","❌ Disc",IF(P602="No","⚠ Missing",IF(S602="Yes","✓ OK","⚠ Check"))))</f>
        <v/>
      </c>
      <c r="W602" s="65" t="n">
        <v>46248</v>
      </c>
      <c r="X602" s="30" t="inlineStr">
        <is>
          <t>Sunil CR</t>
        </is>
      </c>
      <c r="Y602" s="30" t="inlineStr">
        <is>
          <t>Yes</t>
        </is>
      </c>
      <c r="Z602" s="30" t="n"/>
      <c r="AA602" s="30" t="inlineStr">
        <is>
          <t>Good finish</t>
        </is>
      </c>
      <c r="AB602" s="30" t="inlineStr">
        <is>
          <t>Yes</t>
        </is>
      </c>
      <c r="AC602" s="27" t="n"/>
      <c r="AD602" s="31" t="inlineStr">
        <is>
          <t>No</t>
        </is>
      </c>
      <c r="AE602" s="32">
        <f>IF(W602="","",IF(Z602="Yes","❌ Disc",IF(Y602="No","⚠ Missing",IF(AB602="Yes","✓ OK","⚠ Check"))))</f>
        <v/>
      </c>
      <c r="AF602" s="33" t="n"/>
      <c r="AG602" s="33" t="n"/>
      <c r="AH602" s="33" t="n"/>
      <c r="AI602" s="33" t="n"/>
      <c r="AJ602" s="33" t="n"/>
      <c r="AK602" s="33" t="n"/>
      <c r="AL602" s="27" t="n"/>
      <c r="AM602" s="34" t="n"/>
      <c r="AN602" s="35">
        <f>IF(AF602="","",IF(AI602="Yes","❌ Disc",IF(AH602="No","⚠ Missing",IF(AK602="Yes","✓ OK","⚠ Check"))))</f>
        <v/>
      </c>
      <c r="AO602" s="36" t="n"/>
      <c r="AP602" s="36" t="n"/>
      <c r="AQ602" s="36" t="n"/>
      <c r="AR602" s="36" t="n"/>
      <c r="AS602" s="36" t="n"/>
      <c r="AT602" s="36" t="n"/>
      <c r="AU602" s="27" t="n"/>
      <c r="AV602" s="37" t="n"/>
      <c r="AW602" s="38">
        <f>IF(AO602="","",IF(AR602="Yes","❌ Disc",IF(AQ602="No","⚠ Missing",IF(AT602="Yes","✓ OK","⚠ Check"))))</f>
        <v/>
      </c>
    </row>
    <row r="603" ht="18" customHeight="1" s="46">
      <c r="A603" s="23" t="n">
        <v>599</v>
      </c>
      <c r="B603" s="24" t="inlineStr">
        <is>
          <t>WP LNCCN1004041</t>
        </is>
      </c>
      <c r="C603" s="25" t="inlineStr">
        <is>
          <t>Life n Colors - 3D Stone Tiles Themed Wallpaper for Walls  -  Canvas - a texture paper</t>
        </is>
      </c>
      <c r="D603" s="23" t="inlineStr">
        <is>
          <t>Life n Colors</t>
        </is>
      </c>
      <c r="E603" s="43" t="n">
        <v>46126</v>
      </c>
      <c r="F603" s="26" t="inlineStr">
        <is>
          <t>Sunil CR</t>
        </is>
      </c>
      <c r="G603" s="26" t="inlineStr">
        <is>
          <t>Yes</t>
        </is>
      </c>
      <c r="H603" s="26" t="inlineStr">
        <is>
          <t>No</t>
        </is>
      </c>
      <c r="I603" s="26" t="inlineStr">
        <is>
          <t>Good finish</t>
        </is>
      </c>
      <c r="J603" s="26" t="inlineStr">
        <is>
          <t>Yes</t>
        </is>
      </c>
      <c r="K603" s="27" t="n"/>
      <c r="L603" s="28" t="inlineStr">
        <is>
          <t>No</t>
        </is>
      </c>
      <c r="M603" s="29">
        <f>IF(E603="","",IF(H603="Yes","❌ Disc",IF(G603="No","⚠ Missing",IF(J603="Yes","✓ OK","⚠ Check"))))</f>
        <v/>
      </c>
      <c r="N603" s="43" t="n">
        <v>46193</v>
      </c>
      <c r="O603" s="26" t="inlineStr">
        <is>
          <t>Sunil CR</t>
        </is>
      </c>
      <c r="P603" s="26" t="inlineStr">
        <is>
          <t>Yes</t>
        </is>
      </c>
      <c r="Q603" s="26" t="inlineStr">
        <is>
          <t>No</t>
        </is>
      </c>
      <c r="R603" s="26" t="inlineStr">
        <is>
          <t>Good finish</t>
        </is>
      </c>
      <c r="S603" s="26" t="inlineStr">
        <is>
          <t>Yes</t>
        </is>
      </c>
      <c r="T603" s="27" t="n"/>
      <c r="U603" s="28" t="inlineStr">
        <is>
          <t>No</t>
        </is>
      </c>
      <c r="V603" s="29">
        <f>IF(N603="","",IF(Q603="Yes","❌ Disc",IF(P603="No","⚠ Missing",IF(S603="Yes","✓ OK","⚠ Check"))))</f>
        <v/>
      </c>
      <c r="W603" s="65" t="n">
        <v>46248</v>
      </c>
      <c r="X603" s="30" t="inlineStr">
        <is>
          <t>Sunil CR</t>
        </is>
      </c>
      <c r="Y603" s="30" t="inlineStr">
        <is>
          <t>Yes</t>
        </is>
      </c>
      <c r="Z603" s="30" t="n"/>
      <c r="AA603" s="30" t="inlineStr">
        <is>
          <t>Good finish</t>
        </is>
      </c>
      <c r="AB603" s="30" t="inlineStr">
        <is>
          <t>Yes</t>
        </is>
      </c>
      <c r="AC603" s="27" t="n"/>
      <c r="AD603" s="31" t="inlineStr">
        <is>
          <t>No</t>
        </is>
      </c>
      <c r="AE603" s="32">
        <f>IF(W603="","",IF(Z603="Yes","❌ Disc",IF(Y603="No","⚠ Missing",IF(AB603="Yes","✓ OK","⚠ Check"))))</f>
        <v/>
      </c>
      <c r="AF603" s="33" t="n"/>
      <c r="AG603" s="33" t="n"/>
      <c r="AH603" s="33" t="n"/>
      <c r="AI603" s="33" t="n"/>
      <c r="AJ603" s="33" t="n"/>
      <c r="AK603" s="33" t="n"/>
      <c r="AL603" s="27" t="n"/>
      <c r="AM603" s="34" t="n"/>
      <c r="AN603" s="35">
        <f>IF(AF603="","",IF(AI603="Yes","❌ Disc",IF(AH603="No","⚠ Missing",IF(AK603="Yes","✓ OK","⚠ Check"))))</f>
        <v/>
      </c>
      <c r="AO603" s="36" t="n"/>
      <c r="AP603" s="36" t="n"/>
      <c r="AQ603" s="36" t="n"/>
      <c r="AR603" s="36" t="n"/>
      <c r="AS603" s="36" t="n"/>
      <c r="AT603" s="36" t="n"/>
      <c r="AU603" s="27" t="n"/>
      <c r="AV603" s="37" t="n"/>
      <c r="AW603" s="38">
        <f>IF(AO603="","",IF(AR603="Yes","❌ Disc",IF(AQ603="No","⚠ Missing",IF(AT603="Yes","✓ OK","⚠ Check"))))</f>
        <v/>
      </c>
    </row>
    <row r="604" ht="18" customHeight="1" s="46">
      <c r="A604" s="39" t="n">
        <v>600</v>
      </c>
      <c r="B604" s="40" t="inlineStr">
        <is>
          <t>WP LNCSF1004041</t>
        </is>
      </c>
      <c r="C604" s="41" t="inlineStr">
        <is>
          <t>Life n Colors - 3D Stone Tiles Themed Wallpaper for Walls  - Non-woven - a soft feel paper</t>
        </is>
      </c>
      <c r="D604" s="39" t="inlineStr">
        <is>
          <t>Life n Colors</t>
        </is>
      </c>
      <c r="E604" s="43" t="n">
        <v>46126</v>
      </c>
      <c r="F604" s="26" t="inlineStr">
        <is>
          <t>Sunil CR</t>
        </is>
      </c>
      <c r="G604" s="26" t="inlineStr">
        <is>
          <t>Yes</t>
        </is>
      </c>
      <c r="H604" s="26" t="inlineStr">
        <is>
          <t>No</t>
        </is>
      </c>
      <c r="I604" s="26" t="inlineStr">
        <is>
          <t>Good finish</t>
        </is>
      </c>
      <c r="J604" s="26" t="inlineStr">
        <is>
          <t>Yes</t>
        </is>
      </c>
      <c r="K604" s="27" t="n"/>
      <c r="L604" s="28" t="inlineStr">
        <is>
          <t>No</t>
        </is>
      </c>
      <c r="M604" s="29">
        <f>IF(E604="","",IF(H604="Yes","❌ Disc",IF(G604="No","⚠ Missing",IF(J604="Yes","✓ OK","⚠ Check"))))</f>
        <v/>
      </c>
      <c r="N604" s="43" t="n">
        <v>46193</v>
      </c>
      <c r="O604" s="26" t="inlineStr">
        <is>
          <t>Sunil CR</t>
        </is>
      </c>
      <c r="P604" s="26" t="inlineStr">
        <is>
          <t>Yes</t>
        </is>
      </c>
      <c r="Q604" s="26" t="inlineStr">
        <is>
          <t>No</t>
        </is>
      </c>
      <c r="R604" s="26" t="inlineStr">
        <is>
          <t>Good finish</t>
        </is>
      </c>
      <c r="S604" s="26" t="inlineStr">
        <is>
          <t>Yes</t>
        </is>
      </c>
      <c r="T604" s="27" t="n"/>
      <c r="U604" s="28" t="inlineStr">
        <is>
          <t>No</t>
        </is>
      </c>
      <c r="V604" s="29">
        <f>IF(N604="","",IF(Q604="Yes","❌ Disc",IF(P604="No","⚠ Missing",IF(S604="Yes","✓ OK","⚠ Check"))))</f>
        <v/>
      </c>
      <c r="W604" s="65" t="n">
        <v>46248</v>
      </c>
      <c r="X604" s="30" t="inlineStr">
        <is>
          <t>Sunil CR</t>
        </is>
      </c>
      <c r="Y604" s="30" t="inlineStr">
        <is>
          <t>Yes</t>
        </is>
      </c>
      <c r="Z604" s="30" t="n"/>
      <c r="AA604" s="30" t="inlineStr">
        <is>
          <t>Good finish</t>
        </is>
      </c>
      <c r="AB604" s="30" t="inlineStr">
        <is>
          <t>Yes</t>
        </is>
      </c>
      <c r="AC604" s="27" t="n"/>
      <c r="AD604" s="31" t="inlineStr">
        <is>
          <t>No</t>
        </is>
      </c>
      <c r="AE604" s="32">
        <f>IF(W604="","",IF(Z604="Yes","❌ Disc",IF(Y604="No","⚠ Missing",IF(AB604="Yes","✓ OK","⚠ Check"))))</f>
        <v/>
      </c>
      <c r="AF604" s="33" t="n"/>
      <c r="AG604" s="33" t="n"/>
      <c r="AH604" s="33" t="n"/>
      <c r="AI604" s="33" t="n"/>
      <c r="AJ604" s="33" t="n"/>
      <c r="AK604" s="33" t="n"/>
      <c r="AL604" s="27" t="n"/>
      <c r="AM604" s="34" t="n"/>
      <c r="AN604" s="35">
        <f>IF(AF604="","",IF(AI604="Yes","❌ Disc",IF(AH604="No","⚠ Missing",IF(AK604="Yes","✓ OK","⚠ Check"))))</f>
        <v/>
      </c>
      <c r="AO604" s="36" t="n"/>
      <c r="AP604" s="36" t="n"/>
      <c r="AQ604" s="36" t="n"/>
      <c r="AR604" s="36" t="n"/>
      <c r="AS604" s="36" t="n"/>
      <c r="AT604" s="36" t="n"/>
      <c r="AU604" s="27" t="n"/>
      <c r="AV604" s="37" t="n"/>
      <c r="AW604" s="38">
        <f>IF(AO604="","",IF(AR604="Yes","❌ Disc",IF(AQ604="No","⚠ Missing",IF(AT604="Yes","✓ OK","⚠ Check"))))</f>
        <v/>
      </c>
    </row>
    <row r="605" ht="18" customHeight="1" s="46">
      <c r="A605" s="23" t="n">
        <v>601</v>
      </c>
      <c r="B605" s="24" t="inlineStr">
        <is>
          <t>WP LNCCN1008273</t>
        </is>
      </c>
      <c r="C605" s="25" t="inlineStr">
        <is>
          <t>Life n Colors - 3D Wooden Looks Geometric Panels for Room Walls, Customised  -  Canvas - a texture paper</t>
        </is>
      </c>
      <c r="D605" s="23" t="inlineStr">
        <is>
          <t>Life n Colors</t>
        </is>
      </c>
      <c r="E605" s="43" t="n">
        <v>46126</v>
      </c>
      <c r="F605" s="26" t="inlineStr">
        <is>
          <t>Sunil CR</t>
        </is>
      </c>
      <c r="G605" s="26" t="inlineStr">
        <is>
          <t>Yes</t>
        </is>
      </c>
      <c r="H605" s="26" t="inlineStr">
        <is>
          <t>No</t>
        </is>
      </c>
      <c r="I605" s="26" t="inlineStr">
        <is>
          <t>Good finish</t>
        </is>
      </c>
      <c r="J605" s="26" t="inlineStr">
        <is>
          <t>Yes</t>
        </is>
      </c>
      <c r="K605" s="27" t="n"/>
      <c r="L605" s="28" t="inlineStr">
        <is>
          <t>No</t>
        </is>
      </c>
      <c r="M605" s="29">
        <f>IF(E605="","",IF(H605="Yes","❌ Disc",IF(G605="No","⚠ Missing",IF(J605="Yes","✓ OK","⚠ Check"))))</f>
        <v/>
      </c>
      <c r="N605" s="43" t="n">
        <v>46193</v>
      </c>
      <c r="O605" s="26" t="inlineStr">
        <is>
          <t>Sunil CR</t>
        </is>
      </c>
      <c r="P605" s="26" t="inlineStr">
        <is>
          <t>Yes</t>
        </is>
      </c>
      <c r="Q605" s="26" t="inlineStr">
        <is>
          <t>No</t>
        </is>
      </c>
      <c r="R605" s="26" t="inlineStr">
        <is>
          <t>Good finish</t>
        </is>
      </c>
      <c r="S605" s="26" t="inlineStr">
        <is>
          <t>Yes</t>
        </is>
      </c>
      <c r="T605" s="27" t="n"/>
      <c r="U605" s="28" t="inlineStr">
        <is>
          <t>No</t>
        </is>
      </c>
      <c r="V605" s="29">
        <f>IF(N605="","",IF(Q605="Yes","❌ Disc",IF(P605="No","⚠ Missing",IF(S605="Yes","✓ OK","⚠ Check"))))</f>
        <v/>
      </c>
      <c r="W605" s="65" t="n">
        <v>46248</v>
      </c>
      <c r="X605" s="30" t="inlineStr">
        <is>
          <t>Sunil CR</t>
        </is>
      </c>
      <c r="Y605" s="30" t="inlineStr">
        <is>
          <t>Yes</t>
        </is>
      </c>
      <c r="Z605" s="30" t="n"/>
      <c r="AA605" s="30" t="inlineStr">
        <is>
          <t>Good finish</t>
        </is>
      </c>
      <c r="AB605" s="30" t="inlineStr">
        <is>
          <t>Yes</t>
        </is>
      </c>
      <c r="AC605" s="27" t="n"/>
      <c r="AD605" s="31" t="inlineStr">
        <is>
          <t>No</t>
        </is>
      </c>
      <c r="AE605" s="32">
        <f>IF(W605="","",IF(Z605="Yes","❌ Disc",IF(Y605="No","⚠ Missing",IF(AB605="Yes","✓ OK","⚠ Check"))))</f>
        <v/>
      </c>
      <c r="AF605" s="33" t="n"/>
      <c r="AG605" s="33" t="n"/>
      <c r="AH605" s="33" t="n"/>
      <c r="AI605" s="33" t="n"/>
      <c r="AJ605" s="33" t="n"/>
      <c r="AK605" s="33" t="n"/>
      <c r="AL605" s="27" t="n"/>
      <c r="AM605" s="34" t="n"/>
      <c r="AN605" s="35">
        <f>IF(AF605="","",IF(AI605="Yes","❌ Disc",IF(AH605="No","⚠ Missing",IF(AK605="Yes","✓ OK","⚠ Check"))))</f>
        <v/>
      </c>
      <c r="AO605" s="36" t="n"/>
      <c r="AP605" s="36" t="n"/>
      <c r="AQ605" s="36" t="n"/>
      <c r="AR605" s="36" t="n"/>
      <c r="AS605" s="36" t="n"/>
      <c r="AT605" s="36" t="n"/>
      <c r="AU605" s="27" t="n"/>
      <c r="AV605" s="37" t="n"/>
      <c r="AW605" s="38">
        <f>IF(AO605="","",IF(AR605="Yes","❌ Disc",IF(AQ605="No","⚠ Missing",IF(AT605="Yes","✓ OK","⚠ Check"))))</f>
        <v/>
      </c>
    </row>
    <row r="606" ht="18" customHeight="1" s="46">
      <c r="A606" s="39" t="n">
        <v>602</v>
      </c>
      <c r="B606" s="40" t="inlineStr">
        <is>
          <t>WP LNCSF1008273</t>
        </is>
      </c>
      <c r="C606" s="41" t="inlineStr">
        <is>
          <t>Life n Colors - 3D Wooden Looks Geometric Panels for Room Walls, Customised  - Non-woven - a soft feel paper</t>
        </is>
      </c>
      <c r="D606" s="39" t="inlineStr">
        <is>
          <t>Life n Colors</t>
        </is>
      </c>
      <c r="E606" s="43" t="n">
        <v>46126</v>
      </c>
      <c r="F606" s="26" t="inlineStr">
        <is>
          <t>Sunil CR</t>
        </is>
      </c>
      <c r="G606" s="26" t="inlineStr">
        <is>
          <t>Yes</t>
        </is>
      </c>
      <c r="H606" s="26" t="inlineStr">
        <is>
          <t>No</t>
        </is>
      </c>
      <c r="I606" s="26" t="inlineStr">
        <is>
          <t>Good finish</t>
        </is>
      </c>
      <c r="J606" s="26" t="inlineStr">
        <is>
          <t>Yes</t>
        </is>
      </c>
      <c r="K606" s="27" t="n"/>
      <c r="L606" s="28" t="inlineStr">
        <is>
          <t>No</t>
        </is>
      </c>
      <c r="M606" s="29">
        <f>IF(E606="","",IF(H606="Yes","❌ Disc",IF(G606="No","⚠ Missing",IF(J606="Yes","✓ OK","⚠ Check"))))</f>
        <v/>
      </c>
      <c r="N606" s="43" t="n">
        <v>46193</v>
      </c>
      <c r="O606" s="26" t="inlineStr">
        <is>
          <t>Sunil CR</t>
        </is>
      </c>
      <c r="P606" s="26" t="inlineStr">
        <is>
          <t>Yes</t>
        </is>
      </c>
      <c r="Q606" s="26" t="inlineStr">
        <is>
          <t>No</t>
        </is>
      </c>
      <c r="R606" s="26" t="inlineStr">
        <is>
          <t>Good finish</t>
        </is>
      </c>
      <c r="S606" s="26" t="inlineStr">
        <is>
          <t>Yes</t>
        </is>
      </c>
      <c r="T606" s="27" t="n"/>
      <c r="U606" s="28" t="inlineStr">
        <is>
          <t>No</t>
        </is>
      </c>
      <c r="V606" s="29">
        <f>IF(N606="","",IF(Q606="Yes","❌ Disc",IF(P606="No","⚠ Missing",IF(S606="Yes","✓ OK","⚠ Check"))))</f>
        <v/>
      </c>
      <c r="W606" s="65" t="n">
        <v>46248</v>
      </c>
      <c r="X606" s="30" t="inlineStr">
        <is>
          <t>Sunil CR</t>
        </is>
      </c>
      <c r="Y606" s="30" t="inlineStr">
        <is>
          <t>Yes</t>
        </is>
      </c>
      <c r="Z606" s="30" t="n"/>
      <c r="AA606" s="30" t="inlineStr">
        <is>
          <t>Good finish</t>
        </is>
      </c>
      <c r="AB606" s="30" t="inlineStr">
        <is>
          <t>Yes</t>
        </is>
      </c>
      <c r="AC606" s="27" t="n"/>
      <c r="AD606" s="31" t="inlineStr">
        <is>
          <t>No</t>
        </is>
      </c>
      <c r="AE606" s="32">
        <f>IF(W606="","",IF(Z606="Yes","❌ Disc",IF(Y606="No","⚠ Missing",IF(AB606="Yes","✓ OK","⚠ Check"))))</f>
        <v/>
      </c>
      <c r="AF606" s="33" t="n"/>
      <c r="AG606" s="33" t="n"/>
      <c r="AH606" s="33" t="n"/>
      <c r="AI606" s="33" t="n"/>
      <c r="AJ606" s="33" t="n"/>
      <c r="AK606" s="33" t="n"/>
      <c r="AL606" s="27" t="n"/>
      <c r="AM606" s="34" t="n"/>
      <c r="AN606" s="35">
        <f>IF(AF606="","",IF(AI606="Yes","❌ Disc",IF(AH606="No","⚠ Missing",IF(AK606="Yes","✓ OK","⚠ Check"))))</f>
        <v/>
      </c>
      <c r="AO606" s="36" t="n"/>
      <c r="AP606" s="36" t="n"/>
      <c r="AQ606" s="36" t="n"/>
      <c r="AR606" s="36" t="n"/>
      <c r="AS606" s="36" t="n"/>
      <c r="AT606" s="36" t="n"/>
      <c r="AU606" s="27" t="n"/>
      <c r="AV606" s="37" t="n"/>
      <c r="AW606" s="38">
        <f>IF(AO606="","",IF(AR606="Yes","❌ Disc",IF(AQ606="No","⚠ Missing",IF(AT606="Yes","✓ OK","⚠ Check"))))</f>
        <v/>
      </c>
    </row>
    <row r="607" ht="18" customHeight="1" s="46">
      <c r="A607" s="23" t="n">
        <v>603</v>
      </c>
      <c r="B607" s="24" t="inlineStr">
        <is>
          <t>WP LNCCN320686</t>
        </is>
      </c>
      <c r="C607" s="25" t="inlineStr">
        <is>
          <t>Life n Colors - A Jungle Village, Nature Theme Wallpaper  -  Canvas - a texture paper</t>
        </is>
      </c>
      <c r="D607" s="23" t="inlineStr">
        <is>
          <t>Life n Colors</t>
        </is>
      </c>
      <c r="E607" s="43" t="n">
        <v>46126</v>
      </c>
      <c r="F607" s="26" t="inlineStr">
        <is>
          <t>Sunil CR</t>
        </is>
      </c>
      <c r="G607" s="26" t="inlineStr">
        <is>
          <t>Yes</t>
        </is>
      </c>
      <c r="H607" s="26" t="inlineStr">
        <is>
          <t>No</t>
        </is>
      </c>
      <c r="I607" s="26" t="inlineStr">
        <is>
          <t>Good finish</t>
        </is>
      </c>
      <c r="J607" s="26" t="inlineStr">
        <is>
          <t>Yes</t>
        </is>
      </c>
      <c r="K607" s="27" t="n"/>
      <c r="L607" s="28" t="inlineStr">
        <is>
          <t>No</t>
        </is>
      </c>
      <c r="M607" s="29">
        <f>IF(E607="","",IF(H607="Yes","❌ Disc",IF(G607="No","⚠ Missing",IF(J607="Yes","✓ OK","⚠ Check"))))</f>
        <v/>
      </c>
      <c r="N607" s="43" t="n">
        <v>46193</v>
      </c>
      <c r="O607" s="26" t="inlineStr">
        <is>
          <t>Sunil CR</t>
        </is>
      </c>
      <c r="P607" s="26" t="inlineStr">
        <is>
          <t>Yes</t>
        </is>
      </c>
      <c r="Q607" s="26" t="inlineStr">
        <is>
          <t>No</t>
        </is>
      </c>
      <c r="R607" s="26" t="inlineStr">
        <is>
          <t>Good finish</t>
        </is>
      </c>
      <c r="S607" s="26" t="inlineStr">
        <is>
          <t>Yes</t>
        </is>
      </c>
      <c r="T607" s="27" t="n"/>
      <c r="U607" s="28" t="inlineStr">
        <is>
          <t>No</t>
        </is>
      </c>
      <c r="V607" s="29">
        <f>IF(N607="","",IF(Q607="Yes","❌ Disc",IF(P607="No","⚠ Missing",IF(S607="Yes","✓ OK","⚠ Check"))))</f>
        <v/>
      </c>
      <c r="W607" s="65" t="n">
        <v>46248</v>
      </c>
      <c r="X607" s="30" t="inlineStr">
        <is>
          <t>Sunil CR</t>
        </is>
      </c>
      <c r="Y607" s="30" t="inlineStr">
        <is>
          <t>Yes</t>
        </is>
      </c>
      <c r="Z607" s="30" t="n"/>
      <c r="AA607" s="30" t="inlineStr">
        <is>
          <t>Good finish</t>
        </is>
      </c>
      <c r="AB607" s="30" t="inlineStr">
        <is>
          <t>Yes</t>
        </is>
      </c>
      <c r="AC607" s="27" t="n"/>
      <c r="AD607" s="31" t="inlineStr">
        <is>
          <t>No</t>
        </is>
      </c>
      <c r="AE607" s="32">
        <f>IF(W607="","",IF(Z607="Yes","❌ Disc",IF(Y607="No","⚠ Missing",IF(AB607="Yes","✓ OK","⚠ Check"))))</f>
        <v/>
      </c>
      <c r="AF607" s="33" t="n"/>
      <c r="AG607" s="33" t="n"/>
      <c r="AH607" s="33" t="n"/>
      <c r="AI607" s="33" t="n"/>
      <c r="AJ607" s="33" t="n"/>
      <c r="AK607" s="33" t="n"/>
      <c r="AL607" s="27" t="n"/>
      <c r="AM607" s="34" t="n"/>
      <c r="AN607" s="35">
        <f>IF(AF607="","",IF(AI607="Yes","❌ Disc",IF(AH607="No","⚠ Missing",IF(AK607="Yes","✓ OK","⚠ Check"))))</f>
        <v/>
      </c>
      <c r="AO607" s="36" t="n"/>
      <c r="AP607" s="36" t="n"/>
      <c r="AQ607" s="36" t="n"/>
      <c r="AR607" s="36" t="n"/>
      <c r="AS607" s="36" t="n"/>
      <c r="AT607" s="36" t="n"/>
      <c r="AU607" s="27" t="n"/>
      <c r="AV607" s="37" t="n"/>
      <c r="AW607" s="38">
        <f>IF(AO607="","",IF(AR607="Yes","❌ Disc",IF(AQ607="No","⚠ Missing",IF(AT607="Yes","✓ OK","⚠ Check"))))</f>
        <v/>
      </c>
    </row>
    <row r="608" ht="18" customHeight="1" s="46">
      <c r="A608" s="39" t="n">
        <v>604</v>
      </c>
      <c r="B608" s="40" t="inlineStr">
        <is>
          <t>WP LNCCN388711</t>
        </is>
      </c>
      <c r="C608" s="41" t="inlineStr">
        <is>
          <t>Life n Colors - A Story by the Garden Wallpaper  -  Canvas - a texture paper</t>
        </is>
      </c>
      <c r="D608" s="39" t="inlineStr">
        <is>
          <t>Life n Colors</t>
        </is>
      </c>
      <c r="E608" s="43" t="n">
        <v>46126</v>
      </c>
      <c r="F608" s="26" t="inlineStr">
        <is>
          <t>Sunil CR</t>
        </is>
      </c>
      <c r="G608" s="26" t="inlineStr">
        <is>
          <t>Yes</t>
        </is>
      </c>
      <c r="H608" s="26" t="inlineStr">
        <is>
          <t>No</t>
        </is>
      </c>
      <c r="I608" s="26" t="inlineStr">
        <is>
          <t>Good finish</t>
        </is>
      </c>
      <c r="J608" s="26" t="inlineStr">
        <is>
          <t>Yes</t>
        </is>
      </c>
      <c r="K608" s="27" t="n"/>
      <c r="L608" s="28" t="inlineStr">
        <is>
          <t>No</t>
        </is>
      </c>
      <c r="M608" s="29">
        <f>IF(E608="","",IF(H608="Yes","❌ Disc",IF(G608="No","⚠ Missing",IF(J608="Yes","✓ OK","⚠ Check"))))</f>
        <v/>
      </c>
      <c r="N608" s="43" t="n">
        <v>46193</v>
      </c>
      <c r="O608" s="26" t="inlineStr">
        <is>
          <t>Sunil CR</t>
        </is>
      </c>
      <c r="P608" s="26" t="inlineStr">
        <is>
          <t>Yes</t>
        </is>
      </c>
      <c r="Q608" s="26" t="inlineStr">
        <is>
          <t>No</t>
        </is>
      </c>
      <c r="R608" s="26" t="inlineStr">
        <is>
          <t>Good finish</t>
        </is>
      </c>
      <c r="S608" s="26" t="inlineStr">
        <is>
          <t>Yes</t>
        </is>
      </c>
      <c r="T608" s="27" t="n"/>
      <c r="U608" s="28" t="inlineStr">
        <is>
          <t>No</t>
        </is>
      </c>
      <c r="V608" s="29">
        <f>IF(N608="","",IF(Q608="Yes","❌ Disc",IF(P608="No","⚠ Missing",IF(S608="Yes","✓ OK","⚠ Check"))))</f>
        <v/>
      </c>
      <c r="W608" s="65" t="n">
        <v>46248</v>
      </c>
      <c r="X608" s="30" t="inlineStr">
        <is>
          <t>Sunil CR</t>
        </is>
      </c>
      <c r="Y608" s="30" t="inlineStr">
        <is>
          <t>Yes</t>
        </is>
      </c>
      <c r="Z608" s="30" t="n"/>
      <c r="AA608" s="30" t="inlineStr">
        <is>
          <t>Good finish</t>
        </is>
      </c>
      <c r="AB608" s="30" t="inlineStr">
        <is>
          <t>Yes</t>
        </is>
      </c>
      <c r="AC608" s="27" t="n"/>
      <c r="AD608" s="31" t="inlineStr">
        <is>
          <t>No</t>
        </is>
      </c>
      <c r="AE608" s="32">
        <f>IF(W608="","",IF(Z608="Yes","❌ Disc",IF(Y608="No","⚠ Missing",IF(AB608="Yes","✓ OK","⚠ Check"))))</f>
        <v/>
      </c>
      <c r="AF608" s="33" t="n"/>
      <c r="AG608" s="33" t="n"/>
      <c r="AH608" s="33" t="n"/>
      <c r="AI608" s="33" t="n"/>
      <c r="AJ608" s="33" t="n"/>
      <c r="AK608" s="33" t="n"/>
      <c r="AL608" s="27" t="n"/>
      <c r="AM608" s="34" t="n"/>
      <c r="AN608" s="35">
        <f>IF(AF608="","",IF(AI608="Yes","❌ Disc",IF(AH608="No","⚠ Missing",IF(AK608="Yes","✓ OK","⚠ Check"))))</f>
        <v/>
      </c>
      <c r="AO608" s="36" t="n"/>
      <c r="AP608" s="36" t="n"/>
      <c r="AQ608" s="36" t="n"/>
      <c r="AR608" s="36" t="n"/>
      <c r="AS608" s="36" t="n"/>
      <c r="AT608" s="36" t="n"/>
      <c r="AU608" s="27" t="n"/>
      <c r="AV608" s="37" t="n"/>
      <c r="AW608" s="38">
        <f>IF(AO608="","",IF(AR608="Yes","❌ Disc",IF(AQ608="No","⚠ Missing",IF(AT608="Yes","✓ OK","⚠ Check"))))</f>
        <v/>
      </c>
    </row>
    <row r="609" ht="18" customHeight="1" s="46">
      <c r="A609" s="23" t="n">
        <v>605</v>
      </c>
      <c r="B609" s="24" t="inlineStr">
        <is>
          <t>WP LNCCN1147777</t>
        </is>
      </c>
      <c r="C609" s="25" t="inlineStr">
        <is>
          <t>Life n Colors - Abstract Batik Print Wallpaper, Customised for Walls  -  Canvas - a texture paper</t>
        </is>
      </c>
      <c r="D609" s="23" t="inlineStr">
        <is>
          <t>Life n Colors</t>
        </is>
      </c>
      <c r="E609" s="43" t="n">
        <v>46126</v>
      </c>
      <c r="F609" s="26" t="inlineStr">
        <is>
          <t>Sunil CR</t>
        </is>
      </c>
      <c r="G609" s="26" t="inlineStr">
        <is>
          <t>Yes</t>
        </is>
      </c>
      <c r="H609" s="26" t="inlineStr">
        <is>
          <t>No</t>
        </is>
      </c>
      <c r="I609" s="26" t="inlineStr">
        <is>
          <t>Good finish</t>
        </is>
      </c>
      <c r="J609" s="26" t="inlineStr">
        <is>
          <t>Yes</t>
        </is>
      </c>
      <c r="K609" s="27" t="n"/>
      <c r="L609" s="28" t="inlineStr">
        <is>
          <t>No</t>
        </is>
      </c>
      <c r="M609" s="29">
        <f>IF(E609="","",IF(H609="Yes","❌ Disc",IF(G609="No","⚠ Missing",IF(J609="Yes","✓ OK","⚠ Check"))))</f>
        <v/>
      </c>
      <c r="N609" s="43" t="n">
        <v>46193</v>
      </c>
      <c r="O609" s="26" t="inlineStr">
        <is>
          <t>Sunil CR</t>
        </is>
      </c>
      <c r="P609" s="26" t="inlineStr">
        <is>
          <t>Yes</t>
        </is>
      </c>
      <c r="Q609" s="26" t="inlineStr">
        <is>
          <t>No</t>
        </is>
      </c>
      <c r="R609" s="26" t="inlineStr">
        <is>
          <t>Good finish</t>
        </is>
      </c>
      <c r="S609" s="26" t="inlineStr">
        <is>
          <t>Yes</t>
        </is>
      </c>
      <c r="T609" s="27" t="n"/>
      <c r="U609" s="28" t="inlineStr">
        <is>
          <t>No</t>
        </is>
      </c>
      <c r="V609" s="29">
        <f>IF(N609="","",IF(Q609="Yes","❌ Disc",IF(P609="No","⚠ Missing",IF(S609="Yes","✓ OK","⚠ Check"))))</f>
        <v/>
      </c>
      <c r="W609" s="65" t="n">
        <v>46248</v>
      </c>
      <c r="X609" s="30" t="inlineStr">
        <is>
          <t>Sunil CR</t>
        </is>
      </c>
      <c r="Y609" s="30" t="inlineStr">
        <is>
          <t>Yes</t>
        </is>
      </c>
      <c r="Z609" s="30" t="n"/>
      <c r="AA609" s="30" t="inlineStr">
        <is>
          <t>Good finish</t>
        </is>
      </c>
      <c r="AB609" s="30" t="inlineStr">
        <is>
          <t>Yes</t>
        </is>
      </c>
      <c r="AC609" s="27" t="n"/>
      <c r="AD609" s="31" t="inlineStr">
        <is>
          <t>No</t>
        </is>
      </c>
      <c r="AE609" s="32">
        <f>IF(W609="","",IF(Z609="Yes","❌ Disc",IF(Y609="No","⚠ Missing",IF(AB609="Yes","✓ OK","⚠ Check"))))</f>
        <v/>
      </c>
      <c r="AF609" s="33" t="n"/>
      <c r="AG609" s="33" t="n"/>
      <c r="AH609" s="33" t="n"/>
      <c r="AI609" s="33" t="n"/>
      <c r="AJ609" s="33" t="n"/>
      <c r="AK609" s="33" t="n"/>
      <c r="AL609" s="27" t="n"/>
      <c r="AM609" s="34" t="n"/>
      <c r="AN609" s="35">
        <f>IF(AF609="","",IF(AI609="Yes","❌ Disc",IF(AH609="No","⚠ Missing",IF(AK609="Yes","✓ OK","⚠ Check"))))</f>
        <v/>
      </c>
      <c r="AO609" s="36" t="n"/>
      <c r="AP609" s="36" t="n"/>
      <c r="AQ609" s="36" t="n"/>
      <c r="AR609" s="36" t="n"/>
      <c r="AS609" s="36" t="n"/>
      <c r="AT609" s="36" t="n"/>
      <c r="AU609" s="27" t="n"/>
      <c r="AV609" s="37" t="n"/>
      <c r="AW609" s="38">
        <f>IF(AO609="","",IF(AR609="Yes","❌ Disc",IF(AQ609="No","⚠ Missing",IF(AT609="Yes","✓ OK","⚠ Check"))))</f>
        <v/>
      </c>
    </row>
    <row r="610" ht="18" customHeight="1" s="46">
      <c r="A610" s="39" t="n">
        <v>606</v>
      </c>
      <c r="B610" s="40" t="inlineStr">
        <is>
          <t>WP LNCSF1147777</t>
        </is>
      </c>
      <c r="C610" s="41" t="inlineStr">
        <is>
          <t>Life n Colors - Abstract Batik Print Wallpaper, Customised for Walls  - Non-woven - a soft feel paper</t>
        </is>
      </c>
      <c r="D610" s="39" t="inlineStr">
        <is>
          <t>Life n Colors</t>
        </is>
      </c>
      <c r="E610" s="43" t="n">
        <v>46126</v>
      </c>
      <c r="F610" s="26" t="inlineStr">
        <is>
          <t>Sunil CR</t>
        </is>
      </c>
      <c r="G610" s="26" t="inlineStr">
        <is>
          <t>Yes</t>
        </is>
      </c>
      <c r="H610" s="26" t="inlineStr">
        <is>
          <t>No</t>
        </is>
      </c>
      <c r="I610" s="26" t="inlineStr">
        <is>
          <t>Good finish</t>
        </is>
      </c>
      <c r="J610" s="26" t="inlineStr">
        <is>
          <t>Yes</t>
        </is>
      </c>
      <c r="K610" s="27" t="n"/>
      <c r="L610" s="28" t="inlineStr">
        <is>
          <t>No</t>
        </is>
      </c>
      <c r="M610" s="29">
        <f>IF(E610="","",IF(H610="Yes","❌ Disc",IF(G610="No","⚠ Missing",IF(J610="Yes","✓ OK","⚠ Check"))))</f>
        <v/>
      </c>
      <c r="N610" s="43" t="n">
        <v>46193</v>
      </c>
      <c r="O610" s="26" t="inlineStr">
        <is>
          <t>Sunil CR</t>
        </is>
      </c>
      <c r="P610" s="26" t="inlineStr">
        <is>
          <t>Yes</t>
        </is>
      </c>
      <c r="Q610" s="26" t="inlineStr">
        <is>
          <t>No</t>
        </is>
      </c>
      <c r="R610" s="26" t="inlineStr">
        <is>
          <t>Good finish</t>
        </is>
      </c>
      <c r="S610" s="26" t="inlineStr">
        <is>
          <t>Yes</t>
        </is>
      </c>
      <c r="T610" s="27" t="n"/>
      <c r="U610" s="28" t="inlineStr">
        <is>
          <t>No</t>
        </is>
      </c>
      <c r="V610" s="29">
        <f>IF(N610="","",IF(Q610="Yes","❌ Disc",IF(P610="No","⚠ Missing",IF(S610="Yes","✓ OK","⚠ Check"))))</f>
        <v/>
      </c>
      <c r="W610" s="65" t="n">
        <v>46248</v>
      </c>
      <c r="X610" s="30" t="inlineStr">
        <is>
          <t>Sunil CR</t>
        </is>
      </c>
      <c r="Y610" s="30" t="inlineStr">
        <is>
          <t>Yes</t>
        </is>
      </c>
      <c r="Z610" s="30" t="n"/>
      <c r="AA610" s="30" t="inlineStr">
        <is>
          <t>Good finish</t>
        </is>
      </c>
      <c r="AB610" s="30" t="inlineStr">
        <is>
          <t>Yes</t>
        </is>
      </c>
      <c r="AC610" s="27" t="n"/>
      <c r="AD610" s="31" t="inlineStr">
        <is>
          <t>No</t>
        </is>
      </c>
      <c r="AE610" s="32">
        <f>IF(W610="","",IF(Z610="Yes","❌ Disc",IF(Y610="No","⚠ Missing",IF(AB610="Yes","✓ OK","⚠ Check"))))</f>
        <v/>
      </c>
      <c r="AF610" s="33" t="n"/>
      <c r="AG610" s="33" t="n"/>
      <c r="AH610" s="33" t="n"/>
      <c r="AI610" s="33" t="n"/>
      <c r="AJ610" s="33" t="n"/>
      <c r="AK610" s="33" t="n"/>
      <c r="AL610" s="27" t="n"/>
      <c r="AM610" s="34" t="n"/>
      <c r="AN610" s="35">
        <f>IF(AF610="","",IF(AI610="Yes","❌ Disc",IF(AH610="No","⚠ Missing",IF(AK610="Yes","✓ OK","⚠ Check"))))</f>
        <v/>
      </c>
      <c r="AO610" s="36" t="n"/>
      <c r="AP610" s="36" t="n"/>
      <c r="AQ610" s="36" t="n"/>
      <c r="AR610" s="36" t="n"/>
      <c r="AS610" s="36" t="n"/>
      <c r="AT610" s="36" t="n"/>
      <c r="AU610" s="27" t="n"/>
      <c r="AV610" s="37" t="n"/>
      <c r="AW610" s="38">
        <f>IF(AO610="","",IF(AR610="Yes","❌ Disc",IF(AQ610="No","⚠ Missing",IF(AT610="Yes","✓ OK","⚠ Check"))))</f>
        <v/>
      </c>
    </row>
    <row r="611" ht="18" customHeight="1" s="46">
      <c r="A611" s="23" t="n">
        <v>607</v>
      </c>
      <c r="B611" s="24" t="inlineStr">
        <is>
          <t>WP LNCCN1177622</t>
        </is>
      </c>
      <c r="C611" s="25" t="inlineStr">
        <is>
          <t>Life n Colors - Abstract Color Gradient Wall Art, Pink and Blue  -  Canvas - a texture paper</t>
        </is>
      </c>
      <c r="D611" s="23" t="inlineStr">
        <is>
          <t>Life n Colors</t>
        </is>
      </c>
      <c r="E611" s="43" t="n">
        <v>46126</v>
      </c>
      <c r="F611" s="26" t="inlineStr">
        <is>
          <t>Sunil CR</t>
        </is>
      </c>
      <c r="G611" s="26" t="inlineStr">
        <is>
          <t>Yes</t>
        </is>
      </c>
      <c r="H611" s="26" t="inlineStr">
        <is>
          <t>No</t>
        </is>
      </c>
      <c r="I611" s="26" t="inlineStr">
        <is>
          <t>Good finish</t>
        </is>
      </c>
      <c r="J611" s="26" t="inlineStr">
        <is>
          <t>Yes</t>
        </is>
      </c>
      <c r="K611" s="27" t="n"/>
      <c r="L611" s="28" t="inlineStr">
        <is>
          <t>No</t>
        </is>
      </c>
      <c r="M611" s="29">
        <f>IF(E611="","",IF(H611="Yes","❌ Disc",IF(G611="No","⚠ Missing",IF(J611="Yes","✓ OK","⚠ Check"))))</f>
        <v/>
      </c>
      <c r="N611" s="43" t="n">
        <v>46193</v>
      </c>
      <c r="O611" s="26" t="inlineStr">
        <is>
          <t>Sunil CR</t>
        </is>
      </c>
      <c r="P611" s="26" t="inlineStr">
        <is>
          <t>Yes</t>
        </is>
      </c>
      <c r="Q611" s="26" t="inlineStr">
        <is>
          <t>No</t>
        </is>
      </c>
      <c r="R611" s="26" t="inlineStr">
        <is>
          <t>Good finish</t>
        </is>
      </c>
      <c r="S611" s="26" t="inlineStr">
        <is>
          <t>Yes</t>
        </is>
      </c>
      <c r="T611" s="27" t="n"/>
      <c r="U611" s="28" t="inlineStr">
        <is>
          <t>No</t>
        </is>
      </c>
      <c r="V611" s="29">
        <f>IF(N611="","",IF(Q611="Yes","❌ Disc",IF(P611="No","⚠ Missing",IF(S611="Yes","✓ OK","⚠ Check"))))</f>
        <v/>
      </c>
      <c r="W611" s="65" t="n">
        <v>46248</v>
      </c>
      <c r="X611" s="30" t="inlineStr">
        <is>
          <t>Sunil CR</t>
        </is>
      </c>
      <c r="Y611" s="30" t="inlineStr">
        <is>
          <t>Yes</t>
        </is>
      </c>
      <c r="Z611" s="30" t="n"/>
      <c r="AA611" s="30" t="inlineStr">
        <is>
          <t>Good finish</t>
        </is>
      </c>
      <c r="AB611" s="30" t="inlineStr">
        <is>
          <t>Yes</t>
        </is>
      </c>
      <c r="AC611" s="27" t="n"/>
      <c r="AD611" s="31" t="inlineStr">
        <is>
          <t>No</t>
        </is>
      </c>
      <c r="AE611" s="32">
        <f>IF(W611="","",IF(Z611="Yes","❌ Disc",IF(Y611="No","⚠ Missing",IF(AB611="Yes","✓ OK","⚠ Check"))))</f>
        <v/>
      </c>
      <c r="AF611" s="33" t="n"/>
      <c r="AG611" s="33" t="n"/>
      <c r="AH611" s="33" t="n"/>
      <c r="AI611" s="33" t="n"/>
      <c r="AJ611" s="33" t="n"/>
      <c r="AK611" s="33" t="n"/>
      <c r="AL611" s="27" t="n"/>
      <c r="AM611" s="34" t="n"/>
      <c r="AN611" s="35">
        <f>IF(AF611="","",IF(AI611="Yes","❌ Disc",IF(AH611="No","⚠ Missing",IF(AK611="Yes","✓ OK","⚠ Check"))))</f>
        <v/>
      </c>
      <c r="AO611" s="36" t="n"/>
      <c r="AP611" s="36" t="n"/>
      <c r="AQ611" s="36" t="n"/>
      <c r="AR611" s="36" t="n"/>
      <c r="AS611" s="36" t="n"/>
      <c r="AT611" s="36" t="n"/>
      <c r="AU611" s="27" t="n"/>
      <c r="AV611" s="37" t="n"/>
      <c r="AW611" s="38">
        <f>IF(AO611="","",IF(AR611="Yes","❌ Disc",IF(AQ611="No","⚠ Missing",IF(AT611="Yes","✓ OK","⚠ Check"))))</f>
        <v/>
      </c>
    </row>
    <row r="612" ht="18" customHeight="1" s="46">
      <c r="A612" s="39" t="n">
        <v>608</v>
      </c>
      <c r="B612" s="40" t="inlineStr">
        <is>
          <t>WP LNCSF1177622</t>
        </is>
      </c>
      <c r="C612" s="41" t="inlineStr">
        <is>
          <t>Life n Colors - Abstract Color Gradient Wall Art, Pink and Blue  - Non-woven - a soft feel paper</t>
        </is>
      </c>
      <c r="D612" s="39" t="inlineStr">
        <is>
          <t>Life n Colors</t>
        </is>
      </c>
      <c r="E612" s="43" t="n">
        <v>46126</v>
      </c>
      <c r="F612" s="26" t="inlineStr">
        <is>
          <t>Sunil CR</t>
        </is>
      </c>
      <c r="G612" s="26" t="inlineStr">
        <is>
          <t>Yes</t>
        </is>
      </c>
      <c r="H612" s="26" t="inlineStr">
        <is>
          <t>No</t>
        </is>
      </c>
      <c r="I612" s="26" t="inlineStr">
        <is>
          <t>Good finish</t>
        </is>
      </c>
      <c r="J612" s="26" t="inlineStr">
        <is>
          <t>Yes</t>
        </is>
      </c>
      <c r="K612" s="27" t="n"/>
      <c r="L612" s="28" t="inlineStr">
        <is>
          <t>No</t>
        </is>
      </c>
      <c r="M612" s="29">
        <f>IF(E612="","",IF(H612="Yes","❌ Disc",IF(G612="No","⚠ Missing",IF(J612="Yes","✓ OK","⚠ Check"))))</f>
        <v/>
      </c>
      <c r="N612" s="43" t="n">
        <v>46193</v>
      </c>
      <c r="O612" s="26" t="inlineStr">
        <is>
          <t>Sunil CR</t>
        </is>
      </c>
      <c r="P612" s="26" t="inlineStr">
        <is>
          <t>Yes</t>
        </is>
      </c>
      <c r="Q612" s="26" t="inlineStr">
        <is>
          <t>No</t>
        </is>
      </c>
      <c r="R612" s="26" t="inlineStr">
        <is>
          <t>Good finish</t>
        </is>
      </c>
      <c r="S612" s="26" t="inlineStr">
        <is>
          <t>Yes</t>
        </is>
      </c>
      <c r="T612" s="27" t="n"/>
      <c r="U612" s="28" t="inlineStr">
        <is>
          <t>No</t>
        </is>
      </c>
      <c r="V612" s="29">
        <f>IF(N612="","",IF(Q612="Yes","❌ Disc",IF(P612="No","⚠ Missing",IF(S612="Yes","✓ OK","⚠ Check"))))</f>
        <v/>
      </c>
      <c r="W612" s="65" t="n">
        <v>46248</v>
      </c>
      <c r="X612" s="30" t="inlineStr">
        <is>
          <t>Sunil CR</t>
        </is>
      </c>
      <c r="Y612" s="30" t="inlineStr">
        <is>
          <t>Yes</t>
        </is>
      </c>
      <c r="Z612" s="30" t="n"/>
      <c r="AA612" s="30" t="inlineStr">
        <is>
          <t>Good finish</t>
        </is>
      </c>
      <c r="AB612" s="30" t="inlineStr">
        <is>
          <t>Yes</t>
        </is>
      </c>
      <c r="AC612" s="27" t="n"/>
      <c r="AD612" s="31" t="inlineStr">
        <is>
          <t>No</t>
        </is>
      </c>
      <c r="AE612" s="32">
        <f>IF(W612="","",IF(Z612="Yes","❌ Disc",IF(Y612="No","⚠ Missing",IF(AB612="Yes","✓ OK","⚠ Check"))))</f>
        <v/>
      </c>
      <c r="AF612" s="33" t="n"/>
      <c r="AG612" s="33" t="n"/>
      <c r="AH612" s="33" t="n"/>
      <c r="AI612" s="33" t="n"/>
      <c r="AJ612" s="33" t="n"/>
      <c r="AK612" s="33" t="n"/>
      <c r="AL612" s="27" t="n"/>
      <c r="AM612" s="34" t="n"/>
      <c r="AN612" s="35">
        <f>IF(AF612="","",IF(AI612="Yes","❌ Disc",IF(AH612="No","⚠ Missing",IF(AK612="Yes","✓ OK","⚠ Check"))))</f>
        <v/>
      </c>
      <c r="AO612" s="36" t="n"/>
      <c r="AP612" s="36" t="n"/>
      <c r="AQ612" s="36" t="n"/>
      <c r="AR612" s="36" t="n"/>
      <c r="AS612" s="36" t="n"/>
      <c r="AT612" s="36" t="n"/>
      <c r="AU612" s="27" t="n"/>
      <c r="AV612" s="37" t="n"/>
      <c r="AW612" s="38">
        <f>IF(AO612="","",IF(AR612="Yes","❌ Disc",IF(AQ612="No","⚠ Missing",IF(AT612="Yes","✓ OK","⚠ Check"))))</f>
        <v/>
      </c>
    </row>
    <row r="613" ht="18" customHeight="1" s="46">
      <c r="A613" s="23" t="n">
        <v>609</v>
      </c>
      <c r="B613" s="24" t="inlineStr">
        <is>
          <t>WP LNCCN1067158</t>
        </is>
      </c>
      <c r="C613" s="25" t="inlineStr">
        <is>
          <t>Life n Colors - Abstract Modern Art Wallpaper, Customised for Homes  -  Canvas - a texture paper</t>
        </is>
      </c>
      <c r="D613" s="23" t="inlineStr">
        <is>
          <t>Life n Colors</t>
        </is>
      </c>
      <c r="E613" s="43" t="n">
        <v>46126</v>
      </c>
      <c r="F613" s="26" t="inlineStr">
        <is>
          <t>Sunil CR</t>
        </is>
      </c>
      <c r="G613" s="26" t="inlineStr">
        <is>
          <t>Yes</t>
        </is>
      </c>
      <c r="H613" s="26" t="inlineStr">
        <is>
          <t>No</t>
        </is>
      </c>
      <c r="I613" s="26" t="inlineStr">
        <is>
          <t>Good finish</t>
        </is>
      </c>
      <c r="J613" s="26" t="inlineStr">
        <is>
          <t>Yes</t>
        </is>
      </c>
      <c r="K613" s="27" t="n"/>
      <c r="L613" s="28" t="inlineStr">
        <is>
          <t>No</t>
        </is>
      </c>
      <c r="M613" s="29">
        <f>IF(E613="","",IF(H613="Yes","❌ Disc",IF(G613="No","⚠ Missing",IF(J613="Yes","✓ OK","⚠ Check"))))</f>
        <v/>
      </c>
      <c r="N613" s="43" t="n">
        <v>46193</v>
      </c>
      <c r="O613" s="26" t="inlineStr">
        <is>
          <t>Sunil CR</t>
        </is>
      </c>
      <c r="P613" s="26" t="inlineStr">
        <is>
          <t>Yes</t>
        </is>
      </c>
      <c r="Q613" s="26" t="inlineStr">
        <is>
          <t>No</t>
        </is>
      </c>
      <c r="R613" s="26" t="inlineStr">
        <is>
          <t>Good finish</t>
        </is>
      </c>
      <c r="S613" s="26" t="inlineStr">
        <is>
          <t>Yes</t>
        </is>
      </c>
      <c r="T613" s="27" t="n"/>
      <c r="U613" s="28" t="inlineStr">
        <is>
          <t>No</t>
        </is>
      </c>
      <c r="V613" s="29">
        <f>IF(N613="","",IF(Q613="Yes","❌ Disc",IF(P613="No","⚠ Missing",IF(S613="Yes","✓ OK","⚠ Check"))))</f>
        <v/>
      </c>
      <c r="W613" s="65" t="n">
        <v>46248</v>
      </c>
      <c r="X613" s="30" t="inlineStr">
        <is>
          <t>Sunil CR</t>
        </is>
      </c>
      <c r="Y613" s="30" t="inlineStr">
        <is>
          <t>Yes</t>
        </is>
      </c>
      <c r="Z613" s="30" t="n"/>
      <c r="AA613" s="30" t="inlineStr">
        <is>
          <t>Good finish</t>
        </is>
      </c>
      <c r="AB613" s="30" t="inlineStr">
        <is>
          <t>Yes</t>
        </is>
      </c>
      <c r="AC613" s="27" t="n"/>
      <c r="AD613" s="31" t="inlineStr">
        <is>
          <t>No</t>
        </is>
      </c>
      <c r="AE613" s="32">
        <f>IF(W613="","",IF(Z613="Yes","❌ Disc",IF(Y613="No","⚠ Missing",IF(AB613="Yes","✓ OK","⚠ Check"))))</f>
        <v/>
      </c>
      <c r="AF613" s="33" t="n"/>
      <c r="AG613" s="33" t="n"/>
      <c r="AH613" s="33" t="n"/>
      <c r="AI613" s="33" t="n"/>
      <c r="AJ613" s="33" t="n"/>
      <c r="AK613" s="33" t="n"/>
      <c r="AL613" s="27" t="n"/>
      <c r="AM613" s="34" t="n"/>
      <c r="AN613" s="35">
        <f>IF(AF613="","",IF(AI613="Yes","❌ Disc",IF(AH613="No","⚠ Missing",IF(AK613="Yes","✓ OK","⚠ Check"))))</f>
        <v/>
      </c>
      <c r="AO613" s="36" t="n"/>
      <c r="AP613" s="36" t="n"/>
      <c r="AQ613" s="36" t="n"/>
      <c r="AR613" s="36" t="n"/>
      <c r="AS613" s="36" t="n"/>
      <c r="AT613" s="36" t="n"/>
      <c r="AU613" s="27" t="n"/>
      <c r="AV613" s="37" t="n"/>
      <c r="AW613" s="38">
        <f>IF(AO613="","",IF(AR613="Yes","❌ Disc",IF(AQ613="No","⚠ Missing",IF(AT613="Yes","✓ OK","⚠ Check"))))</f>
        <v/>
      </c>
    </row>
    <row r="614" ht="18" customHeight="1" s="46">
      <c r="A614" s="39" t="n">
        <v>610</v>
      </c>
      <c r="B614" s="40" t="inlineStr">
        <is>
          <t>WP LNCSF1067158</t>
        </is>
      </c>
      <c r="C614" s="41" t="inlineStr">
        <is>
          <t>Life n Colors - Abstract Modern Art Wallpaper, Customised for Homes  - Non-woven - a soft feel paper</t>
        </is>
      </c>
      <c r="D614" s="39" t="inlineStr">
        <is>
          <t>Life n Colors</t>
        </is>
      </c>
      <c r="E614" s="43" t="n">
        <v>46126</v>
      </c>
      <c r="F614" s="26" t="inlineStr">
        <is>
          <t>Sunil CR</t>
        </is>
      </c>
      <c r="G614" s="26" t="inlineStr">
        <is>
          <t>Yes</t>
        </is>
      </c>
      <c r="H614" s="26" t="inlineStr">
        <is>
          <t>No</t>
        </is>
      </c>
      <c r="I614" s="26" t="inlineStr">
        <is>
          <t>Good finish</t>
        </is>
      </c>
      <c r="J614" s="26" t="inlineStr">
        <is>
          <t>Yes</t>
        </is>
      </c>
      <c r="K614" s="27" t="n"/>
      <c r="L614" s="28" t="inlineStr">
        <is>
          <t>No</t>
        </is>
      </c>
      <c r="M614" s="29">
        <f>IF(E614="","",IF(H614="Yes","❌ Disc",IF(G614="No","⚠ Missing",IF(J614="Yes","✓ OK","⚠ Check"))))</f>
        <v/>
      </c>
      <c r="N614" s="43" t="n">
        <v>46193</v>
      </c>
      <c r="O614" s="26" t="inlineStr">
        <is>
          <t>Sunil CR</t>
        </is>
      </c>
      <c r="P614" s="26" t="inlineStr">
        <is>
          <t>Yes</t>
        </is>
      </c>
      <c r="Q614" s="26" t="inlineStr">
        <is>
          <t>No</t>
        </is>
      </c>
      <c r="R614" s="26" t="inlineStr">
        <is>
          <t>Good finish</t>
        </is>
      </c>
      <c r="S614" s="26" t="inlineStr">
        <is>
          <t>Yes</t>
        </is>
      </c>
      <c r="T614" s="27" t="n"/>
      <c r="U614" s="28" t="inlineStr">
        <is>
          <t>No</t>
        </is>
      </c>
      <c r="V614" s="29">
        <f>IF(N614="","",IF(Q614="Yes","❌ Disc",IF(P614="No","⚠ Missing",IF(S614="Yes","✓ OK","⚠ Check"))))</f>
        <v/>
      </c>
      <c r="W614" s="65" t="n">
        <v>46248</v>
      </c>
      <c r="X614" s="30" t="inlineStr">
        <is>
          <t>Sunil CR</t>
        </is>
      </c>
      <c r="Y614" s="30" t="inlineStr">
        <is>
          <t>Yes</t>
        </is>
      </c>
      <c r="Z614" s="30" t="n"/>
      <c r="AA614" s="30" t="inlineStr">
        <is>
          <t>Good finish</t>
        </is>
      </c>
      <c r="AB614" s="30" t="inlineStr">
        <is>
          <t>Yes</t>
        </is>
      </c>
      <c r="AC614" s="27" t="n"/>
      <c r="AD614" s="31" t="inlineStr">
        <is>
          <t>No</t>
        </is>
      </c>
      <c r="AE614" s="32">
        <f>IF(W614="","",IF(Z614="Yes","❌ Disc",IF(Y614="No","⚠ Missing",IF(AB614="Yes","✓ OK","⚠ Check"))))</f>
        <v/>
      </c>
      <c r="AF614" s="33" t="n"/>
      <c r="AG614" s="33" t="n"/>
      <c r="AH614" s="33" t="n"/>
      <c r="AI614" s="33" t="n"/>
      <c r="AJ614" s="33" t="n"/>
      <c r="AK614" s="33" t="n"/>
      <c r="AL614" s="27" t="n"/>
      <c r="AM614" s="34" t="n"/>
      <c r="AN614" s="35">
        <f>IF(AF614="","",IF(AI614="Yes","❌ Disc",IF(AH614="No","⚠ Missing",IF(AK614="Yes","✓ OK","⚠ Check"))))</f>
        <v/>
      </c>
      <c r="AO614" s="36" t="n"/>
      <c r="AP614" s="36" t="n"/>
      <c r="AQ614" s="36" t="n"/>
      <c r="AR614" s="36" t="n"/>
      <c r="AS614" s="36" t="n"/>
      <c r="AT614" s="36" t="n"/>
      <c r="AU614" s="27" t="n"/>
      <c r="AV614" s="37" t="n"/>
      <c r="AW614" s="38">
        <f>IF(AO614="","",IF(AR614="Yes","❌ Disc",IF(AQ614="No","⚠ Missing",IF(AT614="Yes","✓ OK","⚠ Check"))))</f>
        <v/>
      </c>
    </row>
    <row r="615" ht="18" customHeight="1" s="46">
      <c r="A615" s="23" t="n">
        <v>611</v>
      </c>
      <c r="B615" s="24" t="inlineStr">
        <is>
          <t>WP LNCCN1089108</t>
        </is>
      </c>
      <c r="C615" s="25" t="inlineStr">
        <is>
          <t>Life n Colors - Abstract Painting Based Wallpaper  -  Canvas - a texture paper</t>
        </is>
      </c>
      <c r="D615" s="23" t="inlineStr">
        <is>
          <t>Life n Colors</t>
        </is>
      </c>
      <c r="E615" s="43" t="n">
        <v>46126</v>
      </c>
      <c r="F615" s="26" t="inlineStr">
        <is>
          <t>Sunil CR</t>
        </is>
      </c>
      <c r="G615" s="26" t="inlineStr">
        <is>
          <t>Yes</t>
        </is>
      </c>
      <c r="H615" s="26" t="inlineStr">
        <is>
          <t>No</t>
        </is>
      </c>
      <c r="I615" s="26" t="inlineStr">
        <is>
          <t>Good finish</t>
        </is>
      </c>
      <c r="J615" s="26" t="inlineStr">
        <is>
          <t>Yes</t>
        </is>
      </c>
      <c r="K615" s="27" t="n"/>
      <c r="L615" s="28" t="inlineStr">
        <is>
          <t>No</t>
        </is>
      </c>
      <c r="M615" s="29">
        <f>IF(E615="","",IF(H615="Yes","❌ Disc",IF(G615="No","⚠ Missing",IF(J615="Yes","✓ OK","⚠ Check"))))</f>
        <v/>
      </c>
      <c r="N615" s="43" t="n">
        <v>46193</v>
      </c>
      <c r="O615" s="26" t="inlineStr">
        <is>
          <t>Sunil CR</t>
        </is>
      </c>
      <c r="P615" s="26" t="inlineStr">
        <is>
          <t>Yes</t>
        </is>
      </c>
      <c r="Q615" s="26" t="inlineStr">
        <is>
          <t>No</t>
        </is>
      </c>
      <c r="R615" s="26" t="inlineStr">
        <is>
          <t>Good finish</t>
        </is>
      </c>
      <c r="S615" s="26" t="inlineStr">
        <is>
          <t>Yes</t>
        </is>
      </c>
      <c r="T615" s="27" t="n"/>
      <c r="U615" s="28" t="inlineStr">
        <is>
          <t>No</t>
        </is>
      </c>
      <c r="V615" s="29">
        <f>IF(N615="","",IF(Q615="Yes","❌ Disc",IF(P615="No","⚠ Missing",IF(S615="Yes","✓ OK","⚠ Check"))))</f>
        <v/>
      </c>
      <c r="W615" s="65" t="n">
        <v>46248</v>
      </c>
      <c r="X615" s="30" t="inlineStr">
        <is>
          <t>Sunil CR</t>
        </is>
      </c>
      <c r="Y615" s="30" t="inlineStr">
        <is>
          <t>Yes</t>
        </is>
      </c>
      <c r="Z615" s="30" t="n"/>
      <c r="AA615" s="30" t="inlineStr">
        <is>
          <t>Good finish</t>
        </is>
      </c>
      <c r="AB615" s="30" t="inlineStr">
        <is>
          <t>Yes</t>
        </is>
      </c>
      <c r="AC615" s="27" t="n"/>
      <c r="AD615" s="31" t="inlineStr">
        <is>
          <t>No</t>
        </is>
      </c>
      <c r="AE615" s="32">
        <f>IF(W615="","",IF(Z615="Yes","❌ Disc",IF(Y615="No","⚠ Missing",IF(AB615="Yes","✓ OK","⚠ Check"))))</f>
        <v/>
      </c>
      <c r="AF615" s="33" t="n"/>
      <c r="AG615" s="33" t="n"/>
      <c r="AH615" s="33" t="n"/>
      <c r="AI615" s="33" t="n"/>
      <c r="AJ615" s="33" t="n"/>
      <c r="AK615" s="33" t="n"/>
      <c r="AL615" s="27" t="n"/>
      <c r="AM615" s="34" t="n"/>
      <c r="AN615" s="35">
        <f>IF(AF615="","",IF(AI615="Yes","❌ Disc",IF(AH615="No","⚠ Missing",IF(AK615="Yes","✓ OK","⚠ Check"))))</f>
        <v/>
      </c>
      <c r="AO615" s="36" t="n"/>
      <c r="AP615" s="36" t="n"/>
      <c r="AQ615" s="36" t="n"/>
      <c r="AR615" s="36" t="n"/>
      <c r="AS615" s="36" t="n"/>
      <c r="AT615" s="36" t="n"/>
      <c r="AU615" s="27" t="n"/>
      <c r="AV615" s="37" t="n"/>
      <c r="AW615" s="38">
        <f>IF(AO615="","",IF(AR615="Yes","❌ Disc",IF(AQ615="No","⚠ Missing",IF(AT615="Yes","✓ OK","⚠ Check"))))</f>
        <v/>
      </c>
    </row>
    <row r="616" ht="18" customHeight="1" s="46">
      <c r="A616" s="39" t="n">
        <v>612</v>
      </c>
      <c r="B616" s="40" t="inlineStr">
        <is>
          <t>WP LNCSF1089108</t>
        </is>
      </c>
      <c r="C616" s="41" t="inlineStr">
        <is>
          <t>Life n Colors - Abstract Painting Based Wallpaper  - Non-woven - a soft feel paper</t>
        </is>
      </c>
      <c r="D616" s="39" t="inlineStr">
        <is>
          <t>Life n Colors</t>
        </is>
      </c>
      <c r="E616" s="43" t="n">
        <v>46126</v>
      </c>
      <c r="F616" s="26" t="inlineStr">
        <is>
          <t>Sunil CR</t>
        </is>
      </c>
      <c r="G616" s="26" t="inlineStr">
        <is>
          <t>Yes</t>
        </is>
      </c>
      <c r="H616" s="26" t="inlineStr">
        <is>
          <t>No</t>
        </is>
      </c>
      <c r="I616" s="26" t="inlineStr">
        <is>
          <t>Good finish</t>
        </is>
      </c>
      <c r="J616" s="26" t="inlineStr">
        <is>
          <t>Yes</t>
        </is>
      </c>
      <c r="K616" s="27" t="n"/>
      <c r="L616" s="28" t="inlineStr">
        <is>
          <t>No</t>
        </is>
      </c>
      <c r="M616" s="29">
        <f>IF(E616="","",IF(H616="Yes","❌ Disc",IF(G616="No","⚠ Missing",IF(J616="Yes","✓ OK","⚠ Check"))))</f>
        <v/>
      </c>
      <c r="N616" s="43" t="n">
        <v>46193</v>
      </c>
      <c r="O616" s="26" t="inlineStr">
        <is>
          <t>Sunil CR</t>
        </is>
      </c>
      <c r="P616" s="26" t="inlineStr">
        <is>
          <t>Yes</t>
        </is>
      </c>
      <c r="Q616" s="26" t="inlineStr">
        <is>
          <t>No</t>
        </is>
      </c>
      <c r="R616" s="26" t="inlineStr">
        <is>
          <t>Good finish</t>
        </is>
      </c>
      <c r="S616" s="26" t="inlineStr">
        <is>
          <t>Yes</t>
        </is>
      </c>
      <c r="T616" s="27" t="n"/>
      <c r="U616" s="28" t="inlineStr">
        <is>
          <t>No</t>
        </is>
      </c>
      <c r="V616" s="29">
        <f>IF(N616="","",IF(Q616="Yes","❌ Disc",IF(P616="No","⚠ Missing",IF(S616="Yes","✓ OK","⚠ Check"))))</f>
        <v/>
      </c>
      <c r="W616" s="65" t="n">
        <v>46248</v>
      </c>
      <c r="X616" s="30" t="inlineStr">
        <is>
          <t>Sunil CR</t>
        </is>
      </c>
      <c r="Y616" s="30" t="inlineStr">
        <is>
          <t>Yes</t>
        </is>
      </c>
      <c r="Z616" s="30" t="n"/>
      <c r="AA616" s="30" t="inlineStr">
        <is>
          <t>Good finish</t>
        </is>
      </c>
      <c r="AB616" s="30" t="inlineStr">
        <is>
          <t>Yes</t>
        </is>
      </c>
      <c r="AC616" s="27" t="n"/>
      <c r="AD616" s="31" t="inlineStr">
        <is>
          <t>No</t>
        </is>
      </c>
      <c r="AE616" s="32">
        <f>IF(W616="","",IF(Z616="Yes","❌ Disc",IF(Y616="No","⚠ Missing",IF(AB616="Yes","✓ OK","⚠ Check"))))</f>
        <v/>
      </c>
      <c r="AF616" s="33" t="n"/>
      <c r="AG616" s="33" t="n"/>
      <c r="AH616" s="33" t="n"/>
      <c r="AI616" s="33" t="n"/>
      <c r="AJ616" s="33" t="n"/>
      <c r="AK616" s="33" t="n"/>
      <c r="AL616" s="27" t="n"/>
      <c r="AM616" s="34" t="n"/>
      <c r="AN616" s="35">
        <f>IF(AF616="","",IF(AI616="Yes","❌ Disc",IF(AH616="No","⚠ Missing",IF(AK616="Yes","✓ OK","⚠ Check"))))</f>
        <v/>
      </c>
      <c r="AO616" s="36" t="n"/>
      <c r="AP616" s="36" t="n"/>
      <c r="AQ616" s="36" t="n"/>
      <c r="AR616" s="36" t="n"/>
      <c r="AS616" s="36" t="n"/>
      <c r="AT616" s="36" t="n"/>
      <c r="AU616" s="27" t="n"/>
      <c r="AV616" s="37" t="n"/>
      <c r="AW616" s="38">
        <f>IF(AO616="","",IF(AR616="Yes","❌ Disc",IF(AQ616="No","⚠ Missing",IF(AT616="Yes","✓ OK","⚠ Check"))))</f>
        <v/>
      </c>
    </row>
    <row r="617" ht="18" customHeight="1" s="46">
      <c r="A617" s="23" t="n">
        <v>613</v>
      </c>
      <c r="B617" s="24" t="inlineStr">
        <is>
          <t>WP LNCCN1046515</t>
        </is>
      </c>
      <c r="C617" s="25" t="inlineStr">
        <is>
          <t>Life n Colors - Abstract Repeat Pattern, Customised Wallpaper for Rooms  -  Canvas - a texture paper</t>
        </is>
      </c>
      <c r="D617" s="23" t="inlineStr">
        <is>
          <t>Life n Colors</t>
        </is>
      </c>
      <c r="E617" s="43" t="n">
        <v>46126</v>
      </c>
      <c r="F617" s="26" t="inlineStr">
        <is>
          <t>Sunil CR</t>
        </is>
      </c>
      <c r="G617" s="26" t="inlineStr">
        <is>
          <t>Yes</t>
        </is>
      </c>
      <c r="H617" s="26" t="inlineStr">
        <is>
          <t>No</t>
        </is>
      </c>
      <c r="I617" s="26" t="inlineStr">
        <is>
          <t>Good finish</t>
        </is>
      </c>
      <c r="J617" s="26" t="inlineStr">
        <is>
          <t>Yes</t>
        </is>
      </c>
      <c r="K617" s="27" t="n"/>
      <c r="L617" s="28" t="inlineStr">
        <is>
          <t>No</t>
        </is>
      </c>
      <c r="M617" s="29">
        <f>IF(E617="","",IF(H617="Yes","❌ Disc",IF(G617="No","⚠ Missing",IF(J617="Yes","✓ OK","⚠ Check"))))</f>
        <v/>
      </c>
      <c r="N617" s="43" t="n">
        <v>46193</v>
      </c>
      <c r="O617" s="26" t="inlineStr">
        <is>
          <t>Sunil CR</t>
        </is>
      </c>
      <c r="P617" s="26" t="inlineStr">
        <is>
          <t>Yes</t>
        </is>
      </c>
      <c r="Q617" s="26" t="inlineStr">
        <is>
          <t>No</t>
        </is>
      </c>
      <c r="R617" s="26" t="inlineStr">
        <is>
          <t>Good finish</t>
        </is>
      </c>
      <c r="S617" s="26" t="inlineStr">
        <is>
          <t>Yes</t>
        </is>
      </c>
      <c r="T617" s="27" t="n"/>
      <c r="U617" s="28" t="inlineStr">
        <is>
          <t>No</t>
        </is>
      </c>
      <c r="V617" s="29">
        <f>IF(N617="","",IF(Q617="Yes","❌ Disc",IF(P617="No","⚠ Missing",IF(S617="Yes","✓ OK","⚠ Check"))))</f>
        <v/>
      </c>
      <c r="W617" s="65" t="n">
        <v>46248</v>
      </c>
      <c r="X617" s="30" t="inlineStr">
        <is>
          <t>Sunil CR</t>
        </is>
      </c>
      <c r="Y617" s="30" t="inlineStr">
        <is>
          <t>Yes</t>
        </is>
      </c>
      <c r="Z617" s="30" t="n"/>
      <c r="AA617" s="30" t="inlineStr">
        <is>
          <t>Good finish</t>
        </is>
      </c>
      <c r="AB617" s="30" t="inlineStr">
        <is>
          <t>Yes</t>
        </is>
      </c>
      <c r="AC617" s="27" t="n"/>
      <c r="AD617" s="31" t="inlineStr">
        <is>
          <t>No</t>
        </is>
      </c>
      <c r="AE617" s="32">
        <f>IF(W617="","",IF(Z617="Yes","❌ Disc",IF(Y617="No","⚠ Missing",IF(AB617="Yes","✓ OK","⚠ Check"))))</f>
        <v/>
      </c>
      <c r="AF617" s="33" t="n"/>
      <c r="AG617" s="33" t="n"/>
      <c r="AH617" s="33" t="n"/>
      <c r="AI617" s="33" t="n"/>
      <c r="AJ617" s="33" t="n"/>
      <c r="AK617" s="33" t="n"/>
      <c r="AL617" s="27" t="n"/>
      <c r="AM617" s="34" t="n"/>
      <c r="AN617" s="35">
        <f>IF(AF617="","",IF(AI617="Yes","❌ Disc",IF(AH617="No","⚠ Missing",IF(AK617="Yes","✓ OK","⚠ Check"))))</f>
        <v/>
      </c>
      <c r="AO617" s="36" t="n"/>
      <c r="AP617" s="36" t="n"/>
      <c r="AQ617" s="36" t="n"/>
      <c r="AR617" s="36" t="n"/>
      <c r="AS617" s="36" t="n"/>
      <c r="AT617" s="36" t="n"/>
      <c r="AU617" s="27" t="n"/>
      <c r="AV617" s="37" t="n"/>
      <c r="AW617" s="38">
        <f>IF(AO617="","",IF(AR617="Yes","❌ Disc",IF(AQ617="No","⚠ Missing",IF(AT617="Yes","✓ OK","⚠ Check"))))</f>
        <v/>
      </c>
    </row>
    <row r="618" ht="18" customHeight="1" s="46">
      <c r="A618" s="39" t="n">
        <v>614</v>
      </c>
      <c r="B618" s="40" t="inlineStr">
        <is>
          <t>WP LNCSF1046515</t>
        </is>
      </c>
      <c r="C618" s="41" t="inlineStr">
        <is>
          <t>Life n Colors - Abstract Repeat Pattern, Customised Wallpaper for Rooms  - Non-woven - a soft feel paper</t>
        </is>
      </c>
      <c r="D618" s="39" t="inlineStr">
        <is>
          <t>Life n Colors</t>
        </is>
      </c>
      <c r="E618" s="43" t="n">
        <v>46126</v>
      </c>
      <c r="F618" s="26" t="inlineStr">
        <is>
          <t>Sunil CR</t>
        </is>
      </c>
      <c r="G618" s="26" t="inlineStr">
        <is>
          <t>Yes</t>
        </is>
      </c>
      <c r="H618" s="26" t="inlineStr">
        <is>
          <t>No</t>
        </is>
      </c>
      <c r="I618" s="26" t="inlineStr">
        <is>
          <t>Good finish</t>
        </is>
      </c>
      <c r="J618" s="26" t="inlineStr">
        <is>
          <t>Yes</t>
        </is>
      </c>
      <c r="K618" s="27" t="n"/>
      <c r="L618" s="28" t="inlineStr">
        <is>
          <t>No</t>
        </is>
      </c>
      <c r="M618" s="29">
        <f>IF(E618="","",IF(H618="Yes","❌ Disc",IF(G618="No","⚠ Missing",IF(J618="Yes","✓ OK","⚠ Check"))))</f>
        <v/>
      </c>
      <c r="N618" s="43" t="n">
        <v>46193</v>
      </c>
      <c r="O618" s="26" t="inlineStr">
        <is>
          <t>Sunil CR</t>
        </is>
      </c>
      <c r="P618" s="26" t="inlineStr">
        <is>
          <t>Yes</t>
        </is>
      </c>
      <c r="Q618" s="26" t="inlineStr">
        <is>
          <t>No</t>
        </is>
      </c>
      <c r="R618" s="26" t="inlineStr">
        <is>
          <t>Good finish</t>
        </is>
      </c>
      <c r="S618" s="26" t="inlineStr">
        <is>
          <t>Yes</t>
        </is>
      </c>
      <c r="T618" s="27" t="n"/>
      <c r="U618" s="28" t="inlineStr">
        <is>
          <t>No</t>
        </is>
      </c>
      <c r="V618" s="29">
        <f>IF(N618="","",IF(Q618="Yes","❌ Disc",IF(P618="No","⚠ Missing",IF(S618="Yes","✓ OK","⚠ Check"))))</f>
        <v/>
      </c>
      <c r="W618" s="65" t="n">
        <v>46248</v>
      </c>
      <c r="X618" s="30" t="inlineStr">
        <is>
          <t>Sunil CR</t>
        </is>
      </c>
      <c r="Y618" s="30" t="inlineStr">
        <is>
          <t>Yes</t>
        </is>
      </c>
      <c r="Z618" s="30" t="n"/>
      <c r="AA618" s="30" t="inlineStr">
        <is>
          <t>Good finish</t>
        </is>
      </c>
      <c r="AB618" s="30" t="inlineStr">
        <is>
          <t>Yes</t>
        </is>
      </c>
      <c r="AC618" s="27" t="n"/>
      <c r="AD618" s="31" t="inlineStr">
        <is>
          <t>No</t>
        </is>
      </c>
      <c r="AE618" s="32">
        <f>IF(W618="","",IF(Z618="Yes","❌ Disc",IF(Y618="No","⚠ Missing",IF(AB618="Yes","✓ OK","⚠ Check"))))</f>
        <v/>
      </c>
      <c r="AF618" s="33" t="n"/>
      <c r="AG618" s="33" t="n"/>
      <c r="AH618" s="33" t="n"/>
      <c r="AI618" s="33" t="n"/>
      <c r="AJ618" s="33" t="n"/>
      <c r="AK618" s="33" t="n"/>
      <c r="AL618" s="27" t="n"/>
      <c r="AM618" s="34" t="n"/>
      <c r="AN618" s="35">
        <f>IF(AF618="","",IF(AI618="Yes","❌ Disc",IF(AH618="No","⚠ Missing",IF(AK618="Yes","✓ OK","⚠ Check"))))</f>
        <v/>
      </c>
      <c r="AO618" s="36" t="n"/>
      <c r="AP618" s="36" t="n"/>
      <c r="AQ618" s="36" t="n"/>
      <c r="AR618" s="36" t="n"/>
      <c r="AS618" s="36" t="n"/>
      <c r="AT618" s="36" t="n"/>
      <c r="AU618" s="27" t="n"/>
      <c r="AV618" s="37" t="n"/>
      <c r="AW618" s="38">
        <f>IF(AO618="","",IF(AR618="Yes","❌ Disc",IF(AQ618="No","⚠ Missing",IF(AT618="Yes","✓ OK","⚠ Check"))))</f>
        <v/>
      </c>
    </row>
    <row r="619" ht="18" customHeight="1" s="46">
      <c r="A619" s="23" t="n">
        <v>615</v>
      </c>
      <c r="B619" s="24" t="inlineStr">
        <is>
          <t>WP LNCCN376698</t>
        </is>
      </c>
      <c r="C619" s="25" t="inlineStr">
        <is>
          <t>Life n Colors - Anandvan, Jungle Theme Wallpaper  -  Canvas - a texture paper</t>
        </is>
      </c>
      <c r="D619" s="23" t="inlineStr">
        <is>
          <t>Life n Colors</t>
        </is>
      </c>
      <c r="E619" s="43" t="n">
        <v>46126</v>
      </c>
      <c r="F619" s="26" t="inlineStr">
        <is>
          <t>Sunil CR</t>
        </is>
      </c>
      <c r="G619" s="26" t="inlineStr">
        <is>
          <t>Yes</t>
        </is>
      </c>
      <c r="H619" s="26" t="inlineStr">
        <is>
          <t>No</t>
        </is>
      </c>
      <c r="I619" s="26" t="inlineStr">
        <is>
          <t>Good finish</t>
        </is>
      </c>
      <c r="J619" s="26" t="inlineStr">
        <is>
          <t>Yes</t>
        </is>
      </c>
      <c r="K619" s="27" t="n"/>
      <c r="L619" s="28" t="inlineStr">
        <is>
          <t>No</t>
        </is>
      </c>
      <c r="M619" s="29">
        <f>IF(E619="","",IF(H619="Yes","❌ Disc",IF(G619="No","⚠ Missing",IF(J619="Yes","✓ OK","⚠ Check"))))</f>
        <v/>
      </c>
      <c r="N619" s="43" t="n">
        <v>46193</v>
      </c>
      <c r="O619" s="26" t="inlineStr">
        <is>
          <t>Sunil CR</t>
        </is>
      </c>
      <c r="P619" s="26" t="inlineStr">
        <is>
          <t>Yes</t>
        </is>
      </c>
      <c r="Q619" s="26" t="inlineStr">
        <is>
          <t>No</t>
        </is>
      </c>
      <c r="R619" s="26" t="inlineStr">
        <is>
          <t>Good finish</t>
        </is>
      </c>
      <c r="S619" s="26" t="inlineStr">
        <is>
          <t>Yes</t>
        </is>
      </c>
      <c r="T619" s="27" t="n"/>
      <c r="U619" s="28" t="inlineStr">
        <is>
          <t>No</t>
        </is>
      </c>
      <c r="V619" s="29">
        <f>IF(N619="","",IF(Q619="Yes","❌ Disc",IF(P619="No","⚠ Missing",IF(S619="Yes","✓ OK","⚠ Check"))))</f>
        <v/>
      </c>
      <c r="W619" s="65" t="n">
        <v>46248</v>
      </c>
      <c r="X619" s="30" t="inlineStr">
        <is>
          <t>Sunil CR</t>
        </is>
      </c>
      <c r="Y619" s="30" t="inlineStr">
        <is>
          <t>Yes</t>
        </is>
      </c>
      <c r="Z619" s="30" t="n"/>
      <c r="AA619" s="30" t="inlineStr">
        <is>
          <t>Good finish</t>
        </is>
      </c>
      <c r="AB619" s="30" t="inlineStr">
        <is>
          <t>Yes</t>
        </is>
      </c>
      <c r="AC619" s="27" t="n"/>
      <c r="AD619" s="31" t="inlineStr">
        <is>
          <t>No</t>
        </is>
      </c>
      <c r="AE619" s="32">
        <f>IF(W619="","",IF(Z619="Yes","❌ Disc",IF(Y619="No","⚠ Missing",IF(AB619="Yes","✓ OK","⚠ Check"))))</f>
        <v/>
      </c>
      <c r="AF619" s="33" t="n"/>
      <c r="AG619" s="33" t="n"/>
      <c r="AH619" s="33" t="n"/>
      <c r="AI619" s="33" t="n"/>
      <c r="AJ619" s="33" t="n"/>
      <c r="AK619" s="33" t="n"/>
      <c r="AL619" s="27" t="n"/>
      <c r="AM619" s="34" t="n"/>
      <c r="AN619" s="35">
        <f>IF(AF619="","",IF(AI619="Yes","❌ Disc",IF(AH619="No","⚠ Missing",IF(AK619="Yes","✓ OK","⚠ Check"))))</f>
        <v/>
      </c>
      <c r="AO619" s="36" t="n"/>
      <c r="AP619" s="36" t="n"/>
      <c r="AQ619" s="36" t="n"/>
      <c r="AR619" s="36" t="n"/>
      <c r="AS619" s="36" t="n"/>
      <c r="AT619" s="36" t="n"/>
      <c r="AU619" s="27" t="n"/>
      <c r="AV619" s="37" t="n"/>
      <c r="AW619" s="38">
        <f>IF(AO619="","",IF(AR619="Yes","❌ Disc",IF(AQ619="No","⚠ Missing",IF(AT619="Yes","✓ OK","⚠ Check"))))</f>
        <v/>
      </c>
    </row>
    <row r="620" ht="18" customHeight="1" s="46">
      <c r="A620" s="39" t="n">
        <v>616</v>
      </c>
      <c r="B620" s="40" t="inlineStr">
        <is>
          <t>WP LNCCN1036697</t>
        </is>
      </c>
      <c r="C620" s="41" t="inlineStr">
        <is>
          <t>Life n Colors - Animals in Big Jungle, Children Room Wallpaper  -  Canvas - a texture paper</t>
        </is>
      </c>
      <c r="D620" s="39" t="inlineStr">
        <is>
          <t>Life n Colors</t>
        </is>
      </c>
      <c r="E620" s="43" t="n">
        <v>46126</v>
      </c>
      <c r="F620" s="26" t="inlineStr">
        <is>
          <t>Sunil CR</t>
        </is>
      </c>
      <c r="G620" s="26" t="inlineStr">
        <is>
          <t>Yes</t>
        </is>
      </c>
      <c r="H620" s="26" t="inlineStr">
        <is>
          <t>No</t>
        </is>
      </c>
      <c r="I620" s="26" t="inlineStr">
        <is>
          <t>Good finish</t>
        </is>
      </c>
      <c r="J620" s="26" t="inlineStr">
        <is>
          <t>Yes</t>
        </is>
      </c>
      <c r="K620" s="27" t="n"/>
      <c r="L620" s="28" t="inlineStr">
        <is>
          <t>No</t>
        </is>
      </c>
      <c r="M620" s="29">
        <f>IF(E620="","",IF(H620="Yes","❌ Disc",IF(G620="No","⚠ Missing",IF(J620="Yes","✓ OK","⚠ Check"))))</f>
        <v/>
      </c>
      <c r="N620" s="43" t="n">
        <v>46193</v>
      </c>
      <c r="O620" s="26" t="inlineStr">
        <is>
          <t>Sunil CR</t>
        </is>
      </c>
      <c r="P620" s="26" t="inlineStr">
        <is>
          <t>Yes</t>
        </is>
      </c>
      <c r="Q620" s="26" t="inlineStr">
        <is>
          <t>No</t>
        </is>
      </c>
      <c r="R620" s="26" t="inlineStr">
        <is>
          <t>Good finish</t>
        </is>
      </c>
      <c r="S620" s="26" t="inlineStr">
        <is>
          <t>Yes</t>
        </is>
      </c>
      <c r="T620" s="27" t="n"/>
      <c r="U620" s="28" t="inlineStr">
        <is>
          <t>No</t>
        </is>
      </c>
      <c r="V620" s="29">
        <f>IF(N620="","",IF(Q620="Yes","❌ Disc",IF(P620="No","⚠ Missing",IF(S620="Yes","✓ OK","⚠ Check"))))</f>
        <v/>
      </c>
      <c r="W620" s="65" t="n">
        <v>46248</v>
      </c>
      <c r="X620" s="30" t="inlineStr">
        <is>
          <t>Sunil CR</t>
        </is>
      </c>
      <c r="Y620" s="30" t="inlineStr">
        <is>
          <t>Yes</t>
        </is>
      </c>
      <c r="Z620" s="30" t="n"/>
      <c r="AA620" s="30" t="inlineStr">
        <is>
          <t>Good finish</t>
        </is>
      </c>
      <c r="AB620" s="30" t="inlineStr">
        <is>
          <t>Yes</t>
        </is>
      </c>
      <c r="AC620" s="27" t="n"/>
      <c r="AD620" s="31" t="inlineStr">
        <is>
          <t>No</t>
        </is>
      </c>
      <c r="AE620" s="32">
        <f>IF(W620="","",IF(Z620="Yes","❌ Disc",IF(Y620="No","⚠ Missing",IF(AB620="Yes","✓ OK","⚠ Check"))))</f>
        <v/>
      </c>
      <c r="AF620" s="33" t="n"/>
      <c r="AG620" s="33" t="n"/>
      <c r="AH620" s="33" t="n"/>
      <c r="AI620" s="33" t="n"/>
      <c r="AJ620" s="33" t="n"/>
      <c r="AK620" s="33" t="n"/>
      <c r="AL620" s="27" t="n"/>
      <c r="AM620" s="34" t="n"/>
      <c r="AN620" s="35">
        <f>IF(AF620="","",IF(AI620="Yes","❌ Disc",IF(AH620="No","⚠ Missing",IF(AK620="Yes","✓ OK","⚠ Check"))))</f>
        <v/>
      </c>
      <c r="AO620" s="36" t="n"/>
      <c r="AP620" s="36" t="n"/>
      <c r="AQ620" s="36" t="n"/>
      <c r="AR620" s="36" t="n"/>
      <c r="AS620" s="36" t="n"/>
      <c r="AT620" s="36" t="n"/>
      <c r="AU620" s="27" t="n"/>
      <c r="AV620" s="37" t="n"/>
      <c r="AW620" s="38">
        <f>IF(AO620="","",IF(AR620="Yes","❌ Disc",IF(AQ620="No","⚠ Missing",IF(AT620="Yes","✓ OK","⚠ Check"))))</f>
        <v/>
      </c>
    </row>
    <row r="621" ht="18" customHeight="1" s="46">
      <c r="A621" s="23" t="n">
        <v>617</v>
      </c>
      <c r="B621" s="24" t="inlineStr">
        <is>
          <t>WP LNCSF1036697</t>
        </is>
      </c>
      <c r="C621" s="25" t="inlineStr">
        <is>
          <t>Life n Colors - Animals in Big Jungle, Children Room Wallpaper  - Non-woven - a soft feel paper</t>
        </is>
      </c>
      <c r="D621" s="23" t="inlineStr">
        <is>
          <t>Life n Colors</t>
        </is>
      </c>
      <c r="E621" s="43" t="n">
        <v>46126</v>
      </c>
      <c r="F621" s="26" t="inlineStr">
        <is>
          <t>Sunil CR</t>
        </is>
      </c>
      <c r="G621" s="26" t="inlineStr">
        <is>
          <t>Yes</t>
        </is>
      </c>
      <c r="H621" s="26" t="inlineStr">
        <is>
          <t>No</t>
        </is>
      </c>
      <c r="I621" s="26" t="inlineStr">
        <is>
          <t>Good finish</t>
        </is>
      </c>
      <c r="J621" s="26" t="inlineStr">
        <is>
          <t>Yes</t>
        </is>
      </c>
      <c r="K621" s="27" t="n"/>
      <c r="L621" s="28" t="inlineStr">
        <is>
          <t>No</t>
        </is>
      </c>
      <c r="M621" s="29">
        <f>IF(E621="","",IF(H621="Yes","❌ Disc",IF(G621="No","⚠ Missing",IF(J621="Yes","✓ OK","⚠ Check"))))</f>
        <v/>
      </c>
      <c r="N621" s="43" t="n">
        <v>46193</v>
      </c>
      <c r="O621" s="26" t="inlineStr">
        <is>
          <t>Sunil CR</t>
        </is>
      </c>
      <c r="P621" s="26" t="inlineStr">
        <is>
          <t>Yes</t>
        </is>
      </c>
      <c r="Q621" s="26" t="inlineStr">
        <is>
          <t>No</t>
        </is>
      </c>
      <c r="R621" s="26" t="inlineStr">
        <is>
          <t>Good finish</t>
        </is>
      </c>
      <c r="S621" s="26" t="inlineStr">
        <is>
          <t>Yes</t>
        </is>
      </c>
      <c r="T621" s="27" t="n"/>
      <c r="U621" s="28" t="inlineStr">
        <is>
          <t>No</t>
        </is>
      </c>
      <c r="V621" s="29">
        <f>IF(N621="","",IF(Q621="Yes","❌ Disc",IF(P621="No","⚠ Missing",IF(S621="Yes","✓ OK","⚠ Check"))))</f>
        <v/>
      </c>
      <c r="W621" s="65" t="n">
        <v>46248</v>
      </c>
      <c r="X621" s="30" t="inlineStr">
        <is>
          <t>Sunil CR</t>
        </is>
      </c>
      <c r="Y621" s="30" t="inlineStr">
        <is>
          <t>Yes</t>
        </is>
      </c>
      <c r="Z621" s="30" t="n"/>
      <c r="AA621" s="30" t="inlineStr">
        <is>
          <t>Good finish</t>
        </is>
      </c>
      <c r="AB621" s="30" t="inlineStr">
        <is>
          <t>Yes</t>
        </is>
      </c>
      <c r="AC621" s="27" t="n"/>
      <c r="AD621" s="31" t="inlineStr">
        <is>
          <t>No</t>
        </is>
      </c>
      <c r="AE621" s="32">
        <f>IF(W621="","",IF(Z621="Yes","❌ Disc",IF(Y621="No","⚠ Missing",IF(AB621="Yes","✓ OK","⚠ Check"))))</f>
        <v/>
      </c>
      <c r="AF621" s="33" t="n"/>
      <c r="AG621" s="33" t="n"/>
      <c r="AH621" s="33" t="n"/>
      <c r="AI621" s="33" t="n"/>
      <c r="AJ621" s="33" t="n"/>
      <c r="AK621" s="33" t="n"/>
      <c r="AL621" s="27" t="n"/>
      <c r="AM621" s="34" t="n"/>
      <c r="AN621" s="35">
        <f>IF(AF621="","",IF(AI621="Yes","❌ Disc",IF(AH621="No","⚠ Missing",IF(AK621="Yes","✓ OK","⚠ Check"))))</f>
        <v/>
      </c>
      <c r="AO621" s="36" t="n"/>
      <c r="AP621" s="36" t="n"/>
      <c r="AQ621" s="36" t="n"/>
      <c r="AR621" s="36" t="n"/>
      <c r="AS621" s="36" t="n"/>
      <c r="AT621" s="36" t="n"/>
      <c r="AU621" s="27" t="n"/>
      <c r="AV621" s="37" t="n"/>
      <c r="AW621" s="38">
        <f>IF(AO621="","",IF(AR621="Yes","❌ Disc",IF(AQ621="No","⚠ Missing",IF(AT621="Yes","✓ OK","⚠ Check"))))</f>
        <v/>
      </c>
    </row>
    <row r="622" ht="18" customHeight="1" s="46">
      <c r="A622" s="39" t="n">
        <v>618</v>
      </c>
      <c r="B622" s="40" t="inlineStr">
        <is>
          <t>WP LNCCN1029188</t>
        </is>
      </c>
      <c r="C622" s="41" t="inlineStr">
        <is>
          <t>Life n Colors - Around the Town, Cute Train Wallpaper Design for Kids  -  Canvas - a texture paper</t>
        </is>
      </c>
      <c r="D622" s="39" t="inlineStr">
        <is>
          <t>Life n Colors</t>
        </is>
      </c>
      <c r="E622" s="43" t="n">
        <v>46126</v>
      </c>
      <c r="F622" s="26" t="inlineStr">
        <is>
          <t>Sunil CR</t>
        </is>
      </c>
      <c r="G622" s="26" t="inlineStr">
        <is>
          <t>Yes</t>
        </is>
      </c>
      <c r="H622" s="26" t="inlineStr">
        <is>
          <t>No</t>
        </is>
      </c>
      <c r="I622" s="26" t="inlineStr">
        <is>
          <t>Good finish</t>
        </is>
      </c>
      <c r="J622" s="26" t="inlineStr">
        <is>
          <t>Yes</t>
        </is>
      </c>
      <c r="K622" s="27" t="n"/>
      <c r="L622" s="28" t="inlineStr">
        <is>
          <t>No</t>
        </is>
      </c>
      <c r="M622" s="29">
        <f>IF(E622="","",IF(H622="Yes","❌ Disc",IF(G622="No","⚠ Missing",IF(J622="Yes","✓ OK","⚠ Check"))))</f>
        <v/>
      </c>
      <c r="N622" s="43" t="n">
        <v>46193</v>
      </c>
      <c r="O622" s="26" t="inlineStr">
        <is>
          <t>Sunil CR</t>
        </is>
      </c>
      <c r="P622" s="26" t="inlineStr">
        <is>
          <t>Yes</t>
        </is>
      </c>
      <c r="Q622" s="26" t="inlineStr">
        <is>
          <t>No</t>
        </is>
      </c>
      <c r="R622" s="26" t="inlineStr">
        <is>
          <t>Good finish</t>
        </is>
      </c>
      <c r="S622" s="26" t="inlineStr">
        <is>
          <t>Yes</t>
        </is>
      </c>
      <c r="T622" s="27" t="n"/>
      <c r="U622" s="28" t="inlineStr">
        <is>
          <t>No</t>
        </is>
      </c>
      <c r="V622" s="29">
        <f>IF(N622="","",IF(Q622="Yes","❌ Disc",IF(P622="No","⚠ Missing",IF(S622="Yes","✓ OK","⚠ Check"))))</f>
        <v/>
      </c>
      <c r="W622" s="65" t="n">
        <v>46248</v>
      </c>
      <c r="X622" s="30" t="inlineStr">
        <is>
          <t>Sunil CR</t>
        </is>
      </c>
      <c r="Y622" s="30" t="inlineStr">
        <is>
          <t>Yes</t>
        </is>
      </c>
      <c r="Z622" s="30" t="n"/>
      <c r="AA622" s="30" t="inlineStr">
        <is>
          <t>Good finish</t>
        </is>
      </c>
      <c r="AB622" s="30" t="inlineStr">
        <is>
          <t>Yes</t>
        </is>
      </c>
      <c r="AC622" s="27" t="n"/>
      <c r="AD622" s="31" t="inlineStr">
        <is>
          <t>No</t>
        </is>
      </c>
      <c r="AE622" s="32">
        <f>IF(W622="","",IF(Z622="Yes","❌ Disc",IF(Y622="No","⚠ Missing",IF(AB622="Yes","✓ OK","⚠ Check"))))</f>
        <v/>
      </c>
      <c r="AF622" s="33" t="n"/>
      <c r="AG622" s="33" t="n"/>
      <c r="AH622" s="33" t="n"/>
      <c r="AI622" s="33" t="n"/>
      <c r="AJ622" s="33" t="n"/>
      <c r="AK622" s="33" t="n"/>
      <c r="AL622" s="27" t="n"/>
      <c r="AM622" s="34" t="n"/>
      <c r="AN622" s="35">
        <f>IF(AF622="","",IF(AI622="Yes","❌ Disc",IF(AH622="No","⚠ Missing",IF(AK622="Yes","✓ OK","⚠ Check"))))</f>
        <v/>
      </c>
      <c r="AO622" s="36" t="n"/>
      <c r="AP622" s="36" t="n"/>
      <c r="AQ622" s="36" t="n"/>
      <c r="AR622" s="36" t="n"/>
      <c r="AS622" s="36" t="n"/>
      <c r="AT622" s="36" t="n"/>
      <c r="AU622" s="27" t="n"/>
      <c r="AV622" s="37" t="n"/>
      <c r="AW622" s="38">
        <f>IF(AO622="","",IF(AR622="Yes","❌ Disc",IF(AQ622="No","⚠ Missing",IF(AT622="Yes","✓ OK","⚠ Check"))))</f>
        <v/>
      </c>
    </row>
    <row r="623" ht="18" customHeight="1" s="46">
      <c r="A623" s="23" t="n">
        <v>619</v>
      </c>
      <c r="B623" s="24" t="inlineStr">
        <is>
          <t>WP LNCSF1029188</t>
        </is>
      </c>
      <c r="C623" s="25" t="inlineStr">
        <is>
          <t>Life n Colors - Around the Town, Cute Train Wallpaper Design for Kids - Non-woven - a soft feel paper</t>
        </is>
      </c>
      <c r="D623" s="23" t="inlineStr">
        <is>
          <t>Life n Colors</t>
        </is>
      </c>
      <c r="E623" s="43" t="n">
        <v>46126</v>
      </c>
      <c r="F623" s="26" t="inlineStr">
        <is>
          <t>Sunil CR</t>
        </is>
      </c>
      <c r="G623" s="26" t="inlineStr">
        <is>
          <t>Yes</t>
        </is>
      </c>
      <c r="H623" s="26" t="inlineStr">
        <is>
          <t>No</t>
        </is>
      </c>
      <c r="I623" s="26" t="inlineStr">
        <is>
          <t>Good finish</t>
        </is>
      </c>
      <c r="J623" s="26" t="inlineStr">
        <is>
          <t>Yes</t>
        </is>
      </c>
      <c r="K623" s="27" t="n"/>
      <c r="L623" s="28" t="inlineStr">
        <is>
          <t>No</t>
        </is>
      </c>
      <c r="M623" s="29">
        <f>IF(E623="","",IF(H623="Yes","❌ Disc",IF(G623="No","⚠ Missing",IF(J623="Yes","✓ OK","⚠ Check"))))</f>
        <v/>
      </c>
      <c r="N623" s="43" t="n">
        <v>46193</v>
      </c>
      <c r="O623" s="26" t="inlineStr">
        <is>
          <t>Sunil CR</t>
        </is>
      </c>
      <c r="P623" s="26" t="inlineStr">
        <is>
          <t>Yes</t>
        </is>
      </c>
      <c r="Q623" s="26" t="inlineStr">
        <is>
          <t>No</t>
        </is>
      </c>
      <c r="R623" s="26" t="inlineStr">
        <is>
          <t>Good finish</t>
        </is>
      </c>
      <c r="S623" s="26" t="inlineStr">
        <is>
          <t>Yes</t>
        </is>
      </c>
      <c r="T623" s="27" t="n"/>
      <c r="U623" s="28" t="inlineStr">
        <is>
          <t>No</t>
        </is>
      </c>
      <c r="V623" s="29">
        <f>IF(N623="","",IF(Q623="Yes","❌ Disc",IF(P623="No","⚠ Missing",IF(S623="Yes","✓ OK","⚠ Check"))))</f>
        <v/>
      </c>
      <c r="W623" s="65" t="n">
        <v>46248</v>
      </c>
      <c r="X623" s="30" t="inlineStr">
        <is>
          <t>Sunil CR</t>
        </is>
      </c>
      <c r="Y623" s="30" t="inlineStr">
        <is>
          <t>Yes</t>
        </is>
      </c>
      <c r="Z623" s="30" t="n"/>
      <c r="AA623" s="30" t="inlineStr">
        <is>
          <t>Good finish</t>
        </is>
      </c>
      <c r="AB623" s="30" t="inlineStr">
        <is>
          <t>Yes</t>
        </is>
      </c>
      <c r="AC623" s="27" t="n"/>
      <c r="AD623" s="31" t="inlineStr">
        <is>
          <t>No</t>
        </is>
      </c>
      <c r="AE623" s="32">
        <f>IF(W623="","",IF(Z623="Yes","❌ Disc",IF(Y623="No","⚠ Missing",IF(AB623="Yes","✓ OK","⚠ Check"))))</f>
        <v/>
      </c>
      <c r="AF623" s="33" t="n"/>
      <c r="AG623" s="33" t="n"/>
      <c r="AH623" s="33" t="n"/>
      <c r="AI623" s="33" t="n"/>
      <c r="AJ623" s="33" t="n"/>
      <c r="AK623" s="33" t="n"/>
      <c r="AL623" s="27" t="n"/>
      <c r="AM623" s="34" t="n"/>
      <c r="AN623" s="35">
        <f>IF(AF623="","",IF(AI623="Yes","❌ Disc",IF(AH623="No","⚠ Missing",IF(AK623="Yes","✓ OK","⚠ Check"))))</f>
        <v/>
      </c>
      <c r="AO623" s="36" t="n"/>
      <c r="AP623" s="36" t="n"/>
      <c r="AQ623" s="36" t="n"/>
      <c r="AR623" s="36" t="n"/>
      <c r="AS623" s="36" t="n"/>
      <c r="AT623" s="36" t="n"/>
      <c r="AU623" s="27" t="n"/>
      <c r="AV623" s="37" t="n"/>
      <c r="AW623" s="38">
        <f>IF(AO623="","",IF(AR623="Yes","❌ Disc",IF(AQ623="No","⚠ Missing",IF(AT623="Yes","✓ OK","⚠ Check"))))</f>
        <v/>
      </c>
    </row>
    <row r="624" ht="18" customHeight="1" s="46">
      <c r="A624" s="39" t="n">
        <v>620</v>
      </c>
      <c r="B624" s="40" t="inlineStr">
        <is>
          <t>WP LNCCN392514</t>
        </is>
      </c>
      <c r="C624" s="41" t="inlineStr">
        <is>
          <t>Life n Colors - Bageecha- Indian Garden Wallpaper  -  Canvas - a texture paper</t>
        </is>
      </c>
      <c r="D624" s="39" t="inlineStr">
        <is>
          <t>Life n Colors</t>
        </is>
      </c>
      <c r="E624" s="43" t="n">
        <v>46126</v>
      </c>
      <c r="F624" s="26" t="inlineStr">
        <is>
          <t>Sunil CR</t>
        </is>
      </c>
      <c r="G624" s="26" t="inlineStr">
        <is>
          <t>Yes</t>
        </is>
      </c>
      <c r="H624" s="26" t="inlineStr">
        <is>
          <t>No</t>
        </is>
      </c>
      <c r="I624" s="26" t="inlineStr">
        <is>
          <t>Good finish</t>
        </is>
      </c>
      <c r="J624" s="26" t="inlineStr">
        <is>
          <t>Yes</t>
        </is>
      </c>
      <c r="K624" s="27" t="n"/>
      <c r="L624" s="28" t="inlineStr">
        <is>
          <t>No</t>
        </is>
      </c>
      <c r="M624" s="29">
        <f>IF(E624="","",IF(H624="Yes","❌ Disc",IF(G624="No","⚠ Missing",IF(J624="Yes","✓ OK","⚠ Check"))))</f>
        <v/>
      </c>
      <c r="N624" s="43" t="n">
        <v>46193</v>
      </c>
      <c r="O624" s="26" t="inlineStr">
        <is>
          <t>Sunil CR</t>
        </is>
      </c>
      <c r="P624" s="26" t="inlineStr">
        <is>
          <t>Yes</t>
        </is>
      </c>
      <c r="Q624" s="26" t="inlineStr">
        <is>
          <t>No</t>
        </is>
      </c>
      <c r="R624" s="26" t="inlineStr">
        <is>
          <t>Good finish</t>
        </is>
      </c>
      <c r="S624" s="26" t="inlineStr">
        <is>
          <t>Yes</t>
        </is>
      </c>
      <c r="T624" s="27" t="n"/>
      <c r="U624" s="28" t="inlineStr">
        <is>
          <t>No</t>
        </is>
      </c>
      <c r="V624" s="29">
        <f>IF(N624="","",IF(Q624="Yes","❌ Disc",IF(P624="No","⚠ Missing",IF(S624="Yes","✓ OK","⚠ Check"))))</f>
        <v/>
      </c>
      <c r="W624" s="65" t="n">
        <v>46248</v>
      </c>
      <c r="X624" s="30" t="inlineStr">
        <is>
          <t>Sunil CR</t>
        </is>
      </c>
      <c r="Y624" s="30" t="inlineStr">
        <is>
          <t>Yes</t>
        </is>
      </c>
      <c r="Z624" s="30" t="n"/>
      <c r="AA624" s="30" t="inlineStr">
        <is>
          <t>Good finish</t>
        </is>
      </c>
      <c r="AB624" s="30" t="inlineStr">
        <is>
          <t>Yes</t>
        </is>
      </c>
      <c r="AC624" s="27" t="n"/>
      <c r="AD624" s="31" t="inlineStr">
        <is>
          <t>No</t>
        </is>
      </c>
      <c r="AE624" s="32">
        <f>IF(W624="","",IF(Z624="Yes","❌ Disc",IF(Y624="No","⚠ Missing",IF(AB624="Yes","✓ OK","⚠ Check"))))</f>
        <v/>
      </c>
      <c r="AF624" s="33" t="n"/>
      <c r="AG624" s="33" t="n"/>
      <c r="AH624" s="33" t="n"/>
      <c r="AI624" s="33" t="n"/>
      <c r="AJ624" s="33" t="n"/>
      <c r="AK624" s="33" t="n"/>
      <c r="AL624" s="27" t="n"/>
      <c r="AM624" s="34" t="n"/>
      <c r="AN624" s="35">
        <f>IF(AF624="","",IF(AI624="Yes","❌ Disc",IF(AH624="No","⚠ Missing",IF(AK624="Yes","✓ OK","⚠ Check"))))</f>
        <v/>
      </c>
      <c r="AO624" s="36" t="n"/>
      <c r="AP624" s="36" t="n"/>
      <c r="AQ624" s="36" t="n"/>
      <c r="AR624" s="36" t="n"/>
      <c r="AS624" s="36" t="n"/>
      <c r="AT624" s="36" t="n"/>
      <c r="AU624" s="27" t="n"/>
      <c r="AV624" s="37" t="n"/>
      <c r="AW624" s="38">
        <f>IF(AO624="","",IF(AR624="Yes","❌ Disc",IF(AQ624="No","⚠ Missing",IF(AT624="Yes","✓ OK","⚠ Check"))))</f>
        <v/>
      </c>
    </row>
    <row r="625" ht="18" customHeight="1" s="46">
      <c r="A625" s="23" t="n">
        <v>621</v>
      </c>
      <c r="B625" s="24" t="inlineStr">
        <is>
          <t>WP LNCCN1075865</t>
        </is>
      </c>
      <c r="C625" s="25" t="inlineStr">
        <is>
          <t>Life n Colors - Balloons &amp; Gliders Pastel Colors Children Room Wall Paper  -  Canvas - a texture paper</t>
        </is>
      </c>
      <c r="D625" s="23" t="inlineStr">
        <is>
          <t>Life n Colors</t>
        </is>
      </c>
      <c r="E625" s="43" t="n">
        <v>46126</v>
      </c>
      <c r="F625" s="26" t="inlineStr">
        <is>
          <t>Sunil CR</t>
        </is>
      </c>
      <c r="G625" s="26" t="inlineStr">
        <is>
          <t>Yes</t>
        </is>
      </c>
      <c r="H625" s="26" t="inlineStr">
        <is>
          <t>No</t>
        </is>
      </c>
      <c r="I625" s="26" t="inlineStr">
        <is>
          <t>Good finish</t>
        </is>
      </c>
      <c r="J625" s="26" t="inlineStr">
        <is>
          <t>Yes</t>
        </is>
      </c>
      <c r="K625" s="27" t="n"/>
      <c r="L625" s="28" t="inlineStr">
        <is>
          <t>No</t>
        </is>
      </c>
      <c r="M625" s="29">
        <f>IF(E625="","",IF(H625="Yes","❌ Disc",IF(G625="No","⚠ Missing",IF(J625="Yes","✓ OK","⚠ Check"))))</f>
        <v/>
      </c>
      <c r="N625" s="43" t="n">
        <v>46193</v>
      </c>
      <c r="O625" s="26" t="inlineStr">
        <is>
          <t>Sunil CR</t>
        </is>
      </c>
      <c r="P625" s="26" t="inlineStr">
        <is>
          <t>Yes</t>
        </is>
      </c>
      <c r="Q625" s="26" t="inlineStr">
        <is>
          <t>No</t>
        </is>
      </c>
      <c r="R625" s="26" t="inlineStr">
        <is>
          <t>Good finish</t>
        </is>
      </c>
      <c r="S625" s="26" t="inlineStr">
        <is>
          <t>Yes</t>
        </is>
      </c>
      <c r="T625" s="27" t="n"/>
      <c r="U625" s="28" t="inlineStr">
        <is>
          <t>No</t>
        </is>
      </c>
      <c r="V625" s="29">
        <f>IF(N625="","",IF(Q625="Yes","❌ Disc",IF(P625="No","⚠ Missing",IF(S625="Yes","✓ OK","⚠ Check"))))</f>
        <v/>
      </c>
      <c r="W625" s="65" t="n">
        <v>46248</v>
      </c>
      <c r="X625" s="30" t="inlineStr">
        <is>
          <t>Sunil CR</t>
        </is>
      </c>
      <c r="Y625" s="30" t="inlineStr">
        <is>
          <t>Yes</t>
        </is>
      </c>
      <c r="Z625" s="30" t="n"/>
      <c r="AA625" s="30" t="inlineStr">
        <is>
          <t>Good finish</t>
        </is>
      </c>
      <c r="AB625" s="30" t="inlineStr">
        <is>
          <t>Yes</t>
        </is>
      </c>
      <c r="AC625" s="27" t="n"/>
      <c r="AD625" s="31" t="inlineStr">
        <is>
          <t>No</t>
        </is>
      </c>
      <c r="AE625" s="32">
        <f>IF(W625="","",IF(Z625="Yes","❌ Disc",IF(Y625="No","⚠ Missing",IF(AB625="Yes","✓ OK","⚠ Check"))))</f>
        <v/>
      </c>
      <c r="AF625" s="33" t="n"/>
      <c r="AG625" s="33" t="n"/>
      <c r="AH625" s="33" t="n"/>
      <c r="AI625" s="33" t="n"/>
      <c r="AJ625" s="33" t="n"/>
      <c r="AK625" s="33" t="n"/>
      <c r="AL625" s="27" t="n"/>
      <c r="AM625" s="34" t="n"/>
      <c r="AN625" s="35">
        <f>IF(AF625="","",IF(AI625="Yes","❌ Disc",IF(AH625="No","⚠ Missing",IF(AK625="Yes","✓ OK","⚠ Check"))))</f>
        <v/>
      </c>
      <c r="AO625" s="36" t="n"/>
      <c r="AP625" s="36" t="n"/>
      <c r="AQ625" s="36" t="n"/>
      <c r="AR625" s="36" t="n"/>
      <c r="AS625" s="36" t="n"/>
      <c r="AT625" s="36" t="n"/>
      <c r="AU625" s="27" t="n"/>
      <c r="AV625" s="37" t="n"/>
      <c r="AW625" s="38">
        <f>IF(AO625="","",IF(AR625="Yes","❌ Disc",IF(AQ625="No","⚠ Missing",IF(AT625="Yes","✓ OK","⚠ Check"))))</f>
        <v/>
      </c>
    </row>
    <row r="626" ht="18" customHeight="1" s="46">
      <c r="A626" s="39" t="n">
        <v>622</v>
      </c>
      <c r="B626" s="40" t="inlineStr">
        <is>
          <t>WP LNCSF1075865</t>
        </is>
      </c>
      <c r="C626" s="41" t="inlineStr">
        <is>
          <t>Life n Colors - Balloons &amp; Gliders Pastel Colors Children Room Wall Paper  - Non-woven - a soft feel paper</t>
        </is>
      </c>
      <c r="D626" s="39" t="inlineStr">
        <is>
          <t>Life n Colors</t>
        </is>
      </c>
      <c r="E626" s="43" t="n">
        <v>46126</v>
      </c>
      <c r="F626" s="26" t="inlineStr">
        <is>
          <t>Sunil CR</t>
        </is>
      </c>
      <c r="G626" s="26" t="inlineStr">
        <is>
          <t>Yes</t>
        </is>
      </c>
      <c r="H626" s="26" t="inlineStr">
        <is>
          <t>No</t>
        </is>
      </c>
      <c r="I626" s="26" t="inlineStr">
        <is>
          <t>Good finish</t>
        </is>
      </c>
      <c r="J626" s="26" t="inlineStr">
        <is>
          <t>Yes</t>
        </is>
      </c>
      <c r="K626" s="27" t="n"/>
      <c r="L626" s="28" t="inlineStr">
        <is>
          <t>No</t>
        </is>
      </c>
      <c r="M626" s="29">
        <f>IF(E626="","",IF(H626="Yes","❌ Disc",IF(G626="No","⚠ Missing",IF(J626="Yes","✓ OK","⚠ Check"))))</f>
        <v/>
      </c>
      <c r="N626" s="43" t="n">
        <v>46193</v>
      </c>
      <c r="O626" s="26" t="inlineStr">
        <is>
          <t>Sunil CR</t>
        </is>
      </c>
      <c r="P626" s="26" t="inlineStr">
        <is>
          <t>Yes</t>
        </is>
      </c>
      <c r="Q626" s="26" t="inlineStr">
        <is>
          <t>No</t>
        </is>
      </c>
      <c r="R626" s="26" t="inlineStr">
        <is>
          <t>Good finish</t>
        </is>
      </c>
      <c r="S626" s="26" t="inlineStr">
        <is>
          <t>Yes</t>
        </is>
      </c>
      <c r="T626" s="27" t="n"/>
      <c r="U626" s="28" t="inlineStr">
        <is>
          <t>No</t>
        </is>
      </c>
      <c r="V626" s="29">
        <f>IF(N626="","",IF(Q626="Yes","❌ Disc",IF(P626="No","⚠ Missing",IF(S626="Yes","✓ OK","⚠ Check"))))</f>
        <v/>
      </c>
      <c r="W626" s="65" t="n">
        <v>46248</v>
      </c>
      <c r="X626" s="30" t="inlineStr">
        <is>
          <t>Sunil CR</t>
        </is>
      </c>
      <c r="Y626" s="30" t="inlineStr">
        <is>
          <t>Yes</t>
        </is>
      </c>
      <c r="Z626" s="30" t="n"/>
      <c r="AA626" s="30" t="inlineStr">
        <is>
          <t>Good finish</t>
        </is>
      </c>
      <c r="AB626" s="30" t="inlineStr">
        <is>
          <t>Yes</t>
        </is>
      </c>
      <c r="AC626" s="27" t="n"/>
      <c r="AD626" s="31" t="inlineStr">
        <is>
          <t>No</t>
        </is>
      </c>
      <c r="AE626" s="32">
        <f>IF(W626="","",IF(Z626="Yes","❌ Disc",IF(Y626="No","⚠ Missing",IF(AB626="Yes","✓ OK","⚠ Check"))))</f>
        <v/>
      </c>
      <c r="AF626" s="33" t="n"/>
      <c r="AG626" s="33" t="n"/>
      <c r="AH626" s="33" t="n"/>
      <c r="AI626" s="33" t="n"/>
      <c r="AJ626" s="33" t="n"/>
      <c r="AK626" s="33" t="n"/>
      <c r="AL626" s="27" t="n"/>
      <c r="AM626" s="34" t="n"/>
      <c r="AN626" s="35">
        <f>IF(AF626="","",IF(AI626="Yes","❌ Disc",IF(AH626="No","⚠ Missing",IF(AK626="Yes","✓ OK","⚠ Check"))))</f>
        <v/>
      </c>
      <c r="AO626" s="36" t="n"/>
      <c r="AP626" s="36" t="n"/>
      <c r="AQ626" s="36" t="n"/>
      <c r="AR626" s="36" t="n"/>
      <c r="AS626" s="36" t="n"/>
      <c r="AT626" s="36" t="n"/>
      <c r="AU626" s="27" t="n"/>
      <c r="AV626" s="37" t="n"/>
      <c r="AW626" s="38">
        <f>IF(AO626="","",IF(AR626="Yes","❌ Disc",IF(AQ626="No","⚠ Missing",IF(AT626="Yes","✓ OK","⚠ Check"))))</f>
        <v/>
      </c>
    </row>
    <row r="627" ht="18" customHeight="1" s="46">
      <c r="A627" s="23" t="n">
        <v>623</v>
      </c>
      <c r="B627" s="24" t="inlineStr">
        <is>
          <t>WP LNCCN300216</t>
        </is>
      </c>
      <c r="C627" s="25" t="inlineStr">
        <is>
          <t>Life n Colors - Banaras, Indian Carpet Design Wallpaper  -  Canvas - a texture paper</t>
        </is>
      </c>
      <c r="D627" s="23" t="inlineStr">
        <is>
          <t>Life n Colors</t>
        </is>
      </c>
      <c r="E627" s="43" t="n">
        <v>46126</v>
      </c>
      <c r="F627" s="26" t="inlineStr">
        <is>
          <t>Sunil CR</t>
        </is>
      </c>
      <c r="G627" s="26" t="inlineStr">
        <is>
          <t>Yes</t>
        </is>
      </c>
      <c r="H627" s="26" t="inlineStr">
        <is>
          <t>No</t>
        </is>
      </c>
      <c r="I627" s="26" t="inlineStr">
        <is>
          <t>Good finish</t>
        </is>
      </c>
      <c r="J627" s="26" t="inlineStr">
        <is>
          <t>Yes</t>
        </is>
      </c>
      <c r="K627" s="27" t="n"/>
      <c r="L627" s="28" t="inlineStr">
        <is>
          <t>No</t>
        </is>
      </c>
      <c r="M627" s="29">
        <f>IF(E627="","",IF(H627="Yes","❌ Disc",IF(G627="No","⚠ Missing",IF(J627="Yes","✓ OK","⚠ Check"))))</f>
        <v/>
      </c>
      <c r="N627" s="43" t="n">
        <v>46193</v>
      </c>
      <c r="O627" s="26" t="inlineStr">
        <is>
          <t>Sunil CR</t>
        </is>
      </c>
      <c r="P627" s="26" t="inlineStr">
        <is>
          <t>Yes</t>
        </is>
      </c>
      <c r="Q627" s="26" t="inlineStr">
        <is>
          <t>No</t>
        </is>
      </c>
      <c r="R627" s="26" t="inlineStr">
        <is>
          <t>Good finish</t>
        </is>
      </c>
      <c r="S627" s="26" t="inlineStr">
        <is>
          <t>Yes</t>
        </is>
      </c>
      <c r="T627" s="27" t="n"/>
      <c r="U627" s="28" t="inlineStr">
        <is>
          <t>No</t>
        </is>
      </c>
      <c r="V627" s="29">
        <f>IF(N627="","",IF(Q627="Yes","❌ Disc",IF(P627="No","⚠ Missing",IF(S627="Yes","✓ OK","⚠ Check"))))</f>
        <v/>
      </c>
      <c r="W627" s="65" t="n">
        <v>46248</v>
      </c>
      <c r="X627" s="30" t="inlineStr">
        <is>
          <t>Sunil CR</t>
        </is>
      </c>
      <c r="Y627" s="30" t="inlineStr">
        <is>
          <t>Yes</t>
        </is>
      </c>
      <c r="Z627" s="30" t="n"/>
      <c r="AA627" s="30" t="inlineStr">
        <is>
          <t>Good finish</t>
        </is>
      </c>
      <c r="AB627" s="30" t="inlineStr">
        <is>
          <t>Yes</t>
        </is>
      </c>
      <c r="AC627" s="27" t="n"/>
      <c r="AD627" s="31" t="inlineStr">
        <is>
          <t>No</t>
        </is>
      </c>
      <c r="AE627" s="32">
        <f>IF(W627="","",IF(Z627="Yes","❌ Disc",IF(Y627="No","⚠ Missing",IF(AB627="Yes","✓ OK","⚠ Check"))))</f>
        <v/>
      </c>
      <c r="AF627" s="33" t="n"/>
      <c r="AG627" s="33" t="n"/>
      <c r="AH627" s="33" t="n"/>
      <c r="AI627" s="33" t="n"/>
      <c r="AJ627" s="33" t="n"/>
      <c r="AK627" s="33" t="n"/>
      <c r="AL627" s="27" t="n"/>
      <c r="AM627" s="34" t="n"/>
      <c r="AN627" s="35">
        <f>IF(AF627="","",IF(AI627="Yes","❌ Disc",IF(AH627="No","⚠ Missing",IF(AK627="Yes","✓ OK","⚠ Check"))))</f>
        <v/>
      </c>
      <c r="AO627" s="36" t="n"/>
      <c r="AP627" s="36" t="n"/>
      <c r="AQ627" s="36" t="n"/>
      <c r="AR627" s="36" t="n"/>
      <c r="AS627" s="36" t="n"/>
      <c r="AT627" s="36" t="n"/>
      <c r="AU627" s="27" t="n"/>
      <c r="AV627" s="37" t="n"/>
      <c r="AW627" s="38">
        <f>IF(AO627="","",IF(AR627="Yes","❌ Disc",IF(AQ627="No","⚠ Missing",IF(AT627="Yes","✓ OK","⚠ Check"))))</f>
        <v/>
      </c>
    </row>
    <row r="628" ht="18" customHeight="1" s="46">
      <c r="A628" s="39" t="n">
        <v>624</v>
      </c>
      <c r="B628" s="40" t="inlineStr">
        <is>
          <t>WP LNCCN1129489</t>
        </is>
      </c>
      <c r="C628" s="41" t="inlineStr">
        <is>
          <t>Life n Colors - Beautiful Floral &amp; Leaves Wallpaper Design  -  Canvas - a texture paper</t>
        </is>
      </c>
      <c r="D628" s="39" t="inlineStr">
        <is>
          <t>Life n Colors</t>
        </is>
      </c>
      <c r="E628" s="43" t="n">
        <v>46126</v>
      </c>
      <c r="F628" s="26" t="inlineStr">
        <is>
          <t>Sunil CR</t>
        </is>
      </c>
      <c r="G628" s="26" t="inlineStr">
        <is>
          <t>Yes</t>
        </is>
      </c>
      <c r="H628" s="26" t="inlineStr">
        <is>
          <t>No</t>
        </is>
      </c>
      <c r="I628" s="26" t="inlineStr">
        <is>
          <t>Good finish</t>
        </is>
      </c>
      <c r="J628" s="26" t="inlineStr">
        <is>
          <t>Yes</t>
        </is>
      </c>
      <c r="K628" s="27" t="n"/>
      <c r="L628" s="28" t="inlineStr">
        <is>
          <t>No</t>
        </is>
      </c>
      <c r="M628" s="29">
        <f>IF(E628="","",IF(H628="Yes","❌ Disc",IF(G628="No","⚠ Missing",IF(J628="Yes","✓ OK","⚠ Check"))))</f>
        <v/>
      </c>
      <c r="N628" s="43" t="n">
        <v>46193</v>
      </c>
      <c r="O628" s="26" t="inlineStr">
        <is>
          <t>Sunil CR</t>
        </is>
      </c>
      <c r="P628" s="26" t="inlineStr">
        <is>
          <t>Yes</t>
        </is>
      </c>
      <c r="Q628" s="26" t="inlineStr">
        <is>
          <t>No</t>
        </is>
      </c>
      <c r="R628" s="26" t="inlineStr">
        <is>
          <t>Good finish</t>
        </is>
      </c>
      <c r="S628" s="26" t="inlineStr">
        <is>
          <t>Yes</t>
        </is>
      </c>
      <c r="T628" s="27" t="n"/>
      <c r="U628" s="28" t="inlineStr">
        <is>
          <t>No</t>
        </is>
      </c>
      <c r="V628" s="29">
        <f>IF(N628="","",IF(Q628="Yes","❌ Disc",IF(P628="No","⚠ Missing",IF(S628="Yes","✓ OK","⚠ Check"))))</f>
        <v/>
      </c>
      <c r="W628" s="65" t="n">
        <v>46248</v>
      </c>
      <c r="X628" s="30" t="inlineStr">
        <is>
          <t>Sunil CR</t>
        </is>
      </c>
      <c r="Y628" s="30" t="inlineStr">
        <is>
          <t>Yes</t>
        </is>
      </c>
      <c r="Z628" s="30" t="n"/>
      <c r="AA628" s="30" t="inlineStr">
        <is>
          <t>Good finish</t>
        </is>
      </c>
      <c r="AB628" s="30" t="inlineStr">
        <is>
          <t>Yes</t>
        </is>
      </c>
      <c r="AC628" s="27" t="n"/>
      <c r="AD628" s="31" t="inlineStr">
        <is>
          <t>No</t>
        </is>
      </c>
      <c r="AE628" s="32">
        <f>IF(W628="","",IF(Z628="Yes","❌ Disc",IF(Y628="No","⚠ Missing",IF(AB628="Yes","✓ OK","⚠ Check"))))</f>
        <v/>
      </c>
      <c r="AF628" s="33" t="n"/>
      <c r="AG628" s="33" t="n"/>
      <c r="AH628" s="33" t="n"/>
      <c r="AI628" s="33" t="n"/>
      <c r="AJ628" s="33" t="n"/>
      <c r="AK628" s="33" t="n"/>
      <c r="AL628" s="27" t="n"/>
      <c r="AM628" s="34" t="n"/>
      <c r="AN628" s="35">
        <f>IF(AF628="","",IF(AI628="Yes","❌ Disc",IF(AH628="No","⚠ Missing",IF(AK628="Yes","✓ OK","⚠ Check"))))</f>
        <v/>
      </c>
      <c r="AO628" s="36" t="n"/>
      <c r="AP628" s="36" t="n"/>
      <c r="AQ628" s="36" t="n"/>
      <c r="AR628" s="36" t="n"/>
      <c r="AS628" s="36" t="n"/>
      <c r="AT628" s="36" t="n"/>
      <c r="AU628" s="27" t="n"/>
      <c r="AV628" s="37" t="n"/>
      <c r="AW628" s="38">
        <f>IF(AO628="","",IF(AR628="Yes","❌ Disc",IF(AQ628="No","⚠ Missing",IF(AT628="Yes","✓ OK","⚠ Check"))))</f>
        <v/>
      </c>
    </row>
    <row r="629" ht="18" customHeight="1" s="46">
      <c r="A629" s="23" t="n">
        <v>625</v>
      </c>
      <c r="B629" s="24" t="inlineStr">
        <is>
          <t>WP LNCSF1129489</t>
        </is>
      </c>
      <c r="C629" s="25" t="inlineStr">
        <is>
          <t>Life n Colors - Beautiful Floral &amp; Leaves Wallpaper Design  - Non-woven - a soft feel paper</t>
        </is>
      </c>
      <c r="D629" s="23" t="inlineStr">
        <is>
          <t>Life n Colors</t>
        </is>
      </c>
      <c r="E629" s="43" t="n">
        <v>46126</v>
      </c>
      <c r="F629" s="26" t="inlineStr">
        <is>
          <t>Sunil CR</t>
        </is>
      </c>
      <c r="G629" s="26" t="inlineStr">
        <is>
          <t>Yes</t>
        </is>
      </c>
      <c r="H629" s="26" t="inlineStr">
        <is>
          <t>No</t>
        </is>
      </c>
      <c r="I629" s="26" t="inlineStr">
        <is>
          <t>Good finish</t>
        </is>
      </c>
      <c r="J629" s="26" t="inlineStr">
        <is>
          <t>Yes</t>
        </is>
      </c>
      <c r="K629" s="27" t="n"/>
      <c r="L629" s="28" t="inlineStr">
        <is>
          <t>No</t>
        </is>
      </c>
      <c r="M629" s="29">
        <f>IF(E629="","",IF(H629="Yes","❌ Disc",IF(G629="No","⚠ Missing",IF(J629="Yes","✓ OK","⚠ Check"))))</f>
        <v/>
      </c>
      <c r="N629" s="43" t="n">
        <v>46193</v>
      </c>
      <c r="O629" s="26" t="inlineStr">
        <is>
          <t>Sunil CR</t>
        </is>
      </c>
      <c r="P629" s="26" t="inlineStr">
        <is>
          <t>Yes</t>
        </is>
      </c>
      <c r="Q629" s="26" t="inlineStr">
        <is>
          <t>No</t>
        </is>
      </c>
      <c r="R629" s="26" t="inlineStr">
        <is>
          <t>Good finish</t>
        </is>
      </c>
      <c r="S629" s="26" t="inlineStr">
        <is>
          <t>Yes</t>
        </is>
      </c>
      <c r="T629" s="27" t="n"/>
      <c r="U629" s="28" t="inlineStr">
        <is>
          <t>No</t>
        </is>
      </c>
      <c r="V629" s="29">
        <f>IF(N629="","",IF(Q629="Yes","❌ Disc",IF(P629="No","⚠ Missing",IF(S629="Yes","✓ OK","⚠ Check"))))</f>
        <v/>
      </c>
      <c r="W629" s="65" t="n">
        <v>46248</v>
      </c>
      <c r="X629" s="30" t="inlineStr">
        <is>
          <t>Sunil CR</t>
        </is>
      </c>
      <c r="Y629" s="30" t="inlineStr">
        <is>
          <t>Yes</t>
        </is>
      </c>
      <c r="Z629" s="30" t="n"/>
      <c r="AA629" s="30" t="inlineStr">
        <is>
          <t>Good finish</t>
        </is>
      </c>
      <c r="AB629" s="30" t="inlineStr">
        <is>
          <t>Yes</t>
        </is>
      </c>
      <c r="AC629" s="27" t="n"/>
      <c r="AD629" s="31" t="inlineStr">
        <is>
          <t>No</t>
        </is>
      </c>
      <c r="AE629" s="32">
        <f>IF(W629="","",IF(Z629="Yes","❌ Disc",IF(Y629="No","⚠ Missing",IF(AB629="Yes","✓ OK","⚠ Check"))))</f>
        <v/>
      </c>
      <c r="AF629" s="33" t="n"/>
      <c r="AG629" s="33" t="n"/>
      <c r="AH629" s="33" t="n"/>
      <c r="AI629" s="33" t="n"/>
      <c r="AJ629" s="33" t="n"/>
      <c r="AK629" s="33" t="n"/>
      <c r="AL629" s="27" t="n"/>
      <c r="AM629" s="34" t="n"/>
      <c r="AN629" s="35">
        <f>IF(AF629="","",IF(AI629="Yes","❌ Disc",IF(AH629="No","⚠ Missing",IF(AK629="Yes","✓ OK","⚠ Check"))))</f>
        <v/>
      </c>
      <c r="AO629" s="36" t="n"/>
      <c r="AP629" s="36" t="n"/>
      <c r="AQ629" s="36" t="n"/>
      <c r="AR629" s="36" t="n"/>
      <c r="AS629" s="36" t="n"/>
      <c r="AT629" s="36" t="n"/>
      <c r="AU629" s="27" t="n"/>
      <c r="AV629" s="37" t="n"/>
      <c r="AW629" s="38">
        <f>IF(AO629="","",IF(AR629="Yes","❌ Disc",IF(AQ629="No","⚠ Missing",IF(AT629="Yes","✓ OK","⚠ Check"))))</f>
        <v/>
      </c>
    </row>
    <row r="630" ht="18" customHeight="1" s="46">
      <c r="A630" s="39" t="n">
        <v>626</v>
      </c>
      <c r="B630" s="40" t="inlineStr">
        <is>
          <t>WP LNCCN1098496</t>
        </is>
      </c>
      <c r="C630" s="41" t="inlineStr">
        <is>
          <t>Life n Colors - Beige and Grey Background Tropical Leaves Wallpaper  -  Canvas - a texture paper</t>
        </is>
      </c>
      <c r="D630" s="39" t="inlineStr">
        <is>
          <t>Life n Colors</t>
        </is>
      </c>
      <c r="E630" s="43" t="n">
        <v>46126</v>
      </c>
      <c r="F630" s="26" t="inlineStr">
        <is>
          <t>Sunil CR</t>
        </is>
      </c>
      <c r="G630" s="26" t="inlineStr">
        <is>
          <t>Yes</t>
        </is>
      </c>
      <c r="H630" s="26" t="inlineStr">
        <is>
          <t>No</t>
        </is>
      </c>
      <c r="I630" s="26" t="inlineStr">
        <is>
          <t>Good finish</t>
        </is>
      </c>
      <c r="J630" s="26" t="inlineStr">
        <is>
          <t>Yes</t>
        </is>
      </c>
      <c r="K630" s="27" t="n"/>
      <c r="L630" s="28" t="inlineStr">
        <is>
          <t>No</t>
        </is>
      </c>
      <c r="M630" s="29">
        <f>IF(E630="","",IF(H630="Yes","❌ Disc",IF(G630="No","⚠ Missing",IF(J630="Yes","✓ OK","⚠ Check"))))</f>
        <v/>
      </c>
      <c r="N630" s="43" t="n">
        <v>46193</v>
      </c>
      <c r="O630" s="26" t="inlineStr">
        <is>
          <t>Sunil CR</t>
        </is>
      </c>
      <c r="P630" s="26" t="inlineStr">
        <is>
          <t>Yes</t>
        </is>
      </c>
      <c r="Q630" s="26" t="inlineStr">
        <is>
          <t>No</t>
        </is>
      </c>
      <c r="R630" s="26" t="inlineStr">
        <is>
          <t>Good finish</t>
        </is>
      </c>
      <c r="S630" s="26" t="inlineStr">
        <is>
          <t>Yes</t>
        </is>
      </c>
      <c r="T630" s="27" t="n"/>
      <c r="U630" s="28" t="inlineStr">
        <is>
          <t>No</t>
        </is>
      </c>
      <c r="V630" s="29">
        <f>IF(N630="","",IF(Q630="Yes","❌ Disc",IF(P630="No","⚠ Missing",IF(S630="Yes","✓ OK","⚠ Check"))))</f>
        <v/>
      </c>
      <c r="W630" s="65" t="n">
        <v>46248</v>
      </c>
      <c r="X630" s="30" t="inlineStr">
        <is>
          <t>Sunil CR</t>
        </is>
      </c>
      <c r="Y630" s="30" t="inlineStr">
        <is>
          <t>Yes</t>
        </is>
      </c>
      <c r="Z630" s="30" t="n"/>
      <c r="AA630" s="30" t="inlineStr">
        <is>
          <t>Good finish</t>
        </is>
      </c>
      <c r="AB630" s="30" t="inlineStr">
        <is>
          <t>Yes</t>
        </is>
      </c>
      <c r="AC630" s="27" t="n"/>
      <c r="AD630" s="31" t="inlineStr">
        <is>
          <t>No</t>
        </is>
      </c>
      <c r="AE630" s="32">
        <f>IF(W630="","",IF(Z630="Yes","❌ Disc",IF(Y630="No","⚠ Missing",IF(AB630="Yes","✓ OK","⚠ Check"))))</f>
        <v/>
      </c>
      <c r="AF630" s="33" t="n"/>
      <c r="AG630" s="33" t="n"/>
      <c r="AH630" s="33" t="n"/>
      <c r="AI630" s="33" t="n"/>
      <c r="AJ630" s="33" t="n"/>
      <c r="AK630" s="33" t="n"/>
      <c r="AL630" s="27" t="n"/>
      <c r="AM630" s="34" t="n"/>
      <c r="AN630" s="35">
        <f>IF(AF630="","",IF(AI630="Yes","❌ Disc",IF(AH630="No","⚠ Missing",IF(AK630="Yes","✓ OK","⚠ Check"))))</f>
        <v/>
      </c>
      <c r="AO630" s="36" t="n"/>
      <c r="AP630" s="36" t="n"/>
      <c r="AQ630" s="36" t="n"/>
      <c r="AR630" s="36" t="n"/>
      <c r="AS630" s="36" t="n"/>
      <c r="AT630" s="36" t="n"/>
      <c r="AU630" s="27" t="n"/>
      <c r="AV630" s="37" t="n"/>
      <c r="AW630" s="38">
        <f>IF(AO630="","",IF(AR630="Yes","❌ Disc",IF(AQ630="No","⚠ Missing",IF(AT630="Yes","✓ OK","⚠ Check"))))</f>
        <v/>
      </c>
    </row>
    <row r="631" ht="18" customHeight="1" s="46">
      <c r="A631" s="23" t="n">
        <v>627</v>
      </c>
      <c r="B631" s="24" t="inlineStr">
        <is>
          <t>WP LNCSF1098496</t>
        </is>
      </c>
      <c r="C631" s="25" t="inlineStr">
        <is>
          <t>Life n Colors - Beige and Grey Background Tropical Leaves Wallpaper  - Non-woven - a soft feel paper</t>
        </is>
      </c>
      <c r="D631" s="23" t="inlineStr">
        <is>
          <t>Life n Colors</t>
        </is>
      </c>
      <c r="E631" s="43" t="n">
        <v>46126</v>
      </c>
      <c r="F631" s="26" t="inlineStr">
        <is>
          <t>Sunil CR</t>
        </is>
      </c>
      <c r="G631" s="26" t="inlineStr">
        <is>
          <t>Yes</t>
        </is>
      </c>
      <c r="H631" s="26" t="inlineStr">
        <is>
          <t>No</t>
        </is>
      </c>
      <c r="I631" s="26" t="inlineStr">
        <is>
          <t>Good finish</t>
        </is>
      </c>
      <c r="J631" s="26" t="inlineStr">
        <is>
          <t>Yes</t>
        </is>
      </c>
      <c r="K631" s="27" t="n"/>
      <c r="L631" s="28" t="inlineStr">
        <is>
          <t>No</t>
        </is>
      </c>
      <c r="M631" s="29">
        <f>IF(E631="","",IF(H631="Yes","❌ Disc",IF(G631="No","⚠ Missing",IF(J631="Yes","✓ OK","⚠ Check"))))</f>
        <v/>
      </c>
      <c r="N631" s="43" t="n">
        <v>46193</v>
      </c>
      <c r="O631" s="26" t="inlineStr">
        <is>
          <t>Sunil CR</t>
        </is>
      </c>
      <c r="P631" s="26" t="inlineStr">
        <is>
          <t>Yes</t>
        </is>
      </c>
      <c r="Q631" s="26" t="inlineStr">
        <is>
          <t>No</t>
        </is>
      </c>
      <c r="R631" s="26" t="inlineStr">
        <is>
          <t>Good finish</t>
        </is>
      </c>
      <c r="S631" s="26" t="inlineStr">
        <is>
          <t>Yes</t>
        </is>
      </c>
      <c r="T631" s="27" t="n"/>
      <c r="U631" s="28" t="inlineStr">
        <is>
          <t>No</t>
        </is>
      </c>
      <c r="V631" s="29">
        <f>IF(N631="","",IF(Q631="Yes","❌ Disc",IF(P631="No","⚠ Missing",IF(S631="Yes","✓ OK","⚠ Check"))))</f>
        <v/>
      </c>
      <c r="W631" s="65" t="n">
        <v>46248</v>
      </c>
      <c r="X631" s="30" t="inlineStr">
        <is>
          <t>Sunil CR</t>
        </is>
      </c>
      <c r="Y631" s="30" t="inlineStr">
        <is>
          <t>Yes</t>
        </is>
      </c>
      <c r="Z631" s="30" t="n"/>
      <c r="AA631" s="30" t="inlineStr">
        <is>
          <t>Good finish</t>
        </is>
      </c>
      <c r="AB631" s="30" t="inlineStr">
        <is>
          <t>Yes</t>
        </is>
      </c>
      <c r="AC631" s="27" t="n"/>
      <c r="AD631" s="31" t="inlineStr">
        <is>
          <t>No</t>
        </is>
      </c>
      <c r="AE631" s="32">
        <f>IF(W631="","",IF(Z631="Yes","❌ Disc",IF(Y631="No","⚠ Missing",IF(AB631="Yes","✓ OK","⚠ Check"))))</f>
        <v/>
      </c>
      <c r="AF631" s="33" t="n"/>
      <c r="AG631" s="33" t="n"/>
      <c r="AH631" s="33" t="n"/>
      <c r="AI631" s="33" t="n"/>
      <c r="AJ631" s="33" t="n"/>
      <c r="AK631" s="33" t="n"/>
      <c r="AL631" s="27" t="n"/>
      <c r="AM631" s="34" t="n"/>
      <c r="AN631" s="35">
        <f>IF(AF631="","",IF(AI631="Yes","❌ Disc",IF(AH631="No","⚠ Missing",IF(AK631="Yes","✓ OK","⚠ Check"))))</f>
        <v/>
      </c>
      <c r="AO631" s="36" t="n"/>
      <c r="AP631" s="36" t="n"/>
      <c r="AQ631" s="36" t="n"/>
      <c r="AR631" s="36" t="n"/>
      <c r="AS631" s="36" t="n"/>
      <c r="AT631" s="36" t="n"/>
      <c r="AU631" s="27" t="n"/>
      <c r="AV631" s="37" t="n"/>
      <c r="AW631" s="38">
        <f>IF(AO631="","",IF(AR631="Yes","❌ Disc",IF(AQ631="No","⚠ Missing",IF(AT631="Yes","✓ OK","⚠ Check"))))</f>
        <v/>
      </c>
    </row>
    <row r="632" ht="18" customHeight="1" s="46">
      <c r="A632" s="39" t="n">
        <v>628</v>
      </c>
      <c r="B632" s="40" t="inlineStr">
        <is>
          <t>WP LNCCN1070998</t>
        </is>
      </c>
      <c r="C632" s="41" t="inlineStr">
        <is>
          <t>Life n Colors - Beige Indian Ikkat Pattern Bedroom Wallpaper  -  Canvas - a texture paper</t>
        </is>
      </c>
      <c r="D632" s="39" t="inlineStr">
        <is>
          <t>Life n Colors</t>
        </is>
      </c>
      <c r="E632" s="43" t="n">
        <v>46126</v>
      </c>
      <c r="F632" s="26" t="inlineStr">
        <is>
          <t>Sunil CR</t>
        </is>
      </c>
      <c r="G632" s="26" t="inlineStr">
        <is>
          <t>Yes</t>
        </is>
      </c>
      <c r="H632" s="26" t="inlineStr">
        <is>
          <t>No</t>
        </is>
      </c>
      <c r="I632" s="26" t="inlineStr">
        <is>
          <t>Good finish</t>
        </is>
      </c>
      <c r="J632" s="26" t="inlineStr">
        <is>
          <t>Yes</t>
        </is>
      </c>
      <c r="K632" s="27" t="n"/>
      <c r="L632" s="28" t="inlineStr">
        <is>
          <t>No</t>
        </is>
      </c>
      <c r="M632" s="29">
        <f>IF(E632="","",IF(H632="Yes","❌ Disc",IF(G632="No","⚠ Missing",IF(J632="Yes","✓ OK","⚠ Check"))))</f>
        <v/>
      </c>
      <c r="N632" s="43" t="n">
        <v>46193</v>
      </c>
      <c r="O632" s="26" t="inlineStr">
        <is>
          <t>Sunil CR</t>
        </is>
      </c>
      <c r="P632" s="26" t="inlineStr">
        <is>
          <t>Yes</t>
        </is>
      </c>
      <c r="Q632" s="26" t="inlineStr">
        <is>
          <t>No</t>
        </is>
      </c>
      <c r="R632" s="26" t="inlineStr">
        <is>
          <t>Good finish</t>
        </is>
      </c>
      <c r="S632" s="26" t="inlineStr">
        <is>
          <t>Yes</t>
        </is>
      </c>
      <c r="T632" s="27" t="n"/>
      <c r="U632" s="28" t="inlineStr">
        <is>
          <t>No</t>
        </is>
      </c>
      <c r="V632" s="29">
        <f>IF(N632="","",IF(Q632="Yes","❌ Disc",IF(P632="No","⚠ Missing",IF(S632="Yes","✓ OK","⚠ Check"))))</f>
        <v/>
      </c>
      <c r="W632" s="65" t="n">
        <v>46248</v>
      </c>
      <c r="X632" s="30" t="inlineStr">
        <is>
          <t>Sunil CR</t>
        </is>
      </c>
      <c r="Y632" s="30" t="inlineStr">
        <is>
          <t>Yes</t>
        </is>
      </c>
      <c r="Z632" s="30" t="n"/>
      <c r="AA632" s="30" t="inlineStr">
        <is>
          <t>Good finish</t>
        </is>
      </c>
      <c r="AB632" s="30" t="inlineStr">
        <is>
          <t>Yes</t>
        </is>
      </c>
      <c r="AC632" s="27" t="n"/>
      <c r="AD632" s="31" t="inlineStr">
        <is>
          <t>No</t>
        </is>
      </c>
      <c r="AE632" s="32">
        <f>IF(W632="","",IF(Z632="Yes","❌ Disc",IF(Y632="No","⚠ Missing",IF(AB632="Yes","✓ OK","⚠ Check"))))</f>
        <v/>
      </c>
      <c r="AF632" s="33" t="n"/>
      <c r="AG632" s="33" t="n"/>
      <c r="AH632" s="33" t="n"/>
      <c r="AI632" s="33" t="n"/>
      <c r="AJ632" s="33" t="n"/>
      <c r="AK632" s="33" t="n"/>
      <c r="AL632" s="27" t="n"/>
      <c r="AM632" s="34" t="n"/>
      <c r="AN632" s="35">
        <f>IF(AF632="","",IF(AI632="Yes","❌ Disc",IF(AH632="No","⚠ Missing",IF(AK632="Yes","✓ OK","⚠ Check"))))</f>
        <v/>
      </c>
      <c r="AO632" s="36" t="n"/>
      <c r="AP632" s="36" t="n"/>
      <c r="AQ632" s="36" t="n"/>
      <c r="AR632" s="36" t="n"/>
      <c r="AS632" s="36" t="n"/>
      <c r="AT632" s="36" t="n"/>
      <c r="AU632" s="27" t="n"/>
      <c r="AV632" s="37" t="n"/>
      <c r="AW632" s="38">
        <f>IF(AO632="","",IF(AR632="Yes","❌ Disc",IF(AQ632="No","⚠ Missing",IF(AT632="Yes","✓ OK","⚠ Check"))))</f>
        <v/>
      </c>
    </row>
    <row r="633" ht="18" customHeight="1" s="46">
      <c r="A633" s="23" t="n">
        <v>629</v>
      </c>
      <c r="B633" s="24" t="inlineStr">
        <is>
          <t>WP LNCSF1070998</t>
        </is>
      </c>
      <c r="C633" s="25" t="inlineStr">
        <is>
          <t>Life n Colors - Beige Indian Ikkat Pattern Bedroom Wallpaper  - Non-woven - a soft feel paper</t>
        </is>
      </c>
      <c r="D633" s="23" t="inlineStr">
        <is>
          <t>Life n Colors</t>
        </is>
      </c>
      <c r="E633" s="43" t="n">
        <v>46126</v>
      </c>
      <c r="F633" s="26" t="inlineStr">
        <is>
          <t>Sunil CR</t>
        </is>
      </c>
      <c r="G633" s="26" t="inlineStr">
        <is>
          <t>Yes</t>
        </is>
      </c>
      <c r="H633" s="26" t="inlineStr">
        <is>
          <t>No</t>
        </is>
      </c>
      <c r="I633" s="26" t="inlineStr">
        <is>
          <t>Good finish</t>
        </is>
      </c>
      <c r="J633" s="26" t="inlineStr">
        <is>
          <t>Yes</t>
        </is>
      </c>
      <c r="K633" s="27" t="n"/>
      <c r="L633" s="28" t="inlineStr">
        <is>
          <t>No</t>
        </is>
      </c>
      <c r="M633" s="29">
        <f>IF(E633="","",IF(H633="Yes","❌ Disc",IF(G633="No","⚠ Missing",IF(J633="Yes","✓ OK","⚠ Check"))))</f>
        <v/>
      </c>
      <c r="N633" s="43" t="n">
        <v>46193</v>
      </c>
      <c r="O633" s="26" t="inlineStr">
        <is>
          <t>Sunil CR</t>
        </is>
      </c>
      <c r="P633" s="26" t="inlineStr">
        <is>
          <t>Yes</t>
        </is>
      </c>
      <c r="Q633" s="26" t="inlineStr">
        <is>
          <t>No</t>
        </is>
      </c>
      <c r="R633" s="26" t="inlineStr">
        <is>
          <t>Good finish</t>
        </is>
      </c>
      <c r="S633" s="26" t="inlineStr">
        <is>
          <t>Yes</t>
        </is>
      </c>
      <c r="T633" s="27" t="n"/>
      <c r="U633" s="28" t="inlineStr">
        <is>
          <t>No</t>
        </is>
      </c>
      <c r="V633" s="29">
        <f>IF(N633="","",IF(Q633="Yes","❌ Disc",IF(P633="No","⚠ Missing",IF(S633="Yes","✓ OK","⚠ Check"))))</f>
        <v/>
      </c>
      <c r="W633" s="65" t="n">
        <v>46248</v>
      </c>
      <c r="X633" s="30" t="inlineStr">
        <is>
          <t>Sunil CR</t>
        </is>
      </c>
      <c r="Y633" s="30" t="inlineStr">
        <is>
          <t>Yes</t>
        </is>
      </c>
      <c r="Z633" s="30" t="n"/>
      <c r="AA633" s="30" t="inlineStr">
        <is>
          <t>Good finish</t>
        </is>
      </c>
      <c r="AB633" s="30" t="inlineStr">
        <is>
          <t>Yes</t>
        </is>
      </c>
      <c r="AC633" s="27" t="n"/>
      <c r="AD633" s="31" t="inlineStr">
        <is>
          <t>No</t>
        </is>
      </c>
      <c r="AE633" s="32">
        <f>IF(W633="","",IF(Z633="Yes","❌ Disc",IF(Y633="No","⚠ Missing",IF(AB633="Yes","✓ OK","⚠ Check"))))</f>
        <v/>
      </c>
      <c r="AF633" s="33" t="n"/>
      <c r="AG633" s="33" t="n"/>
      <c r="AH633" s="33" t="n"/>
      <c r="AI633" s="33" t="n"/>
      <c r="AJ633" s="33" t="n"/>
      <c r="AK633" s="33" t="n"/>
      <c r="AL633" s="27" t="n"/>
      <c r="AM633" s="34" t="n"/>
      <c r="AN633" s="35">
        <f>IF(AF633="","",IF(AI633="Yes","❌ Disc",IF(AH633="No","⚠ Missing",IF(AK633="Yes","✓ OK","⚠ Check"))))</f>
        <v/>
      </c>
      <c r="AO633" s="36" t="n"/>
      <c r="AP633" s="36" t="n"/>
      <c r="AQ633" s="36" t="n"/>
      <c r="AR633" s="36" t="n"/>
      <c r="AS633" s="36" t="n"/>
      <c r="AT633" s="36" t="n"/>
      <c r="AU633" s="27" t="n"/>
      <c r="AV633" s="37" t="n"/>
      <c r="AW633" s="38">
        <f>IF(AO633="","",IF(AR633="Yes","❌ Disc",IF(AQ633="No","⚠ Missing",IF(AT633="Yes","✓ OK","⚠ Check"))))</f>
        <v/>
      </c>
    </row>
    <row r="634" ht="18" customHeight="1" s="46">
      <c r="A634" s="39" t="n">
        <v>630</v>
      </c>
      <c r="B634" s="40" t="inlineStr">
        <is>
          <t>WP LNCCN1198672</t>
        </is>
      </c>
      <c r="C634" s="41" t="inlineStr">
        <is>
          <t>Life n Colors - Beige Vintage Antique World Map for Walls, Customised  -  Canvas - a texture paper</t>
        </is>
      </c>
      <c r="D634" s="39" t="inlineStr">
        <is>
          <t>Life n Colors</t>
        </is>
      </c>
      <c r="E634" s="43" t="n">
        <v>46126</v>
      </c>
      <c r="F634" s="26" t="inlineStr">
        <is>
          <t>Sunil CR</t>
        </is>
      </c>
      <c r="G634" s="26" t="inlineStr">
        <is>
          <t>Yes</t>
        </is>
      </c>
      <c r="H634" s="26" t="inlineStr">
        <is>
          <t>No</t>
        </is>
      </c>
      <c r="I634" s="26" t="inlineStr">
        <is>
          <t>Good finish</t>
        </is>
      </c>
      <c r="J634" s="26" t="inlineStr">
        <is>
          <t>Yes</t>
        </is>
      </c>
      <c r="K634" s="27" t="n"/>
      <c r="L634" s="28" t="inlineStr">
        <is>
          <t>No</t>
        </is>
      </c>
      <c r="M634" s="29">
        <f>IF(E634="","",IF(H634="Yes","❌ Disc",IF(G634="No","⚠ Missing",IF(J634="Yes","✓ OK","⚠ Check"))))</f>
        <v/>
      </c>
      <c r="N634" s="43" t="n">
        <v>46193</v>
      </c>
      <c r="O634" s="26" t="inlineStr">
        <is>
          <t>Sunil CR</t>
        </is>
      </c>
      <c r="P634" s="26" t="inlineStr">
        <is>
          <t>Yes</t>
        </is>
      </c>
      <c r="Q634" s="26" t="inlineStr">
        <is>
          <t>No</t>
        </is>
      </c>
      <c r="R634" s="26" t="inlineStr">
        <is>
          <t>Good finish</t>
        </is>
      </c>
      <c r="S634" s="26" t="inlineStr">
        <is>
          <t>Yes</t>
        </is>
      </c>
      <c r="T634" s="27" t="n"/>
      <c r="U634" s="28" t="inlineStr">
        <is>
          <t>No</t>
        </is>
      </c>
      <c r="V634" s="29">
        <f>IF(N634="","",IF(Q634="Yes","❌ Disc",IF(P634="No","⚠ Missing",IF(S634="Yes","✓ OK","⚠ Check"))))</f>
        <v/>
      </c>
      <c r="W634" s="65" t="n">
        <v>46248</v>
      </c>
      <c r="X634" s="30" t="inlineStr">
        <is>
          <t>Sunil CR</t>
        </is>
      </c>
      <c r="Y634" s="30" t="inlineStr">
        <is>
          <t>Yes</t>
        </is>
      </c>
      <c r="Z634" s="30" t="n"/>
      <c r="AA634" s="30" t="inlineStr">
        <is>
          <t>Good finish</t>
        </is>
      </c>
      <c r="AB634" s="30" t="inlineStr">
        <is>
          <t>Yes</t>
        </is>
      </c>
      <c r="AC634" s="27" t="n"/>
      <c r="AD634" s="31" t="inlineStr">
        <is>
          <t>No</t>
        </is>
      </c>
      <c r="AE634" s="32">
        <f>IF(W634="","",IF(Z634="Yes","❌ Disc",IF(Y634="No","⚠ Missing",IF(AB634="Yes","✓ OK","⚠ Check"))))</f>
        <v/>
      </c>
      <c r="AF634" s="33" t="n"/>
      <c r="AG634" s="33" t="n"/>
      <c r="AH634" s="33" t="n"/>
      <c r="AI634" s="33" t="n"/>
      <c r="AJ634" s="33" t="n"/>
      <c r="AK634" s="33" t="n"/>
      <c r="AL634" s="27" t="n"/>
      <c r="AM634" s="34" t="n"/>
      <c r="AN634" s="35">
        <f>IF(AF634="","",IF(AI634="Yes","❌ Disc",IF(AH634="No","⚠ Missing",IF(AK634="Yes","✓ OK","⚠ Check"))))</f>
        <v/>
      </c>
      <c r="AO634" s="36" t="n"/>
      <c r="AP634" s="36" t="n"/>
      <c r="AQ634" s="36" t="n"/>
      <c r="AR634" s="36" t="n"/>
      <c r="AS634" s="36" t="n"/>
      <c r="AT634" s="36" t="n"/>
      <c r="AU634" s="27" t="n"/>
      <c r="AV634" s="37" t="n"/>
      <c r="AW634" s="38">
        <f>IF(AO634="","",IF(AR634="Yes","❌ Disc",IF(AQ634="No","⚠ Missing",IF(AT634="Yes","✓ OK","⚠ Check"))))</f>
        <v/>
      </c>
    </row>
    <row r="635" ht="18" customHeight="1" s="46">
      <c r="A635" s="23" t="n">
        <v>631</v>
      </c>
      <c r="B635" s="24" t="inlineStr">
        <is>
          <t>WP LNCSF1198672</t>
        </is>
      </c>
      <c r="C635" s="25" t="inlineStr">
        <is>
          <t>Life n Colors - Beige Vintage Antique World Map for Walls, Customised  - Non-woven - a soft feel paper</t>
        </is>
      </c>
      <c r="D635" s="23" t="inlineStr">
        <is>
          <t>Life n Colors</t>
        </is>
      </c>
      <c r="E635" s="43" t="n">
        <v>46126</v>
      </c>
      <c r="F635" s="26" t="inlineStr">
        <is>
          <t>Sunil CR</t>
        </is>
      </c>
      <c r="G635" s="26" t="inlineStr">
        <is>
          <t>Yes</t>
        </is>
      </c>
      <c r="H635" s="26" t="inlineStr">
        <is>
          <t>No</t>
        </is>
      </c>
      <c r="I635" s="26" t="inlineStr">
        <is>
          <t>Good finish</t>
        </is>
      </c>
      <c r="J635" s="26" t="inlineStr">
        <is>
          <t>Yes</t>
        </is>
      </c>
      <c r="K635" s="27" t="n"/>
      <c r="L635" s="28" t="inlineStr">
        <is>
          <t>No</t>
        </is>
      </c>
      <c r="M635" s="29">
        <f>IF(E635="","",IF(H635="Yes","❌ Disc",IF(G635="No","⚠ Missing",IF(J635="Yes","✓ OK","⚠ Check"))))</f>
        <v/>
      </c>
      <c r="N635" s="43" t="n">
        <v>46193</v>
      </c>
      <c r="O635" s="26" t="inlineStr">
        <is>
          <t>Sunil CR</t>
        </is>
      </c>
      <c r="P635" s="26" t="inlineStr">
        <is>
          <t>Yes</t>
        </is>
      </c>
      <c r="Q635" s="26" t="inlineStr">
        <is>
          <t>No</t>
        </is>
      </c>
      <c r="R635" s="26" t="inlineStr">
        <is>
          <t>Good finish</t>
        </is>
      </c>
      <c r="S635" s="26" t="inlineStr">
        <is>
          <t>Yes</t>
        </is>
      </c>
      <c r="T635" s="27" t="n"/>
      <c r="U635" s="28" t="inlineStr">
        <is>
          <t>No</t>
        </is>
      </c>
      <c r="V635" s="29">
        <f>IF(N635="","",IF(Q635="Yes","❌ Disc",IF(P635="No","⚠ Missing",IF(S635="Yes","✓ OK","⚠ Check"))))</f>
        <v/>
      </c>
      <c r="W635" s="65" t="n">
        <v>46248</v>
      </c>
      <c r="X635" s="30" t="inlineStr">
        <is>
          <t>Sunil CR</t>
        </is>
      </c>
      <c r="Y635" s="30" t="inlineStr">
        <is>
          <t>Yes</t>
        </is>
      </c>
      <c r="Z635" s="30" t="n"/>
      <c r="AA635" s="30" t="inlineStr">
        <is>
          <t>Good finish</t>
        </is>
      </c>
      <c r="AB635" s="30" t="inlineStr">
        <is>
          <t>Yes</t>
        </is>
      </c>
      <c r="AC635" s="27" t="n"/>
      <c r="AD635" s="31" t="inlineStr">
        <is>
          <t>No</t>
        </is>
      </c>
      <c r="AE635" s="32">
        <f>IF(W635="","",IF(Z635="Yes","❌ Disc",IF(Y635="No","⚠ Missing",IF(AB635="Yes","✓ OK","⚠ Check"))))</f>
        <v/>
      </c>
      <c r="AF635" s="33" t="n"/>
      <c r="AG635" s="33" t="n"/>
      <c r="AH635" s="33" t="n"/>
      <c r="AI635" s="33" t="n"/>
      <c r="AJ635" s="33" t="n"/>
      <c r="AK635" s="33" t="n"/>
      <c r="AL635" s="27" t="n"/>
      <c r="AM635" s="34" t="n"/>
      <c r="AN635" s="35">
        <f>IF(AF635="","",IF(AI635="Yes","❌ Disc",IF(AH635="No","⚠ Missing",IF(AK635="Yes","✓ OK","⚠ Check"))))</f>
        <v/>
      </c>
      <c r="AO635" s="36" t="n"/>
      <c r="AP635" s="36" t="n"/>
      <c r="AQ635" s="36" t="n"/>
      <c r="AR635" s="36" t="n"/>
      <c r="AS635" s="36" t="n"/>
      <c r="AT635" s="36" t="n"/>
      <c r="AU635" s="27" t="n"/>
      <c r="AV635" s="37" t="n"/>
      <c r="AW635" s="38">
        <f>IF(AO635="","",IF(AR635="Yes","❌ Disc",IF(AQ635="No","⚠ Missing",IF(AT635="Yes","✓ OK","⚠ Check"))))</f>
        <v/>
      </c>
    </row>
    <row r="636" ht="18" customHeight="1" s="46">
      <c r="A636" s="39" t="n">
        <v>632</v>
      </c>
      <c r="B636" s="40" t="inlineStr">
        <is>
          <t>WP LNCCN321525</t>
        </is>
      </c>
      <c r="C636" s="41" t="inlineStr">
        <is>
          <t>Life n Colors - Bharat, Rich Indian Wallpaper Design  -  Canvas - a texture paper</t>
        </is>
      </c>
      <c r="D636" s="39" t="inlineStr">
        <is>
          <t>Life n Colors</t>
        </is>
      </c>
      <c r="E636" s="43" t="n">
        <v>46126</v>
      </c>
      <c r="F636" s="26" t="inlineStr">
        <is>
          <t>Sunil CR</t>
        </is>
      </c>
      <c r="G636" s="26" t="inlineStr">
        <is>
          <t>Yes</t>
        </is>
      </c>
      <c r="H636" s="26" t="inlineStr">
        <is>
          <t>No</t>
        </is>
      </c>
      <c r="I636" s="26" t="inlineStr">
        <is>
          <t>Good finish</t>
        </is>
      </c>
      <c r="J636" s="26" t="inlineStr">
        <is>
          <t>Yes</t>
        </is>
      </c>
      <c r="K636" s="27" t="n"/>
      <c r="L636" s="28" t="inlineStr">
        <is>
          <t>No</t>
        </is>
      </c>
      <c r="M636" s="29">
        <f>IF(E636="","",IF(H636="Yes","❌ Disc",IF(G636="No","⚠ Missing",IF(J636="Yes","✓ OK","⚠ Check"))))</f>
        <v/>
      </c>
      <c r="N636" s="43" t="n">
        <v>46193</v>
      </c>
      <c r="O636" s="26" t="inlineStr">
        <is>
          <t>Sunil CR</t>
        </is>
      </c>
      <c r="P636" s="26" t="inlineStr">
        <is>
          <t>Yes</t>
        </is>
      </c>
      <c r="Q636" s="26" t="inlineStr">
        <is>
          <t>No</t>
        </is>
      </c>
      <c r="R636" s="26" t="inlineStr">
        <is>
          <t>Good finish</t>
        </is>
      </c>
      <c r="S636" s="26" t="inlineStr">
        <is>
          <t>Yes</t>
        </is>
      </c>
      <c r="T636" s="27" t="n"/>
      <c r="U636" s="28" t="inlineStr">
        <is>
          <t>No</t>
        </is>
      </c>
      <c r="V636" s="29">
        <f>IF(N636="","",IF(Q636="Yes","❌ Disc",IF(P636="No","⚠ Missing",IF(S636="Yes","✓ OK","⚠ Check"))))</f>
        <v/>
      </c>
      <c r="W636" s="65" t="n">
        <v>46248</v>
      </c>
      <c r="X636" s="30" t="inlineStr">
        <is>
          <t>Sunil CR</t>
        </is>
      </c>
      <c r="Y636" s="30" t="inlineStr">
        <is>
          <t>Yes</t>
        </is>
      </c>
      <c r="Z636" s="30" t="n"/>
      <c r="AA636" s="30" t="inlineStr">
        <is>
          <t>Good finish</t>
        </is>
      </c>
      <c r="AB636" s="30" t="inlineStr">
        <is>
          <t>Yes</t>
        </is>
      </c>
      <c r="AC636" s="27" t="n"/>
      <c r="AD636" s="31" t="inlineStr">
        <is>
          <t>No</t>
        </is>
      </c>
      <c r="AE636" s="32">
        <f>IF(W636="","",IF(Z636="Yes","❌ Disc",IF(Y636="No","⚠ Missing",IF(AB636="Yes","✓ OK","⚠ Check"))))</f>
        <v/>
      </c>
      <c r="AF636" s="33" t="n"/>
      <c r="AG636" s="33" t="n"/>
      <c r="AH636" s="33" t="n"/>
      <c r="AI636" s="33" t="n"/>
      <c r="AJ636" s="33" t="n"/>
      <c r="AK636" s="33" t="n"/>
      <c r="AL636" s="27" t="n"/>
      <c r="AM636" s="34" t="n"/>
      <c r="AN636" s="35">
        <f>IF(AF636="","",IF(AI636="Yes","❌ Disc",IF(AH636="No","⚠ Missing",IF(AK636="Yes","✓ OK","⚠ Check"))))</f>
        <v/>
      </c>
      <c r="AO636" s="36" t="n"/>
      <c r="AP636" s="36" t="n"/>
      <c r="AQ636" s="36" t="n"/>
      <c r="AR636" s="36" t="n"/>
      <c r="AS636" s="36" t="n"/>
      <c r="AT636" s="36" t="n"/>
      <c r="AU636" s="27" t="n"/>
      <c r="AV636" s="37" t="n"/>
      <c r="AW636" s="38">
        <f>IF(AO636="","",IF(AR636="Yes","❌ Disc",IF(AQ636="No","⚠ Missing",IF(AT636="Yes","✓ OK","⚠ Check"))))</f>
        <v/>
      </c>
    </row>
    <row r="637" ht="18" customHeight="1" s="46">
      <c r="A637" s="23" t="n">
        <v>633</v>
      </c>
      <c r="B637" s="24" t="inlineStr">
        <is>
          <t>WP LNCCN1074412</t>
        </is>
      </c>
      <c r="C637" s="25" t="inlineStr">
        <is>
          <t>Life n Colors - Big Floral Pattern on Walls, Hand Painted Look  -  Canvas - a texture paper</t>
        </is>
      </c>
      <c r="D637" s="23" t="inlineStr">
        <is>
          <t>Life n Colors</t>
        </is>
      </c>
      <c r="E637" s="43" t="n">
        <v>46126</v>
      </c>
      <c r="F637" s="26" t="inlineStr">
        <is>
          <t>Sunil CR</t>
        </is>
      </c>
      <c r="G637" s="26" t="inlineStr">
        <is>
          <t>Yes</t>
        </is>
      </c>
      <c r="H637" s="26" t="inlineStr">
        <is>
          <t>No</t>
        </is>
      </c>
      <c r="I637" s="26" t="inlineStr">
        <is>
          <t>Good finish</t>
        </is>
      </c>
      <c r="J637" s="26" t="inlineStr">
        <is>
          <t>Yes</t>
        </is>
      </c>
      <c r="K637" s="27" t="n"/>
      <c r="L637" s="28" t="inlineStr">
        <is>
          <t>No</t>
        </is>
      </c>
      <c r="M637" s="29">
        <f>IF(E637="","",IF(H637="Yes","❌ Disc",IF(G637="No","⚠ Missing",IF(J637="Yes","✓ OK","⚠ Check"))))</f>
        <v/>
      </c>
      <c r="N637" s="43" t="n">
        <v>46193</v>
      </c>
      <c r="O637" s="26" t="inlineStr">
        <is>
          <t>Sunil CR</t>
        </is>
      </c>
      <c r="P637" s="26" t="inlineStr">
        <is>
          <t>Yes</t>
        </is>
      </c>
      <c r="Q637" s="26" t="inlineStr">
        <is>
          <t>No</t>
        </is>
      </c>
      <c r="R637" s="26" t="inlineStr">
        <is>
          <t>Good finish</t>
        </is>
      </c>
      <c r="S637" s="26" t="inlineStr">
        <is>
          <t>Yes</t>
        </is>
      </c>
      <c r="T637" s="27" t="n"/>
      <c r="U637" s="28" t="inlineStr">
        <is>
          <t>No</t>
        </is>
      </c>
      <c r="V637" s="29">
        <f>IF(N637="","",IF(Q637="Yes","❌ Disc",IF(P637="No","⚠ Missing",IF(S637="Yes","✓ OK","⚠ Check"))))</f>
        <v/>
      </c>
      <c r="W637" s="65" t="n">
        <v>46248</v>
      </c>
      <c r="X637" s="30" t="inlineStr">
        <is>
          <t>Sunil CR</t>
        </is>
      </c>
      <c r="Y637" s="30" t="inlineStr">
        <is>
          <t>Yes</t>
        </is>
      </c>
      <c r="Z637" s="30" t="n"/>
      <c r="AA637" s="30" t="inlineStr">
        <is>
          <t>Good finish</t>
        </is>
      </c>
      <c r="AB637" s="30" t="inlineStr">
        <is>
          <t>Yes</t>
        </is>
      </c>
      <c r="AC637" s="27" t="n"/>
      <c r="AD637" s="31" t="inlineStr">
        <is>
          <t>No</t>
        </is>
      </c>
      <c r="AE637" s="32">
        <f>IF(W637="","",IF(Z637="Yes","❌ Disc",IF(Y637="No","⚠ Missing",IF(AB637="Yes","✓ OK","⚠ Check"))))</f>
        <v/>
      </c>
      <c r="AF637" s="33" t="n"/>
      <c r="AG637" s="33" t="n"/>
      <c r="AH637" s="33" t="n"/>
      <c r="AI637" s="33" t="n"/>
      <c r="AJ637" s="33" t="n"/>
      <c r="AK637" s="33" t="n"/>
      <c r="AL637" s="27" t="n"/>
      <c r="AM637" s="34" t="n"/>
      <c r="AN637" s="35">
        <f>IF(AF637="","",IF(AI637="Yes","❌ Disc",IF(AH637="No","⚠ Missing",IF(AK637="Yes","✓ OK","⚠ Check"))))</f>
        <v/>
      </c>
      <c r="AO637" s="36" t="n"/>
      <c r="AP637" s="36" t="n"/>
      <c r="AQ637" s="36" t="n"/>
      <c r="AR637" s="36" t="n"/>
      <c r="AS637" s="36" t="n"/>
      <c r="AT637" s="36" t="n"/>
      <c r="AU637" s="27" t="n"/>
      <c r="AV637" s="37" t="n"/>
      <c r="AW637" s="38">
        <f>IF(AO637="","",IF(AR637="Yes","❌ Disc",IF(AQ637="No","⚠ Missing",IF(AT637="Yes","✓ OK","⚠ Check"))))</f>
        <v/>
      </c>
    </row>
    <row r="638" ht="18" customHeight="1" s="46">
      <c r="A638" s="39" t="n">
        <v>634</v>
      </c>
      <c r="B638" s="40" t="inlineStr">
        <is>
          <t>WP LNCSF1074412</t>
        </is>
      </c>
      <c r="C638" s="41" t="inlineStr">
        <is>
          <t>Life n Colors - Big Floral Pattern on Walls, Hand Painted Look  - Non-woven - a soft feel paper</t>
        </is>
      </c>
      <c r="D638" s="39" t="inlineStr">
        <is>
          <t>Life n Colors</t>
        </is>
      </c>
      <c r="E638" s="43" t="n">
        <v>46126</v>
      </c>
      <c r="F638" s="26" t="inlineStr">
        <is>
          <t>Sunil CR</t>
        </is>
      </c>
      <c r="G638" s="26" t="inlineStr">
        <is>
          <t>Yes</t>
        </is>
      </c>
      <c r="H638" s="26" t="inlineStr">
        <is>
          <t>No</t>
        </is>
      </c>
      <c r="I638" s="26" t="inlineStr">
        <is>
          <t>Good finish</t>
        </is>
      </c>
      <c r="J638" s="26" t="inlineStr">
        <is>
          <t>Yes</t>
        </is>
      </c>
      <c r="K638" s="27" t="n"/>
      <c r="L638" s="28" t="inlineStr">
        <is>
          <t>No</t>
        </is>
      </c>
      <c r="M638" s="29">
        <f>IF(E638="","",IF(H638="Yes","❌ Disc",IF(G638="No","⚠ Missing",IF(J638="Yes","✓ OK","⚠ Check"))))</f>
        <v/>
      </c>
      <c r="N638" s="43" t="n">
        <v>46193</v>
      </c>
      <c r="O638" s="26" t="inlineStr">
        <is>
          <t>Sunil CR</t>
        </is>
      </c>
      <c r="P638" s="26" t="inlineStr">
        <is>
          <t>Yes</t>
        </is>
      </c>
      <c r="Q638" s="26" t="inlineStr">
        <is>
          <t>No</t>
        </is>
      </c>
      <c r="R638" s="26" t="inlineStr">
        <is>
          <t>Good finish</t>
        </is>
      </c>
      <c r="S638" s="26" t="inlineStr">
        <is>
          <t>Yes</t>
        </is>
      </c>
      <c r="T638" s="27" t="n"/>
      <c r="U638" s="28" t="inlineStr">
        <is>
          <t>No</t>
        </is>
      </c>
      <c r="V638" s="29">
        <f>IF(N638="","",IF(Q638="Yes","❌ Disc",IF(P638="No","⚠ Missing",IF(S638="Yes","✓ OK","⚠ Check"))))</f>
        <v/>
      </c>
      <c r="W638" s="65" t="n">
        <v>46248</v>
      </c>
      <c r="X638" s="30" t="inlineStr">
        <is>
          <t>Sunil CR</t>
        </is>
      </c>
      <c r="Y638" s="30" t="inlineStr">
        <is>
          <t>Yes</t>
        </is>
      </c>
      <c r="Z638" s="30" t="n"/>
      <c r="AA638" s="30" t="inlineStr">
        <is>
          <t>Good finish</t>
        </is>
      </c>
      <c r="AB638" s="30" t="inlineStr">
        <is>
          <t>Yes</t>
        </is>
      </c>
      <c r="AC638" s="27" t="n"/>
      <c r="AD638" s="31" t="inlineStr">
        <is>
          <t>No</t>
        </is>
      </c>
      <c r="AE638" s="32">
        <f>IF(W638="","",IF(Z638="Yes","❌ Disc",IF(Y638="No","⚠ Missing",IF(AB638="Yes","✓ OK","⚠ Check"))))</f>
        <v/>
      </c>
      <c r="AF638" s="33" t="n"/>
      <c r="AG638" s="33" t="n"/>
      <c r="AH638" s="33" t="n"/>
      <c r="AI638" s="33" t="n"/>
      <c r="AJ638" s="33" t="n"/>
      <c r="AK638" s="33" t="n"/>
      <c r="AL638" s="27" t="n"/>
      <c r="AM638" s="34" t="n"/>
      <c r="AN638" s="35">
        <f>IF(AF638="","",IF(AI638="Yes","❌ Disc",IF(AH638="No","⚠ Missing",IF(AK638="Yes","✓ OK","⚠ Check"))))</f>
        <v/>
      </c>
      <c r="AO638" s="36" t="n"/>
      <c r="AP638" s="36" t="n"/>
      <c r="AQ638" s="36" t="n"/>
      <c r="AR638" s="36" t="n"/>
      <c r="AS638" s="36" t="n"/>
      <c r="AT638" s="36" t="n"/>
      <c r="AU638" s="27" t="n"/>
      <c r="AV638" s="37" t="n"/>
      <c r="AW638" s="38">
        <f>IF(AO638="","",IF(AR638="Yes","❌ Disc",IF(AQ638="No","⚠ Missing",IF(AT638="Yes","✓ OK","⚠ Check"))))</f>
        <v/>
      </c>
    </row>
    <row r="639" ht="18" customHeight="1" s="46">
      <c r="A639" s="23" t="n">
        <v>635</v>
      </c>
      <c r="B639" s="24" t="inlineStr">
        <is>
          <t>WP LNCCN1093077</t>
        </is>
      </c>
      <c r="C639" s="25" t="inlineStr">
        <is>
          <t>Life n Colors - Big Lotus Leaves, Premium Indian Wallpaper Design  -  Canvas - a texture paper</t>
        </is>
      </c>
      <c r="D639" s="23" t="inlineStr">
        <is>
          <t>Life n Colors</t>
        </is>
      </c>
      <c r="E639" s="43" t="n">
        <v>46126</v>
      </c>
      <c r="F639" s="26" t="inlineStr">
        <is>
          <t>Sunil CR</t>
        </is>
      </c>
      <c r="G639" s="26" t="inlineStr">
        <is>
          <t>Yes</t>
        </is>
      </c>
      <c r="H639" s="26" t="inlineStr">
        <is>
          <t>No</t>
        </is>
      </c>
      <c r="I639" s="26" t="inlineStr">
        <is>
          <t>Good finish</t>
        </is>
      </c>
      <c r="J639" s="26" t="inlineStr">
        <is>
          <t>Yes</t>
        </is>
      </c>
      <c r="K639" s="27" t="n"/>
      <c r="L639" s="28" t="inlineStr">
        <is>
          <t>No</t>
        </is>
      </c>
      <c r="M639" s="29">
        <f>IF(E639="","",IF(H639="Yes","❌ Disc",IF(G639="No","⚠ Missing",IF(J639="Yes","✓ OK","⚠ Check"))))</f>
        <v/>
      </c>
      <c r="N639" s="43" t="n">
        <v>46193</v>
      </c>
      <c r="O639" s="26" t="inlineStr">
        <is>
          <t>Sunil CR</t>
        </is>
      </c>
      <c r="P639" s="26" t="inlineStr">
        <is>
          <t>Yes</t>
        </is>
      </c>
      <c r="Q639" s="26" t="inlineStr">
        <is>
          <t>No</t>
        </is>
      </c>
      <c r="R639" s="26" t="inlineStr">
        <is>
          <t>Good finish</t>
        </is>
      </c>
      <c r="S639" s="26" t="inlineStr">
        <is>
          <t>Yes</t>
        </is>
      </c>
      <c r="T639" s="27" t="n"/>
      <c r="U639" s="28" t="inlineStr">
        <is>
          <t>No</t>
        </is>
      </c>
      <c r="V639" s="29">
        <f>IF(N639="","",IF(Q639="Yes","❌ Disc",IF(P639="No","⚠ Missing",IF(S639="Yes","✓ OK","⚠ Check"))))</f>
        <v/>
      </c>
      <c r="W639" s="65" t="n">
        <v>46248</v>
      </c>
      <c r="X639" s="30" t="inlineStr">
        <is>
          <t>Sunil CR</t>
        </is>
      </c>
      <c r="Y639" s="30" t="inlineStr">
        <is>
          <t>Yes</t>
        </is>
      </c>
      <c r="Z639" s="30" t="n"/>
      <c r="AA639" s="30" t="inlineStr">
        <is>
          <t>Good finish</t>
        </is>
      </c>
      <c r="AB639" s="30" t="inlineStr">
        <is>
          <t>Yes</t>
        </is>
      </c>
      <c r="AC639" s="27" t="n"/>
      <c r="AD639" s="31" t="inlineStr">
        <is>
          <t>No</t>
        </is>
      </c>
      <c r="AE639" s="32">
        <f>IF(W639="","",IF(Z639="Yes","❌ Disc",IF(Y639="No","⚠ Missing",IF(AB639="Yes","✓ OK","⚠ Check"))))</f>
        <v/>
      </c>
      <c r="AF639" s="33" t="n"/>
      <c r="AG639" s="33" t="n"/>
      <c r="AH639" s="33" t="n"/>
      <c r="AI639" s="33" t="n"/>
      <c r="AJ639" s="33" t="n"/>
      <c r="AK639" s="33" t="n"/>
      <c r="AL639" s="27" t="n"/>
      <c r="AM639" s="34" t="n"/>
      <c r="AN639" s="35">
        <f>IF(AF639="","",IF(AI639="Yes","❌ Disc",IF(AH639="No","⚠ Missing",IF(AK639="Yes","✓ OK","⚠ Check"))))</f>
        <v/>
      </c>
      <c r="AO639" s="36" t="n"/>
      <c r="AP639" s="36" t="n"/>
      <c r="AQ639" s="36" t="n"/>
      <c r="AR639" s="36" t="n"/>
      <c r="AS639" s="36" t="n"/>
      <c r="AT639" s="36" t="n"/>
      <c r="AU639" s="27" t="n"/>
      <c r="AV639" s="37" t="n"/>
      <c r="AW639" s="38">
        <f>IF(AO639="","",IF(AR639="Yes","❌ Disc",IF(AQ639="No","⚠ Missing",IF(AT639="Yes","✓ OK","⚠ Check"))))</f>
        <v/>
      </c>
    </row>
    <row r="640" ht="18" customHeight="1" s="46">
      <c r="A640" s="39" t="n">
        <v>636</v>
      </c>
      <c r="B640" s="40" t="inlineStr">
        <is>
          <t>WP LNCSF1093077</t>
        </is>
      </c>
      <c r="C640" s="41" t="inlineStr">
        <is>
          <t>Life n Colors - Big Lotus Leaves, Premium Indian Wallpaper Design  - Non-woven - a soft feel paper</t>
        </is>
      </c>
      <c r="D640" s="39" t="inlineStr">
        <is>
          <t>Life n Colors</t>
        </is>
      </c>
      <c r="E640" s="43" t="n">
        <v>46126</v>
      </c>
      <c r="F640" s="26" t="inlineStr">
        <is>
          <t>Sunil CR</t>
        </is>
      </c>
      <c r="G640" s="26" t="inlineStr">
        <is>
          <t>Yes</t>
        </is>
      </c>
      <c r="H640" s="26" t="inlineStr">
        <is>
          <t>No</t>
        </is>
      </c>
      <c r="I640" s="26" t="inlineStr">
        <is>
          <t>Good finish</t>
        </is>
      </c>
      <c r="J640" s="26" t="inlineStr">
        <is>
          <t>Yes</t>
        </is>
      </c>
      <c r="K640" s="27" t="n"/>
      <c r="L640" s="28" t="inlineStr">
        <is>
          <t>No</t>
        </is>
      </c>
      <c r="M640" s="29">
        <f>IF(E640="","",IF(H640="Yes","❌ Disc",IF(G640="No","⚠ Missing",IF(J640="Yes","✓ OK","⚠ Check"))))</f>
        <v/>
      </c>
      <c r="N640" s="43" t="n">
        <v>46193</v>
      </c>
      <c r="O640" s="26" t="inlineStr">
        <is>
          <t>Sunil CR</t>
        </is>
      </c>
      <c r="P640" s="26" t="inlineStr">
        <is>
          <t>Yes</t>
        </is>
      </c>
      <c r="Q640" s="26" t="inlineStr">
        <is>
          <t>No</t>
        </is>
      </c>
      <c r="R640" s="26" t="inlineStr">
        <is>
          <t>Good finish</t>
        </is>
      </c>
      <c r="S640" s="26" t="inlineStr">
        <is>
          <t>Yes</t>
        </is>
      </c>
      <c r="T640" s="27" t="n"/>
      <c r="U640" s="28" t="inlineStr">
        <is>
          <t>No</t>
        </is>
      </c>
      <c r="V640" s="29">
        <f>IF(N640="","",IF(Q640="Yes","❌ Disc",IF(P640="No","⚠ Missing",IF(S640="Yes","✓ OK","⚠ Check"))))</f>
        <v/>
      </c>
      <c r="W640" s="65" t="n">
        <v>46248</v>
      </c>
      <c r="X640" s="30" t="inlineStr">
        <is>
          <t>Sunil CR</t>
        </is>
      </c>
      <c r="Y640" s="30" t="inlineStr">
        <is>
          <t>Yes</t>
        </is>
      </c>
      <c r="Z640" s="30" t="n"/>
      <c r="AA640" s="30" t="inlineStr">
        <is>
          <t>Good finish</t>
        </is>
      </c>
      <c r="AB640" s="30" t="inlineStr">
        <is>
          <t>Yes</t>
        </is>
      </c>
      <c r="AC640" s="27" t="n"/>
      <c r="AD640" s="31" t="inlineStr">
        <is>
          <t>No</t>
        </is>
      </c>
      <c r="AE640" s="32">
        <f>IF(W640="","",IF(Z640="Yes","❌ Disc",IF(Y640="No","⚠ Missing",IF(AB640="Yes","✓ OK","⚠ Check"))))</f>
        <v/>
      </c>
      <c r="AF640" s="33" t="n"/>
      <c r="AG640" s="33" t="n"/>
      <c r="AH640" s="33" t="n"/>
      <c r="AI640" s="33" t="n"/>
      <c r="AJ640" s="33" t="n"/>
      <c r="AK640" s="33" t="n"/>
      <c r="AL640" s="27" t="n"/>
      <c r="AM640" s="34" t="n"/>
      <c r="AN640" s="35">
        <f>IF(AF640="","",IF(AI640="Yes","❌ Disc",IF(AH640="No","⚠ Missing",IF(AK640="Yes","✓ OK","⚠ Check"))))</f>
        <v/>
      </c>
      <c r="AO640" s="36" t="n"/>
      <c r="AP640" s="36" t="n"/>
      <c r="AQ640" s="36" t="n"/>
      <c r="AR640" s="36" t="n"/>
      <c r="AS640" s="36" t="n"/>
      <c r="AT640" s="36" t="n"/>
      <c r="AU640" s="27" t="n"/>
      <c r="AV640" s="37" t="n"/>
      <c r="AW640" s="38">
        <f>IF(AO640="","",IF(AR640="Yes","❌ Disc",IF(AQ640="No","⚠ Missing",IF(AT640="Yes","✓ OK","⚠ Check"))))</f>
        <v/>
      </c>
    </row>
    <row r="641" ht="18" customHeight="1" s="46">
      <c r="A641" s="23" t="n">
        <v>637</v>
      </c>
      <c r="B641" s="24" t="inlineStr">
        <is>
          <t>WP LNCCN1108034</t>
        </is>
      </c>
      <c r="C641" s="25" t="inlineStr">
        <is>
          <t>Life n Colors - Big Lotuses in Vintage Theme Wallpaper  -  Canvas - a texture paper</t>
        </is>
      </c>
      <c r="D641" s="23" t="inlineStr">
        <is>
          <t>Life n Colors</t>
        </is>
      </c>
      <c r="E641" s="43" t="n">
        <v>46126</v>
      </c>
      <c r="F641" s="26" t="inlineStr">
        <is>
          <t>Sunil CR</t>
        </is>
      </c>
      <c r="G641" s="26" t="inlineStr">
        <is>
          <t>Yes</t>
        </is>
      </c>
      <c r="H641" s="26" t="inlineStr">
        <is>
          <t>No</t>
        </is>
      </c>
      <c r="I641" s="26" t="inlineStr">
        <is>
          <t>Good finish</t>
        </is>
      </c>
      <c r="J641" s="26" t="inlineStr">
        <is>
          <t>Yes</t>
        </is>
      </c>
      <c r="K641" s="27" t="n"/>
      <c r="L641" s="28" t="inlineStr">
        <is>
          <t>No</t>
        </is>
      </c>
      <c r="M641" s="29">
        <f>IF(E641="","",IF(H641="Yes","❌ Disc",IF(G641="No","⚠ Missing",IF(J641="Yes","✓ OK","⚠ Check"))))</f>
        <v/>
      </c>
      <c r="N641" s="43" t="n">
        <v>46193</v>
      </c>
      <c r="O641" s="26" t="inlineStr">
        <is>
          <t>Sunil CR</t>
        </is>
      </c>
      <c r="P641" s="26" t="inlineStr">
        <is>
          <t>Yes</t>
        </is>
      </c>
      <c r="Q641" s="26" t="inlineStr">
        <is>
          <t>No</t>
        </is>
      </c>
      <c r="R641" s="26" t="inlineStr">
        <is>
          <t>Good finish</t>
        </is>
      </c>
      <c r="S641" s="26" t="inlineStr">
        <is>
          <t>Yes</t>
        </is>
      </c>
      <c r="T641" s="27" t="n"/>
      <c r="U641" s="28" t="inlineStr">
        <is>
          <t>No</t>
        </is>
      </c>
      <c r="V641" s="29">
        <f>IF(N641="","",IF(Q641="Yes","❌ Disc",IF(P641="No","⚠ Missing",IF(S641="Yes","✓ OK","⚠ Check"))))</f>
        <v/>
      </c>
      <c r="W641" s="65" t="n">
        <v>46248</v>
      </c>
      <c r="X641" s="30" t="inlineStr">
        <is>
          <t>Sunil CR</t>
        </is>
      </c>
      <c r="Y641" s="30" t="inlineStr">
        <is>
          <t>Yes</t>
        </is>
      </c>
      <c r="Z641" s="30" t="n"/>
      <c r="AA641" s="30" t="inlineStr">
        <is>
          <t>Good finish</t>
        </is>
      </c>
      <c r="AB641" s="30" t="inlineStr">
        <is>
          <t>Yes</t>
        </is>
      </c>
      <c r="AC641" s="27" t="n"/>
      <c r="AD641" s="31" t="inlineStr">
        <is>
          <t>No</t>
        </is>
      </c>
      <c r="AE641" s="32">
        <f>IF(W641="","",IF(Z641="Yes","❌ Disc",IF(Y641="No","⚠ Missing",IF(AB641="Yes","✓ OK","⚠ Check"))))</f>
        <v/>
      </c>
      <c r="AF641" s="33" t="n"/>
      <c r="AG641" s="33" t="n"/>
      <c r="AH641" s="33" t="n"/>
      <c r="AI641" s="33" t="n"/>
      <c r="AJ641" s="33" t="n"/>
      <c r="AK641" s="33" t="n"/>
      <c r="AL641" s="27" t="n"/>
      <c r="AM641" s="34" t="n"/>
      <c r="AN641" s="35">
        <f>IF(AF641="","",IF(AI641="Yes","❌ Disc",IF(AH641="No","⚠ Missing",IF(AK641="Yes","✓ OK","⚠ Check"))))</f>
        <v/>
      </c>
      <c r="AO641" s="36" t="n"/>
      <c r="AP641" s="36" t="n"/>
      <c r="AQ641" s="36" t="n"/>
      <c r="AR641" s="36" t="n"/>
      <c r="AS641" s="36" t="n"/>
      <c r="AT641" s="36" t="n"/>
      <c r="AU641" s="27" t="n"/>
      <c r="AV641" s="37" t="n"/>
      <c r="AW641" s="38">
        <f>IF(AO641="","",IF(AR641="Yes","❌ Disc",IF(AQ641="No","⚠ Missing",IF(AT641="Yes","✓ OK","⚠ Check"))))</f>
        <v/>
      </c>
    </row>
    <row r="642" ht="18" customHeight="1" s="46">
      <c r="A642" s="39" t="n">
        <v>638</v>
      </c>
      <c r="B642" s="40" t="inlineStr">
        <is>
          <t>WP LNCSF1108034</t>
        </is>
      </c>
      <c r="C642" s="41" t="inlineStr">
        <is>
          <t>Life n Colors - Big Lotuses in Vintage Theme Wallpaper  - Non-woven - a soft feel paper</t>
        </is>
      </c>
      <c r="D642" s="39" t="inlineStr">
        <is>
          <t>Life n Colors</t>
        </is>
      </c>
      <c r="E642" s="43" t="n">
        <v>46126</v>
      </c>
      <c r="F642" s="26" t="inlineStr">
        <is>
          <t>Sunil CR</t>
        </is>
      </c>
      <c r="G642" s="26" t="inlineStr">
        <is>
          <t>Yes</t>
        </is>
      </c>
      <c r="H642" s="26" t="inlineStr">
        <is>
          <t>No</t>
        </is>
      </c>
      <c r="I642" s="26" t="inlineStr">
        <is>
          <t>Good finish</t>
        </is>
      </c>
      <c r="J642" s="26" t="inlineStr">
        <is>
          <t>Yes</t>
        </is>
      </c>
      <c r="K642" s="27" t="n"/>
      <c r="L642" s="28" t="inlineStr">
        <is>
          <t>No</t>
        </is>
      </c>
      <c r="M642" s="29">
        <f>IF(E642="","",IF(H642="Yes","❌ Disc",IF(G642="No","⚠ Missing",IF(J642="Yes","✓ OK","⚠ Check"))))</f>
        <v/>
      </c>
      <c r="N642" s="43" t="n">
        <v>46193</v>
      </c>
      <c r="O642" s="26" t="inlineStr">
        <is>
          <t>Sunil CR</t>
        </is>
      </c>
      <c r="P642" s="26" t="inlineStr">
        <is>
          <t>Yes</t>
        </is>
      </c>
      <c r="Q642" s="26" t="inlineStr">
        <is>
          <t>No</t>
        </is>
      </c>
      <c r="R642" s="26" t="inlineStr">
        <is>
          <t>Good finish</t>
        </is>
      </c>
      <c r="S642" s="26" t="inlineStr">
        <is>
          <t>Yes</t>
        </is>
      </c>
      <c r="T642" s="27" t="n"/>
      <c r="U642" s="28" t="inlineStr">
        <is>
          <t>No</t>
        </is>
      </c>
      <c r="V642" s="29">
        <f>IF(N642="","",IF(Q642="Yes","❌ Disc",IF(P642="No","⚠ Missing",IF(S642="Yes","✓ OK","⚠ Check"))))</f>
        <v/>
      </c>
      <c r="W642" s="65" t="n">
        <v>46248</v>
      </c>
      <c r="X642" s="30" t="inlineStr">
        <is>
          <t>Sunil CR</t>
        </is>
      </c>
      <c r="Y642" s="30" t="inlineStr">
        <is>
          <t>Yes</t>
        </is>
      </c>
      <c r="Z642" s="30" t="n"/>
      <c r="AA642" s="30" t="inlineStr">
        <is>
          <t>Good finish</t>
        </is>
      </c>
      <c r="AB642" s="30" t="inlineStr">
        <is>
          <t>Yes</t>
        </is>
      </c>
      <c r="AC642" s="27" t="n"/>
      <c r="AD642" s="31" t="inlineStr">
        <is>
          <t>No</t>
        </is>
      </c>
      <c r="AE642" s="32">
        <f>IF(W642="","",IF(Z642="Yes","❌ Disc",IF(Y642="No","⚠ Missing",IF(AB642="Yes","✓ OK","⚠ Check"))))</f>
        <v/>
      </c>
      <c r="AF642" s="33" t="n"/>
      <c r="AG642" s="33" t="n"/>
      <c r="AH642" s="33" t="n"/>
      <c r="AI642" s="33" t="n"/>
      <c r="AJ642" s="33" t="n"/>
      <c r="AK642" s="33" t="n"/>
      <c r="AL642" s="27" t="n"/>
      <c r="AM642" s="34" t="n"/>
      <c r="AN642" s="35">
        <f>IF(AF642="","",IF(AI642="Yes","❌ Disc",IF(AH642="No","⚠ Missing",IF(AK642="Yes","✓ OK","⚠ Check"))))</f>
        <v/>
      </c>
      <c r="AO642" s="36" t="n"/>
      <c r="AP642" s="36" t="n"/>
      <c r="AQ642" s="36" t="n"/>
      <c r="AR642" s="36" t="n"/>
      <c r="AS642" s="36" t="n"/>
      <c r="AT642" s="36" t="n"/>
      <c r="AU642" s="27" t="n"/>
      <c r="AV642" s="37" t="n"/>
      <c r="AW642" s="38">
        <f>IF(AO642="","",IF(AR642="Yes","❌ Disc",IF(AQ642="No","⚠ Missing",IF(AT642="Yes","✓ OK","⚠ Check"))))</f>
        <v/>
      </c>
    </row>
    <row r="643" ht="18" customHeight="1" s="46">
      <c r="A643" s="23" t="n">
        <v>639</v>
      </c>
      <c r="B643" s="24" t="inlineStr">
        <is>
          <t>WP LNCCN1151328</t>
        </is>
      </c>
      <c r="C643" s="25" t="inlineStr">
        <is>
          <t>Life n Colors - Big Pastel Green World Map for Kids Room Walls  -  Canvas - a texture paper</t>
        </is>
      </c>
      <c r="D643" s="23" t="inlineStr">
        <is>
          <t>Life n Colors</t>
        </is>
      </c>
      <c r="E643" s="43" t="n">
        <v>46126</v>
      </c>
      <c r="F643" s="26" t="inlineStr">
        <is>
          <t>Sunil CR</t>
        </is>
      </c>
      <c r="G643" s="26" t="inlineStr">
        <is>
          <t>Yes</t>
        </is>
      </c>
      <c r="H643" s="26" t="inlineStr">
        <is>
          <t>No</t>
        </is>
      </c>
      <c r="I643" s="26" t="inlineStr">
        <is>
          <t>Good finish</t>
        </is>
      </c>
      <c r="J643" s="26" t="inlineStr">
        <is>
          <t>Yes</t>
        </is>
      </c>
      <c r="K643" s="27" t="n"/>
      <c r="L643" s="28" t="inlineStr">
        <is>
          <t>No</t>
        </is>
      </c>
      <c r="M643" s="29">
        <f>IF(E643="","",IF(H643="Yes","❌ Disc",IF(G643="No","⚠ Missing",IF(J643="Yes","✓ OK","⚠ Check"))))</f>
        <v/>
      </c>
      <c r="N643" s="43" t="n">
        <v>46193</v>
      </c>
      <c r="O643" s="26" t="inlineStr">
        <is>
          <t>Sunil CR</t>
        </is>
      </c>
      <c r="P643" s="26" t="inlineStr">
        <is>
          <t>Yes</t>
        </is>
      </c>
      <c r="Q643" s="26" t="inlineStr">
        <is>
          <t>No</t>
        </is>
      </c>
      <c r="R643" s="26" t="inlineStr">
        <is>
          <t>Good finish</t>
        </is>
      </c>
      <c r="S643" s="26" t="inlineStr">
        <is>
          <t>Yes</t>
        </is>
      </c>
      <c r="T643" s="27" t="n"/>
      <c r="U643" s="28" t="inlineStr">
        <is>
          <t>No</t>
        </is>
      </c>
      <c r="V643" s="29">
        <f>IF(N643="","",IF(Q643="Yes","❌ Disc",IF(P643="No","⚠ Missing",IF(S643="Yes","✓ OK","⚠ Check"))))</f>
        <v/>
      </c>
      <c r="W643" s="65" t="n">
        <v>46248</v>
      </c>
      <c r="X643" s="30" t="inlineStr">
        <is>
          <t>Sunil CR</t>
        </is>
      </c>
      <c r="Y643" s="30" t="inlineStr">
        <is>
          <t>Yes</t>
        </is>
      </c>
      <c r="Z643" s="30" t="n"/>
      <c r="AA643" s="30" t="inlineStr">
        <is>
          <t>Good finish</t>
        </is>
      </c>
      <c r="AB643" s="30" t="inlineStr">
        <is>
          <t>Yes</t>
        </is>
      </c>
      <c r="AC643" s="27" t="n"/>
      <c r="AD643" s="31" t="inlineStr">
        <is>
          <t>No</t>
        </is>
      </c>
      <c r="AE643" s="32">
        <f>IF(W643="","",IF(Z643="Yes","❌ Disc",IF(Y643="No","⚠ Missing",IF(AB643="Yes","✓ OK","⚠ Check"))))</f>
        <v/>
      </c>
      <c r="AF643" s="33" t="n"/>
      <c r="AG643" s="33" t="n"/>
      <c r="AH643" s="33" t="n"/>
      <c r="AI643" s="33" t="n"/>
      <c r="AJ643" s="33" t="n"/>
      <c r="AK643" s="33" t="n"/>
      <c r="AL643" s="27" t="n"/>
      <c r="AM643" s="34" t="n"/>
      <c r="AN643" s="35">
        <f>IF(AF643="","",IF(AI643="Yes","❌ Disc",IF(AH643="No","⚠ Missing",IF(AK643="Yes","✓ OK","⚠ Check"))))</f>
        <v/>
      </c>
      <c r="AO643" s="36" t="n"/>
      <c r="AP643" s="36" t="n"/>
      <c r="AQ643" s="36" t="n"/>
      <c r="AR643" s="36" t="n"/>
      <c r="AS643" s="36" t="n"/>
      <c r="AT643" s="36" t="n"/>
      <c r="AU643" s="27" t="n"/>
      <c r="AV643" s="37" t="n"/>
      <c r="AW643" s="38">
        <f>IF(AO643="","",IF(AR643="Yes","❌ Disc",IF(AQ643="No","⚠ Missing",IF(AT643="Yes","✓ OK","⚠ Check"))))</f>
        <v/>
      </c>
    </row>
    <row r="644" ht="18" customHeight="1" s="46">
      <c r="A644" s="39" t="n">
        <v>640</v>
      </c>
      <c r="B644" s="40" t="inlineStr">
        <is>
          <t>WP LNCSF1151328</t>
        </is>
      </c>
      <c r="C644" s="41" t="inlineStr">
        <is>
          <t>Life n Colors - Big Pastel Green World Map for Kids Room Walls  - Non-woven - a soft feel paper</t>
        </is>
      </c>
      <c r="D644" s="39" t="inlineStr">
        <is>
          <t>Life n Colors</t>
        </is>
      </c>
      <c r="E644" s="43" t="n">
        <v>46126</v>
      </c>
      <c r="F644" s="26" t="inlineStr">
        <is>
          <t>Sunil CR</t>
        </is>
      </c>
      <c r="G644" s="26" t="inlineStr">
        <is>
          <t>Yes</t>
        </is>
      </c>
      <c r="H644" s="26" t="inlineStr">
        <is>
          <t>No</t>
        </is>
      </c>
      <c r="I644" s="26" t="inlineStr">
        <is>
          <t>Good finish</t>
        </is>
      </c>
      <c r="J644" s="26" t="inlineStr">
        <is>
          <t>Yes</t>
        </is>
      </c>
      <c r="K644" s="27" t="n"/>
      <c r="L644" s="28" t="inlineStr">
        <is>
          <t>No</t>
        </is>
      </c>
      <c r="M644" s="29">
        <f>IF(E644="","",IF(H644="Yes","❌ Disc",IF(G644="No","⚠ Missing",IF(J644="Yes","✓ OK","⚠ Check"))))</f>
        <v/>
      </c>
      <c r="N644" s="43" t="n">
        <v>46193</v>
      </c>
      <c r="O644" s="26" t="inlineStr">
        <is>
          <t>Sunil CR</t>
        </is>
      </c>
      <c r="P644" s="26" t="inlineStr">
        <is>
          <t>Yes</t>
        </is>
      </c>
      <c r="Q644" s="26" t="inlineStr">
        <is>
          <t>No</t>
        </is>
      </c>
      <c r="R644" s="26" t="inlineStr">
        <is>
          <t>Good finish</t>
        </is>
      </c>
      <c r="S644" s="26" t="inlineStr">
        <is>
          <t>Yes</t>
        </is>
      </c>
      <c r="T644" s="27" t="n"/>
      <c r="U644" s="28" t="inlineStr">
        <is>
          <t>No</t>
        </is>
      </c>
      <c r="V644" s="29">
        <f>IF(N644="","",IF(Q644="Yes","❌ Disc",IF(P644="No","⚠ Missing",IF(S644="Yes","✓ OK","⚠ Check"))))</f>
        <v/>
      </c>
      <c r="W644" s="65" t="n">
        <v>46248</v>
      </c>
      <c r="X644" s="30" t="inlineStr">
        <is>
          <t>Sunil CR</t>
        </is>
      </c>
      <c r="Y644" s="30" t="inlineStr">
        <is>
          <t>Yes</t>
        </is>
      </c>
      <c r="Z644" s="30" t="n"/>
      <c r="AA644" s="30" t="inlineStr">
        <is>
          <t>Good finish</t>
        </is>
      </c>
      <c r="AB644" s="30" t="inlineStr">
        <is>
          <t>Yes</t>
        </is>
      </c>
      <c r="AC644" s="27" t="n"/>
      <c r="AD644" s="31" t="inlineStr">
        <is>
          <t>No</t>
        </is>
      </c>
      <c r="AE644" s="32">
        <f>IF(W644="","",IF(Z644="Yes","❌ Disc",IF(Y644="No","⚠ Missing",IF(AB644="Yes","✓ OK","⚠ Check"))))</f>
        <v/>
      </c>
      <c r="AF644" s="33" t="n"/>
      <c r="AG644" s="33" t="n"/>
      <c r="AH644" s="33" t="n"/>
      <c r="AI644" s="33" t="n"/>
      <c r="AJ644" s="33" t="n"/>
      <c r="AK644" s="33" t="n"/>
      <c r="AL644" s="27" t="n"/>
      <c r="AM644" s="34" t="n"/>
      <c r="AN644" s="35">
        <f>IF(AF644="","",IF(AI644="Yes","❌ Disc",IF(AH644="No","⚠ Missing",IF(AK644="Yes","✓ OK","⚠ Check"))))</f>
        <v/>
      </c>
      <c r="AO644" s="36" t="n"/>
      <c r="AP644" s="36" t="n"/>
      <c r="AQ644" s="36" t="n"/>
      <c r="AR644" s="36" t="n"/>
      <c r="AS644" s="36" t="n"/>
      <c r="AT644" s="36" t="n"/>
      <c r="AU644" s="27" t="n"/>
      <c r="AV644" s="37" t="n"/>
      <c r="AW644" s="38">
        <f>IF(AO644="","",IF(AR644="Yes","❌ Disc",IF(AQ644="No","⚠ Missing",IF(AT644="Yes","✓ OK","⚠ Check"))))</f>
        <v/>
      </c>
    </row>
    <row r="645" ht="18" customHeight="1" s="46">
      <c r="A645" s="23" t="n">
        <v>641</v>
      </c>
      <c r="B645" s="24" t="inlineStr">
        <is>
          <t>WP LNCCN1025104</t>
        </is>
      </c>
      <c r="C645" s="25" t="inlineStr">
        <is>
          <t>Life n Colors - Black &amp; White Indian Art Wallpaper for Rooms  -  Canvas - a texture paper</t>
        </is>
      </c>
      <c r="D645" s="23" t="inlineStr">
        <is>
          <t>Life n Colors</t>
        </is>
      </c>
      <c r="E645" s="43" t="n">
        <v>46126</v>
      </c>
      <c r="F645" s="26" t="inlineStr">
        <is>
          <t>Sunil CR</t>
        </is>
      </c>
      <c r="G645" s="26" t="inlineStr">
        <is>
          <t>Yes</t>
        </is>
      </c>
      <c r="H645" s="26" t="inlineStr">
        <is>
          <t>No</t>
        </is>
      </c>
      <c r="I645" s="26" t="inlineStr">
        <is>
          <t>Good finish</t>
        </is>
      </c>
      <c r="J645" s="26" t="inlineStr">
        <is>
          <t>Yes</t>
        </is>
      </c>
      <c r="K645" s="27" t="n"/>
      <c r="L645" s="28" t="inlineStr">
        <is>
          <t>No</t>
        </is>
      </c>
      <c r="M645" s="29">
        <f>IF(E645="","",IF(H645="Yes","❌ Disc",IF(G645="No","⚠ Missing",IF(J645="Yes","✓ OK","⚠ Check"))))</f>
        <v/>
      </c>
      <c r="N645" s="43" t="n">
        <v>46193</v>
      </c>
      <c r="O645" s="26" t="inlineStr">
        <is>
          <t>Sunil CR</t>
        </is>
      </c>
      <c r="P645" s="26" t="inlineStr">
        <is>
          <t>Yes</t>
        </is>
      </c>
      <c r="Q645" s="26" t="inlineStr">
        <is>
          <t>No</t>
        </is>
      </c>
      <c r="R645" s="26" t="inlineStr">
        <is>
          <t>Good finish</t>
        </is>
      </c>
      <c r="S645" s="26" t="inlineStr">
        <is>
          <t>Yes</t>
        </is>
      </c>
      <c r="T645" s="27" t="n"/>
      <c r="U645" s="28" t="inlineStr">
        <is>
          <t>No</t>
        </is>
      </c>
      <c r="V645" s="29">
        <f>IF(N645="","",IF(Q645="Yes","❌ Disc",IF(P645="No","⚠ Missing",IF(S645="Yes","✓ OK","⚠ Check"))))</f>
        <v/>
      </c>
      <c r="W645" s="65" t="n">
        <v>46248</v>
      </c>
      <c r="X645" s="30" t="inlineStr">
        <is>
          <t>Sunil CR</t>
        </is>
      </c>
      <c r="Y645" s="30" t="inlineStr">
        <is>
          <t>Yes</t>
        </is>
      </c>
      <c r="Z645" s="30" t="n"/>
      <c r="AA645" s="30" t="inlineStr">
        <is>
          <t>Good finish</t>
        </is>
      </c>
      <c r="AB645" s="30" t="inlineStr">
        <is>
          <t>Yes</t>
        </is>
      </c>
      <c r="AC645" s="27" t="n"/>
      <c r="AD645" s="31" t="inlineStr">
        <is>
          <t>No</t>
        </is>
      </c>
      <c r="AE645" s="32">
        <f>IF(W645="","",IF(Z645="Yes","❌ Disc",IF(Y645="No","⚠ Missing",IF(AB645="Yes","✓ OK","⚠ Check"))))</f>
        <v/>
      </c>
      <c r="AF645" s="33" t="n"/>
      <c r="AG645" s="33" t="n"/>
      <c r="AH645" s="33" t="n"/>
      <c r="AI645" s="33" t="n"/>
      <c r="AJ645" s="33" t="n"/>
      <c r="AK645" s="33" t="n"/>
      <c r="AL645" s="27" t="n"/>
      <c r="AM645" s="34" t="n"/>
      <c r="AN645" s="35">
        <f>IF(AF645="","",IF(AI645="Yes","❌ Disc",IF(AH645="No","⚠ Missing",IF(AK645="Yes","✓ OK","⚠ Check"))))</f>
        <v/>
      </c>
      <c r="AO645" s="36" t="n"/>
      <c r="AP645" s="36" t="n"/>
      <c r="AQ645" s="36" t="n"/>
      <c r="AR645" s="36" t="n"/>
      <c r="AS645" s="36" t="n"/>
      <c r="AT645" s="36" t="n"/>
      <c r="AU645" s="27" t="n"/>
      <c r="AV645" s="37" t="n"/>
      <c r="AW645" s="38">
        <f>IF(AO645="","",IF(AR645="Yes","❌ Disc",IF(AQ645="No","⚠ Missing",IF(AT645="Yes","✓ OK","⚠ Check"))))</f>
        <v/>
      </c>
    </row>
    <row r="646" ht="18" customHeight="1" s="46">
      <c r="A646" s="39" t="n">
        <v>642</v>
      </c>
      <c r="B646" s="40" t="inlineStr">
        <is>
          <t>WP LNCSF1025104</t>
        </is>
      </c>
      <c r="C646" s="41" t="inlineStr">
        <is>
          <t>Life n Colors - Black &amp; White Indian Art Wallpaper for Rooms  - Non-woven - a soft feel paper</t>
        </is>
      </c>
      <c r="D646" s="39" t="inlineStr">
        <is>
          <t>Life n Colors</t>
        </is>
      </c>
      <c r="E646" s="43" t="n">
        <v>46126</v>
      </c>
      <c r="F646" s="26" t="inlineStr">
        <is>
          <t>Sunil CR</t>
        </is>
      </c>
      <c r="G646" s="26" t="inlineStr">
        <is>
          <t>Yes</t>
        </is>
      </c>
      <c r="H646" s="26" t="inlineStr">
        <is>
          <t>No</t>
        </is>
      </c>
      <c r="I646" s="26" t="inlineStr">
        <is>
          <t>Good finish</t>
        </is>
      </c>
      <c r="J646" s="26" t="inlineStr">
        <is>
          <t>Yes</t>
        </is>
      </c>
      <c r="K646" s="27" t="n"/>
      <c r="L646" s="28" t="inlineStr">
        <is>
          <t>No</t>
        </is>
      </c>
      <c r="M646" s="29">
        <f>IF(E646="","",IF(H646="Yes","❌ Disc",IF(G646="No","⚠ Missing",IF(J646="Yes","✓ OK","⚠ Check"))))</f>
        <v/>
      </c>
      <c r="N646" s="43" t="n">
        <v>46193</v>
      </c>
      <c r="O646" s="26" t="inlineStr">
        <is>
          <t>Sunil CR</t>
        </is>
      </c>
      <c r="P646" s="26" t="inlineStr">
        <is>
          <t>Yes</t>
        </is>
      </c>
      <c r="Q646" s="26" t="inlineStr">
        <is>
          <t>No</t>
        </is>
      </c>
      <c r="R646" s="26" t="inlineStr">
        <is>
          <t>Good finish</t>
        </is>
      </c>
      <c r="S646" s="26" t="inlineStr">
        <is>
          <t>Yes</t>
        </is>
      </c>
      <c r="T646" s="27" t="n"/>
      <c r="U646" s="28" t="inlineStr">
        <is>
          <t>No</t>
        </is>
      </c>
      <c r="V646" s="29">
        <f>IF(N646="","",IF(Q646="Yes","❌ Disc",IF(P646="No","⚠ Missing",IF(S646="Yes","✓ OK","⚠ Check"))))</f>
        <v/>
      </c>
      <c r="W646" s="65" t="n">
        <v>46248</v>
      </c>
      <c r="X646" s="30" t="inlineStr">
        <is>
          <t>Sunil CR</t>
        </is>
      </c>
      <c r="Y646" s="30" t="inlineStr">
        <is>
          <t>Yes</t>
        </is>
      </c>
      <c r="Z646" s="30" t="n"/>
      <c r="AA646" s="30" t="inlineStr">
        <is>
          <t>Good finish</t>
        </is>
      </c>
      <c r="AB646" s="30" t="inlineStr">
        <is>
          <t>Yes</t>
        </is>
      </c>
      <c r="AC646" s="27" t="n"/>
      <c r="AD646" s="31" t="inlineStr">
        <is>
          <t>No</t>
        </is>
      </c>
      <c r="AE646" s="32">
        <f>IF(W646="","",IF(Z646="Yes","❌ Disc",IF(Y646="No","⚠ Missing",IF(AB646="Yes","✓ OK","⚠ Check"))))</f>
        <v/>
      </c>
      <c r="AF646" s="33" t="n"/>
      <c r="AG646" s="33" t="n"/>
      <c r="AH646" s="33" t="n"/>
      <c r="AI646" s="33" t="n"/>
      <c r="AJ646" s="33" t="n"/>
      <c r="AK646" s="33" t="n"/>
      <c r="AL646" s="27" t="n"/>
      <c r="AM646" s="34" t="n"/>
      <c r="AN646" s="35">
        <f>IF(AF646="","",IF(AI646="Yes","❌ Disc",IF(AH646="No","⚠ Missing",IF(AK646="Yes","✓ OK","⚠ Check"))))</f>
        <v/>
      </c>
      <c r="AO646" s="36" t="n"/>
      <c r="AP646" s="36" t="n"/>
      <c r="AQ646" s="36" t="n"/>
      <c r="AR646" s="36" t="n"/>
      <c r="AS646" s="36" t="n"/>
      <c r="AT646" s="36" t="n"/>
      <c r="AU646" s="27" t="n"/>
      <c r="AV646" s="37" t="n"/>
      <c r="AW646" s="38">
        <f>IF(AO646="","",IF(AR646="Yes","❌ Disc",IF(AQ646="No","⚠ Missing",IF(AT646="Yes","✓ OK","⚠ Check"))))</f>
        <v/>
      </c>
    </row>
    <row r="647" ht="18" customHeight="1" s="46">
      <c r="A647" s="23" t="n">
        <v>643</v>
      </c>
      <c r="B647" s="24" t="inlineStr">
        <is>
          <t>WP LNCCN1130150</t>
        </is>
      </c>
      <c r="C647" s="25" t="inlineStr">
        <is>
          <t>Life n Colors - Black and Golden Vintage World Map Wallpaper, Customised  -  Canvas - a texture paper</t>
        </is>
      </c>
      <c r="D647" s="23" t="inlineStr">
        <is>
          <t>Life n Colors</t>
        </is>
      </c>
      <c r="E647" s="43" t="n">
        <v>46126</v>
      </c>
      <c r="F647" s="26" t="inlineStr">
        <is>
          <t>Sunil CR</t>
        </is>
      </c>
      <c r="G647" s="26" t="inlineStr">
        <is>
          <t>Yes</t>
        </is>
      </c>
      <c r="H647" s="26" t="inlineStr">
        <is>
          <t>No</t>
        </is>
      </c>
      <c r="I647" s="26" t="inlineStr">
        <is>
          <t>Good finish</t>
        </is>
      </c>
      <c r="J647" s="26" t="inlineStr">
        <is>
          <t>Yes</t>
        </is>
      </c>
      <c r="K647" s="27" t="n"/>
      <c r="L647" s="28" t="inlineStr">
        <is>
          <t>No</t>
        </is>
      </c>
      <c r="M647" s="29">
        <f>IF(E647="","",IF(H647="Yes","❌ Disc",IF(G647="No","⚠ Missing",IF(J647="Yes","✓ OK","⚠ Check"))))</f>
        <v/>
      </c>
      <c r="N647" s="43" t="n">
        <v>46193</v>
      </c>
      <c r="O647" s="26" t="inlineStr">
        <is>
          <t>Sunil CR</t>
        </is>
      </c>
      <c r="P647" s="26" t="inlineStr">
        <is>
          <t>Yes</t>
        </is>
      </c>
      <c r="Q647" s="26" t="inlineStr">
        <is>
          <t>No</t>
        </is>
      </c>
      <c r="R647" s="26" t="inlineStr">
        <is>
          <t>Good finish</t>
        </is>
      </c>
      <c r="S647" s="26" t="inlineStr">
        <is>
          <t>Yes</t>
        </is>
      </c>
      <c r="T647" s="27" t="n"/>
      <c r="U647" s="28" t="inlineStr">
        <is>
          <t>No</t>
        </is>
      </c>
      <c r="V647" s="29">
        <f>IF(N647="","",IF(Q647="Yes","❌ Disc",IF(P647="No","⚠ Missing",IF(S647="Yes","✓ OK","⚠ Check"))))</f>
        <v/>
      </c>
      <c r="W647" s="65" t="n">
        <v>46248</v>
      </c>
      <c r="X647" s="30" t="inlineStr">
        <is>
          <t>Sunil CR</t>
        </is>
      </c>
      <c r="Y647" s="30" t="inlineStr">
        <is>
          <t>Yes</t>
        </is>
      </c>
      <c r="Z647" s="30" t="n"/>
      <c r="AA647" s="30" t="inlineStr">
        <is>
          <t>Good finish</t>
        </is>
      </c>
      <c r="AB647" s="30" t="inlineStr">
        <is>
          <t>Yes</t>
        </is>
      </c>
      <c r="AC647" s="27" t="n"/>
      <c r="AD647" s="31" t="inlineStr">
        <is>
          <t>No</t>
        </is>
      </c>
      <c r="AE647" s="32">
        <f>IF(W647="","",IF(Z647="Yes","❌ Disc",IF(Y647="No","⚠ Missing",IF(AB647="Yes","✓ OK","⚠ Check"))))</f>
        <v/>
      </c>
      <c r="AF647" s="33" t="n"/>
      <c r="AG647" s="33" t="n"/>
      <c r="AH647" s="33" t="n"/>
      <c r="AI647" s="33" t="n"/>
      <c r="AJ647" s="33" t="n"/>
      <c r="AK647" s="33" t="n"/>
      <c r="AL647" s="27" t="n"/>
      <c r="AM647" s="34" t="n"/>
      <c r="AN647" s="35">
        <f>IF(AF647="","",IF(AI647="Yes","❌ Disc",IF(AH647="No","⚠ Missing",IF(AK647="Yes","✓ OK","⚠ Check"))))</f>
        <v/>
      </c>
      <c r="AO647" s="36" t="n"/>
      <c r="AP647" s="36" t="n"/>
      <c r="AQ647" s="36" t="n"/>
      <c r="AR647" s="36" t="n"/>
      <c r="AS647" s="36" t="n"/>
      <c r="AT647" s="36" t="n"/>
      <c r="AU647" s="27" t="n"/>
      <c r="AV647" s="37" t="n"/>
      <c r="AW647" s="38">
        <f>IF(AO647="","",IF(AR647="Yes","❌ Disc",IF(AQ647="No","⚠ Missing",IF(AT647="Yes","✓ OK","⚠ Check"))))</f>
        <v/>
      </c>
    </row>
    <row r="648" ht="18" customHeight="1" s="46">
      <c r="A648" s="39" t="n">
        <v>644</v>
      </c>
      <c r="B648" s="40" t="inlineStr">
        <is>
          <t>WP LNCSF1130150</t>
        </is>
      </c>
      <c r="C648" s="41" t="inlineStr">
        <is>
          <t>Life n Colors - Black and Golden Vintage World Map Wallpaper, Customised  - Non-woven - a soft feel paper</t>
        </is>
      </c>
      <c r="D648" s="39" t="inlineStr">
        <is>
          <t>Life n Colors</t>
        </is>
      </c>
      <c r="E648" s="43" t="n">
        <v>46126</v>
      </c>
      <c r="F648" s="26" t="inlineStr">
        <is>
          <t>Sunil CR</t>
        </is>
      </c>
      <c r="G648" s="26" t="inlineStr">
        <is>
          <t>Yes</t>
        </is>
      </c>
      <c r="H648" s="26" t="inlineStr">
        <is>
          <t>No</t>
        </is>
      </c>
      <c r="I648" s="26" t="inlineStr">
        <is>
          <t>Good finish</t>
        </is>
      </c>
      <c r="J648" s="26" t="inlineStr">
        <is>
          <t>Yes</t>
        </is>
      </c>
      <c r="K648" s="27" t="n"/>
      <c r="L648" s="28" t="inlineStr">
        <is>
          <t>No</t>
        </is>
      </c>
      <c r="M648" s="29">
        <f>IF(E648="","",IF(H648="Yes","❌ Disc",IF(G648="No","⚠ Missing",IF(J648="Yes","✓ OK","⚠ Check"))))</f>
        <v/>
      </c>
      <c r="N648" s="43" t="n">
        <v>46193</v>
      </c>
      <c r="O648" s="26" t="inlineStr">
        <is>
          <t>Sunil CR</t>
        </is>
      </c>
      <c r="P648" s="26" t="inlineStr">
        <is>
          <t>Yes</t>
        </is>
      </c>
      <c r="Q648" s="26" t="inlineStr">
        <is>
          <t>No</t>
        </is>
      </c>
      <c r="R648" s="26" t="inlineStr">
        <is>
          <t>Good finish</t>
        </is>
      </c>
      <c r="S648" s="26" t="inlineStr">
        <is>
          <t>Yes</t>
        </is>
      </c>
      <c r="T648" s="27" t="n"/>
      <c r="U648" s="28" t="inlineStr">
        <is>
          <t>No</t>
        </is>
      </c>
      <c r="V648" s="29">
        <f>IF(N648="","",IF(Q648="Yes","❌ Disc",IF(P648="No","⚠ Missing",IF(S648="Yes","✓ OK","⚠ Check"))))</f>
        <v/>
      </c>
      <c r="W648" s="65" t="n">
        <v>46248</v>
      </c>
      <c r="X648" s="30" t="inlineStr">
        <is>
          <t>Sunil CR</t>
        </is>
      </c>
      <c r="Y648" s="30" t="inlineStr">
        <is>
          <t>Yes</t>
        </is>
      </c>
      <c r="Z648" s="30" t="n"/>
      <c r="AA648" s="30" t="inlineStr">
        <is>
          <t>Good finish</t>
        </is>
      </c>
      <c r="AB648" s="30" t="inlineStr">
        <is>
          <t>Yes</t>
        </is>
      </c>
      <c r="AC648" s="27" t="n"/>
      <c r="AD648" s="31" t="inlineStr">
        <is>
          <t>No</t>
        </is>
      </c>
      <c r="AE648" s="32">
        <f>IF(W648="","",IF(Z648="Yes","❌ Disc",IF(Y648="No","⚠ Missing",IF(AB648="Yes","✓ OK","⚠ Check"))))</f>
        <v/>
      </c>
      <c r="AF648" s="33" t="n"/>
      <c r="AG648" s="33" t="n"/>
      <c r="AH648" s="33" t="n"/>
      <c r="AI648" s="33" t="n"/>
      <c r="AJ648" s="33" t="n"/>
      <c r="AK648" s="33" t="n"/>
      <c r="AL648" s="27" t="n"/>
      <c r="AM648" s="34" t="n"/>
      <c r="AN648" s="35">
        <f>IF(AF648="","",IF(AI648="Yes","❌ Disc",IF(AH648="No","⚠ Missing",IF(AK648="Yes","✓ OK","⚠ Check"))))</f>
        <v/>
      </c>
      <c r="AO648" s="36" t="n"/>
      <c r="AP648" s="36" t="n"/>
      <c r="AQ648" s="36" t="n"/>
      <c r="AR648" s="36" t="n"/>
      <c r="AS648" s="36" t="n"/>
      <c r="AT648" s="36" t="n"/>
      <c r="AU648" s="27" t="n"/>
      <c r="AV648" s="37" t="n"/>
      <c r="AW648" s="38">
        <f>IF(AO648="","",IF(AR648="Yes","❌ Disc",IF(AQ648="No","⚠ Missing",IF(AT648="Yes","✓ OK","⚠ Check"))))</f>
        <v/>
      </c>
    </row>
    <row r="649" ht="18" customHeight="1" s="46">
      <c r="A649" s="23" t="n">
        <v>645</v>
      </c>
      <c r="B649" s="24" t="inlineStr">
        <is>
          <t>WP LNCCN1010201</t>
        </is>
      </c>
      <c r="C649" s="25" t="inlineStr">
        <is>
          <t>Life n Colors - Black and White Japanese Leaves Motif Wallpaper  -  Canvas - a texture paper</t>
        </is>
      </c>
      <c r="D649" s="23" t="inlineStr">
        <is>
          <t>Life n Colors</t>
        </is>
      </c>
      <c r="E649" s="43" t="n">
        <v>46126</v>
      </c>
      <c r="F649" s="26" t="inlineStr">
        <is>
          <t>Sunil CR</t>
        </is>
      </c>
      <c r="G649" s="26" t="inlineStr">
        <is>
          <t>Yes</t>
        </is>
      </c>
      <c r="H649" s="26" t="inlineStr">
        <is>
          <t>No</t>
        </is>
      </c>
      <c r="I649" s="26" t="inlineStr">
        <is>
          <t>Good finish</t>
        </is>
      </c>
      <c r="J649" s="26" t="inlineStr">
        <is>
          <t>Yes</t>
        </is>
      </c>
      <c r="K649" s="27" t="n"/>
      <c r="L649" s="28" t="inlineStr">
        <is>
          <t>No</t>
        </is>
      </c>
      <c r="M649" s="29">
        <f>IF(E649="","",IF(H649="Yes","❌ Disc",IF(G649="No","⚠ Missing",IF(J649="Yes","✓ OK","⚠ Check"))))</f>
        <v/>
      </c>
      <c r="N649" s="43" t="n">
        <v>46193</v>
      </c>
      <c r="O649" s="26" t="inlineStr">
        <is>
          <t>Sunil CR</t>
        </is>
      </c>
      <c r="P649" s="26" t="inlineStr">
        <is>
          <t>Yes</t>
        </is>
      </c>
      <c r="Q649" s="26" t="inlineStr">
        <is>
          <t>No</t>
        </is>
      </c>
      <c r="R649" s="26" t="inlineStr">
        <is>
          <t>Good finish</t>
        </is>
      </c>
      <c r="S649" s="26" t="inlineStr">
        <is>
          <t>Yes</t>
        </is>
      </c>
      <c r="T649" s="27" t="n"/>
      <c r="U649" s="28" t="inlineStr">
        <is>
          <t>No</t>
        </is>
      </c>
      <c r="V649" s="29">
        <f>IF(N649="","",IF(Q649="Yes","❌ Disc",IF(P649="No","⚠ Missing",IF(S649="Yes","✓ OK","⚠ Check"))))</f>
        <v/>
      </c>
      <c r="W649" s="65" t="n">
        <v>46248</v>
      </c>
      <c r="X649" s="30" t="inlineStr">
        <is>
          <t>Sunil CR</t>
        </is>
      </c>
      <c r="Y649" s="30" t="inlineStr">
        <is>
          <t>Yes</t>
        </is>
      </c>
      <c r="Z649" s="30" t="n"/>
      <c r="AA649" s="30" t="inlineStr">
        <is>
          <t>Good finish</t>
        </is>
      </c>
      <c r="AB649" s="30" t="inlineStr">
        <is>
          <t>Yes</t>
        </is>
      </c>
      <c r="AC649" s="27" t="n"/>
      <c r="AD649" s="31" t="inlineStr">
        <is>
          <t>No</t>
        </is>
      </c>
      <c r="AE649" s="32">
        <f>IF(W649="","",IF(Z649="Yes","❌ Disc",IF(Y649="No","⚠ Missing",IF(AB649="Yes","✓ OK","⚠ Check"))))</f>
        <v/>
      </c>
      <c r="AF649" s="33" t="n"/>
      <c r="AG649" s="33" t="n"/>
      <c r="AH649" s="33" t="n"/>
      <c r="AI649" s="33" t="n"/>
      <c r="AJ649" s="33" t="n"/>
      <c r="AK649" s="33" t="n"/>
      <c r="AL649" s="27" t="n"/>
      <c r="AM649" s="34" t="n"/>
      <c r="AN649" s="35">
        <f>IF(AF649="","",IF(AI649="Yes","❌ Disc",IF(AH649="No","⚠ Missing",IF(AK649="Yes","✓ OK","⚠ Check"))))</f>
        <v/>
      </c>
      <c r="AO649" s="36" t="n"/>
      <c r="AP649" s="36" t="n"/>
      <c r="AQ649" s="36" t="n"/>
      <c r="AR649" s="36" t="n"/>
      <c r="AS649" s="36" t="n"/>
      <c r="AT649" s="36" t="n"/>
      <c r="AU649" s="27" t="n"/>
      <c r="AV649" s="37" t="n"/>
      <c r="AW649" s="38">
        <f>IF(AO649="","",IF(AR649="Yes","❌ Disc",IF(AQ649="No","⚠ Missing",IF(AT649="Yes","✓ OK","⚠ Check"))))</f>
        <v/>
      </c>
    </row>
    <row r="650" ht="18" customHeight="1" s="46">
      <c r="A650" s="39" t="n">
        <v>646</v>
      </c>
      <c r="B650" s="40" t="inlineStr">
        <is>
          <t>WP LNCSF1010201</t>
        </is>
      </c>
      <c r="C650" s="41" t="inlineStr">
        <is>
          <t>Life n Colors - Black and White Japanese Leaves Motif Wallpaper  - Non-woven - a soft feel paper</t>
        </is>
      </c>
      <c r="D650" s="39" t="inlineStr">
        <is>
          <t>Life n Colors</t>
        </is>
      </c>
      <c r="E650" s="43" t="n">
        <v>46126</v>
      </c>
      <c r="F650" s="26" t="inlineStr">
        <is>
          <t>Sunil CR</t>
        </is>
      </c>
      <c r="G650" s="26" t="inlineStr">
        <is>
          <t>Yes</t>
        </is>
      </c>
      <c r="H650" s="26" t="inlineStr">
        <is>
          <t>No</t>
        </is>
      </c>
      <c r="I650" s="26" t="inlineStr">
        <is>
          <t>Good finish</t>
        </is>
      </c>
      <c r="J650" s="26" t="inlineStr">
        <is>
          <t>Yes</t>
        </is>
      </c>
      <c r="K650" s="27" t="n"/>
      <c r="L650" s="28" t="inlineStr">
        <is>
          <t>No</t>
        </is>
      </c>
      <c r="M650" s="29">
        <f>IF(E650="","",IF(H650="Yes","❌ Disc",IF(G650="No","⚠ Missing",IF(J650="Yes","✓ OK","⚠ Check"))))</f>
        <v/>
      </c>
      <c r="N650" s="43" t="n">
        <v>46193</v>
      </c>
      <c r="O650" s="26" t="inlineStr">
        <is>
          <t>Sunil CR</t>
        </is>
      </c>
      <c r="P650" s="26" t="inlineStr">
        <is>
          <t>Yes</t>
        </is>
      </c>
      <c r="Q650" s="26" t="inlineStr">
        <is>
          <t>No</t>
        </is>
      </c>
      <c r="R650" s="26" t="inlineStr">
        <is>
          <t>Good finish</t>
        </is>
      </c>
      <c r="S650" s="26" t="inlineStr">
        <is>
          <t>Yes</t>
        </is>
      </c>
      <c r="T650" s="27" t="n"/>
      <c r="U650" s="28" t="inlineStr">
        <is>
          <t>No</t>
        </is>
      </c>
      <c r="V650" s="29">
        <f>IF(N650="","",IF(Q650="Yes","❌ Disc",IF(P650="No","⚠ Missing",IF(S650="Yes","✓ OK","⚠ Check"))))</f>
        <v/>
      </c>
      <c r="W650" s="65" t="n">
        <v>46248</v>
      </c>
      <c r="X650" s="30" t="inlineStr">
        <is>
          <t>Sunil CR</t>
        </is>
      </c>
      <c r="Y650" s="30" t="inlineStr">
        <is>
          <t>Yes</t>
        </is>
      </c>
      <c r="Z650" s="30" t="n"/>
      <c r="AA650" s="30" t="inlineStr">
        <is>
          <t>Good finish</t>
        </is>
      </c>
      <c r="AB650" s="30" t="inlineStr">
        <is>
          <t>Yes</t>
        </is>
      </c>
      <c r="AC650" s="27" t="n"/>
      <c r="AD650" s="31" t="inlineStr">
        <is>
          <t>No</t>
        </is>
      </c>
      <c r="AE650" s="32">
        <f>IF(W650="","",IF(Z650="Yes","❌ Disc",IF(Y650="No","⚠ Missing",IF(AB650="Yes","✓ OK","⚠ Check"))))</f>
        <v/>
      </c>
      <c r="AF650" s="33" t="n"/>
      <c r="AG650" s="33" t="n"/>
      <c r="AH650" s="33" t="n"/>
      <c r="AI650" s="33" t="n"/>
      <c r="AJ650" s="33" t="n"/>
      <c r="AK650" s="33" t="n"/>
      <c r="AL650" s="27" t="n"/>
      <c r="AM650" s="34" t="n"/>
      <c r="AN650" s="35">
        <f>IF(AF650="","",IF(AI650="Yes","❌ Disc",IF(AH650="No","⚠ Missing",IF(AK650="Yes","✓ OK","⚠ Check"))))</f>
        <v/>
      </c>
      <c r="AO650" s="36" t="n"/>
      <c r="AP650" s="36" t="n"/>
      <c r="AQ650" s="36" t="n"/>
      <c r="AR650" s="36" t="n"/>
      <c r="AS650" s="36" t="n"/>
      <c r="AT650" s="36" t="n"/>
      <c r="AU650" s="27" t="n"/>
      <c r="AV650" s="37" t="n"/>
      <c r="AW650" s="38">
        <f>IF(AO650="","",IF(AR650="Yes","❌ Disc",IF(AQ650="No","⚠ Missing",IF(AT650="Yes","✓ OK","⚠ Check"))))</f>
        <v/>
      </c>
    </row>
    <row r="651" ht="18" customHeight="1" s="46">
      <c r="A651" s="23" t="n">
        <v>647</v>
      </c>
      <c r="B651" s="24" t="inlineStr">
        <is>
          <t>WP LNCCN1197777</t>
        </is>
      </c>
      <c r="C651" s="25" t="inlineStr">
        <is>
          <t>Life n Colors - Black and White Mountain Trees Wallpapers, Customised  -  Canvas - a texture paper</t>
        </is>
      </c>
      <c r="D651" s="23" t="inlineStr">
        <is>
          <t>Life n Colors</t>
        </is>
      </c>
      <c r="E651" s="43" t="n">
        <v>46126</v>
      </c>
      <c r="F651" s="26" t="inlineStr">
        <is>
          <t>Sunil CR</t>
        </is>
      </c>
      <c r="G651" s="26" t="inlineStr">
        <is>
          <t>Yes</t>
        </is>
      </c>
      <c r="H651" s="26" t="inlineStr">
        <is>
          <t>No</t>
        </is>
      </c>
      <c r="I651" s="26" t="inlineStr">
        <is>
          <t>Good finish</t>
        </is>
      </c>
      <c r="J651" s="26" t="inlineStr">
        <is>
          <t>Yes</t>
        </is>
      </c>
      <c r="K651" s="27" t="n"/>
      <c r="L651" s="28" t="inlineStr">
        <is>
          <t>No</t>
        </is>
      </c>
      <c r="M651" s="29">
        <f>IF(E651="","",IF(H651="Yes","❌ Disc",IF(G651="No","⚠ Missing",IF(J651="Yes","✓ OK","⚠ Check"))))</f>
        <v/>
      </c>
      <c r="N651" s="43" t="n">
        <v>46193</v>
      </c>
      <c r="O651" s="26" t="inlineStr">
        <is>
          <t>Sunil CR</t>
        </is>
      </c>
      <c r="P651" s="26" t="inlineStr">
        <is>
          <t>Yes</t>
        </is>
      </c>
      <c r="Q651" s="26" t="inlineStr">
        <is>
          <t>No</t>
        </is>
      </c>
      <c r="R651" s="26" t="inlineStr">
        <is>
          <t>Good finish</t>
        </is>
      </c>
      <c r="S651" s="26" t="inlineStr">
        <is>
          <t>Yes</t>
        </is>
      </c>
      <c r="T651" s="27" t="n"/>
      <c r="U651" s="28" t="inlineStr">
        <is>
          <t>No</t>
        </is>
      </c>
      <c r="V651" s="29">
        <f>IF(N651="","",IF(Q651="Yes","❌ Disc",IF(P651="No","⚠ Missing",IF(S651="Yes","✓ OK","⚠ Check"))))</f>
        <v/>
      </c>
      <c r="W651" s="65" t="n">
        <v>46248</v>
      </c>
      <c r="X651" s="30" t="inlineStr">
        <is>
          <t>Sunil CR</t>
        </is>
      </c>
      <c r="Y651" s="30" t="inlineStr">
        <is>
          <t>Yes</t>
        </is>
      </c>
      <c r="Z651" s="30" t="n"/>
      <c r="AA651" s="30" t="inlineStr">
        <is>
          <t>Good finish</t>
        </is>
      </c>
      <c r="AB651" s="30" t="inlineStr">
        <is>
          <t>Yes</t>
        </is>
      </c>
      <c r="AC651" s="27" t="n"/>
      <c r="AD651" s="31" t="inlineStr">
        <is>
          <t>No</t>
        </is>
      </c>
      <c r="AE651" s="32">
        <f>IF(W651="","",IF(Z651="Yes","❌ Disc",IF(Y651="No","⚠ Missing",IF(AB651="Yes","✓ OK","⚠ Check"))))</f>
        <v/>
      </c>
      <c r="AF651" s="33" t="n"/>
      <c r="AG651" s="33" t="n"/>
      <c r="AH651" s="33" t="n"/>
      <c r="AI651" s="33" t="n"/>
      <c r="AJ651" s="33" t="n"/>
      <c r="AK651" s="33" t="n"/>
      <c r="AL651" s="27" t="n"/>
      <c r="AM651" s="34" t="n"/>
      <c r="AN651" s="35">
        <f>IF(AF651="","",IF(AI651="Yes","❌ Disc",IF(AH651="No","⚠ Missing",IF(AK651="Yes","✓ OK","⚠ Check"))))</f>
        <v/>
      </c>
      <c r="AO651" s="36" t="n"/>
      <c r="AP651" s="36" t="n"/>
      <c r="AQ651" s="36" t="n"/>
      <c r="AR651" s="36" t="n"/>
      <c r="AS651" s="36" t="n"/>
      <c r="AT651" s="36" t="n"/>
      <c r="AU651" s="27" t="n"/>
      <c r="AV651" s="37" t="n"/>
      <c r="AW651" s="38">
        <f>IF(AO651="","",IF(AR651="Yes","❌ Disc",IF(AQ651="No","⚠ Missing",IF(AT651="Yes","✓ OK","⚠ Check"))))</f>
        <v/>
      </c>
    </row>
    <row r="652" ht="18" customHeight="1" s="46">
      <c r="A652" s="39" t="n">
        <v>648</v>
      </c>
      <c r="B652" s="40" t="inlineStr">
        <is>
          <t>WP LNCSF1197777</t>
        </is>
      </c>
      <c r="C652" s="41" t="inlineStr">
        <is>
          <t>Life n Colors - Black and White Mountain Trees Wallpapers, Customised  - Non-woven - a soft feel paper</t>
        </is>
      </c>
      <c r="D652" s="39" t="inlineStr">
        <is>
          <t>Life n Colors</t>
        </is>
      </c>
      <c r="E652" s="43" t="n">
        <v>46126</v>
      </c>
      <c r="F652" s="26" t="inlineStr">
        <is>
          <t>Sunil CR</t>
        </is>
      </c>
      <c r="G652" s="26" t="inlineStr">
        <is>
          <t>Yes</t>
        </is>
      </c>
      <c r="H652" s="26" t="inlineStr">
        <is>
          <t>No</t>
        </is>
      </c>
      <c r="I652" s="26" t="inlineStr">
        <is>
          <t>Good finish</t>
        </is>
      </c>
      <c r="J652" s="26" t="inlineStr">
        <is>
          <t>Yes</t>
        </is>
      </c>
      <c r="K652" s="27" t="n"/>
      <c r="L652" s="28" t="inlineStr">
        <is>
          <t>No</t>
        </is>
      </c>
      <c r="M652" s="29">
        <f>IF(E652="","",IF(H652="Yes","❌ Disc",IF(G652="No","⚠ Missing",IF(J652="Yes","✓ OK","⚠ Check"))))</f>
        <v/>
      </c>
      <c r="N652" s="43" t="n">
        <v>46193</v>
      </c>
      <c r="O652" s="26" t="inlineStr">
        <is>
          <t>Sunil CR</t>
        </is>
      </c>
      <c r="P652" s="26" t="inlineStr">
        <is>
          <t>Yes</t>
        </is>
      </c>
      <c r="Q652" s="26" t="inlineStr">
        <is>
          <t>No</t>
        </is>
      </c>
      <c r="R652" s="26" t="inlineStr">
        <is>
          <t>Good finish</t>
        </is>
      </c>
      <c r="S652" s="26" t="inlineStr">
        <is>
          <t>Yes</t>
        </is>
      </c>
      <c r="T652" s="27" t="n"/>
      <c r="U652" s="28" t="inlineStr">
        <is>
          <t>No</t>
        </is>
      </c>
      <c r="V652" s="29">
        <f>IF(N652="","",IF(Q652="Yes","❌ Disc",IF(P652="No","⚠ Missing",IF(S652="Yes","✓ OK","⚠ Check"))))</f>
        <v/>
      </c>
      <c r="W652" s="65" t="n">
        <v>46248</v>
      </c>
      <c r="X652" s="30" t="inlineStr">
        <is>
          <t>Sunil CR</t>
        </is>
      </c>
      <c r="Y652" s="30" t="inlineStr">
        <is>
          <t>Yes</t>
        </is>
      </c>
      <c r="Z652" s="30" t="n"/>
      <c r="AA652" s="30" t="inlineStr">
        <is>
          <t>Good finish</t>
        </is>
      </c>
      <c r="AB652" s="30" t="inlineStr">
        <is>
          <t>Yes</t>
        </is>
      </c>
      <c r="AC652" s="27" t="n"/>
      <c r="AD652" s="31" t="inlineStr">
        <is>
          <t>No</t>
        </is>
      </c>
      <c r="AE652" s="32">
        <f>IF(W652="","",IF(Z652="Yes","❌ Disc",IF(Y652="No","⚠ Missing",IF(AB652="Yes","✓ OK","⚠ Check"))))</f>
        <v/>
      </c>
      <c r="AF652" s="33" t="n"/>
      <c r="AG652" s="33" t="n"/>
      <c r="AH652" s="33" t="n"/>
      <c r="AI652" s="33" t="n"/>
      <c r="AJ652" s="33" t="n"/>
      <c r="AK652" s="33" t="n"/>
      <c r="AL652" s="27" t="n"/>
      <c r="AM652" s="34" t="n"/>
      <c r="AN652" s="35">
        <f>IF(AF652="","",IF(AI652="Yes","❌ Disc",IF(AH652="No","⚠ Missing",IF(AK652="Yes","✓ OK","⚠ Check"))))</f>
        <v/>
      </c>
      <c r="AO652" s="36" t="n"/>
      <c r="AP652" s="36" t="n"/>
      <c r="AQ652" s="36" t="n"/>
      <c r="AR652" s="36" t="n"/>
      <c r="AS652" s="36" t="n"/>
      <c r="AT652" s="36" t="n"/>
      <c r="AU652" s="27" t="n"/>
      <c r="AV652" s="37" t="n"/>
      <c r="AW652" s="38">
        <f>IF(AO652="","",IF(AR652="Yes","❌ Disc",IF(AQ652="No","⚠ Missing",IF(AT652="Yes","✓ OK","⚠ Check"))))</f>
        <v/>
      </c>
    </row>
    <row r="653" ht="18" customHeight="1" s="46">
      <c r="A653" s="23" t="n">
        <v>649</v>
      </c>
      <c r="B653" s="24" t="inlineStr">
        <is>
          <t>WP LNCCN1179303</t>
        </is>
      </c>
      <c r="C653" s="25" t="inlineStr">
        <is>
          <t>Life n Colors - Black and White Sports Wallpaper for Kids Rooms  -  Canvas - a texture paper</t>
        </is>
      </c>
      <c r="D653" s="23" t="inlineStr">
        <is>
          <t>Life n Colors</t>
        </is>
      </c>
      <c r="E653" s="43" t="n">
        <v>46126</v>
      </c>
      <c r="F653" s="26" t="inlineStr">
        <is>
          <t>Sunil CR</t>
        </is>
      </c>
      <c r="G653" s="26" t="inlineStr">
        <is>
          <t>Yes</t>
        </is>
      </c>
      <c r="H653" s="26" t="inlineStr">
        <is>
          <t>No</t>
        </is>
      </c>
      <c r="I653" s="26" t="inlineStr">
        <is>
          <t>Good finish</t>
        </is>
      </c>
      <c r="J653" s="26" t="inlineStr">
        <is>
          <t>Yes</t>
        </is>
      </c>
      <c r="K653" s="27" t="n"/>
      <c r="L653" s="28" t="inlineStr">
        <is>
          <t>No</t>
        </is>
      </c>
      <c r="M653" s="29">
        <f>IF(E653="","",IF(H653="Yes","❌ Disc",IF(G653="No","⚠ Missing",IF(J653="Yes","✓ OK","⚠ Check"))))</f>
        <v/>
      </c>
      <c r="N653" s="43" t="n">
        <v>46193</v>
      </c>
      <c r="O653" s="26" t="inlineStr">
        <is>
          <t>Sunil CR</t>
        </is>
      </c>
      <c r="P653" s="26" t="inlineStr">
        <is>
          <t>Yes</t>
        </is>
      </c>
      <c r="Q653" s="26" t="inlineStr">
        <is>
          <t>No</t>
        </is>
      </c>
      <c r="R653" s="26" t="inlineStr">
        <is>
          <t>Good finish</t>
        </is>
      </c>
      <c r="S653" s="26" t="inlineStr">
        <is>
          <t>Yes</t>
        </is>
      </c>
      <c r="T653" s="27" t="n"/>
      <c r="U653" s="28" t="inlineStr">
        <is>
          <t>No</t>
        </is>
      </c>
      <c r="V653" s="29">
        <f>IF(N653="","",IF(Q653="Yes","❌ Disc",IF(P653="No","⚠ Missing",IF(S653="Yes","✓ OK","⚠ Check"))))</f>
        <v/>
      </c>
      <c r="W653" s="65" t="n">
        <v>46248</v>
      </c>
      <c r="X653" s="30" t="inlineStr">
        <is>
          <t>Sunil CR</t>
        </is>
      </c>
      <c r="Y653" s="30" t="inlineStr">
        <is>
          <t>Yes</t>
        </is>
      </c>
      <c r="Z653" s="30" t="n"/>
      <c r="AA653" s="30" t="inlineStr">
        <is>
          <t>Good finish</t>
        </is>
      </c>
      <c r="AB653" s="30" t="inlineStr">
        <is>
          <t>Yes</t>
        </is>
      </c>
      <c r="AC653" s="27" t="n"/>
      <c r="AD653" s="31" t="inlineStr">
        <is>
          <t>No</t>
        </is>
      </c>
      <c r="AE653" s="32">
        <f>IF(W653="","",IF(Z653="Yes","❌ Disc",IF(Y653="No","⚠ Missing",IF(AB653="Yes","✓ OK","⚠ Check"))))</f>
        <v/>
      </c>
      <c r="AF653" s="33" t="n"/>
      <c r="AG653" s="33" t="n"/>
      <c r="AH653" s="33" t="n"/>
      <c r="AI653" s="33" t="n"/>
      <c r="AJ653" s="33" t="n"/>
      <c r="AK653" s="33" t="n"/>
      <c r="AL653" s="27" t="n"/>
      <c r="AM653" s="34" t="n"/>
      <c r="AN653" s="35">
        <f>IF(AF653="","",IF(AI653="Yes","❌ Disc",IF(AH653="No","⚠ Missing",IF(AK653="Yes","✓ OK","⚠ Check"))))</f>
        <v/>
      </c>
      <c r="AO653" s="36" t="n"/>
      <c r="AP653" s="36" t="n"/>
      <c r="AQ653" s="36" t="n"/>
      <c r="AR653" s="36" t="n"/>
      <c r="AS653" s="36" t="n"/>
      <c r="AT653" s="36" t="n"/>
      <c r="AU653" s="27" t="n"/>
      <c r="AV653" s="37" t="n"/>
      <c r="AW653" s="38">
        <f>IF(AO653="","",IF(AR653="Yes","❌ Disc",IF(AQ653="No","⚠ Missing",IF(AT653="Yes","✓ OK","⚠ Check"))))</f>
        <v/>
      </c>
    </row>
    <row r="654" ht="18" customHeight="1" s="46">
      <c r="A654" s="39" t="n">
        <v>650</v>
      </c>
      <c r="B654" s="40" t="inlineStr">
        <is>
          <t>WP LNCSF1179303</t>
        </is>
      </c>
      <c r="C654" s="41" t="inlineStr">
        <is>
          <t>Life n Colors - Black and White Sports Wallpaper for Kids Rooms  - Non-woven - a soft feel paper</t>
        </is>
      </c>
      <c r="D654" s="39" t="inlineStr">
        <is>
          <t>Life n Colors</t>
        </is>
      </c>
      <c r="E654" s="43" t="n">
        <v>46126</v>
      </c>
      <c r="F654" s="26" t="inlineStr">
        <is>
          <t>Sunil CR</t>
        </is>
      </c>
      <c r="G654" s="26" t="inlineStr">
        <is>
          <t>Yes</t>
        </is>
      </c>
      <c r="H654" s="26" t="inlineStr">
        <is>
          <t>No</t>
        </is>
      </c>
      <c r="I654" s="26" t="inlineStr">
        <is>
          <t>Good finish</t>
        </is>
      </c>
      <c r="J654" s="26" t="inlineStr">
        <is>
          <t>Yes</t>
        </is>
      </c>
      <c r="K654" s="27" t="n"/>
      <c r="L654" s="28" t="inlineStr">
        <is>
          <t>No</t>
        </is>
      </c>
      <c r="M654" s="29">
        <f>IF(E654="","",IF(H654="Yes","❌ Disc",IF(G654="No","⚠ Missing",IF(J654="Yes","✓ OK","⚠ Check"))))</f>
        <v/>
      </c>
      <c r="N654" s="43" t="n">
        <v>46193</v>
      </c>
      <c r="O654" s="26" t="inlineStr">
        <is>
          <t>Sunil CR</t>
        </is>
      </c>
      <c r="P654" s="26" t="inlineStr">
        <is>
          <t>Yes</t>
        </is>
      </c>
      <c r="Q654" s="26" t="inlineStr">
        <is>
          <t>No</t>
        </is>
      </c>
      <c r="R654" s="26" t="inlineStr">
        <is>
          <t>Good finish</t>
        </is>
      </c>
      <c r="S654" s="26" t="inlineStr">
        <is>
          <t>Yes</t>
        </is>
      </c>
      <c r="T654" s="27" t="n"/>
      <c r="U654" s="28" t="inlineStr">
        <is>
          <t>No</t>
        </is>
      </c>
      <c r="V654" s="29">
        <f>IF(N654="","",IF(Q654="Yes","❌ Disc",IF(P654="No","⚠ Missing",IF(S654="Yes","✓ OK","⚠ Check"))))</f>
        <v/>
      </c>
      <c r="W654" s="65" t="n">
        <v>46248</v>
      </c>
      <c r="X654" s="30" t="inlineStr">
        <is>
          <t>Sunil CR</t>
        </is>
      </c>
      <c r="Y654" s="30" t="inlineStr">
        <is>
          <t>Yes</t>
        </is>
      </c>
      <c r="Z654" s="30" t="n"/>
      <c r="AA654" s="30" t="inlineStr">
        <is>
          <t>Good finish</t>
        </is>
      </c>
      <c r="AB654" s="30" t="inlineStr">
        <is>
          <t>Yes</t>
        </is>
      </c>
      <c r="AC654" s="27" t="n"/>
      <c r="AD654" s="31" t="inlineStr">
        <is>
          <t>No</t>
        </is>
      </c>
      <c r="AE654" s="32">
        <f>IF(W654="","",IF(Z654="Yes","❌ Disc",IF(Y654="No","⚠ Missing",IF(AB654="Yes","✓ OK","⚠ Check"))))</f>
        <v/>
      </c>
      <c r="AF654" s="33" t="n"/>
      <c r="AG654" s="33" t="n"/>
      <c r="AH654" s="33" t="n"/>
      <c r="AI654" s="33" t="n"/>
      <c r="AJ654" s="33" t="n"/>
      <c r="AK654" s="33" t="n"/>
      <c r="AL654" s="27" t="n"/>
      <c r="AM654" s="34" t="n"/>
      <c r="AN654" s="35">
        <f>IF(AF654="","",IF(AI654="Yes","❌ Disc",IF(AH654="No","⚠ Missing",IF(AK654="Yes","✓ OK","⚠ Check"))))</f>
        <v/>
      </c>
      <c r="AO654" s="36" t="n"/>
      <c r="AP654" s="36" t="n"/>
      <c r="AQ654" s="36" t="n"/>
      <c r="AR654" s="36" t="n"/>
      <c r="AS654" s="36" t="n"/>
      <c r="AT654" s="36" t="n"/>
      <c r="AU654" s="27" t="n"/>
      <c r="AV654" s="37" t="n"/>
      <c r="AW654" s="38">
        <f>IF(AO654="","",IF(AR654="Yes","❌ Disc",IF(AQ654="No","⚠ Missing",IF(AT654="Yes","✓ OK","⚠ Check"))))</f>
        <v/>
      </c>
    </row>
    <row r="655" ht="18" customHeight="1" s="46">
      <c r="A655" s="23" t="n">
        <v>651</v>
      </c>
      <c r="B655" s="24" t="inlineStr">
        <is>
          <t>WP LNCCN1010093</t>
        </is>
      </c>
      <c r="C655" s="25" t="inlineStr">
        <is>
          <t>Life n Colors - Blue Abstract Wallpaper Design for Rooms  -  Canvas - a texture paper</t>
        </is>
      </c>
      <c r="D655" s="23" t="inlineStr">
        <is>
          <t>Life n Colors</t>
        </is>
      </c>
      <c r="E655" s="43" t="n">
        <v>46126</v>
      </c>
      <c r="F655" s="26" t="inlineStr">
        <is>
          <t>Sunil CR</t>
        </is>
      </c>
      <c r="G655" s="26" t="inlineStr">
        <is>
          <t>Yes</t>
        </is>
      </c>
      <c r="H655" s="26" t="inlineStr">
        <is>
          <t>No</t>
        </is>
      </c>
      <c r="I655" s="26" t="inlineStr">
        <is>
          <t>Good finish</t>
        </is>
      </c>
      <c r="J655" s="26" t="inlineStr">
        <is>
          <t>Yes</t>
        </is>
      </c>
      <c r="K655" s="27" t="n"/>
      <c r="L655" s="28" t="inlineStr">
        <is>
          <t>No</t>
        </is>
      </c>
      <c r="M655" s="29">
        <f>IF(E655="","",IF(H655="Yes","❌ Disc",IF(G655="No","⚠ Missing",IF(J655="Yes","✓ OK","⚠ Check"))))</f>
        <v/>
      </c>
      <c r="N655" s="43" t="n">
        <v>46193</v>
      </c>
      <c r="O655" s="26" t="inlineStr">
        <is>
          <t>Sunil CR</t>
        </is>
      </c>
      <c r="P655" s="26" t="inlineStr">
        <is>
          <t>Yes</t>
        </is>
      </c>
      <c r="Q655" s="26" t="inlineStr">
        <is>
          <t>No</t>
        </is>
      </c>
      <c r="R655" s="26" t="inlineStr">
        <is>
          <t>Good finish</t>
        </is>
      </c>
      <c r="S655" s="26" t="inlineStr">
        <is>
          <t>Yes</t>
        </is>
      </c>
      <c r="T655" s="27" t="n"/>
      <c r="U655" s="28" t="inlineStr">
        <is>
          <t>No</t>
        </is>
      </c>
      <c r="V655" s="29">
        <f>IF(N655="","",IF(Q655="Yes","❌ Disc",IF(P655="No","⚠ Missing",IF(S655="Yes","✓ OK","⚠ Check"))))</f>
        <v/>
      </c>
      <c r="W655" s="65" t="n">
        <v>46248</v>
      </c>
      <c r="X655" s="30" t="inlineStr">
        <is>
          <t>Sunil CR</t>
        </is>
      </c>
      <c r="Y655" s="30" t="inlineStr">
        <is>
          <t>Yes</t>
        </is>
      </c>
      <c r="Z655" s="30" t="n"/>
      <c r="AA655" s="30" t="inlineStr">
        <is>
          <t>Good finish</t>
        </is>
      </c>
      <c r="AB655" s="30" t="inlineStr">
        <is>
          <t>Yes</t>
        </is>
      </c>
      <c r="AC655" s="27" t="n"/>
      <c r="AD655" s="31" t="inlineStr">
        <is>
          <t>No</t>
        </is>
      </c>
      <c r="AE655" s="32">
        <f>IF(W655="","",IF(Z655="Yes","❌ Disc",IF(Y655="No","⚠ Missing",IF(AB655="Yes","✓ OK","⚠ Check"))))</f>
        <v/>
      </c>
      <c r="AF655" s="33" t="n"/>
      <c r="AG655" s="33" t="n"/>
      <c r="AH655" s="33" t="n"/>
      <c r="AI655" s="33" t="n"/>
      <c r="AJ655" s="33" t="n"/>
      <c r="AK655" s="33" t="n"/>
      <c r="AL655" s="27" t="n"/>
      <c r="AM655" s="34" t="n"/>
      <c r="AN655" s="35">
        <f>IF(AF655="","",IF(AI655="Yes","❌ Disc",IF(AH655="No","⚠ Missing",IF(AK655="Yes","✓ OK","⚠ Check"))))</f>
        <v/>
      </c>
      <c r="AO655" s="36" t="n"/>
      <c r="AP655" s="36" t="n"/>
      <c r="AQ655" s="36" t="n"/>
      <c r="AR655" s="36" t="n"/>
      <c r="AS655" s="36" t="n"/>
      <c r="AT655" s="36" t="n"/>
      <c r="AU655" s="27" t="n"/>
      <c r="AV655" s="37" t="n"/>
      <c r="AW655" s="38">
        <f>IF(AO655="","",IF(AR655="Yes","❌ Disc",IF(AQ655="No","⚠ Missing",IF(AT655="Yes","✓ OK","⚠ Check"))))</f>
        <v/>
      </c>
    </row>
    <row r="656" ht="18" customHeight="1" s="46">
      <c r="A656" s="39" t="n">
        <v>652</v>
      </c>
      <c r="B656" s="40" t="inlineStr">
        <is>
          <t>WP LNCSF1010093</t>
        </is>
      </c>
      <c r="C656" s="41" t="inlineStr">
        <is>
          <t>Life n Colors - Blue Abstract Wallpaper Design for Rooms  - Non-woven - a soft feel paper</t>
        </is>
      </c>
      <c r="D656" s="39" t="inlineStr">
        <is>
          <t>Life n Colors</t>
        </is>
      </c>
      <c r="E656" s="43" t="n">
        <v>46126</v>
      </c>
      <c r="F656" s="26" t="inlineStr">
        <is>
          <t>Sunil CR</t>
        </is>
      </c>
      <c r="G656" s="26" t="inlineStr">
        <is>
          <t>Yes</t>
        </is>
      </c>
      <c r="H656" s="26" t="inlineStr">
        <is>
          <t>No</t>
        </is>
      </c>
      <c r="I656" s="26" t="inlineStr">
        <is>
          <t>Good finish</t>
        </is>
      </c>
      <c r="J656" s="26" t="inlineStr">
        <is>
          <t>Yes</t>
        </is>
      </c>
      <c r="K656" s="27" t="n"/>
      <c r="L656" s="28" t="inlineStr">
        <is>
          <t>No</t>
        </is>
      </c>
      <c r="M656" s="29">
        <f>IF(E656="","",IF(H656="Yes","❌ Disc",IF(G656="No","⚠ Missing",IF(J656="Yes","✓ OK","⚠ Check"))))</f>
        <v/>
      </c>
      <c r="N656" s="43" t="n">
        <v>46193</v>
      </c>
      <c r="O656" s="26" t="inlineStr">
        <is>
          <t>Sunil CR</t>
        </is>
      </c>
      <c r="P656" s="26" t="inlineStr">
        <is>
          <t>Yes</t>
        </is>
      </c>
      <c r="Q656" s="26" t="inlineStr">
        <is>
          <t>No</t>
        </is>
      </c>
      <c r="R656" s="26" t="inlineStr">
        <is>
          <t>Good finish</t>
        </is>
      </c>
      <c r="S656" s="26" t="inlineStr">
        <is>
          <t>Yes</t>
        </is>
      </c>
      <c r="T656" s="27" t="n"/>
      <c r="U656" s="28" t="inlineStr">
        <is>
          <t>No</t>
        </is>
      </c>
      <c r="V656" s="29">
        <f>IF(N656="","",IF(Q656="Yes","❌ Disc",IF(P656="No","⚠ Missing",IF(S656="Yes","✓ OK","⚠ Check"))))</f>
        <v/>
      </c>
      <c r="W656" s="65" t="n">
        <v>46248</v>
      </c>
      <c r="X656" s="30" t="inlineStr">
        <is>
          <t>Sunil CR</t>
        </is>
      </c>
      <c r="Y656" s="30" t="inlineStr">
        <is>
          <t>Yes</t>
        </is>
      </c>
      <c r="Z656" s="30" t="n"/>
      <c r="AA656" s="30" t="inlineStr">
        <is>
          <t>Good finish</t>
        </is>
      </c>
      <c r="AB656" s="30" t="inlineStr">
        <is>
          <t>Yes</t>
        </is>
      </c>
      <c r="AC656" s="27" t="n"/>
      <c r="AD656" s="31" t="inlineStr">
        <is>
          <t>No</t>
        </is>
      </c>
      <c r="AE656" s="32">
        <f>IF(W656="","",IF(Z656="Yes","❌ Disc",IF(Y656="No","⚠ Missing",IF(AB656="Yes","✓ OK","⚠ Check"))))</f>
        <v/>
      </c>
      <c r="AF656" s="33" t="n"/>
      <c r="AG656" s="33" t="n"/>
      <c r="AH656" s="33" t="n"/>
      <c r="AI656" s="33" t="n"/>
      <c r="AJ656" s="33" t="n"/>
      <c r="AK656" s="33" t="n"/>
      <c r="AL656" s="27" t="n"/>
      <c r="AM656" s="34" t="n"/>
      <c r="AN656" s="35">
        <f>IF(AF656="","",IF(AI656="Yes","❌ Disc",IF(AH656="No","⚠ Missing",IF(AK656="Yes","✓ OK","⚠ Check"))))</f>
        <v/>
      </c>
      <c r="AO656" s="36" t="n"/>
      <c r="AP656" s="36" t="n"/>
      <c r="AQ656" s="36" t="n"/>
      <c r="AR656" s="36" t="n"/>
      <c r="AS656" s="36" t="n"/>
      <c r="AT656" s="36" t="n"/>
      <c r="AU656" s="27" t="n"/>
      <c r="AV656" s="37" t="n"/>
      <c r="AW656" s="38">
        <f>IF(AO656="","",IF(AR656="Yes","❌ Disc",IF(AQ656="No","⚠ Missing",IF(AT656="Yes","✓ OK","⚠ Check"))))</f>
        <v/>
      </c>
    </row>
    <row r="657" ht="18" customHeight="1" s="46">
      <c r="A657" s="23" t="n">
        <v>653</v>
      </c>
      <c r="B657" s="24" t="inlineStr">
        <is>
          <t>WP LNCCN1156629</t>
        </is>
      </c>
      <c r="C657" s="25" t="inlineStr">
        <is>
          <t>Life n Colors - Blue Geometric Pattern Wallpaper for Rooms  -  Canvas - a texture paper</t>
        </is>
      </c>
      <c r="D657" s="23" t="inlineStr">
        <is>
          <t>Life n Colors</t>
        </is>
      </c>
      <c r="E657" s="43" t="n">
        <v>46126</v>
      </c>
      <c r="F657" s="26" t="inlineStr">
        <is>
          <t>Sunil CR</t>
        </is>
      </c>
      <c r="G657" s="26" t="inlineStr">
        <is>
          <t>Yes</t>
        </is>
      </c>
      <c r="H657" s="26" t="inlineStr">
        <is>
          <t>No</t>
        </is>
      </c>
      <c r="I657" s="26" t="inlineStr">
        <is>
          <t>Good finish</t>
        </is>
      </c>
      <c r="J657" s="26" t="inlineStr">
        <is>
          <t>Yes</t>
        </is>
      </c>
      <c r="K657" s="27" t="n"/>
      <c r="L657" s="28" t="inlineStr">
        <is>
          <t>No</t>
        </is>
      </c>
      <c r="M657" s="29">
        <f>IF(E657="","",IF(H657="Yes","❌ Disc",IF(G657="No","⚠ Missing",IF(J657="Yes","✓ OK","⚠ Check"))))</f>
        <v/>
      </c>
      <c r="N657" s="43" t="n">
        <v>46193</v>
      </c>
      <c r="O657" s="26" t="inlineStr">
        <is>
          <t>Sunil CR</t>
        </is>
      </c>
      <c r="P657" s="26" t="inlineStr">
        <is>
          <t>Yes</t>
        </is>
      </c>
      <c r="Q657" s="26" t="inlineStr">
        <is>
          <t>No</t>
        </is>
      </c>
      <c r="R657" s="26" t="inlineStr">
        <is>
          <t>Good finish</t>
        </is>
      </c>
      <c r="S657" s="26" t="inlineStr">
        <is>
          <t>Yes</t>
        </is>
      </c>
      <c r="T657" s="27" t="n"/>
      <c r="U657" s="28" t="inlineStr">
        <is>
          <t>No</t>
        </is>
      </c>
      <c r="V657" s="29">
        <f>IF(N657="","",IF(Q657="Yes","❌ Disc",IF(P657="No","⚠ Missing",IF(S657="Yes","✓ OK","⚠ Check"))))</f>
        <v/>
      </c>
      <c r="W657" s="65" t="n">
        <v>46248</v>
      </c>
      <c r="X657" s="30" t="inlineStr">
        <is>
          <t>Sunil CR</t>
        </is>
      </c>
      <c r="Y657" s="30" t="inlineStr">
        <is>
          <t>Yes</t>
        </is>
      </c>
      <c r="Z657" s="30" t="n"/>
      <c r="AA657" s="30" t="inlineStr">
        <is>
          <t>Good finish</t>
        </is>
      </c>
      <c r="AB657" s="30" t="inlineStr">
        <is>
          <t>Yes</t>
        </is>
      </c>
      <c r="AC657" s="27" t="n"/>
      <c r="AD657" s="31" t="inlineStr">
        <is>
          <t>No</t>
        </is>
      </c>
      <c r="AE657" s="32">
        <f>IF(W657="","",IF(Z657="Yes","❌ Disc",IF(Y657="No","⚠ Missing",IF(AB657="Yes","✓ OK","⚠ Check"))))</f>
        <v/>
      </c>
      <c r="AF657" s="33" t="n"/>
      <c r="AG657" s="33" t="n"/>
      <c r="AH657" s="33" t="n"/>
      <c r="AI657" s="33" t="n"/>
      <c r="AJ657" s="33" t="n"/>
      <c r="AK657" s="33" t="n"/>
      <c r="AL657" s="27" t="n"/>
      <c r="AM657" s="34" t="n"/>
      <c r="AN657" s="35">
        <f>IF(AF657="","",IF(AI657="Yes","❌ Disc",IF(AH657="No","⚠ Missing",IF(AK657="Yes","✓ OK","⚠ Check"))))</f>
        <v/>
      </c>
      <c r="AO657" s="36" t="n"/>
      <c r="AP657" s="36" t="n"/>
      <c r="AQ657" s="36" t="n"/>
      <c r="AR657" s="36" t="n"/>
      <c r="AS657" s="36" t="n"/>
      <c r="AT657" s="36" t="n"/>
      <c r="AU657" s="27" t="n"/>
      <c r="AV657" s="37" t="n"/>
      <c r="AW657" s="38">
        <f>IF(AO657="","",IF(AR657="Yes","❌ Disc",IF(AQ657="No","⚠ Missing",IF(AT657="Yes","✓ OK","⚠ Check"))))</f>
        <v/>
      </c>
    </row>
    <row r="658" ht="18" customHeight="1" s="46">
      <c r="A658" s="39" t="n">
        <v>654</v>
      </c>
      <c r="B658" s="40" t="inlineStr">
        <is>
          <t>WP LNCSF1156629</t>
        </is>
      </c>
      <c r="C658" s="41" t="inlineStr">
        <is>
          <t>Life n Colors - Blue Geometric Pattern Wallpaper for Rooms  - Non-woven - a soft feel paper</t>
        </is>
      </c>
      <c r="D658" s="39" t="inlineStr">
        <is>
          <t>Life n Colors</t>
        </is>
      </c>
      <c r="E658" s="43" t="n">
        <v>46126</v>
      </c>
      <c r="F658" s="26" t="inlineStr">
        <is>
          <t>Sunil CR</t>
        </is>
      </c>
      <c r="G658" s="26" t="inlineStr">
        <is>
          <t>Yes</t>
        </is>
      </c>
      <c r="H658" s="26" t="inlineStr">
        <is>
          <t>No</t>
        </is>
      </c>
      <c r="I658" s="26" t="inlineStr">
        <is>
          <t>Good finish</t>
        </is>
      </c>
      <c r="J658" s="26" t="inlineStr">
        <is>
          <t>Yes</t>
        </is>
      </c>
      <c r="K658" s="27" t="n"/>
      <c r="L658" s="28" t="inlineStr">
        <is>
          <t>No</t>
        </is>
      </c>
      <c r="M658" s="29">
        <f>IF(E658="","",IF(H658="Yes","❌ Disc",IF(G658="No","⚠ Missing",IF(J658="Yes","✓ OK","⚠ Check"))))</f>
        <v/>
      </c>
      <c r="N658" s="43" t="n">
        <v>46193</v>
      </c>
      <c r="O658" s="26" t="inlineStr">
        <is>
          <t>Sunil CR</t>
        </is>
      </c>
      <c r="P658" s="26" t="inlineStr">
        <is>
          <t>Yes</t>
        </is>
      </c>
      <c r="Q658" s="26" t="inlineStr">
        <is>
          <t>No</t>
        </is>
      </c>
      <c r="R658" s="26" t="inlineStr">
        <is>
          <t>Good finish</t>
        </is>
      </c>
      <c r="S658" s="26" t="inlineStr">
        <is>
          <t>Yes</t>
        </is>
      </c>
      <c r="T658" s="27" t="n"/>
      <c r="U658" s="28" t="inlineStr">
        <is>
          <t>No</t>
        </is>
      </c>
      <c r="V658" s="29">
        <f>IF(N658="","",IF(Q658="Yes","❌ Disc",IF(P658="No","⚠ Missing",IF(S658="Yes","✓ OK","⚠ Check"))))</f>
        <v/>
      </c>
      <c r="W658" s="65" t="n">
        <v>46248</v>
      </c>
      <c r="X658" s="30" t="inlineStr">
        <is>
          <t>Sunil CR</t>
        </is>
      </c>
      <c r="Y658" s="30" t="inlineStr">
        <is>
          <t>Yes</t>
        </is>
      </c>
      <c r="Z658" s="30" t="n"/>
      <c r="AA658" s="30" t="inlineStr">
        <is>
          <t>Good finish</t>
        </is>
      </c>
      <c r="AB658" s="30" t="inlineStr">
        <is>
          <t>Yes</t>
        </is>
      </c>
      <c r="AC658" s="27" t="n"/>
      <c r="AD658" s="31" t="inlineStr">
        <is>
          <t>No</t>
        </is>
      </c>
      <c r="AE658" s="32">
        <f>IF(W658="","",IF(Z658="Yes","❌ Disc",IF(Y658="No","⚠ Missing",IF(AB658="Yes","✓ OK","⚠ Check"))))</f>
        <v/>
      </c>
      <c r="AF658" s="33" t="n"/>
      <c r="AG658" s="33" t="n"/>
      <c r="AH658" s="33" t="n"/>
      <c r="AI658" s="33" t="n"/>
      <c r="AJ658" s="33" t="n"/>
      <c r="AK658" s="33" t="n"/>
      <c r="AL658" s="27" t="n"/>
      <c r="AM658" s="34" t="n"/>
      <c r="AN658" s="35">
        <f>IF(AF658="","",IF(AI658="Yes","❌ Disc",IF(AH658="No","⚠ Missing",IF(AK658="Yes","✓ OK","⚠ Check"))))</f>
        <v/>
      </c>
      <c r="AO658" s="36" t="n"/>
      <c r="AP658" s="36" t="n"/>
      <c r="AQ658" s="36" t="n"/>
      <c r="AR658" s="36" t="n"/>
      <c r="AS658" s="36" t="n"/>
      <c r="AT658" s="36" t="n"/>
      <c r="AU658" s="27" t="n"/>
      <c r="AV658" s="37" t="n"/>
      <c r="AW658" s="38">
        <f>IF(AO658="","",IF(AR658="Yes","❌ Disc",IF(AQ658="No","⚠ Missing",IF(AT658="Yes","✓ OK","⚠ Check"))))</f>
        <v/>
      </c>
    </row>
    <row r="659" ht="18" customHeight="1" s="46">
      <c r="A659" s="23" t="n">
        <v>655</v>
      </c>
      <c r="B659" s="24" t="inlineStr">
        <is>
          <t>WP LNCCN1187847</t>
        </is>
      </c>
      <c r="C659" s="25" t="inlineStr">
        <is>
          <t>Life n Colors - Blue Indian Fabric Look with Elephants Wallpaper  -  Canvas - a texture paper</t>
        </is>
      </c>
      <c r="D659" s="23" t="inlineStr">
        <is>
          <t>Life n Colors</t>
        </is>
      </c>
      <c r="E659" s="43" t="n">
        <v>46126</v>
      </c>
      <c r="F659" s="26" t="inlineStr">
        <is>
          <t>Sunil CR</t>
        </is>
      </c>
      <c r="G659" s="26" t="inlineStr">
        <is>
          <t>Yes</t>
        </is>
      </c>
      <c r="H659" s="26" t="inlineStr">
        <is>
          <t>No</t>
        </is>
      </c>
      <c r="I659" s="26" t="inlineStr">
        <is>
          <t>Good finish</t>
        </is>
      </c>
      <c r="J659" s="26" t="inlineStr">
        <is>
          <t>Yes</t>
        </is>
      </c>
      <c r="K659" s="27" t="n"/>
      <c r="L659" s="28" t="inlineStr">
        <is>
          <t>No</t>
        </is>
      </c>
      <c r="M659" s="29">
        <f>IF(E659="","",IF(H659="Yes","❌ Disc",IF(G659="No","⚠ Missing",IF(J659="Yes","✓ OK","⚠ Check"))))</f>
        <v/>
      </c>
      <c r="N659" s="43" t="n">
        <v>46193</v>
      </c>
      <c r="O659" s="26" t="inlineStr">
        <is>
          <t>Sunil CR</t>
        </is>
      </c>
      <c r="P659" s="26" t="inlineStr">
        <is>
          <t>Yes</t>
        </is>
      </c>
      <c r="Q659" s="26" t="inlineStr">
        <is>
          <t>No</t>
        </is>
      </c>
      <c r="R659" s="26" t="inlineStr">
        <is>
          <t>Good finish</t>
        </is>
      </c>
      <c r="S659" s="26" t="inlineStr">
        <is>
          <t>Yes</t>
        </is>
      </c>
      <c r="T659" s="27" t="n"/>
      <c r="U659" s="28" t="inlineStr">
        <is>
          <t>No</t>
        </is>
      </c>
      <c r="V659" s="29">
        <f>IF(N659="","",IF(Q659="Yes","❌ Disc",IF(P659="No","⚠ Missing",IF(S659="Yes","✓ OK","⚠ Check"))))</f>
        <v/>
      </c>
      <c r="W659" s="65" t="n">
        <v>46248</v>
      </c>
      <c r="X659" s="30" t="inlineStr">
        <is>
          <t>Sunil CR</t>
        </is>
      </c>
      <c r="Y659" s="30" t="inlineStr">
        <is>
          <t>Yes</t>
        </is>
      </c>
      <c r="Z659" s="30" t="n"/>
      <c r="AA659" s="30" t="inlineStr">
        <is>
          <t>Good finish</t>
        </is>
      </c>
      <c r="AB659" s="30" t="inlineStr">
        <is>
          <t>Yes</t>
        </is>
      </c>
      <c r="AC659" s="27" t="n"/>
      <c r="AD659" s="31" t="inlineStr">
        <is>
          <t>No</t>
        </is>
      </c>
      <c r="AE659" s="32">
        <f>IF(W659="","",IF(Z659="Yes","❌ Disc",IF(Y659="No","⚠ Missing",IF(AB659="Yes","✓ OK","⚠ Check"))))</f>
        <v/>
      </c>
      <c r="AF659" s="33" t="n"/>
      <c r="AG659" s="33" t="n"/>
      <c r="AH659" s="33" t="n"/>
      <c r="AI659" s="33" t="n"/>
      <c r="AJ659" s="33" t="n"/>
      <c r="AK659" s="33" t="n"/>
      <c r="AL659" s="27" t="n"/>
      <c r="AM659" s="34" t="n"/>
      <c r="AN659" s="35">
        <f>IF(AF659="","",IF(AI659="Yes","❌ Disc",IF(AH659="No","⚠ Missing",IF(AK659="Yes","✓ OK","⚠ Check"))))</f>
        <v/>
      </c>
      <c r="AO659" s="36" t="n"/>
      <c r="AP659" s="36" t="n"/>
      <c r="AQ659" s="36" t="n"/>
      <c r="AR659" s="36" t="n"/>
      <c r="AS659" s="36" t="n"/>
      <c r="AT659" s="36" t="n"/>
      <c r="AU659" s="27" t="n"/>
      <c r="AV659" s="37" t="n"/>
      <c r="AW659" s="38">
        <f>IF(AO659="","",IF(AR659="Yes","❌ Disc",IF(AQ659="No","⚠ Missing",IF(AT659="Yes","✓ OK","⚠ Check"))))</f>
        <v/>
      </c>
    </row>
    <row r="660" ht="18" customHeight="1" s="46">
      <c r="A660" s="39" t="n">
        <v>656</v>
      </c>
      <c r="B660" s="40" t="inlineStr">
        <is>
          <t>WP LNCSF1187847</t>
        </is>
      </c>
      <c r="C660" s="41" t="inlineStr">
        <is>
          <t>Life n Colors - Blue Indian Fabric Look with Elephants Wallpaper  - Non-woven - a soft feel paper</t>
        </is>
      </c>
      <c r="D660" s="39" t="inlineStr">
        <is>
          <t>Life n Colors</t>
        </is>
      </c>
      <c r="E660" s="43" t="n">
        <v>46126</v>
      </c>
      <c r="F660" s="26" t="inlineStr">
        <is>
          <t>Sunil CR</t>
        </is>
      </c>
      <c r="G660" s="26" t="inlineStr">
        <is>
          <t>Yes</t>
        </is>
      </c>
      <c r="H660" s="26" t="inlineStr">
        <is>
          <t>No</t>
        </is>
      </c>
      <c r="I660" s="26" t="inlineStr">
        <is>
          <t>Good finish</t>
        </is>
      </c>
      <c r="J660" s="26" t="inlineStr">
        <is>
          <t>Yes</t>
        </is>
      </c>
      <c r="K660" s="27" t="n"/>
      <c r="L660" s="28" t="inlineStr">
        <is>
          <t>No</t>
        </is>
      </c>
      <c r="M660" s="29">
        <f>IF(E660="","",IF(H660="Yes","❌ Disc",IF(G660="No","⚠ Missing",IF(J660="Yes","✓ OK","⚠ Check"))))</f>
        <v/>
      </c>
      <c r="N660" s="43" t="n">
        <v>46193</v>
      </c>
      <c r="O660" s="26" t="inlineStr">
        <is>
          <t>Sunil CR</t>
        </is>
      </c>
      <c r="P660" s="26" t="inlineStr">
        <is>
          <t>Yes</t>
        </is>
      </c>
      <c r="Q660" s="26" t="inlineStr">
        <is>
          <t>No</t>
        </is>
      </c>
      <c r="R660" s="26" t="inlineStr">
        <is>
          <t>Good finish</t>
        </is>
      </c>
      <c r="S660" s="26" t="inlineStr">
        <is>
          <t>Yes</t>
        </is>
      </c>
      <c r="T660" s="27" t="n"/>
      <c r="U660" s="28" t="inlineStr">
        <is>
          <t>No</t>
        </is>
      </c>
      <c r="V660" s="29">
        <f>IF(N660="","",IF(Q660="Yes","❌ Disc",IF(P660="No","⚠ Missing",IF(S660="Yes","✓ OK","⚠ Check"))))</f>
        <v/>
      </c>
      <c r="W660" s="65" t="n">
        <v>46248</v>
      </c>
      <c r="X660" s="30" t="inlineStr">
        <is>
          <t>Sunil CR</t>
        </is>
      </c>
      <c r="Y660" s="30" t="inlineStr">
        <is>
          <t>Yes</t>
        </is>
      </c>
      <c r="Z660" s="30" t="n"/>
      <c r="AA660" s="30" t="inlineStr">
        <is>
          <t>Good finish</t>
        </is>
      </c>
      <c r="AB660" s="30" t="inlineStr">
        <is>
          <t>Yes</t>
        </is>
      </c>
      <c r="AC660" s="27" t="n"/>
      <c r="AD660" s="31" t="inlineStr">
        <is>
          <t>No</t>
        </is>
      </c>
      <c r="AE660" s="32">
        <f>IF(W660="","",IF(Z660="Yes","❌ Disc",IF(Y660="No","⚠ Missing",IF(AB660="Yes","✓ OK","⚠ Check"))))</f>
        <v/>
      </c>
      <c r="AF660" s="33" t="n"/>
      <c r="AG660" s="33" t="n"/>
      <c r="AH660" s="33" t="n"/>
      <c r="AI660" s="33" t="n"/>
      <c r="AJ660" s="33" t="n"/>
      <c r="AK660" s="33" t="n"/>
      <c r="AL660" s="27" t="n"/>
      <c r="AM660" s="34" t="n"/>
      <c r="AN660" s="35">
        <f>IF(AF660="","",IF(AI660="Yes","❌ Disc",IF(AH660="No","⚠ Missing",IF(AK660="Yes","✓ OK","⚠ Check"))))</f>
        <v/>
      </c>
      <c r="AO660" s="36" t="n"/>
      <c r="AP660" s="36" t="n"/>
      <c r="AQ660" s="36" t="n"/>
      <c r="AR660" s="36" t="n"/>
      <c r="AS660" s="36" t="n"/>
      <c r="AT660" s="36" t="n"/>
      <c r="AU660" s="27" t="n"/>
      <c r="AV660" s="37" t="n"/>
      <c r="AW660" s="38">
        <f>IF(AO660="","",IF(AR660="Yes","❌ Disc",IF(AQ660="No","⚠ Missing",IF(AT660="Yes","✓ OK","⚠ Check"))))</f>
        <v/>
      </c>
    </row>
    <row r="661" ht="18" customHeight="1" s="46">
      <c r="A661" s="23" t="n">
        <v>657</v>
      </c>
      <c r="B661" s="24" t="inlineStr">
        <is>
          <t>WP LNCCN1197428</t>
        </is>
      </c>
      <c r="C661" s="25" t="inlineStr">
        <is>
          <t>Life n Colors - Bonfire Jungle Animals Wallpaper  -  Canvas - a texture paper</t>
        </is>
      </c>
      <c r="D661" s="23" t="inlineStr">
        <is>
          <t>Life n Colors</t>
        </is>
      </c>
      <c r="E661" s="43" t="n">
        <v>46126</v>
      </c>
      <c r="F661" s="26" t="inlineStr">
        <is>
          <t>Sunil CR</t>
        </is>
      </c>
      <c r="G661" s="26" t="inlineStr">
        <is>
          <t>Yes</t>
        </is>
      </c>
      <c r="H661" s="26" t="inlineStr">
        <is>
          <t>No</t>
        </is>
      </c>
      <c r="I661" s="26" t="inlineStr">
        <is>
          <t>Good finish</t>
        </is>
      </c>
      <c r="J661" s="26" t="inlineStr">
        <is>
          <t>Yes</t>
        </is>
      </c>
      <c r="K661" s="27" t="n"/>
      <c r="L661" s="28" t="inlineStr">
        <is>
          <t>No</t>
        </is>
      </c>
      <c r="M661" s="29">
        <f>IF(E661="","",IF(H661="Yes","❌ Disc",IF(G661="No","⚠ Missing",IF(J661="Yes","✓ OK","⚠ Check"))))</f>
        <v/>
      </c>
      <c r="N661" s="43" t="n">
        <v>46193</v>
      </c>
      <c r="O661" s="26" t="inlineStr">
        <is>
          <t>Sunil CR</t>
        </is>
      </c>
      <c r="P661" s="26" t="inlineStr">
        <is>
          <t>Yes</t>
        </is>
      </c>
      <c r="Q661" s="26" t="inlineStr">
        <is>
          <t>No</t>
        </is>
      </c>
      <c r="R661" s="26" t="inlineStr">
        <is>
          <t>Good finish</t>
        </is>
      </c>
      <c r="S661" s="26" t="inlineStr">
        <is>
          <t>Yes</t>
        </is>
      </c>
      <c r="T661" s="27" t="n"/>
      <c r="U661" s="28" t="inlineStr">
        <is>
          <t>No</t>
        </is>
      </c>
      <c r="V661" s="29">
        <f>IF(N661="","",IF(Q661="Yes","❌ Disc",IF(P661="No","⚠ Missing",IF(S661="Yes","✓ OK","⚠ Check"))))</f>
        <v/>
      </c>
      <c r="W661" s="65" t="n">
        <v>46248</v>
      </c>
      <c r="X661" s="30" t="inlineStr">
        <is>
          <t>Sunil CR</t>
        </is>
      </c>
      <c r="Y661" s="30" t="inlineStr">
        <is>
          <t>Yes</t>
        </is>
      </c>
      <c r="Z661" s="30" t="n"/>
      <c r="AA661" s="30" t="inlineStr">
        <is>
          <t>Good finish</t>
        </is>
      </c>
      <c r="AB661" s="30" t="inlineStr">
        <is>
          <t>Yes</t>
        </is>
      </c>
      <c r="AC661" s="27" t="n"/>
      <c r="AD661" s="31" t="inlineStr">
        <is>
          <t>No</t>
        </is>
      </c>
      <c r="AE661" s="32">
        <f>IF(W661="","",IF(Z661="Yes","❌ Disc",IF(Y661="No","⚠ Missing",IF(AB661="Yes","✓ OK","⚠ Check"))))</f>
        <v/>
      </c>
      <c r="AF661" s="33" t="n"/>
      <c r="AG661" s="33" t="n"/>
      <c r="AH661" s="33" t="n"/>
      <c r="AI661" s="33" t="n"/>
      <c r="AJ661" s="33" t="n"/>
      <c r="AK661" s="33" t="n"/>
      <c r="AL661" s="27" t="n"/>
      <c r="AM661" s="34" t="n"/>
      <c r="AN661" s="35">
        <f>IF(AF661="","",IF(AI661="Yes","❌ Disc",IF(AH661="No","⚠ Missing",IF(AK661="Yes","✓ OK","⚠ Check"))))</f>
        <v/>
      </c>
      <c r="AO661" s="36" t="n"/>
      <c r="AP661" s="36" t="n"/>
      <c r="AQ661" s="36" t="n"/>
      <c r="AR661" s="36" t="n"/>
      <c r="AS661" s="36" t="n"/>
      <c r="AT661" s="36" t="n"/>
      <c r="AU661" s="27" t="n"/>
      <c r="AV661" s="37" t="n"/>
      <c r="AW661" s="38">
        <f>IF(AO661="","",IF(AR661="Yes","❌ Disc",IF(AQ661="No","⚠ Missing",IF(AT661="Yes","✓ OK","⚠ Check"))))</f>
        <v/>
      </c>
    </row>
    <row r="662" ht="18" customHeight="1" s="46">
      <c r="A662" s="39" t="n">
        <v>658</v>
      </c>
      <c r="B662" s="40" t="inlineStr">
        <is>
          <t>WP LNCSF1197428</t>
        </is>
      </c>
      <c r="C662" s="41" t="inlineStr">
        <is>
          <t>Life n Colors - Bonfire Jungle Animals Wallpaper  - Non-woven - a soft feel paper</t>
        </is>
      </c>
      <c r="D662" s="39" t="inlineStr">
        <is>
          <t>Life n Colors</t>
        </is>
      </c>
      <c r="E662" s="43" t="n">
        <v>46126</v>
      </c>
      <c r="F662" s="26" t="inlineStr">
        <is>
          <t>Sunil CR</t>
        </is>
      </c>
      <c r="G662" s="26" t="inlineStr">
        <is>
          <t>Yes</t>
        </is>
      </c>
      <c r="H662" s="26" t="inlineStr">
        <is>
          <t>No</t>
        </is>
      </c>
      <c r="I662" s="26" t="inlineStr">
        <is>
          <t>Good finish</t>
        </is>
      </c>
      <c r="J662" s="26" t="inlineStr">
        <is>
          <t>Yes</t>
        </is>
      </c>
      <c r="K662" s="27" t="n"/>
      <c r="L662" s="28" t="inlineStr">
        <is>
          <t>No</t>
        </is>
      </c>
      <c r="M662" s="29">
        <f>IF(E662="","",IF(H662="Yes","❌ Disc",IF(G662="No","⚠ Missing",IF(J662="Yes","✓ OK","⚠ Check"))))</f>
        <v/>
      </c>
      <c r="N662" s="43" t="n">
        <v>46193</v>
      </c>
      <c r="O662" s="26" t="inlineStr">
        <is>
          <t>Sunil CR</t>
        </is>
      </c>
      <c r="P662" s="26" t="inlineStr">
        <is>
          <t>Yes</t>
        </is>
      </c>
      <c r="Q662" s="26" t="inlineStr">
        <is>
          <t>No</t>
        </is>
      </c>
      <c r="R662" s="26" t="inlineStr">
        <is>
          <t>Good finish</t>
        </is>
      </c>
      <c r="S662" s="26" t="inlineStr">
        <is>
          <t>Yes</t>
        </is>
      </c>
      <c r="T662" s="27" t="n"/>
      <c r="U662" s="28" t="inlineStr">
        <is>
          <t>No</t>
        </is>
      </c>
      <c r="V662" s="29">
        <f>IF(N662="","",IF(Q662="Yes","❌ Disc",IF(P662="No","⚠ Missing",IF(S662="Yes","✓ OK","⚠ Check"))))</f>
        <v/>
      </c>
      <c r="W662" s="65" t="n">
        <v>46248</v>
      </c>
      <c r="X662" s="30" t="inlineStr">
        <is>
          <t>Sunil CR</t>
        </is>
      </c>
      <c r="Y662" s="30" t="inlineStr">
        <is>
          <t>Yes</t>
        </is>
      </c>
      <c r="Z662" s="30" t="n"/>
      <c r="AA662" s="30" t="inlineStr">
        <is>
          <t>Good finish</t>
        </is>
      </c>
      <c r="AB662" s="30" t="inlineStr">
        <is>
          <t>Yes</t>
        </is>
      </c>
      <c r="AC662" s="27" t="n"/>
      <c r="AD662" s="31" t="inlineStr">
        <is>
          <t>No</t>
        </is>
      </c>
      <c r="AE662" s="32">
        <f>IF(W662="","",IF(Z662="Yes","❌ Disc",IF(Y662="No","⚠ Missing",IF(AB662="Yes","✓ OK","⚠ Check"))))</f>
        <v/>
      </c>
      <c r="AF662" s="33" t="n"/>
      <c r="AG662" s="33" t="n"/>
      <c r="AH662" s="33" t="n"/>
      <c r="AI662" s="33" t="n"/>
      <c r="AJ662" s="33" t="n"/>
      <c r="AK662" s="33" t="n"/>
      <c r="AL662" s="27" t="n"/>
      <c r="AM662" s="34" t="n"/>
      <c r="AN662" s="35">
        <f>IF(AF662="","",IF(AI662="Yes","❌ Disc",IF(AH662="No","⚠ Missing",IF(AK662="Yes","✓ OK","⚠ Check"))))</f>
        <v/>
      </c>
      <c r="AO662" s="36" t="n"/>
      <c r="AP662" s="36" t="n"/>
      <c r="AQ662" s="36" t="n"/>
      <c r="AR662" s="36" t="n"/>
      <c r="AS662" s="36" t="n"/>
      <c r="AT662" s="36" t="n"/>
      <c r="AU662" s="27" t="n"/>
      <c r="AV662" s="37" t="n"/>
      <c r="AW662" s="38">
        <f>IF(AO662="","",IF(AR662="Yes","❌ Disc",IF(AQ662="No","⚠ Missing",IF(AT662="Yes","✓ OK","⚠ Check"))))</f>
        <v/>
      </c>
    </row>
    <row r="663" ht="18" customHeight="1" s="46">
      <c r="A663" s="23" t="n">
        <v>659</v>
      </c>
      <c r="B663" s="24" t="inlineStr">
        <is>
          <t>WP LNCCN301023</t>
        </is>
      </c>
      <c r="C663" s="25" t="inlineStr">
        <is>
          <t>Life n Colors - Brasil, A Fascinating Colorful Tropical Wallpaper  -  Canvas - a texture paper</t>
        </is>
      </c>
      <c r="D663" s="23" t="inlineStr">
        <is>
          <t>Life n Colors</t>
        </is>
      </c>
      <c r="E663" s="43" t="n">
        <v>46126</v>
      </c>
      <c r="F663" s="26" t="inlineStr">
        <is>
          <t>Sunil CR</t>
        </is>
      </c>
      <c r="G663" s="26" t="inlineStr">
        <is>
          <t>Yes</t>
        </is>
      </c>
      <c r="H663" s="26" t="inlineStr">
        <is>
          <t>No</t>
        </is>
      </c>
      <c r="I663" s="26" t="inlineStr">
        <is>
          <t>Good finish</t>
        </is>
      </c>
      <c r="J663" s="26" t="inlineStr">
        <is>
          <t>Yes</t>
        </is>
      </c>
      <c r="K663" s="27" t="n"/>
      <c r="L663" s="28" t="inlineStr">
        <is>
          <t>No</t>
        </is>
      </c>
      <c r="M663" s="29">
        <f>IF(E663="","",IF(H663="Yes","❌ Disc",IF(G663="No","⚠ Missing",IF(J663="Yes","✓ OK","⚠ Check"))))</f>
        <v/>
      </c>
      <c r="N663" s="43" t="n">
        <v>46193</v>
      </c>
      <c r="O663" s="26" t="inlineStr">
        <is>
          <t>Sunil CR</t>
        </is>
      </c>
      <c r="P663" s="26" t="inlineStr">
        <is>
          <t>Yes</t>
        </is>
      </c>
      <c r="Q663" s="26" t="inlineStr">
        <is>
          <t>No</t>
        </is>
      </c>
      <c r="R663" s="26" t="inlineStr">
        <is>
          <t>Good finish</t>
        </is>
      </c>
      <c r="S663" s="26" t="inlineStr">
        <is>
          <t>Yes</t>
        </is>
      </c>
      <c r="T663" s="27" t="n"/>
      <c r="U663" s="28" t="inlineStr">
        <is>
          <t>No</t>
        </is>
      </c>
      <c r="V663" s="29">
        <f>IF(N663="","",IF(Q663="Yes","❌ Disc",IF(P663="No","⚠ Missing",IF(S663="Yes","✓ OK","⚠ Check"))))</f>
        <v/>
      </c>
      <c r="W663" s="65" t="n">
        <v>46248</v>
      </c>
      <c r="X663" s="30" t="inlineStr">
        <is>
          <t>Sunil CR</t>
        </is>
      </c>
      <c r="Y663" s="30" t="inlineStr">
        <is>
          <t>Yes</t>
        </is>
      </c>
      <c r="Z663" s="30" t="n"/>
      <c r="AA663" s="30" t="inlineStr">
        <is>
          <t>Good finish</t>
        </is>
      </c>
      <c r="AB663" s="30" t="inlineStr">
        <is>
          <t>Yes</t>
        </is>
      </c>
      <c r="AC663" s="27" t="n"/>
      <c r="AD663" s="31" t="inlineStr">
        <is>
          <t>No</t>
        </is>
      </c>
      <c r="AE663" s="32">
        <f>IF(W663="","",IF(Z663="Yes","❌ Disc",IF(Y663="No","⚠ Missing",IF(AB663="Yes","✓ OK","⚠ Check"))))</f>
        <v/>
      </c>
      <c r="AF663" s="33" t="n"/>
      <c r="AG663" s="33" t="n"/>
      <c r="AH663" s="33" t="n"/>
      <c r="AI663" s="33" t="n"/>
      <c r="AJ663" s="33" t="n"/>
      <c r="AK663" s="33" t="n"/>
      <c r="AL663" s="27" t="n"/>
      <c r="AM663" s="34" t="n"/>
      <c r="AN663" s="35">
        <f>IF(AF663="","",IF(AI663="Yes","❌ Disc",IF(AH663="No","⚠ Missing",IF(AK663="Yes","✓ OK","⚠ Check"))))</f>
        <v/>
      </c>
      <c r="AO663" s="36" t="n"/>
      <c r="AP663" s="36" t="n"/>
      <c r="AQ663" s="36" t="n"/>
      <c r="AR663" s="36" t="n"/>
      <c r="AS663" s="36" t="n"/>
      <c r="AT663" s="36" t="n"/>
      <c r="AU663" s="27" t="n"/>
      <c r="AV663" s="37" t="n"/>
      <c r="AW663" s="38">
        <f>IF(AO663="","",IF(AR663="Yes","❌ Disc",IF(AQ663="No","⚠ Missing",IF(AT663="Yes","✓ OK","⚠ Check"))))</f>
        <v/>
      </c>
    </row>
    <row r="664" ht="18" customHeight="1" s="46">
      <c r="A664" s="39" t="n">
        <v>660</v>
      </c>
      <c r="B664" s="40" t="inlineStr">
        <is>
          <t>WP LNCCN1195866</t>
        </is>
      </c>
      <c r="C664" s="41" t="inlineStr">
        <is>
          <t>Life n Colors - Charm, Nature Theme Based Tropical Wallpaper  -  Canvas - a texture paper</t>
        </is>
      </c>
      <c r="D664" s="39" t="inlineStr">
        <is>
          <t>Life n Colors</t>
        </is>
      </c>
      <c r="E664" s="43" t="n">
        <v>46126</v>
      </c>
      <c r="F664" s="26" t="inlineStr">
        <is>
          <t>Sunil CR</t>
        </is>
      </c>
      <c r="G664" s="26" t="inlineStr">
        <is>
          <t>Yes</t>
        </is>
      </c>
      <c r="H664" s="26" t="inlineStr">
        <is>
          <t>No</t>
        </is>
      </c>
      <c r="I664" s="26" t="inlineStr">
        <is>
          <t>Good finish</t>
        </is>
      </c>
      <c r="J664" s="26" t="inlineStr">
        <is>
          <t>Yes</t>
        </is>
      </c>
      <c r="K664" s="27" t="n"/>
      <c r="L664" s="28" t="inlineStr">
        <is>
          <t>No</t>
        </is>
      </c>
      <c r="M664" s="29">
        <f>IF(E664="","",IF(H664="Yes","❌ Disc",IF(G664="No","⚠ Missing",IF(J664="Yes","✓ OK","⚠ Check"))))</f>
        <v/>
      </c>
      <c r="N664" s="43" t="n">
        <v>46193</v>
      </c>
      <c r="O664" s="26" t="inlineStr">
        <is>
          <t>Sunil CR</t>
        </is>
      </c>
      <c r="P664" s="26" t="inlineStr">
        <is>
          <t>Yes</t>
        </is>
      </c>
      <c r="Q664" s="26" t="inlineStr">
        <is>
          <t>No</t>
        </is>
      </c>
      <c r="R664" s="26" t="inlineStr">
        <is>
          <t>Good finish</t>
        </is>
      </c>
      <c r="S664" s="26" t="inlineStr">
        <is>
          <t>Yes</t>
        </is>
      </c>
      <c r="T664" s="27" t="n"/>
      <c r="U664" s="28" t="inlineStr">
        <is>
          <t>No</t>
        </is>
      </c>
      <c r="V664" s="29">
        <f>IF(N664="","",IF(Q664="Yes","❌ Disc",IF(P664="No","⚠ Missing",IF(S664="Yes","✓ OK","⚠ Check"))))</f>
        <v/>
      </c>
      <c r="W664" s="65" t="n">
        <v>46248</v>
      </c>
      <c r="X664" s="30" t="inlineStr">
        <is>
          <t>Sunil CR</t>
        </is>
      </c>
      <c r="Y664" s="30" t="inlineStr">
        <is>
          <t>Yes</t>
        </is>
      </c>
      <c r="Z664" s="30" t="n"/>
      <c r="AA664" s="30" t="inlineStr">
        <is>
          <t>Good finish</t>
        </is>
      </c>
      <c r="AB664" s="30" t="inlineStr">
        <is>
          <t>Yes</t>
        </is>
      </c>
      <c r="AC664" s="27" t="n"/>
      <c r="AD664" s="31" t="inlineStr">
        <is>
          <t>No</t>
        </is>
      </c>
      <c r="AE664" s="32">
        <f>IF(W664="","",IF(Z664="Yes","❌ Disc",IF(Y664="No","⚠ Missing",IF(AB664="Yes","✓ OK","⚠ Check"))))</f>
        <v/>
      </c>
      <c r="AF664" s="33" t="n"/>
      <c r="AG664" s="33" t="n"/>
      <c r="AH664" s="33" t="n"/>
      <c r="AI664" s="33" t="n"/>
      <c r="AJ664" s="33" t="n"/>
      <c r="AK664" s="33" t="n"/>
      <c r="AL664" s="27" t="n"/>
      <c r="AM664" s="34" t="n"/>
      <c r="AN664" s="35">
        <f>IF(AF664="","",IF(AI664="Yes","❌ Disc",IF(AH664="No","⚠ Missing",IF(AK664="Yes","✓ OK","⚠ Check"))))</f>
        <v/>
      </c>
      <c r="AO664" s="36" t="n"/>
      <c r="AP664" s="36" t="n"/>
      <c r="AQ664" s="36" t="n"/>
      <c r="AR664" s="36" t="n"/>
      <c r="AS664" s="36" t="n"/>
      <c r="AT664" s="36" t="n"/>
      <c r="AU664" s="27" t="n"/>
      <c r="AV664" s="37" t="n"/>
      <c r="AW664" s="38">
        <f>IF(AO664="","",IF(AR664="Yes","❌ Disc",IF(AQ664="No","⚠ Missing",IF(AT664="Yes","✓ OK","⚠ Check"))))</f>
        <v/>
      </c>
    </row>
    <row r="665" ht="18" customHeight="1" s="46">
      <c r="A665" s="23" t="n">
        <v>661</v>
      </c>
      <c r="B665" s="24" t="inlineStr">
        <is>
          <t>WP LNCSF1195866</t>
        </is>
      </c>
      <c r="C665" s="25" t="inlineStr">
        <is>
          <t>Life n Colors - Charm, Nature Theme Based Tropical Wallpaper  - Non-woven - a soft feel paper</t>
        </is>
      </c>
      <c r="D665" s="23" t="inlineStr">
        <is>
          <t>Life n Colors</t>
        </is>
      </c>
      <c r="E665" s="43" t="n">
        <v>46126</v>
      </c>
      <c r="F665" s="26" t="inlineStr">
        <is>
          <t>Sunil CR</t>
        </is>
      </c>
      <c r="G665" s="26" t="inlineStr">
        <is>
          <t>Yes</t>
        </is>
      </c>
      <c r="H665" s="26" t="inlineStr">
        <is>
          <t>No</t>
        </is>
      </c>
      <c r="I665" s="26" t="inlineStr">
        <is>
          <t>Good finish</t>
        </is>
      </c>
      <c r="J665" s="26" t="inlineStr">
        <is>
          <t>Yes</t>
        </is>
      </c>
      <c r="K665" s="27" t="n"/>
      <c r="L665" s="28" t="inlineStr">
        <is>
          <t>No</t>
        </is>
      </c>
      <c r="M665" s="29">
        <f>IF(E665="","",IF(H665="Yes","❌ Disc",IF(G665="No","⚠ Missing",IF(J665="Yes","✓ OK","⚠ Check"))))</f>
        <v/>
      </c>
      <c r="N665" s="43" t="n">
        <v>46193</v>
      </c>
      <c r="O665" s="26" t="inlineStr">
        <is>
          <t>Sunil CR</t>
        </is>
      </c>
      <c r="P665" s="26" t="inlineStr">
        <is>
          <t>Yes</t>
        </is>
      </c>
      <c r="Q665" s="26" t="inlineStr">
        <is>
          <t>No</t>
        </is>
      </c>
      <c r="R665" s="26" t="inlineStr">
        <is>
          <t>Good finish</t>
        </is>
      </c>
      <c r="S665" s="26" t="inlineStr">
        <is>
          <t>Yes</t>
        </is>
      </c>
      <c r="T665" s="27" t="n"/>
      <c r="U665" s="28" t="inlineStr">
        <is>
          <t>No</t>
        </is>
      </c>
      <c r="V665" s="29">
        <f>IF(N665="","",IF(Q665="Yes","❌ Disc",IF(P665="No","⚠ Missing",IF(S665="Yes","✓ OK","⚠ Check"))))</f>
        <v/>
      </c>
      <c r="W665" s="65" t="n">
        <v>46248</v>
      </c>
      <c r="X665" s="30" t="inlineStr">
        <is>
          <t>Sunil CR</t>
        </is>
      </c>
      <c r="Y665" s="30" t="inlineStr">
        <is>
          <t>Yes</t>
        </is>
      </c>
      <c r="Z665" s="30" t="n"/>
      <c r="AA665" s="30" t="inlineStr">
        <is>
          <t>Good finish</t>
        </is>
      </c>
      <c r="AB665" s="30" t="inlineStr">
        <is>
          <t>Yes</t>
        </is>
      </c>
      <c r="AC665" s="27" t="n"/>
      <c r="AD665" s="31" t="inlineStr">
        <is>
          <t>No</t>
        </is>
      </c>
      <c r="AE665" s="32">
        <f>IF(W665="","",IF(Z665="Yes","❌ Disc",IF(Y665="No","⚠ Missing",IF(AB665="Yes","✓ OK","⚠ Check"))))</f>
        <v/>
      </c>
      <c r="AF665" s="33" t="n"/>
      <c r="AG665" s="33" t="n"/>
      <c r="AH665" s="33" t="n"/>
      <c r="AI665" s="33" t="n"/>
      <c r="AJ665" s="33" t="n"/>
      <c r="AK665" s="33" t="n"/>
      <c r="AL665" s="27" t="n"/>
      <c r="AM665" s="34" t="n"/>
      <c r="AN665" s="35">
        <f>IF(AF665="","",IF(AI665="Yes","❌ Disc",IF(AH665="No","⚠ Missing",IF(AK665="Yes","✓ OK","⚠ Check"))))</f>
        <v/>
      </c>
      <c r="AO665" s="36" t="n"/>
      <c r="AP665" s="36" t="n"/>
      <c r="AQ665" s="36" t="n"/>
      <c r="AR665" s="36" t="n"/>
      <c r="AS665" s="36" t="n"/>
      <c r="AT665" s="36" t="n"/>
      <c r="AU665" s="27" t="n"/>
      <c r="AV665" s="37" t="n"/>
      <c r="AW665" s="38">
        <f>IF(AO665="","",IF(AR665="Yes","❌ Disc",IF(AQ665="No","⚠ Missing",IF(AT665="Yes","✓ OK","⚠ Check"))))</f>
        <v/>
      </c>
    </row>
    <row r="666" ht="18" customHeight="1" s="46">
      <c r="A666" s="39" t="n">
        <v>662</v>
      </c>
      <c r="B666" s="40" t="inlineStr">
        <is>
          <t>WP LNCCN1167126</t>
        </is>
      </c>
      <c r="C666" s="41" t="inlineStr">
        <is>
          <t>Life n Colors - Chevron Pattern Wallpaper for Walls  -  Canvas - a texture paper</t>
        </is>
      </c>
      <c r="D666" s="39" t="inlineStr">
        <is>
          <t>Life n Colors</t>
        </is>
      </c>
      <c r="E666" s="43" t="n">
        <v>46126</v>
      </c>
      <c r="F666" s="26" t="inlineStr">
        <is>
          <t>Sunil CR</t>
        </is>
      </c>
      <c r="G666" s="26" t="inlineStr">
        <is>
          <t>Yes</t>
        </is>
      </c>
      <c r="H666" s="26" t="inlineStr">
        <is>
          <t>No</t>
        </is>
      </c>
      <c r="I666" s="26" t="inlineStr">
        <is>
          <t>Good finish</t>
        </is>
      </c>
      <c r="J666" s="26" t="inlineStr">
        <is>
          <t>Yes</t>
        </is>
      </c>
      <c r="K666" s="27" t="n"/>
      <c r="L666" s="28" t="inlineStr">
        <is>
          <t>No</t>
        </is>
      </c>
      <c r="M666" s="29">
        <f>IF(E666="","",IF(H666="Yes","❌ Disc",IF(G666="No","⚠ Missing",IF(J666="Yes","✓ OK","⚠ Check"))))</f>
        <v/>
      </c>
      <c r="N666" s="43" t="n">
        <v>46193</v>
      </c>
      <c r="O666" s="26" t="inlineStr">
        <is>
          <t>Sunil CR</t>
        </is>
      </c>
      <c r="P666" s="26" t="inlineStr">
        <is>
          <t>Yes</t>
        </is>
      </c>
      <c r="Q666" s="26" t="inlineStr">
        <is>
          <t>No</t>
        </is>
      </c>
      <c r="R666" s="26" t="inlineStr">
        <is>
          <t>Good finish</t>
        </is>
      </c>
      <c r="S666" s="26" t="inlineStr">
        <is>
          <t>Yes</t>
        </is>
      </c>
      <c r="T666" s="27" t="n"/>
      <c r="U666" s="28" t="inlineStr">
        <is>
          <t>No</t>
        </is>
      </c>
      <c r="V666" s="29">
        <f>IF(N666="","",IF(Q666="Yes","❌ Disc",IF(P666="No","⚠ Missing",IF(S666="Yes","✓ OK","⚠ Check"))))</f>
        <v/>
      </c>
      <c r="W666" s="65" t="n">
        <v>46248</v>
      </c>
      <c r="X666" s="30" t="inlineStr">
        <is>
          <t>Sunil CR</t>
        </is>
      </c>
      <c r="Y666" s="30" t="inlineStr">
        <is>
          <t>Yes</t>
        </is>
      </c>
      <c r="Z666" s="30" t="n"/>
      <c r="AA666" s="30" t="inlineStr">
        <is>
          <t>Good finish</t>
        </is>
      </c>
      <c r="AB666" s="30" t="inlineStr">
        <is>
          <t>Yes</t>
        </is>
      </c>
      <c r="AC666" s="27" t="n"/>
      <c r="AD666" s="31" t="inlineStr">
        <is>
          <t>No</t>
        </is>
      </c>
      <c r="AE666" s="32">
        <f>IF(W666="","",IF(Z666="Yes","❌ Disc",IF(Y666="No","⚠ Missing",IF(AB666="Yes","✓ OK","⚠ Check"))))</f>
        <v/>
      </c>
      <c r="AF666" s="33" t="n"/>
      <c r="AG666" s="33" t="n"/>
      <c r="AH666" s="33" t="n"/>
      <c r="AI666" s="33" t="n"/>
      <c r="AJ666" s="33" t="n"/>
      <c r="AK666" s="33" t="n"/>
      <c r="AL666" s="27" t="n"/>
      <c r="AM666" s="34" t="n"/>
      <c r="AN666" s="35">
        <f>IF(AF666="","",IF(AI666="Yes","❌ Disc",IF(AH666="No","⚠ Missing",IF(AK666="Yes","✓ OK","⚠ Check"))))</f>
        <v/>
      </c>
      <c r="AO666" s="36" t="n"/>
      <c r="AP666" s="36" t="n"/>
      <c r="AQ666" s="36" t="n"/>
      <c r="AR666" s="36" t="n"/>
      <c r="AS666" s="36" t="n"/>
      <c r="AT666" s="36" t="n"/>
      <c r="AU666" s="27" t="n"/>
      <c r="AV666" s="37" t="n"/>
      <c r="AW666" s="38">
        <f>IF(AO666="","",IF(AR666="Yes","❌ Disc",IF(AQ666="No","⚠ Missing",IF(AT666="Yes","✓ OK","⚠ Check"))))</f>
        <v/>
      </c>
    </row>
    <row r="667" ht="18" customHeight="1" s="46">
      <c r="A667" s="23" t="n">
        <v>663</v>
      </c>
      <c r="B667" s="24" t="inlineStr">
        <is>
          <t>WP LNCSF1167126</t>
        </is>
      </c>
      <c r="C667" s="25" t="inlineStr">
        <is>
          <t>Life n Colors - Chevron Pattern Wallpaper for Walls  - Non-woven - a soft feel paper</t>
        </is>
      </c>
      <c r="D667" s="23" t="inlineStr">
        <is>
          <t>Life n Colors</t>
        </is>
      </c>
      <c r="E667" s="43" t="n">
        <v>46126</v>
      </c>
      <c r="F667" s="26" t="inlineStr">
        <is>
          <t>Sunil CR</t>
        </is>
      </c>
      <c r="G667" s="26" t="inlineStr">
        <is>
          <t>Yes</t>
        </is>
      </c>
      <c r="H667" s="26" t="inlineStr">
        <is>
          <t>No</t>
        </is>
      </c>
      <c r="I667" s="26" t="inlineStr">
        <is>
          <t>Good finish</t>
        </is>
      </c>
      <c r="J667" s="26" t="inlineStr">
        <is>
          <t>Yes</t>
        </is>
      </c>
      <c r="K667" s="27" t="n"/>
      <c r="L667" s="28" t="inlineStr">
        <is>
          <t>No</t>
        </is>
      </c>
      <c r="M667" s="29">
        <f>IF(E667="","",IF(H667="Yes","❌ Disc",IF(G667="No","⚠ Missing",IF(J667="Yes","✓ OK","⚠ Check"))))</f>
        <v/>
      </c>
      <c r="N667" s="43" t="n">
        <v>46193</v>
      </c>
      <c r="O667" s="26" t="inlineStr">
        <is>
          <t>Sunil CR</t>
        </is>
      </c>
      <c r="P667" s="26" t="inlineStr">
        <is>
          <t>Yes</t>
        </is>
      </c>
      <c r="Q667" s="26" t="inlineStr">
        <is>
          <t>No</t>
        </is>
      </c>
      <c r="R667" s="26" t="inlineStr">
        <is>
          <t>Good finish</t>
        </is>
      </c>
      <c r="S667" s="26" t="inlineStr">
        <is>
          <t>Yes</t>
        </is>
      </c>
      <c r="T667" s="27" t="n"/>
      <c r="U667" s="28" t="inlineStr">
        <is>
          <t>No</t>
        </is>
      </c>
      <c r="V667" s="29">
        <f>IF(N667="","",IF(Q667="Yes","❌ Disc",IF(P667="No","⚠ Missing",IF(S667="Yes","✓ OK","⚠ Check"))))</f>
        <v/>
      </c>
      <c r="W667" s="65" t="n">
        <v>46248</v>
      </c>
      <c r="X667" s="30" t="inlineStr">
        <is>
          <t>Sunil CR</t>
        </is>
      </c>
      <c r="Y667" s="30" t="inlineStr">
        <is>
          <t>Yes</t>
        </is>
      </c>
      <c r="Z667" s="30" t="n"/>
      <c r="AA667" s="30" t="inlineStr">
        <is>
          <t>Good finish</t>
        </is>
      </c>
      <c r="AB667" s="30" t="inlineStr">
        <is>
          <t>Yes</t>
        </is>
      </c>
      <c r="AC667" s="27" t="n"/>
      <c r="AD667" s="31" t="inlineStr">
        <is>
          <t>No</t>
        </is>
      </c>
      <c r="AE667" s="32">
        <f>IF(W667="","",IF(Z667="Yes","❌ Disc",IF(Y667="No","⚠ Missing",IF(AB667="Yes","✓ OK","⚠ Check"))))</f>
        <v/>
      </c>
      <c r="AF667" s="33" t="n"/>
      <c r="AG667" s="33" t="n"/>
      <c r="AH667" s="33" t="n"/>
      <c r="AI667" s="33" t="n"/>
      <c r="AJ667" s="33" t="n"/>
      <c r="AK667" s="33" t="n"/>
      <c r="AL667" s="27" t="n"/>
      <c r="AM667" s="34" t="n"/>
      <c r="AN667" s="35">
        <f>IF(AF667="","",IF(AI667="Yes","❌ Disc",IF(AH667="No","⚠ Missing",IF(AK667="Yes","✓ OK","⚠ Check"))))</f>
        <v/>
      </c>
      <c r="AO667" s="36" t="n"/>
      <c r="AP667" s="36" t="n"/>
      <c r="AQ667" s="36" t="n"/>
      <c r="AR667" s="36" t="n"/>
      <c r="AS667" s="36" t="n"/>
      <c r="AT667" s="36" t="n"/>
      <c r="AU667" s="27" t="n"/>
      <c r="AV667" s="37" t="n"/>
      <c r="AW667" s="38">
        <f>IF(AO667="","",IF(AR667="Yes","❌ Disc",IF(AQ667="No","⚠ Missing",IF(AT667="Yes","✓ OK","⚠ Check"))))</f>
        <v/>
      </c>
    </row>
    <row r="668" ht="18" customHeight="1" s="46">
      <c r="A668" s="39" t="n">
        <v>664</v>
      </c>
      <c r="B668" s="40" t="inlineStr">
        <is>
          <t>WP LNCCN1049430</t>
        </is>
      </c>
      <c r="C668" s="41" t="inlineStr">
        <is>
          <t>Life n Colors - Chinoiserie Lemons, Customised Wallpaper for Walls  -  Canvas - a texture paper</t>
        </is>
      </c>
      <c r="D668" s="39" t="inlineStr">
        <is>
          <t>Life n Colors</t>
        </is>
      </c>
      <c r="E668" s="43" t="n">
        <v>46126</v>
      </c>
      <c r="F668" s="26" t="inlineStr">
        <is>
          <t>Sunil CR</t>
        </is>
      </c>
      <c r="G668" s="26" t="inlineStr">
        <is>
          <t>Yes</t>
        </is>
      </c>
      <c r="H668" s="26" t="inlineStr">
        <is>
          <t>No</t>
        </is>
      </c>
      <c r="I668" s="26" t="inlineStr">
        <is>
          <t>Good finish</t>
        </is>
      </c>
      <c r="J668" s="26" t="inlineStr">
        <is>
          <t>Yes</t>
        </is>
      </c>
      <c r="K668" s="27" t="n"/>
      <c r="L668" s="28" t="inlineStr">
        <is>
          <t>No</t>
        </is>
      </c>
      <c r="M668" s="29">
        <f>IF(E668="","",IF(H668="Yes","❌ Disc",IF(G668="No","⚠ Missing",IF(J668="Yes","✓ OK","⚠ Check"))))</f>
        <v/>
      </c>
      <c r="N668" s="43" t="n">
        <v>46193</v>
      </c>
      <c r="O668" s="26" t="inlineStr">
        <is>
          <t>Sunil CR</t>
        </is>
      </c>
      <c r="P668" s="26" t="inlineStr">
        <is>
          <t>Yes</t>
        </is>
      </c>
      <c r="Q668" s="26" t="inlineStr">
        <is>
          <t>No</t>
        </is>
      </c>
      <c r="R668" s="26" t="inlineStr">
        <is>
          <t>Good finish</t>
        </is>
      </c>
      <c r="S668" s="26" t="inlineStr">
        <is>
          <t>Yes</t>
        </is>
      </c>
      <c r="T668" s="27" t="n"/>
      <c r="U668" s="28" t="inlineStr">
        <is>
          <t>No</t>
        </is>
      </c>
      <c r="V668" s="29">
        <f>IF(N668="","",IF(Q668="Yes","❌ Disc",IF(P668="No","⚠ Missing",IF(S668="Yes","✓ OK","⚠ Check"))))</f>
        <v/>
      </c>
      <c r="W668" s="65" t="n">
        <v>46248</v>
      </c>
      <c r="X668" s="30" t="inlineStr">
        <is>
          <t>Sunil CR</t>
        </is>
      </c>
      <c r="Y668" s="30" t="inlineStr">
        <is>
          <t>Yes</t>
        </is>
      </c>
      <c r="Z668" s="30" t="n"/>
      <c r="AA668" s="30" t="inlineStr">
        <is>
          <t>Good finish</t>
        </is>
      </c>
      <c r="AB668" s="30" t="inlineStr">
        <is>
          <t>Yes</t>
        </is>
      </c>
      <c r="AC668" s="27" t="n"/>
      <c r="AD668" s="31" t="inlineStr">
        <is>
          <t>No</t>
        </is>
      </c>
      <c r="AE668" s="32">
        <f>IF(W668="","",IF(Z668="Yes","❌ Disc",IF(Y668="No","⚠ Missing",IF(AB668="Yes","✓ OK","⚠ Check"))))</f>
        <v/>
      </c>
      <c r="AF668" s="33" t="n"/>
      <c r="AG668" s="33" t="n"/>
      <c r="AH668" s="33" t="n"/>
      <c r="AI668" s="33" t="n"/>
      <c r="AJ668" s="33" t="n"/>
      <c r="AK668" s="33" t="n"/>
      <c r="AL668" s="27" t="n"/>
      <c r="AM668" s="34" t="n"/>
      <c r="AN668" s="35">
        <f>IF(AF668="","",IF(AI668="Yes","❌ Disc",IF(AH668="No","⚠ Missing",IF(AK668="Yes","✓ OK","⚠ Check"))))</f>
        <v/>
      </c>
      <c r="AO668" s="36" t="n"/>
      <c r="AP668" s="36" t="n"/>
      <c r="AQ668" s="36" t="n"/>
      <c r="AR668" s="36" t="n"/>
      <c r="AS668" s="36" t="n"/>
      <c r="AT668" s="36" t="n"/>
      <c r="AU668" s="27" t="n"/>
      <c r="AV668" s="37" t="n"/>
      <c r="AW668" s="38">
        <f>IF(AO668="","",IF(AR668="Yes","❌ Disc",IF(AQ668="No","⚠ Missing",IF(AT668="Yes","✓ OK","⚠ Check"))))</f>
        <v/>
      </c>
    </row>
    <row r="669" ht="18" customHeight="1" s="46">
      <c r="A669" s="23" t="n">
        <v>665</v>
      </c>
      <c r="B669" s="24" t="inlineStr">
        <is>
          <t>WP LNCSF1049430</t>
        </is>
      </c>
      <c r="C669" s="25" t="inlineStr">
        <is>
          <t>Life n Colors - Chinoiserie Lemons, Customised Wallpaper for Walls  - Non-woven - a soft feel paper</t>
        </is>
      </c>
      <c r="D669" s="23" t="inlineStr">
        <is>
          <t>Life n Colors</t>
        </is>
      </c>
      <c r="E669" s="43" t="n">
        <v>46126</v>
      </c>
      <c r="F669" s="26" t="inlineStr">
        <is>
          <t>Sunil CR</t>
        </is>
      </c>
      <c r="G669" s="26" t="inlineStr">
        <is>
          <t>Yes</t>
        </is>
      </c>
      <c r="H669" s="26" t="inlineStr">
        <is>
          <t>No</t>
        </is>
      </c>
      <c r="I669" s="26" t="inlineStr">
        <is>
          <t>Good finish</t>
        </is>
      </c>
      <c r="J669" s="26" t="inlineStr">
        <is>
          <t>Yes</t>
        </is>
      </c>
      <c r="K669" s="27" t="n"/>
      <c r="L669" s="28" t="inlineStr">
        <is>
          <t>No</t>
        </is>
      </c>
      <c r="M669" s="29">
        <f>IF(E669="","",IF(H669="Yes","❌ Disc",IF(G669="No","⚠ Missing",IF(J669="Yes","✓ OK","⚠ Check"))))</f>
        <v/>
      </c>
      <c r="N669" s="43" t="n">
        <v>46193</v>
      </c>
      <c r="O669" s="26" t="inlineStr">
        <is>
          <t>Sunil CR</t>
        </is>
      </c>
      <c r="P669" s="26" t="inlineStr">
        <is>
          <t>Yes</t>
        </is>
      </c>
      <c r="Q669" s="26" t="inlineStr">
        <is>
          <t>No</t>
        </is>
      </c>
      <c r="R669" s="26" t="inlineStr">
        <is>
          <t>Good finish</t>
        </is>
      </c>
      <c r="S669" s="26" t="inlineStr">
        <is>
          <t>Yes</t>
        </is>
      </c>
      <c r="T669" s="27" t="n"/>
      <c r="U669" s="28" t="inlineStr">
        <is>
          <t>No</t>
        </is>
      </c>
      <c r="V669" s="29">
        <f>IF(N669="","",IF(Q669="Yes","❌ Disc",IF(P669="No","⚠ Missing",IF(S669="Yes","✓ OK","⚠ Check"))))</f>
        <v/>
      </c>
      <c r="W669" s="65" t="n">
        <v>46248</v>
      </c>
      <c r="X669" s="30" t="inlineStr">
        <is>
          <t>Sunil CR</t>
        </is>
      </c>
      <c r="Y669" s="30" t="inlineStr">
        <is>
          <t>Yes</t>
        </is>
      </c>
      <c r="Z669" s="30" t="n"/>
      <c r="AA669" s="30" t="inlineStr">
        <is>
          <t>Good finish</t>
        </is>
      </c>
      <c r="AB669" s="30" t="inlineStr">
        <is>
          <t>Yes</t>
        </is>
      </c>
      <c r="AC669" s="27" t="n"/>
      <c r="AD669" s="31" t="inlineStr">
        <is>
          <t>No</t>
        </is>
      </c>
      <c r="AE669" s="32">
        <f>IF(W669="","",IF(Z669="Yes","❌ Disc",IF(Y669="No","⚠ Missing",IF(AB669="Yes","✓ OK","⚠ Check"))))</f>
        <v/>
      </c>
      <c r="AF669" s="33" t="n"/>
      <c r="AG669" s="33" t="n"/>
      <c r="AH669" s="33" t="n"/>
      <c r="AI669" s="33" t="n"/>
      <c r="AJ669" s="33" t="n"/>
      <c r="AK669" s="33" t="n"/>
      <c r="AL669" s="27" t="n"/>
      <c r="AM669" s="34" t="n"/>
      <c r="AN669" s="35">
        <f>IF(AF669="","",IF(AI669="Yes","❌ Disc",IF(AH669="No","⚠ Missing",IF(AK669="Yes","✓ OK","⚠ Check"))))</f>
        <v/>
      </c>
      <c r="AO669" s="36" t="n"/>
      <c r="AP669" s="36" t="n"/>
      <c r="AQ669" s="36" t="n"/>
      <c r="AR669" s="36" t="n"/>
      <c r="AS669" s="36" t="n"/>
      <c r="AT669" s="36" t="n"/>
      <c r="AU669" s="27" t="n"/>
      <c r="AV669" s="37" t="n"/>
      <c r="AW669" s="38">
        <f>IF(AO669="","",IF(AR669="Yes","❌ Disc",IF(AQ669="No","⚠ Missing",IF(AT669="Yes","✓ OK","⚠ Check"))))</f>
        <v/>
      </c>
    </row>
    <row r="670" ht="18" customHeight="1" s="46">
      <c r="A670" s="39" t="n">
        <v>666</v>
      </c>
      <c r="B670" s="40" t="inlineStr">
        <is>
          <t>WP LNCCN1093246</t>
        </is>
      </c>
      <c r="C670" s="41" t="inlineStr">
        <is>
          <t>Life n Colors - Chinoiserie Pattern Wallpaper for Walls  -  Canvas - a texture paper</t>
        </is>
      </c>
      <c r="D670" s="39" t="inlineStr">
        <is>
          <t>Life n Colors</t>
        </is>
      </c>
      <c r="E670" s="43" t="n">
        <v>46126</v>
      </c>
      <c r="F670" s="26" t="inlineStr">
        <is>
          <t>Sunil CR</t>
        </is>
      </c>
      <c r="G670" s="26" t="inlineStr">
        <is>
          <t>Yes</t>
        </is>
      </c>
      <c r="H670" s="26" t="inlineStr">
        <is>
          <t>No</t>
        </is>
      </c>
      <c r="I670" s="26" t="inlineStr">
        <is>
          <t>Good finish</t>
        </is>
      </c>
      <c r="J670" s="26" t="inlineStr">
        <is>
          <t>Yes</t>
        </is>
      </c>
      <c r="K670" s="27" t="n"/>
      <c r="L670" s="28" t="inlineStr">
        <is>
          <t>No</t>
        </is>
      </c>
      <c r="M670" s="29">
        <f>IF(E670="","",IF(H670="Yes","❌ Disc",IF(G670="No","⚠ Missing",IF(J670="Yes","✓ OK","⚠ Check"))))</f>
        <v/>
      </c>
      <c r="N670" s="43" t="n">
        <v>46193</v>
      </c>
      <c r="O670" s="26" t="inlineStr">
        <is>
          <t>Sunil CR</t>
        </is>
      </c>
      <c r="P670" s="26" t="inlineStr">
        <is>
          <t>Yes</t>
        </is>
      </c>
      <c r="Q670" s="26" t="inlineStr">
        <is>
          <t>No</t>
        </is>
      </c>
      <c r="R670" s="26" t="inlineStr">
        <is>
          <t>Good finish</t>
        </is>
      </c>
      <c r="S670" s="26" t="inlineStr">
        <is>
          <t>Yes</t>
        </is>
      </c>
      <c r="T670" s="27" t="n"/>
      <c r="U670" s="28" t="inlineStr">
        <is>
          <t>No</t>
        </is>
      </c>
      <c r="V670" s="29">
        <f>IF(N670="","",IF(Q670="Yes","❌ Disc",IF(P670="No","⚠ Missing",IF(S670="Yes","✓ OK","⚠ Check"))))</f>
        <v/>
      </c>
      <c r="W670" s="65" t="n">
        <v>46248</v>
      </c>
      <c r="X670" s="30" t="inlineStr">
        <is>
          <t>Sunil CR</t>
        </is>
      </c>
      <c r="Y670" s="30" t="inlineStr">
        <is>
          <t>Yes</t>
        </is>
      </c>
      <c r="Z670" s="30" t="n"/>
      <c r="AA670" s="30" t="inlineStr">
        <is>
          <t>Good finish</t>
        </is>
      </c>
      <c r="AB670" s="30" t="inlineStr">
        <is>
          <t>Yes</t>
        </is>
      </c>
      <c r="AC670" s="27" t="n"/>
      <c r="AD670" s="31" t="inlineStr">
        <is>
          <t>No</t>
        </is>
      </c>
      <c r="AE670" s="32">
        <f>IF(W670="","",IF(Z670="Yes","❌ Disc",IF(Y670="No","⚠ Missing",IF(AB670="Yes","✓ OK","⚠ Check"))))</f>
        <v/>
      </c>
      <c r="AF670" s="33" t="n"/>
      <c r="AG670" s="33" t="n"/>
      <c r="AH670" s="33" t="n"/>
      <c r="AI670" s="33" t="n"/>
      <c r="AJ670" s="33" t="n"/>
      <c r="AK670" s="33" t="n"/>
      <c r="AL670" s="27" t="n"/>
      <c r="AM670" s="34" t="n"/>
      <c r="AN670" s="35">
        <f>IF(AF670="","",IF(AI670="Yes","❌ Disc",IF(AH670="No","⚠ Missing",IF(AK670="Yes","✓ OK","⚠ Check"))))</f>
        <v/>
      </c>
      <c r="AO670" s="36" t="n"/>
      <c r="AP670" s="36" t="n"/>
      <c r="AQ670" s="36" t="n"/>
      <c r="AR670" s="36" t="n"/>
      <c r="AS670" s="36" t="n"/>
      <c r="AT670" s="36" t="n"/>
      <c r="AU670" s="27" t="n"/>
      <c r="AV670" s="37" t="n"/>
      <c r="AW670" s="38">
        <f>IF(AO670="","",IF(AR670="Yes","❌ Disc",IF(AQ670="No","⚠ Missing",IF(AT670="Yes","✓ OK","⚠ Check"))))</f>
        <v/>
      </c>
    </row>
    <row r="671" ht="18" customHeight="1" s="46">
      <c r="A671" s="23" t="n">
        <v>667</v>
      </c>
      <c r="B671" s="24" t="inlineStr">
        <is>
          <t>WP LNCSF1093246</t>
        </is>
      </c>
      <c r="C671" s="25" t="inlineStr">
        <is>
          <t>Life n Colors - Chinoiserie Pattern Wallpaper for Walls  - Non-woven - a soft feel paper</t>
        </is>
      </c>
      <c r="D671" s="23" t="inlineStr">
        <is>
          <t>Life n Colors</t>
        </is>
      </c>
      <c r="E671" s="43" t="n">
        <v>46126</v>
      </c>
      <c r="F671" s="26" t="inlineStr">
        <is>
          <t>Sunil CR</t>
        </is>
      </c>
      <c r="G671" s="26" t="inlineStr">
        <is>
          <t>Yes</t>
        </is>
      </c>
      <c r="H671" s="26" t="inlineStr">
        <is>
          <t>No</t>
        </is>
      </c>
      <c r="I671" s="26" t="inlineStr">
        <is>
          <t>Good finish</t>
        </is>
      </c>
      <c r="J671" s="26" t="inlineStr">
        <is>
          <t>Yes</t>
        </is>
      </c>
      <c r="K671" s="27" t="n"/>
      <c r="L671" s="28" t="inlineStr">
        <is>
          <t>No</t>
        </is>
      </c>
      <c r="M671" s="29">
        <f>IF(E671="","",IF(H671="Yes","❌ Disc",IF(G671="No","⚠ Missing",IF(J671="Yes","✓ OK","⚠ Check"))))</f>
        <v/>
      </c>
      <c r="N671" s="43" t="n">
        <v>46193</v>
      </c>
      <c r="O671" s="26" t="inlineStr">
        <is>
          <t>Sunil CR</t>
        </is>
      </c>
      <c r="P671" s="26" t="inlineStr">
        <is>
          <t>Yes</t>
        </is>
      </c>
      <c r="Q671" s="26" t="inlineStr">
        <is>
          <t>No</t>
        </is>
      </c>
      <c r="R671" s="26" t="inlineStr">
        <is>
          <t>Good finish</t>
        </is>
      </c>
      <c r="S671" s="26" t="inlineStr">
        <is>
          <t>Yes</t>
        </is>
      </c>
      <c r="T671" s="27" t="n"/>
      <c r="U671" s="28" t="inlineStr">
        <is>
          <t>No</t>
        </is>
      </c>
      <c r="V671" s="29">
        <f>IF(N671="","",IF(Q671="Yes","❌ Disc",IF(P671="No","⚠ Missing",IF(S671="Yes","✓ OK","⚠ Check"))))</f>
        <v/>
      </c>
      <c r="W671" s="65" t="n">
        <v>46248</v>
      </c>
      <c r="X671" s="30" t="inlineStr">
        <is>
          <t>Sunil CR</t>
        </is>
      </c>
      <c r="Y671" s="30" t="inlineStr">
        <is>
          <t>Yes</t>
        </is>
      </c>
      <c r="Z671" s="30" t="n"/>
      <c r="AA671" s="30" t="inlineStr">
        <is>
          <t>Good finish</t>
        </is>
      </c>
      <c r="AB671" s="30" t="inlineStr">
        <is>
          <t>Yes</t>
        </is>
      </c>
      <c r="AC671" s="27" t="n"/>
      <c r="AD671" s="31" t="inlineStr">
        <is>
          <t>No</t>
        </is>
      </c>
      <c r="AE671" s="32">
        <f>IF(W671="","",IF(Z671="Yes","❌ Disc",IF(Y671="No","⚠ Missing",IF(AB671="Yes","✓ OK","⚠ Check"))))</f>
        <v/>
      </c>
      <c r="AF671" s="33" t="n"/>
      <c r="AG671" s="33" t="n"/>
      <c r="AH671" s="33" t="n"/>
      <c r="AI671" s="33" t="n"/>
      <c r="AJ671" s="33" t="n"/>
      <c r="AK671" s="33" t="n"/>
      <c r="AL671" s="27" t="n"/>
      <c r="AM671" s="34" t="n"/>
      <c r="AN671" s="35">
        <f>IF(AF671="","",IF(AI671="Yes","❌ Disc",IF(AH671="No","⚠ Missing",IF(AK671="Yes","✓ OK","⚠ Check"))))</f>
        <v/>
      </c>
      <c r="AO671" s="36" t="n"/>
      <c r="AP671" s="36" t="n"/>
      <c r="AQ671" s="36" t="n"/>
      <c r="AR671" s="36" t="n"/>
      <c r="AS671" s="36" t="n"/>
      <c r="AT671" s="36" t="n"/>
      <c r="AU671" s="27" t="n"/>
      <c r="AV671" s="37" t="n"/>
      <c r="AW671" s="38">
        <f>IF(AO671="","",IF(AR671="Yes","❌ Disc",IF(AQ671="No","⚠ Missing",IF(AT671="Yes","✓ OK","⚠ Check"))))</f>
        <v/>
      </c>
    </row>
    <row r="672" ht="18" customHeight="1" s="46">
      <c r="A672" s="39" t="n">
        <v>668</v>
      </c>
      <c r="B672" s="40" t="inlineStr">
        <is>
          <t>WP LNCCN1033689</t>
        </is>
      </c>
      <c r="C672" s="41" t="inlineStr">
        <is>
          <t>Life n Colors - Chinoiserie Wall Mural with Birds and Flowers, Customised  -  Canvas - a texture paper</t>
        </is>
      </c>
      <c r="D672" s="39" t="inlineStr">
        <is>
          <t>Life n Colors</t>
        </is>
      </c>
      <c r="E672" s="43" t="n">
        <v>46126</v>
      </c>
      <c r="F672" s="26" t="inlineStr">
        <is>
          <t>Sunil CR</t>
        </is>
      </c>
      <c r="G672" s="26" t="inlineStr">
        <is>
          <t>Yes</t>
        </is>
      </c>
      <c r="H672" s="26" t="inlineStr">
        <is>
          <t>No</t>
        </is>
      </c>
      <c r="I672" s="26" t="inlineStr">
        <is>
          <t>Good finish</t>
        </is>
      </c>
      <c r="J672" s="26" t="inlineStr">
        <is>
          <t>Yes</t>
        </is>
      </c>
      <c r="K672" s="27" t="n"/>
      <c r="L672" s="28" t="inlineStr">
        <is>
          <t>No</t>
        </is>
      </c>
      <c r="M672" s="29">
        <f>IF(E672="","",IF(H672="Yes","❌ Disc",IF(G672="No","⚠ Missing",IF(J672="Yes","✓ OK","⚠ Check"))))</f>
        <v/>
      </c>
      <c r="N672" s="43" t="n">
        <v>46193</v>
      </c>
      <c r="O672" s="26" t="inlineStr">
        <is>
          <t>Sunil CR</t>
        </is>
      </c>
      <c r="P672" s="26" t="inlineStr">
        <is>
          <t>Yes</t>
        </is>
      </c>
      <c r="Q672" s="26" t="inlineStr">
        <is>
          <t>No</t>
        </is>
      </c>
      <c r="R672" s="26" t="inlineStr">
        <is>
          <t>Good finish</t>
        </is>
      </c>
      <c r="S672" s="26" t="inlineStr">
        <is>
          <t>Yes</t>
        </is>
      </c>
      <c r="T672" s="27" t="n"/>
      <c r="U672" s="28" t="inlineStr">
        <is>
          <t>No</t>
        </is>
      </c>
      <c r="V672" s="29">
        <f>IF(N672="","",IF(Q672="Yes","❌ Disc",IF(P672="No","⚠ Missing",IF(S672="Yes","✓ OK","⚠ Check"))))</f>
        <v/>
      </c>
      <c r="W672" s="65" t="n">
        <v>46248</v>
      </c>
      <c r="X672" s="30" t="inlineStr">
        <is>
          <t>Sunil CR</t>
        </is>
      </c>
      <c r="Y672" s="30" t="inlineStr">
        <is>
          <t>Yes</t>
        </is>
      </c>
      <c r="Z672" s="30" t="n"/>
      <c r="AA672" s="30" t="inlineStr">
        <is>
          <t>Good finish</t>
        </is>
      </c>
      <c r="AB672" s="30" t="inlineStr">
        <is>
          <t>Yes</t>
        </is>
      </c>
      <c r="AC672" s="27" t="n"/>
      <c r="AD672" s="31" t="inlineStr">
        <is>
          <t>No</t>
        </is>
      </c>
      <c r="AE672" s="32">
        <f>IF(W672="","",IF(Z672="Yes","❌ Disc",IF(Y672="No","⚠ Missing",IF(AB672="Yes","✓ OK","⚠ Check"))))</f>
        <v/>
      </c>
      <c r="AF672" s="33" t="n"/>
      <c r="AG672" s="33" t="n"/>
      <c r="AH672" s="33" t="n"/>
      <c r="AI672" s="33" t="n"/>
      <c r="AJ672" s="33" t="n"/>
      <c r="AK672" s="33" t="n"/>
      <c r="AL672" s="27" t="n"/>
      <c r="AM672" s="34" t="n"/>
      <c r="AN672" s="35">
        <f>IF(AF672="","",IF(AI672="Yes","❌ Disc",IF(AH672="No","⚠ Missing",IF(AK672="Yes","✓ OK","⚠ Check"))))</f>
        <v/>
      </c>
      <c r="AO672" s="36" t="n"/>
      <c r="AP672" s="36" t="n"/>
      <c r="AQ672" s="36" t="n"/>
      <c r="AR672" s="36" t="n"/>
      <c r="AS672" s="36" t="n"/>
      <c r="AT672" s="36" t="n"/>
      <c r="AU672" s="27" t="n"/>
      <c r="AV672" s="37" t="n"/>
      <c r="AW672" s="38">
        <f>IF(AO672="","",IF(AR672="Yes","❌ Disc",IF(AQ672="No","⚠ Missing",IF(AT672="Yes","✓ OK","⚠ Check"))))</f>
        <v/>
      </c>
    </row>
    <row r="673" ht="18" customHeight="1" s="46">
      <c r="A673" s="23" t="n">
        <v>669</v>
      </c>
      <c r="B673" s="24" t="inlineStr">
        <is>
          <t>WP LNCSF1033689</t>
        </is>
      </c>
      <c r="C673" s="25" t="inlineStr">
        <is>
          <t>Life n Colors - Chinoiserie Wall Mural with Birds and Flowers, Customised  - Non-woven - a soft feel paper</t>
        </is>
      </c>
      <c r="D673" s="23" t="inlineStr">
        <is>
          <t>Life n Colors</t>
        </is>
      </c>
      <c r="E673" s="43" t="n">
        <v>46126</v>
      </c>
      <c r="F673" s="26" t="inlineStr">
        <is>
          <t>Sunil CR</t>
        </is>
      </c>
      <c r="G673" s="26" t="inlineStr">
        <is>
          <t>Yes</t>
        </is>
      </c>
      <c r="H673" s="26" t="inlineStr">
        <is>
          <t>No</t>
        </is>
      </c>
      <c r="I673" s="26" t="inlineStr">
        <is>
          <t>Good finish</t>
        </is>
      </c>
      <c r="J673" s="26" t="inlineStr">
        <is>
          <t>Yes</t>
        </is>
      </c>
      <c r="K673" s="27" t="n"/>
      <c r="L673" s="28" t="inlineStr">
        <is>
          <t>No</t>
        </is>
      </c>
      <c r="M673" s="29">
        <f>IF(E673="","",IF(H673="Yes","❌ Disc",IF(G673="No","⚠ Missing",IF(J673="Yes","✓ OK","⚠ Check"))))</f>
        <v/>
      </c>
      <c r="N673" s="43" t="n">
        <v>46193</v>
      </c>
      <c r="O673" s="26" t="inlineStr">
        <is>
          <t>Sunil CR</t>
        </is>
      </c>
      <c r="P673" s="26" t="inlineStr">
        <is>
          <t>Yes</t>
        </is>
      </c>
      <c r="Q673" s="26" t="inlineStr">
        <is>
          <t>No</t>
        </is>
      </c>
      <c r="R673" s="26" t="inlineStr">
        <is>
          <t>Good finish</t>
        </is>
      </c>
      <c r="S673" s="26" t="inlineStr">
        <is>
          <t>Yes</t>
        </is>
      </c>
      <c r="T673" s="27" t="n"/>
      <c r="U673" s="28" t="inlineStr">
        <is>
          <t>No</t>
        </is>
      </c>
      <c r="V673" s="29">
        <f>IF(N673="","",IF(Q673="Yes","❌ Disc",IF(P673="No","⚠ Missing",IF(S673="Yes","✓ OK","⚠ Check"))))</f>
        <v/>
      </c>
      <c r="W673" s="65" t="n">
        <v>46248</v>
      </c>
      <c r="X673" s="30" t="inlineStr">
        <is>
          <t>Sunil CR</t>
        </is>
      </c>
      <c r="Y673" s="30" t="inlineStr">
        <is>
          <t>Yes</t>
        </is>
      </c>
      <c r="Z673" s="30" t="n"/>
      <c r="AA673" s="30" t="inlineStr">
        <is>
          <t>Good finish</t>
        </is>
      </c>
      <c r="AB673" s="30" t="inlineStr">
        <is>
          <t>Yes</t>
        </is>
      </c>
      <c r="AC673" s="27" t="n"/>
      <c r="AD673" s="31" t="inlineStr">
        <is>
          <t>No</t>
        </is>
      </c>
      <c r="AE673" s="32">
        <f>IF(W673="","",IF(Z673="Yes","❌ Disc",IF(Y673="No","⚠ Missing",IF(AB673="Yes","✓ OK","⚠ Check"))))</f>
        <v/>
      </c>
      <c r="AF673" s="33" t="n"/>
      <c r="AG673" s="33" t="n"/>
      <c r="AH673" s="33" t="n"/>
      <c r="AI673" s="33" t="n"/>
      <c r="AJ673" s="33" t="n"/>
      <c r="AK673" s="33" t="n"/>
      <c r="AL673" s="27" t="n"/>
      <c r="AM673" s="34" t="n"/>
      <c r="AN673" s="35">
        <f>IF(AF673="","",IF(AI673="Yes","❌ Disc",IF(AH673="No","⚠ Missing",IF(AK673="Yes","✓ OK","⚠ Check"))))</f>
        <v/>
      </c>
      <c r="AO673" s="36" t="n"/>
      <c r="AP673" s="36" t="n"/>
      <c r="AQ673" s="36" t="n"/>
      <c r="AR673" s="36" t="n"/>
      <c r="AS673" s="36" t="n"/>
      <c r="AT673" s="36" t="n"/>
      <c r="AU673" s="27" t="n"/>
      <c r="AV673" s="37" t="n"/>
      <c r="AW673" s="38">
        <f>IF(AO673="","",IF(AR673="Yes","❌ Disc",IF(AQ673="No","⚠ Missing",IF(AT673="Yes","✓ OK","⚠ Check"))))</f>
        <v/>
      </c>
    </row>
    <row r="674" ht="18" customHeight="1" s="46">
      <c r="A674" s="39" t="n">
        <v>670</v>
      </c>
      <c r="B674" s="40" t="inlineStr">
        <is>
          <t>WP LNCCN1017520</t>
        </is>
      </c>
      <c r="C674" s="41" t="inlineStr">
        <is>
          <t>Life n Colors - Classy Pista Green Colors Wallpaper for Rooms, Customised  -  Canvas - a texture paper</t>
        </is>
      </c>
      <c r="D674" s="39" t="inlineStr">
        <is>
          <t>Life n Colors</t>
        </is>
      </c>
      <c r="E674" s="43" t="n">
        <v>46126</v>
      </c>
      <c r="F674" s="26" t="inlineStr">
        <is>
          <t>Sunil CR</t>
        </is>
      </c>
      <c r="G674" s="26" t="inlineStr">
        <is>
          <t>Yes</t>
        </is>
      </c>
      <c r="H674" s="26" t="inlineStr">
        <is>
          <t>No</t>
        </is>
      </c>
      <c r="I674" s="26" t="inlineStr">
        <is>
          <t>Good finish</t>
        </is>
      </c>
      <c r="J674" s="26" t="inlineStr">
        <is>
          <t>Yes</t>
        </is>
      </c>
      <c r="K674" s="27" t="n"/>
      <c r="L674" s="28" t="inlineStr">
        <is>
          <t>No</t>
        </is>
      </c>
      <c r="M674" s="29">
        <f>IF(E674="","",IF(H674="Yes","❌ Disc",IF(G674="No","⚠ Missing",IF(J674="Yes","✓ OK","⚠ Check"))))</f>
        <v/>
      </c>
      <c r="N674" s="43" t="n">
        <v>46193</v>
      </c>
      <c r="O674" s="26" t="inlineStr">
        <is>
          <t>Sunil CR</t>
        </is>
      </c>
      <c r="P674" s="26" t="inlineStr">
        <is>
          <t>Yes</t>
        </is>
      </c>
      <c r="Q674" s="26" t="inlineStr">
        <is>
          <t>No</t>
        </is>
      </c>
      <c r="R674" s="26" t="inlineStr">
        <is>
          <t>Good finish</t>
        </is>
      </c>
      <c r="S674" s="26" t="inlineStr">
        <is>
          <t>Yes</t>
        </is>
      </c>
      <c r="T674" s="27" t="n"/>
      <c r="U674" s="28" t="inlineStr">
        <is>
          <t>No</t>
        </is>
      </c>
      <c r="V674" s="29">
        <f>IF(N674="","",IF(Q674="Yes","❌ Disc",IF(P674="No","⚠ Missing",IF(S674="Yes","✓ OK","⚠ Check"))))</f>
        <v/>
      </c>
      <c r="W674" s="65" t="n">
        <v>46248</v>
      </c>
      <c r="X674" s="30" t="inlineStr">
        <is>
          <t>Sunil CR</t>
        </is>
      </c>
      <c r="Y674" s="30" t="inlineStr">
        <is>
          <t>Yes</t>
        </is>
      </c>
      <c r="Z674" s="30" t="n"/>
      <c r="AA674" s="30" t="inlineStr">
        <is>
          <t>Good finish</t>
        </is>
      </c>
      <c r="AB674" s="30" t="inlineStr">
        <is>
          <t>Yes</t>
        </is>
      </c>
      <c r="AC674" s="27" t="n"/>
      <c r="AD674" s="31" t="inlineStr">
        <is>
          <t>No</t>
        </is>
      </c>
      <c r="AE674" s="32">
        <f>IF(W674="","",IF(Z674="Yes","❌ Disc",IF(Y674="No","⚠ Missing",IF(AB674="Yes","✓ OK","⚠ Check"))))</f>
        <v/>
      </c>
      <c r="AF674" s="33" t="n"/>
      <c r="AG674" s="33" t="n"/>
      <c r="AH674" s="33" t="n"/>
      <c r="AI674" s="33" t="n"/>
      <c r="AJ674" s="33" t="n"/>
      <c r="AK674" s="33" t="n"/>
      <c r="AL674" s="27" t="n"/>
      <c r="AM674" s="34" t="n"/>
      <c r="AN674" s="35">
        <f>IF(AF674="","",IF(AI674="Yes","❌ Disc",IF(AH674="No","⚠ Missing",IF(AK674="Yes","✓ OK","⚠ Check"))))</f>
        <v/>
      </c>
      <c r="AO674" s="36" t="n"/>
      <c r="AP674" s="36" t="n"/>
      <c r="AQ674" s="36" t="n"/>
      <c r="AR674" s="36" t="n"/>
      <c r="AS674" s="36" t="n"/>
      <c r="AT674" s="36" t="n"/>
      <c r="AU674" s="27" t="n"/>
      <c r="AV674" s="37" t="n"/>
      <c r="AW674" s="38">
        <f>IF(AO674="","",IF(AR674="Yes","❌ Disc",IF(AQ674="No","⚠ Missing",IF(AT674="Yes","✓ OK","⚠ Check"))))</f>
        <v/>
      </c>
    </row>
    <row r="675" ht="18" customHeight="1" s="46">
      <c r="A675" s="23" t="n">
        <v>671</v>
      </c>
      <c r="B675" s="24" t="inlineStr">
        <is>
          <t>WP LNCSF1017520</t>
        </is>
      </c>
      <c r="C675" s="25" t="inlineStr">
        <is>
          <t>Life n Colors - Classy Pista Green Colors Wallpaper for Rooms, Customised  - Non-woven - a soft feel paper</t>
        </is>
      </c>
      <c r="D675" s="23" t="inlineStr">
        <is>
          <t>Life n Colors</t>
        </is>
      </c>
      <c r="E675" s="43" t="n">
        <v>46126</v>
      </c>
      <c r="F675" s="26" t="inlineStr">
        <is>
          <t>Sunil CR</t>
        </is>
      </c>
      <c r="G675" s="26" t="inlineStr">
        <is>
          <t>Yes</t>
        </is>
      </c>
      <c r="H675" s="26" t="inlineStr">
        <is>
          <t>No</t>
        </is>
      </c>
      <c r="I675" s="26" t="inlineStr">
        <is>
          <t>Good finish</t>
        </is>
      </c>
      <c r="J675" s="26" t="inlineStr">
        <is>
          <t>Yes</t>
        </is>
      </c>
      <c r="K675" s="27" t="n"/>
      <c r="L675" s="28" t="inlineStr">
        <is>
          <t>No</t>
        </is>
      </c>
      <c r="M675" s="29">
        <f>IF(E675="","",IF(H675="Yes","❌ Disc",IF(G675="No","⚠ Missing",IF(J675="Yes","✓ OK","⚠ Check"))))</f>
        <v/>
      </c>
      <c r="N675" s="43" t="n">
        <v>46193</v>
      </c>
      <c r="O675" s="26" t="inlineStr">
        <is>
          <t>Sunil CR</t>
        </is>
      </c>
      <c r="P675" s="26" t="inlineStr">
        <is>
          <t>Yes</t>
        </is>
      </c>
      <c r="Q675" s="26" t="inlineStr">
        <is>
          <t>No</t>
        </is>
      </c>
      <c r="R675" s="26" t="inlineStr">
        <is>
          <t>Good finish</t>
        </is>
      </c>
      <c r="S675" s="26" t="inlineStr">
        <is>
          <t>Yes</t>
        </is>
      </c>
      <c r="T675" s="27" t="n"/>
      <c r="U675" s="28" t="inlineStr">
        <is>
          <t>No</t>
        </is>
      </c>
      <c r="V675" s="29">
        <f>IF(N675="","",IF(Q675="Yes","❌ Disc",IF(P675="No","⚠ Missing",IF(S675="Yes","✓ OK","⚠ Check"))))</f>
        <v/>
      </c>
      <c r="W675" s="65" t="n">
        <v>46248</v>
      </c>
      <c r="X675" s="30" t="inlineStr">
        <is>
          <t>Sunil CR</t>
        </is>
      </c>
      <c r="Y675" s="30" t="inlineStr">
        <is>
          <t>Yes</t>
        </is>
      </c>
      <c r="Z675" s="30" t="n"/>
      <c r="AA675" s="30" t="inlineStr">
        <is>
          <t>Good finish</t>
        </is>
      </c>
      <c r="AB675" s="30" t="inlineStr">
        <is>
          <t>Yes</t>
        </is>
      </c>
      <c r="AC675" s="27" t="n"/>
      <c r="AD675" s="31" t="inlineStr">
        <is>
          <t>No</t>
        </is>
      </c>
      <c r="AE675" s="32">
        <f>IF(W675="","",IF(Z675="Yes","❌ Disc",IF(Y675="No","⚠ Missing",IF(AB675="Yes","✓ OK","⚠ Check"))))</f>
        <v/>
      </c>
      <c r="AF675" s="33" t="n"/>
      <c r="AG675" s="33" t="n"/>
      <c r="AH675" s="33" t="n"/>
      <c r="AI675" s="33" t="n"/>
      <c r="AJ675" s="33" t="n"/>
      <c r="AK675" s="33" t="n"/>
      <c r="AL675" s="27" t="n"/>
      <c r="AM675" s="34" t="n"/>
      <c r="AN675" s="35">
        <f>IF(AF675="","",IF(AI675="Yes","❌ Disc",IF(AH675="No","⚠ Missing",IF(AK675="Yes","✓ OK","⚠ Check"))))</f>
        <v/>
      </c>
      <c r="AO675" s="36" t="n"/>
      <c r="AP675" s="36" t="n"/>
      <c r="AQ675" s="36" t="n"/>
      <c r="AR675" s="36" t="n"/>
      <c r="AS675" s="36" t="n"/>
      <c r="AT675" s="36" t="n"/>
      <c r="AU675" s="27" t="n"/>
      <c r="AV675" s="37" t="n"/>
      <c r="AW675" s="38">
        <f>IF(AO675="","",IF(AR675="Yes","❌ Disc",IF(AQ675="No","⚠ Missing",IF(AT675="Yes","✓ OK","⚠ Check"))))</f>
        <v/>
      </c>
    </row>
    <row r="676" ht="18" customHeight="1" s="46">
      <c r="A676" s="39" t="n">
        <v>672</v>
      </c>
      <c r="B676" s="40" t="inlineStr">
        <is>
          <t>WP LNCCN1170471</t>
        </is>
      </c>
      <c r="C676" s="41" t="inlineStr">
        <is>
          <t>Life n Colors - Colorful City Landscape Sketch Theme Kids Wallpaper  -  Canvas - a texture paper</t>
        </is>
      </c>
      <c r="D676" s="39" t="inlineStr">
        <is>
          <t>Life n Colors</t>
        </is>
      </c>
      <c r="E676" s="43" t="n">
        <v>46126</v>
      </c>
      <c r="F676" s="26" t="inlineStr">
        <is>
          <t>Sunil CR</t>
        </is>
      </c>
      <c r="G676" s="26" t="inlineStr">
        <is>
          <t>Yes</t>
        </is>
      </c>
      <c r="H676" s="26" t="inlineStr">
        <is>
          <t>No</t>
        </is>
      </c>
      <c r="I676" s="26" t="inlineStr">
        <is>
          <t>Good finish</t>
        </is>
      </c>
      <c r="J676" s="26" t="inlineStr">
        <is>
          <t>Yes</t>
        </is>
      </c>
      <c r="K676" s="27" t="n"/>
      <c r="L676" s="28" t="inlineStr">
        <is>
          <t>No</t>
        </is>
      </c>
      <c r="M676" s="29">
        <f>IF(E676="","",IF(H676="Yes","❌ Disc",IF(G676="No","⚠ Missing",IF(J676="Yes","✓ OK","⚠ Check"))))</f>
        <v/>
      </c>
      <c r="N676" s="43" t="n">
        <v>46193</v>
      </c>
      <c r="O676" s="26" t="inlineStr">
        <is>
          <t>Sunil CR</t>
        </is>
      </c>
      <c r="P676" s="26" t="inlineStr">
        <is>
          <t>Yes</t>
        </is>
      </c>
      <c r="Q676" s="26" t="inlineStr">
        <is>
          <t>No</t>
        </is>
      </c>
      <c r="R676" s="26" t="inlineStr">
        <is>
          <t>Good finish</t>
        </is>
      </c>
      <c r="S676" s="26" t="inlineStr">
        <is>
          <t>Yes</t>
        </is>
      </c>
      <c r="T676" s="27" t="n"/>
      <c r="U676" s="28" t="inlineStr">
        <is>
          <t>No</t>
        </is>
      </c>
      <c r="V676" s="29">
        <f>IF(N676="","",IF(Q676="Yes","❌ Disc",IF(P676="No","⚠ Missing",IF(S676="Yes","✓ OK","⚠ Check"))))</f>
        <v/>
      </c>
      <c r="W676" s="65" t="n">
        <v>46248</v>
      </c>
      <c r="X676" s="30" t="inlineStr">
        <is>
          <t>Sunil CR</t>
        </is>
      </c>
      <c r="Y676" s="30" t="inlineStr">
        <is>
          <t>Yes</t>
        </is>
      </c>
      <c r="Z676" s="30" t="n"/>
      <c r="AA676" s="30" t="inlineStr">
        <is>
          <t>Good finish</t>
        </is>
      </c>
      <c r="AB676" s="30" t="inlineStr">
        <is>
          <t>Yes</t>
        </is>
      </c>
      <c r="AC676" s="27" t="n"/>
      <c r="AD676" s="31" t="inlineStr">
        <is>
          <t>No</t>
        </is>
      </c>
      <c r="AE676" s="32">
        <f>IF(W676="","",IF(Z676="Yes","❌ Disc",IF(Y676="No","⚠ Missing",IF(AB676="Yes","✓ OK","⚠ Check"))))</f>
        <v/>
      </c>
      <c r="AF676" s="33" t="n"/>
      <c r="AG676" s="33" t="n"/>
      <c r="AH676" s="33" t="n"/>
      <c r="AI676" s="33" t="n"/>
      <c r="AJ676" s="33" t="n"/>
      <c r="AK676" s="33" t="n"/>
      <c r="AL676" s="27" t="n"/>
      <c r="AM676" s="34" t="n"/>
      <c r="AN676" s="35">
        <f>IF(AF676="","",IF(AI676="Yes","❌ Disc",IF(AH676="No","⚠ Missing",IF(AK676="Yes","✓ OK","⚠ Check"))))</f>
        <v/>
      </c>
      <c r="AO676" s="36" t="n"/>
      <c r="AP676" s="36" t="n"/>
      <c r="AQ676" s="36" t="n"/>
      <c r="AR676" s="36" t="n"/>
      <c r="AS676" s="36" t="n"/>
      <c r="AT676" s="36" t="n"/>
      <c r="AU676" s="27" t="n"/>
      <c r="AV676" s="37" t="n"/>
      <c r="AW676" s="38">
        <f>IF(AO676="","",IF(AR676="Yes","❌ Disc",IF(AQ676="No","⚠ Missing",IF(AT676="Yes","✓ OK","⚠ Check"))))</f>
        <v/>
      </c>
    </row>
    <row r="677" ht="18" customHeight="1" s="46">
      <c r="A677" s="23" t="n">
        <v>673</v>
      </c>
      <c r="B677" s="24" t="inlineStr">
        <is>
          <t>WP LNCSF1170471</t>
        </is>
      </c>
      <c r="C677" s="25" t="inlineStr">
        <is>
          <t>Life n Colors - Colorful City Landscape Sketch Theme Kids Wallpaper  - Non-woven - a soft feel paper</t>
        </is>
      </c>
      <c r="D677" s="23" t="inlineStr">
        <is>
          <t>Life n Colors</t>
        </is>
      </c>
      <c r="E677" s="43" t="n">
        <v>46126</v>
      </c>
      <c r="F677" s="26" t="inlineStr">
        <is>
          <t>Sunil CR</t>
        </is>
      </c>
      <c r="G677" s="26" t="inlineStr">
        <is>
          <t>Yes</t>
        </is>
      </c>
      <c r="H677" s="26" t="inlineStr">
        <is>
          <t>No</t>
        </is>
      </c>
      <c r="I677" s="26" t="inlineStr">
        <is>
          <t>Good finish</t>
        </is>
      </c>
      <c r="J677" s="26" t="inlineStr">
        <is>
          <t>Yes</t>
        </is>
      </c>
      <c r="K677" s="27" t="n"/>
      <c r="L677" s="28" t="inlineStr">
        <is>
          <t>No</t>
        </is>
      </c>
      <c r="M677" s="29">
        <f>IF(E677="","",IF(H677="Yes","❌ Disc",IF(G677="No","⚠ Missing",IF(J677="Yes","✓ OK","⚠ Check"))))</f>
        <v/>
      </c>
      <c r="N677" s="43" t="n">
        <v>46193</v>
      </c>
      <c r="O677" s="26" t="inlineStr">
        <is>
          <t>Sunil CR</t>
        </is>
      </c>
      <c r="P677" s="26" t="inlineStr">
        <is>
          <t>Yes</t>
        </is>
      </c>
      <c r="Q677" s="26" t="inlineStr">
        <is>
          <t>No</t>
        </is>
      </c>
      <c r="R677" s="26" t="inlineStr">
        <is>
          <t>Good finish</t>
        </is>
      </c>
      <c r="S677" s="26" t="inlineStr">
        <is>
          <t>Yes</t>
        </is>
      </c>
      <c r="T677" s="27" t="n"/>
      <c r="U677" s="28" t="inlineStr">
        <is>
          <t>No</t>
        </is>
      </c>
      <c r="V677" s="29">
        <f>IF(N677="","",IF(Q677="Yes","❌ Disc",IF(P677="No","⚠ Missing",IF(S677="Yes","✓ OK","⚠ Check"))))</f>
        <v/>
      </c>
      <c r="W677" s="65" t="n">
        <v>46248</v>
      </c>
      <c r="X677" s="30" t="inlineStr">
        <is>
          <t>Sunil CR</t>
        </is>
      </c>
      <c r="Y677" s="30" t="inlineStr">
        <is>
          <t>Yes</t>
        </is>
      </c>
      <c r="Z677" s="30" t="n"/>
      <c r="AA677" s="30" t="inlineStr">
        <is>
          <t>Good finish</t>
        </is>
      </c>
      <c r="AB677" s="30" t="inlineStr">
        <is>
          <t>Yes</t>
        </is>
      </c>
      <c r="AC677" s="27" t="n"/>
      <c r="AD677" s="31" t="inlineStr">
        <is>
          <t>No</t>
        </is>
      </c>
      <c r="AE677" s="32">
        <f>IF(W677="","",IF(Z677="Yes","❌ Disc",IF(Y677="No","⚠ Missing",IF(AB677="Yes","✓ OK","⚠ Check"))))</f>
        <v/>
      </c>
      <c r="AF677" s="33" t="n"/>
      <c r="AG677" s="33" t="n"/>
      <c r="AH677" s="33" t="n"/>
      <c r="AI677" s="33" t="n"/>
      <c r="AJ677" s="33" t="n"/>
      <c r="AK677" s="33" t="n"/>
      <c r="AL677" s="27" t="n"/>
      <c r="AM677" s="34" t="n"/>
      <c r="AN677" s="35">
        <f>IF(AF677="","",IF(AI677="Yes","❌ Disc",IF(AH677="No","⚠ Missing",IF(AK677="Yes","✓ OK","⚠ Check"))))</f>
        <v/>
      </c>
      <c r="AO677" s="36" t="n"/>
      <c r="AP677" s="36" t="n"/>
      <c r="AQ677" s="36" t="n"/>
      <c r="AR677" s="36" t="n"/>
      <c r="AS677" s="36" t="n"/>
      <c r="AT677" s="36" t="n"/>
      <c r="AU677" s="27" t="n"/>
      <c r="AV677" s="37" t="n"/>
      <c r="AW677" s="38">
        <f>IF(AO677="","",IF(AR677="Yes","❌ Disc",IF(AQ677="No","⚠ Missing",IF(AT677="Yes","✓ OK","⚠ Check"))))</f>
        <v/>
      </c>
    </row>
    <row r="678" ht="18" customHeight="1" s="46">
      <c r="A678" s="39" t="n">
        <v>674</v>
      </c>
      <c r="B678" s="40" t="inlineStr">
        <is>
          <t>WP LNCCN1027622</t>
        </is>
      </c>
      <c r="C678" s="41" t="inlineStr">
        <is>
          <t>Life n Colors - Colorful Sketch Ships and Balloons Theme Wallpaper for Kids Room  -  Canvas - a texture paper</t>
        </is>
      </c>
      <c r="D678" s="39" t="inlineStr">
        <is>
          <t>Life n Colors</t>
        </is>
      </c>
      <c r="E678" s="43" t="n">
        <v>46126</v>
      </c>
      <c r="F678" s="26" t="inlineStr">
        <is>
          <t>Sunil CR</t>
        </is>
      </c>
      <c r="G678" s="26" t="inlineStr">
        <is>
          <t>Yes</t>
        </is>
      </c>
      <c r="H678" s="26" t="inlineStr">
        <is>
          <t>No</t>
        </is>
      </c>
      <c r="I678" s="26" t="inlineStr">
        <is>
          <t>Good finish</t>
        </is>
      </c>
      <c r="J678" s="26" t="inlineStr">
        <is>
          <t>Yes</t>
        </is>
      </c>
      <c r="K678" s="27" t="n"/>
      <c r="L678" s="28" t="inlineStr">
        <is>
          <t>No</t>
        </is>
      </c>
      <c r="M678" s="29">
        <f>IF(E678="","",IF(H678="Yes","❌ Disc",IF(G678="No","⚠ Missing",IF(J678="Yes","✓ OK","⚠ Check"))))</f>
        <v/>
      </c>
      <c r="N678" s="43" t="n">
        <v>46193</v>
      </c>
      <c r="O678" s="26" t="inlineStr">
        <is>
          <t>Sunil CR</t>
        </is>
      </c>
      <c r="P678" s="26" t="inlineStr">
        <is>
          <t>Yes</t>
        </is>
      </c>
      <c r="Q678" s="26" t="inlineStr">
        <is>
          <t>No</t>
        </is>
      </c>
      <c r="R678" s="26" t="inlineStr">
        <is>
          <t>Good finish</t>
        </is>
      </c>
      <c r="S678" s="26" t="inlineStr">
        <is>
          <t>Yes</t>
        </is>
      </c>
      <c r="T678" s="27" t="n"/>
      <c r="U678" s="28" t="inlineStr">
        <is>
          <t>No</t>
        </is>
      </c>
      <c r="V678" s="29">
        <f>IF(N678="","",IF(Q678="Yes","❌ Disc",IF(P678="No","⚠ Missing",IF(S678="Yes","✓ OK","⚠ Check"))))</f>
        <v/>
      </c>
      <c r="W678" s="65" t="n">
        <v>46248</v>
      </c>
      <c r="X678" s="30" t="inlineStr">
        <is>
          <t>Sunil CR</t>
        </is>
      </c>
      <c r="Y678" s="30" t="inlineStr">
        <is>
          <t>Yes</t>
        </is>
      </c>
      <c r="Z678" s="30" t="n"/>
      <c r="AA678" s="30" t="inlineStr">
        <is>
          <t>Good finish</t>
        </is>
      </c>
      <c r="AB678" s="30" t="inlineStr">
        <is>
          <t>Yes</t>
        </is>
      </c>
      <c r="AC678" s="27" t="n"/>
      <c r="AD678" s="31" t="inlineStr">
        <is>
          <t>No</t>
        </is>
      </c>
      <c r="AE678" s="32">
        <f>IF(W678="","",IF(Z678="Yes","❌ Disc",IF(Y678="No","⚠ Missing",IF(AB678="Yes","✓ OK","⚠ Check"))))</f>
        <v/>
      </c>
      <c r="AF678" s="33" t="n"/>
      <c r="AG678" s="33" t="n"/>
      <c r="AH678" s="33" t="n"/>
      <c r="AI678" s="33" t="n"/>
      <c r="AJ678" s="33" t="n"/>
      <c r="AK678" s="33" t="n"/>
      <c r="AL678" s="27" t="n"/>
      <c r="AM678" s="34" t="n"/>
      <c r="AN678" s="35">
        <f>IF(AF678="","",IF(AI678="Yes","❌ Disc",IF(AH678="No","⚠ Missing",IF(AK678="Yes","✓ OK","⚠ Check"))))</f>
        <v/>
      </c>
      <c r="AO678" s="36" t="n"/>
      <c r="AP678" s="36" t="n"/>
      <c r="AQ678" s="36" t="n"/>
      <c r="AR678" s="36" t="n"/>
      <c r="AS678" s="36" t="n"/>
      <c r="AT678" s="36" t="n"/>
      <c r="AU678" s="27" t="n"/>
      <c r="AV678" s="37" t="n"/>
      <c r="AW678" s="38">
        <f>IF(AO678="","",IF(AR678="Yes","❌ Disc",IF(AQ678="No","⚠ Missing",IF(AT678="Yes","✓ OK","⚠ Check"))))</f>
        <v/>
      </c>
    </row>
    <row r="679" ht="18" customHeight="1" s="46">
      <c r="A679" s="23" t="n">
        <v>675</v>
      </c>
      <c r="B679" s="24" t="inlineStr">
        <is>
          <t>WP LNCSF1027622</t>
        </is>
      </c>
      <c r="C679" s="25" t="inlineStr">
        <is>
          <t>Life n Colors - Colorful Sketch Ships and Balloons Theme Wallpaper for Kids Room  - Non-woven - a soft feel paper</t>
        </is>
      </c>
      <c r="D679" s="23" t="inlineStr">
        <is>
          <t>Life n Colors</t>
        </is>
      </c>
      <c r="E679" s="43" t="n">
        <v>46126</v>
      </c>
      <c r="F679" s="26" t="inlineStr">
        <is>
          <t>Sunil CR</t>
        </is>
      </c>
      <c r="G679" s="26" t="inlineStr">
        <is>
          <t>Yes</t>
        </is>
      </c>
      <c r="H679" s="26" t="inlineStr">
        <is>
          <t>No</t>
        </is>
      </c>
      <c r="I679" s="26" t="inlineStr">
        <is>
          <t>Good finish</t>
        </is>
      </c>
      <c r="J679" s="26" t="inlineStr">
        <is>
          <t>Yes</t>
        </is>
      </c>
      <c r="K679" s="27" t="n"/>
      <c r="L679" s="28" t="inlineStr">
        <is>
          <t>No</t>
        </is>
      </c>
      <c r="M679" s="29">
        <f>IF(E679="","",IF(H679="Yes","❌ Disc",IF(G679="No","⚠ Missing",IF(J679="Yes","✓ OK","⚠ Check"))))</f>
        <v/>
      </c>
      <c r="N679" s="43" t="n">
        <v>46193</v>
      </c>
      <c r="O679" s="26" t="inlineStr">
        <is>
          <t>Sunil CR</t>
        </is>
      </c>
      <c r="P679" s="26" t="inlineStr">
        <is>
          <t>Yes</t>
        </is>
      </c>
      <c r="Q679" s="26" t="inlineStr">
        <is>
          <t>No</t>
        </is>
      </c>
      <c r="R679" s="26" t="inlineStr">
        <is>
          <t>Good finish</t>
        </is>
      </c>
      <c r="S679" s="26" t="inlineStr">
        <is>
          <t>Yes</t>
        </is>
      </c>
      <c r="T679" s="27" t="n"/>
      <c r="U679" s="28" t="inlineStr">
        <is>
          <t>No</t>
        </is>
      </c>
      <c r="V679" s="29">
        <f>IF(N679="","",IF(Q679="Yes","❌ Disc",IF(P679="No","⚠ Missing",IF(S679="Yes","✓ OK","⚠ Check"))))</f>
        <v/>
      </c>
      <c r="W679" s="65" t="n">
        <v>46248</v>
      </c>
      <c r="X679" s="30" t="inlineStr">
        <is>
          <t>Sunil CR</t>
        </is>
      </c>
      <c r="Y679" s="30" t="inlineStr">
        <is>
          <t>Yes</t>
        </is>
      </c>
      <c r="Z679" s="30" t="n"/>
      <c r="AA679" s="30" t="inlineStr">
        <is>
          <t>Good finish</t>
        </is>
      </c>
      <c r="AB679" s="30" t="inlineStr">
        <is>
          <t>Yes</t>
        </is>
      </c>
      <c r="AC679" s="27" t="n"/>
      <c r="AD679" s="31" t="inlineStr">
        <is>
          <t>No</t>
        </is>
      </c>
      <c r="AE679" s="32">
        <f>IF(W679="","",IF(Z679="Yes","❌ Disc",IF(Y679="No","⚠ Missing",IF(AB679="Yes","✓ OK","⚠ Check"))))</f>
        <v/>
      </c>
      <c r="AF679" s="33" t="n"/>
      <c r="AG679" s="33" t="n"/>
      <c r="AH679" s="33" t="n"/>
      <c r="AI679" s="33" t="n"/>
      <c r="AJ679" s="33" t="n"/>
      <c r="AK679" s="33" t="n"/>
      <c r="AL679" s="27" t="n"/>
      <c r="AM679" s="34" t="n"/>
      <c r="AN679" s="35">
        <f>IF(AF679="","",IF(AI679="Yes","❌ Disc",IF(AH679="No","⚠ Missing",IF(AK679="Yes","✓ OK","⚠ Check"))))</f>
        <v/>
      </c>
      <c r="AO679" s="36" t="n"/>
      <c r="AP679" s="36" t="n"/>
      <c r="AQ679" s="36" t="n"/>
      <c r="AR679" s="36" t="n"/>
      <c r="AS679" s="36" t="n"/>
      <c r="AT679" s="36" t="n"/>
      <c r="AU679" s="27" t="n"/>
      <c r="AV679" s="37" t="n"/>
      <c r="AW679" s="38">
        <f>IF(AO679="","",IF(AR679="Yes","❌ Disc",IF(AQ679="No","⚠ Missing",IF(AT679="Yes","✓ OK","⚠ Check"))))</f>
        <v/>
      </c>
    </row>
    <row r="680" ht="18" customHeight="1" s="46">
      <c r="A680" s="39" t="n">
        <v>676</v>
      </c>
      <c r="B680" s="40" t="inlineStr">
        <is>
          <t>WP LNCCN1197560</t>
        </is>
      </c>
      <c r="C680" s="41" t="inlineStr">
        <is>
          <t>Life n Colors - Colorful Sports Balls Wallpaper for Children Room  -  Canvas - a texture paper</t>
        </is>
      </c>
      <c r="D680" s="39" t="inlineStr">
        <is>
          <t>Life n Colors</t>
        </is>
      </c>
      <c r="E680" s="43" t="n">
        <v>46126</v>
      </c>
      <c r="F680" s="26" t="inlineStr">
        <is>
          <t>Sunil CR</t>
        </is>
      </c>
      <c r="G680" s="26" t="inlineStr">
        <is>
          <t>Yes</t>
        </is>
      </c>
      <c r="H680" s="26" t="inlineStr">
        <is>
          <t>No</t>
        </is>
      </c>
      <c r="I680" s="26" t="inlineStr">
        <is>
          <t>Good finish</t>
        </is>
      </c>
      <c r="J680" s="26" t="inlineStr">
        <is>
          <t>Yes</t>
        </is>
      </c>
      <c r="K680" s="27" t="n"/>
      <c r="L680" s="28" t="inlineStr">
        <is>
          <t>No</t>
        </is>
      </c>
      <c r="M680" s="29">
        <f>IF(E680="","",IF(H680="Yes","❌ Disc",IF(G680="No","⚠ Missing",IF(J680="Yes","✓ OK","⚠ Check"))))</f>
        <v/>
      </c>
      <c r="N680" s="43" t="n">
        <v>46193</v>
      </c>
      <c r="O680" s="26" t="inlineStr">
        <is>
          <t>Sunil CR</t>
        </is>
      </c>
      <c r="P680" s="26" t="inlineStr">
        <is>
          <t>Yes</t>
        </is>
      </c>
      <c r="Q680" s="26" t="inlineStr">
        <is>
          <t>No</t>
        </is>
      </c>
      <c r="R680" s="26" t="inlineStr">
        <is>
          <t>Good finish</t>
        </is>
      </c>
      <c r="S680" s="26" t="inlineStr">
        <is>
          <t>Yes</t>
        </is>
      </c>
      <c r="T680" s="27" t="n"/>
      <c r="U680" s="28" t="inlineStr">
        <is>
          <t>No</t>
        </is>
      </c>
      <c r="V680" s="29">
        <f>IF(N680="","",IF(Q680="Yes","❌ Disc",IF(P680="No","⚠ Missing",IF(S680="Yes","✓ OK","⚠ Check"))))</f>
        <v/>
      </c>
      <c r="W680" s="65" t="n">
        <v>46248</v>
      </c>
      <c r="X680" s="30" t="inlineStr">
        <is>
          <t>Sunil CR</t>
        </is>
      </c>
      <c r="Y680" s="30" t="inlineStr">
        <is>
          <t>Yes</t>
        </is>
      </c>
      <c r="Z680" s="30" t="n"/>
      <c r="AA680" s="30" t="inlineStr">
        <is>
          <t>Good finish</t>
        </is>
      </c>
      <c r="AB680" s="30" t="inlineStr">
        <is>
          <t>Yes</t>
        </is>
      </c>
      <c r="AC680" s="27" t="n"/>
      <c r="AD680" s="31" t="inlineStr">
        <is>
          <t>No</t>
        </is>
      </c>
      <c r="AE680" s="32">
        <f>IF(W680="","",IF(Z680="Yes","❌ Disc",IF(Y680="No","⚠ Missing",IF(AB680="Yes","✓ OK","⚠ Check"))))</f>
        <v/>
      </c>
      <c r="AF680" s="33" t="n"/>
      <c r="AG680" s="33" t="n"/>
      <c r="AH680" s="33" t="n"/>
      <c r="AI680" s="33" t="n"/>
      <c r="AJ680" s="33" t="n"/>
      <c r="AK680" s="33" t="n"/>
      <c r="AL680" s="27" t="n"/>
      <c r="AM680" s="34" t="n"/>
      <c r="AN680" s="35">
        <f>IF(AF680="","",IF(AI680="Yes","❌ Disc",IF(AH680="No","⚠ Missing",IF(AK680="Yes","✓ OK","⚠ Check"))))</f>
        <v/>
      </c>
      <c r="AO680" s="36" t="n"/>
      <c r="AP680" s="36" t="n"/>
      <c r="AQ680" s="36" t="n"/>
      <c r="AR680" s="36" t="n"/>
      <c r="AS680" s="36" t="n"/>
      <c r="AT680" s="36" t="n"/>
      <c r="AU680" s="27" t="n"/>
      <c r="AV680" s="37" t="n"/>
      <c r="AW680" s="38">
        <f>IF(AO680="","",IF(AR680="Yes","❌ Disc",IF(AQ680="No","⚠ Missing",IF(AT680="Yes","✓ OK","⚠ Check"))))</f>
        <v/>
      </c>
    </row>
    <row r="681" ht="18" customHeight="1" s="46">
      <c r="A681" s="23" t="n">
        <v>677</v>
      </c>
      <c r="B681" s="24" t="inlineStr">
        <is>
          <t>WP LNCSF1197560</t>
        </is>
      </c>
      <c r="C681" s="25" t="inlineStr">
        <is>
          <t>Life n Colors - Colorful Sports Balls Wallpaper for Children Room  - Non-woven - a soft feel paper</t>
        </is>
      </c>
      <c r="D681" s="23" t="inlineStr">
        <is>
          <t>Life n Colors</t>
        </is>
      </c>
      <c r="E681" s="43" t="n">
        <v>46126</v>
      </c>
      <c r="F681" s="26" t="inlineStr">
        <is>
          <t>Sunil CR</t>
        </is>
      </c>
      <c r="G681" s="26" t="inlineStr">
        <is>
          <t>Yes</t>
        </is>
      </c>
      <c r="H681" s="26" t="inlineStr">
        <is>
          <t>No</t>
        </is>
      </c>
      <c r="I681" s="26" t="inlineStr">
        <is>
          <t>Good finish</t>
        </is>
      </c>
      <c r="J681" s="26" t="inlineStr">
        <is>
          <t>Yes</t>
        </is>
      </c>
      <c r="K681" s="27" t="n"/>
      <c r="L681" s="28" t="inlineStr">
        <is>
          <t>No</t>
        </is>
      </c>
      <c r="M681" s="29">
        <f>IF(E681="","",IF(H681="Yes","❌ Disc",IF(G681="No","⚠ Missing",IF(J681="Yes","✓ OK","⚠ Check"))))</f>
        <v/>
      </c>
      <c r="N681" s="43" t="n">
        <v>46193</v>
      </c>
      <c r="O681" s="26" t="inlineStr">
        <is>
          <t>Sunil CR</t>
        </is>
      </c>
      <c r="P681" s="26" t="inlineStr">
        <is>
          <t>Yes</t>
        </is>
      </c>
      <c r="Q681" s="26" t="inlineStr">
        <is>
          <t>No</t>
        </is>
      </c>
      <c r="R681" s="26" t="inlineStr">
        <is>
          <t>Good finish</t>
        </is>
      </c>
      <c r="S681" s="26" t="inlineStr">
        <is>
          <t>Yes</t>
        </is>
      </c>
      <c r="T681" s="27" t="n"/>
      <c r="U681" s="28" t="inlineStr">
        <is>
          <t>No</t>
        </is>
      </c>
      <c r="V681" s="29">
        <f>IF(N681="","",IF(Q681="Yes","❌ Disc",IF(P681="No","⚠ Missing",IF(S681="Yes","✓ OK","⚠ Check"))))</f>
        <v/>
      </c>
      <c r="W681" s="65" t="n">
        <v>46248</v>
      </c>
      <c r="X681" s="30" t="inlineStr">
        <is>
          <t>Sunil CR</t>
        </is>
      </c>
      <c r="Y681" s="30" t="inlineStr">
        <is>
          <t>Yes</t>
        </is>
      </c>
      <c r="Z681" s="30" t="n"/>
      <c r="AA681" s="30" t="inlineStr">
        <is>
          <t>Good finish</t>
        </is>
      </c>
      <c r="AB681" s="30" t="inlineStr">
        <is>
          <t>Yes</t>
        </is>
      </c>
      <c r="AC681" s="27" t="n"/>
      <c r="AD681" s="31" t="inlineStr">
        <is>
          <t>No</t>
        </is>
      </c>
      <c r="AE681" s="32">
        <f>IF(W681="","",IF(Z681="Yes","❌ Disc",IF(Y681="No","⚠ Missing",IF(AB681="Yes","✓ OK","⚠ Check"))))</f>
        <v/>
      </c>
      <c r="AF681" s="33" t="n"/>
      <c r="AG681" s="33" t="n"/>
      <c r="AH681" s="33" t="n"/>
      <c r="AI681" s="33" t="n"/>
      <c r="AJ681" s="33" t="n"/>
      <c r="AK681" s="33" t="n"/>
      <c r="AL681" s="27" t="n"/>
      <c r="AM681" s="34" t="n"/>
      <c r="AN681" s="35">
        <f>IF(AF681="","",IF(AI681="Yes","❌ Disc",IF(AH681="No","⚠ Missing",IF(AK681="Yes","✓ OK","⚠ Check"))))</f>
        <v/>
      </c>
      <c r="AO681" s="36" t="n"/>
      <c r="AP681" s="36" t="n"/>
      <c r="AQ681" s="36" t="n"/>
      <c r="AR681" s="36" t="n"/>
      <c r="AS681" s="36" t="n"/>
      <c r="AT681" s="36" t="n"/>
      <c r="AU681" s="27" t="n"/>
      <c r="AV681" s="37" t="n"/>
      <c r="AW681" s="38">
        <f>IF(AO681="","",IF(AR681="Yes","❌ Disc",IF(AQ681="No","⚠ Missing",IF(AT681="Yes","✓ OK","⚠ Check"))))</f>
        <v/>
      </c>
    </row>
    <row r="682" ht="18" customHeight="1" s="46">
      <c r="A682" s="39" t="n">
        <v>678</v>
      </c>
      <c r="B682" s="40" t="inlineStr">
        <is>
          <t>WP LNCCN1015421</t>
        </is>
      </c>
      <c r="C682" s="41" t="inlineStr">
        <is>
          <t>Life n Colors - Colourful Water Coloured Polka Dots for Kids Room  -  Canvas - a texture paper</t>
        </is>
      </c>
      <c r="D682" s="39" t="inlineStr">
        <is>
          <t>Life n Colors</t>
        </is>
      </c>
      <c r="E682" s="43" t="n">
        <v>46126</v>
      </c>
      <c r="F682" s="26" t="inlineStr">
        <is>
          <t>Sunil CR</t>
        </is>
      </c>
      <c r="G682" s="26" t="inlineStr">
        <is>
          <t>Yes</t>
        </is>
      </c>
      <c r="H682" s="26" t="inlineStr">
        <is>
          <t>No</t>
        </is>
      </c>
      <c r="I682" s="26" t="inlineStr">
        <is>
          <t>Good finish</t>
        </is>
      </c>
      <c r="J682" s="26" t="inlineStr">
        <is>
          <t>Yes</t>
        </is>
      </c>
      <c r="K682" s="27" t="n"/>
      <c r="L682" s="28" t="inlineStr">
        <is>
          <t>No</t>
        </is>
      </c>
      <c r="M682" s="29">
        <f>IF(E682="","",IF(H682="Yes","❌ Disc",IF(G682="No","⚠ Missing",IF(J682="Yes","✓ OK","⚠ Check"))))</f>
        <v/>
      </c>
      <c r="N682" s="43" t="n">
        <v>46193</v>
      </c>
      <c r="O682" s="26" t="inlineStr">
        <is>
          <t>Sunil CR</t>
        </is>
      </c>
      <c r="P682" s="26" t="inlineStr">
        <is>
          <t>Yes</t>
        </is>
      </c>
      <c r="Q682" s="26" t="inlineStr">
        <is>
          <t>No</t>
        </is>
      </c>
      <c r="R682" s="26" t="inlineStr">
        <is>
          <t>Good finish</t>
        </is>
      </c>
      <c r="S682" s="26" t="inlineStr">
        <is>
          <t>Yes</t>
        </is>
      </c>
      <c r="T682" s="27" t="n"/>
      <c r="U682" s="28" t="inlineStr">
        <is>
          <t>No</t>
        </is>
      </c>
      <c r="V682" s="29">
        <f>IF(N682="","",IF(Q682="Yes","❌ Disc",IF(P682="No","⚠ Missing",IF(S682="Yes","✓ OK","⚠ Check"))))</f>
        <v/>
      </c>
      <c r="W682" s="65" t="n">
        <v>46248</v>
      </c>
      <c r="X682" s="30" t="inlineStr">
        <is>
          <t>Sunil CR</t>
        </is>
      </c>
      <c r="Y682" s="30" t="inlineStr">
        <is>
          <t>Yes</t>
        </is>
      </c>
      <c r="Z682" s="30" t="n"/>
      <c r="AA682" s="30" t="inlineStr">
        <is>
          <t>Good finish</t>
        </is>
      </c>
      <c r="AB682" s="30" t="inlineStr">
        <is>
          <t>Yes</t>
        </is>
      </c>
      <c r="AC682" s="27" t="n"/>
      <c r="AD682" s="31" t="inlineStr">
        <is>
          <t>No</t>
        </is>
      </c>
      <c r="AE682" s="32">
        <f>IF(W682="","",IF(Z682="Yes","❌ Disc",IF(Y682="No","⚠ Missing",IF(AB682="Yes","✓ OK","⚠ Check"))))</f>
        <v/>
      </c>
      <c r="AF682" s="33" t="n"/>
      <c r="AG682" s="33" t="n"/>
      <c r="AH682" s="33" t="n"/>
      <c r="AI682" s="33" t="n"/>
      <c r="AJ682" s="33" t="n"/>
      <c r="AK682" s="33" t="n"/>
      <c r="AL682" s="27" t="n"/>
      <c r="AM682" s="34" t="n"/>
      <c r="AN682" s="35">
        <f>IF(AF682="","",IF(AI682="Yes","❌ Disc",IF(AH682="No","⚠ Missing",IF(AK682="Yes","✓ OK","⚠ Check"))))</f>
        <v/>
      </c>
      <c r="AO682" s="36" t="n"/>
      <c r="AP682" s="36" t="n"/>
      <c r="AQ682" s="36" t="n"/>
      <c r="AR682" s="36" t="n"/>
      <c r="AS682" s="36" t="n"/>
      <c r="AT682" s="36" t="n"/>
      <c r="AU682" s="27" t="n"/>
      <c r="AV682" s="37" t="n"/>
      <c r="AW682" s="38">
        <f>IF(AO682="","",IF(AR682="Yes","❌ Disc",IF(AQ682="No","⚠ Missing",IF(AT682="Yes","✓ OK","⚠ Check"))))</f>
        <v/>
      </c>
    </row>
    <row r="683" ht="18" customHeight="1" s="46">
      <c r="A683" s="23" t="n">
        <v>679</v>
      </c>
      <c r="B683" s="24" t="inlineStr">
        <is>
          <t>WP LNCSF1015421</t>
        </is>
      </c>
      <c r="C683" s="25" t="inlineStr">
        <is>
          <t>Life n Colors - Colourful Water Coloured Polka Dots for Kids Room  - Non-woven - a soft feel paper</t>
        </is>
      </c>
      <c r="D683" s="23" t="inlineStr">
        <is>
          <t>Life n Colors</t>
        </is>
      </c>
      <c r="E683" s="43" t="n">
        <v>46126</v>
      </c>
      <c r="F683" s="26" t="inlineStr">
        <is>
          <t>Sunil CR</t>
        </is>
      </c>
      <c r="G683" s="26" t="inlineStr">
        <is>
          <t>Yes</t>
        </is>
      </c>
      <c r="H683" s="26" t="inlineStr">
        <is>
          <t>No</t>
        </is>
      </c>
      <c r="I683" s="26" t="inlineStr">
        <is>
          <t>Good finish</t>
        </is>
      </c>
      <c r="J683" s="26" t="inlineStr">
        <is>
          <t>Yes</t>
        </is>
      </c>
      <c r="K683" s="27" t="n"/>
      <c r="L683" s="28" t="inlineStr">
        <is>
          <t>No</t>
        </is>
      </c>
      <c r="M683" s="29">
        <f>IF(E683="","",IF(H683="Yes","❌ Disc",IF(G683="No","⚠ Missing",IF(J683="Yes","✓ OK","⚠ Check"))))</f>
        <v/>
      </c>
      <c r="N683" s="43" t="n">
        <v>46193</v>
      </c>
      <c r="O683" s="26" t="inlineStr">
        <is>
          <t>Sunil CR</t>
        </is>
      </c>
      <c r="P683" s="26" t="inlineStr">
        <is>
          <t>Yes</t>
        </is>
      </c>
      <c r="Q683" s="26" t="inlineStr">
        <is>
          <t>No</t>
        </is>
      </c>
      <c r="R683" s="26" t="inlineStr">
        <is>
          <t>Good finish</t>
        </is>
      </c>
      <c r="S683" s="26" t="inlineStr">
        <is>
          <t>Yes</t>
        </is>
      </c>
      <c r="T683" s="27" t="n"/>
      <c r="U683" s="28" t="inlineStr">
        <is>
          <t>No</t>
        </is>
      </c>
      <c r="V683" s="29">
        <f>IF(N683="","",IF(Q683="Yes","❌ Disc",IF(P683="No","⚠ Missing",IF(S683="Yes","✓ OK","⚠ Check"))))</f>
        <v/>
      </c>
      <c r="W683" s="65" t="n">
        <v>46248</v>
      </c>
      <c r="X683" s="30" t="inlineStr">
        <is>
          <t>Sunil CR</t>
        </is>
      </c>
      <c r="Y683" s="30" t="inlineStr">
        <is>
          <t>Yes</t>
        </is>
      </c>
      <c r="Z683" s="30" t="n"/>
      <c r="AA683" s="30" t="inlineStr">
        <is>
          <t>Good finish</t>
        </is>
      </c>
      <c r="AB683" s="30" t="inlineStr">
        <is>
          <t>Yes</t>
        </is>
      </c>
      <c r="AC683" s="27" t="n"/>
      <c r="AD683" s="31" t="inlineStr">
        <is>
          <t>No</t>
        </is>
      </c>
      <c r="AE683" s="32">
        <f>IF(W683="","",IF(Z683="Yes","❌ Disc",IF(Y683="No","⚠ Missing",IF(AB683="Yes","✓ OK","⚠ Check"))))</f>
        <v/>
      </c>
      <c r="AF683" s="33" t="n"/>
      <c r="AG683" s="33" t="n"/>
      <c r="AH683" s="33" t="n"/>
      <c r="AI683" s="33" t="n"/>
      <c r="AJ683" s="33" t="n"/>
      <c r="AK683" s="33" t="n"/>
      <c r="AL683" s="27" t="n"/>
      <c r="AM683" s="34" t="n"/>
      <c r="AN683" s="35">
        <f>IF(AF683="","",IF(AI683="Yes","❌ Disc",IF(AH683="No","⚠ Missing",IF(AK683="Yes","✓ OK","⚠ Check"))))</f>
        <v/>
      </c>
      <c r="AO683" s="36" t="n"/>
      <c r="AP683" s="36" t="n"/>
      <c r="AQ683" s="36" t="n"/>
      <c r="AR683" s="36" t="n"/>
      <c r="AS683" s="36" t="n"/>
      <c r="AT683" s="36" t="n"/>
      <c r="AU683" s="27" t="n"/>
      <c r="AV683" s="37" t="n"/>
      <c r="AW683" s="38">
        <f>IF(AO683="","",IF(AR683="Yes","❌ Disc",IF(AQ683="No","⚠ Missing",IF(AT683="Yes","✓ OK","⚠ Check"))))</f>
        <v/>
      </c>
    </row>
    <row r="684" ht="18" customHeight="1" s="46">
      <c r="A684" s="39" t="n">
        <v>680</v>
      </c>
      <c r="B684" s="40" t="inlineStr">
        <is>
          <t>WP LNCSF1038249</t>
        </is>
      </c>
      <c r="C684" s="41" t="inlineStr">
        <is>
          <t>Life n Colors - Cool Cats Motifs For Kids Room  - Non-woven - a soft feel paper</t>
        </is>
      </c>
      <c r="D684" s="39" t="inlineStr">
        <is>
          <t>Life n Colors</t>
        </is>
      </c>
      <c r="E684" s="43" t="n">
        <v>46126</v>
      </c>
      <c r="F684" s="26" t="inlineStr">
        <is>
          <t>Sunil CR</t>
        </is>
      </c>
      <c r="G684" s="26" t="inlineStr">
        <is>
          <t>Yes</t>
        </is>
      </c>
      <c r="H684" s="26" t="inlineStr">
        <is>
          <t>No</t>
        </is>
      </c>
      <c r="I684" s="26" t="inlineStr">
        <is>
          <t>Good finish</t>
        </is>
      </c>
      <c r="J684" s="26" t="inlineStr">
        <is>
          <t>Yes</t>
        </is>
      </c>
      <c r="K684" s="27" t="n"/>
      <c r="L684" s="28" t="inlineStr">
        <is>
          <t>No</t>
        </is>
      </c>
      <c r="M684" s="29">
        <f>IF(E684="","",IF(H684="Yes","❌ Disc",IF(G684="No","⚠ Missing",IF(J684="Yes","✓ OK","⚠ Check"))))</f>
        <v/>
      </c>
      <c r="N684" s="43" t="n">
        <v>46193</v>
      </c>
      <c r="O684" s="26" t="inlineStr">
        <is>
          <t>Sunil CR</t>
        </is>
      </c>
      <c r="P684" s="26" t="inlineStr">
        <is>
          <t>Yes</t>
        </is>
      </c>
      <c r="Q684" s="26" t="inlineStr">
        <is>
          <t>No</t>
        </is>
      </c>
      <c r="R684" s="26" t="inlineStr">
        <is>
          <t>Good finish</t>
        </is>
      </c>
      <c r="S684" s="26" t="inlineStr">
        <is>
          <t>Yes</t>
        </is>
      </c>
      <c r="T684" s="27" t="n"/>
      <c r="U684" s="28" t="inlineStr">
        <is>
          <t>No</t>
        </is>
      </c>
      <c r="V684" s="29">
        <f>IF(N684="","",IF(Q684="Yes","❌ Disc",IF(P684="No","⚠ Missing",IF(S684="Yes","✓ OK","⚠ Check"))))</f>
        <v/>
      </c>
      <c r="W684" s="65" t="n">
        <v>46248</v>
      </c>
      <c r="X684" s="30" t="inlineStr">
        <is>
          <t>Sunil CR</t>
        </is>
      </c>
      <c r="Y684" s="30" t="inlineStr">
        <is>
          <t>Yes</t>
        </is>
      </c>
      <c r="Z684" s="30" t="n"/>
      <c r="AA684" s="30" t="inlineStr">
        <is>
          <t>Good finish</t>
        </is>
      </c>
      <c r="AB684" s="30" t="inlineStr">
        <is>
          <t>Yes</t>
        </is>
      </c>
      <c r="AC684" s="27" t="n"/>
      <c r="AD684" s="31" t="inlineStr">
        <is>
          <t>No</t>
        </is>
      </c>
      <c r="AE684" s="32">
        <f>IF(W684="","",IF(Z684="Yes","❌ Disc",IF(Y684="No","⚠ Missing",IF(AB684="Yes","✓ OK","⚠ Check"))))</f>
        <v/>
      </c>
      <c r="AF684" s="33" t="n"/>
      <c r="AG684" s="33" t="n"/>
      <c r="AH684" s="33" t="n"/>
      <c r="AI684" s="33" t="n"/>
      <c r="AJ684" s="33" t="n"/>
      <c r="AK684" s="33" t="n"/>
      <c r="AL684" s="27" t="n"/>
      <c r="AM684" s="34" t="n"/>
      <c r="AN684" s="35">
        <f>IF(AF684="","",IF(AI684="Yes","❌ Disc",IF(AH684="No","⚠ Missing",IF(AK684="Yes","✓ OK","⚠ Check"))))</f>
        <v/>
      </c>
      <c r="AO684" s="36" t="n"/>
      <c r="AP684" s="36" t="n"/>
      <c r="AQ684" s="36" t="n"/>
      <c r="AR684" s="36" t="n"/>
      <c r="AS684" s="36" t="n"/>
      <c r="AT684" s="36" t="n"/>
      <c r="AU684" s="27" t="n"/>
      <c r="AV684" s="37" t="n"/>
      <c r="AW684" s="38">
        <f>IF(AO684="","",IF(AR684="Yes","❌ Disc",IF(AQ684="No","⚠ Missing",IF(AT684="Yes","✓ OK","⚠ Check"))))</f>
        <v/>
      </c>
    </row>
    <row r="685" ht="18" customHeight="1" s="46">
      <c r="A685" s="23" t="n">
        <v>681</v>
      </c>
      <c r="B685" s="24" t="inlineStr">
        <is>
          <t>WP LNCCN1092014</t>
        </is>
      </c>
      <c r="C685" s="25" t="inlineStr">
        <is>
          <t>Life n Colors - Customised Fairies Wallpaper Theme for Girls Room  -  Canvas - a texture paper</t>
        </is>
      </c>
      <c r="D685" s="23" t="inlineStr">
        <is>
          <t>Life n Colors</t>
        </is>
      </c>
      <c r="E685" s="43" t="n">
        <v>46126</v>
      </c>
      <c r="F685" s="26" t="inlineStr">
        <is>
          <t>Sunil CR</t>
        </is>
      </c>
      <c r="G685" s="26" t="inlineStr">
        <is>
          <t>Yes</t>
        </is>
      </c>
      <c r="H685" s="26" t="inlineStr">
        <is>
          <t>No</t>
        </is>
      </c>
      <c r="I685" s="26" t="inlineStr">
        <is>
          <t>Good finish</t>
        </is>
      </c>
      <c r="J685" s="26" t="inlineStr">
        <is>
          <t>Yes</t>
        </is>
      </c>
      <c r="K685" s="27" t="n"/>
      <c r="L685" s="28" t="inlineStr">
        <is>
          <t>No</t>
        </is>
      </c>
      <c r="M685" s="29">
        <f>IF(E685="","",IF(H685="Yes","❌ Disc",IF(G685="No","⚠ Missing",IF(J685="Yes","✓ OK","⚠ Check"))))</f>
        <v/>
      </c>
      <c r="N685" s="43" t="n">
        <v>46193</v>
      </c>
      <c r="O685" s="26" t="inlineStr">
        <is>
          <t>Sunil CR</t>
        </is>
      </c>
      <c r="P685" s="26" t="inlineStr">
        <is>
          <t>Yes</t>
        </is>
      </c>
      <c r="Q685" s="26" t="inlineStr">
        <is>
          <t>No</t>
        </is>
      </c>
      <c r="R685" s="26" t="inlineStr">
        <is>
          <t>Good finish</t>
        </is>
      </c>
      <c r="S685" s="26" t="inlineStr">
        <is>
          <t>Yes</t>
        </is>
      </c>
      <c r="T685" s="27" t="n"/>
      <c r="U685" s="28" t="inlineStr">
        <is>
          <t>No</t>
        </is>
      </c>
      <c r="V685" s="29">
        <f>IF(N685="","",IF(Q685="Yes","❌ Disc",IF(P685="No","⚠ Missing",IF(S685="Yes","✓ OK","⚠ Check"))))</f>
        <v/>
      </c>
      <c r="W685" s="65" t="n">
        <v>46248</v>
      </c>
      <c r="X685" s="30" t="inlineStr">
        <is>
          <t>Sunil CR</t>
        </is>
      </c>
      <c r="Y685" s="30" t="inlineStr">
        <is>
          <t>Yes</t>
        </is>
      </c>
      <c r="Z685" s="30" t="n"/>
      <c r="AA685" s="30" t="inlineStr">
        <is>
          <t>Good finish</t>
        </is>
      </c>
      <c r="AB685" s="30" t="inlineStr">
        <is>
          <t>Yes</t>
        </is>
      </c>
      <c r="AC685" s="27" t="n"/>
      <c r="AD685" s="31" t="inlineStr">
        <is>
          <t>No</t>
        </is>
      </c>
      <c r="AE685" s="32">
        <f>IF(W685="","",IF(Z685="Yes","❌ Disc",IF(Y685="No","⚠ Missing",IF(AB685="Yes","✓ OK","⚠ Check"))))</f>
        <v/>
      </c>
      <c r="AF685" s="33" t="n"/>
      <c r="AG685" s="33" t="n"/>
      <c r="AH685" s="33" t="n"/>
      <c r="AI685" s="33" t="n"/>
      <c r="AJ685" s="33" t="n"/>
      <c r="AK685" s="33" t="n"/>
      <c r="AL685" s="27" t="n"/>
      <c r="AM685" s="34" t="n"/>
      <c r="AN685" s="35">
        <f>IF(AF685="","",IF(AI685="Yes","❌ Disc",IF(AH685="No","⚠ Missing",IF(AK685="Yes","✓ OK","⚠ Check"))))</f>
        <v/>
      </c>
      <c r="AO685" s="36" t="n"/>
      <c r="AP685" s="36" t="n"/>
      <c r="AQ685" s="36" t="n"/>
      <c r="AR685" s="36" t="n"/>
      <c r="AS685" s="36" t="n"/>
      <c r="AT685" s="36" t="n"/>
      <c r="AU685" s="27" t="n"/>
      <c r="AV685" s="37" t="n"/>
      <c r="AW685" s="38">
        <f>IF(AO685="","",IF(AR685="Yes","❌ Disc",IF(AQ685="No","⚠ Missing",IF(AT685="Yes","✓ OK","⚠ Check"))))</f>
        <v/>
      </c>
    </row>
    <row r="686" ht="18" customHeight="1" s="46">
      <c r="A686" s="39" t="n">
        <v>682</v>
      </c>
      <c r="B686" s="40" t="inlineStr">
        <is>
          <t>WP LNCSF1092014</t>
        </is>
      </c>
      <c r="C686" s="41" t="inlineStr">
        <is>
          <t>Life n Colors - Customised Fairies Wallpaper Theme for Girls Room  - Non-woven - a soft feel paper</t>
        </is>
      </c>
      <c r="D686" s="39" t="inlineStr">
        <is>
          <t>Life n Colors</t>
        </is>
      </c>
      <c r="E686" s="43" t="n">
        <v>46126</v>
      </c>
      <c r="F686" s="26" t="inlineStr">
        <is>
          <t>Sunil CR</t>
        </is>
      </c>
      <c r="G686" s="26" t="inlineStr">
        <is>
          <t>Yes</t>
        </is>
      </c>
      <c r="H686" s="26" t="inlineStr">
        <is>
          <t>No</t>
        </is>
      </c>
      <c r="I686" s="26" t="inlineStr">
        <is>
          <t>Good finish</t>
        </is>
      </c>
      <c r="J686" s="26" t="inlineStr">
        <is>
          <t>Yes</t>
        </is>
      </c>
      <c r="K686" s="27" t="n"/>
      <c r="L686" s="28" t="inlineStr">
        <is>
          <t>No</t>
        </is>
      </c>
      <c r="M686" s="29">
        <f>IF(E686="","",IF(H686="Yes","❌ Disc",IF(G686="No","⚠ Missing",IF(J686="Yes","✓ OK","⚠ Check"))))</f>
        <v/>
      </c>
      <c r="N686" s="43" t="n">
        <v>46193</v>
      </c>
      <c r="O686" s="26" t="inlineStr">
        <is>
          <t>Sunil CR</t>
        </is>
      </c>
      <c r="P686" s="26" t="inlineStr">
        <is>
          <t>Yes</t>
        </is>
      </c>
      <c r="Q686" s="26" t="inlineStr">
        <is>
          <t>No</t>
        </is>
      </c>
      <c r="R686" s="26" t="inlineStr">
        <is>
          <t>Good finish</t>
        </is>
      </c>
      <c r="S686" s="26" t="inlineStr">
        <is>
          <t>Yes</t>
        </is>
      </c>
      <c r="T686" s="27" t="n"/>
      <c r="U686" s="28" t="inlineStr">
        <is>
          <t>No</t>
        </is>
      </c>
      <c r="V686" s="29">
        <f>IF(N686="","",IF(Q686="Yes","❌ Disc",IF(P686="No","⚠ Missing",IF(S686="Yes","✓ OK","⚠ Check"))))</f>
        <v/>
      </c>
      <c r="W686" s="65" t="n">
        <v>46248</v>
      </c>
      <c r="X686" s="30" t="inlineStr">
        <is>
          <t>Sunil CR</t>
        </is>
      </c>
      <c r="Y686" s="30" t="inlineStr">
        <is>
          <t>Yes</t>
        </is>
      </c>
      <c r="Z686" s="30" t="n"/>
      <c r="AA686" s="30" t="inlineStr">
        <is>
          <t>Good finish</t>
        </is>
      </c>
      <c r="AB686" s="30" t="inlineStr">
        <is>
          <t>Yes</t>
        </is>
      </c>
      <c r="AC686" s="27" t="n"/>
      <c r="AD686" s="31" t="inlineStr">
        <is>
          <t>No</t>
        </is>
      </c>
      <c r="AE686" s="32">
        <f>IF(W686="","",IF(Z686="Yes","❌ Disc",IF(Y686="No","⚠ Missing",IF(AB686="Yes","✓ OK","⚠ Check"))))</f>
        <v/>
      </c>
      <c r="AF686" s="33" t="n"/>
      <c r="AG686" s="33" t="n"/>
      <c r="AH686" s="33" t="n"/>
      <c r="AI686" s="33" t="n"/>
      <c r="AJ686" s="33" t="n"/>
      <c r="AK686" s="33" t="n"/>
      <c r="AL686" s="27" t="n"/>
      <c r="AM686" s="34" t="n"/>
      <c r="AN686" s="35">
        <f>IF(AF686="","",IF(AI686="Yes","❌ Disc",IF(AH686="No","⚠ Missing",IF(AK686="Yes","✓ OK","⚠ Check"))))</f>
        <v/>
      </c>
      <c r="AO686" s="36" t="n"/>
      <c r="AP686" s="36" t="n"/>
      <c r="AQ686" s="36" t="n"/>
      <c r="AR686" s="36" t="n"/>
      <c r="AS686" s="36" t="n"/>
      <c r="AT686" s="36" t="n"/>
      <c r="AU686" s="27" t="n"/>
      <c r="AV686" s="37" t="n"/>
      <c r="AW686" s="38">
        <f>IF(AO686="","",IF(AR686="Yes","❌ Disc",IF(AQ686="No","⚠ Missing",IF(AT686="Yes","✓ OK","⚠ Check"))))</f>
        <v/>
      </c>
    </row>
    <row r="687" ht="18" customHeight="1" s="46">
      <c r="A687" s="23" t="n">
        <v>683</v>
      </c>
      <c r="B687" s="24" t="inlineStr">
        <is>
          <t>WP LNCCN1137861</t>
        </is>
      </c>
      <c r="C687" s="25" t="inlineStr">
        <is>
          <t>Life n Colors - Customised Space Theme Wallpaper Design for Kids Room  -  Canvas - a texture paper</t>
        </is>
      </c>
      <c r="D687" s="23" t="inlineStr">
        <is>
          <t>Life n Colors</t>
        </is>
      </c>
      <c r="E687" s="43" t="n">
        <v>46126</v>
      </c>
      <c r="F687" s="26" t="inlineStr">
        <is>
          <t>Sunil CR</t>
        </is>
      </c>
      <c r="G687" s="26" t="inlineStr">
        <is>
          <t>Yes</t>
        </is>
      </c>
      <c r="H687" s="26" t="inlineStr">
        <is>
          <t>No</t>
        </is>
      </c>
      <c r="I687" s="26" t="inlineStr">
        <is>
          <t>Good finish</t>
        </is>
      </c>
      <c r="J687" s="26" t="inlineStr">
        <is>
          <t>Yes</t>
        </is>
      </c>
      <c r="K687" s="27" t="n"/>
      <c r="L687" s="28" t="inlineStr">
        <is>
          <t>No</t>
        </is>
      </c>
      <c r="M687" s="29">
        <f>IF(E687="","",IF(H687="Yes","❌ Disc",IF(G687="No","⚠ Missing",IF(J687="Yes","✓ OK","⚠ Check"))))</f>
        <v/>
      </c>
      <c r="N687" s="43" t="n">
        <v>46193</v>
      </c>
      <c r="O687" s="26" t="inlineStr">
        <is>
          <t>Sunil CR</t>
        </is>
      </c>
      <c r="P687" s="26" t="inlineStr">
        <is>
          <t>Yes</t>
        </is>
      </c>
      <c r="Q687" s="26" t="inlineStr">
        <is>
          <t>No</t>
        </is>
      </c>
      <c r="R687" s="26" t="inlineStr">
        <is>
          <t>Good finish</t>
        </is>
      </c>
      <c r="S687" s="26" t="inlineStr">
        <is>
          <t>Yes</t>
        </is>
      </c>
      <c r="T687" s="27" t="n"/>
      <c r="U687" s="28" t="inlineStr">
        <is>
          <t>No</t>
        </is>
      </c>
      <c r="V687" s="29">
        <f>IF(N687="","",IF(Q687="Yes","❌ Disc",IF(P687="No","⚠ Missing",IF(S687="Yes","✓ OK","⚠ Check"))))</f>
        <v/>
      </c>
      <c r="W687" s="65" t="n">
        <v>46248</v>
      </c>
      <c r="X687" s="30" t="inlineStr">
        <is>
          <t>Sunil CR</t>
        </is>
      </c>
      <c r="Y687" s="30" t="inlineStr">
        <is>
          <t>Yes</t>
        </is>
      </c>
      <c r="Z687" s="30" t="n"/>
      <c r="AA687" s="30" t="inlineStr">
        <is>
          <t>Good finish</t>
        </is>
      </c>
      <c r="AB687" s="30" t="inlineStr">
        <is>
          <t>Yes</t>
        </is>
      </c>
      <c r="AC687" s="27" t="n"/>
      <c r="AD687" s="31" t="inlineStr">
        <is>
          <t>No</t>
        </is>
      </c>
      <c r="AE687" s="32">
        <f>IF(W687="","",IF(Z687="Yes","❌ Disc",IF(Y687="No","⚠ Missing",IF(AB687="Yes","✓ OK","⚠ Check"))))</f>
        <v/>
      </c>
      <c r="AF687" s="33" t="n"/>
      <c r="AG687" s="33" t="n"/>
      <c r="AH687" s="33" t="n"/>
      <c r="AI687" s="33" t="n"/>
      <c r="AJ687" s="33" t="n"/>
      <c r="AK687" s="33" t="n"/>
      <c r="AL687" s="27" t="n"/>
      <c r="AM687" s="34" t="n"/>
      <c r="AN687" s="35">
        <f>IF(AF687="","",IF(AI687="Yes","❌ Disc",IF(AH687="No","⚠ Missing",IF(AK687="Yes","✓ OK","⚠ Check"))))</f>
        <v/>
      </c>
      <c r="AO687" s="36" t="n"/>
      <c r="AP687" s="36" t="n"/>
      <c r="AQ687" s="36" t="n"/>
      <c r="AR687" s="36" t="n"/>
      <c r="AS687" s="36" t="n"/>
      <c r="AT687" s="36" t="n"/>
      <c r="AU687" s="27" t="n"/>
      <c r="AV687" s="37" t="n"/>
      <c r="AW687" s="38">
        <f>IF(AO687="","",IF(AR687="Yes","❌ Disc",IF(AQ687="No","⚠ Missing",IF(AT687="Yes","✓ OK","⚠ Check"))))</f>
        <v/>
      </c>
    </row>
    <row r="688" ht="18" customHeight="1" s="46">
      <c r="A688" s="39" t="n">
        <v>684</v>
      </c>
      <c r="B688" s="40" t="inlineStr">
        <is>
          <t>WP LNCSF1137861</t>
        </is>
      </c>
      <c r="C688" s="41" t="inlineStr">
        <is>
          <t>Life n Colors - Customised Space Theme Wallpaper Design for Kids Room  - Non-woven - a soft feel paper</t>
        </is>
      </c>
      <c r="D688" s="39" t="inlineStr">
        <is>
          <t>Life n Colors</t>
        </is>
      </c>
      <c r="E688" s="43" t="n">
        <v>46126</v>
      </c>
      <c r="F688" s="26" t="inlineStr">
        <is>
          <t>Sunil CR</t>
        </is>
      </c>
      <c r="G688" s="26" t="inlineStr">
        <is>
          <t>Yes</t>
        </is>
      </c>
      <c r="H688" s="26" t="inlineStr">
        <is>
          <t>No</t>
        </is>
      </c>
      <c r="I688" s="26" t="inlineStr">
        <is>
          <t>Good finish</t>
        </is>
      </c>
      <c r="J688" s="26" t="inlineStr">
        <is>
          <t>Yes</t>
        </is>
      </c>
      <c r="K688" s="27" t="n"/>
      <c r="L688" s="28" t="inlineStr">
        <is>
          <t>No</t>
        </is>
      </c>
      <c r="M688" s="29">
        <f>IF(E688="","",IF(H688="Yes","❌ Disc",IF(G688="No","⚠ Missing",IF(J688="Yes","✓ OK","⚠ Check"))))</f>
        <v/>
      </c>
      <c r="N688" s="43" t="n">
        <v>46193</v>
      </c>
      <c r="O688" s="26" t="inlineStr">
        <is>
          <t>Sunil CR</t>
        </is>
      </c>
      <c r="P688" s="26" t="inlineStr">
        <is>
          <t>Yes</t>
        </is>
      </c>
      <c r="Q688" s="26" t="inlineStr">
        <is>
          <t>No</t>
        </is>
      </c>
      <c r="R688" s="26" t="inlineStr">
        <is>
          <t>Good finish</t>
        </is>
      </c>
      <c r="S688" s="26" t="inlineStr">
        <is>
          <t>Yes</t>
        </is>
      </c>
      <c r="T688" s="27" t="n"/>
      <c r="U688" s="28" t="inlineStr">
        <is>
          <t>No</t>
        </is>
      </c>
      <c r="V688" s="29">
        <f>IF(N688="","",IF(Q688="Yes","❌ Disc",IF(P688="No","⚠ Missing",IF(S688="Yes","✓ OK","⚠ Check"))))</f>
        <v/>
      </c>
      <c r="W688" s="65" t="n">
        <v>46248</v>
      </c>
      <c r="X688" s="30" t="inlineStr">
        <is>
          <t>Sunil CR</t>
        </is>
      </c>
      <c r="Y688" s="30" t="inlineStr">
        <is>
          <t>Yes</t>
        </is>
      </c>
      <c r="Z688" s="30" t="n"/>
      <c r="AA688" s="30" t="inlineStr">
        <is>
          <t>Good finish</t>
        </is>
      </c>
      <c r="AB688" s="30" t="inlineStr">
        <is>
          <t>Yes</t>
        </is>
      </c>
      <c r="AC688" s="27" t="n"/>
      <c r="AD688" s="31" t="inlineStr">
        <is>
          <t>No</t>
        </is>
      </c>
      <c r="AE688" s="32">
        <f>IF(W688="","",IF(Z688="Yes","❌ Disc",IF(Y688="No","⚠ Missing",IF(AB688="Yes","✓ OK","⚠ Check"))))</f>
        <v/>
      </c>
      <c r="AF688" s="33" t="n"/>
      <c r="AG688" s="33" t="n"/>
      <c r="AH688" s="33" t="n"/>
      <c r="AI688" s="33" t="n"/>
      <c r="AJ688" s="33" t="n"/>
      <c r="AK688" s="33" t="n"/>
      <c r="AL688" s="27" t="n"/>
      <c r="AM688" s="34" t="n"/>
      <c r="AN688" s="35">
        <f>IF(AF688="","",IF(AI688="Yes","❌ Disc",IF(AH688="No","⚠ Missing",IF(AK688="Yes","✓ OK","⚠ Check"))))</f>
        <v/>
      </c>
      <c r="AO688" s="36" t="n"/>
      <c r="AP688" s="36" t="n"/>
      <c r="AQ688" s="36" t="n"/>
      <c r="AR688" s="36" t="n"/>
      <c r="AS688" s="36" t="n"/>
      <c r="AT688" s="36" t="n"/>
      <c r="AU688" s="27" t="n"/>
      <c r="AV688" s="37" t="n"/>
      <c r="AW688" s="38">
        <f>IF(AO688="","",IF(AR688="Yes","❌ Disc",IF(AQ688="No","⚠ Missing",IF(AT688="Yes","✓ OK","⚠ Check"))))</f>
        <v/>
      </c>
    </row>
    <row r="689" ht="18" customHeight="1" s="46">
      <c r="A689" s="23" t="n">
        <v>685</v>
      </c>
      <c r="B689" s="24" t="inlineStr">
        <is>
          <t>WP LNCCN1163811</t>
        </is>
      </c>
      <c r="C689" s="25" t="inlineStr">
        <is>
          <t>Life n Colors - Cute Animal Design Wallpaper for Nursery Rooms  -  Canvas - a texture paper</t>
        </is>
      </c>
      <c r="D689" s="23" t="inlineStr">
        <is>
          <t>Life n Colors</t>
        </is>
      </c>
      <c r="E689" s="43" t="n">
        <v>46126</v>
      </c>
      <c r="F689" s="26" t="inlineStr">
        <is>
          <t>Sunil CR</t>
        </is>
      </c>
      <c r="G689" s="26" t="inlineStr">
        <is>
          <t>Yes</t>
        </is>
      </c>
      <c r="H689" s="26" t="inlineStr">
        <is>
          <t>No</t>
        </is>
      </c>
      <c r="I689" s="26" t="inlineStr">
        <is>
          <t>Good finish</t>
        </is>
      </c>
      <c r="J689" s="26" t="inlineStr">
        <is>
          <t>Yes</t>
        </is>
      </c>
      <c r="K689" s="27" t="n"/>
      <c r="L689" s="28" t="inlineStr">
        <is>
          <t>No</t>
        </is>
      </c>
      <c r="M689" s="29">
        <f>IF(E689="","",IF(H689="Yes","❌ Disc",IF(G689="No","⚠ Missing",IF(J689="Yes","✓ OK","⚠ Check"))))</f>
        <v/>
      </c>
      <c r="N689" s="43" t="n">
        <v>46193</v>
      </c>
      <c r="O689" s="26" t="inlineStr">
        <is>
          <t>Sunil CR</t>
        </is>
      </c>
      <c r="P689" s="26" t="inlineStr">
        <is>
          <t>Yes</t>
        </is>
      </c>
      <c r="Q689" s="26" t="inlineStr">
        <is>
          <t>No</t>
        </is>
      </c>
      <c r="R689" s="26" t="inlineStr">
        <is>
          <t>Good finish</t>
        </is>
      </c>
      <c r="S689" s="26" t="inlineStr">
        <is>
          <t>Yes</t>
        </is>
      </c>
      <c r="T689" s="27" t="n"/>
      <c r="U689" s="28" t="inlineStr">
        <is>
          <t>No</t>
        </is>
      </c>
      <c r="V689" s="29">
        <f>IF(N689="","",IF(Q689="Yes","❌ Disc",IF(P689="No","⚠ Missing",IF(S689="Yes","✓ OK","⚠ Check"))))</f>
        <v/>
      </c>
      <c r="W689" s="65" t="n">
        <v>46248</v>
      </c>
      <c r="X689" s="30" t="inlineStr">
        <is>
          <t>Sunil CR</t>
        </is>
      </c>
      <c r="Y689" s="30" t="inlineStr">
        <is>
          <t>Yes</t>
        </is>
      </c>
      <c r="Z689" s="30" t="n"/>
      <c r="AA689" s="30" t="inlineStr">
        <is>
          <t>Good finish</t>
        </is>
      </c>
      <c r="AB689" s="30" t="inlineStr">
        <is>
          <t>Yes</t>
        </is>
      </c>
      <c r="AC689" s="27" t="n"/>
      <c r="AD689" s="31" t="inlineStr">
        <is>
          <t>No</t>
        </is>
      </c>
      <c r="AE689" s="32">
        <f>IF(W689="","",IF(Z689="Yes","❌ Disc",IF(Y689="No","⚠ Missing",IF(AB689="Yes","✓ OK","⚠ Check"))))</f>
        <v/>
      </c>
      <c r="AF689" s="33" t="n"/>
      <c r="AG689" s="33" t="n"/>
      <c r="AH689" s="33" t="n"/>
      <c r="AI689" s="33" t="n"/>
      <c r="AJ689" s="33" t="n"/>
      <c r="AK689" s="33" t="n"/>
      <c r="AL689" s="27" t="n"/>
      <c r="AM689" s="34" t="n"/>
      <c r="AN689" s="35">
        <f>IF(AF689="","",IF(AI689="Yes","❌ Disc",IF(AH689="No","⚠ Missing",IF(AK689="Yes","✓ OK","⚠ Check"))))</f>
        <v/>
      </c>
      <c r="AO689" s="36" t="n"/>
      <c r="AP689" s="36" t="n"/>
      <c r="AQ689" s="36" t="n"/>
      <c r="AR689" s="36" t="n"/>
      <c r="AS689" s="36" t="n"/>
      <c r="AT689" s="36" t="n"/>
      <c r="AU689" s="27" t="n"/>
      <c r="AV689" s="37" t="n"/>
      <c r="AW689" s="38">
        <f>IF(AO689="","",IF(AR689="Yes","❌ Disc",IF(AQ689="No","⚠ Missing",IF(AT689="Yes","✓ OK","⚠ Check"))))</f>
        <v/>
      </c>
    </row>
    <row r="690" ht="18" customHeight="1" s="46">
      <c r="A690" s="39" t="n">
        <v>686</v>
      </c>
      <c r="B690" s="40" t="inlineStr">
        <is>
          <t>WP LNCSF1163811</t>
        </is>
      </c>
      <c r="C690" s="41" t="inlineStr">
        <is>
          <t>Life n Colors - Cute Animal Design Wallpaper for Nursery Rooms  - Non-woven - a soft feel paper</t>
        </is>
      </c>
      <c r="D690" s="39" t="inlineStr">
        <is>
          <t>Life n Colors</t>
        </is>
      </c>
      <c r="E690" s="43" t="n">
        <v>46126</v>
      </c>
      <c r="F690" s="26" t="inlineStr">
        <is>
          <t>Sunil CR</t>
        </is>
      </c>
      <c r="G690" s="26" t="inlineStr">
        <is>
          <t>Yes</t>
        </is>
      </c>
      <c r="H690" s="26" t="inlineStr">
        <is>
          <t>No</t>
        </is>
      </c>
      <c r="I690" s="26" t="inlineStr">
        <is>
          <t>Good finish</t>
        </is>
      </c>
      <c r="J690" s="26" t="inlineStr">
        <is>
          <t>Yes</t>
        </is>
      </c>
      <c r="K690" s="27" t="n"/>
      <c r="L690" s="28" t="inlineStr">
        <is>
          <t>No</t>
        </is>
      </c>
      <c r="M690" s="29">
        <f>IF(E690="","",IF(H690="Yes","❌ Disc",IF(G690="No","⚠ Missing",IF(J690="Yes","✓ OK","⚠ Check"))))</f>
        <v/>
      </c>
      <c r="N690" s="43" t="n">
        <v>46193</v>
      </c>
      <c r="O690" s="26" t="inlineStr">
        <is>
          <t>Sunil CR</t>
        </is>
      </c>
      <c r="P690" s="26" t="inlineStr">
        <is>
          <t>Yes</t>
        </is>
      </c>
      <c r="Q690" s="26" t="inlineStr">
        <is>
          <t>No</t>
        </is>
      </c>
      <c r="R690" s="26" t="inlineStr">
        <is>
          <t>Good finish</t>
        </is>
      </c>
      <c r="S690" s="26" t="inlineStr">
        <is>
          <t>Yes</t>
        </is>
      </c>
      <c r="T690" s="27" t="n"/>
      <c r="U690" s="28" t="inlineStr">
        <is>
          <t>No</t>
        </is>
      </c>
      <c r="V690" s="29">
        <f>IF(N690="","",IF(Q690="Yes","❌ Disc",IF(P690="No","⚠ Missing",IF(S690="Yes","✓ OK","⚠ Check"))))</f>
        <v/>
      </c>
      <c r="W690" s="65" t="n">
        <v>46248</v>
      </c>
      <c r="X690" s="30" t="inlineStr">
        <is>
          <t>Sunil CR</t>
        </is>
      </c>
      <c r="Y690" s="30" t="inlineStr">
        <is>
          <t>Yes</t>
        </is>
      </c>
      <c r="Z690" s="30" t="n"/>
      <c r="AA690" s="30" t="inlineStr">
        <is>
          <t>Good finish</t>
        </is>
      </c>
      <c r="AB690" s="30" t="inlineStr">
        <is>
          <t>Yes</t>
        </is>
      </c>
      <c r="AC690" s="27" t="n"/>
      <c r="AD690" s="31" t="inlineStr">
        <is>
          <t>No</t>
        </is>
      </c>
      <c r="AE690" s="32">
        <f>IF(W690="","",IF(Z690="Yes","❌ Disc",IF(Y690="No","⚠ Missing",IF(AB690="Yes","✓ OK","⚠ Check"))))</f>
        <v/>
      </c>
      <c r="AF690" s="33" t="n"/>
      <c r="AG690" s="33" t="n"/>
      <c r="AH690" s="33" t="n"/>
      <c r="AI690" s="33" t="n"/>
      <c r="AJ690" s="33" t="n"/>
      <c r="AK690" s="33" t="n"/>
      <c r="AL690" s="27" t="n"/>
      <c r="AM690" s="34" t="n"/>
      <c r="AN690" s="35">
        <f>IF(AF690="","",IF(AI690="Yes","❌ Disc",IF(AH690="No","⚠ Missing",IF(AK690="Yes","✓ OK","⚠ Check"))))</f>
        <v/>
      </c>
      <c r="AO690" s="36" t="n"/>
      <c r="AP690" s="36" t="n"/>
      <c r="AQ690" s="36" t="n"/>
      <c r="AR690" s="36" t="n"/>
      <c r="AS690" s="36" t="n"/>
      <c r="AT690" s="36" t="n"/>
      <c r="AU690" s="27" t="n"/>
      <c r="AV690" s="37" t="n"/>
      <c r="AW690" s="38">
        <f>IF(AO690="","",IF(AR690="Yes","❌ Disc",IF(AQ690="No","⚠ Missing",IF(AT690="Yes","✓ OK","⚠ Check"))))</f>
        <v/>
      </c>
    </row>
    <row r="691" ht="18" customHeight="1" s="46">
      <c r="A691" s="23" t="n">
        <v>687</v>
      </c>
      <c r="B691" s="24" t="inlineStr">
        <is>
          <t>WP LNCCN1086193</t>
        </is>
      </c>
      <c r="C691" s="25" t="inlineStr">
        <is>
          <t>Life n Colors - Cute Animal Safari Wallpaper for Kid  -  Canvas - a texture paper</t>
        </is>
      </c>
      <c r="D691" s="23" t="inlineStr">
        <is>
          <t>Life n Colors</t>
        </is>
      </c>
      <c r="E691" s="43" t="n">
        <v>46126</v>
      </c>
      <c r="F691" s="26" t="inlineStr">
        <is>
          <t>Sunil CR</t>
        </is>
      </c>
      <c r="G691" s="26" t="inlineStr">
        <is>
          <t>Yes</t>
        </is>
      </c>
      <c r="H691" s="26" t="inlineStr">
        <is>
          <t>No</t>
        </is>
      </c>
      <c r="I691" s="26" t="inlineStr">
        <is>
          <t>Good finish</t>
        </is>
      </c>
      <c r="J691" s="26" t="inlineStr">
        <is>
          <t>Yes</t>
        </is>
      </c>
      <c r="K691" s="27" t="n"/>
      <c r="L691" s="28" t="inlineStr">
        <is>
          <t>No</t>
        </is>
      </c>
      <c r="M691" s="29">
        <f>IF(E691="","",IF(H691="Yes","❌ Disc",IF(G691="No","⚠ Missing",IF(J691="Yes","✓ OK","⚠ Check"))))</f>
        <v/>
      </c>
      <c r="N691" s="43" t="n">
        <v>46193</v>
      </c>
      <c r="O691" s="26" t="inlineStr">
        <is>
          <t>Sunil CR</t>
        </is>
      </c>
      <c r="P691" s="26" t="inlineStr">
        <is>
          <t>Yes</t>
        </is>
      </c>
      <c r="Q691" s="26" t="inlineStr">
        <is>
          <t>No</t>
        </is>
      </c>
      <c r="R691" s="26" t="inlineStr">
        <is>
          <t>Good finish</t>
        </is>
      </c>
      <c r="S691" s="26" t="inlineStr">
        <is>
          <t>Yes</t>
        </is>
      </c>
      <c r="T691" s="27" t="n"/>
      <c r="U691" s="28" t="inlineStr">
        <is>
          <t>No</t>
        </is>
      </c>
      <c r="V691" s="29">
        <f>IF(N691="","",IF(Q691="Yes","❌ Disc",IF(P691="No","⚠ Missing",IF(S691="Yes","✓ OK","⚠ Check"))))</f>
        <v/>
      </c>
      <c r="W691" s="65" t="n">
        <v>46248</v>
      </c>
      <c r="X691" s="30" t="inlineStr">
        <is>
          <t>Sunil CR</t>
        </is>
      </c>
      <c r="Y691" s="30" t="inlineStr">
        <is>
          <t>Yes</t>
        </is>
      </c>
      <c r="Z691" s="30" t="n"/>
      <c r="AA691" s="30" t="inlineStr">
        <is>
          <t>Good finish</t>
        </is>
      </c>
      <c r="AB691" s="30" t="inlineStr">
        <is>
          <t>Yes</t>
        </is>
      </c>
      <c r="AC691" s="27" t="n"/>
      <c r="AD691" s="31" t="inlineStr">
        <is>
          <t>No</t>
        </is>
      </c>
      <c r="AE691" s="32">
        <f>IF(W691="","",IF(Z691="Yes","❌ Disc",IF(Y691="No","⚠ Missing",IF(AB691="Yes","✓ OK","⚠ Check"))))</f>
        <v/>
      </c>
      <c r="AF691" s="33" t="n"/>
      <c r="AG691" s="33" t="n"/>
      <c r="AH691" s="33" t="n"/>
      <c r="AI691" s="33" t="n"/>
      <c r="AJ691" s="33" t="n"/>
      <c r="AK691" s="33" t="n"/>
      <c r="AL691" s="27" t="n"/>
      <c r="AM691" s="34" t="n"/>
      <c r="AN691" s="35">
        <f>IF(AF691="","",IF(AI691="Yes","❌ Disc",IF(AH691="No","⚠ Missing",IF(AK691="Yes","✓ OK","⚠ Check"))))</f>
        <v/>
      </c>
      <c r="AO691" s="36" t="n"/>
      <c r="AP691" s="36" t="n"/>
      <c r="AQ691" s="36" t="n"/>
      <c r="AR691" s="36" t="n"/>
      <c r="AS691" s="36" t="n"/>
      <c r="AT691" s="36" t="n"/>
      <c r="AU691" s="27" t="n"/>
      <c r="AV691" s="37" t="n"/>
      <c r="AW691" s="38">
        <f>IF(AO691="","",IF(AR691="Yes","❌ Disc",IF(AQ691="No","⚠ Missing",IF(AT691="Yes","✓ OK","⚠ Check"))))</f>
        <v/>
      </c>
    </row>
    <row r="692" ht="18" customHeight="1" s="46">
      <c r="A692" s="39" t="n">
        <v>688</v>
      </c>
      <c r="B692" s="40" t="inlineStr">
        <is>
          <t>WP LNCSF1086193</t>
        </is>
      </c>
      <c r="C692" s="41" t="inlineStr">
        <is>
          <t>Life n Colors - Cute Animal Safari Wallpaper for Kid  - Non-woven - a soft feel paper</t>
        </is>
      </c>
      <c r="D692" s="39" t="inlineStr">
        <is>
          <t>Life n Colors</t>
        </is>
      </c>
      <c r="E692" s="43" t="n">
        <v>46126</v>
      </c>
      <c r="F692" s="26" t="inlineStr">
        <is>
          <t>Sunil CR</t>
        </is>
      </c>
      <c r="G692" s="26" t="inlineStr">
        <is>
          <t>Yes</t>
        </is>
      </c>
      <c r="H692" s="26" t="inlineStr">
        <is>
          <t>No</t>
        </is>
      </c>
      <c r="I692" s="26" t="inlineStr">
        <is>
          <t>Good finish</t>
        </is>
      </c>
      <c r="J692" s="26" t="inlineStr">
        <is>
          <t>Yes</t>
        </is>
      </c>
      <c r="K692" s="27" t="n"/>
      <c r="L692" s="28" t="inlineStr">
        <is>
          <t>No</t>
        </is>
      </c>
      <c r="M692" s="29">
        <f>IF(E692="","",IF(H692="Yes","❌ Disc",IF(G692="No","⚠ Missing",IF(J692="Yes","✓ OK","⚠ Check"))))</f>
        <v/>
      </c>
      <c r="N692" s="43" t="n">
        <v>46193</v>
      </c>
      <c r="O692" s="26" t="inlineStr">
        <is>
          <t>Sunil CR</t>
        </is>
      </c>
      <c r="P692" s="26" t="inlineStr">
        <is>
          <t>Yes</t>
        </is>
      </c>
      <c r="Q692" s="26" t="inlineStr">
        <is>
          <t>No</t>
        </is>
      </c>
      <c r="R692" s="26" t="inlineStr">
        <is>
          <t>Good finish</t>
        </is>
      </c>
      <c r="S692" s="26" t="inlineStr">
        <is>
          <t>Yes</t>
        </is>
      </c>
      <c r="T692" s="27" t="n"/>
      <c r="U692" s="28" t="inlineStr">
        <is>
          <t>No</t>
        </is>
      </c>
      <c r="V692" s="29">
        <f>IF(N692="","",IF(Q692="Yes","❌ Disc",IF(P692="No","⚠ Missing",IF(S692="Yes","✓ OK","⚠ Check"))))</f>
        <v/>
      </c>
      <c r="W692" s="65" t="n">
        <v>46248</v>
      </c>
      <c r="X692" s="30" t="inlineStr">
        <is>
          <t>Sunil CR</t>
        </is>
      </c>
      <c r="Y692" s="30" t="inlineStr">
        <is>
          <t>Yes</t>
        </is>
      </c>
      <c r="Z692" s="30" t="n"/>
      <c r="AA692" s="30" t="inlineStr">
        <is>
          <t>Good finish</t>
        </is>
      </c>
      <c r="AB692" s="30" t="inlineStr">
        <is>
          <t>Yes</t>
        </is>
      </c>
      <c r="AC692" s="27" t="n"/>
      <c r="AD692" s="31" t="inlineStr">
        <is>
          <t>No</t>
        </is>
      </c>
      <c r="AE692" s="32">
        <f>IF(W692="","",IF(Z692="Yes","❌ Disc",IF(Y692="No","⚠ Missing",IF(AB692="Yes","✓ OK","⚠ Check"))))</f>
        <v/>
      </c>
      <c r="AF692" s="33" t="n"/>
      <c r="AG692" s="33" t="n"/>
      <c r="AH692" s="33" t="n"/>
      <c r="AI692" s="33" t="n"/>
      <c r="AJ692" s="33" t="n"/>
      <c r="AK692" s="33" t="n"/>
      <c r="AL692" s="27" t="n"/>
      <c r="AM692" s="34" t="n"/>
      <c r="AN692" s="35">
        <f>IF(AF692="","",IF(AI692="Yes","❌ Disc",IF(AH692="No","⚠ Missing",IF(AK692="Yes","✓ OK","⚠ Check"))))</f>
        <v/>
      </c>
      <c r="AO692" s="36" t="n"/>
      <c r="AP692" s="36" t="n"/>
      <c r="AQ692" s="36" t="n"/>
      <c r="AR692" s="36" t="n"/>
      <c r="AS692" s="36" t="n"/>
      <c r="AT692" s="36" t="n"/>
      <c r="AU692" s="27" t="n"/>
      <c r="AV692" s="37" t="n"/>
      <c r="AW692" s="38">
        <f>IF(AO692="","",IF(AR692="Yes","❌ Disc",IF(AQ692="No","⚠ Missing",IF(AT692="Yes","✓ OK","⚠ Check"))))</f>
        <v/>
      </c>
    </row>
    <row r="693" ht="18" customHeight="1" s="46">
      <c r="A693" s="23" t="n">
        <v>689</v>
      </c>
      <c r="B693" s="24" t="inlineStr">
        <is>
          <t>WP LNCCN1167211</t>
        </is>
      </c>
      <c r="C693" s="25" t="inlineStr">
        <is>
          <t>Life n Colors - Cute Animals Theme Kids Room Wallpaper, Customised  -  Canvas - a texture paper</t>
        </is>
      </c>
      <c r="D693" s="23" t="inlineStr">
        <is>
          <t>Life n Colors</t>
        </is>
      </c>
      <c r="E693" s="43" t="n">
        <v>46126</v>
      </c>
      <c r="F693" s="26" t="inlineStr">
        <is>
          <t>Sunil CR</t>
        </is>
      </c>
      <c r="G693" s="26" t="inlineStr">
        <is>
          <t>Yes</t>
        </is>
      </c>
      <c r="H693" s="26" t="inlineStr">
        <is>
          <t>No</t>
        </is>
      </c>
      <c r="I693" s="26" t="inlineStr">
        <is>
          <t>Good finish</t>
        </is>
      </c>
      <c r="J693" s="26" t="inlineStr">
        <is>
          <t>Yes</t>
        </is>
      </c>
      <c r="K693" s="27" t="n"/>
      <c r="L693" s="28" t="inlineStr">
        <is>
          <t>No</t>
        </is>
      </c>
      <c r="M693" s="29">
        <f>IF(E693="","",IF(H693="Yes","❌ Disc",IF(G693="No","⚠ Missing",IF(J693="Yes","✓ OK","⚠ Check"))))</f>
        <v/>
      </c>
      <c r="N693" s="43" t="n">
        <v>46193</v>
      </c>
      <c r="O693" s="26" t="inlineStr">
        <is>
          <t>Sunil CR</t>
        </is>
      </c>
      <c r="P693" s="26" t="inlineStr">
        <is>
          <t>Yes</t>
        </is>
      </c>
      <c r="Q693" s="26" t="inlineStr">
        <is>
          <t>No</t>
        </is>
      </c>
      <c r="R693" s="26" t="inlineStr">
        <is>
          <t>Good finish</t>
        </is>
      </c>
      <c r="S693" s="26" t="inlineStr">
        <is>
          <t>Yes</t>
        </is>
      </c>
      <c r="T693" s="27" t="n"/>
      <c r="U693" s="28" t="inlineStr">
        <is>
          <t>No</t>
        </is>
      </c>
      <c r="V693" s="29">
        <f>IF(N693="","",IF(Q693="Yes","❌ Disc",IF(P693="No","⚠ Missing",IF(S693="Yes","✓ OK","⚠ Check"))))</f>
        <v/>
      </c>
      <c r="W693" s="65" t="n">
        <v>46248</v>
      </c>
      <c r="X693" s="30" t="inlineStr">
        <is>
          <t>Sunil CR</t>
        </is>
      </c>
      <c r="Y693" s="30" t="inlineStr">
        <is>
          <t>Yes</t>
        </is>
      </c>
      <c r="Z693" s="30" t="n"/>
      <c r="AA693" s="30" t="inlineStr">
        <is>
          <t>Good finish</t>
        </is>
      </c>
      <c r="AB693" s="30" t="inlineStr">
        <is>
          <t>Yes</t>
        </is>
      </c>
      <c r="AC693" s="27" t="n"/>
      <c r="AD693" s="31" t="inlineStr">
        <is>
          <t>No</t>
        </is>
      </c>
      <c r="AE693" s="32">
        <f>IF(W693="","",IF(Z693="Yes","❌ Disc",IF(Y693="No","⚠ Missing",IF(AB693="Yes","✓ OK","⚠ Check"))))</f>
        <v/>
      </c>
      <c r="AF693" s="33" t="n"/>
      <c r="AG693" s="33" t="n"/>
      <c r="AH693" s="33" t="n"/>
      <c r="AI693" s="33" t="n"/>
      <c r="AJ693" s="33" t="n"/>
      <c r="AK693" s="33" t="n"/>
      <c r="AL693" s="27" t="n"/>
      <c r="AM693" s="34" t="n"/>
      <c r="AN693" s="35">
        <f>IF(AF693="","",IF(AI693="Yes","❌ Disc",IF(AH693="No","⚠ Missing",IF(AK693="Yes","✓ OK","⚠ Check"))))</f>
        <v/>
      </c>
      <c r="AO693" s="36" t="n"/>
      <c r="AP693" s="36" t="n"/>
      <c r="AQ693" s="36" t="n"/>
      <c r="AR693" s="36" t="n"/>
      <c r="AS693" s="36" t="n"/>
      <c r="AT693" s="36" t="n"/>
      <c r="AU693" s="27" t="n"/>
      <c r="AV693" s="37" t="n"/>
      <c r="AW693" s="38">
        <f>IF(AO693="","",IF(AR693="Yes","❌ Disc",IF(AQ693="No","⚠ Missing",IF(AT693="Yes","✓ OK","⚠ Check"))))</f>
        <v/>
      </c>
    </row>
    <row r="694" ht="18" customHeight="1" s="46">
      <c r="A694" s="39" t="n">
        <v>690</v>
      </c>
      <c r="B694" s="40" t="inlineStr">
        <is>
          <t>WP LNCSF1167211</t>
        </is>
      </c>
      <c r="C694" s="41" t="inlineStr">
        <is>
          <t>Life n Colors - Cute Animals Theme Kids Room Wallpaper, Customised  - Non-woven - a soft feel paper</t>
        </is>
      </c>
      <c r="D694" s="39" t="inlineStr">
        <is>
          <t>Life n Colors</t>
        </is>
      </c>
      <c r="E694" s="43" t="n">
        <v>46126</v>
      </c>
      <c r="F694" s="26" t="inlineStr">
        <is>
          <t>Sunil CR</t>
        </is>
      </c>
      <c r="G694" s="26" t="inlineStr">
        <is>
          <t>Yes</t>
        </is>
      </c>
      <c r="H694" s="26" t="inlineStr">
        <is>
          <t>No</t>
        </is>
      </c>
      <c r="I694" s="26" t="inlineStr">
        <is>
          <t>Good finish</t>
        </is>
      </c>
      <c r="J694" s="26" t="inlineStr">
        <is>
          <t>Yes</t>
        </is>
      </c>
      <c r="K694" s="27" t="n"/>
      <c r="L694" s="28" t="inlineStr">
        <is>
          <t>No</t>
        </is>
      </c>
      <c r="M694" s="29">
        <f>IF(E694="","",IF(H694="Yes","❌ Disc",IF(G694="No","⚠ Missing",IF(J694="Yes","✓ OK","⚠ Check"))))</f>
        <v/>
      </c>
      <c r="N694" s="43" t="n">
        <v>46193</v>
      </c>
      <c r="O694" s="26" t="inlineStr">
        <is>
          <t>Sunil CR</t>
        </is>
      </c>
      <c r="P694" s="26" t="inlineStr">
        <is>
          <t>Yes</t>
        </is>
      </c>
      <c r="Q694" s="26" t="inlineStr">
        <is>
          <t>No</t>
        </is>
      </c>
      <c r="R694" s="26" t="inlineStr">
        <is>
          <t>Good finish</t>
        </is>
      </c>
      <c r="S694" s="26" t="inlineStr">
        <is>
          <t>Yes</t>
        </is>
      </c>
      <c r="T694" s="27" t="n"/>
      <c r="U694" s="28" t="inlineStr">
        <is>
          <t>No</t>
        </is>
      </c>
      <c r="V694" s="29">
        <f>IF(N694="","",IF(Q694="Yes","❌ Disc",IF(P694="No","⚠ Missing",IF(S694="Yes","✓ OK","⚠ Check"))))</f>
        <v/>
      </c>
      <c r="W694" s="65" t="n">
        <v>46248</v>
      </c>
      <c r="X694" s="30" t="inlineStr">
        <is>
          <t>Sunil CR</t>
        </is>
      </c>
      <c r="Y694" s="30" t="inlineStr">
        <is>
          <t>Yes</t>
        </is>
      </c>
      <c r="Z694" s="30" t="n"/>
      <c r="AA694" s="30" t="inlineStr">
        <is>
          <t>Good finish</t>
        </is>
      </c>
      <c r="AB694" s="30" t="inlineStr">
        <is>
          <t>Yes</t>
        </is>
      </c>
      <c r="AC694" s="27" t="n"/>
      <c r="AD694" s="31" t="inlineStr">
        <is>
          <t>No</t>
        </is>
      </c>
      <c r="AE694" s="32">
        <f>IF(W694="","",IF(Z694="Yes","❌ Disc",IF(Y694="No","⚠ Missing",IF(AB694="Yes","✓ OK","⚠ Check"))))</f>
        <v/>
      </c>
      <c r="AF694" s="33" t="n"/>
      <c r="AG694" s="33" t="n"/>
      <c r="AH694" s="33" t="n"/>
      <c r="AI694" s="33" t="n"/>
      <c r="AJ694" s="33" t="n"/>
      <c r="AK694" s="33" t="n"/>
      <c r="AL694" s="27" t="n"/>
      <c r="AM694" s="34" t="n"/>
      <c r="AN694" s="35">
        <f>IF(AF694="","",IF(AI694="Yes","❌ Disc",IF(AH694="No","⚠ Missing",IF(AK694="Yes","✓ OK","⚠ Check"))))</f>
        <v/>
      </c>
      <c r="AO694" s="36" t="n"/>
      <c r="AP694" s="36" t="n"/>
      <c r="AQ694" s="36" t="n"/>
      <c r="AR694" s="36" t="n"/>
      <c r="AS694" s="36" t="n"/>
      <c r="AT694" s="36" t="n"/>
      <c r="AU694" s="27" t="n"/>
      <c r="AV694" s="37" t="n"/>
      <c r="AW694" s="38">
        <f>IF(AO694="","",IF(AR694="Yes","❌ Disc",IF(AQ694="No","⚠ Missing",IF(AT694="Yes","✓ OK","⚠ Check"))))</f>
        <v/>
      </c>
    </row>
    <row r="695" ht="18" customHeight="1" s="46">
      <c r="A695" s="23" t="n">
        <v>691</v>
      </c>
      <c r="B695" s="24" t="inlineStr">
        <is>
          <t>WP LNCCN1056064</t>
        </is>
      </c>
      <c r="C695" s="25" t="inlineStr">
        <is>
          <t>Life n Colors - Cute Elephants and Bunnies in Nursery Kids Room Wallpaper  -  Canvas - a texture paper</t>
        </is>
      </c>
      <c r="D695" s="23" t="inlineStr">
        <is>
          <t>Life n Colors</t>
        </is>
      </c>
      <c r="E695" s="43" t="n">
        <v>46126</v>
      </c>
      <c r="F695" s="26" t="inlineStr">
        <is>
          <t>Sunil CR</t>
        </is>
      </c>
      <c r="G695" s="26" t="inlineStr">
        <is>
          <t>Yes</t>
        </is>
      </c>
      <c r="H695" s="26" t="inlineStr">
        <is>
          <t>No</t>
        </is>
      </c>
      <c r="I695" s="26" t="inlineStr">
        <is>
          <t>Good finish</t>
        </is>
      </c>
      <c r="J695" s="26" t="inlineStr">
        <is>
          <t>Yes</t>
        </is>
      </c>
      <c r="K695" s="27" t="n"/>
      <c r="L695" s="28" t="inlineStr">
        <is>
          <t>No</t>
        </is>
      </c>
      <c r="M695" s="29">
        <f>IF(E695="","",IF(H695="Yes","❌ Disc",IF(G695="No","⚠ Missing",IF(J695="Yes","✓ OK","⚠ Check"))))</f>
        <v/>
      </c>
      <c r="N695" s="43" t="n">
        <v>46193</v>
      </c>
      <c r="O695" s="26" t="inlineStr">
        <is>
          <t>Sunil CR</t>
        </is>
      </c>
      <c r="P695" s="26" t="inlineStr">
        <is>
          <t>Yes</t>
        </is>
      </c>
      <c r="Q695" s="26" t="inlineStr">
        <is>
          <t>No</t>
        </is>
      </c>
      <c r="R695" s="26" t="inlineStr">
        <is>
          <t>Good finish</t>
        </is>
      </c>
      <c r="S695" s="26" t="inlineStr">
        <is>
          <t>Yes</t>
        </is>
      </c>
      <c r="T695" s="27" t="n"/>
      <c r="U695" s="28" t="inlineStr">
        <is>
          <t>No</t>
        </is>
      </c>
      <c r="V695" s="29">
        <f>IF(N695="","",IF(Q695="Yes","❌ Disc",IF(P695="No","⚠ Missing",IF(S695="Yes","✓ OK","⚠ Check"))))</f>
        <v/>
      </c>
      <c r="W695" s="65" t="n">
        <v>46248</v>
      </c>
      <c r="X695" s="30" t="inlineStr">
        <is>
          <t>Sunil CR</t>
        </is>
      </c>
      <c r="Y695" s="30" t="inlineStr">
        <is>
          <t>Yes</t>
        </is>
      </c>
      <c r="Z695" s="30" t="n"/>
      <c r="AA695" s="30" t="inlineStr">
        <is>
          <t>Good finish</t>
        </is>
      </c>
      <c r="AB695" s="30" t="inlineStr">
        <is>
          <t>Yes</t>
        </is>
      </c>
      <c r="AC695" s="27" t="n"/>
      <c r="AD695" s="31" t="inlineStr">
        <is>
          <t>No</t>
        </is>
      </c>
      <c r="AE695" s="32">
        <f>IF(W695="","",IF(Z695="Yes","❌ Disc",IF(Y695="No","⚠ Missing",IF(AB695="Yes","✓ OK","⚠ Check"))))</f>
        <v/>
      </c>
      <c r="AF695" s="33" t="n"/>
      <c r="AG695" s="33" t="n"/>
      <c r="AH695" s="33" t="n"/>
      <c r="AI695" s="33" t="n"/>
      <c r="AJ695" s="33" t="n"/>
      <c r="AK695" s="33" t="n"/>
      <c r="AL695" s="27" t="n"/>
      <c r="AM695" s="34" t="n"/>
      <c r="AN695" s="35">
        <f>IF(AF695="","",IF(AI695="Yes","❌ Disc",IF(AH695="No","⚠ Missing",IF(AK695="Yes","✓ OK","⚠ Check"))))</f>
        <v/>
      </c>
      <c r="AO695" s="36" t="n"/>
      <c r="AP695" s="36" t="n"/>
      <c r="AQ695" s="36" t="n"/>
      <c r="AR695" s="36" t="n"/>
      <c r="AS695" s="36" t="n"/>
      <c r="AT695" s="36" t="n"/>
      <c r="AU695" s="27" t="n"/>
      <c r="AV695" s="37" t="n"/>
      <c r="AW695" s="38">
        <f>IF(AO695="","",IF(AR695="Yes","❌ Disc",IF(AQ695="No","⚠ Missing",IF(AT695="Yes","✓ OK","⚠ Check"))))</f>
        <v/>
      </c>
    </row>
    <row r="696" ht="18" customHeight="1" s="46">
      <c r="A696" s="39" t="n">
        <v>692</v>
      </c>
      <c r="B696" s="40" t="inlineStr">
        <is>
          <t>WP LNCSF1056064</t>
        </is>
      </c>
      <c r="C696" s="41" t="inlineStr">
        <is>
          <t>Life n Colors - Cute Elephants and Bunnies in Nursery Kids Room Wallpaper  - Non-woven - a soft feel paper</t>
        </is>
      </c>
      <c r="D696" s="39" t="inlineStr">
        <is>
          <t>Life n Colors</t>
        </is>
      </c>
      <c r="E696" s="43" t="n">
        <v>46126</v>
      </c>
      <c r="F696" s="26" t="inlineStr">
        <is>
          <t>Sunil CR</t>
        </is>
      </c>
      <c r="G696" s="26" t="inlineStr">
        <is>
          <t>Yes</t>
        </is>
      </c>
      <c r="H696" s="26" t="inlineStr">
        <is>
          <t>No</t>
        </is>
      </c>
      <c r="I696" s="26" t="inlineStr">
        <is>
          <t>Good finish</t>
        </is>
      </c>
      <c r="J696" s="26" t="inlineStr">
        <is>
          <t>Yes</t>
        </is>
      </c>
      <c r="K696" s="27" t="n"/>
      <c r="L696" s="28" t="inlineStr">
        <is>
          <t>No</t>
        </is>
      </c>
      <c r="M696" s="29">
        <f>IF(E696="","",IF(H696="Yes","❌ Disc",IF(G696="No","⚠ Missing",IF(J696="Yes","✓ OK","⚠ Check"))))</f>
        <v/>
      </c>
      <c r="N696" s="43" t="n">
        <v>46193</v>
      </c>
      <c r="O696" s="26" t="inlineStr">
        <is>
          <t>Sunil CR</t>
        </is>
      </c>
      <c r="P696" s="26" t="inlineStr">
        <is>
          <t>Yes</t>
        </is>
      </c>
      <c r="Q696" s="26" t="inlineStr">
        <is>
          <t>No</t>
        </is>
      </c>
      <c r="R696" s="26" t="inlineStr">
        <is>
          <t>Good finish</t>
        </is>
      </c>
      <c r="S696" s="26" t="inlineStr">
        <is>
          <t>Yes</t>
        </is>
      </c>
      <c r="T696" s="27" t="n"/>
      <c r="U696" s="28" t="inlineStr">
        <is>
          <t>No</t>
        </is>
      </c>
      <c r="V696" s="29">
        <f>IF(N696="","",IF(Q696="Yes","❌ Disc",IF(P696="No","⚠ Missing",IF(S696="Yes","✓ OK","⚠ Check"))))</f>
        <v/>
      </c>
      <c r="W696" s="65" t="n">
        <v>46248</v>
      </c>
      <c r="X696" s="30" t="inlineStr">
        <is>
          <t>Sunil CR</t>
        </is>
      </c>
      <c r="Y696" s="30" t="inlineStr">
        <is>
          <t>Yes</t>
        </is>
      </c>
      <c r="Z696" s="30" t="n"/>
      <c r="AA696" s="30" t="inlineStr">
        <is>
          <t>Good finish</t>
        </is>
      </c>
      <c r="AB696" s="30" t="inlineStr">
        <is>
          <t>Yes</t>
        </is>
      </c>
      <c r="AC696" s="27" t="n"/>
      <c r="AD696" s="31" t="inlineStr">
        <is>
          <t>No</t>
        </is>
      </c>
      <c r="AE696" s="32">
        <f>IF(W696="","",IF(Z696="Yes","❌ Disc",IF(Y696="No","⚠ Missing",IF(AB696="Yes","✓ OK","⚠ Check"))))</f>
        <v/>
      </c>
      <c r="AF696" s="33" t="n"/>
      <c r="AG696" s="33" t="n"/>
      <c r="AH696" s="33" t="n"/>
      <c r="AI696" s="33" t="n"/>
      <c r="AJ696" s="33" t="n"/>
      <c r="AK696" s="33" t="n"/>
      <c r="AL696" s="27" t="n"/>
      <c r="AM696" s="34" t="n"/>
      <c r="AN696" s="35">
        <f>IF(AF696="","",IF(AI696="Yes","❌ Disc",IF(AH696="No","⚠ Missing",IF(AK696="Yes","✓ OK","⚠ Check"))))</f>
        <v/>
      </c>
      <c r="AO696" s="36" t="n"/>
      <c r="AP696" s="36" t="n"/>
      <c r="AQ696" s="36" t="n"/>
      <c r="AR696" s="36" t="n"/>
      <c r="AS696" s="36" t="n"/>
      <c r="AT696" s="36" t="n"/>
      <c r="AU696" s="27" t="n"/>
      <c r="AV696" s="37" t="n"/>
      <c r="AW696" s="38">
        <f>IF(AO696="","",IF(AR696="Yes","❌ Disc",IF(AQ696="No","⚠ Missing",IF(AT696="Yes","✓ OK","⚠ Check"))))</f>
        <v/>
      </c>
    </row>
    <row r="697" ht="18" customHeight="1" s="46">
      <c r="A697" s="23" t="n">
        <v>693</v>
      </c>
      <c r="B697" s="24" t="inlineStr">
        <is>
          <t>WP LNCCN1077823</t>
        </is>
      </c>
      <c r="C697" s="25" t="inlineStr">
        <is>
          <t>Life n Colors - Cute Elephants on Clouds in Starry Night, Kids Wallpaper  -  Canvas - a texture paper</t>
        </is>
      </c>
      <c r="D697" s="23" t="inlineStr">
        <is>
          <t>Life n Colors</t>
        </is>
      </c>
      <c r="E697" s="43" t="n">
        <v>46126</v>
      </c>
      <c r="F697" s="26" t="inlineStr">
        <is>
          <t>Sunil CR</t>
        </is>
      </c>
      <c r="G697" s="26" t="inlineStr">
        <is>
          <t>Yes</t>
        </is>
      </c>
      <c r="H697" s="26" t="inlineStr">
        <is>
          <t>No</t>
        </is>
      </c>
      <c r="I697" s="26" t="inlineStr">
        <is>
          <t>Good finish</t>
        </is>
      </c>
      <c r="J697" s="26" t="inlineStr">
        <is>
          <t>Yes</t>
        </is>
      </c>
      <c r="K697" s="27" t="n"/>
      <c r="L697" s="28" t="inlineStr">
        <is>
          <t>No</t>
        </is>
      </c>
      <c r="M697" s="29">
        <f>IF(E697="","",IF(H697="Yes","❌ Disc",IF(G697="No","⚠ Missing",IF(J697="Yes","✓ OK","⚠ Check"))))</f>
        <v/>
      </c>
      <c r="N697" s="43" t="n">
        <v>46193</v>
      </c>
      <c r="O697" s="26" t="inlineStr">
        <is>
          <t>Sunil CR</t>
        </is>
      </c>
      <c r="P697" s="26" t="inlineStr">
        <is>
          <t>Yes</t>
        </is>
      </c>
      <c r="Q697" s="26" t="inlineStr">
        <is>
          <t>No</t>
        </is>
      </c>
      <c r="R697" s="26" t="inlineStr">
        <is>
          <t>Good finish</t>
        </is>
      </c>
      <c r="S697" s="26" t="inlineStr">
        <is>
          <t>Yes</t>
        </is>
      </c>
      <c r="T697" s="27" t="n"/>
      <c r="U697" s="28" t="inlineStr">
        <is>
          <t>No</t>
        </is>
      </c>
      <c r="V697" s="29">
        <f>IF(N697="","",IF(Q697="Yes","❌ Disc",IF(P697="No","⚠ Missing",IF(S697="Yes","✓ OK","⚠ Check"))))</f>
        <v/>
      </c>
      <c r="W697" s="65" t="n">
        <v>46248</v>
      </c>
      <c r="X697" s="30" t="inlineStr">
        <is>
          <t>Sunil CR</t>
        </is>
      </c>
      <c r="Y697" s="30" t="inlineStr">
        <is>
          <t>Yes</t>
        </is>
      </c>
      <c r="Z697" s="30" t="n"/>
      <c r="AA697" s="30" t="inlineStr">
        <is>
          <t>Good finish</t>
        </is>
      </c>
      <c r="AB697" s="30" t="inlineStr">
        <is>
          <t>Yes</t>
        </is>
      </c>
      <c r="AC697" s="27" t="n"/>
      <c r="AD697" s="31" t="inlineStr">
        <is>
          <t>No</t>
        </is>
      </c>
      <c r="AE697" s="32">
        <f>IF(W697="","",IF(Z697="Yes","❌ Disc",IF(Y697="No","⚠ Missing",IF(AB697="Yes","✓ OK","⚠ Check"))))</f>
        <v/>
      </c>
      <c r="AF697" s="33" t="n"/>
      <c r="AG697" s="33" t="n"/>
      <c r="AH697" s="33" t="n"/>
      <c r="AI697" s="33" t="n"/>
      <c r="AJ697" s="33" t="n"/>
      <c r="AK697" s="33" t="n"/>
      <c r="AL697" s="27" t="n"/>
      <c r="AM697" s="34" t="n"/>
      <c r="AN697" s="35">
        <f>IF(AF697="","",IF(AI697="Yes","❌ Disc",IF(AH697="No","⚠ Missing",IF(AK697="Yes","✓ OK","⚠ Check"))))</f>
        <v/>
      </c>
      <c r="AO697" s="36" t="n"/>
      <c r="AP697" s="36" t="n"/>
      <c r="AQ697" s="36" t="n"/>
      <c r="AR697" s="36" t="n"/>
      <c r="AS697" s="36" t="n"/>
      <c r="AT697" s="36" t="n"/>
      <c r="AU697" s="27" t="n"/>
      <c r="AV697" s="37" t="n"/>
      <c r="AW697" s="38">
        <f>IF(AO697="","",IF(AR697="Yes","❌ Disc",IF(AQ697="No","⚠ Missing",IF(AT697="Yes","✓ OK","⚠ Check"))))</f>
        <v/>
      </c>
    </row>
    <row r="698" ht="18" customHeight="1" s="46">
      <c r="A698" s="39" t="n">
        <v>694</v>
      </c>
      <c r="B698" s="40" t="inlineStr">
        <is>
          <t>WP LNCSF1077823</t>
        </is>
      </c>
      <c r="C698" s="41" t="inlineStr">
        <is>
          <t>Life n Colors - Cute Elephants on Clouds in Starry Night, Kids Wallpaper  - Non-woven - a soft feel paper</t>
        </is>
      </c>
      <c r="D698" s="39" t="inlineStr">
        <is>
          <t>Life n Colors</t>
        </is>
      </c>
      <c r="E698" s="43" t="n">
        <v>46126</v>
      </c>
      <c r="F698" s="26" t="inlineStr">
        <is>
          <t>Sunil CR</t>
        </is>
      </c>
      <c r="G698" s="26" t="inlineStr">
        <is>
          <t>Yes</t>
        </is>
      </c>
      <c r="H698" s="26" t="inlineStr">
        <is>
          <t>No</t>
        </is>
      </c>
      <c r="I698" s="26" t="inlineStr">
        <is>
          <t>Good finish</t>
        </is>
      </c>
      <c r="J698" s="26" t="inlineStr">
        <is>
          <t>Yes</t>
        </is>
      </c>
      <c r="K698" s="27" t="n"/>
      <c r="L698" s="28" t="inlineStr">
        <is>
          <t>No</t>
        </is>
      </c>
      <c r="M698" s="29">
        <f>IF(E698="","",IF(H698="Yes","❌ Disc",IF(G698="No","⚠ Missing",IF(J698="Yes","✓ OK","⚠ Check"))))</f>
        <v/>
      </c>
      <c r="N698" s="43" t="n">
        <v>46193</v>
      </c>
      <c r="O698" s="26" t="inlineStr">
        <is>
          <t>Sunil CR</t>
        </is>
      </c>
      <c r="P698" s="26" t="inlineStr">
        <is>
          <t>Yes</t>
        </is>
      </c>
      <c r="Q698" s="26" t="inlineStr">
        <is>
          <t>No</t>
        </is>
      </c>
      <c r="R698" s="26" t="inlineStr">
        <is>
          <t>Good finish</t>
        </is>
      </c>
      <c r="S698" s="26" t="inlineStr">
        <is>
          <t>Yes</t>
        </is>
      </c>
      <c r="T698" s="27" t="n"/>
      <c r="U698" s="28" t="inlineStr">
        <is>
          <t>No</t>
        </is>
      </c>
      <c r="V698" s="29">
        <f>IF(N698="","",IF(Q698="Yes","❌ Disc",IF(P698="No","⚠ Missing",IF(S698="Yes","✓ OK","⚠ Check"))))</f>
        <v/>
      </c>
      <c r="W698" s="65" t="n">
        <v>46248</v>
      </c>
      <c r="X698" s="30" t="inlineStr">
        <is>
          <t>Sunil CR</t>
        </is>
      </c>
      <c r="Y698" s="30" t="inlineStr">
        <is>
          <t>Yes</t>
        </is>
      </c>
      <c r="Z698" s="30" t="n"/>
      <c r="AA698" s="30" t="inlineStr">
        <is>
          <t>Good finish</t>
        </is>
      </c>
      <c r="AB698" s="30" t="inlineStr">
        <is>
          <t>Yes</t>
        </is>
      </c>
      <c r="AC698" s="27" t="n"/>
      <c r="AD698" s="31" t="inlineStr">
        <is>
          <t>No</t>
        </is>
      </c>
      <c r="AE698" s="32">
        <f>IF(W698="","",IF(Z698="Yes","❌ Disc",IF(Y698="No","⚠ Missing",IF(AB698="Yes","✓ OK","⚠ Check"))))</f>
        <v/>
      </c>
      <c r="AF698" s="33" t="n"/>
      <c r="AG698" s="33" t="n"/>
      <c r="AH698" s="33" t="n"/>
      <c r="AI698" s="33" t="n"/>
      <c r="AJ698" s="33" t="n"/>
      <c r="AK698" s="33" t="n"/>
      <c r="AL698" s="27" t="n"/>
      <c r="AM698" s="34" t="n"/>
      <c r="AN698" s="35">
        <f>IF(AF698="","",IF(AI698="Yes","❌ Disc",IF(AH698="No","⚠ Missing",IF(AK698="Yes","✓ OK","⚠ Check"))))</f>
        <v/>
      </c>
      <c r="AO698" s="36" t="n"/>
      <c r="AP698" s="36" t="n"/>
      <c r="AQ698" s="36" t="n"/>
      <c r="AR698" s="36" t="n"/>
      <c r="AS698" s="36" t="n"/>
      <c r="AT698" s="36" t="n"/>
      <c r="AU698" s="27" t="n"/>
      <c r="AV698" s="37" t="n"/>
      <c r="AW698" s="38">
        <f>IF(AO698="","",IF(AR698="Yes","❌ Disc",IF(AQ698="No","⚠ Missing",IF(AT698="Yes","✓ OK","⚠ Check"))))</f>
        <v/>
      </c>
    </row>
    <row r="699" ht="18" customHeight="1" s="46">
      <c r="A699" s="23" t="n">
        <v>695</v>
      </c>
      <c r="B699" s="24" t="inlineStr">
        <is>
          <t>WP LNCCN1034135</t>
        </is>
      </c>
      <c r="C699" s="25" t="inlineStr">
        <is>
          <t>Life n Colors - Cute Island Houses with Balloons and Planes, Customised Wallpaper  -  Canvas - a texture paper</t>
        </is>
      </c>
      <c r="D699" s="23" t="inlineStr">
        <is>
          <t>Life n Colors</t>
        </is>
      </c>
      <c r="E699" s="43" t="n">
        <v>46126</v>
      </c>
      <c r="F699" s="26" t="inlineStr">
        <is>
          <t>Sunil CR</t>
        </is>
      </c>
      <c r="G699" s="26" t="inlineStr">
        <is>
          <t>Yes</t>
        </is>
      </c>
      <c r="H699" s="26" t="inlineStr">
        <is>
          <t>No</t>
        </is>
      </c>
      <c r="I699" s="26" t="inlineStr">
        <is>
          <t>Good finish</t>
        </is>
      </c>
      <c r="J699" s="26" t="inlineStr">
        <is>
          <t>Yes</t>
        </is>
      </c>
      <c r="K699" s="27" t="n"/>
      <c r="L699" s="28" t="inlineStr">
        <is>
          <t>No</t>
        </is>
      </c>
      <c r="M699" s="29">
        <f>IF(E699="","",IF(H699="Yes","❌ Disc",IF(G699="No","⚠ Missing",IF(J699="Yes","✓ OK","⚠ Check"))))</f>
        <v/>
      </c>
      <c r="N699" s="43" t="n">
        <v>46193</v>
      </c>
      <c r="O699" s="26" t="inlineStr">
        <is>
          <t>Sunil CR</t>
        </is>
      </c>
      <c r="P699" s="26" t="inlineStr">
        <is>
          <t>Yes</t>
        </is>
      </c>
      <c r="Q699" s="26" t="inlineStr">
        <is>
          <t>No</t>
        </is>
      </c>
      <c r="R699" s="26" t="inlineStr">
        <is>
          <t>Good finish</t>
        </is>
      </c>
      <c r="S699" s="26" t="inlineStr">
        <is>
          <t>Yes</t>
        </is>
      </c>
      <c r="T699" s="27" t="n"/>
      <c r="U699" s="28" t="inlineStr">
        <is>
          <t>No</t>
        </is>
      </c>
      <c r="V699" s="29">
        <f>IF(N699="","",IF(Q699="Yes","❌ Disc",IF(P699="No","⚠ Missing",IF(S699="Yes","✓ OK","⚠ Check"))))</f>
        <v/>
      </c>
      <c r="W699" s="65" t="n">
        <v>46248</v>
      </c>
      <c r="X699" s="30" t="inlineStr">
        <is>
          <t>Sunil CR</t>
        </is>
      </c>
      <c r="Y699" s="30" t="inlineStr">
        <is>
          <t>Yes</t>
        </is>
      </c>
      <c r="Z699" s="30" t="n"/>
      <c r="AA699" s="30" t="inlineStr">
        <is>
          <t>Good finish</t>
        </is>
      </c>
      <c r="AB699" s="30" t="inlineStr">
        <is>
          <t>Yes</t>
        </is>
      </c>
      <c r="AC699" s="27" t="n"/>
      <c r="AD699" s="31" t="inlineStr">
        <is>
          <t>No</t>
        </is>
      </c>
      <c r="AE699" s="32">
        <f>IF(W699="","",IF(Z699="Yes","❌ Disc",IF(Y699="No","⚠ Missing",IF(AB699="Yes","✓ OK","⚠ Check"))))</f>
        <v/>
      </c>
      <c r="AF699" s="33" t="n"/>
      <c r="AG699" s="33" t="n"/>
      <c r="AH699" s="33" t="n"/>
      <c r="AI699" s="33" t="n"/>
      <c r="AJ699" s="33" t="n"/>
      <c r="AK699" s="33" t="n"/>
      <c r="AL699" s="27" t="n"/>
      <c r="AM699" s="34" t="n"/>
      <c r="AN699" s="35">
        <f>IF(AF699="","",IF(AI699="Yes","❌ Disc",IF(AH699="No","⚠ Missing",IF(AK699="Yes","✓ OK","⚠ Check"))))</f>
        <v/>
      </c>
      <c r="AO699" s="36" t="n"/>
      <c r="AP699" s="36" t="n"/>
      <c r="AQ699" s="36" t="n"/>
      <c r="AR699" s="36" t="n"/>
      <c r="AS699" s="36" t="n"/>
      <c r="AT699" s="36" t="n"/>
      <c r="AU699" s="27" t="n"/>
      <c r="AV699" s="37" t="n"/>
      <c r="AW699" s="38">
        <f>IF(AO699="","",IF(AR699="Yes","❌ Disc",IF(AQ699="No","⚠ Missing",IF(AT699="Yes","✓ OK","⚠ Check"))))</f>
        <v/>
      </c>
    </row>
    <row r="700" ht="18" customHeight="1" s="46">
      <c r="A700" s="39" t="n">
        <v>696</v>
      </c>
      <c r="B700" s="40" t="inlineStr">
        <is>
          <t>WP LNCSF1034135</t>
        </is>
      </c>
      <c r="C700" s="41" t="inlineStr">
        <is>
          <t>Life n Colors - Cute Island Houses with Balloons and Planes, Customised Wallpaper  - Non-woven - a soft feel paper</t>
        </is>
      </c>
      <c r="D700" s="39" t="inlineStr">
        <is>
          <t>Life n Colors</t>
        </is>
      </c>
      <c r="E700" s="43" t="n">
        <v>46126</v>
      </c>
      <c r="F700" s="26" t="inlineStr">
        <is>
          <t>Sunil CR</t>
        </is>
      </c>
      <c r="G700" s="26" t="inlineStr">
        <is>
          <t>Yes</t>
        </is>
      </c>
      <c r="H700" s="26" t="inlineStr">
        <is>
          <t>No</t>
        </is>
      </c>
      <c r="I700" s="26" t="inlineStr">
        <is>
          <t>Good finish</t>
        </is>
      </c>
      <c r="J700" s="26" t="inlineStr">
        <is>
          <t>Yes</t>
        </is>
      </c>
      <c r="K700" s="27" t="n"/>
      <c r="L700" s="28" t="inlineStr">
        <is>
          <t>No</t>
        </is>
      </c>
      <c r="M700" s="29">
        <f>IF(E700="","",IF(H700="Yes","❌ Disc",IF(G700="No","⚠ Missing",IF(J700="Yes","✓ OK","⚠ Check"))))</f>
        <v/>
      </c>
      <c r="N700" s="43" t="n">
        <v>46193</v>
      </c>
      <c r="O700" s="26" t="inlineStr">
        <is>
          <t>Sunil CR</t>
        </is>
      </c>
      <c r="P700" s="26" t="inlineStr">
        <is>
          <t>Yes</t>
        </is>
      </c>
      <c r="Q700" s="26" t="inlineStr">
        <is>
          <t>No</t>
        </is>
      </c>
      <c r="R700" s="26" t="inlineStr">
        <is>
          <t>Good finish</t>
        </is>
      </c>
      <c r="S700" s="26" t="inlineStr">
        <is>
          <t>Yes</t>
        </is>
      </c>
      <c r="T700" s="27" t="n"/>
      <c r="U700" s="28" t="inlineStr">
        <is>
          <t>No</t>
        </is>
      </c>
      <c r="V700" s="29">
        <f>IF(N700="","",IF(Q700="Yes","❌ Disc",IF(P700="No","⚠ Missing",IF(S700="Yes","✓ OK","⚠ Check"))))</f>
        <v/>
      </c>
      <c r="W700" s="65" t="n">
        <v>46248</v>
      </c>
      <c r="X700" s="30" t="inlineStr">
        <is>
          <t>Sunil CR</t>
        </is>
      </c>
      <c r="Y700" s="30" t="inlineStr">
        <is>
          <t>Yes</t>
        </is>
      </c>
      <c r="Z700" s="30" t="n"/>
      <c r="AA700" s="30" t="inlineStr">
        <is>
          <t>Good finish</t>
        </is>
      </c>
      <c r="AB700" s="30" t="inlineStr">
        <is>
          <t>Yes</t>
        </is>
      </c>
      <c r="AC700" s="27" t="n"/>
      <c r="AD700" s="31" t="inlineStr">
        <is>
          <t>No</t>
        </is>
      </c>
      <c r="AE700" s="32">
        <f>IF(W700="","",IF(Z700="Yes","❌ Disc",IF(Y700="No","⚠ Missing",IF(AB700="Yes","✓ OK","⚠ Check"))))</f>
        <v/>
      </c>
      <c r="AF700" s="33" t="n"/>
      <c r="AG700" s="33" t="n"/>
      <c r="AH700" s="33" t="n"/>
      <c r="AI700" s="33" t="n"/>
      <c r="AJ700" s="33" t="n"/>
      <c r="AK700" s="33" t="n"/>
      <c r="AL700" s="27" t="n"/>
      <c r="AM700" s="34" t="n"/>
      <c r="AN700" s="35">
        <f>IF(AF700="","",IF(AI700="Yes","❌ Disc",IF(AH700="No","⚠ Missing",IF(AK700="Yes","✓ OK","⚠ Check"))))</f>
        <v/>
      </c>
      <c r="AO700" s="36" t="n"/>
      <c r="AP700" s="36" t="n"/>
      <c r="AQ700" s="36" t="n"/>
      <c r="AR700" s="36" t="n"/>
      <c r="AS700" s="36" t="n"/>
      <c r="AT700" s="36" t="n"/>
      <c r="AU700" s="27" t="n"/>
      <c r="AV700" s="37" t="n"/>
      <c r="AW700" s="38">
        <f>IF(AO700="","",IF(AR700="Yes","❌ Disc",IF(AQ700="No","⚠ Missing",IF(AT700="Yes","✓ OK","⚠ Check"))))</f>
        <v/>
      </c>
    </row>
    <row r="701" ht="18" customHeight="1" s="46">
      <c r="A701" s="23" t="n">
        <v>697</v>
      </c>
      <c r="B701" s="24" t="inlineStr">
        <is>
          <t>WP LNCCN1116006</t>
        </is>
      </c>
      <c r="C701" s="25" t="inlineStr">
        <is>
          <t>Life n Colors - Cute Jungle Animals Mama and Kids Wallpaper for Kids  -  Canvas - a texture paper</t>
        </is>
      </c>
      <c r="D701" s="23" t="inlineStr">
        <is>
          <t>Life n Colors</t>
        </is>
      </c>
      <c r="E701" s="43" t="n">
        <v>46126</v>
      </c>
      <c r="F701" s="26" t="inlineStr">
        <is>
          <t>Sunil CR</t>
        </is>
      </c>
      <c r="G701" s="26" t="inlineStr">
        <is>
          <t>Yes</t>
        </is>
      </c>
      <c r="H701" s="26" t="inlineStr">
        <is>
          <t>No</t>
        </is>
      </c>
      <c r="I701" s="26" t="inlineStr">
        <is>
          <t>Good finish</t>
        </is>
      </c>
      <c r="J701" s="26" t="inlineStr">
        <is>
          <t>Yes</t>
        </is>
      </c>
      <c r="K701" s="27" t="n"/>
      <c r="L701" s="28" t="inlineStr">
        <is>
          <t>No</t>
        </is>
      </c>
      <c r="M701" s="29">
        <f>IF(E701="","",IF(H701="Yes","❌ Disc",IF(G701="No","⚠ Missing",IF(J701="Yes","✓ OK","⚠ Check"))))</f>
        <v/>
      </c>
      <c r="N701" s="43" t="n">
        <v>46193</v>
      </c>
      <c r="O701" s="26" t="inlineStr">
        <is>
          <t>Sunil CR</t>
        </is>
      </c>
      <c r="P701" s="26" t="inlineStr">
        <is>
          <t>Yes</t>
        </is>
      </c>
      <c r="Q701" s="26" t="inlineStr">
        <is>
          <t>No</t>
        </is>
      </c>
      <c r="R701" s="26" t="inlineStr">
        <is>
          <t>Good finish</t>
        </is>
      </c>
      <c r="S701" s="26" t="inlineStr">
        <is>
          <t>Yes</t>
        </is>
      </c>
      <c r="T701" s="27" t="n"/>
      <c r="U701" s="28" t="inlineStr">
        <is>
          <t>No</t>
        </is>
      </c>
      <c r="V701" s="29">
        <f>IF(N701="","",IF(Q701="Yes","❌ Disc",IF(P701="No","⚠ Missing",IF(S701="Yes","✓ OK","⚠ Check"))))</f>
        <v/>
      </c>
      <c r="W701" s="65" t="n">
        <v>46248</v>
      </c>
      <c r="X701" s="30" t="inlineStr">
        <is>
          <t>Sunil CR</t>
        </is>
      </c>
      <c r="Y701" s="30" t="inlineStr">
        <is>
          <t>Yes</t>
        </is>
      </c>
      <c r="Z701" s="30" t="n"/>
      <c r="AA701" s="30" t="inlineStr">
        <is>
          <t>Good finish</t>
        </is>
      </c>
      <c r="AB701" s="30" t="inlineStr">
        <is>
          <t>Yes</t>
        </is>
      </c>
      <c r="AC701" s="27" t="n"/>
      <c r="AD701" s="31" t="inlineStr">
        <is>
          <t>No</t>
        </is>
      </c>
      <c r="AE701" s="32">
        <f>IF(W701="","",IF(Z701="Yes","❌ Disc",IF(Y701="No","⚠ Missing",IF(AB701="Yes","✓ OK","⚠ Check"))))</f>
        <v/>
      </c>
      <c r="AF701" s="33" t="n"/>
      <c r="AG701" s="33" t="n"/>
      <c r="AH701" s="33" t="n"/>
      <c r="AI701" s="33" t="n"/>
      <c r="AJ701" s="33" t="n"/>
      <c r="AK701" s="33" t="n"/>
      <c r="AL701" s="27" t="n"/>
      <c r="AM701" s="34" t="n"/>
      <c r="AN701" s="35">
        <f>IF(AF701="","",IF(AI701="Yes","❌ Disc",IF(AH701="No","⚠ Missing",IF(AK701="Yes","✓ OK","⚠ Check"))))</f>
        <v/>
      </c>
      <c r="AO701" s="36" t="n"/>
      <c r="AP701" s="36" t="n"/>
      <c r="AQ701" s="36" t="n"/>
      <c r="AR701" s="36" t="n"/>
      <c r="AS701" s="36" t="n"/>
      <c r="AT701" s="36" t="n"/>
      <c r="AU701" s="27" t="n"/>
      <c r="AV701" s="37" t="n"/>
      <c r="AW701" s="38">
        <f>IF(AO701="","",IF(AR701="Yes","❌ Disc",IF(AQ701="No","⚠ Missing",IF(AT701="Yes","✓ OK","⚠ Check"))))</f>
        <v/>
      </c>
    </row>
    <row r="702" ht="18" customHeight="1" s="46">
      <c r="A702" s="39" t="n">
        <v>698</v>
      </c>
      <c r="B702" s="40" t="inlineStr">
        <is>
          <t>WP LNCSF1116006</t>
        </is>
      </c>
      <c r="C702" s="41" t="inlineStr">
        <is>
          <t>Life n Colors - Cute Jungle Animals Mama and Kids Wallpaper for Kids  - Non-woven - a soft feel paper</t>
        </is>
      </c>
      <c r="D702" s="39" t="inlineStr">
        <is>
          <t>Life n Colors</t>
        </is>
      </c>
      <c r="E702" s="43" t="n">
        <v>46126</v>
      </c>
      <c r="F702" s="26" t="inlineStr">
        <is>
          <t>Sunil CR</t>
        </is>
      </c>
      <c r="G702" s="26" t="inlineStr">
        <is>
          <t>Yes</t>
        </is>
      </c>
      <c r="H702" s="26" t="inlineStr">
        <is>
          <t>No</t>
        </is>
      </c>
      <c r="I702" s="26" t="inlineStr">
        <is>
          <t>Good finish</t>
        </is>
      </c>
      <c r="J702" s="26" t="inlineStr">
        <is>
          <t>Yes</t>
        </is>
      </c>
      <c r="K702" s="27" t="n"/>
      <c r="L702" s="28" t="inlineStr">
        <is>
          <t>No</t>
        </is>
      </c>
      <c r="M702" s="29">
        <f>IF(E702="","",IF(H702="Yes","❌ Disc",IF(G702="No","⚠ Missing",IF(J702="Yes","✓ OK","⚠ Check"))))</f>
        <v/>
      </c>
      <c r="N702" s="43" t="n">
        <v>46193</v>
      </c>
      <c r="O702" s="26" t="inlineStr">
        <is>
          <t>Sunil CR</t>
        </is>
      </c>
      <c r="P702" s="26" t="inlineStr">
        <is>
          <t>Yes</t>
        </is>
      </c>
      <c r="Q702" s="26" t="inlineStr">
        <is>
          <t>No</t>
        </is>
      </c>
      <c r="R702" s="26" t="inlineStr">
        <is>
          <t>Good finish</t>
        </is>
      </c>
      <c r="S702" s="26" t="inlineStr">
        <is>
          <t>Yes</t>
        </is>
      </c>
      <c r="T702" s="27" t="n"/>
      <c r="U702" s="28" t="inlineStr">
        <is>
          <t>No</t>
        </is>
      </c>
      <c r="V702" s="29">
        <f>IF(N702="","",IF(Q702="Yes","❌ Disc",IF(P702="No","⚠ Missing",IF(S702="Yes","✓ OK","⚠ Check"))))</f>
        <v/>
      </c>
      <c r="W702" s="65" t="n">
        <v>46248</v>
      </c>
      <c r="X702" s="30" t="inlineStr">
        <is>
          <t>Sunil CR</t>
        </is>
      </c>
      <c r="Y702" s="30" t="inlineStr">
        <is>
          <t>Yes</t>
        </is>
      </c>
      <c r="Z702" s="30" t="n"/>
      <c r="AA702" s="30" t="inlineStr">
        <is>
          <t>Good finish</t>
        </is>
      </c>
      <c r="AB702" s="30" t="inlineStr">
        <is>
          <t>Yes</t>
        </is>
      </c>
      <c r="AC702" s="27" t="n"/>
      <c r="AD702" s="31" t="inlineStr">
        <is>
          <t>No</t>
        </is>
      </c>
      <c r="AE702" s="32">
        <f>IF(W702="","",IF(Z702="Yes","❌ Disc",IF(Y702="No","⚠ Missing",IF(AB702="Yes","✓ OK","⚠ Check"))))</f>
        <v/>
      </c>
      <c r="AF702" s="33" t="n"/>
      <c r="AG702" s="33" t="n"/>
      <c r="AH702" s="33" t="n"/>
      <c r="AI702" s="33" t="n"/>
      <c r="AJ702" s="33" t="n"/>
      <c r="AK702" s="33" t="n"/>
      <c r="AL702" s="27" t="n"/>
      <c r="AM702" s="34" t="n"/>
      <c r="AN702" s="35">
        <f>IF(AF702="","",IF(AI702="Yes","❌ Disc",IF(AH702="No","⚠ Missing",IF(AK702="Yes","✓ OK","⚠ Check"))))</f>
        <v/>
      </c>
      <c r="AO702" s="36" t="n"/>
      <c r="AP702" s="36" t="n"/>
      <c r="AQ702" s="36" t="n"/>
      <c r="AR702" s="36" t="n"/>
      <c r="AS702" s="36" t="n"/>
      <c r="AT702" s="36" t="n"/>
      <c r="AU702" s="27" t="n"/>
      <c r="AV702" s="37" t="n"/>
      <c r="AW702" s="38">
        <f>IF(AO702="","",IF(AR702="Yes","❌ Disc",IF(AQ702="No","⚠ Missing",IF(AT702="Yes","✓ OK","⚠ Check"))))</f>
        <v/>
      </c>
    </row>
    <row r="703" ht="18" customHeight="1" s="46">
      <c r="A703" s="23" t="n">
        <v>699</v>
      </c>
      <c r="B703" s="24" t="inlineStr">
        <is>
          <t>WP LNCCN1014054</t>
        </is>
      </c>
      <c r="C703" s="25" t="inlineStr">
        <is>
          <t>Life n Colors - Cute Jungle Theme Kids Room Wallpaper  -  Canvas - a texture paper</t>
        </is>
      </c>
      <c r="D703" s="23" t="inlineStr">
        <is>
          <t>Life n Colors</t>
        </is>
      </c>
      <c r="E703" s="43" t="n">
        <v>46126</v>
      </c>
      <c r="F703" s="26" t="inlineStr">
        <is>
          <t>Sunil CR</t>
        </is>
      </c>
      <c r="G703" s="26" t="inlineStr">
        <is>
          <t>Yes</t>
        </is>
      </c>
      <c r="H703" s="26" t="inlineStr">
        <is>
          <t>No</t>
        </is>
      </c>
      <c r="I703" s="26" t="inlineStr">
        <is>
          <t>Good finish</t>
        </is>
      </c>
      <c r="J703" s="26" t="inlineStr">
        <is>
          <t>Yes</t>
        </is>
      </c>
      <c r="K703" s="27" t="n"/>
      <c r="L703" s="28" t="inlineStr">
        <is>
          <t>No</t>
        </is>
      </c>
      <c r="M703" s="29">
        <f>IF(E703="","",IF(H703="Yes","❌ Disc",IF(G703="No","⚠ Missing",IF(J703="Yes","✓ OK","⚠ Check"))))</f>
        <v/>
      </c>
      <c r="N703" s="43" t="n">
        <v>46193</v>
      </c>
      <c r="O703" s="26" t="inlineStr">
        <is>
          <t>Sunil CR</t>
        </is>
      </c>
      <c r="P703" s="26" t="inlineStr">
        <is>
          <t>Yes</t>
        </is>
      </c>
      <c r="Q703" s="26" t="inlineStr">
        <is>
          <t>No</t>
        </is>
      </c>
      <c r="R703" s="26" t="inlineStr">
        <is>
          <t>Good finish</t>
        </is>
      </c>
      <c r="S703" s="26" t="inlineStr">
        <is>
          <t>Yes</t>
        </is>
      </c>
      <c r="T703" s="27" t="n"/>
      <c r="U703" s="28" t="inlineStr">
        <is>
          <t>No</t>
        </is>
      </c>
      <c r="V703" s="29">
        <f>IF(N703="","",IF(Q703="Yes","❌ Disc",IF(P703="No","⚠ Missing",IF(S703="Yes","✓ OK","⚠ Check"))))</f>
        <v/>
      </c>
      <c r="W703" s="65" t="n">
        <v>46248</v>
      </c>
      <c r="X703" s="30" t="inlineStr">
        <is>
          <t>Sunil CR</t>
        </is>
      </c>
      <c r="Y703" s="30" t="inlineStr">
        <is>
          <t>Yes</t>
        </is>
      </c>
      <c r="Z703" s="30" t="n"/>
      <c r="AA703" s="30" t="inlineStr">
        <is>
          <t>Good finish</t>
        </is>
      </c>
      <c r="AB703" s="30" t="inlineStr">
        <is>
          <t>Yes</t>
        </is>
      </c>
      <c r="AC703" s="27" t="n"/>
      <c r="AD703" s="31" t="inlineStr">
        <is>
          <t>No</t>
        </is>
      </c>
      <c r="AE703" s="32">
        <f>IF(W703="","",IF(Z703="Yes","❌ Disc",IF(Y703="No","⚠ Missing",IF(AB703="Yes","✓ OK","⚠ Check"))))</f>
        <v/>
      </c>
      <c r="AF703" s="33" t="n"/>
      <c r="AG703" s="33" t="n"/>
      <c r="AH703" s="33" t="n"/>
      <c r="AI703" s="33" t="n"/>
      <c r="AJ703" s="33" t="n"/>
      <c r="AK703" s="33" t="n"/>
      <c r="AL703" s="27" t="n"/>
      <c r="AM703" s="34" t="n"/>
      <c r="AN703" s="35">
        <f>IF(AF703="","",IF(AI703="Yes","❌ Disc",IF(AH703="No","⚠ Missing",IF(AK703="Yes","✓ OK","⚠ Check"))))</f>
        <v/>
      </c>
      <c r="AO703" s="36" t="n"/>
      <c r="AP703" s="36" t="n"/>
      <c r="AQ703" s="36" t="n"/>
      <c r="AR703" s="36" t="n"/>
      <c r="AS703" s="36" t="n"/>
      <c r="AT703" s="36" t="n"/>
      <c r="AU703" s="27" t="n"/>
      <c r="AV703" s="37" t="n"/>
      <c r="AW703" s="38">
        <f>IF(AO703="","",IF(AR703="Yes","❌ Disc",IF(AQ703="No","⚠ Missing",IF(AT703="Yes","✓ OK","⚠ Check"))))</f>
        <v/>
      </c>
    </row>
    <row r="704" ht="18" customHeight="1" s="46">
      <c r="A704" s="39" t="n">
        <v>700</v>
      </c>
      <c r="B704" s="40" t="inlineStr">
        <is>
          <t>WP LNCSF1014054</t>
        </is>
      </c>
      <c r="C704" s="41" t="inlineStr">
        <is>
          <t>Life n Colors - Cute Jungle Theme Kids Room Wallpaper  - Non-woven - a soft feel paper</t>
        </is>
      </c>
      <c r="D704" s="39" t="inlineStr">
        <is>
          <t>Life n Colors</t>
        </is>
      </c>
      <c r="E704" s="43" t="n">
        <v>46126</v>
      </c>
      <c r="F704" s="26" t="inlineStr">
        <is>
          <t>Sunil CR</t>
        </is>
      </c>
      <c r="G704" s="26" t="inlineStr">
        <is>
          <t>Yes</t>
        </is>
      </c>
      <c r="H704" s="26" t="inlineStr">
        <is>
          <t>No</t>
        </is>
      </c>
      <c r="I704" s="26" t="inlineStr">
        <is>
          <t>Good finish</t>
        </is>
      </c>
      <c r="J704" s="26" t="inlineStr">
        <is>
          <t>Yes</t>
        </is>
      </c>
      <c r="K704" s="27" t="n"/>
      <c r="L704" s="28" t="inlineStr">
        <is>
          <t>No</t>
        </is>
      </c>
      <c r="M704" s="29">
        <f>IF(E704="","",IF(H704="Yes","❌ Disc",IF(G704="No","⚠ Missing",IF(J704="Yes","✓ OK","⚠ Check"))))</f>
        <v/>
      </c>
      <c r="N704" s="43" t="n">
        <v>46193</v>
      </c>
      <c r="O704" s="26" t="inlineStr">
        <is>
          <t>Sunil CR</t>
        </is>
      </c>
      <c r="P704" s="26" t="inlineStr">
        <is>
          <t>Yes</t>
        </is>
      </c>
      <c r="Q704" s="26" t="inlineStr">
        <is>
          <t>No</t>
        </is>
      </c>
      <c r="R704" s="26" t="inlineStr">
        <is>
          <t>Good finish</t>
        </is>
      </c>
      <c r="S704" s="26" t="inlineStr">
        <is>
          <t>Yes</t>
        </is>
      </c>
      <c r="T704" s="27" t="n"/>
      <c r="U704" s="28" t="inlineStr">
        <is>
          <t>No</t>
        </is>
      </c>
      <c r="V704" s="29">
        <f>IF(N704="","",IF(Q704="Yes","❌ Disc",IF(P704="No","⚠ Missing",IF(S704="Yes","✓ OK","⚠ Check"))))</f>
        <v/>
      </c>
      <c r="W704" s="65" t="n">
        <v>46248</v>
      </c>
      <c r="X704" s="30" t="inlineStr">
        <is>
          <t>Sunil CR</t>
        </is>
      </c>
      <c r="Y704" s="30" t="inlineStr">
        <is>
          <t>Yes</t>
        </is>
      </c>
      <c r="Z704" s="30" t="n"/>
      <c r="AA704" s="30" t="inlineStr">
        <is>
          <t>Good finish</t>
        </is>
      </c>
      <c r="AB704" s="30" t="inlineStr">
        <is>
          <t>Yes</t>
        </is>
      </c>
      <c r="AC704" s="27" t="n"/>
      <c r="AD704" s="31" t="inlineStr">
        <is>
          <t>No</t>
        </is>
      </c>
      <c r="AE704" s="32">
        <f>IF(W704="","",IF(Z704="Yes","❌ Disc",IF(Y704="No","⚠ Missing",IF(AB704="Yes","✓ OK","⚠ Check"))))</f>
        <v/>
      </c>
      <c r="AF704" s="33" t="n"/>
      <c r="AG704" s="33" t="n"/>
      <c r="AH704" s="33" t="n"/>
      <c r="AI704" s="33" t="n"/>
      <c r="AJ704" s="33" t="n"/>
      <c r="AK704" s="33" t="n"/>
      <c r="AL704" s="27" t="n"/>
      <c r="AM704" s="34" t="n"/>
      <c r="AN704" s="35">
        <f>IF(AF704="","",IF(AI704="Yes","❌ Disc",IF(AH704="No","⚠ Missing",IF(AK704="Yes","✓ OK","⚠ Check"))))</f>
        <v/>
      </c>
      <c r="AO704" s="36" t="n"/>
      <c r="AP704" s="36" t="n"/>
      <c r="AQ704" s="36" t="n"/>
      <c r="AR704" s="36" t="n"/>
      <c r="AS704" s="36" t="n"/>
      <c r="AT704" s="36" t="n"/>
      <c r="AU704" s="27" t="n"/>
      <c r="AV704" s="37" t="n"/>
      <c r="AW704" s="38">
        <f>IF(AO704="","",IF(AR704="Yes","❌ Disc",IF(AQ704="No","⚠ Missing",IF(AT704="Yes","✓ OK","⚠ Check"))))</f>
        <v/>
      </c>
    </row>
    <row r="705" ht="18" customHeight="1" s="46">
      <c r="A705" s="23" t="n">
        <v>701</v>
      </c>
      <c r="B705" s="24" t="inlineStr">
        <is>
          <t>WP LNCCN1132367</t>
        </is>
      </c>
      <c r="C705" s="25" t="inlineStr">
        <is>
          <t>Life n Colors - Cute Marine Life for Kids Room Wallpaper  -  Canvas - a texture paper</t>
        </is>
      </c>
      <c r="D705" s="23" t="inlineStr">
        <is>
          <t>Life n Colors</t>
        </is>
      </c>
      <c r="E705" s="43" t="n">
        <v>46126</v>
      </c>
      <c r="F705" s="26" t="inlineStr">
        <is>
          <t>Sunil CR</t>
        </is>
      </c>
      <c r="G705" s="26" t="inlineStr">
        <is>
          <t>Yes</t>
        </is>
      </c>
      <c r="H705" s="26" t="inlineStr">
        <is>
          <t>No</t>
        </is>
      </c>
      <c r="I705" s="26" t="inlineStr">
        <is>
          <t>Good finish</t>
        </is>
      </c>
      <c r="J705" s="26" t="inlineStr">
        <is>
          <t>Yes</t>
        </is>
      </c>
      <c r="K705" s="27" t="n"/>
      <c r="L705" s="28" t="inlineStr">
        <is>
          <t>No</t>
        </is>
      </c>
      <c r="M705" s="29">
        <f>IF(E705="","",IF(H705="Yes","❌ Disc",IF(G705="No","⚠ Missing",IF(J705="Yes","✓ OK","⚠ Check"))))</f>
        <v/>
      </c>
      <c r="N705" s="43" t="n">
        <v>46193</v>
      </c>
      <c r="O705" s="26" t="inlineStr">
        <is>
          <t>Sunil CR</t>
        </is>
      </c>
      <c r="P705" s="26" t="inlineStr">
        <is>
          <t>Yes</t>
        </is>
      </c>
      <c r="Q705" s="26" t="inlineStr">
        <is>
          <t>No</t>
        </is>
      </c>
      <c r="R705" s="26" t="inlineStr">
        <is>
          <t>Good finish</t>
        </is>
      </c>
      <c r="S705" s="26" t="inlineStr">
        <is>
          <t>Yes</t>
        </is>
      </c>
      <c r="T705" s="27" t="n"/>
      <c r="U705" s="28" t="inlineStr">
        <is>
          <t>No</t>
        </is>
      </c>
      <c r="V705" s="29">
        <f>IF(N705="","",IF(Q705="Yes","❌ Disc",IF(P705="No","⚠ Missing",IF(S705="Yes","✓ OK","⚠ Check"))))</f>
        <v/>
      </c>
      <c r="W705" s="65" t="n">
        <v>46248</v>
      </c>
      <c r="X705" s="30" t="inlineStr">
        <is>
          <t>Sunil CR</t>
        </is>
      </c>
      <c r="Y705" s="30" t="inlineStr">
        <is>
          <t>Yes</t>
        </is>
      </c>
      <c r="Z705" s="30" t="n"/>
      <c r="AA705" s="30" t="inlineStr">
        <is>
          <t>Good finish</t>
        </is>
      </c>
      <c r="AB705" s="30" t="inlineStr">
        <is>
          <t>Yes</t>
        </is>
      </c>
      <c r="AC705" s="27" t="n"/>
      <c r="AD705" s="31" t="inlineStr">
        <is>
          <t>No</t>
        </is>
      </c>
      <c r="AE705" s="32">
        <f>IF(W705="","",IF(Z705="Yes","❌ Disc",IF(Y705="No","⚠ Missing",IF(AB705="Yes","✓ OK","⚠ Check"))))</f>
        <v/>
      </c>
      <c r="AF705" s="33" t="n"/>
      <c r="AG705" s="33" t="n"/>
      <c r="AH705" s="33" t="n"/>
      <c r="AI705" s="33" t="n"/>
      <c r="AJ705" s="33" t="n"/>
      <c r="AK705" s="33" t="n"/>
      <c r="AL705" s="27" t="n"/>
      <c r="AM705" s="34" t="n"/>
      <c r="AN705" s="35">
        <f>IF(AF705="","",IF(AI705="Yes","❌ Disc",IF(AH705="No","⚠ Missing",IF(AK705="Yes","✓ OK","⚠ Check"))))</f>
        <v/>
      </c>
      <c r="AO705" s="36" t="n"/>
      <c r="AP705" s="36" t="n"/>
      <c r="AQ705" s="36" t="n"/>
      <c r="AR705" s="36" t="n"/>
      <c r="AS705" s="36" t="n"/>
      <c r="AT705" s="36" t="n"/>
      <c r="AU705" s="27" t="n"/>
      <c r="AV705" s="37" t="n"/>
      <c r="AW705" s="38">
        <f>IF(AO705="","",IF(AR705="Yes","❌ Disc",IF(AQ705="No","⚠ Missing",IF(AT705="Yes","✓ OK","⚠ Check"))))</f>
        <v/>
      </c>
    </row>
    <row r="706" ht="18" customHeight="1" s="46">
      <c r="A706" s="39" t="n">
        <v>702</v>
      </c>
      <c r="B706" s="40" t="inlineStr">
        <is>
          <t>WP LNCSF1132367</t>
        </is>
      </c>
      <c r="C706" s="41" t="inlineStr">
        <is>
          <t>Life n Colors - Cute Marine Life for Kids Room Wallpaper  - Non-woven - a soft feel paper</t>
        </is>
      </c>
      <c r="D706" s="39" t="inlineStr">
        <is>
          <t>Life n Colors</t>
        </is>
      </c>
      <c r="E706" s="43" t="n">
        <v>46126</v>
      </c>
      <c r="F706" s="26" t="inlineStr">
        <is>
          <t>Sunil CR</t>
        </is>
      </c>
      <c r="G706" s="26" t="inlineStr">
        <is>
          <t>Yes</t>
        </is>
      </c>
      <c r="H706" s="26" t="inlineStr">
        <is>
          <t>No</t>
        </is>
      </c>
      <c r="I706" s="26" t="inlineStr">
        <is>
          <t>Good finish</t>
        </is>
      </c>
      <c r="J706" s="26" t="inlineStr">
        <is>
          <t>Yes</t>
        </is>
      </c>
      <c r="K706" s="27" t="n"/>
      <c r="L706" s="28" t="inlineStr">
        <is>
          <t>No</t>
        </is>
      </c>
      <c r="M706" s="29">
        <f>IF(E706="","",IF(H706="Yes","❌ Disc",IF(G706="No","⚠ Missing",IF(J706="Yes","✓ OK","⚠ Check"))))</f>
        <v/>
      </c>
      <c r="N706" s="43" t="n">
        <v>46193</v>
      </c>
      <c r="O706" s="26" t="inlineStr">
        <is>
          <t>Sunil CR</t>
        </is>
      </c>
      <c r="P706" s="26" t="inlineStr">
        <is>
          <t>Yes</t>
        </is>
      </c>
      <c r="Q706" s="26" t="inlineStr">
        <is>
          <t>No</t>
        </is>
      </c>
      <c r="R706" s="26" t="inlineStr">
        <is>
          <t>Good finish</t>
        </is>
      </c>
      <c r="S706" s="26" t="inlineStr">
        <is>
          <t>Yes</t>
        </is>
      </c>
      <c r="T706" s="27" t="n"/>
      <c r="U706" s="28" t="inlineStr">
        <is>
          <t>No</t>
        </is>
      </c>
      <c r="V706" s="29">
        <f>IF(N706="","",IF(Q706="Yes","❌ Disc",IF(P706="No","⚠ Missing",IF(S706="Yes","✓ OK","⚠ Check"))))</f>
        <v/>
      </c>
      <c r="W706" s="65" t="n">
        <v>46248</v>
      </c>
      <c r="X706" s="30" t="inlineStr">
        <is>
          <t>Sunil CR</t>
        </is>
      </c>
      <c r="Y706" s="30" t="inlineStr">
        <is>
          <t>Yes</t>
        </is>
      </c>
      <c r="Z706" s="30" t="n"/>
      <c r="AA706" s="30" t="inlineStr">
        <is>
          <t>Good finish</t>
        </is>
      </c>
      <c r="AB706" s="30" t="inlineStr">
        <is>
          <t>Yes</t>
        </is>
      </c>
      <c r="AC706" s="27" t="n"/>
      <c r="AD706" s="31" t="inlineStr">
        <is>
          <t>No</t>
        </is>
      </c>
      <c r="AE706" s="32">
        <f>IF(W706="","",IF(Z706="Yes","❌ Disc",IF(Y706="No","⚠ Missing",IF(AB706="Yes","✓ OK","⚠ Check"))))</f>
        <v/>
      </c>
      <c r="AF706" s="33" t="n"/>
      <c r="AG706" s="33" t="n"/>
      <c r="AH706" s="33" t="n"/>
      <c r="AI706" s="33" t="n"/>
      <c r="AJ706" s="33" t="n"/>
      <c r="AK706" s="33" t="n"/>
      <c r="AL706" s="27" t="n"/>
      <c r="AM706" s="34" t="n"/>
      <c r="AN706" s="35">
        <f>IF(AF706="","",IF(AI706="Yes","❌ Disc",IF(AH706="No","⚠ Missing",IF(AK706="Yes","✓ OK","⚠ Check"))))</f>
        <v/>
      </c>
      <c r="AO706" s="36" t="n"/>
      <c r="AP706" s="36" t="n"/>
      <c r="AQ706" s="36" t="n"/>
      <c r="AR706" s="36" t="n"/>
      <c r="AS706" s="36" t="n"/>
      <c r="AT706" s="36" t="n"/>
      <c r="AU706" s="27" t="n"/>
      <c r="AV706" s="37" t="n"/>
      <c r="AW706" s="38">
        <f>IF(AO706="","",IF(AR706="Yes","❌ Disc",IF(AQ706="No","⚠ Missing",IF(AT706="Yes","✓ OK","⚠ Check"))))</f>
        <v/>
      </c>
    </row>
    <row r="707" ht="18" customHeight="1" s="46">
      <c r="A707" s="23" t="n">
        <v>703</v>
      </c>
      <c r="B707" s="24" t="inlineStr">
        <is>
          <t>WP LNCCN1128023</t>
        </is>
      </c>
      <c r="C707" s="25" t="inlineStr">
        <is>
          <t>Life n Colors - Cute Mermaids Wall Mural for Kids Room  -  Canvas - a texture paper</t>
        </is>
      </c>
      <c r="D707" s="23" t="inlineStr">
        <is>
          <t>Life n Colors</t>
        </is>
      </c>
      <c r="E707" s="43" t="n">
        <v>46126</v>
      </c>
      <c r="F707" s="26" t="inlineStr">
        <is>
          <t>Sunil CR</t>
        </is>
      </c>
      <c r="G707" s="26" t="inlineStr">
        <is>
          <t>Yes</t>
        </is>
      </c>
      <c r="H707" s="26" t="inlineStr">
        <is>
          <t>No</t>
        </is>
      </c>
      <c r="I707" s="26" t="inlineStr">
        <is>
          <t>Good finish</t>
        </is>
      </c>
      <c r="J707" s="26" t="inlineStr">
        <is>
          <t>Yes</t>
        </is>
      </c>
      <c r="K707" s="27" t="n"/>
      <c r="L707" s="28" t="inlineStr">
        <is>
          <t>No</t>
        </is>
      </c>
      <c r="M707" s="29">
        <f>IF(E707="","",IF(H707="Yes","❌ Disc",IF(G707="No","⚠ Missing",IF(J707="Yes","✓ OK","⚠ Check"))))</f>
        <v/>
      </c>
      <c r="N707" s="43" t="n">
        <v>46193</v>
      </c>
      <c r="O707" s="26" t="inlineStr">
        <is>
          <t>Sunil CR</t>
        </is>
      </c>
      <c r="P707" s="26" t="inlineStr">
        <is>
          <t>Yes</t>
        </is>
      </c>
      <c r="Q707" s="26" t="inlineStr">
        <is>
          <t>No</t>
        </is>
      </c>
      <c r="R707" s="26" t="inlineStr">
        <is>
          <t>Good finish</t>
        </is>
      </c>
      <c r="S707" s="26" t="inlineStr">
        <is>
          <t>Yes</t>
        </is>
      </c>
      <c r="T707" s="27" t="n"/>
      <c r="U707" s="28" t="inlineStr">
        <is>
          <t>No</t>
        </is>
      </c>
      <c r="V707" s="29">
        <f>IF(N707="","",IF(Q707="Yes","❌ Disc",IF(P707="No","⚠ Missing",IF(S707="Yes","✓ OK","⚠ Check"))))</f>
        <v/>
      </c>
      <c r="W707" s="65" t="n">
        <v>46248</v>
      </c>
      <c r="X707" s="30" t="inlineStr">
        <is>
          <t>Sunil CR</t>
        </is>
      </c>
      <c r="Y707" s="30" t="inlineStr">
        <is>
          <t>Yes</t>
        </is>
      </c>
      <c r="Z707" s="30" t="n"/>
      <c r="AA707" s="30" t="inlineStr">
        <is>
          <t>Good finish</t>
        </is>
      </c>
      <c r="AB707" s="30" t="inlineStr">
        <is>
          <t>Yes</t>
        </is>
      </c>
      <c r="AC707" s="27" t="n"/>
      <c r="AD707" s="31" t="inlineStr">
        <is>
          <t>No</t>
        </is>
      </c>
      <c r="AE707" s="32">
        <f>IF(W707="","",IF(Z707="Yes","❌ Disc",IF(Y707="No","⚠ Missing",IF(AB707="Yes","✓ OK","⚠ Check"))))</f>
        <v/>
      </c>
      <c r="AF707" s="33" t="n"/>
      <c r="AG707" s="33" t="n"/>
      <c r="AH707" s="33" t="n"/>
      <c r="AI707" s="33" t="n"/>
      <c r="AJ707" s="33" t="n"/>
      <c r="AK707" s="33" t="n"/>
      <c r="AL707" s="27" t="n"/>
      <c r="AM707" s="34" t="n"/>
      <c r="AN707" s="35">
        <f>IF(AF707="","",IF(AI707="Yes","❌ Disc",IF(AH707="No","⚠ Missing",IF(AK707="Yes","✓ OK","⚠ Check"))))</f>
        <v/>
      </c>
      <c r="AO707" s="36" t="n"/>
      <c r="AP707" s="36" t="n"/>
      <c r="AQ707" s="36" t="n"/>
      <c r="AR707" s="36" t="n"/>
      <c r="AS707" s="36" t="n"/>
      <c r="AT707" s="36" t="n"/>
      <c r="AU707" s="27" t="n"/>
      <c r="AV707" s="37" t="n"/>
      <c r="AW707" s="38">
        <f>IF(AO707="","",IF(AR707="Yes","❌ Disc",IF(AQ707="No","⚠ Missing",IF(AT707="Yes","✓ OK","⚠ Check"))))</f>
        <v/>
      </c>
    </row>
    <row r="708" ht="18" customHeight="1" s="46">
      <c r="A708" s="39" t="n">
        <v>704</v>
      </c>
      <c r="B708" s="40" t="inlineStr">
        <is>
          <t>WP LNCSF1128023</t>
        </is>
      </c>
      <c r="C708" s="41" t="inlineStr">
        <is>
          <t>Life n Colors - Cute Mermaids Wall Mural for Kids Room  - Non-woven - a soft feel paper</t>
        </is>
      </c>
      <c r="D708" s="39" t="inlineStr">
        <is>
          <t>Life n Colors</t>
        </is>
      </c>
      <c r="E708" s="43" t="n">
        <v>46126</v>
      </c>
      <c r="F708" s="26" t="inlineStr">
        <is>
          <t>Sunil CR</t>
        </is>
      </c>
      <c r="G708" s="26" t="inlineStr">
        <is>
          <t>Yes</t>
        </is>
      </c>
      <c r="H708" s="26" t="inlineStr">
        <is>
          <t>No</t>
        </is>
      </c>
      <c r="I708" s="26" t="inlineStr">
        <is>
          <t>Good finish</t>
        </is>
      </c>
      <c r="J708" s="26" t="inlineStr">
        <is>
          <t>Yes</t>
        </is>
      </c>
      <c r="K708" s="27" t="n"/>
      <c r="L708" s="28" t="inlineStr">
        <is>
          <t>No</t>
        </is>
      </c>
      <c r="M708" s="29">
        <f>IF(E708="","",IF(H708="Yes","❌ Disc",IF(G708="No","⚠ Missing",IF(J708="Yes","✓ OK","⚠ Check"))))</f>
        <v/>
      </c>
      <c r="N708" s="43" t="n">
        <v>46193</v>
      </c>
      <c r="O708" s="26" t="inlineStr">
        <is>
          <t>Sunil CR</t>
        </is>
      </c>
      <c r="P708" s="26" t="inlineStr">
        <is>
          <t>Yes</t>
        </is>
      </c>
      <c r="Q708" s="26" t="inlineStr">
        <is>
          <t>No</t>
        </is>
      </c>
      <c r="R708" s="26" t="inlineStr">
        <is>
          <t>Good finish</t>
        </is>
      </c>
      <c r="S708" s="26" t="inlineStr">
        <is>
          <t>Yes</t>
        </is>
      </c>
      <c r="T708" s="27" t="n"/>
      <c r="U708" s="28" t="inlineStr">
        <is>
          <t>No</t>
        </is>
      </c>
      <c r="V708" s="29">
        <f>IF(N708="","",IF(Q708="Yes","❌ Disc",IF(P708="No","⚠ Missing",IF(S708="Yes","✓ OK","⚠ Check"))))</f>
        <v/>
      </c>
      <c r="W708" s="65" t="n">
        <v>46248</v>
      </c>
      <c r="X708" s="30" t="inlineStr">
        <is>
          <t>Sunil CR</t>
        </is>
      </c>
      <c r="Y708" s="30" t="inlineStr">
        <is>
          <t>Yes</t>
        </is>
      </c>
      <c r="Z708" s="30" t="n"/>
      <c r="AA708" s="30" t="inlineStr">
        <is>
          <t>Good finish</t>
        </is>
      </c>
      <c r="AB708" s="30" t="inlineStr">
        <is>
          <t>Yes</t>
        </is>
      </c>
      <c r="AC708" s="27" t="n"/>
      <c r="AD708" s="31" t="inlineStr">
        <is>
          <t>No</t>
        </is>
      </c>
      <c r="AE708" s="32">
        <f>IF(W708="","",IF(Z708="Yes","❌ Disc",IF(Y708="No","⚠ Missing",IF(AB708="Yes","✓ OK","⚠ Check"))))</f>
        <v/>
      </c>
      <c r="AF708" s="33" t="n"/>
      <c r="AG708" s="33" t="n"/>
      <c r="AH708" s="33" t="n"/>
      <c r="AI708" s="33" t="n"/>
      <c r="AJ708" s="33" t="n"/>
      <c r="AK708" s="33" t="n"/>
      <c r="AL708" s="27" t="n"/>
      <c r="AM708" s="34" t="n"/>
      <c r="AN708" s="35">
        <f>IF(AF708="","",IF(AI708="Yes","❌ Disc",IF(AH708="No","⚠ Missing",IF(AK708="Yes","✓ OK","⚠ Check"))))</f>
        <v/>
      </c>
      <c r="AO708" s="36" t="n"/>
      <c r="AP708" s="36" t="n"/>
      <c r="AQ708" s="36" t="n"/>
      <c r="AR708" s="36" t="n"/>
      <c r="AS708" s="36" t="n"/>
      <c r="AT708" s="36" t="n"/>
      <c r="AU708" s="27" t="n"/>
      <c r="AV708" s="37" t="n"/>
      <c r="AW708" s="38">
        <f>IF(AO708="","",IF(AR708="Yes","❌ Disc",IF(AQ708="No","⚠ Missing",IF(AT708="Yes","✓ OK","⚠ Check"))))</f>
        <v/>
      </c>
    </row>
    <row r="709" ht="18" customHeight="1" s="46">
      <c r="A709" s="23" t="n">
        <v>705</v>
      </c>
      <c r="B709" s="24" t="inlineStr">
        <is>
          <t>WP LNCCN1068582</t>
        </is>
      </c>
      <c r="C709" s="25" t="inlineStr">
        <is>
          <t>Life n Colors - Cute Pastel Shades Floral Wallpaper  -  Canvas - a texture paper</t>
        </is>
      </c>
      <c r="D709" s="23" t="inlineStr">
        <is>
          <t>Life n Colors</t>
        </is>
      </c>
      <c r="E709" s="43" t="n">
        <v>46126</v>
      </c>
      <c r="F709" s="26" t="inlineStr">
        <is>
          <t>Sunil CR</t>
        </is>
      </c>
      <c r="G709" s="26" t="inlineStr">
        <is>
          <t>Yes</t>
        </is>
      </c>
      <c r="H709" s="26" t="inlineStr">
        <is>
          <t>No</t>
        </is>
      </c>
      <c r="I709" s="26" t="inlineStr">
        <is>
          <t>Good finish</t>
        </is>
      </c>
      <c r="J709" s="26" t="inlineStr">
        <is>
          <t>Yes</t>
        </is>
      </c>
      <c r="K709" s="27" t="n"/>
      <c r="L709" s="28" t="inlineStr">
        <is>
          <t>No</t>
        </is>
      </c>
      <c r="M709" s="29">
        <f>IF(E709="","",IF(H709="Yes","❌ Disc",IF(G709="No","⚠ Missing",IF(J709="Yes","✓ OK","⚠ Check"))))</f>
        <v/>
      </c>
      <c r="N709" s="43" t="n">
        <v>46193</v>
      </c>
      <c r="O709" s="26" t="inlineStr">
        <is>
          <t>Sunil CR</t>
        </is>
      </c>
      <c r="P709" s="26" t="inlineStr">
        <is>
          <t>Yes</t>
        </is>
      </c>
      <c r="Q709" s="26" t="inlineStr">
        <is>
          <t>No</t>
        </is>
      </c>
      <c r="R709" s="26" t="inlineStr">
        <is>
          <t>Good finish</t>
        </is>
      </c>
      <c r="S709" s="26" t="inlineStr">
        <is>
          <t>Yes</t>
        </is>
      </c>
      <c r="T709" s="27" t="n"/>
      <c r="U709" s="28" t="inlineStr">
        <is>
          <t>No</t>
        </is>
      </c>
      <c r="V709" s="29">
        <f>IF(N709="","",IF(Q709="Yes","❌ Disc",IF(P709="No","⚠ Missing",IF(S709="Yes","✓ OK","⚠ Check"))))</f>
        <v/>
      </c>
      <c r="W709" s="65" t="n">
        <v>46248</v>
      </c>
      <c r="X709" s="30" t="inlineStr">
        <is>
          <t>Sunil CR</t>
        </is>
      </c>
      <c r="Y709" s="30" t="inlineStr">
        <is>
          <t>Yes</t>
        </is>
      </c>
      <c r="Z709" s="30" t="n"/>
      <c r="AA709" s="30" t="inlineStr">
        <is>
          <t>Good finish</t>
        </is>
      </c>
      <c r="AB709" s="30" t="inlineStr">
        <is>
          <t>Yes</t>
        </is>
      </c>
      <c r="AC709" s="27" t="n"/>
      <c r="AD709" s="31" t="inlineStr">
        <is>
          <t>No</t>
        </is>
      </c>
      <c r="AE709" s="32">
        <f>IF(W709="","",IF(Z709="Yes","❌ Disc",IF(Y709="No","⚠ Missing",IF(AB709="Yes","✓ OK","⚠ Check"))))</f>
        <v/>
      </c>
      <c r="AF709" s="33" t="n"/>
      <c r="AG709" s="33" t="n"/>
      <c r="AH709" s="33" t="n"/>
      <c r="AI709" s="33" t="n"/>
      <c r="AJ709" s="33" t="n"/>
      <c r="AK709" s="33" t="n"/>
      <c r="AL709" s="27" t="n"/>
      <c r="AM709" s="34" t="n"/>
      <c r="AN709" s="35">
        <f>IF(AF709="","",IF(AI709="Yes","❌ Disc",IF(AH709="No","⚠ Missing",IF(AK709="Yes","✓ OK","⚠ Check"))))</f>
        <v/>
      </c>
      <c r="AO709" s="36" t="n"/>
      <c r="AP709" s="36" t="n"/>
      <c r="AQ709" s="36" t="n"/>
      <c r="AR709" s="36" t="n"/>
      <c r="AS709" s="36" t="n"/>
      <c r="AT709" s="36" t="n"/>
      <c r="AU709" s="27" t="n"/>
      <c r="AV709" s="37" t="n"/>
      <c r="AW709" s="38">
        <f>IF(AO709="","",IF(AR709="Yes","❌ Disc",IF(AQ709="No","⚠ Missing",IF(AT709="Yes","✓ OK","⚠ Check"))))</f>
        <v/>
      </c>
    </row>
    <row r="710" ht="18" customHeight="1" s="46">
      <c r="A710" s="39" t="n">
        <v>706</v>
      </c>
      <c r="B710" s="40" t="inlineStr">
        <is>
          <t>WP LNCSF1068582</t>
        </is>
      </c>
      <c r="C710" s="41" t="inlineStr">
        <is>
          <t>Life n Colors - Cute Pastel Shades Floral Wallpaper  - Non-woven - a soft feel paper</t>
        </is>
      </c>
      <c r="D710" s="39" t="inlineStr">
        <is>
          <t>Life n Colors</t>
        </is>
      </c>
      <c r="E710" s="43" t="n">
        <v>46126</v>
      </c>
      <c r="F710" s="26" t="inlineStr">
        <is>
          <t>Sunil CR</t>
        </is>
      </c>
      <c r="G710" s="26" t="inlineStr">
        <is>
          <t>Yes</t>
        </is>
      </c>
      <c r="H710" s="26" t="inlineStr">
        <is>
          <t>No</t>
        </is>
      </c>
      <c r="I710" s="26" t="inlineStr">
        <is>
          <t>Good finish</t>
        </is>
      </c>
      <c r="J710" s="26" t="inlineStr">
        <is>
          <t>Yes</t>
        </is>
      </c>
      <c r="K710" s="27" t="n"/>
      <c r="L710" s="28" t="inlineStr">
        <is>
          <t>No</t>
        </is>
      </c>
      <c r="M710" s="29">
        <f>IF(E710="","",IF(H710="Yes","❌ Disc",IF(G710="No","⚠ Missing",IF(J710="Yes","✓ OK","⚠ Check"))))</f>
        <v/>
      </c>
      <c r="N710" s="43" t="n">
        <v>46193</v>
      </c>
      <c r="O710" s="26" t="inlineStr">
        <is>
          <t>Sunil CR</t>
        </is>
      </c>
      <c r="P710" s="26" t="inlineStr">
        <is>
          <t>Yes</t>
        </is>
      </c>
      <c r="Q710" s="26" t="inlineStr">
        <is>
          <t>No</t>
        </is>
      </c>
      <c r="R710" s="26" t="inlineStr">
        <is>
          <t>Good finish</t>
        </is>
      </c>
      <c r="S710" s="26" t="inlineStr">
        <is>
          <t>Yes</t>
        </is>
      </c>
      <c r="T710" s="27" t="n"/>
      <c r="U710" s="28" t="inlineStr">
        <is>
          <t>No</t>
        </is>
      </c>
      <c r="V710" s="29">
        <f>IF(N710="","",IF(Q710="Yes","❌ Disc",IF(P710="No","⚠ Missing",IF(S710="Yes","✓ OK","⚠ Check"))))</f>
        <v/>
      </c>
      <c r="W710" s="65" t="n">
        <v>46248</v>
      </c>
      <c r="X710" s="30" t="inlineStr">
        <is>
          <t>Sunil CR</t>
        </is>
      </c>
      <c r="Y710" s="30" t="inlineStr">
        <is>
          <t>Yes</t>
        </is>
      </c>
      <c r="Z710" s="30" t="n"/>
      <c r="AA710" s="30" t="inlineStr">
        <is>
          <t>Good finish</t>
        </is>
      </c>
      <c r="AB710" s="30" t="inlineStr">
        <is>
          <t>Yes</t>
        </is>
      </c>
      <c r="AC710" s="27" t="n"/>
      <c r="AD710" s="31" t="inlineStr">
        <is>
          <t>No</t>
        </is>
      </c>
      <c r="AE710" s="32">
        <f>IF(W710="","",IF(Z710="Yes","❌ Disc",IF(Y710="No","⚠ Missing",IF(AB710="Yes","✓ OK","⚠ Check"))))</f>
        <v/>
      </c>
      <c r="AF710" s="33" t="n"/>
      <c r="AG710" s="33" t="n"/>
      <c r="AH710" s="33" t="n"/>
      <c r="AI710" s="33" t="n"/>
      <c r="AJ710" s="33" t="n"/>
      <c r="AK710" s="33" t="n"/>
      <c r="AL710" s="27" t="n"/>
      <c r="AM710" s="34" t="n"/>
      <c r="AN710" s="35">
        <f>IF(AF710="","",IF(AI710="Yes","❌ Disc",IF(AH710="No","⚠ Missing",IF(AK710="Yes","✓ OK","⚠ Check"))))</f>
        <v/>
      </c>
      <c r="AO710" s="36" t="n"/>
      <c r="AP710" s="36" t="n"/>
      <c r="AQ710" s="36" t="n"/>
      <c r="AR710" s="36" t="n"/>
      <c r="AS710" s="36" t="n"/>
      <c r="AT710" s="36" t="n"/>
      <c r="AU710" s="27" t="n"/>
      <c r="AV710" s="37" t="n"/>
      <c r="AW710" s="38">
        <f>IF(AO710="","",IF(AR710="Yes","❌ Disc",IF(AQ710="No","⚠ Missing",IF(AT710="Yes","✓ OK","⚠ Check"))))</f>
        <v/>
      </c>
    </row>
    <row r="711" ht="18" customHeight="1" s="46">
      <c r="A711" s="23" t="n">
        <v>707</v>
      </c>
      <c r="B711" s="24" t="inlineStr">
        <is>
          <t>WP LNCCN1092689</t>
        </is>
      </c>
      <c r="C711" s="25" t="inlineStr">
        <is>
          <t>Life n Colors - Cute Sea Animals Kids Room Wallpaper, Pastel Water Color Effects  -  Canvas - a texture paper</t>
        </is>
      </c>
      <c r="D711" s="23" t="inlineStr">
        <is>
          <t>Life n Colors</t>
        </is>
      </c>
      <c r="E711" s="43" t="n">
        <v>46126</v>
      </c>
      <c r="F711" s="26" t="inlineStr">
        <is>
          <t>Sunil CR</t>
        </is>
      </c>
      <c r="G711" s="26" t="inlineStr">
        <is>
          <t>Yes</t>
        </is>
      </c>
      <c r="H711" s="26" t="inlineStr">
        <is>
          <t>No</t>
        </is>
      </c>
      <c r="I711" s="26" t="inlineStr">
        <is>
          <t>Good finish</t>
        </is>
      </c>
      <c r="J711" s="26" t="inlineStr">
        <is>
          <t>Yes</t>
        </is>
      </c>
      <c r="K711" s="27" t="n"/>
      <c r="L711" s="28" t="inlineStr">
        <is>
          <t>No</t>
        </is>
      </c>
      <c r="M711" s="29">
        <f>IF(E711="","",IF(H711="Yes","❌ Disc",IF(G711="No","⚠ Missing",IF(J711="Yes","✓ OK","⚠ Check"))))</f>
        <v/>
      </c>
      <c r="N711" s="43" t="n">
        <v>46193</v>
      </c>
      <c r="O711" s="26" t="inlineStr">
        <is>
          <t>Sunil CR</t>
        </is>
      </c>
      <c r="P711" s="26" t="inlineStr">
        <is>
          <t>Yes</t>
        </is>
      </c>
      <c r="Q711" s="26" t="inlineStr">
        <is>
          <t>No</t>
        </is>
      </c>
      <c r="R711" s="26" t="inlineStr">
        <is>
          <t>Good finish</t>
        </is>
      </c>
      <c r="S711" s="26" t="inlineStr">
        <is>
          <t>Yes</t>
        </is>
      </c>
      <c r="T711" s="27" t="n"/>
      <c r="U711" s="28" t="inlineStr">
        <is>
          <t>No</t>
        </is>
      </c>
      <c r="V711" s="29">
        <f>IF(N711="","",IF(Q711="Yes","❌ Disc",IF(P711="No","⚠ Missing",IF(S711="Yes","✓ OK","⚠ Check"))))</f>
        <v/>
      </c>
      <c r="W711" s="65" t="n">
        <v>46248</v>
      </c>
      <c r="X711" s="30" t="inlineStr">
        <is>
          <t>Sunil CR</t>
        </is>
      </c>
      <c r="Y711" s="30" t="inlineStr">
        <is>
          <t>Yes</t>
        </is>
      </c>
      <c r="Z711" s="30" t="n"/>
      <c r="AA711" s="30" t="inlineStr">
        <is>
          <t>Good finish</t>
        </is>
      </c>
      <c r="AB711" s="30" t="inlineStr">
        <is>
          <t>Yes</t>
        </is>
      </c>
      <c r="AC711" s="27" t="n"/>
      <c r="AD711" s="31" t="inlineStr">
        <is>
          <t>No</t>
        </is>
      </c>
      <c r="AE711" s="32">
        <f>IF(W711="","",IF(Z711="Yes","❌ Disc",IF(Y711="No","⚠ Missing",IF(AB711="Yes","✓ OK","⚠ Check"))))</f>
        <v/>
      </c>
      <c r="AF711" s="33" t="n"/>
      <c r="AG711" s="33" t="n"/>
      <c r="AH711" s="33" t="n"/>
      <c r="AI711" s="33" t="n"/>
      <c r="AJ711" s="33" t="n"/>
      <c r="AK711" s="33" t="n"/>
      <c r="AL711" s="27" t="n"/>
      <c r="AM711" s="34" t="n"/>
      <c r="AN711" s="35">
        <f>IF(AF711="","",IF(AI711="Yes","❌ Disc",IF(AH711="No","⚠ Missing",IF(AK711="Yes","✓ OK","⚠ Check"))))</f>
        <v/>
      </c>
      <c r="AO711" s="36" t="n"/>
      <c r="AP711" s="36" t="n"/>
      <c r="AQ711" s="36" t="n"/>
      <c r="AR711" s="36" t="n"/>
      <c r="AS711" s="36" t="n"/>
      <c r="AT711" s="36" t="n"/>
      <c r="AU711" s="27" t="n"/>
      <c r="AV711" s="37" t="n"/>
      <c r="AW711" s="38">
        <f>IF(AO711="","",IF(AR711="Yes","❌ Disc",IF(AQ711="No","⚠ Missing",IF(AT711="Yes","✓ OK","⚠ Check"))))</f>
        <v/>
      </c>
    </row>
    <row r="712" ht="18" customHeight="1" s="46">
      <c r="A712" s="39" t="n">
        <v>708</v>
      </c>
      <c r="B712" s="40" t="inlineStr">
        <is>
          <t>WP LNCSF1092689</t>
        </is>
      </c>
      <c r="C712" s="41" t="inlineStr">
        <is>
          <t>Life n Colors - Cute Sea Animals Kids Room Wallpaper, Pastel Water Color Effects  - Non-woven - a soft feel paper</t>
        </is>
      </c>
      <c r="D712" s="39" t="inlineStr">
        <is>
          <t>Life n Colors</t>
        </is>
      </c>
      <c r="E712" s="43" t="n">
        <v>46126</v>
      </c>
      <c r="F712" s="26" t="inlineStr">
        <is>
          <t>Sunil CR</t>
        </is>
      </c>
      <c r="G712" s="26" t="inlineStr">
        <is>
          <t>Yes</t>
        </is>
      </c>
      <c r="H712" s="26" t="inlineStr">
        <is>
          <t>No</t>
        </is>
      </c>
      <c r="I712" s="26" t="inlineStr">
        <is>
          <t>Good finish</t>
        </is>
      </c>
      <c r="J712" s="26" t="inlineStr">
        <is>
          <t>Yes</t>
        </is>
      </c>
      <c r="K712" s="27" t="n"/>
      <c r="L712" s="28" t="inlineStr">
        <is>
          <t>No</t>
        </is>
      </c>
      <c r="M712" s="29">
        <f>IF(E712="","",IF(H712="Yes","❌ Disc",IF(G712="No","⚠ Missing",IF(J712="Yes","✓ OK","⚠ Check"))))</f>
        <v/>
      </c>
      <c r="N712" s="43" t="n">
        <v>46193</v>
      </c>
      <c r="O712" s="26" t="inlineStr">
        <is>
          <t>Sunil CR</t>
        </is>
      </c>
      <c r="P712" s="26" t="inlineStr">
        <is>
          <t>Yes</t>
        </is>
      </c>
      <c r="Q712" s="26" t="inlineStr">
        <is>
          <t>No</t>
        </is>
      </c>
      <c r="R712" s="26" t="inlineStr">
        <is>
          <t>Good finish</t>
        </is>
      </c>
      <c r="S712" s="26" t="inlineStr">
        <is>
          <t>Yes</t>
        </is>
      </c>
      <c r="T712" s="27" t="n"/>
      <c r="U712" s="28" t="inlineStr">
        <is>
          <t>No</t>
        </is>
      </c>
      <c r="V712" s="29">
        <f>IF(N712="","",IF(Q712="Yes","❌ Disc",IF(P712="No","⚠ Missing",IF(S712="Yes","✓ OK","⚠ Check"))))</f>
        <v/>
      </c>
      <c r="W712" s="65" t="n">
        <v>46248</v>
      </c>
      <c r="X712" s="30" t="inlineStr">
        <is>
          <t>Sunil CR</t>
        </is>
      </c>
      <c r="Y712" s="30" t="inlineStr">
        <is>
          <t>Yes</t>
        </is>
      </c>
      <c r="Z712" s="30" t="n"/>
      <c r="AA712" s="30" t="inlineStr">
        <is>
          <t>Good finish</t>
        </is>
      </c>
      <c r="AB712" s="30" t="inlineStr">
        <is>
          <t>Yes</t>
        </is>
      </c>
      <c r="AC712" s="27" t="n"/>
      <c r="AD712" s="31" t="inlineStr">
        <is>
          <t>No</t>
        </is>
      </c>
      <c r="AE712" s="32">
        <f>IF(W712="","",IF(Z712="Yes","❌ Disc",IF(Y712="No","⚠ Missing",IF(AB712="Yes","✓ OK","⚠ Check"))))</f>
        <v/>
      </c>
      <c r="AF712" s="33" t="n"/>
      <c r="AG712" s="33" t="n"/>
      <c r="AH712" s="33" t="n"/>
      <c r="AI712" s="33" t="n"/>
      <c r="AJ712" s="33" t="n"/>
      <c r="AK712" s="33" t="n"/>
      <c r="AL712" s="27" t="n"/>
      <c r="AM712" s="34" t="n"/>
      <c r="AN712" s="35">
        <f>IF(AF712="","",IF(AI712="Yes","❌ Disc",IF(AH712="No","⚠ Missing",IF(AK712="Yes","✓ OK","⚠ Check"))))</f>
        <v/>
      </c>
      <c r="AO712" s="36" t="n"/>
      <c r="AP712" s="36" t="n"/>
      <c r="AQ712" s="36" t="n"/>
      <c r="AR712" s="36" t="n"/>
      <c r="AS712" s="36" t="n"/>
      <c r="AT712" s="36" t="n"/>
      <c r="AU712" s="27" t="n"/>
      <c r="AV712" s="37" t="n"/>
      <c r="AW712" s="38">
        <f>IF(AO712="","",IF(AR712="Yes","❌ Disc",IF(AQ712="No","⚠ Missing",IF(AT712="Yes","✓ OK","⚠ Check"))))</f>
        <v/>
      </c>
    </row>
    <row r="713" ht="18" customHeight="1" s="46">
      <c r="A713" s="23" t="n">
        <v>709</v>
      </c>
      <c r="B713" s="24" t="inlineStr">
        <is>
          <t>WP LNCCN1058007</t>
        </is>
      </c>
      <c r="C713" s="25" t="inlineStr">
        <is>
          <t>Life n Colors - Cute Space Theme Wallpaper for Kids Room, Blue &amp; Grey  -  Canvas - a texture paper</t>
        </is>
      </c>
      <c r="D713" s="23" t="inlineStr">
        <is>
          <t>Life n Colors</t>
        </is>
      </c>
      <c r="E713" s="43" t="n">
        <v>46126</v>
      </c>
      <c r="F713" s="26" t="inlineStr">
        <is>
          <t>Sunil CR</t>
        </is>
      </c>
      <c r="G713" s="26" t="inlineStr">
        <is>
          <t>Yes</t>
        </is>
      </c>
      <c r="H713" s="26" t="inlineStr">
        <is>
          <t>No</t>
        </is>
      </c>
      <c r="I713" s="26" t="inlineStr">
        <is>
          <t>Good finish</t>
        </is>
      </c>
      <c r="J713" s="26" t="inlineStr">
        <is>
          <t>Yes</t>
        </is>
      </c>
      <c r="K713" s="27" t="n"/>
      <c r="L713" s="28" t="inlineStr">
        <is>
          <t>No</t>
        </is>
      </c>
      <c r="M713" s="29">
        <f>IF(E713="","",IF(H713="Yes","❌ Disc",IF(G713="No","⚠ Missing",IF(J713="Yes","✓ OK","⚠ Check"))))</f>
        <v/>
      </c>
      <c r="N713" s="43" t="n">
        <v>46193</v>
      </c>
      <c r="O713" s="26" t="inlineStr">
        <is>
          <t>Sunil CR</t>
        </is>
      </c>
      <c r="P713" s="26" t="inlineStr">
        <is>
          <t>Yes</t>
        </is>
      </c>
      <c r="Q713" s="26" t="inlineStr">
        <is>
          <t>No</t>
        </is>
      </c>
      <c r="R713" s="26" t="inlineStr">
        <is>
          <t>Good finish</t>
        </is>
      </c>
      <c r="S713" s="26" t="inlineStr">
        <is>
          <t>Yes</t>
        </is>
      </c>
      <c r="T713" s="27" t="n"/>
      <c r="U713" s="28" t="inlineStr">
        <is>
          <t>No</t>
        </is>
      </c>
      <c r="V713" s="29">
        <f>IF(N713="","",IF(Q713="Yes","❌ Disc",IF(P713="No","⚠ Missing",IF(S713="Yes","✓ OK","⚠ Check"))))</f>
        <v/>
      </c>
      <c r="W713" s="65" t="n">
        <v>46248</v>
      </c>
      <c r="X713" s="30" t="inlineStr">
        <is>
          <t>Sunil CR</t>
        </is>
      </c>
      <c r="Y713" s="30" t="inlineStr">
        <is>
          <t>Yes</t>
        </is>
      </c>
      <c r="Z713" s="30" t="n"/>
      <c r="AA713" s="30" t="inlineStr">
        <is>
          <t>Good finish</t>
        </is>
      </c>
      <c r="AB713" s="30" t="inlineStr">
        <is>
          <t>Yes</t>
        </is>
      </c>
      <c r="AC713" s="27" t="n"/>
      <c r="AD713" s="31" t="inlineStr">
        <is>
          <t>No</t>
        </is>
      </c>
      <c r="AE713" s="32">
        <f>IF(W713="","",IF(Z713="Yes","❌ Disc",IF(Y713="No","⚠ Missing",IF(AB713="Yes","✓ OK","⚠ Check"))))</f>
        <v/>
      </c>
      <c r="AF713" s="33" t="n"/>
      <c r="AG713" s="33" t="n"/>
      <c r="AH713" s="33" t="n"/>
      <c r="AI713" s="33" t="n"/>
      <c r="AJ713" s="33" t="n"/>
      <c r="AK713" s="33" t="n"/>
      <c r="AL713" s="27" t="n"/>
      <c r="AM713" s="34" t="n"/>
      <c r="AN713" s="35">
        <f>IF(AF713="","",IF(AI713="Yes","❌ Disc",IF(AH713="No","⚠ Missing",IF(AK713="Yes","✓ OK","⚠ Check"))))</f>
        <v/>
      </c>
      <c r="AO713" s="36" t="n"/>
      <c r="AP713" s="36" t="n"/>
      <c r="AQ713" s="36" t="n"/>
      <c r="AR713" s="36" t="n"/>
      <c r="AS713" s="36" t="n"/>
      <c r="AT713" s="36" t="n"/>
      <c r="AU713" s="27" t="n"/>
      <c r="AV713" s="37" t="n"/>
      <c r="AW713" s="38">
        <f>IF(AO713="","",IF(AR713="Yes","❌ Disc",IF(AQ713="No","⚠ Missing",IF(AT713="Yes","✓ OK","⚠ Check"))))</f>
        <v/>
      </c>
    </row>
    <row r="714" ht="18" customHeight="1" s="46">
      <c r="A714" s="39" t="n">
        <v>710</v>
      </c>
      <c r="B714" s="40" t="inlineStr">
        <is>
          <t>WP LNCSF1058007</t>
        </is>
      </c>
      <c r="C714" s="41" t="inlineStr">
        <is>
          <t>Life n Colors - Cute Space Theme Wallpaper for Kids Room, Blue &amp; Grey  - Non-woven - a soft feel paper</t>
        </is>
      </c>
      <c r="D714" s="39" t="inlineStr">
        <is>
          <t>Life n Colors</t>
        </is>
      </c>
      <c r="E714" s="43" t="n">
        <v>46126</v>
      </c>
      <c r="F714" s="26" t="inlineStr">
        <is>
          <t>Sunil CR</t>
        </is>
      </c>
      <c r="G714" s="26" t="inlineStr">
        <is>
          <t>Yes</t>
        </is>
      </c>
      <c r="H714" s="26" t="inlineStr">
        <is>
          <t>No</t>
        </is>
      </c>
      <c r="I714" s="26" t="inlineStr">
        <is>
          <t>Good finish</t>
        </is>
      </c>
      <c r="J714" s="26" t="inlineStr">
        <is>
          <t>Yes</t>
        </is>
      </c>
      <c r="K714" s="27" t="n"/>
      <c r="L714" s="28" t="inlineStr">
        <is>
          <t>No</t>
        </is>
      </c>
      <c r="M714" s="29">
        <f>IF(E714="","",IF(H714="Yes","❌ Disc",IF(G714="No","⚠ Missing",IF(J714="Yes","✓ OK","⚠ Check"))))</f>
        <v/>
      </c>
      <c r="N714" s="43" t="n">
        <v>46193</v>
      </c>
      <c r="O714" s="26" t="inlineStr">
        <is>
          <t>Sunil CR</t>
        </is>
      </c>
      <c r="P714" s="26" t="inlineStr">
        <is>
          <t>Yes</t>
        </is>
      </c>
      <c r="Q714" s="26" t="inlineStr">
        <is>
          <t>No</t>
        </is>
      </c>
      <c r="R714" s="26" t="inlineStr">
        <is>
          <t>Good finish</t>
        </is>
      </c>
      <c r="S714" s="26" t="inlineStr">
        <is>
          <t>Yes</t>
        </is>
      </c>
      <c r="T714" s="27" t="n"/>
      <c r="U714" s="28" t="inlineStr">
        <is>
          <t>No</t>
        </is>
      </c>
      <c r="V714" s="29">
        <f>IF(N714="","",IF(Q714="Yes","❌ Disc",IF(P714="No","⚠ Missing",IF(S714="Yes","✓ OK","⚠ Check"))))</f>
        <v/>
      </c>
      <c r="W714" s="65" t="n">
        <v>46248</v>
      </c>
      <c r="X714" s="30" t="inlineStr">
        <is>
          <t>Sunil CR</t>
        </is>
      </c>
      <c r="Y714" s="30" t="inlineStr">
        <is>
          <t>Yes</t>
        </is>
      </c>
      <c r="Z714" s="30" t="n"/>
      <c r="AA714" s="30" t="inlineStr">
        <is>
          <t>Good finish</t>
        </is>
      </c>
      <c r="AB714" s="30" t="inlineStr">
        <is>
          <t>Yes</t>
        </is>
      </c>
      <c r="AC714" s="27" t="n"/>
      <c r="AD714" s="31" t="inlineStr">
        <is>
          <t>No</t>
        </is>
      </c>
      <c r="AE714" s="32">
        <f>IF(W714="","",IF(Z714="Yes","❌ Disc",IF(Y714="No","⚠ Missing",IF(AB714="Yes","✓ OK","⚠ Check"))))</f>
        <v/>
      </c>
      <c r="AF714" s="33" t="n"/>
      <c r="AG714" s="33" t="n"/>
      <c r="AH714" s="33" t="n"/>
      <c r="AI714" s="33" t="n"/>
      <c r="AJ714" s="33" t="n"/>
      <c r="AK714" s="33" t="n"/>
      <c r="AL714" s="27" t="n"/>
      <c r="AM714" s="34" t="n"/>
      <c r="AN714" s="35">
        <f>IF(AF714="","",IF(AI714="Yes","❌ Disc",IF(AH714="No","⚠ Missing",IF(AK714="Yes","✓ OK","⚠ Check"))))</f>
        <v/>
      </c>
      <c r="AO714" s="36" t="n"/>
      <c r="AP714" s="36" t="n"/>
      <c r="AQ714" s="36" t="n"/>
      <c r="AR714" s="36" t="n"/>
      <c r="AS714" s="36" t="n"/>
      <c r="AT714" s="36" t="n"/>
      <c r="AU714" s="27" t="n"/>
      <c r="AV714" s="37" t="n"/>
      <c r="AW714" s="38">
        <f>IF(AO714="","",IF(AR714="Yes","❌ Disc",IF(AQ714="No","⚠ Missing",IF(AT714="Yes","✓ OK","⚠ Check"))))</f>
        <v/>
      </c>
    </row>
    <row r="715" ht="18" customHeight="1" s="46">
      <c r="A715" s="23" t="n">
        <v>711</v>
      </c>
      <c r="B715" s="24" t="inlineStr">
        <is>
          <t>WP LNCCN1026850</t>
        </is>
      </c>
      <c r="C715" s="25" t="inlineStr">
        <is>
          <t>Life n Colors - Damask Pattern Using Bugs, Theme Wallpaper  -  Canvas - a texture paper</t>
        </is>
      </c>
      <c r="D715" s="23" t="inlineStr">
        <is>
          <t>Life n Colors</t>
        </is>
      </c>
      <c r="E715" s="43" t="n">
        <v>46126</v>
      </c>
      <c r="F715" s="26" t="inlineStr">
        <is>
          <t>Sunil CR</t>
        </is>
      </c>
      <c r="G715" s="26" t="inlineStr">
        <is>
          <t>Yes</t>
        </is>
      </c>
      <c r="H715" s="26" t="inlineStr">
        <is>
          <t>No</t>
        </is>
      </c>
      <c r="I715" s="26" t="inlineStr">
        <is>
          <t>Good finish</t>
        </is>
      </c>
      <c r="J715" s="26" t="inlineStr">
        <is>
          <t>Yes</t>
        </is>
      </c>
      <c r="K715" s="27" t="n"/>
      <c r="L715" s="28" t="inlineStr">
        <is>
          <t>No</t>
        </is>
      </c>
      <c r="M715" s="29">
        <f>IF(E715="","",IF(H715="Yes","❌ Disc",IF(G715="No","⚠ Missing",IF(J715="Yes","✓ OK","⚠ Check"))))</f>
        <v/>
      </c>
      <c r="N715" s="43" t="n">
        <v>46193</v>
      </c>
      <c r="O715" s="26" t="inlineStr">
        <is>
          <t>Sunil CR</t>
        </is>
      </c>
      <c r="P715" s="26" t="inlineStr">
        <is>
          <t>Yes</t>
        </is>
      </c>
      <c r="Q715" s="26" t="inlineStr">
        <is>
          <t>No</t>
        </is>
      </c>
      <c r="R715" s="26" t="inlineStr">
        <is>
          <t>Good finish</t>
        </is>
      </c>
      <c r="S715" s="26" t="inlineStr">
        <is>
          <t>Yes</t>
        </is>
      </c>
      <c r="T715" s="27" t="n"/>
      <c r="U715" s="28" t="inlineStr">
        <is>
          <t>No</t>
        </is>
      </c>
      <c r="V715" s="29">
        <f>IF(N715="","",IF(Q715="Yes","❌ Disc",IF(P715="No","⚠ Missing",IF(S715="Yes","✓ OK","⚠ Check"))))</f>
        <v/>
      </c>
      <c r="W715" s="65" t="n">
        <v>46248</v>
      </c>
      <c r="X715" s="30" t="inlineStr">
        <is>
          <t>Sunil CR</t>
        </is>
      </c>
      <c r="Y715" s="30" t="inlineStr">
        <is>
          <t>Yes</t>
        </is>
      </c>
      <c r="Z715" s="30" t="n"/>
      <c r="AA715" s="30" t="inlineStr">
        <is>
          <t>Good finish</t>
        </is>
      </c>
      <c r="AB715" s="30" t="inlineStr">
        <is>
          <t>Yes</t>
        </is>
      </c>
      <c r="AC715" s="27" t="n"/>
      <c r="AD715" s="31" t="inlineStr">
        <is>
          <t>No</t>
        </is>
      </c>
      <c r="AE715" s="32">
        <f>IF(W715="","",IF(Z715="Yes","❌ Disc",IF(Y715="No","⚠ Missing",IF(AB715="Yes","✓ OK","⚠ Check"))))</f>
        <v/>
      </c>
      <c r="AF715" s="33" t="n"/>
      <c r="AG715" s="33" t="n"/>
      <c r="AH715" s="33" t="n"/>
      <c r="AI715" s="33" t="n"/>
      <c r="AJ715" s="33" t="n"/>
      <c r="AK715" s="33" t="n"/>
      <c r="AL715" s="27" t="n"/>
      <c r="AM715" s="34" t="n"/>
      <c r="AN715" s="35">
        <f>IF(AF715="","",IF(AI715="Yes","❌ Disc",IF(AH715="No","⚠ Missing",IF(AK715="Yes","✓ OK","⚠ Check"))))</f>
        <v/>
      </c>
      <c r="AO715" s="36" t="n"/>
      <c r="AP715" s="36" t="n"/>
      <c r="AQ715" s="36" t="n"/>
      <c r="AR715" s="36" t="n"/>
      <c r="AS715" s="36" t="n"/>
      <c r="AT715" s="36" t="n"/>
      <c r="AU715" s="27" t="n"/>
      <c r="AV715" s="37" t="n"/>
      <c r="AW715" s="38">
        <f>IF(AO715="","",IF(AR715="Yes","❌ Disc",IF(AQ715="No","⚠ Missing",IF(AT715="Yes","✓ OK","⚠ Check"))))</f>
        <v/>
      </c>
    </row>
    <row r="716" ht="18" customHeight="1" s="46">
      <c r="A716" s="39" t="n">
        <v>712</v>
      </c>
      <c r="B716" s="40" t="inlineStr">
        <is>
          <t>WP LNCSF1026850</t>
        </is>
      </c>
      <c r="C716" s="41" t="inlineStr">
        <is>
          <t>Life n Colors - Damask Pattern Using Bugs, Theme Wallpaper  - Non-woven - a soft feel paper</t>
        </is>
      </c>
      <c r="D716" s="39" t="inlineStr">
        <is>
          <t>Life n Colors</t>
        </is>
      </c>
      <c r="E716" s="43" t="n">
        <v>46126</v>
      </c>
      <c r="F716" s="26" t="inlineStr">
        <is>
          <t>Sunil CR</t>
        </is>
      </c>
      <c r="G716" s="26" t="inlineStr">
        <is>
          <t>Yes</t>
        </is>
      </c>
      <c r="H716" s="26" t="inlineStr">
        <is>
          <t>No</t>
        </is>
      </c>
      <c r="I716" s="26" t="inlineStr">
        <is>
          <t>Good finish</t>
        </is>
      </c>
      <c r="J716" s="26" t="inlineStr">
        <is>
          <t>Yes</t>
        </is>
      </c>
      <c r="K716" s="27" t="n"/>
      <c r="L716" s="28" t="inlineStr">
        <is>
          <t>No</t>
        </is>
      </c>
      <c r="M716" s="29">
        <f>IF(E716="","",IF(H716="Yes","❌ Disc",IF(G716="No","⚠ Missing",IF(J716="Yes","✓ OK","⚠ Check"))))</f>
        <v/>
      </c>
      <c r="N716" s="43" t="n">
        <v>46193</v>
      </c>
      <c r="O716" s="26" t="inlineStr">
        <is>
          <t>Sunil CR</t>
        </is>
      </c>
      <c r="P716" s="26" t="inlineStr">
        <is>
          <t>Yes</t>
        </is>
      </c>
      <c r="Q716" s="26" t="inlineStr">
        <is>
          <t>No</t>
        </is>
      </c>
      <c r="R716" s="26" t="inlineStr">
        <is>
          <t>Good finish</t>
        </is>
      </c>
      <c r="S716" s="26" t="inlineStr">
        <is>
          <t>Yes</t>
        </is>
      </c>
      <c r="T716" s="27" t="n"/>
      <c r="U716" s="28" t="inlineStr">
        <is>
          <t>No</t>
        </is>
      </c>
      <c r="V716" s="29">
        <f>IF(N716="","",IF(Q716="Yes","❌ Disc",IF(P716="No","⚠ Missing",IF(S716="Yes","✓ OK","⚠ Check"))))</f>
        <v/>
      </c>
      <c r="W716" s="65" t="n">
        <v>46248</v>
      </c>
      <c r="X716" s="30" t="inlineStr">
        <is>
          <t>Sunil CR</t>
        </is>
      </c>
      <c r="Y716" s="30" t="inlineStr">
        <is>
          <t>Yes</t>
        </is>
      </c>
      <c r="Z716" s="30" t="n"/>
      <c r="AA716" s="30" t="inlineStr">
        <is>
          <t>Good finish</t>
        </is>
      </c>
      <c r="AB716" s="30" t="inlineStr">
        <is>
          <t>Yes</t>
        </is>
      </c>
      <c r="AC716" s="27" t="n"/>
      <c r="AD716" s="31" t="inlineStr">
        <is>
          <t>No</t>
        </is>
      </c>
      <c r="AE716" s="32">
        <f>IF(W716="","",IF(Z716="Yes","❌ Disc",IF(Y716="No","⚠ Missing",IF(AB716="Yes","✓ OK","⚠ Check"))))</f>
        <v/>
      </c>
      <c r="AF716" s="33" t="n"/>
      <c r="AG716" s="33" t="n"/>
      <c r="AH716" s="33" t="n"/>
      <c r="AI716" s="33" t="n"/>
      <c r="AJ716" s="33" t="n"/>
      <c r="AK716" s="33" t="n"/>
      <c r="AL716" s="27" t="n"/>
      <c r="AM716" s="34" t="n"/>
      <c r="AN716" s="35">
        <f>IF(AF716="","",IF(AI716="Yes","❌ Disc",IF(AH716="No","⚠ Missing",IF(AK716="Yes","✓ OK","⚠ Check"))))</f>
        <v/>
      </c>
      <c r="AO716" s="36" t="n"/>
      <c r="AP716" s="36" t="n"/>
      <c r="AQ716" s="36" t="n"/>
      <c r="AR716" s="36" t="n"/>
      <c r="AS716" s="36" t="n"/>
      <c r="AT716" s="36" t="n"/>
      <c r="AU716" s="27" t="n"/>
      <c r="AV716" s="37" t="n"/>
      <c r="AW716" s="38">
        <f>IF(AO716="","",IF(AR716="Yes","❌ Disc",IF(AQ716="No","⚠ Missing",IF(AT716="Yes","✓ OK","⚠ Check"))))</f>
        <v/>
      </c>
    </row>
    <row r="717" ht="18" customHeight="1" s="46">
      <c r="A717" s="23" t="n">
        <v>713</v>
      </c>
      <c r="B717" s="24" t="inlineStr">
        <is>
          <t>WP LNCCN1148914</t>
        </is>
      </c>
      <c r="C717" s="25" t="inlineStr">
        <is>
          <t>Life n Colors - Dense Floral Wall Pattern, Customised Wallpaper  -  Canvas - a texture paper</t>
        </is>
      </c>
      <c r="D717" s="23" t="inlineStr">
        <is>
          <t>Life n Colors</t>
        </is>
      </c>
      <c r="E717" s="43" t="n">
        <v>46126</v>
      </c>
      <c r="F717" s="26" t="inlineStr">
        <is>
          <t>Sunil CR</t>
        </is>
      </c>
      <c r="G717" s="26" t="inlineStr">
        <is>
          <t>Yes</t>
        </is>
      </c>
      <c r="H717" s="26" t="inlineStr">
        <is>
          <t>No</t>
        </is>
      </c>
      <c r="I717" s="26" t="inlineStr">
        <is>
          <t>Good finish</t>
        </is>
      </c>
      <c r="J717" s="26" t="inlineStr">
        <is>
          <t>Yes</t>
        </is>
      </c>
      <c r="K717" s="27" t="n"/>
      <c r="L717" s="28" t="inlineStr">
        <is>
          <t>No</t>
        </is>
      </c>
      <c r="M717" s="29">
        <f>IF(E717="","",IF(H717="Yes","❌ Disc",IF(G717="No","⚠ Missing",IF(J717="Yes","✓ OK","⚠ Check"))))</f>
        <v/>
      </c>
      <c r="N717" s="43" t="n">
        <v>46193</v>
      </c>
      <c r="O717" s="26" t="inlineStr">
        <is>
          <t>Sunil CR</t>
        </is>
      </c>
      <c r="P717" s="26" t="inlineStr">
        <is>
          <t>Yes</t>
        </is>
      </c>
      <c r="Q717" s="26" t="inlineStr">
        <is>
          <t>No</t>
        </is>
      </c>
      <c r="R717" s="26" t="inlineStr">
        <is>
          <t>Good finish</t>
        </is>
      </c>
      <c r="S717" s="26" t="inlineStr">
        <is>
          <t>Yes</t>
        </is>
      </c>
      <c r="T717" s="27" t="n"/>
      <c r="U717" s="28" t="inlineStr">
        <is>
          <t>No</t>
        </is>
      </c>
      <c r="V717" s="29">
        <f>IF(N717="","",IF(Q717="Yes","❌ Disc",IF(P717="No","⚠ Missing",IF(S717="Yes","✓ OK","⚠ Check"))))</f>
        <v/>
      </c>
      <c r="W717" s="65" t="n">
        <v>46248</v>
      </c>
      <c r="X717" s="30" t="inlineStr">
        <is>
          <t>Sunil CR</t>
        </is>
      </c>
      <c r="Y717" s="30" t="inlineStr">
        <is>
          <t>Yes</t>
        </is>
      </c>
      <c r="Z717" s="30" t="n"/>
      <c r="AA717" s="30" t="inlineStr">
        <is>
          <t>Good finish</t>
        </is>
      </c>
      <c r="AB717" s="30" t="inlineStr">
        <is>
          <t>Yes</t>
        </is>
      </c>
      <c r="AC717" s="27" t="n"/>
      <c r="AD717" s="31" t="inlineStr">
        <is>
          <t>No</t>
        </is>
      </c>
      <c r="AE717" s="32">
        <f>IF(W717="","",IF(Z717="Yes","❌ Disc",IF(Y717="No","⚠ Missing",IF(AB717="Yes","✓ OK","⚠ Check"))))</f>
        <v/>
      </c>
      <c r="AF717" s="33" t="n"/>
      <c r="AG717" s="33" t="n"/>
      <c r="AH717" s="33" t="n"/>
      <c r="AI717" s="33" t="n"/>
      <c r="AJ717" s="33" t="n"/>
      <c r="AK717" s="33" t="n"/>
      <c r="AL717" s="27" t="n"/>
      <c r="AM717" s="34" t="n"/>
      <c r="AN717" s="35">
        <f>IF(AF717="","",IF(AI717="Yes","❌ Disc",IF(AH717="No","⚠ Missing",IF(AK717="Yes","✓ OK","⚠ Check"))))</f>
        <v/>
      </c>
      <c r="AO717" s="36" t="n"/>
      <c r="AP717" s="36" t="n"/>
      <c r="AQ717" s="36" t="n"/>
      <c r="AR717" s="36" t="n"/>
      <c r="AS717" s="36" t="n"/>
      <c r="AT717" s="36" t="n"/>
      <c r="AU717" s="27" t="n"/>
      <c r="AV717" s="37" t="n"/>
      <c r="AW717" s="38">
        <f>IF(AO717="","",IF(AR717="Yes","❌ Disc",IF(AQ717="No","⚠ Missing",IF(AT717="Yes","✓ OK","⚠ Check"))))</f>
        <v/>
      </c>
    </row>
    <row r="718" ht="18" customHeight="1" s="46">
      <c r="A718" s="39" t="n">
        <v>714</v>
      </c>
      <c r="B718" s="40" t="inlineStr">
        <is>
          <t>WP LNCSF1148914</t>
        </is>
      </c>
      <c r="C718" s="41" t="inlineStr">
        <is>
          <t>Life n Colors - Dense Floral Wall Pattern, Customised Wallpaper  - Non-woven - a soft feel paper</t>
        </is>
      </c>
      <c r="D718" s="39" t="inlineStr">
        <is>
          <t>Life n Colors</t>
        </is>
      </c>
      <c r="E718" s="43" t="n">
        <v>46126</v>
      </c>
      <c r="F718" s="26" t="inlineStr">
        <is>
          <t>Sunil CR</t>
        </is>
      </c>
      <c r="G718" s="26" t="inlineStr">
        <is>
          <t>Yes</t>
        </is>
      </c>
      <c r="H718" s="26" t="inlineStr">
        <is>
          <t>No</t>
        </is>
      </c>
      <c r="I718" s="26" t="inlineStr">
        <is>
          <t>Good finish</t>
        </is>
      </c>
      <c r="J718" s="26" t="inlineStr">
        <is>
          <t>Yes</t>
        </is>
      </c>
      <c r="K718" s="27" t="n"/>
      <c r="L718" s="28" t="inlineStr">
        <is>
          <t>No</t>
        </is>
      </c>
      <c r="M718" s="29">
        <f>IF(E718="","",IF(H718="Yes","❌ Disc",IF(G718="No","⚠ Missing",IF(J718="Yes","✓ OK","⚠ Check"))))</f>
        <v/>
      </c>
      <c r="N718" s="43" t="n">
        <v>46193</v>
      </c>
      <c r="O718" s="26" t="inlineStr">
        <is>
          <t>Sunil CR</t>
        </is>
      </c>
      <c r="P718" s="26" t="inlineStr">
        <is>
          <t>Yes</t>
        </is>
      </c>
      <c r="Q718" s="26" t="inlineStr">
        <is>
          <t>No</t>
        </is>
      </c>
      <c r="R718" s="26" t="inlineStr">
        <is>
          <t>Good finish</t>
        </is>
      </c>
      <c r="S718" s="26" t="inlineStr">
        <is>
          <t>Yes</t>
        </is>
      </c>
      <c r="T718" s="27" t="n"/>
      <c r="U718" s="28" t="inlineStr">
        <is>
          <t>No</t>
        </is>
      </c>
      <c r="V718" s="29">
        <f>IF(N718="","",IF(Q718="Yes","❌ Disc",IF(P718="No","⚠ Missing",IF(S718="Yes","✓ OK","⚠ Check"))))</f>
        <v/>
      </c>
      <c r="W718" s="65" t="n">
        <v>46248</v>
      </c>
      <c r="X718" s="30" t="inlineStr">
        <is>
          <t>Sunil CR</t>
        </is>
      </c>
      <c r="Y718" s="30" t="inlineStr">
        <is>
          <t>Yes</t>
        </is>
      </c>
      <c r="Z718" s="30" t="n"/>
      <c r="AA718" s="30" t="inlineStr">
        <is>
          <t>Good finish</t>
        </is>
      </c>
      <c r="AB718" s="30" t="inlineStr">
        <is>
          <t>Yes</t>
        </is>
      </c>
      <c r="AC718" s="27" t="n"/>
      <c r="AD718" s="31" t="inlineStr">
        <is>
          <t>No</t>
        </is>
      </c>
      <c r="AE718" s="32">
        <f>IF(W718="","",IF(Z718="Yes","❌ Disc",IF(Y718="No","⚠ Missing",IF(AB718="Yes","✓ OK","⚠ Check"))))</f>
        <v/>
      </c>
      <c r="AF718" s="33" t="n"/>
      <c r="AG718" s="33" t="n"/>
      <c r="AH718" s="33" t="n"/>
      <c r="AI718" s="33" t="n"/>
      <c r="AJ718" s="33" t="n"/>
      <c r="AK718" s="33" t="n"/>
      <c r="AL718" s="27" t="n"/>
      <c r="AM718" s="34" t="n"/>
      <c r="AN718" s="35">
        <f>IF(AF718="","",IF(AI718="Yes","❌ Disc",IF(AH718="No","⚠ Missing",IF(AK718="Yes","✓ OK","⚠ Check"))))</f>
        <v/>
      </c>
      <c r="AO718" s="36" t="n"/>
      <c r="AP718" s="36" t="n"/>
      <c r="AQ718" s="36" t="n"/>
      <c r="AR718" s="36" t="n"/>
      <c r="AS718" s="36" t="n"/>
      <c r="AT718" s="36" t="n"/>
      <c r="AU718" s="27" t="n"/>
      <c r="AV718" s="37" t="n"/>
      <c r="AW718" s="38">
        <f>IF(AO718="","",IF(AR718="Yes","❌ Disc",IF(AQ718="No","⚠ Missing",IF(AT718="Yes","✓ OK","⚠ Check"))))</f>
        <v/>
      </c>
    </row>
    <row r="719" ht="18" customHeight="1" s="46">
      <c r="A719" s="23" t="n">
        <v>715</v>
      </c>
      <c r="B719" s="24" t="inlineStr">
        <is>
          <t>WP LNCCN1176150</t>
        </is>
      </c>
      <c r="C719" s="25" t="inlineStr">
        <is>
          <t>Life n Colors - Dense Tropical Leaves Pattern, Wallpaper for Walls  -  Canvas - a texture paper</t>
        </is>
      </c>
      <c r="D719" s="23" t="inlineStr">
        <is>
          <t>Life n Colors</t>
        </is>
      </c>
      <c r="E719" s="43" t="n">
        <v>46126</v>
      </c>
      <c r="F719" s="26" t="inlineStr">
        <is>
          <t>Sunil CR</t>
        </is>
      </c>
      <c r="G719" s="26" t="inlineStr">
        <is>
          <t>Yes</t>
        </is>
      </c>
      <c r="H719" s="26" t="inlineStr">
        <is>
          <t>No</t>
        </is>
      </c>
      <c r="I719" s="26" t="inlineStr">
        <is>
          <t>Good finish</t>
        </is>
      </c>
      <c r="J719" s="26" t="inlineStr">
        <is>
          <t>Yes</t>
        </is>
      </c>
      <c r="K719" s="27" t="n"/>
      <c r="L719" s="28" t="inlineStr">
        <is>
          <t>No</t>
        </is>
      </c>
      <c r="M719" s="29">
        <f>IF(E719="","",IF(H719="Yes","❌ Disc",IF(G719="No","⚠ Missing",IF(J719="Yes","✓ OK","⚠ Check"))))</f>
        <v/>
      </c>
      <c r="N719" s="43" t="n">
        <v>46193</v>
      </c>
      <c r="O719" s="26" t="inlineStr">
        <is>
          <t>Sunil CR</t>
        </is>
      </c>
      <c r="P719" s="26" t="inlineStr">
        <is>
          <t>Yes</t>
        </is>
      </c>
      <c r="Q719" s="26" t="inlineStr">
        <is>
          <t>No</t>
        </is>
      </c>
      <c r="R719" s="26" t="inlineStr">
        <is>
          <t>Good finish</t>
        </is>
      </c>
      <c r="S719" s="26" t="inlineStr">
        <is>
          <t>Yes</t>
        </is>
      </c>
      <c r="T719" s="27" t="n"/>
      <c r="U719" s="28" t="inlineStr">
        <is>
          <t>No</t>
        </is>
      </c>
      <c r="V719" s="29">
        <f>IF(N719="","",IF(Q719="Yes","❌ Disc",IF(P719="No","⚠ Missing",IF(S719="Yes","✓ OK","⚠ Check"))))</f>
        <v/>
      </c>
      <c r="W719" s="65" t="n">
        <v>46248</v>
      </c>
      <c r="X719" s="30" t="inlineStr">
        <is>
          <t>Sunil CR</t>
        </is>
      </c>
      <c r="Y719" s="30" t="inlineStr">
        <is>
          <t>Yes</t>
        </is>
      </c>
      <c r="Z719" s="30" t="n"/>
      <c r="AA719" s="30" t="inlineStr">
        <is>
          <t>Good finish</t>
        </is>
      </c>
      <c r="AB719" s="30" t="inlineStr">
        <is>
          <t>Yes</t>
        </is>
      </c>
      <c r="AC719" s="27" t="n"/>
      <c r="AD719" s="31" t="inlineStr">
        <is>
          <t>No</t>
        </is>
      </c>
      <c r="AE719" s="32">
        <f>IF(W719="","",IF(Z719="Yes","❌ Disc",IF(Y719="No","⚠ Missing",IF(AB719="Yes","✓ OK","⚠ Check"))))</f>
        <v/>
      </c>
      <c r="AF719" s="33" t="n"/>
      <c r="AG719" s="33" t="n"/>
      <c r="AH719" s="33" t="n"/>
      <c r="AI719" s="33" t="n"/>
      <c r="AJ719" s="33" t="n"/>
      <c r="AK719" s="33" t="n"/>
      <c r="AL719" s="27" t="n"/>
      <c r="AM719" s="34" t="n"/>
      <c r="AN719" s="35">
        <f>IF(AF719="","",IF(AI719="Yes","❌ Disc",IF(AH719="No","⚠ Missing",IF(AK719="Yes","✓ OK","⚠ Check"))))</f>
        <v/>
      </c>
      <c r="AO719" s="36" t="n"/>
      <c r="AP719" s="36" t="n"/>
      <c r="AQ719" s="36" t="n"/>
      <c r="AR719" s="36" t="n"/>
      <c r="AS719" s="36" t="n"/>
      <c r="AT719" s="36" t="n"/>
      <c r="AU719" s="27" t="n"/>
      <c r="AV719" s="37" t="n"/>
      <c r="AW719" s="38">
        <f>IF(AO719="","",IF(AR719="Yes","❌ Disc",IF(AQ719="No","⚠ Missing",IF(AT719="Yes","✓ OK","⚠ Check"))))</f>
        <v/>
      </c>
    </row>
    <row r="720" ht="18" customHeight="1" s="46">
      <c r="A720" s="39" t="n">
        <v>716</v>
      </c>
      <c r="B720" s="40" t="inlineStr">
        <is>
          <t>WP LNCSF1176150</t>
        </is>
      </c>
      <c r="C720" s="41" t="inlineStr">
        <is>
          <t>Life n Colors - Dense Tropical Leaves Pattern, Wallpaper for Walls  - Non-woven - a soft feel paper</t>
        </is>
      </c>
      <c r="D720" s="39" t="inlineStr">
        <is>
          <t>Life n Colors</t>
        </is>
      </c>
      <c r="E720" s="43" t="n">
        <v>46126</v>
      </c>
      <c r="F720" s="26" t="inlineStr">
        <is>
          <t>Sunil CR</t>
        </is>
      </c>
      <c r="G720" s="26" t="inlineStr">
        <is>
          <t>Yes</t>
        </is>
      </c>
      <c r="H720" s="26" t="inlineStr">
        <is>
          <t>No</t>
        </is>
      </c>
      <c r="I720" s="26" t="inlineStr">
        <is>
          <t>Good finish</t>
        </is>
      </c>
      <c r="J720" s="26" t="inlineStr">
        <is>
          <t>Yes</t>
        </is>
      </c>
      <c r="K720" s="27" t="n"/>
      <c r="L720" s="28" t="inlineStr">
        <is>
          <t>No</t>
        </is>
      </c>
      <c r="M720" s="29">
        <f>IF(E720="","",IF(H720="Yes","❌ Disc",IF(G720="No","⚠ Missing",IF(J720="Yes","✓ OK","⚠ Check"))))</f>
        <v/>
      </c>
      <c r="N720" s="43" t="n">
        <v>46193</v>
      </c>
      <c r="O720" s="26" t="inlineStr">
        <is>
          <t>Sunil CR</t>
        </is>
      </c>
      <c r="P720" s="26" t="inlineStr">
        <is>
          <t>Yes</t>
        </is>
      </c>
      <c r="Q720" s="26" t="inlineStr">
        <is>
          <t>No</t>
        </is>
      </c>
      <c r="R720" s="26" t="inlineStr">
        <is>
          <t>Good finish</t>
        </is>
      </c>
      <c r="S720" s="26" t="inlineStr">
        <is>
          <t>Yes</t>
        </is>
      </c>
      <c r="T720" s="27" t="n"/>
      <c r="U720" s="28" t="inlineStr">
        <is>
          <t>No</t>
        </is>
      </c>
      <c r="V720" s="29">
        <f>IF(N720="","",IF(Q720="Yes","❌ Disc",IF(P720="No","⚠ Missing",IF(S720="Yes","✓ OK","⚠ Check"))))</f>
        <v/>
      </c>
      <c r="W720" s="65" t="n">
        <v>46248</v>
      </c>
      <c r="X720" s="30" t="inlineStr">
        <is>
          <t>Sunil CR</t>
        </is>
      </c>
      <c r="Y720" s="30" t="inlineStr">
        <is>
          <t>Yes</t>
        </is>
      </c>
      <c r="Z720" s="30" t="n"/>
      <c r="AA720" s="30" t="inlineStr">
        <is>
          <t>Good finish</t>
        </is>
      </c>
      <c r="AB720" s="30" t="inlineStr">
        <is>
          <t>Yes</t>
        </is>
      </c>
      <c r="AC720" s="27" t="n"/>
      <c r="AD720" s="31" t="inlineStr">
        <is>
          <t>No</t>
        </is>
      </c>
      <c r="AE720" s="32">
        <f>IF(W720="","",IF(Z720="Yes","❌ Disc",IF(Y720="No","⚠ Missing",IF(AB720="Yes","✓ OK","⚠ Check"))))</f>
        <v/>
      </c>
      <c r="AF720" s="33" t="n"/>
      <c r="AG720" s="33" t="n"/>
      <c r="AH720" s="33" t="n"/>
      <c r="AI720" s="33" t="n"/>
      <c r="AJ720" s="33" t="n"/>
      <c r="AK720" s="33" t="n"/>
      <c r="AL720" s="27" t="n"/>
      <c r="AM720" s="34" t="n"/>
      <c r="AN720" s="35">
        <f>IF(AF720="","",IF(AI720="Yes","❌ Disc",IF(AH720="No","⚠ Missing",IF(AK720="Yes","✓ OK","⚠ Check"))))</f>
        <v/>
      </c>
      <c r="AO720" s="36" t="n"/>
      <c r="AP720" s="36" t="n"/>
      <c r="AQ720" s="36" t="n"/>
      <c r="AR720" s="36" t="n"/>
      <c r="AS720" s="36" t="n"/>
      <c r="AT720" s="36" t="n"/>
      <c r="AU720" s="27" t="n"/>
      <c r="AV720" s="37" t="n"/>
      <c r="AW720" s="38">
        <f>IF(AO720="","",IF(AR720="Yes","❌ Disc",IF(AQ720="No","⚠ Missing",IF(AT720="Yes","✓ OK","⚠ Check"))))</f>
        <v/>
      </c>
    </row>
    <row r="721" ht="18" customHeight="1" s="46">
      <c r="A721" s="23" t="n">
        <v>717</v>
      </c>
      <c r="B721" s="24" t="inlineStr">
        <is>
          <t>WP LNCCN357205</t>
        </is>
      </c>
      <c r="C721" s="25" t="inlineStr">
        <is>
          <t>Life n Colors - Dream Palace, a Fusion Theme Wallpaper for Homes  -  Canvas - a texture paper</t>
        </is>
      </c>
      <c r="D721" s="23" t="inlineStr">
        <is>
          <t>Life n Colors</t>
        </is>
      </c>
      <c r="E721" s="43" t="n">
        <v>46126</v>
      </c>
      <c r="F721" s="26" t="inlineStr">
        <is>
          <t>Sunil CR</t>
        </is>
      </c>
      <c r="G721" s="26" t="inlineStr">
        <is>
          <t>Yes</t>
        </is>
      </c>
      <c r="H721" s="26" t="inlineStr">
        <is>
          <t>No</t>
        </is>
      </c>
      <c r="I721" s="26" t="inlineStr">
        <is>
          <t>Good finish</t>
        </is>
      </c>
      <c r="J721" s="26" t="inlineStr">
        <is>
          <t>Yes</t>
        </is>
      </c>
      <c r="K721" s="27" t="n"/>
      <c r="L721" s="28" t="inlineStr">
        <is>
          <t>No</t>
        </is>
      </c>
      <c r="M721" s="29">
        <f>IF(E721="","",IF(H721="Yes","❌ Disc",IF(G721="No","⚠ Missing",IF(J721="Yes","✓ OK","⚠ Check"))))</f>
        <v/>
      </c>
      <c r="N721" s="43" t="n">
        <v>46193</v>
      </c>
      <c r="O721" s="26" t="inlineStr">
        <is>
          <t>Sunil CR</t>
        </is>
      </c>
      <c r="P721" s="26" t="inlineStr">
        <is>
          <t>Yes</t>
        </is>
      </c>
      <c r="Q721" s="26" t="inlineStr">
        <is>
          <t>No</t>
        </is>
      </c>
      <c r="R721" s="26" t="inlineStr">
        <is>
          <t>Good finish</t>
        </is>
      </c>
      <c r="S721" s="26" t="inlineStr">
        <is>
          <t>Yes</t>
        </is>
      </c>
      <c r="T721" s="27" t="n"/>
      <c r="U721" s="28" t="inlineStr">
        <is>
          <t>No</t>
        </is>
      </c>
      <c r="V721" s="29">
        <f>IF(N721="","",IF(Q721="Yes","❌ Disc",IF(P721="No","⚠ Missing",IF(S721="Yes","✓ OK","⚠ Check"))))</f>
        <v/>
      </c>
      <c r="W721" s="65" t="n">
        <v>46248</v>
      </c>
      <c r="X721" s="30" t="inlineStr">
        <is>
          <t>Sunil CR</t>
        </is>
      </c>
      <c r="Y721" s="30" t="inlineStr">
        <is>
          <t>Yes</t>
        </is>
      </c>
      <c r="Z721" s="30" t="n"/>
      <c r="AA721" s="30" t="inlineStr">
        <is>
          <t>Good finish</t>
        </is>
      </c>
      <c r="AB721" s="30" t="inlineStr">
        <is>
          <t>Yes</t>
        </is>
      </c>
      <c r="AC721" s="27" t="n"/>
      <c r="AD721" s="31" t="inlineStr">
        <is>
          <t>No</t>
        </is>
      </c>
      <c r="AE721" s="32">
        <f>IF(W721="","",IF(Z721="Yes","❌ Disc",IF(Y721="No","⚠ Missing",IF(AB721="Yes","✓ OK","⚠ Check"))))</f>
        <v/>
      </c>
      <c r="AF721" s="33" t="n"/>
      <c r="AG721" s="33" t="n"/>
      <c r="AH721" s="33" t="n"/>
      <c r="AI721" s="33" t="n"/>
      <c r="AJ721" s="33" t="n"/>
      <c r="AK721" s="33" t="n"/>
      <c r="AL721" s="27" t="n"/>
      <c r="AM721" s="34" t="n"/>
      <c r="AN721" s="35">
        <f>IF(AF721="","",IF(AI721="Yes","❌ Disc",IF(AH721="No","⚠ Missing",IF(AK721="Yes","✓ OK","⚠ Check"))))</f>
        <v/>
      </c>
      <c r="AO721" s="36" t="n"/>
      <c r="AP721" s="36" t="n"/>
      <c r="AQ721" s="36" t="n"/>
      <c r="AR721" s="36" t="n"/>
      <c r="AS721" s="36" t="n"/>
      <c r="AT721" s="36" t="n"/>
      <c r="AU721" s="27" t="n"/>
      <c r="AV721" s="37" t="n"/>
      <c r="AW721" s="38">
        <f>IF(AO721="","",IF(AR721="Yes","❌ Disc",IF(AQ721="No","⚠ Missing",IF(AT721="Yes","✓ OK","⚠ Check"))))</f>
        <v/>
      </c>
    </row>
    <row r="722" ht="18" customHeight="1" s="46">
      <c r="A722" s="39" t="n">
        <v>718</v>
      </c>
      <c r="B722" s="40" t="inlineStr">
        <is>
          <t>WP LNCCN1176625</t>
        </is>
      </c>
      <c r="C722" s="41" t="inlineStr">
        <is>
          <t>Life n Colors - Dreamy Elephant Design for Kids Room Nursery Wallpaper  -  Canvas - a texture paper</t>
        </is>
      </c>
      <c r="D722" s="39" t="inlineStr">
        <is>
          <t>Life n Colors</t>
        </is>
      </c>
      <c r="E722" s="43" t="n">
        <v>46126</v>
      </c>
      <c r="F722" s="26" t="inlineStr">
        <is>
          <t>Sunil CR</t>
        </is>
      </c>
      <c r="G722" s="26" t="inlineStr">
        <is>
          <t>Yes</t>
        </is>
      </c>
      <c r="H722" s="26" t="inlineStr">
        <is>
          <t>No</t>
        </is>
      </c>
      <c r="I722" s="26" t="inlineStr">
        <is>
          <t>Good finish</t>
        </is>
      </c>
      <c r="J722" s="26" t="inlineStr">
        <is>
          <t>Yes</t>
        </is>
      </c>
      <c r="K722" s="27" t="n"/>
      <c r="L722" s="28" t="inlineStr">
        <is>
          <t>No</t>
        </is>
      </c>
      <c r="M722" s="29">
        <f>IF(E722="","",IF(H722="Yes","❌ Disc",IF(G722="No","⚠ Missing",IF(J722="Yes","✓ OK","⚠ Check"))))</f>
        <v/>
      </c>
      <c r="N722" s="43" t="n">
        <v>46193</v>
      </c>
      <c r="O722" s="26" t="inlineStr">
        <is>
          <t>Sunil CR</t>
        </is>
      </c>
      <c r="P722" s="26" t="inlineStr">
        <is>
          <t>Yes</t>
        </is>
      </c>
      <c r="Q722" s="26" t="inlineStr">
        <is>
          <t>No</t>
        </is>
      </c>
      <c r="R722" s="26" t="inlineStr">
        <is>
          <t>Good finish</t>
        </is>
      </c>
      <c r="S722" s="26" t="inlineStr">
        <is>
          <t>Yes</t>
        </is>
      </c>
      <c r="T722" s="27" t="n"/>
      <c r="U722" s="28" t="inlineStr">
        <is>
          <t>No</t>
        </is>
      </c>
      <c r="V722" s="29">
        <f>IF(N722="","",IF(Q722="Yes","❌ Disc",IF(P722="No","⚠ Missing",IF(S722="Yes","✓ OK","⚠ Check"))))</f>
        <v/>
      </c>
      <c r="W722" s="65" t="n">
        <v>46248</v>
      </c>
      <c r="X722" s="30" t="inlineStr">
        <is>
          <t>Sunil CR</t>
        </is>
      </c>
      <c r="Y722" s="30" t="inlineStr">
        <is>
          <t>Yes</t>
        </is>
      </c>
      <c r="Z722" s="30" t="n"/>
      <c r="AA722" s="30" t="inlineStr">
        <is>
          <t>Good finish</t>
        </is>
      </c>
      <c r="AB722" s="30" t="inlineStr">
        <is>
          <t>Yes</t>
        </is>
      </c>
      <c r="AC722" s="27" t="n"/>
      <c r="AD722" s="31" t="inlineStr">
        <is>
          <t>No</t>
        </is>
      </c>
      <c r="AE722" s="32">
        <f>IF(W722="","",IF(Z722="Yes","❌ Disc",IF(Y722="No","⚠ Missing",IF(AB722="Yes","✓ OK","⚠ Check"))))</f>
        <v/>
      </c>
      <c r="AF722" s="33" t="n"/>
      <c r="AG722" s="33" t="n"/>
      <c r="AH722" s="33" t="n"/>
      <c r="AI722" s="33" t="n"/>
      <c r="AJ722" s="33" t="n"/>
      <c r="AK722" s="33" t="n"/>
      <c r="AL722" s="27" t="n"/>
      <c r="AM722" s="34" t="n"/>
      <c r="AN722" s="35">
        <f>IF(AF722="","",IF(AI722="Yes","❌ Disc",IF(AH722="No","⚠ Missing",IF(AK722="Yes","✓ OK","⚠ Check"))))</f>
        <v/>
      </c>
      <c r="AO722" s="36" t="n"/>
      <c r="AP722" s="36" t="n"/>
      <c r="AQ722" s="36" t="n"/>
      <c r="AR722" s="36" t="n"/>
      <c r="AS722" s="36" t="n"/>
      <c r="AT722" s="36" t="n"/>
      <c r="AU722" s="27" t="n"/>
      <c r="AV722" s="37" t="n"/>
      <c r="AW722" s="38">
        <f>IF(AO722="","",IF(AR722="Yes","❌ Disc",IF(AQ722="No","⚠ Missing",IF(AT722="Yes","✓ OK","⚠ Check"))))</f>
        <v/>
      </c>
    </row>
    <row r="723" ht="18" customHeight="1" s="46">
      <c r="A723" s="23" t="n">
        <v>719</v>
      </c>
      <c r="B723" s="24" t="inlineStr">
        <is>
          <t>WP LNCSF1176625</t>
        </is>
      </c>
      <c r="C723" s="25" t="inlineStr">
        <is>
          <t>Life n Colors - Dreamy Elephant Design for Kids Room Nursery Wallpaper  - Non-woven - a soft feel paper</t>
        </is>
      </c>
      <c r="D723" s="23" t="inlineStr">
        <is>
          <t>Life n Colors</t>
        </is>
      </c>
      <c r="E723" s="43" t="n">
        <v>46126</v>
      </c>
      <c r="F723" s="26" t="inlineStr">
        <is>
          <t>Sunil CR</t>
        </is>
      </c>
      <c r="G723" s="26" t="inlineStr">
        <is>
          <t>Yes</t>
        </is>
      </c>
      <c r="H723" s="26" t="inlineStr">
        <is>
          <t>No</t>
        </is>
      </c>
      <c r="I723" s="26" t="inlineStr">
        <is>
          <t>Good finish</t>
        </is>
      </c>
      <c r="J723" s="26" t="inlineStr">
        <is>
          <t>Yes</t>
        </is>
      </c>
      <c r="K723" s="27" t="n"/>
      <c r="L723" s="28" t="inlineStr">
        <is>
          <t>No</t>
        </is>
      </c>
      <c r="M723" s="29">
        <f>IF(E723="","",IF(H723="Yes","❌ Disc",IF(G723="No","⚠ Missing",IF(J723="Yes","✓ OK","⚠ Check"))))</f>
        <v/>
      </c>
      <c r="N723" s="43" t="n">
        <v>46193</v>
      </c>
      <c r="O723" s="26" t="inlineStr">
        <is>
          <t>Sunil CR</t>
        </is>
      </c>
      <c r="P723" s="26" t="inlineStr">
        <is>
          <t>Yes</t>
        </is>
      </c>
      <c r="Q723" s="26" t="inlineStr">
        <is>
          <t>No</t>
        </is>
      </c>
      <c r="R723" s="26" t="inlineStr">
        <is>
          <t>Good finish</t>
        </is>
      </c>
      <c r="S723" s="26" t="inlineStr">
        <is>
          <t>Yes</t>
        </is>
      </c>
      <c r="T723" s="27" t="n"/>
      <c r="U723" s="28" t="inlineStr">
        <is>
          <t>No</t>
        </is>
      </c>
      <c r="V723" s="29">
        <f>IF(N723="","",IF(Q723="Yes","❌ Disc",IF(P723="No","⚠ Missing",IF(S723="Yes","✓ OK","⚠ Check"))))</f>
        <v/>
      </c>
      <c r="W723" s="65" t="n">
        <v>46248</v>
      </c>
      <c r="X723" s="30" t="inlineStr">
        <is>
          <t>Sunil CR</t>
        </is>
      </c>
      <c r="Y723" s="30" t="inlineStr">
        <is>
          <t>Yes</t>
        </is>
      </c>
      <c r="Z723" s="30" t="n"/>
      <c r="AA723" s="30" t="inlineStr">
        <is>
          <t>Good finish</t>
        </is>
      </c>
      <c r="AB723" s="30" t="inlineStr">
        <is>
          <t>Yes</t>
        </is>
      </c>
      <c r="AC723" s="27" t="n"/>
      <c r="AD723" s="31" t="inlineStr">
        <is>
          <t>No</t>
        </is>
      </c>
      <c r="AE723" s="32">
        <f>IF(W723="","",IF(Z723="Yes","❌ Disc",IF(Y723="No","⚠ Missing",IF(AB723="Yes","✓ OK","⚠ Check"))))</f>
        <v/>
      </c>
      <c r="AF723" s="33" t="n"/>
      <c r="AG723" s="33" t="n"/>
      <c r="AH723" s="33" t="n"/>
      <c r="AI723" s="33" t="n"/>
      <c r="AJ723" s="33" t="n"/>
      <c r="AK723" s="33" t="n"/>
      <c r="AL723" s="27" t="n"/>
      <c r="AM723" s="34" t="n"/>
      <c r="AN723" s="35">
        <f>IF(AF723="","",IF(AI723="Yes","❌ Disc",IF(AH723="No","⚠ Missing",IF(AK723="Yes","✓ OK","⚠ Check"))))</f>
        <v/>
      </c>
      <c r="AO723" s="36" t="n"/>
      <c r="AP723" s="36" t="n"/>
      <c r="AQ723" s="36" t="n"/>
      <c r="AR723" s="36" t="n"/>
      <c r="AS723" s="36" t="n"/>
      <c r="AT723" s="36" t="n"/>
      <c r="AU723" s="27" t="n"/>
      <c r="AV723" s="37" t="n"/>
      <c r="AW723" s="38">
        <f>IF(AO723="","",IF(AR723="Yes","❌ Disc",IF(AQ723="No","⚠ Missing",IF(AT723="Yes","✓ OK","⚠ Check"))))</f>
        <v/>
      </c>
    </row>
    <row r="724" ht="18" customHeight="1" s="46">
      <c r="A724" s="39" t="n">
        <v>720</v>
      </c>
      <c r="B724" s="40" t="inlineStr">
        <is>
          <t>WP LNCCN1169043</t>
        </is>
      </c>
      <c r="C724" s="41" t="inlineStr">
        <is>
          <t>Life n Colors - Dripping paint, Premium Textured Wallpaper Design for Rooms  -  Canvas - a texture paper</t>
        </is>
      </c>
      <c r="D724" s="39" t="inlineStr">
        <is>
          <t>Life n Colors</t>
        </is>
      </c>
      <c r="E724" s="43" t="n">
        <v>46126</v>
      </c>
      <c r="F724" s="26" t="inlineStr">
        <is>
          <t>Sunil CR</t>
        </is>
      </c>
      <c r="G724" s="26" t="inlineStr">
        <is>
          <t>Yes</t>
        </is>
      </c>
      <c r="H724" s="26" t="inlineStr">
        <is>
          <t>No</t>
        </is>
      </c>
      <c r="I724" s="26" t="inlineStr">
        <is>
          <t>Good finish</t>
        </is>
      </c>
      <c r="J724" s="26" t="inlineStr">
        <is>
          <t>Yes</t>
        </is>
      </c>
      <c r="K724" s="27" t="n"/>
      <c r="L724" s="28" t="inlineStr">
        <is>
          <t>No</t>
        </is>
      </c>
      <c r="M724" s="29">
        <f>IF(E724="","",IF(H724="Yes","❌ Disc",IF(G724="No","⚠ Missing",IF(J724="Yes","✓ OK","⚠ Check"))))</f>
        <v/>
      </c>
      <c r="N724" s="43" t="n">
        <v>46193</v>
      </c>
      <c r="O724" s="26" t="inlineStr">
        <is>
          <t>Sunil CR</t>
        </is>
      </c>
      <c r="P724" s="26" t="inlineStr">
        <is>
          <t>Yes</t>
        </is>
      </c>
      <c r="Q724" s="26" t="inlineStr">
        <is>
          <t>No</t>
        </is>
      </c>
      <c r="R724" s="26" t="inlineStr">
        <is>
          <t>Good finish</t>
        </is>
      </c>
      <c r="S724" s="26" t="inlineStr">
        <is>
          <t>Yes</t>
        </is>
      </c>
      <c r="T724" s="27" t="n"/>
      <c r="U724" s="28" t="inlineStr">
        <is>
          <t>No</t>
        </is>
      </c>
      <c r="V724" s="29">
        <f>IF(N724="","",IF(Q724="Yes","❌ Disc",IF(P724="No","⚠ Missing",IF(S724="Yes","✓ OK","⚠ Check"))))</f>
        <v/>
      </c>
      <c r="W724" s="65" t="n">
        <v>46248</v>
      </c>
      <c r="X724" s="30" t="inlineStr">
        <is>
          <t>Sunil CR</t>
        </is>
      </c>
      <c r="Y724" s="30" t="inlineStr">
        <is>
          <t>Yes</t>
        </is>
      </c>
      <c r="Z724" s="30" t="n"/>
      <c r="AA724" s="30" t="inlineStr">
        <is>
          <t>Good finish</t>
        </is>
      </c>
      <c r="AB724" s="30" t="inlineStr">
        <is>
          <t>Yes</t>
        </is>
      </c>
      <c r="AC724" s="27" t="n"/>
      <c r="AD724" s="31" t="inlineStr">
        <is>
          <t>No</t>
        </is>
      </c>
      <c r="AE724" s="32">
        <f>IF(W724="","",IF(Z724="Yes","❌ Disc",IF(Y724="No","⚠ Missing",IF(AB724="Yes","✓ OK","⚠ Check"))))</f>
        <v/>
      </c>
      <c r="AF724" s="33" t="n"/>
      <c r="AG724" s="33" t="n"/>
      <c r="AH724" s="33" t="n"/>
      <c r="AI724" s="33" t="n"/>
      <c r="AJ724" s="33" t="n"/>
      <c r="AK724" s="33" t="n"/>
      <c r="AL724" s="27" t="n"/>
      <c r="AM724" s="34" t="n"/>
      <c r="AN724" s="35">
        <f>IF(AF724="","",IF(AI724="Yes","❌ Disc",IF(AH724="No","⚠ Missing",IF(AK724="Yes","✓ OK","⚠ Check"))))</f>
        <v/>
      </c>
      <c r="AO724" s="36" t="n"/>
      <c r="AP724" s="36" t="n"/>
      <c r="AQ724" s="36" t="n"/>
      <c r="AR724" s="36" t="n"/>
      <c r="AS724" s="36" t="n"/>
      <c r="AT724" s="36" t="n"/>
      <c r="AU724" s="27" t="n"/>
      <c r="AV724" s="37" t="n"/>
      <c r="AW724" s="38">
        <f>IF(AO724="","",IF(AR724="Yes","❌ Disc",IF(AQ724="No","⚠ Missing",IF(AT724="Yes","✓ OK","⚠ Check"))))</f>
        <v/>
      </c>
    </row>
    <row r="725" ht="18" customHeight="1" s="46">
      <c r="A725" s="23" t="n">
        <v>721</v>
      </c>
      <c r="B725" s="24" t="inlineStr">
        <is>
          <t>WP LNCSF1169043</t>
        </is>
      </c>
      <c r="C725" s="25" t="inlineStr">
        <is>
          <t>Life n Colors - Dripping paint, Premium Textured Wallpaper Design for Rooms  - Non-woven - a soft feel paper</t>
        </is>
      </c>
      <c r="D725" s="23" t="inlineStr">
        <is>
          <t>Life n Colors</t>
        </is>
      </c>
      <c r="E725" s="43" t="n">
        <v>46126</v>
      </c>
      <c r="F725" s="26" t="inlineStr">
        <is>
          <t>Sunil CR</t>
        </is>
      </c>
      <c r="G725" s="26" t="inlineStr">
        <is>
          <t>Yes</t>
        </is>
      </c>
      <c r="H725" s="26" t="inlineStr">
        <is>
          <t>No</t>
        </is>
      </c>
      <c r="I725" s="26" t="inlineStr">
        <is>
          <t>Good finish</t>
        </is>
      </c>
      <c r="J725" s="26" t="inlineStr">
        <is>
          <t>Yes</t>
        </is>
      </c>
      <c r="K725" s="27" t="n"/>
      <c r="L725" s="28" t="inlineStr">
        <is>
          <t>No</t>
        </is>
      </c>
      <c r="M725" s="29">
        <f>IF(E725="","",IF(H725="Yes","❌ Disc",IF(G725="No","⚠ Missing",IF(J725="Yes","✓ OK","⚠ Check"))))</f>
        <v/>
      </c>
      <c r="N725" s="43" t="n">
        <v>46193</v>
      </c>
      <c r="O725" s="26" t="inlineStr">
        <is>
          <t>Sunil CR</t>
        </is>
      </c>
      <c r="P725" s="26" t="inlineStr">
        <is>
          <t>Yes</t>
        </is>
      </c>
      <c r="Q725" s="26" t="inlineStr">
        <is>
          <t>No</t>
        </is>
      </c>
      <c r="R725" s="26" t="inlineStr">
        <is>
          <t>Good finish</t>
        </is>
      </c>
      <c r="S725" s="26" t="inlineStr">
        <is>
          <t>Yes</t>
        </is>
      </c>
      <c r="T725" s="27" t="n"/>
      <c r="U725" s="28" t="inlineStr">
        <is>
          <t>No</t>
        </is>
      </c>
      <c r="V725" s="29">
        <f>IF(N725="","",IF(Q725="Yes","❌ Disc",IF(P725="No","⚠ Missing",IF(S725="Yes","✓ OK","⚠ Check"))))</f>
        <v/>
      </c>
      <c r="W725" s="65" t="n">
        <v>46248</v>
      </c>
      <c r="X725" s="30" t="inlineStr">
        <is>
          <t>Sunil CR</t>
        </is>
      </c>
      <c r="Y725" s="30" t="inlineStr">
        <is>
          <t>Yes</t>
        </is>
      </c>
      <c r="Z725" s="30" t="n"/>
      <c r="AA725" s="30" t="inlineStr">
        <is>
          <t>Good finish</t>
        </is>
      </c>
      <c r="AB725" s="30" t="inlineStr">
        <is>
          <t>Yes</t>
        </is>
      </c>
      <c r="AC725" s="27" t="n"/>
      <c r="AD725" s="31" t="inlineStr">
        <is>
          <t>No</t>
        </is>
      </c>
      <c r="AE725" s="32">
        <f>IF(W725="","",IF(Z725="Yes","❌ Disc",IF(Y725="No","⚠ Missing",IF(AB725="Yes","✓ OK","⚠ Check"))))</f>
        <v/>
      </c>
      <c r="AF725" s="33" t="n"/>
      <c r="AG725" s="33" t="n"/>
      <c r="AH725" s="33" t="n"/>
      <c r="AI725" s="33" t="n"/>
      <c r="AJ725" s="33" t="n"/>
      <c r="AK725" s="33" t="n"/>
      <c r="AL725" s="27" t="n"/>
      <c r="AM725" s="34" t="n"/>
      <c r="AN725" s="35">
        <f>IF(AF725="","",IF(AI725="Yes","❌ Disc",IF(AH725="No","⚠ Missing",IF(AK725="Yes","✓ OK","⚠ Check"))))</f>
        <v/>
      </c>
      <c r="AO725" s="36" t="n"/>
      <c r="AP725" s="36" t="n"/>
      <c r="AQ725" s="36" t="n"/>
      <c r="AR725" s="36" t="n"/>
      <c r="AS725" s="36" t="n"/>
      <c r="AT725" s="36" t="n"/>
      <c r="AU725" s="27" t="n"/>
      <c r="AV725" s="37" t="n"/>
      <c r="AW725" s="38">
        <f>IF(AO725="","",IF(AR725="Yes","❌ Disc",IF(AQ725="No","⚠ Missing",IF(AT725="Yes","✓ OK","⚠ Check"))))</f>
        <v/>
      </c>
    </row>
    <row r="726" ht="18" customHeight="1" s="46">
      <c r="A726" s="39" t="n">
        <v>722</v>
      </c>
      <c r="B726" s="40" t="inlineStr">
        <is>
          <t>WP LNCCN1058723</t>
        </is>
      </c>
      <c r="C726" s="41" t="inlineStr">
        <is>
          <t>Life n Colors - Elegant Blue Geometric Design Wallpaper, Customised for Homes  -  Canvas - a texture paper</t>
        </is>
      </c>
      <c r="D726" s="39" t="inlineStr">
        <is>
          <t>Life n Colors</t>
        </is>
      </c>
      <c r="E726" s="43" t="n">
        <v>46126</v>
      </c>
      <c r="F726" s="26" t="inlineStr">
        <is>
          <t>Sunil CR</t>
        </is>
      </c>
      <c r="G726" s="26" t="inlineStr">
        <is>
          <t>Yes</t>
        </is>
      </c>
      <c r="H726" s="26" t="inlineStr">
        <is>
          <t>No</t>
        </is>
      </c>
      <c r="I726" s="26" t="inlineStr">
        <is>
          <t>Good finish</t>
        </is>
      </c>
      <c r="J726" s="26" t="inlineStr">
        <is>
          <t>Yes</t>
        </is>
      </c>
      <c r="K726" s="27" t="n"/>
      <c r="L726" s="28" t="inlineStr">
        <is>
          <t>No</t>
        </is>
      </c>
      <c r="M726" s="29">
        <f>IF(E726="","",IF(H726="Yes","❌ Disc",IF(G726="No","⚠ Missing",IF(J726="Yes","✓ OK","⚠ Check"))))</f>
        <v/>
      </c>
      <c r="N726" s="43" t="n">
        <v>46193</v>
      </c>
      <c r="O726" s="26" t="inlineStr">
        <is>
          <t>Sunil CR</t>
        </is>
      </c>
      <c r="P726" s="26" t="inlineStr">
        <is>
          <t>Yes</t>
        </is>
      </c>
      <c r="Q726" s="26" t="inlineStr">
        <is>
          <t>No</t>
        </is>
      </c>
      <c r="R726" s="26" t="inlineStr">
        <is>
          <t>Good finish</t>
        </is>
      </c>
      <c r="S726" s="26" t="inlineStr">
        <is>
          <t>Yes</t>
        </is>
      </c>
      <c r="T726" s="27" t="n"/>
      <c r="U726" s="28" t="inlineStr">
        <is>
          <t>No</t>
        </is>
      </c>
      <c r="V726" s="29">
        <f>IF(N726="","",IF(Q726="Yes","❌ Disc",IF(P726="No","⚠ Missing",IF(S726="Yes","✓ OK","⚠ Check"))))</f>
        <v/>
      </c>
      <c r="W726" s="65" t="n">
        <v>46248</v>
      </c>
      <c r="X726" s="30" t="inlineStr">
        <is>
          <t>Sunil CR</t>
        </is>
      </c>
      <c r="Y726" s="30" t="inlineStr">
        <is>
          <t>Yes</t>
        </is>
      </c>
      <c r="Z726" s="30" t="n"/>
      <c r="AA726" s="30" t="inlineStr">
        <is>
          <t>Good finish</t>
        </is>
      </c>
      <c r="AB726" s="30" t="inlineStr">
        <is>
          <t>Yes</t>
        </is>
      </c>
      <c r="AC726" s="27" t="n"/>
      <c r="AD726" s="31" t="inlineStr">
        <is>
          <t>No</t>
        </is>
      </c>
      <c r="AE726" s="32">
        <f>IF(W726="","",IF(Z726="Yes","❌ Disc",IF(Y726="No","⚠ Missing",IF(AB726="Yes","✓ OK","⚠ Check"))))</f>
        <v/>
      </c>
      <c r="AF726" s="33" t="n"/>
      <c r="AG726" s="33" t="n"/>
      <c r="AH726" s="33" t="n"/>
      <c r="AI726" s="33" t="n"/>
      <c r="AJ726" s="33" t="n"/>
      <c r="AK726" s="33" t="n"/>
      <c r="AL726" s="27" t="n"/>
      <c r="AM726" s="34" t="n"/>
      <c r="AN726" s="35">
        <f>IF(AF726="","",IF(AI726="Yes","❌ Disc",IF(AH726="No","⚠ Missing",IF(AK726="Yes","✓ OK","⚠ Check"))))</f>
        <v/>
      </c>
      <c r="AO726" s="36" t="n"/>
      <c r="AP726" s="36" t="n"/>
      <c r="AQ726" s="36" t="n"/>
      <c r="AR726" s="36" t="n"/>
      <c r="AS726" s="36" t="n"/>
      <c r="AT726" s="36" t="n"/>
      <c r="AU726" s="27" t="n"/>
      <c r="AV726" s="37" t="n"/>
      <c r="AW726" s="38">
        <f>IF(AO726="","",IF(AR726="Yes","❌ Disc",IF(AQ726="No","⚠ Missing",IF(AT726="Yes","✓ OK","⚠ Check"))))</f>
        <v/>
      </c>
    </row>
    <row r="727" ht="18" customHeight="1" s="46">
      <c r="A727" s="23" t="n">
        <v>723</v>
      </c>
      <c r="B727" s="24" t="inlineStr">
        <is>
          <t>WP LNCSF1058723</t>
        </is>
      </c>
      <c r="C727" s="25" t="inlineStr">
        <is>
          <t>Life n Colors - Elegant Blue Geometric Design Wallpaper, Customised for Homes  - Non-woven - a soft feel paper</t>
        </is>
      </c>
      <c r="D727" s="23" t="inlineStr">
        <is>
          <t>Life n Colors</t>
        </is>
      </c>
      <c r="E727" s="43" t="n">
        <v>46126</v>
      </c>
      <c r="F727" s="26" t="inlineStr">
        <is>
          <t>Sunil CR</t>
        </is>
      </c>
      <c r="G727" s="26" t="inlineStr">
        <is>
          <t>Yes</t>
        </is>
      </c>
      <c r="H727" s="26" t="inlineStr">
        <is>
          <t>No</t>
        </is>
      </c>
      <c r="I727" s="26" t="inlineStr">
        <is>
          <t>Good finish</t>
        </is>
      </c>
      <c r="J727" s="26" t="inlineStr">
        <is>
          <t>Yes</t>
        </is>
      </c>
      <c r="K727" s="27" t="n"/>
      <c r="L727" s="28" t="inlineStr">
        <is>
          <t>No</t>
        </is>
      </c>
      <c r="M727" s="29">
        <f>IF(E727="","",IF(H727="Yes","❌ Disc",IF(G727="No","⚠ Missing",IF(J727="Yes","✓ OK","⚠ Check"))))</f>
        <v/>
      </c>
      <c r="N727" s="43" t="n">
        <v>46193</v>
      </c>
      <c r="O727" s="26" t="inlineStr">
        <is>
          <t>Sunil CR</t>
        </is>
      </c>
      <c r="P727" s="26" t="inlineStr">
        <is>
          <t>Yes</t>
        </is>
      </c>
      <c r="Q727" s="26" t="inlineStr">
        <is>
          <t>No</t>
        </is>
      </c>
      <c r="R727" s="26" t="inlineStr">
        <is>
          <t>Good finish</t>
        </is>
      </c>
      <c r="S727" s="26" t="inlineStr">
        <is>
          <t>Yes</t>
        </is>
      </c>
      <c r="T727" s="27" t="n"/>
      <c r="U727" s="28" t="inlineStr">
        <is>
          <t>No</t>
        </is>
      </c>
      <c r="V727" s="29">
        <f>IF(N727="","",IF(Q727="Yes","❌ Disc",IF(P727="No","⚠ Missing",IF(S727="Yes","✓ OK","⚠ Check"))))</f>
        <v/>
      </c>
      <c r="W727" s="65" t="n">
        <v>46248</v>
      </c>
      <c r="X727" s="30" t="inlineStr">
        <is>
          <t>Sunil CR</t>
        </is>
      </c>
      <c r="Y727" s="30" t="inlineStr">
        <is>
          <t>Yes</t>
        </is>
      </c>
      <c r="Z727" s="30" t="n"/>
      <c r="AA727" s="30" t="inlineStr">
        <is>
          <t>Good finish</t>
        </is>
      </c>
      <c r="AB727" s="30" t="inlineStr">
        <is>
          <t>Yes</t>
        </is>
      </c>
      <c r="AC727" s="27" t="n"/>
      <c r="AD727" s="31" t="inlineStr">
        <is>
          <t>No</t>
        </is>
      </c>
      <c r="AE727" s="32">
        <f>IF(W727="","",IF(Z727="Yes","❌ Disc",IF(Y727="No","⚠ Missing",IF(AB727="Yes","✓ OK","⚠ Check"))))</f>
        <v/>
      </c>
      <c r="AF727" s="33" t="n"/>
      <c r="AG727" s="33" t="n"/>
      <c r="AH727" s="33" t="n"/>
      <c r="AI727" s="33" t="n"/>
      <c r="AJ727" s="33" t="n"/>
      <c r="AK727" s="33" t="n"/>
      <c r="AL727" s="27" t="n"/>
      <c r="AM727" s="34" t="n"/>
      <c r="AN727" s="35">
        <f>IF(AF727="","",IF(AI727="Yes","❌ Disc",IF(AH727="No","⚠ Missing",IF(AK727="Yes","✓ OK","⚠ Check"))))</f>
        <v/>
      </c>
      <c r="AO727" s="36" t="n"/>
      <c r="AP727" s="36" t="n"/>
      <c r="AQ727" s="36" t="n"/>
      <c r="AR727" s="36" t="n"/>
      <c r="AS727" s="36" t="n"/>
      <c r="AT727" s="36" t="n"/>
      <c r="AU727" s="27" t="n"/>
      <c r="AV727" s="37" t="n"/>
      <c r="AW727" s="38">
        <f>IF(AO727="","",IF(AR727="Yes","❌ Disc",IF(AQ727="No","⚠ Missing",IF(AT727="Yes","✓ OK","⚠ Check"))))</f>
        <v/>
      </c>
    </row>
    <row r="728" ht="18" customHeight="1" s="46">
      <c r="A728" s="39" t="n">
        <v>724</v>
      </c>
      <c r="B728" s="40" t="inlineStr">
        <is>
          <t>WP LNCCN1038953</t>
        </is>
      </c>
      <c r="C728" s="41" t="inlineStr">
        <is>
          <t>Life n Colors - Elephants Theme Wallpaper, Repeat Pattern  -  Canvas - a texture paper</t>
        </is>
      </c>
      <c r="D728" s="39" t="inlineStr">
        <is>
          <t>Life n Colors</t>
        </is>
      </c>
      <c r="E728" s="43" t="n">
        <v>46126</v>
      </c>
      <c r="F728" s="26" t="inlineStr">
        <is>
          <t>Sunil CR</t>
        </is>
      </c>
      <c r="G728" s="26" t="inlineStr">
        <is>
          <t>Yes</t>
        </is>
      </c>
      <c r="H728" s="26" t="inlineStr">
        <is>
          <t>No</t>
        </is>
      </c>
      <c r="I728" s="26" t="inlineStr">
        <is>
          <t>Good finish</t>
        </is>
      </c>
      <c r="J728" s="26" t="inlineStr">
        <is>
          <t>Yes</t>
        </is>
      </c>
      <c r="K728" s="27" t="n"/>
      <c r="L728" s="28" t="inlineStr">
        <is>
          <t>No</t>
        </is>
      </c>
      <c r="M728" s="29">
        <f>IF(E728="","",IF(H728="Yes","❌ Disc",IF(G728="No","⚠ Missing",IF(J728="Yes","✓ OK","⚠ Check"))))</f>
        <v/>
      </c>
      <c r="N728" s="43" t="n">
        <v>46193</v>
      </c>
      <c r="O728" s="26" t="inlineStr">
        <is>
          <t>Sunil CR</t>
        </is>
      </c>
      <c r="P728" s="26" t="inlineStr">
        <is>
          <t>Yes</t>
        </is>
      </c>
      <c r="Q728" s="26" t="inlineStr">
        <is>
          <t>No</t>
        </is>
      </c>
      <c r="R728" s="26" t="inlineStr">
        <is>
          <t>Good finish</t>
        </is>
      </c>
      <c r="S728" s="26" t="inlineStr">
        <is>
          <t>Yes</t>
        </is>
      </c>
      <c r="T728" s="27" t="n"/>
      <c r="U728" s="28" t="inlineStr">
        <is>
          <t>No</t>
        </is>
      </c>
      <c r="V728" s="29">
        <f>IF(N728="","",IF(Q728="Yes","❌ Disc",IF(P728="No","⚠ Missing",IF(S728="Yes","✓ OK","⚠ Check"))))</f>
        <v/>
      </c>
      <c r="W728" s="65" t="n">
        <v>46248</v>
      </c>
      <c r="X728" s="30" t="inlineStr">
        <is>
          <t>Sunil CR</t>
        </is>
      </c>
      <c r="Y728" s="30" t="inlineStr">
        <is>
          <t>Yes</t>
        </is>
      </c>
      <c r="Z728" s="30" t="n"/>
      <c r="AA728" s="30" t="inlineStr">
        <is>
          <t>Good finish</t>
        </is>
      </c>
      <c r="AB728" s="30" t="inlineStr">
        <is>
          <t>Yes</t>
        </is>
      </c>
      <c r="AC728" s="27" t="n"/>
      <c r="AD728" s="31" t="inlineStr">
        <is>
          <t>No</t>
        </is>
      </c>
      <c r="AE728" s="32">
        <f>IF(W728="","",IF(Z728="Yes","❌ Disc",IF(Y728="No","⚠ Missing",IF(AB728="Yes","✓ OK","⚠ Check"))))</f>
        <v/>
      </c>
      <c r="AF728" s="33" t="n"/>
      <c r="AG728" s="33" t="n"/>
      <c r="AH728" s="33" t="n"/>
      <c r="AI728" s="33" t="n"/>
      <c r="AJ728" s="33" t="n"/>
      <c r="AK728" s="33" t="n"/>
      <c r="AL728" s="27" t="n"/>
      <c r="AM728" s="34" t="n"/>
      <c r="AN728" s="35">
        <f>IF(AF728="","",IF(AI728="Yes","❌ Disc",IF(AH728="No","⚠ Missing",IF(AK728="Yes","✓ OK","⚠ Check"))))</f>
        <v/>
      </c>
      <c r="AO728" s="36" t="n"/>
      <c r="AP728" s="36" t="n"/>
      <c r="AQ728" s="36" t="n"/>
      <c r="AR728" s="36" t="n"/>
      <c r="AS728" s="36" t="n"/>
      <c r="AT728" s="36" t="n"/>
      <c r="AU728" s="27" t="n"/>
      <c r="AV728" s="37" t="n"/>
      <c r="AW728" s="38">
        <f>IF(AO728="","",IF(AR728="Yes","❌ Disc",IF(AQ728="No","⚠ Missing",IF(AT728="Yes","✓ OK","⚠ Check"))))</f>
        <v/>
      </c>
    </row>
    <row r="729" ht="18" customHeight="1" s="46">
      <c r="A729" s="23" t="n">
        <v>725</v>
      </c>
      <c r="B729" s="24" t="inlineStr">
        <is>
          <t>WP LNCSF1038953</t>
        </is>
      </c>
      <c r="C729" s="25" t="inlineStr">
        <is>
          <t>Life n Colors - Elephants Theme Wallpaper, Repeat Pattern  - Non-woven - a soft feel paper</t>
        </is>
      </c>
      <c r="D729" s="23" t="inlineStr">
        <is>
          <t>Life n Colors</t>
        </is>
      </c>
      <c r="E729" s="43" t="n">
        <v>46126</v>
      </c>
      <c r="F729" s="26" t="inlineStr">
        <is>
          <t>Sunil CR</t>
        </is>
      </c>
      <c r="G729" s="26" t="inlineStr">
        <is>
          <t>Yes</t>
        </is>
      </c>
      <c r="H729" s="26" t="inlineStr">
        <is>
          <t>No</t>
        </is>
      </c>
      <c r="I729" s="26" t="inlineStr">
        <is>
          <t>Good finish</t>
        </is>
      </c>
      <c r="J729" s="26" t="inlineStr">
        <is>
          <t>Yes</t>
        </is>
      </c>
      <c r="K729" s="27" t="n"/>
      <c r="L729" s="28" t="inlineStr">
        <is>
          <t>No</t>
        </is>
      </c>
      <c r="M729" s="29">
        <f>IF(E729="","",IF(H729="Yes","❌ Disc",IF(G729="No","⚠ Missing",IF(J729="Yes","✓ OK","⚠ Check"))))</f>
        <v/>
      </c>
      <c r="N729" s="43" t="n">
        <v>46193</v>
      </c>
      <c r="O729" s="26" t="inlineStr">
        <is>
          <t>Sunil CR</t>
        </is>
      </c>
      <c r="P729" s="26" t="inlineStr">
        <is>
          <t>Yes</t>
        </is>
      </c>
      <c r="Q729" s="26" t="inlineStr">
        <is>
          <t>No</t>
        </is>
      </c>
      <c r="R729" s="26" t="inlineStr">
        <is>
          <t>Good finish</t>
        </is>
      </c>
      <c r="S729" s="26" t="inlineStr">
        <is>
          <t>Yes</t>
        </is>
      </c>
      <c r="T729" s="27" t="n"/>
      <c r="U729" s="28" t="inlineStr">
        <is>
          <t>No</t>
        </is>
      </c>
      <c r="V729" s="29">
        <f>IF(N729="","",IF(Q729="Yes","❌ Disc",IF(P729="No","⚠ Missing",IF(S729="Yes","✓ OK","⚠ Check"))))</f>
        <v/>
      </c>
      <c r="W729" s="65" t="n">
        <v>46248</v>
      </c>
      <c r="X729" s="30" t="inlineStr">
        <is>
          <t>Sunil CR</t>
        </is>
      </c>
      <c r="Y729" s="30" t="inlineStr">
        <is>
          <t>Yes</t>
        </is>
      </c>
      <c r="Z729" s="30" t="n"/>
      <c r="AA729" s="30" t="inlineStr">
        <is>
          <t>Good finish</t>
        </is>
      </c>
      <c r="AB729" s="30" t="inlineStr">
        <is>
          <t>Yes</t>
        </is>
      </c>
      <c r="AC729" s="27" t="n"/>
      <c r="AD729" s="31" t="inlineStr">
        <is>
          <t>No</t>
        </is>
      </c>
      <c r="AE729" s="32">
        <f>IF(W729="","",IF(Z729="Yes","❌ Disc",IF(Y729="No","⚠ Missing",IF(AB729="Yes","✓ OK","⚠ Check"))))</f>
        <v/>
      </c>
      <c r="AF729" s="33" t="n"/>
      <c r="AG729" s="33" t="n"/>
      <c r="AH729" s="33" t="n"/>
      <c r="AI729" s="33" t="n"/>
      <c r="AJ729" s="33" t="n"/>
      <c r="AK729" s="33" t="n"/>
      <c r="AL729" s="27" t="n"/>
      <c r="AM729" s="34" t="n"/>
      <c r="AN729" s="35">
        <f>IF(AF729="","",IF(AI729="Yes","❌ Disc",IF(AH729="No","⚠ Missing",IF(AK729="Yes","✓ OK","⚠ Check"))))</f>
        <v/>
      </c>
      <c r="AO729" s="36" t="n"/>
      <c r="AP729" s="36" t="n"/>
      <c r="AQ729" s="36" t="n"/>
      <c r="AR729" s="36" t="n"/>
      <c r="AS729" s="36" t="n"/>
      <c r="AT729" s="36" t="n"/>
      <c r="AU729" s="27" t="n"/>
      <c r="AV729" s="37" t="n"/>
      <c r="AW729" s="38">
        <f>IF(AO729="","",IF(AR729="Yes","❌ Disc",IF(AQ729="No","⚠ Missing",IF(AT729="Yes","✓ OK","⚠ Check"))))</f>
        <v/>
      </c>
    </row>
    <row r="730" ht="18" customHeight="1" s="46">
      <c r="A730" s="39" t="n">
        <v>726</v>
      </c>
      <c r="B730" s="40" t="inlineStr">
        <is>
          <t>WP LNCCN1031929</t>
        </is>
      </c>
      <c r="C730" s="41" t="inlineStr">
        <is>
          <t>Life n Colors - Exposed Marble Design, Wallpapers for Rooms  -  Canvas - a texture paper</t>
        </is>
      </c>
      <c r="D730" s="39" t="inlineStr">
        <is>
          <t>Life n Colors</t>
        </is>
      </c>
      <c r="E730" s="43" t="n">
        <v>46126</v>
      </c>
      <c r="F730" s="26" t="inlineStr">
        <is>
          <t>Sunil CR</t>
        </is>
      </c>
      <c r="G730" s="26" t="inlineStr">
        <is>
          <t>Yes</t>
        </is>
      </c>
      <c r="H730" s="26" t="inlineStr">
        <is>
          <t>No</t>
        </is>
      </c>
      <c r="I730" s="26" t="inlineStr">
        <is>
          <t>Good finish</t>
        </is>
      </c>
      <c r="J730" s="26" t="inlineStr">
        <is>
          <t>Yes</t>
        </is>
      </c>
      <c r="K730" s="27" t="n"/>
      <c r="L730" s="28" t="inlineStr">
        <is>
          <t>No</t>
        </is>
      </c>
      <c r="M730" s="29">
        <f>IF(E730="","",IF(H730="Yes","❌ Disc",IF(G730="No","⚠ Missing",IF(J730="Yes","✓ OK","⚠ Check"))))</f>
        <v/>
      </c>
      <c r="N730" s="43" t="n">
        <v>46193</v>
      </c>
      <c r="O730" s="26" t="inlineStr">
        <is>
          <t>Sunil CR</t>
        </is>
      </c>
      <c r="P730" s="26" t="inlineStr">
        <is>
          <t>Yes</t>
        </is>
      </c>
      <c r="Q730" s="26" t="inlineStr">
        <is>
          <t>No</t>
        </is>
      </c>
      <c r="R730" s="26" t="inlineStr">
        <is>
          <t>Good finish</t>
        </is>
      </c>
      <c r="S730" s="26" t="inlineStr">
        <is>
          <t>Yes</t>
        </is>
      </c>
      <c r="T730" s="27" t="n"/>
      <c r="U730" s="28" t="inlineStr">
        <is>
          <t>No</t>
        </is>
      </c>
      <c r="V730" s="29">
        <f>IF(N730="","",IF(Q730="Yes","❌ Disc",IF(P730="No","⚠ Missing",IF(S730="Yes","✓ OK","⚠ Check"))))</f>
        <v/>
      </c>
      <c r="W730" s="65" t="n">
        <v>46248</v>
      </c>
      <c r="X730" s="30" t="inlineStr">
        <is>
          <t>Sunil CR</t>
        </is>
      </c>
      <c r="Y730" s="30" t="inlineStr">
        <is>
          <t>Yes</t>
        </is>
      </c>
      <c r="Z730" s="30" t="n"/>
      <c r="AA730" s="30" t="inlineStr">
        <is>
          <t>Good finish</t>
        </is>
      </c>
      <c r="AB730" s="30" t="inlineStr">
        <is>
          <t>Yes</t>
        </is>
      </c>
      <c r="AC730" s="27" t="n"/>
      <c r="AD730" s="31" t="inlineStr">
        <is>
          <t>No</t>
        </is>
      </c>
      <c r="AE730" s="32">
        <f>IF(W730="","",IF(Z730="Yes","❌ Disc",IF(Y730="No","⚠ Missing",IF(AB730="Yes","✓ OK","⚠ Check"))))</f>
        <v/>
      </c>
      <c r="AF730" s="33" t="n"/>
      <c r="AG730" s="33" t="n"/>
      <c r="AH730" s="33" t="n"/>
      <c r="AI730" s="33" t="n"/>
      <c r="AJ730" s="33" t="n"/>
      <c r="AK730" s="33" t="n"/>
      <c r="AL730" s="27" t="n"/>
      <c r="AM730" s="34" t="n"/>
      <c r="AN730" s="35">
        <f>IF(AF730="","",IF(AI730="Yes","❌ Disc",IF(AH730="No","⚠ Missing",IF(AK730="Yes","✓ OK","⚠ Check"))))</f>
        <v/>
      </c>
      <c r="AO730" s="36" t="n"/>
      <c r="AP730" s="36" t="n"/>
      <c r="AQ730" s="36" t="n"/>
      <c r="AR730" s="36" t="n"/>
      <c r="AS730" s="36" t="n"/>
      <c r="AT730" s="36" t="n"/>
      <c r="AU730" s="27" t="n"/>
      <c r="AV730" s="37" t="n"/>
      <c r="AW730" s="38">
        <f>IF(AO730="","",IF(AR730="Yes","❌ Disc",IF(AQ730="No","⚠ Missing",IF(AT730="Yes","✓ OK","⚠ Check"))))</f>
        <v/>
      </c>
    </row>
    <row r="731" ht="18" customHeight="1" s="46">
      <c r="A731" s="23" t="n">
        <v>727</v>
      </c>
      <c r="B731" s="24" t="inlineStr">
        <is>
          <t>WP LNCSF1031929</t>
        </is>
      </c>
      <c r="C731" s="25" t="inlineStr">
        <is>
          <t>Life n Colors - Exposed Marble Design, Wallpapers for Rooms  - Non-woven - a soft feel paper</t>
        </is>
      </c>
      <c r="D731" s="23" t="inlineStr">
        <is>
          <t>Life n Colors</t>
        </is>
      </c>
      <c r="E731" s="43" t="n">
        <v>46126</v>
      </c>
      <c r="F731" s="26" t="inlineStr">
        <is>
          <t>Sunil CR</t>
        </is>
      </c>
      <c r="G731" s="26" t="inlineStr">
        <is>
          <t>Yes</t>
        </is>
      </c>
      <c r="H731" s="26" t="inlineStr">
        <is>
          <t>No</t>
        </is>
      </c>
      <c r="I731" s="26" t="inlineStr">
        <is>
          <t>Good finish</t>
        </is>
      </c>
      <c r="J731" s="26" t="inlineStr">
        <is>
          <t>Yes</t>
        </is>
      </c>
      <c r="K731" s="27" t="n"/>
      <c r="L731" s="28" t="inlineStr">
        <is>
          <t>No</t>
        </is>
      </c>
      <c r="M731" s="29">
        <f>IF(E731="","",IF(H731="Yes","❌ Disc",IF(G731="No","⚠ Missing",IF(J731="Yes","✓ OK","⚠ Check"))))</f>
        <v/>
      </c>
      <c r="N731" s="43" t="n">
        <v>46193</v>
      </c>
      <c r="O731" s="26" t="inlineStr">
        <is>
          <t>Sunil CR</t>
        </is>
      </c>
      <c r="P731" s="26" t="inlineStr">
        <is>
          <t>Yes</t>
        </is>
      </c>
      <c r="Q731" s="26" t="inlineStr">
        <is>
          <t>No</t>
        </is>
      </c>
      <c r="R731" s="26" t="inlineStr">
        <is>
          <t>Good finish</t>
        </is>
      </c>
      <c r="S731" s="26" t="inlineStr">
        <is>
          <t>Yes</t>
        </is>
      </c>
      <c r="T731" s="27" t="n"/>
      <c r="U731" s="28" t="inlineStr">
        <is>
          <t>No</t>
        </is>
      </c>
      <c r="V731" s="29">
        <f>IF(N731="","",IF(Q731="Yes","❌ Disc",IF(P731="No","⚠ Missing",IF(S731="Yes","✓ OK","⚠ Check"))))</f>
        <v/>
      </c>
      <c r="W731" s="65" t="n">
        <v>46248</v>
      </c>
      <c r="X731" s="30" t="inlineStr">
        <is>
          <t>Sunil CR</t>
        </is>
      </c>
      <c r="Y731" s="30" t="inlineStr">
        <is>
          <t>Yes</t>
        </is>
      </c>
      <c r="Z731" s="30" t="n"/>
      <c r="AA731" s="30" t="inlineStr">
        <is>
          <t>Good finish</t>
        </is>
      </c>
      <c r="AB731" s="30" t="inlineStr">
        <is>
          <t>Yes</t>
        </is>
      </c>
      <c r="AC731" s="27" t="n"/>
      <c r="AD731" s="31" t="inlineStr">
        <is>
          <t>No</t>
        </is>
      </c>
      <c r="AE731" s="32">
        <f>IF(W731="","",IF(Z731="Yes","❌ Disc",IF(Y731="No","⚠ Missing",IF(AB731="Yes","✓ OK","⚠ Check"))))</f>
        <v/>
      </c>
      <c r="AF731" s="33" t="n"/>
      <c r="AG731" s="33" t="n"/>
      <c r="AH731" s="33" t="n"/>
      <c r="AI731" s="33" t="n"/>
      <c r="AJ731" s="33" t="n"/>
      <c r="AK731" s="33" t="n"/>
      <c r="AL731" s="27" t="n"/>
      <c r="AM731" s="34" t="n"/>
      <c r="AN731" s="35">
        <f>IF(AF731="","",IF(AI731="Yes","❌ Disc",IF(AH731="No","⚠ Missing",IF(AK731="Yes","✓ OK","⚠ Check"))))</f>
        <v/>
      </c>
      <c r="AO731" s="36" t="n"/>
      <c r="AP731" s="36" t="n"/>
      <c r="AQ731" s="36" t="n"/>
      <c r="AR731" s="36" t="n"/>
      <c r="AS731" s="36" t="n"/>
      <c r="AT731" s="36" t="n"/>
      <c r="AU731" s="27" t="n"/>
      <c r="AV731" s="37" t="n"/>
      <c r="AW731" s="38">
        <f>IF(AO731="","",IF(AR731="Yes","❌ Disc",IF(AQ731="No","⚠ Missing",IF(AT731="Yes","✓ OK","⚠ Check"))))</f>
        <v/>
      </c>
    </row>
    <row r="732" ht="18" customHeight="1" s="46">
      <c r="A732" s="39" t="n">
        <v>728</v>
      </c>
      <c r="B732" s="40" t="inlineStr">
        <is>
          <t>WP LNCCN1147462</t>
        </is>
      </c>
      <c r="C732" s="41" t="inlineStr">
        <is>
          <t>Life n Colors - Face Art Design, Dirt Brown, Distorted Textured Wallpaper  -  Canvas - a texture paper</t>
        </is>
      </c>
      <c r="D732" s="39" t="inlineStr">
        <is>
          <t>Life n Colors</t>
        </is>
      </c>
      <c r="E732" s="43" t="n">
        <v>46126</v>
      </c>
      <c r="F732" s="26" t="inlineStr">
        <is>
          <t>Sunil CR</t>
        </is>
      </c>
      <c r="G732" s="26" t="inlineStr">
        <is>
          <t>Yes</t>
        </is>
      </c>
      <c r="H732" s="26" t="inlineStr">
        <is>
          <t>No</t>
        </is>
      </c>
      <c r="I732" s="26" t="inlineStr">
        <is>
          <t>Good finish</t>
        </is>
      </c>
      <c r="J732" s="26" t="inlineStr">
        <is>
          <t>Yes</t>
        </is>
      </c>
      <c r="K732" s="27" t="n"/>
      <c r="L732" s="28" t="inlineStr">
        <is>
          <t>No</t>
        </is>
      </c>
      <c r="M732" s="29">
        <f>IF(E732="","",IF(H732="Yes","❌ Disc",IF(G732="No","⚠ Missing",IF(J732="Yes","✓ OK","⚠ Check"))))</f>
        <v/>
      </c>
      <c r="N732" s="43" t="n">
        <v>46193</v>
      </c>
      <c r="O732" s="26" t="inlineStr">
        <is>
          <t>Sunil CR</t>
        </is>
      </c>
      <c r="P732" s="26" t="inlineStr">
        <is>
          <t>Yes</t>
        </is>
      </c>
      <c r="Q732" s="26" t="inlineStr">
        <is>
          <t>No</t>
        </is>
      </c>
      <c r="R732" s="26" t="inlineStr">
        <is>
          <t>Good finish</t>
        </is>
      </c>
      <c r="S732" s="26" t="inlineStr">
        <is>
          <t>Yes</t>
        </is>
      </c>
      <c r="T732" s="27" t="n"/>
      <c r="U732" s="28" t="inlineStr">
        <is>
          <t>No</t>
        </is>
      </c>
      <c r="V732" s="29">
        <f>IF(N732="","",IF(Q732="Yes","❌ Disc",IF(P732="No","⚠ Missing",IF(S732="Yes","✓ OK","⚠ Check"))))</f>
        <v/>
      </c>
      <c r="W732" s="65" t="n">
        <v>46248</v>
      </c>
      <c r="X732" s="30" t="inlineStr">
        <is>
          <t>Sunil CR</t>
        </is>
      </c>
      <c r="Y732" s="30" t="inlineStr">
        <is>
          <t>Yes</t>
        </is>
      </c>
      <c r="Z732" s="30" t="n"/>
      <c r="AA732" s="30" t="inlineStr">
        <is>
          <t>Good finish</t>
        </is>
      </c>
      <c r="AB732" s="30" t="inlineStr">
        <is>
          <t>Yes</t>
        </is>
      </c>
      <c r="AC732" s="27" t="n"/>
      <c r="AD732" s="31" t="inlineStr">
        <is>
          <t>No</t>
        </is>
      </c>
      <c r="AE732" s="32">
        <f>IF(W732="","",IF(Z732="Yes","❌ Disc",IF(Y732="No","⚠ Missing",IF(AB732="Yes","✓ OK","⚠ Check"))))</f>
        <v/>
      </c>
      <c r="AF732" s="33" t="n"/>
      <c r="AG732" s="33" t="n"/>
      <c r="AH732" s="33" t="n"/>
      <c r="AI732" s="33" t="n"/>
      <c r="AJ732" s="33" t="n"/>
      <c r="AK732" s="33" t="n"/>
      <c r="AL732" s="27" t="n"/>
      <c r="AM732" s="34" t="n"/>
      <c r="AN732" s="35">
        <f>IF(AF732="","",IF(AI732="Yes","❌ Disc",IF(AH732="No","⚠ Missing",IF(AK732="Yes","✓ OK","⚠ Check"))))</f>
        <v/>
      </c>
      <c r="AO732" s="36" t="n"/>
      <c r="AP732" s="36" t="n"/>
      <c r="AQ732" s="36" t="n"/>
      <c r="AR732" s="36" t="n"/>
      <c r="AS732" s="36" t="n"/>
      <c r="AT732" s="36" t="n"/>
      <c r="AU732" s="27" t="n"/>
      <c r="AV732" s="37" t="n"/>
      <c r="AW732" s="38">
        <f>IF(AO732="","",IF(AR732="Yes","❌ Disc",IF(AQ732="No","⚠ Missing",IF(AT732="Yes","✓ OK","⚠ Check"))))</f>
        <v/>
      </c>
    </row>
    <row r="733" ht="18" customHeight="1" s="46">
      <c r="A733" s="23" t="n">
        <v>729</v>
      </c>
      <c r="B733" s="24" t="inlineStr">
        <is>
          <t>WP LNCSF1147462</t>
        </is>
      </c>
      <c r="C733" s="25" t="inlineStr">
        <is>
          <t>Life n Colors - Face Art Design, Dirt Brown, Distorted Textured Wallpaper  - Non-woven - a soft feel paper</t>
        </is>
      </c>
      <c r="D733" s="23" t="inlineStr">
        <is>
          <t>Life n Colors</t>
        </is>
      </c>
      <c r="E733" s="43" t="n">
        <v>46126</v>
      </c>
      <c r="F733" s="26" t="inlineStr">
        <is>
          <t>Sunil CR</t>
        </is>
      </c>
      <c r="G733" s="26" t="inlineStr">
        <is>
          <t>Yes</t>
        </is>
      </c>
      <c r="H733" s="26" t="inlineStr">
        <is>
          <t>No</t>
        </is>
      </c>
      <c r="I733" s="26" t="inlineStr">
        <is>
          <t>Good finish</t>
        </is>
      </c>
      <c r="J733" s="26" t="inlineStr">
        <is>
          <t>Yes</t>
        </is>
      </c>
      <c r="K733" s="27" t="n"/>
      <c r="L733" s="28" t="inlineStr">
        <is>
          <t>No</t>
        </is>
      </c>
      <c r="M733" s="29">
        <f>IF(E733="","",IF(H733="Yes","❌ Disc",IF(G733="No","⚠ Missing",IF(J733="Yes","✓ OK","⚠ Check"))))</f>
        <v/>
      </c>
      <c r="N733" s="43" t="n">
        <v>46193</v>
      </c>
      <c r="O733" s="26" t="inlineStr">
        <is>
          <t>Sunil CR</t>
        </is>
      </c>
      <c r="P733" s="26" t="inlineStr">
        <is>
          <t>Yes</t>
        </is>
      </c>
      <c r="Q733" s="26" t="inlineStr">
        <is>
          <t>No</t>
        </is>
      </c>
      <c r="R733" s="26" t="inlineStr">
        <is>
          <t>Good finish</t>
        </is>
      </c>
      <c r="S733" s="26" t="inlineStr">
        <is>
          <t>Yes</t>
        </is>
      </c>
      <c r="T733" s="27" t="n"/>
      <c r="U733" s="28" t="inlineStr">
        <is>
          <t>No</t>
        </is>
      </c>
      <c r="V733" s="29">
        <f>IF(N733="","",IF(Q733="Yes","❌ Disc",IF(P733="No","⚠ Missing",IF(S733="Yes","✓ OK","⚠ Check"))))</f>
        <v/>
      </c>
      <c r="W733" s="65" t="n">
        <v>46248</v>
      </c>
      <c r="X733" s="30" t="inlineStr">
        <is>
          <t>Sunil CR</t>
        </is>
      </c>
      <c r="Y733" s="30" t="inlineStr">
        <is>
          <t>Yes</t>
        </is>
      </c>
      <c r="Z733" s="30" t="n"/>
      <c r="AA733" s="30" t="inlineStr">
        <is>
          <t>Good finish</t>
        </is>
      </c>
      <c r="AB733" s="30" t="inlineStr">
        <is>
          <t>Yes</t>
        </is>
      </c>
      <c r="AC733" s="27" t="n"/>
      <c r="AD733" s="31" t="inlineStr">
        <is>
          <t>No</t>
        </is>
      </c>
      <c r="AE733" s="32">
        <f>IF(W733="","",IF(Z733="Yes","❌ Disc",IF(Y733="No","⚠ Missing",IF(AB733="Yes","✓ OK","⚠ Check"))))</f>
        <v/>
      </c>
      <c r="AF733" s="33" t="n"/>
      <c r="AG733" s="33" t="n"/>
      <c r="AH733" s="33" t="n"/>
      <c r="AI733" s="33" t="n"/>
      <c r="AJ733" s="33" t="n"/>
      <c r="AK733" s="33" t="n"/>
      <c r="AL733" s="27" t="n"/>
      <c r="AM733" s="34" t="n"/>
      <c r="AN733" s="35">
        <f>IF(AF733="","",IF(AI733="Yes","❌ Disc",IF(AH733="No","⚠ Missing",IF(AK733="Yes","✓ OK","⚠ Check"))))</f>
        <v/>
      </c>
      <c r="AO733" s="36" t="n"/>
      <c r="AP733" s="36" t="n"/>
      <c r="AQ733" s="36" t="n"/>
      <c r="AR733" s="36" t="n"/>
      <c r="AS733" s="36" t="n"/>
      <c r="AT733" s="36" t="n"/>
      <c r="AU733" s="27" t="n"/>
      <c r="AV733" s="37" t="n"/>
      <c r="AW733" s="38">
        <f>IF(AO733="","",IF(AR733="Yes","❌ Disc",IF(AQ733="No","⚠ Missing",IF(AT733="Yes","✓ OK","⚠ Check"))))</f>
        <v/>
      </c>
    </row>
    <row r="734" ht="18" customHeight="1" s="46">
      <c r="A734" s="39" t="n">
        <v>730</v>
      </c>
      <c r="B734" s="40" t="inlineStr">
        <is>
          <t>WP LNCCN1066351</t>
        </is>
      </c>
      <c r="C734" s="41" t="inlineStr">
        <is>
          <t>Life n Colors - Fairy Land Space Theme Children Wallpaper  -  Canvas - a texture paper</t>
        </is>
      </c>
      <c r="D734" s="39" t="inlineStr">
        <is>
          <t>Life n Colors</t>
        </is>
      </c>
      <c r="E734" s="43" t="n">
        <v>46126</v>
      </c>
      <c r="F734" s="26" t="inlineStr">
        <is>
          <t>Sunil CR</t>
        </is>
      </c>
      <c r="G734" s="26" t="inlineStr">
        <is>
          <t>Yes</t>
        </is>
      </c>
      <c r="H734" s="26" t="inlineStr">
        <is>
          <t>No</t>
        </is>
      </c>
      <c r="I734" s="26" t="inlineStr">
        <is>
          <t>Good finish</t>
        </is>
      </c>
      <c r="J734" s="26" t="inlineStr">
        <is>
          <t>Yes</t>
        </is>
      </c>
      <c r="K734" s="27" t="n"/>
      <c r="L734" s="28" t="inlineStr">
        <is>
          <t>No</t>
        </is>
      </c>
      <c r="M734" s="29">
        <f>IF(E734="","",IF(H734="Yes","❌ Disc",IF(G734="No","⚠ Missing",IF(J734="Yes","✓ OK","⚠ Check"))))</f>
        <v/>
      </c>
      <c r="N734" s="43" t="n">
        <v>46193</v>
      </c>
      <c r="O734" s="26" t="inlineStr">
        <is>
          <t>Sunil CR</t>
        </is>
      </c>
      <c r="P734" s="26" t="inlineStr">
        <is>
          <t>Yes</t>
        </is>
      </c>
      <c r="Q734" s="26" t="inlineStr">
        <is>
          <t>No</t>
        </is>
      </c>
      <c r="R734" s="26" t="inlineStr">
        <is>
          <t>Good finish</t>
        </is>
      </c>
      <c r="S734" s="26" t="inlineStr">
        <is>
          <t>Yes</t>
        </is>
      </c>
      <c r="T734" s="27" t="n"/>
      <c r="U734" s="28" t="inlineStr">
        <is>
          <t>No</t>
        </is>
      </c>
      <c r="V734" s="29">
        <f>IF(N734="","",IF(Q734="Yes","❌ Disc",IF(P734="No","⚠ Missing",IF(S734="Yes","✓ OK","⚠ Check"))))</f>
        <v/>
      </c>
      <c r="W734" s="65" t="n">
        <v>46248</v>
      </c>
      <c r="X734" s="30" t="inlineStr">
        <is>
          <t>Sunil CR</t>
        </is>
      </c>
      <c r="Y734" s="30" t="inlineStr">
        <is>
          <t>Yes</t>
        </is>
      </c>
      <c r="Z734" s="30" t="n"/>
      <c r="AA734" s="30" t="inlineStr">
        <is>
          <t>Good finish</t>
        </is>
      </c>
      <c r="AB734" s="30" t="inlineStr">
        <is>
          <t>Yes</t>
        </is>
      </c>
      <c r="AC734" s="27" t="n"/>
      <c r="AD734" s="31" t="inlineStr">
        <is>
          <t>No</t>
        </is>
      </c>
      <c r="AE734" s="32">
        <f>IF(W734="","",IF(Z734="Yes","❌ Disc",IF(Y734="No","⚠ Missing",IF(AB734="Yes","✓ OK","⚠ Check"))))</f>
        <v/>
      </c>
      <c r="AF734" s="33" t="n"/>
      <c r="AG734" s="33" t="n"/>
      <c r="AH734" s="33" t="n"/>
      <c r="AI734" s="33" t="n"/>
      <c r="AJ734" s="33" t="n"/>
      <c r="AK734" s="33" t="n"/>
      <c r="AL734" s="27" t="n"/>
      <c r="AM734" s="34" t="n"/>
      <c r="AN734" s="35">
        <f>IF(AF734="","",IF(AI734="Yes","❌ Disc",IF(AH734="No","⚠ Missing",IF(AK734="Yes","✓ OK","⚠ Check"))))</f>
        <v/>
      </c>
      <c r="AO734" s="36" t="n"/>
      <c r="AP734" s="36" t="n"/>
      <c r="AQ734" s="36" t="n"/>
      <c r="AR734" s="36" t="n"/>
      <c r="AS734" s="36" t="n"/>
      <c r="AT734" s="36" t="n"/>
      <c r="AU734" s="27" t="n"/>
      <c r="AV734" s="37" t="n"/>
      <c r="AW734" s="38">
        <f>IF(AO734="","",IF(AR734="Yes","❌ Disc",IF(AQ734="No","⚠ Missing",IF(AT734="Yes","✓ OK","⚠ Check"))))</f>
        <v/>
      </c>
    </row>
    <row r="735" ht="18" customHeight="1" s="46">
      <c r="A735" s="23" t="n">
        <v>731</v>
      </c>
      <c r="B735" s="24" t="inlineStr">
        <is>
          <t>WP LNCSF1066351</t>
        </is>
      </c>
      <c r="C735" s="25" t="inlineStr">
        <is>
          <t>Life n Colors - Fairy Land Space Theme Children Wallpaper  - Non-woven - a soft feel paper</t>
        </is>
      </c>
      <c r="D735" s="23" t="inlineStr">
        <is>
          <t>Life n Colors</t>
        </is>
      </c>
      <c r="E735" s="43" t="n">
        <v>46126</v>
      </c>
      <c r="F735" s="26" t="inlineStr">
        <is>
          <t>Sunil CR</t>
        </is>
      </c>
      <c r="G735" s="26" t="inlineStr">
        <is>
          <t>Yes</t>
        </is>
      </c>
      <c r="H735" s="26" t="inlineStr">
        <is>
          <t>No</t>
        </is>
      </c>
      <c r="I735" s="26" t="inlineStr">
        <is>
          <t>Good finish</t>
        </is>
      </c>
      <c r="J735" s="26" t="inlineStr">
        <is>
          <t>Yes</t>
        </is>
      </c>
      <c r="K735" s="27" t="n"/>
      <c r="L735" s="28" t="inlineStr">
        <is>
          <t>No</t>
        </is>
      </c>
      <c r="M735" s="29">
        <f>IF(E735="","",IF(H735="Yes","❌ Disc",IF(G735="No","⚠ Missing",IF(J735="Yes","✓ OK","⚠ Check"))))</f>
        <v/>
      </c>
      <c r="N735" s="43" t="n">
        <v>46193</v>
      </c>
      <c r="O735" s="26" t="inlineStr">
        <is>
          <t>Sunil CR</t>
        </is>
      </c>
      <c r="P735" s="26" t="inlineStr">
        <is>
          <t>Yes</t>
        </is>
      </c>
      <c r="Q735" s="26" t="inlineStr">
        <is>
          <t>No</t>
        </is>
      </c>
      <c r="R735" s="26" t="inlineStr">
        <is>
          <t>Good finish</t>
        </is>
      </c>
      <c r="S735" s="26" t="inlineStr">
        <is>
          <t>Yes</t>
        </is>
      </c>
      <c r="T735" s="27" t="n"/>
      <c r="U735" s="28" t="inlineStr">
        <is>
          <t>No</t>
        </is>
      </c>
      <c r="V735" s="29">
        <f>IF(N735="","",IF(Q735="Yes","❌ Disc",IF(P735="No","⚠ Missing",IF(S735="Yes","✓ OK","⚠ Check"))))</f>
        <v/>
      </c>
      <c r="W735" s="65" t="n">
        <v>46248</v>
      </c>
      <c r="X735" s="30" t="inlineStr">
        <is>
          <t>Sunil CR</t>
        </is>
      </c>
      <c r="Y735" s="30" t="inlineStr">
        <is>
          <t>Yes</t>
        </is>
      </c>
      <c r="Z735" s="30" t="n"/>
      <c r="AA735" s="30" t="inlineStr">
        <is>
          <t>Good finish</t>
        </is>
      </c>
      <c r="AB735" s="30" t="inlineStr">
        <is>
          <t>Yes</t>
        </is>
      </c>
      <c r="AC735" s="27" t="n"/>
      <c r="AD735" s="31" t="inlineStr">
        <is>
          <t>No</t>
        </is>
      </c>
      <c r="AE735" s="32">
        <f>IF(W735="","",IF(Z735="Yes","❌ Disc",IF(Y735="No","⚠ Missing",IF(AB735="Yes","✓ OK","⚠ Check"))))</f>
        <v/>
      </c>
      <c r="AF735" s="33" t="n"/>
      <c r="AG735" s="33" t="n"/>
      <c r="AH735" s="33" t="n"/>
      <c r="AI735" s="33" t="n"/>
      <c r="AJ735" s="33" t="n"/>
      <c r="AK735" s="33" t="n"/>
      <c r="AL735" s="27" t="n"/>
      <c r="AM735" s="34" t="n"/>
      <c r="AN735" s="35">
        <f>IF(AF735="","",IF(AI735="Yes","❌ Disc",IF(AH735="No","⚠ Missing",IF(AK735="Yes","✓ OK","⚠ Check"))))</f>
        <v/>
      </c>
      <c r="AO735" s="36" t="n"/>
      <c r="AP735" s="36" t="n"/>
      <c r="AQ735" s="36" t="n"/>
      <c r="AR735" s="36" t="n"/>
      <c r="AS735" s="36" t="n"/>
      <c r="AT735" s="36" t="n"/>
      <c r="AU735" s="27" t="n"/>
      <c r="AV735" s="37" t="n"/>
      <c r="AW735" s="38">
        <f>IF(AO735="","",IF(AR735="Yes","❌ Disc",IF(AQ735="No","⚠ Missing",IF(AT735="Yes","✓ OK","⚠ Check"))))</f>
        <v/>
      </c>
    </row>
    <row r="736" ht="18" customHeight="1" s="46">
      <c r="A736" s="39" t="n">
        <v>732</v>
      </c>
      <c r="B736" s="40" t="inlineStr">
        <is>
          <t>WP LNCCN304048</t>
        </is>
      </c>
      <c r="C736" s="41" t="inlineStr">
        <is>
          <t>Life n Colors - Fascinating Enchantment, Luxury Wallpaper for Rooms  -  Canvas - a texture paper</t>
        </is>
      </c>
      <c r="D736" s="39" t="inlineStr">
        <is>
          <t>Life n Colors</t>
        </is>
      </c>
      <c r="E736" s="43" t="n">
        <v>46126</v>
      </c>
      <c r="F736" s="26" t="inlineStr">
        <is>
          <t>Sunil CR</t>
        </is>
      </c>
      <c r="G736" s="26" t="inlineStr">
        <is>
          <t>Yes</t>
        </is>
      </c>
      <c r="H736" s="26" t="inlineStr">
        <is>
          <t>No</t>
        </is>
      </c>
      <c r="I736" s="26" t="inlineStr">
        <is>
          <t>Good finish</t>
        </is>
      </c>
      <c r="J736" s="26" t="inlineStr">
        <is>
          <t>Yes</t>
        </is>
      </c>
      <c r="K736" s="27" t="n"/>
      <c r="L736" s="28" t="inlineStr">
        <is>
          <t>No</t>
        </is>
      </c>
      <c r="M736" s="29">
        <f>IF(E736="","",IF(H736="Yes","❌ Disc",IF(G736="No","⚠ Missing",IF(J736="Yes","✓ OK","⚠ Check"))))</f>
        <v/>
      </c>
      <c r="N736" s="43" t="n">
        <v>46193</v>
      </c>
      <c r="O736" s="26" t="inlineStr">
        <is>
          <t>Sunil CR</t>
        </is>
      </c>
      <c r="P736" s="26" t="inlineStr">
        <is>
          <t>Yes</t>
        </is>
      </c>
      <c r="Q736" s="26" t="inlineStr">
        <is>
          <t>No</t>
        </is>
      </c>
      <c r="R736" s="26" t="inlineStr">
        <is>
          <t>Good finish</t>
        </is>
      </c>
      <c r="S736" s="26" t="inlineStr">
        <is>
          <t>Yes</t>
        </is>
      </c>
      <c r="T736" s="27" t="n"/>
      <c r="U736" s="28" t="inlineStr">
        <is>
          <t>No</t>
        </is>
      </c>
      <c r="V736" s="29">
        <f>IF(N736="","",IF(Q736="Yes","❌ Disc",IF(P736="No","⚠ Missing",IF(S736="Yes","✓ OK","⚠ Check"))))</f>
        <v/>
      </c>
      <c r="W736" s="65" t="n">
        <v>46248</v>
      </c>
      <c r="X736" s="30" t="inlineStr">
        <is>
          <t>Sunil CR</t>
        </is>
      </c>
      <c r="Y736" s="30" t="inlineStr">
        <is>
          <t>Yes</t>
        </is>
      </c>
      <c r="Z736" s="30" t="n"/>
      <c r="AA736" s="30" t="inlineStr">
        <is>
          <t>Good finish</t>
        </is>
      </c>
      <c r="AB736" s="30" t="inlineStr">
        <is>
          <t>Yes</t>
        </is>
      </c>
      <c r="AC736" s="27" t="n"/>
      <c r="AD736" s="31" t="inlineStr">
        <is>
          <t>No</t>
        </is>
      </c>
      <c r="AE736" s="32">
        <f>IF(W736="","",IF(Z736="Yes","❌ Disc",IF(Y736="No","⚠ Missing",IF(AB736="Yes","✓ OK","⚠ Check"))))</f>
        <v/>
      </c>
      <c r="AF736" s="33" t="n"/>
      <c r="AG736" s="33" t="n"/>
      <c r="AH736" s="33" t="n"/>
      <c r="AI736" s="33" t="n"/>
      <c r="AJ736" s="33" t="n"/>
      <c r="AK736" s="33" t="n"/>
      <c r="AL736" s="27" t="n"/>
      <c r="AM736" s="34" t="n"/>
      <c r="AN736" s="35">
        <f>IF(AF736="","",IF(AI736="Yes","❌ Disc",IF(AH736="No","⚠ Missing",IF(AK736="Yes","✓ OK","⚠ Check"))))</f>
        <v/>
      </c>
      <c r="AO736" s="36" t="n"/>
      <c r="AP736" s="36" t="n"/>
      <c r="AQ736" s="36" t="n"/>
      <c r="AR736" s="36" t="n"/>
      <c r="AS736" s="36" t="n"/>
      <c r="AT736" s="36" t="n"/>
      <c r="AU736" s="27" t="n"/>
      <c r="AV736" s="37" t="n"/>
      <c r="AW736" s="38">
        <f>IF(AO736="","",IF(AR736="Yes","❌ Disc",IF(AQ736="No","⚠ Missing",IF(AT736="Yes","✓ OK","⚠ Check"))))</f>
        <v/>
      </c>
    </row>
    <row r="737" ht="18" customHeight="1" s="46">
      <c r="A737" s="23" t="n">
        <v>733</v>
      </c>
      <c r="B737" s="24" t="inlineStr">
        <is>
          <t>WP LNCCN336493</t>
        </is>
      </c>
      <c r="C737" s="25" t="inlineStr">
        <is>
          <t>Life n Colors - Fitorr, Vintage Style Room Wallpaper  -  Canvas - a texture paper</t>
        </is>
      </c>
      <c r="D737" s="23" t="inlineStr">
        <is>
          <t>Life n Colors</t>
        </is>
      </c>
      <c r="E737" s="43" t="n">
        <v>46126</v>
      </c>
      <c r="F737" s="26" t="inlineStr">
        <is>
          <t>Sunil CR</t>
        </is>
      </c>
      <c r="G737" s="26" t="inlineStr">
        <is>
          <t>Yes</t>
        </is>
      </c>
      <c r="H737" s="26" t="inlineStr">
        <is>
          <t>No</t>
        </is>
      </c>
      <c r="I737" s="26" t="inlineStr">
        <is>
          <t>Good finish</t>
        </is>
      </c>
      <c r="J737" s="26" t="inlineStr">
        <is>
          <t>Yes</t>
        </is>
      </c>
      <c r="K737" s="27" t="n"/>
      <c r="L737" s="28" t="inlineStr">
        <is>
          <t>No</t>
        </is>
      </c>
      <c r="M737" s="29">
        <f>IF(E737="","",IF(H737="Yes","❌ Disc",IF(G737="No","⚠ Missing",IF(J737="Yes","✓ OK","⚠ Check"))))</f>
        <v/>
      </c>
      <c r="N737" s="43" t="n">
        <v>46193</v>
      </c>
      <c r="O737" s="26" t="inlineStr">
        <is>
          <t>Sunil CR</t>
        </is>
      </c>
      <c r="P737" s="26" t="inlineStr">
        <is>
          <t>Yes</t>
        </is>
      </c>
      <c r="Q737" s="26" t="inlineStr">
        <is>
          <t>No</t>
        </is>
      </c>
      <c r="R737" s="26" t="inlineStr">
        <is>
          <t>Good finish</t>
        </is>
      </c>
      <c r="S737" s="26" t="inlineStr">
        <is>
          <t>Yes</t>
        </is>
      </c>
      <c r="T737" s="27" t="n"/>
      <c r="U737" s="28" t="inlineStr">
        <is>
          <t>No</t>
        </is>
      </c>
      <c r="V737" s="29">
        <f>IF(N737="","",IF(Q737="Yes","❌ Disc",IF(P737="No","⚠ Missing",IF(S737="Yes","✓ OK","⚠ Check"))))</f>
        <v/>
      </c>
      <c r="W737" s="65" t="n">
        <v>46248</v>
      </c>
      <c r="X737" s="30" t="inlineStr">
        <is>
          <t>Sunil CR</t>
        </is>
      </c>
      <c r="Y737" s="30" t="inlineStr">
        <is>
          <t>Yes</t>
        </is>
      </c>
      <c r="Z737" s="30" t="n"/>
      <c r="AA737" s="30" t="inlineStr">
        <is>
          <t>Good finish</t>
        </is>
      </c>
      <c r="AB737" s="30" t="inlineStr">
        <is>
          <t>Yes</t>
        </is>
      </c>
      <c r="AC737" s="27" t="n"/>
      <c r="AD737" s="31" t="inlineStr">
        <is>
          <t>No</t>
        </is>
      </c>
      <c r="AE737" s="32">
        <f>IF(W737="","",IF(Z737="Yes","❌ Disc",IF(Y737="No","⚠ Missing",IF(AB737="Yes","✓ OK","⚠ Check"))))</f>
        <v/>
      </c>
      <c r="AF737" s="33" t="n"/>
      <c r="AG737" s="33" t="n"/>
      <c r="AH737" s="33" t="n"/>
      <c r="AI737" s="33" t="n"/>
      <c r="AJ737" s="33" t="n"/>
      <c r="AK737" s="33" t="n"/>
      <c r="AL737" s="27" t="n"/>
      <c r="AM737" s="34" t="n"/>
      <c r="AN737" s="35">
        <f>IF(AF737="","",IF(AI737="Yes","❌ Disc",IF(AH737="No","⚠ Missing",IF(AK737="Yes","✓ OK","⚠ Check"))))</f>
        <v/>
      </c>
      <c r="AO737" s="36" t="n"/>
      <c r="AP737" s="36" t="n"/>
      <c r="AQ737" s="36" t="n"/>
      <c r="AR737" s="36" t="n"/>
      <c r="AS737" s="36" t="n"/>
      <c r="AT737" s="36" t="n"/>
      <c r="AU737" s="27" t="n"/>
      <c r="AV737" s="37" t="n"/>
      <c r="AW737" s="38">
        <f>IF(AO737="","",IF(AR737="Yes","❌ Disc",IF(AQ737="No","⚠ Missing",IF(AT737="Yes","✓ OK","⚠ Check"))))</f>
        <v/>
      </c>
    </row>
    <row r="738" ht="18" customHeight="1" s="46">
      <c r="A738" s="39" t="n">
        <v>734</v>
      </c>
      <c r="B738" s="40" t="inlineStr">
        <is>
          <t>WP LNCCN1008297</t>
        </is>
      </c>
      <c r="C738" s="41" t="inlineStr">
        <is>
          <t>Life n Colors - Flamingos in Tropical Theme Wallpaper, Customised  -  Canvas - a texture paper</t>
        </is>
      </c>
      <c r="D738" s="39" t="inlineStr">
        <is>
          <t>Life n Colors</t>
        </is>
      </c>
      <c r="E738" s="43" t="n">
        <v>46126</v>
      </c>
      <c r="F738" s="26" t="inlineStr">
        <is>
          <t>Sunil CR</t>
        </is>
      </c>
      <c r="G738" s="26" t="inlineStr">
        <is>
          <t>Yes</t>
        </is>
      </c>
      <c r="H738" s="26" t="inlineStr">
        <is>
          <t>No</t>
        </is>
      </c>
      <c r="I738" s="26" t="inlineStr">
        <is>
          <t>Good finish</t>
        </is>
      </c>
      <c r="J738" s="26" t="inlineStr">
        <is>
          <t>Yes</t>
        </is>
      </c>
      <c r="K738" s="27" t="n"/>
      <c r="L738" s="28" t="inlineStr">
        <is>
          <t>No</t>
        </is>
      </c>
      <c r="M738" s="29">
        <f>IF(E738="","",IF(H738="Yes","❌ Disc",IF(G738="No","⚠ Missing",IF(J738="Yes","✓ OK","⚠ Check"))))</f>
        <v/>
      </c>
      <c r="N738" s="43" t="n">
        <v>46193</v>
      </c>
      <c r="O738" s="26" t="inlineStr">
        <is>
          <t>Sunil CR</t>
        </is>
      </c>
      <c r="P738" s="26" t="inlineStr">
        <is>
          <t>Yes</t>
        </is>
      </c>
      <c r="Q738" s="26" t="inlineStr">
        <is>
          <t>No</t>
        </is>
      </c>
      <c r="R738" s="26" t="inlineStr">
        <is>
          <t>Good finish</t>
        </is>
      </c>
      <c r="S738" s="26" t="inlineStr">
        <is>
          <t>Yes</t>
        </is>
      </c>
      <c r="T738" s="27" t="n"/>
      <c r="U738" s="28" t="inlineStr">
        <is>
          <t>No</t>
        </is>
      </c>
      <c r="V738" s="29">
        <f>IF(N738="","",IF(Q738="Yes","❌ Disc",IF(P738="No","⚠ Missing",IF(S738="Yes","✓ OK","⚠ Check"))))</f>
        <v/>
      </c>
      <c r="W738" s="65" t="n">
        <v>46248</v>
      </c>
      <c r="X738" s="30" t="inlineStr">
        <is>
          <t>Sunil CR</t>
        </is>
      </c>
      <c r="Y738" s="30" t="inlineStr">
        <is>
          <t>Yes</t>
        </is>
      </c>
      <c r="Z738" s="30" t="n"/>
      <c r="AA738" s="30" t="inlineStr">
        <is>
          <t>Good finish</t>
        </is>
      </c>
      <c r="AB738" s="30" t="inlineStr">
        <is>
          <t>Yes</t>
        </is>
      </c>
      <c r="AC738" s="27" t="n"/>
      <c r="AD738" s="31" t="inlineStr">
        <is>
          <t>No</t>
        </is>
      </c>
      <c r="AE738" s="32">
        <f>IF(W738="","",IF(Z738="Yes","❌ Disc",IF(Y738="No","⚠ Missing",IF(AB738="Yes","✓ OK","⚠ Check"))))</f>
        <v/>
      </c>
      <c r="AF738" s="33" t="n"/>
      <c r="AG738" s="33" t="n"/>
      <c r="AH738" s="33" t="n"/>
      <c r="AI738" s="33" t="n"/>
      <c r="AJ738" s="33" t="n"/>
      <c r="AK738" s="33" t="n"/>
      <c r="AL738" s="27" t="n"/>
      <c r="AM738" s="34" t="n"/>
      <c r="AN738" s="35">
        <f>IF(AF738="","",IF(AI738="Yes","❌ Disc",IF(AH738="No","⚠ Missing",IF(AK738="Yes","✓ OK","⚠ Check"))))</f>
        <v/>
      </c>
      <c r="AO738" s="36" t="n"/>
      <c r="AP738" s="36" t="n"/>
      <c r="AQ738" s="36" t="n"/>
      <c r="AR738" s="36" t="n"/>
      <c r="AS738" s="36" t="n"/>
      <c r="AT738" s="36" t="n"/>
      <c r="AU738" s="27" t="n"/>
      <c r="AV738" s="37" t="n"/>
      <c r="AW738" s="38">
        <f>IF(AO738="","",IF(AR738="Yes","❌ Disc",IF(AQ738="No","⚠ Missing",IF(AT738="Yes","✓ OK","⚠ Check"))))</f>
        <v/>
      </c>
    </row>
    <row r="739" ht="18" customHeight="1" s="46">
      <c r="A739" s="23" t="n">
        <v>735</v>
      </c>
      <c r="B739" s="24" t="inlineStr">
        <is>
          <t>WP LNCSF1008297</t>
        </is>
      </c>
      <c r="C739" s="25" t="inlineStr">
        <is>
          <t>Life n Colors - Flamingos in Tropical Theme Wallpaper, Customised  - Non-woven - a soft feel paper</t>
        </is>
      </c>
      <c r="D739" s="23" t="inlineStr">
        <is>
          <t>Life n Colors</t>
        </is>
      </c>
      <c r="E739" s="43" t="n">
        <v>46126</v>
      </c>
      <c r="F739" s="26" t="inlineStr">
        <is>
          <t>Sunil CR</t>
        </is>
      </c>
      <c r="G739" s="26" t="inlineStr">
        <is>
          <t>Yes</t>
        </is>
      </c>
      <c r="H739" s="26" t="inlineStr">
        <is>
          <t>No</t>
        </is>
      </c>
      <c r="I739" s="26" t="inlineStr">
        <is>
          <t>Good finish</t>
        </is>
      </c>
      <c r="J739" s="26" t="inlineStr">
        <is>
          <t>Yes</t>
        </is>
      </c>
      <c r="K739" s="27" t="n"/>
      <c r="L739" s="28" t="inlineStr">
        <is>
          <t>No</t>
        </is>
      </c>
      <c r="M739" s="29">
        <f>IF(E739="","",IF(H739="Yes","❌ Disc",IF(G739="No","⚠ Missing",IF(J739="Yes","✓ OK","⚠ Check"))))</f>
        <v/>
      </c>
      <c r="N739" s="43" t="n">
        <v>46193</v>
      </c>
      <c r="O739" s="26" t="inlineStr">
        <is>
          <t>Sunil CR</t>
        </is>
      </c>
      <c r="P739" s="26" t="inlineStr">
        <is>
          <t>Yes</t>
        </is>
      </c>
      <c r="Q739" s="26" t="inlineStr">
        <is>
          <t>No</t>
        </is>
      </c>
      <c r="R739" s="26" t="inlineStr">
        <is>
          <t>Good finish</t>
        </is>
      </c>
      <c r="S739" s="26" t="inlineStr">
        <is>
          <t>Yes</t>
        </is>
      </c>
      <c r="T739" s="27" t="n"/>
      <c r="U739" s="28" t="inlineStr">
        <is>
          <t>No</t>
        </is>
      </c>
      <c r="V739" s="29">
        <f>IF(N739="","",IF(Q739="Yes","❌ Disc",IF(P739="No","⚠ Missing",IF(S739="Yes","✓ OK","⚠ Check"))))</f>
        <v/>
      </c>
      <c r="W739" s="65" t="n">
        <v>46248</v>
      </c>
      <c r="X739" s="30" t="inlineStr">
        <is>
          <t>Sunil CR</t>
        </is>
      </c>
      <c r="Y739" s="30" t="inlineStr">
        <is>
          <t>Yes</t>
        </is>
      </c>
      <c r="Z739" s="30" t="n"/>
      <c r="AA739" s="30" t="inlineStr">
        <is>
          <t>Good finish</t>
        </is>
      </c>
      <c r="AB739" s="30" t="inlineStr">
        <is>
          <t>Yes</t>
        </is>
      </c>
      <c r="AC739" s="27" t="n"/>
      <c r="AD739" s="31" t="inlineStr">
        <is>
          <t>No</t>
        </is>
      </c>
      <c r="AE739" s="32">
        <f>IF(W739="","",IF(Z739="Yes","❌ Disc",IF(Y739="No","⚠ Missing",IF(AB739="Yes","✓ OK","⚠ Check"))))</f>
        <v/>
      </c>
      <c r="AF739" s="33" t="n"/>
      <c r="AG739" s="33" t="n"/>
      <c r="AH739" s="33" t="n"/>
      <c r="AI739" s="33" t="n"/>
      <c r="AJ739" s="33" t="n"/>
      <c r="AK739" s="33" t="n"/>
      <c r="AL739" s="27" t="n"/>
      <c r="AM739" s="34" t="n"/>
      <c r="AN739" s="35">
        <f>IF(AF739="","",IF(AI739="Yes","❌ Disc",IF(AH739="No","⚠ Missing",IF(AK739="Yes","✓ OK","⚠ Check"))))</f>
        <v/>
      </c>
      <c r="AO739" s="36" t="n"/>
      <c r="AP739" s="36" t="n"/>
      <c r="AQ739" s="36" t="n"/>
      <c r="AR739" s="36" t="n"/>
      <c r="AS739" s="36" t="n"/>
      <c r="AT739" s="36" t="n"/>
      <c r="AU739" s="27" t="n"/>
      <c r="AV739" s="37" t="n"/>
      <c r="AW739" s="38">
        <f>IF(AO739="","",IF(AR739="Yes","❌ Disc",IF(AQ739="No","⚠ Missing",IF(AT739="Yes","✓ OK","⚠ Check"))))</f>
        <v/>
      </c>
    </row>
    <row r="740" ht="18" customHeight="1" s="46">
      <c r="A740" s="39" t="n">
        <v>736</v>
      </c>
      <c r="B740" s="40" t="inlineStr">
        <is>
          <t>WP LNCCN1107339</t>
        </is>
      </c>
      <c r="C740" s="41" t="inlineStr">
        <is>
          <t>Life n Colors - Floral Pattern with Blue Background Themed Wallpaper for Walls  -  Canvas - a texture paper</t>
        </is>
      </c>
      <c r="D740" s="39" t="inlineStr">
        <is>
          <t>Life n Colors</t>
        </is>
      </c>
      <c r="E740" s="43" t="n">
        <v>46126</v>
      </c>
      <c r="F740" s="26" t="inlineStr">
        <is>
          <t>Sunil CR</t>
        </is>
      </c>
      <c r="G740" s="26" t="inlineStr">
        <is>
          <t>Yes</t>
        </is>
      </c>
      <c r="H740" s="26" t="inlineStr">
        <is>
          <t>No</t>
        </is>
      </c>
      <c r="I740" s="26" t="inlineStr">
        <is>
          <t>Good finish</t>
        </is>
      </c>
      <c r="J740" s="26" t="inlineStr">
        <is>
          <t>Yes</t>
        </is>
      </c>
      <c r="K740" s="27" t="n"/>
      <c r="L740" s="28" t="inlineStr">
        <is>
          <t>No</t>
        </is>
      </c>
      <c r="M740" s="29">
        <f>IF(E740="","",IF(H740="Yes","❌ Disc",IF(G740="No","⚠ Missing",IF(J740="Yes","✓ OK","⚠ Check"))))</f>
        <v/>
      </c>
      <c r="N740" s="43" t="n">
        <v>46193</v>
      </c>
      <c r="O740" s="26" t="inlineStr">
        <is>
          <t>Sunil CR</t>
        </is>
      </c>
      <c r="P740" s="26" t="inlineStr">
        <is>
          <t>Yes</t>
        </is>
      </c>
      <c r="Q740" s="26" t="inlineStr">
        <is>
          <t>No</t>
        </is>
      </c>
      <c r="R740" s="26" t="inlineStr">
        <is>
          <t>Good finish</t>
        </is>
      </c>
      <c r="S740" s="26" t="inlineStr">
        <is>
          <t>Yes</t>
        </is>
      </c>
      <c r="T740" s="27" t="n"/>
      <c r="U740" s="28" t="inlineStr">
        <is>
          <t>No</t>
        </is>
      </c>
      <c r="V740" s="29">
        <f>IF(N740="","",IF(Q740="Yes","❌ Disc",IF(P740="No","⚠ Missing",IF(S740="Yes","✓ OK","⚠ Check"))))</f>
        <v/>
      </c>
      <c r="W740" s="65" t="n">
        <v>46248</v>
      </c>
      <c r="X740" s="30" t="inlineStr">
        <is>
          <t>Sunil CR</t>
        </is>
      </c>
      <c r="Y740" s="30" t="inlineStr">
        <is>
          <t>Yes</t>
        </is>
      </c>
      <c r="Z740" s="30" t="n"/>
      <c r="AA740" s="30" t="inlineStr">
        <is>
          <t>Good finish</t>
        </is>
      </c>
      <c r="AB740" s="30" t="inlineStr">
        <is>
          <t>Yes</t>
        </is>
      </c>
      <c r="AC740" s="27" t="n"/>
      <c r="AD740" s="31" t="inlineStr">
        <is>
          <t>No</t>
        </is>
      </c>
      <c r="AE740" s="32">
        <f>IF(W740="","",IF(Z740="Yes","❌ Disc",IF(Y740="No","⚠ Missing",IF(AB740="Yes","✓ OK","⚠ Check"))))</f>
        <v/>
      </c>
      <c r="AF740" s="33" t="n"/>
      <c r="AG740" s="33" t="n"/>
      <c r="AH740" s="33" t="n"/>
      <c r="AI740" s="33" t="n"/>
      <c r="AJ740" s="33" t="n"/>
      <c r="AK740" s="33" t="n"/>
      <c r="AL740" s="27" t="n"/>
      <c r="AM740" s="34" t="n"/>
      <c r="AN740" s="35">
        <f>IF(AF740="","",IF(AI740="Yes","❌ Disc",IF(AH740="No","⚠ Missing",IF(AK740="Yes","✓ OK","⚠ Check"))))</f>
        <v/>
      </c>
      <c r="AO740" s="36" t="n"/>
      <c r="AP740" s="36" t="n"/>
      <c r="AQ740" s="36" t="n"/>
      <c r="AR740" s="36" t="n"/>
      <c r="AS740" s="36" t="n"/>
      <c r="AT740" s="36" t="n"/>
      <c r="AU740" s="27" t="n"/>
      <c r="AV740" s="37" t="n"/>
      <c r="AW740" s="38">
        <f>IF(AO740="","",IF(AR740="Yes","❌ Disc",IF(AQ740="No","⚠ Missing",IF(AT740="Yes","✓ OK","⚠ Check"))))</f>
        <v/>
      </c>
    </row>
    <row r="741" ht="18" customHeight="1" s="46">
      <c r="A741" s="23" t="n">
        <v>737</v>
      </c>
      <c r="B741" s="24" t="inlineStr">
        <is>
          <t>WP LNCSF1107339</t>
        </is>
      </c>
      <c r="C741" s="25" t="inlineStr">
        <is>
          <t>Life n Colors - Floral Pattern with Blue Background Themed Wallpaper for Walls  - Non-woven - a soft feel paper</t>
        </is>
      </c>
      <c r="D741" s="23" t="inlineStr">
        <is>
          <t>Life n Colors</t>
        </is>
      </c>
      <c r="E741" s="43" t="n">
        <v>46126</v>
      </c>
      <c r="F741" s="26" t="inlineStr">
        <is>
          <t>Sunil CR</t>
        </is>
      </c>
      <c r="G741" s="26" t="inlineStr">
        <is>
          <t>Yes</t>
        </is>
      </c>
      <c r="H741" s="26" t="inlineStr">
        <is>
          <t>No</t>
        </is>
      </c>
      <c r="I741" s="26" t="inlineStr">
        <is>
          <t>Good finish</t>
        </is>
      </c>
      <c r="J741" s="26" t="inlineStr">
        <is>
          <t>Yes</t>
        </is>
      </c>
      <c r="K741" s="27" t="n"/>
      <c r="L741" s="28" t="inlineStr">
        <is>
          <t>No</t>
        </is>
      </c>
      <c r="M741" s="29">
        <f>IF(E741="","",IF(H741="Yes","❌ Disc",IF(G741="No","⚠ Missing",IF(J741="Yes","✓ OK","⚠ Check"))))</f>
        <v/>
      </c>
      <c r="N741" s="43" t="n">
        <v>46193</v>
      </c>
      <c r="O741" s="26" t="inlineStr">
        <is>
          <t>Sunil CR</t>
        </is>
      </c>
      <c r="P741" s="26" t="inlineStr">
        <is>
          <t>Yes</t>
        </is>
      </c>
      <c r="Q741" s="26" t="inlineStr">
        <is>
          <t>No</t>
        </is>
      </c>
      <c r="R741" s="26" t="inlineStr">
        <is>
          <t>Good finish</t>
        </is>
      </c>
      <c r="S741" s="26" t="inlineStr">
        <is>
          <t>Yes</t>
        </is>
      </c>
      <c r="T741" s="27" t="n"/>
      <c r="U741" s="28" t="inlineStr">
        <is>
          <t>No</t>
        </is>
      </c>
      <c r="V741" s="29">
        <f>IF(N741="","",IF(Q741="Yes","❌ Disc",IF(P741="No","⚠ Missing",IF(S741="Yes","✓ OK","⚠ Check"))))</f>
        <v/>
      </c>
      <c r="W741" s="65" t="n">
        <v>46248</v>
      </c>
      <c r="X741" s="30" t="inlineStr">
        <is>
          <t>Sunil CR</t>
        </is>
      </c>
      <c r="Y741" s="30" t="inlineStr">
        <is>
          <t>Yes</t>
        </is>
      </c>
      <c r="Z741" s="30" t="n"/>
      <c r="AA741" s="30" t="inlineStr">
        <is>
          <t>Good finish</t>
        </is>
      </c>
      <c r="AB741" s="30" t="inlineStr">
        <is>
          <t>Yes</t>
        </is>
      </c>
      <c r="AC741" s="27" t="n"/>
      <c r="AD741" s="31" t="inlineStr">
        <is>
          <t>No</t>
        </is>
      </c>
      <c r="AE741" s="32">
        <f>IF(W741="","",IF(Z741="Yes","❌ Disc",IF(Y741="No","⚠ Missing",IF(AB741="Yes","✓ OK","⚠ Check"))))</f>
        <v/>
      </c>
      <c r="AF741" s="33" t="n"/>
      <c r="AG741" s="33" t="n"/>
      <c r="AH741" s="33" t="n"/>
      <c r="AI741" s="33" t="n"/>
      <c r="AJ741" s="33" t="n"/>
      <c r="AK741" s="33" t="n"/>
      <c r="AL741" s="27" t="n"/>
      <c r="AM741" s="34" t="n"/>
      <c r="AN741" s="35">
        <f>IF(AF741="","",IF(AI741="Yes","❌ Disc",IF(AH741="No","⚠ Missing",IF(AK741="Yes","✓ OK","⚠ Check"))))</f>
        <v/>
      </c>
      <c r="AO741" s="36" t="n"/>
      <c r="AP741" s="36" t="n"/>
      <c r="AQ741" s="36" t="n"/>
      <c r="AR741" s="36" t="n"/>
      <c r="AS741" s="36" t="n"/>
      <c r="AT741" s="36" t="n"/>
      <c r="AU741" s="27" t="n"/>
      <c r="AV741" s="37" t="n"/>
      <c r="AW741" s="38">
        <f>IF(AO741="","",IF(AR741="Yes","❌ Disc",IF(AQ741="No","⚠ Missing",IF(AT741="Yes","✓ OK","⚠ Check"))))</f>
        <v/>
      </c>
    </row>
    <row r="742" ht="18" customHeight="1" s="46">
      <c r="A742" s="39" t="n">
        <v>738</v>
      </c>
      <c r="B742" s="40" t="inlineStr">
        <is>
          <t>WP LNCCN1172487</t>
        </is>
      </c>
      <c r="C742" s="41" t="inlineStr">
        <is>
          <t>Life n Colors - Flower Drawn in Line Art Patten on Pink Background, Room Wallpaper  -  Canvas - a texture paper</t>
        </is>
      </c>
      <c r="D742" s="39" t="inlineStr">
        <is>
          <t>Life n Colors</t>
        </is>
      </c>
      <c r="E742" s="43" t="n">
        <v>46126</v>
      </c>
      <c r="F742" s="26" t="inlineStr">
        <is>
          <t>Sunil CR</t>
        </is>
      </c>
      <c r="G742" s="26" t="inlineStr">
        <is>
          <t>Yes</t>
        </is>
      </c>
      <c r="H742" s="26" t="inlineStr">
        <is>
          <t>No</t>
        </is>
      </c>
      <c r="I742" s="26" t="inlineStr">
        <is>
          <t>Good finish</t>
        </is>
      </c>
      <c r="J742" s="26" t="inlineStr">
        <is>
          <t>Yes</t>
        </is>
      </c>
      <c r="K742" s="27" t="n"/>
      <c r="L742" s="28" t="inlineStr">
        <is>
          <t>No</t>
        </is>
      </c>
      <c r="M742" s="29">
        <f>IF(E742="","",IF(H742="Yes","❌ Disc",IF(G742="No","⚠ Missing",IF(J742="Yes","✓ OK","⚠ Check"))))</f>
        <v/>
      </c>
      <c r="N742" s="43" t="n">
        <v>46193</v>
      </c>
      <c r="O742" s="26" t="inlineStr">
        <is>
          <t>Sunil CR</t>
        </is>
      </c>
      <c r="P742" s="26" t="inlineStr">
        <is>
          <t>Yes</t>
        </is>
      </c>
      <c r="Q742" s="26" t="inlineStr">
        <is>
          <t>No</t>
        </is>
      </c>
      <c r="R742" s="26" t="inlineStr">
        <is>
          <t>Good finish</t>
        </is>
      </c>
      <c r="S742" s="26" t="inlineStr">
        <is>
          <t>Yes</t>
        </is>
      </c>
      <c r="T742" s="27" t="n"/>
      <c r="U742" s="28" t="inlineStr">
        <is>
          <t>No</t>
        </is>
      </c>
      <c r="V742" s="29">
        <f>IF(N742="","",IF(Q742="Yes","❌ Disc",IF(P742="No","⚠ Missing",IF(S742="Yes","✓ OK","⚠ Check"))))</f>
        <v/>
      </c>
      <c r="W742" s="65" t="n">
        <v>46248</v>
      </c>
      <c r="X742" s="30" t="inlineStr">
        <is>
          <t>Sunil CR</t>
        </is>
      </c>
      <c r="Y742" s="30" t="inlineStr">
        <is>
          <t>Yes</t>
        </is>
      </c>
      <c r="Z742" s="30" t="n"/>
      <c r="AA742" s="30" t="inlineStr">
        <is>
          <t>Good finish</t>
        </is>
      </c>
      <c r="AB742" s="30" t="inlineStr">
        <is>
          <t>Yes</t>
        </is>
      </c>
      <c r="AC742" s="27" t="n"/>
      <c r="AD742" s="31" t="inlineStr">
        <is>
          <t>No</t>
        </is>
      </c>
      <c r="AE742" s="32">
        <f>IF(W742="","",IF(Z742="Yes","❌ Disc",IF(Y742="No","⚠ Missing",IF(AB742="Yes","✓ OK","⚠ Check"))))</f>
        <v/>
      </c>
      <c r="AF742" s="33" t="n"/>
      <c r="AG742" s="33" t="n"/>
      <c r="AH742" s="33" t="n"/>
      <c r="AI742" s="33" t="n"/>
      <c r="AJ742" s="33" t="n"/>
      <c r="AK742" s="33" t="n"/>
      <c r="AL742" s="27" t="n"/>
      <c r="AM742" s="34" t="n"/>
      <c r="AN742" s="35">
        <f>IF(AF742="","",IF(AI742="Yes","❌ Disc",IF(AH742="No","⚠ Missing",IF(AK742="Yes","✓ OK","⚠ Check"))))</f>
        <v/>
      </c>
      <c r="AO742" s="36" t="n"/>
      <c r="AP742" s="36" t="n"/>
      <c r="AQ742" s="36" t="n"/>
      <c r="AR742" s="36" t="n"/>
      <c r="AS742" s="36" t="n"/>
      <c r="AT742" s="36" t="n"/>
      <c r="AU742" s="27" t="n"/>
      <c r="AV742" s="37" t="n"/>
      <c r="AW742" s="38">
        <f>IF(AO742="","",IF(AR742="Yes","❌ Disc",IF(AQ742="No","⚠ Missing",IF(AT742="Yes","✓ OK","⚠ Check"))))</f>
        <v/>
      </c>
    </row>
    <row r="743" ht="18" customHeight="1" s="46">
      <c r="A743" s="23" t="n">
        <v>739</v>
      </c>
      <c r="B743" s="24" t="inlineStr">
        <is>
          <t>WP LNCSF1172487</t>
        </is>
      </c>
      <c r="C743" s="25" t="inlineStr">
        <is>
          <t>Life n Colors - Flower Drawn in Line Art Patten on Pink Background, Room Wallpaper  - Non-woven - a soft feel paper</t>
        </is>
      </c>
      <c r="D743" s="23" t="inlineStr">
        <is>
          <t>Life n Colors</t>
        </is>
      </c>
      <c r="E743" s="43" t="n">
        <v>46126</v>
      </c>
      <c r="F743" s="26" t="inlineStr">
        <is>
          <t>Sunil CR</t>
        </is>
      </c>
      <c r="G743" s="26" t="inlineStr">
        <is>
          <t>Yes</t>
        </is>
      </c>
      <c r="H743" s="26" t="inlineStr">
        <is>
          <t>No</t>
        </is>
      </c>
      <c r="I743" s="26" t="inlineStr">
        <is>
          <t>Good finish</t>
        </is>
      </c>
      <c r="J743" s="26" t="inlineStr">
        <is>
          <t>Yes</t>
        </is>
      </c>
      <c r="K743" s="27" t="n"/>
      <c r="L743" s="28" t="inlineStr">
        <is>
          <t>No</t>
        </is>
      </c>
      <c r="M743" s="29">
        <f>IF(E743="","",IF(H743="Yes","❌ Disc",IF(G743="No","⚠ Missing",IF(J743="Yes","✓ OK","⚠ Check"))))</f>
        <v/>
      </c>
      <c r="N743" s="43" t="n">
        <v>46193</v>
      </c>
      <c r="O743" s="26" t="inlineStr">
        <is>
          <t>Sunil CR</t>
        </is>
      </c>
      <c r="P743" s="26" t="inlineStr">
        <is>
          <t>Yes</t>
        </is>
      </c>
      <c r="Q743" s="26" t="inlineStr">
        <is>
          <t>No</t>
        </is>
      </c>
      <c r="R743" s="26" t="inlineStr">
        <is>
          <t>Good finish</t>
        </is>
      </c>
      <c r="S743" s="26" t="inlineStr">
        <is>
          <t>Yes</t>
        </is>
      </c>
      <c r="T743" s="27" t="n"/>
      <c r="U743" s="28" t="inlineStr">
        <is>
          <t>No</t>
        </is>
      </c>
      <c r="V743" s="29">
        <f>IF(N743="","",IF(Q743="Yes","❌ Disc",IF(P743="No","⚠ Missing",IF(S743="Yes","✓ OK","⚠ Check"))))</f>
        <v/>
      </c>
      <c r="W743" s="65" t="n">
        <v>46248</v>
      </c>
      <c r="X743" s="30" t="inlineStr">
        <is>
          <t>Sunil CR</t>
        </is>
      </c>
      <c r="Y743" s="30" t="inlineStr">
        <is>
          <t>Yes</t>
        </is>
      </c>
      <c r="Z743" s="30" t="n"/>
      <c r="AA743" s="30" t="inlineStr">
        <is>
          <t>Good finish</t>
        </is>
      </c>
      <c r="AB743" s="30" t="inlineStr">
        <is>
          <t>Yes</t>
        </is>
      </c>
      <c r="AC743" s="27" t="n"/>
      <c r="AD743" s="31" t="inlineStr">
        <is>
          <t>No</t>
        </is>
      </c>
      <c r="AE743" s="32">
        <f>IF(W743="","",IF(Z743="Yes","❌ Disc",IF(Y743="No","⚠ Missing",IF(AB743="Yes","✓ OK","⚠ Check"))))</f>
        <v/>
      </c>
      <c r="AF743" s="33" t="n"/>
      <c r="AG743" s="33" t="n"/>
      <c r="AH743" s="33" t="n"/>
      <c r="AI743" s="33" t="n"/>
      <c r="AJ743" s="33" t="n"/>
      <c r="AK743" s="33" t="n"/>
      <c r="AL743" s="27" t="n"/>
      <c r="AM743" s="34" t="n"/>
      <c r="AN743" s="35">
        <f>IF(AF743="","",IF(AI743="Yes","❌ Disc",IF(AH743="No","⚠ Missing",IF(AK743="Yes","✓ OK","⚠ Check"))))</f>
        <v/>
      </c>
      <c r="AO743" s="36" t="n"/>
      <c r="AP743" s="36" t="n"/>
      <c r="AQ743" s="36" t="n"/>
      <c r="AR743" s="36" t="n"/>
      <c r="AS743" s="36" t="n"/>
      <c r="AT743" s="36" t="n"/>
      <c r="AU743" s="27" t="n"/>
      <c r="AV743" s="37" t="n"/>
      <c r="AW743" s="38">
        <f>IF(AO743="","",IF(AR743="Yes","❌ Disc",IF(AQ743="No","⚠ Missing",IF(AT743="Yes","✓ OK","⚠ Check"))))</f>
        <v/>
      </c>
    </row>
    <row r="744" ht="18" customHeight="1" s="46">
      <c r="A744" s="39" t="n">
        <v>740</v>
      </c>
      <c r="B744" s="40" t="inlineStr">
        <is>
          <t>WP LNCCN1119380</t>
        </is>
      </c>
      <c r="C744" s="41" t="inlineStr">
        <is>
          <t>Life n Colors - Flower Vase Painting Wallpaper  -  Canvas - a texture paper</t>
        </is>
      </c>
      <c r="D744" s="39" t="inlineStr">
        <is>
          <t>Life n Colors</t>
        </is>
      </c>
      <c r="E744" s="43" t="n">
        <v>46126</v>
      </c>
      <c r="F744" s="26" t="inlineStr">
        <is>
          <t>Sunil CR</t>
        </is>
      </c>
      <c r="G744" s="26" t="inlineStr">
        <is>
          <t>Yes</t>
        </is>
      </c>
      <c r="H744" s="26" t="inlineStr">
        <is>
          <t>No</t>
        </is>
      </c>
      <c r="I744" s="26" t="inlineStr">
        <is>
          <t>Good finish</t>
        </is>
      </c>
      <c r="J744" s="26" t="inlineStr">
        <is>
          <t>Yes</t>
        </is>
      </c>
      <c r="K744" s="27" t="n"/>
      <c r="L744" s="28" t="inlineStr">
        <is>
          <t>No</t>
        </is>
      </c>
      <c r="M744" s="29">
        <f>IF(E744="","",IF(H744="Yes","❌ Disc",IF(G744="No","⚠ Missing",IF(J744="Yes","✓ OK","⚠ Check"))))</f>
        <v/>
      </c>
      <c r="N744" s="43" t="n">
        <v>46193</v>
      </c>
      <c r="O744" s="26" t="inlineStr">
        <is>
          <t>Sunil CR</t>
        </is>
      </c>
      <c r="P744" s="26" t="inlineStr">
        <is>
          <t>Yes</t>
        </is>
      </c>
      <c r="Q744" s="26" t="inlineStr">
        <is>
          <t>No</t>
        </is>
      </c>
      <c r="R744" s="26" t="inlineStr">
        <is>
          <t>Good finish</t>
        </is>
      </c>
      <c r="S744" s="26" t="inlineStr">
        <is>
          <t>Yes</t>
        </is>
      </c>
      <c r="T744" s="27" t="n"/>
      <c r="U744" s="28" t="inlineStr">
        <is>
          <t>No</t>
        </is>
      </c>
      <c r="V744" s="29">
        <f>IF(N744="","",IF(Q744="Yes","❌ Disc",IF(P744="No","⚠ Missing",IF(S744="Yes","✓ OK","⚠ Check"))))</f>
        <v/>
      </c>
      <c r="W744" s="65" t="n">
        <v>46248</v>
      </c>
      <c r="X744" s="30" t="inlineStr">
        <is>
          <t>Sunil CR</t>
        </is>
      </c>
      <c r="Y744" s="30" t="inlineStr">
        <is>
          <t>Yes</t>
        </is>
      </c>
      <c r="Z744" s="30" t="n"/>
      <c r="AA744" s="30" t="inlineStr">
        <is>
          <t>Good finish</t>
        </is>
      </c>
      <c r="AB744" s="30" t="inlineStr">
        <is>
          <t>Yes</t>
        </is>
      </c>
      <c r="AC744" s="27" t="n"/>
      <c r="AD744" s="31" t="inlineStr">
        <is>
          <t>No</t>
        </is>
      </c>
      <c r="AE744" s="32">
        <f>IF(W744="","",IF(Z744="Yes","❌ Disc",IF(Y744="No","⚠ Missing",IF(AB744="Yes","✓ OK","⚠ Check"))))</f>
        <v/>
      </c>
      <c r="AF744" s="33" t="n"/>
      <c r="AG744" s="33" t="n"/>
      <c r="AH744" s="33" t="n"/>
      <c r="AI744" s="33" t="n"/>
      <c r="AJ744" s="33" t="n"/>
      <c r="AK744" s="33" t="n"/>
      <c r="AL744" s="27" t="n"/>
      <c r="AM744" s="34" t="n"/>
      <c r="AN744" s="35">
        <f>IF(AF744="","",IF(AI744="Yes","❌ Disc",IF(AH744="No","⚠ Missing",IF(AK744="Yes","✓ OK","⚠ Check"))))</f>
        <v/>
      </c>
      <c r="AO744" s="36" t="n"/>
      <c r="AP744" s="36" t="n"/>
      <c r="AQ744" s="36" t="n"/>
      <c r="AR744" s="36" t="n"/>
      <c r="AS744" s="36" t="n"/>
      <c r="AT744" s="36" t="n"/>
      <c r="AU744" s="27" t="n"/>
      <c r="AV744" s="37" t="n"/>
      <c r="AW744" s="38">
        <f>IF(AO744="","",IF(AR744="Yes","❌ Disc",IF(AQ744="No","⚠ Missing",IF(AT744="Yes","✓ OK","⚠ Check"))))</f>
        <v/>
      </c>
    </row>
    <row r="745" ht="18" customHeight="1" s="46">
      <c r="A745" s="23" t="n">
        <v>741</v>
      </c>
      <c r="B745" s="24" t="inlineStr">
        <is>
          <t>WP LNCSF1119380</t>
        </is>
      </c>
      <c r="C745" s="25" t="inlineStr">
        <is>
          <t>Life n Colors - Flower Vase Painting Wallpaper  - Non-woven - a soft feel paper</t>
        </is>
      </c>
      <c r="D745" s="23" t="inlineStr">
        <is>
          <t>Life n Colors</t>
        </is>
      </c>
      <c r="E745" s="43" t="n">
        <v>46126</v>
      </c>
      <c r="F745" s="26" t="inlineStr">
        <is>
          <t>Sunil CR</t>
        </is>
      </c>
      <c r="G745" s="26" t="inlineStr">
        <is>
          <t>Yes</t>
        </is>
      </c>
      <c r="H745" s="26" t="inlineStr">
        <is>
          <t>No</t>
        </is>
      </c>
      <c r="I745" s="26" t="inlineStr">
        <is>
          <t>Good finish</t>
        </is>
      </c>
      <c r="J745" s="26" t="inlineStr">
        <is>
          <t>Yes</t>
        </is>
      </c>
      <c r="K745" s="27" t="n"/>
      <c r="L745" s="28" t="inlineStr">
        <is>
          <t>No</t>
        </is>
      </c>
      <c r="M745" s="29">
        <f>IF(E745="","",IF(H745="Yes","❌ Disc",IF(G745="No","⚠ Missing",IF(J745="Yes","✓ OK","⚠ Check"))))</f>
        <v/>
      </c>
      <c r="N745" s="43" t="n">
        <v>46193</v>
      </c>
      <c r="O745" s="26" t="inlineStr">
        <is>
          <t>Sunil CR</t>
        </is>
      </c>
      <c r="P745" s="26" t="inlineStr">
        <is>
          <t>Yes</t>
        </is>
      </c>
      <c r="Q745" s="26" t="inlineStr">
        <is>
          <t>No</t>
        </is>
      </c>
      <c r="R745" s="26" t="inlineStr">
        <is>
          <t>Good finish</t>
        </is>
      </c>
      <c r="S745" s="26" t="inlineStr">
        <is>
          <t>Yes</t>
        </is>
      </c>
      <c r="T745" s="27" t="n"/>
      <c r="U745" s="28" t="inlineStr">
        <is>
          <t>No</t>
        </is>
      </c>
      <c r="V745" s="29">
        <f>IF(N745="","",IF(Q745="Yes","❌ Disc",IF(P745="No","⚠ Missing",IF(S745="Yes","✓ OK","⚠ Check"))))</f>
        <v/>
      </c>
      <c r="W745" s="65" t="n">
        <v>46248</v>
      </c>
      <c r="X745" s="30" t="inlineStr">
        <is>
          <t>Sunil CR</t>
        </is>
      </c>
      <c r="Y745" s="30" t="inlineStr">
        <is>
          <t>Yes</t>
        </is>
      </c>
      <c r="Z745" s="30" t="n"/>
      <c r="AA745" s="30" t="inlineStr">
        <is>
          <t>Good finish</t>
        </is>
      </c>
      <c r="AB745" s="30" t="inlineStr">
        <is>
          <t>Yes</t>
        </is>
      </c>
      <c r="AC745" s="27" t="n"/>
      <c r="AD745" s="31" t="inlineStr">
        <is>
          <t>No</t>
        </is>
      </c>
      <c r="AE745" s="32">
        <f>IF(W745="","",IF(Z745="Yes","❌ Disc",IF(Y745="No","⚠ Missing",IF(AB745="Yes","✓ OK","⚠ Check"))))</f>
        <v/>
      </c>
      <c r="AF745" s="33" t="n"/>
      <c r="AG745" s="33" t="n"/>
      <c r="AH745" s="33" t="n"/>
      <c r="AI745" s="33" t="n"/>
      <c r="AJ745" s="33" t="n"/>
      <c r="AK745" s="33" t="n"/>
      <c r="AL745" s="27" t="n"/>
      <c r="AM745" s="34" t="n"/>
      <c r="AN745" s="35">
        <f>IF(AF745="","",IF(AI745="Yes","❌ Disc",IF(AH745="No","⚠ Missing",IF(AK745="Yes","✓ OK","⚠ Check"))))</f>
        <v/>
      </c>
      <c r="AO745" s="36" t="n"/>
      <c r="AP745" s="36" t="n"/>
      <c r="AQ745" s="36" t="n"/>
      <c r="AR745" s="36" t="n"/>
      <c r="AS745" s="36" t="n"/>
      <c r="AT745" s="36" t="n"/>
      <c r="AU745" s="27" t="n"/>
      <c r="AV745" s="37" t="n"/>
      <c r="AW745" s="38">
        <f>IF(AO745="","",IF(AR745="Yes","❌ Disc",IF(AQ745="No","⚠ Missing",IF(AT745="Yes","✓ OK","⚠ Check"))))</f>
        <v/>
      </c>
    </row>
    <row r="746" ht="18" customHeight="1" s="46">
      <c r="A746" s="39" t="n">
        <v>742</v>
      </c>
      <c r="B746" s="40" t="inlineStr">
        <is>
          <t>WP LNCCN1011416</t>
        </is>
      </c>
      <c r="C746" s="41" t="inlineStr">
        <is>
          <t>Life n Colors - Flying Animals on Hot Air Balloons Wallpaper Design for Kids  -  Canvas - a texture paper</t>
        </is>
      </c>
      <c r="D746" s="39" t="inlineStr">
        <is>
          <t>Life n Colors</t>
        </is>
      </c>
      <c r="E746" s="43" t="n">
        <v>46126</v>
      </c>
      <c r="F746" s="26" t="inlineStr">
        <is>
          <t>Sunil CR</t>
        </is>
      </c>
      <c r="G746" s="26" t="inlineStr">
        <is>
          <t>Yes</t>
        </is>
      </c>
      <c r="H746" s="26" t="inlineStr">
        <is>
          <t>No</t>
        </is>
      </c>
      <c r="I746" s="26" t="inlineStr">
        <is>
          <t>Good finish</t>
        </is>
      </c>
      <c r="J746" s="26" t="inlineStr">
        <is>
          <t>Yes</t>
        </is>
      </c>
      <c r="K746" s="27" t="n"/>
      <c r="L746" s="28" t="inlineStr">
        <is>
          <t>No</t>
        </is>
      </c>
      <c r="M746" s="29">
        <f>IF(E746="","",IF(H746="Yes","❌ Disc",IF(G746="No","⚠ Missing",IF(J746="Yes","✓ OK","⚠ Check"))))</f>
        <v/>
      </c>
      <c r="N746" s="43" t="n">
        <v>46193</v>
      </c>
      <c r="O746" s="26" t="inlineStr">
        <is>
          <t>Sunil CR</t>
        </is>
      </c>
      <c r="P746" s="26" t="inlineStr">
        <is>
          <t>Yes</t>
        </is>
      </c>
      <c r="Q746" s="26" t="inlineStr">
        <is>
          <t>No</t>
        </is>
      </c>
      <c r="R746" s="26" t="inlineStr">
        <is>
          <t>Good finish</t>
        </is>
      </c>
      <c r="S746" s="26" t="inlineStr">
        <is>
          <t>Yes</t>
        </is>
      </c>
      <c r="T746" s="27" t="n"/>
      <c r="U746" s="28" t="inlineStr">
        <is>
          <t>No</t>
        </is>
      </c>
      <c r="V746" s="29">
        <f>IF(N746="","",IF(Q746="Yes","❌ Disc",IF(P746="No","⚠ Missing",IF(S746="Yes","✓ OK","⚠ Check"))))</f>
        <v/>
      </c>
      <c r="W746" s="65" t="n">
        <v>46248</v>
      </c>
      <c r="X746" s="30" t="inlineStr">
        <is>
          <t>Sunil CR</t>
        </is>
      </c>
      <c r="Y746" s="30" t="inlineStr">
        <is>
          <t>Yes</t>
        </is>
      </c>
      <c r="Z746" s="30" t="n"/>
      <c r="AA746" s="30" t="inlineStr">
        <is>
          <t>Good finish</t>
        </is>
      </c>
      <c r="AB746" s="30" t="inlineStr">
        <is>
          <t>Yes</t>
        </is>
      </c>
      <c r="AC746" s="27" t="n"/>
      <c r="AD746" s="31" t="inlineStr">
        <is>
          <t>No</t>
        </is>
      </c>
      <c r="AE746" s="32">
        <f>IF(W746="","",IF(Z746="Yes","❌ Disc",IF(Y746="No","⚠ Missing",IF(AB746="Yes","✓ OK","⚠ Check"))))</f>
        <v/>
      </c>
      <c r="AF746" s="33" t="n"/>
      <c r="AG746" s="33" t="n"/>
      <c r="AH746" s="33" t="n"/>
      <c r="AI746" s="33" t="n"/>
      <c r="AJ746" s="33" t="n"/>
      <c r="AK746" s="33" t="n"/>
      <c r="AL746" s="27" t="n"/>
      <c r="AM746" s="34" t="n"/>
      <c r="AN746" s="35">
        <f>IF(AF746="","",IF(AI746="Yes","❌ Disc",IF(AH746="No","⚠ Missing",IF(AK746="Yes","✓ OK","⚠ Check"))))</f>
        <v/>
      </c>
      <c r="AO746" s="36" t="n"/>
      <c r="AP746" s="36" t="n"/>
      <c r="AQ746" s="36" t="n"/>
      <c r="AR746" s="36" t="n"/>
      <c r="AS746" s="36" t="n"/>
      <c r="AT746" s="36" t="n"/>
      <c r="AU746" s="27" t="n"/>
      <c r="AV746" s="37" t="n"/>
      <c r="AW746" s="38">
        <f>IF(AO746="","",IF(AR746="Yes","❌ Disc",IF(AQ746="No","⚠ Missing",IF(AT746="Yes","✓ OK","⚠ Check"))))</f>
        <v/>
      </c>
    </row>
    <row r="747" ht="18" customHeight="1" s="46">
      <c r="A747" s="23" t="n">
        <v>743</v>
      </c>
      <c r="B747" s="24" t="inlineStr">
        <is>
          <t>WP LNCSF1011416</t>
        </is>
      </c>
      <c r="C747" s="25" t="inlineStr">
        <is>
          <t>Life n Colors - Flying Animals on Hot Air Balloons Wallpaper Design for Kids  - Non-woven - a soft feel paper</t>
        </is>
      </c>
      <c r="D747" s="23" t="inlineStr">
        <is>
          <t>Life n Colors</t>
        </is>
      </c>
      <c r="E747" s="43" t="n">
        <v>46126</v>
      </c>
      <c r="F747" s="26" t="inlineStr">
        <is>
          <t>Sunil CR</t>
        </is>
      </c>
      <c r="G747" s="26" t="inlineStr">
        <is>
          <t>Yes</t>
        </is>
      </c>
      <c r="H747" s="26" t="inlineStr">
        <is>
          <t>No</t>
        </is>
      </c>
      <c r="I747" s="26" t="inlineStr">
        <is>
          <t>Good finish</t>
        </is>
      </c>
      <c r="J747" s="26" t="inlineStr">
        <is>
          <t>Yes</t>
        </is>
      </c>
      <c r="K747" s="27" t="n"/>
      <c r="L747" s="28" t="inlineStr">
        <is>
          <t>No</t>
        </is>
      </c>
      <c r="M747" s="29">
        <f>IF(E747="","",IF(H747="Yes","❌ Disc",IF(G747="No","⚠ Missing",IF(J747="Yes","✓ OK","⚠ Check"))))</f>
        <v/>
      </c>
      <c r="N747" s="43" t="n">
        <v>46193</v>
      </c>
      <c r="O747" s="26" t="inlineStr">
        <is>
          <t>Sunil CR</t>
        </is>
      </c>
      <c r="P747" s="26" t="inlineStr">
        <is>
          <t>Yes</t>
        </is>
      </c>
      <c r="Q747" s="26" t="inlineStr">
        <is>
          <t>No</t>
        </is>
      </c>
      <c r="R747" s="26" t="inlineStr">
        <is>
          <t>Good finish</t>
        </is>
      </c>
      <c r="S747" s="26" t="inlineStr">
        <is>
          <t>Yes</t>
        </is>
      </c>
      <c r="T747" s="27" t="n"/>
      <c r="U747" s="28" t="inlineStr">
        <is>
          <t>No</t>
        </is>
      </c>
      <c r="V747" s="29">
        <f>IF(N747="","",IF(Q747="Yes","❌ Disc",IF(P747="No","⚠ Missing",IF(S747="Yes","✓ OK","⚠ Check"))))</f>
        <v/>
      </c>
      <c r="W747" s="65" t="n">
        <v>46248</v>
      </c>
      <c r="X747" s="30" t="inlineStr">
        <is>
          <t>Sunil CR</t>
        </is>
      </c>
      <c r="Y747" s="30" t="inlineStr">
        <is>
          <t>Yes</t>
        </is>
      </c>
      <c r="Z747" s="30" t="n"/>
      <c r="AA747" s="30" t="inlineStr">
        <is>
          <t>Good finish</t>
        </is>
      </c>
      <c r="AB747" s="30" t="inlineStr">
        <is>
          <t>Yes</t>
        </is>
      </c>
      <c r="AC747" s="27" t="n"/>
      <c r="AD747" s="31" t="inlineStr">
        <is>
          <t>No</t>
        </is>
      </c>
      <c r="AE747" s="32">
        <f>IF(W747="","",IF(Z747="Yes","❌ Disc",IF(Y747="No","⚠ Missing",IF(AB747="Yes","✓ OK","⚠ Check"))))</f>
        <v/>
      </c>
      <c r="AF747" s="33" t="n"/>
      <c r="AG747" s="33" t="n"/>
      <c r="AH747" s="33" t="n"/>
      <c r="AI747" s="33" t="n"/>
      <c r="AJ747" s="33" t="n"/>
      <c r="AK747" s="33" t="n"/>
      <c r="AL747" s="27" t="n"/>
      <c r="AM747" s="34" t="n"/>
      <c r="AN747" s="35">
        <f>IF(AF747="","",IF(AI747="Yes","❌ Disc",IF(AH747="No","⚠ Missing",IF(AK747="Yes","✓ OK","⚠ Check"))))</f>
        <v/>
      </c>
      <c r="AO747" s="36" t="n"/>
      <c r="AP747" s="36" t="n"/>
      <c r="AQ747" s="36" t="n"/>
      <c r="AR747" s="36" t="n"/>
      <c r="AS747" s="36" t="n"/>
      <c r="AT747" s="36" t="n"/>
      <c r="AU747" s="27" t="n"/>
      <c r="AV747" s="37" t="n"/>
      <c r="AW747" s="38">
        <f>IF(AO747="","",IF(AR747="Yes","❌ Disc",IF(AQ747="No","⚠ Missing",IF(AT747="Yes","✓ OK","⚠ Check"))))</f>
        <v/>
      </c>
    </row>
    <row r="748" ht="18" customHeight="1" s="46">
      <c r="A748" s="39" t="n">
        <v>744</v>
      </c>
      <c r="B748" s="40" t="inlineStr">
        <is>
          <t>WP LNCCN1170177</t>
        </is>
      </c>
      <c r="C748" s="41" t="inlineStr">
        <is>
          <t>Life n Colors - Forest Theme, Beautiful Birds and Animals, Wall Covering For kids Room  -  Canvas - a texture paper</t>
        </is>
      </c>
      <c r="D748" s="39" t="inlineStr">
        <is>
          <t>Life n Colors</t>
        </is>
      </c>
      <c r="E748" s="43" t="n">
        <v>46126</v>
      </c>
      <c r="F748" s="26" t="inlineStr">
        <is>
          <t>Sunil CR</t>
        </is>
      </c>
      <c r="G748" s="26" t="inlineStr">
        <is>
          <t>Yes</t>
        </is>
      </c>
      <c r="H748" s="26" t="inlineStr">
        <is>
          <t>No</t>
        </is>
      </c>
      <c r="I748" s="26" t="inlineStr">
        <is>
          <t>Good finish</t>
        </is>
      </c>
      <c r="J748" s="26" t="inlineStr">
        <is>
          <t>Yes</t>
        </is>
      </c>
      <c r="K748" s="27" t="n"/>
      <c r="L748" s="28" t="inlineStr">
        <is>
          <t>No</t>
        </is>
      </c>
      <c r="M748" s="29">
        <f>IF(E748="","",IF(H748="Yes","❌ Disc",IF(G748="No","⚠ Missing",IF(J748="Yes","✓ OK","⚠ Check"))))</f>
        <v/>
      </c>
      <c r="N748" s="43" t="n">
        <v>46193</v>
      </c>
      <c r="O748" s="26" t="inlineStr">
        <is>
          <t>Sunil CR</t>
        </is>
      </c>
      <c r="P748" s="26" t="inlineStr">
        <is>
          <t>Yes</t>
        </is>
      </c>
      <c r="Q748" s="26" t="inlineStr">
        <is>
          <t>No</t>
        </is>
      </c>
      <c r="R748" s="26" t="inlineStr">
        <is>
          <t>Good finish</t>
        </is>
      </c>
      <c r="S748" s="26" t="inlineStr">
        <is>
          <t>Yes</t>
        </is>
      </c>
      <c r="T748" s="27" t="n"/>
      <c r="U748" s="28" t="inlineStr">
        <is>
          <t>No</t>
        </is>
      </c>
      <c r="V748" s="29">
        <f>IF(N748="","",IF(Q748="Yes","❌ Disc",IF(P748="No","⚠ Missing",IF(S748="Yes","✓ OK","⚠ Check"))))</f>
        <v/>
      </c>
      <c r="W748" s="65" t="n">
        <v>46248</v>
      </c>
      <c r="X748" s="30" t="inlineStr">
        <is>
          <t>Sunil CR</t>
        </is>
      </c>
      <c r="Y748" s="30" t="inlineStr">
        <is>
          <t>Yes</t>
        </is>
      </c>
      <c r="Z748" s="30" t="n"/>
      <c r="AA748" s="30" t="inlineStr">
        <is>
          <t>Good finish</t>
        </is>
      </c>
      <c r="AB748" s="30" t="inlineStr">
        <is>
          <t>Yes</t>
        </is>
      </c>
      <c r="AC748" s="27" t="n"/>
      <c r="AD748" s="31" t="inlineStr">
        <is>
          <t>No</t>
        </is>
      </c>
      <c r="AE748" s="32">
        <f>IF(W748="","",IF(Z748="Yes","❌ Disc",IF(Y748="No","⚠ Missing",IF(AB748="Yes","✓ OK","⚠ Check"))))</f>
        <v/>
      </c>
      <c r="AF748" s="33" t="n"/>
      <c r="AG748" s="33" t="n"/>
      <c r="AH748" s="33" t="n"/>
      <c r="AI748" s="33" t="n"/>
      <c r="AJ748" s="33" t="n"/>
      <c r="AK748" s="33" t="n"/>
      <c r="AL748" s="27" t="n"/>
      <c r="AM748" s="34" t="n"/>
      <c r="AN748" s="35">
        <f>IF(AF748="","",IF(AI748="Yes","❌ Disc",IF(AH748="No","⚠ Missing",IF(AK748="Yes","✓ OK","⚠ Check"))))</f>
        <v/>
      </c>
      <c r="AO748" s="36" t="n"/>
      <c r="AP748" s="36" t="n"/>
      <c r="AQ748" s="36" t="n"/>
      <c r="AR748" s="36" t="n"/>
      <c r="AS748" s="36" t="n"/>
      <c r="AT748" s="36" t="n"/>
      <c r="AU748" s="27" t="n"/>
      <c r="AV748" s="37" t="n"/>
      <c r="AW748" s="38">
        <f>IF(AO748="","",IF(AR748="Yes","❌ Disc",IF(AQ748="No","⚠ Missing",IF(AT748="Yes","✓ OK","⚠ Check"))))</f>
        <v/>
      </c>
    </row>
    <row r="749" ht="18" customHeight="1" s="46">
      <c r="A749" s="23" t="n">
        <v>745</v>
      </c>
      <c r="B749" s="24" t="inlineStr">
        <is>
          <t>WP LNCSF1170177</t>
        </is>
      </c>
      <c r="C749" s="25" t="inlineStr">
        <is>
          <t>Life n Colors - Forest Theme, Beautiful Birds and Animals, Wall Covering For kids Room  - Non-woven - a soft feel paper</t>
        </is>
      </c>
      <c r="D749" s="23" t="inlineStr">
        <is>
          <t>Life n Colors</t>
        </is>
      </c>
      <c r="E749" s="43" t="n">
        <v>46126</v>
      </c>
      <c r="F749" s="26" t="inlineStr">
        <is>
          <t>Sunil CR</t>
        </is>
      </c>
      <c r="G749" s="26" t="inlineStr">
        <is>
          <t>Yes</t>
        </is>
      </c>
      <c r="H749" s="26" t="inlineStr">
        <is>
          <t>No</t>
        </is>
      </c>
      <c r="I749" s="26" t="inlineStr">
        <is>
          <t>Good finish</t>
        </is>
      </c>
      <c r="J749" s="26" t="inlineStr">
        <is>
          <t>Yes</t>
        </is>
      </c>
      <c r="K749" s="27" t="n"/>
      <c r="L749" s="28" t="inlineStr">
        <is>
          <t>No</t>
        </is>
      </c>
      <c r="M749" s="29">
        <f>IF(E749="","",IF(H749="Yes","❌ Disc",IF(G749="No","⚠ Missing",IF(J749="Yes","✓ OK","⚠ Check"))))</f>
        <v/>
      </c>
      <c r="N749" s="43" t="n">
        <v>46193</v>
      </c>
      <c r="O749" s="26" t="inlineStr">
        <is>
          <t>Sunil CR</t>
        </is>
      </c>
      <c r="P749" s="26" t="inlineStr">
        <is>
          <t>Yes</t>
        </is>
      </c>
      <c r="Q749" s="26" t="inlineStr">
        <is>
          <t>No</t>
        </is>
      </c>
      <c r="R749" s="26" t="inlineStr">
        <is>
          <t>Good finish</t>
        </is>
      </c>
      <c r="S749" s="26" t="inlineStr">
        <is>
          <t>Yes</t>
        </is>
      </c>
      <c r="T749" s="27" t="n"/>
      <c r="U749" s="28" t="inlineStr">
        <is>
          <t>No</t>
        </is>
      </c>
      <c r="V749" s="29">
        <f>IF(N749="","",IF(Q749="Yes","❌ Disc",IF(P749="No","⚠ Missing",IF(S749="Yes","✓ OK","⚠ Check"))))</f>
        <v/>
      </c>
      <c r="W749" s="65" t="n">
        <v>46248</v>
      </c>
      <c r="X749" s="30" t="inlineStr">
        <is>
          <t>Sunil CR</t>
        </is>
      </c>
      <c r="Y749" s="30" t="inlineStr">
        <is>
          <t>Yes</t>
        </is>
      </c>
      <c r="Z749" s="30" t="n"/>
      <c r="AA749" s="30" t="inlineStr">
        <is>
          <t>Good finish</t>
        </is>
      </c>
      <c r="AB749" s="30" t="inlineStr">
        <is>
          <t>Yes</t>
        </is>
      </c>
      <c r="AC749" s="27" t="n"/>
      <c r="AD749" s="31" t="inlineStr">
        <is>
          <t>No</t>
        </is>
      </c>
      <c r="AE749" s="32">
        <f>IF(W749="","",IF(Z749="Yes","❌ Disc",IF(Y749="No","⚠ Missing",IF(AB749="Yes","✓ OK","⚠ Check"))))</f>
        <v/>
      </c>
      <c r="AF749" s="33" t="n"/>
      <c r="AG749" s="33" t="n"/>
      <c r="AH749" s="33" t="n"/>
      <c r="AI749" s="33" t="n"/>
      <c r="AJ749" s="33" t="n"/>
      <c r="AK749" s="33" t="n"/>
      <c r="AL749" s="27" t="n"/>
      <c r="AM749" s="34" t="n"/>
      <c r="AN749" s="35">
        <f>IF(AF749="","",IF(AI749="Yes","❌ Disc",IF(AH749="No","⚠ Missing",IF(AK749="Yes","✓ OK","⚠ Check"))))</f>
        <v/>
      </c>
      <c r="AO749" s="36" t="n"/>
      <c r="AP749" s="36" t="n"/>
      <c r="AQ749" s="36" t="n"/>
      <c r="AR749" s="36" t="n"/>
      <c r="AS749" s="36" t="n"/>
      <c r="AT749" s="36" t="n"/>
      <c r="AU749" s="27" t="n"/>
      <c r="AV749" s="37" t="n"/>
      <c r="AW749" s="38">
        <f>IF(AO749="","",IF(AR749="Yes","❌ Disc",IF(AQ749="No","⚠ Missing",IF(AT749="Yes","✓ OK","⚠ Check"))))</f>
        <v/>
      </c>
    </row>
    <row r="750" ht="18" customHeight="1" s="46">
      <c r="A750" s="39" t="n">
        <v>746</v>
      </c>
      <c r="B750" s="40" t="inlineStr">
        <is>
          <t>WP LNCCN388380</t>
        </is>
      </c>
      <c r="C750" s="41" t="inlineStr">
        <is>
          <t>Life n Colors - Frida Kahlo, Modern Room Wallpaper  -  Canvas - a texture paper</t>
        </is>
      </c>
      <c r="D750" s="39" t="inlineStr">
        <is>
          <t>Life n Colors</t>
        </is>
      </c>
      <c r="E750" s="43" t="n">
        <v>46126</v>
      </c>
      <c r="F750" s="26" t="inlineStr">
        <is>
          <t>Sunil CR</t>
        </is>
      </c>
      <c r="G750" s="26" t="inlineStr">
        <is>
          <t>Yes</t>
        </is>
      </c>
      <c r="H750" s="26" t="inlineStr">
        <is>
          <t>No</t>
        </is>
      </c>
      <c r="I750" s="26" t="inlineStr">
        <is>
          <t>Good finish</t>
        </is>
      </c>
      <c r="J750" s="26" t="inlineStr">
        <is>
          <t>Yes</t>
        </is>
      </c>
      <c r="K750" s="27" t="n"/>
      <c r="L750" s="28" t="inlineStr">
        <is>
          <t>No</t>
        </is>
      </c>
      <c r="M750" s="29">
        <f>IF(E750="","",IF(H750="Yes","❌ Disc",IF(G750="No","⚠ Missing",IF(J750="Yes","✓ OK","⚠ Check"))))</f>
        <v/>
      </c>
      <c r="N750" s="43" t="n">
        <v>46193</v>
      </c>
      <c r="O750" s="26" t="inlineStr">
        <is>
          <t>Sunil CR</t>
        </is>
      </c>
      <c r="P750" s="26" t="inlineStr">
        <is>
          <t>Yes</t>
        </is>
      </c>
      <c r="Q750" s="26" t="inlineStr">
        <is>
          <t>No</t>
        </is>
      </c>
      <c r="R750" s="26" t="inlineStr">
        <is>
          <t>Good finish</t>
        </is>
      </c>
      <c r="S750" s="26" t="inlineStr">
        <is>
          <t>Yes</t>
        </is>
      </c>
      <c r="T750" s="27" t="n"/>
      <c r="U750" s="28" t="inlineStr">
        <is>
          <t>No</t>
        </is>
      </c>
      <c r="V750" s="29">
        <f>IF(N750="","",IF(Q750="Yes","❌ Disc",IF(P750="No","⚠ Missing",IF(S750="Yes","✓ OK","⚠ Check"))))</f>
        <v/>
      </c>
      <c r="W750" s="65" t="n">
        <v>46248</v>
      </c>
      <c r="X750" s="30" t="inlineStr">
        <is>
          <t>Sunil CR</t>
        </is>
      </c>
      <c r="Y750" s="30" t="inlineStr">
        <is>
          <t>Yes</t>
        </is>
      </c>
      <c r="Z750" s="30" t="n"/>
      <c r="AA750" s="30" t="inlineStr">
        <is>
          <t>Good finish</t>
        </is>
      </c>
      <c r="AB750" s="30" t="inlineStr">
        <is>
          <t>Yes</t>
        </is>
      </c>
      <c r="AC750" s="27" t="n"/>
      <c r="AD750" s="31" t="inlineStr">
        <is>
          <t>No</t>
        </is>
      </c>
      <c r="AE750" s="32">
        <f>IF(W750="","",IF(Z750="Yes","❌ Disc",IF(Y750="No","⚠ Missing",IF(AB750="Yes","✓ OK","⚠ Check"))))</f>
        <v/>
      </c>
      <c r="AF750" s="33" t="n"/>
      <c r="AG750" s="33" t="n"/>
      <c r="AH750" s="33" t="n"/>
      <c r="AI750" s="33" t="n"/>
      <c r="AJ750" s="33" t="n"/>
      <c r="AK750" s="33" t="n"/>
      <c r="AL750" s="27" t="n"/>
      <c r="AM750" s="34" t="n"/>
      <c r="AN750" s="35">
        <f>IF(AF750="","",IF(AI750="Yes","❌ Disc",IF(AH750="No","⚠ Missing",IF(AK750="Yes","✓ OK","⚠ Check"))))</f>
        <v/>
      </c>
      <c r="AO750" s="36" t="n"/>
      <c r="AP750" s="36" t="n"/>
      <c r="AQ750" s="36" t="n"/>
      <c r="AR750" s="36" t="n"/>
      <c r="AS750" s="36" t="n"/>
      <c r="AT750" s="36" t="n"/>
      <c r="AU750" s="27" t="n"/>
      <c r="AV750" s="37" t="n"/>
      <c r="AW750" s="38">
        <f>IF(AO750="","",IF(AR750="Yes","❌ Disc",IF(AQ750="No","⚠ Missing",IF(AT750="Yes","✓ OK","⚠ Check"))))</f>
        <v/>
      </c>
    </row>
    <row r="751" ht="18" customHeight="1" s="46">
      <c r="A751" s="23" t="n">
        <v>747</v>
      </c>
      <c r="B751" s="24" t="inlineStr">
        <is>
          <t>WP LNCCN348586</t>
        </is>
      </c>
      <c r="C751" s="25" t="inlineStr">
        <is>
          <t>Life n Colors - Fusion Art Theme Wallpaper  -  Canvas - a texture paper</t>
        </is>
      </c>
      <c r="D751" s="23" t="inlineStr">
        <is>
          <t>Life n Colors</t>
        </is>
      </c>
      <c r="E751" s="43" t="n">
        <v>46126</v>
      </c>
      <c r="F751" s="26" t="inlineStr">
        <is>
          <t>Sunil CR</t>
        </is>
      </c>
      <c r="G751" s="26" t="inlineStr">
        <is>
          <t>Yes</t>
        </is>
      </c>
      <c r="H751" s="26" t="inlineStr">
        <is>
          <t>No</t>
        </is>
      </c>
      <c r="I751" s="26" t="inlineStr">
        <is>
          <t>Good finish</t>
        </is>
      </c>
      <c r="J751" s="26" t="inlineStr">
        <is>
          <t>Yes</t>
        </is>
      </c>
      <c r="K751" s="27" t="n"/>
      <c r="L751" s="28" t="inlineStr">
        <is>
          <t>No</t>
        </is>
      </c>
      <c r="M751" s="29">
        <f>IF(E751="","",IF(H751="Yes","❌ Disc",IF(G751="No","⚠ Missing",IF(J751="Yes","✓ OK","⚠ Check"))))</f>
        <v/>
      </c>
      <c r="N751" s="43" t="n">
        <v>46193</v>
      </c>
      <c r="O751" s="26" t="inlineStr">
        <is>
          <t>Sunil CR</t>
        </is>
      </c>
      <c r="P751" s="26" t="inlineStr">
        <is>
          <t>Yes</t>
        </is>
      </c>
      <c r="Q751" s="26" t="inlineStr">
        <is>
          <t>No</t>
        </is>
      </c>
      <c r="R751" s="26" t="inlineStr">
        <is>
          <t>Good finish</t>
        </is>
      </c>
      <c r="S751" s="26" t="inlineStr">
        <is>
          <t>Yes</t>
        </is>
      </c>
      <c r="T751" s="27" t="n"/>
      <c r="U751" s="28" t="inlineStr">
        <is>
          <t>No</t>
        </is>
      </c>
      <c r="V751" s="29">
        <f>IF(N751="","",IF(Q751="Yes","❌ Disc",IF(P751="No","⚠ Missing",IF(S751="Yes","✓ OK","⚠ Check"))))</f>
        <v/>
      </c>
      <c r="W751" s="65" t="n">
        <v>46248</v>
      </c>
      <c r="X751" s="30" t="inlineStr">
        <is>
          <t>Sunil CR</t>
        </is>
      </c>
      <c r="Y751" s="30" t="inlineStr">
        <is>
          <t>Yes</t>
        </is>
      </c>
      <c r="Z751" s="30" t="n"/>
      <c r="AA751" s="30" t="inlineStr">
        <is>
          <t>Good finish</t>
        </is>
      </c>
      <c r="AB751" s="30" t="inlineStr">
        <is>
          <t>Yes</t>
        </is>
      </c>
      <c r="AC751" s="27" t="n"/>
      <c r="AD751" s="31" t="inlineStr">
        <is>
          <t>No</t>
        </is>
      </c>
      <c r="AE751" s="32">
        <f>IF(W751="","",IF(Z751="Yes","❌ Disc",IF(Y751="No","⚠ Missing",IF(AB751="Yes","✓ OK","⚠ Check"))))</f>
        <v/>
      </c>
      <c r="AF751" s="33" t="n"/>
      <c r="AG751" s="33" t="n"/>
      <c r="AH751" s="33" t="n"/>
      <c r="AI751" s="33" t="n"/>
      <c r="AJ751" s="33" t="n"/>
      <c r="AK751" s="33" t="n"/>
      <c r="AL751" s="27" t="n"/>
      <c r="AM751" s="34" t="n"/>
      <c r="AN751" s="35">
        <f>IF(AF751="","",IF(AI751="Yes","❌ Disc",IF(AH751="No","⚠ Missing",IF(AK751="Yes","✓ OK","⚠ Check"))))</f>
        <v/>
      </c>
      <c r="AO751" s="36" t="n"/>
      <c r="AP751" s="36" t="n"/>
      <c r="AQ751" s="36" t="n"/>
      <c r="AR751" s="36" t="n"/>
      <c r="AS751" s="36" t="n"/>
      <c r="AT751" s="36" t="n"/>
      <c r="AU751" s="27" t="n"/>
      <c r="AV751" s="37" t="n"/>
      <c r="AW751" s="38">
        <f>IF(AO751="","",IF(AR751="Yes","❌ Disc",IF(AQ751="No","⚠ Missing",IF(AT751="Yes","✓ OK","⚠ Check"))))</f>
        <v/>
      </c>
    </row>
    <row r="752" ht="18" customHeight="1" s="46">
      <c r="A752" s="39" t="n">
        <v>748</v>
      </c>
      <c r="B752" s="40" t="inlineStr">
        <is>
          <t>WP LNCCN1027993</t>
        </is>
      </c>
      <c r="C752" s="41" t="inlineStr">
        <is>
          <t>Life n Colors - Geometric Abstract Design for Walls, Customised wallpaper  -  Canvas - a texture paper</t>
        </is>
      </c>
      <c r="D752" s="39" t="inlineStr">
        <is>
          <t>Life n Colors</t>
        </is>
      </c>
      <c r="E752" s="43" t="n">
        <v>46126</v>
      </c>
      <c r="F752" s="26" t="inlineStr">
        <is>
          <t>Sunil CR</t>
        </is>
      </c>
      <c r="G752" s="26" t="inlineStr">
        <is>
          <t>Yes</t>
        </is>
      </c>
      <c r="H752" s="26" t="inlineStr">
        <is>
          <t>No</t>
        </is>
      </c>
      <c r="I752" s="26" t="inlineStr">
        <is>
          <t>Good finish</t>
        </is>
      </c>
      <c r="J752" s="26" t="inlineStr">
        <is>
          <t>Yes</t>
        </is>
      </c>
      <c r="K752" s="27" t="n"/>
      <c r="L752" s="28" t="inlineStr">
        <is>
          <t>No</t>
        </is>
      </c>
      <c r="M752" s="29">
        <f>IF(E752="","",IF(H752="Yes","❌ Disc",IF(G752="No","⚠ Missing",IF(J752="Yes","✓ OK","⚠ Check"))))</f>
        <v/>
      </c>
      <c r="N752" s="43" t="n">
        <v>46193</v>
      </c>
      <c r="O752" s="26" t="inlineStr">
        <is>
          <t>Sunil CR</t>
        </is>
      </c>
      <c r="P752" s="26" t="inlineStr">
        <is>
          <t>Yes</t>
        </is>
      </c>
      <c r="Q752" s="26" t="inlineStr">
        <is>
          <t>No</t>
        </is>
      </c>
      <c r="R752" s="26" t="inlineStr">
        <is>
          <t>Good finish</t>
        </is>
      </c>
      <c r="S752" s="26" t="inlineStr">
        <is>
          <t>Yes</t>
        </is>
      </c>
      <c r="T752" s="27" t="n"/>
      <c r="U752" s="28" t="inlineStr">
        <is>
          <t>No</t>
        </is>
      </c>
      <c r="V752" s="29">
        <f>IF(N752="","",IF(Q752="Yes","❌ Disc",IF(P752="No","⚠ Missing",IF(S752="Yes","✓ OK","⚠ Check"))))</f>
        <v/>
      </c>
      <c r="W752" s="65" t="n">
        <v>46248</v>
      </c>
      <c r="X752" s="30" t="inlineStr">
        <is>
          <t>Sunil CR</t>
        </is>
      </c>
      <c r="Y752" s="30" t="inlineStr">
        <is>
          <t>Yes</t>
        </is>
      </c>
      <c r="Z752" s="30" t="n"/>
      <c r="AA752" s="30" t="inlineStr">
        <is>
          <t>Good finish</t>
        </is>
      </c>
      <c r="AB752" s="30" t="inlineStr">
        <is>
          <t>Yes</t>
        </is>
      </c>
      <c r="AC752" s="27" t="n"/>
      <c r="AD752" s="31" t="inlineStr">
        <is>
          <t>No</t>
        </is>
      </c>
      <c r="AE752" s="32">
        <f>IF(W752="","",IF(Z752="Yes","❌ Disc",IF(Y752="No","⚠ Missing",IF(AB752="Yes","✓ OK","⚠ Check"))))</f>
        <v/>
      </c>
      <c r="AF752" s="33" t="n"/>
      <c r="AG752" s="33" t="n"/>
      <c r="AH752" s="33" t="n"/>
      <c r="AI752" s="33" t="n"/>
      <c r="AJ752" s="33" t="n"/>
      <c r="AK752" s="33" t="n"/>
      <c r="AL752" s="27" t="n"/>
      <c r="AM752" s="34" t="n"/>
      <c r="AN752" s="35">
        <f>IF(AF752="","",IF(AI752="Yes","❌ Disc",IF(AH752="No","⚠ Missing",IF(AK752="Yes","✓ OK","⚠ Check"))))</f>
        <v/>
      </c>
      <c r="AO752" s="36" t="n"/>
      <c r="AP752" s="36" t="n"/>
      <c r="AQ752" s="36" t="n"/>
      <c r="AR752" s="36" t="n"/>
      <c r="AS752" s="36" t="n"/>
      <c r="AT752" s="36" t="n"/>
      <c r="AU752" s="27" t="n"/>
      <c r="AV752" s="37" t="n"/>
      <c r="AW752" s="38">
        <f>IF(AO752="","",IF(AR752="Yes","❌ Disc",IF(AQ752="No","⚠ Missing",IF(AT752="Yes","✓ OK","⚠ Check"))))</f>
        <v/>
      </c>
    </row>
    <row r="753" ht="18" customHeight="1" s="46">
      <c r="A753" s="23" t="n">
        <v>749</v>
      </c>
      <c r="B753" s="24" t="inlineStr">
        <is>
          <t>WP LNCSF1027993</t>
        </is>
      </c>
      <c r="C753" s="25" t="inlineStr">
        <is>
          <t>Life n Colors - Geometric Abstract Design for Walls, Customised wallpaper  - Non-woven - a soft feel paper</t>
        </is>
      </c>
      <c r="D753" s="23" t="inlineStr">
        <is>
          <t>Life n Colors</t>
        </is>
      </c>
      <c r="E753" s="43" t="n">
        <v>46126</v>
      </c>
      <c r="F753" s="26" t="inlineStr">
        <is>
          <t>Sunil CR</t>
        </is>
      </c>
      <c r="G753" s="26" t="inlineStr">
        <is>
          <t>Yes</t>
        </is>
      </c>
      <c r="H753" s="26" t="inlineStr">
        <is>
          <t>No</t>
        </is>
      </c>
      <c r="I753" s="26" t="inlineStr">
        <is>
          <t>Good finish</t>
        </is>
      </c>
      <c r="J753" s="26" t="inlineStr">
        <is>
          <t>Yes</t>
        </is>
      </c>
      <c r="K753" s="27" t="n"/>
      <c r="L753" s="28" t="inlineStr">
        <is>
          <t>No</t>
        </is>
      </c>
      <c r="M753" s="29">
        <f>IF(E753="","",IF(H753="Yes","❌ Disc",IF(G753="No","⚠ Missing",IF(J753="Yes","✓ OK","⚠ Check"))))</f>
        <v/>
      </c>
      <c r="N753" s="43" t="n">
        <v>46193</v>
      </c>
      <c r="O753" s="26" t="inlineStr">
        <is>
          <t>Sunil CR</t>
        </is>
      </c>
      <c r="P753" s="26" t="inlineStr">
        <is>
          <t>Yes</t>
        </is>
      </c>
      <c r="Q753" s="26" t="inlineStr">
        <is>
          <t>No</t>
        </is>
      </c>
      <c r="R753" s="26" t="inlineStr">
        <is>
          <t>Good finish</t>
        </is>
      </c>
      <c r="S753" s="26" t="inlineStr">
        <is>
          <t>Yes</t>
        </is>
      </c>
      <c r="T753" s="27" t="n"/>
      <c r="U753" s="28" t="inlineStr">
        <is>
          <t>No</t>
        </is>
      </c>
      <c r="V753" s="29">
        <f>IF(N753="","",IF(Q753="Yes","❌ Disc",IF(P753="No","⚠ Missing",IF(S753="Yes","✓ OK","⚠ Check"))))</f>
        <v/>
      </c>
      <c r="W753" s="65" t="n">
        <v>46248</v>
      </c>
      <c r="X753" s="30" t="inlineStr">
        <is>
          <t>Sunil CR</t>
        </is>
      </c>
      <c r="Y753" s="30" t="inlineStr">
        <is>
          <t>Yes</t>
        </is>
      </c>
      <c r="Z753" s="30" t="n"/>
      <c r="AA753" s="30" t="inlineStr">
        <is>
          <t>Good finish</t>
        </is>
      </c>
      <c r="AB753" s="30" t="inlineStr">
        <is>
          <t>Yes</t>
        </is>
      </c>
      <c r="AC753" s="27" t="n"/>
      <c r="AD753" s="31" t="inlineStr">
        <is>
          <t>No</t>
        </is>
      </c>
      <c r="AE753" s="32">
        <f>IF(W753="","",IF(Z753="Yes","❌ Disc",IF(Y753="No","⚠ Missing",IF(AB753="Yes","✓ OK","⚠ Check"))))</f>
        <v/>
      </c>
      <c r="AF753" s="33" t="n"/>
      <c r="AG753" s="33" t="n"/>
      <c r="AH753" s="33" t="n"/>
      <c r="AI753" s="33" t="n"/>
      <c r="AJ753" s="33" t="n"/>
      <c r="AK753" s="33" t="n"/>
      <c r="AL753" s="27" t="n"/>
      <c r="AM753" s="34" t="n"/>
      <c r="AN753" s="35">
        <f>IF(AF753="","",IF(AI753="Yes","❌ Disc",IF(AH753="No","⚠ Missing",IF(AK753="Yes","✓ OK","⚠ Check"))))</f>
        <v/>
      </c>
      <c r="AO753" s="36" t="n"/>
      <c r="AP753" s="36" t="n"/>
      <c r="AQ753" s="36" t="n"/>
      <c r="AR753" s="36" t="n"/>
      <c r="AS753" s="36" t="n"/>
      <c r="AT753" s="36" t="n"/>
      <c r="AU753" s="27" t="n"/>
      <c r="AV753" s="37" t="n"/>
      <c r="AW753" s="38">
        <f>IF(AO753="","",IF(AR753="Yes","❌ Disc",IF(AQ753="No","⚠ Missing",IF(AT753="Yes","✓ OK","⚠ Check"))))</f>
        <v/>
      </c>
    </row>
    <row r="754" ht="18" customHeight="1" s="46">
      <c r="A754" s="39" t="n">
        <v>750</v>
      </c>
      <c r="B754" s="40" t="inlineStr">
        <is>
          <t>WP LNCCN1196824</t>
        </is>
      </c>
      <c r="C754" s="41" t="inlineStr">
        <is>
          <t>Life n Colors - Girls Room Unicorn Wallpaper in Pastel Shades, Customised  -  Canvas - a texture paper</t>
        </is>
      </c>
      <c r="D754" s="39" t="inlineStr">
        <is>
          <t>Life n Colors</t>
        </is>
      </c>
      <c r="E754" s="43" t="n">
        <v>46126</v>
      </c>
      <c r="F754" s="26" t="inlineStr">
        <is>
          <t>Sunil CR</t>
        </is>
      </c>
      <c r="G754" s="26" t="inlineStr">
        <is>
          <t>Yes</t>
        </is>
      </c>
      <c r="H754" s="26" t="inlineStr">
        <is>
          <t>No</t>
        </is>
      </c>
      <c r="I754" s="26" t="inlineStr">
        <is>
          <t>Good finish</t>
        </is>
      </c>
      <c r="J754" s="26" t="inlineStr">
        <is>
          <t>Yes</t>
        </is>
      </c>
      <c r="K754" s="27" t="n"/>
      <c r="L754" s="28" t="inlineStr">
        <is>
          <t>No</t>
        </is>
      </c>
      <c r="M754" s="29">
        <f>IF(E754="","",IF(H754="Yes","❌ Disc",IF(G754="No","⚠ Missing",IF(J754="Yes","✓ OK","⚠ Check"))))</f>
        <v/>
      </c>
      <c r="N754" s="43" t="n">
        <v>46193</v>
      </c>
      <c r="O754" s="26" t="inlineStr">
        <is>
          <t>Sunil CR</t>
        </is>
      </c>
      <c r="P754" s="26" t="inlineStr">
        <is>
          <t>Yes</t>
        </is>
      </c>
      <c r="Q754" s="26" t="inlineStr">
        <is>
          <t>No</t>
        </is>
      </c>
      <c r="R754" s="26" t="inlineStr">
        <is>
          <t>Good finish</t>
        </is>
      </c>
      <c r="S754" s="26" t="inlineStr">
        <is>
          <t>Yes</t>
        </is>
      </c>
      <c r="T754" s="27" t="n"/>
      <c r="U754" s="28" t="inlineStr">
        <is>
          <t>No</t>
        </is>
      </c>
      <c r="V754" s="29">
        <f>IF(N754="","",IF(Q754="Yes","❌ Disc",IF(P754="No","⚠ Missing",IF(S754="Yes","✓ OK","⚠ Check"))))</f>
        <v/>
      </c>
      <c r="W754" s="65" t="n">
        <v>46248</v>
      </c>
      <c r="X754" s="30" t="inlineStr">
        <is>
          <t>Sunil CR</t>
        </is>
      </c>
      <c r="Y754" s="30" t="inlineStr">
        <is>
          <t>Yes</t>
        </is>
      </c>
      <c r="Z754" s="30" t="n"/>
      <c r="AA754" s="30" t="inlineStr">
        <is>
          <t>Good finish</t>
        </is>
      </c>
      <c r="AB754" s="30" t="inlineStr">
        <is>
          <t>Yes</t>
        </is>
      </c>
      <c r="AC754" s="27" t="n"/>
      <c r="AD754" s="31" t="inlineStr">
        <is>
          <t>No</t>
        </is>
      </c>
      <c r="AE754" s="32">
        <f>IF(W754="","",IF(Z754="Yes","❌ Disc",IF(Y754="No","⚠ Missing",IF(AB754="Yes","✓ OK","⚠ Check"))))</f>
        <v/>
      </c>
      <c r="AF754" s="33" t="n"/>
      <c r="AG754" s="33" t="n"/>
      <c r="AH754" s="33" t="n"/>
      <c r="AI754" s="33" t="n"/>
      <c r="AJ754" s="33" t="n"/>
      <c r="AK754" s="33" t="n"/>
      <c r="AL754" s="27" t="n"/>
      <c r="AM754" s="34" t="n"/>
      <c r="AN754" s="35">
        <f>IF(AF754="","",IF(AI754="Yes","❌ Disc",IF(AH754="No","⚠ Missing",IF(AK754="Yes","✓ OK","⚠ Check"))))</f>
        <v/>
      </c>
      <c r="AO754" s="36" t="n"/>
      <c r="AP754" s="36" t="n"/>
      <c r="AQ754" s="36" t="n"/>
      <c r="AR754" s="36" t="n"/>
      <c r="AS754" s="36" t="n"/>
      <c r="AT754" s="36" t="n"/>
      <c r="AU754" s="27" t="n"/>
      <c r="AV754" s="37" t="n"/>
      <c r="AW754" s="38">
        <f>IF(AO754="","",IF(AR754="Yes","❌ Disc",IF(AQ754="No","⚠ Missing",IF(AT754="Yes","✓ OK","⚠ Check"))))</f>
        <v/>
      </c>
    </row>
    <row r="755" ht="18" customHeight="1" s="46">
      <c r="A755" s="23" t="n">
        <v>751</v>
      </c>
      <c r="B755" s="24" t="inlineStr">
        <is>
          <t>WP LNCSF1196824</t>
        </is>
      </c>
      <c r="C755" s="25" t="inlineStr">
        <is>
          <t>Life n Colors - Girls Room Unicorn Wallpaper in Pastel Shades, Customised  - Non-woven - a soft feel paper</t>
        </is>
      </c>
      <c r="D755" s="23" t="inlineStr">
        <is>
          <t>Life n Colors</t>
        </is>
      </c>
      <c r="E755" s="43" t="n">
        <v>46126</v>
      </c>
      <c r="F755" s="26" t="inlineStr">
        <is>
          <t>Sunil CR</t>
        </is>
      </c>
      <c r="G755" s="26" t="inlineStr">
        <is>
          <t>Yes</t>
        </is>
      </c>
      <c r="H755" s="26" t="inlineStr">
        <is>
          <t>No</t>
        </is>
      </c>
      <c r="I755" s="26" t="inlineStr">
        <is>
          <t>Good finish</t>
        </is>
      </c>
      <c r="J755" s="26" t="inlineStr">
        <is>
          <t>Yes</t>
        </is>
      </c>
      <c r="K755" s="27" t="n"/>
      <c r="L755" s="28" t="inlineStr">
        <is>
          <t>No</t>
        </is>
      </c>
      <c r="M755" s="29">
        <f>IF(E755="","",IF(H755="Yes","❌ Disc",IF(G755="No","⚠ Missing",IF(J755="Yes","✓ OK","⚠ Check"))))</f>
        <v/>
      </c>
      <c r="N755" s="43" t="n">
        <v>46193</v>
      </c>
      <c r="O755" s="26" t="inlineStr">
        <is>
          <t>Sunil CR</t>
        </is>
      </c>
      <c r="P755" s="26" t="inlineStr">
        <is>
          <t>Yes</t>
        </is>
      </c>
      <c r="Q755" s="26" t="inlineStr">
        <is>
          <t>No</t>
        </is>
      </c>
      <c r="R755" s="26" t="inlineStr">
        <is>
          <t>Good finish</t>
        </is>
      </c>
      <c r="S755" s="26" t="inlineStr">
        <is>
          <t>Yes</t>
        </is>
      </c>
      <c r="T755" s="27" t="n"/>
      <c r="U755" s="28" t="inlineStr">
        <is>
          <t>No</t>
        </is>
      </c>
      <c r="V755" s="29">
        <f>IF(N755="","",IF(Q755="Yes","❌ Disc",IF(P755="No","⚠ Missing",IF(S755="Yes","✓ OK","⚠ Check"))))</f>
        <v/>
      </c>
      <c r="W755" s="65" t="n">
        <v>46248</v>
      </c>
      <c r="X755" s="30" t="inlineStr">
        <is>
          <t>Sunil CR</t>
        </is>
      </c>
      <c r="Y755" s="30" t="inlineStr">
        <is>
          <t>Yes</t>
        </is>
      </c>
      <c r="Z755" s="30" t="n"/>
      <c r="AA755" s="30" t="inlineStr">
        <is>
          <t>Good finish</t>
        </is>
      </c>
      <c r="AB755" s="30" t="inlineStr">
        <is>
          <t>Yes</t>
        </is>
      </c>
      <c r="AC755" s="27" t="n"/>
      <c r="AD755" s="31" t="inlineStr">
        <is>
          <t>No</t>
        </is>
      </c>
      <c r="AE755" s="32">
        <f>IF(W755="","",IF(Z755="Yes","❌ Disc",IF(Y755="No","⚠ Missing",IF(AB755="Yes","✓ OK","⚠ Check"))))</f>
        <v/>
      </c>
      <c r="AF755" s="33" t="n"/>
      <c r="AG755" s="33" t="n"/>
      <c r="AH755" s="33" t="n"/>
      <c r="AI755" s="33" t="n"/>
      <c r="AJ755" s="33" t="n"/>
      <c r="AK755" s="33" t="n"/>
      <c r="AL755" s="27" t="n"/>
      <c r="AM755" s="34" t="n"/>
      <c r="AN755" s="35">
        <f>IF(AF755="","",IF(AI755="Yes","❌ Disc",IF(AH755="No","⚠ Missing",IF(AK755="Yes","✓ OK","⚠ Check"))))</f>
        <v/>
      </c>
      <c r="AO755" s="36" t="n"/>
      <c r="AP755" s="36" t="n"/>
      <c r="AQ755" s="36" t="n"/>
      <c r="AR755" s="36" t="n"/>
      <c r="AS755" s="36" t="n"/>
      <c r="AT755" s="36" t="n"/>
      <c r="AU755" s="27" t="n"/>
      <c r="AV755" s="37" t="n"/>
      <c r="AW755" s="38">
        <f>IF(AO755="","",IF(AR755="Yes","❌ Disc",IF(AQ755="No","⚠ Missing",IF(AT755="Yes","✓ OK","⚠ Check"))))</f>
        <v/>
      </c>
    </row>
    <row r="756" ht="18" customHeight="1" s="46">
      <c r="A756" s="39" t="n">
        <v>752</v>
      </c>
      <c r="B756" s="40" t="inlineStr">
        <is>
          <t>WP LNCCN311525</t>
        </is>
      </c>
      <c r="C756" s="41" t="inlineStr">
        <is>
          <t>Life n Colors - Gitanjali, Indian Luxury Design Wallpaper  -  Canvas - a texture paper</t>
        </is>
      </c>
      <c r="D756" s="39" t="inlineStr">
        <is>
          <t>Life n Colors</t>
        </is>
      </c>
      <c r="E756" s="43" t="n">
        <v>46126</v>
      </c>
      <c r="F756" s="26" t="inlineStr">
        <is>
          <t>Sunil CR</t>
        </is>
      </c>
      <c r="G756" s="26" t="inlineStr">
        <is>
          <t>Yes</t>
        </is>
      </c>
      <c r="H756" s="26" t="inlineStr">
        <is>
          <t>No</t>
        </is>
      </c>
      <c r="I756" s="26" t="inlineStr">
        <is>
          <t>Good finish</t>
        </is>
      </c>
      <c r="J756" s="26" t="inlineStr">
        <is>
          <t>Yes</t>
        </is>
      </c>
      <c r="K756" s="27" t="n"/>
      <c r="L756" s="28" t="inlineStr">
        <is>
          <t>No</t>
        </is>
      </c>
      <c r="M756" s="29">
        <f>IF(E756="","",IF(H756="Yes","❌ Disc",IF(G756="No","⚠ Missing",IF(J756="Yes","✓ OK","⚠ Check"))))</f>
        <v/>
      </c>
      <c r="N756" s="43" t="n">
        <v>46193</v>
      </c>
      <c r="O756" s="26" t="inlineStr">
        <is>
          <t>Sunil CR</t>
        </is>
      </c>
      <c r="P756" s="26" t="inlineStr">
        <is>
          <t>Yes</t>
        </is>
      </c>
      <c r="Q756" s="26" t="inlineStr">
        <is>
          <t>No</t>
        </is>
      </c>
      <c r="R756" s="26" t="inlineStr">
        <is>
          <t>Good finish</t>
        </is>
      </c>
      <c r="S756" s="26" t="inlineStr">
        <is>
          <t>Yes</t>
        </is>
      </c>
      <c r="T756" s="27" t="n"/>
      <c r="U756" s="28" t="inlineStr">
        <is>
          <t>No</t>
        </is>
      </c>
      <c r="V756" s="29">
        <f>IF(N756="","",IF(Q756="Yes","❌ Disc",IF(P756="No","⚠ Missing",IF(S756="Yes","✓ OK","⚠ Check"))))</f>
        <v/>
      </c>
      <c r="W756" s="65" t="n">
        <v>46248</v>
      </c>
      <c r="X756" s="30" t="inlineStr">
        <is>
          <t>Sunil CR</t>
        </is>
      </c>
      <c r="Y756" s="30" t="inlineStr">
        <is>
          <t>Yes</t>
        </is>
      </c>
      <c r="Z756" s="30" t="n"/>
      <c r="AA756" s="30" t="inlineStr">
        <is>
          <t>Good finish</t>
        </is>
      </c>
      <c r="AB756" s="30" t="inlineStr">
        <is>
          <t>Yes</t>
        </is>
      </c>
      <c r="AC756" s="27" t="n"/>
      <c r="AD756" s="31" t="inlineStr">
        <is>
          <t>No</t>
        </is>
      </c>
      <c r="AE756" s="32">
        <f>IF(W756="","",IF(Z756="Yes","❌ Disc",IF(Y756="No","⚠ Missing",IF(AB756="Yes","✓ OK","⚠ Check"))))</f>
        <v/>
      </c>
      <c r="AF756" s="33" t="n"/>
      <c r="AG756" s="33" t="n"/>
      <c r="AH756" s="33" t="n"/>
      <c r="AI756" s="33" t="n"/>
      <c r="AJ756" s="33" t="n"/>
      <c r="AK756" s="33" t="n"/>
      <c r="AL756" s="27" t="n"/>
      <c r="AM756" s="34" t="n"/>
      <c r="AN756" s="35">
        <f>IF(AF756="","",IF(AI756="Yes","❌ Disc",IF(AH756="No","⚠ Missing",IF(AK756="Yes","✓ OK","⚠ Check"))))</f>
        <v/>
      </c>
      <c r="AO756" s="36" t="n"/>
      <c r="AP756" s="36" t="n"/>
      <c r="AQ756" s="36" t="n"/>
      <c r="AR756" s="36" t="n"/>
      <c r="AS756" s="36" t="n"/>
      <c r="AT756" s="36" t="n"/>
      <c r="AU756" s="27" t="n"/>
      <c r="AV756" s="37" t="n"/>
      <c r="AW756" s="38">
        <f>IF(AO756="","",IF(AR756="Yes","❌ Disc",IF(AQ756="No","⚠ Missing",IF(AT756="Yes","✓ OK","⚠ Check"))))</f>
        <v/>
      </c>
    </row>
    <row r="757" ht="18" customHeight="1" s="46">
      <c r="A757" s="23" t="n">
        <v>753</v>
      </c>
      <c r="B757" s="24" t="inlineStr">
        <is>
          <t>WP LNCCN1158106</t>
        </is>
      </c>
      <c r="C757" s="25" t="inlineStr">
        <is>
          <t>Life n Colors - Glider Theme Wallpaper for Walls  -  Canvas - a texture paper</t>
        </is>
      </c>
      <c r="D757" s="23" t="inlineStr">
        <is>
          <t>Life n Colors</t>
        </is>
      </c>
      <c r="E757" s="43" t="n">
        <v>46126</v>
      </c>
      <c r="F757" s="26" t="inlineStr">
        <is>
          <t>Sunil CR</t>
        </is>
      </c>
      <c r="G757" s="26" t="inlineStr">
        <is>
          <t>Yes</t>
        </is>
      </c>
      <c r="H757" s="26" t="inlineStr">
        <is>
          <t>No</t>
        </is>
      </c>
      <c r="I757" s="26" t="inlineStr">
        <is>
          <t>Good finish</t>
        </is>
      </c>
      <c r="J757" s="26" t="inlineStr">
        <is>
          <t>Yes</t>
        </is>
      </c>
      <c r="K757" s="27" t="n"/>
      <c r="L757" s="28" t="inlineStr">
        <is>
          <t>No</t>
        </is>
      </c>
      <c r="M757" s="29">
        <f>IF(E757="","",IF(H757="Yes","❌ Disc",IF(G757="No","⚠ Missing",IF(J757="Yes","✓ OK","⚠ Check"))))</f>
        <v/>
      </c>
      <c r="N757" s="43" t="n">
        <v>46193</v>
      </c>
      <c r="O757" s="26" t="inlineStr">
        <is>
          <t>Sunil CR</t>
        </is>
      </c>
      <c r="P757" s="26" t="inlineStr">
        <is>
          <t>Yes</t>
        </is>
      </c>
      <c r="Q757" s="26" t="inlineStr">
        <is>
          <t>No</t>
        </is>
      </c>
      <c r="R757" s="26" t="inlineStr">
        <is>
          <t>Good finish</t>
        </is>
      </c>
      <c r="S757" s="26" t="inlineStr">
        <is>
          <t>Yes</t>
        </is>
      </c>
      <c r="T757" s="27" t="n"/>
      <c r="U757" s="28" t="inlineStr">
        <is>
          <t>No</t>
        </is>
      </c>
      <c r="V757" s="29">
        <f>IF(N757="","",IF(Q757="Yes","❌ Disc",IF(P757="No","⚠ Missing",IF(S757="Yes","✓ OK","⚠ Check"))))</f>
        <v/>
      </c>
      <c r="W757" s="65" t="n">
        <v>46248</v>
      </c>
      <c r="X757" s="30" t="inlineStr">
        <is>
          <t>Sunil CR</t>
        </is>
      </c>
      <c r="Y757" s="30" t="inlineStr">
        <is>
          <t>Yes</t>
        </is>
      </c>
      <c r="Z757" s="30" t="n"/>
      <c r="AA757" s="30" t="inlineStr">
        <is>
          <t>Good finish</t>
        </is>
      </c>
      <c r="AB757" s="30" t="inlineStr">
        <is>
          <t>Yes</t>
        </is>
      </c>
      <c r="AC757" s="27" t="n"/>
      <c r="AD757" s="31" t="inlineStr">
        <is>
          <t>No</t>
        </is>
      </c>
      <c r="AE757" s="32">
        <f>IF(W757="","",IF(Z757="Yes","❌ Disc",IF(Y757="No","⚠ Missing",IF(AB757="Yes","✓ OK","⚠ Check"))))</f>
        <v/>
      </c>
      <c r="AF757" s="33" t="n"/>
      <c r="AG757" s="33" t="n"/>
      <c r="AH757" s="33" t="n"/>
      <c r="AI757" s="33" t="n"/>
      <c r="AJ757" s="33" t="n"/>
      <c r="AK757" s="33" t="n"/>
      <c r="AL757" s="27" t="n"/>
      <c r="AM757" s="34" t="n"/>
      <c r="AN757" s="35">
        <f>IF(AF757="","",IF(AI757="Yes","❌ Disc",IF(AH757="No","⚠ Missing",IF(AK757="Yes","✓ OK","⚠ Check"))))</f>
        <v/>
      </c>
      <c r="AO757" s="36" t="n"/>
      <c r="AP757" s="36" t="n"/>
      <c r="AQ757" s="36" t="n"/>
      <c r="AR757" s="36" t="n"/>
      <c r="AS757" s="36" t="n"/>
      <c r="AT757" s="36" t="n"/>
      <c r="AU757" s="27" t="n"/>
      <c r="AV757" s="37" t="n"/>
      <c r="AW757" s="38">
        <f>IF(AO757="","",IF(AR757="Yes","❌ Disc",IF(AQ757="No","⚠ Missing",IF(AT757="Yes","✓ OK","⚠ Check"))))</f>
        <v/>
      </c>
    </row>
    <row r="758" ht="18" customHeight="1" s="46">
      <c r="A758" s="39" t="n">
        <v>754</v>
      </c>
      <c r="B758" s="40" t="inlineStr">
        <is>
          <t>WP LNCSF1158106</t>
        </is>
      </c>
      <c r="C758" s="41" t="inlineStr">
        <is>
          <t>Life n Colors - Glider Theme Wallpaper for Walls  - Non-woven - a soft feel paper</t>
        </is>
      </c>
      <c r="D758" s="39" t="inlineStr">
        <is>
          <t>Life n Colors</t>
        </is>
      </c>
      <c r="E758" s="43" t="n">
        <v>46126</v>
      </c>
      <c r="F758" s="26" t="inlineStr">
        <is>
          <t>Sunil CR</t>
        </is>
      </c>
      <c r="G758" s="26" t="inlineStr">
        <is>
          <t>Yes</t>
        </is>
      </c>
      <c r="H758" s="26" t="inlineStr">
        <is>
          <t>No</t>
        </is>
      </c>
      <c r="I758" s="26" t="inlineStr">
        <is>
          <t>Good finish</t>
        </is>
      </c>
      <c r="J758" s="26" t="inlineStr">
        <is>
          <t>Yes</t>
        </is>
      </c>
      <c r="K758" s="27" t="n"/>
      <c r="L758" s="28" t="inlineStr">
        <is>
          <t>No</t>
        </is>
      </c>
      <c r="M758" s="29">
        <f>IF(E758="","",IF(H758="Yes","❌ Disc",IF(G758="No","⚠ Missing",IF(J758="Yes","✓ OK","⚠ Check"))))</f>
        <v/>
      </c>
      <c r="N758" s="43" t="n">
        <v>46193</v>
      </c>
      <c r="O758" s="26" t="inlineStr">
        <is>
          <t>Sunil CR</t>
        </is>
      </c>
      <c r="P758" s="26" t="inlineStr">
        <is>
          <t>Yes</t>
        </is>
      </c>
      <c r="Q758" s="26" t="inlineStr">
        <is>
          <t>No</t>
        </is>
      </c>
      <c r="R758" s="26" t="inlineStr">
        <is>
          <t>Good finish</t>
        </is>
      </c>
      <c r="S758" s="26" t="inlineStr">
        <is>
          <t>Yes</t>
        </is>
      </c>
      <c r="T758" s="27" t="n"/>
      <c r="U758" s="28" t="inlineStr">
        <is>
          <t>No</t>
        </is>
      </c>
      <c r="V758" s="29">
        <f>IF(N758="","",IF(Q758="Yes","❌ Disc",IF(P758="No","⚠ Missing",IF(S758="Yes","✓ OK","⚠ Check"))))</f>
        <v/>
      </c>
      <c r="W758" s="65" t="n">
        <v>46248</v>
      </c>
      <c r="X758" s="30" t="inlineStr">
        <is>
          <t>Sunil CR</t>
        </is>
      </c>
      <c r="Y758" s="30" t="inlineStr">
        <is>
          <t>Yes</t>
        </is>
      </c>
      <c r="Z758" s="30" t="n"/>
      <c r="AA758" s="30" t="inlineStr">
        <is>
          <t>Good finish</t>
        </is>
      </c>
      <c r="AB758" s="30" t="inlineStr">
        <is>
          <t>Yes</t>
        </is>
      </c>
      <c r="AC758" s="27" t="n"/>
      <c r="AD758" s="31" t="inlineStr">
        <is>
          <t>No</t>
        </is>
      </c>
      <c r="AE758" s="32">
        <f>IF(W758="","",IF(Z758="Yes","❌ Disc",IF(Y758="No","⚠ Missing",IF(AB758="Yes","✓ OK","⚠ Check"))))</f>
        <v/>
      </c>
      <c r="AF758" s="33" t="n"/>
      <c r="AG758" s="33" t="n"/>
      <c r="AH758" s="33" t="n"/>
      <c r="AI758" s="33" t="n"/>
      <c r="AJ758" s="33" t="n"/>
      <c r="AK758" s="33" t="n"/>
      <c r="AL758" s="27" t="n"/>
      <c r="AM758" s="34" t="n"/>
      <c r="AN758" s="35">
        <f>IF(AF758="","",IF(AI758="Yes","❌ Disc",IF(AH758="No","⚠ Missing",IF(AK758="Yes","✓ OK","⚠ Check"))))</f>
        <v/>
      </c>
      <c r="AO758" s="36" t="n"/>
      <c r="AP758" s="36" t="n"/>
      <c r="AQ758" s="36" t="n"/>
      <c r="AR758" s="36" t="n"/>
      <c r="AS758" s="36" t="n"/>
      <c r="AT758" s="36" t="n"/>
      <c r="AU758" s="27" t="n"/>
      <c r="AV758" s="37" t="n"/>
      <c r="AW758" s="38">
        <f>IF(AO758="","",IF(AR758="Yes","❌ Disc",IF(AQ758="No","⚠ Missing",IF(AT758="Yes","✓ OK","⚠ Check"))))</f>
        <v/>
      </c>
    </row>
    <row r="759" ht="18" customHeight="1" s="46">
      <c r="A759" s="23" t="n">
        <v>755</v>
      </c>
      <c r="B759" s="24" t="inlineStr">
        <is>
          <t>WP LNCCN1089396</t>
        </is>
      </c>
      <c r="C759" s="25" t="inlineStr">
        <is>
          <t>Life n Colors - Gold Stripes with Textured Colors Design Wallpaper  -  Canvas - a texture paper</t>
        </is>
      </c>
      <c r="D759" s="23" t="inlineStr">
        <is>
          <t>Life n Colors</t>
        </is>
      </c>
      <c r="E759" s="43" t="n">
        <v>46126</v>
      </c>
      <c r="F759" s="26" t="inlineStr">
        <is>
          <t>Sunil CR</t>
        </is>
      </c>
      <c r="G759" s="26" t="inlineStr">
        <is>
          <t>Yes</t>
        </is>
      </c>
      <c r="H759" s="26" t="inlineStr">
        <is>
          <t>No</t>
        </is>
      </c>
      <c r="I759" s="26" t="inlineStr">
        <is>
          <t>Good finish</t>
        </is>
      </c>
      <c r="J759" s="26" t="inlineStr">
        <is>
          <t>Yes</t>
        </is>
      </c>
      <c r="K759" s="27" t="n"/>
      <c r="L759" s="28" t="inlineStr">
        <is>
          <t>No</t>
        </is>
      </c>
      <c r="M759" s="29">
        <f>IF(E759="","",IF(H759="Yes","❌ Disc",IF(G759="No","⚠ Missing",IF(J759="Yes","✓ OK","⚠ Check"))))</f>
        <v/>
      </c>
      <c r="N759" s="43" t="n">
        <v>46193</v>
      </c>
      <c r="O759" s="26" t="inlineStr">
        <is>
          <t>Sunil CR</t>
        </is>
      </c>
      <c r="P759" s="26" t="inlineStr">
        <is>
          <t>Yes</t>
        </is>
      </c>
      <c r="Q759" s="26" t="inlineStr">
        <is>
          <t>No</t>
        </is>
      </c>
      <c r="R759" s="26" t="inlineStr">
        <is>
          <t>Good finish</t>
        </is>
      </c>
      <c r="S759" s="26" t="inlineStr">
        <is>
          <t>Yes</t>
        </is>
      </c>
      <c r="T759" s="27" t="n"/>
      <c r="U759" s="28" t="inlineStr">
        <is>
          <t>No</t>
        </is>
      </c>
      <c r="V759" s="29">
        <f>IF(N759="","",IF(Q759="Yes","❌ Disc",IF(P759="No","⚠ Missing",IF(S759="Yes","✓ OK","⚠ Check"))))</f>
        <v/>
      </c>
      <c r="W759" s="65" t="n">
        <v>46248</v>
      </c>
      <c r="X759" s="30" t="inlineStr">
        <is>
          <t>Sunil CR</t>
        </is>
      </c>
      <c r="Y759" s="30" t="inlineStr">
        <is>
          <t>Yes</t>
        </is>
      </c>
      <c r="Z759" s="30" t="n"/>
      <c r="AA759" s="30" t="inlineStr">
        <is>
          <t>Good finish</t>
        </is>
      </c>
      <c r="AB759" s="30" t="inlineStr">
        <is>
          <t>Yes</t>
        </is>
      </c>
      <c r="AC759" s="27" t="n"/>
      <c r="AD759" s="31" t="inlineStr">
        <is>
          <t>No</t>
        </is>
      </c>
      <c r="AE759" s="32">
        <f>IF(W759="","",IF(Z759="Yes","❌ Disc",IF(Y759="No","⚠ Missing",IF(AB759="Yes","✓ OK","⚠ Check"))))</f>
        <v/>
      </c>
      <c r="AF759" s="33" t="n"/>
      <c r="AG759" s="33" t="n"/>
      <c r="AH759" s="33" t="n"/>
      <c r="AI759" s="33" t="n"/>
      <c r="AJ759" s="33" t="n"/>
      <c r="AK759" s="33" t="n"/>
      <c r="AL759" s="27" t="n"/>
      <c r="AM759" s="34" t="n"/>
      <c r="AN759" s="35">
        <f>IF(AF759="","",IF(AI759="Yes","❌ Disc",IF(AH759="No","⚠ Missing",IF(AK759="Yes","✓ OK","⚠ Check"))))</f>
        <v/>
      </c>
      <c r="AO759" s="36" t="n"/>
      <c r="AP759" s="36" t="n"/>
      <c r="AQ759" s="36" t="n"/>
      <c r="AR759" s="36" t="n"/>
      <c r="AS759" s="36" t="n"/>
      <c r="AT759" s="36" t="n"/>
      <c r="AU759" s="27" t="n"/>
      <c r="AV759" s="37" t="n"/>
      <c r="AW759" s="38">
        <f>IF(AO759="","",IF(AR759="Yes","❌ Disc",IF(AQ759="No","⚠ Missing",IF(AT759="Yes","✓ OK","⚠ Check"))))</f>
        <v/>
      </c>
    </row>
    <row r="760" ht="18" customHeight="1" s="46">
      <c r="A760" s="39" t="n">
        <v>756</v>
      </c>
      <c r="B760" s="40" t="inlineStr">
        <is>
          <t>WP LNCSF1089396</t>
        </is>
      </c>
      <c r="C760" s="41" t="inlineStr">
        <is>
          <t>Life n Colors - Gold Stripes with Textured Colors Design Wallpaper  - Non-woven - a soft feel paper</t>
        </is>
      </c>
      <c r="D760" s="39" t="inlineStr">
        <is>
          <t>Life n Colors</t>
        </is>
      </c>
      <c r="E760" s="43" t="n">
        <v>46126</v>
      </c>
      <c r="F760" s="26" t="inlineStr">
        <is>
          <t>Sunil CR</t>
        </is>
      </c>
      <c r="G760" s="26" t="inlineStr">
        <is>
          <t>Yes</t>
        </is>
      </c>
      <c r="H760" s="26" t="inlineStr">
        <is>
          <t>No</t>
        </is>
      </c>
      <c r="I760" s="26" t="inlineStr">
        <is>
          <t>Good finish</t>
        </is>
      </c>
      <c r="J760" s="26" t="inlineStr">
        <is>
          <t>Yes</t>
        </is>
      </c>
      <c r="K760" s="27" t="n"/>
      <c r="L760" s="28" t="inlineStr">
        <is>
          <t>No</t>
        </is>
      </c>
      <c r="M760" s="29">
        <f>IF(E760="","",IF(H760="Yes","❌ Disc",IF(G760="No","⚠ Missing",IF(J760="Yes","✓ OK","⚠ Check"))))</f>
        <v/>
      </c>
      <c r="N760" s="43" t="n">
        <v>46193</v>
      </c>
      <c r="O760" s="26" t="inlineStr">
        <is>
          <t>Sunil CR</t>
        </is>
      </c>
      <c r="P760" s="26" t="inlineStr">
        <is>
          <t>Yes</t>
        </is>
      </c>
      <c r="Q760" s="26" t="inlineStr">
        <is>
          <t>No</t>
        </is>
      </c>
      <c r="R760" s="26" t="inlineStr">
        <is>
          <t>Good finish</t>
        </is>
      </c>
      <c r="S760" s="26" t="inlineStr">
        <is>
          <t>Yes</t>
        </is>
      </c>
      <c r="T760" s="27" t="n"/>
      <c r="U760" s="28" t="inlineStr">
        <is>
          <t>No</t>
        </is>
      </c>
      <c r="V760" s="29">
        <f>IF(N760="","",IF(Q760="Yes","❌ Disc",IF(P760="No","⚠ Missing",IF(S760="Yes","✓ OK","⚠ Check"))))</f>
        <v/>
      </c>
      <c r="W760" s="65" t="n">
        <v>46248</v>
      </c>
      <c r="X760" s="30" t="inlineStr">
        <is>
          <t>Sunil CR</t>
        </is>
      </c>
      <c r="Y760" s="30" t="inlineStr">
        <is>
          <t>Yes</t>
        </is>
      </c>
      <c r="Z760" s="30" t="n"/>
      <c r="AA760" s="30" t="inlineStr">
        <is>
          <t>Good finish</t>
        </is>
      </c>
      <c r="AB760" s="30" t="inlineStr">
        <is>
          <t>Yes</t>
        </is>
      </c>
      <c r="AC760" s="27" t="n"/>
      <c r="AD760" s="31" t="inlineStr">
        <is>
          <t>No</t>
        </is>
      </c>
      <c r="AE760" s="32">
        <f>IF(W760="","",IF(Z760="Yes","❌ Disc",IF(Y760="No","⚠ Missing",IF(AB760="Yes","✓ OK","⚠ Check"))))</f>
        <v/>
      </c>
      <c r="AF760" s="33" t="n"/>
      <c r="AG760" s="33" t="n"/>
      <c r="AH760" s="33" t="n"/>
      <c r="AI760" s="33" t="n"/>
      <c r="AJ760" s="33" t="n"/>
      <c r="AK760" s="33" t="n"/>
      <c r="AL760" s="27" t="n"/>
      <c r="AM760" s="34" t="n"/>
      <c r="AN760" s="35">
        <f>IF(AF760="","",IF(AI760="Yes","❌ Disc",IF(AH760="No","⚠ Missing",IF(AK760="Yes","✓ OK","⚠ Check"))))</f>
        <v/>
      </c>
      <c r="AO760" s="36" t="n"/>
      <c r="AP760" s="36" t="n"/>
      <c r="AQ760" s="36" t="n"/>
      <c r="AR760" s="36" t="n"/>
      <c r="AS760" s="36" t="n"/>
      <c r="AT760" s="36" t="n"/>
      <c r="AU760" s="27" t="n"/>
      <c r="AV760" s="37" t="n"/>
      <c r="AW760" s="38">
        <f>IF(AO760="","",IF(AR760="Yes","❌ Disc",IF(AQ760="No","⚠ Missing",IF(AT760="Yes","✓ OK","⚠ Check"))))</f>
        <v/>
      </c>
    </row>
    <row r="761" ht="18" customHeight="1" s="46">
      <c r="A761" s="23" t="n">
        <v>757</v>
      </c>
      <c r="B761" s="24" t="inlineStr">
        <is>
          <t>WP LNCCN1160696</t>
        </is>
      </c>
      <c r="C761" s="25" t="inlineStr">
        <is>
          <t>Life n Colors - Golden Strips with Natural Marble Wall Wallpaper  -  Canvas - a texture paper</t>
        </is>
      </c>
      <c r="D761" s="23" t="inlineStr">
        <is>
          <t>Life n Colors</t>
        </is>
      </c>
      <c r="E761" s="43" t="n">
        <v>46126</v>
      </c>
      <c r="F761" s="26" t="inlineStr">
        <is>
          <t>Sunil CR</t>
        </is>
      </c>
      <c r="G761" s="26" t="inlineStr">
        <is>
          <t>Yes</t>
        </is>
      </c>
      <c r="H761" s="26" t="inlineStr">
        <is>
          <t>No</t>
        </is>
      </c>
      <c r="I761" s="26" t="inlineStr">
        <is>
          <t>Good finish</t>
        </is>
      </c>
      <c r="J761" s="26" t="inlineStr">
        <is>
          <t>Yes</t>
        </is>
      </c>
      <c r="K761" s="27" t="n"/>
      <c r="L761" s="28" t="inlineStr">
        <is>
          <t>No</t>
        </is>
      </c>
      <c r="M761" s="29">
        <f>IF(E761="","",IF(H761="Yes","❌ Disc",IF(G761="No","⚠ Missing",IF(J761="Yes","✓ OK","⚠ Check"))))</f>
        <v/>
      </c>
      <c r="N761" s="43" t="n">
        <v>46193</v>
      </c>
      <c r="O761" s="26" t="inlineStr">
        <is>
          <t>Sunil CR</t>
        </is>
      </c>
      <c r="P761" s="26" t="inlineStr">
        <is>
          <t>Yes</t>
        </is>
      </c>
      <c r="Q761" s="26" t="inlineStr">
        <is>
          <t>No</t>
        </is>
      </c>
      <c r="R761" s="26" t="inlineStr">
        <is>
          <t>Good finish</t>
        </is>
      </c>
      <c r="S761" s="26" t="inlineStr">
        <is>
          <t>Yes</t>
        </is>
      </c>
      <c r="T761" s="27" t="n"/>
      <c r="U761" s="28" t="inlineStr">
        <is>
          <t>No</t>
        </is>
      </c>
      <c r="V761" s="29">
        <f>IF(N761="","",IF(Q761="Yes","❌ Disc",IF(P761="No","⚠ Missing",IF(S761="Yes","✓ OK","⚠ Check"))))</f>
        <v/>
      </c>
      <c r="W761" s="65" t="n">
        <v>46248</v>
      </c>
      <c r="X761" s="30" t="inlineStr">
        <is>
          <t>Sunil CR</t>
        </is>
      </c>
      <c r="Y761" s="30" t="inlineStr">
        <is>
          <t>Yes</t>
        </is>
      </c>
      <c r="Z761" s="30" t="n"/>
      <c r="AA761" s="30" t="inlineStr">
        <is>
          <t>Good finish</t>
        </is>
      </c>
      <c r="AB761" s="30" t="inlineStr">
        <is>
          <t>Yes</t>
        </is>
      </c>
      <c r="AC761" s="27" t="n"/>
      <c r="AD761" s="31" t="inlineStr">
        <is>
          <t>No</t>
        </is>
      </c>
      <c r="AE761" s="32">
        <f>IF(W761="","",IF(Z761="Yes","❌ Disc",IF(Y761="No","⚠ Missing",IF(AB761="Yes","✓ OK","⚠ Check"))))</f>
        <v/>
      </c>
      <c r="AF761" s="33" t="n"/>
      <c r="AG761" s="33" t="n"/>
      <c r="AH761" s="33" t="n"/>
      <c r="AI761" s="33" t="n"/>
      <c r="AJ761" s="33" t="n"/>
      <c r="AK761" s="33" t="n"/>
      <c r="AL761" s="27" t="n"/>
      <c r="AM761" s="34" t="n"/>
      <c r="AN761" s="35">
        <f>IF(AF761="","",IF(AI761="Yes","❌ Disc",IF(AH761="No","⚠ Missing",IF(AK761="Yes","✓ OK","⚠ Check"))))</f>
        <v/>
      </c>
      <c r="AO761" s="36" t="n"/>
      <c r="AP761" s="36" t="n"/>
      <c r="AQ761" s="36" t="n"/>
      <c r="AR761" s="36" t="n"/>
      <c r="AS761" s="36" t="n"/>
      <c r="AT761" s="36" t="n"/>
      <c r="AU761" s="27" t="n"/>
      <c r="AV761" s="37" t="n"/>
      <c r="AW761" s="38">
        <f>IF(AO761="","",IF(AR761="Yes","❌ Disc",IF(AQ761="No","⚠ Missing",IF(AT761="Yes","✓ OK","⚠ Check"))))</f>
        <v/>
      </c>
    </row>
    <row r="762" ht="18" customHeight="1" s="46">
      <c r="A762" s="39" t="n">
        <v>758</v>
      </c>
      <c r="B762" s="40" t="inlineStr">
        <is>
          <t>WP LNCSF1160696</t>
        </is>
      </c>
      <c r="C762" s="41" t="inlineStr">
        <is>
          <t>Life n Colors - Golden Strips with Natural Marble Wall Wallpaper  - Non-woven - a soft feel paper</t>
        </is>
      </c>
      <c r="D762" s="39" t="inlineStr">
        <is>
          <t>Life n Colors</t>
        </is>
      </c>
      <c r="E762" s="43" t="n">
        <v>46126</v>
      </c>
      <c r="F762" s="26" t="inlineStr">
        <is>
          <t>Sunil CR</t>
        </is>
      </c>
      <c r="G762" s="26" t="inlineStr">
        <is>
          <t>Yes</t>
        </is>
      </c>
      <c r="H762" s="26" t="inlineStr">
        <is>
          <t>No</t>
        </is>
      </c>
      <c r="I762" s="26" t="inlineStr">
        <is>
          <t>Good finish</t>
        </is>
      </c>
      <c r="J762" s="26" t="inlineStr">
        <is>
          <t>Yes</t>
        </is>
      </c>
      <c r="K762" s="27" t="n"/>
      <c r="L762" s="28" t="inlineStr">
        <is>
          <t>No</t>
        </is>
      </c>
      <c r="M762" s="29">
        <f>IF(E762="","",IF(H762="Yes","❌ Disc",IF(G762="No","⚠ Missing",IF(J762="Yes","✓ OK","⚠ Check"))))</f>
        <v/>
      </c>
      <c r="N762" s="43" t="n">
        <v>46193</v>
      </c>
      <c r="O762" s="26" t="inlineStr">
        <is>
          <t>Sunil CR</t>
        </is>
      </c>
      <c r="P762" s="26" t="inlineStr">
        <is>
          <t>Yes</t>
        </is>
      </c>
      <c r="Q762" s="26" t="inlineStr">
        <is>
          <t>No</t>
        </is>
      </c>
      <c r="R762" s="26" t="inlineStr">
        <is>
          <t>Good finish</t>
        </is>
      </c>
      <c r="S762" s="26" t="inlineStr">
        <is>
          <t>Yes</t>
        </is>
      </c>
      <c r="T762" s="27" t="n"/>
      <c r="U762" s="28" t="inlineStr">
        <is>
          <t>No</t>
        </is>
      </c>
      <c r="V762" s="29">
        <f>IF(N762="","",IF(Q762="Yes","❌ Disc",IF(P762="No","⚠ Missing",IF(S762="Yes","✓ OK","⚠ Check"))))</f>
        <v/>
      </c>
      <c r="W762" s="65" t="n">
        <v>46248</v>
      </c>
      <c r="X762" s="30" t="inlineStr">
        <is>
          <t>Sunil CR</t>
        </is>
      </c>
      <c r="Y762" s="30" t="inlineStr">
        <is>
          <t>Yes</t>
        </is>
      </c>
      <c r="Z762" s="30" t="n"/>
      <c r="AA762" s="30" t="inlineStr">
        <is>
          <t>Good finish</t>
        </is>
      </c>
      <c r="AB762" s="30" t="inlineStr">
        <is>
          <t>Yes</t>
        </is>
      </c>
      <c r="AC762" s="27" t="n"/>
      <c r="AD762" s="31" t="inlineStr">
        <is>
          <t>No</t>
        </is>
      </c>
      <c r="AE762" s="32">
        <f>IF(W762="","",IF(Z762="Yes","❌ Disc",IF(Y762="No","⚠ Missing",IF(AB762="Yes","✓ OK","⚠ Check"))))</f>
        <v/>
      </c>
      <c r="AF762" s="33" t="n"/>
      <c r="AG762" s="33" t="n"/>
      <c r="AH762" s="33" t="n"/>
      <c r="AI762" s="33" t="n"/>
      <c r="AJ762" s="33" t="n"/>
      <c r="AK762" s="33" t="n"/>
      <c r="AL762" s="27" t="n"/>
      <c r="AM762" s="34" t="n"/>
      <c r="AN762" s="35">
        <f>IF(AF762="","",IF(AI762="Yes","❌ Disc",IF(AH762="No","⚠ Missing",IF(AK762="Yes","✓ OK","⚠ Check"))))</f>
        <v/>
      </c>
      <c r="AO762" s="36" t="n"/>
      <c r="AP762" s="36" t="n"/>
      <c r="AQ762" s="36" t="n"/>
      <c r="AR762" s="36" t="n"/>
      <c r="AS762" s="36" t="n"/>
      <c r="AT762" s="36" t="n"/>
      <c r="AU762" s="27" t="n"/>
      <c r="AV762" s="37" t="n"/>
      <c r="AW762" s="38">
        <f>IF(AO762="","",IF(AR762="Yes","❌ Disc",IF(AQ762="No","⚠ Missing",IF(AT762="Yes","✓ OK","⚠ Check"))))</f>
        <v/>
      </c>
    </row>
    <row r="763" ht="18" customHeight="1" s="46">
      <c r="A763" s="23" t="n">
        <v>759</v>
      </c>
      <c r="B763" s="24" t="inlineStr">
        <is>
          <t>WP LNCCN1039475</t>
        </is>
      </c>
      <c r="C763" s="25" t="inlineStr">
        <is>
          <t>Life n Colors - Green &amp; Yellow Geometric Striped Wallpaper  -  Canvas - a texture paper</t>
        </is>
      </c>
      <c r="D763" s="23" t="inlineStr">
        <is>
          <t>Life n Colors</t>
        </is>
      </c>
      <c r="E763" s="43" t="n">
        <v>46126</v>
      </c>
      <c r="F763" s="26" t="inlineStr">
        <is>
          <t>Sunil CR</t>
        </is>
      </c>
      <c r="G763" s="26" t="inlineStr">
        <is>
          <t>Yes</t>
        </is>
      </c>
      <c r="H763" s="26" t="inlineStr">
        <is>
          <t>No</t>
        </is>
      </c>
      <c r="I763" s="26" t="inlineStr">
        <is>
          <t>Good finish</t>
        </is>
      </c>
      <c r="J763" s="26" t="inlineStr">
        <is>
          <t>Yes</t>
        </is>
      </c>
      <c r="K763" s="27" t="n"/>
      <c r="L763" s="28" t="inlineStr">
        <is>
          <t>No</t>
        </is>
      </c>
      <c r="M763" s="29">
        <f>IF(E763="","",IF(H763="Yes","❌ Disc",IF(G763="No","⚠ Missing",IF(J763="Yes","✓ OK","⚠ Check"))))</f>
        <v/>
      </c>
      <c r="N763" s="43" t="n">
        <v>46193</v>
      </c>
      <c r="O763" s="26" t="inlineStr">
        <is>
          <t>Sunil CR</t>
        </is>
      </c>
      <c r="P763" s="26" t="inlineStr">
        <is>
          <t>Yes</t>
        </is>
      </c>
      <c r="Q763" s="26" t="inlineStr">
        <is>
          <t>No</t>
        </is>
      </c>
      <c r="R763" s="26" t="inlineStr">
        <is>
          <t>Good finish</t>
        </is>
      </c>
      <c r="S763" s="26" t="inlineStr">
        <is>
          <t>Yes</t>
        </is>
      </c>
      <c r="T763" s="27" t="n"/>
      <c r="U763" s="28" t="inlineStr">
        <is>
          <t>No</t>
        </is>
      </c>
      <c r="V763" s="29">
        <f>IF(N763="","",IF(Q763="Yes","❌ Disc",IF(P763="No","⚠ Missing",IF(S763="Yes","✓ OK","⚠ Check"))))</f>
        <v/>
      </c>
      <c r="W763" s="65" t="n">
        <v>46248</v>
      </c>
      <c r="X763" s="30" t="inlineStr">
        <is>
          <t>Sunil CR</t>
        </is>
      </c>
      <c r="Y763" s="30" t="inlineStr">
        <is>
          <t>Yes</t>
        </is>
      </c>
      <c r="Z763" s="30" t="n"/>
      <c r="AA763" s="30" t="inlineStr">
        <is>
          <t>Good finish</t>
        </is>
      </c>
      <c r="AB763" s="30" t="inlineStr">
        <is>
          <t>Yes</t>
        </is>
      </c>
      <c r="AC763" s="27" t="n"/>
      <c r="AD763" s="31" t="inlineStr">
        <is>
          <t>No</t>
        </is>
      </c>
      <c r="AE763" s="32">
        <f>IF(W763="","",IF(Z763="Yes","❌ Disc",IF(Y763="No","⚠ Missing",IF(AB763="Yes","✓ OK","⚠ Check"))))</f>
        <v/>
      </c>
      <c r="AF763" s="33" t="n"/>
      <c r="AG763" s="33" t="n"/>
      <c r="AH763" s="33" t="n"/>
      <c r="AI763" s="33" t="n"/>
      <c r="AJ763" s="33" t="n"/>
      <c r="AK763" s="33" t="n"/>
      <c r="AL763" s="27" t="n"/>
      <c r="AM763" s="34" t="n"/>
      <c r="AN763" s="35">
        <f>IF(AF763="","",IF(AI763="Yes","❌ Disc",IF(AH763="No","⚠ Missing",IF(AK763="Yes","✓ OK","⚠ Check"))))</f>
        <v/>
      </c>
      <c r="AO763" s="36" t="n"/>
      <c r="AP763" s="36" t="n"/>
      <c r="AQ763" s="36" t="n"/>
      <c r="AR763" s="36" t="n"/>
      <c r="AS763" s="36" t="n"/>
      <c r="AT763" s="36" t="n"/>
      <c r="AU763" s="27" t="n"/>
      <c r="AV763" s="37" t="n"/>
      <c r="AW763" s="38">
        <f>IF(AO763="","",IF(AR763="Yes","❌ Disc",IF(AQ763="No","⚠ Missing",IF(AT763="Yes","✓ OK","⚠ Check"))))</f>
        <v/>
      </c>
    </row>
    <row r="764" ht="18" customHeight="1" s="46">
      <c r="A764" s="39" t="n">
        <v>760</v>
      </c>
      <c r="B764" s="40" t="inlineStr">
        <is>
          <t>WP LNCSF1039475</t>
        </is>
      </c>
      <c r="C764" s="41" t="inlineStr">
        <is>
          <t>Life n Colors - Green &amp; Yellow Geometric Striped Wallpaper  - Non-woven - a soft feel paper</t>
        </is>
      </c>
      <c r="D764" s="39" t="inlineStr">
        <is>
          <t>Life n Colors</t>
        </is>
      </c>
      <c r="E764" s="43" t="n">
        <v>46126</v>
      </c>
      <c r="F764" s="26" t="inlineStr">
        <is>
          <t>Sunil CR</t>
        </is>
      </c>
      <c r="G764" s="26" t="inlineStr">
        <is>
          <t>Yes</t>
        </is>
      </c>
      <c r="H764" s="26" t="inlineStr">
        <is>
          <t>No</t>
        </is>
      </c>
      <c r="I764" s="26" t="inlineStr">
        <is>
          <t>Good finish</t>
        </is>
      </c>
      <c r="J764" s="26" t="inlineStr">
        <is>
          <t>Yes</t>
        </is>
      </c>
      <c r="K764" s="27" t="n"/>
      <c r="L764" s="28" t="inlineStr">
        <is>
          <t>No</t>
        </is>
      </c>
      <c r="M764" s="29">
        <f>IF(E764="","",IF(H764="Yes","❌ Disc",IF(G764="No","⚠ Missing",IF(J764="Yes","✓ OK","⚠ Check"))))</f>
        <v/>
      </c>
      <c r="N764" s="43" t="n">
        <v>46193</v>
      </c>
      <c r="O764" s="26" t="inlineStr">
        <is>
          <t>Sunil CR</t>
        </is>
      </c>
      <c r="P764" s="26" t="inlineStr">
        <is>
          <t>Yes</t>
        </is>
      </c>
      <c r="Q764" s="26" t="inlineStr">
        <is>
          <t>No</t>
        </is>
      </c>
      <c r="R764" s="26" t="inlineStr">
        <is>
          <t>Good finish</t>
        </is>
      </c>
      <c r="S764" s="26" t="inlineStr">
        <is>
          <t>Yes</t>
        </is>
      </c>
      <c r="T764" s="27" t="n"/>
      <c r="U764" s="28" t="inlineStr">
        <is>
          <t>No</t>
        </is>
      </c>
      <c r="V764" s="29">
        <f>IF(N764="","",IF(Q764="Yes","❌ Disc",IF(P764="No","⚠ Missing",IF(S764="Yes","✓ OK","⚠ Check"))))</f>
        <v/>
      </c>
      <c r="W764" s="65" t="n">
        <v>46248</v>
      </c>
      <c r="X764" s="30" t="inlineStr">
        <is>
          <t>Sunil CR</t>
        </is>
      </c>
      <c r="Y764" s="30" t="inlineStr">
        <is>
          <t>Yes</t>
        </is>
      </c>
      <c r="Z764" s="30" t="n"/>
      <c r="AA764" s="30" t="inlineStr">
        <is>
          <t>Good finish</t>
        </is>
      </c>
      <c r="AB764" s="30" t="inlineStr">
        <is>
          <t>Yes</t>
        </is>
      </c>
      <c r="AC764" s="27" t="n"/>
      <c r="AD764" s="31" t="inlineStr">
        <is>
          <t>No</t>
        </is>
      </c>
      <c r="AE764" s="32">
        <f>IF(W764="","",IF(Z764="Yes","❌ Disc",IF(Y764="No","⚠ Missing",IF(AB764="Yes","✓ OK","⚠ Check"))))</f>
        <v/>
      </c>
      <c r="AF764" s="33" t="n"/>
      <c r="AG764" s="33" t="n"/>
      <c r="AH764" s="33" t="n"/>
      <c r="AI764" s="33" t="n"/>
      <c r="AJ764" s="33" t="n"/>
      <c r="AK764" s="33" t="n"/>
      <c r="AL764" s="27" t="n"/>
      <c r="AM764" s="34" t="n"/>
      <c r="AN764" s="35">
        <f>IF(AF764="","",IF(AI764="Yes","❌ Disc",IF(AH764="No","⚠ Missing",IF(AK764="Yes","✓ OK","⚠ Check"))))</f>
        <v/>
      </c>
      <c r="AO764" s="36" t="n"/>
      <c r="AP764" s="36" t="n"/>
      <c r="AQ764" s="36" t="n"/>
      <c r="AR764" s="36" t="n"/>
      <c r="AS764" s="36" t="n"/>
      <c r="AT764" s="36" t="n"/>
      <c r="AU764" s="27" t="n"/>
      <c r="AV764" s="37" t="n"/>
      <c r="AW764" s="38">
        <f>IF(AO764="","",IF(AR764="Yes","❌ Disc",IF(AQ764="No","⚠ Missing",IF(AT764="Yes","✓ OK","⚠ Check"))))</f>
        <v/>
      </c>
    </row>
    <row r="765" ht="18" customHeight="1" s="46">
      <c r="A765" s="23" t="n">
        <v>761</v>
      </c>
      <c r="B765" s="24" t="inlineStr">
        <is>
          <t>WP LNCCN1093996</t>
        </is>
      </c>
      <c r="C765" s="25" t="inlineStr">
        <is>
          <t>Life n Colors - Green and Blue Geometric Shapes, Wallpaper for Walls  -  Canvas - a texture paper</t>
        </is>
      </c>
      <c r="D765" s="23" t="inlineStr">
        <is>
          <t>Life n Colors</t>
        </is>
      </c>
      <c r="E765" s="43" t="n">
        <v>46126</v>
      </c>
      <c r="F765" s="26" t="inlineStr">
        <is>
          <t>Sunil CR</t>
        </is>
      </c>
      <c r="G765" s="26" t="inlineStr">
        <is>
          <t>Yes</t>
        </is>
      </c>
      <c r="H765" s="26" t="inlineStr">
        <is>
          <t>No</t>
        </is>
      </c>
      <c r="I765" s="26" t="inlineStr">
        <is>
          <t>Good finish</t>
        </is>
      </c>
      <c r="J765" s="26" t="inlineStr">
        <is>
          <t>Yes</t>
        </is>
      </c>
      <c r="K765" s="27" t="n"/>
      <c r="L765" s="28" t="inlineStr">
        <is>
          <t>No</t>
        </is>
      </c>
      <c r="M765" s="29">
        <f>IF(E765="","",IF(H765="Yes","❌ Disc",IF(G765="No","⚠ Missing",IF(J765="Yes","✓ OK","⚠ Check"))))</f>
        <v/>
      </c>
      <c r="N765" s="43" t="n">
        <v>46193</v>
      </c>
      <c r="O765" s="26" t="inlineStr">
        <is>
          <t>Sunil CR</t>
        </is>
      </c>
      <c r="P765" s="26" t="inlineStr">
        <is>
          <t>Yes</t>
        </is>
      </c>
      <c r="Q765" s="26" t="inlineStr">
        <is>
          <t>No</t>
        </is>
      </c>
      <c r="R765" s="26" t="inlineStr">
        <is>
          <t>Good finish</t>
        </is>
      </c>
      <c r="S765" s="26" t="inlineStr">
        <is>
          <t>Yes</t>
        </is>
      </c>
      <c r="T765" s="27" t="n"/>
      <c r="U765" s="28" t="inlineStr">
        <is>
          <t>No</t>
        </is>
      </c>
      <c r="V765" s="29">
        <f>IF(N765="","",IF(Q765="Yes","❌ Disc",IF(P765="No","⚠ Missing",IF(S765="Yes","✓ OK","⚠ Check"))))</f>
        <v/>
      </c>
      <c r="W765" s="65" t="n">
        <v>46248</v>
      </c>
      <c r="X765" s="30" t="inlineStr">
        <is>
          <t>Sunil CR</t>
        </is>
      </c>
      <c r="Y765" s="30" t="inlineStr">
        <is>
          <t>Yes</t>
        </is>
      </c>
      <c r="Z765" s="30" t="n"/>
      <c r="AA765" s="30" t="inlineStr">
        <is>
          <t>Good finish</t>
        </is>
      </c>
      <c r="AB765" s="30" t="inlineStr">
        <is>
          <t>Yes</t>
        </is>
      </c>
      <c r="AC765" s="27" t="n"/>
      <c r="AD765" s="31" t="inlineStr">
        <is>
          <t>No</t>
        </is>
      </c>
      <c r="AE765" s="32">
        <f>IF(W765="","",IF(Z765="Yes","❌ Disc",IF(Y765="No","⚠ Missing",IF(AB765="Yes","✓ OK","⚠ Check"))))</f>
        <v/>
      </c>
      <c r="AF765" s="33" t="n"/>
      <c r="AG765" s="33" t="n"/>
      <c r="AH765" s="33" t="n"/>
      <c r="AI765" s="33" t="n"/>
      <c r="AJ765" s="33" t="n"/>
      <c r="AK765" s="33" t="n"/>
      <c r="AL765" s="27" t="n"/>
      <c r="AM765" s="34" t="n"/>
      <c r="AN765" s="35">
        <f>IF(AF765="","",IF(AI765="Yes","❌ Disc",IF(AH765="No","⚠ Missing",IF(AK765="Yes","✓ OK","⚠ Check"))))</f>
        <v/>
      </c>
      <c r="AO765" s="36" t="n"/>
      <c r="AP765" s="36" t="n"/>
      <c r="AQ765" s="36" t="n"/>
      <c r="AR765" s="36" t="n"/>
      <c r="AS765" s="36" t="n"/>
      <c r="AT765" s="36" t="n"/>
      <c r="AU765" s="27" t="n"/>
      <c r="AV765" s="37" t="n"/>
      <c r="AW765" s="38">
        <f>IF(AO765="","",IF(AR765="Yes","❌ Disc",IF(AQ765="No","⚠ Missing",IF(AT765="Yes","✓ OK","⚠ Check"))))</f>
        <v/>
      </c>
    </row>
    <row r="766" ht="18" customHeight="1" s="46">
      <c r="A766" s="39" t="n">
        <v>762</v>
      </c>
      <c r="B766" s="40" t="inlineStr">
        <is>
          <t>WP LNCSF1093996</t>
        </is>
      </c>
      <c r="C766" s="41" t="inlineStr">
        <is>
          <t>Life n Colors - Green and Blue Geometric Shapes, Wallpaper for Walls  - Non-woven - a soft feel paper</t>
        </is>
      </c>
      <c r="D766" s="39" t="inlineStr">
        <is>
          <t>Life n Colors</t>
        </is>
      </c>
      <c r="E766" s="43" t="n">
        <v>46126</v>
      </c>
      <c r="F766" s="26" t="inlineStr">
        <is>
          <t>Sunil CR</t>
        </is>
      </c>
      <c r="G766" s="26" t="inlineStr">
        <is>
          <t>Yes</t>
        </is>
      </c>
      <c r="H766" s="26" t="inlineStr">
        <is>
          <t>No</t>
        </is>
      </c>
      <c r="I766" s="26" t="inlineStr">
        <is>
          <t>Good finish</t>
        </is>
      </c>
      <c r="J766" s="26" t="inlineStr">
        <is>
          <t>Yes</t>
        </is>
      </c>
      <c r="K766" s="27" t="n"/>
      <c r="L766" s="28" t="inlineStr">
        <is>
          <t>No</t>
        </is>
      </c>
      <c r="M766" s="29">
        <f>IF(E766="","",IF(H766="Yes","❌ Disc",IF(G766="No","⚠ Missing",IF(J766="Yes","✓ OK","⚠ Check"))))</f>
        <v/>
      </c>
      <c r="N766" s="43" t="n">
        <v>46193</v>
      </c>
      <c r="O766" s="26" t="inlineStr">
        <is>
          <t>Sunil CR</t>
        </is>
      </c>
      <c r="P766" s="26" t="inlineStr">
        <is>
          <t>Yes</t>
        </is>
      </c>
      <c r="Q766" s="26" t="inlineStr">
        <is>
          <t>No</t>
        </is>
      </c>
      <c r="R766" s="26" t="inlineStr">
        <is>
          <t>Good finish</t>
        </is>
      </c>
      <c r="S766" s="26" t="inlineStr">
        <is>
          <t>Yes</t>
        </is>
      </c>
      <c r="T766" s="27" t="n"/>
      <c r="U766" s="28" t="inlineStr">
        <is>
          <t>No</t>
        </is>
      </c>
      <c r="V766" s="29">
        <f>IF(N766="","",IF(Q766="Yes","❌ Disc",IF(P766="No","⚠ Missing",IF(S766="Yes","✓ OK","⚠ Check"))))</f>
        <v/>
      </c>
      <c r="W766" s="65" t="n">
        <v>46248</v>
      </c>
      <c r="X766" s="30" t="inlineStr">
        <is>
          <t>Sunil CR</t>
        </is>
      </c>
      <c r="Y766" s="30" t="inlineStr">
        <is>
          <t>Yes</t>
        </is>
      </c>
      <c r="Z766" s="30" t="n"/>
      <c r="AA766" s="30" t="inlineStr">
        <is>
          <t>Good finish</t>
        </is>
      </c>
      <c r="AB766" s="30" t="inlineStr">
        <is>
          <t>Yes</t>
        </is>
      </c>
      <c r="AC766" s="27" t="n"/>
      <c r="AD766" s="31" t="inlineStr">
        <is>
          <t>No</t>
        </is>
      </c>
      <c r="AE766" s="32">
        <f>IF(W766="","",IF(Z766="Yes","❌ Disc",IF(Y766="No","⚠ Missing",IF(AB766="Yes","✓ OK","⚠ Check"))))</f>
        <v/>
      </c>
      <c r="AF766" s="33" t="n"/>
      <c r="AG766" s="33" t="n"/>
      <c r="AH766" s="33" t="n"/>
      <c r="AI766" s="33" t="n"/>
      <c r="AJ766" s="33" t="n"/>
      <c r="AK766" s="33" t="n"/>
      <c r="AL766" s="27" t="n"/>
      <c r="AM766" s="34" t="n"/>
      <c r="AN766" s="35">
        <f>IF(AF766="","",IF(AI766="Yes","❌ Disc",IF(AH766="No","⚠ Missing",IF(AK766="Yes","✓ OK","⚠ Check"))))</f>
        <v/>
      </c>
      <c r="AO766" s="36" t="n"/>
      <c r="AP766" s="36" t="n"/>
      <c r="AQ766" s="36" t="n"/>
      <c r="AR766" s="36" t="n"/>
      <c r="AS766" s="36" t="n"/>
      <c r="AT766" s="36" t="n"/>
      <c r="AU766" s="27" t="n"/>
      <c r="AV766" s="37" t="n"/>
      <c r="AW766" s="38">
        <f>IF(AO766="","",IF(AR766="Yes","❌ Disc",IF(AQ766="No","⚠ Missing",IF(AT766="Yes","✓ OK","⚠ Check"))))</f>
        <v/>
      </c>
    </row>
    <row r="767" ht="18" customHeight="1" s="46">
      <c r="A767" s="23" t="n">
        <v>763</v>
      </c>
      <c r="B767" s="24" t="inlineStr">
        <is>
          <t>WP LNCCN1035554</t>
        </is>
      </c>
      <c r="C767" s="25" t="inlineStr">
        <is>
          <t>Life n Colors - Green Diamond Pattern Wallpaper, Customised  -  Canvas - a texture paper</t>
        </is>
      </c>
      <c r="D767" s="23" t="inlineStr">
        <is>
          <t>Life n Colors</t>
        </is>
      </c>
      <c r="E767" s="43" t="n">
        <v>46126</v>
      </c>
      <c r="F767" s="26" t="inlineStr">
        <is>
          <t>Sunil CR</t>
        </is>
      </c>
      <c r="G767" s="26" t="inlineStr">
        <is>
          <t>Yes</t>
        </is>
      </c>
      <c r="H767" s="26" t="inlineStr">
        <is>
          <t>No</t>
        </is>
      </c>
      <c r="I767" s="26" t="inlineStr">
        <is>
          <t>Good finish</t>
        </is>
      </c>
      <c r="J767" s="26" t="inlineStr">
        <is>
          <t>Yes</t>
        </is>
      </c>
      <c r="K767" s="27" t="n"/>
      <c r="L767" s="28" t="inlineStr">
        <is>
          <t>No</t>
        </is>
      </c>
      <c r="M767" s="29">
        <f>IF(E767="","",IF(H767="Yes","❌ Disc",IF(G767="No","⚠ Missing",IF(J767="Yes","✓ OK","⚠ Check"))))</f>
        <v/>
      </c>
      <c r="N767" s="43" t="n">
        <v>46193</v>
      </c>
      <c r="O767" s="26" t="inlineStr">
        <is>
          <t>Sunil CR</t>
        </is>
      </c>
      <c r="P767" s="26" t="inlineStr">
        <is>
          <t>Yes</t>
        </is>
      </c>
      <c r="Q767" s="26" t="inlineStr">
        <is>
          <t>No</t>
        </is>
      </c>
      <c r="R767" s="26" t="inlineStr">
        <is>
          <t>Good finish</t>
        </is>
      </c>
      <c r="S767" s="26" t="inlineStr">
        <is>
          <t>Yes</t>
        </is>
      </c>
      <c r="T767" s="27" t="n"/>
      <c r="U767" s="28" t="inlineStr">
        <is>
          <t>No</t>
        </is>
      </c>
      <c r="V767" s="29">
        <f>IF(N767="","",IF(Q767="Yes","❌ Disc",IF(P767="No","⚠ Missing",IF(S767="Yes","✓ OK","⚠ Check"))))</f>
        <v/>
      </c>
      <c r="W767" s="65" t="n">
        <v>46248</v>
      </c>
      <c r="X767" s="30" t="inlineStr">
        <is>
          <t>Sunil CR</t>
        </is>
      </c>
      <c r="Y767" s="30" t="inlineStr">
        <is>
          <t>Yes</t>
        </is>
      </c>
      <c r="Z767" s="30" t="n"/>
      <c r="AA767" s="30" t="inlineStr">
        <is>
          <t>Good finish</t>
        </is>
      </c>
      <c r="AB767" s="30" t="inlineStr">
        <is>
          <t>Yes</t>
        </is>
      </c>
      <c r="AC767" s="27" t="n"/>
      <c r="AD767" s="31" t="inlineStr">
        <is>
          <t>No</t>
        </is>
      </c>
      <c r="AE767" s="32">
        <f>IF(W767="","",IF(Z767="Yes","❌ Disc",IF(Y767="No","⚠ Missing",IF(AB767="Yes","✓ OK","⚠ Check"))))</f>
        <v/>
      </c>
      <c r="AF767" s="33" t="n"/>
      <c r="AG767" s="33" t="n"/>
      <c r="AH767" s="33" t="n"/>
      <c r="AI767" s="33" t="n"/>
      <c r="AJ767" s="33" t="n"/>
      <c r="AK767" s="33" t="n"/>
      <c r="AL767" s="27" t="n"/>
      <c r="AM767" s="34" t="n"/>
      <c r="AN767" s="35">
        <f>IF(AF767="","",IF(AI767="Yes","❌ Disc",IF(AH767="No","⚠ Missing",IF(AK767="Yes","✓ OK","⚠ Check"))))</f>
        <v/>
      </c>
      <c r="AO767" s="36" t="n"/>
      <c r="AP767" s="36" t="n"/>
      <c r="AQ767" s="36" t="n"/>
      <c r="AR767" s="36" t="n"/>
      <c r="AS767" s="36" t="n"/>
      <c r="AT767" s="36" t="n"/>
      <c r="AU767" s="27" t="n"/>
      <c r="AV767" s="37" t="n"/>
      <c r="AW767" s="38">
        <f>IF(AO767="","",IF(AR767="Yes","❌ Disc",IF(AQ767="No","⚠ Missing",IF(AT767="Yes","✓ OK","⚠ Check"))))</f>
        <v/>
      </c>
    </row>
    <row r="768" ht="18" customHeight="1" s="46">
      <c r="A768" s="39" t="n">
        <v>764</v>
      </c>
      <c r="B768" s="40" t="inlineStr">
        <is>
          <t>WP LNCSF1035554</t>
        </is>
      </c>
      <c r="C768" s="41" t="inlineStr">
        <is>
          <t>Life n Colors - Green Diamond Pattern Wallpaper, Customised  - Non-woven - a soft feel paper</t>
        </is>
      </c>
      <c r="D768" s="39" t="inlineStr">
        <is>
          <t>Life n Colors</t>
        </is>
      </c>
      <c r="E768" s="43" t="n">
        <v>46126</v>
      </c>
      <c r="F768" s="26" t="inlineStr">
        <is>
          <t>Sunil CR</t>
        </is>
      </c>
      <c r="G768" s="26" t="inlineStr">
        <is>
          <t>Yes</t>
        </is>
      </c>
      <c r="H768" s="26" t="inlineStr">
        <is>
          <t>No</t>
        </is>
      </c>
      <c r="I768" s="26" t="inlineStr">
        <is>
          <t>Good finish</t>
        </is>
      </c>
      <c r="J768" s="26" t="inlineStr">
        <is>
          <t>Yes</t>
        </is>
      </c>
      <c r="K768" s="27" t="n"/>
      <c r="L768" s="28" t="inlineStr">
        <is>
          <t>No</t>
        </is>
      </c>
      <c r="M768" s="29">
        <f>IF(E768="","",IF(H768="Yes","❌ Disc",IF(G768="No","⚠ Missing",IF(J768="Yes","✓ OK","⚠ Check"))))</f>
        <v/>
      </c>
      <c r="N768" s="43" t="n">
        <v>46193</v>
      </c>
      <c r="O768" s="26" t="inlineStr">
        <is>
          <t>Sunil CR</t>
        </is>
      </c>
      <c r="P768" s="26" t="inlineStr">
        <is>
          <t>Yes</t>
        </is>
      </c>
      <c r="Q768" s="26" t="inlineStr">
        <is>
          <t>No</t>
        </is>
      </c>
      <c r="R768" s="26" t="inlineStr">
        <is>
          <t>Good finish</t>
        </is>
      </c>
      <c r="S768" s="26" t="inlineStr">
        <is>
          <t>Yes</t>
        </is>
      </c>
      <c r="T768" s="27" t="n"/>
      <c r="U768" s="28" t="inlineStr">
        <is>
          <t>No</t>
        </is>
      </c>
      <c r="V768" s="29">
        <f>IF(N768="","",IF(Q768="Yes","❌ Disc",IF(P768="No","⚠ Missing",IF(S768="Yes","✓ OK","⚠ Check"))))</f>
        <v/>
      </c>
      <c r="W768" s="65" t="n">
        <v>46248</v>
      </c>
      <c r="X768" s="30" t="inlineStr">
        <is>
          <t>Sunil CR</t>
        </is>
      </c>
      <c r="Y768" s="30" t="inlineStr">
        <is>
          <t>Yes</t>
        </is>
      </c>
      <c r="Z768" s="30" t="n"/>
      <c r="AA768" s="30" t="inlineStr">
        <is>
          <t>Good finish</t>
        </is>
      </c>
      <c r="AB768" s="30" t="inlineStr">
        <is>
          <t>Yes</t>
        </is>
      </c>
      <c r="AC768" s="27" t="n"/>
      <c r="AD768" s="31" t="inlineStr">
        <is>
          <t>No</t>
        </is>
      </c>
      <c r="AE768" s="32">
        <f>IF(W768="","",IF(Z768="Yes","❌ Disc",IF(Y768="No","⚠ Missing",IF(AB768="Yes","✓ OK","⚠ Check"))))</f>
        <v/>
      </c>
      <c r="AF768" s="33" t="n"/>
      <c r="AG768" s="33" t="n"/>
      <c r="AH768" s="33" t="n"/>
      <c r="AI768" s="33" t="n"/>
      <c r="AJ768" s="33" t="n"/>
      <c r="AK768" s="33" t="n"/>
      <c r="AL768" s="27" t="n"/>
      <c r="AM768" s="34" t="n"/>
      <c r="AN768" s="35">
        <f>IF(AF768="","",IF(AI768="Yes","❌ Disc",IF(AH768="No","⚠ Missing",IF(AK768="Yes","✓ OK","⚠ Check"))))</f>
        <v/>
      </c>
      <c r="AO768" s="36" t="n"/>
      <c r="AP768" s="36" t="n"/>
      <c r="AQ768" s="36" t="n"/>
      <c r="AR768" s="36" t="n"/>
      <c r="AS768" s="36" t="n"/>
      <c r="AT768" s="36" t="n"/>
      <c r="AU768" s="27" t="n"/>
      <c r="AV768" s="37" t="n"/>
      <c r="AW768" s="38">
        <f>IF(AO768="","",IF(AR768="Yes","❌ Disc",IF(AQ768="No","⚠ Missing",IF(AT768="Yes","✓ OK","⚠ Check"))))</f>
        <v/>
      </c>
    </row>
    <row r="769" ht="18" customHeight="1" s="46">
      <c r="A769" s="23" t="n">
        <v>765</v>
      </c>
      <c r="B769" s="24" t="inlineStr">
        <is>
          <t>WP LNCCN1148468</t>
        </is>
      </c>
      <c r="C769" s="25" t="inlineStr">
        <is>
          <t>Life n Colors - Green Fabric Look with Elephants Indian Wallpaper  -  Canvas - a texture paper</t>
        </is>
      </c>
      <c r="D769" s="23" t="inlineStr">
        <is>
          <t>Life n Colors</t>
        </is>
      </c>
      <c r="E769" s="43" t="n">
        <v>46126</v>
      </c>
      <c r="F769" s="26" t="inlineStr">
        <is>
          <t>Sunil CR</t>
        </is>
      </c>
      <c r="G769" s="26" t="inlineStr">
        <is>
          <t>Yes</t>
        </is>
      </c>
      <c r="H769" s="26" t="inlineStr">
        <is>
          <t>No</t>
        </is>
      </c>
      <c r="I769" s="26" t="inlineStr">
        <is>
          <t>Good finish</t>
        </is>
      </c>
      <c r="J769" s="26" t="inlineStr">
        <is>
          <t>Yes</t>
        </is>
      </c>
      <c r="K769" s="27" t="n"/>
      <c r="L769" s="28" t="inlineStr">
        <is>
          <t>No</t>
        </is>
      </c>
      <c r="M769" s="29">
        <f>IF(E769="","",IF(H769="Yes","❌ Disc",IF(G769="No","⚠ Missing",IF(J769="Yes","✓ OK","⚠ Check"))))</f>
        <v/>
      </c>
      <c r="N769" s="43" t="n">
        <v>46193</v>
      </c>
      <c r="O769" s="26" t="inlineStr">
        <is>
          <t>Sunil CR</t>
        </is>
      </c>
      <c r="P769" s="26" t="inlineStr">
        <is>
          <t>Yes</t>
        </is>
      </c>
      <c r="Q769" s="26" t="inlineStr">
        <is>
          <t>No</t>
        </is>
      </c>
      <c r="R769" s="26" t="inlineStr">
        <is>
          <t>Good finish</t>
        </is>
      </c>
      <c r="S769" s="26" t="inlineStr">
        <is>
          <t>Yes</t>
        </is>
      </c>
      <c r="T769" s="27" t="n"/>
      <c r="U769" s="28" t="inlineStr">
        <is>
          <t>No</t>
        </is>
      </c>
      <c r="V769" s="29">
        <f>IF(N769="","",IF(Q769="Yes","❌ Disc",IF(P769="No","⚠ Missing",IF(S769="Yes","✓ OK","⚠ Check"))))</f>
        <v/>
      </c>
      <c r="W769" s="65" t="n">
        <v>46248</v>
      </c>
      <c r="X769" s="30" t="inlineStr">
        <is>
          <t>Sunil CR</t>
        </is>
      </c>
      <c r="Y769" s="30" t="inlineStr">
        <is>
          <t>Yes</t>
        </is>
      </c>
      <c r="Z769" s="30" t="n"/>
      <c r="AA769" s="30" t="inlineStr">
        <is>
          <t>Good finish</t>
        </is>
      </c>
      <c r="AB769" s="30" t="inlineStr">
        <is>
          <t>Yes</t>
        </is>
      </c>
      <c r="AC769" s="27" t="n"/>
      <c r="AD769" s="31" t="inlineStr">
        <is>
          <t>No</t>
        </is>
      </c>
      <c r="AE769" s="32">
        <f>IF(W769="","",IF(Z769="Yes","❌ Disc",IF(Y769="No","⚠ Missing",IF(AB769="Yes","✓ OK","⚠ Check"))))</f>
        <v/>
      </c>
      <c r="AF769" s="33" t="n"/>
      <c r="AG769" s="33" t="n"/>
      <c r="AH769" s="33" t="n"/>
      <c r="AI769" s="33" t="n"/>
      <c r="AJ769" s="33" t="n"/>
      <c r="AK769" s="33" t="n"/>
      <c r="AL769" s="27" t="n"/>
      <c r="AM769" s="34" t="n"/>
      <c r="AN769" s="35">
        <f>IF(AF769="","",IF(AI769="Yes","❌ Disc",IF(AH769="No","⚠ Missing",IF(AK769="Yes","✓ OK","⚠ Check"))))</f>
        <v/>
      </c>
      <c r="AO769" s="36" t="n"/>
      <c r="AP769" s="36" t="n"/>
      <c r="AQ769" s="36" t="n"/>
      <c r="AR769" s="36" t="n"/>
      <c r="AS769" s="36" t="n"/>
      <c r="AT769" s="36" t="n"/>
      <c r="AU769" s="27" t="n"/>
      <c r="AV769" s="37" t="n"/>
      <c r="AW769" s="38">
        <f>IF(AO769="","",IF(AR769="Yes","❌ Disc",IF(AQ769="No","⚠ Missing",IF(AT769="Yes","✓ OK","⚠ Check"))))</f>
        <v/>
      </c>
    </row>
    <row r="770" ht="18" customHeight="1" s="46">
      <c r="A770" s="39" t="n">
        <v>766</v>
      </c>
      <c r="B770" s="40" t="inlineStr">
        <is>
          <t>WP LNCSF1148468</t>
        </is>
      </c>
      <c r="C770" s="41" t="inlineStr">
        <is>
          <t>Life n Colors - Green Fabric Look with Elephants Indian Wallpaper  - Non-woven - a soft feel paper</t>
        </is>
      </c>
      <c r="D770" s="39" t="inlineStr">
        <is>
          <t>Life n Colors</t>
        </is>
      </c>
      <c r="E770" s="43" t="n">
        <v>46126</v>
      </c>
      <c r="F770" s="26" t="inlineStr">
        <is>
          <t>Sunil CR</t>
        </is>
      </c>
      <c r="G770" s="26" t="inlineStr">
        <is>
          <t>Yes</t>
        </is>
      </c>
      <c r="H770" s="26" t="inlineStr">
        <is>
          <t>No</t>
        </is>
      </c>
      <c r="I770" s="26" t="inlineStr">
        <is>
          <t>Good finish</t>
        </is>
      </c>
      <c r="J770" s="26" t="inlineStr">
        <is>
          <t>Yes</t>
        </is>
      </c>
      <c r="K770" s="27" t="n"/>
      <c r="L770" s="28" t="inlineStr">
        <is>
          <t>No</t>
        </is>
      </c>
      <c r="M770" s="29">
        <f>IF(E770="","",IF(H770="Yes","❌ Disc",IF(G770="No","⚠ Missing",IF(J770="Yes","✓ OK","⚠ Check"))))</f>
        <v/>
      </c>
      <c r="N770" s="43" t="n">
        <v>46193</v>
      </c>
      <c r="O770" s="26" t="inlineStr">
        <is>
          <t>Sunil CR</t>
        </is>
      </c>
      <c r="P770" s="26" t="inlineStr">
        <is>
          <t>Yes</t>
        </is>
      </c>
      <c r="Q770" s="26" t="inlineStr">
        <is>
          <t>No</t>
        </is>
      </c>
      <c r="R770" s="26" t="inlineStr">
        <is>
          <t>Good finish</t>
        </is>
      </c>
      <c r="S770" s="26" t="inlineStr">
        <is>
          <t>Yes</t>
        </is>
      </c>
      <c r="T770" s="27" t="n"/>
      <c r="U770" s="28" t="inlineStr">
        <is>
          <t>No</t>
        </is>
      </c>
      <c r="V770" s="29">
        <f>IF(N770="","",IF(Q770="Yes","❌ Disc",IF(P770="No","⚠ Missing",IF(S770="Yes","✓ OK","⚠ Check"))))</f>
        <v/>
      </c>
      <c r="W770" s="65" t="n">
        <v>46248</v>
      </c>
      <c r="X770" s="30" t="inlineStr">
        <is>
          <t>Sunil CR</t>
        </is>
      </c>
      <c r="Y770" s="30" t="inlineStr">
        <is>
          <t>Yes</t>
        </is>
      </c>
      <c r="Z770" s="30" t="n"/>
      <c r="AA770" s="30" t="inlineStr">
        <is>
          <t>Good finish</t>
        </is>
      </c>
      <c r="AB770" s="30" t="inlineStr">
        <is>
          <t>Yes</t>
        </is>
      </c>
      <c r="AC770" s="27" t="n"/>
      <c r="AD770" s="31" t="inlineStr">
        <is>
          <t>No</t>
        </is>
      </c>
      <c r="AE770" s="32">
        <f>IF(W770="","",IF(Z770="Yes","❌ Disc",IF(Y770="No","⚠ Missing",IF(AB770="Yes","✓ OK","⚠ Check"))))</f>
        <v/>
      </c>
      <c r="AF770" s="33" t="n"/>
      <c r="AG770" s="33" t="n"/>
      <c r="AH770" s="33" t="n"/>
      <c r="AI770" s="33" t="n"/>
      <c r="AJ770" s="33" t="n"/>
      <c r="AK770" s="33" t="n"/>
      <c r="AL770" s="27" t="n"/>
      <c r="AM770" s="34" t="n"/>
      <c r="AN770" s="35">
        <f>IF(AF770="","",IF(AI770="Yes","❌ Disc",IF(AH770="No","⚠ Missing",IF(AK770="Yes","✓ OK","⚠ Check"))))</f>
        <v/>
      </c>
      <c r="AO770" s="36" t="n"/>
      <c r="AP770" s="36" t="n"/>
      <c r="AQ770" s="36" t="n"/>
      <c r="AR770" s="36" t="n"/>
      <c r="AS770" s="36" t="n"/>
      <c r="AT770" s="36" t="n"/>
      <c r="AU770" s="27" t="n"/>
      <c r="AV770" s="37" t="n"/>
      <c r="AW770" s="38">
        <f>IF(AO770="","",IF(AR770="Yes","❌ Disc",IF(AQ770="No","⚠ Missing",IF(AT770="Yes","✓ OK","⚠ Check"))))</f>
        <v/>
      </c>
    </row>
    <row r="771" ht="18" customHeight="1" s="46">
      <c r="A771" s="23" t="n">
        <v>767</v>
      </c>
      <c r="B771" s="24" t="inlineStr">
        <is>
          <t>WP LNCCN1181819</t>
        </is>
      </c>
      <c r="C771" s="25" t="inlineStr">
        <is>
          <t>Life n Colors - Green Floral Design Wallpaper for Walls  -  Canvas - a texture paper</t>
        </is>
      </c>
      <c r="D771" s="23" t="inlineStr">
        <is>
          <t>Life n Colors</t>
        </is>
      </c>
      <c r="E771" s="43" t="n">
        <v>46126</v>
      </c>
      <c r="F771" s="26" t="inlineStr">
        <is>
          <t>Sunil CR</t>
        </is>
      </c>
      <c r="G771" s="26" t="inlineStr">
        <is>
          <t>Yes</t>
        </is>
      </c>
      <c r="H771" s="26" t="inlineStr">
        <is>
          <t>No</t>
        </is>
      </c>
      <c r="I771" s="26" t="inlineStr">
        <is>
          <t>Good finish</t>
        </is>
      </c>
      <c r="J771" s="26" t="inlineStr">
        <is>
          <t>Yes</t>
        </is>
      </c>
      <c r="K771" s="27" t="n"/>
      <c r="L771" s="28" t="inlineStr">
        <is>
          <t>No</t>
        </is>
      </c>
      <c r="M771" s="29">
        <f>IF(E771="","",IF(H771="Yes","❌ Disc",IF(G771="No","⚠ Missing",IF(J771="Yes","✓ OK","⚠ Check"))))</f>
        <v/>
      </c>
      <c r="N771" s="43" t="n">
        <v>46193</v>
      </c>
      <c r="O771" s="26" t="inlineStr">
        <is>
          <t>Sunil CR</t>
        </is>
      </c>
      <c r="P771" s="26" t="inlineStr">
        <is>
          <t>Yes</t>
        </is>
      </c>
      <c r="Q771" s="26" t="inlineStr">
        <is>
          <t>No</t>
        </is>
      </c>
      <c r="R771" s="26" t="inlineStr">
        <is>
          <t>Good finish</t>
        </is>
      </c>
      <c r="S771" s="26" t="inlineStr">
        <is>
          <t>Yes</t>
        </is>
      </c>
      <c r="T771" s="27" t="n"/>
      <c r="U771" s="28" t="inlineStr">
        <is>
          <t>No</t>
        </is>
      </c>
      <c r="V771" s="29">
        <f>IF(N771="","",IF(Q771="Yes","❌ Disc",IF(P771="No","⚠ Missing",IF(S771="Yes","✓ OK","⚠ Check"))))</f>
        <v/>
      </c>
      <c r="W771" s="65" t="n">
        <v>46248</v>
      </c>
      <c r="X771" s="30" t="inlineStr">
        <is>
          <t>Sunil CR</t>
        </is>
      </c>
      <c r="Y771" s="30" t="inlineStr">
        <is>
          <t>Yes</t>
        </is>
      </c>
      <c r="Z771" s="30" t="n"/>
      <c r="AA771" s="30" t="inlineStr">
        <is>
          <t>Good finish</t>
        </is>
      </c>
      <c r="AB771" s="30" t="inlineStr">
        <is>
          <t>Yes</t>
        </is>
      </c>
      <c r="AC771" s="27" t="n"/>
      <c r="AD771" s="31" t="inlineStr">
        <is>
          <t>No</t>
        </is>
      </c>
      <c r="AE771" s="32">
        <f>IF(W771="","",IF(Z771="Yes","❌ Disc",IF(Y771="No","⚠ Missing",IF(AB771="Yes","✓ OK","⚠ Check"))))</f>
        <v/>
      </c>
      <c r="AF771" s="33" t="n"/>
      <c r="AG771" s="33" t="n"/>
      <c r="AH771" s="33" t="n"/>
      <c r="AI771" s="33" t="n"/>
      <c r="AJ771" s="33" t="n"/>
      <c r="AK771" s="33" t="n"/>
      <c r="AL771" s="27" t="n"/>
      <c r="AM771" s="34" t="n"/>
      <c r="AN771" s="35">
        <f>IF(AF771="","",IF(AI771="Yes","❌ Disc",IF(AH771="No","⚠ Missing",IF(AK771="Yes","✓ OK","⚠ Check"))))</f>
        <v/>
      </c>
      <c r="AO771" s="36" t="n"/>
      <c r="AP771" s="36" t="n"/>
      <c r="AQ771" s="36" t="n"/>
      <c r="AR771" s="36" t="n"/>
      <c r="AS771" s="36" t="n"/>
      <c r="AT771" s="36" t="n"/>
      <c r="AU771" s="27" t="n"/>
      <c r="AV771" s="37" t="n"/>
      <c r="AW771" s="38">
        <f>IF(AO771="","",IF(AR771="Yes","❌ Disc",IF(AQ771="No","⚠ Missing",IF(AT771="Yes","✓ OK","⚠ Check"))))</f>
        <v/>
      </c>
    </row>
    <row r="772" ht="18" customHeight="1" s="46">
      <c r="A772" s="39" t="n">
        <v>768</v>
      </c>
      <c r="B772" s="40" t="inlineStr">
        <is>
          <t>WP LNCSF1181819</t>
        </is>
      </c>
      <c r="C772" s="41" t="inlineStr">
        <is>
          <t>Life n Colors - Green Floral Design Wallpaper for Walls  - Non-woven - a soft feel paper</t>
        </is>
      </c>
      <c r="D772" s="39" t="inlineStr">
        <is>
          <t>Life n Colors</t>
        </is>
      </c>
      <c r="E772" s="43" t="n">
        <v>46126</v>
      </c>
      <c r="F772" s="26" t="inlineStr">
        <is>
          <t>Sunil CR</t>
        </is>
      </c>
      <c r="G772" s="26" t="inlineStr">
        <is>
          <t>Yes</t>
        </is>
      </c>
      <c r="H772" s="26" t="inlineStr">
        <is>
          <t>No</t>
        </is>
      </c>
      <c r="I772" s="26" t="inlineStr">
        <is>
          <t>Good finish</t>
        </is>
      </c>
      <c r="J772" s="26" t="inlineStr">
        <is>
          <t>Yes</t>
        </is>
      </c>
      <c r="K772" s="27" t="n"/>
      <c r="L772" s="28" t="inlineStr">
        <is>
          <t>No</t>
        </is>
      </c>
      <c r="M772" s="29">
        <f>IF(E772="","",IF(H772="Yes","❌ Disc",IF(G772="No","⚠ Missing",IF(J772="Yes","✓ OK","⚠ Check"))))</f>
        <v/>
      </c>
      <c r="N772" s="43" t="n">
        <v>46193</v>
      </c>
      <c r="O772" s="26" t="inlineStr">
        <is>
          <t>Sunil CR</t>
        </is>
      </c>
      <c r="P772" s="26" t="inlineStr">
        <is>
          <t>Yes</t>
        </is>
      </c>
      <c r="Q772" s="26" t="inlineStr">
        <is>
          <t>No</t>
        </is>
      </c>
      <c r="R772" s="26" t="inlineStr">
        <is>
          <t>Good finish</t>
        </is>
      </c>
      <c r="S772" s="26" t="inlineStr">
        <is>
          <t>Yes</t>
        </is>
      </c>
      <c r="T772" s="27" t="n"/>
      <c r="U772" s="28" t="inlineStr">
        <is>
          <t>No</t>
        </is>
      </c>
      <c r="V772" s="29">
        <f>IF(N772="","",IF(Q772="Yes","❌ Disc",IF(P772="No","⚠ Missing",IF(S772="Yes","✓ OK","⚠ Check"))))</f>
        <v/>
      </c>
      <c r="W772" s="65" t="n">
        <v>46248</v>
      </c>
      <c r="X772" s="30" t="inlineStr">
        <is>
          <t>Sunil CR</t>
        </is>
      </c>
      <c r="Y772" s="30" t="inlineStr">
        <is>
          <t>Yes</t>
        </is>
      </c>
      <c r="Z772" s="30" t="n"/>
      <c r="AA772" s="30" t="inlineStr">
        <is>
          <t>Good finish</t>
        </is>
      </c>
      <c r="AB772" s="30" t="inlineStr">
        <is>
          <t>Yes</t>
        </is>
      </c>
      <c r="AC772" s="27" t="n"/>
      <c r="AD772" s="31" t="inlineStr">
        <is>
          <t>No</t>
        </is>
      </c>
      <c r="AE772" s="32">
        <f>IF(W772="","",IF(Z772="Yes","❌ Disc",IF(Y772="No","⚠ Missing",IF(AB772="Yes","✓ OK","⚠ Check"))))</f>
        <v/>
      </c>
      <c r="AF772" s="33" t="n"/>
      <c r="AG772" s="33" t="n"/>
      <c r="AH772" s="33" t="n"/>
      <c r="AI772" s="33" t="n"/>
      <c r="AJ772" s="33" t="n"/>
      <c r="AK772" s="33" t="n"/>
      <c r="AL772" s="27" t="n"/>
      <c r="AM772" s="34" t="n"/>
      <c r="AN772" s="35">
        <f>IF(AF772="","",IF(AI772="Yes","❌ Disc",IF(AH772="No","⚠ Missing",IF(AK772="Yes","✓ OK","⚠ Check"))))</f>
        <v/>
      </c>
      <c r="AO772" s="36" t="n"/>
      <c r="AP772" s="36" t="n"/>
      <c r="AQ772" s="36" t="n"/>
      <c r="AR772" s="36" t="n"/>
      <c r="AS772" s="36" t="n"/>
      <c r="AT772" s="36" t="n"/>
      <c r="AU772" s="27" t="n"/>
      <c r="AV772" s="37" t="n"/>
      <c r="AW772" s="38">
        <f>IF(AO772="","",IF(AR772="Yes","❌ Disc",IF(AQ772="No","⚠ Missing",IF(AT772="Yes","✓ OK","⚠ Check"))))</f>
        <v/>
      </c>
    </row>
    <row r="773" ht="18" customHeight="1" s="46">
      <c r="A773" s="23" t="n">
        <v>769</v>
      </c>
      <c r="B773" s="24" t="inlineStr">
        <is>
          <t>WP LNCCN1038622</t>
        </is>
      </c>
      <c r="C773" s="25" t="inlineStr">
        <is>
          <t>Life n Colors - Green Peaceful Forest, Silhouette Design Wallpaper  -  Canvas - a texture paper</t>
        </is>
      </c>
      <c r="D773" s="23" t="inlineStr">
        <is>
          <t>Life n Colors</t>
        </is>
      </c>
      <c r="E773" s="43" t="n">
        <v>46126</v>
      </c>
      <c r="F773" s="26" t="inlineStr">
        <is>
          <t>Sunil CR</t>
        </is>
      </c>
      <c r="G773" s="26" t="inlineStr">
        <is>
          <t>Yes</t>
        </is>
      </c>
      <c r="H773" s="26" t="inlineStr">
        <is>
          <t>No</t>
        </is>
      </c>
      <c r="I773" s="26" t="inlineStr">
        <is>
          <t>Good finish</t>
        </is>
      </c>
      <c r="J773" s="26" t="inlineStr">
        <is>
          <t>Yes</t>
        </is>
      </c>
      <c r="K773" s="27" t="n"/>
      <c r="L773" s="28" t="inlineStr">
        <is>
          <t>No</t>
        </is>
      </c>
      <c r="M773" s="29">
        <f>IF(E773="","",IF(H773="Yes","❌ Disc",IF(G773="No","⚠ Missing",IF(J773="Yes","✓ OK","⚠ Check"))))</f>
        <v/>
      </c>
      <c r="N773" s="43" t="n">
        <v>46193</v>
      </c>
      <c r="O773" s="26" t="inlineStr">
        <is>
          <t>Sunil CR</t>
        </is>
      </c>
      <c r="P773" s="26" t="inlineStr">
        <is>
          <t>Yes</t>
        </is>
      </c>
      <c r="Q773" s="26" t="inlineStr">
        <is>
          <t>No</t>
        </is>
      </c>
      <c r="R773" s="26" t="inlineStr">
        <is>
          <t>Good finish</t>
        </is>
      </c>
      <c r="S773" s="26" t="inlineStr">
        <is>
          <t>Yes</t>
        </is>
      </c>
      <c r="T773" s="27" t="n"/>
      <c r="U773" s="28" t="inlineStr">
        <is>
          <t>No</t>
        </is>
      </c>
      <c r="V773" s="29">
        <f>IF(N773="","",IF(Q773="Yes","❌ Disc",IF(P773="No","⚠ Missing",IF(S773="Yes","✓ OK","⚠ Check"))))</f>
        <v/>
      </c>
      <c r="W773" s="65" t="n">
        <v>46248</v>
      </c>
      <c r="X773" s="30" t="inlineStr">
        <is>
          <t>Sunil CR</t>
        </is>
      </c>
      <c r="Y773" s="30" t="inlineStr">
        <is>
          <t>Yes</t>
        </is>
      </c>
      <c r="Z773" s="30" t="n"/>
      <c r="AA773" s="30" t="inlineStr">
        <is>
          <t>Good finish</t>
        </is>
      </c>
      <c r="AB773" s="30" t="inlineStr">
        <is>
          <t>Yes</t>
        </is>
      </c>
      <c r="AC773" s="27" t="n"/>
      <c r="AD773" s="31" t="inlineStr">
        <is>
          <t>No</t>
        </is>
      </c>
      <c r="AE773" s="32">
        <f>IF(W773="","",IF(Z773="Yes","❌ Disc",IF(Y773="No","⚠ Missing",IF(AB773="Yes","✓ OK","⚠ Check"))))</f>
        <v/>
      </c>
      <c r="AF773" s="33" t="n"/>
      <c r="AG773" s="33" t="n"/>
      <c r="AH773" s="33" t="n"/>
      <c r="AI773" s="33" t="n"/>
      <c r="AJ773" s="33" t="n"/>
      <c r="AK773" s="33" t="n"/>
      <c r="AL773" s="27" t="n"/>
      <c r="AM773" s="34" t="n"/>
      <c r="AN773" s="35">
        <f>IF(AF773="","",IF(AI773="Yes","❌ Disc",IF(AH773="No","⚠ Missing",IF(AK773="Yes","✓ OK","⚠ Check"))))</f>
        <v/>
      </c>
      <c r="AO773" s="36" t="n"/>
      <c r="AP773" s="36" t="n"/>
      <c r="AQ773" s="36" t="n"/>
      <c r="AR773" s="36" t="n"/>
      <c r="AS773" s="36" t="n"/>
      <c r="AT773" s="36" t="n"/>
      <c r="AU773" s="27" t="n"/>
      <c r="AV773" s="37" t="n"/>
      <c r="AW773" s="38">
        <f>IF(AO773="","",IF(AR773="Yes","❌ Disc",IF(AQ773="No","⚠ Missing",IF(AT773="Yes","✓ OK","⚠ Check"))))</f>
        <v/>
      </c>
    </row>
    <row r="774" ht="18" customHeight="1" s="46">
      <c r="A774" s="39" t="n">
        <v>770</v>
      </c>
      <c r="B774" s="40" t="inlineStr">
        <is>
          <t>WP LNCSF1038622</t>
        </is>
      </c>
      <c r="C774" s="41" t="inlineStr">
        <is>
          <t>Life n Colors - Green Peaceful Forest, Silhouette Design Wallpaper  - Non-woven - a soft feel paper</t>
        </is>
      </c>
      <c r="D774" s="39" t="inlineStr">
        <is>
          <t>Life n Colors</t>
        </is>
      </c>
      <c r="E774" s="43" t="n">
        <v>46126</v>
      </c>
      <c r="F774" s="26" t="inlineStr">
        <is>
          <t>Sunil CR</t>
        </is>
      </c>
      <c r="G774" s="26" t="inlineStr">
        <is>
          <t>Yes</t>
        </is>
      </c>
      <c r="H774" s="26" t="inlineStr">
        <is>
          <t>No</t>
        </is>
      </c>
      <c r="I774" s="26" t="inlineStr">
        <is>
          <t>Good finish</t>
        </is>
      </c>
      <c r="J774" s="26" t="inlineStr">
        <is>
          <t>Yes</t>
        </is>
      </c>
      <c r="K774" s="27" t="n"/>
      <c r="L774" s="28" t="inlineStr">
        <is>
          <t>No</t>
        </is>
      </c>
      <c r="M774" s="29">
        <f>IF(E774="","",IF(H774="Yes","❌ Disc",IF(G774="No","⚠ Missing",IF(J774="Yes","✓ OK","⚠ Check"))))</f>
        <v/>
      </c>
      <c r="N774" s="43" t="n">
        <v>46193</v>
      </c>
      <c r="O774" s="26" t="inlineStr">
        <is>
          <t>Sunil CR</t>
        </is>
      </c>
      <c r="P774" s="26" t="inlineStr">
        <is>
          <t>Yes</t>
        </is>
      </c>
      <c r="Q774" s="26" t="inlineStr">
        <is>
          <t>No</t>
        </is>
      </c>
      <c r="R774" s="26" t="inlineStr">
        <is>
          <t>Good finish</t>
        </is>
      </c>
      <c r="S774" s="26" t="inlineStr">
        <is>
          <t>Yes</t>
        </is>
      </c>
      <c r="T774" s="27" t="n"/>
      <c r="U774" s="28" t="inlineStr">
        <is>
          <t>No</t>
        </is>
      </c>
      <c r="V774" s="29">
        <f>IF(N774="","",IF(Q774="Yes","❌ Disc",IF(P774="No","⚠ Missing",IF(S774="Yes","✓ OK","⚠ Check"))))</f>
        <v/>
      </c>
      <c r="W774" s="65" t="n">
        <v>46248</v>
      </c>
      <c r="X774" s="30" t="inlineStr">
        <is>
          <t>Sunil CR</t>
        </is>
      </c>
      <c r="Y774" s="30" t="inlineStr">
        <is>
          <t>Yes</t>
        </is>
      </c>
      <c r="Z774" s="30" t="n"/>
      <c r="AA774" s="30" t="inlineStr">
        <is>
          <t>Good finish</t>
        </is>
      </c>
      <c r="AB774" s="30" t="inlineStr">
        <is>
          <t>Yes</t>
        </is>
      </c>
      <c r="AC774" s="27" t="n"/>
      <c r="AD774" s="31" t="inlineStr">
        <is>
          <t>No</t>
        </is>
      </c>
      <c r="AE774" s="32">
        <f>IF(W774="","",IF(Z774="Yes","❌ Disc",IF(Y774="No","⚠ Missing",IF(AB774="Yes","✓ OK","⚠ Check"))))</f>
        <v/>
      </c>
      <c r="AF774" s="33" t="n"/>
      <c r="AG774" s="33" t="n"/>
      <c r="AH774" s="33" t="n"/>
      <c r="AI774" s="33" t="n"/>
      <c r="AJ774" s="33" t="n"/>
      <c r="AK774" s="33" t="n"/>
      <c r="AL774" s="27" t="n"/>
      <c r="AM774" s="34" t="n"/>
      <c r="AN774" s="35">
        <f>IF(AF774="","",IF(AI774="Yes","❌ Disc",IF(AH774="No","⚠ Missing",IF(AK774="Yes","✓ OK","⚠ Check"))))</f>
        <v/>
      </c>
      <c r="AO774" s="36" t="n"/>
      <c r="AP774" s="36" t="n"/>
      <c r="AQ774" s="36" t="n"/>
      <c r="AR774" s="36" t="n"/>
      <c r="AS774" s="36" t="n"/>
      <c r="AT774" s="36" t="n"/>
      <c r="AU774" s="27" t="n"/>
      <c r="AV774" s="37" t="n"/>
      <c r="AW774" s="38">
        <f>IF(AO774="","",IF(AR774="Yes","❌ Disc",IF(AQ774="No","⚠ Missing",IF(AT774="Yes","✓ OK","⚠ Check"))))</f>
        <v/>
      </c>
    </row>
    <row r="775" ht="18" customHeight="1" s="46">
      <c r="A775" s="23" t="n">
        <v>771</v>
      </c>
      <c r="B775" s="24" t="inlineStr">
        <is>
          <t>WP LNCCN1026394</t>
        </is>
      </c>
      <c r="C775" s="25" t="inlineStr">
        <is>
          <t>Life n Colors - Greenish Blue Ikat Wallpaper, Premium Indian Design  -  Canvas - a texture paper</t>
        </is>
      </c>
      <c r="D775" s="23" t="inlineStr">
        <is>
          <t>Life n Colors</t>
        </is>
      </c>
      <c r="E775" s="43" t="n">
        <v>46126</v>
      </c>
      <c r="F775" s="26" t="inlineStr">
        <is>
          <t>Sunil CR</t>
        </is>
      </c>
      <c r="G775" s="26" t="inlineStr">
        <is>
          <t>Yes</t>
        </is>
      </c>
      <c r="H775" s="26" t="inlineStr">
        <is>
          <t>No</t>
        </is>
      </c>
      <c r="I775" s="26" t="inlineStr">
        <is>
          <t>Good finish</t>
        </is>
      </c>
      <c r="J775" s="26" t="inlineStr">
        <is>
          <t>Yes</t>
        </is>
      </c>
      <c r="K775" s="27" t="n"/>
      <c r="L775" s="28" t="inlineStr">
        <is>
          <t>No</t>
        </is>
      </c>
      <c r="M775" s="29">
        <f>IF(E775="","",IF(H775="Yes","❌ Disc",IF(G775="No","⚠ Missing",IF(J775="Yes","✓ OK","⚠ Check"))))</f>
        <v/>
      </c>
      <c r="N775" s="43" t="n">
        <v>46193</v>
      </c>
      <c r="O775" s="26" t="inlineStr">
        <is>
          <t>Sunil CR</t>
        </is>
      </c>
      <c r="P775" s="26" t="inlineStr">
        <is>
          <t>Yes</t>
        </is>
      </c>
      <c r="Q775" s="26" t="inlineStr">
        <is>
          <t>No</t>
        </is>
      </c>
      <c r="R775" s="26" t="inlineStr">
        <is>
          <t>Good finish</t>
        </is>
      </c>
      <c r="S775" s="26" t="inlineStr">
        <is>
          <t>Yes</t>
        </is>
      </c>
      <c r="T775" s="27" t="n"/>
      <c r="U775" s="28" t="inlineStr">
        <is>
          <t>No</t>
        </is>
      </c>
      <c r="V775" s="29">
        <f>IF(N775="","",IF(Q775="Yes","❌ Disc",IF(P775="No","⚠ Missing",IF(S775="Yes","✓ OK","⚠ Check"))))</f>
        <v/>
      </c>
      <c r="W775" s="65" t="n">
        <v>46248</v>
      </c>
      <c r="X775" s="30" t="inlineStr">
        <is>
          <t>Sunil CR</t>
        </is>
      </c>
      <c r="Y775" s="30" t="inlineStr">
        <is>
          <t>Yes</t>
        </is>
      </c>
      <c r="Z775" s="30" t="n"/>
      <c r="AA775" s="30" t="inlineStr">
        <is>
          <t>Good finish</t>
        </is>
      </c>
      <c r="AB775" s="30" t="inlineStr">
        <is>
          <t>Yes</t>
        </is>
      </c>
      <c r="AC775" s="27" t="n"/>
      <c r="AD775" s="31" t="inlineStr">
        <is>
          <t>No</t>
        </is>
      </c>
      <c r="AE775" s="32">
        <f>IF(W775="","",IF(Z775="Yes","❌ Disc",IF(Y775="No","⚠ Missing",IF(AB775="Yes","✓ OK","⚠ Check"))))</f>
        <v/>
      </c>
      <c r="AF775" s="33" t="n"/>
      <c r="AG775" s="33" t="n"/>
      <c r="AH775" s="33" t="n"/>
      <c r="AI775" s="33" t="n"/>
      <c r="AJ775" s="33" t="n"/>
      <c r="AK775" s="33" t="n"/>
      <c r="AL775" s="27" t="n"/>
      <c r="AM775" s="34" t="n"/>
      <c r="AN775" s="35">
        <f>IF(AF775="","",IF(AI775="Yes","❌ Disc",IF(AH775="No","⚠ Missing",IF(AK775="Yes","✓ OK","⚠ Check"))))</f>
        <v/>
      </c>
      <c r="AO775" s="36" t="n"/>
      <c r="AP775" s="36" t="n"/>
      <c r="AQ775" s="36" t="n"/>
      <c r="AR775" s="36" t="n"/>
      <c r="AS775" s="36" t="n"/>
      <c r="AT775" s="36" t="n"/>
      <c r="AU775" s="27" t="n"/>
      <c r="AV775" s="37" t="n"/>
      <c r="AW775" s="38">
        <f>IF(AO775="","",IF(AR775="Yes","❌ Disc",IF(AQ775="No","⚠ Missing",IF(AT775="Yes","✓ OK","⚠ Check"))))</f>
        <v/>
      </c>
    </row>
    <row r="776" ht="18" customHeight="1" s="46">
      <c r="A776" s="39" t="n">
        <v>772</v>
      </c>
      <c r="B776" s="40" t="inlineStr">
        <is>
          <t>WP LNCSF1026394</t>
        </is>
      </c>
      <c r="C776" s="41" t="inlineStr">
        <is>
          <t>Life n Colors - Greenish Blue Ikat Wallpaper, Premium Indian Design  - Non-woven - a soft feel paper</t>
        </is>
      </c>
      <c r="D776" s="39" t="inlineStr">
        <is>
          <t>Life n Colors</t>
        </is>
      </c>
      <c r="E776" s="43" t="n">
        <v>46126</v>
      </c>
      <c r="F776" s="26" t="inlineStr">
        <is>
          <t>Sunil CR</t>
        </is>
      </c>
      <c r="G776" s="26" t="inlineStr">
        <is>
          <t>Yes</t>
        </is>
      </c>
      <c r="H776" s="26" t="inlineStr">
        <is>
          <t>No</t>
        </is>
      </c>
      <c r="I776" s="26" t="inlineStr">
        <is>
          <t>Good finish</t>
        </is>
      </c>
      <c r="J776" s="26" t="inlineStr">
        <is>
          <t>Yes</t>
        </is>
      </c>
      <c r="K776" s="27" t="n"/>
      <c r="L776" s="28" t="inlineStr">
        <is>
          <t>No</t>
        </is>
      </c>
      <c r="M776" s="29">
        <f>IF(E776="","",IF(H776="Yes","❌ Disc",IF(G776="No","⚠ Missing",IF(J776="Yes","✓ OK","⚠ Check"))))</f>
        <v/>
      </c>
      <c r="N776" s="43" t="n">
        <v>46193</v>
      </c>
      <c r="O776" s="26" t="inlineStr">
        <is>
          <t>Sunil CR</t>
        </is>
      </c>
      <c r="P776" s="26" t="inlineStr">
        <is>
          <t>Yes</t>
        </is>
      </c>
      <c r="Q776" s="26" t="inlineStr">
        <is>
          <t>No</t>
        </is>
      </c>
      <c r="R776" s="26" t="inlineStr">
        <is>
          <t>Good finish</t>
        </is>
      </c>
      <c r="S776" s="26" t="inlineStr">
        <is>
          <t>Yes</t>
        </is>
      </c>
      <c r="T776" s="27" t="n"/>
      <c r="U776" s="28" t="inlineStr">
        <is>
          <t>No</t>
        </is>
      </c>
      <c r="V776" s="29">
        <f>IF(N776="","",IF(Q776="Yes","❌ Disc",IF(P776="No","⚠ Missing",IF(S776="Yes","✓ OK","⚠ Check"))))</f>
        <v/>
      </c>
      <c r="W776" s="65" t="n">
        <v>46248</v>
      </c>
      <c r="X776" s="30" t="inlineStr">
        <is>
          <t>Sunil CR</t>
        </is>
      </c>
      <c r="Y776" s="30" t="inlineStr">
        <is>
          <t>Yes</t>
        </is>
      </c>
      <c r="Z776" s="30" t="n"/>
      <c r="AA776" s="30" t="inlineStr">
        <is>
          <t>Good finish</t>
        </is>
      </c>
      <c r="AB776" s="30" t="inlineStr">
        <is>
          <t>Yes</t>
        </is>
      </c>
      <c r="AC776" s="27" t="n"/>
      <c r="AD776" s="31" t="inlineStr">
        <is>
          <t>No</t>
        </is>
      </c>
      <c r="AE776" s="32">
        <f>IF(W776="","",IF(Z776="Yes","❌ Disc",IF(Y776="No","⚠ Missing",IF(AB776="Yes","✓ OK","⚠ Check"))))</f>
        <v/>
      </c>
      <c r="AF776" s="33" t="n"/>
      <c r="AG776" s="33" t="n"/>
      <c r="AH776" s="33" t="n"/>
      <c r="AI776" s="33" t="n"/>
      <c r="AJ776" s="33" t="n"/>
      <c r="AK776" s="33" t="n"/>
      <c r="AL776" s="27" t="n"/>
      <c r="AM776" s="34" t="n"/>
      <c r="AN776" s="35">
        <f>IF(AF776="","",IF(AI776="Yes","❌ Disc",IF(AH776="No","⚠ Missing",IF(AK776="Yes","✓ OK","⚠ Check"))))</f>
        <v/>
      </c>
      <c r="AO776" s="36" t="n"/>
      <c r="AP776" s="36" t="n"/>
      <c r="AQ776" s="36" t="n"/>
      <c r="AR776" s="36" t="n"/>
      <c r="AS776" s="36" t="n"/>
      <c r="AT776" s="36" t="n"/>
      <c r="AU776" s="27" t="n"/>
      <c r="AV776" s="37" t="n"/>
      <c r="AW776" s="38">
        <f>IF(AO776="","",IF(AR776="Yes","❌ Disc",IF(AQ776="No","⚠ Missing",IF(AT776="Yes","✓ OK","⚠ Check"))))</f>
        <v/>
      </c>
    </row>
    <row r="777" ht="18" customHeight="1" s="46">
      <c r="A777" s="23" t="n">
        <v>773</v>
      </c>
      <c r="B777" s="24" t="inlineStr">
        <is>
          <t>WP LNCCN313071</t>
        </is>
      </c>
      <c r="C777" s="25" t="inlineStr">
        <is>
          <t>Life n Colors - Gulbiya, Pink Chinoiserie Wallpaper  -  Canvas - a texture paper</t>
        </is>
      </c>
      <c r="D777" s="23" t="inlineStr">
        <is>
          <t>Life n Colors</t>
        </is>
      </c>
      <c r="E777" s="43" t="n">
        <v>46126</v>
      </c>
      <c r="F777" s="26" t="inlineStr">
        <is>
          <t>Sunil CR</t>
        </is>
      </c>
      <c r="G777" s="26" t="inlineStr">
        <is>
          <t>Yes</t>
        </is>
      </c>
      <c r="H777" s="26" t="inlineStr">
        <is>
          <t>No</t>
        </is>
      </c>
      <c r="I777" s="26" t="inlineStr">
        <is>
          <t>Good finish</t>
        </is>
      </c>
      <c r="J777" s="26" t="inlineStr">
        <is>
          <t>Yes</t>
        </is>
      </c>
      <c r="K777" s="27" t="n"/>
      <c r="L777" s="28" t="inlineStr">
        <is>
          <t>No</t>
        </is>
      </c>
      <c r="M777" s="29">
        <f>IF(E777="","",IF(H777="Yes","❌ Disc",IF(G777="No","⚠ Missing",IF(J777="Yes","✓ OK","⚠ Check"))))</f>
        <v/>
      </c>
      <c r="N777" s="43" t="n">
        <v>46193</v>
      </c>
      <c r="O777" s="26" t="inlineStr">
        <is>
          <t>Sunil CR</t>
        </is>
      </c>
      <c r="P777" s="26" t="inlineStr">
        <is>
          <t>Yes</t>
        </is>
      </c>
      <c r="Q777" s="26" t="inlineStr">
        <is>
          <t>No</t>
        </is>
      </c>
      <c r="R777" s="26" t="inlineStr">
        <is>
          <t>Good finish</t>
        </is>
      </c>
      <c r="S777" s="26" t="inlineStr">
        <is>
          <t>Yes</t>
        </is>
      </c>
      <c r="T777" s="27" t="n"/>
      <c r="U777" s="28" t="inlineStr">
        <is>
          <t>No</t>
        </is>
      </c>
      <c r="V777" s="29">
        <f>IF(N777="","",IF(Q777="Yes","❌ Disc",IF(P777="No","⚠ Missing",IF(S777="Yes","✓ OK","⚠ Check"))))</f>
        <v/>
      </c>
      <c r="W777" s="65" t="n">
        <v>46248</v>
      </c>
      <c r="X777" s="30" t="inlineStr">
        <is>
          <t>Sunil CR</t>
        </is>
      </c>
      <c r="Y777" s="30" t="inlineStr">
        <is>
          <t>Yes</t>
        </is>
      </c>
      <c r="Z777" s="30" t="n"/>
      <c r="AA777" s="30" t="inlineStr">
        <is>
          <t>Good finish</t>
        </is>
      </c>
      <c r="AB777" s="30" t="inlineStr">
        <is>
          <t>Yes</t>
        </is>
      </c>
      <c r="AC777" s="27" t="n"/>
      <c r="AD777" s="31" t="inlineStr">
        <is>
          <t>No</t>
        </is>
      </c>
      <c r="AE777" s="32">
        <f>IF(W777="","",IF(Z777="Yes","❌ Disc",IF(Y777="No","⚠ Missing",IF(AB777="Yes","✓ OK","⚠ Check"))))</f>
        <v/>
      </c>
      <c r="AF777" s="33" t="n"/>
      <c r="AG777" s="33" t="n"/>
      <c r="AH777" s="33" t="n"/>
      <c r="AI777" s="33" t="n"/>
      <c r="AJ777" s="33" t="n"/>
      <c r="AK777" s="33" t="n"/>
      <c r="AL777" s="27" t="n"/>
      <c r="AM777" s="34" t="n"/>
      <c r="AN777" s="35">
        <f>IF(AF777="","",IF(AI777="Yes","❌ Disc",IF(AH777="No","⚠ Missing",IF(AK777="Yes","✓ OK","⚠ Check"))))</f>
        <v/>
      </c>
      <c r="AO777" s="36" t="n"/>
      <c r="AP777" s="36" t="n"/>
      <c r="AQ777" s="36" t="n"/>
      <c r="AR777" s="36" t="n"/>
      <c r="AS777" s="36" t="n"/>
      <c r="AT777" s="36" t="n"/>
      <c r="AU777" s="27" t="n"/>
      <c r="AV777" s="37" t="n"/>
      <c r="AW777" s="38">
        <f>IF(AO777="","",IF(AR777="Yes","❌ Disc",IF(AQ777="No","⚠ Missing",IF(AT777="Yes","✓ OK","⚠ Check"))))</f>
        <v/>
      </c>
    </row>
    <row r="778" ht="18" customHeight="1" s="46">
      <c r="A778" s="39" t="n">
        <v>774</v>
      </c>
      <c r="B778" s="40" t="inlineStr">
        <is>
          <t>WP LNCCN1069300</t>
        </is>
      </c>
      <c r="C778" s="41" t="inlineStr">
        <is>
          <t>Life n Colors - Hanging Botanical Creeper with Birds, Customised Wallpaper  -  Canvas - a texture paper</t>
        </is>
      </c>
      <c r="D778" s="39" t="inlineStr">
        <is>
          <t>Life n Colors</t>
        </is>
      </c>
      <c r="E778" s="43" t="n">
        <v>46126</v>
      </c>
      <c r="F778" s="26" t="inlineStr">
        <is>
          <t>Sunil CR</t>
        </is>
      </c>
      <c r="G778" s="26" t="inlineStr">
        <is>
          <t>Yes</t>
        </is>
      </c>
      <c r="H778" s="26" t="inlineStr">
        <is>
          <t>No</t>
        </is>
      </c>
      <c r="I778" s="26" t="inlineStr">
        <is>
          <t>Good finish</t>
        </is>
      </c>
      <c r="J778" s="26" t="inlineStr">
        <is>
          <t>Yes</t>
        </is>
      </c>
      <c r="K778" s="27" t="n"/>
      <c r="L778" s="28" t="inlineStr">
        <is>
          <t>No</t>
        </is>
      </c>
      <c r="M778" s="29">
        <f>IF(E778="","",IF(H778="Yes","❌ Disc",IF(G778="No","⚠ Missing",IF(J778="Yes","✓ OK","⚠ Check"))))</f>
        <v/>
      </c>
      <c r="N778" s="43" t="n">
        <v>46193</v>
      </c>
      <c r="O778" s="26" t="inlineStr">
        <is>
          <t>Sunil CR</t>
        </is>
      </c>
      <c r="P778" s="26" t="inlineStr">
        <is>
          <t>Yes</t>
        </is>
      </c>
      <c r="Q778" s="26" t="inlineStr">
        <is>
          <t>No</t>
        </is>
      </c>
      <c r="R778" s="26" t="inlineStr">
        <is>
          <t>Good finish</t>
        </is>
      </c>
      <c r="S778" s="26" t="inlineStr">
        <is>
          <t>Yes</t>
        </is>
      </c>
      <c r="T778" s="27" t="n"/>
      <c r="U778" s="28" t="inlineStr">
        <is>
          <t>No</t>
        </is>
      </c>
      <c r="V778" s="29">
        <f>IF(N778="","",IF(Q778="Yes","❌ Disc",IF(P778="No","⚠ Missing",IF(S778="Yes","✓ OK","⚠ Check"))))</f>
        <v/>
      </c>
      <c r="W778" s="65" t="n">
        <v>46248</v>
      </c>
      <c r="X778" s="30" t="inlineStr">
        <is>
          <t>Sunil CR</t>
        </is>
      </c>
      <c r="Y778" s="30" t="inlineStr">
        <is>
          <t>Yes</t>
        </is>
      </c>
      <c r="Z778" s="30" t="n"/>
      <c r="AA778" s="30" t="inlineStr">
        <is>
          <t>Good finish</t>
        </is>
      </c>
      <c r="AB778" s="30" t="inlineStr">
        <is>
          <t>Yes</t>
        </is>
      </c>
      <c r="AC778" s="27" t="n"/>
      <c r="AD778" s="31" t="inlineStr">
        <is>
          <t>No</t>
        </is>
      </c>
      <c r="AE778" s="32">
        <f>IF(W778="","",IF(Z778="Yes","❌ Disc",IF(Y778="No","⚠ Missing",IF(AB778="Yes","✓ OK","⚠ Check"))))</f>
        <v/>
      </c>
      <c r="AF778" s="33" t="n"/>
      <c r="AG778" s="33" t="n"/>
      <c r="AH778" s="33" t="n"/>
      <c r="AI778" s="33" t="n"/>
      <c r="AJ778" s="33" t="n"/>
      <c r="AK778" s="33" t="n"/>
      <c r="AL778" s="27" t="n"/>
      <c r="AM778" s="34" t="n"/>
      <c r="AN778" s="35">
        <f>IF(AF778="","",IF(AI778="Yes","❌ Disc",IF(AH778="No","⚠ Missing",IF(AK778="Yes","✓ OK","⚠ Check"))))</f>
        <v/>
      </c>
      <c r="AO778" s="36" t="n"/>
      <c r="AP778" s="36" t="n"/>
      <c r="AQ778" s="36" t="n"/>
      <c r="AR778" s="36" t="n"/>
      <c r="AS778" s="36" t="n"/>
      <c r="AT778" s="36" t="n"/>
      <c r="AU778" s="27" t="n"/>
      <c r="AV778" s="37" t="n"/>
      <c r="AW778" s="38">
        <f>IF(AO778="","",IF(AR778="Yes","❌ Disc",IF(AQ778="No","⚠ Missing",IF(AT778="Yes","✓ OK","⚠ Check"))))</f>
        <v/>
      </c>
    </row>
    <row r="779" ht="18" customHeight="1" s="46">
      <c r="A779" s="23" t="n">
        <v>775</v>
      </c>
      <c r="B779" s="24" t="inlineStr">
        <is>
          <t>WP LNCSF1069300</t>
        </is>
      </c>
      <c r="C779" s="25" t="inlineStr">
        <is>
          <t>Life n Colors - Hanging Botanical Creeper with Birds, Customised Wallpaper  - Non-woven - a soft feel paper</t>
        </is>
      </c>
      <c r="D779" s="23" t="inlineStr">
        <is>
          <t>Life n Colors</t>
        </is>
      </c>
      <c r="E779" s="43" t="n">
        <v>46126</v>
      </c>
      <c r="F779" s="26" t="inlineStr">
        <is>
          <t>Sunil CR</t>
        </is>
      </c>
      <c r="G779" s="26" t="inlineStr">
        <is>
          <t>Yes</t>
        </is>
      </c>
      <c r="H779" s="26" t="inlineStr">
        <is>
          <t>No</t>
        </is>
      </c>
      <c r="I779" s="26" t="inlineStr">
        <is>
          <t>Good finish</t>
        </is>
      </c>
      <c r="J779" s="26" t="inlineStr">
        <is>
          <t>Yes</t>
        </is>
      </c>
      <c r="K779" s="27" t="n"/>
      <c r="L779" s="28" t="inlineStr">
        <is>
          <t>No</t>
        </is>
      </c>
      <c r="M779" s="29">
        <f>IF(E779="","",IF(H779="Yes","❌ Disc",IF(G779="No","⚠ Missing",IF(J779="Yes","✓ OK","⚠ Check"))))</f>
        <v/>
      </c>
      <c r="N779" s="43" t="n">
        <v>46193</v>
      </c>
      <c r="O779" s="26" t="inlineStr">
        <is>
          <t>Sunil CR</t>
        </is>
      </c>
      <c r="P779" s="26" t="inlineStr">
        <is>
          <t>Yes</t>
        </is>
      </c>
      <c r="Q779" s="26" t="inlineStr">
        <is>
          <t>No</t>
        </is>
      </c>
      <c r="R779" s="26" t="inlineStr">
        <is>
          <t>Good finish</t>
        </is>
      </c>
      <c r="S779" s="26" t="inlineStr">
        <is>
          <t>Yes</t>
        </is>
      </c>
      <c r="T779" s="27" t="n"/>
      <c r="U779" s="28" t="inlineStr">
        <is>
          <t>No</t>
        </is>
      </c>
      <c r="V779" s="29">
        <f>IF(N779="","",IF(Q779="Yes","❌ Disc",IF(P779="No","⚠ Missing",IF(S779="Yes","✓ OK","⚠ Check"))))</f>
        <v/>
      </c>
      <c r="W779" s="65" t="n">
        <v>46248</v>
      </c>
      <c r="X779" s="30" t="inlineStr">
        <is>
          <t>Sunil CR</t>
        </is>
      </c>
      <c r="Y779" s="30" t="inlineStr">
        <is>
          <t>Yes</t>
        </is>
      </c>
      <c r="Z779" s="30" t="n"/>
      <c r="AA779" s="30" t="inlineStr">
        <is>
          <t>Good finish</t>
        </is>
      </c>
      <c r="AB779" s="30" t="inlineStr">
        <is>
          <t>Yes</t>
        </is>
      </c>
      <c r="AC779" s="27" t="n"/>
      <c r="AD779" s="31" t="inlineStr">
        <is>
          <t>No</t>
        </is>
      </c>
      <c r="AE779" s="32">
        <f>IF(W779="","",IF(Z779="Yes","❌ Disc",IF(Y779="No","⚠ Missing",IF(AB779="Yes","✓ OK","⚠ Check"))))</f>
        <v/>
      </c>
      <c r="AF779" s="33" t="n"/>
      <c r="AG779" s="33" t="n"/>
      <c r="AH779" s="33" t="n"/>
      <c r="AI779" s="33" t="n"/>
      <c r="AJ779" s="33" t="n"/>
      <c r="AK779" s="33" t="n"/>
      <c r="AL779" s="27" t="n"/>
      <c r="AM779" s="34" t="n"/>
      <c r="AN779" s="35">
        <f>IF(AF779="","",IF(AI779="Yes","❌ Disc",IF(AH779="No","⚠ Missing",IF(AK779="Yes","✓ OK","⚠ Check"))))</f>
        <v/>
      </c>
      <c r="AO779" s="36" t="n"/>
      <c r="AP779" s="36" t="n"/>
      <c r="AQ779" s="36" t="n"/>
      <c r="AR779" s="36" t="n"/>
      <c r="AS779" s="36" t="n"/>
      <c r="AT779" s="36" t="n"/>
      <c r="AU779" s="27" t="n"/>
      <c r="AV779" s="37" t="n"/>
      <c r="AW779" s="38">
        <f>IF(AO779="","",IF(AR779="Yes","❌ Disc",IF(AQ779="No","⚠ Missing",IF(AT779="Yes","✓ OK","⚠ Check"))))</f>
        <v/>
      </c>
    </row>
    <row r="780" ht="18" customHeight="1" s="46">
      <c r="A780" s="39" t="n">
        <v>776</v>
      </c>
      <c r="B780" s="40" t="inlineStr">
        <is>
          <t>WP LNCCN1019054</t>
        </is>
      </c>
      <c r="C780" s="41" t="inlineStr">
        <is>
          <t>Life n Colors - Hanging Tropical Leaves Wallpaper Design  -  Canvas - a texture paper</t>
        </is>
      </c>
      <c r="D780" s="39" t="inlineStr">
        <is>
          <t>Life n Colors</t>
        </is>
      </c>
      <c r="E780" s="43" t="n">
        <v>46126</v>
      </c>
      <c r="F780" s="26" t="inlineStr">
        <is>
          <t>Sunil CR</t>
        </is>
      </c>
      <c r="G780" s="26" t="inlineStr">
        <is>
          <t>Yes</t>
        </is>
      </c>
      <c r="H780" s="26" t="inlineStr">
        <is>
          <t>No</t>
        </is>
      </c>
      <c r="I780" s="26" t="inlineStr">
        <is>
          <t>Good finish</t>
        </is>
      </c>
      <c r="J780" s="26" t="inlineStr">
        <is>
          <t>Yes</t>
        </is>
      </c>
      <c r="K780" s="27" t="n"/>
      <c r="L780" s="28" t="inlineStr">
        <is>
          <t>No</t>
        </is>
      </c>
      <c r="M780" s="29">
        <f>IF(E780="","",IF(H780="Yes","❌ Disc",IF(G780="No","⚠ Missing",IF(J780="Yes","✓ OK","⚠ Check"))))</f>
        <v/>
      </c>
      <c r="N780" s="43" t="n">
        <v>46193</v>
      </c>
      <c r="O780" s="26" t="inlineStr">
        <is>
          <t>Sunil CR</t>
        </is>
      </c>
      <c r="P780" s="26" t="inlineStr">
        <is>
          <t>Yes</t>
        </is>
      </c>
      <c r="Q780" s="26" t="inlineStr">
        <is>
          <t>No</t>
        </is>
      </c>
      <c r="R780" s="26" t="inlineStr">
        <is>
          <t>Good finish</t>
        </is>
      </c>
      <c r="S780" s="26" t="inlineStr">
        <is>
          <t>Yes</t>
        </is>
      </c>
      <c r="T780" s="27" t="n"/>
      <c r="U780" s="28" t="inlineStr">
        <is>
          <t>No</t>
        </is>
      </c>
      <c r="V780" s="29">
        <f>IF(N780="","",IF(Q780="Yes","❌ Disc",IF(P780="No","⚠ Missing",IF(S780="Yes","✓ OK","⚠ Check"))))</f>
        <v/>
      </c>
      <c r="W780" s="65" t="n">
        <v>46248</v>
      </c>
      <c r="X780" s="30" t="inlineStr">
        <is>
          <t>Sunil CR</t>
        </is>
      </c>
      <c r="Y780" s="30" t="inlineStr">
        <is>
          <t>Yes</t>
        </is>
      </c>
      <c r="Z780" s="30" t="n"/>
      <c r="AA780" s="30" t="inlineStr">
        <is>
          <t>Good finish</t>
        </is>
      </c>
      <c r="AB780" s="30" t="inlineStr">
        <is>
          <t>Yes</t>
        </is>
      </c>
      <c r="AC780" s="27" t="n"/>
      <c r="AD780" s="31" t="inlineStr">
        <is>
          <t>No</t>
        </is>
      </c>
      <c r="AE780" s="32">
        <f>IF(W780="","",IF(Z780="Yes","❌ Disc",IF(Y780="No","⚠ Missing",IF(AB780="Yes","✓ OK","⚠ Check"))))</f>
        <v/>
      </c>
      <c r="AF780" s="33" t="n"/>
      <c r="AG780" s="33" t="n"/>
      <c r="AH780" s="33" t="n"/>
      <c r="AI780" s="33" t="n"/>
      <c r="AJ780" s="33" t="n"/>
      <c r="AK780" s="33" t="n"/>
      <c r="AL780" s="27" t="n"/>
      <c r="AM780" s="34" t="n"/>
      <c r="AN780" s="35">
        <f>IF(AF780="","",IF(AI780="Yes","❌ Disc",IF(AH780="No","⚠ Missing",IF(AK780="Yes","✓ OK","⚠ Check"))))</f>
        <v/>
      </c>
      <c r="AO780" s="36" t="n"/>
      <c r="AP780" s="36" t="n"/>
      <c r="AQ780" s="36" t="n"/>
      <c r="AR780" s="36" t="n"/>
      <c r="AS780" s="36" t="n"/>
      <c r="AT780" s="36" t="n"/>
      <c r="AU780" s="27" t="n"/>
      <c r="AV780" s="37" t="n"/>
      <c r="AW780" s="38">
        <f>IF(AO780="","",IF(AR780="Yes","❌ Disc",IF(AQ780="No","⚠ Missing",IF(AT780="Yes","✓ OK","⚠ Check"))))</f>
        <v/>
      </c>
    </row>
    <row r="781" ht="18" customHeight="1" s="46">
      <c r="A781" s="23" t="n">
        <v>777</v>
      </c>
      <c r="B781" s="24" t="inlineStr">
        <is>
          <t>WP LNCSF1019054</t>
        </is>
      </c>
      <c r="C781" s="25" t="inlineStr">
        <is>
          <t>Life n Colors - Hanging Tropical Leaves Wallpaper Design  - Non-woven - a soft feel paper</t>
        </is>
      </c>
      <c r="D781" s="23" t="inlineStr">
        <is>
          <t>Life n Colors</t>
        </is>
      </c>
      <c r="E781" s="43" t="n">
        <v>46126</v>
      </c>
      <c r="F781" s="26" t="inlineStr">
        <is>
          <t>Sunil CR</t>
        </is>
      </c>
      <c r="G781" s="26" t="inlineStr">
        <is>
          <t>Yes</t>
        </is>
      </c>
      <c r="H781" s="26" t="inlineStr">
        <is>
          <t>No</t>
        </is>
      </c>
      <c r="I781" s="26" t="inlineStr">
        <is>
          <t>Good finish</t>
        </is>
      </c>
      <c r="J781" s="26" t="inlineStr">
        <is>
          <t>Yes</t>
        </is>
      </c>
      <c r="K781" s="27" t="n"/>
      <c r="L781" s="28" t="inlineStr">
        <is>
          <t>No</t>
        </is>
      </c>
      <c r="M781" s="29">
        <f>IF(E781="","",IF(H781="Yes","❌ Disc",IF(G781="No","⚠ Missing",IF(J781="Yes","✓ OK","⚠ Check"))))</f>
        <v/>
      </c>
      <c r="N781" s="43" t="n">
        <v>46193</v>
      </c>
      <c r="O781" s="26" t="inlineStr">
        <is>
          <t>Sunil CR</t>
        </is>
      </c>
      <c r="P781" s="26" t="inlineStr">
        <is>
          <t>Yes</t>
        </is>
      </c>
      <c r="Q781" s="26" t="inlineStr">
        <is>
          <t>No</t>
        </is>
      </c>
      <c r="R781" s="26" t="inlineStr">
        <is>
          <t>Good finish</t>
        </is>
      </c>
      <c r="S781" s="26" t="inlineStr">
        <is>
          <t>Yes</t>
        </is>
      </c>
      <c r="T781" s="27" t="n"/>
      <c r="U781" s="28" t="inlineStr">
        <is>
          <t>No</t>
        </is>
      </c>
      <c r="V781" s="29">
        <f>IF(N781="","",IF(Q781="Yes","❌ Disc",IF(P781="No","⚠ Missing",IF(S781="Yes","✓ OK","⚠ Check"))))</f>
        <v/>
      </c>
      <c r="W781" s="65" t="n">
        <v>46248</v>
      </c>
      <c r="X781" s="30" t="inlineStr">
        <is>
          <t>Sunil CR</t>
        </is>
      </c>
      <c r="Y781" s="30" t="inlineStr">
        <is>
          <t>Yes</t>
        </is>
      </c>
      <c r="Z781" s="30" t="n"/>
      <c r="AA781" s="30" t="inlineStr">
        <is>
          <t>Good finish</t>
        </is>
      </c>
      <c r="AB781" s="30" t="inlineStr">
        <is>
          <t>Yes</t>
        </is>
      </c>
      <c r="AC781" s="27" t="n"/>
      <c r="AD781" s="31" t="inlineStr">
        <is>
          <t>No</t>
        </is>
      </c>
      <c r="AE781" s="32">
        <f>IF(W781="","",IF(Z781="Yes","❌ Disc",IF(Y781="No","⚠ Missing",IF(AB781="Yes","✓ OK","⚠ Check"))))</f>
        <v/>
      </c>
      <c r="AF781" s="33" t="n"/>
      <c r="AG781" s="33" t="n"/>
      <c r="AH781" s="33" t="n"/>
      <c r="AI781" s="33" t="n"/>
      <c r="AJ781" s="33" t="n"/>
      <c r="AK781" s="33" t="n"/>
      <c r="AL781" s="27" t="n"/>
      <c r="AM781" s="34" t="n"/>
      <c r="AN781" s="35">
        <f>IF(AF781="","",IF(AI781="Yes","❌ Disc",IF(AH781="No","⚠ Missing",IF(AK781="Yes","✓ OK","⚠ Check"))))</f>
        <v/>
      </c>
      <c r="AO781" s="36" t="n"/>
      <c r="AP781" s="36" t="n"/>
      <c r="AQ781" s="36" t="n"/>
      <c r="AR781" s="36" t="n"/>
      <c r="AS781" s="36" t="n"/>
      <c r="AT781" s="36" t="n"/>
      <c r="AU781" s="27" t="n"/>
      <c r="AV781" s="37" t="n"/>
      <c r="AW781" s="38">
        <f>IF(AO781="","",IF(AR781="Yes","❌ Disc",IF(AQ781="No","⚠ Missing",IF(AT781="Yes","✓ OK","⚠ Check"))))</f>
        <v/>
      </c>
    </row>
    <row r="782" ht="18" customHeight="1" s="46">
      <c r="A782" s="39" t="n">
        <v>778</v>
      </c>
      <c r="B782" s="40" t="inlineStr">
        <is>
          <t>WP LNCCN1100925</t>
        </is>
      </c>
      <c r="C782" s="41" t="inlineStr">
        <is>
          <t>Life n Colors - Harmony, Subtle Green Leaves in White Wallpaper Design  -  Canvas - a texture paper</t>
        </is>
      </c>
      <c r="D782" s="39" t="inlineStr">
        <is>
          <t>Life n Colors</t>
        </is>
      </c>
      <c r="E782" s="43" t="n">
        <v>46126</v>
      </c>
      <c r="F782" s="26" t="inlineStr">
        <is>
          <t>Sunil CR</t>
        </is>
      </c>
      <c r="G782" s="26" t="inlineStr">
        <is>
          <t>Yes</t>
        </is>
      </c>
      <c r="H782" s="26" t="inlineStr">
        <is>
          <t>No</t>
        </is>
      </c>
      <c r="I782" s="26" t="inlineStr">
        <is>
          <t>Good finish</t>
        </is>
      </c>
      <c r="J782" s="26" t="inlineStr">
        <is>
          <t>Yes</t>
        </is>
      </c>
      <c r="K782" s="27" t="n"/>
      <c r="L782" s="28" t="inlineStr">
        <is>
          <t>No</t>
        </is>
      </c>
      <c r="M782" s="29">
        <f>IF(E782="","",IF(H782="Yes","❌ Disc",IF(G782="No","⚠ Missing",IF(J782="Yes","✓ OK","⚠ Check"))))</f>
        <v/>
      </c>
      <c r="N782" s="43" t="n">
        <v>46193</v>
      </c>
      <c r="O782" s="26" t="inlineStr">
        <is>
          <t>Sunil CR</t>
        </is>
      </c>
      <c r="P782" s="26" t="inlineStr">
        <is>
          <t>Yes</t>
        </is>
      </c>
      <c r="Q782" s="26" t="inlineStr">
        <is>
          <t>No</t>
        </is>
      </c>
      <c r="R782" s="26" t="inlineStr">
        <is>
          <t>Good finish</t>
        </is>
      </c>
      <c r="S782" s="26" t="inlineStr">
        <is>
          <t>Yes</t>
        </is>
      </c>
      <c r="T782" s="27" t="n"/>
      <c r="U782" s="28" t="inlineStr">
        <is>
          <t>No</t>
        </is>
      </c>
      <c r="V782" s="29">
        <f>IF(N782="","",IF(Q782="Yes","❌ Disc",IF(P782="No","⚠ Missing",IF(S782="Yes","✓ OK","⚠ Check"))))</f>
        <v/>
      </c>
      <c r="W782" s="65" t="n">
        <v>46248</v>
      </c>
      <c r="X782" s="30" t="inlineStr">
        <is>
          <t>Sunil CR</t>
        </is>
      </c>
      <c r="Y782" s="30" t="inlineStr">
        <is>
          <t>Yes</t>
        </is>
      </c>
      <c r="Z782" s="30" t="n"/>
      <c r="AA782" s="30" t="inlineStr">
        <is>
          <t>Good finish</t>
        </is>
      </c>
      <c r="AB782" s="30" t="inlineStr">
        <is>
          <t>Yes</t>
        </is>
      </c>
      <c r="AC782" s="27" t="n"/>
      <c r="AD782" s="31" t="inlineStr">
        <is>
          <t>No</t>
        </is>
      </c>
      <c r="AE782" s="32">
        <f>IF(W782="","",IF(Z782="Yes","❌ Disc",IF(Y782="No","⚠ Missing",IF(AB782="Yes","✓ OK","⚠ Check"))))</f>
        <v/>
      </c>
      <c r="AF782" s="33" t="n"/>
      <c r="AG782" s="33" t="n"/>
      <c r="AH782" s="33" t="n"/>
      <c r="AI782" s="33" t="n"/>
      <c r="AJ782" s="33" t="n"/>
      <c r="AK782" s="33" t="n"/>
      <c r="AL782" s="27" t="n"/>
      <c r="AM782" s="34" t="n"/>
      <c r="AN782" s="35">
        <f>IF(AF782="","",IF(AI782="Yes","❌ Disc",IF(AH782="No","⚠ Missing",IF(AK782="Yes","✓ OK","⚠ Check"))))</f>
        <v/>
      </c>
      <c r="AO782" s="36" t="n"/>
      <c r="AP782" s="36" t="n"/>
      <c r="AQ782" s="36" t="n"/>
      <c r="AR782" s="36" t="n"/>
      <c r="AS782" s="36" t="n"/>
      <c r="AT782" s="36" t="n"/>
      <c r="AU782" s="27" t="n"/>
      <c r="AV782" s="37" t="n"/>
      <c r="AW782" s="38">
        <f>IF(AO782="","",IF(AR782="Yes","❌ Disc",IF(AQ782="No","⚠ Missing",IF(AT782="Yes","✓ OK","⚠ Check"))))</f>
        <v/>
      </c>
    </row>
    <row r="783" ht="18" customHeight="1" s="46">
      <c r="A783" s="23" t="n">
        <v>779</v>
      </c>
      <c r="B783" s="24" t="inlineStr">
        <is>
          <t>WP LNCSF1100925</t>
        </is>
      </c>
      <c r="C783" s="25" t="inlineStr">
        <is>
          <t>Life n Colors - Harmony, Subtle Green Leaves in White Wallpaper Design  - Non-woven - a soft feel paper</t>
        </is>
      </c>
      <c r="D783" s="23" t="inlineStr">
        <is>
          <t>Life n Colors</t>
        </is>
      </c>
      <c r="E783" s="43" t="n">
        <v>46126</v>
      </c>
      <c r="F783" s="26" t="inlineStr">
        <is>
          <t>Sunil CR</t>
        </is>
      </c>
      <c r="G783" s="26" t="inlineStr">
        <is>
          <t>Yes</t>
        </is>
      </c>
      <c r="H783" s="26" t="inlineStr">
        <is>
          <t>No</t>
        </is>
      </c>
      <c r="I783" s="26" t="inlineStr">
        <is>
          <t>Good finish</t>
        </is>
      </c>
      <c r="J783" s="26" t="inlineStr">
        <is>
          <t>Yes</t>
        </is>
      </c>
      <c r="K783" s="27" t="n"/>
      <c r="L783" s="28" t="inlineStr">
        <is>
          <t>No</t>
        </is>
      </c>
      <c r="M783" s="29">
        <f>IF(E783="","",IF(H783="Yes","❌ Disc",IF(G783="No","⚠ Missing",IF(J783="Yes","✓ OK","⚠ Check"))))</f>
        <v/>
      </c>
      <c r="N783" s="43" t="n">
        <v>46193</v>
      </c>
      <c r="O783" s="26" t="inlineStr">
        <is>
          <t>Sunil CR</t>
        </is>
      </c>
      <c r="P783" s="26" t="inlineStr">
        <is>
          <t>Yes</t>
        </is>
      </c>
      <c r="Q783" s="26" t="inlineStr">
        <is>
          <t>No</t>
        </is>
      </c>
      <c r="R783" s="26" t="inlineStr">
        <is>
          <t>Good finish</t>
        </is>
      </c>
      <c r="S783" s="26" t="inlineStr">
        <is>
          <t>Yes</t>
        </is>
      </c>
      <c r="T783" s="27" t="n"/>
      <c r="U783" s="28" t="inlineStr">
        <is>
          <t>No</t>
        </is>
      </c>
      <c r="V783" s="29">
        <f>IF(N783="","",IF(Q783="Yes","❌ Disc",IF(P783="No","⚠ Missing",IF(S783="Yes","✓ OK","⚠ Check"))))</f>
        <v/>
      </c>
      <c r="W783" s="65" t="n">
        <v>46248</v>
      </c>
      <c r="X783" s="30" t="inlineStr">
        <is>
          <t>Sunil CR</t>
        </is>
      </c>
      <c r="Y783" s="30" t="inlineStr">
        <is>
          <t>Yes</t>
        </is>
      </c>
      <c r="Z783" s="30" t="n"/>
      <c r="AA783" s="30" t="inlineStr">
        <is>
          <t>Good finish</t>
        </is>
      </c>
      <c r="AB783" s="30" t="inlineStr">
        <is>
          <t>Yes</t>
        </is>
      </c>
      <c r="AC783" s="27" t="n"/>
      <c r="AD783" s="31" t="inlineStr">
        <is>
          <t>No</t>
        </is>
      </c>
      <c r="AE783" s="32">
        <f>IF(W783="","",IF(Z783="Yes","❌ Disc",IF(Y783="No","⚠ Missing",IF(AB783="Yes","✓ OK","⚠ Check"))))</f>
        <v/>
      </c>
      <c r="AF783" s="33" t="n"/>
      <c r="AG783" s="33" t="n"/>
      <c r="AH783" s="33" t="n"/>
      <c r="AI783" s="33" t="n"/>
      <c r="AJ783" s="33" t="n"/>
      <c r="AK783" s="33" t="n"/>
      <c r="AL783" s="27" t="n"/>
      <c r="AM783" s="34" t="n"/>
      <c r="AN783" s="35">
        <f>IF(AF783="","",IF(AI783="Yes","❌ Disc",IF(AH783="No","⚠ Missing",IF(AK783="Yes","✓ OK","⚠ Check"))))</f>
        <v/>
      </c>
      <c r="AO783" s="36" t="n"/>
      <c r="AP783" s="36" t="n"/>
      <c r="AQ783" s="36" t="n"/>
      <c r="AR783" s="36" t="n"/>
      <c r="AS783" s="36" t="n"/>
      <c r="AT783" s="36" t="n"/>
      <c r="AU783" s="27" t="n"/>
      <c r="AV783" s="37" t="n"/>
      <c r="AW783" s="38">
        <f>IF(AO783="","",IF(AR783="Yes","❌ Disc",IF(AQ783="No","⚠ Missing",IF(AT783="Yes","✓ OK","⚠ Check"))))</f>
        <v/>
      </c>
    </row>
    <row r="784" ht="18" customHeight="1" s="46">
      <c r="A784" s="39" t="n">
        <v>780</v>
      </c>
      <c r="B784" s="40" t="inlineStr">
        <is>
          <t>WP LNCCN1135571</t>
        </is>
      </c>
      <c r="C784" s="41" t="inlineStr">
        <is>
          <t>Life n Colors - Hazy Forest Background Wallpaper for Walls  -  Canvas - a texture paper</t>
        </is>
      </c>
      <c r="D784" s="39" t="inlineStr">
        <is>
          <t>Life n Colors</t>
        </is>
      </c>
      <c r="E784" s="43" t="n">
        <v>46126</v>
      </c>
      <c r="F784" s="26" t="inlineStr">
        <is>
          <t>Sunil CR</t>
        </is>
      </c>
      <c r="G784" s="26" t="inlineStr">
        <is>
          <t>Yes</t>
        </is>
      </c>
      <c r="H784" s="26" t="inlineStr">
        <is>
          <t>No</t>
        </is>
      </c>
      <c r="I784" s="26" t="inlineStr">
        <is>
          <t>Good finish</t>
        </is>
      </c>
      <c r="J784" s="26" t="inlineStr">
        <is>
          <t>Yes</t>
        </is>
      </c>
      <c r="K784" s="27" t="n"/>
      <c r="L784" s="28" t="inlineStr">
        <is>
          <t>No</t>
        </is>
      </c>
      <c r="M784" s="29">
        <f>IF(E784="","",IF(H784="Yes","❌ Disc",IF(G784="No","⚠ Missing",IF(J784="Yes","✓ OK","⚠ Check"))))</f>
        <v/>
      </c>
      <c r="N784" s="43" t="n">
        <v>46193</v>
      </c>
      <c r="O784" s="26" t="inlineStr">
        <is>
          <t>Sunil CR</t>
        </is>
      </c>
      <c r="P784" s="26" t="inlineStr">
        <is>
          <t>Yes</t>
        </is>
      </c>
      <c r="Q784" s="26" t="inlineStr">
        <is>
          <t>No</t>
        </is>
      </c>
      <c r="R784" s="26" t="inlineStr">
        <is>
          <t>Good finish</t>
        </is>
      </c>
      <c r="S784" s="26" t="inlineStr">
        <is>
          <t>Yes</t>
        </is>
      </c>
      <c r="T784" s="27" t="n"/>
      <c r="U784" s="28" t="inlineStr">
        <is>
          <t>No</t>
        </is>
      </c>
      <c r="V784" s="29">
        <f>IF(N784="","",IF(Q784="Yes","❌ Disc",IF(P784="No","⚠ Missing",IF(S784="Yes","✓ OK","⚠ Check"))))</f>
        <v/>
      </c>
      <c r="W784" s="65" t="n">
        <v>46248</v>
      </c>
      <c r="X784" s="30" t="inlineStr">
        <is>
          <t>Sunil CR</t>
        </is>
      </c>
      <c r="Y784" s="30" t="inlineStr">
        <is>
          <t>Yes</t>
        </is>
      </c>
      <c r="Z784" s="30" t="n"/>
      <c r="AA784" s="30" t="inlineStr">
        <is>
          <t>Good finish</t>
        </is>
      </c>
      <c r="AB784" s="30" t="inlineStr">
        <is>
          <t>Yes</t>
        </is>
      </c>
      <c r="AC784" s="27" t="n"/>
      <c r="AD784" s="31" t="inlineStr">
        <is>
          <t>No</t>
        </is>
      </c>
      <c r="AE784" s="32">
        <f>IF(W784="","",IF(Z784="Yes","❌ Disc",IF(Y784="No","⚠ Missing",IF(AB784="Yes","✓ OK","⚠ Check"))))</f>
        <v/>
      </c>
      <c r="AF784" s="33" t="n"/>
      <c r="AG784" s="33" t="n"/>
      <c r="AH784" s="33" t="n"/>
      <c r="AI784" s="33" t="n"/>
      <c r="AJ784" s="33" t="n"/>
      <c r="AK784" s="33" t="n"/>
      <c r="AL784" s="27" t="n"/>
      <c r="AM784" s="34" t="n"/>
      <c r="AN784" s="35">
        <f>IF(AF784="","",IF(AI784="Yes","❌ Disc",IF(AH784="No","⚠ Missing",IF(AK784="Yes","✓ OK","⚠ Check"))))</f>
        <v/>
      </c>
      <c r="AO784" s="36" t="n"/>
      <c r="AP784" s="36" t="n"/>
      <c r="AQ784" s="36" t="n"/>
      <c r="AR784" s="36" t="n"/>
      <c r="AS784" s="36" t="n"/>
      <c r="AT784" s="36" t="n"/>
      <c r="AU784" s="27" t="n"/>
      <c r="AV784" s="37" t="n"/>
      <c r="AW784" s="38">
        <f>IF(AO784="","",IF(AR784="Yes","❌ Disc",IF(AQ784="No","⚠ Missing",IF(AT784="Yes","✓ OK","⚠ Check"))))</f>
        <v/>
      </c>
    </row>
    <row r="785" ht="18" customHeight="1" s="46">
      <c r="A785" s="23" t="n">
        <v>781</v>
      </c>
      <c r="B785" s="24" t="inlineStr">
        <is>
          <t>WP LNCSF1135571</t>
        </is>
      </c>
      <c r="C785" s="25" t="inlineStr">
        <is>
          <t>Life n Colors - Hazy Forest Background Wallpaper for Walls  - Non-woven - a soft feel paper</t>
        </is>
      </c>
      <c r="D785" s="23" t="inlineStr">
        <is>
          <t>Life n Colors</t>
        </is>
      </c>
      <c r="E785" s="43" t="n">
        <v>46126</v>
      </c>
      <c r="F785" s="26" t="inlineStr">
        <is>
          <t>Sunil CR</t>
        </is>
      </c>
      <c r="G785" s="26" t="inlineStr">
        <is>
          <t>Yes</t>
        </is>
      </c>
      <c r="H785" s="26" t="inlineStr">
        <is>
          <t>No</t>
        </is>
      </c>
      <c r="I785" s="26" t="inlineStr">
        <is>
          <t>Good finish</t>
        </is>
      </c>
      <c r="J785" s="26" t="inlineStr">
        <is>
          <t>Yes</t>
        </is>
      </c>
      <c r="K785" s="27" t="n"/>
      <c r="L785" s="28" t="inlineStr">
        <is>
          <t>No</t>
        </is>
      </c>
      <c r="M785" s="29">
        <f>IF(E785="","",IF(H785="Yes","❌ Disc",IF(G785="No","⚠ Missing",IF(J785="Yes","✓ OK","⚠ Check"))))</f>
        <v/>
      </c>
      <c r="N785" s="43" t="n">
        <v>46193</v>
      </c>
      <c r="O785" s="26" t="inlineStr">
        <is>
          <t>Sunil CR</t>
        </is>
      </c>
      <c r="P785" s="26" t="inlineStr">
        <is>
          <t>Yes</t>
        </is>
      </c>
      <c r="Q785" s="26" t="inlineStr">
        <is>
          <t>No</t>
        </is>
      </c>
      <c r="R785" s="26" t="inlineStr">
        <is>
          <t>Good finish</t>
        </is>
      </c>
      <c r="S785" s="26" t="inlineStr">
        <is>
          <t>Yes</t>
        </is>
      </c>
      <c r="T785" s="27" t="n"/>
      <c r="U785" s="28" t="inlineStr">
        <is>
          <t>No</t>
        </is>
      </c>
      <c r="V785" s="29">
        <f>IF(N785="","",IF(Q785="Yes","❌ Disc",IF(P785="No","⚠ Missing",IF(S785="Yes","✓ OK","⚠ Check"))))</f>
        <v/>
      </c>
      <c r="W785" s="65" t="n">
        <v>46248</v>
      </c>
      <c r="X785" s="30" t="inlineStr">
        <is>
          <t>Sunil CR</t>
        </is>
      </c>
      <c r="Y785" s="30" t="inlineStr">
        <is>
          <t>Yes</t>
        </is>
      </c>
      <c r="Z785" s="30" t="n"/>
      <c r="AA785" s="30" t="inlineStr">
        <is>
          <t>Good finish</t>
        </is>
      </c>
      <c r="AB785" s="30" t="inlineStr">
        <is>
          <t>Yes</t>
        </is>
      </c>
      <c r="AC785" s="27" t="n"/>
      <c r="AD785" s="31" t="inlineStr">
        <is>
          <t>No</t>
        </is>
      </c>
      <c r="AE785" s="32">
        <f>IF(W785="","",IF(Z785="Yes","❌ Disc",IF(Y785="No","⚠ Missing",IF(AB785="Yes","✓ OK","⚠ Check"))))</f>
        <v/>
      </c>
      <c r="AF785" s="33" t="n"/>
      <c r="AG785" s="33" t="n"/>
      <c r="AH785" s="33" t="n"/>
      <c r="AI785" s="33" t="n"/>
      <c r="AJ785" s="33" t="n"/>
      <c r="AK785" s="33" t="n"/>
      <c r="AL785" s="27" t="n"/>
      <c r="AM785" s="34" t="n"/>
      <c r="AN785" s="35">
        <f>IF(AF785="","",IF(AI785="Yes","❌ Disc",IF(AH785="No","⚠ Missing",IF(AK785="Yes","✓ OK","⚠ Check"))))</f>
        <v/>
      </c>
      <c r="AO785" s="36" t="n"/>
      <c r="AP785" s="36" t="n"/>
      <c r="AQ785" s="36" t="n"/>
      <c r="AR785" s="36" t="n"/>
      <c r="AS785" s="36" t="n"/>
      <c r="AT785" s="36" t="n"/>
      <c r="AU785" s="27" t="n"/>
      <c r="AV785" s="37" t="n"/>
      <c r="AW785" s="38">
        <f>IF(AO785="","",IF(AR785="Yes","❌ Disc",IF(AQ785="No","⚠ Missing",IF(AT785="Yes","✓ OK","⚠ Check"))))</f>
        <v/>
      </c>
    </row>
    <row r="786" ht="18" customHeight="1" s="46">
      <c r="A786" s="39" t="n">
        <v>782</v>
      </c>
      <c r="B786" s="40" t="inlineStr">
        <is>
          <t>WP LNCCN1051840</t>
        </is>
      </c>
      <c r="C786" s="41" t="inlineStr">
        <is>
          <t>Life n Colors - High Fashion Ikat Wallpaper, Pastel Shades  -  Canvas - a texture paper</t>
        </is>
      </c>
      <c r="D786" s="39" t="inlineStr">
        <is>
          <t>Life n Colors</t>
        </is>
      </c>
      <c r="E786" s="43" t="n">
        <v>46126</v>
      </c>
      <c r="F786" s="26" t="inlineStr">
        <is>
          <t>Sunil CR</t>
        </is>
      </c>
      <c r="G786" s="26" t="inlineStr">
        <is>
          <t>Yes</t>
        </is>
      </c>
      <c r="H786" s="26" t="inlineStr">
        <is>
          <t>No</t>
        </is>
      </c>
      <c r="I786" s="26" t="inlineStr">
        <is>
          <t>Good finish</t>
        </is>
      </c>
      <c r="J786" s="26" t="inlineStr">
        <is>
          <t>Yes</t>
        </is>
      </c>
      <c r="K786" s="27" t="n"/>
      <c r="L786" s="28" t="inlineStr">
        <is>
          <t>No</t>
        </is>
      </c>
      <c r="M786" s="29">
        <f>IF(E786="","",IF(H786="Yes","❌ Disc",IF(G786="No","⚠ Missing",IF(J786="Yes","✓ OK","⚠ Check"))))</f>
        <v/>
      </c>
      <c r="N786" s="43" t="n">
        <v>46193</v>
      </c>
      <c r="O786" s="26" t="inlineStr">
        <is>
          <t>Sunil CR</t>
        </is>
      </c>
      <c r="P786" s="26" t="inlineStr">
        <is>
          <t>Yes</t>
        </is>
      </c>
      <c r="Q786" s="26" t="inlineStr">
        <is>
          <t>No</t>
        </is>
      </c>
      <c r="R786" s="26" t="inlineStr">
        <is>
          <t>Good finish</t>
        </is>
      </c>
      <c r="S786" s="26" t="inlineStr">
        <is>
          <t>Yes</t>
        </is>
      </c>
      <c r="T786" s="27" t="n"/>
      <c r="U786" s="28" t="inlineStr">
        <is>
          <t>No</t>
        </is>
      </c>
      <c r="V786" s="29">
        <f>IF(N786="","",IF(Q786="Yes","❌ Disc",IF(P786="No","⚠ Missing",IF(S786="Yes","✓ OK","⚠ Check"))))</f>
        <v/>
      </c>
      <c r="W786" s="65" t="n">
        <v>46248</v>
      </c>
      <c r="X786" s="30" t="inlineStr">
        <is>
          <t>Sunil CR</t>
        </is>
      </c>
      <c r="Y786" s="30" t="inlineStr">
        <is>
          <t>Yes</t>
        </is>
      </c>
      <c r="Z786" s="30" t="n"/>
      <c r="AA786" s="30" t="inlineStr">
        <is>
          <t>Good finish</t>
        </is>
      </c>
      <c r="AB786" s="30" t="inlineStr">
        <is>
          <t>Yes</t>
        </is>
      </c>
      <c r="AC786" s="27" t="n"/>
      <c r="AD786" s="31" t="inlineStr">
        <is>
          <t>No</t>
        </is>
      </c>
      <c r="AE786" s="32">
        <f>IF(W786="","",IF(Z786="Yes","❌ Disc",IF(Y786="No","⚠ Missing",IF(AB786="Yes","✓ OK","⚠ Check"))))</f>
        <v/>
      </c>
      <c r="AF786" s="33" t="n"/>
      <c r="AG786" s="33" t="n"/>
      <c r="AH786" s="33" t="n"/>
      <c r="AI786" s="33" t="n"/>
      <c r="AJ786" s="33" t="n"/>
      <c r="AK786" s="33" t="n"/>
      <c r="AL786" s="27" t="n"/>
      <c r="AM786" s="34" t="n"/>
      <c r="AN786" s="35">
        <f>IF(AF786="","",IF(AI786="Yes","❌ Disc",IF(AH786="No","⚠ Missing",IF(AK786="Yes","✓ OK","⚠ Check"))))</f>
        <v/>
      </c>
      <c r="AO786" s="36" t="n"/>
      <c r="AP786" s="36" t="n"/>
      <c r="AQ786" s="36" t="n"/>
      <c r="AR786" s="36" t="n"/>
      <c r="AS786" s="36" t="n"/>
      <c r="AT786" s="36" t="n"/>
      <c r="AU786" s="27" t="n"/>
      <c r="AV786" s="37" t="n"/>
      <c r="AW786" s="38">
        <f>IF(AO786="","",IF(AR786="Yes","❌ Disc",IF(AQ786="No","⚠ Missing",IF(AT786="Yes","✓ OK","⚠ Check"))))</f>
        <v/>
      </c>
    </row>
    <row r="787" ht="18" customHeight="1" s="46">
      <c r="A787" s="23" t="n">
        <v>783</v>
      </c>
      <c r="B787" s="24" t="inlineStr">
        <is>
          <t>WP LNCSF1051840</t>
        </is>
      </c>
      <c r="C787" s="25" t="inlineStr">
        <is>
          <t>Life n Colors - High Fashion Ikat Wallpaper, Pastel Shades  - Non-woven - a soft feel paper</t>
        </is>
      </c>
      <c r="D787" s="23" t="inlineStr">
        <is>
          <t>Life n Colors</t>
        </is>
      </c>
      <c r="E787" s="43" t="n">
        <v>46126</v>
      </c>
      <c r="F787" s="26" t="inlineStr">
        <is>
          <t>Sunil CR</t>
        </is>
      </c>
      <c r="G787" s="26" t="inlineStr">
        <is>
          <t>Yes</t>
        </is>
      </c>
      <c r="H787" s="26" t="inlineStr">
        <is>
          <t>No</t>
        </is>
      </c>
      <c r="I787" s="26" t="inlineStr">
        <is>
          <t>Good finish</t>
        </is>
      </c>
      <c r="J787" s="26" t="inlineStr">
        <is>
          <t>Yes</t>
        </is>
      </c>
      <c r="K787" s="27" t="n"/>
      <c r="L787" s="28" t="inlineStr">
        <is>
          <t>No</t>
        </is>
      </c>
      <c r="M787" s="29">
        <f>IF(E787="","",IF(H787="Yes","❌ Disc",IF(G787="No","⚠ Missing",IF(J787="Yes","✓ OK","⚠ Check"))))</f>
        <v/>
      </c>
      <c r="N787" s="43" t="n">
        <v>46193</v>
      </c>
      <c r="O787" s="26" t="inlineStr">
        <is>
          <t>Sunil CR</t>
        </is>
      </c>
      <c r="P787" s="26" t="inlineStr">
        <is>
          <t>Yes</t>
        </is>
      </c>
      <c r="Q787" s="26" t="inlineStr">
        <is>
          <t>No</t>
        </is>
      </c>
      <c r="R787" s="26" t="inlineStr">
        <is>
          <t>Good finish</t>
        </is>
      </c>
      <c r="S787" s="26" t="inlineStr">
        <is>
          <t>Yes</t>
        </is>
      </c>
      <c r="T787" s="27" t="n"/>
      <c r="U787" s="28" t="inlineStr">
        <is>
          <t>No</t>
        </is>
      </c>
      <c r="V787" s="29">
        <f>IF(N787="","",IF(Q787="Yes","❌ Disc",IF(P787="No","⚠ Missing",IF(S787="Yes","✓ OK","⚠ Check"))))</f>
        <v/>
      </c>
      <c r="W787" s="65" t="n">
        <v>46248</v>
      </c>
      <c r="X787" s="30" t="inlineStr">
        <is>
          <t>Sunil CR</t>
        </is>
      </c>
      <c r="Y787" s="30" t="inlineStr">
        <is>
          <t>Yes</t>
        </is>
      </c>
      <c r="Z787" s="30" t="n"/>
      <c r="AA787" s="30" t="inlineStr">
        <is>
          <t>Good finish</t>
        </is>
      </c>
      <c r="AB787" s="30" t="inlineStr">
        <is>
          <t>Yes</t>
        </is>
      </c>
      <c r="AC787" s="27" t="n"/>
      <c r="AD787" s="31" t="inlineStr">
        <is>
          <t>No</t>
        </is>
      </c>
      <c r="AE787" s="32">
        <f>IF(W787="","",IF(Z787="Yes","❌ Disc",IF(Y787="No","⚠ Missing",IF(AB787="Yes","✓ OK","⚠ Check"))))</f>
        <v/>
      </c>
      <c r="AF787" s="33" t="n"/>
      <c r="AG787" s="33" t="n"/>
      <c r="AH787" s="33" t="n"/>
      <c r="AI787" s="33" t="n"/>
      <c r="AJ787" s="33" t="n"/>
      <c r="AK787" s="33" t="n"/>
      <c r="AL787" s="27" t="n"/>
      <c r="AM787" s="34" t="n"/>
      <c r="AN787" s="35">
        <f>IF(AF787="","",IF(AI787="Yes","❌ Disc",IF(AH787="No","⚠ Missing",IF(AK787="Yes","✓ OK","⚠ Check"))))</f>
        <v/>
      </c>
      <c r="AO787" s="36" t="n"/>
      <c r="AP787" s="36" t="n"/>
      <c r="AQ787" s="36" t="n"/>
      <c r="AR787" s="36" t="n"/>
      <c r="AS787" s="36" t="n"/>
      <c r="AT787" s="36" t="n"/>
      <c r="AU787" s="27" t="n"/>
      <c r="AV787" s="37" t="n"/>
      <c r="AW787" s="38">
        <f>IF(AO787="","",IF(AR787="Yes","❌ Disc",IF(AQ787="No","⚠ Missing",IF(AT787="Yes","✓ OK","⚠ Check"))))</f>
        <v/>
      </c>
    </row>
    <row r="788" ht="18" customHeight="1" s="46">
      <c r="A788" s="39" t="n">
        <v>784</v>
      </c>
      <c r="B788" s="40" t="inlineStr">
        <is>
          <t>WP LNCCN271525</t>
        </is>
      </c>
      <c r="C788" s="41" t="inlineStr">
        <is>
          <t>Life n Colors - Hindustan, Indian Folk Art Inspired Montage Wallpaper  -  Canvas - a texture paper</t>
        </is>
      </c>
      <c r="D788" s="39" t="inlineStr">
        <is>
          <t>Life n Colors</t>
        </is>
      </c>
      <c r="E788" s="43" t="n">
        <v>46126</v>
      </c>
      <c r="F788" s="26" t="inlineStr">
        <is>
          <t>Sunil CR</t>
        </is>
      </c>
      <c r="G788" s="26" t="inlineStr">
        <is>
          <t>Yes</t>
        </is>
      </c>
      <c r="H788" s="26" t="inlineStr">
        <is>
          <t>No</t>
        </is>
      </c>
      <c r="I788" s="26" t="inlineStr">
        <is>
          <t>Good finish</t>
        </is>
      </c>
      <c r="J788" s="26" t="inlineStr">
        <is>
          <t>Yes</t>
        </is>
      </c>
      <c r="K788" s="27" t="n"/>
      <c r="L788" s="28" t="inlineStr">
        <is>
          <t>No</t>
        </is>
      </c>
      <c r="M788" s="29">
        <f>IF(E788="","",IF(H788="Yes","❌ Disc",IF(G788="No","⚠ Missing",IF(J788="Yes","✓ OK","⚠ Check"))))</f>
        <v/>
      </c>
      <c r="N788" s="43" t="n">
        <v>46193</v>
      </c>
      <c r="O788" s="26" t="inlineStr">
        <is>
          <t>Sunil CR</t>
        </is>
      </c>
      <c r="P788" s="26" t="inlineStr">
        <is>
          <t>Yes</t>
        </is>
      </c>
      <c r="Q788" s="26" t="inlineStr">
        <is>
          <t>No</t>
        </is>
      </c>
      <c r="R788" s="26" t="inlineStr">
        <is>
          <t>Good finish</t>
        </is>
      </c>
      <c r="S788" s="26" t="inlineStr">
        <is>
          <t>Yes</t>
        </is>
      </c>
      <c r="T788" s="27" t="n"/>
      <c r="U788" s="28" t="inlineStr">
        <is>
          <t>No</t>
        </is>
      </c>
      <c r="V788" s="29">
        <f>IF(N788="","",IF(Q788="Yes","❌ Disc",IF(P788="No","⚠ Missing",IF(S788="Yes","✓ OK","⚠ Check"))))</f>
        <v/>
      </c>
      <c r="W788" s="65" t="n">
        <v>46248</v>
      </c>
      <c r="X788" s="30" t="inlineStr">
        <is>
          <t>Sunil CR</t>
        </is>
      </c>
      <c r="Y788" s="30" t="inlineStr">
        <is>
          <t>Yes</t>
        </is>
      </c>
      <c r="Z788" s="30" t="n"/>
      <c r="AA788" s="30" t="inlineStr">
        <is>
          <t>Good finish</t>
        </is>
      </c>
      <c r="AB788" s="30" t="inlineStr">
        <is>
          <t>Yes</t>
        </is>
      </c>
      <c r="AC788" s="27" t="n"/>
      <c r="AD788" s="31" t="inlineStr">
        <is>
          <t>No</t>
        </is>
      </c>
      <c r="AE788" s="32">
        <f>IF(W788="","",IF(Z788="Yes","❌ Disc",IF(Y788="No","⚠ Missing",IF(AB788="Yes","✓ OK","⚠ Check"))))</f>
        <v/>
      </c>
      <c r="AF788" s="33" t="n"/>
      <c r="AG788" s="33" t="n"/>
      <c r="AH788" s="33" t="n"/>
      <c r="AI788" s="33" t="n"/>
      <c r="AJ788" s="33" t="n"/>
      <c r="AK788" s="33" t="n"/>
      <c r="AL788" s="27" t="n"/>
      <c r="AM788" s="34" t="n"/>
      <c r="AN788" s="35">
        <f>IF(AF788="","",IF(AI788="Yes","❌ Disc",IF(AH788="No","⚠ Missing",IF(AK788="Yes","✓ OK","⚠ Check"))))</f>
        <v/>
      </c>
      <c r="AO788" s="36" t="n"/>
      <c r="AP788" s="36" t="n"/>
      <c r="AQ788" s="36" t="n"/>
      <c r="AR788" s="36" t="n"/>
      <c r="AS788" s="36" t="n"/>
      <c r="AT788" s="36" t="n"/>
      <c r="AU788" s="27" t="n"/>
      <c r="AV788" s="37" t="n"/>
      <c r="AW788" s="38">
        <f>IF(AO788="","",IF(AR788="Yes","❌ Disc",IF(AQ788="No","⚠ Missing",IF(AT788="Yes","✓ OK","⚠ Check"))))</f>
        <v/>
      </c>
    </row>
    <row r="789" ht="18" customHeight="1" s="46">
      <c r="A789" s="23" t="n">
        <v>785</v>
      </c>
      <c r="B789" s="24" t="inlineStr">
        <is>
          <t>WP LNCCN1028622</t>
        </is>
      </c>
      <c r="C789" s="25" t="inlineStr">
        <is>
          <t>Life n Colors - Indian Elephants Wallpaper Design for Rooms  -  Canvas - a texture paper</t>
        </is>
      </c>
      <c r="D789" s="23" t="inlineStr">
        <is>
          <t>Life n Colors</t>
        </is>
      </c>
      <c r="E789" s="43" t="n">
        <v>46126</v>
      </c>
      <c r="F789" s="26" t="inlineStr">
        <is>
          <t>Sunil CR</t>
        </is>
      </c>
      <c r="G789" s="26" t="inlineStr">
        <is>
          <t>Yes</t>
        </is>
      </c>
      <c r="H789" s="26" t="inlineStr">
        <is>
          <t>No</t>
        </is>
      </c>
      <c r="I789" s="26" t="inlineStr">
        <is>
          <t>Good finish</t>
        </is>
      </c>
      <c r="J789" s="26" t="inlineStr">
        <is>
          <t>Yes</t>
        </is>
      </c>
      <c r="K789" s="27" t="n"/>
      <c r="L789" s="28" t="inlineStr">
        <is>
          <t>No</t>
        </is>
      </c>
      <c r="M789" s="29">
        <f>IF(E789="","",IF(H789="Yes","❌ Disc",IF(G789="No","⚠ Missing",IF(J789="Yes","✓ OK","⚠ Check"))))</f>
        <v/>
      </c>
      <c r="N789" s="43" t="n">
        <v>46193</v>
      </c>
      <c r="O789" s="26" t="inlineStr">
        <is>
          <t>Sunil CR</t>
        </is>
      </c>
      <c r="P789" s="26" t="inlineStr">
        <is>
          <t>Yes</t>
        </is>
      </c>
      <c r="Q789" s="26" t="inlineStr">
        <is>
          <t>No</t>
        </is>
      </c>
      <c r="R789" s="26" t="inlineStr">
        <is>
          <t>Good finish</t>
        </is>
      </c>
      <c r="S789" s="26" t="inlineStr">
        <is>
          <t>Yes</t>
        </is>
      </c>
      <c r="T789" s="27" t="n"/>
      <c r="U789" s="28" t="inlineStr">
        <is>
          <t>No</t>
        </is>
      </c>
      <c r="V789" s="29">
        <f>IF(N789="","",IF(Q789="Yes","❌ Disc",IF(P789="No","⚠ Missing",IF(S789="Yes","✓ OK","⚠ Check"))))</f>
        <v/>
      </c>
      <c r="W789" s="65" t="n">
        <v>46248</v>
      </c>
      <c r="X789" s="30" t="inlineStr">
        <is>
          <t>Sunil CR</t>
        </is>
      </c>
      <c r="Y789" s="30" t="inlineStr">
        <is>
          <t>Yes</t>
        </is>
      </c>
      <c r="Z789" s="30" t="n"/>
      <c r="AA789" s="30" t="inlineStr">
        <is>
          <t>Good finish</t>
        </is>
      </c>
      <c r="AB789" s="30" t="inlineStr">
        <is>
          <t>Yes</t>
        </is>
      </c>
      <c r="AC789" s="27" t="n"/>
      <c r="AD789" s="31" t="inlineStr">
        <is>
          <t>No</t>
        </is>
      </c>
      <c r="AE789" s="32">
        <f>IF(W789="","",IF(Z789="Yes","❌ Disc",IF(Y789="No","⚠ Missing",IF(AB789="Yes","✓ OK","⚠ Check"))))</f>
        <v/>
      </c>
      <c r="AF789" s="33" t="n"/>
      <c r="AG789" s="33" t="n"/>
      <c r="AH789" s="33" t="n"/>
      <c r="AI789" s="33" t="n"/>
      <c r="AJ789" s="33" t="n"/>
      <c r="AK789" s="33" t="n"/>
      <c r="AL789" s="27" t="n"/>
      <c r="AM789" s="34" t="n"/>
      <c r="AN789" s="35">
        <f>IF(AF789="","",IF(AI789="Yes","❌ Disc",IF(AH789="No","⚠ Missing",IF(AK789="Yes","✓ OK","⚠ Check"))))</f>
        <v/>
      </c>
      <c r="AO789" s="36" t="n"/>
      <c r="AP789" s="36" t="n"/>
      <c r="AQ789" s="36" t="n"/>
      <c r="AR789" s="36" t="n"/>
      <c r="AS789" s="36" t="n"/>
      <c r="AT789" s="36" t="n"/>
      <c r="AU789" s="27" t="n"/>
      <c r="AV789" s="37" t="n"/>
      <c r="AW789" s="38">
        <f>IF(AO789="","",IF(AR789="Yes","❌ Disc",IF(AQ789="No","⚠ Missing",IF(AT789="Yes","✓ OK","⚠ Check"))))</f>
        <v/>
      </c>
    </row>
    <row r="790" ht="18" customHeight="1" s="46">
      <c r="A790" s="39" t="n">
        <v>786</v>
      </c>
      <c r="B790" s="40" t="inlineStr">
        <is>
          <t>WP LNCSF1028622</t>
        </is>
      </c>
      <c r="C790" s="41" t="inlineStr">
        <is>
          <t>Life n Colors - Indian Elephants Wallpaper Design for Rooms  - Non-woven - a soft feel paper</t>
        </is>
      </c>
      <c r="D790" s="39" t="inlineStr">
        <is>
          <t>Life n Colors</t>
        </is>
      </c>
      <c r="E790" s="43" t="n">
        <v>46126</v>
      </c>
      <c r="F790" s="26" t="inlineStr">
        <is>
          <t>Sunil CR</t>
        </is>
      </c>
      <c r="G790" s="26" t="inlineStr">
        <is>
          <t>Yes</t>
        </is>
      </c>
      <c r="H790" s="26" t="inlineStr">
        <is>
          <t>No</t>
        </is>
      </c>
      <c r="I790" s="26" t="inlineStr">
        <is>
          <t>Good finish</t>
        </is>
      </c>
      <c r="J790" s="26" t="inlineStr">
        <is>
          <t>Yes</t>
        </is>
      </c>
      <c r="K790" s="27" t="n"/>
      <c r="L790" s="28" t="inlineStr">
        <is>
          <t>No</t>
        </is>
      </c>
      <c r="M790" s="29">
        <f>IF(E790="","",IF(H790="Yes","❌ Disc",IF(G790="No","⚠ Missing",IF(J790="Yes","✓ OK","⚠ Check"))))</f>
        <v/>
      </c>
      <c r="N790" s="43" t="n">
        <v>46193</v>
      </c>
      <c r="O790" s="26" t="inlineStr">
        <is>
          <t>Sunil CR</t>
        </is>
      </c>
      <c r="P790" s="26" t="inlineStr">
        <is>
          <t>Yes</t>
        </is>
      </c>
      <c r="Q790" s="26" t="inlineStr">
        <is>
          <t>No</t>
        </is>
      </c>
      <c r="R790" s="26" t="inlineStr">
        <is>
          <t>Good finish</t>
        </is>
      </c>
      <c r="S790" s="26" t="inlineStr">
        <is>
          <t>Yes</t>
        </is>
      </c>
      <c r="T790" s="27" t="n"/>
      <c r="U790" s="28" t="inlineStr">
        <is>
          <t>No</t>
        </is>
      </c>
      <c r="V790" s="29">
        <f>IF(N790="","",IF(Q790="Yes","❌ Disc",IF(P790="No","⚠ Missing",IF(S790="Yes","✓ OK","⚠ Check"))))</f>
        <v/>
      </c>
      <c r="W790" s="65" t="n">
        <v>46248</v>
      </c>
      <c r="X790" s="30" t="inlineStr">
        <is>
          <t>Sunil CR</t>
        </is>
      </c>
      <c r="Y790" s="30" t="inlineStr">
        <is>
          <t>Yes</t>
        </is>
      </c>
      <c r="Z790" s="30" t="n"/>
      <c r="AA790" s="30" t="inlineStr">
        <is>
          <t>Good finish</t>
        </is>
      </c>
      <c r="AB790" s="30" t="inlineStr">
        <is>
          <t>Yes</t>
        </is>
      </c>
      <c r="AC790" s="27" t="n"/>
      <c r="AD790" s="31" t="inlineStr">
        <is>
          <t>No</t>
        </is>
      </c>
      <c r="AE790" s="32">
        <f>IF(W790="","",IF(Z790="Yes","❌ Disc",IF(Y790="No","⚠ Missing",IF(AB790="Yes","✓ OK","⚠ Check"))))</f>
        <v/>
      </c>
      <c r="AF790" s="33" t="n"/>
      <c r="AG790" s="33" t="n"/>
      <c r="AH790" s="33" t="n"/>
      <c r="AI790" s="33" t="n"/>
      <c r="AJ790" s="33" t="n"/>
      <c r="AK790" s="33" t="n"/>
      <c r="AL790" s="27" t="n"/>
      <c r="AM790" s="34" t="n"/>
      <c r="AN790" s="35">
        <f>IF(AF790="","",IF(AI790="Yes","❌ Disc",IF(AH790="No","⚠ Missing",IF(AK790="Yes","✓ OK","⚠ Check"))))</f>
        <v/>
      </c>
      <c r="AO790" s="36" t="n"/>
      <c r="AP790" s="36" t="n"/>
      <c r="AQ790" s="36" t="n"/>
      <c r="AR790" s="36" t="n"/>
      <c r="AS790" s="36" t="n"/>
      <c r="AT790" s="36" t="n"/>
      <c r="AU790" s="27" t="n"/>
      <c r="AV790" s="37" t="n"/>
      <c r="AW790" s="38">
        <f>IF(AO790="","",IF(AR790="Yes","❌ Disc",IF(AQ790="No","⚠ Missing",IF(AT790="Yes","✓ OK","⚠ Check"))))</f>
        <v/>
      </c>
    </row>
    <row r="791" ht="18" customHeight="1" s="46">
      <c r="A791" s="23" t="n">
        <v>787</v>
      </c>
      <c r="B791" s="24" t="inlineStr">
        <is>
          <t>WP LNCCN1067311</t>
        </is>
      </c>
      <c r="C791" s="25" t="inlineStr">
        <is>
          <t>Life n Colors - Indian Floral Theme Repeat Design Wallpaper, Luxury  -  Canvas - a texture paper</t>
        </is>
      </c>
      <c r="D791" s="23" t="inlineStr">
        <is>
          <t>Life n Colors</t>
        </is>
      </c>
      <c r="E791" s="43" t="n">
        <v>46126</v>
      </c>
      <c r="F791" s="26" t="inlineStr">
        <is>
          <t>Sunil CR</t>
        </is>
      </c>
      <c r="G791" s="26" t="inlineStr">
        <is>
          <t>Yes</t>
        </is>
      </c>
      <c r="H791" s="26" t="inlineStr">
        <is>
          <t>No</t>
        </is>
      </c>
      <c r="I791" s="26" t="inlineStr">
        <is>
          <t>Good finish</t>
        </is>
      </c>
      <c r="J791" s="26" t="inlineStr">
        <is>
          <t>Yes</t>
        </is>
      </c>
      <c r="K791" s="27" t="n"/>
      <c r="L791" s="28" t="inlineStr">
        <is>
          <t>No</t>
        </is>
      </c>
      <c r="M791" s="29">
        <f>IF(E791="","",IF(H791="Yes","❌ Disc",IF(G791="No","⚠ Missing",IF(J791="Yes","✓ OK","⚠ Check"))))</f>
        <v/>
      </c>
      <c r="N791" s="43" t="n">
        <v>46193</v>
      </c>
      <c r="O791" s="26" t="inlineStr">
        <is>
          <t>Sunil CR</t>
        </is>
      </c>
      <c r="P791" s="26" t="inlineStr">
        <is>
          <t>Yes</t>
        </is>
      </c>
      <c r="Q791" s="26" t="inlineStr">
        <is>
          <t>No</t>
        </is>
      </c>
      <c r="R791" s="26" t="inlineStr">
        <is>
          <t>Good finish</t>
        </is>
      </c>
      <c r="S791" s="26" t="inlineStr">
        <is>
          <t>Yes</t>
        </is>
      </c>
      <c r="T791" s="27" t="n"/>
      <c r="U791" s="28" t="inlineStr">
        <is>
          <t>No</t>
        </is>
      </c>
      <c r="V791" s="29">
        <f>IF(N791="","",IF(Q791="Yes","❌ Disc",IF(P791="No","⚠ Missing",IF(S791="Yes","✓ OK","⚠ Check"))))</f>
        <v/>
      </c>
      <c r="W791" s="65" t="n">
        <v>46248</v>
      </c>
      <c r="X791" s="30" t="inlineStr">
        <is>
          <t>Sunil CR</t>
        </is>
      </c>
      <c r="Y791" s="30" t="inlineStr">
        <is>
          <t>Yes</t>
        </is>
      </c>
      <c r="Z791" s="30" t="n"/>
      <c r="AA791" s="30" t="inlineStr">
        <is>
          <t>Good finish</t>
        </is>
      </c>
      <c r="AB791" s="30" t="inlineStr">
        <is>
          <t>Yes</t>
        </is>
      </c>
      <c r="AC791" s="27" t="n"/>
      <c r="AD791" s="31" t="inlineStr">
        <is>
          <t>No</t>
        </is>
      </c>
      <c r="AE791" s="32">
        <f>IF(W791="","",IF(Z791="Yes","❌ Disc",IF(Y791="No","⚠ Missing",IF(AB791="Yes","✓ OK","⚠ Check"))))</f>
        <v/>
      </c>
      <c r="AF791" s="33" t="n"/>
      <c r="AG791" s="33" t="n"/>
      <c r="AH791" s="33" t="n"/>
      <c r="AI791" s="33" t="n"/>
      <c r="AJ791" s="33" t="n"/>
      <c r="AK791" s="33" t="n"/>
      <c r="AL791" s="27" t="n"/>
      <c r="AM791" s="34" t="n"/>
      <c r="AN791" s="35">
        <f>IF(AF791="","",IF(AI791="Yes","❌ Disc",IF(AH791="No","⚠ Missing",IF(AK791="Yes","✓ OK","⚠ Check"))))</f>
        <v/>
      </c>
      <c r="AO791" s="36" t="n"/>
      <c r="AP791" s="36" t="n"/>
      <c r="AQ791" s="36" t="n"/>
      <c r="AR791" s="36" t="n"/>
      <c r="AS791" s="36" t="n"/>
      <c r="AT791" s="36" t="n"/>
      <c r="AU791" s="27" t="n"/>
      <c r="AV791" s="37" t="n"/>
      <c r="AW791" s="38">
        <f>IF(AO791="","",IF(AR791="Yes","❌ Disc",IF(AQ791="No","⚠ Missing",IF(AT791="Yes","✓ OK","⚠ Check"))))</f>
        <v/>
      </c>
    </row>
    <row r="792" ht="18" customHeight="1" s="46">
      <c r="A792" s="39" t="n">
        <v>788</v>
      </c>
      <c r="B792" s="40" t="inlineStr">
        <is>
          <t>WP LNCSF1067311</t>
        </is>
      </c>
      <c r="C792" s="41" t="inlineStr">
        <is>
          <t>Life n Colors - Indian Floral Theme Repeat Design Wallpaper, Luxury  - Non-woven - a soft feel paper</t>
        </is>
      </c>
      <c r="D792" s="39" t="inlineStr">
        <is>
          <t>Life n Colors</t>
        </is>
      </c>
      <c r="E792" s="43" t="n">
        <v>46126</v>
      </c>
      <c r="F792" s="26" t="inlineStr">
        <is>
          <t>Sunil CR</t>
        </is>
      </c>
      <c r="G792" s="26" t="inlineStr">
        <is>
          <t>Yes</t>
        </is>
      </c>
      <c r="H792" s="26" t="inlineStr">
        <is>
          <t>No</t>
        </is>
      </c>
      <c r="I792" s="26" t="inlineStr">
        <is>
          <t>Good finish</t>
        </is>
      </c>
      <c r="J792" s="26" t="inlineStr">
        <is>
          <t>Yes</t>
        </is>
      </c>
      <c r="K792" s="27" t="n"/>
      <c r="L792" s="28" t="inlineStr">
        <is>
          <t>No</t>
        </is>
      </c>
      <c r="M792" s="29">
        <f>IF(E792="","",IF(H792="Yes","❌ Disc",IF(G792="No","⚠ Missing",IF(J792="Yes","✓ OK","⚠ Check"))))</f>
        <v/>
      </c>
      <c r="N792" s="43" t="n">
        <v>46193</v>
      </c>
      <c r="O792" s="26" t="inlineStr">
        <is>
          <t>Sunil CR</t>
        </is>
      </c>
      <c r="P792" s="26" t="inlineStr">
        <is>
          <t>Yes</t>
        </is>
      </c>
      <c r="Q792" s="26" t="inlineStr">
        <is>
          <t>No</t>
        </is>
      </c>
      <c r="R792" s="26" t="inlineStr">
        <is>
          <t>Good finish</t>
        </is>
      </c>
      <c r="S792" s="26" t="inlineStr">
        <is>
          <t>Yes</t>
        </is>
      </c>
      <c r="T792" s="27" t="n"/>
      <c r="U792" s="28" t="inlineStr">
        <is>
          <t>No</t>
        </is>
      </c>
      <c r="V792" s="29">
        <f>IF(N792="","",IF(Q792="Yes","❌ Disc",IF(P792="No","⚠ Missing",IF(S792="Yes","✓ OK","⚠ Check"))))</f>
        <v/>
      </c>
      <c r="W792" s="65" t="n">
        <v>46248</v>
      </c>
      <c r="X792" s="30" t="inlineStr">
        <is>
          <t>Sunil CR</t>
        </is>
      </c>
      <c r="Y792" s="30" t="inlineStr">
        <is>
          <t>Yes</t>
        </is>
      </c>
      <c r="Z792" s="30" t="n"/>
      <c r="AA792" s="30" t="inlineStr">
        <is>
          <t>Good finish</t>
        </is>
      </c>
      <c r="AB792" s="30" t="inlineStr">
        <is>
          <t>Yes</t>
        </is>
      </c>
      <c r="AC792" s="27" t="n"/>
      <c r="AD792" s="31" t="inlineStr">
        <is>
          <t>No</t>
        </is>
      </c>
      <c r="AE792" s="32">
        <f>IF(W792="","",IF(Z792="Yes","❌ Disc",IF(Y792="No","⚠ Missing",IF(AB792="Yes","✓ OK","⚠ Check"))))</f>
        <v/>
      </c>
      <c r="AF792" s="33" t="n"/>
      <c r="AG792" s="33" t="n"/>
      <c r="AH792" s="33" t="n"/>
      <c r="AI792" s="33" t="n"/>
      <c r="AJ792" s="33" t="n"/>
      <c r="AK792" s="33" t="n"/>
      <c r="AL792" s="27" t="n"/>
      <c r="AM792" s="34" t="n"/>
      <c r="AN792" s="35">
        <f>IF(AF792="","",IF(AI792="Yes","❌ Disc",IF(AH792="No","⚠ Missing",IF(AK792="Yes","✓ OK","⚠ Check"))))</f>
        <v/>
      </c>
      <c r="AO792" s="36" t="n"/>
      <c r="AP792" s="36" t="n"/>
      <c r="AQ792" s="36" t="n"/>
      <c r="AR792" s="36" t="n"/>
      <c r="AS792" s="36" t="n"/>
      <c r="AT792" s="36" t="n"/>
      <c r="AU792" s="27" t="n"/>
      <c r="AV792" s="37" t="n"/>
      <c r="AW792" s="38">
        <f>IF(AO792="","",IF(AR792="Yes","❌ Disc",IF(AQ792="No","⚠ Missing",IF(AT792="Yes","✓ OK","⚠ Check"))))</f>
        <v/>
      </c>
    </row>
    <row r="793" ht="18" customHeight="1" s="46">
      <c r="A793" s="23" t="n">
        <v>789</v>
      </c>
      <c r="B793" s="24" t="inlineStr">
        <is>
          <t>WP LNCCN1180739</t>
        </is>
      </c>
      <c r="C793" s="25" t="inlineStr">
        <is>
          <t>Life n Colors - Indian Floral Theme Repeat Design Wallpaper, Luxury, Customised  -  Canvas - a texture paper</t>
        </is>
      </c>
      <c r="D793" s="23" t="inlineStr">
        <is>
          <t>Life n Colors</t>
        </is>
      </c>
      <c r="E793" s="43" t="n">
        <v>46126</v>
      </c>
      <c r="F793" s="26" t="inlineStr">
        <is>
          <t>Sunil CR</t>
        </is>
      </c>
      <c r="G793" s="26" t="inlineStr">
        <is>
          <t>Yes</t>
        </is>
      </c>
      <c r="H793" s="26" t="inlineStr">
        <is>
          <t>No</t>
        </is>
      </c>
      <c r="I793" s="26" t="inlineStr">
        <is>
          <t>Good finish</t>
        </is>
      </c>
      <c r="J793" s="26" t="inlineStr">
        <is>
          <t>Yes</t>
        </is>
      </c>
      <c r="K793" s="27" t="n"/>
      <c r="L793" s="28" t="inlineStr">
        <is>
          <t>No</t>
        </is>
      </c>
      <c r="M793" s="29">
        <f>IF(E793="","",IF(H793="Yes","❌ Disc",IF(G793="No","⚠ Missing",IF(J793="Yes","✓ OK","⚠ Check"))))</f>
        <v/>
      </c>
      <c r="N793" s="43" t="n">
        <v>46193</v>
      </c>
      <c r="O793" s="26" t="inlineStr">
        <is>
          <t>Sunil CR</t>
        </is>
      </c>
      <c r="P793" s="26" t="inlineStr">
        <is>
          <t>Yes</t>
        </is>
      </c>
      <c r="Q793" s="26" t="inlineStr">
        <is>
          <t>No</t>
        </is>
      </c>
      <c r="R793" s="26" t="inlineStr">
        <is>
          <t>Good finish</t>
        </is>
      </c>
      <c r="S793" s="26" t="inlineStr">
        <is>
          <t>Yes</t>
        </is>
      </c>
      <c r="T793" s="27" t="n"/>
      <c r="U793" s="28" t="inlineStr">
        <is>
          <t>No</t>
        </is>
      </c>
      <c r="V793" s="29">
        <f>IF(N793="","",IF(Q793="Yes","❌ Disc",IF(P793="No","⚠ Missing",IF(S793="Yes","✓ OK","⚠ Check"))))</f>
        <v/>
      </c>
      <c r="W793" s="65" t="n">
        <v>46248</v>
      </c>
      <c r="X793" s="30" t="inlineStr">
        <is>
          <t>Sunil CR</t>
        </is>
      </c>
      <c r="Y793" s="30" t="inlineStr">
        <is>
          <t>Yes</t>
        </is>
      </c>
      <c r="Z793" s="30" t="n"/>
      <c r="AA793" s="30" t="inlineStr">
        <is>
          <t>Good finish</t>
        </is>
      </c>
      <c r="AB793" s="30" t="inlineStr">
        <is>
          <t>Yes</t>
        </is>
      </c>
      <c r="AC793" s="27" t="n"/>
      <c r="AD793" s="31" t="inlineStr">
        <is>
          <t>No</t>
        </is>
      </c>
      <c r="AE793" s="32">
        <f>IF(W793="","",IF(Z793="Yes","❌ Disc",IF(Y793="No","⚠ Missing",IF(AB793="Yes","✓ OK","⚠ Check"))))</f>
        <v/>
      </c>
      <c r="AF793" s="33" t="n"/>
      <c r="AG793" s="33" t="n"/>
      <c r="AH793" s="33" t="n"/>
      <c r="AI793" s="33" t="n"/>
      <c r="AJ793" s="33" t="n"/>
      <c r="AK793" s="33" t="n"/>
      <c r="AL793" s="27" t="n"/>
      <c r="AM793" s="34" t="n"/>
      <c r="AN793" s="35">
        <f>IF(AF793="","",IF(AI793="Yes","❌ Disc",IF(AH793="No","⚠ Missing",IF(AK793="Yes","✓ OK","⚠ Check"))))</f>
        <v/>
      </c>
      <c r="AO793" s="36" t="n"/>
      <c r="AP793" s="36" t="n"/>
      <c r="AQ793" s="36" t="n"/>
      <c r="AR793" s="36" t="n"/>
      <c r="AS793" s="36" t="n"/>
      <c r="AT793" s="36" t="n"/>
      <c r="AU793" s="27" t="n"/>
      <c r="AV793" s="37" t="n"/>
      <c r="AW793" s="38">
        <f>IF(AO793="","",IF(AR793="Yes","❌ Disc",IF(AQ793="No","⚠ Missing",IF(AT793="Yes","✓ OK","⚠ Check"))))</f>
        <v/>
      </c>
    </row>
    <row r="794" ht="18" customHeight="1" s="46">
      <c r="A794" s="39" t="n">
        <v>790</v>
      </c>
      <c r="B794" s="40" t="inlineStr">
        <is>
          <t>WP LNCSF1180739</t>
        </is>
      </c>
      <c r="C794" s="41" t="inlineStr">
        <is>
          <t>Life n Colors - Indian Floral Theme Repeat Design Wallpaper, Luxury, Customised  - Non-woven - a soft feel paper</t>
        </is>
      </c>
      <c r="D794" s="39" t="inlineStr">
        <is>
          <t>Life n Colors</t>
        </is>
      </c>
      <c r="E794" s="43" t="n">
        <v>46126</v>
      </c>
      <c r="F794" s="26" t="inlineStr">
        <is>
          <t>Sunil CR</t>
        </is>
      </c>
      <c r="G794" s="26" t="inlineStr">
        <is>
          <t>Yes</t>
        </is>
      </c>
      <c r="H794" s="26" t="inlineStr">
        <is>
          <t>No</t>
        </is>
      </c>
      <c r="I794" s="26" t="inlineStr">
        <is>
          <t>Good finish</t>
        </is>
      </c>
      <c r="J794" s="26" t="inlineStr">
        <is>
          <t>Yes</t>
        </is>
      </c>
      <c r="K794" s="27" t="n"/>
      <c r="L794" s="28" t="inlineStr">
        <is>
          <t>No</t>
        </is>
      </c>
      <c r="M794" s="29">
        <f>IF(E794="","",IF(H794="Yes","❌ Disc",IF(G794="No","⚠ Missing",IF(J794="Yes","✓ OK","⚠ Check"))))</f>
        <v/>
      </c>
      <c r="N794" s="43" t="n">
        <v>46193</v>
      </c>
      <c r="O794" s="26" t="inlineStr">
        <is>
          <t>Sunil CR</t>
        </is>
      </c>
      <c r="P794" s="26" t="inlineStr">
        <is>
          <t>Yes</t>
        </is>
      </c>
      <c r="Q794" s="26" t="inlineStr">
        <is>
          <t>No</t>
        </is>
      </c>
      <c r="R794" s="26" t="inlineStr">
        <is>
          <t>Good finish</t>
        </is>
      </c>
      <c r="S794" s="26" t="inlineStr">
        <is>
          <t>Yes</t>
        </is>
      </c>
      <c r="T794" s="27" t="n"/>
      <c r="U794" s="28" t="inlineStr">
        <is>
          <t>No</t>
        </is>
      </c>
      <c r="V794" s="29">
        <f>IF(N794="","",IF(Q794="Yes","❌ Disc",IF(P794="No","⚠ Missing",IF(S794="Yes","✓ OK","⚠ Check"))))</f>
        <v/>
      </c>
      <c r="W794" s="65" t="n">
        <v>46248</v>
      </c>
      <c r="X794" s="30" t="inlineStr">
        <is>
          <t>Sunil CR</t>
        </is>
      </c>
      <c r="Y794" s="30" t="inlineStr">
        <is>
          <t>Yes</t>
        </is>
      </c>
      <c r="Z794" s="30" t="n"/>
      <c r="AA794" s="30" t="inlineStr">
        <is>
          <t>Good finish</t>
        </is>
      </c>
      <c r="AB794" s="30" t="inlineStr">
        <is>
          <t>Yes</t>
        </is>
      </c>
      <c r="AC794" s="27" t="n"/>
      <c r="AD794" s="31" t="inlineStr">
        <is>
          <t>No</t>
        </is>
      </c>
      <c r="AE794" s="32">
        <f>IF(W794="","",IF(Z794="Yes","❌ Disc",IF(Y794="No","⚠ Missing",IF(AB794="Yes","✓ OK","⚠ Check"))))</f>
        <v/>
      </c>
      <c r="AF794" s="33" t="n"/>
      <c r="AG794" s="33" t="n"/>
      <c r="AH794" s="33" t="n"/>
      <c r="AI794" s="33" t="n"/>
      <c r="AJ794" s="33" t="n"/>
      <c r="AK794" s="33" t="n"/>
      <c r="AL794" s="27" t="n"/>
      <c r="AM794" s="34" t="n"/>
      <c r="AN794" s="35">
        <f>IF(AF794="","",IF(AI794="Yes","❌ Disc",IF(AH794="No","⚠ Missing",IF(AK794="Yes","✓ OK","⚠ Check"))))</f>
        <v/>
      </c>
      <c r="AO794" s="36" t="n"/>
      <c r="AP794" s="36" t="n"/>
      <c r="AQ794" s="36" t="n"/>
      <c r="AR794" s="36" t="n"/>
      <c r="AS794" s="36" t="n"/>
      <c r="AT794" s="36" t="n"/>
      <c r="AU794" s="27" t="n"/>
      <c r="AV794" s="37" t="n"/>
      <c r="AW794" s="38">
        <f>IF(AO794="","",IF(AR794="Yes","❌ Disc",IF(AQ794="No","⚠ Missing",IF(AT794="Yes","✓ OK","⚠ Check"))))</f>
        <v/>
      </c>
    </row>
    <row r="795" ht="18" customHeight="1" s="46">
      <c r="A795" s="23" t="n">
        <v>791</v>
      </c>
      <c r="B795" s="24" t="inlineStr">
        <is>
          <t>WP LNCCN1022430</t>
        </is>
      </c>
      <c r="C795" s="25" t="inlineStr">
        <is>
          <t>Life n Colors - Indian Hand Painted Look Floral Design Wallpaper  -  Canvas - a texture paper</t>
        </is>
      </c>
      <c r="D795" s="23" t="inlineStr">
        <is>
          <t>Life n Colors</t>
        </is>
      </c>
      <c r="E795" s="43" t="n">
        <v>46126</v>
      </c>
      <c r="F795" s="26" t="inlineStr">
        <is>
          <t>Sunil CR</t>
        </is>
      </c>
      <c r="G795" s="26" t="inlineStr">
        <is>
          <t>Yes</t>
        </is>
      </c>
      <c r="H795" s="26" t="inlineStr">
        <is>
          <t>No</t>
        </is>
      </c>
      <c r="I795" s="26" t="inlineStr">
        <is>
          <t>Good finish</t>
        </is>
      </c>
      <c r="J795" s="26" t="inlineStr">
        <is>
          <t>Yes</t>
        </is>
      </c>
      <c r="K795" s="27" t="n"/>
      <c r="L795" s="28" t="inlineStr">
        <is>
          <t>No</t>
        </is>
      </c>
      <c r="M795" s="29">
        <f>IF(E795="","",IF(H795="Yes","❌ Disc",IF(G795="No","⚠ Missing",IF(J795="Yes","✓ OK","⚠ Check"))))</f>
        <v/>
      </c>
      <c r="N795" s="43" t="n">
        <v>46193</v>
      </c>
      <c r="O795" s="26" t="inlineStr">
        <is>
          <t>Sunil CR</t>
        </is>
      </c>
      <c r="P795" s="26" t="inlineStr">
        <is>
          <t>Yes</t>
        </is>
      </c>
      <c r="Q795" s="26" t="inlineStr">
        <is>
          <t>No</t>
        </is>
      </c>
      <c r="R795" s="26" t="inlineStr">
        <is>
          <t>Good finish</t>
        </is>
      </c>
      <c r="S795" s="26" t="inlineStr">
        <is>
          <t>Yes</t>
        </is>
      </c>
      <c r="T795" s="27" t="n"/>
      <c r="U795" s="28" t="inlineStr">
        <is>
          <t>No</t>
        </is>
      </c>
      <c r="V795" s="29">
        <f>IF(N795="","",IF(Q795="Yes","❌ Disc",IF(P795="No","⚠ Missing",IF(S795="Yes","✓ OK","⚠ Check"))))</f>
        <v/>
      </c>
      <c r="W795" s="65" t="n">
        <v>46248</v>
      </c>
      <c r="X795" s="30" t="inlineStr">
        <is>
          <t>Sunil CR</t>
        </is>
      </c>
      <c r="Y795" s="30" t="inlineStr">
        <is>
          <t>Yes</t>
        </is>
      </c>
      <c r="Z795" s="30" t="n"/>
      <c r="AA795" s="30" t="inlineStr">
        <is>
          <t>Good finish</t>
        </is>
      </c>
      <c r="AB795" s="30" t="inlineStr">
        <is>
          <t>Yes</t>
        </is>
      </c>
      <c r="AC795" s="27" t="n"/>
      <c r="AD795" s="31" t="inlineStr">
        <is>
          <t>No</t>
        </is>
      </c>
      <c r="AE795" s="32">
        <f>IF(W795="","",IF(Z795="Yes","❌ Disc",IF(Y795="No","⚠ Missing",IF(AB795="Yes","✓ OK","⚠ Check"))))</f>
        <v/>
      </c>
      <c r="AF795" s="33" t="n"/>
      <c r="AG795" s="33" t="n"/>
      <c r="AH795" s="33" t="n"/>
      <c r="AI795" s="33" t="n"/>
      <c r="AJ795" s="33" t="n"/>
      <c r="AK795" s="33" t="n"/>
      <c r="AL795" s="27" t="n"/>
      <c r="AM795" s="34" t="n"/>
      <c r="AN795" s="35">
        <f>IF(AF795="","",IF(AI795="Yes","❌ Disc",IF(AH795="No","⚠ Missing",IF(AK795="Yes","✓ OK","⚠ Check"))))</f>
        <v/>
      </c>
      <c r="AO795" s="36" t="n"/>
      <c r="AP795" s="36" t="n"/>
      <c r="AQ795" s="36" t="n"/>
      <c r="AR795" s="36" t="n"/>
      <c r="AS795" s="36" t="n"/>
      <c r="AT795" s="36" t="n"/>
      <c r="AU795" s="27" t="n"/>
      <c r="AV795" s="37" t="n"/>
      <c r="AW795" s="38">
        <f>IF(AO795="","",IF(AR795="Yes","❌ Disc",IF(AQ795="No","⚠ Missing",IF(AT795="Yes","✓ OK","⚠ Check"))))</f>
        <v/>
      </c>
    </row>
    <row r="796" ht="18" customHeight="1" s="46">
      <c r="A796" s="39" t="n">
        <v>792</v>
      </c>
      <c r="B796" s="40" t="inlineStr">
        <is>
          <t>WP LNCSF1022430</t>
        </is>
      </c>
      <c r="C796" s="41" t="inlineStr">
        <is>
          <t>Life n Colors - Indian Hand Painted Look Floral Design Wallpaper  - Non-woven - a soft feel paper</t>
        </is>
      </c>
      <c r="D796" s="39" t="inlineStr">
        <is>
          <t>Life n Colors</t>
        </is>
      </c>
      <c r="E796" s="43" t="n">
        <v>46126</v>
      </c>
      <c r="F796" s="26" t="inlineStr">
        <is>
          <t>Sunil CR</t>
        </is>
      </c>
      <c r="G796" s="26" t="inlineStr">
        <is>
          <t>Yes</t>
        </is>
      </c>
      <c r="H796" s="26" t="inlineStr">
        <is>
          <t>No</t>
        </is>
      </c>
      <c r="I796" s="26" t="inlineStr">
        <is>
          <t>Good finish</t>
        </is>
      </c>
      <c r="J796" s="26" t="inlineStr">
        <is>
          <t>Yes</t>
        </is>
      </c>
      <c r="K796" s="27" t="n"/>
      <c r="L796" s="28" t="inlineStr">
        <is>
          <t>No</t>
        </is>
      </c>
      <c r="M796" s="29">
        <f>IF(E796="","",IF(H796="Yes","❌ Disc",IF(G796="No","⚠ Missing",IF(J796="Yes","✓ OK","⚠ Check"))))</f>
        <v/>
      </c>
      <c r="N796" s="43" t="n">
        <v>46193</v>
      </c>
      <c r="O796" s="26" t="inlineStr">
        <is>
          <t>Sunil CR</t>
        </is>
      </c>
      <c r="P796" s="26" t="inlineStr">
        <is>
          <t>Yes</t>
        </is>
      </c>
      <c r="Q796" s="26" t="inlineStr">
        <is>
          <t>No</t>
        </is>
      </c>
      <c r="R796" s="26" t="inlineStr">
        <is>
          <t>Good finish</t>
        </is>
      </c>
      <c r="S796" s="26" t="inlineStr">
        <is>
          <t>Yes</t>
        </is>
      </c>
      <c r="T796" s="27" t="n"/>
      <c r="U796" s="28" t="inlineStr">
        <is>
          <t>No</t>
        </is>
      </c>
      <c r="V796" s="29">
        <f>IF(N796="","",IF(Q796="Yes","❌ Disc",IF(P796="No","⚠ Missing",IF(S796="Yes","✓ OK","⚠ Check"))))</f>
        <v/>
      </c>
      <c r="W796" s="65" t="n">
        <v>46248</v>
      </c>
      <c r="X796" s="30" t="inlineStr">
        <is>
          <t>Sunil CR</t>
        </is>
      </c>
      <c r="Y796" s="30" t="inlineStr">
        <is>
          <t>Yes</t>
        </is>
      </c>
      <c r="Z796" s="30" t="n"/>
      <c r="AA796" s="30" t="inlineStr">
        <is>
          <t>Good finish</t>
        </is>
      </c>
      <c r="AB796" s="30" t="inlineStr">
        <is>
          <t>Yes</t>
        </is>
      </c>
      <c r="AC796" s="27" t="n"/>
      <c r="AD796" s="31" t="inlineStr">
        <is>
          <t>No</t>
        </is>
      </c>
      <c r="AE796" s="32">
        <f>IF(W796="","",IF(Z796="Yes","❌ Disc",IF(Y796="No","⚠ Missing",IF(AB796="Yes","✓ OK","⚠ Check"))))</f>
        <v/>
      </c>
      <c r="AF796" s="33" t="n"/>
      <c r="AG796" s="33" t="n"/>
      <c r="AH796" s="33" t="n"/>
      <c r="AI796" s="33" t="n"/>
      <c r="AJ796" s="33" t="n"/>
      <c r="AK796" s="33" t="n"/>
      <c r="AL796" s="27" t="n"/>
      <c r="AM796" s="34" t="n"/>
      <c r="AN796" s="35">
        <f>IF(AF796="","",IF(AI796="Yes","❌ Disc",IF(AH796="No","⚠ Missing",IF(AK796="Yes","✓ OK","⚠ Check"))))</f>
        <v/>
      </c>
      <c r="AO796" s="36" t="n"/>
      <c r="AP796" s="36" t="n"/>
      <c r="AQ796" s="36" t="n"/>
      <c r="AR796" s="36" t="n"/>
      <c r="AS796" s="36" t="n"/>
      <c r="AT796" s="36" t="n"/>
      <c r="AU796" s="27" t="n"/>
      <c r="AV796" s="37" t="n"/>
      <c r="AW796" s="38">
        <f>IF(AO796="","",IF(AR796="Yes","❌ Disc",IF(AQ796="No","⚠ Missing",IF(AT796="Yes","✓ OK","⚠ Check"))))</f>
        <v/>
      </c>
    </row>
    <row r="797" ht="18" customHeight="1" s="46">
      <c r="A797" s="23" t="n">
        <v>793</v>
      </c>
      <c r="B797" s="24" t="inlineStr">
        <is>
          <t>WP LNCCN1100800</t>
        </is>
      </c>
      <c r="C797" s="25" t="inlineStr">
        <is>
          <t>Life n Colors - Indian Lotuses Wallpaper, Repeat Pattern  -  Canvas - a texture paper</t>
        </is>
      </c>
      <c r="D797" s="23" t="inlineStr">
        <is>
          <t>Life n Colors</t>
        </is>
      </c>
      <c r="E797" s="43" t="n">
        <v>46126</v>
      </c>
      <c r="F797" s="26" t="inlineStr">
        <is>
          <t>Sunil CR</t>
        </is>
      </c>
      <c r="G797" s="26" t="inlineStr">
        <is>
          <t>Yes</t>
        </is>
      </c>
      <c r="H797" s="26" t="inlineStr">
        <is>
          <t>No</t>
        </is>
      </c>
      <c r="I797" s="26" t="inlineStr">
        <is>
          <t>Good finish</t>
        </is>
      </c>
      <c r="J797" s="26" t="inlineStr">
        <is>
          <t>Yes</t>
        </is>
      </c>
      <c r="K797" s="27" t="n"/>
      <c r="L797" s="28" t="inlineStr">
        <is>
          <t>No</t>
        </is>
      </c>
      <c r="M797" s="29">
        <f>IF(E797="","",IF(H797="Yes","❌ Disc",IF(G797="No","⚠ Missing",IF(J797="Yes","✓ OK","⚠ Check"))))</f>
        <v/>
      </c>
      <c r="N797" s="43" t="n">
        <v>46193</v>
      </c>
      <c r="O797" s="26" t="inlineStr">
        <is>
          <t>Sunil CR</t>
        </is>
      </c>
      <c r="P797" s="26" t="inlineStr">
        <is>
          <t>Yes</t>
        </is>
      </c>
      <c r="Q797" s="26" t="inlineStr">
        <is>
          <t>No</t>
        </is>
      </c>
      <c r="R797" s="26" t="inlineStr">
        <is>
          <t>Good finish</t>
        </is>
      </c>
      <c r="S797" s="26" t="inlineStr">
        <is>
          <t>Yes</t>
        </is>
      </c>
      <c r="T797" s="27" t="n"/>
      <c r="U797" s="28" t="inlineStr">
        <is>
          <t>No</t>
        </is>
      </c>
      <c r="V797" s="29">
        <f>IF(N797="","",IF(Q797="Yes","❌ Disc",IF(P797="No","⚠ Missing",IF(S797="Yes","✓ OK","⚠ Check"))))</f>
        <v/>
      </c>
      <c r="W797" s="65" t="n">
        <v>46248</v>
      </c>
      <c r="X797" s="30" t="inlineStr">
        <is>
          <t>Sunil CR</t>
        </is>
      </c>
      <c r="Y797" s="30" t="inlineStr">
        <is>
          <t>Yes</t>
        </is>
      </c>
      <c r="Z797" s="30" t="n"/>
      <c r="AA797" s="30" t="inlineStr">
        <is>
          <t>Good finish</t>
        </is>
      </c>
      <c r="AB797" s="30" t="inlineStr">
        <is>
          <t>Yes</t>
        </is>
      </c>
      <c r="AC797" s="27" t="n"/>
      <c r="AD797" s="31" t="inlineStr">
        <is>
          <t>No</t>
        </is>
      </c>
      <c r="AE797" s="32">
        <f>IF(W797="","",IF(Z797="Yes","❌ Disc",IF(Y797="No","⚠ Missing",IF(AB797="Yes","✓ OK","⚠ Check"))))</f>
        <v/>
      </c>
      <c r="AF797" s="33" t="n"/>
      <c r="AG797" s="33" t="n"/>
      <c r="AH797" s="33" t="n"/>
      <c r="AI797" s="33" t="n"/>
      <c r="AJ797" s="33" t="n"/>
      <c r="AK797" s="33" t="n"/>
      <c r="AL797" s="27" t="n"/>
      <c r="AM797" s="34" t="n"/>
      <c r="AN797" s="35">
        <f>IF(AF797="","",IF(AI797="Yes","❌ Disc",IF(AH797="No","⚠ Missing",IF(AK797="Yes","✓ OK","⚠ Check"))))</f>
        <v/>
      </c>
      <c r="AO797" s="36" t="n"/>
      <c r="AP797" s="36" t="n"/>
      <c r="AQ797" s="36" t="n"/>
      <c r="AR797" s="36" t="n"/>
      <c r="AS797" s="36" t="n"/>
      <c r="AT797" s="36" t="n"/>
      <c r="AU797" s="27" t="n"/>
      <c r="AV797" s="37" t="n"/>
      <c r="AW797" s="38">
        <f>IF(AO797="","",IF(AR797="Yes","❌ Disc",IF(AQ797="No","⚠ Missing",IF(AT797="Yes","✓ OK","⚠ Check"))))</f>
        <v/>
      </c>
    </row>
    <row r="798" ht="18" customHeight="1" s="46">
      <c r="A798" s="39" t="n">
        <v>794</v>
      </c>
      <c r="B798" s="40" t="inlineStr">
        <is>
          <t>WP LNCSF1100800</t>
        </is>
      </c>
      <c r="C798" s="41" t="inlineStr">
        <is>
          <t>Life n Colors - Indian Lotuses Wallpaper, Repeat Pattern  - Non-woven - a soft feel paper</t>
        </is>
      </c>
      <c r="D798" s="39" t="inlineStr">
        <is>
          <t>Life n Colors</t>
        </is>
      </c>
      <c r="E798" s="43" t="n">
        <v>46126</v>
      </c>
      <c r="F798" s="26" t="inlineStr">
        <is>
          <t>Sunil CR</t>
        </is>
      </c>
      <c r="G798" s="26" t="inlineStr">
        <is>
          <t>Yes</t>
        </is>
      </c>
      <c r="H798" s="26" t="inlineStr">
        <is>
          <t>No</t>
        </is>
      </c>
      <c r="I798" s="26" t="inlineStr">
        <is>
          <t>Good finish</t>
        </is>
      </c>
      <c r="J798" s="26" t="inlineStr">
        <is>
          <t>Yes</t>
        </is>
      </c>
      <c r="K798" s="27" t="n"/>
      <c r="L798" s="28" t="inlineStr">
        <is>
          <t>No</t>
        </is>
      </c>
      <c r="M798" s="29">
        <f>IF(E798="","",IF(H798="Yes","❌ Disc",IF(G798="No","⚠ Missing",IF(J798="Yes","✓ OK","⚠ Check"))))</f>
        <v/>
      </c>
      <c r="N798" s="43" t="n">
        <v>46193</v>
      </c>
      <c r="O798" s="26" t="inlineStr">
        <is>
          <t>Sunil CR</t>
        </is>
      </c>
      <c r="P798" s="26" t="inlineStr">
        <is>
          <t>Yes</t>
        </is>
      </c>
      <c r="Q798" s="26" t="inlineStr">
        <is>
          <t>No</t>
        </is>
      </c>
      <c r="R798" s="26" t="inlineStr">
        <is>
          <t>Good finish</t>
        </is>
      </c>
      <c r="S798" s="26" t="inlineStr">
        <is>
          <t>Yes</t>
        </is>
      </c>
      <c r="T798" s="27" t="n"/>
      <c r="U798" s="28" t="inlineStr">
        <is>
          <t>No</t>
        </is>
      </c>
      <c r="V798" s="29">
        <f>IF(N798="","",IF(Q798="Yes","❌ Disc",IF(P798="No","⚠ Missing",IF(S798="Yes","✓ OK","⚠ Check"))))</f>
        <v/>
      </c>
      <c r="W798" s="65" t="n">
        <v>46248</v>
      </c>
      <c r="X798" s="30" t="inlineStr">
        <is>
          <t>Sunil CR</t>
        </is>
      </c>
      <c r="Y798" s="30" t="inlineStr">
        <is>
          <t>Yes</t>
        </is>
      </c>
      <c r="Z798" s="30" t="n"/>
      <c r="AA798" s="30" t="inlineStr">
        <is>
          <t>Good finish</t>
        </is>
      </c>
      <c r="AB798" s="30" t="inlineStr">
        <is>
          <t>Yes</t>
        </is>
      </c>
      <c r="AC798" s="27" t="n"/>
      <c r="AD798" s="31" t="inlineStr">
        <is>
          <t>No</t>
        </is>
      </c>
      <c r="AE798" s="32">
        <f>IF(W798="","",IF(Z798="Yes","❌ Disc",IF(Y798="No","⚠ Missing",IF(AB798="Yes","✓ OK","⚠ Check"))))</f>
        <v/>
      </c>
      <c r="AF798" s="33" t="n"/>
      <c r="AG798" s="33" t="n"/>
      <c r="AH798" s="33" t="n"/>
      <c r="AI798" s="33" t="n"/>
      <c r="AJ798" s="33" t="n"/>
      <c r="AK798" s="33" t="n"/>
      <c r="AL798" s="27" t="n"/>
      <c r="AM798" s="34" t="n"/>
      <c r="AN798" s="35">
        <f>IF(AF798="","",IF(AI798="Yes","❌ Disc",IF(AH798="No","⚠ Missing",IF(AK798="Yes","✓ OK","⚠ Check"))))</f>
        <v/>
      </c>
      <c r="AO798" s="36" t="n"/>
      <c r="AP798" s="36" t="n"/>
      <c r="AQ798" s="36" t="n"/>
      <c r="AR798" s="36" t="n"/>
      <c r="AS798" s="36" t="n"/>
      <c r="AT798" s="36" t="n"/>
      <c r="AU798" s="27" t="n"/>
      <c r="AV798" s="37" t="n"/>
      <c r="AW798" s="38">
        <f>IF(AO798="","",IF(AR798="Yes","❌ Disc",IF(AQ798="No","⚠ Missing",IF(AT798="Yes","✓ OK","⚠ Check"))))</f>
        <v/>
      </c>
    </row>
    <row r="799" ht="18" customHeight="1" s="46">
      <c r="A799" s="23" t="n">
        <v>795</v>
      </c>
      <c r="B799" s="24" t="inlineStr">
        <is>
          <t>WP LNCCN1161279</t>
        </is>
      </c>
      <c r="C799" s="25" t="inlineStr">
        <is>
          <t>Life n Colors - Indian Paisley Design wallpaper, Customized  -  Canvas - a texture paper</t>
        </is>
      </c>
      <c r="D799" s="23" t="inlineStr">
        <is>
          <t>Life n Colors</t>
        </is>
      </c>
      <c r="E799" s="43" t="n">
        <v>46126</v>
      </c>
      <c r="F799" s="26" t="inlineStr">
        <is>
          <t>Sunil CR</t>
        </is>
      </c>
      <c r="G799" s="26" t="inlineStr">
        <is>
          <t>Yes</t>
        </is>
      </c>
      <c r="H799" s="26" t="inlineStr">
        <is>
          <t>No</t>
        </is>
      </c>
      <c r="I799" s="26" t="inlineStr">
        <is>
          <t>Good finish</t>
        </is>
      </c>
      <c r="J799" s="26" t="inlineStr">
        <is>
          <t>Yes</t>
        </is>
      </c>
      <c r="K799" s="27" t="n"/>
      <c r="L799" s="28" t="inlineStr">
        <is>
          <t>No</t>
        </is>
      </c>
      <c r="M799" s="29">
        <f>IF(E799="","",IF(H799="Yes","❌ Disc",IF(G799="No","⚠ Missing",IF(J799="Yes","✓ OK","⚠ Check"))))</f>
        <v/>
      </c>
      <c r="N799" s="43" t="n">
        <v>46193</v>
      </c>
      <c r="O799" s="26" t="inlineStr">
        <is>
          <t>Sunil CR</t>
        </is>
      </c>
      <c r="P799" s="26" t="inlineStr">
        <is>
          <t>Yes</t>
        </is>
      </c>
      <c r="Q799" s="26" t="inlineStr">
        <is>
          <t>No</t>
        </is>
      </c>
      <c r="R799" s="26" t="inlineStr">
        <is>
          <t>Good finish</t>
        </is>
      </c>
      <c r="S799" s="26" t="inlineStr">
        <is>
          <t>Yes</t>
        </is>
      </c>
      <c r="T799" s="27" t="n"/>
      <c r="U799" s="28" t="inlineStr">
        <is>
          <t>No</t>
        </is>
      </c>
      <c r="V799" s="29">
        <f>IF(N799="","",IF(Q799="Yes","❌ Disc",IF(P799="No","⚠ Missing",IF(S799="Yes","✓ OK","⚠ Check"))))</f>
        <v/>
      </c>
      <c r="W799" s="65" t="n">
        <v>46248</v>
      </c>
      <c r="X799" s="30" t="inlineStr">
        <is>
          <t>Sunil CR</t>
        </is>
      </c>
      <c r="Y799" s="30" t="inlineStr">
        <is>
          <t>Yes</t>
        </is>
      </c>
      <c r="Z799" s="30" t="n"/>
      <c r="AA799" s="30" t="inlineStr">
        <is>
          <t>Good finish</t>
        </is>
      </c>
      <c r="AB799" s="30" t="inlineStr">
        <is>
          <t>Yes</t>
        </is>
      </c>
      <c r="AC799" s="27" t="n"/>
      <c r="AD799" s="31" t="inlineStr">
        <is>
          <t>No</t>
        </is>
      </c>
      <c r="AE799" s="32">
        <f>IF(W799="","",IF(Z799="Yes","❌ Disc",IF(Y799="No","⚠ Missing",IF(AB799="Yes","✓ OK","⚠ Check"))))</f>
        <v/>
      </c>
      <c r="AF799" s="33" t="n"/>
      <c r="AG799" s="33" t="n"/>
      <c r="AH799" s="33" t="n"/>
      <c r="AI799" s="33" t="n"/>
      <c r="AJ799" s="33" t="n"/>
      <c r="AK799" s="33" t="n"/>
      <c r="AL799" s="27" t="n"/>
      <c r="AM799" s="34" t="n"/>
      <c r="AN799" s="35">
        <f>IF(AF799="","",IF(AI799="Yes","❌ Disc",IF(AH799="No","⚠ Missing",IF(AK799="Yes","✓ OK","⚠ Check"))))</f>
        <v/>
      </c>
      <c r="AO799" s="36" t="n"/>
      <c r="AP799" s="36" t="n"/>
      <c r="AQ799" s="36" t="n"/>
      <c r="AR799" s="36" t="n"/>
      <c r="AS799" s="36" t="n"/>
      <c r="AT799" s="36" t="n"/>
      <c r="AU799" s="27" t="n"/>
      <c r="AV799" s="37" t="n"/>
      <c r="AW799" s="38">
        <f>IF(AO799="","",IF(AR799="Yes","❌ Disc",IF(AQ799="No","⚠ Missing",IF(AT799="Yes","✓ OK","⚠ Check"))))</f>
        <v/>
      </c>
    </row>
    <row r="800" ht="18" customHeight="1" s="46">
      <c r="A800" s="39" t="n">
        <v>796</v>
      </c>
      <c r="B800" s="40" t="inlineStr">
        <is>
          <t>WP LNCSF1161279</t>
        </is>
      </c>
      <c r="C800" s="41" t="inlineStr">
        <is>
          <t>Life n Colors - Indian Paisley Design wallpaper, Customized  - Non-woven - a soft feel paper</t>
        </is>
      </c>
      <c r="D800" s="39" t="inlineStr">
        <is>
          <t>Life n Colors</t>
        </is>
      </c>
      <c r="E800" s="43" t="n">
        <v>46126</v>
      </c>
      <c r="F800" s="26" t="inlineStr">
        <is>
          <t>Sunil CR</t>
        </is>
      </c>
      <c r="G800" s="26" t="inlineStr">
        <is>
          <t>Yes</t>
        </is>
      </c>
      <c r="H800" s="26" t="inlineStr">
        <is>
          <t>No</t>
        </is>
      </c>
      <c r="I800" s="26" t="inlineStr">
        <is>
          <t>Good finish</t>
        </is>
      </c>
      <c r="J800" s="26" t="inlineStr">
        <is>
          <t>Yes</t>
        </is>
      </c>
      <c r="K800" s="27" t="n"/>
      <c r="L800" s="28" t="inlineStr">
        <is>
          <t>No</t>
        </is>
      </c>
      <c r="M800" s="29">
        <f>IF(E800="","",IF(H800="Yes","❌ Disc",IF(G800="No","⚠ Missing",IF(J800="Yes","✓ OK","⚠ Check"))))</f>
        <v/>
      </c>
      <c r="N800" s="43" t="n">
        <v>46193</v>
      </c>
      <c r="O800" s="26" t="inlineStr">
        <is>
          <t>Sunil CR</t>
        </is>
      </c>
      <c r="P800" s="26" t="inlineStr">
        <is>
          <t>Yes</t>
        </is>
      </c>
      <c r="Q800" s="26" t="inlineStr">
        <is>
          <t>No</t>
        </is>
      </c>
      <c r="R800" s="26" t="inlineStr">
        <is>
          <t>Good finish</t>
        </is>
      </c>
      <c r="S800" s="26" t="inlineStr">
        <is>
          <t>Yes</t>
        </is>
      </c>
      <c r="T800" s="27" t="n"/>
      <c r="U800" s="28" t="inlineStr">
        <is>
          <t>No</t>
        </is>
      </c>
      <c r="V800" s="29">
        <f>IF(N800="","",IF(Q800="Yes","❌ Disc",IF(P800="No","⚠ Missing",IF(S800="Yes","✓ OK","⚠ Check"))))</f>
        <v/>
      </c>
      <c r="W800" s="65" t="n">
        <v>46248</v>
      </c>
      <c r="X800" s="30" t="inlineStr">
        <is>
          <t>Sunil CR</t>
        </is>
      </c>
      <c r="Y800" s="30" t="inlineStr">
        <is>
          <t>Yes</t>
        </is>
      </c>
      <c r="Z800" s="30" t="n"/>
      <c r="AA800" s="30" t="inlineStr">
        <is>
          <t>Good finish</t>
        </is>
      </c>
      <c r="AB800" s="30" t="inlineStr">
        <is>
          <t>Yes</t>
        </is>
      </c>
      <c r="AC800" s="27" t="n"/>
      <c r="AD800" s="31" t="inlineStr">
        <is>
          <t>No</t>
        </is>
      </c>
      <c r="AE800" s="32">
        <f>IF(W800="","",IF(Z800="Yes","❌ Disc",IF(Y800="No","⚠ Missing",IF(AB800="Yes","✓ OK","⚠ Check"))))</f>
        <v/>
      </c>
      <c r="AF800" s="33" t="n"/>
      <c r="AG800" s="33" t="n"/>
      <c r="AH800" s="33" t="n"/>
      <c r="AI800" s="33" t="n"/>
      <c r="AJ800" s="33" t="n"/>
      <c r="AK800" s="33" t="n"/>
      <c r="AL800" s="27" t="n"/>
      <c r="AM800" s="34" t="n"/>
      <c r="AN800" s="35">
        <f>IF(AF800="","",IF(AI800="Yes","❌ Disc",IF(AH800="No","⚠ Missing",IF(AK800="Yes","✓ OK","⚠ Check"))))</f>
        <v/>
      </c>
      <c r="AO800" s="36" t="n"/>
      <c r="AP800" s="36" t="n"/>
      <c r="AQ800" s="36" t="n"/>
      <c r="AR800" s="36" t="n"/>
      <c r="AS800" s="36" t="n"/>
      <c r="AT800" s="36" t="n"/>
      <c r="AU800" s="27" t="n"/>
      <c r="AV800" s="37" t="n"/>
      <c r="AW800" s="38">
        <f>IF(AO800="","",IF(AR800="Yes","❌ Disc",IF(AQ800="No","⚠ Missing",IF(AT800="Yes","✓ OK","⚠ Check"))))</f>
        <v/>
      </c>
    </row>
    <row r="801" ht="18" customHeight="1" s="46">
      <c r="A801" s="23" t="n">
        <v>797</v>
      </c>
      <c r="B801" s="24" t="inlineStr">
        <is>
          <t>WP LNCCN1188454</t>
        </is>
      </c>
      <c r="C801" s="25" t="inlineStr">
        <is>
          <t>Life n Colors - Indian Peacock Indian Mughal Theme Wallpaper for Rooms  -  Canvas - a texture paper</t>
        </is>
      </c>
      <c r="D801" s="23" t="inlineStr">
        <is>
          <t>Life n Colors</t>
        </is>
      </c>
      <c r="E801" s="43" t="n">
        <v>46126</v>
      </c>
      <c r="F801" s="26" t="inlineStr">
        <is>
          <t>Sunil CR</t>
        </is>
      </c>
      <c r="G801" s="26" t="inlineStr">
        <is>
          <t>Yes</t>
        </is>
      </c>
      <c r="H801" s="26" t="inlineStr">
        <is>
          <t>No</t>
        </is>
      </c>
      <c r="I801" s="26" t="inlineStr">
        <is>
          <t>Good finish</t>
        </is>
      </c>
      <c r="J801" s="26" t="inlineStr">
        <is>
          <t>Yes</t>
        </is>
      </c>
      <c r="K801" s="27" t="n"/>
      <c r="L801" s="28" t="inlineStr">
        <is>
          <t>No</t>
        </is>
      </c>
      <c r="M801" s="29">
        <f>IF(E801="","",IF(H801="Yes","❌ Disc",IF(G801="No","⚠ Missing",IF(J801="Yes","✓ OK","⚠ Check"))))</f>
        <v/>
      </c>
      <c r="N801" s="43" t="n">
        <v>46193</v>
      </c>
      <c r="O801" s="26" t="inlineStr">
        <is>
          <t>Sunil CR</t>
        </is>
      </c>
      <c r="P801" s="26" t="inlineStr">
        <is>
          <t>Yes</t>
        </is>
      </c>
      <c r="Q801" s="26" t="inlineStr">
        <is>
          <t>No</t>
        </is>
      </c>
      <c r="R801" s="26" t="inlineStr">
        <is>
          <t>Good finish</t>
        </is>
      </c>
      <c r="S801" s="26" t="inlineStr">
        <is>
          <t>Yes</t>
        </is>
      </c>
      <c r="T801" s="27" t="n"/>
      <c r="U801" s="28" t="inlineStr">
        <is>
          <t>No</t>
        </is>
      </c>
      <c r="V801" s="29">
        <f>IF(N801="","",IF(Q801="Yes","❌ Disc",IF(P801="No","⚠ Missing",IF(S801="Yes","✓ OK","⚠ Check"))))</f>
        <v/>
      </c>
      <c r="W801" s="65" t="n">
        <v>46248</v>
      </c>
      <c r="X801" s="30" t="inlineStr">
        <is>
          <t>Sunil CR</t>
        </is>
      </c>
      <c r="Y801" s="30" t="inlineStr">
        <is>
          <t>Yes</t>
        </is>
      </c>
      <c r="Z801" s="30" t="n"/>
      <c r="AA801" s="30" t="inlineStr">
        <is>
          <t>Good finish</t>
        </is>
      </c>
      <c r="AB801" s="30" t="inlineStr">
        <is>
          <t>Yes</t>
        </is>
      </c>
      <c r="AC801" s="27" t="n"/>
      <c r="AD801" s="31" t="inlineStr">
        <is>
          <t>No</t>
        </is>
      </c>
      <c r="AE801" s="32">
        <f>IF(W801="","",IF(Z801="Yes","❌ Disc",IF(Y801="No","⚠ Missing",IF(AB801="Yes","✓ OK","⚠ Check"))))</f>
        <v/>
      </c>
      <c r="AF801" s="33" t="n"/>
      <c r="AG801" s="33" t="n"/>
      <c r="AH801" s="33" t="n"/>
      <c r="AI801" s="33" t="n"/>
      <c r="AJ801" s="33" t="n"/>
      <c r="AK801" s="33" t="n"/>
      <c r="AL801" s="27" t="n"/>
      <c r="AM801" s="34" t="n"/>
      <c r="AN801" s="35">
        <f>IF(AF801="","",IF(AI801="Yes","❌ Disc",IF(AH801="No","⚠ Missing",IF(AK801="Yes","✓ OK","⚠ Check"))))</f>
        <v/>
      </c>
      <c r="AO801" s="36" t="n"/>
      <c r="AP801" s="36" t="n"/>
      <c r="AQ801" s="36" t="n"/>
      <c r="AR801" s="36" t="n"/>
      <c r="AS801" s="36" t="n"/>
      <c r="AT801" s="36" t="n"/>
      <c r="AU801" s="27" t="n"/>
      <c r="AV801" s="37" t="n"/>
      <c r="AW801" s="38">
        <f>IF(AO801="","",IF(AR801="Yes","❌ Disc",IF(AQ801="No","⚠ Missing",IF(AT801="Yes","✓ OK","⚠ Check"))))</f>
        <v/>
      </c>
    </row>
    <row r="802" ht="18" customHeight="1" s="46">
      <c r="A802" s="39" t="n">
        <v>798</v>
      </c>
      <c r="B802" s="40" t="inlineStr">
        <is>
          <t>WP LNCSF1188454</t>
        </is>
      </c>
      <c r="C802" s="41" t="inlineStr">
        <is>
          <t>Life n Colors - Indian Peacock Indian Mughal Theme Wallpaper for Rooms  - Non-woven - a soft feel paper</t>
        </is>
      </c>
      <c r="D802" s="39" t="inlineStr">
        <is>
          <t>Life n Colors</t>
        </is>
      </c>
      <c r="E802" s="43" t="n">
        <v>46126</v>
      </c>
      <c r="F802" s="26" t="inlineStr">
        <is>
          <t>Sunil CR</t>
        </is>
      </c>
      <c r="G802" s="26" t="inlineStr">
        <is>
          <t>Yes</t>
        </is>
      </c>
      <c r="H802" s="26" t="inlineStr">
        <is>
          <t>No</t>
        </is>
      </c>
      <c r="I802" s="26" t="inlineStr">
        <is>
          <t>Good finish</t>
        </is>
      </c>
      <c r="J802" s="26" t="inlineStr">
        <is>
          <t>Yes</t>
        </is>
      </c>
      <c r="K802" s="27" t="n"/>
      <c r="L802" s="28" t="inlineStr">
        <is>
          <t>No</t>
        </is>
      </c>
      <c r="M802" s="29">
        <f>IF(E802="","",IF(H802="Yes","❌ Disc",IF(G802="No","⚠ Missing",IF(J802="Yes","✓ OK","⚠ Check"))))</f>
        <v/>
      </c>
      <c r="N802" s="43" t="n">
        <v>46193</v>
      </c>
      <c r="O802" s="26" t="inlineStr">
        <is>
          <t>Sunil CR</t>
        </is>
      </c>
      <c r="P802" s="26" t="inlineStr">
        <is>
          <t>Yes</t>
        </is>
      </c>
      <c r="Q802" s="26" t="inlineStr">
        <is>
          <t>No</t>
        </is>
      </c>
      <c r="R802" s="26" t="inlineStr">
        <is>
          <t>Good finish</t>
        </is>
      </c>
      <c r="S802" s="26" t="inlineStr">
        <is>
          <t>Yes</t>
        </is>
      </c>
      <c r="T802" s="27" t="n"/>
      <c r="U802" s="28" t="inlineStr">
        <is>
          <t>No</t>
        </is>
      </c>
      <c r="V802" s="29">
        <f>IF(N802="","",IF(Q802="Yes","❌ Disc",IF(P802="No","⚠ Missing",IF(S802="Yes","✓ OK","⚠ Check"))))</f>
        <v/>
      </c>
      <c r="W802" s="65" t="n">
        <v>46248</v>
      </c>
      <c r="X802" s="30" t="inlineStr">
        <is>
          <t>Sunil CR</t>
        </is>
      </c>
      <c r="Y802" s="30" t="inlineStr">
        <is>
          <t>Yes</t>
        </is>
      </c>
      <c r="Z802" s="30" t="n"/>
      <c r="AA802" s="30" t="inlineStr">
        <is>
          <t>Good finish</t>
        </is>
      </c>
      <c r="AB802" s="30" t="inlineStr">
        <is>
          <t>Yes</t>
        </is>
      </c>
      <c r="AC802" s="27" t="n"/>
      <c r="AD802" s="31" t="inlineStr">
        <is>
          <t>No</t>
        </is>
      </c>
      <c r="AE802" s="32">
        <f>IF(W802="","",IF(Z802="Yes","❌ Disc",IF(Y802="No","⚠ Missing",IF(AB802="Yes","✓ OK","⚠ Check"))))</f>
        <v/>
      </c>
      <c r="AF802" s="33" t="n"/>
      <c r="AG802" s="33" t="n"/>
      <c r="AH802" s="33" t="n"/>
      <c r="AI802" s="33" t="n"/>
      <c r="AJ802" s="33" t="n"/>
      <c r="AK802" s="33" t="n"/>
      <c r="AL802" s="27" t="n"/>
      <c r="AM802" s="34" t="n"/>
      <c r="AN802" s="35">
        <f>IF(AF802="","",IF(AI802="Yes","❌ Disc",IF(AH802="No","⚠ Missing",IF(AK802="Yes","✓ OK","⚠ Check"))))</f>
        <v/>
      </c>
      <c r="AO802" s="36" t="n"/>
      <c r="AP802" s="36" t="n"/>
      <c r="AQ802" s="36" t="n"/>
      <c r="AR802" s="36" t="n"/>
      <c r="AS802" s="36" t="n"/>
      <c r="AT802" s="36" t="n"/>
      <c r="AU802" s="27" t="n"/>
      <c r="AV802" s="37" t="n"/>
      <c r="AW802" s="38">
        <f>IF(AO802="","",IF(AR802="Yes","❌ Disc",IF(AQ802="No","⚠ Missing",IF(AT802="Yes","✓ OK","⚠ Check"))))</f>
        <v/>
      </c>
    </row>
    <row r="803" ht="18" customHeight="1" s="46">
      <c r="A803" s="23" t="n">
        <v>799</v>
      </c>
      <c r="B803" s="24" t="inlineStr">
        <is>
          <t>WP LNCCN369468</t>
        </is>
      </c>
      <c r="C803" s="25" t="inlineStr">
        <is>
          <t>Life n Colors - Indian Pichwai Wallpaper for Rooms  -  Canvas - a texture paper</t>
        </is>
      </c>
      <c r="D803" s="23" t="inlineStr">
        <is>
          <t>Life n Colors</t>
        </is>
      </c>
      <c r="E803" s="43" t="n">
        <v>46126</v>
      </c>
      <c r="F803" s="26" t="inlineStr">
        <is>
          <t>Sunil CR</t>
        </is>
      </c>
      <c r="G803" s="26" t="inlineStr">
        <is>
          <t>Yes</t>
        </is>
      </c>
      <c r="H803" s="26" t="inlineStr">
        <is>
          <t>No</t>
        </is>
      </c>
      <c r="I803" s="26" t="inlineStr">
        <is>
          <t>Good finish</t>
        </is>
      </c>
      <c r="J803" s="26" t="inlineStr">
        <is>
          <t>Yes</t>
        </is>
      </c>
      <c r="K803" s="27" t="n"/>
      <c r="L803" s="28" t="inlineStr">
        <is>
          <t>No</t>
        </is>
      </c>
      <c r="M803" s="29">
        <f>IF(E803="","",IF(H803="Yes","❌ Disc",IF(G803="No","⚠ Missing",IF(J803="Yes","✓ OK","⚠ Check"))))</f>
        <v/>
      </c>
      <c r="N803" s="43" t="n">
        <v>46193</v>
      </c>
      <c r="O803" s="26" t="inlineStr">
        <is>
          <t>Sunil CR</t>
        </is>
      </c>
      <c r="P803" s="26" t="inlineStr">
        <is>
          <t>Yes</t>
        </is>
      </c>
      <c r="Q803" s="26" t="inlineStr">
        <is>
          <t>No</t>
        </is>
      </c>
      <c r="R803" s="26" t="inlineStr">
        <is>
          <t>Good finish</t>
        </is>
      </c>
      <c r="S803" s="26" t="inlineStr">
        <is>
          <t>Yes</t>
        </is>
      </c>
      <c r="T803" s="27" t="n"/>
      <c r="U803" s="28" t="inlineStr">
        <is>
          <t>No</t>
        </is>
      </c>
      <c r="V803" s="29">
        <f>IF(N803="","",IF(Q803="Yes","❌ Disc",IF(P803="No","⚠ Missing",IF(S803="Yes","✓ OK","⚠ Check"))))</f>
        <v/>
      </c>
      <c r="W803" s="65" t="n">
        <v>46248</v>
      </c>
      <c r="X803" s="30" t="inlineStr">
        <is>
          <t>Sunil CR</t>
        </is>
      </c>
      <c r="Y803" s="30" t="inlineStr">
        <is>
          <t>Yes</t>
        </is>
      </c>
      <c r="Z803" s="30" t="n"/>
      <c r="AA803" s="30" t="inlineStr">
        <is>
          <t>Good finish</t>
        </is>
      </c>
      <c r="AB803" s="30" t="inlineStr">
        <is>
          <t>Yes</t>
        </is>
      </c>
      <c r="AC803" s="27" t="n"/>
      <c r="AD803" s="31" t="inlineStr">
        <is>
          <t>No</t>
        </is>
      </c>
      <c r="AE803" s="32">
        <f>IF(W803="","",IF(Z803="Yes","❌ Disc",IF(Y803="No","⚠ Missing",IF(AB803="Yes","✓ OK","⚠ Check"))))</f>
        <v/>
      </c>
      <c r="AF803" s="33" t="n"/>
      <c r="AG803" s="33" t="n"/>
      <c r="AH803" s="33" t="n"/>
      <c r="AI803" s="33" t="n"/>
      <c r="AJ803" s="33" t="n"/>
      <c r="AK803" s="33" t="n"/>
      <c r="AL803" s="27" t="n"/>
      <c r="AM803" s="34" t="n"/>
      <c r="AN803" s="35">
        <f>IF(AF803="","",IF(AI803="Yes","❌ Disc",IF(AH803="No","⚠ Missing",IF(AK803="Yes","✓ OK","⚠ Check"))))</f>
        <v/>
      </c>
      <c r="AO803" s="36" t="n"/>
      <c r="AP803" s="36" t="n"/>
      <c r="AQ803" s="36" t="n"/>
      <c r="AR803" s="36" t="n"/>
      <c r="AS803" s="36" t="n"/>
      <c r="AT803" s="36" t="n"/>
      <c r="AU803" s="27" t="n"/>
      <c r="AV803" s="37" t="n"/>
      <c r="AW803" s="38">
        <f>IF(AO803="","",IF(AR803="Yes","❌ Disc",IF(AQ803="No","⚠ Missing",IF(AT803="Yes","✓ OK","⚠ Check"))))</f>
        <v/>
      </c>
    </row>
    <row r="804" ht="18" customHeight="1" s="46">
      <c r="A804" s="39" t="n">
        <v>800</v>
      </c>
      <c r="B804" s="40" t="inlineStr">
        <is>
          <t>WP LNCCN1163056</t>
        </is>
      </c>
      <c r="C804" s="41" t="inlineStr">
        <is>
          <t>Life n Colors - Indian Wallpaper Design, Elephants in Repeat Pattern  -  Canvas - a texture paper</t>
        </is>
      </c>
      <c r="D804" s="39" t="inlineStr">
        <is>
          <t>Life n Colors</t>
        </is>
      </c>
      <c r="E804" s="43" t="n">
        <v>46126</v>
      </c>
      <c r="F804" s="26" t="inlineStr">
        <is>
          <t>Sunil CR</t>
        </is>
      </c>
      <c r="G804" s="26" t="inlineStr">
        <is>
          <t>Yes</t>
        </is>
      </c>
      <c r="H804" s="26" t="inlineStr">
        <is>
          <t>No</t>
        </is>
      </c>
      <c r="I804" s="26" t="inlineStr">
        <is>
          <t>Good finish</t>
        </is>
      </c>
      <c r="J804" s="26" t="inlineStr">
        <is>
          <t>Yes</t>
        </is>
      </c>
      <c r="K804" s="27" t="n"/>
      <c r="L804" s="28" t="inlineStr">
        <is>
          <t>No</t>
        </is>
      </c>
      <c r="M804" s="29">
        <f>IF(E804="","",IF(H804="Yes","❌ Disc",IF(G804="No","⚠ Missing",IF(J804="Yes","✓ OK","⚠ Check"))))</f>
        <v/>
      </c>
      <c r="N804" s="43" t="n">
        <v>46193</v>
      </c>
      <c r="O804" s="26" t="inlineStr">
        <is>
          <t>Sunil CR</t>
        </is>
      </c>
      <c r="P804" s="26" t="inlineStr">
        <is>
          <t>Yes</t>
        </is>
      </c>
      <c r="Q804" s="26" t="inlineStr">
        <is>
          <t>No</t>
        </is>
      </c>
      <c r="R804" s="26" t="inlineStr">
        <is>
          <t>Good finish</t>
        </is>
      </c>
      <c r="S804" s="26" t="inlineStr">
        <is>
          <t>Yes</t>
        </is>
      </c>
      <c r="T804" s="27" t="n"/>
      <c r="U804" s="28" t="inlineStr">
        <is>
          <t>No</t>
        </is>
      </c>
      <c r="V804" s="29">
        <f>IF(N804="","",IF(Q804="Yes","❌ Disc",IF(P804="No","⚠ Missing",IF(S804="Yes","✓ OK","⚠ Check"))))</f>
        <v/>
      </c>
      <c r="W804" s="65" t="n">
        <v>46248</v>
      </c>
      <c r="X804" s="30" t="inlineStr">
        <is>
          <t>Sunil CR</t>
        </is>
      </c>
      <c r="Y804" s="30" t="inlineStr">
        <is>
          <t>Yes</t>
        </is>
      </c>
      <c r="Z804" s="30" t="n"/>
      <c r="AA804" s="30" t="inlineStr">
        <is>
          <t>Good finish</t>
        </is>
      </c>
      <c r="AB804" s="30" t="inlineStr">
        <is>
          <t>Yes</t>
        </is>
      </c>
      <c r="AC804" s="27" t="n"/>
      <c r="AD804" s="31" t="inlineStr">
        <is>
          <t>No</t>
        </is>
      </c>
      <c r="AE804" s="32">
        <f>IF(W804="","",IF(Z804="Yes","❌ Disc",IF(Y804="No","⚠ Missing",IF(AB804="Yes","✓ OK","⚠ Check"))))</f>
        <v/>
      </c>
      <c r="AF804" s="33" t="n"/>
      <c r="AG804" s="33" t="n"/>
      <c r="AH804" s="33" t="n"/>
      <c r="AI804" s="33" t="n"/>
      <c r="AJ804" s="33" t="n"/>
      <c r="AK804" s="33" t="n"/>
      <c r="AL804" s="27" t="n"/>
      <c r="AM804" s="34" t="n"/>
      <c r="AN804" s="35">
        <f>IF(AF804="","",IF(AI804="Yes","❌ Disc",IF(AH804="No","⚠ Missing",IF(AK804="Yes","✓ OK","⚠ Check"))))</f>
        <v/>
      </c>
      <c r="AO804" s="36" t="n"/>
      <c r="AP804" s="36" t="n"/>
      <c r="AQ804" s="36" t="n"/>
      <c r="AR804" s="36" t="n"/>
      <c r="AS804" s="36" t="n"/>
      <c r="AT804" s="36" t="n"/>
      <c r="AU804" s="27" t="n"/>
      <c r="AV804" s="37" t="n"/>
      <c r="AW804" s="38">
        <f>IF(AO804="","",IF(AR804="Yes","❌ Disc",IF(AQ804="No","⚠ Missing",IF(AT804="Yes","✓ OK","⚠ Check"))))</f>
        <v/>
      </c>
    </row>
    <row r="805" ht="18" customHeight="1" s="46">
      <c r="A805" s="23" t="n">
        <v>801</v>
      </c>
      <c r="B805" s="24" t="inlineStr">
        <is>
          <t>WP LNCSF1163056</t>
        </is>
      </c>
      <c r="C805" s="25" t="inlineStr">
        <is>
          <t>Life n Colors - Indian Wallpaper Design, Elephants in Repeat Pattern  - Non-woven - a soft feel paper</t>
        </is>
      </c>
      <c r="D805" s="23" t="inlineStr">
        <is>
          <t>Life n Colors</t>
        </is>
      </c>
      <c r="E805" s="43" t="n">
        <v>46126</v>
      </c>
      <c r="F805" s="26" t="inlineStr">
        <is>
          <t>Sunil CR</t>
        </is>
      </c>
      <c r="G805" s="26" t="inlineStr">
        <is>
          <t>Yes</t>
        </is>
      </c>
      <c r="H805" s="26" t="inlineStr">
        <is>
          <t>No</t>
        </is>
      </c>
      <c r="I805" s="26" t="inlineStr">
        <is>
          <t>Good finish</t>
        </is>
      </c>
      <c r="J805" s="26" t="inlineStr">
        <is>
          <t>Yes</t>
        </is>
      </c>
      <c r="K805" s="27" t="n"/>
      <c r="L805" s="28" t="inlineStr">
        <is>
          <t>No</t>
        </is>
      </c>
      <c r="M805" s="29">
        <f>IF(E805="","",IF(H805="Yes","❌ Disc",IF(G805="No","⚠ Missing",IF(J805="Yes","✓ OK","⚠ Check"))))</f>
        <v/>
      </c>
      <c r="N805" s="43" t="n">
        <v>46193</v>
      </c>
      <c r="O805" s="26" t="inlineStr">
        <is>
          <t>Sunil CR</t>
        </is>
      </c>
      <c r="P805" s="26" t="inlineStr">
        <is>
          <t>Yes</t>
        </is>
      </c>
      <c r="Q805" s="26" t="inlineStr">
        <is>
          <t>No</t>
        </is>
      </c>
      <c r="R805" s="26" t="inlineStr">
        <is>
          <t>Good finish</t>
        </is>
      </c>
      <c r="S805" s="26" t="inlineStr">
        <is>
          <t>Yes</t>
        </is>
      </c>
      <c r="T805" s="27" t="n"/>
      <c r="U805" s="28" t="inlineStr">
        <is>
          <t>No</t>
        </is>
      </c>
      <c r="V805" s="29">
        <f>IF(N805="","",IF(Q805="Yes","❌ Disc",IF(P805="No","⚠ Missing",IF(S805="Yes","✓ OK","⚠ Check"))))</f>
        <v/>
      </c>
      <c r="W805" s="65" t="n">
        <v>46248</v>
      </c>
      <c r="X805" s="30" t="inlineStr">
        <is>
          <t>Sunil CR</t>
        </is>
      </c>
      <c r="Y805" s="30" t="inlineStr">
        <is>
          <t>Yes</t>
        </is>
      </c>
      <c r="Z805" s="30" t="n"/>
      <c r="AA805" s="30" t="inlineStr">
        <is>
          <t>Good finish</t>
        </is>
      </c>
      <c r="AB805" s="30" t="inlineStr">
        <is>
          <t>Yes</t>
        </is>
      </c>
      <c r="AC805" s="27" t="n"/>
      <c r="AD805" s="31" t="inlineStr">
        <is>
          <t>No</t>
        </is>
      </c>
      <c r="AE805" s="32">
        <f>IF(W805="","",IF(Z805="Yes","❌ Disc",IF(Y805="No","⚠ Missing",IF(AB805="Yes","✓ OK","⚠ Check"))))</f>
        <v/>
      </c>
      <c r="AF805" s="33" t="n"/>
      <c r="AG805" s="33" t="n"/>
      <c r="AH805" s="33" t="n"/>
      <c r="AI805" s="33" t="n"/>
      <c r="AJ805" s="33" t="n"/>
      <c r="AK805" s="33" t="n"/>
      <c r="AL805" s="27" t="n"/>
      <c r="AM805" s="34" t="n"/>
      <c r="AN805" s="35">
        <f>IF(AF805="","",IF(AI805="Yes","❌ Disc",IF(AH805="No","⚠ Missing",IF(AK805="Yes","✓ OK","⚠ Check"))))</f>
        <v/>
      </c>
      <c r="AO805" s="36" t="n"/>
      <c r="AP805" s="36" t="n"/>
      <c r="AQ805" s="36" t="n"/>
      <c r="AR805" s="36" t="n"/>
      <c r="AS805" s="36" t="n"/>
      <c r="AT805" s="36" t="n"/>
      <c r="AU805" s="27" t="n"/>
      <c r="AV805" s="37" t="n"/>
      <c r="AW805" s="38">
        <f>IF(AO805="","",IF(AR805="Yes","❌ Disc",IF(AQ805="No","⚠ Missing",IF(AT805="Yes","✓ OK","⚠ Check"))))</f>
        <v/>
      </c>
    </row>
    <row r="806" ht="18" customHeight="1" s="46">
      <c r="A806" s="39" t="n">
        <v>802</v>
      </c>
      <c r="B806" s="40" t="inlineStr">
        <is>
          <t>WP LNCCN1183853</t>
        </is>
      </c>
      <c r="C806" s="41" t="inlineStr">
        <is>
          <t>Life n Colors - Indian Warli Art, Peacock and Trees Wallpaper  -  Canvas - a texture paper</t>
        </is>
      </c>
      <c r="D806" s="39" t="inlineStr">
        <is>
          <t>Life n Colors</t>
        </is>
      </c>
      <c r="E806" s="43" t="n">
        <v>46126</v>
      </c>
      <c r="F806" s="26" t="inlineStr">
        <is>
          <t>Sunil CR</t>
        </is>
      </c>
      <c r="G806" s="26" t="inlineStr">
        <is>
          <t>Yes</t>
        </is>
      </c>
      <c r="H806" s="26" t="inlineStr">
        <is>
          <t>No</t>
        </is>
      </c>
      <c r="I806" s="26" t="inlineStr">
        <is>
          <t>Good finish</t>
        </is>
      </c>
      <c r="J806" s="26" t="inlineStr">
        <is>
          <t>Yes</t>
        </is>
      </c>
      <c r="K806" s="27" t="n"/>
      <c r="L806" s="28" t="inlineStr">
        <is>
          <t>No</t>
        </is>
      </c>
      <c r="M806" s="29">
        <f>IF(E806="","",IF(H806="Yes","❌ Disc",IF(G806="No","⚠ Missing",IF(J806="Yes","✓ OK","⚠ Check"))))</f>
        <v/>
      </c>
      <c r="N806" s="43" t="n">
        <v>46193</v>
      </c>
      <c r="O806" s="26" t="inlineStr">
        <is>
          <t>Sunil CR</t>
        </is>
      </c>
      <c r="P806" s="26" t="inlineStr">
        <is>
          <t>Yes</t>
        </is>
      </c>
      <c r="Q806" s="26" t="inlineStr">
        <is>
          <t>No</t>
        </is>
      </c>
      <c r="R806" s="26" t="inlineStr">
        <is>
          <t>Good finish</t>
        </is>
      </c>
      <c r="S806" s="26" t="inlineStr">
        <is>
          <t>Yes</t>
        </is>
      </c>
      <c r="T806" s="27" t="n"/>
      <c r="U806" s="28" t="inlineStr">
        <is>
          <t>No</t>
        </is>
      </c>
      <c r="V806" s="29">
        <f>IF(N806="","",IF(Q806="Yes","❌ Disc",IF(P806="No","⚠ Missing",IF(S806="Yes","✓ OK","⚠ Check"))))</f>
        <v/>
      </c>
      <c r="W806" s="65" t="n">
        <v>46248</v>
      </c>
      <c r="X806" s="30" t="inlineStr">
        <is>
          <t>Sunil CR</t>
        </is>
      </c>
      <c r="Y806" s="30" t="inlineStr">
        <is>
          <t>Yes</t>
        </is>
      </c>
      <c r="Z806" s="30" t="n"/>
      <c r="AA806" s="30" t="inlineStr">
        <is>
          <t>Good finish</t>
        </is>
      </c>
      <c r="AB806" s="30" t="inlineStr">
        <is>
          <t>Yes</t>
        </is>
      </c>
      <c r="AC806" s="27" t="n"/>
      <c r="AD806" s="31" t="inlineStr">
        <is>
          <t>No</t>
        </is>
      </c>
      <c r="AE806" s="32">
        <f>IF(W806="","",IF(Z806="Yes","❌ Disc",IF(Y806="No","⚠ Missing",IF(AB806="Yes","✓ OK","⚠ Check"))))</f>
        <v/>
      </c>
      <c r="AF806" s="33" t="n"/>
      <c r="AG806" s="33" t="n"/>
      <c r="AH806" s="33" t="n"/>
      <c r="AI806" s="33" t="n"/>
      <c r="AJ806" s="33" t="n"/>
      <c r="AK806" s="33" t="n"/>
      <c r="AL806" s="27" t="n"/>
      <c r="AM806" s="34" t="n"/>
      <c r="AN806" s="35">
        <f>IF(AF806="","",IF(AI806="Yes","❌ Disc",IF(AH806="No","⚠ Missing",IF(AK806="Yes","✓ OK","⚠ Check"))))</f>
        <v/>
      </c>
      <c r="AO806" s="36" t="n"/>
      <c r="AP806" s="36" t="n"/>
      <c r="AQ806" s="36" t="n"/>
      <c r="AR806" s="36" t="n"/>
      <c r="AS806" s="36" t="n"/>
      <c r="AT806" s="36" t="n"/>
      <c r="AU806" s="27" t="n"/>
      <c r="AV806" s="37" t="n"/>
      <c r="AW806" s="38">
        <f>IF(AO806="","",IF(AR806="Yes","❌ Disc",IF(AQ806="No","⚠ Missing",IF(AT806="Yes","✓ OK","⚠ Check"))))</f>
        <v/>
      </c>
    </row>
    <row r="807" ht="18" customHeight="1" s="46">
      <c r="A807" s="23" t="n">
        <v>803</v>
      </c>
      <c r="B807" s="24" t="inlineStr">
        <is>
          <t>WP LNCSF1183853</t>
        </is>
      </c>
      <c r="C807" s="25" t="inlineStr">
        <is>
          <t>Life n Colors - Indian Warli Art, Peacock and Trees Wallpaper  - Non-woven - a soft feel paper</t>
        </is>
      </c>
      <c r="D807" s="23" t="inlineStr">
        <is>
          <t>Life n Colors</t>
        </is>
      </c>
      <c r="E807" s="43" t="n">
        <v>46126</v>
      </c>
      <c r="F807" s="26" t="inlineStr">
        <is>
          <t>Sunil CR</t>
        </is>
      </c>
      <c r="G807" s="26" t="inlineStr">
        <is>
          <t>Yes</t>
        </is>
      </c>
      <c r="H807" s="26" t="inlineStr">
        <is>
          <t>No</t>
        </is>
      </c>
      <c r="I807" s="26" t="inlineStr">
        <is>
          <t>Good finish</t>
        </is>
      </c>
      <c r="J807" s="26" t="inlineStr">
        <is>
          <t>Yes</t>
        </is>
      </c>
      <c r="K807" s="27" t="n"/>
      <c r="L807" s="28" t="inlineStr">
        <is>
          <t>No</t>
        </is>
      </c>
      <c r="M807" s="29">
        <f>IF(E807="","",IF(H807="Yes","❌ Disc",IF(G807="No","⚠ Missing",IF(J807="Yes","✓ OK","⚠ Check"))))</f>
        <v/>
      </c>
      <c r="N807" s="43" t="n">
        <v>46193</v>
      </c>
      <c r="O807" s="26" t="inlineStr">
        <is>
          <t>Sunil CR</t>
        </is>
      </c>
      <c r="P807" s="26" t="inlineStr">
        <is>
          <t>Yes</t>
        </is>
      </c>
      <c r="Q807" s="26" t="inlineStr">
        <is>
          <t>No</t>
        </is>
      </c>
      <c r="R807" s="26" t="inlineStr">
        <is>
          <t>Good finish</t>
        </is>
      </c>
      <c r="S807" s="26" t="inlineStr">
        <is>
          <t>Yes</t>
        </is>
      </c>
      <c r="T807" s="27" t="n"/>
      <c r="U807" s="28" t="inlineStr">
        <is>
          <t>No</t>
        </is>
      </c>
      <c r="V807" s="29">
        <f>IF(N807="","",IF(Q807="Yes","❌ Disc",IF(P807="No","⚠ Missing",IF(S807="Yes","✓ OK","⚠ Check"))))</f>
        <v/>
      </c>
      <c r="W807" s="65" t="n">
        <v>46248</v>
      </c>
      <c r="X807" s="30" t="inlineStr">
        <is>
          <t>Sunil CR</t>
        </is>
      </c>
      <c r="Y807" s="30" t="inlineStr">
        <is>
          <t>Yes</t>
        </is>
      </c>
      <c r="Z807" s="30" t="n"/>
      <c r="AA807" s="30" t="inlineStr">
        <is>
          <t>Good finish</t>
        </is>
      </c>
      <c r="AB807" s="30" t="inlineStr">
        <is>
          <t>Yes</t>
        </is>
      </c>
      <c r="AC807" s="27" t="n"/>
      <c r="AD807" s="31" t="inlineStr">
        <is>
          <t>No</t>
        </is>
      </c>
      <c r="AE807" s="32">
        <f>IF(W807="","",IF(Z807="Yes","❌ Disc",IF(Y807="No","⚠ Missing",IF(AB807="Yes","✓ OK","⚠ Check"))))</f>
        <v/>
      </c>
      <c r="AF807" s="33" t="n"/>
      <c r="AG807" s="33" t="n"/>
      <c r="AH807" s="33" t="n"/>
      <c r="AI807" s="33" t="n"/>
      <c r="AJ807" s="33" t="n"/>
      <c r="AK807" s="33" t="n"/>
      <c r="AL807" s="27" t="n"/>
      <c r="AM807" s="34" t="n"/>
      <c r="AN807" s="35">
        <f>IF(AF807="","",IF(AI807="Yes","❌ Disc",IF(AH807="No","⚠ Missing",IF(AK807="Yes","✓ OK","⚠ Check"))))</f>
        <v/>
      </c>
      <c r="AO807" s="36" t="n"/>
      <c r="AP807" s="36" t="n"/>
      <c r="AQ807" s="36" t="n"/>
      <c r="AR807" s="36" t="n"/>
      <c r="AS807" s="36" t="n"/>
      <c r="AT807" s="36" t="n"/>
      <c r="AU807" s="27" t="n"/>
      <c r="AV807" s="37" t="n"/>
      <c r="AW807" s="38">
        <f>IF(AO807="","",IF(AR807="Yes","❌ Disc",IF(AQ807="No","⚠ Missing",IF(AT807="Yes","✓ OK","⚠ Check"))))</f>
        <v/>
      </c>
    </row>
    <row r="808" ht="18" customHeight="1" s="46">
      <c r="A808" s="39" t="n">
        <v>804</v>
      </c>
      <c r="B808" s="40" t="inlineStr">
        <is>
          <t>WP LNCCN377046</t>
        </is>
      </c>
      <c r="C808" s="41" t="inlineStr">
        <is>
          <t>Life n Colors - Itâ€™s a French Life, Old Painting Inspired Wallpaper  -  Canvas - a texture paper</t>
        </is>
      </c>
      <c r="D808" s="39" t="inlineStr">
        <is>
          <t>Life n Colors</t>
        </is>
      </c>
      <c r="E808" s="43" t="n">
        <v>46126</v>
      </c>
      <c r="F808" s="26" t="inlineStr">
        <is>
          <t>Sunil CR</t>
        </is>
      </c>
      <c r="G808" s="26" t="inlineStr">
        <is>
          <t>Yes</t>
        </is>
      </c>
      <c r="H808" s="26" t="inlineStr">
        <is>
          <t>No</t>
        </is>
      </c>
      <c r="I808" s="26" t="inlineStr">
        <is>
          <t>Good finish</t>
        </is>
      </c>
      <c r="J808" s="26" t="inlineStr">
        <is>
          <t>Yes</t>
        </is>
      </c>
      <c r="K808" s="27" t="n"/>
      <c r="L808" s="28" t="inlineStr">
        <is>
          <t>No</t>
        </is>
      </c>
      <c r="M808" s="29">
        <f>IF(E808="","",IF(H808="Yes","❌ Disc",IF(G808="No","⚠ Missing",IF(J808="Yes","✓ OK","⚠ Check"))))</f>
        <v/>
      </c>
      <c r="N808" s="43" t="n">
        <v>46193</v>
      </c>
      <c r="O808" s="26" t="inlineStr">
        <is>
          <t>Sunil CR</t>
        </is>
      </c>
      <c r="P808" s="26" t="inlineStr">
        <is>
          <t>Yes</t>
        </is>
      </c>
      <c r="Q808" s="26" t="inlineStr">
        <is>
          <t>No</t>
        </is>
      </c>
      <c r="R808" s="26" t="inlineStr">
        <is>
          <t>Good finish</t>
        </is>
      </c>
      <c r="S808" s="26" t="inlineStr">
        <is>
          <t>Yes</t>
        </is>
      </c>
      <c r="T808" s="27" t="n"/>
      <c r="U808" s="28" t="inlineStr">
        <is>
          <t>No</t>
        </is>
      </c>
      <c r="V808" s="29">
        <f>IF(N808="","",IF(Q808="Yes","❌ Disc",IF(P808="No","⚠ Missing",IF(S808="Yes","✓ OK","⚠ Check"))))</f>
        <v/>
      </c>
      <c r="W808" s="65" t="n">
        <v>46248</v>
      </c>
      <c r="X808" s="30" t="inlineStr">
        <is>
          <t>Sunil CR</t>
        </is>
      </c>
      <c r="Y808" s="30" t="inlineStr">
        <is>
          <t>Yes</t>
        </is>
      </c>
      <c r="Z808" s="30" t="n"/>
      <c r="AA808" s="30" t="inlineStr">
        <is>
          <t>Good finish</t>
        </is>
      </c>
      <c r="AB808" s="30" t="inlineStr">
        <is>
          <t>Yes</t>
        </is>
      </c>
      <c r="AC808" s="27" t="n"/>
      <c r="AD808" s="31" t="inlineStr">
        <is>
          <t>No</t>
        </is>
      </c>
      <c r="AE808" s="32">
        <f>IF(W808="","",IF(Z808="Yes","❌ Disc",IF(Y808="No","⚠ Missing",IF(AB808="Yes","✓ OK","⚠ Check"))))</f>
        <v/>
      </c>
      <c r="AF808" s="33" t="n"/>
      <c r="AG808" s="33" t="n"/>
      <c r="AH808" s="33" t="n"/>
      <c r="AI808" s="33" t="n"/>
      <c r="AJ808" s="33" t="n"/>
      <c r="AK808" s="33" t="n"/>
      <c r="AL808" s="27" t="n"/>
      <c r="AM808" s="34" t="n"/>
      <c r="AN808" s="35">
        <f>IF(AF808="","",IF(AI808="Yes","❌ Disc",IF(AH808="No","⚠ Missing",IF(AK808="Yes","✓ OK","⚠ Check"))))</f>
        <v/>
      </c>
      <c r="AO808" s="36" t="n"/>
      <c r="AP808" s="36" t="n"/>
      <c r="AQ808" s="36" t="n"/>
      <c r="AR808" s="36" t="n"/>
      <c r="AS808" s="36" t="n"/>
      <c r="AT808" s="36" t="n"/>
      <c r="AU808" s="27" t="n"/>
      <c r="AV808" s="37" t="n"/>
      <c r="AW808" s="38">
        <f>IF(AO808="","",IF(AR808="Yes","❌ Disc",IF(AQ808="No","⚠ Missing",IF(AT808="Yes","✓ OK","⚠ Check"))))</f>
        <v/>
      </c>
    </row>
    <row r="809" ht="18" customHeight="1" s="46">
      <c r="A809" s="23" t="n">
        <v>805</v>
      </c>
      <c r="B809" s="24" t="inlineStr">
        <is>
          <t>WP LNCCN305407</t>
        </is>
      </c>
      <c r="C809" s="25" t="inlineStr">
        <is>
          <t>Life n Colors - Itihaas, Indian Theme Room Wallpaper -  Canvas - a texture paper</t>
        </is>
      </c>
      <c r="D809" s="23" t="inlineStr">
        <is>
          <t>Life n Colors</t>
        </is>
      </c>
      <c r="E809" s="43" t="n">
        <v>46126</v>
      </c>
      <c r="F809" s="26" t="inlineStr">
        <is>
          <t>Sunil CR</t>
        </is>
      </c>
      <c r="G809" s="26" t="inlineStr">
        <is>
          <t>Yes</t>
        </is>
      </c>
      <c r="H809" s="26" t="inlineStr">
        <is>
          <t>No</t>
        </is>
      </c>
      <c r="I809" s="26" t="inlineStr">
        <is>
          <t>Good finish</t>
        </is>
      </c>
      <c r="J809" s="26" t="inlineStr">
        <is>
          <t>Yes</t>
        </is>
      </c>
      <c r="K809" s="27" t="n"/>
      <c r="L809" s="28" t="inlineStr">
        <is>
          <t>No</t>
        </is>
      </c>
      <c r="M809" s="29">
        <f>IF(E809="","",IF(H809="Yes","❌ Disc",IF(G809="No","⚠ Missing",IF(J809="Yes","✓ OK","⚠ Check"))))</f>
        <v/>
      </c>
      <c r="N809" s="43" t="n">
        <v>46193</v>
      </c>
      <c r="O809" s="26" t="inlineStr">
        <is>
          <t>Sunil CR</t>
        </is>
      </c>
      <c r="P809" s="26" t="inlineStr">
        <is>
          <t>Yes</t>
        </is>
      </c>
      <c r="Q809" s="26" t="inlineStr">
        <is>
          <t>No</t>
        </is>
      </c>
      <c r="R809" s="26" t="inlineStr">
        <is>
          <t>Good finish</t>
        </is>
      </c>
      <c r="S809" s="26" t="inlineStr">
        <is>
          <t>Yes</t>
        </is>
      </c>
      <c r="T809" s="27" t="n"/>
      <c r="U809" s="28" t="inlineStr">
        <is>
          <t>No</t>
        </is>
      </c>
      <c r="V809" s="29">
        <f>IF(N809="","",IF(Q809="Yes","❌ Disc",IF(P809="No","⚠ Missing",IF(S809="Yes","✓ OK","⚠ Check"))))</f>
        <v/>
      </c>
      <c r="W809" s="65" t="n">
        <v>46248</v>
      </c>
      <c r="X809" s="30" t="inlineStr">
        <is>
          <t>Sunil CR</t>
        </is>
      </c>
      <c r="Y809" s="30" t="inlineStr">
        <is>
          <t>Yes</t>
        </is>
      </c>
      <c r="Z809" s="30" t="n"/>
      <c r="AA809" s="30" t="inlineStr">
        <is>
          <t>Good finish</t>
        </is>
      </c>
      <c r="AB809" s="30" t="inlineStr">
        <is>
          <t>Yes</t>
        </is>
      </c>
      <c r="AC809" s="27" t="n"/>
      <c r="AD809" s="31" t="inlineStr">
        <is>
          <t>No</t>
        </is>
      </c>
      <c r="AE809" s="32">
        <f>IF(W809="","",IF(Z809="Yes","❌ Disc",IF(Y809="No","⚠ Missing",IF(AB809="Yes","✓ OK","⚠ Check"))))</f>
        <v/>
      </c>
      <c r="AF809" s="33" t="n"/>
      <c r="AG809" s="33" t="n"/>
      <c r="AH809" s="33" t="n"/>
      <c r="AI809" s="33" t="n"/>
      <c r="AJ809" s="33" t="n"/>
      <c r="AK809" s="33" t="n"/>
      <c r="AL809" s="27" t="n"/>
      <c r="AM809" s="34" t="n"/>
      <c r="AN809" s="35">
        <f>IF(AF809="","",IF(AI809="Yes","❌ Disc",IF(AH809="No","⚠ Missing",IF(AK809="Yes","✓ OK","⚠ Check"))))</f>
        <v/>
      </c>
      <c r="AO809" s="36" t="n"/>
      <c r="AP809" s="36" t="n"/>
      <c r="AQ809" s="36" t="n"/>
      <c r="AR809" s="36" t="n"/>
      <c r="AS809" s="36" t="n"/>
      <c r="AT809" s="36" t="n"/>
      <c r="AU809" s="27" t="n"/>
      <c r="AV809" s="37" t="n"/>
      <c r="AW809" s="38">
        <f>IF(AO809="","",IF(AR809="Yes","❌ Disc",IF(AQ809="No","⚠ Missing",IF(AT809="Yes","✓ OK","⚠ Check"))))</f>
        <v/>
      </c>
    </row>
    <row r="810" ht="18" customHeight="1" s="46">
      <c r="A810" s="39" t="n">
        <v>806</v>
      </c>
      <c r="B810" s="40" t="inlineStr">
        <is>
          <t>WP LNCCN311329</t>
        </is>
      </c>
      <c r="C810" s="41" t="inlineStr">
        <is>
          <t>Life n Colors - Jaisalmer, Indian Theme Wall Wallpaper  -  Canvas - a texture paper</t>
        </is>
      </c>
      <c r="D810" s="39" t="inlineStr">
        <is>
          <t>Life n Colors</t>
        </is>
      </c>
      <c r="E810" s="43" t="n">
        <v>46126</v>
      </c>
      <c r="F810" s="26" t="inlineStr">
        <is>
          <t>Sunil CR</t>
        </is>
      </c>
      <c r="G810" s="26" t="inlineStr">
        <is>
          <t>Yes</t>
        </is>
      </c>
      <c r="H810" s="26" t="inlineStr">
        <is>
          <t>No</t>
        </is>
      </c>
      <c r="I810" s="26" t="inlineStr">
        <is>
          <t>Good finish</t>
        </is>
      </c>
      <c r="J810" s="26" t="inlineStr">
        <is>
          <t>Yes</t>
        </is>
      </c>
      <c r="K810" s="27" t="n"/>
      <c r="L810" s="28" t="inlineStr">
        <is>
          <t>No</t>
        </is>
      </c>
      <c r="M810" s="29">
        <f>IF(E810="","",IF(H810="Yes","❌ Disc",IF(G810="No","⚠ Missing",IF(J810="Yes","✓ OK","⚠ Check"))))</f>
        <v/>
      </c>
      <c r="N810" s="43" t="n">
        <v>46193</v>
      </c>
      <c r="O810" s="26" t="inlineStr">
        <is>
          <t>Sunil CR</t>
        </is>
      </c>
      <c r="P810" s="26" t="inlineStr">
        <is>
          <t>Yes</t>
        </is>
      </c>
      <c r="Q810" s="26" t="inlineStr">
        <is>
          <t>No</t>
        </is>
      </c>
      <c r="R810" s="26" t="inlineStr">
        <is>
          <t>Good finish</t>
        </is>
      </c>
      <c r="S810" s="26" t="inlineStr">
        <is>
          <t>Yes</t>
        </is>
      </c>
      <c r="T810" s="27" t="n"/>
      <c r="U810" s="28" t="inlineStr">
        <is>
          <t>No</t>
        </is>
      </c>
      <c r="V810" s="29">
        <f>IF(N810="","",IF(Q810="Yes","❌ Disc",IF(P810="No","⚠ Missing",IF(S810="Yes","✓ OK","⚠ Check"))))</f>
        <v/>
      </c>
      <c r="W810" s="65" t="n">
        <v>46248</v>
      </c>
      <c r="X810" s="30" t="inlineStr">
        <is>
          <t>Sunil CR</t>
        </is>
      </c>
      <c r="Y810" s="30" t="inlineStr">
        <is>
          <t>Yes</t>
        </is>
      </c>
      <c r="Z810" s="30" t="n"/>
      <c r="AA810" s="30" t="inlineStr">
        <is>
          <t>Good finish</t>
        </is>
      </c>
      <c r="AB810" s="30" t="inlineStr">
        <is>
          <t>Yes</t>
        </is>
      </c>
      <c r="AC810" s="27" t="n"/>
      <c r="AD810" s="31" t="inlineStr">
        <is>
          <t>No</t>
        </is>
      </c>
      <c r="AE810" s="32">
        <f>IF(W810="","",IF(Z810="Yes","❌ Disc",IF(Y810="No","⚠ Missing",IF(AB810="Yes","✓ OK","⚠ Check"))))</f>
        <v/>
      </c>
      <c r="AF810" s="33" t="n"/>
      <c r="AG810" s="33" t="n"/>
      <c r="AH810" s="33" t="n"/>
      <c r="AI810" s="33" t="n"/>
      <c r="AJ810" s="33" t="n"/>
      <c r="AK810" s="33" t="n"/>
      <c r="AL810" s="27" t="n"/>
      <c r="AM810" s="34" t="n"/>
      <c r="AN810" s="35">
        <f>IF(AF810="","",IF(AI810="Yes","❌ Disc",IF(AH810="No","⚠ Missing",IF(AK810="Yes","✓ OK","⚠ Check"))))</f>
        <v/>
      </c>
      <c r="AO810" s="36" t="n"/>
      <c r="AP810" s="36" t="n"/>
      <c r="AQ810" s="36" t="n"/>
      <c r="AR810" s="36" t="n"/>
      <c r="AS810" s="36" t="n"/>
      <c r="AT810" s="36" t="n"/>
      <c r="AU810" s="27" t="n"/>
      <c r="AV810" s="37" t="n"/>
      <c r="AW810" s="38">
        <f>IF(AO810="","",IF(AR810="Yes","❌ Disc",IF(AQ810="No","⚠ Missing",IF(AT810="Yes","✓ OK","⚠ Check"))))</f>
        <v/>
      </c>
    </row>
    <row r="811" ht="18" customHeight="1" s="46">
      <c r="A811" s="23" t="n">
        <v>807</v>
      </c>
      <c r="B811" s="24" t="inlineStr">
        <is>
          <t>WP LNCCN301525</t>
        </is>
      </c>
      <c r="C811" s="25" t="inlineStr">
        <is>
          <t>Life n Colors - Jannat, Chinoiserie Wallpaper  -  Canvas - a texture paper</t>
        </is>
      </c>
      <c r="D811" s="23" t="inlineStr">
        <is>
          <t>Life n Colors</t>
        </is>
      </c>
      <c r="E811" s="43" t="n">
        <v>46126</v>
      </c>
      <c r="F811" s="26" t="inlineStr">
        <is>
          <t>Sunil CR</t>
        </is>
      </c>
      <c r="G811" s="26" t="inlineStr">
        <is>
          <t>Yes</t>
        </is>
      </c>
      <c r="H811" s="26" t="inlineStr">
        <is>
          <t>No</t>
        </is>
      </c>
      <c r="I811" s="26" t="inlineStr">
        <is>
          <t>Good finish</t>
        </is>
      </c>
      <c r="J811" s="26" t="inlineStr">
        <is>
          <t>Yes</t>
        </is>
      </c>
      <c r="K811" s="27" t="n"/>
      <c r="L811" s="28" t="inlineStr">
        <is>
          <t>No</t>
        </is>
      </c>
      <c r="M811" s="29">
        <f>IF(E811="","",IF(H811="Yes","❌ Disc",IF(G811="No","⚠ Missing",IF(J811="Yes","✓ OK","⚠ Check"))))</f>
        <v/>
      </c>
      <c r="N811" s="43" t="n">
        <v>46193</v>
      </c>
      <c r="O811" s="26" t="inlineStr">
        <is>
          <t>Sunil CR</t>
        </is>
      </c>
      <c r="P811" s="26" t="inlineStr">
        <is>
          <t>Yes</t>
        </is>
      </c>
      <c r="Q811" s="26" t="inlineStr">
        <is>
          <t>No</t>
        </is>
      </c>
      <c r="R811" s="26" t="inlineStr">
        <is>
          <t>Good finish</t>
        </is>
      </c>
      <c r="S811" s="26" t="inlineStr">
        <is>
          <t>Yes</t>
        </is>
      </c>
      <c r="T811" s="27" t="n"/>
      <c r="U811" s="28" t="inlineStr">
        <is>
          <t>No</t>
        </is>
      </c>
      <c r="V811" s="29">
        <f>IF(N811="","",IF(Q811="Yes","❌ Disc",IF(P811="No","⚠ Missing",IF(S811="Yes","✓ OK","⚠ Check"))))</f>
        <v/>
      </c>
      <c r="W811" s="65" t="n">
        <v>46248</v>
      </c>
      <c r="X811" s="30" t="inlineStr">
        <is>
          <t>Sunil CR</t>
        </is>
      </c>
      <c r="Y811" s="30" t="inlineStr">
        <is>
          <t>Yes</t>
        </is>
      </c>
      <c r="Z811" s="30" t="n"/>
      <c r="AA811" s="30" t="inlineStr">
        <is>
          <t>Good finish</t>
        </is>
      </c>
      <c r="AB811" s="30" t="inlineStr">
        <is>
          <t>Yes</t>
        </is>
      </c>
      <c r="AC811" s="27" t="n"/>
      <c r="AD811" s="31" t="inlineStr">
        <is>
          <t>No</t>
        </is>
      </c>
      <c r="AE811" s="32">
        <f>IF(W811="","",IF(Z811="Yes","❌ Disc",IF(Y811="No","⚠ Missing",IF(AB811="Yes","✓ OK","⚠ Check"))))</f>
        <v/>
      </c>
      <c r="AF811" s="33" t="n"/>
      <c r="AG811" s="33" t="n"/>
      <c r="AH811" s="33" t="n"/>
      <c r="AI811" s="33" t="n"/>
      <c r="AJ811" s="33" t="n"/>
      <c r="AK811" s="33" t="n"/>
      <c r="AL811" s="27" t="n"/>
      <c r="AM811" s="34" t="n"/>
      <c r="AN811" s="35">
        <f>IF(AF811="","",IF(AI811="Yes","❌ Disc",IF(AH811="No","⚠ Missing",IF(AK811="Yes","✓ OK","⚠ Check"))))</f>
        <v/>
      </c>
      <c r="AO811" s="36" t="n"/>
      <c r="AP811" s="36" t="n"/>
      <c r="AQ811" s="36" t="n"/>
      <c r="AR811" s="36" t="n"/>
      <c r="AS811" s="36" t="n"/>
      <c r="AT811" s="36" t="n"/>
      <c r="AU811" s="27" t="n"/>
      <c r="AV811" s="37" t="n"/>
      <c r="AW811" s="38">
        <f>IF(AO811="","",IF(AR811="Yes","❌ Disc",IF(AQ811="No","⚠ Missing",IF(AT811="Yes","✓ OK","⚠ Check"))))</f>
        <v/>
      </c>
    </row>
    <row r="812" ht="18" customHeight="1" s="46">
      <c r="A812" s="39" t="n">
        <v>808</v>
      </c>
      <c r="B812" s="40" t="inlineStr">
        <is>
          <t>WP LNCCN1009112</t>
        </is>
      </c>
      <c r="C812" s="41" t="inlineStr">
        <is>
          <t>Life n Colors - Jharokha, Fort Windows Inspired Wallpaper  -  Canvas - a texture paper</t>
        </is>
      </c>
      <c r="D812" s="39" t="inlineStr">
        <is>
          <t>Life n Colors</t>
        </is>
      </c>
      <c r="E812" s="43" t="n">
        <v>46126</v>
      </c>
      <c r="F812" s="26" t="inlineStr">
        <is>
          <t>Sunil CR</t>
        </is>
      </c>
      <c r="G812" s="26" t="inlineStr">
        <is>
          <t>Yes</t>
        </is>
      </c>
      <c r="H812" s="26" t="inlineStr">
        <is>
          <t>No</t>
        </is>
      </c>
      <c r="I812" s="26" t="inlineStr">
        <is>
          <t>Good finish</t>
        </is>
      </c>
      <c r="J812" s="26" t="inlineStr">
        <is>
          <t>Yes</t>
        </is>
      </c>
      <c r="K812" s="27" t="n"/>
      <c r="L812" s="28" t="inlineStr">
        <is>
          <t>No</t>
        </is>
      </c>
      <c r="M812" s="29">
        <f>IF(E812="","",IF(H812="Yes","❌ Disc",IF(G812="No","⚠ Missing",IF(J812="Yes","✓ OK","⚠ Check"))))</f>
        <v/>
      </c>
      <c r="N812" s="43" t="n">
        <v>46193</v>
      </c>
      <c r="O812" s="26" t="inlineStr">
        <is>
          <t>Sunil CR</t>
        </is>
      </c>
      <c r="P812" s="26" t="inlineStr">
        <is>
          <t>Yes</t>
        </is>
      </c>
      <c r="Q812" s="26" t="inlineStr">
        <is>
          <t>No</t>
        </is>
      </c>
      <c r="R812" s="26" t="inlineStr">
        <is>
          <t>Good finish</t>
        </is>
      </c>
      <c r="S812" s="26" t="inlineStr">
        <is>
          <t>Yes</t>
        </is>
      </c>
      <c r="T812" s="27" t="n"/>
      <c r="U812" s="28" t="inlineStr">
        <is>
          <t>No</t>
        </is>
      </c>
      <c r="V812" s="29">
        <f>IF(N812="","",IF(Q812="Yes","❌ Disc",IF(P812="No","⚠ Missing",IF(S812="Yes","✓ OK","⚠ Check"))))</f>
        <v/>
      </c>
      <c r="W812" s="65" t="n">
        <v>46248</v>
      </c>
      <c r="X812" s="30" t="inlineStr">
        <is>
          <t>Sunil CR</t>
        </is>
      </c>
      <c r="Y812" s="30" t="inlineStr">
        <is>
          <t>Yes</t>
        </is>
      </c>
      <c r="Z812" s="30" t="n"/>
      <c r="AA812" s="30" t="inlineStr">
        <is>
          <t>Good finish</t>
        </is>
      </c>
      <c r="AB812" s="30" t="inlineStr">
        <is>
          <t>Yes</t>
        </is>
      </c>
      <c r="AC812" s="27" t="n"/>
      <c r="AD812" s="31" t="inlineStr">
        <is>
          <t>No</t>
        </is>
      </c>
      <c r="AE812" s="32">
        <f>IF(W812="","",IF(Z812="Yes","❌ Disc",IF(Y812="No","⚠ Missing",IF(AB812="Yes","✓ OK","⚠ Check"))))</f>
        <v/>
      </c>
      <c r="AF812" s="33" t="n"/>
      <c r="AG812" s="33" t="n"/>
      <c r="AH812" s="33" t="n"/>
      <c r="AI812" s="33" t="n"/>
      <c r="AJ812" s="33" t="n"/>
      <c r="AK812" s="33" t="n"/>
      <c r="AL812" s="27" t="n"/>
      <c r="AM812" s="34" t="n"/>
      <c r="AN812" s="35">
        <f>IF(AF812="","",IF(AI812="Yes","❌ Disc",IF(AH812="No","⚠ Missing",IF(AK812="Yes","✓ OK","⚠ Check"))))</f>
        <v/>
      </c>
      <c r="AO812" s="36" t="n"/>
      <c r="AP812" s="36" t="n"/>
      <c r="AQ812" s="36" t="n"/>
      <c r="AR812" s="36" t="n"/>
      <c r="AS812" s="36" t="n"/>
      <c r="AT812" s="36" t="n"/>
      <c r="AU812" s="27" t="n"/>
      <c r="AV812" s="37" t="n"/>
      <c r="AW812" s="38">
        <f>IF(AO812="","",IF(AR812="Yes","❌ Disc",IF(AQ812="No","⚠ Missing",IF(AT812="Yes","✓ OK","⚠ Check"))))</f>
        <v/>
      </c>
    </row>
    <row r="813" ht="18" customHeight="1" s="46">
      <c r="A813" s="23" t="n">
        <v>809</v>
      </c>
      <c r="B813" s="24" t="inlineStr">
        <is>
          <t>WP LNCSF1009112</t>
        </is>
      </c>
      <c r="C813" s="25" t="inlineStr">
        <is>
          <t>Life n Colors - Jharokha, Fort Windows Inspired Wallpaper  - Non-woven - a soft feel paper</t>
        </is>
      </c>
      <c r="D813" s="23" t="inlineStr">
        <is>
          <t>Life n Colors</t>
        </is>
      </c>
      <c r="E813" s="43" t="n">
        <v>46126</v>
      </c>
      <c r="F813" s="26" t="inlineStr">
        <is>
          <t>Sunil CR</t>
        </is>
      </c>
      <c r="G813" s="26" t="inlineStr">
        <is>
          <t>Yes</t>
        </is>
      </c>
      <c r="H813" s="26" t="inlineStr">
        <is>
          <t>No</t>
        </is>
      </c>
      <c r="I813" s="26" t="inlineStr">
        <is>
          <t>Good finish</t>
        </is>
      </c>
      <c r="J813" s="26" t="inlineStr">
        <is>
          <t>Yes</t>
        </is>
      </c>
      <c r="K813" s="27" t="n"/>
      <c r="L813" s="28" t="inlineStr">
        <is>
          <t>No</t>
        </is>
      </c>
      <c r="M813" s="29">
        <f>IF(E813="","",IF(H813="Yes","❌ Disc",IF(G813="No","⚠ Missing",IF(J813="Yes","✓ OK","⚠ Check"))))</f>
        <v/>
      </c>
      <c r="N813" s="43" t="n">
        <v>46193</v>
      </c>
      <c r="O813" s="26" t="inlineStr">
        <is>
          <t>Sunil CR</t>
        </is>
      </c>
      <c r="P813" s="26" t="inlineStr">
        <is>
          <t>Yes</t>
        </is>
      </c>
      <c r="Q813" s="26" t="inlineStr">
        <is>
          <t>No</t>
        </is>
      </c>
      <c r="R813" s="26" t="inlineStr">
        <is>
          <t>Good finish</t>
        </is>
      </c>
      <c r="S813" s="26" t="inlineStr">
        <is>
          <t>Yes</t>
        </is>
      </c>
      <c r="T813" s="27" t="n"/>
      <c r="U813" s="28" t="inlineStr">
        <is>
          <t>No</t>
        </is>
      </c>
      <c r="V813" s="29">
        <f>IF(N813="","",IF(Q813="Yes","❌ Disc",IF(P813="No","⚠ Missing",IF(S813="Yes","✓ OK","⚠ Check"))))</f>
        <v/>
      </c>
      <c r="W813" s="65" t="n">
        <v>46248</v>
      </c>
      <c r="X813" s="30" t="inlineStr">
        <is>
          <t>Sunil CR</t>
        </is>
      </c>
      <c r="Y813" s="30" t="inlineStr">
        <is>
          <t>Yes</t>
        </is>
      </c>
      <c r="Z813" s="30" t="n"/>
      <c r="AA813" s="30" t="inlineStr">
        <is>
          <t>Good finish</t>
        </is>
      </c>
      <c r="AB813" s="30" t="inlineStr">
        <is>
          <t>Yes</t>
        </is>
      </c>
      <c r="AC813" s="27" t="n"/>
      <c r="AD813" s="31" t="inlineStr">
        <is>
          <t>No</t>
        </is>
      </c>
      <c r="AE813" s="32">
        <f>IF(W813="","",IF(Z813="Yes","❌ Disc",IF(Y813="No","⚠ Missing",IF(AB813="Yes","✓ OK","⚠ Check"))))</f>
        <v/>
      </c>
      <c r="AF813" s="33" t="n"/>
      <c r="AG813" s="33" t="n"/>
      <c r="AH813" s="33" t="n"/>
      <c r="AI813" s="33" t="n"/>
      <c r="AJ813" s="33" t="n"/>
      <c r="AK813" s="33" t="n"/>
      <c r="AL813" s="27" t="n"/>
      <c r="AM813" s="34" t="n"/>
      <c r="AN813" s="35">
        <f>IF(AF813="","",IF(AI813="Yes","❌ Disc",IF(AH813="No","⚠ Missing",IF(AK813="Yes","✓ OK","⚠ Check"))))</f>
        <v/>
      </c>
      <c r="AO813" s="36" t="n"/>
      <c r="AP813" s="36" t="n"/>
      <c r="AQ813" s="36" t="n"/>
      <c r="AR813" s="36" t="n"/>
      <c r="AS813" s="36" t="n"/>
      <c r="AT813" s="36" t="n"/>
      <c r="AU813" s="27" t="n"/>
      <c r="AV813" s="37" t="n"/>
      <c r="AW813" s="38">
        <f>IF(AO813="","",IF(AR813="Yes","❌ Disc",IF(AQ813="No","⚠ Missing",IF(AT813="Yes","✓ OK","⚠ Check"))))</f>
        <v/>
      </c>
    </row>
    <row r="814" ht="18" customHeight="1" s="46">
      <c r="A814" s="39" t="n">
        <v>810</v>
      </c>
      <c r="B814" s="40" t="inlineStr">
        <is>
          <t>WP LNCCN360833</t>
        </is>
      </c>
      <c r="C814" s="41" t="inlineStr">
        <is>
          <t>Life n Colors - Jodhpur, A Rich Rajasthan Theme Wallpaper  -  Canvas - a texture paper</t>
        </is>
      </c>
      <c r="D814" s="39" t="inlineStr">
        <is>
          <t>Life n Colors</t>
        </is>
      </c>
      <c r="E814" s="43" t="n">
        <v>46126</v>
      </c>
      <c r="F814" s="26" t="inlineStr">
        <is>
          <t>Sunil CR</t>
        </is>
      </c>
      <c r="G814" s="26" t="inlineStr">
        <is>
          <t>Yes</t>
        </is>
      </c>
      <c r="H814" s="26" t="inlineStr">
        <is>
          <t>No</t>
        </is>
      </c>
      <c r="I814" s="26" t="inlineStr">
        <is>
          <t>Good finish</t>
        </is>
      </c>
      <c r="J814" s="26" t="inlineStr">
        <is>
          <t>Yes</t>
        </is>
      </c>
      <c r="K814" s="27" t="n"/>
      <c r="L814" s="28" t="inlineStr">
        <is>
          <t>No</t>
        </is>
      </c>
      <c r="M814" s="29">
        <f>IF(E814="","",IF(H814="Yes","❌ Disc",IF(G814="No","⚠ Missing",IF(J814="Yes","✓ OK","⚠ Check"))))</f>
        <v/>
      </c>
      <c r="N814" s="43" t="n">
        <v>46193</v>
      </c>
      <c r="O814" s="26" t="inlineStr">
        <is>
          <t>Sunil CR</t>
        </is>
      </c>
      <c r="P814" s="26" t="inlineStr">
        <is>
          <t>Yes</t>
        </is>
      </c>
      <c r="Q814" s="26" t="inlineStr">
        <is>
          <t>No</t>
        </is>
      </c>
      <c r="R814" s="26" t="inlineStr">
        <is>
          <t>Good finish</t>
        </is>
      </c>
      <c r="S814" s="26" t="inlineStr">
        <is>
          <t>Yes</t>
        </is>
      </c>
      <c r="T814" s="27" t="n"/>
      <c r="U814" s="28" t="inlineStr">
        <is>
          <t>No</t>
        </is>
      </c>
      <c r="V814" s="29">
        <f>IF(N814="","",IF(Q814="Yes","❌ Disc",IF(P814="No","⚠ Missing",IF(S814="Yes","✓ OK","⚠ Check"))))</f>
        <v/>
      </c>
      <c r="W814" s="65" t="n">
        <v>46248</v>
      </c>
      <c r="X814" s="30" t="inlineStr">
        <is>
          <t>Sunil CR</t>
        </is>
      </c>
      <c r="Y814" s="30" t="inlineStr">
        <is>
          <t>Yes</t>
        </is>
      </c>
      <c r="Z814" s="30" t="n"/>
      <c r="AA814" s="30" t="inlineStr">
        <is>
          <t>Good finish</t>
        </is>
      </c>
      <c r="AB814" s="30" t="inlineStr">
        <is>
          <t>Yes</t>
        </is>
      </c>
      <c r="AC814" s="27" t="n"/>
      <c r="AD814" s="31" t="inlineStr">
        <is>
          <t>No</t>
        </is>
      </c>
      <c r="AE814" s="32">
        <f>IF(W814="","",IF(Z814="Yes","❌ Disc",IF(Y814="No","⚠ Missing",IF(AB814="Yes","✓ OK","⚠ Check"))))</f>
        <v/>
      </c>
      <c r="AF814" s="33" t="n"/>
      <c r="AG814" s="33" t="n"/>
      <c r="AH814" s="33" t="n"/>
      <c r="AI814" s="33" t="n"/>
      <c r="AJ814" s="33" t="n"/>
      <c r="AK814" s="33" t="n"/>
      <c r="AL814" s="27" t="n"/>
      <c r="AM814" s="34" t="n"/>
      <c r="AN814" s="35">
        <f>IF(AF814="","",IF(AI814="Yes","❌ Disc",IF(AH814="No","⚠ Missing",IF(AK814="Yes","✓ OK","⚠ Check"))))</f>
        <v/>
      </c>
      <c r="AO814" s="36" t="n"/>
      <c r="AP814" s="36" t="n"/>
      <c r="AQ814" s="36" t="n"/>
      <c r="AR814" s="36" t="n"/>
      <c r="AS814" s="36" t="n"/>
      <c r="AT814" s="36" t="n"/>
      <c r="AU814" s="27" t="n"/>
      <c r="AV814" s="37" t="n"/>
      <c r="AW814" s="38">
        <f>IF(AO814="","",IF(AR814="Yes","❌ Disc",IF(AQ814="No","⚠ Missing",IF(AT814="Yes","✓ OK","⚠ Check"))))</f>
        <v/>
      </c>
    </row>
    <row r="815" ht="18" customHeight="1" s="46">
      <c r="A815" s="23" t="n">
        <v>811</v>
      </c>
      <c r="B815" s="24" t="inlineStr">
        <is>
          <t>WP LNCCN1112209</t>
        </is>
      </c>
      <c r="C815" s="25" t="inlineStr">
        <is>
          <t>Life n Colors - Jungle Animals in White Background Wallpaper for Kids Room, Customised  -  Canvas - a texture paper</t>
        </is>
      </c>
      <c r="D815" s="23" t="inlineStr">
        <is>
          <t>Life n Colors</t>
        </is>
      </c>
      <c r="E815" s="43" t="n">
        <v>46126</v>
      </c>
      <c r="F815" s="26" t="inlineStr">
        <is>
          <t>Sunil CR</t>
        </is>
      </c>
      <c r="G815" s="26" t="inlineStr">
        <is>
          <t>Yes</t>
        </is>
      </c>
      <c r="H815" s="26" t="inlineStr">
        <is>
          <t>No</t>
        </is>
      </c>
      <c r="I815" s="26" t="inlineStr">
        <is>
          <t>Good finish</t>
        </is>
      </c>
      <c r="J815" s="26" t="inlineStr">
        <is>
          <t>Yes</t>
        </is>
      </c>
      <c r="K815" s="27" t="n"/>
      <c r="L815" s="28" t="inlineStr">
        <is>
          <t>No</t>
        </is>
      </c>
      <c r="M815" s="29">
        <f>IF(E815="","",IF(H815="Yes","❌ Disc",IF(G815="No","⚠ Missing",IF(J815="Yes","✓ OK","⚠ Check"))))</f>
        <v/>
      </c>
      <c r="N815" s="43" t="n">
        <v>46193</v>
      </c>
      <c r="O815" s="26" t="inlineStr">
        <is>
          <t>Sunil CR</t>
        </is>
      </c>
      <c r="P815" s="26" t="inlineStr">
        <is>
          <t>Yes</t>
        </is>
      </c>
      <c r="Q815" s="26" t="inlineStr">
        <is>
          <t>No</t>
        </is>
      </c>
      <c r="R815" s="26" t="inlineStr">
        <is>
          <t>Good finish</t>
        </is>
      </c>
      <c r="S815" s="26" t="inlineStr">
        <is>
          <t>Yes</t>
        </is>
      </c>
      <c r="T815" s="27" t="n"/>
      <c r="U815" s="28" t="inlineStr">
        <is>
          <t>No</t>
        </is>
      </c>
      <c r="V815" s="29">
        <f>IF(N815="","",IF(Q815="Yes","❌ Disc",IF(P815="No","⚠ Missing",IF(S815="Yes","✓ OK","⚠ Check"))))</f>
        <v/>
      </c>
      <c r="W815" s="65" t="n">
        <v>46248</v>
      </c>
      <c r="X815" s="30" t="inlineStr">
        <is>
          <t>Sunil CR</t>
        </is>
      </c>
      <c r="Y815" s="30" t="inlineStr">
        <is>
          <t>Yes</t>
        </is>
      </c>
      <c r="Z815" s="30" t="n"/>
      <c r="AA815" s="30" t="inlineStr">
        <is>
          <t>Good finish</t>
        </is>
      </c>
      <c r="AB815" s="30" t="inlineStr">
        <is>
          <t>Yes</t>
        </is>
      </c>
      <c r="AC815" s="27" t="n"/>
      <c r="AD815" s="31" t="inlineStr">
        <is>
          <t>No</t>
        </is>
      </c>
      <c r="AE815" s="32">
        <f>IF(W815="","",IF(Z815="Yes","❌ Disc",IF(Y815="No","⚠ Missing",IF(AB815="Yes","✓ OK","⚠ Check"))))</f>
        <v/>
      </c>
      <c r="AF815" s="33" t="n"/>
      <c r="AG815" s="33" t="n"/>
      <c r="AH815" s="33" t="n"/>
      <c r="AI815" s="33" t="n"/>
      <c r="AJ815" s="33" t="n"/>
      <c r="AK815" s="33" t="n"/>
      <c r="AL815" s="27" t="n"/>
      <c r="AM815" s="34" t="n"/>
      <c r="AN815" s="35">
        <f>IF(AF815="","",IF(AI815="Yes","❌ Disc",IF(AH815="No","⚠ Missing",IF(AK815="Yes","✓ OK","⚠ Check"))))</f>
        <v/>
      </c>
      <c r="AO815" s="36" t="n"/>
      <c r="AP815" s="36" t="n"/>
      <c r="AQ815" s="36" t="n"/>
      <c r="AR815" s="36" t="n"/>
      <c r="AS815" s="36" t="n"/>
      <c r="AT815" s="36" t="n"/>
      <c r="AU815" s="27" t="n"/>
      <c r="AV815" s="37" t="n"/>
      <c r="AW815" s="38">
        <f>IF(AO815="","",IF(AR815="Yes","❌ Disc",IF(AQ815="No","⚠ Missing",IF(AT815="Yes","✓ OK","⚠ Check"))))</f>
        <v/>
      </c>
    </row>
    <row r="816" ht="18" customHeight="1" s="46">
      <c r="A816" s="39" t="n">
        <v>812</v>
      </c>
      <c r="B816" s="40" t="inlineStr">
        <is>
          <t>WP LNCSF1112209</t>
        </is>
      </c>
      <c r="C816" s="41" t="inlineStr">
        <is>
          <t>Life n Colors - Jungle Animals in White Background Wallpaper for Kids Room, Customised  - Non-woven - a soft feel paper</t>
        </is>
      </c>
      <c r="D816" s="39" t="inlineStr">
        <is>
          <t>Life n Colors</t>
        </is>
      </c>
      <c r="E816" s="43" t="n">
        <v>46126</v>
      </c>
      <c r="F816" s="26" t="inlineStr">
        <is>
          <t>Sunil CR</t>
        </is>
      </c>
      <c r="G816" s="26" t="inlineStr">
        <is>
          <t>Yes</t>
        </is>
      </c>
      <c r="H816" s="26" t="inlineStr">
        <is>
          <t>No</t>
        </is>
      </c>
      <c r="I816" s="26" t="inlineStr">
        <is>
          <t>Good finish</t>
        </is>
      </c>
      <c r="J816" s="26" t="inlineStr">
        <is>
          <t>Yes</t>
        </is>
      </c>
      <c r="K816" s="27" t="n"/>
      <c r="L816" s="28" t="inlineStr">
        <is>
          <t>No</t>
        </is>
      </c>
      <c r="M816" s="29">
        <f>IF(E816="","",IF(H816="Yes","❌ Disc",IF(G816="No","⚠ Missing",IF(J816="Yes","✓ OK","⚠ Check"))))</f>
        <v/>
      </c>
      <c r="N816" s="43" t="n">
        <v>46193</v>
      </c>
      <c r="O816" s="26" t="inlineStr">
        <is>
          <t>Sunil CR</t>
        </is>
      </c>
      <c r="P816" s="26" t="inlineStr">
        <is>
          <t>Yes</t>
        </is>
      </c>
      <c r="Q816" s="26" t="inlineStr">
        <is>
          <t>No</t>
        </is>
      </c>
      <c r="R816" s="26" t="inlineStr">
        <is>
          <t>Good finish</t>
        </is>
      </c>
      <c r="S816" s="26" t="inlineStr">
        <is>
          <t>Yes</t>
        </is>
      </c>
      <c r="T816" s="27" t="n"/>
      <c r="U816" s="28" t="inlineStr">
        <is>
          <t>No</t>
        </is>
      </c>
      <c r="V816" s="29">
        <f>IF(N816="","",IF(Q816="Yes","❌ Disc",IF(P816="No","⚠ Missing",IF(S816="Yes","✓ OK","⚠ Check"))))</f>
        <v/>
      </c>
      <c r="W816" s="65" t="n">
        <v>46248</v>
      </c>
      <c r="X816" s="30" t="inlineStr">
        <is>
          <t>Sunil CR</t>
        </is>
      </c>
      <c r="Y816" s="30" t="inlineStr">
        <is>
          <t>Yes</t>
        </is>
      </c>
      <c r="Z816" s="30" t="n"/>
      <c r="AA816" s="30" t="inlineStr">
        <is>
          <t>Good finish</t>
        </is>
      </c>
      <c r="AB816" s="30" t="inlineStr">
        <is>
          <t>Yes</t>
        </is>
      </c>
      <c r="AC816" s="27" t="n"/>
      <c r="AD816" s="31" t="inlineStr">
        <is>
          <t>No</t>
        </is>
      </c>
      <c r="AE816" s="32">
        <f>IF(W816="","",IF(Z816="Yes","❌ Disc",IF(Y816="No","⚠ Missing",IF(AB816="Yes","✓ OK","⚠ Check"))))</f>
        <v/>
      </c>
      <c r="AF816" s="33" t="n"/>
      <c r="AG816" s="33" t="n"/>
      <c r="AH816" s="33" t="n"/>
      <c r="AI816" s="33" t="n"/>
      <c r="AJ816" s="33" t="n"/>
      <c r="AK816" s="33" t="n"/>
      <c r="AL816" s="27" t="n"/>
      <c r="AM816" s="34" t="n"/>
      <c r="AN816" s="35">
        <f>IF(AF816="","",IF(AI816="Yes","❌ Disc",IF(AH816="No","⚠ Missing",IF(AK816="Yes","✓ OK","⚠ Check"))))</f>
        <v/>
      </c>
      <c r="AO816" s="36" t="n"/>
      <c r="AP816" s="36" t="n"/>
      <c r="AQ816" s="36" t="n"/>
      <c r="AR816" s="36" t="n"/>
      <c r="AS816" s="36" t="n"/>
      <c r="AT816" s="36" t="n"/>
      <c r="AU816" s="27" t="n"/>
      <c r="AV816" s="37" t="n"/>
      <c r="AW816" s="38">
        <f>IF(AO816="","",IF(AR816="Yes","❌ Disc",IF(AQ816="No","⚠ Missing",IF(AT816="Yes","✓ OK","⚠ Check"))))</f>
        <v/>
      </c>
    </row>
    <row r="817" ht="18" customHeight="1" s="46">
      <c r="A817" s="23" t="n">
        <v>813</v>
      </c>
      <c r="B817" s="24" t="inlineStr">
        <is>
          <t>WP LNCCN1156057</t>
        </is>
      </c>
      <c r="C817" s="25" t="inlineStr">
        <is>
          <t>Life n Colors - Jungle Class Room Theme Wall Mural for Kids Room  -  Canvas - a texture paper</t>
        </is>
      </c>
      <c r="D817" s="23" t="inlineStr">
        <is>
          <t>Life n Colors</t>
        </is>
      </c>
      <c r="E817" s="43" t="n">
        <v>46126</v>
      </c>
      <c r="F817" s="26" t="inlineStr">
        <is>
          <t>Sunil CR</t>
        </is>
      </c>
      <c r="G817" s="26" t="inlineStr">
        <is>
          <t>Yes</t>
        </is>
      </c>
      <c r="H817" s="26" t="inlineStr">
        <is>
          <t>No</t>
        </is>
      </c>
      <c r="I817" s="26" t="inlineStr">
        <is>
          <t>Good finish</t>
        </is>
      </c>
      <c r="J817" s="26" t="inlineStr">
        <is>
          <t>Yes</t>
        </is>
      </c>
      <c r="K817" s="27" t="n"/>
      <c r="L817" s="28" t="inlineStr">
        <is>
          <t>No</t>
        </is>
      </c>
      <c r="M817" s="29">
        <f>IF(E817="","",IF(H817="Yes","❌ Disc",IF(G817="No","⚠ Missing",IF(J817="Yes","✓ OK","⚠ Check"))))</f>
        <v/>
      </c>
      <c r="N817" s="43" t="n">
        <v>46193</v>
      </c>
      <c r="O817" s="26" t="inlineStr">
        <is>
          <t>Sunil CR</t>
        </is>
      </c>
      <c r="P817" s="26" t="inlineStr">
        <is>
          <t>Yes</t>
        </is>
      </c>
      <c r="Q817" s="26" t="inlineStr">
        <is>
          <t>No</t>
        </is>
      </c>
      <c r="R817" s="26" t="inlineStr">
        <is>
          <t>Good finish</t>
        </is>
      </c>
      <c r="S817" s="26" t="inlineStr">
        <is>
          <t>Yes</t>
        </is>
      </c>
      <c r="T817" s="27" t="n"/>
      <c r="U817" s="28" t="inlineStr">
        <is>
          <t>No</t>
        </is>
      </c>
      <c r="V817" s="29">
        <f>IF(N817="","",IF(Q817="Yes","❌ Disc",IF(P817="No","⚠ Missing",IF(S817="Yes","✓ OK","⚠ Check"))))</f>
        <v/>
      </c>
      <c r="W817" s="65" t="n">
        <v>46248</v>
      </c>
      <c r="X817" s="30" t="inlineStr">
        <is>
          <t>Sunil CR</t>
        </is>
      </c>
      <c r="Y817" s="30" t="inlineStr">
        <is>
          <t>Yes</t>
        </is>
      </c>
      <c r="Z817" s="30" t="n"/>
      <c r="AA817" s="30" t="inlineStr">
        <is>
          <t>Good finish</t>
        </is>
      </c>
      <c r="AB817" s="30" t="inlineStr">
        <is>
          <t>Yes</t>
        </is>
      </c>
      <c r="AC817" s="27" t="n"/>
      <c r="AD817" s="31" t="inlineStr">
        <is>
          <t>No</t>
        </is>
      </c>
      <c r="AE817" s="32">
        <f>IF(W817="","",IF(Z817="Yes","❌ Disc",IF(Y817="No","⚠ Missing",IF(AB817="Yes","✓ OK","⚠ Check"))))</f>
        <v/>
      </c>
      <c r="AF817" s="33" t="n"/>
      <c r="AG817" s="33" t="n"/>
      <c r="AH817" s="33" t="n"/>
      <c r="AI817" s="33" t="n"/>
      <c r="AJ817" s="33" t="n"/>
      <c r="AK817" s="33" t="n"/>
      <c r="AL817" s="27" t="n"/>
      <c r="AM817" s="34" t="n"/>
      <c r="AN817" s="35">
        <f>IF(AF817="","",IF(AI817="Yes","❌ Disc",IF(AH817="No","⚠ Missing",IF(AK817="Yes","✓ OK","⚠ Check"))))</f>
        <v/>
      </c>
      <c r="AO817" s="36" t="n"/>
      <c r="AP817" s="36" t="n"/>
      <c r="AQ817" s="36" t="n"/>
      <c r="AR817" s="36" t="n"/>
      <c r="AS817" s="36" t="n"/>
      <c r="AT817" s="36" t="n"/>
      <c r="AU817" s="27" t="n"/>
      <c r="AV817" s="37" t="n"/>
      <c r="AW817" s="38">
        <f>IF(AO817="","",IF(AR817="Yes","❌ Disc",IF(AQ817="No","⚠ Missing",IF(AT817="Yes","✓ OK","⚠ Check"))))</f>
        <v/>
      </c>
    </row>
    <row r="818" ht="18" customHeight="1" s="46">
      <c r="A818" s="39" t="n">
        <v>814</v>
      </c>
      <c r="B818" s="40" t="inlineStr">
        <is>
          <t>WP LNCSF1156057</t>
        </is>
      </c>
      <c r="C818" s="41" t="inlineStr">
        <is>
          <t>Life n Colors - Jungle Class Room Theme Wall Mural for Kids Room  - Non-woven - a soft feel paper</t>
        </is>
      </c>
      <c r="D818" s="39" t="inlineStr">
        <is>
          <t>Life n Colors</t>
        </is>
      </c>
      <c r="E818" s="43" t="n">
        <v>46126</v>
      </c>
      <c r="F818" s="26" t="inlineStr">
        <is>
          <t>Sunil CR</t>
        </is>
      </c>
      <c r="G818" s="26" t="inlineStr">
        <is>
          <t>Yes</t>
        </is>
      </c>
      <c r="H818" s="26" t="inlineStr">
        <is>
          <t>No</t>
        </is>
      </c>
      <c r="I818" s="26" t="inlineStr">
        <is>
          <t>Good finish</t>
        </is>
      </c>
      <c r="J818" s="26" t="inlineStr">
        <is>
          <t>Yes</t>
        </is>
      </c>
      <c r="K818" s="27" t="n"/>
      <c r="L818" s="28" t="inlineStr">
        <is>
          <t>No</t>
        </is>
      </c>
      <c r="M818" s="29">
        <f>IF(E818="","",IF(H818="Yes","❌ Disc",IF(G818="No","⚠ Missing",IF(J818="Yes","✓ OK","⚠ Check"))))</f>
        <v/>
      </c>
      <c r="N818" s="43" t="n">
        <v>46193</v>
      </c>
      <c r="O818" s="26" t="inlineStr">
        <is>
          <t>Sunil CR</t>
        </is>
      </c>
      <c r="P818" s="26" t="inlineStr">
        <is>
          <t>Yes</t>
        </is>
      </c>
      <c r="Q818" s="26" t="inlineStr">
        <is>
          <t>No</t>
        </is>
      </c>
      <c r="R818" s="26" t="inlineStr">
        <is>
          <t>Good finish</t>
        </is>
      </c>
      <c r="S818" s="26" t="inlineStr">
        <is>
          <t>Yes</t>
        </is>
      </c>
      <c r="T818" s="27" t="n"/>
      <c r="U818" s="28" t="inlineStr">
        <is>
          <t>No</t>
        </is>
      </c>
      <c r="V818" s="29">
        <f>IF(N818="","",IF(Q818="Yes","❌ Disc",IF(P818="No","⚠ Missing",IF(S818="Yes","✓ OK","⚠ Check"))))</f>
        <v/>
      </c>
      <c r="W818" s="65" t="n">
        <v>46248</v>
      </c>
      <c r="X818" s="30" t="inlineStr">
        <is>
          <t>Sunil CR</t>
        </is>
      </c>
      <c r="Y818" s="30" t="inlineStr">
        <is>
          <t>Yes</t>
        </is>
      </c>
      <c r="Z818" s="30" t="n"/>
      <c r="AA818" s="30" t="inlineStr">
        <is>
          <t>Good finish</t>
        </is>
      </c>
      <c r="AB818" s="30" t="inlineStr">
        <is>
          <t>Yes</t>
        </is>
      </c>
      <c r="AC818" s="27" t="n"/>
      <c r="AD818" s="31" t="inlineStr">
        <is>
          <t>No</t>
        </is>
      </c>
      <c r="AE818" s="32">
        <f>IF(W818="","",IF(Z818="Yes","❌ Disc",IF(Y818="No","⚠ Missing",IF(AB818="Yes","✓ OK","⚠ Check"))))</f>
        <v/>
      </c>
      <c r="AF818" s="33" t="n"/>
      <c r="AG818" s="33" t="n"/>
      <c r="AH818" s="33" t="n"/>
      <c r="AI818" s="33" t="n"/>
      <c r="AJ818" s="33" t="n"/>
      <c r="AK818" s="33" t="n"/>
      <c r="AL818" s="27" t="n"/>
      <c r="AM818" s="34" t="n"/>
      <c r="AN818" s="35">
        <f>IF(AF818="","",IF(AI818="Yes","❌ Disc",IF(AH818="No","⚠ Missing",IF(AK818="Yes","✓ OK","⚠ Check"))))</f>
        <v/>
      </c>
      <c r="AO818" s="36" t="n"/>
      <c r="AP818" s="36" t="n"/>
      <c r="AQ818" s="36" t="n"/>
      <c r="AR818" s="36" t="n"/>
      <c r="AS818" s="36" t="n"/>
      <c r="AT818" s="36" t="n"/>
      <c r="AU818" s="27" t="n"/>
      <c r="AV818" s="37" t="n"/>
      <c r="AW818" s="38">
        <f>IF(AO818="","",IF(AR818="Yes","❌ Disc",IF(AQ818="No","⚠ Missing",IF(AT818="Yes","✓ OK","⚠ Check"))))</f>
        <v/>
      </c>
    </row>
    <row r="819" ht="18" customHeight="1" s="46">
      <c r="A819" s="23" t="n">
        <v>815</v>
      </c>
      <c r="B819" s="24" t="inlineStr">
        <is>
          <t>WP LNCCN1161908</t>
        </is>
      </c>
      <c r="C819" s="25" t="inlineStr">
        <is>
          <t>Life n Colors - Jungle Plants And Animal Design for kids Room  -  Canvas - a texture paper</t>
        </is>
      </c>
      <c r="D819" s="23" t="inlineStr">
        <is>
          <t>Life n Colors</t>
        </is>
      </c>
      <c r="E819" s="43" t="n">
        <v>46126</v>
      </c>
      <c r="F819" s="26" t="inlineStr">
        <is>
          <t>Sunil CR</t>
        </is>
      </c>
      <c r="G819" s="26" t="inlineStr">
        <is>
          <t>Yes</t>
        </is>
      </c>
      <c r="H819" s="26" t="inlineStr">
        <is>
          <t>No</t>
        </is>
      </c>
      <c r="I819" s="26" t="inlineStr">
        <is>
          <t>Good finish</t>
        </is>
      </c>
      <c r="J819" s="26" t="inlineStr">
        <is>
          <t>Yes</t>
        </is>
      </c>
      <c r="K819" s="27" t="n"/>
      <c r="L819" s="28" t="inlineStr">
        <is>
          <t>No</t>
        </is>
      </c>
      <c r="M819" s="29">
        <f>IF(E819="","",IF(H819="Yes","❌ Disc",IF(G819="No","⚠ Missing",IF(J819="Yes","✓ OK","⚠ Check"))))</f>
        <v/>
      </c>
      <c r="N819" s="43" t="n">
        <v>46193</v>
      </c>
      <c r="O819" s="26" t="inlineStr">
        <is>
          <t>Sunil CR</t>
        </is>
      </c>
      <c r="P819" s="26" t="inlineStr">
        <is>
          <t>Yes</t>
        </is>
      </c>
      <c r="Q819" s="26" t="inlineStr">
        <is>
          <t>No</t>
        </is>
      </c>
      <c r="R819" s="26" t="inlineStr">
        <is>
          <t>Good finish</t>
        </is>
      </c>
      <c r="S819" s="26" t="inlineStr">
        <is>
          <t>Yes</t>
        </is>
      </c>
      <c r="T819" s="27" t="n"/>
      <c r="U819" s="28" t="inlineStr">
        <is>
          <t>No</t>
        </is>
      </c>
      <c r="V819" s="29">
        <f>IF(N819="","",IF(Q819="Yes","❌ Disc",IF(P819="No","⚠ Missing",IF(S819="Yes","✓ OK","⚠ Check"))))</f>
        <v/>
      </c>
      <c r="W819" s="65" t="n">
        <v>46248</v>
      </c>
      <c r="X819" s="30" t="inlineStr">
        <is>
          <t>Sunil CR</t>
        </is>
      </c>
      <c r="Y819" s="30" t="inlineStr">
        <is>
          <t>Yes</t>
        </is>
      </c>
      <c r="Z819" s="30" t="n"/>
      <c r="AA819" s="30" t="inlineStr">
        <is>
          <t>Good finish</t>
        </is>
      </c>
      <c r="AB819" s="30" t="inlineStr">
        <is>
          <t>Yes</t>
        </is>
      </c>
      <c r="AC819" s="27" t="n"/>
      <c r="AD819" s="31" t="inlineStr">
        <is>
          <t>No</t>
        </is>
      </c>
      <c r="AE819" s="32">
        <f>IF(W819="","",IF(Z819="Yes","❌ Disc",IF(Y819="No","⚠ Missing",IF(AB819="Yes","✓ OK","⚠ Check"))))</f>
        <v/>
      </c>
      <c r="AF819" s="33" t="n"/>
      <c r="AG819" s="33" t="n"/>
      <c r="AH819" s="33" t="n"/>
      <c r="AI819" s="33" t="n"/>
      <c r="AJ819" s="33" t="n"/>
      <c r="AK819" s="33" t="n"/>
      <c r="AL819" s="27" t="n"/>
      <c r="AM819" s="34" t="n"/>
      <c r="AN819" s="35">
        <f>IF(AF819="","",IF(AI819="Yes","❌ Disc",IF(AH819="No","⚠ Missing",IF(AK819="Yes","✓ OK","⚠ Check"))))</f>
        <v/>
      </c>
      <c r="AO819" s="36" t="n"/>
      <c r="AP819" s="36" t="n"/>
      <c r="AQ819" s="36" t="n"/>
      <c r="AR819" s="36" t="n"/>
      <c r="AS819" s="36" t="n"/>
      <c r="AT819" s="36" t="n"/>
      <c r="AU819" s="27" t="n"/>
      <c r="AV819" s="37" t="n"/>
      <c r="AW819" s="38">
        <f>IF(AO819="","",IF(AR819="Yes","❌ Disc",IF(AQ819="No","⚠ Missing",IF(AT819="Yes","✓ OK","⚠ Check"))))</f>
        <v/>
      </c>
    </row>
    <row r="820" ht="18" customHeight="1" s="46">
      <c r="A820" s="39" t="n">
        <v>816</v>
      </c>
      <c r="B820" s="40" t="inlineStr">
        <is>
          <t>WP LNCSF1161908</t>
        </is>
      </c>
      <c r="C820" s="41" t="inlineStr">
        <is>
          <t>Life n Colors - Jungle Plants And Animal Design for kids Room  - Non-woven - a soft feel paper</t>
        </is>
      </c>
      <c r="D820" s="39" t="inlineStr">
        <is>
          <t>Life n Colors</t>
        </is>
      </c>
      <c r="E820" s="43" t="n">
        <v>46126</v>
      </c>
      <c r="F820" s="26" t="inlineStr">
        <is>
          <t>Sunil CR</t>
        </is>
      </c>
      <c r="G820" s="26" t="inlineStr">
        <is>
          <t>Yes</t>
        </is>
      </c>
      <c r="H820" s="26" t="inlineStr">
        <is>
          <t>No</t>
        </is>
      </c>
      <c r="I820" s="26" t="inlineStr">
        <is>
          <t>Good finish</t>
        </is>
      </c>
      <c r="J820" s="26" t="inlineStr">
        <is>
          <t>Yes</t>
        </is>
      </c>
      <c r="K820" s="27" t="n"/>
      <c r="L820" s="28" t="inlineStr">
        <is>
          <t>No</t>
        </is>
      </c>
      <c r="M820" s="29">
        <f>IF(E820="","",IF(H820="Yes","❌ Disc",IF(G820="No","⚠ Missing",IF(J820="Yes","✓ OK","⚠ Check"))))</f>
        <v/>
      </c>
      <c r="N820" s="43" t="n">
        <v>46193</v>
      </c>
      <c r="O820" s="26" t="inlineStr">
        <is>
          <t>Sunil CR</t>
        </is>
      </c>
      <c r="P820" s="26" t="inlineStr">
        <is>
          <t>Yes</t>
        </is>
      </c>
      <c r="Q820" s="26" t="inlineStr">
        <is>
          <t>No</t>
        </is>
      </c>
      <c r="R820" s="26" t="inlineStr">
        <is>
          <t>Good finish</t>
        </is>
      </c>
      <c r="S820" s="26" t="inlineStr">
        <is>
          <t>Yes</t>
        </is>
      </c>
      <c r="T820" s="27" t="n"/>
      <c r="U820" s="28" t="inlineStr">
        <is>
          <t>No</t>
        </is>
      </c>
      <c r="V820" s="29">
        <f>IF(N820="","",IF(Q820="Yes","❌ Disc",IF(P820="No","⚠ Missing",IF(S820="Yes","✓ OK","⚠ Check"))))</f>
        <v/>
      </c>
      <c r="W820" s="65" t="n">
        <v>46248</v>
      </c>
      <c r="X820" s="30" t="inlineStr">
        <is>
          <t>Sunil CR</t>
        </is>
      </c>
      <c r="Y820" s="30" t="inlineStr">
        <is>
          <t>Yes</t>
        </is>
      </c>
      <c r="Z820" s="30" t="n"/>
      <c r="AA820" s="30" t="inlineStr">
        <is>
          <t>Good finish</t>
        </is>
      </c>
      <c r="AB820" s="30" t="inlineStr">
        <is>
          <t>Yes</t>
        </is>
      </c>
      <c r="AC820" s="27" t="n"/>
      <c r="AD820" s="31" t="inlineStr">
        <is>
          <t>No</t>
        </is>
      </c>
      <c r="AE820" s="32">
        <f>IF(W820="","",IF(Z820="Yes","❌ Disc",IF(Y820="No","⚠ Missing",IF(AB820="Yes","✓ OK","⚠ Check"))))</f>
        <v/>
      </c>
      <c r="AF820" s="33" t="n"/>
      <c r="AG820" s="33" t="n"/>
      <c r="AH820" s="33" t="n"/>
      <c r="AI820" s="33" t="n"/>
      <c r="AJ820" s="33" t="n"/>
      <c r="AK820" s="33" t="n"/>
      <c r="AL820" s="27" t="n"/>
      <c r="AM820" s="34" t="n"/>
      <c r="AN820" s="35">
        <f>IF(AF820="","",IF(AI820="Yes","❌ Disc",IF(AH820="No","⚠ Missing",IF(AK820="Yes","✓ OK","⚠ Check"))))</f>
        <v/>
      </c>
      <c r="AO820" s="36" t="n"/>
      <c r="AP820" s="36" t="n"/>
      <c r="AQ820" s="36" t="n"/>
      <c r="AR820" s="36" t="n"/>
      <c r="AS820" s="36" t="n"/>
      <c r="AT820" s="36" t="n"/>
      <c r="AU820" s="27" t="n"/>
      <c r="AV820" s="37" t="n"/>
      <c r="AW820" s="38">
        <f>IF(AO820="","",IF(AR820="Yes","❌ Disc",IF(AQ820="No","⚠ Missing",IF(AT820="Yes","✓ OK","⚠ Check"))))</f>
        <v/>
      </c>
    </row>
    <row r="821" ht="18" customHeight="1" s="46">
      <c r="A821" s="23" t="n">
        <v>817</v>
      </c>
      <c r="B821" s="24" t="inlineStr">
        <is>
          <t>WP LNCCN1092460</t>
        </is>
      </c>
      <c r="C821" s="25" t="inlineStr">
        <is>
          <t>Life n Colors - Jungle Theme Animals Wallpaper for Kids Room Walls  -  Canvas - a texture paper</t>
        </is>
      </c>
      <c r="D821" s="23" t="inlineStr">
        <is>
          <t>Life n Colors</t>
        </is>
      </c>
      <c r="E821" s="43" t="n">
        <v>46126</v>
      </c>
      <c r="F821" s="26" t="inlineStr">
        <is>
          <t>Sunil CR</t>
        </is>
      </c>
      <c r="G821" s="26" t="inlineStr">
        <is>
          <t>Yes</t>
        </is>
      </c>
      <c r="H821" s="26" t="inlineStr">
        <is>
          <t>No</t>
        </is>
      </c>
      <c r="I821" s="26" t="inlineStr">
        <is>
          <t>Good finish</t>
        </is>
      </c>
      <c r="J821" s="26" t="inlineStr">
        <is>
          <t>Yes</t>
        </is>
      </c>
      <c r="K821" s="27" t="n"/>
      <c r="L821" s="28" t="inlineStr">
        <is>
          <t>No</t>
        </is>
      </c>
      <c r="M821" s="29">
        <f>IF(E821="","",IF(H821="Yes","❌ Disc",IF(G821="No","⚠ Missing",IF(J821="Yes","✓ OK","⚠ Check"))))</f>
        <v/>
      </c>
      <c r="N821" s="43" t="n">
        <v>46193</v>
      </c>
      <c r="O821" s="26" t="inlineStr">
        <is>
          <t>Sunil CR</t>
        </is>
      </c>
      <c r="P821" s="26" t="inlineStr">
        <is>
          <t>Yes</t>
        </is>
      </c>
      <c r="Q821" s="26" t="inlineStr">
        <is>
          <t>No</t>
        </is>
      </c>
      <c r="R821" s="26" t="inlineStr">
        <is>
          <t>Good finish</t>
        </is>
      </c>
      <c r="S821" s="26" t="inlineStr">
        <is>
          <t>Yes</t>
        </is>
      </c>
      <c r="T821" s="27" t="n"/>
      <c r="U821" s="28" t="inlineStr">
        <is>
          <t>No</t>
        </is>
      </c>
      <c r="V821" s="29">
        <f>IF(N821="","",IF(Q821="Yes","❌ Disc",IF(P821="No","⚠ Missing",IF(S821="Yes","✓ OK","⚠ Check"))))</f>
        <v/>
      </c>
      <c r="W821" s="65" t="n">
        <v>46248</v>
      </c>
      <c r="X821" s="30" t="inlineStr">
        <is>
          <t>Sunil CR</t>
        </is>
      </c>
      <c r="Y821" s="30" t="inlineStr">
        <is>
          <t>Yes</t>
        </is>
      </c>
      <c r="Z821" s="30" t="n"/>
      <c r="AA821" s="30" t="inlineStr">
        <is>
          <t>Good finish</t>
        </is>
      </c>
      <c r="AB821" s="30" t="inlineStr">
        <is>
          <t>Yes</t>
        </is>
      </c>
      <c r="AC821" s="27" t="n"/>
      <c r="AD821" s="31" t="inlineStr">
        <is>
          <t>No</t>
        </is>
      </c>
      <c r="AE821" s="32">
        <f>IF(W821="","",IF(Z821="Yes","❌ Disc",IF(Y821="No","⚠ Missing",IF(AB821="Yes","✓ OK","⚠ Check"))))</f>
        <v/>
      </c>
      <c r="AF821" s="33" t="n"/>
      <c r="AG821" s="33" t="n"/>
      <c r="AH821" s="33" t="n"/>
      <c r="AI821" s="33" t="n"/>
      <c r="AJ821" s="33" t="n"/>
      <c r="AK821" s="33" t="n"/>
      <c r="AL821" s="27" t="n"/>
      <c r="AM821" s="34" t="n"/>
      <c r="AN821" s="35">
        <f>IF(AF821="","",IF(AI821="Yes","❌ Disc",IF(AH821="No","⚠ Missing",IF(AK821="Yes","✓ OK","⚠ Check"))))</f>
        <v/>
      </c>
      <c r="AO821" s="36" t="n"/>
      <c r="AP821" s="36" t="n"/>
      <c r="AQ821" s="36" t="n"/>
      <c r="AR821" s="36" t="n"/>
      <c r="AS821" s="36" t="n"/>
      <c r="AT821" s="36" t="n"/>
      <c r="AU821" s="27" t="n"/>
      <c r="AV821" s="37" t="n"/>
      <c r="AW821" s="38">
        <f>IF(AO821="","",IF(AR821="Yes","❌ Disc",IF(AQ821="No","⚠ Missing",IF(AT821="Yes","✓ OK","⚠ Check"))))</f>
        <v/>
      </c>
    </row>
    <row r="822" ht="18" customHeight="1" s="46">
      <c r="A822" s="39" t="n">
        <v>818</v>
      </c>
      <c r="B822" s="40" t="inlineStr">
        <is>
          <t>WP LNCSF1092460</t>
        </is>
      </c>
      <c r="C822" s="41" t="inlineStr">
        <is>
          <t>Life n Colors - Jungle Theme Animals Wallpaper for Kids Room Walls  - Non-woven - a soft feel paper</t>
        </is>
      </c>
      <c r="D822" s="39" t="inlineStr">
        <is>
          <t>Life n Colors</t>
        </is>
      </c>
      <c r="E822" s="43" t="n">
        <v>46126</v>
      </c>
      <c r="F822" s="26" t="inlineStr">
        <is>
          <t>Sunil CR</t>
        </is>
      </c>
      <c r="G822" s="26" t="inlineStr">
        <is>
          <t>Yes</t>
        </is>
      </c>
      <c r="H822" s="26" t="inlineStr">
        <is>
          <t>No</t>
        </is>
      </c>
      <c r="I822" s="26" t="inlineStr">
        <is>
          <t>Good finish</t>
        </is>
      </c>
      <c r="J822" s="26" t="inlineStr">
        <is>
          <t>Yes</t>
        </is>
      </c>
      <c r="K822" s="27" t="n"/>
      <c r="L822" s="28" t="inlineStr">
        <is>
          <t>No</t>
        </is>
      </c>
      <c r="M822" s="29">
        <f>IF(E822="","",IF(H822="Yes","❌ Disc",IF(G822="No","⚠ Missing",IF(J822="Yes","✓ OK","⚠ Check"))))</f>
        <v/>
      </c>
      <c r="N822" s="43" t="n">
        <v>46193</v>
      </c>
      <c r="O822" s="26" t="inlineStr">
        <is>
          <t>Sunil CR</t>
        </is>
      </c>
      <c r="P822" s="26" t="inlineStr">
        <is>
          <t>Yes</t>
        </is>
      </c>
      <c r="Q822" s="26" t="inlineStr">
        <is>
          <t>No</t>
        </is>
      </c>
      <c r="R822" s="26" t="inlineStr">
        <is>
          <t>Good finish</t>
        </is>
      </c>
      <c r="S822" s="26" t="inlineStr">
        <is>
          <t>Yes</t>
        </is>
      </c>
      <c r="T822" s="27" t="n"/>
      <c r="U822" s="28" t="inlineStr">
        <is>
          <t>No</t>
        </is>
      </c>
      <c r="V822" s="29">
        <f>IF(N822="","",IF(Q822="Yes","❌ Disc",IF(P822="No","⚠ Missing",IF(S822="Yes","✓ OK","⚠ Check"))))</f>
        <v/>
      </c>
      <c r="W822" s="65" t="n">
        <v>46248</v>
      </c>
      <c r="X822" s="30" t="inlineStr">
        <is>
          <t>Sunil CR</t>
        </is>
      </c>
      <c r="Y822" s="30" t="inlineStr">
        <is>
          <t>Yes</t>
        </is>
      </c>
      <c r="Z822" s="30" t="n"/>
      <c r="AA822" s="30" t="inlineStr">
        <is>
          <t>Good finish</t>
        </is>
      </c>
      <c r="AB822" s="30" t="inlineStr">
        <is>
          <t>Yes</t>
        </is>
      </c>
      <c r="AC822" s="27" t="n"/>
      <c r="AD822" s="31" t="inlineStr">
        <is>
          <t>No</t>
        </is>
      </c>
      <c r="AE822" s="32">
        <f>IF(W822="","",IF(Z822="Yes","❌ Disc",IF(Y822="No","⚠ Missing",IF(AB822="Yes","✓ OK","⚠ Check"))))</f>
        <v/>
      </c>
      <c r="AF822" s="33" t="n"/>
      <c r="AG822" s="33" t="n"/>
      <c r="AH822" s="33" t="n"/>
      <c r="AI822" s="33" t="n"/>
      <c r="AJ822" s="33" t="n"/>
      <c r="AK822" s="33" t="n"/>
      <c r="AL822" s="27" t="n"/>
      <c r="AM822" s="34" t="n"/>
      <c r="AN822" s="35">
        <f>IF(AF822="","",IF(AI822="Yes","❌ Disc",IF(AH822="No","⚠ Missing",IF(AK822="Yes","✓ OK","⚠ Check"))))</f>
        <v/>
      </c>
      <c r="AO822" s="36" t="n"/>
      <c r="AP822" s="36" t="n"/>
      <c r="AQ822" s="36" t="n"/>
      <c r="AR822" s="36" t="n"/>
      <c r="AS822" s="36" t="n"/>
      <c r="AT822" s="36" t="n"/>
      <c r="AU822" s="27" t="n"/>
      <c r="AV822" s="37" t="n"/>
      <c r="AW822" s="38">
        <f>IF(AO822="","",IF(AR822="Yes","❌ Disc",IF(AQ822="No","⚠ Missing",IF(AT822="Yes","✓ OK","⚠ Check"))))</f>
        <v/>
      </c>
    </row>
    <row r="823" ht="18" customHeight="1" s="46">
      <c r="A823" s="23" t="n">
        <v>819</v>
      </c>
      <c r="B823" s="24" t="inlineStr">
        <is>
          <t>WP LNCCN1034604</t>
        </is>
      </c>
      <c r="C823" s="25" t="inlineStr">
        <is>
          <t>Life n Colors - Jungle Theme Customised Wall Mural for Children Room  -  Canvas - a texture paper</t>
        </is>
      </c>
      <c r="D823" s="23" t="inlineStr">
        <is>
          <t>Life n Colors</t>
        </is>
      </c>
      <c r="E823" s="43" t="n">
        <v>46126</v>
      </c>
      <c r="F823" s="26" t="inlineStr">
        <is>
          <t>Sunil CR</t>
        </is>
      </c>
      <c r="G823" s="26" t="inlineStr">
        <is>
          <t>Yes</t>
        </is>
      </c>
      <c r="H823" s="26" t="inlineStr">
        <is>
          <t>No</t>
        </is>
      </c>
      <c r="I823" s="26" t="inlineStr">
        <is>
          <t>Good finish</t>
        </is>
      </c>
      <c r="J823" s="26" t="inlineStr">
        <is>
          <t>Yes</t>
        </is>
      </c>
      <c r="K823" s="27" t="n"/>
      <c r="L823" s="28" t="inlineStr">
        <is>
          <t>No</t>
        </is>
      </c>
      <c r="M823" s="29">
        <f>IF(E823="","",IF(H823="Yes","❌ Disc",IF(G823="No","⚠ Missing",IF(J823="Yes","✓ OK","⚠ Check"))))</f>
        <v/>
      </c>
      <c r="N823" s="43" t="n">
        <v>46193</v>
      </c>
      <c r="O823" s="26" t="inlineStr">
        <is>
          <t>Sunil CR</t>
        </is>
      </c>
      <c r="P823" s="26" t="inlineStr">
        <is>
          <t>Yes</t>
        </is>
      </c>
      <c r="Q823" s="26" t="inlineStr">
        <is>
          <t>No</t>
        </is>
      </c>
      <c r="R823" s="26" t="inlineStr">
        <is>
          <t>Good finish</t>
        </is>
      </c>
      <c r="S823" s="26" t="inlineStr">
        <is>
          <t>Yes</t>
        </is>
      </c>
      <c r="T823" s="27" t="n"/>
      <c r="U823" s="28" t="inlineStr">
        <is>
          <t>No</t>
        </is>
      </c>
      <c r="V823" s="29">
        <f>IF(N823="","",IF(Q823="Yes","❌ Disc",IF(P823="No","⚠ Missing",IF(S823="Yes","✓ OK","⚠ Check"))))</f>
        <v/>
      </c>
      <c r="W823" s="65" t="n">
        <v>46248</v>
      </c>
      <c r="X823" s="30" t="inlineStr">
        <is>
          <t>Sunil CR</t>
        </is>
      </c>
      <c r="Y823" s="30" t="inlineStr">
        <is>
          <t>Yes</t>
        </is>
      </c>
      <c r="Z823" s="30" t="n"/>
      <c r="AA823" s="30" t="inlineStr">
        <is>
          <t>Good finish</t>
        </is>
      </c>
      <c r="AB823" s="30" t="inlineStr">
        <is>
          <t>Yes</t>
        </is>
      </c>
      <c r="AC823" s="27" t="n"/>
      <c r="AD823" s="31" t="inlineStr">
        <is>
          <t>No</t>
        </is>
      </c>
      <c r="AE823" s="32">
        <f>IF(W823="","",IF(Z823="Yes","❌ Disc",IF(Y823="No","⚠ Missing",IF(AB823="Yes","✓ OK","⚠ Check"))))</f>
        <v/>
      </c>
      <c r="AF823" s="33" t="n"/>
      <c r="AG823" s="33" t="n"/>
      <c r="AH823" s="33" t="n"/>
      <c r="AI823" s="33" t="n"/>
      <c r="AJ823" s="33" t="n"/>
      <c r="AK823" s="33" t="n"/>
      <c r="AL823" s="27" t="n"/>
      <c r="AM823" s="34" t="n"/>
      <c r="AN823" s="35">
        <f>IF(AF823="","",IF(AI823="Yes","❌ Disc",IF(AH823="No","⚠ Missing",IF(AK823="Yes","✓ OK","⚠ Check"))))</f>
        <v/>
      </c>
      <c r="AO823" s="36" t="n"/>
      <c r="AP823" s="36" t="n"/>
      <c r="AQ823" s="36" t="n"/>
      <c r="AR823" s="36" t="n"/>
      <c r="AS823" s="36" t="n"/>
      <c r="AT823" s="36" t="n"/>
      <c r="AU823" s="27" t="n"/>
      <c r="AV823" s="37" t="n"/>
      <c r="AW823" s="38">
        <f>IF(AO823="","",IF(AR823="Yes","❌ Disc",IF(AQ823="No","⚠ Missing",IF(AT823="Yes","✓ OK","⚠ Check"))))</f>
        <v/>
      </c>
    </row>
    <row r="824" ht="18" customHeight="1" s="46">
      <c r="A824" s="39" t="n">
        <v>820</v>
      </c>
      <c r="B824" s="40" t="inlineStr">
        <is>
          <t>WP LNCSF1034604</t>
        </is>
      </c>
      <c r="C824" s="41" t="inlineStr">
        <is>
          <t>Life n Colors - Jungle Theme Customised Wall Mural for Children Room  - Non-woven - a soft feel paper</t>
        </is>
      </c>
      <c r="D824" s="39" t="inlineStr">
        <is>
          <t>Life n Colors</t>
        </is>
      </c>
      <c r="E824" s="43" t="n">
        <v>46126</v>
      </c>
      <c r="F824" s="26" t="inlineStr">
        <is>
          <t>Sunil CR</t>
        </is>
      </c>
      <c r="G824" s="26" t="inlineStr">
        <is>
          <t>Yes</t>
        </is>
      </c>
      <c r="H824" s="26" t="inlineStr">
        <is>
          <t>No</t>
        </is>
      </c>
      <c r="I824" s="26" t="inlineStr">
        <is>
          <t>Good finish</t>
        </is>
      </c>
      <c r="J824" s="26" t="inlineStr">
        <is>
          <t>Yes</t>
        </is>
      </c>
      <c r="K824" s="27" t="n"/>
      <c r="L824" s="28" t="inlineStr">
        <is>
          <t>No</t>
        </is>
      </c>
      <c r="M824" s="29">
        <f>IF(E824="","",IF(H824="Yes","❌ Disc",IF(G824="No","⚠ Missing",IF(J824="Yes","✓ OK","⚠ Check"))))</f>
        <v/>
      </c>
      <c r="N824" s="43" t="n">
        <v>46193</v>
      </c>
      <c r="O824" s="26" t="inlineStr">
        <is>
          <t>Sunil CR</t>
        </is>
      </c>
      <c r="P824" s="26" t="inlineStr">
        <is>
          <t>Yes</t>
        </is>
      </c>
      <c r="Q824" s="26" t="inlineStr">
        <is>
          <t>No</t>
        </is>
      </c>
      <c r="R824" s="26" t="inlineStr">
        <is>
          <t>Good finish</t>
        </is>
      </c>
      <c r="S824" s="26" t="inlineStr">
        <is>
          <t>Yes</t>
        </is>
      </c>
      <c r="T824" s="27" t="n"/>
      <c r="U824" s="28" t="inlineStr">
        <is>
          <t>No</t>
        </is>
      </c>
      <c r="V824" s="29">
        <f>IF(N824="","",IF(Q824="Yes","❌ Disc",IF(P824="No","⚠ Missing",IF(S824="Yes","✓ OK","⚠ Check"))))</f>
        <v/>
      </c>
      <c r="W824" s="65" t="n">
        <v>46248</v>
      </c>
      <c r="X824" s="30" t="inlineStr">
        <is>
          <t>Sunil CR</t>
        </is>
      </c>
      <c r="Y824" s="30" t="inlineStr">
        <is>
          <t>Yes</t>
        </is>
      </c>
      <c r="Z824" s="30" t="n"/>
      <c r="AA824" s="30" t="inlineStr">
        <is>
          <t>Good finish</t>
        </is>
      </c>
      <c r="AB824" s="30" t="inlineStr">
        <is>
          <t>Yes</t>
        </is>
      </c>
      <c r="AC824" s="27" t="n"/>
      <c r="AD824" s="31" t="inlineStr">
        <is>
          <t>No</t>
        </is>
      </c>
      <c r="AE824" s="32">
        <f>IF(W824="","",IF(Z824="Yes","❌ Disc",IF(Y824="No","⚠ Missing",IF(AB824="Yes","✓ OK","⚠ Check"))))</f>
        <v/>
      </c>
      <c r="AF824" s="33" t="n"/>
      <c r="AG824" s="33" t="n"/>
      <c r="AH824" s="33" t="n"/>
      <c r="AI824" s="33" t="n"/>
      <c r="AJ824" s="33" t="n"/>
      <c r="AK824" s="33" t="n"/>
      <c r="AL824" s="27" t="n"/>
      <c r="AM824" s="34" t="n"/>
      <c r="AN824" s="35">
        <f>IF(AF824="","",IF(AI824="Yes","❌ Disc",IF(AH824="No","⚠ Missing",IF(AK824="Yes","✓ OK","⚠ Check"))))</f>
        <v/>
      </c>
      <c r="AO824" s="36" t="n"/>
      <c r="AP824" s="36" t="n"/>
      <c r="AQ824" s="36" t="n"/>
      <c r="AR824" s="36" t="n"/>
      <c r="AS824" s="36" t="n"/>
      <c r="AT824" s="36" t="n"/>
      <c r="AU824" s="27" t="n"/>
      <c r="AV824" s="37" t="n"/>
      <c r="AW824" s="38">
        <f>IF(AO824="","",IF(AR824="Yes","❌ Disc",IF(AQ824="No","⚠ Missing",IF(AT824="Yes","✓ OK","⚠ Check"))))</f>
        <v/>
      </c>
    </row>
    <row r="825" ht="18" customHeight="1" s="46">
      <c r="A825" s="23" t="n">
        <v>821</v>
      </c>
      <c r="B825" s="24" t="inlineStr">
        <is>
          <t>WP LNCCN1177058</t>
        </is>
      </c>
      <c r="C825" s="25" t="inlineStr">
        <is>
          <t>Life n Colors - Jungle Theme Kids Room Wallpaper, Giraffe, Elephant, Lioness,Cub, Zebra  -  Canvas - a texture paper</t>
        </is>
      </c>
      <c r="D825" s="23" t="inlineStr">
        <is>
          <t>Life n Colors</t>
        </is>
      </c>
      <c r="E825" s="43" t="n">
        <v>46126</v>
      </c>
      <c r="F825" s="26" t="inlineStr">
        <is>
          <t>Sunil CR</t>
        </is>
      </c>
      <c r="G825" s="26" t="inlineStr">
        <is>
          <t>Yes</t>
        </is>
      </c>
      <c r="H825" s="26" t="inlineStr">
        <is>
          <t>No</t>
        </is>
      </c>
      <c r="I825" s="26" t="inlineStr">
        <is>
          <t>Good finish</t>
        </is>
      </c>
      <c r="J825" s="26" t="inlineStr">
        <is>
          <t>Yes</t>
        </is>
      </c>
      <c r="K825" s="27" t="n"/>
      <c r="L825" s="28" t="inlineStr">
        <is>
          <t>No</t>
        </is>
      </c>
      <c r="M825" s="29">
        <f>IF(E825="","",IF(H825="Yes","❌ Disc",IF(G825="No","⚠ Missing",IF(J825="Yes","✓ OK","⚠ Check"))))</f>
        <v/>
      </c>
      <c r="N825" s="43" t="n">
        <v>46193</v>
      </c>
      <c r="O825" s="26" t="inlineStr">
        <is>
          <t>Sunil CR</t>
        </is>
      </c>
      <c r="P825" s="26" t="inlineStr">
        <is>
          <t>Yes</t>
        </is>
      </c>
      <c r="Q825" s="26" t="inlineStr">
        <is>
          <t>No</t>
        </is>
      </c>
      <c r="R825" s="26" t="inlineStr">
        <is>
          <t>Good finish</t>
        </is>
      </c>
      <c r="S825" s="26" t="inlineStr">
        <is>
          <t>Yes</t>
        </is>
      </c>
      <c r="T825" s="27" t="n"/>
      <c r="U825" s="28" t="inlineStr">
        <is>
          <t>No</t>
        </is>
      </c>
      <c r="V825" s="29">
        <f>IF(N825="","",IF(Q825="Yes","❌ Disc",IF(P825="No","⚠ Missing",IF(S825="Yes","✓ OK","⚠ Check"))))</f>
        <v/>
      </c>
      <c r="W825" s="65" t="n">
        <v>46248</v>
      </c>
      <c r="X825" s="30" t="inlineStr">
        <is>
          <t>Sunil CR</t>
        </is>
      </c>
      <c r="Y825" s="30" t="inlineStr">
        <is>
          <t>Yes</t>
        </is>
      </c>
      <c r="Z825" s="30" t="n"/>
      <c r="AA825" s="30" t="inlineStr">
        <is>
          <t>Good finish</t>
        </is>
      </c>
      <c r="AB825" s="30" t="inlineStr">
        <is>
          <t>Yes</t>
        </is>
      </c>
      <c r="AC825" s="27" t="n"/>
      <c r="AD825" s="31" t="inlineStr">
        <is>
          <t>No</t>
        </is>
      </c>
      <c r="AE825" s="32">
        <f>IF(W825="","",IF(Z825="Yes","❌ Disc",IF(Y825="No","⚠ Missing",IF(AB825="Yes","✓ OK","⚠ Check"))))</f>
        <v/>
      </c>
      <c r="AF825" s="33" t="n"/>
      <c r="AG825" s="33" t="n"/>
      <c r="AH825" s="33" t="n"/>
      <c r="AI825" s="33" t="n"/>
      <c r="AJ825" s="33" t="n"/>
      <c r="AK825" s="33" t="n"/>
      <c r="AL825" s="27" t="n"/>
      <c r="AM825" s="34" t="n"/>
      <c r="AN825" s="35">
        <f>IF(AF825="","",IF(AI825="Yes","❌ Disc",IF(AH825="No","⚠ Missing",IF(AK825="Yes","✓ OK","⚠ Check"))))</f>
        <v/>
      </c>
      <c r="AO825" s="36" t="n"/>
      <c r="AP825" s="36" t="n"/>
      <c r="AQ825" s="36" t="n"/>
      <c r="AR825" s="36" t="n"/>
      <c r="AS825" s="36" t="n"/>
      <c r="AT825" s="36" t="n"/>
      <c r="AU825" s="27" t="n"/>
      <c r="AV825" s="37" t="n"/>
      <c r="AW825" s="38">
        <f>IF(AO825="","",IF(AR825="Yes","❌ Disc",IF(AQ825="No","⚠ Missing",IF(AT825="Yes","✓ OK","⚠ Check"))))</f>
        <v/>
      </c>
    </row>
    <row r="826" ht="18" customHeight="1" s="46">
      <c r="A826" s="39" t="n">
        <v>822</v>
      </c>
      <c r="B826" s="40" t="inlineStr">
        <is>
          <t>WP LNCSF1177058</t>
        </is>
      </c>
      <c r="C826" s="41" t="inlineStr">
        <is>
          <t>Life n Colors - Jungle Theme Kids Room Wallpaper, Giraffe, Elephant, Lioness,Cub, Zebra  - Non-woven - a soft feel paper</t>
        </is>
      </c>
      <c r="D826" s="39" t="inlineStr">
        <is>
          <t>Life n Colors</t>
        </is>
      </c>
      <c r="E826" s="43" t="n">
        <v>46126</v>
      </c>
      <c r="F826" s="26" t="inlineStr">
        <is>
          <t>Sunil CR</t>
        </is>
      </c>
      <c r="G826" s="26" t="inlineStr">
        <is>
          <t>Yes</t>
        </is>
      </c>
      <c r="H826" s="26" t="inlineStr">
        <is>
          <t>No</t>
        </is>
      </c>
      <c r="I826" s="26" t="inlineStr">
        <is>
          <t>Good finish</t>
        </is>
      </c>
      <c r="J826" s="26" t="inlineStr">
        <is>
          <t>Yes</t>
        </is>
      </c>
      <c r="K826" s="27" t="n"/>
      <c r="L826" s="28" t="inlineStr">
        <is>
          <t>No</t>
        </is>
      </c>
      <c r="M826" s="29">
        <f>IF(E826="","",IF(H826="Yes","❌ Disc",IF(G826="No","⚠ Missing",IF(J826="Yes","✓ OK","⚠ Check"))))</f>
        <v/>
      </c>
      <c r="N826" s="43" t="n">
        <v>46193</v>
      </c>
      <c r="O826" s="26" t="inlineStr">
        <is>
          <t>Sunil CR</t>
        </is>
      </c>
      <c r="P826" s="26" t="inlineStr">
        <is>
          <t>Yes</t>
        </is>
      </c>
      <c r="Q826" s="26" t="inlineStr">
        <is>
          <t>No</t>
        </is>
      </c>
      <c r="R826" s="26" t="inlineStr">
        <is>
          <t>Good finish</t>
        </is>
      </c>
      <c r="S826" s="26" t="inlineStr">
        <is>
          <t>Yes</t>
        </is>
      </c>
      <c r="T826" s="27" t="n"/>
      <c r="U826" s="28" t="inlineStr">
        <is>
          <t>No</t>
        </is>
      </c>
      <c r="V826" s="29">
        <f>IF(N826="","",IF(Q826="Yes","❌ Disc",IF(P826="No","⚠ Missing",IF(S826="Yes","✓ OK","⚠ Check"))))</f>
        <v/>
      </c>
      <c r="W826" s="65" t="n">
        <v>46248</v>
      </c>
      <c r="X826" s="30" t="inlineStr">
        <is>
          <t>Sunil CR</t>
        </is>
      </c>
      <c r="Y826" s="30" t="inlineStr">
        <is>
          <t>Yes</t>
        </is>
      </c>
      <c r="Z826" s="30" t="n"/>
      <c r="AA826" s="30" t="inlineStr">
        <is>
          <t>Good finish</t>
        </is>
      </c>
      <c r="AB826" s="30" t="inlineStr">
        <is>
          <t>Yes</t>
        </is>
      </c>
      <c r="AC826" s="27" t="n"/>
      <c r="AD826" s="31" t="inlineStr">
        <is>
          <t>No</t>
        </is>
      </c>
      <c r="AE826" s="32">
        <f>IF(W826="","",IF(Z826="Yes","❌ Disc",IF(Y826="No","⚠ Missing",IF(AB826="Yes","✓ OK","⚠ Check"))))</f>
        <v/>
      </c>
      <c r="AF826" s="33" t="n"/>
      <c r="AG826" s="33" t="n"/>
      <c r="AH826" s="33" t="n"/>
      <c r="AI826" s="33" t="n"/>
      <c r="AJ826" s="33" t="n"/>
      <c r="AK826" s="33" t="n"/>
      <c r="AL826" s="27" t="n"/>
      <c r="AM826" s="34" t="n"/>
      <c r="AN826" s="35">
        <f>IF(AF826="","",IF(AI826="Yes","❌ Disc",IF(AH826="No","⚠ Missing",IF(AK826="Yes","✓ OK","⚠ Check"))))</f>
        <v/>
      </c>
      <c r="AO826" s="36" t="n"/>
      <c r="AP826" s="36" t="n"/>
      <c r="AQ826" s="36" t="n"/>
      <c r="AR826" s="36" t="n"/>
      <c r="AS826" s="36" t="n"/>
      <c r="AT826" s="36" t="n"/>
      <c r="AU826" s="27" t="n"/>
      <c r="AV826" s="37" t="n"/>
      <c r="AW826" s="38">
        <f>IF(AO826="","",IF(AR826="Yes","❌ Disc",IF(AQ826="No","⚠ Missing",IF(AT826="Yes","✓ OK","⚠ Check"))))</f>
        <v/>
      </c>
    </row>
    <row r="827" ht="18" customHeight="1" s="46">
      <c r="A827" s="23" t="n">
        <v>823</v>
      </c>
      <c r="B827" s="24" t="inlineStr">
        <is>
          <t>WP LNCSF1035034</t>
        </is>
      </c>
      <c r="C827" s="25" t="inlineStr">
        <is>
          <t>Life n Colors - Jungle Theme Tiger Wallpaper  - Non-woven - a soft feel paper</t>
        </is>
      </c>
      <c r="D827" s="23" t="inlineStr">
        <is>
          <t>Life n Colors</t>
        </is>
      </c>
      <c r="E827" s="43" t="n">
        <v>46126</v>
      </c>
      <c r="F827" s="26" t="inlineStr">
        <is>
          <t>Sunil CR</t>
        </is>
      </c>
      <c r="G827" s="26" t="inlineStr">
        <is>
          <t>Yes</t>
        </is>
      </c>
      <c r="H827" s="26" t="inlineStr">
        <is>
          <t>No</t>
        </is>
      </c>
      <c r="I827" s="26" t="inlineStr">
        <is>
          <t>Good finish</t>
        </is>
      </c>
      <c r="J827" s="26" t="inlineStr">
        <is>
          <t>Yes</t>
        </is>
      </c>
      <c r="K827" s="27" t="n"/>
      <c r="L827" s="28" t="inlineStr">
        <is>
          <t>No</t>
        </is>
      </c>
      <c r="M827" s="29">
        <f>IF(E827="","",IF(H827="Yes","❌ Disc",IF(G827="No","⚠ Missing",IF(J827="Yes","✓ OK","⚠ Check"))))</f>
        <v/>
      </c>
      <c r="N827" s="43" t="n">
        <v>46193</v>
      </c>
      <c r="O827" s="26" t="inlineStr">
        <is>
          <t>Sunil CR</t>
        </is>
      </c>
      <c r="P827" s="26" t="inlineStr">
        <is>
          <t>Yes</t>
        </is>
      </c>
      <c r="Q827" s="26" t="inlineStr">
        <is>
          <t>No</t>
        </is>
      </c>
      <c r="R827" s="26" t="inlineStr">
        <is>
          <t>Good finish</t>
        </is>
      </c>
      <c r="S827" s="26" t="inlineStr">
        <is>
          <t>Yes</t>
        </is>
      </c>
      <c r="T827" s="27" t="n"/>
      <c r="U827" s="28" t="inlineStr">
        <is>
          <t>No</t>
        </is>
      </c>
      <c r="V827" s="29">
        <f>IF(N827="","",IF(Q827="Yes","❌ Disc",IF(P827="No","⚠ Missing",IF(S827="Yes","✓ OK","⚠ Check"))))</f>
        <v/>
      </c>
      <c r="W827" s="65" t="n">
        <v>46248</v>
      </c>
      <c r="X827" s="30" t="inlineStr">
        <is>
          <t>Sunil CR</t>
        </is>
      </c>
      <c r="Y827" s="30" t="inlineStr">
        <is>
          <t>Yes</t>
        </is>
      </c>
      <c r="Z827" s="30" t="n"/>
      <c r="AA827" s="30" t="inlineStr">
        <is>
          <t>Good finish</t>
        </is>
      </c>
      <c r="AB827" s="30" t="inlineStr">
        <is>
          <t>Yes</t>
        </is>
      </c>
      <c r="AC827" s="27" t="n"/>
      <c r="AD827" s="31" t="inlineStr">
        <is>
          <t>No</t>
        </is>
      </c>
      <c r="AE827" s="32">
        <f>IF(W827="","",IF(Z827="Yes","❌ Disc",IF(Y827="No","⚠ Missing",IF(AB827="Yes","✓ OK","⚠ Check"))))</f>
        <v/>
      </c>
      <c r="AF827" s="33" t="n"/>
      <c r="AG827" s="33" t="n"/>
      <c r="AH827" s="33" t="n"/>
      <c r="AI827" s="33" t="n"/>
      <c r="AJ827" s="33" t="n"/>
      <c r="AK827" s="33" t="n"/>
      <c r="AL827" s="27" t="n"/>
      <c r="AM827" s="34" t="n"/>
      <c r="AN827" s="35">
        <f>IF(AF827="","",IF(AI827="Yes","❌ Disc",IF(AH827="No","⚠ Missing",IF(AK827="Yes","✓ OK","⚠ Check"))))</f>
        <v/>
      </c>
      <c r="AO827" s="36" t="n"/>
      <c r="AP827" s="36" t="n"/>
      <c r="AQ827" s="36" t="n"/>
      <c r="AR827" s="36" t="n"/>
      <c r="AS827" s="36" t="n"/>
      <c r="AT827" s="36" t="n"/>
      <c r="AU827" s="27" t="n"/>
      <c r="AV827" s="37" t="n"/>
      <c r="AW827" s="38">
        <f>IF(AO827="","",IF(AR827="Yes","❌ Disc",IF(AQ827="No","⚠ Missing",IF(AT827="Yes","✓ OK","⚠ Check"))))</f>
        <v/>
      </c>
    </row>
    <row r="828" ht="18" customHeight="1" s="46">
      <c r="A828" s="39" t="n">
        <v>824</v>
      </c>
      <c r="B828" s="40" t="inlineStr">
        <is>
          <t>WP LNCCN1017555</t>
        </is>
      </c>
      <c r="C828" s="41" t="inlineStr">
        <is>
          <t>Life n Colors - Jungle Theme Wallpaper with Cute Animals and Quotes  -  Canvas - a texture paper</t>
        </is>
      </c>
      <c r="D828" s="39" t="inlineStr">
        <is>
          <t>Life n Colors</t>
        </is>
      </c>
      <c r="E828" s="43" t="n">
        <v>46126</v>
      </c>
      <c r="F828" s="26" t="inlineStr">
        <is>
          <t>Sunil CR</t>
        </is>
      </c>
      <c r="G828" s="26" t="inlineStr">
        <is>
          <t>Yes</t>
        </is>
      </c>
      <c r="H828" s="26" t="inlineStr">
        <is>
          <t>No</t>
        </is>
      </c>
      <c r="I828" s="26" t="inlineStr">
        <is>
          <t>Good finish</t>
        </is>
      </c>
      <c r="J828" s="26" t="inlineStr">
        <is>
          <t>Yes</t>
        </is>
      </c>
      <c r="K828" s="27" t="n"/>
      <c r="L828" s="28" t="inlineStr">
        <is>
          <t>No</t>
        </is>
      </c>
      <c r="M828" s="29">
        <f>IF(E828="","",IF(H828="Yes","❌ Disc",IF(G828="No","⚠ Missing",IF(J828="Yes","✓ OK","⚠ Check"))))</f>
        <v/>
      </c>
      <c r="N828" s="43" t="n">
        <v>46193</v>
      </c>
      <c r="O828" s="26" t="inlineStr">
        <is>
          <t>Sunil CR</t>
        </is>
      </c>
      <c r="P828" s="26" t="inlineStr">
        <is>
          <t>Yes</t>
        </is>
      </c>
      <c r="Q828" s="26" t="inlineStr">
        <is>
          <t>No</t>
        </is>
      </c>
      <c r="R828" s="26" t="inlineStr">
        <is>
          <t>Good finish</t>
        </is>
      </c>
      <c r="S828" s="26" t="inlineStr">
        <is>
          <t>Yes</t>
        </is>
      </c>
      <c r="T828" s="27" t="n"/>
      <c r="U828" s="28" t="inlineStr">
        <is>
          <t>No</t>
        </is>
      </c>
      <c r="V828" s="29">
        <f>IF(N828="","",IF(Q828="Yes","❌ Disc",IF(P828="No","⚠ Missing",IF(S828="Yes","✓ OK","⚠ Check"))))</f>
        <v/>
      </c>
      <c r="W828" s="65" t="n">
        <v>46248</v>
      </c>
      <c r="X828" s="30" t="inlineStr">
        <is>
          <t>Sunil CR</t>
        </is>
      </c>
      <c r="Y828" s="30" t="inlineStr">
        <is>
          <t>Yes</t>
        </is>
      </c>
      <c r="Z828" s="30" t="n"/>
      <c r="AA828" s="30" t="inlineStr">
        <is>
          <t>Good finish</t>
        </is>
      </c>
      <c r="AB828" s="30" t="inlineStr">
        <is>
          <t>Yes</t>
        </is>
      </c>
      <c r="AC828" s="27" t="n"/>
      <c r="AD828" s="31" t="inlineStr">
        <is>
          <t>No</t>
        </is>
      </c>
      <c r="AE828" s="32">
        <f>IF(W828="","",IF(Z828="Yes","❌ Disc",IF(Y828="No","⚠ Missing",IF(AB828="Yes","✓ OK","⚠ Check"))))</f>
        <v/>
      </c>
      <c r="AF828" s="33" t="n"/>
      <c r="AG828" s="33" t="n"/>
      <c r="AH828" s="33" t="n"/>
      <c r="AI828" s="33" t="n"/>
      <c r="AJ828" s="33" t="n"/>
      <c r="AK828" s="33" t="n"/>
      <c r="AL828" s="27" t="n"/>
      <c r="AM828" s="34" t="n"/>
      <c r="AN828" s="35">
        <f>IF(AF828="","",IF(AI828="Yes","❌ Disc",IF(AH828="No","⚠ Missing",IF(AK828="Yes","✓ OK","⚠ Check"))))</f>
        <v/>
      </c>
      <c r="AO828" s="36" t="n"/>
      <c r="AP828" s="36" t="n"/>
      <c r="AQ828" s="36" t="n"/>
      <c r="AR828" s="36" t="n"/>
      <c r="AS828" s="36" t="n"/>
      <c r="AT828" s="36" t="n"/>
      <c r="AU828" s="27" t="n"/>
      <c r="AV828" s="37" t="n"/>
      <c r="AW828" s="38">
        <f>IF(AO828="","",IF(AR828="Yes","❌ Disc",IF(AQ828="No","⚠ Missing",IF(AT828="Yes","✓ OK","⚠ Check"))))</f>
        <v/>
      </c>
    </row>
    <row r="829" ht="18" customHeight="1" s="46">
      <c r="A829" s="23" t="n">
        <v>825</v>
      </c>
      <c r="B829" s="24" t="inlineStr">
        <is>
          <t>WP LNCSF1017555</t>
        </is>
      </c>
      <c r="C829" s="25" t="inlineStr">
        <is>
          <t>Life n Colors - Jungle Theme Wallpaper with Cute Animals and Quotes  - Non-woven - a soft feel paper</t>
        </is>
      </c>
      <c r="D829" s="23" t="inlineStr">
        <is>
          <t>Life n Colors</t>
        </is>
      </c>
      <c r="E829" s="43" t="n">
        <v>46126</v>
      </c>
      <c r="F829" s="26" t="inlineStr">
        <is>
          <t>Sunil CR</t>
        </is>
      </c>
      <c r="G829" s="26" t="inlineStr">
        <is>
          <t>Yes</t>
        </is>
      </c>
      <c r="H829" s="26" t="inlineStr">
        <is>
          <t>No</t>
        </is>
      </c>
      <c r="I829" s="26" t="inlineStr">
        <is>
          <t>Good finish</t>
        </is>
      </c>
      <c r="J829" s="26" t="inlineStr">
        <is>
          <t>Yes</t>
        </is>
      </c>
      <c r="K829" s="27" t="n"/>
      <c r="L829" s="28" t="inlineStr">
        <is>
          <t>No</t>
        </is>
      </c>
      <c r="M829" s="29">
        <f>IF(E829="","",IF(H829="Yes","❌ Disc",IF(G829="No","⚠ Missing",IF(J829="Yes","✓ OK","⚠ Check"))))</f>
        <v/>
      </c>
      <c r="N829" s="43" t="n">
        <v>46193</v>
      </c>
      <c r="O829" s="26" t="inlineStr">
        <is>
          <t>Sunil CR</t>
        </is>
      </c>
      <c r="P829" s="26" t="inlineStr">
        <is>
          <t>Yes</t>
        </is>
      </c>
      <c r="Q829" s="26" t="inlineStr">
        <is>
          <t>No</t>
        </is>
      </c>
      <c r="R829" s="26" t="inlineStr">
        <is>
          <t>Good finish</t>
        </is>
      </c>
      <c r="S829" s="26" t="inlineStr">
        <is>
          <t>Yes</t>
        </is>
      </c>
      <c r="T829" s="27" t="n"/>
      <c r="U829" s="28" t="inlineStr">
        <is>
          <t>No</t>
        </is>
      </c>
      <c r="V829" s="29">
        <f>IF(N829="","",IF(Q829="Yes","❌ Disc",IF(P829="No","⚠ Missing",IF(S829="Yes","✓ OK","⚠ Check"))))</f>
        <v/>
      </c>
      <c r="W829" s="65" t="n">
        <v>46248</v>
      </c>
      <c r="X829" s="30" t="inlineStr">
        <is>
          <t>Sunil CR</t>
        </is>
      </c>
      <c r="Y829" s="30" t="inlineStr">
        <is>
          <t>Yes</t>
        </is>
      </c>
      <c r="Z829" s="30" t="n"/>
      <c r="AA829" s="30" t="inlineStr">
        <is>
          <t>Good finish</t>
        </is>
      </c>
      <c r="AB829" s="30" t="inlineStr">
        <is>
          <t>Yes</t>
        </is>
      </c>
      <c r="AC829" s="27" t="n"/>
      <c r="AD829" s="31" t="inlineStr">
        <is>
          <t>No</t>
        </is>
      </c>
      <c r="AE829" s="32">
        <f>IF(W829="","",IF(Z829="Yes","❌ Disc",IF(Y829="No","⚠ Missing",IF(AB829="Yes","✓ OK","⚠ Check"))))</f>
        <v/>
      </c>
      <c r="AF829" s="33" t="n"/>
      <c r="AG829" s="33" t="n"/>
      <c r="AH829" s="33" t="n"/>
      <c r="AI829" s="33" t="n"/>
      <c r="AJ829" s="33" t="n"/>
      <c r="AK829" s="33" t="n"/>
      <c r="AL829" s="27" t="n"/>
      <c r="AM829" s="34" t="n"/>
      <c r="AN829" s="35">
        <f>IF(AF829="","",IF(AI829="Yes","❌ Disc",IF(AH829="No","⚠ Missing",IF(AK829="Yes","✓ OK","⚠ Check"))))</f>
        <v/>
      </c>
      <c r="AO829" s="36" t="n"/>
      <c r="AP829" s="36" t="n"/>
      <c r="AQ829" s="36" t="n"/>
      <c r="AR829" s="36" t="n"/>
      <c r="AS829" s="36" t="n"/>
      <c r="AT829" s="36" t="n"/>
      <c r="AU829" s="27" t="n"/>
      <c r="AV829" s="37" t="n"/>
      <c r="AW829" s="38">
        <f>IF(AO829="","",IF(AR829="Yes","❌ Disc",IF(AQ829="No","⚠ Missing",IF(AT829="Yes","✓ OK","⚠ Check"))))</f>
        <v/>
      </c>
    </row>
    <row r="830" ht="18" customHeight="1" s="46">
      <c r="A830" s="39" t="n">
        <v>826</v>
      </c>
      <c r="B830" s="40" t="inlineStr">
        <is>
          <t>WP LNCCN321332</t>
        </is>
      </c>
      <c r="C830" s="41" t="inlineStr">
        <is>
          <t>Life n Colors - Kahani, Indian Art Theme Wallpaper  -  Canvas - a texture paper</t>
        </is>
      </c>
      <c r="D830" s="39" t="inlineStr">
        <is>
          <t>Life n Colors</t>
        </is>
      </c>
      <c r="E830" s="43" t="n">
        <v>46126</v>
      </c>
      <c r="F830" s="26" t="inlineStr">
        <is>
          <t>Sunil CR</t>
        </is>
      </c>
      <c r="G830" s="26" t="inlineStr">
        <is>
          <t>Yes</t>
        </is>
      </c>
      <c r="H830" s="26" t="inlineStr">
        <is>
          <t>No</t>
        </is>
      </c>
      <c r="I830" s="26" t="inlineStr">
        <is>
          <t>Good finish</t>
        </is>
      </c>
      <c r="J830" s="26" t="inlineStr">
        <is>
          <t>Yes</t>
        </is>
      </c>
      <c r="K830" s="27" t="n"/>
      <c r="L830" s="28" t="inlineStr">
        <is>
          <t>No</t>
        </is>
      </c>
      <c r="M830" s="29">
        <f>IF(E830="","",IF(H830="Yes","❌ Disc",IF(G830="No","⚠ Missing",IF(J830="Yes","✓ OK","⚠ Check"))))</f>
        <v/>
      </c>
      <c r="N830" s="43" t="n">
        <v>46193</v>
      </c>
      <c r="O830" s="26" t="inlineStr">
        <is>
          <t>Sunil CR</t>
        </is>
      </c>
      <c r="P830" s="26" t="inlineStr">
        <is>
          <t>Yes</t>
        </is>
      </c>
      <c r="Q830" s="26" t="inlineStr">
        <is>
          <t>No</t>
        </is>
      </c>
      <c r="R830" s="26" t="inlineStr">
        <is>
          <t>Good finish</t>
        </is>
      </c>
      <c r="S830" s="26" t="inlineStr">
        <is>
          <t>Yes</t>
        </is>
      </c>
      <c r="T830" s="27" t="n"/>
      <c r="U830" s="28" t="inlineStr">
        <is>
          <t>No</t>
        </is>
      </c>
      <c r="V830" s="29">
        <f>IF(N830="","",IF(Q830="Yes","❌ Disc",IF(P830="No","⚠ Missing",IF(S830="Yes","✓ OK","⚠ Check"))))</f>
        <v/>
      </c>
      <c r="W830" s="65" t="n">
        <v>46248</v>
      </c>
      <c r="X830" s="30" t="inlineStr">
        <is>
          <t>Sunil CR</t>
        </is>
      </c>
      <c r="Y830" s="30" t="inlineStr">
        <is>
          <t>Yes</t>
        </is>
      </c>
      <c r="Z830" s="30" t="n"/>
      <c r="AA830" s="30" t="inlineStr">
        <is>
          <t>Good finish</t>
        </is>
      </c>
      <c r="AB830" s="30" t="inlineStr">
        <is>
          <t>Yes</t>
        </is>
      </c>
      <c r="AC830" s="27" t="n"/>
      <c r="AD830" s="31" t="inlineStr">
        <is>
          <t>No</t>
        </is>
      </c>
      <c r="AE830" s="32">
        <f>IF(W830="","",IF(Z830="Yes","❌ Disc",IF(Y830="No","⚠ Missing",IF(AB830="Yes","✓ OK","⚠ Check"))))</f>
        <v/>
      </c>
      <c r="AF830" s="33" t="n"/>
      <c r="AG830" s="33" t="n"/>
      <c r="AH830" s="33" t="n"/>
      <c r="AI830" s="33" t="n"/>
      <c r="AJ830" s="33" t="n"/>
      <c r="AK830" s="33" t="n"/>
      <c r="AL830" s="27" t="n"/>
      <c r="AM830" s="34" t="n"/>
      <c r="AN830" s="35">
        <f>IF(AF830="","",IF(AI830="Yes","❌ Disc",IF(AH830="No","⚠ Missing",IF(AK830="Yes","✓ OK","⚠ Check"))))</f>
        <v/>
      </c>
      <c r="AO830" s="36" t="n"/>
      <c r="AP830" s="36" t="n"/>
      <c r="AQ830" s="36" t="n"/>
      <c r="AR830" s="36" t="n"/>
      <c r="AS830" s="36" t="n"/>
      <c r="AT830" s="36" t="n"/>
      <c r="AU830" s="27" t="n"/>
      <c r="AV830" s="37" t="n"/>
      <c r="AW830" s="38">
        <f>IF(AO830="","",IF(AR830="Yes","❌ Disc",IF(AQ830="No","⚠ Missing",IF(AT830="Yes","✓ OK","⚠ Check"))))</f>
        <v/>
      </c>
    </row>
    <row r="831" ht="18" customHeight="1" s="46">
      <c r="A831" s="23" t="n">
        <v>827</v>
      </c>
      <c r="B831" s="24" t="inlineStr">
        <is>
          <t>WP LNCCN331525</t>
        </is>
      </c>
      <c r="C831" s="25" t="inlineStr">
        <is>
          <t>Life n Colors - Kalpvriksha, Gond Art Garden Wallpaper  -  Canvas - a texture paper</t>
        </is>
      </c>
      <c r="D831" s="23" t="inlineStr">
        <is>
          <t>Life n Colors</t>
        </is>
      </c>
      <c r="E831" s="43" t="n">
        <v>46126</v>
      </c>
      <c r="F831" s="26" t="inlineStr">
        <is>
          <t>Sunil CR</t>
        </is>
      </c>
      <c r="G831" s="26" t="inlineStr">
        <is>
          <t>Yes</t>
        </is>
      </c>
      <c r="H831" s="26" t="inlineStr">
        <is>
          <t>No</t>
        </is>
      </c>
      <c r="I831" s="26" t="inlineStr">
        <is>
          <t>Good finish</t>
        </is>
      </c>
      <c r="J831" s="26" t="inlineStr">
        <is>
          <t>Yes</t>
        </is>
      </c>
      <c r="K831" s="27" t="n"/>
      <c r="L831" s="28" t="inlineStr">
        <is>
          <t>No</t>
        </is>
      </c>
      <c r="M831" s="29">
        <f>IF(E831="","",IF(H831="Yes","❌ Disc",IF(G831="No","⚠ Missing",IF(J831="Yes","✓ OK","⚠ Check"))))</f>
        <v/>
      </c>
      <c r="N831" s="43" t="n">
        <v>46193</v>
      </c>
      <c r="O831" s="26" t="inlineStr">
        <is>
          <t>Sunil CR</t>
        </is>
      </c>
      <c r="P831" s="26" t="inlineStr">
        <is>
          <t>Yes</t>
        </is>
      </c>
      <c r="Q831" s="26" t="inlineStr">
        <is>
          <t>No</t>
        </is>
      </c>
      <c r="R831" s="26" t="inlineStr">
        <is>
          <t>Good finish</t>
        </is>
      </c>
      <c r="S831" s="26" t="inlineStr">
        <is>
          <t>Yes</t>
        </is>
      </c>
      <c r="T831" s="27" t="n"/>
      <c r="U831" s="28" t="inlineStr">
        <is>
          <t>No</t>
        </is>
      </c>
      <c r="V831" s="29">
        <f>IF(N831="","",IF(Q831="Yes","❌ Disc",IF(P831="No","⚠ Missing",IF(S831="Yes","✓ OK","⚠ Check"))))</f>
        <v/>
      </c>
      <c r="W831" s="65" t="n">
        <v>46248</v>
      </c>
      <c r="X831" s="30" t="inlineStr">
        <is>
          <t>Sunil CR</t>
        </is>
      </c>
      <c r="Y831" s="30" t="inlineStr">
        <is>
          <t>Yes</t>
        </is>
      </c>
      <c r="Z831" s="30" t="n"/>
      <c r="AA831" s="30" t="inlineStr">
        <is>
          <t>Good finish</t>
        </is>
      </c>
      <c r="AB831" s="30" t="inlineStr">
        <is>
          <t>Yes</t>
        </is>
      </c>
      <c r="AC831" s="27" t="n"/>
      <c r="AD831" s="31" t="inlineStr">
        <is>
          <t>No</t>
        </is>
      </c>
      <c r="AE831" s="32">
        <f>IF(W831="","",IF(Z831="Yes","❌ Disc",IF(Y831="No","⚠ Missing",IF(AB831="Yes","✓ OK","⚠ Check"))))</f>
        <v/>
      </c>
      <c r="AF831" s="33" t="n"/>
      <c r="AG831" s="33" t="n"/>
      <c r="AH831" s="33" t="n"/>
      <c r="AI831" s="33" t="n"/>
      <c r="AJ831" s="33" t="n"/>
      <c r="AK831" s="33" t="n"/>
      <c r="AL831" s="27" t="n"/>
      <c r="AM831" s="34" t="n"/>
      <c r="AN831" s="35">
        <f>IF(AF831="","",IF(AI831="Yes","❌ Disc",IF(AH831="No","⚠ Missing",IF(AK831="Yes","✓ OK","⚠ Check"))))</f>
        <v/>
      </c>
      <c r="AO831" s="36" t="n"/>
      <c r="AP831" s="36" t="n"/>
      <c r="AQ831" s="36" t="n"/>
      <c r="AR831" s="36" t="n"/>
      <c r="AS831" s="36" t="n"/>
      <c r="AT831" s="36" t="n"/>
      <c r="AU831" s="27" t="n"/>
      <c r="AV831" s="37" t="n"/>
      <c r="AW831" s="38">
        <f>IF(AO831="","",IF(AR831="Yes","❌ Disc",IF(AQ831="No","⚠ Missing",IF(AT831="Yes","✓ OK","⚠ Check"))))</f>
        <v/>
      </c>
    </row>
    <row r="832" ht="18" customHeight="1" s="46">
      <c r="A832" s="39" t="n">
        <v>828</v>
      </c>
      <c r="B832" s="40" t="inlineStr">
        <is>
          <t>WP LNCCN311006</t>
        </is>
      </c>
      <c r="C832" s="41" t="inlineStr">
        <is>
          <t>Life n Colors - Kasturi, Wallpaper in Sepia Vintage Theme  -  Canvas - a texture paper</t>
        </is>
      </c>
      <c r="D832" s="39" t="inlineStr">
        <is>
          <t>Life n Colors</t>
        </is>
      </c>
      <c r="E832" s="43" t="n">
        <v>46126</v>
      </c>
      <c r="F832" s="26" t="inlineStr">
        <is>
          <t>Sunil CR</t>
        </is>
      </c>
      <c r="G832" s="26" t="inlineStr">
        <is>
          <t>Yes</t>
        </is>
      </c>
      <c r="H832" s="26" t="inlineStr">
        <is>
          <t>No</t>
        </is>
      </c>
      <c r="I832" s="26" t="inlineStr">
        <is>
          <t>Good finish</t>
        </is>
      </c>
      <c r="J832" s="26" t="inlineStr">
        <is>
          <t>Yes</t>
        </is>
      </c>
      <c r="K832" s="27" t="n"/>
      <c r="L832" s="28" t="inlineStr">
        <is>
          <t>No</t>
        </is>
      </c>
      <c r="M832" s="29">
        <f>IF(E832="","",IF(H832="Yes","❌ Disc",IF(G832="No","⚠ Missing",IF(J832="Yes","✓ OK","⚠ Check"))))</f>
        <v/>
      </c>
      <c r="N832" s="43" t="n">
        <v>46193</v>
      </c>
      <c r="O832" s="26" t="inlineStr">
        <is>
          <t>Sunil CR</t>
        </is>
      </c>
      <c r="P832" s="26" t="inlineStr">
        <is>
          <t>Yes</t>
        </is>
      </c>
      <c r="Q832" s="26" t="inlineStr">
        <is>
          <t>No</t>
        </is>
      </c>
      <c r="R832" s="26" t="inlineStr">
        <is>
          <t>Good finish</t>
        </is>
      </c>
      <c r="S832" s="26" t="inlineStr">
        <is>
          <t>Yes</t>
        </is>
      </c>
      <c r="T832" s="27" t="n"/>
      <c r="U832" s="28" t="inlineStr">
        <is>
          <t>No</t>
        </is>
      </c>
      <c r="V832" s="29">
        <f>IF(N832="","",IF(Q832="Yes","❌ Disc",IF(P832="No","⚠ Missing",IF(S832="Yes","✓ OK","⚠ Check"))))</f>
        <v/>
      </c>
      <c r="W832" s="65" t="n">
        <v>46248</v>
      </c>
      <c r="X832" s="30" t="inlineStr">
        <is>
          <t>Sunil CR</t>
        </is>
      </c>
      <c r="Y832" s="30" t="inlineStr">
        <is>
          <t>Yes</t>
        </is>
      </c>
      <c r="Z832" s="30" t="n"/>
      <c r="AA832" s="30" t="inlineStr">
        <is>
          <t>Good finish</t>
        </is>
      </c>
      <c r="AB832" s="30" t="inlineStr">
        <is>
          <t>Yes</t>
        </is>
      </c>
      <c r="AC832" s="27" t="n"/>
      <c r="AD832" s="31" t="inlineStr">
        <is>
          <t>No</t>
        </is>
      </c>
      <c r="AE832" s="32">
        <f>IF(W832="","",IF(Z832="Yes","❌ Disc",IF(Y832="No","⚠ Missing",IF(AB832="Yes","✓ OK","⚠ Check"))))</f>
        <v/>
      </c>
      <c r="AF832" s="33" t="n"/>
      <c r="AG832" s="33" t="n"/>
      <c r="AH832" s="33" t="n"/>
      <c r="AI832" s="33" t="n"/>
      <c r="AJ832" s="33" t="n"/>
      <c r="AK832" s="33" t="n"/>
      <c r="AL832" s="27" t="n"/>
      <c r="AM832" s="34" t="n"/>
      <c r="AN832" s="35">
        <f>IF(AF832="","",IF(AI832="Yes","❌ Disc",IF(AH832="No","⚠ Missing",IF(AK832="Yes","✓ OK","⚠ Check"))))</f>
        <v/>
      </c>
      <c r="AO832" s="36" t="n"/>
      <c r="AP832" s="36" t="n"/>
      <c r="AQ832" s="36" t="n"/>
      <c r="AR832" s="36" t="n"/>
      <c r="AS832" s="36" t="n"/>
      <c r="AT832" s="36" t="n"/>
      <c r="AU832" s="27" t="n"/>
      <c r="AV832" s="37" t="n"/>
      <c r="AW832" s="38">
        <f>IF(AO832="","",IF(AR832="Yes","❌ Disc",IF(AQ832="No","⚠ Missing",IF(AT832="Yes","✓ OK","⚠ Check"))))</f>
        <v/>
      </c>
    </row>
    <row r="833" ht="18" customHeight="1" s="46">
      <c r="A833" s="23" t="n">
        <v>829</v>
      </c>
      <c r="B833" s="24" t="inlineStr">
        <is>
          <t>WP LNCCN395156</t>
        </is>
      </c>
      <c r="C833" s="25" t="inlineStr">
        <is>
          <t>Life n Colors - Khayal, A Beautiful Room Wallpaper  -  Canvas - a texture paper</t>
        </is>
      </c>
      <c r="D833" s="23" t="inlineStr">
        <is>
          <t>Life n Colors</t>
        </is>
      </c>
      <c r="E833" s="43" t="n">
        <v>46126</v>
      </c>
      <c r="F833" s="26" t="inlineStr">
        <is>
          <t>Sunil CR</t>
        </is>
      </c>
      <c r="G833" s="26" t="inlineStr">
        <is>
          <t>Yes</t>
        </is>
      </c>
      <c r="H833" s="26" t="inlineStr">
        <is>
          <t>No</t>
        </is>
      </c>
      <c r="I833" s="26" t="inlineStr">
        <is>
          <t>Good finish</t>
        </is>
      </c>
      <c r="J833" s="26" t="inlineStr">
        <is>
          <t>Yes</t>
        </is>
      </c>
      <c r="K833" s="27" t="n"/>
      <c r="L833" s="28" t="inlineStr">
        <is>
          <t>No</t>
        </is>
      </c>
      <c r="M833" s="29">
        <f>IF(E833="","",IF(H833="Yes","❌ Disc",IF(G833="No","⚠ Missing",IF(J833="Yes","✓ OK","⚠ Check"))))</f>
        <v/>
      </c>
      <c r="N833" s="43" t="n">
        <v>46193</v>
      </c>
      <c r="O833" s="26" t="inlineStr">
        <is>
          <t>Sunil CR</t>
        </is>
      </c>
      <c r="P833" s="26" t="inlineStr">
        <is>
          <t>Yes</t>
        </is>
      </c>
      <c r="Q833" s="26" t="inlineStr">
        <is>
          <t>No</t>
        </is>
      </c>
      <c r="R833" s="26" t="inlineStr">
        <is>
          <t>Good finish</t>
        </is>
      </c>
      <c r="S833" s="26" t="inlineStr">
        <is>
          <t>Yes</t>
        </is>
      </c>
      <c r="T833" s="27" t="n"/>
      <c r="U833" s="28" t="inlineStr">
        <is>
          <t>No</t>
        </is>
      </c>
      <c r="V833" s="29">
        <f>IF(N833="","",IF(Q833="Yes","❌ Disc",IF(P833="No","⚠ Missing",IF(S833="Yes","✓ OK","⚠ Check"))))</f>
        <v/>
      </c>
      <c r="W833" s="65" t="n">
        <v>46248</v>
      </c>
      <c r="X833" s="30" t="inlineStr">
        <is>
          <t>Sunil CR</t>
        </is>
      </c>
      <c r="Y833" s="30" t="inlineStr">
        <is>
          <t>Yes</t>
        </is>
      </c>
      <c r="Z833" s="30" t="n"/>
      <c r="AA833" s="30" t="inlineStr">
        <is>
          <t>Good finish</t>
        </is>
      </c>
      <c r="AB833" s="30" t="inlineStr">
        <is>
          <t>Yes</t>
        </is>
      </c>
      <c r="AC833" s="27" t="n"/>
      <c r="AD833" s="31" t="inlineStr">
        <is>
          <t>No</t>
        </is>
      </c>
      <c r="AE833" s="32">
        <f>IF(W833="","",IF(Z833="Yes","❌ Disc",IF(Y833="No","⚠ Missing",IF(AB833="Yes","✓ OK","⚠ Check"))))</f>
        <v/>
      </c>
      <c r="AF833" s="33" t="n"/>
      <c r="AG833" s="33" t="n"/>
      <c r="AH833" s="33" t="n"/>
      <c r="AI833" s="33" t="n"/>
      <c r="AJ833" s="33" t="n"/>
      <c r="AK833" s="33" t="n"/>
      <c r="AL833" s="27" t="n"/>
      <c r="AM833" s="34" t="n"/>
      <c r="AN833" s="35">
        <f>IF(AF833="","",IF(AI833="Yes","❌ Disc",IF(AH833="No","⚠ Missing",IF(AK833="Yes","✓ OK","⚠ Check"))))</f>
        <v/>
      </c>
      <c r="AO833" s="36" t="n"/>
      <c r="AP833" s="36" t="n"/>
      <c r="AQ833" s="36" t="n"/>
      <c r="AR833" s="36" t="n"/>
      <c r="AS833" s="36" t="n"/>
      <c r="AT833" s="36" t="n"/>
      <c r="AU833" s="27" t="n"/>
      <c r="AV833" s="37" t="n"/>
      <c r="AW833" s="38">
        <f>IF(AO833="","",IF(AR833="Yes","❌ Disc",IF(AQ833="No","⚠ Missing",IF(AT833="Yes","✓ OK","⚠ Check"))))</f>
        <v/>
      </c>
    </row>
    <row r="834" ht="18" customHeight="1" s="46">
      <c r="A834" s="39" t="n">
        <v>830</v>
      </c>
      <c r="B834" s="40" t="inlineStr">
        <is>
          <t>WP LNCCN309563</t>
        </is>
      </c>
      <c r="C834" s="41" t="inlineStr">
        <is>
          <t>Life n Colors - Khwab, Dreams on Wall, Wallpaper  -  Canvas - a texture paper</t>
        </is>
      </c>
      <c r="D834" s="39" t="inlineStr">
        <is>
          <t>Life n Colors</t>
        </is>
      </c>
      <c r="E834" s="43" t="n">
        <v>46126</v>
      </c>
      <c r="F834" s="26" t="inlineStr">
        <is>
          <t>Sunil CR</t>
        </is>
      </c>
      <c r="G834" s="26" t="inlineStr">
        <is>
          <t>Yes</t>
        </is>
      </c>
      <c r="H834" s="26" t="inlineStr">
        <is>
          <t>No</t>
        </is>
      </c>
      <c r="I834" s="26" t="inlineStr">
        <is>
          <t>Good finish</t>
        </is>
      </c>
      <c r="J834" s="26" t="inlineStr">
        <is>
          <t>Yes</t>
        </is>
      </c>
      <c r="K834" s="27" t="n"/>
      <c r="L834" s="28" t="inlineStr">
        <is>
          <t>No</t>
        </is>
      </c>
      <c r="M834" s="29">
        <f>IF(E834="","",IF(H834="Yes","❌ Disc",IF(G834="No","⚠ Missing",IF(J834="Yes","✓ OK","⚠ Check"))))</f>
        <v/>
      </c>
      <c r="N834" s="43" t="n">
        <v>46193</v>
      </c>
      <c r="O834" s="26" t="inlineStr">
        <is>
          <t>Sunil CR</t>
        </is>
      </c>
      <c r="P834" s="26" t="inlineStr">
        <is>
          <t>Yes</t>
        </is>
      </c>
      <c r="Q834" s="26" t="inlineStr">
        <is>
          <t>No</t>
        </is>
      </c>
      <c r="R834" s="26" t="inlineStr">
        <is>
          <t>Good finish</t>
        </is>
      </c>
      <c r="S834" s="26" t="inlineStr">
        <is>
          <t>Yes</t>
        </is>
      </c>
      <c r="T834" s="27" t="n"/>
      <c r="U834" s="28" t="inlineStr">
        <is>
          <t>No</t>
        </is>
      </c>
      <c r="V834" s="29">
        <f>IF(N834="","",IF(Q834="Yes","❌ Disc",IF(P834="No","⚠ Missing",IF(S834="Yes","✓ OK","⚠ Check"))))</f>
        <v/>
      </c>
      <c r="W834" s="65" t="n">
        <v>46248</v>
      </c>
      <c r="X834" s="30" t="inlineStr">
        <is>
          <t>Sunil CR</t>
        </is>
      </c>
      <c r="Y834" s="30" t="inlineStr">
        <is>
          <t>Yes</t>
        </is>
      </c>
      <c r="Z834" s="30" t="n"/>
      <c r="AA834" s="30" t="inlineStr">
        <is>
          <t>Good finish</t>
        </is>
      </c>
      <c r="AB834" s="30" t="inlineStr">
        <is>
          <t>Yes</t>
        </is>
      </c>
      <c r="AC834" s="27" t="n"/>
      <c r="AD834" s="31" t="inlineStr">
        <is>
          <t>No</t>
        </is>
      </c>
      <c r="AE834" s="32">
        <f>IF(W834="","",IF(Z834="Yes","❌ Disc",IF(Y834="No","⚠ Missing",IF(AB834="Yes","✓ OK","⚠ Check"))))</f>
        <v/>
      </c>
      <c r="AF834" s="33" t="n"/>
      <c r="AG834" s="33" t="n"/>
      <c r="AH834" s="33" t="n"/>
      <c r="AI834" s="33" t="n"/>
      <c r="AJ834" s="33" t="n"/>
      <c r="AK834" s="33" t="n"/>
      <c r="AL834" s="27" t="n"/>
      <c r="AM834" s="34" t="n"/>
      <c r="AN834" s="35">
        <f>IF(AF834="","",IF(AI834="Yes","❌ Disc",IF(AH834="No","⚠ Missing",IF(AK834="Yes","✓ OK","⚠ Check"))))</f>
        <v/>
      </c>
      <c r="AO834" s="36" t="n"/>
      <c r="AP834" s="36" t="n"/>
      <c r="AQ834" s="36" t="n"/>
      <c r="AR834" s="36" t="n"/>
      <c r="AS834" s="36" t="n"/>
      <c r="AT834" s="36" t="n"/>
      <c r="AU834" s="27" t="n"/>
      <c r="AV834" s="37" t="n"/>
      <c r="AW834" s="38">
        <f>IF(AO834="","",IF(AR834="Yes","❌ Disc",IF(AQ834="No","⚠ Missing",IF(AT834="Yes","✓ OK","⚠ Check"))))</f>
        <v/>
      </c>
    </row>
    <row r="835" ht="18" customHeight="1" s="46">
      <c r="A835" s="23" t="n">
        <v>831</v>
      </c>
      <c r="B835" s="24" t="inlineStr">
        <is>
          <t>WP LNCCN1190618</t>
        </is>
      </c>
      <c r="C835" s="25" t="inlineStr">
        <is>
          <t>Life n Colors - Langoor Bandar in Jungle, Customised Wall Wallpaper  -  Canvas - a texture paper</t>
        </is>
      </c>
      <c r="D835" s="23" t="inlineStr">
        <is>
          <t>Life n Colors</t>
        </is>
      </c>
      <c r="E835" s="43" t="n">
        <v>46126</v>
      </c>
      <c r="F835" s="26" t="inlineStr">
        <is>
          <t>Sunil CR</t>
        </is>
      </c>
      <c r="G835" s="26" t="inlineStr">
        <is>
          <t>Yes</t>
        </is>
      </c>
      <c r="H835" s="26" t="inlineStr">
        <is>
          <t>No</t>
        </is>
      </c>
      <c r="I835" s="26" t="inlineStr">
        <is>
          <t>Good finish</t>
        </is>
      </c>
      <c r="J835" s="26" t="inlineStr">
        <is>
          <t>Yes</t>
        </is>
      </c>
      <c r="K835" s="27" t="n"/>
      <c r="L835" s="28" t="inlineStr">
        <is>
          <t>No</t>
        </is>
      </c>
      <c r="M835" s="29">
        <f>IF(E835="","",IF(H835="Yes","❌ Disc",IF(G835="No","⚠ Missing",IF(J835="Yes","✓ OK","⚠ Check"))))</f>
        <v/>
      </c>
      <c r="N835" s="43" t="n">
        <v>46193</v>
      </c>
      <c r="O835" s="26" t="inlineStr">
        <is>
          <t>Sunil CR</t>
        </is>
      </c>
      <c r="P835" s="26" t="inlineStr">
        <is>
          <t>Yes</t>
        </is>
      </c>
      <c r="Q835" s="26" t="inlineStr">
        <is>
          <t>No</t>
        </is>
      </c>
      <c r="R835" s="26" t="inlineStr">
        <is>
          <t>Good finish</t>
        </is>
      </c>
      <c r="S835" s="26" t="inlineStr">
        <is>
          <t>Yes</t>
        </is>
      </c>
      <c r="T835" s="27" t="n"/>
      <c r="U835" s="28" t="inlineStr">
        <is>
          <t>No</t>
        </is>
      </c>
      <c r="V835" s="29">
        <f>IF(N835="","",IF(Q835="Yes","❌ Disc",IF(P835="No","⚠ Missing",IF(S835="Yes","✓ OK","⚠ Check"))))</f>
        <v/>
      </c>
      <c r="W835" s="65" t="n">
        <v>46248</v>
      </c>
      <c r="X835" s="30" t="inlineStr">
        <is>
          <t>Sunil CR</t>
        </is>
      </c>
      <c r="Y835" s="30" t="inlineStr">
        <is>
          <t>Yes</t>
        </is>
      </c>
      <c r="Z835" s="30" t="n"/>
      <c r="AA835" s="30" t="inlineStr">
        <is>
          <t>Good finish</t>
        </is>
      </c>
      <c r="AB835" s="30" t="inlineStr">
        <is>
          <t>Yes</t>
        </is>
      </c>
      <c r="AC835" s="27" t="n"/>
      <c r="AD835" s="31" t="inlineStr">
        <is>
          <t>No</t>
        </is>
      </c>
      <c r="AE835" s="32">
        <f>IF(W835="","",IF(Z835="Yes","❌ Disc",IF(Y835="No","⚠ Missing",IF(AB835="Yes","✓ OK","⚠ Check"))))</f>
        <v/>
      </c>
      <c r="AF835" s="33" t="n"/>
      <c r="AG835" s="33" t="n"/>
      <c r="AH835" s="33" t="n"/>
      <c r="AI835" s="33" t="n"/>
      <c r="AJ835" s="33" t="n"/>
      <c r="AK835" s="33" t="n"/>
      <c r="AL835" s="27" t="n"/>
      <c r="AM835" s="34" t="n"/>
      <c r="AN835" s="35">
        <f>IF(AF835="","",IF(AI835="Yes","❌ Disc",IF(AH835="No","⚠ Missing",IF(AK835="Yes","✓ OK","⚠ Check"))))</f>
        <v/>
      </c>
      <c r="AO835" s="36" t="n"/>
      <c r="AP835" s="36" t="n"/>
      <c r="AQ835" s="36" t="n"/>
      <c r="AR835" s="36" t="n"/>
      <c r="AS835" s="36" t="n"/>
      <c r="AT835" s="36" t="n"/>
      <c r="AU835" s="27" t="n"/>
      <c r="AV835" s="37" t="n"/>
      <c r="AW835" s="38">
        <f>IF(AO835="","",IF(AR835="Yes","❌ Disc",IF(AQ835="No","⚠ Missing",IF(AT835="Yes","✓ OK","⚠ Check"))))</f>
        <v/>
      </c>
    </row>
    <row r="836" ht="18" customHeight="1" s="46">
      <c r="A836" s="39" t="n">
        <v>832</v>
      </c>
      <c r="B836" s="40" t="inlineStr">
        <is>
          <t>WP LNCSF1190618</t>
        </is>
      </c>
      <c r="C836" s="41" t="inlineStr">
        <is>
          <t>Life n Colors - Langoor Bandar in Jungle, Customised Wall Wallpaper  - Non-woven - a soft feel paper</t>
        </is>
      </c>
      <c r="D836" s="39" t="inlineStr">
        <is>
          <t>Life n Colors</t>
        </is>
      </c>
      <c r="E836" s="43" t="n">
        <v>46126</v>
      </c>
      <c r="F836" s="26" t="inlineStr">
        <is>
          <t>Sunil CR</t>
        </is>
      </c>
      <c r="G836" s="26" t="inlineStr">
        <is>
          <t>Yes</t>
        </is>
      </c>
      <c r="H836" s="26" t="inlineStr">
        <is>
          <t>No</t>
        </is>
      </c>
      <c r="I836" s="26" t="inlineStr">
        <is>
          <t>Good finish</t>
        </is>
      </c>
      <c r="J836" s="26" t="inlineStr">
        <is>
          <t>Yes</t>
        </is>
      </c>
      <c r="K836" s="27" t="n"/>
      <c r="L836" s="28" t="inlineStr">
        <is>
          <t>No</t>
        </is>
      </c>
      <c r="M836" s="29">
        <f>IF(E836="","",IF(H836="Yes","❌ Disc",IF(G836="No","⚠ Missing",IF(J836="Yes","✓ OK","⚠ Check"))))</f>
        <v/>
      </c>
      <c r="N836" s="43" t="n">
        <v>46193</v>
      </c>
      <c r="O836" s="26" t="inlineStr">
        <is>
          <t>Sunil CR</t>
        </is>
      </c>
      <c r="P836" s="26" t="inlineStr">
        <is>
          <t>Yes</t>
        </is>
      </c>
      <c r="Q836" s="26" t="inlineStr">
        <is>
          <t>No</t>
        </is>
      </c>
      <c r="R836" s="26" t="inlineStr">
        <is>
          <t>Good finish</t>
        </is>
      </c>
      <c r="S836" s="26" t="inlineStr">
        <is>
          <t>Yes</t>
        </is>
      </c>
      <c r="T836" s="27" t="n"/>
      <c r="U836" s="28" t="inlineStr">
        <is>
          <t>No</t>
        </is>
      </c>
      <c r="V836" s="29">
        <f>IF(N836="","",IF(Q836="Yes","❌ Disc",IF(P836="No","⚠ Missing",IF(S836="Yes","✓ OK","⚠ Check"))))</f>
        <v/>
      </c>
      <c r="W836" s="65" t="n">
        <v>46248</v>
      </c>
      <c r="X836" s="30" t="inlineStr">
        <is>
          <t>Sunil CR</t>
        </is>
      </c>
      <c r="Y836" s="30" t="inlineStr">
        <is>
          <t>Yes</t>
        </is>
      </c>
      <c r="Z836" s="30" t="n"/>
      <c r="AA836" s="30" t="inlineStr">
        <is>
          <t>Good finish</t>
        </is>
      </c>
      <c r="AB836" s="30" t="inlineStr">
        <is>
          <t>Yes</t>
        </is>
      </c>
      <c r="AC836" s="27" t="n"/>
      <c r="AD836" s="31" t="inlineStr">
        <is>
          <t>No</t>
        </is>
      </c>
      <c r="AE836" s="32">
        <f>IF(W836="","",IF(Z836="Yes","❌ Disc",IF(Y836="No","⚠ Missing",IF(AB836="Yes","✓ OK","⚠ Check"))))</f>
        <v/>
      </c>
      <c r="AF836" s="33" t="n"/>
      <c r="AG836" s="33" t="n"/>
      <c r="AH836" s="33" t="n"/>
      <c r="AI836" s="33" t="n"/>
      <c r="AJ836" s="33" t="n"/>
      <c r="AK836" s="33" t="n"/>
      <c r="AL836" s="27" t="n"/>
      <c r="AM836" s="34" t="n"/>
      <c r="AN836" s="35">
        <f>IF(AF836="","",IF(AI836="Yes","❌ Disc",IF(AH836="No","⚠ Missing",IF(AK836="Yes","✓ OK","⚠ Check"))))</f>
        <v/>
      </c>
      <c r="AO836" s="36" t="n"/>
      <c r="AP836" s="36" t="n"/>
      <c r="AQ836" s="36" t="n"/>
      <c r="AR836" s="36" t="n"/>
      <c r="AS836" s="36" t="n"/>
      <c r="AT836" s="36" t="n"/>
      <c r="AU836" s="27" t="n"/>
      <c r="AV836" s="37" t="n"/>
      <c r="AW836" s="38">
        <f>IF(AO836="","",IF(AR836="Yes","❌ Disc",IF(AQ836="No","⚠ Missing",IF(AT836="Yes","✓ OK","⚠ Check"))))</f>
        <v/>
      </c>
    </row>
    <row r="837" ht="18" customHeight="1" s="46">
      <c r="A837" s="23" t="n">
        <v>833</v>
      </c>
      <c r="B837" s="24" t="inlineStr">
        <is>
          <t>WP LNCCN1116631</t>
        </is>
      </c>
      <c r="C837" s="25" t="inlineStr">
        <is>
          <t>Life n Colors - Large Geometric Pattern with Golden Lines, Wallpaper  -  Canvas - a texture paper</t>
        </is>
      </c>
      <c r="D837" s="23" t="inlineStr">
        <is>
          <t>Life n Colors</t>
        </is>
      </c>
      <c r="E837" s="43" t="n">
        <v>46126</v>
      </c>
      <c r="F837" s="26" t="inlineStr">
        <is>
          <t>Sunil CR</t>
        </is>
      </c>
      <c r="G837" s="26" t="inlineStr">
        <is>
          <t>Yes</t>
        </is>
      </c>
      <c r="H837" s="26" t="inlineStr">
        <is>
          <t>No</t>
        </is>
      </c>
      <c r="I837" s="26" t="inlineStr">
        <is>
          <t>Good finish</t>
        </is>
      </c>
      <c r="J837" s="26" t="inlineStr">
        <is>
          <t>Yes</t>
        </is>
      </c>
      <c r="K837" s="27" t="n"/>
      <c r="L837" s="28" t="inlineStr">
        <is>
          <t>No</t>
        </is>
      </c>
      <c r="M837" s="29">
        <f>IF(E837="","",IF(H837="Yes","❌ Disc",IF(G837="No","⚠ Missing",IF(J837="Yes","✓ OK","⚠ Check"))))</f>
        <v/>
      </c>
      <c r="N837" s="43" t="n">
        <v>46193</v>
      </c>
      <c r="O837" s="26" t="inlineStr">
        <is>
          <t>Sunil CR</t>
        </is>
      </c>
      <c r="P837" s="26" t="inlineStr">
        <is>
          <t>Yes</t>
        </is>
      </c>
      <c r="Q837" s="26" t="inlineStr">
        <is>
          <t>No</t>
        </is>
      </c>
      <c r="R837" s="26" t="inlineStr">
        <is>
          <t>Good finish</t>
        </is>
      </c>
      <c r="S837" s="26" t="inlineStr">
        <is>
          <t>Yes</t>
        </is>
      </c>
      <c r="T837" s="27" t="n"/>
      <c r="U837" s="28" t="inlineStr">
        <is>
          <t>No</t>
        </is>
      </c>
      <c r="V837" s="29">
        <f>IF(N837="","",IF(Q837="Yes","❌ Disc",IF(P837="No","⚠ Missing",IF(S837="Yes","✓ OK","⚠ Check"))))</f>
        <v/>
      </c>
      <c r="W837" s="65" t="n">
        <v>46248</v>
      </c>
      <c r="X837" s="30" t="inlineStr">
        <is>
          <t>Sunil CR</t>
        </is>
      </c>
      <c r="Y837" s="30" t="inlineStr">
        <is>
          <t>Yes</t>
        </is>
      </c>
      <c r="Z837" s="30" t="n"/>
      <c r="AA837" s="30" t="inlineStr">
        <is>
          <t>Good finish</t>
        </is>
      </c>
      <c r="AB837" s="30" t="inlineStr">
        <is>
          <t>Yes</t>
        </is>
      </c>
      <c r="AC837" s="27" t="n"/>
      <c r="AD837" s="31" t="inlineStr">
        <is>
          <t>No</t>
        </is>
      </c>
      <c r="AE837" s="32">
        <f>IF(W837="","",IF(Z837="Yes","❌ Disc",IF(Y837="No","⚠ Missing",IF(AB837="Yes","✓ OK","⚠ Check"))))</f>
        <v/>
      </c>
      <c r="AF837" s="33" t="n"/>
      <c r="AG837" s="33" t="n"/>
      <c r="AH837" s="33" t="n"/>
      <c r="AI837" s="33" t="n"/>
      <c r="AJ837" s="33" t="n"/>
      <c r="AK837" s="33" t="n"/>
      <c r="AL837" s="27" t="n"/>
      <c r="AM837" s="34" t="n"/>
      <c r="AN837" s="35">
        <f>IF(AF837="","",IF(AI837="Yes","❌ Disc",IF(AH837="No","⚠ Missing",IF(AK837="Yes","✓ OK","⚠ Check"))))</f>
        <v/>
      </c>
      <c r="AO837" s="36" t="n"/>
      <c r="AP837" s="36" t="n"/>
      <c r="AQ837" s="36" t="n"/>
      <c r="AR837" s="36" t="n"/>
      <c r="AS837" s="36" t="n"/>
      <c r="AT837" s="36" t="n"/>
      <c r="AU837" s="27" t="n"/>
      <c r="AV837" s="37" t="n"/>
      <c r="AW837" s="38">
        <f>IF(AO837="","",IF(AR837="Yes","❌ Disc",IF(AQ837="No","⚠ Missing",IF(AT837="Yes","✓ OK","⚠ Check"))))</f>
        <v/>
      </c>
    </row>
    <row r="838" ht="18" customHeight="1" s="46">
      <c r="A838" s="39" t="n">
        <v>834</v>
      </c>
      <c r="B838" s="40" t="inlineStr">
        <is>
          <t>WP LNCSF1116631</t>
        </is>
      </c>
      <c r="C838" s="41" t="inlineStr">
        <is>
          <t>Life n Colors - Large Geometric Pattern with Golden Lines, Wallpaper  - Non-woven - a soft feel paper</t>
        </is>
      </c>
      <c r="D838" s="39" t="inlineStr">
        <is>
          <t>Life n Colors</t>
        </is>
      </c>
      <c r="E838" s="43" t="n">
        <v>46126</v>
      </c>
      <c r="F838" s="26" t="inlineStr">
        <is>
          <t>Sunil CR</t>
        </is>
      </c>
      <c r="G838" s="26" t="inlineStr">
        <is>
          <t>Yes</t>
        </is>
      </c>
      <c r="H838" s="26" t="inlineStr">
        <is>
          <t>No</t>
        </is>
      </c>
      <c r="I838" s="26" t="inlineStr">
        <is>
          <t>Good finish</t>
        </is>
      </c>
      <c r="J838" s="26" t="inlineStr">
        <is>
          <t>Yes</t>
        </is>
      </c>
      <c r="K838" s="27" t="n"/>
      <c r="L838" s="28" t="inlineStr">
        <is>
          <t>No</t>
        </is>
      </c>
      <c r="M838" s="29">
        <f>IF(E838="","",IF(H838="Yes","❌ Disc",IF(G838="No","⚠ Missing",IF(J838="Yes","✓ OK","⚠ Check"))))</f>
        <v/>
      </c>
      <c r="N838" s="43" t="n">
        <v>46193</v>
      </c>
      <c r="O838" s="26" t="inlineStr">
        <is>
          <t>Sunil CR</t>
        </is>
      </c>
      <c r="P838" s="26" t="inlineStr">
        <is>
          <t>Yes</t>
        </is>
      </c>
      <c r="Q838" s="26" t="inlineStr">
        <is>
          <t>No</t>
        </is>
      </c>
      <c r="R838" s="26" t="inlineStr">
        <is>
          <t>Good finish</t>
        </is>
      </c>
      <c r="S838" s="26" t="inlineStr">
        <is>
          <t>Yes</t>
        </is>
      </c>
      <c r="T838" s="27" t="n"/>
      <c r="U838" s="28" t="inlineStr">
        <is>
          <t>No</t>
        </is>
      </c>
      <c r="V838" s="29">
        <f>IF(N838="","",IF(Q838="Yes","❌ Disc",IF(P838="No","⚠ Missing",IF(S838="Yes","✓ OK","⚠ Check"))))</f>
        <v/>
      </c>
      <c r="W838" s="65" t="n">
        <v>46248</v>
      </c>
      <c r="X838" s="30" t="inlineStr">
        <is>
          <t>Sunil CR</t>
        </is>
      </c>
      <c r="Y838" s="30" t="inlineStr">
        <is>
          <t>Yes</t>
        </is>
      </c>
      <c r="Z838" s="30" t="n"/>
      <c r="AA838" s="30" t="inlineStr">
        <is>
          <t>Good finish</t>
        </is>
      </c>
      <c r="AB838" s="30" t="inlineStr">
        <is>
          <t>Yes</t>
        </is>
      </c>
      <c r="AC838" s="27" t="n"/>
      <c r="AD838" s="31" t="inlineStr">
        <is>
          <t>No</t>
        </is>
      </c>
      <c r="AE838" s="32">
        <f>IF(W838="","",IF(Z838="Yes","❌ Disc",IF(Y838="No","⚠ Missing",IF(AB838="Yes","✓ OK","⚠ Check"))))</f>
        <v/>
      </c>
      <c r="AF838" s="33" t="n"/>
      <c r="AG838" s="33" t="n"/>
      <c r="AH838" s="33" t="n"/>
      <c r="AI838" s="33" t="n"/>
      <c r="AJ838" s="33" t="n"/>
      <c r="AK838" s="33" t="n"/>
      <c r="AL838" s="27" t="n"/>
      <c r="AM838" s="34" t="n"/>
      <c r="AN838" s="35">
        <f>IF(AF838="","",IF(AI838="Yes","❌ Disc",IF(AH838="No","⚠ Missing",IF(AK838="Yes","✓ OK","⚠ Check"))))</f>
        <v/>
      </c>
      <c r="AO838" s="36" t="n"/>
      <c r="AP838" s="36" t="n"/>
      <c r="AQ838" s="36" t="n"/>
      <c r="AR838" s="36" t="n"/>
      <c r="AS838" s="36" t="n"/>
      <c r="AT838" s="36" t="n"/>
      <c r="AU838" s="27" t="n"/>
      <c r="AV838" s="37" t="n"/>
      <c r="AW838" s="38">
        <f>IF(AO838="","",IF(AR838="Yes","❌ Disc",IF(AQ838="No","⚠ Missing",IF(AT838="Yes","✓ OK","⚠ Check"))))</f>
        <v/>
      </c>
    </row>
    <row r="839" ht="18" customHeight="1" s="46">
      <c r="A839" s="23" t="n">
        <v>835</v>
      </c>
      <c r="B839" s="24" t="inlineStr">
        <is>
          <t>WP LNCCN1145747</t>
        </is>
      </c>
      <c r="C839" s="25" t="inlineStr">
        <is>
          <t>Life n Colors - Large Royal Damask Wallpaper, Customised  -  Canvas - a texture paper</t>
        </is>
      </c>
      <c r="D839" s="23" t="inlineStr">
        <is>
          <t>Life n Colors</t>
        </is>
      </c>
      <c r="E839" s="43" t="n">
        <v>46126</v>
      </c>
      <c r="F839" s="26" t="inlineStr">
        <is>
          <t>Sunil CR</t>
        </is>
      </c>
      <c r="G839" s="26" t="inlineStr">
        <is>
          <t>Yes</t>
        </is>
      </c>
      <c r="H839" s="26" t="inlineStr">
        <is>
          <t>No</t>
        </is>
      </c>
      <c r="I839" s="26" t="inlineStr">
        <is>
          <t>Good finish</t>
        </is>
      </c>
      <c r="J839" s="26" t="inlineStr">
        <is>
          <t>Yes</t>
        </is>
      </c>
      <c r="K839" s="27" t="n"/>
      <c r="L839" s="28" t="inlineStr">
        <is>
          <t>No</t>
        </is>
      </c>
      <c r="M839" s="29">
        <f>IF(E839="","",IF(H839="Yes","❌ Disc",IF(G839="No","⚠ Missing",IF(J839="Yes","✓ OK","⚠ Check"))))</f>
        <v/>
      </c>
      <c r="N839" s="43" t="n">
        <v>46193</v>
      </c>
      <c r="O839" s="26" t="inlineStr">
        <is>
          <t>Sunil CR</t>
        </is>
      </c>
      <c r="P839" s="26" t="inlineStr">
        <is>
          <t>Yes</t>
        </is>
      </c>
      <c r="Q839" s="26" t="inlineStr">
        <is>
          <t>No</t>
        </is>
      </c>
      <c r="R839" s="26" t="inlineStr">
        <is>
          <t>Good finish</t>
        </is>
      </c>
      <c r="S839" s="26" t="inlineStr">
        <is>
          <t>Yes</t>
        </is>
      </c>
      <c r="T839" s="27" t="n"/>
      <c r="U839" s="28" t="inlineStr">
        <is>
          <t>No</t>
        </is>
      </c>
      <c r="V839" s="29">
        <f>IF(N839="","",IF(Q839="Yes","❌ Disc",IF(P839="No","⚠ Missing",IF(S839="Yes","✓ OK","⚠ Check"))))</f>
        <v/>
      </c>
      <c r="W839" s="65" t="n">
        <v>46248</v>
      </c>
      <c r="X839" s="30" t="inlineStr">
        <is>
          <t>Sunil CR</t>
        </is>
      </c>
      <c r="Y839" s="30" t="inlineStr">
        <is>
          <t>Yes</t>
        </is>
      </c>
      <c r="Z839" s="30" t="n"/>
      <c r="AA839" s="30" t="inlineStr">
        <is>
          <t>Good finish</t>
        </is>
      </c>
      <c r="AB839" s="30" t="inlineStr">
        <is>
          <t>Yes</t>
        </is>
      </c>
      <c r="AC839" s="27" t="n"/>
      <c r="AD839" s="31" t="inlineStr">
        <is>
          <t>No</t>
        </is>
      </c>
      <c r="AE839" s="32">
        <f>IF(W839="","",IF(Z839="Yes","❌ Disc",IF(Y839="No","⚠ Missing",IF(AB839="Yes","✓ OK","⚠ Check"))))</f>
        <v/>
      </c>
      <c r="AF839" s="33" t="n"/>
      <c r="AG839" s="33" t="n"/>
      <c r="AH839" s="33" t="n"/>
      <c r="AI839" s="33" t="n"/>
      <c r="AJ839" s="33" t="n"/>
      <c r="AK839" s="33" t="n"/>
      <c r="AL839" s="27" t="n"/>
      <c r="AM839" s="34" t="n"/>
      <c r="AN839" s="35">
        <f>IF(AF839="","",IF(AI839="Yes","❌ Disc",IF(AH839="No","⚠ Missing",IF(AK839="Yes","✓ OK","⚠ Check"))))</f>
        <v/>
      </c>
      <c r="AO839" s="36" t="n"/>
      <c r="AP839" s="36" t="n"/>
      <c r="AQ839" s="36" t="n"/>
      <c r="AR839" s="36" t="n"/>
      <c r="AS839" s="36" t="n"/>
      <c r="AT839" s="36" t="n"/>
      <c r="AU839" s="27" t="n"/>
      <c r="AV839" s="37" t="n"/>
      <c r="AW839" s="38">
        <f>IF(AO839="","",IF(AR839="Yes","❌ Disc",IF(AQ839="No","⚠ Missing",IF(AT839="Yes","✓ OK","⚠ Check"))))</f>
        <v/>
      </c>
    </row>
    <row r="840" ht="18" customHeight="1" s="46">
      <c r="A840" s="39" t="n">
        <v>836</v>
      </c>
      <c r="B840" s="40" t="inlineStr">
        <is>
          <t>WP LNCSF1145747</t>
        </is>
      </c>
      <c r="C840" s="41" t="inlineStr">
        <is>
          <t>Life n Colors - Large Royal Damask Wallpaper, Customised  - Non-woven - a soft feel paper</t>
        </is>
      </c>
      <c r="D840" s="39" t="inlineStr">
        <is>
          <t>Life n Colors</t>
        </is>
      </c>
      <c r="E840" s="43" t="n">
        <v>46126</v>
      </c>
      <c r="F840" s="26" t="inlineStr">
        <is>
          <t>Sunil CR</t>
        </is>
      </c>
      <c r="G840" s="26" t="inlineStr">
        <is>
          <t>Yes</t>
        </is>
      </c>
      <c r="H840" s="26" t="inlineStr">
        <is>
          <t>No</t>
        </is>
      </c>
      <c r="I840" s="26" t="inlineStr">
        <is>
          <t>Good finish</t>
        </is>
      </c>
      <c r="J840" s="26" t="inlineStr">
        <is>
          <t>Yes</t>
        </is>
      </c>
      <c r="K840" s="27" t="n"/>
      <c r="L840" s="28" t="inlineStr">
        <is>
          <t>No</t>
        </is>
      </c>
      <c r="M840" s="29">
        <f>IF(E840="","",IF(H840="Yes","❌ Disc",IF(G840="No","⚠ Missing",IF(J840="Yes","✓ OK","⚠ Check"))))</f>
        <v/>
      </c>
      <c r="N840" s="43" t="n">
        <v>46193</v>
      </c>
      <c r="O840" s="26" t="inlineStr">
        <is>
          <t>Sunil CR</t>
        </is>
      </c>
      <c r="P840" s="26" t="inlineStr">
        <is>
          <t>Yes</t>
        </is>
      </c>
      <c r="Q840" s="26" t="inlineStr">
        <is>
          <t>No</t>
        </is>
      </c>
      <c r="R840" s="26" t="inlineStr">
        <is>
          <t>Good finish</t>
        </is>
      </c>
      <c r="S840" s="26" t="inlineStr">
        <is>
          <t>Yes</t>
        </is>
      </c>
      <c r="T840" s="27" t="n"/>
      <c r="U840" s="28" t="inlineStr">
        <is>
          <t>No</t>
        </is>
      </c>
      <c r="V840" s="29">
        <f>IF(N840="","",IF(Q840="Yes","❌ Disc",IF(P840="No","⚠ Missing",IF(S840="Yes","✓ OK","⚠ Check"))))</f>
        <v/>
      </c>
      <c r="W840" s="65" t="n">
        <v>46248</v>
      </c>
      <c r="X840" s="30" t="inlineStr">
        <is>
          <t>Sunil CR</t>
        </is>
      </c>
      <c r="Y840" s="30" t="inlineStr">
        <is>
          <t>Yes</t>
        </is>
      </c>
      <c r="Z840" s="30" t="n"/>
      <c r="AA840" s="30" t="inlineStr">
        <is>
          <t>Good finish</t>
        </is>
      </c>
      <c r="AB840" s="30" t="inlineStr">
        <is>
          <t>Yes</t>
        </is>
      </c>
      <c r="AC840" s="27" t="n"/>
      <c r="AD840" s="31" t="inlineStr">
        <is>
          <t>No</t>
        </is>
      </c>
      <c r="AE840" s="32">
        <f>IF(W840="","",IF(Z840="Yes","❌ Disc",IF(Y840="No","⚠ Missing",IF(AB840="Yes","✓ OK","⚠ Check"))))</f>
        <v/>
      </c>
      <c r="AF840" s="33" t="n"/>
      <c r="AG840" s="33" t="n"/>
      <c r="AH840" s="33" t="n"/>
      <c r="AI840" s="33" t="n"/>
      <c r="AJ840" s="33" t="n"/>
      <c r="AK840" s="33" t="n"/>
      <c r="AL840" s="27" t="n"/>
      <c r="AM840" s="34" t="n"/>
      <c r="AN840" s="35">
        <f>IF(AF840="","",IF(AI840="Yes","❌ Disc",IF(AH840="No","⚠ Missing",IF(AK840="Yes","✓ OK","⚠ Check"))))</f>
        <v/>
      </c>
      <c r="AO840" s="36" t="n"/>
      <c r="AP840" s="36" t="n"/>
      <c r="AQ840" s="36" t="n"/>
      <c r="AR840" s="36" t="n"/>
      <c r="AS840" s="36" t="n"/>
      <c r="AT840" s="36" t="n"/>
      <c r="AU840" s="27" t="n"/>
      <c r="AV840" s="37" t="n"/>
      <c r="AW840" s="38">
        <f>IF(AO840="","",IF(AR840="Yes","❌ Disc",IF(AQ840="No","⚠ Missing",IF(AT840="Yes","✓ OK","⚠ Check"))))</f>
        <v/>
      </c>
    </row>
    <row r="841" ht="18" customHeight="1" s="46">
      <c r="A841" s="23" t="n">
        <v>837</v>
      </c>
      <c r="B841" s="24" t="inlineStr">
        <is>
          <t>WP LNCCN1116966</t>
        </is>
      </c>
      <c r="C841" s="25" t="inlineStr">
        <is>
          <t>Life n Colors - Lemur In Jungle Setting, Customised Wall Wallpaper  -  Canvas - a texture paper</t>
        </is>
      </c>
      <c r="D841" s="23" t="inlineStr">
        <is>
          <t>Life n Colors</t>
        </is>
      </c>
      <c r="E841" s="43" t="n">
        <v>46126</v>
      </c>
      <c r="F841" s="26" t="inlineStr">
        <is>
          <t>Sunil CR</t>
        </is>
      </c>
      <c r="G841" s="26" t="inlineStr">
        <is>
          <t>Yes</t>
        </is>
      </c>
      <c r="H841" s="26" t="inlineStr">
        <is>
          <t>No</t>
        </is>
      </c>
      <c r="I841" s="26" t="inlineStr">
        <is>
          <t>Good finish</t>
        </is>
      </c>
      <c r="J841" s="26" t="inlineStr">
        <is>
          <t>Yes</t>
        </is>
      </c>
      <c r="K841" s="27" t="n"/>
      <c r="L841" s="28" t="inlineStr">
        <is>
          <t>No</t>
        </is>
      </c>
      <c r="M841" s="29">
        <f>IF(E841="","",IF(H841="Yes","❌ Disc",IF(G841="No","⚠ Missing",IF(J841="Yes","✓ OK","⚠ Check"))))</f>
        <v/>
      </c>
      <c r="N841" s="43" t="n">
        <v>46193</v>
      </c>
      <c r="O841" s="26" t="inlineStr">
        <is>
          <t>Sunil CR</t>
        </is>
      </c>
      <c r="P841" s="26" t="inlineStr">
        <is>
          <t>Yes</t>
        </is>
      </c>
      <c r="Q841" s="26" t="inlineStr">
        <is>
          <t>No</t>
        </is>
      </c>
      <c r="R841" s="26" t="inlineStr">
        <is>
          <t>Good finish</t>
        </is>
      </c>
      <c r="S841" s="26" t="inlineStr">
        <is>
          <t>Yes</t>
        </is>
      </c>
      <c r="T841" s="27" t="n"/>
      <c r="U841" s="28" t="inlineStr">
        <is>
          <t>No</t>
        </is>
      </c>
      <c r="V841" s="29">
        <f>IF(N841="","",IF(Q841="Yes","❌ Disc",IF(P841="No","⚠ Missing",IF(S841="Yes","✓ OK","⚠ Check"))))</f>
        <v/>
      </c>
      <c r="W841" s="65" t="n">
        <v>46248</v>
      </c>
      <c r="X841" s="30" t="inlineStr">
        <is>
          <t>Sunil CR</t>
        </is>
      </c>
      <c r="Y841" s="30" t="inlineStr">
        <is>
          <t>Yes</t>
        </is>
      </c>
      <c r="Z841" s="30" t="n"/>
      <c r="AA841" s="30" t="inlineStr">
        <is>
          <t>Good finish</t>
        </is>
      </c>
      <c r="AB841" s="30" t="inlineStr">
        <is>
          <t>Yes</t>
        </is>
      </c>
      <c r="AC841" s="27" t="n"/>
      <c r="AD841" s="31" t="inlineStr">
        <is>
          <t>No</t>
        </is>
      </c>
      <c r="AE841" s="32">
        <f>IF(W841="","",IF(Z841="Yes","❌ Disc",IF(Y841="No","⚠ Missing",IF(AB841="Yes","✓ OK","⚠ Check"))))</f>
        <v/>
      </c>
      <c r="AF841" s="33" t="n"/>
      <c r="AG841" s="33" t="n"/>
      <c r="AH841" s="33" t="n"/>
      <c r="AI841" s="33" t="n"/>
      <c r="AJ841" s="33" t="n"/>
      <c r="AK841" s="33" t="n"/>
      <c r="AL841" s="27" t="n"/>
      <c r="AM841" s="34" t="n"/>
      <c r="AN841" s="35">
        <f>IF(AF841="","",IF(AI841="Yes","❌ Disc",IF(AH841="No","⚠ Missing",IF(AK841="Yes","✓ OK","⚠ Check"))))</f>
        <v/>
      </c>
      <c r="AO841" s="36" t="n"/>
      <c r="AP841" s="36" t="n"/>
      <c r="AQ841" s="36" t="n"/>
      <c r="AR841" s="36" t="n"/>
      <c r="AS841" s="36" t="n"/>
      <c r="AT841" s="36" t="n"/>
      <c r="AU841" s="27" t="n"/>
      <c r="AV841" s="37" t="n"/>
      <c r="AW841" s="38">
        <f>IF(AO841="","",IF(AR841="Yes","❌ Disc",IF(AQ841="No","⚠ Missing",IF(AT841="Yes","✓ OK","⚠ Check"))))</f>
        <v/>
      </c>
    </row>
    <row r="842" ht="18" customHeight="1" s="46">
      <c r="A842" s="39" t="n">
        <v>838</v>
      </c>
      <c r="B842" s="40" t="inlineStr">
        <is>
          <t>WP LNCSF1116966</t>
        </is>
      </c>
      <c r="C842" s="41" t="inlineStr">
        <is>
          <t>Life n Colors - Lemur In Jungle Setting, Customised Wall Wallpaper  - Non-woven - a soft feel paper</t>
        </is>
      </c>
      <c r="D842" s="39" t="inlineStr">
        <is>
          <t>Life n Colors</t>
        </is>
      </c>
      <c r="E842" s="43" t="n">
        <v>46126</v>
      </c>
      <c r="F842" s="26" t="inlineStr">
        <is>
          <t>Sunil CR</t>
        </is>
      </c>
      <c r="G842" s="26" t="inlineStr">
        <is>
          <t>Yes</t>
        </is>
      </c>
      <c r="H842" s="26" t="inlineStr">
        <is>
          <t>No</t>
        </is>
      </c>
      <c r="I842" s="26" t="inlineStr">
        <is>
          <t>Good finish</t>
        </is>
      </c>
      <c r="J842" s="26" t="inlineStr">
        <is>
          <t>Yes</t>
        </is>
      </c>
      <c r="K842" s="27" t="n"/>
      <c r="L842" s="28" t="inlineStr">
        <is>
          <t>No</t>
        </is>
      </c>
      <c r="M842" s="29">
        <f>IF(E842="","",IF(H842="Yes","❌ Disc",IF(G842="No","⚠ Missing",IF(J842="Yes","✓ OK","⚠ Check"))))</f>
        <v/>
      </c>
      <c r="N842" s="43" t="n">
        <v>46193</v>
      </c>
      <c r="O842" s="26" t="inlineStr">
        <is>
          <t>Sunil CR</t>
        </is>
      </c>
      <c r="P842" s="26" t="inlineStr">
        <is>
          <t>Yes</t>
        </is>
      </c>
      <c r="Q842" s="26" t="inlineStr">
        <is>
          <t>No</t>
        </is>
      </c>
      <c r="R842" s="26" t="inlineStr">
        <is>
          <t>Good finish</t>
        </is>
      </c>
      <c r="S842" s="26" t="inlineStr">
        <is>
          <t>Yes</t>
        </is>
      </c>
      <c r="T842" s="27" t="n"/>
      <c r="U842" s="28" t="inlineStr">
        <is>
          <t>No</t>
        </is>
      </c>
      <c r="V842" s="29">
        <f>IF(N842="","",IF(Q842="Yes","❌ Disc",IF(P842="No","⚠ Missing",IF(S842="Yes","✓ OK","⚠ Check"))))</f>
        <v/>
      </c>
      <c r="W842" s="65" t="n">
        <v>46248</v>
      </c>
      <c r="X842" s="30" t="inlineStr">
        <is>
          <t>Sunil CR</t>
        </is>
      </c>
      <c r="Y842" s="30" t="inlineStr">
        <is>
          <t>Yes</t>
        </is>
      </c>
      <c r="Z842" s="30" t="n"/>
      <c r="AA842" s="30" t="inlineStr">
        <is>
          <t>Good finish</t>
        </is>
      </c>
      <c r="AB842" s="30" t="inlineStr">
        <is>
          <t>Yes</t>
        </is>
      </c>
      <c r="AC842" s="27" t="n"/>
      <c r="AD842" s="31" t="inlineStr">
        <is>
          <t>No</t>
        </is>
      </c>
      <c r="AE842" s="32">
        <f>IF(W842="","",IF(Z842="Yes","❌ Disc",IF(Y842="No","⚠ Missing",IF(AB842="Yes","✓ OK","⚠ Check"))))</f>
        <v/>
      </c>
      <c r="AF842" s="33" t="n"/>
      <c r="AG842" s="33" t="n"/>
      <c r="AH842" s="33" t="n"/>
      <c r="AI842" s="33" t="n"/>
      <c r="AJ842" s="33" t="n"/>
      <c r="AK842" s="33" t="n"/>
      <c r="AL842" s="27" t="n"/>
      <c r="AM842" s="34" t="n"/>
      <c r="AN842" s="35">
        <f>IF(AF842="","",IF(AI842="Yes","❌ Disc",IF(AH842="No","⚠ Missing",IF(AK842="Yes","✓ OK","⚠ Check"))))</f>
        <v/>
      </c>
      <c r="AO842" s="36" t="n"/>
      <c r="AP842" s="36" t="n"/>
      <c r="AQ842" s="36" t="n"/>
      <c r="AR842" s="36" t="n"/>
      <c r="AS842" s="36" t="n"/>
      <c r="AT842" s="36" t="n"/>
      <c r="AU842" s="27" t="n"/>
      <c r="AV842" s="37" t="n"/>
      <c r="AW842" s="38">
        <f>IF(AO842="","",IF(AR842="Yes","❌ Disc",IF(AQ842="No","⚠ Missing",IF(AT842="Yes","✓ OK","⚠ Check"))))</f>
        <v/>
      </c>
    </row>
    <row r="843" ht="18" customHeight="1" s="46">
      <c r="A843" s="23" t="n">
        <v>839</v>
      </c>
      <c r="B843" s="24" t="inlineStr">
        <is>
          <t>WP LNCCN1110975</t>
        </is>
      </c>
      <c r="C843" s="25" t="inlineStr">
        <is>
          <t>Life n Colors - Leopard Wallpaper, Colorful and Exotic Design, Customised  -  Canvas - a texture paper</t>
        </is>
      </c>
      <c r="D843" s="23" t="inlineStr">
        <is>
          <t>Life n Colors</t>
        </is>
      </c>
      <c r="E843" s="43" t="n">
        <v>46126</v>
      </c>
      <c r="F843" s="26" t="inlineStr">
        <is>
          <t>Sunil CR</t>
        </is>
      </c>
      <c r="G843" s="26" t="inlineStr">
        <is>
          <t>Yes</t>
        </is>
      </c>
      <c r="H843" s="26" t="inlineStr">
        <is>
          <t>No</t>
        </is>
      </c>
      <c r="I843" s="26" t="inlineStr">
        <is>
          <t>Good finish</t>
        </is>
      </c>
      <c r="J843" s="26" t="inlineStr">
        <is>
          <t>Yes</t>
        </is>
      </c>
      <c r="K843" s="27" t="n"/>
      <c r="L843" s="28" t="inlineStr">
        <is>
          <t>No</t>
        </is>
      </c>
      <c r="M843" s="29">
        <f>IF(E843="","",IF(H843="Yes","❌ Disc",IF(G843="No","⚠ Missing",IF(J843="Yes","✓ OK","⚠ Check"))))</f>
        <v/>
      </c>
      <c r="N843" s="43" t="n">
        <v>46193</v>
      </c>
      <c r="O843" s="26" t="inlineStr">
        <is>
          <t>Sunil CR</t>
        </is>
      </c>
      <c r="P843" s="26" t="inlineStr">
        <is>
          <t>Yes</t>
        </is>
      </c>
      <c r="Q843" s="26" t="inlineStr">
        <is>
          <t>No</t>
        </is>
      </c>
      <c r="R843" s="26" t="inlineStr">
        <is>
          <t>Good finish</t>
        </is>
      </c>
      <c r="S843" s="26" t="inlineStr">
        <is>
          <t>Yes</t>
        </is>
      </c>
      <c r="T843" s="27" t="n"/>
      <c r="U843" s="28" t="inlineStr">
        <is>
          <t>No</t>
        </is>
      </c>
      <c r="V843" s="29">
        <f>IF(N843="","",IF(Q843="Yes","❌ Disc",IF(P843="No","⚠ Missing",IF(S843="Yes","✓ OK","⚠ Check"))))</f>
        <v/>
      </c>
      <c r="W843" s="65" t="n">
        <v>46248</v>
      </c>
      <c r="X843" s="30" t="inlineStr">
        <is>
          <t>Sunil CR</t>
        </is>
      </c>
      <c r="Y843" s="30" t="inlineStr">
        <is>
          <t>Yes</t>
        </is>
      </c>
      <c r="Z843" s="30" t="n"/>
      <c r="AA843" s="30" t="inlineStr">
        <is>
          <t>Good finish</t>
        </is>
      </c>
      <c r="AB843" s="30" t="inlineStr">
        <is>
          <t>Yes</t>
        </is>
      </c>
      <c r="AC843" s="27" t="n"/>
      <c r="AD843" s="31" t="inlineStr">
        <is>
          <t>No</t>
        </is>
      </c>
      <c r="AE843" s="32">
        <f>IF(W843="","",IF(Z843="Yes","❌ Disc",IF(Y843="No","⚠ Missing",IF(AB843="Yes","✓ OK","⚠ Check"))))</f>
        <v/>
      </c>
      <c r="AF843" s="33" t="n"/>
      <c r="AG843" s="33" t="n"/>
      <c r="AH843" s="33" t="n"/>
      <c r="AI843" s="33" t="n"/>
      <c r="AJ843" s="33" t="n"/>
      <c r="AK843" s="33" t="n"/>
      <c r="AL843" s="27" t="n"/>
      <c r="AM843" s="34" t="n"/>
      <c r="AN843" s="35">
        <f>IF(AF843="","",IF(AI843="Yes","❌ Disc",IF(AH843="No","⚠ Missing",IF(AK843="Yes","✓ OK","⚠ Check"))))</f>
        <v/>
      </c>
      <c r="AO843" s="36" t="n"/>
      <c r="AP843" s="36" t="n"/>
      <c r="AQ843" s="36" t="n"/>
      <c r="AR843" s="36" t="n"/>
      <c r="AS843" s="36" t="n"/>
      <c r="AT843" s="36" t="n"/>
      <c r="AU843" s="27" t="n"/>
      <c r="AV843" s="37" t="n"/>
      <c r="AW843" s="38">
        <f>IF(AO843="","",IF(AR843="Yes","❌ Disc",IF(AQ843="No","⚠ Missing",IF(AT843="Yes","✓ OK","⚠ Check"))))</f>
        <v/>
      </c>
    </row>
    <row r="844" ht="18" customHeight="1" s="46">
      <c r="A844" s="39" t="n">
        <v>840</v>
      </c>
      <c r="B844" s="40" t="inlineStr">
        <is>
          <t>WP LNCSF1110975</t>
        </is>
      </c>
      <c r="C844" s="41" t="inlineStr">
        <is>
          <t>Life n Colors - Leopard Wallpaper, Colorful and Exotic Design, Customised  - Non-woven - a soft feel paper</t>
        </is>
      </c>
      <c r="D844" s="39" t="inlineStr">
        <is>
          <t>Life n Colors</t>
        </is>
      </c>
      <c r="E844" s="43" t="n">
        <v>46126</v>
      </c>
      <c r="F844" s="26" t="inlineStr">
        <is>
          <t>Sunil CR</t>
        </is>
      </c>
      <c r="G844" s="26" t="inlineStr">
        <is>
          <t>Yes</t>
        </is>
      </c>
      <c r="H844" s="26" t="inlineStr">
        <is>
          <t>No</t>
        </is>
      </c>
      <c r="I844" s="26" t="inlineStr">
        <is>
          <t>Good finish</t>
        </is>
      </c>
      <c r="J844" s="26" t="inlineStr">
        <is>
          <t>Yes</t>
        </is>
      </c>
      <c r="K844" s="27" t="n"/>
      <c r="L844" s="28" t="inlineStr">
        <is>
          <t>No</t>
        </is>
      </c>
      <c r="M844" s="29">
        <f>IF(E844="","",IF(H844="Yes","❌ Disc",IF(G844="No","⚠ Missing",IF(J844="Yes","✓ OK","⚠ Check"))))</f>
        <v/>
      </c>
      <c r="N844" s="43" t="n">
        <v>46193</v>
      </c>
      <c r="O844" s="26" t="inlineStr">
        <is>
          <t>Sunil CR</t>
        </is>
      </c>
      <c r="P844" s="26" t="inlineStr">
        <is>
          <t>Yes</t>
        </is>
      </c>
      <c r="Q844" s="26" t="inlineStr">
        <is>
          <t>No</t>
        </is>
      </c>
      <c r="R844" s="26" t="inlineStr">
        <is>
          <t>Good finish</t>
        </is>
      </c>
      <c r="S844" s="26" t="inlineStr">
        <is>
          <t>Yes</t>
        </is>
      </c>
      <c r="T844" s="27" t="n"/>
      <c r="U844" s="28" t="inlineStr">
        <is>
          <t>No</t>
        </is>
      </c>
      <c r="V844" s="29">
        <f>IF(N844="","",IF(Q844="Yes","❌ Disc",IF(P844="No","⚠ Missing",IF(S844="Yes","✓ OK","⚠ Check"))))</f>
        <v/>
      </c>
      <c r="W844" s="65" t="n">
        <v>46248</v>
      </c>
      <c r="X844" s="30" t="inlineStr">
        <is>
          <t>Sunil CR</t>
        </is>
      </c>
      <c r="Y844" s="30" t="inlineStr">
        <is>
          <t>Yes</t>
        </is>
      </c>
      <c r="Z844" s="30" t="n"/>
      <c r="AA844" s="30" t="inlineStr">
        <is>
          <t>Good finish</t>
        </is>
      </c>
      <c r="AB844" s="30" t="inlineStr">
        <is>
          <t>Yes</t>
        </is>
      </c>
      <c r="AC844" s="27" t="n"/>
      <c r="AD844" s="31" t="inlineStr">
        <is>
          <t>No</t>
        </is>
      </c>
      <c r="AE844" s="32">
        <f>IF(W844="","",IF(Z844="Yes","❌ Disc",IF(Y844="No","⚠ Missing",IF(AB844="Yes","✓ OK","⚠ Check"))))</f>
        <v/>
      </c>
      <c r="AF844" s="33" t="n"/>
      <c r="AG844" s="33" t="n"/>
      <c r="AH844" s="33" t="n"/>
      <c r="AI844" s="33" t="n"/>
      <c r="AJ844" s="33" t="n"/>
      <c r="AK844" s="33" t="n"/>
      <c r="AL844" s="27" t="n"/>
      <c r="AM844" s="34" t="n"/>
      <c r="AN844" s="35">
        <f>IF(AF844="","",IF(AI844="Yes","❌ Disc",IF(AH844="No","⚠ Missing",IF(AK844="Yes","✓ OK","⚠ Check"))))</f>
        <v/>
      </c>
      <c r="AO844" s="36" t="n"/>
      <c r="AP844" s="36" t="n"/>
      <c r="AQ844" s="36" t="n"/>
      <c r="AR844" s="36" t="n"/>
      <c r="AS844" s="36" t="n"/>
      <c r="AT844" s="36" t="n"/>
      <c r="AU844" s="27" t="n"/>
      <c r="AV844" s="37" t="n"/>
      <c r="AW844" s="38">
        <f>IF(AO844="","",IF(AR844="Yes","❌ Disc",IF(AQ844="No","⚠ Missing",IF(AT844="Yes","✓ OK","⚠ Check"))))</f>
        <v/>
      </c>
    </row>
    <row r="845" ht="18" customHeight="1" s="46">
      <c r="A845" s="23" t="n">
        <v>841</v>
      </c>
      <c r="B845" s="24" t="inlineStr">
        <is>
          <t>WP LNCCN1103114</t>
        </is>
      </c>
      <c r="C845" s="25" t="inlineStr">
        <is>
          <t>Life n Colors - Lets go on a moon walk, Cute kids room wallpaper  -  Canvas - a texture paper</t>
        </is>
      </c>
      <c r="D845" s="23" t="inlineStr">
        <is>
          <t>Life n Colors</t>
        </is>
      </c>
      <c r="E845" s="43" t="n">
        <v>46126</v>
      </c>
      <c r="F845" s="26" t="inlineStr">
        <is>
          <t>Sunil CR</t>
        </is>
      </c>
      <c r="G845" s="26" t="inlineStr">
        <is>
          <t>Yes</t>
        </is>
      </c>
      <c r="H845" s="26" t="inlineStr">
        <is>
          <t>No</t>
        </is>
      </c>
      <c r="I845" s="26" t="inlineStr">
        <is>
          <t>Good finish</t>
        </is>
      </c>
      <c r="J845" s="26" t="inlineStr">
        <is>
          <t>Yes</t>
        </is>
      </c>
      <c r="K845" s="27" t="n"/>
      <c r="L845" s="28" t="inlineStr">
        <is>
          <t>No</t>
        </is>
      </c>
      <c r="M845" s="29">
        <f>IF(E845="","",IF(H845="Yes","❌ Disc",IF(G845="No","⚠ Missing",IF(J845="Yes","✓ OK","⚠ Check"))))</f>
        <v/>
      </c>
      <c r="N845" s="43" t="n">
        <v>46193</v>
      </c>
      <c r="O845" s="26" t="inlineStr">
        <is>
          <t>Sunil CR</t>
        </is>
      </c>
      <c r="P845" s="26" t="inlineStr">
        <is>
          <t>Yes</t>
        </is>
      </c>
      <c r="Q845" s="26" t="inlineStr">
        <is>
          <t>No</t>
        </is>
      </c>
      <c r="R845" s="26" t="inlineStr">
        <is>
          <t>Good finish</t>
        </is>
      </c>
      <c r="S845" s="26" t="inlineStr">
        <is>
          <t>Yes</t>
        </is>
      </c>
      <c r="T845" s="27" t="n"/>
      <c r="U845" s="28" t="inlineStr">
        <is>
          <t>No</t>
        </is>
      </c>
      <c r="V845" s="29">
        <f>IF(N845="","",IF(Q845="Yes","❌ Disc",IF(P845="No","⚠ Missing",IF(S845="Yes","✓ OK","⚠ Check"))))</f>
        <v/>
      </c>
      <c r="W845" s="65" t="n">
        <v>46248</v>
      </c>
      <c r="X845" s="30" t="inlineStr">
        <is>
          <t>Sunil CR</t>
        </is>
      </c>
      <c r="Y845" s="30" t="inlineStr">
        <is>
          <t>Yes</t>
        </is>
      </c>
      <c r="Z845" s="30" t="n"/>
      <c r="AA845" s="30" t="inlineStr">
        <is>
          <t>Good finish</t>
        </is>
      </c>
      <c r="AB845" s="30" t="inlineStr">
        <is>
          <t>Yes</t>
        </is>
      </c>
      <c r="AC845" s="27" t="n"/>
      <c r="AD845" s="31" t="inlineStr">
        <is>
          <t>No</t>
        </is>
      </c>
      <c r="AE845" s="32">
        <f>IF(W845="","",IF(Z845="Yes","❌ Disc",IF(Y845="No","⚠ Missing",IF(AB845="Yes","✓ OK","⚠ Check"))))</f>
        <v/>
      </c>
      <c r="AF845" s="33" t="n"/>
      <c r="AG845" s="33" t="n"/>
      <c r="AH845" s="33" t="n"/>
      <c r="AI845" s="33" t="n"/>
      <c r="AJ845" s="33" t="n"/>
      <c r="AK845" s="33" t="n"/>
      <c r="AL845" s="27" t="n"/>
      <c r="AM845" s="34" t="n"/>
      <c r="AN845" s="35">
        <f>IF(AF845="","",IF(AI845="Yes","❌ Disc",IF(AH845="No","⚠ Missing",IF(AK845="Yes","✓ OK","⚠ Check"))))</f>
        <v/>
      </c>
      <c r="AO845" s="36" t="n"/>
      <c r="AP845" s="36" t="n"/>
      <c r="AQ845" s="36" t="n"/>
      <c r="AR845" s="36" t="n"/>
      <c r="AS845" s="36" t="n"/>
      <c r="AT845" s="36" t="n"/>
      <c r="AU845" s="27" t="n"/>
      <c r="AV845" s="37" t="n"/>
      <c r="AW845" s="38">
        <f>IF(AO845="","",IF(AR845="Yes","❌ Disc",IF(AQ845="No","⚠ Missing",IF(AT845="Yes","✓ OK","⚠ Check"))))</f>
        <v/>
      </c>
    </row>
    <row r="846" ht="18" customHeight="1" s="46">
      <c r="A846" s="39" t="n">
        <v>842</v>
      </c>
      <c r="B846" s="40" t="inlineStr">
        <is>
          <t>WP LNCSF1103114</t>
        </is>
      </c>
      <c r="C846" s="41" t="inlineStr">
        <is>
          <t>Life n Colors - Lets go on a moon walk, Cute kids room wallpaper  - Non-woven - a soft feel paper</t>
        </is>
      </c>
      <c r="D846" s="39" t="inlineStr">
        <is>
          <t>Life n Colors</t>
        </is>
      </c>
      <c r="E846" s="43" t="n">
        <v>46126</v>
      </c>
      <c r="F846" s="26" t="inlineStr">
        <is>
          <t>Sunil CR</t>
        </is>
      </c>
      <c r="G846" s="26" t="inlineStr">
        <is>
          <t>Yes</t>
        </is>
      </c>
      <c r="H846" s="26" t="inlineStr">
        <is>
          <t>No</t>
        </is>
      </c>
      <c r="I846" s="26" t="inlineStr">
        <is>
          <t>Good finish</t>
        </is>
      </c>
      <c r="J846" s="26" t="inlineStr">
        <is>
          <t>Yes</t>
        </is>
      </c>
      <c r="K846" s="27" t="n"/>
      <c r="L846" s="28" t="inlineStr">
        <is>
          <t>No</t>
        </is>
      </c>
      <c r="M846" s="29">
        <f>IF(E846="","",IF(H846="Yes","❌ Disc",IF(G846="No","⚠ Missing",IF(J846="Yes","✓ OK","⚠ Check"))))</f>
        <v/>
      </c>
      <c r="N846" s="43" t="n">
        <v>46193</v>
      </c>
      <c r="O846" s="26" t="inlineStr">
        <is>
          <t>Sunil CR</t>
        </is>
      </c>
      <c r="P846" s="26" t="inlineStr">
        <is>
          <t>Yes</t>
        </is>
      </c>
      <c r="Q846" s="26" t="inlineStr">
        <is>
          <t>No</t>
        </is>
      </c>
      <c r="R846" s="26" t="inlineStr">
        <is>
          <t>Good finish</t>
        </is>
      </c>
      <c r="S846" s="26" t="inlineStr">
        <is>
          <t>Yes</t>
        </is>
      </c>
      <c r="T846" s="27" t="n"/>
      <c r="U846" s="28" t="inlineStr">
        <is>
          <t>No</t>
        </is>
      </c>
      <c r="V846" s="29">
        <f>IF(N846="","",IF(Q846="Yes","❌ Disc",IF(P846="No","⚠ Missing",IF(S846="Yes","✓ OK","⚠ Check"))))</f>
        <v/>
      </c>
      <c r="W846" s="65" t="n">
        <v>46248</v>
      </c>
      <c r="X846" s="30" t="inlineStr">
        <is>
          <t>Sunil CR</t>
        </is>
      </c>
      <c r="Y846" s="30" t="inlineStr">
        <is>
          <t>Yes</t>
        </is>
      </c>
      <c r="Z846" s="30" t="n"/>
      <c r="AA846" s="30" t="inlineStr">
        <is>
          <t>Good finish</t>
        </is>
      </c>
      <c r="AB846" s="30" t="inlineStr">
        <is>
          <t>Yes</t>
        </is>
      </c>
      <c r="AC846" s="27" t="n"/>
      <c r="AD846" s="31" t="inlineStr">
        <is>
          <t>No</t>
        </is>
      </c>
      <c r="AE846" s="32">
        <f>IF(W846="","",IF(Z846="Yes","❌ Disc",IF(Y846="No","⚠ Missing",IF(AB846="Yes","✓ OK","⚠ Check"))))</f>
        <v/>
      </c>
      <c r="AF846" s="33" t="n"/>
      <c r="AG846" s="33" t="n"/>
      <c r="AH846" s="33" t="n"/>
      <c r="AI846" s="33" t="n"/>
      <c r="AJ846" s="33" t="n"/>
      <c r="AK846" s="33" t="n"/>
      <c r="AL846" s="27" t="n"/>
      <c r="AM846" s="34" t="n"/>
      <c r="AN846" s="35">
        <f>IF(AF846="","",IF(AI846="Yes","❌ Disc",IF(AH846="No","⚠ Missing",IF(AK846="Yes","✓ OK","⚠ Check"))))</f>
        <v/>
      </c>
      <c r="AO846" s="36" t="n"/>
      <c r="AP846" s="36" t="n"/>
      <c r="AQ846" s="36" t="n"/>
      <c r="AR846" s="36" t="n"/>
      <c r="AS846" s="36" t="n"/>
      <c r="AT846" s="36" t="n"/>
      <c r="AU846" s="27" t="n"/>
      <c r="AV846" s="37" t="n"/>
      <c r="AW846" s="38">
        <f>IF(AO846="","",IF(AR846="Yes","❌ Disc",IF(AQ846="No","⚠ Missing",IF(AT846="Yes","✓ OK","⚠ Check"))))</f>
        <v/>
      </c>
    </row>
    <row r="847" ht="18" customHeight="1" s="46">
      <c r="A847" s="23" t="n">
        <v>843</v>
      </c>
      <c r="B847" s="24" t="inlineStr">
        <is>
          <t>WP LNCCN1192043</t>
        </is>
      </c>
      <c r="C847" s="25" t="inlineStr">
        <is>
          <t>Life n Colors - Light Green Trees in Tropical Room Wallpaper  -  Canvas - a texture paper</t>
        </is>
      </c>
      <c r="D847" s="23" t="inlineStr">
        <is>
          <t>Life n Colors</t>
        </is>
      </c>
      <c r="E847" s="43" t="n">
        <v>46126</v>
      </c>
      <c r="F847" s="26" t="inlineStr">
        <is>
          <t>Sunil CR</t>
        </is>
      </c>
      <c r="G847" s="26" t="inlineStr">
        <is>
          <t>Yes</t>
        </is>
      </c>
      <c r="H847" s="26" t="inlineStr">
        <is>
          <t>No</t>
        </is>
      </c>
      <c r="I847" s="26" t="inlineStr">
        <is>
          <t>Good finish</t>
        </is>
      </c>
      <c r="J847" s="26" t="inlineStr">
        <is>
          <t>Yes</t>
        </is>
      </c>
      <c r="K847" s="27" t="n"/>
      <c r="L847" s="28" t="inlineStr">
        <is>
          <t>No</t>
        </is>
      </c>
      <c r="M847" s="29">
        <f>IF(E847="","",IF(H847="Yes","❌ Disc",IF(G847="No","⚠ Missing",IF(J847="Yes","✓ OK","⚠ Check"))))</f>
        <v/>
      </c>
      <c r="N847" s="43" t="n">
        <v>46193</v>
      </c>
      <c r="O847" s="26" t="inlineStr">
        <is>
          <t>Sunil CR</t>
        </is>
      </c>
      <c r="P847" s="26" t="inlineStr">
        <is>
          <t>Yes</t>
        </is>
      </c>
      <c r="Q847" s="26" t="inlineStr">
        <is>
          <t>No</t>
        </is>
      </c>
      <c r="R847" s="26" t="inlineStr">
        <is>
          <t>Good finish</t>
        </is>
      </c>
      <c r="S847" s="26" t="inlineStr">
        <is>
          <t>Yes</t>
        </is>
      </c>
      <c r="T847" s="27" t="n"/>
      <c r="U847" s="28" t="inlineStr">
        <is>
          <t>No</t>
        </is>
      </c>
      <c r="V847" s="29">
        <f>IF(N847="","",IF(Q847="Yes","❌ Disc",IF(P847="No","⚠ Missing",IF(S847="Yes","✓ OK","⚠ Check"))))</f>
        <v/>
      </c>
      <c r="W847" s="65" t="n">
        <v>46248</v>
      </c>
      <c r="X847" s="30" t="inlineStr">
        <is>
          <t>Sunil CR</t>
        </is>
      </c>
      <c r="Y847" s="30" t="inlineStr">
        <is>
          <t>Yes</t>
        </is>
      </c>
      <c r="Z847" s="30" t="n"/>
      <c r="AA847" s="30" t="inlineStr">
        <is>
          <t>Good finish</t>
        </is>
      </c>
      <c r="AB847" s="30" t="inlineStr">
        <is>
          <t>Yes</t>
        </is>
      </c>
      <c r="AC847" s="27" t="n"/>
      <c r="AD847" s="31" t="inlineStr">
        <is>
          <t>No</t>
        </is>
      </c>
      <c r="AE847" s="32">
        <f>IF(W847="","",IF(Z847="Yes","❌ Disc",IF(Y847="No","⚠ Missing",IF(AB847="Yes","✓ OK","⚠ Check"))))</f>
        <v/>
      </c>
      <c r="AF847" s="33" t="n"/>
      <c r="AG847" s="33" t="n"/>
      <c r="AH847" s="33" t="n"/>
      <c r="AI847" s="33" t="n"/>
      <c r="AJ847" s="33" t="n"/>
      <c r="AK847" s="33" t="n"/>
      <c r="AL847" s="27" t="n"/>
      <c r="AM847" s="34" t="n"/>
      <c r="AN847" s="35">
        <f>IF(AF847="","",IF(AI847="Yes","❌ Disc",IF(AH847="No","⚠ Missing",IF(AK847="Yes","✓ OK","⚠ Check"))))</f>
        <v/>
      </c>
      <c r="AO847" s="36" t="n"/>
      <c r="AP847" s="36" t="n"/>
      <c r="AQ847" s="36" t="n"/>
      <c r="AR847" s="36" t="n"/>
      <c r="AS847" s="36" t="n"/>
      <c r="AT847" s="36" t="n"/>
      <c r="AU847" s="27" t="n"/>
      <c r="AV847" s="37" t="n"/>
      <c r="AW847" s="38">
        <f>IF(AO847="","",IF(AR847="Yes","❌ Disc",IF(AQ847="No","⚠ Missing",IF(AT847="Yes","✓ OK","⚠ Check"))))</f>
        <v/>
      </c>
    </row>
    <row r="848" ht="18" customHeight="1" s="46">
      <c r="A848" s="39" t="n">
        <v>844</v>
      </c>
      <c r="B848" s="40" t="inlineStr">
        <is>
          <t>WP LNCSF1192043</t>
        </is>
      </c>
      <c r="C848" s="41" t="inlineStr">
        <is>
          <t>Life n Colors - Light Green Trees in Tropical Room Wallpaper  - Non-woven - a soft feel paper</t>
        </is>
      </c>
      <c r="D848" s="39" t="inlineStr">
        <is>
          <t>Life n Colors</t>
        </is>
      </c>
      <c r="E848" s="43" t="n">
        <v>46126</v>
      </c>
      <c r="F848" s="26" t="inlineStr">
        <is>
          <t>Sunil CR</t>
        </is>
      </c>
      <c r="G848" s="26" t="inlineStr">
        <is>
          <t>Yes</t>
        </is>
      </c>
      <c r="H848" s="26" t="inlineStr">
        <is>
          <t>No</t>
        </is>
      </c>
      <c r="I848" s="26" t="inlineStr">
        <is>
          <t>Good finish</t>
        </is>
      </c>
      <c r="J848" s="26" t="inlineStr">
        <is>
          <t>Yes</t>
        </is>
      </c>
      <c r="K848" s="27" t="n"/>
      <c r="L848" s="28" t="inlineStr">
        <is>
          <t>No</t>
        </is>
      </c>
      <c r="M848" s="29">
        <f>IF(E848="","",IF(H848="Yes","❌ Disc",IF(G848="No","⚠ Missing",IF(J848="Yes","✓ OK","⚠ Check"))))</f>
        <v/>
      </c>
      <c r="N848" s="43" t="n">
        <v>46193</v>
      </c>
      <c r="O848" s="26" t="inlineStr">
        <is>
          <t>Sunil CR</t>
        </is>
      </c>
      <c r="P848" s="26" t="inlineStr">
        <is>
          <t>Yes</t>
        </is>
      </c>
      <c r="Q848" s="26" t="inlineStr">
        <is>
          <t>No</t>
        </is>
      </c>
      <c r="R848" s="26" t="inlineStr">
        <is>
          <t>Good finish</t>
        </is>
      </c>
      <c r="S848" s="26" t="inlineStr">
        <is>
          <t>Yes</t>
        </is>
      </c>
      <c r="T848" s="27" t="n"/>
      <c r="U848" s="28" t="inlineStr">
        <is>
          <t>No</t>
        </is>
      </c>
      <c r="V848" s="29">
        <f>IF(N848="","",IF(Q848="Yes","❌ Disc",IF(P848="No","⚠ Missing",IF(S848="Yes","✓ OK","⚠ Check"))))</f>
        <v/>
      </c>
      <c r="W848" s="65" t="n">
        <v>46248</v>
      </c>
      <c r="X848" s="30" t="inlineStr">
        <is>
          <t>Sunil CR</t>
        </is>
      </c>
      <c r="Y848" s="30" t="inlineStr">
        <is>
          <t>Yes</t>
        </is>
      </c>
      <c r="Z848" s="30" t="n"/>
      <c r="AA848" s="30" t="inlineStr">
        <is>
          <t>Good finish</t>
        </is>
      </c>
      <c r="AB848" s="30" t="inlineStr">
        <is>
          <t>Yes</t>
        </is>
      </c>
      <c r="AC848" s="27" t="n"/>
      <c r="AD848" s="31" t="inlineStr">
        <is>
          <t>No</t>
        </is>
      </c>
      <c r="AE848" s="32">
        <f>IF(W848="","",IF(Z848="Yes","❌ Disc",IF(Y848="No","⚠ Missing",IF(AB848="Yes","✓ OK","⚠ Check"))))</f>
        <v/>
      </c>
      <c r="AF848" s="33" t="n"/>
      <c r="AG848" s="33" t="n"/>
      <c r="AH848" s="33" t="n"/>
      <c r="AI848" s="33" t="n"/>
      <c r="AJ848" s="33" t="n"/>
      <c r="AK848" s="33" t="n"/>
      <c r="AL848" s="27" t="n"/>
      <c r="AM848" s="34" t="n"/>
      <c r="AN848" s="35">
        <f>IF(AF848="","",IF(AI848="Yes","❌ Disc",IF(AH848="No","⚠ Missing",IF(AK848="Yes","✓ OK","⚠ Check"))))</f>
        <v/>
      </c>
      <c r="AO848" s="36" t="n"/>
      <c r="AP848" s="36" t="n"/>
      <c r="AQ848" s="36" t="n"/>
      <c r="AR848" s="36" t="n"/>
      <c r="AS848" s="36" t="n"/>
      <c r="AT848" s="36" t="n"/>
      <c r="AU848" s="27" t="n"/>
      <c r="AV848" s="37" t="n"/>
      <c r="AW848" s="38">
        <f>IF(AO848="","",IF(AR848="Yes","❌ Disc",IF(AQ848="No","⚠ Missing",IF(AT848="Yes","✓ OK","⚠ Check"))))</f>
        <v/>
      </c>
    </row>
    <row r="849" ht="18" customHeight="1" s="46">
      <c r="A849" s="23" t="n">
        <v>845</v>
      </c>
      <c r="B849" s="24" t="inlineStr">
        <is>
          <t>WP LNCCN1144619</t>
        </is>
      </c>
      <c r="C849" s="25" t="inlineStr">
        <is>
          <t>Life n Colors - Little World on Safari, Jungle Animals Wallpaper  -  Canvas - a texture paper</t>
        </is>
      </c>
      <c r="D849" s="23" t="inlineStr">
        <is>
          <t>Life n Colors</t>
        </is>
      </c>
      <c r="E849" s="43" t="n">
        <v>46126</v>
      </c>
      <c r="F849" s="26" t="inlineStr">
        <is>
          <t>Sunil CR</t>
        </is>
      </c>
      <c r="G849" s="26" t="inlineStr">
        <is>
          <t>Yes</t>
        </is>
      </c>
      <c r="H849" s="26" t="inlineStr">
        <is>
          <t>No</t>
        </is>
      </c>
      <c r="I849" s="26" t="inlineStr">
        <is>
          <t>Good finish</t>
        </is>
      </c>
      <c r="J849" s="26" t="inlineStr">
        <is>
          <t>Yes</t>
        </is>
      </c>
      <c r="K849" s="27" t="n"/>
      <c r="L849" s="28" t="inlineStr">
        <is>
          <t>No</t>
        </is>
      </c>
      <c r="M849" s="29">
        <f>IF(E849="","",IF(H849="Yes","❌ Disc",IF(G849="No","⚠ Missing",IF(J849="Yes","✓ OK","⚠ Check"))))</f>
        <v/>
      </c>
      <c r="N849" s="43" t="n">
        <v>46193</v>
      </c>
      <c r="O849" s="26" t="inlineStr">
        <is>
          <t>Sunil CR</t>
        </is>
      </c>
      <c r="P849" s="26" t="inlineStr">
        <is>
          <t>Yes</t>
        </is>
      </c>
      <c r="Q849" s="26" t="inlineStr">
        <is>
          <t>No</t>
        </is>
      </c>
      <c r="R849" s="26" t="inlineStr">
        <is>
          <t>Good finish</t>
        </is>
      </c>
      <c r="S849" s="26" t="inlineStr">
        <is>
          <t>Yes</t>
        </is>
      </c>
      <c r="T849" s="27" t="n"/>
      <c r="U849" s="28" t="inlineStr">
        <is>
          <t>No</t>
        </is>
      </c>
      <c r="V849" s="29">
        <f>IF(N849="","",IF(Q849="Yes","❌ Disc",IF(P849="No","⚠ Missing",IF(S849="Yes","✓ OK","⚠ Check"))))</f>
        <v/>
      </c>
      <c r="W849" s="65" t="n">
        <v>46248</v>
      </c>
      <c r="X849" s="30" t="inlineStr">
        <is>
          <t>Sunil CR</t>
        </is>
      </c>
      <c r="Y849" s="30" t="inlineStr">
        <is>
          <t>Yes</t>
        </is>
      </c>
      <c r="Z849" s="30" t="n"/>
      <c r="AA849" s="30" t="inlineStr">
        <is>
          <t>Good finish</t>
        </is>
      </c>
      <c r="AB849" s="30" t="inlineStr">
        <is>
          <t>Yes</t>
        </is>
      </c>
      <c r="AC849" s="27" t="n"/>
      <c r="AD849" s="31" t="inlineStr">
        <is>
          <t>No</t>
        </is>
      </c>
      <c r="AE849" s="32">
        <f>IF(W849="","",IF(Z849="Yes","❌ Disc",IF(Y849="No","⚠ Missing",IF(AB849="Yes","✓ OK","⚠ Check"))))</f>
        <v/>
      </c>
      <c r="AF849" s="33" t="n"/>
      <c r="AG849" s="33" t="n"/>
      <c r="AH849" s="33" t="n"/>
      <c r="AI849" s="33" t="n"/>
      <c r="AJ849" s="33" t="n"/>
      <c r="AK849" s="33" t="n"/>
      <c r="AL849" s="27" t="n"/>
      <c r="AM849" s="34" t="n"/>
      <c r="AN849" s="35">
        <f>IF(AF849="","",IF(AI849="Yes","❌ Disc",IF(AH849="No","⚠ Missing",IF(AK849="Yes","✓ OK","⚠ Check"))))</f>
        <v/>
      </c>
      <c r="AO849" s="36" t="n"/>
      <c r="AP849" s="36" t="n"/>
      <c r="AQ849" s="36" t="n"/>
      <c r="AR849" s="36" t="n"/>
      <c r="AS849" s="36" t="n"/>
      <c r="AT849" s="36" t="n"/>
      <c r="AU849" s="27" t="n"/>
      <c r="AV849" s="37" t="n"/>
      <c r="AW849" s="38">
        <f>IF(AO849="","",IF(AR849="Yes","❌ Disc",IF(AQ849="No","⚠ Missing",IF(AT849="Yes","✓ OK","⚠ Check"))))</f>
        <v/>
      </c>
    </row>
    <row r="850" ht="18" customHeight="1" s="46">
      <c r="A850" s="39" t="n">
        <v>846</v>
      </c>
      <c r="B850" s="40" t="inlineStr">
        <is>
          <t>WP LNCSF1144619</t>
        </is>
      </c>
      <c r="C850" s="41" t="inlineStr">
        <is>
          <t>Life n Colors - Little World on Safari, Jungle Animals Wallpaper  - Non-woven - a soft feel paper</t>
        </is>
      </c>
      <c r="D850" s="39" t="inlineStr">
        <is>
          <t>Life n Colors</t>
        </is>
      </c>
      <c r="E850" s="43" t="n">
        <v>46126</v>
      </c>
      <c r="F850" s="26" t="inlineStr">
        <is>
          <t>Sunil CR</t>
        </is>
      </c>
      <c r="G850" s="26" t="inlineStr">
        <is>
          <t>Yes</t>
        </is>
      </c>
      <c r="H850" s="26" t="inlineStr">
        <is>
          <t>No</t>
        </is>
      </c>
      <c r="I850" s="26" t="inlineStr">
        <is>
          <t>Good finish</t>
        </is>
      </c>
      <c r="J850" s="26" t="inlineStr">
        <is>
          <t>Yes</t>
        </is>
      </c>
      <c r="K850" s="27" t="n"/>
      <c r="L850" s="28" t="inlineStr">
        <is>
          <t>No</t>
        </is>
      </c>
      <c r="M850" s="29">
        <f>IF(E850="","",IF(H850="Yes","❌ Disc",IF(G850="No","⚠ Missing",IF(J850="Yes","✓ OK","⚠ Check"))))</f>
        <v/>
      </c>
      <c r="N850" s="43" t="n">
        <v>46193</v>
      </c>
      <c r="O850" s="26" t="inlineStr">
        <is>
          <t>Sunil CR</t>
        </is>
      </c>
      <c r="P850" s="26" t="inlineStr">
        <is>
          <t>Yes</t>
        </is>
      </c>
      <c r="Q850" s="26" t="inlineStr">
        <is>
          <t>No</t>
        </is>
      </c>
      <c r="R850" s="26" t="inlineStr">
        <is>
          <t>Good finish</t>
        </is>
      </c>
      <c r="S850" s="26" t="inlineStr">
        <is>
          <t>Yes</t>
        </is>
      </c>
      <c r="T850" s="27" t="n"/>
      <c r="U850" s="28" t="inlineStr">
        <is>
          <t>No</t>
        </is>
      </c>
      <c r="V850" s="29">
        <f>IF(N850="","",IF(Q850="Yes","❌ Disc",IF(P850="No","⚠ Missing",IF(S850="Yes","✓ OK","⚠ Check"))))</f>
        <v/>
      </c>
      <c r="W850" s="65" t="n">
        <v>46248</v>
      </c>
      <c r="X850" s="30" t="inlineStr">
        <is>
          <t>Sunil CR</t>
        </is>
      </c>
      <c r="Y850" s="30" t="inlineStr">
        <is>
          <t>Yes</t>
        </is>
      </c>
      <c r="Z850" s="30" t="n"/>
      <c r="AA850" s="30" t="inlineStr">
        <is>
          <t>Good finish</t>
        </is>
      </c>
      <c r="AB850" s="30" t="inlineStr">
        <is>
          <t>Yes</t>
        </is>
      </c>
      <c r="AC850" s="27" t="n"/>
      <c r="AD850" s="31" t="inlineStr">
        <is>
          <t>No</t>
        </is>
      </c>
      <c r="AE850" s="32">
        <f>IF(W850="","",IF(Z850="Yes","❌ Disc",IF(Y850="No","⚠ Missing",IF(AB850="Yes","✓ OK","⚠ Check"))))</f>
        <v/>
      </c>
      <c r="AF850" s="33" t="n"/>
      <c r="AG850" s="33" t="n"/>
      <c r="AH850" s="33" t="n"/>
      <c r="AI850" s="33" t="n"/>
      <c r="AJ850" s="33" t="n"/>
      <c r="AK850" s="33" t="n"/>
      <c r="AL850" s="27" t="n"/>
      <c r="AM850" s="34" t="n"/>
      <c r="AN850" s="35">
        <f>IF(AF850="","",IF(AI850="Yes","❌ Disc",IF(AH850="No","⚠ Missing",IF(AK850="Yes","✓ OK","⚠ Check"))))</f>
        <v/>
      </c>
      <c r="AO850" s="36" t="n"/>
      <c r="AP850" s="36" t="n"/>
      <c r="AQ850" s="36" t="n"/>
      <c r="AR850" s="36" t="n"/>
      <c r="AS850" s="36" t="n"/>
      <c r="AT850" s="36" t="n"/>
      <c r="AU850" s="27" t="n"/>
      <c r="AV850" s="37" t="n"/>
      <c r="AW850" s="38">
        <f>IF(AO850="","",IF(AR850="Yes","❌ Disc",IF(AQ850="No","⚠ Missing",IF(AT850="Yes","✓ OK","⚠ Check"))))</f>
        <v/>
      </c>
    </row>
    <row r="851" ht="18" customHeight="1" s="46">
      <c r="A851" s="23" t="n">
        <v>847</v>
      </c>
      <c r="B851" s="24" t="inlineStr">
        <is>
          <t>WP LNCCN1185880</t>
        </is>
      </c>
      <c r="C851" s="25" t="inlineStr">
        <is>
          <t>Life n Colors - London, Smart Animals in Jungle Background  -  Canvas - a texture paper</t>
        </is>
      </c>
      <c r="D851" s="23" t="inlineStr">
        <is>
          <t>Life n Colors</t>
        </is>
      </c>
      <c r="E851" s="43" t="n">
        <v>46126</v>
      </c>
      <c r="F851" s="26" t="inlineStr">
        <is>
          <t>Sunil CR</t>
        </is>
      </c>
      <c r="G851" s="26" t="inlineStr">
        <is>
          <t>Yes</t>
        </is>
      </c>
      <c r="H851" s="26" t="inlineStr">
        <is>
          <t>No</t>
        </is>
      </c>
      <c r="I851" s="26" t="inlineStr">
        <is>
          <t>Good finish</t>
        </is>
      </c>
      <c r="J851" s="26" t="inlineStr">
        <is>
          <t>Yes</t>
        </is>
      </c>
      <c r="K851" s="27" t="n"/>
      <c r="L851" s="28" t="inlineStr">
        <is>
          <t>No</t>
        </is>
      </c>
      <c r="M851" s="29">
        <f>IF(E851="","",IF(H851="Yes","❌ Disc",IF(G851="No","⚠ Missing",IF(J851="Yes","✓ OK","⚠ Check"))))</f>
        <v/>
      </c>
      <c r="N851" s="43" t="n">
        <v>46193</v>
      </c>
      <c r="O851" s="26" t="inlineStr">
        <is>
          <t>Sunil CR</t>
        </is>
      </c>
      <c r="P851" s="26" t="inlineStr">
        <is>
          <t>Yes</t>
        </is>
      </c>
      <c r="Q851" s="26" t="inlineStr">
        <is>
          <t>No</t>
        </is>
      </c>
      <c r="R851" s="26" t="inlineStr">
        <is>
          <t>Good finish</t>
        </is>
      </c>
      <c r="S851" s="26" t="inlineStr">
        <is>
          <t>Yes</t>
        </is>
      </c>
      <c r="T851" s="27" t="n"/>
      <c r="U851" s="28" t="inlineStr">
        <is>
          <t>No</t>
        </is>
      </c>
      <c r="V851" s="29">
        <f>IF(N851="","",IF(Q851="Yes","❌ Disc",IF(P851="No","⚠ Missing",IF(S851="Yes","✓ OK","⚠ Check"))))</f>
        <v/>
      </c>
      <c r="W851" s="65" t="n">
        <v>46248</v>
      </c>
      <c r="X851" s="30" t="inlineStr">
        <is>
          <t>Sunil CR</t>
        </is>
      </c>
      <c r="Y851" s="30" t="inlineStr">
        <is>
          <t>Yes</t>
        </is>
      </c>
      <c r="Z851" s="30" t="n"/>
      <c r="AA851" s="30" t="inlineStr">
        <is>
          <t>Good finish</t>
        </is>
      </c>
      <c r="AB851" s="30" t="inlineStr">
        <is>
          <t>Yes</t>
        </is>
      </c>
      <c r="AC851" s="27" t="n"/>
      <c r="AD851" s="31" t="inlineStr">
        <is>
          <t>No</t>
        </is>
      </c>
      <c r="AE851" s="32">
        <f>IF(W851="","",IF(Z851="Yes","❌ Disc",IF(Y851="No","⚠ Missing",IF(AB851="Yes","✓ OK","⚠ Check"))))</f>
        <v/>
      </c>
      <c r="AF851" s="33" t="n"/>
      <c r="AG851" s="33" t="n"/>
      <c r="AH851" s="33" t="n"/>
      <c r="AI851" s="33" t="n"/>
      <c r="AJ851" s="33" t="n"/>
      <c r="AK851" s="33" t="n"/>
      <c r="AL851" s="27" t="n"/>
      <c r="AM851" s="34" t="n"/>
      <c r="AN851" s="35">
        <f>IF(AF851="","",IF(AI851="Yes","❌ Disc",IF(AH851="No","⚠ Missing",IF(AK851="Yes","✓ OK","⚠ Check"))))</f>
        <v/>
      </c>
      <c r="AO851" s="36" t="n"/>
      <c r="AP851" s="36" t="n"/>
      <c r="AQ851" s="36" t="n"/>
      <c r="AR851" s="36" t="n"/>
      <c r="AS851" s="36" t="n"/>
      <c r="AT851" s="36" t="n"/>
      <c r="AU851" s="27" t="n"/>
      <c r="AV851" s="37" t="n"/>
      <c r="AW851" s="38">
        <f>IF(AO851="","",IF(AR851="Yes","❌ Disc",IF(AQ851="No","⚠ Missing",IF(AT851="Yes","✓ OK","⚠ Check"))))</f>
        <v/>
      </c>
    </row>
    <row r="852" ht="18" customHeight="1" s="46">
      <c r="A852" s="39" t="n">
        <v>848</v>
      </c>
      <c r="B852" s="40" t="inlineStr">
        <is>
          <t>WP LNCSF1185880</t>
        </is>
      </c>
      <c r="C852" s="41" t="inlineStr">
        <is>
          <t>Life n Colors - London, Smart Animals in Jungle Background  - Non-woven - a soft feel paper</t>
        </is>
      </c>
      <c r="D852" s="39" t="inlineStr">
        <is>
          <t>Life n Colors</t>
        </is>
      </c>
      <c r="E852" s="43" t="n">
        <v>46126</v>
      </c>
      <c r="F852" s="26" t="inlineStr">
        <is>
          <t>Sunil CR</t>
        </is>
      </c>
      <c r="G852" s="26" t="inlineStr">
        <is>
          <t>Yes</t>
        </is>
      </c>
      <c r="H852" s="26" t="inlineStr">
        <is>
          <t>No</t>
        </is>
      </c>
      <c r="I852" s="26" t="inlineStr">
        <is>
          <t>Good finish</t>
        </is>
      </c>
      <c r="J852" s="26" t="inlineStr">
        <is>
          <t>Yes</t>
        </is>
      </c>
      <c r="K852" s="27" t="n"/>
      <c r="L852" s="28" t="inlineStr">
        <is>
          <t>No</t>
        </is>
      </c>
      <c r="M852" s="29">
        <f>IF(E852="","",IF(H852="Yes","❌ Disc",IF(G852="No","⚠ Missing",IF(J852="Yes","✓ OK","⚠ Check"))))</f>
        <v/>
      </c>
      <c r="N852" s="43" t="n">
        <v>46193</v>
      </c>
      <c r="O852" s="26" t="inlineStr">
        <is>
          <t>Sunil CR</t>
        </is>
      </c>
      <c r="P852" s="26" t="inlineStr">
        <is>
          <t>Yes</t>
        </is>
      </c>
      <c r="Q852" s="26" t="inlineStr">
        <is>
          <t>No</t>
        </is>
      </c>
      <c r="R852" s="26" t="inlineStr">
        <is>
          <t>Good finish</t>
        </is>
      </c>
      <c r="S852" s="26" t="inlineStr">
        <is>
          <t>Yes</t>
        </is>
      </c>
      <c r="T852" s="27" t="n"/>
      <c r="U852" s="28" t="inlineStr">
        <is>
          <t>No</t>
        </is>
      </c>
      <c r="V852" s="29">
        <f>IF(N852="","",IF(Q852="Yes","❌ Disc",IF(P852="No","⚠ Missing",IF(S852="Yes","✓ OK","⚠ Check"))))</f>
        <v/>
      </c>
      <c r="W852" s="65" t="n">
        <v>46248</v>
      </c>
      <c r="X852" s="30" t="inlineStr">
        <is>
          <t>Sunil CR</t>
        </is>
      </c>
      <c r="Y852" s="30" t="inlineStr">
        <is>
          <t>Yes</t>
        </is>
      </c>
      <c r="Z852" s="30" t="n"/>
      <c r="AA852" s="30" t="inlineStr">
        <is>
          <t>Good finish</t>
        </is>
      </c>
      <c r="AB852" s="30" t="inlineStr">
        <is>
          <t>Yes</t>
        </is>
      </c>
      <c r="AC852" s="27" t="n"/>
      <c r="AD852" s="31" t="inlineStr">
        <is>
          <t>No</t>
        </is>
      </c>
      <c r="AE852" s="32">
        <f>IF(W852="","",IF(Z852="Yes","❌ Disc",IF(Y852="No","⚠ Missing",IF(AB852="Yes","✓ OK","⚠ Check"))))</f>
        <v/>
      </c>
      <c r="AF852" s="33" t="n"/>
      <c r="AG852" s="33" t="n"/>
      <c r="AH852" s="33" t="n"/>
      <c r="AI852" s="33" t="n"/>
      <c r="AJ852" s="33" t="n"/>
      <c r="AK852" s="33" t="n"/>
      <c r="AL852" s="27" t="n"/>
      <c r="AM852" s="34" t="n"/>
      <c r="AN852" s="35">
        <f>IF(AF852="","",IF(AI852="Yes","❌ Disc",IF(AH852="No","⚠ Missing",IF(AK852="Yes","✓ OK","⚠ Check"))))</f>
        <v/>
      </c>
      <c r="AO852" s="36" t="n"/>
      <c r="AP852" s="36" t="n"/>
      <c r="AQ852" s="36" t="n"/>
      <c r="AR852" s="36" t="n"/>
      <c r="AS852" s="36" t="n"/>
      <c r="AT852" s="36" t="n"/>
      <c r="AU852" s="27" t="n"/>
      <c r="AV852" s="37" t="n"/>
      <c r="AW852" s="38">
        <f>IF(AO852="","",IF(AR852="Yes","❌ Disc",IF(AQ852="No","⚠ Missing",IF(AT852="Yes","✓ OK","⚠ Check"))))</f>
        <v/>
      </c>
    </row>
    <row r="853" ht="18" customHeight="1" s="46">
      <c r="A853" s="23" t="n">
        <v>849</v>
      </c>
      <c r="B853" s="24" t="inlineStr">
        <is>
          <t>WP LNCCN1037473</t>
        </is>
      </c>
      <c r="C853" s="25" t="inlineStr">
        <is>
          <t>Life n Colors - Marble Stone Wallpaper, Abstract Design Pattern  -  Canvas - a texture paper</t>
        </is>
      </c>
      <c r="D853" s="23" t="inlineStr">
        <is>
          <t>Life n Colors</t>
        </is>
      </c>
      <c r="E853" s="43" t="n">
        <v>46126</v>
      </c>
      <c r="F853" s="26" t="inlineStr">
        <is>
          <t>Sunil CR</t>
        </is>
      </c>
      <c r="G853" s="26" t="inlineStr">
        <is>
          <t>Yes</t>
        </is>
      </c>
      <c r="H853" s="26" t="inlineStr">
        <is>
          <t>No</t>
        </is>
      </c>
      <c r="I853" s="26" t="inlineStr">
        <is>
          <t>Good finish</t>
        </is>
      </c>
      <c r="J853" s="26" t="inlineStr">
        <is>
          <t>Yes</t>
        </is>
      </c>
      <c r="K853" s="27" t="n"/>
      <c r="L853" s="28" t="inlineStr">
        <is>
          <t>No</t>
        </is>
      </c>
      <c r="M853" s="29">
        <f>IF(E853="","",IF(H853="Yes","❌ Disc",IF(G853="No","⚠ Missing",IF(J853="Yes","✓ OK","⚠ Check"))))</f>
        <v/>
      </c>
      <c r="N853" s="43" t="n">
        <v>46193</v>
      </c>
      <c r="O853" s="26" t="inlineStr">
        <is>
          <t>Sunil CR</t>
        </is>
      </c>
      <c r="P853" s="26" t="inlineStr">
        <is>
          <t>Yes</t>
        </is>
      </c>
      <c r="Q853" s="26" t="inlineStr">
        <is>
          <t>No</t>
        </is>
      </c>
      <c r="R853" s="26" t="inlineStr">
        <is>
          <t>Good finish</t>
        </is>
      </c>
      <c r="S853" s="26" t="inlineStr">
        <is>
          <t>Yes</t>
        </is>
      </c>
      <c r="T853" s="27" t="n"/>
      <c r="U853" s="28" t="inlineStr">
        <is>
          <t>No</t>
        </is>
      </c>
      <c r="V853" s="29">
        <f>IF(N853="","",IF(Q853="Yes","❌ Disc",IF(P853="No","⚠ Missing",IF(S853="Yes","✓ OK","⚠ Check"))))</f>
        <v/>
      </c>
      <c r="W853" s="65" t="n">
        <v>46248</v>
      </c>
      <c r="X853" s="30" t="inlineStr">
        <is>
          <t>Sunil CR</t>
        </is>
      </c>
      <c r="Y853" s="30" t="inlineStr">
        <is>
          <t>Yes</t>
        </is>
      </c>
      <c r="Z853" s="30" t="n"/>
      <c r="AA853" s="30" t="inlineStr">
        <is>
          <t>Good finish</t>
        </is>
      </c>
      <c r="AB853" s="30" t="inlineStr">
        <is>
          <t>Yes</t>
        </is>
      </c>
      <c r="AC853" s="27" t="n"/>
      <c r="AD853" s="31" t="inlineStr">
        <is>
          <t>No</t>
        </is>
      </c>
      <c r="AE853" s="32">
        <f>IF(W853="","",IF(Z853="Yes","❌ Disc",IF(Y853="No","⚠ Missing",IF(AB853="Yes","✓ OK","⚠ Check"))))</f>
        <v/>
      </c>
      <c r="AF853" s="33" t="n"/>
      <c r="AG853" s="33" t="n"/>
      <c r="AH853" s="33" t="n"/>
      <c r="AI853" s="33" t="n"/>
      <c r="AJ853" s="33" t="n"/>
      <c r="AK853" s="33" t="n"/>
      <c r="AL853" s="27" t="n"/>
      <c r="AM853" s="34" t="n"/>
      <c r="AN853" s="35">
        <f>IF(AF853="","",IF(AI853="Yes","❌ Disc",IF(AH853="No","⚠ Missing",IF(AK853="Yes","✓ OK","⚠ Check"))))</f>
        <v/>
      </c>
      <c r="AO853" s="36" t="n"/>
      <c r="AP853" s="36" t="n"/>
      <c r="AQ853" s="36" t="n"/>
      <c r="AR853" s="36" t="n"/>
      <c r="AS853" s="36" t="n"/>
      <c r="AT853" s="36" t="n"/>
      <c r="AU853" s="27" t="n"/>
      <c r="AV853" s="37" t="n"/>
      <c r="AW853" s="38">
        <f>IF(AO853="","",IF(AR853="Yes","❌ Disc",IF(AQ853="No","⚠ Missing",IF(AT853="Yes","✓ OK","⚠ Check"))))</f>
        <v/>
      </c>
    </row>
    <row r="854" ht="18" customHeight="1" s="46">
      <c r="A854" s="39" t="n">
        <v>850</v>
      </c>
      <c r="B854" s="40" t="inlineStr">
        <is>
          <t>WP LNCSF1037473</t>
        </is>
      </c>
      <c r="C854" s="41" t="inlineStr">
        <is>
          <t>Life n Colors - Marble Stone Wallpaper, Abstract Design Pattern  - Non-woven - a soft feel paper</t>
        </is>
      </c>
      <c r="D854" s="39" t="inlineStr">
        <is>
          <t>Life n Colors</t>
        </is>
      </c>
      <c r="E854" s="43" t="n">
        <v>46126</v>
      </c>
      <c r="F854" s="26" t="inlineStr">
        <is>
          <t>Sunil CR</t>
        </is>
      </c>
      <c r="G854" s="26" t="inlineStr">
        <is>
          <t>Yes</t>
        </is>
      </c>
      <c r="H854" s="26" t="inlineStr">
        <is>
          <t>No</t>
        </is>
      </c>
      <c r="I854" s="26" t="inlineStr">
        <is>
          <t>Good finish</t>
        </is>
      </c>
      <c r="J854" s="26" t="inlineStr">
        <is>
          <t>Yes</t>
        </is>
      </c>
      <c r="K854" s="27" t="n"/>
      <c r="L854" s="28" t="inlineStr">
        <is>
          <t>No</t>
        </is>
      </c>
      <c r="M854" s="29">
        <f>IF(E854="","",IF(H854="Yes","❌ Disc",IF(G854="No","⚠ Missing",IF(J854="Yes","✓ OK","⚠ Check"))))</f>
        <v/>
      </c>
      <c r="N854" s="43" t="n">
        <v>46193</v>
      </c>
      <c r="O854" s="26" t="inlineStr">
        <is>
          <t>Sunil CR</t>
        </is>
      </c>
      <c r="P854" s="26" t="inlineStr">
        <is>
          <t>Yes</t>
        </is>
      </c>
      <c r="Q854" s="26" t="inlineStr">
        <is>
          <t>No</t>
        </is>
      </c>
      <c r="R854" s="26" t="inlineStr">
        <is>
          <t>Good finish</t>
        </is>
      </c>
      <c r="S854" s="26" t="inlineStr">
        <is>
          <t>Yes</t>
        </is>
      </c>
      <c r="T854" s="27" t="n"/>
      <c r="U854" s="28" t="inlineStr">
        <is>
          <t>No</t>
        </is>
      </c>
      <c r="V854" s="29">
        <f>IF(N854="","",IF(Q854="Yes","❌ Disc",IF(P854="No","⚠ Missing",IF(S854="Yes","✓ OK","⚠ Check"))))</f>
        <v/>
      </c>
      <c r="W854" s="65" t="n">
        <v>46248</v>
      </c>
      <c r="X854" s="30" t="inlineStr">
        <is>
          <t>Sunil CR</t>
        </is>
      </c>
      <c r="Y854" s="30" t="inlineStr">
        <is>
          <t>Yes</t>
        </is>
      </c>
      <c r="Z854" s="30" t="n"/>
      <c r="AA854" s="30" t="inlineStr">
        <is>
          <t>Good finish</t>
        </is>
      </c>
      <c r="AB854" s="30" t="inlineStr">
        <is>
          <t>Yes</t>
        </is>
      </c>
      <c r="AC854" s="27" t="n"/>
      <c r="AD854" s="31" t="inlineStr">
        <is>
          <t>No</t>
        </is>
      </c>
      <c r="AE854" s="32">
        <f>IF(W854="","",IF(Z854="Yes","❌ Disc",IF(Y854="No","⚠ Missing",IF(AB854="Yes","✓ OK","⚠ Check"))))</f>
        <v/>
      </c>
      <c r="AF854" s="33" t="n"/>
      <c r="AG854" s="33" t="n"/>
      <c r="AH854" s="33" t="n"/>
      <c r="AI854" s="33" t="n"/>
      <c r="AJ854" s="33" t="n"/>
      <c r="AK854" s="33" t="n"/>
      <c r="AL854" s="27" t="n"/>
      <c r="AM854" s="34" t="n"/>
      <c r="AN854" s="35">
        <f>IF(AF854="","",IF(AI854="Yes","❌ Disc",IF(AH854="No","⚠ Missing",IF(AK854="Yes","✓ OK","⚠ Check"))))</f>
        <v/>
      </c>
      <c r="AO854" s="36" t="n"/>
      <c r="AP854" s="36" t="n"/>
      <c r="AQ854" s="36" t="n"/>
      <c r="AR854" s="36" t="n"/>
      <c r="AS854" s="36" t="n"/>
      <c r="AT854" s="36" t="n"/>
      <c r="AU854" s="27" t="n"/>
      <c r="AV854" s="37" t="n"/>
      <c r="AW854" s="38">
        <f>IF(AO854="","",IF(AR854="Yes","❌ Disc",IF(AQ854="No","⚠ Missing",IF(AT854="Yes","✓ OK","⚠ Check"))))</f>
        <v/>
      </c>
    </row>
    <row r="855" ht="18" customHeight="1" s="46">
      <c r="A855" s="23" t="n">
        <v>851</v>
      </c>
      <c r="B855" s="24" t="inlineStr">
        <is>
          <t>WP LNCCN1098544</t>
        </is>
      </c>
      <c r="C855" s="25" t="inlineStr">
        <is>
          <t>Life n Colors - Marching Animals on Rope Theme for Kids Room  -  Canvas - a texture paper</t>
        </is>
      </c>
      <c r="D855" s="23" t="inlineStr">
        <is>
          <t>Life n Colors</t>
        </is>
      </c>
      <c r="E855" s="43" t="n">
        <v>46126</v>
      </c>
      <c r="F855" s="26" t="inlineStr">
        <is>
          <t>Sunil CR</t>
        </is>
      </c>
      <c r="G855" s="26" t="inlineStr">
        <is>
          <t>Yes</t>
        </is>
      </c>
      <c r="H855" s="26" t="inlineStr">
        <is>
          <t>No</t>
        </is>
      </c>
      <c r="I855" s="26" t="inlineStr">
        <is>
          <t>Good finish</t>
        </is>
      </c>
      <c r="J855" s="26" t="inlineStr">
        <is>
          <t>Yes</t>
        </is>
      </c>
      <c r="K855" s="27" t="n"/>
      <c r="L855" s="28" t="inlineStr">
        <is>
          <t>No</t>
        </is>
      </c>
      <c r="M855" s="29">
        <f>IF(E855="","",IF(H855="Yes","❌ Disc",IF(G855="No","⚠ Missing",IF(J855="Yes","✓ OK","⚠ Check"))))</f>
        <v/>
      </c>
      <c r="N855" s="43" t="n">
        <v>46193</v>
      </c>
      <c r="O855" s="26" t="inlineStr">
        <is>
          <t>Sunil CR</t>
        </is>
      </c>
      <c r="P855" s="26" t="inlineStr">
        <is>
          <t>Yes</t>
        </is>
      </c>
      <c r="Q855" s="26" t="inlineStr">
        <is>
          <t>No</t>
        </is>
      </c>
      <c r="R855" s="26" t="inlineStr">
        <is>
          <t>Good finish</t>
        </is>
      </c>
      <c r="S855" s="26" t="inlineStr">
        <is>
          <t>Yes</t>
        </is>
      </c>
      <c r="T855" s="27" t="n"/>
      <c r="U855" s="28" t="inlineStr">
        <is>
          <t>No</t>
        </is>
      </c>
      <c r="V855" s="29">
        <f>IF(N855="","",IF(Q855="Yes","❌ Disc",IF(P855="No","⚠ Missing",IF(S855="Yes","✓ OK","⚠ Check"))))</f>
        <v/>
      </c>
      <c r="W855" s="65" t="n">
        <v>46248</v>
      </c>
      <c r="X855" s="30" t="inlineStr">
        <is>
          <t>Sunil CR</t>
        </is>
      </c>
      <c r="Y855" s="30" t="inlineStr">
        <is>
          <t>Yes</t>
        </is>
      </c>
      <c r="Z855" s="30" t="n"/>
      <c r="AA855" s="30" t="inlineStr">
        <is>
          <t>Good finish</t>
        </is>
      </c>
      <c r="AB855" s="30" t="inlineStr">
        <is>
          <t>Yes</t>
        </is>
      </c>
      <c r="AC855" s="27" t="n"/>
      <c r="AD855" s="31" t="inlineStr">
        <is>
          <t>No</t>
        </is>
      </c>
      <c r="AE855" s="32">
        <f>IF(W855="","",IF(Z855="Yes","❌ Disc",IF(Y855="No","⚠ Missing",IF(AB855="Yes","✓ OK","⚠ Check"))))</f>
        <v/>
      </c>
      <c r="AF855" s="33" t="n"/>
      <c r="AG855" s="33" t="n"/>
      <c r="AH855" s="33" t="n"/>
      <c r="AI855" s="33" t="n"/>
      <c r="AJ855" s="33" t="n"/>
      <c r="AK855" s="33" t="n"/>
      <c r="AL855" s="27" t="n"/>
      <c r="AM855" s="34" t="n"/>
      <c r="AN855" s="35">
        <f>IF(AF855="","",IF(AI855="Yes","❌ Disc",IF(AH855="No","⚠ Missing",IF(AK855="Yes","✓ OK","⚠ Check"))))</f>
        <v/>
      </c>
      <c r="AO855" s="36" t="n"/>
      <c r="AP855" s="36" t="n"/>
      <c r="AQ855" s="36" t="n"/>
      <c r="AR855" s="36" t="n"/>
      <c r="AS855" s="36" t="n"/>
      <c r="AT855" s="36" t="n"/>
      <c r="AU855" s="27" t="n"/>
      <c r="AV855" s="37" t="n"/>
      <c r="AW855" s="38">
        <f>IF(AO855="","",IF(AR855="Yes","❌ Disc",IF(AQ855="No","⚠ Missing",IF(AT855="Yes","✓ OK","⚠ Check"))))</f>
        <v/>
      </c>
    </row>
    <row r="856" ht="18" customHeight="1" s="46">
      <c r="A856" s="39" t="n">
        <v>852</v>
      </c>
      <c r="B856" s="40" t="inlineStr">
        <is>
          <t>WP LNCSF1098544</t>
        </is>
      </c>
      <c r="C856" s="41" t="inlineStr">
        <is>
          <t>Life n Colors - Marching Animals on Rope Theme for Kids Room  - Non-woven - a soft feel paper</t>
        </is>
      </c>
      <c r="D856" s="39" t="inlineStr">
        <is>
          <t>Life n Colors</t>
        </is>
      </c>
      <c r="E856" s="43" t="n">
        <v>46126</v>
      </c>
      <c r="F856" s="26" t="inlineStr">
        <is>
          <t>Sunil CR</t>
        </is>
      </c>
      <c r="G856" s="26" t="inlineStr">
        <is>
          <t>Yes</t>
        </is>
      </c>
      <c r="H856" s="26" t="inlineStr">
        <is>
          <t>No</t>
        </is>
      </c>
      <c r="I856" s="26" t="inlineStr">
        <is>
          <t>Good finish</t>
        </is>
      </c>
      <c r="J856" s="26" t="inlineStr">
        <is>
          <t>Yes</t>
        </is>
      </c>
      <c r="K856" s="27" t="n"/>
      <c r="L856" s="28" t="inlineStr">
        <is>
          <t>No</t>
        </is>
      </c>
      <c r="M856" s="29">
        <f>IF(E856="","",IF(H856="Yes","❌ Disc",IF(G856="No","⚠ Missing",IF(J856="Yes","✓ OK","⚠ Check"))))</f>
        <v/>
      </c>
      <c r="N856" s="43" t="n">
        <v>46193</v>
      </c>
      <c r="O856" s="26" t="inlineStr">
        <is>
          <t>Sunil CR</t>
        </is>
      </c>
      <c r="P856" s="26" t="inlineStr">
        <is>
          <t>Yes</t>
        </is>
      </c>
      <c r="Q856" s="26" t="inlineStr">
        <is>
          <t>No</t>
        </is>
      </c>
      <c r="R856" s="26" t="inlineStr">
        <is>
          <t>Good finish</t>
        </is>
      </c>
      <c r="S856" s="26" t="inlineStr">
        <is>
          <t>Yes</t>
        </is>
      </c>
      <c r="T856" s="27" t="n"/>
      <c r="U856" s="28" t="inlineStr">
        <is>
          <t>No</t>
        </is>
      </c>
      <c r="V856" s="29">
        <f>IF(N856="","",IF(Q856="Yes","❌ Disc",IF(P856="No","⚠ Missing",IF(S856="Yes","✓ OK","⚠ Check"))))</f>
        <v/>
      </c>
      <c r="W856" s="65" t="n">
        <v>46248</v>
      </c>
      <c r="X856" s="30" t="inlineStr">
        <is>
          <t>Sunil CR</t>
        </is>
      </c>
      <c r="Y856" s="30" t="inlineStr">
        <is>
          <t>Yes</t>
        </is>
      </c>
      <c r="Z856" s="30" t="n"/>
      <c r="AA856" s="30" t="inlineStr">
        <is>
          <t>Good finish</t>
        </is>
      </c>
      <c r="AB856" s="30" t="inlineStr">
        <is>
          <t>Yes</t>
        </is>
      </c>
      <c r="AC856" s="27" t="n"/>
      <c r="AD856" s="31" t="inlineStr">
        <is>
          <t>No</t>
        </is>
      </c>
      <c r="AE856" s="32">
        <f>IF(W856="","",IF(Z856="Yes","❌ Disc",IF(Y856="No","⚠ Missing",IF(AB856="Yes","✓ OK","⚠ Check"))))</f>
        <v/>
      </c>
      <c r="AF856" s="33" t="n"/>
      <c r="AG856" s="33" t="n"/>
      <c r="AH856" s="33" t="n"/>
      <c r="AI856" s="33" t="n"/>
      <c r="AJ856" s="33" t="n"/>
      <c r="AK856" s="33" t="n"/>
      <c r="AL856" s="27" t="n"/>
      <c r="AM856" s="34" t="n"/>
      <c r="AN856" s="35">
        <f>IF(AF856="","",IF(AI856="Yes","❌ Disc",IF(AH856="No","⚠ Missing",IF(AK856="Yes","✓ OK","⚠ Check"))))</f>
        <v/>
      </c>
      <c r="AO856" s="36" t="n"/>
      <c r="AP856" s="36" t="n"/>
      <c r="AQ856" s="36" t="n"/>
      <c r="AR856" s="36" t="n"/>
      <c r="AS856" s="36" t="n"/>
      <c r="AT856" s="36" t="n"/>
      <c r="AU856" s="27" t="n"/>
      <c r="AV856" s="37" t="n"/>
      <c r="AW856" s="38">
        <f>IF(AO856="","",IF(AR856="Yes","❌ Disc",IF(AQ856="No","⚠ Missing",IF(AT856="Yes","✓ OK","⚠ Check"))))</f>
        <v/>
      </c>
    </row>
    <row r="857" ht="18" customHeight="1" s="46">
      <c r="A857" s="23" t="n">
        <v>853</v>
      </c>
      <c r="B857" s="24" t="inlineStr">
        <is>
          <t>WP LNCCN1019564</t>
        </is>
      </c>
      <c r="C857" s="25" t="inlineStr">
        <is>
          <t>Life n Colors - Maroon Indian Print Wallpaper for Rooms, Customised  -  Canvas - a texture paper</t>
        </is>
      </c>
      <c r="D857" s="23" t="inlineStr">
        <is>
          <t>Life n Colors</t>
        </is>
      </c>
      <c r="E857" s="43" t="n">
        <v>46126</v>
      </c>
      <c r="F857" s="26" t="inlineStr">
        <is>
          <t>Sunil CR</t>
        </is>
      </c>
      <c r="G857" s="26" t="inlineStr">
        <is>
          <t>Yes</t>
        </is>
      </c>
      <c r="H857" s="26" t="inlineStr">
        <is>
          <t>No</t>
        </is>
      </c>
      <c r="I857" s="26" t="inlineStr">
        <is>
          <t>Good finish</t>
        </is>
      </c>
      <c r="J857" s="26" t="inlineStr">
        <is>
          <t>Yes</t>
        </is>
      </c>
      <c r="K857" s="27" t="n"/>
      <c r="L857" s="28" t="inlineStr">
        <is>
          <t>No</t>
        </is>
      </c>
      <c r="M857" s="29">
        <f>IF(E857="","",IF(H857="Yes","❌ Disc",IF(G857="No","⚠ Missing",IF(J857="Yes","✓ OK","⚠ Check"))))</f>
        <v/>
      </c>
      <c r="N857" s="43" t="n">
        <v>46193</v>
      </c>
      <c r="O857" s="26" t="inlineStr">
        <is>
          <t>Sunil CR</t>
        </is>
      </c>
      <c r="P857" s="26" t="inlineStr">
        <is>
          <t>Yes</t>
        </is>
      </c>
      <c r="Q857" s="26" t="inlineStr">
        <is>
          <t>No</t>
        </is>
      </c>
      <c r="R857" s="26" t="inlineStr">
        <is>
          <t>Good finish</t>
        </is>
      </c>
      <c r="S857" s="26" t="inlineStr">
        <is>
          <t>Yes</t>
        </is>
      </c>
      <c r="T857" s="27" t="n"/>
      <c r="U857" s="28" t="inlineStr">
        <is>
          <t>No</t>
        </is>
      </c>
      <c r="V857" s="29">
        <f>IF(N857="","",IF(Q857="Yes","❌ Disc",IF(P857="No","⚠ Missing",IF(S857="Yes","✓ OK","⚠ Check"))))</f>
        <v/>
      </c>
      <c r="W857" s="65" t="n">
        <v>46248</v>
      </c>
      <c r="X857" s="30" t="inlineStr">
        <is>
          <t>Sunil CR</t>
        </is>
      </c>
      <c r="Y857" s="30" t="inlineStr">
        <is>
          <t>Yes</t>
        </is>
      </c>
      <c r="Z857" s="30" t="n"/>
      <c r="AA857" s="30" t="inlineStr">
        <is>
          <t>Good finish</t>
        </is>
      </c>
      <c r="AB857" s="30" t="inlineStr">
        <is>
          <t>Yes</t>
        </is>
      </c>
      <c r="AC857" s="27" t="n"/>
      <c r="AD857" s="31" t="inlineStr">
        <is>
          <t>No</t>
        </is>
      </c>
      <c r="AE857" s="32">
        <f>IF(W857="","",IF(Z857="Yes","❌ Disc",IF(Y857="No","⚠ Missing",IF(AB857="Yes","✓ OK","⚠ Check"))))</f>
        <v/>
      </c>
      <c r="AF857" s="33" t="n"/>
      <c r="AG857" s="33" t="n"/>
      <c r="AH857" s="33" t="n"/>
      <c r="AI857" s="33" t="n"/>
      <c r="AJ857" s="33" t="n"/>
      <c r="AK857" s="33" t="n"/>
      <c r="AL857" s="27" t="n"/>
      <c r="AM857" s="34" t="n"/>
      <c r="AN857" s="35">
        <f>IF(AF857="","",IF(AI857="Yes","❌ Disc",IF(AH857="No","⚠ Missing",IF(AK857="Yes","✓ OK","⚠ Check"))))</f>
        <v/>
      </c>
      <c r="AO857" s="36" t="n"/>
      <c r="AP857" s="36" t="n"/>
      <c r="AQ857" s="36" t="n"/>
      <c r="AR857" s="36" t="n"/>
      <c r="AS857" s="36" t="n"/>
      <c r="AT857" s="36" t="n"/>
      <c r="AU857" s="27" t="n"/>
      <c r="AV857" s="37" t="n"/>
      <c r="AW857" s="38">
        <f>IF(AO857="","",IF(AR857="Yes","❌ Disc",IF(AQ857="No","⚠ Missing",IF(AT857="Yes","✓ OK","⚠ Check"))))</f>
        <v/>
      </c>
    </row>
    <row r="858" ht="18" customHeight="1" s="46">
      <c r="A858" s="39" t="n">
        <v>854</v>
      </c>
      <c r="B858" s="40" t="inlineStr">
        <is>
          <t>WP LNCSF1019564</t>
        </is>
      </c>
      <c r="C858" s="41" t="inlineStr">
        <is>
          <t>Life n Colors - Maroon Indian Print Wallpaper for Rooms, Customised  - Non-woven - a soft feel paper</t>
        </is>
      </c>
      <c r="D858" s="39" t="inlineStr">
        <is>
          <t>Life n Colors</t>
        </is>
      </c>
      <c r="E858" s="43" t="n">
        <v>46126</v>
      </c>
      <c r="F858" s="26" t="inlineStr">
        <is>
          <t>Sunil CR</t>
        </is>
      </c>
      <c r="G858" s="26" t="inlineStr">
        <is>
          <t>Yes</t>
        </is>
      </c>
      <c r="H858" s="26" t="inlineStr">
        <is>
          <t>No</t>
        </is>
      </c>
      <c r="I858" s="26" t="inlineStr">
        <is>
          <t>Good finish</t>
        </is>
      </c>
      <c r="J858" s="26" t="inlineStr">
        <is>
          <t>Yes</t>
        </is>
      </c>
      <c r="K858" s="27" t="n"/>
      <c r="L858" s="28" t="inlineStr">
        <is>
          <t>No</t>
        </is>
      </c>
      <c r="M858" s="29">
        <f>IF(E858="","",IF(H858="Yes","❌ Disc",IF(G858="No","⚠ Missing",IF(J858="Yes","✓ OK","⚠ Check"))))</f>
        <v/>
      </c>
      <c r="N858" s="43" t="n">
        <v>46193</v>
      </c>
      <c r="O858" s="26" t="inlineStr">
        <is>
          <t>Sunil CR</t>
        </is>
      </c>
      <c r="P858" s="26" t="inlineStr">
        <is>
          <t>Yes</t>
        </is>
      </c>
      <c r="Q858" s="26" t="inlineStr">
        <is>
          <t>No</t>
        </is>
      </c>
      <c r="R858" s="26" t="inlineStr">
        <is>
          <t>Good finish</t>
        </is>
      </c>
      <c r="S858" s="26" t="inlineStr">
        <is>
          <t>Yes</t>
        </is>
      </c>
      <c r="T858" s="27" t="n"/>
      <c r="U858" s="28" t="inlineStr">
        <is>
          <t>No</t>
        </is>
      </c>
      <c r="V858" s="29">
        <f>IF(N858="","",IF(Q858="Yes","❌ Disc",IF(P858="No","⚠ Missing",IF(S858="Yes","✓ OK","⚠ Check"))))</f>
        <v/>
      </c>
      <c r="W858" s="65" t="n">
        <v>46248</v>
      </c>
      <c r="X858" s="30" t="inlineStr">
        <is>
          <t>Sunil CR</t>
        </is>
      </c>
      <c r="Y858" s="30" t="inlineStr">
        <is>
          <t>Yes</t>
        </is>
      </c>
      <c r="Z858" s="30" t="n"/>
      <c r="AA858" s="30" t="inlineStr">
        <is>
          <t>Good finish</t>
        </is>
      </c>
      <c r="AB858" s="30" t="inlineStr">
        <is>
          <t>Yes</t>
        </is>
      </c>
      <c r="AC858" s="27" t="n"/>
      <c r="AD858" s="31" t="inlineStr">
        <is>
          <t>No</t>
        </is>
      </c>
      <c r="AE858" s="32">
        <f>IF(W858="","",IF(Z858="Yes","❌ Disc",IF(Y858="No","⚠ Missing",IF(AB858="Yes","✓ OK","⚠ Check"))))</f>
        <v/>
      </c>
      <c r="AF858" s="33" t="n"/>
      <c r="AG858" s="33" t="n"/>
      <c r="AH858" s="33" t="n"/>
      <c r="AI858" s="33" t="n"/>
      <c r="AJ858" s="33" t="n"/>
      <c r="AK858" s="33" t="n"/>
      <c r="AL858" s="27" t="n"/>
      <c r="AM858" s="34" t="n"/>
      <c r="AN858" s="35">
        <f>IF(AF858="","",IF(AI858="Yes","❌ Disc",IF(AH858="No","⚠ Missing",IF(AK858="Yes","✓ OK","⚠ Check"))))</f>
        <v/>
      </c>
      <c r="AO858" s="36" t="n"/>
      <c r="AP858" s="36" t="n"/>
      <c r="AQ858" s="36" t="n"/>
      <c r="AR858" s="36" t="n"/>
      <c r="AS858" s="36" t="n"/>
      <c r="AT858" s="36" t="n"/>
      <c r="AU858" s="27" t="n"/>
      <c r="AV858" s="37" t="n"/>
      <c r="AW858" s="38">
        <f>IF(AO858="","",IF(AR858="Yes","❌ Disc",IF(AQ858="No","⚠ Missing",IF(AT858="Yes","✓ OK","⚠ Check"))))</f>
        <v/>
      </c>
    </row>
    <row r="859" ht="18" customHeight="1" s="46">
      <c r="A859" s="23" t="n">
        <v>855</v>
      </c>
      <c r="B859" s="24" t="inlineStr">
        <is>
          <t>WP LNCCN1029808</t>
        </is>
      </c>
      <c r="C859" s="25" t="inlineStr">
        <is>
          <t>Life n Colors - Marvel Super Heros, Avengers Wallpaper for Walls  -  Canvas - a texture paper</t>
        </is>
      </c>
      <c r="D859" s="23" t="inlineStr">
        <is>
          <t>Life n Colors</t>
        </is>
      </c>
      <c r="E859" s="43" t="n">
        <v>46126</v>
      </c>
      <c r="F859" s="26" t="inlineStr">
        <is>
          <t>Sunil CR</t>
        </is>
      </c>
      <c r="G859" s="26" t="inlineStr">
        <is>
          <t>Yes</t>
        </is>
      </c>
      <c r="H859" s="26" t="inlineStr">
        <is>
          <t>No</t>
        </is>
      </c>
      <c r="I859" s="26" t="inlineStr">
        <is>
          <t>Good finish</t>
        </is>
      </c>
      <c r="J859" s="26" t="inlineStr">
        <is>
          <t>Yes</t>
        </is>
      </c>
      <c r="K859" s="27" t="n"/>
      <c r="L859" s="28" t="inlineStr">
        <is>
          <t>No</t>
        </is>
      </c>
      <c r="M859" s="29">
        <f>IF(E859="","",IF(H859="Yes","❌ Disc",IF(G859="No","⚠ Missing",IF(J859="Yes","✓ OK","⚠ Check"))))</f>
        <v/>
      </c>
      <c r="N859" s="43" t="n">
        <v>46193</v>
      </c>
      <c r="O859" s="26" t="inlineStr">
        <is>
          <t>Sunil CR</t>
        </is>
      </c>
      <c r="P859" s="26" t="inlineStr">
        <is>
          <t>Yes</t>
        </is>
      </c>
      <c r="Q859" s="26" t="inlineStr">
        <is>
          <t>No</t>
        </is>
      </c>
      <c r="R859" s="26" t="inlineStr">
        <is>
          <t>Good finish</t>
        </is>
      </c>
      <c r="S859" s="26" t="inlineStr">
        <is>
          <t>Yes</t>
        </is>
      </c>
      <c r="T859" s="27" t="n"/>
      <c r="U859" s="28" t="inlineStr">
        <is>
          <t>No</t>
        </is>
      </c>
      <c r="V859" s="29">
        <f>IF(N859="","",IF(Q859="Yes","❌ Disc",IF(P859="No","⚠ Missing",IF(S859="Yes","✓ OK","⚠ Check"))))</f>
        <v/>
      </c>
      <c r="W859" s="65" t="n">
        <v>46248</v>
      </c>
      <c r="X859" s="30" t="inlineStr">
        <is>
          <t>Sunil CR</t>
        </is>
      </c>
      <c r="Y859" s="30" t="inlineStr">
        <is>
          <t>Yes</t>
        </is>
      </c>
      <c r="Z859" s="30" t="n"/>
      <c r="AA859" s="30" t="inlineStr">
        <is>
          <t>Good finish</t>
        </is>
      </c>
      <c r="AB859" s="30" t="inlineStr">
        <is>
          <t>Yes</t>
        </is>
      </c>
      <c r="AC859" s="27" t="n"/>
      <c r="AD859" s="31" t="inlineStr">
        <is>
          <t>No</t>
        </is>
      </c>
      <c r="AE859" s="32">
        <f>IF(W859="","",IF(Z859="Yes","❌ Disc",IF(Y859="No","⚠ Missing",IF(AB859="Yes","✓ OK","⚠ Check"))))</f>
        <v/>
      </c>
      <c r="AF859" s="33" t="n"/>
      <c r="AG859" s="33" t="n"/>
      <c r="AH859" s="33" t="n"/>
      <c r="AI859" s="33" t="n"/>
      <c r="AJ859" s="33" t="n"/>
      <c r="AK859" s="33" t="n"/>
      <c r="AL859" s="27" t="n"/>
      <c r="AM859" s="34" t="n"/>
      <c r="AN859" s="35">
        <f>IF(AF859="","",IF(AI859="Yes","❌ Disc",IF(AH859="No","⚠ Missing",IF(AK859="Yes","✓ OK","⚠ Check"))))</f>
        <v/>
      </c>
      <c r="AO859" s="36" t="n"/>
      <c r="AP859" s="36" t="n"/>
      <c r="AQ859" s="36" t="n"/>
      <c r="AR859" s="36" t="n"/>
      <c r="AS859" s="36" t="n"/>
      <c r="AT859" s="36" t="n"/>
      <c r="AU859" s="27" t="n"/>
      <c r="AV859" s="37" t="n"/>
      <c r="AW859" s="38">
        <f>IF(AO859="","",IF(AR859="Yes","❌ Disc",IF(AQ859="No","⚠ Missing",IF(AT859="Yes","✓ OK","⚠ Check"))))</f>
        <v/>
      </c>
    </row>
    <row r="860" ht="18" customHeight="1" s="46">
      <c r="A860" s="39" t="n">
        <v>856</v>
      </c>
      <c r="B860" s="40" t="inlineStr">
        <is>
          <t>WP LNCSF1029808</t>
        </is>
      </c>
      <c r="C860" s="41" t="inlineStr">
        <is>
          <t>Life n Colors - Marvel Super Heros, Avengers Wallpaper for Walls  - Non-woven - a soft feel paper</t>
        </is>
      </c>
      <c r="D860" s="39" t="inlineStr">
        <is>
          <t>Life n Colors</t>
        </is>
      </c>
      <c r="E860" s="43" t="n">
        <v>46126</v>
      </c>
      <c r="F860" s="26" t="inlineStr">
        <is>
          <t>Sunil CR</t>
        </is>
      </c>
      <c r="G860" s="26" t="inlineStr">
        <is>
          <t>Yes</t>
        </is>
      </c>
      <c r="H860" s="26" t="inlineStr">
        <is>
          <t>No</t>
        </is>
      </c>
      <c r="I860" s="26" t="inlineStr">
        <is>
          <t>Good finish</t>
        </is>
      </c>
      <c r="J860" s="26" t="inlineStr">
        <is>
          <t>Yes</t>
        </is>
      </c>
      <c r="K860" s="27" t="n"/>
      <c r="L860" s="28" t="inlineStr">
        <is>
          <t>No</t>
        </is>
      </c>
      <c r="M860" s="29">
        <f>IF(E860="","",IF(H860="Yes","❌ Disc",IF(G860="No","⚠ Missing",IF(J860="Yes","✓ OK","⚠ Check"))))</f>
        <v/>
      </c>
      <c r="N860" s="43" t="n">
        <v>46193</v>
      </c>
      <c r="O860" s="26" t="inlineStr">
        <is>
          <t>Sunil CR</t>
        </is>
      </c>
      <c r="P860" s="26" t="inlineStr">
        <is>
          <t>Yes</t>
        </is>
      </c>
      <c r="Q860" s="26" t="inlineStr">
        <is>
          <t>No</t>
        </is>
      </c>
      <c r="R860" s="26" t="inlineStr">
        <is>
          <t>Good finish</t>
        </is>
      </c>
      <c r="S860" s="26" t="inlineStr">
        <is>
          <t>Yes</t>
        </is>
      </c>
      <c r="T860" s="27" t="n"/>
      <c r="U860" s="28" t="inlineStr">
        <is>
          <t>No</t>
        </is>
      </c>
      <c r="V860" s="29">
        <f>IF(N860="","",IF(Q860="Yes","❌ Disc",IF(P860="No","⚠ Missing",IF(S860="Yes","✓ OK","⚠ Check"))))</f>
        <v/>
      </c>
      <c r="W860" s="65" t="n">
        <v>46248</v>
      </c>
      <c r="X860" s="30" t="inlineStr">
        <is>
          <t>Sunil CR</t>
        </is>
      </c>
      <c r="Y860" s="30" t="inlineStr">
        <is>
          <t>Yes</t>
        </is>
      </c>
      <c r="Z860" s="30" t="n"/>
      <c r="AA860" s="30" t="inlineStr">
        <is>
          <t>Good finish</t>
        </is>
      </c>
      <c r="AB860" s="30" t="inlineStr">
        <is>
          <t>Yes</t>
        </is>
      </c>
      <c r="AC860" s="27" t="n"/>
      <c r="AD860" s="31" t="inlineStr">
        <is>
          <t>No</t>
        </is>
      </c>
      <c r="AE860" s="32">
        <f>IF(W860="","",IF(Z860="Yes","❌ Disc",IF(Y860="No","⚠ Missing",IF(AB860="Yes","✓ OK","⚠ Check"))))</f>
        <v/>
      </c>
      <c r="AF860" s="33" t="n"/>
      <c r="AG860" s="33" t="n"/>
      <c r="AH860" s="33" t="n"/>
      <c r="AI860" s="33" t="n"/>
      <c r="AJ860" s="33" t="n"/>
      <c r="AK860" s="33" t="n"/>
      <c r="AL860" s="27" t="n"/>
      <c r="AM860" s="34" t="n"/>
      <c r="AN860" s="35">
        <f>IF(AF860="","",IF(AI860="Yes","❌ Disc",IF(AH860="No","⚠ Missing",IF(AK860="Yes","✓ OK","⚠ Check"))))</f>
        <v/>
      </c>
      <c r="AO860" s="36" t="n"/>
      <c r="AP860" s="36" t="n"/>
      <c r="AQ860" s="36" t="n"/>
      <c r="AR860" s="36" t="n"/>
      <c r="AS860" s="36" t="n"/>
      <c r="AT860" s="36" t="n"/>
      <c r="AU860" s="27" t="n"/>
      <c r="AV860" s="37" t="n"/>
      <c r="AW860" s="38">
        <f>IF(AO860="","",IF(AR860="Yes","❌ Disc",IF(AQ860="No","⚠ Missing",IF(AT860="Yes","✓ OK","⚠ Check"))))</f>
        <v/>
      </c>
    </row>
    <row r="861" ht="18" customHeight="1" s="46">
      <c r="A861" s="23" t="n">
        <v>857</v>
      </c>
      <c r="B861" s="24" t="inlineStr">
        <is>
          <t>WP LNCCN1056327</t>
        </is>
      </c>
      <c r="C861" s="25" t="inlineStr">
        <is>
          <t>Life n Colors - Modern 3D Wallpaper Design, Bedrooms, Living Rooms, and Offices  -  Canvas - a texture paper</t>
        </is>
      </c>
      <c r="D861" s="23" t="inlineStr">
        <is>
          <t>Life n Colors</t>
        </is>
      </c>
      <c r="E861" s="43" t="n">
        <v>46126</v>
      </c>
      <c r="F861" s="26" t="inlineStr">
        <is>
          <t>Sunil CR</t>
        </is>
      </c>
      <c r="G861" s="26" t="inlineStr">
        <is>
          <t>Yes</t>
        </is>
      </c>
      <c r="H861" s="26" t="inlineStr">
        <is>
          <t>No</t>
        </is>
      </c>
      <c r="I861" s="26" t="inlineStr">
        <is>
          <t>Good finish</t>
        </is>
      </c>
      <c r="J861" s="26" t="inlineStr">
        <is>
          <t>Yes</t>
        </is>
      </c>
      <c r="K861" s="27" t="n"/>
      <c r="L861" s="28" t="inlineStr">
        <is>
          <t>No</t>
        </is>
      </c>
      <c r="M861" s="29">
        <f>IF(E861="","",IF(H861="Yes","❌ Disc",IF(G861="No","⚠ Missing",IF(J861="Yes","✓ OK","⚠ Check"))))</f>
        <v/>
      </c>
      <c r="N861" s="43" t="n">
        <v>46193</v>
      </c>
      <c r="O861" s="26" t="inlineStr">
        <is>
          <t>Sunil CR</t>
        </is>
      </c>
      <c r="P861" s="26" t="inlineStr">
        <is>
          <t>Yes</t>
        </is>
      </c>
      <c r="Q861" s="26" t="inlineStr">
        <is>
          <t>No</t>
        </is>
      </c>
      <c r="R861" s="26" t="inlineStr">
        <is>
          <t>Good finish</t>
        </is>
      </c>
      <c r="S861" s="26" t="inlineStr">
        <is>
          <t>Yes</t>
        </is>
      </c>
      <c r="T861" s="27" t="n"/>
      <c r="U861" s="28" t="inlineStr">
        <is>
          <t>No</t>
        </is>
      </c>
      <c r="V861" s="29">
        <f>IF(N861="","",IF(Q861="Yes","❌ Disc",IF(P861="No","⚠ Missing",IF(S861="Yes","✓ OK","⚠ Check"))))</f>
        <v/>
      </c>
      <c r="W861" s="65" t="n">
        <v>46248</v>
      </c>
      <c r="X861" s="30" t="inlineStr">
        <is>
          <t>Sunil CR</t>
        </is>
      </c>
      <c r="Y861" s="30" t="inlineStr">
        <is>
          <t>Yes</t>
        </is>
      </c>
      <c r="Z861" s="30" t="n"/>
      <c r="AA861" s="30" t="inlineStr">
        <is>
          <t>Good finish</t>
        </is>
      </c>
      <c r="AB861" s="30" t="inlineStr">
        <is>
          <t>Yes</t>
        </is>
      </c>
      <c r="AC861" s="27" t="n"/>
      <c r="AD861" s="31" t="inlineStr">
        <is>
          <t>No</t>
        </is>
      </c>
      <c r="AE861" s="32">
        <f>IF(W861="","",IF(Z861="Yes","❌ Disc",IF(Y861="No","⚠ Missing",IF(AB861="Yes","✓ OK","⚠ Check"))))</f>
        <v/>
      </c>
      <c r="AF861" s="33" t="n"/>
      <c r="AG861" s="33" t="n"/>
      <c r="AH861" s="33" t="n"/>
      <c r="AI861" s="33" t="n"/>
      <c r="AJ861" s="33" t="n"/>
      <c r="AK861" s="33" t="n"/>
      <c r="AL861" s="27" t="n"/>
      <c r="AM861" s="34" t="n"/>
      <c r="AN861" s="35">
        <f>IF(AF861="","",IF(AI861="Yes","❌ Disc",IF(AH861="No","⚠ Missing",IF(AK861="Yes","✓ OK","⚠ Check"))))</f>
        <v/>
      </c>
      <c r="AO861" s="36" t="n"/>
      <c r="AP861" s="36" t="n"/>
      <c r="AQ861" s="36" t="n"/>
      <c r="AR861" s="36" t="n"/>
      <c r="AS861" s="36" t="n"/>
      <c r="AT861" s="36" t="n"/>
      <c r="AU861" s="27" t="n"/>
      <c r="AV861" s="37" t="n"/>
      <c r="AW861" s="38">
        <f>IF(AO861="","",IF(AR861="Yes","❌ Disc",IF(AQ861="No","⚠ Missing",IF(AT861="Yes","✓ OK","⚠ Check"))))</f>
        <v/>
      </c>
    </row>
    <row r="862" ht="18" customHeight="1" s="46">
      <c r="A862" s="39" t="n">
        <v>858</v>
      </c>
      <c r="B862" s="40" t="inlineStr">
        <is>
          <t>WP LNCSF1056327</t>
        </is>
      </c>
      <c r="C862" s="41" t="inlineStr">
        <is>
          <t>Life n Colors - Modern 3D Wallpaper Design, Bedrooms, Living Rooms, and Offices  - Non-woven - a soft feel paper</t>
        </is>
      </c>
      <c r="D862" s="39" t="inlineStr">
        <is>
          <t>Life n Colors</t>
        </is>
      </c>
      <c r="E862" s="43" t="n">
        <v>46126</v>
      </c>
      <c r="F862" s="26" t="inlineStr">
        <is>
          <t>Sunil CR</t>
        </is>
      </c>
      <c r="G862" s="26" t="inlineStr">
        <is>
          <t>Yes</t>
        </is>
      </c>
      <c r="H862" s="26" t="inlineStr">
        <is>
          <t>No</t>
        </is>
      </c>
      <c r="I862" s="26" t="inlineStr">
        <is>
          <t>Good finish</t>
        </is>
      </c>
      <c r="J862" s="26" t="inlineStr">
        <is>
          <t>Yes</t>
        </is>
      </c>
      <c r="K862" s="27" t="n"/>
      <c r="L862" s="28" t="inlineStr">
        <is>
          <t>No</t>
        </is>
      </c>
      <c r="M862" s="29">
        <f>IF(E862="","",IF(H862="Yes","❌ Disc",IF(G862="No","⚠ Missing",IF(J862="Yes","✓ OK","⚠ Check"))))</f>
        <v/>
      </c>
      <c r="N862" s="43" t="n">
        <v>46193</v>
      </c>
      <c r="O862" s="26" t="inlineStr">
        <is>
          <t>Sunil CR</t>
        </is>
      </c>
      <c r="P862" s="26" t="inlineStr">
        <is>
          <t>Yes</t>
        </is>
      </c>
      <c r="Q862" s="26" t="inlineStr">
        <is>
          <t>No</t>
        </is>
      </c>
      <c r="R862" s="26" t="inlineStr">
        <is>
          <t>Good finish</t>
        </is>
      </c>
      <c r="S862" s="26" t="inlineStr">
        <is>
          <t>Yes</t>
        </is>
      </c>
      <c r="T862" s="27" t="n"/>
      <c r="U862" s="28" t="inlineStr">
        <is>
          <t>No</t>
        </is>
      </c>
      <c r="V862" s="29">
        <f>IF(N862="","",IF(Q862="Yes","❌ Disc",IF(P862="No","⚠ Missing",IF(S862="Yes","✓ OK","⚠ Check"))))</f>
        <v/>
      </c>
      <c r="W862" s="65" t="n">
        <v>46248</v>
      </c>
      <c r="X862" s="30" t="inlineStr">
        <is>
          <t>Sunil CR</t>
        </is>
      </c>
      <c r="Y862" s="30" t="inlineStr">
        <is>
          <t>Yes</t>
        </is>
      </c>
      <c r="Z862" s="30" t="n"/>
      <c r="AA862" s="30" t="inlineStr">
        <is>
          <t>Good finish</t>
        </is>
      </c>
      <c r="AB862" s="30" t="inlineStr">
        <is>
          <t>Yes</t>
        </is>
      </c>
      <c r="AC862" s="27" t="n"/>
      <c r="AD862" s="31" t="inlineStr">
        <is>
          <t>No</t>
        </is>
      </c>
      <c r="AE862" s="32">
        <f>IF(W862="","",IF(Z862="Yes","❌ Disc",IF(Y862="No","⚠ Missing",IF(AB862="Yes","✓ OK","⚠ Check"))))</f>
        <v/>
      </c>
      <c r="AF862" s="33" t="n"/>
      <c r="AG862" s="33" t="n"/>
      <c r="AH862" s="33" t="n"/>
      <c r="AI862" s="33" t="n"/>
      <c r="AJ862" s="33" t="n"/>
      <c r="AK862" s="33" t="n"/>
      <c r="AL862" s="27" t="n"/>
      <c r="AM862" s="34" t="n"/>
      <c r="AN862" s="35">
        <f>IF(AF862="","",IF(AI862="Yes","❌ Disc",IF(AH862="No","⚠ Missing",IF(AK862="Yes","✓ OK","⚠ Check"))))</f>
        <v/>
      </c>
      <c r="AO862" s="36" t="n"/>
      <c r="AP862" s="36" t="n"/>
      <c r="AQ862" s="36" t="n"/>
      <c r="AR862" s="36" t="n"/>
      <c r="AS862" s="36" t="n"/>
      <c r="AT862" s="36" t="n"/>
      <c r="AU862" s="27" t="n"/>
      <c r="AV862" s="37" t="n"/>
      <c r="AW862" s="38">
        <f>IF(AO862="","",IF(AR862="Yes","❌ Disc",IF(AQ862="No","⚠ Missing",IF(AT862="Yes","✓ OK","⚠ Check"))))</f>
        <v/>
      </c>
    </row>
    <row r="863" ht="18" customHeight="1" s="46">
      <c r="A863" s="23" t="n">
        <v>859</v>
      </c>
      <c r="B863" s="24" t="inlineStr">
        <is>
          <t>WP LNCCN1166707</t>
        </is>
      </c>
      <c r="C863" s="25" t="inlineStr">
        <is>
          <t>Life n Colors - Modern Colorful Geometric Wallpaper Design for Walls  -  Canvas - a texture paper</t>
        </is>
      </c>
      <c r="D863" s="23" t="inlineStr">
        <is>
          <t>Life n Colors</t>
        </is>
      </c>
      <c r="E863" s="43" t="n">
        <v>46126</v>
      </c>
      <c r="F863" s="26" t="inlineStr">
        <is>
          <t>Sunil CR</t>
        </is>
      </c>
      <c r="G863" s="26" t="inlineStr">
        <is>
          <t>Yes</t>
        </is>
      </c>
      <c r="H863" s="26" t="inlineStr">
        <is>
          <t>No</t>
        </is>
      </c>
      <c r="I863" s="26" t="inlineStr">
        <is>
          <t>Good finish</t>
        </is>
      </c>
      <c r="J863" s="26" t="inlineStr">
        <is>
          <t>Yes</t>
        </is>
      </c>
      <c r="K863" s="27" t="n"/>
      <c r="L863" s="28" t="inlineStr">
        <is>
          <t>No</t>
        </is>
      </c>
      <c r="M863" s="29">
        <f>IF(E863="","",IF(H863="Yes","❌ Disc",IF(G863="No","⚠ Missing",IF(J863="Yes","✓ OK","⚠ Check"))))</f>
        <v/>
      </c>
      <c r="N863" s="43" t="n">
        <v>46193</v>
      </c>
      <c r="O863" s="26" t="inlineStr">
        <is>
          <t>Sunil CR</t>
        </is>
      </c>
      <c r="P863" s="26" t="inlineStr">
        <is>
          <t>Yes</t>
        </is>
      </c>
      <c r="Q863" s="26" t="inlineStr">
        <is>
          <t>No</t>
        </is>
      </c>
      <c r="R863" s="26" t="inlineStr">
        <is>
          <t>Good finish</t>
        </is>
      </c>
      <c r="S863" s="26" t="inlineStr">
        <is>
          <t>Yes</t>
        </is>
      </c>
      <c r="T863" s="27" t="n"/>
      <c r="U863" s="28" t="inlineStr">
        <is>
          <t>No</t>
        </is>
      </c>
      <c r="V863" s="29">
        <f>IF(N863="","",IF(Q863="Yes","❌ Disc",IF(P863="No","⚠ Missing",IF(S863="Yes","✓ OK","⚠ Check"))))</f>
        <v/>
      </c>
      <c r="W863" s="65" t="n">
        <v>46248</v>
      </c>
      <c r="X863" s="30" t="inlineStr">
        <is>
          <t>Sunil CR</t>
        </is>
      </c>
      <c r="Y863" s="30" t="inlineStr">
        <is>
          <t>Yes</t>
        </is>
      </c>
      <c r="Z863" s="30" t="n"/>
      <c r="AA863" s="30" t="inlineStr">
        <is>
          <t>Good finish</t>
        </is>
      </c>
      <c r="AB863" s="30" t="inlineStr">
        <is>
          <t>Yes</t>
        </is>
      </c>
      <c r="AC863" s="27" t="n"/>
      <c r="AD863" s="31" t="inlineStr">
        <is>
          <t>No</t>
        </is>
      </c>
      <c r="AE863" s="32">
        <f>IF(W863="","",IF(Z863="Yes","❌ Disc",IF(Y863="No","⚠ Missing",IF(AB863="Yes","✓ OK","⚠ Check"))))</f>
        <v/>
      </c>
      <c r="AF863" s="33" t="n"/>
      <c r="AG863" s="33" t="n"/>
      <c r="AH863" s="33" t="n"/>
      <c r="AI863" s="33" t="n"/>
      <c r="AJ863" s="33" t="n"/>
      <c r="AK863" s="33" t="n"/>
      <c r="AL863" s="27" t="n"/>
      <c r="AM863" s="34" t="n"/>
      <c r="AN863" s="35">
        <f>IF(AF863="","",IF(AI863="Yes","❌ Disc",IF(AH863="No","⚠ Missing",IF(AK863="Yes","✓ OK","⚠ Check"))))</f>
        <v/>
      </c>
      <c r="AO863" s="36" t="n"/>
      <c r="AP863" s="36" t="n"/>
      <c r="AQ863" s="36" t="n"/>
      <c r="AR863" s="36" t="n"/>
      <c r="AS863" s="36" t="n"/>
      <c r="AT863" s="36" t="n"/>
      <c r="AU863" s="27" t="n"/>
      <c r="AV863" s="37" t="n"/>
      <c r="AW863" s="38">
        <f>IF(AO863="","",IF(AR863="Yes","❌ Disc",IF(AQ863="No","⚠ Missing",IF(AT863="Yes","✓ OK","⚠ Check"))))</f>
        <v/>
      </c>
    </row>
    <row r="864" ht="18" customHeight="1" s="46">
      <c r="A864" s="39" t="n">
        <v>860</v>
      </c>
      <c r="B864" s="40" t="inlineStr">
        <is>
          <t>WP LNCSF1166707</t>
        </is>
      </c>
      <c r="C864" s="41" t="inlineStr">
        <is>
          <t>Life n Colors - Modern Colorful Geometric Wallpaper Design for Walls  - Non-woven - a soft feel paper</t>
        </is>
      </c>
      <c r="D864" s="39" t="inlineStr">
        <is>
          <t>Life n Colors</t>
        </is>
      </c>
      <c r="E864" s="43" t="n">
        <v>46126</v>
      </c>
      <c r="F864" s="26" t="inlineStr">
        <is>
          <t>Sunil CR</t>
        </is>
      </c>
      <c r="G864" s="26" t="inlineStr">
        <is>
          <t>Yes</t>
        </is>
      </c>
      <c r="H864" s="26" t="inlineStr">
        <is>
          <t>No</t>
        </is>
      </c>
      <c r="I864" s="26" t="inlineStr">
        <is>
          <t>Good finish</t>
        </is>
      </c>
      <c r="J864" s="26" t="inlineStr">
        <is>
          <t>Yes</t>
        </is>
      </c>
      <c r="K864" s="27" t="n"/>
      <c r="L864" s="28" t="inlineStr">
        <is>
          <t>No</t>
        </is>
      </c>
      <c r="M864" s="29">
        <f>IF(E864="","",IF(H864="Yes","❌ Disc",IF(G864="No","⚠ Missing",IF(J864="Yes","✓ OK","⚠ Check"))))</f>
        <v/>
      </c>
      <c r="N864" s="43" t="n">
        <v>46193</v>
      </c>
      <c r="O864" s="26" t="inlineStr">
        <is>
          <t>Sunil CR</t>
        </is>
      </c>
      <c r="P864" s="26" t="inlineStr">
        <is>
          <t>Yes</t>
        </is>
      </c>
      <c r="Q864" s="26" t="inlineStr">
        <is>
          <t>No</t>
        </is>
      </c>
      <c r="R864" s="26" t="inlineStr">
        <is>
          <t>Good finish</t>
        </is>
      </c>
      <c r="S864" s="26" t="inlineStr">
        <is>
          <t>Yes</t>
        </is>
      </c>
      <c r="T864" s="27" t="n"/>
      <c r="U864" s="28" t="inlineStr">
        <is>
          <t>No</t>
        </is>
      </c>
      <c r="V864" s="29">
        <f>IF(N864="","",IF(Q864="Yes","❌ Disc",IF(P864="No","⚠ Missing",IF(S864="Yes","✓ OK","⚠ Check"))))</f>
        <v/>
      </c>
      <c r="W864" s="65" t="n">
        <v>46248</v>
      </c>
      <c r="X864" s="30" t="inlineStr">
        <is>
          <t>Sunil CR</t>
        </is>
      </c>
      <c r="Y864" s="30" t="inlineStr">
        <is>
          <t>Yes</t>
        </is>
      </c>
      <c r="Z864" s="30" t="n"/>
      <c r="AA864" s="30" t="inlineStr">
        <is>
          <t>Good finish</t>
        </is>
      </c>
      <c r="AB864" s="30" t="inlineStr">
        <is>
          <t>Yes</t>
        </is>
      </c>
      <c r="AC864" s="27" t="n"/>
      <c r="AD864" s="31" t="inlineStr">
        <is>
          <t>No</t>
        </is>
      </c>
      <c r="AE864" s="32">
        <f>IF(W864="","",IF(Z864="Yes","❌ Disc",IF(Y864="No","⚠ Missing",IF(AB864="Yes","✓ OK","⚠ Check"))))</f>
        <v/>
      </c>
      <c r="AF864" s="33" t="n"/>
      <c r="AG864" s="33" t="n"/>
      <c r="AH864" s="33" t="n"/>
      <c r="AI864" s="33" t="n"/>
      <c r="AJ864" s="33" t="n"/>
      <c r="AK864" s="33" t="n"/>
      <c r="AL864" s="27" t="n"/>
      <c r="AM864" s="34" t="n"/>
      <c r="AN864" s="35">
        <f>IF(AF864="","",IF(AI864="Yes","❌ Disc",IF(AH864="No","⚠ Missing",IF(AK864="Yes","✓ OK","⚠ Check"))))</f>
        <v/>
      </c>
      <c r="AO864" s="36" t="n"/>
      <c r="AP864" s="36" t="n"/>
      <c r="AQ864" s="36" t="n"/>
      <c r="AR864" s="36" t="n"/>
      <c r="AS864" s="36" t="n"/>
      <c r="AT864" s="36" t="n"/>
      <c r="AU864" s="27" t="n"/>
      <c r="AV864" s="37" t="n"/>
      <c r="AW864" s="38">
        <f>IF(AO864="","",IF(AR864="Yes","❌ Disc",IF(AQ864="No","⚠ Missing",IF(AT864="Yes","✓ OK","⚠ Check"))))</f>
        <v/>
      </c>
    </row>
    <row r="865" ht="18" customHeight="1" s="46">
      <c r="A865" s="23" t="n">
        <v>861</v>
      </c>
      <c r="B865" s="24" t="inlineStr">
        <is>
          <t>WP LNCCN1192196</t>
        </is>
      </c>
      <c r="C865" s="25" t="inlineStr">
        <is>
          <t>Life n Colors - Mosaic Tiles Design Wallpapers for Beautiful Walls, Yellow  -  Canvas - a texture paper</t>
        </is>
      </c>
      <c r="D865" s="23" t="inlineStr">
        <is>
          <t>Life n Colors</t>
        </is>
      </c>
      <c r="E865" s="43" t="n">
        <v>46126</v>
      </c>
      <c r="F865" s="26" t="inlineStr">
        <is>
          <t>Sunil CR</t>
        </is>
      </c>
      <c r="G865" s="26" t="inlineStr">
        <is>
          <t>Yes</t>
        </is>
      </c>
      <c r="H865" s="26" t="inlineStr">
        <is>
          <t>No</t>
        </is>
      </c>
      <c r="I865" s="26" t="inlineStr">
        <is>
          <t>Good finish</t>
        </is>
      </c>
      <c r="J865" s="26" t="inlineStr">
        <is>
          <t>Yes</t>
        </is>
      </c>
      <c r="K865" s="27" t="n"/>
      <c r="L865" s="28" t="inlineStr">
        <is>
          <t>No</t>
        </is>
      </c>
      <c r="M865" s="29">
        <f>IF(E865="","",IF(H865="Yes","❌ Disc",IF(G865="No","⚠ Missing",IF(J865="Yes","✓ OK","⚠ Check"))))</f>
        <v/>
      </c>
      <c r="N865" s="43" t="n">
        <v>46193</v>
      </c>
      <c r="O865" s="26" t="inlineStr">
        <is>
          <t>Sunil CR</t>
        </is>
      </c>
      <c r="P865" s="26" t="inlineStr">
        <is>
          <t>Yes</t>
        </is>
      </c>
      <c r="Q865" s="26" t="inlineStr">
        <is>
          <t>No</t>
        </is>
      </c>
      <c r="R865" s="26" t="inlineStr">
        <is>
          <t>Good finish</t>
        </is>
      </c>
      <c r="S865" s="26" t="inlineStr">
        <is>
          <t>Yes</t>
        </is>
      </c>
      <c r="T865" s="27" t="n"/>
      <c r="U865" s="28" t="inlineStr">
        <is>
          <t>No</t>
        </is>
      </c>
      <c r="V865" s="29">
        <f>IF(N865="","",IF(Q865="Yes","❌ Disc",IF(P865="No","⚠ Missing",IF(S865="Yes","✓ OK","⚠ Check"))))</f>
        <v/>
      </c>
      <c r="W865" s="65" t="n">
        <v>46248</v>
      </c>
      <c r="X865" s="30" t="inlineStr">
        <is>
          <t>Sunil CR</t>
        </is>
      </c>
      <c r="Y865" s="30" t="inlineStr">
        <is>
          <t>Yes</t>
        </is>
      </c>
      <c r="Z865" s="30" t="n"/>
      <c r="AA865" s="30" t="inlineStr">
        <is>
          <t>Good finish</t>
        </is>
      </c>
      <c r="AB865" s="30" t="inlineStr">
        <is>
          <t>Yes</t>
        </is>
      </c>
      <c r="AC865" s="27" t="n"/>
      <c r="AD865" s="31" t="inlineStr">
        <is>
          <t>No</t>
        </is>
      </c>
      <c r="AE865" s="32">
        <f>IF(W865="","",IF(Z865="Yes","❌ Disc",IF(Y865="No","⚠ Missing",IF(AB865="Yes","✓ OK","⚠ Check"))))</f>
        <v/>
      </c>
      <c r="AF865" s="33" t="n"/>
      <c r="AG865" s="33" t="n"/>
      <c r="AH865" s="33" t="n"/>
      <c r="AI865" s="33" t="n"/>
      <c r="AJ865" s="33" t="n"/>
      <c r="AK865" s="33" t="n"/>
      <c r="AL865" s="27" t="n"/>
      <c r="AM865" s="34" t="n"/>
      <c r="AN865" s="35">
        <f>IF(AF865="","",IF(AI865="Yes","❌ Disc",IF(AH865="No","⚠ Missing",IF(AK865="Yes","✓ OK","⚠ Check"))))</f>
        <v/>
      </c>
      <c r="AO865" s="36" t="n"/>
      <c r="AP865" s="36" t="n"/>
      <c r="AQ865" s="36" t="n"/>
      <c r="AR865" s="36" t="n"/>
      <c r="AS865" s="36" t="n"/>
      <c r="AT865" s="36" t="n"/>
      <c r="AU865" s="27" t="n"/>
      <c r="AV865" s="37" t="n"/>
      <c r="AW865" s="38">
        <f>IF(AO865="","",IF(AR865="Yes","❌ Disc",IF(AQ865="No","⚠ Missing",IF(AT865="Yes","✓ OK","⚠ Check"))))</f>
        <v/>
      </c>
    </row>
    <row r="866" ht="18" customHeight="1" s="46">
      <c r="A866" s="39" t="n">
        <v>862</v>
      </c>
      <c r="B866" s="40" t="inlineStr">
        <is>
          <t>WP LNCSF1192196</t>
        </is>
      </c>
      <c r="C866" s="41" t="inlineStr">
        <is>
          <t>Life n Colors - Mosaic Tiles Design Wallpapers for Beautiful Walls, Yellow  - Non-woven - a soft feel paper</t>
        </is>
      </c>
      <c r="D866" s="39" t="inlineStr">
        <is>
          <t>Life n Colors</t>
        </is>
      </c>
      <c r="E866" s="43" t="n">
        <v>46126</v>
      </c>
      <c r="F866" s="26" t="inlineStr">
        <is>
          <t>Sunil CR</t>
        </is>
      </c>
      <c r="G866" s="26" t="inlineStr">
        <is>
          <t>Yes</t>
        </is>
      </c>
      <c r="H866" s="26" t="inlineStr">
        <is>
          <t>No</t>
        </is>
      </c>
      <c r="I866" s="26" t="inlineStr">
        <is>
          <t>Good finish</t>
        </is>
      </c>
      <c r="J866" s="26" t="inlineStr">
        <is>
          <t>Yes</t>
        </is>
      </c>
      <c r="K866" s="27" t="n"/>
      <c r="L866" s="28" t="inlineStr">
        <is>
          <t>No</t>
        </is>
      </c>
      <c r="M866" s="29">
        <f>IF(E866="","",IF(H866="Yes","❌ Disc",IF(G866="No","⚠ Missing",IF(J866="Yes","✓ OK","⚠ Check"))))</f>
        <v/>
      </c>
      <c r="N866" s="43" t="n">
        <v>46193</v>
      </c>
      <c r="O866" s="26" t="inlineStr">
        <is>
          <t>Sunil CR</t>
        </is>
      </c>
      <c r="P866" s="26" t="inlineStr">
        <is>
          <t>Yes</t>
        </is>
      </c>
      <c r="Q866" s="26" t="inlineStr">
        <is>
          <t>No</t>
        </is>
      </c>
      <c r="R866" s="26" t="inlineStr">
        <is>
          <t>Good finish</t>
        </is>
      </c>
      <c r="S866" s="26" t="inlineStr">
        <is>
          <t>Yes</t>
        </is>
      </c>
      <c r="T866" s="27" t="n"/>
      <c r="U866" s="28" t="inlineStr">
        <is>
          <t>No</t>
        </is>
      </c>
      <c r="V866" s="29">
        <f>IF(N866="","",IF(Q866="Yes","❌ Disc",IF(P866="No","⚠ Missing",IF(S866="Yes","✓ OK","⚠ Check"))))</f>
        <v/>
      </c>
      <c r="W866" s="65" t="n">
        <v>46248</v>
      </c>
      <c r="X866" s="30" t="inlineStr">
        <is>
          <t>Sunil CR</t>
        </is>
      </c>
      <c r="Y866" s="30" t="inlineStr">
        <is>
          <t>Yes</t>
        </is>
      </c>
      <c r="Z866" s="30" t="n"/>
      <c r="AA866" s="30" t="inlineStr">
        <is>
          <t>Good finish</t>
        </is>
      </c>
      <c r="AB866" s="30" t="inlineStr">
        <is>
          <t>Yes</t>
        </is>
      </c>
      <c r="AC866" s="27" t="n"/>
      <c r="AD866" s="31" t="inlineStr">
        <is>
          <t>No</t>
        </is>
      </c>
      <c r="AE866" s="32">
        <f>IF(W866="","",IF(Z866="Yes","❌ Disc",IF(Y866="No","⚠ Missing",IF(AB866="Yes","✓ OK","⚠ Check"))))</f>
        <v/>
      </c>
      <c r="AF866" s="33" t="n"/>
      <c r="AG866" s="33" t="n"/>
      <c r="AH866" s="33" t="n"/>
      <c r="AI866" s="33" t="n"/>
      <c r="AJ866" s="33" t="n"/>
      <c r="AK866" s="33" t="n"/>
      <c r="AL866" s="27" t="n"/>
      <c r="AM866" s="34" t="n"/>
      <c r="AN866" s="35">
        <f>IF(AF866="","",IF(AI866="Yes","❌ Disc",IF(AH866="No","⚠ Missing",IF(AK866="Yes","✓ OK","⚠ Check"))))</f>
        <v/>
      </c>
      <c r="AO866" s="36" t="n"/>
      <c r="AP866" s="36" t="n"/>
      <c r="AQ866" s="36" t="n"/>
      <c r="AR866" s="36" t="n"/>
      <c r="AS866" s="36" t="n"/>
      <c r="AT866" s="36" t="n"/>
      <c r="AU866" s="27" t="n"/>
      <c r="AV866" s="37" t="n"/>
      <c r="AW866" s="38">
        <f>IF(AO866="","",IF(AR866="Yes","❌ Disc",IF(AQ866="No","⚠ Missing",IF(AT866="Yes","✓ OK","⚠ Check"))))</f>
        <v/>
      </c>
    </row>
    <row r="867" ht="18" customHeight="1" s="46">
      <c r="A867" s="23" t="n">
        <v>863</v>
      </c>
      <c r="B867" s="24" t="inlineStr">
        <is>
          <t>WP LNCCN1147973</t>
        </is>
      </c>
      <c r="C867" s="25" t="inlineStr">
        <is>
          <t>Life n Colors - Mountains Theme for Kids Room, Solid Design, Geometric Pattern  -  Canvas - a texture paper</t>
        </is>
      </c>
      <c r="D867" s="23" t="inlineStr">
        <is>
          <t>Life n Colors</t>
        </is>
      </c>
      <c r="E867" s="43" t="n">
        <v>46126</v>
      </c>
      <c r="F867" s="26" t="inlineStr">
        <is>
          <t>Sunil CR</t>
        </is>
      </c>
      <c r="G867" s="26" t="inlineStr">
        <is>
          <t>Yes</t>
        </is>
      </c>
      <c r="H867" s="26" t="inlineStr">
        <is>
          <t>No</t>
        </is>
      </c>
      <c r="I867" s="26" t="inlineStr">
        <is>
          <t>Good finish</t>
        </is>
      </c>
      <c r="J867" s="26" t="inlineStr">
        <is>
          <t>Yes</t>
        </is>
      </c>
      <c r="K867" s="27" t="n"/>
      <c r="L867" s="28" t="inlineStr">
        <is>
          <t>No</t>
        </is>
      </c>
      <c r="M867" s="29">
        <f>IF(E867="","",IF(H867="Yes","❌ Disc",IF(G867="No","⚠ Missing",IF(J867="Yes","✓ OK","⚠ Check"))))</f>
        <v/>
      </c>
      <c r="N867" s="43" t="n">
        <v>46193</v>
      </c>
      <c r="O867" s="26" t="inlineStr">
        <is>
          <t>Sunil CR</t>
        </is>
      </c>
      <c r="P867" s="26" t="inlineStr">
        <is>
          <t>Yes</t>
        </is>
      </c>
      <c r="Q867" s="26" t="inlineStr">
        <is>
          <t>No</t>
        </is>
      </c>
      <c r="R867" s="26" t="inlineStr">
        <is>
          <t>Good finish</t>
        </is>
      </c>
      <c r="S867" s="26" t="inlineStr">
        <is>
          <t>Yes</t>
        </is>
      </c>
      <c r="T867" s="27" t="n"/>
      <c r="U867" s="28" t="inlineStr">
        <is>
          <t>No</t>
        </is>
      </c>
      <c r="V867" s="29">
        <f>IF(N867="","",IF(Q867="Yes","❌ Disc",IF(P867="No","⚠ Missing",IF(S867="Yes","✓ OK","⚠ Check"))))</f>
        <v/>
      </c>
      <c r="W867" s="65" t="n">
        <v>46248</v>
      </c>
      <c r="X867" s="30" t="inlineStr">
        <is>
          <t>Sunil CR</t>
        </is>
      </c>
      <c r="Y867" s="30" t="inlineStr">
        <is>
          <t>Yes</t>
        </is>
      </c>
      <c r="Z867" s="30" t="n"/>
      <c r="AA867" s="30" t="inlineStr">
        <is>
          <t>Good finish</t>
        </is>
      </c>
      <c r="AB867" s="30" t="inlineStr">
        <is>
          <t>Yes</t>
        </is>
      </c>
      <c r="AC867" s="27" t="n"/>
      <c r="AD867" s="31" t="inlineStr">
        <is>
          <t>No</t>
        </is>
      </c>
      <c r="AE867" s="32">
        <f>IF(W867="","",IF(Z867="Yes","❌ Disc",IF(Y867="No","⚠ Missing",IF(AB867="Yes","✓ OK","⚠ Check"))))</f>
        <v/>
      </c>
      <c r="AF867" s="33" t="n"/>
      <c r="AG867" s="33" t="n"/>
      <c r="AH867" s="33" t="n"/>
      <c r="AI867" s="33" t="n"/>
      <c r="AJ867" s="33" t="n"/>
      <c r="AK867" s="33" t="n"/>
      <c r="AL867" s="27" t="n"/>
      <c r="AM867" s="34" t="n"/>
      <c r="AN867" s="35">
        <f>IF(AF867="","",IF(AI867="Yes","❌ Disc",IF(AH867="No","⚠ Missing",IF(AK867="Yes","✓ OK","⚠ Check"))))</f>
        <v/>
      </c>
      <c r="AO867" s="36" t="n"/>
      <c r="AP867" s="36" t="n"/>
      <c r="AQ867" s="36" t="n"/>
      <c r="AR867" s="36" t="n"/>
      <c r="AS867" s="36" t="n"/>
      <c r="AT867" s="36" t="n"/>
      <c r="AU867" s="27" t="n"/>
      <c r="AV867" s="37" t="n"/>
      <c r="AW867" s="38">
        <f>IF(AO867="","",IF(AR867="Yes","❌ Disc",IF(AQ867="No","⚠ Missing",IF(AT867="Yes","✓ OK","⚠ Check"))))</f>
        <v/>
      </c>
    </row>
    <row r="868" ht="18" customHeight="1" s="46">
      <c r="A868" s="39" t="n">
        <v>864</v>
      </c>
      <c r="B868" s="40" t="inlineStr">
        <is>
          <t>WP LNCSF1147973</t>
        </is>
      </c>
      <c r="C868" s="41" t="inlineStr">
        <is>
          <t>Life n Colors - Mountains Theme for Kids Room, Solid Design, Geometric Pattern  - Non-woven - a soft feel paper</t>
        </is>
      </c>
      <c r="D868" s="39" t="inlineStr">
        <is>
          <t>Life n Colors</t>
        </is>
      </c>
      <c r="E868" s="43" t="n">
        <v>46126</v>
      </c>
      <c r="F868" s="26" t="inlineStr">
        <is>
          <t>Sunil CR</t>
        </is>
      </c>
      <c r="G868" s="26" t="inlineStr">
        <is>
          <t>Yes</t>
        </is>
      </c>
      <c r="H868" s="26" t="inlineStr">
        <is>
          <t>No</t>
        </is>
      </c>
      <c r="I868" s="26" t="inlineStr">
        <is>
          <t>Good finish</t>
        </is>
      </c>
      <c r="J868" s="26" t="inlineStr">
        <is>
          <t>Yes</t>
        </is>
      </c>
      <c r="K868" s="27" t="n"/>
      <c r="L868" s="28" t="inlineStr">
        <is>
          <t>No</t>
        </is>
      </c>
      <c r="M868" s="29">
        <f>IF(E868="","",IF(H868="Yes","❌ Disc",IF(G868="No","⚠ Missing",IF(J868="Yes","✓ OK","⚠ Check"))))</f>
        <v/>
      </c>
      <c r="N868" s="43" t="n">
        <v>46193</v>
      </c>
      <c r="O868" s="26" t="inlineStr">
        <is>
          <t>Sunil CR</t>
        </is>
      </c>
      <c r="P868" s="26" t="inlineStr">
        <is>
          <t>Yes</t>
        </is>
      </c>
      <c r="Q868" s="26" t="inlineStr">
        <is>
          <t>No</t>
        </is>
      </c>
      <c r="R868" s="26" t="inlineStr">
        <is>
          <t>Good finish</t>
        </is>
      </c>
      <c r="S868" s="26" t="inlineStr">
        <is>
          <t>Yes</t>
        </is>
      </c>
      <c r="T868" s="27" t="n"/>
      <c r="U868" s="28" t="inlineStr">
        <is>
          <t>No</t>
        </is>
      </c>
      <c r="V868" s="29">
        <f>IF(N868="","",IF(Q868="Yes","❌ Disc",IF(P868="No","⚠ Missing",IF(S868="Yes","✓ OK","⚠ Check"))))</f>
        <v/>
      </c>
      <c r="W868" s="65" t="n">
        <v>46248</v>
      </c>
      <c r="X868" s="30" t="inlineStr">
        <is>
          <t>Sunil CR</t>
        </is>
      </c>
      <c r="Y868" s="30" t="inlineStr">
        <is>
          <t>Yes</t>
        </is>
      </c>
      <c r="Z868" s="30" t="n"/>
      <c r="AA868" s="30" t="inlineStr">
        <is>
          <t>Good finish</t>
        </is>
      </c>
      <c r="AB868" s="30" t="inlineStr">
        <is>
          <t>Yes</t>
        </is>
      </c>
      <c r="AC868" s="27" t="n"/>
      <c r="AD868" s="31" t="inlineStr">
        <is>
          <t>No</t>
        </is>
      </c>
      <c r="AE868" s="32">
        <f>IF(W868="","",IF(Z868="Yes","❌ Disc",IF(Y868="No","⚠ Missing",IF(AB868="Yes","✓ OK","⚠ Check"))))</f>
        <v/>
      </c>
      <c r="AF868" s="33" t="n"/>
      <c r="AG868" s="33" t="n"/>
      <c r="AH868" s="33" t="n"/>
      <c r="AI868" s="33" t="n"/>
      <c r="AJ868" s="33" t="n"/>
      <c r="AK868" s="33" t="n"/>
      <c r="AL868" s="27" t="n"/>
      <c r="AM868" s="34" t="n"/>
      <c r="AN868" s="35">
        <f>IF(AF868="","",IF(AI868="Yes","❌ Disc",IF(AH868="No","⚠ Missing",IF(AK868="Yes","✓ OK","⚠ Check"))))</f>
        <v/>
      </c>
      <c r="AO868" s="36" t="n"/>
      <c r="AP868" s="36" t="n"/>
      <c r="AQ868" s="36" t="n"/>
      <c r="AR868" s="36" t="n"/>
      <c r="AS868" s="36" t="n"/>
      <c r="AT868" s="36" t="n"/>
      <c r="AU868" s="27" t="n"/>
      <c r="AV868" s="37" t="n"/>
      <c r="AW868" s="38">
        <f>IF(AO868="","",IF(AR868="Yes","❌ Disc",IF(AQ868="No","⚠ Missing",IF(AT868="Yes","✓ OK","⚠ Check"))))</f>
        <v/>
      </c>
    </row>
    <row r="869" ht="18" customHeight="1" s="46">
      <c r="A869" s="23" t="n">
        <v>865</v>
      </c>
      <c r="B869" s="24" t="inlineStr">
        <is>
          <t>WP LNCCN303504</t>
        </is>
      </c>
      <c r="C869" s="25" t="inlineStr">
        <is>
          <t>Life n Colors - Musafir, Beautiful Cranes Wallpaper  -  Canvas - a texture paper</t>
        </is>
      </c>
      <c r="D869" s="23" t="inlineStr">
        <is>
          <t>Life n Colors</t>
        </is>
      </c>
      <c r="E869" s="43" t="n">
        <v>46126</v>
      </c>
      <c r="F869" s="26" t="inlineStr">
        <is>
          <t>Sunil CR</t>
        </is>
      </c>
      <c r="G869" s="26" t="inlineStr">
        <is>
          <t>Yes</t>
        </is>
      </c>
      <c r="H869" s="26" t="inlineStr">
        <is>
          <t>No</t>
        </is>
      </c>
      <c r="I869" s="26" t="inlineStr">
        <is>
          <t>Good finish</t>
        </is>
      </c>
      <c r="J869" s="26" t="inlineStr">
        <is>
          <t>Yes</t>
        </is>
      </c>
      <c r="K869" s="27" t="n"/>
      <c r="L869" s="28" t="inlineStr">
        <is>
          <t>No</t>
        </is>
      </c>
      <c r="M869" s="29">
        <f>IF(E869="","",IF(H869="Yes","❌ Disc",IF(G869="No","⚠ Missing",IF(J869="Yes","✓ OK","⚠ Check"))))</f>
        <v/>
      </c>
      <c r="N869" s="43" t="n">
        <v>46193</v>
      </c>
      <c r="O869" s="26" t="inlineStr">
        <is>
          <t>Sunil CR</t>
        </is>
      </c>
      <c r="P869" s="26" t="inlineStr">
        <is>
          <t>Yes</t>
        </is>
      </c>
      <c r="Q869" s="26" t="inlineStr">
        <is>
          <t>No</t>
        </is>
      </c>
      <c r="R869" s="26" t="inlineStr">
        <is>
          <t>Good finish</t>
        </is>
      </c>
      <c r="S869" s="26" t="inlineStr">
        <is>
          <t>Yes</t>
        </is>
      </c>
      <c r="T869" s="27" t="n"/>
      <c r="U869" s="28" t="inlineStr">
        <is>
          <t>No</t>
        </is>
      </c>
      <c r="V869" s="29">
        <f>IF(N869="","",IF(Q869="Yes","❌ Disc",IF(P869="No","⚠ Missing",IF(S869="Yes","✓ OK","⚠ Check"))))</f>
        <v/>
      </c>
      <c r="W869" s="65" t="n">
        <v>46248</v>
      </c>
      <c r="X869" s="30" t="inlineStr">
        <is>
          <t>Sunil CR</t>
        </is>
      </c>
      <c r="Y869" s="30" t="inlineStr">
        <is>
          <t>Yes</t>
        </is>
      </c>
      <c r="Z869" s="30" t="n"/>
      <c r="AA869" s="30" t="inlineStr">
        <is>
          <t>Good finish</t>
        </is>
      </c>
      <c r="AB869" s="30" t="inlineStr">
        <is>
          <t>Yes</t>
        </is>
      </c>
      <c r="AC869" s="27" t="n"/>
      <c r="AD869" s="31" t="inlineStr">
        <is>
          <t>No</t>
        </is>
      </c>
      <c r="AE869" s="32">
        <f>IF(W869="","",IF(Z869="Yes","❌ Disc",IF(Y869="No","⚠ Missing",IF(AB869="Yes","✓ OK","⚠ Check"))))</f>
        <v/>
      </c>
      <c r="AF869" s="33" t="n"/>
      <c r="AG869" s="33" t="n"/>
      <c r="AH869" s="33" t="n"/>
      <c r="AI869" s="33" t="n"/>
      <c r="AJ869" s="33" t="n"/>
      <c r="AK869" s="33" t="n"/>
      <c r="AL869" s="27" t="n"/>
      <c r="AM869" s="34" t="n"/>
      <c r="AN869" s="35">
        <f>IF(AF869="","",IF(AI869="Yes","❌ Disc",IF(AH869="No","⚠ Missing",IF(AK869="Yes","✓ OK","⚠ Check"))))</f>
        <v/>
      </c>
      <c r="AO869" s="36" t="n"/>
      <c r="AP869" s="36" t="n"/>
      <c r="AQ869" s="36" t="n"/>
      <c r="AR869" s="36" t="n"/>
      <c r="AS869" s="36" t="n"/>
      <c r="AT869" s="36" t="n"/>
      <c r="AU869" s="27" t="n"/>
      <c r="AV869" s="37" t="n"/>
      <c r="AW869" s="38">
        <f>IF(AO869="","",IF(AR869="Yes","❌ Disc",IF(AQ869="No","⚠ Missing",IF(AT869="Yes","✓ OK","⚠ Check"))))</f>
        <v/>
      </c>
    </row>
    <row r="870" ht="18" customHeight="1" s="46">
      <c r="A870" s="39" t="n">
        <v>866</v>
      </c>
      <c r="B870" s="40" t="inlineStr">
        <is>
          <t>WP LNCCN1146230</t>
        </is>
      </c>
      <c r="C870" s="41" t="inlineStr">
        <is>
          <t>Life n Colors - My Little Sunshine, a Cute Kids Wallpaper  -  Canvas - a texture paper</t>
        </is>
      </c>
      <c r="D870" s="39" t="inlineStr">
        <is>
          <t>Life n Colors</t>
        </is>
      </c>
      <c r="E870" s="43" t="n">
        <v>46126</v>
      </c>
      <c r="F870" s="26" t="inlineStr">
        <is>
          <t>Sunil CR</t>
        </is>
      </c>
      <c r="G870" s="26" t="inlineStr">
        <is>
          <t>Yes</t>
        </is>
      </c>
      <c r="H870" s="26" t="inlineStr">
        <is>
          <t>No</t>
        </is>
      </c>
      <c r="I870" s="26" t="inlineStr">
        <is>
          <t>Good finish</t>
        </is>
      </c>
      <c r="J870" s="26" t="inlineStr">
        <is>
          <t>Yes</t>
        </is>
      </c>
      <c r="K870" s="27" t="n"/>
      <c r="L870" s="28" t="inlineStr">
        <is>
          <t>No</t>
        </is>
      </c>
      <c r="M870" s="29">
        <f>IF(E870="","",IF(H870="Yes","❌ Disc",IF(G870="No","⚠ Missing",IF(J870="Yes","✓ OK","⚠ Check"))))</f>
        <v/>
      </c>
      <c r="N870" s="43" t="n">
        <v>46193</v>
      </c>
      <c r="O870" s="26" t="inlineStr">
        <is>
          <t>Sunil CR</t>
        </is>
      </c>
      <c r="P870" s="26" t="inlineStr">
        <is>
          <t>Yes</t>
        </is>
      </c>
      <c r="Q870" s="26" t="inlineStr">
        <is>
          <t>No</t>
        </is>
      </c>
      <c r="R870" s="26" t="inlineStr">
        <is>
          <t>Good finish</t>
        </is>
      </c>
      <c r="S870" s="26" t="inlineStr">
        <is>
          <t>Yes</t>
        </is>
      </c>
      <c r="T870" s="27" t="n"/>
      <c r="U870" s="28" t="inlineStr">
        <is>
          <t>No</t>
        </is>
      </c>
      <c r="V870" s="29">
        <f>IF(N870="","",IF(Q870="Yes","❌ Disc",IF(P870="No","⚠ Missing",IF(S870="Yes","✓ OK","⚠ Check"))))</f>
        <v/>
      </c>
      <c r="W870" s="65" t="n">
        <v>46248</v>
      </c>
      <c r="X870" s="30" t="inlineStr">
        <is>
          <t>Sunil CR</t>
        </is>
      </c>
      <c r="Y870" s="30" t="inlineStr">
        <is>
          <t>Yes</t>
        </is>
      </c>
      <c r="Z870" s="30" t="n"/>
      <c r="AA870" s="30" t="inlineStr">
        <is>
          <t>Good finish</t>
        </is>
      </c>
      <c r="AB870" s="30" t="inlineStr">
        <is>
          <t>Yes</t>
        </is>
      </c>
      <c r="AC870" s="27" t="n"/>
      <c r="AD870" s="31" t="inlineStr">
        <is>
          <t>No</t>
        </is>
      </c>
      <c r="AE870" s="32">
        <f>IF(W870="","",IF(Z870="Yes","❌ Disc",IF(Y870="No","⚠ Missing",IF(AB870="Yes","✓ OK","⚠ Check"))))</f>
        <v/>
      </c>
      <c r="AF870" s="33" t="n"/>
      <c r="AG870" s="33" t="n"/>
      <c r="AH870" s="33" t="n"/>
      <c r="AI870" s="33" t="n"/>
      <c r="AJ870" s="33" t="n"/>
      <c r="AK870" s="33" t="n"/>
      <c r="AL870" s="27" t="n"/>
      <c r="AM870" s="34" t="n"/>
      <c r="AN870" s="35">
        <f>IF(AF870="","",IF(AI870="Yes","❌ Disc",IF(AH870="No","⚠ Missing",IF(AK870="Yes","✓ OK","⚠ Check"))))</f>
        <v/>
      </c>
      <c r="AO870" s="36" t="n"/>
      <c r="AP870" s="36" t="n"/>
      <c r="AQ870" s="36" t="n"/>
      <c r="AR870" s="36" t="n"/>
      <c r="AS870" s="36" t="n"/>
      <c r="AT870" s="36" t="n"/>
      <c r="AU870" s="27" t="n"/>
      <c r="AV870" s="37" t="n"/>
      <c r="AW870" s="38">
        <f>IF(AO870="","",IF(AR870="Yes","❌ Disc",IF(AQ870="No","⚠ Missing",IF(AT870="Yes","✓ OK","⚠ Check"))))</f>
        <v/>
      </c>
    </row>
    <row r="871" ht="18" customHeight="1" s="46">
      <c r="A871" s="23" t="n">
        <v>867</v>
      </c>
      <c r="B871" s="24" t="inlineStr">
        <is>
          <t>WP LNCSF1146230</t>
        </is>
      </c>
      <c r="C871" s="25" t="inlineStr">
        <is>
          <t>Life n Colors - My Little Sunshine, a Cute Kids Wallpaper  - Non-woven - a soft feel paper</t>
        </is>
      </c>
      <c r="D871" s="23" t="inlineStr">
        <is>
          <t>Life n Colors</t>
        </is>
      </c>
      <c r="E871" s="43" t="n">
        <v>46126</v>
      </c>
      <c r="F871" s="26" t="inlineStr">
        <is>
          <t>Sunil CR</t>
        </is>
      </c>
      <c r="G871" s="26" t="inlineStr">
        <is>
          <t>Yes</t>
        </is>
      </c>
      <c r="H871" s="26" t="inlineStr">
        <is>
          <t>No</t>
        </is>
      </c>
      <c r="I871" s="26" t="inlineStr">
        <is>
          <t>Good finish</t>
        </is>
      </c>
      <c r="J871" s="26" t="inlineStr">
        <is>
          <t>Yes</t>
        </is>
      </c>
      <c r="K871" s="27" t="n"/>
      <c r="L871" s="28" t="inlineStr">
        <is>
          <t>No</t>
        </is>
      </c>
      <c r="M871" s="29">
        <f>IF(E871="","",IF(H871="Yes","❌ Disc",IF(G871="No","⚠ Missing",IF(J871="Yes","✓ OK","⚠ Check"))))</f>
        <v/>
      </c>
      <c r="N871" s="43" t="n">
        <v>46193</v>
      </c>
      <c r="O871" s="26" t="inlineStr">
        <is>
          <t>Sunil CR</t>
        </is>
      </c>
      <c r="P871" s="26" t="inlineStr">
        <is>
          <t>Yes</t>
        </is>
      </c>
      <c r="Q871" s="26" t="inlineStr">
        <is>
          <t>No</t>
        </is>
      </c>
      <c r="R871" s="26" t="inlineStr">
        <is>
          <t>Good finish</t>
        </is>
      </c>
      <c r="S871" s="26" t="inlineStr">
        <is>
          <t>Yes</t>
        </is>
      </c>
      <c r="T871" s="27" t="n"/>
      <c r="U871" s="28" t="inlineStr">
        <is>
          <t>No</t>
        </is>
      </c>
      <c r="V871" s="29">
        <f>IF(N871="","",IF(Q871="Yes","❌ Disc",IF(P871="No","⚠ Missing",IF(S871="Yes","✓ OK","⚠ Check"))))</f>
        <v/>
      </c>
      <c r="W871" s="65" t="n">
        <v>46248</v>
      </c>
      <c r="X871" s="30" t="inlineStr">
        <is>
          <t>Sunil CR</t>
        </is>
      </c>
      <c r="Y871" s="30" t="inlineStr">
        <is>
          <t>Yes</t>
        </is>
      </c>
      <c r="Z871" s="30" t="n"/>
      <c r="AA871" s="30" t="inlineStr">
        <is>
          <t>Good finish</t>
        </is>
      </c>
      <c r="AB871" s="30" t="inlineStr">
        <is>
          <t>Yes</t>
        </is>
      </c>
      <c r="AC871" s="27" t="n"/>
      <c r="AD871" s="31" t="inlineStr">
        <is>
          <t>No</t>
        </is>
      </c>
      <c r="AE871" s="32">
        <f>IF(W871="","",IF(Z871="Yes","❌ Disc",IF(Y871="No","⚠ Missing",IF(AB871="Yes","✓ OK","⚠ Check"))))</f>
        <v/>
      </c>
      <c r="AF871" s="33" t="n"/>
      <c r="AG871" s="33" t="n"/>
      <c r="AH871" s="33" t="n"/>
      <c r="AI871" s="33" t="n"/>
      <c r="AJ871" s="33" t="n"/>
      <c r="AK871" s="33" t="n"/>
      <c r="AL871" s="27" t="n"/>
      <c r="AM871" s="34" t="n"/>
      <c r="AN871" s="35">
        <f>IF(AF871="","",IF(AI871="Yes","❌ Disc",IF(AH871="No","⚠ Missing",IF(AK871="Yes","✓ OK","⚠ Check"))))</f>
        <v/>
      </c>
      <c r="AO871" s="36" t="n"/>
      <c r="AP871" s="36" t="n"/>
      <c r="AQ871" s="36" t="n"/>
      <c r="AR871" s="36" t="n"/>
      <c r="AS871" s="36" t="n"/>
      <c r="AT871" s="36" t="n"/>
      <c r="AU871" s="27" t="n"/>
      <c r="AV871" s="37" t="n"/>
      <c r="AW871" s="38">
        <f>IF(AO871="","",IF(AR871="Yes","❌ Disc",IF(AQ871="No","⚠ Missing",IF(AT871="Yes","✓ OK","⚠ Check"))))</f>
        <v/>
      </c>
    </row>
    <row r="872" ht="18" customHeight="1" s="46">
      <c r="A872" s="39" t="n">
        <v>868</v>
      </c>
      <c r="B872" s="40" t="inlineStr">
        <is>
          <t>WP LNCCN1156545</t>
        </is>
      </c>
      <c r="C872" s="41" t="inlineStr">
        <is>
          <t>Life n Colors - New York City Scape Sketch Wallpaper for Walls  -  Canvas - a texture paper</t>
        </is>
      </c>
      <c r="D872" s="39" t="inlineStr">
        <is>
          <t>Life n Colors</t>
        </is>
      </c>
      <c r="E872" s="43" t="n">
        <v>46126</v>
      </c>
      <c r="F872" s="26" t="inlineStr">
        <is>
          <t>Sunil CR</t>
        </is>
      </c>
      <c r="G872" s="26" t="inlineStr">
        <is>
          <t>Yes</t>
        </is>
      </c>
      <c r="H872" s="26" t="inlineStr">
        <is>
          <t>No</t>
        </is>
      </c>
      <c r="I872" s="26" t="inlineStr">
        <is>
          <t>Good finish</t>
        </is>
      </c>
      <c r="J872" s="26" t="inlineStr">
        <is>
          <t>Yes</t>
        </is>
      </c>
      <c r="K872" s="27" t="n"/>
      <c r="L872" s="28" t="inlineStr">
        <is>
          <t>No</t>
        </is>
      </c>
      <c r="M872" s="29">
        <f>IF(E872="","",IF(H872="Yes","❌ Disc",IF(G872="No","⚠ Missing",IF(J872="Yes","✓ OK","⚠ Check"))))</f>
        <v/>
      </c>
      <c r="N872" s="43" t="n">
        <v>46193</v>
      </c>
      <c r="O872" s="26" t="inlineStr">
        <is>
          <t>Sunil CR</t>
        </is>
      </c>
      <c r="P872" s="26" t="inlineStr">
        <is>
          <t>Yes</t>
        </is>
      </c>
      <c r="Q872" s="26" t="inlineStr">
        <is>
          <t>No</t>
        </is>
      </c>
      <c r="R872" s="26" t="inlineStr">
        <is>
          <t>Good finish</t>
        </is>
      </c>
      <c r="S872" s="26" t="inlineStr">
        <is>
          <t>Yes</t>
        </is>
      </c>
      <c r="T872" s="27" t="n"/>
      <c r="U872" s="28" t="inlineStr">
        <is>
          <t>No</t>
        </is>
      </c>
      <c r="V872" s="29">
        <f>IF(N872="","",IF(Q872="Yes","❌ Disc",IF(P872="No","⚠ Missing",IF(S872="Yes","✓ OK","⚠ Check"))))</f>
        <v/>
      </c>
      <c r="W872" s="65" t="n">
        <v>46248</v>
      </c>
      <c r="X872" s="30" t="inlineStr">
        <is>
          <t>Sunil CR</t>
        </is>
      </c>
      <c r="Y872" s="30" t="inlineStr">
        <is>
          <t>Yes</t>
        </is>
      </c>
      <c r="Z872" s="30" t="n"/>
      <c r="AA872" s="30" t="inlineStr">
        <is>
          <t>Good finish</t>
        </is>
      </c>
      <c r="AB872" s="30" t="inlineStr">
        <is>
          <t>Yes</t>
        </is>
      </c>
      <c r="AC872" s="27" t="n"/>
      <c r="AD872" s="31" t="inlineStr">
        <is>
          <t>No</t>
        </is>
      </c>
      <c r="AE872" s="32">
        <f>IF(W872="","",IF(Z872="Yes","❌ Disc",IF(Y872="No","⚠ Missing",IF(AB872="Yes","✓ OK","⚠ Check"))))</f>
        <v/>
      </c>
      <c r="AF872" s="33" t="n"/>
      <c r="AG872" s="33" t="n"/>
      <c r="AH872" s="33" t="n"/>
      <c r="AI872" s="33" t="n"/>
      <c r="AJ872" s="33" t="n"/>
      <c r="AK872" s="33" t="n"/>
      <c r="AL872" s="27" t="n"/>
      <c r="AM872" s="34" t="n"/>
      <c r="AN872" s="35">
        <f>IF(AF872="","",IF(AI872="Yes","❌ Disc",IF(AH872="No","⚠ Missing",IF(AK872="Yes","✓ OK","⚠ Check"))))</f>
        <v/>
      </c>
      <c r="AO872" s="36" t="n"/>
      <c r="AP872" s="36" t="n"/>
      <c r="AQ872" s="36" t="n"/>
      <c r="AR872" s="36" t="n"/>
      <c r="AS872" s="36" t="n"/>
      <c r="AT872" s="36" t="n"/>
      <c r="AU872" s="27" t="n"/>
      <c r="AV872" s="37" t="n"/>
      <c r="AW872" s="38">
        <f>IF(AO872="","",IF(AR872="Yes","❌ Disc",IF(AQ872="No","⚠ Missing",IF(AT872="Yes","✓ OK","⚠ Check"))))</f>
        <v/>
      </c>
    </row>
    <row r="873" ht="18" customHeight="1" s="46">
      <c r="A873" s="23" t="n">
        <v>869</v>
      </c>
      <c r="B873" s="24" t="inlineStr">
        <is>
          <t>WP LNCSF1156545</t>
        </is>
      </c>
      <c r="C873" s="25" t="inlineStr">
        <is>
          <t>Life n Colors - New York City Scape Sketch Wallpaper for Walls  - Non-woven - a soft feel paper</t>
        </is>
      </c>
      <c r="D873" s="23" t="inlineStr">
        <is>
          <t>Life n Colors</t>
        </is>
      </c>
      <c r="E873" s="43" t="n">
        <v>46126</v>
      </c>
      <c r="F873" s="26" t="inlineStr">
        <is>
          <t>Sunil CR</t>
        </is>
      </c>
      <c r="G873" s="26" t="inlineStr">
        <is>
          <t>Yes</t>
        </is>
      </c>
      <c r="H873" s="26" t="inlineStr">
        <is>
          <t>No</t>
        </is>
      </c>
      <c r="I873" s="26" t="inlineStr">
        <is>
          <t>Good finish</t>
        </is>
      </c>
      <c r="J873" s="26" t="inlineStr">
        <is>
          <t>Yes</t>
        </is>
      </c>
      <c r="K873" s="27" t="n"/>
      <c r="L873" s="28" t="inlineStr">
        <is>
          <t>No</t>
        </is>
      </c>
      <c r="M873" s="29">
        <f>IF(E873="","",IF(H873="Yes","❌ Disc",IF(G873="No","⚠ Missing",IF(J873="Yes","✓ OK","⚠ Check"))))</f>
        <v/>
      </c>
      <c r="N873" s="43" t="n">
        <v>46193</v>
      </c>
      <c r="O873" s="26" t="inlineStr">
        <is>
          <t>Sunil CR</t>
        </is>
      </c>
      <c r="P873" s="26" t="inlineStr">
        <is>
          <t>Yes</t>
        </is>
      </c>
      <c r="Q873" s="26" t="inlineStr">
        <is>
          <t>No</t>
        </is>
      </c>
      <c r="R873" s="26" t="inlineStr">
        <is>
          <t>Good finish</t>
        </is>
      </c>
      <c r="S873" s="26" t="inlineStr">
        <is>
          <t>Yes</t>
        </is>
      </c>
      <c r="T873" s="27" t="n"/>
      <c r="U873" s="28" t="inlineStr">
        <is>
          <t>No</t>
        </is>
      </c>
      <c r="V873" s="29">
        <f>IF(N873="","",IF(Q873="Yes","❌ Disc",IF(P873="No","⚠ Missing",IF(S873="Yes","✓ OK","⚠ Check"))))</f>
        <v/>
      </c>
      <c r="W873" s="65" t="n">
        <v>46248</v>
      </c>
      <c r="X873" s="30" t="inlineStr">
        <is>
          <t>Sunil CR</t>
        </is>
      </c>
      <c r="Y873" s="30" t="inlineStr">
        <is>
          <t>Yes</t>
        </is>
      </c>
      <c r="Z873" s="30" t="n"/>
      <c r="AA873" s="30" t="inlineStr">
        <is>
          <t>Good finish</t>
        </is>
      </c>
      <c r="AB873" s="30" t="inlineStr">
        <is>
          <t>Yes</t>
        </is>
      </c>
      <c r="AC873" s="27" t="n"/>
      <c r="AD873" s="31" t="inlineStr">
        <is>
          <t>No</t>
        </is>
      </c>
      <c r="AE873" s="32">
        <f>IF(W873="","",IF(Z873="Yes","❌ Disc",IF(Y873="No","⚠ Missing",IF(AB873="Yes","✓ OK","⚠ Check"))))</f>
        <v/>
      </c>
      <c r="AF873" s="33" t="n"/>
      <c r="AG873" s="33" t="n"/>
      <c r="AH873" s="33" t="n"/>
      <c r="AI873" s="33" t="n"/>
      <c r="AJ873" s="33" t="n"/>
      <c r="AK873" s="33" t="n"/>
      <c r="AL873" s="27" t="n"/>
      <c r="AM873" s="34" t="n"/>
      <c r="AN873" s="35">
        <f>IF(AF873="","",IF(AI873="Yes","❌ Disc",IF(AH873="No","⚠ Missing",IF(AK873="Yes","✓ OK","⚠ Check"))))</f>
        <v/>
      </c>
      <c r="AO873" s="36" t="n"/>
      <c r="AP873" s="36" t="n"/>
      <c r="AQ873" s="36" t="n"/>
      <c r="AR873" s="36" t="n"/>
      <c r="AS873" s="36" t="n"/>
      <c r="AT873" s="36" t="n"/>
      <c r="AU873" s="27" t="n"/>
      <c r="AV873" s="37" t="n"/>
      <c r="AW873" s="38">
        <f>IF(AO873="","",IF(AR873="Yes","❌ Disc",IF(AQ873="No","⚠ Missing",IF(AT873="Yes","✓ OK","⚠ Check"))))</f>
        <v/>
      </c>
    </row>
    <row r="874" ht="18" customHeight="1" s="46">
      <c r="A874" s="39" t="n">
        <v>870</v>
      </c>
      <c r="B874" s="40" t="inlineStr">
        <is>
          <t>WP LNCCN1105475</t>
        </is>
      </c>
      <c r="C874" s="41" t="inlineStr">
        <is>
          <t>Life n Colors - Ocean World, Kids Room Wallpaper  -  Canvas - a texture paper</t>
        </is>
      </c>
      <c r="D874" s="39" t="inlineStr">
        <is>
          <t>Life n Colors</t>
        </is>
      </c>
      <c r="E874" s="43" t="n">
        <v>46126</v>
      </c>
      <c r="F874" s="26" t="inlineStr">
        <is>
          <t>Sunil CR</t>
        </is>
      </c>
      <c r="G874" s="26" t="inlineStr">
        <is>
          <t>Yes</t>
        </is>
      </c>
      <c r="H874" s="26" t="inlineStr">
        <is>
          <t>No</t>
        </is>
      </c>
      <c r="I874" s="26" t="inlineStr">
        <is>
          <t>Good finish</t>
        </is>
      </c>
      <c r="J874" s="26" t="inlineStr">
        <is>
          <t>Yes</t>
        </is>
      </c>
      <c r="K874" s="27" t="n"/>
      <c r="L874" s="28" t="inlineStr">
        <is>
          <t>No</t>
        </is>
      </c>
      <c r="M874" s="29">
        <f>IF(E874="","",IF(H874="Yes","❌ Disc",IF(G874="No","⚠ Missing",IF(J874="Yes","✓ OK","⚠ Check"))))</f>
        <v/>
      </c>
      <c r="N874" s="43" t="n">
        <v>46193</v>
      </c>
      <c r="O874" s="26" t="inlineStr">
        <is>
          <t>Sunil CR</t>
        </is>
      </c>
      <c r="P874" s="26" t="inlineStr">
        <is>
          <t>Yes</t>
        </is>
      </c>
      <c r="Q874" s="26" t="inlineStr">
        <is>
          <t>No</t>
        </is>
      </c>
      <c r="R874" s="26" t="inlineStr">
        <is>
          <t>Good finish</t>
        </is>
      </c>
      <c r="S874" s="26" t="inlineStr">
        <is>
          <t>Yes</t>
        </is>
      </c>
      <c r="T874" s="27" t="n"/>
      <c r="U874" s="28" t="inlineStr">
        <is>
          <t>No</t>
        </is>
      </c>
      <c r="V874" s="29">
        <f>IF(N874="","",IF(Q874="Yes","❌ Disc",IF(P874="No","⚠ Missing",IF(S874="Yes","✓ OK","⚠ Check"))))</f>
        <v/>
      </c>
      <c r="W874" s="65" t="n">
        <v>46248</v>
      </c>
      <c r="X874" s="30" t="inlineStr">
        <is>
          <t>Sunil CR</t>
        </is>
      </c>
      <c r="Y874" s="30" t="inlineStr">
        <is>
          <t>Yes</t>
        </is>
      </c>
      <c r="Z874" s="30" t="n"/>
      <c r="AA874" s="30" t="inlineStr">
        <is>
          <t>Good finish</t>
        </is>
      </c>
      <c r="AB874" s="30" t="inlineStr">
        <is>
          <t>Yes</t>
        </is>
      </c>
      <c r="AC874" s="27" t="n"/>
      <c r="AD874" s="31" t="inlineStr">
        <is>
          <t>No</t>
        </is>
      </c>
      <c r="AE874" s="32">
        <f>IF(W874="","",IF(Z874="Yes","❌ Disc",IF(Y874="No","⚠ Missing",IF(AB874="Yes","✓ OK","⚠ Check"))))</f>
        <v/>
      </c>
      <c r="AF874" s="33" t="n"/>
      <c r="AG874" s="33" t="n"/>
      <c r="AH874" s="33" t="n"/>
      <c r="AI874" s="33" t="n"/>
      <c r="AJ874" s="33" t="n"/>
      <c r="AK874" s="33" t="n"/>
      <c r="AL874" s="27" t="n"/>
      <c r="AM874" s="34" t="n"/>
      <c r="AN874" s="35">
        <f>IF(AF874="","",IF(AI874="Yes","❌ Disc",IF(AH874="No","⚠ Missing",IF(AK874="Yes","✓ OK","⚠ Check"))))</f>
        <v/>
      </c>
      <c r="AO874" s="36" t="n"/>
      <c r="AP874" s="36" t="n"/>
      <c r="AQ874" s="36" t="n"/>
      <c r="AR874" s="36" t="n"/>
      <c r="AS874" s="36" t="n"/>
      <c r="AT874" s="36" t="n"/>
      <c r="AU874" s="27" t="n"/>
      <c r="AV874" s="37" t="n"/>
      <c r="AW874" s="38">
        <f>IF(AO874="","",IF(AR874="Yes","❌ Disc",IF(AQ874="No","⚠ Missing",IF(AT874="Yes","✓ OK","⚠ Check"))))</f>
        <v/>
      </c>
    </row>
    <row r="875" ht="18" customHeight="1" s="46">
      <c r="A875" s="23" t="n">
        <v>871</v>
      </c>
      <c r="B875" s="24" t="inlineStr">
        <is>
          <t>WP LNCSF1105475</t>
        </is>
      </c>
      <c r="C875" s="25" t="inlineStr">
        <is>
          <t>Life n Colors - Ocean World, Kids Room Wallpaper  - Non-woven - a soft feel paper</t>
        </is>
      </c>
      <c r="D875" s="23" t="inlineStr">
        <is>
          <t>Life n Colors</t>
        </is>
      </c>
      <c r="E875" s="43" t="n">
        <v>46126</v>
      </c>
      <c r="F875" s="26" t="inlineStr">
        <is>
          <t>Sunil CR</t>
        </is>
      </c>
      <c r="G875" s="26" t="inlineStr">
        <is>
          <t>Yes</t>
        </is>
      </c>
      <c r="H875" s="26" t="inlineStr">
        <is>
          <t>No</t>
        </is>
      </c>
      <c r="I875" s="26" t="inlineStr">
        <is>
          <t>Good finish</t>
        </is>
      </c>
      <c r="J875" s="26" t="inlineStr">
        <is>
          <t>Yes</t>
        </is>
      </c>
      <c r="K875" s="27" t="n"/>
      <c r="L875" s="28" t="inlineStr">
        <is>
          <t>No</t>
        </is>
      </c>
      <c r="M875" s="29">
        <f>IF(E875="","",IF(H875="Yes","❌ Disc",IF(G875="No","⚠ Missing",IF(J875="Yes","✓ OK","⚠ Check"))))</f>
        <v/>
      </c>
      <c r="N875" s="43" t="n">
        <v>46193</v>
      </c>
      <c r="O875" s="26" t="inlineStr">
        <is>
          <t>Sunil CR</t>
        </is>
      </c>
      <c r="P875" s="26" t="inlineStr">
        <is>
          <t>Yes</t>
        </is>
      </c>
      <c r="Q875" s="26" t="inlineStr">
        <is>
          <t>No</t>
        </is>
      </c>
      <c r="R875" s="26" t="inlineStr">
        <is>
          <t>Good finish</t>
        </is>
      </c>
      <c r="S875" s="26" t="inlineStr">
        <is>
          <t>Yes</t>
        </is>
      </c>
      <c r="T875" s="27" t="n"/>
      <c r="U875" s="28" t="inlineStr">
        <is>
          <t>No</t>
        </is>
      </c>
      <c r="V875" s="29">
        <f>IF(N875="","",IF(Q875="Yes","❌ Disc",IF(P875="No","⚠ Missing",IF(S875="Yes","✓ OK","⚠ Check"))))</f>
        <v/>
      </c>
      <c r="W875" s="65" t="n">
        <v>46248</v>
      </c>
      <c r="X875" s="30" t="inlineStr">
        <is>
          <t>Sunil CR</t>
        </is>
      </c>
      <c r="Y875" s="30" t="inlineStr">
        <is>
          <t>Yes</t>
        </is>
      </c>
      <c r="Z875" s="30" t="n"/>
      <c r="AA875" s="30" t="inlineStr">
        <is>
          <t>Good finish</t>
        </is>
      </c>
      <c r="AB875" s="30" t="inlineStr">
        <is>
          <t>Yes</t>
        </is>
      </c>
      <c r="AC875" s="27" t="n"/>
      <c r="AD875" s="31" t="inlineStr">
        <is>
          <t>No</t>
        </is>
      </c>
      <c r="AE875" s="32">
        <f>IF(W875="","",IF(Z875="Yes","❌ Disc",IF(Y875="No","⚠ Missing",IF(AB875="Yes","✓ OK","⚠ Check"))))</f>
        <v/>
      </c>
      <c r="AF875" s="33" t="n"/>
      <c r="AG875" s="33" t="n"/>
      <c r="AH875" s="33" t="n"/>
      <c r="AI875" s="33" t="n"/>
      <c r="AJ875" s="33" t="n"/>
      <c r="AK875" s="33" t="n"/>
      <c r="AL875" s="27" t="n"/>
      <c r="AM875" s="34" t="n"/>
      <c r="AN875" s="35">
        <f>IF(AF875="","",IF(AI875="Yes","❌ Disc",IF(AH875="No","⚠ Missing",IF(AK875="Yes","✓ OK","⚠ Check"))))</f>
        <v/>
      </c>
      <c r="AO875" s="36" t="n"/>
      <c r="AP875" s="36" t="n"/>
      <c r="AQ875" s="36" t="n"/>
      <c r="AR875" s="36" t="n"/>
      <c r="AS875" s="36" t="n"/>
      <c r="AT875" s="36" t="n"/>
      <c r="AU875" s="27" t="n"/>
      <c r="AV875" s="37" t="n"/>
      <c r="AW875" s="38">
        <f>IF(AO875="","",IF(AR875="Yes","❌ Disc",IF(AQ875="No","⚠ Missing",IF(AT875="Yes","✓ OK","⚠ Check"))))</f>
        <v/>
      </c>
    </row>
    <row r="876" ht="18" customHeight="1" s="46">
      <c r="A876" s="39" t="n">
        <v>872</v>
      </c>
      <c r="B876" s="40" t="inlineStr">
        <is>
          <t>WP LNCCN1088692</t>
        </is>
      </c>
      <c r="C876" s="41" t="inlineStr">
        <is>
          <t>Life n Colors - Orange &amp; Pink Polka Dots Pattern Design Wallpaper for Kids Room  -  Canvas - a texture paper</t>
        </is>
      </c>
      <c r="D876" s="39" t="inlineStr">
        <is>
          <t>Life n Colors</t>
        </is>
      </c>
      <c r="E876" s="43" t="n">
        <v>46126</v>
      </c>
      <c r="F876" s="26" t="inlineStr">
        <is>
          <t>Sunil CR</t>
        </is>
      </c>
      <c r="G876" s="26" t="inlineStr">
        <is>
          <t>Yes</t>
        </is>
      </c>
      <c r="H876" s="26" t="inlineStr">
        <is>
          <t>No</t>
        </is>
      </c>
      <c r="I876" s="26" t="inlineStr">
        <is>
          <t>Good finish</t>
        </is>
      </c>
      <c r="J876" s="26" t="inlineStr">
        <is>
          <t>Yes</t>
        </is>
      </c>
      <c r="K876" s="27" t="n"/>
      <c r="L876" s="28" t="inlineStr">
        <is>
          <t>No</t>
        </is>
      </c>
      <c r="M876" s="29">
        <f>IF(E876="","",IF(H876="Yes","❌ Disc",IF(G876="No","⚠ Missing",IF(J876="Yes","✓ OK","⚠ Check"))))</f>
        <v/>
      </c>
      <c r="N876" s="43" t="n">
        <v>46193</v>
      </c>
      <c r="O876" s="26" t="inlineStr">
        <is>
          <t>Sunil CR</t>
        </is>
      </c>
      <c r="P876" s="26" t="inlineStr">
        <is>
          <t>Yes</t>
        </is>
      </c>
      <c r="Q876" s="26" t="inlineStr">
        <is>
          <t>No</t>
        </is>
      </c>
      <c r="R876" s="26" t="inlineStr">
        <is>
          <t>Good finish</t>
        </is>
      </c>
      <c r="S876" s="26" t="inlineStr">
        <is>
          <t>Yes</t>
        </is>
      </c>
      <c r="T876" s="27" t="n"/>
      <c r="U876" s="28" t="inlineStr">
        <is>
          <t>No</t>
        </is>
      </c>
      <c r="V876" s="29">
        <f>IF(N876="","",IF(Q876="Yes","❌ Disc",IF(P876="No","⚠ Missing",IF(S876="Yes","✓ OK","⚠ Check"))))</f>
        <v/>
      </c>
      <c r="W876" s="65" t="n">
        <v>46248</v>
      </c>
      <c r="X876" s="30" t="inlineStr">
        <is>
          <t>Sunil CR</t>
        </is>
      </c>
      <c r="Y876" s="30" t="inlineStr">
        <is>
          <t>Yes</t>
        </is>
      </c>
      <c r="Z876" s="30" t="n"/>
      <c r="AA876" s="30" t="inlineStr">
        <is>
          <t>Good finish</t>
        </is>
      </c>
      <c r="AB876" s="30" t="inlineStr">
        <is>
          <t>Yes</t>
        </is>
      </c>
      <c r="AC876" s="27" t="n"/>
      <c r="AD876" s="31" t="inlineStr">
        <is>
          <t>No</t>
        </is>
      </c>
      <c r="AE876" s="32">
        <f>IF(W876="","",IF(Z876="Yes","❌ Disc",IF(Y876="No","⚠ Missing",IF(AB876="Yes","✓ OK","⚠ Check"))))</f>
        <v/>
      </c>
      <c r="AF876" s="33" t="n"/>
      <c r="AG876" s="33" t="n"/>
      <c r="AH876" s="33" t="n"/>
      <c r="AI876" s="33" t="n"/>
      <c r="AJ876" s="33" t="n"/>
      <c r="AK876" s="33" t="n"/>
      <c r="AL876" s="27" t="n"/>
      <c r="AM876" s="34" t="n"/>
      <c r="AN876" s="35">
        <f>IF(AF876="","",IF(AI876="Yes","❌ Disc",IF(AH876="No","⚠ Missing",IF(AK876="Yes","✓ OK","⚠ Check"))))</f>
        <v/>
      </c>
      <c r="AO876" s="36" t="n"/>
      <c r="AP876" s="36" t="n"/>
      <c r="AQ876" s="36" t="n"/>
      <c r="AR876" s="36" t="n"/>
      <c r="AS876" s="36" t="n"/>
      <c r="AT876" s="36" t="n"/>
      <c r="AU876" s="27" t="n"/>
      <c r="AV876" s="37" t="n"/>
      <c r="AW876" s="38">
        <f>IF(AO876="","",IF(AR876="Yes","❌ Disc",IF(AQ876="No","⚠ Missing",IF(AT876="Yes","✓ OK","⚠ Check"))))</f>
        <v/>
      </c>
    </row>
    <row r="877" ht="18" customHeight="1" s="46">
      <c r="A877" s="23" t="n">
        <v>873</v>
      </c>
      <c r="B877" s="24" t="inlineStr">
        <is>
          <t>WP LNCSF1088692</t>
        </is>
      </c>
      <c r="C877" s="25" t="inlineStr">
        <is>
          <t>Life n Colors - Orange &amp; Pink Polka Dots Pattern Design Wallpaper for Kids Room  - Non-woven - a soft feel paper</t>
        </is>
      </c>
      <c r="D877" s="23" t="inlineStr">
        <is>
          <t>Life n Colors</t>
        </is>
      </c>
      <c r="E877" s="43" t="n">
        <v>46126</v>
      </c>
      <c r="F877" s="26" t="inlineStr">
        <is>
          <t>Sunil CR</t>
        </is>
      </c>
      <c r="G877" s="26" t="inlineStr">
        <is>
          <t>Yes</t>
        </is>
      </c>
      <c r="H877" s="26" t="inlineStr">
        <is>
          <t>No</t>
        </is>
      </c>
      <c r="I877" s="26" t="inlineStr">
        <is>
          <t>Good finish</t>
        </is>
      </c>
      <c r="J877" s="26" t="inlineStr">
        <is>
          <t>Yes</t>
        </is>
      </c>
      <c r="K877" s="27" t="n"/>
      <c r="L877" s="28" t="inlineStr">
        <is>
          <t>No</t>
        </is>
      </c>
      <c r="M877" s="29">
        <f>IF(E877="","",IF(H877="Yes","❌ Disc",IF(G877="No","⚠ Missing",IF(J877="Yes","✓ OK","⚠ Check"))))</f>
        <v/>
      </c>
      <c r="N877" s="43" t="n">
        <v>46193</v>
      </c>
      <c r="O877" s="26" t="inlineStr">
        <is>
          <t>Sunil CR</t>
        </is>
      </c>
      <c r="P877" s="26" t="inlineStr">
        <is>
          <t>Yes</t>
        </is>
      </c>
      <c r="Q877" s="26" t="inlineStr">
        <is>
          <t>No</t>
        </is>
      </c>
      <c r="R877" s="26" t="inlineStr">
        <is>
          <t>Good finish</t>
        </is>
      </c>
      <c r="S877" s="26" t="inlineStr">
        <is>
          <t>Yes</t>
        </is>
      </c>
      <c r="T877" s="27" t="n"/>
      <c r="U877" s="28" t="inlineStr">
        <is>
          <t>No</t>
        </is>
      </c>
      <c r="V877" s="29">
        <f>IF(N877="","",IF(Q877="Yes","❌ Disc",IF(P877="No","⚠ Missing",IF(S877="Yes","✓ OK","⚠ Check"))))</f>
        <v/>
      </c>
      <c r="W877" s="65" t="n">
        <v>46248</v>
      </c>
      <c r="X877" s="30" t="inlineStr">
        <is>
          <t>Sunil CR</t>
        </is>
      </c>
      <c r="Y877" s="30" t="inlineStr">
        <is>
          <t>Yes</t>
        </is>
      </c>
      <c r="Z877" s="30" t="n"/>
      <c r="AA877" s="30" t="inlineStr">
        <is>
          <t>Good finish</t>
        </is>
      </c>
      <c r="AB877" s="30" t="inlineStr">
        <is>
          <t>Yes</t>
        </is>
      </c>
      <c r="AC877" s="27" t="n"/>
      <c r="AD877" s="31" t="inlineStr">
        <is>
          <t>No</t>
        </is>
      </c>
      <c r="AE877" s="32">
        <f>IF(W877="","",IF(Z877="Yes","❌ Disc",IF(Y877="No","⚠ Missing",IF(AB877="Yes","✓ OK","⚠ Check"))))</f>
        <v/>
      </c>
      <c r="AF877" s="33" t="n"/>
      <c r="AG877" s="33" t="n"/>
      <c r="AH877" s="33" t="n"/>
      <c r="AI877" s="33" t="n"/>
      <c r="AJ877" s="33" t="n"/>
      <c r="AK877" s="33" t="n"/>
      <c r="AL877" s="27" t="n"/>
      <c r="AM877" s="34" t="n"/>
      <c r="AN877" s="35">
        <f>IF(AF877="","",IF(AI877="Yes","❌ Disc",IF(AH877="No","⚠ Missing",IF(AK877="Yes","✓ OK","⚠ Check"))))</f>
        <v/>
      </c>
      <c r="AO877" s="36" t="n"/>
      <c r="AP877" s="36" t="n"/>
      <c r="AQ877" s="36" t="n"/>
      <c r="AR877" s="36" t="n"/>
      <c r="AS877" s="36" t="n"/>
      <c r="AT877" s="36" t="n"/>
      <c r="AU877" s="27" t="n"/>
      <c r="AV877" s="37" t="n"/>
      <c r="AW877" s="38">
        <f>IF(AO877="","",IF(AR877="Yes","❌ Disc",IF(AQ877="No","⚠ Missing",IF(AT877="Yes","✓ OK","⚠ Check"))))</f>
        <v/>
      </c>
    </row>
    <row r="878" ht="18" customHeight="1" s="46">
      <c r="A878" s="39" t="n">
        <v>874</v>
      </c>
      <c r="B878" s="40" t="inlineStr">
        <is>
          <t>WP LNCCN1178818</t>
        </is>
      </c>
      <c r="C878" s="41" t="inlineStr">
        <is>
          <t>Life n Colors - Paint Stroke Pattern Wallpaper for Walls  -  Canvas - a texture paper</t>
        </is>
      </c>
      <c r="D878" s="39" t="inlineStr">
        <is>
          <t>Life n Colors</t>
        </is>
      </c>
      <c r="E878" s="43" t="n">
        <v>46126</v>
      </c>
      <c r="F878" s="26" t="inlineStr">
        <is>
          <t>Sunil CR</t>
        </is>
      </c>
      <c r="G878" s="26" t="inlineStr">
        <is>
          <t>Yes</t>
        </is>
      </c>
      <c r="H878" s="26" t="inlineStr">
        <is>
          <t>No</t>
        </is>
      </c>
      <c r="I878" s="26" t="inlineStr">
        <is>
          <t>Good finish</t>
        </is>
      </c>
      <c r="J878" s="26" t="inlineStr">
        <is>
          <t>Yes</t>
        </is>
      </c>
      <c r="K878" s="27" t="n"/>
      <c r="L878" s="28" t="inlineStr">
        <is>
          <t>No</t>
        </is>
      </c>
      <c r="M878" s="29">
        <f>IF(E878="","",IF(H878="Yes","❌ Disc",IF(G878="No","⚠ Missing",IF(J878="Yes","✓ OK","⚠ Check"))))</f>
        <v/>
      </c>
      <c r="N878" s="43" t="n">
        <v>46193</v>
      </c>
      <c r="O878" s="26" t="inlineStr">
        <is>
          <t>Sunil CR</t>
        </is>
      </c>
      <c r="P878" s="26" t="inlineStr">
        <is>
          <t>Yes</t>
        </is>
      </c>
      <c r="Q878" s="26" t="inlineStr">
        <is>
          <t>No</t>
        </is>
      </c>
      <c r="R878" s="26" t="inlineStr">
        <is>
          <t>Good finish</t>
        </is>
      </c>
      <c r="S878" s="26" t="inlineStr">
        <is>
          <t>Yes</t>
        </is>
      </c>
      <c r="T878" s="27" t="n"/>
      <c r="U878" s="28" t="inlineStr">
        <is>
          <t>No</t>
        </is>
      </c>
      <c r="V878" s="29">
        <f>IF(N878="","",IF(Q878="Yes","❌ Disc",IF(P878="No","⚠ Missing",IF(S878="Yes","✓ OK","⚠ Check"))))</f>
        <v/>
      </c>
      <c r="W878" s="65" t="n">
        <v>46248</v>
      </c>
      <c r="X878" s="30" t="inlineStr">
        <is>
          <t>Sunil CR</t>
        </is>
      </c>
      <c r="Y878" s="30" t="inlineStr">
        <is>
          <t>Yes</t>
        </is>
      </c>
      <c r="Z878" s="30" t="n"/>
      <c r="AA878" s="30" t="inlineStr">
        <is>
          <t>Good finish</t>
        </is>
      </c>
      <c r="AB878" s="30" t="inlineStr">
        <is>
          <t>Yes</t>
        </is>
      </c>
      <c r="AC878" s="27" t="n"/>
      <c r="AD878" s="31" t="inlineStr">
        <is>
          <t>No</t>
        </is>
      </c>
      <c r="AE878" s="32">
        <f>IF(W878="","",IF(Z878="Yes","❌ Disc",IF(Y878="No","⚠ Missing",IF(AB878="Yes","✓ OK","⚠ Check"))))</f>
        <v/>
      </c>
      <c r="AF878" s="33" t="n"/>
      <c r="AG878" s="33" t="n"/>
      <c r="AH878" s="33" t="n"/>
      <c r="AI878" s="33" t="n"/>
      <c r="AJ878" s="33" t="n"/>
      <c r="AK878" s="33" t="n"/>
      <c r="AL878" s="27" t="n"/>
      <c r="AM878" s="34" t="n"/>
      <c r="AN878" s="35">
        <f>IF(AF878="","",IF(AI878="Yes","❌ Disc",IF(AH878="No","⚠ Missing",IF(AK878="Yes","✓ OK","⚠ Check"))))</f>
        <v/>
      </c>
      <c r="AO878" s="36" t="n"/>
      <c r="AP878" s="36" t="n"/>
      <c r="AQ878" s="36" t="n"/>
      <c r="AR878" s="36" t="n"/>
      <c r="AS878" s="36" t="n"/>
      <c r="AT878" s="36" t="n"/>
      <c r="AU878" s="27" t="n"/>
      <c r="AV878" s="37" t="n"/>
      <c r="AW878" s="38">
        <f>IF(AO878="","",IF(AR878="Yes","❌ Disc",IF(AQ878="No","⚠ Missing",IF(AT878="Yes","✓ OK","⚠ Check"))))</f>
        <v/>
      </c>
    </row>
    <row r="879" ht="18" customHeight="1" s="46">
      <c r="A879" s="23" t="n">
        <v>875</v>
      </c>
      <c r="B879" s="24" t="inlineStr">
        <is>
          <t>WP LNCSF1178818</t>
        </is>
      </c>
      <c r="C879" s="25" t="inlineStr">
        <is>
          <t>Life n Colors - Paint Stroke Pattern Wallpaper for Walls  - Non-woven - a soft feel paper</t>
        </is>
      </c>
      <c r="D879" s="23" t="inlineStr">
        <is>
          <t>Life n Colors</t>
        </is>
      </c>
      <c r="E879" s="43" t="n">
        <v>46126</v>
      </c>
      <c r="F879" s="26" t="inlineStr">
        <is>
          <t>Sunil CR</t>
        </is>
      </c>
      <c r="G879" s="26" t="inlineStr">
        <is>
          <t>Yes</t>
        </is>
      </c>
      <c r="H879" s="26" t="inlineStr">
        <is>
          <t>No</t>
        </is>
      </c>
      <c r="I879" s="26" t="inlineStr">
        <is>
          <t>Good finish</t>
        </is>
      </c>
      <c r="J879" s="26" t="inlineStr">
        <is>
          <t>Yes</t>
        </is>
      </c>
      <c r="K879" s="27" t="n"/>
      <c r="L879" s="28" t="inlineStr">
        <is>
          <t>No</t>
        </is>
      </c>
      <c r="M879" s="29">
        <f>IF(E879="","",IF(H879="Yes","❌ Disc",IF(G879="No","⚠ Missing",IF(J879="Yes","✓ OK","⚠ Check"))))</f>
        <v/>
      </c>
      <c r="N879" s="43" t="n">
        <v>46193</v>
      </c>
      <c r="O879" s="26" t="inlineStr">
        <is>
          <t>Sunil CR</t>
        </is>
      </c>
      <c r="P879" s="26" t="inlineStr">
        <is>
          <t>Yes</t>
        </is>
      </c>
      <c r="Q879" s="26" t="inlineStr">
        <is>
          <t>No</t>
        </is>
      </c>
      <c r="R879" s="26" t="inlineStr">
        <is>
          <t>Good finish</t>
        </is>
      </c>
      <c r="S879" s="26" t="inlineStr">
        <is>
          <t>Yes</t>
        </is>
      </c>
      <c r="T879" s="27" t="n"/>
      <c r="U879" s="28" t="inlineStr">
        <is>
          <t>No</t>
        </is>
      </c>
      <c r="V879" s="29">
        <f>IF(N879="","",IF(Q879="Yes","❌ Disc",IF(P879="No","⚠ Missing",IF(S879="Yes","✓ OK","⚠ Check"))))</f>
        <v/>
      </c>
      <c r="W879" s="65" t="n">
        <v>46248</v>
      </c>
      <c r="X879" s="30" t="inlineStr">
        <is>
          <t>Sunil CR</t>
        </is>
      </c>
      <c r="Y879" s="30" t="inlineStr">
        <is>
          <t>Yes</t>
        </is>
      </c>
      <c r="Z879" s="30" t="n"/>
      <c r="AA879" s="30" t="inlineStr">
        <is>
          <t>Good finish</t>
        </is>
      </c>
      <c r="AB879" s="30" t="inlineStr">
        <is>
          <t>Yes</t>
        </is>
      </c>
      <c r="AC879" s="27" t="n"/>
      <c r="AD879" s="31" t="inlineStr">
        <is>
          <t>No</t>
        </is>
      </c>
      <c r="AE879" s="32">
        <f>IF(W879="","",IF(Z879="Yes","❌ Disc",IF(Y879="No","⚠ Missing",IF(AB879="Yes","✓ OK","⚠ Check"))))</f>
        <v/>
      </c>
      <c r="AF879" s="33" t="n"/>
      <c r="AG879" s="33" t="n"/>
      <c r="AH879" s="33" t="n"/>
      <c r="AI879" s="33" t="n"/>
      <c r="AJ879" s="33" t="n"/>
      <c r="AK879" s="33" t="n"/>
      <c r="AL879" s="27" t="n"/>
      <c r="AM879" s="34" t="n"/>
      <c r="AN879" s="35">
        <f>IF(AF879="","",IF(AI879="Yes","❌ Disc",IF(AH879="No","⚠ Missing",IF(AK879="Yes","✓ OK","⚠ Check"))))</f>
        <v/>
      </c>
      <c r="AO879" s="36" t="n"/>
      <c r="AP879" s="36" t="n"/>
      <c r="AQ879" s="36" t="n"/>
      <c r="AR879" s="36" t="n"/>
      <c r="AS879" s="36" t="n"/>
      <c r="AT879" s="36" t="n"/>
      <c r="AU879" s="27" t="n"/>
      <c r="AV879" s="37" t="n"/>
      <c r="AW879" s="38">
        <f>IF(AO879="","",IF(AR879="Yes","❌ Disc",IF(AQ879="No","⚠ Missing",IF(AT879="Yes","✓ OK","⚠ Check"))))</f>
        <v/>
      </c>
    </row>
    <row r="880" ht="18" customHeight="1" s="46">
      <c r="A880" s="39" t="n">
        <v>876</v>
      </c>
      <c r="B880" s="40" t="inlineStr">
        <is>
          <t>WP LNCCN1121226</t>
        </is>
      </c>
      <c r="C880" s="41" t="inlineStr">
        <is>
          <t>Life n Colors - Paisley Design Wallpaper, Bedrooms &amp; Living Rooms  -  Canvas - a texture paper</t>
        </is>
      </c>
      <c r="D880" s="39" t="inlineStr">
        <is>
          <t>Life n Colors</t>
        </is>
      </c>
      <c r="E880" s="43" t="n">
        <v>46126</v>
      </c>
      <c r="F880" s="26" t="inlineStr">
        <is>
          <t>Sunil CR</t>
        </is>
      </c>
      <c r="G880" s="26" t="inlineStr">
        <is>
          <t>Yes</t>
        </is>
      </c>
      <c r="H880" s="26" t="inlineStr">
        <is>
          <t>No</t>
        </is>
      </c>
      <c r="I880" s="26" t="inlineStr">
        <is>
          <t>Good finish</t>
        </is>
      </c>
      <c r="J880" s="26" t="inlineStr">
        <is>
          <t>Yes</t>
        </is>
      </c>
      <c r="K880" s="27" t="n"/>
      <c r="L880" s="28" t="inlineStr">
        <is>
          <t>No</t>
        </is>
      </c>
      <c r="M880" s="29">
        <f>IF(E880="","",IF(H880="Yes","❌ Disc",IF(G880="No","⚠ Missing",IF(J880="Yes","✓ OK","⚠ Check"))))</f>
        <v/>
      </c>
      <c r="N880" s="43" t="n">
        <v>46193</v>
      </c>
      <c r="O880" s="26" t="inlineStr">
        <is>
          <t>Sunil CR</t>
        </is>
      </c>
      <c r="P880" s="26" t="inlineStr">
        <is>
          <t>Yes</t>
        </is>
      </c>
      <c r="Q880" s="26" t="inlineStr">
        <is>
          <t>No</t>
        </is>
      </c>
      <c r="R880" s="26" t="inlineStr">
        <is>
          <t>Good finish</t>
        </is>
      </c>
      <c r="S880" s="26" t="inlineStr">
        <is>
          <t>Yes</t>
        </is>
      </c>
      <c r="T880" s="27" t="n"/>
      <c r="U880" s="28" t="inlineStr">
        <is>
          <t>No</t>
        </is>
      </c>
      <c r="V880" s="29">
        <f>IF(N880="","",IF(Q880="Yes","❌ Disc",IF(P880="No","⚠ Missing",IF(S880="Yes","✓ OK","⚠ Check"))))</f>
        <v/>
      </c>
      <c r="W880" s="65" t="n">
        <v>46248</v>
      </c>
      <c r="X880" s="30" t="inlineStr">
        <is>
          <t>Sunil CR</t>
        </is>
      </c>
      <c r="Y880" s="30" t="inlineStr">
        <is>
          <t>Yes</t>
        </is>
      </c>
      <c r="Z880" s="30" t="n"/>
      <c r="AA880" s="30" t="inlineStr">
        <is>
          <t>Good finish</t>
        </is>
      </c>
      <c r="AB880" s="30" t="inlineStr">
        <is>
          <t>Yes</t>
        </is>
      </c>
      <c r="AC880" s="27" t="n"/>
      <c r="AD880" s="31" t="inlineStr">
        <is>
          <t>No</t>
        </is>
      </c>
      <c r="AE880" s="32">
        <f>IF(W880="","",IF(Z880="Yes","❌ Disc",IF(Y880="No","⚠ Missing",IF(AB880="Yes","✓ OK","⚠ Check"))))</f>
        <v/>
      </c>
      <c r="AF880" s="33" t="n"/>
      <c r="AG880" s="33" t="n"/>
      <c r="AH880" s="33" t="n"/>
      <c r="AI880" s="33" t="n"/>
      <c r="AJ880" s="33" t="n"/>
      <c r="AK880" s="33" t="n"/>
      <c r="AL880" s="27" t="n"/>
      <c r="AM880" s="34" t="n"/>
      <c r="AN880" s="35">
        <f>IF(AF880="","",IF(AI880="Yes","❌ Disc",IF(AH880="No","⚠ Missing",IF(AK880="Yes","✓ OK","⚠ Check"))))</f>
        <v/>
      </c>
      <c r="AO880" s="36" t="n"/>
      <c r="AP880" s="36" t="n"/>
      <c r="AQ880" s="36" t="n"/>
      <c r="AR880" s="36" t="n"/>
      <c r="AS880" s="36" t="n"/>
      <c r="AT880" s="36" t="n"/>
      <c r="AU880" s="27" t="n"/>
      <c r="AV880" s="37" t="n"/>
      <c r="AW880" s="38">
        <f>IF(AO880="","",IF(AR880="Yes","❌ Disc",IF(AQ880="No","⚠ Missing",IF(AT880="Yes","✓ OK","⚠ Check"))))</f>
        <v/>
      </c>
    </row>
    <row r="881" ht="18" customHeight="1" s="46">
      <c r="A881" s="23" t="n">
        <v>877</v>
      </c>
      <c r="B881" s="24" t="inlineStr">
        <is>
          <t>WP LNCSF1121226</t>
        </is>
      </c>
      <c r="C881" s="25" t="inlineStr">
        <is>
          <t>Life n Colors - Paisley Design Wallpaper, Bedrooms &amp; Living Rooms  - Non-woven - a soft feel paper</t>
        </is>
      </c>
      <c r="D881" s="23" t="inlineStr">
        <is>
          <t>Life n Colors</t>
        </is>
      </c>
      <c r="E881" s="43" t="n">
        <v>46126</v>
      </c>
      <c r="F881" s="26" t="inlineStr">
        <is>
          <t>Sunil CR</t>
        </is>
      </c>
      <c r="G881" s="26" t="inlineStr">
        <is>
          <t>Yes</t>
        </is>
      </c>
      <c r="H881" s="26" t="inlineStr">
        <is>
          <t>No</t>
        </is>
      </c>
      <c r="I881" s="26" t="inlineStr">
        <is>
          <t>Good finish</t>
        </is>
      </c>
      <c r="J881" s="26" t="inlineStr">
        <is>
          <t>Yes</t>
        </is>
      </c>
      <c r="K881" s="27" t="n"/>
      <c r="L881" s="28" t="inlineStr">
        <is>
          <t>No</t>
        </is>
      </c>
      <c r="M881" s="29">
        <f>IF(E881="","",IF(H881="Yes","❌ Disc",IF(G881="No","⚠ Missing",IF(J881="Yes","✓ OK","⚠ Check"))))</f>
        <v/>
      </c>
      <c r="N881" s="43" t="n">
        <v>46193</v>
      </c>
      <c r="O881" s="26" t="inlineStr">
        <is>
          <t>Sunil CR</t>
        </is>
      </c>
      <c r="P881" s="26" t="inlineStr">
        <is>
          <t>Yes</t>
        </is>
      </c>
      <c r="Q881" s="26" t="inlineStr">
        <is>
          <t>No</t>
        </is>
      </c>
      <c r="R881" s="26" t="inlineStr">
        <is>
          <t>Good finish</t>
        </is>
      </c>
      <c r="S881" s="26" t="inlineStr">
        <is>
          <t>Yes</t>
        </is>
      </c>
      <c r="T881" s="27" t="n"/>
      <c r="U881" s="28" t="inlineStr">
        <is>
          <t>No</t>
        </is>
      </c>
      <c r="V881" s="29">
        <f>IF(N881="","",IF(Q881="Yes","❌ Disc",IF(P881="No","⚠ Missing",IF(S881="Yes","✓ OK","⚠ Check"))))</f>
        <v/>
      </c>
      <c r="W881" s="65" t="n">
        <v>46248</v>
      </c>
      <c r="X881" s="30" t="inlineStr">
        <is>
          <t>Sunil CR</t>
        </is>
      </c>
      <c r="Y881" s="30" t="inlineStr">
        <is>
          <t>Yes</t>
        </is>
      </c>
      <c r="Z881" s="30" t="n"/>
      <c r="AA881" s="30" t="inlineStr">
        <is>
          <t>Good finish</t>
        </is>
      </c>
      <c r="AB881" s="30" t="inlineStr">
        <is>
          <t>Yes</t>
        </is>
      </c>
      <c r="AC881" s="27" t="n"/>
      <c r="AD881" s="31" t="inlineStr">
        <is>
          <t>No</t>
        </is>
      </c>
      <c r="AE881" s="32">
        <f>IF(W881="","",IF(Z881="Yes","❌ Disc",IF(Y881="No","⚠ Missing",IF(AB881="Yes","✓ OK","⚠ Check"))))</f>
        <v/>
      </c>
      <c r="AF881" s="33" t="n"/>
      <c r="AG881" s="33" t="n"/>
      <c r="AH881" s="33" t="n"/>
      <c r="AI881" s="33" t="n"/>
      <c r="AJ881" s="33" t="n"/>
      <c r="AK881" s="33" t="n"/>
      <c r="AL881" s="27" t="n"/>
      <c r="AM881" s="34" t="n"/>
      <c r="AN881" s="35">
        <f>IF(AF881="","",IF(AI881="Yes","❌ Disc",IF(AH881="No","⚠ Missing",IF(AK881="Yes","✓ OK","⚠ Check"))))</f>
        <v/>
      </c>
      <c r="AO881" s="36" t="n"/>
      <c r="AP881" s="36" t="n"/>
      <c r="AQ881" s="36" t="n"/>
      <c r="AR881" s="36" t="n"/>
      <c r="AS881" s="36" t="n"/>
      <c r="AT881" s="36" t="n"/>
      <c r="AU881" s="27" t="n"/>
      <c r="AV881" s="37" t="n"/>
      <c r="AW881" s="38">
        <f>IF(AO881="","",IF(AR881="Yes","❌ Disc",IF(AQ881="No","⚠ Missing",IF(AT881="Yes","✓ OK","⚠ Check"))))</f>
        <v/>
      </c>
    </row>
    <row r="882" ht="18" customHeight="1" s="46">
      <c r="A882" s="39" t="n">
        <v>878</v>
      </c>
      <c r="B882" s="40" t="inlineStr">
        <is>
          <t>WP LNCCN1154838</t>
        </is>
      </c>
      <c r="C882" s="41" t="inlineStr">
        <is>
          <t>Life n Colors - Pallav, A Champagne Pink Colors Tropical Wallpaper  -  Canvas - a texture paper</t>
        </is>
      </c>
      <c r="D882" s="39" t="inlineStr">
        <is>
          <t>Life n Colors</t>
        </is>
      </c>
      <c r="E882" s="43" t="n">
        <v>46126</v>
      </c>
      <c r="F882" s="26" t="inlineStr">
        <is>
          <t>Sunil CR</t>
        </is>
      </c>
      <c r="G882" s="26" t="inlineStr">
        <is>
          <t>Yes</t>
        </is>
      </c>
      <c r="H882" s="26" t="inlineStr">
        <is>
          <t>No</t>
        </is>
      </c>
      <c r="I882" s="26" t="inlineStr">
        <is>
          <t>Good finish</t>
        </is>
      </c>
      <c r="J882" s="26" t="inlineStr">
        <is>
          <t>Yes</t>
        </is>
      </c>
      <c r="K882" s="27" t="n"/>
      <c r="L882" s="28" t="inlineStr">
        <is>
          <t>No</t>
        </is>
      </c>
      <c r="M882" s="29">
        <f>IF(E882="","",IF(H882="Yes","❌ Disc",IF(G882="No","⚠ Missing",IF(J882="Yes","✓ OK","⚠ Check"))))</f>
        <v/>
      </c>
      <c r="N882" s="43" t="n">
        <v>46193</v>
      </c>
      <c r="O882" s="26" t="inlineStr">
        <is>
          <t>Sunil CR</t>
        </is>
      </c>
      <c r="P882" s="26" t="inlineStr">
        <is>
          <t>Yes</t>
        </is>
      </c>
      <c r="Q882" s="26" t="inlineStr">
        <is>
          <t>No</t>
        </is>
      </c>
      <c r="R882" s="26" t="inlineStr">
        <is>
          <t>Good finish</t>
        </is>
      </c>
      <c r="S882" s="26" t="inlineStr">
        <is>
          <t>Yes</t>
        </is>
      </c>
      <c r="T882" s="27" t="n"/>
      <c r="U882" s="28" t="inlineStr">
        <is>
          <t>No</t>
        </is>
      </c>
      <c r="V882" s="29">
        <f>IF(N882="","",IF(Q882="Yes","❌ Disc",IF(P882="No","⚠ Missing",IF(S882="Yes","✓ OK","⚠ Check"))))</f>
        <v/>
      </c>
      <c r="W882" s="65" t="n">
        <v>46248</v>
      </c>
      <c r="X882" s="30" t="inlineStr">
        <is>
          <t>Sunil CR</t>
        </is>
      </c>
      <c r="Y882" s="30" t="inlineStr">
        <is>
          <t>Yes</t>
        </is>
      </c>
      <c r="Z882" s="30" t="n"/>
      <c r="AA882" s="30" t="inlineStr">
        <is>
          <t>Good finish</t>
        </is>
      </c>
      <c r="AB882" s="30" t="inlineStr">
        <is>
          <t>Yes</t>
        </is>
      </c>
      <c r="AC882" s="27" t="n"/>
      <c r="AD882" s="31" t="inlineStr">
        <is>
          <t>No</t>
        </is>
      </c>
      <c r="AE882" s="32">
        <f>IF(W882="","",IF(Z882="Yes","❌ Disc",IF(Y882="No","⚠ Missing",IF(AB882="Yes","✓ OK","⚠ Check"))))</f>
        <v/>
      </c>
      <c r="AF882" s="33" t="n"/>
      <c r="AG882" s="33" t="n"/>
      <c r="AH882" s="33" t="n"/>
      <c r="AI882" s="33" t="n"/>
      <c r="AJ882" s="33" t="n"/>
      <c r="AK882" s="33" t="n"/>
      <c r="AL882" s="27" t="n"/>
      <c r="AM882" s="34" t="n"/>
      <c r="AN882" s="35">
        <f>IF(AF882="","",IF(AI882="Yes","❌ Disc",IF(AH882="No","⚠ Missing",IF(AK882="Yes","✓ OK","⚠ Check"))))</f>
        <v/>
      </c>
      <c r="AO882" s="36" t="n"/>
      <c r="AP882" s="36" t="n"/>
      <c r="AQ882" s="36" t="n"/>
      <c r="AR882" s="36" t="n"/>
      <c r="AS882" s="36" t="n"/>
      <c r="AT882" s="36" t="n"/>
      <c r="AU882" s="27" t="n"/>
      <c r="AV882" s="37" t="n"/>
      <c r="AW882" s="38">
        <f>IF(AO882="","",IF(AR882="Yes","❌ Disc",IF(AQ882="No","⚠ Missing",IF(AT882="Yes","✓ OK","⚠ Check"))))</f>
        <v/>
      </c>
    </row>
    <row r="883" ht="18" customHeight="1" s="46">
      <c r="A883" s="23" t="n">
        <v>879</v>
      </c>
      <c r="B883" s="24" t="inlineStr">
        <is>
          <t>WP LNCSF1154838</t>
        </is>
      </c>
      <c r="C883" s="25" t="inlineStr">
        <is>
          <t>Life n Colors - Pallav, A Champagne Pink Colors Tropical Wallpaper  - Non-woven - a soft feel paper</t>
        </is>
      </c>
      <c r="D883" s="23" t="inlineStr">
        <is>
          <t>Life n Colors</t>
        </is>
      </c>
      <c r="E883" s="43" t="n">
        <v>46126</v>
      </c>
      <c r="F883" s="26" t="inlineStr">
        <is>
          <t>Sunil CR</t>
        </is>
      </c>
      <c r="G883" s="26" t="inlineStr">
        <is>
          <t>Yes</t>
        </is>
      </c>
      <c r="H883" s="26" t="inlineStr">
        <is>
          <t>No</t>
        </is>
      </c>
      <c r="I883" s="26" t="inlineStr">
        <is>
          <t>Good finish</t>
        </is>
      </c>
      <c r="J883" s="26" t="inlineStr">
        <is>
          <t>Yes</t>
        </is>
      </c>
      <c r="K883" s="27" t="n"/>
      <c r="L883" s="28" t="inlineStr">
        <is>
          <t>No</t>
        </is>
      </c>
      <c r="M883" s="29">
        <f>IF(E883="","",IF(H883="Yes","❌ Disc",IF(G883="No","⚠ Missing",IF(J883="Yes","✓ OK","⚠ Check"))))</f>
        <v/>
      </c>
      <c r="N883" s="43" t="n">
        <v>46193</v>
      </c>
      <c r="O883" s="26" t="inlineStr">
        <is>
          <t>Sunil CR</t>
        </is>
      </c>
      <c r="P883" s="26" t="inlineStr">
        <is>
          <t>Yes</t>
        </is>
      </c>
      <c r="Q883" s="26" t="inlineStr">
        <is>
          <t>No</t>
        </is>
      </c>
      <c r="R883" s="26" t="inlineStr">
        <is>
          <t>Good finish</t>
        </is>
      </c>
      <c r="S883" s="26" t="inlineStr">
        <is>
          <t>Yes</t>
        </is>
      </c>
      <c r="T883" s="27" t="n"/>
      <c r="U883" s="28" t="inlineStr">
        <is>
          <t>No</t>
        </is>
      </c>
      <c r="V883" s="29">
        <f>IF(N883="","",IF(Q883="Yes","❌ Disc",IF(P883="No","⚠ Missing",IF(S883="Yes","✓ OK","⚠ Check"))))</f>
        <v/>
      </c>
      <c r="W883" s="65" t="n">
        <v>46248</v>
      </c>
      <c r="X883" s="30" t="inlineStr">
        <is>
          <t>Sunil CR</t>
        </is>
      </c>
      <c r="Y883" s="30" t="inlineStr">
        <is>
          <t>Yes</t>
        </is>
      </c>
      <c r="Z883" s="30" t="n"/>
      <c r="AA883" s="30" t="inlineStr">
        <is>
          <t>Good finish</t>
        </is>
      </c>
      <c r="AB883" s="30" t="inlineStr">
        <is>
          <t>Yes</t>
        </is>
      </c>
      <c r="AC883" s="27" t="n"/>
      <c r="AD883" s="31" t="inlineStr">
        <is>
          <t>No</t>
        </is>
      </c>
      <c r="AE883" s="32">
        <f>IF(W883="","",IF(Z883="Yes","❌ Disc",IF(Y883="No","⚠ Missing",IF(AB883="Yes","✓ OK","⚠ Check"))))</f>
        <v/>
      </c>
      <c r="AF883" s="33" t="n"/>
      <c r="AG883" s="33" t="n"/>
      <c r="AH883" s="33" t="n"/>
      <c r="AI883" s="33" t="n"/>
      <c r="AJ883" s="33" t="n"/>
      <c r="AK883" s="33" t="n"/>
      <c r="AL883" s="27" t="n"/>
      <c r="AM883" s="34" t="n"/>
      <c r="AN883" s="35">
        <f>IF(AF883="","",IF(AI883="Yes","❌ Disc",IF(AH883="No","⚠ Missing",IF(AK883="Yes","✓ OK","⚠ Check"))))</f>
        <v/>
      </c>
      <c r="AO883" s="36" t="n"/>
      <c r="AP883" s="36" t="n"/>
      <c r="AQ883" s="36" t="n"/>
      <c r="AR883" s="36" t="n"/>
      <c r="AS883" s="36" t="n"/>
      <c r="AT883" s="36" t="n"/>
      <c r="AU883" s="27" t="n"/>
      <c r="AV883" s="37" t="n"/>
      <c r="AW883" s="38">
        <f>IF(AO883="","",IF(AR883="Yes","❌ Disc",IF(AQ883="No","⚠ Missing",IF(AT883="Yes","✓ OK","⚠ Check"))))</f>
        <v/>
      </c>
    </row>
    <row r="884" ht="18" customHeight="1" s="46">
      <c r="A884" s="39" t="n">
        <v>880</v>
      </c>
      <c r="B884" s="40" t="inlineStr">
        <is>
          <t>WP LNCCN1008116</t>
        </is>
      </c>
      <c r="C884" s="41" t="inlineStr">
        <is>
          <t>Life n Colors - Pastel Blue and White Checks, Children Room Wallpaper, Customised  -  Canvas - a texture paper</t>
        </is>
      </c>
      <c r="D884" s="39" t="inlineStr">
        <is>
          <t>Life n Colors</t>
        </is>
      </c>
      <c r="E884" s="43" t="n">
        <v>46126</v>
      </c>
      <c r="F884" s="26" t="inlineStr">
        <is>
          <t>Sunil CR</t>
        </is>
      </c>
      <c r="G884" s="26" t="inlineStr">
        <is>
          <t>Yes</t>
        </is>
      </c>
      <c r="H884" s="26" t="inlineStr">
        <is>
          <t>No</t>
        </is>
      </c>
      <c r="I884" s="26" t="inlineStr">
        <is>
          <t>Good finish</t>
        </is>
      </c>
      <c r="J884" s="26" t="inlineStr">
        <is>
          <t>Yes</t>
        </is>
      </c>
      <c r="K884" s="27" t="n"/>
      <c r="L884" s="28" t="inlineStr">
        <is>
          <t>No</t>
        </is>
      </c>
      <c r="M884" s="29">
        <f>IF(E884="","",IF(H884="Yes","❌ Disc",IF(G884="No","⚠ Missing",IF(J884="Yes","✓ OK","⚠ Check"))))</f>
        <v/>
      </c>
      <c r="N884" s="43" t="n">
        <v>46193</v>
      </c>
      <c r="O884" s="26" t="inlineStr">
        <is>
          <t>Sunil CR</t>
        </is>
      </c>
      <c r="P884" s="26" t="inlineStr">
        <is>
          <t>Yes</t>
        </is>
      </c>
      <c r="Q884" s="26" t="inlineStr">
        <is>
          <t>No</t>
        </is>
      </c>
      <c r="R884" s="26" t="inlineStr">
        <is>
          <t>Good finish</t>
        </is>
      </c>
      <c r="S884" s="26" t="inlineStr">
        <is>
          <t>Yes</t>
        </is>
      </c>
      <c r="T884" s="27" t="n"/>
      <c r="U884" s="28" t="inlineStr">
        <is>
          <t>No</t>
        </is>
      </c>
      <c r="V884" s="29">
        <f>IF(N884="","",IF(Q884="Yes","❌ Disc",IF(P884="No","⚠ Missing",IF(S884="Yes","✓ OK","⚠ Check"))))</f>
        <v/>
      </c>
      <c r="W884" s="65" t="n">
        <v>46248</v>
      </c>
      <c r="X884" s="30" t="inlineStr">
        <is>
          <t>Sunil CR</t>
        </is>
      </c>
      <c r="Y884" s="30" t="inlineStr">
        <is>
          <t>Yes</t>
        </is>
      </c>
      <c r="Z884" s="30" t="n"/>
      <c r="AA884" s="30" t="inlineStr">
        <is>
          <t>Good finish</t>
        </is>
      </c>
      <c r="AB884" s="30" t="inlineStr">
        <is>
          <t>Yes</t>
        </is>
      </c>
      <c r="AC884" s="27" t="n"/>
      <c r="AD884" s="31" t="inlineStr">
        <is>
          <t>No</t>
        </is>
      </c>
      <c r="AE884" s="32">
        <f>IF(W884="","",IF(Z884="Yes","❌ Disc",IF(Y884="No","⚠ Missing",IF(AB884="Yes","✓ OK","⚠ Check"))))</f>
        <v/>
      </c>
      <c r="AF884" s="33" t="n"/>
      <c r="AG884" s="33" t="n"/>
      <c r="AH884" s="33" t="n"/>
      <c r="AI884" s="33" t="n"/>
      <c r="AJ884" s="33" t="n"/>
      <c r="AK884" s="33" t="n"/>
      <c r="AL884" s="27" t="n"/>
      <c r="AM884" s="34" t="n"/>
      <c r="AN884" s="35">
        <f>IF(AF884="","",IF(AI884="Yes","❌ Disc",IF(AH884="No","⚠ Missing",IF(AK884="Yes","✓ OK","⚠ Check"))))</f>
        <v/>
      </c>
      <c r="AO884" s="36" t="n"/>
      <c r="AP884" s="36" t="n"/>
      <c r="AQ884" s="36" t="n"/>
      <c r="AR884" s="36" t="n"/>
      <c r="AS884" s="36" t="n"/>
      <c r="AT884" s="36" t="n"/>
      <c r="AU884" s="27" t="n"/>
      <c r="AV884" s="37" t="n"/>
      <c r="AW884" s="38">
        <f>IF(AO884="","",IF(AR884="Yes","❌ Disc",IF(AQ884="No","⚠ Missing",IF(AT884="Yes","✓ OK","⚠ Check"))))</f>
        <v/>
      </c>
    </row>
    <row r="885" ht="18" customHeight="1" s="46">
      <c r="A885" s="23" t="n">
        <v>881</v>
      </c>
      <c r="B885" s="24" t="inlineStr">
        <is>
          <t>WP LNCSF1008116</t>
        </is>
      </c>
      <c r="C885" s="25" t="inlineStr">
        <is>
          <t>Life n Colors - Pastel Blue and White Checks, Children Room Wallpaper, Customised  - Non-woven - a soft feel paper</t>
        </is>
      </c>
      <c r="D885" s="23" t="inlineStr">
        <is>
          <t>Life n Colors</t>
        </is>
      </c>
      <c r="E885" s="43" t="n">
        <v>46126</v>
      </c>
      <c r="F885" s="26" t="inlineStr">
        <is>
          <t>Sunil CR</t>
        </is>
      </c>
      <c r="G885" s="26" t="inlineStr">
        <is>
          <t>Yes</t>
        </is>
      </c>
      <c r="H885" s="26" t="inlineStr">
        <is>
          <t>No</t>
        </is>
      </c>
      <c r="I885" s="26" t="inlineStr">
        <is>
          <t>Good finish</t>
        </is>
      </c>
      <c r="J885" s="26" t="inlineStr">
        <is>
          <t>Yes</t>
        </is>
      </c>
      <c r="K885" s="27" t="n"/>
      <c r="L885" s="28" t="inlineStr">
        <is>
          <t>No</t>
        </is>
      </c>
      <c r="M885" s="29">
        <f>IF(E885="","",IF(H885="Yes","❌ Disc",IF(G885="No","⚠ Missing",IF(J885="Yes","✓ OK","⚠ Check"))))</f>
        <v/>
      </c>
      <c r="N885" s="43" t="n">
        <v>46193</v>
      </c>
      <c r="O885" s="26" t="inlineStr">
        <is>
          <t>Sunil CR</t>
        </is>
      </c>
      <c r="P885" s="26" t="inlineStr">
        <is>
          <t>Yes</t>
        </is>
      </c>
      <c r="Q885" s="26" t="inlineStr">
        <is>
          <t>No</t>
        </is>
      </c>
      <c r="R885" s="26" t="inlineStr">
        <is>
          <t>Good finish</t>
        </is>
      </c>
      <c r="S885" s="26" t="inlineStr">
        <is>
          <t>Yes</t>
        </is>
      </c>
      <c r="T885" s="27" t="n"/>
      <c r="U885" s="28" t="inlineStr">
        <is>
          <t>No</t>
        </is>
      </c>
      <c r="V885" s="29">
        <f>IF(N885="","",IF(Q885="Yes","❌ Disc",IF(P885="No","⚠ Missing",IF(S885="Yes","✓ OK","⚠ Check"))))</f>
        <v/>
      </c>
      <c r="W885" s="65" t="n">
        <v>46248</v>
      </c>
      <c r="X885" s="30" t="inlineStr">
        <is>
          <t>Sunil CR</t>
        </is>
      </c>
      <c r="Y885" s="30" t="inlineStr">
        <is>
          <t>Yes</t>
        </is>
      </c>
      <c r="Z885" s="30" t="n"/>
      <c r="AA885" s="30" t="inlineStr">
        <is>
          <t>Good finish</t>
        </is>
      </c>
      <c r="AB885" s="30" t="inlineStr">
        <is>
          <t>Yes</t>
        </is>
      </c>
      <c r="AC885" s="27" t="n"/>
      <c r="AD885" s="31" t="inlineStr">
        <is>
          <t>No</t>
        </is>
      </c>
      <c r="AE885" s="32">
        <f>IF(W885="","",IF(Z885="Yes","❌ Disc",IF(Y885="No","⚠ Missing",IF(AB885="Yes","✓ OK","⚠ Check"))))</f>
        <v/>
      </c>
      <c r="AF885" s="33" t="n"/>
      <c r="AG885" s="33" t="n"/>
      <c r="AH885" s="33" t="n"/>
      <c r="AI885" s="33" t="n"/>
      <c r="AJ885" s="33" t="n"/>
      <c r="AK885" s="33" t="n"/>
      <c r="AL885" s="27" t="n"/>
      <c r="AM885" s="34" t="n"/>
      <c r="AN885" s="35">
        <f>IF(AF885="","",IF(AI885="Yes","❌ Disc",IF(AH885="No","⚠ Missing",IF(AK885="Yes","✓ OK","⚠ Check"))))</f>
        <v/>
      </c>
      <c r="AO885" s="36" t="n"/>
      <c r="AP885" s="36" t="n"/>
      <c r="AQ885" s="36" t="n"/>
      <c r="AR885" s="36" t="n"/>
      <c r="AS885" s="36" t="n"/>
      <c r="AT885" s="36" t="n"/>
      <c r="AU885" s="27" t="n"/>
      <c r="AV885" s="37" t="n"/>
      <c r="AW885" s="38">
        <f>IF(AO885="","",IF(AR885="Yes","❌ Disc",IF(AQ885="No","⚠ Missing",IF(AT885="Yes","✓ OK","⚠ Check"))))</f>
        <v/>
      </c>
    </row>
    <row r="886" ht="18" customHeight="1" s="46">
      <c r="A886" s="39" t="n">
        <v>882</v>
      </c>
      <c r="B886" s="40" t="inlineStr">
        <is>
          <t>WP LNCCN1104013</t>
        </is>
      </c>
      <c r="C886" s="41" t="inlineStr">
        <is>
          <t>Life n Colors - Pastel Blue Geometric Print Boy Room Wallpaper  -  Canvas - a texture paper</t>
        </is>
      </c>
      <c r="D886" s="39" t="inlineStr">
        <is>
          <t>Life n Colors</t>
        </is>
      </c>
      <c r="E886" s="43" t="n">
        <v>46126</v>
      </c>
      <c r="F886" s="26" t="inlineStr">
        <is>
          <t>Sunil CR</t>
        </is>
      </c>
      <c r="G886" s="26" t="inlineStr">
        <is>
          <t>Yes</t>
        </is>
      </c>
      <c r="H886" s="26" t="inlineStr">
        <is>
          <t>No</t>
        </is>
      </c>
      <c r="I886" s="26" t="inlineStr">
        <is>
          <t>Good finish</t>
        </is>
      </c>
      <c r="J886" s="26" t="inlineStr">
        <is>
          <t>Yes</t>
        </is>
      </c>
      <c r="K886" s="27" t="n"/>
      <c r="L886" s="28" t="inlineStr">
        <is>
          <t>No</t>
        </is>
      </c>
      <c r="M886" s="29">
        <f>IF(E886="","",IF(H886="Yes","❌ Disc",IF(G886="No","⚠ Missing",IF(J886="Yes","✓ OK","⚠ Check"))))</f>
        <v/>
      </c>
      <c r="N886" s="43" t="n">
        <v>46193</v>
      </c>
      <c r="O886" s="26" t="inlineStr">
        <is>
          <t>Sunil CR</t>
        </is>
      </c>
      <c r="P886" s="26" t="inlineStr">
        <is>
          <t>Yes</t>
        </is>
      </c>
      <c r="Q886" s="26" t="inlineStr">
        <is>
          <t>No</t>
        </is>
      </c>
      <c r="R886" s="26" t="inlineStr">
        <is>
          <t>Good finish</t>
        </is>
      </c>
      <c r="S886" s="26" t="inlineStr">
        <is>
          <t>Yes</t>
        </is>
      </c>
      <c r="T886" s="27" t="n"/>
      <c r="U886" s="28" t="inlineStr">
        <is>
          <t>No</t>
        </is>
      </c>
      <c r="V886" s="29">
        <f>IF(N886="","",IF(Q886="Yes","❌ Disc",IF(P886="No","⚠ Missing",IF(S886="Yes","✓ OK","⚠ Check"))))</f>
        <v/>
      </c>
      <c r="W886" s="65" t="n">
        <v>46248</v>
      </c>
      <c r="X886" s="30" t="inlineStr">
        <is>
          <t>Sunil CR</t>
        </is>
      </c>
      <c r="Y886" s="30" t="inlineStr">
        <is>
          <t>Yes</t>
        </is>
      </c>
      <c r="Z886" s="30" t="n"/>
      <c r="AA886" s="30" t="inlineStr">
        <is>
          <t>Good finish</t>
        </is>
      </c>
      <c r="AB886" s="30" t="inlineStr">
        <is>
          <t>Yes</t>
        </is>
      </c>
      <c r="AC886" s="27" t="n"/>
      <c r="AD886" s="31" t="inlineStr">
        <is>
          <t>No</t>
        </is>
      </c>
      <c r="AE886" s="32">
        <f>IF(W886="","",IF(Z886="Yes","❌ Disc",IF(Y886="No","⚠ Missing",IF(AB886="Yes","✓ OK","⚠ Check"))))</f>
        <v/>
      </c>
      <c r="AF886" s="33" t="n"/>
      <c r="AG886" s="33" t="n"/>
      <c r="AH886" s="33" t="n"/>
      <c r="AI886" s="33" t="n"/>
      <c r="AJ886" s="33" t="n"/>
      <c r="AK886" s="33" t="n"/>
      <c r="AL886" s="27" t="n"/>
      <c r="AM886" s="34" t="n"/>
      <c r="AN886" s="35">
        <f>IF(AF886="","",IF(AI886="Yes","❌ Disc",IF(AH886="No","⚠ Missing",IF(AK886="Yes","✓ OK","⚠ Check"))))</f>
        <v/>
      </c>
      <c r="AO886" s="36" t="n"/>
      <c r="AP886" s="36" t="n"/>
      <c r="AQ886" s="36" t="n"/>
      <c r="AR886" s="36" t="n"/>
      <c r="AS886" s="36" t="n"/>
      <c r="AT886" s="36" t="n"/>
      <c r="AU886" s="27" t="n"/>
      <c r="AV886" s="37" t="n"/>
      <c r="AW886" s="38">
        <f>IF(AO886="","",IF(AR886="Yes","❌ Disc",IF(AQ886="No","⚠ Missing",IF(AT886="Yes","✓ OK","⚠ Check"))))</f>
        <v/>
      </c>
    </row>
    <row r="887" ht="18" customHeight="1" s="46">
      <c r="A887" s="23" t="n">
        <v>883</v>
      </c>
      <c r="B887" s="24" t="inlineStr">
        <is>
          <t>WP LNCSF1104013</t>
        </is>
      </c>
      <c r="C887" s="25" t="inlineStr">
        <is>
          <t>Life n Colors - Pastel Blue Geometric Print Boy Room Wallpaper  - Non-woven - a soft feel paper</t>
        </is>
      </c>
      <c r="D887" s="23" t="inlineStr">
        <is>
          <t>Life n Colors</t>
        </is>
      </c>
      <c r="E887" s="43" t="n">
        <v>46126</v>
      </c>
      <c r="F887" s="26" t="inlineStr">
        <is>
          <t>Sunil CR</t>
        </is>
      </c>
      <c r="G887" s="26" t="inlineStr">
        <is>
          <t>Yes</t>
        </is>
      </c>
      <c r="H887" s="26" t="inlineStr">
        <is>
          <t>No</t>
        </is>
      </c>
      <c r="I887" s="26" t="inlineStr">
        <is>
          <t>Good finish</t>
        </is>
      </c>
      <c r="J887" s="26" t="inlineStr">
        <is>
          <t>Yes</t>
        </is>
      </c>
      <c r="K887" s="27" t="n"/>
      <c r="L887" s="28" t="inlineStr">
        <is>
          <t>No</t>
        </is>
      </c>
      <c r="M887" s="29">
        <f>IF(E887="","",IF(H887="Yes","❌ Disc",IF(G887="No","⚠ Missing",IF(J887="Yes","✓ OK","⚠ Check"))))</f>
        <v/>
      </c>
      <c r="N887" s="43" t="n">
        <v>46193</v>
      </c>
      <c r="O887" s="26" t="inlineStr">
        <is>
          <t>Sunil CR</t>
        </is>
      </c>
      <c r="P887" s="26" t="inlineStr">
        <is>
          <t>Yes</t>
        </is>
      </c>
      <c r="Q887" s="26" t="inlineStr">
        <is>
          <t>No</t>
        </is>
      </c>
      <c r="R887" s="26" t="inlineStr">
        <is>
          <t>Good finish</t>
        </is>
      </c>
      <c r="S887" s="26" t="inlineStr">
        <is>
          <t>Yes</t>
        </is>
      </c>
      <c r="T887" s="27" t="n"/>
      <c r="U887" s="28" t="inlineStr">
        <is>
          <t>No</t>
        </is>
      </c>
      <c r="V887" s="29">
        <f>IF(N887="","",IF(Q887="Yes","❌ Disc",IF(P887="No","⚠ Missing",IF(S887="Yes","✓ OK","⚠ Check"))))</f>
        <v/>
      </c>
      <c r="W887" s="65" t="n">
        <v>46248</v>
      </c>
      <c r="X887" s="30" t="inlineStr">
        <is>
          <t>Sunil CR</t>
        </is>
      </c>
      <c r="Y887" s="30" t="inlineStr">
        <is>
          <t>Yes</t>
        </is>
      </c>
      <c r="Z887" s="30" t="n"/>
      <c r="AA887" s="30" t="inlineStr">
        <is>
          <t>Good finish</t>
        </is>
      </c>
      <c r="AB887" s="30" t="inlineStr">
        <is>
          <t>Yes</t>
        </is>
      </c>
      <c r="AC887" s="27" t="n"/>
      <c r="AD887" s="31" t="inlineStr">
        <is>
          <t>No</t>
        </is>
      </c>
      <c r="AE887" s="32">
        <f>IF(W887="","",IF(Z887="Yes","❌ Disc",IF(Y887="No","⚠ Missing",IF(AB887="Yes","✓ OK","⚠ Check"))))</f>
        <v/>
      </c>
      <c r="AF887" s="33" t="n"/>
      <c r="AG887" s="33" t="n"/>
      <c r="AH887" s="33" t="n"/>
      <c r="AI887" s="33" t="n"/>
      <c r="AJ887" s="33" t="n"/>
      <c r="AK887" s="33" t="n"/>
      <c r="AL887" s="27" t="n"/>
      <c r="AM887" s="34" t="n"/>
      <c r="AN887" s="35">
        <f>IF(AF887="","",IF(AI887="Yes","❌ Disc",IF(AH887="No","⚠ Missing",IF(AK887="Yes","✓ OK","⚠ Check"))))</f>
        <v/>
      </c>
      <c r="AO887" s="36" t="n"/>
      <c r="AP887" s="36" t="n"/>
      <c r="AQ887" s="36" t="n"/>
      <c r="AR887" s="36" t="n"/>
      <c r="AS887" s="36" t="n"/>
      <c r="AT887" s="36" t="n"/>
      <c r="AU887" s="27" t="n"/>
      <c r="AV887" s="37" t="n"/>
      <c r="AW887" s="38">
        <f>IF(AO887="","",IF(AR887="Yes","❌ Disc",IF(AQ887="No","⚠ Missing",IF(AT887="Yes","✓ OK","⚠ Check"))))</f>
        <v/>
      </c>
    </row>
    <row r="888" ht="18" customHeight="1" s="46">
      <c r="A888" s="39" t="n">
        <v>884</v>
      </c>
      <c r="B888" s="40" t="inlineStr">
        <is>
          <t>WP LNCCN1079230</t>
        </is>
      </c>
      <c r="C888" s="41" t="inlineStr">
        <is>
          <t>Life n Colors - Pastel Colors Triangle, Children Nursery Wallpaper  -  Canvas - a texture paper</t>
        </is>
      </c>
      <c r="D888" s="39" t="inlineStr">
        <is>
          <t>Life n Colors</t>
        </is>
      </c>
      <c r="E888" s="43" t="n">
        <v>46126</v>
      </c>
      <c r="F888" s="26" t="inlineStr">
        <is>
          <t>Sunil CR</t>
        </is>
      </c>
      <c r="G888" s="26" t="inlineStr">
        <is>
          <t>Yes</t>
        </is>
      </c>
      <c r="H888" s="26" t="inlineStr">
        <is>
          <t>No</t>
        </is>
      </c>
      <c r="I888" s="26" t="inlineStr">
        <is>
          <t>Good finish</t>
        </is>
      </c>
      <c r="J888" s="26" t="inlineStr">
        <is>
          <t>Yes</t>
        </is>
      </c>
      <c r="K888" s="27" t="n"/>
      <c r="L888" s="28" t="inlineStr">
        <is>
          <t>No</t>
        </is>
      </c>
      <c r="M888" s="29">
        <f>IF(E888="","",IF(H888="Yes","❌ Disc",IF(G888="No","⚠ Missing",IF(J888="Yes","✓ OK","⚠ Check"))))</f>
        <v/>
      </c>
      <c r="N888" s="43" t="n">
        <v>46193</v>
      </c>
      <c r="O888" s="26" t="inlineStr">
        <is>
          <t>Sunil CR</t>
        </is>
      </c>
      <c r="P888" s="26" t="inlineStr">
        <is>
          <t>Yes</t>
        </is>
      </c>
      <c r="Q888" s="26" t="inlineStr">
        <is>
          <t>No</t>
        </is>
      </c>
      <c r="R888" s="26" t="inlineStr">
        <is>
          <t>Good finish</t>
        </is>
      </c>
      <c r="S888" s="26" t="inlineStr">
        <is>
          <t>Yes</t>
        </is>
      </c>
      <c r="T888" s="27" t="n"/>
      <c r="U888" s="28" t="inlineStr">
        <is>
          <t>No</t>
        </is>
      </c>
      <c r="V888" s="29">
        <f>IF(N888="","",IF(Q888="Yes","❌ Disc",IF(P888="No","⚠ Missing",IF(S888="Yes","✓ OK","⚠ Check"))))</f>
        <v/>
      </c>
      <c r="W888" s="65" t="n">
        <v>46248</v>
      </c>
      <c r="X888" s="30" t="inlineStr">
        <is>
          <t>Sunil CR</t>
        </is>
      </c>
      <c r="Y888" s="30" t="inlineStr">
        <is>
          <t>Yes</t>
        </is>
      </c>
      <c r="Z888" s="30" t="n"/>
      <c r="AA888" s="30" t="inlineStr">
        <is>
          <t>Good finish</t>
        </is>
      </c>
      <c r="AB888" s="30" t="inlineStr">
        <is>
          <t>Yes</t>
        </is>
      </c>
      <c r="AC888" s="27" t="n"/>
      <c r="AD888" s="31" t="inlineStr">
        <is>
          <t>No</t>
        </is>
      </c>
      <c r="AE888" s="32">
        <f>IF(W888="","",IF(Z888="Yes","❌ Disc",IF(Y888="No","⚠ Missing",IF(AB888="Yes","✓ OK","⚠ Check"))))</f>
        <v/>
      </c>
      <c r="AF888" s="33" t="n"/>
      <c r="AG888" s="33" t="n"/>
      <c r="AH888" s="33" t="n"/>
      <c r="AI888" s="33" t="n"/>
      <c r="AJ888" s="33" t="n"/>
      <c r="AK888" s="33" t="n"/>
      <c r="AL888" s="27" t="n"/>
      <c r="AM888" s="34" t="n"/>
      <c r="AN888" s="35">
        <f>IF(AF888="","",IF(AI888="Yes","❌ Disc",IF(AH888="No","⚠ Missing",IF(AK888="Yes","✓ OK","⚠ Check"))))</f>
        <v/>
      </c>
      <c r="AO888" s="36" t="n"/>
      <c r="AP888" s="36" t="n"/>
      <c r="AQ888" s="36" t="n"/>
      <c r="AR888" s="36" t="n"/>
      <c r="AS888" s="36" t="n"/>
      <c r="AT888" s="36" t="n"/>
      <c r="AU888" s="27" t="n"/>
      <c r="AV888" s="37" t="n"/>
      <c r="AW888" s="38">
        <f>IF(AO888="","",IF(AR888="Yes","❌ Disc",IF(AQ888="No","⚠ Missing",IF(AT888="Yes","✓ OK","⚠ Check"))))</f>
        <v/>
      </c>
    </row>
    <row r="889" ht="18" customHeight="1" s="46">
      <c r="A889" s="23" t="n">
        <v>885</v>
      </c>
      <c r="B889" s="24" t="inlineStr">
        <is>
          <t>WP LNCSF1079230</t>
        </is>
      </c>
      <c r="C889" s="25" t="inlineStr">
        <is>
          <t>Life n Colors - Pastel Colors Triangle, Children Nursery Wallpaper  - Non-woven - a soft feel paper</t>
        </is>
      </c>
      <c r="D889" s="23" t="inlineStr">
        <is>
          <t>Life n Colors</t>
        </is>
      </c>
      <c r="E889" s="43" t="n">
        <v>46126</v>
      </c>
      <c r="F889" s="26" t="inlineStr">
        <is>
          <t>Sunil CR</t>
        </is>
      </c>
      <c r="G889" s="26" t="inlineStr">
        <is>
          <t>Yes</t>
        </is>
      </c>
      <c r="H889" s="26" t="inlineStr">
        <is>
          <t>No</t>
        </is>
      </c>
      <c r="I889" s="26" t="inlineStr">
        <is>
          <t>Good finish</t>
        </is>
      </c>
      <c r="J889" s="26" t="inlineStr">
        <is>
          <t>Yes</t>
        </is>
      </c>
      <c r="K889" s="27" t="n"/>
      <c r="L889" s="28" t="inlineStr">
        <is>
          <t>No</t>
        </is>
      </c>
      <c r="M889" s="29">
        <f>IF(E889="","",IF(H889="Yes","❌ Disc",IF(G889="No","⚠ Missing",IF(J889="Yes","✓ OK","⚠ Check"))))</f>
        <v/>
      </c>
      <c r="N889" s="43" t="n">
        <v>46193</v>
      </c>
      <c r="O889" s="26" t="inlineStr">
        <is>
          <t>Sunil CR</t>
        </is>
      </c>
      <c r="P889" s="26" t="inlineStr">
        <is>
          <t>Yes</t>
        </is>
      </c>
      <c r="Q889" s="26" t="inlineStr">
        <is>
          <t>No</t>
        </is>
      </c>
      <c r="R889" s="26" t="inlineStr">
        <is>
          <t>Good finish</t>
        </is>
      </c>
      <c r="S889" s="26" t="inlineStr">
        <is>
          <t>Yes</t>
        </is>
      </c>
      <c r="T889" s="27" t="n"/>
      <c r="U889" s="28" t="inlineStr">
        <is>
          <t>No</t>
        </is>
      </c>
      <c r="V889" s="29">
        <f>IF(N889="","",IF(Q889="Yes","❌ Disc",IF(P889="No","⚠ Missing",IF(S889="Yes","✓ OK","⚠ Check"))))</f>
        <v/>
      </c>
      <c r="W889" s="65" t="n">
        <v>46248</v>
      </c>
      <c r="X889" s="30" t="inlineStr">
        <is>
          <t>Sunil CR</t>
        </is>
      </c>
      <c r="Y889" s="30" t="inlineStr">
        <is>
          <t>Yes</t>
        </is>
      </c>
      <c r="Z889" s="30" t="n"/>
      <c r="AA889" s="30" t="inlineStr">
        <is>
          <t>Good finish</t>
        </is>
      </c>
      <c r="AB889" s="30" t="inlineStr">
        <is>
          <t>Yes</t>
        </is>
      </c>
      <c r="AC889" s="27" t="n"/>
      <c r="AD889" s="31" t="inlineStr">
        <is>
          <t>No</t>
        </is>
      </c>
      <c r="AE889" s="32">
        <f>IF(W889="","",IF(Z889="Yes","❌ Disc",IF(Y889="No","⚠ Missing",IF(AB889="Yes","✓ OK","⚠ Check"))))</f>
        <v/>
      </c>
      <c r="AF889" s="33" t="n"/>
      <c r="AG889" s="33" t="n"/>
      <c r="AH889" s="33" t="n"/>
      <c r="AI889" s="33" t="n"/>
      <c r="AJ889" s="33" t="n"/>
      <c r="AK889" s="33" t="n"/>
      <c r="AL889" s="27" t="n"/>
      <c r="AM889" s="34" t="n"/>
      <c r="AN889" s="35">
        <f>IF(AF889="","",IF(AI889="Yes","❌ Disc",IF(AH889="No","⚠ Missing",IF(AK889="Yes","✓ OK","⚠ Check"))))</f>
        <v/>
      </c>
      <c r="AO889" s="36" t="n"/>
      <c r="AP889" s="36" t="n"/>
      <c r="AQ889" s="36" t="n"/>
      <c r="AR889" s="36" t="n"/>
      <c r="AS889" s="36" t="n"/>
      <c r="AT889" s="36" t="n"/>
      <c r="AU889" s="27" t="n"/>
      <c r="AV889" s="37" t="n"/>
      <c r="AW889" s="38">
        <f>IF(AO889="","",IF(AR889="Yes","❌ Disc",IF(AQ889="No","⚠ Missing",IF(AT889="Yes","✓ OK","⚠ Check"))))</f>
        <v/>
      </c>
    </row>
    <row r="890" ht="18" customHeight="1" s="46">
      <c r="A890" s="39" t="n">
        <v>886</v>
      </c>
      <c r="B890" s="40" t="inlineStr">
        <is>
          <t>WP LNCCN1169859</t>
        </is>
      </c>
      <c r="C890" s="41" t="inlineStr">
        <is>
          <t>Life n Colors - Pastel Irregular Striped Wallpaper, Pink and Green  -  Canvas - a texture paper</t>
        </is>
      </c>
      <c r="D890" s="39" t="inlineStr">
        <is>
          <t>Life n Colors</t>
        </is>
      </c>
      <c r="E890" s="43" t="n">
        <v>46126</v>
      </c>
      <c r="F890" s="26" t="inlineStr">
        <is>
          <t>Sunil CR</t>
        </is>
      </c>
      <c r="G890" s="26" t="inlineStr">
        <is>
          <t>Yes</t>
        </is>
      </c>
      <c r="H890" s="26" t="inlineStr">
        <is>
          <t>No</t>
        </is>
      </c>
      <c r="I890" s="26" t="inlineStr">
        <is>
          <t>Good finish</t>
        </is>
      </c>
      <c r="J890" s="26" t="inlineStr">
        <is>
          <t>Yes</t>
        </is>
      </c>
      <c r="K890" s="27" t="n"/>
      <c r="L890" s="28" t="inlineStr">
        <is>
          <t>No</t>
        </is>
      </c>
      <c r="M890" s="29">
        <f>IF(E890="","",IF(H890="Yes","❌ Disc",IF(G890="No","⚠ Missing",IF(J890="Yes","✓ OK","⚠ Check"))))</f>
        <v/>
      </c>
      <c r="N890" s="43" t="n">
        <v>46193</v>
      </c>
      <c r="O890" s="26" t="inlineStr">
        <is>
          <t>Sunil CR</t>
        </is>
      </c>
      <c r="P890" s="26" t="inlineStr">
        <is>
          <t>Yes</t>
        </is>
      </c>
      <c r="Q890" s="26" t="inlineStr">
        <is>
          <t>No</t>
        </is>
      </c>
      <c r="R890" s="26" t="inlineStr">
        <is>
          <t>Good finish</t>
        </is>
      </c>
      <c r="S890" s="26" t="inlineStr">
        <is>
          <t>Yes</t>
        </is>
      </c>
      <c r="T890" s="27" t="n"/>
      <c r="U890" s="28" t="inlineStr">
        <is>
          <t>No</t>
        </is>
      </c>
      <c r="V890" s="29">
        <f>IF(N890="","",IF(Q890="Yes","❌ Disc",IF(P890="No","⚠ Missing",IF(S890="Yes","✓ OK","⚠ Check"))))</f>
        <v/>
      </c>
      <c r="W890" s="65" t="n">
        <v>46248</v>
      </c>
      <c r="X890" s="30" t="inlineStr">
        <is>
          <t>Sunil CR</t>
        </is>
      </c>
      <c r="Y890" s="30" t="inlineStr">
        <is>
          <t>Yes</t>
        </is>
      </c>
      <c r="Z890" s="30" t="n"/>
      <c r="AA890" s="30" t="inlineStr">
        <is>
          <t>Good finish</t>
        </is>
      </c>
      <c r="AB890" s="30" t="inlineStr">
        <is>
          <t>Yes</t>
        </is>
      </c>
      <c r="AC890" s="27" t="n"/>
      <c r="AD890" s="31" t="inlineStr">
        <is>
          <t>No</t>
        </is>
      </c>
      <c r="AE890" s="32">
        <f>IF(W890="","",IF(Z890="Yes","❌ Disc",IF(Y890="No","⚠ Missing",IF(AB890="Yes","✓ OK","⚠ Check"))))</f>
        <v/>
      </c>
      <c r="AF890" s="33" t="n"/>
      <c r="AG890" s="33" t="n"/>
      <c r="AH890" s="33" t="n"/>
      <c r="AI890" s="33" t="n"/>
      <c r="AJ890" s="33" t="n"/>
      <c r="AK890" s="33" t="n"/>
      <c r="AL890" s="27" t="n"/>
      <c r="AM890" s="34" t="n"/>
      <c r="AN890" s="35">
        <f>IF(AF890="","",IF(AI890="Yes","❌ Disc",IF(AH890="No","⚠ Missing",IF(AK890="Yes","✓ OK","⚠ Check"))))</f>
        <v/>
      </c>
      <c r="AO890" s="36" t="n"/>
      <c r="AP890" s="36" t="n"/>
      <c r="AQ890" s="36" t="n"/>
      <c r="AR890" s="36" t="n"/>
      <c r="AS890" s="36" t="n"/>
      <c r="AT890" s="36" t="n"/>
      <c r="AU890" s="27" t="n"/>
      <c r="AV890" s="37" t="n"/>
      <c r="AW890" s="38">
        <f>IF(AO890="","",IF(AR890="Yes","❌ Disc",IF(AQ890="No","⚠ Missing",IF(AT890="Yes","✓ OK","⚠ Check"))))</f>
        <v/>
      </c>
    </row>
    <row r="891" ht="18" customHeight="1" s="46">
      <c r="A891" s="23" t="n">
        <v>887</v>
      </c>
      <c r="B891" s="24" t="inlineStr">
        <is>
          <t>WP LNCSF1169859</t>
        </is>
      </c>
      <c r="C891" s="25" t="inlineStr">
        <is>
          <t>Life n Colors - Pastel Irregular Striped Wallpaper, Pink and Green  - Non-woven - a soft feel paper</t>
        </is>
      </c>
      <c r="D891" s="23" t="inlineStr">
        <is>
          <t>Life n Colors</t>
        </is>
      </c>
      <c r="E891" s="43" t="n">
        <v>46126</v>
      </c>
      <c r="F891" s="26" t="inlineStr">
        <is>
          <t>Sunil CR</t>
        </is>
      </c>
      <c r="G891" s="26" t="inlineStr">
        <is>
          <t>Yes</t>
        </is>
      </c>
      <c r="H891" s="26" t="inlineStr">
        <is>
          <t>No</t>
        </is>
      </c>
      <c r="I891" s="26" t="inlineStr">
        <is>
          <t>Good finish</t>
        </is>
      </c>
      <c r="J891" s="26" t="inlineStr">
        <is>
          <t>Yes</t>
        </is>
      </c>
      <c r="K891" s="27" t="n"/>
      <c r="L891" s="28" t="inlineStr">
        <is>
          <t>No</t>
        </is>
      </c>
      <c r="M891" s="29">
        <f>IF(E891="","",IF(H891="Yes","❌ Disc",IF(G891="No","⚠ Missing",IF(J891="Yes","✓ OK","⚠ Check"))))</f>
        <v/>
      </c>
      <c r="N891" s="43" t="n">
        <v>46193</v>
      </c>
      <c r="O891" s="26" t="inlineStr">
        <is>
          <t>Sunil CR</t>
        </is>
      </c>
      <c r="P891" s="26" t="inlineStr">
        <is>
          <t>Yes</t>
        </is>
      </c>
      <c r="Q891" s="26" t="inlineStr">
        <is>
          <t>No</t>
        </is>
      </c>
      <c r="R891" s="26" t="inlineStr">
        <is>
          <t>Good finish</t>
        </is>
      </c>
      <c r="S891" s="26" t="inlineStr">
        <is>
          <t>Yes</t>
        </is>
      </c>
      <c r="T891" s="27" t="n"/>
      <c r="U891" s="28" t="inlineStr">
        <is>
          <t>No</t>
        </is>
      </c>
      <c r="V891" s="29">
        <f>IF(N891="","",IF(Q891="Yes","❌ Disc",IF(P891="No","⚠ Missing",IF(S891="Yes","✓ OK","⚠ Check"))))</f>
        <v/>
      </c>
      <c r="W891" s="65" t="n">
        <v>46248</v>
      </c>
      <c r="X891" s="30" t="inlineStr">
        <is>
          <t>Sunil CR</t>
        </is>
      </c>
      <c r="Y891" s="30" t="inlineStr">
        <is>
          <t>Yes</t>
        </is>
      </c>
      <c r="Z891" s="30" t="n"/>
      <c r="AA891" s="30" t="inlineStr">
        <is>
          <t>Good finish</t>
        </is>
      </c>
      <c r="AB891" s="30" t="inlineStr">
        <is>
          <t>Yes</t>
        </is>
      </c>
      <c r="AC891" s="27" t="n"/>
      <c r="AD891" s="31" t="inlineStr">
        <is>
          <t>No</t>
        </is>
      </c>
      <c r="AE891" s="32">
        <f>IF(W891="","",IF(Z891="Yes","❌ Disc",IF(Y891="No","⚠ Missing",IF(AB891="Yes","✓ OK","⚠ Check"))))</f>
        <v/>
      </c>
      <c r="AF891" s="33" t="n"/>
      <c r="AG891" s="33" t="n"/>
      <c r="AH891" s="33" t="n"/>
      <c r="AI891" s="33" t="n"/>
      <c r="AJ891" s="33" t="n"/>
      <c r="AK891" s="33" t="n"/>
      <c r="AL891" s="27" t="n"/>
      <c r="AM891" s="34" t="n"/>
      <c r="AN891" s="35">
        <f>IF(AF891="","",IF(AI891="Yes","❌ Disc",IF(AH891="No","⚠ Missing",IF(AK891="Yes","✓ OK","⚠ Check"))))</f>
        <v/>
      </c>
      <c r="AO891" s="36" t="n"/>
      <c r="AP891" s="36" t="n"/>
      <c r="AQ891" s="36" t="n"/>
      <c r="AR891" s="36" t="n"/>
      <c r="AS891" s="36" t="n"/>
      <c r="AT891" s="36" t="n"/>
      <c r="AU891" s="27" t="n"/>
      <c r="AV891" s="37" t="n"/>
      <c r="AW891" s="38">
        <f>IF(AO891="","",IF(AR891="Yes","❌ Disc",IF(AQ891="No","⚠ Missing",IF(AT891="Yes","✓ OK","⚠ Check"))))</f>
        <v/>
      </c>
    </row>
    <row r="892" ht="18" customHeight="1" s="46">
      <c r="A892" s="39" t="n">
        <v>888</v>
      </c>
      <c r="B892" s="40" t="inlineStr">
        <is>
          <t>WP LNCCN1193661</t>
        </is>
      </c>
      <c r="C892" s="41" t="inlineStr">
        <is>
          <t>Life n Colors - Pastel Pattern Wallpaper for Kids Room, Customised  -  Canvas - a texture paper</t>
        </is>
      </c>
      <c r="D892" s="39" t="inlineStr">
        <is>
          <t>Life n Colors</t>
        </is>
      </c>
      <c r="E892" s="43" t="n">
        <v>46126</v>
      </c>
      <c r="F892" s="26" t="inlineStr">
        <is>
          <t>Sunil CR</t>
        </is>
      </c>
      <c r="G892" s="26" t="inlineStr">
        <is>
          <t>Yes</t>
        </is>
      </c>
      <c r="H892" s="26" t="inlineStr">
        <is>
          <t>No</t>
        </is>
      </c>
      <c r="I892" s="26" t="inlineStr">
        <is>
          <t>Good finish</t>
        </is>
      </c>
      <c r="J892" s="26" t="inlineStr">
        <is>
          <t>Yes</t>
        </is>
      </c>
      <c r="K892" s="27" t="n"/>
      <c r="L892" s="28" t="inlineStr">
        <is>
          <t>No</t>
        </is>
      </c>
      <c r="M892" s="29">
        <f>IF(E892="","",IF(H892="Yes","❌ Disc",IF(G892="No","⚠ Missing",IF(J892="Yes","✓ OK","⚠ Check"))))</f>
        <v/>
      </c>
      <c r="N892" s="43" t="n">
        <v>46193</v>
      </c>
      <c r="O892" s="26" t="inlineStr">
        <is>
          <t>Sunil CR</t>
        </is>
      </c>
      <c r="P892" s="26" t="inlineStr">
        <is>
          <t>Yes</t>
        </is>
      </c>
      <c r="Q892" s="26" t="inlineStr">
        <is>
          <t>No</t>
        </is>
      </c>
      <c r="R892" s="26" t="inlineStr">
        <is>
          <t>Good finish</t>
        </is>
      </c>
      <c r="S892" s="26" t="inlineStr">
        <is>
          <t>Yes</t>
        </is>
      </c>
      <c r="T892" s="27" t="n"/>
      <c r="U892" s="28" t="inlineStr">
        <is>
          <t>No</t>
        </is>
      </c>
      <c r="V892" s="29">
        <f>IF(N892="","",IF(Q892="Yes","❌ Disc",IF(P892="No","⚠ Missing",IF(S892="Yes","✓ OK","⚠ Check"))))</f>
        <v/>
      </c>
      <c r="W892" s="65" t="n">
        <v>46248</v>
      </c>
      <c r="X892" s="30" t="inlineStr">
        <is>
          <t>Sunil CR</t>
        </is>
      </c>
      <c r="Y892" s="30" t="inlineStr">
        <is>
          <t>Yes</t>
        </is>
      </c>
      <c r="Z892" s="30" t="n"/>
      <c r="AA892" s="30" t="inlineStr">
        <is>
          <t>Good finish</t>
        </is>
      </c>
      <c r="AB892" s="30" t="inlineStr">
        <is>
          <t>Yes</t>
        </is>
      </c>
      <c r="AC892" s="27" t="n"/>
      <c r="AD892" s="31" t="inlineStr">
        <is>
          <t>No</t>
        </is>
      </c>
      <c r="AE892" s="32">
        <f>IF(W892="","",IF(Z892="Yes","❌ Disc",IF(Y892="No","⚠ Missing",IF(AB892="Yes","✓ OK","⚠ Check"))))</f>
        <v/>
      </c>
      <c r="AF892" s="33" t="n"/>
      <c r="AG892" s="33" t="n"/>
      <c r="AH892" s="33" t="n"/>
      <c r="AI892" s="33" t="n"/>
      <c r="AJ892" s="33" t="n"/>
      <c r="AK892" s="33" t="n"/>
      <c r="AL892" s="27" t="n"/>
      <c r="AM892" s="34" t="n"/>
      <c r="AN892" s="35">
        <f>IF(AF892="","",IF(AI892="Yes","❌ Disc",IF(AH892="No","⚠ Missing",IF(AK892="Yes","✓ OK","⚠ Check"))))</f>
        <v/>
      </c>
      <c r="AO892" s="36" t="n"/>
      <c r="AP892" s="36" t="n"/>
      <c r="AQ892" s="36" t="n"/>
      <c r="AR892" s="36" t="n"/>
      <c r="AS892" s="36" t="n"/>
      <c r="AT892" s="36" t="n"/>
      <c r="AU892" s="27" t="n"/>
      <c r="AV892" s="37" t="n"/>
      <c r="AW892" s="38">
        <f>IF(AO892="","",IF(AR892="Yes","❌ Disc",IF(AQ892="No","⚠ Missing",IF(AT892="Yes","✓ OK","⚠ Check"))))</f>
        <v/>
      </c>
    </row>
    <row r="893" ht="18" customHeight="1" s="46">
      <c r="A893" s="23" t="n">
        <v>889</v>
      </c>
      <c r="B893" s="24" t="inlineStr">
        <is>
          <t>WP LNCSF1193661</t>
        </is>
      </c>
      <c r="C893" s="25" t="inlineStr">
        <is>
          <t>Life n Colors - Pastel Pattern Wallpaper for Kids Room, Customised  - Non-woven - a soft feel paper</t>
        </is>
      </c>
      <c r="D893" s="23" t="inlineStr">
        <is>
          <t>Life n Colors</t>
        </is>
      </c>
      <c r="E893" s="43" t="n">
        <v>46126</v>
      </c>
      <c r="F893" s="26" t="inlineStr">
        <is>
          <t>Sunil CR</t>
        </is>
      </c>
      <c r="G893" s="26" t="inlineStr">
        <is>
          <t>Yes</t>
        </is>
      </c>
      <c r="H893" s="26" t="inlineStr">
        <is>
          <t>No</t>
        </is>
      </c>
      <c r="I893" s="26" t="inlineStr">
        <is>
          <t>Good finish</t>
        </is>
      </c>
      <c r="J893" s="26" t="inlineStr">
        <is>
          <t>Yes</t>
        </is>
      </c>
      <c r="K893" s="27" t="n"/>
      <c r="L893" s="28" t="inlineStr">
        <is>
          <t>No</t>
        </is>
      </c>
      <c r="M893" s="29">
        <f>IF(E893="","",IF(H893="Yes","❌ Disc",IF(G893="No","⚠ Missing",IF(J893="Yes","✓ OK","⚠ Check"))))</f>
        <v/>
      </c>
      <c r="N893" s="43" t="n">
        <v>46193</v>
      </c>
      <c r="O893" s="26" t="inlineStr">
        <is>
          <t>Sunil CR</t>
        </is>
      </c>
      <c r="P893" s="26" t="inlineStr">
        <is>
          <t>Yes</t>
        </is>
      </c>
      <c r="Q893" s="26" t="inlineStr">
        <is>
          <t>No</t>
        </is>
      </c>
      <c r="R893" s="26" t="inlineStr">
        <is>
          <t>Good finish</t>
        </is>
      </c>
      <c r="S893" s="26" t="inlineStr">
        <is>
          <t>Yes</t>
        </is>
      </c>
      <c r="T893" s="27" t="n"/>
      <c r="U893" s="28" t="inlineStr">
        <is>
          <t>No</t>
        </is>
      </c>
      <c r="V893" s="29">
        <f>IF(N893="","",IF(Q893="Yes","❌ Disc",IF(P893="No","⚠ Missing",IF(S893="Yes","✓ OK","⚠ Check"))))</f>
        <v/>
      </c>
      <c r="W893" s="65" t="n">
        <v>46248</v>
      </c>
      <c r="X893" s="30" t="inlineStr">
        <is>
          <t>Sunil CR</t>
        </is>
      </c>
      <c r="Y893" s="30" t="inlineStr">
        <is>
          <t>Yes</t>
        </is>
      </c>
      <c r="Z893" s="30" t="n"/>
      <c r="AA893" s="30" t="inlineStr">
        <is>
          <t>Good finish</t>
        </is>
      </c>
      <c r="AB893" s="30" t="inlineStr">
        <is>
          <t>Yes</t>
        </is>
      </c>
      <c r="AC893" s="27" t="n"/>
      <c r="AD893" s="31" t="inlineStr">
        <is>
          <t>No</t>
        </is>
      </c>
      <c r="AE893" s="32">
        <f>IF(W893="","",IF(Z893="Yes","❌ Disc",IF(Y893="No","⚠ Missing",IF(AB893="Yes","✓ OK","⚠ Check"))))</f>
        <v/>
      </c>
      <c r="AF893" s="33" t="n"/>
      <c r="AG893" s="33" t="n"/>
      <c r="AH893" s="33" t="n"/>
      <c r="AI893" s="33" t="n"/>
      <c r="AJ893" s="33" t="n"/>
      <c r="AK893" s="33" t="n"/>
      <c r="AL893" s="27" t="n"/>
      <c r="AM893" s="34" t="n"/>
      <c r="AN893" s="35">
        <f>IF(AF893="","",IF(AI893="Yes","❌ Disc",IF(AH893="No","⚠ Missing",IF(AK893="Yes","✓ OK","⚠ Check"))))</f>
        <v/>
      </c>
      <c r="AO893" s="36" t="n"/>
      <c r="AP893" s="36" t="n"/>
      <c r="AQ893" s="36" t="n"/>
      <c r="AR893" s="36" t="n"/>
      <c r="AS893" s="36" t="n"/>
      <c r="AT893" s="36" t="n"/>
      <c r="AU893" s="27" t="n"/>
      <c r="AV893" s="37" t="n"/>
      <c r="AW893" s="38">
        <f>IF(AO893="","",IF(AR893="Yes","❌ Disc",IF(AQ893="No","⚠ Missing",IF(AT893="Yes","✓ OK","⚠ Check"))))</f>
        <v/>
      </c>
    </row>
    <row r="894" ht="18" customHeight="1" s="46">
      <c r="A894" s="39" t="n">
        <v>890</v>
      </c>
      <c r="B894" s="40" t="inlineStr">
        <is>
          <t>WP LNCCN1184847</t>
        </is>
      </c>
      <c r="C894" s="41" t="inlineStr">
        <is>
          <t>Life n Colors - Pastel Pink Geometric Print Girl Room Wallpaper  -  Canvas - a texture paper</t>
        </is>
      </c>
      <c r="D894" s="39" t="inlineStr">
        <is>
          <t>Life n Colors</t>
        </is>
      </c>
      <c r="E894" s="43" t="n">
        <v>46126</v>
      </c>
      <c r="F894" s="26" t="inlineStr">
        <is>
          <t>Sunil CR</t>
        </is>
      </c>
      <c r="G894" s="26" t="inlineStr">
        <is>
          <t>Yes</t>
        </is>
      </c>
      <c r="H894" s="26" t="inlineStr">
        <is>
          <t>No</t>
        </is>
      </c>
      <c r="I894" s="26" t="inlineStr">
        <is>
          <t>Good finish</t>
        </is>
      </c>
      <c r="J894" s="26" t="inlineStr">
        <is>
          <t>Yes</t>
        </is>
      </c>
      <c r="K894" s="27" t="n"/>
      <c r="L894" s="28" t="inlineStr">
        <is>
          <t>No</t>
        </is>
      </c>
      <c r="M894" s="29">
        <f>IF(E894="","",IF(H894="Yes","❌ Disc",IF(G894="No","⚠ Missing",IF(J894="Yes","✓ OK","⚠ Check"))))</f>
        <v/>
      </c>
      <c r="N894" s="43" t="n">
        <v>46193</v>
      </c>
      <c r="O894" s="26" t="inlineStr">
        <is>
          <t>Sunil CR</t>
        </is>
      </c>
      <c r="P894" s="26" t="inlineStr">
        <is>
          <t>Yes</t>
        </is>
      </c>
      <c r="Q894" s="26" t="inlineStr">
        <is>
          <t>No</t>
        </is>
      </c>
      <c r="R894" s="26" t="inlineStr">
        <is>
          <t>Good finish</t>
        </is>
      </c>
      <c r="S894" s="26" t="inlineStr">
        <is>
          <t>Yes</t>
        </is>
      </c>
      <c r="T894" s="27" t="n"/>
      <c r="U894" s="28" t="inlineStr">
        <is>
          <t>No</t>
        </is>
      </c>
      <c r="V894" s="29">
        <f>IF(N894="","",IF(Q894="Yes","❌ Disc",IF(P894="No","⚠ Missing",IF(S894="Yes","✓ OK","⚠ Check"))))</f>
        <v/>
      </c>
      <c r="W894" s="65" t="n">
        <v>46248</v>
      </c>
      <c r="X894" s="30" t="inlineStr">
        <is>
          <t>Sunil CR</t>
        </is>
      </c>
      <c r="Y894" s="30" t="inlineStr">
        <is>
          <t>Yes</t>
        </is>
      </c>
      <c r="Z894" s="30" t="n"/>
      <c r="AA894" s="30" t="inlineStr">
        <is>
          <t>Good finish</t>
        </is>
      </c>
      <c r="AB894" s="30" t="inlineStr">
        <is>
          <t>Yes</t>
        </is>
      </c>
      <c r="AC894" s="27" t="n"/>
      <c r="AD894" s="31" t="inlineStr">
        <is>
          <t>No</t>
        </is>
      </c>
      <c r="AE894" s="32">
        <f>IF(W894="","",IF(Z894="Yes","❌ Disc",IF(Y894="No","⚠ Missing",IF(AB894="Yes","✓ OK","⚠ Check"))))</f>
        <v/>
      </c>
      <c r="AF894" s="33" t="n"/>
      <c r="AG894" s="33" t="n"/>
      <c r="AH894" s="33" t="n"/>
      <c r="AI894" s="33" t="n"/>
      <c r="AJ894" s="33" t="n"/>
      <c r="AK894" s="33" t="n"/>
      <c r="AL894" s="27" t="n"/>
      <c r="AM894" s="34" t="n"/>
      <c r="AN894" s="35">
        <f>IF(AF894="","",IF(AI894="Yes","❌ Disc",IF(AH894="No","⚠ Missing",IF(AK894="Yes","✓ OK","⚠ Check"))))</f>
        <v/>
      </c>
      <c r="AO894" s="36" t="n"/>
      <c r="AP894" s="36" t="n"/>
      <c r="AQ894" s="36" t="n"/>
      <c r="AR894" s="36" t="n"/>
      <c r="AS894" s="36" t="n"/>
      <c r="AT894" s="36" t="n"/>
      <c r="AU894" s="27" t="n"/>
      <c r="AV894" s="37" t="n"/>
      <c r="AW894" s="38">
        <f>IF(AO894="","",IF(AR894="Yes","❌ Disc",IF(AQ894="No","⚠ Missing",IF(AT894="Yes","✓ OK","⚠ Check"))))</f>
        <v/>
      </c>
    </row>
    <row r="895" ht="18" customHeight="1" s="46">
      <c r="A895" s="23" t="n">
        <v>891</v>
      </c>
      <c r="B895" s="24" t="inlineStr">
        <is>
          <t>WP LNCSF1184847</t>
        </is>
      </c>
      <c r="C895" s="25" t="inlineStr">
        <is>
          <t>Life n Colors - Pastel Pink Geometric Print Girl Room Wallpaper  - Non-woven - a soft feel paper</t>
        </is>
      </c>
      <c r="D895" s="23" t="inlineStr">
        <is>
          <t>Life n Colors</t>
        </is>
      </c>
      <c r="E895" s="43" t="n">
        <v>46126</v>
      </c>
      <c r="F895" s="26" t="inlineStr">
        <is>
          <t>Sunil CR</t>
        </is>
      </c>
      <c r="G895" s="26" t="inlineStr">
        <is>
          <t>Yes</t>
        </is>
      </c>
      <c r="H895" s="26" t="inlineStr">
        <is>
          <t>No</t>
        </is>
      </c>
      <c r="I895" s="26" t="inlineStr">
        <is>
          <t>Good finish</t>
        </is>
      </c>
      <c r="J895" s="26" t="inlineStr">
        <is>
          <t>Yes</t>
        </is>
      </c>
      <c r="K895" s="27" t="n"/>
      <c r="L895" s="28" t="inlineStr">
        <is>
          <t>No</t>
        </is>
      </c>
      <c r="M895" s="29">
        <f>IF(E895="","",IF(H895="Yes","❌ Disc",IF(G895="No","⚠ Missing",IF(J895="Yes","✓ OK","⚠ Check"))))</f>
        <v/>
      </c>
      <c r="N895" s="43" t="n">
        <v>46193</v>
      </c>
      <c r="O895" s="26" t="inlineStr">
        <is>
          <t>Sunil CR</t>
        </is>
      </c>
      <c r="P895" s="26" t="inlineStr">
        <is>
          <t>Yes</t>
        </is>
      </c>
      <c r="Q895" s="26" t="inlineStr">
        <is>
          <t>No</t>
        </is>
      </c>
      <c r="R895" s="26" t="inlineStr">
        <is>
          <t>Good finish</t>
        </is>
      </c>
      <c r="S895" s="26" t="inlineStr">
        <is>
          <t>Yes</t>
        </is>
      </c>
      <c r="T895" s="27" t="n"/>
      <c r="U895" s="28" t="inlineStr">
        <is>
          <t>No</t>
        </is>
      </c>
      <c r="V895" s="29">
        <f>IF(N895="","",IF(Q895="Yes","❌ Disc",IF(P895="No","⚠ Missing",IF(S895="Yes","✓ OK","⚠ Check"))))</f>
        <v/>
      </c>
      <c r="W895" s="65" t="n">
        <v>46248</v>
      </c>
      <c r="X895" s="30" t="inlineStr">
        <is>
          <t>Sunil CR</t>
        </is>
      </c>
      <c r="Y895" s="30" t="inlineStr">
        <is>
          <t>Yes</t>
        </is>
      </c>
      <c r="Z895" s="30" t="n"/>
      <c r="AA895" s="30" t="inlineStr">
        <is>
          <t>Good finish</t>
        </is>
      </c>
      <c r="AB895" s="30" t="inlineStr">
        <is>
          <t>Yes</t>
        </is>
      </c>
      <c r="AC895" s="27" t="n"/>
      <c r="AD895" s="31" t="inlineStr">
        <is>
          <t>No</t>
        </is>
      </c>
      <c r="AE895" s="32">
        <f>IF(W895="","",IF(Z895="Yes","❌ Disc",IF(Y895="No","⚠ Missing",IF(AB895="Yes","✓ OK","⚠ Check"))))</f>
        <v/>
      </c>
      <c r="AF895" s="33" t="n"/>
      <c r="AG895" s="33" t="n"/>
      <c r="AH895" s="33" t="n"/>
      <c r="AI895" s="33" t="n"/>
      <c r="AJ895" s="33" t="n"/>
      <c r="AK895" s="33" t="n"/>
      <c r="AL895" s="27" t="n"/>
      <c r="AM895" s="34" t="n"/>
      <c r="AN895" s="35">
        <f>IF(AF895="","",IF(AI895="Yes","❌ Disc",IF(AH895="No","⚠ Missing",IF(AK895="Yes","✓ OK","⚠ Check"))))</f>
        <v/>
      </c>
      <c r="AO895" s="36" t="n"/>
      <c r="AP895" s="36" t="n"/>
      <c r="AQ895" s="36" t="n"/>
      <c r="AR895" s="36" t="n"/>
      <c r="AS895" s="36" t="n"/>
      <c r="AT895" s="36" t="n"/>
      <c r="AU895" s="27" t="n"/>
      <c r="AV895" s="37" t="n"/>
      <c r="AW895" s="38">
        <f>IF(AO895="","",IF(AR895="Yes","❌ Disc",IF(AQ895="No","⚠ Missing",IF(AT895="Yes","✓ OK","⚠ Check"))))</f>
        <v/>
      </c>
    </row>
    <row r="896" ht="18" customHeight="1" s="46">
      <c r="A896" s="39" t="n">
        <v>892</v>
      </c>
      <c r="B896" s="40" t="inlineStr">
        <is>
          <t>WP LNCCN1196665</t>
        </is>
      </c>
      <c r="C896" s="41" t="inlineStr">
        <is>
          <t>Life n Colors - Pastel World Map Wallpaper with Balloons for Kids Room, Customised  -  Canvas - a texture paper</t>
        </is>
      </c>
      <c r="D896" s="39" t="inlineStr">
        <is>
          <t>Life n Colors</t>
        </is>
      </c>
      <c r="E896" s="43" t="n">
        <v>46126</v>
      </c>
      <c r="F896" s="26" t="inlineStr">
        <is>
          <t>Sunil CR</t>
        </is>
      </c>
      <c r="G896" s="26" t="inlineStr">
        <is>
          <t>Yes</t>
        </is>
      </c>
      <c r="H896" s="26" t="inlineStr">
        <is>
          <t>No</t>
        </is>
      </c>
      <c r="I896" s="26" t="inlineStr">
        <is>
          <t>Good finish</t>
        </is>
      </c>
      <c r="J896" s="26" t="inlineStr">
        <is>
          <t>Yes</t>
        </is>
      </c>
      <c r="K896" s="27" t="n"/>
      <c r="L896" s="28" t="inlineStr">
        <is>
          <t>No</t>
        </is>
      </c>
      <c r="M896" s="29">
        <f>IF(E896="","",IF(H896="Yes","❌ Disc",IF(G896="No","⚠ Missing",IF(J896="Yes","✓ OK","⚠ Check"))))</f>
        <v/>
      </c>
      <c r="N896" s="43" t="n">
        <v>46193</v>
      </c>
      <c r="O896" s="26" t="inlineStr">
        <is>
          <t>Sunil CR</t>
        </is>
      </c>
      <c r="P896" s="26" t="inlineStr">
        <is>
          <t>Yes</t>
        </is>
      </c>
      <c r="Q896" s="26" t="inlineStr">
        <is>
          <t>No</t>
        </is>
      </c>
      <c r="R896" s="26" t="inlineStr">
        <is>
          <t>Good finish</t>
        </is>
      </c>
      <c r="S896" s="26" t="inlineStr">
        <is>
          <t>Yes</t>
        </is>
      </c>
      <c r="T896" s="27" t="n"/>
      <c r="U896" s="28" t="inlineStr">
        <is>
          <t>No</t>
        </is>
      </c>
      <c r="V896" s="29">
        <f>IF(N896="","",IF(Q896="Yes","❌ Disc",IF(P896="No","⚠ Missing",IF(S896="Yes","✓ OK","⚠ Check"))))</f>
        <v/>
      </c>
      <c r="W896" s="65" t="n">
        <v>46248</v>
      </c>
      <c r="X896" s="30" t="inlineStr">
        <is>
          <t>Sunil CR</t>
        </is>
      </c>
      <c r="Y896" s="30" t="inlineStr">
        <is>
          <t>Yes</t>
        </is>
      </c>
      <c r="Z896" s="30" t="n"/>
      <c r="AA896" s="30" t="inlineStr">
        <is>
          <t>Good finish</t>
        </is>
      </c>
      <c r="AB896" s="30" t="inlineStr">
        <is>
          <t>Yes</t>
        </is>
      </c>
      <c r="AC896" s="27" t="n"/>
      <c r="AD896" s="31" t="inlineStr">
        <is>
          <t>No</t>
        </is>
      </c>
      <c r="AE896" s="32">
        <f>IF(W896="","",IF(Z896="Yes","❌ Disc",IF(Y896="No","⚠ Missing",IF(AB896="Yes","✓ OK","⚠ Check"))))</f>
        <v/>
      </c>
      <c r="AF896" s="33" t="n"/>
      <c r="AG896" s="33" t="n"/>
      <c r="AH896" s="33" t="n"/>
      <c r="AI896" s="33" t="n"/>
      <c r="AJ896" s="33" t="n"/>
      <c r="AK896" s="33" t="n"/>
      <c r="AL896" s="27" t="n"/>
      <c r="AM896" s="34" t="n"/>
      <c r="AN896" s="35">
        <f>IF(AF896="","",IF(AI896="Yes","❌ Disc",IF(AH896="No","⚠ Missing",IF(AK896="Yes","✓ OK","⚠ Check"))))</f>
        <v/>
      </c>
      <c r="AO896" s="36" t="n"/>
      <c r="AP896" s="36" t="n"/>
      <c r="AQ896" s="36" t="n"/>
      <c r="AR896" s="36" t="n"/>
      <c r="AS896" s="36" t="n"/>
      <c r="AT896" s="36" t="n"/>
      <c r="AU896" s="27" t="n"/>
      <c r="AV896" s="37" t="n"/>
      <c r="AW896" s="38">
        <f>IF(AO896="","",IF(AR896="Yes","❌ Disc",IF(AQ896="No","⚠ Missing",IF(AT896="Yes","✓ OK","⚠ Check"))))</f>
        <v/>
      </c>
    </row>
    <row r="897" ht="18" customHeight="1" s="46">
      <c r="A897" s="23" t="n">
        <v>893</v>
      </c>
      <c r="B897" s="24" t="inlineStr">
        <is>
          <t>WP LNCSF1196665</t>
        </is>
      </c>
      <c r="C897" s="25" t="inlineStr">
        <is>
          <t>Life n Colors - Pastel World Map Wallpaper with Balloons for Kids Room, Customised  - Non-woven - a soft feel paper</t>
        </is>
      </c>
      <c r="D897" s="23" t="inlineStr">
        <is>
          <t>Life n Colors</t>
        </is>
      </c>
      <c r="E897" s="43" t="n">
        <v>46126</v>
      </c>
      <c r="F897" s="26" t="inlineStr">
        <is>
          <t>Sunil CR</t>
        </is>
      </c>
      <c r="G897" s="26" t="inlineStr">
        <is>
          <t>Yes</t>
        </is>
      </c>
      <c r="H897" s="26" t="inlineStr">
        <is>
          <t>No</t>
        </is>
      </c>
      <c r="I897" s="26" t="inlineStr">
        <is>
          <t>Good finish</t>
        </is>
      </c>
      <c r="J897" s="26" t="inlineStr">
        <is>
          <t>Yes</t>
        </is>
      </c>
      <c r="K897" s="27" t="n"/>
      <c r="L897" s="28" t="inlineStr">
        <is>
          <t>No</t>
        </is>
      </c>
      <c r="M897" s="29">
        <f>IF(E897="","",IF(H897="Yes","❌ Disc",IF(G897="No","⚠ Missing",IF(J897="Yes","✓ OK","⚠ Check"))))</f>
        <v/>
      </c>
      <c r="N897" s="43" t="n">
        <v>46193</v>
      </c>
      <c r="O897" s="26" t="inlineStr">
        <is>
          <t>Sunil CR</t>
        </is>
      </c>
      <c r="P897" s="26" t="inlineStr">
        <is>
          <t>Yes</t>
        </is>
      </c>
      <c r="Q897" s="26" t="inlineStr">
        <is>
          <t>No</t>
        </is>
      </c>
      <c r="R897" s="26" t="inlineStr">
        <is>
          <t>Good finish</t>
        </is>
      </c>
      <c r="S897" s="26" t="inlineStr">
        <is>
          <t>Yes</t>
        </is>
      </c>
      <c r="T897" s="27" t="n"/>
      <c r="U897" s="28" t="inlineStr">
        <is>
          <t>No</t>
        </is>
      </c>
      <c r="V897" s="29">
        <f>IF(N897="","",IF(Q897="Yes","❌ Disc",IF(P897="No","⚠ Missing",IF(S897="Yes","✓ OK","⚠ Check"))))</f>
        <v/>
      </c>
      <c r="W897" s="65" t="n">
        <v>46248</v>
      </c>
      <c r="X897" s="30" t="inlineStr">
        <is>
          <t>Sunil CR</t>
        </is>
      </c>
      <c r="Y897" s="30" t="inlineStr">
        <is>
          <t>Yes</t>
        </is>
      </c>
      <c r="Z897" s="30" t="n"/>
      <c r="AA897" s="30" t="inlineStr">
        <is>
          <t>Good finish</t>
        </is>
      </c>
      <c r="AB897" s="30" t="inlineStr">
        <is>
          <t>Yes</t>
        </is>
      </c>
      <c r="AC897" s="27" t="n"/>
      <c r="AD897" s="31" t="inlineStr">
        <is>
          <t>No</t>
        </is>
      </c>
      <c r="AE897" s="32">
        <f>IF(W897="","",IF(Z897="Yes","❌ Disc",IF(Y897="No","⚠ Missing",IF(AB897="Yes","✓ OK","⚠ Check"))))</f>
        <v/>
      </c>
      <c r="AF897" s="33" t="n"/>
      <c r="AG897" s="33" t="n"/>
      <c r="AH897" s="33" t="n"/>
      <c r="AI897" s="33" t="n"/>
      <c r="AJ897" s="33" t="n"/>
      <c r="AK897" s="33" t="n"/>
      <c r="AL897" s="27" t="n"/>
      <c r="AM897" s="34" t="n"/>
      <c r="AN897" s="35">
        <f>IF(AF897="","",IF(AI897="Yes","❌ Disc",IF(AH897="No","⚠ Missing",IF(AK897="Yes","✓ OK","⚠ Check"))))</f>
        <v/>
      </c>
      <c r="AO897" s="36" t="n"/>
      <c r="AP897" s="36" t="n"/>
      <c r="AQ897" s="36" t="n"/>
      <c r="AR897" s="36" t="n"/>
      <c r="AS897" s="36" t="n"/>
      <c r="AT897" s="36" t="n"/>
      <c r="AU897" s="27" t="n"/>
      <c r="AV897" s="37" t="n"/>
      <c r="AW897" s="38">
        <f>IF(AO897="","",IF(AR897="Yes","❌ Disc",IF(AQ897="No","⚠ Missing",IF(AT897="Yes","✓ OK","⚠ Check"))))</f>
        <v/>
      </c>
    </row>
    <row r="898" ht="18" customHeight="1" s="46">
      <c r="A898" s="39" t="n">
        <v>894</v>
      </c>
      <c r="B898" s="40" t="inlineStr">
        <is>
          <t>WP LNCCN1166317</t>
        </is>
      </c>
      <c r="C898" s="41" t="inlineStr">
        <is>
          <t>Life n Colors - Peacock and Flowers Repeat Design, Customised Wallpaper for Home  -  Canvas - a texture paper</t>
        </is>
      </c>
      <c r="D898" s="39" t="inlineStr">
        <is>
          <t>Life n Colors</t>
        </is>
      </c>
      <c r="E898" s="43" t="n">
        <v>46126</v>
      </c>
      <c r="F898" s="26" t="inlineStr">
        <is>
          <t>Sunil CR</t>
        </is>
      </c>
      <c r="G898" s="26" t="inlineStr">
        <is>
          <t>Yes</t>
        </is>
      </c>
      <c r="H898" s="26" t="inlineStr">
        <is>
          <t>No</t>
        </is>
      </c>
      <c r="I898" s="26" t="inlineStr">
        <is>
          <t>Good finish</t>
        </is>
      </c>
      <c r="J898" s="26" t="inlineStr">
        <is>
          <t>Yes</t>
        </is>
      </c>
      <c r="K898" s="27" t="n"/>
      <c r="L898" s="28" t="inlineStr">
        <is>
          <t>No</t>
        </is>
      </c>
      <c r="M898" s="29">
        <f>IF(E898="","",IF(H898="Yes","❌ Disc",IF(G898="No","⚠ Missing",IF(J898="Yes","✓ OK","⚠ Check"))))</f>
        <v/>
      </c>
      <c r="N898" s="43" t="n">
        <v>46193</v>
      </c>
      <c r="O898" s="26" t="inlineStr">
        <is>
          <t>Sunil CR</t>
        </is>
      </c>
      <c r="P898" s="26" t="inlineStr">
        <is>
          <t>Yes</t>
        </is>
      </c>
      <c r="Q898" s="26" t="inlineStr">
        <is>
          <t>No</t>
        </is>
      </c>
      <c r="R898" s="26" t="inlineStr">
        <is>
          <t>Good finish</t>
        </is>
      </c>
      <c r="S898" s="26" t="inlineStr">
        <is>
          <t>Yes</t>
        </is>
      </c>
      <c r="T898" s="27" t="n"/>
      <c r="U898" s="28" t="inlineStr">
        <is>
          <t>No</t>
        </is>
      </c>
      <c r="V898" s="29">
        <f>IF(N898="","",IF(Q898="Yes","❌ Disc",IF(P898="No","⚠ Missing",IF(S898="Yes","✓ OK","⚠ Check"))))</f>
        <v/>
      </c>
      <c r="W898" s="65" t="n">
        <v>46248</v>
      </c>
      <c r="X898" s="30" t="inlineStr">
        <is>
          <t>Sunil CR</t>
        </is>
      </c>
      <c r="Y898" s="30" t="inlineStr">
        <is>
          <t>Yes</t>
        </is>
      </c>
      <c r="Z898" s="30" t="n"/>
      <c r="AA898" s="30" t="inlineStr">
        <is>
          <t>Good finish</t>
        </is>
      </c>
      <c r="AB898" s="30" t="inlineStr">
        <is>
          <t>Yes</t>
        </is>
      </c>
      <c r="AC898" s="27" t="n"/>
      <c r="AD898" s="31" t="inlineStr">
        <is>
          <t>No</t>
        </is>
      </c>
      <c r="AE898" s="32">
        <f>IF(W898="","",IF(Z898="Yes","❌ Disc",IF(Y898="No","⚠ Missing",IF(AB898="Yes","✓ OK","⚠ Check"))))</f>
        <v/>
      </c>
      <c r="AF898" s="33" t="n"/>
      <c r="AG898" s="33" t="n"/>
      <c r="AH898" s="33" t="n"/>
      <c r="AI898" s="33" t="n"/>
      <c r="AJ898" s="33" t="n"/>
      <c r="AK898" s="33" t="n"/>
      <c r="AL898" s="27" t="n"/>
      <c r="AM898" s="34" t="n"/>
      <c r="AN898" s="35">
        <f>IF(AF898="","",IF(AI898="Yes","❌ Disc",IF(AH898="No","⚠ Missing",IF(AK898="Yes","✓ OK","⚠ Check"))))</f>
        <v/>
      </c>
      <c r="AO898" s="36" t="n"/>
      <c r="AP898" s="36" t="n"/>
      <c r="AQ898" s="36" t="n"/>
      <c r="AR898" s="36" t="n"/>
      <c r="AS898" s="36" t="n"/>
      <c r="AT898" s="36" t="n"/>
      <c r="AU898" s="27" t="n"/>
      <c r="AV898" s="37" t="n"/>
      <c r="AW898" s="38">
        <f>IF(AO898="","",IF(AR898="Yes","❌ Disc",IF(AQ898="No","⚠ Missing",IF(AT898="Yes","✓ OK","⚠ Check"))))</f>
        <v/>
      </c>
    </row>
    <row r="899" ht="18" customHeight="1" s="46">
      <c r="A899" s="23" t="n">
        <v>895</v>
      </c>
      <c r="B899" s="24" t="inlineStr">
        <is>
          <t>WP LNCSF1166317</t>
        </is>
      </c>
      <c r="C899" s="25" t="inlineStr">
        <is>
          <t>Life n Colors - Peacock and Flowers Repeat Design, Customised Wallpaper for Home  - Non-woven - a soft feel paper</t>
        </is>
      </c>
      <c r="D899" s="23" t="inlineStr">
        <is>
          <t>Life n Colors</t>
        </is>
      </c>
      <c r="E899" s="43" t="n">
        <v>46126</v>
      </c>
      <c r="F899" s="26" t="inlineStr">
        <is>
          <t>Sunil CR</t>
        </is>
      </c>
      <c r="G899" s="26" t="inlineStr">
        <is>
          <t>Yes</t>
        </is>
      </c>
      <c r="H899" s="26" t="inlineStr">
        <is>
          <t>No</t>
        </is>
      </c>
      <c r="I899" s="26" t="inlineStr">
        <is>
          <t>Good finish</t>
        </is>
      </c>
      <c r="J899" s="26" t="inlineStr">
        <is>
          <t>Yes</t>
        </is>
      </c>
      <c r="K899" s="27" t="n"/>
      <c r="L899" s="28" t="inlineStr">
        <is>
          <t>No</t>
        </is>
      </c>
      <c r="M899" s="29">
        <f>IF(E899="","",IF(H899="Yes","❌ Disc",IF(G899="No","⚠ Missing",IF(J899="Yes","✓ OK","⚠ Check"))))</f>
        <v/>
      </c>
      <c r="N899" s="43" t="n">
        <v>46193</v>
      </c>
      <c r="O899" s="26" t="inlineStr">
        <is>
          <t>Sunil CR</t>
        </is>
      </c>
      <c r="P899" s="26" t="inlineStr">
        <is>
          <t>Yes</t>
        </is>
      </c>
      <c r="Q899" s="26" t="inlineStr">
        <is>
          <t>No</t>
        </is>
      </c>
      <c r="R899" s="26" t="inlineStr">
        <is>
          <t>Good finish</t>
        </is>
      </c>
      <c r="S899" s="26" t="inlineStr">
        <is>
          <t>Yes</t>
        </is>
      </c>
      <c r="T899" s="27" t="n"/>
      <c r="U899" s="28" t="inlineStr">
        <is>
          <t>No</t>
        </is>
      </c>
      <c r="V899" s="29">
        <f>IF(N899="","",IF(Q899="Yes","❌ Disc",IF(P899="No","⚠ Missing",IF(S899="Yes","✓ OK","⚠ Check"))))</f>
        <v/>
      </c>
      <c r="W899" s="65" t="n">
        <v>46248</v>
      </c>
      <c r="X899" s="30" t="inlineStr">
        <is>
          <t>Sunil CR</t>
        </is>
      </c>
      <c r="Y899" s="30" t="inlineStr">
        <is>
          <t>Yes</t>
        </is>
      </c>
      <c r="Z899" s="30" t="n"/>
      <c r="AA899" s="30" t="inlineStr">
        <is>
          <t>Good finish</t>
        </is>
      </c>
      <c r="AB899" s="30" t="inlineStr">
        <is>
          <t>Yes</t>
        </is>
      </c>
      <c r="AC899" s="27" t="n"/>
      <c r="AD899" s="31" t="inlineStr">
        <is>
          <t>No</t>
        </is>
      </c>
      <c r="AE899" s="32">
        <f>IF(W899="","",IF(Z899="Yes","❌ Disc",IF(Y899="No","⚠ Missing",IF(AB899="Yes","✓ OK","⚠ Check"))))</f>
        <v/>
      </c>
      <c r="AF899" s="33" t="n"/>
      <c r="AG899" s="33" t="n"/>
      <c r="AH899" s="33" t="n"/>
      <c r="AI899" s="33" t="n"/>
      <c r="AJ899" s="33" t="n"/>
      <c r="AK899" s="33" t="n"/>
      <c r="AL899" s="27" t="n"/>
      <c r="AM899" s="34" t="n"/>
      <c r="AN899" s="35">
        <f>IF(AF899="","",IF(AI899="Yes","❌ Disc",IF(AH899="No","⚠ Missing",IF(AK899="Yes","✓ OK","⚠ Check"))))</f>
        <v/>
      </c>
      <c r="AO899" s="36" t="n"/>
      <c r="AP899" s="36" t="n"/>
      <c r="AQ899" s="36" t="n"/>
      <c r="AR899" s="36" t="n"/>
      <c r="AS899" s="36" t="n"/>
      <c r="AT899" s="36" t="n"/>
      <c r="AU899" s="27" t="n"/>
      <c r="AV899" s="37" t="n"/>
      <c r="AW899" s="38">
        <f>IF(AO899="","",IF(AR899="Yes","❌ Disc",IF(AQ899="No","⚠ Missing",IF(AT899="Yes","✓ OK","⚠ Check"))))</f>
        <v/>
      </c>
    </row>
    <row r="900" ht="18" customHeight="1" s="46">
      <c r="A900" s="39" t="n">
        <v>896</v>
      </c>
      <c r="B900" s="40" t="inlineStr">
        <is>
          <t>WP LNCCN1150419</t>
        </is>
      </c>
      <c r="C900" s="41" t="inlineStr">
        <is>
          <t>Life n Colors - Pen Sketch Wallpaper, City Look Design  -  Canvas - a texture paper</t>
        </is>
      </c>
      <c r="D900" s="39" t="inlineStr">
        <is>
          <t>Life n Colors</t>
        </is>
      </c>
      <c r="E900" s="43" t="n">
        <v>46126</v>
      </c>
      <c r="F900" s="26" t="inlineStr">
        <is>
          <t>Sunil CR</t>
        </is>
      </c>
      <c r="G900" s="26" t="inlineStr">
        <is>
          <t>Yes</t>
        </is>
      </c>
      <c r="H900" s="26" t="inlineStr">
        <is>
          <t>No</t>
        </is>
      </c>
      <c r="I900" s="26" t="inlineStr">
        <is>
          <t>Good finish</t>
        </is>
      </c>
      <c r="J900" s="26" t="inlineStr">
        <is>
          <t>Yes</t>
        </is>
      </c>
      <c r="K900" s="27" t="n"/>
      <c r="L900" s="28" t="inlineStr">
        <is>
          <t>No</t>
        </is>
      </c>
      <c r="M900" s="29">
        <f>IF(E900="","",IF(H900="Yes","❌ Disc",IF(G900="No","⚠ Missing",IF(J900="Yes","✓ OK","⚠ Check"))))</f>
        <v/>
      </c>
      <c r="N900" s="43" t="n">
        <v>46193</v>
      </c>
      <c r="O900" s="26" t="inlineStr">
        <is>
          <t>Sunil CR</t>
        </is>
      </c>
      <c r="P900" s="26" t="inlineStr">
        <is>
          <t>Yes</t>
        </is>
      </c>
      <c r="Q900" s="26" t="inlineStr">
        <is>
          <t>No</t>
        </is>
      </c>
      <c r="R900" s="26" t="inlineStr">
        <is>
          <t>Good finish</t>
        </is>
      </c>
      <c r="S900" s="26" t="inlineStr">
        <is>
          <t>Yes</t>
        </is>
      </c>
      <c r="T900" s="27" t="n"/>
      <c r="U900" s="28" t="inlineStr">
        <is>
          <t>No</t>
        </is>
      </c>
      <c r="V900" s="29">
        <f>IF(N900="","",IF(Q900="Yes","❌ Disc",IF(P900="No","⚠ Missing",IF(S900="Yes","✓ OK","⚠ Check"))))</f>
        <v/>
      </c>
      <c r="W900" s="65" t="n">
        <v>46248</v>
      </c>
      <c r="X900" s="30" t="inlineStr">
        <is>
          <t>Sunil CR</t>
        </is>
      </c>
      <c r="Y900" s="30" t="inlineStr">
        <is>
          <t>Yes</t>
        </is>
      </c>
      <c r="Z900" s="30" t="n"/>
      <c r="AA900" s="30" t="inlineStr">
        <is>
          <t>Good finish</t>
        </is>
      </c>
      <c r="AB900" s="30" t="inlineStr">
        <is>
          <t>Yes</t>
        </is>
      </c>
      <c r="AC900" s="27" t="n"/>
      <c r="AD900" s="31" t="inlineStr">
        <is>
          <t>No</t>
        </is>
      </c>
      <c r="AE900" s="32">
        <f>IF(W900="","",IF(Z900="Yes","❌ Disc",IF(Y900="No","⚠ Missing",IF(AB900="Yes","✓ OK","⚠ Check"))))</f>
        <v/>
      </c>
      <c r="AF900" s="33" t="n"/>
      <c r="AG900" s="33" t="n"/>
      <c r="AH900" s="33" t="n"/>
      <c r="AI900" s="33" t="n"/>
      <c r="AJ900" s="33" t="n"/>
      <c r="AK900" s="33" t="n"/>
      <c r="AL900" s="27" t="n"/>
      <c r="AM900" s="34" t="n"/>
      <c r="AN900" s="35">
        <f>IF(AF900="","",IF(AI900="Yes","❌ Disc",IF(AH900="No","⚠ Missing",IF(AK900="Yes","✓ OK","⚠ Check"))))</f>
        <v/>
      </c>
      <c r="AO900" s="36" t="n"/>
      <c r="AP900" s="36" t="n"/>
      <c r="AQ900" s="36" t="n"/>
      <c r="AR900" s="36" t="n"/>
      <c r="AS900" s="36" t="n"/>
      <c r="AT900" s="36" t="n"/>
      <c r="AU900" s="27" t="n"/>
      <c r="AV900" s="37" t="n"/>
      <c r="AW900" s="38">
        <f>IF(AO900="","",IF(AR900="Yes","❌ Disc",IF(AQ900="No","⚠ Missing",IF(AT900="Yes","✓ OK","⚠ Check"))))</f>
        <v/>
      </c>
    </row>
    <row r="901" ht="18" customHeight="1" s="46">
      <c r="A901" s="23" t="n">
        <v>897</v>
      </c>
      <c r="B901" s="24" t="inlineStr">
        <is>
          <t>WP LNCSF1150419</t>
        </is>
      </c>
      <c r="C901" s="25" t="inlineStr">
        <is>
          <t>Life n Colors - Pen Sketch Wallpaper, City Look Design  - Non-woven - a soft feel paper</t>
        </is>
      </c>
      <c r="D901" s="23" t="inlineStr">
        <is>
          <t>Life n Colors</t>
        </is>
      </c>
      <c r="E901" s="43" t="n">
        <v>46126</v>
      </c>
      <c r="F901" s="26" t="inlineStr">
        <is>
          <t>Sunil CR</t>
        </is>
      </c>
      <c r="G901" s="26" t="inlineStr">
        <is>
          <t>Yes</t>
        </is>
      </c>
      <c r="H901" s="26" t="inlineStr">
        <is>
          <t>No</t>
        </is>
      </c>
      <c r="I901" s="26" t="inlineStr">
        <is>
          <t>Good finish</t>
        </is>
      </c>
      <c r="J901" s="26" t="inlineStr">
        <is>
          <t>Yes</t>
        </is>
      </c>
      <c r="K901" s="27" t="n"/>
      <c r="L901" s="28" t="inlineStr">
        <is>
          <t>No</t>
        </is>
      </c>
      <c r="M901" s="29">
        <f>IF(E901="","",IF(H901="Yes","❌ Disc",IF(G901="No","⚠ Missing",IF(J901="Yes","✓ OK","⚠ Check"))))</f>
        <v/>
      </c>
      <c r="N901" s="43" t="n">
        <v>46193</v>
      </c>
      <c r="O901" s="26" t="inlineStr">
        <is>
          <t>Sunil CR</t>
        </is>
      </c>
      <c r="P901" s="26" t="inlineStr">
        <is>
          <t>Yes</t>
        </is>
      </c>
      <c r="Q901" s="26" t="inlineStr">
        <is>
          <t>No</t>
        </is>
      </c>
      <c r="R901" s="26" t="inlineStr">
        <is>
          <t>Good finish</t>
        </is>
      </c>
      <c r="S901" s="26" t="inlineStr">
        <is>
          <t>Yes</t>
        </is>
      </c>
      <c r="T901" s="27" t="n"/>
      <c r="U901" s="28" t="inlineStr">
        <is>
          <t>No</t>
        </is>
      </c>
      <c r="V901" s="29">
        <f>IF(N901="","",IF(Q901="Yes","❌ Disc",IF(P901="No","⚠ Missing",IF(S901="Yes","✓ OK","⚠ Check"))))</f>
        <v/>
      </c>
      <c r="W901" s="65" t="n">
        <v>46248</v>
      </c>
      <c r="X901" s="30" t="inlineStr">
        <is>
          <t>Sunil CR</t>
        </is>
      </c>
      <c r="Y901" s="30" t="inlineStr">
        <is>
          <t>Yes</t>
        </is>
      </c>
      <c r="Z901" s="30" t="n"/>
      <c r="AA901" s="30" t="inlineStr">
        <is>
          <t>Good finish</t>
        </is>
      </c>
      <c r="AB901" s="30" t="inlineStr">
        <is>
          <t>Yes</t>
        </is>
      </c>
      <c r="AC901" s="27" t="n"/>
      <c r="AD901" s="31" t="inlineStr">
        <is>
          <t>No</t>
        </is>
      </c>
      <c r="AE901" s="32">
        <f>IF(W901="","",IF(Z901="Yes","❌ Disc",IF(Y901="No","⚠ Missing",IF(AB901="Yes","✓ OK","⚠ Check"))))</f>
        <v/>
      </c>
      <c r="AF901" s="33" t="n"/>
      <c r="AG901" s="33" t="n"/>
      <c r="AH901" s="33" t="n"/>
      <c r="AI901" s="33" t="n"/>
      <c r="AJ901" s="33" t="n"/>
      <c r="AK901" s="33" t="n"/>
      <c r="AL901" s="27" t="n"/>
      <c r="AM901" s="34" t="n"/>
      <c r="AN901" s="35">
        <f>IF(AF901="","",IF(AI901="Yes","❌ Disc",IF(AH901="No","⚠ Missing",IF(AK901="Yes","✓ OK","⚠ Check"))))</f>
        <v/>
      </c>
      <c r="AO901" s="36" t="n"/>
      <c r="AP901" s="36" t="n"/>
      <c r="AQ901" s="36" t="n"/>
      <c r="AR901" s="36" t="n"/>
      <c r="AS901" s="36" t="n"/>
      <c r="AT901" s="36" t="n"/>
      <c r="AU901" s="27" t="n"/>
      <c r="AV901" s="37" t="n"/>
      <c r="AW901" s="38">
        <f>IF(AO901="","",IF(AR901="Yes","❌ Disc",IF(AQ901="No","⚠ Missing",IF(AT901="Yes","✓ OK","⚠ Check"))))</f>
        <v/>
      </c>
    </row>
    <row r="902" ht="18" customHeight="1" s="46">
      <c r="A902" s="39" t="n">
        <v>898</v>
      </c>
      <c r="B902" s="40" t="inlineStr">
        <is>
          <t>WP LNCCN1053958</t>
        </is>
      </c>
      <c r="C902" s="41" t="inlineStr">
        <is>
          <t>Life n Colors - Persian Art Form, Persian Pillar Design  -  Canvas - a texture paper</t>
        </is>
      </c>
      <c r="D902" s="39" t="inlineStr">
        <is>
          <t>Life n Colors</t>
        </is>
      </c>
      <c r="E902" s="43" t="n">
        <v>46126</v>
      </c>
      <c r="F902" s="26" t="inlineStr">
        <is>
          <t>Sunil CR</t>
        </is>
      </c>
      <c r="G902" s="26" t="inlineStr">
        <is>
          <t>Yes</t>
        </is>
      </c>
      <c r="H902" s="26" t="inlineStr">
        <is>
          <t>No</t>
        </is>
      </c>
      <c r="I902" s="26" t="inlineStr">
        <is>
          <t>Good finish</t>
        </is>
      </c>
      <c r="J902" s="26" t="inlineStr">
        <is>
          <t>Yes</t>
        </is>
      </c>
      <c r="K902" s="27" t="n"/>
      <c r="L902" s="28" t="inlineStr">
        <is>
          <t>No</t>
        </is>
      </c>
      <c r="M902" s="29">
        <f>IF(E902="","",IF(H902="Yes","❌ Disc",IF(G902="No","⚠ Missing",IF(J902="Yes","✓ OK","⚠ Check"))))</f>
        <v/>
      </c>
      <c r="N902" s="43" t="n">
        <v>46193</v>
      </c>
      <c r="O902" s="26" t="inlineStr">
        <is>
          <t>Sunil CR</t>
        </is>
      </c>
      <c r="P902" s="26" t="inlineStr">
        <is>
          <t>Yes</t>
        </is>
      </c>
      <c r="Q902" s="26" t="inlineStr">
        <is>
          <t>No</t>
        </is>
      </c>
      <c r="R902" s="26" t="inlineStr">
        <is>
          <t>Good finish</t>
        </is>
      </c>
      <c r="S902" s="26" t="inlineStr">
        <is>
          <t>Yes</t>
        </is>
      </c>
      <c r="T902" s="27" t="n"/>
      <c r="U902" s="28" t="inlineStr">
        <is>
          <t>No</t>
        </is>
      </c>
      <c r="V902" s="29">
        <f>IF(N902="","",IF(Q902="Yes","❌ Disc",IF(P902="No","⚠ Missing",IF(S902="Yes","✓ OK","⚠ Check"))))</f>
        <v/>
      </c>
      <c r="W902" s="65" t="n">
        <v>46248</v>
      </c>
      <c r="X902" s="30" t="inlineStr">
        <is>
          <t>Sunil CR</t>
        </is>
      </c>
      <c r="Y902" s="30" t="inlineStr">
        <is>
          <t>Yes</t>
        </is>
      </c>
      <c r="Z902" s="30" t="n"/>
      <c r="AA902" s="30" t="inlineStr">
        <is>
          <t>Good finish</t>
        </is>
      </c>
      <c r="AB902" s="30" t="inlineStr">
        <is>
          <t>Yes</t>
        </is>
      </c>
      <c r="AC902" s="27" t="n"/>
      <c r="AD902" s="31" t="inlineStr">
        <is>
          <t>No</t>
        </is>
      </c>
      <c r="AE902" s="32">
        <f>IF(W902="","",IF(Z902="Yes","❌ Disc",IF(Y902="No","⚠ Missing",IF(AB902="Yes","✓ OK","⚠ Check"))))</f>
        <v/>
      </c>
      <c r="AF902" s="33" t="n"/>
      <c r="AG902" s="33" t="n"/>
      <c r="AH902" s="33" t="n"/>
      <c r="AI902" s="33" t="n"/>
      <c r="AJ902" s="33" t="n"/>
      <c r="AK902" s="33" t="n"/>
      <c r="AL902" s="27" t="n"/>
      <c r="AM902" s="34" t="n"/>
      <c r="AN902" s="35">
        <f>IF(AF902="","",IF(AI902="Yes","❌ Disc",IF(AH902="No","⚠ Missing",IF(AK902="Yes","✓ OK","⚠ Check"))))</f>
        <v/>
      </c>
      <c r="AO902" s="36" t="n"/>
      <c r="AP902" s="36" t="n"/>
      <c r="AQ902" s="36" t="n"/>
      <c r="AR902" s="36" t="n"/>
      <c r="AS902" s="36" t="n"/>
      <c r="AT902" s="36" t="n"/>
      <c r="AU902" s="27" t="n"/>
      <c r="AV902" s="37" t="n"/>
      <c r="AW902" s="38">
        <f>IF(AO902="","",IF(AR902="Yes","❌ Disc",IF(AQ902="No","⚠ Missing",IF(AT902="Yes","✓ OK","⚠ Check"))))</f>
        <v/>
      </c>
    </row>
    <row r="903" ht="18" customHeight="1" s="46">
      <c r="A903" s="23" t="n">
        <v>899</v>
      </c>
      <c r="B903" s="24" t="inlineStr">
        <is>
          <t>WP LNCSF1053958</t>
        </is>
      </c>
      <c r="C903" s="25" t="inlineStr">
        <is>
          <t>Life n Colors - Persian Art Form, Persian Pillar Design  - Non-woven - a soft feel paper</t>
        </is>
      </c>
      <c r="D903" s="23" t="inlineStr">
        <is>
          <t>Life n Colors</t>
        </is>
      </c>
      <c r="E903" s="43" t="n">
        <v>46126</v>
      </c>
      <c r="F903" s="26" t="inlineStr">
        <is>
          <t>Sunil CR</t>
        </is>
      </c>
      <c r="G903" s="26" t="inlineStr">
        <is>
          <t>Yes</t>
        </is>
      </c>
      <c r="H903" s="26" t="inlineStr">
        <is>
          <t>No</t>
        </is>
      </c>
      <c r="I903" s="26" t="inlineStr">
        <is>
          <t>Good finish</t>
        </is>
      </c>
      <c r="J903" s="26" t="inlineStr">
        <is>
          <t>Yes</t>
        </is>
      </c>
      <c r="K903" s="27" t="n"/>
      <c r="L903" s="28" t="inlineStr">
        <is>
          <t>No</t>
        </is>
      </c>
      <c r="M903" s="29">
        <f>IF(E903="","",IF(H903="Yes","❌ Disc",IF(G903="No","⚠ Missing",IF(J903="Yes","✓ OK","⚠ Check"))))</f>
        <v/>
      </c>
      <c r="N903" s="43" t="n">
        <v>46193</v>
      </c>
      <c r="O903" s="26" t="inlineStr">
        <is>
          <t>Sunil CR</t>
        </is>
      </c>
      <c r="P903" s="26" t="inlineStr">
        <is>
          <t>Yes</t>
        </is>
      </c>
      <c r="Q903" s="26" t="inlineStr">
        <is>
          <t>No</t>
        </is>
      </c>
      <c r="R903" s="26" t="inlineStr">
        <is>
          <t>Good finish</t>
        </is>
      </c>
      <c r="S903" s="26" t="inlineStr">
        <is>
          <t>Yes</t>
        </is>
      </c>
      <c r="T903" s="27" t="n"/>
      <c r="U903" s="28" t="inlineStr">
        <is>
          <t>No</t>
        </is>
      </c>
      <c r="V903" s="29">
        <f>IF(N903="","",IF(Q903="Yes","❌ Disc",IF(P903="No","⚠ Missing",IF(S903="Yes","✓ OK","⚠ Check"))))</f>
        <v/>
      </c>
      <c r="W903" s="65" t="n">
        <v>46248</v>
      </c>
      <c r="X903" s="30" t="inlineStr">
        <is>
          <t>Sunil CR</t>
        </is>
      </c>
      <c r="Y903" s="30" t="inlineStr">
        <is>
          <t>Yes</t>
        </is>
      </c>
      <c r="Z903" s="30" t="n"/>
      <c r="AA903" s="30" t="inlineStr">
        <is>
          <t>Good finish</t>
        </is>
      </c>
      <c r="AB903" s="30" t="inlineStr">
        <is>
          <t>Yes</t>
        </is>
      </c>
      <c r="AC903" s="27" t="n"/>
      <c r="AD903" s="31" t="inlineStr">
        <is>
          <t>No</t>
        </is>
      </c>
      <c r="AE903" s="32">
        <f>IF(W903="","",IF(Z903="Yes","❌ Disc",IF(Y903="No","⚠ Missing",IF(AB903="Yes","✓ OK","⚠ Check"))))</f>
        <v/>
      </c>
      <c r="AF903" s="33" t="n"/>
      <c r="AG903" s="33" t="n"/>
      <c r="AH903" s="33" t="n"/>
      <c r="AI903" s="33" t="n"/>
      <c r="AJ903" s="33" t="n"/>
      <c r="AK903" s="33" t="n"/>
      <c r="AL903" s="27" t="n"/>
      <c r="AM903" s="34" t="n"/>
      <c r="AN903" s="35">
        <f>IF(AF903="","",IF(AI903="Yes","❌ Disc",IF(AH903="No","⚠ Missing",IF(AK903="Yes","✓ OK","⚠ Check"))))</f>
        <v/>
      </c>
      <c r="AO903" s="36" t="n"/>
      <c r="AP903" s="36" t="n"/>
      <c r="AQ903" s="36" t="n"/>
      <c r="AR903" s="36" t="n"/>
      <c r="AS903" s="36" t="n"/>
      <c r="AT903" s="36" t="n"/>
      <c r="AU903" s="27" t="n"/>
      <c r="AV903" s="37" t="n"/>
      <c r="AW903" s="38">
        <f>IF(AO903="","",IF(AR903="Yes","❌ Disc",IF(AQ903="No","⚠ Missing",IF(AT903="Yes","✓ OK","⚠ Check"))))</f>
        <v/>
      </c>
    </row>
    <row r="904" ht="18" customHeight="1" s="46">
      <c r="A904" s="39" t="n">
        <v>900</v>
      </c>
      <c r="B904" s="40" t="inlineStr">
        <is>
          <t>WP LNCCN357113</t>
        </is>
      </c>
      <c r="C904" s="41" t="inlineStr">
        <is>
          <t>Life n Colors - Phoolbagh, Beautiful Chinoiserie Wallpaper  -  Canvas - a texture paper</t>
        </is>
      </c>
      <c r="D904" s="39" t="inlineStr">
        <is>
          <t>Life n Colors</t>
        </is>
      </c>
      <c r="E904" s="43" t="n">
        <v>46126</v>
      </c>
      <c r="F904" s="26" t="inlineStr">
        <is>
          <t>Sunil CR</t>
        </is>
      </c>
      <c r="G904" s="26" t="inlineStr">
        <is>
          <t>Yes</t>
        </is>
      </c>
      <c r="H904" s="26" t="inlineStr">
        <is>
          <t>No</t>
        </is>
      </c>
      <c r="I904" s="26" t="inlineStr">
        <is>
          <t>Good finish</t>
        </is>
      </c>
      <c r="J904" s="26" t="inlineStr">
        <is>
          <t>Yes</t>
        </is>
      </c>
      <c r="K904" s="27" t="n"/>
      <c r="L904" s="28" t="inlineStr">
        <is>
          <t>No</t>
        </is>
      </c>
      <c r="M904" s="29">
        <f>IF(E904="","",IF(H904="Yes","❌ Disc",IF(G904="No","⚠ Missing",IF(J904="Yes","✓ OK","⚠ Check"))))</f>
        <v/>
      </c>
      <c r="N904" s="43" t="n">
        <v>46193</v>
      </c>
      <c r="O904" s="26" t="inlineStr">
        <is>
          <t>Sunil CR</t>
        </is>
      </c>
      <c r="P904" s="26" t="inlineStr">
        <is>
          <t>Yes</t>
        </is>
      </c>
      <c r="Q904" s="26" t="inlineStr">
        <is>
          <t>No</t>
        </is>
      </c>
      <c r="R904" s="26" t="inlineStr">
        <is>
          <t>Good finish</t>
        </is>
      </c>
      <c r="S904" s="26" t="inlineStr">
        <is>
          <t>Yes</t>
        </is>
      </c>
      <c r="T904" s="27" t="n"/>
      <c r="U904" s="28" t="inlineStr">
        <is>
          <t>No</t>
        </is>
      </c>
      <c r="V904" s="29">
        <f>IF(N904="","",IF(Q904="Yes","❌ Disc",IF(P904="No","⚠ Missing",IF(S904="Yes","✓ OK","⚠ Check"))))</f>
        <v/>
      </c>
      <c r="W904" s="65" t="n">
        <v>46248</v>
      </c>
      <c r="X904" s="30" t="inlineStr">
        <is>
          <t>Sunil CR</t>
        </is>
      </c>
      <c r="Y904" s="30" t="inlineStr">
        <is>
          <t>Yes</t>
        </is>
      </c>
      <c r="Z904" s="30" t="n"/>
      <c r="AA904" s="30" t="inlineStr">
        <is>
          <t>Good finish</t>
        </is>
      </c>
      <c r="AB904" s="30" t="inlineStr">
        <is>
          <t>Yes</t>
        </is>
      </c>
      <c r="AC904" s="27" t="n"/>
      <c r="AD904" s="31" t="inlineStr">
        <is>
          <t>No</t>
        </is>
      </c>
      <c r="AE904" s="32">
        <f>IF(W904="","",IF(Z904="Yes","❌ Disc",IF(Y904="No","⚠ Missing",IF(AB904="Yes","✓ OK","⚠ Check"))))</f>
        <v/>
      </c>
      <c r="AF904" s="33" t="n"/>
      <c r="AG904" s="33" t="n"/>
      <c r="AH904" s="33" t="n"/>
      <c r="AI904" s="33" t="n"/>
      <c r="AJ904" s="33" t="n"/>
      <c r="AK904" s="33" t="n"/>
      <c r="AL904" s="27" t="n"/>
      <c r="AM904" s="34" t="n"/>
      <c r="AN904" s="35">
        <f>IF(AF904="","",IF(AI904="Yes","❌ Disc",IF(AH904="No","⚠ Missing",IF(AK904="Yes","✓ OK","⚠ Check"))))</f>
        <v/>
      </c>
      <c r="AO904" s="36" t="n"/>
      <c r="AP904" s="36" t="n"/>
      <c r="AQ904" s="36" t="n"/>
      <c r="AR904" s="36" t="n"/>
      <c r="AS904" s="36" t="n"/>
      <c r="AT904" s="36" t="n"/>
      <c r="AU904" s="27" t="n"/>
      <c r="AV904" s="37" t="n"/>
      <c r="AW904" s="38">
        <f>IF(AO904="","",IF(AR904="Yes","❌ Disc",IF(AQ904="No","⚠ Missing",IF(AT904="Yes","✓ OK","⚠ Check"))))</f>
        <v/>
      </c>
    </row>
    <row r="905" ht="18" customHeight="1" s="46">
      <c r="A905" s="23" t="n">
        <v>901</v>
      </c>
      <c r="B905" s="24" t="inlineStr">
        <is>
          <t>WP LNCCN1048622</t>
        </is>
      </c>
      <c r="C905" s="25" t="inlineStr">
        <is>
          <t>Life n Colors - Pichwai Cow Painting Inspired Wallpaper for Walls, Customised  -  Canvas - a texture paper</t>
        </is>
      </c>
      <c r="D905" s="23" t="inlineStr">
        <is>
          <t>Life n Colors</t>
        </is>
      </c>
      <c r="E905" s="43" t="n">
        <v>46126</v>
      </c>
      <c r="F905" s="26" t="inlineStr">
        <is>
          <t>Sunil CR</t>
        </is>
      </c>
      <c r="G905" s="26" t="inlineStr">
        <is>
          <t>Yes</t>
        </is>
      </c>
      <c r="H905" s="26" t="inlineStr">
        <is>
          <t>No</t>
        </is>
      </c>
      <c r="I905" s="26" t="inlineStr">
        <is>
          <t>Good finish</t>
        </is>
      </c>
      <c r="J905" s="26" t="inlineStr">
        <is>
          <t>Yes</t>
        </is>
      </c>
      <c r="K905" s="27" t="n"/>
      <c r="L905" s="28" t="inlineStr">
        <is>
          <t>No</t>
        </is>
      </c>
      <c r="M905" s="29">
        <f>IF(E905="","",IF(H905="Yes","❌ Disc",IF(G905="No","⚠ Missing",IF(J905="Yes","✓ OK","⚠ Check"))))</f>
        <v/>
      </c>
      <c r="N905" s="43" t="n">
        <v>46193</v>
      </c>
      <c r="O905" s="26" t="inlineStr">
        <is>
          <t>Sunil CR</t>
        </is>
      </c>
      <c r="P905" s="26" t="inlineStr">
        <is>
          <t>Yes</t>
        </is>
      </c>
      <c r="Q905" s="26" t="inlineStr">
        <is>
          <t>No</t>
        </is>
      </c>
      <c r="R905" s="26" t="inlineStr">
        <is>
          <t>Good finish</t>
        </is>
      </c>
      <c r="S905" s="26" t="inlineStr">
        <is>
          <t>Yes</t>
        </is>
      </c>
      <c r="T905" s="27" t="n"/>
      <c r="U905" s="28" t="inlineStr">
        <is>
          <t>No</t>
        </is>
      </c>
      <c r="V905" s="29">
        <f>IF(N905="","",IF(Q905="Yes","❌ Disc",IF(P905="No","⚠ Missing",IF(S905="Yes","✓ OK","⚠ Check"))))</f>
        <v/>
      </c>
      <c r="W905" s="65" t="n">
        <v>46248</v>
      </c>
      <c r="X905" s="30" t="inlineStr">
        <is>
          <t>Sunil CR</t>
        </is>
      </c>
      <c r="Y905" s="30" t="inlineStr">
        <is>
          <t>Yes</t>
        </is>
      </c>
      <c r="Z905" s="30" t="n"/>
      <c r="AA905" s="30" t="inlineStr">
        <is>
          <t>Good finish</t>
        </is>
      </c>
      <c r="AB905" s="30" t="inlineStr">
        <is>
          <t>Yes</t>
        </is>
      </c>
      <c r="AC905" s="27" t="n"/>
      <c r="AD905" s="31" t="inlineStr">
        <is>
          <t>No</t>
        </is>
      </c>
      <c r="AE905" s="32">
        <f>IF(W905="","",IF(Z905="Yes","❌ Disc",IF(Y905="No","⚠ Missing",IF(AB905="Yes","✓ OK","⚠ Check"))))</f>
        <v/>
      </c>
      <c r="AF905" s="33" t="n"/>
      <c r="AG905" s="33" t="n"/>
      <c r="AH905" s="33" t="n"/>
      <c r="AI905" s="33" t="n"/>
      <c r="AJ905" s="33" t="n"/>
      <c r="AK905" s="33" t="n"/>
      <c r="AL905" s="27" t="n"/>
      <c r="AM905" s="34" t="n"/>
      <c r="AN905" s="35">
        <f>IF(AF905="","",IF(AI905="Yes","❌ Disc",IF(AH905="No","⚠ Missing",IF(AK905="Yes","✓ OK","⚠ Check"))))</f>
        <v/>
      </c>
      <c r="AO905" s="36" t="n"/>
      <c r="AP905" s="36" t="n"/>
      <c r="AQ905" s="36" t="n"/>
      <c r="AR905" s="36" t="n"/>
      <c r="AS905" s="36" t="n"/>
      <c r="AT905" s="36" t="n"/>
      <c r="AU905" s="27" t="n"/>
      <c r="AV905" s="37" t="n"/>
      <c r="AW905" s="38">
        <f>IF(AO905="","",IF(AR905="Yes","❌ Disc",IF(AQ905="No","⚠ Missing",IF(AT905="Yes","✓ OK","⚠ Check"))))</f>
        <v/>
      </c>
    </row>
    <row r="906" ht="18" customHeight="1" s="46">
      <c r="A906" s="39" t="n">
        <v>902</v>
      </c>
      <c r="B906" s="40" t="inlineStr">
        <is>
          <t>WP LNCSF1048622</t>
        </is>
      </c>
      <c r="C906" s="41" t="inlineStr">
        <is>
          <t>Life n Colors - Pichwai Cow Painting Inspired Wallpaper for Walls, Customised  - Non-woven - a soft feel paper</t>
        </is>
      </c>
      <c r="D906" s="39" t="inlineStr">
        <is>
          <t>Life n Colors</t>
        </is>
      </c>
      <c r="E906" s="43" t="n">
        <v>46126</v>
      </c>
      <c r="F906" s="26" t="inlineStr">
        <is>
          <t>Sunil CR</t>
        </is>
      </c>
      <c r="G906" s="26" t="inlineStr">
        <is>
          <t>Yes</t>
        </is>
      </c>
      <c r="H906" s="26" t="inlineStr">
        <is>
          <t>No</t>
        </is>
      </c>
      <c r="I906" s="26" t="inlineStr">
        <is>
          <t>Good finish</t>
        </is>
      </c>
      <c r="J906" s="26" t="inlineStr">
        <is>
          <t>Yes</t>
        </is>
      </c>
      <c r="K906" s="27" t="n"/>
      <c r="L906" s="28" t="inlineStr">
        <is>
          <t>No</t>
        </is>
      </c>
      <c r="M906" s="29">
        <f>IF(E906="","",IF(H906="Yes","❌ Disc",IF(G906="No","⚠ Missing",IF(J906="Yes","✓ OK","⚠ Check"))))</f>
        <v/>
      </c>
      <c r="N906" s="43" t="n">
        <v>46193</v>
      </c>
      <c r="O906" s="26" t="inlineStr">
        <is>
          <t>Sunil CR</t>
        </is>
      </c>
      <c r="P906" s="26" t="inlineStr">
        <is>
          <t>Yes</t>
        </is>
      </c>
      <c r="Q906" s="26" t="inlineStr">
        <is>
          <t>No</t>
        </is>
      </c>
      <c r="R906" s="26" t="inlineStr">
        <is>
          <t>Good finish</t>
        </is>
      </c>
      <c r="S906" s="26" t="inlineStr">
        <is>
          <t>Yes</t>
        </is>
      </c>
      <c r="T906" s="27" t="n"/>
      <c r="U906" s="28" t="inlineStr">
        <is>
          <t>No</t>
        </is>
      </c>
      <c r="V906" s="29">
        <f>IF(N906="","",IF(Q906="Yes","❌ Disc",IF(P906="No","⚠ Missing",IF(S906="Yes","✓ OK","⚠ Check"))))</f>
        <v/>
      </c>
      <c r="W906" s="65" t="n">
        <v>46248</v>
      </c>
      <c r="X906" s="30" t="inlineStr">
        <is>
          <t>Sunil CR</t>
        </is>
      </c>
      <c r="Y906" s="30" t="inlineStr">
        <is>
          <t>Yes</t>
        </is>
      </c>
      <c r="Z906" s="30" t="n"/>
      <c r="AA906" s="30" t="inlineStr">
        <is>
          <t>Good finish</t>
        </is>
      </c>
      <c r="AB906" s="30" t="inlineStr">
        <is>
          <t>Yes</t>
        </is>
      </c>
      <c r="AC906" s="27" t="n"/>
      <c r="AD906" s="31" t="inlineStr">
        <is>
          <t>No</t>
        </is>
      </c>
      <c r="AE906" s="32">
        <f>IF(W906="","",IF(Z906="Yes","❌ Disc",IF(Y906="No","⚠ Missing",IF(AB906="Yes","✓ OK","⚠ Check"))))</f>
        <v/>
      </c>
      <c r="AF906" s="33" t="n"/>
      <c r="AG906" s="33" t="n"/>
      <c r="AH906" s="33" t="n"/>
      <c r="AI906" s="33" t="n"/>
      <c r="AJ906" s="33" t="n"/>
      <c r="AK906" s="33" t="n"/>
      <c r="AL906" s="27" t="n"/>
      <c r="AM906" s="34" t="n"/>
      <c r="AN906" s="35">
        <f>IF(AF906="","",IF(AI906="Yes","❌ Disc",IF(AH906="No","⚠ Missing",IF(AK906="Yes","✓ OK","⚠ Check"))))</f>
        <v/>
      </c>
      <c r="AO906" s="36" t="n"/>
      <c r="AP906" s="36" t="n"/>
      <c r="AQ906" s="36" t="n"/>
      <c r="AR906" s="36" t="n"/>
      <c r="AS906" s="36" t="n"/>
      <c r="AT906" s="36" t="n"/>
      <c r="AU906" s="27" t="n"/>
      <c r="AV906" s="37" t="n"/>
      <c r="AW906" s="38">
        <f>IF(AO906="","",IF(AR906="Yes","❌ Disc",IF(AQ906="No","⚠ Missing",IF(AT906="Yes","✓ OK","⚠ Check"))))</f>
        <v/>
      </c>
    </row>
    <row r="907" ht="18" customHeight="1" s="46">
      <c r="A907" s="23" t="n">
        <v>903</v>
      </c>
      <c r="B907" s="24" t="inlineStr">
        <is>
          <t>WP LNCCN341525</t>
        </is>
      </c>
      <c r="C907" s="25" t="inlineStr">
        <is>
          <t>Life n Colors - Pichwai Cows in Chevron Pattern Wallpaper  -  Canvas - a texture paper</t>
        </is>
      </c>
      <c r="D907" s="23" t="inlineStr">
        <is>
          <t>Life n Colors</t>
        </is>
      </c>
      <c r="E907" s="43" t="n">
        <v>46126</v>
      </c>
      <c r="F907" s="26" t="inlineStr">
        <is>
          <t>Sunil CR</t>
        </is>
      </c>
      <c r="G907" s="26" t="inlineStr">
        <is>
          <t>Yes</t>
        </is>
      </c>
      <c r="H907" s="26" t="inlineStr">
        <is>
          <t>No</t>
        </is>
      </c>
      <c r="I907" s="26" t="inlineStr">
        <is>
          <t>Good finish</t>
        </is>
      </c>
      <c r="J907" s="26" t="inlineStr">
        <is>
          <t>Yes</t>
        </is>
      </c>
      <c r="K907" s="27" t="n"/>
      <c r="L907" s="28" t="inlineStr">
        <is>
          <t>No</t>
        </is>
      </c>
      <c r="M907" s="29">
        <f>IF(E907="","",IF(H907="Yes","❌ Disc",IF(G907="No","⚠ Missing",IF(J907="Yes","✓ OK","⚠ Check"))))</f>
        <v/>
      </c>
      <c r="N907" s="43" t="n">
        <v>46193</v>
      </c>
      <c r="O907" s="26" t="inlineStr">
        <is>
          <t>Sunil CR</t>
        </is>
      </c>
      <c r="P907" s="26" t="inlineStr">
        <is>
          <t>Yes</t>
        </is>
      </c>
      <c r="Q907" s="26" t="inlineStr">
        <is>
          <t>No</t>
        </is>
      </c>
      <c r="R907" s="26" t="inlineStr">
        <is>
          <t>Good finish</t>
        </is>
      </c>
      <c r="S907" s="26" t="inlineStr">
        <is>
          <t>Yes</t>
        </is>
      </c>
      <c r="T907" s="27" t="n"/>
      <c r="U907" s="28" t="inlineStr">
        <is>
          <t>No</t>
        </is>
      </c>
      <c r="V907" s="29">
        <f>IF(N907="","",IF(Q907="Yes","❌ Disc",IF(P907="No","⚠ Missing",IF(S907="Yes","✓ OK","⚠ Check"))))</f>
        <v/>
      </c>
      <c r="W907" s="65" t="n">
        <v>46248</v>
      </c>
      <c r="X907" s="30" t="inlineStr">
        <is>
          <t>Sunil CR</t>
        </is>
      </c>
      <c r="Y907" s="30" t="inlineStr">
        <is>
          <t>Yes</t>
        </is>
      </c>
      <c r="Z907" s="30" t="n"/>
      <c r="AA907" s="30" t="inlineStr">
        <is>
          <t>Good finish</t>
        </is>
      </c>
      <c r="AB907" s="30" t="inlineStr">
        <is>
          <t>Yes</t>
        </is>
      </c>
      <c r="AC907" s="27" t="n"/>
      <c r="AD907" s="31" t="inlineStr">
        <is>
          <t>No</t>
        </is>
      </c>
      <c r="AE907" s="32">
        <f>IF(W907="","",IF(Z907="Yes","❌ Disc",IF(Y907="No","⚠ Missing",IF(AB907="Yes","✓ OK","⚠ Check"))))</f>
        <v/>
      </c>
      <c r="AF907" s="33" t="n"/>
      <c r="AG907" s="33" t="n"/>
      <c r="AH907" s="33" t="n"/>
      <c r="AI907" s="33" t="n"/>
      <c r="AJ907" s="33" t="n"/>
      <c r="AK907" s="33" t="n"/>
      <c r="AL907" s="27" t="n"/>
      <c r="AM907" s="34" t="n"/>
      <c r="AN907" s="35">
        <f>IF(AF907="","",IF(AI907="Yes","❌ Disc",IF(AH907="No","⚠ Missing",IF(AK907="Yes","✓ OK","⚠ Check"))))</f>
        <v/>
      </c>
      <c r="AO907" s="36" t="n"/>
      <c r="AP907" s="36" t="n"/>
      <c r="AQ907" s="36" t="n"/>
      <c r="AR907" s="36" t="n"/>
      <c r="AS907" s="36" t="n"/>
      <c r="AT907" s="36" t="n"/>
      <c r="AU907" s="27" t="n"/>
      <c r="AV907" s="37" t="n"/>
      <c r="AW907" s="38">
        <f>IF(AO907="","",IF(AR907="Yes","❌ Disc",IF(AQ907="No","⚠ Missing",IF(AT907="Yes","✓ OK","⚠ Check"))))</f>
        <v/>
      </c>
    </row>
    <row r="908" ht="18" customHeight="1" s="46">
      <c r="A908" s="39" t="n">
        <v>904</v>
      </c>
      <c r="B908" s="40" t="inlineStr">
        <is>
          <t>WP LNCCN1019014</t>
        </is>
      </c>
      <c r="C908" s="41" t="inlineStr">
        <is>
          <t>Life n Colors - Pink &amp; Green Tropical Trees Wallpaper  -  Canvas - a texture paper</t>
        </is>
      </c>
      <c r="D908" s="39" t="inlineStr">
        <is>
          <t>Life n Colors</t>
        </is>
      </c>
      <c r="E908" s="43" t="n">
        <v>46126</v>
      </c>
      <c r="F908" s="26" t="inlineStr">
        <is>
          <t>Sunil CR</t>
        </is>
      </c>
      <c r="G908" s="26" t="inlineStr">
        <is>
          <t>Yes</t>
        </is>
      </c>
      <c r="H908" s="26" t="inlineStr">
        <is>
          <t>No</t>
        </is>
      </c>
      <c r="I908" s="26" t="inlineStr">
        <is>
          <t>Good finish</t>
        </is>
      </c>
      <c r="J908" s="26" t="inlineStr">
        <is>
          <t>Yes</t>
        </is>
      </c>
      <c r="K908" s="27" t="n"/>
      <c r="L908" s="28" t="inlineStr">
        <is>
          <t>No</t>
        </is>
      </c>
      <c r="M908" s="29">
        <f>IF(E908="","",IF(H908="Yes","❌ Disc",IF(G908="No","⚠ Missing",IF(J908="Yes","✓ OK","⚠ Check"))))</f>
        <v/>
      </c>
      <c r="N908" s="43" t="n">
        <v>46193</v>
      </c>
      <c r="O908" s="26" t="inlineStr">
        <is>
          <t>Sunil CR</t>
        </is>
      </c>
      <c r="P908" s="26" t="inlineStr">
        <is>
          <t>Yes</t>
        </is>
      </c>
      <c r="Q908" s="26" t="inlineStr">
        <is>
          <t>No</t>
        </is>
      </c>
      <c r="R908" s="26" t="inlineStr">
        <is>
          <t>Good finish</t>
        </is>
      </c>
      <c r="S908" s="26" t="inlineStr">
        <is>
          <t>Yes</t>
        </is>
      </c>
      <c r="T908" s="27" t="n"/>
      <c r="U908" s="28" t="inlineStr">
        <is>
          <t>No</t>
        </is>
      </c>
      <c r="V908" s="29">
        <f>IF(N908="","",IF(Q908="Yes","❌ Disc",IF(P908="No","⚠ Missing",IF(S908="Yes","✓ OK","⚠ Check"))))</f>
        <v/>
      </c>
      <c r="W908" s="65" t="n">
        <v>46248</v>
      </c>
      <c r="X908" s="30" t="inlineStr">
        <is>
          <t>Sunil CR</t>
        </is>
      </c>
      <c r="Y908" s="30" t="inlineStr">
        <is>
          <t>Yes</t>
        </is>
      </c>
      <c r="Z908" s="30" t="n"/>
      <c r="AA908" s="30" t="inlineStr">
        <is>
          <t>Good finish</t>
        </is>
      </c>
      <c r="AB908" s="30" t="inlineStr">
        <is>
          <t>Yes</t>
        </is>
      </c>
      <c r="AC908" s="27" t="n"/>
      <c r="AD908" s="31" t="inlineStr">
        <is>
          <t>No</t>
        </is>
      </c>
      <c r="AE908" s="32">
        <f>IF(W908="","",IF(Z908="Yes","❌ Disc",IF(Y908="No","⚠ Missing",IF(AB908="Yes","✓ OK","⚠ Check"))))</f>
        <v/>
      </c>
      <c r="AF908" s="33" t="n"/>
      <c r="AG908" s="33" t="n"/>
      <c r="AH908" s="33" t="n"/>
      <c r="AI908" s="33" t="n"/>
      <c r="AJ908" s="33" t="n"/>
      <c r="AK908" s="33" t="n"/>
      <c r="AL908" s="27" t="n"/>
      <c r="AM908" s="34" t="n"/>
      <c r="AN908" s="35">
        <f>IF(AF908="","",IF(AI908="Yes","❌ Disc",IF(AH908="No","⚠ Missing",IF(AK908="Yes","✓ OK","⚠ Check"))))</f>
        <v/>
      </c>
      <c r="AO908" s="36" t="n"/>
      <c r="AP908" s="36" t="n"/>
      <c r="AQ908" s="36" t="n"/>
      <c r="AR908" s="36" t="n"/>
      <c r="AS908" s="36" t="n"/>
      <c r="AT908" s="36" t="n"/>
      <c r="AU908" s="27" t="n"/>
      <c r="AV908" s="37" t="n"/>
      <c r="AW908" s="38">
        <f>IF(AO908="","",IF(AR908="Yes","❌ Disc",IF(AQ908="No","⚠ Missing",IF(AT908="Yes","✓ OK","⚠ Check"))))</f>
        <v/>
      </c>
    </row>
    <row r="909" ht="18" customHeight="1" s="46">
      <c r="A909" s="23" t="n">
        <v>905</v>
      </c>
      <c r="B909" s="24" t="inlineStr">
        <is>
          <t>WP LNCSF1019014</t>
        </is>
      </c>
      <c r="C909" s="25" t="inlineStr">
        <is>
          <t>Life n Colors - Pink &amp; Green Tropical Trees Wallpaper  - Non-woven - a soft feel paper</t>
        </is>
      </c>
      <c r="D909" s="23" t="inlineStr">
        <is>
          <t>Life n Colors</t>
        </is>
      </c>
      <c r="E909" s="43" t="n">
        <v>46126</v>
      </c>
      <c r="F909" s="26" t="inlineStr">
        <is>
          <t>Sunil CR</t>
        </is>
      </c>
      <c r="G909" s="26" t="inlineStr">
        <is>
          <t>Yes</t>
        </is>
      </c>
      <c r="H909" s="26" t="inlineStr">
        <is>
          <t>No</t>
        </is>
      </c>
      <c r="I909" s="26" t="inlineStr">
        <is>
          <t>Good finish</t>
        </is>
      </c>
      <c r="J909" s="26" t="inlineStr">
        <is>
          <t>Yes</t>
        </is>
      </c>
      <c r="K909" s="27" t="n"/>
      <c r="L909" s="28" t="inlineStr">
        <is>
          <t>No</t>
        </is>
      </c>
      <c r="M909" s="29">
        <f>IF(E909="","",IF(H909="Yes","❌ Disc",IF(G909="No","⚠ Missing",IF(J909="Yes","✓ OK","⚠ Check"))))</f>
        <v/>
      </c>
      <c r="N909" s="43" t="n">
        <v>46193</v>
      </c>
      <c r="O909" s="26" t="inlineStr">
        <is>
          <t>Sunil CR</t>
        </is>
      </c>
      <c r="P909" s="26" t="inlineStr">
        <is>
          <t>Yes</t>
        </is>
      </c>
      <c r="Q909" s="26" t="inlineStr">
        <is>
          <t>No</t>
        </is>
      </c>
      <c r="R909" s="26" t="inlineStr">
        <is>
          <t>Good finish</t>
        </is>
      </c>
      <c r="S909" s="26" t="inlineStr">
        <is>
          <t>Yes</t>
        </is>
      </c>
      <c r="T909" s="27" t="n"/>
      <c r="U909" s="28" t="inlineStr">
        <is>
          <t>No</t>
        </is>
      </c>
      <c r="V909" s="29">
        <f>IF(N909="","",IF(Q909="Yes","❌ Disc",IF(P909="No","⚠ Missing",IF(S909="Yes","✓ OK","⚠ Check"))))</f>
        <v/>
      </c>
      <c r="W909" s="65" t="n">
        <v>46248</v>
      </c>
      <c r="X909" s="30" t="inlineStr">
        <is>
          <t>Sunil CR</t>
        </is>
      </c>
      <c r="Y909" s="30" t="inlineStr">
        <is>
          <t>Yes</t>
        </is>
      </c>
      <c r="Z909" s="30" t="n"/>
      <c r="AA909" s="30" t="inlineStr">
        <is>
          <t>Good finish</t>
        </is>
      </c>
      <c r="AB909" s="30" t="inlineStr">
        <is>
          <t>Yes</t>
        </is>
      </c>
      <c r="AC909" s="27" t="n"/>
      <c r="AD909" s="31" t="inlineStr">
        <is>
          <t>No</t>
        </is>
      </c>
      <c r="AE909" s="32">
        <f>IF(W909="","",IF(Z909="Yes","❌ Disc",IF(Y909="No","⚠ Missing",IF(AB909="Yes","✓ OK","⚠ Check"))))</f>
        <v/>
      </c>
      <c r="AF909" s="33" t="n"/>
      <c r="AG909" s="33" t="n"/>
      <c r="AH909" s="33" t="n"/>
      <c r="AI909" s="33" t="n"/>
      <c r="AJ909" s="33" t="n"/>
      <c r="AK909" s="33" t="n"/>
      <c r="AL909" s="27" t="n"/>
      <c r="AM909" s="34" t="n"/>
      <c r="AN909" s="35">
        <f>IF(AF909="","",IF(AI909="Yes","❌ Disc",IF(AH909="No","⚠ Missing",IF(AK909="Yes","✓ OK","⚠ Check"))))</f>
        <v/>
      </c>
      <c r="AO909" s="36" t="n"/>
      <c r="AP909" s="36" t="n"/>
      <c r="AQ909" s="36" t="n"/>
      <c r="AR909" s="36" t="n"/>
      <c r="AS909" s="36" t="n"/>
      <c r="AT909" s="36" t="n"/>
      <c r="AU909" s="27" t="n"/>
      <c r="AV909" s="37" t="n"/>
      <c r="AW909" s="38">
        <f>IF(AO909="","",IF(AR909="Yes","❌ Disc",IF(AQ909="No","⚠ Missing",IF(AT909="Yes","✓ OK","⚠ Check"))))</f>
        <v/>
      </c>
    </row>
    <row r="910" ht="18" customHeight="1" s="46">
      <c r="A910" s="39" t="n">
        <v>906</v>
      </c>
      <c r="B910" s="40" t="inlineStr">
        <is>
          <t>WP LNCCN1016332</t>
        </is>
      </c>
      <c r="C910" s="41" t="inlineStr">
        <is>
          <t>Life n Colors - Pink And White Girls Room Wallpaper  -  Canvas - a texture paper</t>
        </is>
      </c>
      <c r="D910" s="39" t="inlineStr">
        <is>
          <t>Life n Colors</t>
        </is>
      </c>
      <c r="E910" s="43" t="n">
        <v>46126</v>
      </c>
      <c r="F910" s="26" t="inlineStr">
        <is>
          <t>Sunil CR</t>
        </is>
      </c>
      <c r="G910" s="26" t="inlineStr">
        <is>
          <t>Yes</t>
        </is>
      </c>
      <c r="H910" s="26" t="inlineStr">
        <is>
          <t>No</t>
        </is>
      </c>
      <c r="I910" s="26" t="inlineStr">
        <is>
          <t>Good finish</t>
        </is>
      </c>
      <c r="J910" s="26" t="inlineStr">
        <is>
          <t>Yes</t>
        </is>
      </c>
      <c r="K910" s="27" t="n"/>
      <c r="L910" s="28" t="inlineStr">
        <is>
          <t>No</t>
        </is>
      </c>
      <c r="M910" s="29">
        <f>IF(E910="","",IF(H910="Yes","❌ Disc",IF(G910="No","⚠ Missing",IF(J910="Yes","✓ OK","⚠ Check"))))</f>
        <v/>
      </c>
      <c r="N910" s="43" t="n">
        <v>46193</v>
      </c>
      <c r="O910" s="26" t="inlineStr">
        <is>
          <t>Sunil CR</t>
        </is>
      </c>
      <c r="P910" s="26" t="inlineStr">
        <is>
          <t>Yes</t>
        </is>
      </c>
      <c r="Q910" s="26" t="inlineStr">
        <is>
          <t>No</t>
        </is>
      </c>
      <c r="R910" s="26" t="inlineStr">
        <is>
          <t>Good finish</t>
        </is>
      </c>
      <c r="S910" s="26" t="inlineStr">
        <is>
          <t>Yes</t>
        </is>
      </c>
      <c r="T910" s="27" t="n"/>
      <c r="U910" s="28" t="inlineStr">
        <is>
          <t>No</t>
        </is>
      </c>
      <c r="V910" s="29">
        <f>IF(N910="","",IF(Q910="Yes","❌ Disc",IF(P910="No","⚠ Missing",IF(S910="Yes","✓ OK","⚠ Check"))))</f>
        <v/>
      </c>
      <c r="W910" s="65" t="n">
        <v>46248</v>
      </c>
      <c r="X910" s="30" t="inlineStr">
        <is>
          <t>Sunil CR</t>
        </is>
      </c>
      <c r="Y910" s="30" t="inlineStr">
        <is>
          <t>Yes</t>
        </is>
      </c>
      <c r="Z910" s="30" t="n"/>
      <c r="AA910" s="30" t="inlineStr">
        <is>
          <t>Good finish</t>
        </is>
      </c>
      <c r="AB910" s="30" t="inlineStr">
        <is>
          <t>Yes</t>
        </is>
      </c>
      <c r="AC910" s="27" t="n"/>
      <c r="AD910" s="31" t="inlineStr">
        <is>
          <t>No</t>
        </is>
      </c>
      <c r="AE910" s="32">
        <f>IF(W910="","",IF(Z910="Yes","❌ Disc",IF(Y910="No","⚠ Missing",IF(AB910="Yes","✓ OK","⚠ Check"))))</f>
        <v/>
      </c>
      <c r="AF910" s="33" t="n"/>
      <c r="AG910" s="33" t="n"/>
      <c r="AH910" s="33" t="n"/>
      <c r="AI910" s="33" t="n"/>
      <c r="AJ910" s="33" t="n"/>
      <c r="AK910" s="33" t="n"/>
      <c r="AL910" s="27" t="n"/>
      <c r="AM910" s="34" t="n"/>
      <c r="AN910" s="35">
        <f>IF(AF910="","",IF(AI910="Yes","❌ Disc",IF(AH910="No","⚠ Missing",IF(AK910="Yes","✓ OK","⚠ Check"))))</f>
        <v/>
      </c>
      <c r="AO910" s="36" t="n"/>
      <c r="AP910" s="36" t="n"/>
      <c r="AQ910" s="36" t="n"/>
      <c r="AR910" s="36" t="n"/>
      <c r="AS910" s="36" t="n"/>
      <c r="AT910" s="36" t="n"/>
      <c r="AU910" s="27" t="n"/>
      <c r="AV910" s="37" t="n"/>
      <c r="AW910" s="38">
        <f>IF(AO910="","",IF(AR910="Yes","❌ Disc",IF(AQ910="No","⚠ Missing",IF(AT910="Yes","✓ OK","⚠ Check"))))</f>
        <v/>
      </c>
    </row>
    <row r="911" ht="18" customHeight="1" s="46">
      <c r="A911" s="23" t="n">
        <v>907</v>
      </c>
      <c r="B911" s="24" t="inlineStr">
        <is>
          <t>WP LNCSF1016332</t>
        </is>
      </c>
      <c r="C911" s="25" t="inlineStr">
        <is>
          <t>Life n Colors - Pink And White Girls Room Wallpaper  - Non-woven - a soft feel paper</t>
        </is>
      </c>
      <c r="D911" s="23" t="inlineStr">
        <is>
          <t>Life n Colors</t>
        </is>
      </c>
      <c r="E911" s="43" t="n">
        <v>46126</v>
      </c>
      <c r="F911" s="26" t="inlineStr">
        <is>
          <t>Sunil CR</t>
        </is>
      </c>
      <c r="G911" s="26" t="inlineStr">
        <is>
          <t>Yes</t>
        </is>
      </c>
      <c r="H911" s="26" t="inlineStr">
        <is>
          <t>No</t>
        </is>
      </c>
      <c r="I911" s="26" t="inlineStr">
        <is>
          <t>Good finish</t>
        </is>
      </c>
      <c r="J911" s="26" t="inlineStr">
        <is>
          <t>Yes</t>
        </is>
      </c>
      <c r="K911" s="27" t="n"/>
      <c r="L911" s="28" t="inlineStr">
        <is>
          <t>No</t>
        </is>
      </c>
      <c r="M911" s="29">
        <f>IF(E911="","",IF(H911="Yes","❌ Disc",IF(G911="No","⚠ Missing",IF(J911="Yes","✓ OK","⚠ Check"))))</f>
        <v/>
      </c>
      <c r="N911" s="43" t="n">
        <v>46193</v>
      </c>
      <c r="O911" s="26" t="inlineStr">
        <is>
          <t>Sunil CR</t>
        </is>
      </c>
      <c r="P911" s="26" t="inlineStr">
        <is>
          <t>Yes</t>
        </is>
      </c>
      <c r="Q911" s="26" t="inlineStr">
        <is>
          <t>No</t>
        </is>
      </c>
      <c r="R911" s="26" t="inlineStr">
        <is>
          <t>Good finish</t>
        </is>
      </c>
      <c r="S911" s="26" t="inlineStr">
        <is>
          <t>Yes</t>
        </is>
      </c>
      <c r="T911" s="27" t="n"/>
      <c r="U911" s="28" t="inlineStr">
        <is>
          <t>No</t>
        </is>
      </c>
      <c r="V911" s="29">
        <f>IF(N911="","",IF(Q911="Yes","❌ Disc",IF(P911="No","⚠ Missing",IF(S911="Yes","✓ OK","⚠ Check"))))</f>
        <v/>
      </c>
      <c r="W911" s="65" t="n">
        <v>46248</v>
      </c>
      <c r="X911" s="30" t="inlineStr">
        <is>
          <t>Sunil CR</t>
        </is>
      </c>
      <c r="Y911" s="30" t="inlineStr">
        <is>
          <t>Yes</t>
        </is>
      </c>
      <c r="Z911" s="30" t="n"/>
      <c r="AA911" s="30" t="inlineStr">
        <is>
          <t>Good finish</t>
        </is>
      </c>
      <c r="AB911" s="30" t="inlineStr">
        <is>
          <t>Yes</t>
        </is>
      </c>
      <c r="AC911" s="27" t="n"/>
      <c r="AD911" s="31" t="inlineStr">
        <is>
          <t>No</t>
        </is>
      </c>
      <c r="AE911" s="32">
        <f>IF(W911="","",IF(Z911="Yes","❌ Disc",IF(Y911="No","⚠ Missing",IF(AB911="Yes","✓ OK","⚠ Check"))))</f>
        <v/>
      </c>
      <c r="AF911" s="33" t="n"/>
      <c r="AG911" s="33" t="n"/>
      <c r="AH911" s="33" t="n"/>
      <c r="AI911" s="33" t="n"/>
      <c r="AJ911" s="33" t="n"/>
      <c r="AK911" s="33" t="n"/>
      <c r="AL911" s="27" t="n"/>
      <c r="AM911" s="34" t="n"/>
      <c r="AN911" s="35">
        <f>IF(AF911="","",IF(AI911="Yes","❌ Disc",IF(AH911="No","⚠ Missing",IF(AK911="Yes","✓ OK","⚠ Check"))))</f>
        <v/>
      </c>
      <c r="AO911" s="36" t="n"/>
      <c r="AP911" s="36" t="n"/>
      <c r="AQ911" s="36" t="n"/>
      <c r="AR911" s="36" t="n"/>
      <c r="AS911" s="36" t="n"/>
      <c r="AT911" s="36" t="n"/>
      <c r="AU911" s="27" t="n"/>
      <c r="AV911" s="37" t="n"/>
      <c r="AW911" s="38">
        <f>IF(AO911="","",IF(AR911="Yes","❌ Disc",IF(AQ911="No","⚠ Missing",IF(AT911="Yes","✓ OK","⚠ Check"))))</f>
        <v/>
      </c>
    </row>
    <row r="912" ht="18" customHeight="1" s="46">
      <c r="A912" s="39" t="n">
        <v>908</v>
      </c>
      <c r="B912" s="40" t="inlineStr">
        <is>
          <t>WP LNCCN1058622</t>
        </is>
      </c>
      <c r="C912" s="41" t="inlineStr">
        <is>
          <t>Life n Colors - Pink Indian Motif Wallpaper for Bedrooms  -  Canvas - a texture paper</t>
        </is>
      </c>
      <c r="D912" s="39" t="inlineStr">
        <is>
          <t>Life n Colors</t>
        </is>
      </c>
      <c r="E912" s="43" t="n">
        <v>46126</v>
      </c>
      <c r="F912" s="26" t="inlineStr">
        <is>
          <t>Sunil CR</t>
        </is>
      </c>
      <c r="G912" s="26" t="inlineStr">
        <is>
          <t>Yes</t>
        </is>
      </c>
      <c r="H912" s="26" t="inlineStr">
        <is>
          <t>No</t>
        </is>
      </c>
      <c r="I912" s="26" t="inlineStr">
        <is>
          <t>Good finish</t>
        </is>
      </c>
      <c r="J912" s="26" t="inlineStr">
        <is>
          <t>Yes</t>
        </is>
      </c>
      <c r="K912" s="27" t="n"/>
      <c r="L912" s="28" t="inlineStr">
        <is>
          <t>No</t>
        </is>
      </c>
      <c r="M912" s="29">
        <f>IF(E912="","",IF(H912="Yes","❌ Disc",IF(G912="No","⚠ Missing",IF(J912="Yes","✓ OK","⚠ Check"))))</f>
        <v/>
      </c>
      <c r="N912" s="43" t="n">
        <v>46193</v>
      </c>
      <c r="O912" s="26" t="inlineStr">
        <is>
          <t>Sunil CR</t>
        </is>
      </c>
      <c r="P912" s="26" t="inlineStr">
        <is>
          <t>Yes</t>
        </is>
      </c>
      <c r="Q912" s="26" t="inlineStr">
        <is>
          <t>No</t>
        </is>
      </c>
      <c r="R912" s="26" t="inlineStr">
        <is>
          <t>Good finish</t>
        </is>
      </c>
      <c r="S912" s="26" t="inlineStr">
        <is>
          <t>Yes</t>
        </is>
      </c>
      <c r="T912" s="27" t="n"/>
      <c r="U912" s="28" t="inlineStr">
        <is>
          <t>No</t>
        </is>
      </c>
      <c r="V912" s="29">
        <f>IF(N912="","",IF(Q912="Yes","❌ Disc",IF(P912="No","⚠ Missing",IF(S912="Yes","✓ OK","⚠ Check"))))</f>
        <v/>
      </c>
      <c r="W912" s="65" t="n">
        <v>46248</v>
      </c>
      <c r="X912" s="30" t="inlineStr">
        <is>
          <t>Sunil CR</t>
        </is>
      </c>
      <c r="Y912" s="30" t="inlineStr">
        <is>
          <t>Yes</t>
        </is>
      </c>
      <c r="Z912" s="30" t="n"/>
      <c r="AA912" s="30" t="inlineStr">
        <is>
          <t>Good finish</t>
        </is>
      </c>
      <c r="AB912" s="30" t="inlineStr">
        <is>
          <t>Yes</t>
        </is>
      </c>
      <c r="AC912" s="27" t="n"/>
      <c r="AD912" s="31" t="inlineStr">
        <is>
          <t>No</t>
        </is>
      </c>
      <c r="AE912" s="32">
        <f>IF(W912="","",IF(Z912="Yes","❌ Disc",IF(Y912="No","⚠ Missing",IF(AB912="Yes","✓ OK","⚠ Check"))))</f>
        <v/>
      </c>
      <c r="AF912" s="33" t="n"/>
      <c r="AG912" s="33" t="n"/>
      <c r="AH912" s="33" t="n"/>
      <c r="AI912" s="33" t="n"/>
      <c r="AJ912" s="33" t="n"/>
      <c r="AK912" s="33" t="n"/>
      <c r="AL912" s="27" t="n"/>
      <c r="AM912" s="34" t="n"/>
      <c r="AN912" s="35">
        <f>IF(AF912="","",IF(AI912="Yes","❌ Disc",IF(AH912="No","⚠ Missing",IF(AK912="Yes","✓ OK","⚠ Check"))))</f>
        <v/>
      </c>
      <c r="AO912" s="36" t="n"/>
      <c r="AP912" s="36" t="n"/>
      <c r="AQ912" s="36" t="n"/>
      <c r="AR912" s="36" t="n"/>
      <c r="AS912" s="36" t="n"/>
      <c r="AT912" s="36" t="n"/>
      <c r="AU912" s="27" t="n"/>
      <c r="AV912" s="37" t="n"/>
      <c r="AW912" s="38">
        <f>IF(AO912="","",IF(AR912="Yes","❌ Disc",IF(AQ912="No","⚠ Missing",IF(AT912="Yes","✓ OK","⚠ Check"))))</f>
        <v/>
      </c>
    </row>
    <row r="913" ht="18" customHeight="1" s="46">
      <c r="A913" s="23" t="n">
        <v>909</v>
      </c>
      <c r="B913" s="24" t="inlineStr">
        <is>
          <t>WP LNCSF1058622</t>
        </is>
      </c>
      <c r="C913" s="25" t="inlineStr">
        <is>
          <t>Life n Colors - Pink Indian Motif Wallpaper for Bedrooms  - Non-woven - a soft feel paper</t>
        </is>
      </c>
      <c r="D913" s="23" t="inlineStr">
        <is>
          <t>Life n Colors</t>
        </is>
      </c>
      <c r="E913" s="43" t="n">
        <v>46126</v>
      </c>
      <c r="F913" s="26" t="inlineStr">
        <is>
          <t>Sunil CR</t>
        </is>
      </c>
      <c r="G913" s="26" t="inlineStr">
        <is>
          <t>Yes</t>
        </is>
      </c>
      <c r="H913" s="26" t="inlineStr">
        <is>
          <t>No</t>
        </is>
      </c>
      <c r="I913" s="26" t="inlineStr">
        <is>
          <t>Good finish</t>
        </is>
      </c>
      <c r="J913" s="26" t="inlineStr">
        <is>
          <t>Yes</t>
        </is>
      </c>
      <c r="K913" s="27" t="n"/>
      <c r="L913" s="28" t="inlineStr">
        <is>
          <t>No</t>
        </is>
      </c>
      <c r="M913" s="29">
        <f>IF(E913="","",IF(H913="Yes","❌ Disc",IF(G913="No","⚠ Missing",IF(J913="Yes","✓ OK","⚠ Check"))))</f>
        <v/>
      </c>
      <c r="N913" s="43" t="n">
        <v>46193</v>
      </c>
      <c r="O913" s="26" t="inlineStr">
        <is>
          <t>Sunil CR</t>
        </is>
      </c>
      <c r="P913" s="26" t="inlineStr">
        <is>
          <t>Yes</t>
        </is>
      </c>
      <c r="Q913" s="26" t="inlineStr">
        <is>
          <t>No</t>
        </is>
      </c>
      <c r="R913" s="26" t="inlineStr">
        <is>
          <t>Good finish</t>
        </is>
      </c>
      <c r="S913" s="26" t="inlineStr">
        <is>
          <t>Yes</t>
        </is>
      </c>
      <c r="T913" s="27" t="n"/>
      <c r="U913" s="28" t="inlineStr">
        <is>
          <t>No</t>
        </is>
      </c>
      <c r="V913" s="29">
        <f>IF(N913="","",IF(Q913="Yes","❌ Disc",IF(P913="No","⚠ Missing",IF(S913="Yes","✓ OK","⚠ Check"))))</f>
        <v/>
      </c>
      <c r="W913" s="65" t="n">
        <v>46248</v>
      </c>
      <c r="X913" s="30" t="inlineStr">
        <is>
          <t>Sunil CR</t>
        </is>
      </c>
      <c r="Y913" s="30" t="inlineStr">
        <is>
          <t>Yes</t>
        </is>
      </c>
      <c r="Z913" s="30" t="n"/>
      <c r="AA913" s="30" t="inlineStr">
        <is>
          <t>Good finish</t>
        </is>
      </c>
      <c r="AB913" s="30" t="inlineStr">
        <is>
          <t>Yes</t>
        </is>
      </c>
      <c r="AC913" s="27" t="n"/>
      <c r="AD913" s="31" t="inlineStr">
        <is>
          <t>No</t>
        </is>
      </c>
      <c r="AE913" s="32">
        <f>IF(W913="","",IF(Z913="Yes","❌ Disc",IF(Y913="No","⚠ Missing",IF(AB913="Yes","✓ OK","⚠ Check"))))</f>
        <v/>
      </c>
      <c r="AF913" s="33" t="n"/>
      <c r="AG913" s="33" t="n"/>
      <c r="AH913" s="33" t="n"/>
      <c r="AI913" s="33" t="n"/>
      <c r="AJ913" s="33" t="n"/>
      <c r="AK913" s="33" t="n"/>
      <c r="AL913" s="27" t="n"/>
      <c r="AM913" s="34" t="n"/>
      <c r="AN913" s="35">
        <f>IF(AF913="","",IF(AI913="Yes","❌ Disc",IF(AH913="No","⚠ Missing",IF(AK913="Yes","✓ OK","⚠ Check"))))</f>
        <v/>
      </c>
      <c r="AO913" s="36" t="n"/>
      <c r="AP913" s="36" t="n"/>
      <c r="AQ913" s="36" t="n"/>
      <c r="AR913" s="36" t="n"/>
      <c r="AS913" s="36" t="n"/>
      <c r="AT913" s="36" t="n"/>
      <c r="AU913" s="27" t="n"/>
      <c r="AV913" s="37" t="n"/>
      <c r="AW913" s="38">
        <f>IF(AO913="","",IF(AR913="Yes","❌ Disc",IF(AQ913="No","⚠ Missing",IF(AT913="Yes","✓ OK","⚠ Check"))))</f>
        <v/>
      </c>
    </row>
    <row r="914" ht="18" customHeight="1" s="46">
      <c r="A914" s="39" t="n">
        <v>910</v>
      </c>
      <c r="B914" s="40" t="inlineStr">
        <is>
          <t>WP LNCCN1094489</t>
        </is>
      </c>
      <c r="C914" s="41" t="inlineStr">
        <is>
          <t>Life n Colors - Polka Dots, Pastel Colors, Children Nursery Wallpaper  -  Canvas - a texture paper</t>
        </is>
      </c>
      <c r="D914" s="39" t="inlineStr">
        <is>
          <t>Life n Colors</t>
        </is>
      </c>
      <c r="E914" s="43" t="n">
        <v>46126</v>
      </c>
      <c r="F914" s="26" t="inlineStr">
        <is>
          <t>Sunil CR</t>
        </is>
      </c>
      <c r="G914" s="26" t="inlineStr">
        <is>
          <t>Yes</t>
        </is>
      </c>
      <c r="H914" s="26" t="inlineStr">
        <is>
          <t>No</t>
        </is>
      </c>
      <c r="I914" s="26" t="inlineStr">
        <is>
          <t>Good finish</t>
        </is>
      </c>
      <c r="J914" s="26" t="inlineStr">
        <is>
          <t>Yes</t>
        </is>
      </c>
      <c r="K914" s="27" t="n"/>
      <c r="L914" s="28" t="inlineStr">
        <is>
          <t>No</t>
        </is>
      </c>
      <c r="M914" s="29">
        <f>IF(E914="","",IF(H914="Yes","❌ Disc",IF(G914="No","⚠ Missing",IF(J914="Yes","✓ OK","⚠ Check"))))</f>
        <v/>
      </c>
      <c r="N914" s="43" t="n">
        <v>46193</v>
      </c>
      <c r="O914" s="26" t="inlineStr">
        <is>
          <t>Sunil CR</t>
        </is>
      </c>
      <c r="P914" s="26" t="inlineStr">
        <is>
          <t>Yes</t>
        </is>
      </c>
      <c r="Q914" s="26" t="inlineStr">
        <is>
          <t>No</t>
        </is>
      </c>
      <c r="R914" s="26" t="inlineStr">
        <is>
          <t>Good finish</t>
        </is>
      </c>
      <c r="S914" s="26" t="inlineStr">
        <is>
          <t>Yes</t>
        </is>
      </c>
      <c r="T914" s="27" t="n"/>
      <c r="U914" s="28" t="inlineStr">
        <is>
          <t>No</t>
        </is>
      </c>
      <c r="V914" s="29">
        <f>IF(N914="","",IF(Q914="Yes","❌ Disc",IF(P914="No","⚠ Missing",IF(S914="Yes","✓ OK","⚠ Check"))))</f>
        <v/>
      </c>
      <c r="W914" s="65" t="n">
        <v>46248</v>
      </c>
      <c r="X914" s="30" t="inlineStr">
        <is>
          <t>Sunil CR</t>
        </is>
      </c>
      <c r="Y914" s="30" t="inlineStr">
        <is>
          <t>Yes</t>
        </is>
      </c>
      <c r="Z914" s="30" t="n"/>
      <c r="AA914" s="30" t="inlineStr">
        <is>
          <t>Good finish</t>
        </is>
      </c>
      <c r="AB914" s="30" t="inlineStr">
        <is>
          <t>Yes</t>
        </is>
      </c>
      <c r="AC914" s="27" t="n"/>
      <c r="AD914" s="31" t="inlineStr">
        <is>
          <t>No</t>
        </is>
      </c>
      <c r="AE914" s="32">
        <f>IF(W914="","",IF(Z914="Yes","❌ Disc",IF(Y914="No","⚠ Missing",IF(AB914="Yes","✓ OK","⚠ Check"))))</f>
        <v/>
      </c>
      <c r="AF914" s="33" t="n"/>
      <c r="AG914" s="33" t="n"/>
      <c r="AH914" s="33" t="n"/>
      <c r="AI914" s="33" t="n"/>
      <c r="AJ914" s="33" t="n"/>
      <c r="AK914" s="33" t="n"/>
      <c r="AL914" s="27" t="n"/>
      <c r="AM914" s="34" t="n"/>
      <c r="AN914" s="35">
        <f>IF(AF914="","",IF(AI914="Yes","❌ Disc",IF(AH914="No","⚠ Missing",IF(AK914="Yes","✓ OK","⚠ Check"))))</f>
        <v/>
      </c>
      <c r="AO914" s="36" t="n"/>
      <c r="AP914" s="36" t="n"/>
      <c r="AQ914" s="36" t="n"/>
      <c r="AR914" s="36" t="n"/>
      <c r="AS914" s="36" t="n"/>
      <c r="AT914" s="36" t="n"/>
      <c r="AU914" s="27" t="n"/>
      <c r="AV914" s="37" t="n"/>
      <c r="AW914" s="38">
        <f>IF(AO914="","",IF(AR914="Yes","❌ Disc",IF(AQ914="No","⚠ Missing",IF(AT914="Yes","✓ OK","⚠ Check"))))</f>
        <v/>
      </c>
    </row>
    <row r="915" ht="18" customHeight="1" s="46">
      <c r="A915" s="23" t="n">
        <v>911</v>
      </c>
      <c r="B915" s="24" t="inlineStr">
        <is>
          <t>WP LNCSF1094489</t>
        </is>
      </c>
      <c r="C915" s="25" t="inlineStr">
        <is>
          <t>Life n Colors - Polka Dots, Pastel Colors, Children Nursery Wallpaper  - Non-woven - a soft feel paper</t>
        </is>
      </c>
      <c r="D915" s="23" t="inlineStr">
        <is>
          <t>Life n Colors</t>
        </is>
      </c>
      <c r="E915" s="43" t="n">
        <v>46126</v>
      </c>
      <c r="F915" s="26" t="inlineStr">
        <is>
          <t>Sunil CR</t>
        </is>
      </c>
      <c r="G915" s="26" t="inlineStr">
        <is>
          <t>Yes</t>
        </is>
      </c>
      <c r="H915" s="26" t="inlineStr">
        <is>
          <t>No</t>
        </is>
      </c>
      <c r="I915" s="26" t="inlineStr">
        <is>
          <t>Good finish</t>
        </is>
      </c>
      <c r="J915" s="26" t="inlineStr">
        <is>
          <t>Yes</t>
        </is>
      </c>
      <c r="K915" s="27" t="n"/>
      <c r="L915" s="28" t="inlineStr">
        <is>
          <t>No</t>
        </is>
      </c>
      <c r="M915" s="29">
        <f>IF(E915="","",IF(H915="Yes","❌ Disc",IF(G915="No","⚠ Missing",IF(J915="Yes","✓ OK","⚠ Check"))))</f>
        <v/>
      </c>
      <c r="N915" s="43" t="n">
        <v>46193</v>
      </c>
      <c r="O915" s="26" t="inlineStr">
        <is>
          <t>Sunil CR</t>
        </is>
      </c>
      <c r="P915" s="26" t="inlineStr">
        <is>
          <t>Yes</t>
        </is>
      </c>
      <c r="Q915" s="26" t="inlineStr">
        <is>
          <t>No</t>
        </is>
      </c>
      <c r="R915" s="26" t="inlineStr">
        <is>
          <t>Good finish</t>
        </is>
      </c>
      <c r="S915" s="26" t="inlineStr">
        <is>
          <t>Yes</t>
        </is>
      </c>
      <c r="T915" s="27" t="n"/>
      <c r="U915" s="28" t="inlineStr">
        <is>
          <t>No</t>
        </is>
      </c>
      <c r="V915" s="29">
        <f>IF(N915="","",IF(Q915="Yes","❌ Disc",IF(P915="No","⚠ Missing",IF(S915="Yes","✓ OK","⚠ Check"))))</f>
        <v/>
      </c>
      <c r="W915" s="65" t="n">
        <v>46248</v>
      </c>
      <c r="X915" s="30" t="inlineStr">
        <is>
          <t>Sunil CR</t>
        </is>
      </c>
      <c r="Y915" s="30" t="inlineStr">
        <is>
          <t>Yes</t>
        </is>
      </c>
      <c r="Z915" s="30" t="n"/>
      <c r="AA915" s="30" t="inlineStr">
        <is>
          <t>Good finish</t>
        </is>
      </c>
      <c r="AB915" s="30" t="inlineStr">
        <is>
          <t>Yes</t>
        </is>
      </c>
      <c r="AC915" s="27" t="n"/>
      <c r="AD915" s="31" t="inlineStr">
        <is>
          <t>No</t>
        </is>
      </c>
      <c r="AE915" s="32">
        <f>IF(W915="","",IF(Z915="Yes","❌ Disc",IF(Y915="No","⚠ Missing",IF(AB915="Yes","✓ OK","⚠ Check"))))</f>
        <v/>
      </c>
      <c r="AF915" s="33" t="n"/>
      <c r="AG915" s="33" t="n"/>
      <c r="AH915" s="33" t="n"/>
      <c r="AI915" s="33" t="n"/>
      <c r="AJ915" s="33" t="n"/>
      <c r="AK915" s="33" t="n"/>
      <c r="AL915" s="27" t="n"/>
      <c r="AM915" s="34" t="n"/>
      <c r="AN915" s="35">
        <f>IF(AF915="","",IF(AI915="Yes","❌ Disc",IF(AH915="No","⚠ Missing",IF(AK915="Yes","✓ OK","⚠ Check"))))</f>
        <v/>
      </c>
      <c r="AO915" s="36" t="n"/>
      <c r="AP915" s="36" t="n"/>
      <c r="AQ915" s="36" t="n"/>
      <c r="AR915" s="36" t="n"/>
      <c r="AS915" s="36" t="n"/>
      <c r="AT915" s="36" t="n"/>
      <c r="AU915" s="27" t="n"/>
      <c r="AV915" s="37" t="n"/>
      <c r="AW915" s="38">
        <f>IF(AO915="","",IF(AR915="Yes","❌ Disc",IF(AQ915="No","⚠ Missing",IF(AT915="Yes","✓ OK","⚠ Check"))))</f>
        <v/>
      </c>
    </row>
    <row r="916" ht="18" customHeight="1" s="46">
      <c r="A916" s="39" t="n">
        <v>912</v>
      </c>
      <c r="B916" s="40" t="inlineStr">
        <is>
          <t>WP LNCCN1025229</t>
        </is>
      </c>
      <c r="C916" s="41" t="inlineStr">
        <is>
          <t>Life n Colors - Premium Blue Wallpaper, Customised, Semi Circular Pattern  -  Canvas - a texture paper</t>
        </is>
      </c>
      <c r="D916" s="39" t="inlineStr">
        <is>
          <t>Life n Colors</t>
        </is>
      </c>
      <c r="E916" s="43" t="n">
        <v>46126</v>
      </c>
      <c r="F916" s="26" t="inlineStr">
        <is>
          <t>Sunil CR</t>
        </is>
      </c>
      <c r="G916" s="26" t="inlineStr">
        <is>
          <t>Yes</t>
        </is>
      </c>
      <c r="H916" s="26" t="inlineStr">
        <is>
          <t>No</t>
        </is>
      </c>
      <c r="I916" s="26" t="inlineStr">
        <is>
          <t>Good finish</t>
        </is>
      </c>
      <c r="J916" s="26" t="inlineStr">
        <is>
          <t>Yes</t>
        </is>
      </c>
      <c r="K916" s="27" t="n"/>
      <c r="L916" s="28" t="inlineStr">
        <is>
          <t>No</t>
        </is>
      </c>
      <c r="M916" s="29">
        <f>IF(E916="","",IF(H916="Yes","❌ Disc",IF(G916="No","⚠ Missing",IF(J916="Yes","✓ OK","⚠ Check"))))</f>
        <v/>
      </c>
      <c r="N916" s="43" t="n">
        <v>46193</v>
      </c>
      <c r="O916" s="26" t="inlineStr">
        <is>
          <t>Sunil CR</t>
        </is>
      </c>
      <c r="P916" s="26" t="inlineStr">
        <is>
          <t>Yes</t>
        </is>
      </c>
      <c r="Q916" s="26" t="inlineStr">
        <is>
          <t>No</t>
        </is>
      </c>
      <c r="R916" s="26" t="inlineStr">
        <is>
          <t>Good finish</t>
        </is>
      </c>
      <c r="S916" s="26" t="inlineStr">
        <is>
          <t>Yes</t>
        </is>
      </c>
      <c r="T916" s="27" t="n"/>
      <c r="U916" s="28" t="inlineStr">
        <is>
          <t>No</t>
        </is>
      </c>
      <c r="V916" s="29">
        <f>IF(N916="","",IF(Q916="Yes","❌ Disc",IF(P916="No","⚠ Missing",IF(S916="Yes","✓ OK","⚠ Check"))))</f>
        <v/>
      </c>
      <c r="W916" s="65" t="n">
        <v>46248</v>
      </c>
      <c r="X916" s="30" t="inlineStr">
        <is>
          <t>Sunil CR</t>
        </is>
      </c>
      <c r="Y916" s="30" t="inlineStr">
        <is>
          <t>Yes</t>
        </is>
      </c>
      <c r="Z916" s="30" t="n"/>
      <c r="AA916" s="30" t="inlineStr">
        <is>
          <t>Good finish</t>
        </is>
      </c>
      <c r="AB916" s="30" t="inlineStr">
        <is>
          <t>Yes</t>
        </is>
      </c>
      <c r="AC916" s="27" t="n"/>
      <c r="AD916" s="31" t="inlineStr">
        <is>
          <t>No</t>
        </is>
      </c>
      <c r="AE916" s="32">
        <f>IF(W916="","",IF(Z916="Yes","❌ Disc",IF(Y916="No","⚠ Missing",IF(AB916="Yes","✓ OK","⚠ Check"))))</f>
        <v/>
      </c>
      <c r="AF916" s="33" t="n"/>
      <c r="AG916" s="33" t="n"/>
      <c r="AH916" s="33" t="n"/>
      <c r="AI916" s="33" t="n"/>
      <c r="AJ916" s="33" t="n"/>
      <c r="AK916" s="33" t="n"/>
      <c r="AL916" s="27" t="n"/>
      <c r="AM916" s="34" t="n"/>
      <c r="AN916" s="35">
        <f>IF(AF916="","",IF(AI916="Yes","❌ Disc",IF(AH916="No","⚠ Missing",IF(AK916="Yes","✓ OK","⚠ Check"))))</f>
        <v/>
      </c>
      <c r="AO916" s="36" t="n"/>
      <c r="AP916" s="36" t="n"/>
      <c r="AQ916" s="36" t="n"/>
      <c r="AR916" s="36" t="n"/>
      <c r="AS916" s="36" t="n"/>
      <c r="AT916" s="36" t="n"/>
      <c r="AU916" s="27" t="n"/>
      <c r="AV916" s="37" t="n"/>
      <c r="AW916" s="38">
        <f>IF(AO916="","",IF(AR916="Yes","❌ Disc",IF(AQ916="No","⚠ Missing",IF(AT916="Yes","✓ OK","⚠ Check"))))</f>
        <v/>
      </c>
    </row>
    <row r="917" ht="18" customHeight="1" s="46">
      <c r="A917" s="23" t="n">
        <v>913</v>
      </c>
      <c r="B917" s="24" t="inlineStr">
        <is>
          <t>WP LNCSF1025229</t>
        </is>
      </c>
      <c r="C917" s="25" t="inlineStr">
        <is>
          <t>Life n Colors - Premium Blue Wallpaper, Customised, Semi Circular Pattern  - Non-woven - a soft feel paper</t>
        </is>
      </c>
      <c r="D917" s="23" t="inlineStr">
        <is>
          <t>Life n Colors</t>
        </is>
      </c>
      <c r="E917" s="43" t="n">
        <v>46126</v>
      </c>
      <c r="F917" s="26" t="inlineStr">
        <is>
          <t>Sunil CR</t>
        </is>
      </c>
      <c r="G917" s="26" t="inlineStr">
        <is>
          <t>Yes</t>
        </is>
      </c>
      <c r="H917" s="26" t="inlineStr">
        <is>
          <t>No</t>
        </is>
      </c>
      <c r="I917" s="26" t="inlineStr">
        <is>
          <t>Good finish</t>
        </is>
      </c>
      <c r="J917" s="26" t="inlineStr">
        <is>
          <t>Yes</t>
        </is>
      </c>
      <c r="K917" s="27" t="n"/>
      <c r="L917" s="28" t="inlineStr">
        <is>
          <t>No</t>
        </is>
      </c>
      <c r="M917" s="29">
        <f>IF(E917="","",IF(H917="Yes","❌ Disc",IF(G917="No","⚠ Missing",IF(J917="Yes","✓ OK","⚠ Check"))))</f>
        <v/>
      </c>
      <c r="N917" s="43" t="n">
        <v>46193</v>
      </c>
      <c r="O917" s="26" t="inlineStr">
        <is>
          <t>Sunil CR</t>
        </is>
      </c>
      <c r="P917" s="26" t="inlineStr">
        <is>
          <t>Yes</t>
        </is>
      </c>
      <c r="Q917" s="26" t="inlineStr">
        <is>
          <t>No</t>
        </is>
      </c>
      <c r="R917" s="26" t="inlineStr">
        <is>
          <t>Good finish</t>
        </is>
      </c>
      <c r="S917" s="26" t="inlineStr">
        <is>
          <t>Yes</t>
        </is>
      </c>
      <c r="T917" s="27" t="n"/>
      <c r="U917" s="28" t="inlineStr">
        <is>
          <t>No</t>
        </is>
      </c>
      <c r="V917" s="29">
        <f>IF(N917="","",IF(Q917="Yes","❌ Disc",IF(P917="No","⚠ Missing",IF(S917="Yes","✓ OK","⚠ Check"))))</f>
        <v/>
      </c>
      <c r="W917" s="65" t="n">
        <v>46248</v>
      </c>
      <c r="X917" s="30" t="inlineStr">
        <is>
          <t>Sunil CR</t>
        </is>
      </c>
      <c r="Y917" s="30" t="inlineStr">
        <is>
          <t>Yes</t>
        </is>
      </c>
      <c r="Z917" s="30" t="n"/>
      <c r="AA917" s="30" t="inlineStr">
        <is>
          <t>Good finish</t>
        </is>
      </c>
      <c r="AB917" s="30" t="inlineStr">
        <is>
          <t>Yes</t>
        </is>
      </c>
      <c r="AC917" s="27" t="n"/>
      <c r="AD917" s="31" t="inlineStr">
        <is>
          <t>No</t>
        </is>
      </c>
      <c r="AE917" s="32">
        <f>IF(W917="","",IF(Z917="Yes","❌ Disc",IF(Y917="No","⚠ Missing",IF(AB917="Yes","✓ OK","⚠ Check"))))</f>
        <v/>
      </c>
      <c r="AF917" s="33" t="n"/>
      <c r="AG917" s="33" t="n"/>
      <c r="AH917" s="33" t="n"/>
      <c r="AI917" s="33" t="n"/>
      <c r="AJ917" s="33" t="n"/>
      <c r="AK917" s="33" t="n"/>
      <c r="AL917" s="27" t="n"/>
      <c r="AM917" s="34" t="n"/>
      <c r="AN917" s="35">
        <f>IF(AF917="","",IF(AI917="Yes","❌ Disc",IF(AH917="No","⚠ Missing",IF(AK917="Yes","✓ OK","⚠ Check"))))</f>
        <v/>
      </c>
      <c r="AO917" s="36" t="n"/>
      <c r="AP917" s="36" t="n"/>
      <c r="AQ917" s="36" t="n"/>
      <c r="AR917" s="36" t="n"/>
      <c r="AS917" s="36" t="n"/>
      <c r="AT917" s="36" t="n"/>
      <c r="AU917" s="27" t="n"/>
      <c r="AV917" s="37" t="n"/>
      <c r="AW917" s="38">
        <f>IF(AO917="","",IF(AR917="Yes","❌ Disc",IF(AQ917="No","⚠ Missing",IF(AT917="Yes","✓ OK","⚠ Check"))))</f>
        <v/>
      </c>
    </row>
    <row r="918" ht="18" customHeight="1" s="46">
      <c r="A918" s="39" t="n">
        <v>914</v>
      </c>
      <c r="B918" s="40" t="inlineStr">
        <is>
          <t>WP LNCCN1068622</t>
        </is>
      </c>
      <c r="C918" s="41" t="inlineStr">
        <is>
          <t>Life n Colors - Premium Green Floral Pattern Design Wallpaper, Customised  -  Canvas - a texture paper</t>
        </is>
      </c>
      <c r="D918" s="39" t="inlineStr">
        <is>
          <t>Life n Colors</t>
        </is>
      </c>
      <c r="E918" s="43" t="n">
        <v>46126</v>
      </c>
      <c r="F918" s="26" t="inlineStr">
        <is>
          <t>Sunil CR</t>
        </is>
      </c>
      <c r="G918" s="26" t="inlineStr">
        <is>
          <t>Yes</t>
        </is>
      </c>
      <c r="H918" s="26" t="inlineStr">
        <is>
          <t>No</t>
        </is>
      </c>
      <c r="I918" s="26" t="inlineStr">
        <is>
          <t>Good finish</t>
        </is>
      </c>
      <c r="J918" s="26" t="inlineStr">
        <is>
          <t>Yes</t>
        </is>
      </c>
      <c r="K918" s="27" t="n"/>
      <c r="L918" s="28" t="inlineStr">
        <is>
          <t>No</t>
        </is>
      </c>
      <c r="M918" s="29">
        <f>IF(E918="","",IF(H918="Yes","❌ Disc",IF(G918="No","⚠ Missing",IF(J918="Yes","✓ OK","⚠ Check"))))</f>
        <v/>
      </c>
      <c r="N918" s="43" t="n">
        <v>46193</v>
      </c>
      <c r="O918" s="26" t="inlineStr">
        <is>
          <t>Sunil CR</t>
        </is>
      </c>
      <c r="P918" s="26" t="inlineStr">
        <is>
          <t>Yes</t>
        </is>
      </c>
      <c r="Q918" s="26" t="inlineStr">
        <is>
          <t>No</t>
        </is>
      </c>
      <c r="R918" s="26" t="inlineStr">
        <is>
          <t>Good finish</t>
        </is>
      </c>
      <c r="S918" s="26" t="inlineStr">
        <is>
          <t>Yes</t>
        </is>
      </c>
      <c r="T918" s="27" t="n"/>
      <c r="U918" s="28" t="inlineStr">
        <is>
          <t>No</t>
        </is>
      </c>
      <c r="V918" s="29">
        <f>IF(N918="","",IF(Q918="Yes","❌ Disc",IF(P918="No","⚠ Missing",IF(S918="Yes","✓ OK","⚠ Check"))))</f>
        <v/>
      </c>
      <c r="W918" s="65" t="n">
        <v>46248</v>
      </c>
      <c r="X918" s="30" t="inlineStr">
        <is>
          <t>Sunil CR</t>
        </is>
      </c>
      <c r="Y918" s="30" t="inlineStr">
        <is>
          <t>Yes</t>
        </is>
      </c>
      <c r="Z918" s="30" t="n"/>
      <c r="AA918" s="30" t="inlineStr">
        <is>
          <t>Good finish</t>
        </is>
      </c>
      <c r="AB918" s="30" t="inlineStr">
        <is>
          <t>Yes</t>
        </is>
      </c>
      <c r="AC918" s="27" t="n"/>
      <c r="AD918" s="31" t="inlineStr">
        <is>
          <t>No</t>
        </is>
      </c>
      <c r="AE918" s="32">
        <f>IF(W918="","",IF(Z918="Yes","❌ Disc",IF(Y918="No","⚠ Missing",IF(AB918="Yes","✓ OK","⚠ Check"))))</f>
        <v/>
      </c>
      <c r="AF918" s="33" t="n"/>
      <c r="AG918" s="33" t="n"/>
      <c r="AH918" s="33" t="n"/>
      <c r="AI918" s="33" t="n"/>
      <c r="AJ918" s="33" t="n"/>
      <c r="AK918" s="33" t="n"/>
      <c r="AL918" s="27" t="n"/>
      <c r="AM918" s="34" t="n"/>
      <c r="AN918" s="35">
        <f>IF(AF918="","",IF(AI918="Yes","❌ Disc",IF(AH918="No","⚠ Missing",IF(AK918="Yes","✓ OK","⚠ Check"))))</f>
        <v/>
      </c>
      <c r="AO918" s="36" t="n"/>
      <c r="AP918" s="36" t="n"/>
      <c r="AQ918" s="36" t="n"/>
      <c r="AR918" s="36" t="n"/>
      <c r="AS918" s="36" t="n"/>
      <c r="AT918" s="36" t="n"/>
      <c r="AU918" s="27" t="n"/>
      <c r="AV918" s="37" t="n"/>
      <c r="AW918" s="38">
        <f>IF(AO918="","",IF(AR918="Yes","❌ Disc",IF(AQ918="No","⚠ Missing",IF(AT918="Yes","✓ OK","⚠ Check"))))</f>
        <v/>
      </c>
    </row>
    <row r="919" ht="18" customHeight="1" s="46">
      <c r="A919" s="23" t="n">
        <v>915</v>
      </c>
      <c r="B919" s="24" t="inlineStr">
        <is>
          <t>WP LNCSF1068622</t>
        </is>
      </c>
      <c r="C919" s="25" t="inlineStr">
        <is>
          <t>Life n Colors - Premium Green Floral Pattern Design Wallpaper, Customised  - Non-woven - a soft feel paper</t>
        </is>
      </c>
      <c r="D919" s="23" t="inlineStr">
        <is>
          <t>Life n Colors</t>
        </is>
      </c>
      <c r="E919" s="43" t="n">
        <v>46126</v>
      </c>
      <c r="F919" s="26" t="inlineStr">
        <is>
          <t>Sunil CR</t>
        </is>
      </c>
      <c r="G919" s="26" t="inlineStr">
        <is>
          <t>Yes</t>
        </is>
      </c>
      <c r="H919" s="26" t="inlineStr">
        <is>
          <t>No</t>
        </is>
      </c>
      <c r="I919" s="26" t="inlineStr">
        <is>
          <t>Good finish</t>
        </is>
      </c>
      <c r="J919" s="26" t="inlineStr">
        <is>
          <t>Yes</t>
        </is>
      </c>
      <c r="K919" s="27" t="n"/>
      <c r="L919" s="28" t="inlineStr">
        <is>
          <t>No</t>
        </is>
      </c>
      <c r="M919" s="29">
        <f>IF(E919="","",IF(H919="Yes","❌ Disc",IF(G919="No","⚠ Missing",IF(J919="Yes","✓ OK","⚠ Check"))))</f>
        <v/>
      </c>
      <c r="N919" s="43" t="n">
        <v>46193</v>
      </c>
      <c r="O919" s="26" t="inlineStr">
        <is>
          <t>Sunil CR</t>
        </is>
      </c>
      <c r="P919" s="26" t="inlineStr">
        <is>
          <t>Yes</t>
        </is>
      </c>
      <c r="Q919" s="26" t="inlineStr">
        <is>
          <t>No</t>
        </is>
      </c>
      <c r="R919" s="26" t="inlineStr">
        <is>
          <t>Good finish</t>
        </is>
      </c>
      <c r="S919" s="26" t="inlineStr">
        <is>
          <t>Yes</t>
        </is>
      </c>
      <c r="T919" s="27" t="n"/>
      <c r="U919" s="28" t="inlineStr">
        <is>
          <t>No</t>
        </is>
      </c>
      <c r="V919" s="29">
        <f>IF(N919="","",IF(Q919="Yes","❌ Disc",IF(P919="No","⚠ Missing",IF(S919="Yes","✓ OK","⚠ Check"))))</f>
        <v/>
      </c>
      <c r="W919" s="65" t="n">
        <v>46248</v>
      </c>
      <c r="X919" s="30" t="inlineStr">
        <is>
          <t>Sunil CR</t>
        </is>
      </c>
      <c r="Y919" s="30" t="inlineStr">
        <is>
          <t>Yes</t>
        </is>
      </c>
      <c r="Z919" s="30" t="n"/>
      <c r="AA919" s="30" t="inlineStr">
        <is>
          <t>Good finish</t>
        </is>
      </c>
      <c r="AB919" s="30" t="inlineStr">
        <is>
          <t>Yes</t>
        </is>
      </c>
      <c r="AC919" s="27" t="n"/>
      <c r="AD919" s="31" t="inlineStr">
        <is>
          <t>No</t>
        </is>
      </c>
      <c r="AE919" s="32">
        <f>IF(W919="","",IF(Z919="Yes","❌ Disc",IF(Y919="No","⚠ Missing",IF(AB919="Yes","✓ OK","⚠ Check"))))</f>
        <v/>
      </c>
      <c r="AF919" s="33" t="n"/>
      <c r="AG919" s="33" t="n"/>
      <c r="AH919" s="33" t="n"/>
      <c r="AI919" s="33" t="n"/>
      <c r="AJ919" s="33" t="n"/>
      <c r="AK919" s="33" t="n"/>
      <c r="AL919" s="27" t="n"/>
      <c r="AM919" s="34" t="n"/>
      <c r="AN919" s="35">
        <f>IF(AF919="","",IF(AI919="Yes","❌ Disc",IF(AH919="No","⚠ Missing",IF(AK919="Yes","✓ OK","⚠ Check"))))</f>
        <v/>
      </c>
      <c r="AO919" s="36" t="n"/>
      <c r="AP919" s="36" t="n"/>
      <c r="AQ919" s="36" t="n"/>
      <c r="AR919" s="36" t="n"/>
      <c r="AS919" s="36" t="n"/>
      <c r="AT919" s="36" t="n"/>
      <c r="AU919" s="27" t="n"/>
      <c r="AV919" s="37" t="n"/>
      <c r="AW919" s="38">
        <f>IF(AO919="","",IF(AR919="Yes","❌ Disc",IF(AQ919="No","⚠ Missing",IF(AT919="Yes","✓ OK","⚠ Check"))))</f>
        <v/>
      </c>
    </row>
    <row r="920" ht="18" customHeight="1" s="46">
      <c r="A920" s="39" t="n">
        <v>916</v>
      </c>
      <c r="B920" s="40" t="inlineStr">
        <is>
          <t>WP LNCCN1040811</t>
        </is>
      </c>
      <c r="C920" s="41" t="inlineStr">
        <is>
          <t>Life n Colors - Premium Green Mughal Pattern Design Wallpaper, Customised  -  Canvas - a texture paper</t>
        </is>
      </c>
      <c r="D920" s="39" t="inlineStr">
        <is>
          <t>Life n Colors</t>
        </is>
      </c>
      <c r="E920" s="43" t="n">
        <v>46126</v>
      </c>
      <c r="F920" s="26" t="inlineStr">
        <is>
          <t>Sunil CR</t>
        </is>
      </c>
      <c r="G920" s="26" t="inlineStr">
        <is>
          <t>Yes</t>
        </is>
      </c>
      <c r="H920" s="26" t="inlineStr">
        <is>
          <t>No</t>
        </is>
      </c>
      <c r="I920" s="26" t="inlineStr">
        <is>
          <t>Good finish</t>
        </is>
      </c>
      <c r="J920" s="26" t="inlineStr">
        <is>
          <t>Yes</t>
        </is>
      </c>
      <c r="K920" s="27" t="n"/>
      <c r="L920" s="28" t="inlineStr">
        <is>
          <t>No</t>
        </is>
      </c>
      <c r="M920" s="29">
        <f>IF(E920="","",IF(H920="Yes","❌ Disc",IF(G920="No","⚠ Missing",IF(J920="Yes","✓ OK","⚠ Check"))))</f>
        <v/>
      </c>
      <c r="N920" s="43" t="n">
        <v>46193</v>
      </c>
      <c r="O920" s="26" t="inlineStr">
        <is>
          <t>Sunil CR</t>
        </is>
      </c>
      <c r="P920" s="26" t="inlineStr">
        <is>
          <t>Yes</t>
        </is>
      </c>
      <c r="Q920" s="26" t="inlineStr">
        <is>
          <t>No</t>
        </is>
      </c>
      <c r="R920" s="26" t="inlineStr">
        <is>
          <t>Good finish</t>
        </is>
      </c>
      <c r="S920" s="26" t="inlineStr">
        <is>
          <t>Yes</t>
        </is>
      </c>
      <c r="T920" s="27" t="n"/>
      <c r="U920" s="28" t="inlineStr">
        <is>
          <t>No</t>
        </is>
      </c>
      <c r="V920" s="29">
        <f>IF(N920="","",IF(Q920="Yes","❌ Disc",IF(P920="No","⚠ Missing",IF(S920="Yes","✓ OK","⚠ Check"))))</f>
        <v/>
      </c>
      <c r="W920" s="65" t="n">
        <v>46248</v>
      </c>
      <c r="X920" s="30" t="inlineStr">
        <is>
          <t>Sunil CR</t>
        </is>
      </c>
      <c r="Y920" s="30" t="inlineStr">
        <is>
          <t>Yes</t>
        </is>
      </c>
      <c r="Z920" s="30" t="n"/>
      <c r="AA920" s="30" t="inlineStr">
        <is>
          <t>Good finish</t>
        </is>
      </c>
      <c r="AB920" s="30" t="inlineStr">
        <is>
          <t>Yes</t>
        </is>
      </c>
      <c r="AC920" s="27" t="n"/>
      <c r="AD920" s="31" t="inlineStr">
        <is>
          <t>No</t>
        </is>
      </c>
      <c r="AE920" s="32">
        <f>IF(W920="","",IF(Z920="Yes","❌ Disc",IF(Y920="No","⚠ Missing",IF(AB920="Yes","✓ OK","⚠ Check"))))</f>
        <v/>
      </c>
      <c r="AF920" s="33" t="n"/>
      <c r="AG920" s="33" t="n"/>
      <c r="AH920" s="33" t="n"/>
      <c r="AI920" s="33" t="n"/>
      <c r="AJ920" s="33" t="n"/>
      <c r="AK920" s="33" t="n"/>
      <c r="AL920" s="27" t="n"/>
      <c r="AM920" s="34" t="n"/>
      <c r="AN920" s="35">
        <f>IF(AF920="","",IF(AI920="Yes","❌ Disc",IF(AH920="No","⚠ Missing",IF(AK920="Yes","✓ OK","⚠ Check"))))</f>
        <v/>
      </c>
      <c r="AO920" s="36" t="n"/>
      <c r="AP920" s="36" t="n"/>
      <c r="AQ920" s="36" t="n"/>
      <c r="AR920" s="36" t="n"/>
      <c r="AS920" s="36" t="n"/>
      <c r="AT920" s="36" t="n"/>
      <c r="AU920" s="27" t="n"/>
      <c r="AV920" s="37" t="n"/>
      <c r="AW920" s="38">
        <f>IF(AO920="","",IF(AR920="Yes","❌ Disc",IF(AQ920="No","⚠ Missing",IF(AT920="Yes","✓ OK","⚠ Check"))))</f>
        <v/>
      </c>
    </row>
    <row r="921" ht="18" customHeight="1" s="46">
      <c r="A921" s="23" t="n">
        <v>917</v>
      </c>
      <c r="B921" s="24" t="inlineStr">
        <is>
          <t>WP LNCSF1040811</t>
        </is>
      </c>
      <c r="C921" s="25" t="inlineStr">
        <is>
          <t>Life n Colors - Premium Green Mughal Pattern Design Wallpaper, Customised  - Non-woven - a soft feel paper</t>
        </is>
      </c>
      <c r="D921" s="23" t="inlineStr">
        <is>
          <t>Life n Colors</t>
        </is>
      </c>
      <c r="E921" s="43" t="n">
        <v>46126</v>
      </c>
      <c r="F921" s="26" t="inlineStr">
        <is>
          <t>Sunil CR</t>
        </is>
      </c>
      <c r="G921" s="26" t="inlineStr">
        <is>
          <t>Yes</t>
        </is>
      </c>
      <c r="H921" s="26" t="inlineStr">
        <is>
          <t>No</t>
        </is>
      </c>
      <c r="I921" s="26" t="inlineStr">
        <is>
          <t>Good finish</t>
        </is>
      </c>
      <c r="J921" s="26" t="inlineStr">
        <is>
          <t>Yes</t>
        </is>
      </c>
      <c r="K921" s="27" t="n"/>
      <c r="L921" s="28" t="inlineStr">
        <is>
          <t>No</t>
        </is>
      </c>
      <c r="M921" s="29">
        <f>IF(E921="","",IF(H921="Yes","❌ Disc",IF(G921="No","⚠ Missing",IF(J921="Yes","✓ OK","⚠ Check"))))</f>
        <v/>
      </c>
      <c r="N921" s="43" t="n">
        <v>46193</v>
      </c>
      <c r="O921" s="26" t="inlineStr">
        <is>
          <t>Sunil CR</t>
        </is>
      </c>
      <c r="P921" s="26" t="inlineStr">
        <is>
          <t>Yes</t>
        </is>
      </c>
      <c r="Q921" s="26" t="inlineStr">
        <is>
          <t>No</t>
        </is>
      </c>
      <c r="R921" s="26" t="inlineStr">
        <is>
          <t>Good finish</t>
        </is>
      </c>
      <c r="S921" s="26" t="inlineStr">
        <is>
          <t>Yes</t>
        </is>
      </c>
      <c r="T921" s="27" t="n"/>
      <c r="U921" s="28" t="inlineStr">
        <is>
          <t>No</t>
        </is>
      </c>
      <c r="V921" s="29">
        <f>IF(N921="","",IF(Q921="Yes","❌ Disc",IF(P921="No","⚠ Missing",IF(S921="Yes","✓ OK","⚠ Check"))))</f>
        <v/>
      </c>
      <c r="W921" s="65" t="n">
        <v>46248</v>
      </c>
      <c r="X921" s="30" t="inlineStr">
        <is>
          <t>Sunil CR</t>
        </is>
      </c>
      <c r="Y921" s="30" t="inlineStr">
        <is>
          <t>Yes</t>
        </is>
      </c>
      <c r="Z921" s="30" t="n"/>
      <c r="AA921" s="30" t="inlineStr">
        <is>
          <t>Good finish</t>
        </is>
      </c>
      <c r="AB921" s="30" t="inlineStr">
        <is>
          <t>Yes</t>
        </is>
      </c>
      <c r="AC921" s="27" t="n"/>
      <c r="AD921" s="31" t="inlineStr">
        <is>
          <t>No</t>
        </is>
      </c>
      <c r="AE921" s="32">
        <f>IF(W921="","",IF(Z921="Yes","❌ Disc",IF(Y921="No","⚠ Missing",IF(AB921="Yes","✓ OK","⚠ Check"))))</f>
        <v/>
      </c>
      <c r="AF921" s="33" t="n"/>
      <c r="AG921" s="33" t="n"/>
      <c r="AH921" s="33" t="n"/>
      <c r="AI921" s="33" t="n"/>
      <c r="AJ921" s="33" t="n"/>
      <c r="AK921" s="33" t="n"/>
      <c r="AL921" s="27" t="n"/>
      <c r="AM921" s="34" t="n"/>
      <c r="AN921" s="35">
        <f>IF(AF921="","",IF(AI921="Yes","❌ Disc",IF(AH921="No","⚠ Missing",IF(AK921="Yes","✓ OK","⚠ Check"))))</f>
        <v/>
      </c>
      <c r="AO921" s="36" t="n"/>
      <c r="AP921" s="36" t="n"/>
      <c r="AQ921" s="36" t="n"/>
      <c r="AR921" s="36" t="n"/>
      <c r="AS921" s="36" t="n"/>
      <c r="AT921" s="36" t="n"/>
      <c r="AU921" s="27" t="n"/>
      <c r="AV921" s="37" t="n"/>
      <c r="AW921" s="38">
        <f>IF(AO921="","",IF(AR921="Yes","❌ Disc",IF(AQ921="No","⚠ Missing",IF(AT921="Yes","✓ OK","⚠ Check"))))</f>
        <v/>
      </c>
    </row>
    <row r="922" ht="18" customHeight="1" s="46">
      <c r="A922" s="39" t="n">
        <v>918</v>
      </c>
      <c r="B922" s="40" t="inlineStr">
        <is>
          <t>WP LNCCN1053218</t>
        </is>
      </c>
      <c r="C922" s="41" t="inlineStr">
        <is>
          <t>Life n Colors - Premium Indian Colorful Room Wallpaper  -  Canvas - a texture paper</t>
        </is>
      </c>
      <c r="D922" s="39" t="inlineStr">
        <is>
          <t>Life n Colors</t>
        </is>
      </c>
      <c r="E922" s="43" t="n">
        <v>46126</v>
      </c>
      <c r="F922" s="26" t="inlineStr">
        <is>
          <t>Sunil CR</t>
        </is>
      </c>
      <c r="G922" s="26" t="inlineStr">
        <is>
          <t>Yes</t>
        </is>
      </c>
      <c r="H922" s="26" t="inlineStr">
        <is>
          <t>No</t>
        </is>
      </c>
      <c r="I922" s="26" t="inlineStr">
        <is>
          <t>Good finish</t>
        </is>
      </c>
      <c r="J922" s="26" t="inlineStr">
        <is>
          <t>Yes</t>
        </is>
      </c>
      <c r="K922" s="27" t="n"/>
      <c r="L922" s="28" t="inlineStr">
        <is>
          <t>No</t>
        </is>
      </c>
      <c r="M922" s="29">
        <f>IF(E922="","",IF(H922="Yes","❌ Disc",IF(G922="No","⚠ Missing",IF(J922="Yes","✓ OK","⚠ Check"))))</f>
        <v/>
      </c>
      <c r="N922" s="43" t="n">
        <v>46193</v>
      </c>
      <c r="O922" s="26" t="inlineStr">
        <is>
          <t>Sunil CR</t>
        </is>
      </c>
      <c r="P922" s="26" t="inlineStr">
        <is>
          <t>Yes</t>
        </is>
      </c>
      <c r="Q922" s="26" t="inlineStr">
        <is>
          <t>No</t>
        </is>
      </c>
      <c r="R922" s="26" t="inlineStr">
        <is>
          <t>Good finish</t>
        </is>
      </c>
      <c r="S922" s="26" t="inlineStr">
        <is>
          <t>Yes</t>
        </is>
      </c>
      <c r="T922" s="27" t="n"/>
      <c r="U922" s="28" t="inlineStr">
        <is>
          <t>No</t>
        </is>
      </c>
      <c r="V922" s="29">
        <f>IF(N922="","",IF(Q922="Yes","❌ Disc",IF(P922="No","⚠ Missing",IF(S922="Yes","✓ OK","⚠ Check"))))</f>
        <v/>
      </c>
      <c r="W922" s="65" t="n">
        <v>46248</v>
      </c>
      <c r="X922" s="30" t="inlineStr">
        <is>
          <t>Sunil CR</t>
        </is>
      </c>
      <c r="Y922" s="30" t="inlineStr">
        <is>
          <t>Yes</t>
        </is>
      </c>
      <c r="Z922" s="30" t="n"/>
      <c r="AA922" s="30" t="inlineStr">
        <is>
          <t>Good finish</t>
        </is>
      </c>
      <c r="AB922" s="30" t="inlineStr">
        <is>
          <t>Yes</t>
        </is>
      </c>
      <c r="AC922" s="27" t="n"/>
      <c r="AD922" s="31" t="inlineStr">
        <is>
          <t>No</t>
        </is>
      </c>
      <c r="AE922" s="32">
        <f>IF(W922="","",IF(Z922="Yes","❌ Disc",IF(Y922="No","⚠ Missing",IF(AB922="Yes","✓ OK","⚠ Check"))))</f>
        <v/>
      </c>
      <c r="AF922" s="33" t="n"/>
      <c r="AG922" s="33" t="n"/>
      <c r="AH922" s="33" t="n"/>
      <c r="AI922" s="33" t="n"/>
      <c r="AJ922" s="33" t="n"/>
      <c r="AK922" s="33" t="n"/>
      <c r="AL922" s="27" t="n"/>
      <c r="AM922" s="34" t="n"/>
      <c r="AN922" s="35">
        <f>IF(AF922="","",IF(AI922="Yes","❌ Disc",IF(AH922="No","⚠ Missing",IF(AK922="Yes","✓ OK","⚠ Check"))))</f>
        <v/>
      </c>
      <c r="AO922" s="36" t="n"/>
      <c r="AP922" s="36" t="n"/>
      <c r="AQ922" s="36" t="n"/>
      <c r="AR922" s="36" t="n"/>
      <c r="AS922" s="36" t="n"/>
      <c r="AT922" s="36" t="n"/>
      <c r="AU922" s="27" t="n"/>
      <c r="AV922" s="37" t="n"/>
      <c r="AW922" s="38">
        <f>IF(AO922="","",IF(AR922="Yes","❌ Disc",IF(AQ922="No","⚠ Missing",IF(AT922="Yes","✓ OK","⚠ Check"))))</f>
        <v/>
      </c>
    </row>
    <row r="923" ht="18" customHeight="1" s="46">
      <c r="A923" s="23" t="n">
        <v>919</v>
      </c>
      <c r="B923" s="24" t="inlineStr">
        <is>
          <t>WP LNCSF1053218</t>
        </is>
      </c>
      <c r="C923" s="25" t="inlineStr">
        <is>
          <t>Life n Colors - Premium Indian Colorful Room Wallpaper  - Non-woven - a soft feel paper</t>
        </is>
      </c>
      <c r="D923" s="23" t="inlineStr">
        <is>
          <t>Life n Colors</t>
        </is>
      </c>
      <c r="E923" s="43" t="n">
        <v>46126</v>
      </c>
      <c r="F923" s="26" t="inlineStr">
        <is>
          <t>Sunil CR</t>
        </is>
      </c>
      <c r="G923" s="26" t="inlineStr">
        <is>
          <t>Yes</t>
        </is>
      </c>
      <c r="H923" s="26" t="inlineStr">
        <is>
          <t>No</t>
        </is>
      </c>
      <c r="I923" s="26" t="inlineStr">
        <is>
          <t>Good finish</t>
        </is>
      </c>
      <c r="J923" s="26" t="inlineStr">
        <is>
          <t>Yes</t>
        </is>
      </c>
      <c r="K923" s="27" t="n"/>
      <c r="L923" s="28" t="inlineStr">
        <is>
          <t>No</t>
        </is>
      </c>
      <c r="M923" s="29">
        <f>IF(E923="","",IF(H923="Yes","❌ Disc",IF(G923="No","⚠ Missing",IF(J923="Yes","✓ OK","⚠ Check"))))</f>
        <v/>
      </c>
      <c r="N923" s="43" t="n">
        <v>46193</v>
      </c>
      <c r="O923" s="26" t="inlineStr">
        <is>
          <t>Sunil CR</t>
        </is>
      </c>
      <c r="P923" s="26" t="inlineStr">
        <is>
          <t>Yes</t>
        </is>
      </c>
      <c r="Q923" s="26" t="inlineStr">
        <is>
          <t>No</t>
        </is>
      </c>
      <c r="R923" s="26" t="inlineStr">
        <is>
          <t>Good finish</t>
        </is>
      </c>
      <c r="S923" s="26" t="inlineStr">
        <is>
          <t>Yes</t>
        </is>
      </c>
      <c r="T923" s="27" t="n"/>
      <c r="U923" s="28" t="inlineStr">
        <is>
          <t>No</t>
        </is>
      </c>
      <c r="V923" s="29">
        <f>IF(N923="","",IF(Q923="Yes","❌ Disc",IF(P923="No","⚠ Missing",IF(S923="Yes","✓ OK","⚠ Check"))))</f>
        <v/>
      </c>
      <c r="W923" s="65" t="n">
        <v>46248</v>
      </c>
      <c r="X923" s="30" t="inlineStr">
        <is>
          <t>Sunil CR</t>
        </is>
      </c>
      <c r="Y923" s="30" t="inlineStr">
        <is>
          <t>Yes</t>
        </is>
      </c>
      <c r="Z923" s="30" t="n"/>
      <c r="AA923" s="30" t="inlineStr">
        <is>
          <t>Good finish</t>
        </is>
      </c>
      <c r="AB923" s="30" t="inlineStr">
        <is>
          <t>Yes</t>
        </is>
      </c>
      <c r="AC923" s="27" t="n"/>
      <c r="AD923" s="31" t="inlineStr">
        <is>
          <t>No</t>
        </is>
      </c>
      <c r="AE923" s="32">
        <f>IF(W923="","",IF(Z923="Yes","❌ Disc",IF(Y923="No","⚠ Missing",IF(AB923="Yes","✓ OK","⚠ Check"))))</f>
        <v/>
      </c>
      <c r="AF923" s="33" t="n"/>
      <c r="AG923" s="33" t="n"/>
      <c r="AH923" s="33" t="n"/>
      <c r="AI923" s="33" t="n"/>
      <c r="AJ923" s="33" t="n"/>
      <c r="AK923" s="33" t="n"/>
      <c r="AL923" s="27" t="n"/>
      <c r="AM923" s="34" t="n"/>
      <c r="AN923" s="35">
        <f>IF(AF923="","",IF(AI923="Yes","❌ Disc",IF(AH923="No","⚠ Missing",IF(AK923="Yes","✓ OK","⚠ Check"))))</f>
        <v/>
      </c>
      <c r="AO923" s="36" t="n"/>
      <c r="AP923" s="36" t="n"/>
      <c r="AQ923" s="36" t="n"/>
      <c r="AR923" s="36" t="n"/>
      <c r="AS923" s="36" t="n"/>
      <c r="AT923" s="36" t="n"/>
      <c r="AU923" s="27" t="n"/>
      <c r="AV923" s="37" t="n"/>
      <c r="AW923" s="38">
        <f>IF(AO923="","",IF(AR923="Yes","❌ Disc",IF(AQ923="No","⚠ Missing",IF(AT923="Yes","✓ OK","⚠ Check"))))</f>
        <v/>
      </c>
    </row>
    <row r="924" ht="18" customHeight="1" s="46">
      <c r="A924" s="39" t="n">
        <v>920</v>
      </c>
      <c r="B924" s="40" t="inlineStr">
        <is>
          <t>WP LNCCN291525</t>
        </is>
      </c>
      <c r="C924" s="41" t="inlineStr">
        <is>
          <t>Life n Colors - Premium Indian Shawl Inspired Wallpaper for Rooms  -  Canvas - a texture paper</t>
        </is>
      </c>
      <c r="D924" s="39" t="inlineStr">
        <is>
          <t>Life n Colors</t>
        </is>
      </c>
      <c r="E924" s="43" t="n">
        <v>46126</v>
      </c>
      <c r="F924" s="26" t="inlineStr">
        <is>
          <t>Sunil CR</t>
        </is>
      </c>
      <c r="G924" s="26" t="inlineStr">
        <is>
          <t>Yes</t>
        </is>
      </c>
      <c r="H924" s="26" t="inlineStr">
        <is>
          <t>No</t>
        </is>
      </c>
      <c r="I924" s="26" t="inlineStr">
        <is>
          <t>Good finish</t>
        </is>
      </c>
      <c r="J924" s="26" t="inlineStr">
        <is>
          <t>Yes</t>
        </is>
      </c>
      <c r="K924" s="27" t="n"/>
      <c r="L924" s="28" t="inlineStr">
        <is>
          <t>No</t>
        </is>
      </c>
      <c r="M924" s="29">
        <f>IF(E924="","",IF(H924="Yes","❌ Disc",IF(G924="No","⚠ Missing",IF(J924="Yes","✓ OK","⚠ Check"))))</f>
        <v/>
      </c>
      <c r="N924" s="43" t="n">
        <v>46193</v>
      </c>
      <c r="O924" s="26" t="inlineStr">
        <is>
          <t>Sunil CR</t>
        </is>
      </c>
      <c r="P924" s="26" t="inlineStr">
        <is>
          <t>Yes</t>
        </is>
      </c>
      <c r="Q924" s="26" t="inlineStr">
        <is>
          <t>No</t>
        </is>
      </c>
      <c r="R924" s="26" t="inlineStr">
        <is>
          <t>Good finish</t>
        </is>
      </c>
      <c r="S924" s="26" t="inlineStr">
        <is>
          <t>Yes</t>
        </is>
      </c>
      <c r="T924" s="27" t="n"/>
      <c r="U924" s="28" t="inlineStr">
        <is>
          <t>No</t>
        </is>
      </c>
      <c r="V924" s="29">
        <f>IF(N924="","",IF(Q924="Yes","❌ Disc",IF(P924="No","⚠ Missing",IF(S924="Yes","✓ OK","⚠ Check"))))</f>
        <v/>
      </c>
      <c r="W924" s="65" t="n">
        <v>46248</v>
      </c>
      <c r="X924" s="30" t="inlineStr">
        <is>
          <t>Sunil CR</t>
        </is>
      </c>
      <c r="Y924" s="30" t="inlineStr">
        <is>
          <t>Yes</t>
        </is>
      </c>
      <c r="Z924" s="30" t="n"/>
      <c r="AA924" s="30" t="inlineStr">
        <is>
          <t>Good finish</t>
        </is>
      </c>
      <c r="AB924" s="30" t="inlineStr">
        <is>
          <t>Yes</t>
        </is>
      </c>
      <c r="AC924" s="27" t="n"/>
      <c r="AD924" s="31" t="inlineStr">
        <is>
          <t>No</t>
        </is>
      </c>
      <c r="AE924" s="32">
        <f>IF(W924="","",IF(Z924="Yes","❌ Disc",IF(Y924="No","⚠ Missing",IF(AB924="Yes","✓ OK","⚠ Check"))))</f>
        <v/>
      </c>
      <c r="AF924" s="33" t="n"/>
      <c r="AG924" s="33" t="n"/>
      <c r="AH924" s="33" t="n"/>
      <c r="AI924" s="33" t="n"/>
      <c r="AJ924" s="33" t="n"/>
      <c r="AK924" s="33" t="n"/>
      <c r="AL924" s="27" t="n"/>
      <c r="AM924" s="34" t="n"/>
      <c r="AN924" s="35">
        <f>IF(AF924="","",IF(AI924="Yes","❌ Disc",IF(AH924="No","⚠ Missing",IF(AK924="Yes","✓ OK","⚠ Check"))))</f>
        <v/>
      </c>
      <c r="AO924" s="36" t="n"/>
      <c r="AP924" s="36" t="n"/>
      <c r="AQ924" s="36" t="n"/>
      <c r="AR924" s="36" t="n"/>
      <c r="AS924" s="36" t="n"/>
      <c r="AT924" s="36" t="n"/>
      <c r="AU924" s="27" t="n"/>
      <c r="AV924" s="37" t="n"/>
      <c r="AW924" s="38">
        <f>IF(AO924="","",IF(AR924="Yes","❌ Disc",IF(AQ924="No","⚠ Missing",IF(AT924="Yes","✓ OK","⚠ Check"))))</f>
        <v/>
      </c>
    </row>
    <row r="925" ht="18" customHeight="1" s="46">
      <c r="A925" s="23" t="n">
        <v>921</v>
      </c>
      <c r="B925" s="24" t="inlineStr">
        <is>
          <t>WP LNCCN1165945</t>
        </is>
      </c>
      <c r="C925" s="25" t="inlineStr">
        <is>
          <t>Life n Colors - Premium Mughal Pattern Indian Wallpaper, Pastel Shades  -  Canvas - a texture paper</t>
        </is>
      </c>
      <c r="D925" s="23" t="inlineStr">
        <is>
          <t>Life n Colors</t>
        </is>
      </c>
      <c r="E925" s="43" t="n">
        <v>46126</v>
      </c>
      <c r="F925" s="26" t="inlineStr">
        <is>
          <t>Sunil CR</t>
        </is>
      </c>
      <c r="G925" s="26" t="inlineStr">
        <is>
          <t>Yes</t>
        </is>
      </c>
      <c r="H925" s="26" t="inlineStr">
        <is>
          <t>No</t>
        </is>
      </c>
      <c r="I925" s="26" t="inlineStr">
        <is>
          <t>Good finish</t>
        </is>
      </c>
      <c r="J925" s="26" t="inlineStr">
        <is>
          <t>Yes</t>
        </is>
      </c>
      <c r="K925" s="27" t="n"/>
      <c r="L925" s="28" t="inlineStr">
        <is>
          <t>No</t>
        </is>
      </c>
      <c r="M925" s="29">
        <f>IF(E925="","",IF(H925="Yes","❌ Disc",IF(G925="No","⚠ Missing",IF(J925="Yes","✓ OK","⚠ Check"))))</f>
        <v/>
      </c>
      <c r="N925" s="43" t="n">
        <v>46193</v>
      </c>
      <c r="O925" s="26" t="inlineStr">
        <is>
          <t>Sunil CR</t>
        </is>
      </c>
      <c r="P925" s="26" t="inlineStr">
        <is>
          <t>Yes</t>
        </is>
      </c>
      <c r="Q925" s="26" t="inlineStr">
        <is>
          <t>No</t>
        </is>
      </c>
      <c r="R925" s="26" t="inlineStr">
        <is>
          <t>Good finish</t>
        </is>
      </c>
      <c r="S925" s="26" t="inlineStr">
        <is>
          <t>Yes</t>
        </is>
      </c>
      <c r="T925" s="27" t="n"/>
      <c r="U925" s="28" t="inlineStr">
        <is>
          <t>No</t>
        </is>
      </c>
      <c r="V925" s="29">
        <f>IF(N925="","",IF(Q925="Yes","❌ Disc",IF(P925="No","⚠ Missing",IF(S925="Yes","✓ OK","⚠ Check"))))</f>
        <v/>
      </c>
      <c r="W925" s="65" t="n">
        <v>46248</v>
      </c>
      <c r="X925" s="30" t="inlineStr">
        <is>
          <t>Sunil CR</t>
        </is>
      </c>
      <c r="Y925" s="30" t="inlineStr">
        <is>
          <t>Yes</t>
        </is>
      </c>
      <c r="Z925" s="30" t="n"/>
      <c r="AA925" s="30" t="inlineStr">
        <is>
          <t>Good finish</t>
        </is>
      </c>
      <c r="AB925" s="30" t="inlineStr">
        <is>
          <t>Yes</t>
        </is>
      </c>
      <c r="AC925" s="27" t="n"/>
      <c r="AD925" s="31" t="inlineStr">
        <is>
          <t>No</t>
        </is>
      </c>
      <c r="AE925" s="32">
        <f>IF(W925="","",IF(Z925="Yes","❌ Disc",IF(Y925="No","⚠ Missing",IF(AB925="Yes","✓ OK","⚠ Check"))))</f>
        <v/>
      </c>
      <c r="AF925" s="33" t="n"/>
      <c r="AG925" s="33" t="n"/>
      <c r="AH925" s="33" t="n"/>
      <c r="AI925" s="33" t="n"/>
      <c r="AJ925" s="33" t="n"/>
      <c r="AK925" s="33" t="n"/>
      <c r="AL925" s="27" t="n"/>
      <c r="AM925" s="34" t="n"/>
      <c r="AN925" s="35">
        <f>IF(AF925="","",IF(AI925="Yes","❌ Disc",IF(AH925="No","⚠ Missing",IF(AK925="Yes","✓ OK","⚠ Check"))))</f>
        <v/>
      </c>
      <c r="AO925" s="36" t="n"/>
      <c r="AP925" s="36" t="n"/>
      <c r="AQ925" s="36" t="n"/>
      <c r="AR925" s="36" t="n"/>
      <c r="AS925" s="36" t="n"/>
      <c r="AT925" s="36" t="n"/>
      <c r="AU925" s="27" t="n"/>
      <c r="AV925" s="37" t="n"/>
      <c r="AW925" s="38">
        <f>IF(AO925="","",IF(AR925="Yes","❌ Disc",IF(AQ925="No","⚠ Missing",IF(AT925="Yes","✓ OK","⚠ Check"))))</f>
        <v/>
      </c>
    </row>
    <row r="926" ht="18" customHeight="1" s="46">
      <c r="A926" s="39" t="n">
        <v>922</v>
      </c>
      <c r="B926" s="40" t="inlineStr">
        <is>
          <t>WP LNCSF1165945</t>
        </is>
      </c>
      <c r="C926" s="41" t="inlineStr">
        <is>
          <t>Life n Colors - Premium Mughal Pattern Indian Wallpaper, Pastel Shades  - Non-woven - a soft feel paper</t>
        </is>
      </c>
      <c r="D926" s="39" t="inlineStr">
        <is>
          <t>Life n Colors</t>
        </is>
      </c>
      <c r="E926" s="43" t="n">
        <v>46126</v>
      </c>
      <c r="F926" s="26" t="inlineStr">
        <is>
          <t>Sunil CR</t>
        </is>
      </c>
      <c r="G926" s="26" t="inlineStr">
        <is>
          <t>Yes</t>
        </is>
      </c>
      <c r="H926" s="26" t="inlineStr">
        <is>
          <t>No</t>
        </is>
      </c>
      <c r="I926" s="26" t="inlineStr">
        <is>
          <t>Good finish</t>
        </is>
      </c>
      <c r="J926" s="26" t="inlineStr">
        <is>
          <t>Yes</t>
        </is>
      </c>
      <c r="K926" s="27" t="n"/>
      <c r="L926" s="28" t="inlineStr">
        <is>
          <t>No</t>
        </is>
      </c>
      <c r="M926" s="29">
        <f>IF(E926="","",IF(H926="Yes","❌ Disc",IF(G926="No","⚠ Missing",IF(J926="Yes","✓ OK","⚠ Check"))))</f>
        <v/>
      </c>
      <c r="N926" s="43" t="n">
        <v>46193</v>
      </c>
      <c r="O926" s="26" t="inlineStr">
        <is>
          <t>Sunil CR</t>
        </is>
      </c>
      <c r="P926" s="26" t="inlineStr">
        <is>
          <t>Yes</t>
        </is>
      </c>
      <c r="Q926" s="26" t="inlineStr">
        <is>
          <t>No</t>
        </is>
      </c>
      <c r="R926" s="26" t="inlineStr">
        <is>
          <t>Good finish</t>
        </is>
      </c>
      <c r="S926" s="26" t="inlineStr">
        <is>
          <t>Yes</t>
        </is>
      </c>
      <c r="T926" s="27" t="n"/>
      <c r="U926" s="28" t="inlineStr">
        <is>
          <t>No</t>
        </is>
      </c>
      <c r="V926" s="29">
        <f>IF(N926="","",IF(Q926="Yes","❌ Disc",IF(P926="No","⚠ Missing",IF(S926="Yes","✓ OK","⚠ Check"))))</f>
        <v/>
      </c>
      <c r="W926" s="65" t="n">
        <v>46248</v>
      </c>
      <c r="X926" s="30" t="inlineStr">
        <is>
          <t>Sunil CR</t>
        </is>
      </c>
      <c r="Y926" s="30" t="inlineStr">
        <is>
          <t>Yes</t>
        </is>
      </c>
      <c r="Z926" s="30" t="n"/>
      <c r="AA926" s="30" t="inlineStr">
        <is>
          <t>Good finish</t>
        </is>
      </c>
      <c r="AB926" s="30" t="inlineStr">
        <is>
          <t>Yes</t>
        </is>
      </c>
      <c r="AC926" s="27" t="n"/>
      <c r="AD926" s="31" t="inlineStr">
        <is>
          <t>No</t>
        </is>
      </c>
      <c r="AE926" s="32">
        <f>IF(W926="","",IF(Z926="Yes","❌ Disc",IF(Y926="No","⚠ Missing",IF(AB926="Yes","✓ OK","⚠ Check"))))</f>
        <v/>
      </c>
      <c r="AF926" s="33" t="n"/>
      <c r="AG926" s="33" t="n"/>
      <c r="AH926" s="33" t="n"/>
      <c r="AI926" s="33" t="n"/>
      <c r="AJ926" s="33" t="n"/>
      <c r="AK926" s="33" t="n"/>
      <c r="AL926" s="27" t="n"/>
      <c r="AM926" s="34" t="n"/>
      <c r="AN926" s="35">
        <f>IF(AF926="","",IF(AI926="Yes","❌ Disc",IF(AH926="No","⚠ Missing",IF(AK926="Yes","✓ OK","⚠ Check"))))</f>
        <v/>
      </c>
      <c r="AO926" s="36" t="n"/>
      <c r="AP926" s="36" t="n"/>
      <c r="AQ926" s="36" t="n"/>
      <c r="AR926" s="36" t="n"/>
      <c r="AS926" s="36" t="n"/>
      <c r="AT926" s="36" t="n"/>
      <c r="AU926" s="27" t="n"/>
      <c r="AV926" s="37" t="n"/>
      <c r="AW926" s="38">
        <f>IF(AO926="","",IF(AR926="Yes","❌ Disc",IF(AQ926="No","⚠ Missing",IF(AT926="Yes","✓ OK","⚠ Check"))))</f>
        <v/>
      </c>
    </row>
    <row r="927" ht="18" customHeight="1" s="46">
      <c r="A927" s="23" t="n">
        <v>923</v>
      </c>
      <c r="B927" s="24" t="inlineStr">
        <is>
          <t>WP LNCCN1097914</t>
        </is>
      </c>
      <c r="C927" s="25" t="inlineStr">
        <is>
          <t>Life n Colors - Premium Pink Wallpaper, Customised, Semi Circular Pattern  -  Canvas - a texture paper</t>
        </is>
      </c>
      <c r="D927" s="23" t="inlineStr">
        <is>
          <t>Life n Colors</t>
        </is>
      </c>
      <c r="E927" s="43" t="n">
        <v>46126</v>
      </c>
      <c r="F927" s="26" t="inlineStr">
        <is>
          <t>Sunil CR</t>
        </is>
      </c>
      <c r="G927" s="26" t="inlineStr">
        <is>
          <t>Yes</t>
        </is>
      </c>
      <c r="H927" s="26" t="inlineStr">
        <is>
          <t>No</t>
        </is>
      </c>
      <c r="I927" s="26" t="inlineStr">
        <is>
          <t>Good finish</t>
        </is>
      </c>
      <c r="J927" s="26" t="inlineStr">
        <is>
          <t>Yes</t>
        </is>
      </c>
      <c r="K927" s="27" t="n"/>
      <c r="L927" s="28" t="inlineStr">
        <is>
          <t>No</t>
        </is>
      </c>
      <c r="M927" s="29">
        <f>IF(E927="","",IF(H927="Yes","❌ Disc",IF(G927="No","⚠ Missing",IF(J927="Yes","✓ OK","⚠ Check"))))</f>
        <v/>
      </c>
      <c r="N927" s="43" t="n">
        <v>46193</v>
      </c>
      <c r="O927" s="26" t="inlineStr">
        <is>
          <t>Sunil CR</t>
        </is>
      </c>
      <c r="P927" s="26" t="inlineStr">
        <is>
          <t>Yes</t>
        </is>
      </c>
      <c r="Q927" s="26" t="inlineStr">
        <is>
          <t>No</t>
        </is>
      </c>
      <c r="R927" s="26" t="inlineStr">
        <is>
          <t>Good finish</t>
        </is>
      </c>
      <c r="S927" s="26" t="inlineStr">
        <is>
          <t>Yes</t>
        </is>
      </c>
      <c r="T927" s="27" t="n"/>
      <c r="U927" s="28" t="inlineStr">
        <is>
          <t>No</t>
        </is>
      </c>
      <c r="V927" s="29">
        <f>IF(N927="","",IF(Q927="Yes","❌ Disc",IF(P927="No","⚠ Missing",IF(S927="Yes","✓ OK","⚠ Check"))))</f>
        <v/>
      </c>
      <c r="W927" s="65" t="n">
        <v>46248</v>
      </c>
      <c r="X927" s="30" t="inlineStr">
        <is>
          <t>Sunil CR</t>
        </is>
      </c>
      <c r="Y927" s="30" t="inlineStr">
        <is>
          <t>Yes</t>
        </is>
      </c>
      <c r="Z927" s="30" t="n"/>
      <c r="AA927" s="30" t="inlineStr">
        <is>
          <t>Good finish</t>
        </is>
      </c>
      <c r="AB927" s="30" t="inlineStr">
        <is>
          <t>Yes</t>
        </is>
      </c>
      <c r="AC927" s="27" t="n"/>
      <c r="AD927" s="31" t="inlineStr">
        <is>
          <t>No</t>
        </is>
      </c>
      <c r="AE927" s="32">
        <f>IF(W927="","",IF(Z927="Yes","❌ Disc",IF(Y927="No","⚠ Missing",IF(AB927="Yes","✓ OK","⚠ Check"))))</f>
        <v/>
      </c>
      <c r="AF927" s="33" t="n"/>
      <c r="AG927" s="33" t="n"/>
      <c r="AH927" s="33" t="n"/>
      <c r="AI927" s="33" t="n"/>
      <c r="AJ927" s="33" t="n"/>
      <c r="AK927" s="33" t="n"/>
      <c r="AL927" s="27" t="n"/>
      <c r="AM927" s="34" t="n"/>
      <c r="AN927" s="35">
        <f>IF(AF927="","",IF(AI927="Yes","❌ Disc",IF(AH927="No","⚠ Missing",IF(AK927="Yes","✓ OK","⚠ Check"))))</f>
        <v/>
      </c>
      <c r="AO927" s="36" t="n"/>
      <c r="AP927" s="36" t="n"/>
      <c r="AQ927" s="36" t="n"/>
      <c r="AR927" s="36" t="n"/>
      <c r="AS927" s="36" t="n"/>
      <c r="AT927" s="36" t="n"/>
      <c r="AU927" s="27" t="n"/>
      <c r="AV927" s="37" t="n"/>
      <c r="AW927" s="38">
        <f>IF(AO927="","",IF(AR927="Yes","❌ Disc",IF(AQ927="No","⚠ Missing",IF(AT927="Yes","✓ OK","⚠ Check"))))</f>
        <v/>
      </c>
    </row>
    <row r="928" ht="18" customHeight="1" s="46">
      <c r="A928" s="39" t="n">
        <v>924</v>
      </c>
      <c r="B928" s="40" t="inlineStr">
        <is>
          <t>WP LNCSF1097914</t>
        </is>
      </c>
      <c r="C928" s="41" t="inlineStr">
        <is>
          <t>Life n Colors - Premium Pink Wallpaper, Customised, Semi Circular Pattern  - Non-woven - a soft feel paper</t>
        </is>
      </c>
      <c r="D928" s="39" t="inlineStr">
        <is>
          <t>Life n Colors</t>
        </is>
      </c>
      <c r="E928" s="43" t="n">
        <v>46126</v>
      </c>
      <c r="F928" s="26" t="inlineStr">
        <is>
          <t>Sunil CR</t>
        </is>
      </c>
      <c r="G928" s="26" t="inlineStr">
        <is>
          <t>Yes</t>
        </is>
      </c>
      <c r="H928" s="26" t="inlineStr">
        <is>
          <t>No</t>
        </is>
      </c>
      <c r="I928" s="26" t="inlineStr">
        <is>
          <t>Good finish</t>
        </is>
      </c>
      <c r="J928" s="26" t="inlineStr">
        <is>
          <t>Yes</t>
        </is>
      </c>
      <c r="K928" s="27" t="n"/>
      <c r="L928" s="28" t="inlineStr">
        <is>
          <t>No</t>
        </is>
      </c>
      <c r="M928" s="29">
        <f>IF(E928="","",IF(H928="Yes","❌ Disc",IF(G928="No","⚠ Missing",IF(J928="Yes","✓ OK","⚠ Check"))))</f>
        <v/>
      </c>
      <c r="N928" s="43" t="n">
        <v>46193</v>
      </c>
      <c r="O928" s="26" t="inlineStr">
        <is>
          <t>Sunil CR</t>
        </is>
      </c>
      <c r="P928" s="26" t="inlineStr">
        <is>
          <t>Yes</t>
        </is>
      </c>
      <c r="Q928" s="26" t="inlineStr">
        <is>
          <t>No</t>
        </is>
      </c>
      <c r="R928" s="26" t="inlineStr">
        <is>
          <t>Good finish</t>
        </is>
      </c>
      <c r="S928" s="26" t="inlineStr">
        <is>
          <t>Yes</t>
        </is>
      </c>
      <c r="T928" s="27" t="n"/>
      <c r="U928" s="28" t="inlineStr">
        <is>
          <t>No</t>
        </is>
      </c>
      <c r="V928" s="29">
        <f>IF(N928="","",IF(Q928="Yes","❌ Disc",IF(P928="No","⚠ Missing",IF(S928="Yes","✓ OK","⚠ Check"))))</f>
        <v/>
      </c>
      <c r="W928" s="65" t="n">
        <v>46248</v>
      </c>
      <c r="X928" s="30" t="inlineStr">
        <is>
          <t>Sunil CR</t>
        </is>
      </c>
      <c r="Y928" s="30" t="inlineStr">
        <is>
          <t>Yes</t>
        </is>
      </c>
      <c r="Z928" s="30" t="n"/>
      <c r="AA928" s="30" t="inlineStr">
        <is>
          <t>Good finish</t>
        </is>
      </c>
      <c r="AB928" s="30" t="inlineStr">
        <is>
          <t>Yes</t>
        </is>
      </c>
      <c r="AC928" s="27" t="n"/>
      <c r="AD928" s="31" t="inlineStr">
        <is>
          <t>No</t>
        </is>
      </c>
      <c r="AE928" s="32">
        <f>IF(W928="","",IF(Z928="Yes","❌ Disc",IF(Y928="No","⚠ Missing",IF(AB928="Yes","✓ OK","⚠ Check"))))</f>
        <v/>
      </c>
      <c r="AF928" s="33" t="n"/>
      <c r="AG928" s="33" t="n"/>
      <c r="AH928" s="33" t="n"/>
      <c r="AI928" s="33" t="n"/>
      <c r="AJ928" s="33" t="n"/>
      <c r="AK928" s="33" t="n"/>
      <c r="AL928" s="27" t="n"/>
      <c r="AM928" s="34" t="n"/>
      <c r="AN928" s="35">
        <f>IF(AF928="","",IF(AI928="Yes","❌ Disc",IF(AH928="No","⚠ Missing",IF(AK928="Yes","✓ OK","⚠ Check"))))</f>
        <v/>
      </c>
      <c r="AO928" s="36" t="n"/>
      <c r="AP928" s="36" t="n"/>
      <c r="AQ928" s="36" t="n"/>
      <c r="AR928" s="36" t="n"/>
      <c r="AS928" s="36" t="n"/>
      <c r="AT928" s="36" t="n"/>
      <c r="AU928" s="27" t="n"/>
      <c r="AV928" s="37" t="n"/>
      <c r="AW928" s="38">
        <f>IF(AO928="","",IF(AR928="Yes","❌ Disc",IF(AQ928="No","⚠ Missing",IF(AT928="Yes","✓ OK","⚠ Check"))))</f>
        <v/>
      </c>
    </row>
    <row r="929" ht="18" customHeight="1" s="46">
      <c r="A929" s="23" t="n">
        <v>925</v>
      </c>
      <c r="B929" s="24" t="inlineStr">
        <is>
          <t>WP LNCCN1103543</t>
        </is>
      </c>
      <c r="C929" s="25" t="inlineStr">
        <is>
          <t>Life n Colors - Pretty Sea Plants Theme Wallpaper for Young Kids Rooms  -  Canvas - a texture paper</t>
        </is>
      </c>
      <c r="D929" s="23" t="inlineStr">
        <is>
          <t>Life n Colors</t>
        </is>
      </c>
      <c r="E929" s="43" t="n">
        <v>46126</v>
      </c>
      <c r="F929" s="26" t="inlineStr">
        <is>
          <t>Sunil CR</t>
        </is>
      </c>
      <c r="G929" s="26" t="inlineStr">
        <is>
          <t>Yes</t>
        </is>
      </c>
      <c r="H929" s="26" t="inlineStr">
        <is>
          <t>No</t>
        </is>
      </c>
      <c r="I929" s="26" t="inlineStr">
        <is>
          <t>Good finish</t>
        </is>
      </c>
      <c r="J929" s="26" t="inlineStr">
        <is>
          <t>Yes</t>
        </is>
      </c>
      <c r="K929" s="27" t="n"/>
      <c r="L929" s="28" t="inlineStr">
        <is>
          <t>No</t>
        </is>
      </c>
      <c r="M929" s="29">
        <f>IF(E929="","",IF(H929="Yes","❌ Disc",IF(G929="No","⚠ Missing",IF(J929="Yes","✓ OK","⚠ Check"))))</f>
        <v/>
      </c>
      <c r="N929" s="43" t="n">
        <v>46193</v>
      </c>
      <c r="O929" s="26" t="inlineStr">
        <is>
          <t>Sunil CR</t>
        </is>
      </c>
      <c r="P929" s="26" t="inlineStr">
        <is>
          <t>Yes</t>
        </is>
      </c>
      <c r="Q929" s="26" t="inlineStr">
        <is>
          <t>No</t>
        </is>
      </c>
      <c r="R929" s="26" t="inlineStr">
        <is>
          <t>Good finish</t>
        </is>
      </c>
      <c r="S929" s="26" t="inlineStr">
        <is>
          <t>Yes</t>
        </is>
      </c>
      <c r="T929" s="27" t="n"/>
      <c r="U929" s="28" t="inlineStr">
        <is>
          <t>No</t>
        </is>
      </c>
      <c r="V929" s="29">
        <f>IF(N929="","",IF(Q929="Yes","❌ Disc",IF(P929="No","⚠ Missing",IF(S929="Yes","✓ OK","⚠ Check"))))</f>
        <v/>
      </c>
      <c r="W929" s="65" t="n">
        <v>46248</v>
      </c>
      <c r="X929" s="30" t="inlineStr">
        <is>
          <t>Sunil CR</t>
        </is>
      </c>
      <c r="Y929" s="30" t="inlineStr">
        <is>
          <t>Yes</t>
        </is>
      </c>
      <c r="Z929" s="30" t="n"/>
      <c r="AA929" s="30" t="inlineStr">
        <is>
          <t>Good finish</t>
        </is>
      </c>
      <c r="AB929" s="30" t="inlineStr">
        <is>
          <t>Yes</t>
        </is>
      </c>
      <c r="AC929" s="27" t="n"/>
      <c r="AD929" s="31" t="inlineStr">
        <is>
          <t>No</t>
        </is>
      </c>
      <c r="AE929" s="32">
        <f>IF(W929="","",IF(Z929="Yes","❌ Disc",IF(Y929="No","⚠ Missing",IF(AB929="Yes","✓ OK","⚠ Check"))))</f>
        <v/>
      </c>
      <c r="AF929" s="33" t="n"/>
      <c r="AG929" s="33" t="n"/>
      <c r="AH929" s="33" t="n"/>
      <c r="AI929" s="33" t="n"/>
      <c r="AJ929" s="33" t="n"/>
      <c r="AK929" s="33" t="n"/>
      <c r="AL929" s="27" t="n"/>
      <c r="AM929" s="34" t="n"/>
      <c r="AN929" s="35">
        <f>IF(AF929="","",IF(AI929="Yes","❌ Disc",IF(AH929="No","⚠ Missing",IF(AK929="Yes","✓ OK","⚠ Check"))))</f>
        <v/>
      </c>
      <c r="AO929" s="36" t="n"/>
      <c r="AP929" s="36" t="n"/>
      <c r="AQ929" s="36" t="n"/>
      <c r="AR929" s="36" t="n"/>
      <c r="AS929" s="36" t="n"/>
      <c r="AT929" s="36" t="n"/>
      <c r="AU929" s="27" t="n"/>
      <c r="AV929" s="37" t="n"/>
      <c r="AW929" s="38">
        <f>IF(AO929="","",IF(AR929="Yes","❌ Disc",IF(AQ929="No","⚠ Missing",IF(AT929="Yes","✓ OK","⚠ Check"))))</f>
        <v/>
      </c>
    </row>
    <row r="930" ht="18" customHeight="1" s="46">
      <c r="A930" s="39" t="n">
        <v>926</v>
      </c>
      <c r="B930" s="40" t="inlineStr">
        <is>
          <t>WP LNCSF1103543</t>
        </is>
      </c>
      <c r="C930" s="41" t="inlineStr">
        <is>
          <t>Life n Colors - Pretty Sea Plants Theme Wallpaper for Young Kids Rooms  - Non-woven - a soft feel paper</t>
        </is>
      </c>
      <c r="D930" s="39" t="inlineStr">
        <is>
          <t>Life n Colors</t>
        </is>
      </c>
      <c r="E930" s="43" t="n">
        <v>46126</v>
      </c>
      <c r="F930" s="26" t="inlineStr">
        <is>
          <t>Sunil CR</t>
        </is>
      </c>
      <c r="G930" s="26" t="inlineStr">
        <is>
          <t>Yes</t>
        </is>
      </c>
      <c r="H930" s="26" t="inlineStr">
        <is>
          <t>No</t>
        </is>
      </c>
      <c r="I930" s="26" t="inlineStr">
        <is>
          <t>Good finish</t>
        </is>
      </c>
      <c r="J930" s="26" t="inlineStr">
        <is>
          <t>Yes</t>
        </is>
      </c>
      <c r="K930" s="27" t="n"/>
      <c r="L930" s="28" t="inlineStr">
        <is>
          <t>No</t>
        </is>
      </c>
      <c r="M930" s="29">
        <f>IF(E930="","",IF(H930="Yes","❌ Disc",IF(G930="No","⚠ Missing",IF(J930="Yes","✓ OK","⚠ Check"))))</f>
        <v/>
      </c>
      <c r="N930" s="43" t="n">
        <v>46193</v>
      </c>
      <c r="O930" s="26" t="inlineStr">
        <is>
          <t>Sunil CR</t>
        </is>
      </c>
      <c r="P930" s="26" t="inlineStr">
        <is>
          <t>Yes</t>
        </is>
      </c>
      <c r="Q930" s="26" t="inlineStr">
        <is>
          <t>No</t>
        </is>
      </c>
      <c r="R930" s="26" t="inlineStr">
        <is>
          <t>Good finish</t>
        </is>
      </c>
      <c r="S930" s="26" t="inlineStr">
        <is>
          <t>Yes</t>
        </is>
      </c>
      <c r="T930" s="27" t="n"/>
      <c r="U930" s="28" t="inlineStr">
        <is>
          <t>No</t>
        </is>
      </c>
      <c r="V930" s="29">
        <f>IF(N930="","",IF(Q930="Yes","❌ Disc",IF(P930="No","⚠ Missing",IF(S930="Yes","✓ OK","⚠ Check"))))</f>
        <v/>
      </c>
      <c r="W930" s="65" t="n">
        <v>46248</v>
      </c>
      <c r="X930" s="30" t="inlineStr">
        <is>
          <t>Sunil CR</t>
        </is>
      </c>
      <c r="Y930" s="30" t="inlineStr">
        <is>
          <t>Yes</t>
        </is>
      </c>
      <c r="Z930" s="30" t="n"/>
      <c r="AA930" s="30" t="inlineStr">
        <is>
          <t>Good finish</t>
        </is>
      </c>
      <c r="AB930" s="30" t="inlineStr">
        <is>
          <t>Yes</t>
        </is>
      </c>
      <c r="AC930" s="27" t="n"/>
      <c r="AD930" s="31" t="inlineStr">
        <is>
          <t>No</t>
        </is>
      </c>
      <c r="AE930" s="32">
        <f>IF(W930="","",IF(Z930="Yes","❌ Disc",IF(Y930="No","⚠ Missing",IF(AB930="Yes","✓ OK","⚠ Check"))))</f>
        <v/>
      </c>
      <c r="AF930" s="33" t="n"/>
      <c r="AG930" s="33" t="n"/>
      <c r="AH930" s="33" t="n"/>
      <c r="AI930" s="33" t="n"/>
      <c r="AJ930" s="33" t="n"/>
      <c r="AK930" s="33" t="n"/>
      <c r="AL930" s="27" t="n"/>
      <c r="AM930" s="34" t="n"/>
      <c r="AN930" s="35">
        <f>IF(AF930="","",IF(AI930="Yes","❌ Disc",IF(AH930="No","⚠ Missing",IF(AK930="Yes","✓ OK","⚠ Check"))))</f>
        <v/>
      </c>
      <c r="AO930" s="36" t="n"/>
      <c r="AP930" s="36" t="n"/>
      <c r="AQ930" s="36" t="n"/>
      <c r="AR930" s="36" t="n"/>
      <c r="AS930" s="36" t="n"/>
      <c r="AT930" s="36" t="n"/>
      <c r="AU930" s="27" t="n"/>
      <c r="AV930" s="37" t="n"/>
      <c r="AW930" s="38">
        <f>IF(AO930="","",IF(AR930="Yes","❌ Disc",IF(AQ930="No","⚠ Missing",IF(AT930="Yes","✓ OK","⚠ Check"))))</f>
        <v/>
      </c>
    </row>
    <row r="931" ht="18" customHeight="1" s="46">
      <c r="A931" s="23" t="n">
        <v>927</v>
      </c>
      <c r="B931" s="24" t="inlineStr">
        <is>
          <t>WP LNCCN1033802</t>
        </is>
      </c>
      <c r="C931" s="25" t="inlineStr">
        <is>
          <t>Life n Colors - Purple Abstract Modern Wallpaper Design, Bedrooms  -  Canvas - a texture paper</t>
        </is>
      </c>
      <c r="D931" s="23" t="inlineStr">
        <is>
          <t>Life n Colors</t>
        </is>
      </c>
      <c r="E931" s="43" t="n">
        <v>46126</v>
      </c>
      <c r="F931" s="26" t="inlineStr">
        <is>
          <t>Sunil CR</t>
        </is>
      </c>
      <c r="G931" s="26" t="inlineStr">
        <is>
          <t>Yes</t>
        </is>
      </c>
      <c r="H931" s="26" t="inlineStr">
        <is>
          <t>No</t>
        </is>
      </c>
      <c r="I931" s="26" t="inlineStr">
        <is>
          <t>Good finish</t>
        </is>
      </c>
      <c r="J931" s="26" t="inlineStr">
        <is>
          <t>Yes</t>
        </is>
      </c>
      <c r="K931" s="27" t="n"/>
      <c r="L931" s="28" t="inlineStr">
        <is>
          <t>No</t>
        </is>
      </c>
      <c r="M931" s="29">
        <f>IF(E931="","",IF(H931="Yes","❌ Disc",IF(G931="No","⚠ Missing",IF(J931="Yes","✓ OK","⚠ Check"))))</f>
        <v/>
      </c>
      <c r="N931" s="43" t="n">
        <v>46193</v>
      </c>
      <c r="O931" s="26" t="inlineStr">
        <is>
          <t>Sunil CR</t>
        </is>
      </c>
      <c r="P931" s="26" t="inlineStr">
        <is>
          <t>Yes</t>
        </is>
      </c>
      <c r="Q931" s="26" t="inlineStr">
        <is>
          <t>No</t>
        </is>
      </c>
      <c r="R931" s="26" t="inlineStr">
        <is>
          <t>Good finish</t>
        </is>
      </c>
      <c r="S931" s="26" t="inlineStr">
        <is>
          <t>Yes</t>
        </is>
      </c>
      <c r="T931" s="27" t="n"/>
      <c r="U931" s="28" t="inlineStr">
        <is>
          <t>No</t>
        </is>
      </c>
      <c r="V931" s="29">
        <f>IF(N931="","",IF(Q931="Yes","❌ Disc",IF(P931="No","⚠ Missing",IF(S931="Yes","✓ OK","⚠ Check"))))</f>
        <v/>
      </c>
      <c r="W931" s="65" t="n">
        <v>46248</v>
      </c>
      <c r="X931" s="30" t="inlineStr">
        <is>
          <t>Sunil CR</t>
        </is>
      </c>
      <c r="Y931" s="30" t="inlineStr">
        <is>
          <t>Yes</t>
        </is>
      </c>
      <c r="Z931" s="30" t="n"/>
      <c r="AA931" s="30" t="inlineStr">
        <is>
          <t>Good finish</t>
        </is>
      </c>
      <c r="AB931" s="30" t="inlineStr">
        <is>
          <t>Yes</t>
        </is>
      </c>
      <c r="AC931" s="27" t="n"/>
      <c r="AD931" s="31" t="inlineStr">
        <is>
          <t>No</t>
        </is>
      </c>
      <c r="AE931" s="32">
        <f>IF(W931="","",IF(Z931="Yes","❌ Disc",IF(Y931="No","⚠ Missing",IF(AB931="Yes","✓ OK","⚠ Check"))))</f>
        <v/>
      </c>
      <c r="AF931" s="33" t="n"/>
      <c r="AG931" s="33" t="n"/>
      <c r="AH931" s="33" t="n"/>
      <c r="AI931" s="33" t="n"/>
      <c r="AJ931" s="33" t="n"/>
      <c r="AK931" s="33" t="n"/>
      <c r="AL931" s="27" t="n"/>
      <c r="AM931" s="34" t="n"/>
      <c r="AN931" s="35">
        <f>IF(AF931="","",IF(AI931="Yes","❌ Disc",IF(AH931="No","⚠ Missing",IF(AK931="Yes","✓ OK","⚠ Check"))))</f>
        <v/>
      </c>
      <c r="AO931" s="36" t="n"/>
      <c r="AP931" s="36" t="n"/>
      <c r="AQ931" s="36" t="n"/>
      <c r="AR931" s="36" t="n"/>
      <c r="AS931" s="36" t="n"/>
      <c r="AT931" s="36" t="n"/>
      <c r="AU931" s="27" t="n"/>
      <c r="AV931" s="37" t="n"/>
      <c r="AW931" s="38">
        <f>IF(AO931="","",IF(AR931="Yes","❌ Disc",IF(AQ931="No","⚠ Missing",IF(AT931="Yes","✓ OK","⚠ Check"))))</f>
        <v/>
      </c>
    </row>
    <row r="932" ht="18" customHeight="1" s="46">
      <c r="A932" s="39" t="n">
        <v>928</v>
      </c>
      <c r="B932" s="40" t="inlineStr">
        <is>
          <t>WP LNCSF1033802</t>
        </is>
      </c>
      <c r="C932" s="41" t="inlineStr">
        <is>
          <t>Life n Colors - Purple Abstract Modern Wallpaper Design, Bedrooms  - Non-woven - a soft feel paper</t>
        </is>
      </c>
      <c r="D932" s="39" t="inlineStr">
        <is>
          <t>Life n Colors</t>
        </is>
      </c>
      <c r="E932" s="43" t="n">
        <v>46126</v>
      </c>
      <c r="F932" s="26" t="inlineStr">
        <is>
          <t>Sunil CR</t>
        </is>
      </c>
      <c r="G932" s="26" t="inlineStr">
        <is>
          <t>Yes</t>
        </is>
      </c>
      <c r="H932" s="26" t="inlineStr">
        <is>
          <t>No</t>
        </is>
      </c>
      <c r="I932" s="26" t="inlineStr">
        <is>
          <t>Good finish</t>
        </is>
      </c>
      <c r="J932" s="26" t="inlineStr">
        <is>
          <t>Yes</t>
        </is>
      </c>
      <c r="K932" s="27" t="n"/>
      <c r="L932" s="28" t="inlineStr">
        <is>
          <t>No</t>
        </is>
      </c>
      <c r="M932" s="29">
        <f>IF(E932="","",IF(H932="Yes","❌ Disc",IF(G932="No","⚠ Missing",IF(J932="Yes","✓ OK","⚠ Check"))))</f>
        <v/>
      </c>
      <c r="N932" s="43" t="n">
        <v>46193</v>
      </c>
      <c r="O932" s="26" t="inlineStr">
        <is>
          <t>Sunil CR</t>
        </is>
      </c>
      <c r="P932" s="26" t="inlineStr">
        <is>
          <t>Yes</t>
        </is>
      </c>
      <c r="Q932" s="26" t="inlineStr">
        <is>
          <t>No</t>
        </is>
      </c>
      <c r="R932" s="26" t="inlineStr">
        <is>
          <t>Good finish</t>
        </is>
      </c>
      <c r="S932" s="26" t="inlineStr">
        <is>
          <t>Yes</t>
        </is>
      </c>
      <c r="T932" s="27" t="n"/>
      <c r="U932" s="28" t="inlineStr">
        <is>
          <t>No</t>
        </is>
      </c>
      <c r="V932" s="29">
        <f>IF(N932="","",IF(Q932="Yes","❌ Disc",IF(P932="No","⚠ Missing",IF(S932="Yes","✓ OK","⚠ Check"))))</f>
        <v/>
      </c>
      <c r="W932" s="65" t="n">
        <v>46248</v>
      </c>
      <c r="X932" s="30" t="inlineStr">
        <is>
          <t>Sunil CR</t>
        </is>
      </c>
      <c r="Y932" s="30" t="inlineStr">
        <is>
          <t>Yes</t>
        </is>
      </c>
      <c r="Z932" s="30" t="n"/>
      <c r="AA932" s="30" t="inlineStr">
        <is>
          <t>Good finish</t>
        </is>
      </c>
      <c r="AB932" s="30" t="inlineStr">
        <is>
          <t>Yes</t>
        </is>
      </c>
      <c r="AC932" s="27" t="n"/>
      <c r="AD932" s="31" t="inlineStr">
        <is>
          <t>No</t>
        </is>
      </c>
      <c r="AE932" s="32">
        <f>IF(W932="","",IF(Z932="Yes","❌ Disc",IF(Y932="No","⚠ Missing",IF(AB932="Yes","✓ OK","⚠ Check"))))</f>
        <v/>
      </c>
      <c r="AF932" s="33" t="n"/>
      <c r="AG932" s="33" t="n"/>
      <c r="AH932" s="33" t="n"/>
      <c r="AI932" s="33" t="n"/>
      <c r="AJ932" s="33" t="n"/>
      <c r="AK932" s="33" t="n"/>
      <c r="AL932" s="27" t="n"/>
      <c r="AM932" s="34" t="n"/>
      <c r="AN932" s="35">
        <f>IF(AF932="","",IF(AI932="Yes","❌ Disc",IF(AH932="No","⚠ Missing",IF(AK932="Yes","✓ OK","⚠ Check"))))</f>
        <v/>
      </c>
      <c r="AO932" s="36" t="n"/>
      <c r="AP932" s="36" t="n"/>
      <c r="AQ932" s="36" t="n"/>
      <c r="AR932" s="36" t="n"/>
      <c r="AS932" s="36" t="n"/>
      <c r="AT932" s="36" t="n"/>
      <c r="AU932" s="27" t="n"/>
      <c r="AV932" s="37" t="n"/>
      <c r="AW932" s="38">
        <f>IF(AO932="","",IF(AR932="Yes","❌ Disc",IF(AQ932="No","⚠ Missing",IF(AT932="Yes","✓ OK","⚠ Check"))))</f>
        <v/>
      </c>
    </row>
    <row r="933" ht="18" customHeight="1" s="46">
      <c r="A933" s="23" t="n">
        <v>929</v>
      </c>
      <c r="B933" s="24" t="inlineStr">
        <is>
          <t>WP LNCCN1183336</t>
        </is>
      </c>
      <c r="C933" s="25" t="inlineStr">
        <is>
          <t>Life n Colors - Rajasthan Fort Inspired Customised Indian Wallpaper -  Canvas - a texture paper</t>
        </is>
      </c>
      <c r="D933" s="23" t="inlineStr">
        <is>
          <t>Life n Colors</t>
        </is>
      </c>
      <c r="E933" s="43" t="n">
        <v>46126</v>
      </c>
      <c r="F933" s="26" t="inlineStr">
        <is>
          <t>Sunil CR</t>
        </is>
      </c>
      <c r="G933" s="26" t="inlineStr">
        <is>
          <t>Yes</t>
        </is>
      </c>
      <c r="H933" s="26" t="inlineStr">
        <is>
          <t>No</t>
        </is>
      </c>
      <c r="I933" s="26" t="inlineStr">
        <is>
          <t>Good finish</t>
        </is>
      </c>
      <c r="J933" s="26" t="inlineStr">
        <is>
          <t>Yes</t>
        </is>
      </c>
      <c r="K933" s="27" t="n"/>
      <c r="L933" s="28" t="inlineStr">
        <is>
          <t>No</t>
        </is>
      </c>
      <c r="M933" s="29">
        <f>IF(E933="","",IF(H933="Yes","❌ Disc",IF(G933="No","⚠ Missing",IF(J933="Yes","✓ OK","⚠ Check"))))</f>
        <v/>
      </c>
      <c r="N933" s="43" t="n">
        <v>46193</v>
      </c>
      <c r="O933" s="26" t="inlineStr">
        <is>
          <t>Sunil CR</t>
        </is>
      </c>
      <c r="P933" s="26" t="inlineStr">
        <is>
          <t>Yes</t>
        </is>
      </c>
      <c r="Q933" s="26" t="inlineStr">
        <is>
          <t>No</t>
        </is>
      </c>
      <c r="R933" s="26" t="inlineStr">
        <is>
          <t>Good finish</t>
        </is>
      </c>
      <c r="S933" s="26" t="inlineStr">
        <is>
          <t>Yes</t>
        </is>
      </c>
      <c r="T933" s="27" t="n"/>
      <c r="U933" s="28" t="inlineStr">
        <is>
          <t>No</t>
        </is>
      </c>
      <c r="V933" s="29">
        <f>IF(N933="","",IF(Q933="Yes","❌ Disc",IF(P933="No","⚠ Missing",IF(S933="Yes","✓ OK","⚠ Check"))))</f>
        <v/>
      </c>
      <c r="W933" s="65" t="n">
        <v>46248</v>
      </c>
      <c r="X933" s="30" t="inlineStr">
        <is>
          <t>Sunil CR</t>
        </is>
      </c>
      <c r="Y933" s="30" t="inlineStr">
        <is>
          <t>Yes</t>
        </is>
      </c>
      <c r="Z933" s="30" t="n"/>
      <c r="AA933" s="30" t="inlineStr">
        <is>
          <t>Good finish</t>
        </is>
      </c>
      <c r="AB933" s="30" t="inlineStr">
        <is>
          <t>Yes</t>
        </is>
      </c>
      <c r="AC933" s="27" t="n"/>
      <c r="AD933" s="31" t="inlineStr">
        <is>
          <t>No</t>
        </is>
      </c>
      <c r="AE933" s="32">
        <f>IF(W933="","",IF(Z933="Yes","❌ Disc",IF(Y933="No","⚠ Missing",IF(AB933="Yes","✓ OK","⚠ Check"))))</f>
        <v/>
      </c>
      <c r="AF933" s="33" t="n"/>
      <c r="AG933" s="33" t="n"/>
      <c r="AH933" s="33" t="n"/>
      <c r="AI933" s="33" t="n"/>
      <c r="AJ933" s="33" t="n"/>
      <c r="AK933" s="33" t="n"/>
      <c r="AL933" s="27" t="n"/>
      <c r="AM933" s="34" t="n"/>
      <c r="AN933" s="35">
        <f>IF(AF933="","",IF(AI933="Yes","❌ Disc",IF(AH933="No","⚠ Missing",IF(AK933="Yes","✓ OK","⚠ Check"))))</f>
        <v/>
      </c>
      <c r="AO933" s="36" t="n"/>
      <c r="AP933" s="36" t="n"/>
      <c r="AQ933" s="36" t="n"/>
      <c r="AR933" s="36" t="n"/>
      <c r="AS933" s="36" t="n"/>
      <c r="AT933" s="36" t="n"/>
      <c r="AU933" s="27" t="n"/>
      <c r="AV933" s="37" t="n"/>
      <c r="AW933" s="38">
        <f>IF(AO933="","",IF(AR933="Yes","❌ Disc",IF(AQ933="No","⚠ Missing",IF(AT933="Yes","✓ OK","⚠ Check"))))</f>
        <v/>
      </c>
    </row>
    <row r="934" ht="18" customHeight="1" s="46">
      <c r="A934" s="39" t="n">
        <v>930</v>
      </c>
      <c r="B934" s="40" t="inlineStr">
        <is>
          <t>WP LNCSF1183336</t>
        </is>
      </c>
      <c r="C934" s="41" t="inlineStr">
        <is>
          <t>Life n Colors - Rajasthan Fort Inspired Customised Indian Wallpaper - Non-woven - a soft feel paper</t>
        </is>
      </c>
      <c r="D934" s="39" t="inlineStr">
        <is>
          <t>Life n Colors</t>
        </is>
      </c>
      <c r="E934" s="43" t="n">
        <v>46126</v>
      </c>
      <c r="F934" s="26" t="inlineStr">
        <is>
          <t>Sunil CR</t>
        </is>
      </c>
      <c r="G934" s="26" t="inlineStr">
        <is>
          <t>Yes</t>
        </is>
      </c>
      <c r="H934" s="26" t="inlineStr">
        <is>
          <t>No</t>
        </is>
      </c>
      <c r="I934" s="26" t="inlineStr">
        <is>
          <t>Good finish</t>
        </is>
      </c>
      <c r="J934" s="26" t="inlineStr">
        <is>
          <t>Yes</t>
        </is>
      </c>
      <c r="K934" s="27" t="n"/>
      <c r="L934" s="28" t="inlineStr">
        <is>
          <t>No</t>
        </is>
      </c>
      <c r="M934" s="29">
        <f>IF(E934="","",IF(H934="Yes","❌ Disc",IF(G934="No","⚠ Missing",IF(J934="Yes","✓ OK","⚠ Check"))))</f>
        <v/>
      </c>
      <c r="N934" s="43" t="n">
        <v>46193</v>
      </c>
      <c r="O934" s="26" t="inlineStr">
        <is>
          <t>Sunil CR</t>
        </is>
      </c>
      <c r="P934" s="26" t="inlineStr">
        <is>
          <t>Yes</t>
        </is>
      </c>
      <c r="Q934" s="26" t="inlineStr">
        <is>
          <t>No</t>
        </is>
      </c>
      <c r="R934" s="26" t="inlineStr">
        <is>
          <t>Good finish</t>
        </is>
      </c>
      <c r="S934" s="26" t="inlineStr">
        <is>
          <t>Yes</t>
        </is>
      </c>
      <c r="T934" s="27" t="n"/>
      <c r="U934" s="28" t="inlineStr">
        <is>
          <t>No</t>
        </is>
      </c>
      <c r="V934" s="29">
        <f>IF(N934="","",IF(Q934="Yes","❌ Disc",IF(P934="No","⚠ Missing",IF(S934="Yes","✓ OK","⚠ Check"))))</f>
        <v/>
      </c>
      <c r="W934" s="65" t="n">
        <v>46248</v>
      </c>
      <c r="X934" s="30" t="inlineStr">
        <is>
          <t>Sunil CR</t>
        </is>
      </c>
      <c r="Y934" s="30" t="inlineStr">
        <is>
          <t>Yes</t>
        </is>
      </c>
      <c r="Z934" s="30" t="n"/>
      <c r="AA934" s="30" t="inlineStr">
        <is>
          <t>Good finish</t>
        </is>
      </c>
      <c r="AB934" s="30" t="inlineStr">
        <is>
          <t>Yes</t>
        </is>
      </c>
      <c r="AC934" s="27" t="n"/>
      <c r="AD934" s="31" t="inlineStr">
        <is>
          <t>No</t>
        </is>
      </c>
      <c r="AE934" s="32">
        <f>IF(W934="","",IF(Z934="Yes","❌ Disc",IF(Y934="No","⚠ Missing",IF(AB934="Yes","✓ OK","⚠ Check"))))</f>
        <v/>
      </c>
      <c r="AF934" s="33" t="n"/>
      <c r="AG934" s="33" t="n"/>
      <c r="AH934" s="33" t="n"/>
      <c r="AI934" s="33" t="n"/>
      <c r="AJ934" s="33" t="n"/>
      <c r="AK934" s="33" t="n"/>
      <c r="AL934" s="27" t="n"/>
      <c r="AM934" s="34" t="n"/>
      <c r="AN934" s="35">
        <f>IF(AF934="","",IF(AI934="Yes","❌ Disc",IF(AH934="No","⚠ Missing",IF(AK934="Yes","✓ OK","⚠ Check"))))</f>
        <v/>
      </c>
      <c r="AO934" s="36" t="n"/>
      <c r="AP934" s="36" t="n"/>
      <c r="AQ934" s="36" t="n"/>
      <c r="AR934" s="36" t="n"/>
      <c r="AS934" s="36" t="n"/>
      <c r="AT934" s="36" t="n"/>
      <c r="AU934" s="27" t="n"/>
      <c r="AV934" s="37" t="n"/>
      <c r="AW934" s="38">
        <f>IF(AO934="","",IF(AR934="Yes","❌ Disc",IF(AQ934="No","⚠ Missing",IF(AT934="Yes","✓ OK","⚠ Check"))))</f>
        <v/>
      </c>
    </row>
    <row r="935" ht="18" customHeight="1" s="46">
      <c r="A935" s="23" t="n">
        <v>931</v>
      </c>
      <c r="B935" s="24" t="inlineStr">
        <is>
          <t>WP LNCCN1023961</t>
        </is>
      </c>
      <c r="C935" s="25" t="inlineStr">
        <is>
          <t>Life n Colors - Red and Golden Floral Wallpaper with Birds, Customised  -  Canvas - a texture paper</t>
        </is>
      </c>
      <c r="D935" s="23" t="inlineStr">
        <is>
          <t>Life n Colors</t>
        </is>
      </c>
      <c r="E935" s="43" t="n">
        <v>46126</v>
      </c>
      <c r="F935" s="26" t="inlineStr">
        <is>
          <t>Sunil CR</t>
        </is>
      </c>
      <c r="G935" s="26" t="inlineStr">
        <is>
          <t>Yes</t>
        </is>
      </c>
      <c r="H935" s="26" t="inlineStr">
        <is>
          <t>No</t>
        </is>
      </c>
      <c r="I935" s="26" t="inlineStr">
        <is>
          <t>Good finish</t>
        </is>
      </c>
      <c r="J935" s="26" t="inlineStr">
        <is>
          <t>Yes</t>
        </is>
      </c>
      <c r="K935" s="27" t="n"/>
      <c r="L935" s="28" t="inlineStr">
        <is>
          <t>No</t>
        </is>
      </c>
      <c r="M935" s="29">
        <f>IF(E935="","",IF(H935="Yes","❌ Disc",IF(G935="No","⚠ Missing",IF(J935="Yes","✓ OK","⚠ Check"))))</f>
        <v/>
      </c>
      <c r="N935" s="43" t="n">
        <v>46193</v>
      </c>
      <c r="O935" s="26" t="inlineStr">
        <is>
          <t>Sunil CR</t>
        </is>
      </c>
      <c r="P935" s="26" t="inlineStr">
        <is>
          <t>Yes</t>
        </is>
      </c>
      <c r="Q935" s="26" t="inlineStr">
        <is>
          <t>No</t>
        </is>
      </c>
      <c r="R935" s="26" t="inlineStr">
        <is>
          <t>Good finish</t>
        </is>
      </c>
      <c r="S935" s="26" t="inlineStr">
        <is>
          <t>Yes</t>
        </is>
      </c>
      <c r="T935" s="27" t="n"/>
      <c r="U935" s="28" t="inlineStr">
        <is>
          <t>No</t>
        </is>
      </c>
      <c r="V935" s="29">
        <f>IF(N935="","",IF(Q935="Yes","❌ Disc",IF(P935="No","⚠ Missing",IF(S935="Yes","✓ OK","⚠ Check"))))</f>
        <v/>
      </c>
      <c r="W935" s="65" t="n">
        <v>46248</v>
      </c>
      <c r="X935" s="30" t="inlineStr">
        <is>
          <t>Sunil CR</t>
        </is>
      </c>
      <c r="Y935" s="30" t="inlineStr">
        <is>
          <t>Yes</t>
        </is>
      </c>
      <c r="Z935" s="30" t="n"/>
      <c r="AA935" s="30" t="inlineStr">
        <is>
          <t>Good finish</t>
        </is>
      </c>
      <c r="AB935" s="30" t="inlineStr">
        <is>
          <t>Yes</t>
        </is>
      </c>
      <c r="AC935" s="27" t="n"/>
      <c r="AD935" s="31" t="inlineStr">
        <is>
          <t>No</t>
        </is>
      </c>
      <c r="AE935" s="32">
        <f>IF(W935="","",IF(Z935="Yes","❌ Disc",IF(Y935="No","⚠ Missing",IF(AB935="Yes","✓ OK","⚠ Check"))))</f>
        <v/>
      </c>
      <c r="AF935" s="33" t="n"/>
      <c r="AG935" s="33" t="n"/>
      <c r="AH935" s="33" t="n"/>
      <c r="AI935" s="33" t="n"/>
      <c r="AJ935" s="33" t="n"/>
      <c r="AK935" s="33" t="n"/>
      <c r="AL935" s="27" t="n"/>
      <c r="AM935" s="34" t="n"/>
      <c r="AN935" s="35">
        <f>IF(AF935="","",IF(AI935="Yes","❌ Disc",IF(AH935="No","⚠ Missing",IF(AK935="Yes","✓ OK","⚠ Check"))))</f>
        <v/>
      </c>
      <c r="AO935" s="36" t="n"/>
      <c r="AP935" s="36" t="n"/>
      <c r="AQ935" s="36" t="n"/>
      <c r="AR935" s="36" t="n"/>
      <c r="AS935" s="36" t="n"/>
      <c r="AT935" s="36" t="n"/>
      <c r="AU935" s="27" t="n"/>
      <c r="AV935" s="37" t="n"/>
      <c r="AW935" s="38">
        <f>IF(AO935="","",IF(AR935="Yes","❌ Disc",IF(AQ935="No","⚠ Missing",IF(AT935="Yes","✓ OK","⚠ Check"))))</f>
        <v/>
      </c>
    </row>
    <row r="936" ht="18" customHeight="1" s="46">
      <c r="A936" s="39" t="n">
        <v>932</v>
      </c>
      <c r="B936" s="40" t="inlineStr">
        <is>
          <t>WP LNCSF1023961</t>
        </is>
      </c>
      <c r="C936" s="41" t="inlineStr">
        <is>
          <t>Life n Colors - Red and Golden Floral Wallpaper with Birds, Customised  - Non-woven - a soft feel paper</t>
        </is>
      </c>
      <c r="D936" s="39" t="inlineStr">
        <is>
          <t>Life n Colors</t>
        </is>
      </c>
      <c r="E936" s="43" t="n">
        <v>46126</v>
      </c>
      <c r="F936" s="26" t="inlineStr">
        <is>
          <t>Sunil CR</t>
        </is>
      </c>
      <c r="G936" s="26" t="inlineStr">
        <is>
          <t>Yes</t>
        </is>
      </c>
      <c r="H936" s="26" t="inlineStr">
        <is>
          <t>No</t>
        </is>
      </c>
      <c r="I936" s="26" t="inlineStr">
        <is>
          <t>Good finish</t>
        </is>
      </c>
      <c r="J936" s="26" t="inlineStr">
        <is>
          <t>Yes</t>
        </is>
      </c>
      <c r="K936" s="27" t="n"/>
      <c r="L936" s="28" t="inlineStr">
        <is>
          <t>No</t>
        </is>
      </c>
      <c r="M936" s="29">
        <f>IF(E936="","",IF(H936="Yes","❌ Disc",IF(G936="No","⚠ Missing",IF(J936="Yes","✓ OK","⚠ Check"))))</f>
        <v/>
      </c>
      <c r="N936" s="43" t="n">
        <v>46193</v>
      </c>
      <c r="O936" s="26" t="inlineStr">
        <is>
          <t>Sunil CR</t>
        </is>
      </c>
      <c r="P936" s="26" t="inlineStr">
        <is>
          <t>Yes</t>
        </is>
      </c>
      <c r="Q936" s="26" t="inlineStr">
        <is>
          <t>No</t>
        </is>
      </c>
      <c r="R936" s="26" t="inlineStr">
        <is>
          <t>Good finish</t>
        </is>
      </c>
      <c r="S936" s="26" t="inlineStr">
        <is>
          <t>Yes</t>
        </is>
      </c>
      <c r="T936" s="27" t="n"/>
      <c r="U936" s="28" t="inlineStr">
        <is>
          <t>No</t>
        </is>
      </c>
      <c r="V936" s="29">
        <f>IF(N936="","",IF(Q936="Yes","❌ Disc",IF(P936="No","⚠ Missing",IF(S936="Yes","✓ OK","⚠ Check"))))</f>
        <v/>
      </c>
      <c r="W936" s="65" t="n">
        <v>46248</v>
      </c>
      <c r="X936" s="30" t="inlineStr">
        <is>
          <t>Sunil CR</t>
        </is>
      </c>
      <c r="Y936" s="30" t="inlineStr">
        <is>
          <t>Yes</t>
        </is>
      </c>
      <c r="Z936" s="30" t="n"/>
      <c r="AA936" s="30" t="inlineStr">
        <is>
          <t>Good finish</t>
        </is>
      </c>
      <c r="AB936" s="30" t="inlineStr">
        <is>
          <t>Yes</t>
        </is>
      </c>
      <c r="AC936" s="27" t="n"/>
      <c r="AD936" s="31" t="inlineStr">
        <is>
          <t>No</t>
        </is>
      </c>
      <c r="AE936" s="32">
        <f>IF(W936="","",IF(Z936="Yes","❌ Disc",IF(Y936="No","⚠ Missing",IF(AB936="Yes","✓ OK","⚠ Check"))))</f>
        <v/>
      </c>
      <c r="AF936" s="33" t="n"/>
      <c r="AG936" s="33" t="n"/>
      <c r="AH936" s="33" t="n"/>
      <c r="AI936" s="33" t="n"/>
      <c r="AJ936" s="33" t="n"/>
      <c r="AK936" s="33" t="n"/>
      <c r="AL936" s="27" t="n"/>
      <c r="AM936" s="34" t="n"/>
      <c r="AN936" s="35">
        <f>IF(AF936="","",IF(AI936="Yes","❌ Disc",IF(AH936="No","⚠ Missing",IF(AK936="Yes","✓ OK","⚠ Check"))))</f>
        <v/>
      </c>
      <c r="AO936" s="36" t="n"/>
      <c r="AP936" s="36" t="n"/>
      <c r="AQ936" s="36" t="n"/>
      <c r="AR936" s="36" t="n"/>
      <c r="AS936" s="36" t="n"/>
      <c r="AT936" s="36" t="n"/>
      <c r="AU936" s="27" t="n"/>
      <c r="AV936" s="37" t="n"/>
      <c r="AW936" s="38">
        <f>IF(AO936="","",IF(AR936="Yes","❌ Disc",IF(AQ936="No","⚠ Missing",IF(AT936="Yes","✓ OK","⚠ Check"))))</f>
        <v/>
      </c>
    </row>
    <row r="937" ht="18" customHeight="1" s="46">
      <c r="A937" s="23" t="n">
        <v>933</v>
      </c>
      <c r="B937" s="24" t="inlineStr">
        <is>
          <t>WP LNCCN1102981</t>
        </is>
      </c>
      <c r="C937" s="25" t="inlineStr">
        <is>
          <t>Life n Colors - Red and White Flower Wallpaper, Customised  -  Canvas - a texture paper</t>
        </is>
      </c>
      <c r="D937" s="23" t="inlineStr">
        <is>
          <t>Life n Colors</t>
        </is>
      </c>
      <c r="E937" s="43" t="n">
        <v>46126</v>
      </c>
      <c r="F937" s="26" t="inlineStr">
        <is>
          <t>Sunil CR</t>
        </is>
      </c>
      <c r="G937" s="26" t="inlineStr">
        <is>
          <t>Yes</t>
        </is>
      </c>
      <c r="H937" s="26" t="inlineStr">
        <is>
          <t>No</t>
        </is>
      </c>
      <c r="I937" s="26" t="inlineStr">
        <is>
          <t>Good finish</t>
        </is>
      </c>
      <c r="J937" s="26" t="inlineStr">
        <is>
          <t>Yes</t>
        </is>
      </c>
      <c r="K937" s="27" t="n"/>
      <c r="L937" s="28" t="inlineStr">
        <is>
          <t>No</t>
        </is>
      </c>
      <c r="M937" s="29">
        <f>IF(E937="","",IF(H937="Yes","❌ Disc",IF(G937="No","⚠ Missing",IF(J937="Yes","✓ OK","⚠ Check"))))</f>
        <v/>
      </c>
      <c r="N937" s="43" t="n">
        <v>46193</v>
      </c>
      <c r="O937" s="26" t="inlineStr">
        <is>
          <t>Sunil CR</t>
        </is>
      </c>
      <c r="P937" s="26" t="inlineStr">
        <is>
          <t>Yes</t>
        </is>
      </c>
      <c r="Q937" s="26" t="inlineStr">
        <is>
          <t>No</t>
        </is>
      </c>
      <c r="R937" s="26" t="inlineStr">
        <is>
          <t>Good finish</t>
        </is>
      </c>
      <c r="S937" s="26" t="inlineStr">
        <is>
          <t>Yes</t>
        </is>
      </c>
      <c r="T937" s="27" t="n"/>
      <c r="U937" s="28" t="inlineStr">
        <is>
          <t>No</t>
        </is>
      </c>
      <c r="V937" s="29">
        <f>IF(N937="","",IF(Q937="Yes","❌ Disc",IF(P937="No","⚠ Missing",IF(S937="Yes","✓ OK","⚠ Check"))))</f>
        <v/>
      </c>
      <c r="W937" s="65" t="n">
        <v>46248</v>
      </c>
      <c r="X937" s="30" t="inlineStr">
        <is>
          <t>Sunil CR</t>
        </is>
      </c>
      <c r="Y937" s="30" t="inlineStr">
        <is>
          <t>Yes</t>
        </is>
      </c>
      <c r="Z937" s="30" t="n"/>
      <c r="AA937" s="30" t="inlineStr">
        <is>
          <t>Good finish</t>
        </is>
      </c>
      <c r="AB937" s="30" t="inlineStr">
        <is>
          <t>Yes</t>
        </is>
      </c>
      <c r="AC937" s="27" t="n"/>
      <c r="AD937" s="31" t="inlineStr">
        <is>
          <t>No</t>
        </is>
      </c>
      <c r="AE937" s="32">
        <f>IF(W937="","",IF(Z937="Yes","❌ Disc",IF(Y937="No","⚠ Missing",IF(AB937="Yes","✓ OK","⚠ Check"))))</f>
        <v/>
      </c>
      <c r="AF937" s="33" t="n"/>
      <c r="AG937" s="33" t="n"/>
      <c r="AH937" s="33" t="n"/>
      <c r="AI937" s="33" t="n"/>
      <c r="AJ937" s="33" t="n"/>
      <c r="AK937" s="33" t="n"/>
      <c r="AL937" s="27" t="n"/>
      <c r="AM937" s="34" t="n"/>
      <c r="AN937" s="35">
        <f>IF(AF937="","",IF(AI937="Yes","❌ Disc",IF(AH937="No","⚠ Missing",IF(AK937="Yes","✓ OK","⚠ Check"))))</f>
        <v/>
      </c>
      <c r="AO937" s="36" t="n"/>
      <c r="AP937" s="36" t="n"/>
      <c r="AQ937" s="36" t="n"/>
      <c r="AR937" s="36" t="n"/>
      <c r="AS937" s="36" t="n"/>
      <c r="AT937" s="36" t="n"/>
      <c r="AU937" s="27" t="n"/>
      <c r="AV937" s="37" t="n"/>
      <c r="AW937" s="38">
        <f>IF(AO937="","",IF(AR937="Yes","❌ Disc",IF(AQ937="No","⚠ Missing",IF(AT937="Yes","✓ OK","⚠ Check"))))</f>
        <v/>
      </c>
    </row>
    <row r="938" ht="18" customHeight="1" s="46">
      <c r="A938" s="39" t="n">
        <v>934</v>
      </c>
      <c r="B938" s="40" t="inlineStr">
        <is>
          <t>WP LNCSF1102981</t>
        </is>
      </c>
      <c r="C938" s="41" t="inlineStr">
        <is>
          <t>Life n Colors - Red and White Flower Wallpaper, Customised  - Non-woven - a soft feel paper</t>
        </is>
      </c>
      <c r="D938" s="39" t="inlineStr">
        <is>
          <t>Life n Colors</t>
        </is>
      </c>
      <c r="E938" s="43" t="n">
        <v>46126</v>
      </c>
      <c r="F938" s="26" t="inlineStr">
        <is>
          <t>Sunil CR</t>
        </is>
      </c>
      <c r="G938" s="26" t="inlineStr">
        <is>
          <t>Yes</t>
        </is>
      </c>
      <c r="H938" s="26" t="inlineStr">
        <is>
          <t>No</t>
        </is>
      </c>
      <c r="I938" s="26" t="inlineStr">
        <is>
          <t>Good finish</t>
        </is>
      </c>
      <c r="J938" s="26" t="inlineStr">
        <is>
          <t>Yes</t>
        </is>
      </c>
      <c r="K938" s="27" t="n"/>
      <c r="L938" s="28" t="inlineStr">
        <is>
          <t>No</t>
        </is>
      </c>
      <c r="M938" s="29">
        <f>IF(E938="","",IF(H938="Yes","❌ Disc",IF(G938="No","⚠ Missing",IF(J938="Yes","✓ OK","⚠ Check"))))</f>
        <v/>
      </c>
      <c r="N938" s="43" t="n">
        <v>46193</v>
      </c>
      <c r="O938" s="26" t="inlineStr">
        <is>
          <t>Sunil CR</t>
        </is>
      </c>
      <c r="P938" s="26" t="inlineStr">
        <is>
          <t>Yes</t>
        </is>
      </c>
      <c r="Q938" s="26" t="inlineStr">
        <is>
          <t>No</t>
        </is>
      </c>
      <c r="R938" s="26" t="inlineStr">
        <is>
          <t>Good finish</t>
        </is>
      </c>
      <c r="S938" s="26" t="inlineStr">
        <is>
          <t>Yes</t>
        </is>
      </c>
      <c r="T938" s="27" t="n"/>
      <c r="U938" s="28" t="inlineStr">
        <is>
          <t>No</t>
        </is>
      </c>
      <c r="V938" s="29">
        <f>IF(N938="","",IF(Q938="Yes","❌ Disc",IF(P938="No","⚠ Missing",IF(S938="Yes","✓ OK","⚠ Check"))))</f>
        <v/>
      </c>
      <c r="W938" s="65" t="n">
        <v>46248</v>
      </c>
      <c r="X938" s="30" t="inlineStr">
        <is>
          <t>Sunil CR</t>
        </is>
      </c>
      <c r="Y938" s="30" t="inlineStr">
        <is>
          <t>Yes</t>
        </is>
      </c>
      <c r="Z938" s="30" t="n"/>
      <c r="AA938" s="30" t="inlineStr">
        <is>
          <t>Good finish</t>
        </is>
      </c>
      <c r="AB938" s="30" t="inlineStr">
        <is>
          <t>Yes</t>
        </is>
      </c>
      <c r="AC938" s="27" t="n"/>
      <c r="AD938" s="31" t="inlineStr">
        <is>
          <t>No</t>
        </is>
      </c>
      <c r="AE938" s="32">
        <f>IF(W938="","",IF(Z938="Yes","❌ Disc",IF(Y938="No","⚠ Missing",IF(AB938="Yes","✓ OK","⚠ Check"))))</f>
        <v/>
      </c>
      <c r="AF938" s="33" t="n"/>
      <c r="AG938" s="33" t="n"/>
      <c r="AH938" s="33" t="n"/>
      <c r="AI938" s="33" t="n"/>
      <c r="AJ938" s="33" t="n"/>
      <c r="AK938" s="33" t="n"/>
      <c r="AL938" s="27" t="n"/>
      <c r="AM938" s="34" t="n"/>
      <c r="AN938" s="35">
        <f>IF(AF938="","",IF(AI938="Yes","❌ Disc",IF(AH938="No","⚠ Missing",IF(AK938="Yes","✓ OK","⚠ Check"))))</f>
        <v/>
      </c>
      <c r="AO938" s="36" t="n"/>
      <c r="AP938" s="36" t="n"/>
      <c r="AQ938" s="36" t="n"/>
      <c r="AR938" s="36" t="n"/>
      <c r="AS938" s="36" t="n"/>
      <c r="AT938" s="36" t="n"/>
      <c r="AU938" s="27" t="n"/>
      <c r="AV938" s="37" t="n"/>
      <c r="AW938" s="38">
        <f>IF(AO938="","",IF(AR938="Yes","❌ Disc",IF(AQ938="No","⚠ Missing",IF(AT938="Yes","✓ OK","⚠ Check"))))</f>
        <v/>
      </c>
    </row>
    <row r="939" ht="18" customHeight="1" s="46">
      <c r="A939" s="23" t="n">
        <v>935</v>
      </c>
      <c r="B939" s="24" t="inlineStr">
        <is>
          <t>WP LNCCN1158248</t>
        </is>
      </c>
      <c r="C939" s="25" t="inlineStr">
        <is>
          <t>Life n Colors - Red Color Ikat Pattern Rooms Wallpaper, Customised  -  Canvas - a texture paper</t>
        </is>
      </c>
      <c r="D939" s="23" t="inlineStr">
        <is>
          <t>Life n Colors</t>
        </is>
      </c>
      <c r="E939" s="43" t="n">
        <v>46126</v>
      </c>
      <c r="F939" s="26" t="inlineStr">
        <is>
          <t>Sunil CR</t>
        </is>
      </c>
      <c r="G939" s="26" t="inlineStr">
        <is>
          <t>Yes</t>
        </is>
      </c>
      <c r="H939" s="26" t="inlineStr">
        <is>
          <t>No</t>
        </is>
      </c>
      <c r="I939" s="26" t="inlineStr">
        <is>
          <t>Good finish</t>
        </is>
      </c>
      <c r="J939" s="26" t="inlineStr">
        <is>
          <t>Yes</t>
        </is>
      </c>
      <c r="K939" s="27" t="n"/>
      <c r="L939" s="28" t="inlineStr">
        <is>
          <t>No</t>
        </is>
      </c>
      <c r="M939" s="29">
        <f>IF(E939="","",IF(H939="Yes","❌ Disc",IF(G939="No","⚠ Missing",IF(J939="Yes","✓ OK","⚠ Check"))))</f>
        <v/>
      </c>
      <c r="N939" s="43" t="n">
        <v>46193</v>
      </c>
      <c r="O939" s="26" t="inlineStr">
        <is>
          <t>Sunil CR</t>
        </is>
      </c>
      <c r="P939" s="26" t="inlineStr">
        <is>
          <t>Yes</t>
        </is>
      </c>
      <c r="Q939" s="26" t="inlineStr">
        <is>
          <t>No</t>
        </is>
      </c>
      <c r="R939" s="26" t="inlineStr">
        <is>
          <t>Good finish</t>
        </is>
      </c>
      <c r="S939" s="26" t="inlineStr">
        <is>
          <t>Yes</t>
        </is>
      </c>
      <c r="T939" s="27" t="n"/>
      <c r="U939" s="28" t="inlineStr">
        <is>
          <t>No</t>
        </is>
      </c>
      <c r="V939" s="29">
        <f>IF(N939="","",IF(Q939="Yes","❌ Disc",IF(P939="No","⚠ Missing",IF(S939="Yes","✓ OK","⚠ Check"))))</f>
        <v/>
      </c>
      <c r="W939" s="65" t="n">
        <v>46248</v>
      </c>
      <c r="X939" s="30" t="inlineStr">
        <is>
          <t>Sunil CR</t>
        </is>
      </c>
      <c r="Y939" s="30" t="inlineStr">
        <is>
          <t>Yes</t>
        </is>
      </c>
      <c r="Z939" s="30" t="n"/>
      <c r="AA939" s="30" t="inlineStr">
        <is>
          <t>Good finish</t>
        </is>
      </c>
      <c r="AB939" s="30" t="inlineStr">
        <is>
          <t>Yes</t>
        </is>
      </c>
      <c r="AC939" s="27" t="n"/>
      <c r="AD939" s="31" t="inlineStr">
        <is>
          <t>No</t>
        </is>
      </c>
      <c r="AE939" s="32">
        <f>IF(W939="","",IF(Z939="Yes","❌ Disc",IF(Y939="No","⚠ Missing",IF(AB939="Yes","✓ OK","⚠ Check"))))</f>
        <v/>
      </c>
      <c r="AF939" s="33" t="n"/>
      <c r="AG939" s="33" t="n"/>
      <c r="AH939" s="33" t="n"/>
      <c r="AI939" s="33" t="n"/>
      <c r="AJ939" s="33" t="n"/>
      <c r="AK939" s="33" t="n"/>
      <c r="AL939" s="27" t="n"/>
      <c r="AM939" s="34" t="n"/>
      <c r="AN939" s="35">
        <f>IF(AF939="","",IF(AI939="Yes","❌ Disc",IF(AH939="No","⚠ Missing",IF(AK939="Yes","✓ OK","⚠ Check"))))</f>
        <v/>
      </c>
      <c r="AO939" s="36" t="n"/>
      <c r="AP939" s="36" t="n"/>
      <c r="AQ939" s="36" t="n"/>
      <c r="AR939" s="36" t="n"/>
      <c r="AS939" s="36" t="n"/>
      <c r="AT939" s="36" t="n"/>
      <c r="AU939" s="27" t="n"/>
      <c r="AV939" s="37" t="n"/>
      <c r="AW939" s="38">
        <f>IF(AO939="","",IF(AR939="Yes","❌ Disc",IF(AQ939="No","⚠ Missing",IF(AT939="Yes","✓ OK","⚠ Check"))))</f>
        <v/>
      </c>
    </row>
    <row r="940" ht="18" customHeight="1" s="46">
      <c r="A940" s="39" t="n">
        <v>936</v>
      </c>
      <c r="B940" s="40" t="inlineStr">
        <is>
          <t>WP LNCSF1158248</t>
        </is>
      </c>
      <c r="C940" s="41" t="inlineStr">
        <is>
          <t>Life n Colors - Red Color Ikat Pattern Rooms Wallpaper, Customised  - Non-woven - a soft feel paper</t>
        </is>
      </c>
      <c r="D940" s="39" t="inlineStr">
        <is>
          <t>Life n Colors</t>
        </is>
      </c>
      <c r="E940" s="43" t="n">
        <v>46126</v>
      </c>
      <c r="F940" s="26" t="inlineStr">
        <is>
          <t>Sunil CR</t>
        </is>
      </c>
      <c r="G940" s="26" t="inlineStr">
        <is>
          <t>Yes</t>
        </is>
      </c>
      <c r="H940" s="26" t="inlineStr">
        <is>
          <t>No</t>
        </is>
      </c>
      <c r="I940" s="26" t="inlineStr">
        <is>
          <t>Good finish</t>
        </is>
      </c>
      <c r="J940" s="26" t="inlineStr">
        <is>
          <t>Yes</t>
        </is>
      </c>
      <c r="K940" s="27" t="n"/>
      <c r="L940" s="28" t="inlineStr">
        <is>
          <t>No</t>
        </is>
      </c>
      <c r="M940" s="29">
        <f>IF(E940="","",IF(H940="Yes","❌ Disc",IF(G940="No","⚠ Missing",IF(J940="Yes","✓ OK","⚠ Check"))))</f>
        <v/>
      </c>
      <c r="N940" s="43" t="n">
        <v>46193</v>
      </c>
      <c r="O940" s="26" t="inlineStr">
        <is>
          <t>Sunil CR</t>
        </is>
      </c>
      <c r="P940" s="26" t="inlineStr">
        <is>
          <t>Yes</t>
        </is>
      </c>
      <c r="Q940" s="26" t="inlineStr">
        <is>
          <t>No</t>
        </is>
      </c>
      <c r="R940" s="26" t="inlineStr">
        <is>
          <t>Good finish</t>
        </is>
      </c>
      <c r="S940" s="26" t="inlineStr">
        <is>
          <t>Yes</t>
        </is>
      </c>
      <c r="T940" s="27" t="n"/>
      <c r="U940" s="28" t="inlineStr">
        <is>
          <t>No</t>
        </is>
      </c>
      <c r="V940" s="29">
        <f>IF(N940="","",IF(Q940="Yes","❌ Disc",IF(P940="No","⚠ Missing",IF(S940="Yes","✓ OK","⚠ Check"))))</f>
        <v/>
      </c>
      <c r="W940" s="65" t="n">
        <v>46248</v>
      </c>
      <c r="X940" s="30" t="inlineStr">
        <is>
          <t>Sunil CR</t>
        </is>
      </c>
      <c r="Y940" s="30" t="inlineStr">
        <is>
          <t>Yes</t>
        </is>
      </c>
      <c r="Z940" s="30" t="n"/>
      <c r="AA940" s="30" t="inlineStr">
        <is>
          <t>Good finish</t>
        </is>
      </c>
      <c r="AB940" s="30" t="inlineStr">
        <is>
          <t>Yes</t>
        </is>
      </c>
      <c r="AC940" s="27" t="n"/>
      <c r="AD940" s="31" t="inlineStr">
        <is>
          <t>No</t>
        </is>
      </c>
      <c r="AE940" s="32">
        <f>IF(W940="","",IF(Z940="Yes","❌ Disc",IF(Y940="No","⚠ Missing",IF(AB940="Yes","✓ OK","⚠ Check"))))</f>
        <v/>
      </c>
      <c r="AF940" s="33" t="n"/>
      <c r="AG940" s="33" t="n"/>
      <c r="AH940" s="33" t="n"/>
      <c r="AI940" s="33" t="n"/>
      <c r="AJ940" s="33" t="n"/>
      <c r="AK940" s="33" t="n"/>
      <c r="AL940" s="27" t="n"/>
      <c r="AM940" s="34" t="n"/>
      <c r="AN940" s="35">
        <f>IF(AF940="","",IF(AI940="Yes","❌ Disc",IF(AH940="No","⚠ Missing",IF(AK940="Yes","✓ OK","⚠ Check"))))</f>
        <v/>
      </c>
      <c r="AO940" s="36" t="n"/>
      <c r="AP940" s="36" t="n"/>
      <c r="AQ940" s="36" t="n"/>
      <c r="AR940" s="36" t="n"/>
      <c r="AS940" s="36" t="n"/>
      <c r="AT940" s="36" t="n"/>
      <c r="AU940" s="27" t="n"/>
      <c r="AV940" s="37" t="n"/>
      <c r="AW940" s="38">
        <f>IF(AO940="","",IF(AR940="Yes","❌ Disc",IF(AQ940="No","⚠ Missing",IF(AT940="Yes","✓ OK","⚠ Check"))))</f>
        <v/>
      </c>
    </row>
    <row r="941" ht="18" customHeight="1" s="46">
      <c r="A941" s="23" t="n">
        <v>937</v>
      </c>
      <c r="B941" s="24" t="inlineStr">
        <is>
          <t>WP LNCCN329180</t>
        </is>
      </c>
      <c r="C941" s="25" t="inlineStr">
        <is>
          <t>Life n Colors - Riwayaat, Rich Indian Theme Room Wallpaper  -  Canvas - a texture paper</t>
        </is>
      </c>
      <c r="D941" s="23" t="inlineStr">
        <is>
          <t>Life n Colors</t>
        </is>
      </c>
      <c r="E941" s="43" t="n">
        <v>46126</v>
      </c>
      <c r="F941" s="26" t="inlineStr">
        <is>
          <t>Sunil CR</t>
        </is>
      </c>
      <c r="G941" s="26" t="inlineStr">
        <is>
          <t>Yes</t>
        </is>
      </c>
      <c r="H941" s="26" t="inlineStr">
        <is>
          <t>No</t>
        </is>
      </c>
      <c r="I941" s="26" t="inlineStr">
        <is>
          <t>Good finish</t>
        </is>
      </c>
      <c r="J941" s="26" t="inlineStr">
        <is>
          <t>Yes</t>
        </is>
      </c>
      <c r="K941" s="27" t="n"/>
      <c r="L941" s="28" t="inlineStr">
        <is>
          <t>No</t>
        </is>
      </c>
      <c r="M941" s="29">
        <f>IF(E941="","",IF(H941="Yes","❌ Disc",IF(G941="No","⚠ Missing",IF(J941="Yes","✓ OK","⚠ Check"))))</f>
        <v/>
      </c>
      <c r="N941" s="43" t="n">
        <v>46193</v>
      </c>
      <c r="O941" s="26" t="inlineStr">
        <is>
          <t>Sunil CR</t>
        </is>
      </c>
      <c r="P941" s="26" t="inlineStr">
        <is>
          <t>Yes</t>
        </is>
      </c>
      <c r="Q941" s="26" t="inlineStr">
        <is>
          <t>No</t>
        </is>
      </c>
      <c r="R941" s="26" t="inlineStr">
        <is>
          <t>Good finish</t>
        </is>
      </c>
      <c r="S941" s="26" t="inlineStr">
        <is>
          <t>Yes</t>
        </is>
      </c>
      <c r="T941" s="27" t="n"/>
      <c r="U941" s="28" t="inlineStr">
        <is>
          <t>No</t>
        </is>
      </c>
      <c r="V941" s="29">
        <f>IF(N941="","",IF(Q941="Yes","❌ Disc",IF(P941="No","⚠ Missing",IF(S941="Yes","✓ OK","⚠ Check"))))</f>
        <v/>
      </c>
      <c r="W941" s="65" t="n">
        <v>46248</v>
      </c>
      <c r="X941" s="30" t="inlineStr">
        <is>
          <t>Sunil CR</t>
        </is>
      </c>
      <c r="Y941" s="30" t="inlineStr">
        <is>
          <t>Yes</t>
        </is>
      </c>
      <c r="Z941" s="30" t="n"/>
      <c r="AA941" s="30" t="inlineStr">
        <is>
          <t>Good finish</t>
        </is>
      </c>
      <c r="AB941" s="30" t="inlineStr">
        <is>
          <t>Yes</t>
        </is>
      </c>
      <c r="AC941" s="27" t="n"/>
      <c r="AD941" s="31" t="inlineStr">
        <is>
          <t>No</t>
        </is>
      </c>
      <c r="AE941" s="32">
        <f>IF(W941="","",IF(Z941="Yes","❌ Disc",IF(Y941="No","⚠ Missing",IF(AB941="Yes","✓ OK","⚠ Check"))))</f>
        <v/>
      </c>
      <c r="AF941" s="33" t="n"/>
      <c r="AG941" s="33" t="n"/>
      <c r="AH941" s="33" t="n"/>
      <c r="AI941" s="33" t="n"/>
      <c r="AJ941" s="33" t="n"/>
      <c r="AK941" s="33" t="n"/>
      <c r="AL941" s="27" t="n"/>
      <c r="AM941" s="34" t="n"/>
      <c r="AN941" s="35">
        <f>IF(AF941="","",IF(AI941="Yes","❌ Disc",IF(AH941="No","⚠ Missing",IF(AK941="Yes","✓ OK","⚠ Check"))))</f>
        <v/>
      </c>
      <c r="AO941" s="36" t="n"/>
      <c r="AP941" s="36" t="n"/>
      <c r="AQ941" s="36" t="n"/>
      <c r="AR941" s="36" t="n"/>
      <c r="AS941" s="36" t="n"/>
      <c r="AT941" s="36" t="n"/>
      <c r="AU941" s="27" t="n"/>
      <c r="AV941" s="37" t="n"/>
      <c r="AW941" s="38">
        <f>IF(AO941="","",IF(AR941="Yes","❌ Disc",IF(AQ941="No","⚠ Missing",IF(AT941="Yes","✓ OK","⚠ Check"))))</f>
        <v/>
      </c>
    </row>
    <row r="942" ht="18" customHeight="1" s="46">
      <c r="A942" s="39" t="n">
        <v>938</v>
      </c>
      <c r="B942" s="40" t="inlineStr">
        <is>
          <t>WP LNCCN281525</t>
        </is>
      </c>
      <c r="C942" s="41" t="inlineStr">
        <is>
          <t>Life n Colors - Royal Garden, an Indian Scenic Wallpaper  -  Canvas - a texture paper</t>
        </is>
      </c>
      <c r="D942" s="39" t="inlineStr">
        <is>
          <t>Life n Colors</t>
        </is>
      </c>
      <c r="E942" s="43" t="n">
        <v>46126</v>
      </c>
      <c r="F942" s="26" t="inlineStr">
        <is>
          <t>Sunil CR</t>
        </is>
      </c>
      <c r="G942" s="26" t="inlineStr">
        <is>
          <t>Yes</t>
        </is>
      </c>
      <c r="H942" s="26" t="inlineStr">
        <is>
          <t>No</t>
        </is>
      </c>
      <c r="I942" s="26" t="inlineStr">
        <is>
          <t>Good finish</t>
        </is>
      </c>
      <c r="J942" s="26" t="inlineStr">
        <is>
          <t>Yes</t>
        </is>
      </c>
      <c r="K942" s="27" t="n"/>
      <c r="L942" s="28" t="inlineStr">
        <is>
          <t>No</t>
        </is>
      </c>
      <c r="M942" s="29">
        <f>IF(E942="","",IF(H942="Yes","❌ Disc",IF(G942="No","⚠ Missing",IF(J942="Yes","✓ OK","⚠ Check"))))</f>
        <v/>
      </c>
      <c r="N942" s="43" t="n">
        <v>46193</v>
      </c>
      <c r="O942" s="26" t="inlineStr">
        <is>
          <t>Sunil CR</t>
        </is>
      </c>
      <c r="P942" s="26" t="inlineStr">
        <is>
          <t>Yes</t>
        </is>
      </c>
      <c r="Q942" s="26" t="inlineStr">
        <is>
          <t>No</t>
        </is>
      </c>
      <c r="R942" s="26" t="inlineStr">
        <is>
          <t>Good finish</t>
        </is>
      </c>
      <c r="S942" s="26" t="inlineStr">
        <is>
          <t>Yes</t>
        </is>
      </c>
      <c r="T942" s="27" t="n"/>
      <c r="U942" s="28" t="inlineStr">
        <is>
          <t>No</t>
        </is>
      </c>
      <c r="V942" s="29">
        <f>IF(N942="","",IF(Q942="Yes","❌ Disc",IF(P942="No","⚠ Missing",IF(S942="Yes","✓ OK","⚠ Check"))))</f>
        <v/>
      </c>
      <c r="W942" s="65" t="n">
        <v>46248</v>
      </c>
      <c r="X942" s="30" t="inlineStr">
        <is>
          <t>Sunil CR</t>
        </is>
      </c>
      <c r="Y942" s="30" t="inlineStr">
        <is>
          <t>Yes</t>
        </is>
      </c>
      <c r="Z942" s="30" t="n"/>
      <c r="AA942" s="30" t="inlineStr">
        <is>
          <t>Good finish</t>
        </is>
      </c>
      <c r="AB942" s="30" t="inlineStr">
        <is>
          <t>Yes</t>
        </is>
      </c>
      <c r="AC942" s="27" t="n"/>
      <c r="AD942" s="31" t="inlineStr">
        <is>
          <t>No</t>
        </is>
      </c>
      <c r="AE942" s="32">
        <f>IF(W942="","",IF(Z942="Yes","❌ Disc",IF(Y942="No","⚠ Missing",IF(AB942="Yes","✓ OK","⚠ Check"))))</f>
        <v/>
      </c>
      <c r="AF942" s="33" t="n"/>
      <c r="AG942" s="33" t="n"/>
      <c r="AH942" s="33" t="n"/>
      <c r="AI942" s="33" t="n"/>
      <c r="AJ942" s="33" t="n"/>
      <c r="AK942" s="33" t="n"/>
      <c r="AL942" s="27" t="n"/>
      <c r="AM942" s="34" t="n"/>
      <c r="AN942" s="35">
        <f>IF(AF942="","",IF(AI942="Yes","❌ Disc",IF(AH942="No","⚠ Missing",IF(AK942="Yes","✓ OK","⚠ Check"))))</f>
        <v/>
      </c>
      <c r="AO942" s="36" t="n"/>
      <c r="AP942" s="36" t="n"/>
      <c r="AQ942" s="36" t="n"/>
      <c r="AR942" s="36" t="n"/>
      <c r="AS942" s="36" t="n"/>
      <c r="AT942" s="36" t="n"/>
      <c r="AU942" s="27" t="n"/>
      <c r="AV942" s="37" t="n"/>
      <c r="AW942" s="38">
        <f>IF(AO942="","",IF(AR942="Yes","❌ Disc",IF(AQ942="No","⚠ Missing",IF(AT942="Yes","✓ OK","⚠ Check"))))</f>
        <v/>
      </c>
    </row>
    <row r="943" ht="18" customHeight="1" s="46">
      <c r="A943" s="23" t="n">
        <v>939</v>
      </c>
      <c r="B943" s="24" t="inlineStr">
        <is>
          <t>WP LNCCN1055968</t>
        </is>
      </c>
      <c r="C943" s="25" t="inlineStr">
        <is>
          <t>Life n Colors - Royal Pattern, Green Wallpaper, India, Customised  -  Canvas - a texture paper</t>
        </is>
      </c>
      <c r="D943" s="23" t="inlineStr">
        <is>
          <t>Life n Colors</t>
        </is>
      </c>
      <c r="E943" s="43" t="n">
        <v>46126</v>
      </c>
      <c r="F943" s="26" t="inlineStr">
        <is>
          <t>Sunil CR</t>
        </is>
      </c>
      <c r="G943" s="26" t="inlineStr">
        <is>
          <t>Yes</t>
        </is>
      </c>
      <c r="H943" s="26" t="inlineStr">
        <is>
          <t>No</t>
        </is>
      </c>
      <c r="I943" s="26" t="inlineStr">
        <is>
          <t>Good finish</t>
        </is>
      </c>
      <c r="J943" s="26" t="inlineStr">
        <is>
          <t>Yes</t>
        </is>
      </c>
      <c r="K943" s="27" t="n"/>
      <c r="L943" s="28" t="inlineStr">
        <is>
          <t>No</t>
        </is>
      </c>
      <c r="M943" s="29">
        <f>IF(E943="","",IF(H943="Yes","❌ Disc",IF(G943="No","⚠ Missing",IF(J943="Yes","✓ OK","⚠ Check"))))</f>
        <v/>
      </c>
      <c r="N943" s="43" t="n">
        <v>46193</v>
      </c>
      <c r="O943" s="26" t="inlineStr">
        <is>
          <t>Sunil CR</t>
        </is>
      </c>
      <c r="P943" s="26" t="inlineStr">
        <is>
          <t>Yes</t>
        </is>
      </c>
      <c r="Q943" s="26" t="inlineStr">
        <is>
          <t>No</t>
        </is>
      </c>
      <c r="R943" s="26" t="inlineStr">
        <is>
          <t>Good finish</t>
        </is>
      </c>
      <c r="S943" s="26" t="inlineStr">
        <is>
          <t>Yes</t>
        </is>
      </c>
      <c r="T943" s="27" t="n"/>
      <c r="U943" s="28" t="inlineStr">
        <is>
          <t>No</t>
        </is>
      </c>
      <c r="V943" s="29">
        <f>IF(N943="","",IF(Q943="Yes","❌ Disc",IF(P943="No","⚠ Missing",IF(S943="Yes","✓ OK","⚠ Check"))))</f>
        <v/>
      </c>
      <c r="W943" s="65" t="n">
        <v>46248</v>
      </c>
      <c r="X943" s="30" t="inlineStr">
        <is>
          <t>Sunil CR</t>
        </is>
      </c>
      <c r="Y943" s="30" t="inlineStr">
        <is>
          <t>Yes</t>
        </is>
      </c>
      <c r="Z943" s="30" t="n"/>
      <c r="AA943" s="30" t="inlineStr">
        <is>
          <t>Good finish</t>
        </is>
      </c>
      <c r="AB943" s="30" t="inlineStr">
        <is>
          <t>Yes</t>
        </is>
      </c>
      <c r="AC943" s="27" t="n"/>
      <c r="AD943" s="31" t="inlineStr">
        <is>
          <t>No</t>
        </is>
      </c>
      <c r="AE943" s="32">
        <f>IF(W943="","",IF(Z943="Yes","❌ Disc",IF(Y943="No","⚠ Missing",IF(AB943="Yes","✓ OK","⚠ Check"))))</f>
        <v/>
      </c>
      <c r="AF943" s="33" t="n"/>
      <c r="AG943" s="33" t="n"/>
      <c r="AH943" s="33" t="n"/>
      <c r="AI943" s="33" t="n"/>
      <c r="AJ943" s="33" t="n"/>
      <c r="AK943" s="33" t="n"/>
      <c r="AL943" s="27" t="n"/>
      <c r="AM943" s="34" t="n"/>
      <c r="AN943" s="35">
        <f>IF(AF943="","",IF(AI943="Yes","❌ Disc",IF(AH943="No","⚠ Missing",IF(AK943="Yes","✓ OK","⚠ Check"))))</f>
        <v/>
      </c>
      <c r="AO943" s="36" t="n"/>
      <c r="AP943" s="36" t="n"/>
      <c r="AQ943" s="36" t="n"/>
      <c r="AR943" s="36" t="n"/>
      <c r="AS943" s="36" t="n"/>
      <c r="AT943" s="36" t="n"/>
      <c r="AU943" s="27" t="n"/>
      <c r="AV943" s="37" t="n"/>
      <c r="AW943" s="38">
        <f>IF(AO943="","",IF(AR943="Yes","❌ Disc",IF(AQ943="No","⚠ Missing",IF(AT943="Yes","✓ OK","⚠ Check"))))</f>
        <v/>
      </c>
    </row>
    <row r="944" ht="18" customHeight="1" s="46">
      <c r="A944" s="39" t="n">
        <v>940</v>
      </c>
      <c r="B944" s="40" t="inlineStr">
        <is>
          <t>WP LNCSF1055968</t>
        </is>
      </c>
      <c r="C944" s="41" t="inlineStr">
        <is>
          <t>Life n Colors - Royal Pattern, Green Wallpaper, India, Customised  - Non-woven - a soft feel paper</t>
        </is>
      </c>
      <c r="D944" s="39" t="inlineStr">
        <is>
          <t>Life n Colors</t>
        </is>
      </c>
      <c r="E944" s="43" t="n">
        <v>46126</v>
      </c>
      <c r="F944" s="26" t="inlineStr">
        <is>
          <t>Sunil CR</t>
        </is>
      </c>
      <c r="G944" s="26" t="inlineStr">
        <is>
          <t>Yes</t>
        </is>
      </c>
      <c r="H944" s="26" t="inlineStr">
        <is>
          <t>No</t>
        </is>
      </c>
      <c r="I944" s="26" t="inlineStr">
        <is>
          <t>Good finish</t>
        </is>
      </c>
      <c r="J944" s="26" t="inlineStr">
        <is>
          <t>Yes</t>
        </is>
      </c>
      <c r="K944" s="27" t="n"/>
      <c r="L944" s="28" t="inlineStr">
        <is>
          <t>No</t>
        </is>
      </c>
      <c r="M944" s="29">
        <f>IF(E944="","",IF(H944="Yes","❌ Disc",IF(G944="No","⚠ Missing",IF(J944="Yes","✓ OK","⚠ Check"))))</f>
        <v/>
      </c>
      <c r="N944" s="43" t="n">
        <v>46193</v>
      </c>
      <c r="O944" s="26" t="inlineStr">
        <is>
          <t>Sunil CR</t>
        </is>
      </c>
      <c r="P944" s="26" t="inlineStr">
        <is>
          <t>Yes</t>
        </is>
      </c>
      <c r="Q944" s="26" t="inlineStr">
        <is>
          <t>No</t>
        </is>
      </c>
      <c r="R944" s="26" t="inlineStr">
        <is>
          <t>Good finish</t>
        </is>
      </c>
      <c r="S944" s="26" t="inlineStr">
        <is>
          <t>Yes</t>
        </is>
      </c>
      <c r="T944" s="27" t="n"/>
      <c r="U944" s="28" t="inlineStr">
        <is>
          <t>No</t>
        </is>
      </c>
      <c r="V944" s="29">
        <f>IF(N944="","",IF(Q944="Yes","❌ Disc",IF(P944="No","⚠ Missing",IF(S944="Yes","✓ OK","⚠ Check"))))</f>
        <v/>
      </c>
      <c r="W944" s="65" t="n">
        <v>46248</v>
      </c>
      <c r="X944" s="30" t="inlineStr">
        <is>
          <t>Sunil CR</t>
        </is>
      </c>
      <c r="Y944" s="30" t="inlineStr">
        <is>
          <t>Yes</t>
        </is>
      </c>
      <c r="Z944" s="30" t="n"/>
      <c r="AA944" s="30" t="inlineStr">
        <is>
          <t>Good finish</t>
        </is>
      </c>
      <c r="AB944" s="30" t="inlineStr">
        <is>
          <t>Yes</t>
        </is>
      </c>
      <c r="AC944" s="27" t="n"/>
      <c r="AD944" s="31" t="inlineStr">
        <is>
          <t>No</t>
        </is>
      </c>
      <c r="AE944" s="32">
        <f>IF(W944="","",IF(Z944="Yes","❌ Disc",IF(Y944="No","⚠ Missing",IF(AB944="Yes","✓ OK","⚠ Check"))))</f>
        <v/>
      </c>
      <c r="AF944" s="33" t="n"/>
      <c r="AG944" s="33" t="n"/>
      <c r="AH944" s="33" t="n"/>
      <c r="AI944" s="33" t="n"/>
      <c r="AJ944" s="33" t="n"/>
      <c r="AK944" s="33" t="n"/>
      <c r="AL944" s="27" t="n"/>
      <c r="AM944" s="34" t="n"/>
      <c r="AN944" s="35">
        <f>IF(AF944="","",IF(AI944="Yes","❌ Disc",IF(AH944="No","⚠ Missing",IF(AK944="Yes","✓ OK","⚠ Check"))))</f>
        <v/>
      </c>
      <c r="AO944" s="36" t="n"/>
      <c r="AP944" s="36" t="n"/>
      <c r="AQ944" s="36" t="n"/>
      <c r="AR944" s="36" t="n"/>
      <c r="AS944" s="36" t="n"/>
      <c r="AT944" s="36" t="n"/>
      <c r="AU944" s="27" t="n"/>
      <c r="AV944" s="37" t="n"/>
      <c r="AW944" s="38">
        <f>IF(AO944="","",IF(AR944="Yes","❌ Disc",IF(AQ944="No","⚠ Missing",IF(AT944="Yes","✓ OK","⚠ Check"))))</f>
        <v/>
      </c>
    </row>
    <row r="945" ht="18" customHeight="1" s="46">
      <c r="A945" s="23" t="n">
        <v>941</v>
      </c>
      <c r="B945" s="24" t="inlineStr">
        <is>
          <t>WP LNCCN396653</t>
        </is>
      </c>
      <c r="C945" s="25" t="inlineStr">
        <is>
          <t>Life n Colors - Sayonee, Nature Theme Wallpaper for Walls  -  Canvas - a texture paper</t>
        </is>
      </c>
      <c r="D945" s="23" t="inlineStr">
        <is>
          <t>Life n Colors</t>
        </is>
      </c>
      <c r="E945" s="43" t="n">
        <v>46126</v>
      </c>
      <c r="F945" s="26" t="inlineStr">
        <is>
          <t>Sunil CR</t>
        </is>
      </c>
      <c r="G945" s="26" t="inlineStr">
        <is>
          <t>Yes</t>
        </is>
      </c>
      <c r="H945" s="26" t="inlineStr">
        <is>
          <t>No</t>
        </is>
      </c>
      <c r="I945" s="26" t="inlineStr">
        <is>
          <t>Good finish</t>
        </is>
      </c>
      <c r="J945" s="26" t="inlineStr">
        <is>
          <t>Yes</t>
        </is>
      </c>
      <c r="K945" s="27" t="n"/>
      <c r="L945" s="28" t="inlineStr">
        <is>
          <t>No</t>
        </is>
      </c>
      <c r="M945" s="29">
        <f>IF(E945="","",IF(H945="Yes","❌ Disc",IF(G945="No","⚠ Missing",IF(J945="Yes","✓ OK","⚠ Check"))))</f>
        <v/>
      </c>
      <c r="N945" s="43" t="n">
        <v>46193</v>
      </c>
      <c r="O945" s="26" t="inlineStr">
        <is>
          <t>Sunil CR</t>
        </is>
      </c>
      <c r="P945" s="26" t="inlineStr">
        <is>
          <t>Yes</t>
        </is>
      </c>
      <c r="Q945" s="26" t="inlineStr">
        <is>
          <t>No</t>
        </is>
      </c>
      <c r="R945" s="26" t="inlineStr">
        <is>
          <t>Good finish</t>
        </is>
      </c>
      <c r="S945" s="26" t="inlineStr">
        <is>
          <t>Yes</t>
        </is>
      </c>
      <c r="T945" s="27" t="n"/>
      <c r="U945" s="28" t="inlineStr">
        <is>
          <t>No</t>
        </is>
      </c>
      <c r="V945" s="29">
        <f>IF(N945="","",IF(Q945="Yes","❌ Disc",IF(P945="No","⚠ Missing",IF(S945="Yes","✓ OK","⚠ Check"))))</f>
        <v/>
      </c>
      <c r="W945" s="65" t="n">
        <v>46248</v>
      </c>
      <c r="X945" s="30" t="inlineStr">
        <is>
          <t>Sunil CR</t>
        </is>
      </c>
      <c r="Y945" s="30" t="inlineStr">
        <is>
          <t>Yes</t>
        </is>
      </c>
      <c r="Z945" s="30" t="n"/>
      <c r="AA945" s="30" t="inlineStr">
        <is>
          <t>Good finish</t>
        </is>
      </c>
      <c r="AB945" s="30" t="inlineStr">
        <is>
          <t>Yes</t>
        </is>
      </c>
      <c r="AC945" s="27" t="n"/>
      <c r="AD945" s="31" t="inlineStr">
        <is>
          <t>No</t>
        </is>
      </c>
      <c r="AE945" s="32">
        <f>IF(W945="","",IF(Z945="Yes","❌ Disc",IF(Y945="No","⚠ Missing",IF(AB945="Yes","✓ OK","⚠ Check"))))</f>
        <v/>
      </c>
      <c r="AF945" s="33" t="n"/>
      <c r="AG945" s="33" t="n"/>
      <c r="AH945" s="33" t="n"/>
      <c r="AI945" s="33" t="n"/>
      <c r="AJ945" s="33" t="n"/>
      <c r="AK945" s="33" t="n"/>
      <c r="AL945" s="27" t="n"/>
      <c r="AM945" s="34" t="n"/>
      <c r="AN945" s="35">
        <f>IF(AF945="","",IF(AI945="Yes","❌ Disc",IF(AH945="No","⚠ Missing",IF(AK945="Yes","✓ OK","⚠ Check"))))</f>
        <v/>
      </c>
      <c r="AO945" s="36" t="n"/>
      <c r="AP945" s="36" t="n"/>
      <c r="AQ945" s="36" t="n"/>
      <c r="AR945" s="36" t="n"/>
      <c r="AS945" s="36" t="n"/>
      <c r="AT945" s="36" t="n"/>
      <c r="AU945" s="27" t="n"/>
      <c r="AV945" s="37" t="n"/>
      <c r="AW945" s="38">
        <f>IF(AO945="","",IF(AR945="Yes","❌ Disc",IF(AQ945="No","⚠ Missing",IF(AT945="Yes","✓ OK","⚠ Check"))))</f>
        <v/>
      </c>
    </row>
    <row r="946" ht="18" customHeight="1" s="46">
      <c r="A946" s="39" t="n">
        <v>942</v>
      </c>
      <c r="B946" s="40" t="inlineStr">
        <is>
          <t>WP LNCSF1099374</t>
        </is>
      </c>
      <c r="C946" s="41" t="inlineStr">
        <is>
          <t>Life n Colors - Seamless Blue Turkish Tile Pattern Wallpaper</t>
        </is>
      </c>
      <c r="D946" s="39" t="inlineStr">
        <is>
          <t>Life n Colors</t>
        </is>
      </c>
      <c r="E946" s="43" t="n">
        <v>46126</v>
      </c>
      <c r="F946" s="26" t="inlineStr">
        <is>
          <t>Sunil CR</t>
        </is>
      </c>
      <c r="G946" s="26" t="inlineStr">
        <is>
          <t>Yes</t>
        </is>
      </c>
      <c r="H946" s="26" t="inlineStr">
        <is>
          <t>No</t>
        </is>
      </c>
      <c r="I946" s="26" t="inlineStr">
        <is>
          <t>Good finish</t>
        </is>
      </c>
      <c r="J946" s="26" t="inlineStr">
        <is>
          <t>Yes</t>
        </is>
      </c>
      <c r="K946" s="27" t="n"/>
      <c r="L946" s="28" t="inlineStr">
        <is>
          <t>No</t>
        </is>
      </c>
      <c r="M946" s="29">
        <f>IF(E946="","",IF(H946="Yes","❌ Disc",IF(G946="No","⚠ Missing",IF(J946="Yes","✓ OK","⚠ Check"))))</f>
        <v/>
      </c>
      <c r="N946" s="43" t="n">
        <v>46193</v>
      </c>
      <c r="O946" s="26" t="inlineStr">
        <is>
          <t>Sunil CR</t>
        </is>
      </c>
      <c r="P946" s="26" t="inlineStr">
        <is>
          <t>Yes</t>
        </is>
      </c>
      <c r="Q946" s="26" t="inlineStr">
        <is>
          <t>No</t>
        </is>
      </c>
      <c r="R946" s="26" t="inlineStr">
        <is>
          <t>Good finish</t>
        </is>
      </c>
      <c r="S946" s="26" t="inlineStr">
        <is>
          <t>Yes</t>
        </is>
      </c>
      <c r="T946" s="27" t="n"/>
      <c r="U946" s="28" t="inlineStr">
        <is>
          <t>No</t>
        </is>
      </c>
      <c r="V946" s="29">
        <f>IF(N946="","",IF(Q946="Yes","❌ Disc",IF(P946="No","⚠ Missing",IF(S946="Yes","✓ OK","⚠ Check"))))</f>
        <v/>
      </c>
      <c r="W946" s="65" t="n">
        <v>46248</v>
      </c>
      <c r="X946" s="30" t="inlineStr">
        <is>
          <t>Sunil CR</t>
        </is>
      </c>
      <c r="Y946" s="30" t="inlineStr">
        <is>
          <t>Yes</t>
        </is>
      </c>
      <c r="Z946" s="30" t="n"/>
      <c r="AA946" s="30" t="inlineStr">
        <is>
          <t>Good finish</t>
        </is>
      </c>
      <c r="AB946" s="30" t="inlineStr">
        <is>
          <t>Yes</t>
        </is>
      </c>
      <c r="AC946" s="27" t="n"/>
      <c r="AD946" s="31" t="inlineStr">
        <is>
          <t>No</t>
        </is>
      </c>
      <c r="AE946" s="32">
        <f>IF(W946="","",IF(Z946="Yes","❌ Disc",IF(Y946="No","⚠ Missing",IF(AB946="Yes","✓ OK","⚠ Check"))))</f>
        <v/>
      </c>
      <c r="AF946" s="33" t="n"/>
      <c r="AG946" s="33" t="n"/>
      <c r="AH946" s="33" t="n"/>
      <c r="AI946" s="33" t="n"/>
      <c r="AJ946" s="33" t="n"/>
      <c r="AK946" s="33" t="n"/>
      <c r="AL946" s="27" t="n"/>
      <c r="AM946" s="34" t="n"/>
      <c r="AN946" s="35">
        <f>IF(AF946="","",IF(AI946="Yes","❌ Disc",IF(AH946="No","⚠ Missing",IF(AK946="Yes","✓ OK","⚠ Check"))))</f>
        <v/>
      </c>
      <c r="AO946" s="36" t="n"/>
      <c r="AP946" s="36" t="n"/>
      <c r="AQ946" s="36" t="n"/>
      <c r="AR946" s="36" t="n"/>
      <c r="AS946" s="36" t="n"/>
      <c r="AT946" s="36" t="n"/>
      <c r="AU946" s="27" t="n"/>
      <c r="AV946" s="37" t="n"/>
      <c r="AW946" s="38">
        <f>IF(AO946="","",IF(AR946="Yes","❌ Disc",IF(AQ946="No","⚠ Missing",IF(AT946="Yes","✓ OK","⚠ Check"))))</f>
        <v/>
      </c>
    </row>
    <row r="947" ht="18" customHeight="1" s="46">
      <c r="A947" s="23" t="n">
        <v>943</v>
      </c>
      <c r="B947" s="24" t="inlineStr">
        <is>
          <t>WP LNCCN1078622</t>
        </is>
      </c>
      <c r="C947" s="25" t="inlineStr">
        <is>
          <t>Life n Colors - Seamless Blue Turkish Tile Pattern, Customised Wallpaper  -  Canvas - a texture paper</t>
        </is>
      </c>
      <c r="D947" s="23" t="inlineStr">
        <is>
          <t>Life n Colors</t>
        </is>
      </c>
      <c r="E947" s="43" t="n">
        <v>46126</v>
      </c>
      <c r="F947" s="26" t="inlineStr">
        <is>
          <t>Sunil CR</t>
        </is>
      </c>
      <c r="G947" s="26" t="inlineStr">
        <is>
          <t>Yes</t>
        </is>
      </c>
      <c r="H947" s="26" t="inlineStr">
        <is>
          <t>No</t>
        </is>
      </c>
      <c r="I947" s="26" t="inlineStr">
        <is>
          <t>Good finish</t>
        </is>
      </c>
      <c r="J947" s="26" t="inlineStr">
        <is>
          <t>Yes</t>
        </is>
      </c>
      <c r="K947" s="27" t="n"/>
      <c r="L947" s="28" t="inlineStr">
        <is>
          <t>No</t>
        </is>
      </c>
      <c r="M947" s="29">
        <f>IF(E947="","",IF(H947="Yes","❌ Disc",IF(G947="No","⚠ Missing",IF(J947="Yes","✓ OK","⚠ Check"))))</f>
        <v/>
      </c>
      <c r="N947" s="43" t="n">
        <v>46193</v>
      </c>
      <c r="O947" s="26" t="inlineStr">
        <is>
          <t>Sunil CR</t>
        </is>
      </c>
      <c r="P947" s="26" t="inlineStr">
        <is>
          <t>Yes</t>
        </is>
      </c>
      <c r="Q947" s="26" t="inlineStr">
        <is>
          <t>No</t>
        </is>
      </c>
      <c r="R947" s="26" t="inlineStr">
        <is>
          <t>Good finish</t>
        </is>
      </c>
      <c r="S947" s="26" t="inlineStr">
        <is>
          <t>Yes</t>
        </is>
      </c>
      <c r="T947" s="27" t="n"/>
      <c r="U947" s="28" t="inlineStr">
        <is>
          <t>No</t>
        </is>
      </c>
      <c r="V947" s="29">
        <f>IF(N947="","",IF(Q947="Yes","❌ Disc",IF(P947="No","⚠ Missing",IF(S947="Yes","✓ OK","⚠ Check"))))</f>
        <v/>
      </c>
      <c r="W947" s="65" t="n">
        <v>46248</v>
      </c>
      <c r="X947" s="30" t="inlineStr">
        <is>
          <t>Sunil CR</t>
        </is>
      </c>
      <c r="Y947" s="30" t="inlineStr">
        <is>
          <t>Yes</t>
        </is>
      </c>
      <c r="Z947" s="30" t="n"/>
      <c r="AA947" s="30" t="inlineStr">
        <is>
          <t>Good finish</t>
        </is>
      </c>
      <c r="AB947" s="30" t="inlineStr">
        <is>
          <t>Yes</t>
        </is>
      </c>
      <c r="AC947" s="27" t="n"/>
      <c r="AD947" s="31" t="inlineStr">
        <is>
          <t>No</t>
        </is>
      </c>
      <c r="AE947" s="32">
        <f>IF(W947="","",IF(Z947="Yes","❌ Disc",IF(Y947="No","⚠ Missing",IF(AB947="Yes","✓ OK","⚠ Check"))))</f>
        <v/>
      </c>
      <c r="AF947" s="33" t="n"/>
      <c r="AG947" s="33" t="n"/>
      <c r="AH947" s="33" t="n"/>
      <c r="AI947" s="33" t="n"/>
      <c r="AJ947" s="33" t="n"/>
      <c r="AK947" s="33" t="n"/>
      <c r="AL947" s="27" t="n"/>
      <c r="AM947" s="34" t="n"/>
      <c r="AN947" s="35">
        <f>IF(AF947="","",IF(AI947="Yes","❌ Disc",IF(AH947="No","⚠ Missing",IF(AK947="Yes","✓ OK","⚠ Check"))))</f>
        <v/>
      </c>
      <c r="AO947" s="36" t="n"/>
      <c r="AP947" s="36" t="n"/>
      <c r="AQ947" s="36" t="n"/>
      <c r="AR947" s="36" t="n"/>
      <c r="AS947" s="36" t="n"/>
      <c r="AT947" s="36" t="n"/>
      <c r="AU947" s="27" t="n"/>
      <c r="AV947" s="37" t="n"/>
      <c r="AW947" s="38">
        <f>IF(AO947="","",IF(AR947="Yes","❌ Disc",IF(AQ947="No","⚠ Missing",IF(AT947="Yes","✓ OK","⚠ Check"))))</f>
        <v/>
      </c>
    </row>
    <row r="948" ht="18" customHeight="1" s="46">
      <c r="A948" s="39" t="n">
        <v>944</v>
      </c>
      <c r="B948" s="40" t="inlineStr">
        <is>
          <t>WP LNCSF1078622</t>
        </is>
      </c>
      <c r="C948" s="41" t="inlineStr">
        <is>
          <t>Life n Colors - Seamless Blue Turkish Tile Pattern, Customised Wallpaper  - Non-woven - a soft feel paper</t>
        </is>
      </c>
      <c r="D948" s="39" t="inlineStr">
        <is>
          <t>Life n Colors</t>
        </is>
      </c>
      <c r="E948" s="43" t="n">
        <v>46126</v>
      </c>
      <c r="F948" s="26" t="inlineStr">
        <is>
          <t>Sunil CR</t>
        </is>
      </c>
      <c r="G948" s="26" t="inlineStr">
        <is>
          <t>Yes</t>
        </is>
      </c>
      <c r="H948" s="26" t="inlineStr">
        <is>
          <t>No</t>
        </is>
      </c>
      <c r="I948" s="26" t="inlineStr">
        <is>
          <t>Good finish</t>
        </is>
      </c>
      <c r="J948" s="26" t="inlineStr">
        <is>
          <t>Yes</t>
        </is>
      </c>
      <c r="K948" s="27" t="n"/>
      <c r="L948" s="28" t="inlineStr">
        <is>
          <t>No</t>
        </is>
      </c>
      <c r="M948" s="29">
        <f>IF(E948="","",IF(H948="Yes","❌ Disc",IF(G948="No","⚠ Missing",IF(J948="Yes","✓ OK","⚠ Check"))))</f>
        <v/>
      </c>
      <c r="N948" s="43" t="n">
        <v>46193</v>
      </c>
      <c r="O948" s="26" t="inlineStr">
        <is>
          <t>Sunil CR</t>
        </is>
      </c>
      <c r="P948" s="26" t="inlineStr">
        <is>
          <t>Yes</t>
        </is>
      </c>
      <c r="Q948" s="26" t="inlineStr">
        <is>
          <t>No</t>
        </is>
      </c>
      <c r="R948" s="26" t="inlineStr">
        <is>
          <t>Good finish</t>
        </is>
      </c>
      <c r="S948" s="26" t="inlineStr">
        <is>
          <t>Yes</t>
        </is>
      </c>
      <c r="T948" s="27" t="n"/>
      <c r="U948" s="28" t="inlineStr">
        <is>
          <t>No</t>
        </is>
      </c>
      <c r="V948" s="29">
        <f>IF(N948="","",IF(Q948="Yes","❌ Disc",IF(P948="No","⚠ Missing",IF(S948="Yes","✓ OK","⚠ Check"))))</f>
        <v/>
      </c>
      <c r="W948" s="65" t="n">
        <v>46248</v>
      </c>
      <c r="X948" s="30" t="inlineStr">
        <is>
          <t>Sunil CR</t>
        </is>
      </c>
      <c r="Y948" s="30" t="inlineStr">
        <is>
          <t>Yes</t>
        </is>
      </c>
      <c r="Z948" s="30" t="n"/>
      <c r="AA948" s="30" t="inlineStr">
        <is>
          <t>Good finish</t>
        </is>
      </c>
      <c r="AB948" s="30" t="inlineStr">
        <is>
          <t>Yes</t>
        </is>
      </c>
      <c r="AC948" s="27" t="n"/>
      <c r="AD948" s="31" t="inlineStr">
        <is>
          <t>No</t>
        </is>
      </c>
      <c r="AE948" s="32">
        <f>IF(W948="","",IF(Z948="Yes","❌ Disc",IF(Y948="No","⚠ Missing",IF(AB948="Yes","✓ OK","⚠ Check"))))</f>
        <v/>
      </c>
      <c r="AF948" s="33" t="n"/>
      <c r="AG948" s="33" t="n"/>
      <c r="AH948" s="33" t="n"/>
      <c r="AI948" s="33" t="n"/>
      <c r="AJ948" s="33" t="n"/>
      <c r="AK948" s="33" t="n"/>
      <c r="AL948" s="27" t="n"/>
      <c r="AM948" s="34" t="n"/>
      <c r="AN948" s="35">
        <f>IF(AF948="","",IF(AI948="Yes","❌ Disc",IF(AH948="No","⚠ Missing",IF(AK948="Yes","✓ OK","⚠ Check"))))</f>
        <v/>
      </c>
      <c r="AO948" s="36" t="n"/>
      <c r="AP948" s="36" t="n"/>
      <c r="AQ948" s="36" t="n"/>
      <c r="AR948" s="36" t="n"/>
      <c r="AS948" s="36" t="n"/>
      <c r="AT948" s="36" t="n"/>
      <c r="AU948" s="27" t="n"/>
      <c r="AV948" s="37" t="n"/>
      <c r="AW948" s="38">
        <f>IF(AO948="","",IF(AR948="Yes","❌ Disc",IF(AQ948="No","⚠ Missing",IF(AT948="Yes","✓ OK","⚠ Check"))))</f>
        <v/>
      </c>
    </row>
    <row r="949" ht="18" customHeight="1" s="46">
      <c r="A949" s="23" t="n">
        <v>945</v>
      </c>
      <c r="B949" s="24" t="inlineStr">
        <is>
          <t>WP LNCCN364160</t>
        </is>
      </c>
      <c r="C949" s="25" t="inlineStr">
        <is>
          <t>Life n Colors - Sharmana, Indian Motif Theme Wallpaper  -  Canvas - a texture paper</t>
        </is>
      </c>
      <c r="D949" s="23" t="inlineStr">
        <is>
          <t>Life n Colors</t>
        </is>
      </c>
      <c r="E949" s="43" t="n">
        <v>46126</v>
      </c>
      <c r="F949" s="26" t="inlineStr">
        <is>
          <t>Sunil CR</t>
        </is>
      </c>
      <c r="G949" s="26" t="inlineStr">
        <is>
          <t>Yes</t>
        </is>
      </c>
      <c r="H949" s="26" t="inlineStr">
        <is>
          <t>No</t>
        </is>
      </c>
      <c r="I949" s="26" t="inlineStr">
        <is>
          <t>Good finish</t>
        </is>
      </c>
      <c r="J949" s="26" t="inlineStr">
        <is>
          <t>Yes</t>
        </is>
      </c>
      <c r="K949" s="27" t="n"/>
      <c r="L949" s="28" t="inlineStr">
        <is>
          <t>No</t>
        </is>
      </c>
      <c r="M949" s="29">
        <f>IF(E949="","",IF(H949="Yes","❌ Disc",IF(G949="No","⚠ Missing",IF(J949="Yes","✓ OK","⚠ Check"))))</f>
        <v/>
      </c>
      <c r="N949" s="43" t="n">
        <v>46193</v>
      </c>
      <c r="O949" s="26" t="inlineStr">
        <is>
          <t>Sunil CR</t>
        </is>
      </c>
      <c r="P949" s="26" t="inlineStr">
        <is>
          <t>Yes</t>
        </is>
      </c>
      <c r="Q949" s="26" t="inlineStr">
        <is>
          <t>No</t>
        </is>
      </c>
      <c r="R949" s="26" t="inlineStr">
        <is>
          <t>Good finish</t>
        </is>
      </c>
      <c r="S949" s="26" t="inlineStr">
        <is>
          <t>Yes</t>
        </is>
      </c>
      <c r="T949" s="27" t="n"/>
      <c r="U949" s="28" t="inlineStr">
        <is>
          <t>No</t>
        </is>
      </c>
      <c r="V949" s="29">
        <f>IF(N949="","",IF(Q949="Yes","❌ Disc",IF(P949="No","⚠ Missing",IF(S949="Yes","✓ OK","⚠ Check"))))</f>
        <v/>
      </c>
      <c r="W949" s="65" t="n">
        <v>46248</v>
      </c>
      <c r="X949" s="30" t="inlineStr">
        <is>
          <t>Sunil CR</t>
        </is>
      </c>
      <c r="Y949" s="30" t="inlineStr">
        <is>
          <t>Yes</t>
        </is>
      </c>
      <c r="Z949" s="30" t="n"/>
      <c r="AA949" s="30" t="inlineStr">
        <is>
          <t>Good finish</t>
        </is>
      </c>
      <c r="AB949" s="30" t="inlineStr">
        <is>
          <t>Yes</t>
        </is>
      </c>
      <c r="AC949" s="27" t="n"/>
      <c r="AD949" s="31" t="inlineStr">
        <is>
          <t>No</t>
        </is>
      </c>
      <c r="AE949" s="32">
        <f>IF(W949="","",IF(Z949="Yes","❌ Disc",IF(Y949="No","⚠ Missing",IF(AB949="Yes","✓ OK","⚠ Check"))))</f>
        <v/>
      </c>
      <c r="AF949" s="33" t="n"/>
      <c r="AG949" s="33" t="n"/>
      <c r="AH949" s="33" t="n"/>
      <c r="AI949" s="33" t="n"/>
      <c r="AJ949" s="33" t="n"/>
      <c r="AK949" s="33" t="n"/>
      <c r="AL949" s="27" t="n"/>
      <c r="AM949" s="34" t="n"/>
      <c r="AN949" s="35">
        <f>IF(AF949="","",IF(AI949="Yes","❌ Disc",IF(AH949="No","⚠ Missing",IF(AK949="Yes","✓ OK","⚠ Check"))))</f>
        <v/>
      </c>
      <c r="AO949" s="36" t="n"/>
      <c r="AP949" s="36" t="n"/>
      <c r="AQ949" s="36" t="n"/>
      <c r="AR949" s="36" t="n"/>
      <c r="AS949" s="36" t="n"/>
      <c r="AT949" s="36" t="n"/>
      <c r="AU949" s="27" t="n"/>
      <c r="AV949" s="37" t="n"/>
      <c r="AW949" s="38">
        <f>IF(AO949="","",IF(AR949="Yes","❌ Disc",IF(AQ949="No","⚠ Missing",IF(AT949="Yes","✓ OK","⚠ Check"))))</f>
        <v/>
      </c>
    </row>
    <row r="950" ht="18" customHeight="1" s="46">
      <c r="A950" s="39" t="n">
        <v>946</v>
      </c>
      <c r="B950" s="40" t="inlineStr">
        <is>
          <t>WP LNCCN1143572</t>
        </is>
      </c>
      <c r="C950" s="41" t="inlineStr">
        <is>
          <t>Life n Colors - Solar System Space Theme Kids Room Wallpaper  -  Canvas - a texture paper</t>
        </is>
      </c>
      <c r="D950" s="39" t="inlineStr">
        <is>
          <t>Life n Colors</t>
        </is>
      </c>
      <c r="E950" s="43" t="n">
        <v>46126</v>
      </c>
      <c r="F950" s="26" t="inlineStr">
        <is>
          <t>Sunil CR</t>
        </is>
      </c>
      <c r="G950" s="26" t="inlineStr">
        <is>
          <t>Yes</t>
        </is>
      </c>
      <c r="H950" s="26" t="inlineStr">
        <is>
          <t>No</t>
        </is>
      </c>
      <c r="I950" s="26" t="inlineStr">
        <is>
          <t>Good finish</t>
        </is>
      </c>
      <c r="J950" s="26" t="inlineStr">
        <is>
          <t>Yes</t>
        </is>
      </c>
      <c r="K950" s="27" t="n"/>
      <c r="L950" s="28" t="inlineStr">
        <is>
          <t>No</t>
        </is>
      </c>
      <c r="M950" s="29">
        <f>IF(E950="","",IF(H950="Yes","❌ Disc",IF(G950="No","⚠ Missing",IF(J950="Yes","✓ OK","⚠ Check"))))</f>
        <v/>
      </c>
      <c r="N950" s="43" t="n">
        <v>46193</v>
      </c>
      <c r="O950" s="26" t="inlineStr">
        <is>
          <t>Sunil CR</t>
        </is>
      </c>
      <c r="P950" s="26" t="inlineStr">
        <is>
          <t>Yes</t>
        </is>
      </c>
      <c r="Q950" s="26" t="inlineStr">
        <is>
          <t>No</t>
        </is>
      </c>
      <c r="R950" s="26" t="inlineStr">
        <is>
          <t>Good finish</t>
        </is>
      </c>
      <c r="S950" s="26" t="inlineStr">
        <is>
          <t>Yes</t>
        </is>
      </c>
      <c r="T950" s="27" t="n"/>
      <c r="U950" s="28" t="inlineStr">
        <is>
          <t>No</t>
        </is>
      </c>
      <c r="V950" s="29">
        <f>IF(N950="","",IF(Q950="Yes","❌ Disc",IF(P950="No","⚠ Missing",IF(S950="Yes","✓ OK","⚠ Check"))))</f>
        <v/>
      </c>
      <c r="W950" s="65" t="n">
        <v>46248</v>
      </c>
      <c r="X950" s="30" t="inlineStr">
        <is>
          <t>Sunil CR</t>
        </is>
      </c>
      <c r="Y950" s="30" t="inlineStr">
        <is>
          <t>Yes</t>
        </is>
      </c>
      <c r="Z950" s="30" t="n"/>
      <c r="AA950" s="30" t="inlineStr">
        <is>
          <t>Good finish</t>
        </is>
      </c>
      <c r="AB950" s="30" t="inlineStr">
        <is>
          <t>Yes</t>
        </is>
      </c>
      <c r="AC950" s="27" t="n"/>
      <c r="AD950" s="31" t="inlineStr">
        <is>
          <t>No</t>
        </is>
      </c>
      <c r="AE950" s="32">
        <f>IF(W950="","",IF(Z950="Yes","❌ Disc",IF(Y950="No","⚠ Missing",IF(AB950="Yes","✓ OK","⚠ Check"))))</f>
        <v/>
      </c>
      <c r="AF950" s="33" t="n"/>
      <c r="AG950" s="33" t="n"/>
      <c r="AH950" s="33" t="n"/>
      <c r="AI950" s="33" t="n"/>
      <c r="AJ950" s="33" t="n"/>
      <c r="AK950" s="33" t="n"/>
      <c r="AL950" s="27" t="n"/>
      <c r="AM950" s="34" t="n"/>
      <c r="AN950" s="35">
        <f>IF(AF950="","",IF(AI950="Yes","❌ Disc",IF(AH950="No","⚠ Missing",IF(AK950="Yes","✓ OK","⚠ Check"))))</f>
        <v/>
      </c>
      <c r="AO950" s="36" t="n"/>
      <c r="AP950" s="36" t="n"/>
      <c r="AQ950" s="36" t="n"/>
      <c r="AR950" s="36" t="n"/>
      <c r="AS950" s="36" t="n"/>
      <c r="AT950" s="36" t="n"/>
      <c r="AU950" s="27" t="n"/>
      <c r="AV950" s="37" t="n"/>
      <c r="AW950" s="38">
        <f>IF(AO950="","",IF(AR950="Yes","❌ Disc",IF(AQ950="No","⚠ Missing",IF(AT950="Yes","✓ OK","⚠ Check"))))</f>
        <v/>
      </c>
    </row>
    <row r="951" ht="18" customHeight="1" s="46">
      <c r="A951" s="23" t="n">
        <v>947</v>
      </c>
      <c r="B951" s="24" t="inlineStr">
        <is>
          <t>WP LNCSF1143572</t>
        </is>
      </c>
      <c r="C951" s="25" t="inlineStr">
        <is>
          <t>Life n Colors - Solar System Space Theme Kids Room Wallpaper  - Non-woven - a soft feel paper</t>
        </is>
      </c>
      <c r="D951" s="23" t="inlineStr">
        <is>
          <t>Life n Colors</t>
        </is>
      </c>
      <c r="E951" s="43" t="n">
        <v>46126</v>
      </c>
      <c r="F951" s="26" t="inlineStr">
        <is>
          <t>Sunil CR</t>
        </is>
      </c>
      <c r="G951" s="26" t="inlineStr">
        <is>
          <t>Yes</t>
        </is>
      </c>
      <c r="H951" s="26" t="inlineStr">
        <is>
          <t>No</t>
        </is>
      </c>
      <c r="I951" s="26" t="inlineStr">
        <is>
          <t>Good finish</t>
        </is>
      </c>
      <c r="J951" s="26" t="inlineStr">
        <is>
          <t>Yes</t>
        </is>
      </c>
      <c r="K951" s="27" t="n"/>
      <c r="L951" s="28" t="inlineStr">
        <is>
          <t>No</t>
        </is>
      </c>
      <c r="M951" s="29">
        <f>IF(E951="","",IF(H951="Yes","❌ Disc",IF(G951="No","⚠ Missing",IF(J951="Yes","✓ OK","⚠ Check"))))</f>
        <v/>
      </c>
      <c r="N951" s="43" t="n">
        <v>46193</v>
      </c>
      <c r="O951" s="26" t="inlineStr">
        <is>
          <t>Sunil CR</t>
        </is>
      </c>
      <c r="P951" s="26" t="inlineStr">
        <is>
          <t>Yes</t>
        </is>
      </c>
      <c r="Q951" s="26" t="inlineStr">
        <is>
          <t>No</t>
        </is>
      </c>
      <c r="R951" s="26" t="inlineStr">
        <is>
          <t>Good finish</t>
        </is>
      </c>
      <c r="S951" s="26" t="inlineStr">
        <is>
          <t>Yes</t>
        </is>
      </c>
      <c r="T951" s="27" t="n"/>
      <c r="U951" s="28" t="inlineStr">
        <is>
          <t>No</t>
        </is>
      </c>
      <c r="V951" s="29">
        <f>IF(N951="","",IF(Q951="Yes","❌ Disc",IF(P951="No","⚠ Missing",IF(S951="Yes","✓ OK","⚠ Check"))))</f>
        <v/>
      </c>
      <c r="W951" s="65" t="n">
        <v>46248</v>
      </c>
      <c r="X951" s="30" t="inlineStr">
        <is>
          <t>Sunil CR</t>
        </is>
      </c>
      <c r="Y951" s="30" t="inlineStr">
        <is>
          <t>Yes</t>
        </is>
      </c>
      <c r="Z951" s="30" t="n"/>
      <c r="AA951" s="30" t="inlineStr">
        <is>
          <t>Good finish</t>
        </is>
      </c>
      <c r="AB951" s="30" t="inlineStr">
        <is>
          <t>Yes</t>
        </is>
      </c>
      <c r="AC951" s="27" t="n"/>
      <c r="AD951" s="31" t="inlineStr">
        <is>
          <t>No</t>
        </is>
      </c>
      <c r="AE951" s="32">
        <f>IF(W951="","",IF(Z951="Yes","❌ Disc",IF(Y951="No","⚠ Missing",IF(AB951="Yes","✓ OK","⚠ Check"))))</f>
        <v/>
      </c>
      <c r="AF951" s="33" t="n"/>
      <c r="AG951" s="33" t="n"/>
      <c r="AH951" s="33" t="n"/>
      <c r="AI951" s="33" t="n"/>
      <c r="AJ951" s="33" t="n"/>
      <c r="AK951" s="33" t="n"/>
      <c r="AL951" s="27" t="n"/>
      <c r="AM951" s="34" t="n"/>
      <c r="AN951" s="35">
        <f>IF(AF951="","",IF(AI951="Yes","❌ Disc",IF(AH951="No","⚠ Missing",IF(AK951="Yes","✓ OK","⚠ Check"))))</f>
        <v/>
      </c>
      <c r="AO951" s="36" t="n"/>
      <c r="AP951" s="36" t="n"/>
      <c r="AQ951" s="36" t="n"/>
      <c r="AR951" s="36" t="n"/>
      <c r="AS951" s="36" t="n"/>
      <c r="AT951" s="36" t="n"/>
      <c r="AU951" s="27" t="n"/>
      <c r="AV951" s="37" t="n"/>
      <c r="AW951" s="38">
        <f>IF(AO951="","",IF(AR951="Yes","❌ Disc",IF(AQ951="No","⚠ Missing",IF(AT951="Yes","✓ OK","⚠ Check"))))</f>
        <v/>
      </c>
    </row>
    <row r="952" ht="18" customHeight="1" s="46">
      <c r="A952" s="39" t="n">
        <v>948</v>
      </c>
      <c r="B952" s="40" t="inlineStr">
        <is>
          <t>WP LNCCN1137060</t>
        </is>
      </c>
      <c r="C952" s="41" t="inlineStr">
        <is>
          <t>Life n Colors - Solid yellow, Grey and Green Mountains theme for Kids room  -  Canvas - a texture paper</t>
        </is>
      </c>
      <c r="D952" s="39" t="inlineStr">
        <is>
          <t>Life n Colors</t>
        </is>
      </c>
      <c r="E952" s="43" t="n">
        <v>46126</v>
      </c>
      <c r="F952" s="26" t="inlineStr">
        <is>
          <t>Sunil CR</t>
        </is>
      </c>
      <c r="G952" s="26" t="inlineStr">
        <is>
          <t>Yes</t>
        </is>
      </c>
      <c r="H952" s="26" t="inlineStr">
        <is>
          <t>No</t>
        </is>
      </c>
      <c r="I952" s="26" t="inlineStr">
        <is>
          <t>Good finish</t>
        </is>
      </c>
      <c r="J952" s="26" t="inlineStr">
        <is>
          <t>Yes</t>
        </is>
      </c>
      <c r="K952" s="27" t="n"/>
      <c r="L952" s="28" t="inlineStr">
        <is>
          <t>No</t>
        </is>
      </c>
      <c r="M952" s="29">
        <f>IF(E952="","",IF(H952="Yes","❌ Disc",IF(G952="No","⚠ Missing",IF(J952="Yes","✓ OK","⚠ Check"))))</f>
        <v/>
      </c>
      <c r="N952" s="43" t="n">
        <v>46193</v>
      </c>
      <c r="O952" s="26" t="inlineStr">
        <is>
          <t>Sunil CR</t>
        </is>
      </c>
      <c r="P952" s="26" t="inlineStr">
        <is>
          <t>Yes</t>
        </is>
      </c>
      <c r="Q952" s="26" t="inlineStr">
        <is>
          <t>No</t>
        </is>
      </c>
      <c r="R952" s="26" t="inlineStr">
        <is>
          <t>Good finish</t>
        </is>
      </c>
      <c r="S952" s="26" t="inlineStr">
        <is>
          <t>Yes</t>
        </is>
      </c>
      <c r="T952" s="27" t="n"/>
      <c r="U952" s="28" t="inlineStr">
        <is>
          <t>No</t>
        </is>
      </c>
      <c r="V952" s="29">
        <f>IF(N952="","",IF(Q952="Yes","❌ Disc",IF(P952="No","⚠ Missing",IF(S952="Yes","✓ OK","⚠ Check"))))</f>
        <v/>
      </c>
      <c r="W952" s="65" t="n">
        <v>46248</v>
      </c>
      <c r="X952" s="30" t="inlineStr">
        <is>
          <t>Sunil CR</t>
        </is>
      </c>
      <c r="Y952" s="30" t="inlineStr">
        <is>
          <t>Yes</t>
        </is>
      </c>
      <c r="Z952" s="30" t="n"/>
      <c r="AA952" s="30" t="inlineStr">
        <is>
          <t>Good finish</t>
        </is>
      </c>
      <c r="AB952" s="30" t="inlineStr">
        <is>
          <t>Yes</t>
        </is>
      </c>
      <c r="AC952" s="27" t="n"/>
      <c r="AD952" s="31" t="inlineStr">
        <is>
          <t>No</t>
        </is>
      </c>
      <c r="AE952" s="32">
        <f>IF(W952="","",IF(Z952="Yes","❌ Disc",IF(Y952="No","⚠ Missing",IF(AB952="Yes","✓ OK","⚠ Check"))))</f>
        <v/>
      </c>
      <c r="AF952" s="33" t="n"/>
      <c r="AG952" s="33" t="n"/>
      <c r="AH952" s="33" t="n"/>
      <c r="AI952" s="33" t="n"/>
      <c r="AJ952" s="33" t="n"/>
      <c r="AK952" s="33" t="n"/>
      <c r="AL952" s="27" t="n"/>
      <c r="AM952" s="34" t="n"/>
      <c r="AN952" s="35">
        <f>IF(AF952="","",IF(AI952="Yes","❌ Disc",IF(AH952="No","⚠ Missing",IF(AK952="Yes","✓ OK","⚠ Check"))))</f>
        <v/>
      </c>
      <c r="AO952" s="36" t="n"/>
      <c r="AP952" s="36" t="n"/>
      <c r="AQ952" s="36" t="n"/>
      <c r="AR952" s="36" t="n"/>
      <c r="AS952" s="36" t="n"/>
      <c r="AT952" s="36" t="n"/>
      <c r="AU952" s="27" t="n"/>
      <c r="AV952" s="37" t="n"/>
      <c r="AW952" s="38">
        <f>IF(AO952="","",IF(AR952="Yes","❌ Disc",IF(AQ952="No","⚠ Missing",IF(AT952="Yes","✓ OK","⚠ Check"))))</f>
        <v/>
      </c>
    </row>
    <row r="953" ht="18" customHeight="1" s="46">
      <c r="A953" s="23" t="n">
        <v>949</v>
      </c>
      <c r="B953" s="24" t="inlineStr">
        <is>
          <t>WP LNCSF1137060</t>
        </is>
      </c>
      <c r="C953" s="25" t="inlineStr">
        <is>
          <t>Life n Colors - Solid yellow, Grey and Green Mountains theme for Kids room  - Non-woven - a soft feel paper</t>
        </is>
      </c>
      <c r="D953" s="23" t="inlineStr">
        <is>
          <t>Life n Colors</t>
        </is>
      </c>
      <c r="E953" s="43" t="n">
        <v>46126</v>
      </c>
      <c r="F953" s="26" t="inlineStr">
        <is>
          <t>Sunil CR</t>
        </is>
      </c>
      <c r="G953" s="26" t="inlineStr">
        <is>
          <t>Yes</t>
        </is>
      </c>
      <c r="H953" s="26" t="inlineStr">
        <is>
          <t>No</t>
        </is>
      </c>
      <c r="I953" s="26" t="inlineStr">
        <is>
          <t>Good finish</t>
        </is>
      </c>
      <c r="J953" s="26" t="inlineStr">
        <is>
          <t>Yes</t>
        </is>
      </c>
      <c r="K953" s="27" t="n"/>
      <c r="L953" s="28" t="inlineStr">
        <is>
          <t>No</t>
        </is>
      </c>
      <c r="M953" s="29">
        <f>IF(E953="","",IF(H953="Yes","❌ Disc",IF(G953="No","⚠ Missing",IF(J953="Yes","✓ OK","⚠ Check"))))</f>
        <v/>
      </c>
      <c r="N953" s="43" t="n">
        <v>46193</v>
      </c>
      <c r="O953" s="26" t="inlineStr">
        <is>
          <t>Sunil CR</t>
        </is>
      </c>
      <c r="P953" s="26" t="inlineStr">
        <is>
          <t>Yes</t>
        </is>
      </c>
      <c r="Q953" s="26" t="inlineStr">
        <is>
          <t>No</t>
        </is>
      </c>
      <c r="R953" s="26" t="inlineStr">
        <is>
          <t>Good finish</t>
        </is>
      </c>
      <c r="S953" s="26" t="inlineStr">
        <is>
          <t>Yes</t>
        </is>
      </c>
      <c r="T953" s="27" t="n"/>
      <c r="U953" s="28" t="inlineStr">
        <is>
          <t>No</t>
        </is>
      </c>
      <c r="V953" s="29">
        <f>IF(N953="","",IF(Q953="Yes","❌ Disc",IF(P953="No","⚠ Missing",IF(S953="Yes","✓ OK","⚠ Check"))))</f>
        <v/>
      </c>
      <c r="W953" s="65" t="n">
        <v>46248</v>
      </c>
      <c r="X953" s="30" t="inlineStr">
        <is>
          <t>Sunil CR</t>
        </is>
      </c>
      <c r="Y953" s="30" t="inlineStr">
        <is>
          <t>Yes</t>
        </is>
      </c>
      <c r="Z953" s="30" t="n"/>
      <c r="AA953" s="30" t="inlineStr">
        <is>
          <t>Good finish</t>
        </is>
      </c>
      <c r="AB953" s="30" t="inlineStr">
        <is>
          <t>Yes</t>
        </is>
      </c>
      <c r="AC953" s="27" t="n"/>
      <c r="AD953" s="31" t="inlineStr">
        <is>
          <t>No</t>
        </is>
      </c>
      <c r="AE953" s="32">
        <f>IF(W953="","",IF(Z953="Yes","❌ Disc",IF(Y953="No","⚠ Missing",IF(AB953="Yes","✓ OK","⚠ Check"))))</f>
        <v/>
      </c>
      <c r="AF953" s="33" t="n"/>
      <c r="AG953" s="33" t="n"/>
      <c r="AH953" s="33" t="n"/>
      <c r="AI953" s="33" t="n"/>
      <c r="AJ953" s="33" t="n"/>
      <c r="AK953" s="33" t="n"/>
      <c r="AL953" s="27" t="n"/>
      <c r="AM953" s="34" t="n"/>
      <c r="AN953" s="35">
        <f>IF(AF953="","",IF(AI953="Yes","❌ Disc",IF(AH953="No","⚠ Missing",IF(AK953="Yes","✓ OK","⚠ Check"))))</f>
        <v/>
      </c>
      <c r="AO953" s="36" t="n"/>
      <c r="AP953" s="36" t="n"/>
      <c r="AQ953" s="36" t="n"/>
      <c r="AR953" s="36" t="n"/>
      <c r="AS953" s="36" t="n"/>
      <c r="AT953" s="36" t="n"/>
      <c r="AU953" s="27" t="n"/>
      <c r="AV953" s="37" t="n"/>
      <c r="AW953" s="38">
        <f>IF(AO953="","",IF(AR953="Yes","❌ Disc",IF(AQ953="No","⚠ Missing",IF(AT953="Yes","✓ OK","⚠ Check"))))</f>
        <v/>
      </c>
    </row>
    <row r="954" ht="18" customHeight="1" s="46">
      <c r="A954" s="39" t="n">
        <v>950</v>
      </c>
      <c r="B954" s="40" t="inlineStr">
        <is>
          <t>WP LNCCN1071964</t>
        </is>
      </c>
      <c r="C954" s="41" t="inlineStr">
        <is>
          <t>Life n Colors - Space Theme Kids Room Wallpaper With Planets, Rockets and Motivational Quotes  -  Canvas - a texture paper</t>
        </is>
      </c>
      <c r="D954" s="39" t="inlineStr">
        <is>
          <t>Life n Colors</t>
        </is>
      </c>
      <c r="E954" s="43" t="n">
        <v>46126</v>
      </c>
      <c r="F954" s="26" t="inlineStr">
        <is>
          <t>Sunil CR</t>
        </is>
      </c>
      <c r="G954" s="26" t="inlineStr">
        <is>
          <t>Yes</t>
        </is>
      </c>
      <c r="H954" s="26" t="inlineStr">
        <is>
          <t>No</t>
        </is>
      </c>
      <c r="I954" s="26" t="inlineStr">
        <is>
          <t>Good finish</t>
        </is>
      </c>
      <c r="J954" s="26" t="inlineStr">
        <is>
          <t>Yes</t>
        </is>
      </c>
      <c r="K954" s="27" t="n"/>
      <c r="L954" s="28" t="inlineStr">
        <is>
          <t>No</t>
        </is>
      </c>
      <c r="M954" s="29">
        <f>IF(E954="","",IF(H954="Yes","❌ Disc",IF(G954="No","⚠ Missing",IF(J954="Yes","✓ OK","⚠ Check"))))</f>
        <v/>
      </c>
      <c r="N954" s="43" t="n">
        <v>46193</v>
      </c>
      <c r="O954" s="26" t="inlineStr">
        <is>
          <t>Sunil CR</t>
        </is>
      </c>
      <c r="P954" s="26" t="inlineStr">
        <is>
          <t>Yes</t>
        </is>
      </c>
      <c r="Q954" s="26" t="inlineStr">
        <is>
          <t>No</t>
        </is>
      </c>
      <c r="R954" s="26" t="inlineStr">
        <is>
          <t>Good finish</t>
        </is>
      </c>
      <c r="S954" s="26" t="inlineStr">
        <is>
          <t>Yes</t>
        </is>
      </c>
      <c r="T954" s="27" t="n"/>
      <c r="U954" s="28" t="inlineStr">
        <is>
          <t>No</t>
        </is>
      </c>
      <c r="V954" s="29">
        <f>IF(N954="","",IF(Q954="Yes","❌ Disc",IF(P954="No","⚠ Missing",IF(S954="Yes","✓ OK","⚠ Check"))))</f>
        <v/>
      </c>
      <c r="W954" s="65" t="n">
        <v>46248</v>
      </c>
      <c r="X954" s="30" t="inlineStr">
        <is>
          <t>Sunil CR</t>
        </is>
      </c>
      <c r="Y954" s="30" t="inlineStr">
        <is>
          <t>Yes</t>
        </is>
      </c>
      <c r="Z954" s="30" t="n"/>
      <c r="AA954" s="30" t="inlineStr">
        <is>
          <t>Good finish</t>
        </is>
      </c>
      <c r="AB954" s="30" t="inlineStr">
        <is>
          <t>Yes</t>
        </is>
      </c>
      <c r="AC954" s="27" t="n"/>
      <c r="AD954" s="31" t="inlineStr">
        <is>
          <t>No</t>
        </is>
      </c>
      <c r="AE954" s="32">
        <f>IF(W954="","",IF(Z954="Yes","❌ Disc",IF(Y954="No","⚠ Missing",IF(AB954="Yes","✓ OK","⚠ Check"))))</f>
        <v/>
      </c>
      <c r="AF954" s="33" t="n"/>
      <c r="AG954" s="33" t="n"/>
      <c r="AH954" s="33" t="n"/>
      <c r="AI954" s="33" t="n"/>
      <c r="AJ954" s="33" t="n"/>
      <c r="AK954" s="33" t="n"/>
      <c r="AL954" s="27" t="n"/>
      <c r="AM954" s="34" t="n"/>
      <c r="AN954" s="35">
        <f>IF(AF954="","",IF(AI954="Yes","❌ Disc",IF(AH954="No","⚠ Missing",IF(AK954="Yes","✓ OK","⚠ Check"))))</f>
        <v/>
      </c>
      <c r="AO954" s="36" t="n"/>
      <c r="AP954" s="36" t="n"/>
      <c r="AQ954" s="36" t="n"/>
      <c r="AR954" s="36" t="n"/>
      <c r="AS954" s="36" t="n"/>
      <c r="AT954" s="36" t="n"/>
      <c r="AU954" s="27" t="n"/>
      <c r="AV954" s="37" t="n"/>
      <c r="AW954" s="38">
        <f>IF(AO954="","",IF(AR954="Yes","❌ Disc",IF(AQ954="No","⚠ Missing",IF(AT954="Yes","✓ OK","⚠ Check"))))</f>
        <v/>
      </c>
    </row>
    <row r="955" ht="18" customHeight="1" s="46">
      <c r="A955" s="23" t="n">
        <v>951</v>
      </c>
      <c r="B955" s="24" t="inlineStr">
        <is>
          <t>WP LNCSF1071964</t>
        </is>
      </c>
      <c r="C955" s="25" t="inlineStr">
        <is>
          <t>Life n Colors - Space Theme Kids Room Wallpaper With Planets, Rockets and Motivational Quotes  - Non-woven - a soft feel paper</t>
        </is>
      </c>
      <c r="D955" s="23" t="inlineStr">
        <is>
          <t>Life n Colors</t>
        </is>
      </c>
      <c r="E955" s="43" t="n">
        <v>46126</v>
      </c>
      <c r="F955" s="26" t="inlineStr">
        <is>
          <t>Sunil CR</t>
        </is>
      </c>
      <c r="G955" s="26" t="inlineStr">
        <is>
          <t>Yes</t>
        </is>
      </c>
      <c r="H955" s="26" t="inlineStr">
        <is>
          <t>No</t>
        </is>
      </c>
      <c r="I955" s="26" t="inlineStr">
        <is>
          <t>Good finish</t>
        </is>
      </c>
      <c r="J955" s="26" t="inlineStr">
        <is>
          <t>Yes</t>
        </is>
      </c>
      <c r="K955" s="27" t="n"/>
      <c r="L955" s="28" t="inlineStr">
        <is>
          <t>No</t>
        </is>
      </c>
      <c r="M955" s="29">
        <f>IF(E955="","",IF(H955="Yes","❌ Disc",IF(G955="No","⚠ Missing",IF(J955="Yes","✓ OK","⚠ Check"))))</f>
        <v/>
      </c>
      <c r="N955" s="43" t="n">
        <v>46193</v>
      </c>
      <c r="O955" s="26" t="inlineStr">
        <is>
          <t>Sunil CR</t>
        </is>
      </c>
      <c r="P955" s="26" t="inlineStr">
        <is>
          <t>Yes</t>
        </is>
      </c>
      <c r="Q955" s="26" t="inlineStr">
        <is>
          <t>No</t>
        </is>
      </c>
      <c r="R955" s="26" t="inlineStr">
        <is>
          <t>Good finish</t>
        </is>
      </c>
      <c r="S955" s="26" t="inlineStr">
        <is>
          <t>Yes</t>
        </is>
      </c>
      <c r="T955" s="27" t="n"/>
      <c r="U955" s="28" t="inlineStr">
        <is>
          <t>No</t>
        </is>
      </c>
      <c r="V955" s="29">
        <f>IF(N955="","",IF(Q955="Yes","❌ Disc",IF(P955="No","⚠ Missing",IF(S955="Yes","✓ OK","⚠ Check"))))</f>
        <v/>
      </c>
      <c r="W955" s="65" t="n">
        <v>46248</v>
      </c>
      <c r="X955" s="30" t="inlineStr">
        <is>
          <t>Sunil CR</t>
        </is>
      </c>
      <c r="Y955" s="30" t="inlineStr">
        <is>
          <t>Yes</t>
        </is>
      </c>
      <c r="Z955" s="30" t="n"/>
      <c r="AA955" s="30" t="inlineStr">
        <is>
          <t>Good finish</t>
        </is>
      </c>
      <c r="AB955" s="30" t="inlineStr">
        <is>
          <t>Yes</t>
        </is>
      </c>
      <c r="AC955" s="27" t="n"/>
      <c r="AD955" s="31" t="inlineStr">
        <is>
          <t>No</t>
        </is>
      </c>
      <c r="AE955" s="32">
        <f>IF(W955="","",IF(Z955="Yes","❌ Disc",IF(Y955="No","⚠ Missing",IF(AB955="Yes","✓ OK","⚠ Check"))))</f>
        <v/>
      </c>
      <c r="AF955" s="33" t="n"/>
      <c r="AG955" s="33" t="n"/>
      <c r="AH955" s="33" t="n"/>
      <c r="AI955" s="33" t="n"/>
      <c r="AJ955" s="33" t="n"/>
      <c r="AK955" s="33" t="n"/>
      <c r="AL955" s="27" t="n"/>
      <c r="AM955" s="34" t="n"/>
      <c r="AN955" s="35">
        <f>IF(AF955="","",IF(AI955="Yes","❌ Disc",IF(AH955="No","⚠ Missing",IF(AK955="Yes","✓ OK","⚠ Check"))))</f>
        <v/>
      </c>
      <c r="AO955" s="36" t="n"/>
      <c r="AP955" s="36" t="n"/>
      <c r="AQ955" s="36" t="n"/>
      <c r="AR955" s="36" t="n"/>
      <c r="AS955" s="36" t="n"/>
      <c r="AT955" s="36" t="n"/>
      <c r="AU955" s="27" t="n"/>
      <c r="AV955" s="37" t="n"/>
      <c r="AW955" s="38">
        <f>IF(AO955="","",IF(AR955="Yes","❌ Disc",IF(AQ955="No","⚠ Missing",IF(AT955="Yes","✓ OK","⚠ Check"))))</f>
        <v/>
      </c>
    </row>
    <row r="956" ht="18" customHeight="1" s="46">
      <c r="A956" s="39" t="n">
        <v>952</v>
      </c>
      <c r="B956" s="40" t="inlineStr">
        <is>
          <t>WP LNCCN378153</t>
        </is>
      </c>
      <c r="C956" s="41" t="inlineStr">
        <is>
          <t>Life n Colors - Sukoon, A Calm Life in Nature, Wallpaper  -  Canvas - a texture paper</t>
        </is>
      </c>
      <c r="D956" s="39" t="inlineStr">
        <is>
          <t>Life n Colors</t>
        </is>
      </c>
      <c r="E956" s="43" t="n">
        <v>46126</v>
      </c>
      <c r="F956" s="26" t="inlineStr">
        <is>
          <t>Sunil CR</t>
        </is>
      </c>
      <c r="G956" s="26" t="inlineStr">
        <is>
          <t>Yes</t>
        </is>
      </c>
      <c r="H956" s="26" t="inlineStr">
        <is>
          <t>No</t>
        </is>
      </c>
      <c r="I956" s="26" t="inlineStr">
        <is>
          <t>Good finish</t>
        </is>
      </c>
      <c r="J956" s="26" t="inlineStr">
        <is>
          <t>Yes</t>
        </is>
      </c>
      <c r="K956" s="27" t="n"/>
      <c r="L956" s="28" t="inlineStr">
        <is>
          <t>No</t>
        </is>
      </c>
      <c r="M956" s="29">
        <f>IF(E956="","",IF(H956="Yes","❌ Disc",IF(G956="No","⚠ Missing",IF(J956="Yes","✓ OK","⚠ Check"))))</f>
        <v/>
      </c>
      <c r="N956" s="43" t="n">
        <v>46193</v>
      </c>
      <c r="O956" s="26" t="inlineStr">
        <is>
          <t>Sunil CR</t>
        </is>
      </c>
      <c r="P956" s="26" t="inlineStr">
        <is>
          <t>Yes</t>
        </is>
      </c>
      <c r="Q956" s="26" t="inlineStr">
        <is>
          <t>No</t>
        </is>
      </c>
      <c r="R956" s="26" t="inlineStr">
        <is>
          <t>Good finish</t>
        </is>
      </c>
      <c r="S956" s="26" t="inlineStr">
        <is>
          <t>Yes</t>
        </is>
      </c>
      <c r="T956" s="27" t="n"/>
      <c r="U956" s="28" t="inlineStr">
        <is>
          <t>No</t>
        </is>
      </c>
      <c r="V956" s="29">
        <f>IF(N956="","",IF(Q956="Yes","❌ Disc",IF(P956="No","⚠ Missing",IF(S956="Yes","✓ OK","⚠ Check"))))</f>
        <v/>
      </c>
      <c r="W956" s="65" t="n">
        <v>46248</v>
      </c>
      <c r="X956" s="30" t="inlineStr">
        <is>
          <t>Sunil CR</t>
        </is>
      </c>
      <c r="Y956" s="30" t="inlineStr">
        <is>
          <t>Yes</t>
        </is>
      </c>
      <c r="Z956" s="30" t="n"/>
      <c r="AA956" s="30" t="inlineStr">
        <is>
          <t>Good finish</t>
        </is>
      </c>
      <c r="AB956" s="30" t="inlineStr">
        <is>
          <t>Yes</t>
        </is>
      </c>
      <c r="AC956" s="27" t="n"/>
      <c r="AD956" s="31" t="inlineStr">
        <is>
          <t>No</t>
        </is>
      </c>
      <c r="AE956" s="32">
        <f>IF(W956="","",IF(Z956="Yes","❌ Disc",IF(Y956="No","⚠ Missing",IF(AB956="Yes","✓ OK","⚠ Check"))))</f>
        <v/>
      </c>
      <c r="AF956" s="33" t="n"/>
      <c r="AG956" s="33" t="n"/>
      <c r="AH956" s="33" t="n"/>
      <c r="AI956" s="33" t="n"/>
      <c r="AJ956" s="33" t="n"/>
      <c r="AK956" s="33" t="n"/>
      <c r="AL956" s="27" t="n"/>
      <c r="AM956" s="34" t="n"/>
      <c r="AN956" s="35">
        <f>IF(AF956="","",IF(AI956="Yes","❌ Disc",IF(AH956="No","⚠ Missing",IF(AK956="Yes","✓ OK","⚠ Check"))))</f>
        <v/>
      </c>
      <c r="AO956" s="36" t="n"/>
      <c r="AP956" s="36" t="n"/>
      <c r="AQ956" s="36" t="n"/>
      <c r="AR956" s="36" t="n"/>
      <c r="AS956" s="36" t="n"/>
      <c r="AT956" s="36" t="n"/>
      <c r="AU956" s="27" t="n"/>
      <c r="AV956" s="37" t="n"/>
      <c r="AW956" s="38">
        <f>IF(AO956="","",IF(AR956="Yes","❌ Disc",IF(AQ956="No","⚠ Missing",IF(AT956="Yes","✓ OK","⚠ Check"))))</f>
        <v/>
      </c>
    </row>
    <row r="957" ht="18" customHeight="1" s="46">
      <c r="A957" s="23" t="n">
        <v>953</v>
      </c>
      <c r="B957" s="24" t="inlineStr">
        <is>
          <t>WP LNCCN320674</t>
        </is>
      </c>
      <c r="C957" s="25" t="inlineStr">
        <is>
          <t>Life n Colors - Sutra, Green Abstract Geometric Patten Wallpaper  -  Canvas - a texture paper</t>
        </is>
      </c>
      <c r="D957" s="23" t="inlineStr">
        <is>
          <t>Life n Colors</t>
        </is>
      </c>
      <c r="E957" s="43" t="n">
        <v>46126</v>
      </c>
      <c r="F957" s="26" t="inlineStr">
        <is>
          <t>Sunil CR</t>
        </is>
      </c>
      <c r="G957" s="26" t="inlineStr">
        <is>
          <t>Yes</t>
        </is>
      </c>
      <c r="H957" s="26" t="inlineStr">
        <is>
          <t>No</t>
        </is>
      </c>
      <c r="I957" s="26" t="inlineStr">
        <is>
          <t>Good finish</t>
        </is>
      </c>
      <c r="J957" s="26" t="inlineStr">
        <is>
          <t>Yes</t>
        </is>
      </c>
      <c r="K957" s="27" t="n"/>
      <c r="L957" s="28" t="inlineStr">
        <is>
          <t>No</t>
        </is>
      </c>
      <c r="M957" s="29">
        <f>IF(E957="","",IF(H957="Yes","❌ Disc",IF(G957="No","⚠ Missing",IF(J957="Yes","✓ OK","⚠ Check"))))</f>
        <v/>
      </c>
      <c r="N957" s="43" t="n">
        <v>46193</v>
      </c>
      <c r="O957" s="26" t="inlineStr">
        <is>
          <t>Sunil CR</t>
        </is>
      </c>
      <c r="P957" s="26" t="inlineStr">
        <is>
          <t>Yes</t>
        </is>
      </c>
      <c r="Q957" s="26" t="inlineStr">
        <is>
          <t>No</t>
        </is>
      </c>
      <c r="R957" s="26" t="inlineStr">
        <is>
          <t>Good finish</t>
        </is>
      </c>
      <c r="S957" s="26" t="inlineStr">
        <is>
          <t>Yes</t>
        </is>
      </c>
      <c r="T957" s="27" t="n"/>
      <c r="U957" s="28" t="inlineStr">
        <is>
          <t>No</t>
        </is>
      </c>
      <c r="V957" s="29">
        <f>IF(N957="","",IF(Q957="Yes","❌ Disc",IF(P957="No","⚠ Missing",IF(S957="Yes","✓ OK","⚠ Check"))))</f>
        <v/>
      </c>
      <c r="W957" s="65" t="n">
        <v>46248</v>
      </c>
      <c r="X957" s="30" t="inlineStr">
        <is>
          <t>Sunil CR</t>
        </is>
      </c>
      <c r="Y957" s="30" t="inlineStr">
        <is>
          <t>Yes</t>
        </is>
      </c>
      <c r="Z957" s="30" t="n"/>
      <c r="AA957" s="30" t="inlineStr">
        <is>
          <t>Good finish</t>
        </is>
      </c>
      <c r="AB957" s="30" t="inlineStr">
        <is>
          <t>Yes</t>
        </is>
      </c>
      <c r="AC957" s="27" t="n"/>
      <c r="AD957" s="31" t="inlineStr">
        <is>
          <t>No</t>
        </is>
      </c>
      <c r="AE957" s="32">
        <f>IF(W957="","",IF(Z957="Yes","❌ Disc",IF(Y957="No","⚠ Missing",IF(AB957="Yes","✓ OK","⚠ Check"))))</f>
        <v/>
      </c>
      <c r="AF957" s="33" t="n"/>
      <c r="AG957" s="33" t="n"/>
      <c r="AH957" s="33" t="n"/>
      <c r="AI957" s="33" t="n"/>
      <c r="AJ957" s="33" t="n"/>
      <c r="AK957" s="33" t="n"/>
      <c r="AL957" s="27" t="n"/>
      <c r="AM957" s="34" t="n"/>
      <c r="AN957" s="35">
        <f>IF(AF957="","",IF(AI957="Yes","❌ Disc",IF(AH957="No","⚠ Missing",IF(AK957="Yes","✓ OK","⚠ Check"))))</f>
        <v/>
      </c>
      <c r="AO957" s="36" t="n"/>
      <c r="AP957" s="36" t="n"/>
      <c r="AQ957" s="36" t="n"/>
      <c r="AR957" s="36" t="n"/>
      <c r="AS957" s="36" t="n"/>
      <c r="AT957" s="36" t="n"/>
      <c r="AU957" s="27" t="n"/>
      <c r="AV957" s="37" t="n"/>
      <c r="AW957" s="38">
        <f>IF(AO957="","",IF(AR957="Yes","❌ Disc",IF(AQ957="No","⚠ Missing",IF(AT957="Yes","✓ OK","⚠ Check"))))</f>
        <v/>
      </c>
    </row>
    <row r="958" ht="18" customHeight="1" s="46">
      <c r="A958" s="39" t="n">
        <v>954</v>
      </c>
      <c r="B958" s="40" t="inlineStr">
        <is>
          <t>WP LNCCN351746</t>
        </is>
      </c>
      <c r="C958" s="41" t="inlineStr">
        <is>
          <t>Life n Colors - The Beach, Beautiful Wallpaper for Rooms  -  Canvas - a texture paper</t>
        </is>
      </c>
      <c r="D958" s="39" t="inlineStr">
        <is>
          <t>Life n Colors</t>
        </is>
      </c>
      <c r="E958" s="43" t="n">
        <v>46126</v>
      </c>
      <c r="F958" s="26" t="inlineStr">
        <is>
          <t>Sunil CR</t>
        </is>
      </c>
      <c r="G958" s="26" t="inlineStr">
        <is>
          <t>Yes</t>
        </is>
      </c>
      <c r="H958" s="26" t="inlineStr">
        <is>
          <t>No</t>
        </is>
      </c>
      <c r="I958" s="26" t="inlineStr">
        <is>
          <t>Good finish</t>
        </is>
      </c>
      <c r="J958" s="26" t="inlineStr">
        <is>
          <t>Yes</t>
        </is>
      </c>
      <c r="K958" s="27" t="n"/>
      <c r="L958" s="28" t="inlineStr">
        <is>
          <t>No</t>
        </is>
      </c>
      <c r="M958" s="29">
        <f>IF(E958="","",IF(H958="Yes","❌ Disc",IF(G958="No","⚠ Missing",IF(J958="Yes","✓ OK","⚠ Check"))))</f>
        <v/>
      </c>
      <c r="N958" s="43" t="n">
        <v>46193</v>
      </c>
      <c r="O958" s="26" t="inlineStr">
        <is>
          <t>Sunil CR</t>
        </is>
      </c>
      <c r="P958" s="26" t="inlineStr">
        <is>
          <t>Yes</t>
        </is>
      </c>
      <c r="Q958" s="26" t="inlineStr">
        <is>
          <t>No</t>
        </is>
      </c>
      <c r="R958" s="26" t="inlineStr">
        <is>
          <t>Good finish</t>
        </is>
      </c>
      <c r="S958" s="26" t="inlineStr">
        <is>
          <t>Yes</t>
        </is>
      </c>
      <c r="T958" s="27" t="n"/>
      <c r="U958" s="28" t="inlineStr">
        <is>
          <t>No</t>
        </is>
      </c>
      <c r="V958" s="29">
        <f>IF(N958="","",IF(Q958="Yes","❌ Disc",IF(P958="No","⚠ Missing",IF(S958="Yes","✓ OK","⚠ Check"))))</f>
        <v/>
      </c>
      <c r="W958" s="65" t="n">
        <v>46248</v>
      </c>
      <c r="X958" s="30" t="inlineStr">
        <is>
          <t>Sunil CR</t>
        </is>
      </c>
      <c r="Y958" s="30" t="inlineStr">
        <is>
          <t>Yes</t>
        </is>
      </c>
      <c r="Z958" s="30" t="n"/>
      <c r="AA958" s="30" t="inlineStr">
        <is>
          <t>Good finish</t>
        </is>
      </c>
      <c r="AB958" s="30" t="inlineStr">
        <is>
          <t>Yes</t>
        </is>
      </c>
      <c r="AC958" s="27" t="n"/>
      <c r="AD958" s="31" t="inlineStr">
        <is>
          <t>No</t>
        </is>
      </c>
      <c r="AE958" s="32">
        <f>IF(W958="","",IF(Z958="Yes","❌ Disc",IF(Y958="No","⚠ Missing",IF(AB958="Yes","✓ OK","⚠ Check"))))</f>
        <v/>
      </c>
      <c r="AF958" s="33" t="n"/>
      <c r="AG958" s="33" t="n"/>
      <c r="AH958" s="33" t="n"/>
      <c r="AI958" s="33" t="n"/>
      <c r="AJ958" s="33" t="n"/>
      <c r="AK958" s="33" t="n"/>
      <c r="AL958" s="27" t="n"/>
      <c r="AM958" s="34" t="n"/>
      <c r="AN958" s="35">
        <f>IF(AF958="","",IF(AI958="Yes","❌ Disc",IF(AH958="No","⚠ Missing",IF(AK958="Yes","✓ OK","⚠ Check"))))</f>
        <v/>
      </c>
      <c r="AO958" s="36" t="n"/>
      <c r="AP958" s="36" t="n"/>
      <c r="AQ958" s="36" t="n"/>
      <c r="AR958" s="36" t="n"/>
      <c r="AS958" s="36" t="n"/>
      <c r="AT958" s="36" t="n"/>
      <c r="AU958" s="27" t="n"/>
      <c r="AV958" s="37" t="n"/>
      <c r="AW958" s="38">
        <f>IF(AO958="","",IF(AR958="Yes","❌ Disc",IF(AQ958="No","⚠ Missing",IF(AT958="Yes","✓ OK","⚠ Check"))))</f>
        <v/>
      </c>
    </row>
    <row r="959" ht="18" customHeight="1" s="46">
      <c r="A959" s="23" t="n">
        <v>955</v>
      </c>
      <c r="B959" s="24" t="inlineStr">
        <is>
          <t>WP LNCCN1020353</t>
        </is>
      </c>
      <c r="C959" s="25" t="inlineStr">
        <is>
          <t>Life n Colors - Triangle Repeat Geometrical Pattern  -  Canvas - a texture paper</t>
        </is>
      </c>
      <c r="D959" s="23" t="inlineStr">
        <is>
          <t>Life n Colors</t>
        </is>
      </c>
      <c r="E959" s="43" t="n">
        <v>46126</v>
      </c>
      <c r="F959" s="26" t="inlineStr">
        <is>
          <t>Sunil CR</t>
        </is>
      </c>
      <c r="G959" s="26" t="inlineStr">
        <is>
          <t>Yes</t>
        </is>
      </c>
      <c r="H959" s="26" t="inlineStr">
        <is>
          <t>No</t>
        </is>
      </c>
      <c r="I959" s="26" t="inlineStr">
        <is>
          <t>Good finish</t>
        </is>
      </c>
      <c r="J959" s="26" t="inlineStr">
        <is>
          <t>Yes</t>
        </is>
      </c>
      <c r="K959" s="27" t="n"/>
      <c r="L959" s="28" t="inlineStr">
        <is>
          <t>No</t>
        </is>
      </c>
      <c r="M959" s="29">
        <f>IF(E959="","",IF(H959="Yes","❌ Disc",IF(G959="No","⚠ Missing",IF(J959="Yes","✓ OK","⚠ Check"))))</f>
        <v/>
      </c>
      <c r="N959" s="43" t="n">
        <v>46193</v>
      </c>
      <c r="O959" s="26" t="inlineStr">
        <is>
          <t>Sunil CR</t>
        </is>
      </c>
      <c r="P959" s="26" t="inlineStr">
        <is>
          <t>Yes</t>
        </is>
      </c>
      <c r="Q959" s="26" t="inlineStr">
        <is>
          <t>No</t>
        </is>
      </c>
      <c r="R959" s="26" t="inlineStr">
        <is>
          <t>Good finish</t>
        </is>
      </c>
      <c r="S959" s="26" t="inlineStr">
        <is>
          <t>Yes</t>
        </is>
      </c>
      <c r="T959" s="27" t="n"/>
      <c r="U959" s="28" t="inlineStr">
        <is>
          <t>No</t>
        </is>
      </c>
      <c r="V959" s="29">
        <f>IF(N959="","",IF(Q959="Yes","❌ Disc",IF(P959="No","⚠ Missing",IF(S959="Yes","✓ OK","⚠ Check"))))</f>
        <v/>
      </c>
      <c r="W959" s="65" t="n">
        <v>46248</v>
      </c>
      <c r="X959" s="30" t="inlineStr">
        <is>
          <t>Sunil CR</t>
        </is>
      </c>
      <c r="Y959" s="30" t="inlineStr">
        <is>
          <t>Yes</t>
        </is>
      </c>
      <c r="Z959" s="30" t="n"/>
      <c r="AA959" s="30" t="inlineStr">
        <is>
          <t>Good finish</t>
        </is>
      </c>
      <c r="AB959" s="30" t="inlineStr">
        <is>
          <t>Yes</t>
        </is>
      </c>
      <c r="AC959" s="27" t="n"/>
      <c r="AD959" s="31" t="inlineStr">
        <is>
          <t>No</t>
        </is>
      </c>
      <c r="AE959" s="32">
        <f>IF(W959="","",IF(Z959="Yes","❌ Disc",IF(Y959="No","⚠ Missing",IF(AB959="Yes","✓ OK","⚠ Check"))))</f>
        <v/>
      </c>
      <c r="AF959" s="33" t="n"/>
      <c r="AG959" s="33" t="n"/>
      <c r="AH959" s="33" t="n"/>
      <c r="AI959" s="33" t="n"/>
      <c r="AJ959" s="33" t="n"/>
      <c r="AK959" s="33" t="n"/>
      <c r="AL959" s="27" t="n"/>
      <c r="AM959" s="34" t="n"/>
      <c r="AN959" s="35">
        <f>IF(AF959="","",IF(AI959="Yes","❌ Disc",IF(AH959="No","⚠ Missing",IF(AK959="Yes","✓ OK","⚠ Check"))))</f>
        <v/>
      </c>
      <c r="AO959" s="36" t="n"/>
      <c r="AP959" s="36" t="n"/>
      <c r="AQ959" s="36" t="n"/>
      <c r="AR959" s="36" t="n"/>
      <c r="AS959" s="36" t="n"/>
      <c r="AT959" s="36" t="n"/>
      <c r="AU959" s="27" t="n"/>
      <c r="AV959" s="37" t="n"/>
      <c r="AW959" s="38">
        <f>IF(AO959="","",IF(AR959="Yes","❌ Disc",IF(AQ959="No","⚠ Missing",IF(AT959="Yes","✓ OK","⚠ Check"))))</f>
        <v/>
      </c>
    </row>
    <row r="960" ht="18" customHeight="1" s="46">
      <c r="A960" s="39" t="n">
        <v>956</v>
      </c>
      <c r="B960" s="40" t="inlineStr">
        <is>
          <t>WP LNCSF1020353</t>
        </is>
      </c>
      <c r="C960" s="41" t="inlineStr">
        <is>
          <t>Life n Colors - Triangle Repeat Geometrical Pattern  - Non-woven - a soft feel paper</t>
        </is>
      </c>
      <c r="D960" s="39" t="inlineStr">
        <is>
          <t>Life n Colors</t>
        </is>
      </c>
      <c r="E960" s="43" t="n">
        <v>46126</v>
      </c>
      <c r="F960" s="26" t="inlineStr">
        <is>
          <t>Sunil CR</t>
        </is>
      </c>
      <c r="G960" s="26" t="inlineStr">
        <is>
          <t>Yes</t>
        </is>
      </c>
      <c r="H960" s="26" t="inlineStr">
        <is>
          <t>No</t>
        </is>
      </c>
      <c r="I960" s="26" t="inlineStr">
        <is>
          <t>Good finish</t>
        </is>
      </c>
      <c r="J960" s="26" t="inlineStr">
        <is>
          <t>Yes</t>
        </is>
      </c>
      <c r="K960" s="27" t="n"/>
      <c r="L960" s="28" t="inlineStr">
        <is>
          <t>No</t>
        </is>
      </c>
      <c r="M960" s="29">
        <f>IF(E960="","",IF(H960="Yes","❌ Disc",IF(G960="No","⚠ Missing",IF(J960="Yes","✓ OK","⚠ Check"))))</f>
        <v/>
      </c>
      <c r="N960" s="43" t="n">
        <v>46193</v>
      </c>
      <c r="O960" s="26" t="inlineStr">
        <is>
          <t>Sunil CR</t>
        </is>
      </c>
      <c r="P960" s="26" t="inlineStr">
        <is>
          <t>Yes</t>
        </is>
      </c>
      <c r="Q960" s="26" t="inlineStr">
        <is>
          <t>No</t>
        </is>
      </c>
      <c r="R960" s="26" t="inlineStr">
        <is>
          <t>Good finish</t>
        </is>
      </c>
      <c r="S960" s="26" t="inlineStr">
        <is>
          <t>Yes</t>
        </is>
      </c>
      <c r="T960" s="27" t="n"/>
      <c r="U960" s="28" t="inlineStr">
        <is>
          <t>No</t>
        </is>
      </c>
      <c r="V960" s="29">
        <f>IF(N960="","",IF(Q960="Yes","❌ Disc",IF(P960="No","⚠ Missing",IF(S960="Yes","✓ OK","⚠ Check"))))</f>
        <v/>
      </c>
      <c r="W960" s="65" t="n">
        <v>46248</v>
      </c>
      <c r="X960" s="30" t="inlineStr">
        <is>
          <t>Sunil CR</t>
        </is>
      </c>
      <c r="Y960" s="30" t="inlineStr">
        <is>
          <t>Yes</t>
        </is>
      </c>
      <c r="Z960" s="30" t="n"/>
      <c r="AA960" s="30" t="inlineStr">
        <is>
          <t>Good finish</t>
        </is>
      </c>
      <c r="AB960" s="30" t="inlineStr">
        <is>
          <t>Yes</t>
        </is>
      </c>
      <c r="AC960" s="27" t="n"/>
      <c r="AD960" s="31" t="inlineStr">
        <is>
          <t>No</t>
        </is>
      </c>
      <c r="AE960" s="32">
        <f>IF(W960="","",IF(Z960="Yes","❌ Disc",IF(Y960="No","⚠ Missing",IF(AB960="Yes","✓ OK","⚠ Check"))))</f>
        <v/>
      </c>
      <c r="AF960" s="33" t="n"/>
      <c r="AG960" s="33" t="n"/>
      <c r="AH960" s="33" t="n"/>
      <c r="AI960" s="33" t="n"/>
      <c r="AJ960" s="33" t="n"/>
      <c r="AK960" s="33" t="n"/>
      <c r="AL960" s="27" t="n"/>
      <c r="AM960" s="34" t="n"/>
      <c r="AN960" s="35">
        <f>IF(AF960="","",IF(AI960="Yes","❌ Disc",IF(AH960="No","⚠ Missing",IF(AK960="Yes","✓ OK","⚠ Check"))))</f>
        <v/>
      </c>
      <c r="AO960" s="36" t="n"/>
      <c r="AP960" s="36" t="n"/>
      <c r="AQ960" s="36" t="n"/>
      <c r="AR960" s="36" t="n"/>
      <c r="AS960" s="36" t="n"/>
      <c r="AT960" s="36" t="n"/>
      <c r="AU960" s="27" t="n"/>
      <c r="AV960" s="37" t="n"/>
      <c r="AW960" s="38">
        <f>IF(AO960="","",IF(AR960="Yes","❌ Disc",IF(AQ960="No","⚠ Missing",IF(AT960="Yes","✓ OK","⚠ Check"))))</f>
        <v/>
      </c>
    </row>
    <row r="961" ht="18" customHeight="1" s="46">
      <c r="A961" s="23" t="n">
        <v>957</v>
      </c>
      <c r="B961" s="24" t="inlineStr">
        <is>
          <t>WP LNCCN1177120</t>
        </is>
      </c>
      <c r="C961" s="25" t="inlineStr">
        <is>
          <t>Life n Colors - Tropical Colorful Leaves Wallpaper, Pastel Colors  -  Canvas - a texture paper</t>
        </is>
      </c>
      <c r="D961" s="23" t="inlineStr">
        <is>
          <t>Life n Colors</t>
        </is>
      </c>
      <c r="E961" s="43" t="n">
        <v>46126</v>
      </c>
      <c r="F961" s="26" t="inlineStr">
        <is>
          <t>Sunil CR</t>
        </is>
      </c>
      <c r="G961" s="26" t="inlineStr">
        <is>
          <t>Yes</t>
        </is>
      </c>
      <c r="H961" s="26" t="inlineStr">
        <is>
          <t>No</t>
        </is>
      </c>
      <c r="I961" s="26" t="inlineStr">
        <is>
          <t>Good finish</t>
        </is>
      </c>
      <c r="J961" s="26" t="inlineStr">
        <is>
          <t>Yes</t>
        </is>
      </c>
      <c r="K961" s="27" t="n"/>
      <c r="L961" s="28" t="inlineStr">
        <is>
          <t>No</t>
        </is>
      </c>
      <c r="M961" s="29">
        <f>IF(E961="","",IF(H961="Yes","❌ Disc",IF(G961="No","⚠ Missing",IF(J961="Yes","✓ OK","⚠ Check"))))</f>
        <v/>
      </c>
      <c r="N961" s="43" t="n">
        <v>46193</v>
      </c>
      <c r="O961" s="26" t="inlineStr">
        <is>
          <t>Sunil CR</t>
        </is>
      </c>
      <c r="P961" s="26" t="inlineStr">
        <is>
          <t>Yes</t>
        </is>
      </c>
      <c r="Q961" s="26" t="inlineStr">
        <is>
          <t>No</t>
        </is>
      </c>
      <c r="R961" s="26" t="inlineStr">
        <is>
          <t>Good finish</t>
        </is>
      </c>
      <c r="S961" s="26" t="inlineStr">
        <is>
          <t>Yes</t>
        </is>
      </c>
      <c r="T961" s="27" t="n"/>
      <c r="U961" s="28" t="inlineStr">
        <is>
          <t>No</t>
        </is>
      </c>
      <c r="V961" s="29">
        <f>IF(N961="","",IF(Q961="Yes","❌ Disc",IF(P961="No","⚠ Missing",IF(S961="Yes","✓ OK","⚠ Check"))))</f>
        <v/>
      </c>
      <c r="W961" s="65" t="n">
        <v>46248</v>
      </c>
      <c r="X961" s="30" t="inlineStr">
        <is>
          <t>Sunil CR</t>
        </is>
      </c>
      <c r="Y961" s="30" t="inlineStr">
        <is>
          <t>Yes</t>
        </is>
      </c>
      <c r="Z961" s="30" t="n"/>
      <c r="AA961" s="30" t="inlineStr">
        <is>
          <t>Good finish</t>
        </is>
      </c>
      <c r="AB961" s="30" t="inlineStr">
        <is>
          <t>Yes</t>
        </is>
      </c>
      <c r="AC961" s="27" t="n"/>
      <c r="AD961" s="31" t="inlineStr">
        <is>
          <t>No</t>
        </is>
      </c>
      <c r="AE961" s="32">
        <f>IF(W961="","",IF(Z961="Yes","❌ Disc",IF(Y961="No","⚠ Missing",IF(AB961="Yes","✓ OK","⚠ Check"))))</f>
        <v/>
      </c>
      <c r="AF961" s="33" t="n"/>
      <c r="AG961" s="33" t="n"/>
      <c r="AH961" s="33" t="n"/>
      <c r="AI961" s="33" t="n"/>
      <c r="AJ961" s="33" t="n"/>
      <c r="AK961" s="33" t="n"/>
      <c r="AL961" s="27" t="n"/>
      <c r="AM961" s="34" t="n"/>
      <c r="AN961" s="35">
        <f>IF(AF961="","",IF(AI961="Yes","❌ Disc",IF(AH961="No","⚠ Missing",IF(AK961="Yes","✓ OK","⚠ Check"))))</f>
        <v/>
      </c>
      <c r="AO961" s="36" t="n"/>
      <c r="AP961" s="36" t="n"/>
      <c r="AQ961" s="36" t="n"/>
      <c r="AR961" s="36" t="n"/>
      <c r="AS961" s="36" t="n"/>
      <c r="AT961" s="36" t="n"/>
      <c r="AU961" s="27" t="n"/>
      <c r="AV961" s="37" t="n"/>
      <c r="AW961" s="38">
        <f>IF(AO961="","",IF(AR961="Yes","❌ Disc",IF(AQ961="No","⚠ Missing",IF(AT961="Yes","✓ OK","⚠ Check"))))</f>
        <v/>
      </c>
    </row>
    <row r="962" ht="18" customHeight="1" s="46">
      <c r="A962" s="39" t="n">
        <v>958</v>
      </c>
      <c r="B962" s="40" t="inlineStr">
        <is>
          <t>WP LNCSF1177120</t>
        </is>
      </c>
      <c r="C962" s="41" t="inlineStr">
        <is>
          <t>Life n Colors - Tropical Colorful Leaves Wallpaper, Pastel Colors  - Non-woven - a soft feel paper</t>
        </is>
      </c>
      <c r="D962" s="39" t="inlineStr">
        <is>
          <t>Life n Colors</t>
        </is>
      </c>
      <c r="E962" s="43" t="n">
        <v>46126</v>
      </c>
      <c r="F962" s="26" t="inlineStr">
        <is>
          <t>Sunil CR</t>
        </is>
      </c>
      <c r="G962" s="26" t="inlineStr">
        <is>
          <t>Yes</t>
        </is>
      </c>
      <c r="H962" s="26" t="inlineStr">
        <is>
          <t>No</t>
        </is>
      </c>
      <c r="I962" s="26" t="inlineStr">
        <is>
          <t>Good finish</t>
        </is>
      </c>
      <c r="J962" s="26" t="inlineStr">
        <is>
          <t>Yes</t>
        </is>
      </c>
      <c r="K962" s="27" t="n"/>
      <c r="L962" s="28" t="inlineStr">
        <is>
          <t>No</t>
        </is>
      </c>
      <c r="M962" s="29">
        <f>IF(E962="","",IF(H962="Yes","❌ Disc",IF(G962="No","⚠ Missing",IF(J962="Yes","✓ OK","⚠ Check"))))</f>
        <v/>
      </c>
      <c r="N962" s="43" t="n">
        <v>46193</v>
      </c>
      <c r="O962" s="26" t="inlineStr">
        <is>
          <t>Sunil CR</t>
        </is>
      </c>
      <c r="P962" s="26" t="inlineStr">
        <is>
          <t>Yes</t>
        </is>
      </c>
      <c r="Q962" s="26" t="inlineStr">
        <is>
          <t>No</t>
        </is>
      </c>
      <c r="R962" s="26" t="inlineStr">
        <is>
          <t>Good finish</t>
        </is>
      </c>
      <c r="S962" s="26" t="inlineStr">
        <is>
          <t>Yes</t>
        </is>
      </c>
      <c r="T962" s="27" t="n"/>
      <c r="U962" s="28" t="inlineStr">
        <is>
          <t>No</t>
        </is>
      </c>
      <c r="V962" s="29">
        <f>IF(N962="","",IF(Q962="Yes","❌ Disc",IF(P962="No","⚠ Missing",IF(S962="Yes","✓ OK","⚠ Check"))))</f>
        <v/>
      </c>
      <c r="W962" s="65" t="n">
        <v>46248</v>
      </c>
      <c r="X962" s="30" t="inlineStr">
        <is>
          <t>Sunil CR</t>
        </is>
      </c>
      <c r="Y962" s="30" t="inlineStr">
        <is>
          <t>Yes</t>
        </is>
      </c>
      <c r="Z962" s="30" t="n"/>
      <c r="AA962" s="30" t="inlineStr">
        <is>
          <t>Good finish</t>
        </is>
      </c>
      <c r="AB962" s="30" t="inlineStr">
        <is>
          <t>Yes</t>
        </is>
      </c>
      <c r="AC962" s="27" t="n"/>
      <c r="AD962" s="31" t="inlineStr">
        <is>
          <t>No</t>
        </is>
      </c>
      <c r="AE962" s="32">
        <f>IF(W962="","",IF(Z962="Yes","❌ Disc",IF(Y962="No","⚠ Missing",IF(AB962="Yes","✓ OK","⚠ Check"))))</f>
        <v/>
      </c>
      <c r="AF962" s="33" t="n"/>
      <c r="AG962" s="33" t="n"/>
      <c r="AH962" s="33" t="n"/>
      <c r="AI962" s="33" t="n"/>
      <c r="AJ962" s="33" t="n"/>
      <c r="AK962" s="33" t="n"/>
      <c r="AL962" s="27" t="n"/>
      <c r="AM962" s="34" t="n"/>
      <c r="AN962" s="35">
        <f>IF(AF962="","",IF(AI962="Yes","❌ Disc",IF(AH962="No","⚠ Missing",IF(AK962="Yes","✓ OK","⚠ Check"))))</f>
        <v/>
      </c>
      <c r="AO962" s="36" t="n"/>
      <c r="AP962" s="36" t="n"/>
      <c r="AQ962" s="36" t="n"/>
      <c r="AR962" s="36" t="n"/>
      <c r="AS962" s="36" t="n"/>
      <c r="AT962" s="36" t="n"/>
      <c r="AU962" s="27" t="n"/>
      <c r="AV962" s="37" t="n"/>
      <c r="AW962" s="38">
        <f>IF(AO962="","",IF(AR962="Yes","❌ Disc",IF(AQ962="No","⚠ Missing",IF(AT962="Yes","✓ OK","⚠ Check"))))</f>
        <v/>
      </c>
    </row>
    <row r="963" ht="18" customHeight="1" s="46">
      <c r="A963" s="23" t="n">
        <v>959</v>
      </c>
      <c r="B963" s="24" t="inlineStr">
        <is>
          <t>WP LNCCN1049836</t>
        </is>
      </c>
      <c r="C963" s="25" t="inlineStr">
        <is>
          <t>Life n Colors - Tropical Green Forest, Customised Digitally Painted Design for Homes  -  Canvas - a texture paper</t>
        </is>
      </c>
      <c r="D963" s="23" t="inlineStr">
        <is>
          <t>Life n Colors</t>
        </is>
      </c>
      <c r="E963" s="43" t="n">
        <v>46126</v>
      </c>
      <c r="F963" s="26" t="inlineStr">
        <is>
          <t>Sunil CR</t>
        </is>
      </c>
      <c r="G963" s="26" t="inlineStr">
        <is>
          <t>Yes</t>
        </is>
      </c>
      <c r="H963" s="26" t="inlineStr">
        <is>
          <t>No</t>
        </is>
      </c>
      <c r="I963" s="26" t="inlineStr">
        <is>
          <t>Good finish</t>
        </is>
      </c>
      <c r="J963" s="26" t="inlineStr">
        <is>
          <t>Yes</t>
        </is>
      </c>
      <c r="K963" s="27" t="n"/>
      <c r="L963" s="28" t="inlineStr">
        <is>
          <t>No</t>
        </is>
      </c>
      <c r="M963" s="29">
        <f>IF(E963="","",IF(H963="Yes","❌ Disc",IF(G963="No","⚠ Missing",IF(J963="Yes","✓ OK","⚠ Check"))))</f>
        <v/>
      </c>
      <c r="N963" s="43" t="n">
        <v>46193</v>
      </c>
      <c r="O963" s="26" t="inlineStr">
        <is>
          <t>Sunil CR</t>
        </is>
      </c>
      <c r="P963" s="26" t="inlineStr">
        <is>
          <t>Yes</t>
        </is>
      </c>
      <c r="Q963" s="26" t="inlineStr">
        <is>
          <t>No</t>
        </is>
      </c>
      <c r="R963" s="26" t="inlineStr">
        <is>
          <t>Good finish</t>
        </is>
      </c>
      <c r="S963" s="26" t="inlineStr">
        <is>
          <t>Yes</t>
        </is>
      </c>
      <c r="T963" s="27" t="n"/>
      <c r="U963" s="28" t="inlineStr">
        <is>
          <t>No</t>
        </is>
      </c>
      <c r="V963" s="29">
        <f>IF(N963="","",IF(Q963="Yes","❌ Disc",IF(P963="No","⚠ Missing",IF(S963="Yes","✓ OK","⚠ Check"))))</f>
        <v/>
      </c>
      <c r="W963" s="65" t="n">
        <v>46248</v>
      </c>
      <c r="X963" s="30" t="inlineStr">
        <is>
          <t>Sunil CR</t>
        </is>
      </c>
      <c r="Y963" s="30" t="inlineStr">
        <is>
          <t>Yes</t>
        </is>
      </c>
      <c r="Z963" s="30" t="n"/>
      <c r="AA963" s="30" t="inlineStr">
        <is>
          <t>Good finish</t>
        </is>
      </c>
      <c r="AB963" s="30" t="inlineStr">
        <is>
          <t>Yes</t>
        </is>
      </c>
      <c r="AC963" s="27" t="n"/>
      <c r="AD963" s="31" t="inlineStr">
        <is>
          <t>No</t>
        </is>
      </c>
      <c r="AE963" s="32">
        <f>IF(W963="","",IF(Z963="Yes","❌ Disc",IF(Y963="No","⚠ Missing",IF(AB963="Yes","✓ OK","⚠ Check"))))</f>
        <v/>
      </c>
      <c r="AF963" s="33" t="n"/>
      <c r="AG963" s="33" t="n"/>
      <c r="AH963" s="33" t="n"/>
      <c r="AI963" s="33" t="n"/>
      <c r="AJ963" s="33" t="n"/>
      <c r="AK963" s="33" t="n"/>
      <c r="AL963" s="27" t="n"/>
      <c r="AM963" s="34" t="n"/>
      <c r="AN963" s="35">
        <f>IF(AF963="","",IF(AI963="Yes","❌ Disc",IF(AH963="No","⚠ Missing",IF(AK963="Yes","✓ OK","⚠ Check"))))</f>
        <v/>
      </c>
      <c r="AO963" s="36" t="n"/>
      <c r="AP963" s="36" t="n"/>
      <c r="AQ963" s="36" t="n"/>
      <c r="AR963" s="36" t="n"/>
      <c r="AS963" s="36" t="n"/>
      <c r="AT963" s="36" t="n"/>
      <c r="AU963" s="27" t="n"/>
      <c r="AV963" s="37" t="n"/>
      <c r="AW963" s="38">
        <f>IF(AO963="","",IF(AR963="Yes","❌ Disc",IF(AQ963="No","⚠ Missing",IF(AT963="Yes","✓ OK","⚠ Check"))))</f>
        <v/>
      </c>
    </row>
    <row r="964" ht="18" customHeight="1" s="46">
      <c r="A964" s="39" t="n">
        <v>960</v>
      </c>
      <c r="B964" s="40" t="inlineStr">
        <is>
          <t>BD-VRM-2026-2231</t>
        </is>
      </c>
      <c r="C964" s="41" t="inlineStr">
        <is>
          <t>Life n Colors - Tropical Green Forest, Customised Digitally Painted Design for Homes  - Non-woven - a soft feel paper</t>
        </is>
      </c>
      <c r="D964" s="39" t="inlineStr">
        <is>
          <t>Life n Colors</t>
        </is>
      </c>
      <c r="E964" s="43" t="n">
        <v>46126</v>
      </c>
      <c r="F964" s="26" t="inlineStr">
        <is>
          <t>Sunil CR</t>
        </is>
      </c>
      <c r="G964" s="26" t="inlineStr">
        <is>
          <t>Yes</t>
        </is>
      </c>
      <c r="H964" s="26" t="inlineStr">
        <is>
          <t>No</t>
        </is>
      </c>
      <c r="I964" s="26" t="inlineStr">
        <is>
          <t>Good finish</t>
        </is>
      </c>
      <c r="J964" s="26" t="inlineStr">
        <is>
          <t>Yes</t>
        </is>
      </c>
      <c r="K964" s="27" t="n"/>
      <c r="L964" s="28" t="inlineStr">
        <is>
          <t>No</t>
        </is>
      </c>
      <c r="M964" s="29">
        <f>IF(E964="","",IF(H964="Yes","❌ Disc",IF(G964="No","⚠ Missing",IF(J964="Yes","✓ OK","⚠ Check"))))</f>
        <v/>
      </c>
      <c r="N964" s="43" t="n">
        <v>46193</v>
      </c>
      <c r="O964" s="26" t="inlineStr">
        <is>
          <t>Sunil CR</t>
        </is>
      </c>
      <c r="P964" s="26" t="inlineStr">
        <is>
          <t>Yes</t>
        </is>
      </c>
      <c r="Q964" s="26" t="inlineStr">
        <is>
          <t>No</t>
        </is>
      </c>
      <c r="R964" s="26" t="inlineStr">
        <is>
          <t>Good finish</t>
        </is>
      </c>
      <c r="S964" s="26" t="inlineStr">
        <is>
          <t>Yes</t>
        </is>
      </c>
      <c r="T964" s="27" t="n"/>
      <c r="U964" s="28" t="inlineStr">
        <is>
          <t>No</t>
        </is>
      </c>
      <c r="V964" s="29">
        <f>IF(N964="","",IF(Q964="Yes","❌ Disc",IF(P964="No","⚠ Missing",IF(S964="Yes","✓ OK","⚠ Check"))))</f>
        <v/>
      </c>
      <c r="W964" s="65" t="n">
        <v>46248</v>
      </c>
      <c r="X964" s="30" t="inlineStr">
        <is>
          <t>Sunil CR</t>
        </is>
      </c>
      <c r="Y964" s="30" t="inlineStr">
        <is>
          <t>Yes</t>
        </is>
      </c>
      <c r="Z964" s="30" t="n"/>
      <c r="AA964" s="30" t="inlineStr">
        <is>
          <t>Good finish</t>
        </is>
      </c>
      <c r="AB964" s="30" t="inlineStr">
        <is>
          <t>Yes</t>
        </is>
      </c>
      <c r="AC964" s="27" t="n"/>
      <c r="AD964" s="31" t="inlineStr">
        <is>
          <t>No</t>
        </is>
      </c>
      <c r="AE964" s="32">
        <f>IF(W964="","",IF(Z964="Yes","❌ Disc",IF(Y964="No","⚠ Missing",IF(AB964="Yes","✓ OK","⚠ Check"))))</f>
        <v/>
      </c>
      <c r="AF964" s="33" t="n"/>
      <c r="AG964" s="33" t="n"/>
      <c r="AH964" s="33" t="n"/>
      <c r="AI964" s="33" t="n"/>
      <c r="AJ964" s="33" t="n"/>
      <c r="AK964" s="33" t="n"/>
      <c r="AL964" s="27" t="n"/>
      <c r="AM964" s="34" t="n"/>
      <c r="AN964" s="35">
        <f>IF(AF964="","",IF(AI964="Yes","❌ Disc",IF(AH964="No","⚠ Missing",IF(AK964="Yes","✓ OK","⚠ Check"))))</f>
        <v/>
      </c>
      <c r="AO964" s="36" t="n"/>
      <c r="AP964" s="36" t="n"/>
      <c r="AQ964" s="36" t="n"/>
      <c r="AR964" s="36" t="n"/>
      <c r="AS964" s="36" t="n"/>
      <c r="AT964" s="36" t="n"/>
      <c r="AU964" s="27" t="n"/>
      <c r="AV964" s="37" t="n"/>
      <c r="AW964" s="38">
        <f>IF(AO964="","",IF(AR964="Yes","❌ Disc",IF(AQ964="No","⚠ Missing",IF(AT964="Yes","✓ OK","⚠ Check"))))</f>
        <v/>
      </c>
    </row>
    <row r="965" ht="18" customHeight="1" s="46">
      <c r="A965" s="23" t="n">
        <v>961</v>
      </c>
      <c r="B965" s="24" t="inlineStr">
        <is>
          <t>WP LNCCN1152851</t>
        </is>
      </c>
      <c r="C965" s="25" t="inlineStr">
        <is>
          <t>Life n Colors - Tropical Jungle with Animals Wallpaper for Kids  -  Canvas - a texture paper</t>
        </is>
      </c>
      <c r="D965" s="23" t="inlineStr">
        <is>
          <t>Life n Colors</t>
        </is>
      </c>
      <c r="E965" s="43" t="n">
        <v>46126</v>
      </c>
      <c r="F965" s="26" t="inlineStr">
        <is>
          <t>Sunil CR</t>
        </is>
      </c>
      <c r="G965" s="26" t="inlineStr">
        <is>
          <t>Yes</t>
        </is>
      </c>
      <c r="H965" s="26" t="inlineStr">
        <is>
          <t>No</t>
        </is>
      </c>
      <c r="I965" s="26" t="inlineStr">
        <is>
          <t>Good finish</t>
        </is>
      </c>
      <c r="J965" s="26" t="inlineStr">
        <is>
          <t>Yes</t>
        </is>
      </c>
      <c r="K965" s="27" t="n"/>
      <c r="L965" s="28" t="inlineStr">
        <is>
          <t>No</t>
        </is>
      </c>
      <c r="M965" s="29">
        <f>IF(E965="","",IF(H965="Yes","❌ Disc",IF(G965="No","⚠ Missing",IF(J965="Yes","✓ OK","⚠ Check"))))</f>
        <v/>
      </c>
      <c r="N965" s="43" t="n">
        <v>46193</v>
      </c>
      <c r="O965" s="26" t="inlineStr">
        <is>
          <t>Sunil CR</t>
        </is>
      </c>
      <c r="P965" s="26" t="inlineStr">
        <is>
          <t>Yes</t>
        </is>
      </c>
      <c r="Q965" s="26" t="inlineStr">
        <is>
          <t>No</t>
        </is>
      </c>
      <c r="R965" s="26" t="inlineStr">
        <is>
          <t>Good finish</t>
        </is>
      </c>
      <c r="S965" s="26" t="inlineStr">
        <is>
          <t>Yes</t>
        </is>
      </c>
      <c r="T965" s="27" t="n"/>
      <c r="U965" s="28" t="inlineStr">
        <is>
          <t>No</t>
        </is>
      </c>
      <c r="V965" s="29">
        <f>IF(N965="","",IF(Q965="Yes","❌ Disc",IF(P965="No","⚠ Missing",IF(S965="Yes","✓ OK","⚠ Check"))))</f>
        <v/>
      </c>
      <c r="W965" s="65" t="n">
        <v>46248</v>
      </c>
      <c r="X965" s="30" t="inlineStr">
        <is>
          <t>Sunil CR</t>
        </is>
      </c>
      <c r="Y965" s="30" t="inlineStr">
        <is>
          <t>Yes</t>
        </is>
      </c>
      <c r="Z965" s="30" t="n"/>
      <c r="AA965" s="30" t="inlineStr">
        <is>
          <t>Good finish</t>
        </is>
      </c>
      <c r="AB965" s="30" t="inlineStr">
        <is>
          <t>Yes</t>
        </is>
      </c>
      <c r="AC965" s="27" t="n"/>
      <c r="AD965" s="31" t="inlineStr">
        <is>
          <t>No</t>
        </is>
      </c>
      <c r="AE965" s="32">
        <f>IF(W965="","",IF(Z965="Yes","❌ Disc",IF(Y965="No","⚠ Missing",IF(AB965="Yes","✓ OK","⚠ Check"))))</f>
        <v/>
      </c>
      <c r="AF965" s="33" t="n"/>
      <c r="AG965" s="33" t="n"/>
      <c r="AH965" s="33" t="n"/>
      <c r="AI965" s="33" t="n"/>
      <c r="AJ965" s="33" t="n"/>
      <c r="AK965" s="33" t="n"/>
      <c r="AL965" s="27" t="n"/>
      <c r="AM965" s="34" t="n"/>
      <c r="AN965" s="35">
        <f>IF(AF965="","",IF(AI965="Yes","❌ Disc",IF(AH965="No","⚠ Missing",IF(AK965="Yes","✓ OK","⚠ Check"))))</f>
        <v/>
      </c>
      <c r="AO965" s="36" t="n"/>
      <c r="AP965" s="36" t="n"/>
      <c r="AQ965" s="36" t="n"/>
      <c r="AR965" s="36" t="n"/>
      <c r="AS965" s="36" t="n"/>
      <c r="AT965" s="36" t="n"/>
      <c r="AU965" s="27" t="n"/>
      <c r="AV965" s="37" t="n"/>
      <c r="AW965" s="38">
        <f>IF(AO965="","",IF(AR965="Yes","❌ Disc",IF(AQ965="No","⚠ Missing",IF(AT965="Yes","✓ OK","⚠ Check"))))</f>
        <v/>
      </c>
    </row>
    <row r="966" ht="18" customHeight="1" s="46">
      <c r="A966" s="39" t="n">
        <v>962</v>
      </c>
      <c r="B966" s="40" t="inlineStr">
        <is>
          <t>WP LNCSF1152851</t>
        </is>
      </c>
      <c r="C966" s="41" t="inlineStr">
        <is>
          <t>Life n Colors - Tropical Jungle with Animals Wallpaper for Kids  - Non-woven - a soft feel paper</t>
        </is>
      </c>
      <c r="D966" s="39" t="inlineStr">
        <is>
          <t>Life n Colors</t>
        </is>
      </c>
      <c r="E966" s="43" t="n">
        <v>46126</v>
      </c>
      <c r="F966" s="26" t="inlineStr">
        <is>
          <t>Sunil CR</t>
        </is>
      </c>
      <c r="G966" s="26" t="inlineStr">
        <is>
          <t>Yes</t>
        </is>
      </c>
      <c r="H966" s="26" t="inlineStr">
        <is>
          <t>No</t>
        </is>
      </c>
      <c r="I966" s="26" t="inlineStr">
        <is>
          <t>Good finish</t>
        </is>
      </c>
      <c r="J966" s="26" t="inlineStr">
        <is>
          <t>Yes</t>
        </is>
      </c>
      <c r="K966" s="27" t="n"/>
      <c r="L966" s="28" t="inlineStr">
        <is>
          <t>No</t>
        </is>
      </c>
      <c r="M966" s="29">
        <f>IF(E966="","",IF(H966="Yes","❌ Disc",IF(G966="No","⚠ Missing",IF(J966="Yes","✓ OK","⚠ Check"))))</f>
        <v/>
      </c>
      <c r="N966" s="43" t="n">
        <v>46193</v>
      </c>
      <c r="O966" s="26" t="inlineStr">
        <is>
          <t>Sunil CR</t>
        </is>
      </c>
      <c r="P966" s="26" t="inlineStr">
        <is>
          <t>Yes</t>
        </is>
      </c>
      <c r="Q966" s="26" t="inlineStr">
        <is>
          <t>No</t>
        </is>
      </c>
      <c r="R966" s="26" t="inlineStr">
        <is>
          <t>Good finish</t>
        </is>
      </c>
      <c r="S966" s="26" t="inlineStr">
        <is>
          <t>Yes</t>
        </is>
      </c>
      <c r="T966" s="27" t="n"/>
      <c r="U966" s="28" t="inlineStr">
        <is>
          <t>No</t>
        </is>
      </c>
      <c r="V966" s="29">
        <f>IF(N966="","",IF(Q966="Yes","❌ Disc",IF(P966="No","⚠ Missing",IF(S966="Yes","✓ OK","⚠ Check"))))</f>
        <v/>
      </c>
      <c r="W966" s="65" t="n">
        <v>46248</v>
      </c>
      <c r="X966" s="30" t="inlineStr">
        <is>
          <t>Sunil CR</t>
        </is>
      </c>
      <c r="Y966" s="30" t="inlineStr">
        <is>
          <t>Yes</t>
        </is>
      </c>
      <c r="Z966" s="30" t="n"/>
      <c r="AA966" s="30" t="inlineStr">
        <is>
          <t>Good finish</t>
        </is>
      </c>
      <c r="AB966" s="30" t="inlineStr">
        <is>
          <t>Yes</t>
        </is>
      </c>
      <c r="AC966" s="27" t="n"/>
      <c r="AD966" s="31" t="inlineStr">
        <is>
          <t>No</t>
        </is>
      </c>
      <c r="AE966" s="32">
        <f>IF(W966="","",IF(Z966="Yes","❌ Disc",IF(Y966="No","⚠ Missing",IF(AB966="Yes","✓ OK","⚠ Check"))))</f>
        <v/>
      </c>
      <c r="AF966" s="33" t="n"/>
      <c r="AG966" s="33" t="n"/>
      <c r="AH966" s="33" t="n"/>
      <c r="AI966" s="33" t="n"/>
      <c r="AJ966" s="33" t="n"/>
      <c r="AK966" s="33" t="n"/>
      <c r="AL966" s="27" t="n"/>
      <c r="AM966" s="34" t="n"/>
      <c r="AN966" s="35">
        <f>IF(AF966="","",IF(AI966="Yes","❌ Disc",IF(AH966="No","⚠ Missing",IF(AK966="Yes","✓ OK","⚠ Check"))))</f>
        <v/>
      </c>
      <c r="AO966" s="36" t="n"/>
      <c r="AP966" s="36" t="n"/>
      <c r="AQ966" s="36" t="n"/>
      <c r="AR966" s="36" t="n"/>
      <c r="AS966" s="36" t="n"/>
      <c r="AT966" s="36" t="n"/>
      <c r="AU966" s="27" t="n"/>
      <c r="AV966" s="37" t="n"/>
      <c r="AW966" s="38">
        <f>IF(AO966="","",IF(AR966="Yes","❌ Disc",IF(AQ966="No","⚠ Missing",IF(AT966="Yes","✓ OK","⚠ Check"))))</f>
        <v/>
      </c>
    </row>
    <row r="967" ht="18" customHeight="1" s="46">
      <c r="A967" s="23" t="n">
        <v>963</v>
      </c>
      <c r="B967" s="24" t="inlineStr">
        <is>
          <t>WP LNCCN1001496</t>
        </is>
      </c>
      <c r="C967" s="25" t="inlineStr">
        <is>
          <t>Life n Colors - Tropical Room Wallpaper, Green Background, Customise  -  Canvas - a texture paper</t>
        </is>
      </c>
      <c r="D967" s="23" t="inlineStr">
        <is>
          <t>Life n Colors</t>
        </is>
      </c>
      <c r="E967" s="43" t="n">
        <v>46126</v>
      </c>
      <c r="F967" s="26" t="inlineStr">
        <is>
          <t>Sunil CR</t>
        </is>
      </c>
      <c r="G967" s="26" t="inlineStr">
        <is>
          <t>Yes</t>
        </is>
      </c>
      <c r="H967" s="26" t="inlineStr">
        <is>
          <t>No</t>
        </is>
      </c>
      <c r="I967" s="26" t="inlineStr">
        <is>
          <t>Good finish</t>
        </is>
      </c>
      <c r="J967" s="26" t="inlineStr">
        <is>
          <t>Yes</t>
        </is>
      </c>
      <c r="K967" s="27" t="n"/>
      <c r="L967" s="28" t="inlineStr">
        <is>
          <t>No</t>
        </is>
      </c>
      <c r="M967" s="29">
        <f>IF(E967="","",IF(H967="Yes","❌ Disc",IF(G967="No","⚠ Missing",IF(J967="Yes","✓ OK","⚠ Check"))))</f>
        <v/>
      </c>
      <c r="N967" s="43" t="n">
        <v>46193</v>
      </c>
      <c r="O967" s="26" t="inlineStr">
        <is>
          <t>Sunil CR</t>
        </is>
      </c>
      <c r="P967" s="26" t="inlineStr">
        <is>
          <t>Yes</t>
        </is>
      </c>
      <c r="Q967" s="26" t="inlineStr">
        <is>
          <t>No</t>
        </is>
      </c>
      <c r="R967" s="26" t="inlineStr">
        <is>
          <t>Good finish</t>
        </is>
      </c>
      <c r="S967" s="26" t="inlineStr">
        <is>
          <t>Yes</t>
        </is>
      </c>
      <c r="T967" s="27" t="n"/>
      <c r="U967" s="28" t="inlineStr">
        <is>
          <t>No</t>
        </is>
      </c>
      <c r="V967" s="29">
        <f>IF(N967="","",IF(Q967="Yes","❌ Disc",IF(P967="No","⚠ Missing",IF(S967="Yes","✓ OK","⚠ Check"))))</f>
        <v/>
      </c>
      <c r="W967" s="65" t="n">
        <v>46248</v>
      </c>
      <c r="X967" s="30" t="inlineStr">
        <is>
          <t>Sunil CR</t>
        </is>
      </c>
      <c r="Y967" s="30" t="inlineStr">
        <is>
          <t>Yes</t>
        </is>
      </c>
      <c r="Z967" s="30" t="n"/>
      <c r="AA967" s="30" t="inlineStr">
        <is>
          <t>Good finish</t>
        </is>
      </c>
      <c r="AB967" s="30" t="inlineStr">
        <is>
          <t>Yes</t>
        </is>
      </c>
      <c r="AC967" s="27" t="n"/>
      <c r="AD967" s="31" t="inlineStr">
        <is>
          <t>No</t>
        </is>
      </c>
      <c r="AE967" s="32">
        <f>IF(W967="","",IF(Z967="Yes","❌ Disc",IF(Y967="No","⚠ Missing",IF(AB967="Yes","✓ OK","⚠ Check"))))</f>
        <v/>
      </c>
      <c r="AF967" s="33" t="n"/>
      <c r="AG967" s="33" t="n"/>
      <c r="AH967" s="33" t="n"/>
      <c r="AI967" s="33" t="n"/>
      <c r="AJ967" s="33" t="n"/>
      <c r="AK967" s="33" t="n"/>
      <c r="AL967" s="27" t="n"/>
      <c r="AM967" s="34" t="n"/>
      <c r="AN967" s="35">
        <f>IF(AF967="","",IF(AI967="Yes","❌ Disc",IF(AH967="No","⚠ Missing",IF(AK967="Yes","✓ OK","⚠ Check"))))</f>
        <v/>
      </c>
      <c r="AO967" s="36" t="n"/>
      <c r="AP967" s="36" t="n"/>
      <c r="AQ967" s="36" t="n"/>
      <c r="AR967" s="36" t="n"/>
      <c r="AS967" s="36" t="n"/>
      <c r="AT967" s="36" t="n"/>
      <c r="AU967" s="27" t="n"/>
      <c r="AV967" s="37" t="n"/>
      <c r="AW967" s="38">
        <f>IF(AO967="","",IF(AR967="Yes","❌ Disc",IF(AQ967="No","⚠ Missing",IF(AT967="Yes","✓ OK","⚠ Check"))))</f>
        <v/>
      </c>
    </row>
    <row r="968" ht="18" customHeight="1" s="46">
      <c r="A968" s="39" t="n">
        <v>964</v>
      </c>
      <c r="B968" s="40" t="inlineStr">
        <is>
          <t>WP LNCSF1001496</t>
        </is>
      </c>
      <c r="C968" s="41" t="inlineStr">
        <is>
          <t>Life n Colors - Tropical Room Wallpaper, Green Background, Customise  - Non-woven - a soft feel paper</t>
        </is>
      </c>
      <c r="D968" s="39" t="inlineStr">
        <is>
          <t>Life n Colors</t>
        </is>
      </c>
      <c r="E968" s="43" t="n">
        <v>46126</v>
      </c>
      <c r="F968" s="26" t="inlineStr">
        <is>
          <t>Sunil CR</t>
        </is>
      </c>
      <c r="G968" s="26" t="inlineStr">
        <is>
          <t>Yes</t>
        </is>
      </c>
      <c r="H968" s="26" t="inlineStr">
        <is>
          <t>No</t>
        </is>
      </c>
      <c r="I968" s="26" t="inlineStr">
        <is>
          <t>Good finish</t>
        </is>
      </c>
      <c r="J968" s="26" t="inlineStr">
        <is>
          <t>Yes</t>
        </is>
      </c>
      <c r="K968" s="27" t="n"/>
      <c r="L968" s="28" t="inlineStr">
        <is>
          <t>No</t>
        </is>
      </c>
      <c r="M968" s="29">
        <f>IF(E968="","",IF(H968="Yes","❌ Disc",IF(G968="No","⚠ Missing",IF(J968="Yes","✓ OK","⚠ Check"))))</f>
        <v/>
      </c>
      <c r="N968" s="43" t="n">
        <v>46193</v>
      </c>
      <c r="O968" s="26" t="inlineStr">
        <is>
          <t>Sunil CR</t>
        </is>
      </c>
      <c r="P968" s="26" t="inlineStr">
        <is>
          <t>Yes</t>
        </is>
      </c>
      <c r="Q968" s="26" t="inlineStr">
        <is>
          <t>No</t>
        </is>
      </c>
      <c r="R968" s="26" t="inlineStr">
        <is>
          <t>Good finish</t>
        </is>
      </c>
      <c r="S968" s="26" t="inlineStr">
        <is>
          <t>Yes</t>
        </is>
      </c>
      <c r="T968" s="27" t="n"/>
      <c r="U968" s="28" t="inlineStr">
        <is>
          <t>No</t>
        </is>
      </c>
      <c r="V968" s="29">
        <f>IF(N968="","",IF(Q968="Yes","❌ Disc",IF(P968="No","⚠ Missing",IF(S968="Yes","✓ OK","⚠ Check"))))</f>
        <v/>
      </c>
      <c r="W968" s="65" t="n">
        <v>46248</v>
      </c>
      <c r="X968" s="30" t="inlineStr">
        <is>
          <t>Sunil CR</t>
        </is>
      </c>
      <c r="Y968" s="30" t="inlineStr">
        <is>
          <t>Yes</t>
        </is>
      </c>
      <c r="Z968" s="30" t="n"/>
      <c r="AA968" s="30" t="inlineStr">
        <is>
          <t>Good finish</t>
        </is>
      </c>
      <c r="AB968" s="30" t="inlineStr">
        <is>
          <t>Yes</t>
        </is>
      </c>
      <c r="AC968" s="27" t="n"/>
      <c r="AD968" s="31" t="inlineStr">
        <is>
          <t>No</t>
        </is>
      </c>
      <c r="AE968" s="32">
        <f>IF(W968="","",IF(Z968="Yes","❌ Disc",IF(Y968="No","⚠ Missing",IF(AB968="Yes","✓ OK","⚠ Check"))))</f>
        <v/>
      </c>
      <c r="AF968" s="33" t="n"/>
      <c r="AG968" s="33" t="n"/>
      <c r="AH968" s="33" t="n"/>
      <c r="AI968" s="33" t="n"/>
      <c r="AJ968" s="33" t="n"/>
      <c r="AK968" s="33" t="n"/>
      <c r="AL968" s="27" t="n"/>
      <c r="AM968" s="34" t="n"/>
      <c r="AN968" s="35">
        <f>IF(AF968="","",IF(AI968="Yes","❌ Disc",IF(AH968="No","⚠ Missing",IF(AK968="Yes","✓ OK","⚠ Check"))))</f>
        <v/>
      </c>
      <c r="AO968" s="36" t="n"/>
      <c r="AP968" s="36" t="n"/>
      <c r="AQ968" s="36" t="n"/>
      <c r="AR968" s="36" t="n"/>
      <c r="AS968" s="36" t="n"/>
      <c r="AT968" s="36" t="n"/>
      <c r="AU968" s="27" t="n"/>
      <c r="AV968" s="37" t="n"/>
      <c r="AW968" s="38">
        <f>IF(AO968="","",IF(AR968="Yes","❌ Disc",IF(AQ968="No","⚠ Missing",IF(AT968="Yes","✓ OK","⚠ Check"))))</f>
        <v/>
      </c>
    </row>
    <row r="969" ht="18" customHeight="1" s="46">
      <c r="A969" s="23" t="n">
        <v>965</v>
      </c>
      <c r="B969" s="24" t="inlineStr">
        <is>
          <t>WP LNCCN1143603</t>
        </is>
      </c>
      <c r="C969" s="25" t="inlineStr">
        <is>
          <t>Life n Colors - Tropical Theme Wallpaper, Burgundy Background, Customised  -  Canvas - a texture paper</t>
        </is>
      </c>
      <c r="D969" s="23" t="inlineStr">
        <is>
          <t>Life n Colors</t>
        </is>
      </c>
      <c r="E969" s="43" t="n">
        <v>46126</v>
      </c>
      <c r="F969" s="26" t="inlineStr">
        <is>
          <t>Sunil CR</t>
        </is>
      </c>
      <c r="G969" s="26" t="inlineStr">
        <is>
          <t>Yes</t>
        </is>
      </c>
      <c r="H969" s="26" t="inlineStr">
        <is>
          <t>No</t>
        </is>
      </c>
      <c r="I969" s="26" t="inlineStr">
        <is>
          <t>Good finish</t>
        </is>
      </c>
      <c r="J969" s="26" t="inlineStr">
        <is>
          <t>Yes</t>
        </is>
      </c>
      <c r="K969" s="27" t="n"/>
      <c r="L969" s="28" t="inlineStr">
        <is>
          <t>No</t>
        </is>
      </c>
      <c r="M969" s="29">
        <f>IF(E969="","",IF(H969="Yes","❌ Disc",IF(G969="No","⚠ Missing",IF(J969="Yes","✓ OK","⚠ Check"))))</f>
        <v/>
      </c>
      <c r="N969" s="43" t="n">
        <v>46193</v>
      </c>
      <c r="O969" s="26" t="inlineStr">
        <is>
          <t>Sunil CR</t>
        </is>
      </c>
      <c r="P969" s="26" t="inlineStr">
        <is>
          <t>Yes</t>
        </is>
      </c>
      <c r="Q969" s="26" t="inlineStr">
        <is>
          <t>No</t>
        </is>
      </c>
      <c r="R969" s="26" t="inlineStr">
        <is>
          <t>Good finish</t>
        </is>
      </c>
      <c r="S969" s="26" t="inlineStr">
        <is>
          <t>Yes</t>
        </is>
      </c>
      <c r="T969" s="27" t="n"/>
      <c r="U969" s="28" t="inlineStr">
        <is>
          <t>No</t>
        </is>
      </c>
      <c r="V969" s="29">
        <f>IF(N969="","",IF(Q969="Yes","❌ Disc",IF(P969="No","⚠ Missing",IF(S969="Yes","✓ OK","⚠ Check"))))</f>
        <v/>
      </c>
      <c r="W969" s="65" t="n">
        <v>46248</v>
      </c>
      <c r="X969" s="30" t="inlineStr">
        <is>
          <t>Sunil CR</t>
        </is>
      </c>
      <c r="Y969" s="30" t="inlineStr">
        <is>
          <t>Yes</t>
        </is>
      </c>
      <c r="Z969" s="30" t="n"/>
      <c r="AA969" s="30" t="inlineStr">
        <is>
          <t>Good finish</t>
        </is>
      </c>
      <c r="AB969" s="30" t="inlineStr">
        <is>
          <t>Yes</t>
        </is>
      </c>
      <c r="AC969" s="27" t="n"/>
      <c r="AD969" s="31" t="inlineStr">
        <is>
          <t>No</t>
        </is>
      </c>
      <c r="AE969" s="32">
        <f>IF(W969="","",IF(Z969="Yes","❌ Disc",IF(Y969="No","⚠ Missing",IF(AB969="Yes","✓ OK","⚠ Check"))))</f>
        <v/>
      </c>
      <c r="AF969" s="33" t="n"/>
      <c r="AG969" s="33" t="n"/>
      <c r="AH969" s="33" t="n"/>
      <c r="AI969" s="33" t="n"/>
      <c r="AJ969" s="33" t="n"/>
      <c r="AK969" s="33" t="n"/>
      <c r="AL969" s="27" t="n"/>
      <c r="AM969" s="34" t="n"/>
      <c r="AN969" s="35">
        <f>IF(AF969="","",IF(AI969="Yes","❌ Disc",IF(AH969="No","⚠ Missing",IF(AK969="Yes","✓ OK","⚠ Check"))))</f>
        <v/>
      </c>
      <c r="AO969" s="36" t="n"/>
      <c r="AP969" s="36" t="n"/>
      <c r="AQ969" s="36" t="n"/>
      <c r="AR969" s="36" t="n"/>
      <c r="AS969" s="36" t="n"/>
      <c r="AT969" s="36" t="n"/>
      <c r="AU969" s="27" t="n"/>
      <c r="AV969" s="37" t="n"/>
      <c r="AW969" s="38">
        <f>IF(AO969="","",IF(AR969="Yes","❌ Disc",IF(AQ969="No","⚠ Missing",IF(AT969="Yes","✓ OK","⚠ Check"))))</f>
        <v/>
      </c>
    </row>
    <row r="970" ht="18" customHeight="1" s="46">
      <c r="A970" s="39" t="n">
        <v>966</v>
      </c>
      <c r="B970" s="40" t="inlineStr">
        <is>
          <t>WP LNCSF1143603</t>
        </is>
      </c>
      <c r="C970" s="41" t="inlineStr">
        <is>
          <t>Life n Colors - Tropical Theme Wallpaper, Burgundy Background, Customised  - Non-woven - a soft feel paper</t>
        </is>
      </c>
      <c r="D970" s="39" t="inlineStr">
        <is>
          <t>Life n Colors</t>
        </is>
      </c>
      <c r="E970" s="43" t="n">
        <v>46126</v>
      </c>
      <c r="F970" s="26" t="inlineStr">
        <is>
          <t>Sunil CR</t>
        </is>
      </c>
      <c r="G970" s="26" t="inlineStr">
        <is>
          <t>Yes</t>
        </is>
      </c>
      <c r="H970" s="26" t="inlineStr">
        <is>
          <t>No</t>
        </is>
      </c>
      <c r="I970" s="26" t="inlineStr">
        <is>
          <t>Good finish</t>
        </is>
      </c>
      <c r="J970" s="26" t="inlineStr">
        <is>
          <t>Yes</t>
        </is>
      </c>
      <c r="K970" s="27" t="n"/>
      <c r="L970" s="28" t="inlineStr">
        <is>
          <t>No</t>
        </is>
      </c>
      <c r="M970" s="29">
        <f>IF(E970="","",IF(H970="Yes","❌ Disc",IF(G970="No","⚠ Missing",IF(J970="Yes","✓ OK","⚠ Check"))))</f>
        <v/>
      </c>
      <c r="N970" s="43" t="n">
        <v>46193</v>
      </c>
      <c r="O970" s="26" t="inlineStr">
        <is>
          <t>Sunil CR</t>
        </is>
      </c>
      <c r="P970" s="26" t="inlineStr">
        <is>
          <t>Yes</t>
        </is>
      </c>
      <c r="Q970" s="26" t="inlineStr">
        <is>
          <t>No</t>
        </is>
      </c>
      <c r="R970" s="26" t="inlineStr">
        <is>
          <t>Good finish</t>
        </is>
      </c>
      <c r="S970" s="26" t="inlineStr">
        <is>
          <t>Yes</t>
        </is>
      </c>
      <c r="T970" s="27" t="n"/>
      <c r="U970" s="28" t="inlineStr">
        <is>
          <t>No</t>
        </is>
      </c>
      <c r="V970" s="29">
        <f>IF(N970="","",IF(Q970="Yes","❌ Disc",IF(P970="No","⚠ Missing",IF(S970="Yes","✓ OK","⚠ Check"))))</f>
        <v/>
      </c>
      <c r="W970" s="65" t="n">
        <v>46248</v>
      </c>
      <c r="X970" s="30" t="inlineStr">
        <is>
          <t>Sunil CR</t>
        </is>
      </c>
      <c r="Y970" s="30" t="inlineStr">
        <is>
          <t>Yes</t>
        </is>
      </c>
      <c r="Z970" s="30" t="n"/>
      <c r="AA970" s="30" t="inlineStr">
        <is>
          <t>Good finish</t>
        </is>
      </c>
      <c r="AB970" s="30" t="inlineStr">
        <is>
          <t>Yes</t>
        </is>
      </c>
      <c r="AC970" s="27" t="n"/>
      <c r="AD970" s="31" t="inlineStr">
        <is>
          <t>No</t>
        </is>
      </c>
      <c r="AE970" s="32">
        <f>IF(W970="","",IF(Z970="Yes","❌ Disc",IF(Y970="No","⚠ Missing",IF(AB970="Yes","✓ OK","⚠ Check"))))</f>
        <v/>
      </c>
      <c r="AF970" s="33" t="n"/>
      <c r="AG970" s="33" t="n"/>
      <c r="AH970" s="33" t="n"/>
      <c r="AI970" s="33" t="n"/>
      <c r="AJ970" s="33" t="n"/>
      <c r="AK970" s="33" t="n"/>
      <c r="AL970" s="27" t="n"/>
      <c r="AM970" s="34" t="n"/>
      <c r="AN970" s="35">
        <f>IF(AF970="","",IF(AI970="Yes","❌ Disc",IF(AH970="No","⚠ Missing",IF(AK970="Yes","✓ OK","⚠ Check"))))</f>
        <v/>
      </c>
      <c r="AO970" s="36" t="n"/>
      <c r="AP970" s="36" t="n"/>
      <c r="AQ970" s="36" t="n"/>
      <c r="AR970" s="36" t="n"/>
      <c r="AS970" s="36" t="n"/>
      <c r="AT970" s="36" t="n"/>
      <c r="AU970" s="27" t="n"/>
      <c r="AV970" s="37" t="n"/>
      <c r="AW970" s="38">
        <f>IF(AO970="","",IF(AR970="Yes","❌ Disc",IF(AQ970="No","⚠ Missing",IF(AT970="Yes","✓ OK","⚠ Check"))))</f>
        <v/>
      </c>
    </row>
    <row r="971" ht="18" customHeight="1" s="46">
      <c r="A971" s="23" t="n">
        <v>967</v>
      </c>
      <c r="B971" s="24" t="inlineStr">
        <is>
          <t>WP LNCCN1084477</t>
        </is>
      </c>
      <c r="C971" s="25" t="inlineStr">
        <is>
          <t>Life n Colors - Tropical Trees Wallpaper for Rooms, Customised  -  Canvas - a texture paper</t>
        </is>
      </c>
      <c r="D971" s="23" t="inlineStr">
        <is>
          <t>Life n Colors</t>
        </is>
      </c>
      <c r="E971" s="43" t="n">
        <v>46126</v>
      </c>
      <c r="F971" s="26" t="inlineStr">
        <is>
          <t>Sunil CR</t>
        </is>
      </c>
      <c r="G971" s="26" t="inlineStr">
        <is>
          <t>Yes</t>
        </is>
      </c>
      <c r="H971" s="26" t="inlineStr">
        <is>
          <t>No</t>
        </is>
      </c>
      <c r="I971" s="26" t="inlineStr">
        <is>
          <t>Good finish</t>
        </is>
      </c>
      <c r="J971" s="26" t="inlineStr">
        <is>
          <t>Yes</t>
        </is>
      </c>
      <c r="K971" s="27" t="n"/>
      <c r="L971" s="28" t="inlineStr">
        <is>
          <t>No</t>
        </is>
      </c>
      <c r="M971" s="29">
        <f>IF(E971="","",IF(H971="Yes","❌ Disc",IF(G971="No","⚠ Missing",IF(J971="Yes","✓ OK","⚠ Check"))))</f>
        <v/>
      </c>
      <c r="N971" s="43" t="n">
        <v>46193</v>
      </c>
      <c r="O971" s="26" t="inlineStr">
        <is>
          <t>Sunil CR</t>
        </is>
      </c>
      <c r="P971" s="26" t="inlineStr">
        <is>
          <t>Yes</t>
        </is>
      </c>
      <c r="Q971" s="26" t="inlineStr">
        <is>
          <t>No</t>
        </is>
      </c>
      <c r="R971" s="26" t="inlineStr">
        <is>
          <t>Good finish</t>
        </is>
      </c>
      <c r="S971" s="26" t="inlineStr">
        <is>
          <t>Yes</t>
        </is>
      </c>
      <c r="T971" s="27" t="n"/>
      <c r="U971" s="28" t="inlineStr">
        <is>
          <t>No</t>
        </is>
      </c>
      <c r="V971" s="29">
        <f>IF(N971="","",IF(Q971="Yes","❌ Disc",IF(P971="No","⚠ Missing",IF(S971="Yes","✓ OK","⚠ Check"))))</f>
        <v/>
      </c>
      <c r="W971" s="65" t="n">
        <v>46248</v>
      </c>
      <c r="X971" s="30" t="inlineStr">
        <is>
          <t>Sunil CR</t>
        </is>
      </c>
      <c r="Y971" s="30" t="inlineStr">
        <is>
          <t>Yes</t>
        </is>
      </c>
      <c r="Z971" s="30" t="n"/>
      <c r="AA971" s="30" t="inlineStr">
        <is>
          <t>Good finish</t>
        </is>
      </c>
      <c r="AB971" s="30" t="inlineStr">
        <is>
          <t>Yes</t>
        </is>
      </c>
      <c r="AC971" s="27" t="n"/>
      <c r="AD971" s="31" t="inlineStr">
        <is>
          <t>No</t>
        </is>
      </c>
      <c r="AE971" s="32">
        <f>IF(W971="","",IF(Z971="Yes","❌ Disc",IF(Y971="No","⚠ Missing",IF(AB971="Yes","✓ OK","⚠ Check"))))</f>
        <v/>
      </c>
      <c r="AF971" s="33" t="n"/>
      <c r="AG971" s="33" t="n"/>
      <c r="AH971" s="33" t="n"/>
      <c r="AI971" s="33" t="n"/>
      <c r="AJ971" s="33" t="n"/>
      <c r="AK971" s="33" t="n"/>
      <c r="AL971" s="27" t="n"/>
      <c r="AM971" s="34" t="n"/>
      <c r="AN971" s="35">
        <f>IF(AF971="","",IF(AI971="Yes","❌ Disc",IF(AH971="No","⚠ Missing",IF(AK971="Yes","✓ OK","⚠ Check"))))</f>
        <v/>
      </c>
      <c r="AO971" s="36" t="n"/>
      <c r="AP971" s="36" t="n"/>
      <c r="AQ971" s="36" t="n"/>
      <c r="AR971" s="36" t="n"/>
      <c r="AS971" s="36" t="n"/>
      <c r="AT971" s="36" t="n"/>
      <c r="AU971" s="27" t="n"/>
      <c r="AV971" s="37" t="n"/>
      <c r="AW971" s="38">
        <f>IF(AO971="","",IF(AR971="Yes","❌ Disc",IF(AQ971="No","⚠ Missing",IF(AT971="Yes","✓ OK","⚠ Check"))))</f>
        <v/>
      </c>
    </row>
    <row r="972" ht="18" customHeight="1" s="46">
      <c r="A972" s="39" t="n">
        <v>968</v>
      </c>
      <c r="B972" s="40" t="inlineStr">
        <is>
          <t>WP LNCSF1084477</t>
        </is>
      </c>
      <c r="C972" s="41" t="inlineStr">
        <is>
          <t>Life n Colors - Tropical Trees Wallpaper for Rooms, Customised  - Non-woven - a soft feel paper</t>
        </is>
      </c>
      <c r="D972" s="39" t="inlineStr">
        <is>
          <t>Life n Colors</t>
        </is>
      </c>
      <c r="E972" s="43" t="n">
        <v>46126</v>
      </c>
      <c r="F972" s="26" t="inlineStr">
        <is>
          <t>Sunil CR</t>
        </is>
      </c>
      <c r="G972" s="26" t="inlineStr">
        <is>
          <t>Yes</t>
        </is>
      </c>
      <c r="H972" s="26" t="inlineStr">
        <is>
          <t>No</t>
        </is>
      </c>
      <c r="I972" s="26" t="inlineStr">
        <is>
          <t>Good finish</t>
        </is>
      </c>
      <c r="J972" s="26" t="inlineStr">
        <is>
          <t>Yes</t>
        </is>
      </c>
      <c r="K972" s="27" t="n"/>
      <c r="L972" s="28" t="inlineStr">
        <is>
          <t>No</t>
        </is>
      </c>
      <c r="M972" s="29">
        <f>IF(E972="","",IF(H972="Yes","❌ Disc",IF(G972="No","⚠ Missing",IF(J972="Yes","✓ OK","⚠ Check"))))</f>
        <v/>
      </c>
      <c r="N972" s="43" t="n">
        <v>46193</v>
      </c>
      <c r="O972" s="26" t="inlineStr">
        <is>
          <t>Sunil CR</t>
        </is>
      </c>
      <c r="P972" s="26" t="inlineStr">
        <is>
          <t>Yes</t>
        </is>
      </c>
      <c r="Q972" s="26" t="inlineStr">
        <is>
          <t>No</t>
        </is>
      </c>
      <c r="R972" s="26" t="inlineStr">
        <is>
          <t>Good finish</t>
        </is>
      </c>
      <c r="S972" s="26" t="inlineStr">
        <is>
          <t>Yes</t>
        </is>
      </c>
      <c r="T972" s="27" t="n"/>
      <c r="U972" s="28" t="inlineStr">
        <is>
          <t>No</t>
        </is>
      </c>
      <c r="V972" s="29">
        <f>IF(N972="","",IF(Q972="Yes","❌ Disc",IF(P972="No","⚠ Missing",IF(S972="Yes","✓ OK","⚠ Check"))))</f>
        <v/>
      </c>
      <c r="W972" s="65" t="n">
        <v>46248</v>
      </c>
      <c r="X972" s="30" t="inlineStr">
        <is>
          <t>Sunil CR</t>
        </is>
      </c>
      <c r="Y972" s="30" t="inlineStr">
        <is>
          <t>Yes</t>
        </is>
      </c>
      <c r="Z972" s="30" t="n"/>
      <c r="AA972" s="30" t="inlineStr">
        <is>
          <t>Good finish</t>
        </is>
      </c>
      <c r="AB972" s="30" t="inlineStr">
        <is>
          <t>Yes</t>
        </is>
      </c>
      <c r="AC972" s="27" t="n"/>
      <c r="AD972" s="31" t="inlineStr">
        <is>
          <t>No</t>
        </is>
      </c>
      <c r="AE972" s="32">
        <f>IF(W972="","",IF(Z972="Yes","❌ Disc",IF(Y972="No","⚠ Missing",IF(AB972="Yes","✓ OK","⚠ Check"))))</f>
        <v/>
      </c>
      <c r="AF972" s="33" t="n"/>
      <c r="AG972" s="33" t="n"/>
      <c r="AH972" s="33" t="n"/>
      <c r="AI972" s="33" t="n"/>
      <c r="AJ972" s="33" t="n"/>
      <c r="AK972" s="33" t="n"/>
      <c r="AL972" s="27" t="n"/>
      <c r="AM972" s="34" t="n"/>
      <c r="AN972" s="35">
        <f>IF(AF972="","",IF(AI972="Yes","❌ Disc",IF(AH972="No","⚠ Missing",IF(AK972="Yes","✓ OK","⚠ Check"))))</f>
        <v/>
      </c>
      <c r="AO972" s="36" t="n"/>
      <c r="AP972" s="36" t="n"/>
      <c r="AQ972" s="36" t="n"/>
      <c r="AR972" s="36" t="n"/>
      <c r="AS972" s="36" t="n"/>
      <c r="AT972" s="36" t="n"/>
      <c r="AU972" s="27" t="n"/>
      <c r="AV972" s="37" t="n"/>
      <c r="AW972" s="38">
        <f>IF(AO972="","",IF(AR972="Yes","❌ Disc",IF(AQ972="No","⚠ Missing",IF(AT972="Yes","✓ OK","⚠ Check"))))</f>
        <v/>
      </c>
    </row>
    <row r="973" ht="18" customHeight="1" s="46">
      <c r="A973" s="23" t="n">
        <v>969</v>
      </c>
      <c r="B973" s="24" t="inlineStr">
        <is>
          <t>WP LNCCN1009523</t>
        </is>
      </c>
      <c r="C973" s="25" t="inlineStr">
        <is>
          <t>Life n Colors - Unicorn Wallpaper Design for Girls Rooms, Water Color Theme, Pink  -  Canvas - a texture paper</t>
        </is>
      </c>
      <c r="D973" s="23" t="inlineStr">
        <is>
          <t>Life n Colors</t>
        </is>
      </c>
      <c r="E973" s="43" t="n">
        <v>46126</v>
      </c>
      <c r="F973" s="26" t="inlineStr">
        <is>
          <t>Sunil CR</t>
        </is>
      </c>
      <c r="G973" s="26" t="inlineStr">
        <is>
          <t>Yes</t>
        </is>
      </c>
      <c r="H973" s="26" t="inlineStr">
        <is>
          <t>No</t>
        </is>
      </c>
      <c r="I973" s="26" t="inlineStr">
        <is>
          <t>Good finish</t>
        </is>
      </c>
      <c r="J973" s="26" t="inlineStr">
        <is>
          <t>Yes</t>
        </is>
      </c>
      <c r="K973" s="27" t="n"/>
      <c r="L973" s="28" t="inlineStr">
        <is>
          <t>No</t>
        </is>
      </c>
      <c r="M973" s="29">
        <f>IF(E973="","",IF(H973="Yes","❌ Disc",IF(G973="No","⚠ Missing",IF(J973="Yes","✓ OK","⚠ Check"))))</f>
        <v/>
      </c>
      <c r="N973" s="43" t="n">
        <v>46193</v>
      </c>
      <c r="O973" s="26" t="inlineStr">
        <is>
          <t>Sunil CR</t>
        </is>
      </c>
      <c r="P973" s="26" t="inlineStr">
        <is>
          <t>Yes</t>
        </is>
      </c>
      <c r="Q973" s="26" t="inlineStr">
        <is>
          <t>No</t>
        </is>
      </c>
      <c r="R973" s="26" t="inlineStr">
        <is>
          <t>Good finish</t>
        </is>
      </c>
      <c r="S973" s="26" t="inlineStr">
        <is>
          <t>Yes</t>
        </is>
      </c>
      <c r="T973" s="27" t="n"/>
      <c r="U973" s="28" t="inlineStr">
        <is>
          <t>No</t>
        </is>
      </c>
      <c r="V973" s="29">
        <f>IF(N973="","",IF(Q973="Yes","❌ Disc",IF(P973="No","⚠ Missing",IF(S973="Yes","✓ OK","⚠ Check"))))</f>
        <v/>
      </c>
      <c r="W973" s="65" t="n">
        <v>46248</v>
      </c>
      <c r="X973" s="30" t="inlineStr">
        <is>
          <t>Sunil CR</t>
        </is>
      </c>
      <c r="Y973" s="30" t="inlineStr">
        <is>
          <t>Yes</t>
        </is>
      </c>
      <c r="Z973" s="30" t="n"/>
      <c r="AA973" s="30" t="inlineStr">
        <is>
          <t>Good finish</t>
        </is>
      </c>
      <c r="AB973" s="30" t="inlineStr">
        <is>
          <t>Yes</t>
        </is>
      </c>
      <c r="AC973" s="27" t="n"/>
      <c r="AD973" s="31" t="inlineStr">
        <is>
          <t>No</t>
        </is>
      </c>
      <c r="AE973" s="32">
        <f>IF(W973="","",IF(Z973="Yes","❌ Disc",IF(Y973="No","⚠ Missing",IF(AB973="Yes","✓ OK","⚠ Check"))))</f>
        <v/>
      </c>
      <c r="AF973" s="33" t="n"/>
      <c r="AG973" s="33" t="n"/>
      <c r="AH973" s="33" t="n"/>
      <c r="AI973" s="33" t="n"/>
      <c r="AJ973" s="33" t="n"/>
      <c r="AK973" s="33" t="n"/>
      <c r="AL973" s="27" t="n"/>
      <c r="AM973" s="34" t="n"/>
      <c r="AN973" s="35">
        <f>IF(AF973="","",IF(AI973="Yes","❌ Disc",IF(AH973="No","⚠ Missing",IF(AK973="Yes","✓ OK","⚠ Check"))))</f>
        <v/>
      </c>
      <c r="AO973" s="36" t="n"/>
      <c r="AP973" s="36" t="n"/>
      <c r="AQ973" s="36" t="n"/>
      <c r="AR973" s="36" t="n"/>
      <c r="AS973" s="36" t="n"/>
      <c r="AT973" s="36" t="n"/>
      <c r="AU973" s="27" t="n"/>
      <c r="AV973" s="37" t="n"/>
      <c r="AW973" s="38">
        <f>IF(AO973="","",IF(AR973="Yes","❌ Disc",IF(AQ973="No","⚠ Missing",IF(AT973="Yes","✓ OK","⚠ Check"))))</f>
        <v/>
      </c>
    </row>
    <row r="974" ht="18" customHeight="1" s="46">
      <c r="A974" s="39" t="n">
        <v>970</v>
      </c>
      <c r="B974" s="40" t="inlineStr">
        <is>
          <t>WP LNCSF1009523</t>
        </is>
      </c>
      <c r="C974" s="41" t="inlineStr">
        <is>
          <t>Life n Colors - Unicorn Wallpaper Design for Girls Rooms, Water Color Theme, Pink  - Non-woven - a soft feel paper</t>
        </is>
      </c>
      <c r="D974" s="39" t="inlineStr">
        <is>
          <t>Life n Colors</t>
        </is>
      </c>
      <c r="E974" s="43" t="n">
        <v>46126</v>
      </c>
      <c r="F974" s="26" t="inlineStr">
        <is>
          <t>Sunil CR</t>
        </is>
      </c>
      <c r="G974" s="26" t="inlineStr">
        <is>
          <t>Yes</t>
        </is>
      </c>
      <c r="H974" s="26" t="inlineStr">
        <is>
          <t>No</t>
        </is>
      </c>
      <c r="I974" s="26" t="inlineStr">
        <is>
          <t>Good finish</t>
        </is>
      </c>
      <c r="J974" s="26" t="inlineStr">
        <is>
          <t>Yes</t>
        </is>
      </c>
      <c r="K974" s="27" t="n"/>
      <c r="L974" s="28" t="inlineStr">
        <is>
          <t>No</t>
        </is>
      </c>
      <c r="M974" s="29">
        <f>IF(E974="","",IF(H974="Yes","❌ Disc",IF(G974="No","⚠ Missing",IF(J974="Yes","✓ OK","⚠ Check"))))</f>
        <v/>
      </c>
      <c r="N974" s="43" t="n">
        <v>46193</v>
      </c>
      <c r="O974" s="26" t="inlineStr">
        <is>
          <t>Sunil CR</t>
        </is>
      </c>
      <c r="P974" s="26" t="inlineStr">
        <is>
          <t>Yes</t>
        </is>
      </c>
      <c r="Q974" s="26" t="inlineStr">
        <is>
          <t>No</t>
        </is>
      </c>
      <c r="R974" s="26" t="inlineStr">
        <is>
          <t>Good finish</t>
        </is>
      </c>
      <c r="S974" s="26" t="inlineStr">
        <is>
          <t>Yes</t>
        </is>
      </c>
      <c r="T974" s="27" t="n"/>
      <c r="U974" s="28" t="inlineStr">
        <is>
          <t>No</t>
        </is>
      </c>
      <c r="V974" s="29">
        <f>IF(N974="","",IF(Q974="Yes","❌ Disc",IF(P974="No","⚠ Missing",IF(S974="Yes","✓ OK","⚠ Check"))))</f>
        <v/>
      </c>
      <c r="W974" s="65" t="n">
        <v>46248</v>
      </c>
      <c r="X974" s="30" t="inlineStr">
        <is>
          <t>Sunil CR</t>
        </is>
      </c>
      <c r="Y974" s="30" t="inlineStr">
        <is>
          <t>Yes</t>
        </is>
      </c>
      <c r="Z974" s="30" t="n"/>
      <c r="AA974" s="30" t="inlineStr">
        <is>
          <t>Good finish</t>
        </is>
      </c>
      <c r="AB974" s="30" t="inlineStr">
        <is>
          <t>Yes</t>
        </is>
      </c>
      <c r="AC974" s="27" t="n"/>
      <c r="AD974" s="31" t="inlineStr">
        <is>
          <t>No</t>
        </is>
      </c>
      <c r="AE974" s="32">
        <f>IF(W974="","",IF(Z974="Yes","❌ Disc",IF(Y974="No","⚠ Missing",IF(AB974="Yes","✓ OK","⚠ Check"))))</f>
        <v/>
      </c>
      <c r="AF974" s="33" t="n"/>
      <c r="AG974" s="33" t="n"/>
      <c r="AH974" s="33" t="n"/>
      <c r="AI974" s="33" t="n"/>
      <c r="AJ974" s="33" t="n"/>
      <c r="AK974" s="33" t="n"/>
      <c r="AL974" s="27" t="n"/>
      <c r="AM974" s="34" t="n"/>
      <c r="AN974" s="35">
        <f>IF(AF974="","",IF(AI974="Yes","❌ Disc",IF(AH974="No","⚠ Missing",IF(AK974="Yes","✓ OK","⚠ Check"))))</f>
        <v/>
      </c>
      <c r="AO974" s="36" t="n"/>
      <c r="AP974" s="36" t="n"/>
      <c r="AQ974" s="36" t="n"/>
      <c r="AR974" s="36" t="n"/>
      <c r="AS974" s="36" t="n"/>
      <c r="AT974" s="36" t="n"/>
      <c r="AU974" s="27" t="n"/>
      <c r="AV974" s="37" t="n"/>
      <c r="AW974" s="38">
        <f>IF(AO974="","",IF(AR974="Yes","❌ Disc",IF(AQ974="No","⚠ Missing",IF(AT974="Yes","✓ OK","⚠ Check"))))</f>
        <v/>
      </c>
    </row>
    <row r="975" ht="18" customHeight="1" s="46">
      <c r="A975" s="23" t="n">
        <v>971</v>
      </c>
      <c r="B975" s="24" t="inlineStr">
        <is>
          <t>WP LNCCN1037758</t>
        </is>
      </c>
      <c r="C975" s="25" t="inlineStr">
        <is>
          <t>Life n Colors - Unique Natural Marble Design Room Wallpaper  -  Canvas - a texture paper</t>
        </is>
      </c>
      <c r="D975" s="23" t="inlineStr">
        <is>
          <t>Life n Colors</t>
        </is>
      </c>
      <c r="E975" s="43" t="n">
        <v>46126</v>
      </c>
      <c r="F975" s="26" t="inlineStr">
        <is>
          <t>Sunil CR</t>
        </is>
      </c>
      <c r="G975" s="26" t="inlineStr">
        <is>
          <t>Yes</t>
        </is>
      </c>
      <c r="H975" s="26" t="inlineStr">
        <is>
          <t>No</t>
        </is>
      </c>
      <c r="I975" s="26" t="inlineStr">
        <is>
          <t>Good finish</t>
        </is>
      </c>
      <c r="J975" s="26" t="inlineStr">
        <is>
          <t>Yes</t>
        </is>
      </c>
      <c r="K975" s="27" t="n"/>
      <c r="L975" s="28" t="inlineStr">
        <is>
          <t>No</t>
        </is>
      </c>
      <c r="M975" s="29">
        <f>IF(E975="","",IF(H975="Yes","❌ Disc",IF(G975="No","⚠ Missing",IF(J975="Yes","✓ OK","⚠ Check"))))</f>
        <v/>
      </c>
      <c r="N975" s="43" t="n">
        <v>46193</v>
      </c>
      <c r="O975" s="26" t="inlineStr">
        <is>
          <t>Sunil CR</t>
        </is>
      </c>
      <c r="P975" s="26" t="inlineStr">
        <is>
          <t>Yes</t>
        </is>
      </c>
      <c r="Q975" s="26" t="inlineStr">
        <is>
          <t>No</t>
        </is>
      </c>
      <c r="R975" s="26" t="inlineStr">
        <is>
          <t>Good finish</t>
        </is>
      </c>
      <c r="S975" s="26" t="inlineStr">
        <is>
          <t>Yes</t>
        </is>
      </c>
      <c r="T975" s="27" t="n"/>
      <c r="U975" s="28" t="inlineStr">
        <is>
          <t>No</t>
        </is>
      </c>
      <c r="V975" s="29">
        <f>IF(N975="","",IF(Q975="Yes","❌ Disc",IF(P975="No","⚠ Missing",IF(S975="Yes","✓ OK","⚠ Check"))))</f>
        <v/>
      </c>
      <c r="W975" s="65" t="n">
        <v>46248</v>
      </c>
      <c r="X975" s="30" t="inlineStr">
        <is>
          <t>Sunil CR</t>
        </is>
      </c>
      <c r="Y975" s="30" t="inlineStr">
        <is>
          <t>Yes</t>
        </is>
      </c>
      <c r="Z975" s="30" t="n"/>
      <c r="AA975" s="30" t="inlineStr">
        <is>
          <t>Good finish</t>
        </is>
      </c>
      <c r="AB975" s="30" t="inlineStr">
        <is>
          <t>Yes</t>
        </is>
      </c>
      <c r="AC975" s="27" t="n"/>
      <c r="AD975" s="31" t="inlineStr">
        <is>
          <t>No</t>
        </is>
      </c>
      <c r="AE975" s="32">
        <f>IF(W975="","",IF(Z975="Yes","❌ Disc",IF(Y975="No","⚠ Missing",IF(AB975="Yes","✓ OK","⚠ Check"))))</f>
        <v/>
      </c>
      <c r="AF975" s="33" t="n"/>
      <c r="AG975" s="33" t="n"/>
      <c r="AH975" s="33" t="n"/>
      <c r="AI975" s="33" t="n"/>
      <c r="AJ975" s="33" t="n"/>
      <c r="AK975" s="33" t="n"/>
      <c r="AL975" s="27" t="n"/>
      <c r="AM975" s="34" t="n"/>
      <c r="AN975" s="35">
        <f>IF(AF975="","",IF(AI975="Yes","❌ Disc",IF(AH975="No","⚠ Missing",IF(AK975="Yes","✓ OK","⚠ Check"))))</f>
        <v/>
      </c>
      <c r="AO975" s="36" t="n"/>
      <c r="AP975" s="36" t="n"/>
      <c r="AQ975" s="36" t="n"/>
      <c r="AR975" s="36" t="n"/>
      <c r="AS975" s="36" t="n"/>
      <c r="AT975" s="36" t="n"/>
      <c r="AU975" s="27" t="n"/>
      <c r="AV975" s="37" t="n"/>
      <c r="AW975" s="38">
        <f>IF(AO975="","",IF(AR975="Yes","❌ Disc",IF(AQ975="No","⚠ Missing",IF(AT975="Yes","✓ OK","⚠ Check"))))</f>
        <v/>
      </c>
    </row>
    <row r="976" ht="18" customHeight="1" s="46">
      <c r="A976" s="39" t="n">
        <v>972</v>
      </c>
      <c r="B976" s="40" t="inlineStr">
        <is>
          <t>WP LNCSF1037758</t>
        </is>
      </c>
      <c r="C976" s="41" t="inlineStr">
        <is>
          <t>Life n Colors - Unique Natural Marble Design Room Wallpaper  - Non-woven - a soft feel paper</t>
        </is>
      </c>
      <c r="D976" s="39" t="inlineStr">
        <is>
          <t>Life n Colors</t>
        </is>
      </c>
      <c r="E976" s="43" t="n">
        <v>46126</v>
      </c>
      <c r="F976" s="26" t="inlineStr">
        <is>
          <t>Sunil CR</t>
        </is>
      </c>
      <c r="G976" s="26" t="inlineStr">
        <is>
          <t>Yes</t>
        </is>
      </c>
      <c r="H976" s="26" t="inlineStr">
        <is>
          <t>No</t>
        </is>
      </c>
      <c r="I976" s="26" t="inlineStr">
        <is>
          <t>Good finish</t>
        </is>
      </c>
      <c r="J976" s="26" t="inlineStr">
        <is>
          <t>Yes</t>
        </is>
      </c>
      <c r="K976" s="27" t="n"/>
      <c r="L976" s="28" t="inlineStr">
        <is>
          <t>No</t>
        </is>
      </c>
      <c r="M976" s="29">
        <f>IF(E976="","",IF(H976="Yes","❌ Disc",IF(G976="No","⚠ Missing",IF(J976="Yes","✓ OK","⚠ Check"))))</f>
        <v/>
      </c>
      <c r="N976" s="43" t="n">
        <v>46193</v>
      </c>
      <c r="O976" s="26" t="inlineStr">
        <is>
          <t>Sunil CR</t>
        </is>
      </c>
      <c r="P976" s="26" t="inlineStr">
        <is>
          <t>Yes</t>
        </is>
      </c>
      <c r="Q976" s="26" t="inlineStr">
        <is>
          <t>No</t>
        </is>
      </c>
      <c r="R976" s="26" t="inlineStr">
        <is>
          <t>Good finish</t>
        </is>
      </c>
      <c r="S976" s="26" t="inlineStr">
        <is>
          <t>Yes</t>
        </is>
      </c>
      <c r="T976" s="27" t="n"/>
      <c r="U976" s="28" t="inlineStr">
        <is>
          <t>No</t>
        </is>
      </c>
      <c r="V976" s="29">
        <f>IF(N976="","",IF(Q976="Yes","❌ Disc",IF(P976="No","⚠ Missing",IF(S976="Yes","✓ OK","⚠ Check"))))</f>
        <v/>
      </c>
      <c r="W976" s="65" t="n">
        <v>46248</v>
      </c>
      <c r="X976" s="30" t="inlineStr">
        <is>
          <t>Sunil CR</t>
        </is>
      </c>
      <c r="Y976" s="30" t="inlineStr">
        <is>
          <t>Yes</t>
        </is>
      </c>
      <c r="Z976" s="30" t="n"/>
      <c r="AA976" s="30" t="inlineStr">
        <is>
          <t>Good finish</t>
        </is>
      </c>
      <c r="AB976" s="30" t="inlineStr">
        <is>
          <t>Yes</t>
        </is>
      </c>
      <c r="AC976" s="27" t="n"/>
      <c r="AD976" s="31" t="inlineStr">
        <is>
          <t>No</t>
        </is>
      </c>
      <c r="AE976" s="32">
        <f>IF(W976="","",IF(Z976="Yes","❌ Disc",IF(Y976="No","⚠ Missing",IF(AB976="Yes","✓ OK","⚠ Check"))))</f>
        <v/>
      </c>
      <c r="AF976" s="33" t="n"/>
      <c r="AG976" s="33" t="n"/>
      <c r="AH976" s="33" t="n"/>
      <c r="AI976" s="33" t="n"/>
      <c r="AJ976" s="33" t="n"/>
      <c r="AK976" s="33" t="n"/>
      <c r="AL976" s="27" t="n"/>
      <c r="AM976" s="34" t="n"/>
      <c r="AN976" s="35">
        <f>IF(AF976="","",IF(AI976="Yes","❌ Disc",IF(AH976="No","⚠ Missing",IF(AK976="Yes","✓ OK","⚠ Check"))))</f>
        <v/>
      </c>
      <c r="AO976" s="36" t="n"/>
      <c r="AP976" s="36" t="n"/>
      <c r="AQ976" s="36" t="n"/>
      <c r="AR976" s="36" t="n"/>
      <c r="AS976" s="36" t="n"/>
      <c r="AT976" s="36" t="n"/>
      <c r="AU976" s="27" t="n"/>
      <c r="AV976" s="37" t="n"/>
      <c r="AW976" s="38">
        <f>IF(AO976="","",IF(AR976="Yes","❌ Disc",IF(AQ976="No","⚠ Missing",IF(AT976="Yes","✓ OK","⚠ Check"))))</f>
        <v/>
      </c>
    </row>
    <row r="977" ht="18" customHeight="1" s="46">
      <c r="A977" s="23" t="n">
        <v>973</v>
      </c>
      <c r="B977" s="24" t="inlineStr">
        <is>
          <t>WP LNCCN328027</t>
        </is>
      </c>
      <c r="C977" s="25" t="inlineStr">
        <is>
          <t>Life n Colors - Vatika, Vintage Floral Theme Wallpaper  -  Canvas - a texture paper</t>
        </is>
      </c>
      <c r="D977" s="23" t="inlineStr">
        <is>
          <t>Life n Colors</t>
        </is>
      </c>
      <c r="E977" s="43" t="n">
        <v>46126</v>
      </c>
      <c r="F977" s="26" t="inlineStr">
        <is>
          <t>Sunil CR</t>
        </is>
      </c>
      <c r="G977" s="26" t="inlineStr">
        <is>
          <t>Yes</t>
        </is>
      </c>
      <c r="H977" s="26" t="inlineStr">
        <is>
          <t>No</t>
        </is>
      </c>
      <c r="I977" s="26" t="inlineStr">
        <is>
          <t>Good finish</t>
        </is>
      </c>
      <c r="J977" s="26" t="inlineStr">
        <is>
          <t>Yes</t>
        </is>
      </c>
      <c r="K977" s="27" t="n"/>
      <c r="L977" s="28" t="inlineStr">
        <is>
          <t>No</t>
        </is>
      </c>
      <c r="M977" s="29">
        <f>IF(E977="","",IF(H977="Yes","❌ Disc",IF(G977="No","⚠ Missing",IF(J977="Yes","✓ OK","⚠ Check"))))</f>
        <v/>
      </c>
      <c r="N977" s="43" t="n">
        <v>46193</v>
      </c>
      <c r="O977" s="26" t="inlineStr">
        <is>
          <t>Sunil CR</t>
        </is>
      </c>
      <c r="P977" s="26" t="inlineStr">
        <is>
          <t>Yes</t>
        </is>
      </c>
      <c r="Q977" s="26" t="inlineStr">
        <is>
          <t>No</t>
        </is>
      </c>
      <c r="R977" s="26" t="inlineStr">
        <is>
          <t>Good finish</t>
        </is>
      </c>
      <c r="S977" s="26" t="inlineStr">
        <is>
          <t>Yes</t>
        </is>
      </c>
      <c r="T977" s="27" t="n"/>
      <c r="U977" s="28" t="inlineStr">
        <is>
          <t>No</t>
        </is>
      </c>
      <c r="V977" s="29">
        <f>IF(N977="","",IF(Q977="Yes","❌ Disc",IF(P977="No","⚠ Missing",IF(S977="Yes","✓ OK","⚠ Check"))))</f>
        <v/>
      </c>
      <c r="W977" s="65" t="n">
        <v>46248</v>
      </c>
      <c r="X977" s="30" t="inlineStr">
        <is>
          <t>Sunil CR</t>
        </is>
      </c>
      <c r="Y977" s="30" t="inlineStr">
        <is>
          <t>Yes</t>
        </is>
      </c>
      <c r="Z977" s="30" t="n"/>
      <c r="AA977" s="30" t="inlineStr">
        <is>
          <t>Good finish</t>
        </is>
      </c>
      <c r="AB977" s="30" t="inlineStr">
        <is>
          <t>Yes</t>
        </is>
      </c>
      <c r="AC977" s="27" t="n"/>
      <c r="AD977" s="31" t="inlineStr">
        <is>
          <t>No</t>
        </is>
      </c>
      <c r="AE977" s="32">
        <f>IF(W977="","",IF(Z977="Yes","❌ Disc",IF(Y977="No","⚠ Missing",IF(AB977="Yes","✓ OK","⚠ Check"))))</f>
        <v/>
      </c>
      <c r="AF977" s="33" t="n"/>
      <c r="AG977" s="33" t="n"/>
      <c r="AH977" s="33" t="n"/>
      <c r="AI977" s="33" t="n"/>
      <c r="AJ977" s="33" t="n"/>
      <c r="AK977" s="33" t="n"/>
      <c r="AL977" s="27" t="n"/>
      <c r="AM977" s="34" t="n"/>
      <c r="AN977" s="35">
        <f>IF(AF977="","",IF(AI977="Yes","❌ Disc",IF(AH977="No","⚠ Missing",IF(AK977="Yes","✓ OK","⚠ Check"))))</f>
        <v/>
      </c>
      <c r="AO977" s="36" t="n"/>
      <c r="AP977" s="36" t="n"/>
      <c r="AQ977" s="36" t="n"/>
      <c r="AR977" s="36" t="n"/>
      <c r="AS977" s="36" t="n"/>
      <c r="AT977" s="36" t="n"/>
      <c r="AU977" s="27" t="n"/>
      <c r="AV977" s="37" t="n"/>
      <c r="AW977" s="38">
        <f>IF(AO977="","",IF(AR977="Yes","❌ Disc",IF(AQ977="No","⚠ Missing",IF(AT977="Yes","✓ OK","⚠ Check"))))</f>
        <v/>
      </c>
    </row>
    <row r="978" ht="18" customHeight="1" s="46">
      <c r="A978" s="39" t="n">
        <v>974</v>
      </c>
      <c r="B978" s="40" t="inlineStr">
        <is>
          <t>WP LNCCN1136866</t>
        </is>
      </c>
      <c r="C978" s="41" t="inlineStr">
        <is>
          <t>Life n Colors - Vibrant and Colorful Kids Room Wallpaper  -  Canvas - a texture paper</t>
        </is>
      </c>
      <c r="D978" s="39" t="inlineStr">
        <is>
          <t>Life n Colors</t>
        </is>
      </c>
      <c r="E978" s="43" t="n">
        <v>46126</v>
      </c>
      <c r="F978" s="26" t="inlineStr">
        <is>
          <t>Sunil CR</t>
        </is>
      </c>
      <c r="G978" s="26" t="inlineStr">
        <is>
          <t>Yes</t>
        </is>
      </c>
      <c r="H978" s="26" t="inlineStr">
        <is>
          <t>No</t>
        </is>
      </c>
      <c r="I978" s="26" t="inlineStr">
        <is>
          <t>Good finish</t>
        </is>
      </c>
      <c r="J978" s="26" t="inlineStr">
        <is>
          <t>Yes</t>
        </is>
      </c>
      <c r="K978" s="27" t="n"/>
      <c r="L978" s="28" t="inlineStr">
        <is>
          <t>No</t>
        </is>
      </c>
      <c r="M978" s="29">
        <f>IF(E978="","",IF(H978="Yes","❌ Disc",IF(G978="No","⚠ Missing",IF(J978="Yes","✓ OK","⚠ Check"))))</f>
        <v/>
      </c>
      <c r="N978" s="43" t="n">
        <v>46193</v>
      </c>
      <c r="O978" s="26" t="inlineStr">
        <is>
          <t>Sunil CR</t>
        </is>
      </c>
      <c r="P978" s="26" t="inlineStr">
        <is>
          <t>Yes</t>
        </is>
      </c>
      <c r="Q978" s="26" t="inlineStr">
        <is>
          <t>No</t>
        </is>
      </c>
      <c r="R978" s="26" t="inlineStr">
        <is>
          <t>Good finish</t>
        </is>
      </c>
      <c r="S978" s="26" t="inlineStr">
        <is>
          <t>Yes</t>
        </is>
      </c>
      <c r="T978" s="27" t="n"/>
      <c r="U978" s="28" t="inlineStr">
        <is>
          <t>No</t>
        </is>
      </c>
      <c r="V978" s="29">
        <f>IF(N978="","",IF(Q978="Yes","❌ Disc",IF(P978="No","⚠ Missing",IF(S978="Yes","✓ OK","⚠ Check"))))</f>
        <v/>
      </c>
      <c r="W978" s="65" t="n">
        <v>46248</v>
      </c>
      <c r="X978" s="30" t="inlineStr">
        <is>
          <t>Sunil CR</t>
        </is>
      </c>
      <c r="Y978" s="30" t="inlineStr">
        <is>
          <t>Yes</t>
        </is>
      </c>
      <c r="Z978" s="30" t="n"/>
      <c r="AA978" s="30" t="inlineStr">
        <is>
          <t>Good finish</t>
        </is>
      </c>
      <c r="AB978" s="30" t="inlineStr">
        <is>
          <t>Yes</t>
        </is>
      </c>
      <c r="AC978" s="27" t="n"/>
      <c r="AD978" s="31" t="inlineStr">
        <is>
          <t>No</t>
        </is>
      </c>
      <c r="AE978" s="32">
        <f>IF(W978="","",IF(Z978="Yes","❌ Disc",IF(Y978="No","⚠ Missing",IF(AB978="Yes","✓ OK","⚠ Check"))))</f>
        <v/>
      </c>
      <c r="AF978" s="33" t="n"/>
      <c r="AG978" s="33" t="n"/>
      <c r="AH978" s="33" t="n"/>
      <c r="AI978" s="33" t="n"/>
      <c r="AJ978" s="33" t="n"/>
      <c r="AK978" s="33" t="n"/>
      <c r="AL978" s="27" t="n"/>
      <c r="AM978" s="34" t="n"/>
      <c r="AN978" s="35">
        <f>IF(AF978="","",IF(AI978="Yes","❌ Disc",IF(AH978="No","⚠ Missing",IF(AK978="Yes","✓ OK","⚠ Check"))))</f>
        <v/>
      </c>
      <c r="AO978" s="36" t="n"/>
      <c r="AP978" s="36" t="n"/>
      <c r="AQ978" s="36" t="n"/>
      <c r="AR978" s="36" t="n"/>
      <c r="AS978" s="36" t="n"/>
      <c r="AT978" s="36" t="n"/>
      <c r="AU978" s="27" t="n"/>
      <c r="AV978" s="37" t="n"/>
      <c r="AW978" s="38">
        <f>IF(AO978="","",IF(AR978="Yes","❌ Disc",IF(AQ978="No","⚠ Missing",IF(AT978="Yes","✓ OK","⚠ Check"))))</f>
        <v/>
      </c>
    </row>
    <row r="979" ht="18" customHeight="1" s="46">
      <c r="A979" s="23" t="n">
        <v>975</v>
      </c>
      <c r="B979" s="24" t="inlineStr">
        <is>
          <t>WP LNCSF1136866</t>
        </is>
      </c>
      <c r="C979" s="25" t="inlineStr">
        <is>
          <t>Life n Colors - Vibrant and Colorful Kids Room Wallpaper  - Non-woven - a soft feel paper</t>
        </is>
      </c>
      <c r="D979" s="23" t="inlineStr">
        <is>
          <t>Life n Colors</t>
        </is>
      </c>
      <c r="E979" s="43" t="n">
        <v>46126</v>
      </c>
      <c r="F979" s="26" t="inlineStr">
        <is>
          <t>Sunil CR</t>
        </is>
      </c>
      <c r="G979" s="26" t="inlineStr">
        <is>
          <t>Yes</t>
        </is>
      </c>
      <c r="H979" s="26" t="inlineStr">
        <is>
          <t>No</t>
        </is>
      </c>
      <c r="I979" s="26" t="inlineStr">
        <is>
          <t>Good finish</t>
        </is>
      </c>
      <c r="J979" s="26" t="inlineStr">
        <is>
          <t>Yes</t>
        </is>
      </c>
      <c r="K979" s="27" t="n"/>
      <c r="L979" s="28" t="inlineStr">
        <is>
          <t>No</t>
        </is>
      </c>
      <c r="M979" s="29">
        <f>IF(E979="","",IF(H979="Yes","❌ Disc",IF(G979="No","⚠ Missing",IF(J979="Yes","✓ OK","⚠ Check"))))</f>
        <v/>
      </c>
      <c r="N979" s="43" t="n">
        <v>46193</v>
      </c>
      <c r="O979" s="26" t="inlineStr">
        <is>
          <t>Sunil CR</t>
        </is>
      </c>
      <c r="P979" s="26" t="inlineStr">
        <is>
          <t>Yes</t>
        </is>
      </c>
      <c r="Q979" s="26" t="inlineStr">
        <is>
          <t>No</t>
        </is>
      </c>
      <c r="R979" s="26" t="inlineStr">
        <is>
          <t>Good finish</t>
        </is>
      </c>
      <c r="S979" s="26" t="inlineStr">
        <is>
          <t>Yes</t>
        </is>
      </c>
      <c r="T979" s="27" t="n"/>
      <c r="U979" s="28" t="inlineStr">
        <is>
          <t>No</t>
        </is>
      </c>
      <c r="V979" s="29">
        <f>IF(N979="","",IF(Q979="Yes","❌ Disc",IF(P979="No","⚠ Missing",IF(S979="Yes","✓ OK","⚠ Check"))))</f>
        <v/>
      </c>
      <c r="W979" s="65" t="n">
        <v>46248</v>
      </c>
      <c r="X979" s="30" t="inlineStr">
        <is>
          <t>Sunil CR</t>
        </is>
      </c>
      <c r="Y979" s="30" t="inlineStr">
        <is>
          <t>Yes</t>
        </is>
      </c>
      <c r="Z979" s="30" t="n"/>
      <c r="AA979" s="30" t="inlineStr">
        <is>
          <t>Good finish</t>
        </is>
      </c>
      <c r="AB979" s="30" t="inlineStr">
        <is>
          <t>Yes</t>
        </is>
      </c>
      <c r="AC979" s="27" t="n"/>
      <c r="AD979" s="31" t="inlineStr">
        <is>
          <t>No</t>
        </is>
      </c>
      <c r="AE979" s="32">
        <f>IF(W979="","",IF(Z979="Yes","❌ Disc",IF(Y979="No","⚠ Missing",IF(AB979="Yes","✓ OK","⚠ Check"))))</f>
        <v/>
      </c>
      <c r="AF979" s="33" t="n"/>
      <c r="AG979" s="33" t="n"/>
      <c r="AH979" s="33" t="n"/>
      <c r="AI979" s="33" t="n"/>
      <c r="AJ979" s="33" t="n"/>
      <c r="AK979" s="33" t="n"/>
      <c r="AL979" s="27" t="n"/>
      <c r="AM979" s="34" t="n"/>
      <c r="AN979" s="35">
        <f>IF(AF979="","",IF(AI979="Yes","❌ Disc",IF(AH979="No","⚠ Missing",IF(AK979="Yes","✓ OK","⚠ Check"))))</f>
        <v/>
      </c>
      <c r="AO979" s="36" t="n"/>
      <c r="AP979" s="36" t="n"/>
      <c r="AQ979" s="36" t="n"/>
      <c r="AR979" s="36" t="n"/>
      <c r="AS979" s="36" t="n"/>
      <c r="AT979" s="36" t="n"/>
      <c r="AU979" s="27" t="n"/>
      <c r="AV979" s="37" t="n"/>
      <c r="AW979" s="38">
        <f>IF(AO979="","",IF(AR979="Yes","❌ Disc",IF(AQ979="No","⚠ Missing",IF(AT979="Yes","✓ OK","⚠ Check"))))</f>
        <v/>
      </c>
    </row>
    <row r="980" ht="18" customHeight="1" s="46">
      <c r="A980" s="39" t="n">
        <v>976</v>
      </c>
      <c r="B980" s="40" t="inlineStr">
        <is>
          <t>WP LNCCN1128281</t>
        </is>
      </c>
      <c r="C980" s="41" t="inlineStr">
        <is>
          <t>Life n Colors - Vintage Forest Theme Wallpaper, Grisaille Style  -  Canvas - a texture paper</t>
        </is>
      </c>
      <c r="D980" s="39" t="inlineStr">
        <is>
          <t>Life n Colors</t>
        </is>
      </c>
      <c r="E980" s="43" t="n">
        <v>46126</v>
      </c>
      <c r="F980" s="26" t="inlineStr">
        <is>
          <t>Sunil CR</t>
        </is>
      </c>
      <c r="G980" s="26" t="inlineStr">
        <is>
          <t>Yes</t>
        </is>
      </c>
      <c r="H980" s="26" t="inlineStr">
        <is>
          <t>No</t>
        </is>
      </c>
      <c r="I980" s="26" t="inlineStr">
        <is>
          <t>Good finish</t>
        </is>
      </c>
      <c r="J980" s="26" t="inlineStr">
        <is>
          <t>Yes</t>
        </is>
      </c>
      <c r="K980" s="27" t="n"/>
      <c r="L980" s="28" t="inlineStr">
        <is>
          <t>No</t>
        </is>
      </c>
      <c r="M980" s="29">
        <f>IF(E980="","",IF(H980="Yes","❌ Disc",IF(G980="No","⚠ Missing",IF(J980="Yes","✓ OK","⚠ Check"))))</f>
        <v/>
      </c>
      <c r="N980" s="43" t="n">
        <v>46193</v>
      </c>
      <c r="O980" s="26" t="inlineStr">
        <is>
          <t>Sunil CR</t>
        </is>
      </c>
      <c r="P980" s="26" t="inlineStr">
        <is>
          <t>Yes</t>
        </is>
      </c>
      <c r="Q980" s="26" t="inlineStr">
        <is>
          <t>No</t>
        </is>
      </c>
      <c r="R980" s="26" t="inlineStr">
        <is>
          <t>Good finish</t>
        </is>
      </c>
      <c r="S980" s="26" t="inlineStr">
        <is>
          <t>Yes</t>
        </is>
      </c>
      <c r="T980" s="27" t="n"/>
      <c r="U980" s="28" t="inlineStr">
        <is>
          <t>No</t>
        </is>
      </c>
      <c r="V980" s="29">
        <f>IF(N980="","",IF(Q980="Yes","❌ Disc",IF(P980="No","⚠ Missing",IF(S980="Yes","✓ OK","⚠ Check"))))</f>
        <v/>
      </c>
      <c r="W980" s="65" t="n">
        <v>46248</v>
      </c>
      <c r="X980" s="30" t="inlineStr">
        <is>
          <t>Sunil CR</t>
        </is>
      </c>
      <c r="Y980" s="30" t="inlineStr">
        <is>
          <t>Yes</t>
        </is>
      </c>
      <c r="Z980" s="30" t="n"/>
      <c r="AA980" s="30" t="inlineStr">
        <is>
          <t>Good finish</t>
        </is>
      </c>
      <c r="AB980" s="30" t="inlineStr">
        <is>
          <t>Yes</t>
        </is>
      </c>
      <c r="AC980" s="27" t="n"/>
      <c r="AD980" s="31" t="inlineStr">
        <is>
          <t>No</t>
        </is>
      </c>
      <c r="AE980" s="32">
        <f>IF(W980="","",IF(Z980="Yes","❌ Disc",IF(Y980="No","⚠ Missing",IF(AB980="Yes","✓ OK","⚠ Check"))))</f>
        <v/>
      </c>
      <c r="AF980" s="33" t="n"/>
      <c r="AG980" s="33" t="n"/>
      <c r="AH980" s="33" t="n"/>
      <c r="AI980" s="33" t="n"/>
      <c r="AJ980" s="33" t="n"/>
      <c r="AK980" s="33" t="n"/>
      <c r="AL980" s="27" t="n"/>
      <c r="AM980" s="34" t="n"/>
      <c r="AN980" s="35">
        <f>IF(AF980="","",IF(AI980="Yes","❌ Disc",IF(AH980="No","⚠ Missing",IF(AK980="Yes","✓ OK","⚠ Check"))))</f>
        <v/>
      </c>
      <c r="AO980" s="36" t="n"/>
      <c r="AP980" s="36" t="n"/>
      <c r="AQ980" s="36" t="n"/>
      <c r="AR980" s="36" t="n"/>
      <c r="AS980" s="36" t="n"/>
      <c r="AT980" s="36" t="n"/>
      <c r="AU980" s="27" t="n"/>
      <c r="AV980" s="37" t="n"/>
      <c r="AW980" s="38">
        <f>IF(AO980="","",IF(AR980="Yes","❌ Disc",IF(AQ980="No","⚠ Missing",IF(AT980="Yes","✓ OK","⚠ Check"))))</f>
        <v/>
      </c>
    </row>
    <row r="981" ht="18" customHeight="1" s="46">
      <c r="A981" s="23" t="n">
        <v>977</v>
      </c>
      <c r="B981" s="24" t="inlineStr">
        <is>
          <t>WP LNCCN1098622</t>
        </is>
      </c>
      <c r="C981" s="25" t="inlineStr">
        <is>
          <t>Life n Colors - Vintage Lotuses, A Rustic Theme Room Wallpaper  -  Canvas - a texture paper</t>
        </is>
      </c>
      <c r="D981" s="23" t="inlineStr">
        <is>
          <t>Life n Colors</t>
        </is>
      </c>
      <c r="E981" s="43" t="n">
        <v>46126</v>
      </c>
      <c r="F981" s="26" t="inlineStr">
        <is>
          <t>Sunil CR</t>
        </is>
      </c>
      <c r="G981" s="26" t="inlineStr">
        <is>
          <t>Yes</t>
        </is>
      </c>
      <c r="H981" s="26" t="inlineStr">
        <is>
          <t>No</t>
        </is>
      </c>
      <c r="I981" s="26" t="inlineStr">
        <is>
          <t>Good finish</t>
        </is>
      </c>
      <c r="J981" s="26" t="inlineStr">
        <is>
          <t>Yes</t>
        </is>
      </c>
      <c r="K981" s="27" t="n"/>
      <c r="L981" s="28" t="inlineStr">
        <is>
          <t>No</t>
        </is>
      </c>
      <c r="M981" s="29">
        <f>IF(E981="","",IF(H981="Yes","❌ Disc",IF(G981="No","⚠ Missing",IF(J981="Yes","✓ OK","⚠ Check"))))</f>
        <v/>
      </c>
      <c r="N981" s="43" t="n">
        <v>46193</v>
      </c>
      <c r="O981" s="26" t="inlineStr">
        <is>
          <t>Sunil CR</t>
        </is>
      </c>
      <c r="P981" s="26" t="inlineStr">
        <is>
          <t>Yes</t>
        </is>
      </c>
      <c r="Q981" s="26" t="inlineStr">
        <is>
          <t>No</t>
        </is>
      </c>
      <c r="R981" s="26" t="inlineStr">
        <is>
          <t>Good finish</t>
        </is>
      </c>
      <c r="S981" s="26" t="inlineStr">
        <is>
          <t>Yes</t>
        </is>
      </c>
      <c r="T981" s="27" t="n"/>
      <c r="U981" s="28" t="inlineStr">
        <is>
          <t>No</t>
        </is>
      </c>
      <c r="V981" s="29">
        <f>IF(N981="","",IF(Q981="Yes","❌ Disc",IF(P981="No","⚠ Missing",IF(S981="Yes","✓ OK","⚠ Check"))))</f>
        <v/>
      </c>
      <c r="W981" s="65" t="n">
        <v>46248</v>
      </c>
      <c r="X981" s="30" t="inlineStr">
        <is>
          <t>Sunil CR</t>
        </is>
      </c>
      <c r="Y981" s="30" t="inlineStr">
        <is>
          <t>Yes</t>
        </is>
      </c>
      <c r="Z981" s="30" t="n"/>
      <c r="AA981" s="30" t="inlineStr">
        <is>
          <t>Good finish</t>
        </is>
      </c>
      <c r="AB981" s="30" t="inlineStr">
        <is>
          <t>Yes</t>
        </is>
      </c>
      <c r="AC981" s="27" t="n"/>
      <c r="AD981" s="31" t="inlineStr">
        <is>
          <t>No</t>
        </is>
      </c>
      <c r="AE981" s="32">
        <f>IF(W981="","",IF(Z981="Yes","❌ Disc",IF(Y981="No","⚠ Missing",IF(AB981="Yes","✓ OK","⚠ Check"))))</f>
        <v/>
      </c>
      <c r="AF981" s="33" t="n"/>
      <c r="AG981" s="33" t="n"/>
      <c r="AH981" s="33" t="n"/>
      <c r="AI981" s="33" t="n"/>
      <c r="AJ981" s="33" t="n"/>
      <c r="AK981" s="33" t="n"/>
      <c r="AL981" s="27" t="n"/>
      <c r="AM981" s="34" t="n"/>
      <c r="AN981" s="35">
        <f>IF(AF981="","",IF(AI981="Yes","❌ Disc",IF(AH981="No","⚠ Missing",IF(AK981="Yes","✓ OK","⚠ Check"))))</f>
        <v/>
      </c>
      <c r="AO981" s="36" t="n"/>
      <c r="AP981" s="36" t="n"/>
      <c r="AQ981" s="36" t="n"/>
      <c r="AR981" s="36" t="n"/>
      <c r="AS981" s="36" t="n"/>
      <c r="AT981" s="36" t="n"/>
      <c r="AU981" s="27" t="n"/>
      <c r="AV981" s="37" t="n"/>
      <c r="AW981" s="38">
        <f>IF(AO981="","",IF(AR981="Yes","❌ Disc",IF(AQ981="No","⚠ Missing",IF(AT981="Yes","✓ OK","⚠ Check"))))</f>
        <v/>
      </c>
    </row>
    <row r="982" ht="18" customHeight="1" s="46">
      <c r="A982" s="39" t="n">
        <v>978</v>
      </c>
      <c r="B982" s="40" t="inlineStr">
        <is>
          <t>WP LNCSF1098622</t>
        </is>
      </c>
      <c r="C982" s="41" t="inlineStr">
        <is>
          <t>Life n Colors - Vintage Lotuses, A Rustic Theme Room Wallpaper  - Non-woven - a soft feel paper</t>
        </is>
      </c>
      <c r="D982" s="39" t="inlineStr">
        <is>
          <t>Life n Colors</t>
        </is>
      </c>
      <c r="E982" s="43" t="n">
        <v>46126</v>
      </c>
      <c r="F982" s="26" t="inlineStr">
        <is>
          <t>Sunil CR</t>
        </is>
      </c>
      <c r="G982" s="26" t="inlineStr">
        <is>
          <t>Yes</t>
        </is>
      </c>
      <c r="H982" s="26" t="inlineStr">
        <is>
          <t>No</t>
        </is>
      </c>
      <c r="I982" s="26" t="inlineStr">
        <is>
          <t>Good finish</t>
        </is>
      </c>
      <c r="J982" s="26" t="inlineStr">
        <is>
          <t>Yes</t>
        </is>
      </c>
      <c r="K982" s="27" t="n"/>
      <c r="L982" s="28" t="inlineStr">
        <is>
          <t>No</t>
        </is>
      </c>
      <c r="M982" s="29">
        <f>IF(E982="","",IF(H982="Yes","❌ Disc",IF(G982="No","⚠ Missing",IF(J982="Yes","✓ OK","⚠ Check"))))</f>
        <v/>
      </c>
      <c r="N982" s="43" t="n">
        <v>46193</v>
      </c>
      <c r="O982" s="26" t="inlineStr">
        <is>
          <t>Sunil CR</t>
        </is>
      </c>
      <c r="P982" s="26" t="inlineStr">
        <is>
          <t>Yes</t>
        </is>
      </c>
      <c r="Q982" s="26" t="inlineStr">
        <is>
          <t>No</t>
        </is>
      </c>
      <c r="R982" s="26" t="inlineStr">
        <is>
          <t>Good finish</t>
        </is>
      </c>
      <c r="S982" s="26" t="inlineStr">
        <is>
          <t>Yes</t>
        </is>
      </c>
      <c r="T982" s="27" t="n"/>
      <c r="U982" s="28" t="inlineStr">
        <is>
          <t>No</t>
        </is>
      </c>
      <c r="V982" s="29">
        <f>IF(N982="","",IF(Q982="Yes","❌ Disc",IF(P982="No","⚠ Missing",IF(S982="Yes","✓ OK","⚠ Check"))))</f>
        <v/>
      </c>
      <c r="W982" s="65" t="n">
        <v>46248</v>
      </c>
      <c r="X982" s="30" t="inlineStr">
        <is>
          <t>Sunil CR</t>
        </is>
      </c>
      <c r="Y982" s="30" t="inlineStr">
        <is>
          <t>Yes</t>
        </is>
      </c>
      <c r="Z982" s="30" t="n"/>
      <c r="AA982" s="30" t="inlineStr">
        <is>
          <t>Good finish</t>
        </is>
      </c>
      <c r="AB982" s="30" t="inlineStr">
        <is>
          <t>Yes</t>
        </is>
      </c>
      <c r="AC982" s="27" t="n"/>
      <c r="AD982" s="31" t="inlineStr">
        <is>
          <t>No</t>
        </is>
      </c>
      <c r="AE982" s="32">
        <f>IF(W982="","",IF(Z982="Yes","❌ Disc",IF(Y982="No","⚠ Missing",IF(AB982="Yes","✓ OK","⚠ Check"))))</f>
        <v/>
      </c>
      <c r="AF982" s="33" t="n"/>
      <c r="AG982" s="33" t="n"/>
      <c r="AH982" s="33" t="n"/>
      <c r="AI982" s="33" t="n"/>
      <c r="AJ982" s="33" t="n"/>
      <c r="AK982" s="33" t="n"/>
      <c r="AL982" s="27" t="n"/>
      <c r="AM982" s="34" t="n"/>
      <c r="AN982" s="35">
        <f>IF(AF982="","",IF(AI982="Yes","❌ Disc",IF(AH982="No","⚠ Missing",IF(AK982="Yes","✓ OK","⚠ Check"))))</f>
        <v/>
      </c>
      <c r="AO982" s="36" t="n"/>
      <c r="AP982" s="36" t="n"/>
      <c r="AQ982" s="36" t="n"/>
      <c r="AR982" s="36" t="n"/>
      <c r="AS982" s="36" t="n"/>
      <c r="AT982" s="36" t="n"/>
      <c r="AU982" s="27" t="n"/>
      <c r="AV982" s="37" t="n"/>
      <c r="AW982" s="38">
        <f>IF(AO982="","",IF(AR982="Yes","❌ Disc",IF(AQ982="No","⚠ Missing",IF(AT982="Yes","✓ OK","⚠ Check"))))</f>
        <v/>
      </c>
    </row>
    <row r="983" ht="18" customHeight="1" s="46">
      <c r="A983" s="23" t="n">
        <v>979</v>
      </c>
      <c r="B983" s="24" t="inlineStr">
        <is>
          <t>WP LNCCN1017081</t>
        </is>
      </c>
      <c r="C983" s="25" t="inlineStr">
        <is>
          <t>Life n Colors - Vintage Style Wallpaper, Red and White Flowers on Black Background  -  Canvas - a texture paper</t>
        </is>
      </c>
      <c r="D983" s="23" t="inlineStr">
        <is>
          <t>Life n Colors</t>
        </is>
      </c>
      <c r="E983" s="43" t="n">
        <v>46126</v>
      </c>
      <c r="F983" s="26" t="inlineStr">
        <is>
          <t>Sunil CR</t>
        </is>
      </c>
      <c r="G983" s="26" t="inlineStr">
        <is>
          <t>Yes</t>
        </is>
      </c>
      <c r="H983" s="26" t="inlineStr">
        <is>
          <t>No</t>
        </is>
      </c>
      <c r="I983" s="26" t="inlineStr">
        <is>
          <t>Good finish</t>
        </is>
      </c>
      <c r="J983" s="26" t="inlineStr">
        <is>
          <t>Yes</t>
        </is>
      </c>
      <c r="K983" s="27" t="n"/>
      <c r="L983" s="28" t="inlineStr">
        <is>
          <t>No</t>
        </is>
      </c>
      <c r="M983" s="29">
        <f>IF(E983="","",IF(H983="Yes","❌ Disc",IF(G983="No","⚠ Missing",IF(J983="Yes","✓ OK","⚠ Check"))))</f>
        <v/>
      </c>
      <c r="N983" s="43" t="n">
        <v>46193</v>
      </c>
      <c r="O983" s="26" t="inlineStr">
        <is>
          <t>Sunil CR</t>
        </is>
      </c>
      <c r="P983" s="26" t="inlineStr">
        <is>
          <t>Yes</t>
        </is>
      </c>
      <c r="Q983" s="26" t="inlineStr">
        <is>
          <t>No</t>
        </is>
      </c>
      <c r="R983" s="26" t="inlineStr">
        <is>
          <t>Good finish</t>
        </is>
      </c>
      <c r="S983" s="26" t="inlineStr">
        <is>
          <t>Yes</t>
        </is>
      </c>
      <c r="T983" s="27" t="n"/>
      <c r="U983" s="28" t="inlineStr">
        <is>
          <t>No</t>
        </is>
      </c>
      <c r="V983" s="29">
        <f>IF(N983="","",IF(Q983="Yes","❌ Disc",IF(P983="No","⚠ Missing",IF(S983="Yes","✓ OK","⚠ Check"))))</f>
        <v/>
      </c>
      <c r="W983" s="65" t="n">
        <v>46248</v>
      </c>
      <c r="X983" s="30" t="inlineStr">
        <is>
          <t>Sunil CR</t>
        </is>
      </c>
      <c r="Y983" s="30" t="inlineStr">
        <is>
          <t>Yes</t>
        </is>
      </c>
      <c r="Z983" s="30" t="n"/>
      <c r="AA983" s="30" t="inlineStr">
        <is>
          <t>Good finish</t>
        </is>
      </c>
      <c r="AB983" s="30" t="inlineStr">
        <is>
          <t>Yes</t>
        </is>
      </c>
      <c r="AC983" s="27" t="n"/>
      <c r="AD983" s="31" t="inlineStr">
        <is>
          <t>No</t>
        </is>
      </c>
      <c r="AE983" s="32">
        <f>IF(W983="","",IF(Z983="Yes","❌ Disc",IF(Y983="No","⚠ Missing",IF(AB983="Yes","✓ OK","⚠ Check"))))</f>
        <v/>
      </c>
      <c r="AF983" s="33" t="n"/>
      <c r="AG983" s="33" t="n"/>
      <c r="AH983" s="33" t="n"/>
      <c r="AI983" s="33" t="n"/>
      <c r="AJ983" s="33" t="n"/>
      <c r="AK983" s="33" t="n"/>
      <c r="AL983" s="27" t="n"/>
      <c r="AM983" s="34" t="n"/>
      <c r="AN983" s="35">
        <f>IF(AF983="","",IF(AI983="Yes","❌ Disc",IF(AH983="No","⚠ Missing",IF(AK983="Yes","✓ OK","⚠ Check"))))</f>
        <v/>
      </c>
      <c r="AO983" s="36" t="n"/>
      <c r="AP983" s="36" t="n"/>
      <c r="AQ983" s="36" t="n"/>
      <c r="AR983" s="36" t="n"/>
      <c r="AS983" s="36" t="n"/>
      <c r="AT983" s="36" t="n"/>
      <c r="AU983" s="27" t="n"/>
      <c r="AV983" s="37" t="n"/>
      <c r="AW983" s="38">
        <f>IF(AO983="","",IF(AR983="Yes","❌ Disc",IF(AQ983="No","⚠ Missing",IF(AT983="Yes","✓ OK","⚠ Check"))))</f>
        <v/>
      </c>
    </row>
    <row r="984" ht="18" customHeight="1" s="46">
      <c r="A984" s="39" t="n">
        <v>980</v>
      </c>
      <c r="B984" s="40" t="inlineStr">
        <is>
          <t>WP LNCSF1017081</t>
        </is>
      </c>
      <c r="C984" s="41" t="inlineStr">
        <is>
          <t>Life n Colors - Vintage Style Wallpaper, Red and White Flowers on Black Background  - Non-woven - a soft feel paper</t>
        </is>
      </c>
      <c r="D984" s="39" t="inlineStr">
        <is>
          <t>Life n Colors</t>
        </is>
      </c>
      <c r="E984" s="43" t="n">
        <v>46126</v>
      </c>
      <c r="F984" s="26" t="inlineStr">
        <is>
          <t>Sunil CR</t>
        </is>
      </c>
      <c r="G984" s="26" t="inlineStr">
        <is>
          <t>Yes</t>
        </is>
      </c>
      <c r="H984" s="26" t="inlineStr">
        <is>
          <t>No</t>
        </is>
      </c>
      <c r="I984" s="26" t="inlineStr">
        <is>
          <t>Good finish</t>
        </is>
      </c>
      <c r="J984" s="26" t="inlineStr">
        <is>
          <t>Yes</t>
        </is>
      </c>
      <c r="K984" s="27" t="n"/>
      <c r="L984" s="28" t="inlineStr">
        <is>
          <t>No</t>
        </is>
      </c>
      <c r="M984" s="29">
        <f>IF(E984="","",IF(H984="Yes","❌ Disc",IF(G984="No","⚠ Missing",IF(J984="Yes","✓ OK","⚠ Check"))))</f>
        <v/>
      </c>
      <c r="N984" s="43" t="n">
        <v>46193</v>
      </c>
      <c r="O984" s="26" t="inlineStr">
        <is>
          <t>Sunil CR</t>
        </is>
      </c>
      <c r="P984" s="26" t="inlineStr">
        <is>
          <t>Yes</t>
        </is>
      </c>
      <c r="Q984" s="26" t="inlineStr">
        <is>
          <t>No</t>
        </is>
      </c>
      <c r="R984" s="26" t="inlineStr">
        <is>
          <t>Good finish</t>
        </is>
      </c>
      <c r="S984" s="26" t="inlineStr">
        <is>
          <t>Yes</t>
        </is>
      </c>
      <c r="T984" s="27" t="n"/>
      <c r="U984" s="28" t="inlineStr">
        <is>
          <t>No</t>
        </is>
      </c>
      <c r="V984" s="29">
        <f>IF(N984="","",IF(Q984="Yes","❌ Disc",IF(P984="No","⚠ Missing",IF(S984="Yes","✓ OK","⚠ Check"))))</f>
        <v/>
      </c>
      <c r="W984" s="65" t="n">
        <v>46248</v>
      </c>
      <c r="X984" s="30" t="inlineStr">
        <is>
          <t>Sunil CR</t>
        </is>
      </c>
      <c r="Y984" s="30" t="inlineStr">
        <is>
          <t>Yes</t>
        </is>
      </c>
      <c r="Z984" s="30" t="n"/>
      <c r="AA984" s="30" t="inlineStr">
        <is>
          <t>Good finish</t>
        </is>
      </c>
      <c r="AB984" s="30" t="inlineStr">
        <is>
          <t>Yes</t>
        </is>
      </c>
      <c r="AC984" s="27" t="n"/>
      <c r="AD984" s="31" t="inlineStr">
        <is>
          <t>No</t>
        </is>
      </c>
      <c r="AE984" s="32">
        <f>IF(W984="","",IF(Z984="Yes","❌ Disc",IF(Y984="No","⚠ Missing",IF(AB984="Yes","✓ OK","⚠ Check"))))</f>
        <v/>
      </c>
      <c r="AF984" s="33" t="n"/>
      <c r="AG984" s="33" t="n"/>
      <c r="AH984" s="33" t="n"/>
      <c r="AI984" s="33" t="n"/>
      <c r="AJ984" s="33" t="n"/>
      <c r="AK984" s="33" t="n"/>
      <c r="AL984" s="27" t="n"/>
      <c r="AM984" s="34" t="n"/>
      <c r="AN984" s="35">
        <f>IF(AF984="","",IF(AI984="Yes","❌ Disc",IF(AH984="No","⚠ Missing",IF(AK984="Yes","✓ OK","⚠ Check"))))</f>
        <v/>
      </c>
      <c r="AO984" s="36" t="n"/>
      <c r="AP984" s="36" t="n"/>
      <c r="AQ984" s="36" t="n"/>
      <c r="AR984" s="36" t="n"/>
      <c r="AS984" s="36" t="n"/>
      <c r="AT984" s="36" t="n"/>
      <c r="AU984" s="27" t="n"/>
      <c r="AV984" s="37" t="n"/>
      <c r="AW984" s="38">
        <f>IF(AO984="","",IF(AR984="Yes","❌ Disc",IF(AQ984="No","⚠ Missing",IF(AT984="Yes","✓ OK","⚠ Check"))))</f>
        <v/>
      </c>
    </row>
    <row r="985" ht="18" customHeight="1" s="46">
      <c r="A985" s="23" t="n">
        <v>981</v>
      </c>
      <c r="B985" s="24" t="inlineStr">
        <is>
          <t>WP LNCCN1100998</t>
        </is>
      </c>
      <c r="C985" s="25" t="inlineStr">
        <is>
          <t>Life n Colors - Vintage Theme Tropical Foliage Wallpaper for Rooms, Customised  -  Canvas - a texture paper</t>
        </is>
      </c>
      <c r="D985" s="23" t="inlineStr">
        <is>
          <t>Life n Colors</t>
        </is>
      </c>
      <c r="E985" s="43" t="n">
        <v>46126</v>
      </c>
      <c r="F985" s="26" t="inlineStr">
        <is>
          <t>Sunil CR</t>
        </is>
      </c>
      <c r="G985" s="26" t="inlineStr">
        <is>
          <t>Yes</t>
        </is>
      </c>
      <c r="H985" s="26" t="inlineStr">
        <is>
          <t>No</t>
        </is>
      </c>
      <c r="I985" s="26" t="inlineStr">
        <is>
          <t>Good finish</t>
        </is>
      </c>
      <c r="J985" s="26" t="inlineStr">
        <is>
          <t>Yes</t>
        </is>
      </c>
      <c r="K985" s="27" t="n"/>
      <c r="L985" s="28" t="inlineStr">
        <is>
          <t>No</t>
        </is>
      </c>
      <c r="M985" s="29">
        <f>IF(E985="","",IF(H985="Yes","❌ Disc",IF(G985="No","⚠ Missing",IF(J985="Yes","✓ OK","⚠ Check"))))</f>
        <v/>
      </c>
      <c r="N985" s="43" t="n">
        <v>46193</v>
      </c>
      <c r="O985" s="26" t="inlineStr">
        <is>
          <t>Sunil CR</t>
        </is>
      </c>
      <c r="P985" s="26" t="inlineStr">
        <is>
          <t>Yes</t>
        </is>
      </c>
      <c r="Q985" s="26" t="inlineStr">
        <is>
          <t>No</t>
        </is>
      </c>
      <c r="R985" s="26" t="inlineStr">
        <is>
          <t>Good finish</t>
        </is>
      </c>
      <c r="S985" s="26" t="inlineStr">
        <is>
          <t>Yes</t>
        </is>
      </c>
      <c r="T985" s="27" t="n"/>
      <c r="U985" s="28" t="inlineStr">
        <is>
          <t>No</t>
        </is>
      </c>
      <c r="V985" s="29">
        <f>IF(N985="","",IF(Q985="Yes","❌ Disc",IF(P985="No","⚠ Missing",IF(S985="Yes","✓ OK","⚠ Check"))))</f>
        <v/>
      </c>
      <c r="W985" s="65" t="n">
        <v>46248</v>
      </c>
      <c r="X985" s="30" t="inlineStr">
        <is>
          <t>Sunil CR</t>
        </is>
      </c>
      <c r="Y985" s="30" t="inlineStr">
        <is>
          <t>Yes</t>
        </is>
      </c>
      <c r="Z985" s="30" t="n"/>
      <c r="AA985" s="30" t="inlineStr">
        <is>
          <t>Good finish</t>
        </is>
      </c>
      <c r="AB985" s="30" t="inlineStr">
        <is>
          <t>Yes</t>
        </is>
      </c>
      <c r="AC985" s="27" t="n"/>
      <c r="AD985" s="31" t="inlineStr">
        <is>
          <t>No</t>
        </is>
      </c>
      <c r="AE985" s="32">
        <f>IF(W985="","",IF(Z985="Yes","❌ Disc",IF(Y985="No","⚠ Missing",IF(AB985="Yes","✓ OK","⚠ Check"))))</f>
        <v/>
      </c>
      <c r="AF985" s="33" t="n"/>
      <c r="AG985" s="33" t="n"/>
      <c r="AH985" s="33" t="n"/>
      <c r="AI985" s="33" t="n"/>
      <c r="AJ985" s="33" t="n"/>
      <c r="AK985" s="33" t="n"/>
      <c r="AL985" s="27" t="n"/>
      <c r="AM985" s="34" t="n"/>
      <c r="AN985" s="35">
        <f>IF(AF985="","",IF(AI985="Yes","❌ Disc",IF(AH985="No","⚠ Missing",IF(AK985="Yes","✓ OK","⚠ Check"))))</f>
        <v/>
      </c>
      <c r="AO985" s="36" t="n"/>
      <c r="AP985" s="36" t="n"/>
      <c r="AQ985" s="36" t="n"/>
      <c r="AR985" s="36" t="n"/>
      <c r="AS985" s="36" t="n"/>
      <c r="AT985" s="36" t="n"/>
      <c r="AU985" s="27" t="n"/>
      <c r="AV985" s="37" t="n"/>
      <c r="AW985" s="38">
        <f>IF(AO985="","",IF(AR985="Yes","❌ Disc",IF(AQ985="No","⚠ Missing",IF(AT985="Yes","✓ OK","⚠ Check"))))</f>
        <v/>
      </c>
    </row>
    <row r="986" ht="18" customHeight="1" s="46">
      <c r="A986" s="39" t="n">
        <v>982</v>
      </c>
      <c r="B986" s="40" t="inlineStr">
        <is>
          <t>WP LNCSF1100998</t>
        </is>
      </c>
      <c r="C986" s="41" t="inlineStr">
        <is>
          <t>Life n Colors - Vintage Theme Tropical Foliage Wallpaper for Rooms, Customised  - Non-woven - a soft feel paper</t>
        </is>
      </c>
      <c r="D986" s="39" t="inlineStr">
        <is>
          <t>Life n Colors</t>
        </is>
      </c>
      <c r="E986" s="43" t="n">
        <v>46126</v>
      </c>
      <c r="F986" s="26" t="inlineStr">
        <is>
          <t>Sunil CR</t>
        </is>
      </c>
      <c r="G986" s="26" t="inlineStr">
        <is>
          <t>Yes</t>
        </is>
      </c>
      <c r="H986" s="26" t="inlineStr">
        <is>
          <t>No</t>
        </is>
      </c>
      <c r="I986" s="26" t="inlineStr">
        <is>
          <t>Good finish</t>
        </is>
      </c>
      <c r="J986" s="26" t="inlineStr">
        <is>
          <t>Yes</t>
        </is>
      </c>
      <c r="K986" s="27" t="n"/>
      <c r="L986" s="28" t="inlineStr">
        <is>
          <t>No</t>
        </is>
      </c>
      <c r="M986" s="29">
        <f>IF(E986="","",IF(H986="Yes","❌ Disc",IF(G986="No","⚠ Missing",IF(J986="Yes","✓ OK","⚠ Check"))))</f>
        <v/>
      </c>
      <c r="N986" s="43" t="n">
        <v>46193</v>
      </c>
      <c r="O986" s="26" t="inlineStr">
        <is>
          <t>Sunil CR</t>
        </is>
      </c>
      <c r="P986" s="26" t="inlineStr">
        <is>
          <t>Yes</t>
        </is>
      </c>
      <c r="Q986" s="26" t="inlineStr">
        <is>
          <t>No</t>
        </is>
      </c>
      <c r="R986" s="26" t="inlineStr">
        <is>
          <t>Good finish</t>
        </is>
      </c>
      <c r="S986" s="26" t="inlineStr">
        <is>
          <t>Yes</t>
        </is>
      </c>
      <c r="T986" s="27" t="n"/>
      <c r="U986" s="28" t="inlineStr">
        <is>
          <t>No</t>
        </is>
      </c>
      <c r="V986" s="29">
        <f>IF(N986="","",IF(Q986="Yes","❌ Disc",IF(P986="No","⚠ Missing",IF(S986="Yes","✓ OK","⚠ Check"))))</f>
        <v/>
      </c>
      <c r="W986" s="65" t="n">
        <v>46248</v>
      </c>
      <c r="X986" s="30" t="inlineStr">
        <is>
          <t>Sunil CR</t>
        </is>
      </c>
      <c r="Y986" s="30" t="inlineStr">
        <is>
          <t>Yes</t>
        </is>
      </c>
      <c r="Z986" s="30" t="n"/>
      <c r="AA986" s="30" t="inlineStr">
        <is>
          <t>Good finish</t>
        </is>
      </c>
      <c r="AB986" s="30" t="inlineStr">
        <is>
          <t>Yes</t>
        </is>
      </c>
      <c r="AC986" s="27" t="n"/>
      <c r="AD986" s="31" t="inlineStr">
        <is>
          <t>No</t>
        </is>
      </c>
      <c r="AE986" s="32">
        <f>IF(W986="","",IF(Z986="Yes","❌ Disc",IF(Y986="No","⚠ Missing",IF(AB986="Yes","✓ OK","⚠ Check"))))</f>
        <v/>
      </c>
      <c r="AF986" s="33" t="n"/>
      <c r="AG986" s="33" t="n"/>
      <c r="AH986" s="33" t="n"/>
      <c r="AI986" s="33" t="n"/>
      <c r="AJ986" s="33" t="n"/>
      <c r="AK986" s="33" t="n"/>
      <c r="AL986" s="27" t="n"/>
      <c r="AM986" s="34" t="n"/>
      <c r="AN986" s="35">
        <f>IF(AF986="","",IF(AI986="Yes","❌ Disc",IF(AH986="No","⚠ Missing",IF(AK986="Yes","✓ OK","⚠ Check"))))</f>
        <v/>
      </c>
      <c r="AO986" s="36" t="n"/>
      <c r="AP986" s="36" t="n"/>
      <c r="AQ986" s="36" t="n"/>
      <c r="AR986" s="36" t="n"/>
      <c r="AS986" s="36" t="n"/>
      <c r="AT986" s="36" t="n"/>
      <c r="AU986" s="27" t="n"/>
      <c r="AV986" s="37" t="n"/>
      <c r="AW986" s="38">
        <f>IF(AO986="","",IF(AR986="Yes","❌ Disc",IF(AQ986="No","⚠ Missing",IF(AT986="Yes","✓ OK","⚠ Check"))))</f>
        <v/>
      </c>
    </row>
    <row r="987" ht="18" customHeight="1" s="46">
      <c r="A987" s="23" t="n">
        <v>983</v>
      </c>
      <c r="B987" s="24" t="inlineStr">
        <is>
          <t>WP LNCCN1040996</t>
        </is>
      </c>
      <c r="C987" s="25" t="inlineStr">
        <is>
          <t>Life n Colors - Vintage Travel Theme World Map Wallpaper for Walls  -  Canvas - a texture paper</t>
        </is>
      </c>
      <c r="D987" s="23" t="inlineStr">
        <is>
          <t>Life n Colors</t>
        </is>
      </c>
      <c r="E987" s="43" t="n">
        <v>46126</v>
      </c>
      <c r="F987" s="26" t="inlineStr">
        <is>
          <t>Sunil CR</t>
        </is>
      </c>
      <c r="G987" s="26" t="inlineStr">
        <is>
          <t>Yes</t>
        </is>
      </c>
      <c r="H987" s="26" t="inlineStr">
        <is>
          <t>No</t>
        </is>
      </c>
      <c r="I987" s="26" t="inlineStr">
        <is>
          <t>Good finish</t>
        </is>
      </c>
      <c r="J987" s="26" t="inlineStr">
        <is>
          <t>Yes</t>
        </is>
      </c>
      <c r="K987" s="27" t="n"/>
      <c r="L987" s="28" t="inlineStr">
        <is>
          <t>No</t>
        </is>
      </c>
      <c r="M987" s="29">
        <f>IF(E987="","",IF(H987="Yes","❌ Disc",IF(G987="No","⚠ Missing",IF(J987="Yes","✓ OK","⚠ Check"))))</f>
        <v/>
      </c>
      <c r="N987" s="43" t="n">
        <v>46193</v>
      </c>
      <c r="O987" s="26" t="inlineStr">
        <is>
          <t>Sunil CR</t>
        </is>
      </c>
      <c r="P987" s="26" t="inlineStr">
        <is>
          <t>Yes</t>
        </is>
      </c>
      <c r="Q987" s="26" t="inlineStr">
        <is>
          <t>No</t>
        </is>
      </c>
      <c r="R987" s="26" t="inlineStr">
        <is>
          <t>Good finish</t>
        </is>
      </c>
      <c r="S987" s="26" t="inlineStr">
        <is>
          <t>Yes</t>
        </is>
      </c>
      <c r="T987" s="27" t="n"/>
      <c r="U987" s="28" t="inlineStr">
        <is>
          <t>No</t>
        </is>
      </c>
      <c r="V987" s="29">
        <f>IF(N987="","",IF(Q987="Yes","❌ Disc",IF(P987="No","⚠ Missing",IF(S987="Yes","✓ OK","⚠ Check"))))</f>
        <v/>
      </c>
      <c r="W987" s="65" t="n">
        <v>46248</v>
      </c>
      <c r="X987" s="30" t="inlineStr">
        <is>
          <t>Sunil CR</t>
        </is>
      </c>
      <c r="Y987" s="30" t="inlineStr">
        <is>
          <t>Yes</t>
        </is>
      </c>
      <c r="Z987" s="30" t="n"/>
      <c r="AA987" s="30" t="inlineStr">
        <is>
          <t>Good finish</t>
        </is>
      </c>
      <c r="AB987" s="30" t="inlineStr">
        <is>
          <t>Yes</t>
        </is>
      </c>
      <c r="AC987" s="27" t="n"/>
      <c r="AD987" s="31" t="inlineStr">
        <is>
          <t>No</t>
        </is>
      </c>
      <c r="AE987" s="32">
        <f>IF(W987="","",IF(Z987="Yes","❌ Disc",IF(Y987="No","⚠ Missing",IF(AB987="Yes","✓ OK","⚠ Check"))))</f>
        <v/>
      </c>
      <c r="AF987" s="33" t="n"/>
      <c r="AG987" s="33" t="n"/>
      <c r="AH987" s="33" t="n"/>
      <c r="AI987" s="33" t="n"/>
      <c r="AJ987" s="33" t="n"/>
      <c r="AK987" s="33" t="n"/>
      <c r="AL987" s="27" t="n"/>
      <c r="AM987" s="34" t="n"/>
      <c r="AN987" s="35">
        <f>IF(AF987="","",IF(AI987="Yes","❌ Disc",IF(AH987="No","⚠ Missing",IF(AK987="Yes","✓ OK","⚠ Check"))))</f>
        <v/>
      </c>
      <c r="AO987" s="36" t="n"/>
      <c r="AP987" s="36" t="n"/>
      <c r="AQ987" s="36" t="n"/>
      <c r="AR987" s="36" t="n"/>
      <c r="AS987" s="36" t="n"/>
      <c r="AT987" s="36" t="n"/>
      <c r="AU987" s="27" t="n"/>
      <c r="AV987" s="37" t="n"/>
      <c r="AW987" s="38">
        <f>IF(AO987="","",IF(AR987="Yes","❌ Disc",IF(AQ987="No","⚠ Missing",IF(AT987="Yes","✓ OK","⚠ Check"))))</f>
        <v/>
      </c>
    </row>
    <row r="988" ht="18" customHeight="1" s="46">
      <c r="A988" s="39" t="n">
        <v>984</v>
      </c>
      <c r="B988" s="40" t="inlineStr">
        <is>
          <t>WP LNCSF1040996</t>
        </is>
      </c>
      <c r="C988" s="41" t="inlineStr">
        <is>
          <t>Life n Colors - Vintage Travel Theme World Map Wallpaper for Walls  - Non-woven - a soft feel paper</t>
        </is>
      </c>
      <c r="D988" s="39" t="inlineStr">
        <is>
          <t>Life n Colors</t>
        </is>
      </c>
      <c r="E988" s="43" t="n">
        <v>46126</v>
      </c>
      <c r="F988" s="26" t="inlineStr">
        <is>
          <t>Sunil CR</t>
        </is>
      </c>
      <c r="G988" s="26" t="inlineStr">
        <is>
          <t>Yes</t>
        </is>
      </c>
      <c r="H988" s="26" t="inlineStr">
        <is>
          <t>No</t>
        </is>
      </c>
      <c r="I988" s="26" t="inlineStr">
        <is>
          <t>Good finish</t>
        </is>
      </c>
      <c r="J988" s="26" t="inlineStr">
        <is>
          <t>Yes</t>
        </is>
      </c>
      <c r="K988" s="27" t="n"/>
      <c r="L988" s="28" t="inlineStr">
        <is>
          <t>No</t>
        </is>
      </c>
      <c r="M988" s="29">
        <f>IF(E988="","",IF(H988="Yes","❌ Disc",IF(G988="No","⚠ Missing",IF(J988="Yes","✓ OK","⚠ Check"))))</f>
        <v/>
      </c>
      <c r="N988" s="43" t="n">
        <v>46193</v>
      </c>
      <c r="O988" s="26" t="inlineStr">
        <is>
          <t>Sunil CR</t>
        </is>
      </c>
      <c r="P988" s="26" t="inlineStr">
        <is>
          <t>Yes</t>
        </is>
      </c>
      <c r="Q988" s="26" t="inlineStr">
        <is>
          <t>No</t>
        </is>
      </c>
      <c r="R988" s="26" t="inlineStr">
        <is>
          <t>Good finish</t>
        </is>
      </c>
      <c r="S988" s="26" t="inlineStr">
        <is>
          <t>Yes</t>
        </is>
      </c>
      <c r="T988" s="27" t="n"/>
      <c r="U988" s="28" t="inlineStr">
        <is>
          <t>No</t>
        </is>
      </c>
      <c r="V988" s="29">
        <f>IF(N988="","",IF(Q988="Yes","❌ Disc",IF(P988="No","⚠ Missing",IF(S988="Yes","✓ OK","⚠ Check"))))</f>
        <v/>
      </c>
      <c r="W988" s="65" t="n">
        <v>46248</v>
      </c>
      <c r="X988" s="30" t="inlineStr">
        <is>
          <t>Sunil CR</t>
        </is>
      </c>
      <c r="Y988" s="30" t="inlineStr">
        <is>
          <t>Yes</t>
        </is>
      </c>
      <c r="Z988" s="30" t="n"/>
      <c r="AA988" s="30" t="inlineStr">
        <is>
          <t>Good finish</t>
        </is>
      </c>
      <c r="AB988" s="30" t="inlineStr">
        <is>
          <t>Yes</t>
        </is>
      </c>
      <c r="AC988" s="27" t="n"/>
      <c r="AD988" s="31" t="inlineStr">
        <is>
          <t>No</t>
        </is>
      </c>
      <c r="AE988" s="32">
        <f>IF(W988="","",IF(Z988="Yes","❌ Disc",IF(Y988="No","⚠ Missing",IF(AB988="Yes","✓ OK","⚠ Check"))))</f>
        <v/>
      </c>
      <c r="AF988" s="33" t="n"/>
      <c r="AG988" s="33" t="n"/>
      <c r="AH988" s="33" t="n"/>
      <c r="AI988" s="33" t="n"/>
      <c r="AJ988" s="33" t="n"/>
      <c r="AK988" s="33" t="n"/>
      <c r="AL988" s="27" t="n"/>
      <c r="AM988" s="34" t="n"/>
      <c r="AN988" s="35">
        <f>IF(AF988="","",IF(AI988="Yes","❌ Disc",IF(AH988="No","⚠ Missing",IF(AK988="Yes","✓ OK","⚠ Check"))))</f>
        <v/>
      </c>
      <c r="AO988" s="36" t="n"/>
      <c r="AP988" s="36" t="n"/>
      <c r="AQ988" s="36" t="n"/>
      <c r="AR988" s="36" t="n"/>
      <c r="AS988" s="36" t="n"/>
      <c r="AT988" s="36" t="n"/>
      <c r="AU988" s="27" t="n"/>
      <c r="AV988" s="37" t="n"/>
      <c r="AW988" s="38">
        <f>IF(AO988="","",IF(AR988="Yes","❌ Disc",IF(AQ988="No","⚠ Missing",IF(AT988="Yes","✓ OK","⚠ Check"))))</f>
        <v/>
      </c>
    </row>
    <row r="989" ht="18" customHeight="1" s="46">
      <c r="A989" s="23" t="n">
        <v>985</v>
      </c>
      <c r="B989" s="24" t="inlineStr">
        <is>
          <t>WP LNCCN1188227</t>
        </is>
      </c>
      <c r="C989" s="25" t="inlineStr">
        <is>
          <t>Life n Colors - Vintage Wall with Green Creeper, 3D Wallpaper for Rooms  -  Canvas - a texture paper</t>
        </is>
      </c>
      <c r="D989" s="23" t="inlineStr">
        <is>
          <t>Life n Colors</t>
        </is>
      </c>
      <c r="E989" s="43" t="n">
        <v>46126</v>
      </c>
      <c r="F989" s="26" t="inlineStr">
        <is>
          <t>Sunil CR</t>
        </is>
      </c>
      <c r="G989" s="26" t="inlineStr">
        <is>
          <t>Yes</t>
        </is>
      </c>
      <c r="H989" s="26" t="inlineStr">
        <is>
          <t>No</t>
        </is>
      </c>
      <c r="I989" s="26" t="inlineStr">
        <is>
          <t>Good finish</t>
        </is>
      </c>
      <c r="J989" s="26" t="inlineStr">
        <is>
          <t>Yes</t>
        </is>
      </c>
      <c r="K989" s="27" t="n"/>
      <c r="L989" s="28" t="inlineStr">
        <is>
          <t>No</t>
        </is>
      </c>
      <c r="M989" s="29">
        <f>IF(E989="","",IF(H989="Yes","❌ Disc",IF(G989="No","⚠ Missing",IF(J989="Yes","✓ OK","⚠ Check"))))</f>
        <v/>
      </c>
      <c r="N989" s="43" t="n">
        <v>46193</v>
      </c>
      <c r="O989" s="26" t="inlineStr">
        <is>
          <t>Sunil CR</t>
        </is>
      </c>
      <c r="P989" s="26" t="inlineStr">
        <is>
          <t>Yes</t>
        </is>
      </c>
      <c r="Q989" s="26" t="inlineStr">
        <is>
          <t>No</t>
        </is>
      </c>
      <c r="R989" s="26" t="inlineStr">
        <is>
          <t>Good finish</t>
        </is>
      </c>
      <c r="S989" s="26" t="inlineStr">
        <is>
          <t>Yes</t>
        </is>
      </c>
      <c r="T989" s="27" t="n"/>
      <c r="U989" s="28" t="inlineStr">
        <is>
          <t>No</t>
        </is>
      </c>
      <c r="V989" s="29">
        <f>IF(N989="","",IF(Q989="Yes","❌ Disc",IF(P989="No","⚠ Missing",IF(S989="Yes","✓ OK","⚠ Check"))))</f>
        <v/>
      </c>
      <c r="W989" s="65" t="n">
        <v>46248</v>
      </c>
      <c r="X989" s="30" t="inlineStr">
        <is>
          <t>Sunil CR</t>
        </is>
      </c>
      <c r="Y989" s="30" t="inlineStr">
        <is>
          <t>Yes</t>
        </is>
      </c>
      <c r="Z989" s="30" t="n"/>
      <c r="AA989" s="30" t="inlineStr">
        <is>
          <t>Good finish</t>
        </is>
      </c>
      <c r="AB989" s="30" t="inlineStr">
        <is>
          <t>Yes</t>
        </is>
      </c>
      <c r="AC989" s="27" t="n"/>
      <c r="AD989" s="31" t="inlineStr">
        <is>
          <t>No</t>
        </is>
      </c>
      <c r="AE989" s="32">
        <f>IF(W989="","",IF(Z989="Yes","❌ Disc",IF(Y989="No","⚠ Missing",IF(AB989="Yes","✓ OK","⚠ Check"))))</f>
        <v/>
      </c>
      <c r="AF989" s="33" t="n"/>
      <c r="AG989" s="33" t="n"/>
      <c r="AH989" s="33" t="n"/>
      <c r="AI989" s="33" t="n"/>
      <c r="AJ989" s="33" t="n"/>
      <c r="AK989" s="33" t="n"/>
      <c r="AL989" s="27" t="n"/>
      <c r="AM989" s="34" t="n"/>
      <c r="AN989" s="35">
        <f>IF(AF989="","",IF(AI989="Yes","❌ Disc",IF(AH989="No","⚠ Missing",IF(AK989="Yes","✓ OK","⚠ Check"))))</f>
        <v/>
      </c>
      <c r="AO989" s="36" t="n"/>
      <c r="AP989" s="36" t="n"/>
      <c r="AQ989" s="36" t="n"/>
      <c r="AR989" s="36" t="n"/>
      <c r="AS989" s="36" t="n"/>
      <c r="AT989" s="36" t="n"/>
      <c r="AU989" s="27" t="n"/>
      <c r="AV989" s="37" t="n"/>
      <c r="AW989" s="38">
        <f>IF(AO989="","",IF(AR989="Yes","❌ Disc",IF(AQ989="No","⚠ Missing",IF(AT989="Yes","✓ OK","⚠ Check"))))</f>
        <v/>
      </c>
    </row>
    <row r="990" ht="18" customHeight="1" s="46">
      <c r="A990" s="39" t="n">
        <v>986</v>
      </c>
      <c r="B990" s="40" t="inlineStr">
        <is>
          <t>WP LNCSF1188227</t>
        </is>
      </c>
      <c r="C990" s="41" t="inlineStr">
        <is>
          <t>Life n Colors - Vintage Wall with Green Creeper, 3D Wallpaper for Rooms  - Non-woven - a soft feel paper</t>
        </is>
      </c>
      <c r="D990" s="39" t="inlineStr">
        <is>
          <t>Life n Colors</t>
        </is>
      </c>
      <c r="E990" s="43" t="n">
        <v>46126</v>
      </c>
      <c r="F990" s="26" t="inlineStr">
        <is>
          <t>Sunil CR</t>
        </is>
      </c>
      <c r="G990" s="26" t="inlineStr">
        <is>
          <t>Yes</t>
        </is>
      </c>
      <c r="H990" s="26" t="inlineStr">
        <is>
          <t>No</t>
        </is>
      </c>
      <c r="I990" s="26" t="inlineStr">
        <is>
          <t>Good finish</t>
        </is>
      </c>
      <c r="J990" s="26" t="inlineStr">
        <is>
          <t>Yes</t>
        </is>
      </c>
      <c r="K990" s="27" t="n"/>
      <c r="L990" s="28" t="inlineStr">
        <is>
          <t>No</t>
        </is>
      </c>
      <c r="M990" s="29">
        <f>IF(E990="","",IF(H990="Yes","❌ Disc",IF(G990="No","⚠ Missing",IF(J990="Yes","✓ OK","⚠ Check"))))</f>
        <v/>
      </c>
      <c r="N990" s="43" t="n">
        <v>46193</v>
      </c>
      <c r="O990" s="26" t="inlineStr">
        <is>
          <t>Sunil CR</t>
        </is>
      </c>
      <c r="P990" s="26" t="inlineStr">
        <is>
          <t>Yes</t>
        </is>
      </c>
      <c r="Q990" s="26" t="inlineStr">
        <is>
          <t>No</t>
        </is>
      </c>
      <c r="R990" s="26" t="inlineStr">
        <is>
          <t>Good finish</t>
        </is>
      </c>
      <c r="S990" s="26" t="inlineStr">
        <is>
          <t>Yes</t>
        </is>
      </c>
      <c r="T990" s="27" t="n"/>
      <c r="U990" s="28" t="inlineStr">
        <is>
          <t>No</t>
        </is>
      </c>
      <c r="V990" s="29">
        <f>IF(N990="","",IF(Q990="Yes","❌ Disc",IF(P990="No","⚠ Missing",IF(S990="Yes","✓ OK","⚠ Check"))))</f>
        <v/>
      </c>
      <c r="W990" s="65" t="n">
        <v>46248</v>
      </c>
      <c r="X990" s="30" t="inlineStr">
        <is>
          <t>Sunil CR</t>
        </is>
      </c>
      <c r="Y990" s="30" t="inlineStr">
        <is>
          <t>Yes</t>
        </is>
      </c>
      <c r="Z990" s="30" t="n"/>
      <c r="AA990" s="30" t="inlineStr">
        <is>
          <t>Good finish</t>
        </is>
      </c>
      <c r="AB990" s="30" t="inlineStr">
        <is>
          <t>Yes</t>
        </is>
      </c>
      <c r="AC990" s="27" t="n"/>
      <c r="AD990" s="31" t="inlineStr">
        <is>
          <t>No</t>
        </is>
      </c>
      <c r="AE990" s="32">
        <f>IF(W990="","",IF(Z990="Yes","❌ Disc",IF(Y990="No","⚠ Missing",IF(AB990="Yes","✓ OK","⚠ Check"))))</f>
        <v/>
      </c>
      <c r="AF990" s="33" t="n"/>
      <c r="AG990" s="33" t="n"/>
      <c r="AH990" s="33" t="n"/>
      <c r="AI990" s="33" t="n"/>
      <c r="AJ990" s="33" t="n"/>
      <c r="AK990" s="33" t="n"/>
      <c r="AL990" s="27" t="n"/>
      <c r="AM990" s="34" t="n"/>
      <c r="AN990" s="35">
        <f>IF(AF990="","",IF(AI990="Yes","❌ Disc",IF(AH990="No","⚠ Missing",IF(AK990="Yes","✓ OK","⚠ Check"))))</f>
        <v/>
      </c>
      <c r="AO990" s="36" t="n"/>
      <c r="AP990" s="36" t="n"/>
      <c r="AQ990" s="36" t="n"/>
      <c r="AR990" s="36" t="n"/>
      <c r="AS990" s="36" t="n"/>
      <c r="AT990" s="36" t="n"/>
      <c r="AU990" s="27" t="n"/>
      <c r="AV990" s="37" t="n"/>
      <c r="AW990" s="38">
        <f>IF(AO990="","",IF(AR990="Yes","❌ Disc",IF(AQ990="No","⚠ Missing",IF(AT990="Yes","✓ OK","⚠ Check"))))</f>
        <v/>
      </c>
    </row>
    <row r="991" ht="18" customHeight="1" s="46">
      <c r="A991" s="23" t="n">
        <v>987</v>
      </c>
      <c r="B991" s="24" t="inlineStr">
        <is>
          <t>WP LNCCN1161696</t>
        </is>
      </c>
      <c r="C991" s="25" t="inlineStr">
        <is>
          <t>Life n Colors - Water Painted Colourful Mountains, Scenery Theme For Kids Room  -  Canvas - a texture paper</t>
        </is>
      </c>
      <c r="D991" s="23" t="inlineStr">
        <is>
          <t>Life n Colors</t>
        </is>
      </c>
      <c r="E991" s="43" t="n">
        <v>46126</v>
      </c>
      <c r="F991" s="26" t="inlineStr">
        <is>
          <t>Sunil CR</t>
        </is>
      </c>
      <c r="G991" s="26" t="inlineStr">
        <is>
          <t>Yes</t>
        </is>
      </c>
      <c r="H991" s="26" t="inlineStr">
        <is>
          <t>No</t>
        </is>
      </c>
      <c r="I991" s="26" t="inlineStr">
        <is>
          <t>Good finish</t>
        </is>
      </c>
      <c r="J991" s="26" t="inlineStr">
        <is>
          <t>Yes</t>
        </is>
      </c>
      <c r="K991" s="27" t="n"/>
      <c r="L991" s="28" t="inlineStr">
        <is>
          <t>No</t>
        </is>
      </c>
      <c r="M991" s="29">
        <f>IF(E991="","",IF(H991="Yes","❌ Disc",IF(G991="No","⚠ Missing",IF(J991="Yes","✓ OK","⚠ Check"))))</f>
        <v/>
      </c>
      <c r="N991" s="43" t="n">
        <v>46193</v>
      </c>
      <c r="O991" s="26" t="inlineStr">
        <is>
          <t>Sunil CR</t>
        </is>
      </c>
      <c r="P991" s="26" t="inlineStr">
        <is>
          <t>Yes</t>
        </is>
      </c>
      <c r="Q991" s="26" t="inlineStr">
        <is>
          <t>No</t>
        </is>
      </c>
      <c r="R991" s="26" t="inlineStr">
        <is>
          <t>Good finish</t>
        </is>
      </c>
      <c r="S991" s="26" t="inlineStr">
        <is>
          <t>Yes</t>
        </is>
      </c>
      <c r="T991" s="27" t="n"/>
      <c r="U991" s="28" t="inlineStr">
        <is>
          <t>No</t>
        </is>
      </c>
      <c r="V991" s="29">
        <f>IF(N991="","",IF(Q991="Yes","❌ Disc",IF(P991="No","⚠ Missing",IF(S991="Yes","✓ OK","⚠ Check"))))</f>
        <v/>
      </c>
      <c r="W991" s="65" t="n">
        <v>46248</v>
      </c>
      <c r="X991" s="30" t="inlineStr">
        <is>
          <t>Sunil CR</t>
        </is>
      </c>
      <c r="Y991" s="30" t="inlineStr">
        <is>
          <t>Yes</t>
        </is>
      </c>
      <c r="Z991" s="30" t="n"/>
      <c r="AA991" s="30" t="inlineStr">
        <is>
          <t>Good finish</t>
        </is>
      </c>
      <c r="AB991" s="30" t="inlineStr">
        <is>
          <t>Yes</t>
        </is>
      </c>
      <c r="AC991" s="27" t="n"/>
      <c r="AD991" s="31" t="inlineStr">
        <is>
          <t>No</t>
        </is>
      </c>
      <c r="AE991" s="32">
        <f>IF(W991="","",IF(Z991="Yes","❌ Disc",IF(Y991="No","⚠ Missing",IF(AB991="Yes","✓ OK","⚠ Check"))))</f>
        <v/>
      </c>
      <c r="AF991" s="33" t="n"/>
      <c r="AG991" s="33" t="n"/>
      <c r="AH991" s="33" t="n"/>
      <c r="AI991" s="33" t="n"/>
      <c r="AJ991" s="33" t="n"/>
      <c r="AK991" s="33" t="n"/>
      <c r="AL991" s="27" t="n"/>
      <c r="AM991" s="34" t="n"/>
      <c r="AN991" s="35">
        <f>IF(AF991="","",IF(AI991="Yes","❌ Disc",IF(AH991="No","⚠ Missing",IF(AK991="Yes","✓ OK","⚠ Check"))))</f>
        <v/>
      </c>
      <c r="AO991" s="36" t="n"/>
      <c r="AP991" s="36" t="n"/>
      <c r="AQ991" s="36" t="n"/>
      <c r="AR991" s="36" t="n"/>
      <c r="AS991" s="36" t="n"/>
      <c r="AT991" s="36" t="n"/>
      <c r="AU991" s="27" t="n"/>
      <c r="AV991" s="37" t="n"/>
      <c r="AW991" s="38">
        <f>IF(AO991="","",IF(AR991="Yes","❌ Disc",IF(AQ991="No","⚠ Missing",IF(AT991="Yes","✓ OK","⚠ Check"))))</f>
        <v/>
      </c>
    </row>
    <row r="992" ht="18" customHeight="1" s="46">
      <c r="A992" s="39" t="n">
        <v>988</v>
      </c>
      <c r="B992" s="40" t="inlineStr">
        <is>
          <t>WP LNCSF1161696</t>
        </is>
      </c>
      <c r="C992" s="41" t="inlineStr">
        <is>
          <t>Life n Colors - Water Painted Colourful Mountains, Scenery Theme For Kids Room  - Non-woven - a soft feel paper</t>
        </is>
      </c>
      <c r="D992" s="39" t="inlineStr">
        <is>
          <t>Life n Colors</t>
        </is>
      </c>
      <c r="E992" s="43" t="n">
        <v>46126</v>
      </c>
      <c r="F992" s="26" t="inlineStr">
        <is>
          <t>Sunil CR</t>
        </is>
      </c>
      <c r="G992" s="26" t="inlineStr">
        <is>
          <t>Yes</t>
        </is>
      </c>
      <c r="H992" s="26" t="inlineStr">
        <is>
          <t>No</t>
        </is>
      </c>
      <c r="I992" s="26" t="inlineStr">
        <is>
          <t>Good finish</t>
        </is>
      </c>
      <c r="J992" s="26" t="inlineStr">
        <is>
          <t>Yes</t>
        </is>
      </c>
      <c r="K992" s="27" t="n"/>
      <c r="L992" s="28" t="inlineStr">
        <is>
          <t>No</t>
        </is>
      </c>
      <c r="M992" s="29">
        <f>IF(E992="","",IF(H992="Yes","❌ Disc",IF(G992="No","⚠ Missing",IF(J992="Yes","✓ OK","⚠ Check"))))</f>
        <v/>
      </c>
      <c r="N992" s="43" t="n">
        <v>46193</v>
      </c>
      <c r="O992" s="26" t="inlineStr">
        <is>
          <t>Sunil CR</t>
        </is>
      </c>
      <c r="P992" s="26" t="inlineStr">
        <is>
          <t>Yes</t>
        </is>
      </c>
      <c r="Q992" s="26" t="inlineStr">
        <is>
          <t>No</t>
        </is>
      </c>
      <c r="R992" s="26" t="inlineStr">
        <is>
          <t>Good finish</t>
        </is>
      </c>
      <c r="S992" s="26" t="inlineStr">
        <is>
          <t>Yes</t>
        </is>
      </c>
      <c r="T992" s="27" t="n"/>
      <c r="U992" s="28" t="inlineStr">
        <is>
          <t>No</t>
        </is>
      </c>
      <c r="V992" s="29">
        <f>IF(N992="","",IF(Q992="Yes","❌ Disc",IF(P992="No","⚠ Missing",IF(S992="Yes","✓ OK","⚠ Check"))))</f>
        <v/>
      </c>
      <c r="W992" s="65" t="n">
        <v>46248</v>
      </c>
      <c r="X992" s="30" t="inlineStr">
        <is>
          <t>Sunil CR</t>
        </is>
      </c>
      <c r="Y992" s="30" t="inlineStr">
        <is>
          <t>Yes</t>
        </is>
      </c>
      <c r="Z992" s="30" t="n"/>
      <c r="AA992" s="30" t="inlineStr">
        <is>
          <t>Good finish</t>
        </is>
      </c>
      <c r="AB992" s="30" t="inlineStr">
        <is>
          <t>Yes</t>
        </is>
      </c>
      <c r="AC992" s="27" t="n"/>
      <c r="AD992" s="31" t="inlineStr">
        <is>
          <t>No</t>
        </is>
      </c>
      <c r="AE992" s="32">
        <f>IF(W992="","",IF(Z992="Yes","❌ Disc",IF(Y992="No","⚠ Missing",IF(AB992="Yes","✓ OK","⚠ Check"))))</f>
        <v/>
      </c>
      <c r="AF992" s="33" t="n"/>
      <c r="AG992" s="33" t="n"/>
      <c r="AH992" s="33" t="n"/>
      <c r="AI992" s="33" t="n"/>
      <c r="AJ992" s="33" t="n"/>
      <c r="AK992" s="33" t="n"/>
      <c r="AL992" s="27" t="n"/>
      <c r="AM992" s="34" t="n"/>
      <c r="AN992" s="35">
        <f>IF(AF992="","",IF(AI992="Yes","❌ Disc",IF(AH992="No","⚠ Missing",IF(AK992="Yes","✓ OK","⚠ Check"))))</f>
        <v/>
      </c>
      <c r="AO992" s="36" t="n"/>
      <c r="AP992" s="36" t="n"/>
      <c r="AQ992" s="36" t="n"/>
      <c r="AR992" s="36" t="n"/>
      <c r="AS992" s="36" t="n"/>
      <c r="AT992" s="36" t="n"/>
      <c r="AU992" s="27" t="n"/>
      <c r="AV992" s="37" t="n"/>
      <c r="AW992" s="38">
        <f>IF(AO992="","",IF(AR992="Yes","❌ Disc",IF(AQ992="No","⚠ Missing",IF(AT992="Yes","✓ OK","⚠ Check"))))</f>
        <v/>
      </c>
    </row>
    <row r="993" ht="18" customHeight="1" s="46">
      <c r="A993" s="23" t="n">
        <v>989</v>
      </c>
      <c r="B993" s="24" t="inlineStr">
        <is>
          <t>WP LNCCN1015370</t>
        </is>
      </c>
      <c r="C993" s="25" t="inlineStr">
        <is>
          <t>Life n Colors - Water Painted Floral Design, Wall Mural for Kids Room  -  Canvas - a texture paper</t>
        </is>
      </c>
      <c r="D993" s="23" t="inlineStr">
        <is>
          <t>Life n Colors</t>
        </is>
      </c>
      <c r="E993" s="43" t="n">
        <v>46126</v>
      </c>
      <c r="F993" s="26" t="inlineStr">
        <is>
          <t>Sunil CR</t>
        </is>
      </c>
      <c r="G993" s="26" t="inlineStr">
        <is>
          <t>Yes</t>
        </is>
      </c>
      <c r="H993" s="26" t="inlineStr">
        <is>
          <t>No</t>
        </is>
      </c>
      <c r="I993" s="26" t="inlineStr">
        <is>
          <t>Good finish</t>
        </is>
      </c>
      <c r="J993" s="26" t="inlineStr">
        <is>
          <t>Yes</t>
        </is>
      </c>
      <c r="K993" s="27" t="n"/>
      <c r="L993" s="28" t="inlineStr">
        <is>
          <t>No</t>
        </is>
      </c>
      <c r="M993" s="29">
        <f>IF(E993="","",IF(H993="Yes","❌ Disc",IF(G993="No","⚠ Missing",IF(J993="Yes","✓ OK","⚠ Check"))))</f>
        <v/>
      </c>
      <c r="N993" s="43" t="n">
        <v>46193</v>
      </c>
      <c r="O993" s="26" t="inlineStr">
        <is>
          <t>Sunil CR</t>
        </is>
      </c>
      <c r="P993" s="26" t="inlineStr">
        <is>
          <t>Yes</t>
        </is>
      </c>
      <c r="Q993" s="26" t="inlineStr">
        <is>
          <t>No</t>
        </is>
      </c>
      <c r="R993" s="26" t="inlineStr">
        <is>
          <t>Good finish</t>
        </is>
      </c>
      <c r="S993" s="26" t="inlineStr">
        <is>
          <t>Yes</t>
        </is>
      </c>
      <c r="T993" s="27" t="n"/>
      <c r="U993" s="28" t="inlineStr">
        <is>
          <t>No</t>
        </is>
      </c>
      <c r="V993" s="29">
        <f>IF(N993="","",IF(Q993="Yes","❌ Disc",IF(P993="No","⚠ Missing",IF(S993="Yes","✓ OK","⚠ Check"))))</f>
        <v/>
      </c>
      <c r="W993" s="65" t="n">
        <v>46248</v>
      </c>
      <c r="X993" s="30" t="inlineStr">
        <is>
          <t>Sunil CR</t>
        </is>
      </c>
      <c r="Y993" s="30" t="inlineStr">
        <is>
          <t>Yes</t>
        </is>
      </c>
      <c r="Z993" s="30" t="n"/>
      <c r="AA993" s="30" t="inlineStr">
        <is>
          <t>Good finish</t>
        </is>
      </c>
      <c r="AB993" s="30" t="inlineStr">
        <is>
          <t>Yes</t>
        </is>
      </c>
      <c r="AC993" s="27" t="n"/>
      <c r="AD993" s="31" t="inlineStr">
        <is>
          <t>No</t>
        </is>
      </c>
      <c r="AE993" s="32">
        <f>IF(W993="","",IF(Z993="Yes","❌ Disc",IF(Y993="No","⚠ Missing",IF(AB993="Yes","✓ OK","⚠ Check"))))</f>
        <v/>
      </c>
      <c r="AF993" s="33" t="n"/>
      <c r="AG993" s="33" t="n"/>
      <c r="AH993" s="33" t="n"/>
      <c r="AI993" s="33" t="n"/>
      <c r="AJ993" s="33" t="n"/>
      <c r="AK993" s="33" t="n"/>
      <c r="AL993" s="27" t="n"/>
      <c r="AM993" s="34" t="n"/>
      <c r="AN993" s="35">
        <f>IF(AF993="","",IF(AI993="Yes","❌ Disc",IF(AH993="No","⚠ Missing",IF(AK993="Yes","✓ OK","⚠ Check"))))</f>
        <v/>
      </c>
      <c r="AO993" s="36" t="n"/>
      <c r="AP993" s="36" t="n"/>
      <c r="AQ993" s="36" t="n"/>
      <c r="AR993" s="36" t="n"/>
      <c r="AS993" s="36" t="n"/>
      <c r="AT993" s="36" t="n"/>
      <c r="AU993" s="27" t="n"/>
      <c r="AV993" s="37" t="n"/>
      <c r="AW993" s="38">
        <f>IF(AO993="","",IF(AR993="Yes","❌ Disc",IF(AQ993="No","⚠ Missing",IF(AT993="Yes","✓ OK","⚠ Check"))))</f>
        <v/>
      </c>
    </row>
    <row r="994" ht="18" customHeight="1" s="46">
      <c r="A994" s="39" t="n">
        <v>990</v>
      </c>
      <c r="B994" s="40" t="inlineStr">
        <is>
          <t>WP LNCSF1015370</t>
        </is>
      </c>
      <c r="C994" s="41" t="inlineStr">
        <is>
          <t>Life n Colors - Water Painted Floral Design, Wall Mural for Kids Room  - Non-woven - a soft feel paper</t>
        </is>
      </c>
      <c r="D994" s="39" t="inlineStr">
        <is>
          <t>Life n Colors</t>
        </is>
      </c>
      <c r="E994" s="43" t="n">
        <v>46126</v>
      </c>
      <c r="F994" s="26" t="inlineStr">
        <is>
          <t>Sunil CR</t>
        </is>
      </c>
      <c r="G994" s="26" t="inlineStr">
        <is>
          <t>Yes</t>
        </is>
      </c>
      <c r="H994" s="26" t="inlineStr">
        <is>
          <t>No</t>
        </is>
      </c>
      <c r="I994" s="26" t="inlineStr">
        <is>
          <t>Good finish</t>
        </is>
      </c>
      <c r="J994" s="26" t="inlineStr">
        <is>
          <t>Yes</t>
        </is>
      </c>
      <c r="K994" s="27" t="n"/>
      <c r="L994" s="28" t="inlineStr">
        <is>
          <t>No</t>
        </is>
      </c>
      <c r="M994" s="29">
        <f>IF(E994="","",IF(H994="Yes","❌ Disc",IF(G994="No","⚠ Missing",IF(J994="Yes","✓ OK","⚠ Check"))))</f>
        <v/>
      </c>
      <c r="N994" s="43" t="n">
        <v>46193</v>
      </c>
      <c r="O994" s="26" t="inlineStr">
        <is>
          <t>Sunil CR</t>
        </is>
      </c>
      <c r="P994" s="26" t="inlineStr">
        <is>
          <t>Yes</t>
        </is>
      </c>
      <c r="Q994" s="26" t="inlineStr">
        <is>
          <t>No</t>
        </is>
      </c>
      <c r="R994" s="26" t="inlineStr">
        <is>
          <t>Good finish</t>
        </is>
      </c>
      <c r="S994" s="26" t="inlineStr">
        <is>
          <t>Yes</t>
        </is>
      </c>
      <c r="T994" s="27" t="n"/>
      <c r="U994" s="28" t="inlineStr">
        <is>
          <t>No</t>
        </is>
      </c>
      <c r="V994" s="29">
        <f>IF(N994="","",IF(Q994="Yes","❌ Disc",IF(P994="No","⚠ Missing",IF(S994="Yes","✓ OK","⚠ Check"))))</f>
        <v/>
      </c>
      <c r="W994" s="65" t="n">
        <v>46248</v>
      </c>
      <c r="X994" s="30" t="inlineStr">
        <is>
          <t>Sunil CR</t>
        </is>
      </c>
      <c r="Y994" s="30" t="inlineStr">
        <is>
          <t>Yes</t>
        </is>
      </c>
      <c r="Z994" s="30" t="n"/>
      <c r="AA994" s="30" t="inlineStr">
        <is>
          <t>Good finish</t>
        </is>
      </c>
      <c r="AB994" s="30" t="inlineStr">
        <is>
          <t>Yes</t>
        </is>
      </c>
      <c r="AC994" s="27" t="n"/>
      <c r="AD994" s="31" t="inlineStr">
        <is>
          <t>No</t>
        </is>
      </c>
      <c r="AE994" s="32">
        <f>IF(W994="","",IF(Z994="Yes","❌ Disc",IF(Y994="No","⚠ Missing",IF(AB994="Yes","✓ OK","⚠ Check"))))</f>
        <v/>
      </c>
      <c r="AF994" s="33" t="n"/>
      <c r="AG994" s="33" t="n"/>
      <c r="AH994" s="33" t="n"/>
      <c r="AI994" s="33" t="n"/>
      <c r="AJ994" s="33" t="n"/>
      <c r="AK994" s="33" t="n"/>
      <c r="AL994" s="27" t="n"/>
      <c r="AM994" s="34" t="n"/>
      <c r="AN994" s="35">
        <f>IF(AF994="","",IF(AI994="Yes","❌ Disc",IF(AH994="No","⚠ Missing",IF(AK994="Yes","✓ OK","⚠ Check"))))</f>
        <v/>
      </c>
      <c r="AO994" s="36" t="n"/>
      <c r="AP994" s="36" t="n"/>
      <c r="AQ994" s="36" t="n"/>
      <c r="AR994" s="36" t="n"/>
      <c r="AS994" s="36" t="n"/>
      <c r="AT994" s="36" t="n"/>
      <c r="AU994" s="27" t="n"/>
      <c r="AV994" s="37" t="n"/>
      <c r="AW994" s="38">
        <f>IF(AO994="","",IF(AR994="Yes","❌ Disc",IF(AQ994="No","⚠ Missing",IF(AT994="Yes","✓ OK","⚠ Check"))))</f>
        <v/>
      </c>
    </row>
    <row r="995" ht="18" customHeight="1" s="46">
      <c r="A995" s="23" t="n">
        <v>991</v>
      </c>
      <c r="B995" s="24" t="inlineStr">
        <is>
          <t>WP LNCCN1142765</t>
        </is>
      </c>
      <c r="C995" s="25" t="inlineStr">
        <is>
          <t>Life n Colors - Whales in Fairy Land Setting, Cute Nursery Room Wallpaper  -  Canvas - a texture paper</t>
        </is>
      </c>
      <c r="D995" s="23" t="inlineStr">
        <is>
          <t>Life n Colors</t>
        </is>
      </c>
      <c r="E995" s="43" t="n">
        <v>46126</v>
      </c>
      <c r="F995" s="26" t="inlineStr">
        <is>
          <t>Sunil CR</t>
        </is>
      </c>
      <c r="G995" s="26" t="inlineStr">
        <is>
          <t>Yes</t>
        </is>
      </c>
      <c r="H995" s="26" t="inlineStr">
        <is>
          <t>No</t>
        </is>
      </c>
      <c r="I995" s="26" t="inlineStr">
        <is>
          <t>Good finish</t>
        </is>
      </c>
      <c r="J995" s="26" t="inlineStr">
        <is>
          <t>Yes</t>
        </is>
      </c>
      <c r="K995" s="27" t="n"/>
      <c r="L995" s="28" t="inlineStr">
        <is>
          <t>No</t>
        </is>
      </c>
      <c r="M995" s="29">
        <f>IF(E995="","",IF(H995="Yes","❌ Disc",IF(G995="No","⚠ Missing",IF(J995="Yes","✓ OK","⚠ Check"))))</f>
        <v/>
      </c>
      <c r="N995" s="43" t="n">
        <v>46193</v>
      </c>
      <c r="O995" s="26" t="inlineStr">
        <is>
          <t>Sunil CR</t>
        </is>
      </c>
      <c r="P995" s="26" t="inlineStr">
        <is>
          <t>Yes</t>
        </is>
      </c>
      <c r="Q995" s="26" t="inlineStr">
        <is>
          <t>No</t>
        </is>
      </c>
      <c r="R995" s="26" t="inlineStr">
        <is>
          <t>Good finish</t>
        </is>
      </c>
      <c r="S995" s="26" t="inlineStr">
        <is>
          <t>Yes</t>
        </is>
      </c>
      <c r="T995" s="27" t="n"/>
      <c r="U995" s="28" t="inlineStr">
        <is>
          <t>No</t>
        </is>
      </c>
      <c r="V995" s="29">
        <f>IF(N995="","",IF(Q995="Yes","❌ Disc",IF(P995="No","⚠ Missing",IF(S995="Yes","✓ OK","⚠ Check"))))</f>
        <v/>
      </c>
      <c r="W995" s="65" t="n">
        <v>46248</v>
      </c>
      <c r="X995" s="30" t="inlineStr">
        <is>
          <t>Sunil CR</t>
        </is>
      </c>
      <c r="Y995" s="30" t="inlineStr">
        <is>
          <t>Yes</t>
        </is>
      </c>
      <c r="Z995" s="30" t="n"/>
      <c r="AA995" s="30" t="inlineStr">
        <is>
          <t>Good finish</t>
        </is>
      </c>
      <c r="AB995" s="30" t="inlineStr">
        <is>
          <t>Yes</t>
        </is>
      </c>
      <c r="AC995" s="27" t="n"/>
      <c r="AD995" s="31" t="inlineStr">
        <is>
          <t>No</t>
        </is>
      </c>
      <c r="AE995" s="32">
        <f>IF(W995="","",IF(Z995="Yes","❌ Disc",IF(Y995="No","⚠ Missing",IF(AB995="Yes","✓ OK","⚠ Check"))))</f>
        <v/>
      </c>
      <c r="AF995" s="33" t="n"/>
      <c r="AG995" s="33" t="n"/>
      <c r="AH995" s="33" t="n"/>
      <c r="AI995" s="33" t="n"/>
      <c r="AJ995" s="33" t="n"/>
      <c r="AK995" s="33" t="n"/>
      <c r="AL995" s="27" t="n"/>
      <c r="AM995" s="34" t="n"/>
      <c r="AN995" s="35">
        <f>IF(AF995="","",IF(AI995="Yes","❌ Disc",IF(AH995="No","⚠ Missing",IF(AK995="Yes","✓ OK","⚠ Check"))))</f>
        <v/>
      </c>
      <c r="AO995" s="36" t="n"/>
      <c r="AP995" s="36" t="n"/>
      <c r="AQ995" s="36" t="n"/>
      <c r="AR995" s="36" t="n"/>
      <c r="AS995" s="36" t="n"/>
      <c r="AT995" s="36" t="n"/>
      <c r="AU995" s="27" t="n"/>
      <c r="AV995" s="37" t="n"/>
      <c r="AW995" s="38">
        <f>IF(AO995="","",IF(AR995="Yes","❌ Disc",IF(AQ995="No","⚠ Missing",IF(AT995="Yes","✓ OK","⚠ Check"))))</f>
        <v/>
      </c>
    </row>
    <row r="996" ht="18" customHeight="1" s="46">
      <c r="A996" s="39" t="n">
        <v>992</v>
      </c>
      <c r="B996" s="40" t="inlineStr">
        <is>
          <t>WP LNCSF1142765</t>
        </is>
      </c>
      <c r="C996" s="41" t="inlineStr">
        <is>
          <t>Life n Colors - Whales in Fairy Land Setting, Cute Nursery Room Wallpaper  - Non-woven - a soft feel paper</t>
        </is>
      </c>
      <c r="D996" s="39" t="inlineStr">
        <is>
          <t>Life n Colors</t>
        </is>
      </c>
      <c r="E996" s="43" t="n">
        <v>46126</v>
      </c>
      <c r="F996" s="26" t="inlineStr">
        <is>
          <t>Sunil CR</t>
        </is>
      </c>
      <c r="G996" s="26" t="inlineStr">
        <is>
          <t>Yes</t>
        </is>
      </c>
      <c r="H996" s="26" t="inlineStr">
        <is>
          <t>No</t>
        </is>
      </c>
      <c r="I996" s="26" t="inlineStr">
        <is>
          <t>Good finish</t>
        </is>
      </c>
      <c r="J996" s="26" t="inlineStr">
        <is>
          <t>Yes</t>
        </is>
      </c>
      <c r="K996" s="27" t="n"/>
      <c r="L996" s="28" t="inlineStr">
        <is>
          <t>No</t>
        </is>
      </c>
      <c r="M996" s="29">
        <f>IF(E996="","",IF(H996="Yes","❌ Disc",IF(G996="No","⚠ Missing",IF(J996="Yes","✓ OK","⚠ Check"))))</f>
        <v/>
      </c>
      <c r="N996" s="43" t="n">
        <v>46193</v>
      </c>
      <c r="O996" s="26" t="inlineStr">
        <is>
          <t>Sunil CR</t>
        </is>
      </c>
      <c r="P996" s="26" t="inlineStr">
        <is>
          <t>Yes</t>
        </is>
      </c>
      <c r="Q996" s="26" t="inlineStr">
        <is>
          <t>No</t>
        </is>
      </c>
      <c r="R996" s="26" t="inlineStr">
        <is>
          <t>Good finish</t>
        </is>
      </c>
      <c r="S996" s="26" t="inlineStr">
        <is>
          <t>Yes</t>
        </is>
      </c>
      <c r="T996" s="27" t="n"/>
      <c r="U996" s="28" t="inlineStr">
        <is>
          <t>No</t>
        </is>
      </c>
      <c r="V996" s="29">
        <f>IF(N996="","",IF(Q996="Yes","❌ Disc",IF(P996="No","⚠ Missing",IF(S996="Yes","✓ OK","⚠ Check"))))</f>
        <v/>
      </c>
      <c r="W996" s="65" t="n">
        <v>46248</v>
      </c>
      <c r="X996" s="30" t="inlineStr">
        <is>
          <t>Sunil CR</t>
        </is>
      </c>
      <c r="Y996" s="30" t="inlineStr">
        <is>
          <t>Yes</t>
        </is>
      </c>
      <c r="Z996" s="30" t="n"/>
      <c r="AA996" s="30" t="inlineStr">
        <is>
          <t>Good finish</t>
        </is>
      </c>
      <c r="AB996" s="30" t="inlineStr">
        <is>
          <t>Yes</t>
        </is>
      </c>
      <c r="AC996" s="27" t="n"/>
      <c r="AD996" s="31" t="inlineStr">
        <is>
          <t>No</t>
        </is>
      </c>
      <c r="AE996" s="32">
        <f>IF(W996="","",IF(Z996="Yes","❌ Disc",IF(Y996="No","⚠ Missing",IF(AB996="Yes","✓ OK","⚠ Check"))))</f>
        <v/>
      </c>
      <c r="AF996" s="33" t="n"/>
      <c r="AG996" s="33" t="n"/>
      <c r="AH996" s="33" t="n"/>
      <c r="AI996" s="33" t="n"/>
      <c r="AJ996" s="33" t="n"/>
      <c r="AK996" s="33" t="n"/>
      <c r="AL996" s="27" t="n"/>
      <c r="AM996" s="34" t="n"/>
      <c r="AN996" s="35">
        <f>IF(AF996="","",IF(AI996="Yes","❌ Disc",IF(AH996="No","⚠ Missing",IF(AK996="Yes","✓ OK","⚠ Check"))))</f>
        <v/>
      </c>
      <c r="AO996" s="36" t="n"/>
      <c r="AP996" s="36" t="n"/>
      <c r="AQ996" s="36" t="n"/>
      <c r="AR996" s="36" t="n"/>
      <c r="AS996" s="36" t="n"/>
      <c r="AT996" s="36" t="n"/>
      <c r="AU996" s="27" t="n"/>
      <c r="AV996" s="37" t="n"/>
      <c r="AW996" s="38">
        <f>IF(AO996="","",IF(AR996="Yes","❌ Disc",IF(AQ996="No","⚠ Missing",IF(AT996="Yes","✓ OK","⚠ Check"))))</f>
        <v/>
      </c>
    </row>
    <row r="997" ht="18" customHeight="1" s="46">
      <c r="A997" s="23" t="n">
        <v>993</v>
      </c>
      <c r="B997" s="24" t="inlineStr">
        <is>
          <t>WP LNCCN1018211</t>
        </is>
      </c>
      <c r="C997" s="25" t="inlineStr">
        <is>
          <t>Life n Colors - White 3D Wavy Marble Style Wallpaper  -  Canvas - a texture paper</t>
        </is>
      </c>
      <c r="D997" s="23" t="inlineStr">
        <is>
          <t>Life n Colors</t>
        </is>
      </c>
      <c r="E997" s="43" t="n">
        <v>46126</v>
      </c>
      <c r="F997" s="26" t="inlineStr">
        <is>
          <t>Sunil CR</t>
        </is>
      </c>
      <c r="G997" s="26" t="inlineStr">
        <is>
          <t>Yes</t>
        </is>
      </c>
      <c r="H997" s="26" t="inlineStr">
        <is>
          <t>No</t>
        </is>
      </c>
      <c r="I997" s="26" t="inlineStr">
        <is>
          <t>Good finish</t>
        </is>
      </c>
      <c r="J997" s="26" t="inlineStr">
        <is>
          <t>Yes</t>
        </is>
      </c>
      <c r="K997" s="27" t="n"/>
      <c r="L997" s="28" t="inlineStr">
        <is>
          <t>No</t>
        </is>
      </c>
      <c r="M997" s="29">
        <f>IF(E997="","",IF(H997="Yes","❌ Disc",IF(G997="No","⚠ Missing",IF(J997="Yes","✓ OK","⚠ Check"))))</f>
        <v/>
      </c>
      <c r="N997" s="43" t="n">
        <v>46193</v>
      </c>
      <c r="O997" s="26" t="inlineStr">
        <is>
          <t>Sunil CR</t>
        </is>
      </c>
      <c r="P997" s="26" t="inlineStr">
        <is>
          <t>Yes</t>
        </is>
      </c>
      <c r="Q997" s="26" t="inlineStr">
        <is>
          <t>No</t>
        </is>
      </c>
      <c r="R997" s="26" t="inlineStr">
        <is>
          <t>Good finish</t>
        </is>
      </c>
      <c r="S997" s="26" t="inlineStr">
        <is>
          <t>Yes</t>
        </is>
      </c>
      <c r="T997" s="27" t="n"/>
      <c r="U997" s="28" t="inlineStr">
        <is>
          <t>No</t>
        </is>
      </c>
      <c r="V997" s="29">
        <f>IF(N997="","",IF(Q997="Yes","❌ Disc",IF(P997="No","⚠ Missing",IF(S997="Yes","✓ OK","⚠ Check"))))</f>
        <v/>
      </c>
      <c r="W997" s="65" t="n">
        <v>46248</v>
      </c>
      <c r="X997" s="30" t="inlineStr">
        <is>
          <t>Sunil CR</t>
        </is>
      </c>
      <c r="Y997" s="30" t="inlineStr">
        <is>
          <t>Yes</t>
        </is>
      </c>
      <c r="Z997" s="30" t="n"/>
      <c r="AA997" s="30" t="inlineStr">
        <is>
          <t>Good finish</t>
        </is>
      </c>
      <c r="AB997" s="30" t="inlineStr">
        <is>
          <t>Yes</t>
        </is>
      </c>
      <c r="AC997" s="27" t="n"/>
      <c r="AD997" s="31" t="inlineStr">
        <is>
          <t>No</t>
        </is>
      </c>
      <c r="AE997" s="32">
        <f>IF(W997="","",IF(Z997="Yes","❌ Disc",IF(Y997="No","⚠ Missing",IF(AB997="Yes","✓ OK","⚠ Check"))))</f>
        <v/>
      </c>
      <c r="AF997" s="33" t="n"/>
      <c r="AG997" s="33" t="n"/>
      <c r="AH997" s="33" t="n"/>
      <c r="AI997" s="33" t="n"/>
      <c r="AJ997" s="33" t="n"/>
      <c r="AK997" s="33" t="n"/>
      <c r="AL997" s="27" t="n"/>
      <c r="AM997" s="34" t="n"/>
      <c r="AN997" s="35">
        <f>IF(AF997="","",IF(AI997="Yes","❌ Disc",IF(AH997="No","⚠ Missing",IF(AK997="Yes","✓ OK","⚠ Check"))))</f>
        <v/>
      </c>
      <c r="AO997" s="36" t="n"/>
      <c r="AP997" s="36" t="n"/>
      <c r="AQ997" s="36" t="n"/>
      <c r="AR997" s="36" t="n"/>
      <c r="AS997" s="36" t="n"/>
      <c r="AT997" s="36" t="n"/>
      <c r="AU997" s="27" t="n"/>
      <c r="AV997" s="37" t="n"/>
      <c r="AW997" s="38">
        <f>IF(AO997="","",IF(AR997="Yes","❌ Disc",IF(AQ997="No","⚠ Missing",IF(AT997="Yes","✓ OK","⚠ Check"))))</f>
        <v/>
      </c>
    </row>
    <row r="998" ht="18" customHeight="1" s="46">
      <c r="A998" s="39" t="n">
        <v>994</v>
      </c>
      <c r="B998" s="40" t="inlineStr">
        <is>
          <t>WP LNCSF1018211</t>
        </is>
      </c>
      <c r="C998" s="41" t="inlineStr">
        <is>
          <t>Life n Colors - White 3D Wavy Marble Style Wallpaper  - Non-woven - a soft feel paper</t>
        </is>
      </c>
      <c r="D998" s="39" t="inlineStr">
        <is>
          <t>Life n Colors</t>
        </is>
      </c>
      <c r="E998" s="43" t="n">
        <v>46126</v>
      </c>
      <c r="F998" s="26" t="inlineStr">
        <is>
          <t>Sunil CR</t>
        </is>
      </c>
      <c r="G998" s="26" t="inlineStr">
        <is>
          <t>Yes</t>
        </is>
      </c>
      <c r="H998" s="26" t="inlineStr">
        <is>
          <t>No</t>
        </is>
      </c>
      <c r="I998" s="26" t="inlineStr">
        <is>
          <t>Good finish</t>
        </is>
      </c>
      <c r="J998" s="26" t="inlineStr">
        <is>
          <t>Yes</t>
        </is>
      </c>
      <c r="K998" s="27" t="n"/>
      <c r="L998" s="28" t="inlineStr">
        <is>
          <t>No</t>
        </is>
      </c>
      <c r="M998" s="29">
        <f>IF(E998="","",IF(H998="Yes","❌ Disc",IF(G998="No","⚠ Missing",IF(J998="Yes","✓ OK","⚠ Check"))))</f>
        <v/>
      </c>
      <c r="N998" s="43" t="n">
        <v>46193</v>
      </c>
      <c r="O998" s="26" t="inlineStr">
        <is>
          <t>Sunil CR</t>
        </is>
      </c>
      <c r="P998" s="26" t="inlineStr">
        <is>
          <t>Yes</t>
        </is>
      </c>
      <c r="Q998" s="26" t="inlineStr">
        <is>
          <t>No</t>
        </is>
      </c>
      <c r="R998" s="26" t="inlineStr">
        <is>
          <t>Good finish</t>
        </is>
      </c>
      <c r="S998" s="26" t="inlineStr">
        <is>
          <t>Yes</t>
        </is>
      </c>
      <c r="T998" s="27" t="n"/>
      <c r="U998" s="28" t="inlineStr">
        <is>
          <t>No</t>
        </is>
      </c>
      <c r="V998" s="29">
        <f>IF(N998="","",IF(Q998="Yes","❌ Disc",IF(P998="No","⚠ Missing",IF(S998="Yes","✓ OK","⚠ Check"))))</f>
        <v/>
      </c>
      <c r="W998" s="65" t="n">
        <v>46248</v>
      </c>
      <c r="X998" s="30" t="inlineStr">
        <is>
          <t>Sunil CR</t>
        </is>
      </c>
      <c r="Y998" s="30" t="inlineStr">
        <is>
          <t>Yes</t>
        </is>
      </c>
      <c r="Z998" s="30" t="n"/>
      <c r="AA998" s="30" t="inlineStr">
        <is>
          <t>Good finish</t>
        </is>
      </c>
      <c r="AB998" s="30" t="inlineStr">
        <is>
          <t>Yes</t>
        </is>
      </c>
      <c r="AC998" s="27" t="n"/>
      <c r="AD998" s="31" t="inlineStr">
        <is>
          <t>No</t>
        </is>
      </c>
      <c r="AE998" s="32">
        <f>IF(W998="","",IF(Z998="Yes","❌ Disc",IF(Y998="No","⚠ Missing",IF(AB998="Yes","✓ OK","⚠ Check"))))</f>
        <v/>
      </c>
      <c r="AF998" s="33" t="n"/>
      <c r="AG998" s="33" t="n"/>
      <c r="AH998" s="33" t="n"/>
      <c r="AI998" s="33" t="n"/>
      <c r="AJ998" s="33" t="n"/>
      <c r="AK998" s="33" t="n"/>
      <c r="AL998" s="27" t="n"/>
      <c r="AM998" s="34" t="n"/>
      <c r="AN998" s="35">
        <f>IF(AF998="","",IF(AI998="Yes","❌ Disc",IF(AH998="No","⚠ Missing",IF(AK998="Yes","✓ OK","⚠ Check"))))</f>
        <v/>
      </c>
      <c r="AO998" s="36" t="n"/>
      <c r="AP998" s="36" t="n"/>
      <c r="AQ998" s="36" t="n"/>
      <c r="AR998" s="36" t="n"/>
      <c r="AS998" s="36" t="n"/>
      <c r="AT998" s="36" t="n"/>
      <c r="AU998" s="27" t="n"/>
      <c r="AV998" s="37" t="n"/>
      <c r="AW998" s="38">
        <f>IF(AO998="","",IF(AR998="Yes","❌ Disc",IF(AQ998="No","⚠ Missing",IF(AT998="Yes","✓ OK","⚠ Check"))))</f>
        <v/>
      </c>
    </row>
    <row r="999" ht="18" customHeight="1" s="46">
      <c r="A999" s="23" t="n">
        <v>995</v>
      </c>
      <c r="B999" s="24" t="inlineStr">
        <is>
          <t>WP LNCCN1186316</t>
        </is>
      </c>
      <c r="C999" s="25" t="inlineStr">
        <is>
          <t>Life n Colors - White Abstract Leaves in Orange Background, Room Wallpaper  -  Canvas - a texture paper</t>
        </is>
      </c>
      <c r="D999" s="23" t="inlineStr">
        <is>
          <t>Life n Colors</t>
        </is>
      </c>
      <c r="E999" s="43" t="n">
        <v>46126</v>
      </c>
      <c r="F999" s="26" t="inlineStr">
        <is>
          <t>Sunil CR</t>
        </is>
      </c>
      <c r="G999" s="26" t="inlineStr">
        <is>
          <t>Yes</t>
        </is>
      </c>
      <c r="H999" s="26" t="inlineStr">
        <is>
          <t>No</t>
        </is>
      </c>
      <c r="I999" s="26" t="inlineStr">
        <is>
          <t>Good finish</t>
        </is>
      </c>
      <c r="J999" s="26" t="inlineStr">
        <is>
          <t>Yes</t>
        </is>
      </c>
      <c r="K999" s="27" t="n"/>
      <c r="L999" s="28" t="inlineStr">
        <is>
          <t>No</t>
        </is>
      </c>
      <c r="M999" s="29">
        <f>IF(E999="","",IF(H999="Yes","❌ Disc",IF(G999="No","⚠ Missing",IF(J999="Yes","✓ OK","⚠ Check"))))</f>
        <v/>
      </c>
      <c r="N999" s="43" t="n">
        <v>46193</v>
      </c>
      <c r="O999" s="26" t="inlineStr">
        <is>
          <t>Sunil CR</t>
        </is>
      </c>
      <c r="P999" s="26" t="inlineStr">
        <is>
          <t>Yes</t>
        </is>
      </c>
      <c r="Q999" s="26" t="inlineStr">
        <is>
          <t>No</t>
        </is>
      </c>
      <c r="R999" s="26" t="inlineStr">
        <is>
          <t>Good finish</t>
        </is>
      </c>
      <c r="S999" s="26" t="inlineStr">
        <is>
          <t>Yes</t>
        </is>
      </c>
      <c r="T999" s="27" t="n"/>
      <c r="U999" s="28" t="inlineStr">
        <is>
          <t>No</t>
        </is>
      </c>
      <c r="V999" s="29">
        <f>IF(N999="","",IF(Q999="Yes","❌ Disc",IF(P999="No","⚠ Missing",IF(S999="Yes","✓ OK","⚠ Check"))))</f>
        <v/>
      </c>
      <c r="W999" s="65" t="n">
        <v>46248</v>
      </c>
      <c r="X999" s="30" t="inlineStr">
        <is>
          <t>Sunil CR</t>
        </is>
      </c>
      <c r="Y999" s="30" t="inlineStr">
        <is>
          <t>Yes</t>
        </is>
      </c>
      <c r="Z999" s="30" t="n"/>
      <c r="AA999" s="30" t="inlineStr">
        <is>
          <t>Good finish</t>
        </is>
      </c>
      <c r="AB999" s="30" t="inlineStr">
        <is>
          <t>Yes</t>
        </is>
      </c>
      <c r="AC999" s="27" t="n"/>
      <c r="AD999" s="31" t="inlineStr">
        <is>
          <t>No</t>
        </is>
      </c>
      <c r="AE999" s="32">
        <f>IF(W999="","",IF(Z999="Yes","❌ Disc",IF(Y999="No","⚠ Missing",IF(AB999="Yes","✓ OK","⚠ Check"))))</f>
        <v/>
      </c>
      <c r="AF999" s="33" t="n"/>
      <c r="AG999" s="33" t="n"/>
      <c r="AH999" s="33" t="n"/>
      <c r="AI999" s="33" t="n"/>
      <c r="AJ999" s="33" t="n"/>
      <c r="AK999" s="33" t="n"/>
      <c r="AL999" s="27" t="n"/>
      <c r="AM999" s="34" t="n"/>
      <c r="AN999" s="35">
        <f>IF(AF999="","",IF(AI999="Yes","❌ Disc",IF(AH999="No","⚠ Missing",IF(AK999="Yes","✓ OK","⚠ Check"))))</f>
        <v/>
      </c>
      <c r="AO999" s="36" t="n"/>
      <c r="AP999" s="36" t="n"/>
      <c r="AQ999" s="36" t="n"/>
      <c r="AR999" s="36" t="n"/>
      <c r="AS999" s="36" t="n"/>
      <c r="AT999" s="36" t="n"/>
      <c r="AU999" s="27" t="n"/>
      <c r="AV999" s="37" t="n"/>
      <c r="AW999" s="38">
        <f>IF(AO999="","",IF(AR999="Yes","❌ Disc",IF(AQ999="No","⚠ Missing",IF(AT999="Yes","✓ OK","⚠ Check"))))</f>
        <v/>
      </c>
    </row>
    <row r="1000" ht="18" customHeight="1" s="46">
      <c r="A1000" s="39" t="n">
        <v>996</v>
      </c>
      <c r="B1000" s="40" t="inlineStr">
        <is>
          <t>WP LNCSF1186316</t>
        </is>
      </c>
      <c r="C1000" s="41" t="inlineStr">
        <is>
          <t>Life n Colors - White Abstract Leaves in Orange Background, Room Wallpaper  - Non-woven - a soft feel paper</t>
        </is>
      </c>
      <c r="D1000" s="39" t="inlineStr">
        <is>
          <t>Life n Colors</t>
        </is>
      </c>
      <c r="E1000" s="43" t="n">
        <v>46126</v>
      </c>
      <c r="F1000" s="26" t="inlineStr">
        <is>
          <t>Sunil CR</t>
        </is>
      </c>
      <c r="G1000" s="26" t="inlineStr">
        <is>
          <t>Yes</t>
        </is>
      </c>
      <c r="H1000" s="26" t="inlineStr">
        <is>
          <t>No</t>
        </is>
      </c>
      <c r="I1000" s="26" t="inlineStr">
        <is>
          <t>Good finish</t>
        </is>
      </c>
      <c r="J1000" s="26" t="inlineStr">
        <is>
          <t>Yes</t>
        </is>
      </c>
      <c r="K1000" s="27" t="n"/>
      <c r="L1000" s="28" t="inlineStr">
        <is>
          <t>No</t>
        </is>
      </c>
      <c r="M1000" s="29">
        <f>IF(E1000="","",IF(H1000="Yes","❌ Disc",IF(G1000="No","⚠ Missing",IF(J1000="Yes","✓ OK","⚠ Check"))))</f>
        <v/>
      </c>
      <c r="N1000" s="43" t="n">
        <v>46193</v>
      </c>
      <c r="O1000" s="26" t="inlineStr">
        <is>
          <t>Sunil CR</t>
        </is>
      </c>
      <c r="P1000" s="26" t="inlineStr">
        <is>
          <t>Yes</t>
        </is>
      </c>
      <c r="Q1000" s="26" t="inlineStr">
        <is>
          <t>No</t>
        </is>
      </c>
      <c r="R1000" s="26" t="inlineStr">
        <is>
          <t>Good finish</t>
        </is>
      </c>
      <c r="S1000" s="26" t="inlineStr">
        <is>
          <t>Yes</t>
        </is>
      </c>
      <c r="T1000" s="27" t="n"/>
      <c r="U1000" s="28" t="inlineStr">
        <is>
          <t>No</t>
        </is>
      </c>
      <c r="V1000" s="29">
        <f>IF(N1000="","",IF(Q1000="Yes","❌ Disc",IF(P1000="No","⚠ Missing",IF(S1000="Yes","✓ OK","⚠ Check"))))</f>
        <v/>
      </c>
      <c r="W1000" s="65" t="n">
        <v>46248</v>
      </c>
      <c r="X1000" s="30" t="inlineStr">
        <is>
          <t>Sunil CR</t>
        </is>
      </c>
      <c r="Y1000" s="30" t="inlineStr">
        <is>
          <t>Yes</t>
        </is>
      </c>
      <c r="Z1000" s="30" t="n"/>
      <c r="AA1000" s="30" t="inlineStr">
        <is>
          <t>Good finish</t>
        </is>
      </c>
      <c r="AB1000" s="30" t="inlineStr">
        <is>
          <t>Yes</t>
        </is>
      </c>
      <c r="AC1000" s="27" t="n"/>
      <c r="AD1000" s="31" t="inlineStr">
        <is>
          <t>No</t>
        </is>
      </c>
      <c r="AE1000" s="32">
        <f>IF(W1000="","",IF(Z1000="Yes","❌ Disc",IF(Y1000="No","⚠ Missing",IF(AB1000="Yes","✓ OK","⚠ Check"))))</f>
        <v/>
      </c>
      <c r="AF1000" s="33" t="n"/>
      <c r="AG1000" s="33" t="n"/>
      <c r="AH1000" s="33" t="n"/>
      <c r="AI1000" s="33" t="n"/>
      <c r="AJ1000" s="33" t="n"/>
      <c r="AK1000" s="33" t="n"/>
      <c r="AL1000" s="27" t="n"/>
      <c r="AM1000" s="34" t="n"/>
      <c r="AN1000" s="35">
        <f>IF(AF1000="","",IF(AI1000="Yes","❌ Disc",IF(AH1000="No","⚠ Missing",IF(AK1000="Yes","✓ OK","⚠ Check"))))</f>
        <v/>
      </c>
      <c r="AO1000" s="36" t="n"/>
      <c r="AP1000" s="36" t="n"/>
      <c r="AQ1000" s="36" t="n"/>
      <c r="AR1000" s="36" t="n"/>
      <c r="AS1000" s="36" t="n"/>
      <c r="AT1000" s="36" t="n"/>
      <c r="AU1000" s="27" t="n"/>
      <c r="AV1000" s="37" t="n"/>
      <c r="AW1000" s="38">
        <f>IF(AO1000="","",IF(AR1000="Yes","❌ Disc",IF(AQ1000="No","⚠ Missing",IF(AT1000="Yes","✓ OK","⚠ Check"))))</f>
        <v/>
      </c>
    </row>
    <row r="1001" ht="18" customHeight="1" s="46">
      <c r="A1001" s="23" t="n">
        <v>997</v>
      </c>
      <c r="B1001" s="24" t="inlineStr">
        <is>
          <t>WP LNCCN1104140</t>
        </is>
      </c>
      <c r="C1001" s="25" t="inlineStr">
        <is>
          <t>Life n Colors - White and Golden Natural Marble Style Wall Wallpaper  -  Canvas - a texture paper</t>
        </is>
      </c>
      <c r="D1001" s="23" t="inlineStr">
        <is>
          <t>Life n Colors</t>
        </is>
      </c>
      <c r="E1001" s="43" t="n">
        <v>46126</v>
      </c>
      <c r="F1001" s="26" t="inlineStr">
        <is>
          <t>Sunil CR</t>
        </is>
      </c>
      <c r="G1001" s="26" t="inlineStr">
        <is>
          <t>Yes</t>
        </is>
      </c>
      <c r="H1001" s="26" t="inlineStr">
        <is>
          <t>No</t>
        </is>
      </c>
      <c r="I1001" s="26" t="inlineStr">
        <is>
          <t>Good finish</t>
        </is>
      </c>
      <c r="J1001" s="26" t="inlineStr">
        <is>
          <t>Yes</t>
        </is>
      </c>
      <c r="K1001" s="27" t="n"/>
      <c r="L1001" s="28" t="inlineStr">
        <is>
          <t>No</t>
        </is>
      </c>
      <c r="M1001" s="29">
        <f>IF(E1001="","",IF(H1001="Yes","❌ Disc",IF(G1001="No","⚠ Missing",IF(J1001="Yes","✓ OK","⚠ Check"))))</f>
        <v/>
      </c>
      <c r="N1001" s="43" t="n">
        <v>46193</v>
      </c>
      <c r="O1001" s="26" t="inlineStr">
        <is>
          <t>Sunil CR</t>
        </is>
      </c>
      <c r="P1001" s="26" t="inlineStr">
        <is>
          <t>Yes</t>
        </is>
      </c>
      <c r="Q1001" s="26" t="inlineStr">
        <is>
          <t>No</t>
        </is>
      </c>
      <c r="R1001" s="26" t="inlineStr">
        <is>
          <t>Good finish</t>
        </is>
      </c>
      <c r="S1001" s="26" t="inlineStr">
        <is>
          <t>Yes</t>
        </is>
      </c>
      <c r="T1001" s="27" t="n"/>
      <c r="U1001" s="28" t="inlineStr">
        <is>
          <t>No</t>
        </is>
      </c>
      <c r="V1001" s="29">
        <f>IF(N1001="","",IF(Q1001="Yes","❌ Disc",IF(P1001="No","⚠ Missing",IF(S1001="Yes","✓ OK","⚠ Check"))))</f>
        <v/>
      </c>
      <c r="W1001" s="65" t="n">
        <v>46248</v>
      </c>
      <c r="X1001" s="30" t="inlineStr">
        <is>
          <t>Sunil CR</t>
        </is>
      </c>
      <c r="Y1001" s="30" t="inlineStr">
        <is>
          <t>Yes</t>
        </is>
      </c>
      <c r="Z1001" s="30" t="n"/>
      <c r="AA1001" s="30" t="inlineStr">
        <is>
          <t>Good finish</t>
        </is>
      </c>
      <c r="AB1001" s="30" t="inlineStr">
        <is>
          <t>Yes</t>
        </is>
      </c>
      <c r="AC1001" s="27" t="n"/>
      <c r="AD1001" s="31" t="inlineStr">
        <is>
          <t>No</t>
        </is>
      </c>
      <c r="AE1001" s="32">
        <f>IF(W1001="","",IF(Z1001="Yes","❌ Disc",IF(Y1001="No","⚠ Missing",IF(AB1001="Yes","✓ OK","⚠ Check"))))</f>
        <v/>
      </c>
      <c r="AF1001" s="33" t="n"/>
      <c r="AG1001" s="33" t="n"/>
      <c r="AH1001" s="33" t="n"/>
      <c r="AI1001" s="33" t="n"/>
      <c r="AJ1001" s="33" t="n"/>
      <c r="AK1001" s="33" t="n"/>
      <c r="AL1001" s="27" t="n"/>
      <c r="AM1001" s="34" t="n"/>
      <c r="AN1001" s="35">
        <f>IF(AF1001="","",IF(AI1001="Yes","❌ Disc",IF(AH1001="No","⚠ Missing",IF(AK1001="Yes","✓ OK","⚠ Check"))))</f>
        <v/>
      </c>
      <c r="AO1001" s="36" t="n"/>
      <c r="AP1001" s="36" t="n"/>
      <c r="AQ1001" s="36" t="n"/>
      <c r="AR1001" s="36" t="n"/>
      <c r="AS1001" s="36" t="n"/>
      <c r="AT1001" s="36" t="n"/>
      <c r="AU1001" s="27" t="n"/>
      <c r="AV1001" s="37" t="n"/>
      <c r="AW1001" s="38">
        <f>IF(AO1001="","",IF(AR1001="Yes","❌ Disc",IF(AQ1001="No","⚠ Missing",IF(AT1001="Yes","✓ OK","⚠ Check"))))</f>
        <v/>
      </c>
    </row>
    <row r="1002" ht="18" customHeight="1" s="46">
      <c r="A1002" s="39" t="n">
        <v>998</v>
      </c>
      <c r="B1002" s="40" t="inlineStr">
        <is>
          <t>WP LNCSF1104140</t>
        </is>
      </c>
      <c r="C1002" s="41" t="inlineStr">
        <is>
          <t>Life n Colors - White and Golden Natural Marble Style Wall Wallpaper  - Non-woven - a soft feel paper</t>
        </is>
      </c>
      <c r="D1002" s="39" t="inlineStr">
        <is>
          <t>Life n Colors</t>
        </is>
      </c>
      <c r="E1002" s="43" t="n">
        <v>46126</v>
      </c>
      <c r="F1002" s="26" t="inlineStr">
        <is>
          <t>Sunil CR</t>
        </is>
      </c>
      <c r="G1002" s="26" t="inlineStr">
        <is>
          <t>Yes</t>
        </is>
      </c>
      <c r="H1002" s="26" t="inlineStr">
        <is>
          <t>No</t>
        </is>
      </c>
      <c r="I1002" s="26" t="inlineStr">
        <is>
          <t>Good finish</t>
        </is>
      </c>
      <c r="J1002" s="26" t="inlineStr">
        <is>
          <t>Yes</t>
        </is>
      </c>
      <c r="K1002" s="27" t="n"/>
      <c r="L1002" s="28" t="inlineStr">
        <is>
          <t>No</t>
        </is>
      </c>
      <c r="M1002" s="29">
        <f>IF(E1002="","",IF(H1002="Yes","❌ Disc",IF(G1002="No","⚠ Missing",IF(J1002="Yes","✓ OK","⚠ Check"))))</f>
        <v/>
      </c>
      <c r="N1002" s="43" t="n">
        <v>46193</v>
      </c>
      <c r="O1002" s="26" t="inlineStr">
        <is>
          <t>Sunil CR</t>
        </is>
      </c>
      <c r="P1002" s="26" t="inlineStr">
        <is>
          <t>Yes</t>
        </is>
      </c>
      <c r="Q1002" s="26" t="inlineStr">
        <is>
          <t>No</t>
        </is>
      </c>
      <c r="R1002" s="26" t="inlineStr">
        <is>
          <t>Good finish</t>
        </is>
      </c>
      <c r="S1002" s="26" t="inlineStr">
        <is>
          <t>Yes</t>
        </is>
      </c>
      <c r="T1002" s="27" t="n"/>
      <c r="U1002" s="28" t="inlineStr">
        <is>
          <t>No</t>
        </is>
      </c>
      <c r="V1002" s="29">
        <f>IF(N1002="","",IF(Q1002="Yes","❌ Disc",IF(P1002="No","⚠ Missing",IF(S1002="Yes","✓ OK","⚠ Check"))))</f>
        <v/>
      </c>
      <c r="W1002" s="65" t="n">
        <v>46248</v>
      </c>
      <c r="X1002" s="30" t="inlineStr">
        <is>
          <t>Sunil CR</t>
        </is>
      </c>
      <c r="Y1002" s="30" t="inlineStr">
        <is>
          <t>Yes</t>
        </is>
      </c>
      <c r="Z1002" s="30" t="n"/>
      <c r="AA1002" s="30" t="inlineStr">
        <is>
          <t>Good finish</t>
        </is>
      </c>
      <c r="AB1002" s="30" t="inlineStr">
        <is>
          <t>Yes</t>
        </is>
      </c>
      <c r="AC1002" s="27" t="n"/>
      <c r="AD1002" s="31" t="inlineStr">
        <is>
          <t>No</t>
        </is>
      </c>
      <c r="AE1002" s="32">
        <f>IF(W1002="","",IF(Z1002="Yes","❌ Disc",IF(Y1002="No","⚠ Missing",IF(AB1002="Yes","✓ OK","⚠ Check"))))</f>
        <v/>
      </c>
      <c r="AF1002" s="33" t="n"/>
      <c r="AG1002" s="33" t="n"/>
      <c r="AH1002" s="33" t="n"/>
      <c r="AI1002" s="33" t="n"/>
      <c r="AJ1002" s="33" t="n"/>
      <c r="AK1002" s="33" t="n"/>
      <c r="AL1002" s="27" t="n"/>
      <c r="AM1002" s="34" t="n"/>
      <c r="AN1002" s="35">
        <f>IF(AF1002="","",IF(AI1002="Yes","❌ Disc",IF(AH1002="No","⚠ Missing",IF(AK1002="Yes","✓ OK","⚠ Check"))))</f>
        <v/>
      </c>
      <c r="AO1002" s="36" t="n"/>
      <c r="AP1002" s="36" t="n"/>
      <c r="AQ1002" s="36" t="n"/>
      <c r="AR1002" s="36" t="n"/>
      <c r="AS1002" s="36" t="n"/>
      <c r="AT1002" s="36" t="n"/>
      <c r="AU1002" s="27" t="n"/>
      <c r="AV1002" s="37" t="n"/>
      <c r="AW1002" s="38">
        <f>IF(AO1002="","",IF(AR1002="Yes","❌ Disc",IF(AQ1002="No","⚠ Missing",IF(AT1002="Yes","✓ OK","⚠ Check"))))</f>
        <v/>
      </c>
    </row>
    <row r="1003" ht="18" customHeight="1" s="46">
      <c r="A1003" s="23" t="n">
        <v>999</v>
      </c>
      <c r="B1003" s="24" t="inlineStr">
        <is>
          <t>WP LNCCN1072954</t>
        </is>
      </c>
      <c r="C1003" s="25" t="inlineStr">
        <is>
          <t>Life n Colors - White Tree Sketch on Black Background, Premium Wallpaper -  Canvas - a texture paper</t>
        </is>
      </c>
      <c r="D1003" s="23" t="inlineStr">
        <is>
          <t>Life n Colors</t>
        </is>
      </c>
      <c r="E1003" s="43" t="n">
        <v>46126</v>
      </c>
      <c r="F1003" s="26" t="inlineStr">
        <is>
          <t>Sunil CR</t>
        </is>
      </c>
      <c r="G1003" s="26" t="inlineStr">
        <is>
          <t>Yes</t>
        </is>
      </c>
      <c r="H1003" s="26" t="inlineStr">
        <is>
          <t>No</t>
        </is>
      </c>
      <c r="I1003" s="26" t="inlineStr">
        <is>
          <t>Good finish</t>
        </is>
      </c>
      <c r="J1003" s="26" t="inlineStr">
        <is>
          <t>Yes</t>
        </is>
      </c>
      <c r="K1003" s="27" t="n"/>
      <c r="L1003" s="28" t="inlineStr">
        <is>
          <t>No</t>
        </is>
      </c>
      <c r="M1003" s="29">
        <f>IF(E1003="","",IF(H1003="Yes","❌ Disc",IF(G1003="No","⚠ Missing",IF(J1003="Yes","✓ OK","⚠ Check"))))</f>
        <v/>
      </c>
      <c r="N1003" s="43" t="n">
        <v>46193</v>
      </c>
      <c r="O1003" s="26" t="inlineStr">
        <is>
          <t>Sunil CR</t>
        </is>
      </c>
      <c r="P1003" s="26" t="inlineStr">
        <is>
          <t>Yes</t>
        </is>
      </c>
      <c r="Q1003" s="26" t="inlineStr">
        <is>
          <t>No</t>
        </is>
      </c>
      <c r="R1003" s="26" t="inlineStr">
        <is>
          <t>Good finish</t>
        </is>
      </c>
      <c r="S1003" s="26" t="inlineStr">
        <is>
          <t>Yes</t>
        </is>
      </c>
      <c r="T1003" s="27" t="n"/>
      <c r="U1003" s="28" t="inlineStr">
        <is>
          <t>No</t>
        </is>
      </c>
      <c r="V1003" s="29">
        <f>IF(N1003="","",IF(Q1003="Yes","❌ Disc",IF(P1003="No","⚠ Missing",IF(S1003="Yes","✓ OK","⚠ Check"))))</f>
        <v/>
      </c>
      <c r="W1003" s="65" t="n">
        <v>46248</v>
      </c>
      <c r="X1003" s="30" t="inlineStr">
        <is>
          <t>Sunil CR</t>
        </is>
      </c>
      <c r="Y1003" s="30" t="inlineStr">
        <is>
          <t>Yes</t>
        </is>
      </c>
      <c r="Z1003" s="30" t="n"/>
      <c r="AA1003" s="30" t="inlineStr">
        <is>
          <t>Good finish</t>
        </is>
      </c>
      <c r="AB1003" s="30" t="inlineStr">
        <is>
          <t>Yes</t>
        </is>
      </c>
      <c r="AC1003" s="27" t="n"/>
      <c r="AD1003" s="31" t="inlineStr">
        <is>
          <t>No</t>
        </is>
      </c>
      <c r="AE1003" s="32">
        <f>IF(W1003="","",IF(Z1003="Yes","❌ Disc",IF(Y1003="No","⚠ Missing",IF(AB1003="Yes","✓ OK","⚠ Check"))))</f>
        <v/>
      </c>
      <c r="AF1003" s="33" t="n"/>
      <c r="AG1003" s="33" t="n"/>
      <c r="AH1003" s="33" t="n"/>
      <c r="AI1003" s="33" t="n"/>
      <c r="AJ1003" s="33" t="n"/>
      <c r="AK1003" s="33" t="n"/>
      <c r="AL1003" s="27" t="n"/>
      <c r="AM1003" s="34" t="n"/>
      <c r="AN1003" s="35">
        <f>IF(AF1003="","",IF(AI1003="Yes","❌ Disc",IF(AH1003="No","⚠ Missing",IF(AK1003="Yes","✓ OK","⚠ Check"))))</f>
        <v/>
      </c>
      <c r="AO1003" s="36" t="n"/>
      <c r="AP1003" s="36" t="n"/>
      <c r="AQ1003" s="36" t="n"/>
      <c r="AR1003" s="36" t="n"/>
      <c r="AS1003" s="36" t="n"/>
      <c r="AT1003" s="36" t="n"/>
      <c r="AU1003" s="27" t="n"/>
      <c r="AV1003" s="37" t="n"/>
      <c r="AW1003" s="38">
        <f>IF(AO1003="","",IF(AR1003="Yes","❌ Disc",IF(AQ1003="No","⚠ Missing",IF(AT1003="Yes","✓ OK","⚠ Check"))))</f>
        <v/>
      </c>
    </row>
    <row r="1004" ht="18" customHeight="1" s="46">
      <c r="A1004" s="39" t="n">
        <v>1000</v>
      </c>
      <c r="B1004" s="40" t="inlineStr">
        <is>
          <t>WP LNCSF1072954</t>
        </is>
      </c>
      <c r="C1004" s="41" t="inlineStr">
        <is>
          <t>Life n Colors - White Tree Sketch on Black Background, Premium Wallpaper - Non-woven - a soft feel paper</t>
        </is>
      </c>
      <c r="D1004" s="39" t="inlineStr">
        <is>
          <t>Life n Colors</t>
        </is>
      </c>
      <c r="E1004" s="43" t="n">
        <v>46126</v>
      </c>
      <c r="F1004" s="26" t="inlineStr">
        <is>
          <t>Sunil CR</t>
        </is>
      </c>
      <c r="G1004" s="26" t="inlineStr">
        <is>
          <t>Yes</t>
        </is>
      </c>
      <c r="H1004" s="26" t="inlineStr">
        <is>
          <t>No</t>
        </is>
      </c>
      <c r="I1004" s="26" t="inlineStr">
        <is>
          <t>Good finish</t>
        </is>
      </c>
      <c r="J1004" s="26" t="inlineStr">
        <is>
          <t>Yes</t>
        </is>
      </c>
      <c r="K1004" s="27" t="n"/>
      <c r="L1004" s="28" t="inlineStr">
        <is>
          <t>No</t>
        </is>
      </c>
      <c r="M1004" s="29">
        <f>IF(E1004="","",IF(H1004="Yes","❌ Disc",IF(G1004="No","⚠ Missing",IF(J1004="Yes","✓ OK","⚠ Check"))))</f>
        <v/>
      </c>
      <c r="N1004" s="43" t="n">
        <v>46193</v>
      </c>
      <c r="O1004" s="26" t="inlineStr">
        <is>
          <t>Sunil CR</t>
        </is>
      </c>
      <c r="P1004" s="26" t="inlineStr">
        <is>
          <t>Yes</t>
        </is>
      </c>
      <c r="Q1004" s="26" t="inlineStr">
        <is>
          <t>No</t>
        </is>
      </c>
      <c r="R1004" s="26" t="inlineStr">
        <is>
          <t>Good finish</t>
        </is>
      </c>
      <c r="S1004" s="26" t="inlineStr">
        <is>
          <t>Yes</t>
        </is>
      </c>
      <c r="T1004" s="27" t="n"/>
      <c r="U1004" s="28" t="inlineStr">
        <is>
          <t>No</t>
        </is>
      </c>
      <c r="V1004" s="29">
        <f>IF(N1004="","",IF(Q1004="Yes","❌ Disc",IF(P1004="No","⚠ Missing",IF(S1004="Yes","✓ OK","⚠ Check"))))</f>
        <v/>
      </c>
      <c r="W1004" s="65" t="n">
        <v>46248</v>
      </c>
      <c r="X1004" s="30" t="inlineStr">
        <is>
          <t>Sunil CR</t>
        </is>
      </c>
      <c r="Y1004" s="30" t="inlineStr">
        <is>
          <t>Yes</t>
        </is>
      </c>
      <c r="Z1004" s="30" t="n"/>
      <c r="AA1004" s="30" t="inlineStr">
        <is>
          <t>Good finish</t>
        </is>
      </c>
      <c r="AB1004" s="30" t="inlineStr">
        <is>
          <t>Yes</t>
        </is>
      </c>
      <c r="AC1004" s="27" t="n"/>
      <c r="AD1004" s="31" t="inlineStr">
        <is>
          <t>No</t>
        </is>
      </c>
      <c r="AE1004" s="32">
        <f>IF(W1004="","",IF(Z1004="Yes","❌ Disc",IF(Y1004="No","⚠ Missing",IF(AB1004="Yes","✓ OK","⚠ Check"))))</f>
        <v/>
      </c>
      <c r="AF1004" s="33" t="n"/>
      <c r="AG1004" s="33" t="n"/>
      <c r="AH1004" s="33" t="n"/>
      <c r="AI1004" s="33" t="n"/>
      <c r="AJ1004" s="33" t="n"/>
      <c r="AK1004" s="33" t="n"/>
      <c r="AL1004" s="27" t="n"/>
      <c r="AM1004" s="34" t="n"/>
      <c r="AN1004" s="35">
        <f>IF(AF1004="","",IF(AI1004="Yes","❌ Disc",IF(AH1004="No","⚠ Missing",IF(AK1004="Yes","✓ OK","⚠ Check"))))</f>
        <v/>
      </c>
      <c r="AO1004" s="36" t="n"/>
      <c r="AP1004" s="36" t="n"/>
      <c r="AQ1004" s="36" t="n"/>
      <c r="AR1004" s="36" t="n"/>
      <c r="AS1004" s="36" t="n"/>
      <c r="AT1004" s="36" t="n"/>
      <c r="AU1004" s="27" t="n"/>
      <c r="AV1004" s="37" t="n"/>
      <c r="AW1004" s="38">
        <f>IF(AO1004="","",IF(AR1004="Yes","❌ Disc",IF(AQ1004="No","⚠ Missing",IF(AT1004="Yes","✓ OK","⚠ Check"))))</f>
        <v/>
      </c>
    </row>
    <row r="1005" ht="18" customHeight="1" s="46">
      <c r="A1005" s="23" t="n">
        <v>1001</v>
      </c>
      <c r="B1005" s="24" t="inlineStr">
        <is>
          <t>WP LNCCN1021955</t>
        </is>
      </c>
      <c r="C1005" s="25" t="inlineStr">
        <is>
          <t>Life n Colors - Wonders of the World, Monuments Wallpaper for Walls  -  Canvas - a texture paper</t>
        </is>
      </c>
      <c r="D1005" s="23" t="inlineStr">
        <is>
          <t>Life n Colors</t>
        </is>
      </c>
      <c r="E1005" s="43" t="n">
        <v>46126</v>
      </c>
      <c r="F1005" s="26" t="inlineStr">
        <is>
          <t>Sunil CR</t>
        </is>
      </c>
      <c r="G1005" s="26" t="inlineStr">
        <is>
          <t>Yes</t>
        </is>
      </c>
      <c r="H1005" s="26" t="inlineStr">
        <is>
          <t>No</t>
        </is>
      </c>
      <c r="I1005" s="26" t="inlineStr">
        <is>
          <t>Good finish</t>
        </is>
      </c>
      <c r="J1005" s="26" t="inlineStr">
        <is>
          <t>Yes</t>
        </is>
      </c>
      <c r="K1005" s="27" t="n"/>
      <c r="L1005" s="28" t="inlineStr">
        <is>
          <t>No</t>
        </is>
      </c>
      <c r="M1005" s="29">
        <f>IF(E1005="","",IF(H1005="Yes","❌ Disc",IF(G1005="No","⚠ Missing",IF(J1005="Yes","✓ OK","⚠ Check"))))</f>
        <v/>
      </c>
      <c r="N1005" s="43" t="n">
        <v>46193</v>
      </c>
      <c r="O1005" s="26" t="inlineStr">
        <is>
          <t>Sunil CR</t>
        </is>
      </c>
      <c r="P1005" s="26" t="inlineStr">
        <is>
          <t>Yes</t>
        </is>
      </c>
      <c r="Q1005" s="26" t="inlineStr">
        <is>
          <t>No</t>
        </is>
      </c>
      <c r="R1005" s="26" t="inlineStr">
        <is>
          <t>Good finish</t>
        </is>
      </c>
      <c r="S1005" s="26" t="inlineStr">
        <is>
          <t>Yes</t>
        </is>
      </c>
      <c r="T1005" s="27" t="n"/>
      <c r="U1005" s="28" t="inlineStr">
        <is>
          <t>No</t>
        </is>
      </c>
      <c r="V1005" s="29">
        <f>IF(N1005="","",IF(Q1005="Yes","❌ Disc",IF(P1005="No","⚠ Missing",IF(S1005="Yes","✓ OK","⚠ Check"))))</f>
        <v/>
      </c>
      <c r="W1005" s="65" t="n">
        <v>46248</v>
      </c>
      <c r="X1005" s="30" t="inlineStr">
        <is>
          <t>Sunil CR</t>
        </is>
      </c>
      <c r="Y1005" s="30" t="inlineStr">
        <is>
          <t>Yes</t>
        </is>
      </c>
      <c r="Z1005" s="30" t="n"/>
      <c r="AA1005" s="30" t="inlineStr">
        <is>
          <t>Good finish</t>
        </is>
      </c>
      <c r="AB1005" s="30" t="inlineStr">
        <is>
          <t>Yes</t>
        </is>
      </c>
      <c r="AC1005" s="27" t="n"/>
      <c r="AD1005" s="31" t="inlineStr">
        <is>
          <t>No</t>
        </is>
      </c>
      <c r="AE1005" s="32">
        <f>IF(W1005="","",IF(Z1005="Yes","❌ Disc",IF(Y1005="No","⚠ Missing",IF(AB1005="Yes","✓ OK","⚠ Check"))))</f>
        <v/>
      </c>
      <c r="AF1005" s="33" t="n"/>
      <c r="AG1005" s="33" t="n"/>
      <c r="AH1005" s="33" t="n"/>
      <c r="AI1005" s="33" t="n"/>
      <c r="AJ1005" s="33" t="n"/>
      <c r="AK1005" s="33" t="n"/>
      <c r="AL1005" s="27" t="n"/>
      <c r="AM1005" s="34" t="n"/>
      <c r="AN1005" s="35">
        <f>IF(AF1005="","",IF(AI1005="Yes","❌ Disc",IF(AH1005="No","⚠ Missing",IF(AK1005="Yes","✓ OK","⚠ Check"))))</f>
        <v/>
      </c>
      <c r="AO1005" s="36" t="n"/>
      <c r="AP1005" s="36" t="n"/>
      <c r="AQ1005" s="36" t="n"/>
      <c r="AR1005" s="36" t="n"/>
      <c r="AS1005" s="36" t="n"/>
      <c r="AT1005" s="36" t="n"/>
      <c r="AU1005" s="27" t="n"/>
      <c r="AV1005" s="37" t="n"/>
      <c r="AW1005" s="38">
        <f>IF(AO1005="","",IF(AR1005="Yes","❌ Disc",IF(AQ1005="No","⚠ Missing",IF(AT1005="Yes","✓ OK","⚠ Check"))))</f>
        <v/>
      </c>
    </row>
    <row r="1006" ht="18" customHeight="1" s="46">
      <c r="A1006" s="39" t="n">
        <v>1002</v>
      </c>
      <c r="B1006" s="40" t="inlineStr">
        <is>
          <t>WP LNCSF1021955</t>
        </is>
      </c>
      <c r="C1006" s="41" t="inlineStr">
        <is>
          <t>Life n Colors - Wonders of the World, Monuments Wallpaper for Walls  - Non-woven - a soft feel paper</t>
        </is>
      </c>
      <c r="D1006" s="39" t="inlineStr">
        <is>
          <t>Life n Colors</t>
        </is>
      </c>
      <c r="E1006" s="43" t="n">
        <v>46126</v>
      </c>
      <c r="F1006" s="26" t="inlineStr">
        <is>
          <t>Sunil CR</t>
        </is>
      </c>
      <c r="G1006" s="26" t="inlineStr">
        <is>
          <t>Yes</t>
        </is>
      </c>
      <c r="H1006" s="26" t="inlineStr">
        <is>
          <t>No</t>
        </is>
      </c>
      <c r="I1006" s="26" t="inlineStr">
        <is>
          <t>Good finish</t>
        </is>
      </c>
      <c r="J1006" s="26" t="inlineStr">
        <is>
          <t>Yes</t>
        </is>
      </c>
      <c r="K1006" s="27" t="n"/>
      <c r="L1006" s="28" t="inlineStr">
        <is>
          <t>No</t>
        </is>
      </c>
      <c r="M1006" s="29">
        <f>IF(E1006="","",IF(H1006="Yes","❌ Disc",IF(G1006="No","⚠ Missing",IF(J1006="Yes","✓ OK","⚠ Check"))))</f>
        <v/>
      </c>
      <c r="N1006" s="43" t="n">
        <v>46193</v>
      </c>
      <c r="O1006" s="26" t="inlineStr">
        <is>
          <t>Sunil CR</t>
        </is>
      </c>
      <c r="P1006" s="26" t="inlineStr">
        <is>
          <t>Yes</t>
        </is>
      </c>
      <c r="Q1006" s="26" t="inlineStr">
        <is>
          <t>No</t>
        </is>
      </c>
      <c r="R1006" s="26" t="inlineStr">
        <is>
          <t>Good finish</t>
        </is>
      </c>
      <c r="S1006" s="26" t="inlineStr">
        <is>
          <t>Yes</t>
        </is>
      </c>
      <c r="T1006" s="27" t="n"/>
      <c r="U1006" s="28" t="inlineStr">
        <is>
          <t>No</t>
        </is>
      </c>
      <c r="V1006" s="29">
        <f>IF(N1006="","",IF(Q1006="Yes","❌ Disc",IF(P1006="No","⚠ Missing",IF(S1006="Yes","✓ OK","⚠ Check"))))</f>
        <v/>
      </c>
      <c r="W1006" s="65" t="n">
        <v>46248</v>
      </c>
      <c r="X1006" s="30" t="inlineStr">
        <is>
          <t>Sunil CR</t>
        </is>
      </c>
      <c r="Y1006" s="30" t="inlineStr">
        <is>
          <t>Yes</t>
        </is>
      </c>
      <c r="Z1006" s="30" t="n"/>
      <c r="AA1006" s="30" t="inlineStr">
        <is>
          <t>Good finish</t>
        </is>
      </c>
      <c r="AB1006" s="30" t="inlineStr">
        <is>
          <t>Yes</t>
        </is>
      </c>
      <c r="AC1006" s="27" t="n"/>
      <c r="AD1006" s="31" t="inlineStr">
        <is>
          <t>No</t>
        </is>
      </c>
      <c r="AE1006" s="32">
        <f>IF(W1006="","",IF(Z1006="Yes","❌ Disc",IF(Y1006="No","⚠ Missing",IF(AB1006="Yes","✓ OK","⚠ Check"))))</f>
        <v/>
      </c>
      <c r="AF1006" s="33" t="n"/>
      <c r="AG1006" s="33" t="n"/>
      <c r="AH1006" s="33" t="n"/>
      <c r="AI1006" s="33" t="n"/>
      <c r="AJ1006" s="33" t="n"/>
      <c r="AK1006" s="33" t="n"/>
      <c r="AL1006" s="27" t="n"/>
      <c r="AM1006" s="34" t="n"/>
      <c r="AN1006" s="35">
        <f>IF(AF1006="","",IF(AI1006="Yes","❌ Disc",IF(AH1006="No","⚠ Missing",IF(AK1006="Yes","✓ OK","⚠ Check"))))</f>
        <v/>
      </c>
      <c r="AO1006" s="36" t="n"/>
      <c r="AP1006" s="36" t="n"/>
      <c r="AQ1006" s="36" t="n"/>
      <c r="AR1006" s="36" t="n"/>
      <c r="AS1006" s="36" t="n"/>
      <c r="AT1006" s="36" t="n"/>
      <c r="AU1006" s="27" t="n"/>
      <c r="AV1006" s="37" t="n"/>
      <c r="AW1006" s="38">
        <f>IF(AO1006="","",IF(AR1006="Yes","❌ Disc",IF(AQ1006="No","⚠ Missing",IF(AT1006="Yes","✓ OK","⚠ Check"))))</f>
        <v/>
      </c>
    </row>
    <row r="1007" ht="18" customHeight="1" s="46">
      <c r="A1007" s="23" t="n">
        <v>1003</v>
      </c>
      <c r="B1007" s="24" t="inlineStr">
        <is>
          <t>WP LNCCN1030710</t>
        </is>
      </c>
      <c r="C1007" s="25" t="inlineStr">
        <is>
          <t>Life n Colors - Yellow Abstract Wall Pattern, Distress Look Wallpaper  -  Canvas - a texture paper</t>
        </is>
      </c>
      <c r="D1007" s="23" t="inlineStr">
        <is>
          <t>Life n Colors</t>
        </is>
      </c>
      <c r="E1007" s="43" t="n">
        <v>46126</v>
      </c>
      <c r="F1007" s="26" t="inlineStr">
        <is>
          <t>Sunil CR</t>
        </is>
      </c>
      <c r="G1007" s="26" t="inlineStr">
        <is>
          <t>Yes</t>
        </is>
      </c>
      <c r="H1007" s="26" t="inlineStr">
        <is>
          <t>No</t>
        </is>
      </c>
      <c r="I1007" s="26" t="inlineStr">
        <is>
          <t>Good finish</t>
        </is>
      </c>
      <c r="J1007" s="26" t="inlineStr">
        <is>
          <t>Yes</t>
        </is>
      </c>
      <c r="K1007" s="27" t="n"/>
      <c r="L1007" s="28" t="inlineStr">
        <is>
          <t>No</t>
        </is>
      </c>
      <c r="M1007" s="29">
        <f>IF(E1007="","",IF(H1007="Yes","❌ Disc",IF(G1007="No","⚠ Missing",IF(J1007="Yes","✓ OK","⚠ Check"))))</f>
        <v/>
      </c>
      <c r="N1007" s="43" t="n">
        <v>46193</v>
      </c>
      <c r="O1007" s="26" t="inlineStr">
        <is>
          <t>Sunil CR</t>
        </is>
      </c>
      <c r="P1007" s="26" t="inlineStr">
        <is>
          <t>Yes</t>
        </is>
      </c>
      <c r="Q1007" s="26" t="inlineStr">
        <is>
          <t>No</t>
        </is>
      </c>
      <c r="R1007" s="26" t="inlineStr">
        <is>
          <t>Good finish</t>
        </is>
      </c>
      <c r="S1007" s="26" t="inlineStr">
        <is>
          <t>Yes</t>
        </is>
      </c>
      <c r="T1007" s="27" t="n"/>
      <c r="U1007" s="28" t="inlineStr">
        <is>
          <t>No</t>
        </is>
      </c>
      <c r="V1007" s="29">
        <f>IF(N1007="","",IF(Q1007="Yes","❌ Disc",IF(P1007="No","⚠ Missing",IF(S1007="Yes","✓ OK","⚠ Check"))))</f>
        <v/>
      </c>
      <c r="W1007" s="65" t="n">
        <v>46248</v>
      </c>
      <c r="X1007" s="30" t="inlineStr">
        <is>
          <t>Sunil CR</t>
        </is>
      </c>
      <c r="Y1007" s="30" t="inlineStr">
        <is>
          <t>Yes</t>
        </is>
      </c>
      <c r="Z1007" s="30" t="n"/>
      <c r="AA1007" s="30" t="inlineStr">
        <is>
          <t>Good finish</t>
        </is>
      </c>
      <c r="AB1007" s="30" t="inlineStr">
        <is>
          <t>Yes</t>
        </is>
      </c>
      <c r="AC1007" s="27" t="n"/>
      <c r="AD1007" s="31" t="inlineStr">
        <is>
          <t>No</t>
        </is>
      </c>
      <c r="AE1007" s="32">
        <f>IF(W1007="","",IF(Z1007="Yes","❌ Disc",IF(Y1007="No","⚠ Missing",IF(AB1007="Yes","✓ OK","⚠ Check"))))</f>
        <v/>
      </c>
      <c r="AF1007" s="33" t="n"/>
      <c r="AG1007" s="33" t="n"/>
      <c r="AH1007" s="33" t="n"/>
      <c r="AI1007" s="33" t="n"/>
      <c r="AJ1007" s="33" t="n"/>
      <c r="AK1007" s="33" t="n"/>
      <c r="AL1007" s="27" t="n"/>
      <c r="AM1007" s="34" t="n"/>
      <c r="AN1007" s="35">
        <f>IF(AF1007="","",IF(AI1007="Yes","❌ Disc",IF(AH1007="No","⚠ Missing",IF(AK1007="Yes","✓ OK","⚠ Check"))))</f>
        <v/>
      </c>
      <c r="AO1007" s="36" t="n"/>
      <c r="AP1007" s="36" t="n"/>
      <c r="AQ1007" s="36" t="n"/>
      <c r="AR1007" s="36" t="n"/>
      <c r="AS1007" s="36" t="n"/>
      <c r="AT1007" s="36" t="n"/>
      <c r="AU1007" s="27" t="n"/>
      <c r="AV1007" s="37" t="n"/>
      <c r="AW1007" s="38">
        <f>IF(AO1007="","",IF(AR1007="Yes","❌ Disc",IF(AQ1007="No","⚠ Missing",IF(AT1007="Yes","✓ OK","⚠ Check"))))</f>
        <v/>
      </c>
    </row>
    <row r="1008" ht="18" customHeight="1" s="46">
      <c r="A1008" s="39" t="n">
        <v>1004</v>
      </c>
      <c r="B1008" s="40" t="inlineStr">
        <is>
          <t>WP LNCSF1030710</t>
        </is>
      </c>
      <c r="C1008" s="41" t="inlineStr">
        <is>
          <t>Life n Colors - Yellow Abstract Wall Pattern, Distress Look Wallpaper  - Non-woven - a soft feel paper</t>
        </is>
      </c>
      <c r="D1008" s="39" t="inlineStr">
        <is>
          <t>Life n Colors</t>
        </is>
      </c>
      <c r="E1008" s="43" t="n">
        <v>46126</v>
      </c>
      <c r="F1008" s="26" t="inlineStr">
        <is>
          <t>Sunil CR</t>
        </is>
      </c>
      <c r="G1008" s="26" t="inlineStr">
        <is>
          <t>Yes</t>
        </is>
      </c>
      <c r="H1008" s="26" t="inlineStr">
        <is>
          <t>No</t>
        </is>
      </c>
      <c r="I1008" s="26" t="inlineStr">
        <is>
          <t>Good finish</t>
        </is>
      </c>
      <c r="J1008" s="26" t="inlineStr">
        <is>
          <t>Yes</t>
        </is>
      </c>
      <c r="K1008" s="27" t="n"/>
      <c r="L1008" s="28" t="inlineStr">
        <is>
          <t>No</t>
        </is>
      </c>
      <c r="M1008" s="29">
        <f>IF(E1008="","",IF(H1008="Yes","❌ Disc",IF(G1008="No","⚠ Missing",IF(J1008="Yes","✓ OK","⚠ Check"))))</f>
        <v/>
      </c>
      <c r="N1008" s="43" t="n">
        <v>46193</v>
      </c>
      <c r="O1008" s="26" t="inlineStr">
        <is>
          <t>Sunil CR</t>
        </is>
      </c>
      <c r="P1008" s="26" t="inlineStr">
        <is>
          <t>Yes</t>
        </is>
      </c>
      <c r="Q1008" s="26" t="inlineStr">
        <is>
          <t>No</t>
        </is>
      </c>
      <c r="R1008" s="26" t="inlineStr">
        <is>
          <t>Good finish</t>
        </is>
      </c>
      <c r="S1008" s="26" t="inlineStr">
        <is>
          <t>Yes</t>
        </is>
      </c>
      <c r="T1008" s="27" t="n"/>
      <c r="U1008" s="28" t="inlineStr">
        <is>
          <t>No</t>
        </is>
      </c>
      <c r="V1008" s="29">
        <f>IF(N1008="","",IF(Q1008="Yes","❌ Disc",IF(P1008="No","⚠ Missing",IF(S1008="Yes","✓ OK","⚠ Check"))))</f>
        <v/>
      </c>
      <c r="W1008" s="65" t="n">
        <v>46248</v>
      </c>
      <c r="X1008" s="30" t="inlineStr">
        <is>
          <t>Sunil CR</t>
        </is>
      </c>
      <c r="Y1008" s="30" t="inlineStr">
        <is>
          <t>Yes</t>
        </is>
      </c>
      <c r="Z1008" s="30" t="n"/>
      <c r="AA1008" s="30" t="inlineStr">
        <is>
          <t>Good finish</t>
        </is>
      </c>
      <c r="AB1008" s="30" t="inlineStr">
        <is>
          <t>Yes</t>
        </is>
      </c>
      <c r="AC1008" s="27" t="n"/>
      <c r="AD1008" s="31" t="inlineStr">
        <is>
          <t>No</t>
        </is>
      </c>
      <c r="AE1008" s="32">
        <f>IF(W1008="","",IF(Z1008="Yes","❌ Disc",IF(Y1008="No","⚠ Missing",IF(AB1008="Yes","✓ OK","⚠ Check"))))</f>
        <v/>
      </c>
      <c r="AF1008" s="33" t="n"/>
      <c r="AG1008" s="33" t="n"/>
      <c r="AH1008" s="33" t="n"/>
      <c r="AI1008" s="33" t="n"/>
      <c r="AJ1008" s="33" t="n"/>
      <c r="AK1008" s="33" t="n"/>
      <c r="AL1008" s="27" t="n"/>
      <c r="AM1008" s="34" t="n"/>
      <c r="AN1008" s="35">
        <f>IF(AF1008="","",IF(AI1008="Yes","❌ Disc",IF(AH1008="No","⚠ Missing",IF(AK1008="Yes","✓ OK","⚠ Check"))))</f>
        <v/>
      </c>
      <c r="AO1008" s="36" t="n"/>
      <c r="AP1008" s="36" t="n"/>
      <c r="AQ1008" s="36" t="n"/>
      <c r="AR1008" s="36" t="n"/>
      <c r="AS1008" s="36" t="n"/>
      <c r="AT1008" s="36" t="n"/>
      <c r="AU1008" s="27" t="n"/>
      <c r="AV1008" s="37" t="n"/>
      <c r="AW1008" s="38">
        <f>IF(AO1008="","",IF(AR1008="Yes","❌ Disc",IF(AQ1008="No","⚠ Missing",IF(AT1008="Yes","✓ OK","⚠ Check"))))</f>
        <v/>
      </c>
    </row>
    <row r="1009" ht="18" customHeight="1" s="46">
      <c r="A1009" s="23" t="n">
        <v>1005</v>
      </c>
      <c r="B1009" s="24" t="inlineStr">
        <is>
          <t>BD-VRM-2024-0347</t>
        </is>
      </c>
      <c r="C1009" s="25" t="inlineStr">
        <is>
          <t>Life n Colors - Yellow Chinoiserie Wallpaper with Flowers and Birds - Canvas a texture paper</t>
        </is>
      </c>
      <c r="D1009" s="23" t="inlineStr">
        <is>
          <t>Life n Colors</t>
        </is>
      </c>
      <c r="E1009" s="43" t="n">
        <v>46126</v>
      </c>
      <c r="F1009" s="26" t="inlineStr">
        <is>
          <t>Sunil CR</t>
        </is>
      </c>
      <c r="G1009" s="26" t="inlineStr">
        <is>
          <t>Yes</t>
        </is>
      </c>
      <c r="H1009" s="26" t="inlineStr">
        <is>
          <t>No</t>
        </is>
      </c>
      <c r="I1009" s="26" t="inlineStr">
        <is>
          <t>Good finish</t>
        </is>
      </c>
      <c r="J1009" s="26" t="inlineStr">
        <is>
          <t>Yes</t>
        </is>
      </c>
      <c r="K1009" s="27" t="n"/>
      <c r="L1009" s="28" t="inlineStr">
        <is>
          <t>No</t>
        </is>
      </c>
      <c r="M1009" s="29">
        <f>IF(E1009="","",IF(H1009="Yes","❌ Disc",IF(G1009="No","⚠ Missing",IF(J1009="Yes","✓ OK","⚠ Check"))))</f>
        <v/>
      </c>
      <c r="N1009" s="43" t="n">
        <v>46193</v>
      </c>
      <c r="O1009" s="26" t="inlineStr">
        <is>
          <t>Sunil CR</t>
        </is>
      </c>
      <c r="P1009" s="26" t="inlineStr">
        <is>
          <t>Yes</t>
        </is>
      </c>
      <c r="Q1009" s="26" t="inlineStr">
        <is>
          <t>No</t>
        </is>
      </c>
      <c r="R1009" s="26" t="inlineStr">
        <is>
          <t>Good finish</t>
        </is>
      </c>
      <c r="S1009" s="26" t="inlineStr">
        <is>
          <t>Yes</t>
        </is>
      </c>
      <c r="T1009" s="27" t="n"/>
      <c r="U1009" s="28" t="inlineStr">
        <is>
          <t>No</t>
        </is>
      </c>
      <c r="V1009" s="29">
        <f>IF(N1009="","",IF(Q1009="Yes","❌ Disc",IF(P1009="No","⚠ Missing",IF(S1009="Yes","✓ OK","⚠ Check"))))</f>
        <v/>
      </c>
      <c r="W1009" s="65" t="n">
        <v>46248</v>
      </c>
      <c r="X1009" s="30" t="inlineStr">
        <is>
          <t>Sunil CR</t>
        </is>
      </c>
      <c r="Y1009" s="30" t="inlineStr">
        <is>
          <t>Yes</t>
        </is>
      </c>
      <c r="Z1009" s="30" t="n"/>
      <c r="AA1009" s="30" t="inlineStr">
        <is>
          <t>Good finish</t>
        </is>
      </c>
      <c r="AB1009" s="30" t="inlineStr">
        <is>
          <t>Yes</t>
        </is>
      </c>
      <c r="AC1009" s="27" t="n"/>
      <c r="AD1009" s="31" t="inlineStr">
        <is>
          <t>No</t>
        </is>
      </c>
      <c r="AE1009" s="32">
        <f>IF(W1009="","",IF(Z1009="Yes","❌ Disc",IF(Y1009="No","⚠ Missing",IF(AB1009="Yes","✓ OK","⚠ Check"))))</f>
        <v/>
      </c>
      <c r="AF1009" s="33" t="n"/>
      <c r="AG1009" s="33" t="n"/>
      <c r="AH1009" s="33" t="n"/>
      <c r="AI1009" s="33" t="n"/>
      <c r="AJ1009" s="33" t="n"/>
      <c r="AK1009" s="33" t="n"/>
      <c r="AL1009" s="27" t="n"/>
      <c r="AM1009" s="34" t="n"/>
      <c r="AN1009" s="35">
        <f>IF(AF1009="","",IF(AI1009="Yes","❌ Disc",IF(AH1009="No","⚠ Missing",IF(AK1009="Yes","✓ OK","⚠ Check"))))</f>
        <v/>
      </c>
      <c r="AO1009" s="36" t="n"/>
      <c r="AP1009" s="36" t="n"/>
      <c r="AQ1009" s="36" t="n"/>
      <c r="AR1009" s="36" t="n"/>
      <c r="AS1009" s="36" t="n"/>
      <c r="AT1009" s="36" t="n"/>
      <c r="AU1009" s="27" t="n"/>
      <c r="AV1009" s="37" t="n"/>
      <c r="AW1009" s="38">
        <f>IF(AO1009="","",IF(AR1009="Yes","❌ Disc",IF(AQ1009="No","⚠ Missing",IF(AT1009="Yes","✓ OK","⚠ Check"))))</f>
        <v/>
      </c>
    </row>
    <row r="1010" ht="18" customHeight="1" s="46">
      <c r="A1010" s="39" t="n">
        <v>1006</v>
      </c>
      <c r="B1010" s="40" t="inlineStr">
        <is>
          <t>BD-VRM-2024-0348</t>
        </is>
      </c>
      <c r="C1010" s="41" t="inlineStr">
        <is>
          <t>Life n Colors - Yellow Chinoiserie Wallpaper with Flowers and Birds - Non-woven a soft feel paper</t>
        </is>
      </c>
      <c r="D1010" s="39" t="inlineStr">
        <is>
          <t>Life n Colors</t>
        </is>
      </c>
      <c r="E1010" s="43" t="n">
        <v>46126</v>
      </c>
      <c r="F1010" s="26" t="inlineStr">
        <is>
          <t>Sunil CR</t>
        </is>
      </c>
      <c r="G1010" s="26" t="inlineStr">
        <is>
          <t>Yes</t>
        </is>
      </c>
      <c r="H1010" s="26" t="inlineStr">
        <is>
          <t>No</t>
        </is>
      </c>
      <c r="I1010" s="26" t="inlineStr">
        <is>
          <t>Good finish</t>
        </is>
      </c>
      <c r="J1010" s="26" t="inlineStr">
        <is>
          <t>Yes</t>
        </is>
      </c>
      <c r="K1010" s="27" t="n"/>
      <c r="L1010" s="28" t="inlineStr">
        <is>
          <t>No</t>
        </is>
      </c>
      <c r="M1010" s="29">
        <f>IF(E1010="","",IF(H1010="Yes","❌ Disc",IF(G1010="No","⚠ Missing",IF(J1010="Yes","✓ OK","⚠ Check"))))</f>
        <v/>
      </c>
      <c r="N1010" s="43" t="n">
        <v>46193</v>
      </c>
      <c r="O1010" s="26" t="inlineStr">
        <is>
          <t>Sunil CR</t>
        </is>
      </c>
      <c r="P1010" s="26" t="inlineStr">
        <is>
          <t>Yes</t>
        </is>
      </c>
      <c r="Q1010" s="26" t="inlineStr">
        <is>
          <t>No</t>
        </is>
      </c>
      <c r="R1010" s="26" t="inlineStr">
        <is>
          <t>Good finish</t>
        </is>
      </c>
      <c r="S1010" s="26" t="inlineStr">
        <is>
          <t>Yes</t>
        </is>
      </c>
      <c r="T1010" s="27" t="n"/>
      <c r="U1010" s="28" t="inlineStr">
        <is>
          <t>No</t>
        </is>
      </c>
      <c r="V1010" s="29">
        <f>IF(N1010="","",IF(Q1010="Yes","❌ Disc",IF(P1010="No","⚠ Missing",IF(S1010="Yes","✓ OK","⚠ Check"))))</f>
        <v/>
      </c>
      <c r="W1010" s="65" t="n">
        <v>46248</v>
      </c>
      <c r="X1010" s="30" t="inlineStr">
        <is>
          <t>Sunil CR</t>
        </is>
      </c>
      <c r="Y1010" s="30" t="inlineStr">
        <is>
          <t>Yes</t>
        </is>
      </c>
      <c r="Z1010" s="30" t="n"/>
      <c r="AA1010" s="30" t="inlineStr">
        <is>
          <t>Good finish</t>
        </is>
      </c>
      <c r="AB1010" s="30" t="inlineStr">
        <is>
          <t>Yes</t>
        </is>
      </c>
      <c r="AC1010" s="27" t="n"/>
      <c r="AD1010" s="31" t="inlineStr">
        <is>
          <t>No</t>
        </is>
      </c>
      <c r="AE1010" s="32">
        <f>IF(W1010="","",IF(Z1010="Yes","❌ Disc",IF(Y1010="No","⚠ Missing",IF(AB1010="Yes","✓ OK","⚠ Check"))))</f>
        <v/>
      </c>
      <c r="AF1010" s="33" t="n"/>
      <c r="AG1010" s="33" t="n"/>
      <c r="AH1010" s="33" t="n"/>
      <c r="AI1010" s="33" t="n"/>
      <c r="AJ1010" s="33" t="n"/>
      <c r="AK1010" s="33" t="n"/>
      <c r="AL1010" s="27" t="n"/>
      <c r="AM1010" s="34" t="n"/>
      <c r="AN1010" s="35">
        <f>IF(AF1010="","",IF(AI1010="Yes","❌ Disc",IF(AH1010="No","⚠ Missing",IF(AK1010="Yes","✓ OK","⚠ Check"))))</f>
        <v/>
      </c>
      <c r="AO1010" s="36" t="n"/>
      <c r="AP1010" s="36" t="n"/>
      <c r="AQ1010" s="36" t="n"/>
      <c r="AR1010" s="36" t="n"/>
      <c r="AS1010" s="36" t="n"/>
      <c r="AT1010" s="36" t="n"/>
      <c r="AU1010" s="27" t="n"/>
      <c r="AV1010" s="37" t="n"/>
      <c r="AW1010" s="38">
        <f>IF(AO1010="","",IF(AR1010="Yes","❌ Disc",IF(AQ1010="No","⚠ Missing",IF(AT1010="Yes","✓ OK","⚠ Check"))))</f>
        <v/>
      </c>
    </row>
    <row r="1011" ht="18" customHeight="1" s="46">
      <c r="A1011" s="23" t="n">
        <v>1007</v>
      </c>
      <c r="B1011" s="24" t="inlineStr">
        <is>
          <t>WP LNCCN1003799</t>
        </is>
      </c>
      <c r="C1011" s="25" t="inlineStr">
        <is>
          <t>Life n Colors - Yellow Geometric Pattern Indian Theme Wallpaper  -  Canvas - a texture paper</t>
        </is>
      </c>
      <c r="D1011" s="23" t="inlineStr">
        <is>
          <t>Life n Colors</t>
        </is>
      </c>
      <c r="E1011" s="43" t="n">
        <v>46126</v>
      </c>
      <c r="F1011" s="26" t="inlineStr">
        <is>
          <t>Sunil CR</t>
        </is>
      </c>
      <c r="G1011" s="26" t="inlineStr">
        <is>
          <t>Yes</t>
        </is>
      </c>
      <c r="H1011" s="26" t="inlineStr">
        <is>
          <t>No</t>
        </is>
      </c>
      <c r="I1011" s="26" t="inlineStr">
        <is>
          <t>Good finish</t>
        </is>
      </c>
      <c r="J1011" s="26" t="inlineStr">
        <is>
          <t>Yes</t>
        </is>
      </c>
      <c r="K1011" s="27" t="n"/>
      <c r="L1011" s="28" t="inlineStr">
        <is>
          <t>No</t>
        </is>
      </c>
      <c r="M1011" s="29">
        <f>IF(E1011="","",IF(H1011="Yes","❌ Disc",IF(G1011="No","⚠ Missing",IF(J1011="Yes","✓ OK","⚠ Check"))))</f>
        <v/>
      </c>
      <c r="N1011" s="43" t="n">
        <v>46193</v>
      </c>
      <c r="O1011" s="26" t="inlineStr">
        <is>
          <t>Sunil CR</t>
        </is>
      </c>
      <c r="P1011" s="26" t="inlineStr">
        <is>
          <t>Yes</t>
        </is>
      </c>
      <c r="Q1011" s="26" t="inlineStr">
        <is>
          <t>No</t>
        </is>
      </c>
      <c r="R1011" s="26" t="inlineStr">
        <is>
          <t>Good finish</t>
        </is>
      </c>
      <c r="S1011" s="26" t="inlineStr">
        <is>
          <t>Yes</t>
        </is>
      </c>
      <c r="T1011" s="27" t="n"/>
      <c r="U1011" s="28" t="inlineStr">
        <is>
          <t>No</t>
        </is>
      </c>
      <c r="V1011" s="29">
        <f>IF(N1011="","",IF(Q1011="Yes","❌ Disc",IF(P1011="No","⚠ Missing",IF(S1011="Yes","✓ OK","⚠ Check"))))</f>
        <v/>
      </c>
      <c r="W1011" s="65" t="n">
        <v>46248</v>
      </c>
      <c r="X1011" s="30" t="inlineStr">
        <is>
          <t>Sunil CR</t>
        </is>
      </c>
      <c r="Y1011" s="30" t="inlineStr">
        <is>
          <t>Yes</t>
        </is>
      </c>
      <c r="Z1011" s="30" t="n"/>
      <c r="AA1011" s="30" t="inlineStr">
        <is>
          <t>Good finish</t>
        </is>
      </c>
      <c r="AB1011" s="30" t="inlineStr">
        <is>
          <t>Yes</t>
        </is>
      </c>
      <c r="AC1011" s="27" t="n"/>
      <c r="AD1011" s="31" t="inlineStr">
        <is>
          <t>No</t>
        </is>
      </c>
      <c r="AE1011" s="32">
        <f>IF(W1011="","",IF(Z1011="Yes","❌ Disc",IF(Y1011="No","⚠ Missing",IF(AB1011="Yes","✓ OK","⚠ Check"))))</f>
        <v/>
      </c>
      <c r="AF1011" s="33" t="n"/>
      <c r="AG1011" s="33" t="n"/>
      <c r="AH1011" s="33" t="n"/>
      <c r="AI1011" s="33" t="n"/>
      <c r="AJ1011" s="33" t="n"/>
      <c r="AK1011" s="33" t="n"/>
      <c r="AL1011" s="27" t="n"/>
      <c r="AM1011" s="34" t="n"/>
      <c r="AN1011" s="35">
        <f>IF(AF1011="","",IF(AI1011="Yes","❌ Disc",IF(AH1011="No","⚠ Missing",IF(AK1011="Yes","✓ OK","⚠ Check"))))</f>
        <v/>
      </c>
      <c r="AO1011" s="36" t="n"/>
      <c r="AP1011" s="36" t="n"/>
      <c r="AQ1011" s="36" t="n"/>
      <c r="AR1011" s="36" t="n"/>
      <c r="AS1011" s="36" t="n"/>
      <c r="AT1011" s="36" t="n"/>
      <c r="AU1011" s="27" t="n"/>
      <c r="AV1011" s="37" t="n"/>
      <c r="AW1011" s="38">
        <f>IF(AO1011="","",IF(AR1011="Yes","❌ Disc",IF(AQ1011="No","⚠ Missing",IF(AT1011="Yes","✓ OK","⚠ Check"))))</f>
        <v/>
      </c>
    </row>
    <row r="1012" ht="18" customHeight="1" s="46">
      <c r="A1012" s="39" t="n">
        <v>1008</v>
      </c>
      <c r="B1012" s="40" t="inlineStr">
        <is>
          <t>WP LNCSF1003799</t>
        </is>
      </c>
      <c r="C1012" s="41" t="inlineStr">
        <is>
          <t>Life n Colors - Yellow Geometric Pattern Indian Theme Wallpaper  - Non-woven - a soft feel paper</t>
        </is>
      </c>
      <c r="D1012" s="39" t="inlineStr">
        <is>
          <t>Life n Colors</t>
        </is>
      </c>
      <c r="E1012" s="43" t="n">
        <v>46126</v>
      </c>
      <c r="F1012" s="26" t="inlineStr">
        <is>
          <t>Sunil CR</t>
        </is>
      </c>
      <c r="G1012" s="26" t="inlineStr">
        <is>
          <t>Yes</t>
        </is>
      </c>
      <c r="H1012" s="26" t="inlineStr">
        <is>
          <t>No</t>
        </is>
      </c>
      <c r="I1012" s="26" t="inlineStr">
        <is>
          <t>Good finish</t>
        </is>
      </c>
      <c r="J1012" s="26" t="inlineStr">
        <is>
          <t>Yes</t>
        </is>
      </c>
      <c r="K1012" s="27" t="n"/>
      <c r="L1012" s="28" t="inlineStr">
        <is>
          <t>No</t>
        </is>
      </c>
      <c r="M1012" s="29">
        <f>IF(E1012="","",IF(H1012="Yes","❌ Disc",IF(G1012="No","⚠ Missing",IF(J1012="Yes","✓ OK","⚠ Check"))))</f>
        <v/>
      </c>
      <c r="N1012" s="43" t="n">
        <v>46193</v>
      </c>
      <c r="O1012" s="26" t="inlineStr">
        <is>
          <t>Sunil CR</t>
        </is>
      </c>
      <c r="P1012" s="26" t="inlineStr">
        <is>
          <t>Yes</t>
        </is>
      </c>
      <c r="Q1012" s="26" t="inlineStr">
        <is>
          <t>No</t>
        </is>
      </c>
      <c r="R1012" s="26" t="inlineStr">
        <is>
          <t>Good finish</t>
        </is>
      </c>
      <c r="S1012" s="26" t="inlineStr">
        <is>
          <t>Yes</t>
        </is>
      </c>
      <c r="T1012" s="27" t="n"/>
      <c r="U1012" s="28" t="inlineStr">
        <is>
          <t>No</t>
        </is>
      </c>
      <c r="V1012" s="29">
        <f>IF(N1012="","",IF(Q1012="Yes","❌ Disc",IF(P1012="No","⚠ Missing",IF(S1012="Yes","✓ OK","⚠ Check"))))</f>
        <v/>
      </c>
      <c r="W1012" s="65" t="n">
        <v>46248</v>
      </c>
      <c r="X1012" s="30" t="inlineStr">
        <is>
          <t>Sunil CR</t>
        </is>
      </c>
      <c r="Y1012" s="30" t="inlineStr">
        <is>
          <t>Yes</t>
        </is>
      </c>
      <c r="Z1012" s="30" t="n"/>
      <c r="AA1012" s="30" t="inlineStr">
        <is>
          <t>Good finish</t>
        </is>
      </c>
      <c r="AB1012" s="30" t="inlineStr">
        <is>
          <t>Yes</t>
        </is>
      </c>
      <c r="AC1012" s="27" t="n"/>
      <c r="AD1012" s="31" t="inlineStr">
        <is>
          <t>No</t>
        </is>
      </c>
      <c r="AE1012" s="32">
        <f>IF(W1012="","",IF(Z1012="Yes","❌ Disc",IF(Y1012="No","⚠ Missing",IF(AB1012="Yes","✓ OK","⚠ Check"))))</f>
        <v/>
      </c>
      <c r="AF1012" s="33" t="n"/>
      <c r="AG1012" s="33" t="n"/>
      <c r="AH1012" s="33" t="n"/>
      <c r="AI1012" s="33" t="n"/>
      <c r="AJ1012" s="33" t="n"/>
      <c r="AK1012" s="33" t="n"/>
      <c r="AL1012" s="27" t="n"/>
      <c r="AM1012" s="34" t="n"/>
      <c r="AN1012" s="35">
        <f>IF(AF1012="","",IF(AI1012="Yes","❌ Disc",IF(AH1012="No","⚠ Missing",IF(AK1012="Yes","✓ OK","⚠ Check"))))</f>
        <v/>
      </c>
      <c r="AO1012" s="36" t="n"/>
      <c r="AP1012" s="36" t="n"/>
      <c r="AQ1012" s="36" t="n"/>
      <c r="AR1012" s="36" t="n"/>
      <c r="AS1012" s="36" t="n"/>
      <c r="AT1012" s="36" t="n"/>
      <c r="AU1012" s="27" t="n"/>
      <c r="AV1012" s="37" t="n"/>
      <c r="AW1012" s="38">
        <f>IF(AO1012="","",IF(AR1012="Yes","❌ Disc",IF(AQ1012="No","⚠ Missing",IF(AT1012="Yes","✓ OK","⚠ Check"))))</f>
        <v/>
      </c>
    </row>
    <row r="1013" ht="18" customHeight="1" s="46">
      <c r="A1013" s="23" t="n">
        <v>1009</v>
      </c>
      <c r="B1013" s="24" t="inlineStr">
        <is>
          <t>BD-VRM-2023-4742</t>
        </is>
      </c>
      <c r="C1013" s="25" t="inlineStr">
        <is>
          <t>Life n Colors Abstract Design Wallpaper, Green Textured Background canvas</t>
        </is>
      </c>
      <c r="D1013" s="23" t="inlineStr">
        <is>
          <t>Life n Colors</t>
        </is>
      </c>
      <c r="E1013" s="43" t="n">
        <v>46126</v>
      </c>
      <c r="F1013" s="26" t="inlineStr">
        <is>
          <t>Sunil CR</t>
        </is>
      </c>
      <c r="G1013" s="26" t="inlineStr">
        <is>
          <t>Yes</t>
        </is>
      </c>
      <c r="H1013" s="26" t="inlineStr">
        <is>
          <t>No</t>
        </is>
      </c>
      <c r="I1013" s="26" t="inlineStr">
        <is>
          <t>Good finish</t>
        </is>
      </c>
      <c r="J1013" s="26" t="inlineStr">
        <is>
          <t>Yes</t>
        </is>
      </c>
      <c r="K1013" s="27" t="n"/>
      <c r="L1013" s="28" t="inlineStr">
        <is>
          <t>No</t>
        </is>
      </c>
      <c r="M1013" s="29">
        <f>IF(E1013="","",IF(H1013="Yes","❌ Disc",IF(G1013="No","⚠ Missing",IF(J1013="Yes","✓ OK","⚠ Check"))))</f>
        <v/>
      </c>
      <c r="N1013" s="43" t="n">
        <v>46193</v>
      </c>
      <c r="O1013" s="26" t="inlineStr">
        <is>
          <t>Sunil CR</t>
        </is>
      </c>
      <c r="P1013" s="26" t="inlineStr">
        <is>
          <t>Yes</t>
        </is>
      </c>
      <c r="Q1013" s="26" t="inlineStr">
        <is>
          <t>No</t>
        </is>
      </c>
      <c r="R1013" s="26" t="inlineStr">
        <is>
          <t>Good finish</t>
        </is>
      </c>
      <c r="S1013" s="26" t="inlineStr">
        <is>
          <t>Yes</t>
        </is>
      </c>
      <c r="T1013" s="27" t="n"/>
      <c r="U1013" s="28" t="inlineStr">
        <is>
          <t>No</t>
        </is>
      </c>
      <c r="V1013" s="29">
        <f>IF(N1013="","",IF(Q1013="Yes","❌ Disc",IF(P1013="No","⚠ Missing",IF(S1013="Yes","✓ OK","⚠ Check"))))</f>
        <v/>
      </c>
      <c r="W1013" s="65" t="n">
        <v>46248</v>
      </c>
      <c r="X1013" s="30" t="inlineStr">
        <is>
          <t>Sunil CR</t>
        </is>
      </c>
      <c r="Y1013" s="30" t="inlineStr">
        <is>
          <t>Yes</t>
        </is>
      </c>
      <c r="Z1013" s="30" t="n"/>
      <c r="AA1013" s="30" t="inlineStr">
        <is>
          <t>Good finish</t>
        </is>
      </c>
      <c r="AB1013" s="30" t="inlineStr">
        <is>
          <t>Yes</t>
        </is>
      </c>
      <c r="AC1013" s="27" t="n"/>
      <c r="AD1013" s="31" t="inlineStr">
        <is>
          <t>No</t>
        </is>
      </c>
      <c r="AE1013" s="32">
        <f>IF(W1013="","",IF(Z1013="Yes","❌ Disc",IF(Y1013="No","⚠ Missing",IF(AB1013="Yes","✓ OK","⚠ Check"))))</f>
        <v/>
      </c>
      <c r="AF1013" s="33" t="n"/>
      <c r="AG1013" s="33" t="n"/>
      <c r="AH1013" s="33" t="n"/>
      <c r="AI1013" s="33" t="n"/>
      <c r="AJ1013" s="33" t="n"/>
      <c r="AK1013" s="33" t="n"/>
      <c r="AL1013" s="27" t="n"/>
      <c r="AM1013" s="34" t="n"/>
      <c r="AN1013" s="35">
        <f>IF(AF1013="","",IF(AI1013="Yes","❌ Disc",IF(AH1013="No","⚠ Missing",IF(AK1013="Yes","✓ OK","⚠ Check"))))</f>
        <v/>
      </c>
      <c r="AO1013" s="36" t="n"/>
      <c r="AP1013" s="36" t="n"/>
      <c r="AQ1013" s="36" t="n"/>
      <c r="AR1013" s="36" t="n"/>
      <c r="AS1013" s="36" t="n"/>
      <c r="AT1013" s="36" t="n"/>
      <c r="AU1013" s="27" t="n"/>
      <c r="AV1013" s="37" t="n"/>
      <c r="AW1013" s="38">
        <f>IF(AO1013="","",IF(AR1013="Yes","❌ Disc",IF(AQ1013="No","⚠ Missing",IF(AT1013="Yes","✓ OK","⚠ Check"))))</f>
        <v/>
      </c>
    </row>
    <row r="1014" ht="18" customHeight="1" s="46">
      <c r="A1014" s="39" t="n">
        <v>1010</v>
      </c>
      <c r="B1014" s="40" t="inlineStr">
        <is>
          <t>BD-VRM-2023-4741</t>
        </is>
      </c>
      <c r="C1014" s="41" t="inlineStr">
        <is>
          <t>Life n Colors Abstract Design Wallpaper, Green Textured Background soft feel</t>
        </is>
      </c>
      <c r="D1014" s="39" t="inlineStr">
        <is>
          <t>Life n Colors</t>
        </is>
      </c>
      <c r="E1014" s="43" t="n">
        <v>46126</v>
      </c>
      <c r="F1014" s="26" t="inlineStr">
        <is>
          <t>Sunil CR</t>
        </is>
      </c>
      <c r="G1014" s="26" t="inlineStr">
        <is>
          <t>Yes</t>
        </is>
      </c>
      <c r="H1014" s="26" t="inlineStr">
        <is>
          <t>No</t>
        </is>
      </c>
      <c r="I1014" s="26" t="inlineStr">
        <is>
          <t>Good finish</t>
        </is>
      </c>
      <c r="J1014" s="26" t="inlineStr">
        <is>
          <t>Yes</t>
        </is>
      </c>
      <c r="K1014" s="27" t="n"/>
      <c r="L1014" s="28" t="inlineStr">
        <is>
          <t>No</t>
        </is>
      </c>
      <c r="M1014" s="29">
        <f>IF(E1014="","",IF(H1014="Yes","❌ Disc",IF(G1014="No","⚠ Missing",IF(J1014="Yes","✓ OK","⚠ Check"))))</f>
        <v/>
      </c>
      <c r="N1014" s="43" t="n">
        <v>46193</v>
      </c>
      <c r="O1014" s="26" t="inlineStr">
        <is>
          <t>Sunil CR</t>
        </is>
      </c>
      <c r="P1014" s="26" t="inlineStr">
        <is>
          <t>Yes</t>
        </is>
      </c>
      <c r="Q1014" s="26" t="inlineStr">
        <is>
          <t>No</t>
        </is>
      </c>
      <c r="R1014" s="26" t="inlineStr">
        <is>
          <t>Good finish</t>
        </is>
      </c>
      <c r="S1014" s="26" t="inlineStr">
        <is>
          <t>Yes</t>
        </is>
      </c>
      <c r="T1014" s="27" t="n"/>
      <c r="U1014" s="28" t="inlineStr">
        <is>
          <t>No</t>
        </is>
      </c>
      <c r="V1014" s="29">
        <f>IF(N1014="","",IF(Q1014="Yes","❌ Disc",IF(P1014="No","⚠ Missing",IF(S1014="Yes","✓ OK","⚠ Check"))))</f>
        <v/>
      </c>
      <c r="W1014" s="65" t="n">
        <v>46248</v>
      </c>
      <c r="X1014" s="30" t="inlineStr">
        <is>
          <t>Sunil CR</t>
        </is>
      </c>
      <c r="Y1014" s="30" t="inlineStr">
        <is>
          <t>Yes</t>
        </is>
      </c>
      <c r="Z1014" s="30" t="n"/>
      <c r="AA1014" s="30" t="inlineStr">
        <is>
          <t>Good finish</t>
        </is>
      </c>
      <c r="AB1014" s="30" t="inlineStr">
        <is>
          <t>Yes</t>
        </is>
      </c>
      <c r="AC1014" s="27" t="n"/>
      <c r="AD1014" s="31" t="inlineStr">
        <is>
          <t>No</t>
        </is>
      </c>
      <c r="AE1014" s="32">
        <f>IF(W1014="","",IF(Z1014="Yes","❌ Disc",IF(Y1014="No","⚠ Missing",IF(AB1014="Yes","✓ OK","⚠ Check"))))</f>
        <v/>
      </c>
      <c r="AF1014" s="33" t="n"/>
      <c r="AG1014" s="33" t="n"/>
      <c r="AH1014" s="33" t="n"/>
      <c r="AI1014" s="33" t="n"/>
      <c r="AJ1014" s="33" t="n"/>
      <c r="AK1014" s="33" t="n"/>
      <c r="AL1014" s="27" t="n"/>
      <c r="AM1014" s="34" t="n"/>
      <c r="AN1014" s="35">
        <f>IF(AF1014="","",IF(AI1014="Yes","❌ Disc",IF(AH1014="No","⚠ Missing",IF(AK1014="Yes","✓ OK","⚠ Check"))))</f>
        <v/>
      </c>
      <c r="AO1014" s="36" t="n"/>
      <c r="AP1014" s="36" t="n"/>
      <c r="AQ1014" s="36" t="n"/>
      <c r="AR1014" s="36" t="n"/>
      <c r="AS1014" s="36" t="n"/>
      <c r="AT1014" s="36" t="n"/>
      <c r="AU1014" s="27" t="n"/>
      <c r="AV1014" s="37" t="n"/>
      <c r="AW1014" s="38">
        <f>IF(AO1014="","",IF(AR1014="Yes","❌ Disc",IF(AQ1014="No","⚠ Missing",IF(AT1014="Yes","✓ OK","⚠ Check"))))</f>
        <v/>
      </c>
    </row>
    <row r="1015" ht="18" customHeight="1" s="46">
      <c r="A1015" s="23" t="n">
        <v>1011</v>
      </c>
      <c r="B1015" s="24" t="inlineStr">
        <is>
          <t>WP LNCCN1189604</t>
        </is>
      </c>
      <c r="C1015" s="25" t="inlineStr">
        <is>
          <t>Life n Colors Marble Design Wallpaper for Rooms, Green and Orange (LNCCN1189604) Canvas - a texture paper</t>
        </is>
      </c>
      <c r="D1015" s="23" t="inlineStr">
        <is>
          <t>Life n Colors</t>
        </is>
      </c>
      <c r="E1015" s="43" t="n">
        <v>46126</v>
      </c>
      <c r="F1015" s="26" t="inlineStr">
        <is>
          <t>Sunil CR</t>
        </is>
      </c>
      <c r="G1015" s="26" t="inlineStr">
        <is>
          <t>Yes</t>
        </is>
      </c>
      <c r="H1015" s="26" t="inlineStr">
        <is>
          <t>No</t>
        </is>
      </c>
      <c r="I1015" s="26" t="inlineStr">
        <is>
          <t>Good finish</t>
        </is>
      </c>
      <c r="J1015" s="26" t="inlineStr">
        <is>
          <t>Yes</t>
        </is>
      </c>
      <c r="K1015" s="27" t="n"/>
      <c r="L1015" s="28" t="inlineStr">
        <is>
          <t>No</t>
        </is>
      </c>
      <c r="M1015" s="29">
        <f>IF(E1015="","",IF(H1015="Yes","❌ Disc",IF(G1015="No","⚠ Missing",IF(J1015="Yes","✓ OK","⚠ Check"))))</f>
        <v/>
      </c>
      <c r="N1015" s="43" t="n">
        <v>46193</v>
      </c>
      <c r="O1015" s="26" t="inlineStr">
        <is>
          <t>Sunil CR</t>
        </is>
      </c>
      <c r="P1015" s="26" t="inlineStr">
        <is>
          <t>Yes</t>
        </is>
      </c>
      <c r="Q1015" s="26" t="inlineStr">
        <is>
          <t>No</t>
        </is>
      </c>
      <c r="R1015" s="26" t="inlineStr">
        <is>
          <t>Good finish</t>
        </is>
      </c>
      <c r="S1015" s="26" t="inlineStr">
        <is>
          <t>Yes</t>
        </is>
      </c>
      <c r="T1015" s="27" t="n"/>
      <c r="U1015" s="28" t="inlineStr">
        <is>
          <t>No</t>
        </is>
      </c>
      <c r="V1015" s="29">
        <f>IF(N1015="","",IF(Q1015="Yes","❌ Disc",IF(P1015="No","⚠ Missing",IF(S1015="Yes","✓ OK","⚠ Check"))))</f>
        <v/>
      </c>
      <c r="W1015" s="65" t="n">
        <v>46248</v>
      </c>
      <c r="X1015" s="30" t="inlineStr">
        <is>
          <t>Sunil CR</t>
        </is>
      </c>
      <c r="Y1015" s="30" t="inlineStr">
        <is>
          <t>Yes</t>
        </is>
      </c>
      <c r="Z1015" s="30" t="n"/>
      <c r="AA1015" s="30" t="inlineStr">
        <is>
          <t>Good finish</t>
        </is>
      </c>
      <c r="AB1015" s="30" t="inlineStr">
        <is>
          <t>Yes</t>
        </is>
      </c>
      <c r="AC1015" s="27" t="n"/>
      <c r="AD1015" s="31" t="inlineStr">
        <is>
          <t>No</t>
        </is>
      </c>
      <c r="AE1015" s="32">
        <f>IF(W1015="","",IF(Z1015="Yes","❌ Disc",IF(Y1015="No","⚠ Missing",IF(AB1015="Yes","✓ OK","⚠ Check"))))</f>
        <v/>
      </c>
      <c r="AF1015" s="33" t="n"/>
      <c r="AG1015" s="33" t="n"/>
      <c r="AH1015" s="33" t="n"/>
      <c r="AI1015" s="33" t="n"/>
      <c r="AJ1015" s="33" t="n"/>
      <c r="AK1015" s="33" t="n"/>
      <c r="AL1015" s="27" t="n"/>
      <c r="AM1015" s="34" t="n"/>
      <c r="AN1015" s="35">
        <f>IF(AF1015="","",IF(AI1015="Yes","❌ Disc",IF(AH1015="No","⚠ Missing",IF(AK1015="Yes","✓ OK","⚠ Check"))))</f>
        <v/>
      </c>
      <c r="AO1015" s="36" t="n"/>
      <c r="AP1015" s="36" t="n"/>
      <c r="AQ1015" s="36" t="n"/>
      <c r="AR1015" s="36" t="n"/>
      <c r="AS1015" s="36" t="n"/>
      <c r="AT1015" s="36" t="n"/>
      <c r="AU1015" s="27" t="n"/>
      <c r="AV1015" s="37" t="n"/>
      <c r="AW1015" s="38">
        <f>IF(AO1015="","",IF(AR1015="Yes","❌ Disc",IF(AQ1015="No","⚠ Missing",IF(AT1015="Yes","✓ OK","⚠ Check"))))</f>
        <v/>
      </c>
    </row>
    <row r="1016" ht="18" customHeight="1" s="46">
      <c r="A1016" s="39" t="n">
        <v>1012</v>
      </c>
      <c r="B1016" s="40" t="inlineStr">
        <is>
          <t>BD-VRM-2025-0151</t>
        </is>
      </c>
      <c r="C1016" s="41" t="inlineStr">
        <is>
          <t>LifenColors - 3D Wooden Looks Geometric Panels for Room Walls with Canvas Paper - CN/6020</t>
        </is>
      </c>
      <c r="D1016" s="39" t="inlineStr">
        <is>
          <t>Life n Colors</t>
        </is>
      </c>
      <c r="E1016" s="43" t="n">
        <v>46126</v>
      </c>
      <c r="F1016" s="26" t="inlineStr">
        <is>
          <t>Sunil CR</t>
        </is>
      </c>
      <c r="G1016" s="26" t="inlineStr">
        <is>
          <t>Yes</t>
        </is>
      </c>
      <c r="H1016" s="26" t="inlineStr">
        <is>
          <t>No</t>
        </is>
      </c>
      <c r="I1016" s="26" t="inlineStr">
        <is>
          <t>Good finish</t>
        </is>
      </c>
      <c r="J1016" s="26" t="inlineStr">
        <is>
          <t>Yes</t>
        </is>
      </c>
      <c r="K1016" s="27" t="n"/>
      <c r="L1016" s="28" t="inlineStr">
        <is>
          <t>No</t>
        </is>
      </c>
      <c r="M1016" s="29">
        <f>IF(E1016="","",IF(H1016="Yes","❌ Disc",IF(G1016="No","⚠ Missing",IF(J1016="Yes","✓ OK","⚠ Check"))))</f>
        <v/>
      </c>
      <c r="N1016" s="43" t="n">
        <v>46193</v>
      </c>
      <c r="O1016" s="26" t="inlineStr">
        <is>
          <t>Sunil CR</t>
        </is>
      </c>
      <c r="P1016" s="26" t="inlineStr">
        <is>
          <t>Yes</t>
        </is>
      </c>
      <c r="Q1016" s="26" t="inlineStr">
        <is>
          <t>No</t>
        </is>
      </c>
      <c r="R1016" s="26" t="inlineStr">
        <is>
          <t>Good finish</t>
        </is>
      </c>
      <c r="S1016" s="26" t="inlineStr">
        <is>
          <t>Yes</t>
        </is>
      </c>
      <c r="T1016" s="27" t="n"/>
      <c r="U1016" s="28" t="inlineStr">
        <is>
          <t>No</t>
        </is>
      </c>
      <c r="V1016" s="29">
        <f>IF(N1016="","",IF(Q1016="Yes","❌ Disc",IF(P1016="No","⚠ Missing",IF(S1016="Yes","✓ OK","⚠ Check"))))</f>
        <v/>
      </c>
      <c r="W1016" s="65" t="n">
        <v>46248</v>
      </c>
      <c r="X1016" s="30" t="inlineStr">
        <is>
          <t>Sunil CR</t>
        </is>
      </c>
      <c r="Y1016" s="30" t="inlineStr">
        <is>
          <t>Yes</t>
        </is>
      </c>
      <c r="Z1016" s="30" t="n"/>
      <c r="AA1016" s="30" t="inlineStr">
        <is>
          <t>Good finish</t>
        </is>
      </c>
      <c r="AB1016" s="30" t="inlineStr">
        <is>
          <t>Yes</t>
        </is>
      </c>
      <c r="AC1016" s="27" t="n"/>
      <c r="AD1016" s="31" t="inlineStr">
        <is>
          <t>No</t>
        </is>
      </c>
      <c r="AE1016" s="32">
        <f>IF(W1016="","",IF(Z1016="Yes","❌ Disc",IF(Y1016="No","⚠ Missing",IF(AB1016="Yes","✓ OK","⚠ Check"))))</f>
        <v/>
      </c>
      <c r="AF1016" s="33" t="n"/>
      <c r="AG1016" s="33" t="n"/>
      <c r="AH1016" s="33" t="n"/>
      <c r="AI1016" s="33" t="n"/>
      <c r="AJ1016" s="33" t="n"/>
      <c r="AK1016" s="33" t="n"/>
      <c r="AL1016" s="27" t="n"/>
      <c r="AM1016" s="34" t="n"/>
      <c r="AN1016" s="35">
        <f>IF(AF1016="","",IF(AI1016="Yes","❌ Disc",IF(AH1016="No","⚠ Missing",IF(AK1016="Yes","✓ OK","⚠ Check"))))</f>
        <v/>
      </c>
      <c r="AO1016" s="36" t="n"/>
      <c r="AP1016" s="36" t="n"/>
      <c r="AQ1016" s="36" t="n"/>
      <c r="AR1016" s="36" t="n"/>
      <c r="AS1016" s="36" t="n"/>
      <c r="AT1016" s="36" t="n"/>
      <c r="AU1016" s="27" t="n"/>
      <c r="AV1016" s="37" t="n"/>
      <c r="AW1016" s="38">
        <f>IF(AO1016="","",IF(AR1016="Yes","❌ Disc",IF(AQ1016="No","⚠ Missing",IF(AT1016="Yes","✓ OK","⚠ Check"))))</f>
        <v/>
      </c>
    </row>
    <row r="1017" ht="18" customHeight="1" s="46">
      <c r="A1017" s="23" t="n">
        <v>1013</v>
      </c>
      <c r="B1017" s="24" t="inlineStr">
        <is>
          <t>BD-VRM-2025-0196</t>
        </is>
      </c>
      <c r="C1017" s="25" t="inlineStr">
        <is>
          <t>LifenColors - Abstract Echoes Repeat pattern with Soft Feel Paper - SF/7039</t>
        </is>
      </c>
      <c r="D1017" s="23" t="inlineStr">
        <is>
          <t>Life n Colors</t>
        </is>
      </c>
      <c r="E1017" s="43" t="n">
        <v>46126</v>
      </c>
      <c r="F1017" s="26" t="inlineStr">
        <is>
          <t>Sunil CR</t>
        </is>
      </c>
      <c r="G1017" s="26" t="inlineStr">
        <is>
          <t>Yes</t>
        </is>
      </c>
      <c r="H1017" s="26" t="inlineStr">
        <is>
          <t>No</t>
        </is>
      </c>
      <c r="I1017" s="26" t="inlineStr">
        <is>
          <t>Good finish</t>
        </is>
      </c>
      <c r="J1017" s="26" t="inlineStr">
        <is>
          <t>Yes</t>
        </is>
      </c>
      <c r="K1017" s="27" t="n"/>
      <c r="L1017" s="28" t="inlineStr">
        <is>
          <t>No</t>
        </is>
      </c>
      <c r="M1017" s="29">
        <f>IF(E1017="","",IF(H1017="Yes","❌ Disc",IF(G1017="No","⚠ Missing",IF(J1017="Yes","✓ OK","⚠ Check"))))</f>
        <v/>
      </c>
      <c r="N1017" s="43" t="n">
        <v>46193</v>
      </c>
      <c r="O1017" s="26" t="inlineStr">
        <is>
          <t>Sunil CR</t>
        </is>
      </c>
      <c r="P1017" s="26" t="inlineStr">
        <is>
          <t>Yes</t>
        </is>
      </c>
      <c r="Q1017" s="26" t="inlineStr">
        <is>
          <t>No</t>
        </is>
      </c>
      <c r="R1017" s="26" t="inlineStr">
        <is>
          <t>Good finish</t>
        </is>
      </c>
      <c r="S1017" s="26" t="inlineStr">
        <is>
          <t>Yes</t>
        </is>
      </c>
      <c r="T1017" s="27" t="n"/>
      <c r="U1017" s="28" t="inlineStr">
        <is>
          <t>No</t>
        </is>
      </c>
      <c r="V1017" s="29">
        <f>IF(N1017="","",IF(Q1017="Yes","❌ Disc",IF(P1017="No","⚠ Missing",IF(S1017="Yes","✓ OK","⚠ Check"))))</f>
        <v/>
      </c>
      <c r="W1017" s="65" t="n">
        <v>46248</v>
      </c>
      <c r="X1017" s="30" t="inlineStr">
        <is>
          <t>Sunil CR</t>
        </is>
      </c>
      <c r="Y1017" s="30" t="inlineStr">
        <is>
          <t>Yes</t>
        </is>
      </c>
      <c r="Z1017" s="30" t="n"/>
      <c r="AA1017" s="30" t="inlineStr">
        <is>
          <t>Good finish</t>
        </is>
      </c>
      <c r="AB1017" s="30" t="inlineStr">
        <is>
          <t>Yes</t>
        </is>
      </c>
      <c r="AC1017" s="27" t="n"/>
      <c r="AD1017" s="31" t="inlineStr">
        <is>
          <t>No</t>
        </is>
      </c>
      <c r="AE1017" s="32">
        <f>IF(W1017="","",IF(Z1017="Yes","❌ Disc",IF(Y1017="No","⚠ Missing",IF(AB1017="Yes","✓ OK","⚠ Check"))))</f>
        <v/>
      </c>
      <c r="AF1017" s="33" t="n"/>
      <c r="AG1017" s="33" t="n"/>
      <c r="AH1017" s="33" t="n"/>
      <c r="AI1017" s="33" t="n"/>
      <c r="AJ1017" s="33" t="n"/>
      <c r="AK1017" s="33" t="n"/>
      <c r="AL1017" s="27" t="n"/>
      <c r="AM1017" s="34" t="n"/>
      <c r="AN1017" s="35">
        <f>IF(AF1017="","",IF(AI1017="Yes","❌ Disc",IF(AH1017="No","⚠ Missing",IF(AK1017="Yes","✓ OK","⚠ Check"))))</f>
        <v/>
      </c>
      <c r="AO1017" s="36" t="n"/>
      <c r="AP1017" s="36" t="n"/>
      <c r="AQ1017" s="36" t="n"/>
      <c r="AR1017" s="36" t="n"/>
      <c r="AS1017" s="36" t="n"/>
      <c r="AT1017" s="36" t="n"/>
      <c r="AU1017" s="27" t="n"/>
      <c r="AV1017" s="37" t="n"/>
      <c r="AW1017" s="38">
        <f>IF(AO1017="","",IF(AR1017="Yes","❌ Disc",IF(AQ1017="No","⚠ Missing",IF(AT1017="Yes","✓ OK","⚠ Check"))))</f>
        <v/>
      </c>
    </row>
    <row r="1018" ht="18" customHeight="1" s="46">
      <c r="A1018" s="39" t="n">
        <v>1014</v>
      </c>
      <c r="B1018" s="40" t="inlineStr">
        <is>
          <t>BD-VRM-2025-0146</t>
        </is>
      </c>
      <c r="C1018" s="41" t="inlineStr">
        <is>
          <t>LifenColors - Abstract Nature Bloom with Canvas Paper - CN/6013</t>
        </is>
      </c>
      <c r="D1018" s="39" t="inlineStr">
        <is>
          <t>Life n Colors</t>
        </is>
      </c>
      <c r="E1018" s="43" t="n">
        <v>46126</v>
      </c>
      <c r="F1018" s="26" t="inlineStr">
        <is>
          <t>Sunil CR</t>
        </is>
      </c>
      <c r="G1018" s="26" t="inlineStr">
        <is>
          <t>Yes</t>
        </is>
      </c>
      <c r="H1018" s="26" t="inlineStr">
        <is>
          <t>No</t>
        </is>
      </c>
      <c r="I1018" s="26" t="inlineStr">
        <is>
          <t>Good finish</t>
        </is>
      </c>
      <c r="J1018" s="26" t="inlineStr">
        <is>
          <t>Yes</t>
        </is>
      </c>
      <c r="K1018" s="27" t="n"/>
      <c r="L1018" s="28" t="inlineStr">
        <is>
          <t>No</t>
        </is>
      </c>
      <c r="M1018" s="29">
        <f>IF(E1018="","",IF(H1018="Yes","❌ Disc",IF(G1018="No","⚠ Missing",IF(J1018="Yes","✓ OK","⚠ Check"))))</f>
        <v/>
      </c>
      <c r="N1018" s="43" t="n">
        <v>46193</v>
      </c>
      <c r="O1018" s="26" t="inlineStr">
        <is>
          <t>Sunil CR</t>
        </is>
      </c>
      <c r="P1018" s="26" t="inlineStr">
        <is>
          <t>Yes</t>
        </is>
      </c>
      <c r="Q1018" s="26" t="inlineStr">
        <is>
          <t>No</t>
        </is>
      </c>
      <c r="R1018" s="26" t="inlineStr">
        <is>
          <t>Good finish</t>
        </is>
      </c>
      <c r="S1018" s="26" t="inlineStr">
        <is>
          <t>Yes</t>
        </is>
      </c>
      <c r="T1018" s="27" t="n"/>
      <c r="U1018" s="28" t="inlineStr">
        <is>
          <t>No</t>
        </is>
      </c>
      <c r="V1018" s="29">
        <f>IF(N1018="","",IF(Q1018="Yes","❌ Disc",IF(P1018="No","⚠ Missing",IF(S1018="Yes","✓ OK","⚠ Check"))))</f>
        <v/>
      </c>
      <c r="W1018" s="65" t="n">
        <v>46248</v>
      </c>
      <c r="X1018" s="30" t="inlineStr">
        <is>
          <t>Sunil CR</t>
        </is>
      </c>
      <c r="Y1018" s="30" t="inlineStr">
        <is>
          <t>Yes</t>
        </is>
      </c>
      <c r="Z1018" s="30" t="n"/>
      <c r="AA1018" s="30" t="inlineStr">
        <is>
          <t>Good finish</t>
        </is>
      </c>
      <c r="AB1018" s="30" t="inlineStr">
        <is>
          <t>Yes</t>
        </is>
      </c>
      <c r="AC1018" s="27" t="n"/>
      <c r="AD1018" s="31" t="inlineStr">
        <is>
          <t>No</t>
        </is>
      </c>
      <c r="AE1018" s="32">
        <f>IF(W1018="","",IF(Z1018="Yes","❌ Disc",IF(Y1018="No","⚠ Missing",IF(AB1018="Yes","✓ OK","⚠ Check"))))</f>
        <v/>
      </c>
      <c r="AF1018" s="33" t="n"/>
      <c r="AG1018" s="33" t="n"/>
      <c r="AH1018" s="33" t="n"/>
      <c r="AI1018" s="33" t="n"/>
      <c r="AJ1018" s="33" t="n"/>
      <c r="AK1018" s="33" t="n"/>
      <c r="AL1018" s="27" t="n"/>
      <c r="AM1018" s="34" t="n"/>
      <c r="AN1018" s="35">
        <f>IF(AF1018="","",IF(AI1018="Yes","❌ Disc",IF(AH1018="No","⚠ Missing",IF(AK1018="Yes","✓ OK","⚠ Check"))))</f>
        <v/>
      </c>
      <c r="AO1018" s="36" t="n"/>
      <c r="AP1018" s="36" t="n"/>
      <c r="AQ1018" s="36" t="n"/>
      <c r="AR1018" s="36" t="n"/>
      <c r="AS1018" s="36" t="n"/>
      <c r="AT1018" s="36" t="n"/>
      <c r="AU1018" s="27" t="n"/>
      <c r="AV1018" s="37" t="n"/>
      <c r="AW1018" s="38">
        <f>IF(AO1018="","",IF(AR1018="Yes","❌ Disc",IF(AQ1018="No","⚠ Missing",IF(AT1018="Yes","✓ OK","⚠ Check"))))</f>
        <v/>
      </c>
    </row>
    <row r="1019" ht="18" customHeight="1" s="46">
      <c r="A1019" s="23" t="n">
        <v>1015</v>
      </c>
      <c r="B1019" s="24" t="inlineStr">
        <is>
          <t>BD-VRM-2025-0161</t>
        </is>
      </c>
      <c r="C1019" s="25" t="inlineStr">
        <is>
          <t>LifenColors - Abstract Stripe geometrical repeat pattern with Canvas Paper - CN/6035</t>
        </is>
      </c>
      <c r="D1019" s="23" t="inlineStr">
        <is>
          <t>Life n Colors</t>
        </is>
      </c>
      <c r="E1019" s="43" t="n">
        <v>46126</v>
      </c>
      <c r="F1019" s="26" t="inlineStr">
        <is>
          <t>Sunil CR</t>
        </is>
      </c>
      <c r="G1019" s="26" t="inlineStr">
        <is>
          <t>Yes</t>
        </is>
      </c>
      <c r="H1019" s="26" t="inlineStr">
        <is>
          <t>No</t>
        </is>
      </c>
      <c r="I1019" s="26" t="inlineStr">
        <is>
          <t>Good finish</t>
        </is>
      </c>
      <c r="J1019" s="26" t="inlineStr">
        <is>
          <t>Yes</t>
        </is>
      </c>
      <c r="K1019" s="27" t="n"/>
      <c r="L1019" s="28" t="inlineStr">
        <is>
          <t>No</t>
        </is>
      </c>
      <c r="M1019" s="29">
        <f>IF(E1019="","",IF(H1019="Yes","❌ Disc",IF(G1019="No","⚠ Missing",IF(J1019="Yes","✓ OK","⚠ Check"))))</f>
        <v/>
      </c>
      <c r="N1019" s="43" t="n">
        <v>46193</v>
      </c>
      <c r="O1019" s="26" t="inlineStr">
        <is>
          <t>Sunil CR</t>
        </is>
      </c>
      <c r="P1019" s="26" t="inlineStr">
        <is>
          <t>Yes</t>
        </is>
      </c>
      <c r="Q1019" s="26" t="inlineStr">
        <is>
          <t>No</t>
        </is>
      </c>
      <c r="R1019" s="26" t="inlineStr">
        <is>
          <t>Good finish</t>
        </is>
      </c>
      <c r="S1019" s="26" t="inlineStr">
        <is>
          <t>Yes</t>
        </is>
      </c>
      <c r="T1019" s="27" t="n"/>
      <c r="U1019" s="28" t="inlineStr">
        <is>
          <t>No</t>
        </is>
      </c>
      <c r="V1019" s="29">
        <f>IF(N1019="","",IF(Q1019="Yes","❌ Disc",IF(P1019="No","⚠ Missing",IF(S1019="Yes","✓ OK","⚠ Check"))))</f>
        <v/>
      </c>
      <c r="W1019" s="65" t="n">
        <v>46248</v>
      </c>
      <c r="X1019" s="30" t="inlineStr">
        <is>
          <t>Sunil CR</t>
        </is>
      </c>
      <c r="Y1019" s="30" t="inlineStr">
        <is>
          <t>Yes</t>
        </is>
      </c>
      <c r="Z1019" s="30" t="n"/>
      <c r="AA1019" s="30" t="inlineStr">
        <is>
          <t>Good finish</t>
        </is>
      </c>
      <c r="AB1019" s="30" t="inlineStr">
        <is>
          <t>Yes</t>
        </is>
      </c>
      <c r="AC1019" s="27" t="n"/>
      <c r="AD1019" s="31" t="inlineStr">
        <is>
          <t>No</t>
        </is>
      </c>
      <c r="AE1019" s="32">
        <f>IF(W1019="","",IF(Z1019="Yes","❌ Disc",IF(Y1019="No","⚠ Missing",IF(AB1019="Yes","✓ OK","⚠ Check"))))</f>
        <v/>
      </c>
      <c r="AF1019" s="33" t="n"/>
      <c r="AG1019" s="33" t="n"/>
      <c r="AH1019" s="33" t="n"/>
      <c r="AI1019" s="33" t="n"/>
      <c r="AJ1019" s="33" t="n"/>
      <c r="AK1019" s="33" t="n"/>
      <c r="AL1019" s="27" t="n"/>
      <c r="AM1019" s="34" t="n"/>
      <c r="AN1019" s="35">
        <f>IF(AF1019="","",IF(AI1019="Yes","❌ Disc",IF(AH1019="No","⚠ Missing",IF(AK1019="Yes","✓ OK","⚠ Check"))))</f>
        <v/>
      </c>
      <c r="AO1019" s="36" t="n"/>
      <c r="AP1019" s="36" t="n"/>
      <c r="AQ1019" s="36" t="n"/>
      <c r="AR1019" s="36" t="n"/>
      <c r="AS1019" s="36" t="n"/>
      <c r="AT1019" s="36" t="n"/>
      <c r="AU1019" s="27" t="n"/>
      <c r="AV1019" s="37" t="n"/>
      <c r="AW1019" s="38">
        <f>IF(AO1019="","",IF(AR1019="Yes","❌ Disc",IF(AQ1019="No","⚠ Missing",IF(AT1019="Yes","✓ OK","⚠ Check"))))</f>
        <v/>
      </c>
    </row>
    <row r="1020" ht="18" customHeight="1" s="46">
      <c r="A1020" s="39" t="n">
        <v>1016</v>
      </c>
      <c r="B1020" s="40" t="inlineStr">
        <is>
          <t>BD-VRM-2025-0171</t>
        </is>
      </c>
      <c r="C1020" s="41" t="inlineStr">
        <is>
          <t>LifenColors - Adorable Astronauts Wall Mural - Kids Bedrooms, Blue with Soft Feel Paper - SF/7008</t>
        </is>
      </c>
      <c r="D1020" s="39" t="inlineStr">
        <is>
          <t>Life n Colors</t>
        </is>
      </c>
      <c r="E1020" s="43" t="n">
        <v>46126</v>
      </c>
      <c r="F1020" s="26" t="inlineStr">
        <is>
          <t>Sunil CR</t>
        </is>
      </c>
      <c r="G1020" s="26" t="inlineStr">
        <is>
          <t>Yes</t>
        </is>
      </c>
      <c r="H1020" s="26" t="inlineStr">
        <is>
          <t>No</t>
        </is>
      </c>
      <c r="I1020" s="26" t="inlineStr">
        <is>
          <t>Good finish</t>
        </is>
      </c>
      <c r="J1020" s="26" t="inlineStr">
        <is>
          <t>Yes</t>
        </is>
      </c>
      <c r="K1020" s="27" t="n"/>
      <c r="L1020" s="28" t="inlineStr">
        <is>
          <t>No</t>
        </is>
      </c>
      <c r="M1020" s="29">
        <f>IF(E1020="","",IF(H1020="Yes","❌ Disc",IF(G1020="No","⚠ Missing",IF(J1020="Yes","✓ OK","⚠ Check"))))</f>
        <v/>
      </c>
      <c r="N1020" s="43" t="n">
        <v>46193</v>
      </c>
      <c r="O1020" s="26" t="inlineStr">
        <is>
          <t>Sunil CR</t>
        </is>
      </c>
      <c r="P1020" s="26" t="inlineStr">
        <is>
          <t>Yes</t>
        </is>
      </c>
      <c r="Q1020" s="26" t="inlineStr">
        <is>
          <t>No</t>
        </is>
      </c>
      <c r="R1020" s="26" t="inlineStr">
        <is>
          <t>Good finish</t>
        </is>
      </c>
      <c r="S1020" s="26" t="inlineStr">
        <is>
          <t>Yes</t>
        </is>
      </c>
      <c r="T1020" s="27" t="n"/>
      <c r="U1020" s="28" t="inlineStr">
        <is>
          <t>No</t>
        </is>
      </c>
      <c r="V1020" s="29">
        <f>IF(N1020="","",IF(Q1020="Yes","❌ Disc",IF(P1020="No","⚠ Missing",IF(S1020="Yes","✓ OK","⚠ Check"))))</f>
        <v/>
      </c>
      <c r="W1020" s="65" t="n">
        <v>46248</v>
      </c>
      <c r="X1020" s="30" t="inlineStr">
        <is>
          <t>Sunil CR</t>
        </is>
      </c>
      <c r="Y1020" s="30" t="inlineStr">
        <is>
          <t>Yes</t>
        </is>
      </c>
      <c r="Z1020" s="30" t="n"/>
      <c r="AA1020" s="30" t="inlineStr">
        <is>
          <t>Good finish</t>
        </is>
      </c>
      <c r="AB1020" s="30" t="inlineStr">
        <is>
          <t>Yes</t>
        </is>
      </c>
      <c r="AC1020" s="27" t="n"/>
      <c r="AD1020" s="31" t="inlineStr">
        <is>
          <t>No</t>
        </is>
      </c>
      <c r="AE1020" s="32">
        <f>IF(W1020="","",IF(Z1020="Yes","❌ Disc",IF(Y1020="No","⚠ Missing",IF(AB1020="Yes","✓ OK","⚠ Check"))))</f>
        <v/>
      </c>
      <c r="AF1020" s="33" t="n"/>
      <c r="AG1020" s="33" t="n"/>
      <c r="AH1020" s="33" t="n"/>
      <c r="AI1020" s="33" t="n"/>
      <c r="AJ1020" s="33" t="n"/>
      <c r="AK1020" s="33" t="n"/>
      <c r="AL1020" s="27" t="n"/>
      <c r="AM1020" s="34" t="n"/>
      <c r="AN1020" s="35">
        <f>IF(AF1020="","",IF(AI1020="Yes","❌ Disc",IF(AH1020="No","⚠ Missing",IF(AK1020="Yes","✓ OK","⚠ Check"))))</f>
        <v/>
      </c>
      <c r="AO1020" s="36" t="n"/>
      <c r="AP1020" s="36" t="n"/>
      <c r="AQ1020" s="36" t="n"/>
      <c r="AR1020" s="36" t="n"/>
      <c r="AS1020" s="36" t="n"/>
      <c r="AT1020" s="36" t="n"/>
      <c r="AU1020" s="27" t="n"/>
      <c r="AV1020" s="37" t="n"/>
      <c r="AW1020" s="38">
        <f>IF(AO1020="","",IF(AR1020="Yes","❌ Disc",IF(AQ1020="No","⚠ Missing",IF(AT1020="Yes","✓ OK","⚠ Check"))))</f>
        <v/>
      </c>
    </row>
    <row r="1021" ht="18" customHeight="1" s="46">
      <c r="A1021" s="23" t="n">
        <v>1017</v>
      </c>
      <c r="B1021" s="24" t="inlineStr">
        <is>
          <t>BD-VRM-2025-0184</t>
        </is>
      </c>
      <c r="C1021" s="25" t="inlineStr">
        <is>
          <t>LifenColors - Adorable Bunnies and Elephants, Nursery Room colorful Wallpaper with Soft Feel Paper - SF/7027</t>
        </is>
      </c>
      <c r="D1021" s="23" t="inlineStr">
        <is>
          <t>Life n Colors</t>
        </is>
      </c>
      <c r="E1021" s="43" t="n">
        <v>46126</v>
      </c>
      <c r="F1021" s="26" t="inlineStr">
        <is>
          <t>Sunil CR</t>
        </is>
      </c>
      <c r="G1021" s="26" t="inlineStr">
        <is>
          <t>Yes</t>
        </is>
      </c>
      <c r="H1021" s="26" t="inlineStr">
        <is>
          <t>No</t>
        </is>
      </c>
      <c r="I1021" s="26" t="inlineStr">
        <is>
          <t>Good finish</t>
        </is>
      </c>
      <c r="J1021" s="26" t="inlineStr">
        <is>
          <t>Yes</t>
        </is>
      </c>
      <c r="K1021" s="27" t="n"/>
      <c r="L1021" s="28" t="inlineStr">
        <is>
          <t>No</t>
        </is>
      </c>
      <c r="M1021" s="29">
        <f>IF(E1021="","",IF(H1021="Yes","❌ Disc",IF(G1021="No","⚠ Missing",IF(J1021="Yes","✓ OK","⚠ Check"))))</f>
        <v/>
      </c>
      <c r="N1021" s="43" t="n">
        <v>46193</v>
      </c>
      <c r="O1021" s="26" t="inlineStr">
        <is>
          <t>Sunil CR</t>
        </is>
      </c>
      <c r="P1021" s="26" t="inlineStr">
        <is>
          <t>Yes</t>
        </is>
      </c>
      <c r="Q1021" s="26" t="inlineStr">
        <is>
          <t>No</t>
        </is>
      </c>
      <c r="R1021" s="26" t="inlineStr">
        <is>
          <t>Good finish</t>
        </is>
      </c>
      <c r="S1021" s="26" t="inlineStr">
        <is>
          <t>Yes</t>
        </is>
      </c>
      <c r="T1021" s="27" t="n"/>
      <c r="U1021" s="28" t="inlineStr">
        <is>
          <t>No</t>
        </is>
      </c>
      <c r="V1021" s="29">
        <f>IF(N1021="","",IF(Q1021="Yes","❌ Disc",IF(P1021="No","⚠ Missing",IF(S1021="Yes","✓ OK","⚠ Check"))))</f>
        <v/>
      </c>
      <c r="W1021" s="65" t="n">
        <v>46248</v>
      </c>
      <c r="X1021" s="30" t="inlineStr">
        <is>
          <t>Sunil CR</t>
        </is>
      </c>
      <c r="Y1021" s="30" t="inlineStr">
        <is>
          <t>Yes</t>
        </is>
      </c>
      <c r="Z1021" s="30" t="n"/>
      <c r="AA1021" s="30" t="inlineStr">
        <is>
          <t>Good finish</t>
        </is>
      </c>
      <c r="AB1021" s="30" t="inlineStr">
        <is>
          <t>Yes</t>
        </is>
      </c>
      <c r="AC1021" s="27" t="n"/>
      <c r="AD1021" s="31" t="inlineStr">
        <is>
          <t>No</t>
        </is>
      </c>
      <c r="AE1021" s="32">
        <f>IF(W1021="","",IF(Z1021="Yes","❌ Disc",IF(Y1021="No","⚠ Missing",IF(AB1021="Yes","✓ OK","⚠ Check"))))</f>
        <v/>
      </c>
      <c r="AF1021" s="33" t="n"/>
      <c r="AG1021" s="33" t="n"/>
      <c r="AH1021" s="33" t="n"/>
      <c r="AI1021" s="33" t="n"/>
      <c r="AJ1021" s="33" t="n"/>
      <c r="AK1021" s="33" t="n"/>
      <c r="AL1021" s="27" t="n"/>
      <c r="AM1021" s="34" t="n"/>
      <c r="AN1021" s="35">
        <f>IF(AF1021="","",IF(AI1021="Yes","❌ Disc",IF(AH1021="No","⚠ Missing",IF(AK1021="Yes","✓ OK","⚠ Check"))))</f>
        <v/>
      </c>
      <c r="AO1021" s="36" t="n"/>
      <c r="AP1021" s="36" t="n"/>
      <c r="AQ1021" s="36" t="n"/>
      <c r="AR1021" s="36" t="n"/>
      <c r="AS1021" s="36" t="n"/>
      <c r="AT1021" s="36" t="n"/>
      <c r="AU1021" s="27" t="n"/>
      <c r="AV1021" s="37" t="n"/>
      <c r="AW1021" s="38">
        <f>IF(AO1021="","",IF(AR1021="Yes","❌ Disc",IF(AQ1021="No","⚠ Missing",IF(AT1021="Yes","✓ OK","⚠ Check"))))</f>
        <v/>
      </c>
    </row>
    <row r="1022" ht="18" customHeight="1" s="46">
      <c r="A1022" s="39" t="n">
        <v>1018</v>
      </c>
      <c r="B1022" s="40" t="inlineStr">
        <is>
          <t>BD-VRM-2025-0181</t>
        </is>
      </c>
      <c r="C1022" s="41" t="inlineStr">
        <is>
          <t>LifenColors - Animals Going on Picnic, Kids Room Wallpaper with white background with Soft Feel Paper - SF/7024</t>
        </is>
      </c>
      <c r="D1022" s="39" t="inlineStr">
        <is>
          <t>Life n Colors</t>
        </is>
      </c>
      <c r="E1022" s="43" t="n">
        <v>46126</v>
      </c>
      <c r="F1022" s="26" t="inlineStr">
        <is>
          <t>Sunil CR</t>
        </is>
      </c>
      <c r="G1022" s="26" t="inlineStr">
        <is>
          <t>Yes</t>
        </is>
      </c>
      <c r="H1022" s="26" t="inlineStr">
        <is>
          <t>No</t>
        </is>
      </c>
      <c r="I1022" s="26" t="inlineStr">
        <is>
          <t>Good finish</t>
        </is>
      </c>
      <c r="J1022" s="26" t="inlineStr">
        <is>
          <t>Yes</t>
        </is>
      </c>
      <c r="K1022" s="27" t="n"/>
      <c r="L1022" s="28" t="inlineStr">
        <is>
          <t>No</t>
        </is>
      </c>
      <c r="M1022" s="29">
        <f>IF(E1022="","",IF(H1022="Yes","❌ Disc",IF(G1022="No","⚠ Missing",IF(J1022="Yes","✓ OK","⚠ Check"))))</f>
        <v/>
      </c>
      <c r="N1022" s="43" t="n">
        <v>46193</v>
      </c>
      <c r="O1022" s="26" t="inlineStr">
        <is>
          <t>Sunil CR</t>
        </is>
      </c>
      <c r="P1022" s="26" t="inlineStr">
        <is>
          <t>Yes</t>
        </is>
      </c>
      <c r="Q1022" s="26" t="inlineStr">
        <is>
          <t>No</t>
        </is>
      </c>
      <c r="R1022" s="26" t="inlineStr">
        <is>
          <t>Good finish</t>
        </is>
      </c>
      <c r="S1022" s="26" t="inlineStr">
        <is>
          <t>Yes</t>
        </is>
      </c>
      <c r="T1022" s="27" t="n"/>
      <c r="U1022" s="28" t="inlineStr">
        <is>
          <t>No</t>
        </is>
      </c>
      <c r="V1022" s="29">
        <f>IF(N1022="","",IF(Q1022="Yes","❌ Disc",IF(P1022="No","⚠ Missing",IF(S1022="Yes","✓ OK","⚠ Check"))))</f>
        <v/>
      </c>
      <c r="W1022" s="65" t="n">
        <v>46248</v>
      </c>
      <c r="X1022" s="30" t="inlineStr">
        <is>
          <t>Sunil CR</t>
        </is>
      </c>
      <c r="Y1022" s="30" t="inlineStr">
        <is>
          <t>Yes</t>
        </is>
      </c>
      <c r="Z1022" s="30" t="n"/>
      <c r="AA1022" s="30" t="inlineStr">
        <is>
          <t>Good finish</t>
        </is>
      </c>
      <c r="AB1022" s="30" t="inlineStr">
        <is>
          <t>Yes</t>
        </is>
      </c>
      <c r="AC1022" s="27" t="n"/>
      <c r="AD1022" s="31" t="inlineStr">
        <is>
          <t>No</t>
        </is>
      </c>
      <c r="AE1022" s="32">
        <f>IF(W1022="","",IF(Z1022="Yes","❌ Disc",IF(Y1022="No","⚠ Missing",IF(AB1022="Yes","✓ OK","⚠ Check"))))</f>
        <v/>
      </c>
      <c r="AF1022" s="33" t="n"/>
      <c r="AG1022" s="33" t="n"/>
      <c r="AH1022" s="33" t="n"/>
      <c r="AI1022" s="33" t="n"/>
      <c r="AJ1022" s="33" t="n"/>
      <c r="AK1022" s="33" t="n"/>
      <c r="AL1022" s="27" t="n"/>
      <c r="AM1022" s="34" t="n"/>
      <c r="AN1022" s="35">
        <f>IF(AF1022="","",IF(AI1022="Yes","❌ Disc",IF(AH1022="No","⚠ Missing",IF(AK1022="Yes","✓ OK","⚠ Check"))))</f>
        <v/>
      </c>
      <c r="AO1022" s="36" t="n"/>
      <c r="AP1022" s="36" t="n"/>
      <c r="AQ1022" s="36" t="n"/>
      <c r="AR1022" s="36" t="n"/>
      <c r="AS1022" s="36" t="n"/>
      <c r="AT1022" s="36" t="n"/>
      <c r="AU1022" s="27" t="n"/>
      <c r="AV1022" s="37" t="n"/>
      <c r="AW1022" s="38">
        <f>IF(AO1022="","",IF(AR1022="Yes","❌ Disc",IF(AQ1022="No","⚠ Missing",IF(AT1022="Yes","✓ OK","⚠ Check"))))</f>
        <v/>
      </c>
    </row>
    <row r="1023" ht="18" customHeight="1" s="46">
      <c r="A1023" s="23" t="n">
        <v>1019</v>
      </c>
      <c r="B1023" s="24" t="inlineStr">
        <is>
          <t>BD-VRM-2025-0153</t>
        </is>
      </c>
      <c r="C1023" s="25" t="inlineStr">
        <is>
          <t>LifenColors - Animals on Vacation, Wallpaper Design For Kids Room with Canvas Paper - CN/6022</t>
        </is>
      </c>
      <c r="D1023" s="23" t="inlineStr">
        <is>
          <t>Life n Colors</t>
        </is>
      </c>
      <c r="E1023" s="43" t="n">
        <v>46126</v>
      </c>
      <c r="F1023" s="26" t="inlineStr">
        <is>
          <t>Sunil CR</t>
        </is>
      </c>
      <c r="G1023" s="26" t="inlineStr">
        <is>
          <t>Yes</t>
        </is>
      </c>
      <c r="H1023" s="26" t="inlineStr">
        <is>
          <t>No</t>
        </is>
      </c>
      <c r="I1023" s="26" t="inlineStr">
        <is>
          <t>Good finish</t>
        </is>
      </c>
      <c r="J1023" s="26" t="inlineStr">
        <is>
          <t>Yes</t>
        </is>
      </c>
      <c r="K1023" s="27" t="n"/>
      <c r="L1023" s="28" t="inlineStr">
        <is>
          <t>No</t>
        </is>
      </c>
      <c r="M1023" s="29">
        <f>IF(E1023="","",IF(H1023="Yes","❌ Disc",IF(G1023="No","⚠ Missing",IF(J1023="Yes","✓ OK","⚠ Check"))))</f>
        <v/>
      </c>
      <c r="N1023" s="43" t="n">
        <v>46193</v>
      </c>
      <c r="O1023" s="26" t="inlineStr">
        <is>
          <t>Sunil CR</t>
        </is>
      </c>
      <c r="P1023" s="26" t="inlineStr">
        <is>
          <t>Yes</t>
        </is>
      </c>
      <c r="Q1023" s="26" t="inlineStr">
        <is>
          <t>No</t>
        </is>
      </c>
      <c r="R1023" s="26" t="inlineStr">
        <is>
          <t>Good finish</t>
        </is>
      </c>
      <c r="S1023" s="26" t="inlineStr">
        <is>
          <t>Yes</t>
        </is>
      </c>
      <c r="T1023" s="27" t="n"/>
      <c r="U1023" s="28" t="inlineStr">
        <is>
          <t>No</t>
        </is>
      </c>
      <c r="V1023" s="29">
        <f>IF(N1023="","",IF(Q1023="Yes","❌ Disc",IF(P1023="No","⚠ Missing",IF(S1023="Yes","✓ OK","⚠ Check"))))</f>
        <v/>
      </c>
      <c r="W1023" s="65" t="n">
        <v>46248</v>
      </c>
      <c r="X1023" s="30" t="inlineStr">
        <is>
          <t>Sunil CR</t>
        </is>
      </c>
      <c r="Y1023" s="30" t="inlineStr">
        <is>
          <t>Yes</t>
        </is>
      </c>
      <c r="Z1023" s="30" t="n"/>
      <c r="AA1023" s="30" t="inlineStr">
        <is>
          <t>Good finish</t>
        </is>
      </c>
      <c r="AB1023" s="30" t="inlineStr">
        <is>
          <t>Yes</t>
        </is>
      </c>
      <c r="AC1023" s="27" t="n"/>
      <c r="AD1023" s="31" t="inlineStr">
        <is>
          <t>No</t>
        </is>
      </c>
      <c r="AE1023" s="32">
        <f>IF(W1023="","",IF(Z1023="Yes","❌ Disc",IF(Y1023="No","⚠ Missing",IF(AB1023="Yes","✓ OK","⚠ Check"))))</f>
        <v/>
      </c>
      <c r="AF1023" s="33" t="n"/>
      <c r="AG1023" s="33" t="n"/>
      <c r="AH1023" s="33" t="n"/>
      <c r="AI1023" s="33" t="n"/>
      <c r="AJ1023" s="33" t="n"/>
      <c r="AK1023" s="33" t="n"/>
      <c r="AL1023" s="27" t="n"/>
      <c r="AM1023" s="34" t="n"/>
      <c r="AN1023" s="35">
        <f>IF(AF1023="","",IF(AI1023="Yes","❌ Disc",IF(AH1023="No","⚠ Missing",IF(AK1023="Yes","✓ OK","⚠ Check"))))</f>
        <v/>
      </c>
      <c r="AO1023" s="36" t="n"/>
      <c r="AP1023" s="36" t="n"/>
      <c r="AQ1023" s="36" t="n"/>
      <c r="AR1023" s="36" t="n"/>
      <c r="AS1023" s="36" t="n"/>
      <c r="AT1023" s="36" t="n"/>
      <c r="AU1023" s="27" t="n"/>
      <c r="AV1023" s="37" t="n"/>
      <c r="AW1023" s="38">
        <f>IF(AO1023="","",IF(AR1023="Yes","❌ Disc",IF(AQ1023="No","⚠ Missing",IF(AT1023="Yes","✓ OK","⚠ Check"))))</f>
        <v/>
      </c>
    </row>
    <row r="1024" ht="18" customHeight="1" s="46">
      <c r="A1024" s="39" t="n">
        <v>1020</v>
      </c>
      <c r="B1024" s="40" t="inlineStr">
        <is>
          <t>BD-VRM-2025-0175</t>
        </is>
      </c>
      <c r="C1024" s="41" t="inlineStr">
        <is>
          <t>LifenColors - Batman Design Wallpaper for Kids Room with Soft Feel Paper - SF/7012</t>
        </is>
      </c>
      <c r="D1024" s="39" t="inlineStr">
        <is>
          <t>Life n Colors</t>
        </is>
      </c>
      <c r="E1024" s="43" t="n">
        <v>46126</v>
      </c>
      <c r="F1024" s="26" t="inlineStr">
        <is>
          <t>Sunil CR</t>
        </is>
      </c>
      <c r="G1024" s="26" t="inlineStr">
        <is>
          <t>Yes</t>
        </is>
      </c>
      <c r="H1024" s="26" t="inlineStr">
        <is>
          <t>No</t>
        </is>
      </c>
      <c r="I1024" s="26" t="inlineStr">
        <is>
          <t>Good finish</t>
        </is>
      </c>
      <c r="J1024" s="26" t="inlineStr">
        <is>
          <t>Yes</t>
        </is>
      </c>
      <c r="K1024" s="27" t="n"/>
      <c r="L1024" s="28" t="inlineStr">
        <is>
          <t>No</t>
        </is>
      </c>
      <c r="M1024" s="29">
        <f>IF(E1024="","",IF(H1024="Yes","❌ Disc",IF(G1024="No","⚠ Missing",IF(J1024="Yes","✓ OK","⚠ Check"))))</f>
        <v/>
      </c>
      <c r="N1024" s="43" t="n">
        <v>46193</v>
      </c>
      <c r="O1024" s="26" t="inlineStr">
        <is>
          <t>Sunil CR</t>
        </is>
      </c>
      <c r="P1024" s="26" t="inlineStr">
        <is>
          <t>Yes</t>
        </is>
      </c>
      <c r="Q1024" s="26" t="inlineStr">
        <is>
          <t>No</t>
        </is>
      </c>
      <c r="R1024" s="26" t="inlineStr">
        <is>
          <t>Good finish</t>
        </is>
      </c>
      <c r="S1024" s="26" t="inlineStr">
        <is>
          <t>Yes</t>
        </is>
      </c>
      <c r="T1024" s="27" t="n"/>
      <c r="U1024" s="28" t="inlineStr">
        <is>
          <t>No</t>
        </is>
      </c>
      <c r="V1024" s="29">
        <f>IF(N1024="","",IF(Q1024="Yes","❌ Disc",IF(P1024="No","⚠ Missing",IF(S1024="Yes","✓ OK","⚠ Check"))))</f>
        <v/>
      </c>
      <c r="W1024" s="65" t="n">
        <v>46248</v>
      </c>
      <c r="X1024" s="30" t="inlineStr">
        <is>
          <t>Sunil CR</t>
        </is>
      </c>
      <c r="Y1024" s="30" t="inlineStr">
        <is>
          <t>Yes</t>
        </is>
      </c>
      <c r="Z1024" s="30" t="n"/>
      <c r="AA1024" s="30" t="inlineStr">
        <is>
          <t>Good finish</t>
        </is>
      </c>
      <c r="AB1024" s="30" t="inlineStr">
        <is>
          <t>Yes</t>
        </is>
      </c>
      <c r="AC1024" s="27" t="n"/>
      <c r="AD1024" s="31" t="inlineStr">
        <is>
          <t>No</t>
        </is>
      </c>
      <c r="AE1024" s="32">
        <f>IF(W1024="","",IF(Z1024="Yes","❌ Disc",IF(Y1024="No","⚠ Missing",IF(AB1024="Yes","✓ OK","⚠ Check"))))</f>
        <v/>
      </c>
      <c r="AF1024" s="33" t="n"/>
      <c r="AG1024" s="33" t="n"/>
      <c r="AH1024" s="33" t="n"/>
      <c r="AI1024" s="33" t="n"/>
      <c r="AJ1024" s="33" t="n"/>
      <c r="AK1024" s="33" t="n"/>
      <c r="AL1024" s="27" t="n"/>
      <c r="AM1024" s="34" t="n"/>
      <c r="AN1024" s="35">
        <f>IF(AF1024="","",IF(AI1024="Yes","❌ Disc",IF(AH1024="No","⚠ Missing",IF(AK1024="Yes","✓ OK","⚠ Check"))))</f>
        <v/>
      </c>
      <c r="AO1024" s="36" t="n"/>
      <c r="AP1024" s="36" t="n"/>
      <c r="AQ1024" s="36" t="n"/>
      <c r="AR1024" s="36" t="n"/>
      <c r="AS1024" s="36" t="n"/>
      <c r="AT1024" s="36" t="n"/>
      <c r="AU1024" s="27" t="n"/>
      <c r="AV1024" s="37" t="n"/>
      <c r="AW1024" s="38">
        <f>IF(AO1024="","",IF(AR1024="Yes","❌ Disc",IF(AQ1024="No","⚠ Missing",IF(AT1024="Yes","✓ OK","⚠ Check"))))</f>
        <v/>
      </c>
    </row>
    <row r="1025" ht="18" customHeight="1" s="46">
      <c r="A1025" s="23" t="n">
        <v>1021</v>
      </c>
      <c r="B1025" s="24" t="inlineStr">
        <is>
          <t>BD-VRM-2025-0170</t>
        </is>
      </c>
      <c r="C1025" s="25" t="inlineStr">
        <is>
          <t>LifenColors - Blue Color Space Expedition Wallpaper for Kids with Soft Feel Paper - SF/7007</t>
        </is>
      </c>
      <c r="D1025" s="23" t="inlineStr">
        <is>
          <t>Life n Colors</t>
        </is>
      </c>
      <c r="E1025" s="43" t="n">
        <v>46126</v>
      </c>
      <c r="F1025" s="26" t="inlineStr">
        <is>
          <t>Sunil CR</t>
        </is>
      </c>
      <c r="G1025" s="26" t="inlineStr">
        <is>
          <t>Yes</t>
        </is>
      </c>
      <c r="H1025" s="26" t="inlineStr">
        <is>
          <t>No</t>
        </is>
      </c>
      <c r="I1025" s="26" t="inlineStr">
        <is>
          <t>Good finish</t>
        </is>
      </c>
      <c r="J1025" s="26" t="inlineStr">
        <is>
          <t>Yes</t>
        </is>
      </c>
      <c r="K1025" s="27" t="n"/>
      <c r="L1025" s="28" t="inlineStr">
        <is>
          <t>No</t>
        </is>
      </c>
      <c r="M1025" s="29">
        <f>IF(E1025="","",IF(H1025="Yes","❌ Disc",IF(G1025="No","⚠ Missing",IF(J1025="Yes","✓ OK","⚠ Check"))))</f>
        <v/>
      </c>
      <c r="N1025" s="43" t="n">
        <v>46193</v>
      </c>
      <c r="O1025" s="26" t="inlineStr">
        <is>
          <t>Sunil CR</t>
        </is>
      </c>
      <c r="P1025" s="26" t="inlineStr">
        <is>
          <t>Yes</t>
        </is>
      </c>
      <c r="Q1025" s="26" t="inlineStr">
        <is>
          <t>No</t>
        </is>
      </c>
      <c r="R1025" s="26" t="inlineStr">
        <is>
          <t>Good finish</t>
        </is>
      </c>
      <c r="S1025" s="26" t="inlineStr">
        <is>
          <t>Yes</t>
        </is>
      </c>
      <c r="T1025" s="27" t="n"/>
      <c r="U1025" s="28" t="inlineStr">
        <is>
          <t>No</t>
        </is>
      </c>
      <c r="V1025" s="29">
        <f>IF(N1025="","",IF(Q1025="Yes","❌ Disc",IF(P1025="No","⚠ Missing",IF(S1025="Yes","✓ OK","⚠ Check"))))</f>
        <v/>
      </c>
      <c r="W1025" s="65" t="n">
        <v>46248</v>
      </c>
      <c r="X1025" s="30" t="inlineStr">
        <is>
          <t>Sunil CR</t>
        </is>
      </c>
      <c r="Y1025" s="30" t="inlineStr">
        <is>
          <t>Yes</t>
        </is>
      </c>
      <c r="Z1025" s="30" t="n"/>
      <c r="AA1025" s="30" t="inlineStr">
        <is>
          <t>Good finish</t>
        </is>
      </c>
      <c r="AB1025" s="30" t="inlineStr">
        <is>
          <t>Yes</t>
        </is>
      </c>
      <c r="AC1025" s="27" t="n"/>
      <c r="AD1025" s="31" t="inlineStr">
        <is>
          <t>No</t>
        </is>
      </c>
      <c r="AE1025" s="32">
        <f>IF(W1025="","",IF(Z1025="Yes","❌ Disc",IF(Y1025="No","⚠ Missing",IF(AB1025="Yes","✓ OK","⚠ Check"))))</f>
        <v/>
      </c>
      <c r="AF1025" s="33" t="n"/>
      <c r="AG1025" s="33" t="n"/>
      <c r="AH1025" s="33" t="n"/>
      <c r="AI1025" s="33" t="n"/>
      <c r="AJ1025" s="33" t="n"/>
      <c r="AK1025" s="33" t="n"/>
      <c r="AL1025" s="27" t="n"/>
      <c r="AM1025" s="34" t="n"/>
      <c r="AN1025" s="35">
        <f>IF(AF1025="","",IF(AI1025="Yes","❌ Disc",IF(AH1025="No","⚠ Missing",IF(AK1025="Yes","✓ OK","⚠ Check"))))</f>
        <v/>
      </c>
      <c r="AO1025" s="36" t="n"/>
      <c r="AP1025" s="36" t="n"/>
      <c r="AQ1025" s="36" t="n"/>
      <c r="AR1025" s="36" t="n"/>
      <c r="AS1025" s="36" t="n"/>
      <c r="AT1025" s="36" t="n"/>
      <c r="AU1025" s="27" t="n"/>
      <c r="AV1025" s="37" t="n"/>
      <c r="AW1025" s="38">
        <f>IF(AO1025="","",IF(AR1025="Yes","❌ Disc",IF(AQ1025="No","⚠ Missing",IF(AT1025="Yes","✓ OK","⚠ Check"))))</f>
        <v/>
      </c>
    </row>
    <row r="1026" ht="18" customHeight="1" s="46">
      <c r="A1026" s="39" t="n">
        <v>1022</v>
      </c>
      <c r="B1026" s="40" t="inlineStr">
        <is>
          <t>BD-VRM-2025-0143</t>
        </is>
      </c>
      <c r="C1026" s="41" t="inlineStr">
        <is>
          <t>LifenColors - Blush &amp; Bloom Line art Floral Wallpaper Customised with Canvas Paper - CN/6009</t>
        </is>
      </c>
      <c r="D1026" s="39" t="inlineStr">
        <is>
          <t>Life n Colors</t>
        </is>
      </c>
      <c r="E1026" s="43" t="n">
        <v>46126</v>
      </c>
      <c r="F1026" s="26" t="inlineStr">
        <is>
          <t>Sunil CR</t>
        </is>
      </c>
      <c r="G1026" s="26" t="inlineStr">
        <is>
          <t>Yes</t>
        </is>
      </c>
      <c r="H1026" s="26" t="inlineStr">
        <is>
          <t>No</t>
        </is>
      </c>
      <c r="I1026" s="26" t="inlineStr">
        <is>
          <t>Good finish</t>
        </is>
      </c>
      <c r="J1026" s="26" t="inlineStr">
        <is>
          <t>Yes</t>
        </is>
      </c>
      <c r="K1026" s="27" t="n"/>
      <c r="L1026" s="28" t="inlineStr">
        <is>
          <t>No</t>
        </is>
      </c>
      <c r="M1026" s="29">
        <f>IF(E1026="","",IF(H1026="Yes","❌ Disc",IF(G1026="No","⚠ Missing",IF(J1026="Yes","✓ OK","⚠ Check"))))</f>
        <v/>
      </c>
      <c r="N1026" s="43" t="n">
        <v>46193</v>
      </c>
      <c r="O1026" s="26" t="inlineStr">
        <is>
          <t>Sunil CR</t>
        </is>
      </c>
      <c r="P1026" s="26" t="inlineStr">
        <is>
          <t>Yes</t>
        </is>
      </c>
      <c r="Q1026" s="26" t="inlineStr">
        <is>
          <t>No</t>
        </is>
      </c>
      <c r="R1026" s="26" t="inlineStr">
        <is>
          <t>Good finish</t>
        </is>
      </c>
      <c r="S1026" s="26" t="inlineStr">
        <is>
          <t>Yes</t>
        </is>
      </c>
      <c r="T1026" s="27" t="n"/>
      <c r="U1026" s="28" t="inlineStr">
        <is>
          <t>No</t>
        </is>
      </c>
      <c r="V1026" s="29">
        <f>IF(N1026="","",IF(Q1026="Yes","❌ Disc",IF(P1026="No","⚠ Missing",IF(S1026="Yes","✓ OK","⚠ Check"))))</f>
        <v/>
      </c>
      <c r="W1026" s="65" t="n">
        <v>46248</v>
      </c>
      <c r="X1026" s="30" t="inlineStr">
        <is>
          <t>Sunil CR</t>
        </is>
      </c>
      <c r="Y1026" s="30" t="inlineStr">
        <is>
          <t>Yes</t>
        </is>
      </c>
      <c r="Z1026" s="30" t="n"/>
      <c r="AA1026" s="30" t="inlineStr">
        <is>
          <t>Good finish</t>
        </is>
      </c>
      <c r="AB1026" s="30" t="inlineStr">
        <is>
          <t>Yes</t>
        </is>
      </c>
      <c r="AC1026" s="27" t="n"/>
      <c r="AD1026" s="31" t="inlineStr">
        <is>
          <t>No</t>
        </is>
      </c>
      <c r="AE1026" s="32">
        <f>IF(W1026="","",IF(Z1026="Yes","❌ Disc",IF(Y1026="No","⚠ Missing",IF(AB1026="Yes","✓ OK","⚠ Check"))))</f>
        <v/>
      </c>
      <c r="AF1026" s="33" t="n"/>
      <c r="AG1026" s="33" t="n"/>
      <c r="AH1026" s="33" t="n"/>
      <c r="AI1026" s="33" t="n"/>
      <c r="AJ1026" s="33" t="n"/>
      <c r="AK1026" s="33" t="n"/>
      <c r="AL1026" s="27" t="n"/>
      <c r="AM1026" s="34" t="n"/>
      <c r="AN1026" s="35">
        <f>IF(AF1026="","",IF(AI1026="Yes","❌ Disc",IF(AH1026="No","⚠ Missing",IF(AK1026="Yes","✓ OK","⚠ Check"))))</f>
        <v/>
      </c>
      <c r="AO1026" s="36" t="n"/>
      <c r="AP1026" s="36" t="n"/>
      <c r="AQ1026" s="36" t="n"/>
      <c r="AR1026" s="36" t="n"/>
      <c r="AS1026" s="36" t="n"/>
      <c r="AT1026" s="36" t="n"/>
      <c r="AU1026" s="27" t="n"/>
      <c r="AV1026" s="37" t="n"/>
      <c r="AW1026" s="38">
        <f>IF(AO1026="","",IF(AR1026="Yes","❌ Disc",IF(AQ1026="No","⚠ Missing",IF(AT1026="Yes","✓ OK","⚠ Check"))))</f>
        <v/>
      </c>
    </row>
    <row r="1027" ht="18" customHeight="1" s="46">
      <c r="A1027" s="23" t="n">
        <v>1023</v>
      </c>
      <c r="B1027" s="24" t="inlineStr">
        <is>
          <t>BD-VRM-2025-0158</t>
        </is>
      </c>
      <c r="C1027" s="25" t="inlineStr">
        <is>
          <t>LifenColors - Chevron illusion Repeat pattern with Canvas Paper - CN/6032</t>
        </is>
      </c>
      <c r="D1027" s="23" t="inlineStr">
        <is>
          <t>Life n Colors</t>
        </is>
      </c>
      <c r="E1027" s="43" t="n">
        <v>46126</v>
      </c>
      <c r="F1027" s="26" t="inlineStr">
        <is>
          <t>Sunil CR</t>
        </is>
      </c>
      <c r="G1027" s="26" t="inlineStr">
        <is>
          <t>Yes</t>
        </is>
      </c>
      <c r="H1027" s="26" t="inlineStr">
        <is>
          <t>No</t>
        </is>
      </c>
      <c r="I1027" s="26" t="inlineStr">
        <is>
          <t>Good finish</t>
        </is>
      </c>
      <c r="J1027" s="26" t="inlineStr">
        <is>
          <t>Yes</t>
        </is>
      </c>
      <c r="K1027" s="27" t="n"/>
      <c r="L1027" s="28" t="inlineStr">
        <is>
          <t>No</t>
        </is>
      </c>
      <c r="M1027" s="29">
        <f>IF(E1027="","",IF(H1027="Yes","❌ Disc",IF(G1027="No","⚠ Missing",IF(J1027="Yes","✓ OK","⚠ Check"))))</f>
        <v/>
      </c>
      <c r="N1027" s="43" t="n">
        <v>46193</v>
      </c>
      <c r="O1027" s="26" t="inlineStr">
        <is>
          <t>Sunil CR</t>
        </is>
      </c>
      <c r="P1027" s="26" t="inlineStr">
        <is>
          <t>Yes</t>
        </is>
      </c>
      <c r="Q1027" s="26" t="inlineStr">
        <is>
          <t>No</t>
        </is>
      </c>
      <c r="R1027" s="26" t="inlineStr">
        <is>
          <t>Good finish</t>
        </is>
      </c>
      <c r="S1027" s="26" t="inlineStr">
        <is>
          <t>Yes</t>
        </is>
      </c>
      <c r="T1027" s="27" t="n"/>
      <c r="U1027" s="28" t="inlineStr">
        <is>
          <t>No</t>
        </is>
      </c>
      <c r="V1027" s="29">
        <f>IF(N1027="","",IF(Q1027="Yes","❌ Disc",IF(P1027="No","⚠ Missing",IF(S1027="Yes","✓ OK","⚠ Check"))))</f>
        <v/>
      </c>
      <c r="W1027" s="65" t="n">
        <v>46248</v>
      </c>
      <c r="X1027" s="30" t="inlineStr">
        <is>
          <t>Sunil CR</t>
        </is>
      </c>
      <c r="Y1027" s="30" t="inlineStr">
        <is>
          <t>Yes</t>
        </is>
      </c>
      <c r="Z1027" s="30" t="n"/>
      <c r="AA1027" s="30" t="inlineStr">
        <is>
          <t>Good finish</t>
        </is>
      </c>
      <c r="AB1027" s="30" t="inlineStr">
        <is>
          <t>Yes</t>
        </is>
      </c>
      <c r="AC1027" s="27" t="n"/>
      <c r="AD1027" s="31" t="inlineStr">
        <is>
          <t>No</t>
        </is>
      </c>
      <c r="AE1027" s="32">
        <f>IF(W1027="","",IF(Z1027="Yes","❌ Disc",IF(Y1027="No","⚠ Missing",IF(AB1027="Yes","✓ OK","⚠ Check"))))</f>
        <v/>
      </c>
      <c r="AF1027" s="33" t="n"/>
      <c r="AG1027" s="33" t="n"/>
      <c r="AH1027" s="33" t="n"/>
      <c r="AI1027" s="33" t="n"/>
      <c r="AJ1027" s="33" t="n"/>
      <c r="AK1027" s="33" t="n"/>
      <c r="AL1027" s="27" t="n"/>
      <c r="AM1027" s="34" t="n"/>
      <c r="AN1027" s="35">
        <f>IF(AF1027="","",IF(AI1027="Yes","❌ Disc",IF(AH1027="No","⚠ Missing",IF(AK1027="Yes","✓ OK","⚠ Check"))))</f>
        <v/>
      </c>
      <c r="AO1027" s="36" t="n"/>
      <c r="AP1027" s="36" t="n"/>
      <c r="AQ1027" s="36" t="n"/>
      <c r="AR1027" s="36" t="n"/>
      <c r="AS1027" s="36" t="n"/>
      <c r="AT1027" s="36" t="n"/>
      <c r="AU1027" s="27" t="n"/>
      <c r="AV1027" s="37" t="n"/>
      <c r="AW1027" s="38">
        <f>IF(AO1027="","",IF(AR1027="Yes","❌ Disc",IF(AQ1027="No","⚠ Missing",IF(AT1027="Yes","✓ OK","⚠ Check"))))</f>
        <v/>
      </c>
    </row>
    <row r="1028" ht="18" customHeight="1" s="46">
      <c r="A1028" s="39" t="n">
        <v>1024</v>
      </c>
      <c r="B1028" s="40" t="inlineStr">
        <is>
          <t>BD-VRM-2025-0156</t>
        </is>
      </c>
      <c r="C1028" s="41" t="inlineStr">
        <is>
          <t>LifenColors - Chic Toile Design Wallpaper for Wall Beige with Canvas Paper - CN/6030</t>
        </is>
      </c>
      <c r="D1028" s="39" t="inlineStr">
        <is>
          <t>Life n Colors</t>
        </is>
      </c>
      <c r="E1028" s="43" t="n">
        <v>46126</v>
      </c>
      <c r="F1028" s="26" t="inlineStr">
        <is>
          <t>Sunil CR</t>
        </is>
      </c>
      <c r="G1028" s="26" t="inlineStr">
        <is>
          <t>Yes</t>
        </is>
      </c>
      <c r="H1028" s="26" t="inlineStr">
        <is>
          <t>No</t>
        </is>
      </c>
      <c r="I1028" s="26" t="inlineStr">
        <is>
          <t>Good finish</t>
        </is>
      </c>
      <c r="J1028" s="26" t="inlineStr">
        <is>
          <t>Yes</t>
        </is>
      </c>
      <c r="K1028" s="27" t="n"/>
      <c r="L1028" s="28" t="inlineStr">
        <is>
          <t>No</t>
        </is>
      </c>
      <c r="M1028" s="29">
        <f>IF(E1028="","",IF(H1028="Yes","❌ Disc",IF(G1028="No","⚠ Missing",IF(J1028="Yes","✓ OK","⚠ Check"))))</f>
        <v/>
      </c>
      <c r="N1028" s="43" t="n">
        <v>46193</v>
      </c>
      <c r="O1028" s="26" t="inlineStr">
        <is>
          <t>Sunil CR</t>
        </is>
      </c>
      <c r="P1028" s="26" t="inlineStr">
        <is>
          <t>Yes</t>
        </is>
      </c>
      <c r="Q1028" s="26" t="inlineStr">
        <is>
          <t>No</t>
        </is>
      </c>
      <c r="R1028" s="26" t="inlineStr">
        <is>
          <t>Good finish</t>
        </is>
      </c>
      <c r="S1028" s="26" t="inlineStr">
        <is>
          <t>Yes</t>
        </is>
      </c>
      <c r="T1028" s="27" t="n"/>
      <c r="U1028" s="28" t="inlineStr">
        <is>
          <t>No</t>
        </is>
      </c>
      <c r="V1028" s="29">
        <f>IF(N1028="","",IF(Q1028="Yes","❌ Disc",IF(P1028="No","⚠ Missing",IF(S1028="Yes","✓ OK","⚠ Check"))))</f>
        <v/>
      </c>
      <c r="W1028" s="65" t="n">
        <v>46248</v>
      </c>
      <c r="X1028" s="30" t="inlineStr">
        <is>
          <t>Sunil CR</t>
        </is>
      </c>
      <c r="Y1028" s="30" t="inlineStr">
        <is>
          <t>Yes</t>
        </is>
      </c>
      <c r="Z1028" s="30" t="n"/>
      <c r="AA1028" s="30" t="inlineStr">
        <is>
          <t>Good finish</t>
        </is>
      </c>
      <c r="AB1028" s="30" t="inlineStr">
        <is>
          <t>Yes</t>
        </is>
      </c>
      <c r="AC1028" s="27" t="n"/>
      <c r="AD1028" s="31" t="inlineStr">
        <is>
          <t>No</t>
        </is>
      </c>
      <c r="AE1028" s="32">
        <f>IF(W1028="","",IF(Z1028="Yes","❌ Disc",IF(Y1028="No","⚠ Missing",IF(AB1028="Yes","✓ OK","⚠ Check"))))</f>
        <v/>
      </c>
      <c r="AF1028" s="33" t="n"/>
      <c r="AG1028" s="33" t="n"/>
      <c r="AH1028" s="33" t="n"/>
      <c r="AI1028" s="33" t="n"/>
      <c r="AJ1028" s="33" t="n"/>
      <c r="AK1028" s="33" t="n"/>
      <c r="AL1028" s="27" t="n"/>
      <c r="AM1028" s="34" t="n"/>
      <c r="AN1028" s="35">
        <f>IF(AF1028="","",IF(AI1028="Yes","❌ Disc",IF(AH1028="No","⚠ Missing",IF(AK1028="Yes","✓ OK","⚠ Check"))))</f>
        <v/>
      </c>
      <c r="AO1028" s="36" t="n"/>
      <c r="AP1028" s="36" t="n"/>
      <c r="AQ1028" s="36" t="n"/>
      <c r="AR1028" s="36" t="n"/>
      <c r="AS1028" s="36" t="n"/>
      <c r="AT1028" s="36" t="n"/>
      <c r="AU1028" s="27" t="n"/>
      <c r="AV1028" s="37" t="n"/>
      <c r="AW1028" s="38">
        <f>IF(AO1028="","",IF(AR1028="Yes","❌ Disc",IF(AQ1028="No","⚠ Missing",IF(AT1028="Yes","✓ OK","⚠ Check"))))</f>
        <v/>
      </c>
    </row>
    <row r="1029" ht="18" customHeight="1" s="46">
      <c r="A1029" s="23" t="n">
        <v>1025</v>
      </c>
      <c r="B1029" s="24" t="inlineStr">
        <is>
          <t>BD-VRM-2025-0176</t>
        </is>
      </c>
      <c r="C1029" s="25" t="inlineStr">
        <is>
          <t>LifenColors - City life Design Wallpaper in Pastel Color with Soft Feel Paper - SF/7018</t>
        </is>
      </c>
      <c r="D1029" s="23" t="inlineStr">
        <is>
          <t>Life n Colors</t>
        </is>
      </c>
      <c r="E1029" s="43" t="n">
        <v>46126</v>
      </c>
      <c r="F1029" s="26" t="inlineStr">
        <is>
          <t>Sunil CR</t>
        </is>
      </c>
      <c r="G1029" s="26" t="inlineStr">
        <is>
          <t>Yes</t>
        </is>
      </c>
      <c r="H1029" s="26" t="inlineStr">
        <is>
          <t>No</t>
        </is>
      </c>
      <c r="I1029" s="26" t="inlineStr">
        <is>
          <t>Good finish</t>
        </is>
      </c>
      <c r="J1029" s="26" t="inlineStr">
        <is>
          <t>Yes</t>
        </is>
      </c>
      <c r="K1029" s="27" t="n"/>
      <c r="L1029" s="28" t="inlineStr">
        <is>
          <t>No</t>
        </is>
      </c>
      <c r="M1029" s="29">
        <f>IF(E1029="","",IF(H1029="Yes","❌ Disc",IF(G1029="No","⚠ Missing",IF(J1029="Yes","✓ OK","⚠ Check"))))</f>
        <v/>
      </c>
      <c r="N1029" s="43" t="n">
        <v>46193</v>
      </c>
      <c r="O1029" s="26" t="inlineStr">
        <is>
          <t>Sunil CR</t>
        </is>
      </c>
      <c r="P1029" s="26" t="inlineStr">
        <is>
          <t>Yes</t>
        </is>
      </c>
      <c r="Q1029" s="26" t="inlineStr">
        <is>
          <t>No</t>
        </is>
      </c>
      <c r="R1029" s="26" t="inlineStr">
        <is>
          <t>Good finish</t>
        </is>
      </c>
      <c r="S1029" s="26" t="inlineStr">
        <is>
          <t>Yes</t>
        </is>
      </c>
      <c r="T1029" s="27" t="n"/>
      <c r="U1029" s="28" t="inlineStr">
        <is>
          <t>No</t>
        </is>
      </c>
      <c r="V1029" s="29">
        <f>IF(N1029="","",IF(Q1029="Yes","❌ Disc",IF(P1029="No","⚠ Missing",IF(S1029="Yes","✓ OK","⚠ Check"))))</f>
        <v/>
      </c>
      <c r="W1029" s="65" t="n">
        <v>46248</v>
      </c>
      <c r="X1029" s="30" t="inlineStr">
        <is>
          <t>Sunil CR</t>
        </is>
      </c>
      <c r="Y1029" s="30" t="inlineStr">
        <is>
          <t>Yes</t>
        </is>
      </c>
      <c r="Z1029" s="30" t="n"/>
      <c r="AA1029" s="30" t="inlineStr">
        <is>
          <t>Good finish</t>
        </is>
      </c>
      <c r="AB1029" s="30" t="inlineStr">
        <is>
          <t>Yes</t>
        </is>
      </c>
      <c r="AC1029" s="27" t="n"/>
      <c r="AD1029" s="31" t="inlineStr">
        <is>
          <t>No</t>
        </is>
      </c>
      <c r="AE1029" s="32">
        <f>IF(W1029="","",IF(Z1029="Yes","❌ Disc",IF(Y1029="No","⚠ Missing",IF(AB1029="Yes","✓ OK","⚠ Check"))))</f>
        <v/>
      </c>
      <c r="AF1029" s="33" t="n"/>
      <c r="AG1029" s="33" t="n"/>
      <c r="AH1029" s="33" t="n"/>
      <c r="AI1029" s="33" t="n"/>
      <c r="AJ1029" s="33" t="n"/>
      <c r="AK1029" s="33" t="n"/>
      <c r="AL1029" s="27" t="n"/>
      <c r="AM1029" s="34" t="n"/>
      <c r="AN1029" s="35">
        <f>IF(AF1029="","",IF(AI1029="Yes","❌ Disc",IF(AH1029="No","⚠ Missing",IF(AK1029="Yes","✓ OK","⚠ Check"))))</f>
        <v/>
      </c>
      <c r="AO1029" s="36" t="n"/>
      <c r="AP1029" s="36" t="n"/>
      <c r="AQ1029" s="36" t="n"/>
      <c r="AR1029" s="36" t="n"/>
      <c r="AS1029" s="36" t="n"/>
      <c r="AT1029" s="36" t="n"/>
      <c r="AU1029" s="27" t="n"/>
      <c r="AV1029" s="37" t="n"/>
      <c r="AW1029" s="38">
        <f>IF(AO1029="","",IF(AR1029="Yes","❌ Disc",IF(AQ1029="No","⚠ Missing",IF(AT1029="Yes","✓ OK","⚠ Check"))))</f>
        <v/>
      </c>
    </row>
    <row r="1030" ht="18" customHeight="1" s="46">
      <c r="A1030" s="39" t="n">
        <v>1026</v>
      </c>
      <c r="B1030" s="40" t="inlineStr">
        <is>
          <t>BD-VRM-2025-0197</t>
        </is>
      </c>
      <c r="C1030" s="41" t="inlineStr">
        <is>
          <t>LifenColors - Crescent Weave Wallpaper Repeat Pattern with Soft Feel Paper - SF/7040</t>
        </is>
      </c>
      <c r="D1030" s="39" t="inlineStr">
        <is>
          <t>Life n Colors</t>
        </is>
      </c>
      <c r="E1030" s="43" t="n">
        <v>46126</v>
      </c>
      <c r="F1030" s="26" t="inlineStr">
        <is>
          <t>Sunil CR</t>
        </is>
      </c>
      <c r="G1030" s="26" t="inlineStr">
        <is>
          <t>Yes</t>
        </is>
      </c>
      <c r="H1030" s="26" t="inlineStr">
        <is>
          <t>No</t>
        </is>
      </c>
      <c r="I1030" s="26" t="inlineStr">
        <is>
          <t>Good finish</t>
        </is>
      </c>
      <c r="J1030" s="26" t="inlineStr">
        <is>
          <t>Yes</t>
        </is>
      </c>
      <c r="K1030" s="27" t="n"/>
      <c r="L1030" s="28" t="inlineStr">
        <is>
          <t>No</t>
        </is>
      </c>
      <c r="M1030" s="29">
        <f>IF(E1030="","",IF(H1030="Yes","❌ Disc",IF(G1030="No","⚠ Missing",IF(J1030="Yes","✓ OK","⚠ Check"))))</f>
        <v/>
      </c>
      <c r="N1030" s="43" t="n">
        <v>46193</v>
      </c>
      <c r="O1030" s="26" t="inlineStr">
        <is>
          <t>Sunil CR</t>
        </is>
      </c>
      <c r="P1030" s="26" t="inlineStr">
        <is>
          <t>Yes</t>
        </is>
      </c>
      <c r="Q1030" s="26" t="inlineStr">
        <is>
          <t>No</t>
        </is>
      </c>
      <c r="R1030" s="26" t="inlineStr">
        <is>
          <t>Good finish</t>
        </is>
      </c>
      <c r="S1030" s="26" t="inlineStr">
        <is>
          <t>Yes</t>
        </is>
      </c>
      <c r="T1030" s="27" t="n"/>
      <c r="U1030" s="28" t="inlineStr">
        <is>
          <t>No</t>
        </is>
      </c>
      <c r="V1030" s="29">
        <f>IF(N1030="","",IF(Q1030="Yes","❌ Disc",IF(P1030="No","⚠ Missing",IF(S1030="Yes","✓ OK","⚠ Check"))))</f>
        <v/>
      </c>
      <c r="W1030" s="65" t="n">
        <v>46248</v>
      </c>
      <c r="X1030" s="30" t="inlineStr">
        <is>
          <t>Sunil CR</t>
        </is>
      </c>
      <c r="Y1030" s="30" t="inlineStr">
        <is>
          <t>Yes</t>
        </is>
      </c>
      <c r="Z1030" s="30" t="n"/>
      <c r="AA1030" s="30" t="inlineStr">
        <is>
          <t>Good finish</t>
        </is>
      </c>
      <c r="AB1030" s="30" t="inlineStr">
        <is>
          <t>Yes</t>
        </is>
      </c>
      <c r="AC1030" s="27" t="n"/>
      <c r="AD1030" s="31" t="inlineStr">
        <is>
          <t>No</t>
        </is>
      </c>
      <c r="AE1030" s="32">
        <f>IF(W1030="","",IF(Z1030="Yes","❌ Disc",IF(Y1030="No","⚠ Missing",IF(AB1030="Yes","✓ OK","⚠ Check"))))</f>
        <v/>
      </c>
      <c r="AF1030" s="33" t="n"/>
      <c r="AG1030" s="33" t="n"/>
      <c r="AH1030" s="33" t="n"/>
      <c r="AI1030" s="33" t="n"/>
      <c r="AJ1030" s="33" t="n"/>
      <c r="AK1030" s="33" t="n"/>
      <c r="AL1030" s="27" t="n"/>
      <c r="AM1030" s="34" t="n"/>
      <c r="AN1030" s="35">
        <f>IF(AF1030="","",IF(AI1030="Yes","❌ Disc",IF(AH1030="No","⚠ Missing",IF(AK1030="Yes","✓ OK","⚠ Check"))))</f>
        <v/>
      </c>
      <c r="AO1030" s="36" t="n"/>
      <c r="AP1030" s="36" t="n"/>
      <c r="AQ1030" s="36" t="n"/>
      <c r="AR1030" s="36" t="n"/>
      <c r="AS1030" s="36" t="n"/>
      <c r="AT1030" s="36" t="n"/>
      <c r="AU1030" s="27" t="n"/>
      <c r="AV1030" s="37" t="n"/>
      <c r="AW1030" s="38">
        <f>IF(AO1030="","",IF(AR1030="Yes","❌ Disc",IF(AQ1030="No","⚠ Missing",IF(AT1030="Yes","✓ OK","⚠ Check"))))</f>
        <v/>
      </c>
    </row>
    <row r="1031" ht="18" customHeight="1" s="46">
      <c r="A1031" s="23" t="n">
        <v>1027</v>
      </c>
      <c r="B1031" s="24" t="inlineStr">
        <is>
          <t>BD-VRM-2025-0186</t>
        </is>
      </c>
      <c r="C1031" s="25" t="inlineStr">
        <is>
          <t>LifenColors - Cute bunnies on cloud white wallpaper for kids room with Soft Feel Paper - SF/7029</t>
        </is>
      </c>
      <c r="D1031" s="23" t="inlineStr">
        <is>
          <t>Life n Colors</t>
        </is>
      </c>
      <c r="E1031" s="43" t="n">
        <v>46126</v>
      </c>
      <c r="F1031" s="26" t="inlineStr">
        <is>
          <t>Sunil CR</t>
        </is>
      </c>
      <c r="G1031" s="26" t="inlineStr">
        <is>
          <t>Yes</t>
        </is>
      </c>
      <c r="H1031" s="26" t="inlineStr">
        <is>
          <t>No</t>
        </is>
      </c>
      <c r="I1031" s="26" t="inlineStr">
        <is>
          <t>Good finish</t>
        </is>
      </c>
      <c r="J1031" s="26" t="inlineStr">
        <is>
          <t>Yes</t>
        </is>
      </c>
      <c r="K1031" s="27" t="n"/>
      <c r="L1031" s="28" t="inlineStr">
        <is>
          <t>No</t>
        </is>
      </c>
      <c r="M1031" s="29">
        <f>IF(E1031="","",IF(H1031="Yes","❌ Disc",IF(G1031="No","⚠ Missing",IF(J1031="Yes","✓ OK","⚠ Check"))))</f>
        <v/>
      </c>
      <c r="N1031" s="43" t="n">
        <v>46193</v>
      </c>
      <c r="O1031" s="26" t="inlineStr">
        <is>
          <t>Sunil CR</t>
        </is>
      </c>
      <c r="P1031" s="26" t="inlineStr">
        <is>
          <t>Yes</t>
        </is>
      </c>
      <c r="Q1031" s="26" t="inlineStr">
        <is>
          <t>No</t>
        </is>
      </c>
      <c r="R1031" s="26" t="inlineStr">
        <is>
          <t>Good finish</t>
        </is>
      </c>
      <c r="S1031" s="26" t="inlineStr">
        <is>
          <t>Yes</t>
        </is>
      </c>
      <c r="T1031" s="27" t="n"/>
      <c r="U1031" s="28" t="inlineStr">
        <is>
          <t>No</t>
        </is>
      </c>
      <c r="V1031" s="29">
        <f>IF(N1031="","",IF(Q1031="Yes","❌ Disc",IF(P1031="No","⚠ Missing",IF(S1031="Yes","✓ OK","⚠ Check"))))</f>
        <v/>
      </c>
      <c r="W1031" s="65" t="n">
        <v>46248</v>
      </c>
      <c r="X1031" s="30" t="inlineStr">
        <is>
          <t>Sunil CR</t>
        </is>
      </c>
      <c r="Y1031" s="30" t="inlineStr">
        <is>
          <t>Yes</t>
        </is>
      </c>
      <c r="Z1031" s="30" t="n"/>
      <c r="AA1031" s="30" t="inlineStr">
        <is>
          <t>Good finish</t>
        </is>
      </c>
      <c r="AB1031" s="30" t="inlineStr">
        <is>
          <t>Yes</t>
        </is>
      </c>
      <c r="AC1031" s="27" t="n"/>
      <c r="AD1031" s="31" t="inlineStr">
        <is>
          <t>No</t>
        </is>
      </c>
      <c r="AE1031" s="32">
        <f>IF(W1031="","",IF(Z1031="Yes","❌ Disc",IF(Y1031="No","⚠ Missing",IF(AB1031="Yes","✓ OK","⚠ Check"))))</f>
        <v/>
      </c>
      <c r="AF1031" s="33" t="n"/>
      <c r="AG1031" s="33" t="n"/>
      <c r="AH1031" s="33" t="n"/>
      <c r="AI1031" s="33" t="n"/>
      <c r="AJ1031" s="33" t="n"/>
      <c r="AK1031" s="33" t="n"/>
      <c r="AL1031" s="27" t="n"/>
      <c r="AM1031" s="34" t="n"/>
      <c r="AN1031" s="35">
        <f>IF(AF1031="","",IF(AI1031="Yes","❌ Disc",IF(AH1031="No","⚠ Missing",IF(AK1031="Yes","✓ OK","⚠ Check"))))</f>
        <v/>
      </c>
      <c r="AO1031" s="36" t="n"/>
      <c r="AP1031" s="36" t="n"/>
      <c r="AQ1031" s="36" t="n"/>
      <c r="AR1031" s="36" t="n"/>
      <c r="AS1031" s="36" t="n"/>
      <c r="AT1031" s="36" t="n"/>
      <c r="AU1031" s="27" t="n"/>
      <c r="AV1031" s="37" t="n"/>
      <c r="AW1031" s="38">
        <f>IF(AO1031="","",IF(AR1031="Yes","❌ Disc",IF(AQ1031="No","⚠ Missing",IF(AT1031="Yes","✓ OK","⚠ Check"))))</f>
        <v/>
      </c>
    </row>
    <row r="1032" ht="18" customHeight="1" s="46">
      <c r="A1032" s="39" t="n">
        <v>1028</v>
      </c>
      <c r="B1032" s="40" t="inlineStr">
        <is>
          <t>BD-VRM-2025-0187</t>
        </is>
      </c>
      <c r="C1032" s="41" t="inlineStr">
        <is>
          <t>LifenColors - Cute elephants pink exclusive Kids room wallpaper with Soft Feel Paper - SF/7030</t>
        </is>
      </c>
      <c r="D1032" s="39" t="inlineStr">
        <is>
          <t>Life n Colors</t>
        </is>
      </c>
      <c r="E1032" s="43" t="n">
        <v>46126</v>
      </c>
      <c r="F1032" s="26" t="inlineStr">
        <is>
          <t>Sunil CR</t>
        </is>
      </c>
      <c r="G1032" s="26" t="inlineStr">
        <is>
          <t>Yes</t>
        </is>
      </c>
      <c r="H1032" s="26" t="inlineStr">
        <is>
          <t>No</t>
        </is>
      </c>
      <c r="I1032" s="26" t="inlineStr">
        <is>
          <t>Good finish</t>
        </is>
      </c>
      <c r="J1032" s="26" t="inlineStr">
        <is>
          <t>Yes</t>
        </is>
      </c>
      <c r="K1032" s="27" t="n"/>
      <c r="L1032" s="28" t="inlineStr">
        <is>
          <t>No</t>
        </is>
      </c>
      <c r="M1032" s="29">
        <f>IF(E1032="","",IF(H1032="Yes","❌ Disc",IF(G1032="No","⚠ Missing",IF(J1032="Yes","✓ OK","⚠ Check"))))</f>
        <v/>
      </c>
      <c r="N1032" s="43" t="n">
        <v>46193</v>
      </c>
      <c r="O1032" s="26" t="inlineStr">
        <is>
          <t>Sunil CR</t>
        </is>
      </c>
      <c r="P1032" s="26" t="inlineStr">
        <is>
          <t>Yes</t>
        </is>
      </c>
      <c r="Q1032" s="26" t="inlineStr">
        <is>
          <t>No</t>
        </is>
      </c>
      <c r="R1032" s="26" t="inlineStr">
        <is>
          <t>Good finish</t>
        </is>
      </c>
      <c r="S1032" s="26" t="inlineStr">
        <is>
          <t>Yes</t>
        </is>
      </c>
      <c r="T1032" s="27" t="n"/>
      <c r="U1032" s="28" t="inlineStr">
        <is>
          <t>No</t>
        </is>
      </c>
      <c r="V1032" s="29">
        <f>IF(N1032="","",IF(Q1032="Yes","❌ Disc",IF(P1032="No","⚠ Missing",IF(S1032="Yes","✓ OK","⚠ Check"))))</f>
        <v/>
      </c>
      <c r="W1032" s="65" t="n">
        <v>46248</v>
      </c>
      <c r="X1032" s="30" t="inlineStr">
        <is>
          <t>Sunil CR</t>
        </is>
      </c>
      <c r="Y1032" s="30" t="inlineStr">
        <is>
          <t>Yes</t>
        </is>
      </c>
      <c r="Z1032" s="30" t="n"/>
      <c r="AA1032" s="30" t="inlineStr">
        <is>
          <t>Good finish</t>
        </is>
      </c>
      <c r="AB1032" s="30" t="inlineStr">
        <is>
          <t>Yes</t>
        </is>
      </c>
      <c r="AC1032" s="27" t="n"/>
      <c r="AD1032" s="31" t="inlineStr">
        <is>
          <t>No</t>
        </is>
      </c>
      <c r="AE1032" s="32">
        <f>IF(W1032="","",IF(Z1032="Yes","❌ Disc",IF(Y1032="No","⚠ Missing",IF(AB1032="Yes","✓ OK","⚠ Check"))))</f>
        <v/>
      </c>
      <c r="AF1032" s="33" t="n"/>
      <c r="AG1032" s="33" t="n"/>
      <c r="AH1032" s="33" t="n"/>
      <c r="AI1032" s="33" t="n"/>
      <c r="AJ1032" s="33" t="n"/>
      <c r="AK1032" s="33" t="n"/>
      <c r="AL1032" s="27" t="n"/>
      <c r="AM1032" s="34" t="n"/>
      <c r="AN1032" s="35">
        <f>IF(AF1032="","",IF(AI1032="Yes","❌ Disc",IF(AH1032="No","⚠ Missing",IF(AK1032="Yes","✓ OK","⚠ Check"))))</f>
        <v/>
      </c>
      <c r="AO1032" s="36" t="n"/>
      <c r="AP1032" s="36" t="n"/>
      <c r="AQ1032" s="36" t="n"/>
      <c r="AR1032" s="36" t="n"/>
      <c r="AS1032" s="36" t="n"/>
      <c r="AT1032" s="36" t="n"/>
      <c r="AU1032" s="27" t="n"/>
      <c r="AV1032" s="37" t="n"/>
      <c r="AW1032" s="38">
        <f>IF(AO1032="","",IF(AR1032="Yes","❌ Disc",IF(AQ1032="No","⚠ Missing",IF(AT1032="Yes","✓ OK","⚠ Check"))))</f>
        <v/>
      </c>
    </row>
    <row r="1033" ht="18" customHeight="1" s="46">
      <c r="A1033" s="23" t="n">
        <v>1029</v>
      </c>
      <c r="B1033" s="24" t="inlineStr">
        <is>
          <t>BD-VRM-2025-0185</t>
        </is>
      </c>
      <c r="C1033" s="25" t="inlineStr">
        <is>
          <t>LifenColors - Cute Fairies peach Wallpaper for Girls Room Walls with Soft Feel Paper - SF/7028</t>
        </is>
      </c>
      <c r="D1033" s="23" t="inlineStr">
        <is>
          <t>Life n Colors</t>
        </is>
      </c>
      <c r="E1033" s="43" t="n">
        <v>46126</v>
      </c>
      <c r="F1033" s="26" t="inlineStr">
        <is>
          <t>Sunil CR</t>
        </is>
      </c>
      <c r="G1033" s="26" t="inlineStr">
        <is>
          <t>Yes</t>
        </is>
      </c>
      <c r="H1033" s="26" t="inlineStr">
        <is>
          <t>No</t>
        </is>
      </c>
      <c r="I1033" s="26" t="inlineStr">
        <is>
          <t>Good finish</t>
        </is>
      </c>
      <c r="J1033" s="26" t="inlineStr">
        <is>
          <t>Yes</t>
        </is>
      </c>
      <c r="K1033" s="27" t="n"/>
      <c r="L1033" s="28" t="inlineStr">
        <is>
          <t>No</t>
        </is>
      </c>
      <c r="M1033" s="29">
        <f>IF(E1033="","",IF(H1033="Yes","❌ Disc",IF(G1033="No","⚠ Missing",IF(J1033="Yes","✓ OK","⚠ Check"))))</f>
        <v/>
      </c>
      <c r="N1033" s="43" t="n">
        <v>46193</v>
      </c>
      <c r="O1033" s="26" t="inlineStr">
        <is>
          <t>Sunil CR</t>
        </is>
      </c>
      <c r="P1033" s="26" t="inlineStr">
        <is>
          <t>Yes</t>
        </is>
      </c>
      <c r="Q1033" s="26" t="inlineStr">
        <is>
          <t>No</t>
        </is>
      </c>
      <c r="R1033" s="26" t="inlineStr">
        <is>
          <t>Good finish</t>
        </is>
      </c>
      <c r="S1033" s="26" t="inlineStr">
        <is>
          <t>Yes</t>
        </is>
      </c>
      <c r="T1033" s="27" t="n"/>
      <c r="U1033" s="28" t="inlineStr">
        <is>
          <t>No</t>
        </is>
      </c>
      <c r="V1033" s="29">
        <f>IF(N1033="","",IF(Q1033="Yes","❌ Disc",IF(P1033="No","⚠ Missing",IF(S1033="Yes","✓ OK","⚠ Check"))))</f>
        <v/>
      </c>
      <c r="W1033" s="65" t="n">
        <v>46248</v>
      </c>
      <c r="X1033" s="30" t="inlineStr">
        <is>
          <t>Sunil CR</t>
        </is>
      </c>
      <c r="Y1033" s="30" t="inlineStr">
        <is>
          <t>Yes</t>
        </is>
      </c>
      <c r="Z1033" s="30" t="n"/>
      <c r="AA1033" s="30" t="inlineStr">
        <is>
          <t>Good finish</t>
        </is>
      </c>
      <c r="AB1033" s="30" t="inlineStr">
        <is>
          <t>Yes</t>
        </is>
      </c>
      <c r="AC1033" s="27" t="n"/>
      <c r="AD1033" s="31" t="inlineStr">
        <is>
          <t>No</t>
        </is>
      </c>
      <c r="AE1033" s="32">
        <f>IF(W1033="","",IF(Z1033="Yes","❌ Disc",IF(Y1033="No","⚠ Missing",IF(AB1033="Yes","✓ OK","⚠ Check"))))</f>
        <v/>
      </c>
      <c r="AF1033" s="33" t="n"/>
      <c r="AG1033" s="33" t="n"/>
      <c r="AH1033" s="33" t="n"/>
      <c r="AI1033" s="33" t="n"/>
      <c r="AJ1033" s="33" t="n"/>
      <c r="AK1033" s="33" t="n"/>
      <c r="AL1033" s="27" t="n"/>
      <c r="AM1033" s="34" t="n"/>
      <c r="AN1033" s="35">
        <f>IF(AF1033="","",IF(AI1033="Yes","❌ Disc",IF(AH1033="No","⚠ Missing",IF(AK1033="Yes","✓ OK","⚠ Check"))))</f>
        <v/>
      </c>
      <c r="AO1033" s="36" t="n"/>
      <c r="AP1033" s="36" t="n"/>
      <c r="AQ1033" s="36" t="n"/>
      <c r="AR1033" s="36" t="n"/>
      <c r="AS1033" s="36" t="n"/>
      <c r="AT1033" s="36" t="n"/>
      <c r="AU1033" s="27" t="n"/>
      <c r="AV1033" s="37" t="n"/>
      <c r="AW1033" s="38">
        <f>IF(AO1033="","",IF(AR1033="Yes","❌ Disc",IF(AQ1033="No","⚠ Missing",IF(AT1033="Yes","✓ OK","⚠ Check"))))</f>
        <v/>
      </c>
    </row>
    <row r="1034" ht="18" customHeight="1" s="46">
      <c r="A1034" s="39" t="n">
        <v>1030</v>
      </c>
      <c r="B1034" s="40" t="inlineStr">
        <is>
          <t>BD-VRM-2025-0166</t>
        </is>
      </c>
      <c r="C1034" s="41" t="inlineStr">
        <is>
          <t>LifenColors - Cute Marine Life, Wallpaper Design for Kids Room with Canvas Paper - CN/6040</t>
        </is>
      </c>
      <c r="D1034" s="39" t="inlineStr">
        <is>
          <t>Life n Colors</t>
        </is>
      </c>
      <c r="E1034" s="43" t="n">
        <v>46126</v>
      </c>
      <c r="F1034" s="26" t="inlineStr">
        <is>
          <t>Sunil CR</t>
        </is>
      </c>
      <c r="G1034" s="26" t="inlineStr">
        <is>
          <t>Yes</t>
        </is>
      </c>
      <c r="H1034" s="26" t="inlineStr">
        <is>
          <t>No</t>
        </is>
      </c>
      <c r="I1034" s="26" t="inlineStr">
        <is>
          <t>Good finish</t>
        </is>
      </c>
      <c r="J1034" s="26" t="inlineStr">
        <is>
          <t>Yes</t>
        </is>
      </c>
      <c r="K1034" s="27" t="n"/>
      <c r="L1034" s="28" t="inlineStr">
        <is>
          <t>No</t>
        </is>
      </c>
      <c r="M1034" s="29">
        <f>IF(E1034="","",IF(H1034="Yes","❌ Disc",IF(G1034="No","⚠ Missing",IF(J1034="Yes","✓ OK","⚠ Check"))))</f>
        <v/>
      </c>
      <c r="N1034" s="43" t="n">
        <v>46193</v>
      </c>
      <c r="O1034" s="26" t="inlineStr">
        <is>
          <t>Sunil CR</t>
        </is>
      </c>
      <c r="P1034" s="26" t="inlineStr">
        <is>
          <t>Yes</t>
        </is>
      </c>
      <c r="Q1034" s="26" t="inlineStr">
        <is>
          <t>No</t>
        </is>
      </c>
      <c r="R1034" s="26" t="inlineStr">
        <is>
          <t>Good finish</t>
        </is>
      </c>
      <c r="S1034" s="26" t="inlineStr">
        <is>
          <t>Yes</t>
        </is>
      </c>
      <c r="T1034" s="27" t="n"/>
      <c r="U1034" s="28" t="inlineStr">
        <is>
          <t>No</t>
        </is>
      </c>
      <c r="V1034" s="29">
        <f>IF(N1034="","",IF(Q1034="Yes","❌ Disc",IF(P1034="No","⚠ Missing",IF(S1034="Yes","✓ OK","⚠ Check"))))</f>
        <v/>
      </c>
      <c r="W1034" s="65" t="n">
        <v>46248</v>
      </c>
      <c r="X1034" s="30" t="inlineStr">
        <is>
          <t>Sunil CR</t>
        </is>
      </c>
      <c r="Y1034" s="30" t="inlineStr">
        <is>
          <t>Yes</t>
        </is>
      </c>
      <c r="Z1034" s="30" t="n"/>
      <c r="AA1034" s="30" t="inlineStr">
        <is>
          <t>Good finish</t>
        </is>
      </c>
      <c r="AB1034" s="30" t="inlineStr">
        <is>
          <t>Yes</t>
        </is>
      </c>
      <c r="AC1034" s="27" t="n"/>
      <c r="AD1034" s="31" t="inlineStr">
        <is>
          <t>No</t>
        </is>
      </c>
      <c r="AE1034" s="32">
        <f>IF(W1034="","",IF(Z1034="Yes","❌ Disc",IF(Y1034="No","⚠ Missing",IF(AB1034="Yes","✓ OK","⚠ Check"))))</f>
        <v/>
      </c>
      <c r="AF1034" s="33" t="n"/>
      <c r="AG1034" s="33" t="n"/>
      <c r="AH1034" s="33" t="n"/>
      <c r="AI1034" s="33" t="n"/>
      <c r="AJ1034" s="33" t="n"/>
      <c r="AK1034" s="33" t="n"/>
      <c r="AL1034" s="27" t="n"/>
      <c r="AM1034" s="34" t="n"/>
      <c r="AN1034" s="35">
        <f>IF(AF1034="","",IF(AI1034="Yes","❌ Disc",IF(AH1034="No","⚠ Missing",IF(AK1034="Yes","✓ OK","⚠ Check"))))</f>
        <v/>
      </c>
      <c r="AO1034" s="36" t="n"/>
      <c r="AP1034" s="36" t="n"/>
      <c r="AQ1034" s="36" t="n"/>
      <c r="AR1034" s="36" t="n"/>
      <c r="AS1034" s="36" t="n"/>
      <c r="AT1034" s="36" t="n"/>
      <c r="AU1034" s="27" t="n"/>
      <c r="AV1034" s="37" t="n"/>
      <c r="AW1034" s="38">
        <f>IF(AO1034="","",IF(AR1034="Yes","❌ Disc",IF(AQ1034="No","⚠ Missing",IF(AT1034="Yes","✓ OK","⚠ Check"))))</f>
        <v/>
      </c>
    </row>
    <row r="1035" ht="18" customHeight="1" s="46">
      <c r="A1035" s="23" t="n">
        <v>1031</v>
      </c>
      <c r="B1035" s="24" t="inlineStr">
        <is>
          <t>BD-VRM-2025-0155</t>
        </is>
      </c>
      <c r="C1035" s="25" t="inlineStr">
        <is>
          <t>LifenColors - Dareecha, an Indian Design Wallpaper for Rooms, Red with Canvas Paper - CN/6029</t>
        </is>
      </c>
      <c r="D1035" s="23" t="inlineStr">
        <is>
          <t>Life n Colors</t>
        </is>
      </c>
      <c r="E1035" s="43" t="n">
        <v>46126</v>
      </c>
      <c r="F1035" s="26" t="inlineStr">
        <is>
          <t>Sunil CR</t>
        </is>
      </c>
      <c r="G1035" s="26" t="inlineStr">
        <is>
          <t>Yes</t>
        </is>
      </c>
      <c r="H1035" s="26" t="inlineStr">
        <is>
          <t>No</t>
        </is>
      </c>
      <c r="I1035" s="26" t="inlineStr">
        <is>
          <t>Good finish</t>
        </is>
      </c>
      <c r="J1035" s="26" t="inlineStr">
        <is>
          <t>Yes</t>
        </is>
      </c>
      <c r="K1035" s="27" t="n"/>
      <c r="L1035" s="28" t="inlineStr">
        <is>
          <t>No</t>
        </is>
      </c>
      <c r="M1035" s="29">
        <f>IF(E1035="","",IF(H1035="Yes","❌ Disc",IF(G1035="No","⚠ Missing",IF(J1035="Yes","✓ OK","⚠ Check"))))</f>
        <v/>
      </c>
      <c r="N1035" s="43" t="n">
        <v>46193</v>
      </c>
      <c r="O1035" s="26" t="inlineStr">
        <is>
          <t>Sunil CR</t>
        </is>
      </c>
      <c r="P1035" s="26" t="inlineStr">
        <is>
          <t>Yes</t>
        </is>
      </c>
      <c r="Q1035" s="26" t="inlineStr">
        <is>
          <t>No</t>
        </is>
      </c>
      <c r="R1035" s="26" t="inlineStr">
        <is>
          <t>Good finish</t>
        </is>
      </c>
      <c r="S1035" s="26" t="inlineStr">
        <is>
          <t>Yes</t>
        </is>
      </c>
      <c r="T1035" s="27" t="n"/>
      <c r="U1035" s="28" t="inlineStr">
        <is>
          <t>No</t>
        </is>
      </c>
      <c r="V1035" s="29">
        <f>IF(N1035="","",IF(Q1035="Yes","❌ Disc",IF(P1035="No","⚠ Missing",IF(S1035="Yes","✓ OK","⚠ Check"))))</f>
        <v/>
      </c>
      <c r="W1035" s="65" t="n">
        <v>46248</v>
      </c>
      <c r="X1035" s="30" t="inlineStr">
        <is>
          <t>Sunil CR</t>
        </is>
      </c>
      <c r="Y1035" s="30" t="inlineStr">
        <is>
          <t>Yes</t>
        </is>
      </c>
      <c r="Z1035" s="30" t="n"/>
      <c r="AA1035" s="30" t="inlineStr">
        <is>
          <t>Good finish</t>
        </is>
      </c>
      <c r="AB1035" s="30" t="inlineStr">
        <is>
          <t>Yes</t>
        </is>
      </c>
      <c r="AC1035" s="27" t="n"/>
      <c r="AD1035" s="31" t="inlineStr">
        <is>
          <t>No</t>
        </is>
      </c>
      <c r="AE1035" s="32">
        <f>IF(W1035="","",IF(Z1035="Yes","❌ Disc",IF(Y1035="No","⚠ Missing",IF(AB1035="Yes","✓ OK","⚠ Check"))))</f>
        <v/>
      </c>
      <c r="AF1035" s="33" t="n"/>
      <c r="AG1035" s="33" t="n"/>
      <c r="AH1035" s="33" t="n"/>
      <c r="AI1035" s="33" t="n"/>
      <c r="AJ1035" s="33" t="n"/>
      <c r="AK1035" s="33" t="n"/>
      <c r="AL1035" s="27" t="n"/>
      <c r="AM1035" s="34" t="n"/>
      <c r="AN1035" s="35">
        <f>IF(AF1035="","",IF(AI1035="Yes","❌ Disc",IF(AH1035="No","⚠ Missing",IF(AK1035="Yes","✓ OK","⚠ Check"))))</f>
        <v/>
      </c>
      <c r="AO1035" s="36" t="n"/>
      <c r="AP1035" s="36" t="n"/>
      <c r="AQ1035" s="36" t="n"/>
      <c r="AR1035" s="36" t="n"/>
      <c r="AS1035" s="36" t="n"/>
      <c r="AT1035" s="36" t="n"/>
      <c r="AU1035" s="27" t="n"/>
      <c r="AV1035" s="37" t="n"/>
      <c r="AW1035" s="38">
        <f>IF(AO1035="","",IF(AR1035="Yes","❌ Disc",IF(AQ1035="No","⚠ Missing",IF(AT1035="Yes","✓ OK","⚠ Check"))))</f>
        <v/>
      </c>
    </row>
    <row r="1036" ht="18" customHeight="1" s="46">
      <c r="A1036" s="39" t="n">
        <v>1032</v>
      </c>
      <c r="B1036" s="40" t="inlineStr">
        <is>
          <t>BD-VRM-2025-0163</t>
        </is>
      </c>
      <c r="C1036" s="41" t="inlineStr">
        <is>
          <t>LifenColors - Desert Gallery Greens repeat pattern with Canvas Paper - CN/6037</t>
        </is>
      </c>
      <c r="D1036" s="39" t="inlineStr">
        <is>
          <t>Life n Colors</t>
        </is>
      </c>
      <c r="E1036" s="43" t="n">
        <v>46126</v>
      </c>
      <c r="F1036" s="26" t="inlineStr">
        <is>
          <t>Sunil CR</t>
        </is>
      </c>
      <c r="G1036" s="26" t="inlineStr">
        <is>
          <t>Yes</t>
        </is>
      </c>
      <c r="H1036" s="26" t="inlineStr">
        <is>
          <t>No</t>
        </is>
      </c>
      <c r="I1036" s="26" t="inlineStr">
        <is>
          <t>Good finish</t>
        </is>
      </c>
      <c r="J1036" s="26" t="inlineStr">
        <is>
          <t>Yes</t>
        </is>
      </c>
      <c r="K1036" s="27" t="n"/>
      <c r="L1036" s="28" t="inlineStr">
        <is>
          <t>No</t>
        </is>
      </c>
      <c r="M1036" s="29">
        <f>IF(E1036="","",IF(H1036="Yes","❌ Disc",IF(G1036="No","⚠ Missing",IF(J1036="Yes","✓ OK","⚠ Check"))))</f>
        <v/>
      </c>
      <c r="N1036" s="43" t="n">
        <v>46193</v>
      </c>
      <c r="O1036" s="26" t="inlineStr">
        <is>
          <t>Sunil CR</t>
        </is>
      </c>
      <c r="P1036" s="26" t="inlineStr">
        <is>
          <t>Yes</t>
        </is>
      </c>
      <c r="Q1036" s="26" t="inlineStr">
        <is>
          <t>No</t>
        </is>
      </c>
      <c r="R1036" s="26" t="inlineStr">
        <is>
          <t>Good finish</t>
        </is>
      </c>
      <c r="S1036" s="26" t="inlineStr">
        <is>
          <t>Yes</t>
        </is>
      </c>
      <c r="T1036" s="27" t="n"/>
      <c r="U1036" s="28" t="inlineStr">
        <is>
          <t>No</t>
        </is>
      </c>
      <c r="V1036" s="29">
        <f>IF(N1036="","",IF(Q1036="Yes","❌ Disc",IF(P1036="No","⚠ Missing",IF(S1036="Yes","✓ OK","⚠ Check"))))</f>
        <v/>
      </c>
      <c r="W1036" s="65" t="n">
        <v>46248</v>
      </c>
      <c r="X1036" s="30" t="inlineStr">
        <is>
          <t>Sunil CR</t>
        </is>
      </c>
      <c r="Y1036" s="30" t="inlineStr">
        <is>
          <t>Yes</t>
        </is>
      </c>
      <c r="Z1036" s="30" t="n"/>
      <c r="AA1036" s="30" t="inlineStr">
        <is>
          <t>Good finish</t>
        </is>
      </c>
      <c r="AB1036" s="30" t="inlineStr">
        <is>
          <t>Yes</t>
        </is>
      </c>
      <c r="AC1036" s="27" t="n"/>
      <c r="AD1036" s="31" t="inlineStr">
        <is>
          <t>No</t>
        </is>
      </c>
      <c r="AE1036" s="32">
        <f>IF(W1036="","",IF(Z1036="Yes","❌ Disc",IF(Y1036="No","⚠ Missing",IF(AB1036="Yes","✓ OK","⚠ Check"))))</f>
        <v/>
      </c>
      <c r="AF1036" s="33" t="n"/>
      <c r="AG1036" s="33" t="n"/>
      <c r="AH1036" s="33" t="n"/>
      <c r="AI1036" s="33" t="n"/>
      <c r="AJ1036" s="33" t="n"/>
      <c r="AK1036" s="33" t="n"/>
      <c r="AL1036" s="27" t="n"/>
      <c r="AM1036" s="34" t="n"/>
      <c r="AN1036" s="35">
        <f>IF(AF1036="","",IF(AI1036="Yes","❌ Disc",IF(AH1036="No","⚠ Missing",IF(AK1036="Yes","✓ OK","⚠ Check"))))</f>
        <v/>
      </c>
      <c r="AO1036" s="36" t="n"/>
      <c r="AP1036" s="36" t="n"/>
      <c r="AQ1036" s="36" t="n"/>
      <c r="AR1036" s="36" t="n"/>
      <c r="AS1036" s="36" t="n"/>
      <c r="AT1036" s="36" t="n"/>
      <c r="AU1036" s="27" t="n"/>
      <c r="AV1036" s="37" t="n"/>
      <c r="AW1036" s="38">
        <f>IF(AO1036="","",IF(AR1036="Yes","❌ Disc",IF(AQ1036="No","⚠ Missing",IF(AT1036="Yes","✓ OK","⚠ Check"))))</f>
        <v/>
      </c>
    </row>
    <row r="1037" ht="18" customHeight="1" s="46">
      <c r="A1037" s="23" t="n">
        <v>1033</v>
      </c>
      <c r="B1037" s="24" t="inlineStr">
        <is>
          <t>BD-VRM-2025-0188</t>
        </is>
      </c>
      <c r="C1037" s="25" t="inlineStr">
        <is>
          <t>LifenColors - Dreamy Elephant Design for Kids Room Nursery light mint Wallpaper with Soft Feel Paper - SF/7031</t>
        </is>
      </c>
      <c r="D1037" s="23" t="inlineStr">
        <is>
          <t>Life n Colors</t>
        </is>
      </c>
      <c r="E1037" s="43" t="n">
        <v>46126</v>
      </c>
      <c r="F1037" s="26" t="inlineStr">
        <is>
          <t>Sunil CR</t>
        </is>
      </c>
      <c r="G1037" s="26" t="inlineStr">
        <is>
          <t>Yes</t>
        </is>
      </c>
      <c r="H1037" s="26" t="inlineStr">
        <is>
          <t>No</t>
        </is>
      </c>
      <c r="I1037" s="26" t="inlineStr">
        <is>
          <t>Good finish</t>
        </is>
      </c>
      <c r="J1037" s="26" t="inlineStr">
        <is>
          <t>Yes</t>
        </is>
      </c>
      <c r="K1037" s="27" t="n"/>
      <c r="L1037" s="28" t="inlineStr">
        <is>
          <t>No</t>
        </is>
      </c>
      <c r="M1037" s="29">
        <f>IF(E1037="","",IF(H1037="Yes","❌ Disc",IF(G1037="No","⚠ Missing",IF(J1037="Yes","✓ OK","⚠ Check"))))</f>
        <v/>
      </c>
      <c r="N1037" s="43" t="n">
        <v>46193</v>
      </c>
      <c r="O1037" s="26" t="inlineStr">
        <is>
          <t>Sunil CR</t>
        </is>
      </c>
      <c r="P1037" s="26" t="inlineStr">
        <is>
          <t>Yes</t>
        </is>
      </c>
      <c r="Q1037" s="26" t="inlineStr">
        <is>
          <t>No</t>
        </is>
      </c>
      <c r="R1037" s="26" t="inlineStr">
        <is>
          <t>Good finish</t>
        </is>
      </c>
      <c r="S1037" s="26" t="inlineStr">
        <is>
          <t>Yes</t>
        </is>
      </c>
      <c r="T1037" s="27" t="n"/>
      <c r="U1037" s="28" t="inlineStr">
        <is>
          <t>No</t>
        </is>
      </c>
      <c r="V1037" s="29">
        <f>IF(N1037="","",IF(Q1037="Yes","❌ Disc",IF(P1037="No","⚠ Missing",IF(S1037="Yes","✓ OK","⚠ Check"))))</f>
        <v/>
      </c>
      <c r="W1037" s="65" t="n">
        <v>46248</v>
      </c>
      <c r="X1037" s="30" t="inlineStr">
        <is>
          <t>Sunil CR</t>
        </is>
      </c>
      <c r="Y1037" s="30" t="inlineStr">
        <is>
          <t>Yes</t>
        </is>
      </c>
      <c r="Z1037" s="30" t="n"/>
      <c r="AA1037" s="30" t="inlineStr">
        <is>
          <t>Good finish</t>
        </is>
      </c>
      <c r="AB1037" s="30" t="inlineStr">
        <is>
          <t>Yes</t>
        </is>
      </c>
      <c r="AC1037" s="27" t="n"/>
      <c r="AD1037" s="31" t="inlineStr">
        <is>
          <t>No</t>
        </is>
      </c>
      <c r="AE1037" s="32">
        <f>IF(W1037="","",IF(Z1037="Yes","❌ Disc",IF(Y1037="No","⚠ Missing",IF(AB1037="Yes","✓ OK","⚠ Check"))))</f>
        <v/>
      </c>
      <c r="AF1037" s="33" t="n"/>
      <c r="AG1037" s="33" t="n"/>
      <c r="AH1037" s="33" t="n"/>
      <c r="AI1037" s="33" t="n"/>
      <c r="AJ1037" s="33" t="n"/>
      <c r="AK1037" s="33" t="n"/>
      <c r="AL1037" s="27" t="n"/>
      <c r="AM1037" s="34" t="n"/>
      <c r="AN1037" s="35">
        <f>IF(AF1037="","",IF(AI1037="Yes","❌ Disc",IF(AH1037="No","⚠ Missing",IF(AK1037="Yes","✓ OK","⚠ Check"))))</f>
        <v/>
      </c>
      <c r="AO1037" s="36" t="n"/>
      <c r="AP1037" s="36" t="n"/>
      <c r="AQ1037" s="36" t="n"/>
      <c r="AR1037" s="36" t="n"/>
      <c r="AS1037" s="36" t="n"/>
      <c r="AT1037" s="36" t="n"/>
      <c r="AU1037" s="27" t="n"/>
      <c r="AV1037" s="37" t="n"/>
      <c r="AW1037" s="38">
        <f>IF(AO1037="","",IF(AR1037="Yes","❌ Disc",IF(AQ1037="No","⚠ Missing",IF(AT1037="Yes","✓ OK","⚠ Check"))))</f>
        <v/>
      </c>
    </row>
    <row r="1038" ht="18" customHeight="1" s="46">
      <c r="A1038" s="39" t="n">
        <v>1034</v>
      </c>
      <c r="B1038" s="40" t="inlineStr">
        <is>
          <t>BD-VRM-2025-0164</t>
        </is>
      </c>
      <c r="C1038" s="41" t="inlineStr">
        <is>
          <t>LifenColors - Elephant Elegance Wallpaper with Canvas Paper - CN/6038</t>
        </is>
      </c>
      <c r="D1038" s="39" t="inlineStr">
        <is>
          <t>Life n Colors</t>
        </is>
      </c>
      <c r="E1038" s="43" t="n">
        <v>46126</v>
      </c>
      <c r="F1038" s="26" t="inlineStr">
        <is>
          <t>Sunil CR</t>
        </is>
      </c>
      <c r="G1038" s="26" t="inlineStr">
        <is>
          <t>Yes</t>
        </is>
      </c>
      <c r="H1038" s="26" t="inlineStr">
        <is>
          <t>No</t>
        </is>
      </c>
      <c r="I1038" s="26" t="inlineStr">
        <is>
          <t>Good finish</t>
        </is>
      </c>
      <c r="J1038" s="26" t="inlineStr">
        <is>
          <t>Yes</t>
        </is>
      </c>
      <c r="K1038" s="27" t="n"/>
      <c r="L1038" s="28" t="inlineStr">
        <is>
          <t>No</t>
        </is>
      </c>
      <c r="M1038" s="29">
        <f>IF(E1038="","",IF(H1038="Yes","❌ Disc",IF(G1038="No","⚠ Missing",IF(J1038="Yes","✓ OK","⚠ Check"))))</f>
        <v/>
      </c>
      <c r="N1038" s="43" t="n">
        <v>46193</v>
      </c>
      <c r="O1038" s="26" t="inlineStr">
        <is>
          <t>Sunil CR</t>
        </is>
      </c>
      <c r="P1038" s="26" t="inlineStr">
        <is>
          <t>Yes</t>
        </is>
      </c>
      <c r="Q1038" s="26" t="inlineStr">
        <is>
          <t>No</t>
        </is>
      </c>
      <c r="R1038" s="26" t="inlineStr">
        <is>
          <t>Good finish</t>
        </is>
      </c>
      <c r="S1038" s="26" t="inlineStr">
        <is>
          <t>Yes</t>
        </is>
      </c>
      <c r="T1038" s="27" t="n"/>
      <c r="U1038" s="28" t="inlineStr">
        <is>
          <t>No</t>
        </is>
      </c>
      <c r="V1038" s="29">
        <f>IF(N1038="","",IF(Q1038="Yes","❌ Disc",IF(P1038="No","⚠ Missing",IF(S1038="Yes","✓ OK","⚠ Check"))))</f>
        <v/>
      </c>
      <c r="W1038" s="65" t="n">
        <v>46248</v>
      </c>
      <c r="X1038" s="30" t="inlineStr">
        <is>
          <t>Sunil CR</t>
        </is>
      </c>
      <c r="Y1038" s="30" t="inlineStr">
        <is>
          <t>Yes</t>
        </is>
      </c>
      <c r="Z1038" s="30" t="n"/>
      <c r="AA1038" s="30" t="inlineStr">
        <is>
          <t>Good finish</t>
        </is>
      </c>
      <c r="AB1038" s="30" t="inlineStr">
        <is>
          <t>Yes</t>
        </is>
      </c>
      <c r="AC1038" s="27" t="n"/>
      <c r="AD1038" s="31" t="inlineStr">
        <is>
          <t>No</t>
        </is>
      </c>
      <c r="AE1038" s="32">
        <f>IF(W1038="","",IF(Z1038="Yes","❌ Disc",IF(Y1038="No","⚠ Missing",IF(AB1038="Yes","✓ OK","⚠ Check"))))</f>
        <v/>
      </c>
      <c r="AF1038" s="33" t="n"/>
      <c r="AG1038" s="33" t="n"/>
      <c r="AH1038" s="33" t="n"/>
      <c r="AI1038" s="33" t="n"/>
      <c r="AJ1038" s="33" t="n"/>
      <c r="AK1038" s="33" t="n"/>
      <c r="AL1038" s="27" t="n"/>
      <c r="AM1038" s="34" t="n"/>
      <c r="AN1038" s="35">
        <f>IF(AF1038="","",IF(AI1038="Yes","❌ Disc",IF(AH1038="No","⚠ Missing",IF(AK1038="Yes","✓ OK","⚠ Check"))))</f>
        <v/>
      </c>
      <c r="AO1038" s="36" t="n"/>
      <c r="AP1038" s="36" t="n"/>
      <c r="AQ1038" s="36" t="n"/>
      <c r="AR1038" s="36" t="n"/>
      <c r="AS1038" s="36" t="n"/>
      <c r="AT1038" s="36" t="n"/>
      <c r="AU1038" s="27" t="n"/>
      <c r="AV1038" s="37" t="n"/>
      <c r="AW1038" s="38">
        <f>IF(AO1038="","",IF(AR1038="Yes","❌ Disc",IF(AQ1038="No","⚠ Missing",IF(AT1038="Yes","✓ OK","⚠ Check"))))</f>
        <v/>
      </c>
    </row>
    <row r="1039" ht="18" customHeight="1" s="46">
      <c r="A1039" s="23" t="n">
        <v>1035</v>
      </c>
      <c r="B1039" s="24" t="inlineStr">
        <is>
          <t>BD-VRM-2025-0189</t>
        </is>
      </c>
      <c r="C1039" s="25" t="inlineStr">
        <is>
          <t>LifenColors - Enchanting Unicorn Dreams Lilac Wallpaper For Kids room with Soft Feel Paper - SF/7032</t>
        </is>
      </c>
      <c r="D1039" s="23" t="inlineStr">
        <is>
          <t>Life n Colors</t>
        </is>
      </c>
      <c r="E1039" s="43" t="n">
        <v>46126</v>
      </c>
      <c r="F1039" s="26" t="inlineStr">
        <is>
          <t>Sunil CR</t>
        </is>
      </c>
      <c r="G1039" s="26" t="inlineStr">
        <is>
          <t>Yes</t>
        </is>
      </c>
      <c r="H1039" s="26" t="inlineStr">
        <is>
          <t>No</t>
        </is>
      </c>
      <c r="I1039" s="26" t="inlineStr">
        <is>
          <t>Good finish</t>
        </is>
      </c>
      <c r="J1039" s="26" t="inlineStr">
        <is>
          <t>Yes</t>
        </is>
      </c>
      <c r="K1039" s="27" t="n"/>
      <c r="L1039" s="28" t="inlineStr">
        <is>
          <t>No</t>
        </is>
      </c>
      <c r="M1039" s="29">
        <f>IF(E1039="","",IF(H1039="Yes","❌ Disc",IF(G1039="No","⚠ Missing",IF(J1039="Yes","✓ OK","⚠ Check"))))</f>
        <v/>
      </c>
      <c r="N1039" s="43" t="n">
        <v>46193</v>
      </c>
      <c r="O1039" s="26" t="inlineStr">
        <is>
          <t>Sunil CR</t>
        </is>
      </c>
      <c r="P1039" s="26" t="inlineStr">
        <is>
          <t>Yes</t>
        </is>
      </c>
      <c r="Q1039" s="26" t="inlineStr">
        <is>
          <t>No</t>
        </is>
      </c>
      <c r="R1039" s="26" t="inlineStr">
        <is>
          <t>Good finish</t>
        </is>
      </c>
      <c r="S1039" s="26" t="inlineStr">
        <is>
          <t>Yes</t>
        </is>
      </c>
      <c r="T1039" s="27" t="n"/>
      <c r="U1039" s="28" t="inlineStr">
        <is>
          <t>No</t>
        </is>
      </c>
      <c r="V1039" s="29">
        <f>IF(N1039="","",IF(Q1039="Yes","❌ Disc",IF(P1039="No","⚠ Missing",IF(S1039="Yes","✓ OK","⚠ Check"))))</f>
        <v/>
      </c>
      <c r="W1039" s="65" t="n">
        <v>46248</v>
      </c>
      <c r="X1039" s="30" t="inlineStr">
        <is>
          <t>Sunil CR</t>
        </is>
      </c>
      <c r="Y1039" s="30" t="inlineStr">
        <is>
          <t>Yes</t>
        </is>
      </c>
      <c r="Z1039" s="30" t="n"/>
      <c r="AA1039" s="30" t="inlineStr">
        <is>
          <t>Good finish</t>
        </is>
      </c>
      <c r="AB1039" s="30" t="inlineStr">
        <is>
          <t>Yes</t>
        </is>
      </c>
      <c r="AC1039" s="27" t="n"/>
      <c r="AD1039" s="31" t="inlineStr">
        <is>
          <t>No</t>
        </is>
      </c>
      <c r="AE1039" s="32">
        <f>IF(W1039="","",IF(Z1039="Yes","❌ Disc",IF(Y1039="No","⚠ Missing",IF(AB1039="Yes","✓ OK","⚠ Check"))))</f>
        <v/>
      </c>
      <c r="AF1039" s="33" t="n"/>
      <c r="AG1039" s="33" t="n"/>
      <c r="AH1039" s="33" t="n"/>
      <c r="AI1039" s="33" t="n"/>
      <c r="AJ1039" s="33" t="n"/>
      <c r="AK1039" s="33" t="n"/>
      <c r="AL1039" s="27" t="n"/>
      <c r="AM1039" s="34" t="n"/>
      <c r="AN1039" s="35">
        <f>IF(AF1039="","",IF(AI1039="Yes","❌ Disc",IF(AH1039="No","⚠ Missing",IF(AK1039="Yes","✓ OK","⚠ Check"))))</f>
        <v/>
      </c>
      <c r="AO1039" s="36" t="n"/>
      <c r="AP1039" s="36" t="n"/>
      <c r="AQ1039" s="36" t="n"/>
      <c r="AR1039" s="36" t="n"/>
      <c r="AS1039" s="36" t="n"/>
      <c r="AT1039" s="36" t="n"/>
      <c r="AU1039" s="27" t="n"/>
      <c r="AV1039" s="37" t="n"/>
      <c r="AW1039" s="38">
        <f>IF(AO1039="","",IF(AR1039="Yes","❌ Disc",IF(AQ1039="No","⚠ Missing",IF(AT1039="Yes","✓ OK","⚠ Check"))))</f>
        <v/>
      </c>
    </row>
    <row r="1040" ht="18" customHeight="1" s="46">
      <c r="A1040" s="39" t="n">
        <v>1036</v>
      </c>
      <c r="B1040" s="40" t="inlineStr">
        <is>
          <t>BD-VRM-2025-0195</t>
        </is>
      </c>
      <c r="C1040" s="41" t="inlineStr">
        <is>
          <t>LifenColors - Ethereal Waves Wallpaper Repeat Pattern with Soft Feel Paper - SF/7038</t>
        </is>
      </c>
      <c r="D1040" s="39" t="inlineStr">
        <is>
          <t>Life n Colors</t>
        </is>
      </c>
      <c r="E1040" s="43" t="n">
        <v>46126</v>
      </c>
      <c r="F1040" s="26" t="inlineStr">
        <is>
          <t>Sunil CR</t>
        </is>
      </c>
      <c r="G1040" s="26" t="inlineStr">
        <is>
          <t>Yes</t>
        </is>
      </c>
      <c r="H1040" s="26" t="inlineStr">
        <is>
          <t>No</t>
        </is>
      </c>
      <c r="I1040" s="26" t="inlineStr">
        <is>
          <t>Good finish</t>
        </is>
      </c>
      <c r="J1040" s="26" t="inlineStr">
        <is>
          <t>Yes</t>
        </is>
      </c>
      <c r="K1040" s="27" t="n"/>
      <c r="L1040" s="28" t="inlineStr">
        <is>
          <t>No</t>
        </is>
      </c>
      <c r="M1040" s="29">
        <f>IF(E1040="","",IF(H1040="Yes","❌ Disc",IF(G1040="No","⚠ Missing",IF(J1040="Yes","✓ OK","⚠ Check"))))</f>
        <v/>
      </c>
      <c r="N1040" s="43" t="n">
        <v>46193</v>
      </c>
      <c r="O1040" s="26" t="inlineStr">
        <is>
          <t>Sunil CR</t>
        </is>
      </c>
      <c r="P1040" s="26" t="inlineStr">
        <is>
          <t>Yes</t>
        </is>
      </c>
      <c r="Q1040" s="26" t="inlineStr">
        <is>
          <t>No</t>
        </is>
      </c>
      <c r="R1040" s="26" t="inlineStr">
        <is>
          <t>Good finish</t>
        </is>
      </c>
      <c r="S1040" s="26" t="inlineStr">
        <is>
          <t>Yes</t>
        </is>
      </c>
      <c r="T1040" s="27" t="n"/>
      <c r="U1040" s="28" t="inlineStr">
        <is>
          <t>No</t>
        </is>
      </c>
      <c r="V1040" s="29">
        <f>IF(N1040="","",IF(Q1040="Yes","❌ Disc",IF(P1040="No","⚠ Missing",IF(S1040="Yes","✓ OK","⚠ Check"))))</f>
        <v/>
      </c>
      <c r="W1040" s="65" t="n">
        <v>46248</v>
      </c>
      <c r="X1040" s="30" t="inlineStr">
        <is>
          <t>Sunil CR</t>
        </is>
      </c>
      <c r="Y1040" s="30" t="inlineStr">
        <is>
          <t>Yes</t>
        </is>
      </c>
      <c r="Z1040" s="30" t="n"/>
      <c r="AA1040" s="30" t="inlineStr">
        <is>
          <t>Good finish</t>
        </is>
      </c>
      <c r="AB1040" s="30" t="inlineStr">
        <is>
          <t>Yes</t>
        </is>
      </c>
      <c r="AC1040" s="27" t="n"/>
      <c r="AD1040" s="31" t="inlineStr">
        <is>
          <t>No</t>
        </is>
      </c>
      <c r="AE1040" s="32">
        <f>IF(W1040="","",IF(Z1040="Yes","❌ Disc",IF(Y1040="No","⚠ Missing",IF(AB1040="Yes","✓ OK","⚠ Check"))))</f>
        <v/>
      </c>
      <c r="AF1040" s="33" t="n"/>
      <c r="AG1040" s="33" t="n"/>
      <c r="AH1040" s="33" t="n"/>
      <c r="AI1040" s="33" t="n"/>
      <c r="AJ1040" s="33" t="n"/>
      <c r="AK1040" s="33" t="n"/>
      <c r="AL1040" s="27" t="n"/>
      <c r="AM1040" s="34" t="n"/>
      <c r="AN1040" s="35">
        <f>IF(AF1040="","",IF(AI1040="Yes","❌ Disc",IF(AH1040="No","⚠ Missing",IF(AK1040="Yes","✓ OK","⚠ Check"))))</f>
        <v/>
      </c>
      <c r="AO1040" s="36" t="n"/>
      <c r="AP1040" s="36" t="n"/>
      <c r="AQ1040" s="36" t="n"/>
      <c r="AR1040" s="36" t="n"/>
      <c r="AS1040" s="36" t="n"/>
      <c r="AT1040" s="36" t="n"/>
      <c r="AU1040" s="27" t="n"/>
      <c r="AV1040" s="37" t="n"/>
      <c r="AW1040" s="38">
        <f>IF(AO1040="","",IF(AR1040="Yes","❌ Disc",IF(AQ1040="No","⚠ Missing",IF(AT1040="Yes","✓ OK","⚠ Check"))))</f>
        <v/>
      </c>
    </row>
    <row r="1041" ht="18" customHeight="1" s="46">
      <c r="A1041" s="23" t="n">
        <v>1037</v>
      </c>
      <c r="B1041" s="24" t="inlineStr">
        <is>
          <t>BD-VRM-2025-0178</t>
        </is>
      </c>
      <c r="C1041" s="25" t="inlineStr">
        <is>
          <t>LifenColors - Farm land with animal beige color with Soft Feel Paper - SF/7021</t>
        </is>
      </c>
      <c r="D1041" s="23" t="inlineStr">
        <is>
          <t>Life n Colors</t>
        </is>
      </c>
      <c r="E1041" s="43" t="n">
        <v>46126</v>
      </c>
      <c r="F1041" s="26" t="inlineStr">
        <is>
          <t>Sunil CR</t>
        </is>
      </c>
      <c r="G1041" s="26" t="inlineStr">
        <is>
          <t>Yes</t>
        </is>
      </c>
      <c r="H1041" s="26" t="inlineStr">
        <is>
          <t>No</t>
        </is>
      </c>
      <c r="I1041" s="26" t="inlineStr">
        <is>
          <t>Good finish</t>
        </is>
      </c>
      <c r="J1041" s="26" t="inlineStr">
        <is>
          <t>Yes</t>
        </is>
      </c>
      <c r="K1041" s="27" t="n"/>
      <c r="L1041" s="28" t="inlineStr">
        <is>
          <t>No</t>
        </is>
      </c>
      <c r="M1041" s="29">
        <f>IF(E1041="","",IF(H1041="Yes","❌ Disc",IF(G1041="No","⚠ Missing",IF(J1041="Yes","✓ OK","⚠ Check"))))</f>
        <v/>
      </c>
      <c r="N1041" s="43" t="n">
        <v>46193</v>
      </c>
      <c r="O1041" s="26" t="inlineStr">
        <is>
          <t>Sunil CR</t>
        </is>
      </c>
      <c r="P1041" s="26" t="inlineStr">
        <is>
          <t>Yes</t>
        </is>
      </c>
      <c r="Q1041" s="26" t="inlineStr">
        <is>
          <t>No</t>
        </is>
      </c>
      <c r="R1041" s="26" t="inlineStr">
        <is>
          <t>Good finish</t>
        </is>
      </c>
      <c r="S1041" s="26" t="inlineStr">
        <is>
          <t>Yes</t>
        </is>
      </c>
      <c r="T1041" s="27" t="n"/>
      <c r="U1041" s="28" t="inlineStr">
        <is>
          <t>No</t>
        </is>
      </c>
      <c r="V1041" s="29">
        <f>IF(N1041="","",IF(Q1041="Yes","❌ Disc",IF(P1041="No","⚠ Missing",IF(S1041="Yes","✓ OK","⚠ Check"))))</f>
        <v/>
      </c>
      <c r="W1041" s="65" t="n">
        <v>46248</v>
      </c>
      <c r="X1041" s="30" t="inlineStr">
        <is>
          <t>Sunil CR</t>
        </is>
      </c>
      <c r="Y1041" s="30" t="inlineStr">
        <is>
          <t>Yes</t>
        </is>
      </c>
      <c r="Z1041" s="30" t="n"/>
      <c r="AA1041" s="30" t="inlineStr">
        <is>
          <t>Good finish</t>
        </is>
      </c>
      <c r="AB1041" s="30" t="inlineStr">
        <is>
          <t>Yes</t>
        </is>
      </c>
      <c r="AC1041" s="27" t="n"/>
      <c r="AD1041" s="31" t="inlineStr">
        <is>
          <t>No</t>
        </is>
      </c>
      <c r="AE1041" s="32">
        <f>IF(W1041="","",IF(Z1041="Yes","❌ Disc",IF(Y1041="No","⚠ Missing",IF(AB1041="Yes","✓ OK","⚠ Check"))))</f>
        <v/>
      </c>
      <c r="AF1041" s="33" t="n"/>
      <c r="AG1041" s="33" t="n"/>
      <c r="AH1041" s="33" t="n"/>
      <c r="AI1041" s="33" t="n"/>
      <c r="AJ1041" s="33" t="n"/>
      <c r="AK1041" s="33" t="n"/>
      <c r="AL1041" s="27" t="n"/>
      <c r="AM1041" s="34" t="n"/>
      <c r="AN1041" s="35">
        <f>IF(AF1041="","",IF(AI1041="Yes","❌ Disc",IF(AH1041="No","⚠ Missing",IF(AK1041="Yes","✓ OK","⚠ Check"))))</f>
        <v/>
      </c>
      <c r="AO1041" s="36" t="n"/>
      <c r="AP1041" s="36" t="n"/>
      <c r="AQ1041" s="36" t="n"/>
      <c r="AR1041" s="36" t="n"/>
      <c r="AS1041" s="36" t="n"/>
      <c r="AT1041" s="36" t="n"/>
      <c r="AU1041" s="27" t="n"/>
      <c r="AV1041" s="37" t="n"/>
      <c r="AW1041" s="38">
        <f>IF(AO1041="","",IF(AR1041="Yes","❌ Disc",IF(AQ1041="No","⚠ Missing",IF(AT1041="Yes","✓ OK","⚠ Check"))))</f>
        <v/>
      </c>
    </row>
    <row r="1042" ht="18" customHeight="1" s="46">
      <c r="A1042" s="39" t="n">
        <v>1038</v>
      </c>
      <c r="B1042" s="40" t="inlineStr">
        <is>
          <t>BD-VRM-2025-0179</t>
        </is>
      </c>
      <c r="C1042" s="41" t="inlineStr">
        <is>
          <t>LifenColors - Farm land with animal with white background color with Soft Feel Paper - SF/7022</t>
        </is>
      </c>
      <c r="D1042" s="39" t="inlineStr">
        <is>
          <t>Life n Colors</t>
        </is>
      </c>
      <c r="E1042" s="43" t="n">
        <v>46126</v>
      </c>
      <c r="F1042" s="26" t="inlineStr">
        <is>
          <t>Sunil CR</t>
        </is>
      </c>
      <c r="G1042" s="26" t="inlineStr">
        <is>
          <t>Yes</t>
        </is>
      </c>
      <c r="H1042" s="26" t="inlineStr">
        <is>
          <t>No</t>
        </is>
      </c>
      <c r="I1042" s="26" t="inlineStr">
        <is>
          <t>Good finish</t>
        </is>
      </c>
      <c r="J1042" s="26" t="inlineStr">
        <is>
          <t>Yes</t>
        </is>
      </c>
      <c r="K1042" s="27" t="n"/>
      <c r="L1042" s="28" t="inlineStr">
        <is>
          <t>No</t>
        </is>
      </c>
      <c r="M1042" s="29">
        <f>IF(E1042="","",IF(H1042="Yes","❌ Disc",IF(G1042="No","⚠ Missing",IF(J1042="Yes","✓ OK","⚠ Check"))))</f>
        <v/>
      </c>
      <c r="N1042" s="43" t="n">
        <v>46193</v>
      </c>
      <c r="O1042" s="26" t="inlineStr">
        <is>
          <t>Sunil CR</t>
        </is>
      </c>
      <c r="P1042" s="26" t="inlineStr">
        <is>
          <t>Yes</t>
        </is>
      </c>
      <c r="Q1042" s="26" t="inlineStr">
        <is>
          <t>No</t>
        </is>
      </c>
      <c r="R1042" s="26" t="inlineStr">
        <is>
          <t>Good finish</t>
        </is>
      </c>
      <c r="S1042" s="26" t="inlineStr">
        <is>
          <t>Yes</t>
        </is>
      </c>
      <c r="T1042" s="27" t="n"/>
      <c r="U1042" s="28" t="inlineStr">
        <is>
          <t>No</t>
        </is>
      </c>
      <c r="V1042" s="29">
        <f>IF(N1042="","",IF(Q1042="Yes","❌ Disc",IF(P1042="No","⚠ Missing",IF(S1042="Yes","✓ OK","⚠ Check"))))</f>
        <v/>
      </c>
      <c r="W1042" s="65" t="n">
        <v>46248</v>
      </c>
      <c r="X1042" s="30" t="inlineStr">
        <is>
          <t>Sunil CR</t>
        </is>
      </c>
      <c r="Y1042" s="30" t="inlineStr">
        <is>
          <t>Yes</t>
        </is>
      </c>
      <c r="Z1042" s="30" t="n"/>
      <c r="AA1042" s="30" t="inlineStr">
        <is>
          <t>Good finish</t>
        </is>
      </c>
      <c r="AB1042" s="30" t="inlineStr">
        <is>
          <t>Yes</t>
        </is>
      </c>
      <c r="AC1042" s="27" t="n"/>
      <c r="AD1042" s="31" t="inlineStr">
        <is>
          <t>No</t>
        </is>
      </c>
      <c r="AE1042" s="32">
        <f>IF(W1042="","",IF(Z1042="Yes","❌ Disc",IF(Y1042="No","⚠ Missing",IF(AB1042="Yes","✓ OK","⚠ Check"))))</f>
        <v/>
      </c>
      <c r="AF1042" s="33" t="n"/>
      <c r="AG1042" s="33" t="n"/>
      <c r="AH1042" s="33" t="n"/>
      <c r="AI1042" s="33" t="n"/>
      <c r="AJ1042" s="33" t="n"/>
      <c r="AK1042" s="33" t="n"/>
      <c r="AL1042" s="27" t="n"/>
      <c r="AM1042" s="34" t="n"/>
      <c r="AN1042" s="35">
        <f>IF(AF1042="","",IF(AI1042="Yes","❌ Disc",IF(AH1042="No","⚠ Missing",IF(AK1042="Yes","✓ OK","⚠ Check"))))</f>
        <v/>
      </c>
      <c r="AO1042" s="36" t="n"/>
      <c r="AP1042" s="36" t="n"/>
      <c r="AQ1042" s="36" t="n"/>
      <c r="AR1042" s="36" t="n"/>
      <c r="AS1042" s="36" t="n"/>
      <c r="AT1042" s="36" t="n"/>
      <c r="AU1042" s="27" t="n"/>
      <c r="AV1042" s="37" t="n"/>
      <c r="AW1042" s="38">
        <f>IF(AO1042="","",IF(AR1042="Yes","❌ Disc",IF(AQ1042="No","⚠ Missing",IF(AT1042="Yes","✓ OK","⚠ Check"))))</f>
        <v/>
      </c>
    </row>
    <row r="1043" ht="18" customHeight="1" s="46">
      <c r="A1043" s="23" t="n">
        <v>1039</v>
      </c>
      <c r="B1043" s="24" t="inlineStr">
        <is>
          <t>BD-VRM-2025-0182</t>
        </is>
      </c>
      <c r="C1043" s="25" t="inlineStr">
        <is>
          <t>LifenColors - Funland Adventure Park , Kids room wallpaper with peach background with Soft Feel Paper - SF/7025</t>
        </is>
      </c>
      <c r="D1043" s="23" t="inlineStr">
        <is>
          <t>Life n Colors</t>
        </is>
      </c>
      <c r="E1043" s="43" t="n">
        <v>46126</v>
      </c>
      <c r="F1043" s="26" t="inlineStr">
        <is>
          <t>Sunil CR</t>
        </is>
      </c>
      <c r="G1043" s="26" t="inlineStr">
        <is>
          <t>Yes</t>
        </is>
      </c>
      <c r="H1043" s="26" t="inlineStr">
        <is>
          <t>No</t>
        </is>
      </c>
      <c r="I1043" s="26" t="inlineStr">
        <is>
          <t>Good finish</t>
        </is>
      </c>
      <c r="J1043" s="26" t="inlineStr">
        <is>
          <t>Yes</t>
        </is>
      </c>
      <c r="K1043" s="27" t="n"/>
      <c r="L1043" s="28" t="inlineStr">
        <is>
          <t>No</t>
        </is>
      </c>
      <c r="M1043" s="29">
        <f>IF(E1043="","",IF(H1043="Yes","❌ Disc",IF(G1043="No","⚠ Missing",IF(J1043="Yes","✓ OK","⚠ Check"))))</f>
        <v/>
      </c>
      <c r="N1043" s="43" t="n">
        <v>46193</v>
      </c>
      <c r="O1043" s="26" t="inlineStr">
        <is>
          <t>Sunil CR</t>
        </is>
      </c>
      <c r="P1043" s="26" t="inlineStr">
        <is>
          <t>Yes</t>
        </is>
      </c>
      <c r="Q1043" s="26" t="inlineStr">
        <is>
          <t>No</t>
        </is>
      </c>
      <c r="R1043" s="26" t="inlineStr">
        <is>
          <t>Good finish</t>
        </is>
      </c>
      <c r="S1043" s="26" t="inlineStr">
        <is>
          <t>Yes</t>
        </is>
      </c>
      <c r="T1043" s="27" t="n"/>
      <c r="U1043" s="28" t="inlineStr">
        <is>
          <t>No</t>
        </is>
      </c>
      <c r="V1043" s="29">
        <f>IF(N1043="","",IF(Q1043="Yes","❌ Disc",IF(P1043="No","⚠ Missing",IF(S1043="Yes","✓ OK","⚠ Check"))))</f>
        <v/>
      </c>
      <c r="W1043" s="65" t="n">
        <v>46248</v>
      </c>
      <c r="X1043" s="30" t="inlineStr">
        <is>
          <t>Sunil CR</t>
        </is>
      </c>
      <c r="Y1043" s="30" t="inlineStr">
        <is>
          <t>Yes</t>
        </is>
      </c>
      <c r="Z1043" s="30" t="n"/>
      <c r="AA1043" s="30" t="inlineStr">
        <is>
          <t>Good finish</t>
        </is>
      </c>
      <c r="AB1043" s="30" t="inlineStr">
        <is>
          <t>Yes</t>
        </is>
      </c>
      <c r="AC1043" s="27" t="n"/>
      <c r="AD1043" s="31" t="inlineStr">
        <is>
          <t>No</t>
        </is>
      </c>
      <c r="AE1043" s="32">
        <f>IF(W1043="","",IF(Z1043="Yes","❌ Disc",IF(Y1043="No","⚠ Missing",IF(AB1043="Yes","✓ OK","⚠ Check"))))</f>
        <v/>
      </c>
      <c r="AF1043" s="33" t="n"/>
      <c r="AG1043" s="33" t="n"/>
      <c r="AH1043" s="33" t="n"/>
      <c r="AI1043" s="33" t="n"/>
      <c r="AJ1043" s="33" t="n"/>
      <c r="AK1043" s="33" t="n"/>
      <c r="AL1043" s="27" t="n"/>
      <c r="AM1043" s="34" t="n"/>
      <c r="AN1043" s="35">
        <f>IF(AF1043="","",IF(AI1043="Yes","❌ Disc",IF(AH1043="No","⚠ Missing",IF(AK1043="Yes","✓ OK","⚠ Check"))))</f>
        <v/>
      </c>
      <c r="AO1043" s="36" t="n"/>
      <c r="AP1043" s="36" t="n"/>
      <c r="AQ1043" s="36" t="n"/>
      <c r="AR1043" s="36" t="n"/>
      <c r="AS1043" s="36" t="n"/>
      <c r="AT1043" s="36" t="n"/>
      <c r="AU1043" s="27" t="n"/>
      <c r="AV1043" s="37" t="n"/>
      <c r="AW1043" s="38">
        <f>IF(AO1043="","",IF(AR1043="Yes","❌ Disc",IF(AQ1043="No","⚠ Missing",IF(AT1043="Yes","✓ OK","⚠ Check"))))</f>
        <v/>
      </c>
    </row>
    <row r="1044" ht="18" customHeight="1" s="46">
      <c r="A1044" s="39" t="n">
        <v>1040</v>
      </c>
      <c r="B1044" s="40" t="inlineStr">
        <is>
          <t>BD-VRM-2025-0174</t>
        </is>
      </c>
      <c r="C1044" s="41" t="inlineStr">
        <is>
          <t>LifenColors - Gameboard Gallery Wallpaper Customised for Kids with Soft Feel Paper - SF/7011</t>
        </is>
      </c>
      <c r="D1044" s="39" t="inlineStr">
        <is>
          <t>Life n Colors</t>
        </is>
      </c>
      <c r="E1044" s="43" t="n">
        <v>46126</v>
      </c>
      <c r="F1044" s="26" t="inlineStr">
        <is>
          <t>Sunil CR</t>
        </is>
      </c>
      <c r="G1044" s="26" t="inlineStr">
        <is>
          <t>Yes</t>
        </is>
      </c>
      <c r="H1044" s="26" t="inlineStr">
        <is>
          <t>No</t>
        </is>
      </c>
      <c r="I1044" s="26" t="inlineStr">
        <is>
          <t>Good finish</t>
        </is>
      </c>
      <c r="J1044" s="26" t="inlineStr">
        <is>
          <t>Yes</t>
        </is>
      </c>
      <c r="K1044" s="27" t="n"/>
      <c r="L1044" s="28" t="inlineStr">
        <is>
          <t>No</t>
        </is>
      </c>
      <c r="M1044" s="29">
        <f>IF(E1044="","",IF(H1044="Yes","❌ Disc",IF(G1044="No","⚠ Missing",IF(J1044="Yes","✓ OK","⚠ Check"))))</f>
        <v/>
      </c>
      <c r="N1044" s="43" t="n">
        <v>46193</v>
      </c>
      <c r="O1044" s="26" t="inlineStr">
        <is>
          <t>Sunil CR</t>
        </is>
      </c>
      <c r="P1044" s="26" t="inlineStr">
        <is>
          <t>Yes</t>
        </is>
      </c>
      <c r="Q1044" s="26" t="inlineStr">
        <is>
          <t>No</t>
        </is>
      </c>
      <c r="R1044" s="26" t="inlineStr">
        <is>
          <t>Good finish</t>
        </is>
      </c>
      <c r="S1044" s="26" t="inlineStr">
        <is>
          <t>Yes</t>
        </is>
      </c>
      <c r="T1044" s="27" t="n"/>
      <c r="U1044" s="28" t="inlineStr">
        <is>
          <t>No</t>
        </is>
      </c>
      <c r="V1044" s="29">
        <f>IF(N1044="","",IF(Q1044="Yes","❌ Disc",IF(P1044="No","⚠ Missing",IF(S1044="Yes","✓ OK","⚠ Check"))))</f>
        <v/>
      </c>
      <c r="W1044" s="65" t="n">
        <v>46248</v>
      </c>
      <c r="X1044" s="30" t="inlineStr">
        <is>
          <t>Sunil CR</t>
        </is>
      </c>
      <c r="Y1044" s="30" t="inlineStr">
        <is>
          <t>Yes</t>
        </is>
      </c>
      <c r="Z1044" s="30" t="n"/>
      <c r="AA1044" s="30" t="inlineStr">
        <is>
          <t>Good finish</t>
        </is>
      </c>
      <c r="AB1044" s="30" t="inlineStr">
        <is>
          <t>Yes</t>
        </is>
      </c>
      <c r="AC1044" s="27" t="n"/>
      <c r="AD1044" s="31" t="inlineStr">
        <is>
          <t>No</t>
        </is>
      </c>
      <c r="AE1044" s="32">
        <f>IF(W1044="","",IF(Z1044="Yes","❌ Disc",IF(Y1044="No","⚠ Missing",IF(AB1044="Yes","✓ OK","⚠ Check"))))</f>
        <v/>
      </c>
      <c r="AF1044" s="33" t="n"/>
      <c r="AG1044" s="33" t="n"/>
      <c r="AH1044" s="33" t="n"/>
      <c r="AI1044" s="33" t="n"/>
      <c r="AJ1044" s="33" t="n"/>
      <c r="AK1044" s="33" t="n"/>
      <c r="AL1044" s="27" t="n"/>
      <c r="AM1044" s="34" t="n"/>
      <c r="AN1044" s="35">
        <f>IF(AF1044="","",IF(AI1044="Yes","❌ Disc",IF(AH1044="No","⚠ Missing",IF(AK1044="Yes","✓ OK","⚠ Check"))))</f>
        <v/>
      </c>
      <c r="AO1044" s="36" t="n"/>
      <c r="AP1044" s="36" t="n"/>
      <c r="AQ1044" s="36" t="n"/>
      <c r="AR1044" s="36" t="n"/>
      <c r="AS1044" s="36" t="n"/>
      <c r="AT1044" s="36" t="n"/>
      <c r="AU1044" s="27" t="n"/>
      <c r="AV1044" s="37" t="n"/>
      <c r="AW1044" s="38">
        <f>IF(AO1044="","",IF(AR1044="Yes","❌ Disc",IF(AQ1044="No","⚠ Missing",IF(AT1044="Yes","✓ OK","⚠ Check"))))</f>
        <v/>
      </c>
    </row>
    <row r="1045" ht="18" customHeight="1" s="46">
      <c r="A1045" s="23" t="n">
        <v>1041</v>
      </c>
      <c r="B1045" s="24" t="inlineStr">
        <is>
          <t>BD-VRM-2025-0157</t>
        </is>
      </c>
      <c r="C1045" s="25" t="inlineStr">
        <is>
          <t>LifenColors - Golden Leaves Design Wallpaper Roll in Green Color with Canvas Paper - CN/6031</t>
        </is>
      </c>
      <c r="D1045" s="23" t="inlineStr">
        <is>
          <t>Life n Colors</t>
        </is>
      </c>
      <c r="E1045" s="43" t="n">
        <v>46126</v>
      </c>
      <c r="F1045" s="26" t="inlineStr">
        <is>
          <t>Sunil CR</t>
        </is>
      </c>
      <c r="G1045" s="26" t="inlineStr">
        <is>
          <t>Yes</t>
        </is>
      </c>
      <c r="H1045" s="26" t="inlineStr">
        <is>
          <t>No</t>
        </is>
      </c>
      <c r="I1045" s="26" t="inlineStr">
        <is>
          <t>Good finish</t>
        </is>
      </c>
      <c r="J1045" s="26" t="inlineStr">
        <is>
          <t>Yes</t>
        </is>
      </c>
      <c r="K1045" s="27" t="n"/>
      <c r="L1045" s="28" t="inlineStr">
        <is>
          <t>No</t>
        </is>
      </c>
      <c r="M1045" s="29">
        <f>IF(E1045="","",IF(H1045="Yes","❌ Disc",IF(G1045="No","⚠ Missing",IF(J1045="Yes","✓ OK","⚠ Check"))))</f>
        <v/>
      </c>
      <c r="N1045" s="43" t="n">
        <v>46193</v>
      </c>
      <c r="O1045" s="26" t="inlineStr">
        <is>
          <t>Sunil CR</t>
        </is>
      </c>
      <c r="P1045" s="26" t="inlineStr">
        <is>
          <t>Yes</t>
        </is>
      </c>
      <c r="Q1045" s="26" t="inlineStr">
        <is>
          <t>No</t>
        </is>
      </c>
      <c r="R1045" s="26" t="inlineStr">
        <is>
          <t>Good finish</t>
        </is>
      </c>
      <c r="S1045" s="26" t="inlineStr">
        <is>
          <t>Yes</t>
        </is>
      </c>
      <c r="T1045" s="27" t="n"/>
      <c r="U1045" s="28" t="inlineStr">
        <is>
          <t>No</t>
        </is>
      </c>
      <c r="V1045" s="29">
        <f>IF(N1045="","",IF(Q1045="Yes","❌ Disc",IF(P1045="No","⚠ Missing",IF(S1045="Yes","✓ OK","⚠ Check"))))</f>
        <v/>
      </c>
      <c r="W1045" s="65" t="n">
        <v>46248</v>
      </c>
      <c r="X1045" s="30" t="inlineStr">
        <is>
          <t>Sunil CR</t>
        </is>
      </c>
      <c r="Y1045" s="30" t="inlineStr">
        <is>
          <t>Yes</t>
        </is>
      </c>
      <c r="Z1045" s="30" t="n"/>
      <c r="AA1045" s="30" t="inlineStr">
        <is>
          <t>Good finish</t>
        </is>
      </c>
      <c r="AB1045" s="30" t="inlineStr">
        <is>
          <t>Yes</t>
        </is>
      </c>
      <c r="AC1045" s="27" t="n"/>
      <c r="AD1045" s="31" t="inlineStr">
        <is>
          <t>No</t>
        </is>
      </c>
      <c r="AE1045" s="32">
        <f>IF(W1045="","",IF(Z1045="Yes","❌ Disc",IF(Y1045="No","⚠ Missing",IF(AB1045="Yes","✓ OK","⚠ Check"))))</f>
        <v/>
      </c>
      <c r="AF1045" s="33" t="n"/>
      <c r="AG1045" s="33" t="n"/>
      <c r="AH1045" s="33" t="n"/>
      <c r="AI1045" s="33" t="n"/>
      <c r="AJ1045" s="33" t="n"/>
      <c r="AK1045" s="33" t="n"/>
      <c r="AL1045" s="27" t="n"/>
      <c r="AM1045" s="34" t="n"/>
      <c r="AN1045" s="35">
        <f>IF(AF1045="","",IF(AI1045="Yes","❌ Disc",IF(AH1045="No","⚠ Missing",IF(AK1045="Yes","✓ OK","⚠ Check"))))</f>
        <v/>
      </c>
      <c r="AO1045" s="36" t="n"/>
      <c r="AP1045" s="36" t="n"/>
      <c r="AQ1045" s="36" t="n"/>
      <c r="AR1045" s="36" t="n"/>
      <c r="AS1045" s="36" t="n"/>
      <c r="AT1045" s="36" t="n"/>
      <c r="AU1045" s="27" t="n"/>
      <c r="AV1045" s="37" t="n"/>
      <c r="AW1045" s="38">
        <f>IF(AO1045="","",IF(AR1045="Yes","❌ Disc",IF(AQ1045="No","⚠ Missing",IF(AT1045="Yes","✓ OK","⚠ Check"))))</f>
        <v/>
      </c>
    </row>
    <row r="1046" ht="18" customHeight="1" s="46">
      <c r="A1046" s="39" t="n">
        <v>1042</v>
      </c>
      <c r="B1046" s="40" t="inlineStr">
        <is>
          <t>BD-VRM-2025-0177</t>
        </is>
      </c>
      <c r="C1046" s="41" t="inlineStr">
        <is>
          <t>LifenColors - Green Sky Full of Wonders: Enchanting Kids Room with Soft Feel Paper - SF/7019</t>
        </is>
      </c>
      <c r="D1046" s="39" t="inlineStr">
        <is>
          <t>Life n Colors</t>
        </is>
      </c>
      <c r="E1046" s="43" t="n">
        <v>46126</v>
      </c>
      <c r="F1046" s="26" t="inlineStr">
        <is>
          <t>Sunil CR</t>
        </is>
      </c>
      <c r="G1046" s="26" t="inlineStr">
        <is>
          <t>Yes</t>
        </is>
      </c>
      <c r="H1046" s="26" t="inlineStr">
        <is>
          <t>No</t>
        </is>
      </c>
      <c r="I1046" s="26" t="inlineStr">
        <is>
          <t>Good finish</t>
        </is>
      </c>
      <c r="J1046" s="26" t="inlineStr">
        <is>
          <t>Yes</t>
        </is>
      </c>
      <c r="K1046" s="27" t="n"/>
      <c r="L1046" s="28" t="inlineStr">
        <is>
          <t>No</t>
        </is>
      </c>
      <c r="M1046" s="29">
        <f>IF(E1046="","",IF(H1046="Yes","❌ Disc",IF(G1046="No","⚠ Missing",IF(J1046="Yes","✓ OK","⚠ Check"))))</f>
        <v/>
      </c>
      <c r="N1046" s="43" t="n">
        <v>46193</v>
      </c>
      <c r="O1046" s="26" t="inlineStr">
        <is>
          <t>Sunil CR</t>
        </is>
      </c>
      <c r="P1046" s="26" t="inlineStr">
        <is>
          <t>Yes</t>
        </is>
      </c>
      <c r="Q1046" s="26" t="inlineStr">
        <is>
          <t>No</t>
        </is>
      </c>
      <c r="R1046" s="26" t="inlineStr">
        <is>
          <t>Good finish</t>
        </is>
      </c>
      <c r="S1046" s="26" t="inlineStr">
        <is>
          <t>Yes</t>
        </is>
      </c>
      <c r="T1046" s="27" t="n"/>
      <c r="U1046" s="28" t="inlineStr">
        <is>
          <t>No</t>
        </is>
      </c>
      <c r="V1046" s="29">
        <f>IF(N1046="","",IF(Q1046="Yes","❌ Disc",IF(P1046="No","⚠ Missing",IF(S1046="Yes","✓ OK","⚠ Check"))))</f>
        <v/>
      </c>
      <c r="W1046" s="65" t="n">
        <v>46248</v>
      </c>
      <c r="X1046" s="30" t="inlineStr">
        <is>
          <t>Sunil CR</t>
        </is>
      </c>
      <c r="Y1046" s="30" t="inlineStr">
        <is>
          <t>Yes</t>
        </is>
      </c>
      <c r="Z1046" s="30" t="n"/>
      <c r="AA1046" s="30" t="inlineStr">
        <is>
          <t>Good finish</t>
        </is>
      </c>
      <c r="AB1046" s="30" t="inlineStr">
        <is>
          <t>Yes</t>
        </is>
      </c>
      <c r="AC1046" s="27" t="n"/>
      <c r="AD1046" s="31" t="inlineStr">
        <is>
          <t>No</t>
        </is>
      </c>
      <c r="AE1046" s="32">
        <f>IF(W1046="","",IF(Z1046="Yes","❌ Disc",IF(Y1046="No","⚠ Missing",IF(AB1046="Yes","✓ OK","⚠ Check"))))</f>
        <v/>
      </c>
      <c r="AF1046" s="33" t="n"/>
      <c r="AG1046" s="33" t="n"/>
      <c r="AH1046" s="33" t="n"/>
      <c r="AI1046" s="33" t="n"/>
      <c r="AJ1046" s="33" t="n"/>
      <c r="AK1046" s="33" t="n"/>
      <c r="AL1046" s="27" t="n"/>
      <c r="AM1046" s="34" t="n"/>
      <c r="AN1046" s="35">
        <f>IF(AF1046="","",IF(AI1046="Yes","❌ Disc",IF(AH1046="No","⚠ Missing",IF(AK1046="Yes","✓ OK","⚠ Check"))))</f>
        <v/>
      </c>
      <c r="AO1046" s="36" t="n"/>
      <c r="AP1046" s="36" t="n"/>
      <c r="AQ1046" s="36" t="n"/>
      <c r="AR1046" s="36" t="n"/>
      <c r="AS1046" s="36" t="n"/>
      <c r="AT1046" s="36" t="n"/>
      <c r="AU1046" s="27" t="n"/>
      <c r="AV1046" s="37" t="n"/>
      <c r="AW1046" s="38">
        <f>IF(AO1046="","",IF(AR1046="Yes","❌ Disc",IF(AQ1046="No","⚠ Missing",IF(AT1046="Yes","✓ OK","⚠ Check"))))</f>
        <v/>
      </c>
    </row>
    <row r="1047" ht="18" customHeight="1" s="46">
      <c r="A1047" s="23" t="n">
        <v>1043</v>
      </c>
      <c r="B1047" s="24" t="inlineStr">
        <is>
          <t>BD-VRM-2025-0160</t>
        </is>
      </c>
      <c r="C1047" s="25" t="inlineStr">
        <is>
          <t>LifenColors - Indian booti Stripes Wallaper Repeat Pattern with Canvas Paper - CN/6034</t>
        </is>
      </c>
      <c r="D1047" s="23" t="inlineStr">
        <is>
          <t>Life n Colors</t>
        </is>
      </c>
      <c r="E1047" s="43" t="n">
        <v>46126</v>
      </c>
      <c r="F1047" s="26" t="inlineStr">
        <is>
          <t>Sunil CR</t>
        </is>
      </c>
      <c r="G1047" s="26" t="inlineStr">
        <is>
          <t>Yes</t>
        </is>
      </c>
      <c r="H1047" s="26" t="inlineStr">
        <is>
          <t>No</t>
        </is>
      </c>
      <c r="I1047" s="26" t="inlineStr">
        <is>
          <t>Good finish</t>
        </is>
      </c>
      <c r="J1047" s="26" t="inlineStr">
        <is>
          <t>Yes</t>
        </is>
      </c>
      <c r="K1047" s="27" t="n"/>
      <c r="L1047" s="28" t="inlineStr">
        <is>
          <t>No</t>
        </is>
      </c>
      <c r="M1047" s="29">
        <f>IF(E1047="","",IF(H1047="Yes","❌ Disc",IF(G1047="No","⚠ Missing",IF(J1047="Yes","✓ OK","⚠ Check"))))</f>
        <v/>
      </c>
      <c r="N1047" s="43" t="n">
        <v>46193</v>
      </c>
      <c r="O1047" s="26" t="inlineStr">
        <is>
          <t>Sunil CR</t>
        </is>
      </c>
      <c r="P1047" s="26" t="inlineStr">
        <is>
          <t>Yes</t>
        </is>
      </c>
      <c r="Q1047" s="26" t="inlineStr">
        <is>
          <t>No</t>
        </is>
      </c>
      <c r="R1047" s="26" t="inlineStr">
        <is>
          <t>Good finish</t>
        </is>
      </c>
      <c r="S1047" s="26" t="inlineStr">
        <is>
          <t>Yes</t>
        </is>
      </c>
      <c r="T1047" s="27" t="n"/>
      <c r="U1047" s="28" t="inlineStr">
        <is>
          <t>No</t>
        </is>
      </c>
      <c r="V1047" s="29">
        <f>IF(N1047="","",IF(Q1047="Yes","❌ Disc",IF(P1047="No","⚠ Missing",IF(S1047="Yes","✓ OK","⚠ Check"))))</f>
        <v/>
      </c>
      <c r="W1047" s="65" t="n">
        <v>46248</v>
      </c>
      <c r="X1047" s="30" t="inlineStr">
        <is>
          <t>Sunil CR</t>
        </is>
      </c>
      <c r="Y1047" s="30" t="inlineStr">
        <is>
          <t>Yes</t>
        </is>
      </c>
      <c r="Z1047" s="30" t="n"/>
      <c r="AA1047" s="30" t="inlineStr">
        <is>
          <t>Good finish</t>
        </is>
      </c>
      <c r="AB1047" s="30" t="inlineStr">
        <is>
          <t>Yes</t>
        </is>
      </c>
      <c r="AC1047" s="27" t="n"/>
      <c r="AD1047" s="31" t="inlineStr">
        <is>
          <t>No</t>
        </is>
      </c>
      <c r="AE1047" s="32">
        <f>IF(W1047="","",IF(Z1047="Yes","❌ Disc",IF(Y1047="No","⚠ Missing",IF(AB1047="Yes","✓ OK","⚠ Check"))))</f>
        <v/>
      </c>
      <c r="AF1047" s="33" t="n"/>
      <c r="AG1047" s="33" t="n"/>
      <c r="AH1047" s="33" t="n"/>
      <c r="AI1047" s="33" t="n"/>
      <c r="AJ1047" s="33" t="n"/>
      <c r="AK1047" s="33" t="n"/>
      <c r="AL1047" s="27" t="n"/>
      <c r="AM1047" s="34" t="n"/>
      <c r="AN1047" s="35">
        <f>IF(AF1047="","",IF(AI1047="Yes","❌ Disc",IF(AH1047="No","⚠ Missing",IF(AK1047="Yes","✓ OK","⚠ Check"))))</f>
        <v/>
      </c>
      <c r="AO1047" s="36" t="n"/>
      <c r="AP1047" s="36" t="n"/>
      <c r="AQ1047" s="36" t="n"/>
      <c r="AR1047" s="36" t="n"/>
      <c r="AS1047" s="36" t="n"/>
      <c r="AT1047" s="36" t="n"/>
      <c r="AU1047" s="27" t="n"/>
      <c r="AV1047" s="37" t="n"/>
      <c r="AW1047" s="38">
        <f>IF(AO1047="","",IF(AR1047="Yes","❌ Disc",IF(AQ1047="No","⚠ Missing",IF(AT1047="Yes","✓ OK","⚠ Check"))))</f>
        <v/>
      </c>
    </row>
    <row r="1048" ht="18" customHeight="1" s="46">
      <c r="A1048" s="39" t="n">
        <v>1044</v>
      </c>
      <c r="B1048" s="40" t="inlineStr">
        <is>
          <t>BD-VRM-2025-0167</t>
        </is>
      </c>
      <c r="C1048" s="41" t="inlineStr">
        <is>
          <t>LifenColors - Jungle Bubble Kids Room Wallpaper with Soft Feel Paper - SF/7002</t>
        </is>
      </c>
      <c r="D1048" s="39" t="inlineStr">
        <is>
          <t>Life n Colors</t>
        </is>
      </c>
      <c r="E1048" s="43" t="n">
        <v>46126</v>
      </c>
      <c r="F1048" s="26" t="inlineStr">
        <is>
          <t>Sunil CR</t>
        </is>
      </c>
      <c r="G1048" s="26" t="inlineStr">
        <is>
          <t>Yes</t>
        </is>
      </c>
      <c r="H1048" s="26" t="inlineStr">
        <is>
          <t>No</t>
        </is>
      </c>
      <c r="I1048" s="26" t="inlineStr">
        <is>
          <t>Good finish</t>
        </is>
      </c>
      <c r="J1048" s="26" t="inlineStr">
        <is>
          <t>Yes</t>
        </is>
      </c>
      <c r="K1048" s="27" t="n"/>
      <c r="L1048" s="28" t="inlineStr">
        <is>
          <t>No</t>
        </is>
      </c>
      <c r="M1048" s="29">
        <f>IF(E1048="","",IF(H1048="Yes","❌ Disc",IF(G1048="No","⚠ Missing",IF(J1048="Yes","✓ OK","⚠ Check"))))</f>
        <v/>
      </c>
      <c r="N1048" s="43" t="n">
        <v>46193</v>
      </c>
      <c r="O1048" s="26" t="inlineStr">
        <is>
          <t>Sunil CR</t>
        </is>
      </c>
      <c r="P1048" s="26" t="inlineStr">
        <is>
          <t>Yes</t>
        </is>
      </c>
      <c r="Q1048" s="26" t="inlineStr">
        <is>
          <t>No</t>
        </is>
      </c>
      <c r="R1048" s="26" t="inlineStr">
        <is>
          <t>Good finish</t>
        </is>
      </c>
      <c r="S1048" s="26" t="inlineStr">
        <is>
          <t>Yes</t>
        </is>
      </c>
      <c r="T1048" s="27" t="n"/>
      <c r="U1048" s="28" t="inlineStr">
        <is>
          <t>No</t>
        </is>
      </c>
      <c r="V1048" s="29">
        <f>IF(N1048="","",IF(Q1048="Yes","❌ Disc",IF(P1048="No","⚠ Missing",IF(S1048="Yes","✓ OK","⚠ Check"))))</f>
        <v/>
      </c>
      <c r="W1048" s="65" t="n">
        <v>46248</v>
      </c>
      <c r="X1048" s="30" t="inlineStr">
        <is>
          <t>Sunil CR</t>
        </is>
      </c>
      <c r="Y1048" s="30" t="inlineStr">
        <is>
          <t>Yes</t>
        </is>
      </c>
      <c r="Z1048" s="30" t="n"/>
      <c r="AA1048" s="30" t="inlineStr">
        <is>
          <t>Good finish</t>
        </is>
      </c>
      <c r="AB1048" s="30" t="inlineStr">
        <is>
          <t>Yes</t>
        </is>
      </c>
      <c r="AC1048" s="27" t="n"/>
      <c r="AD1048" s="31" t="inlineStr">
        <is>
          <t>No</t>
        </is>
      </c>
      <c r="AE1048" s="32">
        <f>IF(W1048="","",IF(Z1048="Yes","❌ Disc",IF(Y1048="No","⚠ Missing",IF(AB1048="Yes","✓ OK","⚠ Check"))))</f>
        <v/>
      </c>
      <c r="AF1048" s="33" t="n"/>
      <c r="AG1048" s="33" t="n"/>
      <c r="AH1048" s="33" t="n"/>
      <c r="AI1048" s="33" t="n"/>
      <c r="AJ1048" s="33" t="n"/>
      <c r="AK1048" s="33" t="n"/>
      <c r="AL1048" s="27" t="n"/>
      <c r="AM1048" s="34" t="n"/>
      <c r="AN1048" s="35">
        <f>IF(AF1048="","",IF(AI1048="Yes","❌ Disc",IF(AH1048="No","⚠ Missing",IF(AK1048="Yes","✓ OK","⚠ Check"))))</f>
        <v/>
      </c>
      <c r="AO1048" s="36" t="n"/>
      <c r="AP1048" s="36" t="n"/>
      <c r="AQ1048" s="36" t="n"/>
      <c r="AR1048" s="36" t="n"/>
      <c r="AS1048" s="36" t="n"/>
      <c r="AT1048" s="36" t="n"/>
      <c r="AU1048" s="27" t="n"/>
      <c r="AV1048" s="37" t="n"/>
      <c r="AW1048" s="38">
        <f>IF(AO1048="","",IF(AR1048="Yes","❌ Disc",IF(AQ1048="No","⚠ Missing",IF(AT1048="Yes","✓ OK","⚠ Check"))))</f>
        <v/>
      </c>
    </row>
    <row r="1049" ht="18" customHeight="1" s="46">
      <c r="A1049" s="23" t="n">
        <v>1045</v>
      </c>
      <c r="B1049" s="24" t="inlineStr">
        <is>
          <t>BD-VRM-2025-0190</t>
        </is>
      </c>
      <c r="C1049" s="25" t="inlineStr">
        <is>
          <t>LifenColors - Kids stationary light blue pattern Wallpaper For Kids room with Soft Feel Paper - SF/7033</t>
        </is>
      </c>
      <c r="D1049" s="23" t="inlineStr">
        <is>
          <t>Life n Colors</t>
        </is>
      </c>
      <c r="E1049" s="43" t="n">
        <v>46126</v>
      </c>
      <c r="F1049" s="26" t="inlineStr">
        <is>
          <t>Sunil CR</t>
        </is>
      </c>
      <c r="G1049" s="26" t="inlineStr">
        <is>
          <t>Yes</t>
        </is>
      </c>
      <c r="H1049" s="26" t="inlineStr">
        <is>
          <t>No</t>
        </is>
      </c>
      <c r="I1049" s="26" t="inlineStr">
        <is>
          <t>Good finish</t>
        </is>
      </c>
      <c r="J1049" s="26" t="inlineStr">
        <is>
          <t>Yes</t>
        </is>
      </c>
      <c r="K1049" s="27" t="n"/>
      <c r="L1049" s="28" t="inlineStr">
        <is>
          <t>No</t>
        </is>
      </c>
      <c r="M1049" s="29">
        <f>IF(E1049="","",IF(H1049="Yes","❌ Disc",IF(G1049="No","⚠ Missing",IF(J1049="Yes","✓ OK","⚠ Check"))))</f>
        <v/>
      </c>
      <c r="N1049" s="43" t="n">
        <v>46193</v>
      </c>
      <c r="O1049" s="26" t="inlineStr">
        <is>
          <t>Sunil CR</t>
        </is>
      </c>
      <c r="P1049" s="26" t="inlineStr">
        <is>
          <t>Yes</t>
        </is>
      </c>
      <c r="Q1049" s="26" t="inlineStr">
        <is>
          <t>No</t>
        </is>
      </c>
      <c r="R1049" s="26" t="inlineStr">
        <is>
          <t>Good finish</t>
        </is>
      </c>
      <c r="S1049" s="26" t="inlineStr">
        <is>
          <t>Yes</t>
        </is>
      </c>
      <c r="T1049" s="27" t="n"/>
      <c r="U1049" s="28" t="inlineStr">
        <is>
          <t>No</t>
        </is>
      </c>
      <c r="V1049" s="29">
        <f>IF(N1049="","",IF(Q1049="Yes","❌ Disc",IF(P1049="No","⚠ Missing",IF(S1049="Yes","✓ OK","⚠ Check"))))</f>
        <v/>
      </c>
      <c r="W1049" s="65" t="n">
        <v>46248</v>
      </c>
      <c r="X1049" s="30" t="inlineStr">
        <is>
          <t>Sunil CR</t>
        </is>
      </c>
      <c r="Y1049" s="30" t="inlineStr">
        <is>
          <t>Yes</t>
        </is>
      </c>
      <c r="Z1049" s="30" t="n"/>
      <c r="AA1049" s="30" t="inlineStr">
        <is>
          <t>Good finish</t>
        </is>
      </c>
      <c r="AB1049" s="30" t="inlineStr">
        <is>
          <t>Yes</t>
        </is>
      </c>
      <c r="AC1049" s="27" t="n"/>
      <c r="AD1049" s="31" t="inlineStr">
        <is>
          <t>No</t>
        </is>
      </c>
      <c r="AE1049" s="32">
        <f>IF(W1049="","",IF(Z1049="Yes","❌ Disc",IF(Y1049="No","⚠ Missing",IF(AB1049="Yes","✓ OK","⚠ Check"))))</f>
        <v/>
      </c>
      <c r="AF1049" s="33" t="n"/>
      <c r="AG1049" s="33" t="n"/>
      <c r="AH1049" s="33" t="n"/>
      <c r="AI1049" s="33" t="n"/>
      <c r="AJ1049" s="33" t="n"/>
      <c r="AK1049" s="33" t="n"/>
      <c r="AL1049" s="27" t="n"/>
      <c r="AM1049" s="34" t="n"/>
      <c r="AN1049" s="35">
        <f>IF(AF1049="","",IF(AI1049="Yes","❌ Disc",IF(AH1049="No","⚠ Missing",IF(AK1049="Yes","✓ OK","⚠ Check"))))</f>
        <v/>
      </c>
      <c r="AO1049" s="36" t="n"/>
      <c r="AP1049" s="36" t="n"/>
      <c r="AQ1049" s="36" t="n"/>
      <c r="AR1049" s="36" t="n"/>
      <c r="AS1049" s="36" t="n"/>
      <c r="AT1049" s="36" t="n"/>
      <c r="AU1049" s="27" t="n"/>
      <c r="AV1049" s="37" t="n"/>
      <c r="AW1049" s="38">
        <f>IF(AO1049="","",IF(AR1049="Yes","❌ Disc",IF(AQ1049="No","⚠ Missing",IF(AT1049="Yes","✓ OK","⚠ Check"))))</f>
        <v/>
      </c>
    </row>
    <row r="1050" ht="18" customHeight="1" s="46">
      <c r="A1050" s="39" t="n">
        <v>1046</v>
      </c>
      <c r="B1050" s="40" t="inlineStr">
        <is>
          <t>BD-VRM-2025-0135</t>
        </is>
      </c>
      <c r="C1050" s="41" t="inlineStr">
        <is>
          <t>LifenColors - Kusum: Indian Floral Jharokha and Stripes Design with Canvas Paper - CN/6001</t>
        </is>
      </c>
      <c r="D1050" s="39" t="inlineStr">
        <is>
          <t>Life n Colors</t>
        </is>
      </c>
      <c r="E1050" s="43" t="n">
        <v>46126</v>
      </c>
      <c r="F1050" s="26" t="inlineStr">
        <is>
          <t>Sunil CR</t>
        </is>
      </c>
      <c r="G1050" s="26" t="inlineStr">
        <is>
          <t>Yes</t>
        </is>
      </c>
      <c r="H1050" s="26" t="inlineStr">
        <is>
          <t>No</t>
        </is>
      </c>
      <c r="I1050" s="26" t="inlineStr">
        <is>
          <t>Good finish</t>
        </is>
      </c>
      <c r="J1050" s="26" t="inlineStr">
        <is>
          <t>Yes</t>
        </is>
      </c>
      <c r="K1050" s="27" t="n"/>
      <c r="L1050" s="28" t="inlineStr">
        <is>
          <t>No</t>
        </is>
      </c>
      <c r="M1050" s="29">
        <f>IF(E1050="","",IF(H1050="Yes","❌ Disc",IF(G1050="No","⚠ Missing",IF(J1050="Yes","✓ OK","⚠ Check"))))</f>
        <v/>
      </c>
      <c r="N1050" s="43" t="n">
        <v>46193</v>
      </c>
      <c r="O1050" s="26" t="inlineStr">
        <is>
          <t>Sunil CR</t>
        </is>
      </c>
      <c r="P1050" s="26" t="inlineStr">
        <is>
          <t>Yes</t>
        </is>
      </c>
      <c r="Q1050" s="26" t="inlineStr">
        <is>
          <t>No</t>
        </is>
      </c>
      <c r="R1050" s="26" t="inlineStr">
        <is>
          <t>Good finish</t>
        </is>
      </c>
      <c r="S1050" s="26" t="inlineStr">
        <is>
          <t>Yes</t>
        </is>
      </c>
      <c r="T1050" s="27" t="n"/>
      <c r="U1050" s="28" t="inlineStr">
        <is>
          <t>No</t>
        </is>
      </c>
      <c r="V1050" s="29">
        <f>IF(N1050="","",IF(Q1050="Yes","❌ Disc",IF(P1050="No","⚠ Missing",IF(S1050="Yes","✓ OK","⚠ Check"))))</f>
        <v/>
      </c>
      <c r="W1050" s="65" t="n">
        <v>46248</v>
      </c>
      <c r="X1050" s="30" t="inlineStr">
        <is>
          <t>Sunil CR</t>
        </is>
      </c>
      <c r="Y1050" s="30" t="inlineStr">
        <is>
          <t>Yes</t>
        </is>
      </c>
      <c r="Z1050" s="30" t="n"/>
      <c r="AA1050" s="30" t="inlineStr">
        <is>
          <t>Good finish</t>
        </is>
      </c>
      <c r="AB1050" s="30" t="inlineStr">
        <is>
          <t>Yes</t>
        </is>
      </c>
      <c r="AC1050" s="27" t="n"/>
      <c r="AD1050" s="31" t="inlineStr">
        <is>
          <t>No</t>
        </is>
      </c>
      <c r="AE1050" s="32">
        <f>IF(W1050="","",IF(Z1050="Yes","❌ Disc",IF(Y1050="No","⚠ Missing",IF(AB1050="Yes","✓ OK","⚠ Check"))))</f>
        <v/>
      </c>
      <c r="AF1050" s="33" t="n"/>
      <c r="AG1050" s="33" t="n"/>
      <c r="AH1050" s="33" t="n"/>
      <c r="AI1050" s="33" t="n"/>
      <c r="AJ1050" s="33" t="n"/>
      <c r="AK1050" s="33" t="n"/>
      <c r="AL1050" s="27" t="n"/>
      <c r="AM1050" s="34" t="n"/>
      <c r="AN1050" s="35">
        <f>IF(AF1050="","",IF(AI1050="Yes","❌ Disc",IF(AH1050="No","⚠ Missing",IF(AK1050="Yes","✓ OK","⚠ Check"))))</f>
        <v/>
      </c>
      <c r="AO1050" s="36" t="n"/>
      <c r="AP1050" s="36" t="n"/>
      <c r="AQ1050" s="36" t="n"/>
      <c r="AR1050" s="36" t="n"/>
      <c r="AS1050" s="36" t="n"/>
      <c r="AT1050" s="36" t="n"/>
      <c r="AU1050" s="27" t="n"/>
      <c r="AV1050" s="37" t="n"/>
      <c r="AW1050" s="38">
        <f>IF(AO1050="","",IF(AR1050="Yes","❌ Disc",IF(AQ1050="No","⚠ Missing",IF(AT1050="Yes","✓ OK","⚠ Check"))))</f>
        <v/>
      </c>
    </row>
    <row r="1051" ht="18" customHeight="1" s="46">
      <c r="A1051" s="23" t="n">
        <v>1047</v>
      </c>
      <c r="B1051" s="24" t="inlineStr">
        <is>
          <t>BD-VRM-2025-0137</t>
        </is>
      </c>
      <c r="C1051" s="25" t="inlineStr">
        <is>
          <t>LifenColors - Lush European Landscape Wallpaper with Canvas Paper - CN/6003</t>
        </is>
      </c>
      <c r="D1051" s="23" t="inlineStr">
        <is>
          <t>Life n Colors</t>
        </is>
      </c>
      <c r="E1051" s="43" t="n">
        <v>46126</v>
      </c>
      <c r="F1051" s="26" t="inlineStr">
        <is>
          <t>Sunil CR</t>
        </is>
      </c>
      <c r="G1051" s="26" t="inlineStr">
        <is>
          <t>Yes</t>
        </is>
      </c>
      <c r="H1051" s="26" t="inlineStr">
        <is>
          <t>No</t>
        </is>
      </c>
      <c r="I1051" s="26" t="inlineStr">
        <is>
          <t>Good finish</t>
        </is>
      </c>
      <c r="J1051" s="26" t="inlineStr">
        <is>
          <t>Yes</t>
        </is>
      </c>
      <c r="K1051" s="27" t="n"/>
      <c r="L1051" s="28" t="inlineStr">
        <is>
          <t>No</t>
        </is>
      </c>
      <c r="M1051" s="29">
        <f>IF(E1051="","",IF(H1051="Yes","❌ Disc",IF(G1051="No","⚠ Missing",IF(J1051="Yes","✓ OK","⚠ Check"))))</f>
        <v/>
      </c>
      <c r="N1051" s="43" t="n">
        <v>46193</v>
      </c>
      <c r="O1051" s="26" t="inlineStr">
        <is>
          <t>Sunil CR</t>
        </is>
      </c>
      <c r="P1051" s="26" t="inlineStr">
        <is>
          <t>Yes</t>
        </is>
      </c>
      <c r="Q1051" s="26" t="inlineStr">
        <is>
          <t>No</t>
        </is>
      </c>
      <c r="R1051" s="26" t="inlineStr">
        <is>
          <t>Good finish</t>
        </is>
      </c>
      <c r="S1051" s="26" t="inlineStr">
        <is>
          <t>Yes</t>
        </is>
      </c>
      <c r="T1051" s="27" t="n"/>
      <c r="U1051" s="28" t="inlineStr">
        <is>
          <t>No</t>
        </is>
      </c>
      <c r="V1051" s="29">
        <f>IF(N1051="","",IF(Q1051="Yes","❌ Disc",IF(P1051="No","⚠ Missing",IF(S1051="Yes","✓ OK","⚠ Check"))))</f>
        <v/>
      </c>
      <c r="W1051" s="65" t="n">
        <v>46248</v>
      </c>
      <c r="X1051" s="30" t="inlineStr">
        <is>
          <t>Sunil CR</t>
        </is>
      </c>
      <c r="Y1051" s="30" t="inlineStr">
        <is>
          <t>Yes</t>
        </is>
      </c>
      <c r="Z1051" s="30" t="n"/>
      <c r="AA1051" s="30" t="inlineStr">
        <is>
          <t>Good finish</t>
        </is>
      </c>
      <c r="AB1051" s="30" t="inlineStr">
        <is>
          <t>Yes</t>
        </is>
      </c>
      <c r="AC1051" s="27" t="n"/>
      <c r="AD1051" s="31" t="inlineStr">
        <is>
          <t>No</t>
        </is>
      </c>
      <c r="AE1051" s="32">
        <f>IF(W1051="","",IF(Z1051="Yes","❌ Disc",IF(Y1051="No","⚠ Missing",IF(AB1051="Yes","✓ OK","⚠ Check"))))</f>
        <v/>
      </c>
      <c r="AF1051" s="33" t="n"/>
      <c r="AG1051" s="33" t="n"/>
      <c r="AH1051" s="33" t="n"/>
      <c r="AI1051" s="33" t="n"/>
      <c r="AJ1051" s="33" t="n"/>
      <c r="AK1051" s="33" t="n"/>
      <c r="AL1051" s="27" t="n"/>
      <c r="AM1051" s="34" t="n"/>
      <c r="AN1051" s="35">
        <f>IF(AF1051="","",IF(AI1051="Yes","❌ Disc",IF(AH1051="No","⚠ Missing",IF(AK1051="Yes","✓ OK","⚠ Check"))))</f>
        <v/>
      </c>
      <c r="AO1051" s="36" t="n"/>
      <c r="AP1051" s="36" t="n"/>
      <c r="AQ1051" s="36" t="n"/>
      <c r="AR1051" s="36" t="n"/>
      <c r="AS1051" s="36" t="n"/>
      <c r="AT1051" s="36" t="n"/>
      <c r="AU1051" s="27" t="n"/>
      <c r="AV1051" s="37" t="n"/>
      <c r="AW1051" s="38">
        <f>IF(AO1051="","",IF(AR1051="Yes","❌ Disc",IF(AQ1051="No","⚠ Missing",IF(AT1051="Yes","✓ OK","⚠ Check"))))</f>
        <v/>
      </c>
    </row>
    <row r="1052" ht="18" customHeight="1" s="46">
      <c r="A1052" s="39" t="n">
        <v>1048</v>
      </c>
      <c r="B1052" s="40" t="inlineStr">
        <is>
          <t>BD-VRM-2025-0145</t>
        </is>
      </c>
      <c r="C1052" s="41" t="inlineStr">
        <is>
          <t>LifenColors - Mayur Exotic Brown Chinoiserie Wallpaper for Rooms with Canvas Paper - CN/6011</t>
        </is>
      </c>
      <c r="D1052" s="39" t="inlineStr">
        <is>
          <t>Life n Colors</t>
        </is>
      </c>
      <c r="E1052" s="43" t="n">
        <v>46126</v>
      </c>
      <c r="F1052" s="26" t="inlineStr">
        <is>
          <t>Sunil CR</t>
        </is>
      </c>
      <c r="G1052" s="26" t="inlineStr">
        <is>
          <t>Yes</t>
        </is>
      </c>
      <c r="H1052" s="26" t="inlineStr">
        <is>
          <t>No</t>
        </is>
      </c>
      <c r="I1052" s="26" t="inlineStr">
        <is>
          <t>Good finish</t>
        </is>
      </c>
      <c r="J1052" s="26" t="inlineStr">
        <is>
          <t>Yes</t>
        </is>
      </c>
      <c r="K1052" s="27" t="n"/>
      <c r="L1052" s="28" t="inlineStr">
        <is>
          <t>No</t>
        </is>
      </c>
      <c r="M1052" s="29">
        <f>IF(E1052="","",IF(H1052="Yes","❌ Disc",IF(G1052="No","⚠ Missing",IF(J1052="Yes","✓ OK","⚠ Check"))))</f>
        <v/>
      </c>
      <c r="N1052" s="43" t="n">
        <v>46193</v>
      </c>
      <c r="O1052" s="26" t="inlineStr">
        <is>
          <t>Sunil CR</t>
        </is>
      </c>
      <c r="P1052" s="26" t="inlineStr">
        <is>
          <t>Yes</t>
        </is>
      </c>
      <c r="Q1052" s="26" t="inlineStr">
        <is>
          <t>No</t>
        </is>
      </c>
      <c r="R1052" s="26" t="inlineStr">
        <is>
          <t>Good finish</t>
        </is>
      </c>
      <c r="S1052" s="26" t="inlineStr">
        <is>
          <t>Yes</t>
        </is>
      </c>
      <c r="T1052" s="27" t="n"/>
      <c r="U1052" s="28" t="inlineStr">
        <is>
          <t>No</t>
        </is>
      </c>
      <c r="V1052" s="29">
        <f>IF(N1052="","",IF(Q1052="Yes","❌ Disc",IF(P1052="No","⚠ Missing",IF(S1052="Yes","✓ OK","⚠ Check"))))</f>
        <v/>
      </c>
      <c r="W1052" s="65" t="n">
        <v>46248</v>
      </c>
      <c r="X1052" s="30" t="inlineStr">
        <is>
          <t>Sunil CR</t>
        </is>
      </c>
      <c r="Y1052" s="30" t="inlineStr">
        <is>
          <t>Yes</t>
        </is>
      </c>
      <c r="Z1052" s="30" t="n"/>
      <c r="AA1052" s="30" t="inlineStr">
        <is>
          <t>Good finish</t>
        </is>
      </c>
      <c r="AB1052" s="30" t="inlineStr">
        <is>
          <t>Yes</t>
        </is>
      </c>
      <c r="AC1052" s="27" t="n"/>
      <c r="AD1052" s="31" t="inlineStr">
        <is>
          <t>No</t>
        </is>
      </c>
      <c r="AE1052" s="32">
        <f>IF(W1052="","",IF(Z1052="Yes","❌ Disc",IF(Y1052="No","⚠ Missing",IF(AB1052="Yes","✓ OK","⚠ Check"))))</f>
        <v/>
      </c>
      <c r="AF1052" s="33" t="n"/>
      <c r="AG1052" s="33" t="n"/>
      <c r="AH1052" s="33" t="n"/>
      <c r="AI1052" s="33" t="n"/>
      <c r="AJ1052" s="33" t="n"/>
      <c r="AK1052" s="33" t="n"/>
      <c r="AL1052" s="27" t="n"/>
      <c r="AM1052" s="34" t="n"/>
      <c r="AN1052" s="35">
        <f>IF(AF1052="","",IF(AI1052="Yes","❌ Disc",IF(AH1052="No","⚠ Missing",IF(AK1052="Yes","✓ OK","⚠ Check"))))</f>
        <v/>
      </c>
      <c r="AO1052" s="36" t="n"/>
      <c r="AP1052" s="36" t="n"/>
      <c r="AQ1052" s="36" t="n"/>
      <c r="AR1052" s="36" t="n"/>
      <c r="AS1052" s="36" t="n"/>
      <c r="AT1052" s="36" t="n"/>
      <c r="AU1052" s="27" t="n"/>
      <c r="AV1052" s="37" t="n"/>
      <c r="AW1052" s="38">
        <f>IF(AO1052="","",IF(AR1052="Yes","❌ Disc",IF(AQ1052="No","⚠ Missing",IF(AT1052="Yes","✓ OK","⚠ Check"))))</f>
        <v/>
      </c>
    </row>
    <row r="1053" ht="18" customHeight="1" s="46">
      <c r="A1053" s="23" t="n">
        <v>1049</v>
      </c>
      <c r="B1053" s="24" t="inlineStr">
        <is>
          <t>BD-VRM-2025-0180</t>
        </is>
      </c>
      <c r="C1053" s="25" t="inlineStr">
        <is>
          <t>LifenColors - Mermaid Melodies: Underwater Adventure, Wallpaper For Kids with Soft Feel Paper - SF/7023</t>
        </is>
      </c>
      <c r="D1053" s="23" t="inlineStr">
        <is>
          <t>Life n Colors</t>
        </is>
      </c>
      <c r="E1053" s="43" t="n">
        <v>46126</v>
      </c>
      <c r="F1053" s="26" t="inlineStr">
        <is>
          <t>Sunil CR</t>
        </is>
      </c>
      <c r="G1053" s="26" t="inlineStr">
        <is>
          <t>Yes</t>
        </is>
      </c>
      <c r="H1053" s="26" t="inlineStr">
        <is>
          <t>No</t>
        </is>
      </c>
      <c r="I1053" s="26" t="inlineStr">
        <is>
          <t>Good finish</t>
        </is>
      </c>
      <c r="J1053" s="26" t="inlineStr">
        <is>
          <t>Yes</t>
        </is>
      </c>
      <c r="K1053" s="27" t="n"/>
      <c r="L1053" s="28" t="inlineStr">
        <is>
          <t>No</t>
        </is>
      </c>
      <c r="M1053" s="29">
        <f>IF(E1053="","",IF(H1053="Yes","❌ Disc",IF(G1053="No","⚠ Missing",IF(J1053="Yes","✓ OK","⚠ Check"))))</f>
        <v/>
      </c>
      <c r="N1053" s="43" t="n">
        <v>46193</v>
      </c>
      <c r="O1053" s="26" t="inlineStr">
        <is>
          <t>Sunil CR</t>
        </is>
      </c>
      <c r="P1053" s="26" t="inlineStr">
        <is>
          <t>Yes</t>
        </is>
      </c>
      <c r="Q1053" s="26" t="inlineStr">
        <is>
          <t>No</t>
        </is>
      </c>
      <c r="R1053" s="26" t="inlineStr">
        <is>
          <t>Good finish</t>
        </is>
      </c>
      <c r="S1053" s="26" t="inlineStr">
        <is>
          <t>Yes</t>
        </is>
      </c>
      <c r="T1053" s="27" t="n"/>
      <c r="U1053" s="28" t="inlineStr">
        <is>
          <t>No</t>
        </is>
      </c>
      <c r="V1053" s="29">
        <f>IF(N1053="","",IF(Q1053="Yes","❌ Disc",IF(P1053="No","⚠ Missing",IF(S1053="Yes","✓ OK","⚠ Check"))))</f>
        <v/>
      </c>
      <c r="W1053" s="65" t="n">
        <v>46248</v>
      </c>
      <c r="X1053" s="30" t="inlineStr">
        <is>
          <t>Sunil CR</t>
        </is>
      </c>
      <c r="Y1053" s="30" t="inlineStr">
        <is>
          <t>Yes</t>
        </is>
      </c>
      <c r="Z1053" s="30" t="n"/>
      <c r="AA1053" s="30" t="inlineStr">
        <is>
          <t>Good finish</t>
        </is>
      </c>
      <c r="AB1053" s="30" t="inlineStr">
        <is>
          <t>Yes</t>
        </is>
      </c>
      <c r="AC1053" s="27" t="n"/>
      <c r="AD1053" s="31" t="inlineStr">
        <is>
          <t>No</t>
        </is>
      </c>
      <c r="AE1053" s="32">
        <f>IF(W1053="","",IF(Z1053="Yes","❌ Disc",IF(Y1053="No","⚠ Missing",IF(AB1053="Yes","✓ OK","⚠ Check"))))</f>
        <v/>
      </c>
      <c r="AF1053" s="33" t="n"/>
      <c r="AG1053" s="33" t="n"/>
      <c r="AH1053" s="33" t="n"/>
      <c r="AI1053" s="33" t="n"/>
      <c r="AJ1053" s="33" t="n"/>
      <c r="AK1053" s="33" t="n"/>
      <c r="AL1053" s="27" t="n"/>
      <c r="AM1053" s="34" t="n"/>
      <c r="AN1053" s="35">
        <f>IF(AF1053="","",IF(AI1053="Yes","❌ Disc",IF(AH1053="No","⚠ Missing",IF(AK1053="Yes","✓ OK","⚠ Check"))))</f>
        <v/>
      </c>
      <c r="AO1053" s="36" t="n"/>
      <c r="AP1053" s="36" t="n"/>
      <c r="AQ1053" s="36" t="n"/>
      <c r="AR1053" s="36" t="n"/>
      <c r="AS1053" s="36" t="n"/>
      <c r="AT1053" s="36" t="n"/>
      <c r="AU1053" s="27" t="n"/>
      <c r="AV1053" s="37" t="n"/>
      <c r="AW1053" s="38">
        <f>IF(AO1053="","",IF(AR1053="Yes","❌ Disc",IF(AQ1053="No","⚠ Missing",IF(AT1053="Yes","✓ OK","⚠ Check"))))</f>
        <v/>
      </c>
    </row>
    <row r="1054" ht="18" customHeight="1" s="46">
      <c r="A1054" s="39" t="n">
        <v>1050</v>
      </c>
      <c r="B1054" s="40" t="inlineStr">
        <is>
          <t>BD-VRM-2025-0147</t>
        </is>
      </c>
      <c r="C1054" s="41" t="inlineStr">
        <is>
          <t>LifenColors - Modern Mosaic Abstract Theme Room Wallpaper with Canvas Paper - CN/6015</t>
        </is>
      </c>
      <c r="D1054" s="39" t="inlineStr">
        <is>
          <t>Life n Colors</t>
        </is>
      </c>
      <c r="E1054" s="43" t="n">
        <v>46126</v>
      </c>
      <c r="F1054" s="26" t="inlineStr">
        <is>
          <t>Sunil CR</t>
        </is>
      </c>
      <c r="G1054" s="26" t="inlineStr">
        <is>
          <t>Yes</t>
        </is>
      </c>
      <c r="H1054" s="26" t="inlineStr">
        <is>
          <t>No</t>
        </is>
      </c>
      <c r="I1054" s="26" t="inlineStr">
        <is>
          <t>Good finish</t>
        </is>
      </c>
      <c r="J1054" s="26" t="inlineStr">
        <is>
          <t>Yes</t>
        </is>
      </c>
      <c r="K1054" s="27" t="n"/>
      <c r="L1054" s="28" t="inlineStr">
        <is>
          <t>No</t>
        </is>
      </c>
      <c r="M1054" s="29">
        <f>IF(E1054="","",IF(H1054="Yes","❌ Disc",IF(G1054="No","⚠ Missing",IF(J1054="Yes","✓ OK","⚠ Check"))))</f>
        <v/>
      </c>
      <c r="N1054" s="43" t="n">
        <v>46193</v>
      </c>
      <c r="O1054" s="26" t="inlineStr">
        <is>
          <t>Sunil CR</t>
        </is>
      </c>
      <c r="P1054" s="26" t="inlineStr">
        <is>
          <t>Yes</t>
        </is>
      </c>
      <c r="Q1054" s="26" t="inlineStr">
        <is>
          <t>No</t>
        </is>
      </c>
      <c r="R1054" s="26" t="inlineStr">
        <is>
          <t>Good finish</t>
        </is>
      </c>
      <c r="S1054" s="26" t="inlineStr">
        <is>
          <t>Yes</t>
        </is>
      </c>
      <c r="T1054" s="27" t="n"/>
      <c r="U1054" s="28" t="inlineStr">
        <is>
          <t>No</t>
        </is>
      </c>
      <c r="V1054" s="29">
        <f>IF(N1054="","",IF(Q1054="Yes","❌ Disc",IF(P1054="No","⚠ Missing",IF(S1054="Yes","✓ OK","⚠ Check"))))</f>
        <v/>
      </c>
      <c r="W1054" s="65" t="n">
        <v>46248</v>
      </c>
      <c r="X1054" s="30" t="inlineStr">
        <is>
          <t>Sunil CR</t>
        </is>
      </c>
      <c r="Y1054" s="30" t="inlineStr">
        <is>
          <t>Yes</t>
        </is>
      </c>
      <c r="Z1054" s="30" t="n"/>
      <c r="AA1054" s="30" t="inlineStr">
        <is>
          <t>Good finish</t>
        </is>
      </c>
      <c r="AB1054" s="30" t="inlineStr">
        <is>
          <t>Yes</t>
        </is>
      </c>
      <c r="AC1054" s="27" t="n"/>
      <c r="AD1054" s="31" t="inlineStr">
        <is>
          <t>No</t>
        </is>
      </c>
      <c r="AE1054" s="32">
        <f>IF(W1054="","",IF(Z1054="Yes","❌ Disc",IF(Y1054="No","⚠ Missing",IF(AB1054="Yes","✓ OK","⚠ Check"))))</f>
        <v/>
      </c>
      <c r="AF1054" s="33" t="n"/>
      <c r="AG1054" s="33" t="n"/>
      <c r="AH1054" s="33" t="n"/>
      <c r="AI1054" s="33" t="n"/>
      <c r="AJ1054" s="33" t="n"/>
      <c r="AK1054" s="33" t="n"/>
      <c r="AL1054" s="27" t="n"/>
      <c r="AM1054" s="34" t="n"/>
      <c r="AN1054" s="35">
        <f>IF(AF1054="","",IF(AI1054="Yes","❌ Disc",IF(AH1054="No","⚠ Missing",IF(AK1054="Yes","✓ OK","⚠ Check"))))</f>
        <v/>
      </c>
      <c r="AO1054" s="36" t="n"/>
      <c r="AP1054" s="36" t="n"/>
      <c r="AQ1054" s="36" t="n"/>
      <c r="AR1054" s="36" t="n"/>
      <c r="AS1054" s="36" t="n"/>
      <c r="AT1054" s="36" t="n"/>
      <c r="AU1054" s="27" t="n"/>
      <c r="AV1054" s="37" t="n"/>
      <c r="AW1054" s="38">
        <f>IF(AO1054="","",IF(AR1054="Yes","❌ Disc",IF(AQ1054="No","⚠ Missing",IF(AT1054="Yes","✓ OK","⚠ Check"))))</f>
        <v/>
      </c>
    </row>
    <row r="1055" ht="18" customHeight="1" s="46">
      <c r="A1055" s="23" t="n">
        <v>1051</v>
      </c>
      <c r="B1055" s="24" t="inlineStr">
        <is>
          <t>BD-VRM-2025-0136</t>
        </is>
      </c>
      <c r="C1055" s="25" t="inlineStr">
        <is>
          <t>LifenColors - Netri A Vintage Indian Art Inspired Wallpaper with Canvas Paper - CN/6002</t>
        </is>
      </c>
      <c r="D1055" s="23" t="inlineStr">
        <is>
          <t>Life n Colors</t>
        </is>
      </c>
      <c r="E1055" s="43" t="n">
        <v>46126</v>
      </c>
      <c r="F1055" s="26" t="inlineStr">
        <is>
          <t>Sunil CR</t>
        </is>
      </c>
      <c r="G1055" s="26" t="inlineStr">
        <is>
          <t>Yes</t>
        </is>
      </c>
      <c r="H1055" s="26" t="inlineStr">
        <is>
          <t>No</t>
        </is>
      </c>
      <c r="I1055" s="26" t="inlineStr">
        <is>
          <t>Good finish</t>
        </is>
      </c>
      <c r="J1055" s="26" t="inlineStr">
        <is>
          <t>Yes</t>
        </is>
      </c>
      <c r="K1055" s="27" t="n"/>
      <c r="L1055" s="28" t="inlineStr">
        <is>
          <t>No</t>
        </is>
      </c>
      <c r="M1055" s="29">
        <f>IF(E1055="","",IF(H1055="Yes","❌ Disc",IF(G1055="No","⚠ Missing",IF(J1055="Yes","✓ OK","⚠ Check"))))</f>
        <v/>
      </c>
      <c r="N1055" s="43" t="n">
        <v>46193</v>
      </c>
      <c r="O1055" s="26" t="inlineStr">
        <is>
          <t>Sunil CR</t>
        </is>
      </c>
      <c r="P1055" s="26" t="inlineStr">
        <is>
          <t>Yes</t>
        </is>
      </c>
      <c r="Q1055" s="26" t="inlineStr">
        <is>
          <t>No</t>
        </is>
      </c>
      <c r="R1055" s="26" t="inlineStr">
        <is>
          <t>Good finish</t>
        </is>
      </c>
      <c r="S1055" s="26" t="inlineStr">
        <is>
          <t>Yes</t>
        </is>
      </c>
      <c r="T1055" s="27" t="n"/>
      <c r="U1055" s="28" t="inlineStr">
        <is>
          <t>No</t>
        </is>
      </c>
      <c r="V1055" s="29">
        <f>IF(N1055="","",IF(Q1055="Yes","❌ Disc",IF(P1055="No","⚠ Missing",IF(S1055="Yes","✓ OK","⚠ Check"))))</f>
        <v/>
      </c>
      <c r="W1055" s="65" t="n">
        <v>46248</v>
      </c>
      <c r="X1055" s="30" t="inlineStr">
        <is>
          <t>Sunil CR</t>
        </is>
      </c>
      <c r="Y1055" s="30" t="inlineStr">
        <is>
          <t>Yes</t>
        </is>
      </c>
      <c r="Z1055" s="30" t="n"/>
      <c r="AA1055" s="30" t="inlineStr">
        <is>
          <t>Good finish</t>
        </is>
      </c>
      <c r="AB1055" s="30" t="inlineStr">
        <is>
          <t>Yes</t>
        </is>
      </c>
      <c r="AC1055" s="27" t="n"/>
      <c r="AD1055" s="31" t="inlineStr">
        <is>
          <t>No</t>
        </is>
      </c>
      <c r="AE1055" s="32">
        <f>IF(W1055="","",IF(Z1055="Yes","❌ Disc",IF(Y1055="No","⚠ Missing",IF(AB1055="Yes","✓ OK","⚠ Check"))))</f>
        <v/>
      </c>
      <c r="AF1055" s="33" t="n"/>
      <c r="AG1055" s="33" t="n"/>
      <c r="AH1055" s="33" t="n"/>
      <c r="AI1055" s="33" t="n"/>
      <c r="AJ1055" s="33" t="n"/>
      <c r="AK1055" s="33" t="n"/>
      <c r="AL1055" s="27" t="n"/>
      <c r="AM1055" s="34" t="n"/>
      <c r="AN1055" s="35">
        <f>IF(AF1055="","",IF(AI1055="Yes","❌ Disc",IF(AH1055="No","⚠ Missing",IF(AK1055="Yes","✓ OK","⚠ Check"))))</f>
        <v/>
      </c>
      <c r="AO1055" s="36" t="n"/>
      <c r="AP1055" s="36" t="n"/>
      <c r="AQ1055" s="36" t="n"/>
      <c r="AR1055" s="36" t="n"/>
      <c r="AS1055" s="36" t="n"/>
      <c r="AT1055" s="36" t="n"/>
      <c r="AU1055" s="27" t="n"/>
      <c r="AV1055" s="37" t="n"/>
      <c r="AW1055" s="38">
        <f>IF(AO1055="","",IF(AR1055="Yes","❌ Disc",IF(AQ1055="No","⚠ Missing",IF(AT1055="Yes","✓ OK","⚠ Check"))))</f>
        <v/>
      </c>
    </row>
    <row r="1056" ht="18" customHeight="1" s="46">
      <c r="A1056" s="39" t="n">
        <v>1052</v>
      </c>
      <c r="B1056" s="40" t="inlineStr">
        <is>
          <t>BD-VRM-2025-0148</t>
        </is>
      </c>
      <c r="C1056" s="41" t="inlineStr">
        <is>
          <t>LifenColors - Palm Paradise Tropical Customised Wallpaper with Canvas Paper - CN/6016</t>
        </is>
      </c>
      <c r="D1056" s="39" t="inlineStr">
        <is>
          <t>Life n Colors</t>
        </is>
      </c>
      <c r="E1056" s="43" t="n">
        <v>46126</v>
      </c>
      <c r="F1056" s="26" t="inlineStr">
        <is>
          <t>Sunil CR</t>
        </is>
      </c>
      <c r="G1056" s="26" t="inlineStr">
        <is>
          <t>Yes</t>
        </is>
      </c>
      <c r="H1056" s="26" t="inlineStr">
        <is>
          <t>No</t>
        </is>
      </c>
      <c r="I1056" s="26" t="inlineStr">
        <is>
          <t>Good finish</t>
        </is>
      </c>
      <c r="J1056" s="26" t="inlineStr">
        <is>
          <t>Yes</t>
        </is>
      </c>
      <c r="K1056" s="27" t="n"/>
      <c r="L1056" s="28" t="inlineStr">
        <is>
          <t>No</t>
        </is>
      </c>
      <c r="M1056" s="29">
        <f>IF(E1056="","",IF(H1056="Yes","❌ Disc",IF(G1056="No","⚠ Missing",IF(J1056="Yes","✓ OK","⚠ Check"))))</f>
        <v/>
      </c>
      <c r="N1056" s="43" t="n">
        <v>46193</v>
      </c>
      <c r="O1056" s="26" t="inlineStr">
        <is>
          <t>Sunil CR</t>
        </is>
      </c>
      <c r="P1056" s="26" t="inlineStr">
        <is>
          <t>Yes</t>
        </is>
      </c>
      <c r="Q1056" s="26" t="inlineStr">
        <is>
          <t>No</t>
        </is>
      </c>
      <c r="R1056" s="26" t="inlineStr">
        <is>
          <t>Good finish</t>
        </is>
      </c>
      <c r="S1056" s="26" t="inlineStr">
        <is>
          <t>Yes</t>
        </is>
      </c>
      <c r="T1056" s="27" t="n"/>
      <c r="U1056" s="28" t="inlineStr">
        <is>
          <t>No</t>
        </is>
      </c>
      <c r="V1056" s="29">
        <f>IF(N1056="","",IF(Q1056="Yes","❌ Disc",IF(P1056="No","⚠ Missing",IF(S1056="Yes","✓ OK","⚠ Check"))))</f>
        <v/>
      </c>
      <c r="W1056" s="65" t="n">
        <v>46248</v>
      </c>
      <c r="X1056" s="30" t="inlineStr">
        <is>
          <t>Sunil CR</t>
        </is>
      </c>
      <c r="Y1056" s="30" t="inlineStr">
        <is>
          <t>Yes</t>
        </is>
      </c>
      <c r="Z1056" s="30" t="n"/>
      <c r="AA1056" s="30" t="inlineStr">
        <is>
          <t>Good finish</t>
        </is>
      </c>
      <c r="AB1056" s="30" t="inlineStr">
        <is>
          <t>Yes</t>
        </is>
      </c>
      <c r="AC1056" s="27" t="n"/>
      <c r="AD1056" s="31" t="inlineStr">
        <is>
          <t>No</t>
        </is>
      </c>
      <c r="AE1056" s="32">
        <f>IF(W1056="","",IF(Z1056="Yes","❌ Disc",IF(Y1056="No","⚠ Missing",IF(AB1056="Yes","✓ OK","⚠ Check"))))</f>
        <v/>
      </c>
      <c r="AF1056" s="33" t="n"/>
      <c r="AG1056" s="33" t="n"/>
      <c r="AH1056" s="33" t="n"/>
      <c r="AI1056" s="33" t="n"/>
      <c r="AJ1056" s="33" t="n"/>
      <c r="AK1056" s="33" t="n"/>
      <c r="AL1056" s="27" t="n"/>
      <c r="AM1056" s="34" t="n"/>
      <c r="AN1056" s="35">
        <f>IF(AF1056="","",IF(AI1056="Yes","❌ Disc",IF(AH1056="No","⚠ Missing",IF(AK1056="Yes","✓ OK","⚠ Check"))))</f>
        <v/>
      </c>
      <c r="AO1056" s="36" t="n"/>
      <c r="AP1056" s="36" t="n"/>
      <c r="AQ1056" s="36" t="n"/>
      <c r="AR1056" s="36" t="n"/>
      <c r="AS1056" s="36" t="n"/>
      <c r="AT1056" s="36" t="n"/>
      <c r="AU1056" s="27" t="n"/>
      <c r="AV1056" s="37" t="n"/>
      <c r="AW1056" s="38">
        <f>IF(AO1056="","",IF(AR1056="Yes","❌ Disc",IF(AQ1056="No","⚠ Missing",IF(AT1056="Yes","✓ OK","⚠ Check"))))</f>
        <v/>
      </c>
    </row>
    <row r="1057" ht="18" customHeight="1" s="46">
      <c r="A1057" s="23" t="n">
        <v>1053</v>
      </c>
      <c r="B1057" s="24" t="inlineStr">
        <is>
          <t>BD-VRM-2025-0172</t>
        </is>
      </c>
      <c r="C1057" s="25" t="inlineStr">
        <is>
          <t>LifenColors - Pastel Jungle Fun Young Kids Room Wallpaper with Soft Feel Paper - SF/7009</t>
        </is>
      </c>
      <c r="D1057" s="23" t="inlineStr">
        <is>
          <t>Life n Colors</t>
        </is>
      </c>
      <c r="E1057" s="43" t="n">
        <v>46126</v>
      </c>
      <c r="F1057" s="26" t="inlineStr">
        <is>
          <t>Sunil CR</t>
        </is>
      </c>
      <c r="G1057" s="26" t="inlineStr">
        <is>
          <t>Yes</t>
        </is>
      </c>
      <c r="H1057" s="26" t="inlineStr">
        <is>
          <t>No</t>
        </is>
      </c>
      <c r="I1057" s="26" t="inlineStr">
        <is>
          <t>Good finish</t>
        </is>
      </c>
      <c r="J1057" s="26" t="inlineStr">
        <is>
          <t>Yes</t>
        </is>
      </c>
      <c r="K1057" s="27" t="n"/>
      <c r="L1057" s="28" t="inlineStr">
        <is>
          <t>No</t>
        </is>
      </c>
      <c r="M1057" s="29">
        <f>IF(E1057="","",IF(H1057="Yes","❌ Disc",IF(G1057="No","⚠ Missing",IF(J1057="Yes","✓ OK","⚠ Check"))))</f>
        <v/>
      </c>
      <c r="N1057" s="43" t="n">
        <v>46193</v>
      </c>
      <c r="O1057" s="26" t="inlineStr">
        <is>
          <t>Sunil CR</t>
        </is>
      </c>
      <c r="P1057" s="26" t="inlineStr">
        <is>
          <t>Yes</t>
        </is>
      </c>
      <c r="Q1057" s="26" t="inlineStr">
        <is>
          <t>No</t>
        </is>
      </c>
      <c r="R1057" s="26" t="inlineStr">
        <is>
          <t>Good finish</t>
        </is>
      </c>
      <c r="S1057" s="26" t="inlineStr">
        <is>
          <t>Yes</t>
        </is>
      </c>
      <c r="T1057" s="27" t="n"/>
      <c r="U1057" s="28" t="inlineStr">
        <is>
          <t>No</t>
        </is>
      </c>
      <c r="V1057" s="29">
        <f>IF(N1057="","",IF(Q1057="Yes","❌ Disc",IF(P1057="No","⚠ Missing",IF(S1057="Yes","✓ OK","⚠ Check"))))</f>
        <v/>
      </c>
      <c r="W1057" s="65" t="n">
        <v>46248</v>
      </c>
      <c r="X1057" s="30" t="inlineStr">
        <is>
          <t>Sunil CR</t>
        </is>
      </c>
      <c r="Y1057" s="30" t="inlineStr">
        <is>
          <t>Yes</t>
        </is>
      </c>
      <c r="Z1057" s="30" t="n"/>
      <c r="AA1057" s="30" t="inlineStr">
        <is>
          <t>Good finish</t>
        </is>
      </c>
      <c r="AB1057" s="30" t="inlineStr">
        <is>
          <t>Yes</t>
        </is>
      </c>
      <c r="AC1057" s="27" t="n"/>
      <c r="AD1057" s="31" t="inlineStr">
        <is>
          <t>No</t>
        </is>
      </c>
      <c r="AE1057" s="32">
        <f>IF(W1057="","",IF(Z1057="Yes","❌ Disc",IF(Y1057="No","⚠ Missing",IF(AB1057="Yes","✓ OK","⚠ Check"))))</f>
        <v/>
      </c>
      <c r="AF1057" s="33" t="n"/>
      <c r="AG1057" s="33" t="n"/>
      <c r="AH1057" s="33" t="n"/>
      <c r="AI1057" s="33" t="n"/>
      <c r="AJ1057" s="33" t="n"/>
      <c r="AK1057" s="33" t="n"/>
      <c r="AL1057" s="27" t="n"/>
      <c r="AM1057" s="34" t="n"/>
      <c r="AN1057" s="35">
        <f>IF(AF1057="","",IF(AI1057="Yes","❌ Disc",IF(AH1057="No","⚠ Missing",IF(AK1057="Yes","✓ OK","⚠ Check"))))</f>
        <v/>
      </c>
      <c r="AO1057" s="36" t="n"/>
      <c r="AP1057" s="36" t="n"/>
      <c r="AQ1057" s="36" t="n"/>
      <c r="AR1057" s="36" t="n"/>
      <c r="AS1057" s="36" t="n"/>
      <c r="AT1057" s="36" t="n"/>
      <c r="AU1057" s="27" t="n"/>
      <c r="AV1057" s="37" t="n"/>
      <c r="AW1057" s="38">
        <f>IF(AO1057="","",IF(AR1057="Yes","❌ Disc",IF(AQ1057="No","⚠ Missing",IF(AT1057="Yes","✓ OK","⚠ Check"))))</f>
        <v/>
      </c>
    </row>
    <row r="1058" ht="18" customHeight="1" s="46">
      <c r="A1058" s="39" t="n">
        <v>1054</v>
      </c>
      <c r="B1058" s="40" t="inlineStr">
        <is>
          <t>BD-VRM-2025-0169</t>
        </is>
      </c>
      <c r="C1058" s="41" t="inlineStr">
        <is>
          <t>LifenColors - Pretty Forest Theme Children Room Wallpaper with Soft Feel Paper - SF/7004</t>
        </is>
      </c>
      <c r="D1058" s="39" t="inlineStr">
        <is>
          <t>Life n Colors</t>
        </is>
      </c>
      <c r="E1058" s="43" t="n">
        <v>46126</v>
      </c>
      <c r="F1058" s="26" t="inlineStr">
        <is>
          <t>Sunil CR</t>
        </is>
      </c>
      <c r="G1058" s="26" t="inlineStr">
        <is>
          <t>Yes</t>
        </is>
      </c>
      <c r="H1058" s="26" t="inlineStr">
        <is>
          <t>No</t>
        </is>
      </c>
      <c r="I1058" s="26" t="inlineStr">
        <is>
          <t>Good finish</t>
        </is>
      </c>
      <c r="J1058" s="26" t="inlineStr">
        <is>
          <t>Yes</t>
        </is>
      </c>
      <c r="K1058" s="27" t="n"/>
      <c r="L1058" s="28" t="inlineStr">
        <is>
          <t>No</t>
        </is>
      </c>
      <c r="M1058" s="29">
        <f>IF(E1058="","",IF(H1058="Yes","❌ Disc",IF(G1058="No","⚠ Missing",IF(J1058="Yes","✓ OK","⚠ Check"))))</f>
        <v/>
      </c>
      <c r="N1058" s="43" t="n">
        <v>46193</v>
      </c>
      <c r="O1058" s="26" t="inlineStr">
        <is>
          <t>Sunil CR</t>
        </is>
      </c>
      <c r="P1058" s="26" t="inlineStr">
        <is>
          <t>Yes</t>
        </is>
      </c>
      <c r="Q1058" s="26" t="inlineStr">
        <is>
          <t>No</t>
        </is>
      </c>
      <c r="R1058" s="26" t="inlineStr">
        <is>
          <t>Good finish</t>
        </is>
      </c>
      <c r="S1058" s="26" t="inlineStr">
        <is>
          <t>Yes</t>
        </is>
      </c>
      <c r="T1058" s="27" t="n"/>
      <c r="U1058" s="28" t="inlineStr">
        <is>
          <t>No</t>
        </is>
      </c>
      <c r="V1058" s="29">
        <f>IF(N1058="","",IF(Q1058="Yes","❌ Disc",IF(P1058="No","⚠ Missing",IF(S1058="Yes","✓ OK","⚠ Check"))))</f>
        <v/>
      </c>
      <c r="W1058" s="65" t="n">
        <v>46248</v>
      </c>
      <c r="X1058" s="30" t="inlineStr">
        <is>
          <t>Sunil CR</t>
        </is>
      </c>
      <c r="Y1058" s="30" t="inlineStr">
        <is>
          <t>Yes</t>
        </is>
      </c>
      <c r="Z1058" s="30" t="n"/>
      <c r="AA1058" s="30" t="inlineStr">
        <is>
          <t>Good finish</t>
        </is>
      </c>
      <c r="AB1058" s="30" t="inlineStr">
        <is>
          <t>Yes</t>
        </is>
      </c>
      <c r="AC1058" s="27" t="n"/>
      <c r="AD1058" s="31" t="inlineStr">
        <is>
          <t>No</t>
        </is>
      </c>
      <c r="AE1058" s="32">
        <f>IF(W1058="","",IF(Z1058="Yes","❌ Disc",IF(Y1058="No","⚠ Missing",IF(AB1058="Yes","✓ OK","⚠ Check"))))</f>
        <v/>
      </c>
      <c r="AF1058" s="33" t="n"/>
      <c r="AG1058" s="33" t="n"/>
      <c r="AH1058" s="33" t="n"/>
      <c r="AI1058" s="33" t="n"/>
      <c r="AJ1058" s="33" t="n"/>
      <c r="AK1058" s="33" t="n"/>
      <c r="AL1058" s="27" t="n"/>
      <c r="AM1058" s="34" t="n"/>
      <c r="AN1058" s="35">
        <f>IF(AF1058="","",IF(AI1058="Yes","❌ Disc",IF(AH1058="No","⚠ Missing",IF(AK1058="Yes","✓ OK","⚠ Check"))))</f>
        <v/>
      </c>
      <c r="AO1058" s="36" t="n"/>
      <c r="AP1058" s="36" t="n"/>
      <c r="AQ1058" s="36" t="n"/>
      <c r="AR1058" s="36" t="n"/>
      <c r="AS1058" s="36" t="n"/>
      <c r="AT1058" s="36" t="n"/>
      <c r="AU1058" s="27" t="n"/>
      <c r="AV1058" s="37" t="n"/>
      <c r="AW1058" s="38">
        <f>IF(AO1058="","",IF(AR1058="Yes","❌ Disc",IF(AQ1058="No","⚠ Missing",IF(AT1058="Yes","✓ OK","⚠ Check"))))</f>
        <v/>
      </c>
    </row>
    <row r="1059" ht="18" customHeight="1" s="46">
      <c r="A1059" s="23" t="n">
        <v>1055</v>
      </c>
      <c r="B1059" s="24" t="inlineStr">
        <is>
          <t>BD-VRM-2025-0140</t>
        </is>
      </c>
      <c r="C1059" s="25" t="inlineStr">
        <is>
          <t>LifenColors - Rajah Indian Scenic Customised Wallpaper with Canvas Paper - CN/6006</t>
        </is>
      </c>
      <c r="D1059" s="23" t="inlineStr">
        <is>
          <t>Life n Colors</t>
        </is>
      </c>
      <c r="E1059" s="43" t="n">
        <v>46126</v>
      </c>
      <c r="F1059" s="26" t="inlineStr">
        <is>
          <t>Sunil CR</t>
        </is>
      </c>
      <c r="G1059" s="26" t="inlineStr">
        <is>
          <t>Yes</t>
        </is>
      </c>
      <c r="H1059" s="26" t="inlineStr">
        <is>
          <t>No</t>
        </is>
      </c>
      <c r="I1059" s="26" t="inlineStr">
        <is>
          <t>Good finish</t>
        </is>
      </c>
      <c r="J1059" s="26" t="inlineStr">
        <is>
          <t>Yes</t>
        </is>
      </c>
      <c r="K1059" s="27" t="n"/>
      <c r="L1059" s="28" t="inlineStr">
        <is>
          <t>No</t>
        </is>
      </c>
      <c r="M1059" s="29">
        <f>IF(E1059="","",IF(H1059="Yes","❌ Disc",IF(G1059="No","⚠ Missing",IF(J1059="Yes","✓ OK","⚠ Check"))))</f>
        <v/>
      </c>
      <c r="N1059" s="43" t="n">
        <v>46193</v>
      </c>
      <c r="O1059" s="26" t="inlineStr">
        <is>
          <t>Sunil CR</t>
        </is>
      </c>
      <c r="P1059" s="26" t="inlineStr">
        <is>
          <t>Yes</t>
        </is>
      </c>
      <c r="Q1059" s="26" t="inlineStr">
        <is>
          <t>No</t>
        </is>
      </c>
      <c r="R1059" s="26" t="inlineStr">
        <is>
          <t>Good finish</t>
        </is>
      </c>
      <c r="S1059" s="26" t="inlineStr">
        <is>
          <t>Yes</t>
        </is>
      </c>
      <c r="T1059" s="27" t="n"/>
      <c r="U1059" s="28" t="inlineStr">
        <is>
          <t>No</t>
        </is>
      </c>
      <c r="V1059" s="29">
        <f>IF(N1059="","",IF(Q1059="Yes","❌ Disc",IF(P1059="No","⚠ Missing",IF(S1059="Yes","✓ OK","⚠ Check"))))</f>
        <v/>
      </c>
      <c r="W1059" s="65" t="n">
        <v>46248</v>
      </c>
      <c r="X1059" s="30" t="inlineStr">
        <is>
          <t>Sunil CR</t>
        </is>
      </c>
      <c r="Y1059" s="30" t="inlineStr">
        <is>
          <t>Yes</t>
        </is>
      </c>
      <c r="Z1059" s="30" t="n"/>
      <c r="AA1059" s="30" t="inlineStr">
        <is>
          <t>Good finish</t>
        </is>
      </c>
      <c r="AB1059" s="30" t="inlineStr">
        <is>
          <t>Yes</t>
        </is>
      </c>
      <c r="AC1059" s="27" t="n"/>
      <c r="AD1059" s="31" t="inlineStr">
        <is>
          <t>No</t>
        </is>
      </c>
      <c r="AE1059" s="32">
        <f>IF(W1059="","",IF(Z1059="Yes","❌ Disc",IF(Y1059="No","⚠ Missing",IF(AB1059="Yes","✓ OK","⚠ Check"))))</f>
        <v/>
      </c>
      <c r="AF1059" s="33" t="n"/>
      <c r="AG1059" s="33" t="n"/>
      <c r="AH1059" s="33" t="n"/>
      <c r="AI1059" s="33" t="n"/>
      <c r="AJ1059" s="33" t="n"/>
      <c r="AK1059" s="33" t="n"/>
      <c r="AL1059" s="27" t="n"/>
      <c r="AM1059" s="34" t="n"/>
      <c r="AN1059" s="35">
        <f>IF(AF1059="","",IF(AI1059="Yes","❌ Disc",IF(AH1059="No","⚠ Missing",IF(AK1059="Yes","✓ OK","⚠ Check"))))</f>
        <v/>
      </c>
      <c r="AO1059" s="36" t="n"/>
      <c r="AP1059" s="36" t="n"/>
      <c r="AQ1059" s="36" t="n"/>
      <c r="AR1059" s="36" t="n"/>
      <c r="AS1059" s="36" t="n"/>
      <c r="AT1059" s="36" t="n"/>
      <c r="AU1059" s="27" t="n"/>
      <c r="AV1059" s="37" t="n"/>
      <c r="AW1059" s="38">
        <f>IF(AO1059="","",IF(AR1059="Yes","❌ Disc",IF(AQ1059="No","⚠ Missing",IF(AT1059="Yes","✓ OK","⚠ Check"))))</f>
        <v/>
      </c>
    </row>
    <row r="1060" ht="18" customHeight="1" s="46">
      <c r="A1060" s="39" t="n">
        <v>1056</v>
      </c>
      <c r="B1060" s="40" t="inlineStr">
        <is>
          <t>BD-VRM-2025-0152</t>
        </is>
      </c>
      <c r="C1060" s="41" t="inlineStr">
        <is>
          <t>LifenColors - Rustic Countryside Tale kids design Wallpaper with Canvas Paper - CN/6021</t>
        </is>
      </c>
      <c r="D1060" s="39" t="inlineStr">
        <is>
          <t>Life n Colors</t>
        </is>
      </c>
      <c r="E1060" s="43" t="n">
        <v>46126</v>
      </c>
      <c r="F1060" s="26" t="inlineStr">
        <is>
          <t>Sunil CR</t>
        </is>
      </c>
      <c r="G1060" s="26" t="inlineStr">
        <is>
          <t>Yes</t>
        </is>
      </c>
      <c r="H1060" s="26" t="inlineStr">
        <is>
          <t>No</t>
        </is>
      </c>
      <c r="I1060" s="26" t="inlineStr">
        <is>
          <t>Good finish</t>
        </is>
      </c>
      <c r="J1060" s="26" t="inlineStr">
        <is>
          <t>Yes</t>
        </is>
      </c>
      <c r="K1060" s="27" t="n"/>
      <c r="L1060" s="28" t="inlineStr">
        <is>
          <t>No</t>
        </is>
      </c>
      <c r="M1060" s="29">
        <f>IF(E1060="","",IF(H1060="Yes","❌ Disc",IF(G1060="No","⚠ Missing",IF(J1060="Yes","✓ OK","⚠ Check"))))</f>
        <v/>
      </c>
      <c r="N1060" s="43" t="n">
        <v>46193</v>
      </c>
      <c r="O1060" s="26" t="inlineStr">
        <is>
          <t>Sunil CR</t>
        </is>
      </c>
      <c r="P1060" s="26" t="inlineStr">
        <is>
          <t>Yes</t>
        </is>
      </c>
      <c r="Q1060" s="26" t="inlineStr">
        <is>
          <t>No</t>
        </is>
      </c>
      <c r="R1060" s="26" t="inlineStr">
        <is>
          <t>Good finish</t>
        </is>
      </c>
      <c r="S1060" s="26" t="inlineStr">
        <is>
          <t>Yes</t>
        </is>
      </c>
      <c r="T1060" s="27" t="n"/>
      <c r="U1060" s="28" t="inlineStr">
        <is>
          <t>No</t>
        </is>
      </c>
      <c r="V1060" s="29">
        <f>IF(N1060="","",IF(Q1060="Yes","❌ Disc",IF(P1060="No","⚠ Missing",IF(S1060="Yes","✓ OK","⚠ Check"))))</f>
        <v/>
      </c>
      <c r="W1060" s="65" t="n">
        <v>46248</v>
      </c>
      <c r="X1060" s="30" t="inlineStr">
        <is>
          <t>Sunil CR</t>
        </is>
      </c>
      <c r="Y1060" s="30" t="inlineStr">
        <is>
          <t>Yes</t>
        </is>
      </c>
      <c r="Z1060" s="30" t="n"/>
      <c r="AA1060" s="30" t="inlineStr">
        <is>
          <t>Good finish</t>
        </is>
      </c>
      <c r="AB1060" s="30" t="inlineStr">
        <is>
          <t>Yes</t>
        </is>
      </c>
      <c r="AC1060" s="27" t="n"/>
      <c r="AD1060" s="31" t="inlineStr">
        <is>
          <t>No</t>
        </is>
      </c>
      <c r="AE1060" s="32">
        <f>IF(W1060="","",IF(Z1060="Yes","❌ Disc",IF(Y1060="No","⚠ Missing",IF(AB1060="Yes","✓ OK","⚠ Check"))))</f>
        <v/>
      </c>
      <c r="AF1060" s="33" t="n"/>
      <c r="AG1060" s="33" t="n"/>
      <c r="AH1060" s="33" t="n"/>
      <c r="AI1060" s="33" t="n"/>
      <c r="AJ1060" s="33" t="n"/>
      <c r="AK1060" s="33" t="n"/>
      <c r="AL1060" s="27" t="n"/>
      <c r="AM1060" s="34" t="n"/>
      <c r="AN1060" s="35">
        <f>IF(AF1060="","",IF(AI1060="Yes","❌ Disc",IF(AH1060="No","⚠ Missing",IF(AK1060="Yes","✓ OK","⚠ Check"))))</f>
        <v/>
      </c>
      <c r="AO1060" s="36" t="n"/>
      <c r="AP1060" s="36" t="n"/>
      <c r="AQ1060" s="36" t="n"/>
      <c r="AR1060" s="36" t="n"/>
      <c r="AS1060" s="36" t="n"/>
      <c r="AT1060" s="36" t="n"/>
      <c r="AU1060" s="27" t="n"/>
      <c r="AV1060" s="37" t="n"/>
      <c r="AW1060" s="38">
        <f>IF(AO1060="","",IF(AR1060="Yes","❌ Disc",IF(AQ1060="No","⚠ Missing",IF(AT1060="Yes","✓ OK","⚠ Check"))))</f>
        <v/>
      </c>
    </row>
    <row r="1061" ht="18" customHeight="1" s="46">
      <c r="A1061" s="23" t="n">
        <v>1057</v>
      </c>
      <c r="B1061" s="24" t="inlineStr">
        <is>
          <t>BD-VRM-2025-0141</t>
        </is>
      </c>
      <c r="C1061" s="25" t="inlineStr">
        <is>
          <t>LifenColors - Sacred Grove Pichwai Room Wallpaper with Canvas Paper - CN/6007</t>
        </is>
      </c>
      <c r="D1061" s="23" t="inlineStr">
        <is>
          <t>Life n Colors</t>
        </is>
      </c>
      <c r="E1061" s="43" t="n">
        <v>46126</v>
      </c>
      <c r="F1061" s="26" t="inlineStr">
        <is>
          <t>Sunil CR</t>
        </is>
      </c>
      <c r="G1061" s="26" t="inlineStr">
        <is>
          <t>Yes</t>
        </is>
      </c>
      <c r="H1061" s="26" t="inlineStr">
        <is>
          <t>No</t>
        </is>
      </c>
      <c r="I1061" s="26" t="inlineStr">
        <is>
          <t>Good finish</t>
        </is>
      </c>
      <c r="J1061" s="26" t="inlineStr">
        <is>
          <t>Yes</t>
        </is>
      </c>
      <c r="K1061" s="27" t="n"/>
      <c r="L1061" s="28" t="inlineStr">
        <is>
          <t>No</t>
        </is>
      </c>
      <c r="M1061" s="29">
        <f>IF(E1061="","",IF(H1061="Yes","❌ Disc",IF(G1061="No","⚠ Missing",IF(J1061="Yes","✓ OK","⚠ Check"))))</f>
        <v/>
      </c>
      <c r="N1061" s="43" t="n">
        <v>46193</v>
      </c>
      <c r="O1061" s="26" t="inlineStr">
        <is>
          <t>Sunil CR</t>
        </is>
      </c>
      <c r="P1061" s="26" t="inlineStr">
        <is>
          <t>Yes</t>
        </is>
      </c>
      <c r="Q1061" s="26" t="inlineStr">
        <is>
          <t>No</t>
        </is>
      </c>
      <c r="R1061" s="26" t="inlineStr">
        <is>
          <t>Good finish</t>
        </is>
      </c>
      <c r="S1061" s="26" t="inlineStr">
        <is>
          <t>Yes</t>
        </is>
      </c>
      <c r="T1061" s="27" t="n"/>
      <c r="U1061" s="28" t="inlineStr">
        <is>
          <t>No</t>
        </is>
      </c>
      <c r="V1061" s="29">
        <f>IF(N1061="","",IF(Q1061="Yes","❌ Disc",IF(P1061="No","⚠ Missing",IF(S1061="Yes","✓ OK","⚠ Check"))))</f>
        <v/>
      </c>
      <c r="W1061" s="65" t="n">
        <v>46248</v>
      </c>
      <c r="X1061" s="30" t="inlineStr">
        <is>
          <t>Sunil CR</t>
        </is>
      </c>
      <c r="Y1061" s="30" t="inlineStr">
        <is>
          <t>Yes</t>
        </is>
      </c>
      <c r="Z1061" s="30" t="n"/>
      <c r="AA1061" s="30" t="inlineStr">
        <is>
          <t>Good finish</t>
        </is>
      </c>
      <c r="AB1061" s="30" t="inlineStr">
        <is>
          <t>Yes</t>
        </is>
      </c>
      <c r="AC1061" s="27" t="n"/>
      <c r="AD1061" s="31" t="inlineStr">
        <is>
          <t>No</t>
        </is>
      </c>
      <c r="AE1061" s="32">
        <f>IF(W1061="","",IF(Z1061="Yes","❌ Disc",IF(Y1061="No","⚠ Missing",IF(AB1061="Yes","✓ OK","⚠ Check"))))</f>
        <v/>
      </c>
      <c r="AF1061" s="33" t="n"/>
      <c r="AG1061" s="33" t="n"/>
      <c r="AH1061" s="33" t="n"/>
      <c r="AI1061" s="33" t="n"/>
      <c r="AJ1061" s="33" t="n"/>
      <c r="AK1061" s="33" t="n"/>
      <c r="AL1061" s="27" t="n"/>
      <c r="AM1061" s="34" t="n"/>
      <c r="AN1061" s="35">
        <f>IF(AF1061="","",IF(AI1061="Yes","❌ Disc",IF(AH1061="No","⚠ Missing",IF(AK1061="Yes","✓ OK","⚠ Check"))))</f>
        <v/>
      </c>
      <c r="AO1061" s="36" t="n"/>
      <c r="AP1061" s="36" t="n"/>
      <c r="AQ1061" s="36" t="n"/>
      <c r="AR1061" s="36" t="n"/>
      <c r="AS1061" s="36" t="n"/>
      <c r="AT1061" s="36" t="n"/>
      <c r="AU1061" s="27" t="n"/>
      <c r="AV1061" s="37" t="n"/>
      <c r="AW1061" s="38">
        <f>IF(AO1061="","",IF(AR1061="Yes","❌ Disc",IF(AQ1061="No","⚠ Missing",IF(AT1061="Yes","✓ OK","⚠ Check"))))</f>
        <v/>
      </c>
    </row>
    <row r="1062" ht="18" customHeight="1" s="46">
      <c r="A1062" s="39" t="n">
        <v>1058</v>
      </c>
      <c r="B1062" s="40" t="inlineStr">
        <is>
          <t>BD-VRM-2025-0139</t>
        </is>
      </c>
      <c r="C1062" s="41" t="inlineStr">
        <is>
          <t>LifenColors - Safar Vintage Indian Scenic Wallpaper with Canvas Paper - CN/6005</t>
        </is>
      </c>
      <c r="D1062" s="39" t="inlineStr">
        <is>
          <t>Life n Colors</t>
        </is>
      </c>
      <c r="E1062" s="43" t="n">
        <v>46126</v>
      </c>
      <c r="F1062" s="26" t="inlineStr">
        <is>
          <t>Sunil CR</t>
        </is>
      </c>
      <c r="G1062" s="26" t="inlineStr">
        <is>
          <t>Yes</t>
        </is>
      </c>
      <c r="H1062" s="26" t="inlineStr">
        <is>
          <t>No</t>
        </is>
      </c>
      <c r="I1062" s="26" t="inlineStr">
        <is>
          <t>Good finish</t>
        </is>
      </c>
      <c r="J1062" s="26" t="inlineStr">
        <is>
          <t>Yes</t>
        </is>
      </c>
      <c r="K1062" s="27" t="n"/>
      <c r="L1062" s="28" t="inlineStr">
        <is>
          <t>No</t>
        </is>
      </c>
      <c r="M1062" s="29">
        <f>IF(E1062="","",IF(H1062="Yes","❌ Disc",IF(G1062="No","⚠ Missing",IF(J1062="Yes","✓ OK","⚠ Check"))))</f>
        <v/>
      </c>
      <c r="N1062" s="43" t="n">
        <v>46193</v>
      </c>
      <c r="O1062" s="26" t="inlineStr">
        <is>
          <t>Sunil CR</t>
        </is>
      </c>
      <c r="P1062" s="26" t="inlineStr">
        <is>
          <t>Yes</t>
        </is>
      </c>
      <c r="Q1062" s="26" t="inlineStr">
        <is>
          <t>No</t>
        </is>
      </c>
      <c r="R1062" s="26" t="inlineStr">
        <is>
          <t>Good finish</t>
        </is>
      </c>
      <c r="S1062" s="26" t="inlineStr">
        <is>
          <t>Yes</t>
        </is>
      </c>
      <c r="T1062" s="27" t="n"/>
      <c r="U1062" s="28" t="inlineStr">
        <is>
          <t>No</t>
        </is>
      </c>
      <c r="V1062" s="29">
        <f>IF(N1062="","",IF(Q1062="Yes","❌ Disc",IF(P1062="No","⚠ Missing",IF(S1062="Yes","✓ OK","⚠ Check"))))</f>
        <v/>
      </c>
      <c r="W1062" s="65" t="n">
        <v>46248</v>
      </c>
      <c r="X1062" s="30" t="inlineStr">
        <is>
          <t>Sunil CR</t>
        </is>
      </c>
      <c r="Y1062" s="30" t="inlineStr">
        <is>
          <t>Yes</t>
        </is>
      </c>
      <c r="Z1062" s="30" t="n"/>
      <c r="AA1062" s="30" t="inlineStr">
        <is>
          <t>Good finish</t>
        </is>
      </c>
      <c r="AB1062" s="30" t="inlineStr">
        <is>
          <t>Yes</t>
        </is>
      </c>
      <c r="AC1062" s="27" t="n"/>
      <c r="AD1062" s="31" t="inlineStr">
        <is>
          <t>No</t>
        </is>
      </c>
      <c r="AE1062" s="32">
        <f>IF(W1062="","",IF(Z1062="Yes","❌ Disc",IF(Y1062="No","⚠ Missing",IF(AB1062="Yes","✓ OK","⚠ Check"))))</f>
        <v/>
      </c>
      <c r="AF1062" s="33" t="n"/>
      <c r="AG1062" s="33" t="n"/>
      <c r="AH1062" s="33" t="n"/>
      <c r="AI1062" s="33" t="n"/>
      <c r="AJ1062" s="33" t="n"/>
      <c r="AK1062" s="33" t="n"/>
      <c r="AL1062" s="27" t="n"/>
      <c r="AM1062" s="34" t="n"/>
      <c r="AN1062" s="35">
        <f>IF(AF1062="","",IF(AI1062="Yes","❌ Disc",IF(AH1062="No","⚠ Missing",IF(AK1062="Yes","✓ OK","⚠ Check"))))</f>
        <v/>
      </c>
      <c r="AO1062" s="36" t="n"/>
      <c r="AP1062" s="36" t="n"/>
      <c r="AQ1062" s="36" t="n"/>
      <c r="AR1062" s="36" t="n"/>
      <c r="AS1062" s="36" t="n"/>
      <c r="AT1062" s="36" t="n"/>
      <c r="AU1062" s="27" t="n"/>
      <c r="AV1062" s="37" t="n"/>
      <c r="AW1062" s="38">
        <f>IF(AO1062="","",IF(AR1062="Yes","❌ Disc",IF(AQ1062="No","⚠ Missing",IF(AT1062="Yes","✓ OK","⚠ Check"))))</f>
        <v/>
      </c>
    </row>
    <row r="1063" ht="18" customHeight="1" s="46">
      <c r="A1063" s="23" t="n">
        <v>1059</v>
      </c>
      <c r="B1063" s="24" t="inlineStr">
        <is>
          <t>BD-VRM-2025-0168</t>
        </is>
      </c>
      <c r="C1063" s="25" t="inlineStr">
        <is>
          <t>LifenColors - Safari Sojourn Cute Kids Room Wallpaper with Soft Feel Paper - SF/7003</t>
        </is>
      </c>
      <c r="D1063" s="23" t="inlineStr">
        <is>
          <t>Life n Colors</t>
        </is>
      </c>
      <c r="E1063" s="43" t="n">
        <v>46126</v>
      </c>
      <c r="F1063" s="26" t="inlineStr">
        <is>
          <t>Sunil CR</t>
        </is>
      </c>
      <c r="G1063" s="26" t="inlineStr">
        <is>
          <t>Yes</t>
        </is>
      </c>
      <c r="H1063" s="26" t="inlineStr">
        <is>
          <t>No</t>
        </is>
      </c>
      <c r="I1063" s="26" t="inlineStr">
        <is>
          <t>Good finish</t>
        </is>
      </c>
      <c r="J1063" s="26" t="inlineStr">
        <is>
          <t>Yes</t>
        </is>
      </c>
      <c r="K1063" s="27" t="n"/>
      <c r="L1063" s="28" t="inlineStr">
        <is>
          <t>No</t>
        </is>
      </c>
      <c r="M1063" s="29">
        <f>IF(E1063="","",IF(H1063="Yes","❌ Disc",IF(G1063="No","⚠ Missing",IF(J1063="Yes","✓ OK","⚠ Check"))))</f>
        <v/>
      </c>
      <c r="N1063" s="43" t="n">
        <v>46193</v>
      </c>
      <c r="O1063" s="26" t="inlineStr">
        <is>
          <t>Sunil CR</t>
        </is>
      </c>
      <c r="P1063" s="26" t="inlineStr">
        <is>
          <t>Yes</t>
        </is>
      </c>
      <c r="Q1063" s="26" t="inlineStr">
        <is>
          <t>No</t>
        </is>
      </c>
      <c r="R1063" s="26" t="inlineStr">
        <is>
          <t>Good finish</t>
        </is>
      </c>
      <c r="S1063" s="26" t="inlineStr">
        <is>
          <t>Yes</t>
        </is>
      </c>
      <c r="T1063" s="27" t="n"/>
      <c r="U1063" s="28" t="inlineStr">
        <is>
          <t>No</t>
        </is>
      </c>
      <c r="V1063" s="29">
        <f>IF(N1063="","",IF(Q1063="Yes","❌ Disc",IF(P1063="No","⚠ Missing",IF(S1063="Yes","✓ OK","⚠ Check"))))</f>
        <v/>
      </c>
      <c r="W1063" s="65" t="n">
        <v>46248</v>
      </c>
      <c r="X1063" s="30" t="inlineStr">
        <is>
          <t>Sunil CR</t>
        </is>
      </c>
      <c r="Y1063" s="30" t="inlineStr">
        <is>
          <t>Yes</t>
        </is>
      </c>
      <c r="Z1063" s="30" t="n"/>
      <c r="AA1063" s="30" t="inlineStr">
        <is>
          <t>Good finish</t>
        </is>
      </c>
      <c r="AB1063" s="30" t="inlineStr">
        <is>
          <t>Yes</t>
        </is>
      </c>
      <c r="AC1063" s="27" t="n"/>
      <c r="AD1063" s="31" t="inlineStr">
        <is>
          <t>No</t>
        </is>
      </c>
      <c r="AE1063" s="32">
        <f>IF(W1063="","",IF(Z1063="Yes","❌ Disc",IF(Y1063="No","⚠ Missing",IF(AB1063="Yes","✓ OK","⚠ Check"))))</f>
        <v/>
      </c>
      <c r="AF1063" s="33" t="n"/>
      <c r="AG1063" s="33" t="n"/>
      <c r="AH1063" s="33" t="n"/>
      <c r="AI1063" s="33" t="n"/>
      <c r="AJ1063" s="33" t="n"/>
      <c r="AK1063" s="33" t="n"/>
      <c r="AL1063" s="27" t="n"/>
      <c r="AM1063" s="34" t="n"/>
      <c r="AN1063" s="35">
        <f>IF(AF1063="","",IF(AI1063="Yes","❌ Disc",IF(AH1063="No","⚠ Missing",IF(AK1063="Yes","✓ OK","⚠ Check"))))</f>
        <v/>
      </c>
      <c r="AO1063" s="36" t="n"/>
      <c r="AP1063" s="36" t="n"/>
      <c r="AQ1063" s="36" t="n"/>
      <c r="AR1063" s="36" t="n"/>
      <c r="AS1063" s="36" t="n"/>
      <c r="AT1063" s="36" t="n"/>
      <c r="AU1063" s="27" t="n"/>
      <c r="AV1063" s="37" t="n"/>
      <c r="AW1063" s="38">
        <f>IF(AO1063="","",IF(AR1063="Yes","❌ Disc",IF(AQ1063="No","⚠ Missing",IF(AT1063="Yes","✓ OK","⚠ Check"))))</f>
        <v/>
      </c>
    </row>
    <row r="1064" ht="18" customHeight="1" s="46">
      <c r="A1064" s="39" t="n">
        <v>1060</v>
      </c>
      <c r="B1064" s="40" t="inlineStr">
        <is>
          <t>BD-VRM-2025-0149</t>
        </is>
      </c>
      <c r="C1064" s="41" t="inlineStr">
        <is>
          <t>LifenColors - Sandy Arches Abstract Modern Theme Geometric Wallpaper Beige with Canvas Paper - CN/6017</t>
        </is>
      </c>
      <c r="D1064" s="39" t="inlineStr">
        <is>
          <t>Life n Colors</t>
        </is>
      </c>
      <c r="E1064" s="43" t="n">
        <v>46126</v>
      </c>
      <c r="F1064" s="26" t="inlineStr">
        <is>
          <t>Sunil CR</t>
        </is>
      </c>
      <c r="G1064" s="26" t="inlineStr">
        <is>
          <t>Yes</t>
        </is>
      </c>
      <c r="H1064" s="26" t="inlineStr">
        <is>
          <t>No</t>
        </is>
      </c>
      <c r="I1064" s="26" t="inlineStr">
        <is>
          <t>Good finish</t>
        </is>
      </c>
      <c r="J1064" s="26" t="inlineStr">
        <is>
          <t>Yes</t>
        </is>
      </c>
      <c r="K1064" s="27" t="n"/>
      <c r="L1064" s="28" t="inlineStr">
        <is>
          <t>No</t>
        </is>
      </c>
      <c r="M1064" s="29">
        <f>IF(E1064="","",IF(H1064="Yes","❌ Disc",IF(G1064="No","⚠ Missing",IF(J1064="Yes","✓ OK","⚠ Check"))))</f>
        <v/>
      </c>
      <c r="N1064" s="43" t="n">
        <v>46193</v>
      </c>
      <c r="O1064" s="26" t="inlineStr">
        <is>
          <t>Sunil CR</t>
        </is>
      </c>
      <c r="P1064" s="26" t="inlineStr">
        <is>
          <t>Yes</t>
        </is>
      </c>
      <c r="Q1064" s="26" t="inlineStr">
        <is>
          <t>No</t>
        </is>
      </c>
      <c r="R1064" s="26" t="inlineStr">
        <is>
          <t>Good finish</t>
        </is>
      </c>
      <c r="S1064" s="26" t="inlineStr">
        <is>
          <t>Yes</t>
        </is>
      </c>
      <c r="T1064" s="27" t="n"/>
      <c r="U1064" s="28" t="inlineStr">
        <is>
          <t>No</t>
        </is>
      </c>
      <c r="V1064" s="29">
        <f>IF(N1064="","",IF(Q1064="Yes","❌ Disc",IF(P1064="No","⚠ Missing",IF(S1064="Yes","✓ OK","⚠ Check"))))</f>
        <v/>
      </c>
      <c r="W1064" s="65" t="n">
        <v>46248</v>
      </c>
      <c r="X1064" s="30" t="inlineStr">
        <is>
          <t>Sunil CR</t>
        </is>
      </c>
      <c r="Y1064" s="30" t="inlineStr">
        <is>
          <t>Yes</t>
        </is>
      </c>
      <c r="Z1064" s="30" t="n"/>
      <c r="AA1064" s="30" t="inlineStr">
        <is>
          <t>Good finish</t>
        </is>
      </c>
      <c r="AB1064" s="30" t="inlineStr">
        <is>
          <t>Yes</t>
        </is>
      </c>
      <c r="AC1064" s="27" t="n"/>
      <c r="AD1064" s="31" t="inlineStr">
        <is>
          <t>No</t>
        </is>
      </c>
      <c r="AE1064" s="32">
        <f>IF(W1064="","",IF(Z1064="Yes","❌ Disc",IF(Y1064="No","⚠ Missing",IF(AB1064="Yes","✓ OK","⚠ Check"))))</f>
        <v/>
      </c>
      <c r="AF1064" s="33" t="n"/>
      <c r="AG1064" s="33" t="n"/>
      <c r="AH1064" s="33" t="n"/>
      <c r="AI1064" s="33" t="n"/>
      <c r="AJ1064" s="33" t="n"/>
      <c r="AK1064" s="33" t="n"/>
      <c r="AL1064" s="27" t="n"/>
      <c r="AM1064" s="34" t="n"/>
      <c r="AN1064" s="35">
        <f>IF(AF1064="","",IF(AI1064="Yes","❌ Disc",IF(AH1064="No","⚠ Missing",IF(AK1064="Yes","✓ OK","⚠ Check"))))</f>
        <v/>
      </c>
      <c r="AO1064" s="36" t="n"/>
      <c r="AP1064" s="36" t="n"/>
      <c r="AQ1064" s="36" t="n"/>
      <c r="AR1064" s="36" t="n"/>
      <c r="AS1064" s="36" t="n"/>
      <c r="AT1064" s="36" t="n"/>
      <c r="AU1064" s="27" t="n"/>
      <c r="AV1064" s="37" t="n"/>
      <c r="AW1064" s="38">
        <f>IF(AO1064="","",IF(AR1064="Yes","❌ Disc",IF(AQ1064="No","⚠ Missing",IF(AT1064="Yes","✓ OK","⚠ Check"))))</f>
        <v/>
      </c>
    </row>
    <row r="1065" ht="18" customHeight="1" s="46">
      <c r="A1065" s="23" t="n">
        <v>1061</v>
      </c>
      <c r="B1065" s="24" t="inlineStr">
        <is>
          <t>BD-VRM-2025-0183</t>
        </is>
      </c>
      <c r="C1065" s="25" t="inlineStr">
        <is>
          <t>LifenColors - Santorini Doodle Art, Kids Room Ivory Yellow Wallpaper with Soft Feel Paper - SF/7026</t>
        </is>
      </c>
      <c r="D1065" s="23" t="inlineStr">
        <is>
          <t>Life n Colors</t>
        </is>
      </c>
      <c r="E1065" s="43" t="n">
        <v>46126</v>
      </c>
      <c r="F1065" s="26" t="inlineStr">
        <is>
          <t>Sunil CR</t>
        </is>
      </c>
      <c r="G1065" s="26" t="inlineStr">
        <is>
          <t>Yes</t>
        </is>
      </c>
      <c r="H1065" s="26" t="inlineStr">
        <is>
          <t>No</t>
        </is>
      </c>
      <c r="I1065" s="26" t="inlineStr">
        <is>
          <t>Good finish</t>
        </is>
      </c>
      <c r="J1065" s="26" t="inlineStr">
        <is>
          <t>Yes</t>
        </is>
      </c>
      <c r="K1065" s="27" t="n"/>
      <c r="L1065" s="28" t="inlineStr">
        <is>
          <t>No</t>
        </is>
      </c>
      <c r="M1065" s="29">
        <f>IF(E1065="","",IF(H1065="Yes","❌ Disc",IF(G1065="No","⚠ Missing",IF(J1065="Yes","✓ OK","⚠ Check"))))</f>
        <v/>
      </c>
      <c r="N1065" s="43" t="n">
        <v>46193</v>
      </c>
      <c r="O1065" s="26" t="inlineStr">
        <is>
          <t>Sunil CR</t>
        </is>
      </c>
      <c r="P1065" s="26" t="inlineStr">
        <is>
          <t>Yes</t>
        </is>
      </c>
      <c r="Q1065" s="26" t="inlineStr">
        <is>
          <t>No</t>
        </is>
      </c>
      <c r="R1065" s="26" t="inlineStr">
        <is>
          <t>Good finish</t>
        </is>
      </c>
      <c r="S1065" s="26" t="inlineStr">
        <is>
          <t>Yes</t>
        </is>
      </c>
      <c r="T1065" s="27" t="n"/>
      <c r="U1065" s="28" t="inlineStr">
        <is>
          <t>No</t>
        </is>
      </c>
      <c r="V1065" s="29">
        <f>IF(N1065="","",IF(Q1065="Yes","❌ Disc",IF(P1065="No","⚠ Missing",IF(S1065="Yes","✓ OK","⚠ Check"))))</f>
        <v/>
      </c>
      <c r="W1065" s="65" t="n">
        <v>46248</v>
      </c>
      <c r="X1065" s="30" t="inlineStr">
        <is>
          <t>Sunil CR</t>
        </is>
      </c>
      <c r="Y1065" s="30" t="inlineStr">
        <is>
          <t>Yes</t>
        </is>
      </c>
      <c r="Z1065" s="30" t="n"/>
      <c r="AA1065" s="30" t="inlineStr">
        <is>
          <t>Good finish</t>
        </is>
      </c>
      <c r="AB1065" s="30" t="inlineStr">
        <is>
          <t>Yes</t>
        </is>
      </c>
      <c r="AC1065" s="27" t="n"/>
      <c r="AD1065" s="31" t="inlineStr">
        <is>
          <t>No</t>
        </is>
      </c>
      <c r="AE1065" s="32">
        <f>IF(W1065="","",IF(Z1065="Yes","❌ Disc",IF(Y1065="No","⚠ Missing",IF(AB1065="Yes","✓ OK","⚠ Check"))))</f>
        <v/>
      </c>
      <c r="AF1065" s="33" t="n"/>
      <c r="AG1065" s="33" t="n"/>
      <c r="AH1065" s="33" t="n"/>
      <c r="AI1065" s="33" t="n"/>
      <c r="AJ1065" s="33" t="n"/>
      <c r="AK1065" s="33" t="n"/>
      <c r="AL1065" s="27" t="n"/>
      <c r="AM1065" s="34" t="n"/>
      <c r="AN1065" s="35">
        <f>IF(AF1065="","",IF(AI1065="Yes","❌ Disc",IF(AH1065="No","⚠ Missing",IF(AK1065="Yes","✓ OK","⚠ Check"))))</f>
        <v/>
      </c>
      <c r="AO1065" s="36" t="n"/>
      <c r="AP1065" s="36" t="n"/>
      <c r="AQ1065" s="36" t="n"/>
      <c r="AR1065" s="36" t="n"/>
      <c r="AS1065" s="36" t="n"/>
      <c r="AT1065" s="36" t="n"/>
      <c r="AU1065" s="27" t="n"/>
      <c r="AV1065" s="37" t="n"/>
      <c r="AW1065" s="38">
        <f>IF(AO1065="","",IF(AR1065="Yes","❌ Disc",IF(AQ1065="No","⚠ Missing",IF(AT1065="Yes","✓ OK","⚠ Check"))))</f>
        <v/>
      </c>
    </row>
    <row r="1066" ht="18" customHeight="1" s="46">
      <c r="A1066" s="39" t="n">
        <v>1062</v>
      </c>
      <c r="B1066" s="40" t="inlineStr">
        <is>
          <t>BD-VRM-2025-0154</t>
        </is>
      </c>
      <c r="C1066" s="41" t="inlineStr">
        <is>
          <t>LifenColors - Sarangi Rajasthani Block Print Design Wallpaper Rust with Canvas Paper - CN/6028</t>
        </is>
      </c>
      <c r="D1066" s="39" t="inlineStr">
        <is>
          <t>Life n Colors</t>
        </is>
      </c>
      <c r="E1066" s="43" t="n">
        <v>46126</v>
      </c>
      <c r="F1066" s="26" t="inlineStr">
        <is>
          <t>Sunil CR</t>
        </is>
      </c>
      <c r="G1066" s="26" t="inlineStr">
        <is>
          <t>Yes</t>
        </is>
      </c>
      <c r="H1066" s="26" t="inlineStr">
        <is>
          <t>No</t>
        </is>
      </c>
      <c r="I1066" s="26" t="inlineStr">
        <is>
          <t>Good finish</t>
        </is>
      </c>
      <c r="J1066" s="26" t="inlineStr">
        <is>
          <t>Yes</t>
        </is>
      </c>
      <c r="K1066" s="27" t="n"/>
      <c r="L1066" s="28" t="inlineStr">
        <is>
          <t>No</t>
        </is>
      </c>
      <c r="M1066" s="29">
        <f>IF(E1066="","",IF(H1066="Yes","❌ Disc",IF(G1066="No","⚠ Missing",IF(J1066="Yes","✓ OK","⚠ Check"))))</f>
        <v/>
      </c>
      <c r="N1066" s="43" t="n">
        <v>46193</v>
      </c>
      <c r="O1066" s="26" t="inlineStr">
        <is>
          <t>Sunil CR</t>
        </is>
      </c>
      <c r="P1066" s="26" t="inlineStr">
        <is>
          <t>Yes</t>
        </is>
      </c>
      <c r="Q1066" s="26" t="inlineStr">
        <is>
          <t>No</t>
        </is>
      </c>
      <c r="R1066" s="26" t="inlineStr">
        <is>
          <t>Good finish</t>
        </is>
      </c>
      <c r="S1066" s="26" t="inlineStr">
        <is>
          <t>Yes</t>
        </is>
      </c>
      <c r="T1066" s="27" t="n"/>
      <c r="U1066" s="28" t="inlineStr">
        <is>
          <t>No</t>
        </is>
      </c>
      <c r="V1066" s="29">
        <f>IF(N1066="","",IF(Q1066="Yes","❌ Disc",IF(P1066="No","⚠ Missing",IF(S1066="Yes","✓ OK","⚠ Check"))))</f>
        <v/>
      </c>
      <c r="W1066" s="65" t="n">
        <v>46248</v>
      </c>
      <c r="X1066" s="30" t="inlineStr">
        <is>
          <t>Sunil CR</t>
        </is>
      </c>
      <c r="Y1066" s="30" t="inlineStr">
        <is>
          <t>Yes</t>
        </is>
      </c>
      <c r="Z1066" s="30" t="n"/>
      <c r="AA1066" s="30" t="inlineStr">
        <is>
          <t>Good finish</t>
        </is>
      </c>
      <c r="AB1066" s="30" t="inlineStr">
        <is>
          <t>Yes</t>
        </is>
      </c>
      <c r="AC1066" s="27" t="n"/>
      <c r="AD1066" s="31" t="inlineStr">
        <is>
          <t>No</t>
        </is>
      </c>
      <c r="AE1066" s="32">
        <f>IF(W1066="","",IF(Z1066="Yes","❌ Disc",IF(Y1066="No","⚠ Missing",IF(AB1066="Yes","✓ OK","⚠ Check"))))</f>
        <v/>
      </c>
      <c r="AF1066" s="33" t="n"/>
      <c r="AG1066" s="33" t="n"/>
      <c r="AH1066" s="33" t="n"/>
      <c r="AI1066" s="33" t="n"/>
      <c r="AJ1066" s="33" t="n"/>
      <c r="AK1066" s="33" t="n"/>
      <c r="AL1066" s="27" t="n"/>
      <c r="AM1066" s="34" t="n"/>
      <c r="AN1066" s="35">
        <f>IF(AF1066="","",IF(AI1066="Yes","❌ Disc",IF(AH1066="No","⚠ Missing",IF(AK1066="Yes","✓ OK","⚠ Check"))))</f>
        <v/>
      </c>
      <c r="AO1066" s="36" t="n"/>
      <c r="AP1066" s="36" t="n"/>
      <c r="AQ1066" s="36" t="n"/>
      <c r="AR1066" s="36" t="n"/>
      <c r="AS1066" s="36" t="n"/>
      <c r="AT1066" s="36" t="n"/>
      <c r="AU1066" s="27" t="n"/>
      <c r="AV1066" s="37" t="n"/>
      <c r="AW1066" s="38">
        <f>IF(AO1066="","",IF(AR1066="Yes","❌ Disc",IF(AQ1066="No","⚠ Missing",IF(AT1066="Yes","✓ OK","⚠ Check"))))</f>
        <v/>
      </c>
    </row>
    <row r="1067" ht="18" customHeight="1" s="46">
      <c r="A1067" s="23" t="n">
        <v>1063</v>
      </c>
      <c r="B1067" s="24" t="inlineStr">
        <is>
          <t>BD-VRM-2025-0191</t>
        </is>
      </c>
      <c r="C1067" s="25" t="inlineStr">
        <is>
          <t>LifenColors - Starry Dreamscape oink Wallpaper For Kids room with Soft Feel Paper - SF/7034</t>
        </is>
      </c>
      <c r="D1067" s="23" t="inlineStr">
        <is>
          <t>Life n Colors</t>
        </is>
      </c>
      <c r="E1067" s="43" t="n">
        <v>46126</v>
      </c>
      <c r="F1067" s="26" t="inlineStr">
        <is>
          <t>Sunil CR</t>
        </is>
      </c>
      <c r="G1067" s="26" t="inlineStr">
        <is>
          <t>Yes</t>
        </is>
      </c>
      <c r="H1067" s="26" t="inlineStr">
        <is>
          <t>No</t>
        </is>
      </c>
      <c r="I1067" s="26" t="inlineStr">
        <is>
          <t>Good finish</t>
        </is>
      </c>
      <c r="J1067" s="26" t="inlineStr">
        <is>
          <t>Yes</t>
        </is>
      </c>
      <c r="K1067" s="27" t="n"/>
      <c r="L1067" s="28" t="inlineStr">
        <is>
          <t>No</t>
        </is>
      </c>
      <c r="M1067" s="29">
        <f>IF(E1067="","",IF(H1067="Yes","❌ Disc",IF(G1067="No","⚠ Missing",IF(J1067="Yes","✓ OK","⚠ Check"))))</f>
        <v/>
      </c>
      <c r="N1067" s="43" t="n">
        <v>46193</v>
      </c>
      <c r="O1067" s="26" t="inlineStr">
        <is>
          <t>Sunil CR</t>
        </is>
      </c>
      <c r="P1067" s="26" t="inlineStr">
        <is>
          <t>Yes</t>
        </is>
      </c>
      <c r="Q1067" s="26" t="inlineStr">
        <is>
          <t>No</t>
        </is>
      </c>
      <c r="R1067" s="26" t="inlineStr">
        <is>
          <t>Good finish</t>
        </is>
      </c>
      <c r="S1067" s="26" t="inlineStr">
        <is>
          <t>Yes</t>
        </is>
      </c>
      <c r="T1067" s="27" t="n"/>
      <c r="U1067" s="28" t="inlineStr">
        <is>
          <t>No</t>
        </is>
      </c>
      <c r="V1067" s="29">
        <f>IF(N1067="","",IF(Q1067="Yes","❌ Disc",IF(P1067="No","⚠ Missing",IF(S1067="Yes","✓ OK","⚠ Check"))))</f>
        <v/>
      </c>
      <c r="W1067" s="65" t="n">
        <v>46248</v>
      </c>
      <c r="X1067" s="30" t="inlineStr">
        <is>
          <t>Sunil CR</t>
        </is>
      </c>
      <c r="Y1067" s="30" t="inlineStr">
        <is>
          <t>Yes</t>
        </is>
      </c>
      <c r="Z1067" s="30" t="n"/>
      <c r="AA1067" s="30" t="inlineStr">
        <is>
          <t>Good finish</t>
        </is>
      </c>
      <c r="AB1067" s="30" t="inlineStr">
        <is>
          <t>Yes</t>
        </is>
      </c>
      <c r="AC1067" s="27" t="n"/>
      <c r="AD1067" s="31" t="inlineStr">
        <is>
          <t>No</t>
        </is>
      </c>
      <c r="AE1067" s="32">
        <f>IF(W1067="","",IF(Z1067="Yes","❌ Disc",IF(Y1067="No","⚠ Missing",IF(AB1067="Yes","✓ OK","⚠ Check"))))</f>
        <v/>
      </c>
      <c r="AF1067" s="33" t="n"/>
      <c r="AG1067" s="33" t="n"/>
      <c r="AH1067" s="33" t="n"/>
      <c r="AI1067" s="33" t="n"/>
      <c r="AJ1067" s="33" t="n"/>
      <c r="AK1067" s="33" t="n"/>
      <c r="AL1067" s="27" t="n"/>
      <c r="AM1067" s="34" t="n"/>
      <c r="AN1067" s="35">
        <f>IF(AF1067="","",IF(AI1067="Yes","❌ Disc",IF(AH1067="No","⚠ Missing",IF(AK1067="Yes","✓ OK","⚠ Check"))))</f>
        <v/>
      </c>
      <c r="AO1067" s="36" t="n"/>
      <c r="AP1067" s="36" t="n"/>
      <c r="AQ1067" s="36" t="n"/>
      <c r="AR1067" s="36" t="n"/>
      <c r="AS1067" s="36" t="n"/>
      <c r="AT1067" s="36" t="n"/>
      <c r="AU1067" s="27" t="n"/>
      <c r="AV1067" s="37" t="n"/>
      <c r="AW1067" s="38">
        <f>IF(AO1067="","",IF(AR1067="Yes","❌ Disc",IF(AQ1067="No","⚠ Missing",IF(AT1067="Yes","✓ OK","⚠ Check"))))</f>
        <v/>
      </c>
    </row>
    <row r="1068" ht="18" customHeight="1" s="46">
      <c r="A1068" s="39" t="n">
        <v>1064</v>
      </c>
      <c r="B1068" s="40" t="inlineStr">
        <is>
          <t>BD-VRM-2025-0159</t>
        </is>
      </c>
      <c r="C1068" s="41" t="inlineStr">
        <is>
          <t>LifenColors - Super Rustic Paisley, Indian Motif Wallpaper Design with Canvas Paper - CN/6033</t>
        </is>
      </c>
      <c r="D1068" s="39" t="inlineStr">
        <is>
          <t>Life n Colors</t>
        </is>
      </c>
      <c r="E1068" s="43" t="n">
        <v>46126</v>
      </c>
      <c r="F1068" s="26" t="inlineStr">
        <is>
          <t>Sunil CR</t>
        </is>
      </c>
      <c r="G1068" s="26" t="inlineStr">
        <is>
          <t>Yes</t>
        </is>
      </c>
      <c r="H1068" s="26" t="inlineStr">
        <is>
          <t>No</t>
        </is>
      </c>
      <c r="I1068" s="26" t="inlineStr">
        <is>
          <t>Good finish</t>
        </is>
      </c>
      <c r="J1068" s="26" t="inlineStr">
        <is>
          <t>Yes</t>
        </is>
      </c>
      <c r="K1068" s="27" t="n"/>
      <c r="L1068" s="28" t="inlineStr">
        <is>
          <t>No</t>
        </is>
      </c>
      <c r="M1068" s="29">
        <f>IF(E1068="","",IF(H1068="Yes","❌ Disc",IF(G1068="No","⚠ Missing",IF(J1068="Yes","✓ OK","⚠ Check"))))</f>
        <v/>
      </c>
      <c r="N1068" s="43" t="n">
        <v>46193</v>
      </c>
      <c r="O1068" s="26" t="inlineStr">
        <is>
          <t>Sunil CR</t>
        </is>
      </c>
      <c r="P1068" s="26" t="inlineStr">
        <is>
          <t>Yes</t>
        </is>
      </c>
      <c r="Q1068" s="26" t="inlineStr">
        <is>
          <t>No</t>
        </is>
      </c>
      <c r="R1068" s="26" t="inlineStr">
        <is>
          <t>Good finish</t>
        </is>
      </c>
      <c r="S1068" s="26" t="inlineStr">
        <is>
          <t>Yes</t>
        </is>
      </c>
      <c r="T1068" s="27" t="n"/>
      <c r="U1068" s="28" t="inlineStr">
        <is>
          <t>No</t>
        </is>
      </c>
      <c r="V1068" s="29">
        <f>IF(N1068="","",IF(Q1068="Yes","❌ Disc",IF(P1068="No","⚠ Missing",IF(S1068="Yes","✓ OK","⚠ Check"))))</f>
        <v/>
      </c>
      <c r="W1068" s="65" t="n">
        <v>46248</v>
      </c>
      <c r="X1068" s="30" t="inlineStr">
        <is>
          <t>Sunil CR</t>
        </is>
      </c>
      <c r="Y1068" s="30" t="inlineStr">
        <is>
          <t>Yes</t>
        </is>
      </c>
      <c r="Z1068" s="30" t="n"/>
      <c r="AA1068" s="30" t="inlineStr">
        <is>
          <t>Good finish</t>
        </is>
      </c>
      <c r="AB1068" s="30" t="inlineStr">
        <is>
          <t>Yes</t>
        </is>
      </c>
      <c r="AC1068" s="27" t="n"/>
      <c r="AD1068" s="31" t="inlineStr">
        <is>
          <t>No</t>
        </is>
      </c>
      <c r="AE1068" s="32">
        <f>IF(W1068="","",IF(Z1068="Yes","❌ Disc",IF(Y1068="No","⚠ Missing",IF(AB1068="Yes","✓ OK","⚠ Check"))))</f>
        <v/>
      </c>
      <c r="AF1068" s="33" t="n"/>
      <c r="AG1068" s="33" t="n"/>
      <c r="AH1068" s="33" t="n"/>
      <c r="AI1068" s="33" t="n"/>
      <c r="AJ1068" s="33" t="n"/>
      <c r="AK1068" s="33" t="n"/>
      <c r="AL1068" s="27" t="n"/>
      <c r="AM1068" s="34" t="n"/>
      <c r="AN1068" s="35">
        <f>IF(AF1068="","",IF(AI1068="Yes","❌ Disc",IF(AH1068="No","⚠ Missing",IF(AK1068="Yes","✓ OK","⚠ Check"))))</f>
        <v/>
      </c>
      <c r="AO1068" s="36" t="n"/>
      <c r="AP1068" s="36" t="n"/>
      <c r="AQ1068" s="36" t="n"/>
      <c r="AR1068" s="36" t="n"/>
      <c r="AS1068" s="36" t="n"/>
      <c r="AT1068" s="36" t="n"/>
      <c r="AU1068" s="27" t="n"/>
      <c r="AV1068" s="37" t="n"/>
      <c r="AW1068" s="38">
        <f>IF(AO1068="","",IF(AR1068="Yes","❌ Disc",IF(AQ1068="No","⚠ Missing",IF(AT1068="Yes","✓ OK","⚠ Check"))))</f>
        <v/>
      </c>
    </row>
    <row r="1069" ht="18" customHeight="1" s="46">
      <c r="A1069" s="23" t="n">
        <v>1065</v>
      </c>
      <c r="B1069" s="24" t="inlineStr">
        <is>
          <t>BD-VRM-2025-0144</t>
        </is>
      </c>
      <c r="C1069" s="25" t="inlineStr">
        <is>
          <t>LifenColors - Tropical Dreams Artful Wallpaper Design with Canvas Paper - CN/6010</t>
        </is>
      </c>
      <c r="D1069" s="23" t="inlineStr">
        <is>
          <t>Life n Colors</t>
        </is>
      </c>
      <c r="E1069" s="43" t="n">
        <v>46126</v>
      </c>
      <c r="F1069" s="26" t="inlineStr">
        <is>
          <t>Sunil CR</t>
        </is>
      </c>
      <c r="G1069" s="26" t="inlineStr">
        <is>
          <t>Yes</t>
        </is>
      </c>
      <c r="H1069" s="26" t="inlineStr">
        <is>
          <t>No</t>
        </is>
      </c>
      <c r="I1069" s="26" t="inlineStr">
        <is>
          <t>Good finish</t>
        </is>
      </c>
      <c r="J1069" s="26" t="inlineStr">
        <is>
          <t>Yes</t>
        </is>
      </c>
      <c r="K1069" s="27" t="n"/>
      <c r="L1069" s="28" t="inlineStr">
        <is>
          <t>No</t>
        </is>
      </c>
      <c r="M1069" s="29">
        <f>IF(E1069="","",IF(H1069="Yes","❌ Disc",IF(G1069="No","⚠ Missing",IF(J1069="Yes","✓ OK","⚠ Check"))))</f>
        <v/>
      </c>
      <c r="N1069" s="43" t="n">
        <v>46193</v>
      </c>
      <c r="O1069" s="26" t="inlineStr">
        <is>
          <t>Sunil CR</t>
        </is>
      </c>
      <c r="P1069" s="26" t="inlineStr">
        <is>
          <t>Yes</t>
        </is>
      </c>
      <c r="Q1069" s="26" t="inlineStr">
        <is>
          <t>No</t>
        </is>
      </c>
      <c r="R1069" s="26" t="inlineStr">
        <is>
          <t>Good finish</t>
        </is>
      </c>
      <c r="S1069" s="26" t="inlineStr">
        <is>
          <t>Yes</t>
        </is>
      </c>
      <c r="T1069" s="27" t="n"/>
      <c r="U1069" s="28" t="inlineStr">
        <is>
          <t>No</t>
        </is>
      </c>
      <c r="V1069" s="29">
        <f>IF(N1069="","",IF(Q1069="Yes","❌ Disc",IF(P1069="No","⚠ Missing",IF(S1069="Yes","✓ OK","⚠ Check"))))</f>
        <v/>
      </c>
      <c r="W1069" s="65" t="n">
        <v>46248</v>
      </c>
      <c r="X1069" s="30" t="inlineStr">
        <is>
          <t>Sunil CR</t>
        </is>
      </c>
      <c r="Y1069" s="30" t="inlineStr">
        <is>
          <t>Yes</t>
        </is>
      </c>
      <c r="Z1069" s="30" t="n"/>
      <c r="AA1069" s="30" t="inlineStr">
        <is>
          <t>Good finish</t>
        </is>
      </c>
      <c r="AB1069" s="30" t="inlineStr">
        <is>
          <t>Yes</t>
        </is>
      </c>
      <c r="AC1069" s="27" t="n"/>
      <c r="AD1069" s="31" t="inlineStr">
        <is>
          <t>No</t>
        </is>
      </c>
      <c r="AE1069" s="32">
        <f>IF(W1069="","",IF(Z1069="Yes","❌ Disc",IF(Y1069="No","⚠ Missing",IF(AB1069="Yes","✓ OK","⚠ Check"))))</f>
        <v/>
      </c>
      <c r="AF1069" s="33" t="n"/>
      <c r="AG1069" s="33" t="n"/>
      <c r="AH1069" s="33" t="n"/>
      <c r="AI1069" s="33" t="n"/>
      <c r="AJ1069" s="33" t="n"/>
      <c r="AK1069" s="33" t="n"/>
      <c r="AL1069" s="27" t="n"/>
      <c r="AM1069" s="34" t="n"/>
      <c r="AN1069" s="35">
        <f>IF(AF1069="","",IF(AI1069="Yes","❌ Disc",IF(AH1069="No","⚠ Missing",IF(AK1069="Yes","✓ OK","⚠ Check"))))</f>
        <v/>
      </c>
      <c r="AO1069" s="36" t="n"/>
      <c r="AP1069" s="36" t="n"/>
      <c r="AQ1069" s="36" t="n"/>
      <c r="AR1069" s="36" t="n"/>
      <c r="AS1069" s="36" t="n"/>
      <c r="AT1069" s="36" t="n"/>
      <c r="AU1069" s="27" t="n"/>
      <c r="AV1069" s="37" t="n"/>
      <c r="AW1069" s="38">
        <f>IF(AO1069="","",IF(AR1069="Yes","❌ Disc",IF(AQ1069="No","⚠ Missing",IF(AT1069="Yes","✓ OK","⚠ Check"))))</f>
        <v/>
      </c>
    </row>
    <row r="1070" ht="18" customHeight="1" s="46">
      <c r="A1070" s="39" t="n">
        <v>1066</v>
      </c>
      <c r="B1070" s="40" t="inlineStr">
        <is>
          <t>BD-VRM-2025-0138</t>
        </is>
      </c>
      <c r="C1070" s="41" t="inlineStr">
        <is>
          <t>LifenColors - Tropical Fusion Artistic Design Wallpaper with Canvas Paper - CN/6004</t>
        </is>
      </c>
      <c r="D1070" s="39" t="inlineStr">
        <is>
          <t>Life n Colors</t>
        </is>
      </c>
      <c r="E1070" s="43" t="n">
        <v>46126</v>
      </c>
      <c r="F1070" s="26" t="inlineStr">
        <is>
          <t>Sunil CR</t>
        </is>
      </c>
      <c r="G1070" s="26" t="inlineStr">
        <is>
          <t>Yes</t>
        </is>
      </c>
      <c r="H1070" s="26" t="inlineStr">
        <is>
          <t>No</t>
        </is>
      </c>
      <c r="I1070" s="26" t="inlineStr">
        <is>
          <t>Good finish</t>
        </is>
      </c>
      <c r="J1070" s="26" t="inlineStr">
        <is>
          <t>Yes</t>
        </is>
      </c>
      <c r="K1070" s="27" t="n"/>
      <c r="L1070" s="28" t="inlineStr">
        <is>
          <t>No</t>
        </is>
      </c>
      <c r="M1070" s="29">
        <f>IF(E1070="","",IF(H1070="Yes","❌ Disc",IF(G1070="No","⚠ Missing",IF(J1070="Yes","✓ OK","⚠ Check"))))</f>
        <v/>
      </c>
      <c r="N1070" s="43" t="n">
        <v>46193</v>
      </c>
      <c r="O1070" s="26" t="inlineStr">
        <is>
          <t>Sunil CR</t>
        </is>
      </c>
      <c r="P1070" s="26" t="inlineStr">
        <is>
          <t>Yes</t>
        </is>
      </c>
      <c r="Q1070" s="26" t="inlineStr">
        <is>
          <t>No</t>
        </is>
      </c>
      <c r="R1070" s="26" t="inlineStr">
        <is>
          <t>Good finish</t>
        </is>
      </c>
      <c r="S1070" s="26" t="inlineStr">
        <is>
          <t>Yes</t>
        </is>
      </c>
      <c r="T1070" s="27" t="n"/>
      <c r="U1070" s="28" t="inlineStr">
        <is>
          <t>No</t>
        </is>
      </c>
      <c r="V1070" s="29">
        <f>IF(N1070="","",IF(Q1070="Yes","❌ Disc",IF(P1070="No","⚠ Missing",IF(S1070="Yes","✓ OK","⚠ Check"))))</f>
        <v/>
      </c>
      <c r="W1070" s="65" t="n">
        <v>46248</v>
      </c>
      <c r="X1070" s="30" t="inlineStr">
        <is>
          <t>Sunil CR</t>
        </is>
      </c>
      <c r="Y1070" s="30" t="inlineStr">
        <is>
          <t>Yes</t>
        </is>
      </c>
      <c r="Z1070" s="30" t="n"/>
      <c r="AA1070" s="30" t="inlineStr">
        <is>
          <t>Good finish</t>
        </is>
      </c>
      <c r="AB1070" s="30" t="inlineStr">
        <is>
          <t>Yes</t>
        </is>
      </c>
      <c r="AC1070" s="27" t="n"/>
      <c r="AD1070" s="31" t="inlineStr">
        <is>
          <t>No</t>
        </is>
      </c>
      <c r="AE1070" s="32">
        <f>IF(W1070="","",IF(Z1070="Yes","❌ Disc",IF(Y1070="No","⚠ Missing",IF(AB1070="Yes","✓ OK","⚠ Check"))))</f>
        <v/>
      </c>
      <c r="AF1070" s="33" t="n"/>
      <c r="AG1070" s="33" t="n"/>
      <c r="AH1070" s="33" t="n"/>
      <c r="AI1070" s="33" t="n"/>
      <c r="AJ1070" s="33" t="n"/>
      <c r="AK1070" s="33" t="n"/>
      <c r="AL1070" s="27" t="n"/>
      <c r="AM1070" s="34" t="n"/>
      <c r="AN1070" s="35">
        <f>IF(AF1070="","",IF(AI1070="Yes","❌ Disc",IF(AH1070="No","⚠ Missing",IF(AK1070="Yes","✓ OK","⚠ Check"))))</f>
        <v/>
      </c>
      <c r="AO1070" s="36" t="n"/>
      <c r="AP1070" s="36" t="n"/>
      <c r="AQ1070" s="36" t="n"/>
      <c r="AR1070" s="36" t="n"/>
      <c r="AS1070" s="36" t="n"/>
      <c r="AT1070" s="36" t="n"/>
      <c r="AU1070" s="27" t="n"/>
      <c r="AV1070" s="37" t="n"/>
      <c r="AW1070" s="38">
        <f>IF(AO1070="","",IF(AR1070="Yes","❌ Disc",IF(AQ1070="No","⚠ Missing",IF(AT1070="Yes","✓ OK","⚠ Check"))))</f>
        <v/>
      </c>
    </row>
    <row r="1071" ht="18" customHeight="1" s="46">
      <c r="A1071" s="23" t="n">
        <v>1067</v>
      </c>
      <c r="B1071" s="24" t="inlineStr">
        <is>
          <t>BD-VRM-2025-0193</t>
        </is>
      </c>
      <c r="C1071" s="25" t="inlineStr">
        <is>
          <t>LifenColors - Twinkling Stripe scape peach n green Wallpaper For Kids room with Soft Feel Paper - SF/7036</t>
        </is>
      </c>
      <c r="D1071" s="23" t="inlineStr">
        <is>
          <t>Life n Colors</t>
        </is>
      </c>
      <c r="E1071" s="43" t="n">
        <v>46126</v>
      </c>
      <c r="F1071" s="26" t="inlineStr">
        <is>
          <t>Sunil CR</t>
        </is>
      </c>
      <c r="G1071" s="26" t="inlineStr">
        <is>
          <t>Yes</t>
        </is>
      </c>
      <c r="H1071" s="26" t="inlineStr">
        <is>
          <t>No</t>
        </is>
      </c>
      <c r="I1071" s="26" t="inlineStr">
        <is>
          <t>Good finish</t>
        </is>
      </c>
      <c r="J1071" s="26" t="inlineStr">
        <is>
          <t>Yes</t>
        </is>
      </c>
      <c r="K1071" s="27" t="n"/>
      <c r="L1071" s="28" t="inlineStr">
        <is>
          <t>No</t>
        </is>
      </c>
      <c r="M1071" s="29">
        <f>IF(E1071="","",IF(H1071="Yes","❌ Disc",IF(G1071="No","⚠ Missing",IF(J1071="Yes","✓ OK","⚠ Check"))))</f>
        <v/>
      </c>
      <c r="N1071" s="43" t="n">
        <v>46193</v>
      </c>
      <c r="O1071" s="26" t="inlineStr">
        <is>
          <t>Sunil CR</t>
        </is>
      </c>
      <c r="P1071" s="26" t="inlineStr">
        <is>
          <t>Yes</t>
        </is>
      </c>
      <c r="Q1071" s="26" t="inlineStr">
        <is>
          <t>No</t>
        </is>
      </c>
      <c r="R1071" s="26" t="inlineStr">
        <is>
          <t>Good finish</t>
        </is>
      </c>
      <c r="S1071" s="26" t="inlineStr">
        <is>
          <t>Yes</t>
        </is>
      </c>
      <c r="T1071" s="27" t="n"/>
      <c r="U1071" s="28" t="inlineStr">
        <is>
          <t>No</t>
        </is>
      </c>
      <c r="V1071" s="29">
        <f>IF(N1071="","",IF(Q1071="Yes","❌ Disc",IF(P1071="No","⚠ Missing",IF(S1071="Yes","✓ OK","⚠ Check"))))</f>
        <v/>
      </c>
      <c r="W1071" s="65" t="n">
        <v>46248</v>
      </c>
      <c r="X1071" s="30" t="inlineStr">
        <is>
          <t>Sunil CR</t>
        </is>
      </c>
      <c r="Y1071" s="30" t="inlineStr">
        <is>
          <t>Yes</t>
        </is>
      </c>
      <c r="Z1071" s="30" t="n"/>
      <c r="AA1071" s="30" t="inlineStr">
        <is>
          <t>Good finish</t>
        </is>
      </c>
      <c r="AB1071" s="30" t="inlineStr">
        <is>
          <t>Yes</t>
        </is>
      </c>
      <c r="AC1071" s="27" t="n"/>
      <c r="AD1071" s="31" t="inlineStr">
        <is>
          <t>No</t>
        </is>
      </c>
      <c r="AE1071" s="32">
        <f>IF(W1071="","",IF(Z1071="Yes","❌ Disc",IF(Y1071="No","⚠ Missing",IF(AB1071="Yes","✓ OK","⚠ Check"))))</f>
        <v/>
      </c>
      <c r="AF1071" s="33" t="n"/>
      <c r="AG1071" s="33" t="n"/>
      <c r="AH1071" s="33" t="n"/>
      <c r="AI1071" s="33" t="n"/>
      <c r="AJ1071" s="33" t="n"/>
      <c r="AK1071" s="33" t="n"/>
      <c r="AL1071" s="27" t="n"/>
      <c r="AM1071" s="34" t="n"/>
      <c r="AN1071" s="35">
        <f>IF(AF1071="","",IF(AI1071="Yes","❌ Disc",IF(AH1071="No","⚠ Missing",IF(AK1071="Yes","✓ OK","⚠ Check"))))</f>
        <v/>
      </c>
      <c r="AO1071" s="36" t="n"/>
      <c r="AP1071" s="36" t="n"/>
      <c r="AQ1071" s="36" t="n"/>
      <c r="AR1071" s="36" t="n"/>
      <c r="AS1071" s="36" t="n"/>
      <c r="AT1071" s="36" t="n"/>
      <c r="AU1071" s="27" t="n"/>
      <c r="AV1071" s="37" t="n"/>
      <c r="AW1071" s="38">
        <f>IF(AO1071="","",IF(AR1071="Yes","❌ Disc",IF(AQ1071="No","⚠ Missing",IF(AT1071="Yes","✓ OK","⚠ Check"))))</f>
        <v/>
      </c>
    </row>
    <row r="1072" ht="18" customHeight="1" s="46">
      <c r="A1072" s="39" t="n">
        <v>1068</v>
      </c>
      <c r="B1072" s="40" t="inlineStr">
        <is>
          <t>BD-VRM-2025-0194</t>
        </is>
      </c>
      <c r="C1072" s="41" t="inlineStr">
        <is>
          <t>LifenColors - Twinkling Stripe scape white n blue Wallpaper For Kids room with Soft Feel Paper - SF/7037</t>
        </is>
      </c>
      <c r="D1072" s="39" t="inlineStr">
        <is>
          <t>Life n Colors</t>
        </is>
      </c>
      <c r="E1072" s="43" t="n">
        <v>46126</v>
      </c>
      <c r="F1072" s="26" t="inlineStr">
        <is>
          <t>Sunil CR</t>
        </is>
      </c>
      <c r="G1072" s="26" t="inlineStr">
        <is>
          <t>Yes</t>
        </is>
      </c>
      <c r="H1072" s="26" t="inlineStr">
        <is>
          <t>No</t>
        </is>
      </c>
      <c r="I1072" s="26" t="inlineStr">
        <is>
          <t>Good finish</t>
        </is>
      </c>
      <c r="J1072" s="26" t="inlineStr">
        <is>
          <t>Yes</t>
        </is>
      </c>
      <c r="K1072" s="27" t="n"/>
      <c r="L1072" s="28" t="inlineStr">
        <is>
          <t>No</t>
        </is>
      </c>
      <c r="M1072" s="29">
        <f>IF(E1072="","",IF(H1072="Yes","❌ Disc",IF(G1072="No","⚠ Missing",IF(J1072="Yes","✓ OK","⚠ Check"))))</f>
        <v/>
      </c>
      <c r="N1072" s="43" t="n">
        <v>46193</v>
      </c>
      <c r="O1072" s="26" t="inlineStr">
        <is>
          <t>Sunil CR</t>
        </is>
      </c>
      <c r="P1072" s="26" t="inlineStr">
        <is>
          <t>Yes</t>
        </is>
      </c>
      <c r="Q1072" s="26" t="inlineStr">
        <is>
          <t>No</t>
        </is>
      </c>
      <c r="R1072" s="26" t="inlineStr">
        <is>
          <t>Good finish</t>
        </is>
      </c>
      <c r="S1072" s="26" t="inlineStr">
        <is>
          <t>Yes</t>
        </is>
      </c>
      <c r="T1072" s="27" t="n"/>
      <c r="U1072" s="28" t="inlineStr">
        <is>
          <t>No</t>
        </is>
      </c>
      <c r="V1072" s="29">
        <f>IF(N1072="","",IF(Q1072="Yes","❌ Disc",IF(P1072="No","⚠ Missing",IF(S1072="Yes","✓ OK","⚠ Check"))))</f>
        <v/>
      </c>
      <c r="W1072" s="65" t="n">
        <v>46248</v>
      </c>
      <c r="X1072" s="30" t="inlineStr">
        <is>
          <t>Sunil CR</t>
        </is>
      </c>
      <c r="Y1072" s="30" t="inlineStr">
        <is>
          <t>Yes</t>
        </is>
      </c>
      <c r="Z1072" s="30" t="n"/>
      <c r="AA1072" s="30" t="inlineStr">
        <is>
          <t>Good finish</t>
        </is>
      </c>
      <c r="AB1072" s="30" t="inlineStr">
        <is>
          <t>Yes</t>
        </is>
      </c>
      <c r="AC1072" s="27" t="n"/>
      <c r="AD1072" s="31" t="inlineStr">
        <is>
          <t>No</t>
        </is>
      </c>
      <c r="AE1072" s="32">
        <f>IF(W1072="","",IF(Z1072="Yes","❌ Disc",IF(Y1072="No","⚠ Missing",IF(AB1072="Yes","✓ OK","⚠ Check"))))</f>
        <v/>
      </c>
      <c r="AF1072" s="33" t="n"/>
      <c r="AG1072" s="33" t="n"/>
      <c r="AH1072" s="33" t="n"/>
      <c r="AI1072" s="33" t="n"/>
      <c r="AJ1072" s="33" t="n"/>
      <c r="AK1072" s="33" t="n"/>
      <c r="AL1072" s="27" t="n"/>
      <c r="AM1072" s="34" t="n"/>
      <c r="AN1072" s="35">
        <f>IF(AF1072="","",IF(AI1072="Yes","❌ Disc",IF(AH1072="No","⚠ Missing",IF(AK1072="Yes","✓ OK","⚠ Check"))))</f>
        <v/>
      </c>
      <c r="AO1072" s="36" t="n"/>
      <c r="AP1072" s="36" t="n"/>
      <c r="AQ1072" s="36" t="n"/>
      <c r="AR1072" s="36" t="n"/>
      <c r="AS1072" s="36" t="n"/>
      <c r="AT1072" s="36" t="n"/>
      <c r="AU1072" s="27" t="n"/>
      <c r="AV1072" s="37" t="n"/>
      <c r="AW1072" s="38">
        <f>IF(AO1072="","",IF(AR1072="Yes","❌ Disc",IF(AQ1072="No","⚠ Missing",IF(AT1072="Yes","✓ OK","⚠ Check"))))</f>
        <v/>
      </c>
    </row>
    <row r="1073" ht="18" customHeight="1" s="46">
      <c r="A1073" s="23" t="n">
        <v>1069</v>
      </c>
      <c r="B1073" s="24" t="inlineStr">
        <is>
          <t>BD-VRM-2025-0150</t>
        </is>
      </c>
      <c r="C1073" s="25" t="inlineStr">
        <is>
          <t>LifenColors - Urban Chic Abstract Modern Theme Wallpaper Warm Grey Color with Canvas Paper - CN/6019</t>
        </is>
      </c>
      <c r="D1073" s="23" t="inlineStr">
        <is>
          <t>Life n Colors</t>
        </is>
      </c>
      <c r="E1073" s="43" t="n">
        <v>46126</v>
      </c>
      <c r="F1073" s="26" t="inlineStr">
        <is>
          <t>Sunil CR</t>
        </is>
      </c>
      <c r="G1073" s="26" t="inlineStr">
        <is>
          <t>Yes</t>
        </is>
      </c>
      <c r="H1073" s="26" t="inlineStr">
        <is>
          <t>No</t>
        </is>
      </c>
      <c r="I1073" s="26" t="inlineStr">
        <is>
          <t>Good finish</t>
        </is>
      </c>
      <c r="J1073" s="26" t="inlineStr">
        <is>
          <t>Yes</t>
        </is>
      </c>
      <c r="K1073" s="27" t="n"/>
      <c r="L1073" s="28" t="inlineStr">
        <is>
          <t>No</t>
        </is>
      </c>
      <c r="M1073" s="29">
        <f>IF(E1073="","",IF(H1073="Yes","❌ Disc",IF(G1073="No","⚠ Missing",IF(J1073="Yes","✓ OK","⚠ Check"))))</f>
        <v/>
      </c>
      <c r="N1073" s="43" t="n">
        <v>46193</v>
      </c>
      <c r="O1073" s="26" t="inlineStr">
        <is>
          <t>Sunil CR</t>
        </is>
      </c>
      <c r="P1073" s="26" t="inlineStr">
        <is>
          <t>Yes</t>
        </is>
      </c>
      <c r="Q1073" s="26" t="inlineStr">
        <is>
          <t>No</t>
        </is>
      </c>
      <c r="R1073" s="26" t="inlineStr">
        <is>
          <t>Good finish</t>
        </is>
      </c>
      <c r="S1073" s="26" t="inlineStr">
        <is>
          <t>Yes</t>
        </is>
      </c>
      <c r="T1073" s="27" t="n"/>
      <c r="U1073" s="28" t="inlineStr">
        <is>
          <t>No</t>
        </is>
      </c>
      <c r="V1073" s="29">
        <f>IF(N1073="","",IF(Q1073="Yes","❌ Disc",IF(P1073="No","⚠ Missing",IF(S1073="Yes","✓ OK","⚠ Check"))))</f>
        <v/>
      </c>
      <c r="W1073" s="65" t="n">
        <v>46248</v>
      </c>
      <c r="X1073" s="30" t="inlineStr">
        <is>
          <t>Sunil CR</t>
        </is>
      </c>
      <c r="Y1073" s="30" t="inlineStr">
        <is>
          <t>Yes</t>
        </is>
      </c>
      <c r="Z1073" s="30" t="n"/>
      <c r="AA1073" s="30" t="inlineStr">
        <is>
          <t>Good finish</t>
        </is>
      </c>
      <c r="AB1073" s="30" t="inlineStr">
        <is>
          <t>Yes</t>
        </is>
      </c>
      <c r="AC1073" s="27" t="n"/>
      <c r="AD1073" s="31" t="inlineStr">
        <is>
          <t>No</t>
        </is>
      </c>
      <c r="AE1073" s="32">
        <f>IF(W1073="","",IF(Z1073="Yes","❌ Disc",IF(Y1073="No","⚠ Missing",IF(AB1073="Yes","✓ OK","⚠ Check"))))</f>
        <v/>
      </c>
      <c r="AF1073" s="33" t="n"/>
      <c r="AG1073" s="33" t="n"/>
      <c r="AH1073" s="33" t="n"/>
      <c r="AI1073" s="33" t="n"/>
      <c r="AJ1073" s="33" t="n"/>
      <c r="AK1073" s="33" t="n"/>
      <c r="AL1073" s="27" t="n"/>
      <c r="AM1073" s="34" t="n"/>
      <c r="AN1073" s="35">
        <f>IF(AF1073="","",IF(AI1073="Yes","❌ Disc",IF(AH1073="No","⚠ Missing",IF(AK1073="Yes","✓ OK","⚠ Check"))))</f>
        <v/>
      </c>
      <c r="AO1073" s="36" t="n"/>
      <c r="AP1073" s="36" t="n"/>
      <c r="AQ1073" s="36" t="n"/>
      <c r="AR1073" s="36" t="n"/>
      <c r="AS1073" s="36" t="n"/>
      <c r="AT1073" s="36" t="n"/>
      <c r="AU1073" s="27" t="n"/>
      <c r="AV1073" s="37" t="n"/>
      <c r="AW1073" s="38">
        <f>IF(AO1073="","",IF(AR1073="Yes","❌ Disc",IF(AQ1073="No","⚠ Missing",IF(AT1073="Yes","✓ OK","⚠ Check"))))</f>
        <v/>
      </c>
    </row>
    <row r="1074" ht="18" customHeight="1" s="46">
      <c r="A1074" s="39" t="n">
        <v>1070</v>
      </c>
      <c r="B1074" s="40" t="inlineStr">
        <is>
          <t>BD-VRM-2025-0162</t>
        </is>
      </c>
      <c r="C1074" s="41" t="inlineStr">
        <is>
          <t>LifenColors - vintage ornamental design with Canvas Paper - CN/6036</t>
        </is>
      </c>
      <c r="D1074" s="39" t="inlineStr">
        <is>
          <t>Life n Colors</t>
        </is>
      </c>
      <c r="E1074" s="43" t="n">
        <v>46126</v>
      </c>
      <c r="F1074" s="26" t="inlineStr">
        <is>
          <t>Sunil CR</t>
        </is>
      </c>
      <c r="G1074" s="26" t="inlineStr">
        <is>
          <t>Yes</t>
        </is>
      </c>
      <c r="H1074" s="26" t="inlineStr">
        <is>
          <t>No</t>
        </is>
      </c>
      <c r="I1074" s="26" t="inlineStr">
        <is>
          <t>Good finish</t>
        </is>
      </c>
      <c r="J1074" s="26" t="inlineStr">
        <is>
          <t>Yes</t>
        </is>
      </c>
      <c r="K1074" s="27" t="n"/>
      <c r="L1074" s="28" t="inlineStr">
        <is>
          <t>No</t>
        </is>
      </c>
      <c r="M1074" s="29">
        <f>IF(E1074="","",IF(H1074="Yes","❌ Disc",IF(G1074="No","⚠ Missing",IF(J1074="Yes","✓ OK","⚠ Check"))))</f>
        <v/>
      </c>
      <c r="N1074" s="43" t="n">
        <v>46193</v>
      </c>
      <c r="O1074" s="26" t="inlineStr">
        <is>
          <t>Sunil CR</t>
        </is>
      </c>
      <c r="P1074" s="26" t="inlineStr">
        <is>
          <t>Yes</t>
        </is>
      </c>
      <c r="Q1074" s="26" t="inlineStr">
        <is>
          <t>No</t>
        </is>
      </c>
      <c r="R1074" s="26" t="inlineStr">
        <is>
          <t>Good finish</t>
        </is>
      </c>
      <c r="S1074" s="26" t="inlineStr">
        <is>
          <t>Yes</t>
        </is>
      </c>
      <c r="T1074" s="27" t="n"/>
      <c r="U1074" s="28" t="inlineStr">
        <is>
          <t>No</t>
        </is>
      </c>
      <c r="V1074" s="29">
        <f>IF(N1074="","",IF(Q1074="Yes","❌ Disc",IF(P1074="No","⚠ Missing",IF(S1074="Yes","✓ OK","⚠ Check"))))</f>
        <v/>
      </c>
      <c r="W1074" s="65" t="n">
        <v>46248</v>
      </c>
      <c r="X1074" s="30" t="inlineStr">
        <is>
          <t>Sunil CR</t>
        </is>
      </c>
      <c r="Y1074" s="30" t="inlineStr">
        <is>
          <t>Yes</t>
        </is>
      </c>
      <c r="Z1074" s="30" t="n"/>
      <c r="AA1074" s="30" t="inlineStr">
        <is>
          <t>Good finish</t>
        </is>
      </c>
      <c r="AB1074" s="30" t="inlineStr">
        <is>
          <t>Yes</t>
        </is>
      </c>
      <c r="AC1074" s="27" t="n"/>
      <c r="AD1074" s="31" t="inlineStr">
        <is>
          <t>No</t>
        </is>
      </c>
      <c r="AE1074" s="32">
        <f>IF(W1074="","",IF(Z1074="Yes","❌ Disc",IF(Y1074="No","⚠ Missing",IF(AB1074="Yes","✓ OK","⚠ Check"))))</f>
        <v/>
      </c>
      <c r="AF1074" s="33" t="n"/>
      <c r="AG1074" s="33" t="n"/>
      <c r="AH1074" s="33" t="n"/>
      <c r="AI1074" s="33" t="n"/>
      <c r="AJ1074" s="33" t="n"/>
      <c r="AK1074" s="33" t="n"/>
      <c r="AL1074" s="27" t="n"/>
      <c r="AM1074" s="34" t="n"/>
      <c r="AN1074" s="35">
        <f>IF(AF1074="","",IF(AI1074="Yes","❌ Disc",IF(AH1074="No","⚠ Missing",IF(AK1074="Yes","✓ OK","⚠ Check"))))</f>
        <v/>
      </c>
      <c r="AO1074" s="36" t="n"/>
      <c r="AP1074" s="36" t="n"/>
      <c r="AQ1074" s="36" t="n"/>
      <c r="AR1074" s="36" t="n"/>
      <c r="AS1074" s="36" t="n"/>
      <c r="AT1074" s="36" t="n"/>
      <c r="AU1074" s="27" t="n"/>
      <c r="AV1074" s="37" t="n"/>
      <c r="AW1074" s="38">
        <f>IF(AO1074="","",IF(AR1074="Yes","❌ Disc",IF(AQ1074="No","⚠ Missing",IF(AT1074="Yes","✓ OK","⚠ Check"))))</f>
        <v/>
      </c>
    </row>
    <row r="1075" ht="18" customHeight="1" s="46">
      <c r="A1075" s="23" t="n">
        <v>1071</v>
      </c>
      <c r="B1075" s="24" t="inlineStr">
        <is>
          <t>BD-VRM-2025-0192</t>
        </is>
      </c>
      <c r="C1075" s="25" t="inlineStr">
        <is>
          <t>LifenColors - Watercolor seamless pattern with colorful cartoon stars Wallpaper For Kids room with Soft Feel Paper - SF/7035</t>
        </is>
      </c>
      <c r="D1075" s="23" t="inlineStr">
        <is>
          <t>Life n Colors</t>
        </is>
      </c>
      <c r="E1075" s="43" t="n">
        <v>46126</v>
      </c>
      <c r="F1075" s="26" t="inlineStr">
        <is>
          <t>Sunil CR</t>
        </is>
      </c>
      <c r="G1075" s="26" t="inlineStr">
        <is>
          <t>Yes</t>
        </is>
      </c>
      <c r="H1075" s="26" t="inlineStr">
        <is>
          <t>No</t>
        </is>
      </c>
      <c r="I1075" s="26" t="inlineStr">
        <is>
          <t>Good finish</t>
        </is>
      </c>
      <c r="J1075" s="26" t="inlineStr">
        <is>
          <t>Yes</t>
        </is>
      </c>
      <c r="K1075" s="27" t="n"/>
      <c r="L1075" s="28" t="inlineStr">
        <is>
          <t>No</t>
        </is>
      </c>
      <c r="M1075" s="29">
        <f>IF(E1075="","",IF(H1075="Yes","❌ Disc",IF(G1075="No","⚠ Missing",IF(J1075="Yes","✓ OK","⚠ Check"))))</f>
        <v/>
      </c>
      <c r="N1075" s="43" t="n">
        <v>46193</v>
      </c>
      <c r="O1075" s="26" t="inlineStr">
        <is>
          <t>Sunil CR</t>
        </is>
      </c>
      <c r="P1075" s="26" t="inlineStr">
        <is>
          <t>Yes</t>
        </is>
      </c>
      <c r="Q1075" s="26" t="inlineStr">
        <is>
          <t>No</t>
        </is>
      </c>
      <c r="R1075" s="26" t="inlineStr">
        <is>
          <t>Good finish</t>
        </is>
      </c>
      <c r="S1075" s="26" t="inlineStr">
        <is>
          <t>Yes</t>
        </is>
      </c>
      <c r="T1075" s="27" t="n"/>
      <c r="U1075" s="28" t="inlineStr">
        <is>
          <t>No</t>
        </is>
      </c>
      <c r="V1075" s="29">
        <f>IF(N1075="","",IF(Q1075="Yes","❌ Disc",IF(P1075="No","⚠ Missing",IF(S1075="Yes","✓ OK","⚠ Check"))))</f>
        <v/>
      </c>
      <c r="W1075" s="65" t="n">
        <v>46248</v>
      </c>
      <c r="X1075" s="30" t="inlineStr">
        <is>
          <t>Sunil CR</t>
        </is>
      </c>
      <c r="Y1075" s="30" t="inlineStr">
        <is>
          <t>Yes</t>
        </is>
      </c>
      <c r="Z1075" s="30" t="n"/>
      <c r="AA1075" s="30" t="inlineStr">
        <is>
          <t>Good finish</t>
        </is>
      </c>
      <c r="AB1075" s="30" t="inlineStr">
        <is>
          <t>Yes</t>
        </is>
      </c>
      <c r="AC1075" s="27" t="n"/>
      <c r="AD1075" s="31" t="inlineStr">
        <is>
          <t>No</t>
        </is>
      </c>
      <c r="AE1075" s="32">
        <f>IF(W1075="","",IF(Z1075="Yes","❌ Disc",IF(Y1075="No","⚠ Missing",IF(AB1075="Yes","✓ OK","⚠ Check"))))</f>
        <v/>
      </c>
      <c r="AF1075" s="33" t="n"/>
      <c r="AG1075" s="33" t="n"/>
      <c r="AH1075" s="33" t="n"/>
      <c r="AI1075" s="33" t="n"/>
      <c r="AJ1075" s="33" t="n"/>
      <c r="AK1075" s="33" t="n"/>
      <c r="AL1075" s="27" t="n"/>
      <c r="AM1075" s="34" t="n"/>
      <c r="AN1075" s="35">
        <f>IF(AF1075="","",IF(AI1075="Yes","❌ Disc",IF(AH1075="No","⚠ Missing",IF(AK1075="Yes","✓ OK","⚠ Check"))))</f>
        <v/>
      </c>
      <c r="AO1075" s="36" t="n"/>
      <c r="AP1075" s="36" t="n"/>
      <c r="AQ1075" s="36" t="n"/>
      <c r="AR1075" s="36" t="n"/>
      <c r="AS1075" s="36" t="n"/>
      <c r="AT1075" s="36" t="n"/>
      <c r="AU1075" s="27" t="n"/>
      <c r="AV1075" s="37" t="n"/>
      <c r="AW1075" s="38">
        <f>IF(AO1075="","",IF(AR1075="Yes","❌ Disc",IF(AQ1075="No","⚠ Missing",IF(AT1075="Yes","✓ OK","⚠ Check"))))</f>
        <v/>
      </c>
    </row>
    <row r="1076" ht="18" customHeight="1" s="46">
      <c r="A1076" s="39" t="n">
        <v>1072</v>
      </c>
      <c r="B1076" s="40" t="inlineStr">
        <is>
          <t>BD-VRM-2025-0173</t>
        </is>
      </c>
      <c r="C1076" s="41" t="inlineStr">
        <is>
          <t>LifenColors - Whimsy Peaks Pastel Kids Room Wallpaper with Soft Feel Paper - SF/7010</t>
        </is>
      </c>
      <c r="D1076" s="39" t="inlineStr">
        <is>
          <t>Life n Colors</t>
        </is>
      </c>
      <c r="E1076" s="43" t="n">
        <v>46126</v>
      </c>
      <c r="F1076" s="26" t="inlineStr">
        <is>
          <t>Sunil CR</t>
        </is>
      </c>
      <c r="G1076" s="26" t="inlineStr">
        <is>
          <t>Yes</t>
        </is>
      </c>
      <c r="H1076" s="26" t="inlineStr">
        <is>
          <t>No</t>
        </is>
      </c>
      <c r="I1076" s="26" t="inlineStr">
        <is>
          <t>Good finish</t>
        </is>
      </c>
      <c r="J1076" s="26" t="inlineStr">
        <is>
          <t>Yes</t>
        </is>
      </c>
      <c r="K1076" s="27" t="n"/>
      <c r="L1076" s="28" t="inlineStr">
        <is>
          <t>No</t>
        </is>
      </c>
      <c r="M1076" s="29">
        <f>IF(E1076="","",IF(H1076="Yes","❌ Disc",IF(G1076="No","⚠ Missing",IF(J1076="Yes","✓ OK","⚠ Check"))))</f>
        <v/>
      </c>
      <c r="N1076" s="43" t="n">
        <v>46193</v>
      </c>
      <c r="O1076" s="26" t="inlineStr">
        <is>
          <t>Sunil CR</t>
        </is>
      </c>
      <c r="P1076" s="26" t="inlineStr">
        <is>
          <t>Yes</t>
        </is>
      </c>
      <c r="Q1076" s="26" t="inlineStr">
        <is>
          <t>No</t>
        </is>
      </c>
      <c r="R1076" s="26" t="inlineStr">
        <is>
          <t>Good finish</t>
        </is>
      </c>
      <c r="S1076" s="26" t="inlineStr">
        <is>
          <t>Yes</t>
        </is>
      </c>
      <c r="T1076" s="27" t="n"/>
      <c r="U1076" s="28" t="inlineStr">
        <is>
          <t>No</t>
        </is>
      </c>
      <c r="V1076" s="29">
        <f>IF(N1076="","",IF(Q1076="Yes","❌ Disc",IF(P1076="No","⚠ Missing",IF(S1076="Yes","✓ OK","⚠ Check"))))</f>
        <v/>
      </c>
      <c r="W1076" s="65" t="n">
        <v>46248</v>
      </c>
      <c r="X1076" s="30" t="inlineStr">
        <is>
          <t>Sunil CR</t>
        </is>
      </c>
      <c r="Y1076" s="30" t="inlineStr">
        <is>
          <t>Yes</t>
        </is>
      </c>
      <c r="Z1076" s="30" t="n"/>
      <c r="AA1076" s="30" t="inlineStr">
        <is>
          <t>Good finish</t>
        </is>
      </c>
      <c r="AB1076" s="30" t="inlineStr">
        <is>
          <t>Yes</t>
        </is>
      </c>
      <c r="AC1076" s="27" t="n"/>
      <c r="AD1076" s="31" t="inlineStr">
        <is>
          <t>No</t>
        </is>
      </c>
      <c r="AE1076" s="32">
        <f>IF(W1076="","",IF(Z1076="Yes","❌ Disc",IF(Y1076="No","⚠ Missing",IF(AB1076="Yes","✓ OK","⚠ Check"))))</f>
        <v/>
      </c>
      <c r="AF1076" s="33" t="n"/>
      <c r="AG1076" s="33" t="n"/>
      <c r="AH1076" s="33" t="n"/>
      <c r="AI1076" s="33" t="n"/>
      <c r="AJ1076" s="33" t="n"/>
      <c r="AK1076" s="33" t="n"/>
      <c r="AL1076" s="27" t="n"/>
      <c r="AM1076" s="34" t="n"/>
      <c r="AN1076" s="35">
        <f>IF(AF1076="","",IF(AI1076="Yes","❌ Disc",IF(AH1076="No","⚠ Missing",IF(AK1076="Yes","✓ OK","⚠ Check"))))</f>
        <v/>
      </c>
      <c r="AO1076" s="36" t="n"/>
      <c r="AP1076" s="36" t="n"/>
      <c r="AQ1076" s="36" t="n"/>
      <c r="AR1076" s="36" t="n"/>
      <c r="AS1076" s="36" t="n"/>
      <c r="AT1076" s="36" t="n"/>
      <c r="AU1076" s="27" t="n"/>
      <c r="AV1076" s="37" t="n"/>
      <c r="AW1076" s="38">
        <f>IF(AO1076="","",IF(AR1076="Yes","❌ Disc",IF(AQ1076="No","⚠ Missing",IF(AT1076="Yes","✓ OK","⚠ Check"))))</f>
        <v/>
      </c>
    </row>
    <row r="1077" ht="18" customHeight="1" s="46">
      <c r="A1077" s="23" t="n">
        <v>1073</v>
      </c>
      <c r="B1077" s="24" t="inlineStr">
        <is>
          <t>BD-VRM-2025-0142</t>
        </is>
      </c>
      <c r="C1077" s="25" t="inlineStr">
        <is>
          <t>LifenColors - White Cow and Lotuses, Pichwai Wallpaper with Canvas Paper - CN/6008</t>
        </is>
      </c>
      <c r="D1077" s="23" t="inlineStr">
        <is>
          <t>Life n Colors</t>
        </is>
      </c>
      <c r="E1077" s="43" t="n">
        <v>46126</v>
      </c>
      <c r="F1077" s="26" t="inlineStr">
        <is>
          <t>Sunil CR</t>
        </is>
      </c>
      <c r="G1077" s="26" t="inlineStr">
        <is>
          <t>Yes</t>
        </is>
      </c>
      <c r="H1077" s="26" t="inlineStr">
        <is>
          <t>No</t>
        </is>
      </c>
      <c r="I1077" s="26" t="inlineStr">
        <is>
          <t>Good finish</t>
        </is>
      </c>
      <c r="J1077" s="26" t="inlineStr">
        <is>
          <t>Yes</t>
        </is>
      </c>
      <c r="K1077" s="27" t="n"/>
      <c r="L1077" s="28" t="inlineStr">
        <is>
          <t>No</t>
        </is>
      </c>
      <c r="M1077" s="29">
        <f>IF(E1077="","",IF(H1077="Yes","❌ Disc",IF(G1077="No","⚠ Missing",IF(J1077="Yes","✓ OK","⚠ Check"))))</f>
        <v/>
      </c>
      <c r="N1077" s="43" t="n">
        <v>46193</v>
      </c>
      <c r="O1077" s="26" t="inlineStr">
        <is>
          <t>Sunil CR</t>
        </is>
      </c>
      <c r="P1077" s="26" t="inlineStr">
        <is>
          <t>Yes</t>
        </is>
      </c>
      <c r="Q1077" s="26" t="inlineStr">
        <is>
          <t>No</t>
        </is>
      </c>
      <c r="R1077" s="26" t="inlineStr">
        <is>
          <t>Good finish</t>
        </is>
      </c>
      <c r="S1077" s="26" t="inlineStr">
        <is>
          <t>Yes</t>
        </is>
      </c>
      <c r="T1077" s="27" t="n"/>
      <c r="U1077" s="28" t="inlineStr">
        <is>
          <t>No</t>
        </is>
      </c>
      <c r="V1077" s="29">
        <f>IF(N1077="","",IF(Q1077="Yes","❌ Disc",IF(P1077="No","⚠ Missing",IF(S1077="Yes","✓ OK","⚠ Check"))))</f>
        <v/>
      </c>
      <c r="W1077" s="65" t="n">
        <v>46248</v>
      </c>
      <c r="X1077" s="30" t="inlineStr">
        <is>
          <t>Sunil CR</t>
        </is>
      </c>
      <c r="Y1077" s="30" t="inlineStr">
        <is>
          <t>Yes</t>
        </is>
      </c>
      <c r="Z1077" s="30" t="n"/>
      <c r="AA1077" s="30" t="inlineStr">
        <is>
          <t>Good finish</t>
        </is>
      </c>
      <c r="AB1077" s="30" t="inlineStr">
        <is>
          <t>Yes</t>
        </is>
      </c>
      <c r="AC1077" s="27" t="n"/>
      <c r="AD1077" s="31" t="inlineStr">
        <is>
          <t>No</t>
        </is>
      </c>
      <c r="AE1077" s="32">
        <f>IF(W1077="","",IF(Z1077="Yes","❌ Disc",IF(Y1077="No","⚠ Missing",IF(AB1077="Yes","✓ OK","⚠ Check"))))</f>
        <v/>
      </c>
      <c r="AF1077" s="33" t="n"/>
      <c r="AG1077" s="33" t="n"/>
      <c r="AH1077" s="33" t="n"/>
      <c r="AI1077" s="33" t="n"/>
      <c r="AJ1077" s="33" t="n"/>
      <c r="AK1077" s="33" t="n"/>
      <c r="AL1077" s="27" t="n"/>
      <c r="AM1077" s="34" t="n"/>
      <c r="AN1077" s="35">
        <f>IF(AF1077="","",IF(AI1077="Yes","❌ Disc",IF(AH1077="No","⚠ Missing",IF(AK1077="Yes","✓ OK","⚠ Check"))))</f>
        <v/>
      </c>
      <c r="AO1077" s="36" t="n"/>
      <c r="AP1077" s="36" t="n"/>
      <c r="AQ1077" s="36" t="n"/>
      <c r="AR1077" s="36" t="n"/>
      <c r="AS1077" s="36" t="n"/>
      <c r="AT1077" s="36" t="n"/>
      <c r="AU1077" s="27" t="n"/>
      <c r="AV1077" s="37" t="n"/>
      <c r="AW1077" s="38">
        <f>IF(AO1077="","",IF(AR1077="Yes","❌ Disc",IF(AQ1077="No","⚠ Missing",IF(AT1077="Yes","✓ OK","⚠ Check"))))</f>
        <v/>
      </c>
    </row>
    <row r="1078" ht="18" customHeight="1" s="46">
      <c r="A1078" s="39" t="n">
        <v>1074</v>
      </c>
      <c r="B1078" s="40" t="inlineStr">
        <is>
          <t>BD-VRM-2025-0165</t>
        </is>
      </c>
      <c r="C1078" s="41" t="inlineStr">
        <is>
          <t>LifenColors - Wildlife Campout in the Jungle, Design for Kids, Autumn with Canvas Paper - CN/6039</t>
        </is>
      </c>
      <c r="D1078" s="39" t="inlineStr">
        <is>
          <t>Life n Colors</t>
        </is>
      </c>
      <c r="E1078" s="43" t="n">
        <v>46126</v>
      </c>
      <c r="F1078" s="26" t="inlineStr">
        <is>
          <t>Sunil CR</t>
        </is>
      </c>
      <c r="G1078" s="26" t="inlineStr">
        <is>
          <t>Yes</t>
        </is>
      </c>
      <c r="H1078" s="26" t="inlineStr">
        <is>
          <t>No</t>
        </is>
      </c>
      <c r="I1078" s="26" t="inlineStr">
        <is>
          <t>Good finish</t>
        </is>
      </c>
      <c r="J1078" s="26" t="inlineStr">
        <is>
          <t>Yes</t>
        </is>
      </c>
      <c r="K1078" s="27" t="n"/>
      <c r="L1078" s="28" t="inlineStr">
        <is>
          <t>No</t>
        </is>
      </c>
      <c r="M1078" s="29">
        <f>IF(E1078="","",IF(H1078="Yes","❌ Disc",IF(G1078="No","⚠ Missing",IF(J1078="Yes","✓ OK","⚠ Check"))))</f>
        <v/>
      </c>
      <c r="N1078" s="43" t="n">
        <v>46193</v>
      </c>
      <c r="O1078" s="26" t="inlineStr">
        <is>
          <t>Sunil CR</t>
        </is>
      </c>
      <c r="P1078" s="26" t="inlineStr">
        <is>
          <t>Yes</t>
        </is>
      </c>
      <c r="Q1078" s="26" t="inlineStr">
        <is>
          <t>No</t>
        </is>
      </c>
      <c r="R1078" s="26" t="inlineStr">
        <is>
          <t>Good finish</t>
        </is>
      </c>
      <c r="S1078" s="26" t="inlineStr">
        <is>
          <t>Yes</t>
        </is>
      </c>
      <c r="T1078" s="27" t="n"/>
      <c r="U1078" s="28" t="inlineStr">
        <is>
          <t>No</t>
        </is>
      </c>
      <c r="V1078" s="29">
        <f>IF(N1078="","",IF(Q1078="Yes","❌ Disc",IF(P1078="No","⚠ Missing",IF(S1078="Yes","✓ OK","⚠ Check"))))</f>
        <v/>
      </c>
      <c r="W1078" s="65" t="n">
        <v>46248</v>
      </c>
      <c r="X1078" s="30" t="inlineStr">
        <is>
          <t>Sunil CR</t>
        </is>
      </c>
      <c r="Y1078" s="30" t="inlineStr">
        <is>
          <t>Yes</t>
        </is>
      </c>
      <c r="Z1078" s="30" t="n"/>
      <c r="AA1078" s="30" t="inlineStr">
        <is>
          <t>Good finish</t>
        </is>
      </c>
      <c r="AB1078" s="30" t="inlineStr">
        <is>
          <t>Yes</t>
        </is>
      </c>
      <c r="AC1078" s="27" t="n"/>
      <c r="AD1078" s="31" t="inlineStr">
        <is>
          <t>No</t>
        </is>
      </c>
      <c r="AE1078" s="32">
        <f>IF(W1078="","",IF(Z1078="Yes","❌ Disc",IF(Y1078="No","⚠ Missing",IF(AB1078="Yes","✓ OK","⚠ Check"))))</f>
        <v/>
      </c>
      <c r="AF1078" s="33" t="n"/>
      <c r="AG1078" s="33" t="n"/>
      <c r="AH1078" s="33" t="n"/>
      <c r="AI1078" s="33" t="n"/>
      <c r="AJ1078" s="33" t="n"/>
      <c r="AK1078" s="33" t="n"/>
      <c r="AL1078" s="27" t="n"/>
      <c r="AM1078" s="34" t="n"/>
      <c r="AN1078" s="35">
        <f>IF(AF1078="","",IF(AI1078="Yes","❌ Disc",IF(AH1078="No","⚠ Missing",IF(AK1078="Yes","✓ OK","⚠ Check"))))</f>
        <v/>
      </c>
      <c r="AO1078" s="36" t="n"/>
      <c r="AP1078" s="36" t="n"/>
      <c r="AQ1078" s="36" t="n"/>
      <c r="AR1078" s="36" t="n"/>
      <c r="AS1078" s="36" t="n"/>
      <c r="AT1078" s="36" t="n"/>
      <c r="AU1078" s="27" t="n"/>
      <c r="AV1078" s="37" t="n"/>
      <c r="AW1078" s="38">
        <f>IF(AO1078="","",IF(AR1078="Yes","❌ Disc",IF(AQ1078="No","⚠ Missing",IF(AT1078="Yes","✓ OK","⚠ Check"))))</f>
        <v/>
      </c>
    </row>
    <row r="1079" ht="18" customHeight="1" s="46">
      <c r="A1079" s="23" t="n">
        <v>1075</v>
      </c>
      <c r="B1079" s="24" t="inlineStr">
        <is>
          <t>BD-VRM-2024-2866</t>
        </is>
      </c>
      <c r="C1079" s="25" t="inlineStr">
        <is>
          <t>Marshall Attitude Wallpaper A 64201</t>
        </is>
      </c>
      <c r="D1079" s="23" t="inlineStr">
        <is>
          <t>Marshalls</t>
        </is>
      </c>
      <c r="E1079" s="43" t="n">
        <v>46125</v>
      </c>
      <c r="F1079" s="26" t="inlineStr">
        <is>
          <t>Sunil CR</t>
        </is>
      </c>
      <c r="G1079" s="26" t="inlineStr">
        <is>
          <t>Yes</t>
        </is>
      </c>
      <c r="H1079" s="26" t="inlineStr">
        <is>
          <t>No</t>
        </is>
      </c>
      <c r="I1079" s="26" t="inlineStr">
        <is>
          <t>Good finish</t>
        </is>
      </c>
      <c r="J1079" s="26" t="inlineStr">
        <is>
          <t>Yes</t>
        </is>
      </c>
      <c r="K1079" s="27" t="n"/>
      <c r="L1079" s="28" t="inlineStr">
        <is>
          <t>No</t>
        </is>
      </c>
      <c r="M1079" s="29">
        <f>IF(E1079="","",IF(H1079="Yes","❌ Disc",IF(G1079="No","⚠ Missing",IF(J1079="Yes","✓ OK","⚠ Check"))))</f>
        <v/>
      </c>
      <c r="N1079" s="43" t="n">
        <v>46193</v>
      </c>
      <c r="O1079" s="26" t="inlineStr">
        <is>
          <t>Sunil CR</t>
        </is>
      </c>
      <c r="P1079" s="26" t="inlineStr">
        <is>
          <t>Yes</t>
        </is>
      </c>
      <c r="Q1079" s="26" t="inlineStr">
        <is>
          <t>No</t>
        </is>
      </c>
      <c r="R1079" s="26" t="inlineStr">
        <is>
          <t>Good finish</t>
        </is>
      </c>
      <c r="S1079" s="26" t="inlineStr">
        <is>
          <t>Yes</t>
        </is>
      </c>
      <c r="T1079" s="27" t="n"/>
      <c r="U1079" s="28" t="inlineStr">
        <is>
          <t>No</t>
        </is>
      </c>
      <c r="V1079" s="29">
        <f>IF(N1079="","",IF(Q1079="Yes","❌ Disc",IF(P1079="No","⚠ Missing",IF(S1079="Yes","✓ OK","⚠ Check"))))</f>
        <v/>
      </c>
      <c r="W1079" s="65" t="n">
        <v>46248</v>
      </c>
      <c r="X1079" s="30" t="inlineStr">
        <is>
          <t>Sunil CR</t>
        </is>
      </c>
      <c r="Y1079" s="30" t="inlineStr">
        <is>
          <t>Yes</t>
        </is>
      </c>
      <c r="Z1079" s="30" t="n"/>
      <c r="AA1079" s="30" t="inlineStr">
        <is>
          <t>Good finish</t>
        </is>
      </c>
      <c r="AB1079" s="30" t="inlineStr">
        <is>
          <t>Yes</t>
        </is>
      </c>
      <c r="AC1079" s="27" t="n"/>
      <c r="AD1079" s="31" t="inlineStr">
        <is>
          <t>No</t>
        </is>
      </c>
      <c r="AE1079" s="32">
        <f>IF(W1079="","",IF(Z1079="Yes","❌ Disc",IF(Y1079="No","⚠ Missing",IF(AB1079="Yes","✓ OK","⚠ Check"))))</f>
        <v/>
      </c>
      <c r="AF1079" s="33" t="n"/>
      <c r="AG1079" s="33" t="n"/>
      <c r="AH1079" s="33" t="n"/>
      <c r="AI1079" s="33" t="n"/>
      <c r="AJ1079" s="33" t="n"/>
      <c r="AK1079" s="33" t="n"/>
      <c r="AL1079" s="27" t="n"/>
      <c r="AM1079" s="34" t="n"/>
      <c r="AN1079" s="35">
        <f>IF(AF1079="","",IF(AI1079="Yes","❌ Disc",IF(AH1079="No","⚠ Missing",IF(AK1079="Yes","✓ OK","⚠ Check"))))</f>
        <v/>
      </c>
      <c r="AO1079" s="36" t="n"/>
      <c r="AP1079" s="36" t="n"/>
      <c r="AQ1079" s="36" t="n"/>
      <c r="AR1079" s="36" t="n"/>
      <c r="AS1079" s="36" t="n"/>
      <c r="AT1079" s="36" t="n"/>
      <c r="AU1079" s="27" t="n"/>
      <c r="AV1079" s="37" t="n"/>
      <c r="AW1079" s="38">
        <f>IF(AO1079="","",IF(AR1079="Yes","❌ Disc",IF(AQ1079="No","⚠ Missing",IF(AT1079="Yes","✓ OK","⚠ Check"))))</f>
        <v/>
      </c>
    </row>
    <row r="1080" ht="18" customHeight="1" s="46">
      <c r="A1080" s="39" t="n">
        <v>1076</v>
      </c>
      <c r="B1080" s="40" t="inlineStr">
        <is>
          <t>BD-VRM-2024-2864</t>
        </is>
      </c>
      <c r="C1080" s="41" t="inlineStr">
        <is>
          <t>Marshall Attitude Wallpaper A 64202</t>
        </is>
      </c>
      <c r="D1080" s="39" t="inlineStr">
        <is>
          <t>Marshalls</t>
        </is>
      </c>
      <c r="E1080" s="43" t="n">
        <v>46125</v>
      </c>
      <c r="F1080" s="26" t="inlineStr">
        <is>
          <t>Sunil CR</t>
        </is>
      </c>
      <c r="G1080" s="26" t="inlineStr">
        <is>
          <t>Yes</t>
        </is>
      </c>
      <c r="H1080" s="26" t="inlineStr">
        <is>
          <t>No</t>
        </is>
      </c>
      <c r="I1080" s="26" t="inlineStr">
        <is>
          <t>Good finish</t>
        </is>
      </c>
      <c r="J1080" s="26" t="inlineStr">
        <is>
          <t>Yes</t>
        </is>
      </c>
      <c r="K1080" s="27" t="n"/>
      <c r="L1080" s="28" t="inlineStr">
        <is>
          <t>No</t>
        </is>
      </c>
      <c r="M1080" s="29">
        <f>IF(E1080="","",IF(H1080="Yes","❌ Disc",IF(G1080="No","⚠ Missing",IF(J1080="Yes","✓ OK","⚠ Check"))))</f>
        <v/>
      </c>
      <c r="N1080" s="43" t="n">
        <v>46193</v>
      </c>
      <c r="O1080" s="26" t="inlineStr">
        <is>
          <t>Sunil CR</t>
        </is>
      </c>
      <c r="P1080" s="26" t="inlineStr">
        <is>
          <t>Yes</t>
        </is>
      </c>
      <c r="Q1080" s="26" t="inlineStr">
        <is>
          <t>No</t>
        </is>
      </c>
      <c r="R1080" s="26" t="inlineStr">
        <is>
          <t>Good finish</t>
        </is>
      </c>
      <c r="S1080" s="26" t="inlineStr">
        <is>
          <t>Yes</t>
        </is>
      </c>
      <c r="T1080" s="27" t="n"/>
      <c r="U1080" s="28" t="inlineStr">
        <is>
          <t>No</t>
        </is>
      </c>
      <c r="V1080" s="29">
        <f>IF(N1080="","",IF(Q1080="Yes","❌ Disc",IF(P1080="No","⚠ Missing",IF(S1080="Yes","✓ OK","⚠ Check"))))</f>
        <v/>
      </c>
      <c r="W1080" s="65" t="n">
        <v>46248</v>
      </c>
      <c r="X1080" s="30" t="inlineStr">
        <is>
          <t>Sunil CR</t>
        </is>
      </c>
      <c r="Y1080" s="30" t="inlineStr">
        <is>
          <t>Yes</t>
        </is>
      </c>
      <c r="Z1080" s="30" t="n"/>
      <c r="AA1080" s="30" t="inlineStr">
        <is>
          <t>Good finish</t>
        </is>
      </c>
      <c r="AB1080" s="30" t="inlineStr">
        <is>
          <t>Yes</t>
        </is>
      </c>
      <c r="AC1080" s="27" t="n"/>
      <c r="AD1080" s="31" t="inlineStr">
        <is>
          <t>No</t>
        </is>
      </c>
      <c r="AE1080" s="32">
        <f>IF(W1080="","",IF(Z1080="Yes","❌ Disc",IF(Y1080="No","⚠ Missing",IF(AB1080="Yes","✓ OK","⚠ Check"))))</f>
        <v/>
      </c>
      <c r="AF1080" s="33" t="n"/>
      <c r="AG1080" s="33" t="n"/>
      <c r="AH1080" s="33" t="n"/>
      <c r="AI1080" s="33" t="n"/>
      <c r="AJ1080" s="33" t="n"/>
      <c r="AK1080" s="33" t="n"/>
      <c r="AL1080" s="27" t="n"/>
      <c r="AM1080" s="34" t="n"/>
      <c r="AN1080" s="35">
        <f>IF(AF1080="","",IF(AI1080="Yes","❌ Disc",IF(AH1080="No","⚠ Missing",IF(AK1080="Yes","✓ OK","⚠ Check"))))</f>
        <v/>
      </c>
      <c r="AO1080" s="36" t="n"/>
      <c r="AP1080" s="36" t="n"/>
      <c r="AQ1080" s="36" t="n"/>
      <c r="AR1080" s="36" t="n"/>
      <c r="AS1080" s="36" t="n"/>
      <c r="AT1080" s="36" t="n"/>
      <c r="AU1080" s="27" t="n"/>
      <c r="AV1080" s="37" t="n"/>
      <c r="AW1080" s="38">
        <f>IF(AO1080="","",IF(AR1080="Yes","❌ Disc",IF(AQ1080="No","⚠ Missing",IF(AT1080="Yes","✓ OK","⚠ Check"))))</f>
        <v/>
      </c>
    </row>
    <row r="1081" ht="18" customHeight="1" s="46">
      <c r="A1081" s="23" t="n">
        <v>1077</v>
      </c>
      <c r="B1081" s="24" t="inlineStr">
        <is>
          <t>BD-VRM-2024-2869</t>
        </is>
      </c>
      <c r="C1081" s="25" t="inlineStr">
        <is>
          <t>Marshall Attitude Wallpaper A 64203</t>
        </is>
      </c>
      <c r="D1081" s="23" t="inlineStr">
        <is>
          <t>Marshalls</t>
        </is>
      </c>
      <c r="E1081" s="43" t="n">
        <v>46125</v>
      </c>
      <c r="F1081" s="26" t="inlineStr">
        <is>
          <t>Sunil CR</t>
        </is>
      </c>
      <c r="G1081" s="26" t="inlineStr">
        <is>
          <t>Yes</t>
        </is>
      </c>
      <c r="H1081" s="26" t="inlineStr">
        <is>
          <t>No</t>
        </is>
      </c>
      <c r="I1081" s="26" t="inlineStr">
        <is>
          <t>Good finish</t>
        </is>
      </c>
      <c r="J1081" s="26" t="inlineStr">
        <is>
          <t>Yes</t>
        </is>
      </c>
      <c r="K1081" s="27" t="n"/>
      <c r="L1081" s="28" t="inlineStr">
        <is>
          <t>No</t>
        </is>
      </c>
      <c r="M1081" s="29">
        <f>IF(E1081="","",IF(H1081="Yes","❌ Disc",IF(G1081="No","⚠ Missing",IF(J1081="Yes","✓ OK","⚠ Check"))))</f>
        <v/>
      </c>
      <c r="N1081" s="43" t="n">
        <v>46193</v>
      </c>
      <c r="O1081" s="26" t="inlineStr">
        <is>
          <t>Sunil CR</t>
        </is>
      </c>
      <c r="P1081" s="26" t="inlineStr">
        <is>
          <t>Yes</t>
        </is>
      </c>
      <c r="Q1081" s="26" t="inlineStr">
        <is>
          <t>No</t>
        </is>
      </c>
      <c r="R1081" s="26" t="inlineStr">
        <is>
          <t>Good finish</t>
        </is>
      </c>
      <c r="S1081" s="26" t="inlineStr">
        <is>
          <t>Yes</t>
        </is>
      </c>
      <c r="T1081" s="27" t="n"/>
      <c r="U1081" s="28" t="inlineStr">
        <is>
          <t>No</t>
        </is>
      </c>
      <c r="V1081" s="29">
        <f>IF(N1081="","",IF(Q1081="Yes","❌ Disc",IF(P1081="No","⚠ Missing",IF(S1081="Yes","✓ OK","⚠ Check"))))</f>
        <v/>
      </c>
      <c r="W1081" s="65" t="n">
        <v>46248</v>
      </c>
      <c r="X1081" s="30" t="inlineStr">
        <is>
          <t>Sunil CR</t>
        </is>
      </c>
      <c r="Y1081" s="30" t="inlineStr">
        <is>
          <t>Yes</t>
        </is>
      </c>
      <c r="Z1081" s="30" t="n"/>
      <c r="AA1081" s="30" t="inlineStr">
        <is>
          <t>Good finish</t>
        </is>
      </c>
      <c r="AB1081" s="30" t="inlineStr">
        <is>
          <t>Yes</t>
        </is>
      </c>
      <c r="AC1081" s="27" t="n"/>
      <c r="AD1081" s="31" t="inlineStr">
        <is>
          <t>No</t>
        </is>
      </c>
      <c r="AE1081" s="32">
        <f>IF(W1081="","",IF(Z1081="Yes","❌ Disc",IF(Y1081="No","⚠ Missing",IF(AB1081="Yes","✓ OK","⚠ Check"))))</f>
        <v/>
      </c>
      <c r="AF1081" s="33" t="n"/>
      <c r="AG1081" s="33" t="n"/>
      <c r="AH1081" s="33" t="n"/>
      <c r="AI1081" s="33" t="n"/>
      <c r="AJ1081" s="33" t="n"/>
      <c r="AK1081" s="33" t="n"/>
      <c r="AL1081" s="27" t="n"/>
      <c r="AM1081" s="34" t="n"/>
      <c r="AN1081" s="35">
        <f>IF(AF1081="","",IF(AI1081="Yes","❌ Disc",IF(AH1081="No","⚠ Missing",IF(AK1081="Yes","✓ OK","⚠ Check"))))</f>
        <v/>
      </c>
      <c r="AO1081" s="36" t="n"/>
      <c r="AP1081" s="36" t="n"/>
      <c r="AQ1081" s="36" t="n"/>
      <c r="AR1081" s="36" t="n"/>
      <c r="AS1081" s="36" t="n"/>
      <c r="AT1081" s="36" t="n"/>
      <c r="AU1081" s="27" t="n"/>
      <c r="AV1081" s="37" t="n"/>
      <c r="AW1081" s="38">
        <f>IF(AO1081="","",IF(AR1081="Yes","❌ Disc",IF(AQ1081="No","⚠ Missing",IF(AT1081="Yes","✓ OK","⚠ Check"))))</f>
        <v/>
      </c>
    </row>
    <row r="1082" ht="18" customHeight="1" s="46">
      <c r="A1082" s="39" t="n">
        <v>1078</v>
      </c>
      <c r="B1082" s="40" t="inlineStr">
        <is>
          <t>BD-VRM-2024-2907</t>
        </is>
      </c>
      <c r="C1082" s="41" t="inlineStr">
        <is>
          <t>Marshall Attitude Wallpaper A 64301</t>
        </is>
      </c>
      <c r="D1082" s="39" t="inlineStr">
        <is>
          <t>Marshalls</t>
        </is>
      </c>
      <c r="E1082" s="43" t="n">
        <v>46125</v>
      </c>
      <c r="F1082" s="26" t="inlineStr">
        <is>
          <t>Sunil CR</t>
        </is>
      </c>
      <c r="G1082" s="26" t="inlineStr">
        <is>
          <t>Yes</t>
        </is>
      </c>
      <c r="H1082" s="26" t="inlineStr">
        <is>
          <t>No</t>
        </is>
      </c>
      <c r="I1082" s="26" t="inlineStr">
        <is>
          <t>Good finish</t>
        </is>
      </c>
      <c r="J1082" s="26" t="inlineStr">
        <is>
          <t>Yes</t>
        </is>
      </c>
      <c r="K1082" s="27" t="n"/>
      <c r="L1082" s="28" t="inlineStr">
        <is>
          <t>No</t>
        </is>
      </c>
      <c r="M1082" s="29">
        <f>IF(E1082="","",IF(H1082="Yes","❌ Disc",IF(G1082="No","⚠ Missing",IF(J1082="Yes","✓ OK","⚠ Check"))))</f>
        <v/>
      </c>
      <c r="N1082" s="43" t="n">
        <v>46193</v>
      </c>
      <c r="O1082" s="26" t="inlineStr">
        <is>
          <t>Sunil CR</t>
        </is>
      </c>
      <c r="P1082" s="26" t="inlineStr">
        <is>
          <t>Yes</t>
        </is>
      </c>
      <c r="Q1082" s="26" t="inlineStr">
        <is>
          <t>No</t>
        </is>
      </c>
      <c r="R1082" s="26" t="inlineStr">
        <is>
          <t>Good finish</t>
        </is>
      </c>
      <c r="S1082" s="26" t="inlineStr">
        <is>
          <t>Yes</t>
        </is>
      </c>
      <c r="T1082" s="27" t="n"/>
      <c r="U1082" s="28" t="inlineStr">
        <is>
          <t>No</t>
        </is>
      </c>
      <c r="V1082" s="29">
        <f>IF(N1082="","",IF(Q1082="Yes","❌ Disc",IF(P1082="No","⚠ Missing",IF(S1082="Yes","✓ OK","⚠ Check"))))</f>
        <v/>
      </c>
      <c r="W1082" s="65" t="n">
        <v>46248</v>
      </c>
      <c r="X1082" s="30" t="inlineStr">
        <is>
          <t>Sunil CR</t>
        </is>
      </c>
      <c r="Y1082" s="30" t="inlineStr">
        <is>
          <t>Yes</t>
        </is>
      </c>
      <c r="Z1082" s="30" t="n"/>
      <c r="AA1082" s="30" t="inlineStr">
        <is>
          <t>Good finish</t>
        </is>
      </c>
      <c r="AB1082" s="30" t="inlineStr">
        <is>
          <t>Yes</t>
        </is>
      </c>
      <c r="AC1082" s="27" t="n"/>
      <c r="AD1082" s="31" t="inlineStr">
        <is>
          <t>No</t>
        </is>
      </c>
      <c r="AE1082" s="32">
        <f>IF(W1082="","",IF(Z1082="Yes","❌ Disc",IF(Y1082="No","⚠ Missing",IF(AB1082="Yes","✓ OK","⚠ Check"))))</f>
        <v/>
      </c>
      <c r="AF1082" s="33" t="n"/>
      <c r="AG1082" s="33" t="n"/>
      <c r="AH1082" s="33" t="n"/>
      <c r="AI1082" s="33" t="n"/>
      <c r="AJ1082" s="33" t="n"/>
      <c r="AK1082" s="33" t="n"/>
      <c r="AL1082" s="27" t="n"/>
      <c r="AM1082" s="34" t="n"/>
      <c r="AN1082" s="35">
        <f>IF(AF1082="","",IF(AI1082="Yes","❌ Disc",IF(AH1082="No","⚠ Missing",IF(AK1082="Yes","✓ OK","⚠ Check"))))</f>
        <v/>
      </c>
      <c r="AO1082" s="36" t="n"/>
      <c r="AP1082" s="36" t="n"/>
      <c r="AQ1082" s="36" t="n"/>
      <c r="AR1082" s="36" t="n"/>
      <c r="AS1082" s="36" t="n"/>
      <c r="AT1082" s="36" t="n"/>
      <c r="AU1082" s="27" t="n"/>
      <c r="AV1082" s="37" t="n"/>
      <c r="AW1082" s="38">
        <f>IF(AO1082="","",IF(AR1082="Yes","❌ Disc",IF(AQ1082="No","⚠ Missing",IF(AT1082="Yes","✓ OK","⚠ Check"))))</f>
        <v/>
      </c>
    </row>
    <row r="1083" ht="18" customHeight="1" s="46">
      <c r="A1083" s="23" t="n">
        <v>1079</v>
      </c>
      <c r="B1083" s="24" t="inlineStr">
        <is>
          <t>BD-VRM-2024-2902</t>
        </is>
      </c>
      <c r="C1083" s="25" t="inlineStr">
        <is>
          <t>Marshall Attitude Wallpaper A 64302</t>
        </is>
      </c>
      <c r="D1083" s="23" t="inlineStr">
        <is>
          <t>Marshalls</t>
        </is>
      </c>
      <c r="E1083" s="43" t="n">
        <v>46125</v>
      </c>
      <c r="F1083" s="26" t="inlineStr">
        <is>
          <t>Sunil CR</t>
        </is>
      </c>
      <c r="G1083" s="26" t="inlineStr">
        <is>
          <t>Yes</t>
        </is>
      </c>
      <c r="H1083" s="26" t="inlineStr">
        <is>
          <t>No</t>
        </is>
      </c>
      <c r="I1083" s="26" t="inlineStr">
        <is>
          <t>Good finish</t>
        </is>
      </c>
      <c r="J1083" s="26" t="inlineStr">
        <is>
          <t>Yes</t>
        </is>
      </c>
      <c r="K1083" s="27" t="n"/>
      <c r="L1083" s="28" t="inlineStr">
        <is>
          <t>No</t>
        </is>
      </c>
      <c r="M1083" s="29">
        <f>IF(E1083="","",IF(H1083="Yes","❌ Disc",IF(G1083="No","⚠ Missing",IF(J1083="Yes","✓ OK","⚠ Check"))))</f>
        <v/>
      </c>
      <c r="N1083" s="43" t="n">
        <v>46193</v>
      </c>
      <c r="O1083" s="26" t="inlineStr">
        <is>
          <t>Sunil CR</t>
        </is>
      </c>
      <c r="P1083" s="26" t="inlineStr">
        <is>
          <t>Yes</t>
        </is>
      </c>
      <c r="Q1083" s="26" t="inlineStr">
        <is>
          <t>No</t>
        </is>
      </c>
      <c r="R1083" s="26" t="inlineStr">
        <is>
          <t>Good finish</t>
        </is>
      </c>
      <c r="S1083" s="26" t="inlineStr">
        <is>
          <t>Yes</t>
        </is>
      </c>
      <c r="T1083" s="27" t="n"/>
      <c r="U1083" s="28" t="inlineStr">
        <is>
          <t>No</t>
        </is>
      </c>
      <c r="V1083" s="29">
        <f>IF(N1083="","",IF(Q1083="Yes","❌ Disc",IF(P1083="No","⚠ Missing",IF(S1083="Yes","✓ OK","⚠ Check"))))</f>
        <v/>
      </c>
      <c r="W1083" s="65" t="n">
        <v>46248</v>
      </c>
      <c r="X1083" s="30" t="inlineStr">
        <is>
          <t>Sunil CR</t>
        </is>
      </c>
      <c r="Y1083" s="30" t="inlineStr">
        <is>
          <t>Yes</t>
        </is>
      </c>
      <c r="Z1083" s="30" t="n"/>
      <c r="AA1083" s="30" t="inlineStr">
        <is>
          <t>Good finish</t>
        </is>
      </c>
      <c r="AB1083" s="30" t="inlineStr">
        <is>
          <t>Yes</t>
        </is>
      </c>
      <c r="AC1083" s="27" t="n"/>
      <c r="AD1083" s="31" t="inlineStr">
        <is>
          <t>No</t>
        </is>
      </c>
      <c r="AE1083" s="32">
        <f>IF(W1083="","",IF(Z1083="Yes","❌ Disc",IF(Y1083="No","⚠ Missing",IF(AB1083="Yes","✓ OK","⚠ Check"))))</f>
        <v/>
      </c>
      <c r="AF1083" s="33" t="n"/>
      <c r="AG1083" s="33" t="n"/>
      <c r="AH1083" s="33" t="n"/>
      <c r="AI1083" s="33" t="n"/>
      <c r="AJ1083" s="33" t="n"/>
      <c r="AK1083" s="33" t="n"/>
      <c r="AL1083" s="27" t="n"/>
      <c r="AM1083" s="34" t="n"/>
      <c r="AN1083" s="35">
        <f>IF(AF1083="","",IF(AI1083="Yes","❌ Disc",IF(AH1083="No","⚠ Missing",IF(AK1083="Yes","✓ OK","⚠ Check"))))</f>
        <v/>
      </c>
      <c r="AO1083" s="36" t="n"/>
      <c r="AP1083" s="36" t="n"/>
      <c r="AQ1083" s="36" t="n"/>
      <c r="AR1083" s="36" t="n"/>
      <c r="AS1083" s="36" t="n"/>
      <c r="AT1083" s="36" t="n"/>
      <c r="AU1083" s="27" t="n"/>
      <c r="AV1083" s="37" t="n"/>
      <c r="AW1083" s="38">
        <f>IF(AO1083="","",IF(AR1083="Yes","❌ Disc",IF(AQ1083="No","⚠ Missing",IF(AT1083="Yes","✓ OK","⚠ Check"))))</f>
        <v/>
      </c>
    </row>
    <row r="1084" ht="18" customHeight="1" s="46">
      <c r="A1084" s="39" t="n">
        <v>1080</v>
      </c>
      <c r="B1084" s="40" t="inlineStr">
        <is>
          <t>BD-VRM-2024-2905</t>
        </is>
      </c>
      <c r="C1084" s="41" t="inlineStr">
        <is>
          <t>Marshall Attitude Wallpaper A 64303</t>
        </is>
      </c>
      <c r="D1084" s="39" t="inlineStr">
        <is>
          <t>Marshalls</t>
        </is>
      </c>
      <c r="E1084" s="43" t="n">
        <v>46125</v>
      </c>
      <c r="F1084" s="26" t="inlineStr">
        <is>
          <t>Sunil CR</t>
        </is>
      </c>
      <c r="G1084" s="26" t="inlineStr">
        <is>
          <t>Yes</t>
        </is>
      </c>
      <c r="H1084" s="26" t="inlineStr">
        <is>
          <t>No</t>
        </is>
      </c>
      <c r="I1084" s="26" t="inlineStr">
        <is>
          <t>Good finish</t>
        </is>
      </c>
      <c r="J1084" s="26" t="inlineStr">
        <is>
          <t>Yes</t>
        </is>
      </c>
      <c r="K1084" s="27" t="n"/>
      <c r="L1084" s="28" t="inlineStr">
        <is>
          <t>No</t>
        </is>
      </c>
      <c r="M1084" s="29">
        <f>IF(E1084="","",IF(H1084="Yes","❌ Disc",IF(G1084="No","⚠ Missing",IF(J1084="Yes","✓ OK","⚠ Check"))))</f>
        <v/>
      </c>
      <c r="N1084" s="43" t="n">
        <v>46193</v>
      </c>
      <c r="O1084" s="26" t="inlineStr">
        <is>
          <t>Sunil CR</t>
        </is>
      </c>
      <c r="P1084" s="26" t="inlineStr">
        <is>
          <t>Yes</t>
        </is>
      </c>
      <c r="Q1084" s="26" t="inlineStr">
        <is>
          <t>No</t>
        </is>
      </c>
      <c r="R1084" s="26" t="inlineStr">
        <is>
          <t>Good finish</t>
        </is>
      </c>
      <c r="S1084" s="26" t="inlineStr">
        <is>
          <t>Yes</t>
        </is>
      </c>
      <c r="T1084" s="27" t="n"/>
      <c r="U1084" s="28" t="inlineStr">
        <is>
          <t>No</t>
        </is>
      </c>
      <c r="V1084" s="29">
        <f>IF(N1084="","",IF(Q1084="Yes","❌ Disc",IF(P1084="No","⚠ Missing",IF(S1084="Yes","✓ OK","⚠ Check"))))</f>
        <v/>
      </c>
      <c r="W1084" s="65" t="n">
        <v>46248</v>
      </c>
      <c r="X1084" s="30" t="inlineStr">
        <is>
          <t>Sunil CR</t>
        </is>
      </c>
      <c r="Y1084" s="30" t="inlineStr">
        <is>
          <t>Yes</t>
        </is>
      </c>
      <c r="Z1084" s="30" t="n"/>
      <c r="AA1084" s="30" t="inlineStr">
        <is>
          <t>Good finish</t>
        </is>
      </c>
      <c r="AB1084" s="30" t="inlineStr">
        <is>
          <t>Yes</t>
        </is>
      </c>
      <c r="AC1084" s="27" t="n"/>
      <c r="AD1084" s="31" t="inlineStr">
        <is>
          <t>No</t>
        </is>
      </c>
      <c r="AE1084" s="32">
        <f>IF(W1084="","",IF(Z1084="Yes","❌ Disc",IF(Y1084="No","⚠ Missing",IF(AB1084="Yes","✓ OK","⚠ Check"))))</f>
        <v/>
      </c>
      <c r="AF1084" s="33" t="n"/>
      <c r="AG1084" s="33" t="n"/>
      <c r="AH1084" s="33" t="n"/>
      <c r="AI1084" s="33" t="n"/>
      <c r="AJ1084" s="33" t="n"/>
      <c r="AK1084" s="33" t="n"/>
      <c r="AL1084" s="27" t="n"/>
      <c r="AM1084" s="34" t="n"/>
      <c r="AN1084" s="35">
        <f>IF(AF1084="","",IF(AI1084="Yes","❌ Disc",IF(AH1084="No","⚠ Missing",IF(AK1084="Yes","✓ OK","⚠ Check"))))</f>
        <v/>
      </c>
      <c r="AO1084" s="36" t="n"/>
      <c r="AP1084" s="36" t="n"/>
      <c r="AQ1084" s="36" t="n"/>
      <c r="AR1084" s="36" t="n"/>
      <c r="AS1084" s="36" t="n"/>
      <c r="AT1084" s="36" t="n"/>
      <c r="AU1084" s="27" t="n"/>
      <c r="AV1084" s="37" t="n"/>
      <c r="AW1084" s="38">
        <f>IF(AO1084="","",IF(AR1084="Yes","❌ Disc",IF(AQ1084="No","⚠ Missing",IF(AT1084="Yes","✓ OK","⚠ Check"))))</f>
        <v/>
      </c>
    </row>
    <row r="1085" ht="18" customHeight="1" s="46">
      <c r="A1085" s="23" t="n">
        <v>1081</v>
      </c>
      <c r="B1085" s="24" t="inlineStr">
        <is>
          <t>BD-VRM-2024-2885</t>
        </is>
      </c>
      <c r="C1085" s="25" t="inlineStr">
        <is>
          <t>Marshall Attitude Wallpaper A 64401</t>
        </is>
      </c>
      <c r="D1085" s="23" t="inlineStr">
        <is>
          <t>Marshalls</t>
        </is>
      </c>
      <c r="E1085" s="43" t="n">
        <v>46125</v>
      </c>
      <c r="F1085" s="26" t="inlineStr">
        <is>
          <t>Sunil CR</t>
        </is>
      </c>
      <c r="G1085" s="26" t="inlineStr">
        <is>
          <t>Yes</t>
        </is>
      </c>
      <c r="H1085" s="26" t="inlineStr">
        <is>
          <t>No</t>
        </is>
      </c>
      <c r="I1085" s="26" t="inlineStr">
        <is>
          <t>Good finish</t>
        </is>
      </c>
      <c r="J1085" s="26" t="inlineStr">
        <is>
          <t>Yes</t>
        </is>
      </c>
      <c r="K1085" s="27" t="n"/>
      <c r="L1085" s="28" t="inlineStr">
        <is>
          <t>No</t>
        </is>
      </c>
      <c r="M1085" s="29">
        <f>IF(E1085="","",IF(H1085="Yes","❌ Disc",IF(G1085="No","⚠ Missing",IF(J1085="Yes","✓ OK","⚠ Check"))))</f>
        <v/>
      </c>
      <c r="N1085" s="43" t="n">
        <v>46193</v>
      </c>
      <c r="O1085" s="26" t="inlineStr">
        <is>
          <t>Sunil CR</t>
        </is>
      </c>
      <c r="P1085" s="26" t="inlineStr">
        <is>
          <t>Yes</t>
        </is>
      </c>
      <c r="Q1085" s="26" t="inlineStr">
        <is>
          <t>No</t>
        </is>
      </c>
      <c r="R1085" s="26" t="inlineStr">
        <is>
          <t>Good finish</t>
        </is>
      </c>
      <c r="S1085" s="26" t="inlineStr">
        <is>
          <t>Yes</t>
        </is>
      </c>
      <c r="T1085" s="27" t="n"/>
      <c r="U1085" s="28" t="inlineStr">
        <is>
          <t>No</t>
        </is>
      </c>
      <c r="V1085" s="29">
        <f>IF(N1085="","",IF(Q1085="Yes","❌ Disc",IF(P1085="No","⚠ Missing",IF(S1085="Yes","✓ OK","⚠ Check"))))</f>
        <v/>
      </c>
      <c r="W1085" s="65" t="n">
        <v>46248</v>
      </c>
      <c r="X1085" s="30" t="inlineStr">
        <is>
          <t>Sunil CR</t>
        </is>
      </c>
      <c r="Y1085" s="30" t="inlineStr">
        <is>
          <t>Yes</t>
        </is>
      </c>
      <c r="Z1085" s="30" t="n"/>
      <c r="AA1085" s="30" t="inlineStr">
        <is>
          <t>Good finish</t>
        </is>
      </c>
      <c r="AB1085" s="30" t="inlineStr">
        <is>
          <t>Yes</t>
        </is>
      </c>
      <c r="AC1085" s="27" t="n"/>
      <c r="AD1085" s="31" t="inlineStr">
        <is>
          <t>No</t>
        </is>
      </c>
      <c r="AE1085" s="32">
        <f>IF(W1085="","",IF(Z1085="Yes","❌ Disc",IF(Y1085="No","⚠ Missing",IF(AB1085="Yes","✓ OK","⚠ Check"))))</f>
        <v/>
      </c>
      <c r="AF1085" s="33" t="n"/>
      <c r="AG1085" s="33" t="n"/>
      <c r="AH1085" s="33" t="n"/>
      <c r="AI1085" s="33" t="n"/>
      <c r="AJ1085" s="33" t="n"/>
      <c r="AK1085" s="33" t="n"/>
      <c r="AL1085" s="27" t="n"/>
      <c r="AM1085" s="34" t="n"/>
      <c r="AN1085" s="35">
        <f>IF(AF1085="","",IF(AI1085="Yes","❌ Disc",IF(AH1085="No","⚠ Missing",IF(AK1085="Yes","✓ OK","⚠ Check"))))</f>
        <v/>
      </c>
      <c r="AO1085" s="36" t="n"/>
      <c r="AP1085" s="36" t="n"/>
      <c r="AQ1085" s="36" t="n"/>
      <c r="AR1085" s="36" t="n"/>
      <c r="AS1085" s="36" t="n"/>
      <c r="AT1085" s="36" t="n"/>
      <c r="AU1085" s="27" t="n"/>
      <c r="AV1085" s="37" t="n"/>
      <c r="AW1085" s="38">
        <f>IF(AO1085="","",IF(AR1085="Yes","❌ Disc",IF(AQ1085="No","⚠ Missing",IF(AT1085="Yes","✓ OK","⚠ Check"))))</f>
        <v/>
      </c>
    </row>
    <row r="1086" ht="18" customHeight="1" s="46">
      <c r="A1086" s="39" t="n">
        <v>1082</v>
      </c>
      <c r="B1086" s="40" t="inlineStr">
        <is>
          <t>BD-VRM-2024-2883</t>
        </is>
      </c>
      <c r="C1086" s="41" t="inlineStr">
        <is>
          <t>Marshall Attitude Wallpaper A 64402</t>
        </is>
      </c>
      <c r="D1086" s="39" t="inlineStr">
        <is>
          <t>Marshalls</t>
        </is>
      </c>
      <c r="E1086" s="43" t="n">
        <v>46125</v>
      </c>
      <c r="F1086" s="26" t="inlineStr">
        <is>
          <t>Sunil CR</t>
        </is>
      </c>
      <c r="G1086" s="26" t="inlineStr">
        <is>
          <t>Yes</t>
        </is>
      </c>
      <c r="H1086" s="26" t="inlineStr">
        <is>
          <t>No</t>
        </is>
      </c>
      <c r="I1086" s="26" t="inlineStr">
        <is>
          <t>Good finish</t>
        </is>
      </c>
      <c r="J1086" s="26" t="inlineStr">
        <is>
          <t>Yes</t>
        </is>
      </c>
      <c r="K1086" s="27" t="n"/>
      <c r="L1086" s="28" t="inlineStr">
        <is>
          <t>No</t>
        </is>
      </c>
      <c r="M1086" s="29">
        <f>IF(E1086="","",IF(H1086="Yes","❌ Disc",IF(G1086="No","⚠ Missing",IF(J1086="Yes","✓ OK","⚠ Check"))))</f>
        <v/>
      </c>
      <c r="N1086" s="43" t="n">
        <v>46193</v>
      </c>
      <c r="O1086" s="26" t="inlineStr">
        <is>
          <t>Sunil CR</t>
        </is>
      </c>
      <c r="P1086" s="26" t="inlineStr">
        <is>
          <t>Yes</t>
        </is>
      </c>
      <c r="Q1086" s="26" t="inlineStr">
        <is>
          <t>No</t>
        </is>
      </c>
      <c r="R1086" s="26" t="inlineStr">
        <is>
          <t>Good finish</t>
        </is>
      </c>
      <c r="S1086" s="26" t="inlineStr">
        <is>
          <t>Yes</t>
        </is>
      </c>
      <c r="T1086" s="27" t="n"/>
      <c r="U1086" s="28" t="inlineStr">
        <is>
          <t>No</t>
        </is>
      </c>
      <c r="V1086" s="29">
        <f>IF(N1086="","",IF(Q1086="Yes","❌ Disc",IF(P1086="No","⚠ Missing",IF(S1086="Yes","✓ OK","⚠ Check"))))</f>
        <v/>
      </c>
      <c r="W1086" s="65" t="n">
        <v>46248</v>
      </c>
      <c r="X1086" s="30" t="inlineStr">
        <is>
          <t>Sunil CR</t>
        </is>
      </c>
      <c r="Y1086" s="30" t="inlineStr">
        <is>
          <t>Yes</t>
        </is>
      </c>
      <c r="Z1086" s="30" t="n"/>
      <c r="AA1086" s="30" t="inlineStr">
        <is>
          <t>Good finish</t>
        </is>
      </c>
      <c r="AB1086" s="30" t="inlineStr">
        <is>
          <t>Yes</t>
        </is>
      </c>
      <c r="AC1086" s="27" t="n"/>
      <c r="AD1086" s="31" t="inlineStr">
        <is>
          <t>No</t>
        </is>
      </c>
      <c r="AE1086" s="32">
        <f>IF(W1086="","",IF(Z1086="Yes","❌ Disc",IF(Y1086="No","⚠ Missing",IF(AB1086="Yes","✓ OK","⚠ Check"))))</f>
        <v/>
      </c>
      <c r="AF1086" s="33" t="n"/>
      <c r="AG1086" s="33" t="n"/>
      <c r="AH1086" s="33" t="n"/>
      <c r="AI1086" s="33" t="n"/>
      <c r="AJ1086" s="33" t="n"/>
      <c r="AK1086" s="33" t="n"/>
      <c r="AL1086" s="27" t="n"/>
      <c r="AM1086" s="34" t="n"/>
      <c r="AN1086" s="35">
        <f>IF(AF1086="","",IF(AI1086="Yes","❌ Disc",IF(AH1086="No","⚠ Missing",IF(AK1086="Yes","✓ OK","⚠ Check"))))</f>
        <v/>
      </c>
      <c r="AO1086" s="36" t="n"/>
      <c r="AP1086" s="36" t="n"/>
      <c r="AQ1086" s="36" t="n"/>
      <c r="AR1086" s="36" t="n"/>
      <c r="AS1086" s="36" t="n"/>
      <c r="AT1086" s="36" t="n"/>
      <c r="AU1086" s="27" t="n"/>
      <c r="AV1086" s="37" t="n"/>
      <c r="AW1086" s="38">
        <f>IF(AO1086="","",IF(AR1086="Yes","❌ Disc",IF(AQ1086="No","⚠ Missing",IF(AT1086="Yes","✓ OK","⚠ Check"))))</f>
        <v/>
      </c>
    </row>
    <row r="1087" ht="18" customHeight="1" s="46">
      <c r="A1087" s="23" t="n">
        <v>1083</v>
      </c>
      <c r="B1087" s="24" t="inlineStr">
        <is>
          <t>BD-VRM-2024-2884</t>
        </is>
      </c>
      <c r="C1087" s="25" t="inlineStr">
        <is>
          <t>Marshall Attitude Wallpaper A 64403</t>
        </is>
      </c>
      <c r="D1087" s="23" t="inlineStr">
        <is>
          <t>Marshalls</t>
        </is>
      </c>
      <c r="E1087" s="43" t="n">
        <v>46125</v>
      </c>
      <c r="F1087" s="26" t="inlineStr">
        <is>
          <t>Sunil CR</t>
        </is>
      </c>
      <c r="G1087" s="26" t="inlineStr">
        <is>
          <t>Yes</t>
        </is>
      </c>
      <c r="H1087" s="26" t="inlineStr">
        <is>
          <t>No</t>
        </is>
      </c>
      <c r="I1087" s="26" t="inlineStr">
        <is>
          <t>Good finish</t>
        </is>
      </c>
      <c r="J1087" s="26" t="inlineStr">
        <is>
          <t>Yes</t>
        </is>
      </c>
      <c r="K1087" s="27" t="n"/>
      <c r="L1087" s="28" t="inlineStr">
        <is>
          <t>No</t>
        </is>
      </c>
      <c r="M1087" s="29">
        <f>IF(E1087="","",IF(H1087="Yes","❌ Disc",IF(G1087="No","⚠ Missing",IF(J1087="Yes","✓ OK","⚠ Check"))))</f>
        <v/>
      </c>
      <c r="N1087" s="43" t="n">
        <v>46193</v>
      </c>
      <c r="O1087" s="26" t="inlineStr">
        <is>
          <t>Sunil CR</t>
        </is>
      </c>
      <c r="P1087" s="26" t="inlineStr">
        <is>
          <t>Yes</t>
        </is>
      </c>
      <c r="Q1087" s="26" t="inlineStr">
        <is>
          <t>No</t>
        </is>
      </c>
      <c r="R1087" s="26" t="inlineStr">
        <is>
          <t>Good finish</t>
        </is>
      </c>
      <c r="S1087" s="26" t="inlineStr">
        <is>
          <t>Yes</t>
        </is>
      </c>
      <c r="T1087" s="27" t="n"/>
      <c r="U1087" s="28" t="inlineStr">
        <is>
          <t>No</t>
        </is>
      </c>
      <c r="V1087" s="29">
        <f>IF(N1087="","",IF(Q1087="Yes","❌ Disc",IF(P1087="No","⚠ Missing",IF(S1087="Yes","✓ OK","⚠ Check"))))</f>
        <v/>
      </c>
      <c r="W1087" s="65" t="n">
        <v>46248</v>
      </c>
      <c r="X1087" s="30" t="inlineStr">
        <is>
          <t>Sunil CR</t>
        </is>
      </c>
      <c r="Y1087" s="30" t="inlineStr">
        <is>
          <t>Yes</t>
        </is>
      </c>
      <c r="Z1087" s="30" t="n"/>
      <c r="AA1087" s="30" t="inlineStr">
        <is>
          <t>Good finish</t>
        </is>
      </c>
      <c r="AB1087" s="30" t="inlineStr">
        <is>
          <t>Yes</t>
        </is>
      </c>
      <c r="AC1087" s="27" t="n"/>
      <c r="AD1087" s="31" t="inlineStr">
        <is>
          <t>No</t>
        </is>
      </c>
      <c r="AE1087" s="32">
        <f>IF(W1087="","",IF(Z1087="Yes","❌ Disc",IF(Y1087="No","⚠ Missing",IF(AB1087="Yes","✓ OK","⚠ Check"))))</f>
        <v/>
      </c>
      <c r="AF1087" s="33" t="n"/>
      <c r="AG1087" s="33" t="n"/>
      <c r="AH1087" s="33" t="n"/>
      <c r="AI1087" s="33" t="n"/>
      <c r="AJ1087" s="33" t="n"/>
      <c r="AK1087" s="33" t="n"/>
      <c r="AL1087" s="27" t="n"/>
      <c r="AM1087" s="34" t="n"/>
      <c r="AN1087" s="35">
        <f>IF(AF1087="","",IF(AI1087="Yes","❌ Disc",IF(AH1087="No","⚠ Missing",IF(AK1087="Yes","✓ OK","⚠ Check"))))</f>
        <v/>
      </c>
      <c r="AO1087" s="36" t="n"/>
      <c r="AP1087" s="36" t="n"/>
      <c r="AQ1087" s="36" t="n"/>
      <c r="AR1087" s="36" t="n"/>
      <c r="AS1087" s="36" t="n"/>
      <c r="AT1087" s="36" t="n"/>
      <c r="AU1087" s="27" t="n"/>
      <c r="AV1087" s="37" t="n"/>
      <c r="AW1087" s="38">
        <f>IF(AO1087="","",IF(AR1087="Yes","❌ Disc",IF(AQ1087="No","⚠ Missing",IF(AT1087="Yes","✓ OK","⚠ Check"))))</f>
        <v/>
      </c>
    </row>
    <row r="1088" ht="18" customHeight="1" s="46">
      <c r="A1088" s="39" t="n">
        <v>1084</v>
      </c>
      <c r="B1088" s="40" t="inlineStr">
        <is>
          <t>BD-VRM-2024-2898</t>
        </is>
      </c>
      <c r="C1088" s="41" t="inlineStr">
        <is>
          <t>Marshall Attitude Wallpaper A 65502</t>
        </is>
      </c>
      <c r="D1088" s="39" t="inlineStr">
        <is>
          <t>Marshalls</t>
        </is>
      </c>
      <c r="E1088" s="43" t="n">
        <v>46125</v>
      </c>
      <c r="F1088" s="26" t="inlineStr">
        <is>
          <t>Sunil CR</t>
        </is>
      </c>
      <c r="G1088" s="26" t="inlineStr">
        <is>
          <t>Yes</t>
        </is>
      </c>
      <c r="H1088" s="26" t="inlineStr">
        <is>
          <t>No</t>
        </is>
      </c>
      <c r="I1088" s="26" t="inlineStr">
        <is>
          <t>Good finish</t>
        </is>
      </c>
      <c r="J1088" s="26" t="inlineStr">
        <is>
          <t>Yes</t>
        </is>
      </c>
      <c r="K1088" s="27" t="n"/>
      <c r="L1088" s="28" t="inlineStr">
        <is>
          <t>No</t>
        </is>
      </c>
      <c r="M1088" s="29">
        <f>IF(E1088="","",IF(H1088="Yes","❌ Disc",IF(G1088="No","⚠ Missing",IF(J1088="Yes","✓ OK","⚠ Check"))))</f>
        <v/>
      </c>
      <c r="N1088" s="43" t="n">
        <v>46193</v>
      </c>
      <c r="O1088" s="26" t="inlineStr">
        <is>
          <t>Sunil CR</t>
        </is>
      </c>
      <c r="P1088" s="26" t="inlineStr">
        <is>
          <t>Yes</t>
        </is>
      </c>
      <c r="Q1088" s="26" t="inlineStr">
        <is>
          <t>No</t>
        </is>
      </c>
      <c r="R1088" s="26" t="inlineStr">
        <is>
          <t>Good finish</t>
        </is>
      </c>
      <c r="S1088" s="26" t="inlineStr">
        <is>
          <t>Yes</t>
        </is>
      </c>
      <c r="T1088" s="27" t="n"/>
      <c r="U1088" s="28" t="inlineStr">
        <is>
          <t>No</t>
        </is>
      </c>
      <c r="V1088" s="29">
        <f>IF(N1088="","",IF(Q1088="Yes","❌ Disc",IF(P1088="No","⚠ Missing",IF(S1088="Yes","✓ OK","⚠ Check"))))</f>
        <v/>
      </c>
      <c r="W1088" s="65" t="n">
        <v>46248</v>
      </c>
      <c r="X1088" s="30" t="inlineStr">
        <is>
          <t>Sunil CR</t>
        </is>
      </c>
      <c r="Y1088" s="30" t="inlineStr">
        <is>
          <t>Yes</t>
        </is>
      </c>
      <c r="Z1088" s="30" t="n"/>
      <c r="AA1088" s="30" t="inlineStr">
        <is>
          <t>Good finish</t>
        </is>
      </c>
      <c r="AB1088" s="30" t="inlineStr">
        <is>
          <t>Yes</t>
        </is>
      </c>
      <c r="AC1088" s="27" t="n"/>
      <c r="AD1088" s="31" t="inlineStr">
        <is>
          <t>No</t>
        </is>
      </c>
      <c r="AE1088" s="32">
        <f>IF(W1088="","",IF(Z1088="Yes","❌ Disc",IF(Y1088="No","⚠ Missing",IF(AB1088="Yes","✓ OK","⚠ Check"))))</f>
        <v/>
      </c>
      <c r="AF1088" s="33" t="n"/>
      <c r="AG1088" s="33" t="n"/>
      <c r="AH1088" s="33" t="n"/>
      <c r="AI1088" s="33" t="n"/>
      <c r="AJ1088" s="33" t="n"/>
      <c r="AK1088" s="33" t="n"/>
      <c r="AL1088" s="27" t="n"/>
      <c r="AM1088" s="34" t="n"/>
      <c r="AN1088" s="35">
        <f>IF(AF1088="","",IF(AI1088="Yes","❌ Disc",IF(AH1088="No","⚠ Missing",IF(AK1088="Yes","✓ OK","⚠ Check"))))</f>
        <v/>
      </c>
      <c r="AO1088" s="36" t="n"/>
      <c r="AP1088" s="36" t="n"/>
      <c r="AQ1088" s="36" t="n"/>
      <c r="AR1088" s="36" t="n"/>
      <c r="AS1088" s="36" t="n"/>
      <c r="AT1088" s="36" t="n"/>
      <c r="AU1088" s="27" t="n"/>
      <c r="AV1088" s="37" t="n"/>
      <c r="AW1088" s="38">
        <f>IF(AO1088="","",IF(AR1088="Yes","❌ Disc",IF(AQ1088="No","⚠ Missing",IF(AT1088="Yes","✓ OK","⚠ Check"))))</f>
        <v/>
      </c>
    </row>
    <row r="1089" ht="18" customHeight="1" s="46">
      <c r="A1089" s="23" t="n">
        <v>1085</v>
      </c>
      <c r="B1089" s="24" t="inlineStr">
        <is>
          <t>BD-VRM-2024-2899</t>
        </is>
      </c>
      <c r="C1089" s="25" t="inlineStr">
        <is>
          <t>Marshall Attitude Wallpaper A 65504</t>
        </is>
      </c>
      <c r="D1089" s="23" t="inlineStr">
        <is>
          <t>Marshalls</t>
        </is>
      </c>
      <c r="E1089" s="43" t="n">
        <v>46125</v>
      </c>
      <c r="F1089" s="26" t="inlineStr">
        <is>
          <t>Sunil CR</t>
        </is>
      </c>
      <c r="G1089" s="26" t="inlineStr">
        <is>
          <t>Yes</t>
        </is>
      </c>
      <c r="H1089" s="26" t="inlineStr">
        <is>
          <t>No</t>
        </is>
      </c>
      <c r="I1089" s="26" t="inlineStr">
        <is>
          <t>Good finish</t>
        </is>
      </c>
      <c r="J1089" s="26" t="inlineStr">
        <is>
          <t>Yes</t>
        </is>
      </c>
      <c r="K1089" s="27" t="n"/>
      <c r="L1089" s="28" t="inlineStr">
        <is>
          <t>No</t>
        </is>
      </c>
      <c r="M1089" s="29">
        <f>IF(E1089="","",IF(H1089="Yes","❌ Disc",IF(G1089="No","⚠ Missing",IF(J1089="Yes","✓ OK","⚠ Check"))))</f>
        <v/>
      </c>
      <c r="N1089" s="43" t="n">
        <v>46193</v>
      </c>
      <c r="O1089" s="26" t="inlineStr">
        <is>
          <t>Sunil CR</t>
        </is>
      </c>
      <c r="P1089" s="26" t="inlineStr">
        <is>
          <t>Yes</t>
        </is>
      </c>
      <c r="Q1089" s="26" t="inlineStr">
        <is>
          <t>No</t>
        </is>
      </c>
      <c r="R1089" s="26" t="inlineStr">
        <is>
          <t>Good finish</t>
        </is>
      </c>
      <c r="S1089" s="26" t="inlineStr">
        <is>
          <t>Yes</t>
        </is>
      </c>
      <c r="T1089" s="27" t="n"/>
      <c r="U1089" s="28" t="inlineStr">
        <is>
          <t>No</t>
        </is>
      </c>
      <c r="V1089" s="29">
        <f>IF(N1089="","",IF(Q1089="Yes","❌ Disc",IF(P1089="No","⚠ Missing",IF(S1089="Yes","✓ OK","⚠ Check"))))</f>
        <v/>
      </c>
      <c r="W1089" s="65" t="n">
        <v>46248</v>
      </c>
      <c r="X1089" s="30" t="inlineStr">
        <is>
          <t>Sunil CR</t>
        </is>
      </c>
      <c r="Y1089" s="30" t="inlineStr">
        <is>
          <t>Yes</t>
        </is>
      </c>
      <c r="Z1089" s="30" t="n"/>
      <c r="AA1089" s="30" t="inlineStr">
        <is>
          <t>Good finish</t>
        </is>
      </c>
      <c r="AB1089" s="30" t="inlineStr">
        <is>
          <t>Yes</t>
        </is>
      </c>
      <c r="AC1089" s="27" t="n"/>
      <c r="AD1089" s="31" t="inlineStr">
        <is>
          <t>No</t>
        </is>
      </c>
      <c r="AE1089" s="32">
        <f>IF(W1089="","",IF(Z1089="Yes","❌ Disc",IF(Y1089="No","⚠ Missing",IF(AB1089="Yes","✓ OK","⚠ Check"))))</f>
        <v/>
      </c>
      <c r="AF1089" s="33" t="n"/>
      <c r="AG1089" s="33" t="n"/>
      <c r="AH1089" s="33" t="n"/>
      <c r="AI1089" s="33" t="n"/>
      <c r="AJ1089" s="33" t="n"/>
      <c r="AK1089" s="33" t="n"/>
      <c r="AL1089" s="27" t="n"/>
      <c r="AM1089" s="34" t="n"/>
      <c r="AN1089" s="35">
        <f>IF(AF1089="","",IF(AI1089="Yes","❌ Disc",IF(AH1089="No","⚠ Missing",IF(AK1089="Yes","✓ OK","⚠ Check"))))</f>
        <v/>
      </c>
      <c r="AO1089" s="36" t="n"/>
      <c r="AP1089" s="36" t="n"/>
      <c r="AQ1089" s="36" t="n"/>
      <c r="AR1089" s="36" t="n"/>
      <c r="AS1089" s="36" t="n"/>
      <c r="AT1089" s="36" t="n"/>
      <c r="AU1089" s="27" t="n"/>
      <c r="AV1089" s="37" t="n"/>
      <c r="AW1089" s="38">
        <f>IF(AO1089="","",IF(AR1089="Yes","❌ Disc",IF(AQ1089="No","⚠ Missing",IF(AT1089="Yes","✓ OK","⚠ Check"))))</f>
        <v/>
      </c>
    </row>
    <row r="1090" ht="18" customHeight="1" s="46">
      <c r="A1090" s="39" t="n">
        <v>1086</v>
      </c>
      <c r="B1090" s="40" t="inlineStr">
        <is>
          <t>BD-VRM-2024-2865</t>
        </is>
      </c>
      <c r="C1090" s="41" t="inlineStr">
        <is>
          <t>Marshall Attitude Wallpaper A 65601</t>
        </is>
      </c>
      <c r="D1090" s="39" t="inlineStr">
        <is>
          <t>Marshalls</t>
        </is>
      </c>
      <c r="E1090" s="43" t="n">
        <v>46125</v>
      </c>
      <c r="F1090" s="26" t="inlineStr">
        <is>
          <t>Sunil CR</t>
        </is>
      </c>
      <c r="G1090" s="26" t="inlineStr">
        <is>
          <t>Yes</t>
        </is>
      </c>
      <c r="H1090" s="26" t="inlineStr">
        <is>
          <t>No</t>
        </is>
      </c>
      <c r="I1090" s="26" t="inlineStr">
        <is>
          <t>Good finish</t>
        </is>
      </c>
      <c r="J1090" s="26" t="inlineStr">
        <is>
          <t>Yes</t>
        </is>
      </c>
      <c r="K1090" s="27" t="n"/>
      <c r="L1090" s="28" t="inlineStr">
        <is>
          <t>No</t>
        </is>
      </c>
      <c r="M1090" s="29">
        <f>IF(E1090="","",IF(H1090="Yes","❌ Disc",IF(G1090="No","⚠ Missing",IF(J1090="Yes","✓ OK","⚠ Check"))))</f>
        <v/>
      </c>
      <c r="N1090" s="43" t="n">
        <v>46193</v>
      </c>
      <c r="O1090" s="26" t="inlineStr">
        <is>
          <t>Sunil CR</t>
        </is>
      </c>
      <c r="P1090" s="26" t="inlineStr">
        <is>
          <t>Yes</t>
        </is>
      </c>
      <c r="Q1090" s="26" t="inlineStr">
        <is>
          <t>No</t>
        </is>
      </c>
      <c r="R1090" s="26" t="inlineStr">
        <is>
          <t>Good finish</t>
        </is>
      </c>
      <c r="S1090" s="26" t="inlineStr">
        <is>
          <t>Yes</t>
        </is>
      </c>
      <c r="T1090" s="27" t="n"/>
      <c r="U1090" s="28" t="inlineStr">
        <is>
          <t>No</t>
        </is>
      </c>
      <c r="V1090" s="29">
        <f>IF(N1090="","",IF(Q1090="Yes","❌ Disc",IF(P1090="No","⚠ Missing",IF(S1090="Yes","✓ OK","⚠ Check"))))</f>
        <v/>
      </c>
      <c r="W1090" s="65" t="n">
        <v>46248</v>
      </c>
      <c r="X1090" s="30" t="inlineStr">
        <is>
          <t>Sunil CR</t>
        </is>
      </c>
      <c r="Y1090" s="30" t="inlineStr">
        <is>
          <t>Yes</t>
        </is>
      </c>
      <c r="Z1090" s="30" t="n"/>
      <c r="AA1090" s="30" t="inlineStr">
        <is>
          <t>Good finish</t>
        </is>
      </c>
      <c r="AB1090" s="30" t="inlineStr">
        <is>
          <t>Yes</t>
        </is>
      </c>
      <c r="AC1090" s="27" t="n"/>
      <c r="AD1090" s="31" t="inlineStr">
        <is>
          <t>No</t>
        </is>
      </c>
      <c r="AE1090" s="32">
        <f>IF(W1090="","",IF(Z1090="Yes","❌ Disc",IF(Y1090="No","⚠ Missing",IF(AB1090="Yes","✓ OK","⚠ Check"))))</f>
        <v/>
      </c>
      <c r="AF1090" s="33" t="n"/>
      <c r="AG1090" s="33" t="n"/>
      <c r="AH1090" s="33" t="n"/>
      <c r="AI1090" s="33" t="n"/>
      <c r="AJ1090" s="33" t="n"/>
      <c r="AK1090" s="33" t="n"/>
      <c r="AL1090" s="27" t="n"/>
      <c r="AM1090" s="34" t="n"/>
      <c r="AN1090" s="35">
        <f>IF(AF1090="","",IF(AI1090="Yes","❌ Disc",IF(AH1090="No","⚠ Missing",IF(AK1090="Yes","✓ OK","⚠ Check"))))</f>
        <v/>
      </c>
      <c r="AO1090" s="36" t="n"/>
      <c r="AP1090" s="36" t="n"/>
      <c r="AQ1090" s="36" t="n"/>
      <c r="AR1090" s="36" t="n"/>
      <c r="AS1090" s="36" t="n"/>
      <c r="AT1090" s="36" t="n"/>
      <c r="AU1090" s="27" t="n"/>
      <c r="AV1090" s="37" t="n"/>
      <c r="AW1090" s="38">
        <f>IF(AO1090="","",IF(AR1090="Yes","❌ Disc",IF(AQ1090="No","⚠ Missing",IF(AT1090="Yes","✓ OK","⚠ Check"))))</f>
        <v/>
      </c>
    </row>
    <row r="1091" ht="18" customHeight="1" s="46">
      <c r="A1091" s="23" t="n">
        <v>1087</v>
      </c>
      <c r="B1091" s="24" t="inlineStr">
        <is>
          <t>BD-VRM-2024-2895</t>
        </is>
      </c>
      <c r="C1091" s="25" t="inlineStr">
        <is>
          <t>Marshall Attitude Wallpaper A 65602</t>
        </is>
      </c>
      <c r="D1091" s="23" t="inlineStr">
        <is>
          <t>Marshalls</t>
        </is>
      </c>
      <c r="E1091" s="43" t="n">
        <v>46125</v>
      </c>
      <c r="F1091" s="26" t="inlineStr">
        <is>
          <t>Sunil CR</t>
        </is>
      </c>
      <c r="G1091" s="26" t="inlineStr">
        <is>
          <t>Yes</t>
        </is>
      </c>
      <c r="H1091" s="26" t="inlineStr">
        <is>
          <t>No</t>
        </is>
      </c>
      <c r="I1091" s="26" t="inlineStr">
        <is>
          <t>Good finish</t>
        </is>
      </c>
      <c r="J1091" s="26" t="inlineStr">
        <is>
          <t>Yes</t>
        </is>
      </c>
      <c r="K1091" s="27" t="n"/>
      <c r="L1091" s="28" t="inlineStr">
        <is>
          <t>No</t>
        </is>
      </c>
      <c r="M1091" s="29">
        <f>IF(E1091="","",IF(H1091="Yes","❌ Disc",IF(G1091="No","⚠ Missing",IF(J1091="Yes","✓ OK","⚠ Check"))))</f>
        <v/>
      </c>
      <c r="N1091" s="43" t="n">
        <v>46193</v>
      </c>
      <c r="O1091" s="26" t="inlineStr">
        <is>
          <t>Sunil CR</t>
        </is>
      </c>
      <c r="P1091" s="26" t="inlineStr">
        <is>
          <t>Yes</t>
        </is>
      </c>
      <c r="Q1091" s="26" t="inlineStr">
        <is>
          <t>No</t>
        </is>
      </c>
      <c r="R1091" s="26" t="inlineStr">
        <is>
          <t>Good finish</t>
        </is>
      </c>
      <c r="S1091" s="26" t="inlineStr">
        <is>
          <t>Yes</t>
        </is>
      </c>
      <c r="T1091" s="27" t="n"/>
      <c r="U1091" s="28" t="inlineStr">
        <is>
          <t>No</t>
        </is>
      </c>
      <c r="V1091" s="29">
        <f>IF(N1091="","",IF(Q1091="Yes","❌ Disc",IF(P1091="No","⚠ Missing",IF(S1091="Yes","✓ OK","⚠ Check"))))</f>
        <v/>
      </c>
      <c r="W1091" s="65" t="n">
        <v>46248</v>
      </c>
      <c r="X1091" s="30" t="inlineStr">
        <is>
          <t>Sunil CR</t>
        </is>
      </c>
      <c r="Y1091" s="30" t="inlineStr">
        <is>
          <t>Yes</t>
        </is>
      </c>
      <c r="Z1091" s="30" t="n"/>
      <c r="AA1091" s="30" t="inlineStr">
        <is>
          <t>Good finish</t>
        </is>
      </c>
      <c r="AB1091" s="30" t="inlineStr">
        <is>
          <t>Yes</t>
        </is>
      </c>
      <c r="AC1091" s="27" t="n"/>
      <c r="AD1091" s="31" t="inlineStr">
        <is>
          <t>No</t>
        </is>
      </c>
      <c r="AE1091" s="32">
        <f>IF(W1091="","",IF(Z1091="Yes","❌ Disc",IF(Y1091="No","⚠ Missing",IF(AB1091="Yes","✓ OK","⚠ Check"))))</f>
        <v/>
      </c>
      <c r="AF1091" s="33" t="n"/>
      <c r="AG1091" s="33" t="n"/>
      <c r="AH1091" s="33" t="n"/>
      <c r="AI1091" s="33" t="n"/>
      <c r="AJ1091" s="33" t="n"/>
      <c r="AK1091" s="33" t="n"/>
      <c r="AL1091" s="27" t="n"/>
      <c r="AM1091" s="34" t="n"/>
      <c r="AN1091" s="35">
        <f>IF(AF1091="","",IF(AI1091="Yes","❌ Disc",IF(AH1091="No","⚠ Missing",IF(AK1091="Yes","✓ OK","⚠ Check"))))</f>
        <v/>
      </c>
      <c r="AO1091" s="36" t="n"/>
      <c r="AP1091" s="36" t="n"/>
      <c r="AQ1091" s="36" t="n"/>
      <c r="AR1091" s="36" t="n"/>
      <c r="AS1091" s="36" t="n"/>
      <c r="AT1091" s="36" t="n"/>
      <c r="AU1091" s="27" t="n"/>
      <c r="AV1091" s="37" t="n"/>
      <c r="AW1091" s="38">
        <f>IF(AO1091="","",IF(AR1091="Yes","❌ Disc",IF(AQ1091="No","⚠ Missing",IF(AT1091="Yes","✓ OK","⚠ Check"))))</f>
        <v/>
      </c>
    </row>
    <row r="1092" ht="18" customHeight="1" s="46">
      <c r="A1092" s="39" t="n">
        <v>1088</v>
      </c>
      <c r="B1092" s="40" t="inlineStr">
        <is>
          <t>BD-VRM-2024-2892</t>
        </is>
      </c>
      <c r="C1092" s="41" t="inlineStr">
        <is>
          <t>Marshall Attitude Wallpaper A 65603</t>
        </is>
      </c>
      <c r="D1092" s="39" t="inlineStr">
        <is>
          <t>Marshalls</t>
        </is>
      </c>
      <c r="E1092" s="43" t="n">
        <v>46125</v>
      </c>
      <c r="F1092" s="26" t="inlineStr">
        <is>
          <t>Sunil CR</t>
        </is>
      </c>
      <c r="G1092" s="26" t="inlineStr">
        <is>
          <t>Yes</t>
        </is>
      </c>
      <c r="H1092" s="26" t="inlineStr">
        <is>
          <t>No</t>
        </is>
      </c>
      <c r="I1092" s="26" t="inlineStr">
        <is>
          <t>Good finish</t>
        </is>
      </c>
      <c r="J1092" s="26" t="inlineStr">
        <is>
          <t>Yes</t>
        </is>
      </c>
      <c r="K1092" s="27" t="n"/>
      <c r="L1092" s="28" t="inlineStr">
        <is>
          <t>No</t>
        </is>
      </c>
      <c r="M1092" s="29">
        <f>IF(E1092="","",IF(H1092="Yes","❌ Disc",IF(G1092="No","⚠ Missing",IF(J1092="Yes","✓ OK","⚠ Check"))))</f>
        <v/>
      </c>
      <c r="N1092" s="43" t="n">
        <v>46193</v>
      </c>
      <c r="O1092" s="26" t="inlineStr">
        <is>
          <t>Sunil CR</t>
        </is>
      </c>
      <c r="P1092" s="26" t="inlineStr">
        <is>
          <t>Yes</t>
        </is>
      </c>
      <c r="Q1092" s="26" t="inlineStr">
        <is>
          <t>No</t>
        </is>
      </c>
      <c r="R1092" s="26" t="inlineStr">
        <is>
          <t>Good finish</t>
        </is>
      </c>
      <c r="S1092" s="26" t="inlineStr">
        <is>
          <t>Yes</t>
        </is>
      </c>
      <c r="T1092" s="27" t="n"/>
      <c r="U1092" s="28" t="inlineStr">
        <is>
          <t>No</t>
        </is>
      </c>
      <c r="V1092" s="29">
        <f>IF(N1092="","",IF(Q1092="Yes","❌ Disc",IF(P1092="No","⚠ Missing",IF(S1092="Yes","✓ OK","⚠ Check"))))</f>
        <v/>
      </c>
      <c r="W1092" s="65" t="n">
        <v>46248</v>
      </c>
      <c r="X1092" s="30" t="inlineStr">
        <is>
          <t>Sunil CR</t>
        </is>
      </c>
      <c r="Y1092" s="30" t="inlineStr">
        <is>
          <t>Yes</t>
        </is>
      </c>
      <c r="Z1092" s="30" t="n"/>
      <c r="AA1092" s="30" t="inlineStr">
        <is>
          <t>Good finish</t>
        </is>
      </c>
      <c r="AB1092" s="30" t="inlineStr">
        <is>
          <t>Yes</t>
        </is>
      </c>
      <c r="AC1092" s="27" t="n"/>
      <c r="AD1092" s="31" t="inlineStr">
        <is>
          <t>No</t>
        </is>
      </c>
      <c r="AE1092" s="32">
        <f>IF(W1092="","",IF(Z1092="Yes","❌ Disc",IF(Y1092="No","⚠ Missing",IF(AB1092="Yes","✓ OK","⚠ Check"))))</f>
        <v/>
      </c>
      <c r="AF1092" s="33" t="n"/>
      <c r="AG1092" s="33" t="n"/>
      <c r="AH1092" s="33" t="n"/>
      <c r="AI1092" s="33" t="n"/>
      <c r="AJ1092" s="33" t="n"/>
      <c r="AK1092" s="33" t="n"/>
      <c r="AL1092" s="27" t="n"/>
      <c r="AM1092" s="34" t="n"/>
      <c r="AN1092" s="35">
        <f>IF(AF1092="","",IF(AI1092="Yes","❌ Disc",IF(AH1092="No","⚠ Missing",IF(AK1092="Yes","✓ OK","⚠ Check"))))</f>
        <v/>
      </c>
      <c r="AO1092" s="36" t="n"/>
      <c r="AP1092" s="36" t="n"/>
      <c r="AQ1092" s="36" t="n"/>
      <c r="AR1092" s="36" t="n"/>
      <c r="AS1092" s="36" t="n"/>
      <c r="AT1092" s="36" t="n"/>
      <c r="AU1092" s="27" t="n"/>
      <c r="AV1092" s="37" t="n"/>
      <c r="AW1092" s="38">
        <f>IF(AO1092="","",IF(AR1092="Yes","❌ Disc",IF(AQ1092="No","⚠ Missing",IF(AT1092="Yes","✓ OK","⚠ Check"))))</f>
        <v/>
      </c>
    </row>
    <row r="1093" ht="18" customHeight="1" s="46">
      <c r="A1093" s="23" t="n">
        <v>1089</v>
      </c>
      <c r="B1093" s="24" t="inlineStr">
        <is>
          <t>BD-VRM-2024-2868</t>
        </is>
      </c>
      <c r="C1093" s="25" t="inlineStr">
        <is>
          <t>Marshall Attitude Wallpaper A 65604</t>
        </is>
      </c>
      <c r="D1093" s="23" t="inlineStr">
        <is>
          <t>Marshalls</t>
        </is>
      </c>
      <c r="E1093" s="43" t="n">
        <v>46125</v>
      </c>
      <c r="F1093" s="26" t="inlineStr">
        <is>
          <t>Sunil CR</t>
        </is>
      </c>
      <c r="G1093" s="26" t="inlineStr">
        <is>
          <t>Yes</t>
        </is>
      </c>
      <c r="H1093" s="26" t="inlineStr">
        <is>
          <t>No</t>
        </is>
      </c>
      <c r="I1093" s="26" t="inlineStr">
        <is>
          <t>Good finish</t>
        </is>
      </c>
      <c r="J1093" s="26" t="inlineStr">
        <is>
          <t>Yes</t>
        </is>
      </c>
      <c r="K1093" s="27" t="n"/>
      <c r="L1093" s="28" t="inlineStr">
        <is>
          <t>No</t>
        </is>
      </c>
      <c r="M1093" s="29">
        <f>IF(E1093="","",IF(H1093="Yes","❌ Disc",IF(G1093="No","⚠ Missing",IF(J1093="Yes","✓ OK","⚠ Check"))))</f>
        <v/>
      </c>
      <c r="N1093" s="43" t="n">
        <v>46193</v>
      </c>
      <c r="O1093" s="26" t="inlineStr">
        <is>
          <t>Sunil CR</t>
        </is>
      </c>
      <c r="P1093" s="26" t="inlineStr">
        <is>
          <t>Yes</t>
        </is>
      </c>
      <c r="Q1093" s="26" t="inlineStr">
        <is>
          <t>No</t>
        </is>
      </c>
      <c r="R1093" s="26" t="inlineStr">
        <is>
          <t>Good finish</t>
        </is>
      </c>
      <c r="S1093" s="26" t="inlineStr">
        <is>
          <t>Yes</t>
        </is>
      </c>
      <c r="T1093" s="27" t="n"/>
      <c r="U1093" s="28" t="inlineStr">
        <is>
          <t>No</t>
        </is>
      </c>
      <c r="V1093" s="29">
        <f>IF(N1093="","",IF(Q1093="Yes","❌ Disc",IF(P1093="No","⚠ Missing",IF(S1093="Yes","✓ OK","⚠ Check"))))</f>
        <v/>
      </c>
      <c r="W1093" s="65" t="n">
        <v>46248</v>
      </c>
      <c r="X1093" s="30" t="inlineStr">
        <is>
          <t>Sunil CR</t>
        </is>
      </c>
      <c r="Y1093" s="30" t="inlineStr">
        <is>
          <t>Yes</t>
        </is>
      </c>
      <c r="Z1093" s="30" t="n"/>
      <c r="AA1093" s="30" t="inlineStr">
        <is>
          <t>Good finish</t>
        </is>
      </c>
      <c r="AB1093" s="30" t="inlineStr">
        <is>
          <t>Yes</t>
        </is>
      </c>
      <c r="AC1093" s="27" t="n"/>
      <c r="AD1093" s="31" t="inlineStr">
        <is>
          <t>No</t>
        </is>
      </c>
      <c r="AE1093" s="32">
        <f>IF(W1093="","",IF(Z1093="Yes","❌ Disc",IF(Y1093="No","⚠ Missing",IF(AB1093="Yes","✓ OK","⚠ Check"))))</f>
        <v/>
      </c>
      <c r="AF1093" s="33" t="n"/>
      <c r="AG1093" s="33" t="n"/>
      <c r="AH1093" s="33" t="n"/>
      <c r="AI1093" s="33" t="n"/>
      <c r="AJ1093" s="33" t="n"/>
      <c r="AK1093" s="33" t="n"/>
      <c r="AL1093" s="27" t="n"/>
      <c r="AM1093" s="34" t="n"/>
      <c r="AN1093" s="35">
        <f>IF(AF1093="","",IF(AI1093="Yes","❌ Disc",IF(AH1093="No","⚠ Missing",IF(AK1093="Yes","✓ OK","⚠ Check"))))</f>
        <v/>
      </c>
      <c r="AO1093" s="36" t="n"/>
      <c r="AP1093" s="36" t="n"/>
      <c r="AQ1093" s="36" t="n"/>
      <c r="AR1093" s="36" t="n"/>
      <c r="AS1093" s="36" t="n"/>
      <c r="AT1093" s="36" t="n"/>
      <c r="AU1093" s="27" t="n"/>
      <c r="AV1093" s="37" t="n"/>
      <c r="AW1093" s="38">
        <f>IF(AO1093="","",IF(AR1093="Yes","❌ Disc",IF(AQ1093="No","⚠ Missing",IF(AT1093="Yes","✓ OK","⚠ Check"))))</f>
        <v/>
      </c>
    </row>
    <row r="1094" ht="18" customHeight="1" s="46">
      <c r="A1094" s="39" t="n">
        <v>1090</v>
      </c>
      <c r="B1094" s="40" t="inlineStr">
        <is>
          <t>BD-VRM-2024-2878</t>
        </is>
      </c>
      <c r="C1094" s="41" t="inlineStr">
        <is>
          <t>Marshall Attitude Wallpaper A 65605</t>
        </is>
      </c>
      <c r="D1094" s="39" t="inlineStr">
        <is>
          <t>Marshalls</t>
        </is>
      </c>
      <c r="E1094" s="43" t="n">
        <v>46125</v>
      </c>
      <c r="F1094" s="26" t="inlineStr">
        <is>
          <t>Sunil CR</t>
        </is>
      </c>
      <c r="G1094" s="26" t="inlineStr">
        <is>
          <t>Yes</t>
        </is>
      </c>
      <c r="H1094" s="26" t="inlineStr">
        <is>
          <t>No</t>
        </is>
      </c>
      <c r="I1094" s="26" t="inlineStr">
        <is>
          <t>Good finish</t>
        </is>
      </c>
      <c r="J1094" s="26" t="inlineStr">
        <is>
          <t>Yes</t>
        </is>
      </c>
      <c r="K1094" s="27" t="n"/>
      <c r="L1094" s="28" t="inlineStr">
        <is>
          <t>No</t>
        </is>
      </c>
      <c r="M1094" s="29">
        <f>IF(E1094="","",IF(H1094="Yes","❌ Disc",IF(G1094="No","⚠ Missing",IF(J1094="Yes","✓ OK","⚠ Check"))))</f>
        <v/>
      </c>
      <c r="N1094" s="43" t="n">
        <v>46193</v>
      </c>
      <c r="O1094" s="26" t="inlineStr">
        <is>
          <t>Sunil CR</t>
        </is>
      </c>
      <c r="P1094" s="26" t="inlineStr">
        <is>
          <t>Yes</t>
        </is>
      </c>
      <c r="Q1094" s="26" t="inlineStr">
        <is>
          <t>No</t>
        </is>
      </c>
      <c r="R1094" s="26" t="inlineStr">
        <is>
          <t>Good finish</t>
        </is>
      </c>
      <c r="S1094" s="26" t="inlineStr">
        <is>
          <t>Yes</t>
        </is>
      </c>
      <c r="T1094" s="27" t="n"/>
      <c r="U1094" s="28" t="inlineStr">
        <is>
          <t>No</t>
        </is>
      </c>
      <c r="V1094" s="29">
        <f>IF(N1094="","",IF(Q1094="Yes","❌ Disc",IF(P1094="No","⚠ Missing",IF(S1094="Yes","✓ OK","⚠ Check"))))</f>
        <v/>
      </c>
      <c r="W1094" s="65" t="n">
        <v>46248</v>
      </c>
      <c r="X1094" s="30" t="inlineStr">
        <is>
          <t>Sunil CR</t>
        </is>
      </c>
      <c r="Y1094" s="30" t="inlineStr">
        <is>
          <t>Yes</t>
        </is>
      </c>
      <c r="Z1094" s="30" t="n"/>
      <c r="AA1094" s="30" t="inlineStr">
        <is>
          <t>Good finish</t>
        </is>
      </c>
      <c r="AB1094" s="30" t="inlineStr">
        <is>
          <t>Yes</t>
        </is>
      </c>
      <c r="AC1094" s="27" t="n"/>
      <c r="AD1094" s="31" t="inlineStr">
        <is>
          <t>No</t>
        </is>
      </c>
      <c r="AE1094" s="32">
        <f>IF(W1094="","",IF(Z1094="Yes","❌ Disc",IF(Y1094="No","⚠ Missing",IF(AB1094="Yes","✓ OK","⚠ Check"))))</f>
        <v/>
      </c>
      <c r="AF1094" s="33" t="n"/>
      <c r="AG1094" s="33" t="n"/>
      <c r="AH1094" s="33" t="n"/>
      <c r="AI1094" s="33" t="n"/>
      <c r="AJ1094" s="33" t="n"/>
      <c r="AK1094" s="33" t="n"/>
      <c r="AL1094" s="27" t="n"/>
      <c r="AM1094" s="34" t="n"/>
      <c r="AN1094" s="35">
        <f>IF(AF1094="","",IF(AI1094="Yes","❌ Disc",IF(AH1094="No","⚠ Missing",IF(AK1094="Yes","✓ OK","⚠ Check"))))</f>
        <v/>
      </c>
      <c r="AO1094" s="36" t="n"/>
      <c r="AP1094" s="36" t="n"/>
      <c r="AQ1094" s="36" t="n"/>
      <c r="AR1094" s="36" t="n"/>
      <c r="AS1094" s="36" t="n"/>
      <c r="AT1094" s="36" t="n"/>
      <c r="AU1094" s="27" t="n"/>
      <c r="AV1094" s="37" t="n"/>
      <c r="AW1094" s="38">
        <f>IF(AO1094="","",IF(AR1094="Yes","❌ Disc",IF(AQ1094="No","⚠ Missing",IF(AT1094="Yes","✓ OK","⚠ Check"))))</f>
        <v/>
      </c>
    </row>
    <row r="1095" ht="18" customHeight="1" s="46">
      <c r="A1095" s="23" t="n">
        <v>1091</v>
      </c>
      <c r="B1095" s="24" t="inlineStr">
        <is>
          <t>BD-VRM-2024-2867</t>
        </is>
      </c>
      <c r="C1095" s="25" t="inlineStr">
        <is>
          <t>Marshall Attitude Wallpaper A 65606</t>
        </is>
      </c>
      <c r="D1095" s="23" t="inlineStr">
        <is>
          <t>Marshalls</t>
        </is>
      </c>
      <c r="E1095" s="43" t="n">
        <v>46125</v>
      </c>
      <c r="F1095" s="26" t="inlineStr">
        <is>
          <t>Sunil CR</t>
        </is>
      </c>
      <c r="G1095" s="26" t="inlineStr">
        <is>
          <t>Yes</t>
        </is>
      </c>
      <c r="H1095" s="26" t="inlineStr">
        <is>
          <t>No</t>
        </is>
      </c>
      <c r="I1095" s="26" t="inlineStr">
        <is>
          <t>Good finish</t>
        </is>
      </c>
      <c r="J1095" s="26" t="inlineStr">
        <is>
          <t>Yes</t>
        </is>
      </c>
      <c r="K1095" s="27" t="n"/>
      <c r="L1095" s="28" t="inlineStr">
        <is>
          <t>No</t>
        </is>
      </c>
      <c r="M1095" s="29">
        <f>IF(E1095="","",IF(H1095="Yes","❌ Disc",IF(G1095="No","⚠ Missing",IF(J1095="Yes","✓ OK","⚠ Check"))))</f>
        <v/>
      </c>
      <c r="N1095" s="43" t="n">
        <v>46193</v>
      </c>
      <c r="O1095" s="26" t="inlineStr">
        <is>
          <t>Sunil CR</t>
        </is>
      </c>
      <c r="P1095" s="26" t="inlineStr">
        <is>
          <t>Yes</t>
        </is>
      </c>
      <c r="Q1095" s="26" t="inlineStr">
        <is>
          <t>No</t>
        </is>
      </c>
      <c r="R1095" s="26" t="inlineStr">
        <is>
          <t>Good finish</t>
        </is>
      </c>
      <c r="S1095" s="26" t="inlineStr">
        <is>
          <t>Yes</t>
        </is>
      </c>
      <c r="T1095" s="27" t="n"/>
      <c r="U1095" s="28" t="inlineStr">
        <is>
          <t>No</t>
        </is>
      </c>
      <c r="V1095" s="29">
        <f>IF(N1095="","",IF(Q1095="Yes","❌ Disc",IF(P1095="No","⚠ Missing",IF(S1095="Yes","✓ OK","⚠ Check"))))</f>
        <v/>
      </c>
      <c r="W1095" s="65" t="n">
        <v>46248</v>
      </c>
      <c r="X1095" s="30" t="inlineStr">
        <is>
          <t>Sunil CR</t>
        </is>
      </c>
      <c r="Y1095" s="30" t="inlineStr">
        <is>
          <t>Yes</t>
        </is>
      </c>
      <c r="Z1095" s="30" t="n"/>
      <c r="AA1095" s="30" t="inlineStr">
        <is>
          <t>Good finish</t>
        </is>
      </c>
      <c r="AB1095" s="30" t="inlineStr">
        <is>
          <t>Yes</t>
        </is>
      </c>
      <c r="AC1095" s="27" t="n"/>
      <c r="AD1095" s="31" t="inlineStr">
        <is>
          <t>No</t>
        </is>
      </c>
      <c r="AE1095" s="32">
        <f>IF(W1095="","",IF(Z1095="Yes","❌ Disc",IF(Y1095="No","⚠ Missing",IF(AB1095="Yes","✓ OK","⚠ Check"))))</f>
        <v/>
      </c>
      <c r="AF1095" s="33" t="n"/>
      <c r="AG1095" s="33" t="n"/>
      <c r="AH1095" s="33" t="n"/>
      <c r="AI1095" s="33" t="n"/>
      <c r="AJ1095" s="33" t="n"/>
      <c r="AK1095" s="33" t="n"/>
      <c r="AL1095" s="27" t="n"/>
      <c r="AM1095" s="34" t="n"/>
      <c r="AN1095" s="35">
        <f>IF(AF1095="","",IF(AI1095="Yes","❌ Disc",IF(AH1095="No","⚠ Missing",IF(AK1095="Yes","✓ OK","⚠ Check"))))</f>
        <v/>
      </c>
      <c r="AO1095" s="36" t="n"/>
      <c r="AP1095" s="36" t="n"/>
      <c r="AQ1095" s="36" t="n"/>
      <c r="AR1095" s="36" t="n"/>
      <c r="AS1095" s="36" t="n"/>
      <c r="AT1095" s="36" t="n"/>
      <c r="AU1095" s="27" t="n"/>
      <c r="AV1095" s="37" t="n"/>
      <c r="AW1095" s="38">
        <f>IF(AO1095="","",IF(AR1095="Yes","❌ Disc",IF(AQ1095="No","⚠ Missing",IF(AT1095="Yes","✓ OK","⚠ Check"))))</f>
        <v/>
      </c>
    </row>
    <row r="1096" ht="18" customHeight="1" s="46">
      <c r="A1096" s="39" t="n">
        <v>1092</v>
      </c>
      <c r="B1096" s="40" t="inlineStr">
        <is>
          <t>BD-VRM-2024-2894</t>
        </is>
      </c>
      <c r="C1096" s="41" t="inlineStr">
        <is>
          <t>Marshall Attitude Wallpaper A 65701</t>
        </is>
      </c>
      <c r="D1096" s="39" t="inlineStr">
        <is>
          <t>Marshalls</t>
        </is>
      </c>
      <c r="E1096" s="43" t="n">
        <v>46125</v>
      </c>
      <c r="F1096" s="26" t="inlineStr">
        <is>
          <t>Sunil CR</t>
        </is>
      </c>
      <c r="G1096" s="26" t="inlineStr">
        <is>
          <t>Yes</t>
        </is>
      </c>
      <c r="H1096" s="26" t="inlineStr">
        <is>
          <t>No</t>
        </is>
      </c>
      <c r="I1096" s="26" t="inlineStr">
        <is>
          <t>Good finish</t>
        </is>
      </c>
      <c r="J1096" s="26" t="inlineStr">
        <is>
          <t>Yes</t>
        </is>
      </c>
      <c r="K1096" s="27" t="n"/>
      <c r="L1096" s="28" t="inlineStr">
        <is>
          <t>No</t>
        </is>
      </c>
      <c r="M1096" s="29">
        <f>IF(E1096="","",IF(H1096="Yes","❌ Disc",IF(G1096="No","⚠ Missing",IF(J1096="Yes","✓ OK","⚠ Check"))))</f>
        <v/>
      </c>
      <c r="N1096" s="43" t="n">
        <v>46193</v>
      </c>
      <c r="O1096" s="26" t="inlineStr">
        <is>
          <t>Sunil CR</t>
        </is>
      </c>
      <c r="P1096" s="26" t="inlineStr">
        <is>
          <t>Yes</t>
        </is>
      </c>
      <c r="Q1096" s="26" t="inlineStr">
        <is>
          <t>No</t>
        </is>
      </c>
      <c r="R1096" s="26" t="inlineStr">
        <is>
          <t>Good finish</t>
        </is>
      </c>
      <c r="S1096" s="26" t="inlineStr">
        <is>
          <t>Yes</t>
        </is>
      </c>
      <c r="T1096" s="27" t="n"/>
      <c r="U1096" s="28" t="inlineStr">
        <is>
          <t>No</t>
        </is>
      </c>
      <c r="V1096" s="29">
        <f>IF(N1096="","",IF(Q1096="Yes","❌ Disc",IF(P1096="No","⚠ Missing",IF(S1096="Yes","✓ OK","⚠ Check"))))</f>
        <v/>
      </c>
      <c r="W1096" s="65" t="n">
        <v>46248</v>
      </c>
      <c r="X1096" s="30" t="inlineStr">
        <is>
          <t>Sunil CR</t>
        </is>
      </c>
      <c r="Y1096" s="30" t="inlineStr">
        <is>
          <t>Yes</t>
        </is>
      </c>
      <c r="Z1096" s="30" t="n"/>
      <c r="AA1096" s="30" t="inlineStr">
        <is>
          <t>Good finish</t>
        </is>
      </c>
      <c r="AB1096" s="30" t="inlineStr">
        <is>
          <t>Yes</t>
        </is>
      </c>
      <c r="AC1096" s="27" t="n"/>
      <c r="AD1096" s="31" t="inlineStr">
        <is>
          <t>No</t>
        </is>
      </c>
      <c r="AE1096" s="32">
        <f>IF(W1096="","",IF(Z1096="Yes","❌ Disc",IF(Y1096="No","⚠ Missing",IF(AB1096="Yes","✓ OK","⚠ Check"))))</f>
        <v/>
      </c>
      <c r="AF1096" s="33" t="n"/>
      <c r="AG1096" s="33" t="n"/>
      <c r="AH1096" s="33" t="n"/>
      <c r="AI1096" s="33" t="n"/>
      <c r="AJ1096" s="33" t="n"/>
      <c r="AK1096" s="33" t="n"/>
      <c r="AL1096" s="27" t="n"/>
      <c r="AM1096" s="34" t="n"/>
      <c r="AN1096" s="35">
        <f>IF(AF1096="","",IF(AI1096="Yes","❌ Disc",IF(AH1096="No","⚠ Missing",IF(AK1096="Yes","✓ OK","⚠ Check"))))</f>
        <v/>
      </c>
      <c r="AO1096" s="36" t="n"/>
      <c r="AP1096" s="36" t="n"/>
      <c r="AQ1096" s="36" t="n"/>
      <c r="AR1096" s="36" t="n"/>
      <c r="AS1096" s="36" t="n"/>
      <c r="AT1096" s="36" t="n"/>
      <c r="AU1096" s="27" t="n"/>
      <c r="AV1096" s="37" t="n"/>
      <c r="AW1096" s="38">
        <f>IF(AO1096="","",IF(AR1096="Yes","❌ Disc",IF(AQ1096="No","⚠ Missing",IF(AT1096="Yes","✓ OK","⚠ Check"))))</f>
        <v/>
      </c>
    </row>
    <row r="1097" ht="18" customHeight="1" s="46">
      <c r="A1097" s="23" t="n">
        <v>1093</v>
      </c>
      <c r="B1097" s="24" t="inlineStr">
        <is>
          <t>BD-VRM-2024-2891</t>
        </is>
      </c>
      <c r="C1097" s="25" t="inlineStr">
        <is>
          <t>Marshall Attitude Wallpaper A 65703</t>
        </is>
      </c>
      <c r="D1097" s="23" t="inlineStr">
        <is>
          <t>Marshalls</t>
        </is>
      </c>
      <c r="E1097" s="43" t="n">
        <v>46125</v>
      </c>
      <c r="F1097" s="26" t="inlineStr">
        <is>
          <t>Sunil CR</t>
        </is>
      </c>
      <c r="G1097" s="26" t="inlineStr">
        <is>
          <t>Yes</t>
        </is>
      </c>
      <c r="H1097" s="26" t="inlineStr">
        <is>
          <t>No</t>
        </is>
      </c>
      <c r="I1097" s="26" t="inlineStr">
        <is>
          <t>Good finish</t>
        </is>
      </c>
      <c r="J1097" s="26" t="inlineStr">
        <is>
          <t>Yes</t>
        </is>
      </c>
      <c r="K1097" s="27" t="n"/>
      <c r="L1097" s="28" t="inlineStr">
        <is>
          <t>No</t>
        </is>
      </c>
      <c r="M1097" s="29">
        <f>IF(E1097="","",IF(H1097="Yes","❌ Disc",IF(G1097="No","⚠ Missing",IF(J1097="Yes","✓ OK","⚠ Check"))))</f>
        <v/>
      </c>
      <c r="N1097" s="43" t="n">
        <v>46193</v>
      </c>
      <c r="O1097" s="26" t="inlineStr">
        <is>
          <t>Sunil CR</t>
        </is>
      </c>
      <c r="P1097" s="26" t="inlineStr">
        <is>
          <t>Yes</t>
        </is>
      </c>
      <c r="Q1097" s="26" t="inlineStr">
        <is>
          <t>No</t>
        </is>
      </c>
      <c r="R1097" s="26" t="inlineStr">
        <is>
          <t>Good finish</t>
        </is>
      </c>
      <c r="S1097" s="26" t="inlineStr">
        <is>
          <t>Yes</t>
        </is>
      </c>
      <c r="T1097" s="27" t="n"/>
      <c r="U1097" s="28" t="inlineStr">
        <is>
          <t>No</t>
        </is>
      </c>
      <c r="V1097" s="29">
        <f>IF(N1097="","",IF(Q1097="Yes","❌ Disc",IF(P1097="No","⚠ Missing",IF(S1097="Yes","✓ OK","⚠ Check"))))</f>
        <v/>
      </c>
      <c r="W1097" s="65" t="n">
        <v>46248</v>
      </c>
      <c r="X1097" s="30" t="inlineStr">
        <is>
          <t>Sunil CR</t>
        </is>
      </c>
      <c r="Y1097" s="30" t="inlineStr">
        <is>
          <t>Yes</t>
        </is>
      </c>
      <c r="Z1097" s="30" t="n"/>
      <c r="AA1097" s="30" t="inlineStr">
        <is>
          <t>Good finish</t>
        </is>
      </c>
      <c r="AB1097" s="30" t="inlineStr">
        <is>
          <t>Yes</t>
        </is>
      </c>
      <c r="AC1097" s="27" t="n"/>
      <c r="AD1097" s="31" t="inlineStr">
        <is>
          <t>No</t>
        </is>
      </c>
      <c r="AE1097" s="32">
        <f>IF(W1097="","",IF(Z1097="Yes","❌ Disc",IF(Y1097="No","⚠ Missing",IF(AB1097="Yes","✓ OK","⚠ Check"))))</f>
        <v/>
      </c>
      <c r="AF1097" s="33" t="n"/>
      <c r="AG1097" s="33" t="n"/>
      <c r="AH1097" s="33" t="n"/>
      <c r="AI1097" s="33" t="n"/>
      <c r="AJ1097" s="33" t="n"/>
      <c r="AK1097" s="33" t="n"/>
      <c r="AL1097" s="27" t="n"/>
      <c r="AM1097" s="34" t="n"/>
      <c r="AN1097" s="35">
        <f>IF(AF1097="","",IF(AI1097="Yes","❌ Disc",IF(AH1097="No","⚠ Missing",IF(AK1097="Yes","✓ OK","⚠ Check"))))</f>
        <v/>
      </c>
      <c r="AO1097" s="36" t="n"/>
      <c r="AP1097" s="36" t="n"/>
      <c r="AQ1097" s="36" t="n"/>
      <c r="AR1097" s="36" t="n"/>
      <c r="AS1097" s="36" t="n"/>
      <c r="AT1097" s="36" t="n"/>
      <c r="AU1097" s="27" t="n"/>
      <c r="AV1097" s="37" t="n"/>
      <c r="AW1097" s="38">
        <f>IF(AO1097="","",IF(AR1097="Yes","❌ Disc",IF(AQ1097="No","⚠ Missing",IF(AT1097="Yes","✓ OK","⚠ Check"))))</f>
        <v/>
      </c>
    </row>
    <row r="1098" ht="18" customHeight="1" s="46">
      <c r="A1098" s="39" t="n">
        <v>1094</v>
      </c>
      <c r="B1098" s="40" t="inlineStr">
        <is>
          <t>BD-VRM-2024-2901</t>
        </is>
      </c>
      <c r="C1098" s="41" t="inlineStr">
        <is>
          <t>Marshall Attitude Wallpaper A 66401</t>
        </is>
      </c>
      <c r="D1098" s="39" t="inlineStr">
        <is>
          <t>Marshalls</t>
        </is>
      </c>
      <c r="E1098" s="43" t="n">
        <v>46125</v>
      </c>
      <c r="F1098" s="26" t="inlineStr">
        <is>
          <t>Sunil CR</t>
        </is>
      </c>
      <c r="G1098" s="26" t="inlineStr">
        <is>
          <t>Yes</t>
        </is>
      </c>
      <c r="H1098" s="26" t="inlineStr">
        <is>
          <t>No</t>
        </is>
      </c>
      <c r="I1098" s="26" t="inlineStr">
        <is>
          <t>Good finish</t>
        </is>
      </c>
      <c r="J1098" s="26" t="inlineStr">
        <is>
          <t>Yes</t>
        </is>
      </c>
      <c r="K1098" s="27" t="n"/>
      <c r="L1098" s="28" t="inlineStr">
        <is>
          <t>No</t>
        </is>
      </c>
      <c r="M1098" s="29">
        <f>IF(E1098="","",IF(H1098="Yes","❌ Disc",IF(G1098="No","⚠ Missing",IF(J1098="Yes","✓ OK","⚠ Check"))))</f>
        <v/>
      </c>
      <c r="N1098" s="43" t="n">
        <v>46193</v>
      </c>
      <c r="O1098" s="26" t="inlineStr">
        <is>
          <t>Sunil CR</t>
        </is>
      </c>
      <c r="P1098" s="26" t="inlineStr">
        <is>
          <t>Yes</t>
        </is>
      </c>
      <c r="Q1098" s="26" t="inlineStr">
        <is>
          <t>No</t>
        </is>
      </c>
      <c r="R1098" s="26" t="inlineStr">
        <is>
          <t>Good finish</t>
        </is>
      </c>
      <c r="S1098" s="26" t="inlineStr">
        <is>
          <t>Yes</t>
        </is>
      </c>
      <c r="T1098" s="27" t="n"/>
      <c r="U1098" s="28" t="inlineStr">
        <is>
          <t>No</t>
        </is>
      </c>
      <c r="V1098" s="29">
        <f>IF(N1098="","",IF(Q1098="Yes","❌ Disc",IF(P1098="No","⚠ Missing",IF(S1098="Yes","✓ OK","⚠ Check"))))</f>
        <v/>
      </c>
      <c r="W1098" s="65" t="n">
        <v>46248</v>
      </c>
      <c r="X1098" s="30" t="inlineStr">
        <is>
          <t>Sunil CR</t>
        </is>
      </c>
      <c r="Y1098" s="30" t="inlineStr">
        <is>
          <t>Yes</t>
        </is>
      </c>
      <c r="Z1098" s="30" t="n"/>
      <c r="AA1098" s="30" t="inlineStr">
        <is>
          <t>Good finish</t>
        </is>
      </c>
      <c r="AB1098" s="30" t="inlineStr">
        <is>
          <t>Yes</t>
        </is>
      </c>
      <c r="AC1098" s="27" t="n"/>
      <c r="AD1098" s="31" t="inlineStr">
        <is>
          <t>No</t>
        </is>
      </c>
      <c r="AE1098" s="32">
        <f>IF(W1098="","",IF(Z1098="Yes","❌ Disc",IF(Y1098="No","⚠ Missing",IF(AB1098="Yes","✓ OK","⚠ Check"))))</f>
        <v/>
      </c>
      <c r="AF1098" s="33" t="n"/>
      <c r="AG1098" s="33" t="n"/>
      <c r="AH1098" s="33" t="n"/>
      <c r="AI1098" s="33" t="n"/>
      <c r="AJ1098" s="33" t="n"/>
      <c r="AK1098" s="33" t="n"/>
      <c r="AL1098" s="27" t="n"/>
      <c r="AM1098" s="34" t="n"/>
      <c r="AN1098" s="35">
        <f>IF(AF1098="","",IF(AI1098="Yes","❌ Disc",IF(AH1098="No","⚠ Missing",IF(AK1098="Yes","✓ OK","⚠ Check"))))</f>
        <v/>
      </c>
      <c r="AO1098" s="36" t="n"/>
      <c r="AP1098" s="36" t="n"/>
      <c r="AQ1098" s="36" t="n"/>
      <c r="AR1098" s="36" t="n"/>
      <c r="AS1098" s="36" t="n"/>
      <c r="AT1098" s="36" t="n"/>
      <c r="AU1098" s="27" t="n"/>
      <c r="AV1098" s="37" t="n"/>
      <c r="AW1098" s="38">
        <f>IF(AO1098="","",IF(AR1098="Yes","❌ Disc",IF(AQ1098="No","⚠ Missing",IF(AT1098="Yes","✓ OK","⚠ Check"))))</f>
        <v/>
      </c>
    </row>
    <row r="1099" ht="18" customHeight="1" s="46">
      <c r="A1099" s="23" t="n">
        <v>1095</v>
      </c>
      <c r="B1099" s="24" t="inlineStr">
        <is>
          <t>BD-VRM-2024-2900</t>
        </is>
      </c>
      <c r="C1099" s="25" t="inlineStr">
        <is>
          <t>Marshall Attitude Wallpaper A 66402</t>
        </is>
      </c>
      <c r="D1099" s="23" t="inlineStr">
        <is>
          <t>Marshalls</t>
        </is>
      </c>
      <c r="E1099" s="43" t="n">
        <v>46125</v>
      </c>
      <c r="F1099" s="26" t="inlineStr">
        <is>
          <t>Sunil CR</t>
        </is>
      </c>
      <c r="G1099" s="26" t="inlineStr">
        <is>
          <t>Yes</t>
        </is>
      </c>
      <c r="H1099" s="26" t="inlineStr">
        <is>
          <t>No</t>
        </is>
      </c>
      <c r="I1099" s="26" t="inlineStr">
        <is>
          <t>Good finish</t>
        </is>
      </c>
      <c r="J1099" s="26" t="inlineStr">
        <is>
          <t>Yes</t>
        </is>
      </c>
      <c r="K1099" s="27" t="n"/>
      <c r="L1099" s="28" t="inlineStr">
        <is>
          <t>No</t>
        </is>
      </c>
      <c r="M1099" s="29">
        <f>IF(E1099="","",IF(H1099="Yes","❌ Disc",IF(G1099="No","⚠ Missing",IF(J1099="Yes","✓ OK","⚠ Check"))))</f>
        <v/>
      </c>
      <c r="N1099" s="43" t="n">
        <v>46193</v>
      </c>
      <c r="O1099" s="26" t="inlineStr">
        <is>
          <t>Sunil CR</t>
        </is>
      </c>
      <c r="P1099" s="26" t="inlineStr">
        <is>
          <t>Yes</t>
        </is>
      </c>
      <c r="Q1099" s="26" t="inlineStr">
        <is>
          <t>No</t>
        </is>
      </c>
      <c r="R1099" s="26" t="inlineStr">
        <is>
          <t>Good finish</t>
        </is>
      </c>
      <c r="S1099" s="26" t="inlineStr">
        <is>
          <t>Yes</t>
        </is>
      </c>
      <c r="T1099" s="27" t="n"/>
      <c r="U1099" s="28" t="inlineStr">
        <is>
          <t>No</t>
        </is>
      </c>
      <c r="V1099" s="29">
        <f>IF(N1099="","",IF(Q1099="Yes","❌ Disc",IF(P1099="No","⚠ Missing",IF(S1099="Yes","✓ OK","⚠ Check"))))</f>
        <v/>
      </c>
      <c r="W1099" s="65" t="n">
        <v>46248</v>
      </c>
      <c r="X1099" s="30" t="inlineStr">
        <is>
          <t>Sunil CR</t>
        </is>
      </c>
      <c r="Y1099" s="30" t="inlineStr">
        <is>
          <t>Yes</t>
        </is>
      </c>
      <c r="Z1099" s="30" t="n"/>
      <c r="AA1099" s="30" t="inlineStr">
        <is>
          <t>Good finish</t>
        </is>
      </c>
      <c r="AB1099" s="30" t="inlineStr">
        <is>
          <t>Yes</t>
        </is>
      </c>
      <c r="AC1099" s="27" t="n"/>
      <c r="AD1099" s="31" t="inlineStr">
        <is>
          <t>No</t>
        </is>
      </c>
      <c r="AE1099" s="32">
        <f>IF(W1099="","",IF(Z1099="Yes","❌ Disc",IF(Y1099="No","⚠ Missing",IF(AB1099="Yes","✓ OK","⚠ Check"))))</f>
        <v/>
      </c>
      <c r="AF1099" s="33" t="n"/>
      <c r="AG1099" s="33" t="n"/>
      <c r="AH1099" s="33" t="n"/>
      <c r="AI1099" s="33" t="n"/>
      <c r="AJ1099" s="33" t="n"/>
      <c r="AK1099" s="33" t="n"/>
      <c r="AL1099" s="27" t="n"/>
      <c r="AM1099" s="34" t="n"/>
      <c r="AN1099" s="35">
        <f>IF(AF1099="","",IF(AI1099="Yes","❌ Disc",IF(AH1099="No","⚠ Missing",IF(AK1099="Yes","✓ OK","⚠ Check"))))</f>
        <v/>
      </c>
      <c r="AO1099" s="36" t="n"/>
      <c r="AP1099" s="36" t="n"/>
      <c r="AQ1099" s="36" t="n"/>
      <c r="AR1099" s="36" t="n"/>
      <c r="AS1099" s="36" t="n"/>
      <c r="AT1099" s="36" t="n"/>
      <c r="AU1099" s="27" t="n"/>
      <c r="AV1099" s="37" t="n"/>
      <c r="AW1099" s="38">
        <f>IF(AO1099="","",IF(AR1099="Yes","❌ Disc",IF(AQ1099="No","⚠ Missing",IF(AT1099="Yes","✓ OK","⚠ Check"))))</f>
        <v/>
      </c>
    </row>
    <row r="1100" ht="18" customHeight="1" s="46">
      <c r="A1100" s="39" t="n">
        <v>1096</v>
      </c>
      <c r="B1100" s="40" t="inlineStr">
        <is>
          <t>BD-VRM-2024-2877</t>
        </is>
      </c>
      <c r="C1100" s="41" t="inlineStr">
        <is>
          <t>Marshall Attitude Wallpaper A 66501</t>
        </is>
      </c>
      <c r="D1100" s="39" t="inlineStr">
        <is>
          <t>Marshalls</t>
        </is>
      </c>
      <c r="E1100" s="43" t="n">
        <v>46125</v>
      </c>
      <c r="F1100" s="26" t="inlineStr">
        <is>
          <t>Sunil CR</t>
        </is>
      </c>
      <c r="G1100" s="26" t="inlineStr">
        <is>
          <t>Yes</t>
        </is>
      </c>
      <c r="H1100" s="26" t="inlineStr">
        <is>
          <t>No</t>
        </is>
      </c>
      <c r="I1100" s="26" t="inlineStr">
        <is>
          <t>Good finish</t>
        </is>
      </c>
      <c r="J1100" s="26" t="inlineStr">
        <is>
          <t>Yes</t>
        </is>
      </c>
      <c r="K1100" s="27" t="n"/>
      <c r="L1100" s="28" t="inlineStr">
        <is>
          <t>No</t>
        </is>
      </c>
      <c r="M1100" s="29">
        <f>IF(E1100="","",IF(H1100="Yes","❌ Disc",IF(G1100="No","⚠ Missing",IF(J1100="Yes","✓ OK","⚠ Check"))))</f>
        <v/>
      </c>
      <c r="N1100" s="43" t="n">
        <v>46193</v>
      </c>
      <c r="O1100" s="26" t="inlineStr">
        <is>
          <t>Sunil CR</t>
        </is>
      </c>
      <c r="P1100" s="26" t="inlineStr">
        <is>
          <t>Yes</t>
        </is>
      </c>
      <c r="Q1100" s="26" t="inlineStr">
        <is>
          <t>No</t>
        </is>
      </c>
      <c r="R1100" s="26" t="inlineStr">
        <is>
          <t>Good finish</t>
        </is>
      </c>
      <c r="S1100" s="26" t="inlineStr">
        <is>
          <t>Yes</t>
        </is>
      </c>
      <c r="T1100" s="27" t="n"/>
      <c r="U1100" s="28" t="inlineStr">
        <is>
          <t>No</t>
        </is>
      </c>
      <c r="V1100" s="29">
        <f>IF(N1100="","",IF(Q1100="Yes","❌ Disc",IF(P1100="No","⚠ Missing",IF(S1100="Yes","✓ OK","⚠ Check"))))</f>
        <v/>
      </c>
      <c r="W1100" s="65" t="n">
        <v>46248</v>
      </c>
      <c r="X1100" s="30" t="inlineStr">
        <is>
          <t>Sunil CR</t>
        </is>
      </c>
      <c r="Y1100" s="30" t="inlineStr">
        <is>
          <t>Yes</t>
        </is>
      </c>
      <c r="Z1100" s="30" t="n"/>
      <c r="AA1100" s="30" t="inlineStr">
        <is>
          <t>Good finish</t>
        </is>
      </c>
      <c r="AB1100" s="30" t="inlineStr">
        <is>
          <t>Yes</t>
        </is>
      </c>
      <c r="AC1100" s="27" t="n"/>
      <c r="AD1100" s="31" t="inlineStr">
        <is>
          <t>No</t>
        </is>
      </c>
      <c r="AE1100" s="32">
        <f>IF(W1100="","",IF(Z1100="Yes","❌ Disc",IF(Y1100="No","⚠ Missing",IF(AB1100="Yes","✓ OK","⚠ Check"))))</f>
        <v/>
      </c>
      <c r="AF1100" s="33" t="n"/>
      <c r="AG1100" s="33" t="n"/>
      <c r="AH1100" s="33" t="n"/>
      <c r="AI1100" s="33" t="n"/>
      <c r="AJ1100" s="33" t="n"/>
      <c r="AK1100" s="33" t="n"/>
      <c r="AL1100" s="27" t="n"/>
      <c r="AM1100" s="34" t="n"/>
      <c r="AN1100" s="35">
        <f>IF(AF1100="","",IF(AI1100="Yes","❌ Disc",IF(AH1100="No","⚠ Missing",IF(AK1100="Yes","✓ OK","⚠ Check"))))</f>
        <v/>
      </c>
      <c r="AO1100" s="36" t="n"/>
      <c r="AP1100" s="36" t="n"/>
      <c r="AQ1100" s="36" t="n"/>
      <c r="AR1100" s="36" t="n"/>
      <c r="AS1100" s="36" t="n"/>
      <c r="AT1100" s="36" t="n"/>
      <c r="AU1100" s="27" t="n"/>
      <c r="AV1100" s="37" t="n"/>
      <c r="AW1100" s="38">
        <f>IF(AO1100="","",IF(AR1100="Yes","❌ Disc",IF(AQ1100="No","⚠ Missing",IF(AT1100="Yes","✓ OK","⚠ Check"))))</f>
        <v/>
      </c>
    </row>
    <row r="1101" ht="18" customHeight="1" s="46">
      <c r="A1101" s="23" t="n">
        <v>1097</v>
      </c>
      <c r="B1101" s="24" t="inlineStr">
        <is>
          <t>BD-VRM-2024-2874</t>
        </is>
      </c>
      <c r="C1101" s="25" t="inlineStr">
        <is>
          <t>Marshall Attitude Wallpaper A 66502</t>
        </is>
      </c>
      <c r="D1101" s="23" t="inlineStr">
        <is>
          <t>Marshalls</t>
        </is>
      </c>
      <c r="E1101" s="43" t="n">
        <v>46125</v>
      </c>
      <c r="F1101" s="26" t="inlineStr">
        <is>
          <t>Sunil CR</t>
        </is>
      </c>
      <c r="G1101" s="26" t="inlineStr">
        <is>
          <t>Yes</t>
        </is>
      </c>
      <c r="H1101" s="26" t="inlineStr">
        <is>
          <t>No</t>
        </is>
      </c>
      <c r="I1101" s="26" t="inlineStr">
        <is>
          <t>Good finish</t>
        </is>
      </c>
      <c r="J1101" s="26" t="inlineStr">
        <is>
          <t>Yes</t>
        </is>
      </c>
      <c r="K1101" s="27" t="n"/>
      <c r="L1101" s="28" t="inlineStr">
        <is>
          <t>No</t>
        </is>
      </c>
      <c r="M1101" s="29">
        <f>IF(E1101="","",IF(H1101="Yes","❌ Disc",IF(G1101="No","⚠ Missing",IF(J1101="Yes","✓ OK","⚠ Check"))))</f>
        <v/>
      </c>
      <c r="N1101" s="43" t="n">
        <v>46193</v>
      </c>
      <c r="O1101" s="26" t="inlineStr">
        <is>
          <t>Sunil CR</t>
        </is>
      </c>
      <c r="P1101" s="26" t="inlineStr">
        <is>
          <t>Yes</t>
        </is>
      </c>
      <c r="Q1101" s="26" t="inlineStr">
        <is>
          <t>No</t>
        </is>
      </c>
      <c r="R1101" s="26" t="inlineStr">
        <is>
          <t>Good finish</t>
        </is>
      </c>
      <c r="S1101" s="26" t="inlineStr">
        <is>
          <t>Yes</t>
        </is>
      </c>
      <c r="T1101" s="27" t="n"/>
      <c r="U1101" s="28" t="inlineStr">
        <is>
          <t>No</t>
        </is>
      </c>
      <c r="V1101" s="29">
        <f>IF(N1101="","",IF(Q1101="Yes","❌ Disc",IF(P1101="No","⚠ Missing",IF(S1101="Yes","✓ OK","⚠ Check"))))</f>
        <v/>
      </c>
      <c r="W1101" s="65" t="n">
        <v>46248</v>
      </c>
      <c r="X1101" s="30" t="inlineStr">
        <is>
          <t>Sunil CR</t>
        </is>
      </c>
      <c r="Y1101" s="30" t="inlineStr">
        <is>
          <t>Yes</t>
        </is>
      </c>
      <c r="Z1101" s="30" t="n"/>
      <c r="AA1101" s="30" t="inlineStr">
        <is>
          <t>Good finish</t>
        </is>
      </c>
      <c r="AB1101" s="30" t="inlineStr">
        <is>
          <t>Yes</t>
        </is>
      </c>
      <c r="AC1101" s="27" t="n"/>
      <c r="AD1101" s="31" t="inlineStr">
        <is>
          <t>No</t>
        </is>
      </c>
      <c r="AE1101" s="32">
        <f>IF(W1101="","",IF(Z1101="Yes","❌ Disc",IF(Y1101="No","⚠ Missing",IF(AB1101="Yes","✓ OK","⚠ Check"))))</f>
        <v/>
      </c>
      <c r="AF1101" s="33" t="n"/>
      <c r="AG1101" s="33" t="n"/>
      <c r="AH1101" s="33" t="n"/>
      <c r="AI1101" s="33" t="n"/>
      <c r="AJ1101" s="33" t="n"/>
      <c r="AK1101" s="33" t="n"/>
      <c r="AL1101" s="27" t="n"/>
      <c r="AM1101" s="34" t="n"/>
      <c r="AN1101" s="35">
        <f>IF(AF1101="","",IF(AI1101="Yes","❌ Disc",IF(AH1101="No","⚠ Missing",IF(AK1101="Yes","✓ OK","⚠ Check"))))</f>
        <v/>
      </c>
      <c r="AO1101" s="36" t="n"/>
      <c r="AP1101" s="36" t="n"/>
      <c r="AQ1101" s="36" t="n"/>
      <c r="AR1101" s="36" t="n"/>
      <c r="AS1101" s="36" t="n"/>
      <c r="AT1101" s="36" t="n"/>
      <c r="AU1101" s="27" t="n"/>
      <c r="AV1101" s="37" t="n"/>
      <c r="AW1101" s="38">
        <f>IF(AO1101="","",IF(AR1101="Yes","❌ Disc",IF(AQ1101="No","⚠ Missing",IF(AT1101="Yes","✓ OK","⚠ Check"))))</f>
        <v/>
      </c>
    </row>
    <row r="1102" ht="18" customHeight="1" s="46">
      <c r="A1102" s="39" t="n">
        <v>1098</v>
      </c>
      <c r="B1102" s="40" t="inlineStr">
        <is>
          <t>BD-VRM-2024-2880</t>
        </is>
      </c>
      <c r="C1102" s="41" t="inlineStr">
        <is>
          <t>Marshall Attitude Wallpaper A 66503</t>
        </is>
      </c>
      <c r="D1102" s="39" t="inlineStr">
        <is>
          <t>Marshalls</t>
        </is>
      </c>
      <c r="E1102" s="43" t="n">
        <v>46125</v>
      </c>
      <c r="F1102" s="26" t="inlineStr">
        <is>
          <t>Sunil CR</t>
        </is>
      </c>
      <c r="G1102" s="26" t="inlineStr">
        <is>
          <t>Yes</t>
        </is>
      </c>
      <c r="H1102" s="26" t="inlineStr">
        <is>
          <t>No</t>
        </is>
      </c>
      <c r="I1102" s="26" t="inlineStr">
        <is>
          <t>Good finish</t>
        </is>
      </c>
      <c r="J1102" s="26" t="inlineStr">
        <is>
          <t>Yes</t>
        </is>
      </c>
      <c r="K1102" s="27" t="n"/>
      <c r="L1102" s="28" t="inlineStr">
        <is>
          <t>No</t>
        </is>
      </c>
      <c r="M1102" s="29">
        <f>IF(E1102="","",IF(H1102="Yes","❌ Disc",IF(G1102="No","⚠ Missing",IF(J1102="Yes","✓ OK","⚠ Check"))))</f>
        <v/>
      </c>
      <c r="N1102" s="43" t="n">
        <v>46193</v>
      </c>
      <c r="O1102" s="26" t="inlineStr">
        <is>
          <t>Sunil CR</t>
        </is>
      </c>
      <c r="P1102" s="26" t="inlineStr">
        <is>
          <t>Yes</t>
        </is>
      </c>
      <c r="Q1102" s="26" t="inlineStr">
        <is>
          <t>No</t>
        </is>
      </c>
      <c r="R1102" s="26" t="inlineStr">
        <is>
          <t>Good finish</t>
        </is>
      </c>
      <c r="S1102" s="26" t="inlineStr">
        <is>
          <t>Yes</t>
        </is>
      </c>
      <c r="T1102" s="27" t="n"/>
      <c r="U1102" s="28" t="inlineStr">
        <is>
          <t>No</t>
        </is>
      </c>
      <c r="V1102" s="29">
        <f>IF(N1102="","",IF(Q1102="Yes","❌ Disc",IF(P1102="No","⚠ Missing",IF(S1102="Yes","✓ OK","⚠ Check"))))</f>
        <v/>
      </c>
      <c r="W1102" s="65" t="n">
        <v>46248</v>
      </c>
      <c r="X1102" s="30" t="inlineStr">
        <is>
          <t>Sunil CR</t>
        </is>
      </c>
      <c r="Y1102" s="30" t="inlineStr">
        <is>
          <t>Yes</t>
        </is>
      </c>
      <c r="Z1102" s="30" t="n"/>
      <c r="AA1102" s="30" t="inlineStr">
        <is>
          <t>Good finish</t>
        </is>
      </c>
      <c r="AB1102" s="30" t="inlineStr">
        <is>
          <t>Yes</t>
        </is>
      </c>
      <c r="AC1102" s="27" t="n"/>
      <c r="AD1102" s="31" t="inlineStr">
        <is>
          <t>No</t>
        </is>
      </c>
      <c r="AE1102" s="32">
        <f>IF(W1102="","",IF(Z1102="Yes","❌ Disc",IF(Y1102="No","⚠ Missing",IF(AB1102="Yes","✓ OK","⚠ Check"))))</f>
        <v/>
      </c>
      <c r="AF1102" s="33" t="n"/>
      <c r="AG1102" s="33" t="n"/>
      <c r="AH1102" s="33" t="n"/>
      <c r="AI1102" s="33" t="n"/>
      <c r="AJ1102" s="33" t="n"/>
      <c r="AK1102" s="33" t="n"/>
      <c r="AL1102" s="27" t="n"/>
      <c r="AM1102" s="34" t="n"/>
      <c r="AN1102" s="35">
        <f>IF(AF1102="","",IF(AI1102="Yes","❌ Disc",IF(AH1102="No","⚠ Missing",IF(AK1102="Yes","✓ OK","⚠ Check"))))</f>
        <v/>
      </c>
      <c r="AO1102" s="36" t="n"/>
      <c r="AP1102" s="36" t="n"/>
      <c r="AQ1102" s="36" t="n"/>
      <c r="AR1102" s="36" t="n"/>
      <c r="AS1102" s="36" t="n"/>
      <c r="AT1102" s="36" t="n"/>
      <c r="AU1102" s="27" t="n"/>
      <c r="AV1102" s="37" t="n"/>
      <c r="AW1102" s="38">
        <f>IF(AO1102="","",IF(AR1102="Yes","❌ Disc",IF(AQ1102="No","⚠ Missing",IF(AT1102="Yes","✓ OK","⚠ Check"))))</f>
        <v/>
      </c>
    </row>
    <row r="1103" ht="18" customHeight="1" s="46">
      <c r="A1103" s="23" t="n">
        <v>1099</v>
      </c>
      <c r="B1103" s="24" t="inlineStr">
        <is>
          <t>BD-VRM-2024-2871</t>
        </is>
      </c>
      <c r="C1103" s="25" t="inlineStr">
        <is>
          <t>Marshall Attitude Wallpaper A 66601</t>
        </is>
      </c>
      <c r="D1103" s="23" t="inlineStr">
        <is>
          <t>Marshalls</t>
        </is>
      </c>
      <c r="E1103" s="43" t="n">
        <v>46125</v>
      </c>
      <c r="F1103" s="26" t="inlineStr">
        <is>
          <t>Sunil CR</t>
        </is>
      </c>
      <c r="G1103" s="26" t="inlineStr">
        <is>
          <t>Yes</t>
        </is>
      </c>
      <c r="H1103" s="26" t="inlineStr">
        <is>
          <t>No</t>
        </is>
      </c>
      <c r="I1103" s="26" t="inlineStr">
        <is>
          <t>Good finish</t>
        </is>
      </c>
      <c r="J1103" s="26" t="inlineStr">
        <is>
          <t>Yes</t>
        </is>
      </c>
      <c r="K1103" s="27" t="n"/>
      <c r="L1103" s="28" t="inlineStr">
        <is>
          <t>No</t>
        </is>
      </c>
      <c r="M1103" s="29">
        <f>IF(E1103="","",IF(H1103="Yes","❌ Disc",IF(G1103="No","⚠ Missing",IF(J1103="Yes","✓ OK","⚠ Check"))))</f>
        <v/>
      </c>
      <c r="N1103" s="43" t="n">
        <v>46193</v>
      </c>
      <c r="O1103" s="26" t="inlineStr">
        <is>
          <t>Sunil CR</t>
        </is>
      </c>
      <c r="P1103" s="26" t="inlineStr">
        <is>
          <t>Yes</t>
        </is>
      </c>
      <c r="Q1103" s="26" t="inlineStr">
        <is>
          <t>No</t>
        </is>
      </c>
      <c r="R1103" s="26" t="inlineStr">
        <is>
          <t>Good finish</t>
        </is>
      </c>
      <c r="S1103" s="26" t="inlineStr">
        <is>
          <t>Yes</t>
        </is>
      </c>
      <c r="T1103" s="27" t="n"/>
      <c r="U1103" s="28" t="inlineStr">
        <is>
          <t>No</t>
        </is>
      </c>
      <c r="V1103" s="29">
        <f>IF(N1103="","",IF(Q1103="Yes","❌ Disc",IF(P1103="No","⚠ Missing",IF(S1103="Yes","✓ OK","⚠ Check"))))</f>
        <v/>
      </c>
      <c r="W1103" s="65" t="n">
        <v>46248</v>
      </c>
      <c r="X1103" s="30" t="inlineStr">
        <is>
          <t>Sunil CR</t>
        </is>
      </c>
      <c r="Y1103" s="30" t="inlineStr">
        <is>
          <t>Yes</t>
        </is>
      </c>
      <c r="Z1103" s="30" t="n"/>
      <c r="AA1103" s="30" t="inlineStr">
        <is>
          <t>Good finish</t>
        </is>
      </c>
      <c r="AB1103" s="30" t="inlineStr">
        <is>
          <t>Yes</t>
        </is>
      </c>
      <c r="AC1103" s="27" t="n"/>
      <c r="AD1103" s="31" t="inlineStr">
        <is>
          <t>No</t>
        </is>
      </c>
      <c r="AE1103" s="32">
        <f>IF(W1103="","",IF(Z1103="Yes","❌ Disc",IF(Y1103="No","⚠ Missing",IF(AB1103="Yes","✓ OK","⚠ Check"))))</f>
        <v/>
      </c>
      <c r="AF1103" s="33" t="n"/>
      <c r="AG1103" s="33" t="n"/>
      <c r="AH1103" s="33" t="n"/>
      <c r="AI1103" s="33" t="n"/>
      <c r="AJ1103" s="33" t="n"/>
      <c r="AK1103" s="33" t="n"/>
      <c r="AL1103" s="27" t="n"/>
      <c r="AM1103" s="34" t="n"/>
      <c r="AN1103" s="35">
        <f>IF(AF1103="","",IF(AI1103="Yes","❌ Disc",IF(AH1103="No","⚠ Missing",IF(AK1103="Yes","✓ OK","⚠ Check"))))</f>
        <v/>
      </c>
      <c r="AO1103" s="36" t="n"/>
      <c r="AP1103" s="36" t="n"/>
      <c r="AQ1103" s="36" t="n"/>
      <c r="AR1103" s="36" t="n"/>
      <c r="AS1103" s="36" t="n"/>
      <c r="AT1103" s="36" t="n"/>
      <c r="AU1103" s="27" t="n"/>
      <c r="AV1103" s="37" t="n"/>
      <c r="AW1103" s="38">
        <f>IF(AO1103="","",IF(AR1103="Yes","❌ Disc",IF(AQ1103="No","⚠ Missing",IF(AT1103="Yes","✓ OK","⚠ Check"))))</f>
        <v/>
      </c>
    </row>
    <row r="1104" ht="18" customHeight="1" s="46">
      <c r="A1104" s="39" t="n">
        <v>1100</v>
      </c>
      <c r="B1104" s="40" t="inlineStr">
        <is>
          <t>BD-VRM-2024-2870</t>
        </is>
      </c>
      <c r="C1104" s="41" t="inlineStr">
        <is>
          <t>Marshall Attitude Wallpaper A 66602</t>
        </is>
      </c>
      <c r="D1104" s="39" t="inlineStr">
        <is>
          <t>Marshalls</t>
        </is>
      </c>
      <c r="E1104" s="43" t="n">
        <v>46125</v>
      </c>
      <c r="F1104" s="26" t="inlineStr">
        <is>
          <t>Sunil CR</t>
        </is>
      </c>
      <c r="G1104" s="26" t="inlineStr">
        <is>
          <t>Yes</t>
        </is>
      </c>
      <c r="H1104" s="26" t="inlineStr">
        <is>
          <t>No</t>
        </is>
      </c>
      <c r="I1104" s="26" t="inlineStr">
        <is>
          <t>Good finish</t>
        </is>
      </c>
      <c r="J1104" s="26" t="inlineStr">
        <is>
          <t>Yes</t>
        </is>
      </c>
      <c r="K1104" s="27" t="n"/>
      <c r="L1104" s="28" t="inlineStr">
        <is>
          <t>No</t>
        </is>
      </c>
      <c r="M1104" s="29">
        <f>IF(E1104="","",IF(H1104="Yes","❌ Disc",IF(G1104="No","⚠ Missing",IF(J1104="Yes","✓ OK","⚠ Check"))))</f>
        <v/>
      </c>
      <c r="N1104" s="43" t="n">
        <v>46193</v>
      </c>
      <c r="O1104" s="26" t="inlineStr">
        <is>
          <t>Sunil CR</t>
        </is>
      </c>
      <c r="P1104" s="26" t="inlineStr">
        <is>
          <t>Yes</t>
        </is>
      </c>
      <c r="Q1104" s="26" t="inlineStr">
        <is>
          <t>No</t>
        </is>
      </c>
      <c r="R1104" s="26" t="inlineStr">
        <is>
          <t>Good finish</t>
        </is>
      </c>
      <c r="S1104" s="26" t="inlineStr">
        <is>
          <t>Yes</t>
        </is>
      </c>
      <c r="T1104" s="27" t="n"/>
      <c r="U1104" s="28" t="inlineStr">
        <is>
          <t>No</t>
        </is>
      </c>
      <c r="V1104" s="29">
        <f>IF(N1104="","",IF(Q1104="Yes","❌ Disc",IF(P1104="No","⚠ Missing",IF(S1104="Yes","✓ OK","⚠ Check"))))</f>
        <v/>
      </c>
      <c r="W1104" s="65" t="n">
        <v>46248</v>
      </c>
      <c r="X1104" s="30" t="inlineStr">
        <is>
          <t>Sunil CR</t>
        </is>
      </c>
      <c r="Y1104" s="30" t="inlineStr">
        <is>
          <t>Yes</t>
        </is>
      </c>
      <c r="Z1104" s="30" t="n"/>
      <c r="AA1104" s="30" t="inlineStr">
        <is>
          <t>Good finish</t>
        </is>
      </c>
      <c r="AB1104" s="30" t="inlineStr">
        <is>
          <t>Yes</t>
        </is>
      </c>
      <c r="AC1104" s="27" t="n"/>
      <c r="AD1104" s="31" t="inlineStr">
        <is>
          <t>No</t>
        </is>
      </c>
      <c r="AE1104" s="32">
        <f>IF(W1104="","",IF(Z1104="Yes","❌ Disc",IF(Y1104="No","⚠ Missing",IF(AB1104="Yes","✓ OK","⚠ Check"))))</f>
        <v/>
      </c>
      <c r="AF1104" s="33" t="n"/>
      <c r="AG1104" s="33" t="n"/>
      <c r="AH1104" s="33" t="n"/>
      <c r="AI1104" s="33" t="n"/>
      <c r="AJ1104" s="33" t="n"/>
      <c r="AK1104" s="33" t="n"/>
      <c r="AL1104" s="27" t="n"/>
      <c r="AM1104" s="34" t="n"/>
      <c r="AN1104" s="35">
        <f>IF(AF1104="","",IF(AI1104="Yes","❌ Disc",IF(AH1104="No","⚠ Missing",IF(AK1104="Yes","✓ OK","⚠ Check"))))</f>
        <v/>
      </c>
      <c r="AO1104" s="36" t="n"/>
      <c r="AP1104" s="36" t="n"/>
      <c r="AQ1104" s="36" t="n"/>
      <c r="AR1104" s="36" t="n"/>
      <c r="AS1104" s="36" t="n"/>
      <c r="AT1104" s="36" t="n"/>
      <c r="AU1104" s="27" t="n"/>
      <c r="AV1104" s="37" t="n"/>
      <c r="AW1104" s="38">
        <f>IF(AO1104="","",IF(AR1104="Yes","❌ Disc",IF(AQ1104="No","⚠ Missing",IF(AT1104="Yes","✓ OK","⚠ Check"))))</f>
        <v/>
      </c>
    </row>
    <row r="1105" ht="18" customHeight="1" s="46">
      <c r="A1105" s="23" t="n">
        <v>1101</v>
      </c>
      <c r="B1105" s="24" t="inlineStr">
        <is>
          <t>BD-VRM-2024-2873</t>
        </is>
      </c>
      <c r="C1105" s="25" t="inlineStr">
        <is>
          <t>Marshall Attitude Wallpaper A 66603</t>
        </is>
      </c>
      <c r="D1105" s="23" t="inlineStr">
        <is>
          <t>Marshalls</t>
        </is>
      </c>
      <c r="E1105" s="43" t="n">
        <v>46125</v>
      </c>
      <c r="F1105" s="26" t="inlineStr">
        <is>
          <t>Sunil CR</t>
        </is>
      </c>
      <c r="G1105" s="26" t="inlineStr">
        <is>
          <t>Yes</t>
        </is>
      </c>
      <c r="H1105" s="26" t="inlineStr">
        <is>
          <t>No</t>
        </is>
      </c>
      <c r="I1105" s="26" t="inlineStr">
        <is>
          <t>Good finish</t>
        </is>
      </c>
      <c r="J1105" s="26" t="inlineStr">
        <is>
          <t>Yes</t>
        </is>
      </c>
      <c r="K1105" s="27" t="n"/>
      <c r="L1105" s="28" t="inlineStr">
        <is>
          <t>No</t>
        </is>
      </c>
      <c r="M1105" s="29">
        <f>IF(E1105="","",IF(H1105="Yes","❌ Disc",IF(G1105="No","⚠ Missing",IF(J1105="Yes","✓ OK","⚠ Check"))))</f>
        <v/>
      </c>
      <c r="N1105" s="43" t="n">
        <v>46193</v>
      </c>
      <c r="O1105" s="26" t="inlineStr">
        <is>
          <t>Sunil CR</t>
        </is>
      </c>
      <c r="P1105" s="26" t="inlineStr">
        <is>
          <t>Yes</t>
        </is>
      </c>
      <c r="Q1105" s="26" t="inlineStr">
        <is>
          <t>No</t>
        </is>
      </c>
      <c r="R1105" s="26" t="inlineStr">
        <is>
          <t>Good finish</t>
        </is>
      </c>
      <c r="S1105" s="26" t="inlineStr">
        <is>
          <t>Yes</t>
        </is>
      </c>
      <c r="T1105" s="27" t="n"/>
      <c r="U1105" s="28" t="inlineStr">
        <is>
          <t>No</t>
        </is>
      </c>
      <c r="V1105" s="29">
        <f>IF(N1105="","",IF(Q1105="Yes","❌ Disc",IF(P1105="No","⚠ Missing",IF(S1105="Yes","✓ OK","⚠ Check"))))</f>
        <v/>
      </c>
      <c r="W1105" s="65" t="n">
        <v>46248</v>
      </c>
      <c r="X1105" s="30" t="inlineStr">
        <is>
          <t>Sunil CR</t>
        </is>
      </c>
      <c r="Y1105" s="30" t="inlineStr">
        <is>
          <t>Yes</t>
        </is>
      </c>
      <c r="Z1105" s="30" t="n"/>
      <c r="AA1105" s="30" t="inlineStr">
        <is>
          <t>Good finish</t>
        </is>
      </c>
      <c r="AB1105" s="30" t="inlineStr">
        <is>
          <t>Yes</t>
        </is>
      </c>
      <c r="AC1105" s="27" t="n"/>
      <c r="AD1105" s="31" t="inlineStr">
        <is>
          <t>No</t>
        </is>
      </c>
      <c r="AE1105" s="32">
        <f>IF(W1105="","",IF(Z1105="Yes","❌ Disc",IF(Y1105="No","⚠ Missing",IF(AB1105="Yes","✓ OK","⚠ Check"))))</f>
        <v/>
      </c>
      <c r="AF1105" s="33" t="n"/>
      <c r="AG1105" s="33" t="n"/>
      <c r="AH1105" s="33" t="n"/>
      <c r="AI1105" s="33" t="n"/>
      <c r="AJ1105" s="33" t="n"/>
      <c r="AK1105" s="33" t="n"/>
      <c r="AL1105" s="27" t="n"/>
      <c r="AM1105" s="34" t="n"/>
      <c r="AN1105" s="35">
        <f>IF(AF1105="","",IF(AI1105="Yes","❌ Disc",IF(AH1105="No","⚠ Missing",IF(AK1105="Yes","✓ OK","⚠ Check"))))</f>
        <v/>
      </c>
      <c r="AO1105" s="36" t="n"/>
      <c r="AP1105" s="36" t="n"/>
      <c r="AQ1105" s="36" t="n"/>
      <c r="AR1105" s="36" t="n"/>
      <c r="AS1105" s="36" t="n"/>
      <c r="AT1105" s="36" t="n"/>
      <c r="AU1105" s="27" t="n"/>
      <c r="AV1105" s="37" t="n"/>
      <c r="AW1105" s="38">
        <f>IF(AO1105="","",IF(AR1105="Yes","❌ Disc",IF(AQ1105="No","⚠ Missing",IF(AT1105="Yes","✓ OK","⚠ Check"))))</f>
        <v/>
      </c>
    </row>
    <row r="1106" ht="18" customHeight="1" s="46">
      <c r="A1106" s="39" t="n">
        <v>1102</v>
      </c>
      <c r="B1106" s="40" t="inlineStr">
        <is>
          <t>BD-VRM-2024-2909</t>
        </is>
      </c>
      <c r="C1106" s="41" t="inlineStr">
        <is>
          <t>Marshall Attitude Wallpaper A 66701</t>
        </is>
      </c>
      <c r="D1106" s="39" t="inlineStr">
        <is>
          <t>Marshalls</t>
        </is>
      </c>
      <c r="E1106" s="43" t="n">
        <v>46125</v>
      </c>
      <c r="F1106" s="26" t="inlineStr">
        <is>
          <t>Sunil CR</t>
        </is>
      </c>
      <c r="G1106" s="26" t="inlineStr">
        <is>
          <t>Yes</t>
        </is>
      </c>
      <c r="H1106" s="26" t="inlineStr">
        <is>
          <t>No</t>
        </is>
      </c>
      <c r="I1106" s="26" t="inlineStr">
        <is>
          <t>Good finish</t>
        </is>
      </c>
      <c r="J1106" s="26" t="inlineStr">
        <is>
          <t>Yes</t>
        </is>
      </c>
      <c r="K1106" s="27" t="n"/>
      <c r="L1106" s="28" t="inlineStr">
        <is>
          <t>No</t>
        </is>
      </c>
      <c r="M1106" s="29">
        <f>IF(E1106="","",IF(H1106="Yes","❌ Disc",IF(G1106="No","⚠ Missing",IF(J1106="Yes","✓ OK","⚠ Check"))))</f>
        <v/>
      </c>
      <c r="N1106" s="43" t="n">
        <v>46193</v>
      </c>
      <c r="O1106" s="26" t="inlineStr">
        <is>
          <t>Sunil CR</t>
        </is>
      </c>
      <c r="P1106" s="26" t="inlineStr">
        <is>
          <t>Yes</t>
        </is>
      </c>
      <c r="Q1106" s="26" t="inlineStr">
        <is>
          <t>No</t>
        </is>
      </c>
      <c r="R1106" s="26" t="inlineStr">
        <is>
          <t>Good finish</t>
        </is>
      </c>
      <c r="S1106" s="26" t="inlineStr">
        <is>
          <t>Yes</t>
        </is>
      </c>
      <c r="T1106" s="27" t="n"/>
      <c r="U1106" s="28" t="inlineStr">
        <is>
          <t>No</t>
        </is>
      </c>
      <c r="V1106" s="29">
        <f>IF(N1106="","",IF(Q1106="Yes","❌ Disc",IF(P1106="No","⚠ Missing",IF(S1106="Yes","✓ OK","⚠ Check"))))</f>
        <v/>
      </c>
      <c r="W1106" s="65" t="n">
        <v>46248</v>
      </c>
      <c r="X1106" s="30" t="inlineStr">
        <is>
          <t>Sunil CR</t>
        </is>
      </c>
      <c r="Y1106" s="30" t="inlineStr">
        <is>
          <t>Yes</t>
        </is>
      </c>
      <c r="Z1106" s="30" t="n"/>
      <c r="AA1106" s="30" t="inlineStr">
        <is>
          <t>Good finish</t>
        </is>
      </c>
      <c r="AB1106" s="30" t="inlineStr">
        <is>
          <t>Yes</t>
        </is>
      </c>
      <c r="AC1106" s="27" t="n"/>
      <c r="AD1106" s="31" t="inlineStr">
        <is>
          <t>No</t>
        </is>
      </c>
      <c r="AE1106" s="32">
        <f>IF(W1106="","",IF(Z1106="Yes","❌ Disc",IF(Y1106="No","⚠ Missing",IF(AB1106="Yes","✓ OK","⚠ Check"))))</f>
        <v/>
      </c>
      <c r="AF1106" s="33" t="n"/>
      <c r="AG1106" s="33" t="n"/>
      <c r="AH1106" s="33" t="n"/>
      <c r="AI1106" s="33" t="n"/>
      <c r="AJ1106" s="33" t="n"/>
      <c r="AK1106" s="33" t="n"/>
      <c r="AL1106" s="27" t="n"/>
      <c r="AM1106" s="34" t="n"/>
      <c r="AN1106" s="35">
        <f>IF(AF1106="","",IF(AI1106="Yes","❌ Disc",IF(AH1106="No","⚠ Missing",IF(AK1106="Yes","✓ OK","⚠ Check"))))</f>
        <v/>
      </c>
      <c r="AO1106" s="36" t="n"/>
      <c r="AP1106" s="36" t="n"/>
      <c r="AQ1106" s="36" t="n"/>
      <c r="AR1106" s="36" t="n"/>
      <c r="AS1106" s="36" t="n"/>
      <c r="AT1106" s="36" t="n"/>
      <c r="AU1106" s="27" t="n"/>
      <c r="AV1106" s="37" t="n"/>
      <c r="AW1106" s="38">
        <f>IF(AO1106="","",IF(AR1106="Yes","❌ Disc",IF(AQ1106="No","⚠ Missing",IF(AT1106="Yes","✓ OK","⚠ Check"))))</f>
        <v/>
      </c>
    </row>
    <row r="1107" ht="18" customHeight="1" s="46">
      <c r="A1107" s="23" t="n">
        <v>1103</v>
      </c>
      <c r="B1107" s="24" t="inlineStr">
        <is>
          <t>BD-VRM-2024-2908</t>
        </is>
      </c>
      <c r="C1107" s="25" t="inlineStr">
        <is>
          <t>Marshall Attitude Wallpaper A 66702</t>
        </is>
      </c>
      <c r="D1107" s="23" t="inlineStr">
        <is>
          <t>Marshalls</t>
        </is>
      </c>
      <c r="E1107" s="43" t="n">
        <v>46125</v>
      </c>
      <c r="F1107" s="26" t="inlineStr">
        <is>
          <t>Sunil CR</t>
        </is>
      </c>
      <c r="G1107" s="26" t="inlineStr">
        <is>
          <t>Yes</t>
        </is>
      </c>
      <c r="H1107" s="26" t="inlineStr">
        <is>
          <t>No</t>
        </is>
      </c>
      <c r="I1107" s="26" t="inlineStr">
        <is>
          <t>Good finish</t>
        </is>
      </c>
      <c r="J1107" s="26" t="inlineStr">
        <is>
          <t>Yes</t>
        </is>
      </c>
      <c r="K1107" s="27" t="n"/>
      <c r="L1107" s="28" t="inlineStr">
        <is>
          <t>No</t>
        </is>
      </c>
      <c r="M1107" s="29">
        <f>IF(E1107="","",IF(H1107="Yes","❌ Disc",IF(G1107="No","⚠ Missing",IF(J1107="Yes","✓ OK","⚠ Check"))))</f>
        <v/>
      </c>
      <c r="N1107" s="43" t="n">
        <v>46193</v>
      </c>
      <c r="O1107" s="26" t="inlineStr">
        <is>
          <t>Sunil CR</t>
        </is>
      </c>
      <c r="P1107" s="26" t="inlineStr">
        <is>
          <t>Yes</t>
        </is>
      </c>
      <c r="Q1107" s="26" t="inlineStr">
        <is>
          <t>No</t>
        </is>
      </c>
      <c r="R1107" s="26" t="inlineStr">
        <is>
          <t>Good finish</t>
        </is>
      </c>
      <c r="S1107" s="26" t="inlineStr">
        <is>
          <t>Yes</t>
        </is>
      </c>
      <c r="T1107" s="27" t="n"/>
      <c r="U1107" s="28" t="inlineStr">
        <is>
          <t>No</t>
        </is>
      </c>
      <c r="V1107" s="29">
        <f>IF(N1107="","",IF(Q1107="Yes","❌ Disc",IF(P1107="No","⚠ Missing",IF(S1107="Yes","✓ OK","⚠ Check"))))</f>
        <v/>
      </c>
      <c r="W1107" s="65" t="n">
        <v>46248</v>
      </c>
      <c r="X1107" s="30" t="inlineStr">
        <is>
          <t>Sunil CR</t>
        </is>
      </c>
      <c r="Y1107" s="30" t="inlineStr">
        <is>
          <t>Yes</t>
        </is>
      </c>
      <c r="Z1107" s="30" t="n"/>
      <c r="AA1107" s="30" t="inlineStr">
        <is>
          <t>Good finish</t>
        </is>
      </c>
      <c r="AB1107" s="30" t="inlineStr">
        <is>
          <t>Yes</t>
        </is>
      </c>
      <c r="AC1107" s="27" t="n"/>
      <c r="AD1107" s="31" t="inlineStr">
        <is>
          <t>No</t>
        </is>
      </c>
      <c r="AE1107" s="32">
        <f>IF(W1107="","",IF(Z1107="Yes","❌ Disc",IF(Y1107="No","⚠ Missing",IF(AB1107="Yes","✓ OK","⚠ Check"))))</f>
        <v/>
      </c>
      <c r="AF1107" s="33" t="n"/>
      <c r="AG1107" s="33" t="n"/>
      <c r="AH1107" s="33" t="n"/>
      <c r="AI1107" s="33" t="n"/>
      <c r="AJ1107" s="33" t="n"/>
      <c r="AK1107" s="33" t="n"/>
      <c r="AL1107" s="27" t="n"/>
      <c r="AM1107" s="34" t="n"/>
      <c r="AN1107" s="35">
        <f>IF(AF1107="","",IF(AI1107="Yes","❌ Disc",IF(AH1107="No","⚠ Missing",IF(AK1107="Yes","✓ OK","⚠ Check"))))</f>
        <v/>
      </c>
      <c r="AO1107" s="36" t="n"/>
      <c r="AP1107" s="36" t="n"/>
      <c r="AQ1107" s="36" t="n"/>
      <c r="AR1107" s="36" t="n"/>
      <c r="AS1107" s="36" t="n"/>
      <c r="AT1107" s="36" t="n"/>
      <c r="AU1107" s="27" t="n"/>
      <c r="AV1107" s="37" t="n"/>
      <c r="AW1107" s="38">
        <f>IF(AO1107="","",IF(AR1107="Yes","❌ Disc",IF(AQ1107="No","⚠ Missing",IF(AT1107="Yes","✓ OK","⚠ Check"))))</f>
        <v/>
      </c>
    </row>
    <row r="1108" ht="18" customHeight="1" s="46">
      <c r="A1108" s="39" t="n">
        <v>1104</v>
      </c>
      <c r="B1108" s="40" t="inlineStr">
        <is>
          <t>BD-VRM-2024-2910</t>
        </is>
      </c>
      <c r="C1108" s="41" t="inlineStr">
        <is>
          <t>Marshall Attitude Wallpaper A 66703</t>
        </is>
      </c>
      <c r="D1108" s="39" t="inlineStr">
        <is>
          <t>Marshalls</t>
        </is>
      </c>
      <c r="E1108" s="43" t="n">
        <v>46125</v>
      </c>
      <c r="F1108" s="26" t="inlineStr">
        <is>
          <t>Sunil CR</t>
        </is>
      </c>
      <c r="G1108" s="26" t="inlineStr">
        <is>
          <t>Yes</t>
        </is>
      </c>
      <c r="H1108" s="26" t="inlineStr">
        <is>
          <t>No</t>
        </is>
      </c>
      <c r="I1108" s="26" t="inlineStr">
        <is>
          <t>Good finish</t>
        </is>
      </c>
      <c r="J1108" s="26" t="inlineStr">
        <is>
          <t>Yes</t>
        </is>
      </c>
      <c r="K1108" s="27" t="n"/>
      <c r="L1108" s="28" t="inlineStr">
        <is>
          <t>No</t>
        </is>
      </c>
      <c r="M1108" s="29">
        <f>IF(E1108="","",IF(H1108="Yes","❌ Disc",IF(G1108="No","⚠ Missing",IF(J1108="Yes","✓ OK","⚠ Check"))))</f>
        <v/>
      </c>
      <c r="N1108" s="43" t="n">
        <v>46193</v>
      </c>
      <c r="O1108" s="26" t="inlineStr">
        <is>
          <t>Sunil CR</t>
        </is>
      </c>
      <c r="P1108" s="26" t="inlineStr">
        <is>
          <t>Yes</t>
        </is>
      </c>
      <c r="Q1108" s="26" t="inlineStr">
        <is>
          <t>No</t>
        </is>
      </c>
      <c r="R1108" s="26" t="inlineStr">
        <is>
          <t>Good finish</t>
        </is>
      </c>
      <c r="S1108" s="26" t="inlineStr">
        <is>
          <t>Yes</t>
        </is>
      </c>
      <c r="T1108" s="27" t="n"/>
      <c r="U1108" s="28" t="inlineStr">
        <is>
          <t>No</t>
        </is>
      </c>
      <c r="V1108" s="29">
        <f>IF(N1108="","",IF(Q1108="Yes","❌ Disc",IF(P1108="No","⚠ Missing",IF(S1108="Yes","✓ OK","⚠ Check"))))</f>
        <v/>
      </c>
      <c r="W1108" s="65" t="n">
        <v>46248</v>
      </c>
      <c r="X1108" s="30" t="inlineStr">
        <is>
          <t>Sunil CR</t>
        </is>
      </c>
      <c r="Y1108" s="30" t="inlineStr">
        <is>
          <t>Yes</t>
        </is>
      </c>
      <c r="Z1108" s="30" t="n"/>
      <c r="AA1108" s="30" t="inlineStr">
        <is>
          <t>Good finish</t>
        </is>
      </c>
      <c r="AB1108" s="30" t="inlineStr">
        <is>
          <t>Yes</t>
        </is>
      </c>
      <c r="AC1108" s="27" t="n"/>
      <c r="AD1108" s="31" t="inlineStr">
        <is>
          <t>No</t>
        </is>
      </c>
      <c r="AE1108" s="32">
        <f>IF(W1108="","",IF(Z1108="Yes","❌ Disc",IF(Y1108="No","⚠ Missing",IF(AB1108="Yes","✓ OK","⚠ Check"))))</f>
        <v/>
      </c>
      <c r="AF1108" s="33" t="n"/>
      <c r="AG1108" s="33" t="n"/>
      <c r="AH1108" s="33" t="n"/>
      <c r="AI1108" s="33" t="n"/>
      <c r="AJ1108" s="33" t="n"/>
      <c r="AK1108" s="33" t="n"/>
      <c r="AL1108" s="27" t="n"/>
      <c r="AM1108" s="34" t="n"/>
      <c r="AN1108" s="35">
        <f>IF(AF1108="","",IF(AI1108="Yes","❌ Disc",IF(AH1108="No","⚠ Missing",IF(AK1108="Yes","✓ OK","⚠ Check"))))</f>
        <v/>
      </c>
      <c r="AO1108" s="36" t="n"/>
      <c r="AP1108" s="36" t="n"/>
      <c r="AQ1108" s="36" t="n"/>
      <c r="AR1108" s="36" t="n"/>
      <c r="AS1108" s="36" t="n"/>
      <c r="AT1108" s="36" t="n"/>
      <c r="AU1108" s="27" t="n"/>
      <c r="AV1108" s="37" t="n"/>
      <c r="AW1108" s="38">
        <f>IF(AO1108="","",IF(AR1108="Yes","❌ Disc",IF(AQ1108="No","⚠ Missing",IF(AT1108="Yes","✓ OK","⚠ Check"))))</f>
        <v/>
      </c>
    </row>
    <row r="1109" ht="18" customHeight="1" s="46">
      <c r="A1109" s="23" t="n">
        <v>1105</v>
      </c>
      <c r="B1109" s="24" t="inlineStr">
        <is>
          <t>BD-VRM-2024-2887</t>
        </is>
      </c>
      <c r="C1109" s="25" t="inlineStr">
        <is>
          <t>Marshall Attitude Wallpaper A 66901</t>
        </is>
      </c>
      <c r="D1109" s="23" t="inlineStr">
        <is>
          <t>Marshalls</t>
        </is>
      </c>
      <c r="E1109" s="43" t="n">
        <v>46125</v>
      </c>
      <c r="F1109" s="26" t="inlineStr">
        <is>
          <t>Sunil CR</t>
        </is>
      </c>
      <c r="G1109" s="26" t="inlineStr">
        <is>
          <t>Yes</t>
        </is>
      </c>
      <c r="H1109" s="26" t="inlineStr">
        <is>
          <t>No</t>
        </is>
      </c>
      <c r="I1109" s="26" t="inlineStr">
        <is>
          <t>Good finish</t>
        </is>
      </c>
      <c r="J1109" s="26" t="inlineStr">
        <is>
          <t>Yes</t>
        </is>
      </c>
      <c r="K1109" s="27" t="n"/>
      <c r="L1109" s="28" t="inlineStr">
        <is>
          <t>No</t>
        </is>
      </c>
      <c r="M1109" s="29">
        <f>IF(E1109="","",IF(H1109="Yes","❌ Disc",IF(G1109="No","⚠ Missing",IF(J1109="Yes","✓ OK","⚠ Check"))))</f>
        <v/>
      </c>
      <c r="N1109" s="43" t="n">
        <v>46193</v>
      </c>
      <c r="O1109" s="26" t="inlineStr">
        <is>
          <t>Sunil CR</t>
        </is>
      </c>
      <c r="P1109" s="26" t="inlineStr">
        <is>
          <t>Yes</t>
        </is>
      </c>
      <c r="Q1109" s="26" t="inlineStr">
        <is>
          <t>No</t>
        </is>
      </c>
      <c r="R1109" s="26" t="inlineStr">
        <is>
          <t>Good finish</t>
        </is>
      </c>
      <c r="S1109" s="26" t="inlineStr">
        <is>
          <t>Yes</t>
        </is>
      </c>
      <c r="T1109" s="27" t="n"/>
      <c r="U1109" s="28" t="inlineStr">
        <is>
          <t>No</t>
        </is>
      </c>
      <c r="V1109" s="29">
        <f>IF(N1109="","",IF(Q1109="Yes","❌ Disc",IF(P1109="No","⚠ Missing",IF(S1109="Yes","✓ OK","⚠ Check"))))</f>
        <v/>
      </c>
      <c r="W1109" s="65" t="n">
        <v>46248</v>
      </c>
      <c r="X1109" s="30" t="inlineStr">
        <is>
          <t>Sunil CR</t>
        </is>
      </c>
      <c r="Y1109" s="30" t="inlineStr">
        <is>
          <t>Yes</t>
        </is>
      </c>
      <c r="Z1109" s="30" t="n"/>
      <c r="AA1109" s="30" t="inlineStr">
        <is>
          <t>Good finish</t>
        </is>
      </c>
      <c r="AB1109" s="30" t="inlineStr">
        <is>
          <t>Yes</t>
        </is>
      </c>
      <c r="AC1109" s="27" t="n"/>
      <c r="AD1109" s="31" t="inlineStr">
        <is>
          <t>No</t>
        </is>
      </c>
      <c r="AE1109" s="32">
        <f>IF(W1109="","",IF(Z1109="Yes","❌ Disc",IF(Y1109="No","⚠ Missing",IF(AB1109="Yes","✓ OK","⚠ Check"))))</f>
        <v/>
      </c>
      <c r="AF1109" s="33" t="n"/>
      <c r="AG1109" s="33" t="n"/>
      <c r="AH1109" s="33" t="n"/>
      <c r="AI1109" s="33" t="n"/>
      <c r="AJ1109" s="33" t="n"/>
      <c r="AK1109" s="33" t="n"/>
      <c r="AL1109" s="27" t="n"/>
      <c r="AM1109" s="34" t="n"/>
      <c r="AN1109" s="35">
        <f>IF(AF1109="","",IF(AI1109="Yes","❌ Disc",IF(AH1109="No","⚠ Missing",IF(AK1109="Yes","✓ OK","⚠ Check"))))</f>
        <v/>
      </c>
      <c r="AO1109" s="36" t="n"/>
      <c r="AP1109" s="36" t="n"/>
      <c r="AQ1109" s="36" t="n"/>
      <c r="AR1109" s="36" t="n"/>
      <c r="AS1109" s="36" t="n"/>
      <c r="AT1109" s="36" t="n"/>
      <c r="AU1109" s="27" t="n"/>
      <c r="AV1109" s="37" t="n"/>
      <c r="AW1109" s="38">
        <f>IF(AO1109="","",IF(AR1109="Yes","❌ Disc",IF(AQ1109="No","⚠ Missing",IF(AT1109="Yes","✓ OK","⚠ Check"))))</f>
        <v/>
      </c>
    </row>
    <row r="1110" ht="18" customHeight="1" s="46">
      <c r="A1110" s="39" t="n">
        <v>1106</v>
      </c>
      <c r="B1110" s="40" t="inlineStr">
        <is>
          <t>BD-VRM-2024-2890</t>
        </is>
      </c>
      <c r="C1110" s="41" t="inlineStr">
        <is>
          <t>Marshall Attitude Wallpaper A 66902</t>
        </is>
      </c>
      <c r="D1110" s="39" t="inlineStr">
        <is>
          <t>Marshalls</t>
        </is>
      </c>
      <c r="E1110" s="43" t="n">
        <v>46125</v>
      </c>
      <c r="F1110" s="26" t="inlineStr">
        <is>
          <t>Sunil CR</t>
        </is>
      </c>
      <c r="G1110" s="26" t="inlineStr">
        <is>
          <t>Yes</t>
        </is>
      </c>
      <c r="H1110" s="26" t="inlineStr">
        <is>
          <t>No</t>
        </is>
      </c>
      <c r="I1110" s="26" t="inlineStr">
        <is>
          <t>Good finish</t>
        </is>
      </c>
      <c r="J1110" s="26" t="inlineStr">
        <is>
          <t>Yes</t>
        </is>
      </c>
      <c r="K1110" s="27" t="n"/>
      <c r="L1110" s="28" t="inlineStr">
        <is>
          <t>No</t>
        </is>
      </c>
      <c r="M1110" s="29">
        <f>IF(E1110="","",IF(H1110="Yes","❌ Disc",IF(G1110="No","⚠ Missing",IF(J1110="Yes","✓ OK","⚠ Check"))))</f>
        <v/>
      </c>
      <c r="N1110" s="43" t="n">
        <v>46193</v>
      </c>
      <c r="O1110" s="26" t="inlineStr">
        <is>
          <t>Sunil CR</t>
        </is>
      </c>
      <c r="P1110" s="26" t="inlineStr">
        <is>
          <t>Yes</t>
        </is>
      </c>
      <c r="Q1110" s="26" t="inlineStr">
        <is>
          <t>No</t>
        </is>
      </c>
      <c r="R1110" s="26" t="inlineStr">
        <is>
          <t>Good finish</t>
        </is>
      </c>
      <c r="S1110" s="26" t="inlineStr">
        <is>
          <t>Yes</t>
        </is>
      </c>
      <c r="T1110" s="27" t="n"/>
      <c r="U1110" s="28" t="inlineStr">
        <is>
          <t>No</t>
        </is>
      </c>
      <c r="V1110" s="29">
        <f>IF(N1110="","",IF(Q1110="Yes","❌ Disc",IF(P1110="No","⚠ Missing",IF(S1110="Yes","✓ OK","⚠ Check"))))</f>
        <v/>
      </c>
      <c r="W1110" s="65" t="n">
        <v>46248</v>
      </c>
      <c r="X1110" s="30" t="inlineStr">
        <is>
          <t>Sunil CR</t>
        </is>
      </c>
      <c r="Y1110" s="30" t="inlineStr">
        <is>
          <t>Yes</t>
        </is>
      </c>
      <c r="Z1110" s="30" t="n"/>
      <c r="AA1110" s="30" t="inlineStr">
        <is>
          <t>Good finish</t>
        </is>
      </c>
      <c r="AB1110" s="30" t="inlineStr">
        <is>
          <t>Yes</t>
        </is>
      </c>
      <c r="AC1110" s="27" t="n"/>
      <c r="AD1110" s="31" t="inlineStr">
        <is>
          <t>No</t>
        </is>
      </c>
      <c r="AE1110" s="32">
        <f>IF(W1110="","",IF(Z1110="Yes","❌ Disc",IF(Y1110="No","⚠ Missing",IF(AB1110="Yes","✓ OK","⚠ Check"))))</f>
        <v/>
      </c>
      <c r="AF1110" s="33" t="n"/>
      <c r="AG1110" s="33" t="n"/>
      <c r="AH1110" s="33" t="n"/>
      <c r="AI1110" s="33" t="n"/>
      <c r="AJ1110" s="33" t="n"/>
      <c r="AK1110" s="33" t="n"/>
      <c r="AL1110" s="27" t="n"/>
      <c r="AM1110" s="34" t="n"/>
      <c r="AN1110" s="35">
        <f>IF(AF1110="","",IF(AI1110="Yes","❌ Disc",IF(AH1110="No","⚠ Missing",IF(AK1110="Yes","✓ OK","⚠ Check"))))</f>
        <v/>
      </c>
      <c r="AO1110" s="36" t="n"/>
      <c r="AP1110" s="36" t="n"/>
      <c r="AQ1110" s="36" t="n"/>
      <c r="AR1110" s="36" t="n"/>
      <c r="AS1110" s="36" t="n"/>
      <c r="AT1110" s="36" t="n"/>
      <c r="AU1110" s="27" t="n"/>
      <c r="AV1110" s="37" t="n"/>
      <c r="AW1110" s="38">
        <f>IF(AO1110="","",IF(AR1110="Yes","❌ Disc",IF(AQ1110="No","⚠ Missing",IF(AT1110="Yes","✓ OK","⚠ Check"))))</f>
        <v/>
      </c>
    </row>
    <row r="1111" ht="18" customHeight="1" s="46">
      <c r="A1111" s="23" t="n">
        <v>1107</v>
      </c>
      <c r="B1111" s="24" t="inlineStr">
        <is>
          <t>BD-VRM-2024-2888</t>
        </is>
      </c>
      <c r="C1111" s="25" t="inlineStr">
        <is>
          <t>Marshall Attitude Wallpaper A 66903</t>
        </is>
      </c>
      <c r="D1111" s="23" t="inlineStr">
        <is>
          <t>Marshalls</t>
        </is>
      </c>
      <c r="E1111" s="43" t="n">
        <v>46125</v>
      </c>
      <c r="F1111" s="26" t="inlineStr">
        <is>
          <t>Sunil CR</t>
        </is>
      </c>
      <c r="G1111" s="26" t="inlineStr">
        <is>
          <t>Yes</t>
        </is>
      </c>
      <c r="H1111" s="26" t="inlineStr">
        <is>
          <t>No</t>
        </is>
      </c>
      <c r="I1111" s="26" t="inlineStr">
        <is>
          <t>Good finish</t>
        </is>
      </c>
      <c r="J1111" s="26" t="inlineStr">
        <is>
          <t>Yes</t>
        </is>
      </c>
      <c r="K1111" s="27" t="n"/>
      <c r="L1111" s="28" t="inlineStr">
        <is>
          <t>No</t>
        </is>
      </c>
      <c r="M1111" s="29">
        <f>IF(E1111="","",IF(H1111="Yes","❌ Disc",IF(G1111="No","⚠ Missing",IF(J1111="Yes","✓ OK","⚠ Check"))))</f>
        <v/>
      </c>
      <c r="N1111" s="43" t="n">
        <v>46193</v>
      </c>
      <c r="O1111" s="26" t="inlineStr">
        <is>
          <t>Sunil CR</t>
        </is>
      </c>
      <c r="P1111" s="26" t="inlineStr">
        <is>
          <t>Yes</t>
        </is>
      </c>
      <c r="Q1111" s="26" t="inlineStr">
        <is>
          <t>No</t>
        </is>
      </c>
      <c r="R1111" s="26" t="inlineStr">
        <is>
          <t>Good finish</t>
        </is>
      </c>
      <c r="S1111" s="26" t="inlineStr">
        <is>
          <t>Yes</t>
        </is>
      </c>
      <c r="T1111" s="27" t="n"/>
      <c r="U1111" s="28" t="inlineStr">
        <is>
          <t>No</t>
        </is>
      </c>
      <c r="V1111" s="29">
        <f>IF(N1111="","",IF(Q1111="Yes","❌ Disc",IF(P1111="No","⚠ Missing",IF(S1111="Yes","✓ OK","⚠ Check"))))</f>
        <v/>
      </c>
      <c r="W1111" s="65" t="n">
        <v>46248</v>
      </c>
      <c r="X1111" s="30" t="inlineStr">
        <is>
          <t>Sunil CR</t>
        </is>
      </c>
      <c r="Y1111" s="30" t="inlineStr">
        <is>
          <t>Yes</t>
        </is>
      </c>
      <c r="Z1111" s="30" t="n"/>
      <c r="AA1111" s="30" t="inlineStr">
        <is>
          <t>Good finish</t>
        </is>
      </c>
      <c r="AB1111" s="30" t="inlineStr">
        <is>
          <t>Yes</t>
        </is>
      </c>
      <c r="AC1111" s="27" t="n"/>
      <c r="AD1111" s="31" t="inlineStr">
        <is>
          <t>No</t>
        </is>
      </c>
      <c r="AE1111" s="32">
        <f>IF(W1111="","",IF(Z1111="Yes","❌ Disc",IF(Y1111="No","⚠ Missing",IF(AB1111="Yes","✓ OK","⚠ Check"))))</f>
        <v/>
      </c>
      <c r="AF1111" s="33" t="n"/>
      <c r="AG1111" s="33" t="n"/>
      <c r="AH1111" s="33" t="n"/>
      <c r="AI1111" s="33" t="n"/>
      <c r="AJ1111" s="33" t="n"/>
      <c r="AK1111" s="33" t="n"/>
      <c r="AL1111" s="27" t="n"/>
      <c r="AM1111" s="34" t="n"/>
      <c r="AN1111" s="35">
        <f>IF(AF1111="","",IF(AI1111="Yes","❌ Disc",IF(AH1111="No","⚠ Missing",IF(AK1111="Yes","✓ OK","⚠ Check"))))</f>
        <v/>
      </c>
      <c r="AO1111" s="36" t="n"/>
      <c r="AP1111" s="36" t="n"/>
      <c r="AQ1111" s="36" t="n"/>
      <c r="AR1111" s="36" t="n"/>
      <c r="AS1111" s="36" t="n"/>
      <c r="AT1111" s="36" t="n"/>
      <c r="AU1111" s="27" t="n"/>
      <c r="AV1111" s="37" t="n"/>
      <c r="AW1111" s="38">
        <f>IF(AO1111="","",IF(AR1111="Yes","❌ Disc",IF(AQ1111="No","⚠ Missing",IF(AT1111="Yes","✓ OK","⚠ Check"))))</f>
        <v/>
      </c>
    </row>
    <row r="1112" ht="18" customHeight="1" s="46">
      <c r="A1112" s="39" t="n">
        <v>1108</v>
      </c>
      <c r="B1112" s="40" t="inlineStr">
        <is>
          <t>BD-VRM-2024-2889</t>
        </is>
      </c>
      <c r="C1112" s="41" t="inlineStr">
        <is>
          <t>Marshall Attitude Wallpaper A 66904</t>
        </is>
      </c>
      <c r="D1112" s="39" t="inlineStr">
        <is>
          <t>Marshalls</t>
        </is>
      </c>
      <c r="E1112" s="43" t="n">
        <v>46125</v>
      </c>
      <c r="F1112" s="26" t="inlineStr">
        <is>
          <t>Sunil CR</t>
        </is>
      </c>
      <c r="G1112" s="26" t="inlineStr">
        <is>
          <t>Yes</t>
        </is>
      </c>
      <c r="H1112" s="26" t="inlineStr">
        <is>
          <t>No</t>
        </is>
      </c>
      <c r="I1112" s="26" t="inlineStr">
        <is>
          <t>Good finish</t>
        </is>
      </c>
      <c r="J1112" s="26" t="inlineStr">
        <is>
          <t>Yes</t>
        </is>
      </c>
      <c r="K1112" s="27" t="n"/>
      <c r="L1112" s="28" t="inlineStr">
        <is>
          <t>No</t>
        </is>
      </c>
      <c r="M1112" s="29">
        <f>IF(E1112="","",IF(H1112="Yes","❌ Disc",IF(G1112="No","⚠ Missing",IF(J1112="Yes","✓ OK","⚠ Check"))))</f>
        <v/>
      </c>
      <c r="N1112" s="43" t="n">
        <v>46193</v>
      </c>
      <c r="O1112" s="26" t="inlineStr">
        <is>
          <t>Sunil CR</t>
        </is>
      </c>
      <c r="P1112" s="26" t="inlineStr">
        <is>
          <t>Yes</t>
        </is>
      </c>
      <c r="Q1112" s="26" t="inlineStr">
        <is>
          <t>No</t>
        </is>
      </c>
      <c r="R1112" s="26" t="inlineStr">
        <is>
          <t>Good finish</t>
        </is>
      </c>
      <c r="S1112" s="26" t="inlineStr">
        <is>
          <t>Yes</t>
        </is>
      </c>
      <c r="T1112" s="27" t="n"/>
      <c r="U1112" s="28" t="inlineStr">
        <is>
          <t>No</t>
        </is>
      </c>
      <c r="V1112" s="29">
        <f>IF(N1112="","",IF(Q1112="Yes","❌ Disc",IF(P1112="No","⚠ Missing",IF(S1112="Yes","✓ OK","⚠ Check"))))</f>
        <v/>
      </c>
      <c r="W1112" s="65" t="n">
        <v>46248</v>
      </c>
      <c r="X1112" s="30" t="inlineStr">
        <is>
          <t>Sunil CR</t>
        </is>
      </c>
      <c r="Y1112" s="30" t="inlineStr">
        <is>
          <t>Yes</t>
        </is>
      </c>
      <c r="Z1112" s="30" t="n"/>
      <c r="AA1112" s="30" t="inlineStr">
        <is>
          <t>Good finish</t>
        </is>
      </c>
      <c r="AB1112" s="30" t="inlineStr">
        <is>
          <t>Yes</t>
        </is>
      </c>
      <c r="AC1112" s="27" t="n"/>
      <c r="AD1112" s="31" t="inlineStr">
        <is>
          <t>No</t>
        </is>
      </c>
      <c r="AE1112" s="32">
        <f>IF(W1112="","",IF(Z1112="Yes","❌ Disc",IF(Y1112="No","⚠ Missing",IF(AB1112="Yes","✓ OK","⚠ Check"))))</f>
        <v/>
      </c>
      <c r="AF1112" s="33" t="n"/>
      <c r="AG1112" s="33" t="n"/>
      <c r="AH1112" s="33" t="n"/>
      <c r="AI1112" s="33" t="n"/>
      <c r="AJ1112" s="33" t="n"/>
      <c r="AK1112" s="33" t="n"/>
      <c r="AL1112" s="27" t="n"/>
      <c r="AM1112" s="34" t="n"/>
      <c r="AN1112" s="35">
        <f>IF(AF1112="","",IF(AI1112="Yes","❌ Disc",IF(AH1112="No","⚠ Missing",IF(AK1112="Yes","✓ OK","⚠ Check"))))</f>
        <v/>
      </c>
      <c r="AO1112" s="36" t="n"/>
      <c r="AP1112" s="36" t="n"/>
      <c r="AQ1112" s="36" t="n"/>
      <c r="AR1112" s="36" t="n"/>
      <c r="AS1112" s="36" t="n"/>
      <c r="AT1112" s="36" t="n"/>
      <c r="AU1112" s="27" t="n"/>
      <c r="AV1112" s="37" t="n"/>
      <c r="AW1112" s="38">
        <f>IF(AO1112="","",IF(AR1112="Yes","❌ Disc",IF(AQ1112="No","⚠ Missing",IF(AT1112="Yes","✓ OK","⚠ Check"))))</f>
        <v/>
      </c>
    </row>
    <row r="1113" ht="18" customHeight="1" s="46">
      <c r="A1113" s="23" t="n">
        <v>1109</v>
      </c>
      <c r="B1113" s="24" t="inlineStr">
        <is>
          <t>BD-VRM-2024-2876</t>
        </is>
      </c>
      <c r="C1113" s="25" t="inlineStr">
        <is>
          <t>Marshall Attitude Wallpaper A 67001</t>
        </is>
      </c>
      <c r="D1113" s="23" t="inlineStr">
        <is>
          <t>Marshalls</t>
        </is>
      </c>
      <c r="E1113" s="43" t="n">
        <v>46125</v>
      </c>
      <c r="F1113" s="26" t="inlineStr">
        <is>
          <t>Sunil CR</t>
        </is>
      </c>
      <c r="G1113" s="26" t="inlineStr">
        <is>
          <t>Yes</t>
        </is>
      </c>
      <c r="H1113" s="26" t="inlineStr">
        <is>
          <t>No</t>
        </is>
      </c>
      <c r="I1113" s="26" t="inlineStr">
        <is>
          <t>Good finish</t>
        </is>
      </c>
      <c r="J1113" s="26" t="inlineStr">
        <is>
          <t>Yes</t>
        </is>
      </c>
      <c r="K1113" s="27" t="n"/>
      <c r="L1113" s="28" t="inlineStr">
        <is>
          <t>No</t>
        </is>
      </c>
      <c r="M1113" s="29">
        <f>IF(E1113="","",IF(H1113="Yes","❌ Disc",IF(G1113="No","⚠ Missing",IF(J1113="Yes","✓ OK","⚠ Check"))))</f>
        <v/>
      </c>
      <c r="N1113" s="43" t="n">
        <v>46193</v>
      </c>
      <c r="O1113" s="26" t="inlineStr">
        <is>
          <t>Sunil CR</t>
        </is>
      </c>
      <c r="P1113" s="26" t="inlineStr">
        <is>
          <t>Yes</t>
        </is>
      </c>
      <c r="Q1113" s="26" t="inlineStr">
        <is>
          <t>No</t>
        </is>
      </c>
      <c r="R1113" s="26" t="inlineStr">
        <is>
          <t>Good finish</t>
        </is>
      </c>
      <c r="S1113" s="26" t="inlineStr">
        <is>
          <t>Yes</t>
        </is>
      </c>
      <c r="T1113" s="27" t="n"/>
      <c r="U1113" s="28" t="inlineStr">
        <is>
          <t>No</t>
        </is>
      </c>
      <c r="V1113" s="29">
        <f>IF(N1113="","",IF(Q1113="Yes","❌ Disc",IF(P1113="No","⚠ Missing",IF(S1113="Yes","✓ OK","⚠ Check"))))</f>
        <v/>
      </c>
      <c r="W1113" s="65" t="n">
        <v>46248</v>
      </c>
      <c r="X1113" s="30" t="inlineStr">
        <is>
          <t>Sunil CR</t>
        </is>
      </c>
      <c r="Y1113" s="30" t="inlineStr">
        <is>
          <t>Yes</t>
        </is>
      </c>
      <c r="Z1113" s="30" t="n"/>
      <c r="AA1113" s="30" t="inlineStr">
        <is>
          <t>Good finish</t>
        </is>
      </c>
      <c r="AB1113" s="30" t="inlineStr">
        <is>
          <t>Yes</t>
        </is>
      </c>
      <c r="AC1113" s="27" t="n"/>
      <c r="AD1113" s="31" t="inlineStr">
        <is>
          <t>No</t>
        </is>
      </c>
      <c r="AE1113" s="32">
        <f>IF(W1113="","",IF(Z1113="Yes","❌ Disc",IF(Y1113="No","⚠ Missing",IF(AB1113="Yes","✓ OK","⚠ Check"))))</f>
        <v/>
      </c>
      <c r="AF1113" s="33" t="n"/>
      <c r="AG1113" s="33" t="n"/>
      <c r="AH1113" s="33" t="n"/>
      <c r="AI1113" s="33" t="n"/>
      <c r="AJ1113" s="33" t="n"/>
      <c r="AK1113" s="33" t="n"/>
      <c r="AL1113" s="27" t="n"/>
      <c r="AM1113" s="34" t="n"/>
      <c r="AN1113" s="35">
        <f>IF(AF1113="","",IF(AI1113="Yes","❌ Disc",IF(AH1113="No","⚠ Missing",IF(AK1113="Yes","✓ OK","⚠ Check"))))</f>
        <v/>
      </c>
      <c r="AO1113" s="36" t="n"/>
      <c r="AP1113" s="36" t="n"/>
      <c r="AQ1113" s="36" t="n"/>
      <c r="AR1113" s="36" t="n"/>
      <c r="AS1113" s="36" t="n"/>
      <c r="AT1113" s="36" t="n"/>
      <c r="AU1113" s="27" t="n"/>
      <c r="AV1113" s="37" t="n"/>
      <c r="AW1113" s="38">
        <f>IF(AO1113="","",IF(AR1113="Yes","❌ Disc",IF(AQ1113="No","⚠ Missing",IF(AT1113="Yes","✓ OK","⚠ Check"))))</f>
        <v/>
      </c>
    </row>
    <row r="1114" ht="18" customHeight="1" s="46">
      <c r="A1114" s="39" t="n">
        <v>1110</v>
      </c>
      <c r="B1114" s="40" t="inlineStr">
        <is>
          <t>BD-VRM-2024-2882</t>
        </is>
      </c>
      <c r="C1114" s="41" t="inlineStr">
        <is>
          <t>Marshall Attitude Wallpaper A 67002</t>
        </is>
      </c>
      <c r="D1114" s="39" t="inlineStr">
        <is>
          <t>Marshalls</t>
        </is>
      </c>
      <c r="E1114" s="43" t="n">
        <v>46125</v>
      </c>
      <c r="F1114" s="26" t="inlineStr">
        <is>
          <t>Sunil CR</t>
        </is>
      </c>
      <c r="G1114" s="26" t="inlineStr">
        <is>
          <t>Yes</t>
        </is>
      </c>
      <c r="H1114" s="26" t="inlineStr">
        <is>
          <t>No</t>
        </is>
      </c>
      <c r="I1114" s="26" t="inlineStr">
        <is>
          <t>Good finish</t>
        </is>
      </c>
      <c r="J1114" s="26" t="inlineStr">
        <is>
          <t>Yes</t>
        </is>
      </c>
      <c r="K1114" s="27" t="n"/>
      <c r="L1114" s="28" t="inlineStr">
        <is>
          <t>No</t>
        </is>
      </c>
      <c r="M1114" s="29">
        <f>IF(E1114="","",IF(H1114="Yes","❌ Disc",IF(G1114="No","⚠ Missing",IF(J1114="Yes","✓ OK","⚠ Check"))))</f>
        <v/>
      </c>
      <c r="N1114" s="43" t="n">
        <v>46193</v>
      </c>
      <c r="O1114" s="26" t="inlineStr">
        <is>
          <t>Sunil CR</t>
        </is>
      </c>
      <c r="P1114" s="26" t="inlineStr">
        <is>
          <t>Yes</t>
        </is>
      </c>
      <c r="Q1114" s="26" t="inlineStr">
        <is>
          <t>No</t>
        </is>
      </c>
      <c r="R1114" s="26" t="inlineStr">
        <is>
          <t>Good finish</t>
        </is>
      </c>
      <c r="S1114" s="26" t="inlineStr">
        <is>
          <t>Yes</t>
        </is>
      </c>
      <c r="T1114" s="27" t="n"/>
      <c r="U1114" s="28" t="inlineStr">
        <is>
          <t>No</t>
        </is>
      </c>
      <c r="V1114" s="29">
        <f>IF(N1114="","",IF(Q1114="Yes","❌ Disc",IF(P1114="No","⚠ Missing",IF(S1114="Yes","✓ OK","⚠ Check"))))</f>
        <v/>
      </c>
      <c r="W1114" s="65" t="n">
        <v>46248</v>
      </c>
      <c r="X1114" s="30" t="inlineStr">
        <is>
          <t>Sunil CR</t>
        </is>
      </c>
      <c r="Y1114" s="30" t="inlineStr">
        <is>
          <t>Yes</t>
        </is>
      </c>
      <c r="Z1114" s="30" t="n"/>
      <c r="AA1114" s="30" t="inlineStr">
        <is>
          <t>Good finish</t>
        </is>
      </c>
      <c r="AB1114" s="30" t="inlineStr">
        <is>
          <t>Yes</t>
        </is>
      </c>
      <c r="AC1114" s="27" t="n"/>
      <c r="AD1114" s="31" t="inlineStr">
        <is>
          <t>No</t>
        </is>
      </c>
      <c r="AE1114" s="32">
        <f>IF(W1114="","",IF(Z1114="Yes","❌ Disc",IF(Y1114="No","⚠ Missing",IF(AB1114="Yes","✓ OK","⚠ Check"))))</f>
        <v/>
      </c>
      <c r="AF1114" s="33" t="n"/>
      <c r="AG1114" s="33" t="n"/>
      <c r="AH1114" s="33" t="n"/>
      <c r="AI1114" s="33" t="n"/>
      <c r="AJ1114" s="33" t="n"/>
      <c r="AK1114" s="33" t="n"/>
      <c r="AL1114" s="27" t="n"/>
      <c r="AM1114" s="34" t="n"/>
      <c r="AN1114" s="35">
        <f>IF(AF1114="","",IF(AI1114="Yes","❌ Disc",IF(AH1114="No","⚠ Missing",IF(AK1114="Yes","✓ OK","⚠ Check"))))</f>
        <v/>
      </c>
      <c r="AO1114" s="36" t="n"/>
      <c r="AP1114" s="36" t="n"/>
      <c r="AQ1114" s="36" t="n"/>
      <c r="AR1114" s="36" t="n"/>
      <c r="AS1114" s="36" t="n"/>
      <c r="AT1114" s="36" t="n"/>
      <c r="AU1114" s="27" t="n"/>
      <c r="AV1114" s="37" t="n"/>
      <c r="AW1114" s="38">
        <f>IF(AO1114="","",IF(AR1114="Yes","❌ Disc",IF(AQ1114="No","⚠ Missing",IF(AT1114="Yes","✓ OK","⚠ Check"))))</f>
        <v/>
      </c>
    </row>
    <row r="1115" ht="18" customHeight="1" s="46">
      <c r="A1115" s="23" t="n">
        <v>1111</v>
      </c>
      <c r="B1115" s="24" t="inlineStr">
        <is>
          <t>BD-VRM-2024-2879</t>
        </is>
      </c>
      <c r="C1115" s="25" t="inlineStr">
        <is>
          <t>Marshall Attitude Wallpaper A 67003</t>
        </is>
      </c>
      <c r="D1115" s="23" t="inlineStr">
        <is>
          <t>Marshalls</t>
        </is>
      </c>
      <c r="E1115" s="43" t="n">
        <v>46125</v>
      </c>
      <c r="F1115" s="26" t="inlineStr">
        <is>
          <t>Sunil CR</t>
        </is>
      </c>
      <c r="G1115" s="26" t="inlineStr">
        <is>
          <t>Yes</t>
        </is>
      </c>
      <c r="H1115" s="26" t="inlineStr">
        <is>
          <t>No</t>
        </is>
      </c>
      <c r="I1115" s="26" t="inlineStr">
        <is>
          <t>Good finish</t>
        </is>
      </c>
      <c r="J1115" s="26" t="inlineStr">
        <is>
          <t>Yes</t>
        </is>
      </c>
      <c r="K1115" s="27" t="n"/>
      <c r="L1115" s="28" t="inlineStr">
        <is>
          <t>No</t>
        </is>
      </c>
      <c r="M1115" s="29">
        <f>IF(E1115="","",IF(H1115="Yes","❌ Disc",IF(G1115="No","⚠ Missing",IF(J1115="Yes","✓ OK","⚠ Check"))))</f>
        <v/>
      </c>
      <c r="N1115" s="43" t="n">
        <v>46193</v>
      </c>
      <c r="O1115" s="26" t="inlineStr">
        <is>
          <t>Sunil CR</t>
        </is>
      </c>
      <c r="P1115" s="26" t="inlineStr">
        <is>
          <t>Yes</t>
        </is>
      </c>
      <c r="Q1115" s="26" t="inlineStr">
        <is>
          <t>No</t>
        </is>
      </c>
      <c r="R1115" s="26" t="inlineStr">
        <is>
          <t>Good finish</t>
        </is>
      </c>
      <c r="S1115" s="26" t="inlineStr">
        <is>
          <t>Yes</t>
        </is>
      </c>
      <c r="T1115" s="27" t="n"/>
      <c r="U1115" s="28" t="inlineStr">
        <is>
          <t>No</t>
        </is>
      </c>
      <c r="V1115" s="29">
        <f>IF(N1115="","",IF(Q1115="Yes","❌ Disc",IF(P1115="No","⚠ Missing",IF(S1115="Yes","✓ OK","⚠ Check"))))</f>
        <v/>
      </c>
      <c r="W1115" s="65" t="n">
        <v>46248</v>
      </c>
      <c r="X1115" s="30" t="inlineStr">
        <is>
          <t>Sunil CR</t>
        </is>
      </c>
      <c r="Y1115" s="30" t="inlineStr">
        <is>
          <t>Yes</t>
        </is>
      </c>
      <c r="Z1115" s="30" t="n"/>
      <c r="AA1115" s="30" t="inlineStr">
        <is>
          <t>Good finish</t>
        </is>
      </c>
      <c r="AB1115" s="30" t="inlineStr">
        <is>
          <t>Yes</t>
        </is>
      </c>
      <c r="AC1115" s="27" t="n"/>
      <c r="AD1115" s="31" t="inlineStr">
        <is>
          <t>No</t>
        </is>
      </c>
      <c r="AE1115" s="32">
        <f>IF(W1115="","",IF(Z1115="Yes","❌ Disc",IF(Y1115="No","⚠ Missing",IF(AB1115="Yes","✓ OK","⚠ Check"))))</f>
        <v/>
      </c>
      <c r="AF1115" s="33" t="n"/>
      <c r="AG1115" s="33" t="n"/>
      <c r="AH1115" s="33" t="n"/>
      <c r="AI1115" s="33" t="n"/>
      <c r="AJ1115" s="33" t="n"/>
      <c r="AK1115" s="33" t="n"/>
      <c r="AL1115" s="27" t="n"/>
      <c r="AM1115" s="34" t="n"/>
      <c r="AN1115" s="35">
        <f>IF(AF1115="","",IF(AI1115="Yes","❌ Disc",IF(AH1115="No","⚠ Missing",IF(AK1115="Yes","✓ OK","⚠ Check"))))</f>
        <v/>
      </c>
      <c r="AO1115" s="36" t="n"/>
      <c r="AP1115" s="36" t="n"/>
      <c r="AQ1115" s="36" t="n"/>
      <c r="AR1115" s="36" t="n"/>
      <c r="AS1115" s="36" t="n"/>
      <c r="AT1115" s="36" t="n"/>
      <c r="AU1115" s="27" t="n"/>
      <c r="AV1115" s="37" t="n"/>
      <c r="AW1115" s="38">
        <f>IF(AO1115="","",IF(AR1115="Yes","❌ Disc",IF(AQ1115="No","⚠ Missing",IF(AT1115="Yes","✓ OK","⚠ Check"))))</f>
        <v/>
      </c>
    </row>
    <row r="1116" ht="18" customHeight="1" s="46">
      <c r="A1116" s="39" t="n">
        <v>1112</v>
      </c>
      <c r="B1116" s="40" t="inlineStr">
        <is>
          <t>BD-VRM-2024-2872</t>
        </is>
      </c>
      <c r="C1116" s="41" t="inlineStr">
        <is>
          <t>Marshall Attitude Wallpaper A 67004</t>
        </is>
      </c>
      <c r="D1116" s="39" t="inlineStr">
        <is>
          <t>Marshalls</t>
        </is>
      </c>
      <c r="E1116" s="43" t="n">
        <v>46125</v>
      </c>
      <c r="F1116" s="26" t="inlineStr">
        <is>
          <t>Sunil CR</t>
        </is>
      </c>
      <c r="G1116" s="26" t="inlineStr">
        <is>
          <t>Yes</t>
        </is>
      </c>
      <c r="H1116" s="26" t="inlineStr">
        <is>
          <t>No</t>
        </is>
      </c>
      <c r="I1116" s="26" t="inlineStr">
        <is>
          <t>Good finish</t>
        </is>
      </c>
      <c r="J1116" s="26" t="inlineStr">
        <is>
          <t>Yes</t>
        </is>
      </c>
      <c r="K1116" s="27" t="n"/>
      <c r="L1116" s="28" t="inlineStr">
        <is>
          <t>No</t>
        </is>
      </c>
      <c r="M1116" s="29">
        <f>IF(E1116="","",IF(H1116="Yes","❌ Disc",IF(G1116="No","⚠ Missing",IF(J1116="Yes","✓ OK","⚠ Check"))))</f>
        <v/>
      </c>
      <c r="N1116" s="43" t="n">
        <v>46193</v>
      </c>
      <c r="O1116" s="26" t="inlineStr">
        <is>
          <t>Sunil CR</t>
        </is>
      </c>
      <c r="P1116" s="26" t="inlineStr">
        <is>
          <t>Yes</t>
        </is>
      </c>
      <c r="Q1116" s="26" t="inlineStr">
        <is>
          <t>No</t>
        </is>
      </c>
      <c r="R1116" s="26" t="inlineStr">
        <is>
          <t>Good finish</t>
        </is>
      </c>
      <c r="S1116" s="26" t="inlineStr">
        <is>
          <t>Yes</t>
        </is>
      </c>
      <c r="T1116" s="27" t="n"/>
      <c r="U1116" s="28" t="inlineStr">
        <is>
          <t>No</t>
        </is>
      </c>
      <c r="V1116" s="29">
        <f>IF(N1116="","",IF(Q1116="Yes","❌ Disc",IF(P1116="No","⚠ Missing",IF(S1116="Yes","✓ OK","⚠ Check"))))</f>
        <v/>
      </c>
      <c r="W1116" s="65" t="n">
        <v>46248</v>
      </c>
      <c r="X1116" s="30" t="inlineStr">
        <is>
          <t>Sunil CR</t>
        </is>
      </c>
      <c r="Y1116" s="30" t="inlineStr">
        <is>
          <t>Yes</t>
        </is>
      </c>
      <c r="Z1116" s="30" t="n"/>
      <c r="AA1116" s="30" t="inlineStr">
        <is>
          <t>Good finish</t>
        </is>
      </c>
      <c r="AB1116" s="30" t="inlineStr">
        <is>
          <t>Yes</t>
        </is>
      </c>
      <c r="AC1116" s="27" t="n"/>
      <c r="AD1116" s="31" t="inlineStr">
        <is>
          <t>No</t>
        </is>
      </c>
      <c r="AE1116" s="32">
        <f>IF(W1116="","",IF(Z1116="Yes","❌ Disc",IF(Y1116="No","⚠ Missing",IF(AB1116="Yes","✓ OK","⚠ Check"))))</f>
        <v/>
      </c>
      <c r="AF1116" s="33" t="n"/>
      <c r="AG1116" s="33" t="n"/>
      <c r="AH1116" s="33" t="n"/>
      <c r="AI1116" s="33" t="n"/>
      <c r="AJ1116" s="33" t="n"/>
      <c r="AK1116" s="33" t="n"/>
      <c r="AL1116" s="27" t="n"/>
      <c r="AM1116" s="34" t="n"/>
      <c r="AN1116" s="35">
        <f>IF(AF1116="","",IF(AI1116="Yes","❌ Disc",IF(AH1116="No","⚠ Missing",IF(AK1116="Yes","✓ OK","⚠ Check"))))</f>
        <v/>
      </c>
      <c r="AO1116" s="36" t="n"/>
      <c r="AP1116" s="36" t="n"/>
      <c r="AQ1116" s="36" t="n"/>
      <c r="AR1116" s="36" t="n"/>
      <c r="AS1116" s="36" t="n"/>
      <c r="AT1116" s="36" t="n"/>
      <c r="AU1116" s="27" t="n"/>
      <c r="AV1116" s="37" t="n"/>
      <c r="AW1116" s="38">
        <f>IF(AO1116="","",IF(AR1116="Yes","❌ Disc",IF(AQ1116="No","⚠ Missing",IF(AT1116="Yes","✓ OK","⚠ Check"))))</f>
        <v/>
      </c>
    </row>
    <row r="1117" ht="18" customHeight="1" s="46">
      <c r="A1117" s="23" t="n">
        <v>1113</v>
      </c>
      <c r="B1117" s="24" t="inlineStr">
        <is>
          <t>BD-VRM-2024-2875</t>
        </is>
      </c>
      <c r="C1117" s="25" t="inlineStr">
        <is>
          <t>Marshall Attitude Wallpaper A 67005</t>
        </is>
      </c>
      <c r="D1117" s="23" t="inlineStr">
        <is>
          <t>Marshalls</t>
        </is>
      </c>
      <c r="E1117" s="43" t="n">
        <v>46125</v>
      </c>
      <c r="F1117" s="26" t="inlineStr">
        <is>
          <t>Sunil CR</t>
        </is>
      </c>
      <c r="G1117" s="26" t="inlineStr">
        <is>
          <t>Yes</t>
        </is>
      </c>
      <c r="H1117" s="26" t="inlineStr">
        <is>
          <t>No</t>
        </is>
      </c>
      <c r="I1117" s="26" t="inlineStr">
        <is>
          <t>Good finish</t>
        </is>
      </c>
      <c r="J1117" s="26" t="inlineStr">
        <is>
          <t>Yes</t>
        </is>
      </c>
      <c r="K1117" s="27" t="n"/>
      <c r="L1117" s="28" t="inlineStr">
        <is>
          <t>No</t>
        </is>
      </c>
      <c r="M1117" s="29">
        <f>IF(E1117="","",IF(H1117="Yes","❌ Disc",IF(G1117="No","⚠ Missing",IF(J1117="Yes","✓ OK","⚠ Check"))))</f>
        <v/>
      </c>
      <c r="N1117" s="43" t="n">
        <v>46193</v>
      </c>
      <c r="O1117" s="26" t="inlineStr">
        <is>
          <t>Sunil CR</t>
        </is>
      </c>
      <c r="P1117" s="26" t="inlineStr">
        <is>
          <t>Yes</t>
        </is>
      </c>
      <c r="Q1117" s="26" t="inlineStr">
        <is>
          <t>No</t>
        </is>
      </c>
      <c r="R1117" s="26" t="inlineStr">
        <is>
          <t>Good finish</t>
        </is>
      </c>
      <c r="S1117" s="26" t="inlineStr">
        <is>
          <t>Yes</t>
        </is>
      </c>
      <c r="T1117" s="27" t="n"/>
      <c r="U1117" s="28" t="inlineStr">
        <is>
          <t>No</t>
        </is>
      </c>
      <c r="V1117" s="29">
        <f>IF(N1117="","",IF(Q1117="Yes","❌ Disc",IF(P1117="No","⚠ Missing",IF(S1117="Yes","✓ OK","⚠ Check"))))</f>
        <v/>
      </c>
      <c r="W1117" s="65" t="n">
        <v>46248</v>
      </c>
      <c r="X1117" s="30" t="inlineStr">
        <is>
          <t>Sunil CR</t>
        </is>
      </c>
      <c r="Y1117" s="30" t="inlineStr">
        <is>
          <t>Yes</t>
        </is>
      </c>
      <c r="Z1117" s="30" t="n"/>
      <c r="AA1117" s="30" t="inlineStr">
        <is>
          <t>Good finish</t>
        </is>
      </c>
      <c r="AB1117" s="30" t="inlineStr">
        <is>
          <t>Yes</t>
        </is>
      </c>
      <c r="AC1117" s="27" t="n"/>
      <c r="AD1117" s="31" t="inlineStr">
        <is>
          <t>No</t>
        </is>
      </c>
      <c r="AE1117" s="32">
        <f>IF(W1117="","",IF(Z1117="Yes","❌ Disc",IF(Y1117="No","⚠ Missing",IF(AB1117="Yes","✓ OK","⚠ Check"))))</f>
        <v/>
      </c>
      <c r="AF1117" s="33" t="n"/>
      <c r="AG1117" s="33" t="n"/>
      <c r="AH1117" s="33" t="n"/>
      <c r="AI1117" s="33" t="n"/>
      <c r="AJ1117" s="33" t="n"/>
      <c r="AK1117" s="33" t="n"/>
      <c r="AL1117" s="27" t="n"/>
      <c r="AM1117" s="34" t="n"/>
      <c r="AN1117" s="35">
        <f>IF(AF1117="","",IF(AI1117="Yes","❌ Disc",IF(AH1117="No","⚠ Missing",IF(AK1117="Yes","✓ OK","⚠ Check"))))</f>
        <v/>
      </c>
      <c r="AO1117" s="36" t="n"/>
      <c r="AP1117" s="36" t="n"/>
      <c r="AQ1117" s="36" t="n"/>
      <c r="AR1117" s="36" t="n"/>
      <c r="AS1117" s="36" t="n"/>
      <c r="AT1117" s="36" t="n"/>
      <c r="AU1117" s="27" t="n"/>
      <c r="AV1117" s="37" t="n"/>
      <c r="AW1117" s="38">
        <f>IF(AO1117="","",IF(AR1117="Yes","❌ Disc",IF(AQ1117="No","⚠ Missing",IF(AT1117="Yes","✓ OK","⚠ Check"))))</f>
        <v/>
      </c>
    </row>
    <row r="1118" ht="18" customHeight="1" s="46">
      <c r="A1118" s="39" t="n">
        <v>1114</v>
      </c>
      <c r="B1118" s="40" t="inlineStr">
        <is>
          <t>BD-VRM-2024-2976</t>
        </is>
      </c>
      <c r="C1118" s="41" t="inlineStr">
        <is>
          <t>Marshall Eldorado Wallpaper 15501</t>
        </is>
      </c>
      <c r="D1118" s="39" t="inlineStr">
        <is>
          <t>Marshalls</t>
        </is>
      </c>
      <c r="E1118" s="43" t="n">
        <v>46125</v>
      </c>
      <c r="F1118" s="26" t="inlineStr">
        <is>
          <t>Sunil CR</t>
        </is>
      </c>
      <c r="G1118" s="26" t="inlineStr">
        <is>
          <t>Yes</t>
        </is>
      </c>
      <c r="H1118" s="26" t="inlineStr">
        <is>
          <t>No</t>
        </is>
      </c>
      <c r="I1118" s="26" t="inlineStr">
        <is>
          <t>Good finish</t>
        </is>
      </c>
      <c r="J1118" s="26" t="inlineStr">
        <is>
          <t>Yes</t>
        </is>
      </c>
      <c r="K1118" s="27" t="n"/>
      <c r="L1118" s="28" t="inlineStr">
        <is>
          <t>No</t>
        </is>
      </c>
      <c r="M1118" s="29">
        <f>IF(E1118="","",IF(H1118="Yes","❌ Disc",IF(G1118="No","⚠ Missing",IF(J1118="Yes","✓ OK","⚠ Check"))))</f>
        <v/>
      </c>
      <c r="N1118" s="43" t="n">
        <v>46193</v>
      </c>
      <c r="O1118" s="26" t="inlineStr">
        <is>
          <t>Sunil CR</t>
        </is>
      </c>
      <c r="P1118" s="26" t="inlineStr">
        <is>
          <t>Yes</t>
        </is>
      </c>
      <c r="Q1118" s="26" t="inlineStr">
        <is>
          <t>No</t>
        </is>
      </c>
      <c r="R1118" s="26" t="inlineStr">
        <is>
          <t>Good finish</t>
        </is>
      </c>
      <c r="S1118" s="26" t="inlineStr">
        <is>
          <t>Yes</t>
        </is>
      </c>
      <c r="T1118" s="27" t="n"/>
      <c r="U1118" s="28" t="inlineStr">
        <is>
          <t>No</t>
        </is>
      </c>
      <c r="V1118" s="29">
        <f>IF(N1118="","",IF(Q1118="Yes","❌ Disc",IF(P1118="No","⚠ Missing",IF(S1118="Yes","✓ OK","⚠ Check"))))</f>
        <v/>
      </c>
      <c r="W1118" s="65" t="n">
        <v>46248</v>
      </c>
      <c r="X1118" s="30" t="inlineStr">
        <is>
          <t>Sunil CR</t>
        </is>
      </c>
      <c r="Y1118" s="30" t="inlineStr">
        <is>
          <t>Yes</t>
        </is>
      </c>
      <c r="Z1118" s="30" t="n"/>
      <c r="AA1118" s="30" t="inlineStr">
        <is>
          <t>Good finish</t>
        </is>
      </c>
      <c r="AB1118" s="30" t="inlineStr">
        <is>
          <t>Yes</t>
        </is>
      </c>
      <c r="AC1118" s="27" t="n"/>
      <c r="AD1118" s="31" t="inlineStr">
        <is>
          <t>No</t>
        </is>
      </c>
      <c r="AE1118" s="32">
        <f>IF(W1118="","",IF(Z1118="Yes","❌ Disc",IF(Y1118="No","⚠ Missing",IF(AB1118="Yes","✓ OK","⚠ Check"))))</f>
        <v/>
      </c>
      <c r="AF1118" s="33" t="n"/>
      <c r="AG1118" s="33" t="n"/>
      <c r="AH1118" s="33" t="n"/>
      <c r="AI1118" s="33" t="n"/>
      <c r="AJ1118" s="33" t="n"/>
      <c r="AK1118" s="33" t="n"/>
      <c r="AL1118" s="27" t="n"/>
      <c r="AM1118" s="34" t="n"/>
      <c r="AN1118" s="35">
        <f>IF(AF1118="","",IF(AI1118="Yes","❌ Disc",IF(AH1118="No","⚠ Missing",IF(AK1118="Yes","✓ OK","⚠ Check"))))</f>
        <v/>
      </c>
      <c r="AO1118" s="36" t="n"/>
      <c r="AP1118" s="36" t="n"/>
      <c r="AQ1118" s="36" t="n"/>
      <c r="AR1118" s="36" t="n"/>
      <c r="AS1118" s="36" t="n"/>
      <c r="AT1118" s="36" t="n"/>
      <c r="AU1118" s="27" t="n"/>
      <c r="AV1118" s="37" t="n"/>
      <c r="AW1118" s="38">
        <f>IF(AO1118="","",IF(AR1118="Yes","❌ Disc",IF(AQ1118="No","⚠ Missing",IF(AT1118="Yes","✓ OK","⚠ Check"))))</f>
        <v/>
      </c>
    </row>
    <row r="1119" ht="18" customHeight="1" s="46">
      <c r="A1119" s="23" t="n">
        <v>1115</v>
      </c>
      <c r="B1119" s="24" t="inlineStr">
        <is>
          <t>BD-VRM-2024-2966</t>
        </is>
      </c>
      <c r="C1119" s="25" t="inlineStr">
        <is>
          <t>Marshall Eldorado Wallpaper 15502</t>
        </is>
      </c>
      <c r="D1119" s="23" t="inlineStr">
        <is>
          <t>Marshalls</t>
        </is>
      </c>
      <c r="E1119" s="43" t="n">
        <v>46125</v>
      </c>
      <c r="F1119" s="26" t="inlineStr">
        <is>
          <t>Sunil CR</t>
        </is>
      </c>
      <c r="G1119" s="26" t="inlineStr">
        <is>
          <t>Yes</t>
        </is>
      </c>
      <c r="H1119" s="26" t="inlineStr">
        <is>
          <t>No</t>
        </is>
      </c>
      <c r="I1119" s="26" t="inlineStr">
        <is>
          <t>Good finish</t>
        </is>
      </c>
      <c r="J1119" s="26" t="inlineStr">
        <is>
          <t>Yes</t>
        </is>
      </c>
      <c r="K1119" s="27" t="n"/>
      <c r="L1119" s="28" t="inlineStr">
        <is>
          <t>No</t>
        </is>
      </c>
      <c r="M1119" s="29">
        <f>IF(E1119="","",IF(H1119="Yes","❌ Disc",IF(G1119="No","⚠ Missing",IF(J1119="Yes","✓ OK","⚠ Check"))))</f>
        <v/>
      </c>
      <c r="N1119" s="43" t="n">
        <v>46193</v>
      </c>
      <c r="O1119" s="26" t="inlineStr">
        <is>
          <t>Sunil CR</t>
        </is>
      </c>
      <c r="P1119" s="26" t="inlineStr">
        <is>
          <t>Yes</t>
        </is>
      </c>
      <c r="Q1119" s="26" t="inlineStr">
        <is>
          <t>No</t>
        </is>
      </c>
      <c r="R1119" s="26" t="inlineStr">
        <is>
          <t>Good finish</t>
        </is>
      </c>
      <c r="S1119" s="26" t="inlineStr">
        <is>
          <t>Yes</t>
        </is>
      </c>
      <c r="T1119" s="27" t="n"/>
      <c r="U1119" s="28" t="inlineStr">
        <is>
          <t>No</t>
        </is>
      </c>
      <c r="V1119" s="29">
        <f>IF(N1119="","",IF(Q1119="Yes","❌ Disc",IF(P1119="No","⚠ Missing",IF(S1119="Yes","✓ OK","⚠ Check"))))</f>
        <v/>
      </c>
      <c r="W1119" s="65" t="n">
        <v>46248</v>
      </c>
      <c r="X1119" s="30" t="inlineStr">
        <is>
          <t>Sunil CR</t>
        </is>
      </c>
      <c r="Y1119" s="30" t="inlineStr">
        <is>
          <t>Yes</t>
        </is>
      </c>
      <c r="Z1119" s="30" t="n"/>
      <c r="AA1119" s="30" t="inlineStr">
        <is>
          <t>Good finish</t>
        </is>
      </c>
      <c r="AB1119" s="30" t="inlineStr">
        <is>
          <t>Yes</t>
        </is>
      </c>
      <c r="AC1119" s="27" t="n"/>
      <c r="AD1119" s="31" t="inlineStr">
        <is>
          <t>No</t>
        </is>
      </c>
      <c r="AE1119" s="32">
        <f>IF(W1119="","",IF(Z1119="Yes","❌ Disc",IF(Y1119="No","⚠ Missing",IF(AB1119="Yes","✓ OK","⚠ Check"))))</f>
        <v/>
      </c>
      <c r="AF1119" s="33" t="n"/>
      <c r="AG1119" s="33" t="n"/>
      <c r="AH1119" s="33" t="n"/>
      <c r="AI1119" s="33" t="n"/>
      <c r="AJ1119" s="33" t="n"/>
      <c r="AK1119" s="33" t="n"/>
      <c r="AL1119" s="27" t="n"/>
      <c r="AM1119" s="34" t="n"/>
      <c r="AN1119" s="35">
        <f>IF(AF1119="","",IF(AI1119="Yes","❌ Disc",IF(AH1119="No","⚠ Missing",IF(AK1119="Yes","✓ OK","⚠ Check"))))</f>
        <v/>
      </c>
      <c r="AO1119" s="36" t="n"/>
      <c r="AP1119" s="36" t="n"/>
      <c r="AQ1119" s="36" t="n"/>
      <c r="AR1119" s="36" t="n"/>
      <c r="AS1119" s="36" t="n"/>
      <c r="AT1119" s="36" t="n"/>
      <c r="AU1119" s="27" t="n"/>
      <c r="AV1119" s="37" t="n"/>
      <c r="AW1119" s="38">
        <f>IF(AO1119="","",IF(AR1119="Yes","❌ Disc",IF(AQ1119="No","⚠ Missing",IF(AT1119="Yes","✓ OK","⚠ Check"))))</f>
        <v/>
      </c>
    </row>
    <row r="1120" ht="18" customHeight="1" s="46">
      <c r="A1120" s="39" t="n">
        <v>1116</v>
      </c>
      <c r="B1120" s="40" t="inlineStr">
        <is>
          <t>BD-VRM-2024-2967</t>
        </is>
      </c>
      <c r="C1120" s="41" t="inlineStr">
        <is>
          <t>Marshall Eldorado Wallpaper 15503</t>
        </is>
      </c>
      <c r="D1120" s="39" t="inlineStr">
        <is>
          <t>Marshalls</t>
        </is>
      </c>
      <c r="E1120" s="43" t="n">
        <v>46125</v>
      </c>
      <c r="F1120" s="26" t="inlineStr">
        <is>
          <t>Sunil CR</t>
        </is>
      </c>
      <c r="G1120" s="26" t="inlineStr">
        <is>
          <t>Yes</t>
        </is>
      </c>
      <c r="H1120" s="26" t="inlineStr">
        <is>
          <t>No</t>
        </is>
      </c>
      <c r="I1120" s="26" t="inlineStr">
        <is>
          <t>Good finish</t>
        </is>
      </c>
      <c r="J1120" s="26" t="inlineStr">
        <is>
          <t>Yes</t>
        </is>
      </c>
      <c r="K1120" s="27" t="n"/>
      <c r="L1120" s="28" t="inlineStr">
        <is>
          <t>No</t>
        </is>
      </c>
      <c r="M1120" s="29">
        <f>IF(E1120="","",IF(H1120="Yes","❌ Disc",IF(G1120="No","⚠ Missing",IF(J1120="Yes","✓ OK","⚠ Check"))))</f>
        <v/>
      </c>
      <c r="N1120" s="43" t="n">
        <v>46193</v>
      </c>
      <c r="O1120" s="26" t="inlineStr">
        <is>
          <t>Sunil CR</t>
        </is>
      </c>
      <c r="P1120" s="26" t="inlineStr">
        <is>
          <t>Yes</t>
        </is>
      </c>
      <c r="Q1120" s="26" t="inlineStr">
        <is>
          <t>No</t>
        </is>
      </c>
      <c r="R1120" s="26" t="inlineStr">
        <is>
          <t>Good finish</t>
        </is>
      </c>
      <c r="S1120" s="26" t="inlineStr">
        <is>
          <t>Yes</t>
        </is>
      </c>
      <c r="T1120" s="27" t="n"/>
      <c r="U1120" s="28" t="inlineStr">
        <is>
          <t>No</t>
        </is>
      </c>
      <c r="V1120" s="29">
        <f>IF(N1120="","",IF(Q1120="Yes","❌ Disc",IF(P1120="No","⚠ Missing",IF(S1120="Yes","✓ OK","⚠ Check"))))</f>
        <v/>
      </c>
      <c r="W1120" s="65" t="n">
        <v>46248</v>
      </c>
      <c r="X1120" s="30" t="inlineStr">
        <is>
          <t>Sunil CR</t>
        </is>
      </c>
      <c r="Y1120" s="30" t="inlineStr">
        <is>
          <t>Yes</t>
        </is>
      </c>
      <c r="Z1120" s="30" t="n"/>
      <c r="AA1120" s="30" t="inlineStr">
        <is>
          <t>Good finish</t>
        </is>
      </c>
      <c r="AB1120" s="30" t="inlineStr">
        <is>
          <t>Yes</t>
        </is>
      </c>
      <c r="AC1120" s="27" t="n"/>
      <c r="AD1120" s="31" t="inlineStr">
        <is>
          <t>No</t>
        </is>
      </c>
      <c r="AE1120" s="32">
        <f>IF(W1120="","",IF(Z1120="Yes","❌ Disc",IF(Y1120="No","⚠ Missing",IF(AB1120="Yes","✓ OK","⚠ Check"))))</f>
        <v/>
      </c>
      <c r="AF1120" s="33" t="n"/>
      <c r="AG1120" s="33" t="n"/>
      <c r="AH1120" s="33" t="n"/>
      <c r="AI1120" s="33" t="n"/>
      <c r="AJ1120" s="33" t="n"/>
      <c r="AK1120" s="33" t="n"/>
      <c r="AL1120" s="27" t="n"/>
      <c r="AM1120" s="34" t="n"/>
      <c r="AN1120" s="35">
        <f>IF(AF1120="","",IF(AI1120="Yes","❌ Disc",IF(AH1120="No","⚠ Missing",IF(AK1120="Yes","✓ OK","⚠ Check"))))</f>
        <v/>
      </c>
      <c r="AO1120" s="36" t="n"/>
      <c r="AP1120" s="36" t="n"/>
      <c r="AQ1120" s="36" t="n"/>
      <c r="AR1120" s="36" t="n"/>
      <c r="AS1120" s="36" t="n"/>
      <c r="AT1120" s="36" t="n"/>
      <c r="AU1120" s="27" t="n"/>
      <c r="AV1120" s="37" t="n"/>
      <c r="AW1120" s="38">
        <f>IF(AO1120="","",IF(AR1120="Yes","❌ Disc",IF(AQ1120="No","⚠ Missing",IF(AT1120="Yes","✓ OK","⚠ Check"))))</f>
        <v/>
      </c>
    </row>
    <row r="1121" ht="18" customHeight="1" s="46">
      <c r="A1121" s="23" t="n">
        <v>1117</v>
      </c>
      <c r="B1121" s="24" t="inlineStr">
        <is>
          <t>BD-VRM-2024-2972</t>
        </is>
      </c>
      <c r="C1121" s="25" t="inlineStr">
        <is>
          <t>Marshall Eldorado Wallpaper 15504</t>
        </is>
      </c>
      <c r="D1121" s="23" t="inlineStr">
        <is>
          <t>Marshalls</t>
        </is>
      </c>
      <c r="E1121" s="43" t="n">
        <v>46125</v>
      </c>
      <c r="F1121" s="26" t="inlineStr">
        <is>
          <t>Sunil CR</t>
        </is>
      </c>
      <c r="G1121" s="26" t="inlineStr">
        <is>
          <t>Yes</t>
        </is>
      </c>
      <c r="H1121" s="26" t="inlineStr">
        <is>
          <t>No</t>
        </is>
      </c>
      <c r="I1121" s="26" t="inlineStr">
        <is>
          <t>Good finish</t>
        </is>
      </c>
      <c r="J1121" s="26" t="inlineStr">
        <is>
          <t>Yes</t>
        </is>
      </c>
      <c r="K1121" s="27" t="n"/>
      <c r="L1121" s="28" t="inlineStr">
        <is>
          <t>No</t>
        </is>
      </c>
      <c r="M1121" s="29">
        <f>IF(E1121="","",IF(H1121="Yes","❌ Disc",IF(G1121="No","⚠ Missing",IF(J1121="Yes","✓ OK","⚠ Check"))))</f>
        <v/>
      </c>
      <c r="N1121" s="43" t="n">
        <v>46193</v>
      </c>
      <c r="O1121" s="26" t="inlineStr">
        <is>
          <t>Sunil CR</t>
        </is>
      </c>
      <c r="P1121" s="26" t="inlineStr">
        <is>
          <t>Yes</t>
        </is>
      </c>
      <c r="Q1121" s="26" t="inlineStr">
        <is>
          <t>No</t>
        </is>
      </c>
      <c r="R1121" s="26" t="inlineStr">
        <is>
          <t>Good finish</t>
        </is>
      </c>
      <c r="S1121" s="26" t="inlineStr">
        <is>
          <t>Yes</t>
        </is>
      </c>
      <c r="T1121" s="27" t="n"/>
      <c r="U1121" s="28" t="inlineStr">
        <is>
          <t>No</t>
        </is>
      </c>
      <c r="V1121" s="29">
        <f>IF(N1121="","",IF(Q1121="Yes","❌ Disc",IF(P1121="No","⚠ Missing",IF(S1121="Yes","✓ OK","⚠ Check"))))</f>
        <v/>
      </c>
      <c r="W1121" s="65" t="n">
        <v>46248</v>
      </c>
      <c r="X1121" s="30" t="inlineStr">
        <is>
          <t>Sunil CR</t>
        </is>
      </c>
      <c r="Y1121" s="30" t="inlineStr">
        <is>
          <t>Yes</t>
        </is>
      </c>
      <c r="Z1121" s="30" t="n"/>
      <c r="AA1121" s="30" t="inlineStr">
        <is>
          <t>Good finish</t>
        </is>
      </c>
      <c r="AB1121" s="30" t="inlineStr">
        <is>
          <t>Yes</t>
        </is>
      </c>
      <c r="AC1121" s="27" t="n"/>
      <c r="AD1121" s="31" t="inlineStr">
        <is>
          <t>No</t>
        </is>
      </c>
      <c r="AE1121" s="32">
        <f>IF(W1121="","",IF(Z1121="Yes","❌ Disc",IF(Y1121="No","⚠ Missing",IF(AB1121="Yes","✓ OK","⚠ Check"))))</f>
        <v/>
      </c>
      <c r="AF1121" s="33" t="n"/>
      <c r="AG1121" s="33" t="n"/>
      <c r="AH1121" s="33" t="n"/>
      <c r="AI1121" s="33" t="n"/>
      <c r="AJ1121" s="33" t="n"/>
      <c r="AK1121" s="33" t="n"/>
      <c r="AL1121" s="27" t="n"/>
      <c r="AM1121" s="34" t="n"/>
      <c r="AN1121" s="35">
        <f>IF(AF1121="","",IF(AI1121="Yes","❌ Disc",IF(AH1121="No","⚠ Missing",IF(AK1121="Yes","✓ OK","⚠ Check"))))</f>
        <v/>
      </c>
      <c r="AO1121" s="36" t="n"/>
      <c r="AP1121" s="36" t="n"/>
      <c r="AQ1121" s="36" t="n"/>
      <c r="AR1121" s="36" t="n"/>
      <c r="AS1121" s="36" t="n"/>
      <c r="AT1121" s="36" t="n"/>
      <c r="AU1121" s="27" t="n"/>
      <c r="AV1121" s="37" t="n"/>
      <c r="AW1121" s="38">
        <f>IF(AO1121="","",IF(AR1121="Yes","❌ Disc",IF(AQ1121="No","⚠ Missing",IF(AT1121="Yes","✓ OK","⚠ Check"))))</f>
        <v/>
      </c>
    </row>
    <row r="1122" ht="18" customHeight="1" s="46">
      <c r="A1122" s="39" t="n">
        <v>1118</v>
      </c>
      <c r="B1122" s="40" t="inlineStr">
        <is>
          <t>BD-VRM-2024-2971</t>
        </is>
      </c>
      <c r="C1122" s="41" t="inlineStr">
        <is>
          <t>Marshall Eldorado Wallpaper 15505</t>
        </is>
      </c>
      <c r="D1122" s="39" t="inlineStr">
        <is>
          <t>Marshalls</t>
        </is>
      </c>
      <c r="E1122" s="43" t="n">
        <v>46125</v>
      </c>
      <c r="F1122" s="26" t="inlineStr">
        <is>
          <t>Sunil CR</t>
        </is>
      </c>
      <c r="G1122" s="26" t="inlineStr">
        <is>
          <t>Yes</t>
        </is>
      </c>
      <c r="H1122" s="26" t="inlineStr">
        <is>
          <t>No</t>
        </is>
      </c>
      <c r="I1122" s="26" t="inlineStr">
        <is>
          <t>Good finish</t>
        </is>
      </c>
      <c r="J1122" s="26" t="inlineStr">
        <is>
          <t>Yes</t>
        </is>
      </c>
      <c r="K1122" s="27" t="n"/>
      <c r="L1122" s="28" t="inlineStr">
        <is>
          <t>No</t>
        </is>
      </c>
      <c r="M1122" s="29">
        <f>IF(E1122="","",IF(H1122="Yes","❌ Disc",IF(G1122="No","⚠ Missing",IF(J1122="Yes","✓ OK","⚠ Check"))))</f>
        <v/>
      </c>
      <c r="N1122" s="43" t="n">
        <v>46193</v>
      </c>
      <c r="O1122" s="26" t="inlineStr">
        <is>
          <t>Sunil CR</t>
        </is>
      </c>
      <c r="P1122" s="26" t="inlineStr">
        <is>
          <t>Yes</t>
        </is>
      </c>
      <c r="Q1122" s="26" t="inlineStr">
        <is>
          <t>No</t>
        </is>
      </c>
      <c r="R1122" s="26" t="inlineStr">
        <is>
          <t>Good finish</t>
        </is>
      </c>
      <c r="S1122" s="26" t="inlineStr">
        <is>
          <t>Yes</t>
        </is>
      </c>
      <c r="T1122" s="27" t="n"/>
      <c r="U1122" s="28" t="inlineStr">
        <is>
          <t>No</t>
        </is>
      </c>
      <c r="V1122" s="29">
        <f>IF(N1122="","",IF(Q1122="Yes","❌ Disc",IF(P1122="No","⚠ Missing",IF(S1122="Yes","✓ OK","⚠ Check"))))</f>
        <v/>
      </c>
      <c r="W1122" s="65" t="n">
        <v>46248</v>
      </c>
      <c r="X1122" s="30" t="inlineStr">
        <is>
          <t>Sunil CR</t>
        </is>
      </c>
      <c r="Y1122" s="30" t="inlineStr">
        <is>
          <t>Yes</t>
        </is>
      </c>
      <c r="Z1122" s="30" t="n"/>
      <c r="AA1122" s="30" t="inlineStr">
        <is>
          <t>Good finish</t>
        </is>
      </c>
      <c r="AB1122" s="30" t="inlineStr">
        <is>
          <t>Yes</t>
        </is>
      </c>
      <c r="AC1122" s="27" t="n"/>
      <c r="AD1122" s="31" t="inlineStr">
        <is>
          <t>No</t>
        </is>
      </c>
      <c r="AE1122" s="32">
        <f>IF(W1122="","",IF(Z1122="Yes","❌ Disc",IF(Y1122="No","⚠ Missing",IF(AB1122="Yes","✓ OK","⚠ Check"))))</f>
        <v/>
      </c>
      <c r="AF1122" s="33" t="n"/>
      <c r="AG1122" s="33" t="n"/>
      <c r="AH1122" s="33" t="n"/>
      <c r="AI1122" s="33" t="n"/>
      <c r="AJ1122" s="33" t="n"/>
      <c r="AK1122" s="33" t="n"/>
      <c r="AL1122" s="27" t="n"/>
      <c r="AM1122" s="34" t="n"/>
      <c r="AN1122" s="35">
        <f>IF(AF1122="","",IF(AI1122="Yes","❌ Disc",IF(AH1122="No","⚠ Missing",IF(AK1122="Yes","✓ OK","⚠ Check"))))</f>
        <v/>
      </c>
      <c r="AO1122" s="36" t="n"/>
      <c r="AP1122" s="36" t="n"/>
      <c r="AQ1122" s="36" t="n"/>
      <c r="AR1122" s="36" t="n"/>
      <c r="AS1122" s="36" t="n"/>
      <c r="AT1122" s="36" t="n"/>
      <c r="AU1122" s="27" t="n"/>
      <c r="AV1122" s="37" t="n"/>
      <c r="AW1122" s="38">
        <f>IF(AO1122="","",IF(AR1122="Yes","❌ Disc",IF(AQ1122="No","⚠ Missing",IF(AT1122="Yes","✓ OK","⚠ Check"))))</f>
        <v/>
      </c>
    </row>
    <row r="1123" ht="18" customHeight="1" s="46">
      <c r="A1123" s="23" t="n">
        <v>1119</v>
      </c>
      <c r="B1123" s="24" t="inlineStr">
        <is>
          <t>BD-VRM-2024-2973</t>
        </is>
      </c>
      <c r="C1123" s="25" t="inlineStr">
        <is>
          <t>Marshall Eldorado Wallpaper 15506</t>
        </is>
      </c>
      <c r="D1123" s="23" t="inlineStr">
        <is>
          <t>Marshalls</t>
        </is>
      </c>
      <c r="E1123" s="43" t="n">
        <v>46125</v>
      </c>
      <c r="F1123" s="26" t="inlineStr">
        <is>
          <t>Sunil CR</t>
        </is>
      </c>
      <c r="G1123" s="26" t="inlineStr">
        <is>
          <t>Yes</t>
        </is>
      </c>
      <c r="H1123" s="26" t="inlineStr">
        <is>
          <t>No</t>
        </is>
      </c>
      <c r="I1123" s="26" t="inlineStr">
        <is>
          <t>Good finish</t>
        </is>
      </c>
      <c r="J1123" s="26" t="inlineStr">
        <is>
          <t>Yes</t>
        </is>
      </c>
      <c r="K1123" s="27" t="n"/>
      <c r="L1123" s="28" t="inlineStr">
        <is>
          <t>No</t>
        </is>
      </c>
      <c r="M1123" s="29">
        <f>IF(E1123="","",IF(H1123="Yes","❌ Disc",IF(G1123="No","⚠ Missing",IF(J1123="Yes","✓ OK","⚠ Check"))))</f>
        <v/>
      </c>
      <c r="N1123" s="43" t="n">
        <v>46193</v>
      </c>
      <c r="O1123" s="26" t="inlineStr">
        <is>
          <t>Sunil CR</t>
        </is>
      </c>
      <c r="P1123" s="26" t="inlineStr">
        <is>
          <t>Yes</t>
        </is>
      </c>
      <c r="Q1123" s="26" t="inlineStr">
        <is>
          <t>No</t>
        </is>
      </c>
      <c r="R1123" s="26" t="inlineStr">
        <is>
          <t>Good finish</t>
        </is>
      </c>
      <c r="S1123" s="26" t="inlineStr">
        <is>
          <t>Yes</t>
        </is>
      </c>
      <c r="T1123" s="27" t="n"/>
      <c r="U1123" s="28" t="inlineStr">
        <is>
          <t>No</t>
        </is>
      </c>
      <c r="V1123" s="29">
        <f>IF(N1123="","",IF(Q1123="Yes","❌ Disc",IF(P1123="No","⚠ Missing",IF(S1123="Yes","✓ OK","⚠ Check"))))</f>
        <v/>
      </c>
      <c r="W1123" s="65" t="n">
        <v>46248</v>
      </c>
      <c r="X1123" s="30" t="inlineStr">
        <is>
          <t>Sunil CR</t>
        </is>
      </c>
      <c r="Y1123" s="30" t="inlineStr">
        <is>
          <t>Yes</t>
        </is>
      </c>
      <c r="Z1123" s="30" t="n"/>
      <c r="AA1123" s="30" t="inlineStr">
        <is>
          <t>Good finish</t>
        </is>
      </c>
      <c r="AB1123" s="30" t="inlineStr">
        <is>
          <t>Yes</t>
        </is>
      </c>
      <c r="AC1123" s="27" t="n"/>
      <c r="AD1123" s="31" t="inlineStr">
        <is>
          <t>No</t>
        </is>
      </c>
      <c r="AE1123" s="32">
        <f>IF(W1123="","",IF(Z1123="Yes","❌ Disc",IF(Y1123="No","⚠ Missing",IF(AB1123="Yes","✓ OK","⚠ Check"))))</f>
        <v/>
      </c>
      <c r="AF1123" s="33" t="n"/>
      <c r="AG1123" s="33" t="n"/>
      <c r="AH1123" s="33" t="n"/>
      <c r="AI1123" s="33" t="n"/>
      <c r="AJ1123" s="33" t="n"/>
      <c r="AK1123" s="33" t="n"/>
      <c r="AL1123" s="27" t="n"/>
      <c r="AM1123" s="34" t="n"/>
      <c r="AN1123" s="35">
        <f>IF(AF1123="","",IF(AI1123="Yes","❌ Disc",IF(AH1123="No","⚠ Missing",IF(AK1123="Yes","✓ OK","⚠ Check"))))</f>
        <v/>
      </c>
      <c r="AO1123" s="36" t="n"/>
      <c r="AP1123" s="36" t="n"/>
      <c r="AQ1123" s="36" t="n"/>
      <c r="AR1123" s="36" t="n"/>
      <c r="AS1123" s="36" t="n"/>
      <c r="AT1123" s="36" t="n"/>
      <c r="AU1123" s="27" t="n"/>
      <c r="AV1123" s="37" t="n"/>
      <c r="AW1123" s="38">
        <f>IF(AO1123="","",IF(AR1123="Yes","❌ Disc",IF(AQ1123="No","⚠ Missing",IF(AT1123="Yes","✓ OK","⚠ Check"))))</f>
        <v/>
      </c>
    </row>
    <row r="1124" ht="18" customHeight="1" s="46">
      <c r="A1124" s="39" t="n">
        <v>1120</v>
      </c>
      <c r="B1124" s="40" t="inlineStr">
        <is>
          <t>BD-VRM-2024-2969</t>
        </is>
      </c>
      <c r="C1124" s="41" t="inlineStr">
        <is>
          <t>Marshall Eldorado Wallpaper 15507</t>
        </is>
      </c>
      <c r="D1124" s="39" t="inlineStr">
        <is>
          <t>Marshalls</t>
        </is>
      </c>
      <c r="E1124" s="43" t="n">
        <v>46125</v>
      </c>
      <c r="F1124" s="26" t="inlineStr">
        <is>
          <t>Sunil CR</t>
        </is>
      </c>
      <c r="G1124" s="26" t="inlineStr">
        <is>
          <t>Yes</t>
        </is>
      </c>
      <c r="H1124" s="26" t="inlineStr">
        <is>
          <t>No</t>
        </is>
      </c>
      <c r="I1124" s="26" t="inlineStr">
        <is>
          <t>Good finish</t>
        </is>
      </c>
      <c r="J1124" s="26" t="inlineStr">
        <is>
          <t>Yes</t>
        </is>
      </c>
      <c r="K1124" s="27" t="n"/>
      <c r="L1124" s="28" t="inlineStr">
        <is>
          <t>No</t>
        </is>
      </c>
      <c r="M1124" s="29">
        <f>IF(E1124="","",IF(H1124="Yes","❌ Disc",IF(G1124="No","⚠ Missing",IF(J1124="Yes","✓ OK","⚠ Check"))))</f>
        <v/>
      </c>
      <c r="N1124" s="43" t="n">
        <v>46193</v>
      </c>
      <c r="O1124" s="26" t="inlineStr">
        <is>
          <t>Sunil CR</t>
        </is>
      </c>
      <c r="P1124" s="26" t="inlineStr">
        <is>
          <t>Yes</t>
        </is>
      </c>
      <c r="Q1124" s="26" t="inlineStr">
        <is>
          <t>No</t>
        </is>
      </c>
      <c r="R1124" s="26" t="inlineStr">
        <is>
          <t>Good finish</t>
        </is>
      </c>
      <c r="S1124" s="26" t="inlineStr">
        <is>
          <t>Yes</t>
        </is>
      </c>
      <c r="T1124" s="27" t="n"/>
      <c r="U1124" s="28" t="inlineStr">
        <is>
          <t>No</t>
        </is>
      </c>
      <c r="V1124" s="29">
        <f>IF(N1124="","",IF(Q1124="Yes","❌ Disc",IF(P1124="No","⚠ Missing",IF(S1124="Yes","✓ OK","⚠ Check"))))</f>
        <v/>
      </c>
      <c r="W1124" s="65" t="n">
        <v>46248</v>
      </c>
      <c r="X1124" s="30" t="inlineStr">
        <is>
          <t>Sunil CR</t>
        </is>
      </c>
      <c r="Y1124" s="30" t="inlineStr">
        <is>
          <t>Yes</t>
        </is>
      </c>
      <c r="Z1124" s="30" t="n"/>
      <c r="AA1124" s="30" t="inlineStr">
        <is>
          <t>Good finish</t>
        </is>
      </c>
      <c r="AB1124" s="30" t="inlineStr">
        <is>
          <t>Yes</t>
        </is>
      </c>
      <c r="AC1124" s="27" t="n"/>
      <c r="AD1124" s="31" t="inlineStr">
        <is>
          <t>No</t>
        </is>
      </c>
      <c r="AE1124" s="32">
        <f>IF(W1124="","",IF(Z1124="Yes","❌ Disc",IF(Y1124="No","⚠ Missing",IF(AB1124="Yes","✓ OK","⚠ Check"))))</f>
        <v/>
      </c>
      <c r="AF1124" s="33" t="n"/>
      <c r="AG1124" s="33" t="n"/>
      <c r="AH1124" s="33" t="n"/>
      <c r="AI1124" s="33" t="n"/>
      <c r="AJ1124" s="33" t="n"/>
      <c r="AK1124" s="33" t="n"/>
      <c r="AL1124" s="27" t="n"/>
      <c r="AM1124" s="34" t="n"/>
      <c r="AN1124" s="35">
        <f>IF(AF1124="","",IF(AI1124="Yes","❌ Disc",IF(AH1124="No","⚠ Missing",IF(AK1124="Yes","✓ OK","⚠ Check"))))</f>
        <v/>
      </c>
      <c r="AO1124" s="36" t="n"/>
      <c r="AP1124" s="36" t="n"/>
      <c r="AQ1124" s="36" t="n"/>
      <c r="AR1124" s="36" t="n"/>
      <c r="AS1124" s="36" t="n"/>
      <c r="AT1124" s="36" t="n"/>
      <c r="AU1124" s="27" t="n"/>
      <c r="AV1124" s="37" t="n"/>
      <c r="AW1124" s="38">
        <f>IF(AO1124="","",IF(AR1124="Yes","❌ Disc",IF(AQ1124="No","⚠ Missing",IF(AT1124="Yes","✓ OK","⚠ Check"))))</f>
        <v/>
      </c>
    </row>
    <row r="1125" ht="18" customHeight="1" s="46">
      <c r="A1125" s="23" t="n">
        <v>1121</v>
      </c>
      <c r="B1125" s="24" t="inlineStr">
        <is>
          <t>BD-VRM-2024-2968</t>
        </is>
      </c>
      <c r="C1125" s="25" t="inlineStr">
        <is>
          <t>Marshall Eldorado Wallpaper 15508</t>
        </is>
      </c>
      <c r="D1125" s="23" t="inlineStr">
        <is>
          <t>Marshalls</t>
        </is>
      </c>
      <c r="E1125" s="43" t="n">
        <v>46125</v>
      </c>
      <c r="F1125" s="26" t="inlineStr">
        <is>
          <t>Sunil CR</t>
        </is>
      </c>
      <c r="G1125" s="26" t="inlineStr">
        <is>
          <t>Yes</t>
        </is>
      </c>
      <c r="H1125" s="26" t="inlineStr">
        <is>
          <t>No</t>
        </is>
      </c>
      <c r="I1125" s="26" t="inlineStr">
        <is>
          <t>Good finish</t>
        </is>
      </c>
      <c r="J1125" s="26" t="inlineStr">
        <is>
          <t>Yes</t>
        </is>
      </c>
      <c r="K1125" s="27" t="n"/>
      <c r="L1125" s="28" t="inlineStr">
        <is>
          <t>No</t>
        </is>
      </c>
      <c r="M1125" s="29">
        <f>IF(E1125="","",IF(H1125="Yes","❌ Disc",IF(G1125="No","⚠ Missing",IF(J1125="Yes","✓ OK","⚠ Check"))))</f>
        <v/>
      </c>
      <c r="N1125" s="43" t="n">
        <v>46193</v>
      </c>
      <c r="O1125" s="26" t="inlineStr">
        <is>
          <t>Sunil CR</t>
        </is>
      </c>
      <c r="P1125" s="26" t="inlineStr">
        <is>
          <t>Yes</t>
        </is>
      </c>
      <c r="Q1125" s="26" t="inlineStr">
        <is>
          <t>No</t>
        </is>
      </c>
      <c r="R1125" s="26" t="inlineStr">
        <is>
          <t>Good finish</t>
        </is>
      </c>
      <c r="S1125" s="26" t="inlineStr">
        <is>
          <t>Yes</t>
        </is>
      </c>
      <c r="T1125" s="27" t="n"/>
      <c r="U1125" s="28" t="inlineStr">
        <is>
          <t>No</t>
        </is>
      </c>
      <c r="V1125" s="29">
        <f>IF(N1125="","",IF(Q1125="Yes","❌ Disc",IF(P1125="No","⚠ Missing",IF(S1125="Yes","✓ OK","⚠ Check"))))</f>
        <v/>
      </c>
      <c r="W1125" s="65" t="n">
        <v>46248</v>
      </c>
      <c r="X1125" s="30" t="inlineStr">
        <is>
          <t>Sunil CR</t>
        </is>
      </c>
      <c r="Y1125" s="30" t="inlineStr">
        <is>
          <t>Yes</t>
        </is>
      </c>
      <c r="Z1125" s="30" t="n"/>
      <c r="AA1125" s="30" t="inlineStr">
        <is>
          <t>Good finish</t>
        </is>
      </c>
      <c r="AB1125" s="30" t="inlineStr">
        <is>
          <t>Yes</t>
        </is>
      </c>
      <c r="AC1125" s="27" t="n"/>
      <c r="AD1125" s="31" t="inlineStr">
        <is>
          <t>No</t>
        </is>
      </c>
      <c r="AE1125" s="32">
        <f>IF(W1125="","",IF(Z1125="Yes","❌ Disc",IF(Y1125="No","⚠ Missing",IF(AB1125="Yes","✓ OK","⚠ Check"))))</f>
        <v/>
      </c>
      <c r="AF1125" s="33" t="n"/>
      <c r="AG1125" s="33" t="n"/>
      <c r="AH1125" s="33" t="n"/>
      <c r="AI1125" s="33" t="n"/>
      <c r="AJ1125" s="33" t="n"/>
      <c r="AK1125" s="33" t="n"/>
      <c r="AL1125" s="27" t="n"/>
      <c r="AM1125" s="34" t="n"/>
      <c r="AN1125" s="35">
        <f>IF(AF1125="","",IF(AI1125="Yes","❌ Disc",IF(AH1125="No","⚠ Missing",IF(AK1125="Yes","✓ OK","⚠ Check"))))</f>
        <v/>
      </c>
      <c r="AO1125" s="36" t="n"/>
      <c r="AP1125" s="36" t="n"/>
      <c r="AQ1125" s="36" t="n"/>
      <c r="AR1125" s="36" t="n"/>
      <c r="AS1125" s="36" t="n"/>
      <c r="AT1125" s="36" t="n"/>
      <c r="AU1125" s="27" t="n"/>
      <c r="AV1125" s="37" t="n"/>
      <c r="AW1125" s="38">
        <f>IF(AO1125="","",IF(AR1125="Yes","❌ Disc",IF(AQ1125="No","⚠ Missing",IF(AT1125="Yes","✓ OK","⚠ Check"))))</f>
        <v/>
      </c>
    </row>
    <row r="1126" ht="18" customHeight="1" s="46">
      <c r="A1126" s="39" t="n">
        <v>1122</v>
      </c>
      <c r="B1126" s="40" t="inlineStr">
        <is>
          <t>BD-VRM-2024-2970</t>
        </is>
      </c>
      <c r="C1126" s="41" t="inlineStr">
        <is>
          <t>Marshall Eldorado Wallpaper 15509</t>
        </is>
      </c>
      <c r="D1126" s="39" t="inlineStr">
        <is>
          <t>Marshalls</t>
        </is>
      </c>
      <c r="E1126" s="43" t="n">
        <v>46125</v>
      </c>
      <c r="F1126" s="26" t="inlineStr">
        <is>
          <t>Sunil CR</t>
        </is>
      </c>
      <c r="G1126" s="26" t="inlineStr">
        <is>
          <t>Yes</t>
        </is>
      </c>
      <c r="H1126" s="26" t="inlineStr">
        <is>
          <t>No</t>
        </is>
      </c>
      <c r="I1126" s="26" t="inlineStr">
        <is>
          <t>Good finish</t>
        </is>
      </c>
      <c r="J1126" s="26" t="inlineStr">
        <is>
          <t>Yes</t>
        </is>
      </c>
      <c r="K1126" s="27" t="n"/>
      <c r="L1126" s="28" t="inlineStr">
        <is>
          <t>No</t>
        </is>
      </c>
      <c r="M1126" s="29">
        <f>IF(E1126="","",IF(H1126="Yes","❌ Disc",IF(G1126="No","⚠ Missing",IF(J1126="Yes","✓ OK","⚠ Check"))))</f>
        <v/>
      </c>
      <c r="N1126" s="43" t="n">
        <v>46193</v>
      </c>
      <c r="O1126" s="26" t="inlineStr">
        <is>
          <t>Sunil CR</t>
        </is>
      </c>
      <c r="P1126" s="26" t="inlineStr">
        <is>
          <t>Yes</t>
        </is>
      </c>
      <c r="Q1126" s="26" t="inlineStr">
        <is>
          <t>No</t>
        </is>
      </c>
      <c r="R1126" s="26" t="inlineStr">
        <is>
          <t>Good finish</t>
        </is>
      </c>
      <c r="S1126" s="26" t="inlineStr">
        <is>
          <t>Yes</t>
        </is>
      </c>
      <c r="T1126" s="27" t="n"/>
      <c r="U1126" s="28" t="inlineStr">
        <is>
          <t>No</t>
        </is>
      </c>
      <c r="V1126" s="29">
        <f>IF(N1126="","",IF(Q1126="Yes","❌ Disc",IF(P1126="No","⚠ Missing",IF(S1126="Yes","✓ OK","⚠ Check"))))</f>
        <v/>
      </c>
      <c r="W1126" s="65" t="n">
        <v>46248</v>
      </c>
      <c r="X1126" s="30" t="inlineStr">
        <is>
          <t>Sunil CR</t>
        </is>
      </c>
      <c r="Y1126" s="30" t="inlineStr">
        <is>
          <t>Yes</t>
        </is>
      </c>
      <c r="Z1126" s="30" t="n"/>
      <c r="AA1126" s="30" t="inlineStr">
        <is>
          <t>Good finish</t>
        </is>
      </c>
      <c r="AB1126" s="30" t="inlineStr">
        <is>
          <t>Yes</t>
        </is>
      </c>
      <c r="AC1126" s="27" t="n"/>
      <c r="AD1126" s="31" t="inlineStr">
        <is>
          <t>No</t>
        </is>
      </c>
      <c r="AE1126" s="32">
        <f>IF(W1126="","",IF(Z1126="Yes","❌ Disc",IF(Y1126="No","⚠ Missing",IF(AB1126="Yes","✓ OK","⚠ Check"))))</f>
        <v/>
      </c>
      <c r="AF1126" s="33" t="n"/>
      <c r="AG1126" s="33" t="n"/>
      <c r="AH1126" s="33" t="n"/>
      <c r="AI1126" s="33" t="n"/>
      <c r="AJ1126" s="33" t="n"/>
      <c r="AK1126" s="33" t="n"/>
      <c r="AL1126" s="27" t="n"/>
      <c r="AM1126" s="34" t="n"/>
      <c r="AN1126" s="35">
        <f>IF(AF1126="","",IF(AI1126="Yes","❌ Disc",IF(AH1126="No","⚠ Missing",IF(AK1126="Yes","✓ OK","⚠ Check"))))</f>
        <v/>
      </c>
      <c r="AO1126" s="36" t="n"/>
      <c r="AP1126" s="36" t="n"/>
      <c r="AQ1126" s="36" t="n"/>
      <c r="AR1126" s="36" t="n"/>
      <c r="AS1126" s="36" t="n"/>
      <c r="AT1126" s="36" t="n"/>
      <c r="AU1126" s="27" t="n"/>
      <c r="AV1126" s="37" t="n"/>
      <c r="AW1126" s="38">
        <f>IF(AO1126="","",IF(AR1126="Yes","❌ Disc",IF(AQ1126="No","⚠ Missing",IF(AT1126="Yes","✓ OK","⚠ Check"))))</f>
        <v/>
      </c>
    </row>
    <row r="1127" ht="18" customHeight="1" s="46">
      <c r="A1127" s="23" t="n">
        <v>1123</v>
      </c>
      <c r="B1127" s="24" t="inlineStr">
        <is>
          <t>BD-VRM-2024-2975</t>
        </is>
      </c>
      <c r="C1127" s="25" t="inlineStr">
        <is>
          <t>Marshall Eldorado Wallpaper 15516</t>
        </is>
      </c>
      <c r="D1127" s="23" t="inlineStr">
        <is>
          <t>Marshalls</t>
        </is>
      </c>
      <c r="E1127" s="43" t="n">
        <v>46125</v>
      </c>
      <c r="F1127" s="26" t="inlineStr">
        <is>
          <t>Sunil CR</t>
        </is>
      </c>
      <c r="G1127" s="26" t="inlineStr">
        <is>
          <t>Yes</t>
        </is>
      </c>
      <c r="H1127" s="26" t="inlineStr">
        <is>
          <t>No</t>
        </is>
      </c>
      <c r="I1127" s="26" t="inlineStr">
        <is>
          <t>Good finish</t>
        </is>
      </c>
      <c r="J1127" s="26" t="inlineStr">
        <is>
          <t>Yes</t>
        </is>
      </c>
      <c r="K1127" s="27" t="n"/>
      <c r="L1127" s="28" t="inlineStr">
        <is>
          <t>No</t>
        </is>
      </c>
      <c r="M1127" s="29">
        <f>IF(E1127="","",IF(H1127="Yes","❌ Disc",IF(G1127="No","⚠ Missing",IF(J1127="Yes","✓ OK","⚠ Check"))))</f>
        <v/>
      </c>
      <c r="N1127" s="43" t="n">
        <v>46193</v>
      </c>
      <c r="O1127" s="26" t="inlineStr">
        <is>
          <t>Sunil CR</t>
        </is>
      </c>
      <c r="P1127" s="26" t="inlineStr">
        <is>
          <t>Yes</t>
        </is>
      </c>
      <c r="Q1127" s="26" t="inlineStr">
        <is>
          <t>No</t>
        </is>
      </c>
      <c r="R1127" s="26" t="inlineStr">
        <is>
          <t>Good finish</t>
        </is>
      </c>
      <c r="S1127" s="26" t="inlineStr">
        <is>
          <t>Yes</t>
        </is>
      </c>
      <c r="T1127" s="27" t="n"/>
      <c r="U1127" s="28" t="inlineStr">
        <is>
          <t>No</t>
        </is>
      </c>
      <c r="V1127" s="29">
        <f>IF(N1127="","",IF(Q1127="Yes","❌ Disc",IF(P1127="No","⚠ Missing",IF(S1127="Yes","✓ OK","⚠ Check"))))</f>
        <v/>
      </c>
      <c r="W1127" s="65" t="n">
        <v>46248</v>
      </c>
      <c r="X1127" s="30" t="inlineStr">
        <is>
          <t>Sunil CR</t>
        </is>
      </c>
      <c r="Y1127" s="30" t="inlineStr">
        <is>
          <t>Yes</t>
        </is>
      </c>
      <c r="Z1127" s="30" t="n"/>
      <c r="AA1127" s="30" t="inlineStr">
        <is>
          <t>Good finish</t>
        </is>
      </c>
      <c r="AB1127" s="30" t="inlineStr">
        <is>
          <t>Yes</t>
        </is>
      </c>
      <c r="AC1127" s="27" t="n"/>
      <c r="AD1127" s="31" t="inlineStr">
        <is>
          <t>No</t>
        </is>
      </c>
      <c r="AE1127" s="32">
        <f>IF(W1127="","",IF(Z1127="Yes","❌ Disc",IF(Y1127="No","⚠ Missing",IF(AB1127="Yes","✓ OK","⚠ Check"))))</f>
        <v/>
      </c>
      <c r="AF1127" s="33" t="n"/>
      <c r="AG1127" s="33" t="n"/>
      <c r="AH1127" s="33" t="n"/>
      <c r="AI1127" s="33" t="n"/>
      <c r="AJ1127" s="33" t="n"/>
      <c r="AK1127" s="33" t="n"/>
      <c r="AL1127" s="27" t="n"/>
      <c r="AM1127" s="34" t="n"/>
      <c r="AN1127" s="35">
        <f>IF(AF1127="","",IF(AI1127="Yes","❌ Disc",IF(AH1127="No","⚠ Missing",IF(AK1127="Yes","✓ OK","⚠ Check"))))</f>
        <v/>
      </c>
      <c r="AO1127" s="36" t="n"/>
      <c r="AP1127" s="36" t="n"/>
      <c r="AQ1127" s="36" t="n"/>
      <c r="AR1127" s="36" t="n"/>
      <c r="AS1127" s="36" t="n"/>
      <c r="AT1127" s="36" t="n"/>
      <c r="AU1127" s="27" t="n"/>
      <c r="AV1127" s="37" t="n"/>
      <c r="AW1127" s="38">
        <f>IF(AO1127="","",IF(AR1127="Yes","❌ Disc",IF(AQ1127="No","⚠ Missing",IF(AT1127="Yes","✓ OK","⚠ Check"))))</f>
        <v/>
      </c>
    </row>
    <row r="1128" ht="18" customHeight="1" s="46">
      <c r="A1128" s="39" t="n">
        <v>1124</v>
      </c>
      <c r="B1128" s="40" t="inlineStr">
        <is>
          <t>BD-VRM-2024-2974</t>
        </is>
      </c>
      <c r="C1128" s="41" t="inlineStr">
        <is>
          <t>Marshall Eldorado Wallpaper 15517</t>
        </is>
      </c>
      <c r="D1128" s="39" t="inlineStr">
        <is>
          <t>Marshalls</t>
        </is>
      </c>
      <c r="E1128" s="43" t="n">
        <v>46125</v>
      </c>
      <c r="F1128" s="26" t="inlineStr">
        <is>
          <t>Sunil CR</t>
        </is>
      </c>
      <c r="G1128" s="26" t="inlineStr">
        <is>
          <t>Yes</t>
        </is>
      </c>
      <c r="H1128" s="26" t="inlineStr">
        <is>
          <t>No</t>
        </is>
      </c>
      <c r="I1128" s="26" t="inlineStr">
        <is>
          <t>Good finish</t>
        </is>
      </c>
      <c r="J1128" s="26" t="inlineStr">
        <is>
          <t>Yes</t>
        </is>
      </c>
      <c r="K1128" s="27" t="n"/>
      <c r="L1128" s="28" t="inlineStr">
        <is>
          <t>No</t>
        </is>
      </c>
      <c r="M1128" s="29">
        <f>IF(E1128="","",IF(H1128="Yes","❌ Disc",IF(G1128="No","⚠ Missing",IF(J1128="Yes","✓ OK","⚠ Check"))))</f>
        <v/>
      </c>
      <c r="N1128" s="43" t="n">
        <v>46193</v>
      </c>
      <c r="O1128" s="26" t="inlineStr">
        <is>
          <t>Sunil CR</t>
        </is>
      </c>
      <c r="P1128" s="26" t="inlineStr">
        <is>
          <t>Yes</t>
        </is>
      </c>
      <c r="Q1128" s="26" t="inlineStr">
        <is>
          <t>No</t>
        </is>
      </c>
      <c r="R1128" s="26" t="inlineStr">
        <is>
          <t>Good finish</t>
        </is>
      </c>
      <c r="S1128" s="26" t="inlineStr">
        <is>
          <t>Yes</t>
        </is>
      </c>
      <c r="T1128" s="27" t="n"/>
      <c r="U1128" s="28" t="inlineStr">
        <is>
          <t>No</t>
        </is>
      </c>
      <c r="V1128" s="29">
        <f>IF(N1128="","",IF(Q1128="Yes","❌ Disc",IF(P1128="No","⚠ Missing",IF(S1128="Yes","✓ OK","⚠ Check"))))</f>
        <v/>
      </c>
      <c r="W1128" s="65" t="n">
        <v>46248</v>
      </c>
      <c r="X1128" s="30" t="inlineStr">
        <is>
          <t>Sunil CR</t>
        </is>
      </c>
      <c r="Y1128" s="30" t="inlineStr">
        <is>
          <t>Yes</t>
        </is>
      </c>
      <c r="Z1128" s="30" t="n"/>
      <c r="AA1128" s="30" t="inlineStr">
        <is>
          <t>Good finish</t>
        </is>
      </c>
      <c r="AB1128" s="30" t="inlineStr">
        <is>
          <t>Yes</t>
        </is>
      </c>
      <c r="AC1128" s="27" t="n"/>
      <c r="AD1128" s="31" t="inlineStr">
        <is>
          <t>No</t>
        </is>
      </c>
      <c r="AE1128" s="32">
        <f>IF(W1128="","",IF(Z1128="Yes","❌ Disc",IF(Y1128="No","⚠ Missing",IF(AB1128="Yes","✓ OK","⚠ Check"))))</f>
        <v/>
      </c>
      <c r="AF1128" s="33" t="n"/>
      <c r="AG1128" s="33" t="n"/>
      <c r="AH1128" s="33" t="n"/>
      <c r="AI1128" s="33" t="n"/>
      <c r="AJ1128" s="33" t="n"/>
      <c r="AK1128" s="33" t="n"/>
      <c r="AL1128" s="27" t="n"/>
      <c r="AM1128" s="34" t="n"/>
      <c r="AN1128" s="35">
        <f>IF(AF1128="","",IF(AI1128="Yes","❌ Disc",IF(AH1128="No","⚠ Missing",IF(AK1128="Yes","✓ OK","⚠ Check"))))</f>
        <v/>
      </c>
      <c r="AO1128" s="36" t="n"/>
      <c r="AP1128" s="36" t="n"/>
      <c r="AQ1128" s="36" t="n"/>
      <c r="AR1128" s="36" t="n"/>
      <c r="AS1128" s="36" t="n"/>
      <c r="AT1128" s="36" t="n"/>
      <c r="AU1128" s="27" t="n"/>
      <c r="AV1128" s="37" t="n"/>
      <c r="AW1128" s="38">
        <f>IF(AO1128="","",IF(AR1128="Yes","❌ Disc",IF(AQ1128="No","⚠ Missing",IF(AT1128="Yes","✓ OK","⚠ Check"))))</f>
        <v/>
      </c>
    </row>
    <row r="1129" ht="18" customHeight="1" s="46">
      <c r="A1129" s="23" t="n">
        <v>1125</v>
      </c>
      <c r="B1129" s="24" t="inlineStr">
        <is>
          <t>BD-VRM-2024-2980</t>
        </is>
      </c>
      <c r="C1129" s="25" t="inlineStr">
        <is>
          <t>Marshall Eldorado Wallpaper 15524</t>
        </is>
      </c>
      <c r="D1129" s="23" t="inlineStr">
        <is>
          <t>Marshalls</t>
        </is>
      </c>
      <c r="E1129" s="43" t="n">
        <v>46125</v>
      </c>
      <c r="F1129" s="26" t="inlineStr">
        <is>
          <t>Sunil CR</t>
        </is>
      </c>
      <c r="G1129" s="26" t="inlineStr">
        <is>
          <t>Yes</t>
        </is>
      </c>
      <c r="H1129" s="26" t="inlineStr">
        <is>
          <t>No</t>
        </is>
      </c>
      <c r="I1129" s="26" t="inlineStr">
        <is>
          <t>Good finish</t>
        </is>
      </c>
      <c r="J1129" s="26" t="inlineStr">
        <is>
          <t>Yes</t>
        </is>
      </c>
      <c r="K1129" s="27" t="n"/>
      <c r="L1129" s="28" t="inlineStr">
        <is>
          <t>No</t>
        </is>
      </c>
      <c r="M1129" s="29">
        <f>IF(E1129="","",IF(H1129="Yes","❌ Disc",IF(G1129="No","⚠ Missing",IF(J1129="Yes","✓ OK","⚠ Check"))))</f>
        <v/>
      </c>
      <c r="N1129" s="43" t="n">
        <v>46193</v>
      </c>
      <c r="O1129" s="26" t="inlineStr">
        <is>
          <t>Sunil CR</t>
        </is>
      </c>
      <c r="P1129" s="26" t="inlineStr">
        <is>
          <t>Yes</t>
        </is>
      </c>
      <c r="Q1129" s="26" t="inlineStr">
        <is>
          <t>No</t>
        </is>
      </c>
      <c r="R1129" s="26" t="inlineStr">
        <is>
          <t>Good finish</t>
        </is>
      </c>
      <c r="S1129" s="26" t="inlineStr">
        <is>
          <t>Yes</t>
        </is>
      </c>
      <c r="T1129" s="27" t="n"/>
      <c r="U1129" s="28" t="inlineStr">
        <is>
          <t>No</t>
        </is>
      </c>
      <c r="V1129" s="29">
        <f>IF(N1129="","",IF(Q1129="Yes","❌ Disc",IF(P1129="No","⚠ Missing",IF(S1129="Yes","✓ OK","⚠ Check"))))</f>
        <v/>
      </c>
      <c r="W1129" s="65" t="n">
        <v>46248</v>
      </c>
      <c r="X1129" s="30" t="inlineStr">
        <is>
          <t>Sunil CR</t>
        </is>
      </c>
      <c r="Y1129" s="30" t="inlineStr">
        <is>
          <t>Yes</t>
        </is>
      </c>
      <c r="Z1129" s="30" t="n"/>
      <c r="AA1129" s="30" t="inlineStr">
        <is>
          <t>Good finish</t>
        </is>
      </c>
      <c r="AB1129" s="30" t="inlineStr">
        <is>
          <t>Yes</t>
        </is>
      </c>
      <c r="AC1129" s="27" t="n"/>
      <c r="AD1129" s="31" t="inlineStr">
        <is>
          <t>No</t>
        </is>
      </c>
      <c r="AE1129" s="32">
        <f>IF(W1129="","",IF(Z1129="Yes","❌ Disc",IF(Y1129="No","⚠ Missing",IF(AB1129="Yes","✓ OK","⚠ Check"))))</f>
        <v/>
      </c>
      <c r="AF1129" s="33" t="n"/>
      <c r="AG1129" s="33" t="n"/>
      <c r="AH1129" s="33" t="n"/>
      <c r="AI1129" s="33" t="n"/>
      <c r="AJ1129" s="33" t="n"/>
      <c r="AK1129" s="33" t="n"/>
      <c r="AL1129" s="27" t="n"/>
      <c r="AM1129" s="34" t="n"/>
      <c r="AN1129" s="35">
        <f>IF(AF1129="","",IF(AI1129="Yes","❌ Disc",IF(AH1129="No","⚠ Missing",IF(AK1129="Yes","✓ OK","⚠ Check"))))</f>
        <v/>
      </c>
      <c r="AO1129" s="36" t="n"/>
      <c r="AP1129" s="36" t="n"/>
      <c r="AQ1129" s="36" t="n"/>
      <c r="AR1129" s="36" t="n"/>
      <c r="AS1129" s="36" t="n"/>
      <c r="AT1129" s="36" t="n"/>
      <c r="AU1129" s="27" t="n"/>
      <c r="AV1129" s="37" t="n"/>
      <c r="AW1129" s="38">
        <f>IF(AO1129="","",IF(AR1129="Yes","❌ Disc",IF(AQ1129="No","⚠ Missing",IF(AT1129="Yes","✓ OK","⚠ Check"))))</f>
        <v/>
      </c>
    </row>
    <row r="1130" ht="18" customHeight="1" s="46">
      <c r="A1130" s="39" t="n">
        <v>1126</v>
      </c>
      <c r="B1130" s="40" t="inlineStr">
        <is>
          <t>BD-VRM-2024-2979</t>
        </is>
      </c>
      <c r="C1130" s="41" t="inlineStr">
        <is>
          <t>Marshall Eldorado Wallpaper 15530</t>
        </is>
      </c>
      <c r="D1130" s="39" t="inlineStr">
        <is>
          <t>Marshalls</t>
        </is>
      </c>
      <c r="E1130" s="43" t="n">
        <v>46125</v>
      </c>
      <c r="F1130" s="26" t="inlineStr">
        <is>
          <t>Sunil CR</t>
        </is>
      </c>
      <c r="G1130" s="26" t="inlineStr">
        <is>
          <t>Yes</t>
        </is>
      </c>
      <c r="H1130" s="26" t="inlineStr">
        <is>
          <t>No</t>
        </is>
      </c>
      <c r="I1130" s="26" t="inlineStr">
        <is>
          <t>Good finish</t>
        </is>
      </c>
      <c r="J1130" s="26" t="inlineStr">
        <is>
          <t>Yes</t>
        </is>
      </c>
      <c r="K1130" s="27" t="n"/>
      <c r="L1130" s="28" t="inlineStr">
        <is>
          <t>No</t>
        </is>
      </c>
      <c r="M1130" s="29">
        <f>IF(E1130="","",IF(H1130="Yes","❌ Disc",IF(G1130="No","⚠ Missing",IF(J1130="Yes","✓ OK","⚠ Check"))))</f>
        <v/>
      </c>
      <c r="N1130" s="43" t="n">
        <v>46193</v>
      </c>
      <c r="O1130" s="26" t="inlineStr">
        <is>
          <t>Sunil CR</t>
        </is>
      </c>
      <c r="P1130" s="26" t="inlineStr">
        <is>
          <t>Yes</t>
        </is>
      </c>
      <c r="Q1130" s="26" t="inlineStr">
        <is>
          <t>No</t>
        </is>
      </c>
      <c r="R1130" s="26" t="inlineStr">
        <is>
          <t>Good finish</t>
        </is>
      </c>
      <c r="S1130" s="26" t="inlineStr">
        <is>
          <t>Yes</t>
        </is>
      </c>
      <c r="T1130" s="27" t="n"/>
      <c r="U1130" s="28" t="inlineStr">
        <is>
          <t>No</t>
        </is>
      </c>
      <c r="V1130" s="29">
        <f>IF(N1130="","",IF(Q1130="Yes","❌ Disc",IF(P1130="No","⚠ Missing",IF(S1130="Yes","✓ OK","⚠ Check"))))</f>
        <v/>
      </c>
      <c r="W1130" s="65" t="n">
        <v>46248</v>
      </c>
      <c r="X1130" s="30" t="inlineStr">
        <is>
          <t>Sunil CR</t>
        </is>
      </c>
      <c r="Y1130" s="30" t="inlineStr">
        <is>
          <t>Yes</t>
        </is>
      </c>
      <c r="Z1130" s="30" t="n"/>
      <c r="AA1130" s="30" t="inlineStr">
        <is>
          <t>Good finish</t>
        </is>
      </c>
      <c r="AB1130" s="30" t="inlineStr">
        <is>
          <t>Yes</t>
        </is>
      </c>
      <c r="AC1130" s="27" t="n"/>
      <c r="AD1130" s="31" t="inlineStr">
        <is>
          <t>No</t>
        </is>
      </c>
      <c r="AE1130" s="32">
        <f>IF(W1130="","",IF(Z1130="Yes","❌ Disc",IF(Y1130="No","⚠ Missing",IF(AB1130="Yes","✓ OK","⚠ Check"))))</f>
        <v/>
      </c>
      <c r="AF1130" s="33" t="n"/>
      <c r="AG1130" s="33" t="n"/>
      <c r="AH1130" s="33" t="n"/>
      <c r="AI1130" s="33" t="n"/>
      <c r="AJ1130" s="33" t="n"/>
      <c r="AK1130" s="33" t="n"/>
      <c r="AL1130" s="27" t="n"/>
      <c r="AM1130" s="34" t="n"/>
      <c r="AN1130" s="35">
        <f>IF(AF1130="","",IF(AI1130="Yes","❌ Disc",IF(AH1130="No","⚠ Missing",IF(AK1130="Yes","✓ OK","⚠ Check"))))</f>
        <v/>
      </c>
      <c r="AO1130" s="36" t="n"/>
      <c r="AP1130" s="36" t="n"/>
      <c r="AQ1130" s="36" t="n"/>
      <c r="AR1130" s="36" t="n"/>
      <c r="AS1130" s="36" t="n"/>
      <c r="AT1130" s="36" t="n"/>
      <c r="AU1130" s="27" t="n"/>
      <c r="AV1130" s="37" t="n"/>
      <c r="AW1130" s="38">
        <f>IF(AO1130="","",IF(AR1130="Yes","❌ Disc",IF(AQ1130="No","⚠ Missing",IF(AT1130="Yes","✓ OK","⚠ Check"))))</f>
        <v/>
      </c>
    </row>
    <row r="1131" ht="18" customHeight="1" s="46">
      <c r="A1131" s="23" t="n">
        <v>1127</v>
      </c>
      <c r="B1131" s="24" t="inlineStr">
        <is>
          <t>BD-VRM-2024-2978</t>
        </is>
      </c>
      <c r="C1131" s="25" t="inlineStr">
        <is>
          <t>Marshall Eldorado Wallpaper 15534</t>
        </is>
      </c>
      <c r="D1131" s="23" t="inlineStr">
        <is>
          <t>Marshalls</t>
        </is>
      </c>
      <c r="E1131" s="43" t="n">
        <v>46125</v>
      </c>
      <c r="F1131" s="26" t="inlineStr">
        <is>
          <t>Sunil CR</t>
        </is>
      </c>
      <c r="G1131" s="26" t="inlineStr">
        <is>
          <t>Yes</t>
        </is>
      </c>
      <c r="H1131" s="26" t="inlineStr">
        <is>
          <t>No</t>
        </is>
      </c>
      <c r="I1131" s="26" t="inlineStr">
        <is>
          <t>Good finish</t>
        </is>
      </c>
      <c r="J1131" s="26" t="inlineStr">
        <is>
          <t>Yes</t>
        </is>
      </c>
      <c r="K1131" s="27" t="n"/>
      <c r="L1131" s="28" t="inlineStr">
        <is>
          <t>No</t>
        </is>
      </c>
      <c r="M1131" s="29">
        <f>IF(E1131="","",IF(H1131="Yes","❌ Disc",IF(G1131="No","⚠ Missing",IF(J1131="Yes","✓ OK","⚠ Check"))))</f>
        <v/>
      </c>
      <c r="N1131" s="43" t="n">
        <v>46193</v>
      </c>
      <c r="O1131" s="26" t="inlineStr">
        <is>
          <t>Sunil CR</t>
        </is>
      </c>
      <c r="P1131" s="26" t="inlineStr">
        <is>
          <t>Yes</t>
        </is>
      </c>
      <c r="Q1131" s="26" t="inlineStr">
        <is>
          <t>No</t>
        </is>
      </c>
      <c r="R1131" s="26" t="inlineStr">
        <is>
          <t>Good finish</t>
        </is>
      </c>
      <c r="S1131" s="26" t="inlineStr">
        <is>
          <t>Yes</t>
        </is>
      </c>
      <c r="T1131" s="27" t="n"/>
      <c r="U1131" s="28" t="inlineStr">
        <is>
          <t>No</t>
        </is>
      </c>
      <c r="V1131" s="29">
        <f>IF(N1131="","",IF(Q1131="Yes","❌ Disc",IF(P1131="No","⚠ Missing",IF(S1131="Yes","✓ OK","⚠ Check"))))</f>
        <v/>
      </c>
      <c r="W1131" s="65" t="n">
        <v>46248</v>
      </c>
      <c r="X1131" s="30" t="inlineStr">
        <is>
          <t>Sunil CR</t>
        </is>
      </c>
      <c r="Y1131" s="30" t="inlineStr">
        <is>
          <t>Yes</t>
        </is>
      </c>
      <c r="Z1131" s="30" t="n"/>
      <c r="AA1131" s="30" t="inlineStr">
        <is>
          <t>Good finish</t>
        </is>
      </c>
      <c r="AB1131" s="30" t="inlineStr">
        <is>
          <t>Yes</t>
        </is>
      </c>
      <c r="AC1131" s="27" t="n"/>
      <c r="AD1131" s="31" t="inlineStr">
        <is>
          <t>No</t>
        </is>
      </c>
      <c r="AE1131" s="32">
        <f>IF(W1131="","",IF(Z1131="Yes","❌ Disc",IF(Y1131="No","⚠ Missing",IF(AB1131="Yes","✓ OK","⚠ Check"))))</f>
        <v/>
      </c>
      <c r="AF1131" s="33" t="n"/>
      <c r="AG1131" s="33" t="n"/>
      <c r="AH1131" s="33" t="n"/>
      <c r="AI1131" s="33" t="n"/>
      <c r="AJ1131" s="33" t="n"/>
      <c r="AK1131" s="33" t="n"/>
      <c r="AL1131" s="27" t="n"/>
      <c r="AM1131" s="34" t="n"/>
      <c r="AN1131" s="35">
        <f>IF(AF1131="","",IF(AI1131="Yes","❌ Disc",IF(AH1131="No","⚠ Missing",IF(AK1131="Yes","✓ OK","⚠ Check"))))</f>
        <v/>
      </c>
      <c r="AO1131" s="36" t="n"/>
      <c r="AP1131" s="36" t="n"/>
      <c r="AQ1131" s="36" t="n"/>
      <c r="AR1131" s="36" t="n"/>
      <c r="AS1131" s="36" t="n"/>
      <c r="AT1131" s="36" t="n"/>
      <c r="AU1131" s="27" t="n"/>
      <c r="AV1131" s="37" t="n"/>
      <c r="AW1131" s="38">
        <f>IF(AO1131="","",IF(AR1131="Yes","❌ Disc",IF(AQ1131="No","⚠ Missing",IF(AT1131="Yes","✓ OK","⚠ Check"))))</f>
        <v/>
      </c>
    </row>
    <row r="1132" ht="18" customHeight="1" s="46">
      <c r="A1132" s="39" t="n">
        <v>1128</v>
      </c>
      <c r="B1132" s="40" t="inlineStr">
        <is>
          <t>BD-VRM-2024-2986</t>
        </is>
      </c>
      <c r="C1132" s="41" t="inlineStr">
        <is>
          <t>Marshall Eldorado Wallpaper 15535</t>
        </is>
      </c>
      <c r="D1132" s="39" t="inlineStr">
        <is>
          <t>Marshalls</t>
        </is>
      </c>
      <c r="E1132" s="43" t="n">
        <v>46125</v>
      </c>
      <c r="F1132" s="26" t="inlineStr">
        <is>
          <t>Sunil CR</t>
        </is>
      </c>
      <c r="G1132" s="26" t="inlineStr">
        <is>
          <t>Yes</t>
        </is>
      </c>
      <c r="H1132" s="26" t="inlineStr">
        <is>
          <t>No</t>
        </is>
      </c>
      <c r="I1132" s="26" t="inlineStr">
        <is>
          <t>Good finish</t>
        </is>
      </c>
      <c r="J1132" s="26" t="inlineStr">
        <is>
          <t>Yes</t>
        </is>
      </c>
      <c r="K1132" s="27" t="n"/>
      <c r="L1132" s="28" t="inlineStr">
        <is>
          <t>No</t>
        </is>
      </c>
      <c r="M1132" s="29">
        <f>IF(E1132="","",IF(H1132="Yes","❌ Disc",IF(G1132="No","⚠ Missing",IF(J1132="Yes","✓ OK","⚠ Check"))))</f>
        <v/>
      </c>
      <c r="N1132" s="43" t="n">
        <v>46193</v>
      </c>
      <c r="O1132" s="26" t="inlineStr">
        <is>
          <t>Sunil CR</t>
        </is>
      </c>
      <c r="P1132" s="26" t="inlineStr">
        <is>
          <t>Yes</t>
        </is>
      </c>
      <c r="Q1132" s="26" t="inlineStr">
        <is>
          <t>No</t>
        </is>
      </c>
      <c r="R1132" s="26" t="inlineStr">
        <is>
          <t>Good finish</t>
        </is>
      </c>
      <c r="S1132" s="26" t="inlineStr">
        <is>
          <t>Yes</t>
        </is>
      </c>
      <c r="T1132" s="27" t="n"/>
      <c r="U1132" s="28" t="inlineStr">
        <is>
          <t>No</t>
        </is>
      </c>
      <c r="V1132" s="29">
        <f>IF(N1132="","",IF(Q1132="Yes","❌ Disc",IF(P1132="No","⚠ Missing",IF(S1132="Yes","✓ OK","⚠ Check"))))</f>
        <v/>
      </c>
      <c r="W1132" s="65" t="n">
        <v>46248</v>
      </c>
      <c r="X1132" s="30" t="inlineStr">
        <is>
          <t>Sunil CR</t>
        </is>
      </c>
      <c r="Y1132" s="30" t="inlineStr">
        <is>
          <t>Yes</t>
        </is>
      </c>
      <c r="Z1132" s="30" t="n"/>
      <c r="AA1132" s="30" t="inlineStr">
        <is>
          <t>Good finish</t>
        </is>
      </c>
      <c r="AB1132" s="30" t="inlineStr">
        <is>
          <t>Yes</t>
        </is>
      </c>
      <c r="AC1132" s="27" t="n"/>
      <c r="AD1132" s="31" t="inlineStr">
        <is>
          <t>No</t>
        </is>
      </c>
      <c r="AE1132" s="32">
        <f>IF(W1132="","",IF(Z1132="Yes","❌ Disc",IF(Y1132="No","⚠ Missing",IF(AB1132="Yes","✓ OK","⚠ Check"))))</f>
        <v/>
      </c>
      <c r="AF1132" s="33" t="n"/>
      <c r="AG1132" s="33" t="n"/>
      <c r="AH1132" s="33" t="n"/>
      <c r="AI1132" s="33" t="n"/>
      <c r="AJ1132" s="33" t="n"/>
      <c r="AK1132" s="33" t="n"/>
      <c r="AL1132" s="27" t="n"/>
      <c r="AM1132" s="34" t="n"/>
      <c r="AN1132" s="35">
        <f>IF(AF1132="","",IF(AI1132="Yes","❌ Disc",IF(AH1132="No","⚠ Missing",IF(AK1132="Yes","✓ OK","⚠ Check"))))</f>
        <v/>
      </c>
      <c r="AO1132" s="36" t="n"/>
      <c r="AP1132" s="36" t="n"/>
      <c r="AQ1132" s="36" t="n"/>
      <c r="AR1132" s="36" t="n"/>
      <c r="AS1132" s="36" t="n"/>
      <c r="AT1132" s="36" t="n"/>
      <c r="AU1132" s="27" t="n"/>
      <c r="AV1132" s="37" t="n"/>
      <c r="AW1132" s="38">
        <f>IF(AO1132="","",IF(AR1132="Yes","❌ Disc",IF(AQ1132="No","⚠ Missing",IF(AT1132="Yes","✓ OK","⚠ Check"))))</f>
        <v/>
      </c>
    </row>
    <row r="1133" ht="18" customHeight="1" s="46">
      <c r="A1133" s="23" t="n">
        <v>1129</v>
      </c>
      <c r="B1133" s="24" t="inlineStr">
        <is>
          <t>BD-VRM-2024-2985</t>
        </is>
      </c>
      <c r="C1133" s="25" t="inlineStr">
        <is>
          <t>Marshall Eldorado Wallpaper 15536</t>
        </is>
      </c>
      <c r="D1133" s="23" t="inlineStr">
        <is>
          <t>Marshalls</t>
        </is>
      </c>
      <c r="E1133" s="43" t="n">
        <v>46125</v>
      </c>
      <c r="F1133" s="26" t="inlineStr">
        <is>
          <t>Sunil CR</t>
        </is>
      </c>
      <c r="G1133" s="26" t="inlineStr">
        <is>
          <t>Yes</t>
        </is>
      </c>
      <c r="H1133" s="26" t="inlineStr">
        <is>
          <t>No</t>
        </is>
      </c>
      <c r="I1133" s="26" t="inlineStr">
        <is>
          <t>Good finish</t>
        </is>
      </c>
      <c r="J1133" s="26" t="inlineStr">
        <is>
          <t>Yes</t>
        </is>
      </c>
      <c r="K1133" s="27" t="n"/>
      <c r="L1133" s="28" t="inlineStr">
        <is>
          <t>No</t>
        </is>
      </c>
      <c r="M1133" s="29">
        <f>IF(E1133="","",IF(H1133="Yes","❌ Disc",IF(G1133="No","⚠ Missing",IF(J1133="Yes","✓ OK","⚠ Check"))))</f>
        <v/>
      </c>
      <c r="N1133" s="43" t="n">
        <v>46193</v>
      </c>
      <c r="O1133" s="26" t="inlineStr">
        <is>
          <t>Sunil CR</t>
        </is>
      </c>
      <c r="P1133" s="26" t="inlineStr">
        <is>
          <t>Yes</t>
        </is>
      </c>
      <c r="Q1133" s="26" t="inlineStr">
        <is>
          <t>No</t>
        </is>
      </c>
      <c r="R1133" s="26" t="inlineStr">
        <is>
          <t>Good finish</t>
        </is>
      </c>
      <c r="S1133" s="26" t="inlineStr">
        <is>
          <t>Yes</t>
        </is>
      </c>
      <c r="T1133" s="27" t="n"/>
      <c r="U1133" s="28" t="inlineStr">
        <is>
          <t>No</t>
        </is>
      </c>
      <c r="V1133" s="29">
        <f>IF(N1133="","",IF(Q1133="Yes","❌ Disc",IF(P1133="No","⚠ Missing",IF(S1133="Yes","✓ OK","⚠ Check"))))</f>
        <v/>
      </c>
      <c r="W1133" s="65" t="n">
        <v>46248</v>
      </c>
      <c r="X1133" s="30" t="inlineStr">
        <is>
          <t>Sunil CR</t>
        </is>
      </c>
      <c r="Y1133" s="30" t="inlineStr">
        <is>
          <t>Yes</t>
        </is>
      </c>
      <c r="Z1133" s="30" t="n"/>
      <c r="AA1133" s="30" t="inlineStr">
        <is>
          <t>Good finish</t>
        </is>
      </c>
      <c r="AB1133" s="30" t="inlineStr">
        <is>
          <t>Yes</t>
        </is>
      </c>
      <c r="AC1133" s="27" t="n"/>
      <c r="AD1133" s="31" t="inlineStr">
        <is>
          <t>No</t>
        </is>
      </c>
      <c r="AE1133" s="32">
        <f>IF(W1133="","",IF(Z1133="Yes","❌ Disc",IF(Y1133="No","⚠ Missing",IF(AB1133="Yes","✓ OK","⚠ Check"))))</f>
        <v/>
      </c>
      <c r="AF1133" s="33" t="n"/>
      <c r="AG1133" s="33" t="n"/>
      <c r="AH1133" s="33" t="n"/>
      <c r="AI1133" s="33" t="n"/>
      <c r="AJ1133" s="33" t="n"/>
      <c r="AK1133" s="33" t="n"/>
      <c r="AL1133" s="27" t="n"/>
      <c r="AM1133" s="34" t="n"/>
      <c r="AN1133" s="35">
        <f>IF(AF1133="","",IF(AI1133="Yes","❌ Disc",IF(AH1133="No","⚠ Missing",IF(AK1133="Yes","✓ OK","⚠ Check"))))</f>
        <v/>
      </c>
      <c r="AO1133" s="36" t="n"/>
      <c r="AP1133" s="36" t="n"/>
      <c r="AQ1133" s="36" t="n"/>
      <c r="AR1133" s="36" t="n"/>
      <c r="AS1133" s="36" t="n"/>
      <c r="AT1133" s="36" t="n"/>
      <c r="AU1133" s="27" t="n"/>
      <c r="AV1133" s="37" t="n"/>
      <c r="AW1133" s="38">
        <f>IF(AO1133="","",IF(AR1133="Yes","❌ Disc",IF(AQ1133="No","⚠ Missing",IF(AT1133="Yes","✓ OK","⚠ Check"))))</f>
        <v/>
      </c>
    </row>
    <row r="1134" ht="18" customHeight="1" s="46">
      <c r="A1134" s="39" t="n">
        <v>1130</v>
      </c>
      <c r="B1134" s="40" t="inlineStr">
        <is>
          <t>BD-VRM-2024-2993</t>
        </is>
      </c>
      <c r="C1134" s="41" t="inlineStr">
        <is>
          <t>Marshall Eldorado Wallpaper 15537</t>
        </is>
      </c>
      <c r="D1134" s="39" t="inlineStr">
        <is>
          <t>Marshalls</t>
        </is>
      </c>
      <c r="E1134" s="43" t="n">
        <v>46125</v>
      </c>
      <c r="F1134" s="26" t="inlineStr">
        <is>
          <t>Sunil CR</t>
        </is>
      </c>
      <c r="G1134" s="26" t="inlineStr">
        <is>
          <t>Yes</t>
        </is>
      </c>
      <c r="H1134" s="26" t="inlineStr">
        <is>
          <t>No</t>
        </is>
      </c>
      <c r="I1134" s="26" t="inlineStr">
        <is>
          <t>Good finish</t>
        </is>
      </c>
      <c r="J1134" s="26" t="inlineStr">
        <is>
          <t>Yes</t>
        </is>
      </c>
      <c r="K1134" s="27" t="n"/>
      <c r="L1134" s="28" t="inlineStr">
        <is>
          <t>No</t>
        </is>
      </c>
      <c r="M1134" s="29">
        <f>IF(E1134="","",IF(H1134="Yes","❌ Disc",IF(G1134="No","⚠ Missing",IF(J1134="Yes","✓ OK","⚠ Check"))))</f>
        <v/>
      </c>
      <c r="N1134" s="43" t="n">
        <v>46193</v>
      </c>
      <c r="O1134" s="26" t="inlineStr">
        <is>
          <t>Sunil CR</t>
        </is>
      </c>
      <c r="P1134" s="26" t="inlineStr">
        <is>
          <t>Yes</t>
        </is>
      </c>
      <c r="Q1134" s="26" t="inlineStr">
        <is>
          <t>No</t>
        </is>
      </c>
      <c r="R1134" s="26" t="inlineStr">
        <is>
          <t>Good finish</t>
        </is>
      </c>
      <c r="S1134" s="26" t="inlineStr">
        <is>
          <t>Yes</t>
        </is>
      </c>
      <c r="T1134" s="27" t="n"/>
      <c r="U1134" s="28" t="inlineStr">
        <is>
          <t>No</t>
        </is>
      </c>
      <c r="V1134" s="29">
        <f>IF(N1134="","",IF(Q1134="Yes","❌ Disc",IF(P1134="No","⚠ Missing",IF(S1134="Yes","✓ OK","⚠ Check"))))</f>
        <v/>
      </c>
      <c r="W1134" s="65" t="n">
        <v>46248</v>
      </c>
      <c r="X1134" s="30" t="inlineStr">
        <is>
          <t>Sunil CR</t>
        </is>
      </c>
      <c r="Y1134" s="30" t="inlineStr">
        <is>
          <t>Yes</t>
        </is>
      </c>
      <c r="Z1134" s="30" t="n"/>
      <c r="AA1134" s="30" t="inlineStr">
        <is>
          <t>Good finish</t>
        </is>
      </c>
      <c r="AB1134" s="30" t="inlineStr">
        <is>
          <t>Yes</t>
        </is>
      </c>
      <c r="AC1134" s="27" t="n"/>
      <c r="AD1134" s="31" t="inlineStr">
        <is>
          <t>No</t>
        </is>
      </c>
      <c r="AE1134" s="32">
        <f>IF(W1134="","",IF(Z1134="Yes","❌ Disc",IF(Y1134="No","⚠ Missing",IF(AB1134="Yes","✓ OK","⚠ Check"))))</f>
        <v/>
      </c>
      <c r="AF1134" s="33" t="n"/>
      <c r="AG1134" s="33" t="n"/>
      <c r="AH1134" s="33" t="n"/>
      <c r="AI1134" s="33" t="n"/>
      <c r="AJ1134" s="33" t="n"/>
      <c r="AK1134" s="33" t="n"/>
      <c r="AL1134" s="27" t="n"/>
      <c r="AM1134" s="34" t="n"/>
      <c r="AN1134" s="35">
        <f>IF(AF1134="","",IF(AI1134="Yes","❌ Disc",IF(AH1134="No","⚠ Missing",IF(AK1134="Yes","✓ OK","⚠ Check"))))</f>
        <v/>
      </c>
      <c r="AO1134" s="36" t="n"/>
      <c r="AP1134" s="36" t="n"/>
      <c r="AQ1134" s="36" t="n"/>
      <c r="AR1134" s="36" t="n"/>
      <c r="AS1134" s="36" t="n"/>
      <c r="AT1134" s="36" t="n"/>
      <c r="AU1134" s="27" t="n"/>
      <c r="AV1134" s="37" t="n"/>
      <c r="AW1134" s="38">
        <f>IF(AO1134="","",IF(AR1134="Yes","❌ Disc",IF(AQ1134="No","⚠ Missing",IF(AT1134="Yes","✓ OK","⚠ Check"))))</f>
        <v/>
      </c>
    </row>
    <row r="1135" ht="18" customHeight="1" s="46">
      <c r="A1135" s="23" t="n">
        <v>1131</v>
      </c>
      <c r="B1135" s="24" t="inlineStr">
        <is>
          <t>BD-VRM-2024-2994</t>
        </is>
      </c>
      <c r="C1135" s="25" t="inlineStr">
        <is>
          <t>Marshall Eldorado Wallpaper 15538</t>
        </is>
      </c>
      <c r="D1135" s="23" t="inlineStr">
        <is>
          <t>Marshalls</t>
        </is>
      </c>
      <c r="E1135" s="43" t="n">
        <v>46125</v>
      </c>
      <c r="F1135" s="26" t="inlineStr">
        <is>
          <t>Sunil CR</t>
        </is>
      </c>
      <c r="G1135" s="26" t="inlineStr">
        <is>
          <t>Yes</t>
        </is>
      </c>
      <c r="H1135" s="26" t="inlineStr">
        <is>
          <t>No</t>
        </is>
      </c>
      <c r="I1135" s="26" t="inlineStr">
        <is>
          <t>Good finish</t>
        </is>
      </c>
      <c r="J1135" s="26" t="inlineStr">
        <is>
          <t>Yes</t>
        </is>
      </c>
      <c r="K1135" s="27" t="n"/>
      <c r="L1135" s="28" t="inlineStr">
        <is>
          <t>No</t>
        </is>
      </c>
      <c r="M1135" s="29">
        <f>IF(E1135="","",IF(H1135="Yes","❌ Disc",IF(G1135="No","⚠ Missing",IF(J1135="Yes","✓ OK","⚠ Check"))))</f>
        <v/>
      </c>
      <c r="N1135" s="43" t="n">
        <v>46193</v>
      </c>
      <c r="O1135" s="26" t="inlineStr">
        <is>
          <t>Sunil CR</t>
        </is>
      </c>
      <c r="P1135" s="26" t="inlineStr">
        <is>
          <t>Yes</t>
        </is>
      </c>
      <c r="Q1135" s="26" t="inlineStr">
        <is>
          <t>No</t>
        </is>
      </c>
      <c r="R1135" s="26" t="inlineStr">
        <is>
          <t>Good finish</t>
        </is>
      </c>
      <c r="S1135" s="26" t="inlineStr">
        <is>
          <t>Yes</t>
        </is>
      </c>
      <c r="T1135" s="27" t="n"/>
      <c r="U1135" s="28" t="inlineStr">
        <is>
          <t>No</t>
        </is>
      </c>
      <c r="V1135" s="29">
        <f>IF(N1135="","",IF(Q1135="Yes","❌ Disc",IF(P1135="No","⚠ Missing",IF(S1135="Yes","✓ OK","⚠ Check"))))</f>
        <v/>
      </c>
      <c r="W1135" s="65" t="n">
        <v>46248</v>
      </c>
      <c r="X1135" s="30" t="inlineStr">
        <is>
          <t>Sunil CR</t>
        </is>
      </c>
      <c r="Y1135" s="30" t="inlineStr">
        <is>
          <t>Yes</t>
        </is>
      </c>
      <c r="Z1135" s="30" t="n"/>
      <c r="AA1135" s="30" t="inlineStr">
        <is>
          <t>Good finish</t>
        </is>
      </c>
      <c r="AB1135" s="30" t="inlineStr">
        <is>
          <t>Yes</t>
        </is>
      </c>
      <c r="AC1135" s="27" t="n"/>
      <c r="AD1135" s="31" t="inlineStr">
        <is>
          <t>No</t>
        </is>
      </c>
      <c r="AE1135" s="32">
        <f>IF(W1135="","",IF(Z1135="Yes","❌ Disc",IF(Y1135="No","⚠ Missing",IF(AB1135="Yes","✓ OK","⚠ Check"))))</f>
        <v/>
      </c>
      <c r="AF1135" s="33" t="n"/>
      <c r="AG1135" s="33" t="n"/>
      <c r="AH1135" s="33" t="n"/>
      <c r="AI1135" s="33" t="n"/>
      <c r="AJ1135" s="33" t="n"/>
      <c r="AK1135" s="33" t="n"/>
      <c r="AL1135" s="27" t="n"/>
      <c r="AM1135" s="34" t="n"/>
      <c r="AN1135" s="35">
        <f>IF(AF1135="","",IF(AI1135="Yes","❌ Disc",IF(AH1135="No","⚠ Missing",IF(AK1135="Yes","✓ OK","⚠ Check"))))</f>
        <v/>
      </c>
      <c r="AO1135" s="36" t="n"/>
      <c r="AP1135" s="36" t="n"/>
      <c r="AQ1135" s="36" t="n"/>
      <c r="AR1135" s="36" t="n"/>
      <c r="AS1135" s="36" t="n"/>
      <c r="AT1135" s="36" t="n"/>
      <c r="AU1135" s="27" t="n"/>
      <c r="AV1135" s="37" t="n"/>
      <c r="AW1135" s="38">
        <f>IF(AO1135="","",IF(AR1135="Yes","❌ Disc",IF(AQ1135="No","⚠ Missing",IF(AT1135="Yes","✓ OK","⚠ Check"))))</f>
        <v/>
      </c>
    </row>
    <row r="1136" ht="18" customHeight="1" s="46">
      <c r="A1136" s="39" t="n">
        <v>1132</v>
      </c>
      <c r="B1136" s="40" t="inlineStr">
        <is>
          <t>BD-VRM-2024-2988</t>
        </is>
      </c>
      <c r="C1136" s="41" t="inlineStr">
        <is>
          <t>Marshall Eldorado Wallpaper 15539</t>
        </is>
      </c>
      <c r="D1136" s="39" t="inlineStr">
        <is>
          <t>Marshalls</t>
        </is>
      </c>
      <c r="E1136" s="43" t="n">
        <v>46125</v>
      </c>
      <c r="F1136" s="26" t="inlineStr">
        <is>
          <t>Sunil CR</t>
        </is>
      </c>
      <c r="G1136" s="26" t="inlineStr">
        <is>
          <t>Yes</t>
        </is>
      </c>
      <c r="H1136" s="26" t="inlineStr">
        <is>
          <t>No</t>
        </is>
      </c>
      <c r="I1136" s="26" t="inlineStr">
        <is>
          <t>Good finish</t>
        </is>
      </c>
      <c r="J1136" s="26" t="inlineStr">
        <is>
          <t>Yes</t>
        </is>
      </c>
      <c r="K1136" s="27" t="n"/>
      <c r="L1136" s="28" t="inlineStr">
        <is>
          <t>No</t>
        </is>
      </c>
      <c r="M1136" s="29">
        <f>IF(E1136="","",IF(H1136="Yes","❌ Disc",IF(G1136="No","⚠ Missing",IF(J1136="Yes","✓ OK","⚠ Check"))))</f>
        <v/>
      </c>
      <c r="N1136" s="43" t="n">
        <v>46193</v>
      </c>
      <c r="O1136" s="26" t="inlineStr">
        <is>
          <t>Sunil CR</t>
        </is>
      </c>
      <c r="P1136" s="26" t="inlineStr">
        <is>
          <t>Yes</t>
        </is>
      </c>
      <c r="Q1136" s="26" t="inlineStr">
        <is>
          <t>No</t>
        </is>
      </c>
      <c r="R1136" s="26" t="inlineStr">
        <is>
          <t>Good finish</t>
        </is>
      </c>
      <c r="S1136" s="26" t="inlineStr">
        <is>
          <t>Yes</t>
        </is>
      </c>
      <c r="T1136" s="27" t="n"/>
      <c r="U1136" s="28" t="inlineStr">
        <is>
          <t>No</t>
        </is>
      </c>
      <c r="V1136" s="29">
        <f>IF(N1136="","",IF(Q1136="Yes","❌ Disc",IF(P1136="No","⚠ Missing",IF(S1136="Yes","✓ OK","⚠ Check"))))</f>
        <v/>
      </c>
      <c r="W1136" s="65" t="n">
        <v>46248</v>
      </c>
      <c r="X1136" s="30" t="inlineStr">
        <is>
          <t>Sunil CR</t>
        </is>
      </c>
      <c r="Y1136" s="30" t="inlineStr">
        <is>
          <t>Yes</t>
        </is>
      </c>
      <c r="Z1136" s="30" t="n"/>
      <c r="AA1136" s="30" t="inlineStr">
        <is>
          <t>Good finish</t>
        </is>
      </c>
      <c r="AB1136" s="30" t="inlineStr">
        <is>
          <t>Yes</t>
        </is>
      </c>
      <c r="AC1136" s="27" t="n"/>
      <c r="AD1136" s="31" t="inlineStr">
        <is>
          <t>No</t>
        </is>
      </c>
      <c r="AE1136" s="32">
        <f>IF(W1136="","",IF(Z1136="Yes","❌ Disc",IF(Y1136="No","⚠ Missing",IF(AB1136="Yes","✓ OK","⚠ Check"))))</f>
        <v/>
      </c>
      <c r="AF1136" s="33" t="n"/>
      <c r="AG1136" s="33" t="n"/>
      <c r="AH1136" s="33" t="n"/>
      <c r="AI1136" s="33" t="n"/>
      <c r="AJ1136" s="33" t="n"/>
      <c r="AK1136" s="33" t="n"/>
      <c r="AL1136" s="27" t="n"/>
      <c r="AM1136" s="34" t="n"/>
      <c r="AN1136" s="35">
        <f>IF(AF1136="","",IF(AI1136="Yes","❌ Disc",IF(AH1136="No","⚠ Missing",IF(AK1136="Yes","✓ OK","⚠ Check"))))</f>
        <v/>
      </c>
      <c r="AO1136" s="36" t="n"/>
      <c r="AP1136" s="36" t="n"/>
      <c r="AQ1136" s="36" t="n"/>
      <c r="AR1136" s="36" t="n"/>
      <c r="AS1136" s="36" t="n"/>
      <c r="AT1136" s="36" t="n"/>
      <c r="AU1136" s="27" t="n"/>
      <c r="AV1136" s="37" t="n"/>
      <c r="AW1136" s="38">
        <f>IF(AO1136="","",IF(AR1136="Yes","❌ Disc",IF(AQ1136="No","⚠ Missing",IF(AT1136="Yes","✓ OK","⚠ Check"))))</f>
        <v/>
      </c>
    </row>
    <row r="1137" ht="18" customHeight="1" s="46">
      <c r="A1137" s="23" t="n">
        <v>1133</v>
      </c>
      <c r="B1137" s="24" t="inlineStr">
        <is>
          <t>BD-VRM-2024-2987</t>
        </is>
      </c>
      <c r="C1137" s="25" t="inlineStr">
        <is>
          <t>Marshall Eldorado Wallpaper 15540</t>
        </is>
      </c>
      <c r="D1137" s="23" t="inlineStr">
        <is>
          <t>Marshalls</t>
        </is>
      </c>
      <c r="E1137" s="43" t="n">
        <v>46125</v>
      </c>
      <c r="F1137" s="26" t="inlineStr">
        <is>
          <t>Sunil CR</t>
        </is>
      </c>
      <c r="G1137" s="26" t="inlineStr">
        <is>
          <t>Yes</t>
        </is>
      </c>
      <c r="H1137" s="26" t="inlineStr">
        <is>
          <t>No</t>
        </is>
      </c>
      <c r="I1137" s="26" t="inlineStr">
        <is>
          <t>Good finish</t>
        </is>
      </c>
      <c r="J1137" s="26" t="inlineStr">
        <is>
          <t>Yes</t>
        </is>
      </c>
      <c r="K1137" s="27" t="n"/>
      <c r="L1137" s="28" t="inlineStr">
        <is>
          <t>No</t>
        </is>
      </c>
      <c r="M1137" s="29">
        <f>IF(E1137="","",IF(H1137="Yes","❌ Disc",IF(G1137="No","⚠ Missing",IF(J1137="Yes","✓ OK","⚠ Check"))))</f>
        <v/>
      </c>
      <c r="N1137" s="43" t="n">
        <v>46193</v>
      </c>
      <c r="O1137" s="26" t="inlineStr">
        <is>
          <t>Sunil CR</t>
        </is>
      </c>
      <c r="P1137" s="26" t="inlineStr">
        <is>
          <t>Yes</t>
        </is>
      </c>
      <c r="Q1137" s="26" t="inlineStr">
        <is>
          <t>No</t>
        </is>
      </c>
      <c r="R1137" s="26" t="inlineStr">
        <is>
          <t>Good finish</t>
        </is>
      </c>
      <c r="S1137" s="26" t="inlineStr">
        <is>
          <t>Yes</t>
        </is>
      </c>
      <c r="T1137" s="27" t="n"/>
      <c r="U1137" s="28" t="inlineStr">
        <is>
          <t>No</t>
        </is>
      </c>
      <c r="V1137" s="29">
        <f>IF(N1137="","",IF(Q1137="Yes","❌ Disc",IF(P1137="No","⚠ Missing",IF(S1137="Yes","✓ OK","⚠ Check"))))</f>
        <v/>
      </c>
      <c r="W1137" s="65" t="n">
        <v>46248</v>
      </c>
      <c r="X1137" s="30" t="inlineStr">
        <is>
          <t>Sunil CR</t>
        </is>
      </c>
      <c r="Y1137" s="30" t="inlineStr">
        <is>
          <t>Yes</t>
        </is>
      </c>
      <c r="Z1137" s="30" t="n"/>
      <c r="AA1137" s="30" t="inlineStr">
        <is>
          <t>Good finish</t>
        </is>
      </c>
      <c r="AB1137" s="30" t="inlineStr">
        <is>
          <t>Yes</t>
        </is>
      </c>
      <c r="AC1137" s="27" t="n"/>
      <c r="AD1137" s="31" t="inlineStr">
        <is>
          <t>No</t>
        </is>
      </c>
      <c r="AE1137" s="32">
        <f>IF(W1137="","",IF(Z1137="Yes","❌ Disc",IF(Y1137="No","⚠ Missing",IF(AB1137="Yes","✓ OK","⚠ Check"))))</f>
        <v/>
      </c>
      <c r="AF1137" s="33" t="n"/>
      <c r="AG1137" s="33" t="n"/>
      <c r="AH1137" s="33" t="n"/>
      <c r="AI1137" s="33" t="n"/>
      <c r="AJ1137" s="33" t="n"/>
      <c r="AK1137" s="33" t="n"/>
      <c r="AL1137" s="27" t="n"/>
      <c r="AM1137" s="34" t="n"/>
      <c r="AN1137" s="35">
        <f>IF(AF1137="","",IF(AI1137="Yes","❌ Disc",IF(AH1137="No","⚠ Missing",IF(AK1137="Yes","✓ OK","⚠ Check"))))</f>
        <v/>
      </c>
      <c r="AO1137" s="36" t="n"/>
      <c r="AP1137" s="36" t="n"/>
      <c r="AQ1137" s="36" t="n"/>
      <c r="AR1137" s="36" t="n"/>
      <c r="AS1137" s="36" t="n"/>
      <c r="AT1137" s="36" t="n"/>
      <c r="AU1137" s="27" t="n"/>
      <c r="AV1137" s="37" t="n"/>
      <c r="AW1137" s="38">
        <f>IF(AO1137="","",IF(AR1137="Yes","❌ Disc",IF(AQ1137="No","⚠ Missing",IF(AT1137="Yes","✓ OK","⚠ Check"))))</f>
        <v/>
      </c>
    </row>
    <row r="1138" ht="18" customHeight="1" s="46">
      <c r="A1138" s="39" t="n">
        <v>1134</v>
      </c>
      <c r="B1138" s="40" t="inlineStr">
        <is>
          <t>BD-VRM-2024-2992</t>
        </is>
      </c>
      <c r="C1138" s="41" t="inlineStr">
        <is>
          <t>Marshall Eldorado Wallpaper 15543</t>
        </is>
      </c>
      <c r="D1138" s="39" t="inlineStr">
        <is>
          <t>Marshalls</t>
        </is>
      </c>
      <c r="E1138" s="43" t="n">
        <v>46125</v>
      </c>
      <c r="F1138" s="26" t="inlineStr">
        <is>
          <t>Sunil CR</t>
        </is>
      </c>
      <c r="G1138" s="26" t="inlineStr">
        <is>
          <t>Yes</t>
        </is>
      </c>
      <c r="H1138" s="26" t="inlineStr">
        <is>
          <t>No</t>
        </is>
      </c>
      <c r="I1138" s="26" t="inlineStr">
        <is>
          <t>Good finish</t>
        </is>
      </c>
      <c r="J1138" s="26" t="inlineStr">
        <is>
          <t>Yes</t>
        </is>
      </c>
      <c r="K1138" s="27" t="n"/>
      <c r="L1138" s="28" t="inlineStr">
        <is>
          <t>No</t>
        </is>
      </c>
      <c r="M1138" s="29">
        <f>IF(E1138="","",IF(H1138="Yes","❌ Disc",IF(G1138="No","⚠ Missing",IF(J1138="Yes","✓ OK","⚠ Check"))))</f>
        <v/>
      </c>
      <c r="N1138" s="43" t="n">
        <v>46193</v>
      </c>
      <c r="O1138" s="26" t="inlineStr">
        <is>
          <t>Sunil CR</t>
        </is>
      </c>
      <c r="P1138" s="26" t="inlineStr">
        <is>
          <t>Yes</t>
        </is>
      </c>
      <c r="Q1138" s="26" t="inlineStr">
        <is>
          <t>No</t>
        </is>
      </c>
      <c r="R1138" s="26" t="inlineStr">
        <is>
          <t>Good finish</t>
        </is>
      </c>
      <c r="S1138" s="26" t="inlineStr">
        <is>
          <t>Yes</t>
        </is>
      </c>
      <c r="T1138" s="27" t="n"/>
      <c r="U1138" s="28" t="inlineStr">
        <is>
          <t>No</t>
        </is>
      </c>
      <c r="V1138" s="29">
        <f>IF(N1138="","",IF(Q1138="Yes","❌ Disc",IF(P1138="No","⚠ Missing",IF(S1138="Yes","✓ OK","⚠ Check"))))</f>
        <v/>
      </c>
      <c r="W1138" s="65" t="n">
        <v>46248</v>
      </c>
      <c r="X1138" s="30" t="inlineStr">
        <is>
          <t>Sunil CR</t>
        </is>
      </c>
      <c r="Y1138" s="30" t="inlineStr">
        <is>
          <t>Yes</t>
        </is>
      </c>
      <c r="Z1138" s="30" t="n"/>
      <c r="AA1138" s="30" t="inlineStr">
        <is>
          <t>Good finish</t>
        </is>
      </c>
      <c r="AB1138" s="30" t="inlineStr">
        <is>
          <t>Yes</t>
        </is>
      </c>
      <c r="AC1138" s="27" t="n"/>
      <c r="AD1138" s="31" t="inlineStr">
        <is>
          <t>No</t>
        </is>
      </c>
      <c r="AE1138" s="32">
        <f>IF(W1138="","",IF(Z1138="Yes","❌ Disc",IF(Y1138="No","⚠ Missing",IF(AB1138="Yes","✓ OK","⚠ Check"))))</f>
        <v/>
      </c>
      <c r="AF1138" s="33" t="n"/>
      <c r="AG1138" s="33" t="n"/>
      <c r="AH1138" s="33" t="n"/>
      <c r="AI1138" s="33" t="n"/>
      <c r="AJ1138" s="33" t="n"/>
      <c r="AK1138" s="33" t="n"/>
      <c r="AL1138" s="27" t="n"/>
      <c r="AM1138" s="34" t="n"/>
      <c r="AN1138" s="35">
        <f>IF(AF1138="","",IF(AI1138="Yes","❌ Disc",IF(AH1138="No","⚠ Missing",IF(AK1138="Yes","✓ OK","⚠ Check"))))</f>
        <v/>
      </c>
      <c r="AO1138" s="36" t="n"/>
      <c r="AP1138" s="36" t="n"/>
      <c r="AQ1138" s="36" t="n"/>
      <c r="AR1138" s="36" t="n"/>
      <c r="AS1138" s="36" t="n"/>
      <c r="AT1138" s="36" t="n"/>
      <c r="AU1138" s="27" t="n"/>
      <c r="AV1138" s="37" t="n"/>
      <c r="AW1138" s="38">
        <f>IF(AO1138="","",IF(AR1138="Yes","❌ Disc",IF(AQ1138="No","⚠ Missing",IF(AT1138="Yes","✓ OK","⚠ Check"))))</f>
        <v/>
      </c>
    </row>
    <row r="1139" ht="18" customHeight="1" s="46">
      <c r="A1139" s="23" t="n">
        <v>1135</v>
      </c>
      <c r="B1139" s="24" t="inlineStr">
        <is>
          <t>BD-VRM-2024-2991</t>
        </is>
      </c>
      <c r="C1139" s="25" t="inlineStr">
        <is>
          <t>Marshall Eldorado Wallpaper 15544</t>
        </is>
      </c>
      <c r="D1139" s="23" t="inlineStr">
        <is>
          <t>Marshalls</t>
        </is>
      </c>
      <c r="E1139" s="43" t="n">
        <v>46125</v>
      </c>
      <c r="F1139" s="26" t="inlineStr">
        <is>
          <t>Sunil CR</t>
        </is>
      </c>
      <c r="G1139" s="26" t="inlineStr">
        <is>
          <t>Yes</t>
        </is>
      </c>
      <c r="H1139" s="26" t="inlineStr">
        <is>
          <t>No</t>
        </is>
      </c>
      <c r="I1139" s="26" t="inlineStr">
        <is>
          <t>Good finish</t>
        </is>
      </c>
      <c r="J1139" s="26" t="inlineStr">
        <is>
          <t>Yes</t>
        </is>
      </c>
      <c r="K1139" s="27" t="n"/>
      <c r="L1139" s="28" t="inlineStr">
        <is>
          <t>No</t>
        </is>
      </c>
      <c r="M1139" s="29">
        <f>IF(E1139="","",IF(H1139="Yes","❌ Disc",IF(G1139="No","⚠ Missing",IF(J1139="Yes","✓ OK","⚠ Check"))))</f>
        <v/>
      </c>
      <c r="N1139" s="43" t="n">
        <v>46193</v>
      </c>
      <c r="O1139" s="26" t="inlineStr">
        <is>
          <t>Sunil CR</t>
        </is>
      </c>
      <c r="P1139" s="26" t="inlineStr">
        <is>
          <t>Yes</t>
        </is>
      </c>
      <c r="Q1139" s="26" t="inlineStr">
        <is>
          <t>No</t>
        </is>
      </c>
      <c r="R1139" s="26" t="inlineStr">
        <is>
          <t>Good finish</t>
        </is>
      </c>
      <c r="S1139" s="26" t="inlineStr">
        <is>
          <t>Yes</t>
        </is>
      </c>
      <c r="T1139" s="27" t="n"/>
      <c r="U1139" s="28" t="inlineStr">
        <is>
          <t>No</t>
        </is>
      </c>
      <c r="V1139" s="29">
        <f>IF(N1139="","",IF(Q1139="Yes","❌ Disc",IF(P1139="No","⚠ Missing",IF(S1139="Yes","✓ OK","⚠ Check"))))</f>
        <v/>
      </c>
      <c r="W1139" s="65" t="n">
        <v>46248</v>
      </c>
      <c r="X1139" s="30" t="inlineStr">
        <is>
          <t>Sunil CR</t>
        </is>
      </c>
      <c r="Y1139" s="30" t="inlineStr">
        <is>
          <t>Yes</t>
        </is>
      </c>
      <c r="Z1139" s="30" t="n"/>
      <c r="AA1139" s="30" t="inlineStr">
        <is>
          <t>Good finish</t>
        </is>
      </c>
      <c r="AB1139" s="30" t="inlineStr">
        <is>
          <t>Yes</t>
        </is>
      </c>
      <c r="AC1139" s="27" t="n"/>
      <c r="AD1139" s="31" t="inlineStr">
        <is>
          <t>No</t>
        </is>
      </c>
      <c r="AE1139" s="32">
        <f>IF(W1139="","",IF(Z1139="Yes","❌ Disc",IF(Y1139="No","⚠ Missing",IF(AB1139="Yes","✓ OK","⚠ Check"))))</f>
        <v/>
      </c>
      <c r="AF1139" s="33" t="n"/>
      <c r="AG1139" s="33" t="n"/>
      <c r="AH1139" s="33" t="n"/>
      <c r="AI1139" s="33" t="n"/>
      <c r="AJ1139" s="33" t="n"/>
      <c r="AK1139" s="33" t="n"/>
      <c r="AL1139" s="27" t="n"/>
      <c r="AM1139" s="34" t="n"/>
      <c r="AN1139" s="35">
        <f>IF(AF1139="","",IF(AI1139="Yes","❌ Disc",IF(AH1139="No","⚠ Missing",IF(AK1139="Yes","✓ OK","⚠ Check"))))</f>
        <v/>
      </c>
      <c r="AO1139" s="36" t="n"/>
      <c r="AP1139" s="36" t="n"/>
      <c r="AQ1139" s="36" t="n"/>
      <c r="AR1139" s="36" t="n"/>
      <c r="AS1139" s="36" t="n"/>
      <c r="AT1139" s="36" t="n"/>
      <c r="AU1139" s="27" t="n"/>
      <c r="AV1139" s="37" t="n"/>
      <c r="AW1139" s="38">
        <f>IF(AO1139="","",IF(AR1139="Yes","❌ Disc",IF(AQ1139="No","⚠ Missing",IF(AT1139="Yes","✓ OK","⚠ Check"))))</f>
        <v/>
      </c>
    </row>
    <row r="1140" ht="18" customHeight="1" s="46">
      <c r="A1140" s="39" t="n">
        <v>1136</v>
      </c>
      <c r="B1140" s="40" t="inlineStr">
        <is>
          <t>BD-VRM-2024-2983</t>
        </is>
      </c>
      <c r="C1140" s="41" t="inlineStr">
        <is>
          <t>Marshall Eldorado Wallpaper 15545</t>
        </is>
      </c>
      <c r="D1140" s="39" t="inlineStr">
        <is>
          <t>Marshalls</t>
        </is>
      </c>
      <c r="E1140" s="43" t="n">
        <v>46125</v>
      </c>
      <c r="F1140" s="26" t="inlineStr">
        <is>
          <t>Sunil CR</t>
        </is>
      </c>
      <c r="G1140" s="26" t="inlineStr">
        <is>
          <t>Yes</t>
        </is>
      </c>
      <c r="H1140" s="26" t="inlineStr">
        <is>
          <t>No</t>
        </is>
      </c>
      <c r="I1140" s="26" t="inlineStr">
        <is>
          <t>Good finish</t>
        </is>
      </c>
      <c r="J1140" s="26" t="inlineStr">
        <is>
          <t>Yes</t>
        </is>
      </c>
      <c r="K1140" s="27" t="n"/>
      <c r="L1140" s="28" t="inlineStr">
        <is>
          <t>No</t>
        </is>
      </c>
      <c r="M1140" s="29">
        <f>IF(E1140="","",IF(H1140="Yes","❌ Disc",IF(G1140="No","⚠ Missing",IF(J1140="Yes","✓ OK","⚠ Check"))))</f>
        <v/>
      </c>
      <c r="N1140" s="43" t="n">
        <v>46193</v>
      </c>
      <c r="O1140" s="26" t="inlineStr">
        <is>
          <t>Sunil CR</t>
        </is>
      </c>
      <c r="P1140" s="26" t="inlineStr">
        <is>
          <t>Yes</t>
        </is>
      </c>
      <c r="Q1140" s="26" t="inlineStr">
        <is>
          <t>No</t>
        </is>
      </c>
      <c r="R1140" s="26" t="inlineStr">
        <is>
          <t>Good finish</t>
        </is>
      </c>
      <c r="S1140" s="26" t="inlineStr">
        <is>
          <t>Yes</t>
        </is>
      </c>
      <c r="T1140" s="27" t="n"/>
      <c r="U1140" s="28" t="inlineStr">
        <is>
          <t>No</t>
        </is>
      </c>
      <c r="V1140" s="29">
        <f>IF(N1140="","",IF(Q1140="Yes","❌ Disc",IF(P1140="No","⚠ Missing",IF(S1140="Yes","✓ OK","⚠ Check"))))</f>
        <v/>
      </c>
      <c r="W1140" s="65" t="n">
        <v>46248</v>
      </c>
      <c r="X1140" s="30" t="inlineStr">
        <is>
          <t>Sunil CR</t>
        </is>
      </c>
      <c r="Y1140" s="30" t="inlineStr">
        <is>
          <t>Yes</t>
        </is>
      </c>
      <c r="Z1140" s="30" t="n"/>
      <c r="AA1140" s="30" t="inlineStr">
        <is>
          <t>Good finish</t>
        </is>
      </c>
      <c r="AB1140" s="30" t="inlineStr">
        <is>
          <t>Yes</t>
        </is>
      </c>
      <c r="AC1140" s="27" t="n"/>
      <c r="AD1140" s="31" t="inlineStr">
        <is>
          <t>No</t>
        </is>
      </c>
      <c r="AE1140" s="32">
        <f>IF(W1140="","",IF(Z1140="Yes","❌ Disc",IF(Y1140="No","⚠ Missing",IF(AB1140="Yes","✓ OK","⚠ Check"))))</f>
        <v/>
      </c>
      <c r="AF1140" s="33" t="n"/>
      <c r="AG1140" s="33" t="n"/>
      <c r="AH1140" s="33" t="n"/>
      <c r="AI1140" s="33" t="n"/>
      <c r="AJ1140" s="33" t="n"/>
      <c r="AK1140" s="33" t="n"/>
      <c r="AL1140" s="27" t="n"/>
      <c r="AM1140" s="34" t="n"/>
      <c r="AN1140" s="35">
        <f>IF(AF1140="","",IF(AI1140="Yes","❌ Disc",IF(AH1140="No","⚠ Missing",IF(AK1140="Yes","✓ OK","⚠ Check"))))</f>
        <v/>
      </c>
      <c r="AO1140" s="36" t="n"/>
      <c r="AP1140" s="36" t="n"/>
      <c r="AQ1140" s="36" t="n"/>
      <c r="AR1140" s="36" t="n"/>
      <c r="AS1140" s="36" t="n"/>
      <c r="AT1140" s="36" t="n"/>
      <c r="AU1140" s="27" t="n"/>
      <c r="AV1140" s="37" t="n"/>
      <c r="AW1140" s="38">
        <f>IF(AO1140="","",IF(AR1140="Yes","❌ Disc",IF(AQ1140="No","⚠ Missing",IF(AT1140="Yes","✓ OK","⚠ Check"))))</f>
        <v/>
      </c>
    </row>
    <row r="1141" ht="18" customHeight="1" s="46">
      <c r="A1141" s="23" t="n">
        <v>1137</v>
      </c>
      <c r="B1141" s="24" t="inlineStr">
        <is>
          <t>BD-VRM-2024-2982</t>
        </is>
      </c>
      <c r="C1141" s="25" t="inlineStr">
        <is>
          <t>Marshall Eldorado Wallpaper 15549</t>
        </is>
      </c>
      <c r="D1141" s="23" t="inlineStr">
        <is>
          <t>Marshalls</t>
        </is>
      </c>
      <c r="E1141" s="43" t="n">
        <v>46125</v>
      </c>
      <c r="F1141" s="26" t="inlineStr">
        <is>
          <t>Sunil CR</t>
        </is>
      </c>
      <c r="G1141" s="26" t="inlineStr">
        <is>
          <t>Yes</t>
        </is>
      </c>
      <c r="H1141" s="26" t="inlineStr">
        <is>
          <t>No</t>
        </is>
      </c>
      <c r="I1141" s="26" t="inlineStr">
        <is>
          <t>Good finish</t>
        </is>
      </c>
      <c r="J1141" s="26" t="inlineStr">
        <is>
          <t>Yes</t>
        </is>
      </c>
      <c r="K1141" s="27" t="n"/>
      <c r="L1141" s="28" t="inlineStr">
        <is>
          <t>No</t>
        </is>
      </c>
      <c r="M1141" s="29">
        <f>IF(E1141="","",IF(H1141="Yes","❌ Disc",IF(G1141="No","⚠ Missing",IF(J1141="Yes","✓ OK","⚠ Check"))))</f>
        <v/>
      </c>
      <c r="N1141" s="43" t="n">
        <v>46193</v>
      </c>
      <c r="O1141" s="26" t="inlineStr">
        <is>
          <t>Sunil CR</t>
        </is>
      </c>
      <c r="P1141" s="26" t="inlineStr">
        <is>
          <t>Yes</t>
        </is>
      </c>
      <c r="Q1141" s="26" t="inlineStr">
        <is>
          <t>No</t>
        </is>
      </c>
      <c r="R1141" s="26" t="inlineStr">
        <is>
          <t>Good finish</t>
        </is>
      </c>
      <c r="S1141" s="26" t="inlineStr">
        <is>
          <t>Yes</t>
        </is>
      </c>
      <c r="T1141" s="27" t="n"/>
      <c r="U1141" s="28" t="inlineStr">
        <is>
          <t>No</t>
        </is>
      </c>
      <c r="V1141" s="29">
        <f>IF(N1141="","",IF(Q1141="Yes","❌ Disc",IF(P1141="No","⚠ Missing",IF(S1141="Yes","✓ OK","⚠ Check"))))</f>
        <v/>
      </c>
      <c r="W1141" s="65" t="n">
        <v>46248</v>
      </c>
      <c r="X1141" s="30" t="inlineStr">
        <is>
          <t>Sunil CR</t>
        </is>
      </c>
      <c r="Y1141" s="30" t="inlineStr">
        <is>
          <t>Yes</t>
        </is>
      </c>
      <c r="Z1141" s="30" t="n"/>
      <c r="AA1141" s="30" t="inlineStr">
        <is>
          <t>Good finish</t>
        </is>
      </c>
      <c r="AB1141" s="30" t="inlineStr">
        <is>
          <t>Yes</t>
        </is>
      </c>
      <c r="AC1141" s="27" t="n"/>
      <c r="AD1141" s="31" t="inlineStr">
        <is>
          <t>No</t>
        </is>
      </c>
      <c r="AE1141" s="32">
        <f>IF(W1141="","",IF(Z1141="Yes","❌ Disc",IF(Y1141="No","⚠ Missing",IF(AB1141="Yes","✓ OK","⚠ Check"))))</f>
        <v/>
      </c>
      <c r="AF1141" s="33" t="n"/>
      <c r="AG1141" s="33" t="n"/>
      <c r="AH1141" s="33" t="n"/>
      <c r="AI1141" s="33" t="n"/>
      <c r="AJ1141" s="33" t="n"/>
      <c r="AK1141" s="33" t="n"/>
      <c r="AL1141" s="27" t="n"/>
      <c r="AM1141" s="34" t="n"/>
      <c r="AN1141" s="35">
        <f>IF(AF1141="","",IF(AI1141="Yes","❌ Disc",IF(AH1141="No","⚠ Missing",IF(AK1141="Yes","✓ OK","⚠ Check"))))</f>
        <v/>
      </c>
      <c r="AO1141" s="36" t="n"/>
      <c r="AP1141" s="36" t="n"/>
      <c r="AQ1141" s="36" t="n"/>
      <c r="AR1141" s="36" t="n"/>
      <c r="AS1141" s="36" t="n"/>
      <c r="AT1141" s="36" t="n"/>
      <c r="AU1141" s="27" t="n"/>
      <c r="AV1141" s="37" t="n"/>
      <c r="AW1141" s="38">
        <f>IF(AO1141="","",IF(AR1141="Yes","❌ Disc",IF(AQ1141="No","⚠ Missing",IF(AT1141="Yes","✓ OK","⚠ Check"))))</f>
        <v/>
      </c>
    </row>
    <row r="1142" ht="18" customHeight="1" s="46">
      <c r="A1142" s="39" t="n">
        <v>1138</v>
      </c>
      <c r="B1142" s="40" t="inlineStr">
        <is>
          <t>BD-VRM-2024-2984</t>
        </is>
      </c>
      <c r="C1142" s="41" t="inlineStr">
        <is>
          <t>Marshall Eldorado Wallpaper 15551</t>
        </is>
      </c>
      <c r="D1142" s="39" t="inlineStr">
        <is>
          <t>Marshalls</t>
        </is>
      </c>
      <c r="E1142" s="43" t="n">
        <v>46125</v>
      </c>
      <c r="F1142" s="26" t="inlineStr">
        <is>
          <t>Sunil CR</t>
        </is>
      </c>
      <c r="G1142" s="26" t="inlineStr">
        <is>
          <t>Yes</t>
        </is>
      </c>
      <c r="H1142" s="26" t="inlineStr">
        <is>
          <t>No</t>
        </is>
      </c>
      <c r="I1142" s="26" t="inlineStr">
        <is>
          <t>Good finish</t>
        </is>
      </c>
      <c r="J1142" s="26" t="inlineStr">
        <is>
          <t>Yes</t>
        </is>
      </c>
      <c r="K1142" s="27" t="n"/>
      <c r="L1142" s="28" t="inlineStr">
        <is>
          <t>No</t>
        </is>
      </c>
      <c r="M1142" s="29">
        <f>IF(E1142="","",IF(H1142="Yes","❌ Disc",IF(G1142="No","⚠ Missing",IF(J1142="Yes","✓ OK","⚠ Check"))))</f>
        <v/>
      </c>
      <c r="N1142" s="43" t="n">
        <v>46193</v>
      </c>
      <c r="O1142" s="26" t="inlineStr">
        <is>
          <t>Sunil CR</t>
        </is>
      </c>
      <c r="P1142" s="26" t="inlineStr">
        <is>
          <t>Yes</t>
        </is>
      </c>
      <c r="Q1142" s="26" t="inlineStr">
        <is>
          <t>No</t>
        </is>
      </c>
      <c r="R1142" s="26" t="inlineStr">
        <is>
          <t>Good finish</t>
        </is>
      </c>
      <c r="S1142" s="26" t="inlineStr">
        <is>
          <t>Yes</t>
        </is>
      </c>
      <c r="T1142" s="27" t="n"/>
      <c r="U1142" s="28" t="inlineStr">
        <is>
          <t>No</t>
        </is>
      </c>
      <c r="V1142" s="29">
        <f>IF(N1142="","",IF(Q1142="Yes","❌ Disc",IF(P1142="No","⚠ Missing",IF(S1142="Yes","✓ OK","⚠ Check"))))</f>
        <v/>
      </c>
      <c r="W1142" s="65" t="n">
        <v>46248</v>
      </c>
      <c r="X1142" s="30" t="inlineStr">
        <is>
          <t>Sunil CR</t>
        </is>
      </c>
      <c r="Y1142" s="30" t="inlineStr">
        <is>
          <t>Yes</t>
        </is>
      </c>
      <c r="Z1142" s="30" t="n"/>
      <c r="AA1142" s="30" t="inlineStr">
        <is>
          <t>Good finish</t>
        </is>
      </c>
      <c r="AB1142" s="30" t="inlineStr">
        <is>
          <t>Yes</t>
        </is>
      </c>
      <c r="AC1142" s="27" t="n"/>
      <c r="AD1142" s="31" t="inlineStr">
        <is>
          <t>No</t>
        </is>
      </c>
      <c r="AE1142" s="32">
        <f>IF(W1142="","",IF(Z1142="Yes","❌ Disc",IF(Y1142="No","⚠ Missing",IF(AB1142="Yes","✓ OK","⚠ Check"))))</f>
        <v/>
      </c>
      <c r="AF1142" s="33" t="n"/>
      <c r="AG1142" s="33" t="n"/>
      <c r="AH1142" s="33" t="n"/>
      <c r="AI1142" s="33" t="n"/>
      <c r="AJ1142" s="33" t="n"/>
      <c r="AK1142" s="33" t="n"/>
      <c r="AL1142" s="27" t="n"/>
      <c r="AM1142" s="34" t="n"/>
      <c r="AN1142" s="35">
        <f>IF(AF1142="","",IF(AI1142="Yes","❌ Disc",IF(AH1142="No","⚠ Missing",IF(AK1142="Yes","✓ OK","⚠ Check"))))</f>
        <v/>
      </c>
      <c r="AO1142" s="36" t="n"/>
      <c r="AP1142" s="36" t="n"/>
      <c r="AQ1142" s="36" t="n"/>
      <c r="AR1142" s="36" t="n"/>
      <c r="AS1142" s="36" t="n"/>
      <c r="AT1142" s="36" t="n"/>
      <c r="AU1142" s="27" t="n"/>
      <c r="AV1142" s="37" t="n"/>
      <c r="AW1142" s="38">
        <f>IF(AO1142="","",IF(AR1142="Yes","❌ Disc",IF(AQ1142="No","⚠ Missing",IF(AT1142="Yes","✓ OK","⚠ Check"))))</f>
        <v/>
      </c>
    </row>
    <row r="1143" ht="18" customHeight="1" s="46">
      <c r="A1143" s="23" t="n">
        <v>1139</v>
      </c>
      <c r="B1143" s="24" t="inlineStr">
        <is>
          <t>BD-VRM-2024-2981</t>
        </is>
      </c>
      <c r="C1143" s="25" t="inlineStr">
        <is>
          <t>Marshall Eldorado Wallpaper 15557</t>
        </is>
      </c>
      <c r="D1143" s="23" t="inlineStr">
        <is>
          <t>Marshalls</t>
        </is>
      </c>
      <c r="E1143" s="43" t="n">
        <v>46125</v>
      </c>
      <c r="F1143" s="26" t="inlineStr">
        <is>
          <t>Sunil CR</t>
        </is>
      </c>
      <c r="G1143" s="26" t="inlineStr">
        <is>
          <t>Yes</t>
        </is>
      </c>
      <c r="H1143" s="26" t="inlineStr">
        <is>
          <t>No</t>
        </is>
      </c>
      <c r="I1143" s="26" t="inlineStr">
        <is>
          <t>Good finish</t>
        </is>
      </c>
      <c r="J1143" s="26" t="inlineStr">
        <is>
          <t>Yes</t>
        </is>
      </c>
      <c r="K1143" s="27" t="n"/>
      <c r="L1143" s="28" t="inlineStr">
        <is>
          <t>No</t>
        </is>
      </c>
      <c r="M1143" s="29">
        <f>IF(E1143="","",IF(H1143="Yes","❌ Disc",IF(G1143="No","⚠ Missing",IF(J1143="Yes","✓ OK","⚠ Check"))))</f>
        <v/>
      </c>
      <c r="N1143" s="43" t="n">
        <v>46193</v>
      </c>
      <c r="O1143" s="26" t="inlineStr">
        <is>
          <t>Sunil CR</t>
        </is>
      </c>
      <c r="P1143" s="26" t="inlineStr">
        <is>
          <t>Yes</t>
        </is>
      </c>
      <c r="Q1143" s="26" t="inlineStr">
        <is>
          <t>No</t>
        </is>
      </c>
      <c r="R1143" s="26" t="inlineStr">
        <is>
          <t>Good finish</t>
        </is>
      </c>
      <c r="S1143" s="26" t="inlineStr">
        <is>
          <t>Yes</t>
        </is>
      </c>
      <c r="T1143" s="27" t="n"/>
      <c r="U1143" s="28" t="inlineStr">
        <is>
          <t>No</t>
        </is>
      </c>
      <c r="V1143" s="29">
        <f>IF(N1143="","",IF(Q1143="Yes","❌ Disc",IF(P1143="No","⚠ Missing",IF(S1143="Yes","✓ OK","⚠ Check"))))</f>
        <v/>
      </c>
      <c r="W1143" s="65" t="n">
        <v>46248</v>
      </c>
      <c r="X1143" s="30" t="inlineStr">
        <is>
          <t>Sunil CR</t>
        </is>
      </c>
      <c r="Y1143" s="30" t="inlineStr">
        <is>
          <t>Yes</t>
        </is>
      </c>
      <c r="Z1143" s="30" t="n"/>
      <c r="AA1143" s="30" t="inlineStr">
        <is>
          <t>Good finish</t>
        </is>
      </c>
      <c r="AB1143" s="30" t="inlineStr">
        <is>
          <t>Yes</t>
        </is>
      </c>
      <c r="AC1143" s="27" t="n"/>
      <c r="AD1143" s="31" t="inlineStr">
        <is>
          <t>No</t>
        </is>
      </c>
      <c r="AE1143" s="32">
        <f>IF(W1143="","",IF(Z1143="Yes","❌ Disc",IF(Y1143="No","⚠ Missing",IF(AB1143="Yes","✓ OK","⚠ Check"))))</f>
        <v/>
      </c>
      <c r="AF1143" s="33" t="n"/>
      <c r="AG1143" s="33" t="n"/>
      <c r="AH1143" s="33" t="n"/>
      <c r="AI1143" s="33" t="n"/>
      <c r="AJ1143" s="33" t="n"/>
      <c r="AK1143" s="33" t="n"/>
      <c r="AL1143" s="27" t="n"/>
      <c r="AM1143" s="34" t="n"/>
      <c r="AN1143" s="35">
        <f>IF(AF1143="","",IF(AI1143="Yes","❌ Disc",IF(AH1143="No","⚠ Missing",IF(AK1143="Yes","✓ OK","⚠ Check"))))</f>
        <v/>
      </c>
      <c r="AO1143" s="36" t="n"/>
      <c r="AP1143" s="36" t="n"/>
      <c r="AQ1143" s="36" t="n"/>
      <c r="AR1143" s="36" t="n"/>
      <c r="AS1143" s="36" t="n"/>
      <c r="AT1143" s="36" t="n"/>
      <c r="AU1143" s="27" t="n"/>
      <c r="AV1143" s="37" t="n"/>
      <c r="AW1143" s="38">
        <f>IF(AO1143="","",IF(AR1143="Yes","❌ Disc",IF(AQ1143="No","⚠ Missing",IF(AT1143="Yes","✓ OK","⚠ Check"))))</f>
        <v/>
      </c>
    </row>
    <row r="1144" ht="18" customHeight="1" s="46">
      <c r="A1144" s="39" t="n">
        <v>1140</v>
      </c>
      <c r="B1144" s="40" t="inlineStr">
        <is>
          <t>BD-VRM-2024-2995</t>
        </is>
      </c>
      <c r="C1144" s="41" t="inlineStr">
        <is>
          <t>Marshall Eldorado Wallpaper 15559</t>
        </is>
      </c>
      <c r="D1144" s="39" t="inlineStr">
        <is>
          <t>Marshalls</t>
        </is>
      </c>
      <c r="E1144" s="43" t="n">
        <v>46125</v>
      </c>
      <c r="F1144" s="26" t="inlineStr">
        <is>
          <t>Sunil CR</t>
        </is>
      </c>
      <c r="G1144" s="26" t="inlineStr">
        <is>
          <t>Yes</t>
        </is>
      </c>
      <c r="H1144" s="26" t="inlineStr">
        <is>
          <t>No</t>
        </is>
      </c>
      <c r="I1144" s="26" t="inlineStr">
        <is>
          <t>Good finish</t>
        </is>
      </c>
      <c r="J1144" s="26" t="inlineStr">
        <is>
          <t>Yes</t>
        </is>
      </c>
      <c r="K1144" s="27" t="n"/>
      <c r="L1144" s="28" t="inlineStr">
        <is>
          <t>No</t>
        </is>
      </c>
      <c r="M1144" s="29">
        <f>IF(E1144="","",IF(H1144="Yes","❌ Disc",IF(G1144="No","⚠ Missing",IF(J1144="Yes","✓ OK","⚠ Check"))))</f>
        <v/>
      </c>
      <c r="N1144" s="43" t="n">
        <v>46193</v>
      </c>
      <c r="O1144" s="26" t="inlineStr">
        <is>
          <t>Sunil CR</t>
        </is>
      </c>
      <c r="P1144" s="26" t="inlineStr">
        <is>
          <t>Yes</t>
        </is>
      </c>
      <c r="Q1144" s="26" t="inlineStr">
        <is>
          <t>No</t>
        </is>
      </c>
      <c r="R1144" s="26" t="inlineStr">
        <is>
          <t>Good finish</t>
        </is>
      </c>
      <c r="S1144" s="26" t="inlineStr">
        <is>
          <t>Yes</t>
        </is>
      </c>
      <c r="T1144" s="27" t="n"/>
      <c r="U1144" s="28" t="inlineStr">
        <is>
          <t>No</t>
        </is>
      </c>
      <c r="V1144" s="29">
        <f>IF(N1144="","",IF(Q1144="Yes","❌ Disc",IF(P1144="No","⚠ Missing",IF(S1144="Yes","✓ OK","⚠ Check"))))</f>
        <v/>
      </c>
      <c r="W1144" s="65" t="n">
        <v>46248</v>
      </c>
      <c r="X1144" s="30" t="inlineStr">
        <is>
          <t>Sunil CR</t>
        </is>
      </c>
      <c r="Y1144" s="30" t="inlineStr">
        <is>
          <t>Yes</t>
        </is>
      </c>
      <c r="Z1144" s="30" t="n"/>
      <c r="AA1144" s="30" t="inlineStr">
        <is>
          <t>Good finish</t>
        </is>
      </c>
      <c r="AB1144" s="30" t="inlineStr">
        <is>
          <t>Yes</t>
        </is>
      </c>
      <c r="AC1144" s="27" t="n"/>
      <c r="AD1144" s="31" t="inlineStr">
        <is>
          <t>No</t>
        </is>
      </c>
      <c r="AE1144" s="32">
        <f>IF(W1144="","",IF(Z1144="Yes","❌ Disc",IF(Y1144="No","⚠ Missing",IF(AB1144="Yes","✓ OK","⚠ Check"))))</f>
        <v/>
      </c>
      <c r="AF1144" s="33" t="n"/>
      <c r="AG1144" s="33" t="n"/>
      <c r="AH1144" s="33" t="n"/>
      <c r="AI1144" s="33" t="n"/>
      <c r="AJ1144" s="33" t="n"/>
      <c r="AK1144" s="33" t="n"/>
      <c r="AL1144" s="27" t="n"/>
      <c r="AM1144" s="34" t="n"/>
      <c r="AN1144" s="35">
        <f>IF(AF1144="","",IF(AI1144="Yes","❌ Disc",IF(AH1144="No","⚠ Missing",IF(AK1144="Yes","✓ OK","⚠ Check"))))</f>
        <v/>
      </c>
      <c r="AO1144" s="36" t="n"/>
      <c r="AP1144" s="36" t="n"/>
      <c r="AQ1144" s="36" t="n"/>
      <c r="AR1144" s="36" t="n"/>
      <c r="AS1144" s="36" t="n"/>
      <c r="AT1144" s="36" t="n"/>
      <c r="AU1144" s="27" t="n"/>
      <c r="AV1144" s="37" t="n"/>
      <c r="AW1144" s="38">
        <f>IF(AO1144="","",IF(AR1144="Yes","❌ Disc",IF(AQ1144="No","⚠ Missing",IF(AT1144="Yes","✓ OK","⚠ Check"))))</f>
        <v/>
      </c>
    </row>
    <row r="1145" ht="18" customHeight="1" s="46">
      <c r="A1145" s="23" t="n">
        <v>1141</v>
      </c>
      <c r="B1145" s="24" t="inlineStr">
        <is>
          <t>BD-VRM-2024-2990</t>
        </is>
      </c>
      <c r="C1145" s="25" t="inlineStr">
        <is>
          <t>Marshall Eldorado Wallpaper 15561</t>
        </is>
      </c>
      <c r="D1145" s="23" t="inlineStr">
        <is>
          <t>Marshalls</t>
        </is>
      </c>
      <c r="E1145" s="43" t="n">
        <v>46125</v>
      </c>
      <c r="F1145" s="26" t="inlineStr">
        <is>
          <t>Sunil CR</t>
        </is>
      </c>
      <c r="G1145" s="26" t="inlineStr">
        <is>
          <t>Yes</t>
        </is>
      </c>
      <c r="H1145" s="26" t="inlineStr">
        <is>
          <t>No</t>
        </is>
      </c>
      <c r="I1145" s="26" t="inlineStr">
        <is>
          <t>Good finish</t>
        </is>
      </c>
      <c r="J1145" s="26" t="inlineStr">
        <is>
          <t>Yes</t>
        </is>
      </c>
      <c r="K1145" s="27" t="n"/>
      <c r="L1145" s="28" t="inlineStr">
        <is>
          <t>No</t>
        </is>
      </c>
      <c r="M1145" s="29">
        <f>IF(E1145="","",IF(H1145="Yes","❌ Disc",IF(G1145="No","⚠ Missing",IF(J1145="Yes","✓ OK","⚠ Check"))))</f>
        <v/>
      </c>
      <c r="N1145" s="43" t="n">
        <v>46193</v>
      </c>
      <c r="O1145" s="26" t="inlineStr">
        <is>
          <t>Sunil CR</t>
        </is>
      </c>
      <c r="P1145" s="26" t="inlineStr">
        <is>
          <t>Yes</t>
        </is>
      </c>
      <c r="Q1145" s="26" t="inlineStr">
        <is>
          <t>No</t>
        </is>
      </c>
      <c r="R1145" s="26" t="inlineStr">
        <is>
          <t>Good finish</t>
        </is>
      </c>
      <c r="S1145" s="26" t="inlineStr">
        <is>
          <t>Yes</t>
        </is>
      </c>
      <c r="T1145" s="27" t="n"/>
      <c r="U1145" s="28" t="inlineStr">
        <is>
          <t>No</t>
        </is>
      </c>
      <c r="V1145" s="29">
        <f>IF(N1145="","",IF(Q1145="Yes","❌ Disc",IF(P1145="No","⚠ Missing",IF(S1145="Yes","✓ OK","⚠ Check"))))</f>
        <v/>
      </c>
      <c r="W1145" s="65" t="n">
        <v>46248</v>
      </c>
      <c r="X1145" s="30" t="inlineStr">
        <is>
          <t>Sunil CR</t>
        </is>
      </c>
      <c r="Y1145" s="30" t="inlineStr">
        <is>
          <t>Yes</t>
        </is>
      </c>
      <c r="Z1145" s="30" t="n"/>
      <c r="AA1145" s="30" t="inlineStr">
        <is>
          <t>Good finish</t>
        </is>
      </c>
      <c r="AB1145" s="30" t="inlineStr">
        <is>
          <t>Yes</t>
        </is>
      </c>
      <c r="AC1145" s="27" t="n"/>
      <c r="AD1145" s="31" t="inlineStr">
        <is>
          <t>No</t>
        </is>
      </c>
      <c r="AE1145" s="32">
        <f>IF(W1145="","",IF(Z1145="Yes","❌ Disc",IF(Y1145="No","⚠ Missing",IF(AB1145="Yes","✓ OK","⚠ Check"))))</f>
        <v/>
      </c>
      <c r="AF1145" s="33" t="n"/>
      <c r="AG1145" s="33" t="n"/>
      <c r="AH1145" s="33" t="n"/>
      <c r="AI1145" s="33" t="n"/>
      <c r="AJ1145" s="33" t="n"/>
      <c r="AK1145" s="33" t="n"/>
      <c r="AL1145" s="27" t="n"/>
      <c r="AM1145" s="34" t="n"/>
      <c r="AN1145" s="35">
        <f>IF(AF1145="","",IF(AI1145="Yes","❌ Disc",IF(AH1145="No","⚠ Missing",IF(AK1145="Yes","✓ OK","⚠ Check"))))</f>
        <v/>
      </c>
      <c r="AO1145" s="36" t="n"/>
      <c r="AP1145" s="36" t="n"/>
      <c r="AQ1145" s="36" t="n"/>
      <c r="AR1145" s="36" t="n"/>
      <c r="AS1145" s="36" t="n"/>
      <c r="AT1145" s="36" t="n"/>
      <c r="AU1145" s="27" t="n"/>
      <c r="AV1145" s="37" t="n"/>
      <c r="AW1145" s="38">
        <f>IF(AO1145="","",IF(AR1145="Yes","❌ Disc",IF(AQ1145="No","⚠ Missing",IF(AT1145="Yes","✓ OK","⚠ Check"))))</f>
        <v/>
      </c>
    </row>
    <row r="1146" ht="18" customHeight="1" s="46">
      <c r="A1146" s="39" t="n">
        <v>1142</v>
      </c>
      <c r="B1146" s="40" t="inlineStr">
        <is>
          <t>BD-VRM-2024-2989</t>
        </is>
      </c>
      <c r="C1146" s="41" t="inlineStr">
        <is>
          <t>Marshall Eldorado Wallpaper 15562</t>
        </is>
      </c>
      <c r="D1146" s="39" t="inlineStr">
        <is>
          <t>Marshalls</t>
        </is>
      </c>
      <c r="E1146" s="43" t="n">
        <v>46125</v>
      </c>
      <c r="F1146" s="26" t="inlineStr">
        <is>
          <t>Sunil CR</t>
        </is>
      </c>
      <c r="G1146" s="26" t="inlineStr">
        <is>
          <t>Yes</t>
        </is>
      </c>
      <c r="H1146" s="26" t="inlineStr">
        <is>
          <t>No</t>
        </is>
      </c>
      <c r="I1146" s="26" t="inlineStr">
        <is>
          <t>Good finish</t>
        </is>
      </c>
      <c r="J1146" s="26" t="inlineStr">
        <is>
          <t>Yes</t>
        </is>
      </c>
      <c r="K1146" s="27" t="n"/>
      <c r="L1146" s="28" t="inlineStr">
        <is>
          <t>No</t>
        </is>
      </c>
      <c r="M1146" s="29">
        <f>IF(E1146="","",IF(H1146="Yes","❌ Disc",IF(G1146="No","⚠ Missing",IF(J1146="Yes","✓ OK","⚠ Check"))))</f>
        <v/>
      </c>
      <c r="N1146" s="43" t="n">
        <v>46193</v>
      </c>
      <c r="O1146" s="26" t="inlineStr">
        <is>
          <t>Sunil CR</t>
        </is>
      </c>
      <c r="P1146" s="26" t="inlineStr">
        <is>
          <t>Yes</t>
        </is>
      </c>
      <c r="Q1146" s="26" t="inlineStr">
        <is>
          <t>No</t>
        </is>
      </c>
      <c r="R1146" s="26" t="inlineStr">
        <is>
          <t>Good finish</t>
        </is>
      </c>
      <c r="S1146" s="26" t="inlineStr">
        <is>
          <t>Yes</t>
        </is>
      </c>
      <c r="T1146" s="27" t="n"/>
      <c r="U1146" s="28" t="inlineStr">
        <is>
          <t>No</t>
        </is>
      </c>
      <c r="V1146" s="29">
        <f>IF(N1146="","",IF(Q1146="Yes","❌ Disc",IF(P1146="No","⚠ Missing",IF(S1146="Yes","✓ OK","⚠ Check"))))</f>
        <v/>
      </c>
      <c r="W1146" s="65" t="n">
        <v>46248</v>
      </c>
      <c r="X1146" s="30" t="inlineStr">
        <is>
          <t>Sunil CR</t>
        </is>
      </c>
      <c r="Y1146" s="30" t="inlineStr">
        <is>
          <t>Yes</t>
        </is>
      </c>
      <c r="Z1146" s="30" t="n"/>
      <c r="AA1146" s="30" t="inlineStr">
        <is>
          <t>Good finish</t>
        </is>
      </c>
      <c r="AB1146" s="30" t="inlineStr">
        <is>
          <t>Yes</t>
        </is>
      </c>
      <c r="AC1146" s="27" t="n"/>
      <c r="AD1146" s="31" t="inlineStr">
        <is>
          <t>No</t>
        </is>
      </c>
      <c r="AE1146" s="32">
        <f>IF(W1146="","",IF(Z1146="Yes","❌ Disc",IF(Y1146="No","⚠ Missing",IF(AB1146="Yes","✓ OK","⚠ Check"))))</f>
        <v/>
      </c>
      <c r="AF1146" s="33" t="n"/>
      <c r="AG1146" s="33" t="n"/>
      <c r="AH1146" s="33" t="n"/>
      <c r="AI1146" s="33" t="n"/>
      <c r="AJ1146" s="33" t="n"/>
      <c r="AK1146" s="33" t="n"/>
      <c r="AL1146" s="27" t="n"/>
      <c r="AM1146" s="34" t="n"/>
      <c r="AN1146" s="35">
        <f>IF(AF1146="","",IF(AI1146="Yes","❌ Disc",IF(AH1146="No","⚠ Missing",IF(AK1146="Yes","✓ OK","⚠ Check"))))</f>
        <v/>
      </c>
      <c r="AO1146" s="36" t="n"/>
      <c r="AP1146" s="36" t="n"/>
      <c r="AQ1146" s="36" t="n"/>
      <c r="AR1146" s="36" t="n"/>
      <c r="AS1146" s="36" t="n"/>
      <c r="AT1146" s="36" t="n"/>
      <c r="AU1146" s="27" t="n"/>
      <c r="AV1146" s="37" t="n"/>
      <c r="AW1146" s="38">
        <f>IF(AO1146="","",IF(AR1146="Yes","❌ Disc",IF(AQ1146="No","⚠ Missing",IF(AT1146="Yes","✓ OK","⚠ Check"))))</f>
        <v/>
      </c>
    </row>
    <row r="1147" ht="18" customHeight="1" s="46">
      <c r="A1147" s="23" t="n">
        <v>1143</v>
      </c>
      <c r="B1147" s="24" t="inlineStr">
        <is>
          <t>BD-VRM-2024-2977</t>
        </is>
      </c>
      <c r="C1147" s="25" t="inlineStr">
        <is>
          <t>Marshall Eldorado Wallpaper 15581</t>
        </is>
      </c>
      <c r="D1147" s="23" t="inlineStr">
        <is>
          <t>Marshalls</t>
        </is>
      </c>
      <c r="E1147" s="43" t="n">
        <v>46125</v>
      </c>
      <c r="F1147" s="26" t="inlineStr">
        <is>
          <t>Sunil CR</t>
        </is>
      </c>
      <c r="G1147" s="26" t="inlineStr">
        <is>
          <t>Yes</t>
        </is>
      </c>
      <c r="H1147" s="26" t="inlineStr">
        <is>
          <t>No</t>
        </is>
      </c>
      <c r="I1147" s="26" t="inlineStr">
        <is>
          <t>Good finish</t>
        </is>
      </c>
      <c r="J1147" s="26" t="inlineStr">
        <is>
          <t>Yes</t>
        </is>
      </c>
      <c r="K1147" s="27" t="n"/>
      <c r="L1147" s="28" t="inlineStr">
        <is>
          <t>No</t>
        </is>
      </c>
      <c r="M1147" s="29">
        <f>IF(E1147="","",IF(H1147="Yes","❌ Disc",IF(G1147="No","⚠ Missing",IF(J1147="Yes","✓ OK","⚠ Check"))))</f>
        <v/>
      </c>
      <c r="N1147" s="43" t="n">
        <v>46193</v>
      </c>
      <c r="O1147" s="26" t="inlineStr">
        <is>
          <t>Sunil CR</t>
        </is>
      </c>
      <c r="P1147" s="26" t="inlineStr">
        <is>
          <t>Yes</t>
        </is>
      </c>
      <c r="Q1147" s="26" t="inlineStr">
        <is>
          <t>No</t>
        </is>
      </c>
      <c r="R1147" s="26" t="inlineStr">
        <is>
          <t>Good finish</t>
        </is>
      </c>
      <c r="S1147" s="26" t="inlineStr">
        <is>
          <t>Yes</t>
        </is>
      </c>
      <c r="T1147" s="27" t="n"/>
      <c r="U1147" s="28" t="inlineStr">
        <is>
          <t>No</t>
        </is>
      </c>
      <c r="V1147" s="29">
        <f>IF(N1147="","",IF(Q1147="Yes","❌ Disc",IF(P1147="No","⚠ Missing",IF(S1147="Yes","✓ OK","⚠ Check"))))</f>
        <v/>
      </c>
      <c r="W1147" s="65" t="n">
        <v>46248</v>
      </c>
      <c r="X1147" s="30" t="inlineStr">
        <is>
          <t>Sunil CR</t>
        </is>
      </c>
      <c r="Y1147" s="30" t="inlineStr">
        <is>
          <t>Yes</t>
        </is>
      </c>
      <c r="Z1147" s="30" t="n"/>
      <c r="AA1147" s="30" t="inlineStr">
        <is>
          <t>Good finish</t>
        </is>
      </c>
      <c r="AB1147" s="30" t="inlineStr">
        <is>
          <t>Yes</t>
        </is>
      </c>
      <c r="AC1147" s="27" t="n"/>
      <c r="AD1147" s="31" t="inlineStr">
        <is>
          <t>No</t>
        </is>
      </c>
      <c r="AE1147" s="32">
        <f>IF(W1147="","",IF(Z1147="Yes","❌ Disc",IF(Y1147="No","⚠ Missing",IF(AB1147="Yes","✓ OK","⚠ Check"))))</f>
        <v/>
      </c>
      <c r="AF1147" s="33" t="n"/>
      <c r="AG1147" s="33" t="n"/>
      <c r="AH1147" s="33" t="n"/>
      <c r="AI1147" s="33" t="n"/>
      <c r="AJ1147" s="33" t="n"/>
      <c r="AK1147" s="33" t="n"/>
      <c r="AL1147" s="27" t="n"/>
      <c r="AM1147" s="34" t="n"/>
      <c r="AN1147" s="35">
        <f>IF(AF1147="","",IF(AI1147="Yes","❌ Disc",IF(AH1147="No","⚠ Missing",IF(AK1147="Yes","✓ OK","⚠ Check"))))</f>
        <v/>
      </c>
      <c r="AO1147" s="36" t="n"/>
      <c r="AP1147" s="36" t="n"/>
      <c r="AQ1147" s="36" t="n"/>
      <c r="AR1147" s="36" t="n"/>
      <c r="AS1147" s="36" t="n"/>
      <c r="AT1147" s="36" t="n"/>
      <c r="AU1147" s="27" t="n"/>
      <c r="AV1147" s="37" t="n"/>
      <c r="AW1147" s="38">
        <f>IF(AO1147="","",IF(AR1147="Yes","❌ Disc",IF(AQ1147="No","⚠ Missing",IF(AT1147="Yes","✓ OK","⚠ Check"))))</f>
        <v/>
      </c>
    </row>
    <row r="1148" ht="18" customHeight="1" s="46">
      <c r="A1148" s="39" t="n">
        <v>1144</v>
      </c>
      <c r="B1148" s="40" t="inlineStr">
        <is>
          <t>BD-VRM-2024-3016</t>
        </is>
      </c>
      <c r="C1148" s="41" t="inlineStr">
        <is>
          <t>Marshall Eldorado Wallpaper 17702</t>
        </is>
      </c>
      <c r="D1148" s="39" t="inlineStr">
        <is>
          <t>Marshalls</t>
        </is>
      </c>
      <c r="E1148" s="43" t="n">
        <v>46125</v>
      </c>
      <c r="F1148" s="26" t="inlineStr">
        <is>
          <t>Sunil CR</t>
        </is>
      </c>
      <c r="G1148" s="26" t="inlineStr">
        <is>
          <t>Yes</t>
        </is>
      </c>
      <c r="H1148" s="26" t="inlineStr">
        <is>
          <t>No</t>
        </is>
      </c>
      <c r="I1148" s="26" t="inlineStr">
        <is>
          <t>Good finish</t>
        </is>
      </c>
      <c r="J1148" s="26" t="inlineStr">
        <is>
          <t>Yes</t>
        </is>
      </c>
      <c r="K1148" s="27" t="n"/>
      <c r="L1148" s="28" t="inlineStr">
        <is>
          <t>No</t>
        </is>
      </c>
      <c r="M1148" s="29">
        <f>IF(E1148="","",IF(H1148="Yes","❌ Disc",IF(G1148="No","⚠ Missing",IF(J1148="Yes","✓ OK","⚠ Check"))))</f>
        <v/>
      </c>
      <c r="N1148" s="43" t="n">
        <v>46193</v>
      </c>
      <c r="O1148" s="26" t="inlineStr">
        <is>
          <t>Sunil CR</t>
        </is>
      </c>
      <c r="P1148" s="26" t="inlineStr">
        <is>
          <t>Yes</t>
        </is>
      </c>
      <c r="Q1148" s="26" t="inlineStr">
        <is>
          <t>No</t>
        </is>
      </c>
      <c r="R1148" s="26" t="inlineStr">
        <is>
          <t>Good finish</t>
        </is>
      </c>
      <c r="S1148" s="26" t="inlineStr">
        <is>
          <t>Yes</t>
        </is>
      </c>
      <c r="T1148" s="27" t="n"/>
      <c r="U1148" s="28" t="inlineStr">
        <is>
          <t>No</t>
        </is>
      </c>
      <c r="V1148" s="29">
        <f>IF(N1148="","",IF(Q1148="Yes","❌ Disc",IF(P1148="No","⚠ Missing",IF(S1148="Yes","✓ OK","⚠ Check"))))</f>
        <v/>
      </c>
      <c r="W1148" s="65" t="n">
        <v>46248</v>
      </c>
      <c r="X1148" s="30" t="inlineStr">
        <is>
          <t>Sunil CR</t>
        </is>
      </c>
      <c r="Y1148" s="30" t="inlineStr">
        <is>
          <t>Yes</t>
        </is>
      </c>
      <c r="Z1148" s="30" t="n"/>
      <c r="AA1148" s="30" t="inlineStr">
        <is>
          <t>Good finish</t>
        </is>
      </c>
      <c r="AB1148" s="30" t="inlineStr">
        <is>
          <t>Yes</t>
        </is>
      </c>
      <c r="AC1148" s="27" t="n"/>
      <c r="AD1148" s="31" t="inlineStr">
        <is>
          <t>No</t>
        </is>
      </c>
      <c r="AE1148" s="32">
        <f>IF(W1148="","",IF(Z1148="Yes","❌ Disc",IF(Y1148="No","⚠ Missing",IF(AB1148="Yes","✓ OK","⚠ Check"))))</f>
        <v/>
      </c>
      <c r="AF1148" s="33" t="n"/>
      <c r="AG1148" s="33" t="n"/>
      <c r="AH1148" s="33" t="n"/>
      <c r="AI1148" s="33" t="n"/>
      <c r="AJ1148" s="33" t="n"/>
      <c r="AK1148" s="33" t="n"/>
      <c r="AL1148" s="27" t="n"/>
      <c r="AM1148" s="34" t="n"/>
      <c r="AN1148" s="35">
        <f>IF(AF1148="","",IF(AI1148="Yes","❌ Disc",IF(AH1148="No","⚠ Missing",IF(AK1148="Yes","✓ OK","⚠ Check"))))</f>
        <v/>
      </c>
      <c r="AO1148" s="36" t="n"/>
      <c r="AP1148" s="36" t="n"/>
      <c r="AQ1148" s="36" t="n"/>
      <c r="AR1148" s="36" t="n"/>
      <c r="AS1148" s="36" t="n"/>
      <c r="AT1148" s="36" t="n"/>
      <c r="AU1148" s="27" t="n"/>
      <c r="AV1148" s="37" t="n"/>
      <c r="AW1148" s="38">
        <f>IF(AO1148="","",IF(AR1148="Yes","❌ Disc",IF(AQ1148="No","⚠ Missing",IF(AT1148="Yes","✓ OK","⚠ Check"))))</f>
        <v/>
      </c>
    </row>
    <row r="1149" ht="18" customHeight="1" s="46">
      <c r="A1149" s="23" t="n">
        <v>1145</v>
      </c>
      <c r="B1149" s="24" t="inlineStr">
        <is>
          <t>BD-VRM-2024-3014</t>
        </is>
      </c>
      <c r="C1149" s="25" t="inlineStr">
        <is>
          <t>Marshall Eldorado Wallpaper 17703</t>
        </is>
      </c>
      <c r="D1149" s="23" t="inlineStr">
        <is>
          <t>Marshalls</t>
        </is>
      </c>
      <c r="E1149" s="43" t="n">
        <v>46125</v>
      </c>
      <c r="F1149" s="26" t="inlineStr">
        <is>
          <t>Sunil CR</t>
        </is>
      </c>
      <c r="G1149" s="26" t="inlineStr">
        <is>
          <t>Yes</t>
        </is>
      </c>
      <c r="H1149" s="26" t="inlineStr">
        <is>
          <t>No</t>
        </is>
      </c>
      <c r="I1149" s="26" t="inlineStr">
        <is>
          <t>Good finish</t>
        </is>
      </c>
      <c r="J1149" s="26" t="inlineStr">
        <is>
          <t>Yes</t>
        </is>
      </c>
      <c r="K1149" s="27" t="n"/>
      <c r="L1149" s="28" t="inlineStr">
        <is>
          <t>No</t>
        </is>
      </c>
      <c r="M1149" s="29">
        <f>IF(E1149="","",IF(H1149="Yes","❌ Disc",IF(G1149="No","⚠ Missing",IF(J1149="Yes","✓ OK","⚠ Check"))))</f>
        <v/>
      </c>
      <c r="N1149" s="43" t="n">
        <v>46193</v>
      </c>
      <c r="O1149" s="26" t="inlineStr">
        <is>
          <t>Sunil CR</t>
        </is>
      </c>
      <c r="P1149" s="26" t="inlineStr">
        <is>
          <t>Yes</t>
        </is>
      </c>
      <c r="Q1149" s="26" t="inlineStr">
        <is>
          <t>No</t>
        </is>
      </c>
      <c r="R1149" s="26" t="inlineStr">
        <is>
          <t>Good finish</t>
        </is>
      </c>
      <c r="S1149" s="26" t="inlineStr">
        <is>
          <t>Yes</t>
        </is>
      </c>
      <c r="T1149" s="27" t="n"/>
      <c r="U1149" s="28" t="inlineStr">
        <is>
          <t>No</t>
        </is>
      </c>
      <c r="V1149" s="29">
        <f>IF(N1149="","",IF(Q1149="Yes","❌ Disc",IF(P1149="No","⚠ Missing",IF(S1149="Yes","✓ OK","⚠ Check"))))</f>
        <v/>
      </c>
      <c r="W1149" s="65" t="n">
        <v>46248</v>
      </c>
      <c r="X1149" s="30" t="inlineStr">
        <is>
          <t>Sunil CR</t>
        </is>
      </c>
      <c r="Y1149" s="30" t="inlineStr">
        <is>
          <t>Yes</t>
        </is>
      </c>
      <c r="Z1149" s="30" t="n"/>
      <c r="AA1149" s="30" t="inlineStr">
        <is>
          <t>Good finish</t>
        </is>
      </c>
      <c r="AB1149" s="30" t="inlineStr">
        <is>
          <t>Yes</t>
        </is>
      </c>
      <c r="AC1149" s="27" t="n"/>
      <c r="AD1149" s="31" t="inlineStr">
        <is>
          <t>No</t>
        </is>
      </c>
      <c r="AE1149" s="32">
        <f>IF(W1149="","",IF(Z1149="Yes","❌ Disc",IF(Y1149="No","⚠ Missing",IF(AB1149="Yes","✓ OK","⚠ Check"))))</f>
        <v/>
      </c>
      <c r="AF1149" s="33" t="n"/>
      <c r="AG1149" s="33" t="n"/>
      <c r="AH1149" s="33" t="n"/>
      <c r="AI1149" s="33" t="n"/>
      <c r="AJ1149" s="33" t="n"/>
      <c r="AK1149" s="33" t="n"/>
      <c r="AL1149" s="27" t="n"/>
      <c r="AM1149" s="34" t="n"/>
      <c r="AN1149" s="35">
        <f>IF(AF1149="","",IF(AI1149="Yes","❌ Disc",IF(AH1149="No","⚠ Missing",IF(AK1149="Yes","✓ OK","⚠ Check"))))</f>
        <v/>
      </c>
      <c r="AO1149" s="36" t="n"/>
      <c r="AP1149" s="36" t="n"/>
      <c r="AQ1149" s="36" t="n"/>
      <c r="AR1149" s="36" t="n"/>
      <c r="AS1149" s="36" t="n"/>
      <c r="AT1149" s="36" t="n"/>
      <c r="AU1149" s="27" t="n"/>
      <c r="AV1149" s="37" t="n"/>
      <c r="AW1149" s="38">
        <f>IF(AO1149="","",IF(AR1149="Yes","❌ Disc",IF(AQ1149="No","⚠ Missing",IF(AT1149="Yes","✓ OK","⚠ Check"))))</f>
        <v/>
      </c>
    </row>
    <row r="1150" ht="18" customHeight="1" s="46">
      <c r="A1150" s="39" t="n">
        <v>1146</v>
      </c>
      <c r="B1150" s="40" t="inlineStr">
        <is>
          <t>BD-VRM-2024-3015</t>
        </is>
      </c>
      <c r="C1150" s="41" t="inlineStr">
        <is>
          <t>Marshall Eldorado Wallpaper 17704</t>
        </is>
      </c>
      <c r="D1150" s="39" t="inlineStr">
        <is>
          <t>Marshalls</t>
        </is>
      </c>
      <c r="E1150" s="43" t="n">
        <v>46125</v>
      </c>
      <c r="F1150" s="26" t="inlineStr">
        <is>
          <t>Sunil CR</t>
        </is>
      </c>
      <c r="G1150" s="26" t="inlineStr">
        <is>
          <t>Yes</t>
        </is>
      </c>
      <c r="H1150" s="26" t="inlineStr">
        <is>
          <t>No</t>
        </is>
      </c>
      <c r="I1150" s="26" t="inlineStr">
        <is>
          <t>Good finish</t>
        </is>
      </c>
      <c r="J1150" s="26" t="inlineStr">
        <is>
          <t>Yes</t>
        </is>
      </c>
      <c r="K1150" s="27" t="n"/>
      <c r="L1150" s="28" t="inlineStr">
        <is>
          <t>No</t>
        </is>
      </c>
      <c r="M1150" s="29">
        <f>IF(E1150="","",IF(H1150="Yes","❌ Disc",IF(G1150="No","⚠ Missing",IF(J1150="Yes","✓ OK","⚠ Check"))))</f>
        <v/>
      </c>
      <c r="N1150" s="43" t="n">
        <v>46193</v>
      </c>
      <c r="O1150" s="26" t="inlineStr">
        <is>
          <t>Sunil CR</t>
        </is>
      </c>
      <c r="P1150" s="26" t="inlineStr">
        <is>
          <t>Yes</t>
        </is>
      </c>
      <c r="Q1150" s="26" t="inlineStr">
        <is>
          <t>No</t>
        </is>
      </c>
      <c r="R1150" s="26" t="inlineStr">
        <is>
          <t>Good finish</t>
        </is>
      </c>
      <c r="S1150" s="26" t="inlineStr">
        <is>
          <t>Yes</t>
        </is>
      </c>
      <c r="T1150" s="27" t="n"/>
      <c r="U1150" s="28" t="inlineStr">
        <is>
          <t>No</t>
        </is>
      </c>
      <c r="V1150" s="29">
        <f>IF(N1150="","",IF(Q1150="Yes","❌ Disc",IF(P1150="No","⚠ Missing",IF(S1150="Yes","✓ OK","⚠ Check"))))</f>
        <v/>
      </c>
      <c r="W1150" s="65" t="n">
        <v>46248</v>
      </c>
      <c r="X1150" s="30" t="inlineStr">
        <is>
          <t>Sunil CR</t>
        </is>
      </c>
      <c r="Y1150" s="30" t="inlineStr">
        <is>
          <t>Yes</t>
        </is>
      </c>
      <c r="Z1150" s="30" t="n"/>
      <c r="AA1150" s="30" t="inlineStr">
        <is>
          <t>Good finish</t>
        </is>
      </c>
      <c r="AB1150" s="30" t="inlineStr">
        <is>
          <t>Yes</t>
        </is>
      </c>
      <c r="AC1150" s="27" t="n"/>
      <c r="AD1150" s="31" t="inlineStr">
        <is>
          <t>No</t>
        </is>
      </c>
      <c r="AE1150" s="32">
        <f>IF(W1150="","",IF(Z1150="Yes","❌ Disc",IF(Y1150="No","⚠ Missing",IF(AB1150="Yes","✓ OK","⚠ Check"))))</f>
        <v/>
      </c>
      <c r="AF1150" s="33" t="n"/>
      <c r="AG1150" s="33" t="n"/>
      <c r="AH1150" s="33" t="n"/>
      <c r="AI1150" s="33" t="n"/>
      <c r="AJ1150" s="33" t="n"/>
      <c r="AK1150" s="33" t="n"/>
      <c r="AL1150" s="27" t="n"/>
      <c r="AM1150" s="34" t="n"/>
      <c r="AN1150" s="35">
        <f>IF(AF1150="","",IF(AI1150="Yes","❌ Disc",IF(AH1150="No","⚠ Missing",IF(AK1150="Yes","✓ OK","⚠ Check"))))</f>
        <v/>
      </c>
      <c r="AO1150" s="36" t="n"/>
      <c r="AP1150" s="36" t="n"/>
      <c r="AQ1150" s="36" t="n"/>
      <c r="AR1150" s="36" t="n"/>
      <c r="AS1150" s="36" t="n"/>
      <c r="AT1150" s="36" t="n"/>
      <c r="AU1150" s="27" t="n"/>
      <c r="AV1150" s="37" t="n"/>
      <c r="AW1150" s="38">
        <f>IF(AO1150="","",IF(AR1150="Yes","❌ Disc",IF(AQ1150="No","⚠ Missing",IF(AT1150="Yes","✓ OK","⚠ Check"))))</f>
        <v/>
      </c>
    </row>
    <row r="1151" ht="18" customHeight="1" s="46">
      <c r="A1151" s="23" t="n">
        <v>1147</v>
      </c>
      <c r="B1151" s="24" t="inlineStr">
        <is>
          <t>BD-VRM-2024-3009</t>
        </is>
      </c>
      <c r="C1151" s="25" t="inlineStr">
        <is>
          <t>Marshall Eldorado Wallpaper 17705</t>
        </is>
      </c>
      <c r="D1151" s="23" t="inlineStr">
        <is>
          <t>Marshalls</t>
        </is>
      </c>
      <c r="E1151" s="43" t="n">
        <v>46125</v>
      </c>
      <c r="F1151" s="26" t="inlineStr">
        <is>
          <t>Sunil CR</t>
        </is>
      </c>
      <c r="G1151" s="26" t="inlineStr">
        <is>
          <t>Yes</t>
        </is>
      </c>
      <c r="H1151" s="26" t="inlineStr">
        <is>
          <t>No</t>
        </is>
      </c>
      <c r="I1151" s="26" t="inlineStr">
        <is>
          <t>Good finish</t>
        </is>
      </c>
      <c r="J1151" s="26" t="inlineStr">
        <is>
          <t>Yes</t>
        </is>
      </c>
      <c r="K1151" s="27" t="n"/>
      <c r="L1151" s="28" t="inlineStr">
        <is>
          <t>No</t>
        </is>
      </c>
      <c r="M1151" s="29">
        <f>IF(E1151="","",IF(H1151="Yes","❌ Disc",IF(G1151="No","⚠ Missing",IF(J1151="Yes","✓ OK","⚠ Check"))))</f>
        <v/>
      </c>
      <c r="N1151" s="43" t="n">
        <v>46193</v>
      </c>
      <c r="O1151" s="26" t="inlineStr">
        <is>
          <t>Sunil CR</t>
        </is>
      </c>
      <c r="P1151" s="26" t="inlineStr">
        <is>
          <t>Yes</t>
        </is>
      </c>
      <c r="Q1151" s="26" t="inlineStr">
        <is>
          <t>No</t>
        </is>
      </c>
      <c r="R1151" s="26" t="inlineStr">
        <is>
          <t>Good finish</t>
        </is>
      </c>
      <c r="S1151" s="26" t="inlineStr">
        <is>
          <t>Yes</t>
        </is>
      </c>
      <c r="T1151" s="27" t="n"/>
      <c r="U1151" s="28" t="inlineStr">
        <is>
          <t>No</t>
        </is>
      </c>
      <c r="V1151" s="29">
        <f>IF(N1151="","",IF(Q1151="Yes","❌ Disc",IF(P1151="No","⚠ Missing",IF(S1151="Yes","✓ OK","⚠ Check"))))</f>
        <v/>
      </c>
      <c r="W1151" s="65" t="n">
        <v>46248</v>
      </c>
      <c r="X1151" s="30" t="inlineStr">
        <is>
          <t>Sunil CR</t>
        </is>
      </c>
      <c r="Y1151" s="30" t="inlineStr">
        <is>
          <t>Yes</t>
        </is>
      </c>
      <c r="Z1151" s="30" t="n"/>
      <c r="AA1151" s="30" t="inlineStr">
        <is>
          <t>Good finish</t>
        </is>
      </c>
      <c r="AB1151" s="30" t="inlineStr">
        <is>
          <t>Yes</t>
        </is>
      </c>
      <c r="AC1151" s="27" t="n"/>
      <c r="AD1151" s="31" t="inlineStr">
        <is>
          <t>No</t>
        </is>
      </c>
      <c r="AE1151" s="32">
        <f>IF(W1151="","",IF(Z1151="Yes","❌ Disc",IF(Y1151="No","⚠ Missing",IF(AB1151="Yes","✓ OK","⚠ Check"))))</f>
        <v/>
      </c>
      <c r="AF1151" s="33" t="n"/>
      <c r="AG1151" s="33" t="n"/>
      <c r="AH1151" s="33" t="n"/>
      <c r="AI1151" s="33" t="n"/>
      <c r="AJ1151" s="33" t="n"/>
      <c r="AK1151" s="33" t="n"/>
      <c r="AL1151" s="27" t="n"/>
      <c r="AM1151" s="34" t="n"/>
      <c r="AN1151" s="35">
        <f>IF(AF1151="","",IF(AI1151="Yes","❌ Disc",IF(AH1151="No","⚠ Missing",IF(AK1151="Yes","✓ OK","⚠ Check"))))</f>
        <v/>
      </c>
      <c r="AO1151" s="36" t="n"/>
      <c r="AP1151" s="36" t="n"/>
      <c r="AQ1151" s="36" t="n"/>
      <c r="AR1151" s="36" t="n"/>
      <c r="AS1151" s="36" t="n"/>
      <c r="AT1151" s="36" t="n"/>
      <c r="AU1151" s="27" t="n"/>
      <c r="AV1151" s="37" t="n"/>
      <c r="AW1151" s="38">
        <f>IF(AO1151="","",IF(AR1151="Yes","❌ Disc",IF(AQ1151="No","⚠ Missing",IF(AT1151="Yes","✓ OK","⚠ Check"))))</f>
        <v/>
      </c>
    </row>
    <row r="1152" ht="18" customHeight="1" s="46">
      <c r="A1152" s="39" t="n">
        <v>1148</v>
      </c>
      <c r="B1152" s="40" t="inlineStr">
        <is>
          <t>BD-VRM-2024-3008</t>
        </is>
      </c>
      <c r="C1152" s="41" t="inlineStr">
        <is>
          <t>Marshall Eldorado Wallpaper 17706</t>
        </is>
      </c>
      <c r="D1152" s="39" t="inlineStr">
        <is>
          <t>Marshalls</t>
        </is>
      </c>
      <c r="E1152" s="43" t="n">
        <v>46125</v>
      </c>
      <c r="F1152" s="26" t="inlineStr">
        <is>
          <t>Sunil CR</t>
        </is>
      </c>
      <c r="G1152" s="26" t="inlineStr">
        <is>
          <t>Yes</t>
        </is>
      </c>
      <c r="H1152" s="26" t="inlineStr">
        <is>
          <t>No</t>
        </is>
      </c>
      <c r="I1152" s="26" t="inlineStr">
        <is>
          <t>Good finish</t>
        </is>
      </c>
      <c r="J1152" s="26" t="inlineStr">
        <is>
          <t>Yes</t>
        </is>
      </c>
      <c r="K1152" s="27" t="n"/>
      <c r="L1152" s="28" t="inlineStr">
        <is>
          <t>No</t>
        </is>
      </c>
      <c r="M1152" s="29">
        <f>IF(E1152="","",IF(H1152="Yes","❌ Disc",IF(G1152="No","⚠ Missing",IF(J1152="Yes","✓ OK","⚠ Check"))))</f>
        <v/>
      </c>
      <c r="N1152" s="43" t="n">
        <v>46193</v>
      </c>
      <c r="O1152" s="26" t="inlineStr">
        <is>
          <t>Sunil CR</t>
        </is>
      </c>
      <c r="P1152" s="26" t="inlineStr">
        <is>
          <t>Yes</t>
        </is>
      </c>
      <c r="Q1152" s="26" t="inlineStr">
        <is>
          <t>No</t>
        </is>
      </c>
      <c r="R1152" s="26" t="inlineStr">
        <is>
          <t>Good finish</t>
        </is>
      </c>
      <c r="S1152" s="26" t="inlineStr">
        <is>
          <t>Yes</t>
        </is>
      </c>
      <c r="T1152" s="27" t="n"/>
      <c r="U1152" s="28" t="inlineStr">
        <is>
          <t>No</t>
        </is>
      </c>
      <c r="V1152" s="29">
        <f>IF(N1152="","",IF(Q1152="Yes","❌ Disc",IF(P1152="No","⚠ Missing",IF(S1152="Yes","✓ OK","⚠ Check"))))</f>
        <v/>
      </c>
      <c r="W1152" s="65" t="n">
        <v>46248</v>
      </c>
      <c r="X1152" s="30" t="inlineStr">
        <is>
          <t>Sunil CR</t>
        </is>
      </c>
      <c r="Y1152" s="30" t="inlineStr">
        <is>
          <t>Yes</t>
        </is>
      </c>
      <c r="Z1152" s="30" t="n"/>
      <c r="AA1152" s="30" t="inlineStr">
        <is>
          <t>Good finish</t>
        </is>
      </c>
      <c r="AB1152" s="30" t="inlineStr">
        <is>
          <t>Yes</t>
        </is>
      </c>
      <c r="AC1152" s="27" t="n"/>
      <c r="AD1152" s="31" t="inlineStr">
        <is>
          <t>No</t>
        </is>
      </c>
      <c r="AE1152" s="32">
        <f>IF(W1152="","",IF(Z1152="Yes","❌ Disc",IF(Y1152="No","⚠ Missing",IF(AB1152="Yes","✓ OK","⚠ Check"))))</f>
        <v/>
      </c>
      <c r="AF1152" s="33" t="n"/>
      <c r="AG1152" s="33" t="n"/>
      <c r="AH1152" s="33" t="n"/>
      <c r="AI1152" s="33" t="n"/>
      <c r="AJ1152" s="33" t="n"/>
      <c r="AK1152" s="33" t="n"/>
      <c r="AL1152" s="27" t="n"/>
      <c r="AM1152" s="34" t="n"/>
      <c r="AN1152" s="35">
        <f>IF(AF1152="","",IF(AI1152="Yes","❌ Disc",IF(AH1152="No","⚠ Missing",IF(AK1152="Yes","✓ OK","⚠ Check"))))</f>
        <v/>
      </c>
      <c r="AO1152" s="36" t="n"/>
      <c r="AP1152" s="36" t="n"/>
      <c r="AQ1152" s="36" t="n"/>
      <c r="AR1152" s="36" t="n"/>
      <c r="AS1152" s="36" t="n"/>
      <c r="AT1152" s="36" t="n"/>
      <c r="AU1152" s="27" t="n"/>
      <c r="AV1152" s="37" t="n"/>
      <c r="AW1152" s="38">
        <f>IF(AO1152="","",IF(AR1152="Yes","❌ Disc",IF(AQ1152="No","⚠ Missing",IF(AT1152="Yes","✓ OK","⚠ Check"))))</f>
        <v/>
      </c>
    </row>
    <row r="1153" ht="18" customHeight="1" s="46">
      <c r="A1153" s="23" t="n">
        <v>1149</v>
      </c>
      <c r="B1153" s="24" t="inlineStr">
        <is>
          <t>BD-VRM-2024-3011</t>
        </is>
      </c>
      <c r="C1153" s="25" t="inlineStr">
        <is>
          <t>Marshall Eldorado Wallpaper 17709</t>
        </is>
      </c>
      <c r="D1153" s="23" t="inlineStr">
        <is>
          <t>Marshalls</t>
        </is>
      </c>
      <c r="E1153" s="43" t="n">
        <v>46125</v>
      </c>
      <c r="F1153" s="26" t="inlineStr">
        <is>
          <t>Sunil CR</t>
        </is>
      </c>
      <c r="G1153" s="26" t="inlineStr">
        <is>
          <t>Yes</t>
        </is>
      </c>
      <c r="H1153" s="26" t="inlineStr">
        <is>
          <t>No</t>
        </is>
      </c>
      <c r="I1153" s="26" t="inlineStr">
        <is>
          <t>Good finish</t>
        </is>
      </c>
      <c r="J1153" s="26" t="inlineStr">
        <is>
          <t>Yes</t>
        </is>
      </c>
      <c r="K1153" s="27" t="n"/>
      <c r="L1153" s="28" t="inlineStr">
        <is>
          <t>No</t>
        </is>
      </c>
      <c r="M1153" s="29">
        <f>IF(E1153="","",IF(H1153="Yes","❌ Disc",IF(G1153="No","⚠ Missing",IF(J1153="Yes","✓ OK","⚠ Check"))))</f>
        <v/>
      </c>
      <c r="N1153" s="43" t="n">
        <v>46193</v>
      </c>
      <c r="O1153" s="26" t="inlineStr">
        <is>
          <t>Sunil CR</t>
        </is>
      </c>
      <c r="P1153" s="26" t="inlineStr">
        <is>
          <t>Yes</t>
        </is>
      </c>
      <c r="Q1153" s="26" t="inlineStr">
        <is>
          <t>No</t>
        </is>
      </c>
      <c r="R1153" s="26" t="inlineStr">
        <is>
          <t>Good finish</t>
        </is>
      </c>
      <c r="S1153" s="26" t="inlineStr">
        <is>
          <t>Yes</t>
        </is>
      </c>
      <c r="T1153" s="27" t="n"/>
      <c r="U1153" s="28" t="inlineStr">
        <is>
          <t>No</t>
        </is>
      </c>
      <c r="V1153" s="29">
        <f>IF(N1153="","",IF(Q1153="Yes","❌ Disc",IF(P1153="No","⚠ Missing",IF(S1153="Yes","✓ OK","⚠ Check"))))</f>
        <v/>
      </c>
      <c r="W1153" s="65" t="n">
        <v>46248</v>
      </c>
      <c r="X1153" s="30" t="inlineStr">
        <is>
          <t>Sunil CR</t>
        </is>
      </c>
      <c r="Y1153" s="30" t="inlineStr">
        <is>
          <t>Yes</t>
        </is>
      </c>
      <c r="Z1153" s="30" t="n"/>
      <c r="AA1153" s="30" t="inlineStr">
        <is>
          <t>Good finish</t>
        </is>
      </c>
      <c r="AB1153" s="30" t="inlineStr">
        <is>
          <t>Yes</t>
        </is>
      </c>
      <c r="AC1153" s="27" t="n"/>
      <c r="AD1153" s="31" t="inlineStr">
        <is>
          <t>No</t>
        </is>
      </c>
      <c r="AE1153" s="32">
        <f>IF(W1153="","",IF(Z1153="Yes","❌ Disc",IF(Y1153="No","⚠ Missing",IF(AB1153="Yes","✓ OK","⚠ Check"))))</f>
        <v/>
      </c>
      <c r="AF1153" s="33" t="n"/>
      <c r="AG1153" s="33" t="n"/>
      <c r="AH1153" s="33" t="n"/>
      <c r="AI1153" s="33" t="n"/>
      <c r="AJ1153" s="33" t="n"/>
      <c r="AK1153" s="33" t="n"/>
      <c r="AL1153" s="27" t="n"/>
      <c r="AM1153" s="34" t="n"/>
      <c r="AN1153" s="35">
        <f>IF(AF1153="","",IF(AI1153="Yes","❌ Disc",IF(AH1153="No","⚠ Missing",IF(AK1153="Yes","✓ OK","⚠ Check"))))</f>
        <v/>
      </c>
      <c r="AO1153" s="36" t="n"/>
      <c r="AP1153" s="36" t="n"/>
      <c r="AQ1153" s="36" t="n"/>
      <c r="AR1153" s="36" t="n"/>
      <c r="AS1153" s="36" t="n"/>
      <c r="AT1153" s="36" t="n"/>
      <c r="AU1153" s="27" t="n"/>
      <c r="AV1153" s="37" t="n"/>
      <c r="AW1153" s="38">
        <f>IF(AO1153="","",IF(AR1153="Yes","❌ Disc",IF(AQ1153="No","⚠ Missing",IF(AT1153="Yes","✓ OK","⚠ Check"))))</f>
        <v/>
      </c>
    </row>
    <row r="1154" ht="18" customHeight="1" s="46">
      <c r="A1154" s="39" t="n">
        <v>1150</v>
      </c>
      <c r="B1154" s="40" t="inlineStr">
        <is>
          <t>BD-VRM-2024-3010</t>
        </is>
      </c>
      <c r="C1154" s="41" t="inlineStr">
        <is>
          <t>Marshall Eldorado Wallpaper 17710</t>
        </is>
      </c>
      <c r="D1154" s="39" t="inlineStr">
        <is>
          <t>Marshalls</t>
        </is>
      </c>
      <c r="E1154" s="43" t="n">
        <v>46125</v>
      </c>
      <c r="F1154" s="26" t="inlineStr">
        <is>
          <t>Sunil CR</t>
        </is>
      </c>
      <c r="G1154" s="26" t="inlineStr">
        <is>
          <t>Yes</t>
        </is>
      </c>
      <c r="H1154" s="26" t="inlineStr">
        <is>
          <t>No</t>
        </is>
      </c>
      <c r="I1154" s="26" t="inlineStr">
        <is>
          <t>Good finish</t>
        </is>
      </c>
      <c r="J1154" s="26" t="inlineStr">
        <is>
          <t>Yes</t>
        </is>
      </c>
      <c r="K1154" s="27" t="n"/>
      <c r="L1154" s="28" t="inlineStr">
        <is>
          <t>No</t>
        </is>
      </c>
      <c r="M1154" s="29">
        <f>IF(E1154="","",IF(H1154="Yes","❌ Disc",IF(G1154="No","⚠ Missing",IF(J1154="Yes","✓ OK","⚠ Check"))))</f>
        <v/>
      </c>
      <c r="N1154" s="43" t="n">
        <v>46193</v>
      </c>
      <c r="O1154" s="26" t="inlineStr">
        <is>
          <t>Sunil CR</t>
        </is>
      </c>
      <c r="P1154" s="26" t="inlineStr">
        <is>
          <t>Yes</t>
        </is>
      </c>
      <c r="Q1154" s="26" t="inlineStr">
        <is>
          <t>No</t>
        </is>
      </c>
      <c r="R1154" s="26" t="inlineStr">
        <is>
          <t>Good finish</t>
        </is>
      </c>
      <c r="S1154" s="26" t="inlineStr">
        <is>
          <t>Yes</t>
        </is>
      </c>
      <c r="T1154" s="27" t="n"/>
      <c r="U1154" s="28" t="inlineStr">
        <is>
          <t>No</t>
        </is>
      </c>
      <c r="V1154" s="29">
        <f>IF(N1154="","",IF(Q1154="Yes","❌ Disc",IF(P1154="No","⚠ Missing",IF(S1154="Yes","✓ OK","⚠ Check"))))</f>
        <v/>
      </c>
      <c r="W1154" s="65" t="n">
        <v>46248</v>
      </c>
      <c r="X1154" s="30" t="inlineStr">
        <is>
          <t>Sunil CR</t>
        </is>
      </c>
      <c r="Y1154" s="30" t="inlineStr">
        <is>
          <t>Yes</t>
        </is>
      </c>
      <c r="Z1154" s="30" t="n"/>
      <c r="AA1154" s="30" t="inlineStr">
        <is>
          <t>Good finish</t>
        </is>
      </c>
      <c r="AB1154" s="30" t="inlineStr">
        <is>
          <t>Yes</t>
        </is>
      </c>
      <c r="AC1154" s="27" t="n"/>
      <c r="AD1154" s="31" t="inlineStr">
        <is>
          <t>No</t>
        </is>
      </c>
      <c r="AE1154" s="32">
        <f>IF(W1154="","",IF(Z1154="Yes","❌ Disc",IF(Y1154="No","⚠ Missing",IF(AB1154="Yes","✓ OK","⚠ Check"))))</f>
        <v/>
      </c>
      <c r="AF1154" s="33" t="n"/>
      <c r="AG1154" s="33" t="n"/>
      <c r="AH1154" s="33" t="n"/>
      <c r="AI1154" s="33" t="n"/>
      <c r="AJ1154" s="33" t="n"/>
      <c r="AK1154" s="33" t="n"/>
      <c r="AL1154" s="27" t="n"/>
      <c r="AM1154" s="34" t="n"/>
      <c r="AN1154" s="35">
        <f>IF(AF1154="","",IF(AI1154="Yes","❌ Disc",IF(AH1154="No","⚠ Missing",IF(AK1154="Yes","✓ OK","⚠ Check"))))</f>
        <v/>
      </c>
      <c r="AO1154" s="36" t="n"/>
      <c r="AP1154" s="36" t="n"/>
      <c r="AQ1154" s="36" t="n"/>
      <c r="AR1154" s="36" t="n"/>
      <c r="AS1154" s="36" t="n"/>
      <c r="AT1154" s="36" t="n"/>
      <c r="AU1154" s="27" t="n"/>
      <c r="AV1154" s="37" t="n"/>
      <c r="AW1154" s="38">
        <f>IF(AO1154="","",IF(AR1154="Yes","❌ Disc",IF(AQ1154="No","⚠ Missing",IF(AT1154="Yes","✓ OK","⚠ Check"))))</f>
        <v/>
      </c>
    </row>
    <row r="1155" ht="18" customHeight="1" s="46">
      <c r="A1155" s="23" t="n">
        <v>1151</v>
      </c>
      <c r="B1155" s="24" t="inlineStr">
        <is>
          <t>BD-VRM-2024-3013</t>
        </is>
      </c>
      <c r="C1155" s="25" t="inlineStr">
        <is>
          <t>Marshall Eldorado Wallpaper 17711</t>
        </is>
      </c>
      <c r="D1155" s="23" t="inlineStr">
        <is>
          <t>Marshalls</t>
        </is>
      </c>
      <c r="E1155" s="43" t="n">
        <v>46125</v>
      </c>
      <c r="F1155" s="26" t="inlineStr">
        <is>
          <t>Sunil CR</t>
        </is>
      </c>
      <c r="G1155" s="26" t="inlineStr">
        <is>
          <t>Yes</t>
        </is>
      </c>
      <c r="H1155" s="26" t="inlineStr">
        <is>
          <t>No</t>
        </is>
      </c>
      <c r="I1155" s="26" t="inlineStr">
        <is>
          <t>Good finish</t>
        </is>
      </c>
      <c r="J1155" s="26" t="inlineStr">
        <is>
          <t>Yes</t>
        </is>
      </c>
      <c r="K1155" s="27" t="n"/>
      <c r="L1155" s="28" t="inlineStr">
        <is>
          <t>No</t>
        </is>
      </c>
      <c r="M1155" s="29">
        <f>IF(E1155="","",IF(H1155="Yes","❌ Disc",IF(G1155="No","⚠ Missing",IF(J1155="Yes","✓ OK","⚠ Check"))))</f>
        <v/>
      </c>
      <c r="N1155" s="43" t="n">
        <v>46193</v>
      </c>
      <c r="O1155" s="26" t="inlineStr">
        <is>
          <t>Sunil CR</t>
        </is>
      </c>
      <c r="P1155" s="26" t="inlineStr">
        <is>
          <t>Yes</t>
        </is>
      </c>
      <c r="Q1155" s="26" t="inlineStr">
        <is>
          <t>No</t>
        </is>
      </c>
      <c r="R1155" s="26" t="inlineStr">
        <is>
          <t>Good finish</t>
        </is>
      </c>
      <c r="S1155" s="26" t="inlineStr">
        <is>
          <t>Yes</t>
        </is>
      </c>
      <c r="T1155" s="27" t="n"/>
      <c r="U1155" s="28" t="inlineStr">
        <is>
          <t>No</t>
        </is>
      </c>
      <c r="V1155" s="29">
        <f>IF(N1155="","",IF(Q1155="Yes","❌ Disc",IF(P1155="No","⚠ Missing",IF(S1155="Yes","✓ OK","⚠ Check"))))</f>
        <v/>
      </c>
      <c r="W1155" s="65" t="n">
        <v>46248</v>
      </c>
      <c r="X1155" s="30" t="inlineStr">
        <is>
          <t>Sunil CR</t>
        </is>
      </c>
      <c r="Y1155" s="30" t="inlineStr">
        <is>
          <t>Yes</t>
        </is>
      </c>
      <c r="Z1155" s="30" t="n"/>
      <c r="AA1155" s="30" t="inlineStr">
        <is>
          <t>Good finish</t>
        </is>
      </c>
      <c r="AB1155" s="30" t="inlineStr">
        <is>
          <t>Yes</t>
        </is>
      </c>
      <c r="AC1155" s="27" t="n"/>
      <c r="AD1155" s="31" t="inlineStr">
        <is>
          <t>No</t>
        </is>
      </c>
      <c r="AE1155" s="32">
        <f>IF(W1155="","",IF(Z1155="Yes","❌ Disc",IF(Y1155="No","⚠ Missing",IF(AB1155="Yes","✓ OK","⚠ Check"))))</f>
        <v/>
      </c>
      <c r="AF1155" s="33" t="n"/>
      <c r="AG1155" s="33" t="n"/>
      <c r="AH1155" s="33" t="n"/>
      <c r="AI1155" s="33" t="n"/>
      <c r="AJ1155" s="33" t="n"/>
      <c r="AK1155" s="33" t="n"/>
      <c r="AL1155" s="27" t="n"/>
      <c r="AM1155" s="34" t="n"/>
      <c r="AN1155" s="35">
        <f>IF(AF1155="","",IF(AI1155="Yes","❌ Disc",IF(AH1155="No","⚠ Missing",IF(AK1155="Yes","✓ OK","⚠ Check"))))</f>
        <v/>
      </c>
      <c r="AO1155" s="36" t="n"/>
      <c r="AP1155" s="36" t="n"/>
      <c r="AQ1155" s="36" t="n"/>
      <c r="AR1155" s="36" t="n"/>
      <c r="AS1155" s="36" t="n"/>
      <c r="AT1155" s="36" t="n"/>
      <c r="AU1155" s="27" t="n"/>
      <c r="AV1155" s="37" t="n"/>
      <c r="AW1155" s="38">
        <f>IF(AO1155="","",IF(AR1155="Yes","❌ Disc",IF(AQ1155="No","⚠ Missing",IF(AT1155="Yes","✓ OK","⚠ Check"))))</f>
        <v/>
      </c>
    </row>
    <row r="1156" ht="18" customHeight="1" s="46">
      <c r="A1156" s="39" t="n">
        <v>1152</v>
      </c>
      <c r="B1156" s="40" t="inlineStr">
        <is>
          <t>BD-VRM-2024-3012</t>
        </is>
      </c>
      <c r="C1156" s="41" t="inlineStr">
        <is>
          <t>Marshall Eldorado Wallpaper 17712</t>
        </is>
      </c>
      <c r="D1156" s="39" t="inlineStr">
        <is>
          <t>Marshalls</t>
        </is>
      </c>
      <c r="E1156" s="43" t="n">
        <v>46125</v>
      </c>
      <c r="F1156" s="26" t="inlineStr">
        <is>
          <t>Sunil CR</t>
        </is>
      </c>
      <c r="G1156" s="26" t="inlineStr">
        <is>
          <t>Yes</t>
        </is>
      </c>
      <c r="H1156" s="26" t="inlineStr">
        <is>
          <t>No</t>
        </is>
      </c>
      <c r="I1156" s="26" t="inlineStr">
        <is>
          <t>Good finish</t>
        </is>
      </c>
      <c r="J1156" s="26" t="inlineStr">
        <is>
          <t>Yes</t>
        </is>
      </c>
      <c r="K1156" s="27" t="n"/>
      <c r="L1156" s="28" t="inlineStr">
        <is>
          <t>No</t>
        </is>
      </c>
      <c r="M1156" s="29">
        <f>IF(E1156="","",IF(H1156="Yes","❌ Disc",IF(G1156="No","⚠ Missing",IF(J1156="Yes","✓ OK","⚠ Check"))))</f>
        <v/>
      </c>
      <c r="N1156" s="43" t="n">
        <v>46193</v>
      </c>
      <c r="O1156" s="26" t="inlineStr">
        <is>
          <t>Sunil CR</t>
        </is>
      </c>
      <c r="P1156" s="26" t="inlineStr">
        <is>
          <t>Yes</t>
        </is>
      </c>
      <c r="Q1156" s="26" t="inlineStr">
        <is>
          <t>No</t>
        </is>
      </c>
      <c r="R1156" s="26" t="inlineStr">
        <is>
          <t>Good finish</t>
        </is>
      </c>
      <c r="S1156" s="26" t="inlineStr">
        <is>
          <t>Yes</t>
        </is>
      </c>
      <c r="T1156" s="27" t="n"/>
      <c r="U1156" s="28" t="inlineStr">
        <is>
          <t>No</t>
        </is>
      </c>
      <c r="V1156" s="29">
        <f>IF(N1156="","",IF(Q1156="Yes","❌ Disc",IF(P1156="No","⚠ Missing",IF(S1156="Yes","✓ OK","⚠ Check"))))</f>
        <v/>
      </c>
      <c r="W1156" s="65" t="n">
        <v>46248</v>
      </c>
      <c r="X1156" s="30" t="inlineStr">
        <is>
          <t>Sunil CR</t>
        </is>
      </c>
      <c r="Y1156" s="30" t="inlineStr">
        <is>
          <t>Yes</t>
        </is>
      </c>
      <c r="Z1156" s="30" t="n"/>
      <c r="AA1156" s="30" t="inlineStr">
        <is>
          <t>Good finish</t>
        </is>
      </c>
      <c r="AB1156" s="30" t="inlineStr">
        <is>
          <t>Yes</t>
        </is>
      </c>
      <c r="AC1156" s="27" t="n"/>
      <c r="AD1156" s="31" t="inlineStr">
        <is>
          <t>No</t>
        </is>
      </c>
      <c r="AE1156" s="32">
        <f>IF(W1156="","",IF(Z1156="Yes","❌ Disc",IF(Y1156="No","⚠ Missing",IF(AB1156="Yes","✓ OK","⚠ Check"))))</f>
        <v/>
      </c>
      <c r="AF1156" s="33" t="n"/>
      <c r="AG1156" s="33" t="n"/>
      <c r="AH1156" s="33" t="n"/>
      <c r="AI1156" s="33" t="n"/>
      <c r="AJ1156" s="33" t="n"/>
      <c r="AK1156" s="33" t="n"/>
      <c r="AL1156" s="27" t="n"/>
      <c r="AM1156" s="34" t="n"/>
      <c r="AN1156" s="35">
        <f>IF(AF1156="","",IF(AI1156="Yes","❌ Disc",IF(AH1156="No","⚠ Missing",IF(AK1156="Yes","✓ OK","⚠ Check"))))</f>
        <v/>
      </c>
      <c r="AO1156" s="36" t="n"/>
      <c r="AP1156" s="36" t="n"/>
      <c r="AQ1156" s="36" t="n"/>
      <c r="AR1156" s="36" t="n"/>
      <c r="AS1156" s="36" t="n"/>
      <c r="AT1156" s="36" t="n"/>
      <c r="AU1156" s="27" t="n"/>
      <c r="AV1156" s="37" t="n"/>
      <c r="AW1156" s="38">
        <f>IF(AO1156="","",IF(AR1156="Yes","❌ Disc",IF(AQ1156="No","⚠ Missing",IF(AT1156="Yes","✓ OK","⚠ Check"))))</f>
        <v/>
      </c>
    </row>
    <row r="1157" ht="18" customHeight="1" s="46">
      <c r="A1157" s="23" t="n">
        <v>1153</v>
      </c>
      <c r="B1157" s="24" t="inlineStr">
        <is>
          <t>BD-VRM-2024-2997</t>
        </is>
      </c>
      <c r="C1157" s="25" t="inlineStr">
        <is>
          <t>Marshall Eldorado Wallpaper 17713</t>
        </is>
      </c>
      <c r="D1157" s="23" t="inlineStr">
        <is>
          <t>Marshalls</t>
        </is>
      </c>
      <c r="E1157" s="43" t="n">
        <v>46125</v>
      </c>
      <c r="F1157" s="26" t="inlineStr">
        <is>
          <t>Sunil CR</t>
        </is>
      </c>
      <c r="G1157" s="26" t="inlineStr">
        <is>
          <t>Yes</t>
        </is>
      </c>
      <c r="H1157" s="26" t="inlineStr">
        <is>
          <t>No</t>
        </is>
      </c>
      <c r="I1157" s="26" t="inlineStr">
        <is>
          <t>Good finish</t>
        </is>
      </c>
      <c r="J1157" s="26" t="inlineStr">
        <is>
          <t>Yes</t>
        </is>
      </c>
      <c r="K1157" s="27" t="n"/>
      <c r="L1157" s="28" t="inlineStr">
        <is>
          <t>No</t>
        </is>
      </c>
      <c r="M1157" s="29">
        <f>IF(E1157="","",IF(H1157="Yes","❌ Disc",IF(G1157="No","⚠ Missing",IF(J1157="Yes","✓ OK","⚠ Check"))))</f>
        <v/>
      </c>
      <c r="N1157" s="43" t="n">
        <v>46193</v>
      </c>
      <c r="O1157" s="26" t="inlineStr">
        <is>
          <t>Sunil CR</t>
        </is>
      </c>
      <c r="P1157" s="26" t="inlineStr">
        <is>
          <t>Yes</t>
        </is>
      </c>
      <c r="Q1157" s="26" t="inlineStr">
        <is>
          <t>No</t>
        </is>
      </c>
      <c r="R1157" s="26" t="inlineStr">
        <is>
          <t>Good finish</t>
        </is>
      </c>
      <c r="S1157" s="26" t="inlineStr">
        <is>
          <t>Yes</t>
        </is>
      </c>
      <c r="T1157" s="27" t="n"/>
      <c r="U1157" s="28" t="inlineStr">
        <is>
          <t>No</t>
        </is>
      </c>
      <c r="V1157" s="29">
        <f>IF(N1157="","",IF(Q1157="Yes","❌ Disc",IF(P1157="No","⚠ Missing",IF(S1157="Yes","✓ OK","⚠ Check"))))</f>
        <v/>
      </c>
      <c r="W1157" s="65" t="n">
        <v>46248</v>
      </c>
      <c r="X1157" s="30" t="inlineStr">
        <is>
          <t>Sunil CR</t>
        </is>
      </c>
      <c r="Y1157" s="30" t="inlineStr">
        <is>
          <t>Yes</t>
        </is>
      </c>
      <c r="Z1157" s="30" t="n"/>
      <c r="AA1157" s="30" t="inlineStr">
        <is>
          <t>Good finish</t>
        </is>
      </c>
      <c r="AB1157" s="30" t="inlineStr">
        <is>
          <t>Yes</t>
        </is>
      </c>
      <c r="AC1157" s="27" t="n"/>
      <c r="AD1157" s="31" t="inlineStr">
        <is>
          <t>No</t>
        </is>
      </c>
      <c r="AE1157" s="32">
        <f>IF(W1157="","",IF(Z1157="Yes","❌ Disc",IF(Y1157="No","⚠ Missing",IF(AB1157="Yes","✓ OK","⚠ Check"))))</f>
        <v/>
      </c>
      <c r="AF1157" s="33" t="n"/>
      <c r="AG1157" s="33" t="n"/>
      <c r="AH1157" s="33" t="n"/>
      <c r="AI1157" s="33" t="n"/>
      <c r="AJ1157" s="33" t="n"/>
      <c r="AK1157" s="33" t="n"/>
      <c r="AL1157" s="27" t="n"/>
      <c r="AM1157" s="34" t="n"/>
      <c r="AN1157" s="35">
        <f>IF(AF1157="","",IF(AI1157="Yes","❌ Disc",IF(AH1157="No","⚠ Missing",IF(AK1157="Yes","✓ OK","⚠ Check"))))</f>
        <v/>
      </c>
      <c r="AO1157" s="36" t="n"/>
      <c r="AP1157" s="36" t="n"/>
      <c r="AQ1157" s="36" t="n"/>
      <c r="AR1157" s="36" t="n"/>
      <c r="AS1157" s="36" t="n"/>
      <c r="AT1157" s="36" t="n"/>
      <c r="AU1157" s="27" t="n"/>
      <c r="AV1157" s="37" t="n"/>
      <c r="AW1157" s="38">
        <f>IF(AO1157="","",IF(AR1157="Yes","❌ Disc",IF(AQ1157="No","⚠ Missing",IF(AT1157="Yes","✓ OK","⚠ Check"))))</f>
        <v/>
      </c>
    </row>
    <row r="1158" ht="18" customHeight="1" s="46">
      <c r="A1158" s="39" t="n">
        <v>1154</v>
      </c>
      <c r="B1158" s="40" t="inlineStr">
        <is>
          <t>BD-VRM-2024-2999</t>
        </is>
      </c>
      <c r="C1158" s="41" t="inlineStr">
        <is>
          <t>Marshall Eldorado Wallpaper 17714</t>
        </is>
      </c>
      <c r="D1158" s="39" t="inlineStr">
        <is>
          <t>Marshalls</t>
        </is>
      </c>
      <c r="E1158" s="43" t="n">
        <v>46125</v>
      </c>
      <c r="F1158" s="26" t="inlineStr">
        <is>
          <t>Sunil CR</t>
        </is>
      </c>
      <c r="G1158" s="26" t="inlineStr">
        <is>
          <t>Yes</t>
        </is>
      </c>
      <c r="H1158" s="26" t="inlineStr">
        <is>
          <t>No</t>
        </is>
      </c>
      <c r="I1158" s="26" t="inlineStr">
        <is>
          <t>Good finish</t>
        </is>
      </c>
      <c r="J1158" s="26" t="inlineStr">
        <is>
          <t>Yes</t>
        </is>
      </c>
      <c r="K1158" s="27" t="n"/>
      <c r="L1158" s="28" t="inlineStr">
        <is>
          <t>No</t>
        </is>
      </c>
      <c r="M1158" s="29">
        <f>IF(E1158="","",IF(H1158="Yes","❌ Disc",IF(G1158="No","⚠ Missing",IF(J1158="Yes","✓ OK","⚠ Check"))))</f>
        <v/>
      </c>
      <c r="N1158" s="43" t="n">
        <v>46193</v>
      </c>
      <c r="O1158" s="26" t="inlineStr">
        <is>
          <t>Sunil CR</t>
        </is>
      </c>
      <c r="P1158" s="26" t="inlineStr">
        <is>
          <t>Yes</t>
        </is>
      </c>
      <c r="Q1158" s="26" t="inlineStr">
        <is>
          <t>No</t>
        </is>
      </c>
      <c r="R1158" s="26" t="inlineStr">
        <is>
          <t>Good finish</t>
        </is>
      </c>
      <c r="S1158" s="26" t="inlineStr">
        <is>
          <t>Yes</t>
        </is>
      </c>
      <c r="T1158" s="27" t="n"/>
      <c r="U1158" s="28" t="inlineStr">
        <is>
          <t>No</t>
        </is>
      </c>
      <c r="V1158" s="29">
        <f>IF(N1158="","",IF(Q1158="Yes","❌ Disc",IF(P1158="No","⚠ Missing",IF(S1158="Yes","✓ OK","⚠ Check"))))</f>
        <v/>
      </c>
      <c r="W1158" s="65" t="n">
        <v>46248</v>
      </c>
      <c r="X1158" s="30" t="inlineStr">
        <is>
          <t>Sunil CR</t>
        </is>
      </c>
      <c r="Y1158" s="30" t="inlineStr">
        <is>
          <t>Yes</t>
        </is>
      </c>
      <c r="Z1158" s="30" t="n"/>
      <c r="AA1158" s="30" t="inlineStr">
        <is>
          <t>Good finish</t>
        </is>
      </c>
      <c r="AB1158" s="30" t="inlineStr">
        <is>
          <t>Yes</t>
        </is>
      </c>
      <c r="AC1158" s="27" t="n"/>
      <c r="AD1158" s="31" t="inlineStr">
        <is>
          <t>No</t>
        </is>
      </c>
      <c r="AE1158" s="32">
        <f>IF(W1158="","",IF(Z1158="Yes","❌ Disc",IF(Y1158="No","⚠ Missing",IF(AB1158="Yes","✓ OK","⚠ Check"))))</f>
        <v/>
      </c>
      <c r="AF1158" s="33" t="n"/>
      <c r="AG1158" s="33" t="n"/>
      <c r="AH1158" s="33" t="n"/>
      <c r="AI1158" s="33" t="n"/>
      <c r="AJ1158" s="33" t="n"/>
      <c r="AK1158" s="33" t="n"/>
      <c r="AL1158" s="27" t="n"/>
      <c r="AM1158" s="34" t="n"/>
      <c r="AN1158" s="35">
        <f>IF(AF1158="","",IF(AI1158="Yes","❌ Disc",IF(AH1158="No","⚠ Missing",IF(AK1158="Yes","✓ OK","⚠ Check"))))</f>
        <v/>
      </c>
      <c r="AO1158" s="36" t="n"/>
      <c r="AP1158" s="36" t="n"/>
      <c r="AQ1158" s="36" t="n"/>
      <c r="AR1158" s="36" t="n"/>
      <c r="AS1158" s="36" t="n"/>
      <c r="AT1158" s="36" t="n"/>
      <c r="AU1158" s="27" t="n"/>
      <c r="AV1158" s="37" t="n"/>
      <c r="AW1158" s="38">
        <f>IF(AO1158="","",IF(AR1158="Yes","❌ Disc",IF(AQ1158="No","⚠ Missing",IF(AT1158="Yes","✓ OK","⚠ Check"))))</f>
        <v/>
      </c>
    </row>
    <row r="1159" ht="18" customHeight="1" s="46">
      <c r="A1159" s="23" t="n">
        <v>1155</v>
      </c>
      <c r="B1159" s="24" t="inlineStr">
        <is>
          <t>BD-VRM-2024-2998</t>
        </is>
      </c>
      <c r="C1159" s="25" t="inlineStr">
        <is>
          <t>Marshall Eldorado Wallpaper 17716</t>
        </is>
      </c>
      <c r="D1159" s="23" t="inlineStr">
        <is>
          <t>Marshalls</t>
        </is>
      </c>
      <c r="E1159" s="43" t="n">
        <v>46125</v>
      </c>
      <c r="F1159" s="26" t="inlineStr">
        <is>
          <t>Sunil CR</t>
        </is>
      </c>
      <c r="G1159" s="26" t="inlineStr">
        <is>
          <t>Yes</t>
        </is>
      </c>
      <c r="H1159" s="26" t="inlineStr">
        <is>
          <t>No</t>
        </is>
      </c>
      <c r="I1159" s="26" t="inlineStr">
        <is>
          <t>Good finish</t>
        </is>
      </c>
      <c r="J1159" s="26" t="inlineStr">
        <is>
          <t>Yes</t>
        </is>
      </c>
      <c r="K1159" s="27" t="n"/>
      <c r="L1159" s="28" t="inlineStr">
        <is>
          <t>No</t>
        </is>
      </c>
      <c r="M1159" s="29">
        <f>IF(E1159="","",IF(H1159="Yes","❌ Disc",IF(G1159="No","⚠ Missing",IF(J1159="Yes","✓ OK","⚠ Check"))))</f>
        <v/>
      </c>
      <c r="N1159" s="43" t="n">
        <v>46193</v>
      </c>
      <c r="O1159" s="26" t="inlineStr">
        <is>
          <t>Sunil CR</t>
        </is>
      </c>
      <c r="P1159" s="26" t="inlineStr">
        <is>
          <t>Yes</t>
        </is>
      </c>
      <c r="Q1159" s="26" t="inlineStr">
        <is>
          <t>No</t>
        </is>
      </c>
      <c r="R1159" s="26" t="inlineStr">
        <is>
          <t>Good finish</t>
        </is>
      </c>
      <c r="S1159" s="26" t="inlineStr">
        <is>
          <t>Yes</t>
        </is>
      </c>
      <c r="T1159" s="27" t="n"/>
      <c r="U1159" s="28" t="inlineStr">
        <is>
          <t>No</t>
        </is>
      </c>
      <c r="V1159" s="29">
        <f>IF(N1159="","",IF(Q1159="Yes","❌ Disc",IF(P1159="No","⚠ Missing",IF(S1159="Yes","✓ OK","⚠ Check"))))</f>
        <v/>
      </c>
      <c r="W1159" s="65" t="n">
        <v>46248</v>
      </c>
      <c r="X1159" s="30" t="inlineStr">
        <is>
          <t>Sunil CR</t>
        </is>
      </c>
      <c r="Y1159" s="30" t="inlineStr">
        <is>
          <t>Yes</t>
        </is>
      </c>
      <c r="Z1159" s="30" t="n"/>
      <c r="AA1159" s="30" t="inlineStr">
        <is>
          <t>Good finish</t>
        </is>
      </c>
      <c r="AB1159" s="30" t="inlineStr">
        <is>
          <t>Yes</t>
        </is>
      </c>
      <c r="AC1159" s="27" t="n"/>
      <c r="AD1159" s="31" t="inlineStr">
        <is>
          <t>No</t>
        </is>
      </c>
      <c r="AE1159" s="32">
        <f>IF(W1159="","",IF(Z1159="Yes","❌ Disc",IF(Y1159="No","⚠ Missing",IF(AB1159="Yes","✓ OK","⚠ Check"))))</f>
        <v/>
      </c>
      <c r="AF1159" s="33" t="n"/>
      <c r="AG1159" s="33" t="n"/>
      <c r="AH1159" s="33" t="n"/>
      <c r="AI1159" s="33" t="n"/>
      <c r="AJ1159" s="33" t="n"/>
      <c r="AK1159" s="33" t="n"/>
      <c r="AL1159" s="27" t="n"/>
      <c r="AM1159" s="34" t="n"/>
      <c r="AN1159" s="35">
        <f>IF(AF1159="","",IF(AI1159="Yes","❌ Disc",IF(AH1159="No","⚠ Missing",IF(AK1159="Yes","✓ OK","⚠ Check"))))</f>
        <v/>
      </c>
      <c r="AO1159" s="36" t="n"/>
      <c r="AP1159" s="36" t="n"/>
      <c r="AQ1159" s="36" t="n"/>
      <c r="AR1159" s="36" t="n"/>
      <c r="AS1159" s="36" t="n"/>
      <c r="AT1159" s="36" t="n"/>
      <c r="AU1159" s="27" t="n"/>
      <c r="AV1159" s="37" t="n"/>
      <c r="AW1159" s="38">
        <f>IF(AO1159="","",IF(AR1159="Yes","❌ Disc",IF(AQ1159="No","⚠ Missing",IF(AT1159="Yes","✓ OK","⚠ Check"))))</f>
        <v/>
      </c>
    </row>
    <row r="1160" ht="18" customHeight="1" s="46">
      <c r="A1160" s="39" t="n">
        <v>1156</v>
      </c>
      <c r="B1160" s="40" t="inlineStr">
        <is>
          <t>BD-VRM-2024-2996</t>
        </is>
      </c>
      <c r="C1160" s="41" t="inlineStr">
        <is>
          <t>Marshall Eldorado Wallpaper 17718</t>
        </is>
      </c>
      <c r="D1160" s="39" t="inlineStr">
        <is>
          <t>Marshalls</t>
        </is>
      </c>
      <c r="E1160" s="43" t="n">
        <v>46125</v>
      </c>
      <c r="F1160" s="26" t="inlineStr">
        <is>
          <t>Sunil CR</t>
        </is>
      </c>
      <c r="G1160" s="26" t="inlineStr">
        <is>
          <t>Yes</t>
        </is>
      </c>
      <c r="H1160" s="26" t="inlineStr">
        <is>
          <t>No</t>
        </is>
      </c>
      <c r="I1160" s="26" t="inlineStr">
        <is>
          <t>Good finish</t>
        </is>
      </c>
      <c r="J1160" s="26" t="inlineStr">
        <is>
          <t>Yes</t>
        </is>
      </c>
      <c r="K1160" s="27" t="n"/>
      <c r="L1160" s="28" t="inlineStr">
        <is>
          <t>No</t>
        </is>
      </c>
      <c r="M1160" s="29">
        <f>IF(E1160="","",IF(H1160="Yes","❌ Disc",IF(G1160="No","⚠ Missing",IF(J1160="Yes","✓ OK","⚠ Check"))))</f>
        <v/>
      </c>
      <c r="N1160" s="43" t="n">
        <v>46193</v>
      </c>
      <c r="O1160" s="26" t="inlineStr">
        <is>
          <t>Sunil CR</t>
        </is>
      </c>
      <c r="P1160" s="26" t="inlineStr">
        <is>
          <t>Yes</t>
        </is>
      </c>
      <c r="Q1160" s="26" t="inlineStr">
        <is>
          <t>No</t>
        </is>
      </c>
      <c r="R1160" s="26" t="inlineStr">
        <is>
          <t>Good finish</t>
        </is>
      </c>
      <c r="S1160" s="26" t="inlineStr">
        <is>
          <t>Yes</t>
        </is>
      </c>
      <c r="T1160" s="27" t="n"/>
      <c r="U1160" s="28" t="inlineStr">
        <is>
          <t>No</t>
        </is>
      </c>
      <c r="V1160" s="29">
        <f>IF(N1160="","",IF(Q1160="Yes","❌ Disc",IF(P1160="No","⚠ Missing",IF(S1160="Yes","✓ OK","⚠ Check"))))</f>
        <v/>
      </c>
      <c r="W1160" s="65" t="n">
        <v>46248</v>
      </c>
      <c r="X1160" s="30" t="inlineStr">
        <is>
          <t>Sunil CR</t>
        </is>
      </c>
      <c r="Y1160" s="30" t="inlineStr">
        <is>
          <t>Yes</t>
        </is>
      </c>
      <c r="Z1160" s="30" t="n"/>
      <c r="AA1160" s="30" t="inlineStr">
        <is>
          <t>Good finish</t>
        </is>
      </c>
      <c r="AB1160" s="30" t="inlineStr">
        <is>
          <t>Yes</t>
        </is>
      </c>
      <c r="AC1160" s="27" t="n"/>
      <c r="AD1160" s="31" t="inlineStr">
        <is>
          <t>No</t>
        </is>
      </c>
      <c r="AE1160" s="32">
        <f>IF(W1160="","",IF(Z1160="Yes","❌ Disc",IF(Y1160="No","⚠ Missing",IF(AB1160="Yes","✓ OK","⚠ Check"))))</f>
        <v/>
      </c>
      <c r="AF1160" s="33" t="n"/>
      <c r="AG1160" s="33" t="n"/>
      <c r="AH1160" s="33" t="n"/>
      <c r="AI1160" s="33" t="n"/>
      <c r="AJ1160" s="33" t="n"/>
      <c r="AK1160" s="33" t="n"/>
      <c r="AL1160" s="27" t="n"/>
      <c r="AM1160" s="34" t="n"/>
      <c r="AN1160" s="35">
        <f>IF(AF1160="","",IF(AI1160="Yes","❌ Disc",IF(AH1160="No","⚠ Missing",IF(AK1160="Yes","✓ OK","⚠ Check"))))</f>
        <v/>
      </c>
      <c r="AO1160" s="36" t="n"/>
      <c r="AP1160" s="36" t="n"/>
      <c r="AQ1160" s="36" t="n"/>
      <c r="AR1160" s="36" t="n"/>
      <c r="AS1160" s="36" t="n"/>
      <c r="AT1160" s="36" t="n"/>
      <c r="AU1160" s="27" t="n"/>
      <c r="AV1160" s="37" t="n"/>
      <c r="AW1160" s="38">
        <f>IF(AO1160="","",IF(AR1160="Yes","❌ Disc",IF(AQ1160="No","⚠ Missing",IF(AT1160="Yes","✓ OK","⚠ Check"))))</f>
        <v/>
      </c>
    </row>
    <row r="1161" ht="18" customHeight="1" s="46">
      <c r="A1161" s="23" t="n">
        <v>1157</v>
      </c>
      <c r="B1161" s="24" t="inlineStr">
        <is>
          <t>BD-VRM-2024-3022</t>
        </is>
      </c>
      <c r="C1161" s="25" t="inlineStr">
        <is>
          <t>Marshall Eldorado Wallpaper 17733</t>
        </is>
      </c>
      <c r="D1161" s="23" t="inlineStr">
        <is>
          <t>Marshalls</t>
        </is>
      </c>
      <c r="E1161" s="43" t="n">
        <v>46125</v>
      </c>
      <c r="F1161" s="26" t="inlineStr">
        <is>
          <t>Sunil CR</t>
        </is>
      </c>
      <c r="G1161" s="26" t="inlineStr">
        <is>
          <t>Yes</t>
        </is>
      </c>
      <c r="H1161" s="26" t="inlineStr">
        <is>
          <t>No</t>
        </is>
      </c>
      <c r="I1161" s="26" t="inlineStr">
        <is>
          <t>Good finish</t>
        </is>
      </c>
      <c r="J1161" s="26" t="inlineStr">
        <is>
          <t>Yes</t>
        </is>
      </c>
      <c r="K1161" s="27" t="n"/>
      <c r="L1161" s="28" t="inlineStr">
        <is>
          <t>No</t>
        </is>
      </c>
      <c r="M1161" s="29">
        <f>IF(E1161="","",IF(H1161="Yes","❌ Disc",IF(G1161="No","⚠ Missing",IF(J1161="Yes","✓ OK","⚠ Check"))))</f>
        <v/>
      </c>
      <c r="N1161" s="43" t="n">
        <v>46193</v>
      </c>
      <c r="O1161" s="26" t="inlineStr">
        <is>
          <t>Sunil CR</t>
        </is>
      </c>
      <c r="P1161" s="26" t="inlineStr">
        <is>
          <t>Yes</t>
        </is>
      </c>
      <c r="Q1161" s="26" t="inlineStr">
        <is>
          <t>No</t>
        </is>
      </c>
      <c r="R1161" s="26" t="inlineStr">
        <is>
          <t>Good finish</t>
        </is>
      </c>
      <c r="S1161" s="26" t="inlineStr">
        <is>
          <t>Yes</t>
        </is>
      </c>
      <c r="T1161" s="27" t="n"/>
      <c r="U1161" s="28" t="inlineStr">
        <is>
          <t>No</t>
        </is>
      </c>
      <c r="V1161" s="29">
        <f>IF(N1161="","",IF(Q1161="Yes","❌ Disc",IF(P1161="No","⚠ Missing",IF(S1161="Yes","✓ OK","⚠ Check"))))</f>
        <v/>
      </c>
      <c r="W1161" s="65" t="n">
        <v>46248</v>
      </c>
      <c r="X1161" s="30" t="inlineStr">
        <is>
          <t>Sunil CR</t>
        </is>
      </c>
      <c r="Y1161" s="30" t="inlineStr">
        <is>
          <t>Yes</t>
        </is>
      </c>
      <c r="Z1161" s="30" t="n"/>
      <c r="AA1161" s="30" t="inlineStr">
        <is>
          <t>Good finish</t>
        </is>
      </c>
      <c r="AB1161" s="30" t="inlineStr">
        <is>
          <t>Yes</t>
        </is>
      </c>
      <c r="AC1161" s="27" t="n"/>
      <c r="AD1161" s="31" t="inlineStr">
        <is>
          <t>No</t>
        </is>
      </c>
      <c r="AE1161" s="32">
        <f>IF(W1161="","",IF(Z1161="Yes","❌ Disc",IF(Y1161="No","⚠ Missing",IF(AB1161="Yes","✓ OK","⚠ Check"))))</f>
        <v/>
      </c>
      <c r="AF1161" s="33" t="n"/>
      <c r="AG1161" s="33" t="n"/>
      <c r="AH1161" s="33" t="n"/>
      <c r="AI1161" s="33" t="n"/>
      <c r="AJ1161" s="33" t="n"/>
      <c r="AK1161" s="33" t="n"/>
      <c r="AL1161" s="27" t="n"/>
      <c r="AM1161" s="34" t="n"/>
      <c r="AN1161" s="35">
        <f>IF(AF1161="","",IF(AI1161="Yes","❌ Disc",IF(AH1161="No","⚠ Missing",IF(AK1161="Yes","✓ OK","⚠ Check"))))</f>
        <v/>
      </c>
      <c r="AO1161" s="36" t="n"/>
      <c r="AP1161" s="36" t="n"/>
      <c r="AQ1161" s="36" t="n"/>
      <c r="AR1161" s="36" t="n"/>
      <c r="AS1161" s="36" t="n"/>
      <c r="AT1161" s="36" t="n"/>
      <c r="AU1161" s="27" t="n"/>
      <c r="AV1161" s="37" t="n"/>
      <c r="AW1161" s="38">
        <f>IF(AO1161="","",IF(AR1161="Yes","❌ Disc",IF(AQ1161="No","⚠ Missing",IF(AT1161="Yes","✓ OK","⚠ Check"))))</f>
        <v/>
      </c>
    </row>
    <row r="1162" ht="18" customHeight="1" s="46">
      <c r="A1162" s="39" t="n">
        <v>1158</v>
      </c>
      <c r="B1162" s="40" t="inlineStr">
        <is>
          <t>BD-VRM-2024-3021</t>
        </is>
      </c>
      <c r="C1162" s="41" t="inlineStr">
        <is>
          <t>Marshall Eldorado Wallpaper 17734</t>
        </is>
      </c>
      <c r="D1162" s="39" t="inlineStr">
        <is>
          <t>Marshalls</t>
        </is>
      </c>
      <c r="E1162" s="43" t="n">
        <v>46125</v>
      </c>
      <c r="F1162" s="26" t="inlineStr">
        <is>
          <t>Sunil CR</t>
        </is>
      </c>
      <c r="G1162" s="26" t="inlineStr">
        <is>
          <t>Yes</t>
        </is>
      </c>
      <c r="H1162" s="26" t="inlineStr">
        <is>
          <t>No</t>
        </is>
      </c>
      <c r="I1162" s="26" t="inlineStr">
        <is>
          <t>Good finish</t>
        </is>
      </c>
      <c r="J1162" s="26" t="inlineStr">
        <is>
          <t>Yes</t>
        </is>
      </c>
      <c r="K1162" s="27" t="n"/>
      <c r="L1162" s="28" t="inlineStr">
        <is>
          <t>No</t>
        </is>
      </c>
      <c r="M1162" s="29">
        <f>IF(E1162="","",IF(H1162="Yes","❌ Disc",IF(G1162="No","⚠ Missing",IF(J1162="Yes","✓ OK","⚠ Check"))))</f>
        <v/>
      </c>
      <c r="N1162" s="43" t="n">
        <v>46193</v>
      </c>
      <c r="O1162" s="26" t="inlineStr">
        <is>
          <t>Sunil CR</t>
        </is>
      </c>
      <c r="P1162" s="26" t="inlineStr">
        <is>
          <t>Yes</t>
        </is>
      </c>
      <c r="Q1162" s="26" t="inlineStr">
        <is>
          <t>No</t>
        </is>
      </c>
      <c r="R1162" s="26" t="inlineStr">
        <is>
          <t>Good finish</t>
        </is>
      </c>
      <c r="S1162" s="26" t="inlineStr">
        <is>
          <t>Yes</t>
        </is>
      </c>
      <c r="T1162" s="27" t="n"/>
      <c r="U1162" s="28" t="inlineStr">
        <is>
          <t>No</t>
        </is>
      </c>
      <c r="V1162" s="29">
        <f>IF(N1162="","",IF(Q1162="Yes","❌ Disc",IF(P1162="No","⚠ Missing",IF(S1162="Yes","✓ OK","⚠ Check"))))</f>
        <v/>
      </c>
      <c r="W1162" s="65" t="n">
        <v>46248</v>
      </c>
      <c r="X1162" s="30" t="inlineStr">
        <is>
          <t>Sunil CR</t>
        </is>
      </c>
      <c r="Y1162" s="30" t="inlineStr">
        <is>
          <t>Yes</t>
        </is>
      </c>
      <c r="Z1162" s="30" t="n"/>
      <c r="AA1162" s="30" t="inlineStr">
        <is>
          <t>Good finish</t>
        </is>
      </c>
      <c r="AB1162" s="30" t="inlineStr">
        <is>
          <t>Yes</t>
        </is>
      </c>
      <c r="AC1162" s="27" t="n"/>
      <c r="AD1162" s="31" t="inlineStr">
        <is>
          <t>No</t>
        </is>
      </c>
      <c r="AE1162" s="32">
        <f>IF(W1162="","",IF(Z1162="Yes","❌ Disc",IF(Y1162="No","⚠ Missing",IF(AB1162="Yes","✓ OK","⚠ Check"))))</f>
        <v/>
      </c>
      <c r="AF1162" s="33" t="n"/>
      <c r="AG1162" s="33" t="n"/>
      <c r="AH1162" s="33" t="n"/>
      <c r="AI1162" s="33" t="n"/>
      <c r="AJ1162" s="33" t="n"/>
      <c r="AK1162" s="33" t="n"/>
      <c r="AL1162" s="27" t="n"/>
      <c r="AM1162" s="34" t="n"/>
      <c r="AN1162" s="35">
        <f>IF(AF1162="","",IF(AI1162="Yes","❌ Disc",IF(AH1162="No","⚠ Missing",IF(AK1162="Yes","✓ OK","⚠ Check"))))</f>
        <v/>
      </c>
      <c r="AO1162" s="36" t="n"/>
      <c r="AP1162" s="36" t="n"/>
      <c r="AQ1162" s="36" t="n"/>
      <c r="AR1162" s="36" t="n"/>
      <c r="AS1162" s="36" t="n"/>
      <c r="AT1162" s="36" t="n"/>
      <c r="AU1162" s="27" t="n"/>
      <c r="AV1162" s="37" t="n"/>
      <c r="AW1162" s="38">
        <f>IF(AO1162="","",IF(AR1162="Yes","❌ Disc",IF(AQ1162="No","⚠ Missing",IF(AT1162="Yes","✓ OK","⚠ Check"))))</f>
        <v/>
      </c>
    </row>
    <row r="1163" ht="18" customHeight="1" s="46">
      <c r="A1163" s="23" t="n">
        <v>1159</v>
      </c>
      <c r="B1163" s="24" t="inlineStr">
        <is>
          <t>BD-VRM-2024-3018</t>
        </is>
      </c>
      <c r="C1163" s="25" t="inlineStr">
        <is>
          <t>Marshall Eldorado Wallpaper 17735</t>
        </is>
      </c>
      <c r="D1163" s="23" t="inlineStr">
        <is>
          <t>Marshalls</t>
        </is>
      </c>
      <c r="E1163" s="43" t="n">
        <v>46125</v>
      </c>
      <c r="F1163" s="26" t="inlineStr">
        <is>
          <t>Sunil CR</t>
        </is>
      </c>
      <c r="G1163" s="26" t="inlineStr">
        <is>
          <t>Yes</t>
        </is>
      </c>
      <c r="H1163" s="26" t="inlineStr">
        <is>
          <t>No</t>
        </is>
      </c>
      <c r="I1163" s="26" t="inlineStr">
        <is>
          <t>Good finish</t>
        </is>
      </c>
      <c r="J1163" s="26" t="inlineStr">
        <is>
          <t>Yes</t>
        </is>
      </c>
      <c r="K1163" s="27" t="n"/>
      <c r="L1163" s="28" t="inlineStr">
        <is>
          <t>No</t>
        </is>
      </c>
      <c r="M1163" s="29">
        <f>IF(E1163="","",IF(H1163="Yes","❌ Disc",IF(G1163="No","⚠ Missing",IF(J1163="Yes","✓ OK","⚠ Check"))))</f>
        <v/>
      </c>
      <c r="N1163" s="43" t="n">
        <v>46193</v>
      </c>
      <c r="O1163" s="26" t="inlineStr">
        <is>
          <t>Sunil CR</t>
        </is>
      </c>
      <c r="P1163" s="26" t="inlineStr">
        <is>
          <t>Yes</t>
        </is>
      </c>
      <c r="Q1163" s="26" t="inlineStr">
        <is>
          <t>No</t>
        </is>
      </c>
      <c r="R1163" s="26" t="inlineStr">
        <is>
          <t>Good finish</t>
        </is>
      </c>
      <c r="S1163" s="26" t="inlineStr">
        <is>
          <t>Yes</t>
        </is>
      </c>
      <c r="T1163" s="27" t="n"/>
      <c r="U1163" s="28" t="inlineStr">
        <is>
          <t>No</t>
        </is>
      </c>
      <c r="V1163" s="29">
        <f>IF(N1163="","",IF(Q1163="Yes","❌ Disc",IF(P1163="No","⚠ Missing",IF(S1163="Yes","✓ OK","⚠ Check"))))</f>
        <v/>
      </c>
      <c r="W1163" s="65" t="n">
        <v>46248</v>
      </c>
      <c r="X1163" s="30" t="inlineStr">
        <is>
          <t>Sunil CR</t>
        </is>
      </c>
      <c r="Y1163" s="30" t="inlineStr">
        <is>
          <t>Yes</t>
        </is>
      </c>
      <c r="Z1163" s="30" t="n"/>
      <c r="AA1163" s="30" t="inlineStr">
        <is>
          <t>Good finish</t>
        </is>
      </c>
      <c r="AB1163" s="30" t="inlineStr">
        <is>
          <t>Yes</t>
        </is>
      </c>
      <c r="AC1163" s="27" t="n"/>
      <c r="AD1163" s="31" t="inlineStr">
        <is>
          <t>No</t>
        </is>
      </c>
      <c r="AE1163" s="32">
        <f>IF(W1163="","",IF(Z1163="Yes","❌ Disc",IF(Y1163="No","⚠ Missing",IF(AB1163="Yes","✓ OK","⚠ Check"))))</f>
        <v/>
      </c>
      <c r="AF1163" s="33" t="n"/>
      <c r="AG1163" s="33" t="n"/>
      <c r="AH1163" s="33" t="n"/>
      <c r="AI1163" s="33" t="n"/>
      <c r="AJ1163" s="33" t="n"/>
      <c r="AK1163" s="33" t="n"/>
      <c r="AL1163" s="27" t="n"/>
      <c r="AM1163" s="34" t="n"/>
      <c r="AN1163" s="35">
        <f>IF(AF1163="","",IF(AI1163="Yes","❌ Disc",IF(AH1163="No","⚠ Missing",IF(AK1163="Yes","✓ OK","⚠ Check"))))</f>
        <v/>
      </c>
      <c r="AO1163" s="36" t="n"/>
      <c r="AP1163" s="36" t="n"/>
      <c r="AQ1163" s="36" t="n"/>
      <c r="AR1163" s="36" t="n"/>
      <c r="AS1163" s="36" t="n"/>
      <c r="AT1163" s="36" t="n"/>
      <c r="AU1163" s="27" t="n"/>
      <c r="AV1163" s="37" t="n"/>
      <c r="AW1163" s="38">
        <f>IF(AO1163="","",IF(AR1163="Yes","❌ Disc",IF(AQ1163="No","⚠ Missing",IF(AT1163="Yes","✓ OK","⚠ Check"))))</f>
        <v/>
      </c>
    </row>
    <row r="1164" ht="18" customHeight="1" s="46">
      <c r="A1164" s="39" t="n">
        <v>1160</v>
      </c>
      <c r="B1164" s="40" t="inlineStr">
        <is>
          <t>BD-VRM-2024-3017</t>
        </is>
      </c>
      <c r="C1164" s="41" t="inlineStr">
        <is>
          <t>Marshall Eldorado Wallpaper 17736</t>
        </is>
      </c>
      <c r="D1164" s="39" t="inlineStr">
        <is>
          <t>Marshalls</t>
        </is>
      </c>
      <c r="E1164" s="43" t="n">
        <v>46125</v>
      </c>
      <c r="F1164" s="26" t="inlineStr">
        <is>
          <t>Sunil CR</t>
        </is>
      </c>
      <c r="G1164" s="26" t="inlineStr">
        <is>
          <t>Yes</t>
        </is>
      </c>
      <c r="H1164" s="26" t="inlineStr">
        <is>
          <t>No</t>
        </is>
      </c>
      <c r="I1164" s="26" t="inlineStr">
        <is>
          <t>Good finish</t>
        </is>
      </c>
      <c r="J1164" s="26" t="inlineStr">
        <is>
          <t>Yes</t>
        </is>
      </c>
      <c r="K1164" s="27" t="n"/>
      <c r="L1164" s="28" t="inlineStr">
        <is>
          <t>No</t>
        </is>
      </c>
      <c r="M1164" s="29">
        <f>IF(E1164="","",IF(H1164="Yes","❌ Disc",IF(G1164="No","⚠ Missing",IF(J1164="Yes","✓ OK","⚠ Check"))))</f>
        <v/>
      </c>
      <c r="N1164" s="43" t="n">
        <v>46193</v>
      </c>
      <c r="O1164" s="26" t="inlineStr">
        <is>
          <t>Sunil CR</t>
        </is>
      </c>
      <c r="P1164" s="26" t="inlineStr">
        <is>
          <t>Yes</t>
        </is>
      </c>
      <c r="Q1164" s="26" t="inlineStr">
        <is>
          <t>No</t>
        </is>
      </c>
      <c r="R1164" s="26" t="inlineStr">
        <is>
          <t>Good finish</t>
        </is>
      </c>
      <c r="S1164" s="26" t="inlineStr">
        <is>
          <t>Yes</t>
        </is>
      </c>
      <c r="T1164" s="27" t="n"/>
      <c r="U1164" s="28" t="inlineStr">
        <is>
          <t>No</t>
        </is>
      </c>
      <c r="V1164" s="29">
        <f>IF(N1164="","",IF(Q1164="Yes","❌ Disc",IF(P1164="No","⚠ Missing",IF(S1164="Yes","✓ OK","⚠ Check"))))</f>
        <v/>
      </c>
      <c r="W1164" s="65" t="n">
        <v>46248</v>
      </c>
      <c r="X1164" s="30" t="inlineStr">
        <is>
          <t>Sunil CR</t>
        </is>
      </c>
      <c r="Y1164" s="30" t="inlineStr">
        <is>
          <t>Yes</t>
        </is>
      </c>
      <c r="Z1164" s="30" t="n"/>
      <c r="AA1164" s="30" t="inlineStr">
        <is>
          <t>Good finish</t>
        </is>
      </c>
      <c r="AB1164" s="30" t="inlineStr">
        <is>
          <t>Yes</t>
        </is>
      </c>
      <c r="AC1164" s="27" t="n"/>
      <c r="AD1164" s="31" t="inlineStr">
        <is>
          <t>No</t>
        </is>
      </c>
      <c r="AE1164" s="32">
        <f>IF(W1164="","",IF(Z1164="Yes","❌ Disc",IF(Y1164="No","⚠ Missing",IF(AB1164="Yes","✓ OK","⚠ Check"))))</f>
        <v/>
      </c>
      <c r="AF1164" s="33" t="n"/>
      <c r="AG1164" s="33" t="n"/>
      <c r="AH1164" s="33" t="n"/>
      <c r="AI1164" s="33" t="n"/>
      <c r="AJ1164" s="33" t="n"/>
      <c r="AK1164" s="33" t="n"/>
      <c r="AL1164" s="27" t="n"/>
      <c r="AM1164" s="34" t="n"/>
      <c r="AN1164" s="35">
        <f>IF(AF1164="","",IF(AI1164="Yes","❌ Disc",IF(AH1164="No","⚠ Missing",IF(AK1164="Yes","✓ OK","⚠ Check"))))</f>
        <v/>
      </c>
      <c r="AO1164" s="36" t="n"/>
      <c r="AP1164" s="36" t="n"/>
      <c r="AQ1164" s="36" t="n"/>
      <c r="AR1164" s="36" t="n"/>
      <c r="AS1164" s="36" t="n"/>
      <c r="AT1164" s="36" t="n"/>
      <c r="AU1164" s="27" t="n"/>
      <c r="AV1164" s="37" t="n"/>
      <c r="AW1164" s="38">
        <f>IF(AO1164="","",IF(AR1164="Yes","❌ Disc",IF(AQ1164="No","⚠ Missing",IF(AT1164="Yes","✓ OK","⚠ Check"))))</f>
        <v/>
      </c>
    </row>
    <row r="1165" ht="18" customHeight="1" s="46">
      <c r="A1165" s="23" t="n">
        <v>1161</v>
      </c>
      <c r="B1165" s="24" t="inlineStr">
        <is>
          <t>BD-VRM-2024-3020</t>
        </is>
      </c>
      <c r="C1165" s="25" t="inlineStr">
        <is>
          <t>Marshall Eldorado Wallpaper 17737</t>
        </is>
      </c>
      <c r="D1165" s="23" t="inlineStr">
        <is>
          <t>Marshalls</t>
        </is>
      </c>
      <c r="E1165" s="43" t="n">
        <v>46125</v>
      </c>
      <c r="F1165" s="26" t="inlineStr">
        <is>
          <t>Sunil CR</t>
        </is>
      </c>
      <c r="G1165" s="26" t="inlineStr">
        <is>
          <t>Yes</t>
        </is>
      </c>
      <c r="H1165" s="26" t="inlineStr">
        <is>
          <t>No</t>
        </is>
      </c>
      <c r="I1165" s="26" t="inlineStr">
        <is>
          <t>Good finish</t>
        </is>
      </c>
      <c r="J1165" s="26" t="inlineStr">
        <is>
          <t>Yes</t>
        </is>
      </c>
      <c r="K1165" s="27" t="n"/>
      <c r="L1165" s="28" t="inlineStr">
        <is>
          <t>No</t>
        </is>
      </c>
      <c r="M1165" s="29">
        <f>IF(E1165="","",IF(H1165="Yes","❌ Disc",IF(G1165="No","⚠ Missing",IF(J1165="Yes","✓ OK","⚠ Check"))))</f>
        <v/>
      </c>
      <c r="N1165" s="43" t="n">
        <v>46193</v>
      </c>
      <c r="O1165" s="26" t="inlineStr">
        <is>
          <t>Sunil CR</t>
        </is>
      </c>
      <c r="P1165" s="26" t="inlineStr">
        <is>
          <t>Yes</t>
        </is>
      </c>
      <c r="Q1165" s="26" t="inlineStr">
        <is>
          <t>No</t>
        </is>
      </c>
      <c r="R1165" s="26" t="inlineStr">
        <is>
          <t>Good finish</t>
        </is>
      </c>
      <c r="S1165" s="26" t="inlineStr">
        <is>
          <t>Yes</t>
        </is>
      </c>
      <c r="T1165" s="27" t="n"/>
      <c r="U1165" s="28" t="inlineStr">
        <is>
          <t>No</t>
        </is>
      </c>
      <c r="V1165" s="29">
        <f>IF(N1165="","",IF(Q1165="Yes","❌ Disc",IF(P1165="No","⚠ Missing",IF(S1165="Yes","✓ OK","⚠ Check"))))</f>
        <v/>
      </c>
      <c r="W1165" s="65" t="n">
        <v>46248</v>
      </c>
      <c r="X1165" s="30" t="inlineStr">
        <is>
          <t>Sunil CR</t>
        </is>
      </c>
      <c r="Y1165" s="30" t="inlineStr">
        <is>
          <t>Yes</t>
        </is>
      </c>
      <c r="Z1165" s="30" t="n"/>
      <c r="AA1165" s="30" t="inlineStr">
        <is>
          <t>Good finish</t>
        </is>
      </c>
      <c r="AB1165" s="30" t="inlineStr">
        <is>
          <t>Yes</t>
        </is>
      </c>
      <c r="AC1165" s="27" t="n"/>
      <c r="AD1165" s="31" t="inlineStr">
        <is>
          <t>No</t>
        </is>
      </c>
      <c r="AE1165" s="32">
        <f>IF(W1165="","",IF(Z1165="Yes","❌ Disc",IF(Y1165="No","⚠ Missing",IF(AB1165="Yes","✓ OK","⚠ Check"))))</f>
        <v/>
      </c>
      <c r="AF1165" s="33" t="n"/>
      <c r="AG1165" s="33" t="n"/>
      <c r="AH1165" s="33" t="n"/>
      <c r="AI1165" s="33" t="n"/>
      <c r="AJ1165" s="33" t="n"/>
      <c r="AK1165" s="33" t="n"/>
      <c r="AL1165" s="27" t="n"/>
      <c r="AM1165" s="34" t="n"/>
      <c r="AN1165" s="35">
        <f>IF(AF1165="","",IF(AI1165="Yes","❌ Disc",IF(AH1165="No","⚠ Missing",IF(AK1165="Yes","✓ OK","⚠ Check"))))</f>
        <v/>
      </c>
      <c r="AO1165" s="36" t="n"/>
      <c r="AP1165" s="36" t="n"/>
      <c r="AQ1165" s="36" t="n"/>
      <c r="AR1165" s="36" t="n"/>
      <c r="AS1165" s="36" t="n"/>
      <c r="AT1165" s="36" t="n"/>
      <c r="AU1165" s="27" t="n"/>
      <c r="AV1165" s="37" t="n"/>
      <c r="AW1165" s="38">
        <f>IF(AO1165="","",IF(AR1165="Yes","❌ Disc",IF(AQ1165="No","⚠ Missing",IF(AT1165="Yes","✓ OK","⚠ Check"))))</f>
        <v/>
      </c>
    </row>
    <row r="1166" ht="18" customHeight="1" s="46">
      <c r="A1166" s="39" t="n">
        <v>1162</v>
      </c>
      <c r="B1166" s="40" t="inlineStr">
        <is>
          <t>BD-VRM-2024-3019</t>
        </is>
      </c>
      <c r="C1166" s="41" t="inlineStr">
        <is>
          <t>Marshall Eldorado Wallpaper 17738</t>
        </is>
      </c>
      <c r="D1166" s="39" t="inlineStr">
        <is>
          <t>Marshalls</t>
        </is>
      </c>
      <c r="E1166" s="43" t="n">
        <v>46125</v>
      </c>
      <c r="F1166" s="26" t="inlineStr">
        <is>
          <t>Sunil CR</t>
        </is>
      </c>
      <c r="G1166" s="26" t="inlineStr">
        <is>
          <t>Yes</t>
        </is>
      </c>
      <c r="H1166" s="26" t="inlineStr">
        <is>
          <t>No</t>
        </is>
      </c>
      <c r="I1166" s="26" t="inlineStr">
        <is>
          <t>Good finish</t>
        </is>
      </c>
      <c r="J1166" s="26" t="inlineStr">
        <is>
          <t>Yes</t>
        </is>
      </c>
      <c r="K1166" s="27" t="n"/>
      <c r="L1166" s="28" t="inlineStr">
        <is>
          <t>No</t>
        </is>
      </c>
      <c r="M1166" s="29">
        <f>IF(E1166="","",IF(H1166="Yes","❌ Disc",IF(G1166="No","⚠ Missing",IF(J1166="Yes","✓ OK","⚠ Check"))))</f>
        <v/>
      </c>
      <c r="N1166" s="43" t="n">
        <v>46193</v>
      </c>
      <c r="O1166" s="26" t="inlineStr">
        <is>
          <t>Sunil CR</t>
        </is>
      </c>
      <c r="P1166" s="26" t="inlineStr">
        <is>
          <t>Yes</t>
        </is>
      </c>
      <c r="Q1166" s="26" t="inlineStr">
        <is>
          <t>No</t>
        </is>
      </c>
      <c r="R1166" s="26" t="inlineStr">
        <is>
          <t>Good finish</t>
        </is>
      </c>
      <c r="S1166" s="26" t="inlineStr">
        <is>
          <t>Yes</t>
        </is>
      </c>
      <c r="T1166" s="27" t="n"/>
      <c r="U1166" s="28" t="inlineStr">
        <is>
          <t>No</t>
        </is>
      </c>
      <c r="V1166" s="29">
        <f>IF(N1166="","",IF(Q1166="Yes","❌ Disc",IF(P1166="No","⚠ Missing",IF(S1166="Yes","✓ OK","⚠ Check"))))</f>
        <v/>
      </c>
      <c r="W1166" s="65" t="n">
        <v>46248</v>
      </c>
      <c r="X1166" s="30" t="inlineStr">
        <is>
          <t>Sunil CR</t>
        </is>
      </c>
      <c r="Y1166" s="30" t="inlineStr">
        <is>
          <t>Yes</t>
        </is>
      </c>
      <c r="Z1166" s="30" t="n"/>
      <c r="AA1166" s="30" t="inlineStr">
        <is>
          <t>Good finish</t>
        </is>
      </c>
      <c r="AB1166" s="30" t="inlineStr">
        <is>
          <t>Yes</t>
        </is>
      </c>
      <c r="AC1166" s="27" t="n"/>
      <c r="AD1166" s="31" t="inlineStr">
        <is>
          <t>No</t>
        </is>
      </c>
      <c r="AE1166" s="32">
        <f>IF(W1166="","",IF(Z1166="Yes","❌ Disc",IF(Y1166="No","⚠ Missing",IF(AB1166="Yes","✓ OK","⚠ Check"))))</f>
        <v/>
      </c>
      <c r="AF1166" s="33" t="n"/>
      <c r="AG1166" s="33" t="n"/>
      <c r="AH1166" s="33" t="n"/>
      <c r="AI1166" s="33" t="n"/>
      <c r="AJ1166" s="33" t="n"/>
      <c r="AK1166" s="33" t="n"/>
      <c r="AL1166" s="27" t="n"/>
      <c r="AM1166" s="34" t="n"/>
      <c r="AN1166" s="35">
        <f>IF(AF1166="","",IF(AI1166="Yes","❌ Disc",IF(AH1166="No","⚠ Missing",IF(AK1166="Yes","✓ OK","⚠ Check"))))</f>
        <v/>
      </c>
      <c r="AO1166" s="36" t="n"/>
      <c r="AP1166" s="36" t="n"/>
      <c r="AQ1166" s="36" t="n"/>
      <c r="AR1166" s="36" t="n"/>
      <c r="AS1166" s="36" t="n"/>
      <c r="AT1166" s="36" t="n"/>
      <c r="AU1166" s="27" t="n"/>
      <c r="AV1166" s="37" t="n"/>
      <c r="AW1166" s="38">
        <f>IF(AO1166="","",IF(AR1166="Yes","❌ Disc",IF(AQ1166="No","⚠ Missing",IF(AT1166="Yes","✓ OK","⚠ Check"))))</f>
        <v/>
      </c>
    </row>
    <row r="1167" ht="18" customHeight="1" s="46">
      <c r="A1167" s="23" t="n">
        <v>1163</v>
      </c>
      <c r="B1167" s="24" t="inlineStr">
        <is>
          <t>BD-VRM-2024-3025</t>
        </is>
      </c>
      <c r="C1167" s="25" t="inlineStr">
        <is>
          <t>Marshall Eldorado Wallpaper 17739</t>
        </is>
      </c>
      <c r="D1167" s="23" t="inlineStr">
        <is>
          <t>Marshalls</t>
        </is>
      </c>
      <c r="E1167" s="43" t="n">
        <v>46125</v>
      </c>
      <c r="F1167" s="26" t="inlineStr">
        <is>
          <t>Sunil CR</t>
        </is>
      </c>
      <c r="G1167" s="26" t="inlineStr">
        <is>
          <t>Yes</t>
        </is>
      </c>
      <c r="H1167" s="26" t="inlineStr">
        <is>
          <t>No</t>
        </is>
      </c>
      <c r="I1167" s="26" t="inlineStr">
        <is>
          <t>Good finish</t>
        </is>
      </c>
      <c r="J1167" s="26" t="inlineStr">
        <is>
          <t>Yes</t>
        </is>
      </c>
      <c r="K1167" s="27" t="n"/>
      <c r="L1167" s="28" t="inlineStr">
        <is>
          <t>No</t>
        </is>
      </c>
      <c r="M1167" s="29">
        <f>IF(E1167="","",IF(H1167="Yes","❌ Disc",IF(G1167="No","⚠ Missing",IF(J1167="Yes","✓ OK","⚠ Check"))))</f>
        <v/>
      </c>
      <c r="N1167" s="43" t="n">
        <v>46193</v>
      </c>
      <c r="O1167" s="26" t="inlineStr">
        <is>
          <t>Sunil CR</t>
        </is>
      </c>
      <c r="P1167" s="26" t="inlineStr">
        <is>
          <t>Yes</t>
        </is>
      </c>
      <c r="Q1167" s="26" t="inlineStr">
        <is>
          <t>No</t>
        </is>
      </c>
      <c r="R1167" s="26" t="inlineStr">
        <is>
          <t>Good finish</t>
        </is>
      </c>
      <c r="S1167" s="26" t="inlineStr">
        <is>
          <t>Yes</t>
        </is>
      </c>
      <c r="T1167" s="27" t="n"/>
      <c r="U1167" s="28" t="inlineStr">
        <is>
          <t>No</t>
        </is>
      </c>
      <c r="V1167" s="29">
        <f>IF(N1167="","",IF(Q1167="Yes","❌ Disc",IF(P1167="No","⚠ Missing",IF(S1167="Yes","✓ OK","⚠ Check"))))</f>
        <v/>
      </c>
      <c r="W1167" s="65" t="n">
        <v>46248</v>
      </c>
      <c r="X1167" s="30" t="inlineStr">
        <is>
          <t>Sunil CR</t>
        </is>
      </c>
      <c r="Y1167" s="30" t="inlineStr">
        <is>
          <t>Yes</t>
        </is>
      </c>
      <c r="Z1167" s="30" t="n"/>
      <c r="AA1167" s="30" t="inlineStr">
        <is>
          <t>Good finish</t>
        </is>
      </c>
      <c r="AB1167" s="30" t="inlineStr">
        <is>
          <t>Yes</t>
        </is>
      </c>
      <c r="AC1167" s="27" t="n"/>
      <c r="AD1167" s="31" t="inlineStr">
        <is>
          <t>No</t>
        </is>
      </c>
      <c r="AE1167" s="32">
        <f>IF(W1167="","",IF(Z1167="Yes","❌ Disc",IF(Y1167="No","⚠ Missing",IF(AB1167="Yes","✓ OK","⚠ Check"))))</f>
        <v/>
      </c>
      <c r="AF1167" s="33" t="n"/>
      <c r="AG1167" s="33" t="n"/>
      <c r="AH1167" s="33" t="n"/>
      <c r="AI1167" s="33" t="n"/>
      <c r="AJ1167" s="33" t="n"/>
      <c r="AK1167" s="33" t="n"/>
      <c r="AL1167" s="27" t="n"/>
      <c r="AM1167" s="34" t="n"/>
      <c r="AN1167" s="35">
        <f>IF(AF1167="","",IF(AI1167="Yes","❌ Disc",IF(AH1167="No","⚠ Missing",IF(AK1167="Yes","✓ OK","⚠ Check"))))</f>
        <v/>
      </c>
      <c r="AO1167" s="36" t="n"/>
      <c r="AP1167" s="36" t="n"/>
      <c r="AQ1167" s="36" t="n"/>
      <c r="AR1167" s="36" t="n"/>
      <c r="AS1167" s="36" t="n"/>
      <c r="AT1167" s="36" t="n"/>
      <c r="AU1167" s="27" t="n"/>
      <c r="AV1167" s="37" t="n"/>
      <c r="AW1167" s="38">
        <f>IF(AO1167="","",IF(AR1167="Yes","❌ Disc",IF(AQ1167="No","⚠ Missing",IF(AT1167="Yes","✓ OK","⚠ Check"))))</f>
        <v/>
      </c>
    </row>
    <row r="1168" ht="18" customHeight="1" s="46">
      <c r="A1168" s="39" t="n">
        <v>1164</v>
      </c>
      <c r="B1168" s="40" t="inlineStr">
        <is>
          <t>BD-VRM-2024-3024</t>
        </is>
      </c>
      <c r="C1168" s="41" t="inlineStr">
        <is>
          <t>Marshall Eldorado Wallpaper 17740</t>
        </is>
      </c>
      <c r="D1168" s="39" t="inlineStr">
        <is>
          <t>Marshalls</t>
        </is>
      </c>
      <c r="E1168" s="43" t="n">
        <v>46125</v>
      </c>
      <c r="F1168" s="26" t="inlineStr">
        <is>
          <t>Sunil CR</t>
        </is>
      </c>
      <c r="G1168" s="26" t="inlineStr">
        <is>
          <t>Yes</t>
        </is>
      </c>
      <c r="H1168" s="26" t="inlineStr">
        <is>
          <t>No</t>
        </is>
      </c>
      <c r="I1168" s="26" t="inlineStr">
        <is>
          <t>Good finish</t>
        </is>
      </c>
      <c r="J1168" s="26" t="inlineStr">
        <is>
          <t>Yes</t>
        </is>
      </c>
      <c r="K1168" s="27" t="n"/>
      <c r="L1168" s="28" t="inlineStr">
        <is>
          <t>No</t>
        </is>
      </c>
      <c r="M1168" s="29">
        <f>IF(E1168="","",IF(H1168="Yes","❌ Disc",IF(G1168="No","⚠ Missing",IF(J1168="Yes","✓ OK","⚠ Check"))))</f>
        <v/>
      </c>
      <c r="N1168" s="43" t="n">
        <v>46193</v>
      </c>
      <c r="O1168" s="26" t="inlineStr">
        <is>
          <t>Sunil CR</t>
        </is>
      </c>
      <c r="P1168" s="26" t="inlineStr">
        <is>
          <t>Yes</t>
        </is>
      </c>
      <c r="Q1168" s="26" t="inlineStr">
        <is>
          <t>No</t>
        </is>
      </c>
      <c r="R1168" s="26" t="inlineStr">
        <is>
          <t>Good finish</t>
        </is>
      </c>
      <c r="S1168" s="26" t="inlineStr">
        <is>
          <t>Yes</t>
        </is>
      </c>
      <c r="T1168" s="27" t="n"/>
      <c r="U1168" s="28" t="inlineStr">
        <is>
          <t>No</t>
        </is>
      </c>
      <c r="V1168" s="29">
        <f>IF(N1168="","",IF(Q1168="Yes","❌ Disc",IF(P1168="No","⚠ Missing",IF(S1168="Yes","✓ OK","⚠ Check"))))</f>
        <v/>
      </c>
      <c r="W1168" s="65" t="n">
        <v>46248</v>
      </c>
      <c r="X1168" s="30" t="inlineStr">
        <is>
          <t>Sunil CR</t>
        </is>
      </c>
      <c r="Y1168" s="30" t="inlineStr">
        <is>
          <t>Yes</t>
        </is>
      </c>
      <c r="Z1168" s="30" t="n"/>
      <c r="AA1168" s="30" t="inlineStr">
        <is>
          <t>Good finish</t>
        </is>
      </c>
      <c r="AB1168" s="30" t="inlineStr">
        <is>
          <t>Yes</t>
        </is>
      </c>
      <c r="AC1168" s="27" t="n"/>
      <c r="AD1168" s="31" t="inlineStr">
        <is>
          <t>No</t>
        </is>
      </c>
      <c r="AE1168" s="32">
        <f>IF(W1168="","",IF(Z1168="Yes","❌ Disc",IF(Y1168="No","⚠ Missing",IF(AB1168="Yes","✓ OK","⚠ Check"))))</f>
        <v/>
      </c>
      <c r="AF1168" s="33" t="n"/>
      <c r="AG1168" s="33" t="n"/>
      <c r="AH1168" s="33" t="n"/>
      <c r="AI1168" s="33" t="n"/>
      <c r="AJ1168" s="33" t="n"/>
      <c r="AK1168" s="33" t="n"/>
      <c r="AL1168" s="27" t="n"/>
      <c r="AM1168" s="34" t="n"/>
      <c r="AN1168" s="35">
        <f>IF(AF1168="","",IF(AI1168="Yes","❌ Disc",IF(AH1168="No","⚠ Missing",IF(AK1168="Yes","✓ OK","⚠ Check"))))</f>
        <v/>
      </c>
      <c r="AO1168" s="36" t="n"/>
      <c r="AP1168" s="36" t="n"/>
      <c r="AQ1168" s="36" t="n"/>
      <c r="AR1168" s="36" t="n"/>
      <c r="AS1168" s="36" t="n"/>
      <c r="AT1168" s="36" t="n"/>
      <c r="AU1168" s="27" t="n"/>
      <c r="AV1168" s="37" t="n"/>
      <c r="AW1168" s="38">
        <f>IF(AO1168="","",IF(AR1168="Yes","❌ Disc",IF(AQ1168="No","⚠ Missing",IF(AT1168="Yes","✓ OK","⚠ Check"))))</f>
        <v/>
      </c>
    </row>
    <row r="1169" ht="18" customHeight="1" s="46">
      <c r="A1169" s="23" t="n">
        <v>1165</v>
      </c>
      <c r="B1169" s="24" t="inlineStr">
        <is>
          <t>BD-VRM-2024-3023</t>
        </is>
      </c>
      <c r="C1169" s="25" t="inlineStr">
        <is>
          <t>Marshall Eldorado Wallpaper 17741</t>
        </is>
      </c>
      <c r="D1169" s="23" t="inlineStr">
        <is>
          <t>Marshalls</t>
        </is>
      </c>
      <c r="E1169" s="43" t="n">
        <v>46125</v>
      </c>
      <c r="F1169" s="26" t="inlineStr">
        <is>
          <t>Sunil CR</t>
        </is>
      </c>
      <c r="G1169" s="26" t="inlineStr">
        <is>
          <t>Yes</t>
        </is>
      </c>
      <c r="H1169" s="26" t="inlineStr">
        <is>
          <t>No</t>
        </is>
      </c>
      <c r="I1169" s="26" t="inlineStr">
        <is>
          <t>Good finish</t>
        </is>
      </c>
      <c r="J1169" s="26" t="inlineStr">
        <is>
          <t>Yes</t>
        </is>
      </c>
      <c r="K1169" s="27" t="n"/>
      <c r="L1169" s="28" t="inlineStr">
        <is>
          <t>No</t>
        </is>
      </c>
      <c r="M1169" s="29">
        <f>IF(E1169="","",IF(H1169="Yes","❌ Disc",IF(G1169="No","⚠ Missing",IF(J1169="Yes","✓ OK","⚠ Check"))))</f>
        <v/>
      </c>
      <c r="N1169" s="43" t="n">
        <v>46193</v>
      </c>
      <c r="O1169" s="26" t="inlineStr">
        <is>
          <t>Sunil CR</t>
        </is>
      </c>
      <c r="P1169" s="26" t="inlineStr">
        <is>
          <t>Yes</t>
        </is>
      </c>
      <c r="Q1169" s="26" t="inlineStr">
        <is>
          <t>No</t>
        </is>
      </c>
      <c r="R1169" s="26" t="inlineStr">
        <is>
          <t>Good finish</t>
        </is>
      </c>
      <c r="S1169" s="26" t="inlineStr">
        <is>
          <t>Yes</t>
        </is>
      </c>
      <c r="T1169" s="27" t="n"/>
      <c r="U1169" s="28" t="inlineStr">
        <is>
          <t>No</t>
        </is>
      </c>
      <c r="V1169" s="29">
        <f>IF(N1169="","",IF(Q1169="Yes","❌ Disc",IF(P1169="No","⚠ Missing",IF(S1169="Yes","✓ OK","⚠ Check"))))</f>
        <v/>
      </c>
      <c r="W1169" s="65" t="n">
        <v>46248</v>
      </c>
      <c r="X1169" s="30" t="inlineStr">
        <is>
          <t>Sunil CR</t>
        </is>
      </c>
      <c r="Y1169" s="30" t="inlineStr">
        <is>
          <t>Yes</t>
        </is>
      </c>
      <c r="Z1169" s="30" t="n"/>
      <c r="AA1169" s="30" t="inlineStr">
        <is>
          <t>Good finish</t>
        </is>
      </c>
      <c r="AB1169" s="30" t="inlineStr">
        <is>
          <t>Yes</t>
        </is>
      </c>
      <c r="AC1169" s="27" t="n"/>
      <c r="AD1169" s="31" t="inlineStr">
        <is>
          <t>No</t>
        </is>
      </c>
      <c r="AE1169" s="32">
        <f>IF(W1169="","",IF(Z1169="Yes","❌ Disc",IF(Y1169="No","⚠ Missing",IF(AB1169="Yes","✓ OK","⚠ Check"))))</f>
        <v/>
      </c>
      <c r="AF1169" s="33" t="n"/>
      <c r="AG1169" s="33" t="n"/>
      <c r="AH1169" s="33" t="n"/>
      <c r="AI1169" s="33" t="n"/>
      <c r="AJ1169" s="33" t="n"/>
      <c r="AK1169" s="33" t="n"/>
      <c r="AL1169" s="27" t="n"/>
      <c r="AM1169" s="34" t="n"/>
      <c r="AN1169" s="35">
        <f>IF(AF1169="","",IF(AI1169="Yes","❌ Disc",IF(AH1169="No","⚠ Missing",IF(AK1169="Yes","✓ OK","⚠ Check"))))</f>
        <v/>
      </c>
      <c r="AO1169" s="36" t="n"/>
      <c r="AP1169" s="36" t="n"/>
      <c r="AQ1169" s="36" t="n"/>
      <c r="AR1169" s="36" t="n"/>
      <c r="AS1169" s="36" t="n"/>
      <c r="AT1169" s="36" t="n"/>
      <c r="AU1169" s="27" t="n"/>
      <c r="AV1169" s="37" t="n"/>
      <c r="AW1169" s="38">
        <f>IF(AO1169="","",IF(AR1169="Yes","❌ Disc",IF(AQ1169="No","⚠ Missing",IF(AT1169="Yes","✓ OK","⚠ Check"))))</f>
        <v/>
      </c>
    </row>
    <row r="1170" ht="18" customHeight="1" s="46">
      <c r="A1170" s="39" t="n">
        <v>1166</v>
      </c>
      <c r="B1170" s="40" t="inlineStr">
        <is>
          <t>BD-VRM-2024-3005</t>
        </is>
      </c>
      <c r="C1170" s="41" t="inlineStr">
        <is>
          <t>Marshall Eldorado Wallpaper 17743</t>
        </is>
      </c>
      <c r="D1170" s="39" t="inlineStr">
        <is>
          <t>Marshalls</t>
        </is>
      </c>
      <c r="E1170" s="43" t="n">
        <v>46125</v>
      </c>
      <c r="F1170" s="26" t="inlineStr">
        <is>
          <t>Sunil CR</t>
        </is>
      </c>
      <c r="G1170" s="26" t="inlineStr">
        <is>
          <t>Yes</t>
        </is>
      </c>
      <c r="H1170" s="26" t="inlineStr">
        <is>
          <t>No</t>
        </is>
      </c>
      <c r="I1170" s="26" t="inlineStr">
        <is>
          <t>Good finish</t>
        </is>
      </c>
      <c r="J1170" s="26" t="inlineStr">
        <is>
          <t>Yes</t>
        </is>
      </c>
      <c r="K1170" s="27" t="n"/>
      <c r="L1170" s="28" t="inlineStr">
        <is>
          <t>No</t>
        </is>
      </c>
      <c r="M1170" s="29">
        <f>IF(E1170="","",IF(H1170="Yes","❌ Disc",IF(G1170="No","⚠ Missing",IF(J1170="Yes","✓ OK","⚠ Check"))))</f>
        <v/>
      </c>
      <c r="N1170" s="43" t="n">
        <v>46193</v>
      </c>
      <c r="O1170" s="26" t="inlineStr">
        <is>
          <t>Sunil CR</t>
        </is>
      </c>
      <c r="P1170" s="26" t="inlineStr">
        <is>
          <t>Yes</t>
        </is>
      </c>
      <c r="Q1170" s="26" t="inlineStr">
        <is>
          <t>No</t>
        </is>
      </c>
      <c r="R1170" s="26" t="inlineStr">
        <is>
          <t>Good finish</t>
        </is>
      </c>
      <c r="S1170" s="26" t="inlineStr">
        <is>
          <t>Yes</t>
        </is>
      </c>
      <c r="T1170" s="27" t="n"/>
      <c r="U1170" s="28" t="inlineStr">
        <is>
          <t>No</t>
        </is>
      </c>
      <c r="V1170" s="29">
        <f>IF(N1170="","",IF(Q1170="Yes","❌ Disc",IF(P1170="No","⚠ Missing",IF(S1170="Yes","✓ OK","⚠ Check"))))</f>
        <v/>
      </c>
      <c r="W1170" s="65" t="n">
        <v>46248</v>
      </c>
      <c r="X1170" s="30" t="inlineStr">
        <is>
          <t>Sunil CR</t>
        </is>
      </c>
      <c r="Y1170" s="30" t="inlineStr">
        <is>
          <t>Yes</t>
        </is>
      </c>
      <c r="Z1170" s="30" t="n"/>
      <c r="AA1170" s="30" t="inlineStr">
        <is>
          <t>Good finish</t>
        </is>
      </c>
      <c r="AB1170" s="30" t="inlineStr">
        <is>
          <t>Yes</t>
        </is>
      </c>
      <c r="AC1170" s="27" t="n"/>
      <c r="AD1170" s="31" t="inlineStr">
        <is>
          <t>No</t>
        </is>
      </c>
      <c r="AE1170" s="32">
        <f>IF(W1170="","",IF(Z1170="Yes","❌ Disc",IF(Y1170="No","⚠ Missing",IF(AB1170="Yes","✓ OK","⚠ Check"))))</f>
        <v/>
      </c>
      <c r="AF1170" s="33" t="n"/>
      <c r="AG1170" s="33" t="n"/>
      <c r="AH1170" s="33" t="n"/>
      <c r="AI1170" s="33" t="n"/>
      <c r="AJ1170" s="33" t="n"/>
      <c r="AK1170" s="33" t="n"/>
      <c r="AL1170" s="27" t="n"/>
      <c r="AM1170" s="34" t="n"/>
      <c r="AN1170" s="35">
        <f>IF(AF1170="","",IF(AI1170="Yes","❌ Disc",IF(AH1170="No","⚠ Missing",IF(AK1170="Yes","✓ OK","⚠ Check"))))</f>
        <v/>
      </c>
      <c r="AO1170" s="36" t="n"/>
      <c r="AP1170" s="36" t="n"/>
      <c r="AQ1170" s="36" t="n"/>
      <c r="AR1170" s="36" t="n"/>
      <c r="AS1170" s="36" t="n"/>
      <c r="AT1170" s="36" t="n"/>
      <c r="AU1170" s="27" t="n"/>
      <c r="AV1170" s="37" t="n"/>
      <c r="AW1170" s="38">
        <f>IF(AO1170="","",IF(AR1170="Yes","❌ Disc",IF(AQ1170="No","⚠ Missing",IF(AT1170="Yes","✓ OK","⚠ Check"))))</f>
        <v/>
      </c>
    </row>
    <row r="1171" ht="18" customHeight="1" s="46">
      <c r="A1171" s="23" t="n">
        <v>1167</v>
      </c>
      <c r="B1171" s="24" t="inlineStr">
        <is>
          <t>BD-VRM-2024-3004</t>
        </is>
      </c>
      <c r="C1171" s="25" t="inlineStr">
        <is>
          <t>Marshall Eldorado Wallpaper 17744</t>
        </is>
      </c>
      <c r="D1171" s="23" t="inlineStr">
        <is>
          <t>Marshalls</t>
        </is>
      </c>
      <c r="E1171" s="43" t="n">
        <v>46125</v>
      </c>
      <c r="F1171" s="26" t="inlineStr">
        <is>
          <t>Sunil CR</t>
        </is>
      </c>
      <c r="G1171" s="26" t="inlineStr">
        <is>
          <t>Yes</t>
        </is>
      </c>
      <c r="H1171" s="26" t="inlineStr">
        <is>
          <t>No</t>
        </is>
      </c>
      <c r="I1171" s="26" t="inlineStr">
        <is>
          <t>Good finish</t>
        </is>
      </c>
      <c r="J1171" s="26" t="inlineStr">
        <is>
          <t>Yes</t>
        </is>
      </c>
      <c r="K1171" s="27" t="n"/>
      <c r="L1171" s="28" t="inlineStr">
        <is>
          <t>No</t>
        </is>
      </c>
      <c r="M1171" s="29">
        <f>IF(E1171="","",IF(H1171="Yes","❌ Disc",IF(G1171="No","⚠ Missing",IF(J1171="Yes","✓ OK","⚠ Check"))))</f>
        <v/>
      </c>
      <c r="N1171" s="43" t="n">
        <v>46193</v>
      </c>
      <c r="O1171" s="26" t="inlineStr">
        <is>
          <t>Sunil CR</t>
        </is>
      </c>
      <c r="P1171" s="26" t="inlineStr">
        <is>
          <t>Yes</t>
        </is>
      </c>
      <c r="Q1171" s="26" t="inlineStr">
        <is>
          <t>No</t>
        </is>
      </c>
      <c r="R1171" s="26" t="inlineStr">
        <is>
          <t>Good finish</t>
        </is>
      </c>
      <c r="S1171" s="26" t="inlineStr">
        <is>
          <t>Yes</t>
        </is>
      </c>
      <c r="T1171" s="27" t="n"/>
      <c r="U1171" s="28" t="inlineStr">
        <is>
          <t>No</t>
        </is>
      </c>
      <c r="V1171" s="29">
        <f>IF(N1171="","",IF(Q1171="Yes","❌ Disc",IF(P1171="No","⚠ Missing",IF(S1171="Yes","✓ OK","⚠ Check"))))</f>
        <v/>
      </c>
      <c r="W1171" s="65" t="n">
        <v>46248</v>
      </c>
      <c r="X1171" s="30" t="inlineStr">
        <is>
          <t>Sunil CR</t>
        </is>
      </c>
      <c r="Y1171" s="30" t="inlineStr">
        <is>
          <t>Yes</t>
        </is>
      </c>
      <c r="Z1171" s="30" t="n"/>
      <c r="AA1171" s="30" t="inlineStr">
        <is>
          <t>Good finish</t>
        </is>
      </c>
      <c r="AB1171" s="30" t="inlineStr">
        <is>
          <t>Yes</t>
        </is>
      </c>
      <c r="AC1171" s="27" t="n"/>
      <c r="AD1171" s="31" t="inlineStr">
        <is>
          <t>No</t>
        </is>
      </c>
      <c r="AE1171" s="32">
        <f>IF(W1171="","",IF(Z1171="Yes","❌ Disc",IF(Y1171="No","⚠ Missing",IF(AB1171="Yes","✓ OK","⚠ Check"))))</f>
        <v/>
      </c>
      <c r="AF1171" s="33" t="n"/>
      <c r="AG1171" s="33" t="n"/>
      <c r="AH1171" s="33" t="n"/>
      <c r="AI1171" s="33" t="n"/>
      <c r="AJ1171" s="33" t="n"/>
      <c r="AK1171" s="33" t="n"/>
      <c r="AL1171" s="27" t="n"/>
      <c r="AM1171" s="34" t="n"/>
      <c r="AN1171" s="35">
        <f>IF(AF1171="","",IF(AI1171="Yes","❌ Disc",IF(AH1171="No","⚠ Missing",IF(AK1171="Yes","✓ OK","⚠ Check"))))</f>
        <v/>
      </c>
      <c r="AO1171" s="36" t="n"/>
      <c r="AP1171" s="36" t="n"/>
      <c r="AQ1171" s="36" t="n"/>
      <c r="AR1171" s="36" t="n"/>
      <c r="AS1171" s="36" t="n"/>
      <c r="AT1171" s="36" t="n"/>
      <c r="AU1171" s="27" t="n"/>
      <c r="AV1171" s="37" t="n"/>
      <c r="AW1171" s="38">
        <f>IF(AO1171="","",IF(AR1171="Yes","❌ Disc",IF(AQ1171="No","⚠ Missing",IF(AT1171="Yes","✓ OK","⚠ Check"))))</f>
        <v/>
      </c>
    </row>
    <row r="1172" ht="18" customHeight="1" s="46">
      <c r="A1172" s="39" t="n">
        <v>1168</v>
      </c>
      <c r="B1172" s="40" t="inlineStr">
        <is>
          <t>BD-VRM-2024-3001</t>
        </is>
      </c>
      <c r="C1172" s="41" t="inlineStr">
        <is>
          <t>Marshall Eldorado Wallpaper 17745</t>
        </is>
      </c>
      <c r="D1172" s="39" t="inlineStr">
        <is>
          <t>Marshalls</t>
        </is>
      </c>
      <c r="E1172" s="43" t="n">
        <v>46125</v>
      </c>
      <c r="F1172" s="26" t="inlineStr">
        <is>
          <t>Sunil CR</t>
        </is>
      </c>
      <c r="G1172" s="26" t="inlineStr">
        <is>
          <t>Yes</t>
        </is>
      </c>
      <c r="H1172" s="26" t="inlineStr">
        <is>
          <t>No</t>
        </is>
      </c>
      <c r="I1172" s="26" t="inlineStr">
        <is>
          <t>Good finish</t>
        </is>
      </c>
      <c r="J1172" s="26" t="inlineStr">
        <is>
          <t>Yes</t>
        </is>
      </c>
      <c r="K1172" s="27" t="n"/>
      <c r="L1172" s="28" t="inlineStr">
        <is>
          <t>No</t>
        </is>
      </c>
      <c r="M1172" s="29">
        <f>IF(E1172="","",IF(H1172="Yes","❌ Disc",IF(G1172="No","⚠ Missing",IF(J1172="Yes","✓ OK","⚠ Check"))))</f>
        <v/>
      </c>
      <c r="N1172" s="43" t="n">
        <v>46193</v>
      </c>
      <c r="O1172" s="26" t="inlineStr">
        <is>
          <t>Sunil CR</t>
        </is>
      </c>
      <c r="P1172" s="26" t="inlineStr">
        <is>
          <t>Yes</t>
        </is>
      </c>
      <c r="Q1172" s="26" t="inlineStr">
        <is>
          <t>No</t>
        </is>
      </c>
      <c r="R1172" s="26" t="inlineStr">
        <is>
          <t>Good finish</t>
        </is>
      </c>
      <c r="S1172" s="26" t="inlineStr">
        <is>
          <t>Yes</t>
        </is>
      </c>
      <c r="T1172" s="27" t="n"/>
      <c r="U1172" s="28" t="inlineStr">
        <is>
          <t>No</t>
        </is>
      </c>
      <c r="V1172" s="29">
        <f>IF(N1172="","",IF(Q1172="Yes","❌ Disc",IF(P1172="No","⚠ Missing",IF(S1172="Yes","✓ OK","⚠ Check"))))</f>
        <v/>
      </c>
      <c r="W1172" s="65" t="n">
        <v>46248</v>
      </c>
      <c r="X1172" s="30" t="inlineStr">
        <is>
          <t>Sunil CR</t>
        </is>
      </c>
      <c r="Y1172" s="30" t="inlineStr">
        <is>
          <t>Yes</t>
        </is>
      </c>
      <c r="Z1172" s="30" t="n"/>
      <c r="AA1172" s="30" t="inlineStr">
        <is>
          <t>Good finish</t>
        </is>
      </c>
      <c r="AB1172" s="30" t="inlineStr">
        <is>
          <t>Yes</t>
        </is>
      </c>
      <c r="AC1172" s="27" t="n"/>
      <c r="AD1172" s="31" t="inlineStr">
        <is>
          <t>No</t>
        </is>
      </c>
      <c r="AE1172" s="32">
        <f>IF(W1172="","",IF(Z1172="Yes","❌ Disc",IF(Y1172="No","⚠ Missing",IF(AB1172="Yes","✓ OK","⚠ Check"))))</f>
        <v/>
      </c>
      <c r="AF1172" s="33" t="n"/>
      <c r="AG1172" s="33" t="n"/>
      <c r="AH1172" s="33" t="n"/>
      <c r="AI1172" s="33" t="n"/>
      <c r="AJ1172" s="33" t="n"/>
      <c r="AK1172" s="33" t="n"/>
      <c r="AL1172" s="27" t="n"/>
      <c r="AM1172" s="34" t="n"/>
      <c r="AN1172" s="35">
        <f>IF(AF1172="","",IF(AI1172="Yes","❌ Disc",IF(AH1172="No","⚠ Missing",IF(AK1172="Yes","✓ OK","⚠ Check"))))</f>
        <v/>
      </c>
      <c r="AO1172" s="36" t="n"/>
      <c r="AP1172" s="36" t="n"/>
      <c r="AQ1172" s="36" t="n"/>
      <c r="AR1172" s="36" t="n"/>
      <c r="AS1172" s="36" t="n"/>
      <c r="AT1172" s="36" t="n"/>
      <c r="AU1172" s="27" t="n"/>
      <c r="AV1172" s="37" t="n"/>
      <c r="AW1172" s="38">
        <f>IF(AO1172="","",IF(AR1172="Yes","❌ Disc",IF(AQ1172="No","⚠ Missing",IF(AT1172="Yes","✓ OK","⚠ Check"))))</f>
        <v/>
      </c>
    </row>
    <row r="1173" ht="18" customHeight="1" s="46">
      <c r="A1173" s="23" t="n">
        <v>1169</v>
      </c>
      <c r="B1173" s="24" t="inlineStr">
        <is>
          <t>BD-VRM-2024-3000</t>
        </is>
      </c>
      <c r="C1173" s="25" t="inlineStr">
        <is>
          <t>Marshall Eldorado Wallpaper 17746</t>
        </is>
      </c>
      <c r="D1173" s="23" t="inlineStr">
        <is>
          <t>Marshalls</t>
        </is>
      </c>
      <c r="E1173" s="43" t="n">
        <v>46125</v>
      </c>
      <c r="F1173" s="26" t="inlineStr">
        <is>
          <t>Sunil CR</t>
        </is>
      </c>
      <c r="G1173" s="26" t="inlineStr">
        <is>
          <t>Yes</t>
        </is>
      </c>
      <c r="H1173" s="26" t="inlineStr">
        <is>
          <t>No</t>
        </is>
      </c>
      <c r="I1173" s="26" t="inlineStr">
        <is>
          <t>Good finish</t>
        </is>
      </c>
      <c r="J1173" s="26" t="inlineStr">
        <is>
          <t>Yes</t>
        </is>
      </c>
      <c r="K1173" s="27" t="n"/>
      <c r="L1173" s="28" t="inlineStr">
        <is>
          <t>No</t>
        </is>
      </c>
      <c r="M1173" s="29">
        <f>IF(E1173="","",IF(H1173="Yes","❌ Disc",IF(G1173="No","⚠ Missing",IF(J1173="Yes","✓ OK","⚠ Check"))))</f>
        <v/>
      </c>
      <c r="N1173" s="43" t="n">
        <v>46193</v>
      </c>
      <c r="O1173" s="26" t="inlineStr">
        <is>
          <t>Sunil CR</t>
        </is>
      </c>
      <c r="P1173" s="26" t="inlineStr">
        <is>
          <t>Yes</t>
        </is>
      </c>
      <c r="Q1173" s="26" t="inlineStr">
        <is>
          <t>No</t>
        </is>
      </c>
      <c r="R1173" s="26" t="inlineStr">
        <is>
          <t>Good finish</t>
        </is>
      </c>
      <c r="S1173" s="26" t="inlineStr">
        <is>
          <t>Yes</t>
        </is>
      </c>
      <c r="T1173" s="27" t="n"/>
      <c r="U1173" s="28" t="inlineStr">
        <is>
          <t>No</t>
        </is>
      </c>
      <c r="V1173" s="29">
        <f>IF(N1173="","",IF(Q1173="Yes","❌ Disc",IF(P1173="No","⚠ Missing",IF(S1173="Yes","✓ OK","⚠ Check"))))</f>
        <v/>
      </c>
      <c r="W1173" s="65" t="n">
        <v>46248</v>
      </c>
      <c r="X1173" s="30" t="inlineStr">
        <is>
          <t>Sunil CR</t>
        </is>
      </c>
      <c r="Y1173" s="30" t="inlineStr">
        <is>
          <t>Yes</t>
        </is>
      </c>
      <c r="Z1173" s="30" t="n"/>
      <c r="AA1173" s="30" t="inlineStr">
        <is>
          <t>Good finish</t>
        </is>
      </c>
      <c r="AB1173" s="30" t="inlineStr">
        <is>
          <t>Yes</t>
        </is>
      </c>
      <c r="AC1173" s="27" t="n"/>
      <c r="AD1173" s="31" t="inlineStr">
        <is>
          <t>No</t>
        </is>
      </c>
      <c r="AE1173" s="32">
        <f>IF(W1173="","",IF(Z1173="Yes","❌ Disc",IF(Y1173="No","⚠ Missing",IF(AB1173="Yes","✓ OK","⚠ Check"))))</f>
        <v/>
      </c>
      <c r="AF1173" s="33" t="n"/>
      <c r="AG1173" s="33" t="n"/>
      <c r="AH1173" s="33" t="n"/>
      <c r="AI1173" s="33" t="n"/>
      <c r="AJ1173" s="33" t="n"/>
      <c r="AK1173" s="33" t="n"/>
      <c r="AL1173" s="27" t="n"/>
      <c r="AM1173" s="34" t="n"/>
      <c r="AN1173" s="35">
        <f>IF(AF1173="","",IF(AI1173="Yes","❌ Disc",IF(AH1173="No","⚠ Missing",IF(AK1173="Yes","✓ OK","⚠ Check"))))</f>
        <v/>
      </c>
      <c r="AO1173" s="36" t="n"/>
      <c r="AP1173" s="36" t="n"/>
      <c r="AQ1173" s="36" t="n"/>
      <c r="AR1173" s="36" t="n"/>
      <c r="AS1173" s="36" t="n"/>
      <c r="AT1173" s="36" t="n"/>
      <c r="AU1173" s="27" t="n"/>
      <c r="AV1173" s="37" t="n"/>
      <c r="AW1173" s="38">
        <f>IF(AO1173="","",IF(AR1173="Yes","❌ Disc",IF(AQ1173="No","⚠ Missing",IF(AT1173="Yes","✓ OK","⚠ Check"))))</f>
        <v/>
      </c>
    </row>
    <row r="1174" ht="18" customHeight="1" s="46">
      <c r="A1174" s="39" t="n">
        <v>1170</v>
      </c>
      <c r="B1174" s="40" t="inlineStr">
        <is>
          <t>BD-VRM-2024-3007</t>
        </is>
      </c>
      <c r="C1174" s="41" t="inlineStr">
        <is>
          <t>Marshall Eldorado Wallpaper 17747</t>
        </is>
      </c>
      <c r="D1174" s="39" t="inlineStr">
        <is>
          <t>Marshalls</t>
        </is>
      </c>
      <c r="E1174" s="43" t="n">
        <v>46125</v>
      </c>
      <c r="F1174" s="26" t="inlineStr">
        <is>
          <t>Sunil CR</t>
        </is>
      </c>
      <c r="G1174" s="26" t="inlineStr">
        <is>
          <t>Yes</t>
        </is>
      </c>
      <c r="H1174" s="26" t="inlineStr">
        <is>
          <t>No</t>
        </is>
      </c>
      <c r="I1174" s="26" t="inlineStr">
        <is>
          <t>Good finish</t>
        </is>
      </c>
      <c r="J1174" s="26" t="inlineStr">
        <is>
          <t>Yes</t>
        </is>
      </c>
      <c r="K1174" s="27" t="n"/>
      <c r="L1174" s="28" t="inlineStr">
        <is>
          <t>No</t>
        </is>
      </c>
      <c r="M1174" s="29">
        <f>IF(E1174="","",IF(H1174="Yes","❌ Disc",IF(G1174="No","⚠ Missing",IF(J1174="Yes","✓ OK","⚠ Check"))))</f>
        <v/>
      </c>
      <c r="N1174" s="43" t="n">
        <v>46193</v>
      </c>
      <c r="O1174" s="26" t="inlineStr">
        <is>
          <t>Sunil CR</t>
        </is>
      </c>
      <c r="P1174" s="26" t="inlineStr">
        <is>
          <t>Yes</t>
        </is>
      </c>
      <c r="Q1174" s="26" t="inlineStr">
        <is>
          <t>No</t>
        </is>
      </c>
      <c r="R1174" s="26" t="inlineStr">
        <is>
          <t>Good finish</t>
        </is>
      </c>
      <c r="S1174" s="26" t="inlineStr">
        <is>
          <t>Yes</t>
        </is>
      </c>
      <c r="T1174" s="27" t="n"/>
      <c r="U1174" s="28" t="inlineStr">
        <is>
          <t>No</t>
        </is>
      </c>
      <c r="V1174" s="29">
        <f>IF(N1174="","",IF(Q1174="Yes","❌ Disc",IF(P1174="No","⚠ Missing",IF(S1174="Yes","✓ OK","⚠ Check"))))</f>
        <v/>
      </c>
      <c r="W1174" s="65" t="n">
        <v>46248</v>
      </c>
      <c r="X1174" s="30" t="inlineStr">
        <is>
          <t>Sunil CR</t>
        </is>
      </c>
      <c r="Y1174" s="30" t="inlineStr">
        <is>
          <t>Yes</t>
        </is>
      </c>
      <c r="Z1174" s="30" t="n"/>
      <c r="AA1174" s="30" t="inlineStr">
        <is>
          <t>Good finish</t>
        </is>
      </c>
      <c r="AB1174" s="30" t="inlineStr">
        <is>
          <t>Yes</t>
        </is>
      </c>
      <c r="AC1174" s="27" t="n"/>
      <c r="AD1174" s="31" t="inlineStr">
        <is>
          <t>No</t>
        </is>
      </c>
      <c r="AE1174" s="32">
        <f>IF(W1174="","",IF(Z1174="Yes","❌ Disc",IF(Y1174="No","⚠ Missing",IF(AB1174="Yes","✓ OK","⚠ Check"))))</f>
        <v/>
      </c>
      <c r="AF1174" s="33" t="n"/>
      <c r="AG1174" s="33" t="n"/>
      <c r="AH1174" s="33" t="n"/>
      <c r="AI1174" s="33" t="n"/>
      <c r="AJ1174" s="33" t="n"/>
      <c r="AK1174" s="33" t="n"/>
      <c r="AL1174" s="27" t="n"/>
      <c r="AM1174" s="34" t="n"/>
      <c r="AN1174" s="35">
        <f>IF(AF1174="","",IF(AI1174="Yes","❌ Disc",IF(AH1174="No","⚠ Missing",IF(AK1174="Yes","✓ OK","⚠ Check"))))</f>
        <v/>
      </c>
      <c r="AO1174" s="36" t="n"/>
      <c r="AP1174" s="36" t="n"/>
      <c r="AQ1174" s="36" t="n"/>
      <c r="AR1174" s="36" t="n"/>
      <c r="AS1174" s="36" t="n"/>
      <c r="AT1174" s="36" t="n"/>
      <c r="AU1174" s="27" t="n"/>
      <c r="AV1174" s="37" t="n"/>
      <c r="AW1174" s="38">
        <f>IF(AO1174="","",IF(AR1174="Yes","❌ Disc",IF(AQ1174="No","⚠ Missing",IF(AT1174="Yes","✓ OK","⚠ Check"))))</f>
        <v/>
      </c>
    </row>
    <row r="1175" ht="18" customHeight="1" s="46">
      <c r="A1175" s="23" t="n">
        <v>1171</v>
      </c>
      <c r="B1175" s="24" t="inlineStr">
        <is>
          <t>BD-VRM-2024-3006</t>
        </is>
      </c>
      <c r="C1175" s="25" t="inlineStr">
        <is>
          <t>Marshall Eldorado Wallpaper 17748</t>
        </is>
      </c>
      <c r="D1175" s="23" t="inlineStr">
        <is>
          <t>Marshalls</t>
        </is>
      </c>
      <c r="E1175" s="43" t="n">
        <v>46125</v>
      </c>
      <c r="F1175" s="26" t="inlineStr">
        <is>
          <t>Sunil CR</t>
        </is>
      </c>
      <c r="G1175" s="26" t="inlineStr">
        <is>
          <t>Yes</t>
        </is>
      </c>
      <c r="H1175" s="26" t="inlineStr">
        <is>
          <t>No</t>
        </is>
      </c>
      <c r="I1175" s="26" t="inlineStr">
        <is>
          <t>Good finish</t>
        </is>
      </c>
      <c r="J1175" s="26" t="inlineStr">
        <is>
          <t>Yes</t>
        </is>
      </c>
      <c r="K1175" s="27" t="n"/>
      <c r="L1175" s="28" t="inlineStr">
        <is>
          <t>No</t>
        </is>
      </c>
      <c r="M1175" s="29">
        <f>IF(E1175="","",IF(H1175="Yes","❌ Disc",IF(G1175="No","⚠ Missing",IF(J1175="Yes","✓ OK","⚠ Check"))))</f>
        <v/>
      </c>
      <c r="N1175" s="43" t="n">
        <v>46193</v>
      </c>
      <c r="O1175" s="26" t="inlineStr">
        <is>
          <t>Sunil CR</t>
        </is>
      </c>
      <c r="P1175" s="26" t="inlineStr">
        <is>
          <t>Yes</t>
        </is>
      </c>
      <c r="Q1175" s="26" t="inlineStr">
        <is>
          <t>No</t>
        </is>
      </c>
      <c r="R1175" s="26" t="inlineStr">
        <is>
          <t>Good finish</t>
        </is>
      </c>
      <c r="S1175" s="26" t="inlineStr">
        <is>
          <t>Yes</t>
        </is>
      </c>
      <c r="T1175" s="27" t="n"/>
      <c r="U1175" s="28" t="inlineStr">
        <is>
          <t>No</t>
        </is>
      </c>
      <c r="V1175" s="29">
        <f>IF(N1175="","",IF(Q1175="Yes","❌ Disc",IF(P1175="No","⚠ Missing",IF(S1175="Yes","✓ OK","⚠ Check"))))</f>
        <v/>
      </c>
      <c r="W1175" s="65" t="n">
        <v>46248</v>
      </c>
      <c r="X1175" s="30" t="inlineStr">
        <is>
          <t>Sunil CR</t>
        </is>
      </c>
      <c r="Y1175" s="30" t="inlineStr">
        <is>
          <t>Yes</t>
        </is>
      </c>
      <c r="Z1175" s="30" t="n"/>
      <c r="AA1175" s="30" t="inlineStr">
        <is>
          <t>Good finish</t>
        </is>
      </c>
      <c r="AB1175" s="30" t="inlineStr">
        <is>
          <t>Yes</t>
        </is>
      </c>
      <c r="AC1175" s="27" t="n"/>
      <c r="AD1175" s="31" t="inlineStr">
        <is>
          <t>No</t>
        </is>
      </c>
      <c r="AE1175" s="32">
        <f>IF(W1175="","",IF(Z1175="Yes","❌ Disc",IF(Y1175="No","⚠ Missing",IF(AB1175="Yes","✓ OK","⚠ Check"))))</f>
        <v/>
      </c>
      <c r="AF1175" s="33" t="n"/>
      <c r="AG1175" s="33" t="n"/>
      <c r="AH1175" s="33" t="n"/>
      <c r="AI1175" s="33" t="n"/>
      <c r="AJ1175" s="33" t="n"/>
      <c r="AK1175" s="33" t="n"/>
      <c r="AL1175" s="27" t="n"/>
      <c r="AM1175" s="34" t="n"/>
      <c r="AN1175" s="35">
        <f>IF(AF1175="","",IF(AI1175="Yes","❌ Disc",IF(AH1175="No","⚠ Missing",IF(AK1175="Yes","✓ OK","⚠ Check"))))</f>
        <v/>
      </c>
      <c r="AO1175" s="36" t="n"/>
      <c r="AP1175" s="36" t="n"/>
      <c r="AQ1175" s="36" t="n"/>
      <c r="AR1175" s="36" t="n"/>
      <c r="AS1175" s="36" t="n"/>
      <c r="AT1175" s="36" t="n"/>
      <c r="AU1175" s="27" t="n"/>
      <c r="AV1175" s="37" t="n"/>
      <c r="AW1175" s="38">
        <f>IF(AO1175="","",IF(AR1175="Yes","❌ Disc",IF(AQ1175="No","⚠ Missing",IF(AT1175="Yes","✓ OK","⚠ Check"))))</f>
        <v/>
      </c>
    </row>
    <row r="1176" ht="18" customHeight="1" s="46">
      <c r="A1176" s="39" t="n">
        <v>1172</v>
      </c>
      <c r="B1176" s="40" t="inlineStr">
        <is>
          <t>BD-VRM-2024-3003</t>
        </is>
      </c>
      <c r="C1176" s="41" t="inlineStr">
        <is>
          <t>Marshall Eldorado Wallpaper 17749</t>
        </is>
      </c>
      <c r="D1176" s="39" t="inlineStr">
        <is>
          <t>Marshalls</t>
        </is>
      </c>
      <c r="E1176" s="43" t="n">
        <v>46125</v>
      </c>
      <c r="F1176" s="26" t="inlineStr">
        <is>
          <t>Sunil CR</t>
        </is>
      </c>
      <c r="G1176" s="26" t="inlineStr">
        <is>
          <t>Yes</t>
        </is>
      </c>
      <c r="H1176" s="26" t="inlineStr">
        <is>
          <t>No</t>
        </is>
      </c>
      <c r="I1176" s="26" t="inlineStr">
        <is>
          <t>Good finish</t>
        </is>
      </c>
      <c r="J1176" s="26" t="inlineStr">
        <is>
          <t>Yes</t>
        </is>
      </c>
      <c r="K1176" s="27" t="n"/>
      <c r="L1176" s="28" t="inlineStr">
        <is>
          <t>No</t>
        </is>
      </c>
      <c r="M1176" s="29">
        <f>IF(E1176="","",IF(H1176="Yes","❌ Disc",IF(G1176="No","⚠ Missing",IF(J1176="Yes","✓ OK","⚠ Check"))))</f>
        <v/>
      </c>
      <c r="N1176" s="43" t="n">
        <v>46193</v>
      </c>
      <c r="O1176" s="26" t="inlineStr">
        <is>
          <t>Sunil CR</t>
        </is>
      </c>
      <c r="P1176" s="26" t="inlineStr">
        <is>
          <t>Yes</t>
        </is>
      </c>
      <c r="Q1176" s="26" t="inlineStr">
        <is>
          <t>No</t>
        </is>
      </c>
      <c r="R1176" s="26" t="inlineStr">
        <is>
          <t>Good finish</t>
        </is>
      </c>
      <c r="S1176" s="26" t="inlineStr">
        <is>
          <t>Yes</t>
        </is>
      </c>
      <c r="T1176" s="27" t="n"/>
      <c r="U1176" s="28" t="inlineStr">
        <is>
          <t>No</t>
        </is>
      </c>
      <c r="V1176" s="29">
        <f>IF(N1176="","",IF(Q1176="Yes","❌ Disc",IF(P1176="No","⚠ Missing",IF(S1176="Yes","✓ OK","⚠ Check"))))</f>
        <v/>
      </c>
      <c r="W1176" s="65" t="n">
        <v>46248</v>
      </c>
      <c r="X1176" s="30" t="inlineStr">
        <is>
          <t>Sunil CR</t>
        </is>
      </c>
      <c r="Y1176" s="30" t="inlineStr">
        <is>
          <t>Yes</t>
        </is>
      </c>
      <c r="Z1176" s="30" t="n"/>
      <c r="AA1176" s="30" t="inlineStr">
        <is>
          <t>Good finish</t>
        </is>
      </c>
      <c r="AB1176" s="30" t="inlineStr">
        <is>
          <t>Yes</t>
        </is>
      </c>
      <c r="AC1176" s="27" t="n"/>
      <c r="AD1176" s="31" t="inlineStr">
        <is>
          <t>No</t>
        </is>
      </c>
      <c r="AE1176" s="32">
        <f>IF(W1176="","",IF(Z1176="Yes","❌ Disc",IF(Y1176="No","⚠ Missing",IF(AB1176="Yes","✓ OK","⚠ Check"))))</f>
        <v/>
      </c>
      <c r="AF1176" s="33" t="n"/>
      <c r="AG1176" s="33" t="n"/>
      <c r="AH1176" s="33" t="n"/>
      <c r="AI1176" s="33" t="n"/>
      <c r="AJ1176" s="33" t="n"/>
      <c r="AK1176" s="33" t="n"/>
      <c r="AL1176" s="27" t="n"/>
      <c r="AM1176" s="34" t="n"/>
      <c r="AN1176" s="35">
        <f>IF(AF1176="","",IF(AI1176="Yes","❌ Disc",IF(AH1176="No","⚠ Missing",IF(AK1176="Yes","✓ OK","⚠ Check"))))</f>
        <v/>
      </c>
      <c r="AO1176" s="36" t="n"/>
      <c r="AP1176" s="36" t="n"/>
      <c r="AQ1176" s="36" t="n"/>
      <c r="AR1176" s="36" t="n"/>
      <c r="AS1176" s="36" t="n"/>
      <c r="AT1176" s="36" t="n"/>
      <c r="AU1176" s="27" t="n"/>
      <c r="AV1176" s="37" t="n"/>
      <c r="AW1176" s="38">
        <f>IF(AO1176="","",IF(AR1176="Yes","❌ Disc",IF(AQ1176="No","⚠ Missing",IF(AT1176="Yes","✓ OK","⚠ Check"))))</f>
        <v/>
      </c>
    </row>
    <row r="1177" ht="18" customHeight="1" s="46">
      <c r="A1177" s="23" t="n">
        <v>1173</v>
      </c>
      <c r="B1177" s="24" t="inlineStr">
        <is>
          <t>BD-VRM-2024-3002</t>
        </is>
      </c>
      <c r="C1177" s="25" t="inlineStr">
        <is>
          <t>Marshall Eldorado Wallpaper 17750</t>
        </is>
      </c>
      <c r="D1177" s="23" t="inlineStr">
        <is>
          <t>Marshalls</t>
        </is>
      </c>
      <c r="E1177" s="43" t="n">
        <v>46125</v>
      </c>
      <c r="F1177" s="26" t="inlineStr">
        <is>
          <t>Sunil CR</t>
        </is>
      </c>
      <c r="G1177" s="26" t="inlineStr">
        <is>
          <t>Yes</t>
        </is>
      </c>
      <c r="H1177" s="26" t="inlineStr">
        <is>
          <t>No</t>
        </is>
      </c>
      <c r="I1177" s="26" t="inlineStr">
        <is>
          <t>Good finish</t>
        </is>
      </c>
      <c r="J1177" s="26" t="inlineStr">
        <is>
          <t>Yes</t>
        </is>
      </c>
      <c r="K1177" s="27" t="n"/>
      <c r="L1177" s="28" t="inlineStr">
        <is>
          <t>No</t>
        </is>
      </c>
      <c r="M1177" s="29">
        <f>IF(E1177="","",IF(H1177="Yes","❌ Disc",IF(G1177="No","⚠ Missing",IF(J1177="Yes","✓ OK","⚠ Check"))))</f>
        <v/>
      </c>
      <c r="N1177" s="43" t="n">
        <v>46193</v>
      </c>
      <c r="O1177" s="26" t="inlineStr">
        <is>
          <t>Sunil CR</t>
        </is>
      </c>
      <c r="P1177" s="26" t="inlineStr">
        <is>
          <t>Yes</t>
        </is>
      </c>
      <c r="Q1177" s="26" t="inlineStr">
        <is>
          <t>No</t>
        </is>
      </c>
      <c r="R1177" s="26" t="inlineStr">
        <is>
          <t>Good finish</t>
        </is>
      </c>
      <c r="S1177" s="26" t="inlineStr">
        <is>
          <t>Yes</t>
        </is>
      </c>
      <c r="T1177" s="27" t="n"/>
      <c r="U1177" s="28" t="inlineStr">
        <is>
          <t>No</t>
        </is>
      </c>
      <c r="V1177" s="29">
        <f>IF(N1177="","",IF(Q1177="Yes","❌ Disc",IF(P1177="No","⚠ Missing",IF(S1177="Yes","✓ OK","⚠ Check"))))</f>
        <v/>
      </c>
      <c r="W1177" s="65" t="n">
        <v>46248</v>
      </c>
      <c r="X1177" s="30" t="inlineStr">
        <is>
          <t>Sunil CR</t>
        </is>
      </c>
      <c r="Y1177" s="30" t="inlineStr">
        <is>
          <t>Yes</t>
        </is>
      </c>
      <c r="Z1177" s="30" t="n"/>
      <c r="AA1177" s="30" t="inlineStr">
        <is>
          <t>Good finish</t>
        </is>
      </c>
      <c r="AB1177" s="30" t="inlineStr">
        <is>
          <t>Yes</t>
        </is>
      </c>
      <c r="AC1177" s="27" t="n"/>
      <c r="AD1177" s="31" t="inlineStr">
        <is>
          <t>No</t>
        </is>
      </c>
      <c r="AE1177" s="32">
        <f>IF(W1177="","",IF(Z1177="Yes","❌ Disc",IF(Y1177="No","⚠ Missing",IF(AB1177="Yes","✓ OK","⚠ Check"))))</f>
        <v/>
      </c>
      <c r="AF1177" s="33" t="n"/>
      <c r="AG1177" s="33" t="n"/>
      <c r="AH1177" s="33" t="n"/>
      <c r="AI1177" s="33" t="n"/>
      <c r="AJ1177" s="33" t="n"/>
      <c r="AK1177" s="33" t="n"/>
      <c r="AL1177" s="27" t="n"/>
      <c r="AM1177" s="34" t="n"/>
      <c r="AN1177" s="35">
        <f>IF(AF1177="","",IF(AI1177="Yes","❌ Disc",IF(AH1177="No","⚠ Missing",IF(AK1177="Yes","✓ OK","⚠ Check"))))</f>
        <v/>
      </c>
      <c r="AO1177" s="36" t="n"/>
      <c r="AP1177" s="36" t="n"/>
      <c r="AQ1177" s="36" t="n"/>
      <c r="AR1177" s="36" t="n"/>
      <c r="AS1177" s="36" t="n"/>
      <c r="AT1177" s="36" t="n"/>
      <c r="AU1177" s="27" t="n"/>
      <c r="AV1177" s="37" t="n"/>
      <c r="AW1177" s="38">
        <f>IF(AO1177="","",IF(AR1177="Yes","❌ Disc",IF(AQ1177="No","⚠ Missing",IF(AT1177="Yes","✓ OK","⚠ Check"))))</f>
        <v/>
      </c>
    </row>
    <row r="1178" ht="18" customHeight="1" s="46">
      <c r="A1178" s="39" t="n">
        <v>1174</v>
      </c>
      <c r="B1178" s="40" t="inlineStr">
        <is>
          <t>WP MR INS 240</t>
        </is>
      </c>
      <c r="C1178" s="41" t="inlineStr">
        <is>
          <t>Marshall Wallpaper - Inspire II INS 240</t>
        </is>
      </c>
      <c r="D1178" s="39" t="inlineStr">
        <is>
          <t>Marshalls</t>
        </is>
      </c>
      <c r="E1178" s="43" t="n">
        <v>46125</v>
      </c>
      <c r="F1178" s="26" t="inlineStr">
        <is>
          <t>Sunil CR</t>
        </is>
      </c>
      <c r="G1178" s="26" t="inlineStr">
        <is>
          <t>Yes</t>
        </is>
      </c>
      <c r="H1178" s="26" t="inlineStr">
        <is>
          <t>No</t>
        </is>
      </c>
      <c r="I1178" s="26" t="inlineStr">
        <is>
          <t>Good finish</t>
        </is>
      </c>
      <c r="J1178" s="26" t="inlineStr">
        <is>
          <t>Yes</t>
        </is>
      </c>
      <c r="K1178" s="27" t="n"/>
      <c r="L1178" s="28" t="inlineStr">
        <is>
          <t>No</t>
        </is>
      </c>
      <c r="M1178" s="29">
        <f>IF(E1178="","",IF(H1178="Yes","❌ Disc",IF(G1178="No","⚠ Missing",IF(J1178="Yes","✓ OK","⚠ Check"))))</f>
        <v/>
      </c>
      <c r="N1178" s="43" t="n">
        <v>46193</v>
      </c>
      <c r="O1178" s="26" t="inlineStr">
        <is>
          <t>Sunil CR</t>
        </is>
      </c>
      <c r="P1178" s="26" t="inlineStr">
        <is>
          <t>Yes</t>
        </is>
      </c>
      <c r="Q1178" s="26" t="inlineStr">
        <is>
          <t>No</t>
        </is>
      </c>
      <c r="R1178" s="26" t="inlineStr">
        <is>
          <t>Good finish</t>
        </is>
      </c>
      <c r="S1178" s="26" t="inlineStr">
        <is>
          <t>Yes</t>
        </is>
      </c>
      <c r="T1178" s="27" t="n"/>
      <c r="U1178" s="28" t="inlineStr">
        <is>
          <t>No</t>
        </is>
      </c>
      <c r="V1178" s="29">
        <f>IF(N1178="","",IF(Q1178="Yes","❌ Disc",IF(P1178="No","⚠ Missing",IF(S1178="Yes","✓ OK","⚠ Check"))))</f>
        <v/>
      </c>
      <c r="W1178" s="65" t="n">
        <v>46248</v>
      </c>
      <c r="X1178" s="30" t="inlineStr">
        <is>
          <t>Sunil CR</t>
        </is>
      </c>
      <c r="Y1178" s="30" t="inlineStr">
        <is>
          <t>Yes</t>
        </is>
      </c>
      <c r="Z1178" s="30" t="n"/>
      <c r="AA1178" s="30" t="inlineStr">
        <is>
          <t>Good finish</t>
        </is>
      </c>
      <c r="AB1178" s="30" t="inlineStr">
        <is>
          <t>Yes</t>
        </is>
      </c>
      <c r="AC1178" s="27" t="n"/>
      <c r="AD1178" s="31" t="inlineStr">
        <is>
          <t>No</t>
        </is>
      </c>
      <c r="AE1178" s="32">
        <f>IF(W1178="","",IF(Z1178="Yes","❌ Disc",IF(Y1178="No","⚠ Missing",IF(AB1178="Yes","✓ OK","⚠ Check"))))</f>
        <v/>
      </c>
      <c r="AF1178" s="33" t="n"/>
      <c r="AG1178" s="33" t="n"/>
      <c r="AH1178" s="33" t="n"/>
      <c r="AI1178" s="33" t="n"/>
      <c r="AJ1178" s="33" t="n"/>
      <c r="AK1178" s="33" t="n"/>
      <c r="AL1178" s="27" t="n"/>
      <c r="AM1178" s="34" t="n"/>
      <c r="AN1178" s="35">
        <f>IF(AF1178="","",IF(AI1178="Yes","❌ Disc",IF(AH1178="No","⚠ Missing",IF(AK1178="Yes","✓ OK","⚠ Check"))))</f>
        <v/>
      </c>
      <c r="AO1178" s="36" t="n"/>
      <c r="AP1178" s="36" t="n"/>
      <c r="AQ1178" s="36" t="n"/>
      <c r="AR1178" s="36" t="n"/>
      <c r="AS1178" s="36" t="n"/>
      <c r="AT1178" s="36" t="n"/>
      <c r="AU1178" s="27" t="n"/>
      <c r="AV1178" s="37" t="n"/>
      <c r="AW1178" s="38">
        <f>IF(AO1178="","",IF(AR1178="Yes","❌ Disc",IF(AQ1178="No","⚠ Missing",IF(AT1178="Yes","✓ OK","⚠ Check"))))</f>
        <v/>
      </c>
    </row>
    <row r="1179" ht="18" customHeight="1" s="46">
      <c r="A1179" s="23" t="n">
        <v>1175</v>
      </c>
      <c r="B1179" s="24" t="inlineStr">
        <is>
          <t>WP MR FUN 101</t>
        </is>
      </c>
      <c r="C1179" s="25" t="inlineStr">
        <is>
          <t>Marshalls - Fun Time Wallpapers - FUN 101</t>
        </is>
      </c>
      <c r="D1179" s="23" t="inlineStr">
        <is>
          <t>Marshalls</t>
        </is>
      </c>
      <c r="E1179" s="43" t="n">
        <v>46125</v>
      </c>
      <c r="F1179" s="26" t="inlineStr">
        <is>
          <t>Sunil CR</t>
        </is>
      </c>
      <c r="G1179" s="26" t="inlineStr">
        <is>
          <t>Yes</t>
        </is>
      </c>
      <c r="H1179" s="26" t="inlineStr">
        <is>
          <t>No</t>
        </is>
      </c>
      <c r="I1179" s="26" t="inlineStr">
        <is>
          <t>Good finish</t>
        </is>
      </c>
      <c r="J1179" s="26" t="inlineStr">
        <is>
          <t>Yes</t>
        </is>
      </c>
      <c r="K1179" s="27" t="n"/>
      <c r="L1179" s="28" t="inlineStr">
        <is>
          <t>No</t>
        </is>
      </c>
      <c r="M1179" s="29">
        <f>IF(E1179="","",IF(H1179="Yes","❌ Disc",IF(G1179="No","⚠ Missing",IF(J1179="Yes","✓ OK","⚠ Check"))))</f>
        <v/>
      </c>
      <c r="N1179" s="43" t="n">
        <v>46193</v>
      </c>
      <c r="O1179" s="26" t="inlineStr">
        <is>
          <t>Sunil CR</t>
        </is>
      </c>
      <c r="P1179" s="26" t="inlineStr">
        <is>
          <t>Yes</t>
        </is>
      </c>
      <c r="Q1179" s="26" t="inlineStr">
        <is>
          <t>No</t>
        </is>
      </c>
      <c r="R1179" s="26" t="inlineStr">
        <is>
          <t>Good finish</t>
        </is>
      </c>
      <c r="S1179" s="26" t="inlineStr">
        <is>
          <t>Yes</t>
        </is>
      </c>
      <c r="T1179" s="27" t="n"/>
      <c r="U1179" s="28" t="inlineStr">
        <is>
          <t>No</t>
        </is>
      </c>
      <c r="V1179" s="29">
        <f>IF(N1179="","",IF(Q1179="Yes","❌ Disc",IF(P1179="No","⚠ Missing",IF(S1179="Yes","✓ OK","⚠ Check"))))</f>
        <v/>
      </c>
      <c r="W1179" s="65" t="n">
        <v>46248</v>
      </c>
      <c r="X1179" s="30" t="inlineStr">
        <is>
          <t>Sunil CR</t>
        </is>
      </c>
      <c r="Y1179" s="30" t="inlineStr">
        <is>
          <t>Yes</t>
        </is>
      </c>
      <c r="Z1179" s="30" t="n"/>
      <c r="AA1179" s="30" t="inlineStr">
        <is>
          <t>Good finish</t>
        </is>
      </c>
      <c r="AB1179" s="30" t="inlineStr">
        <is>
          <t>Yes</t>
        </is>
      </c>
      <c r="AC1179" s="27" t="n"/>
      <c r="AD1179" s="31" t="inlineStr">
        <is>
          <t>No</t>
        </is>
      </c>
      <c r="AE1179" s="32">
        <f>IF(W1179="","",IF(Z1179="Yes","❌ Disc",IF(Y1179="No","⚠ Missing",IF(AB1179="Yes","✓ OK","⚠ Check"))))</f>
        <v/>
      </c>
      <c r="AF1179" s="33" t="n"/>
      <c r="AG1179" s="33" t="n"/>
      <c r="AH1179" s="33" t="n"/>
      <c r="AI1179" s="33" t="n"/>
      <c r="AJ1179" s="33" t="n"/>
      <c r="AK1179" s="33" t="n"/>
      <c r="AL1179" s="27" t="n"/>
      <c r="AM1179" s="34" t="n"/>
      <c r="AN1179" s="35">
        <f>IF(AF1179="","",IF(AI1179="Yes","❌ Disc",IF(AH1179="No","⚠ Missing",IF(AK1179="Yes","✓ OK","⚠ Check"))))</f>
        <v/>
      </c>
      <c r="AO1179" s="36" t="n"/>
      <c r="AP1179" s="36" t="n"/>
      <c r="AQ1179" s="36" t="n"/>
      <c r="AR1179" s="36" t="n"/>
      <c r="AS1179" s="36" t="n"/>
      <c r="AT1179" s="36" t="n"/>
      <c r="AU1179" s="27" t="n"/>
      <c r="AV1179" s="37" t="n"/>
      <c r="AW1179" s="38">
        <f>IF(AO1179="","",IF(AR1179="Yes","❌ Disc",IF(AQ1179="No","⚠ Missing",IF(AT1179="Yes","✓ OK","⚠ Check"))))</f>
        <v/>
      </c>
    </row>
    <row r="1180" ht="18" customHeight="1" s="46">
      <c r="A1180" s="39" t="n">
        <v>1176</v>
      </c>
      <c r="B1180" s="40" t="inlineStr">
        <is>
          <t>WP MR FUN 102</t>
        </is>
      </c>
      <c r="C1180" s="41" t="inlineStr">
        <is>
          <t>Marshalls - Fun Time Wallpapers - FUN 102</t>
        </is>
      </c>
      <c r="D1180" s="39" t="inlineStr">
        <is>
          <t>Marshalls</t>
        </is>
      </c>
      <c r="E1180" s="43" t="n">
        <v>46125</v>
      </c>
      <c r="F1180" s="26" t="inlineStr">
        <is>
          <t>Sunil CR</t>
        </is>
      </c>
      <c r="G1180" s="26" t="inlineStr">
        <is>
          <t>Yes</t>
        </is>
      </c>
      <c r="H1180" s="26" t="inlineStr">
        <is>
          <t>No</t>
        </is>
      </c>
      <c r="I1180" s="26" t="inlineStr">
        <is>
          <t>Good finish</t>
        </is>
      </c>
      <c r="J1180" s="26" t="inlineStr">
        <is>
          <t>Yes</t>
        </is>
      </c>
      <c r="K1180" s="27" t="n"/>
      <c r="L1180" s="28" t="inlineStr">
        <is>
          <t>No</t>
        </is>
      </c>
      <c r="M1180" s="29">
        <f>IF(E1180="","",IF(H1180="Yes","❌ Disc",IF(G1180="No","⚠ Missing",IF(J1180="Yes","✓ OK","⚠ Check"))))</f>
        <v/>
      </c>
      <c r="N1180" s="43" t="n">
        <v>46193</v>
      </c>
      <c r="O1180" s="26" t="inlineStr">
        <is>
          <t>Sunil CR</t>
        </is>
      </c>
      <c r="P1180" s="26" t="inlineStr">
        <is>
          <t>Yes</t>
        </is>
      </c>
      <c r="Q1180" s="26" t="inlineStr">
        <is>
          <t>No</t>
        </is>
      </c>
      <c r="R1180" s="26" t="inlineStr">
        <is>
          <t>Good finish</t>
        </is>
      </c>
      <c r="S1180" s="26" t="inlineStr">
        <is>
          <t>Yes</t>
        </is>
      </c>
      <c r="T1180" s="27" t="n"/>
      <c r="U1180" s="28" t="inlineStr">
        <is>
          <t>No</t>
        </is>
      </c>
      <c r="V1180" s="29">
        <f>IF(N1180="","",IF(Q1180="Yes","❌ Disc",IF(P1180="No","⚠ Missing",IF(S1180="Yes","✓ OK","⚠ Check"))))</f>
        <v/>
      </c>
      <c r="W1180" s="65" t="n">
        <v>46248</v>
      </c>
      <c r="X1180" s="30" t="inlineStr">
        <is>
          <t>Sunil CR</t>
        </is>
      </c>
      <c r="Y1180" s="30" t="inlineStr">
        <is>
          <t>Yes</t>
        </is>
      </c>
      <c r="Z1180" s="30" t="n"/>
      <c r="AA1180" s="30" t="inlineStr">
        <is>
          <t>Good finish</t>
        </is>
      </c>
      <c r="AB1180" s="30" t="inlineStr">
        <is>
          <t>Yes</t>
        </is>
      </c>
      <c r="AC1180" s="27" t="n"/>
      <c r="AD1180" s="31" t="inlineStr">
        <is>
          <t>No</t>
        </is>
      </c>
      <c r="AE1180" s="32">
        <f>IF(W1180="","",IF(Z1180="Yes","❌ Disc",IF(Y1180="No","⚠ Missing",IF(AB1180="Yes","✓ OK","⚠ Check"))))</f>
        <v/>
      </c>
      <c r="AF1180" s="33" t="n"/>
      <c r="AG1180" s="33" t="n"/>
      <c r="AH1180" s="33" t="n"/>
      <c r="AI1180" s="33" t="n"/>
      <c r="AJ1180" s="33" t="n"/>
      <c r="AK1180" s="33" t="n"/>
      <c r="AL1180" s="27" t="n"/>
      <c r="AM1180" s="34" t="n"/>
      <c r="AN1180" s="35">
        <f>IF(AF1180="","",IF(AI1180="Yes","❌ Disc",IF(AH1180="No","⚠ Missing",IF(AK1180="Yes","✓ OK","⚠ Check"))))</f>
        <v/>
      </c>
      <c r="AO1180" s="36" t="n"/>
      <c r="AP1180" s="36" t="n"/>
      <c r="AQ1180" s="36" t="n"/>
      <c r="AR1180" s="36" t="n"/>
      <c r="AS1180" s="36" t="n"/>
      <c r="AT1180" s="36" t="n"/>
      <c r="AU1180" s="27" t="n"/>
      <c r="AV1180" s="37" t="n"/>
      <c r="AW1180" s="38">
        <f>IF(AO1180="","",IF(AR1180="Yes","❌ Disc",IF(AQ1180="No","⚠ Missing",IF(AT1180="Yes","✓ OK","⚠ Check"))))</f>
        <v/>
      </c>
    </row>
    <row r="1181" ht="18" customHeight="1" s="46">
      <c r="A1181" s="23" t="n">
        <v>1177</v>
      </c>
      <c r="B1181" s="24" t="inlineStr">
        <is>
          <t>WP MR FUN 103</t>
        </is>
      </c>
      <c r="C1181" s="25" t="inlineStr">
        <is>
          <t>Marshalls - Fun Time Wallpapers - FUN 103</t>
        </is>
      </c>
      <c r="D1181" s="23" t="inlineStr">
        <is>
          <t>Marshalls</t>
        </is>
      </c>
      <c r="E1181" s="43" t="n">
        <v>46125</v>
      </c>
      <c r="F1181" s="26" t="inlineStr">
        <is>
          <t>Sunil CR</t>
        </is>
      </c>
      <c r="G1181" s="26" t="inlineStr">
        <is>
          <t>Yes</t>
        </is>
      </c>
      <c r="H1181" s="26" t="inlineStr">
        <is>
          <t>No</t>
        </is>
      </c>
      <c r="I1181" s="26" t="inlineStr">
        <is>
          <t>Good finish</t>
        </is>
      </c>
      <c r="J1181" s="26" t="inlineStr">
        <is>
          <t>Yes</t>
        </is>
      </c>
      <c r="K1181" s="27" t="n"/>
      <c r="L1181" s="28" t="inlineStr">
        <is>
          <t>No</t>
        </is>
      </c>
      <c r="M1181" s="29">
        <f>IF(E1181="","",IF(H1181="Yes","❌ Disc",IF(G1181="No","⚠ Missing",IF(J1181="Yes","✓ OK","⚠ Check"))))</f>
        <v/>
      </c>
      <c r="N1181" s="43" t="n">
        <v>46193</v>
      </c>
      <c r="O1181" s="26" t="inlineStr">
        <is>
          <t>Sunil CR</t>
        </is>
      </c>
      <c r="P1181" s="26" t="inlineStr">
        <is>
          <t>Yes</t>
        </is>
      </c>
      <c r="Q1181" s="26" t="inlineStr">
        <is>
          <t>No</t>
        </is>
      </c>
      <c r="R1181" s="26" t="inlineStr">
        <is>
          <t>Good finish</t>
        </is>
      </c>
      <c r="S1181" s="26" t="inlineStr">
        <is>
          <t>Yes</t>
        </is>
      </c>
      <c r="T1181" s="27" t="n"/>
      <c r="U1181" s="28" t="inlineStr">
        <is>
          <t>No</t>
        </is>
      </c>
      <c r="V1181" s="29">
        <f>IF(N1181="","",IF(Q1181="Yes","❌ Disc",IF(P1181="No","⚠ Missing",IF(S1181="Yes","✓ OK","⚠ Check"))))</f>
        <v/>
      </c>
      <c r="W1181" s="65" t="n">
        <v>46248</v>
      </c>
      <c r="X1181" s="30" t="inlineStr">
        <is>
          <t>Sunil CR</t>
        </is>
      </c>
      <c r="Y1181" s="30" t="inlineStr">
        <is>
          <t>Yes</t>
        </is>
      </c>
      <c r="Z1181" s="30" t="n"/>
      <c r="AA1181" s="30" t="inlineStr">
        <is>
          <t>Good finish</t>
        </is>
      </c>
      <c r="AB1181" s="30" t="inlineStr">
        <is>
          <t>Yes</t>
        </is>
      </c>
      <c r="AC1181" s="27" t="n"/>
      <c r="AD1181" s="31" t="inlineStr">
        <is>
          <t>No</t>
        </is>
      </c>
      <c r="AE1181" s="32">
        <f>IF(W1181="","",IF(Z1181="Yes","❌ Disc",IF(Y1181="No","⚠ Missing",IF(AB1181="Yes","✓ OK","⚠ Check"))))</f>
        <v/>
      </c>
      <c r="AF1181" s="33" t="n"/>
      <c r="AG1181" s="33" t="n"/>
      <c r="AH1181" s="33" t="n"/>
      <c r="AI1181" s="33" t="n"/>
      <c r="AJ1181" s="33" t="n"/>
      <c r="AK1181" s="33" t="n"/>
      <c r="AL1181" s="27" t="n"/>
      <c r="AM1181" s="34" t="n"/>
      <c r="AN1181" s="35">
        <f>IF(AF1181="","",IF(AI1181="Yes","❌ Disc",IF(AH1181="No","⚠ Missing",IF(AK1181="Yes","✓ OK","⚠ Check"))))</f>
        <v/>
      </c>
      <c r="AO1181" s="36" t="n"/>
      <c r="AP1181" s="36" t="n"/>
      <c r="AQ1181" s="36" t="n"/>
      <c r="AR1181" s="36" t="n"/>
      <c r="AS1181" s="36" t="n"/>
      <c r="AT1181" s="36" t="n"/>
      <c r="AU1181" s="27" t="n"/>
      <c r="AV1181" s="37" t="n"/>
      <c r="AW1181" s="38">
        <f>IF(AO1181="","",IF(AR1181="Yes","❌ Disc",IF(AQ1181="No","⚠ Missing",IF(AT1181="Yes","✓ OK","⚠ Check"))))</f>
        <v/>
      </c>
    </row>
    <row r="1182" ht="18" customHeight="1" s="46">
      <c r="A1182" s="39" t="n">
        <v>1178</v>
      </c>
      <c r="B1182" s="40" t="inlineStr">
        <is>
          <t>WP MR FUN 104</t>
        </is>
      </c>
      <c r="C1182" s="41" t="inlineStr">
        <is>
          <t>Marshalls - Fun Time Wallpapers - FUN 104</t>
        </is>
      </c>
      <c r="D1182" s="39" t="inlineStr">
        <is>
          <t>Marshalls</t>
        </is>
      </c>
      <c r="E1182" s="43" t="n">
        <v>46125</v>
      </c>
      <c r="F1182" s="26" t="inlineStr">
        <is>
          <t>Sunil CR</t>
        </is>
      </c>
      <c r="G1182" s="26" t="inlineStr">
        <is>
          <t>Yes</t>
        </is>
      </c>
      <c r="H1182" s="26" t="inlineStr">
        <is>
          <t>No</t>
        </is>
      </c>
      <c r="I1182" s="26" t="inlineStr">
        <is>
          <t>Good finish</t>
        </is>
      </c>
      <c r="J1182" s="26" t="inlineStr">
        <is>
          <t>Yes</t>
        </is>
      </c>
      <c r="K1182" s="27" t="n"/>
      <c r="L1182" s="28" t="inlineStr">
        <is>
          <t>No</t>
        </is>
      </c>
      <c r="M1182" s="29">
        <f>IF(E1182="","",IF(H1182="Yes","❌ Disc",IF(G1182="No","⚠ Missing",IF(J1182="Yes","✓ OK","⚠ Check"))))</f>
        <v/>
      </c>
      <c r="N1182" s="43" t="n">
        <v>46193</v>
      </c>
      <c r="O1182" s="26" t="inlineStr">
        <is>
          <t>Sunil CR</t>
        </is>
      </c>
      <c r="P1182" s="26" t="inlineStr">
        <is>
          <t>Yes</t>
        </is>
      </c>
      <c r="Q1182" s="26" t="inlineStr">
        <is>
          <t>No</t>
        </is>
      </c>
      <c r="R1182" s="26" t="inlineStr">
        <is>
          <t>Good finish</t>
        </is>
      </c>
      <c r="S1182" s="26" t="inlineStr">
        <is>
          <t>Yes</t>
        </is>
      </c>
      <c r="T1182" s="27" t="n"/>
      <c r="U1182" s="28" t="inlineStr">
        <is>
          <t>No</t>
        </is>
      </c>
      <c r="V1182" s="29">
        <f>IF(N1182="","",IF(Q1182="Yes","❌ Disc",IF(P1182="No","⚠ Missing",IF(S1182="Yes","✓ OK","⚠ Check"))))</f>
        <v/>
      </c>
      <c r="W1182" s="65" t="n">
        <v>46248</v>
      </c>
      <c r="X1182" s="30" t="inlineStr">
        <is>
          <t>Sunil CR</t>
        </is>
      </c>
      <c r="Y1182" s="30" t="inlineStr">
        <is>
          <t>Yes</t>
        </is>
      </c>
      <c r="Z1182" s="30" t="n"/>
      <c r="AA1182" s="30" t="inlineStr">
        <is>
          <t>Good finish</t>
        </is>
      </c>
      <c r="AB1182" s="30" t="inlineStr">
        <is>
          <t>Yes</t>
        </is>
      </c>
      <c r="AC1182" s="27" t="n"/>
      <c r="AD1182" s="31" t="inlineStr">
        <is>
          <t>No</t>
        </is>
      </c>
      <c r="AE1182" s="32">
        <f>IF(W1182="","",IF(Z1182="Yes","❌ Disc",IF(Y1182="No","⚠ Missing",IF(AB1182="Yes","✓ OK","⚠ Check"))))</f>
        <v/>
      </c>
      <c r="AF1182" s="33" t="n"/>
      <c r="AG1182" s="33" t="n"/>
      <c r="AH1182" s="33" t="n"/>
      <c r="AI1182" s="33" t="n"/>
      <c r="AJ1182" s="33" t="n"/>
      <c r="AK1182" s="33" t="n"/>
      <c r="AL1182" s="27" t="n"/>
      <c r="AM1182" s="34" t="n"/>
      <c r="AN1182" s="35">
        <f>IF(AF1182="","",IF(AI1182="Yes","❌ Disc",IF(AH1182="No","⚠ Missing",IF(AK1182="Yes","✓ OK","⚠ Check"))))</f>
        <v/>
      </c>
      <c r="AO1182" s="36" t="n"/>
      <c r="AP1182" s="36" t="n"/>
      <c r="AQ1182" s="36" t="n"/>
      <c r="AR1182" s="36" t="n"/>
      <c r="AS1182" s="36" t="n"/>
      <c r="AT1182" s="36" t="n"/>
      <c r="AU1182" s="27" t="n"/>
      <c r="AV1182" s="37" t="n"/>
      <c r="AW1182" s="38">
        <f>IF(AO1182="","",IF(AR1182="Yes","❌ Disc",IF(AQ1182="No","⚠ Missing",IF(AT1182="Yes","✓ OK","⚠ Check"))))</f>
        <v/>
      </c>
    </row>
    <row r="1183" ht="18" customHeight="1" s="46">
      <c r="A1183" s="23" t="n">
        <v>1179</v>
      </c>
      <c r="B1183" s="24" t="inlineStr">
        <is>
          <t>WP MR FUN 105</t>
        </is>
      </c>
      <c r="C1183" s="25" t="inlineStr">
        <is>
          <t>Marshalls - Fun Time Wallpapers - FUN 105</t>
        </is>
      </c>
      <c r="D1183" s="23" t="inlineStr">
        <is>
          <t>Marshalls</t>
        </is>
      </c>
      <c r="E1183" s="43" t="n">
        <v>46125</v>
      </c>
      <c r="F1183" s="26" t="inlineStr">
        <is>
          <t>Sunil CR</t>
        </is>
      </c>
      <c r="G1183" s="26" t="inlineStr">
        <is>
          <t>Yes</t>
        </is>
      </c>
      <c r="H1183" s="26" t="inlineStr">
        <is>
          <t>No</t>
        </is>
      </c>
      <c r="I1183" s="26" t="inlineStr">
        <is>
          <t>Good finish</t>
        </is>
      </c>
      <c r="J1183" s="26" t="inlineStr">
        <is>
          <t>Yes</t>
        </is>
      </c>
      <c r="K1183" s="27" t="n"/>
      <c r="L1183" s="28" t="inlineStr">
        <is>
          <t>No</t>
        </is>
      </c>
      <c r="M1183" s="29">
        <f>IF(E1183="","",IF(H1183="Yes","❌ Disc",IF(G1183="No","⚠ Missing",IF(J1183="Yes","✓ OK","⚠ Check"))))</f>
        <v/>
      </c>
      <c r="N1183" s="43" t="n">
        <v>46193</v>
      </c>
      <c r="O1183" s="26" t="inlineStr">
        <is>
          <t>Sunil CR</t>
        </is>
      </c>
      <c r="P1183" s="26" t="inlineStr">
        <is>
          <t>Yes</t>
        </is>
      </c>
      <c r="Q1183" s="26" t="inlineStr">
        <is>
          <t>No</t>
        </is>
      </c>
      <c r="R1183" s="26" t="inlineStr">
        <is>
          <t>Good finish</t>
        </is>
      </c>
      <c r="S1183" s="26" t="inlineStr">
        <is>
          <t>Yes</t>
        </is>
      </c>
      <c r="T1183" s="27" t="n"/>
      <c r="U1183" s="28" t="inlineStr">
        <is>
          <t>No</t>
        </is>
      </c>
      <c r="V1183" s="29">
        <f>IF(N1183="","",IF(Q1183="Yes","❌ Disc",IF(P1183="No","⚠ Missing",IF(S1183="Yes","✓ OK","⚠ Check"))))</f>
        <v/>
      </c>
      <c r="W1183" s="65" t="n">
        <v>46248</v>
      </c>
      <c r="X1183" s="30" t="inlineStr">
        <is>
          <t>Sunil CR</t>
        </is>
      </c>
      <c r="Y1183" s="30" t="inlineStr">
        <is>
          <t>Yes</t>
        </is>
      </c>
      <c r="Z1183" s="30" t="n"/>
      <c r="AA1183" s="30" t="inlineStr">
        <is>
          <t>Good finish</t>
        </is>
      </c>
      <c r="AB1183" s="30" t="inlineStr">
        <is>
          <t>Yes</t>
        </is>
      </c>
      <c r="AC1183" s="27" t="n"/>
      <c r="AD1183" s="31" t="inlineStr">
        <is>
          <t>No</t>
        </is>
      </c>
      <c r="AE1183" s="32">
        <f>IF(W1183="","",IF(Z1183="Yes","❌ Disc",IF(Y1183="No","⚠ Missing",IF(AB1183="Yes","✓ OK","⚠ Check"))))</f>
        <v/>
      </c>
      <c r="AF1183" s="33" t="n"/>
      <c r="AG1183" s="33" t="n"/>
      <c r="AH1183" s="33" t="n"/>
      <c r="AI1183" s="33" t="n"/>
      <c r="AJ1183" s="33" t="n"/>
      <c r="AK1183" s="33" t="n"/>
      <c r="AL1183" s="27" t="n"/>
      <c r="AM1183" s="34" t="n"/>
      <c r="AN1183" s="35">
        <f>IF(AF1183="","",IF(AI1183="Yes","❌ Disc",IF(AH1183="No","⚠ Missing",IF(AK1183="Yes","✓ OK","⚠ Check"))))</f>
        <v/>
      </c>
      <c r="AO1183" s="36" t="n"/>
      <c r="AP1183" s="36" t="n"/>
      <c r="AQ1183" s="36" t="n"/>
      <c r="AR1183" s="36" t="n"/>
      <c r="AS1183" s="36" t="n"/>
      <c r="AT1183" s="36" t="n"/>
      <c r="AU1183" s="27" t="n"/>
      <c r="AV1183" s="37" t="n"/>
      <c r="AW1183" s="38">
        <f>IF(AO1183="","",IF(AR1183="Yes","❌ Disc",IF(AQ1183="No","⚠ Missing",IF(AT1183="Yes","✓ OK","⚠ Check"))))</f>
        <v/>
      </c>
    </row>
    <row r="1184" ht="18" customHeight="1" s="46">
      <c r="A1184" s="39" t="n">
        <v>1180</v>
      </c>
      <c r="B1184" s="40" t="inlineStr">
        <is>
          <t>WP MR FUN 106</t>
        </is>
      </c>
      <c r="C1184" s="41" t="inlineStr">
        <is>
          <t>Marshalls - Fun Time Wallpapers - FUN 106</t>
        </is>
      </c>
      <c r="D1184" s="39" t="inlineStr">
        <is>
          <t>Marshalls</t>
        </is>
      </c>
      <c r="E1184" s="43" t="n">
        <v>46125</v>
      </c>
      <c r="F1184" s="26" t="inlineStr">
        <is>
          <t>Sunil CR</t>
        </is>
      </c>
      <c r="G1184" s="26" t="inlineStr">
        <is>
          <t>Yes</t>
        </is>
      </c>
      <c r="H1184" s="26" t="inlineStr">
        <is>
          <t>No</t>
        </is>
      </c>
      <c r="I1184" s="26" t="inlineStr">
        <is>
          <t>Good finish</t>
        </is>
      </c>
      <c r="J1184" s="26" t="inlineStr">
        <is>
          <t>Yes</t>
        </is>
      </c>
      <c r="K1184" s="27" t="n"/>
      <c r="L1184" s="28" t="inlineStr">
        <is>
          <t>No</t>
        </is>
      </c>
      <c r="M1184" s="29">
        <f>IF(E1184="","",IF(H1184="Yes","❌ Disc",IF(G1184="No","⚠ Missing",IF(J1184="Yes","✓ OK","⚠ Check"))))</f>
        <v/>
      </c>
      <c r="N1184" s="43" t="n">
        <v>46193</v>
      </c>
      <c r="O1184" s="26" t="inlineStr">
        <is>
          <t>Sunil CR</t>
        </is>
      </c>
      <c r="P1184" s="26" t="inlineStr">
        <is>
          <t>Yes</t>
        </is>
      </c>
      <c r="Q1184" s="26" t="inlineStr">
        <is>
          <t>No</t>
        </is>
      </c>
      <c r="R1184" s="26" t="inlineStr">
        <is>
          <t>Good finish</t>
        </is>
      </c>
      <c r="S1184" s="26" t="inlineStr">
        <is>
          <t>Yes</t>
        </is>
      </c>
      <c r="T1184" s="27" t="n"/>
      <c r="U1184" s="28" t="inlineStr">
        <is>
          <t>No</t>
        </is>
      </c>
      <c r="V1184" s="29">
        <f>IF(N1184="","",IF(Q1184="Yes","❌ Disc",IF(P1184="No","⚠ Missing",IF(S1184="Yes","✓ OK","⚠ Check"))))</f>
        <v/>
      </c>
      <c r="W1184" s="65" t="n">
        <v>46248</v>
      </c>
      <c r="X1184" s="30" t="inlineStr">
        <is>
          <t>Sunil CR</t>
        </is>
      </c>
      <c r="Y1184" s="30" t="inlineStr">
        <is>
          <t>Yes</t>
        </is>
      </c>
      <c r="Z1184" s="30" t="n"/>
      <c r="AA1184" s="30" t="inlineStr">
        <is>
          <t>Good finish</t>
        </is>
      </c>
      <c r="AB1184" s="30" t="inlineStr">
        <is>
          <t>Yes</t>
        </is>
      </c>
      <c r="AC1184" s="27" t="n"/>
      <c r="AD1184" s="31" t="inlineStr">
        <is>
          <t>No</t>
        </is>
      </c>
      <c r="AE1184" s="32">
        <f>IF(W1184="","",IF(Z1184="Yes","❌ Disc",IF(Y1184="No","⚠ Missing",IF(AB1184="Yes","✓ OK","⚠ Check"))))</f>
        <v/>
      </c>
      <c r="AF1184" s="33" t="n"/>
      <c r="AG1184" s="33" t="n"/>
      <c r="AH1184" s="33" t="n"/>
      <c r="AI1184" s="33" t="n"/>
      <c r="AJ1184" s="33" t="n"/>
      <c r="AK1184" s="33" t="n"/>
      <c r="AL1184" s="27" t="n"/>
      <c r="AM1184" s="34" t="n"/>
      <c r="AN1184" s="35">
        <f>IF(AF1184="","",IF(AI1184="Yes","❌ Disc",IF(AH1184="No","⚠ Missing",IF(AK1184="Yes","✓ OK","⚠ Check"))))</f>
        <v/>
      </c>
      <c r="AO1184" s="36" t="n"/>
      <c r="AP1184" s="36" t="n"/>
      <c r="AQ1184" s="36" t="n"/>
      <c r="AR1184" s="36" t="n"/>
      <c r="AS1184" s="36" t="n"/>
      <c r="AT1184" s="36" t="n"/>
      <c r="AU1184" s="27" t="n"/>
      <c r="AV1184" s="37" t="n"/>
      <c r="AW1184" s="38">
        <f>IF(AO1184="","",IF(AR1184="Yes","❌ Disc",IF(AQ1184="No","⚠ Missing",IF(AT1184="Yes","✓ OK","⚠ Check"))))</f>
        <v/>
      </c>
    </row>
    <row r="1185" ht="18" customHeight="1" s="46">
      <c r="A1185" s="23" t="n">
        <v>1181</v>
      </c>
      <c r="B1185" s="24" t="inlineStr">
        <is>
          <t>WP MR FUN 107</t>
        </is>
      </c>
      <c r="C1185" s="25" t="inlineStr">
        <is>
          <t>Marshalls - Fun Time Wallpapers - FUN 107</t>
        </is>
      </c>
      <c r="D1185" s="23" t="inlineStr">
        <is>
          <t>Marshalls</t>
        </is>
      </c>
      <c r="E1185" s="43" t="n">
        <v>46125</v>
      </c>
      <c r="F1185" s="26" t="inlineStr">
        <is>
          <t>Sunil CR</t>
        </is>
      </c>
      <c r="G1185" s="26" t="inlineStr">
        <is>
          <t>Yes</t>
        </is>
      </c>
      <c r="H1185" s="26" t="inlineStr">
        <is>
          <t>No</t>
        </is>
      </c>
      <c r="I1185" s="26" t="inlineStr">
        <is>
          <t>Good finish</t>
        </is>
      </c>
      <c r="J1185" s="26" t="inlineStr">
        <is>
          <t>Yes</t>
        </is>
      </c>
      <c r="K1185" s="27" t="n"/>
      <c r="L1185" s="28" t="inlineStr">
        <is>
          <t>No</t>
        </is>
      </c>
      <c r="M1185" s="29">
        <f>IF(E1185="","",IF(H1185="Yes","❌ Disc",IF(G1185="No","⚠ Missing",IF(J1185="Yes","✓ OK","⚠ Check"))))</f>
        <v/>
      </c>
      <c r="N1185" s="43" t="n">
        <v>46193</v>
      </c>
      <c r="O1185" s="26" t="inlineStr">
        <is>
          <t>Sunil CR</t>
        </is>
      </c>
      <c r="P1185" s="26" t="inlineStr">
        <is>
          <t>Yes</t>
        </is>
      </c>
      <c r="Q1185" s="26" t="inlineStr">
        <is>
          <t>No</t>
        </is>
      </c>
      <c r="R1185" s="26" t="inlineStr">
        <is>
          <t>Good finish</t>
        </is>
      </c>
      <c r="S1185" s="26" t="inlineStr">
        <is>
          <t>Yes</t>
        </is>
      </c>
      <c r="T1185" s="27" t="n"/>
      <c r="U1185" s="28" t="inlineStr">
        <is>
          <t>No</t>
        </is>
      </c>
      <c r="V1185" s="29">
        <f>IF(N1185="","",IF(Q1185="Yes","❌ Disc",IF(P1185="No","⚠ Missing",IF(S1185="Yes","✓ OK","⚠ Check"))))</f>
        <v/>
      </c>
      <c r="W1185" s="65" t="n">
        <v>46248</v>
      </c>
      <c r="X1185" s="30" t="inlineStr">
        <is>
          <t>Sunil CR</t>
        </is>
      </c>
      <c r="Y1185" s="30" t="inlineStr">
        <is>
          <t>Yes</t>
        </is>
      </c>
      <c r="Z1185" s="30" t="n"/>
      <c r="AA1185" s="30" t="inlineStr">
        <is>
          <t>Good finish</t>
        </is>
      </c>
      <c r="AB1185" s="30" t="inlineStr">
        <is>
          <t>Yes</t>
        </is>
      </c>
      <c r="AC1185" s="27" t="n"/>
      <c r="AD1185" s="31" t="inlineStr">
        <is>
          <t>No</t>
        </is>
      </c>
      <c r="AE1185" s="32">
        <f>IF(W1185="","",IF(Z1185="Yes","❌ Disc",IF(Y1185="No","⚠ Missing",IF(AB1185="Yes","✓ OK","⚠ Check"))))</f>
        <v/>
      </c>
      <c r="AF1185" s="33" t="n"/>
      <c r="AG1185" s="33" t="n"/>
      <c r="AH1185" s="33" t="n"/>
      <c r="AI1185" s="33" t="n"/>
      <c r="AJ1185" s="33" t="n"/>
      <c r="AK1185" s="33" t="n"/>
      <c r="AL1185" s="27" t="n"/>
      <c r="AM1185" s="34" t="n"/>
      <c r="AN1185" s="35">
        <f>IF(AF1185="","",IF(AI1185="Yes","❌ Disc",IF(AH1185="No","⚠ Missing",IF(AK1185="Yes","✓ OK","⚠ Check"))))</f>
        <v/>
      </c>
      <c r="AO1185" s="36" t="n"/>
      <c r="AP1185" s="36" t="n"/>
      <c r="AQ1185" s="36" t="n"/>
      <c r="AR1185" s="36" t="n"/>
      <c r="AS1185" s="36" t="n"/>
      <c r="AT1185" s="36" t="n"/>
      <c r="AU1185" s="27" t="n"/>
      <c r="AV1185" s="37" t="n"/>
      <c r="AW1185" s="38">
        <f>IF(AO1185="","",IF(AR1185="Yes","❌ Disc",IF(AQ1185="No","⚠ Missing",IF(AT1185="Yes","✓ OK","⚠ Check"))))</f>
        <v/>
      </c>
    </row>
    <row r="1186" ht="18" customHeight="1" s="46">
      <c r="A1186" s="39" t="n">
        <v>1182</v>
      </c>
      <c r="B1186" s="40" t="inlineStr">
        <is>
          <t>WP MR FUN 108</t>
        </is>
      </c>
      <c r="C1186" s="41" t="inlineStr">
        <is>
          <t>Marshalls - Fun Time Wallpapers - FUN 108</t>
        </is>
      </c>
      <c r="D1186" s="39" t="inlineStr">
        <is>
          <t>Marshalls</t>
        </is>
      </c>
      <c r="E1186" s="43" t="n">
        <v>46125</v>
      </c>
      <c r="F1186" s="26" t="inlineStr">
        <is>
          <t>Sunil CR</t>
        </is>
      </c>
      <c r="G1186" s="26" t="inlineStr">
        <is>
          <t>Yes</t>
        </is>
      </c>
      <c r="H1186" s="26" t="inlineStr">
        <is>
          <t>No</t>
        </is>
      </c>
      <c r="I1186" s="26" t="inlineStr">
        <is>
          <t>Good finish</t>
        </is>
      </c>
      <c r="J1186" s="26" t="inlineStr">
        <is>
          <t>Yes</t>
        </is>
      </c>
      <c r="K1186" s="27" t="n"/>
      <c r="L1186" s="28" t="inlineStr">
        <is>
          <t>No</t>
        </is>
      </c>
      <c r="M1186" s="29">
        <f>IF(E1186="","",IF(H1186="Yes","❌ Disc",IF(G1186="No","⚠ Missing",IF(J1186="Yes","✓ OK","⚠ Check"))))</f>
        <v/>
      </c>
      <c r="N1186" s="43" t="n">
        <v>46193</v>
      </c>
      <c r="O1186" s="26" t="inlineStr">
        <is>
          <t>Sunil CR</t>
        </is>
      </c>
      <c r="P1186" s="26" t="inlineStr">
        <is>
          <t>Yes</t>
        </is>
      </c>
      <c r="Q1186" s="26" t="inlineStr">
        <is>
          <t>No</t>
        </is>
      </c>
      <c r="R1186" s="26" t="inlineStr">
        <is>
          <t>Good finish</t>
        </is>
      </c>
      <c r="S1186" s="26" t="inlineStr">
        <is>
          <t>Yes</t>
        </is>
      </c>
      <c r="T1186" s="27" t="n"/>
      <c r="U1186" s="28" t="inlineStr">
        <is>
          <t>No</t>
        </is>
      </c>
      <c r="V1186" s="29">
        <f>IF(N1186="","",IF(Q1186="Yes","❌ Disc",IF(P1186="No","⚠ Missing",IF(S1186="Yes","✓ OK","⚠ Check"))))</f>
        <v/>
      </c>
      <c r="W1186" s="65" t="n">
        <v>46248</v>
      </c>
      <c r="X1186" s="30" t="inlineStr">
        <is>
          <t>Sunil CR</t>
        </is>
      </c>
      <c r="Y1186" s="30" t="inlineStr">
        <is>
          <t>Yes</t>
        </is>
      </c>
      <c r="Z1186" s="30" t="n"/>
      <c r="AA1186" s="30" t="inlineStr">
        <is>
          <t>Good finish</t>
        </is>
      </c>
      <c r="AB1186" s="30" t="inlineStr">
        <is>
          <t>Yes</t>
        </is>
      </c>
      <c r="AC1186" s="27" t="n"/>
      <c r="AD1186" s="31" t="inlineStr">
        <is>
          <t>No</t>
        </is>
      </c>
      <c r="AE1186" s="32">
        <f>IF(W1186="","",IF(Z1186="Yes","❌ Disc",IF(Y1186="No","⚠ Missing",IF(AB1186="Yes","✓ OK","⚠ Check"))))</f>
        <v/>
      </c>
      <c r="AF1186" s="33" t="n"/>
      <c r="AG1186" s="33" t="n"/>
      <c r="AH1186" s="33" t="n"/>
      <c r="AI1186" s="33" t="n"/>
      <c r="AJ1186" s="33" t="n"/>
      <c r="AK1186" s="33" t="n"/>
      <c r="AL1186" s="27" t="n"/>
      <c r="AM1186" s="34" t="n"/>
      <c r="AN1186" s="35">
        <f>IF(AF1186="","",IF(AI1186="Yes","❌ Disc",IF(AH1186="No","⚠ Missing",IF(AK1186="Yes","✓ OK","⚠ Check"))))</f>
        <v/>
      </c>
      <c r="AO1186" s="36" t="n"/>
      <c r="AP1186" s="36" t="n"/>
      <c r="AQ1186" s="36" t="n"/>
      <c r="AR1186" s="36" t="n"/>
      <c r="AS1186" s="36" t="n"/>
      <c r="AT1186" s="36" t="n"/>
      <c r="AU1186" s="27" t="n"/>
      <c r="AV1186" s="37" t="n"/>
      <c r="AW1186" s="38">
        <f>IF(AO1186="","",IF(AR1186="Yes","❌ Disc",IF(AQ1186="No","⚠ Missing",IF(AT1186="Yes","✓ OK","⚠ Check"))))</f>
        <v/>
      </c>
    </row>
    <row r="1187" ht="18" customHeight="1" s="46">
      <c r="A1187" s="23" t="n">
        <v>1183</v>
      </c>
      <c r="B1187" s="24" t="inlineStr">
        <is>
          <t>WP MR FUN 109</t>
        </is>
      </c>
      <c r="C1187" s="25" t="inlineStr">
        <is>
          <t>Marshalls - Fun Time Wallpapers - FUN 109</t>
        </is>
      </c>
      <c r="D1187" s="23" t="inlineStr">
        <is>
          <t>Marshalls</t>
        </is>
      </c>
      <c r="E1187" s="43" t="n">
        <v>46125</v>
      </c>
      <c r="F1187" s="26" t="inlineStr">
        <is>
          <t>Sunil CR</t>
        </is>
      </c>
      <c r="G1187" s="26" t="inlineStr">
        <is>
          <t>Yes</t>
        </is>
      </c>
      <c r="H1187" s="26" t="inlineStr">
        <is>
          <t>No</t>
        </is>
      </c>
      <c r="I1187" s="26" t="inlineStr">
        <is>
          <t>Good finish</t>
        </is>
      </c>
      <c r="J1187" s="26" t="inlineStr">
        <is>
          <t>Yes</t>
        </is>
      </c>
      <c r="K1187" s="27" t="n"/>
      <c r="L1187" s="28" t="inlineStr">
        <is>
          <t>No</t>
        </is>
      </c>
      <c r="M1187" s="29">
        <f>IF(E1187="","",IF(H1187="Yes","❌ Disc",IF(G1187="No","⚠ Missing",IF(J1187="Yes","✓ OK","⚠ Check"))))</f>
        <v/>
      </c>
      <c r="N1187" s="43" t="n">
        <v>46193</v>
      </c>
      <c r="O1187" s="26" t="inlineStr">
        <is>
          <t>Sunil CR</t>
        </is>
      </c>
      <c r="P1187" s="26" t="inlineStr">
        <is>
          <t>Yes</t>
        </is>
      </c>
      <c r="Q1187" s="26" t="inlineStr">
        <is>
          <t>No</t>
        </is>
      </c>
      <c r="R1187" s="26" t="inlineStr">
        <is>
          <t>Good finish</t>
        </is>
      </c>
      <c r="S1187" s="26" t="inlineStr">
        <is>
          <t>Yes</t>
        </is>
      </c>
      <c r="T1187" s="27" t="n"/>
      <c r="U1187" s="28" t="inlineStr">
        <is>
          <t>No</t>
        </is>
      </c>
      <c r="V1187" s="29">
        <f>IF(N1187="","",IF(Q1187="Yes","❌ Disc",IF(P1187="No","⚠ Missing",IF(S1187="Yes","✓ OK","⚠ Check"))))</f>
        <v/>
      </c>
      <c r="W1187" s="65" t="n">
        <v>46248</v>
      </c>
      <c r="X1187" s="30" t="inlineStr">
        <is>
          <t>Sunil CR</t>
        </is>
      </c>
      <c r="Y1187" s="30" t="inlineStr">
        <is>
          <t>Yes</t>
        </is>
      </c>
      <c r="Z1187" s="30" t="n"/>
      <c r="AA1187" s="30" t="inlineStr">
        <is>
          <t>Good finish</t>
        </is>
      </c>
      <c r="AB1187" s="30" t="inlineStr">
        <is>
          <t>Yes</t>
        </is>
      </c>
      <c r="AC1187" s="27" t="n"/>
      <c r="AD1187" s="31" t="inlineStr">
        <is>
          <t>No</t>
        </is>
      </c>
      <c r="AE1187" s="32">
        <f>IF(W1187="","",IF(Z1187="Yes","❌ Disc",IF(Y1187="No","⚠ Missing",IF(AB1187="Yes","✓ OK","⚠ Check"))))</f>
        <v/>
      </c>
      <c r="AF1187" s="33" t="n"/>
      <c r="AG1187" s="33" t="n"/>
      <c r="AH1187" s="33" t="n"/>
      <c r="AI1187" s="33" t="n"/>
      <c r="AJ1187" s="33" t="n"/>
      <c r="AK1187" s="33" t="n"/>
      <c r="AL1187" s="27" t="n"/>
      <c r="AM1187" s="34" t="n"/>
      <c r="AN1187" s="35">
        <f>IF(AF1187="","",IF(AI1187="Yes","❌ Disc",IF(AH1187="No","⚠ Missing",IF(AK1187="Yes","✓ OK","⚠ Check"))))</f>
        <v/>
      </c>
      <c r="AO1187" s="36" t="n"/>
      <c r="AP1187" s="36" t="n"/>
      <c r="AQ1187" s="36" t="n"/>
      <c r="AR1187" s="36" t="n"/>
      <c r="AS1187" s="36" t="n"/>
      <c r="AT1187" s="36" t="n"/>
      <c r="AU1187" s="27" t="n"/>
      <c r="AV1187" s="37" t="n"/>
      <c r="AW1187" s="38">
        <f>IF(AO1187="","",IF(AR1187="Yes","❌ Disc",IF(AQ1187="No","⚠ Missing",IF(AT1187="Yes","✓ OK","⚠ Check"))))</f>
        <v/>
      </c>
    </row>
    <row r="1188" ht="18" customHeight="1" s="46">
      <c r="A1188" s="39" t="n">
        <v>1184</v>
      </c>
      <c r="B1188" s="40" t="inlineStr">
        <is>
          <t>WP MR FUN 110</t>
        </is>
      </c>
      <c r="C1188" s="41" t="inlineStr">
        <is>
          <t>Marshalls - Fun Time Wallpapers - FUN 110</t>
        </is>
      </c>
      <c r="D1188" s="39" t="inlineStr">
        <is>
          <t>Marshalls</t>
        </is>
      </c>
      <c r="E1188" s="43" t="n">
        <v>46125</v>
      </c>
      <c r="F1188" s="26" t="inlineStr">
        <is>
          <t>Sunil CR</t>
        </is>
      </c>
      <c r="G1188" s="26" t="inlineStr">
        <is>
          <t>Yes</t>
        </is>
      </c>
      <c r="H1188" s="26" t="inlineStr">
        <is>
          <t>No</t>
        </is>
      </c>
      <c r="I1188" s="26" t="inlineStr">
        <is>
          <t>Good finish</t>
        </is>
      </c>
      <c r="J1188" s="26" t="inlineStr">
        <is>
          <t>Yes</t>
        </is>
      </c>
      <c r="K1188" s="27" t="n"/>
      <c r="L1188" s="28" t="inlineStr">
        <is>
          <t>No</t>
        </is>
      </c>
      <c r="M1188" s="29">
        <f>IF(E1188="","",IF(H1188="Yes","❌ Disc",IF(G1188="No","⚠ Missing",IF(J1188="Yes","✓ OK","⚠ Check"))))</f>
        <v/>
      </c>
      <c r="N1188" s="43" t="n">
        <v>46193</v>
      </c>
      <c r="O1188" s="26" t="inlineStr">
        <is>
          <t>Sunil CR</t>
        </is>
      </c>
      <c r="P1188" s="26" t="inlineStr">
        <is>
          <t>Yes</t>
        </is>
      </c>
      <c r="Q1188" s="26" t="inlineStr">
        <is>
          <t>No</t>
        </is>
      </c>
      <c r="R1188" s="26" t="inlineStr">
        <is>
          <t>Good finish</t>
        </is>
      </c>
      <c r="S1188" s="26" t="inlineStr">
        <is>
          <t>Yes</t>
        </is>
      </c>
      <c r="T1188" s="27" t="n"/>
      <c r="U1188" s="28" t="inlineStr">
        <is>
          <t>No</t>
        </is>
      </c>
      <c r="V1188" s="29">
        <f>IF(N1188="","",IF(Q1188="Yes","❌ Disc",IF(P1188="No","⚠ Missing",IF(S1188="Yes","✓ OK","⚠ Check"))))</f>
        <v/>
      </c>
      <c r="W1188" s="65" t="n">
        <v>46248</v>
      </c>
      <c r="X1188" s="30" t="inlineStr">
        <is>
          <t>Sunil CR</t>
        </is>
      </c>
      <c r="Y1188" s="30" t="inlineStr">
        <is>
          <t>Yes</t>
        </is>
      </c>
      <c r="Z1188" s="30" t="n"/>
      <c r="AA1188" s="30" t="inlineStr">
        <is>
          <t>Good finish</t>
        </is>
      </c>
      <c r="AB1188" s="30" t="inlineStr">
        <is>
          <t>Yes</t>
        </is>
      </c>
      <c r="AC1188" s="27" t="n"/>
      <c r="AD1188" s="31" t="inlineStr">
        <is>
          <t>No</t>
        </is>
      </c>
      <c r="AE1188" s="32">
        <f>IF(W1188="","",IF(Z1188="Yes","❌ Disc",IF(Y1188="No","⚠ Missing",IF(AB1188="Yes","✓ OK","⚠ Check"))))</f>
        <v/>
      </c>
      <c r="AF1188" s="33" t="n"/>
      <c r="AG1188" s="33" t="n"/>
      <c r="AH1188" s="33" t="n"/>
      <c r="AI1188" s="33" t="n"/>
      <c r="AJ1188" s="33" t="n"/>
      <c r="AK1188" s="33" t="n"/>
      <c r="AL1188" s="27" t="n"/>
      <c r="AM1188" s="34" t="n"/>
      <c r="AN1188" s="35">
        <f>IF(AF1188="","",IF(AI1188="Yes","❌ Disc",IF(AH1188="No","⚠ Missing",IF(AK1188="Yes","✓ OK","⚠ Check"))))</f>
        <v/>
      </c>
      <c r="AO1188" s="36" t="n"/>
      <c r="AP1188" s="36" t="n"/>
      <c r="AQ1188" s="36" t="n"/>
      <c r="AR1188" s="36" t="n"/>
      <c r="AS1188" s="36" t="n"/>
      <c r="AT1188" s="36" t="n"/>
      <c r="AU1188" s="27" t="n"/>
      <c r="AV1188" s="37" t="n"/>
      <c r="AW1188" s="38">
        <f>IF(AO1188="","",IF(AR1188="Yes","❌ Disc",IF(AQ1188="No","⚠ Missing",IF(AT1188="Yes","✓ OK","⚠ Check"))))</f>
        <v/>
      </c>
    </row>
    <row r="1189" ht="18" customHeight="1" s="46">
      <c r="A1189" s="23" t="n">
        <v>1185</v>
      </c>
      <c r="B1189" s="24" t="inlineStr">
        <is>
          <t>WP MR FUN 111</t>
        </is>
      </c>
      <c r="C1189" s="25" t="inlineStr">
        <is>
          <t>Marshalls - Fun Time Wallpapers - FUN 111</t>
        </is>
      </c>
      <c r="D1189" s="23" t="inlineStr">
        <is>
          <t>Marshalls</t>
        </is>
      </c>
      <c r="E1189" s="43" t="n">
        <v>46125</v>
      </c>
      <c r="F1189" s="26" t="inlineStr">
        <is>
          <t>Sunil CR</t>
        </is>
      </c>
      <c r="G1189" s="26" t="inlineStr">
        <is>
          <t>Yes</t>
        </is>
      </c>
      <c r="H1189" s="26" t="inlineStr">
        <is>
          <t>No</t>
        </is>
      </c>
      <c r="I1189" s="26" t="inlineStr">
        <is>
          <t>Good finish</t>
        </is>
      </c>
      <c r="J1189" s="26" t="inlineStr">
        <is>
          <t>Yes</t>
        </is>
      </c>
      <c r="K1189" s="27" t="n"/>
      <c r="L1189" s="28" t="inlineStr">
        <is>
          <t>No</t>
        </is>
      </c>
      <c r="M1189" s="29">
        <f>IF(E1189="","",IF(H1189="Yes","❌ Disc",IF(G1189="No","⚠ Missing",IF(J1189="Yes","✓ OK","⚠ Check"))))</f>
        <v/>
      </c>
      <c r="N1189" s="43" t="n">
        <v>46193</v>
      </c>
      <c r="O1189" s="26" t="inlineStr">
        <is>
          <t>Sunil CR</t>
        </is>
      </c>
      <c r="P1189" s="26" t="inlineStr">
        <is>
          <t>Yes</t>
        </is>
      </c>
      <c r="Q1189" s="26" t="inlineStr">
        <is>
          <t>No</t>
        </is>
      </c>
      <c r="R1189" s="26" t="inlineStr">
        <is>
          <t>Good finish</t>
        </is>
      </c>
      <c r="S1189" s="26" t="inlineStr">
        <is>
          <t>Yes</t>
        </is>
      </c>
      <c r="T1189" s="27" t="n"/>
      <c r="U1189" s="28" t="inlineStr">
        <is>
          <t>No</t>
        </is>
      </c>
      <c r="V1189" s="29">
        <f>IF(N1189="","",IF(Q1189="Yes","❌ Disc",IF(P1189="No","⚠ Missing",IF(S1189="Yes","✓ OK","⚠ Check"))))</f>
        <v/>
      </c>
      <c r="W1189" s="65" t="n">
        <v>46248</v>
      </c>
      <c r="X1189" s="30" t="inlineStr">
        <is>
          <t>Sunil CR</t>
        </is>
      </c>
      <c r="Y1189" s="30" t="inlineStr">
        <is>
          <t>Yes</t>
        </is>
      </c>
      <c r="Z1189" s="30" t="n"/>
      <c r="AA1189" s="30" t="inlineStr">
        <is>
          <t>Good finish</t>
        </is>
      </c>
      <c r="AB1189" s="30" t="inlineStr">
        <is>
          <t>Yes</t>
        </is>
      </c>
      <c r="AC1189" s="27" t="n"/>
      <c r="AD1189" s="31" t="inlineStr">
        <is>
          <t>No</t>
        </is>
      </c>
      <c r="AE1189" s="32">
        <f>IF(W1189="","",IF(Z1189="Yes","❌ Disc",IF(Y1189="No","⚠ Missing",IF(AB1189="Yes","✓ OK","⚠ Check"))))</f>
        <v/>
      </c>
      <c r="AF1189" s="33" t="n"/>
      <c r="AG1189" s="33" t="n"/>
      <c r="AH1189" s="33" t="n"/>
      <c r="AI1189" s="33" t="n"/>
      <c r="AJ1189" s="33" t="n"/>
      <c r="AK1189" s="33" t="n"/>
      <c r="AL1189" s="27" t="n"/>
      <c r="AM1189" s="34" t="n"/>
      <c r="AN1189" s="35">
        <f>IF(AF1189="","",IF(AI1189="Yes","❌ Disc",IF(AH1189="No","⚠ Missing",IF(AK1189="Yes","✓ OK","⚠ Check"))))</f>
        <v/>
      </c>
      <c r="AO1189" s="36" t="n"/>
      <c r="AP1189" s="36" t="n"/>
      <c r="AQ1189" s="36" t="n"/>
      <c r="AR1189" s="36" t="n"/>
      <c r="AS1189" s="36" t="n"/>
      <c r="AT1189" s="36" t="n"/>
      <c r="AU1189" s="27" t="n"/>
      <c r="AV1189" s="37" t="n"/>
      <c r="AW1189" s="38">
        <f>IF(AO1189="","",IF(AR1189="Yes","❌ Disc",IF(AQ1189="No","⚠ Missing",IF(AT1189="Yes","✓ OK","⚠ Check"))))</f>
        <v/>
      </c>
    </row>
    <row r="1190" ht="18" customHeight="1" s="46">
      <c r="A1190" s="39" t="n">
        <v>1186</v>
      </c>
      <c r="B1190" s="40" t="inlineStr">
        <is>
          <t>WP MR FUN 112</t>
        </is>
      </c>
      <c r="C1190" s="41" t="inlineStr">
        <is>
          <t>Marshalls - Fun Time Wallpapers - FUN 112</t>
        </is>
      </c>
      <c r="D1190" s="39" t="inlineStr">
        <is>
          <t>Marshalls</t>
        </is>
      </c>
      <c r="E1190" s="43" t="n">
        <v>46125</v>
      </c>
      <c r="F1190" s="26" t="inlineStr">
        <is>
          <t>Sunil CR</t>
        </is>
      </c>
      <c r="G1190" s="26" t="inlineStr">
        <is>
          <t>Yes</t>
        </is>
      </c>
      <c r="H1190" s="26" t="inlineStr">
        <is>
          <t>No</t>
        </is>
      </c>
      <c r="I1190" s="26" t="inlineStr">
        <is>
          <t>Good finish</t>
        </is>
      </c>
      <c r="J1190" s="26" t="inlineStr">
        <is>
          <t>Yes</t>
        </is>
      </c>
      <c r="K1190" s="27" t="n"/>
      <c r="L1190" s="28" t="inlineStr">
        <is>
          <t>No</t>
        </is>
      </c>
      <c r="M1190" s="29">
        <f>IF(E1190="","",IF(H1190="Yes","❌ Disc",IF(G1190="No","⚠ Missing",IF(J1190="Yes","✓ OK","⚠ Check"))))</f>
        <v/>
      </c>
      <c r="N1190" s="43" t="n">
        <v>46193</v>
      </c>
      <c r="O1190" s="26" t="inlineStr">
        <is>
          <t>Sunil CR</t>
        </is>
      </c>
      <c r="P1190" s="26" t="inlineStr">
        <is>
          <t>Yes</t>
        </is>
      </c>
      <c r="Q1190" s="26" t="inlineStr">
        <is>
          <t>No</t>
        </is>
      </c>
      <c r="R1190" s="26" t="inlineStr">
        <is>
          <t>Good finish</t>
        </is>
      </c>
      <c r="S1190" s="26" t="inlineStr">
        <is>
          <t>Yes</t>
        </is>
      </c>
      <c r="T1190" s="27" t="n"/>
      <c r="U1190" s="28" t="inlineStr">
        <is>
          <t>No</t>
        </is>
      </c>
      <c r="V1190" s="29">
        <f>IF(N1190="","",IF(Q1190="Yes","❌ Disc",IF(P1190="No","⚠ Missing",IF(S1190="Yes","✓ OK","⚠ Check"))))</f>
        <v/>
      </c>
      <c r="W1190" s="65" t="n">
        <v>46248</v>
      </c>
      <c r="X1190" s="30" t="inlineStr">
        <is>
          <t>Sunil CR</t>
        </is>
      </c>
      <c r="Y1190" s="30" t="inlineStr">
        <is>
          <t>Yes</t>
        </is>
      </c>
      <c r="Z1190" s="30" t="n"/>
      <c r="AA1190" s="30" t="inlineStr">
        <is>
          <t>Good finish</t>
        </is>
      </c>
      <c r="AB1190" s="30" t="inlineStr">
        <is>
          <t>Yes</t>
        </is>
      </c>
      <c r="AC1190" s="27" t="n"/>
      <c r="AD1190" s="31" t="inlineStr">
        <is>
          <t>No</t>
        </is>
      </c>
      <c r="AE1190" s="32">
        <f>IF(W1190="","",IF(Z1190="Yes","❌ Disc",IF(Y1190="No","⚠ Missing",IF(AB1190="Yes","✓ OK","⚠ Check"))))</f>
        <v/>
      </c>
      <c r="AF1190" s="33" t="n"/>
      <c r="AG1190" s="33" t="n"/>
      <c r="AH1190" s="33" t="n"/>
      <c r="AI1190" s="33" t="n"/>
      <c r="AJ1190" s="33" t="n"/>
      <c r="AK1190" s="33" t="n"/>
      <c r="AL1190" s="27" t="n"/>
      <c r="AM1190" s="34" t="n"/>
      <c r="AN1190" s="35">
        <f>IF(AF1190="","",IF(AI1190="Yes","❌ Disc",IF(AH1190="No","⚠ Missing",IF(AK1190="Yes","✓ OK","⚠ Check"))))</f>
        <v/>
      </c>
      <c r="AO1190" s="36" t="n"/>
      <c r="AP1190" s="36" t="n"/>
      <c r="AQ1190" s="36" t="n"/>
      <c r="AR1190" s="36" t="n"/>
      <c r="AS1190" s="36" t="n"/>
      <c r="AT1190" s="36" t="n"/>
      <c r="AU1190" s="27" t="n"/>
      <c r="AV1190" s="37" t="n"/>
      <c r="AW1190" s="38">
        <f>IF(AO1190="","",IF(AR1190="Yes","❌ Disc",IF(AQ1190="No","⚠ Missing",IF(AT1190="Yes","✓ OK","⚠ Check"))))</f>
        <v/>
      </c>
    </row>
    <row r="1191" ht="18" customHeight="1" s="46">
      <c r="A1191" s="23" t="n">
        <v>1187</v>
      </c>
      <c r="B1191" s="24" t="inlineStr">
        <is>
          <t>WP MR FUN 113</t>
        </is>
      </c>
      <c r="C1191" s="25" t="inlineStr">
        <is>
          <t>Marshalls - Fun Time Wallpapers - FUN 113</t>
        </is>
      </c>
      <c r="D1191" s="23" t="inlineStr">
        <is>
          <t>Marshalls</t>
        </is>
      </c>
      <c r="E1191" s="43" t="n">
        <v>46125</v>
      </c>
      <c r="F1191" s="26" t="inlineStr">
        <is>
          <t>Sunil CR</t>
        </is>
      </c>
      <c r="G1191" s="26" t="inlineStr">
        <is>
          <t>Yes</t>
        </is>
      </c>
      <c r="H1191" s="26" t="inlineStr">
        <is>
          <t>No</t>
        </is>
      </c>
      <c r="I1191" s="26" t="inlineStr">
        <is>
          <t>Good finish</t>
        </is>
      </c>
      <c r="J1191" s="26" t="inlineStr">
        <is>
          <t>Yes</t>
        </is>
      </c>
      <c r="K1191" s="27" t="n"/>
      <c r="L1191" s="28" t="inlineStr">
        <is>
          <t>No</t>
        </is>
      </c>
      <c r="M1191" s="29">
        <f>IF(E1191="","",IF(H1191="Yes","❌ Disc",IF(G1191="No","⚠ Missing",IF(J1191="Yes","✓ OK","⚠ Check"))))</f>
        <v/>
      </c>
      <c r="N1191" s="43" t="n">
        <v>46193</v>
      </c>
      <c r="O1191" s="26" t="inlineStr">
        <is>
          <t>Sunil CR</t>
        </is>
      </c>
      <c r="P1191" s="26" t="inlineStr">
        <is>
          <t>Yes</t>
        </is>
      </c>
      <c r="Q1191" s="26" t="inlineStr">
        <is>
          <t>No</t>
        </is>
      </c>
      <c r="R1191" s="26" t="inlineStr">
        <is>
          <t>Good finish</t>
        </is>
      </c>
      <c r="S1191" s="26" t="inlineStr">
        <is>
          <t>Yes</t>
        </is>
      </c>
      <c r="T1191" s="27" t="n"/>
      <c r="U1191" s="28" t="inlineStr">
        <is>
          <t>No</t>
        </is>
      </c>
      <c r="V1191" s="29">
        <f>IF(N1191="","",IF(Q1191="Yes","❌ Disc",IF(P1191="No","⚠ Missing",IF(S1191="Yes","✓ OK","⚠ Check"))))</f>
        <v/>
      </c>
      <c r="W1191" s="65" t="n">
        <v>46248</v>
      </c>
      <c r="X1191" s="30" t="inlineStr">
        <is>
          <t>Sunil CR</t>
        </is>
      </c>
      <c r="Y1191" s="30" t="inlineStr">
        <is>
          <t>Yes</t>
        </is>
      </c>
      <c r="Z1191" s="30" t="n"/>
      <c r="AA1191" s="30" t="inlineStr">
        <is>
          <t>Good finish</t>
        </is>
      </c>
      <c r="AB1191" s="30" t="inlineStr">
        <is>
          <t>Yes</t>
        </is>
      </c>
      <c r="AC1191" s="27" t="n"/>
      <c r="AD1191" s="31" t="inlineStr">
        <is>
          <t>No</t>
        </is>
      </c>
      <c r="AE1191" s="32">
        <f>IF(W1191="","",IF(Z1191="Yes","❌ Disc",IF(Y1191="No","⚠ Missing",IF(AB1191="Yes","✓ OK","⚠ Check"))))</f>
        <v/>
      </c>
      <c r="AF1191" s="33" t="n"/>
      <c r="AG1191" s="33" t="n"/>
      <c r="AH1191" s="33" t="n"/>
      <c r="AI1191" s="33" t="n"/>
      <c r="AJ1191" s="33" t="n"/>
      <c r="AK1191" s="33" t="n"/>
      <c r="AL1191" s="27" t="n"/>
      <c r="AM1191" s="34" t="n"/>
      <c r="AN1191" s="35">
        <f>IF(AF1191="","",IF(AI1191="Yes","❌ Disc",IF(AH1191="No","⚠ Missing",IF(AK1191="Yes","✓ OK","⚠ Check"))))</f>
        <v/>
      </c>
      <c r="AO1191" s="36" t="n"/>
      <c r="AP1191" s="36" t="n"/>
      <c r="AQ1191" s="36" t="n"/>
      <c r="AR1191" s="36" t="n"/>
      <c r="AS1191" s="36" t="n"/>
      <c r="AT1191" s="36" t="n"/>
      <c r="AU1191" s="27" t="n"/>
      <c r="AV1191" s="37" t="n"/>
      <c r="AW1191" s="38">
        <f>IF(AO1191="","",IF(AR1191="Yes","❌ Disc",IF(AQ1191="No","⚠ Missing",IF(AT1191="Yes","✓ OK","⚠ Check"))))</f>
        <v/>
      </c>
    </row>
    <row r="1192" ht="18" customHeight="1" s="46">
      <c r="A1192" s="39" t="n">
        <v>1188</v>
      </c>
      <c r="B1192" s="40" t="inlineStr">
        <is>
          <t>WP MR FUN 114</t>
        </is>
      </c>
      <c r="C1192" s="41" t="inlineStr">
        <is>
          <t>Marshalls - Fun Time Wallpapers - FUN 114</t>
        </is>
      </c>
      <c r="D1192" s="39" t="inlineStr">
        <is>
          <t>Marshalls</t>
        </is>
      </c>
      <c r="E1192" s="43" t="n">
        <v>46125</v>
      </c>
      <c r="F1192" s="26" t="inlineStr">
        <is>
          <t>Sunil CR</t>
        </is>
      </c>
      <c r="G1192" s="26" t="inlineStr">
        <is>
          <t>Yes</t>
        </is>
      </c>
      <c r="H1192" s="26" t="inlineStr">
        <is>
          <t>No</t>
        </is>
      </c>
      <c r="I1192" s="26" t="inlineStr">
        <is>
          <t>Good finish</t>
        </is>
      </c>
      <c r="J1192" s="26" t="inlineStr">
        <is>
          <t>Yes</t>
        </is>
      </c>
      <c r="K1192" s="27" t="n"/>
      <c r="L1192" s="28" t="inlineStr">
        <is>
          <t>No</t>
        </is>
      </c>
      <c r="M1192" s="29">
        <f>IF(E1192="","",IF(H1192="Yes","❌ Disc",IF(G1192="No","⚠ Missing",IF(J1192="Yes","✓ OK","⚠ Check"))))</f>
        <v/>
      </c>
      <c r="N1192" s="43" t="n">
        <v>46193</v>
      </c>
      <c r="O1192" s="26" t="inlineStr">
        <is>
          <t>Sunil CR</t>
        </is>
      </c>
      <c r="P1192" s="26" t="inlineStr">
        <is>
          <t>Yes</t>
        </is>
      </c>
      <c r="Q1192" s="26" t="inlineStr">
        <is>
          <t>No</t>
        </is>
      </c>
      <c r="R1192" s="26" t="inlineStr">
        <is>
          <t>Good finish</t>
        </is>
      </c>
      <c r="S1192" s="26" t="inlineStr">
        <is>
          <t>Yes</t>
        </is>
      </c>
      <c r="T1192" s="27" t="n"/>
      <c r="U1192" s="28" t="inlineStr">
        <is>
          <t>No</t>
        </is>
      </c>
      <c r="V1192" s="29">
        <f>IF(N1192="","",IF(Q1192="Yes","❌ Disc",IF(P1192="No","⚠ Missing",IF(S1192="Yes","✓ OK","⚠ Check"))))</f>
        <v/>
      </c>
      <c r="W1192" s="65" t="n">
        <v>46248</v>
      </c>
      <c r="X1192" s="30" t="inlineStr">
        <is>
          <t>Sunil CR</t>
        </is>
      </c>
      <c r="Y1192" s="30" t="inlineStr">
        <is>
          <t>Yes</t>
        </is>
      </c>
      <c r="Z1192" s="30" t="n"/>
      <c r="AA1192" s="30" t="inlineStr">
        <is>
          <t>Good finish</t>
        </is>
      </c>
      <c r="AB1192" s="30" t="inlineStr">
        <is>
          <t>Yes</t>
        </is>
      </c>
      <c r="AC1192" s="27" t="n"/>
      <c r="AD1192" s="31" t="inlineStr">
        <is>
          <t>No</t>
        </is>
      </c>
      <c r="AE1192" s="32">
        <f>IF(W1192="","",IF(Z1192="Yes","❌ Disc",IF(Y1192="No","⚠ Missing",IF(AB1192="Yes","✓ OK","⚠ Check"))))</f>
        <v/>
      </c>
      <c r="AF1192" s="33" t="n"/>
      <c r="AG1192" s="33" t="n"/>
      <c r="AH1192" s="33" t="n"/>
      <c r="AI1192" s="33" t="n"/>
      <c r="AJ1192" s="33" t="n"/>
      <c r="AK1192" s="33" t="n"/>
      <c r="AL1192" s="27" t="n"/>
      <c r="AM1192" s="34" t="n"/>
      <c r="AN1192" s="35">
        <f>IF(AF1192="","",IF(AI1192="Yes","❌ Disc",IF(AH1192="No","⚠ Missing",IF(AK1192="Yes","✓ OK","⚠ Check"))))</f>
        <v/>
      </c>
      <c r="AO1192" s="36" t="n"/>
      <c r="AP1192" s="36" t="n"/>
      <c r="AQ1192" s="36" t="n"/>
      <c r="AR1192" s="36" t="n"/>
      <c r="AS1192" s="36" t="n"/>
      <c r="AT1192" s="36" t="n"/>
      <c r="AU1192" s="27" t="n"/>
      <c r="AV1192" s="37" t="n"/>
      <c r="AW1192" s="38">
        <f>IF(AO1192="","",IF(AR1192="Yes","❌ Disc",IF(AQ1192="No","⚠ Missing",IF(AT1192="Yes","✓ OK","⚠ Check"))))</f>
        <v/>
      </c>
    </row>
    <row r="1193" ht="18" customHeight="1" s="46">
      <c r="A1193" s="23" t="n">
        <v>1189</v>
      </c>
      <c r="B1193" s="24" t="inlineStr">
        <is>
          <t>WP MR FUN 115</t>
        </is>
      </c>
      <c r="C1193" s="25" t="inlineStr">
        <is>
          <t>Marshalls - Fun Time Wallpapers - FUN 115</t>
        </is>
      </c>
      <c r="D1193" s="23" t="inlineStr">
        <is>
          <t>Marshalls</t>
        </is>
      </c>
      <c r="E1193" s="43" t="n">
        <v>46125</v>
      </c>
      <c r="F1193" s="26" t="inlineStr">
        <is>
          <t>Sunil CR</t>
        </is>
      </c>
      <c r="G1193" s="26" t="inlineStr">
        <is>
          <t>Yes</t>
        </is>
      </c>
      <c r="H1193" s="26" t="inlineStr">
        <is>
          <t>No</t>
        </is>
      </c>
      <c r="I1193" s="26" t="inlineStr">
        <is>
          <t>Good finish</t>
        </is>
      </c>
      <c r="J1193" s="26" t="inlineStr">
        <is>
          <t>Yes</t>
        </is>
      </c>
      <c r="K1193" s="27" t="n"/>
      <c r="L1193" s="28" t="inlineStr">
        <is>
          <t>No</t>
        </is>
      </c>
      <c r="M1193" s="29">
        <f>IF(E1193="","",IF(H1193="Yes","❌ Disc",IF(G1193="No","⚠ Missing",IF(J1193="Yes","✓ OK","⚠ Check"))))</f>
        <v/>
      </c>
      <c r="N1193" s="43" t="n">
        <v>46193</v>
      </c>
      <c r="O1193" s="26" t="inlineStr">
        <is>
          <t>Sunil CR</t>
        </is>
      </c>
      <c r="P1193" s="26" t="inlineStr">
        <is>
          <t>Yes</t>
        </is>
      </c>
      <c r="Q1193" s="26" t="inlineStr">
        <is>
          <t>No</t>
        </is>
      </c>
      <c r="R1193" s="26" t="inlineStr">
        <is>
          <t>Good finish</t>
        </is>
      </c>
      <c r="S1193" s="26" t="inlineStr">
        <is>
          <t>Yes</t>
        </is>
      </c>
      <c r="T1193" s="27" t="n"/>
      <c r="U1193" s="28" t="inlineStr">
        <is>
          <t>No</t>
        </is>
      </c>
      <c r="V1193" s="29">
        <f>IF(N1193="","",IF(Q1193="Yes","❌ Disc",IF(P1193="No","⚠ Missing",IF(S1193="Yes","✓ OK","⚠ Check"))))</f>
        <v/>
      </c>
      <c r="W1193" s="65" t="n">
        <v>46248</v>
      </c>
      <c r="X1193" s="30" t="inlineStr">
        <is>
          <t>Sunil CR</t>
        </is>
      </c>
      <c r="Y1193" s="30" t="inlineStr">
        <is>
          <t>Yes</t>
        </is>
      </c>
      <c r="Z1193" s="30" t="n"/>
      <c r="AA1193" s="30" t="inlineStr">
        <is>
          <t>Good finish</t>
        </is>
      </c>
      <c r="AB1193" s="30" t="inlineStr">
        <is>
          <t>Yes</t>
        </is>
      </c>
      <c r="AC1193" s="27" t="n"/>
      <c r="AD1193" s="31" t="inlineStr">
        <is>
          <t>No</t>
        </is>
      </c>
      <c r="AE1193" s="32">
        <f>IF(W1193="","",IF(Z1193="Yes","❌ Disc",IF(Y1193="No","⚠ Missing",IF(AB1193="Yes","✓ OK","⚠ Check"))))</f>
        <v/>
      </c>
      <c r="AF1193" s="33" t="n"/>
      <c r="AG1193" s="33" t="n"/>
      <c r="AH1193" s="33" t="n"/>
      <c r="AI1193" s="33" t="n"/>
      <c r="AJ1193" s="33" t="n"/>
      <c r="AK1193" s="33" t="n"/>
      <c r="AL1193" s="27" t="n"/>
      <c r="AM1193" s="34" t="n"/>
      <c r="AN1193" s="35">
        <f>IF(AF1193="","",IF(AI1193="Yes","❌ Disc",IF(AH1193="No","⚠ Missing",IF(AK1193="Yes","✓ OK","⚠ Check"))))</f>
        <v/>
      </c>
      <c r="AO1193" s="36" t="n"/>
      <c r="AP1193" s="36" t="n"/>
      <c r="AQ1193" s="36" t="n"/>
      <c r="AR1193" s="36" t="n"/>
      <c r="AS1193" s="36" t="n"/>
      <c r="AT1193" s="36" t="n"/>
      <c r="AU1193" s="27" t="n"/>
      <c r="AV1193" s="37" t="n"/>
      <c r="AW1193" s="38">
        <f>IF(AO1193="","",IF(AR1193="Yes","❌ Disc",IF(AQ1193="No","⚠ Missing",IF(AT1193="Yes","✓ OK","⚠ Check"))))</f>
        <v/>
      </c>
    </row>
    <row r="1194" ht="18" customHeight="1" s="46">
      <c r="A1194" s="39" t="n">
        <v>1190</v>
      </c>
      <c r="B1194" s="40" t="inlineStr">
        <is>
          <t>WP MR FUN 116</t>
        </is>
      </c>
      <c r="C1194" s="41" t="inlineStr">
        <is>
          <t>Marshalls - Fun Time Wallpapers - FUN 116</t>
        </is>
      </c>
      <c r="D1194" s="39" t="inlineStr">
        <is>
          <t>Marshalls</t>
        </is>
      </c>
      <c r="E1194" s="43" t="n">
        <v>46125</v>
      </c>
      <c r="F1194" s="26" t="inlineStr">
        <is>
          <t>Sunil CR</t>
        </is>
      </c>
      <c r="G1194" s="26" t="inlineStr">
        <is>
          <t>Yes</t>
        </is>
      </c>
      <c r="H1194" s="26" t="inlineStr">
        <is>
          <t>No</t>
        </is>
      </c>
      <c r="I1194" s="26" t="inlineStr">
        <is>
          <t>Good finish</t>
        </is>
      </c>
      <c r="J1194" s="26" t="inlineStr">
        <is>
          <t>Yes</t>
        </is>
      </c>
      <c r="K1194" s="27" t="n"/>
      <c r="L1194" s="28" t="inlineStr">
        <is>
          <t>No</t>
        </is>
      </c>
      <c r="M1194" s="29">
        <f>IF(E1194="","",IF(H1194="Yes","❌ Disc",IF(G1194="No","⚠ Missing",IF(J1194="Yes","✓ OK","⚠ Check"))))</f>
        <v/>
      </c>
      <c r="N1194" s="43" t="n">
        <v>46193</v>
      </c>
      <c r="O1194" s="26" t="inlineStr">
        <is>
          <t>Sunil CR</t>
        </is>
      </c>
      <c r="P1194" s="26" t="inlineStr">
        <is>
          <t>Yes</t>
        </is>
      </c>
      <c r="Q1194" s="26" t="inlineStr">
        <is>
          <t>No</t>
        </is>
      </c>
      <c r="R1194" s="26" t="inlineStr">
        <is>
          <t>Good finish</t>
        </is>
      </c>
      <c r="S1194" s="26" t="inlineStr">
        <is>
          <t>Yes</t>
        </is>
      </c>
      <c r="T1194" s="27" t="n"/>
      <c r="U1194" s="28" t="inlineStr">
        <is>
          <t>No</t>
        </is>
      </c>
      <c r="V1194" s="29">
        <f>IF(N1194="","",IF(Q1194="Yes","❌ Disc",IF(P1194="No","⚠ Missing",IF(S1194="Yes","✓ OK","⚠ Check"))))</f>
        <v/>
      </c>
      <c r="W1194" s="65" t="n">
        <v>46248</v>
      </c>
      <c r="X1194" s="30" t="inlineStr">
        <is>
          <t>Sunil CR</t>
        </is>
      </c>
      <c r="Y1194" s="30" t="inlineStr">
        <is>
          <t>Yes</t>
        </is>
      </c>
      <c r="Z1194" s="30" t="n"/>
      <c r="AA1194" s="30" t="inlineStr">
        <is>
          <t>Good finish</t>
        </is>
      </c>
      <c r="AB1194" s="30" t="inlineStr">
        <is>
          <t>Yes</t>
        </is>
      </c>
      <c r="AC1194" s="27" t="n"/>
      <c r="AD1194" s="31" t="inlineStr">
        <is>
          <t>No</t>
        </is>
      </c>
      <c r="AE1194" s="32">
        <f>IF(W1194="","",IF(Z1194="Yes","❌ Disc",IF(Y1194="No","⚠ Missing",IF(AB1194="Yes","✓ OK","⚠ Check"))))</f>
        <v/>
      </c>
      <c r="AF1194" s="33" t="n"/>
      <c r="AG1194" s="33" t="n"/>
      <c r="AH1194" s="33" t="n"/>
      <c r="AI1194" s="33" t="n"/>
      <c r="AJ1194" s="33" t="n"/>
      <c r="AK1194" s="33" t="n"/>
      <c r="AL1194" s="27" t="n"/>
      <c r="AM1194" s="34" t="n"/>
      <c r="AN1194" s="35">
        <f>IF(AF1194="","",IF(AI1194="Yes","❌ Disc",IF(AH1194="No","⚠ Missing",IF(AK1194="Yes","✓ OK","⚠ Check"))))</f>
        <v/>
      </c>
      <c r="AO1194" s="36" t="n"/>
      <c r="AP1194" s="36" t="n"/>
      <c r="AQ1194" s="36" t="n"/>
      <c r="AR1194" s="36" t="n"/>
      <c r="AS1194" s="36" t="n"/>
      <c r="AT1194" s="36" t="n"/>
      <c r="AU1194" s="27" t="n"/>
      <c r="AV1194" s="37" t="n"/>
      <c r="AW1194" s="38">
        <f>IF(AO1194="","",IF(AR1194="Yes","❌ Disc",IF(AQ1194="No","⚠ Missing",IF(AT1194="Yes","✓ OK","⚠ Check"))))</f>
        <v/>
      </c>
    </row>
    <row r="1195" ht="18" customHeight="1" s="46">
      <c r="A1195" s="23" t="n">
        <v>1191</v>
      </c>
      <c r="B1195" s="24" t="inlineStr">
        <is>
          <t>WP MR FUN 117</t>
        </is>
      </c>
      <c r="C1195" s="25" t="inlineStr">
        <is>
          <t>Marshalls - Fun Time Wallpapers - FUN 117</t>
        </is>
      </c>
      <c r="D1195" s="23" t="inlineStr">
        <is>
          <t>Marshalls</t>
        </is>
      </c>
      <c r="E1195" s="43" t="n">
        <v>46125</v>
      </c>
      <c r="F1195" s="26" t="inlineStr">
        <is>
          <t>Sunil CR</t>
        </is>
      </c>
      <c r="G1195" s="26" t="inlineStr">
        <is>
          <t>Yes</t>
        </is>
      </c>
      <c r="H1195" s="26" t="inlineStr">
        <is>
          <t>No</t>
        </is>
      </c>
      <c r="I1195" s="26" t="inlineStr">
        <is>
          <t>Good finish</t>
        </is>
      </c>
      <c r="J1195" s="26" t="inlineStr">
        <is>
          <t>Yes</t>
        </is>
      </c>
      <c r="K1195" s="27" t="n"/>
      <c r="L1195" s="28" t="inlineStr">
        <is>
          <t>No</t>
        </is>
      </c>
      <c r="M1195" s="29">
        <f>IF(E1195="","",IF(H1195="Yes","❌ Disc",IF(G1195="No","⚠ Missing",IF(J1195="Yes","✓ OK","⚠ Check"))))</f>
        <v/>
      </c>
      <c r="N1195" s="43" t="n">
        <v>46193</v>
      </c>
      <c r="O1195" s="26" t="inlineStr">
        <is>
          <t>Sunil CR</t>
        </is>
      </c>
      <c r="P1195" s="26" t="inlineStr">
        <is>
          <t>Yes</t>
        </is>
      </c>
      <c r="Q1195" s="26" t="inlineStr">
        <is>
          <t>No</t>
        </is>
      </c>
      <c r="R1195" s="26" t="inlineStr">
        <is>
          <t>Good finish</t>
        </is>
      </c>
      <c r="S1195" s="26" t="inlineStr">
        <is>
          <t>Yes</t>
        </is>
      </c>
      <c r="T1195" s="27" t="n"/>
      <c r="U1195" s="28" t="inlineStr">
        <is>
          <t>No</t>
        </is>
      </c>
      <c r="V1195" s="29">
        <f>IF(N1195="","",IF(Q1195="Yes","❌ Disc",IF(P1195="No","⚠ Missing",IF(S1195="Yes","✓ OK","⚠ Check"))))</f>
        <v/>
      </c>
      <c r="W1195" s="65" t="n">
        <v>46248</v>
      </c>
      <c r="X1195" s="30" t="inlineStr">
        <is>
          <t>Sunil CR</t>
        </is>
      </c>
      <c r="Y1195" s="30" t="inlineStr">
        <is>
          <t>Yes</t>
        </is>
      </c>
      <c r="Z1195" s="30" t="n"/>
      <c r="AA1195" s="30" t="inlineStr">
        <is>
          <t>Good finish</t>
        </is>
      </c>
      <c r="AB1195" s="30" t="inlineStr">
        <is>
          <t>Yes</t>
        </is>
      </c>
      <c r="AC1195" s="27" t="n"/>
      <c r="AD1195" s="31" t="inlineStr">
        <is>
          <t>No</t>
        </is>
      </c>
      <c r="AE1195" s="32">
        <f>IF(W1195="","",IF(Z1195="Yes","❌ Disc",IF(Y1195="No","⚠ Missing",IF(AB1195="Yes","✓ OK","⚠ Check"))))</f>
        <v/>
      </c>
      <c r="AF1195" s="33" t="n"/>
      <c r="AG1195" s="33" t="n"/>
      <c r="AH1195" s="33" t="n"/>
      <c r="AI1195" s="33" t="n"/>
      <c r="AJ1195" s="33" t="n"/>
      <c r="AK1195" s="33" t="n"/>
      <c r="AL1195" s="27" t="n"/>
      <c r="AM1195" s="34" t="n"/>
      <c r="AN1195" s="35">
        <f>IF(AF1195="","",IF(AI1195="Yes","❌ Disc",IF(AH1195="No","⚠ Missing",IF(AK1195="Yes","✓ OK","⚠ Check"))))</f>
        <v/>
      </c>
      <c r="AO1195" s="36" t="n"/>
      <c r="AP1195" s="36" t="n"/>
      <c r="AQ1195" s="36" t="n"/>
      <c r="AR1195" s="36" t="n"/>
      <c r="AS1195" s="36" t="n"/>
      <c r="AT1195" s="36" t="n"/>
      <c r="AU1195" s="27" t="n"/>
      <c r="AV1195" s="37" t="n"/>
      <c r="AW1195" s="38">
        <f>IF(AO1195="","",IF(AR1195="Yes","❌ Disc",IF(AQ1195="No","⚠ Missing",IF(AT1195="Yes","✓ OK","⚠ Check"))))</f>
        <v/>
      </c>
    </row>
    <row r="1196" ht="18" customHeight="1" s="46">
      <c r="A1196" s="39" t="n">
        <v>1192</v>
      </c>
      <c r="B1196" s="40" t="inlineStr">
        <is>
          <t>WP MR FUN 118</t>
        </is>
      </c>
      <c r="C1196" s="41" t="inlineStr">
        <is>
          <t>Marshalls - Fun Time Wallpapers - FUN 118</t>
        </is>
      </c>
      <c r="D1196" s="39" t="inlineStr">
        <is>
          <t>Marshalls</t>
        </is>
      </c>
      <c r="E1196" s="43" t="n">
        <v>46125</v>
      </c>
      <c r="F1196" s="26" t="inlineStr">
        <is>
          <t>Sunil CR</t>
        </is>
      </c>
      <c r="G1196" s="26" t="inlineStr">
        <is>
          <t>Yes</t>
        </is>
      </c>
      <c r="H1196" s="26" t="inlineStr">
        <is>
          <t>No</t>
        </is>
      </c>
      <c r="I1196" s="26" t="inlineStr">
        <is>
          <t>Good finish</t>
        </is>
      </c>
      <c r="J1196" s="26" t="inlineStr">
        <is>
          <t>Yes</t>
        </is>
      </c>
      <c r="K1196" s="27" t="n"/>
      <c r="L1196" s="28" t="inlineStr">
        <is>
          <t>No</t>
        </is>
      </c>
      <c r="M1196" s="29">
        <f>IF(E1196="","",IF(H1196="Yes","❌ Disc",IF(G1196="No","⚠ Missing",IF(J1196="Yes","✓ OK","⚠ Check"))))</f>
        <v/>
      </c>
      <c r="N1196" s="43" t="n">
        <v>46193</v>
      </c>
      <c r="O1196" s="26" t="inlineStr">
        <is>
          <t>Sunil CR</t>
        </is>
      </c>
      <c r="P1196" s="26" t="inlineStr">
        <is>
          <t>Yes</t>
        </is>
      </c>
      <c r="Q1196" s="26" t="inlineStr">
        <is>
          <t>No</t>
        </is>
      </c>
      <c r="R1196" s="26" t="inlineStr">
        <is>
          <t>Good finish</t>
        </is>
      </c>
      <c r="S1196" s="26" t="inlineStr">
        <is>
          <t>Yes</t>
        </is>
      </c>
      <c r="T1196" s="27" t="n"/>
      <c r="U1196" s="28" t="inlineStr">
        <is>
          <t>No</t>
        </is>
      </c>
      <c r="V1196" s="29">
        <f>IF(N1196="","",IF(Q1196="Yes","❌ Disc",IF(P1196="No","⚠ Missing",IF(S1196="Yes","✓ OK","⚠ Check"))))</f>
        <v/>
      </c>
      <c r="W1196" s="65" t="n">
        <v>46248</v>
      </c>
      <c r="X1196" s="30" t="inlineStr">
        <is>
          <t>Sunil CR</t>
        </is>
      </c>
      <c r="Y1196" s="30" t="inlineStr">
        <is>
          <t>Yes</t>
        </is>
      </c>
      <c r="Z1196" s="30" t="n"/>
      <c r="AA1196" s="30" t="inlineStr">
        <is>
          <t>Good finish</t>
        </is>
      </c>
      <c r="AB1196" s="30" t="inlineStr">
        <is>
          <t>Yes</t>
        </is>
      </c>
      <c r="AC1196" s="27" t="n"/>
      <c r="AD1196" s="31" t="inlineStr">
        <is>
          <t>No</t>
        </is>
      </c>
      <c r="AE1196" s="32">
        <f>IF(W1196="","",IF(Z1196="Yes","❌ Disc",IF(Y1196="No","⚠ Missing",IF(AB1196="Yes","✓ OK","⚠ Check"))))</f>
        <v/>
      </c>
      <c r="AF1196" s="33" t="n"/>
      <c r="AG1196" s="33" t="n"/>
      <c r="AH1196" s="33" t="n"/>
      <c r="AI1196" s="33" t="n"/>
      <c r="AJ1196" s="33" t="n"/>
      <c r="AK1196" s="33" t="n"/>
      <c r="AL1196" s="27" t="n"/>
      <c r="AM1196" s="34" t="n"/>
      <c r="AN1196" s="35">
        <f>IF(AF1196="","",IF(AI1196="Yes","❌ Disc",IF(AH1196="No","⚠ Missing",IF(AK1196="Yes","✓ OK","⚠ Check"))))</f>
        <v/>
      </c>
      <c r="AO1196" s="36" t="n"/>
      <c r="AP1196" s="36" t="n"/>
      <c r="AQ1196" s="36" t="n"/>
      <c r="AR1196" s="36" t="n"/>
      <c r="AS1196" s="36" t="n"/>
      <c r="AT1196" s="36" t="n"/>
      <c r="AU1196" s="27" t="n"/>
      <c r="AV1196" s="37" t="n"/>
      <c r="AW1196" s="38">
        <f>IF(AO1196="","",IF(AR1196="Yes","❌ Disc",IF(AQ1196="No","⚠ Missing",IF(AT1196="Yes","✓ OK","⚠ Check"))))</f>
        <v/>
      </c>
    </row>
    <row r="1197" ht="18" customHeight="1" s="46">
      <c r="A1197" s="23" t="n">
        <v>1193</v>
      </c>
      <c r="B1197" s="24" t="inlineStr">
        <is>
          <t>WP MR FUN 119</t>
        </is>
      </c>
      <c r="C1197" s="25" t="inlineStr">
        <is>
          <t>Marshalls - Fun Time Wallpapers - FUN 119</t>
        </is>
      </c>
      <c r="D1197" s="23" t="inlineStr">
        <is>
          <t>Marshalls</t>
        </is>
      </c>
      <c r="E1197" s="43" t="n">
        <v>46125</v>
      </c>
      <c r="F1197" s="26" t="inlineStr">
        <is>
          <t>Sunil CR</t>
        </is>
      </c>
      <c r="G1197" s="26" t="inlineStr">
        <is>
          <t>Yes</t>
        </is>
      </c>
      <c r="H1197" s="26" t="inlineStr">
        <is>
          <t>No</t>
        </is>
      </c>
      <c r="I1197" s="26" t="inlineStr">
        <is>
          <t>Good finish</t>
        </is>
      </c>
      <c r="J1197" s="26" t="inlineStr">
        <is>
          <t>Yes</t>
        </is>
      </c>
      <c r="K1197" s="27" t="n"/>
      <c r="L1197" s="28" t="inlineStr">
        <is>
          <t>No</t>
        </is>
      </c>
      <c r="M1197" s="29">
        <f>IF(E1197="","",IF(H1197="Yes","❌ Disc",IF(G1197="No","⚠ Missing",IF(J1197="Yes","✓ OK","⚠ Check"))))</f>
        <v/>
      </c>
      <c r="N1197" s="43" t="n">
        <v>46193</v>
      </c>
      <c r="O1197" s="26" t="inlineStr">
        <is>
          <t>Sunil CR</t>
        </is>
      </c>
      <c r="P1197" s="26" t="inlineStr">
        <is>
          <t>Yes</t>
        </is>
      </c>
      <c r="Q1197" s="26" t="inlineStr">
        <is>
          <t>No</t>
        </is>
      </c>
      <c r="R1197" s="26" t="inlineStr">
        <is>
          <t>Good finish</t>
        </is>
      </c>
      <c r="S1197" s="26" t="inlineStr">
        <is>
          <t>Yes</t>
        </is>
      </c>
      <c r="T1197" s="27" t="n"/>
      <c r="U1197" s="28" t="inlineStr">
        <is>
          <t>No</t>
        </is>
      </c>
      <c r="V1197" s="29">
        <f>IF(N1197="","",IF(Q1197="Yes","❌ Disc",IF(P1197="No","⚠ Missing",IF(S1197="Yes","✓ OK","⚠ Check"))))</f>
        <v/>
      </c>
      <c r="W1197" s="65" t="n">
        <v>46248</v>
      </c>
      <c r="X1197" s="30" t="inlineStr">
        <is>
          <t>Sunil CR</t>
        </is>
      </c>
      <c r="Y1197" s="30" t="inlineStr">
        <is>
          <t>Yes</t>
        </is>
      </c>
      <c r="Z1197" s="30" t="n"/>
      <c r="AA1197" s="30" t="inlineStr">
        <is>
          <t>Good finish</t>
        </is>
      </c>
      <c r="AB1197" s="30" t="inlineStr">
        <is>
          <t>Yes</t>
        </is>
      </c>
      <c r="AC1197" s="27" t="n"/>
      <c r="AD1197" s="31" t="inlineStr">
        <is>
          <t>No</t>
        </is>
      </c>
      <c r="AE1197" s="32">
        <f>IF(W1197="","",IF(Z1197="Yes","❌ Disc",IF(Y1197="No","⚠ Missing",IF(AB1197="Yes","✓ OK","⚠ Check"))))</f>
        <v/>
      </c>
      <c r="AF1197" s="33" t="n"/>
      <c r="AG1197" s="33" t="n"/>
      <c r="AH1197" s="33" t="n"/>
      <c r="AI1197" s="33" t="n"/>
      <c r="AJ1197" s="33" t="n"/>
      <c r="AK1197" s="33" t="n"/>
      <c r="AL1197" s="27" t="n"/>
      <c r="AM1197" s="34" t="n"/>
      <c r="AN1197" s="35">
        <f>IF(AF1197="","",IF(AI1197="Yes","❌ Disc",IF(AH1197="No","⚠ Missing",IF(AK1197="Yes","✓ OK","⚠ Check"))))</f>
        <v/>
      </c>
      <c r="AO1197" s="36" t="n"/>
      <c r="AP1197" s="36" t="n"/>
      <c r="AQ1197" s="36" t="n"/>
      <c r="AR1197" s="36" t="n"/>
      <c r="AS1197" s="36" t="n"/>
      <c r="AT1197" s="36" t="n"/>
      <c r="AU1197" s="27" t="n"/>
      <c r="AV1197" s="37" t="n"/>
      <c r="AW1197" s="38">
        <f>IF(AO1197="","",IF(AR1197="Yes","❌ Disc",IF(AQ1197="No","⚠ Missing",IF(AT1197="Yes","✓ OK","⚠ Check"))))</f>
        <v/>
      </c>
    </row>
    <row r="1198" ht="18" customHeight="1" s="46">
      <c r="A1198" s="39" t="n">
        <v>1194</v>
      </c>
      <c r="B1198" s="40" t="inlineStr">
        <is>
          <t>WP MR FUN 120</t>
        </is>
      </c>
      <c r="C1198" s="41" t="inlineStr">
        <is>
          <t>Marshalls - Fun Time Wallpapers - FUN 120</t>
        </is>
      </c>
      <c r="D1198" s="39" t="inlineStr">
        <is>
          <t>Marshalls</t>
        </is>
      </c>
      <c r="E1198" s="43" t="n">
        <v>46125</v>
      </c>
      <c r="F1198" s="26" t="inlineStr">
        <is>
          <t>Sunil CR</t>
        </is>
      </c>
      <c r="G1198" s="26" t="inlineStr">
        <is>
          <t>Yes</t>
        </is>
      </c>
      <c r="H1198" s="26" t="inlineStr">
        <is>
          <t>No</t>
        </is>
      </c>
      <c r="I1198" s="26" t="inlineStr">
        <is>
          <t>Good finish</t>
        </is>
      </c>
      <c r="J1198" s="26" t="inlineStr">
        <is>
          <t>Yes</t>
        </is>
      </c>
      <c r="K1198" s="27" t="n"/>
      <c r="L1198" s="28" t="inlineStr">
        <is>
          <t>No</t>
        </is>
      </c>
      <c r="M1198" s="29">
        <f>IF(E1198="","",IF(H1198="Yes","❌ Disc",IF(G1198="No","⚠ Missing",IF(J1198="Yes","✓ OK","⚠ Check"))))</f>
        <v/>
      </c>
      <c r="N1198" s="43" t="n">
        <v>46193</v>
      </c>
      <c r="O1198" s="26" t="inlineStr">
        <is>
          <t>Sunil CR</t>
        </is>
      </c>
      <c r="P1198" s="26" t="inlineStr">
        <is>
          <t>Yes</t>
        </is>
      </c>
      <c r="Q1198" s="26" t="inlineStr">
        <is>
          <t>No</t>
        </is>
      </c>
      <c r="R1198" s="26" t="inlineStr">
        <is>
          <t>Good finish</t>
        </is>
      </c>
      <c r="S1198" s="26" t="inlineStr">
        <is>
          <t>Yes</t>
        </is>
      </c>
      <c r="T1198" s="27" t="n"/>
      <c r="U1198" s="28" t="inlineStr">
        <is>
          <t>No</t>
        </is>
      </c>
      <c r="V1198" s="29">
        <f>IF(N1198="","",IF(Q1198="Yes","❌ Disc",IF(P1198="No","⚠ Missing",IF(S1198="Yes","✓ OK","⚠ Check"))))</f>
        <v/>
      </c>
      <c r="W1198" s="65" t="n">
        <v>46248</v>
      </c>
      <c r="X1198" s="30" t="inlineStr">
        <is>
          <t>Sunil CR</t>
        </is>
      </c>
      <c r="Y1198" s="30" t="inlineStr">
        <is>
          <t>Yes</t>
        </is>
      </c>
      <c r="Z1198" s="30" t="n"/>
      <c r="AA1198" s="30" t="inlineStr">
        <is>
          <t>Good finish</t>
        </is>
      </c>
      <c r="AB1198" s="30" t="inlineStr">
        <is>
          <t>Yes</t>
        </is>
      </c>
      <c r="AC1198" s="27" t="n"/>
      <c r="AD1198" s="31" t="inlineStr">
        <is>
          <t>No</t>
        </is>
      </c>
      <c r="AE1198" s="32">
        <f>IF(W1198="","",IF(Z1198="Yes","❌ Disc",IF(Y1198="No","⚠ Missing",IF(AB1198="Yes","✓ OK","⚠ Check"))))</f>
        <v/>
      </c>
      <c r="AF1198" s="33" t="n"/>
      <c r="AG1198" s="33" t="n"/>
      <c r="AH1198" s="33" t="n"/>
      <c r="AI1198" s="33" t="n"/>
      <c r="AJ1198" s="33" t="n"/>
      <c r="AK1198" s="33" t="n"/>
      <c r="AL1198" s="27" t="n"/>
      <c r="AM1198" s="34" t="n"/>
      <c r="AN1198" s="35">
        <f>IF(AF1198="","",IF(AI1198="Yes","❌ Disc",IF(AH1198="No","⚠ Missing",IF(AK1198="Yes","✓ OK","⚠ Check"))))</f>
        <v/>
      </c>
      <c r="AO1198" s="36" t="n"/>
      <c r="AP1198" s="36" t="n"/>
      <c r="AQ1198" s="36" t="n"/>
      <c r="AR1198" s="36" t="n"/>
      <c r="AS1198" s="36" t="n"/>
      <c r="AT1198" s="36" t="n"/>
      <c r="AU1198" s="27" t="n"/>
      <c r="AV1198" s="37" t="n"/>
      <c r="AW1198" s="38">
        <f>IF(AO1198="","",IF(AR1198="Yes","❌ Disc",IF(AQ1198="No","⚠ Missing",IF(AT1198="Yes","✓ OK","⚠ Check"))))</f>
        <v/>
      </c>
    </row>
    <row r="1199" ht="18" customHeight="1" s="46">
      <c r="A1199" s="23" t="n">
        <v>1195</v>
      </c>
      <c r="B1199" s="24" t="inlineStr">
        <is>
          <t>WP MR FUN 121</t>
        </is>
      </c>
      <c r="C1199" s="25" t="inlineStr">
        <is>
          <t>Marshalls - Fun Time Wallpapers - FUN 121</t>
        </is>
      </c>
      <c r="D1199" s="23" t="inlineStr">
        <is>
          <t>Marshalls</t>
        </is>
      </c>
      <c r="E1199" s="43" t="n">
        <v>46125</v>
      </c>
      <c r="F1199" s="26" t="inlineStr">
        <is>
          <t>Sunil CR</t>
        </is>
      </c>
      <c r="G1199" s="26" t="inlineStr">
        <is>
          <t>Yes</t>
        </is>
      </c>
      <c r="H1199" s="26" t="inlineStr">
        <is>
          <t>No</t>
        </is>
      </c>
      <c r="I1199" s="26" t="inlineStr">
        <is>
          <t>Good finish</t>
        </is>
      </c>
      <c r="J1199" s="26" t="inlineStr">
        <is>
          <t>Yes</t>
        </is>
      </c>
      <c r="K1199" s="27" t="n"/>
      <c r="L1199" s="28" t="inlineStr">
        <is>
          <t>No</t>
        </is>
      </c>
      <c r="M1199" s="29">
        <f>IF(E1199="","",IF(H1199="Yes","❌ Disc",IF(G1199="No","⚠ Missing",IF(J1199="Yes","✓ OK","⚠ Check"))))</f>
        <v/>
      </c>
      <c r="N1199" s="43" t="n">
        <v>46193</v>
      </c>
      <c r="O1199" s="26" t="inlineStr">
        <is>
          <t>Sunil CR</t>
        </is>
      </c>
      <c r="P1199" s="26" t="inlineStr">
        <is>
          <t>Yes</t>
        </is>
      </c>
      <c r="Q1199" s="26" t="inlineStr">
        <is>
          <t>No</t>
        </is>
      </c>
      <c r="R1199" s="26" t="inlineStr">
        <is>
          <t>Good finish</t>
        </is>
      </c>
      <c r="S1199" s="26" t="inlineStr">
        <is>
          <t>Yes</t>
        </is>
      </c>
      <c r="T1199" s="27" t="n"/>
      <c r="U1199" s="28" t="inlineStr">
        <is>
          <t>No</t>
        </is>
      </c>
      <c r="V1199" s="29">
        <f>IF(N1199="","",IF(Q1199="Yes","❌ Disc",IF(P1199="No","⚠ Missing",IF(S1199="Yes","✓ OK","⚠ Check"))))</f>
        <v/>
      </c>
      <c r="W1199" s="65" t="n">
        <v>46248</v>
      </c>
      <c r="X1199" s="30" t="inlineStr">
        <is>
          <t>Sunil CR</t>
        </is>
      </c>
      <c r="Y1199" s="30" t="inlineStr">
        <is>
          <t>Yes</t>
        </is>
      </c>
      <c r="Z1199" s="30" t="n"/>
      <c r="AA1199" s="30" t="inlineStr">
        <is>
          <t>Good finish</t>
        </is>
      </c>
      <c r="AB1199" s="30" t="inlineStr">
        <is>
          <t>Yes</t>
        </is>
      </c>
      <c r="AC1199" s="27" t="n"/>
      <c r="AD1199" s="31" t="inlineStr">
        <is>
          <t>No</t>
        </is>
      </c>
      <c r="AE1199" s="32">
        <f>IF(W1199="","",IF(Z1199="Yes","❌ Disc",IF(Y1199="No","⚠ Missing",IF(AB1199="Yes","✓ OK","⚠ Check"))))</f>
        <v/>
      </c>
      <c r="AF1199" s="33" t="n"/>
      <c r="AG1199" s="33" t="n"/>
      <c r="AH1199" s="33" t="n"/>
      <c r="AI1199" s="33" t="n"/>
      <c r="AJ1199" s="33" t="n"/>
      <c r="AK1199" s="33" t="n"/>
      <c r="AL1199" s="27" t="n"/>
      <c r="AM1199" s="34" t="n"/>
      <c r="AN1199" s="35">
        <f>IF(AF1199="","",IF(AI1199="Yes","❌ Disc",IF(AH1199="No","⚠ Missing",IF(AK1199="Yes","✓ OK","⚠ Check"))))</f>
        <v/>
      </c>
      <c r="AO1199" s="36" t="n"/>
      <c r="AP1199" s="36" t="n"/>
      <c r="AQ1199" s="36" t="n"/>
      <c r="AR1199" s="36" t="n"/>
      <c r="AS1199" s="36" t="n"/>
      <c r="AT1199" s="36" t="n"/>
      <c r="AU1199" s="27" t="n"/>
      <c r="AV1199" s="37" t="n"/>
      <c r="AW1199" s="38">
        <f>IF(AO1199="","",IF(AR1199="Yes","❌ Disc",IF(AQ1199="No","⚠ Missing",IF(AT1199="Yes","✓ OK","⚠ Check"))))</f>
        <v/>
      </c>
    </row>
    <row r="1200" ht="18" customHeight="1" s="46">
      <c r="A1200" s="39" t="n">
        <v>1196</v>
      </c>
      <c r="B1200" s="40" t="inlineStr">
        <is>
          <t>WP MR FUN 122</t>
        </is>
      </c>
      <c r="C1200" s="41" t="inlineStr">
        <is>
          <t>Marshalls - Fun Time Wallpapers - FUN 122</t>
        </is>
      </c>
      <c r="D1200" s="39" t="inlineStr">
        <is>
          <t>Marshalls</t>
        </is>
      </c>
      <c r="E1200" s="43" t="n">
        <v>46125</v>
      </c>
      <c r="F1200" s="26" t="inlineStr">
        <is>
          <t>Sunil CR</t>
        </is>
      </c>
      <c r="G1200" s="26" t="inlineStr">
        <is>
          <t>Yes</t>
        </is>
      </c>
      <c r="H1200" s="26" t="inlineStr">
        <is>
          <t>No</t>
        </is>
      </c>
      <c r="I1200" s="26" t="inlineStr">
        <is>
          <t>Good finish</t>
        </is>
      </c>
      <c r="J1200" s="26" t="inlineStr">
        <is>
          <t>Yes</t>
        </is>
      </c>
      <c r="K1200" s="27" t="n"/>
      <c r="L1200" s="28" t="inlineStr">
        <is>
          <t>No</t>
        </is>
      </c>
      <c r="M1200" s="29">
        <f>IF(E1200="","",IF(H1200="Yes","❌ Disc",IF(G1200="No","⚠ Missing",IF(J1200="Yes","✓ OK","⚠ Check"))))</f>
        <v/>
      </c>
      <c r="N1200" s="43" t="n">
        <v>46193</v>
      </c>
      <c r="O1200" s="26" t="inlineStr">
        <is>
          <t>Sunil CR</t>
        </is>
      </c>
      <c r="P1200" s="26" t="inlineStr">
        <is>
          <t>Yes</t>
        </is>
      </c>
      <c r="Q1200" s="26" t="inlineStr">
        <is>
          <t>No</t>
        </is>
      </c>
      <c r="R1200" s="26" t="inlineStr">
        <is>
          <t>Good finish</t>
        </is>
      </c>
      <c r="S1200" s="26" t="inlineStr">
        <is>
          <t>Yes</t>
        </is>
      </c>
      <c r="T1200" s="27" t="n"/>
      <c r="U1200" s="28" t="inlineStr">
        <is>
          <t>No</t>
        </is>
      </c>
      <c r="V1200" s="29">
        <f>IF(N1200="","",IF(Q1200="Yes","❌ Disc",IF(P1200="No","⚠ Missing",IF(S1200="Yes","✓ OK","⚠ Check"))))</f>
        <v/>
      </c>
      <c r="W1200" s="65" t="n">
        <v>46248</v>
      </c>
      <c r="X1200" s="30" t="inlineStr">
        <is>
          <t>Sunil CR</t>
        </is>
      </c>
      <c r="Y1200" s="30" t="inlineStr">
        <is>
          <t>Yes</t>
        </is>
      </c>
      <c r="Z1200" s="30" t="n"/>
      <c r="AA1200" s="30" t="inlineStr">
        <is>
          <t>Good finish</t>
        </is>
      </c>
      <c r="AB1200" s="30" t="inlineStr">
        <is>
          <t>Yes</t>
        </is>
      </c>
      <c r="AC1200" s="27" t="n"/>
      <c r="AD1200" s="31" t="inlineStr">
        <is>
          <t>No</t>
        </is>
      </c>
      <c r="AE1200" s="32">
        <f>IF(W1200="","",IF(Z1200="Yes","❌ Disc",IF(Y1200="No","⚠ Missing",IF(AB1200="Yes","✓ OK","⚠ Check"))))</f>
        <v/>
      </c>
      <c r="AF1200" s="33" t="n"/>
      <c r="AG1200" s="33" t="n"/>
      <c r="AH1200" s="33" t="n"/>
      <c r="AI1200" s="33" t="n"/>
      <c r="AJ1200" s="33" t="n"/>
      <c r="AK1200" s="33" t="n"/>
      <c r="AL1200" s="27" t="n"/>
      <c r="AM1200" s="34" t="n"/>
      <c r="AN1200" s="35">
        <f>IF(AF1200="","",IF(AI1200="Yes","❌ Disc",IF(AH1200="No","⚠ Missing",IF(AK1200="Yes","✓ OK","⚠ Check"))))</f>
        <v/>
      </c>
      <c r="AO1200" s="36" t="n"/>
      <c r="AP1200" s="36" t="n"/>
      <c r="AQ1200" s="36" t="n"/>
      <c r="AR1200" s="36" t="n"/>
      <c r="AS1200" s="36" t="n"/>
      <c r="AT1200" s="36" t="n"/>
      <c r="AU1200" s="27" t="n"/>
      <c r="AV1200" s="37" t="n"/>
      <c r="AW1200" s="38">
        <f>IF(AO1200="","",IF(AR1200="Yes","❌ Disc",IF(AQ1200="No","⚠ Missing",IF(AT1200="Yes","✓ OK","⚠ Check"))))</f>
        <v/>
      </c>
    </row>
    <row r="1201" ht="18" customHeight="1" s="46">
      <c r="A1201" s="23" t="n">
        <v>1197</v>
      </c>
      <c r="B1201" s="24" t="inlineStr">
        <is>
          <t>WP MR FUN 123</t>
        </is>
      </c>
      <c r="C1201" s="25" t="inlineStr">
        <is>
          <t>Marshalls - Fun Time Wallpapers - FUN 123</t>
        </is>
      </c>
      <c r="D1201" s="23" t="inlineStr">
        <is>
          <t>Marshalls</t>
        </is>
      </c>
      <c r="E1201" s="43" t="n">
        <v>46125</v>
      </c>
      <c r="F1201" s="26" t="inlineStr">
        <is>
          <t>Sunil CR</t>
        </is>
      </c>
      <c r="G1201" s="26" t="inlineStr">
        <is>
          <t>Yes</t>
        </is>
      </c>
      <c r="H1201" s="26" t="inlineStr">
        <is>
          <t>No</t>
        </is>
      </c>
      <c r="I1201" s="26" t="inlineStr">
        <is>
          <t>Good finish</t>
        </is>
      </c>
      <c r="J1201" s="26" t="inlineStr">
        <is>
          <t>Yes</t>
        </is>
      </c>
      <c r="K1201" s="27" t="n"/>
      <c r="L1201" s="28" t="inlineStr">
        <is>
          <t>No</t>
        </is>
      </c>
      <c r="M1201" s="29">
        <f>IF(E1201="","",IF(H1201="Yes","❌ Disc",IF(G1201="No","⚠ Missing",IF(J1201="Yes","✓ OK","⚠ Check"))))</f>
        <v/>
      </c>
      <c r="N1201" s="43" t="n">
        <v>46193</v>
      </c>
      <c r="O1201" s="26" t="inlineStr">
        <is>
          <t>Sunil CR</t>
        </is>
      </c>
      <c r="P1201" s="26" t="inlineStr">
        <is>
          <t>Yes</t>
        </is>
      </c>
      <c r="Q1201" s="26" t="inlineStr">
        <is>
          <t>No</t>
        </is>
      </c>
      <c r="R1201" s="26" t="inlineStr">
        <is>
          <t>Good finish</t>
        </is>
      </c>
      <c r="S1201" s="26" t="inlineStr">
        <is>
          <t>Yes</t>
        </is>
      </c>
      <c r="T1201" s="27" t="n"/>
      <c r="U1201" s="28" t="inlineStr">
        <is>
          <t>No</t>
        </is>
      </c>
      <c r="V1201" s="29">
        <f>IF(N1201="","",IF(Q1201="Yes","❌ Disc",IF(P1201="No","⚠ Missing",IF(S1201="Yes","✓ OK","⚠ Check"))))</f>
        <v/>
      </c>
      <c r="W1201" s="65" t="n">
        <v>46248</v>
      </c>
      <c r="X1201" s="30" t="inlineStr">
        <is>
          <t>Sunil CR</t>
        </is>
      </c>
      <c r="Y1201" s="30" t="inlineStr">
        <is>
          <t>Yes</t>
        </is>
      </c>
      <c r="Z1201" s="30" t="n"/>
      <c r="AA1201" s="30" t="inlineStr">
        <is>
          <t>Good finish</t>
        </is>
      </c>
      <c r="AB1201" s="30" t="inlineStr">
        <is>
          <t>Yes</t>
        </is>
      </c>
      <c r="AC1201" s="27" t="n"/>
      <c r="AD1201" s="31" t="inlineStr">
        <is>
          <t>No</t>
        </is>
      </c>
      <c r="AE1201" s="32">
        <f>IF(W1201="","",IF(Z1201="Yes","❌ Disc",IF(Y1201="No","⚠ Missing",IF(AB1201="Yes","✓ OK","⚠ Check"))))</f>
        <v/>
      </c>
      <c r="AF1201" s="33" t="n"/>
      <c r="AG1201" s="33" t="n"/>
      <c r="AH1201" s="33" t="n"/>
      <c r="AI1201" s="33" t="n"/>
      <c r="AJ1201" s="33" t="n"/>
      <c r="AK1201" s="33" t="n"/>
      <c r="AL1201" s="27" t="n"/>
      <c r="AM1201" s="34" t="n"/>
      <c r="AN1201" s="35">
        <f>IF(AF1201="","",IF(AI1201="Yes","❌ Disc",IF(AH1201="No","⚠ Missing",IF(AK1201="Yes","✓ OK","⚠ Check"))))</f>
        <v/>
      </c>
      <c r="AO1201" s="36" t="n"/>
      <c r="AP1201" s="36" t="n"/>
      <c r="AQ1201" s="36" t="n"/>
      <c r="AR1201" s="36" t="n"/>
      <c r="AS1201" s="36" t="n"/>
      <c r="AT1201" s="36" t="n"/>
      <c r="AU1201" s="27" t="n"/>
      <c r="AV1201" s="37" t="n"/>
      <c r="AW1201" s="38">
        <f>IF(AO1201="","",IF(AR1201="Yes","❌ Disc",IF(AQ1201="No","⚠ Missing",IF(AT1201="Yes","✓ OK","⚠ Check"))))</f>
        <v/>
      </c>
    </row>
    <row r="1202" ht="18" customHeight="1" s="46">
      <c r="A1202" s="39" t="n">
        <v>1198</v>
      </c>
      <c r="B1202" s="40" t="inlineStr">
        <is>
          <t>WP MR FUN 124</t>
        </is>
      </c>
      <c r="C1202" s="41" t="inlineStr">
        <is>
          <t>Marshalls - Fun Time Wallpapers - FUN 124</t>
        </is>
      </c>
      <c r="D1202" s="39" t="inlineStr">
        <is>
          <t>Marshalls</t>
        </is>
      </c>
      <c r="E1202" s="43" t="n">
        <v>46125</v>
      </c>
      <c r="F1202" s="26" t="inlineStr">
        <is>
          <t>Sunil CR</t>
        </is>
      </c>
      <c r="G1202" s="26" t="inlineStr">
        <is>
          <t>Yes</t>
        </is>
      </c>
      <c r="H1202" s="26" t="inlineStr">
        <is>
          <t>No</t>
        </is>
      </c>
      <c r="I1202" s="26" t="inlineStr">
        <is>
          <t>Good finish</t>
        </is>
      </c>
      <c r="J1202" s="26" t="inlineStr">
        <is>
          <t>Yes</t>
        </is>
      </c>
      <c r="K1202" s="27" t="n"/>
      <c r="L1202" s="28" t="inlineStr">
        <is>
          <t>No</t>
        </is>
      </c>
      <c r="M1202" s="29">
        <f>IF(E1202="","",IF(H1202="Yes","❌ Disc",IF(G1202="No","⚠ Missing",IF(J1202="Yes","✓ OK","⚠ Check"))))</f>
        <v/>
      </c>
      <c r="N1202" s="43" t="n">
        <v>46193</v>
      </c>
      <c r="O1202" s="26" t="inlineStr">
        <is>
          <t>Sunil CR</t>
        </is>
      </c>
      <c r="P1202" s="26" t="inlineStr">
        <is>
          <t>Yes</t>
        </is>
      </c>
      <c r="Q1202" s="26" t="inlineStr">
        <is>
          <t>No</t>
        </is>
      </c>
      <c r="R1202" s="26" t="inlineStr">
        <is>
          <t>Good finish</t>
        </is>
      </c>
      <c r="S1202" s="26" t="inlineStr">
        <is>
          <t>Yes</t>
        </is>
      </c>
      <c r="T1202" s="27" t="n"/>
      <c r="U1202" s="28" t="inlineStr">
        <is>
          <t>No</t>
        </is>
      </c>
      <c r="V1202" s="29">
        <f>IF(N1202="","",IF(Q1202="Yes","❌ Disc",IF(P1202="No","⚠ Missing",IF(S1202="Yes","✓ OK","⚠ Check"))))</f>
        <v/>
      </c>
      <c r="W1202" s="65" t="n">
        <v>46248</v>
      </c>
      <c r="X1202" s="30" t="inlineStr">
        <is>
          <t>Sunil CR</t>
        </is>
      </c>
      <c r="Y1202" s="30" t="inlineStr">
        <is>
          <t>Yes</t>
        </is>
      </c>
      <c r="Z1202" s="30" t="n"/>
      <c r="AA1202" s="30" t="inlineStr">
        <is>
          <t>Good finish</t>
        </is>
      </c>
      <c r="AB1202" s="30" t="inlineStr">
        <is>
          <t>Yes</t>
        </is>
      </c>
      <c r="AC1202" s="27" t="n"/>
      <c r="AD1202" s="31" t="inlineStr">
        <is>
          <t>No</t>
        </is>
      </c>
      <c r="AE1202" s="32">
        <f>IF(W1202="","",IF(Z1202="Yes","❌ Disc",IF(Y1202="No","⚠ Missing",IF(AB1202="Yes","✓ OK","⚠ Check"))))</f>
        <v/>
      </c>
      <c r="AF1202" s="33" t="n"/>
      <c r="AG1202" s="33" t="n"/>
      <c r="AH1202" s="33" t="n"/>
      <c r="AI1202" s="33" t="n"/>
      <c r="AJ1202" s="33" t="n"/>
      <c r="AK1202" s="33" t="n"/>
      <c r="AL1202" s="27" t="n"/>
      <c r="AM1202" s="34" t="n"/>
      <c r="AN1202" s="35">
        <f>IF(AF1202="","",IF(AI1202="Yes","❌ Disc",IF(AH1202="No","⚠ Missing",IF(AK1202="Yes","✓ OK","⚠ Check"))))</f>
        <v/>
      </c>
      <c r="AO1202" s="36" t="n"/>
      <c r="AP1202" s="36" t="n"/>
      <c r="AQ1202" s="36" t="n"/>
      <c r="AR1202" s="36" t="n"/>
      <c r="AS1202" s="36" t="n"/>
      <c r="AT1202" s="36" t="n"/>
      <c r="AU1202" s="27" t="n"/>
      <c r="AV1202" s="37" t="n"/>
      <c r="AW1202" s="38">
        <f>IF(AO1202="","",IF(AR1202="Yes","❌ Disc",IF(AQ1202="No","⚠ Missing",IF(AT1202="Yes","✓ OK","⚠ Check"))))</f>
        <v/>
      </c>
    </row>
    <row r="1203" ht="18" customHeight="1" s="46">
      <c r="A1203" s="23" t="n">
        <v>1199</v>
      </c>
      <c r="B1203" s="24" t="inlineStr">
        <is>
          <t>WP MR FUN 125</t>
        </is>
      </c>
      <c r="C1203" s="25" t="inlineStr">
        <is>
          <t>Marshalls - Fun Time Wallpapers - FUN 125</t>
        </is>
      </c>
      <c r="D1203" s="23" t="inlineStr">
        <is>
          <t>Marshalls</t>
        </is>
      </c>
      <c r="E1203" s="43" t="n">
        <v>46125</v>
      </c>
      <c r="F1203" s="26" t="inlineStr">
        <is>
          <t>Sunil CR</t>
        </is>
      </c>
      <c r="G1203" s="26" t="inlineStr">
        <is>
          <t>Yes</t>
        </is>
      </c>
      <c r="H1203" s="26" t="inlineStr">
        <is>
          <t>No</t>
        </is>
      </c>
      <c r="I1203" s="26" t="inlineStr">
        <is>
          <t>Good finish</t>
        </is>
      </c>
      <c r="J1203" s="26" t="inlineStr">
        <is>
          <t>Yes</t>
        </is>
      </c>
      <c r="K1203" s="27" t="n"/>
      <c r="L1203" s="28" t="inlineStr">
        <is>
          <t>No</t>
        </is>
      </c>
      <c r="M1203" s="29">
        <f>IF(E1203="","",IF(H1203="Yes","❌ Disc",IF(G1203="No","⚠ Missing",IF(J1203="Yes","✓ OK","⚠ Check"))))</f>
        <v/>
      </c>
      <c r="N1203" s="43" t="n">
        <v>46193</v>
      </c>
      <c r="O1203" s="26" t="inlineStr">
        <is>
          <t>Sunil CR</t>
        </is>
      </c>
      <c r="P1203" s="26" t="inlineStr">
        <is>
          <t>Yes</t>
        </is>
      </c>
      <c r="Q1203" s="26" t="inlineStr">
        <is>
          <t>No</t>
        </is>
      </c>
      <c r="R1203" s="26" t="inlineStr">
        <is>
          <t>Good finish</t>
        </is>
      </c>
      <c r="S1203" s="26" t="inlineStr">
        <is>
          <t>Yes</t>
        </is>
      </c>
      <c r="T1203" s="27" t="n"/>
      <c r="U1203" s="28" t="inlineStr">
        <is>
          <t>No</t>
        </is>
      </c>
      <c r="V1203" s="29">
        <f>IF(N1203="","",IF(Q1203="Yes","❌ Disc",IF(P1203="No","⚠ Missing",IF(S1203="Yes","✓ OK","⚠ Check"))))</f>
        <v/>
      </c>
      <c r="W1203" s="65" t="n">
        <v>46248</v>
      </c>
      <c r="X1203" s="30" t="inlineStr">
        <is>
          <t>Sunil CR</t>
        </is>
      </c>
      <c r="Y1203" s="30" t="inlineStr">
        <is>
          <t>Yes</t>
        </is>
      </c>
      <c r="Z1203" s="30" t="n"/>
      <c r="AA1203" s="30" t="inlineStr">
        <is>
          <t>Good finish</t>
        </is>
      </c>
      <c r="AB1203" s="30" t="inlineStr">
        <is>
          <t>Yes</t>
        </is>
      </c>
      <c r="AC1203" s="27" t="n"/>
      <c r="AD1203" s="31" t="inlineStr">
        <is>
          <t>No</t>
        </is>
      </c>
      <c r="AE1203" s="32">
        <f>IF(W1203="","",IF(Z1203="Yes","❌ Disc",IF(Y1203="No","⚠ Missing",IF(AB1203="Yes","✓ OK","⚠ Check"))))</f>
        <v/>
      </c>
      <c r="AF1203" s="33" t="n"/>
      <c r="AG1203" s="33" t="n"/>
      <c r="AH1203" s="33" t="n"/>
      <c r="AI1203" s="33" t="n"/>
      <c r="AJ1203" s="33" t="n"/>
      <c r="AK1203" s="33" t="n"/>
      <c r="AL1203" s="27" t="n"/>
      <c r="AM1203" s="34" t="n"/>
      <c r="AN1203" s="35">
        <f>IF(AF1203="","",IF(AI1203="Yes","❌ Disc",IF(AH1203="No","⚠ Missing",IF(AK1203="Yes","✓ OK","⚠ Check"))))</f>
        <v/>
      </c>
      <c r="AO1203" s="36" t="n"/>
      <c r="AP1203" s="36" t="n"/>
      <c r="AQ1203" s="36" t="n"/>
      <c r="AR1203" s="36" t="n"/>
      <c r="AS1203" s="36" t="n"/>
      <c r="AT1203" s="36" t="n"/>
      <c r="AU1203" s="27" t="n"/>
      <c r="AV1203" s="37" t="n"/>
      <c r="AW1203" s="38">
        <f>IF(AO1203="","",IF(AR1203="Yes","❌ Disc",IF(AQ1203="No","⚠ Missing",IF(AT1203="Yes","✓ OK","⚠ Check"))))</f>
        <v/>
      </c>
    </row>
    <row r="1204" ht="18" customHeight="1" s="46">
      <c r="A1204" s="39" t="n">
        <v>1200</v>
      </c>
      <c r="B1204" s="40" t="inlineStr">
        <is>
          <t>WP MR FUN 126</t>
        </is>
      </c>
      <c r="C1204" s="41" t="inlineStr">
        <is>
          <t>Marshalls - Fun Time Wallpapers - FUN 126</t>
        </is>
      </c>
      <c r="D1204" s="39" t="inlineStr">
        <is>
          <t>Marshalls</t>
        </is>
      </c>
      <c r="E1204" s="43" t="n">
        <v>46125</v>
      </c>
      <c r="F1204" s="26" t="inlineStr">
        <is>
          <t>Sunil CR</t>
        </is>
      </c>
      <c r="G1204" s="26" t="inlineStr">
        <is>
          <t>Yes</t>
        </is>
      </c>
      <c r="H1204" s="26" t="inlineStr">
        <is>
          <t>No</t>
        </is>
      </c>
      <c r="I1204" s="26" t="inlineStr">
        <is>
          <t>Good finish</t>
        </is>
      </c>
      <c r="J1204" s="26" t="inlineStr">
        <is>
          <t>Yes</t>
        </is>
      </c>
      <c r="K1204" s="27" t="n"/>
      <c r="L1204" s="28" t="inlineStr">
        <is>
          <t>No</t>
        </is>
      </c>
      <c r="M1204" s="29">
        <f>IF(E1204="","",IF(H1204="Yes","❌ Disc",IF(G1204="No","⚠ Missing",IF(J1204="Yes","✓ OK","⚠ Check"))))</f>
        <v/>
      </c>
      <c r="N1204" s="43" t="n">
        <v>46193</v>
      </c>
      <c r="O1204" s="26" t="inlineStr">
        <is>
          <t>Sunil CR</t>
        </is>
      </c>
      <c r="P1204" s="26" t="inlineStr">
        <is>
          <t>Yes</t>
        </is>
      </c>
      <c r="Q1204" s="26" t="inlineStr">
        <is>
          <t>No</t>
        </is>
      </c>
      <c r="R1204" s="26" t="inlineStr">
        <is>
          <t>Good finish</t>
        </is>
      </c>
      <c r="S1204" s="26" t="inlineStr">
        <is>
          <t>Yes</t>
        </is>
      </c>
      <c r="T1204" s="27" t="n"/>
      <c r="U1204" s="28" t="inlineStr">
        <is>
          <t>No</t>
        </is>
      </c>
      <c r="V1204" s="29">
        <f>IF(N1204="","",IF(Q1204="Yes","❌ Disc",IF(P1204="No","⚠ Missing",IF(S1204="Yes","✓ OK","⚠ Check"))))</f>
        <v/>
      </c>
      <c r="W1204" s="65" t="n">
        <v>46248</v>
      </c>
      <c r="X1204" s="30" t="inlineStr">
        <is>
          <t>Sunil CR</t>
        </is>
      </c>
      <c r="Y1204" s="30" t="inlineStr">
        <is>
          <t>Yes</t>
        </is>
      </c>
      <c r="Z1204" s="30" t="n"/>
      <c r="AA1204" s="30" t="inlineStr">
        <is>
          <t>Good finish</t>
        </is>
      </c>
      <c r="AB1204" s="30" t="inlineStr">
        <is>
          <t>Yes</t>
        </is>
      </c>
      <c r="AC1204" s="27" t="n"/>
      <c r="AD1204" s="31" t="inlineStr">
        <is>
          <t>No</t>
        </is>
      </c>
      <c r="AE1204" s="32">
        <f>IF(W1204="","",IF(Z1204="Yes","❌ Disc",IF(Y1204="No","⚠ Missing",IF(AB1204="Yes","✓ OK","⚠ Check"))))</f>
        <v/>
      </c>
      <c r="AF1204" s="33" t="n"/>
      <c r="AG1204" s="33" t="n"/>
      <c r="AH1204" s="33" t="n"/>
      <c r="AI1204" s="33" t="n"/>
      <c r="AJ1204" s="33" t="n"/>
      <c r="AK1204" s="33" t="n"/>
      <c r="AL1204" s="27" t="n"/>
      <c r="AM1204" s="34" t="n"/>
      <c r="AN1204" s="35">
        <f>IF(AF1204="","",IF(AI1204="Yes","❌ Disc",IF(AH1204="No","⚠ Missing",IF(AK1204="Yes","✓ OK","⚠ Check"))))</f>
        <v/>
      </c>
      <c r="AO1204" s="36" t="n"/>
      <c r="AP1204" s="36" t="n"/>
      <c r="AQ1204" s="36" t="n"/>
      <c r="AR1204" s="36" t="n"/>
      <c r="AS1204" s="36" t="n"/>
      <c r="AT1204" s="36" t="n"/>
      <c r="AU1204" s="27" t="n"/>
      <c r="AV1204" s="37" t="n"/>
      <c r="AW1204" s="38">
        <f>IF(AO1204="","",IF(AR1204="Yes","❌ Disc",IF(AQ1204="No","⚠ Missing",IF(AT1204="Yes","✓ OK","⚠ Check"))))</f>
        <v/>
      </c>
    </row>
    <row r="1205" ht="18" customHeight="1" s="46">
      <c r="A1205" s="23" t="n">
        <v>1201</v>
      </c>
      <c r="B1205" s="24" t="inlineStr">
        <is>
          <t>WP MR FUN 127</t>
        </is>
      </c>
      <c r="C1205" s="25" t="inlineStr">
        <is>
          <t>Marshalls - Fun Time Wallpapers - FUN 127</t>
        </is>
      </c>
      <c r="D1205" s="23" t="inlineStr">
        <is>
          <t>Marshalls</t>
        </is>
      </c>
      <c r="E1205" s="43" t="n">
        <v>46125</v>
      </c>
      <c r="F1205" s="26" t="inlineStr">
        <is>
          <t>Sunil CR</t>
        </is>
      </c>
      <c r="G1205" s="26" t="inlineStr">
        <is>
          <t>Yes</t>
        </is>
      </c>
      <c r="H1205" s="26" t="inlineStr">
        <is>
          <t>No</t>
        </is>
      </c>
      <c r="I1205" s="26" t="inlineStr">
        <is>
          <t>Good finish</t>
        </is>
      </c>
      <c r="J1205" s="26" t="inlineStr">
        <is>
          <t>Yes</t>
        </is>
      </c>
      <c r="K1205" s="27" t="n"/>
      <c r="L1205" s="28" t="inlineStr">
        <is>
          <t>No</t>
        </is>
      </c>
      <c r="M1205" s="29">
        <f>IF(E1205="","",IF(H1205="Yes","❌ Disc",IF(G1205="No","⚠ Missing",IF(J1205="Yes","✓ OK","⚠ Check"))))</f>
        <v/>
      </c>
      <c r="N1205" s="43" t="n">
        <v>46193</v>
      </c>
      <c r="O1205" s="26" t="inlineStr">
        <is>
          <t>Sunil CR</t>
        </is>
      </c>
      <c r="P1205" s="26" t="inlineStr">
        <is>
          <t>Yes</t>
        </is>
      </c>
      <c r="Q1205" s="26" t="inlineStr">
        <is>
          <t>No</t>
        </is>
      </c>
      <c r="R1205" s="26" t="inlineStr">
        <is>
          <t>Good finish</t>
        </is>
      </c>
      <c r="S1205" s="26" t="inlineStr">
        <is>
          <t>Yes</t>
        </is>
      </c>
      <c r="T1205" s="27" t="n"/>
      <c r="U1205" s="28" t="inlineStr">
        <is>
          <t>No</t>
        </is>
      </c>
      <c r="V1205" s="29">
        <f>IF(N1205="","",IF(Q1205="Yes","❌ Disc",IF(P1205="No","⚠ Missing",IF(S1205="Yes","✓ OK","⚠ Check"))))</f>
        <v/>
      </c>
      <c r="W1205" s="65" t="n">
        <v>46248</v>
      </c>
      <c r="X1205" s="30" t="inlineStr">
        <is>
          <t>Sunil CR</t>
        </is>
      </c>
      <c r="Y1205" s="30" t="inlineStr">
        <is>
          <t>Yes</t>
        </is>
      </c>
      <c r="Z1205" s="30" t="n"/>
      <c r="AA1205" s="30" t="inlineStr">
        <is>
          <t>Good finish</t>
        </is>
      </c>
      <c r="AB1205" s="30" t="inlineStr">
        <is>
          <t>Yes</t>
        </is>
      </c>
      <c r="AC1205" s="27" t="n"/>
      <c r="AD1205" s="31" t="inlineStr">
        <is>
          <t>No</t>
        </is>
      </c>
      <c r="AE1205" s="32">
        <f>IF(W1205="","",IF(Z1205="Yes","❌ Disc",IF(Y1205="No","⚠ Missing",IF(AB1205="Yes","✓ OK","⚠ Check"))))</f>
        <v/>
      </c>
      <c r="AF1205" s="33" t="n"/>
      <c r="AG1205" s="33" t="n"/>
      <c r="AH1205" s="33" t="n"/>
      <c r="AI1205" s="33" t="n"/>
      <c r="AJ1205" s="33" t="n"/>
      <c r="AK1205" s="33" t="n"/>
      <c r="AL1205" s="27" t="n"/>
      <c r="AM1205" s="34" t="n"/>
      <c r="AN1205" s="35">
        <f>IF(AF1205="","",IF(AI1205="Yes","❌ Disc",IF(AH1205="No","⚠ Missing",IF(AK1205="Yes","✓ OK","⚠ Check"))))</f>
        <v/>
      </c>
      <c r="AO1205" s="36" t="n"/>
      <c r="AP1205" s="36" t="n"/>
      <c r="AQ1205" s="36" t="n"/>
      <c r="AR1205" s="36" t="n"/>
      <c r="AS1205" s="36" t="n"/>
      <c r="AT1205" s="36" t="n"/>
      <c r="AU1205" s="27" t="n"/>
      <c r="AV1205" s="37" t="n"/>
      <c r="AW1205" s="38">
        <f>IF(AO1205="","",IF(AR1205="Yes","❌ Disc",IF(AQ1205="No","⚠ Missing",IF(AT1205="Yes","✓ OK","⚠ Check"))))</f>
        <v/>
      </c>
    </row>
    <row r="1206" ht="18" customHeight="1" s="46">
      <c r="A1206" s="39" t="n">
        <v>1202</v>
      </c>
      <c r="B1206" s="40" t="inlineStr">
        <is>
          <t>WP MR FUN 128</t>
        </is>
      </c>
      <c r="C1206" s="41" t="inlineStr">
        <is>
          <t>Marshalls - Fun Time Wallpapers - FUN 128</t>
        </is>
      </c>
      <c r="D1206" s="39" t="inlineStr">
        <is>
          <t>Marshalls</t>
        </is>
      </c>
      <c r="E1206" s="43" t="n">
        <v>46125</v>
      </c>
      <c r="F1206" s="26" t="inlineStr">
        <is>
          <t>Sunil CR</t>
        </is>
      </c>
      <c r="G1206" s="26" t="inlineStr">
        <is>
          <t>Yes</t>
        </is>
      </c>
      <c r="H1206" s="26" t="inlineStr">
        <is>
          <t>No</t>
        </is>
      </c>
      <c r="I1206" s="26" t="inlineStr">
        <is>
          <t>Good finish</t>
        </is>
      </c>
      <c r="J1206" s="26" t="inlineStr">
        <is>
          <t>Yes</t>
        </is>
      </c>
      <c r="K1206" s="27" t="n"/>
      <c r="L1206" s="28" t="inlineStr">
        <is>
          <t>No</t>
        </is>
      </c>
      <c r="M1206" s="29">
        <f>IF(E1206="","",IF(H1206="Yes","❌ Disc",IF(G1206="No","⚠ Missing",IF(J1206="Yes","✓ OK","⚠ Check"))))</f>
        <v/>
      </c>
      <c r="N1206" s="43" t="n">
        <v>46193</v>
      </c>
      <c r="O1206" s="26" t="inlineStr">
        <is>
          <t>Sunil CR</t>
        </is>
      </c>
      <c r="P1206" s="26" t="inlineStr">
        <is>
          <t>Yes</t>
        </is>
      </c>
      <c r="Q1206" s="26" t="inlineStr">
        <is>
          <t>No</t>
        </is>
      </c>
      <c r="R1206" s="26" t="inlineStr">
        <is>
          <t>Good finish</t>
        </is>
      </c>
      <c r="S1206" s="26" t="inlineStr">
        <is>
          <t>Yes</t>
        </is>
      </c>
      <c r="T1206" s="27" t="n"/>
      <c r="U1206" s="28" t="inlineStr">
        <is>
          <t>No</t>
        </is>
      </c>
      <c r="V1206" s="29">
        <f>IF(N1206="","",IF(Q1206="Yes","❌ Disc",IF(P1206="No","⚠ Missing",IF(S1206="Yes","✓ OK","⚠ Check"))))</f>
        <v/>
      </c>
      <c r="W1206" s="65" t="n">
        <v>46248</v>
      </c>
      <c r="X1206" s="30" t="inlineStr">
        <is>
          <t>Sunil CR</t>
        </is>
      </c>
      <c r="Y1206" s="30" t="inlineStr">
        <is>
          <t>Yes</t>
        </is>
      </c>
      <c r="Z1206" s="30" t="n"/>
      <c r="AA1206" s="30" t="inlineStr">
        <is>
          <t>Good finish</t>
        </is>
      </c>
      <c r="AB1206" s="30" t="inlineStr">
        <is>
          <t>Yes</t>
        </is>
      </c>
      <c r="AC1206" s="27" t="n"/>
      <c r="AD1206" s="31" t="inlineStr">
        <is>
          <t>No</t>
        </is>
      </c>
      <c r="AE1206" s="32">
        <f>IF(W1206="","",IF(Z1206="Yes","❌ Disc",IF(Y1206="No","⚠ Missing",IF(AB1206="Yes","✓ OK","⚠ Check"))))</f>
        <v/>
      </c>
      <c r="AF1206" s="33" t="n"/>
      <c r="AG1206" s="33" t="n"/>
      <c r="AH1206" s="33" t="n"/>
      <c r="AI1206" s="33" t="n"/>
      <c r="AJ1206" s="33" t="n"/>
      <c r="AK1206" s="33" t="n"/>
      <c r="AL1206" s="27" t="n"/>
      <c r="AM1206" s="34" t="n"/>
      <c r="AN1206" s="35">
        <f>IF(AF1206="","",IF(AI1206="Yes","❌ Disc",IF(AH1206="No","⚠ Missing",IF(AK1206="Yes","✓ OK","⚠ Check"))))</f>
        <v/>
      </c>
      <c r="AO1206" s="36" t="n"/>
      <c r="AP1206" s="36" t="n"/>
      <c r="AQ1206" s="36" t="n"/>
      <c r="AR1206" s="36" t="n"/>
      <c r="AS1206" s="36" t="n"/>
      <c r="AT1206" s="36" t="n"/>
      <c r="AU1206" s="27" t="n"/>
      <c r="AV1206" s="37" t="n"/>
      <c r="AW1206" s="38">
        <f>IF(AO1206="","",IF(AR1206="Yes","❌ Disc",IF(AQ1206="No","⚠ Missing",IF(AT1206="Yes","✓ OK","⚠ Check"))))</f>
        <v/>
      </c>
    </row>
    <row r="1207" ht="18" customHeight="1" s="46">
      <c r="A1207" s="23" t="n">
        <v>1203</v>
      </c>
      <c r="B1207" s="24" t="inlineStr">
        <is>
          <t>WP MR FUN 129</t>
        </is>
      </c>
      <c r="C1207" s="25" t="inlineStr">
        <is>
          <t>Marshalls - Fun Time Wallpapers - FUN 129</t>
        </is>
      </c>
      <c r="D1207" s="23" t="inlineStr">
        <is>
          <t>Marshalls</t>
        </is>
      </c>
      <c r="E1207" s="43" t="n">
        <v>46125</v>
      </c>
      <c r="F1207" s="26" t="inlineStr">
        <is>
          <t>Sunil CR</t>
        </is>
      </c>
      <c r="G1207" s="26" t="inlineStr">
        <is>
          <t>Yes</t>
        </is>
      </c>
      <c r="H1207" s="26" t="inlineStr">
        <is>
          <t>No</t>
        </is>
      </c>
      <c r="I1207" s="26" t="inlineStr">
        <is>
          <t>Good finish</t>
        </is>
      </c>
      <c r="J1207" s="26" t="inlineStr">
        <is>
          <t>Yes</t>
        </is>
      </c>
      <c r="K1207" s="27" t="n"/>
      <c r="L1207" s="28" t="inlineStr">
        <is>
          <t>No</t>
        </is>
      </c>
      <c r="M1207" s="29">
        <f>IF(E1207="","",IF(H1207="Yes","❌ Disc",IF(G1207="No","⚠ Missing",IF(J1207="Yes","✓ OK","⚠ Check"))))</f>
        <v/>
      </c>
      <c r="N1207" s="43" t="n">
        <v>46193</v>
      </c>
      <c r="O1207" s="26" t="inlineStr">
        <is>
          <t>Sunil CR</t>
        </is>
      </c>
      <c r="P1207" s="26" t="inlineStr">
        <is>
          <t>Yes</t>
        </is>
      </c>
      <c r="Q1207" s="26" t="inlineStr">
        <is>
          <t>No</t>
        </is>
      </c>
      <c r="R1207" s="26" t="inlineStr">
        <is>
          <t>Good finish</t>
        </is>
      </c>
      <c r="S1207" s="26" t="inlineStr">
        <is>
          <t>Yes</t>
        </is>
      </c>
      <c r="T1207" s="27" t="n"/>
      <c r="U1207" s="28" t="inlineStr">
        <is>
          <t>No</t>
        </is>
      </c>
      <c r="V1207" s="29">
        <f>IF(N1207="","",IF(Q1207="Yes","❌ Disc",IF(P1207="No","⚠ Missing",IF(S1207="Yes","✓ OK","⚠ Check"))))</f>
        <v/>
      </c>
      <c r="W1207" s="65" t="n">
        <v>46248</v>
      </c>
      <c r="X1207" s="30" t="inlineStr">
        <is>
          <t>Sunil CR</t>
        </is>
      </c>
      <c r="Y1207" s="30" t="inlineStr">
        <is>
          <t>Yes</t>
        </is>
      </c>
      <c r="Z1207" s="30" t="n"/>
      <c r="AA1207" s="30" t="inlineStr">
        <is>
          <t>Good finish</t>
        </is>
      </c>
      <c r="AB1207" s="30" t="inlineStr">
        <is>
          <t>Yes</t>
        </is>
      </c>
      <c r="AC1207" s="27" t="n"/>
      <c r="AD1207" s="31" t="inlineStr">
        <is>
          <t>No</t>
        </is>
      </c>
      <c r="AE1207" s="32">
        <f>IF(W1207="","",IF(Z1207="Yes","❌ Disc",IF(Y1207="No","⚠ Missing",IF(AB1207="Yes","✓ OK","⚠ Check"))))</f>
        <v/>
      </c>
      <c r="AF1207" s="33" t="n"/>
      <c r="AG1207" s="33" t="n"/>
      <c r="AH1207" s="33" t="n"/>
      <c r="AI1207" s="33" t="n"/>
      <c r="AJ1207" s="33" t="n"/>
      <c r="AK1207" s="33" t="n"/>
      <c r="AL1207" s="27" t="n"/>
      <c r="AM1207" s="34" t="n"/>
      <c r="AN1207" s="35">
        <f>IF(AF1207="","",IF(AI1207="Yes","❌ Disc",IF(AH1207="No","⚠ Missing",IF(AK1207="Yes","✓ OK","⚠ Check"))))</f>
        <v/>
      </c>
      <c r="AO1207" s="36" t="n"/>
      <c r="AP1207" s="36" t="n"/>
      <c r="AQ1207" s="36" t="n"/>
      <c r="AR1207" s="36" t="n"/>
      <c r="AS1207" s="36" t="n"/>
      <c r="AT1207" s="36" t="n"/>
      <c r="AU1207" s="27" t="n"/>
      <c r="AV1207" s="37" t="n"/>
      <c r="AW1207" s="38">
        <f>IF(AO1207="","",IF(AR1207="Yes","❌ Disc",IF(AQ1207="No","⚠ Missing",IF(AT1207="Yes","✓ OK","⚠ Check"))))</f>
        <v/>
      </c>
    </row>
    <row r="1208" ht="18" customHeight="1" s="46">
      <c r="A1208" s="39" t="n">
        <v>1204</v>
      </c>
      <c r="B1208" s="40" t="inlineStr">
        <is>
          <t>WP MR FUN 130</t>
        </is>
      </c>
      <c r="C1208" s="41" t="inlineStr">
        <is>
          <t>Marshalls - Fun Time Wallpapers - FUN 130</t>
        </is>
      </c>
      <c r="D1208" s="39" t="inlineStr">
        <is>
          <t>Marshalls</t>
        </is>
      </c>
      <c r="E1208" s="43" t="n">
        <v>46125</v>
      </c>
      <c r="F1208" s="26" t="inlineStr">
        <is>
          <t>Sunil CR</t>
        </is>
      </c>
      <c r="G1208" s="26" t="inlineStr">
        <is>
          <t>Yes</t>
        </is>
      </c>
      <c r="H1208" s="26" t="inlineStr">
        <is>
          <t>No</t>
        </is>
      </c>
      <c r="I1208" s="26" t="inlineStr">
        <is>
          <t>Good finish</t>
        </is>
      </c>
      <c r="J1208" s="26" t="inlineStr">
        <is>
          <t>Yes</t>
        </is>
      </c>
      <c r="K1208" s="27" t="n"/>
      <c r="L1208" s="28" t="inlineStr">
        <is>
          <t>No</t>
        </is>
      </c>
      <c r="M1208" s="29">
        <f>IF(E1208="","",IF(H1208="Yes","❌ Disc",IF(G1208="No","⚠ Missing",IF(J1208="Yes","✓ OK","⚠ Check"))))</f>
        <v/>
      </c>
      <c r="N1208" s="43" t="n">
        <v>46193</v>
      </c>
      <c r="O1208" s="26" t="inlineStr">
        <is>
          <t>Sunil CR</t>
        </is>
      </c>
      <c r="P1208" s="26" t="inlineStr">
        <is>
          <t>Yes</t>
        </is>
      </c>
      <c r="Q1208" s="26" t="inlineStr">
        <is>
          <t>No</t>
        </is>
      </c>
      <c r="R1208" s="26" t="inlineStr">
        <is>
          <t>Good finish</t>
        </is>
      </c>
      <c r="S1208" s="26" t="inlineStr">
        <is>
          <t>Yes</t>
        </is>
      </c>
      <c r="T1208" s="27" t="n"/>
      <c r="U1208" s="28" t="inlineStr">
        <is>
          <t>No</t>
        </is>
      </c>
      <c r="V1208" s="29">
        <f>IF(N1208="","",IF(Q1208="Yes","❌ Disc",IF(P1208="No","⚠ Missing",IF(S1208="Yes","✓ OK","⚠ Check"))))</f>
        <v/>
      </c>
      <c r="W1208" s="65" t="n">
        <v>46248</v>
      </c>
      <c r="X1208" s="30" t="inlineStr">
        <is>
          <t>Sunil CR</t>
        </is>
      </c>
      <c r="Y1208" s="30" t="inlineStr">
        <is>
          <t>Yes</t>
        </is>
      </c>
      <c r="Z1208" s="30" t="n"/>
      <c r="AA1208" s="30" t="inlineStr">
        <is>
          <t>Good finish</t>
        </is>
      </c>
      <c r="AB1208" s="30" t="inlineStr">
        <is>
          <t>Yes</t>
        </is>
      </c>
      <c r="AC1208" s="27" t="n"/>
      <c r="AD1208" s="31" t="inlineStr">
        <is>
          <t>No</t>
        </is>
      </c>
      <c r="AE1208" s="32">
        <f>IF(W1208="","",IF(Z1208="Yes","❌ Disc",IF(Y1208="No","⚠ Missing",IF(AB1208="Yes","✓ OK","⚠ Check"))))</f>
        <v/>
      </c>
      <c r="AF1208" s="33" t="n"/>
      <c r="AG1208" s="33" t="n"/>
      <c r="AH1208" s="33" t="n"/>
      <c r="AI1208" s="33" t="n"/>
      <c r="AJ1208" s="33" t="n"/>
      <c r="AK1208" s="33" t="n"/>
      <c r="AL1208" s="27" t="n"/>
      <c r="AM1208" s="34" t="n"/>
      <c r="AN1208" s="35">
        <f>IF(AF1208="","",IF(AI1208="Yes","❌ Disc",IF(AH1208="No","⚠ Missing",IF(AK1208="Yes","✓ OK","⚠ Check"))))</f>
        <v/>
      </c>
      <c r="AO1208" s="36" t="n"/>
      <c r="AP1208" s="36" t="n"/>
      <c r="AQ1208" s="36" t="n"/>
      <c r="AR1208" s="36" t="n"/>
      <c r="AS1208" s="36" t="n"/>
      <c r="AT1208" s="36" t="n"/>
      <c r="AU1208" s="27" t="n"/>
      <c r="AV1208" s="37" t="n"/>
      <c r="AW1208" s="38">
        <f>IF(AO1208="","",IF(AR1208="Yes","❌ Disc",IF(AQ1208="No","⚠ Missing",IF(AT1208="Yes","✓ OK","⚠ Check"))))</f>
        <v/>
      </c>
    </row>
    <row r="1209" ht="18" customHeight="1" s="46">
      <c r="A1209" s="23" t="n">
        <v>1205</v>
      </c>
      <c r="B1209" s="24" t="inlineStr">
        <is>
          <t>WP MR FUN 131</t>
        </is>
      </c>
      <c r="C1209" s="25" t="inlineStr">
        <is>
          <t>Marshalls - Fun Time Wallpapers - FUN 131</t>
        </is>
      </c>
      <c r="D1209" s="23" t="inlineStr">
        <is>
          <t>Marshalls</t>
        </is>
      </c>
      <c r="E1209" s="43" t="n">
        <v>46125</v>
      </c>
      <c r="F1209" s="26" t="inlineStr">
        <is>
          <t>Sunil CR</t>
        </is>
      </c>
      <c r="G1209" s="26" t="inlineStr">
        <is>
          <t>Yes</t>
        </is>
      </c>
      <c r="H1209" s="26" t="inlineStr">
        <is>
          <t>No</t>
        </is>
      </c>
      <c r="I1209" s="26" t="inlineStr">
        <is>
          <t>Good finish</t>
        </is>
      </c>
      <c r="J1209" s="26" t="inlineStr">
        <is>
          <t>Yes</t>
        </is>
      </c>
      <c r="K1209" s="27" t="n"/>
      <c r="L1209" s="28" t="inlineStr">
        <is>
          <t>No</t>
        </is>
      </c>
      <c r="M1209" s="29">
        <f>IF(E1209="","",IF(H1209="Yes","❌ Disc",IF(G1209="No","⚠ Missing",IF(J1209="Yes","✓ OK","⚠ Check"))))</f>
        <v/>
      </c>
      <c r="N1209" s="43" t="n">
        <v>46193</v>
      </c>
      <c r="O1209" s="26" t="inlineStr">
        <is>
          <t>Sunil CR</t>
        </is>
      </c>
      <c r="P1209" s="26" t="inlineStr">
        <is>
          <t>Yes</t>
        </is>
      </c>
      <c r="Q1209" s="26" t="inlineStr">
        <is>
          <t>No</t>
        </is>
      </c>
      <c r="R1209" s="26" t="inlineStr">
        <is>
          <t>Good finish</t>
        </is>
      </c>
      <c r="S1209" s="26" t="inlineStr">
        <is>
          <t>Yes</t>
        </is>
      </c>
      <c r="T1209" s="27" t="n"/>
      <c r="U1209" s="28" t="inlineStr">
        <is>
          <t>No</t>
        </is>
      </c>
      <c r="V1209" s="29">
        <f>IF(N1209="","",IF(Q1209="Yes","❌ Disc",IF(P1209="No","⚠ Missing",IF(S1209="Yes","✓ OK","⚠ Check"))))</f>
        <v/>
      </c>
      <c r="W1209" s="65" t="n">
        <v>46248</v>
      </c>
      <c r="X1209" s="30" t="inlineStr">
        <is>
          <t>Sunil CR</t>
        </is>
      </c>
      <c r="Y1209" s="30" t="inlineStr">
        <is>
          <t>Yes</t>
        </is>
      </c>
      <c r="Z1209" s="30" t="n"/>
      <c r="AA1209" s="30" t="inlineStr">
        <is>
          <t>Good finish</t>
        </is>
      </c>
      <c r="AB1209" s="30" t="inlineStr">
        <is>
          <t>Yes</t>
        </is>
      </c>
      <c r="AC1209" s="27" t="n"/>
      <c r="AD1209" s="31" t="inlineStr">
        <is>
          <t>No</t>
        </is>
      </c>
      <c r="AE1209" s="32">
        <f>IF(W1209="","",IF(Z1209="Yes","❌ Disc",IF(Y1209="No","⚠ Missing",IF(AB1209="Yes","✓ OK","⚠ Check"))))</f>
        <v/>
      </c>
      <c r="AF1209" s="33" t="n"/>
      <c r="AG1209" s="33" t="n"/>
      <c r="AH1209" s="33" t="n"/>
      <c r="AI1209" s="33" t="n"/>
      <c r="AJ1209" s="33" t="n"/>
      <c r="AK1209" s="33" t="n"/>
      <c r="AL1209" s="27" t="n"/>
      <c r="AM1209" s="34" t="n"/>
      <c r="AN1209" s="35">
        <f>IF(AF1209="","",IF(AI1209="Yes","❌ Disc",IF(AH1209="No","⚠ Missing",IF(AK1209="Yes","✓ OK","⚠ Check"))))</f>
        <v/>
      </c>
      <c r="AO1209" s="36" t="n"/>
      <c r="AP1209" s="36" t="n"/>
      <c r="AQ1209" s="36" t="n"/>
      <c r="AR1209" s="36" t="n"/>
      <c r="AS1209" s="36" t="n"/>
      <c r="AT1209" s="36" t="n"/>
      <c r="AU1209" s="27" t="n"/>
      <c r="AV1209" s="37" t="n"/>
      <c r="AW1209" s="38">
        <f>IF(AO1209="","",IF(AR1209="Yes","❌ Disc",IF(AQ1209="No","⚠ Missing",IF(AT1209="Yes","✓ OK","⚠ Check"))))</f>
        <v/>
      </c>
    </row>
    <row r="1210" ht="18" customHeight="1" s="46">
      <c r="A1210" s="39" t="n">
        <v>1206</v>
      </c>
      <c r="B1210" s="40" t="inlineStr">
        <is>
          <t>WP MR FUN 132</t>
        </is>
      </c>
      <c r="C1210" s="41" t="inlineStr">
        <is>
          <t>Marshalls - Fun Time Wallpapers - FUN 132</t>
        </is>
      </c>
      <c r="D1210" s="39" t="inlineStr">
        <is>
          <t>Marshalls</t>
        </is>
      </c>
      <c r="E1210" s="43" t="n">
        <v>46125</v>
      </c>
      <c r="F1210" s="26" t="inlineStr">
        <is>
          <t>Sunil CR</t>
        </is>
      </c>
      <c r="G1210" s="26" t="inlineStr">
        <is>
          <t>Yes</t>
        </is>
      </c>
      <c r="H1210" s="26" t="inlineStr">
        <is>
          <t>No</t>
        </is>
      </c>
      <c r="I1210" s="26" t="inlineStr">
        <is>
          <t>Good finish</t>
        </is>
      </c>
      <c r="J1210" s="26" t="inlineStr">
        <is>
          <t>Yes</t>
        </is>
      </c>
      <c r="K1210" s="27" t="n"/>
      <c r="L1210" s="28" t="inlineStr">
        <is>
          <t>No</t>
        </is>
      </c>
      <c r="M1210" s="29">
        <f>IF(E1210="","",IF(H1210="Yes","❌ Disc",IF(G1210="No","⚠ Missing",IF(J1210="Yes","✓ OK","⚠ Check"))))</f>
        <v/>
      </c>
      <c r="N1210" s="43" t="n">
        <v>46193</v>
      </c>
      <c r="O1210" s="26" t="inlineStr">
        <is>
          <t>Sunil CR</t>
        </is>
      </c>
      <c r="P1210" s="26" t="inlineStr">
        <is>
          <t>Yes</t>
        </is>
      </c>
      <c r="Q1210" s="26" t="inlineStr">
        <is>
          <t>No</t>
        </is>
      </c>
      <c r="R1210" s="26" t="inlineStr">
        <is>
          <t>Good finish</t>
        </is>
      </c>
      <c r="S1210" s="26" t="inlineStr">
        <is>
          <t>Yes</t>
        </is>
      </c>
      <c r="T1210" s="27" t="n"/>
      <c r="U1210" s="28" t="inlineStr">
        <is>
          <t>No</t>
        </is>
      </c>
      <c r="V1210" s="29">
        <f>IF(N1210="","",IF(Q1210="Yes","❌ Disc",IF(P1210="No","⚠ Missing",IF(S1210="Yes","✓ OK","⚠ Check"))))</f>
        <v/>
      </c>
      <c r="W1210" s="65" t="n">
        <v>46248</v>
      </c>
      <c r="X1210" s="30" t="inlineStr">
        <is>
          <t>Sunil CR</t>
        </is>
      </c>
      <c r="Y1210" s="30" t="inlineStr">
        <is>
          <t>Yes</t>
        </is>
      </c>
      <c r="Z1210" s="30" t="n"/>
      <c r="AA1210" s="30" t="inlineStr">
        <is>
          <t>Good finish</t>
        </is>
      </c>
      <c r="AB1210" s="30" t="inlineStr">
        <is>
          <t>Yes</t>
        </is>
      </c>
      <c r="AC1210" s="27" t="n"/>
      <c r="AD1210" s="31" t="inlineStr">
        <is>
          <t>No</t>
        </is>
      </c>
      <c r="AE1210" s="32">
        <f>IF(W1210="","",IF(Z1210="Yes","❌ Disc",IF(Y1210="No","⚠ Missing",IF(AB1210="Yes","✓ OK","⚠ Check"))))</f>
        <v/>
      </c>
      <c r="AF1210" s="33" t="n"/>
      <c r="AG1210" s="33" t="n"/>
      <c r="AH1210" s="33" t="n"/>
      <c r="AI1210" s="33" t="n"/>
      <c r="AJ1210" s="33" t="n"/>
      <c r="AK1210" s="33" t="n"/>
      <c r="AL1210" s="27" t="n"/>
      <c r="AM1210" s="34" t="n"/>
      <c r="AN1210" s="35">
        <f>IF(AF1210="","",IF(AI1210="Yes","❌ Disc",IF(AH1210="No","⚠ Missing",IF(AK1210="Yes","✓ OK","⚠ Check"))))</f>
        <v/>
      </c>
      <c r="AO1210" s="36" t="n"/>
      <c r="AP1210" s="36" t="n"/>
      <c r="AQ1210" s="36" t="n"/>
      <c r="AR1210" s="36" t="n"/>
      <c r="AS1210" s="36" t="n"/>
      <c r="AT1210" s="36" t="n"/>
      <c r="AU1210" s="27" t="n"/>
      <c r="AV1210" s="37" t="n"/>
      <c r="AW1210" s="38">
        <f>IF(AO1210="","",IF(AR1210="Yes","❌ Disc",IF(AQ1210="No","⚠ Missing",IF(AT1210="Yes","✓ OK","⚠ Check"))))</f>
        <v/>
      </c>
    </row>
    <row r="1211" ht="18" customHeight="1" s="46">
      <c r="A1211" s="23" t="n">
        <v>1207</v>
      </c>
      <c r="B1211" s="24" t="inlineStr">
        <is>
          <t>WP MR FUN 133</t>
        </is>
      </c>
      <c r="C1211" s="25" t="inlineStr">
        <is>
          <t>Marshalls - Fun Time Wallpapers - FUN 133</t>
        </is>
      </c>
      <c r="D1211" s="23" t="inlineStr">
        <is>
          <t>Marshalls</t>
        </is>
      </c>
      <c r="E1211" s="43" t="n">
        <v>46125</v>
      </c>
      <c r="F1211" s="26" t="inlineStr">
        <is>
          <t>Sunil CR</t>
        </is>
      </c>
      <c r="G1211" s="26" t="inlineStr">
        <is>
          <t>Yes</t>
        </is>
      </c>
      <c r="H1211" s="26" t="inlineStr">
        <is>
          <t>No</t>
        </is>
      </c>
      <c r="I1211" s="26" t="inlineStr">
        <is>
          <t>Good finish</t>
        </is>
      </c>
      <c r="J1211" s="26" t="inlineStr">
        <is>
          <t>Yes</t>
        </is>
      </c>
      <c r="K1211" s="27" t="n"/>
      <c r="L1211" s="28" t="inlineStr">
        <is>
          <t>No</t>
        </is>
      </c>
      <c r="M1211" s="29">
        <f>IF(E1211="","",IF(H1211="Yes","❌ Disc",IF(G1211="No","⚠ Missing",IF(J1211="Yes","✓ OK","⚠ Check"))))</f>
        <v/>
      </c>
      <c r="N1211" s="43" t="n">
        <v>46193</v>
      </c>
      <c r="O1211" s="26" t="inlineStr">
        <is>
          <t>Sunil CR</t>
        </is>
      </c>
      <c r="P1211" s="26" t="inlineStr">
        <is>
          <t>Yes</t>
        </is>
      </c>
      <c r="Q1211" s="26" t="inlineStr">
        <is>
          <t>No</t>
        </is>
      </c>
      <c r="R1211" s="26" t="inlineStr">
        <is>
          <t>Good finish</t>
        </is>
      </c>
      <c r="S1211" s="26" t="inlineStr">
        <is>
          <t>Yes</t>
        </is>
      </c>
      <c r="T1211" s="27" t="n"/>
      <c r="U1211" s="28" t="inlineStr">
        <is>
          <t>No</t>
        </is>
      </c>
      <c r="V1211" s="29">
        <f>IF(N1211="","",IF(Q1211="Yes","❌ Disc",IF(P1211="No","⚠ Missing",IF(S1211="Yes","✓ OK","⚠ Check"))))</f>
        <v/>
      </c>
      <c r="W1211" s="65" t="n">
        <v>46248</v>
      </c>
      <c r="X1211" s="30" t="inlineStr">
        <is>
          <t>Sunil CR</t>
        </is>
      </c>
      <c r="Y1211" s="30" t="inlineStr">
        <is>
          <t>Yes</t>
        </is>
      </c>
      <c r="Z1211" s="30" t="n"/>
      <c r="AA1211" s="30" t="inlineStr">
        <is>
          <t>Good finish</t>
        </is>
      </c>
      <c r="AB1211" s="30" t="inlineStr">
        <is>
          <t>Yes</t>
        </is>
      </c>
      <c r="AC1211" s="27" t="n"/>
      <c r="AD1211" s="31" t="inlineStr">
        <is>
          <t>No</t>
        </is>
      </c>
      <c r="AE1211" s="32">
        <f>IF(W1211="","",IF(Z1211="Yes","❌ Disc",IF(Y1211="No","⚠ Missing",IF(AB1211="Yes","✓ OK","⚠ Check"))))</f>
        <v/>
      </c>
      <c r="AF1211" s="33" t="n"/>
      <c r="AG1211" s="33" t="n"/>
      <c r="AH1211" s="33" t="n"/>
      <c r="AI1211" s="33" t="n"/>
      <c r="AJ1211" s="33" t="n"/>
      <c r="AK1211" s="33" t="n"/>
      <c r="AL1211" s="27" t="n"/>
      <c r="AM1211" s="34" t="n"/>
      <c r="AN1211" s="35">
        <f>IF(AF1211="","",IF(AI1211="Yes","❌ Disc",IF(AH1211="No","⚠ Missing",IF(AK1211="Yes","✓ OK","⚠ Check"))))</f>
        <v/>
      </c>
      <c r="AO1211" s="36" t="n"/>
      <c r="AP1211" s="36" t="n"/>
      <c r="AQ1211" s="36" t="n"/>
      <c r="AR1211" s="36" t="n"/>
      <c r="AS1211" s="36" t="n"/>
      <c r="AT1211" s="36" t="n"/>
      <c r="AU1211" s="27" t="n"/>
      <c r="AV1211" s="37" t="n"/>
      <c r="AW1211" s="38">
        <f>IF(AO1211="","",IF(AR1211="Yes","❌ Disc",IF(AQ1211="No","⚠ Missing",IF(AT1211="Yes","✓ OK","⚠ Check"))))</f>
        <v/>
      </c>
    </row>
    <row r="1212" ht="18" customHeight="1" s="46">
      <c r="A1212" s="39" t="n">
        <v>1208</v>
      </c>
      <c r="B1212" s="40" t="inlineStr">
        <is>
          <t>WP MR FUN 134</t>
        </is>
      </c>
      <c r="C1212" s="41" t="inlineStr">
        <is>
          <t>Marshalls - Fun Time Wallpapers - FUN 134</t>
        </is>
      </c>
      <c r="D1212" s="39" t="inlineStr">
        <is>
          <t>Marshalls</t>
        </is>
      </c>
      <c r="E1212" s="43" t="n">
        <v>46125</v>
      </c>
      <c r="F1212" s="26" t="inlineStr">
        <is>
          <t>Sunil CR</t>
        </is>
      </c>
      <c r="G1212" s="26" t="inlineStr">
        <is>
          <t>Yes</t>
        </is>
      </c>
      <c r="H1212" s="26" t="inlineStr">
        <is>
          <t>No</t>
        </is>
      </c>
      <c r="I1212" s="26" t="inlineStr">
        <is>
          <t>Good finish</t>
        </is>
      </c>
      <c r="J1212" s="26" t="inlineStr">
        <is>
          <t>Yes</t>
        </is>
      </c>
      <c r="K1212" s="27" t="n"/>
      <c r="L1212" s="28" t="inlineStr">
        <is>
          <t>No</t>
        </is>
      </c>
      <c r="M1212" s="29">
        <f>IF(E1212="","",IF(H1212="Yes","❌ Disc",IF(G1212="No","⚠ Missing",IF(J1212="Yes","✓ OK","⚠ Check"))))</f>
        <v/>
      </c>
      <c r="N1212" s="43" t="n">
        <v>46193</v>
      </c>
      <c r="O1212" s="26" t="inlineStr">
        <is>
          <t>Sunil CR</t>
        </is>
      </c>
      <c r="P1212" s="26" t="inlineStr">
        <is>
          <t>Yes</t>
        </is>
      </c>
      <c r="Q1212" s="26" t="inlineStr">
        <is>
          <t>No</t>
        </is>
      </c>
      <c r="R1212" s="26" t="inlineStr">
        <is>
          <t>Good finish</t>
        </is>
      </c>
      <c r="S1212" s="26" t="inlineStr">
        <is>
          <t>Yes</t>
        </is>
      </c>
      <c r="T1212" s="27" t="n"/>
      <c r="U1212" s="28" t="inlineStr">
        <is>
          <t>No</t>
        </is>
      </c>
      <c r="V1212" s="29">
        <f>IF(N1212="","",IF(Q1212="Yes","❌ Disc",IF(P1212="No","⚠ Missing",IF(S1212="Yes","✓ OK","⚠ Check"))))</f>
        <v/>
      </c>
      <c r="W1212" s="65" t="n">
        <v>46248</v>
      </c>
      <c r="X1212" s="30" t="inlineStr">
        <is>
          <t>Sunil CR</t>
        </is>
      </c>
      <c r="Y1212" s="30" t="inlineStr">
        <is>
          <t>Yes</t>
        </is>
      </c>
      <c r="Z1212" s="30" t="n"/>
      <c r="AA1212" s="30" t="inlineStr">
        <is>
          <t>Good finish</t>
        </is>
      </c>
      <c r="AB1212" s="30" t="inlineStr">
        <is>
          <t>Yes</t>
        </is>
      </c>
      <c r="AC1212" s="27" t="n"/>
      <c r="AD1212" s="31" t="inlineStr">
        <is>
          <t>No</t>
        </is>
      </c>
      <c r="AE1212" s="32">
        <f>IF(W1212="","",IF(Z1212="Yes","❌ Disc",IF(Y1212="No","⚠ Missing",IF(AB1212="Yes","✓ OK","⚠ Check"))))</f>
        <v/>
      </c>
      <c r="AF1212" s="33" t="n"/>
      <c r="AG1212" s="33" t="n"/>
      <c r="AH1212" s="33" t="n"/>
      <c r="AI1212" s="33" t="n"/>
      <c r="AJ1212" s="33" t="n"/>
      <c r="AK1212" s="33" t="n"/>
      <c r="AL1212" s="27" t="n"/>
      <c r="AM1212" s="34" t="n"/>
      <c r="AN1212" s="35">
        <f>IF(AF1212="","",IF(AI1212="Yes","❌ Disc",IF(AH1212="No","⚠ Missing",IF(AK1212="Yes","✓ OK","⚠ Check"))))</f>
        <v/>
      </c>
      <c r="AO1212" s="36" t="n"/>
      <c r="AP1212" s="36" t="n"/>
      <c r="AQ1212" s="36" t="n"/>
      <c r="AR1212" s="36" t="n"/>
      <c r="AS1212" s="36" t="n"/>
      <c r="AT1212" s="36" t="n"/>
      <c r="AU1212" s="27" t="n"/>
      <c r="AV1212" s="37" t="n"/>
      <c r="AW1212" s="38">
        <f>IF(AO1212="","",IF(AR1212="Yes","❌ Disc",IF(AQ1212="No","⚠ Missing",IF(AT1212="Yes","✓ OK","⚠ Check"))))</f>
        <v/>
      </c>
    </row>
    <row r="1213" ht="18" customHeight="1" s="46">
      <c r="A1213" s="23" t="n">
        <v>1209</v>
      </c>
      <c r="B1213" s="24" t="inlineStr">
        <is>
          <t>WP MR FUN 135</t>
        </is>
      </c>
      <c r="C1213" s="25" t="inlineStr">
        <is>
          <t>Marshalls - Fun Time Wallpapers - FUN 135</t>
        </is>
      </c>
      <c r="D1213" s="23" t="inlineStr">
        <is>
          <t>Marshalls</t>
        </is>
      </c>
      <c r="E1213" s="43" t="n">
        <v>46125</v>
      </c>
      <c r="F1213" s="26" t="inlineStr">
        <is>
          <t>Sunil CR</t>
        </is>
      </c>
      <c r="G1213" s="26" t="inlineStr">
        <is>
          <t>Yes</t>
        </is>
      </c>
      <c r="H1213" s="26" t="inlineStr">
        <is>
          <t>No</t>
        </is>
      </c>
      <c r="I1213" s="26" t="inlineStr">
        <is>
          <t>Good finish</t>
        </is>
      </c>
      <c r="J1213" s="26" t="inlineStr">
        <is>
          <t>Yes</t>
        </is>
      </c>
      <c r="K1213" s="27" t="n"/>
      <c r="L1213" s="28" t="inlineStr">
        <is>
          <t>No</t>
        </is>
      </c>
      <c r="M1213" s="29">
        <f>IF(E1213="","",IF(H1213="Yes","❌ Disc",IF(G1213="No","⚠ Missing",IF(J1213="Yes","✓ OK","⚠ Check"))))</f>
        <v/>
      </c>
      <c r="N1213" s="43" t="n">
        <v>46193</v>
      </c>
      <c r="O1213" s="26" t="inlineStr">
        <is>
          <t>Sunil CR</t>
        </is>
      </c>
      <c r="P1213" s="26" t="inlineStr">
        <is>
          <t>Yes</t>
        </is>
      </c>
      <c r="Q1213" s="26" t="inlineStr">
        <is>
          <t>No</t>
        </is>
      </c>
      <c r="R1213" s="26" t="inlineStr">
        <is>
          <t>Good finish</t>
        </is>
      </c>
      <c r="S1213" s="26" t="inlineStr">
        <is>
          <t>Yes</t>
        </is>
      </c>
      <c r="T1213" s="27" t="n"/>
      <c r="U1213" s="28" t="inlineStr">
        <is>
          <t>No</t>
        </is>
      </c>
      <c r="V1213" s="29">
        <f>IF(N1213="","",IF(Q1213="Yes","❌ Disc",IF(P1213="No","⚠ Missing",IF(S1213="Yes","✓ OK","⚠ Check"))))</f>
        <v/>
      </c>
      <c r="W1213" s="65" t="n">
        <v>46248</v>
      </c>
      <c r="X1213" s="30" t="inlineStr">
        <is>
          <t>Sunil CR</t>
        </is>
      </c>
      <c r="Y1213" s="30" t="inlineStr">
        <is>
          <t>Yes</t>
        </is>
      </c>
      <c r="Z1213" s="30" t="n"/>
      <c r="AA1213" s="30" t="inlineStr">
        <is>
          <t>Good finish</t>
        </is>
      </c>
      <c r="AB1213" s="30" t="inlineStr">
        <is>
          <t>Yes</t>
        </is>
      </c>
      <c r="AC1213" s="27" t="n"/>
      <c r="AD1213" s="31" t="inlineStr">
        <is>
          <t>No</t>
        </is>
      </c>
      <c r="AE1213" s="32">
        <f>IF(W1213="","",IF(Z1213="Yes","❌ Disc",IF(Y1213="No","⚠ Missing",IF(AB1213="Yes","✓ OK","⚠ Check"))))</f>
        <v/>
      </c>
      <c r="AF1213" s="33" t="n"/>
      <c r="AG1213" s="33" t="n"/>
      <c r="AH1213" s="33" t="n"/>
      <c r="AI1213" s="33" t="n"/>
      <c r="AJ1213" s="33" t="n"/>
      <c r="AK1213" s="33" t="n"/>
      <c r="AL1213" s="27" t="n"/>
      <c r="AM1213" s="34" t="n"/>
      <c r="AN1213" s="35">
        <f>IF(AF1213="","",IF(AI1213="Yes","❌ Disc",IF(AH1213="No","⚠ Missing",IF(AK1213="Yes","✓ OK","⚠ Check"))))</f>
        <v/>
      </c>
      <c r="AO1213" s="36" t="n"/>
      <c r="AP1213" s="36" t="n"/>
      <c r="AQ1213" s="36" t="n"/>
      <c r="AR1213" s="36" t="n"/>
      <c r="AS1213" s="36" t="n"/>
      <c r="AT1213" s="36" t="n"/>
      <c r="AU1213" s="27" t="n"/>
      <c r="AV1213" s="37" t="n"/>
      <c r="AW1213" s="38">
        <f>IF(AO1213="","",IF(AR1213="Yes","❌ Disc",IF(AQ1213="No","⚠ Missing",IF(AT1213="Yes","✓ OK","⚠ Check"))))</f>
        <v/>
      </c>
    </row>
    <row r="1214" ht="18" customHeight="1" s="46">
      <c r="A1214" s="39" t="n">
        <v>1210</v>
      </c>
      <c r="B1214" s="40" t="inlineStr">
        <is>
          <t>WP MR FUN 136</t>
        </is>
      </c>
      <c r="C1214" s="41" t="inlineStr">
        <is>
          <t>Marshalls - Fun Time Wallpapers - FUN 136</t>
        </is>
      </c>
      <c r="D1214" s="39" t="inlineStr">
        <is>
          <t>Marshalls</t>
        </is>
      </c>
      <c r="E1214" s="43" t="n">
        <v>46125</v>
      </c>
      <c r="F1214" s="26" t="inlineStr">
        <is>
          <t>Sunil CR</t>
        </is>
      </c>
      <c r="G1214" s="26" t="inlineStr">
        <is>
          <t>Yes</t>
        </is>
      </c>
      <c r="H1214" s="26" t="inlineStr">
        <is>
          <t>No</t>
        </is>
      </c>
      <c r="I1214" s="26" t="inlineStr">
        <is>
          <t>Good finish</t>
        </is>
      </c>
      <c r="J1214" s="26" t="inlineStr">
        <is>
          <t>Yes</t>
        </is>
      </c>
      <c r="K1214" s="27" t="n"/>
      <c r="L1214" s="28" t="inlineStr">
        <is>
          <t>No</t>
        </is>
      </c>
      <c r="M1214" s="29">
        <f>IF(E1214="","",IF(H1214="Yes","❌ Disc",IF(G1214="No","⚠ Missing",IF(J1214="Yes","✓ OK","⚠ Check"))))</f>
        <v/>
      </c>
      <c r="N1214" s="43" t="n">
        <v>46193</v>
      </c>
      <c r="O1214" s="26" t="inlineStr">
        <is>
          <t>Sunil CR</t>
        </is>
      </c>
      <c r="P1214" s="26" t="inlineStr">
        <is>
          <t>Yes</t>
        </is>
      </c>
      <c r="Q1214" s="26" t="inlineStr">
        <is>
          <t>No</t>
        </is>
      </c>
      <c r="R1214" s="26" t="inlineStr">
        <is>
          <t>Good finish</t>
        </is>
      </c>
      <c r="S1214" s="26" t="inlineStr">
        <is>
          <t>Yes</t>
        </is>
      </c>
      <c r="T1214" s="27" t="n"/>
      <c r="U1214" s="28" t="inlineStr">
        <is>
          <t>No</t>
        </is>
      </c>
      <c r="V1214" s="29">
        <f>IF(N1214="","",IF(Q1214="Yes","❌ Disc",IF(P1214="No","⚠ Missing",IF(S1214="Yes","✓ OK","⚠ Check"))))</f>
        <v/>
      </c>
      <c r="W1214" s="65" t="n">
        <v>46248</v>
      </c>
      <c r="X1214" s="30" t="inlineStr">
        <is>
          <t>Sunil CR</t>
        </is>
      </c>
      <c r="Y1214" s="30" t="inlineStr">
        <is>
          <t>Yes</t>
        </is>
      </c>
      <c r="Z1214" s="30" t="n"/>
      <c r="AA1214" s="30" t="inlineStr">
        <is>
          <t>Good finish</t>
        </is>
      </c>
      <c r="AB1214" s="30" t="inlineStr">
        <is>
          <t>Yes</t>
        </is>
      </c>
      <c r="AC1214" s="27" t="n"/>
      <c r="AD1214" s="31" t="inlineStr">
        <is>
          <t>No</t>
        </is>
      </c>
      <c r="AE1214" s="32">
        <f>IF(W1214="","",IF(Z1214="Yes","❌ Disc",IF(Y1214="No","⚠ Missing",IF(AB1214="Yes","✓ OK","⚠ Check"))))</f>
        <v/>
      </c>
      <c r="AF1214" s="33" t="n"/>
      <c r="AG1214" s="33" t="n"/>
      <c r="AH1214" s="33" t="n"/>
      <c r="AI1214" s="33" t="n"/>
      <c r="AJ1214" s="33" t="n"/>
      <c r="AK1214" s="33" t="n"/>
      <c r="AL1214" s="27" t="n"/>
      <c r="AM1214" s="34" t="n"/>
      <c r="AN1214" s="35">
        <f>IF(AF1214="","",IF(AI1214="Yes","❌ Disc",IF(AH1214="No","⚠ Missing",IF(AK1214="Yes","✓ OK","⚠ Check"))))</f>
        <v/>
      </c>
      <c r="AO1214" s="36" t="n"/>
      <c r="AP1214" s="36" t="n"/>
      <c r="AQ1214" s="36" t="n"/>
      <c r="AR1214" s="36" t="n"/>
      <c r="AS1214" s="36" t="n"/>
      <c r="AT1214" s="36" t="n"/>
      <c r="AU1214" s="27" t="n"/>
      <c r="AV1214" s="37" t="n"/>
      <c r="AW1214" s="38">
        <f>IF(AO1214="","",IF(AR1214="Yes","❌ Disc",IF(AQ1214="No","⚠ Missing",IF(AT1214="Yes","✓ OK","⚠ Check"))))</f>
        <v/>
      </c>
    </row>
    <row r="1215" ht="18" customHeight="1" s="46">
      <c r="A1215" s="23" t="n">
        <v>1211</v>
      </c>
      <c r="B1215" s="24" t="inlineStr">
        <is>
          <t>WP MR FUN 137</t>
        </is>
      </c>
      <c r="C1215" s="25" t="inlineStr">
        <is>
          <t>Marshalls - Fun Time Wallpapers - FUN 137</t>
        </is>
      </c>
      <c r="D1215" s="23" t="inlineStr">
        <is>
          <t>Marshalls</t>
        </is>
      </c>
      <c r="E1215" s="43" t="n">
        <v>46125</v>
      </c>
      <c r="F1215" s="26" t="inlineStr">
        <is>
          <t>Sunil CR</t>
        </is>
      </c>
      <c r="G1215" s="26" t="inlineStr">
        <is>
          <t>Yes</t>
        </is>
      </c>
      <c r="H1215" s="26" t="inlineStr">
        <is>
          <t>No</t>
        </is>
      </c>
      <c r="I1215" s="26" t="inlineStr">
        <is>
          <t>Good finish</t>
        </is>
      </c>
      <c r="J1215" s="26" t="inlineStr">
        <is>
          <t>Yes</t>
        </is>
      </c>
      <c r="K1215" s="27" t="n"/>
      <c r="L1215" s="28" t="inlineStr">
        <is>
          <t>No</t>
        </is>
      </c>
      <c r="M1215" s="29">
        <f>IF(E1215="","",IF(H1215="Yes","❌ Disc",IF(G1215="No","⚠ Missing",IF(J1215="Yes","✓ OK","⚠ Check"))))</f>
        <v/>
      </c>
      <c r="N1215" s="43" t="n">
        <v>46193</v>
      </c>
      <c r="O1215" s="26" t="inlineStr">
        <is>
          <t>Sunil CR</t>
        </is>
      </c>
      <c r="P1215" s="26" t="inlineStr">
        <is>
          <t>Yes</t>
        </is>
      </c>
      <c r="Q1215" s="26" t="inlineStr">
        <is>
          <t>No</t>
        </is>
      </c>
      <c r="R1215" s="26" t="inlineStr">
        <is>
          <t>Good finish</t>
        </is>
      </c>
      <c r="S1215" s="26" t="inlineStr">
        <is>
          <t>Yes</t>
        </is>
      </c>
      <c r="T1215" s="27" t="n"/>
      <c r="U1215" s="28" t="inlineStr">
        <is>
          <t>No</t>
        </is>
      </c>
      <c r="V1215" s="29">
        <f>IF(N1215="","",IF(Q1215="Yes","❌ Disc",IF(P1215="No","⚠ Missing",IF(S1215="Yes","✓ OK","⚠ Check"))))</f>
        <v/>
      </c>
      <c r="W1215" s="65" t="n">
        <v>46248</v>
      </c>
      <c r="X1215" s="30" t="inlineStr">
        <is>
          <t>Sunil CR</t>
        </is>
      </c>
      <c r="Y1215" s="30" t="inlineStr">
        <is>
          <t>Yes</t>
        </is>
      </c>
      <c r="Z1215" s="30" t="n"/>
      <c r="AA1215" s="30" t="inlineStr">
        <is>
          <t>Good finish</t>
        </is>
      </c>
      <c r="AB1215" s="30" t="inlineStr">
        <is>
          <t>Yes</t>
        </is>
      </c>
      <c r="AC1215" s="27" t="n"/>
      <c r="AD1215" s="31" t="inlineStr">
        <is>
          <t>No</t>
        </is>
      </c>
      <c r="AE1215" s="32">
        <f>IF(W1215="","",IF(Z1215="Yes","❌ Disc",IF(Y1215="No","⚠ Missing",IF(AB1215="Yes","✓ OK","⚠ Check"))))</f>
        <v/>
      </c>
      <c r="AF1215" s="33" t="n"/>
      <c r="AG1215" s="33" t="n"/>
      <c r="AH1215" s="33" t="n"/>
      <c r="AI1215" s="33" t="n"/>
      <c r="AJ1215" s="33" t="n"/>
      <c r="AK1215" s="33" t="n"/>
      <c r="AL1215" s="27" t="n"/>
      <c r="AM1215" s="34" t="n"/>
      <c r="AN1215" s="35">
        <f>IF(AF1215="","",IF(AI1215="Yes","❌ Disc",IF(AH1215="No","⚠ Missing",IF(AK1215="Yes","✓ OK","⚠ Check"))))</f>
        <v/>
      </c>
      <c r="AO1215" s="36" t="n"/>
      <c r="AP1215" s="36" t="n"/>
      <c r="AQ1215" s="36" t="n"/>
      <c r="AR1215" s="36" t="n"/>
      <c r="AS1215" s="36" t="n"/>
      <c r="AT1215" s="36" t="n"/>
      <c r="AU1215" s="27" t="n"/>
      <c r="AV1215" s="37" t="n"/>
      <c r="AW1215" s="38">
        <f>IF(AO1215="","",IF(AR1215="Yes","❌ Disc",IF(AQ1215="No","⚠ Missing",IF(AT1215="Yes","✓ OK","⚠ Check"))))</f>
        <v/>
      </c>
    </row>
    <row r="1216" ht="18" customHeight="1" s="46">
      <c r="A1216" s="39" t="n">
        <v>1212</v>
      </c>
      <c r="B1216" s="40" t="inlineStr">
        <is>
          <t>WP MR FUN 138</t>
        </is>
      </c>
      <c r="C1216" s="41" t="inlineStr">
        <is>
          <t>Marshalls - Fun Time Wallpapers - FUN 138</t>
        </is>
      </c>
      <c r="D1216" s="39" t="inlineStr">
        <is>
          <t>Marshalls</t>
        </is>
      </c>
      <c r="E1216" s="43" t="n">
        <v>46125</v>
      </c>
      <c r="F1216" s="26" t="inlineStr">
        <is>
          <t>Sunil CR</t>
        </is>
      </c>
      <c r="G1216" s="26" t="inlineStr">
        <is>
          <t>Yes</t>
        </is>
      </c>
      <c r="H1216" s="26" t="inlineStr">
        <is>
          <t>No</t>
        </is>
      </c>
      <c r="I1216" s="26" t="inlineStr">
        <is>
          <t>Good finish</t>
        </is>
      </c>
      <c r="J1216" s="26" t="inlineStr">
        <is>
          <t>Yes</t>
        </is>
      </c>
      <c r="K1216" s="27" t="n"/>
      <c r="L1216" s="28" t="inlineStr">
        <is>
          <t>No</t>
        </is>
      </c>
      <c r="M1216" s="29">
        <f>IF(E1216="","",IF(H1216="Yes","❌ Disc",IF(G1216="No","⚠ Missing",IF(J1216="Yes","✓ OK","⚠ Check"))))</f>
        <v/>
      </c>
      <c r="N1216" s="43" t="n">
        <v>46193</v>
      </c>
      <c r="O1216" s="26" t="inlineStr">
        <is>
          <t>Sunil CR</t>
        </is>
      </c>
      <c r="P1216" s="26" t="inlineStr">
        <is>
          <t>Yes</t>
        </is>
      </c>
      <c r="Q1216" s="26" t="inlineStr">
        <is>
          <t>No</t>
        </is>
      </c>
      <c r="R1216" s="26" t="inlineStr">
        <is>
          <t>Good finish</t>
        </is>
      </c>
      <c r="S1216" s="26" t="inlineStr">
        <is>
          <t>Yes</t>
        </is>
      </c>
      <c r="T1216" s="27" t="n"/>
      <c r="U1216" s="28" t="inlineStr">
        <is>
          <t>No</t>
        </is>
      </c>
      <c r="V1216" s="29">
        <f>IF(N1216="","",IF(Q1216="Yes","❌ Disc",IF(P1216="No","⚠ Missing",IF(S1216="Yes","✓ OK","⚠ Check"))))</f>
        <v/>
      </c>
      <c r="W1216" s="65" t="n">
        <v>46248</v>
      </c>
      <c r="X1216" s="30" t="inlineStr">
        <is>
          <t>Sunil CR</t>
        </is>
      </c>
      <c r="Y1216" s="30" t="inlineStr">
        <is>
          <t>Yes</t>
        </is>
      </c>
      <c r="Z1216" s="30" t="n"/>
      <c r="AA1216" s="30" t="inlineStr">
        <is>
          <t>Good finish</t>
        </is>
      </c>
      <c r="AB1216" s="30" t="inlineStr">
        <is>
          <t>Yes</t>
        </is>
      </c>
      <c r="AC1216" s="27" t="n"/>
      <c r="AD1216" s="31" t="inlineStr">
        <is>
          <t>No</t>
        </is>
      </c>
      <c r="AE1216" s="32">
        <f>IF(W1216="","",IF(Z1216="Yes","❌ Disc",IF(Y1216="No","⚠ Missing",IF(AB1216="Yes","✓ OK","⚠ Check"))))</f>
        <v/>
      </c>
      <c r="AF1216" s="33" t="n"/>
      <c r="AG1216" s="33" t="n"/>
      <c r="AH1216" s="33" t="n"/>
      <c r="AI1216" s="33" t="n"/>
      <c r="AJ1216" s="33" t="n"/>
      <c r="AK1216" s="33" t="n"/>
      <c r="AL1216" s="27" t="n"/>
      <c r="AM1216" s="34" t="n"/>
      <c r="AN1216" s="35">
        <f>IF(AF1216="","",IF(AI1216="Yes","❌ Disc",IF(AH1216="No","⚠ Missing",IF(AK1216="Yes","✓ OK","⚠ Check"))))</f>
        <v/>
      </c>
      <c r="AO1216" s="36" t="n"/>
      <c r="AP1216" s="36" t="n"/>
      <c r="AQ1216" s="36" t="n"/>
      <c r="AR1216" s="36" t="n"/>
      <c r="AS1216" s="36" t="n"/>
      <c r="AT1216" s="36" t="n"/>
      <c r="AU1216" s="27" t="n"/>
      <c r="AV1216" s="37" t="n"/>
      <c r="AW1216" s="38">
        <f>IF(AO1216="","",IF(AR1216="Yes","❌ Disc",IF(AQ1216="No","⚠ Missing",IF(AT1216="Yes","✓ OK","⚠ Check"))))</f>
        <v/>
      </c>
    </row>
    <row r="1217" ht="18" customHeight="1" s="46">
      <c r="A1217" s="23" t="n">
        <v>1213</v>
      </c>
      <c r="B1217" s="24" t="inlineStr">
        <is>
          <t>WP MR FUN 139</t>
        </is>
      </c>
      <c r="C1217" s="25" t="inlineStr">
        <is>
          <t>Marshalls - Fun Time Wallpapers - FUN 139</t>
        </is>
      </c>
      <c r="D1217" s="23" t="inlineStr">
        <is>
          <t>Marshalls</t>
        </is>
      </c>
      <c r="E1217" s="43" t="n">
        <v>46125</v>
      </c>
      <c r="F1217" s="26" t="inlineStr">
        <is>
          <t>Sunil CR</t>
        </is>
      </c>
      <c r="G1217" s="26" t="inlineStr">
        <is>
          <t>Yes</t>
        </is>
      </c>
      <c r="H1217" s="26" t="inlineStr">
        <is>
          <t>No</t>
        </is>
      </c>
      <c r="I1217" s="26" t="inlineStr">
        <is>
          <t>Good finish</t>
        </is>
      </c>
      <c r="J1217" s="26" t="inlineStr">
        <is>
          <t>Yes</t>
        </is>
      </c>
      <c r="K1217" s="27" t="n"/>
      <c r="L1217" s="28" t="inlineStr">
        <is>
          <t>No</t>
        </is>
      </c>
      <c r="M1217" s="29">
        <f>IF(E1217="","",IF(H1217="Yes","❌ Disc",IF(G1217="No","⚠ Missing",IF(J1217="Yes","✓ OK","⚠ Check"))))</f>
        <v/>
      </c>
      <c r="N1217" s="43" t="n">
        <v>46193</v>
      </c>
      <c r="O1217" s="26" t="inlineStr">
        <is>
          <t>Sunil CR</t>
        </is>
      </c>
      <c r="P1217" s="26" t="inlineStr">
        <is>
          <t>Yes</t>
        </is>
      </c>
      <c r="Q1217" s="26" t="inlineStr">
        <is>
          <t>No</t>
        </is>
      </c>
      <c r="R1217" s="26" t="inlineStr">
        <is>
          <t>Good finish</t>
        </is>
      </c>
      <c r="S1217" s="26" t="inlineStr">
        <is>
          <t>Yes</t>
        </is>
      </c>
      <c r="T1217" s="27" t="n"/>
      <c r="U1217" s="28" t="inlineStr">
        <is>
          <t>No</t>
        </is>
      </c>
      <c r="V1217" s="29">
        <f>IF(N1217="","",IF(Q1217="Yes","❌ Disc",IF(P1217="No","⚠ Missing",IF(S1217="Yes","✓ OK","⚠ Check"))))</f>
        <v/>
      </c>
      <c r="W1217" s="65" t="n">
        <v>46248</v>
      </c>
      <c r="X1217" s="30" t="inlineStr">
        <is>
          <t>Sunil CR</t>
        </is>
      </c>
      <c r="Y1217" s="30" t="inlineStr">
        <is>
          <t>Yes</t>
        </is>
      </c>
      <c r="Z1217" s="30" t="n"/>
      <c r="AA1217" s="30" t="inlineStr">
        <is>
          <t>Good finish</t>
        </is>
      </c>
      <c r="AB1217" s="30" t="inlineStr">
        <is>
          <t>Yes</t>
        </is>
      </c>
      <c r="AC1217" s="27" t="n"/>
      <c r="AD1217" s="31" t="inlineStr">
        <is>
          <t>No</t>
        </is>
      </c>
      <c r="AE1217" s="32">
        <f>IF(W1217="","",IF(Z1217="Yes","❌ Disc",IF(Y1217="No","⚠ Missing",IF(AB1217="Yes","✓ OK","⚠ Check"))))</f>
        <v/>
      </c>
      <c r="AF1217" s="33" t="n"/>
      <c r="AG1217" s="33" t="n"/>
      <c r="AH1217" s="33" t="n"/>
      <c r="AI1217" s="33" t="n"/>
      <c r="AJ1217" s="33" t="n"/>
      <c r="AK1217" s="33" t="n"/>
      <c r="AL1217" s="27" t="n"/>
      <c r="AM1217" s="34" t="n"/>
      <c r="AN1217" s="35">
        <f>IF(AF1217="","",IF(AI1217="Yes","❌ Disc",IF(AH1217="No","⚠ Missing",IF(AK1217="Yes","✓ OK","⚠ Check"))))</f>
        <v/>
      </c>
      <c r="AO1217" s="36" t="n"/>
      <c r="AP1217" s="36" t="n"/>
      <c r="AQ1217" s="36" t="n"/>
      <c r="AR1217" s="36" t="n"/>
      <c r="AS1217" s="36" t="n"/>
      <c r="AT1217" s="36" t="n"/>
      <c r="AU1217" s="27" t="n"/>
      <c r="AV1217" s="37" t="n"/>
      <c r="AW1217" s="38">
        <f>IF(AO1217="","",IF(AR1217="Yes","❌ Disc",IF(AQ1217="No","⚠ Missing",IF(AT1217="Yes","✓ OK","⚠ Check"))))</f>
        <v/>
      </c>
    </row>
    <row r="1218" ht="18" customHeight="1" s="46">
      <c r="A1218" s="39" t="n">
        <v>1214</v>
      </c>
      <c r="B1218" s="40" t="inlineStr">
        <is>
          <t>WP MR FUN 140</t>
        </is>
      </c>
      <c r="C1218" s="41" t="inlineStr">
        <is>
          <t>Marshalls - Fun Time Wallpapers - FUN 140</t>
        </is>
      </c>
      <c r="D1218" s="39" t="inlineStr">
        <is>
          <t>Marshalls</t>
        </is>
      </c>
      <c r="E1218" s="43" t="n">
        <v>46125</v>
      </c>
      <c r="F1218" s="26" t="inlineStr">
        <is>
          <t>Sunil CR</t>
        </is>
      </c>
      <c r="G1218" s="26" t="inlineStr">
        <is>
          <t>Yes</t>
        </is>
      </c>
      <c r="H1218" s="26" t="inlineStr">
        <is>
          <t>No</t>
        </is>
      </c>
      <c r="I1218" s="26" t="inlineStr">
        <is>
          <t>Good finish</t>
        </is>
      </c>
      <c r="J1218" s="26" t="inlineStr">
        <is>
          <t>Yes</t>
        </is>
      </c>
      <c r="K1218" s="27" t="n"/>
      <c r="L1218" s="28" t="inlineStr">
        <is>
          <t>No</t>
        </is>
      </c>
      <c r="M1218" s="29">
        <f>IF(E1218="","",IF(H1218="Yes","❌ Disc",IF(G1218="No","⚠ Missing",IF(J1218="Yes","✓ OK","⚠ Check"))))</f>
        <v/>
      </c>
      <c r="N1218" s="43" t="n">
        <v>46193</v>
      </c>
      <c r="O1218" s="26" t="inlineStr">
        <is>
          <t>Sunil CR</t>
        </is>
      </c>
      <c r="P1218" s="26" t="inlineStr">
        <is>
          <t>Yes</t>
        </is>
      </c>
      <c r="Q1218" s="26" t="inlineStr">
        <is>
          <t>No</t>
        </is>
      </c>
      <c r="R1218" s="26" t="inlineStr">
        <is>
          <t>Good finish</t>
        </is>
      </c>
      <c r="S1218" s="26" t="inlineStr">
        <is>
          <t>Yes</t>
        </is>
      </c>
      <c r="T1218" s="27" t="n"/>
      <c r="U1218" s="28" t="inlineStr">
        <is>
          <t>No</t>
        </is>
      </c>
      <c r="V1218" s="29">
        <f>IF(N1218="","",IF(Q1218="Yes","❌ Disc",IF(P1218="No","⚠ Missing",IF(S1218="Yes","✓ OK","⚠ Check"))))</f>
        <v/>
      </c>
      <c r="W1218" s="65" t="n">
        <v>46248</v>
      </c>
      <c r="X1218" s="30" t="inlineStr">
        <is>
          <t>Sunil CR</t>
        </is>
      </c>
      <c r="Y1218" s="30" t="inlineStr">
        <is>
          <t>Yes</t>
        </is>
      </c>
      <c r="Z1218" s="30" t="n"/>
      <c r="AA1218" s="30" t="inlineStr">
        <is>
          <t>Good finish</t>
        </is>
      </c>
      <c r="AB1218" s="30" t="inlineStr">
        <is>
          <t>Yes</t>
        </is>
      </c>
      <c r="AC1218" s="27" t="n"/>
      <c r="AD1218" s="31" t="inlineStr">
        <is>
          <t>No</t>
        </is>
      </c>
      <c r="AE1218" s="32">
        <f>IF(W1218="","",IF(Z1218="Yes","❌ Disc",IF(Y1218="No","⚠ Missing",IF(AB1218="Yes","✓ OK","⚠ Check"))))</f>
        <v/>
      </c>
      <c r="AF1218" s="33" t="n"/>
      <c r="AG1218" s="33" t="n"/>
      <c r="AH1218" s="33" t="n"/>
      <c r="AI1218" s="33" t="n"/>
      <c r="AJ1218" s="33" t="n"/>
      <c r="AK1218" s="33" t="n"/>
      <c r="AL1218" s="27" t="n"/>
      <c r="AM1218" s="34" t="n"/>
      <c r="AN1218" s="35">
        <f>IF(AF1218="","",IF(AI1218="Yes","❌ Disc",IF(AH1218="No","⚠ Missing",IF(AK1218="Yes","✓ OK","⚠ Check"))))</f>
        <v/>
      </c>
      <c r="AO1218" s="36" t="n"/>
      <c r="AP1218" s="36" t="n"/>
      <c r="AQ1218" s="36" t="n"/>
      <c r="AR1218" s="36" t="n"/>
      <c r="AS1218" s="36" t="n"/>
      <c r="AT1218" s="36" t="n"/>
      <c r="AU1218" s="27" t="n"/>
      <c r="AV1218" s="37" t="n"/>
      <c r="AW1218" s="38">
        <f>IF(AO1218="","",IF(AR1218="Yes","❌ Disc",IF(AQ1218="No","⚠ Missing",IF(AT1218="Yes","✓ OK","⚠ Check"))))</f>
        <v/>
      </c>
    </row>
    <row r="1219" ht="18" customHeight="1" s="46">
      <c r="A1219" s="23" t="n">
        <v>1215</v>
      </c>
      <c r="B1219" s="24" t="inlineStr">
        <is>
          <t>WP MR FUN 141</t>
        </is>
      </c>
      <c r="C1219" s="25" t="inlineStr">
        <is>
          <t>Marshalls - Fun Time Wallpapers - FUN 141</t>
        </is>
      </c>
      <c r="D1219" s="23" t="inlineStr">
        <is>
          <t>Marshalls</t>
        </is>
      </c>
      <c r="E1219" s="43" t="n">
        <v>46125</v>
      </c>
      <c r="F1219" s="26" t="inlineStr">
        <is>
          <t>Sunil CR</t>
        </is>
      </c>
      <c r="G1219" s="26" t="inlineStr">
        <is>
          <t>Yes</t>
        </is>
      </c>
      <c r="H1219" s="26" t="inlineStr">
        <is>
          <t>No</t>
        </is>
      </c>
      <c r="I1219" s="26" t="inlineStr">
        <is>
          <t>Good finish</t>
        </is>
      </c>
      <c r="J1219" s="26" t="inlineStr">
        <is>
          <t>Yes</t>
        </is>
      </c>
      <c r="K1219" s="27" t="n"/>
      <c r="L1219" s="28" t="inlineStr">
        <is>
          <t>No</t>
        </is>
      </c>
      <c r="M1219" s="29">
        <f>IF(E1219="","",IF(H1219="Yes","❌ Disc",IF(G1219="No","⚠ Missing",IF(J1219="Yes","✓ OK","⚠ Check"))))</f>
        <v/>
      </c>
      <c r="N1219" s="43" t="n">
        <v>46193</v>
      </c>
      <c r="O1219" s="26" t="inlineStr">
        <is>
          <t>Sunil CR</t>
        </is>
      </c>
      <c r="P1219" s="26" t="inlineStr">
        <is>
          <t>Yes</t>
        </is>
      </c>
      <c r="Q1219" s="26" t="inlineStr">
        <is>
          <t>No</t>
        </is>
      </c>
      <c r="R1219" s="26" t="inlineStr">
        <is>
          <t>Good finish</t>
        </is>
      </c>
      <c r="S1219" s="26" t="inlineStr">
        <is>
          <t>Yes</t>
        </is>
      </c>
      <c r="T1219" s="27" t="n"/>
      <c r="U1219" s="28" t="inlineStr">
        <is>
          <t>No</t>
        </is>
      </c>
      <c r="V1219" s="29">
        <f>IF(N1219="","",IF(Q1219="Yes","❌ Disc",IF(P1219="No","⚠ Missing",IF(S1219="Yes","✓ OK","⚠ Check"))))</f>
        <v/>
      </c>
      <c r="W1219" s="65" t="n">
        <v>46248</v>
      </c>
      <c r="X1219" s="30" t="inlineStr">
        <is>
          <t>Sunil CR</t>
        </is>
      </c>
      <c r="Y1219" s="30" t="inlineStr">
        <is>
          <t>Yes</t>
        </is>
      </c>
      <c r="Z1219" s="30" t="n"/>
      <c r="AA1219" s="30" t="inlineStr">
        <is>
          <t>Good finish</t>
        </is>
      </c>
      <c r="AB1219" s="30" t="inlineStr">
        <is>
          <t>Yes</t>
        </is>
      </c>
      <c r="AC1219" s="27" t="n"/>
      <c r="AD1219" s="31" t="inlineStr">
        <is>
          <t>No</t>
        </is>
      </c>
      <c r="AE1219" s="32">
        <f>IF(W1219="","",IF(Z1219="Yes","❌ Disc",IF(Y1219="No","⚠ Missing",IF(AB1219="Yes","✓ OK","⚠ Check"))))</f>
        <v/>
      </c>
      <c r="AF1219" s="33" t="n"/>
      <c r="AG1219" s="33" t="n"/>
      <c r="AH1219" s="33" t="n"/>
      <c r="AI1219" s="33" t="n"/>
      <c r="AJ1219" s="33" t="n"/>
      <c r="AK1219" s="33" t="n"/>
      <c r="AL1219" s="27" t="n"/>
      <c r="AM1219" s="34" t="n"/>
      <c r="AN1219" s="35">
        <f>IF(AF1219="","",IF(AI1219="Yes","❌ Disc",IF(AH1219="No","⚠ Missing",IF(AK1219="Yes","✓ OK","⚠ Check"))))</f>
        <v/>
      </c>
      <c r="AO1219" s="36" t="n"/>
      <c r="AP1219" s="36" t="n"/>
      <c r="AQ1219" s="36" t="n"/>
      <c r="AR1219" s="36" t="n"/>
      <c r="AS1219" s="36" t="n"/>
      <c r="AT1219" s="36" t="n"/>
      <c r="AU1219" s="27" t="n"/>
      <c r="AV1219" s="37" t="n"/>
      <c r="AW1219" s="38">
        <f>IF(AO1219="","",IF(AR1219="Yes","❌ Disc",IF(AQ1219="No","⚠ Missing",IF(AT1219="Yes","✓ OK","⚠ Check"))))</f>
        <v/>
      </c>
    </row>
    <row r="1220" ht="18" customHeight="1" s="46">
      <c r="A1220" s="39" t="n">
        <v>1216</v>
      </c>
      <c r="B1220" s="40" t="inlineStr">
        <is>
          <t>WP MR FUN 142</t>
        </is>
      </c>
      <c r="C1220" s="41" t="inlineStr">
        <is>
          <t>Marshalls - Fun Time Wallpapers - FUN 142</t>
        </is>
      </c>
      <c r="D1220" s="39" t="inlineStr">
        <is>
          <t>Marshalls</t>
        </is>
      </c>
      <c r="E1220" s="43" t="n">
        <v>46125</v>
      </c>
      <c r="F1220" s="26" t="inlineStr">
        <is>
          <t>Sunil CR</t>
        </is>
      </c>
      <c r="G1220" s="26" t="inlineStr">
        <is>
          <t>Yes</t>
        </is>
      </c>
      <c r="H1220" s="26" t="inlineStr">
        <is>
          <t>No</t>
        </is>
      </c>
      <c r="I1220" s="26" t="inlineStr">
        <is>
          <t>Good finish</t>
        </is>
      </c>
      <c r="J1220" s="26" t="inlineStr">
        <is>
          <t>Yes</t>
        </is>
      </c>
      <c r="K1220" s="27" t="n"/>
      <c r="L1220" s="28" t="inlineStr">
        <is>
          <t>No</t>
        </is>
      </c>
      <c r="M1220" s="29">
        <f>IF(E1220="","",IF(H1220="Yes","❌ Disc",IF(G1220="No","⚠ Missing",IF(J1220="Yes","✓ OK","⚠ Check"))))</f>
        <v/>
      </c>
      <c r="N1220" s="43" t="n">
        <v>46193</v>
      </c>
      <c r="O1220" s="26" t="inlineStr">
        <is>
          <t>Sunil CR</t>
        </is>
      </c>
      <c r="P1220" s="26" t="inlineStr">
        <is>
          <t>Yes</t>
        </is>
      </c>
      <c r="Q1220" s="26" t="inlineStr">
        <is>
          <t>No</t>
        </is>
      </c>
      <c r="R1220" s="26" t="inlineStr">
        <is>
          <t>Good finish</t>
        </is>
      </c>
      <c r="S1220" s="26" t="inlineStr">
        <is>
          <t>Yes</t>
        </is>
      </c>
      <c r="T1220" s="27" t="n"/>
      <c r="U1220" s="28" t="inlineStr">
        <is>
          <t>No</t>
        </is>
      </c>
      <c r="V1220" s="29">
        <f>IF(N1220="","",IF(Q1220="Yes","❌ Disc",IF(P1220="No","⚠ Missing",IF(S1220="Yes","✓ OK","⚠ Check"))))</f>
        <v/>
      </c>
      <c r="W1220" s="65" t="n">
        <v>46248</v>
      </c>
      <c r="X1220" s="30" t="inlineStr">
        <is>
          <t>Sunil CR</t>
        </is>
      </c>
      <c r="Y1220" s="30" t="inlineStr">
        <is>
          <t>Yes</t>
        </is>
      </c>
      <c r="Z1220" s="30" t="n"/>
      <c r="AA1220" s="30" t="inlineStr">
        <is>
          <t>Good finish</t>
        </is>
      </c>
      <c r="AB1220" s="30" t="inlineStr">
        <is>
          <t>Yes</t>
        </is>
      </c>
      <c r="AC1220" s="27" t="n"/>
      <c r="AD1220" s="31" t="inlineStr">
        <is>
          <t>No</t>
        </is>
      </c>
      <c r="AE1220" s="32">
        <f>IF(W1220="","",IF(Z1220="Yes","❌ Disc",IF(Y1220="No","⚠ Missing",IF(AB1220="Yes","✓ OK","⚠ Check"))))</f>
        <v/>
      </c>
      <c r="AF1220" s="33" t="n"/>
      <c r="AG1220" s="33" t="n"/>
      <c r="AH1220" s="33" t="n"/>
      <c r="AI1220" s="33" t="n"/>
      <c r="AJ1220" s="33" t="n"/>
      <c r="AK1220" s="33" t="n"/>
      <c r="AL1220" s="27" t="n"/>
      <c r="AM1220" s="34" t="n"/>
      <c r="AN1220" s="35">
        <f>IF(AF1220="","",IF(AI1220="Yes","❌ Disc",IF(AH1220="No","⚠ Missing",IF(AK1220="Yes","✓ OK","⚠ Check"))))</f>
        <v/>
      </c>
      <c r="AO1220" s="36" t="n"/>
      <c r="AP1220" s="36" t="n"/>
      <c r="AQ1220" s="36" t="n"/>
      <c r="AR1220" s="36" t="n"/>
      <c r="AS1220" s="36" t="n"/>
      <c r="AT1220" s="36" t="n"/>
      <c r="AU1220" s="27" t="n"/>
      <c r="AV1220" s="37" t="n"/>
      <c r="AW1220" s="38">
        <f>IF(AO1220="","",IF(AR1220="Yes","❌ Disc",IF(AQ1220="No","⚠ Missing",IF(AT1220="Yes","✓ OK","⚠ Check"))))</f>
        <v/>
      </c>
    </row>
    <row r="1221" ht="18" customHeight="1" s="46">
      <c r="A1221" s="23" t="n">
        <v>1217</v>
      </c>
      <c r="B1221" s="24" t="inlineStr">
        <is>
          <t>WP MR FUN 143</t>
        </is>
      </c>
      <c r="C1221" s="25" t="inlineStr">
        <is>
          <t>Marshalls - Fun Time Wallpapers - FUN 143</t>
        </is>
      </c>
      <c r="D1221" s="23" t="inlineStr">
        <is>
          <t>Marshalls</t>
        </is>
      </c>
      <c r="E1221" s="43" t="n">
        <v>46125</v>
      </c>
      <c r="F1221" s="26" t="inlineStr">
        <is>
          <t>Sunil CR</t>
        </is>
      </c>
      <c r="G1221" s="26" t="inlineStr">
        <is>
          <t>Yes</t>
        </is>
      </c>
      <c r="H1221" s="26" t="inlineStr">
        <is>
          <t>No</t>
        </is>
      </c>
      <c r="I1221" s="26" t="inlineStr">
        <is>
          <t>Good finish</t>
        </is>
      </c>
      <c r="J1221" s="26" t="inlineStr">
        <is>
          <t>Yes</t>
        </is>
      </c>
      <c r="K1221" s="27" t="n"/>
      <c r="L1221" s="28" t="inlineStr">
        <is>
          <t>No</t>
        </is>
      </c>
      <c r="M1221" s="29">
        <f>IF(E1221="","",IF(H1221="Yes","❌ Disc",IF(G1221="No","⚠ Missing",IF(J1221="Yes","✓ OK","⚠ Check"))))</f>
        <v/>
      </c>
      <c r="N1221" s="43" t="n">
        <v>46193</v>
      </c>
      <c r="O1221" s="26" t="inlineStr">
        <is>
          <t>Sunil CR</t>
        </is>
      </c>
      <c r="P1221" s="26" t="inlineStr">
        <is>
          <t>Yes</t>
        </is>
      </c>
      <c r="Q1221" s="26" t="inlineStr">
        <is>
          <t>No</t>
        </is>
      </c>
      <c r="R1221" s="26" t="inlineStr">
        <is>
          <t>Good finish</t>
        </is>
      </c>
      <c r="S1221" s="26" t="inlineStr">
        <is>
          <t>Yes</t>
        </is>
      </c>
      <c r="T1221" s="27" t="n"/>
      <c r="U1221" s="28" t="inlineStr">
        <is>
          <t>No</t>
        </is>
      </c>
      <c r="V1221" s="29">
        <f>IF(N1221="","",IF(Q1221="Yes","❌ Disc",IF(P1221="No","⚠ Missing",IF(S1221="Yes","✓ OK","⚠ Check"))))</f>
        <v/>
      </c>
      <c r="W1221" s="65" t="n">
        <v>46248</v>
      </c>
      <c r="X1221" s="30" t="inlineStr">
        <is>
          <t>Sunil CR</t>
        </is>
      </c>
      <c r="Y1221" s="30" t="inlineStr">
        <is>
          <t>Yes</t>
        </is>
      </c>
      <c r="Z1221" s="30" t="n"/>
      <c r="AA1221" s="30" t="inlineStr">
        <is>
          <t>Good finish</t>
        </is>
      </c>
      <c r="AB1221" s="30" t="inlineStr">
        <is>
          <t>Yes</t>
        </is>
      </c>
      <c r="AC1221" s="27" t="n"/>
      <c r="AD1221" s="31" t="inlineStr">
        <is>
          <t>No</t>
        </is>
      </c>
      <c r="AE1221" s="32">
        <f>IF(W1221="","",IF(Z1221="Yes","❌ Disc",IF(Y1221="No","⚠ Missing",IF(AB1221="Yes","✓ OK","⚠ Check"))))</f>
        <v/>
      </c>
      <c r="AF1221" s="33" t="n"/>
      <c r="AG1221" s="33" t="n"/>
      <c r="AH1221" s="33" t="n"/>
      <c r="AI1221" s="33" t="n"/>
      <c r="AJ1221" s="33" t="n"/>
      <c r="AK1221" s="33" t="n"/>
      <c r="AL1221" s="27" t="n"/>
      <c r="AM1221" s="34" t="n"/>
      <c r="AN1221" s="35">
        <f>IF(AF1221="","",IF(AI1221="Yes","❌ Disc",IF(AH1221="No","⚠ Missing",IF(AK1221="Yes","✓ OK","⚠ Check"))))</f>
        <v/>
      </c>
      <c r="AO1221" s="36" t="n"/>
      <c r="AP1221" s="36" t="n"/>
      <c r="AQ1221" s="36" t="n"/>
      <c r="AR1221" s="36" t="n"/>
      <c r="AS1221" s="36" t="n"/>
      <c r="AT1221" s="36" t="n"/>
      <c r="AU1221" s="27" t="n"/>
      <c r="AV1221" s="37" t="n"/>
      <c r="AW1221" s="38">
        <f>IF(AO1221="","",IF(AR1221="Yes","❌ Disc",IF(AQ1221="No","⚠ Missing",IF(AT1221="Yes","✓ OK","⚠ Check"))))</f>
        <v/>
      </c>
    </row>
    <row r="1222" ht="18" customHeight="1" s="46">
      <c r="A1222" s="39" t="n">
        <v>1218</v>
      </c>
      <c r="B1222" s="40" t="inlineStr">
        <is>
          <t>WP MR FUN 144</t>
        </is>
      </c>
      <c r="C1222" s="41" t="inlineStr">
        <is>
          <t>Marshalls - Fun Time Wallpapers - FUN 144</t>
        </is>
      </c>
      <c r="D1222" s="39" t="inlineStr">
        <is>
          <t>Marshalls</t>
        </is>
      </c>
      <c r="E1222" s="43" t="n">
        <v>46125</v>
      </c>
      <c r="F1222" s="26" t="inlineStr">
        <is>
          <t>Sunil CR</t>
        </is>
      </c>
      <c r="G1222" s="26" t="inlineStr">
        <is>
          <t>Yes</t>
        </is>
      </c>
      <c r="H1222" s="26" t="inlineStr">
        <is>
          <t>No</t>
        </is>
      </c>
      <c r="I1222" s="26" t="inlineStr">
        <is>
          <t>Good finish</t>
        </is>
      </c>
      <c r="J1222" s="26" t="inlineStr">
        <is>
          <t>Yes</t>
        </is>
      </c>
      <c r="K1222" s="27" t="n"/>
      <c r="L1222" s="28" t="inlineStr">
        <is>
          <t>No</t>
        </is>
      </c>
      <c r="M1222" s="29">
        <f>IF(E1222="","",IF(H1222="Yes","❌ Disc",IF(G1222="No","⚠ Missing",IF(J1222="Yes","✓ OK","⚠ Check"))))</f>
        <v/>
      </c>
      <c r="N1222" s="43" t="n">
        <v>46193</v>
      </c>
      <c r="O1222" s="26" t="inlineStr">
        <is>
          <t>Sunil CR</t>
        </is>
      </c>
      <c r="P1222" s="26" t="inlineStr">
        <is>
          <t>Yes</t>
        </is>
      </c>
      <c r="Q1222" s="26" t="inlineStr">
        <is>
          <t>No</t>
        </is>
      </c>
      <c r="R1222" s="26" t="inlineStr">
        <is>
          <t>Good finish</t>
        </is>
      </c>
      <c r="S1222" s="26" t="inlineStr">
        <is>
          <t>Yes</t>
        </is>
      </c>
      <c r="T1222" s="27" t="n"/>
      <c r="U1222" s="28" t="inlineStr">
        <is>
          <t>No</t>
        </is>
      </c>
      <c r="V1222" s="29">
        <f>IF(N1222="","",IF(Q1222="Yes","❌ Disc",IF(P1222="No","⚠ Missing",IF(S1222="Yes","✓ OK","⚠ Check"))))</f>
        <v/>
      </c>
      <c r="W1222" s="65" t="n">
        <v>46248</v>
      </c>
      <c r="X1222" s="30" t="inlineStr">
        <is>
          <t>Sunil CR</t>
        </is>
      </c>
      <c r="Y1222" s="30" t="inlineStr">
        <is>
          <t>Yes</t>
        </is>
      </c>
      <c r="Z1222" s="30" t="n"/>
      <c r="AA1222" s="30" t="inlineStr">
        <is>
          <t>Good finish</t>
        </is>
      </c>
      <c r="AB1222" s="30" t="inlineStr">
        <is>
          <t>Yes</t>
        </is>
      </c>
      <c r="AC1222" s="27" t="n"/>
      <c r="AD1222" s="31" t="inlineStr">
        <is>
          <t>No</t>
        </is>
      </c>
      <c r="AE1222" s="32">
        <f>IF(W1222="","",IF(Z1222="Yes","❌ Disc",IF(Y1222="No","⚠ Missing",IF(AB1222="Yes","✓ OK","⚠ Check"))))</f>
        <v/>
      </c>
      <c r="AF1222" s="33" t="n"/>
      <c r="AG1222" s="33" t="n"/>
      <c r="AH1222" s="33" t="n"/>
      <c r="AI1222" s="33" t="n"/>
      <c r="AJ1222" s="33" t="n"/>
      <c r="AK1222" s="33" t="n"/>
      <c r="AL1222" s="27" t="n"/>
      <c r="AM1222" s="34" t="n"/>
      <c r="AN1222" s="35">
        <f>IF(AF1222="","",IF(AI1222="Yes","❌ Disc",IF(AH1222="No","⚠ Missing",IF(AK1222="Yes","✓ OK","⚠ Check"))))</f>
        <v/>
      </c>
      <c r="AO1222" s="36" t="n"/>
      <c r="AP1222" s="36" t="n"/>
      <c r="AQ1222" s="36" t="n"/>
      <c r="AR1222" s="36" t="n"/>
      <c r="AS1222" s="36" t="n"/>
      <c r="AT1222" s="36" t="n"/>
      <c r="AU1222" s="27" t="n"/>
      <c r="AV1222" s="37" t="n"/>
      <c r="AW1222" s="38">
        <f>IF(AO1222="","",IF(AR1222="Yes","❌ Disc",IF(AQ1222="No","⚠ Missing",IF(AT1222="Yes","✓ OK","⚠ Check"))))</f>
        <v/>
      </c>
    </row>
    <row r="1223" ht="18" customHeight="1" s="46">
      <c r="A1223" s="23" t="n">
        <v>1219</v>
      </c>
      <c r="B1223" s="24" t="inlineStr">
        <is>
          <t>WP MR FUN 145</t>
        </is>
      </c>
      <c r="C1223" s="25" t="inlineStr">
        <is>
          <t>Marshalls - Fun Time Wallpapers - FUN 145</t>
        </is>
      </c>
      <c r="D1223" s="23" t="inlineStr">
        <is>
          <t>Marshalls</t>
        </is>
      </c>
      <c r="E1223" s="43" t="n">
        <v>46125</v>
      </c>
      <c r="F1223" s="26" t="inlineStr">
        <is>
          <t>Sunil CR</t>
        </is>
      </c>
      <c r="G1223" s="26" t="inlineStr">
        <is>
          <t>Yes</t>
        </is>
      </c>
      <c r="H1223" s="26" t="inlineStr">
        <is>
          <t>No</t>
        </is>
      </c>
      <c r="I1223" s="26" t="inlineStr">
        <is>
          <t>Good finish</t>
        </is>
      </c>
      <c r="J1223" s="26" t="inlineStr">
        <is>
          <t>Yes</t>
        </is>
      </c>
      <c r="K1223" s="27" t="n"/>
      <c r="L1223" s="28" t="inlineStr">
        <is>
          <t>No</t>
        </is>
      </c>
      <c r="M1223" s="29">
        <f>IF(E1223="","",IF(H1223="Yes","❌ Disc",IF(G1223="No","⚠ Missing",IF(J1223="Yes","✓ OK","⚠ Check"))))</f>
        <v/>
      </c>
      <c r="N1223" s="43" t="n">
        <v>46193</v>
      </c>
      <c r="O1223" s="26" t="inlineStr">
        <is>
          <t>Sunil CR</t>
        </is>
      </c>
      <c r="P1223" s="26" t="inlineStr">
        <is>
          <t>Yes</t>
        </is>
      </c>
      <c r="Q1223" s="26" t="inlineStr">
        <is>
          <t>No</t>
        </is>
      </c>
      <c r="R1223" s="26" t="inlineStr">
        <is>
          <t>Good finish</t>
        </is>
      </c>
      <c r="S1223" s="26" t="inlineStr">
        <is>
          <t>Yes</t>
        </is>
      </c>
      <c r="T1223" s="27" t="n"/>
      <c r="U1223" s="28" t="inlineStr">
        <is>
          <t>No</t>
        </is>
      </c>
      <c r="V1223" s="29">
        <f>IF(N1223="","",IF(Q1223="Yes","❌ Disc",IF(P1223="No","⚠ Missing",IF(S1223="Yes","✓ OK","⚠ Check"))))</f>
        <v/>
      </c>
      <c r="W1223" s="65" t="n">
        <v>46248</v>
      </c>
      <c r="X1223" s="30" t="inlineStr">
        <is>
          <t>Sunil CR</t>
        </is>
      </c>
      <c r="Y1223" s="30" t="inlineStr">
        <is>
          <t>Yes</t>
        </is>
      </c>
      <c r="Z1223" s="30" t="n"/>
      <c r="AA1223" s="30" t="inlineStr">
        <is>
          <t>Good finish</t>
        </is>
      </c>
      <c r="AB1223" s="30" t="inlineStr">
        <is>
          <t>Yes</t>
        </is>
      </c>
      <c r="AC1223" s="27" t="n"/>
      <c r="AD1223" s="31" t="inlineStr">
        <is>
          <t>No</t>
        </is>
      </c>
      <c r="AE1223" s="32">
        <f>IF(W1223="","",IF(Z1223="Yes","❌ Disc",IF(Y1223="No","⚠ Missing",IF(AB1223="Yes","✓ OK","⚠ Check"))))</f>
        <v/>
      </c>
      <c r="AF1223" s="33" t="n"/>
      <c r="AG1223" s="33" t="n"/>
      <c r="AH1223" s="33" t="n"/>
      <c r="AI1223" s="33" t="n"/>
      <c r="AJ1223" s="33" t="n"/>
      <c r="AK1223" s="33" t="n"/>
      <c r="AL1223" s="27" t="n"/>
      <c r="AM1223" s="34" t="n"/>
      <c r="AN1223" s="35">
        <f>IF(AF1223="","",IF(AI1223="Yes","❌ Disc",IF(AH1223="No","⚠ Missing",IF(AK1223="Yes","✓ OK","⚠ Check"))))</f>
        <v/>
      </c>
      <c r="AO1223" s="36" t="n"/>
      <c r="AP1223" s="36" t="n"/>
      <c r="AQ1223" s="36" t="n"/>
      <c r="AR1223" s="36" t="n"/>
      <c r="AS1223" s="36" t="n"/>
      <c r="AT1223" s="36" t="n"/>
      <c r="AU1223" s="27" t="n"/>
      <c r="AV1223" s="37" t="n"/>
      <c r="AW1223" s="38">
        <f>IF(AO1223="","",IF(AR1223="Yes","❌ Disc",IF(AQ1223="No","⚠ Missing",IF(AT1223="Yes","✓ OK","⚠ Check"))))</f>
        <v/>
      </c>
    </row>
    <row r="1224" ht="18" customHeight="1" s="46">
      <c r="A1224" s="39" t="n">
        <v>1220</v>
      </c>
      <c r="B1224" s="40" t="inlineStr">
        <is>
          <t>WP MR FUN 146</t>
        </is>
      </c>
      <c r="C1224" s="41" t="inlineStr">
        <is>
          <t>Marshalls - Fun Time Wallpapers - FUN 146</t>
        </is>
      </c>
      <c r="D1224" s="39" t="inlineStr">
        <is>
          <t>Marshalls</t>
        </is>
      </c>
      <c r="E1224" s="43" t="n">
        <v>46125</v>
      </c>
      <c r="F1224" s="26" t="inlineStr">
        <is>
          <t>Sunil CR</t>
        </is>
      </c>
      <c r="G1224" s="26" t="inlineStr">
        <is>
          <t>Yes</t>
        </is>
      </c>
      <c r="H1224" s="26" t="inlineStr">
        <is>
          <t>No</t>
        </is>
      </c>
      <c r="I1224" s="26" t="inlineStr">
        <is>
          <t>Good finish</t>
        </is>
      </c>
      <c r="J1224" s="26" t="inlineStr">
        <is>
          <t>Yes</t>
        </is>
      </c>
      <c r="K1224" s="27" t="n"/>
      <c r="L1224" s="28" t="inlineStr">
        <is>
          <t>No</t>
        </is>
      </c>
      <c r="M1224" s="29">
        <f>IF(E1224="","",IF(H1224="Yes","❌ Disc",IF(G1224="No","⚠ Missing",IF(J1224="Yes","✓ OK","⚠ Check"))))</f>
        <v/>
      </c>
      <c r="N1224" s="43" t="n">
        <v>46193</v>
      </c>
      <c r="O1224" s="26" t="inlineStr">
        <is>
          <t>Sunil CR</t>
        </is>
      </c>
      <c r="P1224" s="26" t="inlineStr">
        <is>
          <t>Yes</t>
        </is>
      </c>
      <c r="Q1224" s="26" t="inlineStr">
        <is>
          <t>No</t>
        </is>
      </c>
      <c r="R1224" s="26" t="inlineStr">
        <is>
          <t>Good finish</t>
        </is>
      </c>
      <c r="S1224" s="26" t="inlineStr">
        <is>
          <t>Yes</t>
        </is>
      </c>
      <c r="T1224" s="27" t="n"/>
      <c r="U1224" s="28" t="inlineStr">
        <is>
          <t>No</t>
        </is>
      </c>
      <c r="V1224" s="29">
        <f>IF(N1224="","",IF(Q1224="Yes","❌ Disc",IF(P1224="No","⚠ Missing",IF(S1224="Yes","✓ OK","⚠ Check"))))</f>
        <v/>
      </c>
      <c r="W1224" s="65" t="n">
        <v>46248</v>
      </c>
      <c r="X1224" s="30" t="inlineStr">
        <is>
          <t>Sunil CR</t>
        </is>
      </c>
      <c r="Y1224" s="30" t="inlineStr">
        <is>
          <t>Yes</t>
        </is>
      </c>
      <c r="Z1224" s="30" t="n"/>
      <c r="AA1224" s="30" t="inlineStr">
        <is>
          <t>Good finish</t>
        </is>
      </c>
      <c r="AB1224" s="30" t="inlineStr">
        <is>
          <t>Yes</t>
        </is>
      </c>
      <c r="AC1224" s="27" t="n"/>
      <c r="AD1224" s="31" t="inlineStr">
        <is>
          <t>No</t>
        </is>
      </c>
      <c r="AE1224" s="32">
        <f>IF(W1224="","",IF(Z1224="Yes","❌ Disc",IF(Y1224="No","⚠ Missing",IF(AB1224="Yes","✓ OK","⚠ Check"))))</f>
        <v/>
      </c>
      <c r="AF1224" s="33" t="n"/>
      <c r="AG1224" s="33" t="n"/>
      <c r="AH1224" s="33" t="n"/>
      <c r="AI1224" s="33" t="n"/>
      <c r="AJ1224" s="33" t="n"/>
      <c r="AK1224" s="33" t="n"/>
      <c r="AL1224" s="27" t="n"/>
      <c r="AM1224" s="34" t="n"/>
      <c r="AN1224" s="35">
        <f>IF(AF1224="","",IF(AI1224="Yes","❌ Disc",IF(AH1224="No","⚠ Missing",IF(AK1224="Yes","✓ OK","⚠ Check"))))</f>
        <v/>
      </c>
      <c r="AO1224" s="36" t="n"/>
      <c r="AP1224" s="36" t="n"/>
      <c r="AQ1224" s="36" t="n"/>
      <c r="AR1224" s="36" t="n"/>
      <c r="AS1224" s="36" t="n"/>
      <c r="AT1224" s="36" t="n"/>
      <c r="AU1224" s="27" t="n"/>
      <c r="AV1224" s="37" t="n"/>
      <c r="AW1224" s="38">
        <f>IF(AO1224="","",IF(AR1224="Yes","❌ Disc",IF(AQ1224="No","⚠ Missing",IF(AT1224="Yes","✓ OK","⚠ Check"))))</f>
        <v/>
      </c>
    </row>
    <row r="1225" ht="18" customHeight="1" s="46">
      <c r="A1225" s="23" t="n">
        <v>1221</v>
      </c>
      <c r="B1225" s="24" t="inlineStr">
        <is>
          <t>WP MR FUN 147</t>
        </is>
      </c>
      <c r="C1225" s="25" t="inlineStr">
        <is>
          <t>Marshalls - Fun Time Wallpapers - FUN 147</t>
        </is>
      </c>
      <c r="D1225" s="23" t="inlineStr">
        <is>
          <t>Marshalls</t>
        </is>
      </c>
      <c r="E1225" s="43" t="n">
        <v>46125</v>
      </c>
      <c r="F1225" s="26" t="inlineStr">
        <is>
          <t>Sunil CR</t>
        </is>
      </c>
      <c r="G1225" s="26" t="inlineStr">
        <is>
          <t>Yes</t>
        </is>
      </c>
      <c r="H1225" s="26" t="inlineStr">
        <is>
          <t>No</t>
        </is>
      </c>
      <c r="I1225" s="26" t="inlineStr">
        <is>
          <t>Good finish</t>
        </is>
      </c>
      <c r="J1225" s="26" t="inlineStr">
        <is>
          <t>Yes</t>
        </is>
      </c>
      <c r="K1225" s="27" t="n"/>
      <c r="L1225" s="28" t="inlineStr">
        <is>
          <t>No</t>
        </is>
      </c>
      <c r="M1225" s="29">
        <f>IF(E1225="","",IF(H1225="Yes","❌ Disc",IF(G1225="No","⚠ Missing",IF(J1225="Yes","✓ OK","⚠ Check"))))</f>
        <v/>
      </c>
      <c r="N1225" s="43" t="n">
        <v>46193</v>
      </c>
      <c r="O1225" s="26" t="inlineStr">
        <is>
          <t>Sunil CR</t>
        </is>
      </c>
      <c r="P1225" s="26" t="inlineStr">
        <is>
          <t>Yes</t>
        </is>
      </c>
      <c r="Q1225" s="26" t="inlineStr">
        <is>
          <t>No</t>
        </is>
      </c>
      <c r="R1225" s="26" t="inlineStr">
        <is>
          <t>Good finish</t>
        </is>
      </c>
      <c r="S1225" s="26" t="inlineStr">
        <is>
          <t>Yes</t>
        </is>
      </c>
      <c r="T1225" s="27" t="n"/>
      <c r="U1225" s="28" t="inlineStr">
        <is>
          <t>No</t>
        </is>
      </c>
      <c r="V1225" s="29">
        <f>IF(N1225="","",IF(Q1225="Yes","❌ Disc",IF(P1225="No","⚠ Missing",IF(S1225="Yes","✓ OK","⚠ Check"))))</f>
        <v/>
      </c>
      <c r="W1225" s="65" t="n">
        <v>46248</v>
      </c>
      <c r="X1225" s="30" t="inlineStr">
        <is>
          <t>Sunil CR</t>
        </is>
      </c>
      <c r="Y1225" s="30" t="inlineStr">
        <is>
          <t>Yes</t>
        </is>
      </c>
      <c r="Z1225" s="30" t="n"/>
      <c r="AA1225" s="30" t="inlineStr">
        <is>
          <t>Good finish</t>
        </is>
      </c>
      <c r="AB1225" s="30" t="inlineStr">
        <is>
          <t>Yes</t>
        </is>
      </c>
      <c r="AC1225" s="27" t="n"/>
      <c r="AD1225" s="31" t="inlineStr">
        <is>
          <t>No</t>
        </is>
      </c>
      <c r="AE1225" s="32">
        <f>IF(W1225="","",IF(Z1225="Yes","❌ Disc",IF(Y1225="No","⚠ Missing",IF(AB1225="Yes","✓ OK","⚠ Check"))))</f>
        <v/>
      </c>
      <c r="AF1225" s="33" t="n"/>
      <c r="AG1225" s="33" t="n"/>
      <c r="AH1225" s="33" t="n"/>
      <c r="AI1225" s="33" t="n"/>
      <c r="AJ1225" s="33" t="n"/>
      <c r="AK1225" s="33" t="n"/>
      <c r="AL1225" s="27" t="n"/>
      <c r="AM1225" s="34" t="n"/>
      <c r="AN1225" s="35">
        <f>IF(AF1225="","",IF(AI1225="Yes","❌ Disc",IF(AH1225="No","⚠ Missing",IF(AK1225="Yes","✓ OK","⚠ Check"))))</f>
        <v/>
      </c>
      <c r="AO1225" s="36" t="n"/>
      <c r="AP1225" s="36" t="n"/>
      <c r="AQ1225" s="36" t="n"/>
      <c r="AR1225" s="36" t="n"/>
      <c r="AS1225" s="36" t="n"/>
      <c r="AT1225" s="36" t="n"/>
      <c r="AU1225" s="27" t="n"/>
      <c r="AV1225" s="37" t="n"/>
      <c r="AW1225" s="38">
        <f>IF(AO1225="","",IF(AR1225="Yes","❌ Disc",IF(AQ1225="No","⚠ Missing",IF(AT1225="Yes","✓ OK","⚠ Check"))))</f>
        <v/>
      </c>
    </row>
    <row r="1226" ht="18" customHeight="1" s="46">
      <c r="A1226" s="39" t="n">
        <v>1222</v>
      </c>
      <c r="B1226" s="40" t="inlineStr">
        <is>
          <t>WP MR FUN 148</t>
        </is>
      </c>
      <c r="C1226" s="41" t="inlineStr">
        <is>
          <t>Marshalls - Fun Time Wallpapers - FUN 148</t>
        </is>
      </c>
      <c r="D1226" s="39" t="inlineStr">
        <is>
          <t>Marshalls</t>
        </is>
      </c>
      <c r="E1226" s="43" t="n">
        <v>46125</v>
      </c>
      <c r="F1226" s="26" t="inlineStr">
        <is>
          <t>Sunil CR</t>
        </is>
      </c>
      <c r="G1226" s="26" t="inlineStr">
        <is>
          <t>Yes</t>
        </is>
      </c>
      <c r="H1226" s="26" t="inlineStr">
        <is>
          <t>No</t>
        </is>
      </c>
      <c r="I1226" s="26" t="inlineStr">
        <is>
          <t>Good finish</t>
        </is>
      </c>
      <c r="J1226" s="26" t="inlineStr">
        <is>
          <t>Yes</t>
        </is>
      </c>
      <c r="K1226" s="27" t="n"/>
      <c r="L1226" s="28" t="inlineStr">
        <is>
          <t>No</t>
        </is>
      </c>
      <c r="M1226" s="29">
        <f>IF(E1226="","",IF(H1226="Yes","❌ Disc",IF(G1226="No","⚠ Missing",IF(J1226="Yes","✓ OK","⚠ Check"))))</f>
        <v/>
      </c>
      <c r="N1226" s="43" t="n">
        <v>46193</v>
      </c>
      <c r="O1226" s="26" t="inlineStr">
        <is>
          <t>Sunil CR</t>
        </is>
      </c>
      <c r="P1226" s="26" t="inlineStr">
        <is>
          <t>Yes</t>
        </is>
      </c>
      <c r="Q1226" s="26" t="inlineStr">
        <is>
          <t>No</t>
        </is>
      </c>
      <c r="R1226" s="26" t="inlineStr">
        <is>
          <t>Good finish</t>
        </is>
      </c>
      <c r="S1226" s="26" t="inlineStr">
        <is>
          <t>Yes</t>
        </is>
      </c>
      <c r="T1226" s="27" t="n"/>
      <c r="U1226" s="28" t="inlineStr">
        <is>
          <t>No</t>
        </is>
      </c>
      <c r="V1226" s="29">
        <f>IF(N1226="","",IF(Q1226="Yes","❌ Disc",IF(P1226="No","⚠ Missing",IF(S1226="Yes","✓ OK","⚠ Check"))))</f>
        <v/>
      </c>
      <c r="W1226" s="65" t="n">
        <v>46248</v>
      </c>
      <c r="X1226" s="30" t="inlineStr">
        <is>
          <t>Sunil CR</t>
        </is>
      </c>
      <c r="Y1226" s="30" t="inlineStr">
        <is>
          <t>Yes</t>
        </is>
      </c>
      <c r="Z1226" s="30" t="n"/>
      <c r="AA1226" s="30" t="inlineStr">
        <is>
          <t>Good finish</t>
        </is>
      </c>
      <c r="AB1226" s="30" t="inlineStr">
        <is>
          <t>Yes</t>
        </is>
      </c>
      <c r="AC1226" s="27" t="n"/>
      <c r="AD1226" s="31" t="inlineStr">
        <is>
          <t>No</t>
        </is>
      </c>
      <c r="AE1226" s="32">
        <f>IF(W1226="","",IF(Z1226="Yes","❌ Disc",IF(Y1226="No","⚠ Missing",IF(AB1226="Yes","✓ OK","⚠ Check"))))</f>
        <v/>
      </c>
      <c r="AF1226" s="33" t="n"/>
      <c r="AG1226" s="33" t="n"/>
      <c r="AH1226" s="33" t="n"/>
      <c r="AI1226" s="33" t="n"/>
      <c r="AJ1226" s="33" t="n"/>
      <c r="AK1226" s="33" t="n"/>
      <c r="AL1226" s="27" t="n"/>
      <c r="AM1226" s="34" t="n"/>
      <c r="AN1226" s="35">
        <f>IF(AF1226="","",IF(AI1226="Yes","❌ Disc",IF(AH1226="No","⚠ Missing",IF(AK1226="Yes","✓ OK","⚠ Check"))))</f>
        <v/>
      </c>
      <c r="AO1226" s="36" t="n"/>
      <c r="AP1226" s="36" t="n"/>
      <c r="AQ1226" s="36" t="n"/>
      <c r="AR1226" s="36" t="n"/>
      <c r="AS1226" s="36" t="n"/>
      <c r="AT1226" s="36" t="n"/>
      <c r="AU1226" s="27" t="n"/>
      <c r="AV1226" s="37" t="n"/>
      <c r="AW1226" s="38">
        <f>IF(AO1226="","",IF(AR1226="Yes","❌ Disc",IF(AQ1226="No","⚠ Missing",IF(AT1226="Yes","✓ OK","⚠ Check"))))</f>
        <v/>
      </c>
    </row>
    <row r="1227" ht="18" customHeight="1" s="46">
      <c r="A1227" s="23" t="n">
        <v>1223</v>
      </c>
      <c r="B1227" s="24" t="inlineStr">
        <is>
          <t>WP MR FUN 149</t>
        </is>
      </c>
      <c r="C1227" s="25" t="inlineStr">
        <is>
          <t>Marshalls - Fun Time Wallpapers - FUN 149</t>
        </is>
      </c>
      <c r="D1227" s="23" t="inlineStr">
        <is>
          <t>Marshalls</t>
        </is>
      </c>
      <c r="E1227" s="43" t="n">
        <v>46125</v>
      </c>
      <c r="F1227" s="26" t="inlineStr">
        <is>
          <t>Sunil CR</t>
        </is>
      </c>
      <c r="G1227" s="26" t="inlineStr">
        <is>
          <t>Yes</t>
        </is>
      </c>
      <c r="H1227" s="26" t="inlineStr">
        <is>
          <t>No</t>
        </is>
      </c>
      <c r="I1227" s="26" t="inlineStr">
        <is>
          <t>Good finish</t>
        </is>
      </c>
      <c r="J1227" s="26" t="inlineStr">
        <is>
          <t>Yes</t>
        </is>
      </c>
      <c r="K1227" s="27" t="n"/>
      <c r="L1227" s="28" t="inlineStr">
        <is>
          <t>No</t>
        </is>
      </c>
      <c r="M1227" s="29">
        <f>IF(E1227="","",IF(H1227="Yes","❌ Disc",IF(G1227="No","⚠ Missing",IF(J1227="Yes","✓ OK","⚠ Check"))))</f>
        <v/>
      </c>
      <c r="N1227" s="43" t="n">
        <v>46193</v>
      </c>
      <c r="O1227" s="26" t="inlineStr">
        <is>
          <t>Sunil CR</t>
        </is>
      </c>
      <c r="P1227" s="26" t="inlineStr">
        <is>
          <t>Yes</t>
        </is>
      </c>
      <c r="Q1227" s="26" t="inlineStr">
        <is>
          <t>No</t>
        </is>
      </c>
      <c r="R1227" s="26" t="inlineStr">
        <is>
          <t>Good finish</t>
        </is>
      </c>
      <c r="S1227" s="26" t="inlineStr">
        <is>
          <t>Yes</t>
        </is>
      </c>
      <c r="T1227" s="27" t="n"/>
      <c r="U1227" s="28" t="inlineStr">
        <is>
          <t>No</t>
        </is>
      </c>
      <c r="V1227" s="29">
        <f>IF(N1227="","",IF(Q1227="Yes","❌ Disc",IF(P1227="No","⚠ Missing",IF(S1227="Yes","✓ OK","⚠ Check"))))</f>
        <v/>
      </c>
      <c r="W1227" s="65" t="n">
        <v>46248</v>
      </c>
      <c r="X1227" s="30" t="inlineStr">
        <is>
          <t>Sunil CR</t>
        </is>
      </c>
      <c r="Y1227" s="30" t="inlineStr">
        <is>
          <t>Yes</t>
        </is>
      </c>
      <c r="Z1227" s="30" t="n"/>
      <c r="AA1227" s="30" t="inlineStr">
        <is>
          <t>Good finish</t>
        </is>
      </c>
      <c r="AB1227" s="30" t="inlineStr">
        <is>
          <t>Yes</t>
        </is>
      </c>
      <c r="AC1227" s="27" t="n"/>
      <c r="AD1227" s="31" t="inlineStr">
        <is>
          <t>No</t>
        </is>
      </c>
      <c r="AE1227" s="32">
        <f>IF(W1227="","",IF(Z1227="Yes","❌ Disc",IF(Y1227="No","⚠ Missing",IF(AB1227="Yes","✓ OK","⚠ Check"))))</f>
        <v/>
      </c>
      <c r="AF1227" s="33" t="n"/>
      <c r="AG1227" s="33" t="n"/>
      <c r="AH1227" s="33" t="n"/>
      <c r="AI1227" s="33" t="n"/>
      <c r="AJ1227" s="33" t="n"/>
      <c r="AK1227" s="33" t="n"/>
      <c r="AL1227" s="27" t="n"/>
      <c r="AM1227" s="34" t="n"/>
      <c r="AN1227" s="35">
        <f>IF(AF1227="","",IF(AI1227="Yes","❌ Disc",IF(AH1227="No","⚠ Missing",IF(AK1227="Yes","✓ OK","⚠ Check"))))</f>
        <v/>
      </c>
      <c r="AO1227" s="36" t="n"/>
      <c r="AP1227" s="36" t="n"/>
      <c r="AQ1227" s="36" t="n"/>
      <c r="AR1227" s="36" t="n"/>
      <c r="AS1227" s="36" t="n"/>
      <c r="AT1227" s="36" t="n"/>
      <c r="AU1227" s="27" t="n"/>
      <c r="AV1227" s="37" t="n"/>
      <c r="AW1227" s="38">
        <f>IF(AO1227="","",IF(AR1227="Yes","❌ Disc",IF(AQ1227="No","⚠ Missing",IF(AT1227="Yes","✓ OK","⚠ Check"))))</f>
        <v/>
      </c>
    </row>
    <row r="1228" ht="18" customHeight="1" s="46">
      <c r="A1228" s="39" t="n">
        <v>1224</v>
      </c>
      <c r="B1228" s="40" t="inlineStr">
        <is>
          <t>WP MR FUN 150</t>
        </is>
      </c>
      <c r="C1228" s="41" t="inlineStr">
        <is>
          <t>Marshalls - Fun Time Wallpapers - FUN 150</t>
        </is>
      </c>
      <c r="D1228" s="39" t="inlineStr">
        <is>
          <t>Marshalls</t>
        </is>
      </c>
      <c r="E1228" s="43" t="n">
        <v>46125</v>
      </c>
      <c r="F1228" s="26" t="inlineStr">
        <is>
          <t>Sunil CR</t>
        </is>
      </c>
      <c r="G1228" s="26" t="inlineStr">
        <is>
          <t>Yes</t>
        </is>
      </c>
      <c r="H1228" s="26" t="inlineStr">
        <is>
          <t>No</t>
        </is>
      </c>
      <c r="I1228" s="26" t="inlineStr">
        <is>
          <t>Good finish</t>
        </is>
      </c>
      <c r="J1228" s="26" t="inlineStr">
        <is>
          <t>Yes</t>
        </is>
      </c>
      <c r="K1228" s="27" t="n"/>
      <c r="L1228" s="28" t="inlineStr">
        <is>
          <t>No</t>
        </is>
      </c>
      <c r="M1228" s="29">
        <f>IF(E1228="","",IF(H1228="Yes","❌ Disc",IF(G1228="No","⚠ Missing",IF(J1228="Yes","✓ OK","⚠ Check"))))</f>
        <v/>
      </c>
      <c r="N1228" s="43" t="n">
        <v>46193</v>
      </c>
      <c r="O1228" s="26" t="inlineStr">
        <is>
          <t>Sunil CR</t>
        </is>
      </c>
      <c r="P1228" s="26" t="inlineStr">
        <is>
          <t>Yes</t>
        </is>
      </c>
      <c r="Q1228" s="26" t="inlineStr">
        <is>
          <t>No</t>
        </is>
      </c>
      <c r="R1228" s="26" t="inlineStr">
        <is>
          <t>Good finish</t>
        </is>
      </c>
      <c r="S1228" s="26" t="inlineStr">
        <is>
          <t>Yes</t>
        </is>
      </c>
      <c r="T1228" s="27" t="n"/>
      <c r="U1228" s="28" t="inlineStr">
        <is>
          <t>No</t>
        </is>
      </c>
      <c r="V1228" s="29">
        <f>IF(N1228="","",IF(Q1228="Yes","❌ Disc",IF(P1228="No","⚠ Missing",IF(S1228="Yes","✓ OK","⚠ Check"))))</f>
        <v/>
      </c>
      <c r="W1228" s="65" t="n">
        <v>46248</v>
      </c>
      <c r="X1228" s="30" t="inlineStr">
        <is>
          <t>Sunil CR</t>
        </is>
      </c>
      <c r="Y1228" s="30" t="inlineStr">
        <is>
          <t>Yes</t>
        </is>
      </c>
      <c r="Z1228" s="30" t="n"/>
      <c r="AA1228" s="30" t="inlineStr">
        <is>
          <t>Good finish</t>
        </is>
      </c>
      <c r="AB1228" s="30" t="inlineStr">
        <is>
          <t>Yes</t>
        </is>
      </c>
      <c r="AC1228" s="27" t="n"/>
      <c r="AD1228" s="31" t="inlineStr">
        <is>
          <t>No</t>
        </is>
      </c>
      <c r="AE1228" s="32">
        <f>IF(W1228="","",IF(Z1228="Yes","❌ Disc",IF(Y1228="No","⚠ Missing",IF(AB1228="Yes","✓ OK","⚠ Check"))))</f>
        <v/>
      </c>
      <c r="AF1228" s="33" t="n"/>
      <c r="AG1228" s="33" t="n"/>
      <c r="AH1228" s="33" t="n"/>
      <c r="AI1228" s="33" t="n"/>
      <c r="AJ1228" s="33" t="n"/>
      <c r="AK1228" s="33" t="n"/>
      <c r="AL1228" s="27" t="n"/>
      <c r="AM1228" s="34" t="n"/>
      <c r="AN1228" s="35">
        <f>IF(AF1228="","",IF(AI1228="Yes","❌ Disc",IF(AH1228="No","⚠ Missing",IF(AK1228="Yes","✓ OK","⚠ Check"))))</f>
        <v/>
      </c>
      <c r="AO1228" s="36" t="n"/>
      <c r="AP1228" s="36" t="n"/>
      <c r="AQ1228" s="36" t="n"/>
      <c r="AR1228" s="36" t="n"/>
      <c r="AS1228" s="36" t="n"/>
      <c r="AT1228" s="36" t="n"/>
      <c r="AU1228" s="27" t="n"/>
      <c r="AV1228" s="37" t="n"/>
      <c r="AW1228" s="38">
        <f>IF(AO1228="","",IF(AR1228="Yes","❌ Disc",IF(AQ1228="No","⚠ Missing",IF(AT1228="Yes","✓ OK","⚠ Check"))))</f>
        <v/>
      </c>
    </row>
    <row r="1229" ht="18" customHeight="1" s="46">
      <c r="A1229" s="23" t="n">
        <v>1225</v>
      </c>
      <c r="B1229" s="24" t="inlineStr">
        <is>
          <t>WP MR FUN 151</t>
        </is>
      </c>
      <c r="C1229" s="25" t="inlineStr">
        <is>
          <t>Marshalls - Fun Time Wallpapers - FUN 151</t>
        </is>
      </c>
      <c r="D1229" s="23" t="inlineStr">
        <is>
          <t>Marshalls</t>
        </is>
      </c>
      <c r="E1229" s="43" t="n">
        <v>46125</v>
      </c>
      <c r="F1229" s="26" t="inlineStr">
        <is>
          <t>Sunil CR</t>
        </is>
      </c>
      <c r="G1229" s="26" t="inlineStr">
        <is>
          <t>Yes</t>
        </is>
      </c>
      <c r="H1229" s="26" t="inlineStr">
        <is>
          <t>No</t>
        </is>
      </c>
      <c r="I1229" s="26" t="inlineStr">
        <is>
          <t>Good finish</t>
        </is>
      </c>
      <c r="J1229" s="26" t="inlineStr">
        <is>
          <t>Yes</t>
        </is>
      </c>
      <c r="K1229" s="27" t="n"/>
      <c r="L1229" s="28" t="inlineStr">
        <is>
          <t>No</t>
        </is>
      </c>
      <c r="M1229" s="29">
        <f>IF(E1229="","",IF(H1229="Yes","❌ Disc",IF(G1229="No","⚠ Missing",IF(J1229="Yes","✓ OK","⚠ Check"))))</f>
        <v/>
      </c>
      <c r="N1229" s="43" t="n">
        <v>46193</v>
      </c>
      <c r="O1229" s="26" t="inlineStr">
        <is>
          <t>Sunil CR</t>
        </is>
      </c>
      <c r="P1229" s="26" t="inlineStr">
        <is>
          <t>Yes</t>
        </is>
      </c>
      <c r="Q1229" s="26" t="inlineStr">
        <is>
          <t>No</t>
        </is>
      </c>
      <c r="R1229" s="26" t="inlineStr">
        <is>
          <t>Good finish</t>
        </is>
      </c>
      <c r="S1229" s="26" t="inlineStr">
        <is>
          <t>Yes</t>
        </is>
      </c>
      <c r="T1229" s="27" t="n"/>
      <c r="U1229" s="28" t="inlineStr">
        <is>
          <t>No</t>
        </is>
      </c>
      <c r="V1229" s="29">
        <f>IF(N1229="","",IF(Q1229="Yes","❌ Disc",IF(P1229="No","⚠ Missing",IF(S1229="Yes","✓ OK","⚠ Check"))))</f>
        <v/>
      </c>
      <c r="W1229" s="65" t="n">
        <v>46248</v>
      </c>
      <c r="X1229" s="30" t="inlineStr">
        <is>
          <t>Sunil CR</t>
        </is>
      </c>
      <c r="Y1229" s="30" t="inlineStr">
        <is>
          <t>Yes</t>
        </is>
      </c>
      <c r="Z1229" s="30" t="n"/>
      <c r="AA1229" s="30" t="inlineStr">
        <is>
          <t>Good finish</t>
        </is>
      </c>
      <c r="AB1229" s="30" t="inlineStr">
        <is>
          <t>Yes</t>
        </is>
      </c>
      <c r="AC1229" s="27" t="n"/>
      <c r="AD1229" s="31" t="inlineStr">
        <is>
          <t>No</t>
        </is>
      </c>
      <c r="AE1229" s="32">
        <f>IF(W1229="","",IF(Z1229="Yes","❌ Disc",IF(Y1229="No","⚠ Missing",IF(AB1229="Yes","✓ OK","⚠ Check"))))</f>
        <v/>
      </c>
      <c r="AF1229" s="33" t="n"/>
      <c r="AG1229" s="33" t="n"/>
      <c r="AH1229" s="33" t="n"/>
      <c r="AI1229" s="33" t="n"/>
      <c r="AJ1229" s="33" t="n"/>
      <c r="AK1229" s="33" t="n"/>
      <c r="AL1229" s="27" t="n"/>
      <c r="AM1229" s="34" t="n"/>
      <c r="AN1229" s="35">
        <f>IF(AF1229="","",IF(AI1229="Yes","❌ Disc",IF(AH1229="No","⚠ Missing",IF(AK1229="Yes","✓ OK","⚠ Check"))))</f>
        <v/>
      </c>
      <c r="AO1229" s="36" t="n"/>
      <c r="AP1229" s="36" t="n"/>
      <c r="AQ1229" s="36" t="n"/>
      <c r="AR1229" s="36" t="n"/>
      <c r="AS1229" s="36" t="n"/>
      <c r="AT1229" s="36" t="n"/>
      <c r="AU1229" s="27" t="n"/>
      <c r="AV1229" s="37" t="n"/>
      <c r="AW1229" s="38">
        <f>IF(AO1229="","",IF(AR1229="Yes","❌ Disc",IF(AQ1229="No","⚠ Missing",IF(AT1229="Yes","✓ OK","⚠ Check"))))</f>
        <v/>
      </c>
    </row>
    <row r="1230" ht="18" customHeight="1" s="46">
      <c r="A1230" s="39" t="n">
        <v>1226</v>
      </c>
      <c r="B1230" s="40" t="inlineStr">
        <is>
          <t>WP MR FUN 152</t>
        </is>
      </c>
      <c r="C1230" s="41" t="inlineStr">
        <is>
          <t>Marshalls - Fun Time Wallpapers - FUN 152</t>
        </is>
      </c>
      <c r="D1230" s="39" t="inlineStr">
        <is>
          <t>Marshalls</t>
        </is>
      </c>
      <c r="E1230" s="43" t="n">
        <v>46125</v>
      </c>
      <c r="F1230" s="26" t="inlineStr">
        <is>
          <t>Sunil CR</t>
        </is>
      </c>
      <c r="G1230" s="26" t="inlineStr">
        <is>
          <t>Yes</t>
        </is>
      </c>
      <c r="H1230" s="26" t="inlineStr">
        <is>
          <t>No</t>
        </is>
      </c>
      <c r="I1230" s="26" t="inlineStr">
        <is>
          <t>Good finish</t>
        </is>
      </c>
      <c r="J1230" s="26" t="inlineStr">
        <is>
          <t>Yes</t>
        </is>
      </c>
      <c r="K1230" s="27" t="n"/>
      <c r="L1230" s="28" t="inlineStr">
        <is>
          <t>No</t>
        </is>
      </c>
      <c r="M1230" s="29">
        <f>IF(E1230="","",IF(H1230="Yes","❌ Disc",IF(G1230="No","⚠ Missing",IF(J1230="Yes","✓ OK","⚠ Check"))))</f>
        <v/>
      </c>
      <c r="N1230" s="43" t="n">
        <v>46193</v>
      </c>
      <c r="O1230" s="26" t="inlineStr">
        <is>
          <t>Sunil CR</t>
        </is>
      </c>
      <c r="P1230" s="26" t="inlineStr">
        <is>
          <t>Yes</t>
        </is>
      </c>
      <c r="Q1230" s="26" t="inlineStr">
        <is>
          <t>No</t>
        </is>
      </c>
      <c r="R1230" s="26" t="inlineStr">
        <is>
          <t>Good finish</t>
        </is>
      </c>
      <c r="S1230" s="26" t="inlineStr">
        <is>
          <t>Yes</t>
        </is>
      </c>
      <c r="T1230" s="27" t="n"/>
      <c r="U1230" s="28" t="inlineStr">
        <is>
          <t>No</t>
        </is>
      </c>
      <c r="V1230" s="29">
        <f>IF(N1230="","",IF(Q1230="Yes","❌ Disc",IF(P1230="No","⚠ Missing",IF(S1230="Yes","✓ OK","⚠ Check"))))</f>
        <v/>
      </c>
      <c r="W1230" s="65" t="n">
        <v>46248</v>
      </c>
      <c r="X1230" s="30" t="inlineStr">
        <is>
          <t>Sunil CR</t>
        </is>
      </c>
      <c r="Y1230" s="30" t="inlineStr">
        <is>
          <t>Yes</t>
        </is>
      </c>
      <c r="Z1230" s="30" t="n"/>
      <c r="AA1230" s="30" t="inlineStr">
        <is>
          <t>Good finish</t>
        </is>
      </c>
      <c r="AB1230" s="30" t="inlineStr">
        <is>
          <t>Yes</t>
        </is>
      </c>
      <c r="AC1230" s="27" t="n"/>
      <c r="AD1230" s="31" t="inlineStr">
        <is>
          <t>No</t>
        </is>
      </c>
      <c r="AE1230" s="32">
        <f>IF(W1230="","",IF(Z1230="Yes","❌ Disc",IF(Y1230="No","⚠ Missing",IF(AB1230="Yes","✓ OK","⚠ Check"))))</f>
        <v/>
      </c>
      <c r="AF1230" s="33" t="n"/>
      <c r="AG1230" s="33" t="n"/>
      <c r="AH1230" s="33" t="n"/>
      <c r="AI1230" s="33" t="n"/>
      <c r="AJ1230" s="33" t="n"/>
      <c r="AK1230" s="33" t="n"/>
      <c r="AL1230" s="27" t="n"/>
      <c r="AM1230" s="34" t="n"/>
      <c r="AN1230" s="35">
        <f>IF(AF1230="","",IF(AI1230="Yes","❌ Disc",IF(AH1230="No","⚠ Missing",IF(AK1230="Yes","✓ OK","⚠ Check"))))</f>
        <v/>
      </c>
      <c r="AO1230" s="36" t="n"/>
      <c r="AP1230" s="36" t="n"/>
      <c r="AQ1230" s="36" t="n"/>
      <c r="AR1230" s="36" t="n"/>
      <c r="AS1230" s="36" t="n"/>
      <c r="AT1230" s="36" t="n"/>
      <c r="AU1230" s="27" t="n"/>
      <c r="AV1230" s="37" t="n"/>
      <c r="AW1230" s="38">
        <f>IF(AO1230="","",IF(AR1230="Yes","❌ Disc",IF(AQ1230="No","⚠ Missing",IF(AT1230="Yes","✓ OK","⚠ Check"))))</f>
        <v/>
      </c>
    </row>
    <row r="1231" ht="18" customHeight="1" s="46">
      <c r="A1231" s="23" t="n">
        <v>1227</v>
      </c>
      <c r="B1231" s="24" t="inlineStr">
        <is>
          <t>WP MR FUN 153</t>
        </is>
      </c>
      <c r="C1231" s="25" t="inlineStr">
        <is>
          <t>Marshalls - Fun Time Wallpapers - FUN 153</t>
        </is>
      </c>
      <c r="D1231" s="23" t="inlineStr">
        <is>
          <t>Marshalls</t>
        </is>
      </c>
      <c r="E1231" s="43" t="n">
        <v>46125</v>
      </c>
      <c r="F1231" s="26" t="inlineStr">
        <is>
          <t>Sunil CR</t>
        </is>
      </c>
      <c r="G1231" s="26" t="inlineStr">
        <is>
          <t>Yes</t>
        </is>
      </c>
      <c r="H1231" s="26" t="inlineStr">
        <is>
          <t>No</t>
        </is>
      </c>
      <c r="I1231" s="26" t="inlineStr">
        <is>
          <t>Good finish</t>
        </is>
      </c>
      <c r="J1231" s="26" t="inlineStr">
        <is>
          <t>Yes</t>
        </is>
      </c>
      <c r="K1231" s="27" t="n"/>
      <c r="L1231" s="28" t="inlineStr">
        <is>
          <t>No</t>
        </is>
      </c>
      <c r="M1231" s="29">
        <f>IF(E1231="","",IF(H1231="Yes","❌ Disc",IF(G1231="No","⚠ Missing",IF(J1231="Yes","✓ OK","⚠ Check"))))</f>
        <v/>
      </c>
      <c r="N1231" s="43" t="n">
        <v>46193</v>
      </c>
      <c r="O1231" s="26" t="inlineStr">
        <is>
          <t>Sunil CR</t>
        </is>
      </c>
      <c r="P1231" s="26" t="inlineStr">
        <is>
          <t>Yes</t>
        </is>
      </c>
      <c r="Q1231" s="26" t="inlineStr">
        <is>
          <t>No</t>
        </is>
      </c>
      <c r="R1231" s="26" t="inlineStr">
        <is>
          <t>Good finish</t>
        </is>
      </c>
      <c r="S1231" s="26" t="inlineStr">
        <is>
          <t>Yes</t>
        </is>
      </c>
      <c r="T1231" s="27" t="n"/>
      <c r="U1231" s="28" t="inlineStr">
        <is>
          <t>No</t>
        </is>
      </c>
      <c r="V1231" s="29">
        <f>IF(N1231="","",IF(Q1231="Yes","❌ Disc",IF(P1231="No","⚠ Missing",IF(S1231="Yes","✓ OK","⚠ Check"))))</f>
        <v/>
      </c>
      <c r="W1231" s="65" t="n">
        <v>46248</v>
      </c>
      <c r="X1231" s="30" t="inlineStr">
        <is>
          <t>Sunil CR</t>
        </is>
      </c>
      <c r="Y1231" s="30" t="inlineStr">
        <is>
          <t>Yes</t>
        </is>
      </c>
      <c r="Z1231" s="30" t="n"/>
      <c r="AA1231" s="30" t="inlineStr">
        <is>
          <t>Good finish</t>
        </is>
      </c>
      <c r="AB1231" s="30" t="inlineStr">
        <is>
          <t>Yes</t>
        </is>
      </c>
      <c r="AC1231" s="27" t="n"/>
      <c r="AD1231" s="31" t="inlineStr">
        <is>
          <t>No</t>
        </is>
      </c>
      <c r="AE1231" s="32">
        <f>IF(W1231="","",IF(Z1231="Yes","❌ Disc",IF(Y1231="No","⚠ Missing",IF(AB1231="Yes","✓ OK","⚠ Check"))))</f>
        <v/>
      </c>
      <c r="AF1231" s="33" t="n"/>
      <c r="AG1231" s="33" t="n"/>
      <c r="AH1231" s="33" t="n"/>
      <c r="AI1231" s="33" t="n"/>
      <c r="AJ1231" s="33" t="n"/>
      <c r="AK1231" s="33" t="n"/>
      <c r="AL1231" s="27" t="n"/>
      <c r="AM1231" s="34" t="n"/>
      <c r="AN1231" s="35">
        <f>IF(AF1231="","",IF(AI1231="Yes","❌ Disc",IF(AH1231="No","⚠ Missing",IF(AK1231="Yes","✓ OK","⚠ Check"))))</f>
        <v/>
      </c>
      <c r="AO1231" s="36" t="n"/>
      <c r="AP1231" s="36" t="n"/>
      <c r="AQ1231" s="36" t="n"/>
      <c r="AR1231" s="36" t="n"/>
      <c r="AS1231" s="36" t="n"/>
      <c r="AT1231" s="36" t="n"/>
      <c r="AU1231" s="27" t="n"/>
      <c r="AV1231" s="37" t="n"/>
      <c r="AW1231" s="38">
        <f>IF(AO1231="","",IF(AR1231="Yes","❌ Disc",IF(AQ1231="No","⚠ Missing",IF(AT1231="Yes","✓ OK","⚠ Check"))))</f>
        <v/>
      </c>
    </row>
    <row r="1232" ht="18" customHeight="1" s="46">
      <c r="A1232" s="39" t="n">
        <v>1228</v>
      </c>
      <c r="B1232" s="40" t="inlineStr">
        <is>
          <t>WP MR FUN 154</t>
        </is>
      </c>
      <c r="C1232" s="41" t="inlineStr">
        <is>
          <t>Marshalls - Fun Time Wallpapers - FUN 154</t>
        </is>
      </c>
      <c r="D1232" s="39" t="inlineStr">
        <is>
          <t>Marshalls</t>
        </is>
      </c>
      <c r="E1232" s="43" t="n">
        <v>46125</v>
      </c>
      <c r="F1232" s="26" t="inlineStr">
        <is>
          <t>Sunil CR</t>
        </is>
      </c>
      <c r="G1232" s="26" t="inlineStr">
        <is>
          <t>Yes</t>
        </is>
      </c>
      <c r="H1232" s="26" t="inlineStr">
        <is>
          <t>No</t>
        </is>
      </c>
      <c r="I1232" s="26" t="inlineStr">
        <is>
          <t>Good finish</t>
        </is>
      </c>
      <c r="J1232" s="26" t="inlineStr">
        <is>
          <t>Yes</t>
        </is>
      </c>
      <c r="K1232" s="27" t="n"/>
      <c r="L1232" s="28" t="inlineStr">
        <is>
          <t>No</t>
        </is>
      </c>
      <c r="M1232" s="29">
        <f>IF(E1232="","",IF(H1232="Yes","❌ Disc",IF(G1232="No","⚠ Missing",IF(J1232="Yes","✓ OK","⚠ Check"))))</f>
        <v/>
      </c>
      <c r="N1232" s="43" t="n">
        <v>46193</v>
      </c>
      <c r="O1232" s="26" t="inlineStr">
        <is>
          <t>Sunil CR</t>
        </is>
      </c>
      <c r="P1232" s="26" t="inlineStr">
        <is>
          <t>Yes</t>
        </is>
      </c>
      <c r="Q1232" s="26" t="inlineStr">
        <is>
          <t>No</t>
        </is>
      </c>
      <c r="R1232" s="26" t="inlineStr">
        <is>
          <t>Good finish</t>
        </is>
      </c>
      <c r="S1232" s="26" t="inlineStr">
        <is>
          <t>Yes</t>
        </is>
      </c>
      <c r="T1232" s="27" t="n"/>
      <c r="U1232" s="28" t="inlineStr">
        <is>
          <t>No</t>
        </is>
      </c>
      <c r="V1232" s="29">
        <f>IF(N1232="","",IF(Q1232="Yes","❌ Disc",IF(P1232="No","⚠ Missing",IF(S1232="Yes","✓ OK","⚠ Check"))))</f>
        <v/>
      </c>
      <c r="W1232" s="65" t="n">
        <v>46248</v>
      </c>
      <c r="X1232" s="30" t="inlineStr">
        <is>
          <t>Sunil CR</t>
        </is>
      </c>
      <c r="Y1232" s="30" t="inlineStr">
        <is>
          <t>Yes</t>
        </is>
      </c>
      <c r="Z1232" s="30" t="n"/>
      <c r="AA1232" s="30" t="inlineStr">
        <is>
          <t>Good finish</t>
        </is>
      </c>
      <c r="AB1232" s="30" t="inlineStr">
        <is>
          <t>Yes</t>
        </is>
      </c>
      <c r="AC1232" s="27" t="n"/>
      <c r="AD1232" s="31" t="inlineStr">
        <is>
          <t>No</t>
        </is>
      </c>
      <c r="AE1232" s="32">
        <f>IF(W1232="","",IF(Z1232="Yes","❌ Disc",IF(Y1232="No","⚠ Missing",IF(AB1232="Yes","✓ OK","⚠ Check"))))</f>
        <v/>
      </c>
      <c r="AF1232" s="33" t="n"/>
      <c r="AG1232" s="33" t="n"/>
      <c r="AH1232" s="33" t="n"/>
      <c r="AI1232" s="33" t="n"/>
      <c r="AJ1232" s="33" t="n"/>
      <c r="AK1232" s="33" t="n"/>
      <c r="AL1232" s="27" t="n"/>
      <c r="AM1232" s="34" t="n"/>
      <c r="AN1232" s="35">
        <f>IF(AF1232="","",IF(AI1232="Yes","❌ Disc",IF(AH1232="No","⚠ Missing",IF(AK1232="Yes","✓ OK","⚠ Check"))))</f>
        <v/>
      </c>
      <c r="AO1232" s="36" t="n"/>
      <c r="AP1232" s="36" t="n"/>
      <c r="AQ1232" s="36" t="n"/>
      <c r="AR1232" s="36" t="n"/>
      <c r="AS1232" s="36" t="n"/>
      <c r="AT1232" s="36" t="n"/>
      <c r="AU1232" s="27" t="n"/>
      <c r="AV1232" s="37" t="n"/>
      <c r="AW1232" s="38">
        <f>IF(AO1232="","",IF(AR1232="Yes","❌ Disc",IF(AQ1232="No","⚠ Missing",IF(AT1232="Yes","✓ OK","⚠ Check"))))</f>
        <v/>
      </c>
    </row>
    <row r="1233" ht="18" customHeight="1" s="46">
      <c r="A1233" s="23" t="n">
        <v>1229</v>
      </c>
      <c r="B1233" s="24" t="inlineStr">
        <is>
          <t>WP MR FUN 155</t>
        </is>
      </c>
      <c r="C1233" s="25" t="inlineStr">
        <is>
          <t>Marshalls - Fun Time Wallpapers - FUN 155</t>
        </is>
      </c>
      <c r="D1233" s="23" t="inlineStr">
        <is>
          <t>Marshalls</t>
        </is>
      </c>
      <c r="E1233" s="43" t="n">
        <v>46125</v>
      </c>
      <c r="F1233" s="26" t="inlineStr">
        <is>
          <t>Sunil CR</t>
        </is>
      </c>
      <c r="G1233" s="26" t="inlineStr">
        <is>
          <t>Yes</t>
        </is>
      </c>
      <c r="H1233" s="26" t="inlineStr">
        <is>
          <t>No</t>
        </is>
      </c>
      <c r="I1233" s="26" t="inlineStr">
        <is>
          <t>Good finish</t>
        </is>
      </c>
      <c r="J1233" s="26" t="inlineStr">
        <is>
          <t>Yes</t>
        </is>
      </c>
      <c r="K1233" s="27" t="n"/>
      <c r="L1233" s="28" t="inlineStr">
        <is>
          <t>No</t>
        </is>
      </c>
      <c r="M1233" s="29">
        <f>IF(E1233="","",IF(H1233="Yes","❌ Disc",IF(G1233="No","⚠ Missing",IF(J1233="Yes","✓ OK","⚠ Check"))))</f>
        <v/>
      </c>
      <c r="N1233" s="43" t="n">
        <v>46193</v>
      </c>
      <c r="O1233" s="26" t="inlineStr">
        <is>
          <t>Sunil CR</t>
        </is>
      </c>
      <c r="P1233" s="26" t="inlineStr">
        <is>
          <t>Yes</t>
        </is>
      </c>
      <c r="Q1233" s="26" t="inlineStr">
        <is>
          <t>No</t>
        </is>
      </c>
      <c r="R1233" s="26" t="inlineStr">
        <is>
          <t>Good finish</t>
        </is>
      </c>
      <c r="S1233" s="26" t="inlineStr">
        <is>
          <t>Yes</t>
        </is>
      </c>
      <c r="T1233" s="27" t="n"/>
      <c r="U1233" s="28" t="inlineStr">
        <is>
          <t>No</t>
        </is>
      </c>
      <c r="V1233" s="29">
        <f>IF(N1233="","",IF(Q1233="Yes","❌ Disc",IF(P1233="No","⚠ Missing",IF(S1233="Yes","✓ OK","⚠ Check"))))</f>
        <v/>
      </c>
      <c r="W1233" s="65" t="n">
        <v>46248</v>
      </c>
      <c r="X1233" s="30" t="inlineStr">
        <is>
          <t>Sunil CR</t>
        </is>
      </c>
      <c r="Y1233" s="30" t="inlineStr">
        <is>
          <t>Yes</t>
        </is>
      </c>
      <c r="Z1233" s="30" t="n"/>
      <c r="AA1233" s="30" t="inlineStr">
        <is>
          <t>Good finish</t>
        </is>
      </c>
      <c r="AB1233" s="30" t="inlineStr">
        <is>
          <t>Yes</t>
        </is>
      </c>
      <c r="AC1233" s="27" t="n"/>
      <c r="AD1233" s="31" t="inlineStr">
        <is>
          <t>No</t>
        </is>
      </c>
      <c r="AE1233" s="32">
        <f>IF(W1233="","",IF(Z1233="Yes","❌ Disc",IF(Y1233="No","⚠ Missing",IF(AB1233="Yes","✓ OK","⚠ Check"))))</f>
        <v/>
      </c>
      <c r="AF1233" s="33" t="n"/>
      <c r="AG1233" s="33" t="n"/>
      <c r="AH1233" s="33" t="n"/>
      <c r="AI1233" s="33" t="n"/>
      <c r="AJ1233" s="33" t="n"/>
      <c r="AK1233" s="33" t="n"/>
      <c r="AL1233" s="27" t="n"/>
      <c r="AM1233" s="34" t="n"/>
      <c r="AN1233" s="35">
        <f>IF(AF1233="","",IF(AI1233="Yes","❌ Disc",IF(AH1233="No","⚠ Missing",IF(AK1233="Yes","✓ OK","⚠ Check"))))</f>
        <v/>
      </c>
      <c r="AO1233" s="36" t="n"/>
      <c r="AP1233" s="36" t="n"/>
      <c r="AQ1233" s="36" t="n"/>
      <c r="AR1233" s="36" t="n"/>
      <c r="AS1233" s="36" t="n"/>
      <c r="AT1233" s="36" t="n"/>
      <c r="AU1233" s="27" t="n"/>
      <c r="AV1233" s="37" t="n"/>
      <c r="AW1233" s="38">
        <f>IF(AO1233="","",IF(AR1233="Yes","❌ Disc",IF(AQ1233="No","⚠ Missing",IF(AT1233="Yes","✓ OK","⚠ Check"))))</f>
        <v/>
      </c>
    </row>
    <row r="1234" ht="18" customHeight="1" s="46">
      <c r="A1234" s="39" t="n">
        <v>1230</v>
      </c>
      <c r="B1234" s="40" t="inlineStr">
        <is>
          <t>WP MR FUN 156</t>
        </is>
      </c>
      <c r="C1234" s="41" t="inlineStr">
        <is>
          <t>Marshalls - Fun Time Wallpapers - FUN 156</t>
        </is>
      </c>
      <c r="D1234" s="39" t="inlineStr">
        <is>
          <t>Marshalls</t>
        </is>
      </c>
      <c r="E1234" s="43" t="n">
        <v>46125</v>
      </c>
      <c r="F1234" s="26" t="inlineStr">
        <is>
          <t>Sunil CR</t>
        </is>
      </c>
      <c r="G1234" s="26" t="inlineStr">
        <is>
          <t>Yes</t>
        </is>
      </c>
      <c r="H1234" s="26" t="inlineStr">
        <is>
          <t>No</t>
        </is>
      </c>
      <c r="I1234" s="26" t="inlineStr">
        <is>
          <t>Good finish</t>
        </is>
      </c>
      <c r="J1234" s="26" t="inlineStr">
        <is>
          <t>Yes</t>
        </is>
      </c>
      <c r="K1234" s="27" t="n"/>
      <c r="L1234" s="28" t="inlineStr">
        <is>
          <t>No</t>
        </is>
      </c>
      <c r="M1234" s="29">
        <f>IF(E1234="","",IF(H1234="Yes","❌ Disc",IF(G1234="No","⚠ Missing",IF(J1234="Yes","✓ OK","⚠ Check"))))</f>
        <v/>
      </c>
      <c r="N1234" s="43" t="n">
        <v>46193</v>
      </c>
      <c r="O1234" s="26" t="inlineStr">
        <is>
          <t>Sunil CR</t>
        </is>
      </c>
      <c r="P1234" s="26" t="inlineStr">
        <is>
          <t>Yes</t>
        </is>
      </c>
      <c r="Q1234" s="26" t="inlineStr">
        <is>
          <t>No</t>
        </is>
      </c>
      <c r="R1234" s="26" t="inlineStr">
        <is>
          <t>Good finish</t>
        </is>
      </c>
      <c r="S1234" s="26" t="inlineStr">
        <is>
          <t>Yes</t>
        </is>
      </c>
      <c r="T1234" s="27" t="n"/>
      <c r="U1234" s="28" t="inlineStr">
        <is>
          <t>No</t>
        </is>
      </c>
      <c r="V1234" s="29">
        <f>IF(N1234="","",IF(Q1234="Yes","❌ Disc",IF(P1234="No","⚠ Missing",IF(S1234="Yes","✓ OK","⚠ Check"))))</f>
        <v/>
      </c>
      <c r="W1234" s="65" t="n">
        <v>46248</v>
      </c>
      <c r="X1234" s="30" t="inlineStr">
        <is>
          <t>Sunil CR</t>
        </is>
      </c>
      <c r="Y1234" s="30" t="inlineStr">
        <is>
          <t>Yes</t>
        </is>
      </c>
      <c r="Z1234" s="30" t="n"/>
      <c r="AA1234" s="30" t="inlineStr">
        <is>
          <t>Good finish</t>
        </is>
      </c>
      <c r="AB1234" s="30" t="inlineStr">
        <is>
          <t>Yes</t>
        </is>
      </c>
      <c r="AC1234" s="27" t="n"/>
      <c r="AD1234" s="31" t="inlineStr">
        <is>
          <t>No</t>
        </is>
      </c>
      <c r="AE1234" s="32">
        <f>IF(W1234="","",IF(Z1234="Yes","❌ Disc",IF(Y1234="No","⚠ Missing",IF(AB1234="Yes","✓ OK","⚠ Check"))))</f>
        <v/>
      </c>
      <c r="AF1234" s="33" t="n"/>
      <c r="AG1234" s="33" t="n"/>
      <c r="AH1234" s="33" t="n"/>
      <c r="AI1234" s="33" t="n"/>
      <c r="AJ1234" s="33" t="n"/>
      <c r="AK1234" s="33" t="n"/>
      <c r="AL1234" s="27" t="n"/>
      <c r="AM1234" s="34" t="n"/>
      <c r="AN1234" s="35">
        <f>IF(AF1234="","",IF(AI1234="Yes","❌ Disc",IF(AH1234="No","⚠ Missing",IF(AK1234="Yes","✓ OK","⚠ Check"))))</f>
        <v/>
      </c>
      <c r="AO1234" s="36" t="n"/>
      <c r="AP1234" s="36" t="n"/>
      <c r="AQ1234" s="36" t="n"/>
      <c r="AR1234" s="36" t="n"/>
      <c r="AS1234" s="36" t="n"/>
      <c r="AT1234" s="36" t="n"/>
      <c r="AU1234" s="27" t="n"/>
      <c r="AV1234" s="37" t="n"/>
      <c r="AW1234" s="38">
        <f>IF(AO1234="","",IF(AR1234="Yes","❌ Disc",IF(AQ1234="No","⚠ Missing",IF(AT1234="Yes","✓ OK","⚠ Check"))))</f>
        <v/>
      </c>
    </row>
    <row r="1235" ht="18" customHeight="1" s="46">
      <c r="A1235" s="23" t="n">
        <v>1231</v>
      </c>
      <c r="B1235" s="24" t="inlineStr">
        <is>
          <t>WP MR FUN 157</t>
        </is>
      </c>
      <c r="C1235" s="25" t="inlineStr">
        <is>
          <t>Marshalls - Fun Time Wallpapers - FUN 157</t>
        </is>
      </c>
      <c r="D1235" s="23" t="inlineStr">
        <is>
          <t>Marshalls</t>
        </is>
      </c>
      <c r="E1235" s="43" t="n">
        <v>46125</v>
      </c>
      <c r="F1235" s="26" t="inlineStr">
        <is>
          <t>Sunil CR</t>
        </is>
      </c>
      <c r="G1235" s="26" t="inlineStr">
        <is>
          <t>Yes</t>
        </is>
      </c>
      <c r="H1235" s="26" t="inlineStr">
        <is>
          <t>No</t>
        </is>
      </c>
      <c r="I1235" s="26" t="inlineStr">
        <is>
          <t>Good finish</t>
        </is>
      </c>
      <c r="J1235" s="26" t="inlineStr">
        <is>
          <t>Yes</t>
        </is>
      </c>
      <c r="K1235" s="27" t="n"/>
      <c r="L1235" s="28" t="inlineStr">
        <is>
          <t>No</t>
        </is>
      </c>
      <c r="M1235" s="29">
        <f>IF(E1235="","",IF(H1235="Yes","❌ Disc",IF(G1235="No","⚠ Missing",IF(J1235="Yes","✓ OK","⚠ Check"))))</f>
        <v/>
      </c>
      <c r="N1235" s="43" t="n">
        <v>46193</v>
      </c>
      <c r="O1235" s="26" t="inlineStr">
        <is>
          <t>Sunil CR</t>
        </is>
      </c>
      <c r="P1235" s="26" t="inlineStr">
        <is>
          <t>Yes</t>
        </is>
      </c>
      <c r="Q1235" s="26" t="inlineStr">
        <is>
          <t>No</t>
        </is>
      </c>
      <c r="R1235" s="26" t="inlineStr">
        <is>
          <t>Good finish</t>
        </is>
      </c>
      <c r="S1235" s="26" t="inlineStr">
        <is>
          <t>Yes</t>
        </is>
      </c>
      <c r="T1235" s="27" t="n"/>
      <c r="U1235" s="28" t="inlineStr">
        <is>
          <t>No</t>
        </is>
      </c>
      <c r="V1235" s="29">
        <f>IF(N1235="","",IF(Q1235="Yes","❌ Disc",IF(P1235="No","⚠ Missing",IF(S1235="Yes","✓ OK","⚠ Check"))))</f>
        <v/>
      </c>
      <c r="W1235" s="65" t="n">
        <v>46248</v>
      </c>
      <c r="X1235" s="30" t="inlineStr">
        <is>
          <t>Sunil CR</t>
        </is>
      </c>
      <c r="Y1235" s="30" t="inlineStr">
        <is>
          <t>Yes</t>
        </is>
      </c>
      <c r="Z1235" s="30" t="n"/>
      <c r="AA1235" s="30" t="inlineStr">
        <is>
          <t>Good finish</t>
        </is>
      </c>
      <c r="AB1235" s="30" t="inlineStr">
        <is>
          <t>Yes</t>
        </is>
      </c>
      <c r="AC1235" s="27" t="n"/>
      <c r="AD1235" s="31" t="inlineStr">
        <is>
          <t>No</t>
        </is>
      </c>
      <c r="AE1235" s="32">
        <f>IF(W1235="","",IF(Z1235="Yes","❌ Disc",IF(Y1235="No","⚠ Missing",IF(AB1235="Yes","✓ OK","⚠ Check"))))</f>
        <v/>
      </c>
      <c r="AF1235" s="33" t="n"/>
      <c r="AG1235" s="33" t="n"/>
      <c r="AH1235" s="33" t="n"/>
      <c r="AI1235" s="33" t="n"/>
      <c r="AJ1235" s="33" t="n"/>
      <c r="AK1235" s="33" t="n"/>
      <c r="AL1235" s="27" t="n"/>
      <c r="AM1235" s="34" t="n"/>
      <c r="AN1235" s="35">
        <f>IF(AF1235="","",IF(AI1235="Yes","❌ Disc",IF(AH1235="No","⚠ Missing",IF(AK1235="Yes","✓ OK","⚠ Check"))))</f>
        <v/>
      </c>
      <c r="AO1235" s="36" t="n"/>
      <c r="AP1235" s="36" t="n"/>
      <c r="AQ1235" s="36" t="n"/>
      <c r="AR1235" s="36" t="n"/>
      <c r="AS1235" s="36" t="n"/>
      <c r="AT1235" s="36" t="n"/>
      <c r="AU1235" s="27" t="n"/>
      <c r="AV1235" s="37" t="n"/>
      <c r="AW1235" s="38">
        <f>IF(AO1235="","",IF(AR1235="Yes","❌ Disc",IF(AQ1235="No","⚠ Missing",IF(AT1235="Yes","✓ OK","⚠ Check"))))</f>
        <v/>
      </c>
    </row>
    <row r="1236" ht="18" customHeight="1" s="46">
      <c r="A1236" s="39" t="n">
        <v>1232</v>
      </c>
      <c r="B1236" s="40" t="inlineStr">
        <is>
          <t>WP MR FUN 158</t>
        </is>
      </c>
      <c r="C1236" s="41" t="inlineStr">
        <is>
          <t>Marshalls - Fun Time Wallpapers - FUN 158</t>
        </is>
      </c>
      <c r="D1236" s="39" t="inlineStr">
        <is>
          <t>Marshalls</t>
        </is>
      </c>
      <c r="E1236" s="43" t="n">
        <v>46125</v>
      </c>
      <c r="F1236" s="26" t="inlineStr">
        <is>
          <t>Sunil CR</t>
        </is>
      </c>
      <c r="G1236" s="26" t="inlineStr">
        <is>
          <t>Yes</t>
        </is>
      </c>
      <c r="H1236" s="26" t="inlineStr">
        <is>
          <t>No</t>
        </is>
      </c>
      <c r="I1236" s="26" t="inlineStr">
        <is>
          <t>Good finish</t>
        </is>
      </c>
      <c r="J1236" s="26" t="inlineStr">
        <is>
          <t>Yes</t>
        </is>
      </c>
      <c r="K1236" s="27" t="n"/>
      <c r="L1236" s="28" t="inlineStr">
        <is>
          <t>No</t>
        </is>
      </c>
      <c r="M1236" s="29">
        <f>IF(E1236="","",IF(H1236="Yes","❌ Disc",IF(G1236="No","⚠ Missing",IF(J1236="Yes","✓ OK","⚠ Check"))))</f>
        <v/>
      </c>
      <c r="N1236" s="43" t="n">
        <v>46193</v>
      </c>
      <c r="O1236" s="26" t="inlineStr">
        <is>
          <t>Sunil CR</t>
        </is>
      </c>
      <c r="P1236" s="26" t="inlineStr">
        <is>
          <t>Yes</t>
        </is>
      </c>
      <c r="Q1236" s="26" t="inlineStr">
        <is>
          <t>No</t>
        </is>
      </c>
      <c r="R1236" s="26" t="inlineStr">
        <is>
          <t>Good finish</t>
        </is>
      </c>
      <c r="S1236" s="26" t="inlineStr">
        <is>
          <t>Yes</t>
        </is>
      </c>
      <c r="T1236" s="27" t="n"/>
      <c r="U1236" s="28" t="inlineStr">
        <is>
          <t>No</t>
        </is>
      </c>
      <c r="V1236" s="29">
        <f>IF(N1236="","",IF(Q1236="Yes","❌ Disc",IF(P1236="No","⚠ Missing",IF(S1236="Yes","✓ OK","⚠ Check"))))</f>
        <v/>
      </c>
      <c r="W1236" s="65" t="n">
        <v>46248</v>
      </c>
      <c r="X1236" s="30" t="inlineStr">
        <is>
          <t>Sunil CR</t>
        </is>
      </c>
      <c r="Y1236" s="30" t="inlineStr">
        <is>
          <t>Yes</t>
        </is>
      </c>
      <c r="Z1236" s="30" t="n"/>
      <c r="AA1236" s="30" t="inlineStr">
        <is>
          <t>Good finish</t>
        </is>
      </c>
      <c r="AB1236" s="30" t="inlineStr">
        <is>
          <t>Yes</t>
        </is>
      </c>
      <c r="AC1236" s="27" t="n"/>
      <c r="AD1236" s="31" t="inlineStr">
        <is>
          <t>No</t>
        </is>
      </c>
      <c r="AE1236" s="32">
        <f>IF(W1236="","",IF(Z1236="Yes","❌ Disc",IF(Y1236="No","⚠ Missing",IF(AB1236="Yes","✓ OK","⚠ Check"))))</f>
        <v/>
      </c>
      <c r="AF1236" s="33" t="n"/>
      <c r="AG1236" s="33" t="n"/>
      <c r="AH1236" s="33" t="n"/>
      <c r="AI1236" s="33" t="n"/>
      <c r="AJ1236" s="33" t="n"/>
      <c r="AK1236" s="33" t="n"/>
      <c r="AL1236" s="27" t="n"/>
      <c r="AM1236" s="34" t="n"/>
      <c r="AN1236" s="35">
        <f>IF(AF1236="","",IF(AI1236="Yes","❌ Disc",IF(AH1236="No","⚠ Missing",IF(AK1236="Yes","✓ OK","⚠ Check"))))</f>
        <v/>
      </c>
      <c r="AO1236" s="36" t="n"/>
      <c r="AP1236" s="36" t="n"/>
      <c r="AQ1236" s="36" t="n"/>
      <c r="AR1236" s="36" t="n"/>
      <c r="AS1236" s="36" t="n"/>
      <c r="AT1236" s="36" t="n"/>
      <c r="AU1236" s="27" t="n"/>
      <c r="AV1236" s="37" t="n"/>
      <c r="AW1236" s="38">
        <f>IF(AO1236="","",IF(AR1236="Yes","❌ Disc",IF(AQ1236="No","⚠ Missing",IF(AT1236="Yes","✓ OK","⚠ Check"))))</f>
        <v/>
      </c>
    </row>
    <row r="1237" ht="18" customHeight="1" s="46">
      <c r="A1237" s="23" t="n">
        <v>1233</v>
      </c>
      <c r="B1237" s="24" t="inlineStr">
        <is>
          <t>WP MR FUN 159</t>
        </is>
      </c>
      <c r="C1237" s="25" t="inlineStr">
        <is>
          <t>Marshalls - Fun Time Wallpapers - FUN 159</t>
        </is>
      </c>
      <c r="D1237" s="23" t="inlineStr">
        <is>
          <t>Marshalls</t>
        </is>
      </c>
      <c r="E1237" s="43" t="n">
        <v>46125</v>
      </c>
      <c r="F1237" s="26" t="inlineStr">
        <is>
          <t>Sunil CR</t>
        </is>
      </c>
      <c r="G1237" s="26" t="inlineStr">
        <is>
          <t>Yes</t>
        </is>
      </c>
      <c r="H1237" s="26" t="inlineStr">
        <is>
          <t>No</t>
        </is>
      </c>
      <c r="I1237" s="26" t="inlineStr">
        <is>
          <t>Good finish</t>
        </is>
      </c>
      <c r="J1237" s="26" t="inlineStr">
        <is>
          <t>Yes</t>
        </is>
      </c>
      <c r="K1237" s="27" t="n"/>
      <c r="L1237" s="28" t="inlineStr">
        <is>
          <t>No</t>
        </is>
      </c>
      <c r="M1237" s="29">
        <f>IF(E1237="","",IF(H1237="Yes","❌ Disc",IF(G1237="No","⚠ Missing",IF(J1237="Yes","✓ OK","⚠ Check"))))</f>
        <v/>
      </c>
      <c r="N1237" s="43" t="n">
        <v>46193</v>
      </c>
      <c r="O1237" s="26" t="inlineStr">
        <is>
          <t>Sunil CR</t>
        </is>
      </c>
      <c r="P1237" s="26" t="inlineStr">
        <is>
          <t>Yes</t>
        </is>
      </c>
      <c r="Q1237" s="26" t="inlineStr">
        <is>
          <t>No</t>
        </is>
      </c>
      <c r="R1237" s="26" t="inlineStr">
        <is>
          <t>Good finish</t>
        </is>
      </c>
      <c r="S1237" s="26" t="inlineStr">
        <is>
          <t>Yes</t>
        </is>
      </c>
      <c r="T1237" s="27" t="n"/>
      <c r="U1237" s="28" t="inlineStr">
        <is>
          <t>No</t>
        </is>
      </c>
      <c r="V1237" s="29">
        <f>IF(N1237="","",IF(Q1237="Yes","❌ Disc",IF(P1237="No","⚠ Missing",IF(S1237="Yes","✓ OK","⚠ Check"))))</f>
        <v/>
      </c>
      <c r="W1237" s="65" t="n">
        <v>46248</v>
      </c>
      <c r="X1237" s="30" t="inlineStr">
        <is>
          <t>Sunil CR</t>
        </is>
      </c>
      <c r="Y1237" s="30" t="inlineStr">
        <is>
          <t>Yes</t>
        </is>
      </c>
      <c r="Z1237" s="30" t="n"/>
      <c r="AA1237" s="30" t="inlineStr">
        <is>
          <t>Good finish</t>
        </is>
      </c>
      <c r="AB1237" s="30" t="inlineStr">
        <is>
          <t>Yes</t>
        </is>
      </c>
      <c r="AC1237" s="27" t="n"/>
      <c r="AD1237" s="31" t="inlineStr">
        <is>
          <t>No</t>
        </is>
      </c>
      <c r="AE1237" s="32">
        <f>IF(W1237="","",IF(Z1237="Yes","❌ Disc",IF(Y1237="No","⚠ Missing",IF(AB1237="Yes","✓ OK","⚠ Check"))))</f>
        <v/>
      </c>
      <c r="AF1237" s="33" t="n"/>
      <c r="AG1237" s="33" t="n"/>
      <c r="AH1237" s="33" t="n"/>
      <c r="AI1237" s="33" t="n"/>
      <c r="AJ1237" s="33" t="n"/>
      <c r="AK1237" s="33" t="n"/>
      <c r="AL1237" s="27" t="n"/>
      <c r="AM1237" s="34" t="n"/>
      <c r="AN1237" s="35">
        <f>IF(AF1237="","",IF(AI1237="Yes","❌ Disc",IF(AH1237="No","⚠ Missing",IF(AK1237="Yes","✓ OK","⚠ Check"))))</f>
        <v/>
      </c>
      <c r="AO1237" s="36" t="n"/>
      <c r="AP1237" s="36" t="n"/>
      <c r="AQ1237" s="36" t="n"/>
      <c r="AR1237" s="36" t="n"/>
      <c r="AS1237" s="36" t="n"/>
      <c r="AT1237" s="36" t="n"/>
      <c r="AU1237" s="27" t="n"/>
      <c r="AV1237" s="37" t="n"/>
      <c r="AW1237" s="38">
        <f>IF(AO1237="","",IF(AR1237="Yes","❌ Disc",IF(AQ1237="No","⚠ Missing",IF(AT1237="Yes","✓ OK","⚠ Check"))))</f>
        <v/>
      </c>
    </row>
    <row r="1238" ht="18" customHeight="1" s="46">
      <c r="A1238" s="39" t="n">
        <v>1234</v>
      </c>
      <c r="B1238" s="40" t="inlineStr">
        <is>
          <t>WP MR FUN 160</t>
        </is>
      </c>
      <c r="C1238" s="41" t="inlineStr">
        <is>
          <t>Marshalls - Fun Time Wallpapers - FUN 160</t>
        </is>
      </c>
      <c r="D1238" s="39" t="inlineStr">
        <is>
          <t>Marshalls</t>
        </is>
      </c>
      <c r="E1238" s="43" t="n">
        <v>46125</v>
      </c>
      <c r="F1238" s="26" t="inlineStr">
        <is>
          <t>Sunil CR</t>
        </is>
      </c>
      <c r="G1238" s="26" t="inlineStr">
        <is>
          <t>Yes</t>
        </is>
      </c>
      <c r="H1238" s="26" t="inlineStr">
        <is>
          <t>No</t>
        </is>
      </c>
      <c r="I1238" s="26" t="inlineStr">
        <is>
          <t>Good finish</t>
        </is>
      </c>
      <c r="J1238" s="26" t="inlineStr">
        <is>
          <t>Yes</t>
        </is>
      </c>
      <c r="K1238" s="27" t="n"/>
      <c r="L1238" s="28" t="inlineStr">
        <is>
          <t>No</t>
        </is>
      </c>
      <c r="M1238" s="29">
        <f>IF(E1238="","",IF(H1238="Yes","❌ Disc",IF(G1238="No","⚠ Missing",IF(J1238="Yes","✓ OK","⚠ Check"))))</f>
        <v/>
      </c>
      <c r="N1238" s="43" t="n">
        <v>46193</v>
      </c>
      <c r="O1238" s="26" t="inlineStr">
        <is>
          <t>Sunil CR</t>
        </is>
      </c>
      <c r="P1238" s="26" t="inlineStr">
        <is>
          <t>Yes</t>
        </is>
      </c>
      <c r="Q1238" s="26" t="inlineStr">
        <is>
          <t>No</t>
        </is>
      </c>
      <c r="R1238" s="26" t="inlineStr">
        <is>
          <t>Good finish</t>
        </is>
      </c>
      <c r="S1238" s="26" t="inlineStr">
        <is>
          <t>Yes</t>
        </is>
      </c>
      <c r="T1238" s="27" t="n"/>
      <c r="U1238" s="28" t="inlineStr">
        <is>
          <t>No</t>
        </is>
      </c>
      <c r="V1238" s="29">
        <f>IF(N1238="","",IF(Q1238="Yes","❌ Disc",IF(P1238="No","⚠ Missing",IF(S1238="Yes","✓ OK","⚠ Check"))))</f>
        <v/>
      </c>
      <c r="W1238" s="65" t="n">
        <v>46248</v>
      </c>
      <c r="X1238" s="30" t="inlineStr">
        <is>
          <t>Sunil CR</t>
        </is>
      </c>
      <c r="Y1238" s="30" t="inlineStr">
        <is>
          <t>Yes</t>
        </is>
      </c>
      <c r="Z1238" s="30" t="n"/>
      <c r="AA1238" s="30" t="inlineStr">
        <is>
          <t>Good finish</t>
        </is>
      </c>
      <c r="AB1238" s="30" t="inlineStr">
        <is>
          <t>Yes</t>
        </is>
      </c>
      <c r="AC1238" s="27" t="n"/>
      <c r="AD1238" s="31" t="inlineStr">
        <is>
          <t>No</t>
        </is>
      </c>
      <c r="AE1238" s="32">
        <f>IF(W1238="","",IF(Z1238="Yes","❌ Disc",IF(Y1238="No","⚠ Missing",IF(AB1238="Yes","✓ OK","⚠ Check"))))</f>
        <v/>
      </c>
      <c r="AF1238" s="33" t="n"/>
      <c r="AG1238" s="33" t="n"/>
      <c r="AH1238" s="33" t="n"/>
      <c r="AI1238" s="33" t="n"/>
      <c r="AJ1238" s="33" t="n"/>
      <c r="AK1238" s="33" t="n"/>
      <c r="AL1238" s="27" t="n"/>
      <c r="AM1238" s="34" t="n"/>
      <c r="AN1238" s="35">
        <f>IF(AF1238="","",IF(AI1238="Yes","❌ Disc",IF(AH1238="No","⚠ Missing",IF(AK1238="Yes","✓ OK","⚠ Check"))))</f>
        <v/>
      </c>
      <c r="AO1238" s="36" t="n"/>
      <c r="AP1238" s="36" t="n"/>
      <c r="AQ1238" s="36" t="n"/>
      <c r="AR1238" s="36" t="n"/>
      <c r="AS1238" s="36" t="n"/>
      <c r="AT1238" s="36" t="n"/>
      <c r="AU1238" s="27" t="n"/>
      <c r="AV1238" s="37" t="n"/>
      <c r="AW1238" s="38">
        <f>IF(AO1238="","",IF(AR1238="Yes","❌ Disc",IF(AQ1238="No","⚠ Missing",IF(AT1238="Yes","✓ OK","⚠ Check"))))</f>
        <v/>
      </c>
    </row>
    <row r="1239" ht="18" customHeight="1" s="46">
      <c r="A1239" s="23" t="n">
        <v>1235</v>
      </c>
      <c r="B1239" s="24" t="inlineStr">
        <is>
          <t>WP MR FUN 161</t>
        </is>
      </c>
      <c r="C1239" s="25" t="inlineStr">
        <is>
          <t>Marshalls - Fun Time Wallpapers - FUN 161</t>
        </is>
      </c>
      <c r="D1239" s="23" t="inlineStr">
        <is>
          <t>Marshalls</t>
        </is>
      </c>
      <c r="E1239" s="43" t="n">
        <v>46125</v>
      </c>
      <c r="F1239" s="26" t="inlineStr">
        <is>
          <t>Sunil CR</t>
        </is>
      </c>
      <c r="G1239" s="26" t="inlineStr">
        <is>
          <t>Yes</t>
        </is>
      </c>
      <c r="H1239" s="26" t="inlineStr">
        <is>
          <t>No</t>
        </is>
      </c>
      <c r="I1239" s="26" t="inlineStr">
        <is>
          <t>Good finish</t>
        </is>
      </c>
      <c r="J1239" s="26" t="inlineStr">
        <is>
          <t>Yes</t>
        </is>
      </c>
      <c r="K1239" s="27" t="n"/>
      <c r="L1239" s="28" t="inlineStr">
        <is>
          <t>No</t>
        </is>
      </c>
      <c r="M1239" s="29">
        <f>IF(E1239="","",IF(H1239="Yes","❌ Disc",IF(G1239="No","⚠ Missing",IF(J1239="Yes","✓ OK","⚠ Check"))))</f>
        <v/>
      </c>
      <c r="N1239" s="43" t="n">
        <v>46193</v>
      </c>
      <c r="O1239" s="26" t="inlineStr">
        <is>
          <t>Sunil CR</t>
        </is>
      </c>
      <c r="P1239" s="26" t="inlineStr">
        <is>
          <t>Yes</t>
        </is>
      </c>
      <c r="Q1239" s="26" t="inlineStr">
        <is>
          <t>No</t>
        </is>
      </c>
      <c r="R1239" s="26" t="inlineStr">
        <is>
          <t>Good finish</t>
        </is>
      </c>
      <c r="S1239" s="26" t="inlineStr">
        <is>
          <t>Yes</t>
        </is>
      </c>
      <c r="T1239" s="27" t="n"/>
      <c r="U1239" s="28" t="inlineStr">
        <is>
          <t>No</t>
        </is>
      </c>
      <c r="V1239" s="29">
        <f>IF(N1239="","",IF(Q1239="Yes","❌ Disc",IF(P1239="No","⚠ Missing",IF(S1239="Yes","✓ OK","⚠ Check"))))</f>
        <v/>
      </c>
      <c r="W1239" s="65" t="n">
        <v>46248</v>
      </c>
      <c r="X1239" s="30" t="inlineStr">
        <is>
          <t>Sunil CR</t>
        </is>
      </c>
      <c r="Y1239" s="30" t="inlineStr">
        <is>
          <t>Yes</t>
        </is>
      </c>
      <c r="Z1239" s="30" t="n"/>
      <c r="AA1239" s="30" t="inlineStr">
        <is>
          <t>Good finish</t>
        </is>
      </c>
      <c r="AB1239" s="30" t="inlineStr">
        <is>
          <t>Yes</t>
        </is>
      </c>
      <c r="AC1239" s="27" t="n"/>
      <c r="AD1239" s="31" t="inlineStr">
        <is>
          <t>No</t>
        </is>
      </c>
      <c r="AE1239" s="32">
        <f>IF(W1239="","",IF(Z1239="Yes","❌ Disc",IF(Y1239="No","⚠ Missing",IF(AB1239="Yes","✓ OK","⚠ Check"))))</f>
        <v/>
      </c>
      <c r="AF1239" s="33" t="n"/>
      <c r="AG1239" s="33" t="n"/>
      <c r="AH1239" s="33" t="n"/>
      <c r="AI1239" s="33" t="n"/>
      <c r="AJ1239" s="33" t="n"/>
      <c r="AK1239" s="33" t="n"/>
      <c r="AL1239" s="27" t="n"/>
      <c r="AM1239" s="34" t="n"/>
      <c r="AN1239" s="35">
        <f>IF(AF1239="","",IF(AI1239="Yes","❌ Disc",IF(AH1239="No","⚠ Missing",IF(AK1239="Yes","✓ OK","⚠ Check"))))</f>
        <v/>
      </c>
      <c r="AO1239" s="36" t="n"/>
      <c r="AP1239" s="36" t="n"/>
      <c r="AQ1239" s="36" t="n"/>
      <c r="AR1239" s="36" t="n"/>
      <c r="AS1239" s="36" t="n"/>
      <c r="AT1239" s="36" t="n"/>
      <c r="AU1239" s="27" t="n"/>
      <c r="AV1239" s="37" t="n"/>
      <c r="AW1239" s="38">
        <f>IF(AO1239="","",IF(AR1239="Yes","❌ Disc",IF(AQ1239="No","⚠ Missing",IF(AT1239="Yes","✓ OK","⚠ Check"))))</f>
        <v/>
      </c>
    </row>
    <row r="1240" ht="18" customHeight="1" s="46">
      <c r="A1240" s="39" t="n">
        <v>1236</v>
      </c>
      <c r="B1240" s="40" t="inlineStr">
        <is>
          <t>WP MR FUN 162</t>
        </is>
      </c>
      <c r="C1240" s="41" t="inlineStr">
        <is>
          <t>Marshalls - Fun Time Wallpapers - FUN 162</t>
        </is>
      </c>
      <c r="D1240" s="39" t="inlineStr">
        <is>
          <t>Marshalls</t>
        </is>
      </c>
      <c r="E1240" s="43" t="n">
        <v>46125</v>
      </c>
      <c r="F1240" s="26" t="inlineStr">
        <is>
          <t>Sunil CR</t>
        </is>
      </c>
      <c r="G1240" s="26" t="inlineStr">
        <is>
          <t>Yes</t>
        </is>
      </c>
      <c r="H1240" s="26" t="inlineStr">
        <is>
          <t>No</t>
        </is>
      </c>
      <c r="I1240" s="26" t="inlineStr">
        <is>
          <t>Good finish</t>
        </is>
      </c>
      <c r="J1240" s="26" t="inlineStr">
        <is>
          <t>Yes</t>
        </is>
      </c>
      <c r="K1240" s="27" t="n"/>
      <c r="L1240" s="28" t="inlineStr">
        <is>
          <t>No</t>
        </is>
      </c>
      <c r="M1240" s="29">
        <f>IF(E1240="","",IF(H1240="Yes","❌ Disc",IF(G1240="No","⚠ Missing",IF(J1240="Yes","✓ OK","⚠ Check"))))</f>
        <v/>
      </c>
      <c r="N1240" s="43" t="n">
        <v>46193</v>
      </c>
      <c r="O1240" s="26" t="inlineStr">
        <is>
          <t>Sunil CR</t>
        </is>
      </c>
      <c r="P1240" s="26" t="inlineStr">
        <is>
          <t>Yes</t>
        </is>
      </c>
      <c r="Q1240" s="26" t="inlineStr">
        <is>
          <t>No</t>
        </is>
      </c>
      <c r="R1240" s="26" t="inlineStr">
        <is>
          <t>Good finish</t>
        </is>
      </c>
      <c r="S1240" s="26" t="inlineStr">
        <is>
          <t>Yes</t>
        </is>
      </c>
      <c r="T1240" s="27" t="n"/>
      <c r="U1240" s="28" t="inlineStr">
        <is>
          <t>No</t>
        </is>
      </c>
      <c r="V1240" s="29">
        <f>IF(N1240="","",IF(Q1240="Yes","❌ Disc",IF(P1240="No","⚠ Missing",IF(S1240="Yes","✓ OK","⚠ Check"))))</f>
        <v/>
      </c>
      <c r="W1240" s="65" t="n">
        <v>46248</v>
      </c>
      <c r="X1240" s="30" t="inlineStr">
        <is>
          <t>Sunil CR</t>
        </is>
      </c>
      <c r="Y1240" s="30" t="inlineStr">
        <is>
          <t>Yes</t>
        </is>
      </c>
      <c r="Z1240" s="30" t="n"/>
      <c r="AA1240" s="30" t="inlineStr">
        <is>
          <t>Good finish</t>
        </is>
      </c>
      <c r="AB1240" s="30" t="inlineStr">
        <is>
          <t>Yes</t>
        </is>
      </c>
      <c r="AC1240" s="27" t="n"/>
      <c r="AD1240" s="31" t="inlineStr">
        <is>
          <t>No</t>
        </is>
      </c>
      <c r="AE1240" s="32">
        <f>IF(W1240="","",IF(Z1240="Yes","❌ Disc",IF(Y1240="No","⚠ Missing",IF(AB1240="Yes","✓ OK","⚠ Check"))))</f>
        <v/>
      </c>
      <c r="AF1240" s="33" t="n"/>
      <c r="AG1240" s="33" t="n"/>
      <c r="AH1240" s="33" t="n"/>
      <c r="AI1240" s="33" t="n"/>
      <c r="AJ1240" s="33" t="n"/>
      <c r="AK1240" s="33" t="n"/>
      <c r="AL1240" s="27" t="n"/>
      <c r="AM1240" s="34" t="n"/>
      <c r="AN1240" s="35">
        <f>IF(AF1240="","",IF(AI1240="Yes","❌ Disc",IF(AH1240="No","⚠ Missing",IF(AK1240="Yes","✓ OK","⚠ Check"))))</f>
        <v/>
      </c>
      <c r="AO1240" s="36" t="n"/>
      <c r="AP1240" s="36" t="n"/>
      <c r="AQ1240" s="36" t="n"/>
      <c r="AR1240" s="36" t="n"/>
      <c r="AS1240" s="36" t="n"/>
      <c r="AT1240" s="36" t="n"/>
      <c r="AU1240" s="27" t="n"/>
      <c r="AV1240" s="37" t="n"/>
      <c r="AW1240" s="38">
        <f>IF(AO1240="","",IF(AR1240="Yes","❌ Disc",IF(AQ1240="No","⚠ Missing",IF(AT1240="Yes","✓ OK","⚠ Check"))))</f>
        <v/>
      </c>
    </row>
    <row r="1241" ht="18" customHeight="1" s="46">
      <c r="A1241" s="23" t="n">
        <v>1237</v>
      </c>
      <c r="B1241" s="24" t="inlineStr">
        <is>
          <t>WP MR FUN 163</t>
        </is>
      </c>
      <c r="C1241" s="25" t="inlineStr">
        <is>
          <t>Marshalls - Fun Time Wallpapers - FUN 163</t>
        </is>
      </c>
      <c r="D1241" s="23" t="inlineStr">
        <is>
          <t>Marshalls</t>
        </is>
      </c>
      <c r="E1241" s="43" t="n">
        <v>46125</v>
      </c>
      <c r="F1241" s="26" t="inlineStr">
        <is>
          <t>Sunil CR</t>
        </is>
      </c>
      <c r="G1241" s="26" t="inlineStr">
        <is>
          <t>Yes</t>
        </is>
      </c>
      <c r="H1241" s="26" t="inlineStr">
        <is>
          <t>No</t>
        </is>
      </c>
      <c r="I1241" s="26" t="inlineStr">
        <is>
          <t>Good finish</t>
        </is>
      </c>
      <c r="J1241" s="26" t="inlineStr">
        <is>
          <t>Yes</t>
        </is>
      </c>
      <c r="K1241" s="27" t="n"/>
      <c r="L1241" s="28" t="inlineStr">
        <is>
          <t>No</t>
        </is>
      </c>
      <c r="M1241" s="29">
        <f>IF(E1241="","",IF(H1241="Yes","❌ Disc",IF(G1241="No","⚠ Missing",IF(J1241="Yes","✓ OK","⚠ Check"))))</f>
        <v/>
      </c>
      <c r="N1241" s="43" t="n">
        <v>46193</v>
      </c>
      <c r="O1241" s="26" t="inlineStr">
        <is>
          <t>Sunil CR</t>
        </is>
      </c>
      <c r="P1241" s="26" t="inlineStr">
        <is>
          <t>Yes</t>
        </is>
      </c>
      <c r="Q1241" s="26" t="inlineStr">
        <is>
          <t>No</t>
        </is>
      </c>
      <c r="R1241" s="26" t="inlineStr">
        <is>
          <t>Good finish</t>
        </is>
      </c>
      <c r="S1241" s="26" t="inlineStr">
        <is>
          <t>Yes</t>
        </is>
      </c>
      <c r="T1241" s="27" t="n"/>
      <c r="U1241" s="28" t="inlineStr">
        <is>
          <t>No</t>
        </is>
      </c>
      <c r="V1241" s="29">
        <f>IF(N1241="","",IF(Q1241="Yes","❌ Disc",IF(P1241="No","⚠ Missing",IF(S1241="Yes","✓ OK","⚠ Check"))))</f>
        <v/>
      </c>
      <c r="W1241" s="65" t="n">
        <v>46248</v>
      </c>
      <c r="X1241" s="30" t="inlineStr">
        <is>
          <t>Sunil CR</t>
        </is>
      </c>
      <c r="Y1241" s="30" t="inlineStr">
        <is>
          <t>Yes</t>
        </is>
      </c>
      <c r="Z1241" s="30" t="n"/>
      <c r="AA1241" s="30" t="inlineStr">
        <is>
          <t>Good finish</t>
        </is>
      </c>
      <c r="AB1241" s="30" t="inlineStr">
        <is>
          <t>Yes</t>
        </is>
      </c>
      <c r="AC1241" s="27" t="n"/>
      <c r="AD1241" s="31" t="inlineStr">
        <is>
          <t>No</t>
        </is>
      </c>
      <c r="AE1241" s="32">
        <f>IF(W1241="","",IF(Z1241="Yes","❌ Disc",IF(Y1241="No","⚠ Missing",IF(AB1241="Yes","✓ OK","⚠ Check"))))</f>
        <v/>
      </c>
      <c r="AF1241" s="33" t="n"/>
      <c r="AG1241" s="33" t="n"/>
      <c r="AH1241" s="33" t="n"/>
      <c r="AI1241" s="33" t="n"/>
      <c r="AJ1241" s="33" t="n"/>
      <c r="AK1241" s="33" t="n"/>
      <c r="AL1241" s="27" t="n"/>
      <c r="AM1241" s="34" t="n"/>
      <c r="AN1241" s="35">
        <f>IF(AF1241="","",IF(AI1241="Yes","❌ Disc",IF(AH1241="No","⚠ Missing",IF(AK1241="Yes","✓ OK","⚠ Check"))))</f>
        <v/>
      </c>
      <c r="AO1241" s="36" t="n"/>
      <c r="AP1241" s="36" t="n"/>
      <c r="AQ1241" s="36" t="n"/>
      <c r="AR1241" s="36" t="n"/>
      <c r="AS1241" s="36" t="n"/>
      <c r="AT1241" s="36" t="n"/>
      <c r="AU1241" s="27" t="n"/>
      <c r="AV1241" s="37" t="n"/>
      <c r="AW1241" s="38">
        <f>IF(AO1241="","",IF(AR1241="Yes","❌ Disc",IF(AQ1241="No","⚠ Missing",IF(AT1241="Yes","✓ OK","⚠ Check"))))</f>
        <v/>
      </c>
    </row>
    <row r="1242" ht="18" customHeight="1" s="46">
      <c r="A1242" s="39" t="n">
        <v>1238</v>
      </c>
      <c r="B1242" s="40" t="inlineStr">
        <is>
          <t>WP MR FUN 164</t>
        </is>
      </c>
      <c r="C1242" s="41" t="inlineStr">
        <is>
          <t>Marshalls - Fun Time Wallpapers - FUN 164</t>
        </is>
      </c>
      <c r="D1242" s="39" t="inlineStr">
        <is>
          <t>Marshalls</t>
        </is>
      </c>
      <c r="E1242" s="43" t="n">
        <v>46125</v>
      </c>
      <c r="F1242" s="26" t="inlineStr">
        <is>
          <t>Sunil CR</t>
        </is>
      </c>
      <c r="G1242" s="26" t="inlineStr">
        <is>
          <t>Yes</t>
        </is>
      </c>
      <c r="H1242" s="26" t="inlineStr">
        <is>
          <t>No</t>
        </is>
      </c>
      <c r="I1242" s="26" t="inlineStr">
        <is>
          <t>Good finish</t>
        </is>
      </c>
      <c r="J1242" s="26" t="inlineStr">
        <is>
          <t>Yes</t>
        </is>
      </c>
      <c r="K1242" s="27" t="n"/>
      <c r="L1242" s="28" t="inlineStr">
        <is>
          <t>No</t>
        </is>
      </c>
      <c r="M1242" s="29">
        <f>IF(E1242="","",IF(H1242="Yes","❌ Disc",IF(G1242="No","⚠ Missing",IF(J1242="Yes","✓ OK","⚠ Check"))))</f>
        <v/>
      </c>
      <c r="N1242" s="43" t="n">
        <v>46193</v>
      </c>
      <c r="O1242" s="26" t="inlineStr">
        <is>
          <t>Sunil CR</t>
        </is>
      </c>
      <c r="P1242" s="26" t="inlineStr">
        <is>
          <t>Yes</t>
        </is>
      </c>
      <c r="Q1242" s="26" t="inlineStr">
        <is>
          <t>No</t>
        </is>
      </c>
      <c r="R1242" s="26" t="inlineStr">
        <is>
          <t>Good finish</t>
        </is>
      </c>
      <c r="S1242" s="26" t="inlineStr">
        <is>
          <t>Yes</t>
        </is>
      </c>
      <c r="T1242" s="27" t="n"/>
      <c r="U1242" s="28" t="inlineStr">
        <is>
          <t>No</t>
        </is>
      </c>
      <c r="V1242" s="29">
        <f>IF(N1242="","",IF(Q1242="Yes","❌ Disc",IF(P1242="No","⚠ Missing",IF(S1242="Yes","✓ OK","⚠ Check"))))</f>
        <v/>
      </c>
      <c r="W1242" s="65" t="n">
        <v>46248</v>
      </c>
      <c r="X1242" s="30" t="inlineStr">
        <is>
          <t>Sunil CR</t>
        </is>
      </c>
      <c r="Y1242" s="30" t="inlineStr">
        <is>
          <t>Yes</t>
        </is>
      </c>
      <c r="Z1242" s="30" t="n"/>
      <c r="AA1242" s="30" t="inlineStr">
        <is>
          <t>Good finish</t>
        </is>
      </c>
      <c r="AB1242" s="30" t="inlineStr">
        <is>
          <t>Yes</t>
        </is>
      </c>
      <c r="AC1242" s="27" t="n"/>
      <c r="AD1242" s="31" t="inlineStr">
        <is>
          <t>No</t>
        </is>
      </c>
      <c r="AE1242" s="32">
        <f>IF(W1242="","",IF(Z1242="Yes","❌ Disc",IF(Y1242="No","⚠ Missing",IF(AB1242="Yes","✓ OK","⚠ Check"))))</f>
        <v/>
      </c>
      <c r="AF1242" s="33" t="n"/>
      <c r="AG1242" s="33" t="n"/>
      <c r="AH1242" s="33" t="n"/>
      <c r="AI1242" s="33" t="n"/>
      <c r="AJ1242" s="33" t="n"/>
      <c r="AK1242" s="33" t="n"/>
      <c r="AL1242" s="27" t="n"/>
      <c r="AM1242" s="34" t="n"/>
      <c r="AN1242" s="35">
        <f>IF(AF1242="","",IF(AI1242="Yes","❌ Disc",IF(AH1242="No","⚠ Missing",IF(AK1242="Yes","✓ OK","⚠ Check"))))</f>
        <v/>
      </c>
      <c r="AO1242" s="36" t="n"/>
      <c r="AP1242" s="36" t="n"/>
      <c r="AQ1242" s="36" t="n"/>
      <c r="AR1242" s="36" t="n"/>
      <c r="AS1242" s="36" t="n"/>
      <c r="AT1242" s="36" t="n"/>
      <c r="AU1242" s="27" t="n"/>
      <c r="AV1242" s="37" t="n"/>
      <c r="AW1242" s="38">
        <f>IF(AO1242="","",IF(AR1242="Yes","❌ Disc",IF(AQ1242="No","⚠ Missing",IF(AT1242="Yes","✓ OK","⚠ Check"))))</f>
        <v/>
      </c>
    </row>
    <row r="1243" ht="18" customHeight="1" s="46">
      <c r="A1243" s="23" t="n">
        <v>1239</v>
      </c>
      <c r="B1243" s="24" t="inlineStr">
        <is>
          <t>WP MR FUN 165</t>
        </is>
      </c>
      <c r="C1243" s="25" t="inlineStr">
        <is>
          <t>Marshalls - Fun Time Wallpapers - FUN 165</t>
        </is>
      </c>
      <c r="D1243" s="23" t="inlineStr">
        <is>
          <t>Marshalls</t>
        </is>
      </c>
      <c r="E1243" s="43" t="n">
        <v>46125</v>
      </c>
      <c r="F1243" s="26" t="inlineStr">
        <is>
          <t>Sunil CR</t>
        </is>
      </c>
      <c r="G1243" s="26" t="inlineStr">
        <is>
          <t>Yes</t>
        </is>
      </c>
      <c r="H1243" s="26" t="inlineStr">
        <is>
          <t>No</t>
        </is>
      </c>
      <c r="I1243" s="26" t="inlineStr">
        <is>
          <t>Good finish</t>
        </is>
      </c>
      <c r="J1243" s="26" t="inlineStr">
        <is>
          <t>Yes</t>
        </is>
      </c>
      <c r="K1243" s="27" t="n"/>
      <c r="L1243" s="28" t="inlineStr">
        <is>
          <t>No</t>
        </is>
      </c>
      <c r="M1243" s="29">
        <f>IF(E1243="","",IF(H1243="Yes","❌ Disc",IF(G1243="No","⚠ Missing",IF(J1243="Yes","✓ OK","⚠ Check"))))</f>
        <v/>
      </c>
      <c r="N1243" s="43" t="n">
        <v>46193</v>
      </c>
      <c r="O1243" s="26" t="inlineStr">
        <is>
          <t>Sunil CR</t>
        </is>
      </c>
      <c r="P1243" s="26" t="inlineStr">
        <is>
          <t>Yes</t>
        </is>
      </c>
      <c r="Q1243" s="26" t="inlineStr">
        <is>
          <t>No</t>
        </is>
      </c>
      <c r="R1243" s="26" t="inlineStr">
        <is>
          <t>Good finish</t>
        </is>
      </c>
      <c r="S1243" s="26" t="inlineStr">
        <is>
          <t>Yes</t>
        </is>
      </c>
      <c r="T1243" s="27" t="n"/>
      <c r="U1243" s="28" t="inlineStr">
        <is>
          <t>No</t>
        </is>
      </c>
      <c r="V1243" s="29">
        <f>IF(N1243="","",IF(Q1243="Yes","❌ Disc",IF(P1243="No","⚠ Missing",IF(S1243="Yes","✓ OK","⚠ Check"))))</f>
        <v/>
      </c>
      <c r="W1243" s="65" t="n">
        <v>46248</v>
      </c>
      <c r="X1243" s="30" t="inlineStr">
        <is>
          <t>Sunil CR</t>
        </is>
      </c>
      <c r="Y1243" s="30" t="inlineStr">
        <is>
          <t>Yes</t>
        </is>
      </c>
      <c r="Z1243" s="30" t="n"/>
      <c r="AA1243" s="30" t="inlineStr">
        <is>
          <t>Good finish</t>
        </is>
      </c>
      <c r="AB1243" s="30" t="inlineStr">
        <is>
          <t>Yes</t>
        </is>
      </c>
      <c r="AC1243" s="27" t="n"/>
      <c r="AD1243" s="31" t="inlineStr">
        <is>
          <t>No</t>
        </is>
      </c>
      <c r="AE1243" s="32">
        <f>IF(W1243="","",IF(Z1243="Yes","❌ Disc",IF(Y1243="No","⚠ Missing",IF(AB1243="Yes","✓ OK","⚠ Check"))))</f>
        <v/>
      </c>
      <c r="AF1243" s="33" t="n"/>
      <c r="AG1243" s="33" t="n"/>
      <c r="AH1243" s="33" t="n"/>
      <c r="AI1243" s="33" t="n"/>
      <c r="AJ1243" s="33" t="n"/>
      <c r="AK1243" s="33" t="n"/>
      <c r="AL1243" s="27" t="n"/>
      <c r="AM1243" s="34" t="n"/>
      <c r="AN1243" s="35">
        <f>IF(AF1243="","",IF(AI1243="Yes","❌ Disc",IF(AH1243="No","⚠ Missing",IF(AK1243="Yes","✓ OK","⚠ Check"))))</f>
        <v/>
      </c>
      <c r="AO1243" s="36" t="n"/>
      <c r="AP1243" s="36" t="n"/>
      <c r="AQ1243" s="36" t="n"/>
      <c r="AR1243" s="36" t="n"/>
      <c r="AS1243" s="36" t="n"/>
      <c r="AT1243" s="36" t="n"/>
      <c r="AU1243" s="27" t="n"/>
      <c r="AV1243" s="37" t="n"/>
      <c r="AW1243" s="38">
        <f>IF(AO1243="","",IF(AR1243="Yes","❌ Disc",IF(AQ1243="No","⚠ Missing",IF(AT1243="Yes","✓ OK","⚠ Check"))))</f>
        <v/>
      </c>
    </row>
    <row r="1244" ht="18" customHeight="1" s="46">
      <c r="A1244" s="39" t="n">
        <v>1240</v>
      </c>
      <c r="B1244" s="40" t="inlineStr">
        <is>
          <t>WP MR FUN 166</t>
        </is>
      </c>
      <c r="C1244" s="41" t="inlineStr">
        <is>
          <t>Marshalls - Fun Time Wallpapers - FUN 166</t>
        </is>
      </c>
      <c r="D1244" s="39" t="inlineStr">
        <is>
          <t>Marshalls</t>
        </is>
      </c>
      <c r="E1244" s="43" t="n">
        <v>46125</v>
      </c>
      <c r="F1244" s="26" t="inlineStr">
        <is>
          <t>Sunil CR</t>
        </is>
      </c>
      <c r="G1244" s="26" t="inlineStr">
        <is>
          <t>Yes</t>
        </is>
      </c>
      <c r="H1244" s="26" t="inlineStr">
        <is>
          <t>No</t>
        </is>
      </c>
      <c r="I1244" s="26" t="inlineStr">
        <is>
          <t>Good finish</t>
        </is>
      </c>
      <c r="J1244" s="26" t="inlineStr">
        <is>
          <t>Yes</t>
        </is>
      </c>
      <c r="K1244" s="27" t="n"/>
      <c r="L1244" s="28" t="inlineStr">
        <is>
          <t>No</t>
        </is>
      </c>
      <c r="M1244" s="29">
        <f>IF(E1244="","",IF(H1244="Yes","❌ Disc",IF(G1244="No","⚠ Missing",IF(J1244="Yes","✓ OK","⚠ Check"))))</f>
        <v/>
      </c>
      <c r="N1244" s="43" t="n">
        <v>46193</v>
      </c>
      <c r="O1244" s="26" t="inlineStr">
        <is>
          <t>Sunil CR</t>
        </is>
      </c>
      <c r="P1244" s="26" t="inlineStr">
        <is>
          <t>Yes</t>
        </is>
      </c>
      <c r="Q1244" s="26" t="inlineStr">
        <is>
          <t>No</t>
        </is>
      </c>
      <c r="R1244" s="26" t="inlineStr">
        <is>
          <t>Good finish</t>
        </is>
      </c>
      <c r="S1244" s="26" t="inlineStr">
        <is>
          <t>Yes</t>
        </is>
      </c>
      <c r="T1244" s="27" t="n"/>
      <c r="U1244" s="28" t="inlineStr">
        <is>
          <t>No</t>
        </is>
      </c>
      <c r="V1244" s="29">
        <f>IF(N1244="","",IF(Q1244="Yes","❌ Disc",IF(P1244="No","⚠ Missing",IF(S1244="Yes","✓ OK","⚠ Check"))))</f>
        <v/>
      </c>
      <c r="W1244" s="65" t="n">
        <v>46248</v>
      </c>
      <c r="X1244" s="30" t="inlineStr">
        <is>
          <t>Sunil CR</t>
        </is>
      </c>
      <c r="Y1244" s="30" t="inlineStr">
        <is>
          <t>Yes</t>
        </is>
      </c>
      <c r="Z1244" s="30" t="n"/>
      <c r="AA1244" s="30" t="inlineStr">
        <is>
          <t>Good finish</t>
        </is>
      </c>
      <c r="AB1244" s="30" t="inlineStr">
        <is>
          <t>Yes</t>
        </is>
      </c>
      <c r="AC1244" s="27" t="n"/>
      <c r="AD1244" s="31" t="inlineStr">
        <is>
          <t>No</t>
        </is>
      </c>
      <c r="AE1244" s="32">
        <f>IF(W1244="","",IF(Z1244="Yes","❌ Disc",IF(Y1244="No","⚠ Missing",IF(AB1244="Yes","✓ OK","⚠ Check"))))</f>
        <v/>
      </c>
      <c r="AF1244" s="33" t="n"/>
      <c r="AG1244" s="33" t="n"/>
      <c r="AH1244" s="33" t="n"/>
      <c r="AI1244" s="33" t="n"/>
      <c r="AJ1244" s="33" t="n"/>
      <c r="AK1244" s="33" t="n"/>
      <c r="AL1244" s="27" t="n"/>
      <c r="AM1244" s="34" t="n"/>
      <c r="AN1244" s="35">
        <f>IF(AF1244="","",IF(AI1244="Yes","❌ Disc",IF(AH1244="No","⚠ Missing",IF(AK1244="Yes","✓ OK","⚠ Check"))))</f>
        <v/>
      </c>
      <c r="AO1244" s="36" t="n"/>
      <c r="AP1244" s="36" t="n"/>
      <c r="AQ1244" s="36" t="n"/>
      <c r="AR1244" s="36" t="n"/>
      <c r="AS1244" s="36" t="n"/>
      <c r="AT1244" s="36" t="n"/>
      <c r="AU1244" s="27" t="n"/>
      <c r="AV1244" s="37" t="n"/>
      <c r="AW1244" s="38">
        <f>IF(AO1244="","",IF(AR1244="Yes","❌ Disc",IF(AQ1244="No","⚠ Missing",IF(AT1244="Yes","✓ OK","⚠ Check"))))</f>
        <v/>
      </c>
    </row>
    <row r="1245" ht="18" customHeight="1" s="46">
      <c r="A1245" s="23" t="n">
        <v>1241</v>
      </c>
      <c r="B1245" s="24" t="inlineStr">
        <is>
          <t>WP MR FUN 167</t>
        </is>
      </c>
      <c r="C1245" s="25" t="inlineStr">
        <is>
          <t>Marshalls - Fun Time Wallpapers - FUN 167</t>
        </is>
      </c>
      <c r="D1245" s="23" t="inlineStr">
        <is>
          <t>Marshalls</t>
        </is>
      </c>
      <c r="E1245" s="43" t="n">
        <v>46125</v>
      </c>
      <c r="F1245" s="26" t="inlineStr">
        <is>
          <t>Sunil CR</t>
        </is>
      </c>
      <c r="G1245" s="26" t="inlineStr">
        <is>
          <t>Yes</t>
        </is>
      </c>
      <c r="H1245" s="26" t="inlineStr">
        <is>
          <t>No</t>
        </is>
      </c>
      <c r="I1245" s="26" t="inlineStr">
        <is>
          <t>Good finish</t>
        </is>
      </c>
      <c r="J1245" s="26" t="inlineStr">
        <is>
          <t>Yes</t>
        </is>
      </c>
      <c r="K1245" s="27" t="n"/>
      <c r="L1245" s="28" t="inlineStr">
        <is>
          <t>No</t>
        </is>
      </c>
      <c r="M1245" s="29">
        <f>IF(E1245="","",IF(H1245="Yes","❌ Disc",IF(G1245="No","⚠ Missing",IF(J1245="Yes","✓ OK","⚠ Check"))))</f>
        <v/>
      </c>
      <c r="N1245" s="43" t="n">
        <v>46193</v>
      </c>
      <c r="O1245" s="26" t="inlineStr">
        <is>
          <t>Sunil CR</t>
        </is>
      </c>
      <c r="P1245" s="26" t="inlineStr">
        <is>
          <t>Yes</t>
        </is>
      </c>
      <c r="Q1245" s="26" t="inlineStr">
        <is>
          <t>No</t>
        </is>
      </c>
      <c r="R1245" s="26" t="inlineStr">
        <is>
          <t>Good finish</t>
        </is>
      </c>
      <c r="S1245" s="26" t="inlineStr">
        <is>
          <t>Yes</t>
        </is>
      </c>
      <c r="T1245" s="27" t="n"/>
      <c r="U1245" s="28" t="inlineStr">
        <is>
          <t>No</t>
        </is>
      </c>
      <c r="V1245" s="29">
        <f>IF(N1245="","",IF(Q1245="Yes","❌ Disc",IF(P1245="No","⚠ Missing",IF(S1245="Yes","✓ OK","⚠ Check"))))</f>
        <v/>
      </c>
      <c r="W1245" s="65" t="n">
        <v>46248</v>
      </c>
      <c r="X1245" s="30" t="inlineStr">
        <is>
          <t>Sunil CR</t>
        </is>
      </c>
      <c r="Y1245" s="30" t="inlineStr">
        <is>
          <t>Yes</t>
        </is>
      </c>
      <c r="Z1245" s="30" t="n"/>
      <c r="AA1245" s="30" t="inlineStr">
        <is>
          <t>Good finish</t>
        </is>
      </c>
      <c r="AB1245" s="30" t="inlineStr">
        <is>
          <t>Yes</t>
        </is>
      </c>
      <c r="AC1245" s="27" t="n"/>
      <c r="AD1245" s="31" t="inlineStr">
        <is>
          <t>No</t>
        </is>
      </c>
      <c r="AE1245" s="32">
        <f>IF(W1245="","",IF(Z1245="Yes","❌ Disc",IF(Y1245="No","⚠ Missing",IF(AB1245="Yes","✓ OK","⚠ Check"))))</f>
        <v/>
      </c>
      <c r="AF1245" s="33" t="n"/>
      <c r="AG1245" s="33" t="n"/>
      <c r="AH1245" s="33" t="n"/>
      <c r="AI1245" s="33" t="n"/>
      <c r="AJ1245" s="33" t="n"/>
      <c r="AK1245" s="33" t="n"/>
      <c r="AL1245" s="27" t="n"/>
      <c r="AM1245" s="34" t="n"/>
      <c r="AN1245" s="35">
        <f>IF(AF1245="","",IF(AI1245="Yes","❌ Disc",IF(AH1245="No","⚠ Missing",IF(AK1245="Yes","✓ OK","⚠ Check"))))</f>
        <v/>
      </c>
      <c r="AO1245" s="36" t="n"/>
      <c r="AP1245" s="36" t="n"/>
      <c r="AQ1245" s="36" t="n"/>
      <c r="AR1245" s="36" t="n"/>
      <c r="AS1245" s="36" t="n"/>
      <c r="AT1245" s="36" t="n"/>
      <c r="AU1245" s="27" t="n"/>
      <c r="AV1245" s="37" t="n"/>
      <c r="AW1245" s="38">
        <f>IF(AO1245="","",IF(AR1245="Yes","❌ Disc",IF(AQ1245="No","⚠ Missing",IF(AT1245="Yes","✓ OK","⚠ Check"))))</f>
        <v/>
      </c>
    </row>
    <row r="1246" ht="18" customHeight="1" s="46">
      <c r="A1246" s="39" t="n">
        <v>1242</v>
      </c>
      <c r="B1246" s="40" t="inlineStr">
        <is>
          <t>WP MR FUN 168</t>
        </is>
      </c>
      <c r="C1246" s="41" t="inlineStr">
        <is>
          <t>Marshalls - Fun Time Wallpapers - FUN 168</t>
        </is>
      </c>
      <c r="D1246" s="39" t="inlineStr">
        <is>
          <t>Marshalls</t>
        </is>
      </c>
      <c r="E1246" s="43" t="n">
        <v>46125</v>
      </c>
      <c r="F1246" s="26" t="inlineStr">
        <is>
          <t>Sunil CR</t>
        </is>
      </c>
      <c r="G1246" s="26" t="inlineStr">
        <is>
          <t>Yes</t>
        </is>
      </c>
      <c r="H1246" s="26" t="inlineStr">
        <is>
          <t>No</t>
        </is>
      </c>
      <c r="I1246" s="26" t="inlineStr">
        <is>
          <t>Good finish</t>
        </is>
      </c>
      <c r="J1246" s="26" t="inlineStr">
        <is>
          <t>Yes</t>
        </is>
      </c>
      <c r="K1246" s="27" t="n"/>
      <c r="L1246" s="28" t="inlineStr">
        <is>
          <t>No</t>
        </is>
      </c>
      <c r="M1246" s="29">
        <f>IF(E1246="","",IF(H1246="Yes","❌ Disc",IF(G1246="No","⚠ Missing",IF(J1246="Yes","✓ OK","⚠ Check"))))</f>
        <v/>
      </c>
      <c r="N1246" s="43" t="n">
        <v>46193</v>
      </c>
      <c r="O1246" s="26" t="inlineStr">
        <is>
          <t>Sunil CR</t>
        </is>
      </c>
      <c r="P1246" s="26" t="inlineStr">
        <is>
          <t>Yes</t>
        </is>
      </c>
      <c r="Q1246" s="26" t="inlineStr">
        <is>
          <t>No</t>
        </is>
      </c>
      <c r="R1246" s="26" t="inlineStr">
        <is>
          <t>Good finish</t>
        </is>
      </c>
      <c r="S1246" s="26" t="inlineStr">
        <is>
          <t>Yes</t>
        </is>
      </c>
      <c r="T1246" s="27" t="n"/>
      <c r="U1246" s="28" t="inlineStr">
        <is>
          <t>No</t>
        </is>
      </c>
      <c r="V1246" s="29">
        <f>IF(N1246="","",IF(Q1246="Yes","❌ Disc",IF(P1246="No","⚠ Missing",IF(S1246="Yes","✓ OK","⚠ Check"))))</f>
        <v/>
      </c>
      <c r="W1246" s="65" t="n">
        <v>46248</v>
      </c>
      <c r="X1246" s="30" t="inlineStr">
        <is>
          <t>Sunil CR</t>
        </is>
      </c>
      <c r="Y1246" s="30" t="inlineStr">
        <is>
          <t>Yes</t>
        </is>
      </c>
      <c r="Z1246" s="30" t="n"/>
      <c r="AA1246" s="30" t="inlineStr">
        <is>
          <t>Good finish</t>
        </is>
      </c>
      <c r="AB1246" s="30" t="inlineStr">
        <is>
          <t>Yes</t>
        </is>
      </c>
      <c r="AC1246" s="27" t="n"/>
      <c r="AD1246" s="31" t="inlineStr">
        <is>
          <t>No</t>
        </is>
      </c>
      <c r="AE1246" s="32">
        <f>IF(W1246="","",IF(Z1246="Yes","❌ Disc",IF(Y1246="No","⚠ Missing",IF(AB1246="Yes","✓ OK","⚠ Check"))))</f>
        <v/>
      </c>
      <c r="AF1246" s="33" t="n"/>
      <c r="AG1246" s="33" t="n"/>
      <c r="AH1246" s="33" t="n"/>
      <c r="AI1246" s="33" t="n"/>
      <c r="AJ1246" s="33" t="n"/>
      <c r="AK1246" s="33" t="n"/>
      <c r="AL1246" s="27" t="n"/>
      <c r="AM1246" s="34" t="n"/>
      <c r="AN1246" s="35">
        <f>IF(AF1246="","",IF(AI1246="Yes","❌ Disc",IF(AH1246="No","⚠ Missing",IF(AK1246="Yes","✓ OK","⚠ Check"))))</f>
        <v/>
      </c>
      <c r="AO1246" s="36" t="n"/>
      <c r="AP1246" s="36" t="n"/>
      <c r="AQ1246" s="36" t="n"/>
      <c r="AR1246" s="36" t="n"/>
      <c r="AS1246" s="36" t="n"/>
      <c r="AT1246" s="36" t="n"/>
      <c r="AU1246" s="27" t="n"/>
      <c r="AV1246" s="37" t="n"/>
      <c r="AW1246" s="38">
        <f>IF(AO1246="","",IF(AR1246="Yes","❌ Disc",IF(AQ1246="No","⚠ Missing",IF(AT1246="Yes","✓ OK","⚠ Check"))))</f>
        <v/>
      </c>
    </row>
    <row r="1247" ht="18" customHeight="1" s="46">
      <c r="A1247" s="23" t="n">
        <v>1243</v>
      </c>
      <c r="B1247" s="24" t="inlineStr">
        <is>
          <t>WP MR FUN 169</t>
        </is>
      </c>
      <c r="C1247" s="25" t="inlineStr">
        <is>
          <t>Marshalls - Fun Time Wallpapers - FUN 169</t>
        </is>
      </c>
      <c r="D1247" s="23" t="inlineStr">
        <is>
          <t>Marshalls</t>
        </is>
      </c>
      <c r="E1247" s="43" t="n">
        <v>46125</v>
      </c>
      <c r="F1247" s="26" t="inlineStr">
        <is>
          <t>Sunil CR</t>
        </is>
      </c>
      <c r="G1247" s="26" t="inlineStr">
        <is>
          <t>Yes</t>
        </is>
      </c>
      <c r="H1247" s="26" t="inlineStr">
        <is>
          <t>No</t>
        </is>
      </c>
      <c r="I1247" s="26" t="inlineStr">
        <is>
          <t>Good finish</t>
        </is>
      </c>
      <c r="J1247" s="26" t="inlineStr">
        <is>
          <t>Yes</t>
        </is>
      </c>
      <c r="K1247" s="27" t="n"/>
      <c r="L1247" s="28" t="inlineStr">
        <is>
          <t>No</t>
        </is>
      </c>
      <c r="M1247" s="29">
        <f>IF(E1247="","",IF(H1247="Yes","❌ Disc",IF(G1247="No","⚠ Missing",IF(J1247="Yes","✓ OK","⚠ Check"))))</f>
        <v/>
      </c>
      <c r="N1247" s="43" t="n">
        <v>46193</v>
      </c>
      <c r="O1247" s="26" t="inlineStr">
        <is>
          <t>Sunil CR</t>
        </is>
      </c>
      <c r="P1247" s="26" t="inlineStr">
        <is>
          <t>Yes</t>
        </is>
      </c>
      <c r="Q1247" s="26" t="inlineStr">
        <is>
          <t>No</t>
        </is>
      </c>
      <c r="R1247" s="26" t="inlineStr">
        <is>
          <t>Good finish</t>
        </is>
      </c>
      <c r="S1247" s="26" t="inlineStr">
        <is>
          <t>Yes</t>
        </is>
      </c>
      <c r="T1247" s="27" t="n"/>
      <c r="U1247" s="28" t="inlineStr">
        <is>
          <t>No</t>
        </is>
      </c>
      <c r="V1247" s="29">
        <f>IF(N1247="","",IF(Q1247="Yes","❌ Disc",IF(P1247="No","⚠ Missing",IF(S1247="Yes","✓ OK","⚠ Check"))))</f>
        <v/>
      </c>
      <c r="W1247" s="65" t="n">
        <v>46248</v>
      </c>
      <c r="X1247" s="30" t="inlineStr">
        <is>
          <t>Sunil CR</t>
        </is>
      </c>
      <c r="Y1247" s="30" t="inlineStr">
        <is>
          <t>Yes</t>
        </is>
      </c>
      <c r="Z1247" s="30" t="n"/>
      <c r="AA1247" s="30" t="inlineStr">
        <is>
          <t>Good finish</t>
        </is>
      </c>
      <c r="AB1247" s="30" t="inlineStr">
        <is>
          <t>Yes</t>
        </is>
      </c>
      <c r="AC1247" s="27" t="n"/>
      <c r="AD1247" s="31" t="inlineStr">
        <is>
          <t>No</t>
        </is>
      </c>
      <c r="AE1247" s="32">
        <f>IF(W1247="","",IF(Z1247="Yes","❌ Disc",IF(Y1247="No","⚠ Missing",IF(AB1247="Yes","✓ OK","⚠ Check"))))</f>
        <v/>
      </c>
      <c r="AF1247" s="33" t="n"/>
      <c r="AG1247" s="33" t="n"/>
      <c r="AH1247" s="33" t="n"/>
      <c r="AI1247" s="33" t="n"/>
      <c r="AJ1247" s="33" t="n"/>
      <c r="AK1247" s="33" t="n"/>
      <c r="AL1247" s="27" t="n"/>
      <c r="AM1247" s="34" t="n"/>
      <c r="AN1247" s="35">
        <f>IF(AF1247="","",IF(AI1247="Yes","❌ Disc",IF(AH1247="No","⚠ Missing",IF(AK1247="Yes","✓ OK","⚠ Check"))))</f>
        <v/>
      </c>
      <c r="AO1247" s="36" t="n"/>
      <c r="AP1247" s="36" t="n"/>
      <c r="AQ1247" s="36" t="n"/>
      <c r="AR1247" s="36" t="n"/>
      <c r="AS1247" s="36" t="n"/>
      <c r="AT1247" s="36" t="n"/>
      <c r="AU1247" s="27" t="n"/>
      <c r="AV1247" s="37" t="n"/>
      <c r="AW1247" s="38">
        <f>IF(AO1247="","",IF(AR1247="Yes","❌ Disc",IF(AQ1247="No","⚠ Missing",IF(AT1247="Yes","✓ OK","⚠ Check"))))</f>
        <v/>
      </c>
    </row>
    <row r="1248" ht="18" customHeight="1" s="46">
      <c r="A1248" s="39" t="n">
        <v>1244</v>
      </c>
      <c r="B1248" s="40" t="inlineStr">
        <is>
          <t>WP MR FUN 170</t>
        </is>
      </c>
      <c r="C1248" s="41" t="inlineStr">
        <is>
          <t>Marshalls - Fun Time Wallpapers - FUN 170</t>
        </is>
      </c>
      <c r="D1248" s="39" t="inlineStr">
        <is>
          <t>Marshalls</t>
        </is>
      </c>
      <c r="E1248" s="43" t="n">
        <v>46125</v>
      </c>
      <c r="F1248" s="26" t="inlineStr">
        <is>
          <t>Sunil CR</t>
        </is>
      </c>
      <c r="G1248" s="26" t="inlineStr">
        <is>
          <t>Yes</t>
        </is>
      </c>
      <c r="H1248" s="26" t="inlineStr">
        <is>
          <t>No</t>
        </is>
      </c>
      <c r="I1248" s="26" t="inlineStr">
        <is>
          <t>Good finish</t>
        </is>
      </c>
      <c r="J1248" s="26" t="inlineStr">
        <is>
          <t>Yes</t>
        </is>
      </c>
      <c r="K1248" s="27" t="n"/>
      <c r="L1248" s="28" t="inlineStr">
        <is>
          <t>No</t>
        </is>
      </c>
      <c r="M1248" s="29">
        <f>IF(E1248="","",IF(H1248="Yes","❌ Disc",IF(G1248="No","⚠ Missing",IF(J1248="Yes","✓ OK","⚠ Check"))))</f>
        <v/>
      </c>
      <c r="N1248" s="43" t="n">
        <v>46193</v>
      </c>
      <c r="O1248" s="26" t="inlineStr">
        <is>
          <t>Sunil CR</t>
        </is>
      </c>
      <c r="P1248" s="26" t="inlineStr">
        <is>
          <t>Yes</t>
        </is>
      </c>
      <c r="Q1248" s="26" t="inlineStr">
        <is>
          <t>No</t>
        </is>
      </c>
      <c r="R1248" s="26" t="inlineStr">
        <is>
          <t>Good finish</t>
        </is>
      </c>
      <c r="S1248" s="26" t="inlineStr">
        <is>
          <t>Yes</t>
        </is>
      </c>
      <c r="T1248" s="27" t="n"/>
      <c r="U1248" s="28" t="inlineStr">
        <is>
          <t>No</t>
        </is>
      </c>
      <c r="V1248" s="29">
        <f>IF(N1248="","",IF(Q1248="Yes","❌ Disc",IF(P1248="No","⚠ Missing",IF(S1248="Yes","✓ OK","⚠ Check"))))</f>
        <v/>
      </c>
      <c r="W1248" s="65" t="n">
        <v>46248</v>
      </c>
      <c r="X1248" s="30" t="inlineStr">
        <is>
          <t>Sunil CR</t>
        </is>
      </c>
      <c r="Y1248" s="30" t="inlineStr">
        <is>
          <t>Yes</t>
        </is>
      </c>
      <c r="Z1248" s="30" t="n"/>
      <c r="AA1248" s="30" t="inlineStr">
        <is>
          <t>Good finish</t>
        </is>
      </c>
      <c r="AB1248" s="30" t="inlineStr">
        <is>
          <t>Yes</t>
        </is>
      </c>
      <c r="AC1248" s="27" t="n"/>
      <c r="AD1248" s="31" t="inlineStr">
        <is>
          <t>No</t>
        </is>
      </c>
      <c r="AE1248" s="32">
        <f>IF(W1248="","",IF(Z1248="Yes","❌ Disc",IF(Y1248="No","⚠ Missing",IF(AB1248="Yes","✓ OK","⚠ Check"))))</f>
        <v/>
      </c>
      <c r="AF1248" s="33" t="n"/>
      <c r="AG1248" s="33" t="n"/>
      <c r="AH1248" s="33" t="n"/>
      <c r="AI1248" s="33" t="n"/>
      <c r="AJ1248" s="33" t="n"/>
      <c r="AK1248" s="33" t="n"/>
      <c r="AL1248" s="27" t="n"/>
      <c r="AM1248" s="34" t="n"/>
      <c r="AN1248" s="35">
        <f>IF(AF1248="","",IF(AI1248="Yes","❌ Disc",IF(AH1248="No","⚠ Missing",IF(AK1248="Yes","✓ OK","⚠ Check"))))</f>
        <v/>
      </c>
      <c r="AO1248" s="36" t="n"/>
      <c r="AP1248" s="36" t="n"/>
      <c r="AQ1248" s="36" t="n"/>
      <c r="AR1248" s="36" t="n"/>
      <c r="AS1248" s="36" t="n"/>
      <c r="AT1248" s="36" t="n"/>
      <c r="AU1248" s="27" t="n"/>
      <c r="AV1248" s="37" t="n"/>
      <c r="AW1248" s="38">
        <f>IF(AO1248="","",IF(AR1248="Yes","❌ Disc",IF(AQ1248="No","⚠ Missing",IF(AT1248="Yes","✓ OK","⚠ Check"))))</f>
        <v/>
      </c>
    </row>
    <row r="1249" ht="18" customHeight="1" s="46">
      <c r="A1249" s="23" t="n">
        <v>1245</v>
      </c>
      <c r="B1249" s="24" t="inlineStr">
        <is>
          <t>WP MR FUN 171</t>
        </is>
      </c>
      <c r="C1249" s="25" t="inlineStr">
        <is>
          <t>Marshalls - Fun Time Wallpapers - FUN 171</t>
        </is>
      </c>
      <c r="D1249" s="23" t="inlineStr">
        <is>
          <t>Marshalls</t>
        </is>
      </c>
      <c r="E1249" s="43" t="n">
        <v>46125</v>
      </c>
      <c r="F1249" s="26" t="inlineStr">
        <is>
          <t>Sunil CR</t>
        </is>
      </c>
      <c r="G1249" s="26" t="inlineStr">
        <is>
          <t>Yes</t>
        </is>
      </c>
      <c r="H1249" s="26" t="inlineStr">
        <is>
          <t>No</t>
        </is>
      </c>
      <c r="I1249" s="26" t="inlineStr">
        <is>
          <t>Good finish</t>
        </is>
      </c>
      <c r="J1249" s="26" t="inlineStr">
        <is>
          <t>Yes</t>
        </is>
      </c>
      <c r="K1249" s="27" t="n"/>
      <c r="L1249" s="28" t="inlineStr">
        <is>
          <t>No</t>
        </is>
      </c>
      <c r="M1249" s="29">
        <f>IF(E1249="","",IF(H1249="Yes","❌ Disc",IF(G1249="No","⚠ Missing",IF(J1249="Yes","✓ OK","⚠ Check"))))</f>
        <v/>
      </c>
      <c r="N1249" s="43" t="n">
        <v>46193</v>
      </c>
      <c r="O1249" s="26" t="inlineStr">
        <is>
          <t>Sunil CR</t>
        </is>
      </c>
      <c r="P1249" s="26" t="inlineStr">
        <is>
          <t>Yes</t>
        </is>
      </c>
      <c r="Q1249" s="26" t="inlineStr">
        <is>
          <t>No</t>
        </is>
      </c>
      <c r="R1249" s="26" t="inlineStr">
        <is>
          <t>Good finish</t>
        </is>
      </c>
      <c r="S1249" s="26" t="inlineStr">
        <is>
          <t>Yes</t>
        </is>
      </c>
      <c r="T1249" s="27" t="n"/>
      <c r="U1249" s="28" t="inlineStr">
        <is>
          <t>No</t>
        </is>
      </c>
      <c r="V1249" s="29">
        <f>IF(N1249="","",IF(Q1249="Yes","❌ Disc",IF(P1249="No","⚠ Missing",IF(S1249="Yes","✓ OK","⚠ Check"))))</f>
        <v/>
      </c>
      <c r="W1249" s="65" t="n">
        <v>46248</v>
      </c>
      <c r="X1249" s="30" t="inlineStr">
        <is>
          <t>Sunil CR</t>
        </is>
      </c>
      <c r="Y1249" s="30" t="inlineStr">
        <is>
          <t>Yes</t>
        </is>
      </c>
      <c r="Z1249" s="30" t="n"/>
      <c r="AA1249" s="30" t="inlineStr">
        <is>
          <t>Good finish</t>
        </is>
      </c>
      <c r="AB1249" s="30" t="inlineStr">
        <is>
          <t>Yes</t>
        </is>
      </c>
      <c r="AC1249" s="27" t="n"/>
      <c r="AD1249" s="31" t="inlineStr">
        <is>
          <t>No</t>
        </is>
      </c>
      <c r="AE1249" s="32">
        <f>IF(W1249="","",IF(Z1249="Yes","❌ Disc",IF(Y1249="No","⚠ Missing",IF(AB1249="Yes","✓ OK","⚠ Check"))))</f>
        <v/>
      </c>
      <c r="AF1249" s="33" t="n"/>
      <c r="AG1249" s="33" t="n"/>
      <c r="AH1249" s="33" t="n"/>
      <c r="AI1249" s="33" t="n"/>
      <c r="AJ1249" s="33" t="n"/>
      <c r="AK1249" s="33" t="n"/>
      <c r="AL1249" s="27" t="n"/>
      <c r="AM1249" s="34" t="n"/>
      <c r="AN1249" s="35">
        <f>IF(AF1249="","",IF(AI1249="Yes","❌ Disc",IF(AH1249="No","⚠ Missing",IF(AK1249="Yes","✓ OK","⚠ Check"))))</f>
        <v/>
      </c>
      <c r="AO1249" s="36" t="n"/>
      <c r="AP1249" s="36" t="n"/>
      <c r="AQ1249" s="36" t="n"/>
      <c r="AR1249" s="36" t="n"/>
      <c r="AS1249" s="36" t="n"/>
      <c r="AT1249" s="36" t="n"/>
      <c r="AU1249" s="27" t="n"/>
      <c r="AV1249" s="37" t="n"/>
      <c r="AW1249" s="38">
        <f>IF(AO1249="","",IF(AR1249="Yes","❌ Disc",IF(AQ1249="No","⚠ Missing",IF(AT1249="Yes","✓ OK","⚠ Check"))))</f>
        <v/>
      </c>
    </row>
    <row r="1250" ht="18" customHeight="1" s="46">
      <c r="A1250" s="39" t="n">
        <v>1246</v>
      </c>
      <c r="B1250" s="40" t="inlineStr">
        <is>
          <t>WP MR FUN 172</t>
        </is>
      </c>
      <c r="C1250" s="41" t="inlineStr">
        <is>
          <t>Marshalls - Fun Time Wallpapers - FUN 172</t>
        </is>
      </c>
      <c r="D1250" s="39" t="inlineStr">
        <is>
          <t>Marshalls</t>
        </is>
      </c>
      <c r="E1250" s="43" t="n">
        <v>46125</v>
      </c>
      <c r="F1250" s="26" t="inlineStr">
        <is>
          <t>Sunil CR</t>
        </is>
      </c>
      <c r="G1250" s="26" t="inlineStr">
        <is>
          <t>Yes</t>
        </is>
      </c>
      <c r="H1250" s="26" t="inlineStr">
        <is>
          <t>No</t>
        </is>
      </c>
      <c r="I1250" s="26" t="inlineStr">
        <is>
          <t>Good finish</t>
        </is>
      </c>
      <c r="J1250" s="26" t="inlineStr">
        <is>
          <t>Yes</t>
        </is>
      </c>
      <c r="K1250" s="27" t="n"/>
      <c r="L1250" s="28" t="inlineStr">
        <is>
          <t>No</t>
        </is>
      </c>
      <c r="M1250" s="29">
        <f>IF(E1250="","",IF(H1250="Yes","❌ Disc",IF(G1250="No","⚠ Missing",IF(J1250="Yes","✓ OK","⚠ Check"))))</f>
        <v/>
      </c>
      <c r="N1250" s="43" t="n">
        <v>46193</v>
      </c>
      <c r="O1250" s="26" t="inlineStr">
        <is>
          <t>Sunil CR</t>
        </is>
      </c>
      <c r="P1250" s="26" t="inlineStr">
        <is>
          <t>Yes</t>
        </is>
      </c>
      <c r="Q1250" s="26" t="inlineStr">
        <is>
          <t>No</t>
        </is>
      </c>
      <c r="R1250" s="26" t="inlineStr">
        <is>
          <t>Good finish</t>
        </is>
      </c>
      <c r="S1250" s="26" t="inlineStr">
        <is>
          <t>Yes</t>
        </is>
      </c>
      <c r="T1250" s="27" t="n"/>
      <c r="U1250" s="28" t="inlineStr">
        <is>
          <t>No</t>
        </is>
      </c>
      <c r="V1250" s="29">
        <f>IF(N1250="","",IF(Q1250="Yes","❌ Disc",IF(P1250="No","⚠ Missing",IF(S1250="Yes","✓ OK","⚠ Check"))))</f>
        <v/>
      </c>
      <c r="W1250" s="65" t="n">
        <v>46248</v>
      </c>
      <c r="X1250" s="30" t="inlineStr">
        <is>
          <t>Sunil CR</t>
        </is>
      </c>
      <c r="Y1250" s="30" t="inlineStr">
        <is>
          <t>Yes</t>
        </is>
      </c>
      <c r="Z1250" s="30" t="n"/>
      <c r="AA1250" s="30" t="inlineStr">
        <is>
          <t>Good finish</t>
        </is>
      </c>
      <c r="AB1250" s="30" t="inlineStr">
        <is>
          <t>Yes</t>
        </is>
      </c>
      <c r="AC1250" s="27" t="n"/>
      <c r="AD1250" s="31" t="inlineStr">
        <is>
          <t>No</t>
        </is>
      </c>
      <c r="AE1250" s="32">
        <f>IF(W1250="","",IF(Z1250="Yes","❌ Disc",IF(Y1250="No","⚠ Missing",IF(AB1250="Yes","✓ OK","⚠ Check"))))</f>
        <v/>
      </c>
      <c r="AF1250" s="33" t="n"/>
      <c r="AG1250" s="33" t="n"/>
      <c r="AH1250" s="33" t="n"/>
      <c r="AI1250" s="33" t="n"/>
      <c r="AJ1250" s="33" t="n"/>
      <c r="AK1250" s="33" t="n"/>
      <c r="AL1250" s="27" t="n"/>
      <c r="AM1250" s="34" t="n"/>
      <c r="AN1250" s="35">
        <f>IF(AF1250="","",IF(AI1250="Yes","❌ Disc",IF(AH1250="No","⚠ Missing",IF(AK1250="Yes","✓ OK","⚠ Check"))))</f>
        <v/>
      </c>
      <c r="AO1250" s="36" t="n"/>
      <c r="AP1250" s="36" t="n"/>
      <c r="AQ1250" s="36" t="n"/>
      <c r="AR1250" s="36" t="n"/>
      <c r="AS1250" s="36" t="n"/>
      <c r="AT1250" s="36" t="n"/>
      <c r="AU1250" s="27" t="n"/>
      <c r="AV1250" s="37" t="n"/>
      <c r="AW1250" s="38">
        <f>IF(AO1250="","",IF(AR1250="Yes","❌ Disc",IF(AQ1250="No","⚠ Missing",IF(AT1250="Yes","✓ OK","⚠ Check"))))</f>
        <v/>
      </c>
    </row>
    <row r="1251" ht="18" customHeight="1" s="46">
      <c r="A1251" s="23" t="n">
        <v>1247</v>
      </c>
      <c r="B1251" s="24" t="inlineStr">
        <is>
          <t>WP MR FUN 173</t>
        </is>
      </c>
      <c r="C1251" s="25" t="inlineStr">
        <is>
          <t>Marshalls - Fun Time Wallpapers - FUN 173</t>
        </is>
      </c>
      <c r="D1251" s="23" t="inlineStr">
        <is>
          <t>Marshalls</t>
        </is>
      </c>
      <c r="E1251" s="43" t="n">
        <v>46125</v>
      </c>
      <c r="F1251" s="26" t="inlineStr">
        <is>
          <t>Sunil CR</t>
        </is>
      </c>
      <c r="G1251" s="26" t="inlineStr">
        <is>
          <t>Yes</t>
        </is>
      </c>
      <c r="H1251" s="26" t="inlineStr">
        <is>
          <t>No</t>
        </is>
      </c>
      <c r="I1251" s="26" t="inlineStr">
        <is>
          <t>Good finish</t>
        </is>
      </c>
      <c r="J1251" s="26" t="inlineStr">
        <is>
          <t>Yes</t>
        </is>
      </c>
      <c r="K1251" s="27" t="n"/>
      <c r="L1251" s="28" t="inlineStr">
        <is>
          <t>No</t>
        </is>
      </c>
      <c r="M1251" s="29">
        <f>IF(E1251="","",IF(H1251="Yes","❌ Disc",IF(G1251="No","⚠ Missing",IF(J1251="Yes","✓ OK","⚠ Check"))))</f>
        <v/>
      </c>
      <c r="N1251" s="43" t="n">
        <v>46193</v>
      </c>
      <c r="O1251" s="26" t="inlineStr">
        <is>
          <t>Sunil CR</t>
        </is>
      </c>
      <c r="P1251" s="26" t="inlineStr">
        <is>
          <t>Yes</t>
        </is>
      </c>
      <c r="Q1251" s="26" t="inlineStr">
        <is>
          <t>No</t>
        </is>
      </c>
      <c r="R1251" s="26" t="inlineStr">
        <is>
          <t>Good finish</t>
        </is>
      </c>
      <c r="S1251" s="26" t="inlineStr">
        <is>
          <t>Yes</t>
        </is>
      </c>
      <c r="T1251" s="27" t="n"/>
      <c r="U1251" s="28" t="inlineStr">
        <is>
          <t>No</t>
        </is>
      </c>
      <c r="V1251" s="29">
        <f>IF(N1251="","",IF(Q1251="Yes","❌ Disc",IF(P1251="No","⚠ Missing",IF(S1251="Yes","✓ OK","⚠ Check"))))</f>
        <v/>
      </c>
      <c r="W1251" s="65" t="n">
        <v>46248</v>
      </c>
      <c r="X1251" s="30" t="inlineStr">
        <is>
          <t>Sunil CR</t>
        </is>
      </c>
      <c r="Y1251" s="30" t="inlineStr">
        <is>
          <t>Yes</t>
        </is>
      </c>
      <c r="Z1251" s="30" t="n"/>
      <c r="AA1251" s="30" t="inlineStr">
        <is>
          <t>Good finish</t>
        </is>
      </c>
      <c r="AB1251" s="30" t="inlineStr">
        <is>
          <t>Yes</t>
        </is>
      </c>
      <c r="AC1251" s="27" t="n"/>
      <c r="AD1251" s="31" t="inlineStr">
        <is>
          <t>No</t>
        </is>
      </c>
      <c r="AE1251" s="32">
        <f>IF(W1251="","",IF(Z1251="Yes","❌ Disc",IF(Y1251="No","⚠ Missing",IF(AB1251="Yes","✓ OK","⚠ Check"))))</f>
        <v/>
      </c>
      <c r="AF1251" s="33" t="n"/>
      <c r="AG1251" s="33" t="n"/>
      <c r="AH1251" s="33" t="n"/>
      <c r="AI1251" s="33" t="n"/>
      <c r="AJ1251" s="33" t="n"/>
      <c r="AK1251" s="33" t="n"/>
      <c r="AL1251" s="27" t="n"/>
      <c r="AM1251" s="34" t="n"/>
      <c r="AN1251" s="35">
        <f>IF(AF1251="","",IF(AI1251="Yes","❌ Disc",IF(AH1251="No","⚠ Missing",IF(AK1251="Yes","✓ OK","⚠ Check"))))</f>
        <v/>
      </c>
      <c r="AO1251" s="36" t="n"/>
      <c r="AP1251" s="36" t="n"/>
      <c r="AQ1251" s="36" t="n"/>
      <c r="AR1251" s="36" t="n"/>
      <c r="AS1251" s="36" t="n"/>
      <c r="AT1251" s="36" t="n"/>
      <c r="AU1251" s="27" t="n"/>
      <c r="AV1251" s="37" t="n"/>
      <c r="AW1251" s="38">
        <f>IF(AO1251="","",IF(AR1251="Yes","❌ Disc",IF(AQ1251="No","⚠ Missing",IF(AT1251="Yes","✓ OK","⚠ Check"))))</f>
        <v/>
      </c>
    </row>
    <row r="1252" ht="18" customHeight="1" s="46">
      <c r="A1252" s="39" t="n">
        <v>1248</v>
      </c>
      <c r="B1252" s="40" t="inlineStr">
        <is>
          <t>WP MR FUN 174</t>
        </is>
      </c>
      <c r="C1252" s="41" t="inlineStr">
        <is>
          <t>Marshalls - Fun Time Wallpapers - FUN 174</t>
        </is>
      </c>
      <c r="D1252" s="39" t="inlineStr">
        <is>
          <t>Marshalls</t>
        </is>
      </c>
      <c r="E1252" s="43" t="n">
        <v>46125</v>
      </c>
      <c r="F1252" s="26" t="inlineStr">
        <is>
          <t>Sunil CR</t>
        </is>
      </c>
      <c r="G1252" s="26" t="inlineStr">
        <is>
          <t>Yes</t>
        </is>
      </c>
      <c r="H1252" s="26" t="inlineStr">
        <is>
          <t>No</t>
        </is>
      </c>
      <c r="I1252" s="26" t="inlineStr">
        <is>
          <t>Good finish</t>
        </is>
      </c>
      <c r="J1252" s="26" t="inlineStr">
        <is>
          <t>Yes</t>
        </is>
      </c>
      <c r="K1252" s="27" t="n"/>
      <c r="L1252" s="28" t="inlineStr">
        <is>
          <t>No</t>
        </is>
      </c>
      <c r="M1252" s="29">
        <f>IF(E1252="","",IF(H1252="Yes","❌ Disc",IF(G1252="No","⚠ Missing",IF(J1252="Yes","✓ OK","⚠ Check"))))</f>
        <v/>
      </c>
      <c r="N1252" s="43" t="n">
        <v>46193</v>
      </c>
      <c r="O1252" s="26" t="inlineStr">
        <is>
          <t>Sunil CR</t>
        </is>
      </c>
      <c r="P1252" s="26" t="inlineStr">
        <is>
          <t>Yes</t>
        </is>
      </c>
      <c r="Q1252" s="26" t="inlineStr">
        <is>
          <t>No</t>
        </is>
      </c>
      <c r="R1252" s="26" t="inlineStr">
        <is>
          <t>Good finish</t>
        </is>
      </c>
      <c r="S1252" s="26" t="inlineStr">
        <is>
          <t>Yes</t>
        </is>
      </c>
      <c r="T1252" s="27" t="n"/>
      <c r="U1252" s="28" t="inlineStr">
        <is>
          <t>No</t>
        </is>
      </c>
      <c r="V1252" s="29">
        <f>IF(N1252="","",IF(Q1252="Yes","❌ Disc",IF(P1252="No","⚠ Missing",IF(S1252="Yes","✓ OK","⚠ Check"))))</f>
        <v/>
      </c>
      <c r="W1252" s="65" t="n">
        <v>46248</v>
      </c>
      <c r="X1252" s="30" t="inlineStr">
        <is>
          <t>Sunil CR</t>
        </is>
      </c>
      <c r="Y1252" s="30" t="inlineStr">
        <is>
          <t>Yes</t>
        </is>
      </c>
      <c r="Z1252" s="30" t="n"/>
      <c r="AA1252" s="30" t="inlineStr">
        <is>
          <t>Good finish</t>
        </is>
      </c>
      <c r="AB1252" s="30" t="inlineStr">
        <is>
          <t>Yes</t>
        </is>
      </c>
      <c r="AC1252" s="27" t="n"/>
      <c r="AD1252" s="31" t="inlineStr">
        <is>
          <t>No</t>
        </is>
      </c>
      <c r="AE1252" s="32">
        <f>IF(W1252="","",IF(Z1252="Yes","❌ Disc",IF(Y1252="No","⚠ Missing",IF(AB1252="Yes","✓ OK","⚠ Check"))))</f>
        <v/>
      </c>
      <c r="AF1252" s="33" t="n"/>
      <c r="AG1252" s="33" t="n"/>
      <c r="AH1252" s="33" t="n"/>
      <c r="AI1252" s="33" t="n"/>
      <c r="AJ1252" s="33" t="n"/>
      <c r="AK1252" s="33" t="n"/>
      <c r="AL1252" s="27" t="n"/>
      <c r="AM1252" s="34" t="n"/>
      <c r="AN1252" s="35">
        <f>IF(AF1252="","",IF(AI1252="Yes","❌ Disc",IF(AH1252="No","⚠ Missing",IF(AK1252="Yes","✓ OK","⚠ Check"))))</f>
        <v/>
      </c>
      <c r="AO1252" s="36" t="n"/>
      <c r="AP1252" s="36" t="n"/>
      <c r="AQ1252" s="36" t="n"/>
      <c r="AR1252" s="36" t="n"/>
      <c r="AS1252" s="36" t="n"/>
      <c r="AT1252" s="36" t="n"/>
      <c r="AU1252" s="27" t="n"/>
      <c r="AV1252" s="37" t="n"/>
      <c r="AW1252" s="38">
        <f>IF(AO1252="","",IF(AR1252="Yes","❌ Disc",IF(AQ1252="No","⚠ Missing",IF(AT1252="Yes","✓ OK","⚠ Check"))))</f>
        <v/>
      </c>
    </row>
    <row r="1253" ht="18" customHeight="1" s="46">
      <c r="A1253" s="23" t="n">
        <v>1249</v>
      </c>
      <c r="B1253" s="24" t="inlineStr">
        <is>
          <t>WP MR FUN 175</t>
        </is>
      </c>
      <c r="C1253" s="25" t="inlineStr">
        <is>
          <t>Marshalls - Fun Time Wallpapers - FUN 175</t>
        </is>
      </c>
      <c r="D1253" s="23" t="inlineStr">
        <is>
          <t>Marshalls</t>
        </is>
      </c>
      <c r="E1253" s="43" t="n">
        <v>46125</v>
      </c>
      <c r="F1253" s="26" t="inlineStr">
        <is>
          <t>Sunil CR</t>
        </is>
      </c>
      <c r="G1253" s="26" t="inlineStr">
        <is>
          <t>Yes</t>
        </is>
      </c>
      <c r="H1253" s="26" t="inlineStr">
        <is>
          <t>No</t>
        </is>
      </c>
      <c r="I1253" s="26" t="inlineStr">
        <is>
          <t>Good finish</t>
        </is>
      </c>
      <c r="J1253" s="26" t="inlineStr">
        <is>
          <t>Yes</t>
        </is>
      </c>
      <c r="K1253" s="27" t="n"/>
      <c r="L1253" s="28" t="inlineStr">
        <is>
          <t>No</t>
        </is>
      </c>
      <c r="M1253" s="29">
        <f>IF(E1253="","",IF(H1253="Yes","❌ Disc",IF(G1253="No","⚠ Missing",IF(J1253="Yes","✓ OK","⚠ Check"))))</f>
        <v/>
      </c>
      <c r="N1253" s="43" t="n">
        <v>46193</v>
      </c>
      <c r="O1253" s="26" t="inlineStr">
        <is>
          <t>Sunil CR</t>
        </is>
      </c>
      <c r="P1253" s="26" t="inlineStr">
        <is>
          <t>Yes</t>
        </is>
      </c>
      <c r="Q1253" s="26" t="inlineStr">
        <is>
          <t>No</t>
        </is>
      </c>
      <c r="R1253" s="26" t="inlineStr">
        <is>
          <t>Good finish</t>
        </is>
      </c>
      <c r="S1253" s="26" t="inlineStr">
        <is>
          <t>Yes</t>
        </is>
      </c>
      <c r="T1253" s="27" t="n"/>
      <c r="U1253" s="28" t="inlineStr">
        <is>
          <t>No</t>
        </is>
      </c>
      <c r="V1253" s="29">
        <f>IF(N1253="","",IF(Q1253="Yes","❌ Disc",IF(P1253="No","⚠ Missing",IF(S1253="Yes","✓ OK","⚠ Check"))))</f>
        <v/>
      </c>
      <c r="W1253" s="65" t="n">
        <v>46248</v>
      </c>
      <c r="X1253" s="30" t="inlineStr">
        <is>
          <t>Sunil CR</t>
        </is>
      </c>
      <c r="Y1253" s="30" t="inlineStr">
        <is>
          <t>Yes</t>
        </is>
      </c>
      <c r="Z1253" s="30" t="n"/>
      <c r="AA1253" s="30" t="inlineStr">
        <is>
          <t>Good finish</t>
        </is>
      </c>
      <c r="AB1253" s="30" t="inlineStr">
        <is>
          <t>Yes</t>
        </is>
      </c>
      <c r="AC1253" s="27" t="n"/>
      <c r="AD1253" s="31" t="inlineStr">
        <is>
          <t>No</t>
        </is>
      </c>
      <c r="AE1253" s="32">
        <f>IF(W1253="","",IF(Z1253="Yes","❌ Disc",IF(Y1253="No","⚠ Missing",IF(AB1253="Yes","✓ OK","⚠ Check"))))</f>
        <v/>
      </c>
      <c r="AF1253" s="33" t="n"/>
      <c r="AG1253" s="33" t="n"/>
      <c r="AH1253" s="33" t="n"/>
      <c r="AI1253" s="33" t="n"/>
      <c r="AJ1253" s="33" t="n"/>
      <c r="AK1253" s="33" t="n"/>
      <c r="AL1253" s="27" t="n"/>
      <c r="AM1253" s="34" t="n"/>
      <c r="AN1253" s="35">
        <f>IF(AF1253="","",IF(AI1253="Yes","❌ Disc",IF(AH1253="No","⚠ Missing",IF(AK1253="Yes","✓ OK","⚠ Check"))))</f>
        <v/>
      </c>
      <c r="AO1253" s="36" t="n"/>
      <c r="AP1253" s="36" t="n"/>
      <c r="AQ1253" s="36" t="n"/>
      <c r="AR1253" s="36" t="n"/>
      <c r="AS1253" s="36" t="n"/>
      <c r="AT1253" s="36" t="n"/>
      <c r="AU1253" s="27" t="n"/>
      <c r="AV1253" s="37" t="n"/>
      <c r="AW1253" s="38">
        <f>IF(AO1253="","",IF(AR1253="Yes","❌ Disc",IF(AQ1253="No","⚠ Missing",IF(AT1253="Yes","✓ OK","⚠ Check"))))</f>
        <v/>
      </c>
    </row>
    <row r="1254" ht="18" customHeight="1" s="46">
      <c r="A1254" s="39" t="n">
        <v>1250</v>
      </c>
      <c r="B1254" s="40" t="inlineStr">
        <is>
          <t>WP MR INS 201</t>
        </is>
      </c>
      <c r="C1254" s="41" t="inlineStr">
        <is>
          <t>Marshalls - Inspire II WallpapersINS 201</t>
        </is>
      </c>
      <c r="D1254" s="39" t="inlineStr">
        <is>
          <t>Marshalls</t>
        </is>
      </c>
      <c r="E1254" s="43" t="n">
        <v>46125</v>
      </c>
      <c r="F1254" s="26" t="inlineStr">
        <is>
          <t>Sunil CR</t>
        </is>
      </c>
      <c r="G1254" s="26" t="inlineStr">
        <is>
          <t>Yes</t>
        </is>
      </c>
      <c r="H1254" s="26" t="inlineStr">
        <is>
          <t>No</t>
        </is>
      </c>
      <c r="I1254" s="26" t="inlineStr">
        <is>
          <t>Good finish</t>
        </is>
      </c>
      <c r="J1254" s="26" t="inlineStr">
        <is>
          <t>Yes</t>
        </is>
      </c>
      <c r="K1254" s="27" t="n"/>
      <c r="L1254" s="28" t="inlineStr">
        <is>
          <t>No</t>
        </is>
      </c>
      <c r="M1254" s="29">
        <f>IF(E1254="","",IF(H1254="Yes","❌ Disc",IF(G1254="No","⚠ Missing",IF(J1254="Yes","✓ OK","⚠ Check"))))</f>
        <v/>
      </c>
      <c r="N1254" s="43" t="n">
        <v>46193</v>
      </c>
      <c r="O1254" s="26" t="inlineStr">
        <is>
          <t>Sunil CR</t>
        </is>
      </c>
      <c r="P1254" s="26" t="inlineStr">
        <is>
          <t>Yes</t>
        </is>
      </c>
      <c r="Q1254" s="26" t="inlineStr">
        <is>
          <t>No</t>
        </is>
      </c>
      <c r="R1254" s="26" t="inlineStr">
        <is>
          <t>Good finish</t>
        </is>
      </c>
      <c r="S1254" s="26" t="inlineStr">
        <is>
          <t>Yes</t>
        </is>
      </c>
      <c r="T1254" s="27" t="n"/>
      <c r="U1254" s="28" t="inlineStr">
        <is>
          <t>No</t>
        </is>
      </c>
      <c r="V1254" s="29">
        <f>IF(N1254="","",IF(Q1254="Yes","❌ Disc",IF(P1254="No","⚠ Missing",IF(S1254="Yes","✓ OK","⚠ Check"))))</f>
        <v/>
      </c>
      <c r="W1254" s="65" t="n">
        <v>46248</v>
      </c>
      <c r="X1254" s="30" t="inlineStr">
        <is>
          <t>Sunil CR</t>
        </is>
      </c>
      <c r="Y1254" s="30" t="inlineStr">
        <is>
          <t>Yes</t>
        </is>
      </c>
      <c r="Z1254" s="30" t="n"/>
      <c r="AA1254" s="30" t="inlineStr">
        <is>
          <t>Good finish</t>
        </is>
      </c>
      <c r="AB1254" s="30" t="inlineStr">
        <is>
          <t>Yes</t>
        </is>
      </c>
      <c r="AC1254" s="27" t="n"/>
      <c r="AD1254" s="31" t="inlineStr">
        <is>
          <t>No</t>
        </is>
      </c>
      <c r="AE1254" s="32">
        <f>IF(W1254="","",IF(Z1254="Yes","❌ Disc",IF(Y1254="No","⚠ Missing",IF(AB1254="Yes","✓ OK","⚠ Check"))))</f>
        <v/>
      </c>
      <c r="AF1254" s="33" t="n"/>
      <c r="AG1254" s="33" t="n"/>
      <c r="AH1254" s="33" t="n"/>
      <c r="AI1254" s="33" t="n"/>
      <c r="AJ1254" s="33" t="n"/>
      <c r="AK1254" s="33" t="n"/>
      <c r="AL1254" s="27" t="n"/>
      <c r="AM1254" s="34" t="n"/>
      <c r="AN1254" s="35">
        <f>IF(AF1254="","",IF(AI1254="Yes","❌ Disc",IF(AH1254="No","⚠ Missing",IF(AK1254="Yes","✓ OK","⚠ Check"))))</f>
        <v/>
      </c>
      <c r="AO1254" s="36" t="n"/>
      <c r="AP1254" s="36" t="n"/>
      <c r="AQ1254" s="36" t="n"/>
      <c r="AR1254" s="36" t="n"/>
      <c r="AS1254" s="36" t="n"/>
      <c r="AT1254" s="36" t="n"/>
      <c r="AU1254" s="27" t="n"/>
      <c r="AV1254" s="37" t="n"/>
      <c r="AW1254" s="38">
        <f>IF(AO1254="","",IF(AR1254="Yes","❌ Disc",IF(AQ1254="No","⚠ Missing",IF(AT1254="Yes","✓ OK","⚠ Check"))))</f>
        <v/>
      </c>
    </row>
    <row r="1255" ht="18" customHeight="1" s="46">
      <c r="A1255" s="23" t="n">
        <v>1251</v>
      </c>
      <c r="B1255" s="24" t="inlineStr">
        <is>
          <t>WP MR INS 202</t>
        </is>
      </c>
      <c r="C1255" s="25" t="inlineStr">
        <is>
          <t>Marshalls - Inspire II WallpapersINS 202</t>
        </is>
      </c>
      <c r="D1255" s="23" t="inlineStr">
        <is>
          <t>Marshalls</t>
        </is>
      </c>
      <c r="E1255" s="43" t="n">
        <v>46125</v>
      </c>
      <c r="F1255" s="26" t="inlineStr">
        <is>
          <t>Sunil CR</t>
        </is>
      </c>
      <c r="G1255" s="26" t="inlineStr">
        <is>
          <t>Yes</t>
        </is>
      </c>
      <c r="H1255" s="26" t="inlineStr">
        <is>
          <t>No</t>
        </is>
      </c>
      <c r="I1255" s="26" t="inlineStr">
        <is>
          <t>Good finish</t>
        </is>
      </c>
      <c r="J1255" s="26" t="inlineStr">
        <is>
          <t>Yes</t>
        </is>
      </c>
      <c r="K1255" s="27" t="n"/>
      <c r="L1255" s="28" t="inlineStr">
        <is>
          <t>No</t>
        </is>
      </c>
      <c r="M1255" s="29">
        <f>IF(E1255="","",IF(H1255="Yes","❌ Disc",IF(G1255="No","⚠ Missing",IF(J1255="Yes","✓ OK","⚠ Check"))))</f>
        <v/>
      </c>
      <c r="N1255" s="43" t="n">
        <v>46193</v>
      </c>
      <c r="O1255" s="26" t="inlineStr">
        <is>
          <t>Sunil CR</t>
        </is>
      </c>
      <c r="P1255" s="26" t="inlineStr">
        <is>
          <t>Yes</t>
        </is>
      </c>
      <c r="Q1255" s="26" t="inlineStr">
        <is>
          <t>No</t>
        </is>
      </c>
      <c r="R1255" s="26" t="inlineStr">
        <is>
          <t>Good finish</t>
        </is>
      </c>
      <c r="S1255" s="26" t="inlineStr">
        <is>
          <t>Yes</t>
        </is>
      </c>
      <c r="T1255" s="27" t="n"/>
      <c r="U1255" s="28" t="inlineStr">
        <is>
          <t>No</t>
        </is>
      </c>
      <c r="V1255" s="29">
        <f>IF(N1255="","",IF(Q1255="Yes","❌ Disc",IF(P1255="No","⚠ Missing",IF(S1255="Yes","✓ OK","⚠ Check"))))</f>
        <v/>
      </c>
      <c r="W1255" s="65" t="n">
        <v>46248</v>
      </c>
      <c r="X1255" s="30" t="inlineStr">
        <is>
          <t>Sunil CR</t>
        </is>
      </c>
      <c r="Y1255" s="30" t="inlineStr">
        <is>
          <t>Yes</t>
        </is>
      </c>
      <c r="Z1255" s="30" t="n"/>
      <c r="AA1255" s="30" t="inlineStr">
        <is>
          <t>Good finish</t>
        </is>
      </c>
      <c r="AB1255" s="30" t="inlineStr">
        <is>
          <t>Yes</t>
        </is>
      </c>
      <c r="AC1255" s="27" t="n"/>
      <c r="AD1255" s="31" t="inlineStr">
        <is>
          <t>No</t>
        </is>
      </c>
      <c r="AE1255" s="32">
        <f>IF(W1255="","",IF(Z1255="Yes","❌ Disc",IF(Y1255="No","⚠ Missing",IF(AB1255="Yes","✓ OK","⚠ Check"))))</f>
        <v/>
      </c>
      <c r="AF1255" s="33" t="n"/>
      <c r="AG1255" s="33" t="n"/>
      <c r="AH1255" s="33" t="n"/>
      <c r="AI1255" s="33" t="n"/>
      <c r="AJ1255" s="33" t="n"/>
      <c r="AK1255" s="33" t="n"/>
      <c r="AL1255" s="27" t="n"/>
      <c r="AM1255" s="34" t="n"/>
      <c r="AN1255" s="35">
        <f>IF(AF1255="","",IF(AI1255="Yes","❌ Disc",IF(AH1255="No","⚠ Missing",IF(AK1255="Yes","✓ OK","⚠ Check"))))</f>
        <v/>
      </c>
      <c r="AO1255" s="36" t="n"/>
      <c r="AP1255" s="36" t="n"/>
      <c r="AQ1255" s="36" t="n"/>
      <c r="AR1255" s="36" t="n"/>
      <c r="AS1255" s="36" t="n"/>
      <c r="AT1255" s="36" t="n"/>
      <c r="AU1255" s="27" t="n"/>
      <c r="AV1255" s="37" t="n"/>
      <c r="AW1255" s="38">
        <f>IF(AO1255="","",IF(AR1255="Yes","❌ Disc",IF(AQ1255="No","⚠ Missing",IF(AT1255="Yes","✓ OK","⚠ Check"))))</f>
        <v/>
      </c>
    </row>
    <row r="1256" ht="18" customHeight="1" s="46">
      <c r="A1256" s="39" t="n">
        <v>1252</v>
      </c>
      <c r="B1256" s="40" t="inlineStr">
        <is>
          <t>WP MR INS 203</t>
        </is>
      </c>
      <c r="C1256" s="41" t="inlineStr">
        <is>
          <t>Marshalls - Inspire II WallpapersINS 203</t>
        </is>
      </c>
      <c r="D1256" s="39" t="inlineStr">
        <is>
          <t>Marshalls</t>
        </is>
      </c>
      <c r="E1256" s="43" t="n">
        <v>46125</v>
      </c>
      <c r="F1256" s="26" t="inlineStr">
        <is>
          <t>Sunil CR</t>
        </is>
      </c>
      <c r="G1256" s="26" t="inlineStr">
        <is>
          <t>Yes</t>
        </is>
      </c>
      <c r="H1256" s="26" t="inlineStr">
        <is>
          <t>No</t>
        </is>
      </c>
      <c r="I1256" s="26" t="inlineStr">
        <is>
          <t>Good finish</t>
        </is>
      </c>
      <c r="J1256" s="26" t="inlineStr">
        <is>
          <t>Yes</t>
        </is>
      </c>
      <c r="K1256" s="27" t="n"/>
      <c r="L1256" s="28" t="inlineStr">
        <is>
          <t>No</t>
        </is>
      </c>
      <c r="M1256" s="29">
        <f>IF(E1256="","",IF(H1256="Yes","❌ Disc",IF(G1256="No","⚠ Missing",IF(J1256="Yes","✓ OK","⚠ Check"))))</f>
        <v/>
      </c>
      <c r="N1256" s="43" t="n">
        <v>46193</v>
      </c>
      <c r="O1256" s="26" t="inlineStr">
        <is>
          <t>Sunil CR</t>
        </is>
      </c>
      <c r="P1256" s="26" t="inlineStr">
        <is>
          <t>Yes</t>
        </is>
      </c>
      <c r="Q1256" s="26" t="inlineStr">
        <is>
          <t>No</t>
        </is>
      </c>
      <c r="R1256" s="26" t="inlineStr">
        <is>
          <t>Good finish</t>
        </is>
      </c>
      <c r="S1256" s="26" t="inlineStr">
        <is>
          <t>Yes</t>
        </is>
      </c>
      <c r="T1256" s="27" t="n"/>
      <c r="U1256" s="28" t="inlineStr">
        <is>
          <t>No</t>
        </is>
      </c>
      <c r="V1256" s="29">
        <f>IF(N1256="","",IF(Q1256="Yes","❌ Disc",IF(P1256="No","⚠ Missing",IF(S1256="Yes","✓ OK","⚠ Check"))))</f>
        <v/>
      </c>
      <c r="W1256" s="65" t="n">
        <v>46248</v>
      </c>
      <c r="X1256" s="30" t="inlineStr">
        <is>
          <t>Sunil CR</t>
        </is>
      </c>
      <c r="Y1256" s="30" t="inlineStr">
        <is>
          <t>Yes</t>
        </is>
      </c>
      <c r="Z1256" s="30" t="n"/>
      <c r="AA1256" s="30" t="inlineStr">
        <is>
          <t>Good finish</t>
        </is>
      </c>
      <c r="AB1256" s="30" t="inlineStr">
        <is>
          <t>Yes</t>
        </is>
      </c>
      <c r="AC1256" s="27" t="n"/>
      <c r="AD1256" s="31" t="inlineStr">
        <is>
          <t>No</t>
        </is>
      </c>
      <c r="AE1256" s="32">
        <f>IF(W1256="","",IF(Z1256="Yes","❌ Disc",IF(Y1256="No","⚠ Missing",IF(AB1256="Yes","✓ OK","⚠ Check"))))</f>
        <v/>
      </c>
      <c r="AF1256" s="33" t="n"/>
      <c r="AG1256" s="33" t="n"/>
      <c r="AH1256" s="33" t="n"/>
      <c r="AI1256" s="33" t="n"/>
      <c r="AJ1256" s="33" t="n"/>
      <c r="AK1256" s="33" t="n"/>
      <c r="AL1256" s="27" t="n"/>
      <c r="AM1256" s="34" t="n"/>
      <c r="AN1256" s="35">
        <f>IF(AF1256="","",IF(AI1256="Yes","❌ Disc",IF(AH1256="No","⚠ Missing",IF(AK1256="Yes","✓ OK","⚠ Check"))))</f>
        <v/>
      </c>
      <c r="AO1256" s="36" t="n"/>
      <c r="AP1256" s="36" t="n"/>
      <c r="AQ1256" s="36" t="n"/>
      <c r="AR1256" s="36" t="n"/>
      <c r="AS1256" s="36" t="n"/>
      <c r="AT1256" s="36" t="n"/>
      <c r="AU1256" s="27" t="n"/>
      <c r="AV1256" s="37" t="n"/>
      <c r="AW1256" s="38">
        <f>IF(AO1256="","",IF(AR1256="Yes","❌ Disc",IF(AQ1256="No","⚠ Missing",IF(AT1256="Yes","✓ OK","⚠ Check"))))</f>
        <v/>
      </c>
    </row>
    <row r="1257" ht="18" customHeight="1" s="46">
      <c r="A1257" s="23" t="n">
        <v>1253</v>
      </c>
      <c r="B1257" s="24" t="inlineStr">
        <is>
          <t>WP MR INS 204</t>
        </is>
      </c>
      <c r="C1257" s="25" t="inlineStr">
        <is>
          <t>Marshalls - Inspire II WallpapersINS 204</t>
        </is>
      </c>
      <c r="D1257" s="23" t="inlineStr">
        <is>
          <t>Marshalls</t>
        </is>
      </c>
      <c r="E1257" s="43" t="n">
        <v>46125</v>
      </c>
      <c r="F1257" s="26" t="inlineStr">
        <is>
          <t>Sunil CR</t>
        </is>
      </c>
      <c r="G1257" s="26" t="inlineStr">
        <is>
          <t>Yes</t>
        </is>
      </c>
      <c r="H1257" s="26" t="inlineStr">
        <is>
          <t>No</t>
        </is>
      </c>
      <c r="I1257" s="26" t="inlineStr">
        <is>
          <t>Good finish</t>
        </is>
      </c>
      <c r="J1257" s="26" t="inlineStr">
        <is>
          <t>Yes</t>
        </is>
      </c>
      <c r="K1257" s="27" t="n"/>
      <c r="L1257" s="28" t="inlineStr">
        <is>
          <t>No</t>
        </is>
      </c>
      <c r="M1257" s="29">
        <f>IF(E1257="","",IF(H1257="Yes","❌ Disc",IF(G1257="No","⚠ Missing",IF(J1257="Yes","✓ OK","⚠ Check"))))</f>
        <v/>
      </c>
      <c r="N1257" s="43" t="n">
        <v>46193</v>
      </c>
      <c r="O1257" s="26" t="inlineStr">
        <is>
          <t>Sunil CR</t>
        </is>
      </c>
      <c r="P1257" s="26" t="inlineStr">
        <is>
          <t>Yes</t>
        </is>
      </c>
      <c r="Q1257" s="26" t="inlineStr">
        <is>
          <t>No</t>
        </is>
      </c>
      <c r="R1257" s="26" t="inlineStr">
        <is>
          <t>Good finish</t>
        </is>
      </c>
      <c r="S1257" s="26" t="inlineStr">
        <is>
          <t>Yes</t>
        </is>
      </c>
      <c r="T1257" s="27" t="n"/>
      <c r="U1257" s="28" t="inlineStr">
        <is>
          <t>No</t>
        </is>
      </c>
      <c r="V1257" s="29">
        <f>IF(N1257="","",IF(Q1257="Yes","❌ Disc",IF(P1257="No","⚠ Missing",IF(S1257="Yes","✓ OK","⚠ Check"))))</f>
        <v/>
      </c>
      <c r="W1257" s="65" t="n">
        <v>46248</v>
      </c>
      <c r="X1257" s="30" t="inlineStr">
        <is>
          <t>Sunil CR</t>
        </is>
      </c>
      <c r="Y1257" s="30" t="inlineStr">
        <is>
          <t>Yes</t>
        </is>
      </c>
      <c r="Z1257" s="30" t="n"/>
      <c r="AA1257" s="30" t="inlineStr">
        <is>
          <t>Good finish</t>
        </is>
      </c>
      <c r="AB1257" s="30" t="inlineStr">
        <is>
          <t>Yes</t>
        </is>
      </c>
      <c r="AC1257" s="27" t="n"/>
      <c r="AD1257" s="31" t="inlineStr">
        <is>
          <t>No</t>
        </is>
      </c>
      <c r="AE1257" s="32">
        <f>IF(W1257="","",IF(Z1257="Yes","❌ Disc",IF(Y1257="No","⚠ Missing",IF(AB1257="Yes","✓ OK","⚠ Check"))))</f>
        <v/>
      </c>
      <c r="AF1257" s="33" t="n"/>
      <c r="AG1257" s="33" t="n"/>
      <c r="AH1257" s="33" t="n"/>
      <c r="AI1257" s="33" t="n"/>
      <c r="AJ1257" s="33" t="n"/>
      <c r="AK1257" s="33" t="n"/>
      <c r="AL1257" s="27" t="n"/>
      <c r="AM1257" s="34" t="n"/>
      <c r="AN1257" s="35">
        <f>IF(AF1257="","",IF(AI1257="Yes","❌ Disc",IF(AH1257="No","⚠ Missing",IF(AK1257="Yes","✓ OK","⚠ Check"))))</f>
        <v/>
      </c>
      <c r="AO1257" s="36" t="n"/>
      <c r="AP1257" s="36" t="n"/>
      <c r="AQ1257" s="36" t="n"/>
      <c r="AR1257" s="36" t="n"/>
      <c r="AS1257" s="36" t="n"/>
      <c r="AT1257" s="36" t="n"/>
      <c r="AU1257" s="27" t="n"/>
      <c r="AV1257" s="37" t="n"/>
      <c r="AW1257" s="38">
        <f>IF(AO1257="","",IF(AR1257="Yes","❌ Disc",IF(AQ1257="No","⚠ Missing",IF(AT1257="Yes","✓ OK","⚠ Check"))))</f>
        <v/>
      </c>
    </row>
    <row r="1258" ht="18" customHeight="1" s="46">
      <c r="A1258" s="39" t="n">
        <v>1254</v>
      </c>
      <c r="B1258" s="40" t="inlineStr">
        <is>
          <t>WP MR INS 205</t>
        </is>
      </c>
      <c r="C1258" s="41" t="inlineStr">
        <is>
          <t>Marshalls - Inspire II WallpapersINS 205</t>
        </is>
      </c>
      <c r="D1258" s="39" t="inlineStr">
        <is>
          <t>Marshalls</t>
        </is>
      </c>
      <c r="E1258" s="43" t="n">
        <v>46125</v>
      </c>
      <c r="F1258" s="26" t="inlineStr">
        <is>
          <t>Sunil CR</t>
        </is>
      </c>
      <c r="G1258" s="26" t="inlineStr">
        <is>
          <t>Yes</t>
        </is>
      </c>
      <c r="H1258" s="26" t="inlineStr">
        <is>
          <t>No</t>
        </is>
      </c>
      <c r="I1258" s="26" t="inlineStr">
        <is>
          <t>Good finish</t>
        </is>
      </c>
      <c r="J1258" s="26" t="inlineStr">
        <is>
          <t>Yes</t>
        </is>
      </c>
      <c r="K1258" s="27" t="n"/>
      <c r="L1258" s="28" t="inlineStr">
        <is>
          <t>No</t>
        </is>
      </c>
      <c r="M1258" s="29">
        <f>IF(E1258="","",IF(H1258="Yes","❌ Disc",IF(G1258="No","⚠ Missing",IF(J1258="Yes","✓ OK","⚠ Check"))))</f>
        <v/>
      </c>
      <c r="N1258" s="43" t="n">
        <v>46193</v>
      </c>
      <c r="O1258" s="26" t="inlineStr">
        <is>
          <t>Sunil CR</t>
        </is>
      </c>
      <c r="P1258" s="26" t="inlineStr">
        <is>
          <t>Yes</t>
        </is>
      </c>
      <c r="Q1258" s="26" t="inlineStr">
        <is>
          <t>No</t>
        </is>
      </c>
      <c r="R1258" s="26" t="inlineStr">
        <is>
          <t>Good finish</t>
        </is>
      </c>
      <c r="S1258" s="26" t="inlineStr">
        <is>
          <t>Yes</t>
        </is>
      </c>
      <c r="T1258" s="27" t="n"/>
      <c r="U1258" s="28" t="inlineStr">
        <is>
          <t>No</t>
        </is>
      </c>
      <c r="V1258" s="29">
        <f>IF(N1258="","",IF(Q1258="Yes","❌ Disc",IF(P1258="No","⚠ Missing",IF(S1258="Yes","✓ OK","⚠ Check"))))</f>
        <v/>
      </c>
      <c r="W1258" s="65" t="n">
        <v>46248</v>
      </c>
      <c r="X1258" s="30" t="inlineStr">
        <is>
          <t>Sunil CR</t>
        </is>
      </c>
      <c r="Y1258" s="30" t="inlineStr">
        <is>
          <t>Yes</t>
        </is>
      </c>
      <c r="Z1258" s="30" t="n"/>
      <c r="AA1258" s="30" t="inlineStr">
        <is>
          <t>Good finish</t>
        </is>
      </c>
      <c r="AB1258" s="30" t="inlineStr">
        <is>
          <t>Yes</t>
        </is>
      </c>
      <c r="AC1258" s="27" t="n"/>
      <c r="AD1258" s="31" t="inlineStr">
        <is>
          <t>No</t>
        </is>
      </c>
      <c r="AE1258" s="32">
        <f>IF(W1258="","",IF(Z1258="Yes","❌ Disc",IF(Y1258="No","⚠ Missing",IF(AB1258="Yes","✓ OK","⚠ Check"))))</f>
        <v/>
      </c>
      <c r="AF1258" s="33" t="n"/>
      <c r="AG1258" s="33" t="n"/>
      <c r="AH1258" s="33" t="n"/>
      <c r="AI1258" s="33" t="n"/>
      <c r="AJ1258" s="33" t="n"/>
      <c r="AK1258" s="33" t="n"/>
      <c r="AL1258" s="27" t="n"/>
      <c r="AM1258" s="34" t="n"/>
      <c r="AN1258" s="35">
        <f>IF(AF1258="","",IF(AI1258="Yes","❌ Disc",IF(AH1258="No","⚠ Missing",IF(AK1258="Yes","✓ OK","⚠ Check"))))</f>
        <v/>
      </c>
      <c r="AO1258" s="36" t="n"/>
      <c r="AP1258" s="36" t="n"/>
      <c r="AQ1258" s="36" t="n"/>
      <c r="AR1258" s="36" t="n"/>
      <c r="AS1258" s="36" t="n"/>
      <c r="AT1258" s="36" t="n"/>
      <c r="AU1258" s="27" t="n"/>
      <c r="AV1258" s="37" t="n"/>
      <c r="AW1258" s="38">
        <f>IF(AO1258="","",IF(AR1258="Yes","❌ Disc",IF(AQ1258="No","⚠ Missing",IF(AT1258="Yes","✓ OK","⚠ Check"))))</f>
        <v/>
      </c>
    </row>
    <row r="1259" ht="18" customHeight="1" s="46">
      <c r="A1259" s="23" t="n">
        <v>1255</v>
      </c>
      <c r="B1259" s="24" t="inlineStr">
        <is>
          <t>WP MR INS 206</t>
        </is>
      </c>
      <c r="C1259" s="25" t="inlineStr">
        <is>
          <t>Marshalls - Inspire II WallpapersINS 206</t>
        </is>
      </c>
      <c r="D1259" s="23" t="inlineStr">
        <is>
          <t>Marshalls</t>
        </is>
      </c>
      <c r="E1259" s="43" t="n">
        <v>46125</v>
      </c>
      <c r="F1259" s="26" t="inlineStr">
        <is>
          <t>Sunil CR</t>
        </is>
      </c>
      <c r="G1259" s="26" t="inlineStr">
        <is>
          <t>Yes</t>
        </is>
      </c>
      <c r="H1259" s="26" t="inlineStr">
        <is>
          <t>No</t>
        </is>
      </c>
      <c r="I1259" s="26" t="inlineStr">
        <is>
          <t>Good finish</t>
        </is>
      </c>
      <c r="J1259" s="26" t="inlineStr">
        <is>
          <t>Yes</t>
        </is>
      </c>
      <c r="K1259" s="27" t="n"/>
      <c r="L1259" s="28" t="inlineStr">
        <is>
          <t>No</t>
        </is>
      </c>
      <c r="M1259" s="29">
        <f>IF(E1259="","",IF(H1259="Yes","❌ Disc",IF(G1259="No","⚠ Missing",IF(J1259="Yes","✓ OK","⚠ Check"))))</f>
        <v/>
      </c>
      <c r="N1259" s="43" t="n">
        <v>46193</v>
      </c>
      <c r="O1259" s="26" t="inlineStr">
        <is>
          <t>Sunil CR</t>
        </is>
      </c>
      <c r="P1259" s="26" t="inlineStr">
        <is>
          <t>Yes</t>
        </is>
      </c>
      <c r="Q1259" s="26" t="inlineStr">
        <is>
          <t>No</t>
        </is>
      </c>
      <c r="R1259" s="26" t="inlineStr">
        <is>
          <t>Good finish</t>
        </is>
      </c>
      <c r="S1259" s="26" t="inlineStr">
        <is>
          <t>Yes</t>
        </is>
      </c>
      <c r="T1259" s="27" t="n"/>
      <c r="U1259" s="28" t="inlineStr">
        <is>
          <t>No</t>
        </is>
      </c>
      <c r="V1259" s="29">
        <f>IF(N1259="","",IF(Q1259="Yes","❌ Disc",IF(P1259="No","⚠ Missing",IF(S1259="Yes","✓ OK","⚠ Check"))))</f>
        <v/>
      </c>
      <c r="W1259" s="65" t="n">
        <v>46248</v>
      </c>
      <c r="X1259" s="30" t="inlineStr">
        <is>
          <t>Sunil CR</t>
        </is>
      </c>
      <c r="Y1259" s="30" t="inlineStr">
        <is>
          <t>Yes</t>
        </is>
      </c>
      <c r="Z1259" s="30" t="n"/>
      <c r="AA1259" s="30" t="inlineStr">
        <is>
          <t>Good finish</t>
        </is>
      </c>
      <c r="AB1259" s="30" t="inlineStr">
        <is>
          <t>Yes</t>
        </is>
      </c>
      <c r="AC1259" s="27" t="n"/>
      <c r="AD1259" s="31" t="inlineStr">
        <is>
          <t>No</t>
        </is>
      </c>
      <c r="AE1259" s="32">
        <f>IF(W1259="","",IF(Z1259="Yes","❌ Disc",IF(Y1259="No","⚠ Missing",IF(AB1259="Yes","✓ OK","⚠ Check"))))</f>
        <v/>
      </c>
      <c r="AF1259" s="33" t="n"/>
      <c r="AG1259" s="33" t="n"/>
      <c r="AH1259" s="33" t="n"/>
      <c r="AI1259" s="33" t="n"/>
      <c r="AJ1259" s="33" t="n"/>
      <c r="AK1259" s="33" t="n"/>
      <c r="AL1259" s="27" t="n"/>
      <c r="AM1259" s="34" t="n"/>
      <c r="AN1259" s="35">
        <f>IF(AF1259="","",IF(AI1259="Yes","❌ Disc",IF(AH1259="No","⚠ Missing",IF(AK1259="Yes","✓ OK","⚠ Check"))))</f>
        <v/>
      </c>
      <c r="AO1259" s="36" t="n"/>
      <c r="AP1259" s="36" t="n"/>
      <c r="AQ1259" s="36" t="n"/>
      <c r="AR1259" s="36" t="n"/>
      <c r="AS1259" s="36" t="n"/>
      <c r="AT1259" s="36" t="n"/>
      <c r="AU1259" s="27" t="n"/>
      <c r="AV1259" s="37" t="n"/>
      <c r="AW1259" s="38">
        <f>IF(AO1259="","",IF(AR1259="Yes","❌ Disc",IF(AQ1259="No","⚠ Missing",IF(AT1259="Yes","✓ OK","⚠ Check"))))</f>
        <v/>
      </c>
    </row>
    <row r="1260" ht="18" customHeight="1" s="46">
      <c r="A1260" s="39" t="n">
        <v>1256</v>
      </c>
      <c r="B1260" s="40" t="inlineStr">
        <is>
          <t>WP MR INS 207</t>
        </is>
      </c>
      <c r="C1260" s="41" t="inlineStr">
        <is>
          <t>Marshalls - Inspire II WallpapersINS 207</t>
        </is>
      </c>
      <c r="D1260" s="39" t="inlineStr">
        <is>
          <t>Marshalls</t>
        </is>
      </c>
      <c r="E1260" s="43" t="n">
        <v>46125</v>
      </c>
      <c r="F1260" s="26" t="inlineStr">
        <is>
          <t>Sunil CR</t>
        </is>
      </c>
      <c r="G1260" s="26" t="inlineStr">
        <is>
          <t>Yes</t>
        </is>
      </c>
      <c r="H1260" s="26" t="inlineStr">
        <is>
          <t>No</t>
        </is>
      </c>
      <c r="I1260" s="26" t="inlineStr">
        <is>
          <t>Good finish</t>
        </is>
      </c>
      <c r="J1260" s="26" t="inlineStr">
        <is>
          <t>Yes</t>
        </is>
      </c>
      <c r="K1260" s="27" t="n"/>
      <c r="L1260" s="28" t="inlineStr">
        <is>
          <t>No</t>
        </is>
      </c>
      <c r="M1260" s="29">
        <f>IF(E1260="","",IF(H1260="Yes","❌ Disc",IF(G1260="No","⚠ Missing",IF(J1260="Yes","✓ OK","⚠ Check"))))</f>
        <v/>
      </c>
      <c r="N1260" s="43" t="n">
        <v>46193</v>
      </c>
      <c r="O1260" s="26" t="inlineStr">
        <is>
          <t>Sunil CR</t>
        </is>
      </c>
      <c r="P1260" s="26" t="inlineStr">
        <is>
          <t>Yes</t>
        </is>
      </c>
      <c r="Q1260" s="26" t="inlineStr">
        <is>
          <t>No</t>
        </is>
      </c>
      <c r="R1260" s="26" t="inlineStr">
        <is>
          <t>Good finish</t>
        </is>
      </c>
      <c r="S1260" s="26" t="inlineStr">
        <is>
          <t>Yes</t>
        </is>
      </c>
      <c r="T1260" s="27" t="n"/>
      <c r="U1260" s="28" t="inlineStr">
        <is>
          <t>No</t>
        </is>
      </c>
      <c r="V1260" s="29">
        <f>IF(N1260="","",IF(Q1260="Yes","❌ Disc",IF(P1260="No","⚠ Missing",IF(S1260="Yes","✓ OK","⚠ Check"))))</f>
        <v/>
      </c>
      <c r="W1260" s="65" t="n">
        <v>46248</v>
      </c>
      <c r="X1260" s="30" t="inlineStr">
        <is>
          <t>Sunil CR</t>
        </is>
      </c>
      <c r="Y1260" s="30" t="inlineStr">
        <is>
          <t>Yes</t>
        </is>
      </c>
      <c r="Z1260" s="30" t="n"/>
      <c r="AA1260" s="30" t="inlineStr">
        <is>
          <t>Good finish</t>
        </is>
      </c>
      <c r="AB1260" s="30" t="inlineStr">
        <is>
          <t>Yes</t>
        </is>
      </c>
      <c r="AC1260" s="27" t="n"/>
      <c r="AD1260" s="31" t="inlineStr">
        <is>
          <t>No</t>
        </is>
      </c>
      <c r="AE1260" s="32">
        <f>IF(W1260="","",IF(Z1260="Yes","❌ Disc",IF(Y1260="No","⚠ Missing",IF(AB1260="Yes","✓ OK","⚠ Check"))))</f>
        <v/>
      </c>
      <c r="AF1260" s="33" t="n"/>
      <c r="AG1260" s="33" t="n"/>
      <c r="AH1260" s="33" t="n"/>
      <c r="AI1260" s="33" t="n"/>
      <c r="AJ1260" s="33" t="n"/>
      <c r="AK1260" s="33" t="n"/>
      <c r="AL1260" s="27" t="n"/>
      <c r="AM1260" s="34" t="n"/>
      <c r="AN1260" s="35">
        <f>IF(AF1260="","",IF(AI1260="Yes","❌ Disc",IF(AH1260="No","⚠ Missing",IF(AK1260="Yes","✓ OK","⚠ Check"))))</f>
        <v/>
      </c>
      <c r="AO1260" s="36" t="n"/>
      <c r="AP1260" s="36" t="n"/>
      <c r="AQ1260" s="36" t="n"/>
      <c r="AR1260" s="36" t="n"/>
      <c r="AS1260" s="36" t="n"/>
      <c r="AT1260" s="36" t="n"/>
      <c r="AU1260" s="27" t="n"/>
      <c r="AV1260" s="37" t="n"/>
      <c r="AW1260" s="38">
        <f>IF(AO1260="","",IF(AR1260="Yes","❌ Disc",IF(AQ1260="No","⚠ Missing",IF(AT1260="Yes","✓ OK","⚠ Check"))))</f>
        <v/>
      </c>
    </row>
    <row r="1261" ht="18" customHeight="1" s="46">
      <c r="A1261" s="23" t="n">
        <v>1257</v>
      </c>
      <c r="B1261" s="24" t="inlineStr">
        <is>
          <t>WP MR INS 208</t>
        </is>
      </c>
      <c r="C1261" s="25" t="inlineStr">
        <is>
          <t>Marshalls - Inspire II WallpapersINS 208</t>
        </is>
      </c>
      <c r="D1261" s="23" t="inlineStr">
        <is>
          <t>Marshalls</t>
        </is>
      </c>
      <c r="E1261" s="43" t="n">
        <v>46125</v>
      </c>
      <c r="F1261" s="26" t="inlineStr">
        <is>
          <t>Sunil CR</t>
        </is>
      </c>
      <c r="G1261" s="26" t="inlineStr">
        <is>
          <t>Yes</t>
        </is>
      </c>
      <c r="H1261" s="26" t="inlineStr">
        <is>
          <t>No</t>
        </is>
      </c>
      <c r="I1261" s="26" t="inlineStr">
        <is>
          <t>Good finish</t>
        </is>
      </c>
      <c r="J1261" s="26" t="inlineStr">
        <is>
          <t>Yes</t>
        </is>
      </c>
      <c r="K1261" s="27" t="n"/>
      <c r="L1261" s="28" t="inlineStr">
        <is>
          <t>No</t>
        </is>
      </c>
      <c r="M1261" s="29">
        <f>IF(E1261="","",IF(H1261="Yes","❌ Disc",IF(G1261="No","⚠ Missing",IF(J1261="Yes","✓ OK","⚠ Check"))))</f>
        <v/>
      </c>
      <c r="N1261" s="43" t="n">
        <v>46193</v>
      </c>
      <c r="O1261" s="26" t="inlineStr">
        <is>
          <t>Sunil CR</t>
        </is>
      </c>
      <c r="P1261" s="26" t="inlineStr">
        <is>
          <t>Yes</t>
        </is>
      </c>
      <c r="Q1261" s="26" t="inlineStr">
        <is>
          <t>No</t>
        </is>
      </c>
      <c r="R1261" s="26" t="inlineStr">
        <is>
          <t>Good finish</t>
        </is>
      </c>
      <c r="S1261" s="26" t="inlineStr">
        <is>
          <t>Yes</t>
        </is>
      </c>
      <c r="T1261" s="27" t="n"/>
      <c r="U1261" s="28" t="inlineStr">
        <is>
          <t>No</t>
        </is>
      </c>
      <c r="V1261" s="29">
        <f>IF(N1261="","",IF(Q1261="Yes","❌ Disc",IF(P1261="No","⚠ Missing",IF(S1261="Yes","✓ OK","⚠ Check"))))</f>
        <v/>
      </c>
      <c r="W1261" s="65" t="n">
        <v>46248</v>
      </c>
      <c r="X1261" s="30" t="inlineStr">
        <is>
          <t>Sunil CR</t>
        </is>
      </c>
      <c r="Y1261" s="30" t="inlineStr">
        <is>
          <t>Yes</t>
        </is>
      </c>
      <c r="Z1261" s="30" t="n"/>
      <c r="AA1261" s="30" t="inlineStr">
        <is>
          <t>Good finish</t>
        </is>
      </c>
      <c r="AB1261" s="30" t="inlineStr">
        <is>
          <t>Yes</t>
        </is>
      </c>
      <c r="AC1261" s="27" t="n"/>
      <c r="AD1261" s="31" t="inlineStr">
        <is>
          <t>No</t>
        </is>
      </c>
      <c r="AE1261" s="32">
        <f>IF(W1261="","",IF(Z1261="Yes","❌ Disc",IF(Y1261="No","⚠ Missing",IF(AB1261="Yes","✓ OK","⚠ Check"))))</f>
        <v/>
      </c>
      <c r="AF1261" s="33" t="n"/>
      <c r="AG1261" s="33" t="n"/>
      <c r="AH1261" s="33" t="n"/>
      <c r="AI1261" s="33" t="n"/>
      <c r="AJ1261" s="33" t="n"/>
      <c r="AK1261" s="33" t="n"/>
      <c r="AL1261" s="27" t="n"/>
      <c r="AM1261" s="34" t="n"/>
      <c r="AN1261" s="35">
        <f>IF(AF1261="","",IF(AI1261="Yes","❌ Disc",IF(AH1261="No","⚠ Missing",IF(AK1261="Yes","✓ OK","⚠ Check"))))</f>
        <v/>
      </c>
      <c r="AO1261" s="36" t="n"/>
      <c r="AP1261" s="36" t="n"/>
      <c r="AQ1261" s="36" t="n"/>
      <c r="AR1261" s="36" t="n"/>
      <c r="AS1261" s="36" t="n"/>
      <c r="AT1261" s="36" t="n"/>
      <c r="AU1261" s="27" t="n"/>
      <c r="AV1261" s="37" t="n"/>
      <c r="AW1261" s="38">
        <f>IF(AO1261="","",IF(AR1261="Yes","❌ Disc",IF(AQ1261="No","⚠ Missing",IF(AT1261="Yes","✓ OK","⚠ Check"))))</f>
        <v/>
      </c>
    </row>
    <row r="1262" ht="18" customHeight="1" s="46">
      <c r="A1262" s="39" t="n">
        <v>1258</v>
      </c>
      <c r="B1262" s="40" t="inlineStr">
        <is>
          <t>WP MR INS 209</t>
        </is>
      </c>
      <c r="C1262" s="41" t="inlineStr">
        <is>
          <t>Marshalls - Inspire II WallpapersINS 209</t>
        </is>
      </c>
      <c r="D1262" s="39" t="inlineStr">
        <is>
          <t>Marshalls</t>
        </is>
      </c>
      <c r="E1262" s="43" t="n">
        <v>46125</v>
      </c>
      <c r="F1262" s="26" t="inlineStr">
        <is>
          <t>Sunil CR</t>
        </is>
      </c>
      <c r="G1262" s="26" t="inlineStr">
        <is>
          <t>Yes</t>
        </is>
      </c>
      <c r="H1262" s="26" t="inlineStr">
        <is>
          <t>No</t>
        </is>
      </c>
      <c r="I1262" s="26" t="inlineStr">
        <is>
          <t>Good finish</t>
        </is>
      </c>
      <c r="J1262" s="26" t="inlineStr">
        <is>
          <t>Yes</t>
        </is>
      </c>
      <c r="K1262" s="27" t="n"/>
      <c r="L1262" s="28" t="inlineStr">
        <is>
          <t>No</t>
        </is>
      </c>
      <c r="M1262" s="29">
        <f>IF(E1262="","",IF(H1262="Yes","❌ Disc",IF(G1262="No","⚠ Missing",IF(J1262="Yes","✓ OK","⚠ Check"))))</f>
        <v/>
      </c>
      <c r="N1262" s="43" t="n">
        <v>46193</v>
      </c>
      <c r="O1262" s="26" t="inlineStr">
        <is>
          <t>Sunil CR</t>
        </is>
      </c>
      <c r="P1262" s="26" t="inlineStr">
        <is>
          <t>Yes</t>
        </is>
      </c>
      <c r="Q1262" s="26" t="inlineStr">
        <is>
          <t>No</t>
        </is>
      </c>
      <c r="R1262" s="26" t="inlineStr">
        <is>
          <t>Good finish</t>
        </is>
      </c>
      <c r="S1262" s="26" t="inlineStr">
        <is>
          <t>Yes</t>
        </is>
      </c>
      <c r="T1262" s="27" t="n"/>
      <c r="U1262" s="28" t="inlineStr">
        <is>
          <t>No</t>
        </is>
      </c>
      <c r="V1262" s="29">
        <f>IF(N1262="","",IF(Q1262="Yes","❌ Disc",IF(P1262="No","⚠ Missing",IF(S1262="Yes","✓ OK","⚠ Check"))))</f>
        <v/>
      </c>
      <c r="W1262" s="65" t="n">
        <v>46248</v>
      </c>
      <c r="X1262" s="30" t="inlineStr">
        <is>
          <t>Sunil CR</t>
        </is>
      </c>
      <c r="Y1262" s="30" t="inlineStr">
        <is>
          <t>Yes</t>
        </is>
      </c>
      <c r="Z1262" s="30" t="n"/>
      <c r="AA1262" s="30" t="inlineStr">
        <is>
          <t>Good finish</t>
        </is>
      </c>
      <c r="AB1262" s="30" t="inlineStr">
        <is>
          <t>Yes</t>
        </is>
      </c>
      <c r="AC1262" s="27" t="n"/>
      <c r="AD1262" s="31" t="inlineStr">
        <is>
          <t>No</t>
        </is>
      </c>
      <c r="AE1262" s="32">
        <f>IF(W1262="","",IF(Z1262="Yes","❌ Disc",IF(Y1262="No","⚠ Missing",IF(AB1262="Yes","✓ OK","⚠ Check"))))</f>
        <v/>
      </c>
      <c r="AF1262" s="33" t="n"/>
      <c r="AG1262" s="33" t="n"/>
      <c r="AH1262" s="33" t="n"/>
      <c r="AI1262" s="33" t="n"/>
      <c r="AJ1262" s="33" t="n"/>
      <c r="AK1262" s="33" t="n"/>
      <c r="AL1262" s="27" t="n"/>
      <c r="AM1262" s="34" t="n"/>
      <c r="AN1262" s="35">
        <f>IF(AF1262="","",IF(AI1262="Yes","❌ Disc",IF(AH1262="No","⚠ Missing",IF(AK1262="Yes","✓ OK","⚠ Check"))))</f>
        <v/>
      </c>
      <c r="AO1262" s="36" t="n"/>
      <c r="AP1262" s="36" t="n"/>
      <c r="AQ1262" s="36" t="n"/>
      <c r="AR1262" s="36" t="n"/>
      <c r="AS1262" s="36" t="n"/>
      <c r="AT1262" s="36" t="n"/>
      <c r="AU1262" s="27" t="n"/>
      <c r="AV1262" s="37" t="n"/>
      <c r="AW1262" s="38">
        <f>IF(AO1262="","",IF(AR1262="Yes","❌ Disc",IF(AQ1262="No","⚠ Missing",IF(AT1262="Yes","✓ OK","⚠ Check"))))</f>
        <v/>
      </c>
    </row>
    <row r="1263" ht="18" customHeight="1" s="46">
      <c r="A1263" s="23" t="n">
        <v>1259</v>
      </c>
      <c r="B1263" s="24" t="inlineStr">
        <is>
          <t>WP MR INS 210</t>
        </is>
      </c>
      <c r="C1263" s="25" t="inlineStr">
        <is>
          <t>Marshalls - Inspire II WallpapersINS 210 [BBP]</t>
        </is>
      </c>
      <c r="D1263" s="23" t="inlineStr">
        <is>
          <t>Marshalls</t>
        </is>
      </c>
      <c r="E1263" s="43" t="n">
        <v>46125</v>
      </c>
      <c r="F1263" s="26" t="inlineStr">
        <is>
          <t>Sunil CR</t>
        </is>
      </c>
      <c r="G1263" s="26" t="inlineStr">
        <is>
          <t>Yes</t>
        </is>
      </c>
      <c r="H1263" s="26" t="inlineStr">
        <is>
          <t>No</t>
        </is>
      </c>
      <c r="I1263" s="26" t="inlineStr">
        <is>
          <t>Good finish</t>
        </is>
      </c>
      <c r="J1263" s="26" t="inlineStr">
        <is>
          <t>Yes</t>
        </is>
      </c>
      <c r="K1263" s="27" t="n"/>
      <c r="L1263" s="28" t="inlineStr">
        <is>
          <t>No</t>
        </is>
      </c>
      <c r="M1263" s="29">
        <f>IF(E1263="","",IF(H1263="Yes","❌ Disc",IF(G1263="No","⚠ Missing",IF(J1263="Yes","✓ OK","⚠ Check"))))</f>
        <v/>
      </c>
      <c r="N1263" s="43" t="n">
        <v>46193</v>
      </c>
      <c r="O1263" s="26" t="inlineStr">
        <is>
          <t>Sunil CR</t>
        </is>
      </c>
      <c r="P1263" s="26" t="inlineStr">
        <is>
          <t>Yes</t>
        </is>
      </c>
      <c r="Q1263" s="26" t="inlineStr">
        <is>
          <t>No</t>
        </is>
      </c>
      <c r="R1263" s="26" t="inlineStr">
        <is>
          <t>Good finish</t>
        </is>
      </c>
      <c r="S1263" s="26" t="inlineStr">
        <is>
          <t>Yes</t>
        </is>
      </c>
      <c r="T1263" s="27" t="n"/>
      <c r="U1263" s="28" t="inlineStr">
        <is>
          <t>No</t>
        </is>
      </c>
      <c r="V1263" s="29">
        <f>IF(N1263="","",IF(Q1263="Yes","❌ Disc",IF(P1263="No","⚠ Missing",IF(S1263="Yes","✓ OK","⚠ Check"))))</f>
        <v/>
      </c>
      <c r="W1263" s="65" t="n">
        <v>46248</v>
      </c>
      <c r="X1263" s="30" t="inlineStr">
        <is>
          <t>Sunil CR</t>
        </is>
      </c>
      <c r="Y1263" s="30" t="inlineStr">
        <is>
          <t>Yes</t>
        </is>
      </c>
      <c r="Z1263" s="30" t="n"/>
      <c r="AA1263" s="30" t="inlineStr">
        <is>
          <t>Good finish</t>
        </is>
      </c>
      <c r="AB1263" s="30" t="inlineStr">
        <is>
          <t>Yes</t>
        </is>
      </c>
      <c r="AC1263" s="27" t="n"/>
      <c r="AD1263" s="31" t="inlineStr">
        <is>
          <t>No</t>
        </is>
      </c>
      <c r="AE1263" s="32">
        <f>IF(W1263="","",IF(Z1263="Yes","❌ Disc",IF(Y1263="No","⚠ Missing",IF(AB1263="Yes","✓ OK","⚠ Check"))))</f>
        <v/>
      </c>
      <c r="AF1263" s="33" t="n"/>
      <c r="AG1263" s="33" t="n"/>
      <c r="AH1263" s="33" t="n"/>
      <c r="AI1263" s="33" t="n"/>
      <c r="AJ1263" s="33" t="n"/>
      <c r="AK1263" s="33" t="n"/>
      <c r="AL1263" s="27" t="n"/>
      <c r="AM1263" s="34" t="n"/>
      <c r="AN1263" s="35">
        <f>IF(AF1263="","",IF(AI1263="Yes","❌ Disc",IF(AH1263="No","⚠ Missing",IF(AK1263="Yes","✓ OK","⚠ Check"))))</f>
        <v/>
      </c>
      <c r="AO1263" s="36" t="n"/>
      <c r="AP1263" s="36" t="n"/>
      <c r="AQ1263" s="36" t="n"/>
      <c r="AR1263" s="36" t="n"/>
      <c r="AS1263" s="36" t="n"/>
      <c r="AT1263" s="36" t="n"/>
      <c r="AU1263" s="27" t="n"/>
      <c r="AV1263" s="37" t="n"/>
      <c r="AW1263" s="38">
        <f>IF(AO1263="","",IF(AR1263="Yes","❌ Disc",IF(AQ1263="No","⚠ Missing",IF(AT1263="Yes","✓ OK","⚠ Check"))))</f>
        <v/>
      </c>
    </row>
    <row r="1264" ht="18" customHeight="1" s="46">
      <c r="A1264" s="39" t="n">
        <v>1260</v>
      </c>
      <c r="B1264" s="40" t="inlineStr">
        <is>
          <t>WP MR INS 211</t>
        </is>
      </c>
      <c r="C1264" s="41" t="inlineStr">
        <is>
          <t>Marshalls - Inspire II WallpapersINS 211</t>
        </is>
      </c>
      <c r="D1264" s="39" t="inlineStr">
        <is>
          <t>Marshalls</t>
        </is>
      </c>
      <c r="E1264" s="43" t="n">
        <v>46125</v>
      </c>
      <c r="F1264" s="26" t="inlineStr">
        <is>
          <t>Sunil CR</t>
        </is>
      </c>
      <c r="G1264" s="26" t="inlineStr">
        <is>
          <t>Yes</t>
        </is>
      </c>
      <c r="H1264" s="26" t="inlineStr">
        <is>
          <t>No</t>
        </is>
      </c>
      <c r="I1264" s="26" t="inlineStr">
        <is>
          <t>Good finish</t>
        </is>
      </c>
      <c r="J1264" s="26" t="inlineStr">
        <is>
          <t>Yes</t>
        </is>
      </c>
      <c r="K1264" s="27" t="n"/>
      <c r="L1264" s="28" t="inlineStr">
        <is>
          <t>No</t>
        </is>
      </c>
      <c r="M1264" s="29">
        <f>IF(E1264="","",IF(H1264="Yes","❌ Disc",IF(G1264="No","⚠ Missing",IF(J1264="Yes","✓ OK","⚠ Check"))))</f>
        <v/>
      </c>
      <c r="N1264" s="43" t="n">
        <v>46193</v>
      </c>
      <c r="O1264" s="26" t="inlineStr">
        <is>
          <t>Sunil CR</t>
        </is>
      </c>
      <c r="P1264" s="26" t="inlineStr">
        <is>
          <t>Yes</t>
        </is>
      </c>
      <c r="Q1264" s="26" t="inlineStr">
        <is>
          <t>No</t>
        </is>
      </c>
      <c r="R1264" s="26" t="inlineStr">
        <is>
          <t>Good finish</t>
        </is>
      </c>
      <c r="S1264" s="26" t="inlineStr">
        <is>
          <t>Yes</t>
        </is>
      </c>
      <c r="T1264" s="27" t="n"/>
      <c r="U1264" s="28" t="inlineStr">
        <is>
          <t>No</t>
        </is>
      </c>
      <c r="V1264" s="29">
        <f>IF(N1264="","",IF(Q1264="Yes","❌ Disc",IF(P1264="No","⚠ Missing",IF(S1264="Yes","✓ OK","⚠ Check"))))</f>
        <v/>
      </c>
      <c r="W1264" s="65" t="n">
        <v>46248</v>
      </c>
      <c r="X1264" s="30" t="inlineStr">
        <is>
          <t>Sunil CR</t>
        </is>
      </c>
      <c r="Y1264" s="30" t="inlineStr">
        <is>
          <t>Yes</t>
        </is>
      </c>
      <c r="Z1264" s="30" t="n"/>
      <c r="AA1264" s="30" t="inlineStr">
        <is>
          <t>Good finish</t>
        </is>
      </c>
      <c r="AB1264" s="30" t="inlineStr">
        <is>
          <t>Yes</t>
        </is>
      </c>
      <c r="AC1264" s="27" t="n"/>
      <c r="AD1264" s="31" t="inlineStr">
        <is>
          <t>No</t>
        </is>
      </c>
      <c r="AE1264" s="32">
        <f>IF(W1264="","",IF(Z1264="Yes","❌ Disc",IF(Y1264="No","⚠ Missing",IF(AB1264="Yes","✓ OK","⚠ Check"))))</f>
        <v/>
      </c>
      <c r="AF1264" s="33" t="n"/>
      <c r="AG1264" s="33" t="n"/>
      <c r="AH1264" s="33" t="n"/>
      <c r="AI1264" s="33" t="n"/>
      <c r="AJ1264" s="33" t="n"/>
      <c r="AK1264" s="33" t="n"/>
      <c r="AL1264" s="27" t="n"/>
      <c r="AM1264" s="34" t="n"/>
      <c r="AN1264" s="35">
        <f>IF(AF1264="","",IF(AI1264="Yes","❌ Disc",IF(AH1264="No","⚠ Missing",IF(AK1264="Yes","✓ OK","⚠ Check"))))</f>
        <v/>
      </c>
      <c r="AO1264" s="36" t="n"/>
      <c r="AP1264" s="36" t="n"/>
      <c r="AQ1264" s="36" t="n"/>
      <c r="AR1264" s="36" t="n"/>
      <c r="AS1264" s="36" t="n"/>
      <c r="AT1264" s="36" t="n"/>
      <c r="AU1264" s="27" t="n"/>
      <c r="AV1264" s="37" t="n"/>
      <c r="AW1264" s="38">
        <f>IF(AO1264="","",IF(AR1264="Yes","❌ Disc",IF(AQ1264="No","⚠ Missing",IF(AT1264="Yes","✓ OK","⚠ Check"))))</f>
        <v/>
      </c>
    </row>
    <row r="1265" ht="18" customHeight="1" s="46">
      <c r="A1265" s="23" t="n">
        <v>1261</v>
      </c>
      <c r="B1265" s="24" t="inlineStr">
        <is>
          <t>WP MR INS 212</t>
        </is>
      </c>
      <c r="C1265" s="25" t="inlineStr">
        <is>
          <t>Marshalls - Inspire II WallpapersINS 212</t>
        </is>
      </c>
      <c r="D1265" s="23" t="inlineStr">
        <is>
          <t>Marshalls</t>
        </is>
      </c>
      <c r="E1265" s="43" t="n">
        <v>46125</v>
      </c>
      <c r="F1265" s="26" t="inlineStr">
        <is>
          <t>Sunil CR</t>
        </is>
      </c>
      <c r="G1265" s="26" t="inlineStr">
        <is>
          <t>Yes</t>
        </is>
      </c>
      <c r="H1265" s="26" t="inlineStr">
        <is>
          <t>No</t>
        </is>
      </c>
      <c r="I1265" s="26" t="inlineStr">
        <is>
          <t>Good finish</t>
        </is>
      </c>
      <c r="J1265" s="26" t="inlineStr">
        <is>
          <t>Yes</t>
        </is>
      </c>
      <c r="K1265" s="27" t="n"/>
      <c r="L1265" s="28" t="inlineStr">
        <is>
          <t>No</t>
        </is>
      </c>
      <c r="M1265" s="29">
        <f>IF(E1265="","",IF(H1265="Yes","❌ Disc",IF(G1265="No","⚠ Missing",IF(J1265="Yes","✓ OK","⚠ Check"))))</f>
        <v/>
      </c>
      <c r="N1265" s="43" t="n">
        <v>46193</v>
      </c>
      <c r="O1265" s="26" t="inlineStr">
        <is>
          <t>Sunil CR</t>
        </is>
      </c>
      <c r="P1265" s="26" t="inlineStr">
        <is>
          <t>Yes</t>
        </is>
      </c>
      <c r="Q1265" s="26" t="inlineStr">
        <is>
          <t>No</t>
        </is>
      </c>
      <c r="R1265" s="26" t="inlineStr">
        <is>
          <t>Good finish</t>
        </is>
      </c>
      <c r="S1265" s="26" t="inlineStr">
        <is>
          <t>Yes</t>
        </is>
      </c>
      <c r="T1265" s="27" t="n"/>
      <c r="U1265" s="28" t="inlineStr">
        <is>
          <t>No</t>
        </is>
      </c>
      <c r="V1265" s="29">
        <f>IF(N1265="","",IF(Q1265="Yes","❌ Disc",IF(P1265="No","⚠ Missing",IF(S1265="Yes","✓ OK","⚠ Check"))))</f>
        <v/>
      </c>
      <c r="W1265" s="65" t="n">
        <v>46248</v>
      </c>
      <c r="X1265" s="30" t="inlineStr">
        <is>
          <t>Sunil CR</t>
        </is>
      </c>
      <c r="Y1265" s="30" t="inlineStr">
        <is>
          <t>Yes</t>
        </is>
      </c>
      <c r="Z1265" s="30" t="n"/>
      <c r="AA1265" s="30" t="inlineStr">
        <is>
          <t>Good finish</t>
        </is>
      </c>
      <c r="AB1265" s="30" t="inlineStr">
        <is>
          <t>Yes</t>
        </is>
      </c>
      <c r="AC1265" s="27" t="n"/>
      <c r="AD1265" s="31" t="inlineStr">
        <is>
          <t>No</t>
        </is>
      </c>
      <c r="AE1265" s="32">
        <f>IF(W1265="","",IF(Z1265="Yes","❌ Disc",IF(Y1265="No","⚠ Missing",IF(AB1265="Yes","✓ OK","⚠ Check"))))</f>
        <v/>
      </c>
      <c r="AF1265" s="33" t="n"/>
      <c r="AG1265" s="33" t="n"/>
      <c r="AH1265" s="33" t="n"/>
      <c r="AI1265" s="33" t="n"/>
      <c r="AJ1265" s="33" t="n"/>
      <c r="AK1265" s="33" t="n"/>
      <c r="AL1265" s="27" t="n"/>
      <c r="AM1265" s="34" t="n"/>
      <c r="AN1265" s="35">
        <f>IF(AF1265="","",IF(AI1265="Yes","❌ Disc",IF(AH1265="No","⚠ Missing",IF(AK1265="Yes","✓ OK","⚠ Check"))))</f>
        <v/>
      </c>
      <c r="AO1265" s="36" t="n"/>
      <c r="AP1265" s="36" t="n"/>
      <c r="AQ1265" s="36" t="n"/>
      <c r="AR1265" s="36" t="n"/>
      <c r="AS1265" s="36" t="n"/>
      <c r="AT1265" s="36" t="n"/>
      <c r="AU1265" s="27" t="n"/>
      <c r="AV1265" s="37" t="n"/>
      <c r="AW1265" s="38">
        <f>IF(AO1265="","",IF(AR1265="Yes","❌ Disc",IF(AQ1265="No","⚠ Missing",IF(AT1265="Yes","✓ OK","⚠ Check"))))</f>
        <v/>
      </c>
    </row>
    <row r="1266" ht="18" customHeight="1" s="46">
      <c r="A1266" s="39" t="n">
        <v>1262</v>
      </c>
      <c r="B1266" s="40" t="inlineStr">
        <is>
          <t>WP MR INS 213</t>
        </is>
      </c>
      <c r="C1266" s="41" t="inlineStr">
        <is>
          <t>Marshalls - Inspire II WallpapersINS 213 [BBP]</t>
        </is>
      </c>
      <c r="D1266" s="39" t="inlineStr">
        <is>
          <t>Marshalls</t>
        </is>
      </c>
      <c r="E1266" s="43" t="n">
        <v>46125</v>
      </c>
      <c r="F1266" s="26" t="inlineStr">
        <is>
          <t>Sunil CR</t>
        </is>
      </c>
      <c r="G1266" s="26" t="inlineStr">
        <is>
          <t>Yes</t>
        </is>
      </c>
      <c r="H1266" s="26" t="inlineStr">
        <is>
          <t>No</t>
        </is>
      </c>
      <c r="I1266" s="26" t="inlineStr">
        <is>
          <t>Good finish</t>
        </is>
      </c>
      <c r="J1266" s="26" t="inlineStr">
        <is>
          <t>Yes</t>
        </is>
      </c>
      <c r="K1266" s="27" t="n"/>
      <c r="L1266" s="28" t="inlineStr">
        <is>
          <t>No</t>
        </is>
      </c>
      <c r="M1266" s="29">
        <f>IF(E1266="","",IF(H1266="Yes","❌ Disc",IF(G1266="No","⚠ Missing",IF(J1266="Yes","✓ OK","⚠ Check"))))</f>
        <v/>
      </c>
      <c r="N1266" s="43" t="n">
        <v>46193</v>
      </c>
      <c r="O1266" s="26" t="inlineStr">
        <is>
          <t>Sunil CR</t>
        </is>
      </c>
      <c r="P1266" s="26" t="inlineStr">
        <is>
          <t>Yes</t>
        </is>
      </c>
      <c r="Q1266" s="26" t="inlineStr">
        <is>
          <t>No</t>
        </is>
      </c>
      <c r="R1266" s="26" t="inlineStr">
        <is>
          <t>Good finish</t>
        </is>
      </c>
      <c r="S1266" s="26" t="inlineStr">
        <is>
          <t>Yes</t>
        </is>
      </c>
      <c r="T1266" s="27" t="n"/>
      <c r="U1266" s="28" t="inlineStr">
        <is>
          <t>No</t>
        </is>
      </c>
      <c r="V1266" s="29">
        <f>IF(N1266="","",IF(Q1266="Yes","❌ Disc",IF(P1266="No","⚠ Missing",IF(S1266="Yes","✓ OK","⚠ Check"))))</f>
        <v/>
      </c>
      <c r="W1266" s="65" t="n">
        <v>46248</v>
      </c>
      <c r="X1266" s="30" t="inlineStr">
        <is>
          <t>Sunil CR</t>
        </is>
      </c>
      <c r="Y1266" s="30" t="inlineStr">
        <is>
          <t>Yes</t>
        </is>
      </c>
      <c r="Z1266" s="30" t="n"/>
      <c r="AA1266" s="30" t="inlineStr">
        <is>
          <t>Good finish</t>
        </is>
      </c>
      <c r="AB1266" s="30" t="inlineStr">
        <is>
          <t>Yes</t>
        </is>
      </c>
      <c r="AC1266" s="27" t="n"/>
      <c r="AD1266" s="31" t="inlineStr">
        <is>
          <t>No</t>
        </is>
      </c>
      <c r="AE1266" s="32">
        <f>IF(W1266="","",IF(Z1266="Yes","❌ Disc",IF(Y1266="No","⚠ Missing",IF(AB1266="Yes","✓ OK","⚠ Check"))))</f>
        <v/>
      </c>
      <c r="AF1266" s="33" t="n"/>
      <c r="AG1266" s="33" t="n"/>
      <c r="AH1266" s="33" t="n"/>
      <c r="AI1266" s="33" t="n"/>
      <c r="AJ1266" s="33" t="n"/>
      <c r="AK1266" s="33" t="n"/>
      <c r="AL1266" s="27" t="n"/>
      <c r="AM1266" s="34" t="n"/>
      <c r="AN1266" s="35">
        <f>IF(AF1266="","",IF(AI1266="Yes","❌ Disc",IF(AH1266="No","⚠ Missing",IF(AK1266="Yes","✓ OK","⚠ Check"))))</f>
        <v/>
      </c>
      <c r="AO1266" s="36" t="n"/>
      <c r="AP1266" s="36" t="n"/>
      <c r="AQ1266" s="36" t="n"/>
      <c r="AR1266" s="36" t="n"/>
      <c r="AS1266" s="36" t="n"/>
      <c r="AT1266" s="36" t="n"/>
      <c r="AU1266" s="27" t="n"/>
      <c r="AV1266" s="37" t="n"/>
      <c r="AW1266" s="38">
        <f>IF(AO1266="","",IF(AR1266="Yes","❌ Disc",IF(AQ1266="No","⚠ Missing",IF(AT1266="Yes","✓ OK","⚠ Check"))))</f>
        <v/>
      </c>
    </row>
    <row r="1267" ht="18" customHeight="1" s="46">
      <c r="A1267" s="23" t="n">
        <v>1263</v>
      </c>
      <c r="B1267" s="24" t="inlineStr">
        <is>
          <t>WP MR INS 214</t>
        </is>
      </c>
      <c r="C1267" s="25" t="inlineStr">
        <is>
          <t>Marshalls - Inspire II WallpapersINS 214</t>
        </is>
      </c>
      <c r="D1267" s="23" t="inlineStr">
        <is>
          <t>Marshalls</t>
        </is>
      </c>
      <c r="E1267" s="43" t="n">
        <v>46125</v>
      </c>
      <c r="F1267" s="26" t="inlineStr">
        <is>
          <t>Sunil CR</t>
        </is>
      </c>
      <c r="G1267" s="26" t="inlineStr">
        <is>
          <t>Yes</t>
        </is>
      </c>
      <c r="H1267" s="26" t="inlineStr">
        <is>
          <t>No</t>
        </is>
      </c>
      <c r="I1267" s="26" t="inlineStr">
        <is>
          <t>Good finish</t>
        </is>
      </c>
      <c r="J1267" s="26" t="inlineStr">
        <is>
          <t>Yes</t>
        </is>
      </c>
      <c r="K1267" s="27" t="n"/>
      <c r="L1267" s="28" t="inlineStr">
        <is>
          <t>No</t>
        </is>
      </c>
      <c r="M1267" s="29">
        <f>IF(E1267="","",IF(H1267="Yes","❌ Disc",IF(G1267="No","⚠ Missing",IF(J1267="Yes","✓ OK","⚠ Check"))))</f>
        <v/>
      </c>
      <c r="N1267" s="43" t="n">
        <v>46193</v>
      </c>
      <c r="O1267" s="26" t="inlineStr">
        <is>
          <t>Sunil CR</t>
        </is>
      </c>
      <c r="P1267" s="26" t="inlineStr">
        <is>
          <t>Yes</t>
        </is>
      </c>
      <c r="Q1267" s="26" t="inlineStr">
        <is>
          <t>No</t>
        </is>
      </c>
      <c r="R1267" s="26" t="inlineStr">
        <is>
          <t>Good finish</t>
        </is>
      </c>
      <c r="S1267" s="26" t="inlineStr">
        <is>
          <t>Yes</t>
        </is>
      </c>
      <c r="T1267" s="27" t="n"/>
      <c r="U1267" s="28" t="inlineStr">
        <is>
          <t>No</t>
        </is>
      </c>
      <c r="V1267" s="29">
        <f>IF(N1267="","",IF(Q1267="Yes","❌ Disc",IF(P1267="No","⚠ Missing",IF(S1267="Yes","✓ OK","⚠ Check"))))</f>
        <v/>
      </c>
      <c r="W1267" s="65" t="n">
        <v>46248</v>
      </c>
      <c r="X1267" s="30" t="inlineStr">
        <is>
          <t>Sunil CR</t>
        </is>
      </c>
      <c r="Y1267" s="30" t="inlineStr">
        <is>
          <t>Yes</t>
        </is>
      </c>
      <c r="Z1267" s="30" t="n"/>
      <c r="AA1267" s="30" t="inlineStr">
        <is>
          <t>Good finish</t>
        </is>
      </c>
      <c r="AB1267" s="30" t="inlineStr">
        <is>
          <t>Yes</t>
        </is>
      </c>
      <c r="AC1267" s="27" t="n"/>
      <c r="AD1267" s="31" t="inlineStr">
        <is>
          <t>No</t>
        </is>
      </c>
      <c r="AE1267" s="32">
        <f>IF(W1267="","",IF(Z1267="Yes","❌ Disc",IF(Y1267="No","⚠ Missing",IF(AB1267="Yes","✓ OK","⚠ Check"))))</f>
        <v/>
      </c>
      <c r="AF1267" s="33" t="n"/>
      <c r="AG1267" s="33" t="n"/>
      <c r="AH1267" s="33" t="n"/>
      <c r="AI1267" s="33" t="n"/>
      <c r="AJ1267" s="33" t="n"/>
      <c r="AK1267" s="33" t="n"/>
      <c r="AL1267" s="27" t="n"/>
      <c r="AM1267" s="34" t="n"/>
      <c r="AN1267" s="35">
        <f>IF(AF1267="","",IF(AI1267="Yes","❌ Disc",IF(AH1267="No","⚠ Missing",IF(AK1267="Yes","✓ OK","⚠ Check"))))</f>
        <v/>
      </c>
      <c r="AO1267" s="36" t="n"/>
      <c r="AP1267" s="36" t="n"/>
      <c r="AQ1267" s="36" t="n"/>
      <c r="AR1267" s="36" t="n"/>
      <c r="AS1267" s="36" t="n"/>
      <c r="AT1267" s="36" t="n"/>
      <c r="AU1267" s="27" t="n"/>
      <c r="AV1267" s="37" t="n"/>
      <c r="AW1267" s="38">
        <f>IF(AO1267="","",IF(AR1267="Yes","❌ Disc",IF(AQ1267="No","⚠ Missing",IF(AT1267="Yes","✓ OK","⚠ Check"))))</f>
        <v/>
      </c>
    </row>
    <row r="1268" ht="18" customHeight="1" s="46">
      <c r="A1268" s="39" t="n">
        <v>1264</v>
      </c>
      <c r="B1268" s="40" t="inlineStr">
        <is>
          <t>WP MR INS 215</t>
        </is>
      </c>
      <c r="C1268" s="41" t="inlineStr">
        <is>
          <t>Marshalls - Inspire II WallpapersINS 215</t>
        </is>
      </c>
      <c r="D1268" s="39" t="inlineStr">
        <is>
          <t>Marshalls</t>
        </is>
      </c>
      <c r="E1268" s="43" t="n">
        <v>46125</v>
      </c>
      <c r="F1268" s="26" t="inlineStr">
        <is>
          <t>Sunil CR</t>
        </is>
      </c>
      <c r="G1268" s="26" t="inlineStr">
        <is>
          <t>Yes</t>
        </is>
      </c>
      <c r="H1268" s="26" t="inlineStr">
        <is>
          <t>No</t>
        </is>
      </c>
      <c r="I1268" s="26" t="inlineStr">
        <is>
          <t>Good finish</t>
        </is>
      </c>
      <c r="J1268" s="26" t="inlineStr">
        <is>
          <t>Yes</t>
        </is>
      </c>
      <c r="K1268" s="27" t="n"/>
      <c r="L1268" s="28" t="inlineStr">
        <is>
          <t>No</t>
        </is>
      </c>
      <c r="M1268" s="29">
        <f>IF(E1268="","",IF(H1268="Yes","❌ Disc",IF(G1268="No","⚠ Missing",IF(J1268="Yes","✓ OK","⚠ Check"))))</f>
        <v/>
      </c>
      <c r="N1268" s="43" t="n">
        <v>46193</v>
      </c>
      <c r="O1268" s="26" t="inlineStr">
        <is>
          <t>Sunil CR</t>
        </is>
      </c>
      <c r="P1268" s="26" t="inlineStr">
        <is>
          <t>Yes</t>
        </is>
      </c>
      <c r="Q1268" s="26" t="inlineStr">
        <is>
          <t>No</t>
        </is>
      </c>
      <c r="R1268" s="26" t="inlineStr">
        <is>
          <t>Good finish</t>
        </is>
      </c>
      <c r="S1268" s="26" t="inlineStr">
        <is>
          <t>Yes</t>
        </is>
      </c>
      <c r="T1268" s="27" t="n"/>
      <c r="U1268" s="28" t="inlineStr">
        <is>
          <t>No</t>
        </is>
      </c>
      <c r="V1268" s="29">
        <f>IF(N1268="","",IF(Q1268="Yes","❌ Disc",IF(P1268="No","⚠ Missing",IF(S1268="Yes","✓ OK","⚠ Check"))))</f>
        <v/>
      </c>
      <c r="W1268" s="65" t="n">
        <v>46248</v>
      </c>
      <c r="X1268" s="30" t="inlineStr">
        <is>
          <t>Sunil CR</t>
        </is>
      </c>
      <c r="Y1268" s="30" t="inlineStr">
        <is>
          <t>Yes</t>
        </is>
      </c>
      <c r="Z1268" s="30" t="n"/>
      <c r="AA1268" s="30" t="inlineStr">
        <is>
          <t>Good finish</t>
        </is>
      </c>
      <c r="AB1268" s="30" t="inlineStr">
        <is>
          <t>Yes</t>
        </is>
      </c>
      <c r="AC1268" s="27" t="n"/>
      <c r="AD1268" s="31" t="inlineStr">
        <is>
          <t>No</t>
        </is>
      </c>
      <c r="AE1268" s="32">
        <f>IF(W1268="","",IF(Z1268="Yes","❌ Disc",IF(Y1268="No","⚠ Missing",IF(AB1268="Yes","✓ OK","⚠ Check"))))</f>
        <v/>
      </c>
      <c r="AF1268" s="33" t="n"/>
      <c r="AG1268" s="33" t="n"/>
      <c r="AH1268" s="33" t="n"/>
      <c r="AI1268" s="33" t="n"/>
      <c r="AJ1268" s="33" t="n"/>
      <c r="AK1268" s="33" t="n"/>
      <c r="AL1268" s="27" t="n"/>
      <c r="AM1268" s="34" t="n"/>
      <c r="AN1268" s="35">
        <f>IF(AF1268="","",IF(AI1268="Yes","❌ Disc",IF(AH1268="No","⚠ Missing",IF(AK1268="Yes","✓ OK","⚠ Check"))))</f>
        <v/>
      </c>
      <c r="AO1268" s="36" t="n"/>
      <c r="AP1268" s="36" t="n"/>
      <c r="AQ1268" s="36" t="n"/>
      <c r="AR1268" s="36" t="n"/>
      <c r="AS1268" s="36" t="n"/>
      <c r="AT1268" s="36" t="n"/>
      <c r="AU1268" s="27" t="n"/>
      <c r="AV1268" s="37" t="n"/>
      <c r="AW1268" s="38">
        <f>IF(AO1268="","",IF(AR1268="Yes","❌ Disc",IF(AQ1268="No","⚠ Missing",IF(AT1268="Yes","✓ OK","⚠ Check"))))</f>
        <v/>
      </c>
    </row>
    <row r="1269" ht="18" customHeight="1" s="46">
      <c r="A1269" s="23" t="n">
        <v>1265</v>
      </c>
      <c r="B1269" s="24" t="inlineStr">
        <is>
          <t>WP MR INS 216</t>
        </is>
      </c>
      <c r="C1269" s="25" t="inlineStr">
        <is>
          <t>Marshalls - Inspire II WallpapersINS 216</t>
        </is>
      </c>
      <c r="D1269" s="23" t="inlineStr">
        <is>
          <t>Marshalls</t>
        </is>
      </c>
      <c r="E1269" s="43" t="n">
        <v>46125</v>
      </c>
      <c r="F1269" s="26" t="inlineStr">
        <is>
          <t>Sunil CR</t>
        </is>
      </c>
      <c r="G1269" s="26" t="inlineStr">
        <is>
          <t>Yes</t>
        </is>
      </c>
      <c r="H1269" s="26" t="inlineStr">
        <is>
          <t>No</t>
        </is>
      </c>
      <c r="I1269" s="26" t="inlineStr">
        <is>
          <t>Good finish</t>
        </is>
      </c>
      <c r="J1269" s="26" t="inlineStr">
        <is>
          <t>Yes</t>
        </is>
      </c>
      <c r="K1269" s="27" t="n"/>
      <c r="L1269" s="28" t="inlineStr">
        <is>
          <t>No</t>
        </is>
      </c>
      <c r="M1269" s="29">
        <f>IF(E1269="","",IF(H1269="Yes","❌ Disc",IF(G1269="No","⚠ Missing",IF(J1269="Yes","✓ OK","⚠ Check"))))</f>
        <v/>
      </c>
      <c r="N1269" s="43" t="n">
        <v>46193</v>
      </c>
      <c r="O1269" s="26" t="inlineStr">
        <is>
          <t>Sunil CR</t>
        </is>
      </c>
      <c r="P1269" s="26" t="inlineStr">
        <is>
          <t>Yes</t>
        </is>
      </c>
      <c r="Q1269" s="26" t="inlineStr">
        <is>
          <t>No</t>
        </is>
      </c>
      <c r="R1269" s="26" t="inlineStr">
        <is>
          <t>Good finish</t>
        </is>
      </c>
      <c r="S1269" s="26" t="inlineStr">
        <is>
          <t>Yes</t>
        </is>
      </c>
      <c r="T1269" s="27" t="n"/>
      <c r="U1269" s="28" t="inlineStr">
        <is>
          <t>No</t>
        </is>
      </c>
      <c r="V1269" s="29">
        <f>IF(N1269="","",IF(Q1269="Yes","❌ Disc",IF(P1269="No","⚠ Missing",IF(S1269="Yes","✓ OK","⚠ Check"))))</f>
        <v/>
      </c>
      <c r="W1269" s="65" t="n">
        <v>46248</v>
      </c>
      <c r="X1269" s="30" t="inlineStr">
        <is>
          <t>Sunil CR</t>
        </is>
      </c>
      <c r="Y1269" s="30" t="inlineStr">
        <is>
          <t>Yes</t>
        </is>
      </c>
      <c r="Z1269" s="30" t="n"/>
      <c r="AA1269" s="30" t="inlineStr">
        <is>
          <t>Good finish</t>
        </is>
      </c>
      <c r="AB1269" s="30" t="inlineStr">
        <is>
          <t>Yes</t>
        </is>
      </c>
      <c r="AC1269" s="27" t="n"/>
      <c r="AD1269" s="31" t="inlineStr">
        <is>
          <t>No</t>
        </is>
      </c>
      <c r="AE1269" s="32">
        <f>IF(W1269="","",IF(Z1269="Yes","❌ Disc",IF(Y1269="No","⚠ Missing",IF(AB1269="Yes","✓ OK","⚠ Check"))))</f>
        <v/>
      </c>
      <c r="AF1269" s="33" t="n"/>
      <c r="AG1269" s="33" t="n"/>
      <c r="AH1269" s="33" t="n"/>
      <c r="AI1269" s="33" t="n"/>
      <c r="AJ1269" s="33" t="n"/>
      <c r="AK1269" s="33" t="n"/>
      <c r="AL1269" s="27" t="n"/>
      <c r="AM1269" s="34" t="n"/>
      <c r="AN1269" s="35">
        <f>IF(AF1269="","",IF(AI1269="Yes","❌ Disc",IF(AH1269="No","⚠ Missing",IF(AK1269="Yes","✓ OK","⚠ Check"))))</f>
        <v/>
      </c>
      <c r="AO1269" s="36" t="n"/>
      <c r="AP1269" s="36" t="n"/>
      <c r="AQ1269" s="36" t="n"/>
      <c r="AR1269" s="36" t="n"/>
      <c r="AS1269" s="36" t="n"/>
      <c r="AT1269" s="36" t="n"/>
      <c r="AU1269" s="27" t="n"/>
      <c r="AV1269" s="37" t="n"/>
      <c r="AW1269" s="38">
        <f>IF(AO1269="","",IF(AR1269="Yes","❌ Disc",IF(AQ1269="No","⚠ Missing",IF(AT1269="Yes","✓ OK","⚠ Check"))))</f>
        <v/>
      </c>
    </row>
    <row r="1270" ht="18" customHeight="1" s="46">
      <c r="A1270" s="39" t="n">
        <v>1266</v>
      </c>
      <c r="B1270" s="40" t="inlineStr">
        <is>
          <t>WP MR INS 217</t>
        </is>
      </c>
      <c r="C1270" s="41" t="inlineStr">
        <is>
          <t>Marshalls - Inspire II WallpapersINS 217</t>
        </is>
      </c>
      <c r="D1270" s="39" t="inlineStr">
        <is>
          <t>Marshalls</t>
        </is>
      </c>
      <c r="E1270" s="43" t="n">
        <v>46125</v>
      </c>
      <c r="F1270" s="26" t="inlineStr">
        <is>
          <t>Sunil CR</t>
        </is>
      </c>
      <c r="G1270" s="26" t="inlineStr">
        <is>
          <t>Yes</t>
        </is>
      </c>
      <c r="H1270" s="26" t="inlineStr">
        <is>
          <t>No</t>
        </is>
      </c>
      <c r="I1270" s="26" t="inlineStr">
        <is>
          <t>Good finish</t>
        </is>
      </c>
      <c r="J1270" s="26" t="inlineStr">
        <is>
          <t>Yes</t>
        </is>
      </c>
      <c r="K1270" s="27" t="n"/>
      <c r="L1270" s="28" t="inlineStr">
        <is>
          <t>No</t>
        </is>
      </c>
      <c r="M1270" s="29">
        <f>IF(E1270="","",IF(H1270="Yes","❌ Disc",IF(G1270="No","⚠ Missing",IF(J1270="Yes","✓ OK","⚠ Check"))))</f>
        <v/>
      </c>
      <c r="N1270" s="43" t="n">
        <v>46193</v>
      </c>
      <c r="O1270" s="26" t="inlineStr">
        <is>
          <t>Sunil CR</t>
        </is>
      </c>
      <c r="P1270" s="26" t="inlineStr">
        <is>
          <t>Yes</t>
        </is>
      </c>
      <c r="Q1270" s="26" t="inlineStr">
        <is>
          <t>No</t>
        </is>
      </c>
      <c r="R1270" s="26" t="inlineStr">
        <is>
          <t>Good finish</t>
        </is>
      </c>
      <c r="S1270" s="26" t="inlineStr">
        <is>
          <t>Yes</t>
        </is>
      </c>
      <c r="T1270" s="27" t="n"/>
      <c r="U1270" s="28" t="inlineStr">
        <is>
          <t>No</t>
        </is>
      </c>
      <c r="V1270" s="29">
        <f>IF(N1270="","",IF(Q1270="Yes","❌ Disc",IF(P1270="No","⚠ Missing",IF(S1270="Yes","✓ OK","⚠ Check"))))</f>
        <v/>
      </c>
      <c r="W1270" s="65" t="n">
        <v>46248</v>
      </c>
      <c r="X1270" s="30" t="inlineStr">
        <is>
          <t>Sunil CR</t>
        </is>
      </c>
      <c r="Y1270" s="30" t="inlineStr">
        <is>
          <t>Yes</t>
        </is>
      </c>
      <c r="Z1270" s="30" t="n"/>
      <c r="AA1270" s="30" t="inlineStr">
        <is>
          <t>Good finish</t>
        </is>
      </c>
      <c r="AB1270" s="30" t="inlineStr">
        <is>
          <t>Yes</t>
        </is>
      </c>
      <c r="AC1270" s="27" t="n"/>
      <c r="AD1270" s="31" t="inlineStr">
        <is>
          <t>No</t>
        </is>
      </c>
      <c r="AE1270" s="32">
        <f>IF(W1270="","",IF(Z1270="Yes","❌ Disc",IF(Y1270="No","⚠ Missing",IF(AB1270="Yes","✓ OK","⚠ Check"))))</f>
        <v/>
      </c>
      <c r="AF1270" s="33" t="n"/>
      <c r="AG1270" s="33" t="n"/>
      <c r="AH1270" s="33" t="n"/>
      <c r="AI1270" s="33" t="n"/>
      <c r="AJ1270" s="33" t="n"/>
      <c r="AK1270" s="33" t="n"/>
      <c r="AL1270" s="27" t="n"/>
      <c r="AM1270" s="34" t="n"/>
      <c r="AN1270" s="35">
        <f>IF(AF1270="","",IF(AI1270="Yes","❌ Disc",IF(AH1270="No","⚠ Missing",IF(AK1270="Yes","✓ OK","⚠ Check"))))</f>
        <v/>
      </c>
      <c r="AO1270" s="36" t="n"/>
      <c r="AP1270" s="36" t="n"/>
      <c r="AQ1270" s="36" t="n"/>
      <c r="AR1270" s="36" t="n"/>
      <c r="AS1270" s="36" t="n"/>
      <c r="AT1270" s="36" t="n"/>
      <c r="AU1270" s="27" t="n"/>
      <c r="AV1270" s="37" t="n"/>
      <c r="AW1270" s="38">
        <f>IF(AO1270="","",IF(AR1270="Yes","❌ Disc",IF(AQ1270="No","⚠ Missing",IF(AT1270="Yes","✓ OK","⚠ Check"))))</f>
        <v/>
      </c>
    </row>
    <row r="1271" ht="18" customHeight="1" s="46">
      <c r="A1271" s="23" t="n">
        <v>1267</v>
      </c>
      <c r="B1271" s="24" t="inlineStr">
        <is>
          <t>WP MR INS 218</t>
        </is>
      </c>
      <c r="C1271" s="25" t="inlineStr">
        <is>
          <t>Marshalls - Inspire II WallpapersINS 218</t>
        </is>
      </c>
      <c r="D1271" s="23" t="inlineStr">
        <is>
          <t>Marshalls</t>
        </is>
      </c>
      <c r="E1271" s="43" t="n">
        <v>46125</v>
      </c>
      <c r="F1271" s="26" t="inlineStr">
        <is>
          <t>Sunil CR</t>
        </is>
      </c>
      <c r="G1271" s="26" t="inlineStr">
        <is>
          <t>Yes</t>
        </is>
      </c>
      <c r="H1271" s="26" t="inlineStr">
        <is>
          <t>No</t>
        </is>
      </c>
      <c r="I1271" s="26" t="inlineStr">
        <is>
          <t>Good finish</t>
        </is>
      </c>
      <c r="J1271" s="26" t="inlineStr">
        <is>
          <t>Yes</t>
        </is>
      </c>
      <c r="K1271" s="27" t="n"/>
      <c r="L1271" s="28" t="inlineStr">
        <is>
          <t>No</t>
        </is>
      </c>
      <c r="M1271" s="29">
        <f>IF(E1271="","",IF(H1271="Yes","❌ Disc",IF(G1271="No","⚠ Missing",IF(J1271="Yes","✓ OK","⚠ Check"))))</f>
        <v/>
      </c>
      <c r="N1271" s="43" t="n">
        <v>46193</v>
      </c>
      <c r="O1271" s="26" t="inlineStr">
        <is>
          <t>Sunil CR</t>
        </is>
      </c>
      <c r="P1271" s="26" t="inlineStr">
        <is>
          <t>Yes</t>
        </is>
      </c>
      <c r="Q1271" s="26" t="inlineStr">
        <is>
          <t>No</t>
        </is>
      </c>
      <c r="R1271" s="26" t="inlineStr">
        <is>
          <t>Good finish</t>
        </is>
      </c>
      <c r="S1271" s="26" t="inlineStr">
        <is>
          <t>Yes</t>
        </is>
      </c>
      <c r="T1271" s="27" t="n"/>
      <c r="U1271" s="28" t="inlineStr">
        <is>
          <t>No</t>
        </is>
      </c>
      <c r="V1271" s="29">
        <f>IF(N1271="","",IF(Q1271="Yes","❌ Disc",IF(P1271="No","⚠ Missing",IF(S1271="Yes","✓ OK","⚠ Check"))))</f>
        <v/>
      </c>
      <c r="W1271" s="65" t="n">
        <v>46248</v>
      </c>
      <c r="X1271" s="30" t="inlineStr">
        <is>
          <t>Sunil CR</t>
        </is>
      </c>
      <c r="Y1271" s="30" t="inlineStr">
        <is>
          <t>Yes</t>
        </is>
      </c>
      <c r="Z1271" s="30" t="n"/>
      <c r="AA1271" s="30" t="inlineStr">
        <is>
          <t>Good finish</t>
        </is>
      </c>
      <c r="AB1271" s="30" t="inlineStr">
        <is>
          <t>Yes</t>
        </is>
      </c>
      <c r="AC1271" s="27" t="n"/>
      <c r="AD1271" s="31" t="inlineStr">
        <is>
          <t>No</t>
        </is>
      </c>
      <c r="AE1271" s="32">
        <f>IF(W1271="","",IF(Z1271="Yes","❌ Disc",IF(Y1271="No","⚠ Missing",IF(AB1271="Yes","✓ OK","⚠ Check"))))</f>
        <v/>
      </c>
      <c r="AF1271" s="33" t="n"/>
      <c r="AG1271" s="33" t="n"/>
      <c r="AH1271" s="33" t="n"/>
      <c r="AI1271" s="33" t="n"/>
      <c r="AJ1271" s="33" t="n"/>
      <c r="AK1271" s="33" t="n"/>
      <c r="AL1271" s="27" t="n"/>
      <c r="AM1271" s="34" t="n"/>
      <c r="AN1271" s="35">
        <f>IF(AF1271="","",IF(AI1271="Yes","❌ Disc",IF(AH1271="No","⚠ Missing",IF(AK1271="Yes","✓ OK","⚠ Check"))))</f>
        <v/>
      </c>
      <c r="AO1271" s="36" t="n"/>
      <c r="AP1271" s="36" t="n"/>
      <c r="AQ1271" s="36" t="n"/>
      <c r="AR1271" s="36" t="n"/>
      <c r="AS1271" s="36" t="n"/>
      <c r="AT1271" s="36" t="n"/>
      <c r="AU1271" s="27" t="n"/>
      <c r="AV1271" s="37" t="n"/>
      <c r="AW1271" s="38">
        <f>IF(AO1271="","",IF(AR1271="Yes","❌ Disc",IF(AQ1271="No","⚠ Missing",IF(AT1271="Yes","✓ OK","⚠ Check"))))</f>
        <v/>
      </c>
    </row>
    <row r="1272" ht="18" customHeight="1" s="46">
      <c r="A1272" s="39" t="n">
        <v>1268</v>
      </c>
      <c r="B1272" s="40" t="inlineStr">
        <is>
          <t>WP MR INS 219</t>
        </is>
      </c>
      <c r="C1272" s="41" t="inlineStr">
        <is>
          <t>Marshalls - Inspire II WallpapersINS 219</t>
        </is>
      </c>
      <c r="D1272" s="39" t="inlineStr">
        <is>
          <t>Marshalls</t>
        </is>
      </c>
      <c r="E1272" s="43" t="n">
        <v>46125</v>
      </c>
      <c r="F1272" s="26" t="inlineStr">
        <is>
          <t>Sunil CR</t>
        </is>
      </c>
      <c r="G1272" s="26" t="inlineStr">
        <is>
          <t>Yes</t>
        </is>
      </c>
      <c r="H1272" s="26" t="inlineStr">
        <is>
          <t>No</t>
        </is>
      </c>
      <c r="I1272" s="26" t="inlineStr">
        <is>
          <t>Good finish</t>
        </is>
      </c>
      <c r="J1272" s="26" t="inlineStr">
        <is>
          <t>Yes</t>
        </is>
      </c>
      <c r="K1272" s="27" t="n"/>
      <c r="L1272" s="28" t="inlineStr">
        <is>
          <t>No</t>
        </is>
      </c>
      <c r="M1272" s="29">
        <f>IF(E1272="","",IF(H1272="Yes","❌ Disc",IF(G1272="No","⚠ Missing",IF(J1272="Yes","✓ OK","⚠ Check"))))</f>
        <v/>
      </c>
      <c r="N1272" s="43" t="n">
        <v>46193</v>
      </c>
      <c r="O1272" s="26" t="inlineStr">
        <is>
          <t>Sunil CR</t>
        </is>
      </c>
      <c r="P1272" s="26" t="inlineStr">
        <is>
          <t>Yes</t>
        </is>
      </c>
      <c r="Q1272" s="26" t="inlineStr">
        <is>
          <t>No</t>
        </is>
      </c>
      <c r="R1272" s="26" t="inlineStr">
        <is>
          <t>Good finish</t>
        </is>
      </c>
      <c r="S1272" s="26" t="inlineStr">
        <is>
          <t>Yes</t>
        </is>
      </c>
      <c r="T1272" s="27" t="n"/>
      <c r="U1272" s="28" t="inlineStr">
        <is>
          <t>No</t>
        </is>
      </c>
      <c r="V1272" s="29">
        <f>IF(N1272="","",IF(Q1272="Yes","❌ Disc",IF(P1272="No","⚠ Missing",IF(S1272="Yes","✓ OK","⚠ Check"))))</f>
        <v/>
      </c>
      <c r="W1272" s="65" t="n">
        <v>46248</v>
      </c>
      <c r="X1272" s="30" t="inlineStr">
        <is>
          <t>Sunil CR</t>
        </is>
      </c>
      <c r="Y1272" s="30" t="inlineStr">
        <is>
          <t>Yes</t>
        </is>
      </c>
      <c r="Z1272" s="30" t="n"/>
      <c r="AA1272" s="30" t="inlineStr">
        <is>
          <t>Good finish</t>
        </is>
      </c>
      <c r="AB1272" s="30" t="inlineStr">
        <is>
          <t>Yes</t>
        </is>
      </c>
      <c r="AC1272" s="27" t="n"/>
      <c r="AD1272" s="31" t="inlineStr">
        <is>
          <t>No</t>
        </is>
      </c>
      <c r="AE1272" s="32">
        <f>IF(W1272="","",IF(Z1272="Yes","❌ Disc",IF(Y1272="No","⚠ Missing",IF(AB1272="Yes","✓ OK","⚠ Check"))))</f>
        <v/>
      </c>
      <c r="AF1272" s="33" t="n"/>
      <c r="AG1272" s="33" t="n"/>
      <c r="AH1272" s="33" t="n"/>
      <c r="AI1272" s="33" t="n"/>
      <c r="AJ1272" s="33" t="n"/>
      <c r="AK1272" s="33" t="n"/>
      <c r="AL1272" s="27" t="n"/>
      <c r="AM1272" s="34" t="n"/>
      <c r="AN1272" s="35">
        <f>IF(AF1272="","",IF(AI1272="Yes","❌ Disc",IF(AH1272="No","⚠ Missing",IF(AK1272="Yes","✓ OK","⚠ Check"))))</f>
        <v/>
      </c>
      <c r="AO1272" s="36" t="n"/>
      <c r="AP1272" s="36" t="n"/>
      <c r="AQ1272" s="36" t="n"/>
      <c r="AR1272" s="36" t="n"/>
      <c r="AS1272" s="36" t="n"/>
      <c r="AT1272" s="36" t="n"/>
      <c r="AU1272" s="27" t="n"/>
      <c r="AV1272" s="37" t="n"/>
      <c r="AW1272" s="38">
        <f>IF(AO1272="","",IF(AR1272="Yes","❌ Disc",IF(AQ1272="No","⚠ Missing",IF(AT1272="Yes","✓ OK","⚠ Check"))))</f>
        <v/>
      </c>
    </row>
    <row r="1273" ht="18" customHeight="1" s="46">
      <c r="A1273" s="23" t="n">
        <v>1269</v>
      </c>
      <c r="B1273" s="24" t="inlineStr">
        <is>
          <t>WP MR INS 220</t>
        </is>
      </c>
      <c r="C1273" s="25" t="inlineStr">
        <is>
          <t>Marshalls - Inspire II WallpapersINS 220</t>
        </is>
      </c>
      <c r="D1273" s="23" t="inlineStr">
        <is>
          <t>Marshalls</t>
        </is>
      </c>
      <c r="E1273" s="43" t="n">
        <v>46125</v>
      </c>
      <c r="F1273" s="26" t="inlineStr">
        <is>
          <t>Sunil CR</t>
        </is>
      </c>
      <c r="G1273" s="26" t="inlineStr">
        <is>
          <t>Yes</t>
        </is>
      </c>
      <c r="H1273" s="26" t="inlineStr">
        <is>
          <t>No</t>
        </is>
      </c>
      <c r="I1273" s="26" t="inlineStr">
        <is>
          <t>Good finish</t>
        </is>
      </c>
      <c r="J1273" s="26" t="inlineStr">
        <is>
          <t>Yes</t>
        </is>
      </c>
      <c r="K1273" s="27" t="n"/>
      <c r="L1273" s="28" t="inlineStr">
        <is>
          <t>No</t>
        </is>
      </c>
      <c r="M1273" s="29">
        <f>IF(E1273="","",IF(H1273="Yes","❌ Disc",IF(G1273="No","⚠ Missing",IF(J1273="Yes","✓ OK","⚠ Check"))))</f>
        <v/>
      </c>
      <c r="N1273" s="43" t="n">
        <v>46193</v>
      </c>
      <c r="O1273" s="26" t="inlineStr">
        <is>
          <t>Sunil CR</t>
        </is>
      </c>
      <c r="P1273" s="26" t="inlineStr">
        <is>
          <t>Yes</t>
        </is>
      </c>
      <c r="Q1273" s="26" t="inlineStr">
        <is>
          <t>No</t>
        </is>
      </c>
      <c r="R1273" s="26" t="inlineStr">
        <is>
          <t>Good finish</t>
        </is>
      </c>
      <c r="S1273" s="26" t="inlineStr">
        <is>
          <t>Yes</t>
        </is>
      </c>
      <c r="T1273" s="27" t="n"/>
      <c r="U1273" s="28" t="inlineStr">
        <is>
          <t>No</t>
        </is>
      </c>
      <c r="V1273" s="29">
        <f>IF(N1273="","",IF(Q1273="Yes","❌ Disc",IF(P1273="No","⚠ Missing",IF(S1273="Yes","✓ OK","⚠ Check"))))</f>
        <v/>
      </c>
      <c r="W1273" s="65" t="n">
        <v>46248</v>
      </c>
      <c r="X1273" s="30" t="inlineStr">
        <is>
          <t>Sunil CR</t>
        </is>
      </c>
      <c r="Y1273" s="30" t="inlineStr">
        <is>
          <t>Yes</t>
        </is>
      </c>
      <c r="Z1273" s="30" t="n"/>
      <c r="AA1273" s="30" t="inlineStr">
        <is>
          <t>Good finish</t>
        </is>
      </c>
      <c r="AB1273" s="30" t="inlineStr">
        <is>
          <t>Yes</t>
        </is>
      </c>
      <c r="AC1273" s="27" t="n"/>
      <c r="AD1273" s="31" t="inlineStr">
        <is>
          <t>No</t>
        </is>
      </c>
      <c r="AE1273" s="32">
        <f>IF(W1273="","",IF(Z1273="Yes","❌ Disc",IF(Y1273="No","⚠ Missing",IF(AB1273="Yes","✓ OK","⚠ Check"))))</f>
        <v/>
      </c>
      <c r="AF1273" s="33" t="n"/>
      <c r="AG1273" s="33" t="n"/>
      <c r="AH1273" s="33" t="n"/>
      <c r="AI1273" s="33" t="n"/>
      <c r="AJ1273" s="33" t="n"/>
      <c r="AK1273" s="33" t="n"/>
      <c r="AL1273" s="27" t="n"/>
      <c r="AM1273" s="34" t="n"/>
      <c r="AN1273" s="35">
        <f>IF(AF1273="","",IF(AI1273="Yes","❌ Disc",IF(AH1273="No","⚠ Missing",IF(AK1273="Yes","✓ OK","⚠ Check"))))</f>
        <v/>
      </c>
      <c r="AO1273" s="36" t="n"/>
      <c r="AP1273" s="36" t="n"/>
      <c r="AQ1273" s="36" t="n"/>
      <c r="AR1273" s="36" t="n"/>
      <c r="AS1273" s="36" t="n"/>
      <c r="AT1273" s="36" t="n"/>
      <c r="AU1273" s="27" t="n"/>
      <c r="AV1273" s="37" t="n"/>
      <c r="AW1273" s="38">
        <f>IF(AO1273="","",IF(AR1273="Yes","❌ Disc",IF(AQ1273="No","⚠ Missing",IF(AT1273="Yes","✓ OK","⚠ Check"))))</f>
        <v/>
      </c>
    </row>
    <row r="1274" ht="18" customHeight="1" s="46">
      <c r="A1274" s="39" t="n">
        <v>1270</v>
      </c>
      <c r="B1274" s="40" t="inlineStr">
        <is>
          <t>WP MR INS 221</t>
        </is>
      </c>
      <c r="C1274" s="41" t="inlineStr">
        <is>
          <t>Marshalls - Inspire II WallpapersINS 221</t>
        </is>
      </c>
      <c r="D1274" s="39" t="inlineStr">
        <is>
          <t>Marshalls</t>
        </is>
      </c>
      <c r="E1274" s="43" t="n">
        <v>46125</v>
      </c>
      <c r="F1274" s="26" t="inlineStr">
        <is>
          <t>Sunil CR</t>
        </is>
      </c>
      <c r="G1274" s="26" t="inlineStr">
        <is>
          <t>Yes</t>
        </is>
      </c>
      <c r="H1274" s="26" t="inlineStr">
        <is>
          <t>No</t>
        </is>
      </c>
      <c r="I1274" s="26" t="inlineStr">
        <is>
          <t>Good finish</t>
        </is>
      </c>
      <c r="J1274" s="26" t="inlineStr">
        <is>
          <t>Yes</t>
        </is>
      </c>
      <c r="K1274" s="27" t="n"/>
      <c r="L1274" s="28" t="inlineStr">
        <is>
          <t>No</t>
        </is>
      </c>
      <c r="M1274" s="29">
        <f>IF(E1274="","",IF(H1274="Yes","❌ Disc",IF(G1274="No","⚠ Missing",IF(J1274="Yes","✓ OK","⚠ Check"))))</f>
        <v/>
      </c>
      <c r="N1274" s="43" t="n">
        <v>46193</v>
      </c>
      <c r="O1274" s="26" t="inlineStr">
        <is>
          <t>Sunil CR</t>
        </is>
      </c>
      <c r="P1274" s="26" t="inlineStr">
        <is>
          <t>Yes</t>
        </is>
      </c>
      <c r="Q1274" s="26" t="inlineStr">
        <is>
          <t>No</t>
        </is>
      </c>
      <c r="R1274" s="26" t="inlineStr">
        <is>
          <t>Good finish</t>
        </is>
      </c>
      <c r="S1274" s="26" t="inlineStr">
        <is>
          <t>Yes</t>
        </is>
      </c>
      <c r="T1274" s="27" t="n"/>
      <c r="U1274" s="28" t="inlineStr">
        <is>
          <t>No</t>
        </is>
      </c>
      <c r="V1274" s="29">
        <f>IF(N1274="","",IF(Q1274="Yes","❌ Disc",IF(P1274="No","⚠ Missing",IF(S1274="Yes","✓ OK","⚠ Check"))))</f>
        <v/>
      </c>
      <c r="W1274" s="65" t="n">
        <v>46248</v>
      </c>
      <c r="X1274" s="30" t="inlineStr">
        <is>
          <t>Sunil CR</t>
        </is>
      </c>
      <c r="Y1274" s="30" t="inlineStr">
        <is>
          <t>Yes</t>
        </is>
      </c>
      <c r="Z1274" s="30" t="n"/>
      <c r="AA1274" s="30" t="inlineStr">
        <is>
          <t>Good finish</t>
        </is>
      </c>
      <c r="AB1274" s="30" t="inlineStr">
        <is>
          <t>Yes</t>
        </is>
      </c>
      <c r="AC1274" s="27" t="n"/>
      <c r="AD1274" s="31" t="inlineStr">
        <is>
          <t>No</t>
        </is>
      </c>
      <c r="AE1274" s="32">
        <f>IF(W1274="","",IF(Z1274="Yes","❌ Disc",IF(Y1274="No","⚠ Missing",IF(AB1274="Yes","✓ OK","⚠ Check"))))</f>
        <v/>
      </c>
      <c r="AF1274" s="33" t="n"/>
      <c r="AG1274" s="33" t="n"/>
      <c r="AH1274" s="33" t="n"/>
      <c r="AI1274" s="33" t="n"/>
      <c r="AJ1274" s="33" t="n"/>
      <c r="AK1274" s="33" t="n"/>
      <c r="AL1274" s="27" t="n"/>
      <c r="AM1274" s="34" t="n"/>
      <c r="AN1274" s="35">
        <f>IF(AF1274="","",IF(AI1274="Yes","❌ Disc",IF(AH1274="No","⚠ Missing",IF(AK1274="Yes","✓ OK","⚠ Check"))))</f>
        <v/>
      </c>
      <c r="AO1274" s="36" t="n"/>
      <c r="AP1274" s="36" t="n"/>
      <c r="AQ1274" s="36" t="n"/>
      <c r="AR1274" s="36" t="n"/>
      <c r="AS1274" s="36" t="n"/>
      <c r="AT1274" s="36" t="n"/>
      <c r="AU1274" s="27" t="n"/>
      <c r="AV1274" s="37" t="n"/>
      <c r="AW1274" s="38">
        <f>IF(AO1274="","",IF(AR1274="Yes","❌ Disc",IF(AQ1274="No","⚠ Missing",IF(AT1274="Yes","✓ OK","⚠ Check"))))</f>
        <v/>
      </c>
    </row>
    <row r="1275" ht="18" customHeight="1" s="46">
      <c r="A1275" s="23" t="n">
        <v>1271</v>
      </c>
      <c r="B1275" s="24" t="inlineStr">
        <is>
          <t>WP MR INS 222</t>
        </is>
      </c>
      <c r="C1275" s="25" t="inlineStr">
        <is>
          <t>Marshalls - Inspire II WallpapersINS 222</t>
        </is>
      </c>
      <c r="D1275" s="23" t="inlineStr">
        <is>
          <t>Marshalls</t>
        </is>
      </c>
      <c r="E1275" s="43" t="n">
        <v>46125</v>
      </c>
      <c r="F1275" s="26" t="inlineStr">
        <is>
          <t>Sunil CR</t>
        </is>
      </c>
      <c r="G1275" s="26" t="inlineStr">
        <is>
          <t>Yes</t>
        </is>
      </c>
      <c r="H1275" s="26" t="inlineStr">
        <is>
          <t>No</t>
        </is>
      </c>
      <c r="I1275" s="26" t="inlineStr">
        <is>
          <t>Good finish</t>
        </is>
      </c>
      <c r="J1275" s="26" t="inlineStr">
        <is>
          <t>Yes</t>
        </is>
      </c>
      <c r="K1275" s="27" t="n"/>
      <c r="L1275" s="28" t="inlineStr">
        <is>
          <t>No</t>
        </is>
      </c>
      <c r="M1275" s="29">
        <f>IF(E1275="","",IF(H1275="Yes","❌ Disc",IF(G1275="No","⚠ Missing",IF(J1275="Yes","✓ OK","⚠ Check"))))</f>
        <v/>
      </c>
      <c r="N1275" s="43" t="n">
        <v>46193</v>
      </c>
      <c r="O1275" s="26" t="inlineStr">
        <is>
          <t>Sunil CR</t>
        </is>
      </c>
      <c r="P1275" s="26" t="inlineStr">
        <is>
          <t>Yes</t>
        </is>
      </c>
      <c r="Q1275" s="26" t="inlineStr">
        <is>
          <t>No</t>
        </is>
      </c>
      <c r="R1275" s="26" t="inlineStr">
        <is>
          <t>Good finish</t>
        </is>
      </c>
      <c r="S1275" s="26" t="inlineStr">
        <is>
          <t>Yes</t>
        </is>
      </c>
      <c r="T1275" s="27" t="n"/>
      <c r="U1275" s="28" t="inlineStr">
        <is>
          <t>No</t>
        </is>
      </c>
      <c r="V1275" s="29">
        <f>IF(N1275="","",IF(Q1275="Yes","❌ Disc",IF(P1275="No","⚠ Missing",IF(S1275="Yes","✓ OK","⚠ Check"))))</f>
        <v/>
      </c>
      <c r="W1275" s="65" t="n">
        <v>46248</v>
      </c>
      <c r="X1275" s="30" t="inlineStr">
        <is>
          <t>Sunil CR</t>
        </is>
      </c>
      <c r="Y1275" s="30" t="inlineStr">
        <is>
          <t>Yes</t>
        </is>
      </c>
      <c r="Z1275" s="30" t="n"/>
      <c r="AA1275" s="30" t="inlineStr">
        <is>
          <t>Good finish</t>
        </is>
      </c>
      <c r="AB1275" s="30" t="inlineStr">
        <is>
          <t>Yes</t>
        </is>
      </c>
      <c r="AC1275" s="27" t="n"/>
      <c r="AD1275" s="31" t="inlineStr">
        <is>
          <t>No</t>
        </is>
      </c>
      <c r="AE1275" s="32">
        <f>IF(W1275="","",IF(Z1275="Yes","❌ Disc",IF(Y1275="No","⚠ Missing",IF(AB1275="Yes","✓ OK","⚠ Check"))))</f>
        <v/>
      </c>
      <c r="AF1275" s="33" t="n"/>
      <c r="AG1275" s="33" t="n"/>
      <c r="AH1275" s="33" t="n"/>
      <c r="AI1275" s="33" t="n"/>
      <c r="AJ1275" s="33" t="n"/>
      <c r="AK1275" s="33" t="n"/>
      <c r="AL1275" s="27" t="n"/>
      <c r="AM1275" s="34" t="n"/>
      <c r="AN1275" s="35">
        <f>IF(AF1275="","",IF(AI1275="Yes","❌ Disc",IF(AH1275="No","⚠ Missing",IF(AK1275="Yes","✓ OK","⚠ Check"))))</f>
        <v/>
      </c>
      <c r="AO1275" s="36" t="n"/>
      <c r="AP1275" s="36" t="n"/>
      <c r="AQ1275" s="36" t="n"/>
      <c r="AR1275" s="36" t="n"/>
      <c r="AS1275" s="36" t="n"/>
      <c r="AT1275" s="36" t="n"/>
      <c r="AU1275" s="27" t="n"/>
      <c r="AV1275" s="37" t="n"/>
      <c r="AW1275" s="38">
        <f>IF(AO1275="","",IF(AR1275="Yes","❌ Disc",IF(AQ1275="No","⚠ Missing",IF(AT1275="Yes","✓ OK","⚠ Check"))))</f>
        <v/>
      </c>
    </row>
    <row r="1276" ht="18" customHeight="1" s="46">
      <c r="A1276" s="39" t="n">
        <v>1272</v>
      </c>
      <c r="B1276" s="40" t="inlineStr">
        <is>
          <t>WP MR INS 223</t>
        </is>
      </c>
      <c r="C1276" s="41" t="inlineStr">
        <is>
          <t>Marshalls - Inspire II WallpapersINS 223</t>
        </is>
      </c>
      <c r="D1276" s="39" t="inlineStr">
        <is>
          <t>Marshalls</t>
        </is>
      </c>
      <c r="E1276" s="43" t="n">
        <v>46125</v>
      </c>
      <c r="F1276" s="26" t="inlineStr">
        <is>
          <t>Sunil CR</t>
        </is>
      </c>
      <c r="G1276" s="26" t="inlineStr">
        <is>
          <t>Yes</t>
        </is>
      </c>
      <c r="H1276" s="26" t="inlineStr">
        <is>
          <t>No</t>
        </is>
      </c>
      <c r="I1276" s="26" t="inlineStr">
        <is>
          <t>Good finish</t>
        </is>
      </c>
      <c r="J1276" s="26" t="inlineStr">
        <is>
          <t>Yes</t>
        </is>
      </c>
      <c r="K1276" s="27" t="n"/>
      <c r="L1276" s="28" t="inlineStr">
        <is>
          <t>No</t>
        </is>
      </c>
      <c r="M1276" s="29">
        <f>IF(E1276="","",IF(H1276="Yes","❌ Disc",IF(G1276="No","⚠ Missing",IF(J1276="Yes","✓ OK","⚠ Check"))))</f>
        <v/>
      </c>
      <c r="N1276" s="43" t="n">
        <v>46193</v>
      </c>
      <c r="O1276" s="26" t="inlineStr">
        <is>
          <t>Sunil CR</t>
        </is>
      </c>
      <c r="P1276" s="26" t="inlineStr">
        <is>
          <t>Yes</t>
        </is>
      </c>
      <c r="Q1276" s="26" t="inlineStr">
        <is>
          <t>No</t>
        </is>
      </c>
      <c r="R1276" s="26" t="inlineStr">
        <is>
          <t>Good finish</t>
        </is>
      </c>
      <c r="S1276" s="26" t="inlineStr">
        <is>
          <t>Yes</t>
        </is>
      </c>
      <c r="T1276" s="27" t="n"/>
      <c r="U1276" s="28" t="inlineStr">
        <is>
          <t>No</t>
        </is>
      </c>
      <c r="V1276" s="29">
        <f>IF(N1276="","",IF(Q1276="Yes","❌ Disc",IF(P1276="No","⚠ Missing",IF(S1276="Yes","✓ OK","⚠ Check"))))</f>
        <v/>
      </c>
      <c r="W1276" s="65" t="n">
        <v>46248</v>
      </c>
      <c r="X1276" s="30" t="inlineStr">
        <is>
          <t>Sunil CR</t>
        </is>
      </c>
      <c r="Y1276" s="30" t="inlineStr">
        <is>
          <t>Yes</t>
        </is>
      </c>
      <c r="Z1276" s="30" t="n"/>
      <c r="AA1276" s="30" t="inlineStr">
        <is>
          <t>Good finish</t>
        </is>
      </c>
      <c r="AB1276" s="30" t="inlineStr">
        <is>
          <t>Yes</t>
        </is>
      </c>
      <c r="AC1276" s="27" t="n"/>
      <c r="AD1276" s="31" t="inlineStr">
        <is>
          <t>No</t>
        </is>
      </c>
      <c r="AE1276" s="32">
        <f>IF(W1276="","",IF(Z1276="Yes","❌ Disc",IF(Y1276="No","⚠ Missing",IF(AB1276="Yes","✓ OK","⚠ Check"))))</f>
        <v/>
      </c>
      <c r="AF1276" s="33" t="n"/>
      <c r="AG1276" s="33" t="n"/>
      <c r="AH1276" s="33" t="n"/>
      <c r="AI1276" s="33" t="n"/>
      <c r="AJ1276" s="33" t="n"/>
      <c r="AK1276" s="33" t="n"/>
      <c r="AL1276" s="27" t="n"/>
      <c r="AM1276" s="34" t="n"/>
      <c r="AN1276" s="35">
        <f>IF(AF1276="","",IF(AI1276="Yes","❌ Disc",IF(AH1276="No","⚠ Missing",IF(AK1276="Yes","✓ OK","⚠ Check"))))</f>
        <v/>
      </c>
      <c r="AO1276" s="36" t="n"/>
      <c r="AP1276" s="36" t="n"/>
      <c r="AQ1276" s="36" t="n"/>
      <c r="AR1276" s="36" t="n"/>
      <c r="AS1276" s="36" t="n"/>
      <c r="AT1276" s="36" t="n"/>
      <c r="AU1276" s="27" t="n"/>
      <c r="AV1276" s="37" t="n"/>
      <c r="AW1276" s="38">
        <f>IF(AO1276="","",IF(AR1276="Yes","❌ Disc",IF(AQ1276="No","⚠ Missing",IF(AT1276="Yes","✓ OK","⚠ Check"))))</f>
        <v/>
      </c>
    </row>
    <row r="1277" ht="18" customHeight="1" s="46">
      <c r="A1277" s="23" t="n">
        <v>1273</v>
      </c>
      <c r="B1277" s="24" t="inlineStr">
        <is>
          <t>WP MR INS 224</t>
        </is>
      </c>
      <c r="C1277" s="25" t="inlineStr">
        <is>
          <t>Marshalls - Inspire II WallpapersINS 224</t>
        </is>
      </c>
      <c r="D1277" s="23" t="inlineStr">
        <is>
          <t>Marshalls</t>
        </is>
      </c>
      <c r="E1277" s="43" t="n">
        <v>46125</v>
      </c>
      <c r="F1277" s="26" t="inlineStr">
        <is>
          <t>Sunil CR</t>
        </is>
      </c>
      <c r="G1277" s="26" t="inlineStr">
        <is>
          <t>Yes</t>
        </is>
      </c>
      <c r="H1277" s="26" t="inlineStr">
        <is>
          <t>No</t>
        </is>
      </c>
      <c r="I1277" s="26" t="inlineStr">
        <is>
          <t>Good finish</t>
        </is>
      </c>
      <c r="J1277" s="26" t="inlineStr">
        <is>
          <t>Yes</t>
        </is>
      </c>
      <c r="K1277" s="27" t="n"/>
      <c r="L1277" s="28" t="inlineStr">
        <is>
          <t>No</t>
        </is>
      </c>
      <c r="M1277" s="29">
        <f>IF(E1277="","",IF(H1277="Yes","❌ Disc",IF(G1277="No","⚠ Missing",IF(J1277="Yes","✓ OK","⚠ Check"))))</f>
        <v/>
      </c>
      <c r="N1277" s="43" t="n">
        <v>46193</v>
      </c>
      <c r="O1277" s="26" t="inlineStr">
        <is>
          <t>Sunil CR</t>
        </is>
      </c>
      <c r="P1277" s="26" t="inlineStr">
        <is>
          <t>Yes</t>
        </is>
      </c>
      <c r="Q1277" s="26" t="inlineStr">
        <is>
          <t>No</t>
        </is>
      </c>
      <c r="R1277" s="26" t="inlineStr">
        <is>
          <t>Good finish</t>
        </is>
      </c>
      <c r="S1277" s="26" t="inlineStr">
        <is>
          <t>Yes</t>
        </is>
      </c>
      <c r="T1277" s="27" t="n"/>
      <c r="U1277" s="28" t="inlineStr">
        <is>
          <t>No</t>
        </is>
      </c>
      <c r="V1277" s="29">
        <f>IF(N1277="","",IF(Q1277="Yes","❌ Disc",IF(P1277="No","⚠ Missing",IF(S1277="Yes","✓ OK","⚠ Check"))))</f>
        <v/>
      </c>
      <c r="W1277" s="65" t="n">
        <v>46248</v>
      </c>
      <c r="X1277" s="30" t="inlineStr">
        <is>
          <t>Sunil CR</t>
        </is>
      </c>
      <c r="Y1277" s="30" t="inlineStr">
        <is>
          <t>Yes</t>
        </is>
      </c>
      <c r="Z1277" s="30" t="n"/>
      <c r="AA1277" s="30" t="inlineStr">
        <is>
          <t>Good finish</t>
        </is>
      </c>
      <c r="AB1277" s="30" t="inlineStr">
        <is>
          <t>Yes</t>
        </is>
      </c>
      <c r="AC1277" s="27" t="n"/>
      <c r="AD1277" s="31" t="inlineStr">
        <is>
          <t>No</t>
        </is>
      </c>
      <c r="AE1277" s="32">
        <f>IF(W1277="","",IF(Z1277="Yes","❌ Disc",IF(Y1277="No","⚠ Missing",IF(AB1277="Yes","✓ OK","⚠ Check"))))</f>
        <v/>
      </c>
      <c r="AF1277" s="33" t="n"/>
      <c r="AG1277" s="33" t="n"/>
      <c r="AH1277" s="33" t="n"/>
      <c r="AI1277" s="33" t="n"/>
      <c r="AJ1277" s="33" t="n"/>
      <c r="AK1277" s="33" t="n"/>
      <c r="AL1277" s="27" t="n"/>
      <c r="AM1277" s="34" t="n"/>
      <c r="AN1277" s="35">
        <f>IF(AF1277="","",IF(AI1277="Yes","❌ Disc",IF(AH1277="No","⚠ Missing",IF(AK1277="Yes","✓ OK","⚠ Check"))))</f>
        <v/>
      </c>
      <c r="AO1277" s="36" t="n"/>
      <c r="AP1277" s="36" t="n"/>
      <c r="AQ1277" s="36" t="n"/>
      <c r="AR1277" s="36" t="n"/>
      <c r="AS1277" s="36" t="n"/>
      <c r="AT1277" s="36" t="n"/>
      <c r="AU1277" s="27" t="n"/>
      <c r="AV1277" s="37" t="n"/>
      <c r="AW1277" s="38">
        <f>IF(AO1277="","",IF(AR1277="Yes","❌ Disc",IF(AQ1277="No","⚠ Missing",IF(AT1277="Yes","✓ OK","⚠ Check"))))</f>
        <v/>
      </c>
    </row>
    <row r="1278" ht="18" customHeight="1" s="46">
      <c r="A1278" s="39" t="n">
        <v>1274</v>
      </c>
      <c r="B1278" s="40" t="inlineStr">
        <is>
          <t>WP MR INS 225</t>
        </is>
      </c>
      <c r="C1278" s="41" t="inlineStr">
        <is>
          <t>Marshalls - Inspire II WallpapersINS 225</t>
        </is>
      </c>
      <c r="D1278" s="39" t="inlineStr">
        <is>
          <t>Marshalls</t>
        </is>
      </c>
      <c r="E1278" s="43" t="n">
        <v>46125</v>
      </c>
      <c r="F1278" s="26" t="inlineStr">
        <is>
          <t>Sunil CR</t>
        </is>
      </c>
      <c r="G1278" s="26" t="inlineStr">
        <is>
          <t>Yes</t>
        </is>
      </c>
      <c r="H1278" s="26" t="inlineStr">
        <is>
          <t>No</t>
        </is>
      </c>
      <c r="I1278" s="26" t="inlineStr">
        <is>
          <t>Good finish</t>
        </is>
      </c>
      <c r="J1278" s="26" t="inlineStr">
        <is>
          <t>Yes</t>
        </is>
      </c>
      <c r="K1278" s="27" t="n"/>
      <c r="L1278" s="28" t="inlineStr">
        <is>
          <t>No</t>
        </is>
      </c>
      <c r="M1278" s="29">
        <f>IF(E1278="","",IF(H1278="Yes","❌ Disc",IF(G1278="No","⚠ Missing",IF(J1278="Yes","✓ OK","⚠ Check"))))</f>
        <v/>
      </c>
      <c r="N1278" s="43" t="n">
        <v>46193</v>
      </c>
      <c r="O1278" s="26" t="inlineStr">
        <is>
          <t>Sunil CR</t>
        </is>
      </c>
      <c r="P1278" s="26" t="inlineStr">
        <is>
          <t>Yes</t>
        </is>
      </c>
      <c r="Q1278" s="26" t="inlineStr">
        <is>
          <t>No</t>
        </is>
      </c>
      <c r="R1278" s="26" t="inlineStr">
        <is>
          <t>Good finish</t>
        </is>
      </c>
      <c r="S1278" s="26" t="inlineStr">
        <is>
          <t>Yes</t>
        </is>
      </c>
      <c r="T1278" s="27" t="n"/>
      <c r="U1278" s="28" t="inlineStr">
        <is>
          <t>No</t>
        </is>
      </c>
      <c r="V1278" s="29">
        <f>IF(N1278="","",IF(Q1278="Yes","❌ Disc",IF(P1278="No","⚠ Missing",IF(S1278="Yes","✓ OK","⚠ Check"))))</f>
        <v/>
      </c>
      <c r="W1278" s="65" t="n">
        <v>46248</v>
      </c>
      <c r="X1278" s="30" t="inlineStr">
        <is>
          <t>Sunil CR</t>
        </is>
      </c>
      <c r="Y1278" s="30" t="inlineStr">
        <is>
          <t>Yes</t>
        </is>
      </c>
      <c r="Z1278" s="30" t="n"/>
      <c r="AA1278" s="30" t="inlineStr">
        <is>
          <t>Good finish</t>
        </is>
      </c>
      <c r="AB1278" s="30" t="inlineStr">
        <is>
          <t>Yes</t>
        </is>
      </c>
      <c r="AC1278" s="27" t="n"/>
      <c r="AD1278" s="31" t="inlineStr">
        <is>
          <t>No</t>
        </is>
      </c>
      <c r="AE1278" s="32">
        <f>IF(W1278="","",IF(Z1278="Yes","❌ Disc",IF(Y1278="No","⚠ Missing",IF(AB1278="Yes","✓ OK","⚠ Check"))))</f>
        <v/>
      </c>
      <c r="AF1278" s="33" t="n"/>
      <c r="AG1278" s="33" t="n"/>
      <c r="AH1278" s="33" t="n"/>
      <c r="AI1278" s="33" t="n"/>
      <c r="AJ1278" s="33" t="n"/>
      <c r="AK1278" s="33" t="n"/>
      <c r="AL1278" s="27" t="n"/>
      <c r="AM1278" s="34" t="n"/>
      <c r="AN1278" s="35">
        <f>IF(AF1278="","",IF(AI1278="Yes","❌ Disc",IF(AH1278="No","⚠ Missing",IF(AK1278="Yes","✓ OK","⚠ Check"))))</f>
        <v/>
      </c>
      <c r="AO1278" s="36" t="n"/>
      <c r="AP1278" s="36" t="n"/>
      <c r="AQ1278" s="36" t="n"/>
      <c r="AR1278" s="36" t="n"/>
      <c r="AS1278" s="36" t="n"/>
      <c r="AT1278" s="36" t="n"/>
      <c r="AU1278" s="27" t="n"/>
      <c r="AV1278" s="37" t="n"/>
      <c r="AW1278" s="38">
        <f>IF(AO1278="","",IF(AR1278="Yes","❌ Disc",IF(AQ1278="No","⚠ Missing",IF(AT1278="Yes","✓ OK","⚠ Check"))))</f>
        <v/>
      </c>
    </row>
    <row r="1279" ht="18" customHeight="1" s="46">
      <c r="A1279" s="23" t="n">
        <v>1275</v>
      </c>
      <c r="B1279" s="24" t="inlineStr">
        <is>
          <t>WP MR INS 226</t>
        </is>
      </c>
      <c r="C1279" s="25" t="inlineStr">
        <is>
          <t>Marshalls - Inspire II WallpapersINS 226</t>
        </is>
      </c>
      <c r="D1279" s="23" t="inlineStr">
        <is>
          <t>Marshalls</t>
        </is>
      </c>
      <c r="E1279" s="43" t="n">
        <v>46125</v>
      </c>
      <c r="F1279" s="26" t="inlineStr">
        <is>
          <t>Sunil CR</t>
        </is>
      </c>
      <c r="G1279" s="26" t="inlineStr">
        <is>
          <t>Yes</t>
        </is>
      </c>
      <c r="H1279" s="26" t="inlineStr">
        <is>
          <t>No</t>
        </is>
      </c>
      <c r="I1279" s="26" t="inlineStr">
        <is>
          <t>Good finish</t>
        </is>
      </c>
      <c r="J1279" s="26" t="inlineStr">
        <is>
          <t>Yes</t>
        </is>
      </c>
      <c r="K1279" s="27" t="n"/>
      <c r="L1279" s="28" t="inlineStr">
        <is>
          <t>No</t>
        </is>
      </c>
      <c r="M1279" s="29">
        <f>IF(E1279="","",IF(H1279="Yes","❌ Disc",IF(G1279="No","⚠ Missing",IF(J1279="Yes","✓ OK","⚠ Check"))))</f>
        <v/>
      </c>
      <c r="N1279" s="43" t="n">
        <v>46193</v>
      </c>
      <c r="O1279" s="26" t="inlineStr">
        <is>
          <t>Sunil CR</t>
        </is>
      </c>
      <c r="P1279" s="26" t="inlineStr">
        <is>
          <t>Yes</t>
        </is>
      </c>
      <c r="Q1279" s="26" t="inlineStr">
        <is>
          <t>No</t>
        </is>
      </c>
      <c r="R1279" s="26" t="inlineStr">
        <is>
          <t>Good finish</t>
        </is>
      </c>
      <c r="S1279" s="26" t="inlineStr">
        <is>
          <t>Yes</t>
        </is>
      </c>
      <c r="T1279" s="27" t="n"/>
      <c r="U1279" s="28" t="inlineStr">
        <is>
          <t>No</t>
        </is>
      </c>
      <c r="V1279" s="29">
        <f>IF(N1279="","",IF(Q1279="Yes","❌ Disc",IF(P1279="No","⚠ Missing",IF(S1279="Yes","✓ OK","⚠ Check"))))</f>
        <v/>
      </c>
      <c r="W1279" s="65" t="n">
        <v>46248</v>
      </c>
      <c r="X1279" s="30" t="inlineStr">
        <is>
          <t>Sunil CR</t>
        </is>
      </c>
      <c r="Y1279" s="30" t="inlineStr">
        <is>
          <t>Yes</t>
        </is>
      </c>
      <c r="Z1279" s="30" t="n"/>
      <c r="AA1279" s="30" t="inlineStr">
        <is>
          <t>Good finish</t>
        </is>
      </c>
      <c r="AB1279" s="30" t="inlineStr">
        <is>
          <t>Yes</t>
        </is>
      </c>
      <c r="AC1279" s="27" t="n"/>
      <c r="AD1279" s="31" t="inlineStr">
        <is>
          <t>No</t>
        </is>
      </c>
      <c r="AE1279" s="32">
        <f>IF(W1279="","",IF(Z1279="Yes","❌ Disc",IF(Y1279="No","⚠ Missing",IF(AB1279="Yes","✓ OK","⚠ Check"))))</f>
        <v/>
      </c>
      <c r="AF1279" s="33" t="n"/>
      <c r="AG1279" s="33" t="n"/>
      <c r="AH1279" s="33" t="n"/>
      <c r="AI1279" s="33" t="n"/>
      <c r="AJ1279" s="33" t="n"/>
      <c r="AK1279" s="33" t="n"/>
      <c r="AL1279" s="27" t="n"/>
      <c r="AM1279" s="34" t="n"/>
      <c r="AN1279" s="35">
        <f>IF(AF1279="","",IF(AI1279="Yes","❌ Disc",IF(AH1279="No","⚠ Missing",IF(AK1279="Yes","✓ OK","⚠ Check"))))</f>
        <v/>
      </c>
      <c r="AO1279" s="36" t="n"/>
      <c r="AP1279" s="36" t="n"/>
      <c r="AQ1279" s="36" t="n"/>
      <c r="AR1279" s="36" t="n"/>
      <c r="AS1279" s="36" t="n"/>
      <c r="AT1279" s="36" t="n"/>
      <c r="AU1279" s="27" t="n"/>
      <c r="AV1279" s="37" t="n"/>
      <c r="AW1279" s="38">
        <f>IF(AO1279="","",IF(AR1279="Yes","❌ Disc",IF(AQ1279="No","⚠ Missing",IF(AT1279="Yes","✓ OK","⚠ Check"))))</f>
        <v/>
      </c>
    </row>
    <row r="1280" ht="18" customHeight="1" s="46">
      <c r="A1280" s="39" t="n">
        <v>1276</v>
      </c>
      <c r="B1280" s="40" t="inlineStr">
        <is>
          <t>WP MR INS 227</t>
        </is>
      </c>
      <c r="C1280" s="41" t="inlineStr">
        <is>
          <t>Marshalls - Inspire II WallpapersINS 227</t>
        </is>
      </c>
      <c r="D1280" s="39" t="inlineStr">
        <is>
          <t>Marshalls</t>
        </is>
      </c>
      <c r="E1280" s="43" t="n">
        <v>46125</v>
      </c>
      <c r="F1280" s="26" t="inlineStr">
        <is>
          <t>Sunil CR</t>
        </is>
      </c>
      <c r="G1280" s="26" t="inlineStr">
        <is>
          <t>Yes</t>
        </is>
      </c>
      <c r="H1280" s="26" t="inlineStr">
        <is>
          <t>No</t>
        </is>
      </c>
      <c r="I1280" s="26" t="inlineStr">
        <is>
          <t>Good finish</t>
        </is>
      </c>
      <c r="J1280" s="26" t="inlineStr">
        <is>
          <t>Yes</t>
        </is>
      </c>
      <c r="K1280" s="27" t="n"/>
      <c r="L1280" s="28" t="inlineStr">
        <is>
          <t>No</t>
        </is>
      </c>
      <c r="M1280" s="29">
        <f>IF(E1280="","",IF(H1280="Yes","❌ Disc",IF(G1280="No","⚠ Missing",IF(J1280="Yes","✓ OK","⚠ Check"))))</f>
        <v/>
      </c>
      <c r="N1280" s="43" t="n">
        <v>46193</v>
      </c>
      <c r="O1280" s="26" t="inlineStr">
        <is>
          <t>Sunil CR</t>
        </is>
      </c>
      <c r="P1280" s="26" t="inlineStr">
        <is>
          <t>Yes</t>
        </is>
      </c>
      <c r="Q1280" s="26" t="inlineStr">
        <is>
          <t>No</t>
        </is>
      </c>
      <c r="R1280" s="26" t="inlineStr">
        <is>
          <t>Good finish</t>
        </is>
      </c>
      <c r="S1280" s="26" t="inlineStr">
        <is>
          <t>Yes</t>
        </is>
      </c>
      <c r="T1280" s="27" t="n"/>
      <c r="U1280" s="28" t="inlineStr">
        <is>
          <t>No</t>
        </is>
      </c>
      <c r="V1280" s="29">
        <f>IF(N1280="","",IF(Q1280="Yes","❌ Disc",IF(P1280="No","⚠ Missing",IF(S1280="Yes","✓ OK","⚠ Check"))))</f>
        <v/>
      </c>
      <c r="W1280" s="65" t="n">
        <v>46248</v>
      </c>
      <c r="X1280" s="30" t="inlineStr">
        <is>
          <t>Sunil CR</t>
        </is>
      </c>
      <c r="Y1280" s="30" t="inlineStr">
        <is>
          <t>Yes</t>
        </is>
      </c>
      <c r="Z1280" s="30" t="n"/>
      <c r="AA1280" s="30" t="inlineStr">
        <is>
          <t>Good finish</t>
        </is>
      </c>
      <c r="AB1280" s="30" t="inlineStr">
        <is>
          <t>Yes</t>
        </is>
      </c>
      <c r="AC1280" s="27" t="n"/>
      <c r="AD1280" s="31" t="inlineStr">
        <is>
          <t>No</t>
        </is>
      </c>
      <c r="AE1280" s="32">
        <f>IF(W1280="","",IF(Z1280="Yes","❌ Disc",IF(Y1280="No","⚠ Missing",IF(AB1280="Yes","✓ OK","⚠ Check"))))</f>
        <v/>
      </c>
      <c r="AF1280" s="33" t="n"/>
      <c r="AG1280" s="33" t="n"/>
      <c r="AH1280" s="33" t="n"/>
      <c r="AI1280" s="33" t="n"/>
      <c r="AJ1280" s="33" t="n"/>
      <c r="AK1280" s="33" t="n"/>
      <c r="AL1280" s="27" t="n"/>
      <c r="AM1280" s="34" t="n"/>
      <c r="AN1280" s="35">
        <f>IF(AF1280="","",IF(AI1280="Yes","❌ Disc",IF(AH1280="No","⚠ Missing",IF(AK1280="Yes","✓ OK","⚠ Check"))))</f>
        <v/>
      </c>
      <c r="AO1280" s="36" t="n"/>
      <c r="AP1280" s="36" t="n"/>
      <c r="AQ1280" s="36" t="n"/>
      <c r="AR1280" s="36" t="n"/>
      <c r="AS1280" s="36" t="n"/>
      <c r="AT1280" s="36" t="n"/>
      <c r="AU1280" s="27" t="n"/>
      <c r="AV1280" s="37" t="n"/>
      <c r="AW1280" s="38">
        <f>IF(AO1280="","",IF(AR1280="Yes","❌ Disc",IF(AQ1280="No","⚠ Missing",IF(AT1280="Yes","✓ OK","⚠ Check"))))</f>
        <v/>
      </c>
    </row>
    <row r="1281" ht="18" customHeight="1" s="46">
      <c r="A1281" s="23" t="n">
        <v>1277</v>
      </c>
      <c r="B1281" s="24" t="inlineStr">
        <is>
          <t>WP MR INS 228</t>
        </is>
      </c>
      <c r="C1281" s="25" t="inlineStr">
        <is>
          <t>Marshalls - Inspire II WallpapersINS 228</t>
        </is>
      </c>
      <c r="D1281" s="23" t="inlineStr">
        <is>
          <t>Marshalls</t>
        </is>
      </c>
      <c r="E1281" s="43" t="n">
        <v>46125</v>
      </c>
      <c r="F1281" s="26" t="inlineStr">
        <is>
          <t>Sunil CR</t>
        </is>
      </c>
      <c r="G1281" s="26" t="inlineStr">
        <is>
          <t>Yes</t>
        </is>
      </c>
      <c r="H1281" s="26" t="inlineStr">
        <is>
          <t>No</t>
        </is>
      </c>
      <c r="I1281" s="26" t="inlineStr">
        <is>
          <t>Good finish</t>
        </is>
      </c>
      <c r="J1281" s="26" t="inlineStr">
        <is>
          <t>Yes</t>
        </is>
      </c>
      <c r="K1281" s="27" t="n"/>
      <c r="L1281" s="28" t="inlineStr">
        <is>
          <t>No</t>
        </is>
      </c>
      <c r="M1281" s="29">
        <f>IF(E1281="","",IF(H1281="Yes","❌ Disc",IF(G1281="No","⚠ Missing",IF(J1281="Yes","✓ OK","⚠ Check"))))</f>
        <v/>
      </c>
      <c r="N1281" s="43" t="n">
        <v>46193</v>
      </c>
      <c r="O1281" s="26" t="inlineStr">
        <is>
          <t>Sunil CR</t>
        </is>
      </c>
      <c r="P1281" s="26" t="inlineStr">
        <is>
          <t>Yes</t>
        </is>
      </c>
      <c r="Q1281" s="26" t="inlineStr">
        <is>
          <t>No</t>
        </is>
      </c>
      <c r="R1281" s="26" t="inlineStr">
        <is>
          <t>Good finish</t>
        </is>
      </c>
      <c r="S1281" s="26" t="inlineStr">
        <is>
          <t>Yes</t>
        </is>
      </c>
      <c r="T1281" s="27" t="n"/>
      <c r="U1281" s="28" t="inlineStr">
        <is>
          <t>No</t>
        </is>
      </c>
      <c r="V1281" s="29">
        <f>IF(N1281="","",IF(Q1281="Yes","❌ Disc",IF(P1281="No","⚠ Missing",IF(S1281="Yes","✓ OK","⚠ Check"))))</f>
        <v/>
      </c>
      <c r="W1281" s="65" t="n">
        <v>46248</v>
      </c>
      <c r="X1281" s="30" t="inlineStr">
        <is>
          <t>Sunil CR</t>
        </is>
      </c>
      <c r="Y1281" s="30" t="inlineStr">
        <is>
          <t>Yes</t>
        </is>
      </c>
      <c r="Z1281" s="30" t="n"/>
      <c r="AA1281" s="30" t="inlineStr">
        <is>
          <t>Good finish</t>
        </is>
      </c>
      <c r="AB1281" s="30" t="inlineStr">
        <is>
          <t>Yes</t>
        </is>
      </c>
      <c r="AC1281" s="27" t="n"/>
      <c r="AD1281" s="31" t="inlineStr">
        <is>
          <t>No</t>
        </is>
      </c>
      <c r="AE1281" s="32">
        <f>IF(W1281="","",IF(Z1281="Yes","❌ Disc",IF(Y1281="No","⚠ Missing",IF(AB1281="Yes","✓ OK","⚠ Check"))))</f>
        <v/>
      </c>
      <c r="AF1281" s="33" t="n"/>
      <c r="AG1281" s="33" t="n"/>
      <c r="AH1281" s="33" t="n"/>
      <c r="AI1281" s="33" t="n"/>
      <c r="AJ1281" s="33" t="n"/>
      <c r="AK1281" s="33" t="n"/>
      <c r="AL1281" s="27" t="n"/>
      <c r="AM1281" s="34" t="n"/>
      <c r="AN1281" s="35">
        <f>IF(AF1281="","",IF(AI1281="Yes","❌ Disc",IF(AH1281="No","⚠ Missing",IF(AK1281="Yes","✓ OK","⚠ Check"))))</f>
        <v/>
      </c>
      <c r="AO1281" s="36" t="n"/>
      <c r="AP1281" s="36" t="n"/>
      <c r="AQ1281" s="36" t="n"/>
      <c r="AR1281" s="36" t="n"/>
      <c r="AS1281" s="36" t="n"/>
      <c r="AT1281" s="36" t="n"/>
      <c r="AU1281" s="27" t="n"/>
      <c r="AV1281" s="37" t="n"/>
      <c r="AW1281" s="38">
        <f>IF(AO1281="","",IF(AR1281="Yes","❌ Disc",IF(AQ1281="No","⚠ Missing",IF(AT1281="Yes","✓ OK","⚠ Check"))))</f>
        <v/>
      </c>
    </row>
    <row r="1282" ht="18" customHeight="1" s="46">
      <c r="A1282" s="39" t="n">
        <v>1278</v>
      </c>
      <c r="B1282" s="40" t="inlineStr">
        <is>
          <t>WP MR INS 229</t>
        </is>
      </c>
      <c r="C1282" s="41" t="inlineStr">
        <is>
          <t>Marshalls - Inspire II WallpapersINS 229</t>
        </is>
      </c>
      <c r="D1282" s="39" t="inlineStr">
        <is>
          <t>Marshalls</t>
        </is>
      </c>
      <c r="E1282" s="43" t="n">
        <v>46125</v>
      </c>
      <c r="F1282" s="26" t="inlineStr">
        <is>
          <t>Sunil CR</t>
        </is>
      </c>
      <c r="G1282" s="26" t="inlineStr">
        <is>
          <t>Yes</t>
        </is>
      </c>
      <c r="H1282" s="26" t="inlineStr">
        <is>
          <t>No</t>
        </is>
      </c>
      <c r="I1282" s="26" t="inlineStr">
        <is>
          <t>Good finish</t>
        </is>
      </c>
      <c r="J1282" s="26" t="inlineStr">
        <is>
          <t>Yes</t>
        </is>
      </c>
      <c r="K1282" s="27" t="n"/>
      <c r="L1282" s="28" t="inlineStr">
        <is>
          <t>No</t>
        </is>
      </c>
      <c r="M1282" s="29">
        <f>IF(E1282="","",IF(H1282="Yes","❌ Disc",IF(G1282="No","⚠ Missing",IF(J1282="Yes","✓ OK","⚠ Check"))))</f>
        <v/>
      </c>
      <c r="N1282" s="43" t="n">
        <v>46193</v>
      </c>
      <c r="O1282" s="26" t="inlineStr">
        <is>
          <t>Sunil CR</t>
        </is>
      </c>
      <c r="P1282" s="26" t="inlineStr">
        <is>
          <t>Yes</t>
        </is>
      </c>
      <c r="Q1282" s="26" t="inlineStr">
        <is>
          <t>No</t>
        </is>
      </c>
      <c r="R1282" s="26" t="inlineStr">
        <is>
          <t>Good finish</t>
        </is>
      </c>
      <c r="S1282" s="26" t="inlineStr">
        <is>
          <t>Yes</t>
        </is>
      </c>
      <c r="T1282" s="27" t="n"/>
      <c r="U1282" s="28" t="inlineStr">
        <is>
          <t>No</t>
        </is>
      </c>
      <c r="V1282" s="29">
        <f>IF(N1282="","",IF(Q1282="Yes","❌ Disc",IF(P1282="No","⚠ Missing",IF(S1282="Yes","✓ OK","⚠ Check"))))</f>
        <v/>
      </c>
      <c r="W1282" s="65" t="n">
        <v>46248</v>
      </c>
      <c r="X1282" s="30" t="inlineStr">
        <is>
          <t>Sunil CR</t>
        </is>
      </c>
      <c r="Y1282" s="30" t="inlineStr">
        <is>
          <t>Yes</t>
        </is>
      </c>
      <c r="Z1282" s="30" t="n"/>
      <c r="AA1282" s="30" t="inlineStr">
        <is>
          <t>Good finish</t>
        </is>
      </c>
      <c r="AB1282" s="30" t="inlineStr">
        <is>
          <t>Yes</t>
        </is>
      </c>
      <c r="AC1282" s="27" t="n"/>
      <c r="AD1282" s="31" t="inlineStr">
        <is>
          <t>No</t>
        </is>
      </c>
      <c r="AE1282" s="32">
        <f>IF(W1282="","",IF(Z1282="Yes","❌ Disc",IF(Y1282="No","⚠ Missing",IF(AB1282="Yes","✓ OK","⚠ Check"))))</f>
        <v/>
      </c>
      <c r="AF1282" s="33" t="n"/>
      <c r="AG1282" s="33" t="n"/>
      <c r="AH1282" s="33" t="n"/>
      <c r="AI1282" s="33" t="n"/>
      <c r="AJ1282" s="33" t="n"/>
      <c r="AK1282" s="33" t="n"/>
      <c r="AL1282" s="27" t="n"/>
      <c r="AM1282" s="34" t="n"/>
      <c r="AN1282" s="35">
        <f>IF(AF1282="","",IF(AI1282="Yes","❌ Disc",IF(AH1282="No","⚠ Missing",IF(AK1282="Yes","✓ OK","⚠ Check"))))</f>
        <v/>
      </c>
      <c r="AO1282" s="36" t="n"/>
      <c r="AP1282" s="36" t="n"/>
      <c r="AQ1282" s="36" t="n"/>
      <c r="AR1282" s="36" t="n"/>
      <c r="AS1282" s="36" t="n"/>
      <c r="AT1282" s="36" t="n"/>
      <c r="AU1282" s="27" t="n"/>
      <c r="AV1282" s="37" t="n"/>
      <c r="AW1282" s="38">
        <f>IF(AO1282="","",IF(AR1282="Yes","❌ Disc",IF(AQ1282="No","⚠ Missing",IF(AT1282="Yes","✓ OK","⚠ Check"))))</f>
        <v/>
      </c>
    </row>
    <row r="1283" ht="18" customHeight="1" s="46">
      <c r="A1283" s="23" t="n">
        <v>1279</v>
      </c>
      <c r="B1283" s="24" t="inlineStr">
        <is>
          <t>WP MR INS 230</t>
        </is>
      </c>
      <c r="C1283" s="25" t="inlineStr">
        <is>
          <t>Marshalls - Inspire II WallpapersINS 230</t>
        </is>
      </c>
      <c r="D1283" s="23" t="inlineStr">
        <is>
          <t>Marshalls</t>
        </is>
      </c>
      <c r="E1283" s="43" t="n">
        <v>46125</v>
      </c>
      <c r="F1283" s="26" t="inlineStr">
        <is>
          <t>Sunil CR</t>
        </is>
      </c>
      <c r="G1283" s="26" t="inlineStr">
        <is>
          <t>Yes</t>
        </is>
      </c>
      <c r="H1283" s="26" t="inlineStr">
        <is>
          <t>No</t>
        </is>
      </c>
      <c r="I1283" s="26" t="inlineStr">
        <is>
          <t>Good finish</t>
        </is>
      </c>
      <c r="J1283" s="26" t="inlineStr">
        <is>
          <t>Yes</t>
        </is>
      </c>
      <c r="K1283" s="27" t="n"/>
      <c r="L1283" s="28" t="inlineStr">
        <is>
          <t>No</t>
        </is>
      </c>
      <c r="M1283" s="29">
        <f>IF(E1283="","",IF(H1283="Yes","❌ Disc",IF(G1283="No","⚠ Missing",IF(J1283="Yes","✓ OK","⚠ Check"))))</f>
        <v/>
      </c>
      <c r="N1283" s="43" t="n">
        <v>46193</v>
      </c>
      <c r="O1283" s="26" t="inlineStr">
        <is>
          <t>Sunil CR</t>
        </is>
      </c>
      <c r="P1283" s="26" t="inlineStr">
        <is>
          <t>Yes</t>
        </is>
      </c>
      <c r="Q1283" s="26" t="inlineStr">
        <is>
          <t>No</t>
        </is>
      </c>
      <c r="R1283" s="26" t="inlineStr">
        <is>
          <t>Good finish</t>
        </is>
      </c>
      <c r="S1283" s="26" t="inlineStr">
        <is>
          <t>Yes</t>
        </is>
      </c>
      <c r="T1283" s="27" t="n"/>
      <c r="U1283" s="28" t="inlineStr">
        <is>
          <t>No</t>
        </is>
      </c>
      <c r="V1283" s="29">
        <f>IF(N1283="","",IF(Q1283="Yes","❌ Disc",IF(P1283="No","⚠ Missing",IF(S1283="Yes","✓ OK","⚠ Check"))))</f>
        <v/>
      </c>
      <c r="W1283" s="65" t="n">
        <v>46248</v>
      </c>
      <c r="X1283" s="30" t="inlineStr">
        <is>
          <t>Sunil CR</t>
        </is>
      </c>
      <c r="Y1283" s="30" t="inlineStr">
        <is>
          <t>Yes</t>
        </is>
      </c>
      <c r="Z1283" s="30" t="n"/>
      <c r="AA1283" s="30" t="inlineStr">
        <is>
          <t>Good finish</t>
        </is>
      </c>
      <c r="AB1283" s="30" t="inlineStr">
        <is>
          <t>Yes</t>
        </is>
      </c>
      <c r="AC1283" s="27" t="n"/>
      <c r="AD1283" s="31" t="inlineStr">
        <is>
          <t>No</t>
        </is>
      </c>
      <c r="AE1283" s="32">
        <f>IF(W1283="","",IF(Z1283="Yes","❌ Disc",IF(Y1283="No","⚠ Missing",IF(AB1283="Yes","✓ OK","⚠ Check"))))</f>
        <v/>
      </c>
      <c r="AF1283" s="33" t="n"/>
      <c r="AG1283" s="33" t="n"/>
      <c r="AH1283" s="33" t="n"/>
      <c r="AI1283" s="33" t="n"/>
      <c r="AJ1283" s="33" t="n"/>
      <c r="AK1283" s="33" t="n"/>
      <c r="AL1283" s="27" t="n"/>
      <c r="AM1283" s="34" t="n"/>
      <c r="AN1283" s="35">
        <f>IF(AF1283="","",IF(AI1283="Yes","❌ Disc",IF(AH1283="No","⚠ Missing",IF(AK1283="Yes","✓ OK","⚠ Check"))))</f>
        <v/>
      </c>
      <c r="AO1283" s="36" t="n"/>
      <c r="AP1283" s="36" t="n"/>
      <c r="AQ1283" s="36" t="n"/>
      <c r="AR1283" s="36" t="n"/>
      <c r="AS1283" s="36" t="n"/>
      <c r="AT1283" s="36" t="n"/>
      <c r="AU1283" s="27" t="n"/>
      <c r="AV1283" s="37" t="n"/>
      <c r="AW1283" s="38">
        <f>IF(AO1283="","",IF(AR1283="Yes","❌ Disc",IF(AQ1283="No","⚠ Missing",IF(AT1283="Yes","✓ OK","⚠ Check"))))</f>
        <v/>
      </c>
    </row>
    <row r="1284" ht="18" customHeight="1" s="46">
      <c r="A1284" s="39" t="n">
        <v>1280</v>
      </c>
      <c r="B1284" s="40" t="inlineStr">
        <is>
          <t>WP MR INS 231</t>
        </is>
      </c>
      <c r="C1284" s="41" t="inlineStr">
        <is>
          <t>Marshalls - Inspire II WallpapersINS 231</t>
        </is>
      </c>
      <c r="D1284" s="39" t="inlineStr">
        <is>
          <t>Marshalls</t>
        </is>
      </c>
      <c r="E1284" s="43" t="n">
        <v>46125</v>
      </c>
      <c r="F1284" s="26" t="inlineStr">
        <is>
          <t>Sunil CR</t>
        </is>
      </c>
      <c r="G1284" s="26" t="inlineStr">
        <is>
          <t>Yes</t>
        </is>
      </c>
      <c r="H1284" s="26" t="inlineStr">
        <is>
          <t>No</t>
        </is>
      </c>
      <c r="I1284" s="26" t="inlineStr">
        <is>
          <t>Good finish</t>
        </is>
      </c>
      <c r="J1284" s="26" t="inlineStr">
        <is>
          <t>Yes</t>
        </is>
      </c>
      <c r="K1284" s="27" t="n"/>
      <c r="L1284" s="28" t="inlineStr">
        <is>
          <t>No</t>
        </is>
      </c>
      <c r="M1284" s="29">
        <f>IF(E1284="","",IF(H1284="Yes","❌ Disc",IF(G1284="No","⚠ Missing",IF(J1284="Yes","✓ OK","⚠ Check"))))</f>
        <v/>
      </c>
      <c r="N1284" s="43" t="n">
        <v>46193</v>
      </c>
      <c r="O1284" s="26" t="inlineStr">
        <is>
          <t>Sunil CR</t>
        </is>
      </c>
      <c r="P1284" s="26" t="inlineStr">
        <is>
          <t>Yes</t>
        </is>
      </c>
      <c r="Q1284" s="26" t="inlineStr">
        <is>
          <t>No</t>
        </is>
      </c>
      <c r="R1284" s="26" t="inlineStr">
        <is>
          <t>Good finish</t>
        </is>
      </c>
      <c r="S1284" s="26" t="inlineStr">
        <is>
          <t>Yes</t>
        </is>
      </c>
      <c r="T1284" s="27" t="n"/>
      <c r="U1284" s="28" t="inlineStr">
        <is>
          <t>No</t>
        </is>
      </c>
      <c r="V1284" s="29">
        <f>IF(N1284="","",IF(Q1284="Yes","❌ Disc",IF(P1284="No","⚠ Missing",IF(S1284="Yes","✓ OK","⚠ Check"))))</f>
        <v/>
      </c>
      <c r="W1284" s="65" t="n">
        <v>46248</v>
      </c>
      <c r="X1284" s="30" t="inlineStr">
        <is>
          <t>Sunil CR</t>
        </is>
      </c>
      <c r="Y1284" s="30" t="inlineStr">
        <is>
          <t>Yes</t>
        </is>
      </c>
      <c r="Z1284" s="30" t="n"/>
      <c r="AA1284" s="30" t="inlineStr">
        <is>
          <t>Good finish</t>
        </is>
      </c>
      <c r="AB1284" s="30" t="inlineStr">
        <is>
          <t>Yes</t>
        </is>
      </c>
      <c r="AC1284" s="27" t="n"/>
      <c r="AD1284" s="31" t="inlineStr">
        <is>
          <t>No</t>
        </is>
      </c>
      <c r="AE1284" s="32">
        <f>IF(W1284="","",IF(Z1284="Yes","❌ Disc",IF(Y1284="No","⚠ Missing",IF(AB1284="Yes","✓ OK","⚠ Check"))))</f>
        <v/>
      </c>
      <c r="AF1284" s="33" t="n"/>
      <c r="AG1284" s="33" t="n"/>
      <c r="AH1284" s="33" t="n"/>
      <c r="AI1284" s="33" t="n"/>
      <c r="AJ1284" s="33" t="n"/>
      <c r="AK1284" s="33" t="n"/>
      <c r="AL1284" s="27" t="n"/>
      <c r="AM1284" s="34" t="n"/>
      <c r="AN1284" s="35">
        <f>IF(AF1284="","",IF(AI1284="Yes","❌ Disc",IF(AH1284="No","⚠ Missing",IF(AK1284="Yes","✓ OK","⚠ Check"))))</f>
        <v/>
      </c>
      <c r="AO1284" s="36" t="n"/>
      <c r="AP1284" s="36" t="n"/>
      <c r="AQ1284" s="36" t="n"/>
      <c r="AR1284" s="36" t="n"/>
      <c r="AS1284" s="36" t="n"/>
      <c r="AT1284" s="36" t="n"/>
      <c r="AU1284" s="27" t="n"/>
      <c r="AV1284" s="37" t="n"/>
      <c r="AW1284" s="38">
        <f>IF(AO1284="","",IF(AR1284="Yes","❌ Disc",IF(AQ1284="No","⚠ Missing",IF(AT1284="Yes","✓ OK","⚠ Check"))))</f>
        <v/>
      </c>
    </row>
    <row r="1285" ht="18" customHeight="1" s="46">
      <c r="A1285" s="23" t="n">
        <v>1281</v>
      </c>
      <c r="B1285" s="24" t="inlineStr">
        <is>
          <t>WP MR INS 232</t>
        </is>
      </c>
      <c r="C1285" s="25" t="inlineStr">
        <is>
          <t>Marshalls - Inspire II WallpapersINS 232</t>
        </is>
      </c>
      <c r="D1285" s="23" t="inlineStr">
        <is>
          <t>Marshalls</t>
        </is>
      </c>
      <c r="E1285" s="43" t="n">
        <v>46125</v>
      </c>
      <c r="F1285" s="26" t="inlineStr">
        <is>
          <t>Sunil CR</t>
        </is>
      </c>
      <c r="G1285" s="26" t="inlineStr">
        <is>
          <t>Yes</t>
        </is>
      </c>
      <c r="H1285" s="26" t="inlineStr">
        <is>
          <t>No</t>
        </is>
      </c>
      <c r="I1285" s="26" t="inlineStr">
        <is>
          <t>Good finish</t>
        </is>
      </c>
      <c r="J1285" s="26" t="inlineStr">
        <is>
          <t>Yes</t>
        </is>
      </c>
      <c r="K1285" s="27" t="n"/>
      <c r="L1285" s="28" t="inlineStr">
        <is>
          <t>No</t>
        </is>
      </c>
      <c r="M1285" s="29">
        <f>IF(E1285="","",IF(H1285="Yes","❌ Disc",IF(G1285="No","⚠ Missing",IF(J1285="Yes","✓ OK","⚠ Check"))))</f>
        <v/>
      </c>
      <c r="N1285" s="43" t="n">
        <v>46193</v>
      </c>
      <c r="O1285" s="26" t="inlineStr">
        <is>
          <t>Sunil CR</t>
        </is>
      </c>
      <c r="P1285" s="26" t="inlineStr">
        <is>
          <t>Yes</t>
        </is>
      </c>
      <c r="Q1285" s="26" t="inlineStr">
        <is>
          <t>No</t>
        </is>
      </c>
      <c r="R1285" s="26" t="inlineStr">
        <is>
          <t>Good finish</t>
        </is>
      </c>
      <c r="S1285" s="26" t="inlineStr">
        <is>
          <t>Yes</t>
        </is>
      </c>
      <c r="T1285" s="27" t="n"/>
      <c r="U1285" s="28" t="inlineStr">
        <is>
          <t>No</t>
        </is>
      </c>
      <c r="V1285" s="29">
        <f>IF(N1285="","",IF(Q1285="Yes","❌ Disc",IF(P1285="No","⚠ Missing",IF(S1285="Yes","✓ OK","⚠ Check"))))</f>
        <v/>
      </c>
      <c r="W1285" s="65" t="n">
        <v>46248</v>
      </c>
      <c r="X1285" s="30" t="inlineStr">
        <is>
          <t>Sunil CR</t>
        </is>
      </c>
      <c r="Y1285" s="30" t="inlineStr">
        <is>
          <t>Yes</t>
        </is>
      </c>
      <c r="Z1285" s="30" t="n"/>
      <c r="AA1285" s="30" t="inlineStr">
        <is>
          <t>Good finish</t>
        </is>
      </c>
      <c r="AB1285" s="30" t="inlineStr">
        <is>
          <t>Yes</t>
        </is>
      </c>
      <c r="AC1285" s="27" t="n"/>
      <c r="AD1285" s="31" t="inlineStr">
        <is>
          <t>No</t>
        </is>
      </c>
      <c r="AE1285" s="32">
        <f>IF(W1285="","",IF(Z1285="Yes","❌ Disc",IF(Y1285="No","⚠ Missing",IF(AB1285="Yes","✓ OK","⚠ Check"))))</f>
        <v/>
      </c>
      <c r="AF1285" s="33" t="n"/>
      <c r="AG1285" s="33" t="n"/>
      <c r="AH1285" s="33" t="n"/>
      <c r="AI1285" s="33" t="n"/>
      <c r="AJ1285" s="33" t="n"/>
      <c r="AK1285" s="33" t="n"/>
      <c r="AL1285" s="27" t="n"/>
      <c r="AM1285" s="34" t="n"/>
      <c r="AN1285" s="35">
        <f>IF(AF1285="","",IF(AI1285="Yes","❌ Disc",IF(AH1285="No","⚠ Missing",IF(AK1285="Yes","✓ OK","⚠ Check"))))</f>
        <v/>
      </c>
      <c r="AO1285" s="36" t="n"/>
      <c r="AP1285" s="36" t="n"/>
      <c r="AQ1285" s="36" t="n"/>
      <c r="AR1285" s="36" t="n"/>
      <c r="AS1285" s="36" t="n"/>
      <c r="AT1285" s="36" t="n"/>
      <c r="AU1285" s="27" t="n"/>
      <c r="AV1285" s="37" t="n"/>
      <c r="AW1285" s="38">
        <f>IF(AO1285="","",IF(AR1285="Yes","❌ Disc",IF(AQ1285="No","⚠ Missing",IF(AT1285="Yes","✓ OK","⚠ Check"))))</f>
        <v/>
      </c>
    </row>
    <row r="1286" ht="18" customHeight="1" s="46">
      <c r="A1286" s="39" t="n">
        <v>1282</v>
      </c>
      <c r="B1286" s="40" t="inlineStr">
        <is>
          <t>WP MR INS 233</t>
        </is>
      </c>
      <c r="C1286" s="41" t="inlineStr">
        <is>
          <t>Marshalls - Inspire II WallpapersINS 233</t>
        </is>
      </c>
      <c r="D1286" s="39" t="inlineStr">
        <is>
          <t>Marshalls</t>
        </is>
      </c>
      <c r="E1286" s="43" t="n">
        <v>46125</v>
      </c>
      <c r="F1286" s="26" t="inlineStr">
        <is>
          <t>Sunil CR</t>
        </is>
      </c>
      <c r="G1286" s="26" t="inlineStr">
        <is>
          <t>Yes</t>
        </is>
      </c>
      <c r="H1286" s="26" t="inlineStr">
        <is>
          <t>No</t>
        </is>
      </c>
      <c r="I1286" s="26" t="inlineStr">
        <is>
          <t>Good finish</t>
        </is>
      </c>
      <c r="J1286" s="26" t="inlineStr">
        <is>
          <t>Yes</t>
        </is>
      </c>
      <c r="K1286" s="27" t="n"/>
      <c r="L1286" s="28" t="inlineStr">
        <is>
          <t>No</t>
        </is>
      </c>
      <c r="M1286" s="29">
        <f>IF(E1286="","",IF(H1286="Yes","❌ Disc",IF(G1286="No","⚠ Missing",IF(J1286="Yes","✓ OK","⚠ Check"))))</f>
        <v/>
      </c>
      <c r="N1286" s="43" t="n">
        <v>46193</v>
      </c>
      <c r="O1286" s="26" t="inlineStr">
        <is>
          <t>Sunil CR</t>
        </is>
      </c>
      <c r="P1286" s="26" t="inlineStr">
        <is>
          <t>Yes</t>
        </is>
      </c>
      <c r="Q1286" s="26" t="inlineStr">
        <is>
          <t>No</t>
        </is>
      </c>
      <c r="R1286" s="26" t="inlineStr">
        <is>
          <t>Good finish</t>
        </is>
      </c>
      <c r="S1286" s="26" t="inlineStr">
        <is>
          <t>Yes</t>
        </is>
      </c>
      <c r="T1286" s="27" t="n"/>
      <c r="U1286" s="28" t="inlineStr">
        <is>
          <t>No</t>
        </is>
      </c>
      <c r="V1286" s="29">
        <f>IF(N1286="","",IF(Q1286="Yes","❌ Disc",IF(P1286="No","⚠ Missing",IF(S1286="Yes","✓ OK","⚠ Check"))))</f>
        <v/>
      </c>
      <c r="W1286" s="65" t="n">
        <v>46248</v>
      </c>
      <c r="X1286" s="30" t="inlineStr">
        <is>
          <t>Sunil CR</t>
        </is>
      </c>
      <c r="Y1286" s="30" t="inlineStr">
        <is>
          <t>Yes</t>
        </is>
      </c>
      <c r="Z1286" s="30" t="n"/>
      <c r="AA1286" s="30" t="inlineStr">
        <is>
          <t>Good finish</t>
        </is>
      </c>
      <c r="AB1286" s="30" t="inlineStr">
        <is>
          <t>Yes</t>
        </is>
      </c>
      <c r="AC1286" s="27" t="n"/>
      <c r="AD1286" s="31" t="inlineStr">
        <is>
          <t>No</t>
        </is>
      </c>
      <c r="AE1286" s="32">
        <f>IF(W1286="","",IF(Z1286="Yes","❌ Disc",IF(Y1286="No","⚠ Missing",IF(AB1286="Yes","✓ OK","⚠ Check"))))</f>
        <v/>
      </c>
      <c r="AF1286" s="33" t="n"/>
      <c r="AG1286" s="33" t="n"/>
      <c r="AH1286" s="33" t="n"/>
      <c r="AI1286" s="33" t="n"/>
      <c r="AJ1286" s="33" t="n"/>
      <c r="AK1286" s="33" t="n"/>
      <c r="AL1286" s="27" t="n"/>
      <c r="AM1286" s="34" t="n"/>
      <c r="AN1286" s="35">
        <f>IF(AF1286="","",IF(AI1286="Yes","❌ Disc",IF(AH1286="No","⚠ Missing",IF(AK1286="Yes","✓ OK","⚠ Check"))))</f>
        <v/>
      </c>
      <c r="AO1286" s="36" t="n"/>
      <c r="AP1286" s="36" t="n"/>
      <c r="AQ1286" s="36" t="n"/>
      <c r="AR1286" s="36" t="n"/>
      <c r="AS1286" s="36" t="n"/>
      <c r="AT1286" s="36" t="n"/>
      <c r="AU1286" s="27" t="n"/>
      <c r="AV1286" s="37" t="n"/>
      <c r="AW1286" s="38">
        <f>IF(AO1286="","",IF(AR1286="Yes","❌ Disc",IF(AQ1286="No","⚠ Missing",IF(AT1286="Yes","✓ OK","⚠ Check"))))</f>
        <v/>
      </c>
    </row>
    <row r="1287" ht="18" customHeight="1" s="46">
      <c r="A1287" s="23" t="n">
        <v>1283</v>
      </c>
      <c r="B1287" s="24" t="inlineStr">
        <is>
          <t>WP MR INS 234</t>
        </is>
      </c>
      <c r="C1287" s="25" t="inlineStr">
        <is>
          <t>Marshalls - Inspire II WallpapersINS 234</t>
        </is>
      </c>
      <c r="D1287" s="23" t="inlineStr">
        <is>
          <t>Marshalls</t>
        </is>
      </c>
      <c r="E1287" s="43" t="n">
        <v>46125</v>
      </c>
      <c r="F1287" s="26" t="inlineStr">
        <is>
          <t>Sunil CR</t>
        </is>
      </c>
      <c r="G1287" s="26" t="inlineStr">
        <is>
          <t>Yes</t>
        </is>
      </c>
      <c r="H1287" s="26" t="inlineStr">
        <is>
          <t>No</t>
        </is>
      </c>
      <c r="I1287" s="26" t="inlineStr">
        <is>
          <t>Good finish</t>
        </is>
      </c>
      <c r="J1287" s="26" t="inlineStr">
        <is>
          <t>Yes</t>
        </is>
      </c>
      <c r="K1287" s="27" t="n"/>
      <c r="L1287" s="28" t="inlineStr">
        <is>
          <t>No</t>
        </is>
      </c>
      <c r="M1287" s="29">
        <f>IF(E1287="","",IF(H1287="Yes","❌ Disc",IF(G1287="No","⚠ Missing",IF(J1287="Yes","✓ OK","⚠ Check"))))</f>
        <v/>
      </c>
      <c r="N1287" s="43" t="n">
        <v>46193</v>
      </c>
      <c r="O1287" s="26" t="inlineStr">
        <is>
          <t>Sunil CR</t>
        </is>
      </c>
      <c r="P1287" s="26" t="inlineStr">
        <is>
          <t>Yes</t>
        </is>
      </c>
      <c r="Q1287" s="26" t="inlineStr">
        <is>
          <t>No</t>
        </is>
      </c>
      <c r="R1287" s="26" t="inlineStr">
        <is>
          <t>Good finish</t>
        </is>
      </c>
      <c r="S1287" s="26" t="inlineStr">
        <is>
          <t>Yes</t>
        </is>
      </c>
      <c r="T1287" s="27" t="n"/>
      <c r="U1287" s="28" t="inlineStr">
        <is>
          <t>No</t>
        </is>
      </c>
      <c r="V1287" s="29">
        <f>IF(N1287="","",IF(Q1287="Yes","❌ Disc",IF(P1287="No","⚠ Missing",IF(S1287="Yes","✓ OK","⚠ Check"))))</f>
        <v/>
      </c>
      <c r="W1287" s="65" t="n">
        <v>46248</v>
      </c>
      <c r="X1287" s="30" t="inlineStr">
        <is>
          <t>Sunil CR</t>
        </is>
      </c>
      <c r="Y1287" s="30" t="inlineStr">
        <is>
          <t>Yes</t>
        </is>
      </c>
      <c r="Z1287" s="30" t="n"/>
      <c r="AA1287" s="30" t="inlineStr">
        <is>
          <t>Good finish</t>
        </is>
      </c>
      <c r="AB1287" s="30" t="inlineStr">
        <is>
          <t>Yes</t>
        </is>
      </c>
      <c r="AC1287" s="27" t="n"/>
      <c r="AD1287" s="31" t="inlineStr">
        <is>
          <t>No</t>
        </is>
      </c>
      <c r="AE1287" s="32">
        <f>IF(W1287="","",IF(Z1287="Yes","❌ Disc",IF(Y1287="No","⚠ Missing",IF(AB1287="Yes","✓ OK","⚠ Check"))))</f>
        <v/>
      </c>
      <c r="AF1287" s="33" t="n"/>
      <c r="AG1287" s="33" t="n"/>
      <c r="AH1287" s="33" t="n"/>
      <c r="AI1287" s="33" t="n"/>
      <c r="AJ1287" s="33" t="n"/>
      <c r="AK1287" s="33" t="n"/>
      <c r="AL1287" s="27" t="n"/>
      <c r="AM1287" s="34" t="n"/>
      <c r="AN1287" s="35">
        <f>IF(AF1287="","",IF(AI1287="Yes","❌ Disc",IF(AH1287="No","⚠ Missing",IF(AK1287="Yes","✓ OK","⚠ Check"))))</f>
        <v/>
      </c>
      <c r="AO1287" s="36" t="n"/>
      <c r="AP1287" s="36" t="n"/>
      <c r="AQ1287" s="36" t="n"/>
      <c r="AR1287" s="36" t="n"/>
      <c r="AS1287" s="36" t="n"/>
      <c r="AT1287" s="36" t="n"/>
      <c r="AU1287" s="27" t="n"/>
      <c r="AV1287" s="37" t="n"/>
      <c r="AW1287" s="38">
        <f>IF(AO1287="","",IF(AR1287="Yes","❌ Disc",IF(AQ1287="No","⚠ Missing",IF(AT1287="Yes","✓ OK","⚠ Check"))))</f>
        <v/>
      </c>
    </row>
    <row r="1288" ht="18" customHeight="1" s="46">
      <c r="A1288" s="39" t="n">
        <v>1284</v>
      </c>
      <c r="B1288" s="40" t="inlineStr">
        <is>
          <t>WP MR INS 235</t>
        </is>
      </c>
      <c r="C1288" s="41" t="inlineStr">
        <is>
          <t>Marshalls - Inspire II WallpapersINS 235</t>
        </is>
      </c>
      <c r="D1288" s="39" t="inlineStr">
        <is>
          <t>Marshalls</t>
        </is>
      </c>
      <c r="E1288" s="43" t="n">
        <v>46125</v>
      </c>
      <c r="F1288" s="26" t="inlineStr">
        <is>
          <t>Sunil CR</t>
        </is>
      </c>
      <c r="G1288" s="26" t="inlineStr">
        <is>
          <t>Yes</t>
        </is>
      </c>
      <c r="H1288" s="26" t="inlineStr">
        <is>
          <t>No</t>
        </is>
      </c>
      <c r="I1288" s="26" t="inlineStr">
        <is>
          <t>Good finish</t>
        </is>
      </c>
      <c r="J1288" s="26" t="inlineStr">
        <is>
          <t>Yes</t>
        </is>
      </c>
      <c r="K1288" s="27" t="n"/>
      <c r="L1288" s="28" t="inlineStr">
        <is>
          <t>No</t>
        </is>
      </c>
      <c r="M1288" s="29">
        <f>IF(E1288="","",IF(H1288="Yes","❌ Disc",IF(G1288="No","⚠ Missing",IF(J1288="Yes","✓ OK","⚠ Check"))))</f>
        <v/>
      </c>
      <c r="N1288" s="43" t="n">
        <v>46193</v>
      </c>
      <c r="O1288" s="26" t="inlineStr">
        <is>
          <t>Sunil CR</t>
        </is>
      </c>
      <c r="P1288" s="26" t="inlineStr">
        <is>
          <t>Yes</t>
        </is>
      </c>
      <c r="Q1288" s="26" t="inlineStr">
        <is>
          <t>No</t>
        </is>
      </c>
      <c r="R1288" s="26" t="inlineStr">
        <is>
          <t>Good finish</t>
        </is>
      </c>
      <c r="S1288" s="26" t="inlineStr">
        <is>
          <t>Yes</t>
        </is>
      </c>
      <c r="T1288" s="27" t="n"/>
      <c r="U1288" s="28" t="inlineStr">
        <is>
          <t>No</t>
        </is>
      </c>
      <c r="V1288" s="29">
        <f>IF(N1288="","",IF(Q1288="Yes","❌ Disc",IF(P1288="No","⚠ Missing",IF(S1288="Yes","✓ OK","⚠ Check"))))</f>
        <v/>
      </c>
      <c r="W1288" s="65" t="n">
        <v>46248</v>
      </c>
      <c r="X1288" s="30" t="inlineStr">
        <is>
          <t>Sunil CR</t>
        </is>
      </c>
      <c r="Y1288" s="30" t="inlineStr">
        <is>
          <t>Yes</t>
        </is>
      </c>
      <c r="Z1288" s="30" t="n"/>
      <c r="AA1288" s="30" t="inlineStr">
        <is>
          <t>Good finish</t>
        </is>
      </c>
      <c r="AB1288" s="30" t="inlineStr">
        <is>
          <t>Yes</t>
        </is>
      </c>
      <c r="AC1288" s="27" t="n"/>
      <c r="AD1288" s="31" t="inlineStr">
        <is>
          <t>No</t>
        </is>
      </c>
      <c r="AE1288" s="32">
        <f>IF(W1288="","",IF(Z1288="Yes","❌ Disc",IF(Y1288="No","⚠ Missing",IF(AB1288="Yes","✓ OK","⚠ Check"))))</f>
        <v/>
      </c>
      <c r="AF1288" s="33" t="n"/>
      <c r="AG1288" s="33" t="n"/>
      <c r="AH1288" s="33" t="n"/>
      <c r="AI1288" s="33" t="n"/>
      <c r="AJ1288" s="33" t="n"/>
      <c r="AK1288" s="33" t="n"/>
      <c r="AL1288" s="27" t="n"/>
      <c r="AM1288" s="34" t="n"/>
      <c r="AN1288" s="35">
        <f>IF(AF1288="","",IF(AI1288="Yes","❌ Disc",IF(AH1288="No","⚠ Missing",IF(AK1288="Yes","✓ OK","⚠ Check"))))</f>
        <v/>
      </c>
      <c r="AO1288" s="36" t="n"/>
      <c r="AP1288" s="36" t="n"/>
      <c r="AQ1288" s="36" t="n"/>
      <c r="AR1288" s="36" t="n"/>
      <c r="AS1288" s="36" t="n"/>
      <c r="AT1288" s="36" t="n"/>
      <c r="AU1288" s="27" t="n"/>
      <c r="AV1288" s="37" t="n"/>
      <c r="AW1288" s="38">
        <f>IF(AO1288="","",IF(AR1288="Yes","❌ Disc",IF(AQ1288="No","⚠ Missing",IF(AT1288="Yes","✓ OK","⚠ Check"))))</f>
        <v/>
      </c>
    </row>
    <row r="1289" ht="18" customHeight="1" s="46">
      <c r="A1289" s="23" t="n">
        <v>1285</v>
      </c>
      <c r="B1289" s="24" t="inlineStr">
        <is>
          <t>WP MR INS 236</t>
        </is>
      </c>
      <c r="C1289" s="25" t="inlineStr">
        <is>
          <t>Marshalls - Inspire II WallpapersINS 236</t>
        </is>
      </c>
      <c r="D1289" s="23" t="inlineStr">
        <is>
          <t>Marshalls</t>
        </is>
      </c>
      <c r="E1289" s="43" t="n">
        <v>46125</v>
      </c>
      <c r="F1289" s="26" t="inlineStr">
        <is>
          <t>Sunil CR</t>
        </is>
      </c>
      <c r="G1289" s="26" t="inlineStr">
        <is>
          <t>Yes</t>
        </is>
      </c>
      <c r="H1289" s="26" t="inlineStr">
        <is>
          <t>No</t>
        </is>
      </c>
      <c r="I1289" s="26" t="inlineStr">
        <is>
          <t>Good finish</t>
        </is>
      </c>
      <c r="J1289" s="26" t="inlineStr">
        <is>
          <t>Yes</t>
        </is>
      </c>
      <c r="K1289" s="27" t="n"/>
      <c r="L1289" s="28" t="inlineStr">
        <is>
          <t>No</t>
        </is>
      </c>
      <c r="M1289" s="29">
        <f>IF(E1289="","",IF(H1289="Yes","❌ Disc",IF(G1289="No","⚠ Missing",IF(J1289="Yes","✓ OK","⚠ Check"))))</f>
        <v/>
      </c>
      <c r="N1289" s="43" t="n">
        <v>46193</v>
      </c>
      <c r="O1289" s="26" t="inlineStr">
        <is>
          <t>Sunil CR</t>
        </is>
      </c>
      <c r="P1289" s="26" t="inlineStr">
        <is>
          <t>Yes</t>
        </is>
      </c>
      <c r="Q1289" s="26" t="inlineStr">
        <is>
          <t>No</t>
        </is>
      </c>
      <c r="R1289" s="26" t="inlineStr">
        <is>
          <t>Good finish</t>
        </is>
      </c>
      <c r="S1289" s="26" t="inlineStr">
        <is>
          <t>Yes</t>
        </is>
      </c>
      <c r="T1289" s="27" t="n"/>
      <c r="U1289" s="28" t="inlineStr">
        <is>
          <t>No</t>
        </is>
      </c>
      <c r="V1289" s="29">
        <f>IF(N1289="","",IF(Q1289="Yes","❌ Disc",IF(P1289="No","⚠ Missing",IF(S1289="Yes","✓ OK","⚠ Check"))))</f>
        <v/>
      </c>
      <c r="W1289" s="65" t="n">
        <v>46248</v>
      </c>
      <c r="X1289" s="30" t="inlineStr">
        <is>
          <t>Sunil CR</t>
        </is>
      </c>
      <c r="Y1289" s="30" t="inlineStr">
        <is>
          <t>Yes</t>
        </is>
      </c>
      <c r="Z1289" s="30" t="n"/>
      <c r="AA1289" s="30" t="inlineStr">
        <is>
          <t>Good finish</t>
        </is>
      </c>
      <c r="AB1289" s="30" t="inlineStr">
        <is>
          <t>Yes</t>
        </is>
      </c>
      <c r="AC1289" s="27" t="n"/>
      <c r="AD1289" s="31" t="inlineStr">
        <is>
          <t>No</t>
        </is>
      </c>
      <c r="AE1289" s="32">
        <f>IF(W1289="","",IF(Z1289="Yes","❌ Disc",IF(Y1289="No","⚠ Missing",IF(AB1289="Yes","✓ OK","⚠ Check"))))</f>
        <v/>
      </c>
      <c r="AF1289" s="33" t="n"/>
      <c r="AG1289" s="33" t="n"/>
      <c r="AH1289" s="33" t="n"/>
      <c r="AI1289" s="33" t="n"/>
      <c r="AJ1289" s="33" t="n"/>
      <c r="AK1289" s="33" t="n"/>
      <c r="AL1289" s="27" t="n"/>
      <c r="AM1289" s="34" t="n"/>
      <c r="AN1289" s="35">
        <f>IF(AF1289="","",IF(AI1289="Yes","❌ Disc",IF(AH1289="No","⚠ Missing",IF(AK1289="Yes","✓ OK","⚠ Check"))))</f>
        <v/>
      </c>
      <c r="AO1289" s="36" t="n"/>
      <c r="AP1289" s="36" t="n"/>
      <c r="AQ1289" s="36" t="n"/>
      <c r="AR1289" s="36" t="n"/>
      <c r="AS1289" s="36" t="n"/>
      <c r="AT1289" s="36" t="n"/>
      <c r="AU1289" s="27" t="n"/>
      <c r="AV1289" s="37" t="n"/>
      <c r="AW1289" s="38">
        <f>IF(AO1289="","",IF(AR1289="Yes","❌ Disc",IF(AQ1289="No","⚠ Missing",IF(AT1289="Yes","✓ OK","⚠ Check"))))</f>
        <v/>
      </c>
    </row>
    <row r="1290" ht="18" customHeight="1" s="46">
      <c r="A1290" s="39" t="n">
        <v>1286</v>
      </c>
      <c r="B1290" s="40" t="inlineStr">
        <is>
          <t>WP MR INS 237</t>
        </is>
      </c>
      <c r="C1290" s="41" t="inlineStr">
        <is>
          <t>Marshalls - Inspire II WallpapersINS 237</t>
        </is>
      </c>
      <c r="D1290" s="39" t="inlineStr">
        <is>
          <t>Marshalls</t>
        </is>
      </c>
      <c r="E1290" s="43" t="n">
        <v>46125</v>
      </c>
      <c r="F1290" s="26" t="inlineStr">
        <is>
          <t>Sunil CR</t>
        </is>
      </c>
      <c r="G1290" s="26" t="inlineStr">
        <is>
          <t>Yes</t>
        </is>
      </c>
      <c r="H1290" s="26" t="inlineStr">
        <is>
          <t>No</t>
        </is>
      </c>
      <c r="I1290" s="26" t="inlineStr">
        <is>
          <t>Good finish</t>
        </is>
      </c>
      <c r="J1290" s="26" t="inlineStr">
        <is>
          <t>Yes</t>
        </is>
      </c>
      <c r="K1290" s="27" t="n"/>
      <c r="L1290" s="28" t="inlineStr">
        <is>
          <t>No</t>
        </is>
      </c>
      <c r="M1290" s="29">
        <f>IF(E1290="","",IF(H1290="Yes","❌ Disc",IF(G1290="No","⚠ Missing",IF(J1290="Yes","✓ OK","⚠ Check"))))</f>
        <v/>
      </c>
      <c r="N1290" s="43" t="n">
        <v>46193</v>
      </c>
      <c r="O1290" s="26" t="inlineStr">
        <is>
          <t>Sunil CR</t>
        </is>
      </c>
      <c r="P1290" s="26" t="inlineStr">
        <is>
          <t>Yes</t>
        </is>
      </c>
      <c r="Q1290" s="26" t="inlineStr">
        <is>
          <t>No</t>
        </is>
      </c>
      <c r="R1290" s="26" t="inlineStr">
        <is>
          <t>Good finish</t>
        </is>
      </c>
      <c r="S1290" s="26" t="inlineStr">
        <is>
          <t>Yes</t>
        </is>
      </c>
      <c r="T1290" s="27" t="n"/>
      <c r="U1290" s="28" t="inlineStr">
        <is>
          <t>No</t>
        </is>
      </c>
      <c r="V1290" s="29">
        <f>IF(N1290="","",IF(Q1290="Yes","❌ Disc",IF(P1290="No","⚠ Missing",IF(S1290="Yes","✓ OK","⚠ Check"))))</f>
        <v/>
      </c>
      <c r="W1290" s="65" t="n">
        <v>46248</v>
      </c>
      <c r="X1290" s="30" t="inlineStr">
        <is>
          <t>Sunil CR</t>
        </is>
      </c>
      <c r="Y1290" s="30" t="inlineStr">
        <is>
          <t>Yes</t>
        </is>
      </c>
      <c r="Z1290" s="30" t="n"/>
      <c r="AA1290" s="30" t="inlineStr">
        <is>
          <t>Good finish</t>
        </is>
      </c>
      <c r="AB1290" s="30" t="inlineStr">
        <is>
          <t>Yes</t>
        </is>
      </c>
      <c r="AC1290" s="27" t="n"/>
      <c r="AD1290" s="31" t="inlineStr">
        <is>
          <t>No</t>
        </is>
      </c>
      <c r="AE1290" s="32">
        <f>IF(W1290="","",IF(Z1290="Yes","❌ Disc",IF(Y1290="No","⚠ Missing",IF(AB1290="Yes","✓ OK","⚠ Check"))))</f>
        <v/>
      </c>
      <c r="AF1290" s="33" t="n"/>
      <c r="AG1290" s="33" t="n"/>
      <c r="AH1290" s="33" t="n"/>
      <c r="AI1290" s="33" t="n"/>
      <c r="AJ1290" s="33" t="n"/>
      <c r="AK1290" s="33" t="n"/>
      <c r="AL1290" s="27" t="n"/>
      <c r="AM1290" s="34" t="n"/>
      <c r="AN1290" s="35">
        <f>IF(AF1290="","",IF(AI1290="Yes","❌ Disc",IF(AH1290="No","⚠ Missing",IF(AK1290="Yes","✓ OK","⚠ Check"))))</f>
        <v/>
      </c>
      <c r="AO1290" s="36" t="n"/>
      <c r="AP1290" s="36" t="n"/>
      <c r="AQ1290" s="36" t="n"/>
      <c r="AR1290" s="36" t="n"/>
      <c r="AS1290" s="36" t="n"/>
      <c r="AT1290" s="36" t="n"/>
      <c r="AU1290" s="27" t="n"/>
      <c r="AV1290" s="37" t="n"/>
      <c r="AW1290" s="38">
        <f>IF(AO1290="","",IF(AR1290="Yes","❌ Disc",IF(AQ1290="No","⚠ Missing",IF(AT1290="Yes","✓ OK","⚠ Check"))))</f>
        <v/>
      </c>
    </row>
    <row r="1291" ht="18" customHeight="1" s="46">
      <c r="A1291" s="23" t="n">
        <v>1287</v>
      </c>
      <c r="B1291" s="24" t="inlineStr">
        <is>
          <t>WP MR INS 238</t>
        </is>
      </c>
      <c r="C1291" s="25" t="inlineStr">
        <is>
          <t>Marshalls Inspire II Wallpaper INS 238</t>
        </is>
      </c>
      <c r="D1291" s="23" t="inlineStr">
        <is>
          <t>Marshalls</t>
        </is>
      </c>
      <c r="E1291" s="43" t="n">
        <v>46125</v>
      </c>
      <c r="F1291" s="26" t="inlineStr">
        <is>
          <t>Sunil CR</t>
        </is>
      </c>
      <c r="G1291" s="26" t="inlineStr">
        <is>
          <t>Yes</t>
        </is>
      </c>
      <c r="H1291" s="26" t="inlineStr">
        <is>
          <t>No</t>
        </is>
      </c>
      <c r="I1291" s="26" t="inlineStr">
        <is>
          <t>Good finish</t>
        </is>
      </c>
      <c r="J1291" s="26" t="inlineStr">
        <is>
          <t>Yes</t>
        </is>
      </c>
      <c r="K1291" s="27" t="n"/>
      <c r="L1291" s="28" t="inlineStr">
        <is>
          <t>No</t>
        </is>
      </c>
      <c r="M1291" s="29">
        <f>IF(E1291="","",IF(H1291="Yes","❌ Disc",IF(G1291="No","⚠ Missing",IF(J1291="Yes","✓ OK","⚠ Check"))))</f>
        <v/>
      </c>
      <c r="N1291" s="43" t="n">
        <v>46193</v>
      </c>
      <c r="O1291" s="26" t="inlineStr">
        <is>
          <t>Sunil CR</t>
        </is>
      </c>
      <c r="P1291" s="26" t="inlineStr">
        <is>
          <t>Yes</t>
        </is>
      </c>
      <c r="Q1291" s="26" t="inlineStr">
        <is>
          <t>No</t>
        </is>
      </c>
      <c r="R1291" s="26" t="inlineStr">
        <is>
          <t>Good finish</t>
        </is>
      </c>
      <c r="S1291" s="26" t="inlineStr">
        <is>
          <t>Yes</t>
        </is>
      </c>
      <c r="T1291" s="27" t="n"/>
      <c r="U1291" s="28" t="inlineStr">
        <is>
          <t>No</t>
        </is>
      </c>
      <c r="V1291" s="29">
        <f>IF(N1291="","",IF(Q1291="Yes","❌ Disc",IF(P1291="No","⚠ Missing",IF(S1291="Yes","✓ OK","⚠ Check"))))</f>
        <v/>
      </c>
      <c r="W1291" s="65" t="n">
        <v>46248</v>
      </c>
      <c r="X1291" s="30" t="inlineStr">
        <is>
          <t>Sunil CR</t>
        </is>
      </c>
      <c r="Y1291" s="30" t="inlineStr">
        <is>
          <t>Yes</t>
        </is>
      </c>
      <c r="Z1291" s="30" t="n"/>
      <c r="AA1291" s="30" t="inlineStr">
        <is>
          <t>Good finish</t>
        </is>
      </c>
      <c r="AB1291" s="30" t="inlineStr">
        <is>
          <t>Yes</t>
        </is>
      </c>
      <c r="AC1291" s="27" t="n"/>
      <c r="AD1291" s="31" t="inlineStr">
        <is>
          <t>No</t>
        </is>
      </c>
      <c r="AE1291" s="32">
        <f>IF(W1291="","",IF(Z1291="Yes","❌ Disc",IF(Y1291="No","⚠ Missing",IF(AB1291="Yes","✓ OK","⚠ Check"))))</f>
        <v/>
      </c>
      <c r="AF1291" s="33" t="n"/>
      <c r="AG1291" s="33" t="n"/>
      <c r="AH1291" s="33" t="n"/>
      <c r="AI1291" s="33" t="n"/>
      <c r="AJ1291" s="33" t="n"/>
      <c r="AK1291" s="33" t="n"/>
      <c r="AL1291" s="27" t="n"/>
      <c r="AM1291" s="34" t="n"/>
      <c r="AN1291" s="35">
        <f>IF(AF1291="","",IF(AI1291="Yes","❌ Disc",IF(AH1291="No","⚠ Missing",IF(AK1291="Yes","✓ OK","⚠ Check"))))</f>
        <v/>
      </c>
      <c r="AO1291" s="36" t="n"/>
      <c r="AP1291" s="36" t="n"/>
      <c r="AQ1291" s="36" t="n"/>
      <c r="AR1291" s="36" t="n"/>
      <c r="AS1291" s="36" t="n"/>
      <c r="AT1291" s="36" t="n"/>
      <c r="AU1291" s="27" t="n"/>
      <c r="AV1291" s="37" t="n"/>
      <c r="AW1291" s="38">
        <f>IF(AO1291="","",IF(AR1291="Yes","❌ Disc",IF(AQ1291="No","⚠ Missing",IF(AT1291="Yes","✓ OK","⚠ Check"))))</f>
        <v/>
      </c>
    </row>
    <row r="1292" ht="18" customHeight="1" s="46">
      <c r="A1292" s="39" t="n">
        <v>1288</v>
      </c>
      <c r="B1292" s="40" t="inlineStr">
        <is>
          <t>WP MR INS 239</t>
        </is>
      </c>
      <c r="C1292" s="41" t="inlineStr">
        <is>
          <t>Marshalls Inspire II Wallpaper INS 239</t>
        </is>
      </c>
      <c r="D1292" s="39" t="inlineStr">
        <is>
          <t>Marshalls</t>
        </is>
      </c>
      <c r="E1292" s="43" t="n">
        <v>46125</v>
      </c>
      <c r="F1292" s="26" t="inlineStr">
        <is>
          <t>Sunil CR</t>
        </is>
      </c>
      <c r="G1292" s="26" t="inlineStr">
        <is>
          <t>Yes</t>
        </is>
      </c>
      <c r="H1292" s="26" t="inlineStr">
        <is>
          <t>No</t>
        </is>
      </c>
      <c r="I1292" s="26" t="inlineStr">
        <is>
          <t>Good finish</t>
        </is>
      </c>
      <c r="J1292" s="26" t="inlineStr">
        <is>
          <t>Yes</t>
        </is>
      </c>
      <c r="K1292" s="27" t="n"/>
      <c r="L1292" s="28" t="inlineStr">
        <is>
          <t>No</t>
        </is>
      </c>
      <c r="M1292" s="29">
        <f>IF(E1292="","",IF(H1292="Yes","❌ Disc",IF(G1292="No","⚠ Missing",IF(J1292="Yes","✓ OK","⚠ Check"))))</f>
        <v/>
      </c>
      <c r="N1292" s="43" t="n">
        <v>46193</v>
      </c>
      <c r="O1292" s="26" t="inlineStr">
        <is>
          <t>Sunil CR</t>
        </is>
      </c>
      <c r="P1292" s="26" t="inlineStr">
        <is>
          <t>Yes</t>
        </is>
      </c>
      <c r="Q1292" s="26" t="inlineStr">
        <is>
          <t>No</t>
        </is>
      </c>
      <c r="R1292" s="26" t="inlineStr">
        <is>
          <t>Good finish</t>
        </is>
      </c>
      <c r="S1292" s="26" t="inlineStr">
        <is>
          <t>Yes</t>
        </is>
      </c>
      <c r="T1292" s="27" t="n"/>
      <c r="U1292" s="28" t="inlineStr">
        <is>
          <t>No</t>
        </is>
      </c>
      <c r="V1292" s="29">
        <f>IF(N1292="","",IF(Q1292="Yes","❌ Disc",IF(P1292="No","⚠ Missing",IF(S1292="Yes","✓ OK","⚠ Check"))))</f>
        <v/>
      </c>
      <c r="W1292" s="65" t="n">
        <v>46248</v>
      </c>
      <c r="X1292" s="30" t="inlineStr">
        <is>
          <t>Sunil CR</t>
        </is>
      </c>
      <c r="Y1292" s="30" t="inlineStr">
        <is>
          <t>Yes</t>
        </is>
      </c>
      <c r="Z1292" s="30" t="n"/>
      <c r="AA1292" s="30" t="inlineStr">
        <is>
          <t>Good finish</t>
        </is>
      </c>
      <c r="AB1292" s="30" t="inlineStr">
        <is>
          <t>Yes</t>
        </is>
      </c>
      <c r="AC1292" s="27" t="n"/>
      <c r="AD1292" s="31" t="inlineStr">
        <is>
          <t>No</t>
        </is>
      </c>
      <c r="AE1292" s="32">
        <f>IF(W1292="","",IF(Z1292="Yes","❌ Disc",IF(Y1292="No","⚠ Missing",IF(AB1292="Yes","✓ OK","⚠ Check"))))</f>
        <v/>
      </c>
      <c r="AF1292" s="33" t="n"/>
      <c r="AG1292" s="33" t="n"/>
      <c r="AH1292" s="33" t="n"/>
      <c r="AI1292" s="33" t="n"/>
      <c r="AJ1292" s="33" t="n"/>
      <c r="AK1292" s="33" t="n"/>
      <c r="AL1292" s="27" t="n"/>
      <c r="AM1292" s="34" t="n"/>
      <c r="AN1292" s="35">
        <f>IF(AF1292="","",IF(AI1292="Yes","❌ Disc",IF(AH1292="No","⚠ Missing",IF(AK1292="Yes","✓ OK","⚠ Check"))))</f>
        <v/>
      </c>
      <c r="AO1292" s="36" t="n"/>
      <c r="AP1292" s="36" t="n"/>
      <c r="AQ1292" s="36" t="n"/>
      <c r="AR1292" s="36" t="n"/>
      <c r="AS1292" s="36" t="n"/>
      <c r="AT1292" s="36" t="n"/>
      <c r="AU1292" s="27" t="n"/>
      <c r="AV1292" s="37" t="n"/>
      <c r="AW1292" s="38">
        <f>IF(AO1292="","",IF(AR1292="Yes","❌ Disc",IF(AQ1292="No","⚠ Missing",IF(AT1292="Yes","✓ OK","⚠ Check"))))</f>
        <v/>
      </c>
    </row>
    <row r="1293" ht="18" customHeight="1" s="46">
      <c r="A1293" s="23" t="n">
        <v>1289</v>
      </c>
      <c r="B1293" s="24" t="inlineStr">
        <is>
          <t>WP MR INS 241</t>
        </is>
      </c>
      <c r="C1293" s="25" t="inlineStr">
        <is>
          <t>Marshalls Inspire II Wallpaper INS 241</t>
        </is>
      </c>
      <c r="D1293" s="23" t="inlineStr">
        <is>
          <t>Marshalls</t>
        </is>
      </c>
      <c r="E1293" s="43" t="n">
        <v>46125</v>
      </c>
      <c r="F1293" s="26" t="inlineStr">
        <is>
          <t>Sunil CR</t>
        </is>
      </c>
      <c r="G1293" s="26" t="inlineStr">
        <is>
          <t>Yes</t>
        </is>
      </c>
      <c r="H1293" s="26" t="inlineStr">
        <is>
          <t>No</t>
        </is>
      </c>
      <c r="I1293" s="26" t="inlineStr">
        <is>
          <t>Good finish</t>
        </is>
      </c>
      <c r="J1293" s="26" t="inlineStr">
        <is>
          <t>Yes</t>
        </is>
      </c>
      <c r="K1293" s="27" t="n"/>
      <c r="L1293" s="28" t="inlineStr">
        <is>
          <t>No</t>
        </is>
      </c>
      <c r="M1293" s="29">
        <f>IF(E1293="","",IF(H1293="Yes","❌ Disc",IF(G1293="No","⚠ Missing",IF(J1293="Yes","✓ OK","⚠ Check"))))</f>
        <v/>
      </c>
      <c r="N1293" s="43" t="n">
        <v>46193</v>
      </c>
      <c r="O1293" s="26" t="inlineStr">
        <is>
          <t>Sunil CR</t>
        </is>
      </c>
      <c r="P1293" s="26" t="inlineStr">
        <is>
          <t>Yes</t>
        </is>
      </c>
      <c r="Q1293" s="26" t="inlineStr">
        <is>
          <t>No</t>
        </is>
      </c>
      <c r="R1293" s="26" t="inlineStr">
        <is>
          <t>Good finish</t>
        </is>
      </c>
      <c r="S1293" s="26" t="inlineStr">
        <is>
          <t>Yes</t>
        </is>
      </c>
      <c r="T1293" s="27" t="n"/>
      <c r="U1293" s="28" t="inlineStr">
        <is>
          <t>No</t>
        </is>
      </c>
      <c r="V1293" s="29">
        <f>IF(N1293="","",IF(Q1293="Yes","❌ Disc",IF(P1293="No","⚠ Missing",IF(S1293="Yes","✓ OK","⚠ Check"))))</f>
        <v/>
      </c>
      <c r="W1293" s="65" t="n">
        <v>46248</v>
      </c>
      <c r="X1293" s="30" t="inlineStr">
        <is>
          <t>Sunil CR</t>
        </is>
      </c>
      <c r="Y1293" s="30" t="inlineStr">
        <is>
          <t>Yes</t>
        </is>
      </c>
      <c r="Z1293" s="30" t="n"/>
      <c r="AA1293" s="30" t="inlineStr">
        <is>
          <t>Good finish</t>
        </is>
      </c>
      <c r="AB1293" s="30" t="inlineStr">
        <is>
          <t>Yes</t>
        </is>
      </c>
      <c r="AC1293" s="27" t="n"/>
      <c r="AD1293" s="31" t="inlineStr">
        <is>
          <t>No</t>
        </is>
      </c>
      <c r="AE1293" s="32">
        <f>IF(W1293="","",IF(Z1293="Yes","❌ Disc",IF(Y1293="No","⚠ Missing",IF(AB1293="Yes","✓ OK","⚠ Check"))))</f>
        <v/>
      </c>
      <c r="AF1293" s="33" t="n"/>
      <c r="AG1293" s="33" t="n"/>
      <c r="AH1293" s="33" t="n"/>
      <c r="AI1293" s="33" t="n"/>
      <c r="AJ1293" s="33" t="n"/>
      <c r="AK1293" s="33" t="n"/>
      <c r="AL1293" s="27" t="n"/>
      <c r="AM1293" s="34" t="n"/>
      <c r="AN1293" s="35">
        <f>IF(AF1293="","",IF(AI1293="Yes","❌ Disc",IF(AH1293="No","⚠ Missing",IF(AK1293="Yes","✓ OK","⚠ Check"))))</f>
        <v/>
      </c>
      <c r="AO1293" s="36" t="n"/>
      <c r="AP1293" s="36" t="n"/>
      <c r="AQ1293" s="36" t="n"/>
      <c r="AR1293" s="36" t="n"/>
      <c r="AS1293" s="36" t="n"/>
      <c r="AT1293" s="36" t="n"/>
      <c r="AU1293" s="27" t="n"/>
      <c r="AV1293" s="37" t="n"/>
      <c r="AW1293" s="38">
        <f>IF(AO1293="","",IF(AR1293="Yes","❌ Disc",IF(AQ1293="No","⚠ Missing",IF(AT1293="Yes","✓ OK","⚠ Check"))))</f>
        <v/>
      </c>
    </row>
    <row r="1294" ht="18" customHeight="1" s="46">
      <c r="A1294" s="39" t="n">
        <v>1290</v>
      </c>
      <c r="B1294" s="40" t="inlineStr">
        <is>
          <t>WP MR INS 242</t>
        </is>
      </c>
      <c r="C1294" s="41" t="inlineStr">
        <is>
          <t>Marshalls Inspire II Wallpaper INS 242</t>
        </is>
      </c>
      <c r="D1294" s="39" t="inlineStr">
        <is>
          <t>Marshalls</t>
        </is>
      </c>
      <c r="E1294" s="43" t="n">
        <v>46125</v>
      </c>
      <c r="F1294" s="26" t="inlineStr">
        <is>
          <t>Sunil CR</t>
        </is>
      </c>
      <c r="G1294" s="26" t="inlineStr">
        <is>
          <t>Yes</t>
        </is>
      </c>
      <c r="H1294" s="26" t="inlineStr">
        <is>
          <t>No</t>
        </is>
      </c>
      <c r="I1294" s="26" t="inlineStr">
        <is>
          <t>Good finish</t>
        </is>
      </c>
      <c r="J1294" s="26" t="inlineStr">
        <is>
          <t>Yes</t>
        </is>
      </c>
      <c r="K1294" s="27" t="n"/>
      <c r="L1294" s="28" t="inlineStr">
        <is>
          <t>No</t>
        </is>
      </c>
      <c r="M1294" s="29">
        <f>IF(E1294="","",IF(H1294="Yes","❌ Disc",IF(G1294="No","⚠ Missing",IF(J1294="Yes","✓ OK","⚠ Check"))))</f>
        <v/>
      </c>
      <c r="N1294" s="43" t="n">
        <v>46193</v>
      </c>
      <c r="O1294" s="26" t="inlineStr">
        <is>
          <t>Sunil CR</t>
        </is>
      </c>
      <c r="P1294" s="26" t="inlineStr">
        <is>
          <t>Yes</t>
        </is>
      </c>
      <c r="Q1294" s="26" t="inlineStr">
        <is>
          <t>No</t>
        </is>
      </c>
      <c r="R1294" s="26" t="inlineStr">
        <is>
          <t>Good finish</t>
        </is>
      </c>
      <c r="S1294" s="26" t="inlineStr">
        <is>
          <t>Yes</t>
        </is>
      </c>
      <c r="T1294" s="27" t="n"/>
      <c r="U1294" s="28" t="inlineStr">
        <is>
          <t>No</t>
        </is>
      </c>
      <c r="V1294" s="29">
        <f>IF(N1294="","",IF(Q1294="Yes","❌ Disc",IF(P1294="No","⚠ Missing",IF(S1294="Yes","✓ OK","⚠ Check"))))</f>
        <v/>
      </c>
      <c r="W1294" s="65" t="n">
        <v>46248</v>
      </c>
      <c r="X1294" s="30" t="inlineStr">
        <is>
          <t>Sunil CR</t>
        </is>
      </c>
      <c r="Y1294" s="30" t="inlineStr">
        <is>
          <t>Yes</t>
        </is>
      </c>
      <c r="Z1294" s="30" t="n"/>
      <c r="AA1294" s="30" t="inlineStr">
        <is>
          <t>Good finish</t>
        </is>
      </c>
      <c r="AB1294" s="30" t="inlineStr">
        <is>
          <t>Yes</t>
        </is>
      </c>
      <c r="AC1294" s="27" t="n"/>
      <c r="AD1294" s="31" t="inlineStr">
        <is>
          <t>No</t>
        </is>
      </c>
      <c r="AE1294" s="32">
        <f>IF(W1294="","",IF(Z1294="Yes","❌ Disc",IF(Y1294="No","⚠ Missing",IF(AB1294="Yes","✓ OK","⚠ Check"))))</f>
        <v/>
      </c>
      <c r="AF1294" s="33" t="n"/>
      <c r="AG1294" s="33" t="n"/>
      <c r="AH1294" s="33" t="n"/>
      <c r="AI1294" s="33" t="n"/>
      <c r="AJ1294" s="33" t="n"/>
      <c r="AK1294" s="33" t="n"/>
      <c r="AL1294" s="27" t="n"/>
      <c r="AM1294" s="34" t="n"/>
      <c r="AN1294" s="35">
        <f>IF(AF1294="","",IF(AI1294="Yes","❌ Disc",IF(AH1294="No","⚠ Missing",IF(AK1294="Yes","✓ OK","⚠ Check"))))</f>
        <v/>
      </c>
      <c r="AO1294" s="36" t="n"/>
      <c r="AP1294" s="36" t="n"/>
      <c r="AQ1294" s="36" t="n"/>
      <c r="AR1294" s="36" t="n"/>
      <c r="AS1294" s="36" t="n"/>
      <c r="AT1294" s="36" t="n"/>
      <c r="AU1294" s="27" t="n"/>
      <c r="AV1294" s="37" t="n"/>
      <c r="AW1294" s="38">
        <f>IF(AO1294="","",IF(AR1294="Yes","❌ Disc",IF(AQ1294="No","⚠ Missing",IF(AT1294="Yes","✓ OK","⚠ Check"))))</f>
        <v/>
      </c>
    </row>
    <row r="1295" ht="18" customHeight="1" s="46">
      <c r="A1295" s="23" t="n">
        <v>1291</v>
      </c>
      <c r="B1295" s="24" t="inlineStr">
        <is>
          <t>WP MR INS 243</t>
        </is>
      </c>
      <c r="C1295" s="25" t="inlineStr">
        <is>
          <t>Marshalls Inspire II Wallpaper INS 243</t>
        </is>
      </c>
      <c r="D1295" s="23" t="inlineStr">
        <is>
          <t>Marshalls</t>
        </is>
      </c>
      <c r="E1295" s="43" t="n">
        <v>46125</v>
      </c>
      <c r="F1295" s="26" t="inlineStr">
        <is>
          <t>Sunil CR</t>
        </is>
      </c>
      <c r="G1295" s="26" t="inlineStr">
        <is>
          <t>Yes</t>
        </is>
      </c>
      <c r="H1295" s="26" t="inlineStr">
        <is>
          <t>No</t>
        </is>
      </c>
      <c r="I1295" s="26" t="inlineStr">
        <is>
          <t>Good finish</t>
        </is>
      </c>
      <c r="J1295" s="26" t="inlineStr">
        <is>
          <t>Yes</t>
        </is>
      </c>
      <c r="K1295" s="27" t="n"/>
      <c r="L1295" s="28" t="inlineStr">
        <is>
          <t>No</t>
        </is>
      </c>
      <c r="M1295" s="29">
        <f>IF(E1295="","",IF(H1295="Yes","❌ Disc",IF(G1295="No","⚠ Missing",IF(J1295="Yes","✓ OK","⚠ Check"))))</f>
        <v/>
      </c>
      <c r="N1295" s="43" t="n">
        <v>46193</v>
      </c>
      <c r="O1295" s="26" t="inlineStr">
        <is>
          <t>Sunil CR</t>
        </is>
      </c>
      <c r="P1295" s="26" t="inlineStr">
        <is>
          <t>Yes</t>
        </is>
      </c>
      <c r="Q1295" s="26" t="inlineStr">
        <is>
          <t>No</t>
        </is>
      </c>
      <c r="R1295" s="26" t="inlineStr">
        <is>
          <t>Good finish</t>
        </is>
      </c>
      <c r="S1295" s="26" t="inlineStr">
        <is>
          <t>Yes</t>
        </is>
      </c>
      <c r="T1295" s="27" t="n"/>
      <c r="U1295" s="28" t="inlineStr">
        <is>
          <t>No</t>
        </is>
      </c>
      <c r="V1295" s="29">
        <f>IF(N1295="","",IF(Q1295="Yes","❌ Disc",IF(P1295="No","⚠ Missing",IF(S1295="Yes","✓ OK","⚠ Check"))))</f>
        <v/>
      </c>
      <c r="W1295" s="65" t="n">
        <v>46248</v>
      </c>
      <c r="X1295" s="30" t="inlineStr">
        <is>
          <t>Sunil CR</t>
        </is>
      </c>
      <c r="Y1295" s="30" t="inlineStr">
        <is>
          <t>Yes</t>
        </is>
      </c>
      <c r="Z1295" s="30" t="n"/>
      <c r="AA1295" s="30" t="inlineStr">
        <is>
          <t>Good finish</t>
        </is>
      </c>
      <c r="AB1295" s="30" t="inlineStr">
        <is>
          <t>Yes</t>
        </is>
      </c>
      <c r="AC1295" s="27" t="n"/>
      <c r="AD1295" s="31" t="inlineStr">
        <is>
          <t>No</t>
        </is>
      </c>
      <c r="AE1295" s="32">
        <f>IF(W1295="","",IF(Z1295="Yes","❌ Disc",IF(Y1295="No","⚠ Missing",IF(AB1295="Yes","✓ OK","⚠ Check"))))</f>
        <v/>
      </c>
      <c r="AF1295" s="33" t="n"/>
      <c r="AG1295" s="33" t="n"/>
      <c r="AH1295" s="33" t="n"/>
      <c r="AI1295" s="33" t="n"/>
      <c r="AJ1295" s="33" t="n"/>
      <c r="AK1295" s="33" t="n"/>
      <c r="AL1295" s="27" t="n"/>
      <c r="AM1295" s="34" t="n"/>
      <c r="AN1295" s="35">
        <f>IF(AF1295="","",IF(AI1295="Yes","❌ Disc",IF(AH1295="No","⚠ Missing",IF(AK1295="Yes","✓ OK","⚠ Check"))))</f>
        <v/>
      </c>
      <c r="AO1295" s="36" t="n"/>
      <c r="AP1295" s="36" t="n"/>
      <c r="AQ1295" s="36" t="n"/>
      <c r="AR1295" s="36" t="n"/>
      <c r="AS1295" s="36" t="n"/>
      <c r="AT1295" s="36" t="n"/>
      <c r="AU1295" s="27" t="n"/>
      <c r="AV1295" s="37" t="n"/>
      <c r="AW1295" s="38">
        <f>IF(AO1295="","",IF(AR1295="Yes","❌ Disc",IF(AQ1295="No","⚠ Missing",IF(AT1295="Yes","✓ OK","⚠ Check"))))</f>
        <v/>
      </c>
    </row>
    <row r="1296" ht="18" customHeight="1" s="46">
      <c r="A1296" s="39" t="n">
        <v>1292</v>
      </c>
      <c r="B1296" s="40" t="inlineStr">
        <is>
          <t>WP MR INS 244</t>
        </is>
      </c>
      <c r="C1296" s="41" t="inlineStr">
        <is>
          <t>Marshalls Inspire II Wallpaper INS 244</t>
        </is>
      </c>
      <c r="D1296" s="39" t="inlineStr">
        <is>
          <t>Marshalls</t>
        </is>
      </c>
      <c r="E1296" s="43" t="n">
        <v>46125</v>
      </c>
      <c r="F1296" s="26" t="inlineStr">
        <is>
          <t>Sunil CR</t>
        </is>
      </c>
      <c r="G1296" s="26" t="inlineStr">
        <is>
          <t>Yes</t>
        </is>
      </c>
      <c r="H1296" s="26" t="inlineStr">
        <is>
          <t>No</t>
        </is>
      </c>
      <c r="I1296" s="26" t="inlineStr">
        <is>
          <t>Good finish</t>
        </is>
      </c>
      <c r="J1296" s="26" t="inlineStr">
        <is>
          <t>Yes</t>
        </is>
      </c>
      <c r="K1296" s="27" t="n"/>
      <c r="L1296" s="28" t="inlineStr">
        <is>
          <t>No</t>
        </is>
      </c>
      <c r="M1296" s="29">
        <f>IF(E1296="","",IF(H1296="Yes","❌ Disc",IF(G1296="No","⚠ Missing",IF(J1296="Yes","✓ OK","⚠ Check"))))</f>
        <v/>
      </c>
      <c r="N1296" s="43" t="n">
        <v>46193</v>
      </c>
      <c r="O1296" s="26" t="inlineStr">
        <is>
          <t>Sunil CR</t>
        </is>
      </c>
      <c r="P1296" s="26" t="inlineStr">
        <is>
          <t>Yes</t>
        </is>
      </c>
      <c r="Q1296" s="26" t="inlineStr">
        <is>
          <t>No</t>
        </is>
      </c>
      <c r="R1296" s="26" t="inlineStr">
        <is>
          <t>Good finish</t>
        </is>
      </c>
      <c r="S1296" s="26" t="inlineStr">
        <is>
          <t>Yes</t>
        </is>
      </c>
      <c r="T1296" s="27" t="n"/>
      <c r="U1296" s="28" t="inlineStr">
        <is>
          <t>No</t>
        </is>
      </c>
      <c r="V1296" s="29">
        <f>IF(N1296="","",IF(Q1296="Yes","❌ Disc",IF(P1296="No","⚠ Missing",IF(S1296="Yes","✓ OK","⚠ Check"))))</f>
        <v/>
      </c>
      <c r="W1296" s="65" t="n">
        <v>46248</v>
      </c>
      <c r="X1296" s="30" t="inlineStr">
        <is>
          <t>Sunil CR</t>
        </is>
      </c>
      <c r="Y1296" s="30" t="inlineStr">
        <is>
          <t>Yes</t>
        </is>
      </c>
      <c r="Z1296" s="30" t="n"/>
      <c r="AA1296" s="30" t="inlineStr">
        <is>
          <t>Good finish</t>
        </is>
      </c>
      <c r="AB1296" s="30" t="inlineStr">
        <is>
          <t>Yes</t>
        </is>
      </c>
      <c r="AC1296" s="27" t="n"/>
      <c r="AD1296" s="31" t="inlineStr">
        <is>
          <t>No</t>
        </is>
      </c>
      <c r="AE1296" s="32">
        <f>IF(W1296="","",IF(Z1296="Yes","❌ Disc",IF(Y1296="No","⚠ Missing",IF(AB1296="Yes","✓ OK","⚠ Check"))))</f>
        <v/>
      </c>
      <c r="AF1296" s="33" t="n"/>
      <c r="AG1296" s="33" t="n"/>
      <c r="AH1296" s="33" t="n"/>
      <c r="AI1296" s="33" t="n"/>
      <c r="AJ1296" s="33" t="n"/>
      <c r="AK1296" s="33" t="n"/>
      <c r="AL1296" s="27" t="n"/>
      <c r="AM1296" s="34" t="n"/>
      <c r="AN1296" s="35">
        <f>IF(AF1296="","",IF(AI1296="Yes","❌ Disc",IF(AH1296="No","⚠ Missing",IF(AK1296="Yes","✓ OK","⚠ Check"))))</f>
        <v/>
      </c>
      <c r="AO1296" s="36" t="n"/>
      <c r="AP1296" s="36" t="n"/>
      <c r="AQ1296" s="36" t="n"/>
      <c r="AR1296" s="36" t="n"/>
      <c r="AS1296" s="36" t="n"/>
      <c r="AT1296" s="36" t="n"/>
      <c r="AU1296" s="27" t="n"/>
      <c r="AV1296" s="37" t="n"/>
      <c r="AW1296" s="38">
        <f>IF(AO1296="","",IF(AR1296="Yes","❌ Disc",IF(AQ1296="No","⚠ Missing",IF(AT1296="Yes","✓ OK","⚠ Check"))))</f>
        <v/>
      </c>
    </row>
    <row r="1297" ht="18" customHeight="1" s="46">
      <c r="A1297" s="23" t="n">
        <v>1293</v>
      </c>
      <c r="B1297" s="24" t="inlineStr">
        <is>
          <t>WP MR INS 245</t>
        </is>
      </c>
      <c r="C1297" s="25" t="inlineStr">
        <is>
          <t>Marshalls Inspire II Wallpaper INS 245</t>
        </is>
      </c>
      <c r="D1297" s="23" t="inlineStr">
        <is>
          <t>Marshalls</t>
        </is>
      </c>
      <c r="E1297" s="43" t="n">
        <v>46125</v>
      </c>
      <c r="F1297" s="26" t="inlineStr">
        <is>
          <t>Sunil CR</t>
        </is>
      </c>
      <c r="G1297" s="26" t="inlineStr">
        <is>
          <t>Yes</t>
        </is>
      </c>
      <c r="H1297" s="26" t="inlineStr">
        <is>
          <t>No</t>
        </is>
      </c>
      <c r="I1297" s="26" t="inlineStr">
        <is>
          <t>Good finish</t>
        </is>
      </c>
      <c r="J1297" s="26" t="inlineStr">
        <is>
          <t>Yes</t>
        </is>
      </c>
      <c r="K1297" s="27" t="n"/>
      <c r="L1297" s="28" t="inlineStr">
        <is>
          <t>No</t>
        </is>
      </c>
      <c r="M1297" s="29">
        <f>IF(E1297="","",IF(H1297="Yes","❌ Disc",IF(G1297="No","⚠ Missing",IF(J1297="Yes","✓ OK","⚠ Check"))))</f>
        <v/>
      </c>
      <c r="N1297" s="43" t="n">
        <v>46193</v>
      </c>
      <c r="O1297" s="26" t="inlineStr">
        <is>
          <t>Sunil CR</t>
        </is>
      </c>
      <c r="P1297" s="26" t="inlineStr">
        <is>
          <t>Yes</t>
        </is>
      </c>
      <c r="Q1297" s="26" t="inlineStr">
        <is>
          <t>No</t>
        </is>
      </c>
      <c r="R1297" s="26" t="inlineStr">
        <is>
          <t>Good finish</t>
        </is>
      </c>
      <c r="S1297" s="26" t="inlineStr">
        <is>
          <t>Yes</t>
        </is>
      </c>
      <c r="T1297" s="27" t="n"/>
      <c r="U1297" s="28" t="inlineStr">
        <is>
          <t>No</t>
        </is>
      </c>
      <c r="V1297" s="29">
        <f>IF(N1297="","",IF(Q1297="Yes","❌ Disc",IF(P1297="No","⚠ Missing",IF(S1297="Yes","✓ OK","⚠ Check"))))</f>
        <v/>
      </c>
      <c r="W1297" s="65" t="n">
        <v>46248</v>
      </c>
      <c r="X1297" s="30" t="inlineStr">
        <is>
          <t>Sunil CR</t>
        </is>
      </c>
      <c r="Y1297" s="30" t="inlineStr">
        <is>
          <t>Yes</t>
        </is>
      </c>
      <c r="Z1297" s="30" t="n"/>
      <c r="AA1297" s="30" t="inlineStr">
        <is>
          <t>Good finish</t>
        </is>
      </c>
      <c r="AB1297" s="30" t="inlineStr">
        <is>
          <t>Yes</t>
        </is>
      </c>
      <c r="AC1297" s="27" t="n"/>
      <c r="AD1297" s="31" t="inlineStr">
        <is>
          <t>No</t>
        </is>
      </c>
      <c r="AE1297" s="32">
        <f>IF(W1297="","",IF(Z1297="Yes","❌ Disc",IF(Y1297="No","⚠ Missing",IF(AB1297="Yes","✓ OK","⚠ Check"))))</f>
        <v/>
      </c>
      <c r="AF1297" s="33" t="n"/>
      <c r="AG1297" s="33" t="n"/>
      <c r="AH1297" s="33" t="n"/>
      <c r="AI1297" s="33" t="n"/>
      <c r="AJ1297" s="33" t="n"/>
      <c r="AK1297" s="33" t="n"/>
      <c r="AL1297" s="27" t="n"/>
      <c r="AM1297" s="34" t="n"/>
      <c r="AN1297" s="35">
        <f>IF(AF1297="","",IF(AI1297="Yes","❌ Disc",IF(AH1297="No","⚠ Missing",IF(AK1297="Yes","✓ OK","⚠ Check"))))</f>
        <v/>
      </c>
      <c r="AO1297" s="36" t="n"/>
      <c r="AP1297" s="36" t="n"/>
      <c r="AQ1297" s="36" t="n"/>
      <c r="AR1297" s="36" t="n"/>
      <c r="AS1297" s="36" t="n"/>
      <c r="AT1297" s="36" t="n"/>
      <c r="AU1297" s="27" t="n"/>
      <c r="AV1297" s="37" t="n"/>
      <c r="AW1297" s="38">
        <f>IF(AO1297="","",IF(AR1297="Yes","❌ Disc",IF(AQ1297="No","⚠ Missing",IF(AT1297="Yes","✓ OK","⚠ Check"))))</f>
        <v/>
      </c>
    </row>
    <row r="1298" ht="18" customHeight="1" s="46">
      <c r="A1298" s="39" t="n">
        <v>1294</v>
      </c>
      <c r="B1298" s="40" t="inlineStr">
        <is>
          <t>WP MR INS 246</t>
        </is>
      </c>
      <c r="C1298" s="41" t="inlineStr">
        <is>
          <t>Marshalls Inspire II Wallpaper INS 246</t>
        </is>
      </c>
      <c r="D1298" s="39" t="inlineStr">
        <is>
          <t>Marshalls</t>
        </is>
      </c>
      <c r="E1298" s="43" t="n">
        <v>46125</v>
      </c>
      <c r="F1298" s="26" t="inlineStr">
        <is>
          <t>Sunil CR</t>
        </is>
      </c>
      <c r="G1298" s="26" t="inlineStr">
        <is>
          <t>Yes</t>
        </is>
      </c>
      <c r="H1298" s="26" t="inlineStr">
        <is>
          <t>No</t>
        </is>
      </c>
      <c r="I1298" s="26" t="inlineStr">
        <is>
          <t>Good finish</t>
        </is>
      </c>
      <c r="J1298" s="26" t="inlineStr">
        <is>
          <t>Yes</t>
        </is>
      </c>
      <c r="K1298" s="27" t="n"/>
      <c r="L1298" s="28" t="inlineStr">
        <is>
          <t>No</t>
        </is>
      </c>
      <c r="M1298" s="29">
        <f>IF(E1298="","",IF(H1298="Yes","❌ Disc",IF(G1298="No","⚠ Missing",IF(J1298="Yes","✓ OK","⚠ Check"))))</f>
        <v/>
      </c>
      <c r="N1298" s="43" t="n">
        <v>46193</v>
      </c>
      <c r="O1298" s="26" t="inlineStr">
        <is>
          <t>Sunil CR</t>
        </is>
      </c>
      <c r="P1298" s="26" t="inlineStr">
        <is>
          <t>Yes</t>
        </is>
      </c>
      <c r="Q1298" s="26" t="inlineStr">
        <is>
          <t>No</t>
        </is>
      </c>
      <c r="R1298" s="26" t="inlineStr">
        <is>
          <t>Good finish</t>
        </is>
      </c>
      <c r="S1298" s="26" t="inlineStr">
        <is>
          <t>Yes</t>
        </is>
      </c>
      <c r="T1298" s="27" t="n"/>
      <c r="U1298" s="28" t="inlineStr">
        <is>
          <t>No</t>
        </is>
      </c>
      <c r="V1298" s="29">
        <f>IF(N1298="","",IF(Q1298="Yes","❌ Disc",IF(P1298="No","⚠ Missing",IF(S1298="Yes","✓ OK","⚠ Check"))))</f>
        <v/>
      </c>
      <c r="W1298" s="65" t="n">
        <v>46248</v>
      </c>
      <c r="X1298" s="30" t="inlineStr">
        <is>
          <t>Sunil CR</t>
        </is>
      </c>
      <c r="Y1298" s="30" t="inlineStr">
        <is>
          <t>Yes</t>
        </is>
      </c>
      <c r="Z1298" s="30" t="n"/>
      <c r="AA1298" s="30" t="inlineStr">
        <is>
          <t>Good finish</t>
        </is>
      </c>
      <c r="AB1298" s="30" t="inlineStr">
        <is>
          <t>Yes</t>
        </is>
      </c>
      <c r="AC1298" s="27" t="n"/>
      <c r="AD1298" s="31" t="inlineStr">
        <is>
          <t>No</t>
        </is>
      </c>
      <c r="AE1298" s="32">
        <f>IF(W1298="","",IF(Z1298="Yes","❌ Disc",IF(Y1298="No","⚠ Missing",IF(AB1298="Yes","✓ OK","⚠ Check"))))</f>
        <v/>
      </c>
      <c r="AF1298" s="33" t="n"/>
      <c r="AG1298" s="33" t="n"/>
      <c r="AH1298" s="33" t="n"/>
      <c r="AI1298" s="33" t="n"/>
      <c r="AJ1298" s="33" t="n"/>
      <c r="AK1298" s="33" t="n"/>
      <c r="AL1298" s="27" t="n"/>
      <c r="AM1298" s="34" t="n"/>
      <c r="AN1298" s="35">
        <f>IF(AF1298="","",IF(AI1298="Yes","❌ Disc",IF(AH1298="No","⚠ Missing",IF(AK1298="Yes","✓ OK","⚠ Check"))))</f>
        <v/>
      </c>
      <c r="AO1298" s="36" t="n"/>
      <c r="AP1298" s="36" t="n"/>
      <c r="AQ1298" s="36" t="n"/>
      <c r="AR1298" s="36" t="n"/>
      <c r="AS1298" s="36" t="n"/>
      <c r="AT1298" s="36" t="n"/>
      <c r="AU1298" s="27" t="n"/>
      <c r="AV1298" s="37" t="n"/>
      <c r="AW1298" s="38">
        <f>IF(AO1298="","",IF(AR1298="Yes","❌ Disc",IF(AQ1298="No","⚠ Missing",IF(AT1298="Yes","✓ OK","⚠ Check"))))</f>
        <v/>
      </c>
    </row>
    <row r="1299" ht="18" customHeight="1" s="46">
      <c r="A1299" s="23" t="n">
        <v>1295</v>
      </c>
      <c r="B1299" s="24" t="inlineStr">
        <is>
          <t>WP MR INS 247</t>
        </is>
      </c>
      <c r="C1299" s="25" t="inlineStr">
        <is>
          <t>Marshalls Inspire II Wallpaper INS 247</t>
        </is>
      </c>
      <c r="D1299" s="23" t="inlineStr">
        <is>
          <t>Marshalls</t>
        </is>
      </c>
      <c r="E1299" s="43" t="n">
        <v>46125</v>
      </c>
      <c r="F1299" s="26" t="inlineStr">
        <is>
          <t>Sunil CR</t>
        </is>
      </c>
      <c r="G1299" s="26" t="inlineStr">
        <is>
          <t>Yes</t>
        </is>
      </c>
      <c r="H1299" s="26" t="inlineStr">
        <is>
          <t>No</t>
        </is>
      </c>
      <c r="I1299" s="26" t="inlineStr">
        <is>
          <t>Good finish</t>
        </is>
      </c>
      <c r="J1299" s="26" t="inlineStr">
        <is>
          <t>Yes</t>
        </is>
      </c>
      <c r="K1299" s="27" t="n"/>
      <c r="L1299" s="28" t="inlineStr">
        <is>
          <t>No</t>
        </is>
      </c>
      <c r="M1299" s="29">
        <f>IF(E1299="","",IF(H1299="Yes","❌ Disc",IF(G1299="No","⚠ Missing",IF(J1299="Yes","✓ OK","⚠ Check"))))</f>
        <v/>
      </c>
      <c r="N1299" s="43" t="n">
        <v>46193</v>
      </c>
      <c r="O1299" s="26" t="inlineStr">
        <is>
          <t>Sunil CR</t>
        </is>
      </c>
      <c r="P1299" s="26" t="inlineStr">
        <is>
          <t>Yes</t>
        </is>
      </c>
      <c r="Q1299" s="26" t="inlineStr">
        <is>
          <t>No</t>
        </is>
      </c>
      <c r="R1299" s="26" t="inlineStr">
        <is>
          <t>Good finish</t>
        </is>
      </c>
      <c r="S1299" s="26" t="inlineStr">
        <is>
          <t>Yes</t>
        </is>
      </c>
      <c r="T1299" s="27" t="n"/>
      <c r="U1299" s="28" t="inlineStr">
        <is>
          <t>No</t>
        </is>
      </c>
      <c r="V1299" s="29">
        <f>IF(N1299="","",IF(Q1299="Yes","❌ Disc",IF(P1299="No","⚠ Missing",IF(S1299="Yes","✓ OK","⚠ Check"))))</f>
        <v/>
      </c>
      <c r="W1299" s="65" t="n">
        <v>46248</v>
      </c>
      <c r="X1299" s="30" t="inlineStr">
        <is>
          <t>Sunil CR</t>
        </is>
      </c>
      <c r="Y1299" s="30" t="inlineStr">
        <is>
          <t>Yes</t>
        </is>
      </c>
      <c r="Z1299" s="30" t="n"/>
      <c r="AA1299" s="30" t="inlineStr">
        <is>
          <t>Good finish</t>
        </is>
      </c>
      <c r="AB1299" s="30" t="inlineStr">
        <is>
          <t>Yes</t>
        </is>
      </c>
      <c r="AC1299" s="27" t="n"/>
      <c r="AD1299" s="31" t="inlineStr">
        <is>
          <t>No</t>
        </is>
      </c>
      <c r="AE1299" s="32">
        <f>IF(W1299="","",IF(Z1299="Yes","❌ Disc",IF(Y1299="No","⚠ Missing",IF(AB1299="Yes","✓ OK","⚠ Check"))))</f>
        <v/>
      </c>
      <c r="AF1299" s="33" t="n"/>
      <c r="AG1299" s="33" t="n"/>
      <c r="AH1299" s="33" t="n"/>
      <c r="AI1299" s="33" t="n"/>
      <c r="AJ1299" s="33" t="n"/>
      <c r="AK1299" s="33" t="n"/>
      <c r="AL1299" s="27" t="n"/>
      <c r="AM1299" s="34" t="n"/>
      <c r="AN1299" s="35">
        <f>IF(AF1299="","",IF(AI1299="Yes","❌ Disc",IF(AH1299="No","⚠ Missing",IF(AK1299="Yes","✓ OK","⚠ Check"))))</f>
        <v/>
      </c>
      <c r="AO1299" s="36" t="n"/>
      <c r="AP1299" s="36" t="n"/>
      <c r="AQ1299" s="36" t="n"/>
      <c r="AR1299" s="36" t="n"/>
      <c r="AS1299" s="36" t="n"/>
      <c r="AT1299" s="36" t="n"/>
      <c r="AU1299" s="27" t="n"/>
      <c r="AV1299" s="37" t="n"/>
      <c r="AW1299" s="38">
        <f>IF(AO1299="","",IF(AR1299="Yes","❌ Disc",IF(AQ1299="No","⚠ Missing",IF(AT1299="Yes","✓ OK","⚠ Check"))))</f>
        <v/>
      </c>
    </row>
    <row r="1300" ht="18" customHeight="1" s="46">
      <c r="A1300" s="39" t="n">
        <v>1296</v>
      </c>
      <c r="B1300" s="40" t="inlineStr">
        <is>
          <t>WP MR INS 248</t>
        </is>
      </c>
      <c r="C1300" s="41" t="inlineStr">
        <is>
          <t>Marshalls Inspire II Wallpaper INS 248</t>
        </is>
      </c>
      <c r="D1300" s="39" t="inlineStr">
        <is>
          <t>Marshalls</t>
        </is>
      </c>
      <c r="E1300" s="43" t="n">
        <v>46125</v>
      </c>
      <c r="F1300" s="26" t="inlineStr">
        <is>
          <t>Sunil CR</t>
        </is>
      </c>
      <c r="G1300" s="26" t="inlineStr">
        <is>
          <t>Yes</t>
        </is>
      </c>
      <c r="H1300" s="26" t="inlineStr">
        <is>
          <t>No</t>
        </is>
      </c>
      <c r="I1300" s="26" t="inlineStr">
        <is>
          <t>Good finish</t>
        </is>
      </c>
      <c r="J1300" s="26" t="inlineStr">
        <is>
          <t>Yes</t>
        </is>
      </c>
      <c r="K1300" s="27" t="n"/>
      <c r="L1300" s="28" t="inlineStr">
        <is>
          <t>No</t>
        </is>
      </c>
      <c r="M1300" s="29">
        <f>IF(E1300="","",IF(H1300="Yes","❌ Disc",IF(G1300="No","⚠ Missing",IF(J1300="Yes","✓ OK","⚠ Check"))))</f>
        <v/>
      </c>
      <c r="N1300" s="43" t="n">
        <v>46193</v>
      </c>
      <c r="O1300" s="26" t="inlineStr">
        <is>
          <t>Sunil CR</t>
        </is>
      </c>
      <c r="P1300" s="26" t="inlineStr">
        <is>
          <t>Yes</t>
        </is>
      </c>
      <c r="Q1300" s="26" t="inlineStr">
        <is>
          <t>No</t>
        </is>
      </c>
      <c r="R1300" s="26" t="inlineStr">
        <is>
          <t>Good finish</t>
        </is>
      </c>
      <c r="S1300" s="26" t="inlineStr">
        <is>
          <t>Yes</t>
        </is>
      </c>
      <c r="T1300" s="27" t="n"/>
      <c r="U1300" s="28" t="inlineStr">
        <is>
          <t>No</t>
        </is>
      </c>
      <c r="V1300" s="29">
        <f>IF(N1300="","",IF(Q1300="Yes","❌ Disc",IF(P1300="No","⚠ Missing",IF(S1300="Yes","✓ OK","⚠ Check"))))</f>
        <v/>
      </c>
      <c r="W1300" s="65" t="n">
        <v>46248</v>
      </c>
      <c r="X1300" s="30" t="inlineStr">
        <is>
          <t>Sunil CR</t>
        </is>
      </c>
      <c r="Y1300" s="30" t="inlineStr">
        <is>
          <t>Yes</t>
        </is>
      </c>
      <c r="Z1300" s="30" t="n"/>
      <c r="AA1300" s="30" t="inlineStr">
        <is>
          <t>Good finish</t>
        </is>
      </c>
      <c r="AB1300" s="30" t="inlineStr">
        <is>
          <t>Yes</t>
        </is>
      </c>
      <c r="AC1300" s="27" t="n"/>
      <c r="AD1300" s="31" t="inlineStr">
        <is>
          <t>No</t>
        </is>
      </c>
      <c r="AE1300" s="32">
        <f>IF(W1300="","",IF(Z1300="Yes","❌ Disc",IF(Y1300="No","⚠ Missing",IF(AB1300="Yes","✓ OK","⚠ Check"))))</f>
        <v/>
      </c>
      <c r="AF1300" s="33" t="n"/>
      <c r="AG1300" s="33" t="n"/>
      <c r="AH1300" s="33" t="n"/>
      <c r="AI1300" s="33" t="n"/>
      <c r="AJ1300" s="33" t="n"/>
      <c r="AK1300" s="33" t="n"/>
      <c r="AL1300" s="27" t="n"/>
      <c r="AM1300" s="34" t="n"/>
      <c r="AN1300" s="35">
        <f>IF(AF1300="","",IF(AI1300="Yes","❌ Disc",IF(AH1300="No","⚠ Missing",IF(AK1300="Yes","✓ OK","⚠ Check"))))</f>
        <v/>
      </c>
      <c r="AO1300" s="36" t="n"/>
      <c r="AP1300" s="36" t="n"/>
      <c r="AQ1300" s="36" t="n"/>
      <c r="AR1300" s="36" t="n"/>
      <c r="AS1300" s="36" t="n"/>
      <c r="AT1300" s="36" t="n"/>
      <c r="AU1300" s="27" t="n"/>
      <c r="AV1300" s="37" t="n"/>
      <c r="AW1300" s="38">
        <f>IF(AO1300="","",IF(AR1300="Yes","❌ Disc",IF(AQ1300="No","⚠ Missing",IF(AT1300="Yes","✓ OK","⚠ Check"))))</f>
        <v/>
      </c>
    </row>
    <row r="1301" ht="18" customHeight="1" s="46">
      <c r="A1301" s="23" t="n">
        <v>1297</v>
      </c>
      <c r="B1301" s="24" t="inlineStr">
        <is>
          <t>WP MR INS 249</t>
        </is>
      </c>
      <c r="C1301" s="25" t="inlineStr">
        <is>
          <t>Marshalls Inspire II Wallpaper INS 249</t>
        </is>
      </c>
      <c r="D1301" s="23" t="inlineStr">
        <is>
          <t>Marshalls</t>
        </is>
      </c>
      <c r="E1301" s="43" t="n">
        <v>46125</v>
      </c>
      <c r="F1301" s="26" t="inlineStr">
        <is>
          <t>Sunil CR</t>
        </is>
      </c>
      <c r="G1301" s="26" t="inlineStr">
        <is>
          <t>Yes</t>
        </is>
      </c>
      <c r="H1301" s="26" t="inlineStr">
        <is>
          <t>No</t>
        </is>
      </c>
      <c r="I1301" s="26" t="inlineStr">
        <is>
          <t>Good finish</t>
        </is>
      </c>
      <c r="J1301" s="26" t="inlineStr">
        <is>
          <t>Yes</t>
        </is>
      </c>
      <c r="K1301" s="27" t="n"/>
      <c r="L1301" s="28" t="inlineStr">
        <is>
          <t>No</t>
        </is>
      </c>
      <c r="M1301" s="29">
        <f>IF(E1301="","",IF(H1301="Yes","❌ Disc",IF(G1301="No","⚠ Missing",IF(J1301="Yes","✓ OK","⚠ Check"))))</f>
        <v/>
      </c>
      <c r="N1301" s="43" t="n">
        <v>46193</v>
      </c>
      <c r="O1301" s="26" t="inlineStr">
        <is>
          <t>Sunil CR</t>
        </is>
      </c>
      <c r="P1301" s="26" t="inlineStr">
        <is>
          <t>Yes</t>
        </is>
      </c>
      <c r="Q1301" s="26" t="inlineStr">
        <is>
          <t>No</t>
        </is>
      </c>
      <c r="R1301" s="26" t="inlineStr">
        <is>
          <t>Good finish</t>
        </is>
      </c>
      <c r="S1301" s="26" t="inlineStr">
        <is>
          <t>Yes</t>
        </is>
      </c>
      <c r="T1301" s="27" t="n"/>
      <c r="U1301" s="28" t="inlineStr">
        <is>
          <t>No</t>
        </is>
      </c>
      <c r="V1301" s="29">
        <f>IF(N1301="","",IF(Q1301="Yes","❌ Disc",IF(P1301="No","⚠ Missing",IF(S1301="Yes","✓ OK","⚠ Check"))))</f>
        <v/>
      </c>
      <c r="W1301" s="65" t="n">
        <v>46248</v>
      </c>
      <c r="X1301" s="30" t="inlineStr">
        <is>
          <t>Sunil CR</t>
        </is>
      </c>
      <c r="Y1301" s="30" t="inlineStr">
        <is>
          <t>Yes</t>
        </is>
      </c>
      <c r="Z1301" s="30" t="n"/>
      <c r="AA1301" s="30" t="inlineStr">
        <is>
          <t>Good finish</t>
        </is>
      </c>
      <c r="AB1301" s="30" t="inlineStr">
        <is>
          <t>Yes</t>
        </is>
      </c>
      <c r="AC1301" s="27" t="n"/>
      <c r="AD1301" s="31" t="inlineStr">
        <is>
          <t>No</t>
        </is>
      </c>
      <c r="AE1301" s="32">
        <f>IF(W1301="","",IF(Z1301="Yes","❌ Disc",IF(Y1301="No","⚠ Missing",IF(AB1301="Yes","✓ OK","⚠ Check"))))</f>
        <v/>
      </c>
      <c r="AF1301" s="33" t="n"/>
      <c r="AG1301" s="33" t="n"/>
      <c r="AH1301" s="33" t="n"/>
      <c r="AI1301" s="33" t="n"/>
      <c r="AJ1301" s="33" t="n"/>
      <c r="AK1301" s="33" t="n"/>
      <c r="AL1301" s="27" t="n"/>
      <c r="AM1301" s="34" t="n"/>
      <c r="AN1301" s="35">
        <f>IF(AF1301="","",IF(AI1301="Yes","❌ Disc",IF(AH1301="No","⚠ Missing",IF(AK1301="Yes","✓ OK","⚠ Check"))))</f>
        <v/>
      </c>
      <c r="AO1301" s="36" t="n"/>
      <c r="AP1301" s="36" t="n"/>
      <c r="AQ1301" s="36" t="n"/>
      <c r="AR1301" s="36" t="n"/>
      <c r="AS1301" s="36" t="n"/>
      <c r="AT1301" s="36" t="n"/>
      <c r="AU1301" s="27" t="n"/>
      <c r="AV1301" s="37" t="n"/>
      <c r="AW1301" s="38">
        <f>IF(AO1301="","",IF(AR1301="Yes","❌ Disc",IF(AQ1301="No","⚠ Missing",IF(AT1301="Yes","✓ OK","⚠ Check"))))</f>
        <v/>
      </c>
    </row>
    <row r="1302" ht="18" customHeight="1" s="46">
      <c r="A1302" s="39" t="n">
        <v>1298</v>
      </c>
      <c r="B1302" s="40" t="inlineStr">
        <is>
          <t>WP MR INS 250</t>
        </is>
      </c>
      <c r="C1302" s="41" t="inlineStr">
        <is>
          <t>Marshalls Inspire II Wallpaper INS 250</t>
        </is>
      </c>
      <c r="D1302" s="39" t="inlineStr">
        <is>
          <t>Marshalls</t>
        </is>
      </c>
      <c r="E1302" s="43" t="n">
        <v>46125</v>
      </c>
      <c r="F1302" s="26" t="inlineStr">
        <is>
          <t>Sunil CR</t>
        </is>
      </c>
      <c r="G1302" s="26" t="inlineStr">
        <is>
          <t>Yes</t>
        </is>
      </c>
      <c r="H1302" s="26" t="inlineStr">
        <is>
          <t>No</t>
        </is>
      </c>
      <c r="I1302" s="26" t="inlineStr">
        <is>
          <t>Good finish</t>
        </is>
      </c>
      <c r="J1302" s="26" t="inlineStr">
        <is>
          <t>Yes</t>
        </is>
      </c>
      <c r="K1302" s="27" t="n"/>
      <c r="L1302" s="28" t="inlineStr">
        <is>
          <t>No</t>
        </is>
      </c>
      <c r="M1302" s="29">
        <f>IF(E1302="","",IF(H1302="Yes","❌ Disc",IF(G1302="No","⚠ Missing",IF(J1302="Yes","✓ OK","⚠ Check"))))</f>
        <v/>
      </c>
      <c r="N1302" s="43" t="n">
        <v>46193</v>
      </c>
      <c r="O1302" s="26" t="inlineStr">
        <is>
          <t>Sunil CR</t>
        </is>
      </c>
      <c r="P1302" s="26" t="inlineStr">
        <is>
          <t>Yes</t>
        </is>
      </c>
      <c r="Q1302" s="26" t="inlineStr">
        <is>
          <t>No</t>
        </is>
      </c>
      <c r="R1302" s="26" t="inlineStr">
        <is>
          <t>Good finish</t>
        </is>
      </c>
      <c r="S1302" s="26" t="inlineStr">
        <is>
          <t>Yes</t>
        </is>
      </c>
      <c r="T1302" s="27" t="n"/>
      <c r="U1302" s="28" t="inlineStr">
        <is>
          <t>No</t>
        </is>
      </c>
      <c r="V1302" s="29">
        <f>IF(N1302="","",IF(Q1302="Yes","❌ Disc",IF(P1302="No","⚠ Missing",IF(S1302="Yes","✓ OK","⚠ Check"))))</f>
        <v/>
      </c>
      <c r="W1302" s="65" t="n">
        <v>46248</v>
      </c>
      <c r="X1302" s="30" t="inlineStr">
        <is>
          <t>Sunil CR</t>
        </is>
      </c>
      <c r="Y1302" s="30" t="inlineStr">
        <is>
          <t>Yes</t>
        </is>
      </c>
      <c r="Z1302" s="30" t="n"/>
      <c r="AA1302" s="30" t="inlineStr">
        <is>
          <t>Good finish</t>
        </is>
      </c>
      <c r="AB1302" s="30" t="inlineStr">
        <is>
          <t>Yes</t>
        </is>
      </c>
      <c r="AC1302" s="27" t="n"/>
      <c r="AD1302" s="31" t="inlineStr">
        <is>
          <t>No</t>
        </is>
      </c>
      <c r="AE1302" s="32">
        <f>IF(W1302="","",IF(Z1302="Yes","❌ Disc",IF(Y1302="No","⚠ Missing",IF(AB1302="Yes","✓ OK","⚠ Check"))))</f>
        <v/>
      </c>
      <c r="AF1302" s="33" t="n"/>
      <c r="AG1302" s="33" t="n"/>
      <c r="AH1302" s="33" t="n"/>
      <c r="AI1302" s="33" t="n"/>
      <c r="AJ1302" s="33" t="n"/>
      <c r="AK1302" s="33" t="n"/>
      <c r="AL1302" s="27" t="n"/>
      <c r="AM1302" s="34" t="n"/>
      <c r="AN1302" s="35">
        <f>IF(AF1302="","",IF(AI1302="Yes","❌ Disc",IF(AH1302="No","⚠ Missing",IF(AK1302="Yes","✓ OK","⚠ Check"))))</f>
        <v/>
      </c>
      <c r="AO1302" s="36" t="n"/>
      <c r="AP1302" s="36" t="n"/>
      <c r="AQ1302" s="36" t="n"/>
      <c r="AR1302" s="36" t="n"/>
      <c r="AS1302" s="36" t="n"/>
      <c r="AT1302" s="36" t="n"/>
      <c r="AU1302" s="27" t="n"/>
      <c r="AV1302" s="37" t="n"/>
      <c r="AW1302" s="38">
        <f>IF(AO1302="","",IF(AR1302="Yes","❌ Disc",IF(AQ1302="No","⚠ Missing",IF(AT1302="Yes","✓ OK","⚠ Check"))))</f>
        <v/>
      </c>
    </row>
    <row r="1303" ht="18" customHeight="1" s="46">
      <c r="A1303" s="23" t="n">
        <v>1299</v>
      </c>
      <c r="B1303" s="24" t="inlineStr">
        <is>
          <t>WP MR INS 251</t>
        </is>
      </c>
      <c r="C1303" s="25" t="inlineStr">
        <is>
          <t>Marshalls Inspire II Wallpaper INS 251</t>
        </is>
      </c>
      <c r="D1303" s="23" t="inlineStr">
        <is>
          <t>Marshalls</t>
        </is>
      </c>
      <c r="E1303" s="43" t="n">
        <v>46125</v>
      </c>
      <c r="F1303" s="26" t="inlineStr">
        <is>
          <t>Sunil CR</t>
        </is>
      </c>
      <c r="G1303" s="26" t="inlineStr">
        <is>
          <t>Yes</t>
        </is>
      </c>
      <c r="H1303" s="26" t="inlineStr">
        <is>
          <t>No</t>
        </is>
      </c>
      <c r="I1303" s="26" t="inlineStr">
        <is>
          <t>Good finish</t>
        </is>
      </c>
      <c r="J1303" s="26" t="inlineStr">
        <is>
          <t>Yes</t>
        </is>
      </c>
      <c r="K1303" s="27" t="n"/>
      <c r="L1303" s="28" t="inlineStr">
        <is>
          <t>No</t>
        </is>
      </c>
      <c r="M1303" s="29">
        <f>IF(E1303="","",IF(H1303="Yes","❌ Disc",IF(G1303="No","⚠ Missing",IF(J1303="Yes","✓ OK","⚠ Check"))))</f>
        <v/>
      </c>
      <c r="N1303" s="43" t="n">
        <v>46193</v>
      </c>
      <c r="O1303" s="26" t="inlineStr">
        <is>
          <t>Sunil CR</t>
        </is>
      </c>
      <c r="P1303" s="26" t="inlineStr">
        <is>
          <t>Yes</t>
        </is>
      </c>
      <c r="Q1303" s="26" t="inlineStr">
        <is>
          <t>No</t>
        </is>
      </c>
      <c r="R1303" s="26" t="inlineStr">
        <is>
          <t>Good finish</t>
        </is>
      </c>
      <c r="S1303" s="26" t="inlineStr">
        <is>
          <t>Yes</t>
        </is>
      </c>
      <c r="T1303" s="27" t="n"/>
      <c r="U1303" s="28" t="inlineStr">
        <is>
          <t>No</t>
        </is>
      </c>
      <c r="V1303" s="29">
        <f>IF(N1303="","",IF(Q1303="Yes","❌ Disc",IF(P1303="No","⚠ Missing",IF(S1303="Yes","✓ OK","⚠ Check"))))</f>
        <v/>
      </c>
      <c r="W1303" s="65" t="n">
        <v>46248</v>
      </c>
      <c r="X1303" s="30" t="inlineStr">
        <is>
          <t>Sunil CR</t>
        </is>
      </c>
      <c r="Y1303" s="30" t="inlineStr">
        <is>
          <t>Yes</t>
        </is>
      </c>
      <c r="Z1303" s="30" t="n"/>
      <c r="AA1303" s="30" t="inlineStr">
        <is>
          <t>Good finish</t>
        </is>
      </c>
      <c r="AB1303" s="30" t="inlineStr">
        <is>
          <t>Yes</t>
        </is>
      </c>
      <c r="AC1303" s="27" t="n"/>
      <c r="AD1303" s="31" t="inlineStr">
        <is>
          <t>No</t>
        </is>
      </c>
      <c r="AE1303" s="32">
        <f>IF(W1303="","",IF(Z1303="Yes","❌ Disc",IF(Y1303="No","⚠ Missing",IF(AB1303="Yes","✓ OK","⚠ Check"))))</f>
        <v/>
      </c>
      <c r="AF1303" s="33" t="n"/>
      <c r="AG1303" s="33" t="n"/>
      <c r="AH1303" s="33" t="n"/>
      <c r="AI1303" s="33" t="n"/>
      <c r="AJ1303" s="33" t="n"/>
      <c r="AK1303" s="33" t="n"/>
      <c r="AL1303" s="27" t="n"/>
      <c r="AM1303" s="34" t="n"/>
      <c r="AN1303" s="35">
        <f>IF(AF1303="","",IF(AI1303="Yes","❌ Disc",IF(AH1303="No","⚠ Missing",IF(AK1303="Yes","✓ OK","⚠ Check"))))</f>
        <v/>
      </c>
      <c r="AO1303" s="36" t="n"/>
      <c r="AP1303" s="36" t="n"/>
      <c r="AQ1303" s="36" t="n"/>
      <c r="AR1303" s="36" t="n"/>
      <c r="AS1303" s="36" t="n"/>
      <c r="AT1303" s="36" t="n"/>
      <c r="AU1303" s="27" t="n"/>
      <c r="AV1303" s="37" t="n"/>
      <c r="AW1303" s="38">
        <f>IF(AO1303="","",IF(AR1303="Yes","❌ Disc",IF(AQ1303="No","⚠ Missing",IF(AT1303="Yes","✓ OK","⚠ Check"))))</f>
        <v/>
      </c>
    </row>
    <row r="1304" ht="18" customHeight="1" s="46">
      <c r="A1304" s="39" t="n">
        <v>1300</v>
      </c>
      <c r="B1304" s="40" t="inlineStr">
        <is>
          <t>WP MR INS 252</t>
        </is>
      </c>
      <c r="C1304" s="41" t="inlineStr">
        <is>
          <t>Marshalls Inspire II Wallpaper INS 252</t>
        </is>
      </c>
      <c r="D1304" s="39" t="inlineStr">
        <is>
          <t>Marshalls</t>
        </is>
      </c>
      <c r="E1304" s="43" t="n">
        <v>46125</v>
      </c>
      <c r="F1304" s="26" t="inlineStr">
        <is>
          <t>Sunil CR</t>
        </is>
      </c>
      <c r="G1304" s="26" t="inlineStr">
        <is>
          <t>Yes</t>
        </is>
      </c>
      <c r="H1304" s="26" t="inlineStr">
        <is>
          <t>No</t>
        </is>
      </c>
      <c r="I1304" s="26" t="inlineStr">
        <is>
          <t>Good finish</t>
        </is>
      </c>
      <c r="J1304" s="26" t="inlineStr">
        <is>
          <t>Yes</t>
        </is>
      </c>
      <c r="K1304" s="27" t="n"/>
      <c r="L1304" s="28" t="inlineStr">
        <is>
          <t>No</t>
        </is>
      </c>
      <c r="M1304" s="29">
        <f>IF(E1304="","",IF(H1304="Yes","❌ Disc",IF(G1304="No","⚠ Missing",IF(J1304="Yes","✓ OK","⚠ Check"))))</f>
        <v/>
      </c>
      <c r="N1304" s="43" t="n">
        <v>46193</v>
      </c>
      <c r="O1304" s="26" t="inlineStr">
        <is>
          <t>Sunil CR</t>
        </is>
      </c>
      <c r="P1304" s="26" t="inlineStr">
        <is>
          <t>Yes</t>
        </is>
      </c>
      <c r="Q1304" s="26" t="inlineStr">
        <is>
          <t>No</t>
        </is>
      </c>
      <c r="R1304" s="26" t="inlineStr">
        <is>
          <t>Good finish</t>
        </is>
      </c>
      <c r="S1304" s="26" t="inlineStr">
        <is>
          <t>Yes</t>
        </is>
      </c>
      <c r="T1304" s="27" t="n"/>
      <c r="U1304" s="28" t="inlineStr">
        <is>
          <t>No</t>
        </is>
      </c>
      <c r="V1304" s="29">
        <f>IF(N1304="","",IF(Q1304="Yes","❌ Disc",IF(P1304="No","⚠ Missing",IF(S1304="Yes","✓ OK","⚠ Check"))))</f>
        <v/>
      </c>
      <c r="W1304" s="65" t="n">
        <v>46248</v>
      </c>
      <c r="X1304" s="30" t="inlineStr">
        <is>
          <t>Sunil CR</t>
        </is>
      </c>
      <c r="Y1304" s="30" t="inlineStr">
        <is>
          <t>Yes</t>
        </is>
      </c>
      <c r="Z1304" s="30" t="n"/>
      <c r="AA1304" s="30" t="inlineStr">
        <is>
          <t>Good finish</t>
        </is>
      </c>
      <c r="AB1304" s="30" t="inlineStr">
        <is>
          <t>Yes</t>
        </is>
      </c>
      <c r="AC1304" s="27" t="n"/>
      <c r="AD1304" s="31" t="inlineStr">
        <is>
          <t>No</t>
        </is>
      </c>
      <c r="AE1304" s="32">
        <f>IF(W1304="","",IF(Z1304="Yes","❌ Disc",IF(Y1304="No","⚠ Missing",IF(AB1304="Yes","✓ OK","⚠ Check"))))</f>
        <v/>
      </c>
      <c r="AF1304" s="33" t="n"/>
      <c r="AG1304" s="33" t="n"/>
      <c r="AH1304" s="33" t="n"/>
      <c r="AI1304" s="33" t="n"/>
      <c r="AJ1304" s="33" t="n"/>
      <c r="AK1304" s="33" t="n"/>
      <c r="AL1304" s="27" t="n"/>
      <c r="AM1304" s="34" t="n"/>
      <c r="AN1304" s="35">
        <f>IF(AF1304="","",IF(AI1304="Yes","❌ Disc",IF(AH1304="No","⚠ Missing",IF(AK1304="Yes","✓ OK","⚠ Check"))))</f>
        <v/>
      </c>
      <c r="AO1304" s="36" t="n"/>
      <c r="AP1304" s="36" t="n"/>
      <c r="AQ1304" s="36" t="n"/>
      <c r="AR1304" s="36" t="n"/>
      <c r="AS1304" s="36" t="n"/>
      <c r="AT1304" s="36" t="n"/>
      <c r="AU1304" s="27" t="n"/>
      <c r="AV1304" s="37" t="n"/>
      <c r="AW1304" s="38">
        <f>IF(AO1304="","",IF(AR1304="Yes","❌ Disc",IF(AQ1304="No","⚠ Missing",IF(AT1304="Yes","✓ OK","⚠ Check"))))</f>
        <v/>
      </c>
    </row>
    <row r="1305" ht="18" customHeight="1" s="46">
      <c r="A1305" s="23" t="n">
        <v>1301</v>
      </c>
      <c r="B1305" s="24" t="inlineStr">
        <is>
          <t>WP MR INS 253</t>
        </is>
      </c>
      <c r="C1305" s="25" t="inlineStr">
        <is>
          <t>Marshalls Inspire II Wallpaper INS 253</t>
        </is>
      </c>
      <c r="D1305" s="23" t="inlineStr">
        <is>
          <t>Marshalls</t>
        </is>
      </c>
      <c r="E1305" s="43" t="n">
        <v>46125</v>
      </c>
      <c r="F1305" s="26" t="inlineStr">
        <is>
          <t>Sunil CR</t>
        </is>
      </c>
      <c r="G1305" s="26" t="inlineStr">
        <is>
          <t>Yes</t>
        </is>
      </c>
      <c r="H1305" s="26" t="inlineStr">
        <is>
          <t>No</t>
        </is>
      </c>
      <c r="I1305" s="26" t="inlineStr">
        <is>
          <t>Good finish</t>
        </is>
      </c>
      <c r="J1305" s="26" t="inlineStr">
        <is>
          <t>Yes</t>
        </is>
      </c>
      <c r="K1305" s="27" t="n"/>
      <c r="L1305" s="28" t="inlineStr">
        <is>
          <t>No</t>
        </is>
      </c>
      <c r="M1305" s="29">
        <f>IF(E1305="","",IF(H1305="Yes","❌ Disc",IF(G1305="No","⚠ Missing",IF(J1305="Yes","✓ OK","⚠ Check"))))</f>
        <v/>
      </c>
      <c r="N1305" s="43" t="n">
        <v>46193</v>
      </c>
      <c r="O1305" s="26" t="inlineStr">
        <is>
          <t>Sunil CR</t>
        </is>
      </c>
      <c r="P1305" s="26" t="inlineStr">
        <is>
          <t>Yes</t>
        </is>
      </c>
      <c r="Q1305" s="26" t="inlineStr">
        <is>
          <t>No</t>
        </is>
      </c>
      <c r="R1305" s="26" t="inlineStr">
        <is>
          <t>Good finish</t>
        </is>
      </c>
      <c r="S1305" s="26" t="inlineStr">
        <is>
          <t>Yes</t>
        </is>
      </c>
      <c r="T1305" s="27" t="n"/>
      <c r="U1305" s="28" t="inlineStr">
        <is>
          <t>No</t>
        </is>
      </c>
      <c r="V1305" s="29">
        <f>IF(N1305="","",IF(Q1305="Yes","❌ Disc",IF(P1305="No","⚠ Missing",IF(S1305="Yes","✓ OK","⚠ Check"))))</f>
        <v/>
      </c>
      <c r="W1305" s="65" t="n">
        <v>46248</v>
      </c>
      <c r="X1305" s="30" t="inlineStr">
        <is>
          <t>Sunil CR</t>
        </is>
      </c>
      <c r="Y1305" s="30" t="inlineStr">
        <is>
          <t>Yes</t>
        </is>
      </c>
      <c r="Z1305" s="30" t="n"/>
      <c r="AA1305" s="30" t="inlineStr">
        <is>
          <t>Good finish</t>
        </is>
      </c>
      <c r="AB1305" s="30" t="inlineStr">
        <is>
          <t>Yes</t>
        </is>
      </c>
      <c r="AC1305" s="27" t="n"/>
      <c r="AD1305" s="31" t="inlineStr">
        <is>
          <t>No</t>
        </is>
      </c>
      <c r="AE1305" s="32">
        <f>IF(W1305="","",IF(Z1305="Yes","❌ Disc",IF(Y1305="No","⚠ Missing",IF(AB1305="Yes","✓ OK","⚠ Check"))))</f>
        <v/>
      </c>
      <c r="AF1305" s="33" t="n"/>
      <c r="AG1305" s="33" t="n"/>
      <c r="AH1305" s="33" t="n"/>
      <c r="AI1305" s="33" t="n"/>
      <c r="AJ1305" s="33" t="n"/>
      <c r="AK1305" s="33" t="n"/>
      <c r="AL1305" s="27" t="n"/>
      <c r="AM1305" s="34" t="n"/>
      <c r="AN1305" s="35">
        <f>IF(AF1305="","",IF(AI1305="Yes","❌ Disc",IF(AH1305="No","⚠ Missing",IF(AK1305="Yes","✓ OK","⚠ Check"))))</f>
        <v/>
      </c>
      <c r="AO1305" s="36" t="n"/>
      <c r="AP1305" s="36" t="n"/>
      <c r="AQ1305" s="36" t="n"/>
      <c r="AR1305" s="36" t="n"/>
      <c r="AS1305" s="36" t="n"/>
      <c r="AT1305" s="36" t="n"/>
      <c r="AU1305" s="27" t="n"/>
      <c r="AV1305" s="37" t="n"/>
      <c r="AW1305" s="38">
        <f>IF(AO1305="","",IF(AR1305="Yes","❌ Disc",IF(AQ1305="No","⚠ Missing",IF(AT1305="Yes","✓ OK","⚠ Check"))))</f>
        <v/>
      </c>
    </row>
    <row r="1306" ht="18" customHeight="1" s="46">
      <c r="A1306" s="39" t="n">
        <v>1302</v>
      </c>
      <c r="B1306" s="40" t="inlineStr">
        <is>
          <t>WP MR INS 254</t>
        </is>
      </c>
      <c r="C1306" s="41" t="inlineStr">
        <is>
          <t>Marshalls Inspire II Wallpaper INS 254</t>
        </is>
      </c>
      <c r="D1306" s="39" t="inlineStr">
        <is>
          <t>Marshalls</t>
        </is>
      </c>
      <c r="E1306" s="43" t="n">
        <v>46125</v>
      </c>
      <c r="F1306" s="26" t="inlineStr">
        <is>
          <t>Sunil CR</t>
        </is>
      </c>
      <c r="G1306" s="26" t="inlineStr">
        <is>
          <t>Yes</t>
        </is>
      </c>
      <c r="H1306" s="26" t="inlineStr">
        <is>
          <t>No</t>
        </is>
      </c>
      <c r="I1306" s="26" t="inlineStr">
        <is>
          <t>Good finish</t>
        </is>
      </c>
      <c r="J1306" s="26" t="inlineStr">
        <is>
          <t>Yes</t>
        </is>
      </c>
      <c r="K1306" s="27" t="n"/>
      <c r="L1306" s="28" t="inlineStr">
        <is>
          <t>No</t>
        </is>
      </c>
      <c r="M1306" s="29">
        <f>IF(E1306="","",IF(H1306="Yes","❌ Disc",IF(G1306="No","⚠ Missing",IF(J1306="Yes","✓ OK","⚠ Check"))))</f>
        <v/>
      </c>
      <c r="N1306" s="43" t="n">
        <v>46193</v>
      </c>
      <c r="O1306" s="26" t="inlineStr">
        <is>
          <t>Sunil CR</t>
        </is>
      </c>
      <c r="P1306" s="26" t="inlineStr">
        <is>
          <t>Yes</t>
        </is>
      </c>
      <c r="Q1306" s="26" t="inlineStr">
        <is>
          <t>No</t>
        </is>
      </c>
      <c r="R1306" s="26" t="inlineStr">
        <is>
          <t>Good finish</t>
        </is>
      </c>
      <c r="S1306" s="26" t="inlineStr">
        <is>
          <t>Yes</t>
        </is>
      </c>
      <c r="T1306" s="27" t="n"/>
      <c r="U1306" s="28" t="inlineStr">
        <is>
          <t>No</t>
        </is>
      </c>
      <c r="V1306" s="29">
        <f>IF(N1306="","",IF(Q1306="Yes","❌ Disc",IF(P1306="No","⚠ Missing",IF(S1306="Yes","✓ OK","⚠ Check"))))</f>
        <v/>
      </c>
      <c r="W1306" s="65" t="n">
        <v>46248</v>
      </c>
      <c r="X1306" s="30" t="inlineStr">
        <is>
          <t>Sunil CR</t>
        </is>
      </c>
      <c r="Y1306" s="30" t="inlineStr">
        <is>
          <t>Yes</t>
        </is>
      </c>
      <c r="Z1306" s="30" t="n"/>
      <c r="AA1306" s="30" t="inlineStr">
        <is>
          <t>Good finish</t>
        </is>
      </c>
      <c r="AB1306" s="30" t="inlineStr">
        <is>
          <t>Yes</t>
        </is>
      </c>
      <c r="AC1306" s="27" t="n"/>
      <c r="AD1306" s="31" t="inlineStr">
        <is>
          <t>No</t>
        </is>
      </c>
      <c r="AE1306" s="32">
        <f>IF(W1306="","",IF(Z1306="Yes","❌ Disc",IF(Y1306="No","⚠ Missing",IF(AB1306="Yes","✓ OK","⚠ Check"))))</f>
        <v/>
      </c>
      <c r="AF1306" s="33" t="n"/>
      <c r="AG1306" s="33" t="n"/>
      <c r="AH1306" s="33" t="n"/>
      <c r="AI1306" s="33" t="n"/>
      <c r="AJ1306" s="33" t="n"/>
      <c r="AK1306" s="33" t="n"/>
      <c r="AL1306" s="27" t="n"/>
      <c r="AM1306" s="34" t="n"/>
      <c r="AN1306" s="35">
        <f>IF(AF1306="","",IF(AI1306="Yes","❌ Disc",IF(AH1306="No","⚠ Missing",IF(AK1306="Yes","✓ OK","⚠ Check"))))</f>
        <v/>
      </c>
      <c r="AO1306" s="36" t="n"/>
      <c r="AP1306" s="36" t="n"/>
      <c r="AQ1306" s="36" t="n"/>
      <c r="AR1306" s="36" t="n"/>
      <c r="AS1306" s="36" t="n"/>
      <c r="AT1306" s="36" t="n"/>
      <c r="AU1306" s="27" t="n"/>
      <c r="AV1306" s="37" t="n"/>
      <c r="AW1306" s="38">
        <f>IF(AO1306="","",IF(AR1306="Yes","❌ Disc",IF(AQ1306="No","⚠ Missing",IF(AT1306="Yes","✓ OK","⚠ Check"))))</f>
        <v/>
      </c>
    </row>
    <row r="1307" ht="18" customHeight="1" s="46">
      <c r="A1307" s="23" t="n">
        <v>1303</v>
      </c>
      <c r="B1307" s="24" t="inlineStr">
        <is>
          <t>WP MR INS 255</t>
        </is>
      </c>
      <c r="C1307" s="25" t="inlineStr">
        <is>
          <t>Marshalls Inspire II Wallpaper INS 255</t>
        </is>
      </c>
      <c r="D1307" s="23" t="inlineStr">
        <is>
          <t>Marshalls</t>
        </is>
      </c>
      <c r="E1307" s="43" t="n">
        <v>46125</v>
      </c>
      <c r="F1307" s="26" t="inlineStr">
        <is>
          <t>Sunil CR</t>
        </is>
      </c>
      <c r="G1307" s="26" t="inlineStr">
        <is>
          <t>Yes</t>
        </is>
      </c>
      <c r="H1307" s="26" t="inlineStr">
        <is>
          <t>No</t>
        </is>
      </c>
      <c r="I1307" s="26" t="inlineStr">
        <is>
          <t>Good finish</t>
        </is>
      </c>
      <c r="J1307" s="26" t="inlineStr">
        <is>
          <t>Yes</t>
        </is>
      </c>
      <c r="K1307" s="27" t="n"/>
      <c r="L1307" s="28" t="inlineStr">
        <is>
          <t>No</t>
        </is>
      </c>
      <c r="M1307" s="29">
        <f>IF(E1307="","",IF(H1307="Yes","❌ Disc",IF(G1307="No","⚠ Missing",IF(J1307="Yes","✓ OK","⚠ Check"))))</f>
        <v/>
      </c>
      <c r="N1307" s="43" t="n">
        <v>46193</v>
      </c>
      <c r="O1307" s="26" t="inlineStr">
        <is>
          <t>Sunil CR</t>
        </is>
      </c>
      <c r="P1307" s="26" t="inlineStr">
        <is>
          <t>Yes</t>
        </is>
      </c>
      <c r="Q1307" s="26" t="inlineStr">
        <is>
          <t>No</t>
        </is>
      </c>
      <c r="R1307" s="26" t="inlineStr">
        <is>
          <t>Good finish</t>
        </is>
      </c>
      <c r="S1307" s="26" t="inlineStr">
        <is>
          <t>Yes</t>
        </is>
      </c>
      <c r="T1307" s="27" t="n"/>
      <c r="U1307" s="28" t="inlineStr">
        <is>
          <t>No</t>
        </is>
      </c>
      <c r="V1307" s="29">
        <f>IF(N1307="","",IF(Q1307="Yes","❌ Disc",IF(P1307="No","⚠ Missing",IF(S1307="Yes","✓ OK","⚠ Check"))))</f>
        <v/>
      </c>
      <c r="W1307" s="65" t="n">
        <v>46248</v>
      </c>
      <c r="X1307" s="30" t="inlineStr">
        <is>
          <t>Sunil CR</t>
        </is>
      </c>
      <c r="Y1307" s="30" t="inlineStr">
        <is>
          <t>Yes</t>
        </is>
      </c>
      <c r="Z1307" s="30" t="n"/>
      <c r="AA1307" s="30" t="inlineStr">
        <is>
          <t>Good finish</t>
        </is>
      </c>
      <c r="AB1307" s="30" t="inlineStr">
        <is>
          <t>Yes</t>
        </is>
      </c>
      <c r="AC1307" s="27" t="n"/>
      <c r="AD1307" s="31" t="inlineStr">
        <is>
          <t>No</t>
        </is>
      </c>
      <c r="AE1307" s="32">
        <f>IF(W1307="","",IF(Z1307="Yes","❌ Disc",IF(Y1307="No","⚠ Missing",IF(AB1307="Yes","✓ OK","⚠ Check"))))</f>
        <v/>
      </c>
      <c r="AF1307" s="33" t="n"/>
      <c r="AG1307" s="33" t="n"/>
      <c r="AH1307" s="33" t="n"/>
      <c r="AI1307" s="33" t="n"/>
      <c r="AJ1307" s="33" t="n"/>
      <c r="AK1307" s="33" t="n"/>
      <c r="AL1307" s="27" t="n"/>
      <c r="AM1307" s="34" t="n"/>
      <c r="AN1307" s="35">
        <f>IF(AF1307="","",IF(AI1307="Yes","❌ Disc",IF(AH1307="No","⚠ Missing",IF(AK1307="Yes","✓ OK","⚠ Check"))))</f>
        <v/>
      </c>
      <c r="AO1307" s="36" t="n"/>
      <c r="AP1307" s="36" t="n"/>
      <c r="AQ1307" s="36" t="n"/>
      <c r="AR1307" s="36" t="n"/>
      <c r="AS1307" s="36" t="n"/>
      <c r="AT1307" s="36" t="n"/>
      <c r="AU1307" s="27" t="n"/>
      <c r="AV1307" s="37" t="n"/>
      <c r="AW1307" s="38">
        <f>IF(AO1307="","",IF(AR1307="Yes","❌ Disc",IF(AQ1307="No","⚠ Missing",IF(AT1307="Yes","✓ OK","⚠ Check"))))</f>
        <v/>
      </c>
    </row>
    <row r="1308" ht="18" customHeight="1" s="46">
      <c r="A1308" s="39" t="n">
        <v>1304</v>
      </c>
      <c r="B1308" s="40" t="inlineStr">
        <is>
          <t>WP MR INS 256</t>
        </is>
      </c>
      <c r="C1308" s="41" t="inlineStr">
        <is>
          <t>Marshalls Inspire II Wallpaper INS 256</t>
        </is>
      </c>
      <c r="D1308" s="39" t="inlineStr">
        <is>
          <t>Marshalls</t>
        </is>
      </c>
      <c r="E1308" s="43" t="n">
        <v>46125</v>
      </c>
      <c r="F1308" s="26" t="inlineStr">
        <is>
          <t>Sunil CR</t>
        </is>
      </c>
      <c r="G1308" s="26" t="inlineStr">
        <is>
          <t>Yes</t>
        </is>
      </c>
      <c r="H1308" s="26" t="inlineStr">
        <is>
          <t>No</t>
        </is>
      </c>
      <c r="I1308" s="26" t="inlineStr">
        <is>
          <t>Good finish</t>
        </is>
      </c>
      <c r="J1308" s="26" t="inlineStr">
        <is>
          <t>Yes</t>
        </is>
      </c>
      <c r="K1308" s="27" t="n"/>
      <c r="L1308" s="28" t="inlineStr">
        <is>
          <t>No</t>
        </is>
      </c>
      <c r="M1308" s="29">
        <f>IF(E1308="","",IF(H1308="Yes","❌ Disc",IF(G1308="No","⚠ Missing",IF(J1308="Yes","✓ OK","⚠ Check"))))</f>
        <v/>
      </c>
      <c r="N1308" s="43" t="n">
        <v>46193</v>
      </c>
      <c r="O1308" s="26" t="inlineStr">
        <is>
          <t>Sunil CR</t>
        </is>
      </c>
      <c r="P1308" s="26" t="inlineStr">
        <is>
          <t>Yes</t>
        </is>
      </c>
      <c r="Q1308" s="26" t="inlineStr">
        <is>
          <t>No</t>
        </is>
      </c>
      <c r="R1308" s="26" t="inlineStr">
        <is>
          <t>Good finish</t>
        </is>
      </c>
      <c r="S1308" s="26" t="inlineStr">
        <is>
          <t>Yes</t>
        </is>
      </c>
      <c r="T1308" s="27" t="n"/>
      <c r="U1308" s="28" t="inlineStr">
        <is>
          <t>No</t>
        </is>
      </c>
      <c r="V1308" s="29">
        <f>IF(N1308="","",IF(Q1308="Yes","❌ Disc",IF(P1308="No","⚠ Missing",IF(S1308="Yes","✓ OK","⚠ Check"))))</f>
        <v/>
      </c>
      <c r="W1308" s="65" t="n">
        <v>46248</v>
      </c>
      <c r="X1308" s="30" t="inlineStr">
        <is>
          <t>Sunil CR</t>
        </is>
      </c>
      <c r="Y1308" s="30" t="inlineStr">
        <is>
          <t>Yes</t>
        </is>
      </c>
      <c r="Z1308" s="30" t="n"/>
      <c r="AA1308" s="30" t="inlineStr">
        <is>
          <t>Good finish</t>
        </is>
      </c>
      <c r="AB1308" s="30" t="inlineStr">
        <is>
          <t>Yes</t>
        </is>
      </c>
      <c r="AC1308" s="27" t="n"/>
      <c r="AD1308" s="31" t="inlineStr">
        <is>
          <t>No</t>
        </is>
      </c>
      <c r="AE1308" s="32">
        <f>IF(W1308="","",IF(Z1308="Yes","❌ Disc",IF(Y1308="No","⚠ Missing",IF(AB1308="Yes","✓ OK","⚠ Check"))))</f>
        <v/>
      </c>
      <c r="AF1308" s="33" t="n"/>
      <c r="AG1308" s="33" t="n"/>
      <c r="AH1308" s="33" t="n"/>
      <c r="AI1308" s="33" t="n"/>
      <c r="AJ1308" s="33" t="n"/>
      <c r="AK1308" s="33" t="n"/>
      <c r="AL1308" s="27" t="n"/>
      <c r="AM1308" s="34" t="n"/>
      <c r="AN1308" s="35">
        <f>IF(AF1308="","",IF(AI1308="Yes","❌ Disc",IF(AH1308="No","⚠ Missing",IF(AK1308="Yes","✓ OK","⚠ Check"))))</f>
        <v/>
      </c>
      <c r="AO1308" s="36" t="n"/>
      <c r="AP1308" s="36" t="n"/>
      <c r="AQ1308" s="36" t="n"/>
      <c r="AR1308" s="36" t="n"/>
      <c r="AS1308" s="36" t="n"/>
      <c r="AT1308" s="36" t="n"/>
      <c r="AU1308" s="27" t="n"/>
      <c r="AV1308" s="37" t="n"/>
      <c r="AW1308" s="38">
        <f>IF(AO1308="","",IF(AR1308="Yes","❌ Disc",IF(AQ1308="No","⚠ Missing",IF(AT1308="Yes","✓ OK","⚠ Check"))))</f>
        <v/>
      </c>
    </row>
    <row r="1309" ht="18" customHeight="1" s="46">
      <c r="A1309" s="23" t="n">
        <v>1305</v>
      </c>
      <c r="B1309" s="24" t="inlineStr">
        <is>
          <t>WP MR INS 257</t>
        </is>
      </c>
      <c r="C1309" s="25" t="inlineStr">
        <is>
          <t>Marshalls Inspire II Wallpaper INS 257</t>
        </is>
      </c>
      <c r="D1309" s="23" t="inlineStr">
        <is>
          <t>Marshalls</t>
        </is>
      </c>
      <c r="E1309" s="43" t="n">
        <v>46125</v>
      </c>
      <c r="F1309" s="26" t="inlineStr">
        <is>
          <t>Sunil CR</t>
        </is>
      </c>
      <c r="G1309" s="26" t="inlineStr">
        <is>
          <t>Yes</t>
        </is>
      </c>
      <c r="H1309" s="26" t="inlineStr">
        <is>
          <t>No</t>
        </is>
      </c>
      <c r="I1309" s="26" t="inlineStr">
        <is>
          <t>Good finish</t>
        </is>
      </c>
      <c r="J1309" s="26" t="inlineStr">
        <is>
          <t>Yes</t>
        </is>
      </c>
      <c r="K1309" s="27" t="n"/>
      <c r="L1309" s="28" t="inlineStr">
        <is>
          <t>No</t>
        </is>
      </c>
      <c r="M1309" s="29">
        <f>IF(E1309="","",IF(H1309="Yes","❌ Disc",IF(G1309="No","⚠ Missing",IF(J1309="Yes","✓ OK","⚠ Check"))))</f>
        <v/>
      </c>
      <c r="N1309" s="43" t="n">
        <v>46193</v>
      </c>
      <c r="O1309" s="26" t="inlineStr">
        <is>
          <t>Sunil CR</t>
        </is>
      </c>
      <c r="P1309" s="26" t="inlineStr">
        <is>
          <t>Yes</t>
        </is>
      </c>
      <c r="Q1309" s="26" t="inlineStr">
        <is>
          <t>No</t>
        </is>
      </c>
      <c r="R1309" s="26" t="inlineStr">
        <is>
          <t>Good finish</t>
        </is>
      </c>
      <c r="S1309" s="26" t="inlineStr">
        <is>
          <t>Yes</t>
        </is>
      </c>
      <c r="T1309" s="27" t="n"/>
      <c r="U1309" s="28" t="inlineStr">
        <is>
          <t>No</t>
        </is>
      </c>
      <c r="V1309" s="29">
        <f>IF(N1309="","",IF(Q1309="Yes","❌ Disc",IF(P1309="No","⚠ Missing",IF(S1309="Yes","✓ OK","⚠ Check"))))</f>
        <v/>
      </c>
      <c r="W1309" s="65" t="n">
        <v>46248</v>
      </c>
      <c r="X1309" s="30" t="inlineStr">
        <is>
          <t>Sunil CR</t>
        </is>
      </c>
      <c r="Y1309" s="30" t="inlineStr">
        <is>
          <t>Yes</t>
        </is>
      </c>
      <c r="Z1309" s="30" t="n"/>
      <c r="AA1309" s="30" t="inlineStr">
        <is>
          <t>Good finish</t>
        </is>
      </c>
      <c r="AB1309" s="30" t="inlineStr">
        <is>
          <t>Yes</t>
        </is>
      </c>
      <c r="AC1309" s="27" t="n"/>
      <c r="AD1309" s="31" t="inlineStr">
        <is>
          <t>No</t>
        </is>
      </c>
      <c r="AE1309" s="32">
        <f>IF(W1309="","",IF(Z1309="Yes","❌ Disc",IF(Y1309="No","⚠ Missing",IF(AB1309="Yes","✓ OK","⚠ Check"))))</f>
        <v/>
      </c>
      <c r="AF1309" s="33" t="n"/>
      <c r="AG1309" s="33" t="n"/>
      <c r="AH1309" s="33" t="n"/>
      <c r="AI1309" s="33" t="n"/>
      <c r="AJ1309" s="33" t="n"/>
      <c r="AK1309" s="33" t="n"/>
      <c r="AL1309" s="27" t="n"/>
      <c r="AM1309" s="34" t="n"/>
      <c r="AN1309" s="35">
        <f>IF(AF1309="","",IF(AI1309="Yes","❌ Disc",IF(AH1309="No","⚠ Missing",IF(AK1309="Yes","✓ OK","⚠ Check"))))</f>
        <v/>
      </c>
      <c r="AO1309" s="36" t="n"/>
      <c r="AP1309" s="36" t="n"/>
      <c r="AQ1309" s="36" t="n"/>
      <c r="AR1309" s="36" t="n"/>
      <c r="AS1309" s="36" t="n"/>
      <c r="AT1309" s="36" t="n"/>
      <c r="AU1309" s="27" t="n"/>
      <c r="AV1309" s="37" t="n"/>
      <c r="AW1309" s="38">
        <f>IF(AO1309="","",IF(AR1309="Yes","❌ Disc",IF(AQ1309="No","⚠ Missing",IF(AT1309="Yes","✓ OK","⚠ Check"))))</f>
        <v/>
      </c>
    </row>
    <row r="1310" ht="18" customHeight="1" s="46">
      <c r="A1310" s="39" t="n">
        <v>1306</v>
      </c>
      <c r="B1310" s="40" t="inlineStr">
        <is>
          <t>WP MR INS 258</t>
        </is>
      </c>
      <c r="C1310" s="41" t="inlineStr">
        <is>
          <t>Marshalls Inspire II Wallpaper INS 258</t>
        </is>
      </c>
      <c r="D1310" s="39" t="inlineStr">
        <is>
          <t>Marshalls</t>
        </is>
      </c>
      <c r="E1310" s="43" t="n">
        <v>46125</v>
      </c>
      <c r="F1310" s="26" t="inlineStr">
        <is>
          <t>Sunil CR</t>
        </is>
      </c>
      <c r="G1310" s="26" t="inlineStr">
        <is>
          <t>Yes</t>
        </is>
      </c>
      <c r="H1310" s="26" t="inlineStr">
        <is>
          <t>No</t>
        </is>
      </c>
      <c r="I1310" s="26" t="inlineStr">
        <is>
          <t>Good finish</t>
        </is>
      </c>
      <c r="J1310" s="26" t="inlineStr">
        <is>
          <t>Yes</t>
        </is>
      </c>
      <c r="K1310" s="27" t="n"/>
      <c r="L1310" s="28" t="inlineStr">
        <is>
          <t>No</t>
        </is>
      </c>
      <c r="M1310" s="29">
        <f>IF(E1310="","",IF(H1310="Yes","❌ Disc",IF(G1310="No","⚠ Missing",IF(J1310="Yes","✓ OK","⚠ Check"))))</f>
        <v/>
      </c>
      <c r="N1310" s="43" t="n">
        <v>46193</v>
      </c>
      <c r="O1310" s="26" t="inlineStr">
        <is>
          <t>Sunil CR</t>
        </is>
      </c>
      <c r="P1310" s="26" t="inlineStr">
        <is>
          <t>Yes</t>
        </is>
      </c>
      <c r="Q1310" s="26" t="inlineStr">
        <is>
          <t>No</t>
        </is>
      </c>
      <c r="R1310" s="26" t="inlineStr">
        <is>
          <t>Good finish</t>
        </is>
      </c>
      <c r="S1310" s="26" t="inlineStr">
        <is>
          <t>Yes</t>
        </is>
      </c>
      <c r="T1310" s="27" t="n"/>
      <c r="U1310" s="28" t="inlineStr">
        <is>
          <t>No</t>
        </is>
      </c>
      <c r="V1310" s="29">
        <f>IF(N1310="","",IF(Q1310="Yes","❌ Disc",IF(P1310="No","⚠ Missing",IF(S1310="Yes","✓ OK","⚠ Check"))))</f>
        <v/>
      </c>
      <c r="W1310" s="65" t="n">
        <v>46248</v>
      </c>
      <c r="X1310" s="30" t="inlineStr">
        <is>
          <t>Sunil CR</t>
        </is>
      </c>
      <c r="Y1310" s="30" t="inlineStr">
        <is>
          <t>Yes</t>
        </is>
      </c>
      <c r="Z1310" s="30" t="n"/>
      <c r="AA1310" s="30" t="inlineStr">
        <is>
          <t>Good finish</t>
        </is>
      </c>
      <c r="AB1310" s="30" t="inlineStr">
        <is>
          <t>Yes</t>
        </is>
      </c>
      <c r="AC1310" s="27" t="n"/>
      <c r="AD1310" s="31" t="inlineStr">
        <is>
          <t>No</t>
        </is>
      </c>
      <c r="AE1310" s="32">
        <f>IF(W1310="","",IF(Z1310="Yes","❌ Disc",IF(Y1310="No","⚠ Missing",IF(AB1310="Yes","✓ OK","⚠ Check"))))</f>
        <v/>
      </c>
      <c r="AF1310" s="33" t="n"/>
      <c r="AG1310" s="33" t="n"/>
      <c r="AH1310" s="33" t="n"/>
      <c r="AI1310" s="33" t="n"/>
      <c r="AJ1310" s="33" t="n"/>
      <c r="AK1310" s="33" t="n"/>
      <c r="AL1310" s="27" t="n"/>
      <c r="AM1310" s="34" t="n"/>
      <c r="AN1310" s="35">
        <f>IF(AF1310="","",IF(AI1310="Yes","❌ Disc",IF(AH1310="No","⚠ Missing",IF(AK1310="Yes","✓ OK","⚠ Check"))))</f>
        <v/>
      </c>
      <c r="AO1310" s="36" t="n"/>
      <c r="AP1310" s="36" t="n"/>
      <c r="AQ1310" s="36" t="n"/>
      <c r="AR1310" s="36" t="n"/>
      <c r="AS1310" s="36" t="n"/>
      <c r="AT1310" s="36" t="n"/>
      <c r="AU1310" s="27" t="n"/>
      <c r="AV1310" s="37" t="n"/>
      <c r="AW1310" s="38">
        <f>IF(AO1310="","",IF(AR1310="Yes","❌ Disc",IF(AQ1310="No","⚠ Missing",IF(AT1310="Yes","✓ OK","⚠ Check"))))</f>
        <v/>
      </c>
    </row>
    <row r="1311" ht="18" customHeight="1" s="46">
      <c r="A1311" s="23" t="n">
        <v>1307</v>
      </c>
      <c r="B1311" s="24" t="inlineStr">
        <is>
          <t>WP MR INS 259</t>
        </is>
      </c>
      <c r="C1311" s="25" t="inlineStr">
        <is>
          <t>Marshalls Inspire II Wallpaper INS 259</t>
        </is>
      </c>
      <c r="D1311" s="23" t="inlineStr">
        <is>
          <t>Marshalls</t>
        </is>
      </c>
      <c r="E1311" s="43" t="n">
        <v>46125</v>
      </c>
      <c r="F1311" s="26" t="inlineStr">
        <is>
          <t>Sunil CR</t>
        </is>
      </c>
      <c r="G1311" s="26" t="inlineStr">
        <is>
          <t>Yes</t>
        </is>
      </c>
      <c r="H1311" s="26" t="inlineStr">
        <is>
          <t>No</t>
        </is>
      </c>
      <c r="I1311" s="26" t="inlineStr">
        <is>
          <t>Good finish</t>
        </is>
      </c>
      <c r="J1311" s="26" t="inlineStr">
        <is>
          <t>Yes</t>
        </is>
      </c>
      <c r="K1311" s="27" t="n"/>
      <c r="L1311" s="28" t="inlineStr">
        <is>
          <t>No</t>
        </is>
      </c>
      <c r="M1311" s="29">
        <f>IF(E1311="","",IF(H1311="Yes","❌ Disc",IF(G1311="No","⚠ Missing",IF(J1311="Yes","✓ OK","⚠ Check"))))</f>
        <v/>
      </c>
      <c r="N1311" s="43" t="n">
        <v>46193</v>
      </c>
      <c r="O1311" s="26" t="inlineStr">
        <is>
          <t>Sunil CR</t>
        </is>
      </c>
      <c r="P1311" s="26" t="inlineStr">
        <is>
          <t>Yes</t>
        </is>
      </c>
      <c r="Q1311" s="26" t="inlineStr">
        <is>
          <t>No</t>
        </is>
      </c>
      <c r="R1311" s="26" t="inlineStr">
        <is>
          <t>Good finish</t>
        </is>
      </c>
      <c r="S1311" s="26" t="inlineStr">
        <is>
          <t>Yes</t>
        </is>
      </c>
      <c r="T1311" s="27" t="n"/>
      <c r="U1311" s="28" t="inlineStr">
        <is>
          <t>No</t>
        </is>
      </c>
      <c r="V1311" s="29">
        <f>IF(N1311="","",IF(Q1311="Yes","❌ Disc",IF(P1311="No","⚠ Missing",IF(S1311="Yes","✓ OK","⚠ Check"))))</f>
        <v/>
      </c>
      <c r="W1311" s="65" t="n">
        <v>46248</v>
      </c>
      <c r="X1311" s="30" t="inlineStr">
        <is>
          <t>Sunil CR</t>
        </is>
      </c>
      <c r="Y1311" s="30" t="inlineStr">
        <is>
          <t>Yes</t>
        </is>
      </c>
      <c r="Z1311" s="30" t="n"/>
      <c r="AA1311" s="30" t="inlineStr">
        <is>
          <t>Good finish</t>
        </is>
      </c>
      <c r="AB1311" s="30" t="inlineStr">
        <is>
          <t>Yes</t>
        </is>
      </c>
      <c r="AC1311" s="27" t="n"/>
      <c r="AD1311" s="31" t="inlineStr">
        <is>
          <t>No</t>
        </is>
      </c>
      <c r="AE1311" s="32">
        <f>IF(W1311="","",IF(Z1311="Yes","❌ Disc",IF(Y1311="No","⚠ Missing",IF(AB1311="Yes","✓ OK","⚠ Check"))))</f>
        <v/>
      </c>
      <c r="AF1311" s="33" t="n"/>
      <c r="AG1311" s="33" t="n"/>
      <c r="AH1311" s="33" t="n"/>
      <c r="AI1311" s="33" t="n"/>
      <c r="AJ1311" s="33" t="n"/>
      <c r="AK1311" s="33" t="n"/>
      <c r="AL1311" s="27" t="n"/>
      <c r="AM1311" s="34" t="n"/>
      <c r="AN1311" s="35">
        <f>IF(AF1311="","",IF(AI1311="Yes","❌ Disc",IF(AH1311="No","⚠ Missing",IF(AK1311="Yes","✓ OK","⚠ Check"))))</f>
        <v/>
      </c>
      <c r="AO1311" s="36" t="n"/>
      <c r="AP1311" s="36" t="n"/>
      <c r="AQ1311" s="36" t="n"/>
      <c r="AR1311" s="36" t="n"/>
      <c r="AS1311" s="36" t="n"/>
      <c r="AT1311" s="36" t="n"/>
      <c r="AU1311" s="27" t="n"/>
      <c r="AV1311" s="37" t="n"/>
      <c r="AW1311" s="38">
        <f>IF(AO1311="","",IF(AR1311="Yes","❌ Disc",IF(AQ1311="No","⚠ Missing",IF(AT1311="Yes","✓ OK","⚠ Check"))))</f>
        <v/>
      </c>
    </row>
    <row r="1312" ht="18" customHeight="1" s="46">
      <c r="A1312" s="39" t="n">
        <v>1308</v>
      </c>
      <c r="B1312" s="40" t="inlineStr">
        <is>
          <t>WP MR INS 260</t>
        </is>
      </c>
      <c r="C1312" s="41" t="inlineStr">
        <is>
          <t>Marshalls Inspire II Wallpaper INS 260</t>
        </is>
      </c>
      <c r="D1312" s="39" t="inlineStr">
        <is>
          <t>Marshalls</t>
        </is>
      </c>
      <c r="E1312" s="43" t="n">
        <v>46125</v>
      </c>
      <c r="F1312" s="26" t="inlineStr">
        <is>
          <t>Sunil CR</t>
        </is>
      </c>
      <c r="G1312" s="26" t="inlineStr">
        <is>
          <t>Yes</t>
        </is>
      </c>
      <c r="H1312" s="26" t="inlineStr">
        <is>
          <t>No</t>
        </is>
      </c>
      <c r="I1312" s="26" t="inlineStr">
        <is>
          <t>Good finish</t>
        </is>
      </c>
      <c r="J1312" s="26" t="inlineStr">
        <is>
          <t>Yes</t>
        </is>
      </c>
      <c r="K1312" s="27" t="n"/>
      <c r="L1312" s="28" t="inlineStr">
        <is>
          <t>No</t>
        </is>
      </c>
      <c r="M1312" s="29">
        <f>IF(E1312="","",IF(H1312="Yes","❌ Disc",IF(G1312="No","⚠ Missing",IF(J1312="Yes","✓ OK","⚠ Check"))))</f>
        <v/>
      </c>
      <c r="N1312" s="43" t="n">
        <v>46193</v>
      </c>
      <c r="O1312" s="26" t="inlineStr">
        <is>
          <t>Sunil CR</t>
        </is>
      </c>
      <c r="P1312" s="26" t="inlineStr">
        <is>
          <t>Yes</t>
        </is>
      </c>
      <c r="Q1312" s="26" t="inlineStr">
        <is>
          <t>No</t>
        </is>
      </c>
      <c r="R1312" s="26" t="inlineStr">
        <is>
          <t>Good finish</t>
        </is>
      </c>
      <c r="S1312" s="26" t="inlineStr">
        <is>
          <t>Yes</t>
        </is>
      </c>
      <c r="T1312" s="27" t="n"/>
      <c r="U1312" s="28" t="inlineStr">
        <is>
          <t>No</t>
        </is>
      </c>
      <c r="V1312" s="29">
        <f>IF(N1312="","",IF(Q1312="Yes","❌ Disc",IF(P1312="No","⚠ Missing",IF(S1312="Yes","✓ OK","⚠ Check"))))</f>
        <v/>
      </c>
      <c r="W1312" s="65" t="n">
        <v>46248</v>
      </c>
      <c r="X1312" s="30" t="inlineStr">
        <is>
          <t>Sunil CR</t>
        </is>
      </c>
      <c r="Y1312" s="30" t="inlineStr">
        <is>
          <t>Yes</t>
        </is>
      </c>
      <c r="Z1312" s="30" t="n"/>
      <c r="AA1312" s="30" t="inlineStr">
        <is>
          <t>Good finish</t>
        </is>
      </c>
      <c r="AB1312" s="30" t="inlineStr">
        <is>
          <t>Yes</t>
        </is>
      </c>
      <c r="AC1312" s="27" t="n"/>
      <c r="AD1312" s="31" t="inlineStr">
        <is>
          <t>No</t>
        </is>
      </c>
      <c r="AE1312" s="32">
        <f>IF(W1312="","",IF(Z1312="Yes","❌ Disc",IF(Y1312="No","⚠ Missing",IF(AB1312="Yes","✓ OK","⚠ Check"))))</f>
        <v/>
      </c>
      <c r="AF1312" s="33" t="n"/>
      <c r="AG1312" s="33" t="n"/>
      <c r="AH1312" s="33" t="n"/>
      <c r="AI1312" s="33" t="n"/>
      <c r="AJ1312" s="33" t="n"/>
      <c r="AK1312" s="33" t="n"/>
      <c r="AL1312" s="27" t="n"/>
      <c r="AM1312" s="34" t="n"/>
      <c r="AN1312" s="35">
        <f>IF(AF1312="","",IF(AI1312="Yes","❌ Disc",IF(AH1312="No","⚠ Missing",IF(AK1312="Yes","✓ OK","⚠ Check"))))</f>
        <v/>
      </c>
      <c r="AO1312" s="36" t="n"/>
      <c r="AP1312" s="36" t="n"/>
      <c r="AQ1312" s="36" t="n"/>
      <c r="AR1312" s="36" t="n"/>
      <c r="AS1312" s="36" t="n"/>
      <c r="AT1312" s="36" t="n"/>
      <c r="AU1312" s="27" t="n"/>
      <c r="AV1312" s="37" t="n"/>
      <c r="AW1312" s="38">
        <f>IF(AO1312="","",IF(AR1312="Yes","❌ Disc",IF(AQ1312="No","⚠ Missing",IF(AT1312="Yes","✓ OK","⚠ Check"))))</f>
        <v/>
      </c>
    </row>
    <row r="1313" ht="18" customHeight="1" s="46">
      <c r="A1313" s="23" t="n">
        <v>1309</v>
      </c>
      <c r="B1313" s="24" t="inlineStr">
        <is>
          <t>WP MR INS 261</t>
        </is>
      </c>
      <c r="C1313" s="25" t="inlineStr">
        <is>
          <t>Marshalls Inspire II Wallpaper INS 261</t>
        </is>
      </c>
      <c r="D1313" s="23" t="inlineStr">
        <is>
          <t>Marshalls</t>
        </is>
      </c>
      <c r="E1313" s="43" t="n">
        <v>46125</v>
      </c>
      <c r="F1313" s="26" t="inlineStr">
        <is>
          <t>Sunil CR</t>
        </is>
      </c>
      <c r="G1313" s="26" t="inlineStr">
        <is>
          <t>Yes</t>
        </is>
      </c>
      <c r="H1313" s="26" t="inlineStr">
        <is>
          <t>No</t>
        </is>
      </c>
      <c r="I1313" s="26" t="inlineStr">
        <is>
          <t>Good finish</t>
        </is>
      </c>
      <c r="J1313" s="26" t="inlineStr">
        <is>
          <t>Yes</t>
        </is>
      </c>
      <c r="K1313" s="27" t="n"/>
      <c r="L1313" s="28" t="inlineStr">
        <is>
          <t>No</t>
        </is>
      </c>
      <c r="M1313" s="29">
        <f>IF(E1313="","",IF(H1313="Yes","❌ Disc",IF(G1313="No","⚠ Missing",IF(J1313="Yes","✓ OK","⚠ Check"))))</f>
        <v/>
      </c>
      <c r="N1313" s="43" t="n">
        <v>46193</v>
      </c>
      <c r="O1313" s="26" t="inlineStr">
        <is>
          <t>Sunil CR</t>
        </is>
      </c>
      <c r="P1313" s="26" t="inlineStr">
        <is>
          <t>Yes</t>
        </is>
      </c>
      <c r="Q1313" s="26" t="inlineStr">
        <is>
          <t>No</t>
        </is>
      </c>
      <c r="R1313" s="26" t="inlineStr">
        <is>
          <t>Good finish</t>
        </is>
      </c>
      <c r="S1313" s="26" t="inlineStr">
        <is>
          <t>Yes</t>
        </is>
      </c>
      <c r="T1313" s="27" t="n"/>
      <c r="U1313" s="28" t="inlineStr">
        <is>
          <t>No</t>
        </is>
      </c>
      <c r="V1313" s="29">
        <f>IF(N1313="","",IF(Q1313="Yes","❌ Disc",IF(P1313="No","⚠ Missing",IF(S1313="Yes","✓ OK","⚠ Check"))))</f>
        <v/>
      </c>
      <c r="W1313" s="65" t="n">
        <v>46248</v>
      </c>
      <c r="X1313" s="30" t="inlineStr">
        <is>
          <t>Sunil CR</t>
        </is>
      </c>
      <c r="Y1313" s="30" t="inlineStr">
        <is>
          <t>Yes</t>
        </is>
      </c>
      <c r="Z1313" s="30" t="n"/>
      <c r="AA1313" s="30" t="inlineStr">
        <is>
          <t>Good finish</t>
        </is>
      </c>
      <c r="AB1313" s="30" t="inlineStr">
        <is>
          <t>Yes</t>
        </is>
      </c>
      <c r="AC1313" s="27" t="n"/>
      <c r="AD1313" s="31" t="inlineStr">
        <is>
          <t>No</t>
        </is>
      </c>
      <c r="AE1313" s="32">
        <f>IF(W1313="","",IF(Z1313="Yes","❌ Disc",IF(Y1313="No","⚠ Missing",IF(AB1313="Yes","✓ OK","⚠ Check"))))</f>
        <v/>
      </c>
      <c r="AF1313" s="33" t="n"/>
      <c r="AG1313" s="33" t="n"/>
      <c r="AH1313" s="33" t="n"/>
      <c r="AI1313" s="33" t="n"/>
      <c r="AJ1313" s="33" t="n"/>
      <c r="AK1313" s="33" t="n"/>
      <c r="AL1313" s="27" t="n"/>
      <c r="AM1313" s="34" t="n"/>
      <c r="AN1313" s="35">
        <f>IF(AF1313="","",IF(AI1313="Yes","❌ Disc",IF(AH1313="No","⚠ Missing",IF(AK1313="Yes","✓ OK","⚠ Check"))))</f>
        <v/>
      </c>
      <c r="AO1313" s="36" t="n"/>
      <c r="AP1313" s="36" t="n"/>
      <c r="AQ1313" s="36" t="n"/>
      <c r="AR1313" s="36" t="n"/>
      <c r="AS1313" s="36" t="n"/>
      <c r="AT1313" s="36" t="n"/>
      <c r="AU1313" s="27" t="n"/>
      <c r="AV1313" s="37" t="n"/>
      <c r="AW1313" s="38">
        <f>IF(AO1313="","",IF(AR1313="Yes","❌ Disc",IF(AQ1313="No","⚠ Missing",IF(AT1313="Yes","✓ OK","⚠ Check"))))</f>
        <v/>
      </c>
    </row>
    <row r="1314" ht="18" customHeight="1" s="46">
      <c r="A1314" s="39" t="n">
        <v>1310</v>
      </c>
      <c r="B1314" s="40" t="inlineStr">
        <is>
          <t>WP MR INS 262</t>
        </is>
      </c>
      <c r="C1314" s="41" t="inlineStr">
        <is>
          <t>Marshalls Inspire II Wallpaper INS 262</t>
        </is>
      </c>
      <c r="D1314" s="39" t="inlineStr">
        <is>
          <t>Marshalls</t>
        </is>
      </c>
      <c r="E1314" s="43" t="n">
        <v>46125</v>
      </c>
      <c r="F1314" s="26" t="inlineStr">
        <is>
          <t>Sunil CR</t>
        </is>
      </c>
      <c r="G1314" s="26" t="inlineStr">
        <is>
          <t>Yes</t>
        </is>
      </c>
      <c r="H1314" s="26" t="inlineStr">
        <is>
          <t>No</t>
        </is>
      </c>
      <c r="I1314" s="26" t="inlineStr">
        <is>
          <t>Good finish</t>
        </is>
      </c>
      <c r="J1314" s="26" t="inlineStr">
        <is>
          <t>Yes</t>
        </is>
      </c>
      <c r="K1314" s="27" t="n"/>
      <c r="L1314" s="28" t="inlineStr">
        <is>
          <t>No</t>
        </is>
      </c>
      <c r="M1314" s="29">
        <f>IF(E1314="","",IF(H1314="Yes","❌ Disc",IF(G1314="No","⚠ Missing",IF(J1314="Yes","✓ OK","⚠ Check"))))</f>
        <v/>
      </c>
      <c r="N1314" s="43" t="n">
        <v>46193</v>
      </c>
      <c r="O1314" s="26" t="inlineStr">
        <is>
          <t>Sunil CR</t>
        </is>
      </c>
      <c r="P1314" s="26" t="inlineStr">
        <is>
          <t>Yes</t>
        </is>
      </c>
      <c r="Q1314" s="26" t="inlineStr">
        <is>
          <t>No</t>
        </is>
      </c>
      <c r="R1314" s="26" t="inlineStr">
        <is>
          <t>Good finish</t>
        </is>
      </c>
      <c r="S1314" s="26" t="inlineStr">
        <is>
          <t>Yes</t>
        </is>
      </c>
      <c r="T1314" s="27" t="n"/>
      <c r="U1314" s="28" t="inlineStr">
        <is>
          <t>No</t>
        </is>
      </c>
      <c r="V1314" s="29">
        <f>IF(N1314="","",IF(Q1314="Yes","❌ Disc",IF(P1314="No","⚠ Missing",IF(S1314="Yes","✓ OK","⚠ Check"))))</f>
        <v/>
      </c>
      <c r="W1314" s="65" t="n">
        <v>46248</v>
      </c>
      <c r="X1314" s="30" t="inlineStr">
        <is>
          <t>Sunil CR</t>
        </is>
      </c>
      <c r="Y1314" s="30" t="inlineStr">
        <is>
          <t>Yes</t>
        </is>
      </c>
      <c r="Z1314" s="30" t="n"/>
      <c r="AA1314" s="30" t="inlineStr">
        <is>
          <t>Good finish</t>
        </is>
      </c>
      <c r="AB1314" s="30" t="inlineStr">
        <is>
          <t>Yes</t>
        </is>
      </c>
      <c r="AC1314" s="27" t="n"/>
      <c r="AD1314" s="31" t="inlineStr">
        <is>
          <t>No</t>
        </is>
      </c>
      <c r="AE1314" s="32">
        <f>IF(W1314="","",IF(Z1314="Yes","❌ Disc",IF(Y1314="No","⚠ Missing",IF(AB1314="Yes","✓ OK","⚠ Check"))))</f>
        <v/>
      </c>
      <c r="AF1314" s="33" t="n"/>
      <c r="AG1314" s="33" t="n"/>
      <c r="AH1314" s="33" t="n"/>
      <c r="AI1314" s="33" t="n"/>
      <c r="AJ1314" s="33" t="n"/>
      <c r="AK1314" s="33" t="n"/>
      <c r="AL1314" s="27" t="n"/>
      <c r="AM1314" s="34" t="n"/>
      <c r="AN1314" s="35">
        <f>IF(AF1314="","",IF(AI1314="Yes","❌ Disc",IF(AH1314="No","⚠ Missing",IF(AK1314="Yes","✓ OK","⚠ Check"))))</f>
        <v/>
      </c>
      <c r="AO1314" s="36" t="n"/>
      <c r="AP1314" s="36" t="n"/>
      <c r="AQ1314" s="36" t="n"/>
      <c r="AR1314" s="36" t="n"/>
      <c r="AS1314" s="36" t="n"/>
      <c r="AT1314" s="36" t="n"/>
      <c r="AU1314" s="27" t="n"/>
      <c r="AV1314" s="37" t="n"/>
      <c r="AW1314" s="38">
        <f>IF(AO1314="","",IF(AR1314="Yes","❌ Disc",IF(AQ1314="No","⚠ Missing",IF(AT1314="Yes","✓ OK","⚠ Check"))))</f>
        <v/>
      </c>
    </row>
    <row r="1315" ht="18" customHeight="1" s="46">
      <c r="A1315" s="23" t="n">
        <v>1311</v>
      </c>
      <c r="B1315" s="24" t="inlineStr">
        <is>
          <t>WP MR INS 263</t>
        </is>
      </c>
      <c r="C1315" s="25" t="inlineStr">
        <is>
          <t>Marshalls Inspire II Wallpaper INS 263</t>
        </is>
      </c>
      <c r="D1315" s="23" t="inlineStr">
        <is>
          <t>Marshalls</t>
        </is>
      </c>
      <c r="E1315" s="43" t="n">
        <v>46125</v>
      </c>
      <c r="F1315" s="26" t="inlineStr">
        <is>
          <t>Sunil CR</t>
        </is>
      </c>
      <c r="G1315" s="26" t="inlineStr">
        <is>
          <t>Yes</t>
        </is>
      </c>
      <c r="H1315" s="26" t="inlineStr">
        <is>
          <t>No</t>
        </is>
      </c>
      <c r="I1315" s="26" t="inlineStr">
        <is>
          <t>Good finish</t>
        </is>
      </c>
      <c r="J1315" s="26" t="inlineStr">
        <is>
          <t>Yes</t>
        </is>
      </c>
      <c r="K1315" s="27" t="n"/>
      <c r="L1315" s="28" t="inlineStr">
        <is>
          <t>No</t>
        </is>
      </c>
      <c r="M1315" s="29">
        <f>IF(E1315="","",IF(H1315="Yes","❌ Disc",IF(G1315="No","⚠ Missing",IF(J1315="Yes","✓ OK","⚠ Check"))))</f>
        <v/>
      </c>
      <c r="N1315" s="43" t="n">
        <v>46193</v>
      </c>
      <c r="O1315" s="26" t="inlineStr">
        <is>
          <t>Sunil CR</t>
        </is>
      </c>
      <c r="P1315" s="26" t="inlineStr">
        <is>
          <t>Yes</t>
        </is>
      </c>
      <c r="Q1315" s="26" t="inlineStr">
        <is>
          <t>No</t>
        </is>
      </c>
      <c r="R1315" s="26" t="inlineStr">
        <is>
          <t>Good finish</t>
        </is>
      </c>
      <c r="S1315" s="26" t="inlineStr">
        <is>
          <t>Yes</t>
        </is>
      </c>
      <c r="T1315" s="27" t="n"/>
      <c r="U1315" s="28" t="inlineStr">
        <is>
          <t>No</t>
        </is>
      </c>
      <c r="V1315" s="29">
        <f>IF(N1315="","",IF(Q1315="Yes","❌ Disc",IF(P1315="No","⚠ Missing",IF(S1315="Yes","✓ OK","⚠ Check"))))</f>
        <v/>
      </c>
      <c r="W1315" s="65" t="n">
        <v>46248</v>
      </c>
      <c r="X1315" s="30" t="inlineStr">
        <is>
          <t>Sunil CR</t>
        </is>
      </c>
      <c r="Y1315" s="30" t="inlineStr">
        <is>
          <t>Yes</t>
        </is>
      </c>
      <c r="Z1315" s="30" t="n"/>
      <c r="AA1315" s="30" t="inlineStr">
        <is>
          <t>Good finish</t>
        </is>
      </c>
      <c r="AB1315" s="30" t="inlineStr">
        <is>
          <t>Yes</t>
        </is>
      </c>
      <c r="AC1315" s="27" t="n"/>
      <c r="AD1315" s="31" t="inlineStr">
        <is>
          <t>No</t>
        </is>
      </c>
      <c r="AE1315" s="32">
        <f>IF(W1315="","",IF(Z1315="Yes","❌ Disc",IF(Y1315="No","⚠ Missing",IF(AB1315="Yes","✓ OK","⚠ Check"))))</f>
        <v/>
      </c>
      <c r="AF1315" s="33" t="n"/>
      <c r="AG1315" s="33" t="n"/>
      <c r="AH1315" s="33" t="n"/>
      <c r="AI1315" s="33" t="n"/>
      <c r="AJ1315" s="33" t="n"/>
      <c r="AK1315" s="33" t="n"/>
      <c r="AL1315" s="27" t="n"/>
      <c r="AM1315" s="34" t="n"/>
      <c r="AN1315" s="35">
        <f>IF(AF1315="","",IF(AI1315="Yes","❌ Disc",IF(AH1315="No","⚠ Missing",IF(AK1315="Yes","✓ OK","⚠ Check"))))</f>
        <v/>
      </c>
      <c r="AO1315" s="36" t="n"/>
      <c r="AP1315" s="36" t="n"/>
      <c r="AQ1315" s="36" t="n"/>
      <c r="AR1315" s="36" t="n"/>
      <c r="AS1315" s="36" t="n"/>
      <c r="AT1315" s="36" t="n"/>
      <c r="AU1315" s="27" t="n"/>
      <c r="AV1315" s="37" t="n"/>
      <c r="AW1315" s="38">
        <f>IF(AO1315="","",IF(AR1315="Yes","❌ Disc",IF(AQ1315="No","⚠ Missing",IF(AT1315="Yes","✓ OK","⚠ Check"))))</f>
        <v/>
      </c>
    </row>
    <row r="1316" ht="18" customHeight="1" s="46">
      <c r="A1316" s="39" t="n">
        <v>1312</v>
      </c>
      <c r="B1316" s="40" t="inlineStr">
        <is>
          <t>WP MR INS 264</t>
        </is>
      </c>
      <c r="C1316" s="41" t="inlineStr">
        <is>
          <t>Marshalls Inspire II Wallpaper INS 264</t>
        </is>
      </c>
      <c r="D1316" s="39" t="inlineStr">
        <is>
          <t>Marshalls</t>
        </is>
      </c>
      <c r="E1316" s="43" t="n">
        <v>46125</v>
      </c>
      <c r="F1316" s="26" t="inlineStr">
        <is>
          <t>Sunil CR</t>
        </is>
      </c>
      <c r="G1316" s="26" t="inlineStr">
        <is>
          <t>Yes</t>
        </is>
      </c>
      <c r="H1316" s="26" t="inlineStr">
        <is>
          <t>No</t>
        </is>
      </c>
      <c r="I1316" s="26" t="inlineStr">
        <is>
          <t>Good finish</t>
        </is>
      </c>
      <c r="J1316" s="26" t="inlineStr">
        <is>
          <t>Yes</t>
        </is>
      </c>
      <c r="K1316" s="27" t="n"/>
      <c r="L1316" s="28" t="inlineStr">
        <is>
          <t>No</t>
        </is>
      </c>
      <c r="M1316" s="29">
        <f>IF(E1316="","",IF(H1316="Yes","❌ Disc",IF(G1316="No","⚠ Missing",IF(J1316="Yes","✓ OK","⚠ Check"))))</f>
        <v/>
      </c>
      <c r="N1316" s="43" t="n">
        <v>46193</v>
      </c>
      <c r="O1316" s="26" t="inlineStr">
        <is>
          <t>Sunil CR</t>
        </is>
      </c>
      <c r="P1316" s="26" t="inlineStr">
        <is>
          <t>Yes</t>
        </is>
      </c>
      <c r="Q1316" s="26" t="inlineStr">
        <is>
          <t>No</t>
        </is>
      </c>
      <c r="R1316" s="26" t="inlineStr">
        <is>
          <t>Good finish</t>
        </is>
      </c>
      <c r="S1316" s="26" t="inlineStr">
        <is>
          <t>Yes</t>
        </is>
      </c>
      <c r="T1316" s="27" t="n"/>
      <c r="U1316" s="28" t="inlineStr">
        <is>
          <t>No</t>
        </is>
      </c>
      <c r="V1316" s="29">
        <f>IF(N1316="","",IF(Q1316="Yes","❌ Disc",IF(P1316="No","⚠ Missing",IF(S1316="Yes","✓ OK","⚠ Check"))))</f>
        <v/>
      </c>
      <c r="W1316" s="65" t="n">
        <v>46248</v>
      </c>
      <c r="X1316" s="30" t="inlineStr">
        <is>
          <t>Sunil CR</t>
        </is>
      </c>
      <c r="Y1316" s="30" t="inlineStr">
        <is>
          <t>Yes</t>
        </is>
      </c>
      <c r="Z1316" s="30" t="n"/>
      <c r="AA1316" s="30" t="inlineStr">
        <is>
          <t>Good finish</t>
        </is>
      </c>
      <c r="AB1316" s="30" t="inlineStr">
        <is>
          <t>Yes</t>
        </is>
      </c>
      <c r="AC1316" s="27" t="n"/>
      <c r="AD1316" s="31" t="inlineStr">
        <is>
          <t>No</t>
        </is>
      </c>
      <c r="AE1316" s="32">
        <f>IF(W1316="","",IF(Z1316="Yes","❌ Disc",IF(Y1316="No","⚠ Missing",IF(AB1316="Yes","✓ OK","⚠ Check"))))</f>
        <v/>
      </c>
      <c r="AF1316" s="33" t="n"/>
      <c r="AG1316" s="33" t="n"/>
      <c r="AH1316" s="33" t="n"/>
      <c r="AI1316" s="33" t="n"/>
      <c r="AJ1316" s="33" t="n"/>
      <c r="AK1316" s="33" t="n"/>
      <c r="AL1316" s="27" t="n"/>
      <c r="AM1316" s="34" t="n"/>
      <c r="AN1316" s="35">
        <f>IF(AF1316="","",IF(AI1316="Yes","❌ Disc",IF(AH1316="No","⚠ Missing",IF(AK1316="Yes","✓ OK","⚠ Check"))))</f>
        <v/>
      </c>
      <c r="AO1316" s="36" t="n"/>
      <c r="AP1316" s="36" t="n"/>
      <c r="AQ1316" s="36" t="n"/>
      <c r="AR1316" s="36" t="n"/>
      <c r="AS1316" s="36" t="n"/>
      <c r="AT1316" s="36" t="n"/>
      <c r="AU1316" s="27" t="n"/>
      <c r="AV1316" s="37" t="n"/>
      <c r="AW1316" s="38">
        <f>IF(AO1316="","",IF(AR1316="Yes","❌ Disc",IF(AQ1316="No","⚠ Missing",IF(AT1316="Yes","✓ OK","⚠ Check"))))</f>
        <v/>
      </c>
    </row>
    <row r="1317" ht="18" customHeight="1" s="46">
      <c r="A1317" s="23" t="n">
        <v>1313</v>
      </c>
      <c r="B1317" s="24" t="inlineStr">
        <is>
          <t>WP MR INS 265</t>
        </is>
      </c>
      <c r="C1317" s="25" t="inlineStr">
        <is>
          <t>Marshalls Inspire II Wallpaper INS 265</t>
        </is>
      </c>
      <c r="D1317" s="23" t="inlineStr">
        <is>
          <t>Marshalls</t>
        </is>
      </c>
      <c r="E1317" s="43" t="n">
        <v>46125</v>
      </c>
      <c r="F1317" s="26" t="inlineStr">
        <is>
          <t>Sunil CR</t>
        </is>
      </c>
      <c r="G1317" s="26" t="inlineStr">
        <is>
          <t>Yes</t>
        </is>
      </c>
      <c r="H1317" s="26" t="inlineStr">
        <is>
          <t>No</t>
        </is>
      </c>
      <c r="I1317" s="26" t="inlineStr">
        <is>
          <t>Good finish</t>
        </is>
      </c>
      <c r="J1317" s="26" t="inlineStr">
        <is>
          <t>Yes</t>
        </is>
      </c>
      <c r="K1317" s="27" t="n"/>
      <c r="L1317" s="28" t="inlineStr">
        <is>
          <t>No</t>
        </is>
      </c>
      <c r="M1317" s="29">
        <f>IF(E1317="","",IF(H1317="Yes","❌ Disc",IF(G1317="No","⚠ Missing",IF(J1317="Yes","✓ OK","⚠ Check"))))</f>
        <v/>
      </c>
      <c r="N1317" s="43" t="n">
        <v>46193</v>
      </c>
      <c r="O1317" s="26" t="inlineStr">
        <is>
          <t>Sunil CR</t>
        </is>
      </c>
      <c r="P1317" s="26" t="inlineStr">
        <is>
          <t>Yes</t>
        </is>
      </c>
      <c r="Q1317" s="26" t="inlineStr">
        <is>
          <t>No</t>
        </is>
      </c>
      <c r="R1317" s="26" t="inlineStr">
        <is>
          <t>Good finish</t>
        </is>
      </c>
      <c r="S1317" s="26" t="inlineStr">
        <is>
          <t>Yes</t>
        </is>
      </c>
      <c r="T1317" s="27" t="n"/>
      <c r="U1317" s="28" t="inlineStr">
        <is>
          <t>No</t>
        </is>
      </c>
      <c r="V1317" s="29">
        <f>IF(N1317="","",IF(Q1317="Yes","❌ Disc",IF(P1317="No","⚠ Missing",IF(S1317="Yes","✓ OK","⚠ Check"))))</f>
        <v/>
      </c>
      <c r="W1317" s="65" t="n">
        <v>46248</v>
      </c>
      <c r="X1317" s="30" t="inlineStr">
        <is>
          <t>Sunil CR</t>
        </is>
      </c>
      <c r="Y1317" s="30" t="inlineStr">
        <is>
          <t>Yes</t>
        </is>
      </c>
      <c r="Z1317" s="30" t="n"/>
      <c r="AA1317" s="30" t="inlineStr">
        <is>
          <t>Good finish</t>
        </is>
      </c>
      <c r="AB1317" s="30" t="inlineStr">
        <is>
          <t>Yes</t>
        </is>
      </c>
      <c r="AC1317" s="27" t="n"/>
      <c r="AD1317" s="31" t="inlineStr">
        <is>
          <t>No</t>
        </is>
      </c>
      <c r="AE1317" s="32">
        <f>IF(W1317="","",IF(Z1317="Yes","❌ Disc",IF(Y1317="No","⚠ Missing",IF(AB1317="Yes","✓ OK","⚠ Check"))))</f>
        <v/>
      </c>
      <c r="AF1317" s="33" t="n"/>
      <c r="AG1317" s="33" t="n"/>
      <c r="AH1317" s="33" t="n"/>
      <c r="AI1317" s="33" t="n"/>
      <c r="AJ1317" s="33" t="n"/>
      <c r="AK1317" s="33" t="n"/>
      <c r="AL1317" s="27" t="n"/>
      <c r="AM1317" s="34" t="n"/>
      <c r="AN1317" s="35">
        <f>IF(AF1317="","",IF(AI1317="Yes","❌ Disc",IF(AH1317="No","⚠ Missing",IF(AK1317="Yes","✓ OK","⚠ Check"))))</f>
        <v/>
      </c>
      <c r="AO1317" s="36" t="n"/>
      <c r="AP1317" s="36" t="n"/>
      <c r="AQ1317" s="36" t="n"/>
      <c r="AR1317" s="36" t="n"/>
      <c r="AS1317" s="36" t="n"/>
      <c r="AT1317" s="36" t="n"/>
      <c r="AU1317" s="27" t="n"/>
      <c r="AV1317" s="37" t="n"/>
      <c r="AW1317" s="38">
        <f>IF(AO1317="","",IF(AR1317="Yes","❌ Disc",IF(AQ1317="No","⚠ Missing",IF(AT1317="Yes","✓ OK","⚠ Check"))))</f>
        <v/>
      </c>
    </row>
    <row r="1318" ht="18" customHeight="1" s="46">
      <c r="A1318" s="39" t="n">
        <v>1314</v>
      </c>
      <c r="B1318" s="40" t="inlineStr">
        <is>
          <t>WP MR INS 266</t>
        </is>
      </c>
      <c r="C1318" s="41" t="inlineStr">
        <is>
          <t>Marshalls Inspire II Wallpaper INS 266</t>
        </is>
      </c>
      <c r="D1318" s="39" t="inlineStr">
        <is>
          <t>Marshalls</t>
        </is>
      </c>
      <c r="E1318" s="43" t="n">
        <v>46125</v>
      </c>
      <c r="F1318" s="26" t="inlineStr">
        <is>
          <t>Sunil CR</t>
        </is>
      </c>
      <c r="G1318" s="26" t="inlineStr">
        <is>
          <t>Yes</t>
        </is>
      </c>
      <c r="H1318" s="26" t="inlineStr">
        <is>
          <t>No</t>
        </is>
      </c>
      <c r="I1318" s="26" t="inlineStr">
        <is>
          <t>Good finish</t>
        </is>
      </c>
      <c r="J1318" s="26" t="inlineStr">
        <is>
          <t>Yes</t>
        </is>
      </c>
      <c r="K1318" s="27" t="n"/>
      <c r="L1318" s="28" t="inlineStr">
        <is>
          <t>No</t>
        </is>
      </c>
      <c r="M1318" s="29">
        <f>IF(E1318="","",IF(H1318="Yes","❌ Disc",IF(G1318="No","⚠ Missing",IF(J1318="Yes","✓ OK","⚠ Check"))))</f>
        <v/>
      </c>
      <c r="N1318" s="43" t="n">
        <v>46193</v>
      </c>
      <c r="O1318" s="26" t="inlineStr">
        <is>
          <t>Sunil CR</t>
        </is>
      </c>
      <c r="P1318" s="26" t="inlineStr">
        <is>
          <t>Yes</t>
        </is>
      </c>
      <c r="Q1318" s="26" t="inlineStr">
        <is>
          <t>No</t>
        </is>
      </c>
      <c r="R1318" s="26" t="inlineStr">
        <is>
          <t>Good finish</t>
        </is>
      </c>
      <c r="S1318" s="26" t="inlineStr">
        <is>
          <t>Yes</t>
        </is>
      </c>
      <c r="T1318" s="27" t="n"/>
      <c r="U1318" s="28" t="inlineStr">
        <is>
          <t>No</t>
        </is>
      </c>
      <c r="V1318" s="29">
        <f>IF(N1318="","",IF(Q1318="Yes","❌ Disc",IF(P1318="No","⚠ Missing",IF(S1318="Yes","✓ OK","⚠ Check"))))</f>
        <v/>
      </c>
      <c r="W1318" s="65" t="n">
        <v>46248</v>
      </c>
      <c r="X1318" s="30" t="inlineStr">
        <is>
          <t>Sunil CR</t>
        </is>
      </c>
      <c r="Y1318" s="30" t="inlineStr">
        <is>
          <t>Yes</t>
        </is>
      </c>
      <c r="Z1318" s="30" t="n"/>
      <c r="AA1318" s="30" t="inlineStr">
        <is>
          <t>Good finish</t>
        </is>
      </c>
      <c r="AB1318" s="30" t="inlineStr">
        <is>
          <t>Yes</t>
        </is>
      </c>
      <c r="AC1318" s="27" t="n"/>
      <c r="AD1318" s="31" t="inlineStr">
        <is>
          <t>No</t>
        </is>
      </c>
      <c r="AE1318" s="32">
        <f>IF(W1318="","",IF(Z1318="Yes","❌ Disc",IF(Y1318="No","⚠ Missing",IF(AB1318="Yes","✓ OK","⚠ Check"))))</f>
        <v/>
      </c>
      <c r="AF1318" s="33" t="n"/>
      <c r="AG1318" s="33" t="n"/>
      <c r="AH1318" s="33" t="n"/>
      <c r="AI1318" s="33" t="n"/>
      <c r="AJ1318" s="33" t="n"/>
      <c r="AK1318" s="33" t="n"/>
      <c r="AL1318" s="27" t="n"/>
      <c r="AM1318" s="34" t="n"/>
      <c r="AN1318" s="35">
        <f>IF(AF1318="","",IF(AI1318="Yes","❌ Disc",IF(AH1318="No","⚠ Missing",IF(AK1318="Yes","✓ OK","⚠ Check"))))</f>
        <v/>
      </c>
      <c r="AO1318" s="36" t="n"/>
      <c r="AP1318" s="36" t="n"/>
      <c r="AQ1318" s="36" t="n"/>
      <c r="AR1318" s="36" t="n"/>
      <c r="AS1318" s="36" t="n"/>
      <c r="AT1318" s="36" t="n"/>
      <c r="AU1318" s="27" t="n"/>
      <c r="AV1318" s="37" t="n"/>
      <c r="AW1318" s="38">
        <f>IF(AO1318="","",IF(AR1318="Yes","❌ Disc",IF(AQ1318="No","⚠ Missing",IF(AT1318="Yes","✓ OK","⚠ Check"))))</f>
        <v/>
      </c>
    </row>
    <row r="1319" ht="18" customHeight="1" s="46">
      <c r="A1319" s="23" t="n">
        <v>1315</v>
      </c>
      <c r="B1319" s="24" t="inlineStr">
        <is>
          <t>WP MR INS 267</t>
        </is>
      </c>
      <c r="C1319" s="25" t="inlineStr">
        <is>
          <t>Marshalls Inspire II Wallpaper INS 267</t>
        </is>
      </c>
      <c r="D1319" s="23" t="inlineStr">
        <is>
          <t>Marshalls</t>
        </is>
      </c>
      <c r="E1319" s="43" t="n">
        <v>46125</v>
      </c>
      <c r="F1319" s="26" t="inlineStr">
        <is>
          <t>Sunil CR</t>
        </is>
      </c>
      <c r="G1319" s="26" t="inlineStr">
        <is>
          <t>Yes</t>
        </is>
      </c>
      <c r="H1319" s="26" t="inlineStr">
        <is>
          <t>No</t>
        </is>
      </c>
      <c r="I1319" s="26" t="inlineStr">
        <is>
          <t>Good finish</t>
        </is>
      </c>
      <c r="J1319" s="26" t="inlineStr">
        <is>
          <t>Yes</t>
        </is>
      </c>
      <c r="K1319" s="27" t="n"/>
      <c r="L1319" s="28" t="inlineStr">
        <is>
          <t>No</t>
        </is>
      </c>
      <c r="M1319" s="29">
        <f>IF(E1319="","",IF(H1319="Yes","❌ Disc",IF(G1319="No","⚠ Missing",IF(J1319="Yes","✓ OK","⚠ Check"))))</f>
        <v/>
      </c>
      <c r="N1319" s="43" t="n">
        <v>46193</v>
      </c>
      <c r="O1319" s="26" t="inlineStr">
        <is>
          <t>Sunil CR</t>
        </is>
      </c>
      <c r="P1319" s="26" t="inlineStr">
        <is>
          <t>Yes</t>
        </is>
      </c>
      <c r="Q1319" s="26" t="inlineStr">
        <is>
          <t>No</t>
        </is>
      </c>
      <c r="R1319" s="26" t="inlineStr">
        <is>
          <t>Good finish</t>
        </is>
      </c>
      <c r="S1319" s="26" t="inlineStr">
        <is>
          <t>Yes</t>
        </is>
      </c>
      <c r="T1319" s="27" t="n"/>
      <c r="U1319" s="28" t="inlineStr">
        <is>
          <t>No</t>
        </is>
      </c>
      <c r="V1319" s="29">
        <f>IF(N1319="","",IF(Q1319="Yes","❌ Disc",IF(P1319="No","⚠ Missing",IF(S1319="Yes","✓ OK","⚠ Check"))))</f>
        <v/>
      </c>
      <c r="W1319" s="65" t="n">
        <v>46248</v>
      </c>
      <c r="X1319" s="30" t="inlineStr">
        <is>
          <t>Sunil CR</t>
        </is>
      </c>
      <c r="Y1319" s="30" t="inlineStr">
        <is>
          <t>Yes</t>
        </is>
      </c>
      <c r="Z1319" s="30" t="n"/>
      <c r="AA1319" s="30" t="inlineStr">
        <is>
          <t>Good finish</t>
        </is>
      </c>
      <c r="AB1319" s="30" t="inlineStr">
        <is>
          <t>Yes</t>
        </is>
      </c>
      <c r="AC1319" s="27" t="n"/>
      <c r="AD1319" s="31" t="inlineStr">
        <is>
          <t>No</t>
        </is>
      </c>
      <c r="AE1319" s="32">
        <f>IF(W1319="","",IF(Z1319="Yes","❌ Disc",IF(Y1319="No","⚠ Missing",IF(AB1319="Yes","✓ OK","⚠ Check"))))</f>
        <v/>
      </c>
      <c r="AF1319" s="33" t="n"/>
      <c r="AG1319" s="33" t="n"/>
      <c r="AH1319" s="33" t="n"/>
      <c r="AI1319" s="33" t="n"/>
      <c r="AJ1319" s="33" t="n"/>
      <c r="AK1319" s="33" t="n"/>
      <c r="AL1319" s="27" t="n"/>
      <c r="AM1319" s="34" t="n"/>
      <c r="AN1319" s="35">
        <f>IF(AF1319="","",IF(AI1319="Yes","❌ Disc",IF(AH1319="No","⚠ Missing",IF(AK1319="Yes","✓ OK","⚠ Check"))))</f>
        <v/>
      </c>
      <c r="AO1319" s="36" t="n"/>
      <c r="AP1319" s="36" t="n"/>
      <c r="AQ1319" s="36" t="n"/>
      <c r="AR1319" s="36" t="n"/>
      <c r="AS1319" s="36" t="n"/>
      <c r="AT1319" s="36" t="n"/>
      <c r="AU1319" s="27" t="n"/>
      <c r="AV1319" s="37" t="n"/>
      <c r="AW1319" s="38">
        <f>IF(AO1319="","",IF(AR1319="Yes","❌ Disc",IF(AQ1319="No","⚠ Missing",IF(AT1319="Yes","✓ OK","⚠ Check"))))</f>
        <v/>
      </c>
    </row>
    <row r="1320" ht="18" customHeight="1" s="46">
      <c r="A1320" s="39" t="n">
        <v>1316</v>
      </c>
      <c r="B1320" s="40" t="inlineStr">
        <is>
          <t>WP MR INS 268</t>
        </is>
      </c>
      <c r="C1320" s="41" t="inlineStr">
        <is>
          <t>Marshalls Inspire II Wallpaper INS 268</t>
        </is>
      </c>
      <c r="D1320" s="39" t="inlineStr">
        <is>
          <t>Marshalls</t>
        </is>
      </c>
      <c r="E1320" s="43" t="n">
        <v>46125</v>
      </c>
      <c r="F1320" s="26" t="inlineStr">
        <is>
          <t>Sunil CR</t>
        </is>
      </c>
      <c r="G1320" s="26" t="inlineStr">
        <is>
          <t>Yes</t>
        </is>
      </c>
      <c r="H1320" s="26" t="inlineStr">
        <is>
          <t>No</t>
        </is>
      </c>
      <c r="I1320" s="26" t="inlineStr">
        <is>
          <t>Good finish</t>
        </is>
      </c>
      <c r="J1320" s="26" t="inlineStr">
        <is>
          <t>Yes</t>
        </is>
      </c>
      <c r="K1320" s="27" t="n"/>
      <c r="L1320" s="28" t="inlineStr">
        <is>
          <t>No</t>
        </is>
      </c>
      <c r="M1320" s="29">
        <f>IF(E1320="","",IF(H1320="Yes","❌ Disc",IF(G1320="No","⚠ Missing",IF(J1320="Yes","✓ OK","⚠ Check"))))</f>
        <v/>
      </c>
      <c r="N1320" s="43" t="n">
        <v>46193</v>
      </c>
      <c r="O1320" s="26" t="inlineStr">
        <is>
          <t>Sunil CR</t>
        </is>
      </c>
      <c r="P1320" s="26" t="inlineStr">
        <is>
          <t>Yes</t>
        </is>
      </c>
      <c r="Q1320" s="26" t="inlineStr">
        <is>
          <t>No</t>
        </is>
      </c>
      <c r="R1320" s="26" t="inlineStr">
        <is>
          <t>Good finish</t>
        </is>
      </c>
      <c r="S1320" s="26" t="inlineStr">
        <is>
          <t>Yes</t>
        </is>
      </c>
      <c r="T1320" s="27" t="n"/>
      <c r="U1320" s="28" t="inlineStr">
        <is>
          <t>No</t>
        </is>
      </c>
      <c r="V1320" s="29">
        <f>IF(N1320="","",IF(Q1320="Yes","❌ Disc",IF(P1320="No","⚠ Missing",IF(S1320="Yes","✓ OK","⚠ Check"))))</f>
        <v/>
      </c>
      <c r="W1320" s="65" t="n">
        <v>46248</v>
      </c>
      <c r="X1320" s="30" t="inlineStr">
        <is>
          <t>Sunil CR</t>
        </is>
      </c>
      <c r="Y1320" s="30" t="inlineStr">
        <is>
          <t>Yes</t>
        </is>
      </c>
      <c r="Z1320" s="30" t="n"/>
      <c r="AA1320" s="30" t="inlineStr">
        <is>
          <t>Good finish</t>
        </is>
      </c>
      <c r="AB1320" s="30" t="inlineStr">
        <is>
          <t>Yes</t>
        </is>
      </c>
      <c r="AC1320" s="27" t="n"/>
      <c r="AD1320" s="31" t="inlineStr">
        <is>
          <t>No</t>
        </is>
      </c>
      <c r="AE1320" s="32">
        <f>IF(W1320="","",IF(Z1320="Yes","❌ Disc",IF(Y1320="No","⚠ Missing",IF(AB1320="Yes","✓ OK","⚠ Check"))))</f>
        <v/>
      </c>
      <c r="AF1320" s="33" t="n"/>
      <c r="AG1320" s="33" t="n"/>
      <c r="AH1320" s="33" t="n"/>
      <c r="AI1320" s="33" t="n"/>
      <c r="AJ1320" s="33" t="n"/>
      <c r="AK1320" s="33" t="n"/>
      <c r="AL1320" s="27" t="n"/>
      <c r="AM1320" s="34" t="n"/>
      <c r="AN1320" s="35">
        <f>IF(AF1320="","",IF(AI1320="Yes","❌ Disc",IF(AH1320="No","⚠ Missing",IF(AK1320="Yes","✓ OK","⚠ Check"))))</f>
        <v/>
      </c>
      <c r="AO1320" s="36" t="n"/>
      <c r="AP1320" s="36" t="n"/>
      <c r="AQ1320" s="36" t="n"/>
      <c r="AR1320" s="36" t="n"/>
      <c r="AS1320" s="36" t="n"/>
      <c r="AT1320" s="36" t="n"/>
      <c r="AU1320" s="27" t="n"/>
      <c r="AV1320" s="37" t="n"/>
      <c r="AW1320" s="38">
        <f>IF(AO1320="","",IF(AR1320="Yes","❌ Disc",IF(AQ1320="No","⚠ Missing",IF(AT1320="Yes","✓ OK","⚠ Check"))))</f>
        <v/>
      </c>
    </row>
    <row r="1321" ht="18" customHeight="1" s="46">
      <c r="A1321" s="23" t="n">
        <v>1317</v>
      </c>
      <c r="B1321" s="24" t="inlineStr">
        <is>
          <t>WP MR INS 269</t>
        </is>
      </c>
      <c r="C1321" s="25" t="inlineStr">
        <is>
          <t>Marshalls Inspire II Wallpaper INS 269</t>
        </is>
      </c>
      <c r="D1321" s="23" t="inlineStr">
        <is>
          <t>Marshalls</t>
        </is>
      </c>
      <c r="E1321" s="43" t="n">
        <v>46125</v>
      </c>
      <c r="F1321" s="26" t="inlineStr">
        <is>
          <t>Sunil CR</t>
        </is>
      </c>
      <c r="G1321" s="26" t="inlineStr">
        <is>
          <t>Yes</t>
        </is>
      </c>
      <c r="H1321" s="26" t="inlineStr">
        <is>
          <t>No</t>
        </is>
      </c>
      <c r="I1321" s="26" t="inlineStr">
        <is>
          <t>Good finish</t>
        </is>
      </c>
      <c r="J1321" s="26" t="inlineStr">
        <is>
          <t>Yes</t>
        </is>
      </c>
      <c r="K1321" s="27" t="n"/>
      <c r="L1321" s="28" t="inlineStr">
        <is>
          <t>No</t>
        </is>
      </c>
      <c r="M1321" s="29">
        <f>IF(E1321="","",IF(H1321="Yes","❌ Disc",IF(G1321="No","⚠ Missing",IF(J1321="Yes","✓ OK","⚠ Check"))))</f>
        <v/>
      </c>
      <c r="N1321" s="43" t="n">
        <v>46193</v>
      </c>
      <c r="O1321" s="26" t="inlineStr">
        <is>
          <t>Sunil CR</t>
        </is>
      </c>
      <c r="P1321" s="26" t="inlineStr">
        <is>
          <t>Yes</t>
        </is>
      </c>
      <c r="Q1321" s="26" t="inlineStr">
        <is>
          <t>No</t>
        </is>
      </c>
      <c r="R1321" s="26" t="inlineStr">
        <is>
          <t>Good finish</t>
        </is>
      </c>
      <c r="S1321" s="26" t="inlineStr">
        <is>
          <t>Yes</t>
        </is>
      </c>
      <c r="T1321" s="27" t="n"/>
      <c r="U1321" s="28" t="inlineStr">
        <is>
          <t>No</t>
        </is>
      </c>
      <c r="V1321" s="29">
        <f>IF(N1321="","",IF(Q1321="Yes","❌ Disc",IF(P1321="No","⚠ Missing",IF(S1321="Yes","✓ OK","⚠ Check"))))</f>
        <v/>
      </c>
      <c r="W1321" s="65" t="n">
        <v>46248</v>
      </c>
      <c r="X1321" s="30" t="inlineStr">
        <is>
          <t>Sunil CR</t>
        </is>
      </c>
      <c r="Y1321" s="30" t="inlineStr">
        <is>
          <t>Yes</t>
        </is>
      </c>
      <c r="Z1321" s="30" t="n"/>
      <c r="AA1321" s="30" t="inlineStr">
        <is>
          <t>Good finish</t>
        </is>
      </c>
      <c r="AB1321" s="30" t="inlineStr">
        <is>
          <t>Yes</t>
        </is>
      </c>
      <c r="AC1321" s="27" t="n"/>
      <c r="AD1321" s="31" t="inlineStr">
        <is>
          <t>No</t>
        </is>
      </c>
      <c r="AE1321" s="32">
        <f>IF(W1321="","",IF(Z1321="Yes","❌ Disc",IF(Y1321="No","⚠ Missing",IF(AB1321="Yes","✓ OK","⚠ Check"))))</f>
        <v/>
      </c>
      <c r="AF1321" s="33" t="n"/>
      <c r="AG1321" s="33" t="n"/>
      <c r="AH1321" s="33" t="n"/>
      <c r="AI1321" s="33" t="n"/>
      <c r="AJ1321" s="33" t="n"/>
      <c r="AK1321" s="33" t="n"/>
      <c r="AL1321" s="27" t="n"/>
      <c r="AM1321" s="34" t="n"/>
      <c r="AN1321" s="35">
        <f>IF(AF1321="","",IF(AI1321="Yes","❌ Disc",IF(AH1321="No","⚠ Missing",IF(AK1321="Yes","✓ OK","⚠ Check"))))</f>
        <v/>
      </c>
      <c r="AO1321" s="36" t="n"/>
      <c r="AP1321" s="36" t="n"/>
      <c r="AQ1321" s="36" t="n"/>
      <c r="AR1321" s="36" t="n"/>
      <c r="AS1321" s="36" t="n"/>
      <c r="AT1321" s="36" t="n"/>
      <c r="AU1321" s="27" t="n"/>
      <c r="AV1321" s="37" t="n"/>
      <c r="AW1321" s="38">
        <f>IF(AO1321="","",IF(AR1321="Yes","❌ Disc",IF(AQ1321="No","⚠ Missing",IF(AT1321="Yes","✓ OK","⚠ Check"))))</f>
        <v/>
      </c>
    </row>
    <row r="1322" ht="18" customHeight="1" s="46">
      <c r="A1322" s="39" t="n">
        <v>1318</v>
      </c>
      <c r="B1322" s="40" t="inlineStr">
        <is>
          <t>WP MR INS 270</t>
        </is>
      </c>
      <c r="C1322" s="41" t="inlineStr">
        <is>
          <t>Marshalls Inspire II Wallpaper INS 270</t>
        </is>
      </c>
      <c r="D1322" s="39" t="inlineStr">
        <is>
          <t>Marshalls</t>
        </is>
      </c>
      <c r="E1322" s="43" t="n">
        <v>46125</v>
      </c>
      <c r="F1322" s="26" t="inlineStr">
        <is>
          <t>Sunil CR</t>
        </is>
      </c>
      <c r="G1322" s="26" t="inlineStr">
        <is>
          <t>Yes</t>
        </is>
      </c>
      <c r="H1322" s="26" t="inlineStr">
        <is>
          <t>No</t>
        </is>
      </c>
      <c r="I1322" s="26" t="inlineStr">
        <is>
          <t>Good finish</t>
        </is>
      </c>
      <c r="J1322" s="26" t="inlineStr">
        <is>
          <t>Yes</t>
        </is>
      </c>
      <c r="K1322" s="27" t="n"/>
      <c r="L1322" s="28" t="inlineStr">
        <is>
          <t>No</t>
        </is>
      </c>
      <c r="M1322" s="29">
        <f>IF(E1322="","",IF(H1322="Yes","❌ Disc",IF(G1322="No","⚠ Missing",IF(J1322="Yes","✓ OK","⚠ Check"))))</f>
        <v/>
      </c>
      <c r="N1322" s="43" t="n">
        <v>46193</v>
      </c>
      <c r="O1322" s="26" t="inlineStr">
        <is>
          <t>Sunil CR</t>
        </is>
      </c>
      <c r="P1322" s="26" t="inlineStr">
        <is>
          <t>Yes</t>
        </is>
      </c>
      <c r="Q1322" s="26" t="inlineStr">
        <is>
          <t>No</t>
        </is>
      </c>
      <c r="R1322" s="26" t="inlineStr">
        <is>
          <t>Good finish</t>
        </is>
      </c>
      <c r="S1322" s="26" t="inlineStr">
        <is>
          <t>Yes</t>
        </is>
      </c>
      <c r="T1322" s="27" t="n"/>
      <c r="U1322" s="28" t="inlineStr">
        <is>
          <t>No</t>
        </is>
      </c>
      <c r="V1322" s="29">
        <f>IF(N1322="","",IF(Q1322="Yes","❌ Disc",IF(P1322="No","⚠ Missing",IF(S1322="Yes","✓ OK","⚠ Check"))))</f>
        <v/>
      </c>
      <c r="W1322" s="65" t="n">
        <v>46248</v>
      </c>
      <c r="X1322" s="30" t="inlineStr">
        <is>
          <t>Sunil CR</t>
        </is>
      </c>
      <c r="Y1322" s="30" t="inlineStr">
        <is>
          <t>Yes</t>
        </is>
      </c>
      <c r="Z1322" s="30" t="n"/>
      <c r="AA1322" s="30" t="inlineStr">
        <is>
          <t>Good finish</t>
        </is>
      </c>
      <c r="AB1322" s="30" t="inlineStr">
        <is>
          <t>Yes</t>
        </is>
      </c>
      <c r="AC1322" s="27" t="n"/>
      <c r="AD1322" s="31" t="inlineStr">
        <is>
          <t>No</t>
        </is>
      </c>
      <c r="AE1322" s="32">
        <f>IF(W1322="","",IF(Z1322="Yes","❌ Disc",IF(Y1322="No","⚠ Missing",IF(AB1322="Yes","✓ OK","⚠ Check"))))</f>
        <v/>
      </c>
      <c r="AF1322" s="33" t="n"/>
      <c r="AG1322" s="33" t="n"/>
      <c r="AH1322" s="33" t="n"/>
      <c r="AI1322" s="33" t="n"/>
      <c r="AJ1322" s="33" t="n"/>
      <c r="AK1322" s="33" t="n"/>
      <c r="AL1322" s="27" t="n"/>
      <c r="AM1322" s="34" t="n"/>
      <c r="AN1322" s="35">
        <f>IF(AF1322="","",IF(AI1322="Yes","❌ Disc",IF(AH1322="No","⚠ Missing",IF(AK1322="Yes","✓ OK","⚠ Check"))))</f>
        <v/>
      </c>
      <c r="AO1322" s="36" t="n"/>
      <c r="AP1322" s="36" t="n"/>
      <c r="AQ1322" s="36" t="n"/>
      <c r="AR1322" s="36" t="n"/>
      <c r="AS1322" s="36" t="n"/>
      <c r="AT1322" s="36" t="n"/>
      <c r="AU1322" s="27" t="n"/>
      <c r="AV1322" s="37" t="n"/>
      <c r="AW1322" s="38">
        <f>IF(AO1322="","",IF(AR1322="Yes","❌ Disc",IF(AQ1322="No","⚠ Missing",IF(AT1322="Yes","✓ OK","⚠ Check"))))</f>
        <v/>
      </c>
    </row>
    <row r="1323" ht="18" customHeight="1" s="46">
      <c r="A1323" s="23" t="n">
        <v>1319</v>
      </c>
      <c r="B1323" s="24" t="inlineStr">
        <is>
          <t>BD-WLP-2023-0034</t>
        </is>
      </c>
      <c r="C1323" s="25" t="inlineStr">
        <is>
          <t>Melange - Abstract Chevron - 032G Wallpaper [BBP]</t>
        </is>
      </c>
      <c r="D1323" s="23" t="inlineStr">
        <is>
          <t>Marshalls</t>
        </is>
      </c>
      <c r="E1323" s="43" t="n">
        <v>46125</v>
      </c>
      <c r="F1323" s="26" t="inlineStr">
        <is>
          <t>Sunil CR</t>
        </is>
      </c>
      <c r="G1323" s="26" t="inlineStr">
        <is>
          <t>Yes</t>
        </is>
      </c>
      <c r="H1323" s="26" t="inlineStr">
        <is>
          <t>No</t>
        </is>
      </c>
      <c r="I1323" s="26" t="inlineStr">
        <is>
          <t>Good finish</t>
        </is>
      </c>
      <c r="J1323" s="26" t="inlineStr">
        <is>
          <t>Yes</t>
        </is>
      </c>
      <c r="K1323" s="27" t="n"/>
      <c r="L1323" s="28" t="inlineStr">
        <is>
          <t>No</t>
        </is>
      </c>
      <c r="M1323" s="29">
        <f>IF(E1323="","",IF(H1323="Yes","❌ Disc",IF(G1323="No","⚠ Missing",IF(J1323="Yes","✓ OK","⚠ Check"))))</f>
        <v/>
      </c>
      <c r="N1323" s="43" t="n">
        <v>46193</v>
      </c>
      <c r="O1323" s="26" t="inlineStr">
        <is>
          <t>Sunil CR</t>
        </is>
      </c>
      <c r="P1323" s="26" t="inlineStr">
        <is>
          <t>Yes</t>
        </is>
      </c>
      <c r="Q1323" s="26" t="inlineStr">
        <is>
          <t>No</t>
        </is>
      </c>
      <c r="R1323" s="26" t="inlineStr">
        <is>
          <t>Good finish</t>
        </is>
      </c>
      <c r="S1323" s="26" t="inlineStr">
        <is>
          <t>Yes</t>
        </is>
      </c>
      <c r="T1323" s="27" t="n"/>
      <c r="U1323" s="28" t="inlineStr">
        <is>
          <t>No</t>
        </is>
      </c>
      <c r="V1323" s="29">
        <f>IF(N1323="","",IF(Q1323="Yes","❌ Disc",IF(P1323="No","⚠ Missing",IF(S1323="Yes","✓ OK","⚠ Check"))))</f>
        <v/>
      </c>
      <c r="W1323" s="65" t="n">
        <v>46248</v>
      </c>
      <c r="X1323" s="30" t="inlineStr">
        <is>
          <t>Sunil CR</t>
        </is>
      </c>
      <c r="Y1323" s="30" t="inlineStr">
        <is>
          <t>Yes</t>
        </is>
      </c>
      <c r="Z1323" s="30" t="n"/>
      <c r="AA1323" s="30" t="inlineStr">
        <is>
          <t>Good finish</t>
        </is>
      </c>
      <c r="AB1323" s="30" t="inlineStr">
        <is>
          <t>Yes</t>
        </is>
      </c>
      <c r="AC1323" s="27" t="n"/>
      <c r="AD1323" s="31" t="inlineStr">
        <is>
          <t>No</t>
        </is>
      </c>
      <c r="AE1323" s="32">
        <f>IF(W1323="","",IF(Z1323="Yes","❌ Disc",IF(Y1323="No","⚠ Missing",IF(AB1323="Yes","✓ OK","⚠ Check"))))</f>
        <v/>
      </c>
      <c r="AF1323" s="33" t="n"/>
      <c r="AG1323" s="33" t="n"/>
      <c r="AH1323" s="33" t="n"/>
      <c r="AI1323" s="33" t="n"/>
      <c r="AJ1323" s="33" t="n"/>
      <c r="AK1323" s="33" t="n"/>
      <c r="AL1323" s="27" t="n"/>
      <c r="AM1323" s="34" t="n"/>
      <c r="AN1323" s="35">
        <f>IF(AF1323="","",IF(AI1323="Yes","❌ Disc",IF(AH1323="No","⚠ Missing",IF(AK1323="Yes","✓ OK","⚠ Check"))))</f>
        <v/>
      </c>
      <c r="AO1323" s="36" t="n"/>
      <c r="AP1323" s="36" t="n"/>
      <c r="AQ1323" s="36" t="n"/>
      <c r="AR1323" s="36" t="n"/>
      <c r="AS1323" s="36" t="n"/>
      <c r="AT1323" s="36" t="n"/>
      <c r="AU1323" s="27" t="n"/>
      <c r="AV1323" s="37" t="n"/>
      <c r="AW1323" s="38">
        <f>IF(AO1323="","",IF(AR1323="Yes","❌ Disc",IF(AQ1323="No","⚠ Missing",IF(AT1323="Yes","✓ OK","⚠ Check"))))</f>
        <v/>
      </c>
    </row>
    <row r="1324" ht="18" customHeight="1" s="46">
      <c r="A1324" s="39" t="n">
        <v>1320</v>
      </c>
      <c r="B1324" s="40" t="inlineStr">
        <is>
          <t>BD-WLP-2023-0039</t>
        </is>
      </c>
      <c r="C1324" s="41" t="inlineStr">
        <is>
          <t>Melange - Aligned - 037G Wallpaper</t>
        </is>
      </c>
      <c r="D1324" s="39" t="inlineStr">
        <is>
          <t>Marshalls</t>
        </is>
      </c>
      <c r="E1324" s="43" t="n">
        <v>46125</v>
      </c>
      <c r="F1324" s="26" t="inlineStr">
        <is>
          <t>Sunil CR</t>
        </is>
      </c>
      <c r="G1324" s="26" t="inlineStr">
        <is>
          <t>Yes</t>
        </is>
      </c>
      <c r="H1324" s="26" t="inlineStr">
        <is>
          <t>No</t>
        </is>
      </c>
      <c r="I1324" s="26" t="inlineStr">
        <is>
          <t>Good finish</t>
        </is>
      </c>
      <c r="J1324" s="26" t="inlineStr">
        <is>
          <t>Yes</t>
        </is>
      </c>
      <c r="K1324" s="27" t="n"/>
      <c r="L1324" s="28" t="inlineStr">
        <is>
          <t>No</t>
        </is>
      </c>
      <c r="M1324" s="29">
        <f>IF(E1324="","",IF(H1324="Yes","❌ Disc",IF(G1324="No","⚠ Missing",IF(J1324="Yes","✓ OK","⚠ Check"))))</f>
        <v/>
      </c>
      <c r="N1324" s="43" t="n">
        <v>46193</v>
      </c>
      <c r="O1324" s="26" t="inlineStr">
        <is>
          <t>Sunil CR</t>
        </is>
      </c>
      <c r="P1324" s="26" t="inlineStr">
        <is>
          <t>Yes</t>
        </is>
      </c>
      <c r="Q1324" s="26" t="inlineStr">
        <is>
          <t>No</t>
        </is>
      </c>
      <c r="R1324" s="26" t="inlineStr">
        <is>
          <t>Good finish</t>
        </is>
      </c>
      <c r="S1324" s="26" t="inlineStr">
        <is>
          <t>Yes</t>
        </is>
      </c>
      <c r="T1324" s="27" t="n"/>
      <c r="U1324" s="28" t="inlineStr">
        <is>
          <t>No</t>
        </is>
      </c>
      <c r="V1324" s="29">
        <f>IF(N1324="","",IF(Q1324="Yes","❌ Disc",IF(P1324="No","⚠ Missing",IF(S1324="Yes","✓ OK","⚠ Check"))))</f>
        <v/>
      </c>
      <c r="W1324" s="65" t="n">
        <v>46248</v>
      </c>
      <c r="X1324" s="30" t="inlineStr">
        <is>
          <t>Sunil CR</t>
        </is>
      </c>
      <c r="Y1324" s="30" t="inlineStr">
        <is>
          <t>Yes</t>
        </is>
      </c>
      <c r="Z1324" s="30" t="n"/>
      <c r="AA1324" s="30" t="inlineStr">
        <is>
          <t>Good finish</t>
        </is>
      </c>
      <c r="AB1324" s="30" t="inlineStr">
        <is>
          <t>Yes</t>
        </is>
      </c>
      <c r="AC1324" s="27" t="n"/>
      <c r="AD1324" s="31" t="inlineStr">
        <is>
          <t>No</t>
        </is>
      </c>
      <c r="AE1324" s="32">
        <f>IF(W1324="","",IF(Z1324="Yes","❌ Disc",IF(Y1324="No","⚠ Missing",IF(AB1324="Yes","✓ OK","⚠ Check"))))</f>
        <v/>
      </c>
      <c r="AF1324" s="33" t="n"/>
      <c r="AG1324" s="33" t="n"/>
      <c r="AH1324" s="33" t="n"/>
      <c r="AI1324" s="33" t="n"/>
      <c r="AJ1324" s="33" t="n"/>
      <c r="AK1324" s="33" t="n"/>
      <c r="AL1324" s="27" t="n"/>
      <c r="AM1324" s="34" t="n"/>
      <c r="AN1324" s="35">
        <f>IF(AF1324="","",IF(AI1324="Yes","❌ Disc",IF(AH1324="No","⚠ Missing",IF(AK1324="Yes","✓ OK","⚠ Check"))))</f>
        <v/>
      </c>
      <c r="AO1324" s="36" t="n"/>
      <c r="AP1324" s="36" t="n"/>
      <c r="AQ1324" s="36" t="n"/>
      <c r="AR1324" s="36" t="n"/>
      <c r="AS1324" s="36" t="n"/>
      <c r="AT1324" s="36" t="n"/>
      <c r="AU1324" s="27" t="n"/>
      <c r="AV1324" s="37" t="n"/>
      <c r="AW1324" s="38">
        <f>IF(AO1324="","",IF(AR1324="Yes","❌ Disc",IF(AQ1324="No","⚠ Missing",IF(AT1324="Yes","✓ OK","⚠ Check"))))</f>
        <v/>
      </c>
    </row>
    <row r="1325" ht="18" customHeight="1" s="46">
      <c r="A1325" s="23" t="n">
        <v>1321</v>
      </c>
      <c r="B1325" s="24" t="inlineStr">
        <is>
          <t>BD-WLP-2023-0049</t>
        </is>
      </c>
      <c r="C1325" s="25" t="inlineStr">
        <is>
          <t>Melange - Alphabets - 009K Wallpaper</t>
        </is>
      </c>
      <c r="D1325" s="23" t="inlineStr">
        <is>
          <t>Marshalls</t>
        </is>
      </c>
      <c r="E1325" s="43" t="n">
        <v>46125</v>
      </c>
      <c r="F1325" s="26" t="inlineStr">
        <is>
          <t>Sunil CR</t>
        </is>
      </c>
      <c r="G1325" s="26" t="inlineStr">
        <is>
          <t>Yes</t>
        </is>
      </c>
      <c r="H1325" s="26" t="inlineStr">
        <is>
          <t>No</t>
        </is>
      </c>
      <c r="I1325" s="26" t="inlineStr">
        <is>
          <t>Good finish</t>
        </is>
      </c>
      <c r="J1325" s="26" t="inlineStr">
        <is>
          <t>Yes</t>
        </is>
      </c>
      <c r="K1325" s="27" t="n"/>
      <c r="L1325" s="28" t="inlineStr">
        <is>
          <t>No</t>
        </is>
      </c>
      <c r="M1325" s="29">
        <f>IF(E1325="","",IF(H1325="Yes","❌ Disc",IF(G1325="No","⚠ Missing",IF(J1325="Yes","✓ OK","⚠ Check"))))</f>
        <v/>
      </c>
      <c r="N1325" s="43" t="n">
        <v>46193</v>
      </c>
      <c r="O1325" s="26" t="inlineStr">
        <is>
          <t>Sunil CR</t>
        </is>
      </c>
      <c r="P1325" s="26" t="inlineStr">
        <is>
          <t>Yes</t>
        </is>
      </c>
      <c r="Q1325" s="26" t="inlineStr">
        <is>
          <t>No</t>
        </is>
      </c>
      <c r="R1325" s="26" t="inlineStr">
        <is>
          <t>Good finish</t>
        </is>
      </c>
      <c r="S1325" s="26" t="inlineStr">
        <is>
          <t>Yes</t>
        </is>
      </c>
      <c r="T1325" s="27" t="n"/>
      <c r="U1325" s="28" t="inlineStr">
        <is>
          <t>No</t>
        </is>
      </c>
      <c r="V1325" s="29">
        <f>IF(N1325="","",IF(Q1325="Yes","❌ Disc",IF(P1325="No","⚠ Missing",IF(S1325="Yes","✓ OK","⚠ Check"))))</f>
        <v/>
      </c>
      <c r="W1325" s="65" t="n">
        <v>46248</v>
      </c>
      <c r="X1325" s="30" t="inlineStr">
        <is>
          <t>Sunil CR</t>
        </is>
      </c>
      <c r="Y1325" s="30" t="inlineStr">
        <is>
          <t>Yes</t>
        </is>
      </c>
      <c r="Z1325" s="30" t="n"/>
      <c r="AA1325" s="30" t="inlineStr">
        <is>
          <t>Good finish</t>
        </is>
      </c>
      <c r="AB1325" s="30" t="inlineStr">
        <is>
          <t>Yes</t>
        </is>
      </c>
      <c r="AC1325" s="27" t="n"/>
      <c r="AD1325" s="31" t="inlineStr">
        <is>
          <t>No</t>
        </is>
      </c>
      <c r="AE1325" s="32">
        <f>IF(W1325="","",IF(Z1325="Yes","❌ Disc",IF(Y1325="No","⚠ Missing",IF(AB1325="Yes","✓ OK","⚠ Check"))))</f>
        <v/>
      </c>
      <c r="AF1325" s="33" t="n"/>
      <c r="AG1325" s="33" t="n"/>
      <c r="AH1325" s="33" t="n"/>
      <c r="AI1325" s="33" t="n"/>
      <c r="AJ1325" s="33" t="n"/>
      <c r="AK1325" s="33" t="n"/>
      <c r="AL1325" s="27" t="n"/>
      <c r="AM1325" s="34" t="n"/>
      <c r="AN1325" s="35">
        <f>IF(AF1325="","",IF(AI1325="Yes","❌ Disc",IF(AH1325="No","⚠ Missing",IF(AK1325="Yes","✓ OK","⚠ Check"))))</f>
        <v/>
      </c>
      <c r="AO1325" s="36" t="n"/>
      <c r="AP1325" s="36" t="n"/>
      <c r="AQ1325" s="36" t="n"/>
      <c r="AR1325" s="36" t="n"/>
      <c r="AS1325" s="36" t="n"/>
      <c r="AT1325" s="36" t="n"/>
      <c r="AU1325" s="27" t="n"/>
      <c r="AV1325" s="37" t="n"/>
      <c r="AW1325" s="38">
        <f>IF(AO1325="","",IF(AR1325="Yes","❌ Disc",IF(AQ1325="No","⚠ Missing",IF(AT1325="Yes","✓ OK","⚠ Check"))))</f>
        <v/>
      </c>
    </row>
    <row r="1326" ht="18" customHeight="1" s="46">
      <c r="A1326" s="39" t="n">
        <v>1322</v>
      </c>
      <c r="B1326" s="40" t="inlineStr">
        <is>
          <t>BD-WLP-2023-0041</t>
        </is>
      </c>
      <c r="C1326" s="41" t="inlineStr">
        <is>
          <t>Melange - Animal Atlas - 001K Wallpaper</t>
        </is>
      </c>
      <c r="D1326" s="39" t="inlineStr">
        <is>
          <t>Marshalls</t>
        </is>
      </c>
      <c r="E1326" s="43" t="n">
        <v>46125</v>
      </c>
      <c r="F1326" s="26" t="inlineStr">
        <is>
          <t>Sunil CR</t>
        </is>
      </c>
      <c r="G1326" s="26" t="inlineStr">
        <is>
          <t>Yes</t>
        </is>
      </c>
      <c r="H1326" s="26" t="inlineStr">
        <is>
          <t>No</t>
        </is>
      </c>
      <c r="I1326" s="26" t="inlineStr">
        <is>
          <t>Good finish</t>
        </is>
      </c>
      <c r="J1326" s="26" t="inlineStr">
        <is>
          <t>Yes</t>
        </is>
      </c>
      <c r="K1326" s="27" t="n"/>
      <c r="L1326" s="28" t="inlineStr">
        <is>
          <t>No</t>
        </is>
      </c>
      <c r="M1326" s="29">
        <f>IF(E1326="","",IF(H1326="Yes","❌ Disc",IF(G1326="No","⚠ Missing",IF(J1326="Yes","✓ OK","⚠ Check"))))</f>
        <v/>
      </c>
      <c r="N1326" s="43" t="n">
        <v>46193</v>
      </c>
      <c r="O1326" s="26" t="inlineStr">
        <is>
          <t>Sunil CR</t>
        </is>
      </c>
      <c r="P1326" s="26" t="inlineStr">
        <is>
          <t>Yes</t>
        </is>
      </c>
      <c r="Q1326" s="26" t="inlineStr">
        <is>
          <t>No</t>
        </is>
      </c>
      <c r="R1326" s="26" t="inlineStr">
        <is>
          <t>Good finish</t>
        </is>
      </c>
      <c r="S1326" s="26" t="inlineStr">
        <is>
          <t>Yes</t>
        </is>
      </c>
      <c r="T1326" s="27" t="n"/>
      <c r="U1326" s="28" t="inlineStr">
        <is>
          <t>No</t>
        </is>
      </c>
      <c r="V1326" s="29">
        <f>IF(N1326="","",IF(Q1326="Yes","❌ Disc",IF(P1326="No","⚠ Missing",IF(S1326="Yes","✓ OK","⚠ Check"))))</f>
        <v/>
      </c>
      <c r="W1326" s="65" t="n">
        <v>46248</v>
      </c>
      <c r="X1326" s="30" t="inlineStr">
        <is>
          <t>Sunil CR</t>
        </is>
      </c>
      <c r="Y1326" s="30" t="inlineStr">
        <is>
          <t>Yes</t>
        </is>
      </c>
      <c r="Z1326" s="30" t="n"/>
      <c r="AA1326" s="30" t="inlineStr">
        <is>
          <t>Good finish</t>
        </is>
      </c>
      <c r="AB1326" s="30" t="inlineStr">
        <is>
          <t>Yes</t>
        </is>
      </c>
      <c r="AC1326" s="27" t="n"/>
      <c r="AD1326" s="31" t="inlineStr">
        <is>
          <t>No</t>
        </is>
      </c>
      <c r="AE1326" s="32">
        <f>IF(W1326="","",IF(Z1326="Yes","❌ Disc",IF(Y1326="No","⚠ Missing",IF(AB1326="Yes","✓ OK","⚠ Check"))))</f>
        <v/>
      </c>
      <c r="AF1326" s="33" t="n"/>
      <c r="AG1326" s="33" t="n"/>
      <c r="AH1326" s="33" t="n"/>
      <c r="AI1326" s="33" t="n"/>
      <c r="AJ1326" s="33" t="n"/>
      <c r="AK1326" s="33" t="n"/>
      <c r="AL1326" s="27" t="n"/>
      <c r="AM1326" s="34" t="n"/>
      <c r="AN1326" s="35">
        <f>IF(AF1326="","",IF(AI1326="Yes","❌ Disc",IF(AH1326="No","⚠ Missing",IF(AK1326="Yes","✓ OK","⚠ Check"))))</f>
        <v/>
      </c>
      <c r="AO1326" s="36" t="n"/>
      <c r="AP1326" s="36" t="n"/>
      <c r="AQ1326" s="36" t="n"/>
      <c r="AR1326" s="36" t="n"/>
      <c r="AS1326" s="36" t="n"/>
      <c r="AT1326" s="36" t="n"/>
      <c r="AU1326" s="27" t="n"/>
      <c r="AV1326" s="37" t="n"/>
      <c r="AW1326" s="38">
        <f>IF(AO1326="","",IF(AR1326="Yes","❌ Disc",IF(AQ1326="No","⚠ Missing",IF(AT1326="Yes","✓ OK","⚠ Check"))))</f>
        <v/>
      </c>
    </row>
    <row r="1327" ht="18" customHeight="1" s="46">
      <c r="A1327" s="23" t="n">
        <v>1323</v>
      </c>
      <c r="B1327" s="24" t="inlineStr">
        <is>
          <t>BD-WLP-2023-0014</t>
        </is>
      </c>
      <c r="C1327" s="25" t="inlineStr">
        <is>
          <t>Melange - Au Maison Baroque Dusty Blue - 012G Wallpaper</t>
        </is>
      </c>
      <c r="D1327" s="23" t="inlineStr">
        <is>
          <t>Marshalls</t>
        </is>
      </c>
      <c r="E1327" s="43" t="n">
        <v>46125</v>
      </c>
      <c r="F1327" s="26" t="inlineStr">
        <is>
          <t>Sunil CR</t>
        </is>
      </c>
      <c r="G1327" s="26" t="inlineStr">
        <is>
          <t>Yes</t>
        </is>
      </c>
      <c r="H1327" s="26" t="inlineStr">
        <is>
          <t>No</t>
        </is>
      </c>
      <c r="I1327" s="26" t="inlineStr">
        <is>
          <t>Good finish</t>
        </is>
      </c>
      <c r="J1327" s="26" t="inlineStr">
        <is>
          <t>Yes</t>
        </is>
      </c>
      <c r="K1327" s="27" t="n"/>
      <c r="L1327" s="28" t="inlineStr">
        <is>
          <t>No</t>
        </is>
      </c>
      <c r="M1327" s="29">
        <f>IF(E1327="","",IF(H1327="Yes","❌ Disc",IF(G1327="No","⚠ Missing",IF(J1327="Yes","✓ OK","⚠ Check"))))</f>
        <v/>
      </c>
      <c r="N1327" s="43" t="n">
        <v>46193</v>
      </c>
      <c r="O1327" s="26" t="inlineStr">
        <is>
          <t>Sunil CR</t>
        </is>
      </c>
      <c r="P1327" s="26" t="inlineStr">
        <is>
          <t>Yes</t>
        </is>
      </c>
      <c r="Q1327" s="26" t="inlineStr">
        <is>
          <t>No</t>
        </is>
      </c>
      <c r="R1327" s="26" t="inlineStr">
        <is>
          <t>Good finish</t>
        </is>
      </c>
      <c r="S1327" s="26" t="inlineStr">
        <is>
          <t>Yes</t>
        </is>
      </c>
      <c r="T1327" s="27" t="n"/>
      <c r="U1327" s="28" t="inlineStr">
        <is>
          <t>No</t>
        </is>
      </c>
      <c r="V1327" s="29">
        <f>IF(N1327="","",IF(Q1327="Yes","❌ Disc",IF(P1327="No","⚠ Missing",IF(S1327="Yes","✓ OK","⚠ Check"))))</f>
        <v/>
      </c>
      <c r="W1327" s="65" t="n">
        <v>46248</v>
      </c>
      <c r="X1327" s="30" t="inlineStr">
        <is>
          <t>Sunil CR</t>
        </is>
      </c>
      <c r="Y1327" s="30" t="inlineStr">
        <is>
          <t>Yes</t>
        </is>
      </c>
      <c r="Z1327" s="30" t="n"/>
      <c r="AA1327" s="30" t="inlineStr">
        <is>
          <t>Good finish</t>
        </is>
      </c>
      <c r="AB1327" s="30" t="inlineStr">
        <is>
          <t>Yes</t>
        </is>
      </c>
      <c r="AC1327" s="27" t="n"/>
      <c r="AD1327" s="31" t="inlineStr">
        <is>
          <t>No</t>
        </is>
      </c>
      <c r="AE1327" s="32">
        <f>IF(W1327="","",IF(Z1327="Yes","❌ Disc",IF(Y1327="No","⚠ Missing",IF(AB1327="Yes","✓ OK","⚠ Check"))))</f>
        <v/>
      </c>
      <c r="AF1327" s="33" t="n"/>
      <c r="AG1327" s="33" t="n"/>
      <c r="AH1327" s="33" t="n"/>
      <c r="AI1327" s="33" t="n"/>
      <c r="AJ1327" s="33" t="n"/>
      <c r="AK1327" s="33" t="n"/>
      <c r="AL1327" s="27" t="n"/>
      <c r="AM1327" s="34" t="n"/>
      <c r="AN1327" s="35">
        <f>IF(AF1327="","",IF(AI1327="Yes","❌ Disc",IF(AH1327="No","⚠ Missing",IF(AK1327="Yes","✓ OK","⚠ Check"))))</f>
        <v/>
      </c>
      <c r="AO1327" s="36" t="n"/>
      <c r="AP1327" s="36" t="n"/>
      <c r="AQ1327" s="36" t="n"/>
      <c r="AR1327" s="36" t="n"/>
      <c r="AS1327" s="36" t="n"/>
      <c r="AT1327" s="36" t="n"/>
      <c r="AU1327" s="27" t="n"/>
      <c r="AV1327" s="37" t="n"/>
      <c r="AW1327" s="38">
        <f>IF(AO1327="","",IF(AR1327="Yes","❌ Disc",IF(AQ1327="No","⚠ Missing",IF(AT1327="Yes","✓ OK","⚠ Check"))))</f>
        <v/>
      </c>
    </row>
    <row r="1328" ht="18" customHeight="1" s="46">
      <c r="A1328" s="39" t="n">
        <v>1324</v>
      </c>
      <c r="B1328" s="40" t="inlineStr">
        <is>
          <t>BD-WLP-2023-0032</t>
        </is>
      </c>
      <c r="C1328" s="41" t="inlineStr">
        <is>
          <t>Melange - Beige Vintage - 030G Wallpaper</t>
        </is>
      </c>
      <c r="D1328" s="39" t="inlineStr">
        <is>
          <t>Marshalls</t>
        </is>
      </c>
      <c r="E1328" s="43" t="n">
        <v>46125</v>
      </c>
      <c r="F1328" s="26" t="inlineStr">
        <is>
          <t>Sunil CR</t>
        </is>
      </c>
      <c r="G1328" s="26" t="inlineStr">
        <is>
          <t>Yes</t>
        </is>
      </c>
      <c r="H1328" s="26" t="inlineStr">
        <is>
          <t>No</t>
        </is>
      </c>
      <c r="I1328" s="26" t="inlineStr">
        <is>
          <t>Good finish</t>
        </is>
      </c>
      <c r="J1328" s="26" t="inlineStr">
        <is>
          <t>Yes</t>
        </is>
      </c>
      <c r="K1328" s="27" t="n"/>
      <c r="L1328" s="28" t="inlineStr">
        <is>
          <t>No</t>
        </is>
      </c>
      <c r="M1328" s="29">
        <f>IF(E1328="","",IF(H1328="Yes","❌ Disc",IF(G1328="No","⚠ Missing",IF(J1328="Yes","✓ OK","⚠ Check"))))</f>
        <v/>
      </c>
      <c r="N1328" s="43" t="n">
        <v>46193</v>
      </c>
      <c r="O1328" s="26" t="inlineStr">
        <is>
          <t>Sunil CR</t>
        </is>
      </c>
      <c r="P1328" s="26" t="inlineStr">
        <is>
          <t>Yes</t>
        </is>
      </c>
      <c r="Q1328" s="26" t="inlineStr">
        <is>
          <t>No</t>
        </is>
      </c>
      <c r="R1328" s="26" t="inlineStr">
        <is>
          <t>Good finish</t>
        </is>
      </c>
      <c r="S1328" s="26" t="inlineStr">
        <is>
          <t>Yes</t>
        </is>
      </c>
      <c r="T1328" s="27" t="n"/>
      <c r="U1328" s="28" t="inlineStr">
        <is>
          <t>No</t>
        </is>
      </c>
      <c r="V1328" s="29">
        <f>IF(N1328="","",IF(Q1328="Yes","❌ Disc",IF(P1328="No","⚠ Missing",IF(S1328="Yes","✓ OK","⚠ Check"))))</f>
        <v/>
      </c>
      <c r="W1328" s="65" t="n">
        <v>46248</v>
      </c>
      <c r="X1328" s="30" t="inlineStr">
        <is>
          <t>Sunil CR</t>
        </is>
      </c>
      <c r="Y1328" s="30" t="inlineStr">
        <is>
          <t>Yes</t>
        </is>
      </c>
      <c r="Z1328" s="30" t="n"/>
      <c r="AA1328" s="30" t="inlineStr">
        <is>
          <t>Good finish</t>
        </is>
      </c>
      <c r="AB1328" s="30" t="inlineStr">
        <is>
          <t>Yes</t>
        </is>
      </c>
      <c r="AC1328" s="27" t="n"/>
      <c r="AD1328" s="31" t="inlineStr">
        <is>
          <t>No</t>
        </is>
      </c>
      <c r="AE1328" s="32">
        <f>IF(W1328="","",IF(Z1328="Yes","❌ Disc",IF(Y1328="No","⚠ Missing",IF(AB1328="Yes","✓ OK","⚠ Check"))))</f>
        <v/>
      </c>
      <c r="AF1328" s="33" t="n"/>
      <c r="AG1328" s="33" t="n"/>
      <c r="AH1328" s="33" t="n"/>
      <c r="AI1328" s="33" t="n"/>
      <c r="AJ1328" s="33" t="n"/>
      <c r="AK1328" s="33" t="n"/>
      <c r="AL1328" s="27" t="n"/>
      <c r="AM1328" s="34" t="n"/>
      <c r="AN1328" s="35">
        <f>IF(AF1328="","",IF(AI1328="Yes","❌ Disc",IF(AH1328="No","⚠ Missing",IF(AK1328="Yes","✓ OK","⚠ Check"))))</f>
        <v/>
      </c>
      <c r="AO1328" s="36" t="n"/>
      <c r="AP1328" s="36" t="n"/>
      <c r="AQ1328" s="36" t="n"/>
      <c r="AR1328" s="36" t="n"/>
      <c r="AS1328" s="36" t="n"/>
      <c r="AT1328" s="36" t="n"/>
      <c r="AU1328" s="27" t="n"/>
      <c r="AV1328" s="37" t="n"/>
      <c r="AW1328" s="38">
        <f>IF(AO1328="","",IF(AR1328="Yes","❌ Disc",IF(AQ1328="No","⚠ Missing",IF(AT1328="Yes","✓ OK","⚠ Check"))))</f>
        <v/>
      </c>
    </row>
    <row r="1329" ht="18" customHeight="1" s="46">
      <c r="A1329" s="23" t="n">
        <v>1325</v>
      </c>
      <c r="B1329" s="24" t="inlineStr">
        <is>
          <t>BD-WLP-2023-0029</t>
        </is>
      </c>
      <c r="C1329" s="25" t="inlineStr">
        <is>
          <t>Melange - Black Stripes - 027G Wallpaper</t>
        </is>
      </c>
      <c r="D1329" s="23" t="inlineStr">
        <is>
          <t>Marshalls</t>
        </is>
      </c>
      <c r="E1329" s="43" t="n">
        <v>46125</v>
      </c>
      <c r="F1329" s="26" t="inlineStr">
        <is>
          <t>Sunil CR</t>
        </is>
      </c>
      <c r="G1329" s="26" t="inlineStr">
        <is>
          <t>Yes</t>
        </is>
      </c>
      <c r="H1329" s="26" t="inlineStr">
        <is>
          <t>No</t>
        </is>
      </c>
      <c r="I1329" s="26" t="inlineStr">
        <is>
          <t>Good finish</t>
        </is>
      </c>
      <c r="J1329" s="26" t="inlineStr">
        <is>
          <t>Yes</t>
        </is>
      </c>
      <c r="K1329" s="27" t="n"/>
      <c r="L1329" s="28" t="inlineStr">
        <is>
          <t>No</t>
        </is>
      </c>
      <c r="M1329" s="29">
        <f>IF(E1329="","",IF(H1329="Yes","❌ Disc",IF(G1329="No","⚠ Missing",IF(J1329="Yes","✓ OK","⚠ Check"))))</f>
        <v/>
      </c>
      <c r="N1329" s="43" t="n">
        <v>46193</v>
      </c>
      <c r="O1329" s="26" t="inlineStr">
        <is>
          <t>Sunil CR</t>
        </is>
      </c>
      <c r="P1329" s="26" t="inlineStr">
        <is>
          <t>Yes</t>
        </is>
      </c>
      <c r="Q1329" s="26" t="inlineStr">
        <is>
          <t>No</t>
        </is>
      </c>
      <c r="R1329" s="26" t="inlineStr">
        <is>
          <t>Good finish</t>
        </is>
      </c>
      <c r="S1329" s="26" t="inlineStr">
        <is>
          <t>Yes</t>
        </is>
      </c>
      <c r="T1329" s="27" t="n"/>
      <c r="U1329" s="28" t="inlineStr">
        <is>
          <t>No</t>
        </is>
      </c>
      <c r="V1329" s="29">
        <f>IF(N1329="","",IF(Q1329="Yes","❌ Disc",IF(P1329="No","⚠ Missing",IF(S1329="Yes","✓ OK","⚠ Check"))))</f>
        <v/>
      </c>
      <c r="W1329" s="65" t="n">
        <v>46248</v>
      </c>
      <c r="X1329" s="30" t="inlineStr">
        <is>
          <t>Sunil CR</t>
        </is>
      </c>
      <c r="Y1329" s="30" t="inlineStr">
        <is>
          <t>Yes</t>
        </is>
      </c>
      <c r="Z1329" s="30" t="n"/>
      <c r="AA1329" s="30" t="inlineStr">
        <is>
          <t>Good finish</t>
        </is>
      </c>
      <c r="AB1329" s="30" t="inlineStr">
        <is>
          <t>Yes</t>
        </is>
      </c>
      <c r="AC1329" s="27" t="n"/>
      <c r="AD1329" s="31" t="inlineStr">
        <is>
          <t>No</t>
        </is>
      </c>
      <c r="AE1329" s="32">
        <f>IF(W1329="","",IF(Z1329="Yes","❌ Disc",IF(Y1329="No","⚠ Missing",IF(AB1329="Yes","✓ OK","⚠ Check"))))</f>
        <v/>
      </c>
      <c r="AF1329" s="33" t="n"/>
      <c r="AG1329" s="33" t="n"/>
      <c r="AH1329" s="33" t="n"/>
      <c r="AI1329" s="33" t="n"/>
      <c r="AJ1329" s="33" t="n"/>
      <c r="AK1329" s="33" t="n"/>
      <c r="AL1329" s="27" t="n"/>
      <c r="AM1329" s="34" t="n"/>
      <c r="AN1329" s="35">
        <f>IF(AF1329="","",IF(AI1329="Yes","❌ Disc",IF(AH1329="No","⚠ Missing",IF(AK1329="Yes","✓ OK","⚠ Check"))))</f>
        <v/>
      </c>
      <c r="AO1329" s="36" t="n"/>
      <c r="AP1329" s="36" t="n"/>
      <c r="AQ1329" s="36" t="n"/>
      <c r="AR1329" s="36" t="n"/>
      <c r="AS1329" s="36" t="n"/>
      <c r="AT1329" s="36" t="n"/>
      <c r="AU1329" s="27" t="n"/>
      <c r="AV1329" s="37" t="n"/>
      <c r="AW1329" s="38">
        <f>IF(AO1329="","",IF(AR1329="Yes","❌ Disc",IF(AQ1329="No","⚠ Missing",IF(AT1329="Yes","✓ OK","⚠ Check"))))</f>
        <v/>
      </c>
    </row>
    <row r="1330" ht="18" customHeight="1" s="46">
      <c r="A1330" s="39" t="n">
        <v>1326</v>
      </c>
      <c r="B1330" s="40" t="inlineStr">
        <is>
          <t>BD-WLP-2023-0008</t>
        </is>
      </c>
      <c r="C1330" s="41" t="inlineStr">
        <is>
          <t>Melange - Block Print - 006G Wallpaper</t>
        </is>
      </c>
      <c r="D1330" s="39" t="inlineStr">
        <is>
          <t>Marshalls</t>
        </is>
      </c>
      <c r="E1330" s="43" t="n">
        <v>46125</v>
      </c>
      <c r="F1330" s="26" t="inlineStr">
        <is>
          <t>Sunil CR</t>
        </is>
      </c>
      <c r="G1330" s="26" t="inlineStr">
        <is>
          <t>Yes</t>
        </is>
      </c>
      <c r="H1330" s="26" t="inlineStr">
        <is>
          <t>No</t>
        </is>
      </c>
      <c r="I1330" s="26" t="inlineStr">
        <is>
          <t>Good finish</t>
        </is>
      </c>
      <c r="J1330" s="26" t="inlineStr">
        <is>
          <t>Yes</t>
        </is>
      </c>
      <c r="K1330" s="27" t="n"/>
      <c r="L1330" s="28" t="inlineStr">
        <is>
          <t>No</t>
        </is>
      </c>
      <c r="M1330" s="29">
        <f>IF(E1330="","",IF(H1330="Yes","❌ Disc",IF(G1330="No","⚠ Missing",IF(J1330="Yes","✓ OK","⚠ Check"))))</f>
        <v/>
      </c>
      <c r="N1330" s="43" t="n">
        <v>46193</v>
      </c>
      <c r="O1330" s="26" t="inlineStr">
        <is>
          <t>Sunil CR</t>
        </is>
      </c>
      <c r="P1330" s="26" t="inlineStr">
        <is>
          <t>Yes</t>
        </is>
      </c>
      <c r="Q1330" s="26" t="inlineStr">
        <is>
          <t>No</t>
        </is>
      </c>
      <c r="R1330" s="26" t="inlineStr">
        <is>
          <t>Good finish</t>
        </is>
      </c>
      <c r="S1330" s="26" t="inlineStr">
        <is>
          <t>Yes</t>
        </is>
      </c>
      <c r="T1330" s="27" t="n"/>
      <c r="U1330" s="28" t="inlineStr">
        <is>
          <t>No</t>
        </is>
      </c>
      <c r="V1330" s="29">
        <f>IF(N1330="","",IF(Q1330="Yes","❌ Disc",IF(P1330="No","⚠ Missing",IF(S1330="Yes","✓ OK","⚠ Check"))))</f>
        <v/>
      </c>
      <c r="W1330" s="65" t="n">
        <v>46248</v>
      </c>
      <c r="X1330" s="30" t="inlineStr">
        <is>
          <t>Sunil CR</t>
        </is>
      </c>
      <c r="Y1330" s="30" t="inlineStr">
        <is>
          <t>Yes</t>
        </is>
      </c>
      <c r="Z1330" s="30" t="n"/>
      <c r="AA1330" s="30" t="inlineStr">
        <is>
          <t>Good finish</t>
        </is>
      </c>
      <c r="AB1330" s="30" t="inlineStr">
        <is>
          <t>Yes</t>
        </is>
      </c>
      <c r="AC1330" s="27" t="n"/>
      <c r="AD1330" s="31" t="inlineStr">
        <is>
          <t>No</t>
        </is>
      </c>
      <c r="AE1330" s="32">
        <f>IF(W1330="","",IF(Z1330="Yes","❌ Disc",IF(Y1330="No","⚠ Missing",IF(AB1330="Yes","✓ OK","⚠ Check"))))</f>
        <v/>
      </c>
      <c r="AF1330" s="33" t="n"/>
      <c r="AG1330" s="33" t="n"/>
      <c r="AH1330" s="33" t="n"/>
      <c r="AI1330" s="33" t="n"/>
      <c r="AJ1330" s="33" t="n"/>
      <c r="AK1330" s="33" t="n"/>
      <c r="AL1330" s="27" t="n"/>
      <c r="AM1330" s="34" t="n"/>
      <c r="AN1330" s="35">
        <f>IF(AF1330="","",IF(AI1330="Yes","❌ Disc",IF(AH1330="No","⚠ Missing",IF(AK1330="Yes","✓ OK","⚠ Check"))))</f>
        <v/>
      </c>
      <c r="AO1330" s="36" t="n"/>
      <c r="AP1330" s="36" t="n"/>
      <c r="AQ1330" s="36" t="n"/>
      <c r="AR1330" s="36" t="n"/>
      <c r="AS1330" s="36" t="n"/>
      <c r="AT1330" s="36" t="n"/>
      <c r="AU1330" s="27" t="n"/>
      <c r="AV1330" s="37" t="n"/>
      <c r="AW1330" s="38">
        <f>IF(AO1330="","",IF(AR1330="Yes","❌ Disc",IF(AQ1330="No","⚠ Missing",IF(AT1330="Yes","✓ OK","⚠ Check"))))</f>
        <v/>
      </c>
    </row>
    <row r="1331" ht="18" customHeight="1" s="46">
      <c r="A1331" s="23" t="n">
        <v>1327</v>
      </c>
      <c r="B1331" s="24" t="inlineStr">
        <is>
          <t>BD-WLP-2023-0026</t>
        </is>
      </c>
      <c r="C1331" s="25" t="inlineStr">
        <is>
          <t>Melange - Celestial Hues - 024G Wallpaper</t>
        </is>
      </c>
      <c r="D1331" s="23" t="inlineStr">
        <is>
          <t>Marshalls</t>
        </is>
      </c>
      <c r="E1331" s="43" t="n">
        <v>46125</v>
      </c>
      <c r="F1331" s="26" t="inlineStr">
        <is>
          <t>Sunil CR</t>
        </is>
      </c>
      <c r="G1331" s="26" t="inlineStr">
        <is>
          <t>Yes</t>
        </is>
      </c>
      <c r="H1331" s="26" t="inlineStr">
        <is>
          <t>No</t>
        </is>
      </c>
      <c r="I1331" s="26" t="inlineStr">
        <is>
          <t>Good finish</t>
        </is>
      </c>
      <c r="J1331" s="26" t="inlineStr">
        <is>
          <t>Yes</t>
        </is>
      </c>
      <c r="K1331" s="27" t="n"/>
      <c r="L1331" s="28" t="inlineStr">
        <is>
          <t>No</t>
        </is>
      </c>
      <c r="M1331" s="29">
        <f>IF(E1331="","",IF(H1331="Yes","❌ Disc",IF(G1331="No","⚠ Missing",IF(J1331="Yes","✓ OK","⚠ Check"))))</f>
        <v/>
      </c>
      <c r="N1331" s="43" t="n">
        <v>46193</v>
      </c>
      <c r="O1331" s="26" t="inlineStr">
        <is>
          <t>Sunil CR</t>
        </is>
      </c>
      <c r="P1331" s="26" t="inlineStr">
        <is>
          <t>Yes</t>
        </is>
      </c>
      <c r="Q1331" s="26" t="inlineStr">
        <is>
          <t>No</t>
        </is>
      </c>
      <c r="R1331" s="26" t="inlineStr">
        <is>
          <t>Good finish</t>
        </is>
      </c>
      <c r="S1331" s="26" t="inlineStr">
        <is>
          <t>Yes</t>
        </is>
      </c>
      <c r="T1331" s="27" t="n"/>
      <c r="U1331" s="28" t="inlineStr">
        <is>
          <t>No</t>
        </is>
      </c>
      <c r="V1331" s="29">
        <f>IF(N1331="","",IF(Q1331="Yes","❌ Disc",IF(P1331="No","⚠ Missing",IF(S1331="Yes","✓ OK","⚠ Check"))))</f>
        <v/>
      </c>
      <c r="W1331" s="65" t="n">
        <v>46248</v>
      </c>
      <c r="X1331" s="30" t="inlineStr">
        <is>
          <t>Sunil CR</t>
        </is>
      </c>
      <c r="Y1331" s="30" t="inlineStr">
        <is>
          <t>Yes</t>
        </is>
      </c>
      <c r="Z1331" s="30" t="n"/>
      <c r="AA1331" s="30" t="inlineStr">
        <is>
          <t>Good finish</t>
        </is>
      </c>
      <c r="AB1331" s="30" t="inlineStr">
        <is>
          <t>Yes</t>
        </is>
      </c>
      <c r="AC1331" s="27" t="n"/>
      <c r="AD1331" s="31" t="inlineStr">
        <is>
          <t>No</t>
        </is>
      </c>
      <c r="AE1331" s="32">
        <f>IF(W1331="","",IF(Z1331="Yes","❌ Disc",IF(Y1331="No","⚠ Missing",IF(AB1331="Yes","✓ OK","⚠ Check"))))</f>
        <v/>
      </c>
      <c r="AF1331" s="33" t="n"/>
      <c r="AG1331" s="33" t="n"/>
      <c r="AH1331" s="33" t="n"/>
      <c r="AI1331" s="33" t="n"/>
      <c r="AJ1331" s="33" t="n"/>
      <c r="AK1331" s="33" t="n"/>
      <c r="AL1331" s="27" t="n"/>
      <c r="AM1331" s="34" t="n"/>
      <c r="AN1331" s="35">
        <f>IF(AF1331="","",IF(AI1331="Yes","❌ Disc",IF(AH1331="No","⚠ Missing",IF(AK1331="Yes","✓ OK","⚠ Check"))))</f>
        <v/>
      </c>
      <c r="AO1331" s="36" t="n"/>
      <c r="AP1331" s="36" t="n"/>
      <c r="AQ1331" s="36" t="n"/>
      <c r="AR1331" s="36" t="n"/>
      <c r="AS1331" s="36" t="n"/>
      <c r="AT1331" s="36" t="n"/>
      <c r="AU1331" s="27" t="n"/>
      <c r="AV1331" s="37" t="n"/>
      <c r="AW1331" s="38">
        <f>IF(AO1331="","",IF(AR1331="Yes","❌ Disc",IF(AQ1331="No","⚠ Missing",IF(AT1331="Yes","✓ OK","⚠ Check"))))</f>
        <v/>
      </c>
    </row>
    <row r="1332" ht="18" customHeight="1" s="46">
      <c r="A1332" s="39" t="n">
        <v>1328</v>
      </c>
      <c r="B1332" s="40" t="inlineStr">
        <is>
          <t>BD-WLP-2023-0036</t>
        </is>
      </c>
      <c r="C1332" s="41" t="inlineStr">
        <is>
          <t>Melange - Chevron Jungle - 034G Wallpaper [BBP]</t>
        </is>
      </c>
      <c r="D1332" s="39" t="inlineStr">
        <is>
          <t>Marshalls</t>
        </is>
      </c>
      <c r="E1332" s="43" t="n">
        <v>46125</v>
      </c>
      <c r="F1332" s="26" t="inlineStr">
        <is>
          <t>Sunil CR</t>
        </is>
      </c>
      <c r="G1332" s="26" t="inlineStr">
        <is>
          <t>Yes</t>
        </is>
      </c>
      <c r="H1332" s="26" t="inlineStr">
        <is>
          <t>No</t>
        </is>
      </c>
      <c r="I1332" s="26" t="inlineStr">
        <is>
          <t>Good finish</t>
        </is>
      </c>
      <c r="J1332" s="26" t="inlineStr">
        <is>
          <t>Yes</t>
        </is>
      </c>
      <c r="K1332" s="27" t="n"/>
      <c r="L1332" s="28" t="inlineStr">
        <is>
          <t>No</t>
        </is>
      </c>
      <c r="M1332" s="29">
        <f>IF(E1332="","",IF(H1332="Yes","❌ Disc",IF(G1332="No","⚠ Missing",IF(J1332="Yes","✓ OK","⚠ Check"))))</f>
        <v/>
      </c>
      <c r="N1332" s="43" t="n">
        <v>46193</v>
      </c>
      <c r="O1332" s="26" t="inlineStr">
        <is>
          <t>Sunil CR</t>
        </is>
      </c>
      <c r="P1332" s="26" t="inlineStr">
        <is>
          <t>Yes</t>
        </is>
      </c>
      <c r="Q1332" s="26" t="inlineStr">
        <is>
          <t>No</t>
        </is>
      </c>
      <c r="R1332" s="26" t="inlineStr">
        <is>
          <t>Good finish</t>
        </is>
      </c>
      <c r="S1332" s="26" t="inlineStr">
        <is>
          <t>Yes</t>
        </is>
      </c>
      <c r="T1332" s="27" t="n"/>
      <c r="U1332" s="28" t="inlineStr">
        <is>
          <t>No</t>
        </is>
      </c>
      <c r="V1332" s="29">
        <f>IF(N1332="","",IF(Q1332="Yes","❌ Disc",IF(P1332="No","⚠ Missing",IF(S1332="Yes","✓ OK","⚠ Check"))))</f>
        <v/>
      </c>
      <c r="W1332" s="65" t="n">
        <v>46248</v>
      </c>
      <c r="X1332" s="30" t="inlineStr">
        <is>
          <t>Sunil CR</t>
        </is>
      </c>
      <c r="Y1332" s="30" t="inlineStr">
        <is>
          <t>Yes</t>
        </is>
      </c>
      <c r="Z1332" s="30" t="n"/>
      <c r="AA1332" s="30" t="inlineStr">
        <is>
          <t>Good finish</t>
        </is>
      </c>
      <c r="AB1332" s="30" t="inlineStr">
        <is>
          <t>Yes</t>
        </is>
      </c>
      <c r="AC1332" s="27" t="n"/>
      <c r="AD1332" s="31" t="inlineStr">
        <is>
          <t>No</t>
        </is>
      </c>
      <c r="AE1332" s="32">
        <f>IF(W1332="","",IF(Z1332="Yes","❌ Disc",IF(Y1332="No","⚠ Missing",IF(AB1332="Yes","✓ OK","⚠ Check"))))</f>
        <v/>
      </c>
      <c r="AF1332" s="33" t="n"/>
      <c r="AG1332" s="33" t="n"/>
      <c r="AH1332" s="33" t="n"/>
      <c r="AI1332" s="33" t="n"/>
      <c r="AJ1332" s="33" t="n"/>
      <c r="AK1332" s="33" t="n"/>
      <c r="AL1332" s="27" t="n"/>
      <c r="AM1332" s="34" t="n"/>
      <c r="AN1332" s="35">
        <f>IF(AF1332="","",IF(AI1332="Yes","❌ Disc",IF(AH1332="No","⚠ Missing",IF(AK1332="Yes","✓ OK","⚠ Check"))))</f>
        <v/>
      </c>
      <c r="AO1332" s="36" t="n"/>
      <c r="AP1332" s="36" t="n"/>
      <c r="AQ1332" s="36" t="n"/>
      <c r="AR1332" s="36" t="n"/>
      <c r="AS1332" s="36" t="n"/>
      <c r="AT1332" s="36" t="n"/>
      <c r="AU1332" s="27" t="n"/>
      <c r="AV1332" s="37" t="n"/>
      <c r="AW1332" s="38">
        <f>IF(AO1332="","",IF(AR1332="Yes","❌ Disc",IF(AQ1332="No","⚠ Missing",IF(AT1332="Yes","✓ OK","⚠ Check"))))</f>
        <v/>
      </c>
    </row>
    <row r="1333" ht="18" customHeight="1" s="46">
      <c r="A1333" s="23" t="n">
        <v>1329</v>
      </c>
      <c r="B1333" s="24" t="inlineStr">
        <is>
          <t>BD-WLP-2023-0007</t>
        </is>
      </c>
      <c r="C1333" s="25" t="inlineStr">
        <is>
          <t>Melange - Chinoiserie in Blue - 005G Wallpaper</t>
        </is>
      </c>
      <c r="D1333" s="23" t="inlineStr">
        <is>
          <t>Marshalls</t>
        </is>
      </c>
      <c r="E1333" s="43" t="n">
        <v>46125</v>
      </c>
      <c r="F1333" s="26" t="inlineStr">
        <is>
          <t>Sunil CR</t>
        </is>
      </c>
      <c r="G1333" s="26" t="inlineStr">
        <is>
          <t>Yes</t>
        </is>
      </c>
      <c r="H1333" s="26" t="inlineStr">
        <is>
          <t>No</t>
        </is>
      </c>
      <c r="I1333" s="26" t="inlineStr">
        <is>
          <t>Good finish</t>
        </is>
      </c>
      <c r="J1333" s="26" t="inlineStr">
        <is>
          <t>Yes</t>
        </is>
      </c>
      <c r="K1333" s="27" t="n"/>
      <c r="L1333" s="28" t="inlineStr">
        <is>
          <t>No</t>
        </is>
      </c>
      <c r="M1333" s="29">
        <f>IF(E1333="","",IF(H1333="Yes","❌ Disc",IF(G1333="No","⚠ Missing",IF(J1333="Yes","✓ OK","⚠ Check"))))</f>
        <v/>
      </c>
      <c r="N1333" s="43" t="n">
        <v>46193</v>
      </c>
      <c r="O1333" s="26" t="inlineStr">
        <is>
          <t>Sunil CR</t>
        </is>
      </c>
      <c r="P1333" s="26" t="inlineStr">
        <is>
          <t>Yes</t>
        </is>
      </c>
      <c r="Q1333" s="26" t="inlineStr">
        <is>
          <t>No</t>
        </is>
      </c>
      <c r="R1333" s="26" t="inlineStr">
        <is>
          <t>Good finish</t>
        </is>
      </c>
      <c r="S1333" s="26" t="inlineStr">
        <is>
          <t>Yes</t>
        </is>
      </c>
      <c r="T1333" s="27" t="n"/>
      <c r="U1333" s="28" t="inlineStr">
        <is>
          <t>No</t>
        </is>
      </c>
      <c r="V1333" s="29">
        <f>IF(N1333="","",IF(Q1333="Yes","❌ Disc",IF(P1333="No","⚠ Missing",IF(S1333="Yes","✓ OK","⚠ Check"))))</f>
        <v/>
      </c>
      <c r="W1333" s="65" t="n">
        <v>46248</v>
      </c>
      <c r="X1333" s="30" t="inlineStr">
        <is>
          <t>Sunil CR</t>
        </is>
      </c>
      <c r="Y1333" s="30" t="inlineStr">
        <is>
          <t>Yes</t>
        </is>
      </c>
      <c r="Z1333" s="30" t="n"/>
      <c r="AA1333" s="30" t="inlineStr">
        <is>
          <t>Good finish</t>
        </is>
      </c>
      <c r="AB1333" s="30" t="inlineStr">
        <is>
          <t>Yes</t>
        </is>
      </c>
      <c r="AC1333" s="27" t="n"/>
      <c r="AD1333" s="31" t="inlineStr">
        <is>
          <t>No</t>
        </is>
      </c>
      <c r="AE1333" s="32">
        <f>IF(W1333="","",IF(Z1333="Yes","❌ Disc",IF(Y1333="No","⚠ Missing",IF(AB1333="Yes","✓ OK","⚠ Check"))))</f>
        <v/>
      </c>
      <c r="AF1333" s="33" t="n"/>
      <c r="AG1333" s="33" t="n"/>
      <c r="AH1333" s="33" t="n"/>
      <c r="AI1333" s="33" t="n"/>
      <c r="AJ1333" s="33" t="n"/>
      <c r="AK1333" s="33" t="n"/>
      <c r="AL1333" s="27" t="n"/>
      <c r="AM1333" s="34" t="n"/>
      <c r="AN1333" s="35">
        <f>IF(AF1333="","",IF(AI1333="Yes","❌ Disc",IF(AH1333="No","⚠ Missing",IF(AK1333="Yes","✓ OK","⚠ Check"))))</f>
        <v/>
      </c>
      <c r="AO1333" s="36" t="n"/>
      <c r="AP1333" s="36" t="n"/>
      <c r="AQ1333" s="36" t="n"/>
      <c r="AR1333" s="36" t="n"/>
      <c r="AS1333" s="36" t="n"/>
      <c r="AT1333" s="36" t="n"/>
      <c r="AU1333" s="27" t="n"/>
      <c r="AV1333" s="37" t="n"/>
      <c r="AW1333" s="38">
        <f>IF(AO1333="","",IF(AR1333="Yes","❌ Disc",IF(AQ1333="No","⚠ Missing",IF(AT1333="Yes","✓ OK","⚠ Check"))))</f>
        <v/>
      </c>
    </row>
    <row r="1334" ht="18" customHeight="1" s="46">
      <c r="A1334" s="39" t="n">
        <v>1330</v>
      </c>
      <c r="B1334" s="40" t="inlineStr">
        <is>
          <t>BD-WLP-2023-0045</t>
        </is>
      </c>
      <c r="C1334" s="41" t="inlineStr">
        <is>
          <t>Melange - Circus Elephant - 005K Wallpaper</t>
        </is>
      </c>
      <c r="D1334" s="39" t="inlineStr">
        <is>
          <t>Marshalls</t>
        </is>
      </c>
      <c r="E1334" s="43" t="n">
        <v>46125</v>
      </c>
      <c r="F1334" s="26" t="inlineStr">
        <is>
          <t>Sunil CR</t>
        </is>
      </c>
      <c r="G1334" s="26" t="inlineStr">
        <is>
          <t>Yes</t>
        </is>
      </c>
      <c r="H1334" s="26" t="inlineStr">
        <is>
          <t>No</t>
        </is>
      </c>
      <c r="I1334" s="26" t="inlineStr">
        <is>
          <t>Good finish</t>
        </is>
      </c>
      <c r="J1334" s="26" t="inlineStr">
        <is>
          <t>Yes</t>
        </is>
      </c>
      <c r="K1334" s="27" t="n"/>
      <c r="L1334" s="28" t="inlineStr">
        <is>
          <t>No</t>
        </is>
      </c>
      <c r="M1334" s="29">
        <f>IF(E1334="","",IF(H1334="Yes","❌ Disc",IF(G1334="No","⚠ Missing",IF(J1334="Yes","✓ OK","⚠ Check"))))</f>
        <v/>
      </c>
      <c r="N1334" s="43" t="n">
        <v>46193</v>
      </c>
      <c r="O1334" s="26" t="inlineStr">
        <is>
          <t>Sunil CR</t>
        </is>
      </c>
      <c r="P1334" s="26" t="inlineStr">
        <is>
          <t>Yes</t>
        </is>
      </c>
      <c r="Q1334" s="26" t="inlineStr">
        <is>
          <t>No</t>
        </is>
      </c>
      <c r="R1334" s="26" t="inlineStr">
        <is>
          <t>Good finish</t>
        </is>
      </c>
      <c r="S1334" s="26" t="inlineStr">
        <is>
          <t>Yes</t>
        </is>
      </c>
      <c r="T1334" s="27" t="n"/>
      <c r="U1334" s="28" t="inlineStr">
        <is>
          <t>No</t>
        </is>
      </c>
      <c r="V1334" s="29">
        <f>IF(N1334="","",IF(Q1334="Yes","❌ Disc",IF(P1334="No","⚠ Missing",IF(S1334="Yes","✓ OK","⚠ Check"))))</f>
        <v/>
      </c>
      <c r="W1334" s="65" t="n">
        <v>46248</v>
      </c>
      <c r="X1334" s="30" t="inlineStr">
        <is>
          <t>Sunil CR</t>
        </is>
      </c>
      <c r="Y1334" s="30" t="inlineStr">
        <is>
          <t>Yes</t>
        </is>
      </c>
      <c r="Z1334" s="30" t="n"/>
      <c r="AA1334" s="30" t="inlineStr">
        <is>
          <t>Good finish</t>
        </is>
      </c>
      <c r="AB1334" s="30" t="inlineStr">
        <is>
          <t>Yes</t>
        </is>
      </c>
      <c r="AC1334" s="27" t="n"/>
      <c r="AD1334" s="31" t="inlineStr">
        <is>
          <t>No</t>
        </is>
      </c>
      <c r="AE1334" s="32">
        <f>IF(W1334="","",IF(Z1334="Yes","❌ Disc",IF(Y1334="No","⚠ Missing",IF(AB1334="Yes","✓ OK","⚠ Check"))))</f>
        <v/>
      </c>
      <c r="AF1334" s="33" t="n"/>
      <c r="AG1334" s="33" t="n"/>
      <c r="AH1334" s="33" t="n"/>
      <c r="AI1334" s="33" t="n"/>
      <c r="AJ1334" s="33" t="n"/>
      <c r="AK1334" s="33" t="n"/>
      <c r="AL1334" s="27" t="n"/>
      <c r="AM1334" s="34" t="n"/>
      <c r="AN1334" s="35">
        <f>IF(AF1334="","",IF(AI1334="Yes","❌ Disc",IF(AH1334="No","⚠ Missing",IF(AK1334="Yes","✓ OK","⚠ Check"))))</f>
        <v/>
      </c>
      <c r="AO1334" s="36" t="n"/>
      <c r="AP1334" s="36" t="n"/>
      <c r="AQ1334" s="36" t="n"/>
      <c r="AR1334" s="36" t="n"/>
      <c r="AS1334" s="36" t="n"/>
      <c r="AT1334" s="36" t="n"/>
      <c r="AU1334" s="27" t="n"/>
      <c r="AV1334" s="37" t="n"/>
      <c r="AW1334" s="38">
        <f>IF(AO1334="","",IF(AR1334="Yes","❌ Disc",IF(AQ1334="No","⚠ Missing",IF(AT1334="Yes","✓ OK","⚠ Check"))))</f>
        <v/>
      </c>
    </row>
    <row r="1335" ht="18" customHeight="1" s="46">
      <c r="A1335" s="23" t="n">
        <v>1331</v>
      </c>
      <c r="B1335" s="24" t="inlineStr">
        <is>
          <t>BD-WLP-2023-0044</t>
        </is>
      </c>
      <c r="C1335" s="25" t="inlineStr">
        <is>
          <t>Melange - Constellation - 004K Wallpaper</t>
        </is>
      </c>
      <c r="D1335" s="23" t="inlineStr">
        <is>
          <t>Marshalls</t>
        </is>
      </c>
      <c r="E1335" s="43" t="n">
        <v>46125</v>
      </c>
      <c r="F1335" s="26" t="inlineStr">
        <is>
          <t>Sunil CR</t>
        </is>
      </c>
      <c r="G1335" s="26" t="inlineStr">
        <is>
          <t>Yes</t>
        </is>
      </c>
      <c r="H1335" s="26" t="inlineStr">
        <is>
          <t>No</t>
        </is>
      </c>
      <c r="I1335" s="26" t="inlineStr">
        <is>
          <t>Good finish</t>
        </is>
      </c>
      <c r="J1335" s="26" t="inlineStr">
        <is>
          <t>Yes</t>
        </is>
      </c>
      <c r="K1335" s="27" t="n"/>
      <c r="L1335" s="28" t="inlineStr">
        <is>
          <t>No</t>
        </is>
      </c>
      <c r="M1335" s="29">
        <f>IF(E1335="","",IF(H1335="Yes","❌ Disc",IF(G1335="No","⚠ Missing",IF(J1335="Yes","✓ OK","⚠ Check"))))</f>
        <v/>
      </c>
      <c r="N1335" s="43" t="n">
        <v>46193</v>
      </c>
      <c r="O1335" s="26" t="inlineStr">
        <is>
          <t>Sunil CR</t>
        </is>
      </c>
      <c r="P1335" s="26" t="inlineStr">
        <is>
          <t>Yes</t>
        </is>
      </c>
      <c r="Q1335" s="26" t="inlineStr">
        <is>
          <t>No</t>
        </is>
      </c>
      <c r="R1335" s="26" t="inlineStr">
        <is>
          <t>Good finish</t>
        </is>
      </c>
      <c r="S1335" s="26" t="inlineStr">
        <is>
          <t>Yes</t>
        </is>
      </c>
      <c r="T1335" s="27" t="n"/>
      <c r="U1335" s="28" t="inlineStr">
        <is>
          <t>No</t>
        </is>
      </c>
      <c r="V1335" s="29">
        <f>IF(N1335="","",IF(Q1335="Yes","❌ Disc",IF(P1335="No","⚠ Missing",IF(S1335="Yes","✓ OK","⚠ Check"))))</f>
        <v/>
      </c>
      <c r="W1335" s="65" t="n">
        <v>46248</v>
      </c>
      <c r="X1335" s="30" t="inlineStr">
        <is>
          <t>Sunil CR</t>
        </is>
      </c>
      <c r="Y1335" s="30" t="inlineStr">
        <is>
          <t>Yes</t>
        </is>
      </c>
      <c r="Z1335" s="30" t="n"/>
      <c r="AA1335" s="30" t="inlineStr">
        <is>
          <t>Good finish</t>
        </is>
      </c>
      <c r="AB1335" s="30" t="inlineStr">
        <is>
          <t>Yes</t>
        </is>
      </c>
      <c r="AC1335" s="27" t="n"/>
      <c r="AD1335" s="31" t="inlineStr">
        <is>
          <t>No</t>
        </is>
      </c>
      <c r="AE1335" s="32">
        <f>IF(W1335="","",IF(Z1335="Yes","❌ Disc",IF(Y1335="No","⚠ Missing",IF(AB1335="Yes","✓ OK","⚠ Check"))))</f>
        <v/>
      </c>
      <c r="AF1335" s="33" t="n"/>
      <c r="AG1335" s="33" t="n"/>
      <c r="AH1335" s="33" t="n"/>
      <c r="AI1335" s="33" t="n"/>
      <c r="AJ1335" s="33" t="n"/>
      <c r="AK1335" s="33" t="n"/>
      <c r="AL1335" s="27" t="n"/>
      <c r="AM1335" s="34" t="n"/>
      <c r="AN1335" s="35">
        <f>IF(AF1335="","",IF(AI1335="Yes","❌ Disc",IF(AH1335="No","⚠ Missing",IF(AK1335="Yes","✓ OK","⚠ Check"))))</f>
        <v/>
      </c>
      <c r="AO1335" s="36" t="n"/>
      <c r="AP1335" s="36" t="n"/>
      <c r="AQ1335" s="36" t="n"/>
      <c r="AR1335" s="36" t="n"/>
      <c r="AS1335" s="36" t="n"/>
      <c r="AT1335" s="36" t="n"/>
      <c r="AU1335" s="27" t="n"/>
      <c r="AV1335" s="37" t="n"/>
      <c r="AW1335" s="38">
        <f>IF(AO1335="","",IF(AR1335="Yes","❌ Disc",IF(AQ1335="No","⚠ Missing",IF(AT1335="Yes","✓ OK","⚠ Check"))))</f>
        <v/>
      </c>
    </row>
    <row r="1336" ht="18" customHeight="1" s="46">
      <c r="A1336" s="39" t="n">
        <v>1332</v>
      </c>
      <c r="B1336" s="40" t="inlineStr">
        <is>
          <t>BD-WLP-2023-0005</t>
        </is>
      </c>
      <c r="C1336" s="41" t="inlineStr">
        <is>
          <t>Melange - Coral Dreams - 003G Wallpaper</t>
        </is>
      </c>
      <c r="D1336" s="39" t="inlineStr">
        <is>
          <t>Marshalls</t>
        </is>
      </c>
      <c r="E1336" s="43" t="n">
        <v>46125</v>
      </c>
      <c r="F1336" s="26" t="inlineStr">
        <is>
          <t>Sunil CR</t>
        </is>
      </c>
      <c r="G1336" s="26" t="inlineStr">
        <is>
          <t>Yes</t>
        </is>
      </c>
      <c r="H1336" s="26" t="inlineStr">
        <is>
          <t>No</t>
        </is>
      </c>
      <c r="I1336" s="26" t="inlineStr">
        <is>
          <t>Good finish</t>
        </is>
      </c>
      <c r="J1336" s="26" t="inlineStr">
        <is>
          <t>Yes</t>
        </is>
      </c>
      <c r="K1336" s="27" t="n"/>
      <c r="L1336" s="28" t="inlineStr">
        <is>
          <t>No</t>
        </is>
      </c>
      <c r="M1336" s="29">
        <f>IF(E1336="","",IF(H1336="Yes","❌ Disc",IF(G1336="No","⚠ Missing",IF(J1336="Yes","✓ OK","⚠ Check"))))</f>
        <v/>
      </c>
      <c r="N1336" s="43" t="n">
        <v>46193</v>
      </c>
      <c r="O1336" s="26" t="inlineStr">
        <is>
          <t>Sunil CR</t>
        </is>
      </c>
      <c r="P1336" s="26" t="inlineStr">
        <is>
          <t>Yes</t>
        </is>
      </c>
      <c r="Q1336" s="26" t="inlineStr">
        <is>
          <t>No</t>
        </is>
      </c>
      <c r="R1336" s="26" t="inlineStr">
        <is>
          <t>Good finish</t>
        </is>
      </c>
      <c r="S1336" s="26" t="inlineStr">
        <is>
          <t>Yes</t>
        </is>
      </c>
      <c r="T1336" s="27" t="n"/>
      <c r="U1336" s="28" t="inlineStr">
        <is>
          <t>No</t>
        </is>
      </c>
      <c r="V1336" s="29">
        <f>IF(N1336="","",IF(Q1336="Yes","❌ Disc",IF(P1336="No","⚠ Missing",IF(S1336="Yes","✓ OK","⚠ Check"))))</f>
        <v/>
      </c>
      <c r="W1336" s="65" t="n">
        <v>46248</v>
      </c>
      <c r="X1336" s="30" t="inlineStr">
        <is>
          <t>Sunil CR</t>
        </is>
      </c>
      <c r="Y1336" s="30" t="inlineStr">
        <is>
          <t>Yes</t>
        </is>
      </c>
      <c r="Z1336" s="30" t="n"/>
      <c r="AA1336" s="30" t="inlineStr">
        <is>
          <t>Good finish</t>
        </is>
      </c>
      <c r="AB1336" s="30" t="inlineStr">
        <is>
          <t>Yes</t>
        </is>
      </c>
      <c r="AC1336" s="27" t="n"/>
      <c r="AD1336" s="31" t="inlineStr">
        <is>
          <t>No</t>
        </is>
      </c>
      <c r="AE1336" s="32">
        <f>IF(W1336="","",IF(Z1336="Yes","❌ Disc",IF(Y1336="No","⚠ Missing",IF(AB1336="Yes","✓ OK","⚠ Check"))))</f>
        <v/>
      </c>
      <c r="AF1336" s="33" t="n"/>
      <c r="AG1336" s="33" t="n"/>
      <c r="AH1336" s="33" t="n"/>
      <c r="AI1336" s="33" t="n"/>
      <c r="AJ1336" s="33" t="n"/>
      <c r="AK1336" s="33" t="n"/>
      <c r="AL1336" s="27" t="n"/>
      <c r="AM1336" s="34" t="n"/>
      <c r="AN1336" s="35">
        <f>IF(AF1336="","",IF(AI1336="Yes","❌ Disc",IF(AH1336="No","⚠ Missing",IF(AK1336="Yes","✓ OK","⚠ Check"))))</f>
        <v/>
      </c>
      <c r="AO1336" s="36" t="n"/>
      <c r="AP1336" s="36" t="n"/>
      <c r="AQ1336" s="36" t="n"/>
      <c r="AR1336" s="36" t="n"/>
      <c r="AS1336" s="36" t="n"/>
      <c r="AT1336" s="36" t="n"/>
      <c r="AU1336" s="27" t="n"/>
      <c r="AV1336" s="37" t="n"/>
      <c r="AW1336" s="38">
        <f>IF(AO1336="","",IF(AR1336="Yes","❌ Disc",IF(AQ1336="No","⚠ Missing",IF(AT1336="Yes","✓ OK","⚠ Check"))))</f>
        <v/>
      </c>
    </row>
    <row r="1337" ht="18" customHeight="1" s="46">
      <c r="A1337" s="23" t="n">
        <v>1333</v>
      </c>
      <c r="B1337" s="24" t="inlineStr">
        <is>
          <t>BD-WLP-2023-0020</t>
        </is>
      </c>
      <c r="C1337" s="25" t="inlineStr">
        <is>
          <t>Melange - Daisy Spring - 018G Wallpaper [BBP]</t>
        </is>
      </c>
      <c r="D1337" s="23" t="inlineStr">
        <is>
          <t>Marshalls</t>
        </is>
      </c>
      <c r="E1337" s="43" t="n">
        <v>46125</v>
      </c>
      <c r="F1337" s="26" t="inlineStr">
        <is>
          <t>Sunil CR</t>
        </is>
      </c>
      <c r="G1337" s="26" t="inlineStr">
        <is>
          <t>Yes</t>
        </is>
      </c>
      <c r="H1337" s="26" t="inlineStr">
        <is>
          <t>No</t>
        </is>
      </c>
      <c r="I1337" s="26" t="inlineStr">
        <is>
          <t>Good finish</t>
        </is>
      </c>
      <c r="J1337" s="26" t="inlineStr">
        <is>
          <t>Yes</t>
        </is>
      </c>
      <c r="K1337" s="27" t="n"/>
      <c r="L1337" s="28" t="inlineStr">
        <is>
          <t>No</t>
        </is>
      </c>
      <c r="M1337" s="29">
        <f>IF(E1337="","",IF(H1337="Yes","❌ Disc",IF(G1337="No","⚠ Missing",IF(J1337="Yes","✓ OK","⚠ Check"))))</f>
        <v/>
      </c>
      <c r="N1337" s="43" t="n">
        <v>46193</v>
      </c>
      <c r="O1337" s="26" t="inlineStr">
        <is>
          <t>Sunil CR</t>
        </is>
      </c>
      <c r="P1337" s="26" t="inlineStr">
        <is>
          <t>Yes</t>
        </is>
      </c>
      <c r="Q1337" s="26" t="inlineStr">
        <is>
          <t>No</t>
        </is>
      </c>
      <c r="R1337" s="26" t="inlineStr">
        <is>
          <t>Good finish</t>
        </is>
      </c>
      <c r="S1337" s="26" t="inlineStr">
        <is>
          <t>Yes</t>
        </is>
      </c>
      <c r="T1337" s="27" t="n"/>
      <c r="U1337" s="28" t="inlineStr">
        <is>
          <t>No</t>
        </is>
      </c>
      <c r="V1337" s="29">
        <f>IF(N1337="","",IF(Q1337="Yes","❌ Disc",IF(P1337="No","⚠ Missing",IF(S1337="Yes","✓ OK","⚠ Check"))))</f>
        <v/>
      </c>
      <c r="W1337" s="65" t="n">
        <v>46248</v>
      </c>
      <c r="X1337" s="30" t="inlineStr">
        <is>
          <t>Sunil CR</t>
        </is>
      </c>
      <c r="Y1337" s="30" t="inlineStr">
        <is>
          <t>Yes</t>
        </is>
      </c>
      <c r="Z1337" s="30" t="n"/>
      <c r="AA1337" s="30" t="inlineStr">
        <is>
          <t>Good finish</t>
        </is>
      </c>
      <c r="AB1337" s="30" t="inlineStr">
        <is>
          <t>Yes</t>
        </is>
      </c>
      <c r="AC1337" s="27" t="n"/>
      <c r="AD1337" s="31" t="inlineStr">
        <is>
          <t>No</t>
        </is>
      </c>
      <c r="AE1337" s="32">
        <f>IF(W1337="","",IF(Z1337="Yes","❌ Disc",IF(Y1337="No","⚠ Missing",IF(AB1337="Yes","✓ OK","⚠ Check"))))</f>
        <v/>
      </c>
      <c r="AF1337" s="33" t="n"/>
      <c r="AG1337" s="33" t="n"/>
      <c r="AH1337" s="33" t="n"/>
      <c r="AI1337" s="33" t="n"/>
      <c r="AJ1337" s="33" t="n"/>
      <c r="AK1337" s="33" t="n"/>
      <c r="AL1337" s="27" t="n"/>
      <c r="AM1337" s="34" t="n"/>
      <c r="AN1337" s="35">
        <f>IF(AF1337="","",IF(AI1337="Yes","❌ Disc",IF(AH1337="No","⚠ Missing",IF(AK1337="Yes","✓ OK","⚠ Check"))))</f>
        <v/>
      </c>
      <c r="AO1337" s="36" t="n"/>
      <c r="AP1337" s="36" t="n"/>
      <c r="AQ1337" s="36" t="n"/>
      <c r="AR1337" s="36" t="n"/>
      <c r="AS1337" s="36" t="n"/>
      <c r="AT1337" s="36" t="n"/>
      <c r="AU1337" s="27" t="n"/>
      <c r="AV1337" s="37" t="n"/>
      <c r="AW1337" s="38">
        <f>IF(AO1337="","",IF(AR1337="Yes","❌ Disc",IF(AQ1337="No","⚠ Missing",IF(AT1337="Yes","✓ OK","⚠ Check"))))</f>
        <v/>
      </c>
    </row>
    <row r="1338" ht="18" customHeight="1" s="46">
      <c r="A1338" s="39" t="n">
        <v>1334</v>
      </c>
      <c r="B1338" s="40" t="inlineStr">
        <is>
          <t>BD-WLP-2023-0024</t>
        </is>
      </c>
      <c r="C1338" s="41" t="inlineStr">
        <is>
          <t>Melange - Decor Medley - 022G Wallpaper</t>
        </is>
      </c>
      <c r="D1338" s="39" t="inlineStr">
        <is>
          <t>Marshalls</t>
        </is>
      </c>
      <c r="E1338" s="43" t="n">
        <v>46125</v>
      </c>
      <c r="F1338" s="26" t="inlineStr">
        <is>
          <t>Sunil CR</t>
        </is>
      </c>
      <c r="G1338" s="26" t="inlineStr">
        <is>
          <t>Yes</t>
        </is>
      </c>
      <c r="H1338" s="26" t="inlineStr">
        <is>
          <t>No</t>
        </is>
      </c>
      <c r="I1338" s="26" t="inlineStr">
        <is>
          <t>Good finish</t>
        </is>
      </c>
      <c r="J1338" s="26" t="inlineStr">
        <is>
          <t>Yes</t>
        </is>
      </c>
      <c r="K1338" s="27" t="n"/>
      <c r="L1338" s="28" t="inlineStr">
        <is>
          <t>No</t>
        </is>
      </c>
      <c r="M1338" s="29">
        <f>IF(E1338="","",IF(H1338="Yes","❌ Disc",IF(G1338="No","⚠ Missing",IF(J1338="Yes","✓ OK","⚠ Check"))))</f>
        <v/>
      </c>
      <c r="N1338" s="43" t="n">
        <v>46193</v>
      </c>
      <c r="O1338" s="26" t="inlineStr">
        <is>
          <t>Sunil CR</t>
        </is>
      </c>
      <c r="P1338" s="26" t="inlineStr">
        <is>
          <t>Yes</t>
        </is>
      </c>
      <c r="Q1338" s="26" t="inlineStr">
        <is>
          <t>No</t>
        </is>
      </c>
      <c r="R1338" s="26" t="inlineStr">
        <is>
          <t>Good finish</t>
        </is>
      </c>
      <c r="S1338" s="26" t="inlineStr">
        <is>
          <t>Yes</t>
        </is>
      </c>
      <c r="T1338" s="27" t="n"/>
      <c r="U1338" s="28" t="inlineStr">
        <is>
          <t>No</t>
        </is>
      </c>
      <c r="V1338" s="29">
        <f>IF(N1338="","",IF(Q1338="Yes","❌ Disc",IF(P1338="No","⚠ Missing",IF(S1338="Yes","✓ OK","⚠ Check"))))</f>
        <v/>
      </c>
      <c r="W1338" s="65" t="n">
        <v>46248</v>
      </c>
      <c r="X1338" s="30" t="inlineStr">
        <is>
          <t>Sunil CR</t>
        </is>
      </c>
      <c r="Y1338" s="30" t="inlineStr">
        <is>
          <t>Yes</t>
        </is>
      </c>
      <c r="Z1338" s="30" t="n"/>
      <c r="AA1338" s="30" t="inlineStr">
        <is>
          <t>Good finish</t>
        </is>
      </c>
      <c r="AB1338" s="30" t="inlineStr">
        <is>
          <t>Yes</t>
        </is>
      </c>
      <c r="AC1338" s="27" t="n"/>
      <c r="AD1338" s="31" t="inlineStr">
        <is>
          <t>No</t>
        </is>
      </c>
      <c r="AE1338" s="32">
        <f>IF(W1338="","",IF(Z1338="Yes","❌ Disc",IF(Y1338="No","⚠ Missing",IF(AB1338="Yes","✓ OK","⚠ Check"))))</f>
        <v/>
      </c>
      <c r="AF1338" s="33" t="n"/>
      <c r="AG1338" s="33" t="n"/>
      <c r="AH1338" s="33" t="n"/>
      <c r="AI1338" s="33" t="n"/>
      <c r="AJ1338" s="33" t="n"/>
      <c r="AK1338" s="33" t="n"/>
      <c r="AL1338" s="27" t="n"/>
      <c r="AM1338" s="34" t="n"/>
      <c r="AN1338" s="35">
        <f>IF(AF1338="","",IF(AI1338="Yes","❌ Disc",IF(AH1338="No","⚠ Missing",IF(AK1338="Yes","✓ OK","⚠ Check"))))</f>
        <v/>
      </c>
      <c r="AO1338" s="36" t="n"/>
      <c r="AP1338" s="36" t="n"/>
      <c r="AQ1338" s="36" t="n"/>
      <c r="AR1338" s="36" t="n"/>
      <c r="AS1338" s="36" t="n"/>
      <c r="AT1338" s="36" t="n"/>
      <c r="AU1338" s="27" t="n"/>
      <c r="AV1338" s="37" t="n"/>
      <c r="AW1338" s="38">
        <f>IF(AO1338="","",IF(AR1338="Yes","❌ Disc",IF(AQ1338="No","⚠ Missing",IF(AT1338="Yes","✓ OK","⚠ Check"))))</f>
        <v/>
      </c>
    </row>
    <row r="1339" ht="18" customHeight="1" s="46">
      <c r="A1339" s="23" t="n">
        <v>1335</v>
      </c>
      <c r="B1339" s="24" t="inlineStr">
        <is>
          <t>BD-WLP-2023-0027</t>
        </is>
      </c>
      <c r="C1339" s="25" t="inlineStr">
        <is>
          <t>Melange - Dreaming of Greece - 025G Wallpaper</t>
        </is>
      </c>
      <c r="D1339" s="23" t="inlineStr">
        <is>
          <t>Marshalls</t>
        </is>
      </c>
      <c r="E1339" s="43" t="n">
        <v>46125</v>
      </c>
      <c r="F1339" s="26" t="inlineStr">
        <is>
          <t>Sunil CR</t>
        </is>
      </c>
      <c r="G1339" s="26" t="inlineStr">
        <is>
          <t>Yes</t>
        </is>
      </c>
      <c r="H1339" s="26" t="inlineStr">
        <is>
          <t>No</t>
        </is>
      </c>
      <c r="I1339" s="26" t="inlineStr">
        <is>
          <t>Good finish</t>
        </is>
      </c>
      <c r="J1339" s="26" t="inlineStr">
        <is>
          <t>Yes</t>
        </is>
      </c>
      <c r="K1339" s="27" t="n"/>
      <c r="L1339" s="28" t="inlineStr">
        <is>
          <t>No</t>
        </is>
      </c>
      <c r="M1339" s="29">
        <f>IF(E1339="","",IF(H1339="Yes","❌ Disc",IF(G1339="No","⚠ Missing",IF(J1339="Yes","✓ OK","⚠ Check"))))</f>
        <v/>
      </c>
      <c r="N1339" s="43" t="n">
        <v>46193</v>
      </c>
      <c r="O1339" s="26" t="inlineStr">
        <is>
          <t>Sunil CR</t>
        </is>
      </c>
      <c r="P1339" s="26" t="inlineStr">
        <is>
          <t>Yes</t>
        </is>
      </c>
      <c r="Q1339" s="26" t="inlineStr">
        <is>
          <t>No</t>
        </is>
      </c>
      <c r="R1339" s="26" t="inlineStr">
        <is>
          <t>Good finish</t>
        </is>
      </c>
      <c r="S1339" s="26" t="inlineStr">
        <is>
          <t>Yes</t>
        </is>
      </c>
      <c r="T1339" s="27" t="n"/>
      <c r="U1339" s="28" t="inlineStr">
        <is>
          <t>No</t>
        </is>
      </c>
      <c r="V1339" s="29">
        <f>IF(N1339="","",IF(Q1339="Yes","❌ Disc",IF(P1339="No","⚠ Missing",IF(S1339="Yes","✓ OK","⚠ Check"))))</f>
        <v/>
      </c>
      <c r="W1339" s="65" t="n">
        <v>46248</v>
      </c>
      <c r="X1339" s="30" t="inlineStr">
        <is>
          <t>Sunil CR</t>
        </is>
      </c>
      <c r="Y1339" s="30" t="inlineStr">
        <is>
          <t>Yes</t>
        </is>
      </c>
      <c r="Z1339" s="30" t="n"/>
      <c r="AA1339" s="30" t="inlineStr">
        <is>
          <t>Good finish</t>
        </is>
      </c>
      <c r="AB1339" s="30" t="inlineStr">
        <is>
          <t>Yes</t>
        </is>
      </c>
      <c r="AC1339" s="27" t="n"/>
      <c r="AD1339" s="31" t="inlineStr">
        <is>
          <t>No</t>
        </is>
      </c>
      <c r="AE1339" s="32">
        <f>IF(W1339="","",IF(Z1339="Yes","❌ Disc",IF(Y1339="No","⚠ Missing",IF(AB1339="Yes","✓ OK","⚠ Check"))))</f>
        <v/>
      </c>
      <c r="AF1339" s="33" t="n"/>
      <c r="AG1339" s="33" t="n"/>
      <c r="AH1339" s="33" t="n"/>
      <c r="AI1339" s="33" t="n"/>
      <c r="AJ1339" s="33" t="n"/>
      <c r="AK1339" s="33" t="n"/>
      <c r="AL1339" s="27" t="n"/>
      <c r="AM1339" s="34" t="n"/>
      <c r="AN1339" s="35">
        <f>IF(AF1339="","",IF(AI1339="Yes","❌ Disc",IF(AH1339="No","⚠ Missing",IF(AK1339="Yes","✓ OK","⚠ Check"))))</f>
        <v/>
      </c>
      <c r="AO1339" s="36" t="n"/>
      <c r="AP1339" s="36" t="n"/>
      <c r="AQ1339" s="36" t="n"/>
      <c r="AR1339" s="36" t="n"/>
      <c r="AS1339" s="36" t="n"/>
      <c r="AT1339" s="36" t="n"/>
      <c r="AU1339" s="27" t="n"/>
      <c r="AV1339" s="37" t="n"/>
      <c r="AW1339" s="38">
        <f>IF(AO1339="","",IF(AR1339="Yes","❌ Disc",IF(AQ1339="No","⚠ Missing",IF(AT1339="Yes","✓ OK","⚠ Check"))))</f>
        <v/>
      </c>
    </row>
    <row r="1340" ht="18" customHeight="1" s="46">
      <c r="A1340" s="39" t="n">
        <v>1336</v>
      </c>
      <c r="B1340" s="40" t="inlineStr">
        <is>
          <t>BD-WLP-2023-0013</t>
        </is>
      </c>
      <c r="C1340" s="41" t="inlineStr">
        <is>
          <t>Melange - Floral Dreams - 011G Wallpaper</t>
        </is>
      </c>
      <c r="D1340" s="39" t="inlineStr">
        <is>
          <t>Marshalls</t>
        </is>
      </c>
      <c r="E1340" s="43" t="n">
        <v>46125</v>
      </c>
      <c r="F1340" s="26" t="inlineStr">
        <is>
          <t>Sunil CR</t>
        </is>
      </c>
      <c r="G1340" s="26" t="inlineStr">
        <is>
          <t>Yes</t>
        </is>
      </c>
      <c r="H1340" s="26" t="inlineStr">
        <is>
          <t>No</t>
        </is>
      </c>
      <c r="I1340" s="26" t="inlineStr">
        <is>
          <t>Good finish</t>
        </is>
      </c>
      <c r="J1340" s="26" t="inlineStr">
        <is>
          <t>Yes</t>
        </is>
      </c>
      <c r="K1340" s="27" t="n"/>
      <c r="L1340" s="28" t="inlineStr">
        <is>
          <t>No</t>
        </is>
      </c>
      <c r="M1340" s="29">
        <f>IF(E1340="","",IF(H1340="Yes","❌ Disc",IF(G1340="No","⚠ Missing",IF(J1340="Yes","✓ OK","⚠ Check"))))</f>
        <v/>
      </c>
      <c r="N1340" s="43" t="n">
        <v>46193</v>
      </c>
      <c r="O1340" s="26" t="inlineStr">
        <is>
          <t>Sunil CR</t>
        </is>
      </c>
      <c r="P1340" s="26" t="inlineStr">
        <is>
          <t>Yes</t>
        </is>
      </c>
      <c r="Q1340" s="26" t="inlineStr">
        <is>
          <t>No</t>
        </is>
      </c>
      <c r="R1340" s="26" t="inlineStr">
        <is>
          <t>Good finish</t>
        </is>
      </c>
      <c r="S1340" s="26" t="inlineStr">
        <is>
          <t>Yes</t>
        </is>
      </c>
      <c r="T1340" s="27" t="n"/>
      <c r="U1340" s="28" t="inlineStr">
        <is>
          <t>No</t>
        </is>
      </c>
      <c r="V1340" s="29">
        <f>IF(N1340="","",IF(Q1340="Yes","❌ Disc",IF(P1340="No","⚠ Missing",IF(S1340="Yes","✓ OK","⚠ Check"))))</f>
        <v/>
      </c>
      <c r="W1340" s="65" t="n">
        <v>46248</v>
      </c>
      <c r="X1340" s="30" t="inlineStr">
        <is>
          <t>Sunil CR</t>
        </is>
      </c>
      <c r="Y1340" s="30" t="inlineStr">
        <is>
          <t>Yes</t>
        </is>
      </c>
      <c r="Z1340" s="30" t="n"/>
      <c r="AA1340" s="30" t="inlineStr">
        <is>
          <t>Good finish</t>
        </is>
      </c>
      <c r="AB1340" s="30" t="inlineStr">
        <is>
          <t>Yes</t>
        </is>
      </c>
      <c r="AC1340" s="27" t="n"/>
      <c r="AD1340" s="31" t="inlineStr">
        <is>
          <t>No</t>
        </is>
      </c>
      <c r="AE1340" s="32">
        <f>IF(W1340="","",IF(Z1340="Yes","❌ Disc",IF(Y1340="No","⚠ Missing",IF(AB1340="Yes","✓ OK","⚠ Check"))))</f>
        <v/>
      </c>
      <c r="AF1340" s="33" t="n"/>
      <c r="AG1340" s="33" t="n"/>
      <c r="AH1340" s="33" t="n"/>
      <c r="AI1340" s="33" t="n"/>
      <c r="AJ1340" s="33" t="n"/>
      <c r="AK1340" s="33" t="n"/>
      <c r="AL1340" s="27" t="n"/>
      <c r="AM1340" s="34" t="n"/>
      <c r="AN1340" s="35">
        <f>IF(AF1340="","",IF(AI1340="Yes","❌ Disc",IF(AH1340="No","⚠ Missing",IF(AK1340="Yes","✓ OK","⚠ Check"))))</f>
        <v/>
      </c>
      <c r="AO1340" s="36" t="n"/>
      <c r="AP1340" s="36" t="n"/>
      <c r="AQ1340" s="36" t="n"/>
      <c r="AR1340" s="36" t="n"/>
      <c r="AS1340" s="36" t="n"/>
      <c r="AT1340" s="36" t="n"/>
      <c r="AU1340" s="27" t="n"/>
      <c r="AV1340" s="37" t="n"/>
      <c r="AW1340" s="38">
        <f>IF(AO1340="","",IF(AR1340="Yes","❌ Disc",IF(AQ1340="No","⚠ Missing",IF(AT1340="Yes","✓ OK","⚠ Check"))))</f>
        <v/>
      </c>
    </row>
    <row r="1341" ht="18" customHeight="1" s="46">
      <c r="A1341" s="23" t="n">
        <v>1337</v>
      </c>
      <c r="B1341" s="24" t="inlineStr">
        <is>
          <t>BD-WLP-2023-0019</t>
        </is>
      </c>
      <c r="C1341" s="25" t="inlineStr">
        <is>
          <t>Melange - Floral Thread Sand - 017G Wallpaper</t>
        </is>
      </c>
      <c r="D1341" s="23" t="inlineStr">
        <is>
          <t>Marshalls</t>
        </is>
      </c>
      <c r="E1341" s="43" t="n">
        <v>46125</v>
      </c>
      <c r="F1341" s="26" t="inlineStr">
        <is>
          <t>Sunil CR</t>
        </is>
      </c>
      <c r="G1341" s="26" t="inlineStr">
        <is>
          <t>Yes</t>
        </is>
      </c>
      <c r="H1341" s="26" t="inlineStr">
        <is>
          <t>No</t>
        </is>
      </c>
      <c r="I1341" s="26" t="inlineStr">
        <is>
          <t>Good finish</t>
        </is>
      </c>
      <c r="J1341" s="26" t="inlineStr">
        <is>
          <t>Yes</t>
        </is>
      </c>
      <c r="K1341" s="27" t="n"/>
      <c r="L1341" s="28" t="inlineStr">
        <is>
          <t>No</t>
        </is>
      </c>
      <c r="M1341" s="29">
        <f>IF(E1341="","",IF(H1341="Yes","❌ Disc",IF(G1341="No","⚠ Missing",IF(J1341="Yes","✓ OK","⚠ Check"))))</f>
        <v/>
      </c>
      <c r="N1341" s="43" t="n">
        <v>46193</v>
      </c>
      <c r="O1341" s="26" t="inlineStr">
        <is>
          <t>Sunil CR</t>
        </is>
      </c>
      <c r="P1341" s="26" t="inlineStr">
        <is>
          <t>Yes</t>
        </is>
      </c>
      <c r="Q1341" s="26" t="inlineStr">
        <is>
          <t>No</t>
        </is>
      </c>
      <c r="R1341" s="26" t="inlineStr">
        <is>
          <t>Good finish</t>
        </is>
      </c>
      <c r="S1341" s="26" t="inlineStr">
        <is>
          <t>Yes</t>
        </is>
      </c>
      <c r="T1341" s="27" t="n"/>
      <c r="U1341" s="28" t="inlineStr">
        <is>
          <t>No</t>
        </is>
      </c>
      <c r="V1341" s="29">
        <f>IF(N1341="","",IF(Q1341="Yes","❌ Disc",IF(P1341="No","⚠ Missing",IF(S1341="Yes","✓ OK","⚠ Check"))))</f>
        <v/>
      </c>
      <c r="W1341" s="65" t="n">
        <v>46248</v>
      </c>
      <c r="X1341" s="30" t="inlineStr">
        <is>
          <t>Sunil CR</t>
        </is>
      </c>
      <c r="Y1341" s="30" t="inlineStr">
        <is>
          <t>Yes</t>
        </is>
      </c>
      <c r="Z1341" s="30" t="n"/>
      <c r="AA1341" s="30" t="inlineStr">
        <is>
          <t>Good finish</t>
        </is>
      </c>
      <c r="AB1341" s="30" t="inlineStr">
        <is>
          <t>Yes</t>
        </is>
      </c>
      <c r="AC1341" s="27" t="n"/>
      <c r="AD1341" s="31" t="inlineStr">
        <is>
          <t>No</t>
        </is>
      </c>
      <c r="AE1341" s="32">
        <f>IF(W1341="","",IF(Z1341="Yes","❌ Disc",IF(Y1341="No","⚠ Missing",IF(AB1341="Yes","✓ OK","⚠ Check"))))</f>
        <v/>
      </c>
      <c r="AF1341" s="33" t="n"/>
      <c r="AG1341" s="33" t="n"/>
      <c r="AH1341" s="33" t="n"/>
      <c r="AI1341" s="33" t="n"/>
      <c r="AJ1341" s="33" t="n"/>
      <c r="AK1341" s="33" t="n"/>
      <c r="AL1341" s="27" t="n"/>
      <c r="AM1341" s="34" t="n"/>
      <c r="AN1341" s="35">
        <f>IF(AF1341="","",IF(AI1341="Yes","❌ Disc",IF(AH1341="No","⚠ Missing",IF(AK1341="Yes","✓ OK","⚠ Check"))))</f>
        <v/>
      </c>
      <c r="AO1341" s="36" t="n"/>
      <c r="AP1341" s="36" t="n"/>
      <c r="AQ1341" s="36" t="n"/>
      <c r="AR1341" s="36" t="n"/>
      <c r="AS1341" s="36" t="n"/>
      <c r="AT1341" s="36" t="n"/>
      <c r="AU1341" s="27" t="n"/>
      <c r="AV1341" s="37" t="n"/>
      <c r="AW1341" s="38">
        <f>IF(AO1341="","",IF(AR1341="Yes","❌ Disc",IF(AQ1341="No","⚠ Missing",IF(AT1341="Yes","✓ OK","⚠ Check"))))</f>
        <v/>
      </c>
    </row>
    <row r="1342" ht="18" customHeight="1" s="46">
      <c r="A1342" s="39" t="n">
        <v>1338</v>
      </c>
      <c r="B1342" s="40" t="inlineStr">
        <is>
          <t>BD-WLP-2023-0015</t>
        </is>
      </c>
      <c r="C1342" s="41" t="inlineStr">
        <is>
          <t>Melange - Fluer De Lis - 013G Wallpaper</t>
        </is>
      </c>
      <c r="D1342" s="39" t="inlineStr">
        <is>
          <t>Marshalls</t>
        </is>
      </c>
      <c r="E1342" s="43" t="n">
        <v>46125</v>
      </c>
      <c r="F1342" s="26" t="inlineStr">
        <is>
          <t>Sunil CR</t>
        </is>
      </c>
      <c r="G1342" s="26" t="inlineStr">
        <is>
          <t>Yes</t>
        </is>
      </c>
      <c r="H1342" s="26" t="inlineStr">
        <is>
          <t>No</t>
        </is>
      </c>
      <c r="I1342" s="26" t="inlineStr">
        <is>
          <t>Good finish</t>
        </is>
      </c>
      <c r="J1342" s="26" t="inlineStr">
        <is>
          <t>Yes</t>
        </is>
      </c>
      <c r="K1342" s="27" t="n"/>
      <c r="L1342" s="28" t="inlineStr">
        <is>
          <t>No</t>
        </is>
      </c>
      <c r="M1342" s="29">
        <f>IF(E1342="","",IF(H1342="Yes","❌ Disc",IF(G1342="No","⚠ Missing",IF(J1342="Yes","✓ OK","⚠ Check"))))</f>
        <v/>
      </c>
      <c r="N1342" s="43" t="n">
        <v>46193</v>
      </c>
      <c r="O1342" s="26" t="inlineStr">
        <is>
          <t>Sunil CR</t>
        </is>
      </c>
      <c r="P1342" s="26" t="inlineStr">
        <is>
          <t>Yes</t>
        </is>
      </c>
      <c r="Q1342" s="26" t="inlineStr">
        <is>
          <t>No</t>
        </is>
      </c>
      <c r="R1342" s="26" t="inlineStr">
        <is>
          <t>Good finish</t>
        </is>
      </c>
      <c r="S1342" s="26" t="inlineStr">
        <is>
          <t>Yes</t>
        </is>
      </c>
      <c r="T1342" s="27" t="n"/>
      <c r="U1342" s="28" t="inlineStr">
        <is>
          <t>No</t>
        </is>
      </c>
      <c r="V1342" s="29">
        <f>IF(N1342="","",IF(Q1342="Yes","❌ Disc",IF(P1342="No","⚠ Missing",IF(S1342="Yes","✓ OK","⚠ Check"))))</f>
        <v/>
      </c>
      <c r="W1342" s="65" t="n">
        <v>46248</v>
      </c>
      <c r="X1342" s="30" t="inlineStr">
        <is>
          <t>Sunil CR</t>
        </is>
      </c>
      <c r="Y1342" s="30" t="inlineStr">
        <is>
          <t>Yes</t>
        </is>
      </c>
      <c r="Z1342" s="30" t="n"/>
      <c r="AA1342" s="30" t="inlineStr">
        <is>
          <t>Good finish</t>
        </is>
      </c>
      <c r="AB1342" s="30" t="inlineStr">
        <is>
          <t>Yes</t>
        </is>
      </c>
      <c r="AC1342" s="27" t="n"/>
      <c r="AD1342" s="31" t="inlineStr">
        <is>
          <t>No</t>
        </is>
      </c>
      <c r="AE1342" s="32">
        <f>IF(W1342="","",IF(Z1342="Yes","❌ Disc",IF(Y1342="No","⚠ Missing",IF(AB1342="Yes","✓ OK","⚠ Check"))))</f>
        <v/>
      </c>
      <c r="AF1342" s="33" t="n"/>
      <c r="AG1342" s="33" t="n"/>
      <c r="AH1342" s="33" t="n"/>
      <c r="AI1342" s="33" t="n"/>
      <c r="AJ1342" s="33" t="n"/>
      <c r="AK1342" s="33" t="n"/>
      <c r="AL1342" s="27" t="n"/>
      <c r="AM1342" s="34" t="n"/>
      <c r="AN1342" s="35">
        <f>IF(AF1342="","",IF(AI1342="Yes","❌ Disc",IF(AH1342="No","⚠ Missing",IF(AK1342="Yes","✓ OK","⚠ Check"))))</f>
        <v/>
      </c>
      <c r="AO1342" s="36" t="n"/>
      <c r="AP1342" s="36" t="n"/>
      <c r="AQ1342" s="36" t="n"/>
      <c r="AR1342" s="36" t="n"/>
      <c r="AS1342" s="36" t="n"/>
      <c r="AT1342" s="36" t="n"/>
      <c r="AU1342" s="27" t="n"/>
      <c r="AV1342" s="37" t="n"/>
      <c r="AW1342" s="38">
        <f>IF(AO1342="","",IF(AR1342="Yes","❌ Disc",IF(AQ1342="No","⚠ Missing",IF(AT1342="Yes","✓ OK","⚠ Check"))))</f>
        <v/>
      </c>
    </row>
    <row r="1343" ht="18" customHeight="1" s="46">
      <c r="A1343" s="23" t="n">
        <v>1339</v>
      </c>
      <c r="B1343" s="24" t="inlineStr">
        <is>
          <t>BD-WLP-2023-0040</t>
        </is>
      </c>
      <c r="C1343" s="25" t="inlineStr">
        <is>
          <t>Melange - Geometric Abstract - 038G Wallpaper [BBP]</t>
        </is>
      </c>
      <c r="D1343" s="23" t="inlineStr">
        <is>
          <t>Marshalls</t>
        </is>
      </c>
      <c r="E1343" s="43" t="n">
        <v>46125</v>
      </c>
      <c r="F1343" s="26" t="inlineStr">
        <is>
          <t>Sunil CR</t>
        </is>
      </c>
      <c r="G1343" s="26" t="inlineStr">
        <is>
          <t>Yes</t>
        </is>
      </c>
      <c r="H1343" s="26" t="inlineStr">
        <is>
          <t>No</t>
        </is>
      </c>
      <c r="I1343" s="26" t="inlineStr">
        <is>
          <t>Good finish</t>
        </is>
      </c>
      <c r="J1343" s="26" t="inlineStr">
        <is>
          <t>Yes</t>
        </is>
      </c>
      <c r="K1343" s="27" t="n"/>
      <c r="L1343" s="28" t="inlineStr">
        <is>
          <t>No</t>
        </is>
      </c>
      <c r="M1343" s="29">
        <f>IF(E1343="","",IF(H1343="Yes","❌ Disc",IF(G1343="No","⚠ Missing",IF(J1343="Yes","✓ OK","⚠ Check"))))</f>
        <v/>
      </c>
      <c r="N1343" s="43" t="n">
        <v>46193</v>
      </c>
      <c r="O1343" s="26" t="inlineStr">
        <is>
          <t>Sunil CR</t>
        </is>
      </c>
      <c r="P1343" s="26" t="inlineStr">
        <is>
          <t>Yes</t>
        </is>
      </c>
      <c r="Q1343" s="26" t="inlineStr">
        <is>
          <t>No</t>
        </is>
      </c>
      <c r="R1343" s="26" t="inlineStr">
        <is>
          <t>Good finish</t>
        </is>
      </c>
      <c r="S1343" s="26" t="inlineStr">
        <is>
          <t>Yes</t>
        </is>
      </c>
      <c r="T1343" s="27" t="n"/>
      <c r="U1343" s="28" t="inlineStr">
        <is>
          <t>No</t>
        </is>
      </c>
      <c r="V1343" s="29">
        <f>IF(N1343="","",IF(Q1343="Yes","❌ Disc",IF(P1343="No","⚠ Missing",IF(S1343="Yes","✓ OK","⚠ Check"))))</f>
        <v/>
      </c>
      <c r="W1343" s="65" t="n">
        <v>46248</v>
      </c>
      <c r="X1343" s="30" t="inlineStr">
        <is>
          <t>Sunil CR</t>
        </is>
      </c>
      <c r="Y1343" s="30" t="inlineStr">
        <is>
          <t>Yes</t>
        </is>
      </c>
      <c r="Z1343" s="30" t="n"/>
      <c r="AA1343" s="30" t="inlineStr">
        <is>
          <t>Good finish</t>
        </is>
      </c>
      <c r="AB1343" s="30" t="inlineStr">
        <is>
          <t>Yes</t>
        </is>
      </c>
      <c r="AC1343" s="27" t="n"/>
      <c r="AD1343" s="31" t="inlineStr">
        <is>
          <t>No</t>
        </is>
      </c>
      <c r="AE1343" s="32">
        <f>IF(W1343="","",IF(Z1343="Yes","❌ Disc",IF(Y1343="No","⚠ Missing",IF(AB1343="Yes","✓ OK","⚠ Check"))))</f>
        <v/>
      </c>
      <c r="AF1343" s="33" t="n"/>
      <c r="AG1343" s="33" t="n"/>
      <c r="AH1343" s="33" t="n"/>
      <c r="AI1343" s="33" t="n"/>
      <c r="AJ1343" s="33" t="n"/>
      <c r="AK1343" s="33" t="n"/>
      <c r="AL1343" s="27" t="n"/>
      <c r="AM1343" s="34" t="n"/>
      <c r="AN1343" s="35">
        <f>IF(AF1343="","",IF(AI1343="Yes","❌ Disc",IF(AH1343="No","⚠ Missing",IF(AK1343="Yes","✓ OK","⚠ Check"))))</f>
        <v/>
      </c>
      <c r="AO1343" s="36" t="n"/>
      <c r="AP1343" s="36" t="n"/>
      <c r="AQ1343" s="36" t="n"/>
      <c r="AR1343" s="36" t="n"/>
      <c r="AS1343" s="36" t="n"/>
      <c r="AT1343" s="36" t="n"/>
      <c r="AU1343" s="27" t="n"/>
      <c r="AV1343" s="37" t="n"/>
      <c r="AW1343" s="38">
        <f>IF(AO1343="","",IF(AR1343="Yes","❌ Disc",IF(AQ1343="No","⚠ Missing",IF(AT1343="Yes","✓ OK","⚠ Check"))))</f>
        <v/>
      </c>
    </row>
    <row r="1344" ht="18" customHeight="1" s="46">
      <c r="A1344" s="39" t="n">
        <v>1340</v>
      </c>
      <c r="B1344" s="40" t="inlineStr">
        <is>
          <t>BD-WLP-2023-0023</t>
        </is>
      </c>
      <c r="C1344" s="41" t="inlineStr">
        <is>
          <t>Melange - Geometric Rug - 021G Wallpaper</t>
        </is>
      </c>
      <c r="D1344" s="39" t="inlineStr">
        <is>
          <t>Marshalls</t>
        </is>
      </c>
      <c r="E1344" s="43" t="n">
        <v>46125</v>
      </c>
      <c r="F1344" s="26" t="inlineStr">
        <is>
          <t>Sunil CR</t>
        </is>
      </c>
      <c r="G1344" s="26" t="inlineStr">
        <is>
          <t>Yes</t>
        </is>
      </c>
      <c r="H1344" s="26" t="inlineStr">
        <is>
          <t>No</t>
        </is>
      </c>
      <c r="I1344" s="26" t="inlineStr">
        <is>
          <t>Good finish</t>
        </is>
      </c>
      <c r="J1344" s="26" t="inlineStr">
        <is>
          <t>Yes</t>
        </is>
      </c>
      <c r="K1344" s="27" t="n"/>
      <c r="L1344" s="28" t="inlineStr">
        <is>
          <t>No</t>
        </is>
      </c>
      <c r="M1344" s="29">
        <f>IF(E1344="","",IF(H1344="Yes","❌ Disc",IF(G1344="No","⚠ Missing",IF(J1344="Yes","✓ OK","⚠ Check"))))</f>
        <v/>
      </c>
      <c r="N1344" s="43" t="n">
        <v>46193</v>
      </c>
      <c r="O1344" s="26" t="inlineStr">
        <is>
          <t>Sunil CR</t>
        </is>
      </c>
      <c r="P1344" s="26" t="inlineStr">
        <is>
          <t>Yes</t>
        </is>
      </c>
      <c r="Q1344" s="26" t="inlineStr">
        <is>
          <t>No</t>
        </is>
      </c>
      <c r="R1344" s="26" t="inlineStr">
        <is>
          <t>Good finish</t>
        </is>
      </c>
      <c r="S1344" s="26" t="inlineStr">
        <is>
          <t>Yes</t>
        </is>
      </c>
      <c r="T1344" s="27" t="n"/>
      <c r="U1344" s="28" t="inlineStr">
        <is>
          <t>No</t>
        </is>
      </c>
      <c r="V1344" s="29">
        <f>IF(N1344="","",IF(Q1344="Yes","❌ Disc",IF(P1344="No","⚠ Missing",IF(S1344="Yes","✓ OK","⚠ Check"))))</f>
        <v/>
      </c>
      <c r="W1344" s="65" t="n">
        <v>46248</v>
      </c>
      <c r="X1344" s="30" t="inlineStr">
        <is>
          <t>Sunil CR</t>
        </is>
      </c>
      <c r="Y1344" s="30" t="inlineStr">
        <is>
          <t>Yes</t>
        </is>
      </c>
      <c r="Z1344" s="30" t="n"/>
      <c r="AA1344" s="30" t="inlineStr">
        <is>
          <t>Good finish</t>
        </is>
      </c>
      <c r="AB1344" s="30" t="inlineStr">
        <is>
          <t>Yes</t>
        </is>
      </c>
      <c r="AC1344" s="27" t="n"/>
      <c r="AD1344" s="31" t="inlineStr">
        <is>
          <t>No</t>
        </is>
      </c>
      <c r="AE1344" s="32">
        <f>IF(W1344="","",IF(Z1344="Yes","❌ Disc",IF(Y1344="No","⚠ Missing",IF(AB1344="Yes","✓ OK","⚠ Check"))))</f>
        <v/>
      </c>
      <c r="AF1344" s="33" t="n"/>
      <c r="AG1344" s="33" t="n"/>
      <c r="AH1344" s="33" t="n"/>
      <c r="AI1344" s="33" t="n"/>
      <c r="AJ1344" s="33" t="n"/>
      <c r="AK1344" s="33" t="n"/>
      <c r="AL1344" s="27" t="n"/>
      <c r="AM1344" s="34" t="n"/>
      <c r="AN1344" s="35">
        <f>IF(AF1344="","",IF(AI1344="Yes","❌ Disc",IF(AH1344="No","⚠ Missing",IF(AK1344="Yes","✓ OK","⚠ Check"))))</f>
        <v/>
      </c>
      <c r="AO1344" s="36" t="n"/>
      <c r="AP1344" s="36" t="n"/>
      <c r="AQ1344" s="36" t="n"/>
      <c r="AR1344" s="36" t="n"/>
      <c r="AS1344" s="36" t="n"/>
      <c r="AT1344" s="36" t="n"/>
      <c r="AU1344" s="27" t="n"/>
      <c r="AV1344" s="37" t="n"/>
      <c r="AW1344" s="38">
        <f>IF(AO1344="","",IF(AR1344="Yes","❌ Disc",IF(AQ1344="No","⚠ Missing",IF(AT1344="Yes","✓ OK","⚠ Check"))))</f>
        <v/>
      </c>
    </row>
    <row r="1345" ht="18" customHeight="1" s="46">
      <c r="A1345" s="23" t="n">
        <v>1341</v>
      </c>
      <c r="B1345" s="24" t="inlineStr">
        <is>
          <t>BD-WLP-2023-0022</t>
        </is>
      </c>
      <c r="C1345" s="25" t="inlineStr">
        <is>
          <t>Melange - Green Symphony - 020G Wallpaper [BBP]</t>
        </is>
      </c>
      <c r="D1345" s="23" t="inlineStr">
        <is>
          <t>Marshalls</t>
        </is>
      </c>
      <c r="E1345" s="43" t="n">
        <v>46125</v>
      </c>
      <c r="F1345" s="26" t="inlineStr">
        <is>
          <t>Sunil CR</t>
        </is>
      </c>
      <c r="G1345" s="26" t="inlineStr">
        <is>
          <t>Yes</t>
        </is>
      </c>
      <c r="H1345" s="26" t="inlineStr">
        <is>
          <t>No</t>
        </is>
      </c>
      <c r="I1345" s="26" t="inlineStr">
        <is>
          <t>Good finish</t>
        </is>
      </c>
      <c r="J1345" s="26" t="inlineStr">
        <is>
          <t>Yes</t>
        </is>
      </c>
      <c r="K1345" s="27" t="n"/>
      <c r="L1345" s="28" t="inlineStr">
        <is>
          <t>No</t>
        </is>
      </c>
      <c r="M1345" s="29">
        <f>IF(E1345="","",IF(H1345="Yes","❌ Disc",IF(G1345="No","⚠ Missing",IF(J1345="Yes","✓ OK","⚠ Check"))))</f>
        <v/>
      </c>
      <c r="N1345" s="43" t="n">
        <v>46193</v>
      </c>
      <c r="O1345" s="26" t="inlineStr">
        <is>
          <t>Sunil CR</t>
        </is>
      </c>
      <c r="P1345" s="26" t="inlineStr">
        <is>
          <t>Yes</t>
        </is>
      </c>
      <c r="Q1345" s="26" t="inlineStr">
        <is>
          <t>No</t>
        </is>
      </c>
      <c r="R1345" s="26" t="inlineStr">
        <is>
          <t>Good finish</t>
        </is>
      </c>
      <c r="S1345" s="26" t="inlineStr">
        <is>
          <t>Yes</t>
        </is>
      </c>
      <c r="T1345" s="27" t="n"/>
      <c r="U1345" s="28" t="inlineStr">
        <is>
          <t>No</t>
        </is>
      </c>
      <c r="V1345" s="29">
        <f>IF(N1345="","",IF(Q1345="Yes","❌ Disc",IF(P1345="No","⚠ Missing",IF(S1345="Yes","✓ OK","⚠ Check"))))</f>
        <v/>
      </c>
      <c r="W1345" s="65" t="n">
        <v>46248</v>
      </c>
      <c r="X1345" s="30" t="inlineStr">
        <is>
          <t>Sunil CR</t>
        </is>
      </c>
      <c r="Y1345" s="30" t="inlineStr">
        <is>
          <t>Yes</t>
        </is>
      </c>
      <c r="Z1345" s="30" t="n"/>
      <c r="AA1345" s="30" t="inlineStr">
        <is>
          <t>Good finish</t>
        </is>
      </c>
      <c r="AB1345" s="30" t="inlineStr">
        <is>
          <t>Yes</t>
        </is>
      </c>
      <c r="AC1345" s="27" t="n"/>
      <c r="AD1345" s="31" t="inlineStr">
        <is>
          <t>No</t>
        </is>
      </c>
      <c r="AE1345" s="32">
        <f>IF(W1345="","",IF(Z1345="Yes","❌ Disc",IF(Y1345="No","⚠ Missing",IF(AB1345="Yes","✓ OK","⚠ Check"))))</f>
        <v/>
      </c>
      <c r="AF1345" s="33" t="n"/>
      <c r="AG1345" s="33" t="n"/>
      <c r="AH1345" s="33" t="n"/>
      <c r="AI1345" s="33" t="n"/>
      <c r="AJ1345" s="33" t="n"/>
      <c r="AK1345" s="33" t="n"/>
      <c r="AL1345" s="27" t="n"/>
      <c r="AM1345" s="34" t="n"/>
      <c r="AN1345" s="35">
        <f>IF(AF1345="","",IF(AI1345="Yes","❌ Disc",IF(AH1345="No","⚠ Missing",IF(AK1345="Yes","✓ OK","⚠ Check"))))</f>
        <v/>
      </c>
      <c r="AO1345" s="36" t="n"/>
      <c r="AP1345" s="36" t="n"/>
      <c r="AQ1345" s="36" t="n"/>
      <c r="AR1345" s="36" t="n"/>
      <c r="AS1345" s="36" t="n"/>
      <c r="AT1345" s="36" t="n"/>
      <c r="AU1345" s="27" t="n"/>
      <c r="AV1345" s="37" t="n"/>
      <c r="AW1345" s="38">
        <f>IF(AO1345="","",IF(AR1345="Yes","❌ Disc",IF(AQ1345="No","⚠ Missing",IF(AT1345="Yes","✓ OK","⚠ Check"))))</f>
        <v/>
      </c>
    </row>
    <row r="1346" ht="18" customHeight="1" s="46">
      <c r="A1346" s="39" t="n">
        <v>1342</v>
      </c>
      <c r="B1346" s="40" t="inlineStr">
        <is>
          <t>BD-WLP-2023-0033</t>
        </is>
      </c>
      <c r="C1346" s="41" t="inlineStr">
        <is>
          <t>Melange - Grey Skyline - 031G Wallpaper</t>
        </is>
      </c>
      <c r="D1346" s="39" t="inlineStr">
        <is>
          <t>Marshalls</t>
        </is>
      </c>
      <c r="E1346" s="43" t="n">
        <v>46125</v>
      </c>
      <c r="F1346" s="26" t="inlineStr">
        <is>
          <t>Sunil CR</t>
        </is>
      </c>
      <c r="G1346" s="26" t="inlineStr">
        <is>
          <t>Yes</t>
        </is>
      </c>
      <c r="H1346" s="26" t="inlineStr">
        <is>
          <t>No</t>
        </is>
      </c>
      <c r="I1346" s="26" t="inlineStr">
        <is>
          <t>Good finish</t>
        </is>
      </c>
      <c r="J1346" s="26" t="inlineStr">
        <is>
          <t>Yes</t>
        </is>
      </c>
      <c r="K1346" s="27" t="n"/>
      <c r="L1346" s="28" t="inlineStr">
        <is>
          <t>No</t>
        </is>
      </c>
      <c r="M1346" s="29">
        <f>IF(E1346="","",IF(H1346="Yes","❌ Disc",IF(G1346="No","⚠ Missing",IF(J1346="Yes","✓ OK","⚠ Check"))))</f>
        <v/>
      </c>
      <c r="N1346" s="43" t="n">
        <v>46193</v>
      </c>
      <c r="O1346" s="26" t="inlineStr">
        <is>
          <t>Sunil CR</t>
        </is>
      </c>
      <c r="P1346" s="26" t="inlineStr">
        <is>
          <t>Yes</t>
        </is>
      </c>
      <c r="Q1346" s="26" t="inlineStr">
        <is>
          <t>No</t>
        </is>
      </c>
      <c r="R1346" s="26" t="inlineStr">
        <is>
          <t>Good finish</t>
        </is>
      </c>
      <c r="S1346" s="26" t="inlineStr">
        <is>
          <t>Yes</t>
        </is>
      </c>
      <c r="T1346" s="27" t="n"/>
      <c r="U1346" s="28" t="inlineStr">
        <is>
          <t>No</t>
        </is>
      </c>
      <c r="V1346" s="29">
        <f>IF(N1346="","",IF(Q1346="Yes","❌ Disc",IF(P1346="No","⚠ Missing",IF(S1346="Yes","✓ OK","⚠ Check"))))</f>
        <v/>
      </c>
      <c r="W1346" s="65" t="n">
        <v>46248</v>
      </c>
      <c r="X1346" s="30" t="inlineStr">
        <is>
          <t>Sunil CR</t>
        </is>
      </c>
      <c r="Y1346" s="30" t="inlineStr">
        <is>
          <t>Yes</t>
        </is>
      </c>
      <c r="Z1346" s="30" t="n"/>
      <c r="AA1346" s="30" t="inlineStr">
        <is>
          <t>Good finish</t>
        </is>
      </c>
      <c r="AB1346" s="30" t="inlineStr">
        <is>
          <t>Yes</t>
        </is>
      </c>
      <c r="AC1346" s="27" t="n"/>
      <c r="AD1346" s="31" t="inlineStr">
        <is>
          <t>No</t>
        </is>
      </c>
      <c r="AE1346" s="32">
        <f>IF(W1346="","",IF(Z1346="Yes","❌ Disc",IF(Y1346="No","⚠ Missing",IF(AB1346="Yes","✓ OK","⚠ Check"))))</f>
        <v/>
      </c>
      <c r="AF1346" s="33" t="n"/>
      <c r="AG1346" s="33" t="n"/>
      <c r="AH1346" s="33" t="n"/>
      <c r="AI1346" s="33" t="n"/>
      <c r="AJ1346" s="33" t="n"/>
      <c r="AK1346" s="33" t="n"/>
      <c r="AL1346" s="27" t="n"/>
      <c r="AM1346" s="34" t="n"/>
      <c r="AN1346" s="35">
        <f>IF(AF1346="","",IF(AI1346="Yes","❌ Disc",IF(AH1346="No","⚠ Missing",IF(AK1346="Yes","✓ OK","⚠ Check"))))</f>
        <v/>
      </c>
      <c r="AO1346" s="36" t="n"/>
      <c r="AP1346" s="36" t="n"/>
      <c r="AQ1346" s="36" t="n"/>
      <c r="AR1346" s="36" t="n"/>
      <c r="AS1346" s="36" t="n"/>
      <c r="AT1346" s="36" t="n"/>
      <c r="AU1346" s="27" t="n"/>
      <c r="AV1346" s="37" t="n"/>
      <c r="AW1346" s="38">
        <f>IF(AO1346="","",IF(AR1346="Yes","❌ Disc",IF(AQ1346="No","⚠ Missing",IF(AT1346="Yes","✓ OK","⚠ Check"))))</f>
        <v/>
      </c>
    </row>
    <row r="1347" ht="18" customHeight="1" s="46">
      <c r="A1347" s="23" t="n">
        <v>1343</v>
      </c>
      <c r="B1347" s="24" t="inlineStr">
        <is>
          <t>BD-WLP-2023-0018</t>
        </is>
      </c>
      <c r="C1347" s="25" t="inlineStr">
        <is>
          <t>Melange - Haathi - 016G Wallpaper</t>
        </is>
      </c>
      <c r="D1347" s="23" t="inlineStr">
        <is>
          <t>Marshalls</t>
        </is>
      </c>
      <c r="E1347" s="43" t="n">
        <v>46125</v>
      </c>
      <c r="F1347" s="26" t="inlineStr">
        <is>
          <t>Sunil CR</t>
        </is>
      </c>
      <c r="G1347" s="26" t="inlineStr">
        <is>
          <t>Yes</t>
        </is>
      </c>
      <c r="H1347" s="26" t="inlineStr">
        <is>
          <t>No</t>
        </is>
      </c>
      <c r="I1347" s="26" t="inlineStr">
        <is>
          <t>Good finish</t>
        </is>
      </c>
      <c r="J1347" s="26" t="inlineStr">
        <is>
          <t>Yes</t>
        </is>
      </c>
      <c r="K1347" s="27" t="n"/>
      <c r="L1347" s="28" t="inlineStr">
        <is>
          <t>No</t>
        </is>
      </c>
      <c r="M1347" s="29">
        <f>IF(E1347="","",IF(H1347="Yes","❌ Disc",IF(G1347="No","⚠ Missing",IF(J1347="Yes","✓ OK","⚠ Check"))))</f>
        <v/>
      </c>
      <c r="N1347" s="43" t="n">
        <v>46193</v>
      </c>
      <c r="O1347" s="26" t="inlineStr">
        <is>
          <t>Sunil CR</t>
        </is>
      </c>
      <c r="P1347" s="26" t="inlineStr">
        <is>
          <t>Yes</t>
        </is>
      </c>
      <c r="Q1347" s="26" t="inlineStr">
        <is>
          <t>No</t>
        </is>
      </c>
      <c r="R1347" s="26" t="inlineStr">
        <is>
          <t>Good finish</t>
        </is>
      </c>
      <c r="S1347" s="26" t="inlineStr">
        <is>
          <t>Yes</t>
        </is>
      </c>
      <c r="T1347" s="27" t="n"/>
      <c r="U1347" s="28" t="inlineStr">
        <is>
          <t>No</t>
        </is>
      </c>
      <c r="V1347" s="29">
        <f>IF(N1347="","",IF(Q1347="Yes","❌ Disc",IF(P1347="No","⚠ Missing",IF(S1347="Yes","✓ OK","⚠ Check"))))</f>
        <v/>
      </c>
      <c r="W1347" s="65" t="n">
        <v>46248</v>
      </c>
      <c r="X1347" s="30" t="inlineStr">
        <is>
          <t>Sunil CR</t>
        </is>
      </c>
      <c r="Y1347" s="30" t="inlineStr">
        <is>
          <t>Yes</t>
        </is>
      </c>
      <c r="Z1347" s="30" t="n"/>
      <c r="AA1347" s="30" t="inlineStr">
        <is>
          <t>Good finish</t>
        </is>
      </c>
      <c r="AB1347" s="30" t="inlineStr">
        <is>
          <t>Yes</t>
        </is>
      </c>
      <c r="AC1347" s="27" t="n"/>
      <c r="AD1347" s="31" t="inlineStr">
        <is>
          <t>No</t>
        </is>
      </c>
      <c r="AE1347" s="32">
        <f>IF(W1347="","",IF(Z1347="Yes","❌ Disc",IF(Y1347="No","⚠ Missing",IF(AB1347="Yes","✓ OK","⚠ Check"))))</f>
        <v/>
      </c>
      <c r="AF1347" s="33" t="n"/>
      <c r="AG1347" s="33" t="n"/>
      <c r="AH1347" s="33" t="n"/>
      <c r="AI1347" s="33" t="n"/>
      <c r="AJ1347" s="33" t="n"/>
      <c r="AK1347" s="33" t="n"/>
      <c r="AL1347" s="27" t="n"/>
      <c r="AM1347" s="34" t="n"/>
      <c r="AN1347" s="35">
        <f>IF(AF1347="","",IF(AI1347="Yes","❌ Disc",IF(AH1347="No","⚠ Missing",IF(AK1347="Yes","✓ OK","⚠ Check"))))</f>
        <v/>
      </c>
      <c r="AO1347" s="36" t="n"/>
      <c r="AP1347" s="36" t="n"/>
      <c r="AQ1347" s="36" t="n"/>
      <c r="AR1347" s="36" t="n"/>
      <c r="AS1347" s="36" t="n"/>
      <c r="AT1347" s="36" t="n"/>
      <c r="AU1347" s="27" t="n"/>
      <c r="AV1347" s="37" t="n"/>
      <c r="AW1347" s="38">
        <f>IF(AO1347="","",IF(AR1347="Yes","❌ Disc",IF(AQ1347="No","⚠ Missing",IF(AT1347="Yes","✓ OK","⚠ Check"))))</f>
        <v/>
      </c>
    </row>
    <row r="1348" ht="18" customHeight="1" s="46">
      <c r="A1348" s="39" t="n">
        <v>1344</v>
      </c>
      <c r="B1348" s="40" t="inlineStr">
        <is>
          <t>BD-WLP-2023-0048</t>
        </is>
      </c>
      <c r="C1348" s="41" t="inlineStr">
        <is>
          <t>Melange - Hindi Akshar - 008K Wallpaper</t>
        </is>
      </c>
      <c r="D1348" s="39" t="inlineStr">
        <is>
          <t>Marshalls</t>
        </is>
      </c>
      <c r="E1348" s="43" t="n">
        <v>46125</v>
      </c>
      <c r="F1348" s="26" t="inlineStr">
        <is>
          <t>Sunil CR</t>
        </is>
      </c>
      <c r="G1348" s="26" t="inlineStr">
        <is>
          <t>Yes</t>
        </is>
      </c>
      <c r="H1348" s="26" t="inlineStr">
        <is>
          <t>No</t>
        </is>
      </c>
      <c r="I1348" s="26" t="inlineStr">
        <is>
          <t>Good finish</t>
        </is>
      </c>
      <c r="J1348" s="26" t="inlineStr">
        <is>
          <t>Yes</t>
        </is>
      </c>
      <c r="K1348" s="27" t="n"/>
      <c r="L1348" s="28" t="inlineStr">
        <is>
          <t>No</t>
        </is>
      </c>
      <c r="M1348" s="29">
        <f>IF(E1348="","",IF(H1348="Yes","❌ Disc",IF(G1348="No","⚠ Missing",IF(J1348="Yes","✓ OK","⚠ Check"))))</f>
        <v/>
      </c>
      <c r="N1348" s="43" t="n">
        <v>46193</v>
      </c>
      <c r="O1348" s="26" t="inlineStr">
        <is>
          <t>Sunil CR</t>
        </is>
      </c>
      <c r="P1348" s="26" t="inlineStr">
        <is>
          <t>Yes</t>
        </is>
      </c>
      <c r="Q1348" s="26" t="inlineStr">
        <is>
          <t>No</t>
        </is>
      </c>
      <c r="R1348" s="26" t="inlineStr">
        <is>
          <t>Good finish</t>
        </is>
      </c>
      <c r="S1348" s="26" t="inlineStr">
        <is>
          <t>Yes</t>
        </is>
      </c>
      <c r="T1348" s="27" t="n"/>
      <c r="U1348" s="28" t="inlineStr">
        <is>
          <t>No</t>
        </is>
      </c>
      <c r="V1348" s="29">
        <f>IF(N1348="","",IF(Q1348="Yes","❌ Disc",IF(P1348="No","⚠ Missing",IF(S1348="Yes","✓ OK","⚠ Check"))))</f>
        <v/>
      </c>
      <c r="W1348" s="65" t="n">
        <v>46248</v>
      </c>
      <c r="X1348" s="30" t="inlineStr">
        <is>
          <t>Sunil CR</t>
        </is>
      </c>
      <c r="Y1348" s="30" t="inlineStr">
        <is>
          <t>Yes</t>
        </is>
      </c>
      <c r="Z1348" s="30" t="n"/>
      <c r="AA1348" s="30" t="inlineStr">
        <is>
          <t>Good finish</t>
        </is>
      </c>
      <c r="AB1348" s="30" t="inlineStr">
        <is>
          <t>Yes</t>
        </is>
      </c>
      <c r="AC1348" s="27" t="n"/>
      <c r="AD1348" s="31" t="inlineStr">
        <is>
          <t>No</t>
        </is>
      </c>
      <c r="AE1348" s="32">
        <f>IF(W1348="","",IF(Z1348="Yes","❌ Disc",IF(Y1348="No","⚠ Missing",IF(AB1348="Yes","✓ OK","⚠ Check"))))</f>
        <v/>
      </c>
      <c r="AF1348" s="33" t="n"/>
      <c r="AG1348" s="33" t="n"/>
      <c r="AH1348" s="33" t="n"/>
      <c r="AI1348" s="33" t="n"/>
      <c r="AJ1348" s="33" t="n"/>
      <c r="AK1348" s="33" t="n"/>
      <c r="AL1348" s="27" t="n"/>
      <c r="AM1348" s="34" t="n"/>
      <c r="AN1348" s="35">
        <f>IF(AF1348="","",IF(AI1348="Yes","❌ Disc",IF(AH1348="No","⚠ Missing",IF(AK1348="Yes","✓ OK","⚠ Check"))))</f>
        <v/>
      </c>
      <c r="AO1348" s="36" t="n"/>
      <c r="AP1348" s="36" t="n"/>
      <c r="AQ1348" s="36" t="n"/>
      <c r="AR1348" s="36" t="n"/>
      <c r="AS1348" s="36" t="n"/>
      <c r="AT1348" s="36" t="n"/>
      <c r="AU1348" s="27" t="n"/>
      <c r="AV1348" s="37" t="n"/>
      <c r="AW1348" s="38">
        <f>IF(AO1348="","",IF(AR1348="Yes","❌ Disc",IF(AQ1348="No","⚠ Missing",IF(AT1348="Yes","✓ OK","⚠ Check"))))</f>
        <v/>
      </c>
    </row>
    <row r="1349" ht="18" customHeight="1" s="46">
      <c r="A1349" s="23" t="n">
        <v>1345</v>
      </c>
      <c r="B1349" s="24" t="inlineStr">
        <is>
          <t>BD-WLP-2023-0016</t>
        </is>
      </c>
      <c r="C1349" s="25" t="inlineStr">
        <is>
          <t>Melange - Indian Summer - 014G Wallpaper</t>
        </is>
      </c>
      <c r="D1349" s="23" t="inlineStr">
        <is>
          <t>Marshalls</t>
        </is>
      </c>
      <c r="E1349" s="43" t="n">
        <v>46125</v>
      </c>
      <c r="F1349" s="26" t="inlineStr">
        <is>
          <t>Sunil CR</t>
        </is>
      </c>
      <c r="G1349" s="26" t="inlineStr">
        <is>
          <t>Yes</t>
        </is>
      </c>
      <c r="H1349" s="26" t="inlineStr">
        <is>
          <t>No</t>
        </is>
      </c>
      <c r="I1349" s="26" t="inlineStr">
        <is>
          <t>Good finish</t>
        </is>
      </c>
      <c r="J1349" s="26" t="inlineStr">
        <is>
          <t>Yes</t>
        </is>
      </c>
      <c r="K1349" s="27" t="n"/>
      <c r="L1349" s="28" t="inlineStr">
        <is>
          <t>No</t>
        </is>
      </c>
      <c r="M1349" s="29">
        <f>IF(E1349="","",IF(H1349="Yes","❌ Disc",IF(G1349="No","⚠ Missing",IF(J1349="Yes","✓ OK","⚠ Check"))))</f>
        <v/>
      </c>
      <c r="N1349" s="43" t="n">
        <v>46193</v>
      </c>
      <c r="O1349" s="26" t="inlineStr">
        <is>
          <t>Sunil CR</t>
        </is>
      </c>
      <c r="P1349" s="26" t="inlineStr">
        <is>
          <t>Yes</t>
        </is>
      </c>
      <c r="Q1349" s="26" t="inlineStr">
        <is>
          <t>No</t>
        </is>
      </c>
      <c r="R1349" s="26" t="inlineStr">
        <is>
          <t>Good finish</t>
        </is>
      </c>
      <c r="S1349" s="26" t="inlineStr">
        <is>
          <t>Yes</t>
        </is>
      </c>
      <c r="T1349" s="27" t="n"/>
      <c r="U1349" s="28" t="inlineStr">
        <is>
          <t>No</t>
        </is>
      </c>
      <c r="V1349" s="29">
        <f>IF(N1349="","",IF(Q1349="Yes","❌ Disc",IF(P1349="No","⚠ Missing",IF(S1349="Yes","✓ OK","⚠ Check"))))</f>
        <v/>
      </c>
      <c r="W1349" s="65" t="n">
        <v>46248</v>
      </c>
      <c r="X1349" s="30" t="inlineStr">
        <is>
          <t>Sunil CR</t>
        </is>
      </c>
      <c r="Y1349" s="30" t="inlineStr">
        <is>
          <t>Yes</t>
        </is>
      </c>
      <c r="Z1349" s="30" t="n"/>
      <c r="AA1349" s="30" t="inlineStr">
        <is>
          <t>Good finish</t>
        </is>
      </c>
      <c r="AB1349" s="30" t="inlineStr">
        <is>
          <t>Yes</t>
        </is>
      </c>
      <c r="AC1349" s="27" t="n"/>
      <c r="AD1349" s="31" t="inlineStr">
        <is>
          <t>No</t>
        </is>
      </c>
      <c r="AE1349" s="32">
        <f>IF(W1349="","",IF(Z1349="Yes","❌ Disc",IF(Y1349="No","⚠ Missing",IF(AB1349="Yes","✓ OK","⚠ Check"))))</f>
        <v/>
      </c>
      <c r="AF1349" s="33" t="n"/>
      <c r="AG1349" s="33" t="n"/>
      <c r="AH1349" s="33" t="n"/>
      <c r="AI1349" s="33" t="n"/>
      <c r="AJ1349" s="33" t="n"/>
      <c r="AK1349" s="33" t="n"/>
      <c r="AL1349" s="27" t="n"/>
      <c r="AM1349" s="34" t="n"/>
      <c r="AN1349" s="35">
        <f>IF(AF1349="","",IF(AI1349="Yes","❌ Disc",IF(AH1349="No","⚠ Missing",IF(AK1349="Yes","✓ OK","⚠ Check"))))</f>
        <v/>
      </c>
      <c r="AO1349" s="36" t="n"/>
      <c r="AP1349" s="36" t="n"/>
      <c r="AQ1349" s="36" t="n"/>
      <c r="AR1349" s="36" t="n"/>
      <c r="AS1349" s="36" t="n"/>
      <c r="AT1349" s="36" t="n"/>
      <c r="AU1349" s="27" t="n"/>
      <c r="AV1349" s="37" t="n"/>
      <c r="AW1349" s="38">
        <f>IF(AO1349="","",IF(AR1349="Yes","❌ Disc",IF(AQ1349="No","⚠ Missing",IF(AT1349="Yes","✓ OK","⚠ Check"))))</f>
        <v/>
      </c>
    </row>
    <row r="1350" ht="18" customHeight="1" s="46">
      <c r="A1350" s="39" t="n">
        <v>1346</v>
      </c>
      <c r="B1350" s="40" t="inlineStr">
        <is>
          <t>BD-WLP-2023-0025</t>
        </is>
      </c>
      <c r="C1350" s="41" t="inlineStr">
        <is>
          <t>Melange - Indigo Woodblock - 023G Wallpaper</t>
        </is>
      </c>
      <c r="D1350" s="39" t="inlineStr">
        <is>
          <t>Marshalls</t>
        </is>
      </c>
      <c r="E1350" s="43" t="n">
        <v>46125</v>
      </c>
      <c r="F1350" s="26" t="inlineStr">
        <is>
          <t>Sunil CR</t>
        </is>
      </c>
      <c r="G1350" s="26" t="inlineStr">
        <is>
          <t>Yes</t>
        </is>
      </c>
      <c r="H1350" s="26" t="inlineStr">
        <is>
          <t>No</t>
        </is>
      </c>
      <c r="I1350" s="26" t="inlineStr">
        <is>
          <t>Good finish</t>
        </is>
      </c>
      <c r="J1350" s="26" t="inlineStr">
        <is>
          <t>Yes</t>
        </is>
      </c>
      <c r="K1350" s="27" t="n"/>
      <c r="L1350" s="28" t="inlineStr">
        <is>
          <t>No</t>
        </is>
      </c>
      <c r="M1350" s="29">
        <f>IF(E1350="","",IF(H1350="Yes","❌ Disc",IF(G1350="No","⚠ Missing",IF(J1350="Yes","✓ OK","⚠ Check"))))</f>
        <v/>
      </c>
      <c r="N1350" s="43" t="n">
        <v>46193</v>
      </c>
      <c r="O1350" s="26" t="inlineStr">
        <is>
          <t>Sunil CR</t>
        </is>
      </c>
      <c r="P1350" s="26" t="inlineStr">
        <is>
          <t>Yes</t>
        </is>
      </c>
      <c r="Q1350" s="26" t="inlineStr">
        <is>
          <t>No</t>
        </is>
      </c>
      <c r="R1350" s="26" t="inlineStr">
        <is>
          <t>Good finish</t>
        </is>
      </c>
      <c r="S1350" s="26" t="inlineStr">
        <is>
          <t>Yes</t>
        </is>
      </c>
      <c r="T1350" s="27" t="n"/>
      <c r="U1350" s="28" t="inlineStr">
        <is>
          <t>No</t>
        </is>
      </c>
      <c r="V1350" s="29">
        <f>IF(N1350="","",IF(Q1350="Yes","❌ Disc",IF(P1350="No","⚠ Missing",IF(S1350="Yes","✓ OK","⚠ Check"))))</f>
        <v/>
      </c>
      <c r="W1350" s="65" t="n">
        <v>46248</v>
      </c>
      <c r="X1350" s="30" t="inlineStr">
        <is>
          <t>Sunil CR</t>
        </is>
      </c>
      <c r="Y1350" s="30" t="inlineStr">
        <is>
          <t>Yes</t>
        </is>
      </c>
      <c r="Z1350" s="30" t="n"/>
      <c r="AA1350" s="30" t="inlineStr">
        <is>
          <t>Good finish</t>
        </is>
      </c>
      <c r="AB1350" s="30" t="inlineStr">
        <is>
          <t>Yes</t>
        </is>
      </c>
      <c r="AC1350" s="27" t="n"/>
      <c r="AD1350" s="31" t="inlineStr">
        <is>
          <t>No</t>
        </is>
      </c>
      <c r="AE1350" s="32">
        <f>IF(W1350="","",IF(Z1350="Yes","❌ Disc",IF(Y1350="No","⚠ Missing",IF(AB1350="Yes","✓ OK","⚠ Check"))))</f>
        <v/>
      </c>
      <c r="AF1350" s="33" t="n"/>
      <c r="AG1350" s="33" t="n"/>
      <c r="AH1350" s="33" t="n"/>
      <c r="AI1350" s="33" t="n"/>
      <c r="AJ1350" s="33" t="n"/>
      <c r="AK1350" s="33" t="n"/>
      <c r="AL1350" s="27" t="n"/>
      <c r="AM1350" s="34" t="n"/>
      <c r="AN1350" s="35">
        <f>IF(AF1350="","",IF(AI1350="Yes","❌ Disc",IF(AH1350="No","⚠ Missing",IF(AK1350="Yes","✓ OK","⚠ Check"))))</f>
        <v/>
      </c>
      <c r="AO1350" s="36" t="n"/>
      <c r="AP1350" s="36" t="n"/>
      <c r="AQ1350" s="36" t="n"/>
      <c r="AR1350" s="36" t="n"/>
      <c r="AS1350" s="36" t="n"/>
      <c r="AT1350" s="36" t="n"/>
      <c r="AU1350" s="27" t="n"/>
      <c r="AV1350" s="37" t="n"/>
      <c r="AW1350" s="38">
        <f>IF(AO1350="","",IF(AR1350="Yes","❌ Disc",IF(AQ1350="No","⚠ Missing",IF(AT1350="Yes","✓ OK","⚠ Check"))))</f>
        <v/>
      </c>
    </row>
    <row r="1351" ht="18" customHeight="1" s="46">
      <c r="A1351" s="23" t="n">
        <v>1347</v>
      </c>
      <c r="B1351" s="24" t="inlineStr">
        <is>
          <t>BD-WLP-2023-0010</t>
        </is>
      </c>
      <c r="C1351" s="25" t="inlineStr">
        <is>
          <t>Melange - Leafy Affair - 008G Wallpaper</t>
        </is>
      </c>
      <c r="D1351" s="23" t="inlineStr">
        <is>
          <t>Marshalls</t>
        </is>
      </c>
      <c r="E1351" s="43" t="n">
        <v>46125</v>
      </c>
      <c r="F1351" s="26" t="inlineStr">
        <is>
          <t>Sunil CR</t>
        </is>
      </c>
      <c r="G1351" s="26" t="inlineStr">
        <is>
          <t>Yes</t>
        </is>
      </c>
      <c r="H1351" s="26" t="inlineStr">
        <is>
          <t>No</t>
        </is>
      </c>
      <c r="I1351" s="26" t="inlineStr">
        <is>
          <t>Good finish</t>
        </is>
      </c>
      <c r="J1351" s="26" t="inlineStr">
        <is>
          <t>Yes</t>
        </is>
      </c>
      <c r="K1351" s="27" t="n"/>
      <c r="L1351" s="28" t="inlineStr">
        <is>
          <t>No</t>
        </is>
      </c>
      <c r="M1351" s="29">
        <f>IF(E1351="","",IF(H1351="Yes","❌ Disc",IF(G1351="No","⚠ Missing",IF(J1351="Yes","✓ OK","⚠ Check"))))</f>
        <v/>
      </c>
      <c r="N1351" s="43" t="n">
        <v>46193</v>
      </c>
      <c r="O1351" s="26" t="inlineStr">
        <is>
          <t>Sunil CR</t>
        </is>
      </c>
      <c r="P1351" s="26" t="inlineStr">
        <is>
          <t>Yes</t>
        </is>
      </c>
      <c r="Q1351" s="26" t="inlineStr">
        <is>
          <t>No</t>
        </is>
      </c>
      <c r="R1351" s="26" t="inlineStr">
        <is>
          <t>Good finish</t>
        </is>
      </c>
      <c r="S1351" s="26" t="inlineStr">
        <is>
          <t>Yes</t>
        </is>
      </c>
      <c r="T1351" s="27" t="n"/>
      <c r="U1351" s="28" t="inlineStr">
        <is>
          <t>No</t>
        </is>
      </c>
      <c r="V1351" s="29">
        <f>IF(N1351="","",IF(Q1351="Yes","❌ Disc",IF(P1351="No","⚠ Missing",IF(S1351="Yes","✓ OK","⚠ Check"))))</f>
        <v/>
      </c>
      <c r="W1351" s="65" t="n">
        <v>46248</v>
      </c>
      <c r="X1351" s="30" t="inlineStr">
        <is>
          <t>Sunil CR</t>
        </is>
      </c>
      <c r="Y1351" s="30" t="inlineStr">
        <is>
          <t>Yes</t>
        </is>
      </c>
      <c r="Z1351" s="30" t="n"/>
      <c r="AA1351" s="30" t="inlineStr">
        <is>
          <t>Good finish</t>
        </is>
      </c>
      <c r="AB1351" s="30" t="inlineStr">
        <is>
          <t>Yes</t>
        </is>
      </c>
      <c r="AC1351" s="27" t="n"/>
      <c r="AD1351" s="31" t="inlineStr">
        <is>
          <t>No</t>
        </is>
      </c>
      <c r="AE1351" s="32">
        <f>IF(W1351="","",IF(Z1351="Yes","❌ Disc",IF(Y1351="No","⚠ Missing",IF(AB1351="Yes","✓ OK","⚠ Check"))))</f>
        <v/>
      </c>
      <c r="AF1351" s="33" t="n"/>
      <c r="AG1351" s="33" t="n"/>
      <c r="AH1351" s="33" t="n"/>
      <c r="AI1351" s="33" t="n"/>
      <c r="AJ1351" s="33" t="n"/>
      <c r="AK1351" s="33" t="n"/>
      <c r="AL1351" s="27" t="n"/>
      <c r="AM1351" s="34" t="n"/>
      <c r="AN1351" s="35">
        <f>IF(AF1351="","",IF(AI1351="Yes","❌ Disc",IF(AH1351="No","⚠ Missing",IF(AK1351="Yes","✓ OK","⚠ Check"))))</f>
        <v/>
      </c>
      <c r="AO1351" s="36" t="n"/>
      <c r="AP1351" s="36" t="n"/>
      <c r="AQ1351" s="36" t="n"/>
      <c r="AR1351" s="36" t="n"/>
      <c r="AS1351" s="36" t="n"/>
      <c r="AT1351" s="36" t="n"/>
      <c r="AU1351" s="27" t="n"/>
      <c r="AV1351" s="37" t="n"/>
      <c r="AW1351" s="38">
        <f>IF(AO1351="","",IF(AR1351="Yes","❌ Disc",IF(AQ1351="No","⚠ Missing",IF(AT1351="Yes","✓ OK","⚠ Check"))))</f>
        <v/>
      </c>
    </row>
    <row r="1352" ht="18" customHeight="1" s="46">
      <c r="A1352" s="39" t="n">
        <v>1348</v>
      </c>
      <c r="B1352" s="40" t="inlineStr">
        <is>
          <t>BD-WLP-2023-0028</t>
        </is>
      </c>
      <c r="C1352" s="41" t="inlineStr">
        <is>
          <t>Melange - Morada Bay - 026G Wallpaper</t>
        </is>
      </c>
      <c r="D1352" s="39" t="inlineStr">
        <is>
          <t>Marshalls</t>
        </is>
      </c>
      <c r="E1352" s="43" t="n">
        <v>46125</v>
      </c>
      <c r="F1352" s="26" t="inlineStr">
        <is>
          <t>Sunil CR</t>
        </is>
      </c>
      <c r="G1352" s="26" t="inlineStr">
        <is>
          <t>Yes</t>
        </is>
      </c>
      <c r="H1352" s="26" t="inlineStr">
        <is>
          <t>No</t>
        </is>
      </c>
      <c r="I1352" s="26" t="inlineStr">
        <is>
          <t>Good finish</t>
        </is>
      </c>
      <c r="J1352" s="26" t="inlineStr">
        <is>
          <t>Yes</t>
        </is>
      </c>
      <c r="K1352" s="27" t="n"/>
      <c r="L1352" s="28" t="inlineStr">
        <is>
          <t>No</t>
        </is>
      </c>
      <c r="M1352" s="29">
        <f>IF(E1352="","",IF(H1352="Yes","❌ Disc",IF(G1352="No","⚠ Missing",IF(J1352="Yes","✓ OK","⚠ Check"))))</f>
        <v/>
      </c>
      <c r="N1352" s="43" t="n">
        <v>46193</v>
      </c>
      <c r="O1352" s="26" t="inlineStr">
        <is>
          <t>Sunil CR</t>
        </is>
      </c>
      <c r="P1352" s="26" t="inlineStr">
        <is>
          <t>Yes</t>
        </is>
      </c>
      <c r="Q1352" s="26" t="inlineStr">
        <is>
          <t>No</t>
        </is>
      </c>
      <c r="R1352" s="26" t="inlineStr">
        <is>
          <t>Good finish</t>
        </is>
      </c>
      <c r="S1352" s="26" t="inlineStr">
        <is>
          <t>Yes</t>
        </is>
      </c>
      <c r="T1352" s="27" t="n"/>
      <c r="U1352" s="28" t="inlineStr">
        <is>
          <t>No</t>
        </is>
      </c>
      <c r="V1352" s="29">
        <f>IF(N1352="","",IF(Q1352="Yes","❌ Disc",IF(P1352="No","⚠ Missing",IF(S1352="Yes","✓ OK","⚠ Check"))))</f>
        <v/>
      </c>
      <c r="W1352" s="65" t="n">
        <v>46248</v>
      </c>
      <c r="X1352" s="30" t="inlineStr">
        <is>
          <t>Sunil CR</t>
        </is>
      </c>
      <c r="Y1352" s="30" t="inlineStr">
        <is>
          <t>Yes</t>
        </is>
      </c>
      <c r="Z1352" s="30" t="n"/>
      <c r="AA1352" s="30" t="inlineStr">
        <is>
          <t>Good finish</t>
        </is>
      </c>
      <c r="AB1352" s="30" t="inlineStr">
        <is>
          <t>Yes</t>
        </is>
      </c>
      <c r="AC1352" s="27" t="n"/>
      <c r="AD1352" s="31" t="inlineStr">
        <is>
          <t>No</t>
        </is>
      </c>
      <c r="AE1352" s="32">
        <f>IF(W1352="","",IF(Z1352="Yes","❌ Disc",IF(Y1352="No","⚠ Missing",IF(AB1352="Yes","✓ OK","⚠ Check"))))</f>
        <v/>
      </c>
      <c r="AF1352" s="33" t="n"/>
      <c r="AG1352" s="33" t="n"/>
      <c r="AH1352" s="33" t="n"/>
      <c r="AI1352" s="33" t="n"/>
      <c r="AJ1352" s="33" t="n"/>
      <c r="AK1352" s="33" t="n"/>
      <c r="AL1352" s="27" t="n"/>
      <c r="AM1352" s="34" t="n"/>
      <c r="AN1352" s="35">
        <f>IF(AF1352="","",IF(AI1352="Yes","❌ Disc",IF(AH1352="No","⚠ Missing",IF(AK1352="Yes","✓ OK","⚠ Check"))))</f>
        <v/>
      </c>
      <c r="AO1352" s="36" t="n"/>
      <c r="AP1352" s="36" t="n"/>
      <c r="AQ1352" s="36" t="n"/>
      <c r="AR1352" s="36" t="n"/>
      <c r="AS1352" s="36" t="n"/>
      <c r="AT1352" s="36" t="n"/>
      <c r="AU1352" s="27" t="n"/>
      <c r="AV1352" s="37" t="n"/>
      <c r="AW1352" s="38">
        <f>IF(AO1352="","",IF(AR1352="Yes","❌ Disc",IF(AQ1352="No","⚠ Missing",IF(AT1352="Yes","✓ OK","⚠ Check"))))</f>
        <v/>
      </c>
    </row>
    <row r="1353" ht="18" customHeight="1" s="46">
      <c r="A1353" s="23" t="n">
        <v>1349</v>
      </c>
      <c r="B1353" s="24" t="inlineStr">
        <is>
          <t>BD-WLP-2023-0011</t>
        </is>
      </c>
      <c r="C1353" s="25" t="inlineStr">
        <is>
          <t>Melange - Moroccan Monochrome - 009G Wallpaper</t>
        </is>
      </c>
      <c r="D1353" s="23" t="inlineStr">
        <is>
          <t>Marshalls</t>
        </is>
      </c>
      <c r="E1353" s="43" t="n">
        <v>46125</v>
      </c>
      <c r="F1353" s="26" t="inlineStr">
        <is>
          <t>Sunil CR</t>
        </is>
      </c>
      <c r="G1353" s="26" t="inlineStr">
        <is>
          <t>Yes</t>
        </is>
      </c>
      <c r="H1353" s="26" t="inlineStr">
        <is>
          <t>No</t>
        </is>
      </c>
      <c r="I1353" s="26" t="inlineStr">
        <is>
          <t>Good finish</t>
        </is>
      </c>
      <c r="J1353" s="26" t="inlineStr">
        <is>
          <t>Yes</t>
        </is>
      </c>
      <c r="K1353" s="27" t="n"/>
      <c r="L1353" s="28" t="inlineStr">
        <is>
          <t>No</t>
        </is>
      </c>
      <c r="M1353" s="29">
        <f>IF(E1353="","",IF(H1353="Yes","❌ Disc",IF(G1353="No","⚠ Missing",IF(J1353="Yes","✓ OK","⚠ Check"))))</f>
        <v/>
      </c>
      <c r="N1353" s="43" t="n">
        <v>46193</v>
      </c>
      <c r="O1353" s="26" t="inlineStr">
        <is>
          <t>Sunil CR</t>
        </is>
      </c>
      <c r="P1353" s="26" t="inlineStr">
        <is>
          <t>Yes</t>
        </is>
      </c>
      <c r="Q1353" s="26" t="inlineStr">
        <is>
          <t>No</t>
        </is>
      </c>
      <c r="R1353" s="26" t="inlineStr">
        <is>
          <t>Good finish</t>
        </is>
      </c>
      <c r="S1353" s="26" t="inlineStr">
        <is>
          <t>Yes</t>
        </is>
      </c>
      <c r="T1353" s="27" t="n"/>
      <c r="U1353" s="28" t="inlineStr">
        <is>
          <t>No</t>
        </is>
      </c>
      <c r="V1353" s="29">
        <f>IF(N1353="","",IF(Q1353="Yes","❌ Disc",IF(P1353="No","⚠ Missing",IF(S1353="Yes","✓ OK","⚠ Check"))))</f>
        <v/>
      </c>
      <c r="W1353" s="65" t="n">
        <v>46248</v>
      </c>
      <c r="X1353" s="30" t="inlineStr">
        <is>
          <t>Sunil CR</t>
        </is>
      </c>
      <c r="Y1353" s="30" t="inlineStr">
        <is>
          <t>Yes</t>
        </is>
      </c>
      <c r="Z1353" s="30" t="n"/>
      <c r="AA1353" s="30" t="inlineStr">
        <is>
          <t>Good finish</t>
        </is>
      </c>
      <c r="AB1353" s="30" t="inlineStr">
        <is>
          <t>Yes</t>
        </is>
      </c>
      <c r="AC1353" s="27" t="n"/>
      <c r="AD1353" s="31" t="inlineStr">
        <is>
          <t>No</t>
        </is>
      </c>
      <c r="AE1353" s="32">
        <f>IF(W1353="","",IF(Z1353="Yes","❌ Disc",IF(Y1353="No","⚠ Missing",IF(AB1353="Yes","✓ OK","⚠ Check"))))</f>
        <v/>
      </c>
      <c r="AF1353" s="33" t="n"/>
      <c r="AG1353" s="33" t="n"/>
      <c r="AH1353" s="33" t="n"/>
      <c r="AI1353" s="33" t="n"/>
      <c r="AJ1353" s="33" t="n"/>
      <c r="AK1353" s="33" t="n"/>
      <c r="AL1353" s="27" t="n"/>
      <c r="AM1353" s="34" t="n"/>
      <c r="AN1353" s="35">
        <f>IF(AF1353="","",IF(AI1353="Yes","❌ Disc",IF(AH1353="No","⚠ Missing",IF(AK1353="Yes","✓ OK","⚠ Check"))))</f>
        <v/>
      </c>
      <c r="AO1353" s="36" t="n"/>
      <c r="AP1353" s="36" t="n"/>
      <c r="AQ1353" s="36" t="n"/>
      <c r="AR1353" s="36" t="n"/>
      <c r="AS1353" s="36" t="n"/>
      <c r="AT1353" s="36" t="n"/>
      <c r="AU1353" s="27" t="n"/>
      <c r="AV1353" s="37" t="n"/>
      <c r="AW1353" s="38">
        <f>IF(AO1353="","",IF(AR1353="Yes","❌ Disc",IF(AQ1353="No","⚠ Missing",IF(AT1353="Yes","✓ OK","⚠ Check"))))</f>
        <v/>
      </c>
    </row>
    <row r="1354" ht="18" customHeight="1" s="46">
      <c r="A1354" s="39" t="n">
        <v>1350</v>
      </c>
      <c r="B1354" s="40" t="inlineStr">
        <is>
          <t>BD-WLP-2023-0047</t>
        </is>
      </c>
      <c r="C1354" s="41" t="inlineStr">
        <is>
          <t>Melange - Nordic Kids Blue - 007K Wallpaper</t>
        </is>
      </c>
      <c r="D1354" s="39" t="inlineStr">
        <is>
          <t>Marshalls</t>
        </is>
      </c>
      <c r="E1354" s="43" t="n">
        <v>46125</v>
      </c>
      <c r="F1354" s="26" t="inlineStr">
        <is>
          <t>Sunil CR</t>
        </is>
      </c>
      <c r="G1354" s="26" t="inlineStr">
        <is>
          <t>Yes</t>
        </is>
      </c>
      <c r="H1354" s="26" t="inlineStr">
        <is>
          <t>No</t>
        </is>
      </c>
      <c r="I1354" s="26" t="inlineStr">
        <is>
          <t>Good finish</t>
        </is>
      </c>
      <c r="J1354" s="26" t="inlineStr">
        <is>
          <t>Yes</t>
        </is>
      </c>
      <c r="K1354" s="27" t="n"/>
      <c r="L1354" s="28" t="inlineStr">
        <is>
          <t>No</t>
        </is>
      </c>
      <c r="M1354" s="29">
        <f>IF(E1354="","",IF(H1354="Yes","❌ Disc",IF(G1354="No","⚠ Missing",IF(J1354="Yes","✓ OK","⚠ Check"))))</f>
        <v/>
      </c>
      <c r="N1354" s="43" t="n">
        <v>46193</v>
      </c>
      <c r="O1354" s="26" t="inlineStr">
        <is>
          <t>Sunil CR</t>
        </is>
      </c>
      <c r="P1354" s="26" t="inlineStr">
        <is>
          <t>Yes</t>
        </is>
      </c>
      <c r="Q1354" s="26" t="inlineStr">
        <is>
          <t>No</t>
        </is>
      </c>
      <c r="R1354" s="26" t="inlineStr">
        <is>
          <t>Good finish</t>
        </is>
      </c>
      <c r="S1354" s="26" t="inlineStr">
        <is>
          <t>Yes</t>
        </is>
      </c>
      <c r="T1354" s="27" t="n"/>
      <c r="U1354" s="28" t="inlineStr">
        <is>
          <t>No</t>
        </is>
      </c>
      <c r="V1354" s="29">
        <f>IF(N1354="","",IF(Q1354="Yes","❌ Disc",IF(P1354="No","⚠ Missing",IF(S1354="Yes","✓ OK","⚠ Check"))))</f>
        <v/>
      </c>
      <c r="W1354" s="65" t="n">
        <v>46248</v>
      </c>
      <c r="X1354" s="30" t="inlineStr">
        <is>
          <t>Sunil CR</t>
        </is>
      </c>
      <c r="Y1354" s="30" t="inlineStr">
        <is>
          <t>Yes</t>
        </is>
      </c>
      <c r="Z1354" s="30" t="n"/>
      <c r="AA1354" s="30" t="inlineStr">
        <is>
          <t>Good finish</t>
        </is>
      </c>
      <c r="AB1354" s="30" t="inlineStr">
        <is>
          <t>Yes</t>
        </is>
      </c>
      <c r="AC1354" s="27" t="n"/>
      <c r="AD1354" s="31" t="inlineStr">
        <is>
          <t>No</t>
        </is>
      </c>
      <c r="AE1354" s="32">
        <f>IF(W1354="","",IF(Z1354="Yes","❌ Disc",IF(Y1354="No","⚠ Missing",IF(AB1354="Yes","✓ OK","⚠ Check"))))</f>
        <v/>
      </c>
      <c r="AF1354" s="33" t="n"/>
      <c r="AG1354" s="33" t="n"/>
      <c r="AH1354" s="33" t="n"/>
      <c r="AI1354" s="33" t="n"/>
      <c r="AJ1354" s="33" t="n"/>
      <c r="AK1354" s="33" t="n"/>
      <c r="AL1354" s="27" t="n"/>
      <c r="AM1354" s="34" t="n"/>
      <c r="AN1354" s="35">
        <f>IF(AF1354="","",IF(AI1354="Yes","❌ Disc",IF(AH1354="No","⚠ Missing",IF(AK1354="Yes","✓ OK","⚠ Check"))))</f>
        <v/>
      </c>
      <c r="AO1354" s="36" t="n"/>
      <c r="AP1354" s="36" t="n"/>
      <c r="AQ1354" s="36" t="n"/>
      <c r="AR1354" s="36" t="n"/>
      <c r="AS1354" s="36" t="n"/>
      <c r="AT1354" s="36" t="n"/>
      <c r="AU1354" s="27" t="n"/>
      <c r="AV1354" s="37" t="n"/>
      <c r="AW1354" s="38">
        <f>IF(AO1354="","",IF(AR1354="Yes","❌ Disc",IF(AQ1354="No","⚠ Missing",IF(AT1354="Yes","✓ OK","⚠ Check"))))</f>
        <v/>
      </c>
    </row>
    <row r="1355" ht="18" customHeight="1" s="46">
      <c r="A1355" s="23" t="n">
        <v>1351</v>
      </c>
      <c r="B1355" s="24" t="inlineStr">
        <is>
          <t>BD-WLP-2023-0042</t>
        </is>
      </c>
      <c r="C1355" s="25" t="inlineStr">
        <is>
          <t>Melange - Nordic Kids Yellow - 002K Wallpaper</t>
        </is>
      </c>
      <c r="D1355" s="23" t="inlineStr">
        <is>
          <t>Marshalls</t>
        </is>
      </c>
      <c r="E1355" s="43" t="n">
        <v>46125</v>
      </c>
      <c r="F1355" s="26" t="inlineStr">
        <is>
          <t>Sunil CR</t>
        </is>
      </c>
      <c r="G1355" s="26" t="inlineStr">
        <is>
          <t>Yes</t>
        </is>
      </c>
      <c r="H1355" s="26" t="inlineStr">
        <is>
          <t>No</t>
        </is>
      </c>
      <c r="I1355" s="26" t="inlineStr">
        <is>
          <t>Good finish</t>
        </is>
      </c>
      <c r="J1355" s="26" t="inlineStr">
        <is>
          <t>Yes</t>
        </is>
      </c>
      <c r="K1355" s="27" t="n"/>
      <c r="L1355" s="28" t="inlineStr">
        <is>
          <t>No</t>
        </is>
      </c>
      <c r="M1355" s="29">
        <f>IF(E1355="","",IF(H1355="Yes","❌ Disc",IF(G1355="No","⚠ Missing",IF(J1355="Yes","✓ OK","⚠ Check"))))</f>
        <v/>
      </c>
      <c r="N1355" s="43" t="n">
        <v>46193</v>
      </c>
      <c r="O1355" s="26" t="inlineStr">
        <is>
          <t>Sunil CR</t>
        </is>
      </c>
      <c r="P1355" s="26" t="inlineStr">
        <is>
          <t>Yes</t>
        </is>
      </c>
      <c r="Q1355" s="26" t="inlineStr">
        <is>
          <t>No</t>
        </is>
      </c>
      <c r="R1355" s="26" t="inlineStr">
        <is>
          <t>Good finish</t>
        </is>
      </c>
      <c r="S1355" s="26" t="inlineStr">
        <is>
          <t>Yes</t>
        </is>
      </c>
      <c r="T1355" s="27" t="n"/>
      <c r="U1355" s="28" t="inlineStr">
        <is>
          <t>No</t>
        </is>
      </c>
      <c r="V1355" s="29">
        <f>IF(N1355="","",IF(Q1355="Yes","❌ Disc",IF(P1355="No","⚠ Missing",IF(S1355="Yes","✓ OK","⚠ Check"))))</f>
        <v/>
      </c>
      <c r="W1355" s="65" t="n">
        <v>46248</v>
      </c>
      <c r="X1355" s="30" t="inlineStr">
        <is>
          <t>Sunil CR</t>
        </is>
      </c>
      <c r="Y1355" s="30" t="inlineStr">
        <is>
          <t>Yes</t>
        </is>
      </c>
      <c r="Z1355" s="30" t="n"/>
      <c r="AA1355" s="30" t="inlineStr">
        <is>
          <t>Good finish</t>
        </is>
      </c>
      <c r="AB1355" s="30" t="inlineStr">
        <is>
          <t>Yes</t>
        </is>
      </c>
      <c r="AC1355" s="27" t="n"/>
      <c r="AD1355" s="31" t="inlineStr">
        <is>
          <t>No</t>
        </is>
      </c>
      <c r="AE1355" s="32">
        <f>IF(W1355="","",IF(Z1355="Yes","❌ Disc",IF(Y1355="No","⚠ Missing",IF(AB1355="Yes","✓ OK","⚠ Check"))))</f>
        <v/>
      </c>
      <c r="AF1355" s="33" t="n"/>
      <c r="AG1355" s="33" t="n"/>
      <c r="AH1355" s="33" t="n"/>
      <c r="AI1355" s="33" t="n"/>
      <c r="AJ1355" s="33" t="n"/>
      <c r="AK1355" s="33" t="n"/>
      <c r="AL1355" s="27" t="n"/>
      <c r="AM1355" s="34" t="n"/>
      <c r="AN1355" s="35">
        <f>IF(AF1355="","",IF(AI1355="Yes","❌ Disc",IF(AH1355="No","⚠ Missing",IF(AK1355="Yes","✓ OK","⚠ Check"))))</f>
        <v/>
      </c>
      <c r="AO1355" s="36" t="n"/>
      <c r="AP1355" s="36" t="n"/>
      <c r="AQ1355" s="36" t="n"/>
      <c r="AR1355" s="36" t="n"/>
      <c r="AS1355" s="36" t="n"/>
      <c r="AT1355" s="36" t="n"/>
      <c r="AU1355" s="27" t="n"/>
      <c r="AV1355" s="37" t="n"/>
      <c r="AW1355" s="38">
        <f>IF(AO1355="","",IF(AR1355="Yes","❌ Disc",IF(AQ1355="No","⚠ Missing",IF(AT1355="Yes","✓ OK","⚠ Check"))))</f>
        <v/>
      </c>
    </row>
    <row r="1356" ht="18" customHeight="1" s="46">
      <c r="A1356" s="39" t="n">
        <v>1352</v>
      </c>
      <c r="B1356" s="40" t="inlineStr">
        <is>
          <t>BD-WLP-2023-0003</t>
        </is>
      </c>
      <c r="C1356" s="41" t="inlineStr">
        <is>
          <t>Melange - Owl in the Wilderness - 001G Wallpaper</t>
        </is>
      </c>
      <c r="D1356" s="39" t="inlineStr">
        <is>
          <t>Marshalls</t>
        </is>
      </c>
      <c r="E1356" s="43" t="n">
        <v>46125</v>
      </c>
      <c r="F1356" s="26" t="inlineStr">
        <is>
          <t>Sunil CR</t>
        </is>
      </c>
      <c r="G1356" s="26" t="inlineStr">
        <is>
          <t>Yes</t>
        </is>
      </c>
      <c r="H1356" s="26" t="inlineStr">
        <is>
          <t>No</t>
        </is>
      </c>
      <c r="I1356" s="26" t="inlineStr">
        <is>
          <t>Good finish</t>
        </is>
      </c>
      <c r="J1356" s="26" t="inlineStr">
        <is>
          <t>Yes</t>
        </is>
      </c>
      <c r="K1356" s="27" t="n"/>
      <c r="L1356" s="28" t="inlineStr">
        <is>
          <t>No</t>
        </is>
      </c>
      <c r="M1356" s="29">
        <f>IF(E1356="","",IF(H1356="Yes","❌ Disc",IF(G1356="No","⚠ Missing",IF(J1356="Yes","✓ OK","⚠ Check"))))</f>
        <v/>
      </c>
      <c r="N1356" s="43" t="n">
        <v>46193</v>
      </c>
      <c r="O1356" s="26" t="inlineStr">
        <is>
          <t>Sunil CR</t>
        </is>
      </c>
      <c r="P1356" s="26" t="inlineStr">
        <is>
          <t>Yes</t>
        </is>
      </c>
      <c r="Q1356" s="26" t="inlineStr">
        <is>
          <t>No</t>
        </is>
      </c>
      <c r="R1356" s="26" t="inlineStr">
        <is>
          <t>Good finish</t>
        </is>
      </c>
      <c r="S1356" s="26" t="inlineStr">
        <is>
          <t>Yes</t>
        </is>
      </c>
      <c r="T1356" s="27" t="n"/>
      <c r="U1356" s="28" t="inlineStr">
        <is>
          <t>No</t>
        </is>
      </c>
      <c r="V1356" s="29">
        <f>IF(N1356="","",IF(Q1356="Yes","❌ Disc",IF(P1356="No","⚠ Missing",IF(S1356="Yes","✓ OK","⚠ Check"))))</f>
        <v/>
      </c>
      <c r="W1356" s="65" t="n">
        <v>46248</v>
      </c>
      <c r="X1356" s="30" t="inlineStr">
        <is>
          <t>Sunil CR</t>
        </is>
      </c>
      <c r="Y1356" s="30" t="inlineStr">
        <is>
          <t>Yes</t>
        </is>
      </c>
      <c r="Z1356" s="30" t="n"/>
      <c r="AA1356" s="30" t="inlineStr">
        <is>
          <t>Good finish</t>
        </is>
      </c>
      <c r="AB1356" s="30" t="inlineStr">
        <is>
          <t>Yes</t>
        </is>
      </c>
      <c r="AC1356" s="27" t="n"/>
      <c r="AD1356" s="31" t="inlineStr">
        <is>
          <t>No</t>
        </is>
      </c>
      <c r="AE1356" s="32">
        <f>IF(W1356="","",IF(Z1356="Yes","❌ Disc",IF(Y1356="No","⚠ Missing",IF(AB1356="Yes","✓ OK","⚠ Check"))))</f>
        <v/>
      </c>
      <c r="AF1356" s="33" t="n"/>
      <c r="AG1356" s="33" t="n"/>
      <c r="AH1356" s="33" t="n"/>
      <c r="AI1356" s="33" t="n"/>
      <c r="AJ1356" s="33" t="n"/>
      <c r="AK1356" s="33" t="n"/>
      <c r="AL1356" s="27" t="n"/>
      <c r="AM1356" s="34" t="n"/>
      <c r="AN1356" s="35">
        <f>IF(AF1356="","",IF(AI1356="Yes","❌ Disc",IF(AH1356="No","⚠ Missing",IF(AK1356="Yes","✓ OK","⚠ Check"))))</f>
        <v/>
      </c>
      <c r="AO1356" s="36" t="n"/>
      <c r="AP1356" s="36" t="n"/>
      <c r="AQ1356" s="36" t="n"/>
      <c r="AR1356" s="36" t="n"/>
      <c r="AS1356" s="36" t="n"/>
      <c r="AT1356" s="36" t="n"/>
      <c r="AU1356" s="27" t="n"/>
      <c r="AV1356" s="37" t="n"/>
      <c r="AW1356" s="38">
        <f>IF(AO1356="","",IF(AR1356="Yes","❌ Disc",IF(AQ1356="No","⚠ Missing",IF(AT1356="Yes","✓ OK","⚠ Check"))))</f>
        <v/>
      </c>
    </row>
    <row r="1357" ht="18" customHeight="1" s="46">
      <c r="A1357" s="23" t="n">
        <v>1353</v>
      </c>
      <c r="B1357" s="24" t="inlineStr">
        <is>
          <t>BD-WLP-2023-0012</t>
        </is>
      </c>
      <c r="C1357" s="25" t="inlineStr">
        <is>
          <t>Melange - Paisley in Blue - 010G Wallpaper</t>
        </is>
      </c>
      <c r="D1357" s="23" t="inlineStr">
        <is>
          <t>Marshalls</t>
        </is>
      </c>
      <c r="E1357" s="43" t="n">
        <v>46125</v>
      </c>
      <c r="F1357" s="26" t="inlineStr">
        <is>
          <t>Sunil CR</t>
        </is>
      </c>
      <c r="G1357" s="26" t="inlineStr">
        <is>
          <t>Yes</t>
        </is>
      </c>
      <c r="H1357" s="26" t="inlineStr">
        <is>
          <t>No</t>
        </is>
      </c>
      <c r="I1357" s="26" t="inlineStr">
        <is>
          <t>Good finish</t>
        </is>
      </c>
      <c r="J1357" s="26" t="inlineStr">
        <is>
          <t>Yes</t>
        </is>
      </c>
      <c r="K1357" s="27" t="n"/>
      <c r="L1357" s="28" t="inlineStr">
        <is>
          <t>No</t>
        </is>
      </c>
      <c r="M1357" s="29">
        <f>IF(E1357="","",IF(H1357="Yes","❌ Disc",IF(G1357="No","⚠ Missing",IF(J1357="Yes","✓ OK","⚠ Check"))))</f>
        <v/>
      </c>
      <c r="N1357" s="43" t="n">
        <v>46193</v>
      </c>
      <c r="O1357" s="26" t="inlineStr">
        <is>
          <t>Sunil CR</t>
        </is>
      </c>
      <c r="P1357" s="26" t="inlineStr">
        <is>
          <t>Yes</t>
        </is>
      </c>
      <c r="Q1357" s="26" t="inlineStr">
        <is>
          <t>No</t>
        </is>
      </c>
      <c r="R1357" s="26" t="inlineStr">
        <is>
          <t>Good finish</t>
        </is>
      </c>
      <c r="S1357" s="26" t="inlineStr">
        <is>
          <t>Yes</t>
        </is>
      </c>
      <c r="T1357" s="27" t="n"/>
      <c r="U1357" s="28" t="inlineStr">
        <is>
          <t>No</t>
        </is>
      </c>
      <c r="V1357" s="29">
        <f>IF(N1357="","",IF(Q1357="Yes","❌ Disc",IF(P1357="No","⚠ Missing",IF(S1357="Yes","✓ OK","⚠ Check"))))</f>
        <v/>
      </c>
      <c r="W1357" s="65" t="n">
        <v>46248</v>
      </c>
      <c r="X1357" s="30" t="inlineStr">
        <is>
          <t>Sunil CR</t>
        </is>
      </c>
      <c r="Y1357" s="30" t="inlineStr">
        <is>
          <t>Yes</t>
        </is>
      </c>
      <c r="Z1357" s="30" t="n"/>
      <c r="AA1357" s="30" t="inlineStr">
        <is>
          <t>Good finish</t>
        </is>
      </c>
      <c r="AB1357" s="30" t="inlineStr">
        <is>
          <t>Yes</t>
        </is>
      </c>
      <c r="AC1357" s="27" t="n"/>
      <c r="AD1357" s="31" t="inlineStr">
        <is>
          <t>No</t>
        </is>
      </c>
      <c r="AE1357" s="32">
        <f>IF(W1357="","",IF(Z1357="Yes","❌ Disc",IF(Y1357="No","⚠ Missing",IF(AB1357="Yes","✓ OK","⚠ Check"))))</f>
        <v/>
      </c>
      <c r="AF1357" s="33" t="n"/>
      <c r="AG1357" s="33" t="n"/>
      <c r="AH1357" s="33" t="n"/>
      <c r="AI1357" s="33" t="n"/>
      <c r="AJ1357" s="33" t="n"/>
      <c r="AK1357" s="33" t="n"/>
      <c r="AL1357" s="27" t="n"/>
      <c r="AM1357" s="34" t="n"/>
      <c r="AN1357" s="35">
        <f>IF(AF1357="","",IF(AI1357="Yes","❌ Disc",IF(AH1357="No","⚠ Missing",IF(AK1357="Yes","✓ OK","⚠ Check"))))</f>
        <v/>
      </c>
      <c r="AO1357" s="36" t="n"/>
      <c r="AP1357" s="36" t="n"/>
      <c r="AQ1357" s="36" t="n"/>
      <c r="AR1357" s="36" t="n"/>
      <c r="AS1357" s="36" t="n"/>
      <c r="AT1357" s="36" t="n"/>
      <c r="AU1357" s="27" t="n"/>
      <c r="AV1357" s="37" t="n"/>
      <c r="AW1357" s="38">
        <f>IF(AO1357="","",IF(AR1357="Yes","❌ Disc",IF(AQ1357="No","⚠ Missing",IF(AT1357="Yes","✓ OK","⚠ Check"))))</f>
        <v/>
      </c>
    </row>
    <row r="1358" ht="18" customHeight="1" s="46">
      <c r="A1358" s="39" t="n">
        <v>1354</v>
      </c>
      <c r="B1358" s="40" t="inlineStr">
        <is>
          <t>BD-WLP-2023-0038</t>
        </is>
      </c>
      <c r="C1358" s="41" t="inlineStr">
        <is>
          <t>Melange - Pastel Terrazo - 036G Wallpaper</t>
        </is>
      </c>
      <c r="D1358" s="39" t="inlineStr">
        <is>
          <t>Marshalls</t>
        </is>
      </c>
      <c r="E1358" s="43" t="n">
        <v>46125</v>
      </c>
      <c r="F1358" s="26" t="inlineStr">
        <is>
          <t>Sunil CR</t>
        </is>
      </c>
      <c r="G1358" s="26" t="inlineStr">
        <is>
          <t>Yes</t>
        </is>
      </c>
      <c r="H1358" s="26" t="inlineStr">
        <is>
          <t>No</t>
        </is>
      </c>
      <c r="I1358" s="26" t="inlineStr">
        <is>
          <t>Good finish</t>
        </is>
      </c>
      <c r="J1358" s="26" t="inlineStr">
        <is>
          <t>Yes</t>
        </is>
      </c>
      <c r="K1358" s="27" t="n"/>
      <c r="L1358" s="28" t="inlineStr">
        <is>
          <t>No</t>
        </is>
      </c>
      <c r="M1358" s="29">
        <f>IF(E1358="","",IF(H1358="Yes","❌ Disc",IF(G1358="No","⚠ Missing",IF(J1358="Yes","✓ OK","⚠ Check"))))</f>
        <v/>
      </c>
      <c r="N1358" s="43" t="n">
        <v>46193</v>
      </c>
      <c r="O1358" s="26" t="inlineStr">
        <is>
          <t>Sunil CR</t>
        </is>
      </c>
      <c r="P1358" s="26" t="inlineStr">
        <is>
          <t>Yes</t>
        </is>
      </c>
      <c r="Q1358" s="26" t="inlineStr">
        <is>
          <t>No</t>
        </is>
      </c>
      <c r="R1358" s="26" t="inlineStr">
        <is>
          <t>Good finish</t>
        </is>
      </c>
      <c r="S1358" s="26" t="inlineStr">
        <is>
          <t>Yes</t>
        </is>
      </c>
      <c r="T1358" s="27" t="n"/>
      <c r="U1358" s="28" t="inlineStr">
        <is>
          <t>No</t>
        </is>
      </c>
      <c r="V1358" s="29">
        <f>IF(N1358="","",IF(Q1358="Yes","❌ Disc",IF(P1358="No","⚠ Missing",IF(S1358="Yes","✓ OK","⚠ Check"))))</f>
        <v/>
      </c>
      <c r="W1358" s="65" t="n">
        <v>46248</v>
      </c>
      <c r="X1358" s="30" t="inlineStr">
        <is>
          <t>Sunil CR</t>
        </is>
      </c>
      <c r="Y1358" s="30" t="inlineStr">
        <is>
          <t>Yes</t>
        </is>
      </c>
      <c r="Z1358" s="30" t="n"/>
      <c r="AA1358" s="30" t="inlineStr">
        <is>
          <t>Good finish</t>
        </is>
      </c>
      <c r="AB1358" s="30" t="inlineStr">
        <is>
          <t>Yes</t>
        </is>
      </c>
      <c r="AC1358" s="27" t="n"/>
      <c r="AD1358" s="31" t="inlineStr">
        <is>
          <t>No</t>
        </is>
      </c>
      <c r="AE1358" s="32">
        <f>IF(W1358="","",IF(Z1358="Yes","❌ Disc",IF(Y1358="No","⚠ Missing",IF(AB1358="Yes","✓ OK","⚠ Check"))))</f>
        <v/>
      </c>
      <c r="AF1358" s="33" t="n"/>
      <c r="AG1358" s="33" t="n"/>
      <c r="AH1358" s="33" t="n"/>
      <c r="AI1358" s="33" t="n"/>
      <c r="AJ1358" s="33" t="n"/>
      <c r="AK1358" s="33" t="n"/>
      <c r="AL1358" s="27" t="n"/>
      <c r="AM1358" s="34" t="n"/>
      <c r="AN1358" s="35">
        <f>IF(AF1358="","",IF(AI1358="Yes","❌ Disc",IF(AH1358="No","⚠ Missing",IF(AK1358="Yes","✓ OK","⚠ Check"))))</f>
        <v/>
      </c>
      <c r="AO1358" s="36" t="n"/>
      <c r="AP1358" s="36" t="n"/>
      <c r="AQ1358" s="36" t="n"/>
      <c r="AR1358" s="36" t="n"/>
      <c r="AS1358" s="36" t="n"/>
      <c r="AT1358" s="36" t="n"/>
      <c r="AU1358" s="27" t="n"/>
      <c r="AV1358" s="37" t="n"/>
      <c r="AW1358" s="38">
        <f>IF(AO1358="","",IF(AR1358="Yes","❌ Disc",IF(AQ1358="No","⚠ Missing",IF(AT1358="Yes","✓ OK","⚠ Check"))))</f>
        <v/>
      </c>
    </row>
    <row r="1359" ht="18" customHeight="1" s="46">
      <c r="A1359" s="23" t="n">
        <v>1355</v>
      </c>
      <c r="B1359" s="24" t="inlineStr">
        <is>
          <t>BD-WLP-2023-0009</t>
        </is>
      </c>
      <c r="C1359" s="25" t="inlineStr">
        <is>
          <t>Melange - Popinjay - 007G Wallpaper</t>
        </is>
      </c>
      <c r="D1359" s="23" t="inlineStr">
        <is>
          <t>Marshalls</t>
        </is>
      </c>
      <c r="E1359" s="43" t="n">
        <v>46125</v>
      </c>
      <c r="F1359" s="26" t="inlineStr">
        <is>
          <t>Sunil CR</t>
        </is>
      </c>
      <c r="G1359" s="26" t="inlineStr">
        <is>
          <t>Yes</t>
        </is>
      </c>
      <c r="H1359" s="26" t="inlineStr">
        <is>
          <t>No</t>
        </is>
      </c>
      <c r="I1359" s="26" t="inlineStr">
        <is>
          <t>Good finish</t>
        </is>
      </c>
      <c r="J1359" s="26" t="inlineStr">
        <is>
          <t>Yes</t>
        </is>
      </c>
      <c r="K1359" s="27" t="n"/>
      <c r="L1359" s="28" t="inlineStr">
        <is>
          <t>No</t>
        </is>
      </c>
      <c r="M1359" s="29">
        <f>IF(E1359="","",IF(H1359="Yes","❌ Disc",IF(G1359="No","⚠ Missing",IF(J1359="Yes","✓ OK","⚠ Check"))))</f>
        <v/>
      </c>
      <c r="N1359" s="43" t="n">
        <v>46193</v>
      </c>
      <c r="O1359" s="26" t="inlineStr">
        <is>
          <t>Sunil CR</t>
        </is>
      </c>
      <c r="P1359" s="26" t="inlineStr">
        <is>
          <t>Yes</t>
        </is>
      </c>
      <c r="Q1359" s="26" t="inlineStr">
        <is>
          <t>No</t>
        </is>
      </c>
      <c r="R1359" s="26" t="inlineStr">
        <is>
          <t>Good finish</t>
        </is>
      </c>
      <c r="S1359" s="26" t="inlineStr">
        <is>
          <t>Yes</t>
        </is>
      </c>
      <c r="T1359" s="27" t="n"/>
      <c r="U1359" s="28" t="inlineStr">
        <is>
          <t>No</t>
        </is>
      </c>
      <c r="V1359" s="29">
        <f>IF(N1359="","",IF(Q1359="Yes","❌ Disc",IF(P1359="No","⚠ Missing",IF(S1359="Yes","✓ OK","⚠ Check"))))</f>
        <v/>
      </c>
      <c r="W1359" s="65" t="n">
        <v>46248</v>
      </c>
      <c r="X1359" s="30" t="inlineStr">
        <is>
          <t>Sunil CR</t>
        </is>
      </c>
      <c r="Y1359" s="30" t="inlineStr">
        <is>
          <t>Yes</t>
        </is>
      </c>
      <c r="Z1359" s="30" t="n"/>
      <c r="AA1359" s="30" t="inlineStr">
        <is>
          <t>Good finish</t>
        </is>
      </c>
      <c r="AB1359" s="30" t="inlineStr">
        <is>
          <t>Yes</t>
        </is>
      </c>
      <c r="AC1359" s="27" t="n"/>
      <c r="AD1359" s="31" t="inlineStr">
        <is>
          <t>No</t>
        </is>
      </c>
      <c r="AE1359" s="32">
        <f>IF(W1359="","",IF(Z1359="Yes","❌ Disc",IF(Y1359="No","⚠ Missing",IF(AB1359="Yes","✓ OK","⚠ Check"))))</f>
        <v/>
      </c>
      <c r="AF1359" s="33" t="n"/>
      <c r="AG1359" s="33" t="n"/>
      <c r="AH1359" s="33" t="n"/>
      <c r="AI1359" s="33" t="n"/>
      <c r="AJ1359" s="33" t="n"/>
      <c r="AK1359" s="33" t="n"/>
      <c r="AL1359" s="27" t="n"/>
      <c r="AM1359" s="34" t="n"/>
      <c r="AN1359" s="35">
        <f>IF(AF1359="","",IF(AI1359="Yes","❌ Disc",IF(AH1359="No","⚠ Missing",IF(AK1359="Yes","✓ OK","⚠ Check"))))</f>
        <v/>
      </c>
      <c r="AO1359" s="36" t="n"/>
      <c r="AP1359" s="36" t="n"/>
      <c r="AQ1359" s="36" t="n"/>
      <c r="AR1359" s="36" t="n"/>
      <c r="AS1359" s="36" t="n"/>
      <c r="AT1359" s="36" t="n"/>
      <c r="AU1359" s="27" t="n"/>
      <c r="AV1359" s="37" t="n"/>
      <c r="AW1359" s="38">
        <f>IF(AO1359="","",IF(AR1359="Yes","❌ Disc",IF(AQ1359="No","⚠ Missing",IF(AT1359="Yes","✓ OK","⚠ Check"))))</f>
        <v/>
      </c>
    </row>
    <row r="1360" ht="18" customHeight="1" s="46">
      <c r="A1360" s="39" t="n">
        <v>1356</v>
      </c>
      <c r="B1360" s="40" t="inlineStr">
        <is>
          <t>BD-WLP-2023-0021</t>
        </is>
      </c>
      <c r="C1360" s="41" t="inlineStr">
        <is>
          <t>Melange - Savan Jute - 019G Wallpaper [BBP]</t>
        </is>
      </c>
      <c r="D1360" s="39" t="inlineStr">
        <is>
          <t>Marshalls</t>
        </is>
      </c>
      <c r="E1360" s="43" t="n">
        <v>46125</v>
      </c>
      <c r="F1360" s="26" t="inlineStr">
        <is>
          <t>Sunil CR</t>
        </is>
      </c>
      <c r="G1360" s="26" t="inlineStr">
        <is>
          <t>Yes</t>
        </is>
      </c>
      <c r="H1360" s="26" t="inlineStr">
        <is>
          <t>No</t>
        </is>
      </c>
      <c r="I1360" s="26" t="inlineStr">
        <is>
          <t>Good finish</t>
        </is>
      </c>
      <c r="J1360" s="26" t="inlineStr">
        <is>
          <t>Yes</t>
        </is>
      </c>
      <c r="K1360" s="27" t="n"/>
      <c r="L1360" s="28" t="inlineStr">
        <is>
          <t>No</t>
        </is>
      </c>
      <c r="M1360" s="29">
        <f>IF(E1360="","",IF(H1360="Yes","❌ Disc",IF(G1360="No","⚠ Missing",IF(J1360="Yes","✓ OK","⚠ Check"))))</f>
        <v/>
      </c>
      <c r="N1360" s="43" t="n">
        <v>46193</v>
      </c>
      <c r="O1360" s="26" t="inlineStr">
        <is>
          <t>Sunil CR</t>
        </is>
      </c>
      <c r="P1360" s="26" t="inlineStr">
        <is>
          <t>Yes</t>
        </is>
      </c>
      <c r="Q1360" s="26" t="inlineStr">
        <is>
          <t>No</t>
        </is>
      </c>
      <c r="R1360" s="26" t="inlineStr">
        <is>
          <t>Good finish</t>
        </is>
      </c>
      <c r="S1360" s="26" t="inlineStr">
        <is>
          <t>Yes</t>
        </is>
      </c>
      <c r="T1360" s="27" t="n"/>
      <c r="U1360" s="28" t="inlineStr">
        <is>
          <t>No</t>
        </is>
      </c>
      <c r="V1360" s="29">
        <f>IF(N1360="","",IF(Q1360="Yes","❌ Disc",IF(P1360="No","⚠ Missing",IF(S1360="Yes","✓ OK","⚠ Check"))))</f>
        <v/>
      </c>
      <c r="W1360" s="65" t="n">
        <v>46248</v>
      </c>
      <c r="X1360" s="30" t="inlineStr">
        <is>
          <t>Sunil CR</t>
        </is>
      </c>
      <c r="Y1360" s="30" t="inlineStr">
        <is>
          <t>Yes</t>
        </is>
      </c>
      <c r="Z1360" s="30" t="n"/>
      <c r="AA1360" s="30" t="inlineStr">
        <is>
          <t>Good finish</t>
        </is>
      </c>
      <c r="AB1360" s="30" t="inlineStr">
        <is>
          <t>Yes</t>
        </is>
      </c>
      <c r="AC1360" s="27" t="n"/>
      <c r="AD1360" s="31" t="inlineStr">
        <is>
          <t>No</t>
        </is>
      </c>
      <c r="AE1360" s="32">
        <f>IF(W1360="","",IF(Z1360="Yes","❌ Disc",IF(Y1360="No","⚠ Missing",IF(AB1360="Yes","✓ OK","⚠ Check"))))</f>
        <v/>
      </c>
      <c r="AF1360" s="33" t="n"/>
      <c r="AG1360" s="33" t="n"/>
      <c r="AH1360" s="33" t="n"/>
      <c r="AI1360" s="33" t="n"/>
      <c r="AJ1360" s="33" t="n"/>
      <c r="AK1360" s="33" t="n"/>
      <c r="AL1360" s="27" t="n"/>
      <c r="AM1360" s="34" t="n"/>
      <c r="AN1360" s="35">
        <f>IF(AF1360="","",IF(AI1360="Yes","❌ Disc",IF(AH1360="No","⚠ Missing",IF(AK1360="Yes","✓ OK","⚠ Check"))))</f>
        <v/>
      </c>
      <c r="AO1360" s="36" t="n"/>
      <c r="AP1360" s="36" t="n"/>
      <c r="AQ1360" s="36" t="n"/>
      <c r="AR1360" s="36" t="n"/>
      <c r="AS1360" s="36" t="n"/>
      <c r="AT1360" s="36" t="n"/>
      <c r="AU1360" s="27" t="n"/>
      <c r="AV1360" s="37" t="n"/>
      <c r="AW1360" s="38">
        <f>IF(AO1360="","",IF(AR1360="Yes","❌ Disc",IF(AQ1360="No","⚠ Missing",IF(AT1360="Yes","✓ OK","⚠ Check"))))</f>
        <v/>
      </c>
    </row>
    <row r="1361" ht="18" customHeight="1" s="46">
      <c r="A1361" s="23" t="n">
        <v>1357</v>
      </c>
      <c r="B1361" s="24" t="inlineStr">
        <is>
          <t>BD-WLP-2023-0004</t>
        </is>
      </c>
      <c r="C1361" s="25" t="inlineStr">
        <is>
          <t>Melange - Skylark in Blue - 002G Wallpaper</t>
        </is>
      </c>
      <c r="D1361" s="23" t="inlineStr">
        <is>
          <t>Marshalls</t>
        </is>
      </c>
      <c r="E1361" s="43" t="n">
        <v>46125</v>
      </c>
      <c r="F1361" s="26" t="inlineStr">
        <is>
          <t>Sunil CR</t>
        </is>
      </c>
      <c r="G1361" s="26" t="inlineStr">
        <is>
          <t>Yes</t>
        </is>
      </c>
      <c r="H1361" s="26" t="inlineStr">
        <is>
          <t>No</t>
        </is>
      </c>
      <c r="I1361" s="26" t="inlineStr">
        <is>
          <t>Good finish</t>
        </is>
      </c>
      <c r="J1361" s="26" t="inlineStr">
        <is>
          <t>Yes</t>
        </is>
      </c>
      <c r="K1361" s="27" t="n"/>
      <c r="L1361" s="28" t="inlineStr">
        <is>
          <t>No</t>
        </is>
      </c>
      <c r="M1361" s="29">
        <f>IF(E1361="","",IF(H1361="Yes","❌ Disc",IF(G1361="No","⚠ Missing",IF(J1361="Yes","✓ OK","⚠ Check"))))</f>
        <v/>
      </c>
      <c r="N1361" s="43" t="n">
        <v>46193</v>
      </c>
      <c r="O1361" s="26" t="inlineStr">
        <is>
          <t>Sunil CR</t>
        </is>
      </c>
      <c r="P1361" s="26" t="inlineStr">
        <is>
          <t>Yes</t>
        </is>
      </c>
      <c r="Q1361" s="26" t="inlineStr">
        <is>
          <t>No</t>
        </is>
      </c>
      <c r="R1361" s="26" t="inlineStr">
        <is>
          <t>Good finish</t>
        </is>
      </c>
      <c r="S1361" s="26" t="inlineStr">
        <is>
          <t>Yes</t>
        </is>
      </c>
      <c r="T1361" s="27" t="n"/>
      <c r="U1361" s="28" t="inlineStr">
        <is>
          <t>No</t>
        </is>
      </c>
      <c r="V1361" s="29">
        <f>IF(N1361="","",IF(Q1361="Yes","❌ Disc",IF(P1361="No","⚠ Missing",IF(S1361="Yes","✓ OK","⚠ Check"))))</f>
        <v/>
      </c>
      <c r="W1361" s="65" t="n">
        <v>46248</v>
      </c>
      <c r="X1361" s="30" t="inlineStr">
        <is>
          <t>Sunil CR</t>
        </is>
      </c>
      <c r="Y1361" s="30" t="inlineStr">
        <is>
          <t>Yes</t>
        </is>
      </c>
      <c r="Z1361" s="30" t="n"/>
      <c r="AA1361" s="30" t="inlineStr">
        <is>
          <t>Good finish</t>
        </is>
      </c>
      <c r="AB1361" s="30" t="inlineStr">
        <is>
          <t>Yes</t>
        </is>
      </c>
      <c r="AC1361" s="27" t="n"/>
      <c r="AD1361" s="31" t="inlineStr">
        <is>
          <t>No</t>
        </is>
      </c>
      <c r="AE1361" s="32">
        <f>IF(W1361="","",IF(Z1361="Yes","❌ Disc",IF(Y1361="No","⚠ Missing",IF(AB1361="Yes","✓ OK","⚠ Check"))))</f>
        <v/>
      </c>
      <c r="AF1361" s="33" t="n"/>
      <c r="AG1361" s="33" t="n"/>
      <c r="AH1361" s="33" t="n"/>
      <c r="AI1361" s="33" t="n"/>
      <c r="AJ1361" s="33" t="n"/>
      <c r="AK1361" s="33" t="n"/>
      <c r="AL1361" s="27" t="n"/>
      <c r="AM1361" s="34" t="n"/>
      <c r="AN1361" s="35">
        <f>IF(AF1361="","",IF(AI1361="Yes","❌ Disc",IF(AH1361="No","⚠ Missing",IF(AK1361="Yes","✓ OK","⚠ Check"))))</f>
        <v/>
      </c>
      <c r="AO1361" s="36" t="n"/>
      <c r="AP1361" s="36" t="n"/>
      <c r="AQ1361" s="36" t="n"/>
      <c r="AR1361" s="36" t="n"/>
      <c r="AS1361" s="36" t="n"/>
      <c r="AT1361" s="36" t="n"/>
      <c r="AU1361" s="27" t="n"/>
      <c r="AV1361" s="37" t="n"/>
      <c r="AW1361" s="38">
        <f>IF(AO1361="","",IF(AR1361="Yes","❌ Disc",IF(AQ1361="No","⚠ Missing",IF(AT1361="Yes","✓ OK","⚠ Check"))))</f>
        <v/>
      </c>
    </row>
    <row r="1362" ht="18" customHeight="1" s="46">
      <c r="A1362" s="39" t="n">
        <v>1358</v>
      </c>
      <c r="B1362" s="40" t="inlineStr">
        <is>
          <t>BD-WLP-2023-0031</t>
        </is>
      </c>
      <c r="C1362" s="41" t="inlineStr">
        <is>
          <t>Melange - Stormy Sky - 029G Wallpaper</t>
        </is>
      </c>
      <c r="D1362" s="39" t="inlineStr">
        <is>
          <t>Marshalls</t>
        </is>
      </c>
      <c r="E1362" s="43" t="n">
        <v>46125</v>
      </c>
      <c r="F1362" s="26" t="inlineStr">
        <is>
          <t>Sunil CR</t>
        </is>
      </c>
      <c r="G1362" s="26" t="inlineStr">
        <is>
          <t>Yes</t>
        </is>
      </c>
      <c r="H1362" s="26" t="inlineStr">
        <is>
          <t>No</t>
        </is>
      </c>
      <c r="I1362" s="26" t="inlineStr">
        <is>
          <t>Good finish</t>
        </is>
      </c>
      <c r="J1362" s="26" t="inlineStr">
        <is>
          <t>Yes</t>
        </is>
      </c>
      <c r="K1362" s="27" t="n"/>
      <c r="L1362" s="28" t="inlineStr">
        <is>
          <t>No</t>
        </is>
      </c>
      <c r="M1362" s="29">
        <f>IF(E1362="","",IF(H1362="Yes","❌ Disc",IF(G1362="No","⚠ Missing",IF(J1362="Yes","✓ OK","⚠ Check"))))</f>
        <v/>
      </c>
      <c r="N1362" s="43" t="n">
        <v>46193</v>
      </c>
      <c r="O1362" s="26" t="inlineStr">
        <is>
          <t>Sunil CR</t>
        </is>
      </c>
      <c r="P1362" s="26" t="inlineStr">
        <is>
          <t>Yes</t>
        </is>
      </c>
      <c r="Q1362" s="26" t="inlineStr">
        <is>
          <t>No</t>
        </is>
      </c>
      <c r="R1362" s="26" t="inlineStr">
        <is>
          <t>Good finish</t>
        </is>
      </c>
      <c r="S1362" s="26" t="inlineStr">
        <is>
          <t>Yes</t>
        </is>
      </c>
      <c r="T1362" s="27" t="n"/>
      <c r="U1362" s="28" t="inlineStr">
        <is>
          <t>No</t>
        </is>
      </c>
      <c r="V1362" s="29">
        <f>IF(N1362="","",IF(Q1362="Yes","❌ Disc",IF(P1362="No","⚠ Missing",IF(S1362="Yes","✓ OK","⚠ Check"))))</f>
        <v/>
      </c>
      <c r="W1362" s="65" t="n">
        <v>46248</v>
      </c>
      <c r="X1362" s="30" t="inlineStr">
        <is>
          <t>Sunil CR</t>
        </is>
      </c>
      <c r="Y1362" s="30" t="inlineStr">
        <is>
          <t>Yes</t>
        </is>
      </c>
      <c r="Z1362" s="30" t="n"/>
      <c r="AA1362" s="30" t="inlineStr">
        <is>
          <t>Good finish</t>
        </is>
      </c>
      <c r="AB1362" s="30" t="inlineStr">
        <is>
          <t>Yes</t>
        </is>
      </c>
      <c r="AC1362" s="27" t="n"/>
      <c r="AD1362" s="31" t="inlineStr">
        <is>
          <t>No</t>
        </is>
      </c>
      <c r="AE1362" s="32">
        <f>IF(W1362="","",IF(Z1362="Yes","❌ Disc",IF(Y1362="No","⚠ Missing",IF(AB1362="Yes","✓ OK","⚠ Check"))))</f>
        <v/>
      </c>
      <c r="AF1362" s="33" t="n"/>
      <c r="AG1362" s="33" t="n"/>
      <c r="AH1362" s="33" t="n"/>
      <c r="AI1362" s="33" t="n"/>
      <c r="AJ1362" s="33" t="n"/>
      <c r="AK1362" s="33" t="n"/>
      <c r="AL1362" s="27" t="n"/>
      <c r="AM1362" s="34" t="n"/>
      <c r="AN1362" s="35">
        <f>IF(AF1362="","",IF(AI1362="Yes","❌ Disc",IF(AH1362="No","⚠ Missing",IF(AK1362="Yes","✓ OK","⚠ Check"))))</f>
        <v/>
      </c>
      <c r="AO1362" s="36" t="n"/>
      <c r="AP1362" s="36" t="n"/>
      <c r="AQ1362" s="36" t="n"/>
      <c r="AR1362" s="36" t="n"/>
      <c r="AS1362" s="36" t="n"/>
      <c r="AT1362" s="36" t="n"/>
      <c r="AU1362" s="27" t="n"/>
      <c r="AV1362" s="37" t="n"/>
      <c r="AW1362" s="38">
        <f>IF(AO1362="","",IF(AR1362="Yes","❌ Disc",IF(AQ1362="No","⚠ Missing",IF(AT1362="Yes","✓ OK","⚠ Check"))))</f>
        <v/>
      </c>
    </row>
    <row r="1363" ht="18" customHeight="1" s="46">
      <c r="A1363" s="23" t="n">
        <v>1359</v>
      </c>
      <c r="B1363" s="24" t="inlineStr">
        <is>
          <t>BD-WLP-2023-0043</t>
        </is>
      </c>
      <c r="C1363" s="25" t="inlineStr">
        <is>
          <t>Melange - Sunny Side Up - 003K Wallpaper</t>
        </is>
      </c>
      <c r="D1363" s="23" t="inlineStr">
        <is>
          <t>Marshalls</t>
        </is>
      </c>
      <c r="E1363" s="43" t="n">
        <v>46125</v>
      </c>
      <c r="F1363" s="26" t="inlineStr">
        <is>
          <t>Sunil CR</t>
        </is>
      </c>
      <c r="G1363" s="26" t="inlineStr">
        <is>
          <t>Yes</t>
        </is>
      </c>
      <c r="H1363" s="26" t="inlineStr">
        <is>
          <t>No</t>
        </is>
      </c>
      <c r="I1363" s="26" t="inlineStr">
        <is>
          <t>Good finish</t>
        </is>
      </c>
      <c r="J1363" s="26" t="inlineStr">
        <is>
          <t>Yes</t>
        </is>
      </c>
      <c r="K1363" s="27" t="n"/>
      <c r="L1363" s="28" t="inlineStr">
        <is>
          <t>No</t>
        </is>
      </c>
      <c r="M1363" s="29">
        <f>IF(E1363="","",IF(H1363="Yes","❌ Disc",IF(G1363="No","⚠ Missing",IF(J1363="Yes","✓ OK","⚠ Check"))))</f>
        <v/>
      </c>
      <c r="N1363" s="43" t="n">
        <v>46193</v>
      </c>
      <c r="O1363" s="26" t="inlineStr">
        <is>
          <t>Sunil CR</t>
        </is>
      </c>
      <c r="P1363" s="26" t="inlineStr">
        <is>
          <t>Yes</t>
        </is>
      </c>
      <c r="Q1363" s="26" t="inlineStr">
        <is>
          <t>No</t>
        </is>
      </c>
      <c r="R1363" s="26" t="inlineStr">
        <is>
          <t>Good finish</t>
        </is>
      </c>
      <c r="S1363" s="26" t="inlineStr">
        <is>
          <t>Yes</t>
        </is>
      </c>
      <c r="T1363" s="27" t="n"/>
      <c r="U1363" s="28" t="inlineStr">
        <is>
          <t>No</t>
        </is>
      </c>
      <c r="V1363" s="29">
        <f>IF(N1363="","",IF(Q1363="Yes","❌ Disc",IF(P1363="No","⚠ Missing",IF(S1363="Yes","✓ OK","⚠ Check"))))</f>
        <v/>
      </c>
      <c r="W1363" s="65" t="n">
        <v>46248</v>
      </c>
      <c r="X1363" s="30" t="inlineStr">
        <is>
          <t>Sunil CR</t>
        </is>
      </c>
      <c r="Y1363" s="30" t="inlineStr">
        <is>
          <t>Yes</t>
        </is>
      </c>
      <c r="Z1363" s="30" t="n"/>
      <c r="AA1363" s="30" t="inlineStr">
        <is>
          <t>Good finish</t>
        </is>
      </c>
      <c r="AB1363" s="30" t="inlineStr">
        <is>
          <t>Yes</t>
        </is>
      </c>
      <c r="AC1363" s="27" t="n"/>
      <c r="AD1363" s="31" t="inlineStr">
        <is>
          <t>No</t>
        </is>
      </c>
      <c r="AE1363" s="32">
        <f>IF(W1363="","",IF(Z1363="Yes","❌ Disc",IF(Y1363="No","⚠ Missing",IF(AB1363="Yes","✓ OK","⚠ Check"))))</f>
        <v/>
      </c>
      <c r="AF1363" s="33" t="n"/>
      <c r="AG1363" s="33" t="n"/>
      <c r="AH1363" s="33" t="n"/>
      <c r="AI1363" s="33" t="n"/>
      <c r="AJ1363" s="33" t="n"/>
      <c r="AK1363" s="33" t="n"/>
      <c r="AL1363" s="27" t="n"/>
      <c r="AM1363" s="34" t="n"/>
      <c r="AN1363" s="35">
        <f>IF(AF1363="","",IF(AI1363="Yes","❌ Disc",IF(AH1363="No","⚠ Missing",IF(AK1363="Yes","✓ OK","⚠ Check"))))</f>
        <v/>
      </c>
      <c r="AO1363" s="36" t="n"/>
      <c r="AP1363" s="36" t="n"/>
      <c r="AQ1363" s="36" t="n"/>
      <c r="AR1363" s="36" t="n"/>
      <c r="AS1363" s="36" t="n"/>
      <c r="AT1363" s="36" t="n"/>
      <c r="AU1363" s="27" t="n"/>
      <c r="AV1363" s="37" t="n"/>
      <c r="AW1363" s="38">
        <f>IF(AO1363="","",IF(AR1363="Yes","❌ Disc",IF(AQ1363="No","⚠ Missing",IF(AT1363="Yes","✓ OK","⚠ Check"))))</f>
        <v/>
      </c>
    </row>
    <row r="1364" ht="18" customHeight="1" s="46">
      <c r="A1364" s="39" t="n">
        <v>1360</v>
      </c>
      <c r="B1364" s="40" t="inlineStr">
        <is>
          <t>BD-WLP-2023-0051</t>
        </is>
      </c>
      <c r="C1364" s="41" t="inlineStr">
        <is>
          <t>Melange - Sunshine &amp; Rainbows - 011K wallpaer</t>
        </is>
      </c>
      <c r="D1364" s="39" t="inlineStr">
        <is>
          <t>Marshalls</t>
        </is>
      </c>
      <c r="E1364" s="43" t="n">
        <v>46125</v>
      </c>
      <c r="F1364" s="26" t="inlineStr">
        <is>
          <t>Sunil CR</t>
        </is>
      </c>
      <c r="G1364" s="26" t="inlineStr">
        <is>
          <t>Yes</t>
        </is>
      </c>
      <c r="H1364" s="26" t="inlineStr">
        <is>
          <t>No</t>
        </is>
      </c>
      <c r="I1364" s="26" t="inlineStr">
        <is>
          <t>Good finish</t>
        </is>
      </c>
      <c r="J1364" s="26" t="inlineStr">
        <is>
          <t>Yes</t>
        </is>
      </c>
      <c r="K1364" s="27" t="n"/>
      <c r="L1364" s="28" t="inlineStr">
        <is>
          <t>No</t>
        </is>
      </c>
      <c r="M1364" s="29">
        <f>IF(E1364="","",IF(H1364="Yes","❌ Disc",IF(G1364="No","⚠ Missing",IF(J1364="Yes","✓ OK","⚠ Check"))))</f>
        <v/>
      </c>
      <c r="N1364" s="43" t="n">
        <v>46193</v>
      </c>
      <c r="O1364" s="26" t="inlineStr">
        <is>
          <t>Sunil CR</t>
        </is>
      </c>
      <c r="P1364" s="26" t="inlineStr">
        <is>
          <t>Yes</t>
        </is>
      </c>
      <c r="Q1364" s="26" t="inlineStr">
        <is>
          <t>No</t>
        </is>
      </c>
      <c r="R1364" s="26" t="inlineStr">
        <is>
          <t>Good finish</t>
        </is>
      </c>
      <c r="S1364" s="26" t="inlineStr">
        <is>
          <t>Yes</t>
        </is>
      </c>
      <c r="T1364" s="27" t="n"/>
      <c r="U1364" s="28" t="inlineStr">
        <is>
          <t>No</t>
        </is>
      </c>
      <c r="V1364" s="29">
        <f>IF(N1364="","",IF(Q1364="Yes","❌ Disc",IF(P1364="No","⚠ Missing",IF(S1364="Yes","✓ OK","⚠ Check"))))</f>
        <v/>
      </c>
      <c r="W1364" s="65" t="n">
        <v>46248</v>
      </c>
      <c r="X1364" s="30" t="inlineStr">
        <is>
          <t>Sunil CR</t>
        </is>
      </c>
      <c r="Y1364" s="30" t="inlineStr">
        <is>
          <t>Yes</t>
        </is>
      </c>
      <c r="Z1364" s="30" t="n"/>
      <c r="AA1364" s="30" t="inlineStr">
        <is>
          <t>Good finish</t>
        </is>
      </c>
      <c r="AB1364" s="30" t="inlineStr">
        <is>
          <t>Yes</t>
        </is>
      </c>
      <c r="AC1364" s="27" t="n"/>
      <c r="AD1364" s="31" t="inlineStr">
        <is>
          <t>No</t>
        </is>
      </c>
      <c r="AE1364" s="32">
        <f>IF(W1364="","",IF(Z1364="Yes","❌ Disc",IF(Y1364="No","⚠ Missing",IF(AB1364="Yes","✓ OK","⚠ Check"))))</f>
        <v/>
      </c>
      <c r="AF1364" s="33" t="n"/>
      <c r="AG1364" s="33" t="n"/>
      <c r="AH1364" s="33" t="n"/>
      <c r="AI1364" s="33" t="n"/>
      <c r="AJ1364" s="33" t="n"/>
      <c r="AK1364" s="33" t="n"/>
      <c r="AL1364" s="27" t="n"/>
      <c r="AM1364" s="34" t="n"/>
      <c r="AN1364" s="35">
        <f>IF(AF1364="","",IF(AI1364="Yes","❌ Disc",IF(AH1364="No","⚠ Missing",IF(AK1364="Yes","✓ OK","⚠ Check"))))</f>
        <v/>
      </c>
      <c r="AO1364" s="36" t="n"/>
      <c r="AP1364" s="36" t="n"/>
      <c r="AQ1364" s="36" t="n"/>
      <c r="AR1364" s="36" t="n"/>
      <c r="AS1364" s="36" t="n"/>
      <c r="AT1364" s="36" t="n"/>
      <c r="AU1364" s="27" t="n"/>
      <c r="AV1364" s="37" t="n"/>
      <c r="AW1364" s="38">
        <f>IF(AO1364="","",IF(AR1364="Yes","❌ Disc",IF(AQ1364="No","⚠ Missing",IF(AT1364="Yes","✓ OK","⚠ Check"))))</f>
        <v/>
      </c>
    </row>
    <row r="1365" ht="18" customHeight="1" s="46">
      <c r="A1365" s="23" t="n">
        <v>1361</v>
      </c>
      <c r="B1365" s="24" t="inlineStr">
        <is>
          <t>BD-WLP-2023-0050</t>
        </is>
      </c>
      <c r="C1365" s="25" t="inlineStr">
        <is>
          <t>Melange - Super Hero - 010K Wallpaper</t>
        </is>
      </c>
      <c r="D1365" s="23" t="inlineStr">
        <is>
          <t>Marshalls</t>
        </is>
      </c>
      <c r="E1365" s="43" t="n">
        <v>46125</v>
      </c>
      <c r="F1365" s="26" t="inlineStr">
        <is>
          <t>Sunil CR</t>
        </is>
      </c>
      <c r="G1365" s="26" t="inlineStr">
        <is>
          <t>Yes</t>
        </is>
      </c>
      <c r="H1365" s="26" t="inlineStr">
        <is>
          <t>No</t>
        </is>
      </c>
      <c r="I1365" s="26" t="inlineStr">
        <is>
          <t>Good finish</t>
        </is>
      </c>
      <c r="J1365" s="26" t="inlineStr">
        <is>
          <t>Yes</t>
        </is>
      </c>
      <c r="K1365" s="27" t="n"/>
      <c r="L1365" s="28" t="inlineStr">
        <is>
          <t>No</t>
        </is>
      </c>
      <c r="M1365" s="29">
        <f>IF(E1365="","",IF(H1365="Yes","❌ Disc",IF(G1365="No","⚠ Missing",IF(J1365="Yes","✓ OK","⚠ Check"))))</f>
        <v/>
      </c>
      <c r="N1365" s="43" t="n">
        <v>46193</v>
      </c>
      <c r="O1365" s="26" t="inlineStr">
        <is>
          <t>Sunil CR</t>
        </is>
      </c>
      <c r="P1365" s="26" t="inlineStr">
        <is>
          <t>Yes</t>
        </is>
      </c>
      <c r="Q1365" s="26" t="inlineStr">
        <is>
          <t>No</t>
        </is>
      </c>
      <c r="R1365" s="26" t="inlineStr">
        <is>
          <t>Good finish</t>
        </is>
      </c>
      <c r="S1365" s="26" t="inlineStr">
        <is>
          <t>Yes</t>
        </is>
      </c>
      <c r="T1365" s="27" t="n"/>
      <c r="U1365" s="28" t="inlineStr">
        <is>
          <t>No</t>
        </is>
      </c>
      <c r="V1365" s="29">
        <f>IF(N1365="","",IF(Q1365="Yes","❌ Disc",IF(P1365="No","⚠ Missing",IF(S1365="Yes","✓ OK","⚠ Check"))))</f>
        <v/>
      </c>
      <c r="W1365" s="65" t="n">
        <v>46248</v>
      </c>
      <c r="X1365" s="30" t="inlineStr">
        <is>
          <t>Sunil CR</t>
        </is>
      </c>
      <c r="Y1365" s="30" t="inlineStr">
        <is>
          <t>Yes</t>
        </is>
      </c>
      <c r="Z1365" s="30" t="n"/>
      <c r="AA1365" s="30" t="inlineStr">
        <is>
          <t>Good finish</t>
        </is>
      </c>
      <c r="AB1365" s="30" t="inlineStr">
        <is>
          <t>Yes</t>
        </is>
      </c>
      <c r="AC1365" s="27" t="n"/>
      <c r="AD1365" s="31" t="inlineStr">
        <is>
          <t>No</t>
        </is>
      </c>
      <c r="AE1365" s="32">
        <f>IF(W1365="","",IF(Z1365="Yes","❌ Disc",IF(Y1365="No","⚠ Missing",IF(AB1365="Yes","✓ OK","⚠ Check"))))</f>
        <v/>
      </c>
      <c r="AF1365" s="33" t="n"/>
      <c r="AG1365" s="33" t="n"/>
      <c r="AH1365" s="33" t="n"/>
      <c r="AI1365" s="33" t="n"/>
      <c r="AJ1365" s="33" t="n"/>
      <c r="AK1365" s="33" t="n"/>
      <c r="AL1365" s="27" t="n"/>
      <c r="AM1365" s="34" t="n"/>
      <c r="AN1365" s="35">
        <f>IF(AF1365="","",IF(AI1365="Yes","❌ Disc",IF(AH1365="No","⚠ Missing",IF(AK1365="Yes","✓ OK","⚠ Check"))))</f>
        <v/>
      </c>
      <c r="AO1365" s="36" t="n"/>
      <c r="AP1365" s="36" t="n"/>
      <c r="AQ1365" s="36" t="n"/>
      <c r="AR1365" s="36" t="n"/>
      <c r="AS1365" s="36" t="n"/>
      <c r="AT1365" s="36" t="n"/>
      <c r="AU1365" s="27" t="n"/>
      <c r="AV1365" s="37" t="n"/>
      <c r="AW1365" s="38">
        <f>IF(AO1365="","",IF(AR1365="Yes","❌ Disc",IF(AQ1365="No","⚠ Missing",IF(AT1365="Yes","✓ OK","⚠ Check"))))</f>
        <v/>
      </c>
    </row>
    <row r="1366" ht="18" customHeight="1" s="46">
      <c r="A1366" s="39" t="n">
        <v>1362</v>
      </c>
      <c r="B1366" s="40" t="inlineStr">
        <is>
          <t>BD-WLP-2023-0037</t>
        </is>
      </c>
      <c r="C1366" s="41" t="inlineStr">
        <is>
          <t>Melange - Terrazo - 035G Wallpaper</t>
        </is>
      </c>
      <c r="D1366" s="39" t="inlineStr">
        <is>
          <t>Marshalls</t>
        </is>
      </c>
      <c r="E1366" s="43" t="n">
        <v>46125</v>
      </c>
      <c r="F1366" s="26" t="inlineStr">
        <is>
          <t>Sunil CR</t>
        </is>
      </c>
      <c r="G1366" s="26" t="inlineStr">
        <is>
          <t>Yes</t>
        </is>
      </c>
      <c r="H1366" s="26" t="inlineStr">
        <is>
          <t>No</t>
        </is>
      </c>
      <c r="I1366" s="26" t="inlineStr">
        <is>
          <t>Good finish</t>
        </is>
      </c>
      <c r="J1366" s="26" t="inlineStr">
        <is>
          <t>Yes</t>
        </is>
      </c>
      <c r="K1366" s="27" t="n"/>
      <c r="L1366" s="28" t="inlineStr">
        <is>
          <t>No</t>
        </is>
      </c>
      <c r="M1366" s="29">
        <f>IF(E1366="","",IF(H1366="Yes","❌ Disc",IF(G1366="No","⚠ Missing",IF(J1366="Yes","✓ OK","⚠ Check"))))</f>
        <v/>
      </c>
      <c r="N1366" s="43" t="n">
        <v>46193</v>
      </c>
      <c r="O1366" s="26" t="inlineStr">
        <is>
          <t>Sunil CR</t>
        </is>
      </c>
      <c r="P1366" s="26" t="inlineStr">
        <is>
          <t>Yes</t>
        </is>
      </c>
      <c r="Q1366" s="26" t="inlineStr">
        <is>
          <t>No</t>
        </is>
      </c>
      <c r="R1366" s="26" t="inlineStr">
        <is>
          <t>Good finish</t>
        </is>
      </c>
      <c r="S1366" s="26" t="inlineStr">
        <is>
          <t>Yes</t>
        </is>
      </c>
      <c r="T1366" s="27" t="n"/>
      <c r="U1366" s="28" t="inlineStr">
        <is>
          <t>No</t>
        </is>
      </c>
      <c r="V1366" s="29">
        <f>IF(N1366="","",IF(Q1366="Yes","❌ Disc",IF(P1366="No","⚠ Missing",IF(S1366="Yes","✓ OK","⚠ Check"))))</f>
        <v/>
      </c>
      <c r="W1366" s="65" t="n">
        <v>46248</v>
      </c>
      <c r="X1366" s="30" t="inlineStr">
        <is>
          <t>Sunil CR</t>
        </is>
      </c>
      <c r="Y1366" s="30" t="inlineStr">
        <is>
          <t>Yes</t>
        </is>
      </c>
      <c r="Z1366" s="30" t="n"/>
      <c r="AA1366" s="30" t="inlineStr">
        <is>
          <t>Good finish</t>
        </is>
      </c>
      <c r="AB1366" s="30" t="inlineStr">
        <is>
          <t>Yes</t>
        </is>
      </c>
      <c r="AC1366" s="27" t="n"/>
      <c r="AD1366" s="31" t="inlineStr">
        <is>
          <t>No</t>
        </is>
      </c>
      <c r="AE1366" s="32">
        <f>IF(W1366="","",IF(Z1366="Yes","❌ Disc",IF(Y1366="No","⚠ Missing",IF(AB1366="Yes","✓ OK","⚠ Check"))))</f>
        <v/>
      </c>
      <c r="AF1366" s="33" t="n"/>
      <c r="AG1366" s="33" t="n"/>
      <c r="AH1366" s="33" t="n"/>
      <c r="AI1366" s="33" t="n"/>
      <c r="AJ1366" s="33" t="n"/>
      <c r="AK1366" s="33" t="n"/>
      <c r="AL1366" s="27" t="n"/>
      <c r="AM1366" s="34" t="n"/>
      <c r="AN1366" s="35">
        <f>IF(AF1366="","",IF(AI1366="Yes","❌ Disc",IF(AH1366="No","⚠ Missing",IF(AK1366="Yes","✓ OK","⚠ Check"))))</f>
        <v/>
      </c>
      <c r="AO1366" s="36" t="n"/>
      <c r="AP1366" s="36" t="n"/>
      <c r="AQ1366" s="36" t="n"/>
      <c r="AR1366" s="36" t="n"/>
      <c r="AS1366" s="36" t="n"/>
      <c r="AT1366" s="36" t="n"/>
      <c r="AU1366" s="27" t="n"/>
      <c r="AV1366" s="37" t="n"/>
      <c r="AW1366" s="38">
        <f>IF(AO1366="","",IF(AR1366="Yes","❌ Disc",IF(AQ1366="No","⚠ Missing",IF(AT1366="Yes","✓ OK","⚠ Check"))))</f>
        <v/>
      </c>
    </row>
    <row r="1367" ht="18" customHeight="1" s="46">
      <c r="A1367" s="23" t="n">
        <v>1363</v>
      </c>
      <c r="B1367" s="24" t="inlineStr">
        <is>
          <t>BD-WLP-2023-0046</t>
        </is>
      </c>
      <c r="C1367" s="25" t="inlineStr">
        <is>
          <t>Melange - Up &amp; Away - 006K Wallpaper</t>
        </is>
      </c>
      <c r="D1367" s="23" t="inlineStr">
        <is>
          <t>Marshalls</t>
        </is>
      </c>
      <c r="E1367" s="43" t="n">
        <v>46125</v>
      </c>
      <c r="F1367" s="26" t="inlineStr">
        <is>
          <t>Sunil CR</t>
        </is>
      </c>
      <c r="G1367" s="26" t="inlineStr">
        <is>
          <t>Yes</t>
        </is>
      </c>
      <c r="H1367" s="26" t="inlineStr">
        <is>
          <t>No</t>
        </is>
      </c>
      <c r="I1367" s="26" t="inlineStr">
        <is>
          <t>Good finish</t>
        </is>
      </c>
      <c r="J1367" s="26" t="inlineStr">
        <is>
          <t>Yes</t>
        </is>
      </c>
      <c r="K1367" s="27" t="n"/>
      <c r="L1367" s="28" t="inlineStr">
        <is>
          <t>No</t>
        </is>
      </c>
      <c r="M1367" s="29">
        <f>IF(E1367="","",IF(H1367="Yes","❌ Disc",IF(G1367="No","⚠ Missing",IF(J1367="Yes","✓ OK","⚠ Check"))))</f>
        <v/>
      </c>
      <c r="N1367" s="43" t="n">
        <v>46193</v>
      </c>
      <c r="O1367" s="26" t="inlineStr">
        <is>
          <t>Sunil CR</t>
        </is>
      </c>
      <c r="P1367" s="26" t="inlineStr">
        <is>
          <t>Yes</t>
        </is>
      </c>
      <c r="Q1367" s="26" t="inlineStr">
        <is>
          <t>No</t>
        </is>
      </c>
      <c r="R1367" s="26" t="inlineStr">
        <is>
          <t>Good finish</t>
        </is>
      </c>
      <c r="S1367" s="26" t="inlineStr">
        <is>
          <t>Yes</t>
        </is>
      </c>
      <c r="T1367" s="27" t="n"/>
      <c r="U1367" s="28" t="inlineStr">
        <is>
          <t>No</t>
        </is>
      </c>
      <c r="V1367" s="29">
        <f>IF(N1367="","",IF(Q1367="Yes","❌ Disc",IF(P1367="No","⚠ Missing",IF(S1367="Yes","✓ OK","⚠ Check"))))</f>
        <v/>
      </c>
      <c r="W1367" s="65" t="n">
        <v>46248</v>
      </c>
      <c r="X1367" s="30" t="inlineStr">
        <is>
          <t>Sunil CR</t>
        </is>
      </c>
      <c r="Y1367" s="30" t="inlineStr">
        <is>
          <t>Yes</t>
        </is>
      </c>
      <c r="Z1367" s="30" t="n"/>
      <c r="AA1367" s="30" t="inlineStr">
        <is>
          <t>Good finish</t>
        </is>
      </c>
      <c r="AB1367" s="30" t="inlineStr">
        <is>
          <t>Yes</t>
        </is>
      </c>
      <c r="AC1367" s="27" t="n"/>
      <c r="AD1367" s="31" t="inlineStr">
        <is>
          <t>No</t>
        </is>
      </c>
      <c r="AE1367" s="32">
        <f>IF(W1367="","",IF(Z1367="Yes","❌ Disc",IF(Y1367="No","⚠ Missing",IF(AB1367="Yes","✓ OK","⚠ Check"))))</f>
        <v/>
      </c>
      <c r="AF1367" s="33" t="n"/>
      <c r="AG1367" s="33" t="n"/>
      <c r="AH1367" s="33" t="n"/>
      <c r="AI1367" s="33" t="n"/>
      <c r="AJ1367" s="33" t="n"/>
      <c r="AK1367" s="33" t="n"/>
      <c r="AL1367" s="27" t="n"/>
      <c r="AM1367" s="34" t="n"/>
      <c r="AN1367" s="35">
        <f>IF(AF1367="","",IF(AI1367="Yes","❌ Disc",IF(AH1367="No","⚠ Missing",IF(AK1367="Yes","✓ OK","⚠ Check"))))</f>
        <v/>
      </c>
      <c r="AO1367" s="36" t="n"/>
      <c r="AP1367" s="36" t="n"/>
      <c r="AQ1367" s="36" t="n"/>
      <c r="AR1367" s="36" t="n"/>
      <c r="AS1367" s="36" t="n"/>
      <c r="AT1367" s="36" t="n"/>
      <c r="AU1367" s="27" t="n"/>
      <c r="AV1367" s="37" t="n"/>
      <c r="AW1367" s="38">
        <f>IF(AO1367="","",IF(AR1367="Yes","❌ Disc",IF(AQ1367="No","⚠ Missing",IF(AT1367="Yes","✓ OK","⚠ Check"))))</f>
        <v/>
      </c>
    </row>
    <row r="1368" ht="18" customHeight="1" s="46">
      <c r="A1368" s="39" t="n">
        <v>1364</v>
      </c>
      <c r="B1368" s="40" t="inlineStr">
        <is>
          <t>BD-WLP-2023-0006</t>
        </is>
      </c>
      <c r="C1368" s="41" t="inlineStr">
        <is>
          <t>Melange - Vintage Kaleidoscope - 004G Wallpaper</t>
        </is>
      </c>
      <c r="D1368" s="39" t="inlineStr">
        <is>
          <t>Marshalls</t>
        </is>
      </c>
      <c r="E1368" s="43" t="n">
        <v>46125</v>
      </c>
      <c r="F1368" s="26" t="inlineStr">
        <is>
          <t>Sunil CR</t>
        </is>
      </c>
      <c r="G1368" s="26" t="inlineStr">
        <is>
          <t>Yes</t>
        </is>
      </c>
      <c r="H1368" s="26" t="inlineStr">
        <is>
          <t>No</t>
        </is>
      </c>
      <c r="I1368" s="26" t="inlineStr">
        <is>
          <t>Good finish</t>
        </is>
      </c>
      <c r="J1368" s="26" t="inlineStr">
        <is>
          <t>Yes</t>
        </is>
      </c>
      <c r="K1368" s="27" t="n"/>
      <c r="L1368" s="28" t="inlineStr">
        <is>
          <t>No</t>
        </is>
      </c>
      <c r="M1368" s="29">
        <f>IF(E1368="","",IF(H1368="Yes","❌ Disc",IF(G1368="No","⚠ Missing",IF(J1368="Yes","✓ OK","⚠ Check"))))</f>
        <v/>
      </c>
      <c r="N1368" s="43" t="n">
        <v>46193</v>
      </c>
      <c r="O1368" s="26" t="inlineStr">
        <is>
          <t>Sunil CR</t>
        </is>
      </c>
      <c r="P1368" s="26" t="inlineStr">
        <is>
          <t>Yes</t>
        </is>
      </c>
      <c r="Q1368" s="26" t="inlineStr">
        <is>
          <t>No</t>
        </is>
      </c>
      <c r="R1368" s="26" t="inlineStr">
        <is>
          <t>Good finish</t>
        </is>
      </c>
      <c r="S1368" s="26" t="inlineStr">
        <is>
          <t>Yes</t>
        </is>
      </c>
      <c r="T1368" s="27" t="n"/>
      <c r="U1368" s="28" t="inlineStr">
        <is>
          <t>No</t>
        </is>
      </c>
      <c r="V1368" s="29">
        <f>IF(N1368="","",IF(Q1368="Yes","❌ Disc",IF(P1368="No","⚠ Missing",IF(S1368="Yes","✓ OK","⚠ Check"))))</f>
        <v/>
      </c>
      <c r="W1368" s="65" t="n">
        <v>46248</v>
      </c>
      <c r="X1368" s="30" t="inlineStr">
        <is>
          <t>Sunil CR</t>
        </is>
      </c>
      <c r="Y1368" s="30" t="inlineStr">
        <is>
          <t>Yes</t>
        </is>
      </c>
      <c r="Z1368" s="30" t="n"/>
      <c r="AA1368" s="30" t="inlineStr">
        <is>
          <t>Good finish</t>
        </is>
      </c>
      <c r="AB1368" s="30" t="inlineStr">
        <is>
          <t>Yes</t>
        </is>
      </c>
      <c r="AC1368" s="27" t="n"/>
      <c r="AD1368" s="31" t="inlineStr">
        <is>
          <t>No</t>
        </is>
      </c>
      <c r="AE1368" s="32">
        <f>IF(W1368="","",IF(Z1368="Yes","❌ Disc",IF(Y1368="No","⚠ Missing",IF(AB1368="Yes","✓ OK","⚠ Check"))))</f>
        <v/>
      </c>
      <c r="AF1368" s="33" t="n"/>
      <c r="AG1368" s="33" t="n"/>
      <c r="AH1368" s="33" t="n"/>
      <c r="AI1368" s="33" t="n"/>
      <c r="AJ1368" s="33" t="n"/>
      <c r="AK1368" s="33" t="n"/>
      <c r="AL1368" s="27" t="n"/>
      <c r="AM1368" s="34" t="n"/>
      <c r="AN1368" s="35">
        <f>IF(AF1368="","",IF(AI1368="Yes","❌ Disc",IF(AH1368="No","⚠ Missing",IF(AK1368="Yes","✓ OK","⚠ Check"))))</f>
        <v/>
      </c>
      <c r="AO1368" s="36" t="n"/>
      <c r="AP1368" s="36" t="n"/>
      <c r="AQ1368" s="36" t="n"/>
      <c r="AR1368" s="36" t="n"/>
      <c r="AS1368" s="36" t="n"/>
      <c r="AT1368" s="36" t="n"/>
      <c r="AU1368" s="27" t="n"/>
      <c r="AV1368" s="37" t="n"/>
      <c r="AW1368" s="38">
        <f>IF(AO1368="","",IF(AR1368="Yes","❌ Disc",IF(AQ1368="No","⚠ Missing",IF(AT1368="Yes","✓ OK","⚠ Check"))))</f>
        <v/>
      </c>
    </row>
    <row r="1369" ht="18" customHeight="1" s="46">
      <c r="A1369" s="23" t="n">
        <v>1365</v>
      </c>
      <c r="B1369" s="24" t="inlineStr">
        <is>
          <t>BD-WLP-2023-0030</t>
        </is>
      </c>
      <c r="C1369" s="25" t="inlineStr">
        <is>
          <t>Melange - Weathered Grey - 028G Wallpaper</t>
        </is>
      </c>
      <c r="D1369" s="23" t="inlineStr">
        <is>
          <t>Marshalls</t>
        </is>
      </c>
      <c r="E1369" s="43" t="n">
        <v>46125</v>
      </c>
      <c r="F1369" s="26" t="inlineStr">
        <is>
          <t>Sunil CR</t>
        </is>
      </c>
      <c r="G1369" s="26" t="inlineStr">
        <is>
          <t>Yes</t>
        </is>
      </c>
      <c r="H1369" s="26" t="inlineStr">
        <is>
          <t>No</t>
        </is>
      </c>
      <c r="I1369" s="26" t="inlineStr">
        <is>
          <t>Good finish</t>
        </is>
      </c>
      <c r="J1369" s="26" t="inlineStr">
        <is>
          <t>Yes</t>
        </is>
      </c>
      <c r="K1369" s="27" t="n"/>
      <c r="L1369" s="28" t="inlineStr">
        <is>
          <t>No</t>
        </is>
      </c>
      <c r="M1369" s="29">
        <f>IF(E1369="","",IF(H1369="Yes","❌ Disc",IF(G1369="No","⚠ Missing",IF(J1369="Yes","✓ OK","⚠ Check"))))</f>
        <v/>
      </c>
      <c r="N1369" s="43" t="n">
        <v>46193</v>
      </c>
      <c r="O1369" s="26" t="inlineStr">
        <is>
          <t>Sunil CR</t>
        </is>
      </c>
      <c r="P1369" s="26" t="inlineStr">
        <is>
          <t>Yes</t>
        </is>
      </c>
      <c r="Q1369" s="26" t="inlineStr">
        <is>
          <t>No</t>
        </is>
      </c>
      <c r="R1369" s="26" t="inlineStr">
        <is>
          <t>Good finish</t>
        </is>
      </c>
      <c r="S1369" s="26" t="inlineStr">
        <is>
          <t>Yes</t>
        </is>
      </c>
      <c r="T1369" s="27" t="n"/>
      <c r="U1369" s="28" t="inlineStr">
        <is>
          <t>No</t>
        </is>
      </c>
      <c r="V1369" s="29">
        <f>IF(N1369="","",IF(Q1369="Yes","❌ Disc",IF(P1369="No","⚠ Missing",IF(S1369="Yes","✓ OK","⚠ Check"))))</f>
        <v/>
      </c>
      <c r="W1369" s="65" t="n">
        <v>46248</v>
      </c>
      <c r="X1369" s="30" t="inlineStr">
        <is>
          <t>Sunil CR</t>
        </is>
      </c>
      <c r="Y1369" s="30" t="inlineStr">
        <is>
          <t>Yes</t>
        </is>
      </c>
      <c r="Z1369" s="30" t="n"/>
      <c r="AA1369" s="30" t="inlineStr">
        <is>
          <t>Good finish</t>
        </is>
      </c>
      <c r="AB1369" s="30" t="inlineStr">
        <is>
          <t>Yes</t>
        </is>
      </c>
      <c r="AC1369" s="27" t="n"/>
      <c r="AD1369" s="31" t="inlineStr">
        <is>
          <t>No</t>
        </is>
      </c>
      <c r="AE1369" s="32">
        <f>IF(W1369="","",IF(Z1369="Yes","❌ Disc",IF(Y1369="No","⚠ Missing",IF(AB1369="Yes","✓ OK","⚠ Check"))))</f>
        <v/>
      </c>
      <c r="AF1369" s="33" t="n"/>
      <c r="AG1369" s="33" t="n"/>
      <c r="AH1369" s="33" t="n"/>
      <c r="AI1369" s="33" t="n"/>
      <c r="AJ1369" s="33" t="n"/>
      <c r="AK1369" s="33" t="n"/>
      <c r="AL1369" s="27" t="n"/>
      <c r="AM1369" s="34" t="n"/>
      <c r="AN1369" s="35">
        <f>IF(AF1369="","",IF(AI1369="Yes","❌ Disc",IF(AH1369="No","⚠ Missing",IF(AK1369="Yes","✓ OK","⚠ Check"))))</f>
        <v/>
      </c>
      <c r="AO1369" s="36" t="n"/>
      <c r="AP1369" s="36" t="n"/>
      <c r="AQ1369" s="36" t="n"/>
      <c r="AR1369" s="36" t="n"/>
      <c r="AS1369" s="36" t="n"/>
      <c r="AT1369" s="36" t="n"/>
      <c r="AU1369" s="27" t="n"/>
      <c r="AV1369" s="37" t="n"/>
      <c r="AW1369" s="38">
        <f>IF(AO1369="","",IF(AR1369="Yes","❌ Disc",IF(AQ1369="No","⚠ Missing",IF(AT1369="Yes","✓ OK","⚠ Check"))))</f>
        <v/>
      </c>
    </row>
    <row r="1370" ht="18" customHeight="1" s="46">
      <c r="A1370" s="39" t="n">
        <v>1366</v>
      </c>
      <c r="B1370" s="40" t="inlineStr">
        <is>
          <t>BD-WLP-2023-0035</t>
        </is>
      </c>
      <c r="C1370" s="41" t="inlineStr">
        <is>
          <t>Melange - Wilton Trellis - 033G Wallpaper</t>
        </is>
      </c>
      <c r="D1370" s="39" t="inlineStr">
        <is>
          <t>Marshalls</t>
        </is>
      </c>
      <c r="E1370" s="43" t="n">
        <v>46125</v>
      </c>
      <c r="F1370" s="26" t="inlineStr">
        <is>
          <t>Sunil CR</t>
        </is>
      </c>
      <c r="G1370" s="26" t="inlineStr">
        <is>
          <t>Yes</t>
        </is>
      </c>
      <c r="H1370" s="26" t="inlineStr">
        <is>
          <t>No</t>
        </is>
      </c>
      <c r="I1370" s="26" t="inlineStr">
        <is>
          <t>Good finish</t>
        </is>
      </c>
      <c r="J1370" s="26" t="inlineStr">
        <is>
          <t>Yes</t>
        </is>
      </c>
      <c r="K1370" s="27" t="n"/>
      <c r="L1370" s="28" t="inlineStr">
        <is>
          <t>No</t>
        </is>
      </c>
      <c r="M1370" s="29">
        <f>IF(E1370="","",IF(H1370="Yes","❌ Disc",IF(G1370="No","⚠ Missing",IF(J1370="Yes","✓ OK","⚠ Check"))))</f>
        <v/>
      </c>
      <c r="N1370" s="43" t="n">
        <v>46193</v>
      </c>
      <c r="O1370" s="26" t="inlineStr">
        <is>
          <t>Sunil CR</t>
        </is>
      </c>
      <c r="P1370" s="26" t="inlineStr">
        <is>
          <t>Yes</t>
        </is>
      </c>
      <c r="Q1370" s="26" t="inlineStr">
        <is>
          <t>No</t>
        </is>
      </c>
      <c r="R1370" s="26" t="inlineStr">
        <is>
          <t>Good finish</t>
        </is>
      </c>
      <c r="S1370" s="26" t="inlineStr">
        <is>
          <t>Yes</t>
        </is>
      </c>
      <c r="T1370" s="27" t="n"/>
      <c r="U1370" s="28" t="inlineStr">
        <is>
          <t>No</t>
        </is>
      </c>
      <c r="V1370" s="29">
        <f>IF(N1370="","",IF(Q1370="Yes","❌ Disc",IF(P1370="No","⚠ Missing",IF(S1370="Yes","✓ OK","⚠ Check"))))</f>
        <v/>
      </c>
      <c r="W1370" s="65" t="n">
        <v>46248</v>
      </c>
      <c r="X1370" s="30" t="inlineStr">
        <is>
          <t>Sunil CR</t>
        </is>
      </c>
      <c r="Y1370" s="30" t="inlineStr">
        <is>
          <t>Yes</t>
        </is>
      </c>
      <c r="Z1370" s="30" t="n"/>
      <c r="AA1370" s="30" t="inlineStr">
        <is>
          <t>Good finish</t>
        </is>
      </c>
      <c r="AB1370" s="30" t="inlineStr">
        <is>
          <t>Yes</t>
        </is>
      </c>
      <c r="AC1370" s="27" t="n"/>
      <c r="AD1370" s="31" t="inlineStr">
        <is>
          <t>No</t>
        </is>
      </c>
      <c r="AE1370" s="32">
        <f>IF(W1370="","",IF(Z1370="Yes","❌ Disc",IF(Y1370="No","⚠ Missing",IF(AB1370="Yes","✓ OK","⚠ Check"))))</f>
        <v/>
      </c>
      <c r="AF1370" s="33" t="n"/>
      <c r="AG1370" s="33" t="n"/>
      <c r="AH1370" s="33" t="n"/>
      <c r="AI1370" s="33" t="n"/>
      <c r="AJ1370" s="33" t="n"/>
      <c r="AK1370" s="33" t="n"/>
      <c r="AL1370" s="27" t="n"/>
      <c r="AM1370" s="34" t="n"/>
      <c r="AN1370" s="35">
        <f>IF(AF1370="","",IF(AI1370="Yes","❌ Disc",IF(AH1370="No","⚠ Missing",IF(AK1370="Yes","✓ OK","⚠ Check"))))</f>
        <v/>
      </c>
      <c r="AO1370" s="36" t="n"/>
      <c r="AP1370" s="36" t="n"/>
      <c r="AQ1370" s="36" t="n"/>
      <c r="AR1370" s="36" t="n"/>
      <c r="AS1370" s="36" t="n"/>
      <c r="AT1370" s="36" t="n"/>
      <c r="AU1370" s="27" t="n"/>
      <c r="AV1370" s="37" t="n"/>
      <c r="AW1370" s="38">
        <f>IF(AO1370="","",IF(AR1370="Yes","❌ Disc",IF(AQ1370="No","⚠ Missing",IF(AT1370="Yes","✓ OK","⚠ Check"))))</f>
        <v/>
      </c>
    </row>
    <row r="1371" ht="18" customHeight="1" s="46">
      <c r="A1371" s="23" t="n">
        <v>1367</v>
      </c>
      <c r="B1371" s="24" t="inlineStr">
        <is>
          <t>BD-WLP-2023-0017</t>
        </is>
      </c>
      <c r="C1371" s="25" t="inlineStr">
        <is>
          <t>Melange - Yellow Handblock - 015G Wallpaper</t>
        </is>
      </c>
      <c r="D1371" s="23" t="inlineStr">
        <is>
          <t>Marshalls</t>
        </is>
      </c>
      <c r="E1371" s="43" t="n">
        <v>46125</v>
      </c>
      <c r="F1371" s="26" t="inlineStr">
        <is>
          <t>Sunil CR</t>
        </is>
      </c>
      <c r="G1371" s="26" t="inlineStr">
        <is>
          <t>Yes</t>
        </is>
      </c>
      <c r="H1371" s="26" t="inlineStr">
        <is>
          <t>No</t>
        </is>
      </c>
      <c r="I1371" s="26" t="inlineStr">
        <is>
          <t>Good finish</t>
        </is>
      </c>
      <c r="J1371" s="26" t="inlineStr">
        <is>
          <t>Yes</t>
        </is>
      </c>
      <c r="K1371" s="27" t="n"/>
      <c r="L1371" s="28" t="inlineStr">
        <is>
          <t>No</t>
        </is>
      </c>
      <c r="M1371" s="29">
        <f>IF(E1371="","",IF(H1371="Yes","❌ Disc",IF(G1371="No","⚠ Missing",IF(J1371="Yes","✓ OK","⚠ Check"))))</f>
        <v/>
      </c>
      <c r="N1371" s="43" t="n">
        <v>46193</v>
      </c>
      <c r="O1371" s="26" t="inlineStr">
        <is>
          <t>Sunil CR</t>
        </is>
      </c>
      <c r="P1371" s="26" t="inlineStr">
        <is>
          <t>Yes</t>
        </is>
      </c>
      <c r="Q1371" s="26" t="inlineStr">
        <is>
          <t>No</t>
        </is>
      </c>
      <c r="R1371" s="26" t="inlineStr">
        <is>
          <t>Good finish</t>
        </is>
      </c>
      <c r="S1371" s="26" t="inlineStr">
        <is>
          <t>Yes</t>
        </is>
      </c>
      <c r="T1371" s="27" t="n"/>
      <c r="U1371" s="28" t="inlineStr">
        <is>
          <t>No</t>
        </is>
      </c>
      <c r="V1371" s="29">
        <f>IF(N1371="","",IF(Q1371="Yes","❌ Disc",IF(P1371="No","⚠ Missing",IF(S1371="Yes","✓ OK","⚠ Check"))))</f>
        <v/>
      </c>
      <c r="W1371" s="65" t="n">
        <v>46248</v>
      </c>
      <c r="X1371" s="30" t="inlineStr">
        <is>
          <t>Sunil CR</t>
        </is>
      </c>
      <c r="Y1371" s="30" t="inlineStr">
        <is>
          <t>Yes</t>
        </is>
      </c>
      <c r="Z1371" s="30" t="n"/>
      <c r="AA1371" s="30" t="inlineStr">
        <is>
          <t>Good finish</t>
        </is>
      </c>
      <c r="AB1371" s="30" t="inlineStr">
        <is>
          <t>Yes</t>
        </is>
      </c>
      <c r="AC1371" s="27" t="n"/>
      <c r="AD1371" s="31" t="inlineStr">
        <is>
          <t>No</t>
        </is>
      </c>
      <c r="AE1371" s="32">
        <f>IF(W1371="","",IF(Z1371="Yes","❌ Disc",IF(Y1371="No","⚠ Missing",IF(AB1371="Yes","✓ OK","⚠ Check"))))</f>
        <v/>
      </c>
      <c r="AF1371" s="33" t="n"/>
      <c r="AG1371" s="33" t="n"/>
      <c r="AH1371" s="33" t="n"/>
      <c r="AI1371" s="33" t="n"/>
      <c r="AJ1371" s="33" t="n"/>
      <c r="AK1371" s="33" t="n"/>
      <c r="AL1371" s="27" t="n"/>
      <c r="AM1371" s="34" t="n"/>
      <c r="AN1371" s="35">
        <f>IF(AF1371="","",IF(AI1371="Yes","❌ Disc",IF(AH1371="No","⚠ Missing",IF(AK1371="Yes","✓ OK","⚠ Check"))))</f>
        <v/>
      </c>
      <c r="AO1371" s="36" t="n"/>
      <c r="AP1371" s="36" t="n"/>
      <c r="AQ1371" s="36" t="n"/>
      <c r="AR1371" s="36" t="n"/>
      <c r="AS1371" s="36" t="n"/>
      <c r="AT1371" s="36" t="n"/>
      <c r="AU1371" s="27" t="n"/>
      <c r="AV1371" s="37" t="n"/>
      <c r="AW1371" s="38">
        <f>IF(AO1371="","",IF(AR1371="Yes","❌ Disc",IF(AQ1371="No","⚠ Missing",IF(AT1371="Yes","✓ OK","⚠ Check"))))</f>
        <v/>
      </c>
    </row>
    <row r="1372" ht="18" customHeight="1" s="46">
      <c r="A1372" s="39" t="n">
        <v>1368</v>
      </c>
      <c r="B1372" s="40" t="inlineStr">
        <is>
          <t>BD-VRM-2024-0565</t>
        </is>
      </c>
      <c r="C1372" s="41" t="inlineStr">
        <is>
          <t>MELANGE II - Aegean Teal Washed Out Flower Linen Customized Wallpaper(129) - 1946632363</t>
        </is>
      </c>
      <c r="D1372" s="39" t="inlineStr">
        <is>
          <t>Marshalls</t>
        </is>
      </c>
      <c r="E1372" s="43" t="n">
        <v>46125</v>
      </c>
      <c r="F1372" s="26" t="inlineStr">
        <is>
          <t>Sunil CR</t>
        </is>
      </c>
      <c r="G1372" s="26" t="inlineStr">
        <is>
          <t>Yes</t>
        </is>
      </c>
      <c r="H1372" s="26" t="inlineStr">
        <is>
          <t>No</t>
        </is>
      </c>
      <c r="I1372" s="26" t="inlineStr">
        <is>
          <t>Good finish</t>
        </is>
      </c>
      <c r="J1372" s="26" t="inlineStr">
        <is>
          <t>Yes</t>
        </is>
      </c>
      <c r="K1372" s="27" t="n"/>
      <c r="L1372" s="28" t="inlineStr">
        <is>
          <t>No</t>
        </is>
      </c>
      <c r="M1372" s="29">
        <f>IF(E1372="","",IF(H1372="Yes","❌ Disc",IF(G1372="No","⚠ Missing",IF(J1372="Yes","✓ OK","⚠ Check"))))</f>
        <v/>
      </c>
      <c r="N1372" s="43" t="n">
        <v>46193</v>
      </c>
      <c r="O1372" s="26" t="inlineStr">
        <is>
          <t>Sunil CR</t>
        </is>
      </c>
      <c r="P1372" s="26" t="inlineStr">
        <is>
          <t>Yes</t>
        </is>
      </c>
      <c r="Q1372" s="26" t="inlineStr">
        <is>
          <t>No</t>
        </is>
      </c>
      <c r="R1372" s="26" t="inlineStr">
        <is>
          <t>Good finish</t>
        </is>
      </c>
      <c r="S1372" s="26" t="inlineStr">
        <is>
          <t>Yes</t>
        </is>
      </c>
      <c r="T1372" s="27" t="n"/>
      <c r="U1372" s="28" t="inlineStr">
        <is>
          <t>No</t>
        </is>
      </c>
      <c r="V1372" s="29">
        <f>IF(N1372="","",IF(Q1372="Yes","❌ Disc",IF(P1372="No","⚠ Missing",IF(S1372="Yes","✓ OK","⚠ Check"))))</f>
        <v/>
      </c>
      <c r="W1372" s="65" t="n">
        <v>46248</v>
      </c>
      <c r="X1372" s="30" t="inlineStr">
        <is>
          <t>Sunil CR</t>
        </is>
      </c>
      <c r="Y1372" s="30" t="inlineStr">
        <is>
          <t>Yes</t>
        </is>
      </c>
      <c r="Z1372" s="30" t="n"/>
      <c r="AA1372" s="30" t="inlineStr">
        <is>
          <t>Good finish</t>
        </is>
      </c>
      <c r="AB1372" s="30" t="inlineStr">
        <is>
          <t>Yes</t>
        </is>
      </c>
      <c r="AC1372" s="27" t="n"/>
      <c r="AD1372" s="31" t="inlineStr">
        <is>
          <t>No</t>
        </is>
      </c>
      <c r="AE1372" s="32">
        <f>IF(W1372="","",IF(Z1372="Yes","❌ Disc",IF(Y1372="No","⚠ Missing",IF(AB1372="Yes","✓ OK","⚠ Check"))))</f>
        <v/>
      </c>
      <c r="AF1372" s="33" t="n"/>
      <c r="AG1372" s="33" t="n"/>
      <c r="AH1372" s="33" t="n"/>
      <c r="AI1372" s="33" t="n"/>
      <c r="AJ1372" s="33" t="n"/>
      <c r="AK1372" s="33" t="n"/>
      <c r="AL1372" s="27" t="n"/>
      <c r="AM1372" s="34" t="n"/>
      <c r="AN1372" s="35">
        <f>IF(AF1372="","",IF(AI1372="Yes","❌ Disc",IF(AH1372="No","⚠ Missing",IF(AK1372="Yes","✓ OK","⚠ Check"))))</f>
        <v/>
      </c>
      <c r="AO1372" s="36" t="n"/>
      <c r="AP1372" s="36" t="n"/>
      <c r="AQ1372" s="36" t="n"/>
      <c r="AR1372" s="36" t="n"/>
      <c r="AS1372" s="36" t="n"/>
      <c r="AT1372" s="36" t="n"/>
      <c r="AU1372" s="27" t="n"/>
      <c r="AV1372" s="37" t="n"/>
      <c r="AW1372" s="38">
        <f>IF(AO1372="","",IF(AR1372="Yes","❌ Disc",IF(AQ1372="No","⚠ Missing",IF(AT1372="Yes","✓ OK","⚠ Check"))))</f>
        <v/>
      </c>
    </row>
    <row r="1373" ht="18" customHeight="1" s="46">
      <c r="A1373" s="23" t="n">
        <v>1369</v>
      </c>
      <c r="B1373" s="24" t="inlineStr">
        <is>
          <t>BD-VRM-2024-0549</t>
        </is>
      </c>
      <c r="C1373" s="25" t="inlineStr">
        <is>
          <t>MELANGE II - African Animal Jungle Cute Cartoon  Customized Wallpaper(113) - 1377108143</t>
        </is>
      </c>
      <c r="D1373" s="23" t="inlineStr">
        <is>
          <t>Marshalls</t>
        </is>
      </c>
      <c r="E1373" s="43" t="n">
        <v>46125</v>
      </c>
      <c r="F1373" s="26" t="inlineStr">
        <is>
          <t>Sunil CR</t>
        </is>
      </c>
      <c r="G1373" s="26" t="inlineStr">
        <is>
          <t>Yes</t>
        </is>
      </c>
      <c r="H1373" s="26" t="inlineStr">
        <is>
          <t>No</t>
        </is>
      </c>
      <c r="I1373" s="26" t="inlineStr">
        <is>
          <t>Good finish</t>
        </is>
      </c>
      <c r="J1373" s="26" t="inlineStr">
        <is>
          <t>Yes</t>
        </is>
      </c>
      <c r="K1373" s="27" t="n"/>
      <c r="L1373" s="28" t="inlineStr">
        <is>
          <t>No</t>
        </is>
      </c>
      <c r="M1373" s="29">
        <f>IF(E1373="","",IF(H1373="Yes","❌ Disc",IF(G1373="No","⚠ Missing",IF(J1373="Yes","✓ OK","⚠ Check"))))</f>
        <v/>
      </c>
      <c r="N1373" s="43" t="n">
        <v>46193</v>
      </c>
      <c r="O1373" s="26" t="inlineStr">
        <is>
          <t>Sunil CR</t>
        </is>
      </c>
      <c r="P1373" s="26" t="inlineStr">
        <is>
          <t>Yes</t>
        </is>
      </c>
      <c r="Q1373" s="26" t="inlineStr">
        <is>
          <t>No</t>
        </is>
      </c>
      <c r="R1373" s="26" t="inlineStr">
        <is>
          <t>Good finish</t>
        </is>
      </c>
      <c r="S1373" s="26" t="inlineStr">
        <is>
          <t>Yes</t>
        </is>
      </c>
      <c r="T1373" s="27" t="n"/>
      <c r="U1373" s="28" t="inlineStr">
        <is>
          <t>No</t>
        </is>
      </c>
      <c r="V1373" s="29">
        <f>IF(N1373="","",IF(Q1373="Yes","❌ Disc",IF(P1373="No","⚠ Missing",IF(S1373="Yes","✓ OK","⚠ Check"))))</f>
        <v/>
      </c>
      <c r="W1373" s="65" t="n">
        <v>46248</v>
      </c>
      <c r="X1373" s="30" t="inlineStr">
        <is>
          <t>Sunil CR</t>
        </is>
      </c>
      <c r="Y1373" s="30" t="inlineStr">
        <is>
          <t>Yes</t>
        </is>
      </c>
      <c r="Z1373" s="30" t="n"/>
      <c r="AA1373" s="30" t="inlineStr">
        <is>
          <t>Good finish</t>
        </is>
      </c>
      <c r="AB1373" s="30" t="inlineStr">
        <is>
          <t>Yes</t>
        </is>
      </c>
      <c r="AC1373" s="27" t="n"/>
      <c r="AD1373" s="31" t="inlineStr">
        <is>
          <t>No</t>
        </is>
      </c>
      <c r="AE1373" s="32">
        <f>IF(W1373="","",IF(Z1373="Yes","❌ Disc",IF(Y1373="No","⚠ Missing",IF(AB1373="Yes","✓ OK","⚠ Check"))))</f>
        <v/>
      </c>
      <c r="AF1373" s="33" t="n"/>
      <c r="AG1373" s="33" t="n"/>
      <c r="AH1373" s="33" t="n"/>
      <c r="AI1373" s="33" t="n"/>
      <c r="AJ1373" s="33" t="n"/>
      <c r="AK1373" s="33" t="n"/>
      <c r="AL1373" s="27" t="n"/>
      <c r="AM1373" s="34" t="n"/>
      <c r="AN1373" s="35">
        <f>IF(AF1373="","",IF(AI1373="Yes","❌ Disc",IF(AH1373="No","⚠ Missing",IF(AK1373="Yes","✓ OK","⚠ Check"))))</f>
        <v/>
      </c>
      <c r="AO1373" s="36" t="n"/>
      <c r="AP1373" s="36" t="n"/>
      <c r="AQ1373" s="36" t="n"/>
      <c r="AR1373" s="36" t="n"/>
      <c r="AS1373" s="36" t="n"/>
      <c r="AT1373" s="36" t="n"/>
      <c r="AU1373" s="27" t="n"/>
      <c r="AV1373" s="37" t="n"/>
      <c r="AW1373" s="38">
        <f>IF(AO1373="","",IF(AR1373="Yes","❌ Disc",IF(AQ1373="No","⚠ Missing",IF(AT1373="Yes","✓ OK","⚠ Check"))))</f>
        <v/>
      </c>
    </row>
    <row r="1374" ht="18" customHeight="1" s="46">
      <c r="A1374" s="39" t="n">
        <v>1370</v>
      </c>
      <c r="B1374" s="40" t="inlineStr">
        <is>
          <t>BD-VRM-2024-0555</t>
        </is>
      </c>
      <c r="C1374" s="41" t="inlineStr">
        <is>
          <t>MELANGE II - Alcohol Ink Colors Translucent Customized Wallpaper(119) - 1630869838</t>
        </is>
      </c>
      <c r="D1374" s="39" t="inlineStr">
        <is>
          <t>Marshalls</t>
        </is>
      </c>
      <c r="E1374" s="43" t="n">
        <v>46125</v>
      </c>
      <c r="F1374" s="26" t="inlineStr">
        <is>
          <t>Sunil CR</t>
        </is>
      </c>
      <c r="G1374" s="26" t="inlineStr">
        <is>
          <t>Yes</t>
        </is>
      </c>
      <c r="H1374" s="26" t="inlineStr">
        <is>
          <t>No</t>
        </is>
      </c>
      <c r="I1374" s="26" t="inlineStr">
        <is>
          <t>Good finish</t>
        </is>
      </c>
      <c r="J1374" s="26" t="inlineStr">
        <is>
          <t>Yes</t>
        </is>
      </c>
      <c r="K1374" s="27" t="n"/>
      <c r="L1374" s="28" t="inlineStr">
        <is>
          <t>No</t>
        </is>
      </c>
      <c r="M1374" s="29">
        <f>IF(E1374="","",IF(H1374="Yes","❌ Disc",IF(G1374="No","⚠ Missing",IF(J1374="Yes","✓ OK","⚠ Check"))))</f>
        <v/>
      </c>
      <c r="N1374" s="43" t="n">
        <v>46193</v>
      </c>
      <c r="O1374" s="26" t="inlineStr">
        <is>
          <t>Sunil CR</t>
        </is>
      </c>
      <c r="P1374" s="26" t="inlineStr">
        <is>
          <t>Yes</t>
        </is>
      </c>
      <c r="Q1374" s="26" t="inlineStr">
        <is>
          <t>No</t>
        </is>
      </c>
      <c r="R1374" s="26" t="inlineStr">
        <is>
          <t>Good finish</t>
        </is>
      </c>
      <c r="S1374" s="26" t="inlineStr">
        <is>
          <t>Yes</t>
        </is>
      </c>
      <c r="T1374" s="27" t="n"/>
      <c r="U1374" s="28" t="inlineStr">
        <is>
          <t>No</t>
        </is>
      </c>
      <c r="V1374" s="29">
        <f>IF(N1374="","",IF(Q1374="Yes","❌ Disc",IF(P1374="No","⚠ Missing",IF(S1374="Yes","✓ OK","⚠ Check"))))</f>
        <v/>
      </c>
      <c r="W1374" s="65" t="n">
        <v>46248</v>
      </c>
      <c r="X1374" s="30" t="inlineStr">
        <is>
          <t>Sunil CR</t>
        </is>
      </c>
      <c r="Y1374" s="30" t="inlineStr">
        <is>
          <t>Yes</t>
        </is>
      </c>
      <c r="Z1374" s="30" t="n"/>
      <c r="AA1374" s="30" t="inlineStr">
        <is>
          <t>Good finish</t>
        </is>
      </c>
      <c r="AB1374" s="30" t="inlineStr">
        <is>
          <t>Yes</t>
        </is>
      </c>
      <c r="AC1374" s="27" t="n"/>
      <c r="AD1374" s="31" t="inlineStr">
        <is>
          <t>No</t>
        </is>
      </c>
      <c r="AE1374" s="32">
        <f>IF(W1374="","",IF(Z1374="Yes","❌ Disc",IF(Y1374="No","⚠ Missing",IF(AB1374="Yes","✓ OK","⚠ Check"))))</f>
        <v/>
      </c>
      <c r="AF1374" s="33" t="n"/>
      <c r="AG1374" s="33" t="n"/>
      <c r="AH1374" s="33" t="n"/>
      <c r="AI1374" s="33" t="n"/>
      <c r="AJ1374" s="33" t="n"/>
      <c r="AK1374" s="33" t="n"/>
      <c r="AL1374" s="27" t="n"/>
      <c r="AM1374" s="34" t="n"/>
      <c r="AN1374" s="35">
        <f>IF(AF1374="","",IF(AI1374="Yes","❌ Disc",IF(AH1374="No","⚠ Missing",IF(AK1374="Yes","✓ OK","⚠ Check"))))</f>
        <v/>
      </c>
      <c r="AO1374" s="36" t="n"/>
      <c r="AP1374" s="36" t="n"/>
      <c r="AQ1374" s="36" t="n"/>
      <c r="AR1374" s="36" t="n"/>
      <c r="AS1374" s="36" t="n"/>
      <c r="AT1374" s="36" t="n"/>
      <c r="AU1374" s="27" t="n"/>
      <c r="AV1374" s="37" t="n"/>
      <c r="AW1374" s="38">
        <f>IF(AO1374="","",IF(AR1374="Yes","❌ Disc",IF(AQ1374="No","⚠ Missing",IF(AT1374="Yes","✓ OK","⚠ Check"))))</f>
        <v/>
      </c>
    </row>
    <row r="1375" ht="18" customHeight="1" s="46">
      <c r="A1375" s="23" t="n">
        <v>1371</v>
      </c>
      <c r="B1375" s="24" t="inlineStr">
        <is>
          <t>BD-VRM-2024-0563</t>
        </is>
      </c>
      <c r="C1375" s="25" t="inlineStr">
        <is>
          <t>MELANGE II - Beutiful Textile Ethnic Mughal Art Border Customized Wallpaper(127) - 2307949095</t>
        </is>
      </c>
      <c r="D1375" s="23" t="inlineStr">
        <is>
          <t>Marshalls</t>
        </is>
      </c>
      <c r="E1375" s="43" t="n">
        <v>46125</v>
      </c>
      <c r="F1375" s="26" t="inlineStr">
        <is>
          <t>Sunil CR</t>
        </is>
      </c>
      <c r="G1375" s="26" t="inlineStr">
        <is>
          <t>Yes</t>
        </is>
      </c>
      <c r="H1375" s="26" t="inlineStr">
        <is>
          <t>No</t>
        </is>
      </c>
      <c r="I1375" s="26" t="inlineStr">
        <is>
          <t>Good finish</t>
        </is>
      </c>
      <c r="J1375" s="26" t="inlineStr">
        <is>
          <t>Yes</t>
        </is>
      </c>
      <c r="K1375" s="27" t="n"/>
      <c r="L1375" s="28" t="inlineStr">
        <is>
          <t>No</t>
        </is>
      </c>
      <c r="M1375" s="29">
        <f>IF(E1375="","",IF(H1375="Yes","❌ Disc",IF(G1375="No","⚠ Missing",IF(J1375="Yes","✓ OK","⚠ Check"))))</f>
        <v/>
      </c>
      <c r="N1375" s="43" t="n">
        <v>46193</v>
      </c>
      <c r="O1375" s="26" t="inlineStr">
        <is>
          <t>Sunil CR</t>
        </is>
      </c>
      <c r="P1375" s="26" t="inlineStr">
        <is>
          <t>Yes</t>
        </is>
      </c>
      <c r="Q1375" s="26" t="inlineStr">
        <is>
          <t>No</t>
        </is>
      </c>
      <c r="R1375" s="26" t="inlineStr">
        <is>
          <t>Good finish</t>
        </is>
      </c>
      <c r="S1375" s="26" t="inlineStr">
        <is>
          <t>Yes</t>
        </is>
      </c>
      <c r="T1375" s="27" t="n"/>
      <c r="U1375" s="28" t="inlineStr">
        <is>
          <t>No</t>
        </is>
      </c>
      <c r="V1375" s="29">
        <f>IF(N1375="","",IF(Q1375="Yes","❌ Disc",IF(P1375="No","⚠ Missing",IF(S1375="Yes","✓ OK","⚠ Check"))))</f>
        <v/>
      </c>
      <c r="W1375" s="65" t="n">
        <v>46248</v>
      </c>
      <c r="X1375" s="30" t="inlineStr">
        <is>
          <t>Sunil CR</t>
        </is>
      </c>
      <c r="Y1375" s="30" t="inlineStr">
        <is>
          <t>Yes</t>
        </is>
      </c>
      <c r="Z1375" s="30" t="n"/>
      <c r="AA1375" s="30" t="inlineStr">
        <is>
          <t>Good finish</t>
        </is>
      </c>
      <c r="AB1375" s="30" t="inlineStr">
        <is>
          <t>Yes</t>
        </is>
      </c>
      <c r="AC1375" s="27" t="n"/>
      <c r="AD1375" s="31" t="inlineStr">
        <is>
          <t>No</t>
        </is>
      </c>
      <c r="AE1375" s="32">
        <f>IF(W1375="","",IF(Z1375="Yes","❌ Disc",IF(Y1375="No","⚠ Missing",IF(AB1375="Yes","✓ OK","⚠ Check"))))</f>
        <v/>
      </c>
      <c r="AF1375" s="33" t="n"/>
      <c r="AG1375" s="33" t="n"/>
      <c r="AH1375" s="33" t="n"/>
      <c r="AI1375" s="33" t="n"/>
      <c r="AJ1375" s="33" t="n"/>
      <c r="AK1375" s="33" t="n"/>
      <c r="AL1375" s="27" t="n"/>
      <c r="AM1375" s="34" t="n"/>
      <c r="AN1375" s="35">
        <f>IF(AF1375="","",IF(AI1375="Yes","❌ Disc",IF(AH1375="No","⚠ Missing",IF(AK1375="Yes","✓ OK","⚠ Check"))))</f>
        <v/>
      </c>
      <c r="AO1375" s="36" t="n"/>
      <c r="AP1375" s="36" t="n"/>
      <c r="AQ1375" s="36" t="n"/>
      <c r="AR1375" s="36" t="n"/>
      <c r="AS1375" s="36" t="n"/>
      <c r="AT1375" s="36" t="n"/>
      <c r="AU1375" s="27" t="n"/>
      <c r="AV1375" s="37" t="n"/>
      <c r="AW1375" s="38">
        <f>IF(AO1375="","",IF(AR1375="Yes","❌ Disc",IF(AQ1375="No","⚠ Missing",IF(AT1375="Yes","✓ OK","⚠ Check"))))</f>
        <v/>
      </c>
    </row>
    <row r="1376" ht="18" customHeight="1" s="46">
      <c r="A1376" s="39" t="n">
        <v>1372</v>
      </c>
      <c r="B1376" s="40" t="inlineStr">
        <is>
          <t>BD-VRM-2024-0558</t>
        </is>
      </c>
      <c r="C1376" s="41" t="inlineStr">
        <is>
          <t>MELANGE II - Carpet Background Gray Vintage Customized Wallpaper(122) - 2340646719</t>
        </is>
      </c>
      <c r="D1376" s="39" t="inlineStr">
        <is>
          <t>Marshalls</t>
        </is>
      </c>
      <c r="E1376" s="43" t="n">
        <v>46125</v>
      </c>
      <c r="F1376" s="26" t="inlineStr">
        <is>
          <t>Sunil CR</t>
        </is>
      </c>
      <c r="G1376" s="26" t="inlineStr">
        <is>
          <t>Yes</t>
        </is>
      </c>
      <c r="H1376" s="26" t="inlineStr">
        <is>
          <t>No</t>
        </is>
      </c>
      <c r="I1376" s="26" t="inlineStr">
        <is>
          <t>Good finish</t>
        </is>
      </c>
      <c r="J1376" s="26" t="inlineStr">
        <is>
          <t>Yes</t>
        </is>
      </c>
      <c r="K1376" s="27" t="n"/>
      <c r="L1376" s="28" t="inlineStr">
        <is>
          <t>No</t>
        </is>
      </c>
      <c r="M1376" s="29">
        <f>IF(E1376="","",IF(H1376="Yes","❌ Disc",IF(G1376="No","⚠ Missing",IF(J1376="Yes","✓ OK","⚠ Check"))))</f>
        <v/>
      </c>
      <c r="N1376" s="43" t="n">
        <v>46193</v>
      </c>
      <c r="O1376" s="26" t="inlineStr">
        <is>
          <t>Sunil CR</t>
        </is>
      </c>
      <c r="P1376" s="26" t="inlineStr">
        <is>
          <t>Yes</t>
        </is>
      </c>
      <c r="Q1376" s="26" t="inlineStr">
        <is>
          <t>No</t>
        </is>
      </c>
      <c r="R1376" s="26" t="inlineStr">
        <is>
          <t>Good finish</t>
        </is>
      </c>
      <c r="S1376" s="26" t="inlineStr">
        <is>
          <t>Yes</t>
        </is>
      </c>
      <c r="T1376" s="27" t="n"/>
      <c r="U1376" s="28" t="inlineStr">
        <is>
          <t>No</t>
        </is>
      </c>
      <c r="V1376" s="29">
        <f>IF(N1376="","",IF(Q1376="Yes","❌ Disc",IF(P1376="No","⚠ Missing",IF(S1376="Yes","✓ OK","⚠ Check"))))</f>
        <v/>
      </c>
      <c r="W1376" s="65" t="n">
        <v>46248</v>
      </c>
      <c r="X1376" s="30" t="inlineStr">
        <is>
          <t>Sunil CR</t>
        </is>
      </c>
      <c r="Y1376" s="30" t="inlineStr">
        <is>
          <t>Yes</t>
        </is>
      </c>
      <c r="Z1376" s="30" t="n"/>
      <c r="AA1376" s="30" t="inlineStr">
        <is>
          <t>Good finish</t>
        </is>
      </c>
      <c r="AB1376" s="30" t="inlineStr">
        <is>
          <t>Yes</t>
        </is>
      </c>
      <c r="AC1376" s="27" t="n"/>
      <c r="AD1376" s="31" t="inlineStr">
        <is>
          <t>No</t>
        </is>
      </c>
      <c r="AE1376" s="32">
        <f>IF(W1376="","",IF(Z1376="Yes","❌ Disc",IF(Y1376="No","⚠ Missing",IF(AB1376="Yes","✓ OK","⚠ Check"))))</f>
        <v/>
      </c>
      <c r="AF1376" s="33" t="n"/>
      <c r="AG1376" s="33" t="n"/>
      <c r="AH1376" s="33" t="n"/>
      <c r="AI1376" s="33" t="n"/>
      <c r="AJ1376" s="33" t="n"/>
      <c r="AK1376" s="33" t="n"/>
      <c r="AL1376" s="27" t="n"/>
      <c r="AM1376" s="34" t="n"/>
      <c r="AN1376" s="35">
        <f>IF(AF1376="","",IF(AI1376="Yes","❌ Disc",IF(AH1376="No","⚠ Missing",IF(AK1376="Yes","✓ OK","⚠ Check"))))</f>
        <v/>
      </c>
      <c r="AO1376" s="36" t="n"/>
      <c r="AP1376" s="36" t="n"/>
      <c r="AQ1376" s="36" t="n"/>
      <c r="AR1376" s="36" t="n"/>
      <c r="AS1376" s="36" t="n"/>
      <c r="AT1376" s="36" t="n"/>
      <c r="AU1376" s="27" t="n"/>
      <c r="AV1376" s="37" t="n"/>
      <c r="AW1376" s="38">
        <f>IF(AO1376="","",IF(AR1376="Yes","❌ Disc",IF(AQ1376="No","⚠ Missing",IF(AT1376="Yes","✓ OK","⚠ Check"))))</f>
        <v/>
      </c>
    </row>
    <row r="1377" ht="18" customHeight="1" s="46">
      <c r="A1377" s="23" t="n">
        <v>1373</v>
      </c>
      <c r="B1377" s="24" t="inlineStr">
        <is>
          <t>BD-VRM-2024-0541</t>
        </is>
      </c>
      <c r="C1377" s="25" t="inlineStr">
        <is>
          <t>MELANGE II - Chinoseries Peacock Bird Palace Garden Royal Customized Wallpaper(105) - 2244598387</t>
        </is>
      </c>
      <c r="D1377" s="23" t="inlineStr">
        <is>
          <t>Marshalls</t>
        </is>
      </c>
      <c r="E1377" s="43" t="n">
        <v>46125</v>
      </c>
      <c r="F1377" s="26" t="inlineStr">
        <is>
          <t>Sunil CR</t>
        </is>
      </c>
      <c r="G1377" s="26" t="inlineStr">
        <is>
          <t>Yes</t>
        </is>
      </c>
      <c r="H1377" s="26" t="inlineStr">
        <is>
          <t>No</t>
        </is>
      </c>
      <c r="I1377" s="26" t="inlineStr">
        <is>
          <t>Good finish</t>
        </is>
      </c>
      <c r="J1377" s="26" t="inlineStr">
        <is>
          <t>Yes</t>
        </is>
      </c>
      <c r="K1377" s="27" t="n"/>
      <c r="L1377" s="28" t="inlineStr">
        <is>
          <t>No</t>
        </is>
      </c>
      <c r="M1377" s="29">
        <f>IF(E1377="","",IF(H1377="Yes","❌ Disc",IF(G1377="No","⚠ Missing",IF(J1377="Yes","✓ OK","⚠ Check"))))</f>
        <v/>
      </c>
      <c r="N1377" s="43" t="n">
        <v>46193</v>
      </c>
      <c r="O1377" s="26" t="inlineStr">
        <is>
          <t>Sunil CR</t>
        </is>
      </c>
      <c r="P1377" s="26" t="inlineStr">
        <is>
          <t>Yes</t>
        </is>
      </c>
      <c r="Q1377" s="26" t="inlineStr">
        <is>
          <t>No</t>
        </is>
      </c>
      <c r="R1377" s="26" t="inlineStr">
        <is>
          <t>Good finish</t>
        </is>
      </c>
      <c r="S1377" s="26" t="inlineStr">
        <is>
          <t>Yes</t>
        </is>
      </c>
      <c r="T1377" s="27" t="n"/>
      <c r="U1377" s="28" t="inlineStr">
        <is>
          <t>No</t>
        </is>
      </c>
      <c r="V1377" s="29">
        <f>IF(N1377="","",IF(Q1377="Yes","❌ Disc",IF(P1377="No","⚠ Missing",IF(S1377="Yes","✓ OK","⚠ Check"))))</f>
        <v/>
      </c>
      <c r="W1377" s="65" t="n">
        <v>46248</v>
      </c>
      <c r="X1377" s="30" t="inlineStr">
        <is>
          <t>Sunil CR</t>
        </is>
      </c>
      <c r="Y1377" s="30" t="inlineStr">
        <is>
          <t>Yes</t>
        </is>
      </c>
      <c r="Z1377" s="30" t="n"/>
      <c r="AA1377" s="30" t="inlineStr">
        <is>
          <t>Good finish</t>
        </is>
      </c>
      <c r="AB1377" s="30" t="inlineStr">
        <is>
          <t>Yes</t>
        </is>
      </c>
      <c r="AC1377" s="27" t="n"/>
      <c r="AD1377" s="31" t="inlineStr">
        <is>
          <t>No</t>
        </is>
      </c>
      <c r="AE1377" s="32">
        <f>IF(W1377="","",IF(Z1377="Yes","❌ Disc",IF(Y1377="No","⚠ Missing",IF(AB1377="Yes","✓ OK","⚠ Check"))))</f>
        <v/>
      </c>
      <c r="AF1377" s="33" t="n"/>
      <c r="AG1377" s="33" t="n"/>
      <c r="AH1377" s="33" t="n"/>
      <c r="AI1377" s="33" t="n"/>
      <c r="AJ1377" s="33" t="n"/>
      <c r="AK1377" s="33" t="n"/>
      <c r="AL1377" s="27" t="n"/>
      <c r="AM1377" s="34" t="n"/>
      <c r="AN1377" s="35">
        <f>IF(AF1377="","",IF(AI1377="Yes","❌ Disc",IF(AH1377="No","⚠ Missing",IF(AK1377="Yes","✓ OK","⚠ Check"))))</f>
        <v/>
      </c>
      <c r="AO1377" s="36" t="n"/>
      <c r="AP1377" s="36" t="n"/>
      <c r="AQ1377" s="36" t="n"/>
      <c r="AR1377" s="36" t="n"/>
      <c r="AS1377" s="36" t="n"/>
      <c r="AT1377" s="36" t="n"/>
      <c r="AU1377" s="27" t="n"/>
      <c r="AV1377" s="37" t="n"/>
      <c r="AW1377" s="38">
        <f>IF(AO1377="","",IF(AR1377="Yes","❌ Disc",IF(AQ1377="No","⚠ Missing",IF(AT1377="Yes","✓ OK","⚠ Check"))))</f>
        <v/>
      </c>
    </row>
    <row r="1378" ht="18" customHeight="1" s="46">
      <c r="A1378" s="39" t="n">
        <v>1374</v>
      </c>
      <c r="B1378" s="40" t="inlineStr">
        <is>
          <t>BD-VRM-2024-0550</t>
        </is>
      </c>
      <c r="C1378" s="41" t="inlineStr">
        <is>
          <t>MELANGE II - Garden Lemon Fruit Tree Customized Wallpaper(114) - 1543034387</t>
        </is>
      </c>
      <c r="D1378" s="39" t="inlineStr">
        <is>
          <t>Marshalls</t>
        </is>
      </c>
      <c r="E1378" s="43" t="n">
        <v>46125</v>
      </c>
      <c r="F1378" s="26" t="inlineStr">
        <is>
          <t>Sunil CR</t>
        </is>
      </c>
      <c r="G1378" s="26" t="inlineStr">
        <is>
          <t>Yes</t>
        </is>
      </c>
      <c r="H1378" s="26" t="inlineStr">
        <is>
          <t>No</t>
        </is>
      </c>
      <c r="I1378" s="26" t="inlineStr">
        <is>
          <t>Good finish</t>
        </is>
      </c>
      <c r="J1378" s="26" t="inlineStr">
        <is>
          <t>Yes</t>
        </is>
      </c>
      <c r="K1378" s="27" t="n"/>
      <c r="L1378" s="28" t="inlineStr">
        <is>
          <t>No</t>
        </is>
      </c>
      <c r="M1378" s="29">
        <f>IF(E1378="","",IF(H1378="Yes","❌ Disc",IF(G1378="No","⚠ Missing",IF(J1378="Yes","✓ OK","⚠ Check"))))</f>
        <v/>
      </c>
      <c r="N1378" s="43" t="n">
        <v>46193</v>
      </c>
      <c r="O1378" s="26" t="inlineStr">
        <is>
          <t>Sunil CR</t>
        </is>
      </c>
      <c r="P1378" s="26" t="inlineStr">
        <is>
          <t>Yes</t>
        </is>
      </c>
      <c r="Q1378" s="26" t="inlineStr">
        <is>
          <t>No</t>
        </is>
      </c>
      <c r="R1378" s="26" t="inlineStr">
        <is>
          <t>Good finish</t>
        </is>
      </c>
      <c r="S1378" s="26" t="inlineStr">
        <is>
          <t>Yes</t>
        </is>
      </c>
      <c r="T1378" s="27" t="n"/>
      <c r="U1378" s="28" t="inlineStr">
        <is>
          <t>No</t>
        </is>
      </c>
      <c r="V1378" s="29">
        <f>IF(N1378="","",IF(Q1378="Yes","❌ Disc",IF(P1378="No","⚠ Missing",IF(S1378="Yes","✓ OK","⚠ Check"))))</f>
        <v/>
      </c>
      <c r="W1378" s="65" t="n">
        <v>46248</v>
      </c>
      <c r="X1378" s="30" t="inlineStr">
        <is>
          <t>Sunil CR</t>
        </is>
      </c>
      <c r="Y1378" s="30" t="inlineStr">
        <is>
          <t>Yes</t>
        </is>
      </c>
      <c r="Z1378" s="30" t="n"/>
      <c r="AA1378" s="30" t="inlineStr">
        <is>
          <t>Good finish</t>
        </is>
      </c>
      <c r="AB1378" s="30" t="inlineStr">
        <is>
          <t>Yes</t>
        </is>
      </c>
      <c r="AC1378" s="27" t="n"/>
      <c r="AD1378" s="31" t="inlineStr">
        <is>
          <t>No</t>
        </is>
      </c>
      <c r="AE1378" s="32">
        <f>IF(W1378="","",IF(Z1378="Yes","❌ Disc",IF(Y1378="No","⚠ Missing",IF(AB1378="Yes","✓ OK","⚠ Check"))))</f>
        <v/>
      </c>
      <c r="AF1378" s="33" t="n"/>
      <c r="AG1378" s="33" t="n"/>
      <c r="AH1378" s="33" t="n"/>
      <c r="AI1378" s="33" t="n"/>
      <c r="AJ1378" s="33" t="n"/>
      <c r="AK1378" s="33" t="n"/>
      <c r="AL1378" s="27" t="n"/>
      <c r="AM1378" s="34" t="n"/>
      <c r="AN1378" s="35">
        <f>IF(AF1378="","",IF(AI1378="Yes","❌ Disc",IF(AH1378="No","⚠ Missing",IF(AK1378="Yes","✓ OK","⚠ Check"))))</f>
        <v/>
      </c>
      <c r="AO1378" s="36" t="n"/>
      <c r="AP1378" s="36" t="n"/>
      <c r="AQ1378" s="36" t="n"/>
      <c r="AR1378" s="36" t="n"/>
      <c r="AS1378" s="36" t="n"/>
      <c r="AT1378" s="36" t="n"/>
      <c r="AU1378" s="27" t="n"/>
      <c r="AV1378" s="37" t="n"/>
      <c r="AW1378" s="38">
        <f>IF(AO1378="","",IF(AR1378="Yes","❌ Disc",IF(AQ1378="No","⚠ Missing",IF(AT1378="Yes","✓ OK","⚠ Check"))))</f>
        <v/>
      </c>
    </row>
    <row r="1379" ht="18" customHeight="1" s="46">
      <c r="A1379" s="23" t="n">
        <v>1375</v>
      </c>
      <c r="B1379" s="24" t="inlineStr">
        <is>
          <t>BD-VRM-2024-0556</t>
        </is>
      </c>
      <c r="C1379" s="25" t="inlineStr">
        <is>
          <t>MELANGE II - Golden Feathers dark Background  Customized Wallpaper(120) - 2094632932</t>
        </is>
      </c>
      <c r="D1379" s="23" t="inlineStr">
        <is>
          <t>Marshalls</t>
        </is>
      </c>
      <c r="E1379" s="43" t="n">
        <v>46125</v>
      </c>
      <c r="F1379" s="26" t="inlineStr">
        <is>
          <t>Sunil CR</t>
        </is>
      </c>
      <c r="G1379" s="26" t="inlineStr">
        <is>
          <t>Yes</t>
        </is>
      </c>
      <c r="H1379" s="26" t="inlineStr">
        <is>
          <t>No</t>
        </is>
      </c>
      <c r="I1379" s="26" t="inlineStr">
        <is>
          <t>Good finish</t>
        </is>
      </c>
      <c r="J1379" s="26" t="inlineStr">
        <is>
          <t>Yes</t>
        </is>
      </c>
      <c r="K1379" s="27" t="n"/>
      <c r="L1379" s="28" t="inlineStr">
        <is>
          <t>No</t>
        </is>
      </c>
      <c r="M1379" s="29">
        <f>IF(E1379="","",IF(H1379="Yes","❌ Disc",IF(G1379="No","⚠ Missing",IF(J1379="Yes","✓ OK","⚠ Check"))))</f>
        <v/>
      </c>
      <c r="N1379" s="43" t="n">
        <v>46193</v>
      </c>
      <c r="O1379" s="26" t="inlineStr">
        <is>
          <t>Sunil CR</t>
        </is>
      </c>
      <c r="P1379" s="26" t="inlineStr">
        <is>
          <t>Yes</t>
        </is>
      </c>
      <c r="Q1379" s="26" t="inlineStr">
        <is>
          <t>No</t>
        </is>
      </c>
      <c r="R1379" s="26" t="inlineStr">
        <is>
          <t>Good finish</t>
        </is>
      </c>
      <c r="S1379" s="26" t="inlineStr">
        <is>
          <t>Yes</t>
        </is>
      </c>
      <c r="T1379" s="27" t="n"/>
      <c r="U1379" s="28" t="inlineStr">
        <is>
          <t>No</t>
        </is>
      </c>
      <c r="V1379" s="29">
        <f>IF(N1379="","",IF(Q1379="Yes","❌ Disc",IF(P1379="No","⚠ Missing",IF(S1379="Yes","✓ OK","⚠ Check"))))</f>
        <v/>
      </c>
      <c r="W1379" s="65" t="n">
        <v>46248</v>
      </c>
      <c r="X1379" s="30" t="inlineStr">
        <is>
          <t>Sunil CR</t>
        </is>
      </c>
      <c r="Y1379" s="30" t="inlineStr">
        <is>
          <t>Yes</t>
        </is>
      </c>
      <c r="Z1379" s="30" t="n"/>
      <c r="AA1379" s="30" t="inlineStr">
        <is>
          <t>Good finish</t>
        </is>
      </c>
      <c r="AB1379" s="30" t="inlineStr">
        <is>
          <t>Yes</t>
        </is>
      </c>
      <c r="AC1379" s="27" t="n"/>
      <c r="AD1379" s="31" t="inlineStr">
        <is>
          <t>No</t>
        </is>
      </c>
      <c r="AE1379" s="32">
        <f>IF(W1379="","",IF(Z1379="Yes","❌ Disc",IF(Y1379="No","⚠ Missing",IF(AB1379="Yes","✓ OK","⚠ Check"))))</f>
        <v/>
      </c>
      <c r="AF1379" s="33" t="n"/>
      <c r="AG1379" s="33" t="n"/>
      <c r="AH1379" s="33" t="n"/>
      <c r="AI1379" s="33" t="n"/>
      <c r="AJ1379" s="33" t="n"/>
      <c r="AK1379" s="33" t="n"/>
      <c r="AL1379" s="27" t="n"/>
      <c r="AM1379" s="34" t="n"/>
      <c r="AN1379" s="35">
        <f>IF(AF1379="","",IF(AI1379="Yes","❌ Disc",IF(AH1379="No","⚠ Missing",IF(AK1379="Yes","✓ OK","⚠ Check"))))</f>
        <v/>
      </c>
      <c r="AO1379" s="36" t="n"/>
      <c r="AP1379" s="36" t="n"/>
      <c r="AQ1379" s="36" t="n"/>
      <c r="AR1379" s="36" t="n"/>
      <c r="AS1379" s="36" t="n"/>
      <c r="AT1379" s="36" t="n"/>
      <c r="AU1379" s="27" t="n"/>
      <c r="AV1379" s="37" t="n"/>
      <c r="AW1379" s="38">
        <f>IF(AO1379="","",IF(AR1379="Yes","❌ Disc",IF(AQ1379="No","⚠ Missing",IF(AT1379="Yes","✓ OK","⚠ Check"))))</f>
        <v/>
      </c>
    </row>
    <row r="1380" ht="18" customHeight="1" s="46">
      <c r="A1380" s="39" t="n">
        <v>1376</v>
      </c>
      <c r="B1380" s="40" t="inlineStr">
        <is>
          <t>BD-VRM-2024-0578</t>
        </is>
      </c>
      <c r="C1380" s="41" t="inlineStr">
        <is>
          <t>MELANGE II - Grey Concreate Texture Customized Wallpaper(142) - 726090934</t>
        </is>
      </c>
      <c r="D1380" s="39" t="inlineStr">
        <is>
          <t>Marshalls</t>
        </is>
      </c>
      <c r="E1380" s="43" t="n">
        <v>46125</v>
      </c>
      <c r="F1380" s="26" t="inlineStr">
        <is>
          <t>Sunil CR</t>
        </is>
      </c>
      <c r="G1380" s="26" t="inlineStr">
        <is>
          <t>Yes</t>
        </is>
      </c>
      <c r="H1380" s="26" t="inlineStr">
        <is>
          <t>No</t>
        </is>
      </c>
      <c r="I1380" s="26" t="inlineStr">
        <is>
          <t>Good finish</t>
        </is>
      </c>
      <c r="J1380" s="26" t="inlineStr">
        <is>
          <t>Yes</t>
        </is>
      </c>
      <c r="K1380" s="27" t="n"/>
      <c r="L1380" s="28" t="inlineStr">
        <is>
          <t>No</t>
        </is>
      </c>
      <c r="M1380" s="29">
        <f>IF(E1380="","",IF(H1380="Yes","❌ Disc",IF(G1380="No","⚠ Missing",IF(J1380="Yes","✓ OK","⚠ Check"))))</f>
        <v/>
      </c>
      <c r="N1380" s="43" t="n">
        <v>46193</v>
      </c>
      <c r="O1380" s="26" t="inlineStr">
        <is>
          <t>Sunil CR</t>
        </is>
      </c>
      <c r="P1380" s="26" t="inlineStr">
        <is>
          <t>Yes</t>
        </is>
      </c>
      <c r="Q1380" s="26" t="inlineStr">
        <is>
          <t>No</t>
        </is>
      </c>
      <c r="R1380" s="26" t="inlineStr">
        <is>
          <t>Good finish</t>
        </is>
      </c>
      <c r="S1380" s="26" t="inlineStr">
        <is>
          <t>Yes</t>
        </is>
      </c>
      <c r="T1380" s="27" t="n"/>
      <c r="U1380" s="28" t="inlineStr">
        <is>
          <t>No</t>
        </is>
      </c>
      <c r="V1380" s="29">
        <f>IF(N1380="","",IF(Q1380="Yes","❌ Disc",IF(P1380="No","⚠ Missing",IF(S1380="Yes","✓ OK","⚠ Check"))))</f>
        <v/>
      </c>
      <c r="W1380" s="65" t="n">
        <v>46248</v>
      </c>
      <c r="X1380" s="30" t="inlineStr">
        <is>
          <t>Sunil CR</t>
        </is>
      </c>
      <c r="Y1380" s="30" t="inlineStr">
        <is>
          <t>Yes</t>
        </is>
      </c>
      <c r="Z1380" s="30" t="n"/>
      <c r="AA1380" s="30" t="inlineStr">
        <is>
          <t>Good finish</t>
        </is>
      </c>
      <c r="AB1380" s="30" t="inlineStr">
        <is>
          <t>Yes</t>
        </is>
      </c>
      <c r="AC1380" s="27" t="n"/>
      <c r="AD1380" s="31" t="inlineStr">
        <is>
          <t>No</t>
        </is>
      </c>
      <c r="AE1380" s="32">
        <f>IF(W1380="","",IF(Z1380="Yes","❌ Disc",IF(Y1380="No","⚠ Missing",IF(AB1380="Yes","✓ OK","⚠ Check"))))</f>
        <v/>
      </c>
      <c r="AF1380" s="33" t="n"/>
      <c r="AG1380" s="33" t="n"/>
      <c r="AH1380" s="33" t="n"/>
      <c r="AI1380" s="33" t="n"/>
      <c r="AJ1380" s="33" t="n"/>
      <c r="AK1380" s="33" t="n"/>
      <c r="AL1380" s="27" t="n"/>
      <c r="AM1380" s="34" t="n"/>
      <c r="AN1380" s="35">
        <f>IF(AF1380="","",IF(AI1380="Yes","❌ Disc",IF(AH1380="No","⚠ Missing",IF(AK1380="Yes","✓ OK","⚠ Check"))))</f>
        <v/>
      </c>
      <c r="AO1380" s="36" t="n"/>
      <c r="AP1380" s="36" t="n"/>
      <c r="AQ1380" s="36" t="n"/>
      <c r="AR1380" s="36" t="n"/>
      <c r="AS1380" s="36" t="n"/>
      <c r="AT1380" s="36" t="n"/>
      <c r="AU1380" s="27" t="n"/>
      <c r="AV1380" s="37" t="n"/>
      <c r="AW1380" s="38">
        <f>IF(AO1380="","",IF(AR1380="Yes","❌ Disc",IF(AQ1380="No","⚠ Missing",IF(AT1380="Yes","✓ OK","⚠ Check"))))</f>
        <v/>
      </c>
    </row>
    <row r="1381" ht="18" customHeight="1" s="46">
      <c r="A1381" s="23" t="n">
        <v>1377</v>
      </c>
      <c r="B1381" s="24" t="inlineStr">
        <is>
          <t>BD-VRM-2024-0537</t>
        </is>
      </c>
      <c r="C1381" s="25" t="inlineStr">
        <is>
          <t>MELANGE II - Jungle Tropical Leaves Customized Wallpaper(101) - 2354742769</t>
        </is>
      </c>
      <c r="D1381" s="23" t="inlineStr">
        <is>
          <t>Marshalls</t>
        </is>
      </c>
      <c r="E1381" s="43" t="n">
        <v>46125</v>
      </c>
      <c r="F1381" s="26" t="inlineStr">
        <is>
          <t>Sunil CR</t>
        </is>
      </c>
      <c r="G1381" s="26" t="inlineStr">
        <is>
          <t>Yes</t>
        </is>
      </c>
      <c r="H1381" s="26" t="inlineStr">
        <is>
          <t>No</t>
        </is>
      </c>
      <c r="I1381" s="26" t="inlineStr">
        <is>
          <t>Good finish</t>
        </is>
      </c>
      <c r="J1381" s="26" t="inlineStr">
        <is>
          <t>Yes</t>
        </is>
      </c>
      <c r="K1381" s="27" t="n"/>
      <c r="L1381" s="28" t="inlineStr">
        <is>
          <t>No</t>
        </is>
      </c>
      <c r="M1381" s="29">
        <f>IF(E1381="","",IF(H1381="Yes","❌ Disc",IF(G1381="No","⚠ Missing",IF(J1381="Yes","✓ OK","⚠ Check"))))</f>
        <v/>
      </c>
      <c r="N1381" s="43" t="n">
        <v>46193</v>
      </c>
      <c r="O1381" s="26" t="inlineStr">
        <is>
          <t>Sunil CR</t>
        </is>
      </c>
      <c r="P1381" s="26" t="inlineStr">
        <is>
          <t>Yes</t>
        </is>
      </c>
      <c r="Q1381" s="26" t="inlineStr">
        <is>
          <t>No</t>
        </is>
      </c>
      <c r="R1381" s="26" t="inlineStr">
        <is>
          <t>Good finish</t>
        </is>
      </c>
      <c r="S1381" s="26" t="inlineStr">
        <is>
          <t>Yes</t>
        </is>
      </c>
      <c r="T1381" s="27" t="n"/>
      <c r="U1381" s="28" t="inlineStr">
        <is>
          <t>No</t>
        </is>
      </c>
      <c r="V1381" s="29">
        <f>IF(N1381="","",IF(Q1381="Yes","❌ Disc",IF(P1381="No","⚠ Missing",IF(S1381="Yes","✓ OK","⚠ Check"))))</f>
        <v/>
      </c>
      <c r="W1381" s="65" t="n">
        <v>46248</v>
      </c>
      <c r="X1381" s="30" t="inlineStr">
        <is>
          <t>Sunil CR</t>
        </is>
      </c>
      <c r="Y1381" s="30" t="inlineStr">
        <is>
          <t>Yes</t>
        </is>
      </c>
      <c r="Z1381" s="30" t="n"/>
      <c r="AA1381" s="30" t="inlineStr">
        <is>
          <t>Good finish</t>
        </is>
      </c>
      <c r="AB1381" s="30" t="inlineStr">
        <is>
          <t>Yes</t>
        </is>
      </c>
      <c r="AC1381" s="27" t="n"/>
      <c r="AD1381" s="31" t="inlineStr">
        <is>
          <t>No</t>
        </is>
      </c>
      <c r="AE1381" s="32">
        <f>IF(W1381="","",IF(Z1381="Yes","❌ Disc",IF(Y1381="No","⚠ Missing",IF(AB1381="Yes","✓ OK","⚠ Check"))))</f>
        <v/>
      </c>
      <c r="AF1381" s="33" t="n"/>
      <c r="AG1381" s="33" t="n"/>
      <c r="AH1381" s="33" t="n"/>
      <c r="AI1381" s="33" t="n"/>
      <c r="AJ1381" s="33" t="n"/>
      <c r="AK1381" s="33" t="n"/>
      <c r="AL1381" s="27" t="n"/>
      <c r="AM1381" s="34" t="n"/>
      <c r="AN1381" s="35">
        <f>IF(AF1381="","",IF(AI1381="Yes","❌ Disc",IF(AH1381="No","⚠ Missing",IF(AK1381="Yes","✓ OK","⚠ Check"))))</f>
        <v/>
      </c>
      <c r="AO1381" s="36" t="n"/>
      <c r="AP1381" s="36" t="n"/>
      <c r="AQ1381" s="36" t="n"/>
      <c r="AR1381" s="36" t="n"/>
      <c r="AS1381" s="36" t="n"/>
      <c r="AT1381" s="36" t="n"/>
      <c r="AU1381" s="27" t="n"/>
      <c r="AV1381" s="37" t="n"/>
      <c r="AW1381" s="38">
        <f>IF(AO1381="","",IF(AR1381="Yes","❌ Disc",IF(AQ1381="No","⚠ Missing",IF(AT1381="Yes","✓ OK","⚠ Check"))))</f>
        <v/>
      </c>
    </row>
    <row r="1382" ht="18" customHeight="1" s="46">
      <c r="A1382" s="39" t="n">
        <v>1378</v>
      </c>
      <c r="B1382" s="40" t="inlineStr">
        <is>
          <t>BD-VRM-2024-0540</t>
        </is>
      </c>
      <c r="C1382" s="41" t="inlineStr">
        <is>
          <t>MELANGE II - Kids Travel Journey Customized Wallpaper(104) - 2289351895</t>
        </is>
      </c>
      <c r="D1382" s="39" t="inlineStr">
        <is>
          <t>Marshalls</t>
        </is>
      </c>
      <c r="E1382" s="43" t="n">
        <v>46125</v>
      </c>
      <c r="F1382" s="26" t="inlineStr">
        <is>
          <t>Sunil CR</t>
        </is>
      </c>
      <c r="G1382" s="26" t="inlineStr">
        <is>
          <t>Yes</t>
        </is>
      </c>
      <c r="H1382" s="26" t="inlineStr">
        <is>
          <t>No</t>
        </is>
      </c>
      <c r="I1382" s="26" t="inlineStr">
        <is>
          <t>Good finish</t>
        </is>
      </c>
      <c r="J1382" s="26" t="inlineStr">
        <is>
          <t>Yes</t>
        </is>
      </c>
      <c r="K1382" s="27" t="n"/>
      <c r="L1382" s="28" t="inlineStr">
        <is>
          <t>No</t>
        </is>
      </c>
      <c r="M1382" s="29">
        <f>IF(E1382="","",IF(H1382="Yes","❌ Disc",IF(G1382="No","⚠ Missing",IF(J1382="Yes","✓ OK","⚠ Check"))))</f>
        <v/>
      </c>
      <c r="N1382" s="43" t="n">
        <v>46193</v>
      </c>
      <c r="O1382" s="26" t="inlineStr">
        <is>
          <t>Sunil CR</t>
        </is>
      </c>
      <c r="P1382" s="26" t="inlineStr">
        <is>
          <t>Yes</t>
        </is>
      </c>
      <c r="Q1382" s="26" t="inlineStr">
        <is>
          <t>No</t>
        </is>
      </c>
      <c r="R1382" s="26" t="inlineStr">
        <is>
          <t>Good finish</t>
        </is>
      </c>
      <c r="S1382" s="26" t="inlineStr">
        <is>
          <t>Yes</t>
        </is>
      </c>
      <c r="T1382" s="27" t="n"/>
      <c r="U1382" s="28" t="inlineStr">
        <is>
          <t>No</t>
        </is>
      </c>
      <c r="V1382" s="29">
        <f>IF(N1382="","",IF(Q1382="Yes","❌ Disc",IF(P1382="No","⚠ Missing",IF(S1382="Yes","✓ OK","⚠ Check"))))</f>
        <v/>
      </c>
      <c r="W1382" s="65" t="n">
        <v>46248</v>
      </c>
      <c r="X1382" s="30" t="inlineStr">
        <is>
          <t>Sunil CR</t>
        </is>
      </c>
      <c r="Y1382" s="30" t="inlineStr">
        <is>
          <t>Yes</t>
        </is>
      </c>
      <c r="Z1382" s="30" t="n"/>
      <c r="AA1382" s="30" t="inlineStr">
        <is>
          <t>Good finish</t>
        </is>
      </c>
      <c r="AB1382" s="30" t="inlineStr">
        <is>
          <t>Yes</t>
        </is>
      </c>
      <c r="AC1382" s="27" t="n"/>
      <c r="AD1382" s="31" t="inlineStr">
        <is>
          <t>No</t>
        </is>
      </c>
      <c r="AE1382" s="32">
        <f>IF(W1382="","",IF(Z1382="Yes","❌ Disc",IF(Y1382="No","⚠ Missing",IF(AB1382="Yes","✓ OK","⚠ Check"))))</f>
        <v/>
      </c>
      <c r="AF1382" s="33" t="n"/>
      <c r="AG1382" s="33" t="n"/>
      <c r="AH1382" s="33" t="n"/>
      <c r="AI1382" s="33" t="n"/>
      <c r="AJ1382" s="33" t="n"/>
      <c r="AK1382" s="33" t="n"/>
      <c r="AL1382" s="27" t="n"/>
      <c r="AM1382" s="34" t="n"/>
      <c r="AN1382" s="35">
        <f>IF(AF1382="","",IF(AI1382="Yes","❌ Disc",IF(AH1382="No","⚠ Missing",IF(AK1382="Yes","✓ OK","⚠ Check"))))</f>
        <v/>
      </c>
      <c r="AO1382" s="36" t="n"/>
      <c r="AP1382" s="36" t="n"/>
      <c r="AQ1382" s="36" t="n"/>
      <c r="AR1382" s="36" t="n"/>
      <c r="AS1382" s="36" t="n"/>
      <c r="AT1382" s="36" t="n"/>
      <c r="AU1382" s="27" t="n"/>
      <c r="AV1382" s="37" t="n"/>
      <c r="AW1382" s="38">
        <f>IF(AO1382="","",IF(AR1382="Yes","❌ Disc",IF(AQ1382="No","⚠ Missing",IF(AT1382="Yes","✓ OK","⚠ Check"))))</f>
        <v/>
      </c>
    </row>
    <row r="1383" ht="18" customHeight="1" s="46">
      <c r="A1383" s="23" t="n">
        <v>1379</v>
      </c>
      <c r="B1383" s="24" t="inlineStr">
        <is>
          <t>BD-VRM-2024-0557</t>
        </is>
      </c>
      <c r="C1383" s="25" t="inlineStr">
        <is>
          <t>MELANGE II - Macawas Flowers Bright  Customized Wallpaper(121) - 2279616545</t>
        </is>
      </c>
      <c r="D1383" s="23" t="inlineStr">
        <is>
          <t>Marshalls</t>
        </is>
      </c>
      <c r="E1383" s="43" t="n">
        <v>46125</v>
      </c>
      <c r="F1383" s="26" t="inlineStr">
        <is>
          <t>Sunil CR</t>
        </is>
      </c>
      <c r="G1383" s="26" t="inlineStr">
        <is>
          <t>Yes</t>
        </is>
      </c>
      <c r="H1383" s="26" t="inlineStr">
        <is>
          <t>No</t>
        </is>
      </c>
      <c r="I1383" s="26" t="inlineStr">
        <is>
          <t>Good finish</t>
        </is>
      </c>
      <c r="J1383" s="26" t="inlineStr">
        <is>
          <t>Yes</t>
        </is>
      </c>
      <c r="K1383" s="27" t="n"/>
      <c r="L1383" s="28" t="inlineStr">
        <is>
          <t>No</t>
        </is>
      </c>
      <c r="M1383" s="29">
        <f>IF(E1383="","",IF(H1383="Yes","❌ Disc",IF(G1383="No","⚠ Missing",IF(J1383="Yes","✓ OK","⚠ Check"))))</f>
        <v/>
      </c>
      <c r="N1383" s="43" t="n">
        <v>46193</v>
      </c>
      <c r="O1383" s="26" t="inlineStr">
        <is>
          <t>Sunil CR</t>
        </is>
      </c>
      <c r="P1383" s="26" t="inlineStr">
        <is>
          <t>Yes</t>
        </is>
      </c>
      <c r="Q1383" s="26" t="inlineStr">
        <is>
          <t>No</t>
        </is>
      </c>
      <c r="R1383" s="26" t="inlineStr">
        <is>
          <t>Good finish</t>
        </is>
      </c>
      <c r="S1383" s="26" t="inlineStr">
        <is>
          <t>Yes</t>
        </is>
      </c>
      <c r="T1383" s="27" t="n"/>
      <c r="U1383" s="28" t="inlineStr">
        <is>
          <t>No</t>
        </is>
      </c>
      <c r="V1383" s="29">
        <f>IF(N1383="","",IF(Q1383="Yes","❌ Disc",IF(P1383="No","⚠ Missing",IF(S1383="Yes","✓ OK","⚠ Check"))))</f>
        <v/>
      </c>
      <c r="W1383" s="65" t="n">
        <v>46248</v>
      </c>
      <c r="X1383" s="30" t="inlineStr">
        <is>
          <t>Sunil CR</t>
        </is>
      </c>
      <c r="Y1383" s="30" t="inlineStr">
        <is>
          <t>Yes</t>
        </is>
      </c>
      <c r="Z1383" s="30" t="n"/>
      <c r="AA1383" s="30" t="inlineStr">
        <is>
          <t>Good finish</t>
        </is>
      </c>
      <c r="AB1383" s="30" t="inlineStr">
        <is>
          <t>Yes</t>
        </is>
      </c>
      <c r="AC1383" s="27" t="n"/>
      <c r="AD1383" s="31" t="inlineStr">
        <is>
          <t>No</t>
        </is>
      </c>
      <c r="AE1383" s="32">
        <f>IF(W1383="","",IF(Z1383="Yes","❌ Disc",IF(Y1383="No","⚠ Missing",IF(AB1383="Yes","✓ OK","⚠ Check"))))</f>
        <v/>
      </c>
      <c r="AF1383" s="33" t="n"/>
      <c r="AG1383" s="33" t="n"/>
      <c r="AH1383" s="33" t="n"/>
      <c r="AI1383" s="33" t="n"/>
      <c r="AJ1383" s="33" t="n"/>
      <c r="AK1383" s="33" t="n"/>
      <c r="AL1383" s="27" t="n"/>
      <c r="AM1383" s="34" t="n"/>
      <c r="AN1383" s="35">
        <f>IF(AF1383="","",IF(AI1383="Yes","❌ Disc",IF(AH1383="No","⚠ Missing",IF(AK1383="Yes","✓ OK","⚠ Check"))))</f>
        <v/>
      </c>
      <c r="AO1383" s="36" t="n"/>
      <c r="AP1383" s="36" t="n"/>
      <c r="AQ1383" s="36" t="n"/>
      <c r="AR1383" s="36" t="n"/>
      <c r="AS1383" s="36" t="n"/>
      <c r="AT1383" s="36" t="n"/>
      <c r="AU1383" s="27" t="n"/>
      <c r="AV1383" s="37" t="n"/>
      <c r="AW1383" s="38">
        <f>IF(AO1383="","",IF(AR1383="Yes","❌ Disc",IF(AQ1383="No","⚠ Missing",IF(AT1383="Yes","✓ OK","⚠ Check"))))</f>
        <v/>
      </c>
    </row>
    <row r="1384" ht="18" customHeight="1" s="46">
      <c r="A1384" s="39" t="n">
        <v>1380</v>
      </c>
      <c r="B1384" s="40" t="inlineStr">
        <is>
          <t>BD-VRM-2024-0566</t>
        </is>
      </c>
      <c r="C1384" s="41" t="inlineStr">
        <is>
          <t>MELANGE II - Mughal Buta Kurti  Customized Wallpaper(130) - 1585201633</t>
        </is>
      </c>
      <c r="D1384" s="39" t="inlineStr">
        <is>
          <t>Marshalls</t>
        </is>
      </c>
      <c r="E1384" s="43" t="n">
        <v>46125</v>
      </c>
      <c r="F1384" s="26" t="inlineStr">
        <is>
          <t>Sunil CR</t>
        </is>
      </c>
      <c r="G1384" s="26" t="inlineStr">
        <is>
          <t>Yes</t>
        </is>
      </c>
      <c r="H1384" s="26" t="inlineStr">
        <is>
          <t>No</t>
        </is>
      </c>
      <c r="I1384" s="26" t="inlineStr">
        <is>
          <t>Good finish</t>
        </is>
      </c>
      <c r="J1384" s="26" t="inlineStr">
        <is>
          <t>Yes</t>
        </is>
      </c>
      <c r="K1384" s="27" t="n"/>
      <c r="L1384" s="28" t="inlineStr">
        <is>
          <t>No</t>
        </is>
      </c>
      <c r="M1384" s="29">
        <f>IF(E1384="","",IF(H1384="Yes","❌ Disc",IF(G1384="No","⚠ Missing",IF(J1384="Yes","✓ OK","⚠ Check"))))</f>
        <v/>
      </c>
      <c r="N1384" s="43" t="n">
        <v>46193</v>
      </c>
      <c r="O1384" s="26" t="inlineStr">
        <is>
          <t>Sunil CR</t>
        </is>
      </c>
      <c r="P1384" s="26" t="inlineStr">
        <is>
          <t>Yes</t>
        </is>
      </c>
      <c r="Q1384" s="26" t="inlineStr">
        <is>
          <t>No</t>
        </is>
      </c>
      <c r="R1384" s="26" t="inlineStr">
        <is>
          <t>Good finish</t>
        </is>
      </c>
      <c r="S1384" s="26" t="inlineStr">
        <is>
          <t>Yes</t>
        </is>
      </c>
      <c r="T1384" s="27" t="n"/>
      <c r="U1384" s="28" t="inlineStr">
        <is>
          <t>No</t>
        </is>
      </c>
      <c r="V1384" s="29">
        <f>IF(N1384="","",IF(Q1384="Yes","❌ Disc",IF(P1384="No","⚠ Missing",IF(S1384="Yes","✓ OK","⚠ Check"))))</f>
        <v/>
      </c>
      <c r="W1384" s="65" t="n">
        <v>46248</v>
      </c>
      <c r="X1384" s="30" t="inlineStr">
        <is>
          <t>Sunil CR</t>
        </is>
      </c>
      <c r="Y1384" s="30" t="inlineStr">
        <is>
          <t>Yes</t>
        </is>
      </c>
      <c r="Z1384" s="30" t="n"/>
      <c r="AA1384" s="30" t="inlineStr">
        <is>
          <t>Good finish</t>
        </is>
      </c>
      <c r="AB1384" s="30" t="inlineStr">
        <is>
          <t>Yes</t>
        </is>
      </c>
      <c r="AC1384" s="27" t="n"/>
      <c r="AD1384" s="31" t="inlineStr">
        <is>
          <t>No</t>
        </is>
      </c>
      <c r="AE1384" s="32">
        <f>IF(W1384="","",IF(Z1384="Yes","❌ Disc",IF(Y1384="No","⚠ Missing",IF(AB1384="Yes","✓ OK","⚠ Check"))))</f>
        <v/>
      </c>
      <c r="AF1384" s="33" t="n"/>
      <c r="AG1384" s="33" t="n"/>
      <c r="AH1384" s="33" t="n"/>
      <c r="AI1384" s="33" t="n"/>
      <c r="AJ1384" s="33" t="n"/>
      <c r="AK1384" s="33" t="n"/>
      <c r="AL1384" s="27" t="n"/>
      <c r="AM1384" s="34" t="n"/>
      <c r="AN1384" s="35">
        <f>IF(AF1384="","",IF(AI1384="Yes","❌ Disc",IF(AH1384="No","⚠ Missing",IF(AK1384="Yes","✓ OK","⚠ Check"))))</f>
        <v/>
      </c>
      <c r="AO1384" s="36" t="n"/>
      <c r="AP1384" s="36" t="n"/>
      <c r="AQ1384" s="36" t="n"/>
      <c r="AR1384" s="36" t="n"/>
      <c r="AS1384" s="36" t="n"/>
      <c r="AT1384" s="36" t="n"/>
      <c r="AU1384" s="27" t="n"/>
      <c r="AV1384" s="37" t="n"/>
      <c r="AW1384" s="38">
        <f>IF(AO1384="","",IF(AR1384="Yes","❌ Disc",IF(AQ1384="No","⚠ Missing",IF(AT1384="Yes","✓ OK","⚠ Check"))))</f>
        <v/>
      </c>
    </row>
    <row r="1385" ht="18" customHeight="1" s="46">
      <c r="A1385" s="23" t="n">
        <v>1381</v>
      </c>
      <c r="B1385" s="24" t="inlineStr">
        <is>
          <t>BD-VRM-2024-0547</t>
        </is>
      </c>
      <c r="C1385" s="25" t="inlineStr">
        <is>
          <t>MELANGE II - Mughal Decorative Pattern Palm Tree Plant  Customized Wallpaper(111) - 2282260523</t>
        </is>
      </c>
      <c r="D1385" s="23" t="inlineStr">
        <is>
          <t>Marshalls</t>
        </is>
      </c>
      <c r="E1385" s="43" t="n">
        <v>46125</v>
      </c>
      <c r="F1385" s="26" t="inlineStr">
        <is>
          <t>Sunil CR</t>
        </is>
      </c>
      <c r="G1385" s="26" t="inlineStr">
        <is>
          <t>Yes</t>
        </is>
      </c>
      <c r="H1385" s="26" t="inlineStr">
        <is>
          <t>No</t>
        </is>
      </c>
      <c r="I1385" s="26" t="inlineStr">
        <is>
          <t>Good finish</t>
        </is>
      </c>
      <c r="J1385" s="26" t="inlineStr">
        <is>
          <t>Yes</t>
        </is>
      </c>
      <c r="K1385" s="27" t="n"/>
      <c r="L1385" s="28" t="inlineStr">
        <is>
          <t>No</t>
        </is>
      </c>
      <c r="M1385" s="29">
        <f>IF(E1385="","",IF(H1385="Yes","❌ Disc",IF(G1385="No","⚠ Missing",IF(J1385="Yes","✓ OK","⚠ Check"))))</f>
        <v/>
      </c>
      <c r="N1385" s="43" t="n">
        <v>46193</v>
      </c>
      <c r="O1385" s="26" t="inlineStr">
        <is>
          <t>Sunil CR</t>
        </is>
      </c>
      <c r="P1385" s="26" t="inlineStr">
        <is>
          <t>Yes</t>
        </is>
      </c>
      <c r="Q1385" s="26" t="inlineStr">
        <is>
          <t>No</t>
        </is>
      </c>
      <c r="R1385" s="26" t="inlineStr">
        <is>
          <t>Good finish</t>
        </is>
      </c>
      <c r="S1385" s="26" t="inlineStr">
        <is>
          <t>Yes</t>
        </is>
      </c>
      <c r="T1385" s="27" t="n"/>
      <c r="U1385" s="28" t="inlineStr">
        <is>
          <t>No</t>
        </is>
      </c>
      <c r="V1385" s="29">
        <f>IF(N1385="","",IF(Q1385="Yes","❌ Disc",IF(P1385="No","⚠ Missing",IF(S1385="Yes","✓ OK","⚠ Check"))))</f>
        <v/>
      </c>
      <c r="W1385" s="65" t="n">
        <v>46248</v>
      </c>
      <c r="X1385" s="30" t="inlineStr">
        <is>
          <t>Sunil CR</t>
        </is>
      </c>
      <c r="Y1385" s="30" t="inlineStr">
        <is>
          <t>Yes</t>
        </is>
      </c>
      <c r="Z1385" s="30" t="n"/>
      <c r="AA1385" s="30" t="inlineStr">
        <is>
          <t>Good finish</t>
        </is>
      </c>
      <c r="AB1385" s="30" t="inlineStr">
        <is>
          <t>Yes</t>
        </is>
      </c>
      <c r="AC1385" s="27" t="n"/>
      <c r="AD1385" s="31" t="inlineStr">
        <is>
          <t>No</t>
        </is>
      </c>
      <c r="AE1385" s="32">
        <f>IF(W1385="","",IF(Z1385="Yes","❌ Disc",IF(Y1385="No","⚠ Missing",IF(AB1385="Yes","✓ OK","⚠ Check"))))</f>
        <v/>
      </c>
      <c r="AF1385" s="33" t="n"/>
      <c r="AG1385" s="33" t="n"/>
      <c r="AH1385" s="33" t="n"/>
      <c r="AI1385" s="33" t="n"/>
      <c r="AJ1385" s="33" t="n"/>
      <c r="AK1385" s="33" t="n"/>
      <c r="AL1385" s="27" t="n"/>
      <c r="AM1385" s="34" t="n"/>
      <c r="AN1385" s="35">
        <f>IF(AF1385="","",IF(AI1385="Yes","❌ Disc",IF(AH1385="No","⚠ Missing",IF(AK1385="Yes","✓ OK","⚠ Check"))))</f>
        <v/>
      </c>
      <c r="AO1385" s="36" t="n"/>
      <c r="AP1385" s="36" t="n"/>
      <c r="AQ1385" s="36" t="n"/>
      <c r="AR1385" s="36" t="n"/>
      <c r="AS1385" s="36" t="n"/>
      <c r="AT1385" s="36" t="n"/>
      <c r="AU1385" s="27" t="n"/>
      <c r="AV1385" s="37" t="n"/>
      <c r="AW1385" s="38">
        <f>IF(AO1385="","",IF(AR1385="Yes","❌ Disc",IF(AQ1385="No","⚠ Missing",IF(AT1385="Yes","✓ OK","⚠ Check"))))</f>
        <v/>
      </c>
    </row>
    <row r="1386" ht="18" customHeight="1" s="46">
      <c r="A1386" s="39" t="n">
        <v>1382</v>
      </c>
      <c r="B1386" s="40" t="inlineStr">
        <is>
          <t>BD-VRM-2024-0567</t>
        </is>
      </c>
      <c r="C1386" s="41" t="inlineStr">
        <is>
          <t>MELANGE II - Mughal Flower Pattern Dusty  Customized Wallpaper(131) - 2216511519</t>
        </is>
      </c>
      <c r="D1386" s="39" t="inlineStr">
        <is>
          <t>Marshalls</t>
        </is>
      </c>
      <c r="E1386" s="43" t="n">
        <v>46125</v>
      </c>
      <c r="F1386" s="26" t="inlineStr">
        <is>
          <t>Sunil CR</t>
        </is>
      </c>
      <c r="G1386" s="26" t="inlineStr">
        <is>
          <t>Yes</t>
        </is>
      </c>
      <c r="H1386" s="26" t="inlineStr">
        <is>
          <t>No</t>
        </is>
      </c>
      <c r="I1386" s="26" t="inlineStr">
        <is>
          <t>Good finish</t>
        </is>
      </c>
      <c r="J1386" s="26" t="inlineStr">
        <is>
          <t>Yes</t>
        </is>
      </c>
      <c r="K1386" s="27" t="n"/>
      <c r="L1386" s="28" t="inlineStr">
        <is>
          <t>No</t>
        </is>
      </c>
      <c r="M1386" s="29">
        <f>IF(E1386="","",IF(H1386="Yes","❌ Disc",IF(G1386="No","⚠ Missing",IF(J1386="Yes","✓ OK","⚠ Check"))))</f>
        <v/>
      </c>
      <c r="N1386" s="43" t="n">
        <v>46193</v>
      </c>
      <c r="O1386" s="26" t="inlineStr">
        <is>
          <t>Sunil CR</t>
        </is>
      </c>
      <c r="P1386" s="26" t="inlineStr">
        <is>
          <t>Yes</t>
        </is>
      </c>
      <c r="Q1386" s="26" t="inlineStr">
        <is>
          <t>No</t>
        </is>
      </c>
      <c r="R1386" s="26" t="inlineStr">
        <is>
          <t>Good finish</t>
        </is>
      </c>
      <c r="S1386" s="26" t="inlineStr">
        <is>
          <t>Yes</t>
        </is>
      </c>
      <c r="T1386" s="27" t="n"/>
      <c r="U1386" s="28" t="inlineStr">
        <is>
          <t>No</t>
        </is>
      </c>
      <c r="V1386" s="29">
        <f>IF(N1386="","",IF(Q1386="Yes","❌ Disc",IF(P1386="No","⚠ Missing",IF(S1386="Yes","✓ OK","⚠ Check"))))</f>
        <v/>
      </c>
      <c r="W1386" s="65" t="n">
        <v>46248</v>
      </c>
      <c r="X1386" s="30" t="inlineStr">
        <is>
          <t>Sunil CR</t>
        </is>
      </c>
      <c r="Y1386" s="30" t="inlineStr">
        <is>
          <t>Yes</t>
        </is>
      </c>
      <c r="Z1386" s="30" t="n"/>
      <c r="AA1386" s="30" t="inlineStr">
        <is>
          <t>Good finish</t>
        </is>
      </c>
      <c r="AB1386" s="30" t="inlineStr">
        <is>
          <t>Yes</t>
        </is>
      </c>
      <c r="AC1386" s="27" t="n"/>
      <c r="AD1386" s="31" t="inlineStr">
        <is>
          <t>No</t>
        </is>
      </c>
      <c r="AE1386" s="32">
        <f>IF(W1386="","",IF(Z1386="Yes","❌ Disc",IF(Y1386="No","⚠ Missing",IF(AB1386="Yes","✓ OK","⚠ Check"))))</f>
        <v/>
      </c>
      <c r="AF1386" s="33" t="n"/>
      <c r="AG1386" s="33" t="n"/>
      <c r="AH1386" s="33" t="n"/>
      <c r="AI1386" s="33" t="n"/>
      <c r="AJ1386" s="33" t="n"/>
      <c r="AK1386" s="33" t="n"/>
      <c r="AL1386" s="27" t="n"/>
      <c r="AM1386" s="34" t="n"/>
      <c r="AN1386" s="35">
        <f>IF(AF1386="","",IF(AI1386="Yes","❌ Disc",IF(AH1386="No","⚠ Missing",IF(AK1386="Yes","✓ OK","⚠ Check"))))</f>
        <v/>
      </c>
      <c r="AO1386" s="36" t="n"/>
      <c r="AP1386" s="36" t="n"/>
      <c r="AQ1386" s="36" t="n"/>
      <c r="AR1386" s="36" t="n"/>
      <c r="AS1386" s="36" t="n"/>
      <c r="AT1386" s="36" t="n"/>
      <c r="AU1386" s="27" t="n"/>
      <c r="AV1386" s="37" t="n"/>
      <c r="AW1386" s="38">
        <f>IF(AO1386="","",IF(AR1386="Yes","❌ Disc",IF(AQ1386="No","⚠ Missing",IF(AT1386="Yes","✓ OK","⚠ Check"))))</f>
        <v/>
      </c>
    </row>
    <row r="1387" ht="18" customHeight="1" s="46">
      <c r="A1387" s="23" t="n">
        <v>1383</v>
      </c>
      <c r="B1387" s="24" t="inlineStr">
        <is>
          <t>BD-VRM-2024-0542</t>
        </is>
      </c>
      <c r="C1387" s="25" t="inlineStr">
        <is>
          <t>MELANGE II - Mughal Forest Garden Peacock Parrot Plant Customized Wallpaper(106) - 2424914535</t>
        </is>
      </c>
      <c r="D1387" s="23" t="inlineStr">
        <is>
          <t>Marshalls</t>
        </is>
      </c>
      <c r="E1387" s="43" t="n">
        <v>46125</v>
      </c>
      <c r="F1387" s="26" t="inlineStr">
        <is>
          <t>Sunil CR</t>
        </is>
      </c>
      <c r="G1387" s="26" t="inlineStr">
        <is>
          <t>Yes</t>
        </is>
      </c>
      <c r="H1387" s="26" t="inlineStr">
        <is>
          <t>No</t>
        </is>
      </c>
      <c r="I1387" s="26" t="inlineStr">
        <is>
          <t>Good finish</t>
        </is>
      </c>
      <c r="J1387" s="26" t="inlineStr">
        <is>
          <t>Yes</t>
        </is>
      </c>
      <c r="K1387" s="27" t="n"/>
      <c r="L1387" s="28" t="inlineStr">
        <is>
          <t>No</t>
        </is>
      </c>
      <c r="M1387" s="29">
        <f>IF(E1387="","",IF(H1387="Yes","❌ Disc",IF(G1387="No","⚠ Missing",IF(J1387="Yes","✓ OK","⚠ Check"))))</f>
        <v/>
      </c>
      <c r="N1387" s="43" t="n">
        <v>46193</v>
      </c>
      <c r="O1387" s="26" t="inlineStr">
        <is>
          <t>Sunil CR</t>
        </is>
      </c>
      <c r="P1387" s="26" t="inlineStr">
        <is>
          <t>Yes</t>
        </is>
      </c>
      <c r="Q1387" s="26" t="inlineStr">
        <is>
          <t>No</t>
        </is>
      </c>
      <c r="R1387" s="26" t="inlineStr">
        <is>
          <t>Good finish</t>
        </is>
      </c>
      <c r="S1387" s="26" t="inlineStr">
        <is>
          <t>Yes</t>
        </is>
      </c>
      <c r="T1387" s="27" t="n"/>
      <c r="U1387" s="28" t="inlineStr">
        <is>
          <t>No</t>
        </is>
      </c>
      <c r="V1387" s="29">
        <f>IF(N1387="","",IF(Q1387="Yes","❌ Disc",IF(P1387="No","⚠ Missing",IF(S1387="Yes","✓ OK","⚠ Check"))))</f>
        <v/>
      </c>
      <c r="W1387" s="65" t="n">
        <v>46248</v>
      </c>
      <c r="X1387" s="30" t="inlineStr">
        <is>
          <t>Sunil CR</t>
        </is>
      </c>
      <c r="Y1387" s="30" t="inlineStr">
        <is>
          <t>Yes</t>
        </is>
      </c>
      <c r="Z1387" s="30" t="n"/>
      <c r="AA1387" s="30" t="inlineStr">
        <is>
          <t>Good finish</t>
        </is>
      </c>
      <c r="AB1387" s="30" t="inlineStr">
        <is>
          <t>Yes</t>
        </is>
      </c>
      <c r="AC1387" s="27" t="n"/>
      <c r="AD1387" s="31" t="inlineStr">
        <is>
          <t>No</t>
        </is>
      </c>
      <c r="AE1387" s="32">
        <f>IF(W1387="","",IF(Z1387="Yes","❌ Disc",IF(Y1387="No","⚠ Missing",IF(AB1387="Yes","✓ OK","⚠ Check"))))</f>
        <v/>
      </c>
      <c r="AF1387" s="33" t="n"/>
      <c r="AG1387" s="33" t="n"/>
      <c r="AH1387" s="33" t="n"/>
      <c r="AI1387" s="33" t="n"/>
      <c r="AJ1387" s="33" t="n"/>
      <c r="AK1387" s="33" t="n"/>
      <c r="AL1387" s="27" t="n"/>
      <c r="AM1387" s="34" t="n"/>
      <c r="AN1387" s="35">
        <f>IF(AF1387="","",IF(AI1387="Yes","❌ Disc",IF(AH1387="No","⚠ Missing",IF(AK1387="Yes","✓ OK","⚠ Check"))))</f>
        <v/>
      </c>
      <c r="AO1387" s="36" t="n"/>
      <c r="AP1387" s="36" t="n"/>
      <c r="AQ1387" s="36" t="n"/>
      <c r="AR1387" s="36" t="n"/>
      <c r="AS1387" s="36" t="n"/>
      <c r="AT1387" s="36" t="n"/>
      <c r="AU1387" s="27" t="n"/>
      <c r="AV1387" s="37" t="n"/>
      <c r="AW1387" s="38">
        <f>IF(AO1387="","",IF(AR1387="Yes","❌ Disc",IF(AQ1387="No","⚠ Missing",IF(AT1387="Yes","✓ OK","⚠ Check"))))</f>
        <v/>
      </c>
    </row>
    <row r="1388" ht="18" customHeight="1" s="46">
      <c r="A1388" s="39" t="n">
        <v>1384</v>
      </c>
      <c r="B1388" s="40" t="inlineStr">
        <is>
          <t>BD-VRM-2024-0546</t>
        </is>
      </c>
      <c r="C1388" s="41" t="inlineStr">
        <is>
          <t>MELANGE II - Mughal King Welcoming by Women Peacock  Customized Wallpaper(110) - 2219008767</t>
        </is>
      </c>
      <c r="D1388" s="39" t="inlineStr">
        <is>
          <t>Marshalls</t>
        </is>
      </c>
      <c r="E1388" s="43" t="n">
        <v>46125</v>
      </c>
      <c r="F1388" s="26" t="inlineStr">
        <is>
          <t>Sunil CR</t>
        </is>
      </c>
      <c r="G1388" s="26" t="inlineStr">
        <is>
          <t>Yes</t>
        </is>
      </c>
      <c r="H1388" s="26" t="inlineStr">
        <is>
          <t>No</t>
        </is>
      </c>
      <c r="I1388" s="26" t="inlineStr">
        <is>
          <t>Good finish</t>
        </is>
      </c>
      <c r="J1388" s="26" t="inlineStr">
        <is>
          <t>Yes</t>
        </is>
      </c>
      <c r="K1388" s="27" t="n"/>
      <c r="L1388" s="28" t="inlineStr">
        <is>
          <t>No</t>
        </is>
      </c>
      <c r="M1388" s="29">
        <f>IF(E1388="","",IF(H1388="Yes","❌ Disc",IF(G1388="No","⚠ Missing",IF(J1388="Yes","✓ OK","⚠ Check"))))</f>
        <v/>
      </c>
      <c r="N1388" s="43" t="n">
        <v>46193</v>
      </c>
      <c r="O1388" s="26" t="inlineStr">
        <is>
          <t>Sunil CR</t>
        </is>
      </c>
      <c r="P1388" s="26" t="inlineStr">
        <is>
          <t>Yes</t>
        </is>
      </c>
      <c r="Q1388" s="26" t="inlineStr">
        <is>
          <t>No</t>
        </is>
      </c>
      <c r="R1388" s="26" t="inlineStr">
        <is>
          <t>Good finish</t>
        </is>
      </c>
      <c r="S1388" s="26" t="inlineStr">
        <is>
          <t>Yes</t>
        </is>
      </c>
      <c r="T1388" s="27" t="n"/>
      <c r="U1388" s="28" t="inlineStr">
        <is>
          <t>No</t>
        </is>
      </c>
      <c r="V1388" s="29">
        <f>IF(N1388="","",IF(Q1388="Yes","❌ Disc",IF(P1388="No","⚠ Missing",IF(S1388="Yes","✓ OK","⚠ Check"))))</f>
        <v/>
      </c>
      <c r="W1388" s="65" t="n">
        <v>46248</v>
      </c>
      <c r="X1388" s="30" t="inlineStr">
        <is>
          <t>Sunil CR</t>
        </is>
      </c>
      <c r="Y1388" s="30" t="inlineStr">
        <is>
          <t>Yes</t>
        </is>
      </c>
      <c r="Z1388" s="30" t="n"/>
      <c r="AA1388" s="30" t="inlineStr">
        <is>
          <t>Good finish</t>
        </is>
      </c>
      <c r="AB1388" s="30" t="inlineStr">
        <is>
          <t>Yes</t>
        </is>
      </c>
      <c r="AC1388" s="27" t="n"/>
      <c r="AD1388" s="31" t="inlineStr">
        <is>
          <t>No</t>
        </is>
      </c>
      <c r="AE1388" s="32">
        <f>IF(W1388="","",IF(Z1388="Yes","❌ Disc",IF(Y1388="No","⚠ Missing",IF(AB1388="Yes","✓ OK","⚠ Check"))))</f>
        <v/>
      </c>
      <c r="AF1388" s="33" t="n"/>
      <c r="AG1388" s="33" t="n"/>
      <c r="AH1388" s="33" t="n"/>
      <c r="AI1388" s="33" t="n"/>
      <c r="AJ1388" s="33" t="n"/>
      <c r="AK1388" s="33" t="n"/>
      <c r="AL1388" s="27" t="n"/>
      <c r="AM1388" s="34" t="n"/>
      <c r="AN1388" s="35">
        <f>IF(AF1388="","",IF(AI1388="Yes","❌ Disc",IF(AH1388="No","⚠ Missing",IF(AK1388="Yes","✓ OK","⚠ Check"))))</f>
        <v/>
      </c>
      <c r="AO1388" s="36" t="n"/>
      <c r="AP1388" s="36" t="n"/>
      <c r="AQ1388" s="36" t="n"/>
      <c r="AR1388" s="36" t="n"/>
      <c r="AS1388" s="36" t="n"/>
      <c r="AT1388" s="36" t="n"/>
      <c r="AU1388" s="27" t="n"/>
      <c r="AV1388" s="37" t="n"/>
      <c r="AW1388" s="38">
        <f>IF(AO1388="","",IF(AR1388="Yes","❌ Disc",IF(AQ1388="No","⚠ Missing",IF(AT1388="Yes","✓ OK","⚠ Check"))))</f>
        <v/>
      </c>
    </row>
    <row r="1389" ht="18" customHeight="1" s="46">
      <c r="A1389" s="23" t="n">
        <v>1385</v>
      </c>
      <c r="B1389" s="24" t="inlineStr">
        <is>
          <t>BD-VRM-2024-0560</t>
        </is>
      </c>
      <c r="C1389" s="25" t="inlineStr">
        <is>
          <t>MELANGE II - Natural Luxury Abstract Fluid Customized Wallpaper(124) - 1858205767</t>
        </is>
      </c>
      <c r="D1389" s="23" t="inlineStr">
        <is>
          <t>Marshalls</t>
        </is>
      </c>
      <c r="E1389" s="43" t="n">
        <v>46125</v>
      </c>
      <c r="F1389" s="26" t="inlineStr">
        <is>
          <t>Sunil CR</t>
        </is>
      </c>
      <c r="G1389" s="26" t="inlineStr">
        <is>
          <t>Yes</t>
        </is>
      </c>
      <c r="H1389" s="26" t="inlineStr">
        <is>
          <t>No</t>
        </is>
      </c>
      <c r="I1389" s="26" t="inlineStr">
        <is>
          <t>Good finish</t>
        </is>
      </c>
      <c r="J1389" s="26" t="inlineStr">
        <is>
          <t>Yes</t>
        </is>
      </c>
      <c r="K1389" s="27" t="n"/>
      <c r="L1389" s="28" t="inlineStr">
        <is>
          <t>No</t>
        </is>
      </c>
      <c r="M1389" s="29">
        <f>IF(E1389="","",IF(H1389="Yes","❌ Disc",IF(G1389="No","⚠ Missing",IF(J1389="Yes","✓ OK","⚠ Check"))))</f>
        <v/>
      </c>
      <c r="N1389" s="43" t="n">
        <v>46193</v>
      </c>
      <c r="O1389" s="26" t="inlineStr">
        <is>
          <t>Sunil CR</t>
        </is>
      </c>
      <c r="P1389" s="26" t="inlineStr">
        <is>
          <t>Yes</t>
        </is>
      </c>
      <c r="Q1389" s="26" t="inlineStr">
        <is>
          <t>No</t>
        </is>
      </c>
      <c r="R1389" s="26" t="inlineStr">
        <is>
          <t>Good finish</t>
        </is>
      </c>
      <c r="S1389" s="26" t="inlineStr">
        <is>
          <t>Yes</t>
        </is>
      </c>
      <c r="T1389" s="27" t="n"/>
      <c r="U1389" s="28" t="inlineStr">
        <is>
          <t>No</t>
        </is>
      </c>
      <c r="V1389" s="29">
        <f>IF(N1389="","",IF(Q1389="Yes","❌ Disc",IF(P1389="No","⚠ Missing",IF(S1389="Yes","✓ OK","⚠ Check"))))</f>
        <v/>
      </c>
      <c r="W1389" s="65" t="n">
        <v>46248</v>
      </c>
      <c r="X1389" s="30" t="inlineStr">
        <is>
          <t>Sunil CR</t>
        </is>
      </c>
      <c r="Y1389" s="30" t="inlineStr">
        <is>
          <t>Yes</t>
        </is>
      </c>
      <c r="Z1389" s="30" t="n"/>
      <c r="AA1389" s="30" t="inlineStr">
        <is>
          <t>Good finish</t>
        </is>
      </c>
      <c r="AB1389" s="30" t="inlineStr">
        <is>
          <t>Yes</t>
        </is>
      </c>
      <c r="AC1389" s="27" t="n"/>
      <c r="AD1389" s="31" t="inlineStr">
        <is>
          <t>No</t>
        </is>
      </c>
      <c r="AE1389" s="32">
        <f>IF(W1389="","",IF(Z1389="Yes","❌ Disc",IF(Y1389="No","⚠ Missing",IF(AB1389="Yes","✓ OK","⚠ Check"))))</f>
        <v/>
      </c>
      <c r="AF1389" s="33" t="n"/>
      <c r="AG1389" s="33" t="n"/>
      <c r="AH1389" s="33" t="n"/>
      <c r="AI1389" s="33" t="n"/>
      <c r="AJ1389" s="33" t="n"/>
      <c r="AK1389" s="33" t="n"/>
      <c r="AL1389" s="27" t="n"/>
      <c r="AM1389" s="34" t="n"/>
      <c r="AN1389" s="35">
        <f>IF(AF1389="","",IF(AI1389="Yes","❌ Disc",IF(AH1389="No","⚠ Missing",IF(AK1389="Yes","✓ OK","⚠ Check"))))</f>
        <v/>
      </c>
      <c r="AO1389" s="36" t="n"/>
      <c r="AP1389" s="36" t="n"/>
      <c r="AQ1389" s="36" t="n"/>
      <c r="AR1389" s="36" t="n"/>
      <c r="AS1389" s="36" t="n"/>
      <c r="AT1389" s="36" t="n"/>
      <c r="AU1389" s="27" t="n"/>
      <c r="AV1389" s="37" t="n"/>
      <c r="AW1389" s="38">
        <f>IF(AO1389="","",IF(AR1389="Yes","❌ Disc",IF(AQ1389="No","⚠ Missing",IF(AT1389="Yes","✓ OK","⚠ Check"))))</f>
        <v/>
      </c>
    </row>
    <row r="1390" ht="18" customHeight="1" s="46">
      <c r="A1390" s="39" t="n">
        <v>1386</v>
      </c>
      <c r="B1390" s="40" t="inlineStr">
        <is>
          <t>BD-VRM-2024-0544</t>
        </is>
      </c>
      <c r="C1390" s="41" t="inlineStr">
        <is>
          <t>MELANGE II - Nature Green  Customized Wallpaper(108) - 1711748359</t>
        </is>
      </c>
      <c r="D1390" s="39" t="inlineStr">
        <is>
          <t>Marshalls</t>
        </is>
      </c>
      <c r="E1390" s="43" t="n">
        <v>46125</v>
      </c>
      <c r="F1390" s="26" t="inlineStr">
        <is>
          <t>Sunil CR</t>
        </is>
      </c>
      <c r="G1390" s="26" t="inlineStr">
        <is>
          <t>Yes</t>
        </is>
      </c>
      <c r="H1390" s="26" t="inlineStr">
        <is>
          <t>No</t>
        </is>
      </c>
      <c r="I1390" s="26" t="inlineStr">
        <is>
          <t>Good finish</t>
        </is>
      </c>
      <c r="J1390" s="26" t="inlineStr">
        <is>
          <t>Yes</t>
        </is>
      </c>
      <c r="K1390" s="27" t="n"/>
      <c r="L1390" s="28" t="inlineStr">
        <is>
          <t>No</t>
        </is>
      </c>
      <c r="M1390" s="29">
        <f>IF(E1390="","",IF(H1390="Yes","❌ Disc",IF(G1390="No","⚠ Missing",IF(J1390="Yes","✓ OK","⚠ Check"))))</f>
        <v/>
      </c>
      <c r="N1390" s="43" t="n">
        <v>46193</v>
      </c>
      <c r="O1390" s="26" t="inlineStr">
        <is>
          <t>Sunil CR</t>
        </is>
      </c>
      <c r="P1390" s="26" t="inlineStr">
        <is>
          <t>Yes</t>
        </is>
      </c>
      <c r="Q1390" s="26" t="inlineStr">
        <is>
          <t>No</t>
        </is>
      </c>
      <c r="R1390" s="26" t="inlineStr">
        <is>
          <t>Good finish</t>
        </is>
      </c>
      <c r="S1390" s="26" t="inlineStr">
        <is>
          <t>Yes</t>
        </is>
      </c>
      <c r="T1390" s="27" t="n"/>
      <c r="U1390" s="28" t="inlineStr">
        <is>
          <t>No</t>
        </is>
      </c>
      <c r="V1390" s="29">
        <f>IF(N1390="","",IF(Q1390="Yes","❌ Disc",IF(P1390="No","⚠ Missing",IF(S1390="Yes","✓ OK","⚠ Check"))))</f>
        <v/>
      </c>
      <c r="W1390" s="65" t="n">
        <v>46248</v>
      </c>
      <c r="X1390" s="30" t="inlineStr">
        <is>
          <t>Sunil CR</t>
        </is>
      </c>
      <c r="Y1390" s="30" t="inlineStr">
        <is>
          <t>Yes</t>
        </is>
      </c>
      <c r="Z1390" s="30" t="n"/>
      <c r="AA1390" s="30" t="inlineStr">
        <is>
          <t>Good finish</t>
        </is>
      </c>
      <c r="AB1390" s="30" t="inlineStr">
        <is>
          <t>Yes</t>
        </is>
      </c>
      <c r="AC1390" s="27" t="n"/>
      <c r="AD1390" s="31" t="inlineStr">
        <is>
          <t>No</t>
        </is>
      </c>
      <c r="AE1390" s="32">
        <f>IF(W1390="","",IF(Z1390="Yes","❌ Disc",IF(Y1390="No","⚠ Missing",IF(AB1390="Yes","✓ OK","⚠ Check"))))</f>
        <v/>
      </c>
      <c r="AF1390" s="33" t="n"/>
      <c r="AG1390" s="33" t="n"/>
      <c r="AH1390" s="33" t="n"/>
      <c r="AI1390" s="33" t="n"/>
      <c r="AJ1390" s="33" t="n"/>
      <c r="AK1390" s="33" t="n"/>
      <c r="AL1390" s="27" t="n"/>
      <c r="AM1390" s="34" t="n"/>
      <c r="AN1390" s="35">
        <f>IF(AF1390="","",IF(AI1390="Yes","❌ Disc",IF(AH1390="No","⚠ Missing",IF(AK1390="Yes","✓ OK","⚠ Check"))))</f>
        <v/>
      </c>
      <c r="AO1390" s="36" t="n"/>
      <c r="AP1390" s="36" t="n"/>
      <c r="AQ1390" s="36" t="n"/>
      <c r="AR1390" s="36" t="n"/>
      <c r="AS1390" s="36" t="n"/>
      <c r="AT1390" s="36" t="n"/>
      <c r="AU1390" s="27" t="n"/>
      <c r="AV1390" s="37" t="n"/>
      <c r="AW1390" s="38">
        <f>IF(AO1390="","",IF(AR1390="Yes","❌ Disc",IF(AQ1390="No","⚠ Missing",IF(AT1390="Yes","✓ OK","⚠ Check"))))</f>
        <v/>
      </c>
    </row>
    <row r="1391" ht="18" customHeight="1" s="46">
      <c r="A1391" s="23" t="n">
        <v>1387</v>
      </c>
      <c r="B1391" s="24" t="inlineStr">
        <is>
          <t>BD-VRM-2024-0551</t>
        </is>
      </c>
      <c r="C1391" s="25" t="inlineStr">
        <is>
          <t>MELANGE II - Park Ink Drawn Trees bird Summer Customized Wallpaper(115) - 2200473267</t>
        </is>
      </c>
      <c r="D1391" s="23" t="inlineStr">
        <is>
          <t>Marshalls</t>
        </is>
      </c>
      <c r="E1391" s="43" t="n">
        <v>46125</v>
      </c>
      <c r="F1391" s="26" t="inlineStr">
        <is>
          <t>Sunil CR</t>
        </is>
      </c>
      <c r="G1391" s="26" t="inlineStr">
        <is>
          <t>Yes</t>
        </is>
      </c>
      <c r="H1391" s="26" t="inlineStr">
        <is>
          <t>No</t>
        </is>
      </c>
      <c r="I1391" s="26" t="inlineStr">
        <is>
          <t>Good finish</t>
        </is>
      </c>
      <c r="J1391" s="26" t="inlineStr">
        <is>
          <t>Yes</t>
        </is>
      </c>
      <c r="K1391" s="27" t="n"/>
      <c r="L1391" s="28" t="inlineStr">
        <is>
          <t>No</t>
        </is>
      </c>
      <c r="M1391" s="29">
        <f>IF(E1391="","",IF(H1391="Yes","❌ Disc",IF(G1391="No","⚠ Missing",IF(J1391="Yes","✓ OK","⚠ Check"))))</f>
        <v/>
      </c>
      <c r="N1391" s="43" t="n">
        <v>46193</v>
      </c>
      <c r="O1391" s="26" t="inlineStr">
        <is>
          <t>Sunil CR</t>
        </is>
      </c>
      <c r="P1391" s="26" t="inlineStr">
        <is>
          <t>Yes</t>
        </is>
      </c>
      <c r="Q1391" s="26" t="inlineStr">
        <is>
          <t>No</t>
        </is>
      </c>
      <c r="R1391" s="26" t="inlineStr">
        <is>
          <t>Good finish</t>
        </is>
      </c>
      <c r="S1391" s="26" t="inlineStr">
        <is>
          <t>Yes</t>
        </is>
      </c>
      <c r="T1391" s="27" t="n"/>
      <c r="U1391" s="28" t="inlineStr">
        <is>
          <t>No</t>
        </is>
      </c>
      <c r="V1391" s="29">
        <f>IF(N1391="","",IF(Q1391="Yes","❌ Disc",IF(P1391="No","⚠ Missing",IF(S1391="Yes","✓ OK","⚠ Check"))))</f>
        <v/>
      </c>
      <c r="W1391" s="65" t="n">
        <v>46248</v>
      </c>
      <c r="X1391" s="30" t="inlineStr">
        <is>
          <t>Sunil CR</t>
        </is>
      </c>
      <c r="Y1391" s="30" t="inlineStr">
        <is>
          <t>Yes</t>
        </is>
      </c>
      <c r="Z1391" s="30" t="n"/>
      <c r="AA1391" s="30" t="inlineStr">
        <is>
          <t>Good finish</t>
        </is>
      </c>
      <c r="AB1391" s="30" t="inlineStr">
        <is>
          <t>Yes</t>
        </is>
      </c>
      <c r="AC1391" s="27" t="n"/>
      <c r="AD1391" s="31" t="inlineStr">
        <is>
          <t>No</t>
        </is>
      </c>
      <c r="AE1391" s="32">
        <f>IF(W1391="","",IF(Z1391="Yes","❌ Disc",IF(Y1391="No","⚠ Missing",IF(AB1391="Yes","✓ OK","⚠ Check"))))</f>
        <v/>
      </c>
      <c r="AF1391" s="33" t="n"/>
      <c r="AG1391" s="33" t="n"/>
      <c r="AH1391" s="33" t="n"/>
      <c r="AI1391" s="33" t="n"/>
      <c r="AJ1391" s="33" t="n"/>
      <c r="AK1391" s="33" t="n"/>
      <c r="AL1391" s="27" t="n"/>
      <c r="AM1391" s="34" t="n"/>
      <c r="AN1391" s="35">
        <f>IF(AF1391="","",IF(AI1391="Yes","❌ Disc",IF(AH1391="No","⚠ Missing",IF(AK1391="Yes","✓ OK","⚠ Check"))))</f>
        <v/>
      </c>
      <c r="AO1391" s="36" t="n"/>
      <c r="AP1391" s="36" t="n"/>
      <c r="AQ1391" s="36" t="n"/>
      <c r="AR1391" s="36" t="n"/>
      <c r="AS1391" s="36" t="n"/>
      <c r="AT1391" s="36" t="n"/>
      <c r="AU1391" s="27" t="n"/>
      <c r="AV1391" s="37" t="n"/>
      <c r="AW1391" s="38">
        <f>IF(AO1391="","",IF(AR1391="Yes","❌ Disc",IF(AQ1391="No","⚠ Missing",IF(AT1391="Yes","✓ OK","⚠ Check"))))</f>
        <v/>
      </c>
    </row>
    <row r="1392" ht="18" customHeight="1" s="46">
      <c r="A1392" s="39" t="n">
        <v>1388</v>
      </c>
      <c r="B1392" s="40" t="inlineStr">
        <is>
          <t>BD-VRM-2024-0577</t>
        </is>
      </c>
      <c r="C1392" s="41" t="inlineStr">
        <is>
          <t>MELANGE II - Park Tree Floral Seamless Pattern  Customized Wallpaper(141) - 2157708247</t>
        </is>
      </c>
      <c r="D1392" s="39" t="inlineStr">
        <is>
          <t>Marshalls</t>
        </is>
      </c>
      <c r="E1392" s="43" t="n">
        <v>46125</v>
      </c>
      <c r="F1392" s="26" t="inlineStr">
        <is>
          <t>Sunil CR</t>
        </is>
      </c>
      <c r="G1392" s="26" t="inlineStr">
        <is>
          <t>Yes</t>
        </is>
      </c>
      <c r="H1392" s="26" t="inlineStr">
        <is>
          <t>No</t>
        </is>
      </c>
      <c r="I1392" s="26" t="inlineStr">
        <is>
          <t>Good finish</t>
        </is>
      </c>
      <c r="J1392" s="26" t="inlineStr">
        <is>
          <t>Yes</t>
        </is>
      </c>
      <c r="K1392" s="27" t="n"/>
      <c r="L1392" s="28" t="inlineStr">
        <is>
          <t>No</t>
        </is>
      </c>
      <c r="M1392" s="29">
        <f>IF(E1392="","",IF(H1392="Yes","❌ Disc",IF(G1392="No","⚠ Missing",IF(J1392="Yes","✓ OK","⚠ Check"))))</f>
        <v/>
      </c>
      <c r="N1392" s="43" t="n">
        <v>46193</v>
      </c>
      <c r="O1392" s="26" t="inlineStr">
        <is>
          <t>Sunil CR</t>
        </is>
      </c>
      <c r="P1392" s="26" t="inlineStr">
        <is>
          <t>Yes</t>
        </is>
      </c>
      <c r="Q1392" s="26" t="inlineStr">
        <is>
          <t>No</t>
        </is>
      </c>
      <c r="R1392" s="26" t="inlineStr">
        <is>
          <t>Good finish</t>
        </is>
      </c>
      <c r="S1392" s="26" t="inlineStr">
        <is>
          <t>Yes</t>
        </is>
      </c>
      <c r="T1392" s="27" t="n"/>
      <c r="U1392" s="28" t="inlineStr">
        <is>
          <t>No</t>
        </is>
      </c>
      <c r="V1392" s="29">
        <f>IF(N1392="","",IF(Q1392="Yes","❌ Disc",IF(P1392="No","⚠ Missing",IF(S1392="Yes","✓ OK","⚠ Check"))))</f>
        <v/>
      </c>
      <c r="W1392" s="65" t="n">
        <v>46248</v>
      </c>
      <c r="X1392" s="30" t="inlineStr">
        <is>
          <t>Sunil CR</t>
        </is>
      </c>
      <c r="Y1392" s="30" t="inlineStr">
        <is>
          <t>Yes</t>
        </is>
      </c>
      <c r="Z1392" s="30" t="n"/>
      <c r="AA1392" s="30" t="inlineStr">
        <is>
          <t>Good finish</t>
        </is>
      </c>
      <c r="AB1392" s="30" t="inlineStr">
        <is>
          <t>Yes</t>
        </is>
      </c>
      <c r="AC1392" s="27" t="n"/>
      <c r="AD1392" s="31" t="inlineStr">
        <is>
          <t>No</t>
        </is>
      </c>
      <c r="AE1392" s="32">
        <f>IF(W1392="","",IF(Z1392="Yes","❌ Disc",IF(Y1392="No","⚠ Missing",IF(AB1392="Yes","✓ OK","⚠ Check"))))</f>
        <v/>
      </c>
      <c r="AF1392" s="33" t="n"/>
      <c r="AG1392" s="33" t="n"/>
      <c r="AH1392" s="33" t="n"/>
      <c r="AI1392" s="33" t="n"/>
      <c r="AJ1392" s="33" t="n"/>
      <c r="AK1392" s="33" t="n"/>
      <c r="AL1392" s="27" t="n"/>
      <c r="AM1392" s="34" t="n"/>
      <c r="AN1392" s="35">
        <f>IF(AF1392="","",IF(AI1392="Yes","❌ Disc",IF(AH1392="No","⚠ Missing",IF(AK1392="Yes","✓ OK","⚠ Check"))))</f>
        <v/>
      </c>
      <c r="AO1392" s="36" t="n"/>
      <c r="AP1392" s="36" t="n"/>
      <c r="AQ1392" s="36" t="n"/>
      <c r="AR1392" s="36" t="n"/>
      <c r="AS1392" s="36" t="n"/>
      <c r="AT1392" s="36" t="n"/>
      <c r="AU1392" s="27" t="n"/>
      <c r="AV1392" s="37" t="n"/>
      <c r="AW1392" s="38">
        <f>IF(AO1392="","",IF(AR1392="Yes","❌ Disc",IF(AQ1392="No","⚠ Missing",IF(AT1392="Yes","✓ OK","⚠ Check"))))</f>
        <v/>
      </c>
    </row>
    <row r="1393" ht="18" customHeight="1" s="46">
      <c r="A1393" s="23" t="n">
        <v>1389</v>
      </c>
      <c r="B1393" s="24" t="inlineStr">
        <is>
          <t>BD-VRM-2024-0573</t>
        </is>
      </c>
      <c r="C1393" s="25" t="inlineStr">
        <is>
          <t>MELANGE II - Red Brick Wall Customized Wallpaper(137) - 201754925</t>
        </is>
      </c>
      <c r="D1393" s="23" t="inlineStr">
        <is>
          <t>Marshalls</t>
        </is>
      </c>
      <c r="E1393" s="43" t="n">
        <v>46125</v>
      </c>
      <c r="F1393" s="26" t="inlineStr">
        <is>
          <t>Sunil CR</t>
        </is>
      </c>
      <c r="G1393" s="26" t="inlineStr">
        <is>
          <t>Yes</t>
        </is>
      </c>
      <c r="H1393" s="26" t="inlineStr">
        <is>
          <t>No</t>
        </is>
      </c>
      <c r="I1393" s="26" t="inlineStr">
        <is>
          <t>Good finish</t>
        </is>
      </c>
      <c r="J1393" s="26" t="inlineStr">
        <is>
          <t>Yes</t>
        </is>
      </c>
      <c r="K1393" s="27" t="n"/>
      <c r="L1393" s="28" t="inlineStr">
        <is>
          <t>No</t>
        </is>
      </c>
      <c r="M1393" s="29">
        <f>IF(E1393="","",IF(H1393="Yes","❌ Disc",IF(G1393="No","⚠ Missing",IF(J1393="Yes","✓ OK","⚠ Check"))))</f>
        <v/>
      </c>
      <c r="N1393" s="43" t="n">
        <v>46193</v>
      </c>
      <c r="O1393" s="26" t="inlineStr">
        <is>
          <t>Sunil CR</t>
        </is>
      </c>
      <c r="P1393" s="26" t="inlineStr">
        <is>
          <t>Yes</t>
        </is>
      </c>
      <c r="Q1393" s="26" t="inlineStr">
        <is>
          <t>No</t>
        </is>
      </c>
      <c r="R1393" s="26" t="inlineStr">
        <is>
          <t>Good finish</t>
        </is>
      </c>
      <c r="S1393" s="26" t="inlineStr">
        <is>
          <t>Yes</t>
        </is>
      </c>
      <c r="T1393" s="27" t="n"/>
      <c r="U1393" s="28" t="inlineStr">
        <is>
          <t>No</t>
        </is>
      </c>
      <c r="V1393" s="29">
        <f>IF(N1393="","",IF(Q1393="Yes","❌ Disc",IF(P1393="No","⚠ Missing",IF(S1393="Yes","✓ OK","⚠ Check"))))</f>
        <v/>
      </c>
      <c r="W1393" s="65" t="n">
        <v>46248</v>
      </c>
      <c r="X1393" s="30" t="inlineStr">
        <is>
          <t>Sunil CR</t>
        </is>
      </c>
      <c r="Y1393" s="30" t="inlineStr">
        <is>
          <t>Yes</t>
        </is>
      </c>
      <c r="Z1393" s="30" t="n"/>
      <c r="AA1393" s="30" t="inlineStr">
        <is>
          <t>Good finish</t>
        </is>
      </c>
      <c r="AB1393" s="30" t="inlineStr">
        <is>
          <t>Yes</t>
        </is>
      </c>
      <c r="AC1393" s="27" t="n"/>
      <c r="AD1393" s="31" t="inlineStr">
        <is>
          <t>No</t>
        </is>
      </c>
      <c r="AE1393" s="32">
        <f>IF(W1393="","",IF(Z1393="Yes","❌ Disc",IF(Y1393="No","⚠ Missing",IF(AB1393="Yes","✓ OK","⚠ Check"))))</f>
        <v/>
      </c>
      <c r="AF1393" s="33" t="n"/>
      <c r="AG1393" s="33" t="n"/>
      <c r="AH1393" s="33" t="n"/>
      <c r="AI1393" s="33" t="n"/>
      <c r="AJ1393" s="33" t="n"/>
      <c r="AK1393" s="33" t="n"/>
      <c r="AL1393" s="27" t="n"/>
      <c r="AM1393" s="34" t="n"/>
      <c r="AN1393" s="35">
        <f>IF(AF1393="","",IF(AI1393="Yes","❌ Disc",IF(AH1393="No","⚠ Missing",IF(AK1393="Yes","✓ OK","⚠ Check"))))</f>
        <v/>
      </c>
      <c r="AO1393" s="36" t="n"/>
      <c r="AP1393" s="36" t="n"/>
      <c r="AQ1393" s="36" t="n"/>
      <c r="AR1393" s="36" t="n"/>
      <c r="AS1393" s="36" t="n"/>
      <c r="AT1393" s="36" t="n"/>
      <c r="AU1393" s="27" t="n"/>
      <c r="AV1393" s="37" t="n"/>
      <c r="AW1393" s="38">
        <f>IF(AO1393="","",IF(AR1393="Yes","❌ Disc",IF(AQ1393="No","⚠ Missing",IF(AT1393="Yes","✓ OK","⚠ Check"))))</f>
        <v/>
      </c>
    </row>
    <row r="1394" ht="18" customHeight="1" s="46">
      <c r="A1394" s="39" t="n">
        <v>1390</v>
      </c>
      <c r="B1394" s="40" t="inlineStr">
        <is>
          <t>BD-VRM-2024-0545</t>
        </is>
      </c>
      <c r="C1394" s="41" t="inlineStr">
        <is>
          <t>MELANGE II - Royalty Free Customized Wallpaper(109) - 2036783357</t>
        </is>
      </c>
      <c r="D1394" s="39" t="inlineStr">
        <is>
          <t>Marshalls</t>
        </is>
      </c>
      <c r="E1394" s="43" t="n">
        <v>46125</v>
      </c>
      <c r="F1394" s="26" t="inlineStr">
        <is>
          <t>Sunil CR</t>
        </is>
      </c>
      <c r="G1394" s="26" t="inlineStr">
        <is>
          <t>Yes</t>
        </is>
      </c>
      <c r="H1394" s="26" t="inlineStr">
        <is>
          <t>No</t>
        </is>
      </c>
      <c r="I1394" s="26" t="inlineStr">
        <is>
          <t>Good finish</t>
        </is>
      </c>
      <c r="J1394" s="26" t="inlineStr">
        <is>
          <t>Yes</t>
        </is>
      </c>
      <c r="K1394" s="27" t="n"/>
      <c r="L1394" s="28" t="inlineStr">
        <is>
          <t>No</t>
        </is>
      </c>
      <c r="M1394" s="29">
        <f>IF(E1394="","",IF(H1394="Yes","❌ Disc",IF(G1394="No","⚠ Missing",IF(J1394="Yes","✓ OK","⚠ Check"))))</f>
        <v/>
      </c>
      <c r="N1394" s="43" t="n">
        <v>46193</v>
      </c>
      <c r="O1394" s="26" t="inlineStr">
        <is>
          <t>Sunil CR</t>
        </is>
      </c>
      <c r="P1394" s="26" t="inlineStr">
        <is>
          <t>Yes</t>
        </is>
      </c>
      <c r="Q1394" s="26" t="inlineStr">
        <is>
          <t>No</t>
        </is>
      </c>
      <c r="R1394" s="26" t="inlineStr">
        <is>
          <t>Good finish</t>
        </is>
      </c>
      <c r="S1394" s="26" t="inlineStr">
        <is>
          <t>Yes</t>
        </is>
      </c>
      <c r="T1394" s="27" t="n"/>
      <c r="U1394" s="28" t="inlineStr">
        <is>
          <t>No</t>
        </is>
      </c>
      <c r="V1394" s="29">
        <f>IF(N1394="","",IF(Q1394="Yes","❌ Disc",IF(P1394="No","⚠ Missing",IF(S1394="Yes","✓ OK","⚠ Check"))))</f>
        <v/>
      </c>
      <c r="W1394" s="65" t="n">
        <v>46248</v>
      </c>
      <c r="X1394" s="30" t="inlineStr">
        <is>
          <t>Sunil CR</t>
        </is>
      </c>
      <c r="Y1394" s="30" t="inlineStr">
        <is>
          <t>Yes</t>
        </is>
      </c>
      <c r="Z1394" s="30" t="n"/>
      <c r="AA1394" s="30" t="inlineStr">
        <is>
          <t>Good finish</t>
        </is>
      </c>
      <c r="AB1394" s="30" t="inlineStr">
        <is>
          <t>Yes</t>
        </is>
      </c>
      <c r="AC1394" s="27" t="n"/>
      <c r="AD1394" s="31" t="inlineStr">
        <is>
          <t>No</t>
        </is>
      </c>
      <c r="AE1394" s="32">
        <f>IF(W1394="","",IF(Z1394="Yes","❌ Disc",IF(Y1394="No","⚠ Missing",IF(AB1394="Yes","✓ OK","⚠ Check"))))</f>
        <v/>
      </c>
      <c r="AF1394" s="33" t="n"/>
      <c r="AG1394" s="33" t="n"/>
      <c r="AH1394" s="33" t="n"/>
      <c r="AI1394" s="33" t="n"/>
      <c r="AJ1394" s="33" t="n"/>
      <c r="AK1394" s="33" t="n"/>
      <c r="AL1394" s="27" t="n"/>
      <c r="AM1394" s="34" t="n"/>
      <c r="AN1394" s="35">
        <f>IF(AF1394="","",IF(AI1394="Yes","❌ Disc",IF(AH1394="No","⚠ Missing",IF(AK1394="Yes","✓ OK","⚠ Check"))))</f>
        <v/>
      </c>
      <c r="AO1394" s="36" t="n"/>
      <c r="AP1394" s="36" t="n"/>
      <c r="AQ1394" s="36" t="n"/>
      <c r="AR1394" s="36" t="n"/>
      <c r="AS1394" s="36" t="n"/>
      <c r="AT1394" s="36" t="n"/>
      <c r="AU1394" s="27" t="n"/>
      <c r="AV1394" s="37" t="n"/>
      <c r="AW1394" s="38">
        <f>IF(AO1394="","",IF(AR1394="Yes","❌ Disc",IF(AQ1394="No","⚠ Missing",IF(AT1394="Yes","✓ OK","⚠ Check"))))</f>
        <v/>
      </c>
    </row>
    <row r="1395" ht="18" customHeight="1" s="46">
      <c r="A1395" s="23" t="n">
        <v>1391</v>
      </c>
      <c r="B1395" s="24" t="inlineStr">
        <is>
          <t>BD-VRM-2024-0559</t>
        </is>
      </c>
      <c r="C1395" s="25" t="inlineStr">
        <is>
          <t>MELANGE II - Safari Animal Frame Customized Wallpaper(123) - 2150029057</t>
        </is>
      </c>
      <c r="D1395" s="23" t="inlineStr">
        <is>
          <t>Marshalls</t>
        </is>
      </c>
      <c r="E1395" s="43" t="n">
        <v>46125</v>
      </c>
      <c r="F1395" s="26" t="inlineStr">
        <is>
          <t>Sunil CR</t>
        </is>
      </c>
      <c r="G1395" s="26" t="inlineStr">
        <is>
          <t>Yes</t>
        </is>
      </c>
      <c r="H1395" s="26" t="inlineStr">
        <is>
          <t>No</t>
        </is>
      </c>
      <c r="I1395" s="26" t="inlineStr">
        <is>
          <t>Good finish</t>
        </is>
      </c>
      <c r="J1395" s="26" t="inlineStr">
        <is>
          <t>Yes</t>
        </is>
      </c>
      <c r="K1395" s="27" t="n"/>
      <c r="L1395" s="28" t="inlineStr">
        <is>
          <t>No</t>
        </is>
      </c>
      <c r="M1395" s="29">
        <f>IF(E1395="","",IF(H1395="Yes","❌ Disc",IF(G1395="No","⚠ Missing",IF(J1395="Yes","✓ OK","⚠ Check"))))</f>
        <v/>
      </c>
      <c r="N1395" s="43" t="n">
        <v>46193</v>
      </c>
      <c r="O1395" s="26" t="inlineStr">
        <is>
          <t>Sunil CR</t>
        </is>
      </c>
      <c r="P1395" s="26" t="inlineStr">
        <is>
          <t>Yes</t>
        </is>
      </c>
      <c r="Q1395" s="26" t="inlineStr">
        <is>
          <t>No</t>
        </is>
      </c>
      <c r="R1395" s="26" t="inlineStr">
        <is>
          <t>Good finish</t>
        </is>
      </c>
      <c r="S1395" s="26" t="inlineStr">
        <is>
          <t>Yes</t>
        </is>
      </c>
      <c r="T1395" s="27" t="n"/>
      <c r="U1395" s="28" t="inlineStr">
        <is>
          <t>No</t>
        </is>
      </c>
      <c r="V1395" s="29">
        <f>IF(N1395="","",IF(Q1395="Yes","❌ Disc",IF(P1395="No","⚠ Missing",IF(S1395="Yes","✓ OK","⚠ Check"))))</f>
        <v/>
      </c>
      <c r="W1395" s="65" t="n">
        <v>46248</v>
      </c>
      <c r="X1395" s="30" t="inlineStr">
        <is>
          <t>Sunil CR</t>
        </is>
      </c>
      <c r="Y1395" s="30" t="inlineStr">
        <is>
          <t>Yes</t>
        </is>
      </c>
      <c r="Z1395" s="30" t="n"/>
      <c r="AA1395" s="30" t="inlineStr">
        <is>
          <t>Good finish</t>
        </is>
      </c>
      <c r="AB1395" s="30" t="inlineStr">
        <is>
          <t>Yes</t>
        </is>
      </c>
      <c r="AC1395" s="27" t="n"/>
      <c r="AD1395" s="31" t="inlineStr">
        <is>
          <t>No</t>
        </is>
      </c>
      <c r="AE1395" s="32">
        <f>IF(W1395="","",IF(Z1395="Yes","❌ Disc",IF(Y1395="No","⚠ Missing",IF(AB1395="Yes","✓ OK","⚠ Check"))))</f>
        <v/>
      </c>
      <c r="AF1395" s="33" t="n"/>
      <c r="AG1395" s="33" t="n"/>
      <c r="AH1395" s="33" t="n"/>
      <c r="AI1395" s="33" t="n"/>
      <c r="AJ1395" s="33" t="n"/>
      <c r="AK1395" s="33" t="n"/>
      <c r="AL1395" s="27" t="n"/>
      <c r="AM1395" s="34" t="n"/>
      <c r="AN1395" s="35">
        <f>IF(AF1395="","",IF(AI1395="Yes","❌ Disc",IF(AH1395="No","⚠ Missing",IF(AK1395="Yes","✓ OK","⚠ Check"))))</f>
        <v/>
      </c>
      <c r="AO1395" s="36" t="n"/>
      <c r="AP1395" s="36" t="n"/>
      <c r="AQ1395" s="36" t="n"/>
      <c r="AR1395" s="36" t="n"/>
      <c r="AS1395" s="36" t="n"/>
      <c r="AT1395" s="36" t="n"/>
      <c r="AU1395" s="27" t="n"/>
      <c r="AV1395" s="37" t="n"/>
      <c r="AW1395" s="38">
        <f>IF(AO1395="","",IF(AR1395="Yes","❌ Disc",IF(AQ1395="No","⚠ Missing",IF(AT1395="Yes","✓ OK","⚠ Check"))))</f>
        <v/>
      </c>
    </row>
    <row r="1396" ht="18" customHeight="1" s="46">
      <c r="A1396" s="39" t="n">
        <v>1392</v>
      </c>
      <c r="B1396" s="40" t="inlineStr">
        <is>
          <t>BD-VRM-2024-0570</t>
        </is>
      </c>
      <c r="C1396" s="41" t="inlineStr">
        <is>
          <t>MELANGE II - Seamless Abstract Background Pattern Lines Curves Customized Wallpaper(134) - 1896336469</t>
        </is>
      </c>
      <c r="D1396" s="39" t="inlineStr">
        <is>
          <t>Marshalls</t>
        </is>
      </c>
      <c r="E1396" s="43" t="n">
        <v>46125</v>
      </c>
      <c r="F1396" s="26" t="inlineStr">
        <is>
          <t>Sunil CR</t>
        </is>
      </c>
      <c r="G1396" s="26" t="inlineStr">
        <is>
          <t>Yes</t>
        </is>
      </c>
      <c r="H1396" s="26" t="inlineStr">
        <is>
          <t>No</t>
        </is>
      </c>
      <c r="I1396" s="26" t="inlineStr">
        <is>
          <t>Good finish</t>
        </is>
      </c>
      <c r="J1396" s="26" t="inlineStr">
        <is>
          <t>Yes</t>
        </is>
      </c>
      <c r="K1396" s="27" t="n"/>
      <c r="L1396" s="28" t="inlineStr">
        <is>
          <t>No</t>
        </is>
      </c>
      <c r="M1396" s="29">
        <f>IF(E1396="","",IF(H1396="Yes","❌ Disc",IF(G1396="No","⚠ Missing",IF(J1396="Yes","✓ OK","⚠ Check"))))</f>
        <v/>
      </c>
      <c r="N1396" s="43" t="n">
        <v>46193</v>
      </c>
      <c r="O1396" s="26" t="inlineStr">
        <is>
          <t>Sunil CR</t>
        </is>
      </c>
      <c r="P1396" s="26" t="inlineStr">
        <is>
          <t>Yes</t>
        </is>
      </c>
      <c r="Q1396" s="26" t="inlineStr">
        <is>
          <t>No</t>
        </is>
      </c>
      <c r="R1396" s="26" t="inlineStr">
        <is>
          <t>Good finish</t>
        </is>
      </c>
      <c r="S1396" s="26" t="inlineStr">
        <is>
          <t>Yes</t>
        </is>
      </c>
      <c r="T1396" s="27" t="n"/>
      <c r="U1396" s="28" t="inlineStr">
        <is>
          <t>No</t>
        </is>
      </c>
      <c r="V1396" s="29">
        <f>IF(N1396="","",IF(Q1396="Yes","❌ Disc",IF(P1396="No","⚠ Missing",IF(S1396="Yes","✓ OK","⚠ Check"))))</f>
        <v/>
      </c>
      <c r="W1396" s="65" t="n">
        <v>46248</v>
      </c>
      <c r="X1396" s="30" t="inlineStr">
        <is>
          <t>Sunil CR</t>
        </is>
      </c>
      <c r="Y1396" s="30" t="inlineStr">
        <is>
          <t>Yes</t>
        </is>
      </c>
      <c r="Z1396" s="30" t="n"/>
      <c r="AA1396" s="30" t="inlineStr">
        <is>
          <t>Good finish</t>
        </is>
      </c>
      <c r="AB1396" s="30" t="inlineStr">
        <is>
          <t>Yes</t>
        </is>
      </c>
      <c r="AC1396" s="27" t="n"/>
      <c r="AD1396" s="31" t="inlineStr">
        <is>
          <t>No</t>
        </is>
      </c>
      <c r="AE1396" s="32">
        <f>IF(W1396="","",IF(Z1396="Yes","❌ Disc",IF(Y1396="No","⚠ Missing",IF(AB1396="Yes","✓ OK","⚠ Check"))))</f>
        <v/>
      </c>
      <c r="AF1396" s="33" t="n"/>
      <c r="AG1396" s="33" t="n"/>
      <c r="AH1396" s="33" t="n"/>
      <c r="AI1396" s="33" t="n"/>
      <c r="AJ1396" s="33" t="n"/>
      <c r="AK1396" s="33" t="n"/>
      <c r="AL1396" s="27" t="n"/>
      <c r="AM1396" s="34" t="n"/>
      <c r="AN1396" s="35">
        <f>IF(AF1396="","",IF(AI1396="Yes","❌ Disc",IF(AH1396="No","⚠ Missing",IF(AK1396="Yes","✓ OK","⚠ Check"))))</f>
        <v/>
      </c>
      <c r="AO1396" s="36" t="n"/>
      <c r="AP1396" s="36" t="n"/>
      <c r="AQ1396" s="36" t="n"/>
      <c r="AR1396" s="36" t="n"/>
      <c r="AS1396" s="36" t="n"/>
      <c r="AT1396" s="36" t="n"/>
      <c r="AU1396" s="27" t="n"/>
      <c r="AV1396" s="37" t="n"/>
      <c r="AW1396" s="38">
        <f>IF(AO1396="","",IF(AR1396="Yes","❌ Disc",IF(AQ1396="No","⚠ Missing",IF(AT1396="Yes","✓ OK","⚠ Check"))))</f>
        <v/>
      </c>
    </row>
    <row r="1397" ht="18" customHeight="1" s="46">
      <c r="A1397" s="23" t="n">
        <v>1393</v>
      </c>
      <c r="B1397" s="24" t="inlineStr">
        <is>
          <t>BD-VRM-2024-0568</t>
        </is>
      </c>
      <c r="C1397" s="25" t="inlineStr">
        <is>
          <t>MELANGE II - Seamless Abstract Leaves pattern Customized Wallpaper(132) - 1771021865</t>
        </is>
      </c>
      <c r="D1397" s="23" t="inlineStr">
        <is>
          <t>Marshalls</t>
        </is>
      </c>
      <c r="E1397" s="43" t="n">
        <v>46125</v>
      </c>
      <c r="F1397" s="26" t="inlineStr">
        <is>
          <t>Sunil CR</t>
        </is>
      </c>
      <c r="G1397" s="26" t="inlineStr">
        <is>
          <t>Yes</t>
        </is>
      </c>
      <c r="H1397" s="26" t="inlineStr">
        <is>
          <t>No</t>
        </is>
      </c>
      <c r="I1397" s="26" t="inlineStr">
        <is>
          <t>Good finish</t>
        </is>
      </c>
      <c r="J1397" s="26" t="inlineStr">
        <is>
          <t>Yes</t>
        </is>
      </c>
      <c r="K1397" s="27" t="n"/>
      <c r="L1397" s="28" t="inlineStr">
        <is>
          <t>No</t>
        </is>
      </c>
      <c r="M1397" s="29">
        <f>IF(E1397="","",IF(H1397="Yes","❌ Disc",IF(G1397="No","⚠ Missing",IF(J1397="Yes","✓ OK","⚠ Check"))))</f>
        <v/>
      </c>
      <c r="N1397" s="43" t="n">
        <v>46193</v>
      </c>
      <c r="O1397" s="26" t="inlineStr">
        <is>
          <t>Sunil CR</t>
        </is>
      </c>
      <c r="P1397" s="26" t="inlineStr">
        <is>
          <t>Yes</t>
        </is>
      </c>
      <c r="Q1397" s="26" t="inlineStr">
        <is>
          <t>No</t>
        </is>
      </c>
      <c r="R1397" s="26" t="inlineStr">
        <is>
          <t>Good finish</t>
        </is>
      </c>
      <c r="S1397" s="26" t="inlineStr">
        <is>
          <t>Yes</t>
        </is>
      </c>
      <c r="T1397" s="27" t="n"/>
      <c r="U1397" s="28" t="inlineStr">
        <is>
          <t>No</t>
        </is>
      </c>
      <c r="V1397" s="29">
        <f>IF(N1397="","",IF(Q1397="Yes","❌ Disc",IF(P1397="No","⚠ Missing",IF(S1397="Yes","✓ OK","⚠ Check"))))</f>
        <v/>
      </c>
      <c r="W1397" s="65" t="n">
        <v>46248</v>
      </c>
      <c r="X1397" s="30" t="inlineStr">
        <is>
          <t>Sunil CR</t>
        </is>
      </c>
      <c r="Y1397" s="30" t="inlineStr">
        <is>
          <t>Yes</t>
        </is>
      </c>
      <c r="Z1397" s="30" t="n"/>
      <c r="AA1397" s="30" t="inlineStr">
        <is>
          <t>Good finish</t>
        </is>
      </c>
      <c r="AB1397" s="30" t="inlineStr">
        <is>
          <t>Yes</t>
        </is>
      </c>
      <c r="AC1397" s="27" t="n"/>
      <c r="AD1397" s="31" t="inlineStr">
        <is>
          <t>No</t>
        </is>
      </c>
      <c r="AE1397" s="32">
        <f>IF(W1397="","",IF(Z1397="Yes","❌ Disc",IF(Y1397="No","⚠ Missing",IF(AB1397="Yes","✓ OK","⚠ Check"))))</f>
        <v/>
      </c>
      <c r="AF1397" s="33" t="n"/>
      <c r="AG1397" s="33" t="n"/>
      <c r="AH1397" s="33" t="n"/>
      <c r="AI1397" s="33" t="n"/>
      <c r="AJ1397" s="33" t="n"/>
      <c r="AK1397" s="33" t="n"/>
      <c r="AL1397" s="27" t="n"/>
      <c r="AM1397" s="34" t="n"/>
      <c r="AN1397" s="35">
        <f>IF(AF1397="","",IF(AI1397="Yes","❌ Disc",IF(AH1397="No","⚠ Missing",IF(AK1397="Yes","✓ OK","⚠ Check"))))</f>
        <v/>
      </c>
      <c r="AO1397" s="36" t="n"/>
      <c r="AP1397" s="36" t="n"/>
      <c r="AQ1397" s="36" t="n"/>
      <c r="AR1397" s="36" t="n"/>
      <c r="AS1397" s="36" t="n"/>
      <c r="AT1397" s="36" t="n"/>
      <c r="AU1397" s="27" t="n"/>
      <c r="AV1397" s="37" t="n"/>
      <c r="AW1397" s="38">
        <f>IF(AO1397="","",IF(AR1397="Yes","❌ Disc",IF(AQ1397="No","⚠ Missing",IF(AT1397="Yes","✓ OK","⚠ Check"))))</f>
        <v/>
      </c>
    </row>
    <row r="1398" ht="18" customHeight="1" s="46">
      <c r="A1398" s="39" t="n">
        <v>1394</v>
      </c>
      <c r="B1398" s="40" t="inlineStr">
        <is>
          <t>BD-VRM-2024-0564</t>
        </is>
      </c>
      <c r="C1398" s="41" t="inlineStr">
        <is>
          <t>MELANGE II - Seamless Ethnic Mughal Floral Pattern Customized Wallpaper(128) - 1510576811</t>
        </is>
      </c>
      <c r="D1398" s="39" t="inlineStr">
        <is>
          <t>Marshalls</t>
        </is>
      </c>
      <c r="E1398" s="43" t="n">
        <v>46125</v>
      </c>
      <c r="F1398" s="26" t="inlineStr">
        <is>
          <t>Sunil CR</t>
        </is>
      </c>
      <c r="G1398" s="26" t="inlineStr">
        <is>
          <t>Yes</t>
        </is>
      </c>
      <c r="H1398" s="26" t="inlineStr">
        <is>
          <t>No</t>
        </is>
      </c>
      <c r="I1398" s="26" t="inlineStr">
        <is>
          <t>Good finish</t>
        </is>
      </c>
      <c r="J1398" s="26" t="inlineStr">
        <is>
          <t>Yes</t>
        </is>
      </c>
      <c r="K1398" s="27" t="n"/>
      <c r="L1398" s="28" t="inlineStr">
        <is>
          <t>No</t>
        </is>
      </c>
      <c r="M1398" s="29">
        <f>IF(E1398="","",IF(H1398="Yes","❌ Disc",IF(G1398="No","⚠ Missing",IF(J1398="Yes","✓ OK","⚠ Check"))))</f>
        <v/>
      </c>
      <c r="N1398" s="43" t="n">
        <v>46193</v>
      </c>
      <c r="O1398" s="26" t="inlineStr">
        <is>
          <t>Sunil CR</t>
        </is>
      </c>
      <c r="P1398" s="26" t="inlineStr">
        <is>
          <t>Yes</t>
        </is>
      </c>
      <c r="Q1398" s="26" t="inlineStr">
        <is>
          <t>No</t>
        </is>
      </c>
      <c r="R1398" s="26" t="inlineStr">
        <is>
          <t>Good finish</t>
        </is>
      </c>
      <c r="S1398" s="26" t="inlineStr">
        <is>
          <t>Yes</t>
        </is>
      </c>
      <c r="T1398" s="27" t="n"/>
      <c r="U1398" s="28" t="inlineStr">
        <is>
          <t>No</t>
        </is>
      </c>
      <c r="V1398" s="29">
        <f>IF(N1398="","",IF(Q1398="Yes","❌ Disc",IF(P1398="No","⚠ Missing",IF(S1398="Yes","✓ OK","⚠ Check"))))</f>
        <v/>
      </c>
      <c r="W1398" s="65" t="n">
        <v>46248</v>
      </c>
      <c r="X1398" s="30" t="inlineStr">
        <is>
          <t>Sunil CR</t>
        </is>
      </c>
      <c r="Y1398" s="30" t="inlineStr">
        <is>
          <t>Yes</t>
        </is>
      </c>
      <c r="Z1398" s="30" t="n"/>
      <c r="AA1398" s="30" t="inlineStr">
        <is>
          <t>Good finish</t>
        </is>
      </c>
      <c r="AB1398" s="30" t="inlineStr">
        <is>
          <t>Yes</t>
        </is>
      </c>
      <c r="AC1398" s="27" t="n"/>
      <c r="AD1398" s="31" t="inlineStr">
        <is>
          <t>No</t>
        </is>
      </c>
      <c r="AE1398" s="32">
        <f>IF(W1398="","",IF(Z1398="Yes","❌ Disc",IF(Y1398="No","⚠ Missing",IF(AB1398="Yes","✓ OK","⚠ Check"))))</f>
        <v/>
      </c>
      <c r="AF1398" s="33" t="n"/>
      <c r="AG1398" s="33" t="n"/>
      <c r="AH1398" s="33" t="n"/>
      <c r="AI1398" s="33" t="n"/>
      <c r="AJ1398" s="33" t="n"/>
      <c r="AK1398" s="33" t="n"/>
      <c r="AL1398" s="27" t="n"/>
      <c r="AM1398" s="34" t="n"/>
      <c r="AN1398" s="35">
        <f>IF(AF1398="","",IF(AI1398="Yes","❌ Disc",IF(AH1398="No","⚠ Missing",IF(AK1398="Yes","✓ OK","⚠ Check"))))</f>
        <v/>
      </c>
      <c r="AO1398" s="36" t="n"/>
      <c r="AP1398" s="36" t="n"/>
      <c r="AQ1398" s="36" t="n"/>
      <c r="AR1398" s="36" t="n"/>
      <c r="AS1398" s="36" t="n"/>
      <c r="AT1398" s="36" t="n"/>
      <c r="AU1398" s="27" t="n"/>
      <c r="AV1398" s="37" t="n"/>
      <c r="AW1398" s="38">
        <f>IF(AO1398="","",IF(AR1398="Yes","❌ Disc",IF(AQ1398="No","⚠ Missing",IF(AT1398="Yes","✓ OK","⚠ Check"))))</f>
        <v/>
      </c>
    </row>
    <row r="1399" ht="18" customHeight="1" s="46">
      <c r="A1399" s="23" t="n">
        <v>1395</v>
      </c>
      <c r="B1399" s="24" t="inlineStr">
        <is>
          <t>BD-VRM-2024-0569</t>
        </is>
      </c>
      <c r="C1399" s="25" t="inlineStr">
        <is>
          <t>MELANGE II - Seamless pattern Abstract Line Nude Customized Wallpaper(133) - 1990800821</t>
        </is>
      </c>
      <c r="D1399" s="23" t="inlineStr">
        <is>
          <t>Marshalls</t>
        </is>
      </c>
      <c r="E1399" s="43" t="n">
        <v>46125</v>
      </c>
      <c r="F1399" s="26" t="inlineStr">
        <is>
          <t>Sunil CR</t>
        </is>
      </c>
      <c r="G1399" s="26" t="inlineStr">
        <is>
          <t>Yes</t>
        </is>
      </c>
      <c r="H1399" s="26" t="inlineStr">
        <is>
          <t>No</t>
        </is>
      </c>
      <c r="I1399" s="26" t="inlineStr">
        <is>
          <t>Good finish</t>
        </is>
      </c>
      <c r="J1399" s="26" t="inlineStr">
        <is>
          <t>Yes</t>
        </is>
      </c>
      <c r="K1399" s="27" t="n"/>
      <c r="L1399" s="28" t="inlineStr">
        <is>
          <t>No</t>
        </is>
      </c>
      <c r="M1399" s="29">
        <f>IF(E1399="","",IF(H1399="Yes","❌ Disc",IF(G1399="No","⚠ Missing",IF(J1399="Yes","✓ OK","⚠ Check"))))</f>
        <v/>
      </c>
      <c r="N1399" s="43" t="n">
        <v>46193</v>
      </c>
      <c r="O1399" s="26" t="inlineStr">
        <is>
          <t>Sunil CR</t>
        </is>
      </c>
      <c r="P1399" s="26" t="inlineStr">
        <is>
          <t>Yes</t>
        </is>
      </c>
      <c r="Q1399" s="26" t="inlineStr">
        <is>
          <t>No</t>
        </is>
      </c>
      <c r="R1399" s="26" t="inlineStr">
        <is>
          <t>Good finish</t>
        </is>
      </c>
      <c r="S1399" s="26" t="inlineStr">
        <is>
          <t>Yes</t>
        </is>
      </c>
      <c r="T1399" s="27" t="n"/>
      <c r="U1399" s="28" t="inlineStr">
        <is>
          <t>No</t>
        </is>
      </c>
      <c r="V1399" s="29">
        <f>IF(N1399="","",IF(Q1399="Yes","❌ Disc",IF(P1399="No","⚠ Missing",IF(S1399="Yes","✓ OK","⚠ Check"))))</f>
        <v/>
      </c>
      <c r="W1399" s="65" t="n">
        <v>46248</v>
      </c>
      <c r="X1399" s="30" t="inlineStr">
        <is>
          <t>Sunil CR</t>
        </is>
      </c>
      <c r="Y1399" s="30" t="inlineStr">
        <is>
          <t>Yes</t>
        </is>
      </c>
      <c r="Z1399" s="30" t="n"/>
      <c r="AA1399" s="30" t="inlineStr">
        <is>
          <t>Good finish</t>
        </is>
      </c>
      <c r="AB1399" s="30" t="inlineStr">
        <is>
          <t>Yes</t>
        </is>
      </c>
      <c r="AC1399" s="27" t="n"/>
      <c r="AD1399" s="31" t="inlineStr">
        <is>
          <t>No</t>
        </is>
      </c>
      <c r="AE1399" s="32">
        <f>IF(W1399="","",IF(Z1399="Yes","❌ Disc",IF(Y1399="No","⚠ Missing",IF(AB1399="Yes","✓ OK","⚠ Check"))))</f>
        <v/>
      </c>
      <c r="AF1399" s="33" t="n"/>
      <c r="AG1399" s="33" t="n"/>
      <c r="AH1399" s="33" t="n"/>
      <c r="AI1399" s="33" t="n"/>
      <c r="AJ1399" s="33" t="n"/>
      <c r="AK1399" s="33" t="n"/>
      <c r="AL1399" s="27" t="n"/>
      <c r="AM1399" s="34" t="n"/>
      <c r="AN1399" s="35">
        <f>IF(AF1399="","",IF(AI1399="Yes","❌ Disc",IF(AH1399="No","⚠ Missing",IF(AK1399="Yes","✓ OK","⚠ Check"))))</f>
        <v/>
      </c>
      <c r="AO1399" s="36" t="n"/>
      <c r="AP1399" s="36" t="n"/>
      <c r="AQ1399" s="36" t="n"/>
      <c r="AR1399" s="36" t="n"/>
      <c r="AS1399" s="36" t="n"/>
      <c r="AT1399" s="36" t="n"/>
      <c r="AU1399" s="27" t="n"/>
      <c r="AV1399" s="37" t="n"/>
      <c r="AW1399" s="38">
        <f>IF(AO1399="","",IF(AR1399="Yes","❌ Disc",IF(AQ1399="No","⚠ Missing",IF(AT1399="Yes","✓ OK","⚠ Check"))))</f>
        <v/>
      </c>
    </row>
    <row r="1400" ht="18" customHeight="1" s="46">
      <c r="A1400" s="39" t="n">
        <v>1396</v>
      </c>
      <c r="B1400" s="40" t="inlineStr">
        <is>
          <t>BD-VRM-2024-0576</t>
        </is>
      </c>
      <c r="C1400" s="41" t="inlineStr">
        <is>
          <t>MELANGE II - Shark Vector Pattern Background Customized Wallpaper(140) - 591241133</t>
        </is>
      </c>
      <c r="D1400" s="39" t="inlineStr">
        <is>
          <t>Marshalls</t>
        </is>
      </c>
      <c r="E1400" s="43" t="n">
        <v>46125</v>
      </c>
      <c r="F1400" s="26" t="inlineStr">
        <is>
          <t>Sunil CR</t>
        </is>
      </c>
      <c r="G1400" s="26" t="inlineStr">
        <is>
          <t>Yes</t>
        </is>
      </c>
      <c r="H1400" s="26" t="inlineStr">
        <is>
          <t>No</t>
        </is>
      </c>
      <c r="I1400" s="26" t="inlineStr">
        <is>
          <t>Good finish</t>
        </is>
      </c>
      <c r="J1400" s="26" t="inlineStr">
        <is>
          <t>Yes</t>
        </is>
      </c>
      <c r="K1400" s="27" t="n"/>
      <c r="L1400" s="28" t="inlineStr">
        <is>
          <t>No</t>
        </is>
      </c>
      <c r="M1400" s="29">
        <f>IF(E1400="","",IF(H1400="Yes","❌ Disc",IF(G1400="No","⚠ Missing",IF(J1400="Yes","✓ OK","⚠ Check"))))</f>
        <v/>
      </c>
      <c r="N1400" s="43" t="n">
        <v>46193</v>
      </c>
      <c r="O1400" s="26" t="inlineStr">
        <is>
          <t>Sunil CR</t>
        </is>
      </c>
      <c r="P1400" s="26" t="inlineStr">
        <is>
          <t>Yes</t>
        </is>
      </c>
      <c r="Q1400" s="26" t="inlineStr">
        <is>
          <t>No</t>
        </is>
      </c>
      <c r="R1400" s="26" t="inlineStr">
        <is>
          <t>Good finish</t>
        </is>
      </c>
      <c r="S1400" s="26" t="inlineStr">
        <is>
          <t>Yes</t>
        </is>
      </c>
      <c r="T1400" s="27" t="n"/>
      <c r="U1400" s="28" t="inlineStr">
        <is>
          <t>No</t>
        </is>
      </c>
      <c r="V1400" s="29">
        <f>IF(N1400="","",IF(Q1400="Yes","❌ Disc",IF(P1400="No","⚠ Missing",IF(S1400="Yes","✓ OK","⚠ Check"))))</f>
        <v/>
      </c>
      <c r="W1400" s="65" t="n">
        <v>46248</v>
      </c>
      <c r="X1400" s="30" t="inlineStr">
        <is>
          <t>Sunil CR</t>
        </is>
      </c>
      <c r="Y1400" s="30" t="inlineStr">
        <is>
          <t>Yes</t>
        </is>
      </c>
      <c r="Z1400" s="30" t="n"/>
      <c r="AA1400" s="30" t="inlineStr">
        <is>
          <t>Good finish</t>
        </is>
      </c>
      <c r="AB1400" s="30" t="inlineStr">
        <is>
          <t>Yes</t>
        </is>
      </c>
      <c r="AC1400" s="27" t="n"/>
      <c r="AD1400" s="31" t="inlineStr">
        <is>
          <t>No</t>
        </is>
      </c>
      <c r="AE1400" s="32">
        <f>IF(W1400="","",IF(Z1400="Yes","❌ Disc",IF(Y1400="No","⚠ Missing",IF(AB1400="Yes","✓ OK","⚠ Check"))))</f>
        <v/>
      </c>
      <c r="AF1400" s="33" t="n"/>
      <c r="AG1400" s="33" t="n"/>
      <c r="AH1400" s="33" t="n"/>
      <c r="AI1400" s="33" t="n"/>
      <c r="AJ1400" s="33" t="n"/>
      <c r="AK1400" s="33" t="n"/>
      <c r="AL1400" s="27" t="n"/>
      <c r="AM1400" s="34" t="n"/>
      <c r="AN1400" s="35">
        <f>IF(AF1400="","",IF(AI1400="Yes","❌ Disc",IF(AH1400="No","⚠ Missing",IF(AK1400="Yes","✓ OK","⚠ Check"))))</f>
        <v/>
      </c>
      <c r="AO1400" s="36" t="n"/>
      <c r="AP1400" s="36" t="n"/>
      <c r="AQ1400" s="36" t="n"/>
      <c r="AR1400" s="36" t="n"/>
      <c r="AS1400" s="36" t="n"/>
      <c r="AT1400" s="36" t="n"/>
      <c r="AU1400" s="27" t="n"/>
      <c r="AV1400" s="37" t="n"/>
      <c r="AW1400" s="38">
        <f>IF(AO1400="","",IF(AR1400="Yes","❌ Disc",IF(AQ1400="No","⚠ Missing",IF(AT1400="Yes","✓ OK","⚠ Check"))))</f>
        <v/>
      </c>
    </row>
    <row r="1401" ht="18" customHeight="1" s="46">
      <c r="A1401" s="23" t="n">
        <v>1397</v>
      </c>
      <c r="B1401" s="24" t="inlineStr">
        <is>
          <t>BD-VRM-2024-0543</t>
        </is>
      </c>
      <c r="C1401" s="25" t="inlineStr">
        <is>
          <t>MELANGE II - Tiger Skin Pattern Customized Wallpaper(107) - 2333881579</t>
        </is>
      </c>
      <c r="D1401" s="23" t="inlineStr">
        <is>
          <t>Marshalls</t>
        </is>
      </c>
      <c r="E1401" s="43" t="n">
        <v>46125</v>
      </c>
      <c r="F1401" s="26" t="inlineStr">
        <is>
          <t>Sunil CR</t>
        </is>
      </c>
      <c r="G1401" s="26" t="inlineStr">
        <is>
          <t>Yes</t>
        </is>
      </c>
      <c r="H1401" s="26" t="inlineStr">
        <is>
          <t>No</t>
        </is>
      </c>
      <c r="I1401" s="26" t="inlineStr">
        <is>
          <t>Good finish</t>
        </is>
      </c>
      <c r="J1401" s="26" t="inlineStr">
        <is>
          <t>Yes</t>
        </is>
      </c>
      <c r="K1401" s="27" t="n"/>
      <c r="L1401" s="28" t="inlineStr">
        <is>
          <t>No</t>
        </is>
      </c>
      <c r="M1401" s="29">
        <f>IF(E1401="","",IF(H1401="Yes","❌ Disc",IF(G1401="No","⚠ Missing",IF(J1401="Yes","✓ OK","⚠ Check"))))</f>
        <v/>
      </c>
      <c r="N1401" s="43" t="n">
        <v>46193</v>
      </c>
      <c r="O1401" s="26" t="inlineStr">
        <is>
          <t>Sunil CR</t>
        </is>
      </c>
      <c r="P1401" s="26" t="inlineStr">
        <is>
          <t>Yes</t>
        </is>
      </c>
      <c r="Q1401" s="26" t="inlineStr">
        <is>
          <t>No</t>
        </is>
      </c>
      <c r="R1401" s="26" t="inlineStr">
        <is>
          <t>Good finish</t>
        </is>
      </c>
      <c r="S1401" s="26" t="inlineStr">
        <is>
          <t>Yes</t>
        </is>
      </c>
      <c r="T1401" s="27" t="n"/>
      <c r="U1401" s="28" t="inlineStr">
        <is>
          <t>No</t>
        </is>
      </c>
      <c r="V1401" s="29">
        <f>IF(N1401="","",IF(Q1401="Yes","❌ Disc",IF(P1401="No","⚠ Missing",IF(S1401="Yes","✓ OK","⚠ Check"))))</f>
        <v/>
      </c>
      <c r="W1401" s="65" t="n">
        <v>46248</v>
      </c>
      <c r="X1401" s="30" t="inlineStr">
        <is>
          <t>Sunil CR</t>
        </is>
      </c>
      <c r="Y1401" s="30" t="inlineStr">
        <is>
          <t>Yes</t>
        </is>
      </c>
      <c r="Z1401" s="30" t="n"/>
      <c r="AA1401" s="30" t="inlineStr">
        <is>
          <t>Good finish</t>
        </is>
      </c>
      <c r="AB1401" s="30" t="inlineStr">
        <is>
          <t>Yes</t>
        </is>
      </c>
      <c r="AC1401" s="27" t="n"/>
      <c r="AD1401" s="31" t="inlineStr">
        <is>
          <t>No</t>
        </is>
      </c>
      <c r="AE1401" s="32">
        <f>IF(W1401="","",IF(Z1401="Yes","❌ Disc",IF(Y1401="No","⚠ Missing",IF(AB1401="Yes","✓ OK","⚠ Check"))))</f>
        <v/>
      </c>
      <c r="AF1401" s="33" t="n"/>
      <c r="AG1401" s="33" t="n"/>
      <c r="AH1401" s="33" t="n"/>
      <c r="AI1401" s="33" t="n"/>
      <c r="AJ1401" s="33" t="n"/>
      <c r="AK1401" s="33" t="n"/>
      <c r="AL1401" s="27" t="n"/>
      <c r="AM1401" s="34" t="n"/>
      <c r="AN1401" s="35">
        <f>IF(AF1401="","",IF(AI1401="Yes","❌ Disc",IF(AH1401="No","⚠ Missing",IF(AK1401="Yes","✓ OK","⚠ Check"))))</f>
        <v/>
      </c>
      <c r="AO1401" s="36" t="n"/>
      <c r="AP1401" s="36" t="n"/>
      <c r="AQ1401" s="36" t="n"/>
      <c r="AR1401" s="36" t="n"/>
      <c r="AS1401" s="36" t="n"/>
      <c r="AT1401" s="36" t="n"/>
      <c r="AU1401" s="27" t="n"/>
      <c r="AV1401" s="37" t="n"/>
      <c r="AW1401" s="38">
        <f>IF(AO1401="","",IF(AR1401="Yes","❌ Disc",IF(AQ1401="No","⚠ Missing",IF(AT1401="Yes","✓ OK","⚠ Check"))))</f>
        <v/>
      </c>
    </row>
    <row r="1402" ht="18" customHeight="1" s="46">
      <c r="A1402" s="39" t="n">
        <v>1398</v>
      </c>
      <c r="B1402" s="40" t="inlineStr">
        <is>
          <t>BD-VRM-2024-0548</t>
        </is>
      </c>
      <c r="C1402" s="41" t="inlineStr">
        <is>
          <t>MELANGE II - Traditional Mughal Elephant Camel Caravan  Customized Wallpaper(112) - 2198035809</t>
        </is>
      </c>
      <c r="D1402" s="39" t="inlineStr">
        <is>
          <t>Marshalls</t>
        </is>
      </c>
      <c r="E1402" s="43" t="n">
        <v>46125</v>
      </c>
      <c r="F1402" s="26" t="inlineStr">
        <is>
          <t>Sunil CR</t>
        </is>
      </c>
      <c r="G1402" s="26" t="inlineStr">
        <is>
          <t>Yes</t>
        </is>
      </c>
      <c r="H1402" s="26" t="inlineStr">
        <is>
          <t>No</t>
        </is>
      </c>
      <c r="I1402" s="26" t="inlineStr">
        <is>
          <t>Good finish</t>
        </is>
      </c>
      <c r="J1402" s="26" t="inlineStr">
        <is>
          <t>Yes</t>
        </is>
      </c>
      <c r="K1402" s="27" t="n"/>
      <c r="L1402" s="28" t="inlineStr">
        <is>
          <t>No</t>
        </is>
      </c>
      <c r="M1402" s="29">
        <f>IF(E1402="","",IF(H1402="Yes","❌ Disc",IF(G1402="No","⚠ Missing",IF(J1402="Yes","✓ OK","⚠ Check"))))</f>
        <v/>
      </c>
      <c r="N1402" s="43" t="n">
        <v>46193</v>
      </c>
      <c r="O1402" s="26" t="inlineStr">
        <is>
          <t>Sunil CR</t>
        </is>
      </c>
      <c r="P1402" s="26" t="inlineStr">
        <is>
          <t>Yes</t>
        </is>
      </c>
      <c r="Q1402" s="26" t="inlineStr">
        <is>
          <t>No</t>
        </is>
      </c>
      <c r="R1402" s="26" t="inlineStr">
        <is>
          <t>Good finish</t>
        </is>
      </c>
      <c r="S1402" s="26" t="inlineStr">
        <is>
          <t>Yes</t>
        </is>
      </c>
      <c r="T1402" s="27" t="n"/>
      <c r="U1402" s="28" t="inlineStr">
        <is>
          <t>No</t>
        </is>
      </c>
      <c r="V1402" s="29">
        <f>IF(N1402="","",IF(Q1402="Yes","❌ Disc",IF(P1402="No","⚠ Missing",IF(S1402="Yes","✓ OK","⚠ Check"))))</f>
        <v/>
      </c>
      <c r="W1402" s="65" t="n">
        <v>46248</v>
      </c>
      <c r="X1402" s="30" t="inlineStr">
        <is>
          <t>Sunil CR</t>
        </is>
      </c>
      <c r="Y1402" s="30" t="inlineStr">
        <is>
          <t>Yes</t>
        </is>
      </c>
      <c r="Z1402" s="30" t="n"/>
      <c r="AA1402" s="30" t="inlineStr">
        <is>
          <t>Good finish</t>
        </is>
      </c>
      <c r="AB1402" s="30" t="inlineStr">
        <is>
          <t>Yes</t>
        </is>
      </c>
      <c r="AC1402" s="27" t="n"/>
      <c r="AD1402" s="31" t="inlineStr">
        <is>
          <t>No</t>
        </is>
      </c>
      <c r="AE1402" s="32">
        <f>IF(W1402="","",IF(Z1402="Yes","❌ Disc",IF(Y1402="No","⚠ Missing",IF(AB1402="Yes","✓ OK","⚠ Check"))))</f>
        <v/>
      </c>
      <c r="AF1402" s="33" t="n"/>
      <c r="AG1402" s="33" t="n"/>
      <c r="AH1402" s="33" t="n"/>
      <c r="AI1402" s="33" t="n"/>
      <c r="AJ1402" s="33" t="n"/>
      <c r="AK1402" s="33" t="n"/>
      <c r="AL1402" s="27" t="n"/>
      <c r="AM1402" s="34" t="n"/>
      <c r="AN1402" s="35">
        <f>IF(AF1402="","",IF(AI1402="Yes","❌ Disc",IF(AH1402="No","⚠ Missing",IF(AK1402="Yes","✓ OK","⚠ Check"))))</f>
        <v/>
      </c>
      <c r="AO1402" s="36" t="n"/>
      <c r="AP1402" s="36" t="n"/>
      <c r="AQ1402" s="36" t="n"/>
      <c r="AR1402" s="36" t="n"/>
      <c r="AS1402" s="36" t="n"/>
      <c r="AT1402" s="36" t="n"/>
      <c r="AU1402" s="27" t="n"/>
      <c r="AV1402" s="37" t="n"/>
      <c r="AW1402" s="38">
        <f>IF(AO1402="","",IF(AR1402="Yes","❌ Disc",IF(AQ1402="No","⚠ Missing",IF(AT1402="Yes","✓ OK","⚠ Check"))))</f>
        <v/>
      </c>
    </row>
    <row r="1403" ht="18" customHeight="1" s="46">
      <c r="A1403" s="23" t="n">
        <v>1399</v>
      </c>
      <c r="B1403" s="24" t="inlineStr">
        <is>
          <t>BD-VRM-2024-0561</t>
        </is>
      </c>
      <c r="C1403" s="25" t="inlineStr">
        <is>
          <t>MELANGE II - Tripocal Vintage Botanical Green Palm Tree Customized Wallpaper(125) - 1247335573</t>
        </is>
      </c>
      <c r="D1403" s="23" t="inlineStr">
        <is>
          <t>Marshalls</t>
        </is>
      </c>
      <c r="E1403" s="43" t="n">
        <v>46125</v>
      </c>
      <c r="F1403" s="26" t="inlineStr">
        <is>
          <t>Sunil CR</t>
        </is>
      </c>
      <c r="G1403" s="26" t="inlineStr">
        <is>
          <t>Yes</t>
        </is>
      </c>
      <c r="H1403" s="26" t="inlineStr">
        <is>
          <t>No</t>
        </is>
      </c>
      <c r="I1403" s="26" t="inlineStr">
        <is>
          <t>Good finish</t>
        </is>
      </c>
      <c r="J1403" s="26" t="inlineStr">
        <is>
          <t>Yes</t>
        </is>
      </c>
      <c r="K1403" s="27" t="n"/>
      <c r="L1403" s="28" t="inlineStr">
        <is>
          <t>No</t>
        </is>
      </c>
      <c r="M1403" s="29">
        <f>IF(E1403="","",IF(H1403="Yes","❌ Disc",IF(G1403="No","⚠ Missing",IF(J1403="Yes","✓ OK","⚠ Check"))))</f>
        <v/>
      </c>
      <c r="N1403" s="43" t="n">
        <v>46193</v>
      </c>
      <c r="O1403" s="26" t="inlineStr">
        <is>
          <t>Sunil CR</t>
        </is>
      </c>
      <c r="P1403" s="26" t="inlineStr">
        <is>
          <t>Yes</t>
        </is>
      </c>
      <c r="Q1403" s="26" t="inlineStr">
        <is>
          <t>No</t>
        </is>
      </c>
      <c r="R1403" s="26" t="inlineStr">
        <is>
          <t>Good finish</t>
        </is>
      </c>
      <c r="S1403" s="26" t="inlineStr">
        <is>
          <t>Yes</t>
        </is>
      </c>
      <c r="T1403" s="27" t="n"/>
      <c r="U1403" s="28" t="inlineStr">
        <is>
          <t>No</t>
        </is>
      </c>
      <c r="V1403" s="29">
        <f>IF(N1403="","",IF(Q1403="Yes","❌ Disc",IF(P1403="No","⚠ Missing",IF(S1403="Yes","✓ OK","⚠ Check"))))</f>
        <v/>
      </c>
      <c r="W1403" s="65" t="n">
        <v>46248</v>
      </c>
      <c r="X1403" s="30" t="inlineStr">
        <is>
          <t>Sunil CR</t>
        </is>
      </c>
      <c r="Y1403" s="30" t="inlineStr">
        <is>
          <t>Yes</t>
        </is>
      </c>
      <c r="Z1403" s="30" t="n"/>
      <c r="AA1403" s="30" t="inlineStr">
        <is>
          <t>Good finish</t>
        </is>
      </c>
      <c r="AB1403" s="30" t="inlineStr">
        <is>
          <t>Yes</t>
        </is>
      </c>
      <c r="AC1403" s="27" t="n"/>
      <c r="AD1403" s="31" t="inlineStr">
        <is>
          <t>No</t>
        </is>
      </c>
      <c r="AE1403" s="32">
        <f>IF(W1403="","",IF(Z1403="Yes","❌ Disc",IF(Y1403="No","⚠ Missing",IF(AB1403="Yes","✓ OK","⚠ Check"))))</f>
        <v/>
      </c>
      <c r="AF1403" s="33" t="n"/>
      <c r="AG1403" s="33" t="n"/>
      <c r="AH1403" s="33" t="n"/>
      <c r="AI1403" s="33" t="n"/>
      <c r="AJ1403" s="33" t="n"/>
      <c r="AK1403" s="33" t="n"/>
      <c r="AL1403" s="27" t="n"/>
      <c r="AM1403" s="34" t="n"/>
      <c r="AN1403" s="35">
        <f>IF(AF1403="","",IF(AI1403="Yes","❌ Disc",IF(AH1403="No","⚠ Missing",IF(AK1403="Yes","✓ OK","⚠ Check"))))</f>
        <v/>
      </c>
      <c r="AO1403" s="36" t="n"/>
      <c r="AP1403" s="36" t="n"/>
      <c r="AQ1403" s="36" t="n"/>
      <c r="AR1403" s="36" t="n"/>
      <c r="AS1403" s="36" t="n"/>
      <c r="AT1403" s="36" t="n"/>
      <c r="AU1403" s="27" t="n"/>
      <c r="AV1403" s="37" t="n"/>
      <c r="AW1403" s="38">
        <f>IF(AO1403="","",IF(AR1403="Yes","❌ Disc",IF(AQ1403="No","⚠ Missing",IF(AT1403="Yes","✓ OK","⚠ Check"))))</f>
        <v/>
      </c>
    </row>
    <row r="1404" ht="18" customHeight="1" s="46">
      <c r="A1404" s="39" t="n">
        <v>1400</v>
      </c>
      <c r="B1404" s="40" t="inlineStr">
        <is>
          <t>BD-VRM-2024-0552</t>
        </is>
      </c>
      <c r="C1404" s="41" t="inlineStr">
        <is>
          <t>MELANGE II - Tropical Leaves Seamless pattern Customized Wallpaper(116) - 1482643157</t>
        </is>
      </c>
      <c r="D1404" s="39" t="inlineStr">
        <is>
          <t>Marshalls</t>
        </is>
      </c>
      <c r="E1404" s="43" t="n">
        <v>46125</v>
      </c>
      <c r="F1404" s="26" t="inlineStr">
        <is>
          <t>Sunil CR</t>
        </is>
      </c>
      <c r="G1404" s="26" t="inlineStr">
        <is>
          <t>Yes</t>
        </is>
      </c>
      <c r="H1404" s="26" t="inlineStr">
        <is>
          <t>No</t>
        </is>
      </c>
      <c r="I1404" s="26" t="inlineStr">
        <is>
          <t>Good finish</t>
        </is>
      </c>
      <c r="J1404" s="26" t="inlineStr">
        <is>
          <t>Yes</t>
        </is>
      </c>
      <c r="K1404" s="27" t="n"/>
      <c r="L1404" s="28" t="inlineStr">
        <is>
          <t>No</t>
        </is>
      </c>
      <c r="M1404" s="29">
        <f>IF(E1404="","",IF(H1404="Yes","❌ Disc",IF(G1404="No","⚠ Missing",IF(J1404="Yes","✓ OK","⚠ Check"))))</f>
        <v/>
      </c>
      <c r="N1404" s="43" t="n">
        <v>46193</v>
      </c>
      <c r="O1404" s="26" t="inlineStr">
        <is>
          <t>Sunil CR</t>
        </is>
      </c>
      <c r="P1404" s="26" t="inlineStr">
        <is>
          <t>Yes</t>
        </is>
      </c>
      <c r="Q1404" s="26" t="inlineStr">
        <is>
          <t>No</t>
        </is>
      </c>
      <c r="R1404" s="26" t="inlineStr">
        <is>
          <t>Good finish</t>
        </is>
      </c>
      <c r="S1404" s="26" t="inlineStr">
        <is>
          <t>Yes</t>
        </is>
      </c>
      <c r="T1404" s="27" t="n"/>
      <c r="U1404" s="28" t="inlineStr">
        <is>
          <t>No</t>
        </is>
      </c>
      <c r="V1404" s="29">
        <f>IF(N1404="","",IF(Q1404="Yes","❌ Disc",IF(P1404="No","⚠ Missing",IF(S1404="Yes","✓ OK","⚠ Check"))))</f>
        <v/>
      </c>
      <c r="W1404" s="65" t="n">
        <v>46248</v>
      </c>
      <c r="X1404" s="30" t="inlineStr">
        <is>
          <t>Sunil CR</t>
        </is>
      </c>
      <c r="Y1404" s="30" t="inlineStr">
        <is>
          <t>Yes</t>
        </is>
      </c>
      <c r="Z1404" s="30" t="n"/>
      <c r="AA1404" s="30" t="inlineStr">
        <is>
          <t>Good finish</t>
        </is>
      </c>
      <c r="AB1404" s="30" t="inlineStr">
        <is>
          <t>Yes</t>
        </is>
      </c>
      <c r="AC1404" s="27" t="n"/>
      <c r="AD1404" s="31" t="inlineStr">
        <is>
          <t>No</t>
        </is>
      </c>
      <c r="AE1404" s="32">
        <f>IF(W1404="","",IF(Z1404="Yes","❌ Disc",IF(Y1404="No","⚠ Missing",IF(AB1404="Yes","✓ OK","⚠ Check"))))</f>
        <v/>
      </c>
      <c r="AF1404" s="33" t="n"/>
      <c r="AG1404" s="33" t="n"/>
      <c r="AH1404" s="33" t="n"/>
      <c r="AI1404" s="33" t="n"/>
      <c r="AJ1404" s="33" t="n"/>
      <c r="AK1404" s="33" t="n"/>
      <c r="AL1404" s="27" t="n"/>
      <c r="AM1404" s="34" t="n"/>
      <c r="AN1404" s="35">
        <f>IF(AF1404="","",IF(AI1404="Yes","❌ Disc",IF(AH1404="No","⚠ Missing",IF(AK1404="Yes","✓ OK","⚠ Check"))))</f>
        <v/>
      </c>
      <c r="AO1404" s="36" t="n"/>
      <c r="AP1404" s="36" t="n"/>
      <c r="AQ1404" s="36" t="n"/>
      <c r="AR1404" s="36" t="n"/>
      <c r="AS1404" s="36" t="n"/>
      <c r="AT1404" s="36" t="n"/>
      <c r="AU1404" s="27" t="n"/>
      <c r="AV1404" s="37" t="n"/>
      <c r="AW1404" s="38">
        <f>IF(AO1404="","",IF(AR1404="Yes","❌ Disc",IF(AQ1404="No","⚠ Missing",IF(AT1404="Yes","✓ OK","⚠ Check"))))</f>
        <v/>
      </c>
    </row>
    <row r="1405" ht="18" customHeight="1" s="46">
      <c r="A1405" s="23" t="n">
        <v>1401</v>
      </c>
      <c r="B1405" s="24" t="inlineStr">
        <is>
          <t>BD-VRM-2024-0538</t>
        </is>
      </c>
      <c r="C1405" s="25" t="inlineStr">
        <is>
          <t>MELANGE II - Undersea World Cute Cartoon Animal Customized Wallpaper(102) -1172646175</t>
        </is>
      </c>
      <c r="D1405" s="23" t="inlineStr">
        <is>
          <t>Marshalls</t>
        </is>
      </c>
      <c r="E1405" s="43" t="n">
        <v>46125</v>
      </c>
      <c r="F1405" s="26" t="inlineStr">
        <is>
          <t>Sunil CR</t>
        </is>
      </c>
      <c r="G1405" s="26" t="inlineStr">
        <is>
          <t>Yes</t>
        </is>
      </c>
      <c r="H1405" s="26" t="inlineStr">
        <is>
          <t>No</t>
        </is>
      </c>
      <c r="I1405" s="26" t="inlineStr">
        <is>
          <t>Good finish</t>
        </is>
      </c>
      <c r="J1405" s="26" t="inlineStr">
        <is>
          <t>Yes</t>
        </is>
      </c>
      <c r="K1405" s="27" t="n"/>
      <c r="L1405" s="28" t="inlineStr">
        <is>
          <t>No</t>
        </is>
      </c>
      <c r="M1405" s="29">
        <f>IF(E1405="","",IF(H1405="Yes","❌ Disc",IF(G1405="No","⚠ Missing",IF(J1405="Yes","✓ OK","⚠ Check"))))</f>
        <v/>
      </c>
      <c r="N1405" s="43" t="n">
        <v>46193</v>
      </c>
      <c r="O1405" s="26" t="inlineStr">
        <is>
          <t>Sunil CR</t>
        </is>
      </c>
      <c r="P1405" s="26" t="inlineStr">
        <is>
          <t>Yes</t>
        </is>
      </c>
      <c r="Q1405" s="26" t="inlineStr">
        <is>
          <t>No</t>
        </is>
      </c>
      <c r="R1405" s="26" t="inlineStr">
        <is>
          <t>Good finish</t>
        </is>
      </c>
      <c r="S1405" s="26" t="inlineStr">
        <is>
          <t>Yes</t>
        </is>
      </c>
      <c r="T1405" s="27" t="n"/>
      <c r="U1405" s="28" t="inlineStr">
        <is>
          <t>No</t>
        </is>
      </c>
      <c r="V1405" s="29">
        <f>IF(N1405="","",IF(Q1405="Yes","❌ Disc",IF(P1405="No","⚠ Missing",IF(S1405="Yes","✓ OK","⚠ Check"))))</f>
        <v/>
      </c>
      <c r="W1405" s="65" t="n">
        <v>46248</v>
      </c>
      <c r="X1405" s="30" t="inlineStr">
        <is>
          <t>Sunil CR</t>
        </is>
      </c>
      <c r="Y1405" s="30" t="inlineStr">
        <is>
          <t>Yes</t>
        </is>
      </c>
      <c r="Z1405" s="30" t="n"/>
      <c r="AA1405" s="30" t="inlineStr">
        <is>
          <t>Good finish</t>
        </is>
      </c>
      <c r="AB1405" s="30" t="inlineStr">
        <is>
          <t>Yes</t>
        </is>
      </c>
      <c r="AC1405" s="27" t="n"/>
      <c r="AD1405" s="31" t="inlineStr">
        <is>
          <t>No</t>
        </is>
      </c>
      <c r="AE1405" s="32">
        <f>IF(W1405="","",IF(Z1405="Yes","❌ Disc",IF(Y1405="No","⚠ Missing",IF(AB1405="Yes","✓ OK","⚠ Check"))))</f>
        <v/>
      </c>
      <c r="AF1405" s="33" t="n"/>
      <c r="AG1405" s="33" t="n"/>
      <c r="AH1405" s="33" t="n"/>
      <c r="AI1405" s="33" t="n"/>
      <c r="AJ1405" s="33" t="n"/>
      <c r="AK1405" s="33" t="n"/>
      <c r="AL1405" s="27" t="n"/>
      <c r="AM1405" s="34" t="n"/>
      <c r="AN1405" s="35">
        <f>IF(AF1405="","",IF(AI1405="Yes","❌ Disc",IF(AH1405="No","⚠ Missing",IF(AK1405="Yes","✓ OK","⚠ Check"))))</f>
        <v/>
      </c>
      <c r="AO1405" s="36" t="n"/>
      <c r="AP1405" s="36" t="n"/>
      <c r="AQ1405" s="36" t="n"/>
      <c r="AR1405" s="36" t="n"/>
      <c r="AS1405" s="36" t="n"/>
      <c r="AT1405" s="36" t="n"/>
      <c r="AU1405" s="27" t="n"/>
      <c r="AV1405" s="37" t="n"/>
      <c r="AW1405" s="38">
        <f>IF(AO1405="","",IF(AR1405="Yes","❌ Disc",IF(AQ1405="No","⚠ Missing",IF(AT1405="Yes","✓ OK","⚠ Check"))))</f>
        <v/>
      </c>
    </row>
    <row r="1406" ht="18" customHeight="1" s="46">
      <c r="A1406" s="39" t="n">
        <v>1402</v>
      </c>
      <c r="B1406" s="40" t="inlineStr">
        <is>
          <t>BD-VRM-2024-0579</t>
        </is>
      </c>
      <c r="C1406" s="41" t="inlineStr">
        <is>
          <t>MELANGE II - Vintage Garden Pomegranate Fruit Tree Banana Customized Wallpaper(143) - 1525758557</t>
        </is>
      </c>
      <c r="D1406" s="39" t="inlineStr">
        <is>
          <t>Marshalls</t>
        </is>
      </c>
      <c r="E1406" s="43" t="n">
        <v>46125</v>
      </c>
      <c r="F1406" s="26" t="inlineStr">
        <is>
          <t>Sunil CR</t>
        </is>
      </c>
      <c r="G1406" s="26" t="inlineStr">
        <is>
          <t>Yes</t>
        </is>
      </c>
      <c r="H1406" s="26" t="inlineStr">
        <is>
          <t>No</t>
        </is>
      </c>
      <c r="I1406" s="26" t="inlineStr">
        <is>
          <t>Good finish</t>
        </is>
      </c>
      <c r="J1406" s="26" t="inlineStr">
        <is>
          <t>Yes</t>
        </is>
      </c>
      <c r="K1406" s="27" t="n"/>
      <c r="L1406" s="28" t="inlineStr">
        <is>
          <t>No</t>
        </is>
      </c>
      <c r="M1406" s="29">
        <f>IF(E1406="","",IF(H1406="Yes","❌ Disc",IF(G1406="No","⚠ Missing",IF(J1406="Yes","✓ OK","⚠ Check"))))</f>
        <v/>
      </c>
      <c r="N1406" s="43" t="n">
        <v>46193</v>
      </c>
      <c r="O1406" s="26" t="inlineStr">
        <is>
          <t>Sunil CR</t>
        </is>
      </c>
      <c r="P1406" s="26" t="inlineStr">
        <is>
          <t>Yes</t>
        </is>
      </c>
      <c r="Q1406" s="26" t="inlineStr">
        <is>
          <t>No</t>
        </is>
      </c>
      <c r="R1406" s="26" t="inlineStr">
        <is>
          <t>Good finish</t>
        </is>
      </c>
      <c r="S1406" s="26" t="inlineStr">
        <is>
          <t>Yes</t>
        </is>
      </c>
      <c r="T1406" s="27" t="n"/>
      <c r="U1406" s="28" t="inlineStr">
        <is>
          <t>No</t>
        </is>
      </c>
      <c r="V1406" s="29">
        <f>IF(N1406="","",IF(Q1406="Yes","❌ Disc",IF(P1406="No","⚠ Missing",IF(S1406="Yes","✓ OK","⚠ Check"))))</f>
        <v/>
      </c>
      <c r="W1406" s="65" t="n">
        <v>46248</v>
      </c>
      <c r="X1406" s="30" t="inlineStr">
        <is>
          <t>Sunil CR</t>
        </is>
      </c>
      <c r="Y1406" s="30" t="inlineStr">
        <is>
          <t>Yes</t>
        </is>
      </c>
      <c r="Z1406" s="30" t="n"/>
      <c r="AA1406" s="30" t="inlineStr">
        <is>
          <t>Good finish</t>
        </is>
      </c>
      <c r="AB1406" s="30" t="inlineStr">
        <is>
          <t>Yes</t>
        </is>
      </c>
      <c r="AC1406" s="27" t="n"/>
      <c r="AD1406" s="31" t="inlineStr">
        <is>
          <t>No</t>
        </is>
      </c>
      <c r="AE1406" s="32">
        <f>IF(W1406="","",IF(Z1406="Yes","❌ Disc",IF(Y1406="No","⚠ Missing",IF(AB1406="Yes","✓ OK","⚠ Check"))))</f>
        <v/>
      </c>
      <c r="AF1406" s="33" t="n"/>
      <c r="AG1406" s="33" t="n"/>
      <c r="AH1406" s="33" t="n"/>
      <c r="AI1406" s="33" t="n"/>
      <c r="AJ1406" s="33" t="n"/>
      <c r="AK1406" s="33" t="n"/>
      <c r="AL1406" s="27" t="n"/>
      <c r="AM1406" s="34" t="n"/>
      <c r="AN1406" s="35">
        <f>IF(AF1406="","",IF(AI1406="Yes","❌ Disc",IF(AH1406="No","⚠ Missing",IF(AK1406="Yes","✓ OK","⚠ Check"))))</f>
        <v/>
      </c>
      <c r="AO1406" s="36" t="n"/>
      <c r="AP1406" s="36" t="n"/>
      <c r="AQ1406" s="36" t="n"/>
      <c r="AR1406" s="36" t="n"/>
      <c r="AS1406" s="36" t="n"/>
      <c r="AT1406" s="36" t="n"/>
      <c r="AU1406" s="27" t="n"/>
      <c r="AV1406" s="37" t="n"/>
      <c r="AW1406" s="38">
        <f>IF(AO1406="","",IF(AR1406="Yes","❌ Disc",IF(AQ1406="No","⚠ Missing",IF(AT1406="Yes","✓ OK","⚠ Check"))))</f>
        <v/>
      </c>
    </row>
    <row r="1407" ht="18" customHeight="1" s="46">
      <c r="A1407" s="23" t="n">
        <v>1403</v>
      </c>
      <c r="B1407" s="24" t="inlineStr">
        <is>
          <t>BD-VRM-2024-0553</t>
        </is>
      </c>
      <c r="C1407" s="25" t="inlineStr">
        <is>
          <t>MELANGE II - Vintage Wild Animals Flamingo Palm Customized Wallpaper(117) - 1227558061</t>
        </is>
      </c>
      <c r="D1407" s="23" t="inlineStr">
        <is>
          <t>Marshalls</t>
        </is>
      </c>
      <c r="E1407" s="43" t="n">
        <v>46125</v>
      </c>
      <c r="F1407" s="26" t="inlineStr">
        <is>
          <t>Sunil CR</t>
        </is>
      </c>
      <c r="G1407" s="26" t="inlineStr">
        <is>
          <t>Yes</t>
        </is>
      </c>
      <c r="H1407" s="26" t="inlineStr">
        <is>
          <t>No</t>
        </is>
      </c>
      <c r="I1407" s="26" t="inlineStr">
        <is>
          <t>Good finish</t>
        </is>
      </c>
      <c r="J1407" s="26" t="inlineStr">
        <is>
          <t>Yes</t>
        </is>
      </c>
      <c r="K1407" s="27" t="n"/>
      <c r="L1407" s="28" t="inlineStr">
        <is>
          <t>No</t>
        </is>
      </c>
      <c r="M1407" s="29">
        <f>IF(E1407="","",IF(H1407="Yes","❌ Disc",IF(G1407="No","⚠ Missing",IF(J1407="Yes","✓ OK","⚠ Check"))))</f>
        <v/>
      </c>
      <c r="N1407" s="43" t="n">
        <v>46193</v>
      </c>
      <c r="O1407" s="26" t="inlineStr">
        <is>
          <t>Sunil CR</t>
        </is>
      </c>
      <c r="P1407" s="26" t="inlineStr">
        <is>
          <t>Yes</t>
        </is>
      </c>
      <c r="Q1407" s="26" t="inlineStr">
        <is>
          <t>No</t>
        </is>
      </c>
      <c r="R1407" s="26" t="inlineStr">
        <is>
          <t>Good finish</t>
        </is>
      </c>
      <c r="S1407" s="26" t="inlineStr">
        <is>
          <t>Yes</t>
        </is>
      </c>
      <c r="T1407" s="27" t="n"/>
      <c r="U1407" s="28" t="inlineStr">
        <is>
          <t>No</t>
        </is>
      </c>
      <c r="V1407" s="29">
        <f>IF(N1407="","",IF(Q1407="Yes","❌ Disc",IF(P1407="No","⚠ Missing",IF(S1407="Yes","✓ OK","⚠ Check"))))</f>
        <v/>
      </c>
      <c r="W1407" s="65" t="n">
        <v>46248</v>
      </c>
      <c r="X1407" s="30" t="inlineStr">
        <is>
          <t>Sunil CR</t>
        </is>
      </c>
      <c r="Y1407" s="30" t="inlineStr">
        <is>
          <t>Yes</t>
        </is>
      </c>
      <c r="Z1407" s="30" t="n"/>
      <c r="AA1407" s="30" t="inlineStr">
        <is>
          <t>Good finish</t>
        </is>
      </c>
      <c r="AB1407" s="30" t="inlineStr">
        <is>
          <t>Yes</t>
        </is>
      </c>
      <c r="AC1407" s="27" t="n"/>
      <c r="AD1407" s="31" t="inlineStr">
        <is>
          <t>No</t>
        </is>
      </c>
      <c r="AE1407" s="32">
        <f>IF(W1407="","",IF(Z1407="Yes","❌ Disc",IF(Y1407="No","⚠ Missing",IF(AB1407="Yes","✓ OK","⚠ Check"))))</f>
        <v/>
      </c>
      <c r="AF1407" s="33" t="n"/>
      <c r="AG1407" s="33" t="n"/>
      <c r="AH1407" s="33" t="n"/>
      <c r="AI1407" s="33" t="n"/>
      <c r="AJ1407" s="33" t="n"/>
      <c r="AK1407" s="33" t="n"/>
      <c r="AL1407" s="27" t="n"/>
      <c r="AM1407" s="34" t="n"/>
      <c r="AN1407" s="35">
        <f>IF(AF1407="","",IF(AI1407="Yes","❌ Disc",IF(AH1407="No","⚠ Missing",IF(AK1407="Yes","✓ OK","⚠ Check"))))</f>
        <v/>
      </c>
      <c r="AO1407" s="36" t="n"/>
      <c r="AP1407" s="36" t="n"/>
      <c r="AQ1407" s="36" t="n"/>
      <c r="AR1407" s="36" t="n"/>
      <c r="AS1407" s="36" t="n"/>
      <c r="AT1407" s="36" t="n"/>
      <c r="AU1407" s="27" t="n"/>
      <c r="AV1407" s="37" t="n"/>
      <c r="AW1407" s="38">
        <f>IF(AO1407="","",IF(AR1407="Yes","❌ Disc",IF(AQ1407="No","⚠ Missing",IF(AT1407="Yes","✓ OK","⚠ Check"))))</f>
        <v/>
      </c>
    </row>
    <row r="1408" ht="18" customHeight="1" s="46">
      <c r="A1408" s="39" t="n">
        <v>1404</v>
      </c>
      <c r="B1408" s="40" t="inlineStr">
        <is>
          <t>BD-VRM-2024-0539</t>
        </is>
      </c>
      <c r="C1408" s="41" t="inlineStr">
        <is>
          <t>MELANGE II - Wall Grunge Customized Wallpaper(103) - 2327641601</t>
        </is>
      </c>
      <c r="D1408" s="39" t="inlineStr">
        <is>
          <t>Marshalls</t>
        </is>
      </c>
      <c r="E1408" s="43" t="n">
        <v>46125</v>
      </c>
      <c r="F1408" s="26" t="inlineStr">
        <is>
          <t>Sunil CR</t>
        </is>
      </c>
      <c r="G1408" s="26" t="inlineStr">
        <is>
          <t>Yes</t>
        </is>
      </c>
      <c r="H1408" s="26" t="inlineStr">
        <is>
          <t>No</t>
        </is>
      </c>
      <c r="I1408" s="26" t="inlineStr">
        <is>
          <t>Good finish</t>
        </is>
      </c>
      <c r="J1408" s="26" t="inlineStr">
        <is>
          <t>Yes</t>
        </is>
      </c>
      <c r="K1408" s="27" t="n"/>
      <c r="L1408" s="28" t="inlineStr">
        <is>
          <t>No</t>
        </is>
      </c>
      <c r="M1408" s="29">
        <f>IF(E1408="","",IF(H1408="Yes","❌ Disc",IF(G1408="No","⚠ Missing",IF(J1408="Yes","✓ OK","⚠ Check"))))</f>
        <v/>
      </c>
      <c r="N1408" s="43" t="n">
        <v>46193</v>
      </c>
      <c r="O1408" s="26" t="inlineStr">
        <is>
          <t>Sunil CR</t>
        </is>
      </c>
      <c r="P1408" s="26" t="inlineStr">
        <is>
          <t>Yes</t>
        </is>
      </c>
      <c r="Q1408" s="26" t="inlineStr">
        <is>
          <t>No</t>
        </is>
      </c>
      <c r="R1408" s="26" t="inlineStr">
        <is>
          <t>Good finish</t>
        </is>
      </c>
      <c r="S1408" s="26" t="inlineStr">
        <is>
          <t>Yes</t>
        </is>
      </c>
      <c r="T1408" s="27" t="n"/>
      <c r="U1408" s="28" t="inlineStr">
        <is>
          <t>No</t>
        </is>
      </c>
      <c r="V1408" s="29">
        <f>IF(N1408="","",IF(Q1408="Yes","❌ Disc",IF(P1408="No","⚠ Missing",IF(S1408="Yes","✓ OK","⚠ Check"))))</f>
        <v/>
      </c>
      <c r="W1408" s="65" t="n">
        <v>46248</v>
      </c>
      <c r="X1408" s="30" t="inlineStr">
        <is>
          <t>Sunil CR</t>
        </is>
      </c>
      <c r="Y1408" s="30" t="inlineStr">
        <is>
          <t>Yes</t>
        </is>
      </c>
      <c r="Z1408" s="30" t="n"/>
      <c r="AA1408" s="30" t="inlineStr">
        <is>
          <t>Good finish</t>
        </is>
      </c>
      <c r="AB1408" s="30" t="inlineStr">
        <is>
          <t>Yes</t>
        </is>
      </c>
      <c r="AC1408" s="27" t="n"/>
      <c r="AD1408" s="31" t="inlineStr">
        <is>
          <t>No</t>
        </is>
      </c>
      <c r="AE1408" s="32">
        <f>IF(W1408="","",IF(Z1408="Yes","❌ Disc",IF(Y1408="No","⚠ Missing",IF(AB1408="Yes","✓ OK","⚠ Check"))))</f>
        <v/>
      </c>
      <c r="AF1408" s="33" t="n"/>
      <c r="AG1408" s="33" t="n"/>
      <c r="AH1408" s="33" t="n"/>
      <c r="AI1408" s="33" t="n"/>
      <c r="AJ1408" s="33" t="n"/>
      <c r="AK1408" s="33" t="n"/>
      <c r="AL1408" s="27" t="n"/>
      <c r="AM1408" s="34" t="n"/>
      <c r="AN1408" s="35">
        <f>IF(AF1408="","",IF(AI1408="Yes","❌ Disc",IF(AH1408="No","⚠ Missing",IF(AK1408="Yes","✓ OK","⚠ Check"))))</f>
        <v/>
      </c>
      <c r="AO1408" s="36" t="n"/>
      <c r="AP1408" s="36" t="n"/>
      <c r="AQ1408" s="36" t="n"/>
      <c r="AR1408" s="36" t="n"/>
      <c r="AS1408" s="36" t="n"/>
      <c r="AT1408" s="36" t="n"/>
      <c r="AU1408" s="27" t="n"/>
      <c r="AV1408" s="37" t="n"/>
      <c r="AW1408" s="38">
        <f>IF(AO1408="","",IF(AR1408="Yes","❌ Disc",IF(AQ1408="No","⚠ Missing",IF(AT1408="Yes","✓ OK","⚠ Check"))))</f>
        <v/>
      </c>
    </row>
    <row r="1409" ht="18" customHeight="1" s="46">
      <c r="A1409" s="23" t="n">
        <v>1405</v>
      </c>
      <c r="B1409" s="24" t="inlineStr">
        <is>
          <t>BD-VRM-2024-0574</t>
        </is>
      </c>
      <c r="C1409" s="25" t="inlineStr">
        <is>
          <t>MELANGE II - Weather Forecast Funny Emotions Customized Wallpaper(138) - 1356688307</t>
        </is>
      </c>
      <c r="D1409" s="23" t="inlineStr">
        <is>
          <t>Marshalls</t>
        </is>
      </c>
      <c r="E1409" s="43" t="n">
        <v>46125</v>
      </c>
      <c r="F1409" s="26" t="inlineStr">
        <is>
          <t>Sunil CR</t>
        </is>
      </c>
      <c r="G1409" s="26" t="inlineStr">
        <is>
          <t>Yes</t>
        </is>
      </c>
      <c r="H1409" s="26" t="inlineStr">
        <is>
          <t>No</t>
        </is>
      </c>
      <c r="I1409" s="26" t="inlineStr">
        <is>
          <t>Good finish</t>
        </is>
      </c>
      <c r="J1409" s="26" t="inlineStr">
        <is>
          <t>Yes</t>
        </is>
      </c>
      <c r="K1409" s="27" t="n"/>
      <c r="L1409" s="28" t="inlineStr">
        <is>
          <t>No</t>
        </is>
      </c>
      <c r="M1409" s="29">
        <f>IF(E1409="","",IF(H1409="Yes","❌ Disc",IF(G1409="No","⚠ Missing",IF(J1409="Yes","✓ OK","⚠ Check"))))</f>
        <v/>
      </c>
      <c r="N1409" s="43" t="n">
        <v>46193</v>
      </c>
      <c r="O1409" s="26" t="inlineStr">
        <is>
          <t>Sunil CR</t>
        </is>
      </c>
      <c r="P1409" s="26" t="inlineStr">
        <is>
          <t>Yes</t>
        </is>
      </c>
      <c r="Q1409" s="26" t="inlineStr">
        <is>
          <t>No</t>
        </is>
      </c>
      <c r="R1409" s="26" t="inlineStr">
        <is>
          <t>Good finish</t>
        </is>
      </c>
      <c r="S1409" s="26" t="inlineStr">
        <is>
          <t>Yes</t>
        </is>
      </c>
      <c r="T1409" s="27" t="n"/>
      <c r="U1409" s="28" t="inlineStr">
        <is>
          <t>No</t>
        </is>
      </c>
      <c r="V1409" s="29">
        <f>IF(N1409="","",IF(Q1409="Yes","❌ Disc",IF(P1409="No","⚠ Missing",IF(S1409="Yes","✓ OK","⚠ Check"))))</f>
        <v/>
      </c>
      <c r="W1409" s="65" t="n">
        <v>46248</v>
      </c>
      <c r="X1409" s="30" t="inlineStr">
        <is>
          <t>Sunil CR</t>
        </is>
      </c>
      <c r="Y1409" s="30" t="inlineStr">
        <is>
          <t>Yes</t>
        </is>
      </c>
      <c r="Z1409" s="30" t="n"/>
      <c r="AA1409" s="30" t="inlineStr">
        <is>
          <t>Good finish</t>
        </is>
      </c>
      <c r="AB1409" s="30" t="inlineStr">
        <is>
          <t>Yes</t>
        </is>
      </c>
      <c r="AC1409" s="27" t="n"/>
      <c r="AD1409" s="31" t="inlineStr">
        <is>
          <t>No</t>
        </is>
      </c>
      <c r="AE1409" s="32">
        <f>IF(W1409="","",IF(Z1409="Yes","❌ Disc",IF(Y1409="No","⚠ Missing",IF(AB1409="Yes","✓ OK","⚠ Check"))))</f>
        <v/>
      </c>
      <c r="AF1409" s="33" t="n"/>
      <c r="AG1409" s="33" t="n"/>
      <c r="AH1409" s="33" t="n"/>
      <c r="AI1409" s="33" t="n"/>
      <c r="AJ1409" s="33" t="n"/>
      <c r="AK1409" s="33" t="n"/>
      <c r="AL1409" s="27" t="n"/>
      <c r="AM1409" s="34" t="n"/>
      <c r="AN1409" s="35">
        <f>IF(AF1409="","",IF(AI1409="Yes","❌ Disc",IF(AH1409="No","⚠ Missing",IF(AK1409="Yes","✓ OK","⚠ Check"))))</f>
        <v/>
      </c>
      <c r="AO1409" s="36" t="n"/>
      <c r="AP1409" s="36" t="n"/>
      <c r="AQ1409" s="36" t="n"/>
      <c r="AR1409" s="36" t="n"/>
      <c r="AS1409" s="36" t="n"/>
      <c r="AT1409" s="36" t="n"/>
      <c r="AU1409" s="27" t="n"/>
      <c r="AV1409" s="37" t="n"/>
      <c r="AW1409" s="38">
        <f>IF(AO1409="","",IF(AR1409="Yes","❌ Disc",IF(AQ1409="No","⚠ Missing",IF(AT1409="Yes","✓ OK","⚠ Check"))))</f>
        <v/>
      </c>
    </row>
    <row r="1410" ht="18" customHeight="1" s="46">
      <c r="A1410" s="39" t="n">
        <v>1406</v>
      </c>
      <c r="B1410" s="40" t="inlineStr">
        <is>
          <t>BD-VRM-2024-0572</t>
        </is>
      </c>
      <c r="C1410" s="41" t="inlineStr">
        <is>
          <t>MELANGE II - White Brick Wall Texture Seamless Customized Wallpaper(136) - 675286174</t>
        </is>
      </c>
      <c r="D1410" s="39" t="inlineStr">
        <is>
          <t>Marshalls</t>
        </is>
      </c>
      <c r="E1410" s="43" t="n">
        <v>46125</v>
      </c>
      <c r="F1410" s="26" t="inlineStr">
        <is>
          <t>Sunil CR</t>
        </is>
      </c>
      <c r="G1410" s="26" t="inlineStr">
        <is>
          <t>Yes</t>
        </is>
      </c>
      <c r="H1410" s="26" t="inlineStr">
        <is>
          <t>No</t>
        </is>
      </c>
      <c r="I1410" s="26" t="inlineStr">
        <is>
          <t>Good finish</t>
        </is>
      </c>
      <c r="J1410" s="26" t="inlineStr">
        <is>
          <t>Yes</t>
        </is>
      </c>
      <c r="K1410" s="27" t="n"/>
      <c r="L1410" s="28" t="inlineStr">
        <is>
          <t>No</t>
        </is>
      </c>
      <c r="M1410" s="29">
        <f>IF(E1410="","",IF(H1410="Yes","❌ Disc",IF(G1410="No","⚠ Missing",IF(J1410="Yes","✓ OK","⚠ Check"))))</f>
        <v/>
      </c>
      <c r="N1410" s="43" t="n">
        <v>46193</v>
      </c>
      <c r="O1410" s="26" t="inlineStr">
        <is>
          <t>Sunil CR</t>
        </is>
      </c>
      <c r="P1410" s="26" t="inlineStr">
        <is>
          <t>Yes</t>
        </is>
      </c>
      <c r="Q1410" s="26" t="inlineStr">
        <is>
          <t>No</t>
        </is>
      </c>
      <c r="R1410" s="26" t="inlineStr">
        <is>
          <t>Good finish</t>
        </is>
      </c>
      <c r="S1410" s="26" t="inlineStr">
        <is>
          <t>Yes</t>
        </is>
      </c>
      <c r="T1410" s="27" t="n"/>
      <c r="U1410" s="28" t="inlineStr">
        <is>
          <t>No</t>
        </is>
      </c>
      <c r="V1410" s="29">
        <f>IF(N1410="","",IF(Q1410="Yes","❌ Disc",IF(P1410="No","⚠ Missing",IF(S1410="Yes","✓ OK","⚠ Check"))))</f>
        <v/>
      </c>
      <c r="W1410" s="65" t="n">
        <v>46248</v>
      </c>
      <c r="X1410" s="30" t="inlineStr">
        <is>
          <t>Sunil CR</t>
        </is>
      </c>
      <c r="Y1410" s="30" t="inlineStr">
        <is>
          <t>Yes</t>
        </is>
      </c>
      <c r="Z1410" s="30" t="n"/>
      <c r="AA1410" s="30" t="inlineStr">
        <is>
          <t>Good finish</t>
        </is>
      </c>
      <c r="AB1410" s="30" t="inlineStr">
        <is>
          <t>Yes</t>
        </is>
      </c>
      <c r="AC1410" s="27" t="n"/>
      <c r="AD1410" s="31" t="inlineStr">
        <is>
          <t>No</t>
        </is>
      </c>
      <c r="AE1410" s="32">
        <f>IF(W1410="","",IF(Z1410="Yes","❌ Disc",IF(Y1410="No","⚠ Missing",IF(AB1410="Yes","✓ OK","⚠ Check"))))</f>
        <v/>
      </c>
      <c r="AF1410" s="33" t="n"/>
      <c r="AG1410" s="33" t="n"/>
      <c r="AH1410" s="33" t="n"/>
      <c r="AI1410" s="33" t="n"/>
      <c r="AJ1410" s="33" t="n"/>
      <c r="AK1410" s="33" t="n"/>
      <c r="AL1410" s="27" t="n"/>
      <c r="AM1410" s="34" t="n"/>
      <c r="AN1410" s="35">
        <f>IF(AF1410="","",IF(AI1410="Yes","❌ Disc",IF(AH1410="No","⚠ Missing",IF(AK1410="Yes","✓ OK","⚠ Check"))))</f>
        <v/>
      </c>
      <c r="AO1410" s="36" t="n"/>
      <c r="AP1410" s="36" t="n"/>
      <c r="AQ1410" s="36" t="n"/>
      <c r="AR1410" s="36" t="n"/>
      <c r="AS1410" s="36" t="n"/>
      <c r="AT1410" s="36" t="n"/>
      <c r="AU1410" s="27" t="n"/>
      <c r="AV1410" s="37" t="n"/>
      <c r="AW1410" s="38">
        <f>IF(AO1410="","",IF(AR1410="Yes","❌ Disc",IF(AQ1410="No","⚠ Missing",IF(AT1410="Yes","✓ OK","⚠ Check"))))</f>
        <v/>
      </c>
    </row>
    <row r="1411" ht="18" customHeight="1" s="46">
      <c r="A1411" s="23" t="n">
        <v>1407</v>
      </c>
      <c r="B1411" s="24" t="inlineStr">
        <is>
          <t>BD-VRM-2024-0580</t>
        </is>
      </c>
      <c r="C1411" s="25" t="inlineStr">
        <is>
          <t>MELANGE II - White Peonies Trees Chinoiserie Customized Wallpaper(144) - 2074612552</t>
        </is>
      </c>
      <c r="D1411" s="23" t="inlineStr">
        <is>
          <t>Marshalls</t>
        </is>
      </c>
      <c r="E1411" s="43" t="n">
        <v>46125</v>
      </c>
      <c r="F1411" s="26" t="inlineStr">
        <is>
          <t>Sunil CR</t>
        </is>
      </c>
      <c r="G1411" s="26" t="inlineStr">
        <is>
          <t>Yes</t>
        </is>
      </c>
      <c r="H1411" s="26" t="inlineStr">
        <is>
          <t>No</t>
        </is>
      </c>
      <c r="I1411" s="26" t="inlineStr">
        <is>
          <t>Good finish</t>
        </is>
      </c>
      <c r="J1411" s="26" t="inlineStr">
        <is>
          <t>Yes</t>
        </is>
      </c>
      <c r="K1411" s="27" t="n"/>
      <c r="L1411" s="28" t="inlineStr">
        <is>
          <t>No</t>
        </is>
      </c>
      <c r="M1411" s="29">
        <f>IF(E1411="","",IF(H1411="Yes","❌ Disc",IF(G1411="No","⚠ Missing",IF(J1411="Yes","✓ OK","⚠ Check"))))</f>
        <v/>
      </c>
      <c r="N1411" s="43" t="n">
        <v>46193</v>
      </c>
      <c r="O1411" s="26" t="inlineStr">
        <is>
          <t>Sunil CR</t>
        </is>
      </c>
      <c r="P1411" s="26" t="inlineStr">
        <is>
          <t>Yes</t>
        </is>
      </c>
      <c r="Q1411" s="26" t="inlineStr">
        <is>
          <t>No</t>
        </is>
      </c>
      <c r="R1411" s="26" t="inlineStr">
        <is>
          <t>Good finish</t>
        </is>
      </c>
      <c r="S1411" s="26" t="inlineStr">
        <is>
          <t>Yes</t>
        </is>
      </c>
      <c r="T1411" s="27" t="n"/>
      <c r="U1411" s="28" t="inlineStr">
        <is>
          <t>No</t>
        </is>
      </c>
      <c r="V1411" s="29">
        <f>IF(N1411="","",IF(Q1411="Yes","❌ Disc",IF(P1411="No","⚠ Missing",IF(S1411="Yes","✓ OK","⚠ Check"))))</f>
        <v/>
      </c>
      <c r="W1411" s="65" t="n">
        <v>46248</v>
      </c>
      <c r="X1411" s="30" t="inlineStr">
        <is>
          <t>Sunil CR</t>
        </is>
      </c>
      <c r="Y1411" s="30" t="inlineStr">
        <is>
          <t>Yes</t>
        </is>
      </c>
      <c r="Z1411" s="30" t="n"/>
      <c r="AA1411" s="30" t="inlineStr">
        <is>
          <t>Good finish</t>
        </is>
      </c>
      <c r="AB1411" s="30" t="inlineStr">
        <is>
          <t>Yes</t>
        </is>
      </c>
      <c r="AC1411" s="27" t="n"/>
      <c r="AD1411" s="31" t="inlineStr">
        <is>
          <t>No</t>
        </is>
      </c>
      <c r="AE1411" s="32">
        <f>IF(W1411="","",IF(Z1411="Yes","❌ Disc",IF(Y1411="No","⚠ Missing",IF(AB1411="Yes","✓ OK","⚠ Check"))))</f>
        <v/>
      </c>
      <c r="AF1411" s="33" t="n"/>
      <c r="AG1411" s="33" t="n"/>
      <c r="AH1411" s="33" t="n"/>
      <c r="AI1411" s="33" t="n"/>
      <c r="AJ1411" s="33" t="n"/>
      <c r="AK1411" s="33" t="n"/>
      <c r="AL1411" s="27" t="n"/>
      <c r="AM1411" s="34" t="n"/>
      <c r="AN1411" s="35">
        <f>IF(AF1411="","",IF(AI1411="Yes","❌ Disc",IF(AH1411="No","⚠ Missing",IF(AK1411="Yes","✓ OK","⚠ Check"))))</f>
        <v/>
      </c>
      <c r="AO1411" s="36" t="n"/>
      <c r="AP1411" s="36" t="n"/>
      <c r="AQ1411" s="36" t="n"/>
      <c r="AR1411" s="36" t="n"/>
      <c r="AS1411" s="36" t="n"/>
      <c r="AT1411" s="36" t="n"/>
      <c r="AU1411" s="27" t="n"/>
      <c r="AV1411" s="37" t="n"/>
      <c r="AW1411" s="38">
        <f>IF(AO1411="","",IF(AR1411="Yes","❌ Disc",IF(AQ1411="No","⚠ Missing",IF(AT1411="Yes","✓ OK","⚠ Check"))))</f>
        <v/>
      </c>
    </row>
    <row r="1412" ht="18" customHeight="1" s="46">
      <c r="A1412" s="39" t="n">
        <v>1408</v>
      </c>
      <c r="B1412" s="40" t="inlineStr">
        <is>
          <t>BD-VRM-2024-0571</t>
        </is>
      </c>
      <c r="C1412" s="41" t="inlineStr">
        <is>
          <t>MELANGE II -Deco Style Design Luxuty Geometric  Customized Wallpaper(135) - 1901606656</t>
        </is>
      </c>
      <c r="D1412" s="39" t="inlineStr">
        <is>
          <t>Marshalls</t>
        </is>
      </c>
      <c r="E1412" s="43" t="n">
        <v>46125</v>
      </c>
      <c r="F1412" s="26" t="inlineStr">
        <is>
          <t>Sunil CR</t>
        </is>
      </c>
      <c r="G1412" s="26" t="inlineStr">
        <is>
          <t>Yes</t>
        </is>
      </c>
      <c r="H1412" s="26" t="inlineStr">
        <is>
          <t>No</t>
        </is>
      </c>
      <c r="I1412" s="26" t="inlineStr">
        <is>
          <t>Good finish</t>
        </is>
      </c>
      <c r="J1412" s="26" t="inlineStr">
        <is>
          <t>Yes</t>
        </is>
      </c>
      <c r="K1412" s="27" t="n"/>
      <c r="L1412" s="28" t="inlineStr">
        <is>
          <t>No</t>
        </is>
      </c>
      <c r="M1412" s="29">
        <f>IF(E1412="","",IF(H1412="Yes","❌ Disc",IF(G1412="No","⚠ Missing",IF(J1412="Yes","✓ OK","⚠ Check"))))</f>
        <v/>
      </c>
      <c r="N1412" s="43" t="n">
        <v>46193</v>
      </c>
      <c r="O1412" s="26" t="inlineStr">
        <is>
          <t>Sunil CR</t>
        </is>
      </c>
      <c r="P1412" s="26" t="inlineStr">
        <is>
          <t>Yes</t>
        </is>
      </c>
      <c r="Q1412" s="26" t="inlineStr">
        <is>
          <t>No</t>
        </is>
      </c>
      <c r="R1412" s="26" t="inlineStr">
        <is>
          <t>Good finish</t>
        </is>
      </c>
      <c r="S1412" s="26" t="inlineStr">
        <is>
          <t>Yes</t>
        </is>
      </c>
      <c r="T1412" s="27" t="n"/>
      <c r="U1412" s="28" t="inlineStr">
        <is>
          <t>No</t>
        </is>
      </c>
      <c r="V1412" s="29">
        <f>IF(N1412="","",IF(Q1412="Yes","❌ Disc",IF(P1412="No","⚠ Missing",IF(S1412="Yes","✓ OK","⚠ Check"))))</f>
        <v/>
      </c>
      <c r="W1412" s="65" t="n">
        <v>46248</v>
      </c>
      <c r="X1412" s="30" t="inlineStr">
        <is>
          <t>Sunil CR</t>
        </is>
      </c>
      <c r="Y1412" s="30" t="inlineStr">
        <is>
          <t>Yes</t>
        </is>
      </c>
      <c r="Z1412" s="30" t="n"/>
      <c r="AA1412" s="30" t="inlineStr">
        <is>
          <t>Good finish</t>
        </is>
      </c>
      <c r="AB1412" s="30" t="inlineStr">
        <is>
          <t>Yes</t>
        </is>
      </c>
      <c r="AC1412" s="27" t="n"/>
      <c r="AD1412" s="31" t="inlineStr">
        <is>
          <t>No</t>
        </is>
      </c>
      <c r="AE1412" s="32">
        <f>IF(W1412="","",IF(Z1412="Yes","❌ Disc",IF(Y1412="No","⚠ Missing",IF(AB1412="Yes","✓ OK","⚠ Check"))))</f>
        <v/>
      </c>
      <c r="AF1412" s="33" t="n"/>
      <c r="AG1412" s="33" t="n"/>
      <c r="AH1412" s="33" t="n"/>
      <c r="AI1412" s="33" t="n"/>
      <c r="AJ1412" s="33" t="n"/>
      <c r="AK1412" s="33" t="n"/>
      <c r="AL1412" s="27" t="n"/>
      <c r="AM1412" s="34" t="n"/>
      <c r="AN1412" s="35">
        <f>IF(AF1412="","",IF(AI1412="Yes","❌ Disc",IF(AH1412="No","⚠ Missing",IF(AK1412="Yes","✓ OK","⚠ Check"))))</f>
        <v/>
      </c>
      <c r="AO1412" s="36" t="n"/>
      <c r="AP1412" s="36" t="n"/>
      <c r="AQ1412" s="36" t="n"/>
      <c r="AR1412" s="36" t="n"/>
      <c r="AS1412" s="36" t="n"/>
      <c r="AT1412" s="36" t="n"/>
      <c r="AU1412" s="27" t="n"/>
      <c r="AV1412" s="37" t="n"/>
      <c r="AW1412" s="38">
        <f>IF(AO1412="","",IF(AR1412="Yes","❌ Disc",IF(AQ1412="No","⚠ Missing",IF(AT1412="Yes","✓ OK","⚠ Check"))))</f>
        <v/>
      </c>
    </row>
    <row r="1413" ht="18" customHeight="1" s="46">
      <c r="A1413" s="23" t="n">
        <v>1409</v>
      </c>
      <c r="B1413" s="24" t="inlineStr">
        <is>
          <t>BD-VRM-2024-0575</t>
        </is>
      </c>
      <c r="C1413" s="25" t="inlineStr">
        <is>
          <t>MELANGE II -Stickers Collection Hand Drawn Cartoon  Customized Wallpaper(139) - 2046566192</t>
        </is>
      </c>
      <c r="D1413" s="23" t="inlineStr">
        <is>
          <t>Marshalls</t>
        </is>
      </c>
      <c r="E1413" s="43" t="n">
        <v>46125</v>
      </c>
      <c r="F1413" s="26" t="inlineStr">
        <is>
          <t>Sunil CR</t>
        </is>
      </c>
      <c r="G1413" s="26" t="inlineStr">
        <is>
          <t>Yes</t>
        </is>
      </c>
      <c r="H1413" s="26" t="inlineStr">
        <is>
          <t>No</t>
        </is>
      </c>
      <c r="I1413" s="26" t="inlineStr">
        <is>
          <t>Good finish</t>
        </is>
      </c>
      <c r="J1413" s="26" t="inlineStr">
        <is>
          <t>Yes</t>
        </is>
      </c>
      <c r="K1413" s="27" t="n"/>
      <c r="L1413" s="28" t="inlineStr">
        <is>
          <t>No</t>
        </is>
      </c>
      <c r="M1413" s="29">
        <f>IF(E1413="","",IF(H1413="Yes","❌ Disc",IF(G1413="No","⚠ Missing",IF(J1413="Yes","✓ OK","⚠ Check"))))</f>
        <v/>
      </c>
      <c r="N1413" s="43" t="n">
        <v>46193</v>
      </c>
      <c r="O1413" s="26" t="inlineStr">
        <is>
          <t>Sunil CR</t>
        </is>
      </c>
      <c r="P1413" s="26" t="inlineStr">
        <is>
          <t>Yes</t>
        </is>
      </c>
      <c r="Q1413" s="26" t="inlineStr">
        <is>
          <t>No</t>
        </is>
      </c>
      <c r="R1413" s="26" t="inlineStr">
        <is>
          <t>Good finish</t>
        </is>
      </c>
      <c r="S1413" s="26" t="inlineStr">
        <is>
          <t>Yes</t>
        </is>
      </c>
      <c r="T1413" s="27" t="n"/>
      <c r="U1413" s="28" t="inlineStr">
        <is>
          <t>No</t>
        </is>
      </c>
      <c r="V1413" s="29">
        <f>IF(N1413="","",IF(Q1413="Yes","❌ Disc",IF(P1413="No","⚠ Missing",IF(S1413="Yes","✓ OK","⚠ Check"))))</f>
        <v/>
      </c>
      <c r="W1413" s="65" t="n">
        <v>46248</v>
      </c>
      <c r="X1413" s="30" t="inlineStr">
        <is>
          <t>Sunil CR</t>
        </is>
      </c>
      <c r="Y1413" s="30" t="inlineStr">
        <is>
          <t>Yes</t>
        </is>
      </c>
      <c r="Z1413" s="30" t="n"/>
      <c r="AA1413" s="30" t="inlineStr">
        <is>
          <t>Good finish</t>
        </is>
      </c>
      <c r="AB1413" s="30" t="inlineStr">
        <is>
          <t>Yes</t>
        </is>
      </c>
      <c r="AC1413" s="27" t="n"/>
      <c r="AD1413" s="31" t="inlineStr">
        <is>
          <t>No</t>
        </is>
      </c>
      <c r="AE1413" s="32">
        <f>IF(W1413="","",IF(Z1413="Yes","❌ Disc",IF(Y1413="No","⚠ Missing",IF(AB1413="Yes","✓ OK","⚠ Check"))))</f>
        <v/>
      </c>
      <c r="AF1413" s="33" t="n"/>
      <c r="AG1413" s="33" t="n"/>
      <c r="AH1413" s="33" t="n"/>
      <c r="AI1413" s="33" t="n"/>
      <c r="AJ1413" s="33" t="n"/>
      <c r="AK1413" s="33" t="n"/>
      <c r="AL1413" s="27" t="n"/>
      <c r="AM1413" s="34" t="n"/>
      <c r="AN1413" s="35">
        <f>IF(AF1413="","",IF(AI1413="Yes","❌ Disc",IF(AH1413="No","⚠ Missing",IF(AK1413="Yes","✓ OK","⚠ Check"))))</f>
        <v/>
      </c>
      <c r="AO1413" s="36" t="n"/>
      <c r="AP1413" s="36" t="n"/>
      <c r="AQ1413" s="36" t="n"/>
      <c r="AR1413" s="36" t="n"/>
      <c r="AS1413" s="36" t="n"/>
      <c r="AT1413" s="36" t="n"/>
      <c r="AU1413" s="27" t="n"/>
      <c r="AV1413" s="37" t="n"/>
      <c r="AW1413" s="38">
        <f>IF(AO1413="","",IF(AR1413="Yes","❌ Disc",IF(AQ1413="No","⚠ Missing",IF(AT1413="Yes","✓ OK","⚠ Check"))))</f>
        <v/>
      </c>
    </row>
  </sheetData>
  <autoFilter ref="A4:AW1413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413">
    <cfRule type="expression" priority="15" dxfId="3">
      <formula>G5="Yes"</formula>
    </cfRule>
    <cfRule type="expression" priority="16" dxfId="1">
      <formula>G5="No"</formula>
    </cfRule>
  </conditionalFormatting>
  <conditionalFormatting sqref="H5:H1413">
    <cfRule type="expression" priority="17" dxfId="1">
      <formula>H5="Yes"</formula>
    </cfRule>
  </conditionalFormatting>
  <conditionalFormatting sqref="J5:J1413">
    <cfRule type="expression" priority="18" dxfId="3">
      <formula>J5="Yes"</formula>
    </cfRule>
    <cfRule type="expression" priority="19" dxfId="1">
      <formula>J5="No"</formula>
    </cfRule>
  </conditionalFormatting>
  <conditionalFormatting sqref="M5:M1413">
    <cfRule type="expression" priority="11" dxfId="3">
      <formula>M5="✓ OK"</formula>
    </cfRule>
    <cfRule type="expression" priority="12" dxfId="1">
      <formula>M5="❌ Disc"</formula>
    </cfRule>
    <cfRule type="expression" priority="13" dxfId="1">
      <formula>M5="⚠ Missing"</formula>
    </cfRule>
    <cfRule type="expression" priority="14" dxfId="0">
      <formula>M5="⚠ Check"</formula>
    </cfRule>
  </conditionalFormatting>
  <conditionalFormatting sqref="N5:N1413">
    <cfRule type="expression" priority="1" dxfId="27">
      <formula>MOD(ROW(),2)=0</formula>
    </cfRule>
  </conditionalFormatting>
  <conditionalFormatting sqref="A5:M1413 O5:AW1413">
    <cfRule type="expression" priority="56" dxfId="27">
      <formula>MOD(ROW(),2)=0</formula>
    </cfRule>
  </conditionalFormatting>
  <conditionalFormatting sqref="P5:P1413">
    <cfRule type="expression" priority="6" dxfId="3">
      <formula>P5="Yes"</formula>
    </cfRule>
    <cfRule type="expression" priority="7" dxfId="1">
      <formula>P5="No"</formula>
    </cfRule>
    <cfRule type="expression" priority="24" dxfId="3">
      <formula>P5="Yes"</formula>
    </cfRule>
    <cfRule type="expression" priority="25" dxfId="1">
      <formula>P5="No"</formula>
    </cfRule>
  </conditionalFormatting>
  <conditionalFormatting sqref="Q5:Q1413">
    <cfRule type="expression" priority="8" dxfId="1">
      <formula>Q5="Yes"</formula>
    </cfRule>
  </conditionalFormatting>
  <conditionalFormatting sqref="S5:S1413">
    <cfRule type="expression" priority="9" dxfId="3">
      <formula>S5="Yes"</formula>
    </cfRule>
    <cfRule type="expression" priority="10" dxfId="1">
      <formula>S5="No"</formula>
    </cfRule>
    <cfRule type="expression" priority="27" dxfId="3">
      <formula>S5="Yes"</formula>
    </cfRule>
    <cfRule type="expression" priority="28" dxfId="1">
      <formula>S5="No"</formula>
    </cfRule>
  </conditionalFormatting>
  <conditionalFormatting sqref="V5:V1413">
    <cfRule type="expression" priority="2" dxfId="3">
      <formula>V5="✓ OK"</formula>
    </cfRule>
    <cfRule type="expression" priority="3" dxfId="1">
      <formula>V5="❌ Disc"</formula>
    </cfRule>
    <cfRule type="expression" priority="4" dxfId="1">
      <formula>V5="⚠ Missing"</formula>
    </cfRule>
    <cfRule type="expression" priority="5" dxfId="0">
      <formula>V5="⚠ Check"</formula>
    </cfRule>
    <cfRule type="expression" priority="20" dxfId="3">
      <formula>V5="✓ OK"</formula>
    </cfRule>
    <cfRule type="expression" priority="21" dxfId="1">
      <formula>V5="❌ Disc"</formula>
    </cfRule>
    <cfRule type="expression" priority="22" dxfId="1">
      <formula>V5="⚠ Missing"</formula>
    </cfRule>
    <cfRule type="expression" priority="23" dxfId="0">
      <formula>V5="⚠ Check"</formula>
    </cfRule>
  </conditionalFormatting>
  <conditionalFormatting sqref="Y5:Y1413">
    <cfRule type="expression" priority="33" dxfId="3">
      <formula>Y5="Yes"</formula>
    </cfRule>
    <cfRule type="expression" priority="34" dxfId="1">
      <formula>Y5="No"</formula>
    </cfRule>
  </conditionalFormatting>
  <conditionalFormatting sqref="Z5:Z1413">
    <cfRule type="expression" priority="35" dxfId="1">
      <formula>Z5="Yes"</formula>
    </cfRule>
  </conditionalFormatting>
  <conditionalFormatting sqref="AB5:AB1413">
    <cfRule type="expression" priority="37" dxfId="1">
      <formula>AB5="No"</formula>
    </cfRule>
    <cfRule type="expression" priority="36" dxfId="3">
      <formula>AB5="Yes"</formula>
    </cfRule>
  </conditionalFormatting>
  <conditionalFormatting sqref="AE5:AE1413">
    <cfRule type="expression" priority="30" dxfId="1">
      <formula>AE5="❌ Disc"</formula>
    </cfRule>
    <cfRule type="expression" priority="31" dxfId="1">
      <formula>AE5="⚠ Missing"</formula>
    </cfRule>
    <cfRule type="expression" priority="29" dxfId="3">
      <formula>AE5="✓ OK"</formula>
    </cfRule>
    <cfRule type="expression" priority="32" dxfId="0">
      <formula>AE5="⚠ Check"</formula>
    </cfRule>
  </conditionalFormatting>
  <conditionalFormatting sqref="AH5:AH1413">
    <cfRule type="expression" priority="43" dxfId="1">
      <formula>AH5="No"</formula>
    </cfRule>
    <cfRule type="expression" priority="42" dxfId="3">
      <formula>AH5="Yes"</formula>
    </cfRule>
  </conditionalFormatting>
  <conditionalFormatting sqref="AI5:AI1413">
    <cfRule type="expression" priority="44" dxfId="1">
      <formula>AI5="Yes"</formula>
    </cfRule>
  </conditionalFormatting>
  <conditionalFormatting sqref="AK5:AK1413">
    <cfRule type="expression" priority="45" dxfId="3">
      <formula>AK5="Yes"</formula>
    </cfRule>
    <cfRule type="expression" priority="46" dxfId="1">
      <formula>AK5="No"</formula>
    </cfRule>
  </conditionalFormatting>
  <conditionalFormatting sqref="AN5:AN1413">
    <cfRule type="expression" priority="38" dxfId="3">
      <formula>AN5="✓ OK"</formula>
    </cfRule>
    <cfRule type="expression" priority="39" dxfId="1">
      <formula>AN5="❌ Disc"</formula>
    </cfRule>
    <cfRule type="expression" priority="40" dxfId="1">
      <formula>AN5="⚠ Missing"</formula>
    </cfRule>
    <cfRule type="expression" priority="41" dxfId="0">
      <formula>AN5="⚠ Check"</formula>
    </cfRule>
  </conditionalFormatting>
  <conditionalFormatting sqref="AQ5:AQ1413">
    <cfRule type="expression" priority="51" dxfId="3">
      <formula>AQ5="Yes"</formula>
    </cfRule>
    <cfRule type="expression" priority="52" dxfId="1">
      <formula>AQ5="No"</formula>
    </cfRule>
  </conditionalFormatting>
  <conditionalFormatting sqref="AR5:AR1413">
    <cfRule type="expression" priority="53" dxfId="1">
      <formula>AR5="Yes"</formula>
    </cfRule>
  </conditionalFormatting>
  <conditionalFormatting sqref="AT5:AT1413">
    <cfRule type="expression" priority="54" dxfId="3">
      <formula>AT5="Yes"</formula>
    </cfRule>
    <cfRule type="expression" priority="55" dxfId="1">
      <formula>AT5="No"</formula>
    </cfRule>
  </conditionalFormatting>
  <conditionalFormatting sqref="AW5:AW1413">
    <cfRule type="expression" priority="47" dxfId="3">
      <formula>AW5="✓ OK"</formula>
    </cfRule>
    <cfRule type="expression" priority="48" dxfId="1">
      <formula>AW5="❌ Disc"</formula>
    </cfRule>
    <cfRule type="expression" priority="50" dxfId="0">
      <formula>AW5="⚠ Check"</formula>
    </cfRule>
    <cfRule type="expression" priority="49" dxfId="1">
      <formula>AW5="⚠ Missing"</formula>
    </cfRule>
  </conditionalFormatting>
  <dataValidations count="2">
    <dataValidation sqref="G5:H1413 J5:J1413 P5:Q1413 S5:S1413 Y5:Z1413 AB5:AB1413 AH5:AI1413 AK5:AK1413 AQ5:AR1413 AT5:AT1413" showDropDown="0" showInputMessage="0" showErrorMessage="0" allowBlank="1" type="list">
      <formula1>"Yes,No"</formula1>
    </dataValidation>
    <dataValidation sqref="I5:I1413 R5:R1413 AA5:AA1413 AJ5:AJ1413 AS5:AS1413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theme="0"/>
    <outlinePr summaryBelow="1" summaryRight="1"/>
    <pageSetUpPr/>
  </sheetPr>
  <dimension ref="A1:AW117"/>
  <sheetViews>
    <sheetView workbookViewId="0">
      <pane xSplit="4" ySplit="4" topLeftCell="K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QUARTZ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CT QTZ AGL 1003</t>
        </is>
      </c>
      <c r="C5" s="25" t="inlineStr">
        <is>
          <t>Quartz AGL 1003 Crystal Bianco Maple</t>
        </is>
      </c>
      <c r="D5" s="23" t="inlineStr">
        <is>
          <t>AGL</t>
        </is>
      </c>
      <c r="E5" s="43" t="n">
        <v>46126</v>
      </c>
      <c r="F5" s="26" t="inlineStr">
        <is>
          <t>Sunil CR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Good finish</t>
        </is>
      </c>
      <c r="J5" s="26" t="inlineStr">
        <is>
          <t>Yes</t>
        </is>
      </c>
      <c r="K5" s="27" t="n"/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46196</v>
      </c>
      <c r="O5" s="26" t="inlineStr">
        <is>
          <t>Sunil CR</t>
        </is>
      </c>
      <c r="P5" s="26" t="inlineStr">
        <is>
          <t>Yes</t>
        </is>
      </c>
      <c r="Q5" s="26" t="inlineStr">
        <is>
          <t>No</t>
        </is>
      </c>
      <c r="R5" s="26" t="inlineStr">
        <is>
          <t>Good finish</t>
        </is>
      </c>
      <c r="S5" s="26" t="inlineStr">
        <is>
          <t>Yes</t>
        </is>
      </c>
      <c r="T5" s="27" t="n"/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Yes</t>
        </is>
      </c>
      <c r="Z5" s="30" t="n"/>
      <c r="AA5" s="30" t="inlineStr">
        <is>
          <t>Good finish</t>
        </is>
      </c>
      <c r="AB5" s="30" t="inlineStr">
        <is>
          <t>Yes</t>
        </is>
      </c>
      <c r="AC5" s="27" t="n"/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CT QTZ AGL 1004</t>
        </is>
      </c>
      <c r="C6" s="41" t="inlineStr">
        <is>
          <t>Quartz AGL 1004 Crystal Burgundy Maple</t>
        </is>
      </c>
      <c r="D6" s="39" t="inlineStr">
        <is>
          <t>AGL</t>
        </is>
      </c>
      <c r="E6" s="43" t="n">
        <v>46126</v>
      </c>
      <c r="F6" s="26" t="inlineStr">
        <is>
          <t>Sunil CR</t>
        </is>
      </c>
      <c r="G6" s="26" t="inlineStr">
        <is>
          <t>Yes</t>
        </is>
      </c>
      <c r="H6" s="26" t="inlineStr">
        <is>
          <t>No</t>
        </is>
      </c>
      <c r="I6" s="26" t="inlineStr">
        <is>
          <t>Good finish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46196</v>
      </c>
      <c r="O6" s="26" t="inlineStr">
        <is>
          <t>Sunil CR</t>
        </is>
      </c>
      <c r="P6" s="26" t="inlineStr">
        <is>
          <t>Yes</t>
        </is>
      </c>
      <c r="Q6" s="26" t="inlineStr">
        <is>
          <t>No</t>
        </is>
      </c>
      <c r="R6" s="26" t="inlineStr">
        <is>
          <t>Good finish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Yes</t>
        </is>
      </c>
      <c r="Z6" s="30" t="n"/>
      <c r="AA6" s="30" t="inlineStr">
        <is>
          <t>Good finish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CT QTZ AGL 1005</t>
        </is>
      </c>
      <c r="C7" s="25" t="inlineStr">
        <is>
          <t>Quartz AGL 1005 Crystal Coasta Maple</t>
        </is>
      </c>
      <c r="D7" s="23" t="inlineStr">
        <is>
          <t>AGL</t>
        </is>
      </c>
      <c r="E7" s="43" t="n">
        <v>46126</v>
      </c>
      <c r="F7" s="26" t="inlineStr">
        <is>
          <t>Sunil CR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Good finish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46196</v>
      </c>
      <c r="O7" s="26" t="inlineStr">
        <is>
          <t>Sunil CR</t>
        </is>
      </c>
      <c r="P7" s="26" t="inlineStr">
        <is>
          <t>Yes</t>
        </is>
      </c>
      <c r="Q7" s="26" t="inlineStr">
        <is>
          <t>No</t>
        </is>
      </c>
      <c r="R7" s="26" t="inlineStr">
        <is>
          <t>Good finish</t>
        </is>
      </c>
      <c r="S7" s="26" t="inlineStr">
        <is>
          <t>Yes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Yes</t>
        </is>
      </c>
      <c r="Z7" s="30" t="n"/>
      <c r="AA7" s="30" t="inlineStr">
        <is>
          <t>Good finish</t>
        </is>
      </c>
      <c r="AB7" s="30" t="inlineStr">
        <is>
          <t>Yes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CT QTZ AGL 1006</t>
        </is>
      </c>
      <c r="C8" s="41" t="inlineStr">
        <is>
          <t>Quartz AGL 1006 Crystal Essel Brown</t>
        </is>
      </c>
      <c r="D8" s="39" t="inlineStr">
        <is>
          <t>AGL</t>
        </is>
      </c>
      <c r="E8" s="43" t="n">
        <v>46126</v>
      </c>
      <c r="F8" s="26" t="inlineStr">
        <is>
          <t>Sunil CR</t>
        </is>
      </c>
      <c r="G8" s="26" t="inlineStr">
        <is>
          <t>Yes</t>
        </is>
      </c>
      <c r="H8" s="26" t="inlineStr">
        <is>
          <t>No</t>
        </is>
      </c>
      <c r="I8" s="26" t="inlineStr">
        <is>
          <t>Good finish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46196</v>
      </c>
      <c r="O8" s="26" t="inlineStr">
        <is>
          <t>Sunil CR</t>
        </is>
      </c>
      <c r="P8" s="26" t="inlineStr">
        <is>
          <t>Yes</t>
        </is>
      </c>
      <c r="Q8" s="26" t="inlineStr">
        <is>
          <t>No</t>
        </is>
      </c>
      <c r="R8" s="26" t="inlineStr">
        <is>
          <t>Good finish</t>
        </is>
      </c>
      <c r="S8" s="26" t="inlineStr">
        <is>
          <t>Yes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Yes</t>
        </is>
      </c>
      <c r="Z8" s="30" t="n"/>
      <c r="AA8" s="30" t="inlineStr">
        <is>
          <t>Good finish</t>
        </is>
      </c>
      <c r="AB8" s="30" t="inlineStr">
        <is>
          <t>Yes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CT QTZ AGL 1007</t>
        </is>
      </c>
      <c r="C9" s="25" t="inlineStr">
        <is>
          <t>Quartz AGL 1007 Crystal Galaxy</t>
        </is>
      </c>
      <c r="D9" s="23" t="inlineStr">
        <is>
          <t>AGL</t>
        </is>
      </c>
      <c r="E9" s="43" t="n">
        <v>46126</v>
      </c>
      <c r="F9" s="26" t="inlineStr">
        <is>
          <t>Sunil CR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Good finish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46196</v>
      </c>
      <c r="O9" s="26" t="inlineStr">
        <is>
          <t>Sunil CR</t>
        </is>
      </c>
      <c r="P9" s="26" t="inlineStr">
        <is>
          <t>Yes</t>
        </is>
      </c>
      <c r="Q9" s="26" t="inlineStr">
        <is>
          <t>No</t>
        </is>
      </c>
      <c r="R9" s="26" t="inlineStr">
        <is>
          <t>Good finish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Yes</t>
        </is>
      </c>
      <c r="Z9" s="30" t="n"/>
      <c r="AA9" s="30" t="inlineStr">
        <is>
          <t>Good finish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CT QTZ AGL 1008</t>
        </is>
      </c>
      <c r="C10" s="41" t="inlineStr">
        <is>
          <t>Quartz AGL 1008 Crystal Graphite</t>
        </is>
      </c>
      <c r="D10" s="39" t="inlineStr">
        <is>
          <t>AGL</t>
        </is>
      </c>
      <c r="E10" s="43" t="n">
        <v>46126</v>
      </c>
      <c r="F10" s="26" t="inlineStr">
        <is>
          <t>Sunil CR</t>
        </is>
      </c>
      <c r="G10" s="26" t="inlineStr">
        <is>
          <t>Yes</t>
        </is>
      </c>
      <c r="H10" s="26" t="inlineStr">
        <is>
          <t>No</t>
        </is>
      </c>
      <c r="I10" s="26" t="inlineStr">
        <is>
          <t>Good finish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46196</v>
      </c>
      <c r="O10" s="26" t="inlineStr">
        <is>
          <t>Sunil CR</t>
        </is>
      </c>
      <c r="P10" s="26" t="inlineStr">
        <is>
          <t>Yes</t>
        </is>
      </c>
      <c r="Q10" s="26" t="inlineStr">
        <is>
          <t>No</t>
        </is>
      </c>
      <c r="R10" s="26" t="inlineStr">
        <is>
          <t>Good finish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Yes</t>
        </is>
      </c>
      <c r="Z10" s="30" t="n"/>
      <c r="AA10" s="30" t="inlineStr">
        <is>
          <t>Good finish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CT QTZ AGL 1009</t>
        </is>
      </c>
      <c r="C11" s="25" t="inlineStr">
        <is>
          <t>Quartz AGL 1009 Crystal Gres</t>
        </is>
      </c>
      <c r="D11" s="23" t="inlineStr">
        <is>
          <t>AGL</t>
        </is>
      </c>
      <c r="E11" s="43" t="n">
        <v>46126</v>
      </c>
      <c r="F11" s="26" t="inlineStr">
        <is>
          <t>Sunil CR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Good finish</t>
        </is>
      </c>
      <c r="J11" s="26" t="inlineStr">
        <is>
          <t>Yes</t>
        </is>
      </c>
      <c r="K11" s="27" t="n"/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46196</v>
      </c>
      <c r="O11" s="26" t="inlineStr">
        <is>
          <t>Sunil CR</t>
        </is>
      </c>
      <c r="P11" s="26" t="inlineStr">
        <is>
          <t>Yes</t>
        </is>
      </c>
      <c r="Q11" s="26" t="inlineStr">
        <is>
          <t>No</t>
        </is>
      </c>
      <c r="R11" s="26" t="inlineStr">
        <is>
          <t>Good finish</t>
        </is>
      </c>
      <c r="S11" s="26" t="inlineStr">
        <is>
          <t>Yes</t>
        </is>
      </c>
      <c r="T11" s="27" t="n"/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Yes</t>
        </is>
      </c>
      <c r="Z11" s="30" t="n"/>
      <c r="AA11" s="30" t="inlineStr">
        <is>
          <t>Good finish</t>
        </is>
      </c>
      <c r="AB11" s="30" t="inlineStr">
        <is>
          <t>Yes</t>
        </is>
      </c>
      <c r="AC11" s="27" t="n"/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CT QTZ AGL 1011</t>
        </is>
      </c>
      <c r="C12" s="41" t="inlineStr">
        <is>
          <t>Quartz AGL 1011 Crystal Picasso</t>
        </is>
      </c>
      <c r="D12" s="39" t="inlineStr">
        <is>
          <t>AGL</t>
        </is>
      </c>
      <c r="E12" s="43" t="n">
        <v>46126</v>
      </c>
      <c r="F12" s="26" t="inlineStr">
        <is>
          <t>Sunil CR</t>
        </is>
      </c>
      <c r="G12" s="26" t="inlineStr">
        <is>
          <t>Yes</t>
        </is>
      </c>
      <c r="H12" s="26" t="inlineStr">
        <is>
          <t>No</t>
        </is>
      </c>
      <c r="I12" s="26" t="inlineStr">
        <is>
          <t>Good finish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46196</v>
      </c>
      <c r="O12" s="26" t="inlineStr">
        <is>
          <t>Sunil CR</t>
        </is>
      </c>
      <c r="P12" s="26" t="inlineStr">
        <is>
          <t>Yes</t>
        </is>
      </c>
      <c r="Q12" s="26" t="inlineStr">
        <is>
          <t>No</t>
        </is>
      </c>
      <c r="R12" s="26" t="inlineStr">
        <is>
          <t>Good finish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Yes</t>
        </is>
      </c>
      <c r="Z12" s="30" t="n"/>
      <c r="AA12" s="30" t="inlineStr">
        <is>
          <t>Good finish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CT QTZ AGL 1012</t>
        </is>
      </c>
      <c r="C13" s="25" t="inlineStr">
        <is>
          <t>Quartz AGL 1012 Crystal Royal Grigio</t>
        </is>
      </c>
      <c r="D13" s="23" t="inlineStr">
        <is>
          <t>AGL</t>
        </is>
      </c>
      <c r="E13" s="43" t="n">
        <v>46126</v>
      </c>
      <c r="F13" s="26" t="inlineStr">
        <is>
          <t>Sunil CR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Good finish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46196</v>
      </c>
      <c r="O13" s="26" t="inlineStr">
        <is>
          <t>Sunil CR</t>
        </is>
      </c>
      <c r="P13" s="26" t="inlineStr">
        <is>
          <t>Yes</t>
        </is>
      </c>
      <c r="Q13" s="26" t="inlineStr">
        <is>
          <t>No</t>
        </is>
      </c>
      <c r="R13" s="26" t="inlineStr">
        <is>
          <t>Good finish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Yes</t>
        </is>
      </c>
      <c r="Z13" s="30" t="n"/>
      <c r="AA13" s="30" t="inlineStr">
        <is>
          <t>Good finish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CT QTZ AGL 1016</t>
        </is>
      </c>
      <c r="C14" s="41" t="inlineStr">
        <is>
          <t>Quartz AGL 1016 Crystal Tosco Fiero</t>
        </is>
      </c>
      <c r="D14" s="39" t="inlineStr">
        <is>
          <t>AGL</t>
        </is>
      </c>
      <c r="E14" s="43" t="n">
        <v>46126</v>
      </c>
      <c r="F14" s="26" t="inlineStr">
        <is>
          <t>Sunil CR</t>
        </is>
      </c>
      <c r="G14" s="26" t="inlineStr">
        <is>
          <t>Yes</t>
        </is>
      </c>
      <c r="H14" s="26" t="inlineStr">
        <is>
          <t>No</t>
        </is>
      </c>
      <c r="I14" s="26" t="inlineStr">
        <is>
          <t>Good finish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46196</v>
      </c>
      <c r="O14" s="26" t="inlineStr">
        <is>
          <t>Sunil CR</t>
        </is>
      </c>
      <c r="P14" s="26" t="inlineStr">
        <is>
          <t>Yes</t>
        </is>
      </c>
      <c r="Q14" s="26" t="inlineStr">
        <is>
          <t>No</t>
        </is>
      </c>
      <c r="R14" s="26" t="inlineStr">
        <is>
          <t>Good finish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Yes</t>
        </is>
      </c>
      <c r="Z14" s="30" t="n"/>
      <c r="AA14" s="30" t="inlineStr">
        <is>
          <t>Good finish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CT QTZ AGL 1017</t>
        </is>
      </c>
      <c r="C15" s="25" t="inlineStr">
        <is>
          <t>Quartz AGL 1017 Silken Anthracite</t>
        </is>
      </c>
      <c r="D15" s="23" t="inlineStr">
        <is>
          <t>AGL</t>
        </is>
      </c>
      <c r="E15" s="43" t="n">
        <v>46126</v>
      </c>
      <c r="F15" s="26" t="inlineStr">
        <is>
          <t>Sunil CR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Good finish</t>
        </is>
      </c>
      <c r="J15" s="26" t="inlineStr">
        <is>
          <t>Yes</t>
        </is>
      </c>
      <c r="K15" s="27" t="n"/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46196</v>
      </c>
      <c r="O15" s="26" t="inlineStr">
        <is>
          <t>Sunil CR</t>
        </is>
      </c>
      <c r="P15" s="26" t="inlineStr">
        <is>
          <t>Yes</t>
        </is>
      </c>
      <c r="Q15" s="26" t="inlineStr">
        <is>
          <t>No</t>
        </is>
      </c>
      <c r="R15" s="26" t="inlineStr">
        <is>
          <t>Good finish</t>
        </is>
      </c>
      <c r="S15" s="26" t="inlineStr">
        <is>
          <t>Yes</t>
        </is>
      </c>
      <c r="T15" s="27" t="n"/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Good finish</t>
        </is>
      </c>
      <c r="AB15" s="30" t="inlineStr">
        <is>
          <t>Yes</t>
        </is>
      </c>
      <c r="AC15" s="27" t="n"/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CT QTZ AGL 1018</t>
        </is>
      </c>
      <c r="C16" s="41" t="inlineStr">
        <is>
          <t>Quartz AGL 1018 Silken Avalanche</t>
        </is>
      </c>
      <c r="D16" s="39" t="inlineStr">
        <is>
          <t>AGL</t>
        </is>
      </c>
      <c r="E16" s="43" t="n">
        <v>46126</v>
      </c>
      <c r="F16" s="26" t="inlineStr">
        <is>
          <t>Sunil CR</t>
        </is>
      </c>
      <c r="G16" s="26" t="inlineStr">
        <is>
          <t>Yes</t>
        </is>
      </c>
      <c r="H16" s="26" t="inlineStr">
        <is>
          <t>No</t>
        </is>
      </c>
      <c r="I16" s="26" t="inlineStr">
        <is>
          <t>Good finish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46196</v>
      </c>
      <c r="O16" s="26" t="inlineStr">
        <is>
          <t>Sunil CR</t>
        </is>
      </c>
      <c r="P16" s="26" t="inlineStr">
        <is>
          <t>Yes</t>
        </is>
      </c>
      <c r="Q16" s="26" t="inlineStr">
        <is>
          <t>No</t>
        </is>
      </c>
      <c r="R16" s="26" t="inlineStr">
        <is>
          <t>Good finish</t>
        </is>
      </c>
      <c r="S16" s="26" t="inlineStr">
        <is>
          <t>Yes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Yes</t>
        </is>
      </c>
      <c r="Z16" s="30" t="n"/>
      <c r="AA16" s="30" t="inlineStr">
        <is>
          <t>Good finish</t>
        </is>
      </c>
      <c r="AB16" s="30" t="inlineStr">
        <is>
          <t>Yes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CT QTZ AGL 1019</t>
        </is>
      </c>
      <c r="C17" s="25" t="inlineStr">
        <is>
          <t>Quartz AGL 1019 Silken Bianco Desert</t>
        </is>
      </c>
      <c r="D17" s="23" t="inlineStr">
        <is>
          <t>AGL</t>
        </is>
      </c>
      <c r="E17" s="43" t="n">
        <v>46126</v>
      </c>
      <c r="F17" s="26" t="inlineStr">
        <is>
          <t>Sunil CR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Good finish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46196</v>
      </c>
      <c r="O17" s="26" t="inlineStr">
        <is>
          <t>Sunil CR</t>
        </is>
      </c>
      <c r="P17" s="26" t="inlineStr">
        <is>
          <t>Yes</t>
        </is>
      </c>
      <c r="Q17" s="26" t="inlineStr">
        <is>
          <t>No</t>
        </is>
      </c>
      <c r="R17" s="26" t="inlineStr">
        <is>
          <t>Good finish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Yes</t>
        </is>
      </c>
      <c r="Z17" s="30" t="n"/>
      <c r="AA17" s="30" t="inlineStr">
        <is>
          <t>Good finish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CT QTZ AGL 1020</t>
        </is>
      </c>
      <c r="C18" s="41" t="inlineStr">
        <is>
          <t>Quartz AGL 1020 Silken Coasta Beige</t>
        </is>
      </c>
      <c r="D18" s="39" t="inlineStr">
        <is>
          <t>AGL</t>
        </is>
      </c>
      <c r="E18" s="43" t="n">
        <v>46126</v>
      </c>
      <c r="F18" s="26" t="inlineStr">
        <is>
          <t>Sunil CR</t>
        </is>
      </c>
      <c r="G18" s="26" t="inlineStr">
        <is>
          <t>Yes</t>
        </is>
      </c>
      <c r="H18" s="26" t="inlineStr">
        <is>
          <t>No</t>
        </is>
      </c>
      <c r="I18" s="26" t="inlineStr">
        <is>
          <t>Good finish</t>
        </is>
      </c>
      <c r="J18" s="26" t="inlineStr">
        <is>
          <t>Yes</t>
        </is>
      </c>
      <c r="K18" s="27" t="n"/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46196</v>
      </c>
      <c r="O18" s="26" t="inlineStr">
        <is>
          <t>Sunil CR</t>
        </is>
      </c>
      <c r="P18" s="26" t="inlineStr">
        <is>
          <t>Yes</t>
        </is>
      </c>
      <c r="Q18" s="26" t="inlineStr">
        <is>
          <t>No</t>
        </is>
      </c>
      <c r="R18" s="26" t="inlineStr">
        <is>
          <t>Good finish</t>
        </is>
      </c>
      <c r="S18" s="26" t="inlineStr">
        <is>
          <t>Yes</t>
        </is>
      </c>
      <c r="T18" s="27" t="n"/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Yes</t>
        </is>
      </c>
      <c r="Z18" s="30" t="n"/>
      <c r="AA18" s="30" t="inlineStr">
        <is>
          <t>Good finish</t>
        </is>
      </c>
      <c r="AB18" s="30" t="inlineStr">
        <is>
          <t>Yes</t>
        </is>
      </c>
      <c r="AC18" s="27" t="n"/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CT QTZ AGL 1021</t>
        </is>
      </c>
      <c r="C19" s="25" t="inlineStr">
        <is>
          <t>Quartz AGL 1021 Silken Coasta Ivory</t>
        </is>
      </c>
      <c r="D19" s="23" t="inlineStr">
        <is>
          <t>AGL</t>
        </is>
      </c>
      <c r="E19" s="43" t="n">
        <v>46126</v>
      </c>
      <c r="F19" s="26" t="inlineStr">
        <is>
          <t>Sunil CR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Good finish</t>
        </is>
      </c>
      <c r="J19" s="26" t="inlineStr">
        <is>
          <t>Yes</t>
        </is>
      </c>
      <c r="K19" s="27" t="n"/>
      <c r="L19" s="28" t="inlineStr">
        <is>
          <t>No</t>
        </is>
      </c>
      <c r="M19" s="29">
        <f>IF(E19="","",IF(H19="Yes","❌ Disc",IF(G19="No","⚠ Missing",IF(J19="Yes","✓ OK","⚠ Check"))))</f>
        <v/>
      </c>
      <c r="N19" s="43" t="n">
        <v>46196</v>
      </c>
      <c r="O19" s="26" t="inlineStr">
        <is>
          <t>Sunil CR</t>
        </is>
      </c>
      <c r="P19" s="26" t="inlineStr">
        <is>
          <t>Yes</t>
        </is>
      </c>
      <c r="Q19" s="26" t="inlineStr">
        <is>
          <t>No</t>
        </is>
      </c>
      <c r="R19" s="26" t="inlineStr">
        <is>
          <t>Good finish</t>
        </is>
      </c>
      <c r="S19" s="26" t="inlineStr">
        <is>
          <t>Yes</t>
        </is>
      </c>
      <c r="T19" s="27" t="n"/>
      <c r="U19" s="28" t="inlineStr">
        <is>
          <t>No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Yes</t>
        </is>
      </c>
      <c r="Z19" s="30" t="n"/>
      <c r="AA19" s="30" t="inlineStr">
        <is>
          <t>Good finish</t>
        </is>
      </c>
      <c r="AB19" s="30" t="inlineStr">
        <is>
          <t>Yes</t>
        </is>
      </c>
      <c r="AC19" s="27" t="n"/>
      <c r="AD19" s="31" t="inlineStr">
        <is>
          <t>No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CT QTZ AGL 1022</t>
        </is>
      </c>
      <c r="C20" s="41" t="inlineStr">
        <is>
          <t>Quartz AGL 1022 Silken Ginger Tan</t>
        </is>
      </c>
      <c r="D20" s="39" t="inlineStr">
        <is>
          <t>AGL</t>
        </is>
      </c>
      <c r="E20" s="43" t="n">
        <v>46126</v>
      </c>
      <c r="F20" s="26" t="inlineStr">
        <is>
          <t>Sunil CR</t>
        </is>
      </c>
      <c r="G20" s="26" t="inlineStr">
        <is>
          <t>Yes</t>
        </is>
      </c>
      <c r="H20" s="26" t="inlineStr">
        <is>
          <t>No</t>
        </is>
      </c>
      <c r="I20" s="26" t="inlineStr">
        <is>
          <t>Good finish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46196</v>
      </c>
      <c r="O20" s="26" t="inlineStr">
        <is>
          <t>Sunil CR</t>
        </is>
      </c>
      <c r="P20" s="26" t="inlineStr">
        <is>
          <t>Yes</t>
        </is>
      </c>
      <c r="Q20" s="26" t="inlineStr">
        <is>
          <t>No</t>
        </is>
      </c>
      <c r="R20" s="26" t="inlineStr">
        <is>
          <t>Good finish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Yes</t>
        </is>
      </c>
      <c r="Z20" s="30" t="n"/>
      <c r="AA20" s="30" t="inlineStr">
        <is>
          <t>Good finish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CT QTZ AGL 1023</t>
        </is>
      </c>
      <c r="C21" s="25" t="inlineStr">
        <is>
          <t>Quartz AGL 1023 Silken New Mudpie</t>
        </is>
      </c>
      <c r="D21" s="23" t="inlineStr">
        <is>
          <t>AGL</t>
        </is>
      </c>
      <c r="E21" s="43" t="n">
        <v>46126</v>
      </c>
      <c r="F21" s="26" t="inlineStr">
        <is>
          <t>Sunil CR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Good finish</t>
        </is>
      </c>
      <c r="J21" s="26" t="inlineStr">
        <is>
          <t>Yes</t>
        </is>
      </c>
      <c r="K21" s="27" t="n"/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46196</v>
      </c>
      <c r="O21" s="26" t="inlineStr">
        <is>
          <t>Sunil CR</t>
        </is>
      </c>
      <c r="P21" s="26" t="inlineStr">
        <is>
          <t>Yes</t>
        </is>
      </c>
      <c r="Q21" s="26" t="inlineStr">
        <is>
          <t>No</t>
        </is>
      </c>
      <c r="R21" s="26" t="inlineStr">
        <is>
          <t>Good finish</t>
        </is>
      </c>
      <c r="S21" s="26" t="inlineStr">
        <is>
          <t>Yes</t>
        </is>
      </c>
      <c r="T21" s="27" t="n"/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Yes</t>
        </is>
      </c>
      <c r="Z21" s="30" t="n"/>
      <c r="AA21" s="30" t="inlineStr">
        <is>
          <t>Good finish</t>
        </is>
      </c>
      <c r="AB21" s="30" t="inlineStr">
        <is>
          <t>Yes</t>
        </is>
      </c>
      <c r="AC21" s="27" t="n"/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CT QTZ AGL 1024</t>
        </is>
      </c>
      <c r="C22" s="41" t="inlineStr">
        <is>
          <t>Quartz AGL 1024 Silken Tition Beige</t>
        </is>
      </c>
      <c r="D22" s="39" t="inlineStr">
        <is>
          <t>AGL</t>
        </is>
      </c>
      <c r="E22" s="43" t="n">
        <v>46126</v>
      </c>
      <c r="F22" s="26" t="inlineStr">
        <is>
          <t>Sunil CR</t>
        </is>
      </c>
      <c r="G22" s="26" t="inlineStr">
        <is>
          <t>No</t>
        </is>
      </c>
      <c r="H22" s="26" t="inlineStr">
        <is>
          <t>No</t>
        </is>
      </c>
      <c r="I22" s="26" t="inlineStr">
        <is>
          <t>Not Available</t>
        </is>
      </c>
      <c r="J22" s="26" t="inlineStr">
        <is>
          <t>No</t>
        </is>
      </c>
      <c r="K22" s="27" t="n"/>
      <c r="L22" s="28" t="inlineStr">
        <is>
          <t>Yes</t>
        </is>
      </c>
      <c r="M22" s="29">
        <f>IF(E22="","",IF(H22="Yes","❌ Disc",IF(G22="No","⚠ Missing",IF(J22="Yes","✓ OK","⚠ Check"))))</f>
        <v/>
      </c>
      <c r="N22" s="43" t="n">
        <v>46196</v>
      </c>
      <c r="O22" s="26" t="inlineStr">
        <is>
          <t>Sunil CR</t>
        </is>
      </c>
      <c r="P22" s="26" t="inlineStr">
        <is>
          <t>No</t>
        </is>
      </c>
      <c r="Q22" s="26" t="inlineStr">
        <is>
          <t>No</t>
        </is>
      </c>
      <c r="R22" s="26" t="inlineStr">
        <is>
          <t>Not Available</t>
        </is>
      </c>
      <c r="S22" s="26" t="inlineStr">
        <is>
          <t>No</t>
        </is>
      </c>
      <c r="T22" s="27" t="n"/>
      <c r="U22" s="28" t="inlineStr">
        <is>
          <t>Yes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No</t>
        </is>
      </c>
      <c r="Z22" s="30" t="n"/>
      <c r="AA22" s="30" t="inlineStr">
        <is>
          <t>Not Available</t>
        </is>
      </c>
      <c r="AB22" s="30" t="inlineStr">
        <is>
          <t>No</t>
        </is>
      </c>
      <c r="AC22" s="27" t="n"/>
      <c r="AD22" s="31" t="inlineStr">
        <is>
          <t>Yes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CT QTZ AGL 1025</t>
        </is>
      </c>
      <c r="C23" s="25" t="inlineStr">
        <is>
          <t>Quartz AGL 1025 Silken Titon Bristol</t>
        </is>
      </c>
      <c r="D23" s="23" t="inlineStr">
        <is>
          <t>AGL</t>
        </is>
      </c>
      <c r="E23" s="43" t="n">
        <v>46126</v>
      </c>
      <c r="F23" s="26" t="inlineStr">
        <is>
          <t>Sunil CR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Good finish</t>
        </is>
      </c>
      <c r="J23" s="26" t="inlineStr">
        <is>
          <t>Yes</t>
        </is>
      </c>
      <c r="K23" s="27" t="n"/>
      <c r="L23" s="28" t="inlineStr">
        <is>
          <t>No</t>
        </is>
      </c>
      <c r="M23" s="29">
        <f>IF(E23="","",IF(H23="Yes","❌ Disc",IF(G23="No","⚠ Missing",IF(J23="Yes","✓ OK","⚠ Check"))))</f>
        <v/>
      </c>
      <c r="N23" s="43" t="n">
        <v>46196</v>
      </c>
      <c r="O23" s="26" t="inlineStr">
        <is>
          <t>Sunil CR</t>
        </is>
      </c>
      <c r="P23" s="26" t="inlineStr">
        <is>
          <t>Yes</t>
        </is>
      </c>
      <c r="Q23" s="26" t="inlineStr">
        <is>
          <t>No</t>
        </is>
      </c>
      <c r="R23" s="26" t="inlineStr">
        <is>
          <t>Good finish</t>
        </is>
      </c>
      <c r="S23" s="26" t="inlineStr">
        <is>
          <t>Yes</t>
        </is>
      </c>
      <c r="T23" s="27" t="n"/>
      <c r="U23" s="28" t="inlineStr">
        <is>
          <t>No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Yes</t>
        </is>
      </c>
      <c r="Z23" s="30" t="n"/>
      <c r="AA23" s="30" t="inlineStr">
        <is>
          <t>Good finish</t>
        </is>
      </c>
      <c r="AB23" s="30" t="inlineStr">
        <is>
          <t>Yes</t>
        </is>
      </c>
      <c r="AC23" s="27" t="n"/>
      <c r="AD23" s="31" t="inlineStr">
        <is>
          <t>No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CT QTZ AGL 1026</t>
        </is>
      </c>
      <c r="C24" s="41" t="inlineStr">
        <is>
          <t>Quartz AGL 1026 Silken Titon Brown</t>
        </is>
      </c>
      <c r="D24" s="39" t="inlineStr">
        <is>
          <t>AGL</t>
        </is>
      </c>
      <c r="E24" s="43" t="n">
        <v>46126</v>
      </c>
      <c r="F24" s="26" t="inlineStr">
        <is>
          <t>Sunil CR</t>
        </is>
      </c>
      <c r="G24" s="26" t="inlineStr">
        <is>
          <t>Yes</t>
        </is>
      </c>
      <c r="H24" s="26" t="inlineStr">
        <is>
          <t>No</t>
        </is>
      </c>
      <c r="I24" s="26" t="inlineStr">
        <is>
          <t>Good finish</t>
        </is>
      </c>
      <c r="J24" s="26" t="inlineStr">
        <is>
          <t>Yes</t>
        </is>
      </c>
      <c r="K24" s="27" t="n"/>
      <c r="L24" s="28" t="inlineStr">
        <is>
          <t>No</t>
        </is>
      </c>
      <c r="M24" s="29">
        <f>IF(E24="","",IF(H24="Yes","❌ Disc",IF(G24="No","⚠ Missing",IF(J24="Yes","✓ OK","⚠ Check"))))</f>
        <v/>
      </c>
      <c r="N24" s="43" t="n">
        <v>46196</v>
      </c>
      <c r="O24" s="26" t="inlineStr">
        <is>
          <t>Sunil CR</t>
        </is>
      </c>
      <c r="P24" s="26" t="inlineStr">
        <is>
          <t>Yes</t>
        </is>
      </c>
      <c r="Q24" s="26" t="inlineStr">
        <is>
          <t>No</t>
        </is>
      </c>
      <c r="R24" s="26" t="inlineStr">
        <is>
          <t>Good finish</t>
        </is>
      </c>
      <c r="S24" s="26" t="inlineStr">
        <is>
          <t>Yes</t>
        </is>
      </c>
      <c r="T24" s="27" t="n"/>
      <c r="U24" s="28" t="inlineStr">
        <is>
          <t>No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Yes</t>
        </is>
      </c>
      <c r="Z24" s="30" t="n"/>
      <c r="AA24" s="30" t="inlineStr">
        <is>
          <t>Good finish</t>
        </is>
      </c>
      <c r="AB24" s="30" t="inlineStr">
        <is>
          <t>Yes</t>
        </is>
      </c>
      <c r="AC24" s="27" t="n"/>
      <c r="AD24" s="31" t="inlineStr">
        <is>
          <t>No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CT QTZ AGL 1027</t>
        </is>
      </c>
      <c r="C25" s="25" t="inlineStr">
        <is>
          <t>Quartz AGL 1027 Silken Vanilla</t>
        </is>
      </c>
      <c r="D25" s="23" t="inlineStr">
        <is>
          <t>AGL</t>
        </is>
      </c>
      <c r="E25" s="43" t="n">
        <v>46126</v>
      </c>
      <c r="F25" s="26" t="inlineStr">
        <is>
          <t>Sunil CR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Good finish</t>
        </is>
      </c>
      <c r="J25" s="26" t="inlineStr">
        <is>
          <t>Yes</t>
        </is>
      </c>
      <c r="K25" s="27" t="n"/>
      <c r="L25" s="28" t="inlineStr">
        <is>
          <t>No</t>
        </is>
      </c>
      <c r="M25" s="29">
        <f>IF(E25="","",IF(H25="Yes","❌ Disc",IF(G25="No","⚠ Missing",IF(J25="Yes","✓ OK","⚠ Check"))))</f>
        <v/>
      </c>
      <c r="N25" s="43" t="n">
        <v>46196</v>
      </c>
      <c r="O25" s="26" t="inlineStr">
        <is>
          <t>Sunil CR</t>
        </is>
      </c>
      <c r="P25" s="26" t="inlineStr">
        <is>
          <t>Yes</t>
        </is>
      </c>
      <c r="Q25" s="26" t="inlineStr">
        <is>
          <t>No</t>
        </is>
      </c>
      <c r="R25" s="26" t="inlineStr">
        <is>
          <t>Good finish</t>
        </is>
      </c>
      <c r="S25" s="26" t="inlineStr">
        <is>
          <t>Yes</t>
        </is>
      </c>
      <c r="T25" s="27" t="n"/>
      <c r="U25" s="28" t="inlineStr">
        <is>
          <t>No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Yes</t>
        </is>
      </c>
      <c r="Z25" s="30" t="n"/>
      <c r="AA25" s="30" t="inlineStr">
        <is>
          <t>Good finish</t>
        </is>
      </c>
      <c r="AB25" s="30" t="inlineStr">
        <is>
          <t>Yes</t>
        </is>
      </c>
      <c r="AC25" s="27" t="n"/>
      <c r="AD25" s="31" t="inlineStr">
        <is>
          <t>No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CT QTZ AGL 1028</t>
        </is>
      </c>
      <c r="C26" s="41" t="inlineStr">
        <is>
          <t>Quartz AGL 1028 Silken Wicker</t>
        </is>
      </c>
      <c r="D26" s="39" t="inlineStr">
        <is>
          <t>AGL</t>
        </is>
      </c>
      <c r="E26" s="43" t="n">
        <v>46126</v>
      </c>
      <c r="F26" s="26" t="inlineStr">
        <is>
          <t>Sunil CR</t>
        </is>
      </c>
      <c r="G26" s="26" t="inlineStr">
        <is>
          <t>Yes</t>
        </is>
      </c>
      <c r="H26" s="26" t="inlineStr">
        <is>
          <t>No</t>
        </is>
      </c>
      <c r="I26" s="26" t="inlineStr">
        <is>
          <t>Good finish</t>
        </is>
      </c>
      <c r="J26" s="26" t="inlineStr">
        <is>
          <t>Yes</t>
        </is>
      </c>
      <c r="K26" s="27" t="n"/>
      <c r="L26" s="28" t="inlineStr">
        <is>
          <t>No</t>
        </is>
      </c>
      <c r="M26" s="29">
        <f>IF(E26="","",IF(H26="Yes","❌ Disc",IF(G26="No","⚠ Missing",IF(J26="Yes","✓ OK","⚠ Check"))))</f>
        <v/>
      </c>
      <c r="N26" s="43" t="n">
        <v>46196</v>
      </c>
      <c r="O26" s="26" t="inlineStr">
        <is>
          <t>Sunil CR</t>
        </is>
      </c>
      <c r="P26" s="26" t="inlineStr">
        <is>
          <t>Yes</t>
        </is>
      </c>
      <c r="Q26" s="26" t="inlineStr">
        <is>
          <t>No</t>
        </is>
      </c>
      <c r="R26" s="26" t="inlineStr">
        <is>
          <t>Good finish</t>
        </is>
      </c>
      <c r="S26" s="26" t="inlineStr">
        <is>
          <t>Yes</t>
        </is>
      </c>
      <c r="T26" s="27" t="n"/>
      <c r="U26" s="28" t="inlineStr">
        <is>
          <t>No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Yes</t>
        </is>
      </c>
      <c r="Z26" s="30" t="n"/>
      <c r="AA26" s="30" t="inlineStr">
        <is>
          <t>Good finish</t>
        </is>
      </c>
      <c r="AB26" s="30" t="inlineStr">
        <is>
          <t>Yes</t>
        </is>
      </c>
      <c r="AC26" s="27" t="n"/>
      <c r="AD26" s="31" t="inlineStr">
        <is>
          <t>No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CT QTZ AGL 1029</t>
        </is>
      </c>
      <c r="C27" s="25" t="inlineStr">
        <is>
          <t>Quartz AGL 1029 Silken Winter White</t>
        </is>
      </c>
      <c r="D27" s="23" t="inlineStr">
        <is>
          <t>AGL</t>
        </is>
      </c>
      <c r="E27" s="43" t="n">
        <v>46126</v>
      </c>
      <c r="F27" s="26" t="inlineStr">
        <is>
          <t>Sunil CR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Good finish</t>
        </is>
      </c>
      <c r="J27" s="26" t="inlineStr">
        <is>
          <t>Yes</t>
        </is>
      </c>
      <c r="K27" s="27" t="n"/>
      <c r="L27" s="28" t="inlineStr">
        <is>
          <t>No</t>
        </is>
      </c>
      <c r="M27" s="29">
        <f>IF(E27="","",IF(H27="Yes","❌ Disc",IF(G27="No","⚠ Missing",IF(J27="Yes","✓ OK","⚠ Check"))))</f>
        <v/>
      </c>
      <c r="N27" s="43" t="n">
        <v>46196</v>
      </c>
      <c r="O27" s="26" t="inlineStr">
        <is>
          <t>Sunil CR</t>
        </is>
      </c>
      <c r="P27" s="26" t="inlineStr">
        <is>
          <t>Yes</t>
        </is>
      </c>
      <c r="Q27" s="26" t="inlineStr">
        <is>
          <t>No</t>
        </is>
      </c>
      <c r="R27" s="26" t="inlineStr">
        <is>
          <t>Good finish</t>
        </is>
      </c>
      <c r="S27" s="26" t="inlineStr">
        <is>
          <t>Yes</t>
        </is>
      </c>
      <c r="T27" s="27" t="n"/>
      <c r="U27" s="28" t="inlineStr">
        <is>
          <t>No</t>
        </is>
      </c>
      <c r="V27" s="29">
        <f>IF(N27="","",IF(Q27="Yes","❌ Disc",IF(P27="No","⚠ Missing",IF(S27="Yes","✓ OK","⚠ Check"))))</f>
        <v/>
      </c>
      <c r="W27" s="65" t="n">
        <v>46248</v>
      </c>
      <c r="X27" s="30" t="inlineStr">
        <is>
          <t>Sunil CR</t>
        </is>
      </c>
      <c r="Y27" s="30" t="inlineStr">
        <is>
          <t>Yes</t>
        </is>
      </c>
      <c r="Z27" s="30" t="n"/>
      <c r="AA27" s="30" t="inlineStr">
        <is>
          <t>Good finish</t>
        </is>
      </c>
      <c r="AB27" s="30" t="inlineStr">
        <is>
          <t>Yes</t>
        </is>
      </c>
      <c r="AC27" s="27" t="n"/>
      <c r="AD27" s="31" t="inlineStr">
        <is>
          <t>No</t>
        </is>
      </c>
      <c r="AE27" s="32">
        <f>IF(W27="","",IF(Z27="Yes","❌ Disc",IF(Y27="No","⚠ Missing",IF(AB27="Yes","✓ OK","⚠ Check"))))</f>
        <v/>
      </c>
      <c r="AF27" s="33" t="n"/>
      <c r="AG27" s="33" t="n"/>
      <c r="AH27" s="33" t="n"/>
      <c r="AI27" s="33" t="n"/>
      <c r="AJ27" s="33" t="n"/>
      <c r="AK27" s="33" t="n"/>
      <c r="AL27" s="27" t="n"/>
      <c r="AM27" s="34" t="n"/>
      <c r="AN27" s="35">
        <f>IF(AF27="","",IF(AI27="Yes","❌ Disc",IF(AH27="No","⚠ Missing",IF(AK27="Yes","✓ OK","⚠ Check"))))</f>
        <v/>
      </c>
      <c r="AO27" s="36" t="n"/>
      <c r="AP27" s="36" t="n"/>
      <c r="AQ27" s="36" t="n"/>
      <c r="AR27" s="36" t="n"/>
      <c r="AS27" s="36" t="n"/>
      <c r="AT27" s="36" t="n"/>
      <c r="AU27" s="27" t="n"/>
      <c r="AV27" s="37" t="n"/>
      <c r="AW27" s="38">
        <f>IF(AO27="","",IF(AR27="Yes","❌ Disc",IF(AQ27="No","⚠ Missing",IF(AT27="Yes","✓ OK","⚠ Check"))))</f>
        <v/>
      </c>
    </row>
    <row r="28" ht="18" customHeight="1" s="46">
      <c r="A28" s="39" t="n">
        <v>24</v>
      </c>
      <c r="B28" s="40" t="inlineStr">
        <is>
          <t>CT QTZ AGL 1030</t>
        </is>
      </c>
      <c r="C28" s="41" t="inlineStr">
        <is>
          <t>Quartz AGL 1030 Spectra Cosmus</t>
        </is>
      </c>
      <c r="D28" s="39" t="inlineStr">
        <is>
          <t>AGL</t>
        </is>
      </c>
      <c r="E28" s="43" t="n">
        <v>46126</v>
      </c>
      <c r="F28" s="26" t="inlineStr">
        <is>
          <t>Sunil CR</t>
        </is>
      </c>
      <c r="G28" s="26" t="inlineStr">
        <is>
          <t>Yes</t>
        </is>
      </c>
      <c r="H28" s="26" t="inlineStr">
        <is>
          <t>No</t>
        </is>
      </c>
      <c r="I28" s="26" t="inlineStr">
        <is>
          <t>Good finish</t>
        </is>
      </c>
      <c r="J28" s="26" t="inlineStr">
        <is>
          <t>Yes</t>
        </is>
      </c>
      <c r="K28" s="27" t="n"/>
      <c r="L28" s="28" t="inlineStr">
        <is>
          <t>No</t>
        </is>
      </c>
      <c r="M28" s="29">
        <f>IF(E28="","",IF(H28="Yes","❌ Disc",IF(G28="No","⚠ Missing",IF(J28="Yes","✓ OK","⚠ Check"))))</f>
        <v/>
      </c>
      <c r="N28" s="43" t="n">
        <v>46196</v>
      </c>
      <c r="O28" s="26" t="inlineStr">
        <is>
          <t>Sunil CR</t>
        </is>
      </c>
      <c r="P28" s="26" t="inlineStr">
        <is>
          <t>Yes</t>
        </is>
      </c>
      <c r="Q28" s="26" t="inlineStr">
        <is>
          <t>No</t>
        </is>
      </c>
      <c r="R28" s="26" t="inlineStr">
        <is>
          <t>Good finish</t>
        </is>
      </c>
      <c r="S28" s="26" t="inlineStr">
        <is>
          <t>Yes</t>
        </is>
      </c>
      <c r="T28" s="27" t="n"/>
      <c r="U28" s="28" t="inlineStr">
        <is>
          <t>No</t>
        </is>
      </c>
      <c r="V28" s="29">
        <f>IF(N28="","",IF(Q28="Yes","❌ Disc",IF(P28="No","⚠ Missing",IF(S28="Yes","✓ OK","⚠ Check"))))</f>
        <v/>
      </c>
      <c r="W28" s="65" t="n">
        <v>46248</v>
      </c>
      <c r="X28" s="30" t="inlineStr">
        <is>
          <t>Sunil CR</t>
        </is>
      </c>
      <c r="Y28" s="30" t="inlineStr">
        <is>
          <t>Yes</t>
        </is>
      </c>
      <c r="Z28" s="30" t="n"/>
      <c r="AA28" s="30" t="inlineStr">
        <is>
          <t>Good finish</t>
        </is>
      </c>
      <c r="AB28" s="30" t="inlineStr">
        <is>
          <t>Yes</t>
        </is>
      </c>
      <c r="AC28" s="27" t="n"/>
      <c r="AD28" s="31" t="inlineStr">
        <is>
          <t>No</t>
        </is>
      </c>
      <c r="AE28" s="32">
        <f>IF(W28="","",IF(Z28="Yes","❌ Disc",IF(Y28="No","⚠ Missing",IF(AB28="Yes","✓ OK","⚠ Check"))))</f>
        <v/>
      </c>
      <c r="AF28" s="33" t="n"/>
      <c r="AG28" s="33" t="n"/>
      <c r="AH28" s="33" t="n"/>
      <c r="AI28" s="33" t="n"/>
      <c r="AJ28" s="33" t="n"/>
      <c r="AK28" s="33" t="n"/>
      <c r="AL28" s="27" t="n"/>
      <c r="AM28" s="34" t="n"/>
      <c r="AN28" s="35">
        <f>IF(AF28="","",IF(AI28="Yes","❌ Disc",IF(AH28="No","⚠ Missing",IF(AK28="Yes","✓ OK","⚠ Check"))))</f>
        <v/>
      </c>
      <c r="AO28" s="36" t="n"/>
      <c r="AP28" s="36" t="n"/>
      <c r="AQ28" s="36" t="n"/>
      <c r="AR28" s="36" t="n"/>
      <c r="AS28" s="36" t="n"/>
      <c r="AT28" s="36" t="n"/>
      <c r="AU28" s="27" t="n"/>
      <c r="AV28" s="37" t="n"/>
      <c r="AW28" s="38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CT QTZ AGL 1032</t>
        </is>
      </c>
      <c r="C29" s="25" t="inlineStr">
        <is>
          <t>Quartz AGL 1032 Spectra Royal Dream</t>
        </is>
      </c>
      <c r="D29" s="23" t="inlineStr">
        <is>
          <t>AGL</t>
        </is>
      </c>
      <c r="E29" s="43" t="n">
        <v>46126</v>
      </c>
      <c r="F29" s="26" t="inlineStr">
        <is>
          <t>Sunil CR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Good finish</t>
        </is>
      </c>
      <c r="J29" s="26" t="inlineStr">
        <is>
          <t>Yes</t>
        </is>
      </c>
      <c r="K29" s="27" t="n"/>
      <c r="L29" s="28" t="inlineStr">
        <is>
          <t>No</t>
        </is>
      </c>
      <c r="M29" s="29">
        <f>IF(E29="","",IF(H29="Yes","❌ Disc",IF(G29="No","⚠ Missing",IF(J29="Yes","✓ OK","⚠ Check"))))</f>
        <v/>
      </c>
      <c r="N29" s="43" t="n">
        <v>46196</v>
      </c>
      <c r="O29" s="26" t="inlineStr">
        <is>
          <t>Sunil CR</t>
        </is>
      </c>
      <c r="P29" s="26" t="inlineStr">
        <is>
          <t>Yes</t>
        </is>
      </c>
      <c r="Q29" s="26" t="inlineStr">
        <is>
          <t>No</t>
        </is>
      </c>
      <c r="R29" s="26" t="inlineStr">
        <is>
          <t>Good finish</t>
        </is>
      </c>
      <c r="S29" s="26" t="inlineStr">
        <is>
          <t>Yes</t>
        </is>
      </c>
      <c r="T29" s="27" t="n"/>
      <c r="U29" s="28" t="inlineStr">
        <is>
          <t>No</t>
        </is>
      </c>
      <c r="V29" s="29">
        <f>IF(N29="","",IF(Q29="Yes","❌ Disc",IF(P29="No","⚠ Missing",IF(S29="Yes","✓ OK","⚠ Check"))))</f>
        <v/>
      </c>
      <c r="W29" s="65" t="n">
        <v>46248</v>
      </c>
      <c r="X29" s="30" t="inlineStr">
        <is>
          <t>Sunil CR</t>
        </is>
      </c>
      <c r="Y29" s="30" t="inlineStr">
        <is>
          <t>Yes</t>
        </is>
      </c>
      <c r="Z29" s="30" t="n"/>
      <c r="AA29" s="30" t="inlineStr">
        <is>
          <t>Good finish</t>
        </is>
      </c>
      <c r="AB29" s="30" t="inlineStr">
        <is>
          <t>Yes</t>
        </is>
      </c>
      <c r="AC29" s="27" t="n"/>
      <c r="AD29" s="31" t="inlineStr">
        <is>
          <t>No</t>
        </is>
      </c>
      <c r="AE29" s="32">
        <f>IF(W29="","",IF(Z29="Yes","❌ Disc",IF(Y29="No","⚠ Missing",IF(AB29="Yes","✓ OK","⚠ Check"))))</f>
        <v/>
      </c>
      <c r="AF29" s="33" t="n"/>
      <c r="AG29" s="33" t="n"/>
      <c r="AH29" s="33" t="n"/>
      <c r="AI29" s="33" t="n"/>
      <c r="AJ29" s="33" t="n"/>
      <c r="AK29" s="33" t="n"/>
      <c r="AL29" s="27" t="n"/>
      <c r="AM29" s="34" t="n"/>
      <c r="AN29" s="35">
        <f>IF(AF29="","",IF(AI29="Yes","❌ Disc",IF(AH29="No","⚠ Missing",IF(AK29="Yes","✓ OK","⚠ Check"))))</f>
        <v/>
      </c>
      <c r="AO29" s="36" t="n"/>
      <c r="AP29" s="36" t="n"/>
      <c r="AQ29" s="36" t="n"/>
      <c r="AR29" s="36" t="n"/>
      <c r="AS29" s="36" t="n"/>
      <c r="AT29" s="36" t="n"/>
      <c r="AU29" s="27" t="n"/>
      <c r="AV29" s="37" t="n"/>
      <c r="AW29" s="38">
        <f>IF(AO29="","",IF(AR29="Yes","❌ Disc",IF(AQ29="No","⚠ Missing",IF(AT29="Yes","✓ OK","⚠ Check"))))</f>
        <v/>
      </c>
    </row>
    <row r="30" ht="18" customHeight="1" s="46">
      <c r="A30" s="39" t="n">
        <v>26</v>
      </c>
      <c r="B30" s="40" t="inlineStr">
        <is>
          <t>CT QTZ AGL 1033</t>
        </is>
      </c>
      <c r="C30" s="41" t="inlineStr">
        <is>
          <t>Quartz AGL 1033 Spectra Venus</t>
        </is>
      </c>
      <c r="D30" s="39" t="inlineStr">
        <is>
          <t>AGL</t>
        </is>
      </c>
      <c r="E30" s="43" t="n">
        <v>46126</v>
      </c>
      <c r="F30" s="26" t="inlineStr">
        <is>
          <t>Sunil CR</t>
        </is>
      </c>
      <c r="G30" s="26" t="inlineStr">
        <is>
          <t>Yes</t>
        </is>
      </c>
      <c r="H30" s="26" t="inlineStr">
        <is>
          <t>No</t>
        </is>
      </c>
      <c r="I30" s="26" t="inlineStr">
        <is>
          <t>Good finish</t>
        </is>
      </c>
      <c r="J30" s="26" t="inlineStr">
        <is>
          <t>Yes</t>
        </is>
      </c>
      <c r="K30" s="27" t="n"/>
      <c r="L30" s="28" t="inlineStr">
        <is>
          <t>No</t>
        </is>
      </c>
      <c r="M30" s="29">
        <f>IF(E30="","",IF(H30="Yes","❌ Disc",IF(G30="No","⚠ Missing",IF(J30="Yes","✓ OK","⚠ Check"))))</f>
        <v/>
      </c>
      <c r="N30" s="43" t="n">
        <v>46196</v>
      </c>
      <c r="O30" s="26" t="inlineStr">
        <is>
          <t>Sunil CR</t>
        </is>
      </c>
      <c r="P30" s="26" t="inlineStr">
        <is>
          <t>Yes</t>
        </is>
      </c>
      <c r="Q30" s="26" t="inlineStr">
        <is>
          <t>No</t>
        </is>
      </c>
      <c r="R30" s="26" t="inlineStr">
        <is>
          <t>Good finish</t>
        </is>
      </c>
      <c r="S30" s="26" t="inlineStr">
        <is>
          <t>Yes</t>
        </is>
      </c>
      <c r="T30" s="27" t="n"/>
      <c r="U30" s="28" t="inlineStr">
        <is>
          <t>No</t>
        </is>
      </c>
      <c r="V30" s="29">
        <f>IF(N30="","",IF(Q30="Yes","❌ Disc",IF(P30="No","⚠ Missing",IF(S30="Yes","✓ OK","⚠ Check"))))</f>
        <v/>
      </c>
      <c r="W30" s="65" t="n">
        <v>46248</v>
      </c>
      <c r="X30" s="30" t="inlineStr">
        <is>
          <t>Sunil CR</t>
        </is>
      </c>
      <c r="Y30" s="30" t="inlineStr">
        <is>
          <t>Yes</t>
        </is>
      </c>
      <c r="Z30" s="30" t="n"/>
      <c r="AA30" s="30" t="inlineStr">
        <is>
          <t>Good finish</t>
        </is>
      </c>
      <c r="AB30" s="30" t="inlineStr">
        <is>
          <t>Yes</t>
        </is>
      </c>
      <c r="AC30" s="27" t="n"/>
      <c r="AD30" s="31" t="inlineStr">
        <is>
          <t>No</t>
        </is>
      </c>
      <c r="AE30" s="32">
        <f>IF(W30="","",IF(Z30="Yes","❌ Disc",IF(Y30="No","⚠ Missing",IF(AB30="Yes","✓ OK","⚠ Check"))))</f>
        <v/>
      </c>
      <c r="AF30" s="33" t="n"/>
      <c r="AG30" s="33" t="n"/>
      <c r="AH30" s="33" t="n"/>
      <c r="AI30" s="33" t="n"/>
      <c r="AJ30" s="33" t="n"/>
      <c r="AK30" s="33" t="n"/>
      <c r="AL30" s="27" t="n"/>
      <c r="AM30" s="34" t="n"/>
      <c r="AN30" s="35">
        <f>IF(AF30="","",IF(AI30="Yes","❌ Disc",IF(AH30="No","⚠ Missing",IF(AK30="Yes","✓ OK","⚠ Check"))))</f>
        <v/>
      </c>
      <c r="AO30" s="36" t="n"/>
      <c r="AP30" s="36" t="n"/>
      <c r="AQ30" s="36" t="n"/>
      <c r="AR30" s="36" t="n"/>
      <c r="AS30" s="36" t="n"/>
      <c r="AT30" s="36" t="n"/>
      <c r="AU30" s="27" t="n"/>
      <c r="AV30" s="37" t="n"/>
      <c r="AW30" s="38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CT QTZ AGL 1034</t>
        </is>
      </c>
      <c r="C31" s="25" t="inlineStr">
        <is>
          <t>Quartz AGL 1034 Elegant Cement</t>
        </is>
      </c>
      <c r="D31" s="23" t="inlineStr">
        <is>
          <t>AGL</t>
        </is>
      </c>
      <c r="E31" s="43" t="n">
        <v>46126</v>
      </c>
      <c r="F31" s="26" t="inlineStr">
        <is>
          <t>Sunil CR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Good finish</t>
        </is>
      </c>
      <c r="J31" s="26" t="inlineStr">
        <is>
          <t>Yes</t>
        </is>
      </c>
      <c r="K31" s="27" t="n"/>
      <c r="L31" s="28" t="inlineStr">
        <is>
          <t>No</t>
        </is>
      </c>
      <c r="M31" s="29">
        <f>IF(E31="","",IF(H31="Yes","❌ Disc",IF(G31="No","⚠ Missing",IF(J31="Yes","✓ OK","⚠ Check"))))</f>
        <v/>
      </c>
      <c r="N31" s="43" t="n">
        <v>46196</v>
      </c>
      <c r="O31" s="26" t="inlineStr">
        <is>
          <t>Sunil CR</t>
        </is>
      </c>
      <c r="P31" s="26" t="inlineStr">
        <is>
          <t>Yes</t>
        </is>
      </c>
      <c r="Q31" s="26" t="inlineStr">
        <is>
          <t>No</t>
        </is>
      </c>
      <c r="R31" s="26" t="inlineStr">
        <is>
          <t>Good finish</t>
        </is>
      </c>
      <c r="S31" s="26" t="inlineStr">
        <is>
          <t>Yes</t>
        </is>
      </c>
      <c r="T31" s="27" t="n"/>
      <c r="U31" s="28" t="inlineStr">
        <is>
          <t>No</t>
        </is>
      </c>
      <c r="V31" s="29">
        <f>IF(N31="","",IF(Q31="Yes","❌ Disc",IF(P31="No","⚠ Missing",IF(S31="Yes","✓ OK","⚠ Check"))))</f>
        <v/>
      </c>
      <c r="W31" s="65" t="n">
        <v>46248</v>
      </c>
      <c r="X31" s="30" t="inlineStr">
        <is>
          <t>Sunil CR</t>
        </is>
      </c>
      <c r="Y31" s="30" t="inlineStr">
        <is>
          <t>Yes</t>
        </is>
      </c>
      <c r="Z31" s="30" t="n"/>
      <c r="AA31" s="30" t="inlineStr">
        <is>
          <t>Good finish</t>
        </is>
      </c>
      <c r="AB31" s="30" t="inlineStr">
        <is>
          <t>Yes</t>
        </is>
      </c>
      <c r="AC31" s="27" t="n"/>
      <c r="AD31" s="31" t="inlineStr">
        <is>
          <t>No</t>
        </is>
      </c>
      <c r="AE31" s="32">
        <f>IF(W31="","",IF(Z31="Yes","❌ Disc",IF(Y31="No","⚠ Missing",IF(AB31="Yes","✓ OK","⚠ Check"))))</f>
        <v/>
      </c>
      <c r="AF31" s="33" t="n"/>
      <c r="AG31" s="33" t="n"/>
      <c r="AH31" s="33" t="n"/>
      <c r="AI31" s="33" t="n"/>
      <c r="AJ31" s="33" t="n"/>
      <c r="AK31" s="33" t="n"/>
      <c r="AL31" s="27" t="n"/>
      <c r="AM31" s="34" t="n"/>
      <c r="AN31" s="35">
        <f>IF(AF31="","",IF(AI31="Yes","❌ Disc",IF(AH31="No","⚠ Missing",IF(AK31="Yes","✓ OK","⚠ Check"))))</f>
        <v/>
      </c>
      <c r="AO31" s="36" t="n"/>
      <c r="AP31" s="36" t="n"/>
      <c r="AQ31" s="36" t="n"/>
      <c r="AR31" s="36" t="n"/>
      <c r="AS31" s="36" t="n"/>
      <c r="AT31" s="36" t="n"/>
      <c r="AU31" s="27" t="n"/>
      <c r="AV31" s="37" t="n"/>
      <c r="AW31" s="38">
        <f>IF(AO31="","",IF(AR31="Yes","❌ Disc",IF(AQ31="No","⚠ Missing",IF(AT31="Yes","✓ OK","⚠ Check"))))</f>
        <v/>
      </c>
    </row>
    <row r="32" ht="18" customHeight="1" s="46">
      <c r="A32" s="39" t="n">
        <v>28</v>
      </c>
      <c r="B32" s="40" t="inlineStr">
        <is>
          <t>CT QTZ AGL 1035</t>
        </is>
      </c>
      <c r="C32" s="41" t="inlineStr">
        <is>
          <t>Quartz AGL 1035 Elegant Emperadore</t>
        </is>
      </c>
      <c r="D32" s="39" t="inlineStr">
        <is>
          <t>AGL</t>
        </is>
      </c>
      <c r="E32" s="43" t="n">
        <v>46126</v>
      </c>
      <c r="F32" s="26" t="inlineStr">
        <is>
          <t>Sunil CR</t>
        </is>
      </c>
      <c r="G32" s="26" t="inlineStr">
        <is>
          <t>Yes</t>
        </is>
      </c>
      <c r="H32" s="26" t="inlineStr">
        <is>
          <t>No</t>
        </is>
      </c>
      <c r="I32" s="26" t="inlineStr">
        <is>
          <t>Good finish</t>
        </is>
      </c>
      <c r="J32" s="26" t="inlineStr">
        <is>
          <t>Yes</t>
        </is>
      </c>
      <c r="K32" s="27" t="n"/>
      <c r="L32" s="28" t="inlineStr">
        <is>
          <t>No</t>
        </is>
      </c>
      <c r="M32" s="29">
        <f>IF(E32="","",IF(H32="Yes","❌ Disc",IF(G32="No","⚠ Missing",IF(J32="Yes","✓ OK","⚠ Check"))))</f>
        <v/>
      </c>
      <c r="N32" s="43" t="n">
        <v>46196</v>
      </c>
      <c r="O32" s="26" t="inlineStr">
        <is>
          <t>Sunil CR</t>
        </is>
      </c>
      <c r="P32" s="26" t="inlineStr">
        <is>
          <t>Yes</t>
        </is>
      </c>
      <c r="Q32" s="26" t="inlineStr">
        <is>
          <t>No</t>
        </is>
      </c>
      <c r="R32" s="26" t="inlineStr">
        <is>
          <t>Good finish</t>
        </is>
      </c>
      <c r="S32" s="26" t="inlineStr">
        <is>
          <t>Yes</t>
        </is>
      </c>
      <c r="T32" s="27" t="n"/>
      <c r="U32" s="28" t="inlineStr">
        <is>
          <t>No</t>
        </is>
      </c>
      <c r="V32" s="29">
        <f>IF(N32="","",IF(Q32="Yes","❌ Disc",IF(P32="No","⚠ Missing",IF(S32="Yes","✓ OK","⚠ Check"))))</f>
        <v/>
      </c>
      <c r="W32" s="65" t="n">
        <v>46248</v>
      </c>
      <c r="X32" s="30" t="inlineStr">
        <is>
          <t>Sunil CR</t>
        </is>
      </c>
      <c r="Y32" s="30" t="inlineStr">
        <is>
          <t>Yes</t>
        </is>
      </c>
      <c r="Z32" s="30" t="n"/>
      <c r="AA32" s="30" t="inlineStr">
        <is>
          <t>Good finish</t>
        </is>
      </c>
      <c r="AB32" s="30" t="inlineStr">
        <is>
          <t>Yes</t>
        </is>
      </c>
      <c r="AC32" s="27" t="n"/>
      <c r="AD32" s="31" t="inlineStr">
        <is>
          <t>No</t>
        </is>
      </c>
      <c r="AE32" s="32">
        <f>IF(W32="","",IF(Z32="Yes","❌ Disc",IF(Y32="No","⚠ Missing",IF(AB32="Yes","✓ OK","⚠ Check"))))</f>
        <v/>
      </c>
      <c r="AF32" s="33" t="n"/>
      <c r="AG32" s="33" t="n"/>
      <c r="AH32" s="33" t="n"/>
      <c r="AI32" s="33" t="n"/>
      <c r="AJ32" s="33" t="n"/>
      <c r="AK32" s="33" t="n"/>
      <c r="AL32" s="27" t="n"/>
      <c r="AM32" s="34" t="n"/>
      <c r="AN32" s="35">
        <f>IF(AF32="","",IF(AI32="Yes","❌ Disc",IF(AH32="No","⚠ Missing",IF(AK32="Yes","✓ OK","⚠ Check"))))</f>
        <v/>
      </c>
      <c r="AO32" s="36" t="n"/>
      <c r="AP32" s="36" t="n"/>
      <c r="AQ32" s="36" t="n"/>
      <c r="AR32" s="36" t="n"/>
      <c r="AS32" s="36" t="n"/>
      <c r="AT32" s="36" t="n"/>
      <c r="AU32" s="27" t="n"/>
      <c r="AV32" s="37" t="n"/>
      <c r="AW32" s="38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CT QTZ AGL 1036</t>
        </is>
      </c>
      <c r="C33" s="25" t="inlineStr">
        <is>
          <t>Quartz AGL 1036 Elegant Oasis</t>
        </is>
      </c>
      <c r="D33" s="23" t="inlineStr">
        <is>
          <t>AGL</t>
        </is>
      </c>
      <c r="E33" s="43" t="n">
        <v>46126</v>
      </c>
      <c r="F33" s="26" t="inlineStr">
        <is>
          <t>Sunil CR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Good finish</t>
        </is>
      </c>
      <c r="J33" s="26" t="inlineStr">
        <is>
          <t>Yes</t>
        </is>
      </c>
      <c r="K33" s="27" t="n"/>
      <c r="L33" s="28" t="inlineStr">
        <is>
          <t>No</t>
        </is>
      </c>
      <c r="M33" s="29">
        <f>IF(E33="","",IF(H33="Yes","❌ Disc",IF(G33="No","⚠ Missing",IF(J33="Yes","✓ OK","⚠ Check"))))</f>
        <v/>
      </c>
      <c r="N33" s="43" t="n">
        <v>46196</v>
      </c>
      <c r="O33" s="26" t="inlineStr">
        <is>
          <t>Sunil CR</t>
        </is>
      </c>
      <c r="P33" s="26" t="inlineStr">
        <is>
          <t>Yes</t>
        </is>
      </c>
      <c r="Q33" s="26" t="inlineStr">
        <is>
          <t>No</t>
        </is>
      </c>
      <c r="R33" s="26" t="inlineStr">
        <is>
          <t>Good finish</t>
        </is>
      </c>
      <c r="S33" s="26" t="inlineStr">
        <is>
          <t>Yes</t>
        </is>
      </c>
      <c r="T33" s="27" t="n"/>
      <c r="U33" s="28" t="inlineStr">
        <is>
          <t>No</t>
        </is>
      </c>
      <c r="V33" s="29">
        <f>IF(N33="","",IF(Q33="Yes","❌ Disc",IF(P33="No","⚠ Missing",IF(S33="Yes","✓ OK","⚠ Check"))))</f>
        <v/>
      </c>
      <c r="W33" s="65" t="n">
        <v>46248</v>
      </c>
      <c r="X33" s="30" t="inlineStr">
        <is>
          <t>Sunil CR</t>
        </is>
      </c>
      <c r="Y33" s="30" t="inlineStr">
        <is>
          <t>Yes</t>
        </is>
      </c>
      <c r="Z33" s="30" t="n"/>
      <c r="AA33" s="30" t="inlineStr">
        <is>
          <t>Good finish</t>
        </is>
      </c>
      <c r="AB33" s="30" t="inlineStr">
        <is>
          <t>Yes</t>
        </is>
      </c>
      <c r="AC33" s="27" t="n"/>
      <c r="AD33" s="31" t="inlineStr">
        <is>
          <t>No</t>
        </is>
      </c>
      <c r="AE33" s="32">
        <f>IF(W33="","",IF(Z33="Yes","❌ Disc",IF(Y33="No","⚠ Missing",IF(AB33="Yes","✓ OK","⚠ Check"))))</f>
        <v/>
      </c>
      <c r="AF33" s="33" t="n"/>
      <c r="AG33" s="33" t="n"/>
      <c r="AH33" s="33" t="n"/>
      <c r="AI33" s="33" t="n"/>
      <c r="AJ33" s="33" t="n"/>
      <c r="AK33" s="33" t="n"/>
      <c r="AL33" s="27" t="n"/>
      <c r="AM33" s="34" t="n"/>
      <c r="AN33" s="35">
        <f>IF(AF33="","",IF(AI33="Yes","❌ Disc",IF(AH33="No","⚠ Missing",IF(AK33="Yes","✓ OK","⚠ Check"))))</f>
        <v/>
      </c>
      <c r="AO33" s="36" t="n"/>
      <c r="AP33" s="36" t="n"/>
      <c r="AQ33" s="36" t="n"/>
      <c r="AR33" s="36" t="n"/>
      <c r="AS33" s="36" t="n"/>
      <c r="AT33" s="36" t="n"/>
      <c r="AU33" s="27" t="n"/>
      <c r="AV33" s="37" t="n"/>
      <c r="AW33" s="38">
        <f>IF(AO33="","",IF(AR33="Yes","❌ Disc",IF(AQ33="No","⚠ Missing",IF(AT33="Yes","✓ OK","⚠ Check"))))</f>
        <v/>
      </c>
    </row>
    <row r="34" ht="18" customHeight="1" s="46">
      <c r="A34" s="39" t="n">
        <v>30</v>
      </c>
      <c r="B34" s="40" t="inlineStr">
        <is>
          <t>CT QTZ AGL 1037</t>
        </is>
      </c>
      <c r="C34" s="41" t="inlineStr">
        <is>
          <t>Quartz AGL 1037 Elegant Shitake</t>
        </is>
      </c>
      <c r="D34" s="39" t="inlineStr">
        <is>
          <t>AGL</t>
        </is>
      </c>
      <c r="E34" s="43" t="n">
        <v>46126</v>
      </c>
      <c r="F34" s="26" t="inlineStr">
        <is>
          <t>Sunil CR</t>
        </is>
      </c>
      <c r="G34" s="26" t="inlineStr">
        <is>
          <t>Yes</t>
        </is>
      </c>
      <c r="H34" s="26" t="inlineStr">
        <is>
          <t>No</t>
        </is>
      </c>
      <c r="I34" s="26" t="inlineStr">
        <is>
          <t>Good finish</t>
        </is>
      </c>
      <c r="J34" s="26" t="inlineStr">
        <is>
          <t>Yes</t>
        </is>
      </c>
      <c r="K34" s="27" t="n"/>
      <c r="L34" s="28" t="inlineStr">
        <is>
          <t>No</t>
        </is>
      </c>
      <c r="M34" s="29">
        <f>IF(E34="","",IF(H34="Yes","❌ Disc",IF(G34="No","⚠ Missing",IF(J34="Yes","✓ OK","⚠ Check"))))</f>
        <v/>
      </c>
      <c r="N34" s="43" t="n">
        <v>46196</v>
      </c>
      <c r="O34" s="26" t="inlineStr">
        <is>
          <t>Sunil CR</t>
        </is>
      </c>
      <c r="P34" s="26" t="inlineStr">
        <is>
          <t>Yes</t>
        </is>
      </c>
      <c r="Q34" s="26" t="inlineStr">
        <is>
          <t>No</t>
        </is>
      </c>
      <c r="R34" s="26" t="inlineStr">
        <is>
          <t>Good finish</t>
        </is>
      </c>
      <c r="S34" s="26" t="inlineStr">
        <is>
          <t>Yes</t>
        </is>
      </c>
      <c r="T34" s="27" t="n"/>
      <c r="U34" s="28" t="inlineStr">
        <is>
          <t>No</t>
        </is>
      </c>
      <c r="V34" s="29">
        <f>IF(N34="","",IF(Q34="Yes","❌ Disc",IF(P34="No","⚠ Missing",IF(S34="Yes","✓ OK","⚠ Check"))))</f>
        <v/>
      </c>
      <c r="W34" s="65" t="n">
        <v>46248</v>
      </c>
      <c r="X34" s="30" t="inlineStr">
        <is>
          <t>Sunil CR</t>
        </is>
      </c>
      <c r="Y34" s="30" t="inlineStr">
        <is>
          <t>Yes</t>
        </is>
      </c>
      <c r="Z34" s="30" t="n"/>
      <c r="AA34" s="30" t="inlineStr">
        <is>
          <t>Good finish</t>
        </is>
      </c>
      <c r="AB34" s="30" t="inlineStr">
        <is>
          <t>Yes</t>
        </is>
      </c>
      <c r="AC34" s="27" t="n"/>
      <c r="AD34" s="31" t="inlineStr">
        <is>
          <t>No</t>
        </is>
      </c>
      <c r="AE34" s="32">
        <f>IF(W34="","",IF(Z34="Yes","❌ Disc",IF(Y34="No","⚠ Missing",IF(AB34="Yes","✓ OK","⚠ Check"))))</f>
        <v/>
      </c>
      <c r="AF34" s="33" t="n"/>
      <c r="AG34" s="33" t="n"/>
      <c r="AH34" s="33" t="n"/>
      <c r="AI34" s="33" t="n"/>
      <c r="AJ34" s="33" t="n"/>
      <c r="AK34" s="33" t="n"/>
      <c r="AL34" s="27" t="n"/>
      <c r="AM34" s="34" t="n"/>
      <c r="AN34" s="35">
        <f>IF(AF34="","",IF(AI34="Yes","❌ Disc",IF(AH34="No","⚠ Missing",IF(AK34="Yes","✓ OK","⚠ Check"))))</f>
        <v/>
      </c>
      <c r="AO34" s="36" t="n"/>
      <c r="AP34" s="36" t="n"/>
      <c r="AQ34" s="36" t="n"/>
      <c r="AR34" s="36" t="n"/>
      <c r="AS34" s="36" t="n"/>
      <c r="AT34" s="36" t="n"/>
      <c r="AU34" s="27" t="n"/>
      <c r="AV34" s="37" t="n"/>
      <c r="AW34" s="38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CT QTZ AGL 1038</t>
        </is>
      </c>
      <c r="C35" s="25" t="inlineStr">
        <is>
          <t>Quartz AGL 1038 Emerald Afyon Grey</t>
        </is>
      </c>
      <c r="D35" s="23" t="inlineStr">
        <is>
          <t>AGL</t>
        </is>
      </c>
      <c r="E35" s="43" t="n">
        <v>46126</v>
      </c>
      <c r="F35" s="26" t="inlineStr">
        <is>
          <t>Sunil CR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Good finish</t>
        </is>
      </c>
      <c r="J35" s="26" t="inlineStr">
        <is>
          <t>Yes</t>
        </is>
      </c>
      <c r="K35" s="27" t="n"/>
      <c r="L35" s="28" t="inlineStr">
        <is>
          <t>No</t>
        </is>
      </c>
      <c r="M35" s="29">
        <f>IF(E35="","",IF(H35="Yes","❌ Disc",IF(G35="No","⚠ Missing",IF(J35="Yes","✓ OK","⚠ Check"))))</f>
        <v/>
      </c>
      <c r="N35" s="43" t="n">
        <v>46196</v>
      </c>
      <c r="O35" s="26" t="inlineStr">
        <is>
          <t>Sunil CR</t>
        </is>
      </c>
      <c r="P35" s="26" t="inlineStr">
        <is>
          <t>Yes</t>
        </is>
      </c>
      <c r="Q35" s="26" t="inlineStr">
        <is>
          <t>No</t>
        </is>
      </c>
      <c r="R35" s="26" t="inlineStr">
        <is>
          <t>Good finish</t>
        </is>
      </c>
      <c r="S35" s="26" t="inlineStr">
        <is>
          <t>Yes</t>
        </is>
      </c>
      <c r="T35" s="27" t="n"/>
      <c r="U35" s="28" t="inlineStr">
        <is>
          <t>No</t>
        </is>
      </c>
      <c r="V35" s="29">
        <f>IF(N35="","",IF(Q35="Yes","❌ Disc",IF(P35="No","⚠ Missing",IF(S35="Yes","✓ OK","⚠ Check"))))</f>
        <v/>
      </c>
      <c r="W35" s="65" t="n">
        <v>46248</v>
      </c>
      <c r="X35" s="30" t="inlineStr">
        <is>
          <t>Sunil CR</t>
        </is>
      </c>
      <c r="Y35" s="30" t="inlineStr">
        <is>
          <t>Yes</t>
        </is>
      </c>
      <c r="Z35" s="30" t="n"/>
      <c r="AA35" s="30" t="inlineStr">
        <is>
          <t>Good finish</t>
        </is>
      </c>
      <c r="AB35" s="30" t="inlineStr">
        <is>
          <t>Yes</t>
        </is>
      </c>
      <c r="AC35" s="27" t="n"/>
      <c r="AD35" s="31" t="inlineStr">
        <is>
          <t>No</t>
        </is>
      </c>
      <c r="AE35" s="32">
        <f>IF(W35="","",IF(Z35="Yes","❌ Disc",IF(Y35="No","⚠ Missing",IF(AB35="Yes","✓ OK","⚠ Check"))))</f>
        <v/>
      </c>
      <c r="AF35" s="33" t="n"/>
      <c r="AG35" s="33" t="n"/>
      <c r="AH35" s="33" t="n"/>
      <c r="AI35" s="33" t="n"/>
      <c r="AJ35" s="33" t="n"/>
      <c r="AK35" s="33" t="n"/>
      <c r="AL35" s="27" t="n"/>
      <c r="AM35" s="34" t="n"/>
      <c r="AN35" s="35">
        <f>IF(AF35="","",IF(AI35="Yes","❌ Disc",IF(AH35="No","⚠ Missing",IF(AK35="Yes","✓ OK","⚠ Check"))))</f>
        <v/>
      </c>
      <c r="AO35" s="36" t="n"/>
      <c r="AP35" s="36" t="n"/>
      <c r="AQ35" s="36" t="n"/>
      <c r="AR35" s="36" t="n"/>
      <c r="AS35" s="36" t="n"/>
      <c r="AT35" s="36" t="n"/>
      <c r="AU35" s="27" t="n"/>
      <c r="AV35" s="37" t="n"/>
      <c r="AW35" s="38">
        <f>IF(AO35="","",IF(AR35="Yes","❌ Disc",IF(AQ35="No","⚠ Missing",IF(AT35="Yes","✓ OK","⚠ Check"))))</f>
        <v/>
      </c>
    </row>
    <row r="36" ht="18" customHeight="1" s="46">
      <c r="A36" s="39" t="n">
        <v>32</v>
      </c>
      <c r="B36" s="40" t="inlineStr">
        <is>
          <t>CT QTZ AGL 1040</t>
        </is>
      </c>
      <c r="C36" s="41" t="inlineStr">
        <is>
          <t>Quartz AGL 1040 Emerald Almond</t>
        </is>
      </c>
      <c r="D36" s="39" t="inlineStr">
        <is>
          <t>AGL</t>
        </is>
      </c>
      <c r="E36" s="43" t="n">
        <v>46126</v>
      </c>
      <c r="F36" s="26" t="inlineStr">
        <is>
          <t>Sunil CR</t>
        </is>
      </c>
      <c r="G36" s="26" t="inlineStr">
        <is>
          <t>Yes</t>
        </is>
      </c>
      <c r="H36" s="26" t="inlineStr">
        <is>
          <t>No</t>
        </is>
      </c>
      <c r="I36" s="26" t="inlineStr">
        <is>
          <t>Good finish</t>
        </is>
      </c>
      <c r="J36" s="26" t="inlineStr">
        <is>
          <t>Yes</t>
        </is>
      </c>
      <c r="K36" s="27" t="n"/>
      <c r="L36" s="28" t="inlineStr">
        <is>
          <t>No</t>
        </is>
      </c>
      <c r="M36" s="29">
        <f>IF(E36="","",IF(H36="Yes","❌ Disc",IF(G36="No","⚠ Missing",IF(J36="Yes","✓ OK","⚠ Check"))))</f>
        <v/>
      </c>
      <c r="N36" s="43" t="n">
        <v>46196</v>
      </c>
      <c r="O36" s="26" t="inlineStr">
        <is>
          <t>Sunil CR</t>
        </is>
      </c>
      <c r="P36" s="26" t="inlineStr">
        <is>
          <t>Yes</t>
        </is>
      </c>
      <c r="Q36" s="26" t="inlineStr">
        <is>
          <t>No</t>
        </is>
      </c>
      <c r="R36" s="26" t="inlineStr">
        <is>
          <t>Good finish</t>
        </is>
      </c>
      <c r="S36" s="26" t="inlineStr">
        <is>
          <t>Yes</t>
        </is>
      </c>
      <c r="T36" s="27" t="n"/>
      <c r="U36" s="28" t="inlineStr">
        <is>
          <t>No</t>
        </is>
      </c>
      <c r="V36" s="29">
        <f>IF(N36="","",IF(Q36="Yes","❌ Disc",IF(P36="No","⚠ Missing",IF(S36="Yes","✓ OK","⚠ Check"))))</f>
        <v/>
      </c>
      <c r="W36" s="65" t="n">
        <v>46248</v>
      </c>
      <c r="X36" s="30" t="inlineStr">
        <is>
          <t>Sunil CR</t>
        </is>
      </c>
      <c r="Y36" s="30" t="inlineStr">
        <is>
          <t>Yes</t>
        </is>
      </c>
      <c r="Z36" s="30" t="n"/>
      <c r="AA36" s="30" t="inlineStr">
        <is>
          <t>Good finish</t>
        </is>
      </c>
      <c r="AB36" s="30" t="inlineStr">
        <is>
          <t>Yes</t>
        </is>
      </c>
      <c r="AC36" s="27" t="n"/>
      <c r="AD36" s="31" t="inlineStr">
        <is>
          <t>No</t>
        </is>
      </c>
      <c r="AE36" s="32">
        <f>IF(W36="","",IF(Z36="Yes","❌ Disc",IF(Y36="No","⚠ Missing",IF(AB36="Yes","✓ OK","⚠ Check"))))</f>
        <v/>
      </c>
      <c r="AF36" s="33" t="n"/>
      <c r="AG36" s="33" t="n"/>
      <c r="AH36" s="33" t="n"/>
      <c r="AI36" s="33" t="n"/>
      <c r="AJ36" s="33" t="n"/>
      <c r="AK36" s="33" t="n"/>
      <c r="AL36" s="27" t="n"/>
      <c r="AM36" s="34" t="n"/>
      <c r="AN36" s="35">
        <f>IF(AF36="","",IF(AI36="Yes","❌ Disc",IF(AH36="No","⚠ Missing",IF(AK36="Yes","✓ OK","⚠ Check"))))</f>
        <v/>
      </c>
      <c r="AO36" s="36" t="n"/>
      <c r="AP36" s="36" t="n"/>
      <c r="AQ36" s="36" t="n"/>
      <c r="AR36" s="36" t="n"/>
      <c r="AS36" s="36" t="n"/>
      <c r="AT36" s="36" t="n"/>
      <c r="AU36" s="27" t="n"/>
      <c r="AV36" s="37" t="n"/>
      <c r="AW36" s="38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CT QTZ AGL 1041</t>
        </is>
      </c>
      <c r="C37" s="25" t="inlineStr">
        <is>
          <t>Quartz AGL 1041 Emerald Arctic White</t>
        </is>
      </c>
      <c r="D37" s="23" t="inlineStr">
        <is>
          <t>AGL</t>
        </is>
      </c>
      <c r="E37" s="43" t="n">
        <v>46126</v>
      </c>
      <c r="F37" s="26" t="inlineStr">
        <is>
          <t>Sunil CR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Good finish</t>
        </is>
      </c>
      <c r="J37" s="26" t="inlineStr">
        <is>
          <t>Yes</t>
        </is>
      </c>
      <c r="K37" s="27" t="n"/>
      <c r="L37" s="28" t="inlineStr">
        <is>
          <t>No</t>
        </is>
      </c>
      <c r="M37" s="29">
        <f>IF(E37="","",IF(H37="Yes","❌ Disc",IF(G37="No","⚠ Missing",IF(J37="Yes","✓ OK","⚠ Check"))))</f>
        <v/>
      </c>
      <c r="N37" s="43" t="n">
        <v>46196</v>
      </c>
      <c r="O37" s="26" t="inlineStr">
        <is>
          <t>Sunil CR</t>
        </is>
      </c>
      <c r="P37" s="26" t="inlineStr">
        <is>
          <t>Yes</t>
        </is>
      </c>
      <c r="Q37" s="26" t="inlineStr">
        <is>
          <t>No</t>
        </is>
      </c>
      <c r="R37" s="26" t="inlineStr">
        <is>
          <t>Good finish</t>
        </is>
      </c>
      <c r="S37" s="26" t="inlineStr">
        <is>
          <t>Yes</t>
        </is>
      </c>
      <c r="T37" s="27" t="n"/>
      <c r="U37" s="28" t="inlineStr">
        <is>
          <t>No</t>
        </is>
      </c>
      <c r="V37" s="29">
        <f>IF(N37="","",IF(Q37="Yes","❌ Disc",IF(P37="No","⚠ Missing",IF(S37="Yes","✓ OK","⚠ Check"))))</f>
        <v/>
      </c>
      <c r="W37" s="65" t="n">
        <v>46248</v>
      </c>
      <c r="X37" s="30" t="inlineStr">
        <is>
          <t>Sunil CR</t>
        </is>
      </c>
      <c r="Y37" s="30" t="inlineStr">
        <is>
          <t>Yes</t>
        </is>
      </c>
      <c r="Z37" s="30" t="n"/>
      <c r="AA37" s="30" t="inlineStr">
        <is>
          <t>Good finish</t>
        </is>
      </c>
      <c r="AB37" s="30" t="inlineStr">
        <is>
          <t>Yes</t>
        </is>
      </c>
      <c r="AC37" s="27" t="n"/>
      <c r="AD37" s="31" t="inlineStr">
        <is>
          <t>No</t>
        </is>
      </c>
      <c r="AE37" s="32">
        <f>IF(W37="","",IF(Z37="Yes","❌ Disc",IF(Y37="No","⚠ Missing",IF(AB37="Yes","✓ OK","⚠ Check"))))</f>
        <v/>
      </c>
      <c r="AF37" s="33" t="n"/>
      <c r="AG37" s="33" t="n"/>
      <c r="AH37" s="33" t="n"/>
      <c r="AI37" s="33" t="n"/>
      <c r="AJ37" s="33" t="n"/>
      <c r="AK37" s="33" t="n"/>
      <c r="AL37" s="27" t="n"/>
      <c r="AM37" s="34" t="n"/>
      <c r="AN37" s="35">
        <f>IF(AF37="","",IF(AI37="Yes","❌ Disc",IF(AH37="No","⚠ Missing",IF(AK37="Yes","✓ OK","⚠ Check"))))</f>
        <v/>
      </c>
      <c r="AO37" s="36" t="n"/>
      <c r="AP37" s="36" t="n"/>
      <c r="AQ37" s="36" t="n"/>
      <c r="AR37" s="36" t="n"/>
      <c r="AS37" s="36" t="n"/>
      <c r="AT37" s="36" t="n"/>
      <c r="AU37" s="27" t="n"/>
      <c r="AV37" s="37" t="n"/>
      <c r="AW37" s="38">
        <f>IF(AO37="","",IF(AR37="Yes","❌ Disc",IF(AQ37="No","⚠ Missing",IF(AT37="Yes","✓ OK","⚠ Check"))))</f>
        <v/>
      </c>
    </row>
    <row r="38" ht="18" customHeight="1" s="46">
      <c r="A38" s="39" t="n">
        <v>34</v>
      </c>
      <c r="B38" s="40" t="inlineStr">
        <is>
          <t>CT QTZ AGL 1042</t>
        </is>
      </c>
      <c r="C38" s="41" t="inlineStr">
        <is>
          <t>Quartz AGL 1042 Emerald Cosmopolitan</t>
        </is>
      </c>
      <c r="D38" s="39" t="inlineStr">
        <is>
          <t>AGL</t>
        </is>
      </c>
      <c r="E38" s="43" t="n">
        <v>46126</v>
      </c>
      <c r="F38" s="26" t="inlineStr">
        <is>
          <t>Sunil CR</t>
        </is>
      </c>
      <c r="G38" s="26" t="inlineStr">
        <is>
          <t>Yes</t>
        </is>
      </c>
      <c r="H38" s="26" t="inlineStr">
        <is>
          <t>No</t>
        </is>
      </c>
      <c r="I38" s="26" t="inlineStr">
        <is>
          <t>Good finish</t>
        </is>
      </c>
      <c r="J38" s="26" t="inlineStr">
        <is>
          <t>Yes</t>
        </is>
      </c>
      <c r="K38" s="27" t="n"/>
      <c r="L38" s="28" t="inlineStr">
        <is>
          <t>No</t>
        </is>
      </c>
      <c r="M38" s="29">
        <f>IF(E38="","",IF(H38="Yes","❌ Disc",IF(G38="No","⚠ Missing",IF(J38="Yes","✓ OK","⚠ Check"))))</f>
        <v/>
      </c>
      <c r="N38" s="43" t="n">
        <v>46196</v>
      </c>
      <c r="O38" s="26" t="inlineStr">
        <is>
          <t>Sunil CR</t>
        </is>
      </c>
      <c r="P38" s="26" t="inlineStr">
        <is>
          <t>Yes</t>
        </is>
      </c>
      <c r="Q38" s="26" t="inlineStr">
        <is>
          <t>No</t>
        </is>
      </c>
      <c r="R38" s="26" t="inlineStr">
        <is>
          <t>Good finish</t>
        </is>
      </c>
      <c r="S38" s="26" t="inlineStr">
        <is>
          <t>Yes</t>
        </is>
      </c>
      <c r="T38" s="27" t="n"/>
      <c r="U38" s="28" t="inlineStr">
        <is>
          <t>No</t>
        </is>
      </c>
      <c r="V38" s="29">
        <f>IF(N38="","",IF(Q38="Yes","❌ Disc",IF(P38="No","⚠ Missing",IF(S38="Yes","✓ OK","⚠ Check"))))</f>
        <v/>
      </c>
      <c r="W38" s="65" t="n">
        <v>46248</v>
      </c>
      <c r="X38" s="30" t="inlineStr">
        <is>
          <t>Sunil CR</t>
        </is>
      </c>
      <c r="Y38" s="30" t="inlineStr">
        <is>
          <t>Yes</t>
        </is>
      </c>
      <c r="Z38" s="30" t="n"/>
      <c r="AA38" s="30" t="inlineStr">
        <is>
          <t>Good finish</t>
        </is>
      </c>
      <c r="AB38" s="30" t="inlineStr">
        <is>
          <t>Yes</t>
        </is>
      </c>
      <c r="AC38" s="27" t="n"/>
      <c r="AD38" s="31" t="inlineStr">
        <is>
          <t>No</t>
        </is>
      </c>
      <c r="AE38" s="32">
        <f>IF(W38="","",IF(Z38="Yes","❌ Disc",IF(Y38="No","⚠ Missing",IF(AB38="Yes","✓ OK","⚠ Check"))))</f>
        <v/>
      </c>
      <c r="AF38" s="33" t="n"/>
      <c r="AG38" s="33" t="n"/>
      <c r="AH38" s="33" t="n"/>
      <c r="AI38" s="33" t="n"/>
      <c r="AJ38" s="33" t="n"/>
      <c r="AK38" s="33" t="n"/>
      <c r="AL38" s="27" t="n"/>
      <c r="AM38" s="34" t="n"/>
      <c r="AN38" s="35">
        <f>IF(AF38="","",IF(AI38="Yes","❌ Disc",IF(AH38="No","⚠ Missing",IF(AK38="Yes","✓ OK","⚠ Check"))))</f>
        <v/>
      </c>
      <c r="AO38" s="36" t="n"/>
      <c r="AP38" s="36" t="n"/>
      <c r="AQ38" s="36" t="n"/>
      <c r="AR38" s="36" t="n"/>
      <c r="AS38" s="36" t="n"/>
      <c r="AT38" s="36" t="n"/>
      <c r="AU38" s="27" t="n"/>
      <c r="AV38" s="37" t="n"/>
      <c r="AW38" s="38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CT QTZ AGL 1043</t>
        </is>
      </c>
      <c r="C39" s="25" t="inlineStr">
        <is>
          <t>Quartz AGL 1043 Emerald Indiano</t>
        </is>
      </c>
      <c r="D39" s="23" t="inlineStr">
        <is>
          <t>AGL</t>
        </is>
      </c>
      <c r="E39" s="43" t="n">
        <v>46126</v>
      </c>
      <c r="F39" s="26" t="inlineStr">
        <is>
          <t>Sunil CR</t>
        </is>
      </c>
      <c r="G39" s="26" t="inlineStr">
        <is>
          <t>No</t>
        </is>
      </c>
      <c r="H39" s="26" t="inlineStr">
        <is>
          <t>No</t>
        </is>
      </c>
      <c r="I39" s="26" t="inlineStr">
        <is>
          <t>Not Available</t>
        </is>
      </c>
      <c r="J39" s="26" t="inlineStr">
        <is>
          <t>No</t>
        </is>
      </c>
      <c r="K39" s="27" t="n"/>
      <c r="L39" s="28" t="inlineStr">
        <is>
          <t>Yes</t>
        </is>
      </c>
      <c r="M39" s="29">
        <f>IF(E39="","",IF(H39="Yes","❌ Disc",IF(G39="No","⚠ Missing",IF(J39="Yes","✓ OK","⚠ Check"))))</f>
        <v/>
      </c>
      <c r="N39" s="43" t="n">
        <v>46196</v>
      </c>
      <c r="O39" s="26" t="inlineStr">
        <is>
          <t>Sunil CR</t>
        </is>
      </c>
      <c r="P39" s="26" t="inlineStr">
        <is>
          <t>No</t>
        </is>
      </c>
      <c r="Q39" s="26" t="inlineStr">
        <is>
          <t>No</t>
        </is>
      </c>
      <c r="R39" s="26" t="inlineStr">
        <is>
          <t>Not Available</t>
        </is>
      </c>
      <c r="S39" s="26" t="inlineStr">
        <is>
          <t>No</t>
        </is>
      </c>
      <c r="T39" s="27" t="n"/>
      <c r="U39" s="28" t="inlineStr">
        <is>
          <t>Yes</t>
        </is>
      </c>
      <c r="V39" s="29">
        <f>IF(N39="","",IF(Q39="Yes","❌ Disc",IF(P39="No","⚠ Missing",IF(S39="Yes","✓ OK","⚠ Check"))))</f>
        <v/>
      </c>
      <c r="W39" s="65" t="n">
        <v>46248</v>
      </c>
      <c r="X39" s="30" t="inlineStr">
        <is>
          <t>Sunil CR</t>
        </is>
      </c>
      <c r="Y39" s="30" t="inlineStr">
        <is>
          <t>No</t>
        </is>
      </c>
      <c r="Z39" s="30" t="n"/>
      <c r="AA39" s="30" t="inlineStr">
        <is>
          <t>Not Available</t>
        </is>
      </c>
      <c r="AB39" s="30" t="inlineStr">
        <is>
          <t>No</t>
        </is>
      </c>
      <c r="AC39" s="27" t="n"/>
      <c r="AD39" s="31" t="inlineStr">
        <is>
          <t>Yes</t>
        </is>
      </c>
      <c r="AE39" s="32">
        <f>IF(W39="","",IF(Z39="Yes","❌ Disc",IF(Y39="No","⚠ Missing",IF(AB39="Yes","✓ OK","⚠ Check"))))</f>
        <v/>
      </c>
      <c r="AF39" s="33" t="n"/>
      <c r="AG39" s="33" t="n"/>
      <c r="AH39" s="33" t="n"/>
      <c r="AI39" s="33" t="n"/>
      <c r="AJ39" s="33" t="n"/>
      <c r="AK39" s="33" t="n"/>
      <c r="AL39" s="27" t="n"/>
      <c r="AM39" s="34" t="n"/>
      <c r="AN39" s="35">
        <f>IF(AF39="","",IF(AI39="Yes","❌ Disc",IF(AH39="No","⚠ Missing",IF(AK39="Yes","✓ OK","⚠ Check"))))</f>
        <v/>
      </c>
      <c r="AO39" s="36" t="n"/>
      <c r="AP39" s="36" t="n"/>
      <c r="AQ39" s="36" t="n"/>
      <c r="AR39" s="36" t="n"/>
      <c r="AS39" s="36" t="n"/>
      <c r="AT39" s="36" t="n"/>
      <c r="AU39" s="27" t="n"/>
      <c r="AV39" s="37" t="n"/>
      <c r="AW39" s="38">
        <f>IF(AO39="","",IF(AR39="Yes","❌ Disc",IF(AQ39="No","⚠ Missing",IF(AT39="Yes","✓ OK","⚠ Check"))))</f>
        <v/>
      </c>
    </row>
    <row r="40" ht="18" customHeight="1" s="46">
      <c r="A40" s="39" t="n">
        <v>36</v>
      </c>
      <c r="B40" s="40" t="inlineStr">
        <is>
          <t>CT QTZ AGL 1045</t>
        </is>
      </c>
      <c r="C40" s="41" t="inlineStr">
        <is>
          <t>Quartz AGL 1045 Emerald Sandal</t>
        </is>
      </c>
      <c r="D40" s="39" t="inlineStr">
        <is>
          <t>AGL</t>
        </is>
      </c>
      <c r="E40" s="43" t="n">
        <v>46126</v>
      </c>
      <c r="F40" s="26" t="inlineStr">
        <is>
          <t>Sunil CR</t>
        </is>
      </c>
      <c r="G40" s="26" t="inlineStr">
        <is>
          <t>Yes</t>
        </is>
      </c>
      <c r="H40" s="26" t="inlineStr">
        <is>
          <t>No</t>
        </is>
      </c>
      <c r="I40" s="26" t="inlineStr">
        <is>
          <t>Good finish</t>
        </is>
      </c>
      <c r="J40" s="26" t="inlineStr">
        <is>
          <t>Yes</t>
        </is>
      </c>
      <c r="K40" s="27" t="n"/>
      <c r="L40" s="28" t="inlineStr">
        <is>
          <t>No</t>
        </is>
      </c>
      <c r="M40" s="29">
        <f>IF(E40="","",IF(H40="Yes","❌ Disc",IF(G40="No","⚠ Missing",IF(J40="Yes","✓ OK","⚠ Check"))))</f>
        <v/>
      </c>
      <c r="N40" s="43" t="n">
        <v>46196</v>
      </c>
      <c r="O40" s="26" t="inlineStr">
        <is>
          <t>Sunil CR</t>
        </is>
      </c>
      <c r="P40" s="26" t="inlineStr">
        <is>
          <t>Yes</t>
        </is>
      </c>
      <c r="Q40" s="26" t="inlineStr">
        <is>
          <t>No</t>
        </is>
      </c>
      <c r="R40" s="26" t="inlineStr">
        <is>
          <t>Good finish</t>
        </is>
      </c>
      <c r="S40" s="26" t="inlineStr">
        <is>
          <t>Yes</t>
        </is>
      </c>
      <c r="T40" s="27" t="n"/>
      <c r="U40" s="28" t="inlineStr">
        <is>
          <t>No</t>
        </is>
      </c>
      <c r="V40" s="29">
        <f>IF(N40="","",IF(Q40="Yes","❌ Disc",IF(P40="No","⚠ Missing",IF(S40="Yes","✓ OK","⚠ Check"))))</f>
        <v/>
      </c>
      <c r="W40" s="65" t="n">
        <v>46248</v>
      </c>
      <c r="X40" s="30" t="inlineStr">
        <is>
          <t>Sunil CR</t>
        </is>
      </c>
      <c r="Y40" s="30" t="inlineStr">
        <is>
          <t>Yes</t>
        </is>
      </c>
      <c r="Z40" s="30" t="n"/>
      <c r="AA40" s="30" t="inlineStr">
        <is>
          <t>Good finish</t>
        </is>
      </c>
      <c r="AB40" s="30" t="inlineStr">
        <is>
          <t>Yes</t>
        </is>
      </c>
      <c r="AC40" s="27" t="n"/>
      <c r="AD40" s="31" t="inlineStr">
        <is>
          <t>No</t>
        </is>
      </c>
      <c r="AE40" s="32">
        <f>IF(W40="","",IF(Z40="Yes","❌ Disc",IF(Y40="No","⚠ Missing",IF(AB40="Yes","✓ OK","⚠ Check"))))</f>
        <v/>
      </c>
      <c r="AF40" s="33" t="n"/>
      <c r="AG40" s="33" t="n"/>
      <c r="AH40" s="33" t="n"/>
      <c r="AI40" s="33" t="n"/>
      <c r="AJ40" s="33" t="n"/>
      <c r="AK40" s="33" t="n"/>
      <c r="AL40" s="27" t="n"/>
      <c r="AM40" s="34" t="n"/>
      <c r="AN40" s="35">
        <f>IF(AF40="","",IF(AI40="Yes","❌ Disc",IF(AH40="No","⚠ Missing",IF(AK40="Yes","✓ OK","⚠ Check"))))</f>
        <v/>
      </c>
      <c r="AO40" s="36" t="n"/>
      <c r="AP40" s="36" t="n"/>
      <c r="AQ40" s="36" t="n"/>
      <c r="AR40" s="36" t="n"/>
      <c r="AS40" s="36" t="n"/>
      <c r="AT40" s="36" t="n"/>
      <c r="AU40" s="27" t="n"/>
      <c r="AV40" s="37" t="n"/>
      <c r="AW40" s="38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CT QTZ AGL 1048</t>
        </is>
      </c>
      <c r="C41" s="25" t="inlineStr">
        <is>
          <t>Quartz AGL 1048 Swiss Cloudy Grey</t>
        </is>
      </c>
      <c r="D41" s="23" t="inlineStr">
        <is>
          <t>AGL</t>
        </is>
      </c>
      <c r="E41" s="43" t="n">
        <v>46126</v>
      </c>
      <c r="F41" s="26" t="inlineStr">
        <is>
          <t>Sunil CR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Good finish</t>
        </is>
      </c>
      <c r="J41" s="26" t="inlineStr">
        <is>
          <t>Yes</t>
        </is>
      </c>
      <c r="K41" s="27" t="n"/>
      <c r="L41" s="28" t="inlineStr">
        <is>
          <t>No</t>
        </is>
      </c>
      <c r="M41" s="29">
        <f>IF(E41="","",IF(H41="Yes","❌ Disc",IF(G41="No","⚠ Missing",IF(J41="Yes","✓ OK","⚠ Check"))))</f>
        <v/>
      </c>
      <c r="N41" s="43" t="n">
        <v>46196</v>
      </c>
      <c r="O41" s="26" t="inlineStr">
        <is>
          <t>Sunil CR</t>
        </is>
      </c>
      <c r="P41" s="26" t="inlineStr">
        <is>
          <t>Yes</t>
        </is>
      </c>
      <c r="Q41" s="26" t="inlineStr">
        <is>
          <t>No</t>
        </is>
      </c>
      <c r="R41" s="26" t="inlineStr">
        <is>
          <t>Good finish</t>
        </is>
      </c>
      <c r="S41" s="26" t="inlineStr">
        <is>
          <t>Yes</t>
        </is>
      </c>
      <c r="T41" s="27" t="n"/>
      <c r="U41" s="28" t="inlineStr">
        <is>
          <t>No</t>
        </is>
      </c>
      <c r="V41" s="29">
        <f>IF(N41="","",IF(Q41="Yes","❌ Disc",IF(P41="No","⚠ Missing",IF(S41="Yes","✓ OK","⚠ Check"))))</f>
        <v/>
      </c>
      <c r="W41" s="65" t="n">
        <v>46248</v>
      </c>
      <c r="X41" s="30" t="inlineStr">
        <is>
          <t>Sunil CR</t>
        </is>
      </c>
      <c r="Y41" s="30" t="inlineStr">
        <is>
          <t>Yes</t>
        </is>
      </c>
      <c r="Z41" s="30" t="n"/>
      <c r="AA41" s="30" t="inlineStr">
        <is>
          <t>Good finish</t>
        </is>
      </c>
      <c r="AB41" s="30" t="inlineStr">
        <is>
          <t>Yes</t>
        </is>
      </c>
      <c r="AC41" s="27" t="n"/>
      <c r="AD41" s="31" t="inlineStr">
        <is>
          <t>No</t>
        </is>
      </c>
      <c r="AE41" s="32">
        <f>IF(W41="","",IF(Z41="Yes","❌ Disc",IF(Y41="No","⚠ Missing",IF(AB41="Yes","✓ OK","⚠ Check"))))</f>
        <v/>
      </c>
      <c r="AF41" s="33" t="n"/>
      <c r="AG41" s="33" t="n"/>
      <c r="AH41" s="33" t="n"/>
      <c r="AI41" s="33" t="n"/>
      <c r="AJ41" s="33" t="n"/>
      <c r="AK41" s="33" t="n"/>
      <c r="AL41" s="27" t="n"/>
      <c r="AM41" s="34" t="n"/>
      <c r="AN41" s="35">
        <f>IF(AF41="","",IF(AI41="Yes","❌ Disc",IF(AH41="No","⚠ Missing",IF(AK41="Yes","✓ OK","⚠ Check"))))</f>
        <v/>
      </c>
      <c r="AO41" s="36" t="n"/>
      <c r="AP41" s="36" t="n"/>
      <c r="AQ41" s="36" t="n"/>
      <c r="AR41" s="36" t="n"/>
      <c r="AS41" s="36" t="n"/>
      <c r="AT41" s="36" t="n"/>
      <c r="AU41" s="27" t="n"/>
      <c r="AV41" s="37" t="n"/>
      <c r="AW41" s="38">
        <f>IF(AO41="","",IF(AR41="Yes","❌ Disc",IF(AQ41="No","⚠ Missing",IF(AT41="Yes","✓ OK","⚠ Check"))))</f>
        <v/>
      </c>
    </row>
    <row r="42" ht="18" customHeight="1" s="46">
      <c r="A42" s="39" t="n">
        <v>38</v>
      </c>
      <c r="B42" s="40" t="inlineStr">
        <is>
          <t>CT QTZ AGL 1049</t>
        </is>
      </c>
      <c r="C42" s="41" t="inlineStr">
        <is>
          <t>Quartz AGL 1049 Swiss Phantom</t>
        </is>
      </c>
      <c r="D42" s="39" t="inlineStr">
        <is>
          <t>AGL</t>
        </is>
      </c>
      <c r="E42" s="43" t="n">
        <v>46126</v>
      </c>
      <c r="F42" s="26" t="inlineStr">
        <is>
          <t>Sunil CR</t>
        </is>
      </c>
      <c r="G42" s="26" t="inlineStr">
        <is>
          <t>No</t>
        </is>
      </c>
      <c r="H42" s="26" t="inlineStr">
        <is>
          <t>No</t>
        </is>
      </c>
      <c r="I42" s="26" t="inlineStr">
        <is>
          <t>Not Available</t>
        </is>
      </c>
      <c r="J42" s="26" t="inlineStr">
        <is>
          <t>No</t>
        </is>
      </c>
      <c r="K42" s="27" t="n"/>
      <c r="L42" s="28" t="inlineStr">
        <is>
          <t>Yes</t>
        </is>
      </c>
      <c r="M42" s="29">
        <f>IF(E42="","",IF(H42="Yes","❌ Disc",IF(G42="No","⚠ Missing",IF(J42="Yes","✓ OK","⚠ Check"))))</f>
        <v/>
      </c>
      <c r="N42" s="43" t="n">
        <v>46196</v>
      </c>
      <c r="O42" s="26" t="inlineStr">
        <is>
          <t>Sunil CR</t>
        </is>
      </c>
      <c r="P42" s="26" t="inlineStr">
        <is>
          <t>No</t>
        </is>
      </c>
      <c r="Q42" s="26" t="inlineStr">
        <is>
          <t>No</t>
        </is>
      </c>
      <c r="R42" s="26" t="inlineStr">
        <is>
          <t>Not Available</t>
        </is>
      </c>
      <c r="S42" s="26" t="inlineStr">
        <is>
          <t>No</t>
        </is>
      </c>
      <c r="T42" s="27" t="n"/>
      <c r="U42" s="28" t="inlineStr">
        <is>
          <t>Yes</t>
        </is>
      </c>
      <c r="V42" s="29">
        <f>IF(N42="","",IF(Q42="Yes","❌ Disc",IF(P42="No","⚠ Missing",IF(S42="Yes","✓ OK","⚠ Check"))))</f>
        <v/>
      </c>
      <c r="W42" s="65" t="n">
        <v>46248</v>
      </c>
      <c r="X42" s="30" t="inlineStr">
        <is>
          <t>Sunil CR</t>
        </is>
      </c>
      <c r="Y42" s="30" t="inlineStr">
        <is>
          <t>No</t>
        </is>
      </c>
      <c r="Z42" s="30" t="n"/>
      <c r="AA42" s="30" t="inlineStr">
        <is>
          <t>Not Available</t>
        </is>
      </c>
      <c r="AB42" s="30" t="inlineStr">
        <is>
          <t>No</t>
        </is>
      </c>
      <c r="AC42" s="27" t="n"/>
      <c r="AD42" s="31" t="inlineStr">
        <is>
          <t>Yes</t>
        </is>
      </c>
      <c r="AE42" s="32">
        <f>IF(W42="","",IF(Z42="Yes","❌ Disc",IF(Y42="No","⚠ Missing",IF(AB42="Yes","✓ OK","⚠ Check"))))</f>
        <v/>
      </c>
      <c r="AF42" s="33" t="n"/>
      <c r="AG42" s="33" t="n"/>
      <c r="AH42" s="33" t="n"/>
      <c r="AI42" s="33" t="n"/>
      <c r="AJ42" s="33" t="n"/>
      <c r="AK42" s="33" t="n"/>
      <c r="AL42" s="27" t="n"/>
      <c r="AM42" s="34" t="n"/>
      <c r="AN42" s="35">
        <f>IF(AF42="","",IF(AI42="Yes","❌ Disc",IF(AH42="No","⚠ Missing",IF(AK42="Yes","✓ OK","⚠ Check"))))</f>
        <v/>
      </c>
      <c r="AO42" s="36" t="n"/>
      <c r="AP42" s="36" t="n"/>
      <c r="AQ42" s="36" t="n"/>
      <c r="AR42" s="36" t="n"/>
      <c r="AS42" s="36" t="n"/>
      <c r="AT42" s="36" t="n"/>
      <c r="AU42" s="27" t="n"/>
      <c r="AV42" s="37" t="n"/>
      <c r="AW42" s="38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CT QTZ AGL 1050</t>
        </is>
      </c>
      <c r="C43" s="25" t="inlineStr">
        <is>
          <t>Quartz AGL 1050 Swiss Platinum Black</t>
        </is>
      </c>
      <c r="D43" s="23" t="inlineStr">
        <is>
          <t>AGL</t>
        </is>
      </c>
      <c r="E43" s="43" t="n">
        <v>46126</v>
      </c>
      <c r="F43" s="26" t="inlineStr">
        <is>
          <t>Sunil CR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Good finish</t>
        </is>
      </c>
      <c r="J43" s="26" t="inlineStr">
        <is>
          <t>Yes</t>
        </is>
      </c>
      <c r="K43" s="27" t="n"/>
      <c r="L43" s="28" t="inlineStr">
        <is>
          <t>No</t>
        </is>
      </c>
      <c r="M43" s="29">
        <f>IF(E43="","",IF(H43="Yes","❌ Disc",IF(G43="No","⚠ Missing",IF(J43="Yes","✓ OK","⚠ Check"))))</f>
        <v/>
      </c>
      <c r="N43" s="43" t="n">
        <v>46196</v>
      </c>
      <c r="O43" s="26" t="inlineStr">
        <is>
          <t>Sunil CR</t>
        </is>
      </c>
      <c r="P43" s="26" t="inlineStr">
        <is>
          <t>Yes</t>
        </is>
      </c>
      <c r="Q43" s="26" t="inlineStr">
        <is>
          <t>No</t>
        </is>
      </c>
      <c r="R43" s="26" t="inlineStr">
        <is>
          <t>Good finish</t>
        </is>
      </c>
      <c r="S43" s="26" t="inlineStr">
        <is>
          <t>Yes</t>
        </is>
      </c>
      <c r="T43" s="27" t="n"/>
      <c r="U43" s="28" t="inlineStr">
        <is>
          <t>No</t>
        </is>
      </c>
      <c r="V43" s="29">
        <f>IF(N43="","",IF(Q43="Yes","❌ Disc",IF(P43="No","⚠ Missing",IF(S43="Yes","✓ OK","⚠ Check"))))</f>
        <v/>
      </c>
      <c r="W43" s="65" t="n">
        <v>46248</v>
      </c>
      <c r="X43" s="30" t="inlineStr">
        <is>
          <t>Sunil CR</t>
        </is>
      </c>
      <c r="Y43" s="30" t="inlineStr">
        <is>
          <t>Yes</t>
        </is>
      </c>
      <c r="Z43" s="30" t="n"/>
      <c r="AA43" s="30" t="inlineStr">
        <is>
          <t>Good finish</t>
        </is>
      </c>
      <c r="AB43" s="30" t="inlineStr">
        <is>
          <t>Yes</t>
        </is>
      </c>
      <c r="AC43" s="27" t="n"/>
      <c r="AD43" s="31" t="inlineStr">
        <is>
          <t>No</t>
        </is>
      </c>
      <c r="AE43" s="32">
        <f>IF(W43="","",IF(Z43="Yes","❌ Disc",IF(Y43="No","⚠ Missing",IF(AB43="Yes","✓ OK","⚠ Check"))))</f>
        <v/>
      </c>
      <c r="AF43" s="33" t="n"/>
      <c r="AG43" s="33" t="n"/>
      <c r="AH43" s="33" t="n"/>
      <c r="AI43" s="33" t="n"/>
      <c r="AJ43" s="33" t="n"/>
      <c r="AK43" s="33" t="n"/>
      <c r="AL43" s="27" t="n"/>
      <c r="AM43" s="34" t="n"/>
      <c r="AN43" s="35">
        <f>IF(AF43="","",IF(AI43="Yes","❌ Disc",IF(AH43="No","⚠ Missing",IF(AK43="Yes","✓ OK","⚠ Check"))))</f>
        <v/>
      </c>
      <c r="AO43" s="36" t="n"/>
      <c r="AP43" s="36" t="n"/>
      <c r="AQ43" s="36" t="n"/>
      <c r="AR43" s="36" t="n"/>
      <c r="AS43" s="36" t="n"/>
      <c r="AT43" s="36" t="n"/>
      <c r="AU43" s="27" t="n"/>
      <c r="AV43" s="37" t="n"/>
      <c r="AW43" s="38">
        <f>IF(AO43="","",IF(AR43="Yes","❌ Disc",IF(AQ43="No","⚠ Missing",IF(AT43="Yes","✓ OK","⚠ Check"))))</f>
        <v/>
      </c>
    </row>
    <row r="44" ht="18" customHeight="1" s="46">
      <c r="A44" s="39" t="n">
        <v>40</v>
      </c>
      <c r="B44" s="40" t="inlineStr">
        <is>
          <t>CT QTZ AGL 1051</t>
        </is>
      </c>
      <c r="C44" s="41" t="inlineStr">
        <is>
          <t>Quartz AGL 1051 Swiss Platinum Grey</t>
        </is>
      </c>
      <c r="D44" s="39" t="inlineStr">
        <is>
          <t>AGL</t>
        </is>
      </c>
      <c r="E44" s="43" t="n">
        <v>46126</v>
      </c>
      <c r="F44" s="26" t="inlineStr">
        <is>
          <t>Sunil CR</t>
        </is>
      </c>
      <c r="G44" s="26" t="inlineStr">
        <is>
          <t>No</t>
        </is>
      </c>
      <c r="H44" s="26" t="inlineStr">
        <is>
          <t>No</t>
        </is>
      </c>
      <c r="I44" s="26" t="inlineStr">
        <is>
          <t>Not Available</t>
        </is>
      </c>
      <c r="J44" s="26" t="inlineStr">
        <is>
          <t>No</t>
        </is>
      </c>
      <c r="K44" s="27" t="n"/>
      <c r="L44" s="28" t="inlineStr">
        <is>
          <t>Yes</t>
        </is>
      </c>
      <c r="M44" s="29">
        <f>IF(E44="","",IF(H44="Yes","❌ Disc",IF(G44="No","⚠ Missing",IF(J44="Yes","✓ OK","⚠ Check"))))</f>
        <v/>
      </c>
      <c r="N44" s="43" t="n">
        <v>46196</v>
      </c>
      <c r="O44" s="26" t="inlineStr">
        <is>
          <t>Sunil CR</t>
        </is>
      </c>
      <c r="P44" s="26" t="inlineStr">
        <is>
          <t>No</t>
        </is>
      </c>
      <c r="Q44" s="26" t="inlineStr">
        <is>
          <t>No</t>
        </is>
      </c>
      <c r="R44" s="26" t="inlineStr">
        <is>
          <t>Not Available</t>
        </is>
      </c>
      <c r="S44" s="26" t="inlineStr">
        <is>
          <t>No</t>
        </is>
      </c>
      <c r="T44" s="27" t="n"/>
      <c r="U44" s="28" t="inlineStr">
        <is>
          <t>Yes</t>
        </is>
      </c>
      <c r="V44" s="29">
        <f>IF(N44="","",IF(Q44="Yes","❌ Disc",IF(P44="No","⚠ Missing",IF(S44="Yes","✓ OK","⚠ Check"))))</f>
        <v/>
      </c>
      <c r="W44" s="65" t="n">
        <v>46248</v>
      </c>
      <c r="X44" s="30" t="inlineStr">
        <is>
          <t>Sunil CR</t>
        </is>
      </c>
      <c r="Y44" s="30" t="inlineStr">
        <is>
          <t>No</t>
        </is>
      </c>
      <c r="Z44" s="30" t="n"/>
      <c r="AA44" s="30" t="inlineStr">
        <is>
          <t>Not Available</t>
        </is>
      </c>
      <c r="AB44" s="30" t="inlineStr">
        <is>
          <t>No</t>
        </is>
      </c>
      <c r="AC44" s="27" t="n"/>
      <c r="AD44" s="31" t="inlineStr">
        <is>
          <t>Yes</t>
        </is>
      </c>
      <c r="AE44" s="32">
        <f>IF(W44="","",IF(Z44="Yes","❌ Disc",IF(Y44="No","⚠ Missing",IF(AB44="Yes","✓ OK","⚠ Check"))))</f>
        <v/>
      </c>
      <c r="AF44" s="33" t="n"/>
      <c r="AG44" s="33" t="n"/>
      <c r="AH44" s="33" t="n"/>
      <c r="AI44" s="33" t="n"/>
      <c r="AJ44" s="33" t="n"/>
      <c r="AK44" s="33" t="n"/>
      <c r="AL44" s="27" t="n"/>
      <c r="AM44" s="34" t="n"/>
      <c r="AN44" s="35">
        <f>IF(AF44="","",IF(AI44="Yes","❌ Disc",IF(AH44="No","⚠ Missing",IF(AK44="Yes","✓ OK","⚠ Check"))))</f>
        <v/>
      </c>
      <c r="AO44" s="36" t="n"/>
      <c r="AP44" s="36" t="n"/>
      <c r="AQ44" s="36" t="n"/>
      <c r="AR44" s="36" t="n"/>
      <c r="AS44" s="36" t="n"/>
      <c r="AT44" s="36" t="n"/>
      <c r="AU44" s="27" t="n"/>
      <c r="AV44" s="37" t="n"/>
      <c r="AW44" s="38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CT QTZ AGL 1052</t>
        </is>
      </c>
      <c r="C45" s="25" t="inlineStr">
        <is>
          <t>Quartz AGL 1052 Swiss Satuvario</t>
        </is>
      </c>
      <c r="D45" s="23" t="inlineStr">
        <is>
          <t>AGL</t>
        </is>
      </c>
      <c r="E45" s="43" t="n">
        <v>46126</v>
      </c>
      <c r="F45" s="26" t="inlineStr">
        <is>
          <t>Sunil CR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Good finish</t>
        </is>
      </c>
      <c r="J45" s="26" t="inlineStr">
        <is>
          <t>Yes</t>
        </is>
      </c>
      <c r="K45" s="27" t="n"/>
      <c r="L45" s="28" t="inlineStr">
        <is>
          <t>No</t>
        </is>
      </c>
      <c r="M45" s="29">
        <f>IF(E45="","",IF(H45="Yes","❌ Disc",IF(G45="No","⚠ Missing",IF(J45="Yes","✓ OK","⚠ Check"))))</f>
        <v/>
      </c>
      <c r="N45" s="43" t="n">
        <v>46196</v>
      </c>
      <c r="O45" s="26" t="inlineStr">
        <is>
          <t>Sunil CR</t>
        </is>
      </c>
      <c r="P45" s="26" t="inlineStr">
        <is>
          <t>Yes</t>
        </is>
      </c>
      <c r="Q45" s="26" t="inlineStr">
        <is>
          <t>No</t>
        </is>
      </c>
      <c r="R45" s="26" t="inlineStr">
        <is>
          <t>Good finish</t>
        </is>
      </c>
      <c r="S45" s="26" t="inlineStr">
        <is>
          <t>Yes</t>
        </is>
      </c>
      <c r="T45" s="27" t="n"/>
      <c r="U45" s="28" t="inlineStr">
        <is>
          <t>No</t>
        </is>
      </c>
      <c r="V45" s="29">
        <f>IF(N45="","",IF(Q45="Yes","❌ Disc",IF(P45="No","⚠ Missing",IF(S45="Yes","✓ OK","⚠ Check"))))</f>
        <v/>
      </c>
      <c r="W45" s="65" t="n">
        <v>46248</v>
      </c>
      <c r="X45" s="30" t="inlineStr">
        <is>
          <t>Sunil CR</t>
        </is>
      </c>
      <c r="Y45" s="30" t="inlineStr">
        <is>
          <t>Yes</t>
        </is>
      </c>
      <c r="Z45" s="30" t="n"/>
      <c r="AA45" s="30" t="inlineStr">
        <is>
          <t>Good finish</t>
        </is>
      </c>
      <c r="AB45" s="30" t="inlineStr">
        <is>
          <t>Yes</t>
        </is>
      </c>
      <c r="AC45" s="27" t="n"/>
      <c r="AD45" s="31" t="inlineStr">
        <is>
          <t>No</t>
        </is>
      </c>
      <c r="AE45" s="32">
        <f>IF(W45="","",IF(Z45="Yes","❌ Disc",IF(Y45="No","⚠ Missing",IF(AB45="Yes","✓ OK","⚠ Check"))))</f>
        <v/>
      </c>
      <c r="AF45" s="33" t="n"/>
      <c r="AG45" s="33" t="n"/>
      <c r="AH45" s="33" t="n"/>
      <c r="AI45" s="33" t="n"/>
      <c r="AJ45" s="33" t="n"/>
      <c r="AK45" s="33" t="n"/>
      <c r="AL45" s="27" t="n"/>
      <c r="AM45" s="34" t="n"/>
      <c r="AN45" s="35">
        <f>IF(AF45="","",IF(AI45="Yes","❌ Disc",IF(AH45="No","⚠ Missing",IF(AK45="Yes","✓ OK","⚠ Check"))))</f>
        <v/>
      </c>
      <c r="AO45" s="36" t="n"/>
      <c r="AP45" s="36" t="n"/>
      <c r="AQ45" s="36" t="n"/>
      <c r="AR45" s="36" t="n"/>
      <c r="AS45" s="36" t="n"/>
      <c r="AT45" s="36" t="n"/>
      <c r="AU45" s="27" t="n"/>
      <c r="AV45" s="37" t="n"/>
      <c r="AW45" s="38">
        <f>IF(AO45="","",IF(AR45="Yes","❌ Disc",IF(AQ45="No","⚠ Missing",IF(AT45="Yes","✓ OK","⚠ Check"))))</f>
        <v/>
      </c>
    </row>
    <row r="46" ht="18" customHeight="1" s="46">
      <c r="A46" s="39" t="n">
        <v>42</v>
      </c>
      <c r="B46" s="40" t="inlineStr">
        <is>
          <t>CT QTZ AGL 1053</t>
        </is>
      </c>
      <c r="C46" s="41" t="inlineStr">
        <is>
          <t>Quartz AGL 1053 Swiss Shadow Grey</t>
        </is>
      </c>
      <c r="D46" s="39" t="inlineStr">
        <is>
          <t>AGL</t>
        </is>
      </c>
      <c r="E46" s="43" t="n">
        <v>46126</v>
      </c>
      <c r="F46" s="26" t="inlineStr">
        <is>
          <t>Sunil CR</t>
        </is>
      </c>
      <c r="G46" s="26" t="inlineStr">
        <is>
          <t>Yes</t>
        </is>
      </c>
      <c r="H46" s="26" t="inlineStr">
        <is>
          <t>No</t>
        </is>
      </c>
      <c r="I46" s="26" t="inlineStr">
        <is>
          <t>Good finish</t>
        </is>
      </c>
      <c r="J46" s="26" t="inlineStr">
        <is>
          <t>Yes</t>
        </is>
      </c>
      <c r="K46" s="27" t="n"/>
      <c r="L46" s="28" t="inlineStr">
        <is>
          <t>No</t>
        </is>
      </c>
      <c r="M46" s="29">
        <f>IF(E46="","",IF(H46="Yes","❌ Disc",IF(G46="No","⚠ Missing",IF(J46="Yes","✓ OK","⚠ Check"))))</f>
        <v/>
      </c>
      <c r="N46" s="43" t="n">
        <v>46196</v>
      </c>
      <c r="O46" s="26" t="inlineStr">
        <is>
          <t>Sunil CR</t>
        </is>
      </c>
      <c r="P46" s="26" t="inlineStr">
        <is>
          <t>Yes</t>
        </is>
      </c>
      <c r="Q46" s="26" t="inlineStr">
        <is>
          <t>No</t>
        </is>
      </c>
      <c r="R46" s="26" t="inlineStr">
        <is>
          <t>Good finish</t>
        </is>
      </c>
      <c r="S46" s="26" t="inlineStr">
        <is>
          <t>Yes</t>
        </is>
      </c>
      <c r="T46" s="27" t="n"/>
      <c r="U46" s="28" t="inlineStr">
        <is>
          <t>No</t>
        </is>
      </c>
      <c r="V46" s="29">
        <f>IF(N46="","",IF(Q46="Yes","❌ Disc",IF(P46="No","⚠ Missing",IF(S46="Yes","✓ OK","⚠ Check"))))</f>
        <v/>
      </c>
      <c r="W46" s="65" t="n">
        <v>46248</v>
      </c>
      <c r="X46" s="30" t="inlineStr">
        <is>
          <t>Sunil CR</t>
        </is>
      </c>
      <c r="Y46" s="30" t="inlineStr">
        <is>
          <t>Yes</t>
        </is>
      </c>
      <c r="Z46" s="30" t="n"/>
      <c r="AA46" s="30" t="inlineStr">
        <is>
          <t>Good finish</t>
        </is>
      </c>
      <c r="AB46" s="30" t="inlineStr">
        <is>
          <t>Yes</t>
        </is>
      </c>
      <c r="AC46" s="27" t="n"/>
      <c r="AD46" s="31" t="inlineStr">
        <is>
          <t>No</t>
        </is>
      </c>
      <c r="AE46" s="32">
        <f>IF(W46="","",IF(Z46="Yes","❌ Disc",IF(Y46="No","⚠ Missing",IF(AB46="Yes","✓ OK","⚠ Check"))))</f>
        <v/>
      </c>
      <c r="AF46" s="33" t="n"/>
      <c r="AG46" s="33" t="n"/>
      <c r="AH46" s="33" t="n"/>
      <c r="AI46" s="33" t="n"/>
      <c r="AJ46" s="33" t="n"/>
      <c r="AK46" s="33" t="n"/>
      <c r="AL46" s="27" t="n"/>
      <c r="AM46" s="34" t="n"/>
      <c r="AN46" s="35">
        <f>IF(AF46="","",IF(AI46="Yes","❌ Disc",IF(AH46="No","⚠ Missing",IF(AK46="Yes","✓ OK","⚠ Check"))))</f>
        <v/>
      </c>
      <c r="AO46" s="36" t="n"/>
      <c r="AP46" s="36" t="n"/>
      <c r="AQ46" s="36" t="n"/>
      <c r="AR46" s="36" t="n"/>
      <c r="AS46" s="36" t="n"/>
      <c r="AT46" s="36" t="n"/>
      <c r="AU46" s="27" t="n"/>
      <c r="AV46" s="37" t="n"/>
      <c r="AW46" s="38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CT QTZ AGL 1054</t>
        </is>
      </c>
      <c r="C47" s="25" t="inlineStr">
        <is>
          <t>Quartz AGL 1054 Swiss Shamper White</t>
        </is>
      </c>
      <c r="D47" s="23" t="inlineStr">
        <is>
          <t>AGL</t>
        </is>
      </c>
      <c r="E47" s="43" t="n">
        <v>46126</v>
      </c>
      <c r="F47" s="26" t="inlineStr">
        <is>
          <t>Sunil CR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Good finish</t>
        </is>
      </c>
      <c r="J47" s="26" t="inlineStr">
        <is>
          <t>Yes</t>
        </is>
      </c>
      <c r="K47" s="27" t="n"/>
      <c r="L47" s="28" t="inlineStr">
        <is>
          <t>No</t>
        </is>
      </c>
      <c r="M47" s="29">
        <f>IF(E47="","",IF(H47="Yes","❌ Disc",IF(G47="No","⚠ Missing",IF(J47="Yes","✓ OK","⚠ Check"))))</f>
        <v/>
      </c>
      <c r="N47" s="43" t="n">
        <v>46196</v>
      </c>
      <c r="O47" s="26" t="inlineStr">
        <is>
          <t>Sunil CR</t>
        </is>
      </c>
      <c r="P47" s="26" t="inlineStr">
        <is>
          <t>Yes</t>
        </is>
      </c>
      <c r="Q47" s="26" t="inlineStr">
        <is>
          <t>No</t>
        </is>
      </c>
      <c r="R47" s="26" t="inlineStr">
        <is>
          <t>Good finish</t>
        </is>
      </c>
      <c r="S47" s="26" t="inlineStr">
        <is>
          <t>Yes</t>
        </is>
      </c>
      <c r="T47" s="27" t="n"/>
      <c r="U47" s="28" t="inlineStr">
        <is>
          <t>No</t>
        </is>
      </c>
      <c r="V47" s="29">
        <f>IF(N47="","",IF(Q47="Yes","❌ Disc",IF(P47="No","⚠ Missing",IF(S47="Yes","✓ OK","⚠ Check"))))</f>
        <v/>
      </c>
      <c r="W47" s="65" t="n">
        <v>46248</v>
      </c>
      <c r="X47" s="30" t="inlineStr">
        <is>
          <t>Sunil CR</t>
        </is>
      </c>
      <c r="Y47" s="30" t="inlineStr">
        <is>
          <t>Yes</t>
        </is>
      </c>
      <c r="Z47" s="30" t="n"/>
      <c r="AA47" s="30" t="inlineStr">
        <is>
          <t>Good finish</t>
        </is>
      </c>
      <c r="AB47" s="30" t="inlineStr">
        <is>
          <t>Yes</t>
        </is>
      </c>
      <c r="AC47" s="27" t="n"/>
      <c r="AD47" s="31" t="inlineStr">
        <is>
          <t>No</t>
        </is>
      </c>
      <c r="AE47" s="32">
        <f>IF(W47="","",IF(Z47="Yes","❌ Disc",IF(Y47="No","⚠ Missing",IF(AB47="Yes","✓ OK","⚠ Check"))))</f>
        <v/>
      </c>
      <c r="AF47" s="33" t="n"/>
      <c r="AG47" s="33" t="n"/>
      <c r="AH47" s="33" t="n"/>
      <c r="AI47" s="33" t="n"/>
      <c r="AJ47" s="33" t="n"/>
      <c r="AK47" s="33" t="n"/>
      <c r="AL47" s="27" t="n"/>
      <c r="AM47" s="34" t="n"/>
      <c r="AN47" s="35">
        <f>IF(AF47="","",IF(AI47="Yes","❌ Disc",IF(AH47="No","⚠ Missing",IF(AK47="Yes","✓ OK","⚠ Check"))))</f>
        <v/>
      </c>
      <c r="AO47" s="36" t="n"/>
      <c r="AP47" s="36" t="n"/>
      <c r="AQ47" s="36" t="n"/>
      <c r="AR47" s="36" t="n"/>
      <c r="AS47" s="36" t="n"/>
      <c r="AT47" s="36" t="n"/>
      <c r="AU47" s="27" t="n"/>
      <c r="AV47" s="37" t="n"/>
      <c r="AW47" s="38">
        <f>IF(AO47="","",IF(AR47="Yes","❌ Disc",IF(AQ47="No","⚠ Missing",IF(AT47="Yes","✓ OK","⚠ Check"))))</f>
        <v/>
      </c>
    </row>
    <row r="48" ht="18" customHeight="1" s="46">
      <c r="A48" s="39" t="n">
        <v>44</v>
      </c>
      <c r="B48" s="40" t="inlineStr">
        <is>
          <t>BD-VRM-2023-5813</t>
        </is>
      </c>
      <c r="C48" s="41" t="inlineStr">
        <is>
          <t>Bonito Solid Surfaces - Quartz - 5000 LONDON GREY-3040x1440mmx13mm</t>
        </is>
      </c>
      <c r="D48" s="39" t="inlineStr">
        <is>
          <t>Caesar Stones</t>
        </is>
      </c>
      <c r="E48" s="43" t="n">
        <v>46126</v>
      </c>
      <c r="F48" s="26" t="inlineStr">
        <is>
          <t>Sunil CR</t>
        </is>
      </c>
      <c r="G48" s="26" t="inlineStr">
        <is>
          <t>Yes</t>
        </is>
      </c>
      <c r="H48" s="26" t="inlineStr">
        <is>
          <t>No</t>
        </is>
      </c>
      <c r="I48" s="26" t="inlineStr">
        <is>
          <t>Good finish</t>
        </is>
      </c>
      <c r="J48" s="26" t="inlineStr">
        <is>
          <t>Yes</t>
        </is>
      </c>
      <c r="K48" s="27" t="n"/>
      <c r="L48" s="28" t="inlineStr">
        <is>
          <t>No</t>
        </is>
      </c>
      <c r="M48" s="29">
        <f>IF(E48="","",IF(H48="Yes","❌ Disc",IF(G48="No","⚠ Missing",IF(J48="Yes","✓ OK","⚠ Check"))))</f>
        <v/>
      </c>
      <c r="N48" s="43" t="n">
        <v>46196</v>
      </c>
      <c r="O48" s="26" t="inlineStr">
        <is>
          <t>Sunil CR</t>
        </is>
      </c>
      <c r="P48" s="26" t="inlineStr">
        <is>
          <t>No</t>
        </is>
      </c>
      <c r="Q48" s="26" t="inlineStr">
        <is>
          <t>Yes</t>
        </is>
      </c>
      <c r="R48" s="26" t="inlineStr">
        <is>
          <t>Discontinued</t>
        </is>
      </c>
      <c r="S48" s="26" t="inlineStr">
        <is>
          <t>No</t>
        </is>
      </c>
      <c r="T48" s="27" t="n"/>
      <c r="U48" s="28" t="inlineStr">
        <is>
          <t>No</t>
        </is>
      </c>
      <c r="V48" s="29">
        <f>IF(N48="","",IF(Q48="Yes","❌ Disc",IF(P48="No","⚠ Missing",IF(S48="Yes","✓ OK","⚠ Check"))))</f>
        <v/>
      </c>
      <c r="W48" s="65" t="n">
        <v>46248</v>
      </c>
      <c r="X48" s="30" t="inlineStr">
        <is>
          <t>Sunil CR</t>
        </is>
      </c>
      <c r="Y48" s="30" t="inlineStr">
        <is>
          <t>No</t>
        </is>
      </c>
      <c r="Z48" s="30" t="inlineStr">
        <is>
          <t>Yes</t>
        </is>
      </c>
      <c r="AA48" s="30" t="inlineStr">
        <is>
          <t>Discontinued</t>
        </is>
      </c>
      <c r="AB48" s="30" t="inlineStr">
        <is>
          <t>No</t>
        </is>
      </c>
      <c r="AC48" s="27" t="n"/>
      <c r="AD48" s="31" t="inlineStr">
        <is>
          <t>No</t>
        </is>
      </c>
      <c r="AE48" s="32">
        <f>IF(W48="","",IF(Z48="Yes","❌ Disc",IF(Y48="No","⚠ Missing",IF(AB48="Yes","✓ OK","⚠ Check"))))</f>
        <v/>
      </c>
      <c r="AF48" s="33" t="n"/>
      <c r="AG48" s="33" t="n"/>
      <c r="AH48" s="33" t="n"/>
      <c r="AI48" s="33" t="n"/>
      <c r="AJ48" s="33" t="n"/>
      <c r="AK48" s="33" t="n"/>
      <c r="AL48" s="27" t="n"/>
      <c r="AM48" s="34" t="n"/>
      <c r="AN48" s="35">
        <f>IF(AF48="","",IF(AI48="Yes","❌ Disc",IF(AH48="No","⚠ Missing",IF(AK48="Yes","✓ OK","⚠ Check"))))</f>
        <v/>
      </c>
      <c r="AO48" s="36" t="n"/>
      <c r="AP48" s="36" t="n"/>
      <c r="AQ48" s="36" t="n"/>
      <c r="AR48" s="36" t="n"/>
      <c r="AS48" s="36" t="n"/>
      <c r="AT48" s="36" t="n"/>
      <c r="AU48" s="27" t="n"/>
      <c r="AV48" s="37" t="n"/>
      <c r="AW48" s="38">
        <f>IF(AO48="","",IF(AR48="Yes","❌ Disc",IF(AQ48="No","⚠ Missing",IF(AT48="Yes","✓ OK","⚠ Check"))))</f>
        <v/>
      </c>
    </row>
    <row r="49" ht="18" customHeight="1" s="46">
      <c r="A49" s="23" t="n">
        <v>45</v>
      </c>
      <c r="B49" s="24" t="inlineStr">
        <is>
          <t>BD-VRM-2023-5818</t>
        </is>
      </c>
      <c r="C49" s="25" t="inlineStr">
        <is>
          <t>Bonito Solid Surfaces - Quartz - 5003 PIATRA GREY-3040x1440mmx13mm</t>
        </is>
      </c>
      <c r="D49" s="23" t="inlineStr">
        <is>
          <t>Caesar Stones</t>
        </is>
      </c>
      <c r="E49" s="43" t="n">
        <v>46126</v>
      </c>
      <c r="F49" s="26" t="inlineStr">
        <is>
          <t>Sunil CR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Good finish</t>
        </is>
      </c>
      <c r="J49" s="26" t="inlineStr">
        <is>
          <t>Yes</t>
        </is>
      </c>
      <c r="K49" s="27" t="n"/>
      <c r="L49" s="28" t="inlineStr">
        <is>
          <t>No</t>
        </is>
      </c>
      <c r="M49" s="29">
        <f>IF(E49="","",IF(H49="Yes","❌ Disc",IF(G49="No","⚠ Missing",IF(J49="Yes","✓ OK","⚠ Check"))))</f>
        <v/>
      </c>
      <c r="N49" s="43" t="n">
        <v>46196</v>
      </c>
      <c r="O49" s="26" t="inlineStr">
        <is>
          <t>Sunil CR</t>
        </is>
      </c>
      <c r="P49" s="26" t="inlineStr">
        <is>
          <t>No</t>
        </is>
      </c>
      <c r="Q49" s="26" t="inlineStr">
        <is>
          <t>Yes</t>
        </is>
      </c>
      <c r="R49" s="26" t="inlineStr">
        <is>
          <t>Discontinued</t>
        </is>
      </c>
      <c r="S49" s="26" t="inlineStr">
        <is>
          <t>No</t>
        </is>
      </c>
      <c r="T49" s="27" t="n"/>
      <c r="U49" s="28" t="inlineStr">
        <is>
          <t>No</t>
        </is>
      </c>
      <c r="V49" s="29">
        <f>IF(N49="","",IF(Q49="Yes","❌ Disc",IF(P49="No","⚠ Missing",IF(S49="Yes","✓ OK","⚠ Check"))))</f>
        <v/>
      </c>
      <c r="W49" s="65" t="n">
        <v>46248</v>
      </c>
      <c r="X49" s="30" t="inlineStr">
        <is>
          <t>Sunil CR</t>
        </is>
      </c>
      <c r="Y49" s="30" t="inlineStr">
        <is>
          <t>No</t>
        </is>
      </c>
      <c r="Z49" s="30" t="inlineStr">
        <is>
          <t>Yes</t>
        </is>
      </c>
      <c r="AA49" s="30" t="inlineStr">
        <is>
          <t>Discontinued</t>
        </is>
      </c>
      <c r="AB49" s="30" t="inlineStr">
        <is>
          <t>No</t>
        </is>
      </c>
      <c r="AC49" s="27" t="n"/>
      <c r="AD49" s="31" t="inlineStr">
        <is>
          <t>No</t>
        </is>
      </c>
      <c r="AE49" s="32">
        <f>IF(W49="","",IF(Z49="Yes","❌ Disc",IF(Y49="No","⚠ Missing",IF(AB49="Yes","✓ OK","⚠ Check"))))</f>
        <v/>
      </c>
      <c r="AF49" s="33" t="n"/>
      <c r="AG49" s="33" t="n"/>
      <c r="AH49" s="33" t="n"/>
      <c r="AI49" s="33" t="n"/>
      <c r="AJ49" s="33" t="n"/>
      <c r="AK49" s="33" t="n"/>
      <c r="AL49" s="27" t="n"/>
      <c r="AM49" s="34" t="n"/>
      <c r="AN49" s="35">
        <f>IF(AF49="","",IF(AI49="Yes","❌ Disc",IF(AH49="No","⚠ Missing",IF(AK49="Yes","✓ OK","⚠ Check"))))</f>
        <v/>
      </c>
      <c r="AO49" s="36" t="n"/>
      <c r="AP49" s="36" t="n"/>
      <c r="AQ49" s="36" t="n"/>
      <c r="AR49" s="36" t="n"/>
      <c r="AS49" s="36" t="n"/>
      <c r="AT49" s="36" t="n"/>
      <c r="AU49" s="27" t="n"/>
      <c r="AV49" s="37" t="n"/>
      <c r="AW49" s="38">
        <f>IF(AO49="","",IF(AR49="Yes","❌ Disc",IF(AQ49="No","⚠ Missing",IF(AT49="Yes","✓ OK","⚠ Check"))))</f>
        <v/>
      </c>
    </row>
    <row r="50" ht="18" customHeight="1" s="46">
      <c r="A50" s="39" t="n">
        <v>46</v>
      </c>
      <c r="B50" s="40" t="inlineStr">
        <is>
          <t>BD-VRM-2023-5823</t>
        </is>
      </c>
      <c r="C50" s="41" t="inlineStr">
        <is>
          <t>Bonito Solid Surfaces - Quartz - 5031 STATUARIO MAXIMUS-3040x1440mmx13mm</t>
        </is>
      </c>
      <c r="D50" s="39" t="inlineStr">
        <is>
          <t>Caesar Stones</t>
        </is>
      </c>
      <c r="E50" s="43" t="n">
        <v>46126</v>
      </c>
      <c r="F50" s="26" t="inlineStr">
        <is>
          <t>Sunil CR</t>
        </is>
      </c>
      <c r="G50" s="26" t="inlineStr">
        <is>
          <t>Yes</t>
        </is>
      </c>
      <c r="H50" s="26" t="inlineStr">
        <is>
          <t>No</t>
        </is>
      </c>
      <c r="I50" s="26" t="inlineStr">
        <is>
          <t>Good finish</t>
        </is>
      </c>
      <c r="J50" s="26" t="inlineStr">
        <is>
          <t>Yes</t>
        </is>
      </c>
      <c r="K50" s="27" t="n"/>
      <c r="L50" s="28" t="inlineStr">
        <is>
          <t>No</t>
        </is>
      </c>
      <c r="M50" s="29">
        <f>IF(E50="","",IF(H50="Yes","❌ Disc",IF(G50="No","⚠ Missing",IF(J50="Yes","✓ OK","⚠ Check"))))</f>
        <v/>
      </c>
      <c r="N50" s="43" t="n">
        <v>46196</v>
      </c>
      <c r="O50" s="26" t="inlineStr">
        <is>
          <t>Sunil CR</t>
        </is>
      </c>
      <c r="P50" s="26" t="inlineStr">
        <is>
          <t>No</t>
        </is>
      </c>
      <c r="Q50" s="26" t="inlineStr">
        <is>
          <t>Yes</t>
        </is>
      </c>
      <c r="R50" s="26" t="inlineStr">
        <is>
          <t>Discontinued</t>
        </is>
      </c>
      <c r="S50" s="26" t="inlineStr">
        <is>
          <t>No</t>
        </is>
      </c>
      <c r="T50" s="27" t="n"/>
      <c r="U50" s="28" t="inlineStr">
        <is>
          <t>No</t>
        </is>
      </c>
      <c r="V50" s="29">
        <f>IF(N50="","",IF(Q50="Yes","❌ Disc",IF(P50="No","⚠ Missing",IF(S50="Yes","✓ OK","⚠ Check"))))</f>
        <v/>
      </c>
      <c r="W50" s="65" t="n">
        <v>46248</v>
      </c>
      <c r="X50" s="30" t="inlineStr">
        <is>
          <t>Sunil CR</t>
        </is>
      </c>
      <c r="Y50" s="30" t="inlineStr">
        <is>
          <t>No</t>
        </is>
      </c>
      <c r="Z50" s="30" t="inlineStr">
        <is>
          <t>Yes</t>
        </is>
      </c>
      <c r="AA50" s="30" t="inlineStr">
        <is>
          <t>Discontinued</t>
        </is>
      </c>
      <c r="AB50" s="30" t="inlineStr">
        <is>
          <t>No</t>
        </is>
      </c>
      <c r="AC50" s="27" t="n"/>
      <c r="AD50" s="31" t="inlineStr">
        <is>
          <t>No</t>
        </is>
      </c>
      <c r="AE50" s="32">
        <f>IF(W50="","",IF(Z50="Yes","❌ Disc",IF(Y50="No","⚠ Missing",IF(AB50="Yes","✓ OK","⚠ Check"))))</f>
        <v/>
      </c>
      <c r="AF50" s="33" t="n"/>
      <c r="AG50" s="33" t="n"/>
      <c r="AH50" s="33" t="n"/>
      <c r="AI50" s="33" t="n"/>
      <c r="AJ50" s="33" t="n"/>
      <c r="AK50" s="33" t="n"/>
      <c r="AL50" s="27" t="n"/>
      <c r="AM50" s="34" t="n"/>
      <c r="AN50" s="35">
        <f>IF(AF50="","",IF(AI50="Yes","❌ Disc",IF(AH50="No","⚠ Missing",IF(AK50="Yes","✓ OK","⚠ Check"))))</f>
        <v/>
      </c>
      <c r="AO50" s="36" t="n"/>
      <c r="AP50" s="36" t="n"/>
      <c r="AQ50" s="36" t="n"/>
      <c r="AR50" s="36" t="n"/>
      <c r="AS50" s="36" t="n"/>
      <c r="AT50" s="36" t="n"/>
      <c r="AU50" s="27" t="n"/>
      <c r="AV50" s="37" t="n"/>
      <c r="AW50" s="38">
        <f>IF(AO50="","",IF(AR50="Yes","❌ Disc",IF(AQ50="No","⚠ Missing",IF(AT50="Yes","✓ OK","⚠ Check"))))</f>
        <v/>
      </c>
    </row>
    <row r="51" ht="18" customHeight="1" s="46">
      <c r="A51" s="23" t="n">
        <v>47</v>
      </c>
      <c r="B51" s="24" t="inlineStr">
        <is>
          <t>BD-VRM-2023-5819</t>
        </is>
      </c>
      <c r="C51" s="25" t="inlineStr">
        <is>
          <t>Bonito Solid Surfaces - Quartz - 5100 VANILLA NOIR-3040x1440mmx13mm</t>
        </is>
      </c>
      <c r="D51" s="23" t="inlineStr">
        <is>
          <t>Caesar Stones</t>
        </is>
      </c>
      <c r="E51" s="43" t="n">
        <v>46126</v>
      </c>
      <c r="F51" s="26" t="inlineStr">
        <is>
          <t>Sunil CR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Good finish</t>
        </is>
      </c>
      <c r="J51" s="26" t="inlineStr">
        <is>
          <t>Yes</t>
        </is>
      </c>
      <c r="K51" s="27" t="n"/>
      <c r="L51" s="28" t="inlineStr">
        <is>
          <t>No</t>
        </is>
      </c>
      <c r="M51" s="29">
        <f>IF(E51="","",IF(H51="Yes","❌ Disc",IF(G51="No","⚠ Missing",IF(J51="Yes","✓ OK","⚠ Check"))))</f>
        <v/>
      </c>
      <c r="N51" s="43" t="n">
        <v>46196</v>
      </c>
      <c r="O51" s="26" t="inlineStr">
        <is>
          <t>Sunil CR</t>
        </is>
      </c>
      <c r="P51" s="26" t="inlineStr">
        <is>
          <t>No</t>
        </is>
      </c>
      <c r="Q51" s="26" t="inlineStr">
        <is>
          <t>Yes</t>
        </is>
      </c>
      <c r="R51" s="26" t="inlineStr">
        <is>
          <t>Discontinued</t>
        </is>
      </c>
      <c r="S51" s="26" t="inlineStr">
        <is>
          <t>No</t>
        </is>
      </c>
      <c r="T51" s="27" t="n"/>
      <c r="U51" s="28" t="inlineStr">
        <is>
          <t>No</t>
        </is>
      </c>
      <c r="V51" s="29">
        <f>IF(N51="","",IF(Q51="Yes","❌ Disc",IF(P51="No","⚠ Missing",IF(S51="Yes","✓ OK","⚠ Check"))))</f>
        <v/>
      </c>
      <c r="W51" s="65" t="n">
        <v>46248</v>
      </c>
      <c r="X51" s="30" t="inlineStr">
        <is>
          <t>Sunil CR</t>
        </is>
      </c>
      <c r="Y51" s="30" t="inlineStr">
        <is>
          <t>No</t>
        </is>
      </c>
      <c r="Z51" s="30" t="inlineStr">
        <is>
          <t>Yes</t>
        </is>
      </c>
      <c r="AA51" s="30" t="inlineStr">
        <is>
          <t>Discontinued</t>
        </is>
      </c>
      <c r="AB51" s="30" t="inlineStr">
        <is>
          <t>No</t>
        </is>
      </c>
      <c r="AC51" s="27" t="n"/>
      <c r="AD51" s="31" t="inlineStr">
        <is>
          <t>No</t>
        </is>
      </c>
      <c r="AE51" s="32">
        <f>IF(W51="","",IF(Z51="Yes","❌ Disc",IF(Y51="No","⚠ Missing",IF(AB51="Yes","✓ OK","⚠ Check"))))</f>
        <v/>
      </c>
      <c r="AF51" s="33" t="n"/>
      <c r="AG51" s="33" t="n"/>
      <c r="AH51" s="33" t="n"/>
      <c r="AI51" s="33" t="n"/>
      <c r="AJ51" s="33" t="n"/>
      <c r="AK51" s="33" t="n"/>
      <c r="AL51" s="27" t="n"/>
      <c r="AM51" s="34" t="n"/>
      <c r="AN51" s="35">
        <f>IF(AF51="","",IF(AI51="Yes","❌ Disc",IF(AH51="No","⚠ Missing",IF(AK51="Yes","✓ OK","⚠ Check"))))</f>
        <v/>
      </c>
      <c r="AO51" s="36" t="n"/>
      <c r="AP51" s="36" t="n"/>
      <c r="AQ51" s="36" t="n"/>
      <c r="AR51" s="36" t="n"/>
      <c r="AS51" s="36" t="n"/>
      <c r="AT51" s="36" t="n"/>
      <c r="AU51" s="27" t="n"/>
      <c r="AV51" s="37" t="n"/>
      <c r="AW51" s="38">
        <f>IF(AO51="","",IF(AR51="Yes","❌ Disc",IF(AQ51="No","⚠ Missing",IF(AT51="Yes","✓ OK","⚠ Check"))))</f>
        <v/>
      </c>
    </row>
    <row r="52" ht="18" customHeight="1" s="46">
      <c r="A52" s="39" t="n">
        <v>48</v>
      </c>
      <c r="B52" s="40" t="inlineStr">
        <is>
          <t>BD-VRM-2023-5820</t>
        </is>
      </c>
      <c r="C52" s="41" t="inlineStr">
        <is>
          <t>Bonito Solid Surfaces - Quartz - 5110 ALPINE MIST-3040x1440mmx13mm</t>
        </is>
      </c>
      <c r="D52" s="39" t="inlineStr">
        <is>
          <t>Caesar Stones</t>
        </is>
      </c>
      <c r="E52" s="43" t="n">
        <v>46126</v>
      </c>
      <c r="F52" s="26" t="inlineStr">
        <is>
          <t>Sunil CR</t>
        </is>
      </c>
      <c r="G52" s="26" t="inlineStr">
        <is>
          <t>Yes</t>
        </is>
      </c>
      <c r="H52" s="26" t="inlineStr">
        <is>
          <t>No</t>
        </is>
      </c>
      <c r="I52" s="26" t="inlineStr">
        <is>
          <t>Good finish</t>
        </is>
      </c>
      <c r="J52" s="26" t="inlineStr">
        <is>
          <t>Yes</t>
        </is>
      </c>
      <c r="K52" s="27" t="n"/>
      <c r="L52" s="28" t="inlineStr">
        <is>
          <t>No</t>
        </is>
      </c>
      <c r="M52" s="29">
        <f>IF(E52="","",IF(H52="Yes","❌ Disc",IF(G52="No","⚠ Missing",IF(J52="Yes","✓ OK","⚠ Check"))))</f>
        <v/>
      </c>
      <c r="N52" s="43" t="n">
        <v>46196</v>
      </c>
      <c r="O52" s="26" t="inlineStr">
        <is>
          <t>Sunil CR</t>
        </is>
      </c>
      <c r="P52" s="26" t="inlineStr">
        <is>
          <t>No</t>
        </is>
      </c>
      <c r="Q52" s="26" t="inlineStr">
        <is>
          <t>Yes</t>
        </is>
      </c>
      <c r="R52" s="26" t="inlineStr">
        <is>
          <t>Discontinued</t>
        </is>
      </c>
      <c r="S52" s="26" t="inlineStr">
        <is>
          <t>No</t>
        </is>
      </c>
      <c r="T52" s="27" t="n"/>
      <c r="U52" s="28" t="inlineStr">
        <is>
          <t>No</t>
        </is>
      </c>
      <c r="V52" s="29">
        <f>IF(N52="","",IF(Q52="Yes","❌ Disc",IF(P52="No","⚠ Missing",IF(S52="Yes","✓ OK","⚠ Check"))))</f>
        <v/>
      </c>
      <c r="W52" s="65" t="n">
        <v>46248</v>
      </c>
      <c r="X52" s="30" t="inlineStr">
        <is>
          <t>Sunil CR</t>
        </is>
      </c>
      <c r="Y52" s="30" t="inlineStr">
        <is>
          <t>No</t>
        </is>
      </c>
      <c r="Z52" s="30" t="inlineStr">
        <is>
          <t>Yes</t>
        </is>
      </c>
      <c r="AA52" s="30" t="inlineStr">
        <is>
          <t>Discontinued</t>
        </is>
      </c>
      <c r="AB52" s="30" t="inlineStr">
        <is>
          <t>No</t>
        </is>
      </c>
      <c r="AC52" s="27" t="n"/>
      <c r="AD52" s="31" t="inlineStr">
        <is>
          <t>No</t>
        </is>
      </c>
      <c r="AE52" s="32">
        <f>IF(W52="","",IF(Z52="Yes","❌ Disc",IF(Y52="No","⚠ Missing",IF(AB52="Yes","✓ OK","⚠ Check"))))</f>
        <v/>
      </c>
      <c r="AF52" s="33" t="n"/>
      <c r="AG52" s="33" t="n"/>
      <c r="AH52" s="33" t="n"/>
      <c r="AI52" s="33" t="n"/>
      <c r="AJ52" s="33" t="n"/>
      <c r="AK52" s="33" t="n"/>
      <c r="AL52" s="27" t="n"/>
      <c r="AM52" s="34" t="n"/>
      <c r="AN52" s="35">
        <f>IF(AF52="","",IF(AI52="Yes","❌ Disc",IF(AH52="No","⚠ Missing",IF(AK52="Yes","✓ OK","⚠ Check"))))</f>
        <v/>
      </c>
      <c r="AO52" s="36" t="n"/>
      <c r="AP52" s="36" t="n"/>
      <c r="AQ52" s="36" t="n"/>
      <c r="AR52" s="36" t="n"/>
      <c r="AS52" s="36" t="n"/>
      <c r="AT52" s="36" t="n"/>
      <c r="AU52" s="27" t="n"/>
      <c r="AV52" s="37" t="n"/>
      <c r="AW52" s="38">
        <f>IF(AO52="","",IF(AR52="Yes","❌ Disc",IF(AQ52="No","⚠ Missing",IF(AT52="Yes","✓ OK","⚠ Check"))))</f>
        <v/>
      </c>
    </row>
    <row r="53" ht="18" customHeight="1" s="46">
      <c r="A53" s="23" t="n">
        <v>49</v>
      </c>
      <c r="B53" s="24" t="inlineStr">
        <is>
          <t>BD-VRM-2023-5817</t>
        </is>
      </c>
      <c r="C53" s="25" t="inlineStr">
        <is>
          <t>Bonito Solid Surfaces - Quartz - 5141 FROSTY CARRINA-3040x1440mmx13mm</t>
        </is>
      </c>
      <c r="D53" s="23" t="inlineStr">
        <is>
          <t>Caesar Stones</t>
        </is>
      </c>
      <c r="E53" s="43" t="n">
        <v>46126</v>
      </c>
      <c r="F53" s="26" t="inlineStr">
        <is>
          <t>Sunil CR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Good finish</t>
        </is>
      </c>
      <c r="J53" s="26" t="inlineStr">
        <is>
          <t>Yes</t>
        </is>
      </c>
      <c r="K53" s="27" t="n"/>
      <c r="L53" s="28" t="inlineStr">
        <is>
          <t>No</t>
        </is>
      </c>
      <c r="M53" s="29">
        <f>IF(E53="","",IF(H53="Yes","❌ Disc",IF(G53="No","⚠ Missing",IF(J53="Yes","✓ OK","⚠ Check"))))</f>
        <v/>
      </c>
      <c r="N53" s="43" t="n">
        <v>46196</v>
      </c>
      <c r="O53" s="26" t="inlineStr">
        <is>
          <t>Sunil CR</t>
        </is>
      </c>
      <c r="P53" s="26" t="inlineStr">
        <is>
          <t>No</t>
        </is>
      </c>
      <c r="Q53" s="26" t="inlineStr">
        <is>
          <t>Yes</t>
        </is>
      </c>
      <c r="R53" s="26" t="inlineStr">
        <is>
          <t>Discontinued</t>
        </is>
      </c>
      <c r="S53" s="26" t="inlineStr">
        <is>
          <t>No</t>
        </is>
      </c>
      <c r="T53" s="27" t="n"/>
      <c r="U53" s="28" t="inlineStr">
        <is>
          <t>No</t>
        </is>
      </c>
      <c r="V53" s="29">
        <f>IF(N53="","",IF(Q53="Yes","❌ Disc",IF(P53="No","⚠ Missing",IF(S53="Yes","✓ OK","⚠ Check"))))</f>
        <v/>
      </c>
      <c r="W53" s="65" t="n">
        <v>46248</v>
      </c>
      <c r="X53" s="30" t="inlineStr">
        <is>
          <t>Sunil CR</t>
        </is>
      </c>
      <c r="Y53" s="30" t="inlineStr">
        <is>
          <t>No</t>
        </is>
      </c>
      <c r="Z53" s="30" t="inlineStr">
        <is>
          <t>Yes</t>
        </is>
      </c>
      <c r="AA53" s="30" t="inlineStr">
        <is>
          <t>Discontinued</t>
        </is>
      </c>
      <c r="AB53" s="30" t="inlineStr">
        <is>
          <t>No</t>
        </is>
      </c>
      <c r="AC53" s="27" t="n"/>
      <c r="AD53" s="31" t="inlineStr">
        <is>
          <t>No</t>
        </is>
      </c>
      <c r="AE53" s="32">
        <f>IF(W53="","",IF(Z53="Yes","❌ Disc",IF(Y53="No","⚠ Missing",IF(AB53="Yes","✓ OK","⚠ Check"))))</f>
        <v/>
      </c>
      <c r="AF53" s="33" t="n"/>
      <c r="AG53" s="33" t="n"/>
      <c r="AH53" s="33" t="n"/>
      <c r="AI53" s="33" t="n"/>
      <c r="AJ53" s="33" t="n"/>
      <c r="AK53" s="33" t="n"/>
      <c r="AL53" s="27" t="n"/>
      <c r="AM53" s="34" t="n"/>
      <c r="AN53" s="35">
        <f>IF(AF53="","",IF(AI53="Yes","❌ Disc",IF(AH53="No","⚠ Missing",IF(AK53="Yes","✓ OK","⚠ Check"))))</f>
        <v/>
      </c>
      <c r="AO53" s="36" t="n"/>
      <c r="AP53" s="36" t="n"/>
      <c r="AQ53" s="36" t="n"/>
      <c r="AR53" s="36" t="n"/>
      <c r="AS53" s="36" t="n"/>
      <c r="AT53" s="36" t="n"/>
      <c r="AU53" s="27" t="n"/>
      <c r="AV53" s="37" t="n"/>
      <c r="AW53" s="38">
        <f>IF(AO53="","",IF(AR53="Yes","❌ Disc",IF(AQ53="No","⚠ Missing",IF(AT53="Yes","✓ OK","⚠ Check"))))</f>
        <v/>
      </c>
    </row>
    <row r="54" ht="18" customHeight="1" s="46">
      <c r="A54" s="39" t="n">
        <v>50</v>
      </c>
      <c r="B54" s="40" t="inlineStr">
        <is>
          <t>BD-VRM-2023-5822</t>
        </is>
      </c>
      <c r="C54" s="41" t="inlineStr">
        <is>
          <t>Bonito Solid Surfaces - Quartz - 5143 WHITE ATTICA-3040x1440mmx13mm</t>
        </is>
      </c>
      <c r="D54" s="39" t="inlineStr">
        <is>
          <t>Caesar Stones</t>
        </is>
      </c>
      <c r="E54" s="43" t="n">
        <v>46126</v>
      </c>
      <c r="F54" s="26" t="inlineStr">
        <is>
          <t>Sunil CR</t>
        </is>
      </c>
      <c r="G54" s="26" t="inlineStr">
        <is>
          <t>Yes</t>
        </is>
      </c>
      <c r="H54" s="26" t="inlineStr">
        <is>
          <t>No</t>
        </is>
      </c>
      <c r="I54" s="26" t="inlineStr">
        <is>
          <t>Good finish</t>
        </is>
      </c>
      <c r="J54" s="26" t="inlineStr">
        <is>
          <t>Yes</t>
        </is>
      </c>
      <c r="K54" s="27" t="n"/>
      <c r="L54" s="28" t="inlineStr">
        <is>
          <t>No</t>
        </is>
      </c>
      <c r="M54" s="29">
        <f>IF(E54="","",IF(H54="Yes","❌ Disc",IF(G54="No","⚠ Missing",IF(J54="Yes","✓ OK","⚠ Check"))))</f>
        <v/>
      </c>
      <c r="N54" s="43" t="n">
        <v>46196</v>
      </c>
      <c r="O54" s="26" t="inlineStr">
        <is>
          <t>Sunil CR</t>
        </is>
      </c>
      <c r="P54" s="26" t="inlineStr">
        <is>
          <t>No</t>
        </is>
      </c>
      <c r="Q54" s="26" t="inlineStr">
        <is>
          <t>Yes</t>
        </is>
      </c>
      <c r="R54" s="26" t="inlineStr">
        <is>
          <t>Discontinued</t>
        </is>
      </c>
      <c r="S54" s="26" t="inlineStr">
        <is>
          <t>No</t>
        </is>
      </c>
      <c r="T54" s="27" t="n"/>
      <c r="U54" s="28" t="inlineStr">
        <is>
          <t>No</t>
        </is>
      </c>
      <c r="V54" s="29">
        <f>IF(N54="","",IF(Q54="Yes","❌ Disc",IF(P54="No","⚠ Missing",IF(S54="Yes","✓ OK","⚠ Check"))))</f>
        <v/>
      </c>
      <c r="W54" s="65" t="n">
        <v>46248</v>
      </c>
      <c r="X54" s="30" t="inlineStr">
        <is>
          <t>Sunil CR</t>
        </is>
      </c>
      <c r="Y54" s="30" t="inlineStr">
        <is>
          <t>No</t>
        </is>
      </c>
      <c r="Z54" s="30" t="inlineStr">
        <is>
          <t>Yes</t>
        </is>
      </c>
      <c r="AA54" s="30" t="inlineStr">
        <is>
          <t>Discontinued</t>
        </is>
      </c>
      <c r="AB54" s="30" t="inlineStr">
        <is>
          <t>No</t>
        </is>
      </c>
      <c r="AC54" s="27" t="n"/>
      <c r="AD54" s="31" t="inlineStr">
        <is>
          <t>No</t>
        </is>
      </c>
      <c r="AE54" s="32">
        <f>IF(W54="","",IF(Z54="Yes","❌ Disc",IF(Y54="No","⚠ Missing",IF(AB54="Yes","✓ OK","⚠ Check"))))</f>
        <v/>
      </c>
      <c r="AF54" s="33" t="n"/>
      <c r="AG54" s="33" t="n"/>
      <c r="AH54" s="33" t="n"/>
      <c r="AI54" s="33" t="n"/>
      <c r="AJ54" s="33" t="n"/>
      <c r="AK54" s="33" t="n"/>
      <c r="AL54" s="27" t="n"/>
      <c r="AM54" s="34" t="n"/>
      <c r="AN54" s="35">
        <f>IF(AF54="","",IF(AI54="Yes","❌ Disc",IF(AH54="No","⚠ Missing",IF(AK54="Yes","✓ OK","⚠ Check"))))</f>
        <v/>
      </c>
      <c r="AO54" s="36" t="n"/>
      <c r="AP54" s="36" t="n"/>
      <c r="AQ54" s="36" t="n"/>
      <c r="AR54" s="36" t="n"/>
      <c r="AS54" s="36" t="n"/>
      <c r="AT54" s="36" t="n"/>
      <c r="AU54" s="27" t="n"/>
      <c r="AV54" s="37" t="n"/>
      <c r="AW54" s="38">
        <f>IF(AO54="","",IF(AR54="Yes","❌ Disc",IF(AQ54="No","⚠ Missing",IF(AT54="Yes","✓ OK","⚠ Check"))))</f>
        <v/>
      </c>
    </row>
    <row r="55" ht="18" customHeight="1" s="46">
      <c r="A55" s="23" t="n">
        <v>51</v>
      </c>
      <c r="B55" s="24" t="inlineStr">
        <is>
          <t>BD-VRM-2023-5814</t>
        </is>
      </c>
      <c r="C55" s="25" t="inlineStr">
        <is>
          <t>Bonito Solid Surfaces - Quartz - 6046 MOORLAND FOG-3040x1440mmx13mm</t>
        </is>
      </c>
      <c r="D55" s="23" t="inlineStr">
        <is>
          <t>Caesar Stones</t>
        </is>
      </c>
      <c r="E55" s="43" t="n">
        <v>46126</v>
      </c>
      <c r="F55" s="26" t="inlineStr">
        <is>
          <t>Sunil CR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Good finish</t>
        </is>
      </c>
      <c r="J55" s="26" t="inlineStr">
        <is>
          <t>Yes</t>
        </is>
      </c>
      <c r="K55" s="27" t="n"/>
      <c r="L55" s="28" t="inlineStr">
        <is>
          <t>No</t>
        </is>
      </c>
      <c r="M55" s="29">
        <f>IF(E55="","",IF(H55="Yes","❌ Disc",IF(G55="No","⚠ Missing",IF(J55="Yes","✓ OK","⚠ Check"))))</f>
        <v/>
      </c>
      <c r="N55" s="43" t="n">
        <v>46196</v>
      </c>
      <c r="O55" s="26" t="inlineStr">
        <is>
          <t>Sunil CR</t>
        </is>
      </c>
      <c r="P55" s="26" t="inlineStr">
        <is>
          <t>No</t>
        </is>
      </c>
      <c r="Q55" s="26" t="inlineStr">
        <is>
          <t>Yes</t>
        </is>
      </c>
      <c r="R55" s="26" t="inlineStr">
        <is>
          <t>Discontinued</t>
        </is>
      </c>
      <c r="S55" s="26" t="inlineStr">
        <is>
          <t>No</t>
        </is>
      </c>
      <c r="T55" s="27" t="n"/>
      <c r="U55" s="28" t="inlineStr">
        <is>
          <t>No</t>
        </is>
      </c>
      <c r="V55" s="29">
        <f>IF(N55="","",IF(Q55="Yes","❌ Disc",IF(P55="No","⚠ Missing",IF(S55="Yes","✓ OK","⚠ Check"))))</f>
        <v/>
      </c>
      <c r="W55" s="65" t="n">
        <v>46248</v>
      </c>
      <c r="X55" s="30" t="inlineStr">
        <is>
          <t>Sunil CR</t>
        </is>
      </c>
      <c r="Y55" s="30" t="inlineStr">
        <is>
          <t>No</t>
        </is>
      </c>
      <c r="Z55" s="30" t="inlineStr">
        <is>
          <t>Yes</t>
        </is>
      </c>
      <c r="AA55" s="30" t="inlineStr">
        <is>
          <t>Discontinued</t>
        </is>
      </c>
      <c r="AB55" s="30" t="inlineStr">
        <is>
          <t>No</t>
        </is>
      </c>
      <c r="AC55" s="27" t="n"/>
      <c r="AD55" s="31" t="inlineStr">
        <is>
          <t>No</t>
        </is>
      </c>
      <c r="AE55" s="32">
        <f>IF(W55="","",IF(Z55="Yes","❌ Disc",IF(Y55="No","⚠ Missing",IF(AB55="Yes","✓ OK","⚠ Check"))))</f>
        <v/>
      </c>
      <c r="AF55" s="33" t="n"/>
      <c r="AG55" s="33" t="n"/>
      <c r="AH55" s="33" t="n"/>
      <c r="AI55" s="33" t="n"/>
      <c r="AJ55" s="33" t="n"/>
      <c r="AK55" s="33" t="n"/>
      <c r="AL55" s="27" t="n"/>
      <c r="AM55" s="34" t="n"/>
      <c r="AN55" s="35">
        <f>IF(AF55="","",IF(AI55="Yes","❌ Disc",IF(AH55="No","⚠ Missing",IF(AK55="Yes","✓ OK","⚠ Check"))))</f>
        <v/>
      </c>
      <c r="AO55" s="36" t="n"/>
      <c r="AP55" s="36" t="n"/>
      <c r="AQ55" s="36" t="n"/>
      <c r="AR55" s="36" t="n"/>
      <c r="AS55" s="36" t="n"/>
      <c r="AT55" s="36" t="n"/>
      <c r="AU55" s="27" t="n"/>
      <c r="AV55" s="37" t="n"/>
      <c r="AW55" s="38">
        <f>IF(AO55="","",IF(AR55="Yes","❌ Disc",IF(AQ55="No","⚠ Missing",IF(AT55="Yes","✓ OK","⚠ Check"))))</f>
        <v/>
      </c>
    </row>
    <row r="56" ht="18" customHeight="1" s="46">
      <c r="A56" s="39" t="n">
        <v>52</v>
      </c>
      <c r="B56" s="40" t="inlineStr">
        <is>
          <t>BD-VRM-2023-5816</t>
        </is>
      </c>
      <c r="C56" s="41" t="inlineStr">
        <is>
          <t>Bonito Solid Surfaces - Quartz - 6131 BIANCO DRIFT-3040x1440mmx13mm</t>
        </is>
      </c>
      <c r="D56" s="39" t="inlineStr">
        <is>
          <t>Caesar Stones</t>
        </is>
      </c>
      <c r="E56" s="43" t="n">
        <v>46126</v>
      </c>
      <c r="F56" s="26" t="inlineStr">
        <is>
          <t>Sunil CR</t>
        </is>
      </c>
      <c r="G56" s="26" t="inlineStr">
        <is>
          <t>Yes</t>
        </is>
      </c>
      <c r="H56" s="26" t="inlineStr">
        <is>
          <t>No</t>
        </is>
      </c>
      <c r="I56" s="26" t="inlineStr">
        <is>
          <t>Good finish</t>
        </is>
      </c>
      <c r="J56" s="26" t="inlineStr">
        <is>
          <t>Yes</t>
        </is>
      </c>
      <c r="K56" s="27" t="n"/>
      <c r="L56" s="28" t="inlineStr">
        <is>
          <t>No</t>
        </is>
      </c>
      <c r="M56" s="29">
        <f>IF(E56="","",IF(H56="Yes","❌ Disc",IF(G56="No","⚠ Missing",IF(J56="Yes","✓ OK","⚠ Check"))))</f>
        <v/>
      </c>
      <c r="N56" s="43" t="n">
        <v>46196</v>
      </c>
      <c r="O56" s="26" t="inlineStr">
        <is>
          <t>Sunil CR</t>
        </is>
      </c>
      <c r="P56" s="26" t="inlineStr">
        <is>
          <t>No</t>
        </is>
      </c>
      <c r="Q56" s="26" t="inlineStr">
        <is>
          <t>Yes</t>
        </is>
      </c>
      <c r="R56" s="26" t="inlineStr">
        <is>
          <t>Discontinued</t>
        </is>
      </c>
      <c r="S56" s="26" t="inlineStr">
        <is>
          <t>No</t>
        </is>
      </c>
      <c r="T56" s="27" t="n"/>
      <c r="U56" s="28" t="inlineStr">
        <is>
          <t>No</t>
        </is>
      </c>
      <c r="V56" s="29">
        <f>IF(N56="","",IF(Q56="Yes","❌ Disc",IF(P56="No","⚠ Missing",IF(S56="Yes","✓ OK","⚠ Check"))))</f>
        <v/>
      </c>
      <c r="W56" s="65" t="n">
        <v>46248</v>
      </c>
      <c r="X56" s="30" t="inlineStr">
        <is>
          <t>Sunil CR</t>
        </is>
      </c>
      <c r="Y56" s="30" t="inlineStr">
        <is>
          <t>No</t>
        </is>
      </c>
      <c r="Z56" s="30" t="inlineStr">
        <is>
          <t>Yes</t>
        </is>
      </c>
      <c r="AA56" s="30" t="inlineStr">
        <is>
          <t>Discontinued</t>
        </is>
      </c>
      <c r="AB56" s="30" t="inlineStr">
        <is>
          <t>No</t>
        </is>
      </c>
      <c r="AC56" s="27" t="n"/>
      <c r="AD56" s="31" t="inlineStr">
        <is>
          <t>No</t>
        </is>
      </c>
      <c r="AE56" s="32">
        <f>IF(W56="","",IF(Z56="Yes","❌ Disc",IF(Y56="No","⚠ Missing",IF(AB56="Yes","✓ OK","⚠ Check"))))</f>
        <v/>
      </c>
      <c r="AF56" s="33" t="n"/>
      <c r="AG56" s="33" t="n"/>
      <c r="AH56" s="33" t="n"/>
      <c r="AI56" s="33" t="n"/>
      <c r="AJ56" s="33" t="n"/>
      <c r="AK56" s="33" t="n"/>
      <c r="AL56" s="27" t="n"/>
      <c r="AM56" s="34" t="n"/>
      <c r="AN56" s="35">
        <f>IF(AF56="","",IF(AI56="Yes","❌ Disc",IF(AH56="No","⚠ Missing",IF(AK56="Yes","✓ OK","⚠ Check"))))</f>
        <v/>
      </c>
      <c r="AO56" s="36" t="n"/>
      <c r="AP56" s="36" t="n"/>
      <c r="AQ56" s="36" t="n"/>
      <c r="AR56" s="36" t="n"/>
      <c r="AS56" s="36" t="n"/>
      <c r="AT56" s="36" t="n"/>
      <c r="AU56" s="27" t="n"/>
      <c r="AV56" s="37" t="n"/>
      <c r="AW56" s="38">
        <f>IF(AO56="","",IF(AR56="Yes","❌ Disc",IF(AQ56="No","⚠ Missing",IF(AT56="Yes","✓ OK","⚠ Check"))))</f>
        <v/>
      </c>
    </row>
    <row r="57" ht="18" customHeight="1" s="46">
      <c r="A57" s="23" t="n">
        <v>53</v>
      </c>
      <c r="B57" s="24" t="inlineStr">
        <is>
          <t>BD-VRM-2023-5812</t>
        </is>
      </c>
      <c r="C57" s="25" t="inlineStr">
        <is>
          <t>Bonito Solid Surfaces - Quartz - 6338 WOODLAND-3040x1440mmx13mm</t>
        </is>
      </c>
      <c r="D57" s="23" t="inlineStr">
        <is>
          <t>Caesar Stones</t>
        </is>
      </c>
      <c r="E57" s="43" t="n">
        <v>46126</v>
      </c>
      <c r="F57" s="26" t="inlineStr">
        <is>
          <t>Sunil CR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Good finish</t>
        </is>
      </c>
      <c r="J57" s="26" t="inlineStr">
        <is>
          <t>Yes</t>
        </is>
      </c>
      <c r="K57" s="27" t="n"/>
      <c r="L57" s="28" t="inlineStr">
        <is>
          <t>No</t>
        </is>
      </c>
      <c r="M57" s="29">
        <f>IF(E57="","",IF(H57="Yes","❌ Disc",IF(G57="No","⚠ Missing",IF(J57="Yes","✓ OK","⚠ Check"))))</f>
        <v/>
      </c>
      <c r="N57" s="43" t="n">
        <v>46196</v>
      </c>
      <c r="O57" s="26" t="inlineStr">
        <is>
          <t>Sunil CR</t>
        </is>
      </c>
      <c r="P57" s="26" t="inlineStr">
        <is>
          <t>No</t>
        </is>
      </c>
      <c r="Q57" s="26" t="inlineStr">
        <is>
          <t>Yes</t>
        </is>
      </c>
      <c r="R57" s="26" t="inlineStr">
        <is>
          <t>Discontinued</t>
        </is>
      </c>
      <c r="S57" s="26" t="inlineStr">
        <is>
          <t>No</t>
        </is>
      </c>
      <c r="T57" s="27" t="n"/>
      <c r="U57" s="28" t="inlineStr">
        <is>
          <t>No</t>
        </is>
      </c>
      <c r="V57" s="29">
        <f>IF(N57="","",IF(Q57="Yes","❌ Disc",IF(P57="No","⚠ Missing",IF(S57="Yes","✓ OK","⚠ Check"))))</f>
        <v/>
      </c>
      <c r="W57" s="65" t="n">
        <v>46248</v>
      </c>
      <c r="X57" s="30" t="inlineStr">
        <is>
          <t>Sunil CR</t>
        </is>
      </c>
      <c r="Y57" s="30" t="inlineStr">
        <is>
          <t>No</t>
        </is>
      </c>
      <c r="Z57" s="30" t="inlineStr">
        <is>
          <t>Yes</t>
        </is>
      </c>
      <c r="AA57" s="30" t="inlineStr">
        <is>
          <t>Discontinued</t>
        </is>
      </c>
      <c r="AB57" s="30" t="inlineStr">
        <is>
          <t>No</t>
        </is>
      </c>
      <c r="AC57" s="27" t="n"/>
      <c r="AD57" s="31" t="inlineStr">
        <is>
          <t>No</t>
        </is>
      </c>
      <c r="AE57" s="32">
        <f>IF(W57="","",IF(Z57="Yes","❌ Disc",IF(Y57="No","⚠ Missing",IF(AB57="Yes","✓ OK","⚠ Check"))))</f>
        <v/>
      </c>
      <c r="AF57" s="33" t="n"/>
      <c r="AG57" s="33" t="n"/>
      <c r="AH57" s="33" t="n"/>
      <c r="AI57" s="33" t="n"/>
      <c r="AJ57" s="33" t="n"/>
      <c r="AK57" s="33" t="n"/>
      <c r="AL57" s="27" t="n"/>
      <c r="AM57" s="34" t="n"/>
      <c r="AN57" s="35">
        <f>IF(AF57="","",IF(AI57="Yes","❌ Disc",IF(AH57="No","⚠ Missing",IF(AK57="Yes","✓ OK","⚠ Check"))))</f>
        <v/>
      </c>
      <c r="AO57" s="36" t="n"/>
      <c r="AP57" s="36" t="n"/>
      <c r="AQ57" s="36" t="n"/>
      <c r="AR57" s="36" t="n"/>
      <c r="AS57" s="36" t="n"/>
      <c r="AT57" s="36" t="n"/>
      <c r="AU57" s="27" t="n"/>
      <c r="AV57" s="37" t="n"/>
      <c r="AW57" s="38">
        <f>IF(AO57="","",IF(AR57="Yes","❌ Disc",IF(AQ57="No","⚠ Missing",IF(AT57="Yes","✓ OK","⚠ Check"))))</f>
        <v/>
      </c>
    </row>
    <row r="58" ht="18" customHeight="1" s="46">
      <c r="A58" s="39" t="n">
        <v>54</v>
      </c>
      <c r="B58" s="40" t="inlineStr">
        <is>
          <t>BD-VRM-2024-2837</t>
        </is>
      </c>
      <c r="C58" s="41" t="inlineStr">
        <is>
          <t>Bonito Solid Surfaces Terra - ALBA WHITE - 3100x1520x20mm (562.57.053)</t>
        </is>
      </c>
      <c r="D58" s="39" t="inlineStr">
        <is>
          <t>Hafele</t>
        </is>
      </c>
      <c r="E58" s="43" t="n">
        <v>46126</v>
      </c>
      <c r="F58" s="26" t="inlineStr">
        <is>
          <t>Sunil CR</t>
        </is>
      </c>
      <c r="G58" s="26" t="inlineStr">
        <is>
          <t>Yes</t>
        </is>
      </c>
      <c r="H58" s="26" t="inlineStr">
        <is>
          <t>No</t>
        </is>
      </c>
      <c r="I58" s="26" t="inlineStr">
        <is>
          <t>Good finish</t>
        </is>
      </c>
      <c r="J58" s="26" t="inlineStr">
        <is>
          <t>Yes</t>
        </is>
      </c>
      <c r="K58" s="27" t="n"/>
      <c r="L58" s="28" t="inlineStr">
        <is>
          <t>No</t>
        </is>
      </c>
      <c r="M58" s="29">
        <f>IF(E58="","",IF(H58="Yes","❌ Disc",IF(G58="No","⚠ Missing",IF(J58="Yes","✓ OK","⚠ Check"))))</f>
        <v/>
      </c>
      <c r="N58" s="43" t="n">
        <v>46196</v>
      </c>
      <c r="O58" s="26" t="inlineStr">
        <is>
          <t>Sunil CR</t>
        </is>
      </c>
      <c r="P58" s="26" t="inlineStr">
        <is>
          <t>Yes</t>
        </is>
      </c>
      <c r="Q58" s="26" t="inlineStr">
        <is>
          <t>No</t>
        </is>
      </c>
      <c r="R58" s="26" t="inlineStr">
        <is>
          <t>Good finish</t>
        </is>
      </c>
      <c r="S58" s="26" t="inlineStr">
        <is>
          <t>Yes</t>
        </is>
      </c>
      <c r="T58" s="27" t="n"/>
      <c r="U58" s="28" t="inlineStr">
        <is>
          <t>No</t>
        </is>
      </c>
      <c r="V58" s="29">
        <f>IF(N58="","",IF(Q58="Yes","❌ Disc",IF(P58="No","⚠ Missing",IF(S58="Yes","✓ OK","⚠ Check"))))</f>
        <v/>
      </c>
      <c r="W58" s="65" t="n">
        <v>46248</v>
      </c>
      <c r="X58" s="30" t="inlineStr">
        <is>
          <t>Sunil CR</t>
        </is>
      </c>
      <c r="Y58" s="30" t="inlineStr">
        <is>
          <t>Yes</t>
        </is>
      </c>
      <c r="Z58" s="30" t="n"/>
      <c r="AA58" s="30" t="inlineStr">
        <is>
          <t>Good finish</t>
        </is>
      </c>
      <c r="AB58" s="30" t="inlineStr">
        <is>
          <t>Yes</t>
        </is>
      </c>
      <c r="AC58" s="27" t="n"/>
      <c r="AD58" s="31" t="inlineStr">
        <is>
          <t>No</t>
        </is>
      </c>
      <c r="AE58" s="32">
        <f>IF(W58="","",IF(Z58="Yes","❌ Disc",IF(Y58="No","⚠ Missing",IF(AB58="Yes","✓ OK","⚠ Check"))))</f>
        <v/>
      </c>
      <c r="AF58" s="33" t="n"/>
      <c r="AG58" s="33" t="n"/>
      <c r="AH58" s="33" t="n"/>
      <c r="AI58" s="33" t="n"/>
      <c r="AJ58" s="33" t="n"/>
      <c r="AK58" s="33" t="n"/>
      <c r="AL58" s="27" t="n"/>
      <c r="AM58" s="34" t="n"/>
      <c r="AN58" s="35">
        <f>IF(AF58="","",IF(AI58="Yes","❌ Disc",IF(AH58="No","⚠ Missing",IF(AK58="Yes","✓ OK","⚠ Check"))))</f>
        <v/>
      </c>
      <c r="AO58" s="36" t="n"/>
      <c r="AP58" s="36" t="n"/>
      <c r="AQ58" s="36" t="n"/>
      <c r="AR58" s="36" t="n"/>
      <c r="AS58" s="36" t="n"/>
      <c r="AT58" s="36" t="n"/>
      <c r="AU58" s="27" t="n"/>
      <c r="AV58" s="37" t="n"/>
      <c r="AW58" s="38">
        <f>IF(AO58="","",IF(AR58="Yes","❌ Disc",IF(AQ58="No","⚠ Missing",IF(AT58="Yes","✓ OK","⚠ Check"))))</f>
        <v/>
      </c>
    </row>
    <row r="59" ht="18" customHeight="1" s="46">
      <c r="A59" s="23" t="n">
        <v>55</v>
      </c>
      <c r="B59" s="24" t="inlineStr">
        <is>
          <t>BD-VRM-2024-2842</t>
        </is>
      </c>
      <c r="C59" s="25" t="inlineStr">
        <is>
          <t>Bonito Solid Surfaces Terra - ATHENA WHITE - 3030x1430x20mm (564.42.133)</t>
        </is>
      </c>
      <c r="D59" s="23" t="inlineStr">
        <is>
          <t>Hafele</t>
        </is>
      </c>
      <c r="E59" s="43" t="n">
        <v>46126</v>
      </c>
      <c r="F59" s="26" t="inlineStr">
        <is>
          <t>Sunil CR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Good finish</t>
        </is>
      </c>
      <c r="J59" s="26" t="inlineStr">
        <is>
          <t>Yes</t>
        </is>
      </c>
      <c r="K59" s="27" t="n"/>
      <c r="L59" s="28" t="inlineStr">
        <is>
          <t>No</t>
        </is>
      </c>
      <c r="M59" s="29">
        <f>IF(E59="","",IF(H59="Yes","❌ Disc",IF(G59="No","⚠ Missing",IF(J59="Yes","✓ OK","⚠ Check"))))</f>
        <v/>
      </c>
      <c r="N59" s="43" t="n">
        <v>46196</v>
      </c>
      <c r="O59" s="26" t="inlineStr">
        <is>
          <t>Sunil CR</t>
        </is>
      </c>
      <c r="P59" s="26" t="inlineStr">
        <is>
          <t>Yes</t>
        </is>
      </c>
      <c r="Q59" s="26" t="inlineStr">
        <is>
          <t>No</t>
        </is>
      </c>
      <c r="R59" s="26" t="inlineStr">
        <is>
          <t>Good finish</t>
        </is>
      </c>
      <c r="S59" s="26" t="inlineStr">
        <is>
          <t>Yes</t>
        </is>
      </c>
      <c r="T59" s="27" t="n"/>
      <c r="U59" s="28" t="inlineStr">
        <is>
          <t>No</t>
        </is>
      </c>
      <c r="V59" s="29">
        <f>IF(N59="","",IF(Q59="Yes","❌ Disc",IF(P59="No","⚠ Missing",IF(S59="Yes","✓ OK","⚠ Check"))))</f>
        <v/>
      </c>
      <c r="W59" s="65" t="n">
        <v>46248</v>
      </c>
      <c r="X59" s="30" t="inlineStr">
        <is>
          <t>Sunil CR</t>
        </is>
      </c>
      <c r="Y59" s="30" t="inlineStr">
        <is>
          <t>Yes</t>
        </is>
      </c>
      <c r="Z59" s="30" t="n"/>
      <c r="AA59" s="30" t="inlineStr">
        <is>
          <t>Good finish</t>
        </is>
      </c>
      <c r="AB59" s="30" t="inlineStr">
        <is>
          <t>Yes</t>
        </is>
      </c>
      <c r="AC59" s="27" t="n"/>
      <c r="AD59" s="31" t="inlineStr">
        <is>
          <t>No</t>
        </is>
      </c>
      <c r="AE59" s="32">
        <f>IF(W59="","",IF(Z59="Yes","❌ Disc",IF(Y59="No","⚠ Missing",IF(AB59="Yes","✓ OK","⚠ Check"))))</f>
        <v/>
      </c>
      <c r="AF59" s="33" t="n"/>
      <c r="AG59" s="33" t="n"/>
      <c r="AH59" s="33" t="n"/>
      <c r="AI59" s="33" t="n"/>
      <c r="AJ59" s="33" t="n"/>
      <c r="AK59" s="33" t="n"/>
      <c r="AL59" s="27" t="n"/>
      <c r="AM59" s="34" t="n"/>
      <c r="AN59" s="35">
        <f>IF(AF59="","",IF(AI59="Yes","❌ Disc",IF(AH59="No","⚠ Missing",IF(AK59="Yes","✓ OK","⚠ Check"))))</f>
        <v/>
      </c>
      <c r="AO59" s="36" t="n"/>
      <c r="AP59" s="36" t="n"/>
      <c r="AQ59" s="36" t="n"/>
      <c r="AR59" s="36" t="n"/>
      <c r="AS59" s="36" t="n"/>
      <c r="AT59" s="36" t="n"/>
      <c r="AU59" s="27" t="n"/>
      <c r="AV59" s="37" t="n"/>
      <c r="AW59" s="38">
        <f>IF(AO59="","",IF(AR59="Yes","❌ Disc",IF(AQ59="No","⚠ Missing",IF(AT59="Yes","✓ OK","⚠ Check"))))</f>
        <v/>
      </c>
    </row>
    <row r="60" ht="18" customHeight="1" s="46">
      <c r="A60" s="39" t="n">
        <v>56</v>
      </c>
      <c r="B60" s="40" t="inlineStr">
        <is>
          <t>BD-VRM-2024-2847</t>
        </is>
      </c>
      <c r="C60" s="41" t="inlineStr">
        <is>
          <t>Bonito Solid Surfaces Terra - BIANCO MISTERIO - 3030x1430x20mm (564.42.153)</t>
        </is>
      </c>
      <c r="D60" s="39" t="inlineStr">
        <is>
          <t>Hafele</t>
        </is>
      </c>
      <c r="E60" s="43" t="n">
        <v>46126</v>
      </c>
      <c r="F60" s="26" t="inlineStr">
        <is>
          <t>Sunil CR</t>
        </is>
      </c>
      <c r="G60" s="26" t="inlineStr">
        <is>
          <t>Yes</t>
        </is>
      </c>
      <c r="H60" s="26" t="inlineStr">
        <is>
          <t>No</t>
        </is>
      </c>
      <c r="I60" s="26" t="inlineStr">
        <is>
          <t>Good finish</t>
        </is>
      </c>
      <c r="J60" s="26" t="inlineStr">
        <is>
          <t>Yes</t>
        </is>
      </c>
      <c r="K60" s="27" t="n"/>
      <c r="L60" s="28" t="inlineStr">
        <is>
          <t>No</t>
        </is>
      </c>
      <c r="M60" s="29">
        <f>IF(E60="","",IF(H60="Yes","❌ Disc",IF(G60="No","⚠ Missing",IF(J60="Yes","✓ OK","⚠ Check"))))</f>
        <v/>
      </c>
      <c r="N60" s="43" t="n">
        <v>46196</v>
      </c>
      <c r="O60" s="26" t="inlineStr">
        <is>
          <t>Sunil CR</t>
        </is>
      </c>
      <c r="P60" s="26" t="inlineStr">
        <is>
          <t>Yes</t>
        </is>
      </c>
      <c r="Q60" s="26" t="inlineStr">
        <is>
          <t>No</t>
        </is>
      </c>
      <c r="R60" s="26" t="inlineStr">
        <is>
          <t>Good finish</t>
        </is>
      </c>
      <c r="S60" s="26" t="inlineStr">
        <is>
          <t>Yes</t>
        </is>
      </c>
      <c r="T60" s="27" t="n"/>
      <c r="U60" s="28" t="inlineStr">
        <is>
          <t>No</t>
        </is>
      </c>
      <c r="V60" s="29">
        <f>IF(N60="","",IF(Q60="Yes","❌ Disc",IF(P60="No","⚠ Missing",IF(S60="Yes","✓ OK","⚠ Check"))))</f>
        <v/>
      </c>
      <c r="W60" s="65" t="n">
        <v>46248</v>
      </c>
      <c r="X60" s="30" t="inlineStr">
        <is>
          <t>Sunil CR</t>
        </is>
      </c>
      <c r="Y60" s="30" t="inlineStr">
        <is>
          <t>Yes</t>
        </is>
      </c>
      <c r="Z60" s="30" t="n"/>
      <c r="AA60" s="30" t="inlineStr">
        <is>
          <t>Good finish</t>
        </is>
      </c>
      <c r="AB60" s="30" t="inlineStr">
        <is>
          <t>Yes</t>
        </is>
      </c>
      <c r="AC60" s="27" t="n"/>
      <c r="AD60" s="31" t="inlineStr">
        <is>
          <t>No</t>
        </is>
      </c>
      <c r="AE60" s="32">
        <f>IF(W60="","",IF(Z60="Yes","❌ Disc",IF(Y60="No","⚠ Missing",IF(AB60="Yes","✓ OK","⚠ Check"))))</f>
        <v/>
      </c>
      <c r="AF60" s="33" t="n"/>
      <c r="AG60" s="33" t="n"/>
      <c r="AH60" s="33" t="n"/>
      <c r="AI60" s="33" t="n"/>
      <c r="AJ60" s="33" t="n"/>
      <c r="AK60" s="33" t="n"/>
      <c r="AL60" s="27" t="n"/>
      <c r="AM60" s="34" t="n"/>
      <c r="AN60" s="35">
        <f>IF(AF60="","",IF(AI60="Yes","❌ Disc",IF(AH60="No","⚠ Missing",IF(AK60="Yes","✓ OK","⚠ Check"))))</f>
        <v/>
      </c>
      <c r="AO60" s="36" t="n"/>
      <c r="AP60" s="36" t="n"/>
      <c r="AQ60" s="36" t="n"/>
      <c r="AR60" s="36" t="n"/>
      <c r="AS60" s="36" t="n"/>
      <c r="AT60" s="36" t="n"/>
      <c r="AU60" s="27" t="n"/>
      <c r="AV60" s="37" t="n"/>
      <c r="AW60" s="38">
        <f>IF(AO60="","",IF(AR60="Yes","❌ Disc",IF(AQ60="No","⚠ Missing",IF(AT60="Yes","✓ OK","⚠ Check"))))</f>
        <v/>
      </c>
    </row>
    <row r="61" ht="18" customHeight="1" s="46">
      <c r="A61" s="23" t="n">
        <v>57</v>
      </c>
      <c r="B61" s="24" t="inlineStr">
        <is>
          <t>BD-VRM-2024-2839</t>
        </is>
      </c>
      <c r="C61" s="25" t="inlineStr">
        <is>
          <t>Bonito Solid Surfaces Terra - CARBONITE - 3030x1430x20mm (564.42.063)</t>
        </is>
      </c>
      <c r="D61" s="23" t="inlineStr">
        <is>
          <t>Hafele</t>
        </is>
      </c>
      <c r="E61" s="43" t="n">
        <v>46126</v>
      </c>
      <c r="F61" s="26" t="inlineStr">
        <is>
          <t>Sunil CR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Good finish</t>
        </is>
      </c>
      <c r="J61" s="26" t="inlineStr">
        <is>
          <t>Yes</t>
        </is>
      </c>
      <c r="K61" s="27" t="n"/>
      <c r="L61" s="28" t="inlineStr">
        <is>
          <t>No</t>
        </is>
      </c>
      <c r="M61" s="29">
        <f>IF(E61="","",IF(H61="Yes","❌ Disc",IF(G61="No","⚠ Missing",IF(J61="Yes","✓ OK","⚠ Check"))))</f>
        <v/>
      </c>
      <c r="N61" s="43" t="n">
        <v>46196</v>
      </c>
      <c r="O61" s="26" t="inlineStr">
        <is>
          <t>Sunil CR</t>
        </is>
      </c>
      <c r="P61" s="26" t="inlineStr">
        <is>
          <t>Yes</t>
        </is>
      </c>
      <c r="Q61" s="26" t="inlineStr">
        <is>
          <t>No</t>
        </is>
      </c>
      <c r="R61" s="26" t="inlineStr">
        <is>
          <t>Good finish</t>
        </is>
      </c>
      <c r="S61" s="26" t="inlineStr">
        <is>
          <t>Yes</t>
        </is>
      </c>
      <c r="T61" s="27" t="n"/>
      <c r="U61" s="28" t="inlineStr">
        <is>
          <t>No</t>
        </is>
      </c>
      <c r="V61" s="29">
        <f>IF(N61="","",IF(Q61="Yes","❌ Disc",IF(P61="No","⚠ Missing",IF(S61="Yes","✓ OK","⚠ Check"))))</f>
        <v/>
      </c>
      <c r="W61" s="65" t="n">
        <v>46248</v>
      </c>
      <c r="X61" s="30" t="inlineStr">
        <is>
          <t>Sunil CR</t>
        </is>
      </c>
      <c r="Y61" s="30" t="inlineStr">
        <is>
          <t>Yes</t>
        </is>
      </c>
      <c r="Z61" s="30" t="n"/>
      <c r="AA61" s="30" t="inlineStr">
        <is>
          <t>Good finish</t>
        </is>
      </c>
      <c r="AB61" s="30" t="inlineStr">
        <is>
          <t>Yes</t>
        </is>
      </c>
      <c r="AC61" s="27" t="n"/>
      <c r="AD61" s="31" t="inlineStr">
        <is>
          <t>No</t>
        </is>
      </c>
      <c r="AE61" s="32">
        <f>IF(W61="","",IF(Z61="Yes","❌ Disc",IF(Y61="No","⚠ Missing",IF(AB61="Yes","✓ OK","⚠ Check"))))</f>
        <v/>
      </c>
      <c r="AF61" s="33" t="n"/>
      <c r="AG61" s="33" t="n"/>
      <c r="AH61" s="33" t="n"/>
      <c r="AI61" s="33" t="n"/>
      <c r="AJ61" s="33" t="n"/>
      <c r="AK61" s="33" t="n"/>
      <c r="AL61" s="27" t="n"/>
      <c r="AM61" s="34" t="n"/>
      <c r="AN61" s="35">
        <f>IF(AF61="","",IF(AI61="Yes","❌ Disc",IF(AH61="No","⚠ Missing",IF(AK61="Yes","✓ OK","⚠ Check"))))</f>
        <v/>
      </c>
      <c r="AO61" s="36" t="n"/>
      <c r="AP61" s="36" t="n"/>
      <c r="AQ61" s="36" t="n"/>
      <c r="AR61" s="36" t="n"/>
      <c r="AS61" s="36" t="n"/>
      <c r="AT61" s="36" t="n"/>
      <c r="AU61" s="27" t="n"/>
      <c r="AV61" s="37" t="n"/>
      <c r="AW61" s="38">
        <f>IF(AO61="","",IF(AR61="Yes","❌ Disc",IF(AQ61="No","⚠ Missing",IF(AT61="Yes","✓ OK","⚠ Check"))))</f>
        <v/>
      </c>
    </row>
    <row r="62" ht="18" customHeight="1" s="46">
      <c r="A62" s="39" t="n">
        <v>58</v>
      </c>
      <c r="B62" s="40" t="inlineStr">
        <is>
          <t>BD-VRM-2024-2835</t>
        </is>
      </c>
      <c r="C62" s="41" t="inlineStr">
        <is>
          <t>Bonito Solid Surfaces Terra - CEMENTO - 3030x1430x20mm (564.42.073)</t>
        </is>
      </c>
      <c r="D62" s="39" t="inlineStr">
        <is>
          <t>Hafele</t>
        </is>
      </c>
      <c r="E62" s="43" t="n">
        <v>46126</v>
      </c>
      <c r="F62" s="26" t="inlineStr">
        <is>
          <t>Sunil CR</t>
        </is>
      </c>
      <c r="G62" s="26" t="inlineStr">
        <is>
          <t>Yes</t>
        </is>
      </c>
      <c r="H62" s="26" t="inlineStr">
        <is>
          <t>No</t>
        </is>
      </c>
      <c r="I62" s="26" t="inlineStr">
        <is>
          <t>Good finish</t>
        </is>
      </c>
      <c r="J62" s="26" t="inlineStr">
        <is>
          <t>Yes</t>
        </is>
      </c>
      <c r="K62" s="27" t="n"/>
      <c r="L62" s="28" t="inlineStr">
        <is>
          <t>No</t>
        </is>
      </c>
      <c r="M62" s="29">
        <f>IF(E62="","",IF(H62="Yes","❌ Disc",IF(G62="No","⚠ Missing",IF(J62="Yes","✓ OK","⚠ Check"))))</f>
        <v/>
      </c>
      <c r="N62" s="43" t="n">
        <v>46196</v>
      </c>
      <c r="O62" s="26" t="inlineStr">
        <is>
          <t>Sunil CR</t>
        </is>
      </c>
      <c r="P62" s="26" t="inlineStr">
        <is>
          <t>Yes</t>
        </is>
      </c>
      <c r="Q62" s="26" t="inlineStr">
        <is>
          <t>No</t>
        </is>
      </c>
      <c r="R62" s="26" t="inlineStr">
        <is>
          <t>Good finish</t>
        </is>
      </c>
      <c r="S62" s="26" t="inlineStr">
        <is>
          <t>Yes</t>
        </is>
      </c>
      <c r="T62" s="27" t="n"/>
      <c r="U62" s="28" t="inlineStr">
        <is>
          <t>No</t>
        </is>
      </c>
      <c r="V62" s="29">
        <f>IF(N62="","",IF(Q62="Yes","❌ Disc",IF(P62="No","⚠ Missing",IF(S62="Yes","✓ OK","⚠ Check"))))</f>
        <v/>
      </c>
      <c r="W62" s="65" t="n">
        <v>46248</v>
      </c>
      <c r="X62" s="30" t="inlineStr">
        <is>
          <t>Sunil CR</t>
        </is>
      </c>
      <c r="Y62" s="30" t="inlineStr">
        <is>
          <t>Yes</t>
        </is>
      </c>
      <c r="Z62" s="30" t="n"/>
      <c r="AA62" s="30" t="inlineStr">
        <is>
          <t>Good finish</t>
        </is>
      </c>
      <c r="AB62" s="30" t="inlineStr">
        <is>
          <t>Yes</t>
        </is>
      </c>
      <c r="AC62" s="27" t="n"/>
      <c r="AD62" s="31" t="inlineStr">
        <is>
          <t>No</t>
        </is>
      </c>
      <c r="AE62" s="32">
        <f>IF(W62="","",IF(Z62="Yes","❌ Disc",IF(Y62="No","⚠ Missing",IF(AB62="Yes","✓ OK","⚠ Check"))))</f>
        <v/>
      </c>
      <c r="AF62" s="33" t="n"/>
      <c r="AG62" s="33" t="n"/>
      <c r="AH62" s="33" t="n"/>
      <c r="AI62" s="33" t="n"/>
      <c r="AJ62" s="33" t="n"/>
      <c r="AK62" s="33" t="n"/>
      <c r="AL62" s="27" t="n"/>
      <c r="AM62" s="34" t="n"/>
      <c r="AN62" s="35">
        <f>IF(AF62="","",IF(AI62="Yes","❌ Disc",IF(AH62="No","⚠ Missing",IF(AK62="Yes","✓ OK","⚠ Check"))))</f>
        <v/>
      </c>
      <c r="AO62" s="36" t="n"/>
      <c r="AP62" s="36" t="n"/>
      <c r="AQ62" s="36" t="n"/>
      <c r="AR62" s="36" t="n"/>
      <c r="AS62" s="36" t="n"/>
      <c r="AT62" s="36" t="n"/>
      <c r="AU62" s="27" t="n"/>
      <c r="AV62" s="37" t="n"/>
      <c r="AW62" s="38">
        <f>IF(AO62="","",IF(AR62="Yes","❌ Disc",IF(AQ62="No","⚠ Missing",IF(AT62="Yes","✓ OK","⚠ Check"))))</f>
        <v/>
      </c>
    </row>
    <row r="63" ht="18" customHeight="1" s="46">
      <c r="A63" s="23" t="n">
        <v>59</v>
      </c>
      <c r="B63" s="24" t="inlineStr">
        <is>
          <t>BD-VRM-2024-2831</t>
        </is>
      </c>
      <c r="C63" s="25" t="inlineStr">
        <is>
          <t>Bonito Solid Surfaces Terra - CINDER GREY - 3030x1430x20mm (564.42.043)</t>
        </is>
      </c>
      <c r="D63" s="23" t="inlineStr">
        <is>
          <t>Hafele</t>
        </is>
      </c>
      <c r="E63" s="43" t="n">
        <v>46126</v>
      </c>
      <c r="F63" s="26" t="inlineStr">
        <is>
          <t>Sunil CR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Good finish</t>
        </is>
      </c>
      <c r="J63" s="26" t="inlineStr">
        <is>
          <t>Yes</t>
        </is>
      </c>
      <c r="K63" s="27" t="n"/>
      <c r="L63" s="28" t="inlineStr">
        <is>
          <t>No</t>
        </is>
      </c>
      <c r="M63" s="29">
        <f>IF(E63="","",IF(H63="Yes","❌ Disc",IF(G63="No","⚠ Missing",IF(J63="Yes","✓ OK","⚠ Check"))))</f>
        <v/>
      </c>
      <c r="N63" s="43" t="n">
        <v>46196</v>
      </c>
      <c r="O63" s="26" t="inlineStr">
        <is>
          <t>Sunil CR</t>
        </is>
      </c>
      <c r="P63" s="26" t="inlineStr">
        <is>
          <t>Yes</t>
        </is>
      </c>
      <c r="Q63" s="26" t="inlineStr">
        <is>
          <t>No</t>
        </is>
      </c>
      <c r="R63" s="26" t="inlineStr">
        <is>
          <t>Good finish</t>
        </is>
      </c>
      <c r="S63" s="26" t="inlineStr">
        <is>
          <t>Yes</t>
        </is>
      </c>
      <c r="T63" s="27" t="n"/>
      <c r="U63" s="28" t="inlineStr">
        <is>
          <t>No</t>
        </is>
      </c>
      <c r="V63" s="29">
        <f>IF(N63="","",IF(Q63="Yes","❌ Disc",IF(P63="No","⚠ Missing",IF(S63="Yes","✓ OK","⚠ Check"))))</f>
        <v/>
      </c>
      <c r="W63" s="65" t="n">
        <v>46248</v>
      </c>
      <c r="X63" s="30" t="inlineStr">
        <is>
          <t>Sunil CR</t>
        </is>
      </c>
      <c r="Y63" s="30" t="inlineStr">
        <is>
          <t>Yes</t>
        </is>
      </c>
      <c r="Z63" s="30" t="n"/>
      <c r="AA63" s="30" t="inlineStr">
        <is>
          <t>Good finish</t>
        </is>
      </c>
      <c r="AB63" s="30" t="inlineStr">
        <is>
          <t>Yes</t>
        </is>
      </c>
      <c r="AC63" s="27" t="n"/>
      <c r="AD63" s="31" t="inlineStr">
        <is>
          <t>No</t>
        </is>
      </c>
      <c r="AE63" s="32">
        <f>IF(W63="","",IF(Z63="Yes","❌ Disc",IF(Y63="No","⚠ Missing",IF(AB63="Yes","✓ OK","⚠ Check"))))</f>
        <v/>
      </c>
      <c r="AF63" s="33" t="n"/>
      <c r="AG63" s="33" t="n"/>
      <c r="AH63" s="33" t="n"/>
      <c r="AI63" s="33" t="n"/>
      <c r="AJ63" s="33" t="n"/>
      <c r="AK63" s="33" t="n"/>
      <c r="AL63" s="27" t="n"/>
      <c r="AM63" s="34" t="n"/>
      <c r="AN63" s="35">
        <f>IF(AF63="","",IF(AI63="Yes","❌ Disc",IF(AH63="No","⚠ Missing",IF(AK63="Yes","✓ OK","⚠ Check"))))</f>
        <v/>
      </c>
      <c r="AO63" s="36" t="n"/>
      <c r="AP63" s="36" t="n"/>
      <c r="AQ63" s="36" t="n"/>
      <c r="AR63" s="36" t="n"/>
      <c r="AS63" s="36" t="n"/>
      <c r="AT63" s="36" t="n"/>
      <c r="AU63" s="27" t="n"/>
      <c r="AV63" s="37" t="n"/>
      <c r="AW63" s="38">
        <f>IF(AO63="","",IF(AR63="Yes","❌ Disc",IF(AQ63="No","⚠ Missing",IF(AT63="Yes","✓ OK","⚠ Check"))))</f>
        <v/>
      </c>
    </row>
    <row r="64" ht="18" customHeight="1" s="46">
      <c r="A64" s="39" t="n">
        <v>60</v>
      </c>
      <c r="B64" s="40" t="inlineStr">
        <is>
          <t>BD-VRM-2024-2843</t>
        </is>
      </c>
      <c r="C64" s="41" t="inlineStr">
        <is>
          <t>Bonito Solid Surfaces Terra - CREMA CHAIMPAIGNE - 3030x1430x20mm (564.42.143)</t>
        </is>
      </c>
      <c r="D64" s="39" t="inlineStr">
        <is>
          <t>Hafele</t>
        </is>
      </c>
      <c r="E64" s="43" t="n">
        <v>46126</v>
      </c>
      <c r="F64" s="26" t="inlineStr">
        <is>
          <t>Sunil CR</t>
        </is>
      </c>
      <c r="G64" s="26" t="inlineStr">
        <is>
          <t>Yes</t>
        </is>
      </c>
      <c r="H64" s="26" t="inlineStr">
        <is>
          <t>No</t>
        </is>
      </c>
      <c r="I64" s="26" t="inlineStr">
        <is>
          <t>Good finish</t>
        </is>
      </c>
      <c r="J64" s="26" t="inlineStr">
        <is>
          <t>Yes</t>
        </is>
      </c>
      <c r="K64" s="27" t="n"/>
      <c r="L64" s="28" t="inlineStr">
        <is>
          <t>No</t>
        </is>
      </c>
      <c r="M64" s="29">
        <f>IF(E64="","",IF(H64="Yes","❌ Disc",IF(G64="No","⚠ Missing",IF(J64="Yes","✓ OK","⚠ Check"))))</f>
        <v/>
      </c>
      <c r="N64" s="43" t="n">
        <v>46196</v>
      </c>
      <c r="O64" s="26" t="inlineStr">
        <is>
          <t>Sunil CR</t>
        </is>
      </c>
      <c r="P64" s="26" t="inlineStr">
        <is>
          <t>Yes</t>
        </is>
      </c>
      <c r="Q64" s="26" t="inlineStr">
        <is>
          <t>No</t>
        </is>
      </c>
      <c r="R64" s="26" t="inlineStr">
        <is>
          <t>Good finish</t>
        </is>
      </c>
      <c r="S64" s="26" t="inlineStr">
        <is>
          <t>Yes</t>
        </is>
      </c>
      <c r="T64" s="27" t="n"/>
      <c r="U64" s="28" t="inlineStr">
        <is>
          <t>No</t>
        </is>
      </c>
      <c r="V64" s="29">
        <f>IF(N64="","",IF(Q64="Yes","❌ Disc",IF(P64="No","⚠ Missing",IF(S64="Yes","✓ OK","⚠ Check"))))</f>
        <v/>
      </c>
      <c r="W64" s="65" t="n">
        <v>46248</v>
      </c>
      <c r="X64" s="30" t="inlineStr">
        <is>
          <t>Sunil CR</t>
        </is>
      </c>
      <c r="Y64" s="30" t="inlineStr">
        <is>
          <t>Yes</t>
        </is>
      </c>
      <c r="Z64" s="30" t="n"/>
      <c r="AA64" s="30" t="inlineStr">
        <is>
          <t>Good finish</t>
        </is>
      </c>
      <c r="AB64" s="30" t="inlineStr">
        <is>
          <t>Yes</t>
        </is>
      </c>
      <c r="AC64" s="27" t="n"/>
      <c r="AD64" s="31" t="inlineStr">
        <is>
          <t>No</t>
        </is>
      </c>
      <c r="AE64" s="32">
        <f>IF(W64="","",IF(Z64="Yes","❌ Disc",IF(Y64="No","⚠ Missing",IF(AB64="Yes","✓ OK","⚠ Check"))))</f>
        <v/>
      </c>
      <c r="AF64" s="33" t="n"/>
      <c r="AG64" s="33" t="n"/>
      <c r="AH64" s="33" t="n"/>
      <c r="AI64" s="33" t="n"/>
      <c r="AJ64" s="33" t="n"/>
      <c r="AK64" s="33" t="n"/>
      <c r="AL64" s="27" t="n"/>
      <c r="AM64" s="34" t="n"/>
      <c r="AN64" s="35">
        <f>IF(AF64="","",IF(AI64="Yes","❌ Disc",IF(AH64="No","⚠ Missing",IF(AK64="Yes","✓ OK","⚠ Check"))))</f>
        <v/>
      </c>
      <c r="AO64" s="36" t="n"/>
      <c r="AP64" s="36" t="n"/>
      <c r="AQ64" s="36" t="n"/>
      <c r="AR64" s="36" t="n"/>
      <c r="AS64" s="36" t="n"/>
      <c r="AT64" s="36" t="n"/>
      <c r="AU64" s="27" t="n"/>
      <c r="AV64" s="37" t="n"/>
      <c r="AW64" s="38">
        <f>IF(AO64="","",IF(AR64="Yes","❌ Disc",IF(AQ64="No","⚠ Missing",IF(AT64="Yes","✓ OK","⚠ Check"))))</f>
        <v/>
      </c>
    </row>
    <row r="65" ht="18" customHeight="1" s="46">
      <c r="A65" s="23" t="n">
        <v>61</v>
      </c>
      <c r="B65" s="24" t="inlineStr">
        <is>
          <t>BD-VRM-2024-2840</t>
        </is>
      </c>
      <c r="C65" s="25" t="inlineStr">
        <is>
          <t>Bonito Solid Surfaces Terra - CREMA DOLCE - 3100x1520x20mm (562.57.043)</t>
        </is>
      </c>
      <c r="D65" s="23" t="inlineStr">
        <is>
          <t>Hafele</t>
        </is>
      </c>
      <c r="E65" s="43" t="n">
        <v>46126</v>
      </c>
      <c r="F65" s="26" t="inlineStr">
        <is>
          <t>Sunil CR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Good finish</t>
        </is>
      </c>
      <c r="J65" s="26" t="inlineStr">
        <is>
          <t>Yes</t>
        </is>
      </c>
      <c r="K65" s="27" t="n"/>
      <c r="L65" s="28" t="inlineStr">
        <is>
          <t>No</t>
        </is>
      </c>
      <c r="M65" s="29">
        <f>IF(E65="","",IF(H65="Yes","❌ Disc",IF(G65="No","⚠ Missing",IF(J65="Yes","✓ OK","⚠ Check"))))</f>
        <v/>
      </c>
      <c r="N65" s="43" t="n">
        <v>46196</v>
      </c>
      <c r="O65" s="26" t="inlineStr">
        <is>
          <t>Sunil CR</t>
        </is>
      </c>
      <c r="P65" s="26" t="inlineStr">
        <is>
          <t>Yes</t>
        </is>
      </c>
      <c r="Q65" s="26" t="inlineStr">
        <is>
          <t>No</t>
        </is>
      </c>
      <c r="R65" s="26" t="inlineStr">
        <is>
          <t>Good finish</t>
        </is>
      </c>
      <c r="S65" s="26" t="inlineStr">
        <is>
          <t>Yes</t>
        </is>
      </c>
      <c r="T65" s="27" t="n"/>
      <c r="U65" s="28" t="inlineStr">
        <is>
          <t>No</t>
        </is>
      </c>
      <c r="V65" s="29">
        <f>IF(N65="","",IF(Q65="Yes","❌ Disc",IF(P65="No","⚠ Missing",IF(S65="Yes","✓ OK","⚠ Check"))))</f>
        <v/>
      </c>
      <c r="W65" s="65" t="n">
        <v>46248</v>
      </c>
      <c r="X65" s="30" t="inlineStr">
        <is>
          <t>Sunil CR</t>
        </is>
      </c>
      <c r="Y65" s="30" t="inlineStr">
        <is>
          <t>Yes</t>
        </is>
      </c>
      <c r="Z65" s="30" t="n"/>
      <c r="AA65" s="30" t="inlineStr">
        <is>
          <t>Good finish</t>
        </is>
      </c>
      <c r="AB65" s="30" t="inlineStr">
        <is>
          <t>Yes</t>
        </is>
      </c>
      <c r="AC65" s="27" t="n"/>
      <c r="AD65" s="31" t="inlineStr">
        <is>
          <t>No</t>
        </is>
      </c>
      <c r="AE65" s="32">
        <f>IF(W65="","",IF(Z65="Yes","❌ Disc",IF(Y65="No","⚠ Missing",IF(AB65="Yes","✓ OK","⚠ Check"))))</f>
        <v/>
      </c>
      <c r="AF65" s="33" t="n"/>
      <c r="AG65" s="33" t="n"/>
      <c r="AH65" s="33" t="n"/>
      <c r="AI65" s="33" t="n"/>
      <c r="AJ65" s="33" t="n"/>
      <c r="AK65" s="33" t="n"/>
      <c r="AL65" s="27" t="n"/>
      <c r="AM65" s="34" t="n"/>
      <c r="AN65" s="35">
        <f>IF(AF65="","",IF(AI65="Yes","❌ Disc",IF(AH65="No","⚠ Missing",IF(AK65="Yes","✓ OK","⚠ Check"))))</f>
        <v/>
      </c>
      <c r="AO65" s="36" t="n"/>
      <c r="AP65" s="36" t="n"/>
      <c r="AQ65" s="36" t="n"/>
      <c r="AR65" s="36" t="n"/>
      <c r="AS65" s="36" t="n"/>
      <c r="AT65" s="36" t="n"/>
      <c r="AU65" s="27" t="n"/>
      <c r="AV65" s="37" t="n"/>
      <c r="AW65" s="38">
        <f>IF(AO65="","",IF(AR65="Yes","❌ Disc",IF(AQ65="No","⚠ Missing",IF(AT65="Yes","✓ OK","⚠ Check"))))</f>
        <v/>
      </c>
    </row>
    <row r="66" ht="18" customHeight="1" s="46">
      <c r="A66" s="39" t="n">
        <v>62</v>
      </c>
      <c r="B66" s="40" t="inlineStr">
        <is>
          <t>BD-VRM-2024-2834</t>
        </is>
      </c>
      <c r="C66" s="41" t="inlineStr">
        <is>
          <t>Bonito Solid Surfaces Terra - DUO ORO - 3030x1430x20mm (564.42.123)</t>
        </is>
      </c>
      <c r="D66" s="39" t="inlineStr">
        <is>
          <t>Hafele</t>
        </is>
      </c>
      <c r="E66" s="43" t="n">
        <v>46126</v>
      </c>
      <c r="F66" s="26" t="inlineStr">
        <is>
          <t>Sunil CR</t>
        </is>
      </c>
      <c r="G66" s="26" t="inlineStr">
        <is>
          <t>Yes</t>
        </is>
      </c>
      <c r="H66" s="26" t="inlineStr">
        <is>
          <t>No</t>
        </is>
      </c>
      <c r="I66" s="26" t="inlineStr">
        <is>
          <t>Good finish</t>
        </is>
      </c>
      <c r="J66" s="26" t="inlineStr">
        <is>
          <t>Yes</t>
        </is>
      </c>
      <c r="K66" s="27" t="n"/>
      <c r="L66" s="28" t="inlineStr">
        <is>
          <t>No</t>
        </is>
      </c>
      <c r="M66" s="29">
        <f>IF(E66="","",IF(H66="Yes","❌ Disc",IF(G66="No","⚠ Missing",IF(J66="Yes","✓ OK","⚠ Check"))))</f>
        <v/>
      </c>
      <c r="N66" s="43" t="n">
        <v>46196</v>
      </c>
      <c r="O66" s="26" t="inlineStr">
        <is>
          <t>Sunil CR</t>
        </is>
      </c>
      <c r="P66" s="26" t="inlineStr">
        <is>
          <t>Yes</t>
        </is>
      </c>
      <c r="Q66" s="26" t="inlineStr">
        <is>
          <t>No</t>
        </is>
      </c>
      <c r="R66" s="26" t="inlineStr">
        <is>
          <t>Good finish</t>
        </is>
      </c>
      <c r="S66" s="26" t="inlineStr">
        <is>
          <t>Yes</t>
        </is>
      </c>
      <c r="T66" s="27" t="n"/>
      <c r="U66" s="28" t="inlineStr">
        <is>
          <t>No</t>
        </is>
      </c>
      <c r="V66" s="29">
        <f>IF(N66="","",IF(Q66="Yes","❌ Disc",IF(P66="No","⚠ Missing",IF(S66="Yes","✓ OK","⚠ Check"))))</f>
        <v/>
      </c>
      <c r="W66" s="65" t="n">
        <v>46248</v>
      </c>
      <c r="X66" s="30" t="inlineStr">
        <is>
          <t>Sunil CR</t>
        </is>
      </c>
      <c r="Y66" s="30" t="inlineStr">
        <is>
          <t>Yes</t>
        </is>
      </c>
      <c r="Z66" s="30" t="n"/>
      <c r="AA66" s="30" t="inlineStr">
        <is>
          <t>Good finish</t>
        </is>
      </c>
      <c r="AB66" s="30" t="inlineStr">
        <is>
          <t>Yes</t>
        </is>
      </c>
      <c r="AC66" s="27" t="n"/>
      <c r="AD66" s="31" t="inlineStr">
        <is>
          <t>No</t>
        </is>
      </c>
      <c r="AE66" s="32">
        <f>IF(W66="","",IF(Z66="Yes","❌ Disc",IF(Y66="No","⚠ Missing",IF(AB66="Yes","✓ OK","⚠ Check"))))</f>
        <v/>
      </c>
      <c r="AF66" s="33" t="n"/>
      <c r="AG66" s="33" t="n"/>
      <c r="AH66" s="33" t="n"/>
      <c r="AI66" s="33" t="n"/>
      <c r="AJ66" s="33" t="n"/>
      <c r="AK66" s="33" t="n"/>
      <c r="AL66" s="27" t="n"/>
      <c r="AM66" s="34" t="n"/>
      <c r="AN66" s="35">
        <f>IF(AF66="","",IF(AI66="Yes","❌ Disc",IF(AH66="No","⚠ Missing",IF(AK66="Yes","✓ OK","⚠ Check"))))</f>
        <v/>
      </c>
      <c r="AO66" s="36" t="n"/>
      <c r="AP66" s="36" t="n"/>
      <c r="AQ66" s="36" t="n"/>
      <c r="AR66" s="36" t="n"/>
      <c r="AS66" s="36" t="n"/>
      <c r="AT66" s="36" t="n"/>
      <c r="AU66" s="27" t="n"/>
      <c r="AV66" s="37" t="n"/>
      <c r="AW66" s="38">
        <f>IF(AO66="","",IF(AR66="Yes","❌ Disc",IF(AQ66="No","⚠ Missing",IF(AT66="Yes","✓ OK","⚠ Check"))))</f>
        <v/>
      </c>
    </row>
    <row r="67" ht="18" customHeight="1" s="46">
      <c r="A67" s="23" t="n">
        <v>63</v>
      </c>
      <c r="B67" s="24" t="inlineStr">
        <is>
          <t>BD-VRM-2024-2841</t>
        </is>
      </c>
      <c r="C67" s="25" t="inlineStr">
        <is>
          <t>Bonito Solid Surfaces Terra - EGGNOG - 3030x1430x20mm (564.42.013)</t>
        </is>
      </c>
      <c r="D67" s="23" t="inlineStr">
        <is>
          <t>Hafele</t>
        </is>
      </c>
      <c r="E67" s="43" t="n">
        <v>46126</v>
      </c>
      <c r="F67" s="26" t="inlineStr">
        <is>
          <t>Sunil CR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Good finish</t>
        </is>
      </c>
      <c r="J67" s="26" t="inlineStr">
        <is>
          <t>Yes</t>
        </is>
      </c>
      <c r="K67" s="27" t="n"/>
      <c r="L67" s="28" t="inlineStr">
        <is>
          <t>No</t>
        </is>
      </c>
      <c r="M67" s="29">
        <f>IF(E67="","",IF(H67="Yes","❌ Disc",IF(G67="No","⚠ Missing",IF(J67="Yes","✓ OK","⚠ Check"))))</f>
        <v/>
      </c>
      <c r="N67" s="43" t="n">
        <v>46196</v>
      </c>
      <c r="O67" s="26" t="inlineStr">
        <is>
          <t>Sunil CR</t>
        </is>
      </c>
      <c r="P67" s="26" t="inlineStr">
        <is>
          <t>Yes</t>
        </is>
      </c>
      <c r="Q67" s="26" t="inlineStr">
        <is>
          <t>No</t>
        </is>
      </c>
      <c r="R67" s="26" t="inlineStr">
        <is>
          <t>Good finish</t>
        </is>
      </c>
      <c r="S67" s="26" t="inlineStr">
        <is>
          <t>Yes</t>
        </is>
      </c>
      <c r="T67" s="27" t="n"/>
      <c r="U67" s="28" t="inlineStr">
        <is>
          <t>No</t>
        </is>
      </c>
      <c r="V67" s="29">
        <f>IF(N67="","",IF(Q67="Yes","❌ Disc",IF(P67="No","⚠ Missing",IF(S67="Yes","✓ OK","⚠ Check"))))</f>
        <v/>
      </c>
      <c r="W67" s="65" t="n">
        <v>46248</v>
      </c>
      <c r="X67" s="30" t="inlineStr">
        <is>
          <t>Sunil CR</t>
        </is>
      </c>
      <c r="Y67" s="30" t="inlineStr">
        <is>
          <t>Yes</t>
        </is>
      </c>
      <c r="Z67" s="30" t="n"/>
      <c r="AA67" s="30" t="inlineStr">
        <is>
          <t>Good finish</t>
        </is>
      </c>
      <c r="AB67" s="30" t="inlineStr">
        <is>
          <t>Yes</t>
        </is>
      </c>
      <c r="AC67" s="27" t="n"/>
      <c r="AD67" s="31" t="inlineStr">
        <is>
          <t>No</t>
        </is>
      </c>
      <c r="AE67" s="32">
        <f>IF(W67="","",IF(Z67="Yes","❌ Disc",IF(Y67="No","⚠ Missing",IF(AB67="Yes","✓ OK","⚠ Check"))))</f>
        <v/>
      </c>
      <c r="AF67" s="33" t="n"/>
      <c r="AG67" s="33" t="n"/>
      <c r="AH67" s="33" t="n"/>
      <c r="AI67" s="33" t="n"/>
      <c r="AJ67" s="33" t="n"/>
      <c r="AK67" s="33" t="n"/>
      <c r="AL67" s="27" t="n"/>
      <c r="AM67" s="34" t="n"/>
      <c r="AN67" s="35">
        <f>IF(AF67="","",IF(AI67="Yes","❌ Disc",IF(AH67="No","⚠ Missing",IF(AK67="Yes","✓ OK","⚠ Check"))))</f>
        <v/>
      </c>
      <c r="AO67" s="36" t="n"/>
      <c r="AP67" s="36" t="n"/>
      <c r="AQ67" s="36" t="n"/>
      <c r="AR67" s="36" t="n"/>
      <c r="AS67" s="36" t="n"/>
      <c r="AT67" s="36" t="n"/>
      <c r="AU67" s="27" t="n"/>
      <c r="AV67" s="37" t="n"/>
      <c r="AW67" s="38">
        <f>IF(AO67="","",IF(AR67="Yes","❌ Disc",IF(AQ67="No","⚠ Missing",IF(AT67="Yes","✓ OK","⚠ Check"))))</f>
        <v/>
      </c>
    </row>
    <row r="68" ht="18" customHeight="1" s="46">
      <c r="A68" s="39" t="n">
        <v>64</v>
      </c>
      <c r="B68" s="40" t="inlineStr">
        <is>
          <t>BD-VRM-2024-2844</t>
        </is>
      </c>
      <c r="C68" s="41" t="inlineStr">
        <is>
          <t>Bonito Solid Surfaces Terra - FOSSIL - 3030x1430x20mm (564.42.163)</t>
        </is>
      </c>
      <c r="D68" s="39" t="inlineStr">
        <is>
          <t>Hafele</t>
        </is>
      </c>
      <c r="E68" s="43" t="n">
        <v>46126</v>
      </c>
      <c r="F68" s="26" t="inlineStr">
        <is>
          <t>Sunil CR</t>
        </is>
      </c>
      <c r="G68" s="26" t="inlineStr">
        <is>
          <t>Yes</t>
        </is>
      </c>
      <c r="H68" s="26" t="inlineStr">
        <is>
          <t>No</t>
        </is>
      </c>
      <c r="I68" s="26" t="inlineStr">
        <is>
          <t>Good finish</t>
        </is>
      </c>
      <c r="J68" s="26" t="inlineStr">
        <is>
          <t>Yes</t>
        </is>
      </c>
      <c r="K68" s="27" t="n"/>
      <c r="L68" s="28" t="inlineStr">
        <is>
          <t>No</t>
        </is>
      </c>
      <c r="M68" s="29">
        <f>IF(E68="","",IF(H68="Yes","❌ Disc",IF(G68="No","⚠ Missing",IF(J68="Yes","✓ OK","⚠ Check"))))</f>
        <v/>
      </c>
      <c r="N68" s="43" t="n">
        <v>46196</v>
      </c>
      <c r="O68" s="26" t="inlineStr">
        <is>
          <t>Sunil CR</t>
        </is>
      </c>
      <c r="P68" s="26" t="inlineStr">
        <is>
          <t>Yes</t>
        </is>
      </c>
      <c r="Q68" s="26" t="inlineStr">
        <is>
          <t>No</t>
        </is>
      </c>
      <c r="R68" s="26" t="inlineStr">
        <is>
          <t>Good finish</t>
        </is>
      </c>
      <c r="S68" s="26" t="inlineStr">
        <is>
          <t>Yes</t>
        </is>
      </c>
      <c r="T68" s="27" t="n"/>
      <c r="U68" s="28" t="inlineStr">
        <is>
          <t>No</t>
        </is>
      </c>
      <c r="V68" s="29">
        <f>IF(N68="","",IF(Q68="Yes","❌ Disc",IF(P68="No","⚠ Missing",IF(S68="Yes","✓ OK","⚠ Check"))))</f>
        <v/>
      </c>
      <c r="W68" s="65" t="n">
        <v>46248</v>
      </c>
      <c r="X68" s="30" t="inlineStr">
        <is>
          <t>Sunil CR</t>
        </is>
      </c>
      <c r="Y68" s="30" t="inlineStr">
        <is>
          <t>Yes</t>
        </is>
      </c>
      <c r="Z68" s="30" t="n"/>
      <c r="AA68" s="30" t="inlineStr">
        <is>
          <t>Good finish</t>
        </is>
      </c>
      <c r="AB68" s="30" t="inlineStr">
        <is>
          <t>Yes</t>
        </is>
      </c>
      <c r="AC68" s="27" t="n"/>
      <c r="AD68" s="31" t="inlineStr">
        <is>
          <t>No</t>
        </is>
      </c>
      <c r="AE68" s="32">
        <f>IF(W68="","",IF(Z68="Yes","❌ Disc",IF(Y68="No","⚠ Missing",IF(AB68="Yes","✓ OK","⚠ Check"))))</f>
        <v/>
      </c>
      <c r="AF68" s="33" t="n"/>
      <c r="AG68" s="33" t="n"/>
      <c r="AH68" s="33" t="n"/>
      <c r="AI68" s="33" t="n"/>
      <c r="AJ68" s="33" t="n"/>
      <c r="AK68" s="33" t="n"/>
      <c r="AL68" s="27" t="n"/>
      <c r="AM68" s="34" t="n"/>
      <c r="AN68" s="35">
        <f>IF(AF68="","",IF(AI68="Yes","❌ Disc",IF(AH68="No","⚠ Missing",IF(AK68="Yes","✓ OK","⚠ Check"))))</f>
        <v/>
      </c>
      <c r="AO68" s="36" t="n"/>
      <c r="AP68" s="36" t="n"/>
      <c r="AQ68" s="36" t="n"/>
      <c r="AR68" s="36" t="n"/>
      <c r="AS68" s="36" t="n"/>
      <c r="AT68" s="36" t="n"/>
      <c r="AU68" s="27" t="n"/>
      <c r="AV68" s="37" t="n"/>
      <c r="AW68" s="38">
        <f>IF(AO68="","",IF(AR68="Yes","❌ Disc",IF(AQ68="No","⚠ Missing",IF(AT68="Yes","✓ OK","⚠ Check"))))</f>
        <v/>
      </c>
    </row>
    <row r="69" ht="18" customHeight="1" s="46">
      <c r="A69" s="23" t="n">
        <v>65</v>
      </c>
      <c r="B69" s="24" t="inlineStr">
        <is>
          <t>BD-VRM-2024-2836</t>
        </is>
      </c>
      <c r="C69" s="25" t="inlineStr">
        <is>
          <t>Bonito Solid Surfaces Terra - GRIS ROYALE - 3100x1520x20mm (562.57.023)</t>
        </is>
      </c>
      <c r="D69" s="23" t="inlineStr">
        <is>
          <t>Hafele</t>
        </is>
      </c>
      <c r="E69" s="43" t="n">
        <v>46126</v>
      </c>
      <c r="F69" s="26" t="inlineStr">
        <is>
          <t>Sunil CR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Good finish</t>
        </is>
      </c>
      <c r="J69" s="26" t="inlineStr">
        <is>
          <t>Yes</t>
        </is>
      </c>
      <c r="K69" s="27" t="n"/>
      <c r="L69" s="28" t="inlineStr">
        <is>
          <t>No</t>
        </is>
      </c>
      <c r="M69" s="29">
        <f>IF(E69="","",IF(H69="Yes","❌ Disc",IF(G69="No","⚠ Missing",IF(J69="Yes","✓ OK","⚠ Check"))))</f>
        <v/>
      </c>
      <c r="N69" s="43" t="n">
        <v>46196</v>
      </c>
      <c r="O69" s="26" t="inlineStr">
        <is>
          <t>Sunil CR</t>
        </is>
      </c>
      <c r="P69" s="26" t="inlineStr">
        <is>
          <t>Yes</t>
        </is>
      </c>
      <c r="Q69" s="26" t="inlineStr">
        <is>
          <t>No</t>
        </is>
      </c>
      <c r="R69" s="26" t="inlineStr">
        <is>
          <t>Good finish</t>
        </is>
      </c>
      <c r="S69" s="26" t="inlineStr">
        <is>
          <t>Yes</t>
        </is>
      </c>
      <c r="T69" s="27" t="n"/>
      <c r="U69" s="28" t="inlineStr">
        <is>
          <t>No</t>
        </is>
      </c>
      <c r="V69" s="29">
        <f>IF(N69="","",IF(Q69="Yes","❌ Disc",IF(P69="No","⚠ Missing",IF(S69="Yes","✓ OK","⚠ Check"))))</f>
        <v/>
      </c>
      <c r="W69" s="65" t="n">
        <v>46248</v>
      </c>
      <c r="X69" s="30" t="inlineStr">
        <is>
          <t>Sunil CR</t>
        </is>
      </c>
      <c r="Y69" s="30" t="inlineStr">
        <is>
          <t>Yes</t>
        </is>
      </c>
      <c r="Z69" s="30" t="n"/>
      <c r="AA69" s="30" t="inlineStr">
        <is>
          <t>Good finish</t>
        </is>
      </c>
      <c r="AB69" s="30" t="inlineStr">
        <is>
          <t>Yes</t>
        </is>
      </c>
      <c r="AC69" s="27" t="n"/>
      <c r="AD69" s="31" t="inlineStr">
        <is>
          <t>No</t>
        </is>
      </c>
      <c r="AE69" s="32">
        <f>IF(W69="","",IF(Z69="Yes","❌ Disc",IF(Y69="No","⚠ Missing",IF(AB69="Yes","✓ OK","⚠ Check"))))</f>
        <v/>
      </c>
      <c r="AF69" s="33" t="n"/>
      <c r="AG69" s="33" t="n"/>
      <c r="AH69" s="33" t="n"/>
      <c r="AI69" s="33" t="n"/>
      <c r="AJ69" s="33" t="n"/>
      <c r="AK69" s="33" t="n"/>
      <c r="AL69" s="27" t="n"/>
      <c r="AM69" s="34" t="n"/>
      <c r="AN69" s="35">
        <f>IF(AF69="","",IF(AI69="Yes","❌ Disc",IF(AH69="No","⚠ Missing",IF(AK69="Yes","✓ OK","⚠ Check"))))</f>
        <v/>
      </c>
      <c r="AO69" s="36" t="n"/>
      <c r="AP69" s="36" t="n"/>
      <c r="AQ69" s="36" t="n"/>
      <c r="AR69" s="36" t="n"/>
      <c r="AS69" s="36" t="n"/>
      <c r="AT69" s="36" t="n"/>
      <c r="AU69" s="27" t="n"/>
      <c r="AV69" s="37" t="n"/>
      <c r="AW69" s="38">
        <f>IF(AO69="","",IF(AR69="Yes","❌ Disc",IF(AQ69="No","⚠ Missing",IF(AT69="Yes","✓ OK","⚠ Check"))))</f>
        <v/>
      </c>
    </row>
    <row r="70" ht="18" customHeight="1" s="46">
      <c r="A70" s="39" t="n">
        <v>66</v>
      </c>
      <c r="B70" s="40" t="inlineStr">
        <is>
          <t>BD-VRM-2024-2829</t>
        </is>
      </c>
      <c r="C70" s="41" t="inlineStr">
        <is>
          <t>Bonito Solid Surfaces Terra - HONEYDEW - 3030x1430x20mm (564.42.113)</t>
        </is>
      </c>
      <c r="D70" s="39" t="inlineStr">
        <is>
          <t>Hafele</t>
        </is>
      </c>
      <c r="E70" s="43" t="n">
        <v>46126</v>
      </c>
      <c r="F70" s="26" t="inlineStr">
        <is>
          <t>Sunil CR</t>
        </is>
      </c>
      <c r="G70" s="26" t="inlineStr">
        <is>
          <t>Yes</t>
        </is>
      </c>
      <c r="H70" s="26" t="inlineStr">
        <is>
          <t>No</t>
        </is>
      </c>
      <c r="I70" s="26" t="inlineStr">
        <is>
          <t>Good finish</t>
        </is>
      </c>
      <c r="J70" s="26" t="inlineStr">
        <is>
          <t>Yes</t>
        </is>
      </c>
      <c r="K70" s="27" t="n"/>
      <c r="L70" s="28" t="inlineStr">
        <is>
          <t>No</t>
        </is>
      </c>
      <c r="M70" s="29">
        <f>IF(E70="","",IF(H70="Yes","❌ Disc",IF(G70="No","⚠ Missing",IF(J70="Yes","✓ OK","⚠ Check"))))</f>
        <v/>
      </c>
      <c r="N70" s="43" t="n">
        <v>46196</v>
      </c>
      <c r="O70" s="26" t="inlineStr">
        <is>
          <t>Sunil CR</t>
        </is>
      </c>
      <c r="P70" s="26" t="inlineStr">
        <is>
          <t>Yes</t>
        </is>
      </c>
      <c r="Q70" s="26" t="inlineStr">
        <is>
          <t>No</t>
        </is>
      </c>
      <c r="R70" s="26" t="inlineStr">
        <is>
          <t>Good finish</t>
        </is>
      </c>
      <c r="S70" s="26" t="inlineStr">
        <is>
          <t>Yes</t>
        </is>
      </c>
      <c r="T70" s="27" t="n"/>
      <c r="U70" s="28" t="inlineStr">
        <is>
          <t>No</t>
        </is>
      </c>
      <c r="V70" s="29">
        <f>IF(N70="","",IF(Q70="Yes","❌ Disc",IF(P70="No","⚠ Missing",IF(S70="Yes","✓ OK","⚠ Check"))))</f>
        <v/>
      </c>
      <c r="W70" s="65" t="n">
        <v>46248</v>
      </c>
      <c r="X70" s="30" t="inlineStr">
        <is>
          <t>Sunil CR</t>
        </is>
      </c>
      <c r="Y70" s="30" t="inlineStr">
        <is>
          <t>Yes</t>
        </is>
      </c>
      <c r="Z70" s="30" t="n"/>
      <c r="AA70" s="30" t="inlineStr">
        <is>
          <t>Good finish</t>
        </is>
      </c>
      <c r="AB70" s="30" t="inlineStr">
        <is>
          <t>Yes</t>
        </is>
      </c>
      <c r="AC70" s="27" t="n"/>
      <c r="AD70" s="31" t="inlineStr">
        <is>
          <t>No</t>
        </is>
      </c>
      <c r="AE70" s="32">
        <f>IF(W70="","",IF(Z70="Yes","❌ Disc",IF(Y70="No","⚠ Missing",IF(AB70="Yes","✓ OK","⚠ Check"))))</f>
        <v/>
      </c>
      <c r="AF70" s="33" t="n"/>
      <c r="AG70" s="33" t="n"/>
      <c r="AH70" s="33" t="n"/>
      <c r="AI70" s="33" t="n"/>
      <c r="AJ70" s="33" t="n"/>
      <c r="AK70" s="33" t="n"/>
      <c r="AL70" s="27" t="n"/>
      <c r="AM70" s="34" t="n"/>
      <c r="AN70" s="35">
        <f>IF(AF70="","",IF(AI70="Yes","❌ Disc",IF(AH70="No","⚠ Missing",IF(AK70="Yes","✓ OK","⚠ Check"))))</f>
        <v/>
      </c>
      <c r="AO70" s="36" t="n"/>
      <c r="AP70" s="36" t="n"/>
      <c r="AQ70" s="36" t="n"/>
      <c r="AR70" s="36" t="n"/>
      <c r="AS70" s="36" t="n"/>
      <c r="AT70" s="36" t="n"/>
      <c r="AU70" s="27" t="n"/>
      <c r="AV70" s="37" t="n"/>
      <c r="AW70" s="38">
        <f>IF(AO70="","",IF(AR70="Yes","❌ Disc",IF(AQ70="No","⚠ Missing",IF(AT70="Yes","✓ OK","⚠ Check"))))</f>
        <v/>
      </c>
    </row>
    <row r="71" ht="18" customHeight="1" s="46">
      <c r="A71" s="23" t="n">
        <v>67</v>
      </c>
      <c r="B71" s="24" t="inlineStr">
        <is>
          <t>BD-VRM-2024-2830</t>
        </is>
      </c>
      <c r="C71" s="25" t="inlineStr">
        <is>
          <t>Bonito Solid Surfaces Terra - MOON WHITE - 3100x1500x20mm (562.57.073)</t>
        </is>
      </c>
      <c r="D71" s="23" t="inlineStr">
        <is>
          <t>Hafele</t>
        </is>
      </c>
      <c r="E71" s="43" t="n">
        <v>46126</v>
      </c>
      <c r="F71" s="26" t="inlineStr">
        <is>
          <t>Sunil CR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Good finish</t>
        </is>
      </c>
      <c r="J71" s="26" t="inlineStr">
        <is>
          <t>Yes</t>
        </is>
      </c>
      <c r="K71" s="27" t="n"/>
      <c r="L71" s="28" t="inlineStr">
        <is>
          <t>No</t>
        </is>
      </c>
      <c r="M71" s="29">
        <f>IF(E71="","",IF(H71="Yes","❌ Disc",IF(G71="No","⚠ Missing",IF(J71="Yes","✓ OK","⚠ Check"))))</f>
        <v/>
      </c>
      <c r="N71" s="43" t="n">
        <v>46196</v>
      </c>
      <c r="O71" s="26" t="inlineStr">
        <is>
          <t>Sunil CR</t>
        </is>
      </c>
      <c r="P71" s="26" t="inlineStr">
        <is>
          <t>Yes</t>
        </is>
      </c>
      <c r="Q71" s="26" t="inlineStr">
        <is>
          <t>No</t>
        </is>
      </c>
      <c r="R71" s="26" t="inlineStr">
        <is>
          <t>Good finish</t>
        </is>
      </c>
      <c r="S71" s="26" t="inlineStr">
        <is>
          <t>Yes</t>
        </is>
      </c>
      <c r="T71" s="27" t="n"/>
      <c r="U71" s="28" t="inlineStr">
        <is>
          <t>No</t>
        </is>
      </c>
      <c r="V71" s="29">
        <f>IF(N71="","",IF(Q71="Yes","❌ Disc",IF(P71="No","⚠ Missing",IF(S71="Yes","✓ OK","⚠ Check"))))</f>
        <v/>
      </c>
      <c r="W71" s="65" t="n">
        <v>46248</v>
      </c>
      <c r="X71" s="30" t="inlineStr">
        <is>
          <t>Sunil CR</t>
        </is>
      </c>
      <c r="Y71" s="30" t="inlineStr">
        <is>
          <t>Yes</t>
        </is>
      </c>
      <c r="Z71" s="30" t="n"/>
      <c r="AA71" s="30" t="inlineStr">
        <is>
          <t>Good finish</t>
        </is>
      </c>
      <c r="AB71" s="30" t="inlineStr">
        <is>
          <t>Yes</t>
        </is>
      </c>
      <c r="AC71" s="27" t="n"/>
      <c r="AD71" s="31" t="inlineStr">
        <is>
          <t>No</t>
        </is>
      </c>
      <c r="AE71" s="32">
        <f>IF(W71="","",IF(Z71="Yes","❌ Disc",IF(Y71="No","⚠ Missing",IF(AB71="Yes","✓ OK","⚠ Check"))))</f>
        <v/>
      </c>
      <c r="AF71" s="33" t="n"/>
      <c r="AG71" s="33" t="n"/>
      <c r="AH71" s="33" t="n"/>
      <c r="AI71" s="33" t="n"/>
      <c r="AJ71" s="33" t="n"/>
      <c r="AK71" s="33" t="n"/>
      <c r="AL71" s="27" t="n"/>
      <c r="AM71" s="34" t="n"/>
      <c r="AN71" s="35">
        <f>IF(AF71="","",IF(AI71="Yes","❌ Disc",IF(AH71="No","⚠ Missing",IF(AK71="Yes","✓ OK","⚠ Check"))))</f>
        <v/>
      </c>
      <c r="AO71" s="36" t="n"/>
      <c r="AP71" s="36" t="n"/>
      <c r="AQ71" s="36" t="n"/>
      <c r="AR71" s="36" t="n"/>
      <c r="AS71" s="36" t="n"/>
      <c r="AT71" s="36" t="n"/>
      <c r="AU71" s="27" t="n"/>
      <c r="AV71" s="37" t="n"/>
      <c r="AW71" s="38">
        <f>IF(AO71="","",IF(AR71="Yes","❌ Disc",IF(AQ71="No","⚠ Missing",IF(AT71="Yes","✓ OK","⚠ Check"))))</f>
        <v/>
      </c>
    </row>
    <row r="72" ht="18" customHeight="1" s="46">
      <c r="A72" s="39" t="n">
        <v>68</v>
      </c>
      <c r="B72" s="40" t="inlineStr">
        <is>
          <t>BD-VRM-2024-2845</t>
        </is>
      </c>
      <c r="C72" s="41" t="inlineStr">
        <is>
          <t>Bonito Solid Surfaces Terra - NEBULA WHITE - 3100x1520x20mm (562.57.083)</t>
        </is>
      </c>
      <c r="D72" s="39" t="inlineStr">
        <is>
          <t>Hafele</t>
        </is>
      </c>
      <c r="E72" s="43" t="n">
        <v>46126</v>
      </c>
      <c r="F72" s="26" t="inlineStr">
        <is>
          <t>Sunil CR</t>
        </is>
      </c>
      <c r="G72" s="26" t="inlineStr">
        <is>
          <t>Yes</t>
        </is>
      </c>
      <c r="H72" s="26" t="inlineStr">
        <is>
          <t>No</t>
        </is>
      </c>
      <c r="I72" s="26" t="inlineStr">
        <is>
          <t>Good finish</t>
        </is>
      </c>
      <c r="J72" s="26" t="inlineStr">
        <is>
          <t>Yes</t>
        </is>
      </c>
      <c r="K72" s="27" t="n"/>
      <c r="L72" s="28" t="inlineStr">
        <is>
          <t>No</t>
        </is>
      </c>
      <c r="M72" s="29">
        <f>IF(E72="","",IF(H72="Yes","❌ Disc",IF(G72="No","⚠ Missing",IF(J72="Yes","✓ OK","⚠ Check"))))</f>
        <v/>
      </c>
      <c r="N72" s="43" t="n">
        <v>46196</v>
      </c>
      <c r="O72" s="26" t="inlineStr">
        <is>
          <t>Sunil CR</t>
        </is>
      </c>
      <c r="P72" s="26" t="inlineStr">
        <is>
          <t>Yes</t>
        </is>
      </c>
      <c r="Q72" s="26" t="inlineStr">
        <is>
          <t>No</t>
        </is>
      </c>
      <c r="R72" s="26" t="inlineStr">
        <is>
          <t>Good finish</t>
        </is>
      </c>
      <c r="S72" s="26" t="inlineStr">
        <is>
          <t>Yes</t>
        </is>
      </c>
      <c r="T72" s="27" t="n"/>
      <c r="U72" s="28" t="inlineStr">
        <is>
          <t>No</t>
        </is>
      </c>
      <c r="V72" s="29">
        <f>IF(N72="","",IF(Q72="Yes","❌ Disc",IF(P72="No","⚠ Missing",IF(S72="Yes","✓ OK","⚠ Check"))))</f>
        <v/>
      </c>
      <c r="W72" s="65" t="n">
        <v>46248</v>
      </c>
      <c r="X72" s="30" t="inlineStr">
        <is>
          <t>Sunil CR</t>
        </is>
      </c>
      <c r="Y72" s="30" t="inlineStr">
        <is>
          <t>Yes</t>
        </is>
      </c>
      <c r="Z72" s="30" t="n"/>
      <c r="AA72" s="30" t="inlineStr">
        <is>
          <t>Good finish</t>
        </is>
      </c>
      <c r="AB72" s="30" t="inlineStr">
        <is>
          <t>Yes</t>
        </is>
      </c>
      <c r="AC72" s="27" t="n"/>
      <c r="AD72" s="31" t="inlineStr">
        <is>
          <t>No</t>
        </is>
      </c>
      <c r="AE72" s="32">
        <f>IF(W72="","",IF(Z72="Yes","❌ Disc",IF(Y72="No","⚠ Missing",IF(AB72="Yes","✓ OK","⚠ Check"))))</f>
        <v/>
      </c>
      <c r="AF72" s="33" t="n"/>
      <c r="AG72" s="33" t="n"/>
      <c r="AH72" s="33" t="n"/>
      <c r="AI72" s="33" t="n"/>
      <c r="AJ72" s="33" t="n"/>
      <c r="AK72" s="33" t="n"/>
      <c r="AL72" s="27" t="n"/>
      <c r="AM72" s="34" t="n"/>
      <c r="AN72" s="35">
        <f>IF(AF72="","",IF(AI72="Yes","❌ Disc",IF(AH72="No","⚠ Missing",IF(AK72="Yes","✓ OK","⚠ Check"))))</f>
        <v/>
      </c>
      <c r="AO72" s="36" t="n"/>
      <c r="AP72" s="36" t="n"/>
      <c r="AQ72" s="36" t="n"/>
      <c r="AR72" s="36" t="n"/>
      <c r="AS72" s="36" t="n"/>
      <c r="AT72" s="36" t="n"/>
      <c r="AU72" s="27" t="n"/>
      <c r="AV72" s="37" t="n"/>
      <c r="AW72" s="38">
        <f>IF(AO72="","",IF(AR72="Yes","❌ Disc",IF(AQ72="No","⚠ Missing",IF(AT72="Yes","✓ OK","⚠ Check"))))</f>
        <v/>
      </c>
    </row>
    <row r="73" ht="18" customHeight="1" s="46">
      <c r="A73" s="23" t="n">
        <v>69</v>
      </c>
      <c r="B73" s="24" t="inlineStr">
        <is>
          <t>BD-VRM-2024-2846</t>
        </is>
      </c>
      <c r="C73" s="25" t="inlineStr">
        <is>
          <t>Bonito Solid Surfaces Terra - OLYMPIA GOLD - 3030x1430x20mm (564.42.083)</t>
        </is>
      </c>
      <c r="D73" s="23" t="inlineStr">
        <is>
          <t>Hafele</t>
        </is>
      </c>
      <c r="E73" s="43" t="n">
        <v>46126</v>
      </c>
      <c r="F73" s="26" t="inlineStr">
        <is>
          <t>Sunil CR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Good finish</t>
        </is>
      </c>
      <c r="J73" s="26" t="inlineStr">
        <is>
          <t>Yes</t>
        </is>
      </c>
      <c r="K73" s="27" t="n"/>
      <c r="L73" s="28" t="inlineStr">
        <is>
          <t>No</t>
        </is>
      </c>
      <c r="M73" s="29">
        <f>IF(E73="","",IF(H73="Yes","❌ Disc",IF(G73="No","⚠ Missing",IF(J73="Yes","✓ OK","⚠ Check"))))</f>
        <v/>
      </c>
      <c r="N73" s="43" t="n">
        <v>46196</v>
      </c>
      <c r="O73" s="26" t="inlineStr">
        <is>
          <t>Sunil CR</t>
        </is>
      </c>
      <c r="P73" s="26" t="inlineStr">
        <is>
          <t>Yes</t>
        </is>
      </c>
      <c r="Q73" s="26" t="inlineStr">
        <is>
          <t>No</t>
        </is>
      </c>
      <c r="R73" s="26" t="inlineStr">
        <is>
          <t>Good finish</t>
        </is>
      </c>
      <c r="S73" s="26" t="inlineStr">
        <is>
          <t>Yes</t>
        </is>
      </c>
      <c r="T73" s="27" t="n"/>
      <c r="U73" s="28" t="inlineStr">
        <is>
          <t>No</t>
        </is>
      </c>
      <c r="V73" s="29">
        <f>IF(N73="","",IF(Q73="Yes","❌ Disc",IF(P73="No","⚠ Missing",IF(S73="Yes","✓ OK","⚠ Check"))))</f>
        <v/>
      </c>
      <c r="W73" s="65" t="n">
        <v>46248</v>
      </c>
      <c r="X73" s="30" t="inlineStr">
        <is>
          <t>Sunil CR</t>
        </is>
      </c>
      <c r="Y73" s="30" t="inlineStr">
        <is>
          <t>Yes</t>
        </is>
      </c>
      <c r="Z73" s="30" t="n"/>
      <c r="AA73" s="30" t="inlineStr">
        <is>
          <t>Good finish</t>
        </is>
      </c>
      <c r="AB73" s="30" t="inlineStr">
        <is>
          <t>Yes</t>
        </is>
      </c>
      <c r="AC73" s="27" t="n"/>
      <c r="AD73" s="31" t="inlineStr">
        <is>
          <t>No</t>
        </is>
      </c>
      <c r="AE73" s="32">
        <f>IF(W73="","",IF(Z73="Yes","❌ Disc",IF(Y73="No","⚠ Missing",IF(AB73="Yes","✓ OK","⚠ Check"))))</f>
        <v/>
      </c>
      <c r="AF73" s="33" t="n"/>
      <c r="AG73" s="33" t="n"/>
      <c r="AH73" s="33" t="n"/>
      <c r="AI73" s="33" t="n"/>
      <c r="AJ73" s="33" t="n"/>
      <c r="AK73" s="33" t="n"/>
      <c r="AL73" s="27" t="n"/>
      <c r="AM73" s="34" t="n"/>
      <c r="AN73" s="35">
        <f>IF(AF73="","",IF(AI73="Yes","❌ Disc",IF(AH73="No","⚠ Missing",IF(AK73="Yes","✓ OK","⚠ Check"))))</f>
        <v/>
      </c>
      <c r="AO73" s="36" t="n"/>
      <c r="AP73" s="36" t="n"/>
      <c r="AQ73" s="36" t="n"/>
      <c r="AR73" s="36" t="n"/>
      <c r="AS73" s="36" t="n"/>
      <c r="AT73" s="36" t="n"/>
      <c r="AU73" s="27" t="n"/>
      <c r="AV73" s="37" t="n"/>
      <c r="AW73" s="38">
        <f>IF(AO73="","",IF(AR73="Yes","❌ Disc",IF(AQ73="No","⚠ Missing",IF(AT73="Yes","✓ OK","⚠ Check"))))</f>
        <v/>
      </c>
    </row>
    <row r="74" ht="18" customHeight="1" s="46">
      <c r="A74" s="39" t="n">
        <v>70</v>
      </c>
      <c r="B74" s="40" t="inlineStr">
        <is>
          <t>BD-VRM-2024-2828</t>
        </is>
      </c>
      <c r="C74" s="41" t="inlineStr">
        <is>
          <t>Bonito Solid Surfaces Terra - PEBBLE - 3030x1430x20mm (564.42.093)</t>
        </is>
      </c>
      <c r="D74" s="39" t="inlineStr">
        <is>
          <t>Hafele</t>
        </is>
      </c>
      <c r="E74" s="43" t="n">
        <v>46126</v>
      </c>
      <c r="F74" s="26" t="inlineStr">
        <is>
          <t>Sunil CR</t>
        </is>
      </c>
      <c r="G74" s="26" t="inlineStr">
        <is>
          <t>Yes</t>
        </is>
      </c>
      <c r="H74" s="26" t="inlineStr">
        <is>
          <t>No</t>
        </is>
      </c>
      <c r="I74" s="26" t="inlineStr">
        <is>
          <t>Good finish</t>
        </is>
      </c>
      <c r="J74" s="26" t="inlineStr">
        <is>
          <t>Yes</t>
        </is>
      </c>
      <c r="K74" s="27" t="n"/>
      <c r="L74" s="28" t="inlineStr">
        <is>
          <t>No</t>
        </is>
      </c>
      <c r="M74" s="29">
        <f>IF(E74="","",IF(H74="Yes","❌ Disc",IF(G74="No","⚠ Missing",IF(J74="Yes","✓ OK","⚠ Check"))))</f>
        <v/>
      </c>
      <c r="N74" s="43" t="n">
        <v>46196</v>
      </c>
      <c r="O74" s="26" t="inlineStr">
        <is>
          <t>Sunil CR</t>
        </is>
      </c>
      <c r="P74" s="26" t="inlineStr">
        <is>
          <t>Yes</t>
        </is>
      </c>
      <c r="Q74" s="26" t="inlineStr">
        <is>
          <t>No</t>
        </is>
      </c>
      <c r="R74" s="26" t="inlineStr">
        <is>
          <t>Good finish</t>
        </is>
      </c>
      <c r="S74" s="26" t="inlineStr">
        <is>
          <t>Yes</t>
        </is>
      </c>
      <c r="T74" s="27" t="n"/>
      <c r="U74" s="28" t="inlineStr">
        <is>
          <t>No</t>
        </is>
      </c>
      <c r="V74" s="29">
        <f>IF(N74="","",IF(Q74="Yes","❌ Disc",IF(P74="No","⚠ Missing",IF(S74="Yes","✓ OK","⚠ Check"))))</f>
        <v/>
      </c>
      <c r="W74" s="65" t="n">
        <v>46248</v>
      </c>
      <c r="X74" s="30" t="inlineStr">
        <is>
          <t>Sunil CR</t>
        </is>
      </c>
      <c r="Y74" s="30" t="inlineStr">
        <is>
          <t>Yes</t>
        </is>
      </c>
      <c r="Z74" s="30" t="n"/>
      <c r="AA74" s="30" t="inlineStr">
        <is>
          <t>Good finish</t>
        </is>
      </c>
      <c r="AB74" s="30" t="inlineStr">
        <is>
          <t>Yes</t>
        </is>
      </c>
      <c r="AC74" s="27" t="n"/>
      <c r="AD74" s="31" t="inlineStr">
        <is>
          <t>No</t>
        </is>
      </c>
      <c r="AE74" s="32">
        <f>IF(W74="","",IF(Z74="Yes","❌ Disc",IF(Y74="No","⚠ Missing",IF(AB74="Yes","✓ OK","⚠ Check"))))</f>
        <v/>
      </c>
      <c r="AF74" s="33" t="n"/>
      <c r="AG74" s="33" t="n"/>
      <c r="AH74" s="33" t="n"/>
      <c r="AI74" s="33" t="n"/>
      <c r="AJ74" s="33" t="n"/>
      <c r="AK74" s="33" t="n"/>
      <c r="AL74" s="27" t="n"/>
      <c r="AM74" s="34" t="n"/>
      <c r="AN74" s="35">
        <f>IF(AF74="","",IF(AI74="Yes","❌ Disc",IF(AH74="No","⚠ Missing",IF(AK74="Yes","✓ OK","⚠ Check"))))</f>
        <v/>
      </c>
      <c r="AO74" s="36" t="n"/>
      <c r="AP74" s="36" t="n"/>
      <c r="AQ74" s="36" t="n"/>
      <c r="AR74" s="36" t="n"/>
      <c r="AS74" s="36" t="n"/>
      <c r="AT74" s="36" t="n"/>
      <c r="AU74" s="27" t="n"/>
      <c r="AV74" s="37" t="n"/>
      <c r="AW74" s="38">
        <f>IF(AO74="","",IF(AR74="Yes","❌ Disc",IF(AQ74="No","⚠ Missing",IF(AT74="Yes","✓ OK","⚠ Check"))))</f>
        <v/>
      </c>
    </row>
    <row r="75" ht="18" customHeight="1" s="46">
      <c r="A75" s="23" t="n">
        <v>71</v>
      </c>
      <c r="B75" s="24" t="inlineStr">
        <is>
          <t>BD-VRM-2024-2827</t>
        </is>
      </c>
      <c r="C75" s="25" t="inlineStr">
        <is>
          <t>Bonito Solid Surfaces Terra - SNOWFLAKE - 3030x1430x20mm (564.42.103)</t>
        </is>
      </c>
      <c r="D75" s="23" t="inlineStr">
        <is>
          <t>Hafele</t>
        </is>
      </c>
      <c r="E75" s="43" t="n">
        <v>46126</v>
      </c>
      <c r="F75" s="26" t="inlineStr">
        <is>
          <t>Sunil CR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Good finish</t>
        </is>
      </c>
      <c r="J75" s="26" t="inlineStr">
        <is>
          <t>Yes</t>
        </is>
      </c>
      <c r="K75" s="27" t="n"/>
      <c r="L75" s="28" t="inlineStr">
        <is>
          <t>No</t>
        </is>
      </c>
      <c r="M75" s="29">
        <f>IF(E75="","",IF(H75="Yes","❌ Disc",IF(G75="No","⚠ Missing",IF(J75="Yes","✓ OK","⚠ Check"))))</f>
        <v/>
      </c>
      <c r="N75" s="43" t="n">
        <v>46196</v>
      </c>
      <c r="O75" s="26" t="inlineStr">
        <is>
          <t>Sunil CR</t>
        </is>
      </c>
      <c r="P75" s="26" t="inlineStr">
        <is>
          <t>Yes</t>
        </is>
      </c>
      <c r="Q75" s="26" t="inlineStr">
        <is>
          <t>No</t>
        </is>
      </c>
      <c r="R75" s="26" t="inlineStr">
        <is>
          <t>Good finish</t>
        </is>
      </c>
      <c r="S75" s="26" t="inlineStr">
        <is>
          <t>Yes</t>
        </is>
      </c>
      <c r="T75" s="27" t="n"/>
      <c r="U75" s="28" t="inlineStr">
        <is>
          <t>No</t>
        </is>
      </c>
      <c r="V75" s="29">
        <f>IF(N75="","",IF(Q75="Yes","❌ Disc",IF(P75="No","⚠ Missing",IF(S75="Yes","✓ OK","⚠ Check"))))</f>
        <v/>
      </c>
      <c r="W75" s="65" t="n">
        <v>46248</v>
      </c>
      <c r="X75" s="30" t="inlineStr">
        <is>
          <t>Sunil CR</t>
        </is>
      </c>
      <c r="Y75" s="30" t="inlineStr">
        <is>
          <t>Yes</t>
        </is>
      </c>
      <c r="Z75" s="30" t="n"/>
      <c r="AA75" s="30" t="inlineStr">
        <is>
          <t>Good finish</t>
        </is>
      </c>
      <c r="AB75" s="30" t="inlineStr">
        <is>
          <t>Yes</t>
        </is>
      </c>
      <c r="AC75" s="27" t="n"/>
      <c r="AD75" s="31" t="inlineStr">
        <is>
          <t>No</t>
        </is>
      </c>
      <c r="AE75" s="32">
        <f>IF(W75="","",IF(Z75="Yes","❌ Disc",IF(Y75="No","⚠ Missing",IF(AB75="Yes","✓ OK","⚠ Check"))))</f>
        <v/>
      </c>
      <c r="AF75" s="33" t="n"/>
      <c r="AG75" s="33" t="n"/>
      <c r="AH75" s="33" t="n"/>
      <c r="AI75" s="33" t="n"/>
      <c r="AJ75" s="33" t="n"/>
      <c r="AK75" s="33" t="n"/>
      <c r="AL75" s="27" t="n"/>
      <c r="AM75" s="34" t="n"/>
      <c r="AN75" s="35">
        <f>IF(AF75="","",IF(AI75="Yes","❌ Disc",IF(AH75="No","⚠ Missing",IF(AK75="Yes","✓ OK","⚠ Check"))))</f>
        <v/>
      </c>
      <c r="AO75" s="36" t="n"/>
      <c r="AP75" s="36" t="n"/>
      <c r="AQ75" s="36" t="n"/>
      <c r="AR75" s="36" t="n"/>
      <c r="AS75" s="36" t="n"/>
      <c r="AT75" s="36" t="n"/>
      <c r="AU75" s="27" t="n"/>
      <c r="AV75" s="37" t="n"/>
      <c r="AW75" s="38">
        <f>IF(AO75="","",IF(AR75="Yes","❌ Disc",IF(AQ75="No","⚠ Missing",IF(AT75="Yes","✓ OK","⚠ Check"))))</f>
        <v/>
      </c>
    </row>
    <row r="76" ht="18" customHeight="1" s="46">
      <c r="A76" s="39" t="n">
        <v>72</v>
      </c>
      <c r="B76" s="40" t="inlineStr">
        <is>
          <t>BD-VRM-2024-2833</t>
        </is>
      </c>
      <c r="C76" s="41" t="inlineStr">
        <is>
          <t>Bonito Solid Surfaces Terra - STONICA - 3030x1430x20mm (564.42.053)</t>
        </is>
      </c>
      <c r="D76" s="39" t="inlineStr">
        <is>
          <t>Hafele</t>
        </is>
      </c>
      <c r="E76" s="43" t="n">
        <v>46126</v>
      </c>
      <c r="F76" s="26" t="inlineStr">
        <is>
          <t>Sunil CR</t>
        </is>
      </c>
      <c r="G76" s="26" t="inlineStr">
        <is>
          <t>Yes</t>
        </is>
      </c>
      <c r="H76" s="26" t="inlineStr">
        <is>
          <t>No</t>
        </is>
      </c>
      <c r="I76" s="26" t="inlineStr">
        <is>
          <t>Good finish</t>
        </is>
      </c>
      <c r="J76" s="26" t="inlineStr">
        <is>
          <t>Yes</t>
        </is>
      </c>
      <c r="K76" s="27" t="n"/>
      <c r="L76" s="28" t="inlineStr">
        <is>
          <t>No</t>
        </is>
      </c>
      <c r="M76" s="29">
        <f>IF(E76="","",IF(H76="Yes","❌ Disc",IF(G76="No","⚠ Missing",IF(J76="Yes","✓ OK","⚠ Check"))))</f>
        <v/>
      </c>
      <c r="N76" s="43" t="n">
        <v>46196</v>
      </c>
      <c r="O76" s="26" t="inlineStr">
        <is>
          <t>Sunil CR</t>
        </is>
      </c>
      <c r="P76" s="26" t="inlineStr">
        <is>
          <t>Yes</t>
        </is>
      </c>
      <c r="Q76" s="26" t="inlineStr">
        <is>
          <t>No</t>
        </is>
      </c>
      <c r="R76" s="26" t="inlineStr">
        <is>
          <t>Good finish</t>
        </is>
      </c>
      <c r="S76" s="26" t="inlineStr">
        <is>
          <t>Yes</t>
        </is>
      </c>
      <c r="T76" s="27" t="n"/>
      <c r="U76" s="28" t="inlineStr">
        <is>
          <t>No</t>
        </is>
      </c>
      <c r="V76" s="29">
        <f>IF(N76="","",IF(Q76="Yes","❌ Disc",IF(P76="No","⚠ Missing",IF(S76="Yes","✓ OK","⚠ Check"))))</f>
        <v/>
      </c>
      <c r="W76" s="65" t="n">
        <v>46248</v>
      </c>
      <c r="X76" s="30" t="inlineStr">
        <is>
          <t>Sunil CR</t>
        </is>
      </c>
      <c r="Y76" s="30" t="inlineStr">
        <is>
          <t>Yes</t>
        </is>
      </c>
      <c r="Z76" s="30" t="n"/>
      <c r="AA76" s="30" t="inlineStr">
        <is>
          <t>Good finish</t>
        </is>
      </c>
      <c r="AB76" s="30" t="inlineStr">
        <is>
          <t>Yes</t>
        </is>
      </c>
      <c r="AC76" s="27" t="n"/>
      <c r="AD76" s="31" t="inlineStr">
        <is>
          <t>No</t>
        </is>
      </c>
      <c r="AE76" s="32">
        <f>IF(W76="","",IF(Z76="Yes","❌ Disc",IF(Y76="No","⚠ Missing",IF(AB76="Yes","✓ OK","⚠ Check"))))</f>
        <v/>
      </c>
      <c r="AF76" s="33" t="n"/>
      <c r="AG76" s="33" t="n"/>
      <c r="AH76" s="33" t="n"/>
      <c r="AI76" s="33" t="n"/>
      <c r="AJ76" s="33" t="n"/>
      <c r="AK76" s="33" t="n"/>
      <c r="AL76" s="27" t="n"/>
      <c r="AM76" s="34" t="n"/>
      <c r="AN76" s="35">
        <f>IF(AF76="","",IF(AI76="Yes","❌ Disc",IF(AH76="No","⚠ Missing",IF(AK76="Yes","✓ OK","⚠ Check"))))</f>
        <v/>
      </c>
      <c r="AO76" s="36" t="n"/>
      <c r="AP76" s="36" t="n"/>
      <c r="AQ76" s="36" t="n"/>
      <c r="AR76" s="36" t="n"/>
      <c r="AS76" s="36" t="n"/>
      <c r="AT76" s="36" t="n"/>
      <c r="AU76" s="27" t="n"/>
      <c r="AV76" s="37" t="n"/>
      <c r="AW76" s="38">
        <f>IF(AO76="","",IF(AR76="Yes","❌ Disc",IF(AQ76="No","⚠ Missing",IF(AT76="Yes","✓ OK","⚠ Check"))))</f>
        <v/>
      </c>
    </row>
    <row r="77" ht="18" customHeight="1" s="46">
      <c r="A77" s="23" t="n">
        <v>73</v>
      </c>
      <c r="B77" s="24" t="inlineStr">
        <is>
          <t>BD-VRM-2024-2838</t>
        </is>
      </c>
      <c r="C77" s="25" t="inlineStr">
        <is>
          <t>Bonito Solid Surfaces Terra - VENA ORO - 3030x1430x20mm (564.42.023)</t>
        </is>
      </c>
      <c r="D77" s="23" t="inlineStr">
        <is>
          <t>Hafele</t>
        </is>
      </c>
      <c r="E77" s="43" t="n">
        <v>46126</v>
      </c>
      <c r="F77" s="26" t="inlineStr">
        <is>
          <t>Sunil CR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Good finish</t>
        </is>
      </c>
      <c r="J77" s="26" t="inlineStr">
        <is>
          <t>Yes</t>
        </is>
      </c>
      <c r="K77" s="27" t="n"/>
      <c r="L77" s="28" t="inlineStr">
        <is>
          <t>No</t>
        </is>
      </c>
      <c r="M77" s="29">
        <f>IF(E77="","",IF(H77="Yes","❌ Disc",IF(G77="No","⚠ Missing",IF(J77="Yes","✓ OK","⚠ Check"))))</f>
        <v/>
      </c>
      <c r="N77" s="43" t="n">
        <v>46196</v>
      </c>
      <c r="O77" s="26" t="inlineStr">
        <is>
          <t>Sunil CR</t>
        </is>
      </c>
      <c r="P77" s="26" t="inlineStr">
        <is>
          <t>Yes</t>
        </is>
      </c>
      <c r="Q77" s="26" t="inlineStr">
        <is>
          <t>No</t>
        </is>
      </c>
      <c r="R77" s="26" t="inlineStr">
        <is>
          <t>Good finish</t>
        </is>
      </c>
      <c r="S77" s="26" t="inlineStr">
        <is>
          <t>Yes</t>
        </is>
      </c>
      <c r="T77" s="27" t="n"/>
      <c r="U77" s="28" t="inlineStr">
        <is>
          <t>No</t>
        </is>
      </c>
      <c r="V77" s="29">
        <f>IF(N77="","",IF(Q77="Yes","❌ Disc",IF(P77="No","⚠ Missing",IF(S77="Yes","✓ OK","⚠ Check"))))</f>
        <v/>
      </c>
      <c r="W77" s="65" t="n">
        <v>46248</v>
      </c>
      <c r="X77" s="30" t="inlineStr">
        <is>
          <t>Sunil CR</t>
        </is>
      </c>
      <c r="Y77" s="30" t="inlineStr">
        <is>
          <t>Yes</t>
        </is>
      </c>
      <c r="Z77" s="30" t="n"/>
      <c r="AA77" s="30" t="inlineStr">
        <is>
          <t>Good finish</t>
        </is>
      </c>
      <c r="AB77" s="30" t="inlineStr">
        <is>
          <t>Yes</t>
        </is>
      </c>
      <c r="AC77" s="27" t="n"/>
      <c r="AD77" s="31" t="inlineStr">
        <is>
          <t>No</t>
        </is>
      </c>
      <c r="AE77" s="32">
        <f>IF(W77="","",IF(Z77="Yes","❌ Disc",IF(Y77="No","⚠ Missing",IF(AB77="Yes","✓ OK","⚠ Check"))))</f>
        <v/>
      </c>
      <c r="AF77" s="33" t="n"/>
      <c r="AG77" s="33" t="n"/>
      <c r="AH77" s="33" t="n"/>
      <c r="AI77" s="33" t="n"/>
      <c r="AJ77" s="33" t="n"/>
      <c r="AK77" s="33" t="n"/>
      <c r="AL77" s="27" t="n"/>
      <c r="AM77" s="34" t="n"/>
      <c r="AN77" s="35">
        <f>IF(AF77="","",IF(AI77="Yes","❌ Disc",IF(AH77="No","⚠ Missing",IF(AK77="Yes","✓ OK","⚠ Check"))))</f>
        <v/>
      </c>
      <c r="AO77" s="36" t="n"/>
      <c r="AP77" s="36" t="n"/>
      <c r="AQ77" s="36" t="n"/>
      <c r="AR77" s="36" t="n"/>
      <c r="AS77" s="36" t="n"/>
      <c r="AT77" s="36" t="n"/>
      <c r="AU77" s="27" t="n"/>
      <c r="AV77" s="37" t="n"/>
      <c r="AW77" s="38">
        <f>IF(AO77="","",IF(AR77="Yes","❌ Disc",IF(AQ77="No","⚠ Missing",IF(AT77="Yes","✓ OK","⚠ Check"))))</f>
        <v/>
      </c>
    </row>
    <row r="78">
      <c r="A78" t="n">
        <v>74</v>
      </c>
      <c r="B78" t="inlineStr">
        <is>
          <t>CT QTZ CON04 GF</t>
        </is>
      </c>
      <c r="C78" t="inlineStr">
        <is>
          <t>Quartz Kalinga  Grey Fjordo CONCORD 04</t>
        </is>
      </c>
      <c r="D78" t="inlineStr">
        <is>
          <t>Kalinga Stone</t>
        </is>
      </c>
      <c r="E78" s="43" t="n">
        <v>46126</v>
      </c>
      <c r="F78" s="26" t="inlineStr">
        <is>
          <t>Sunil CR</t>
        </is>
      </c>
      <c r="G78" s="26" t="inlineStr">
        <is>
          <t>Yes</t>
        </is>
      </c>
      <c r="H78" s="26" t="inlineStr">
        <is>
          <t>No</t>
        </is>
      </c>
      <c r="I78" s="26" t="inlineStr">
        <is>
          <t>Good finish</t>
        </is>
      </c>
      <c r="J78" s="26" t="inlineStr">
        <is>
          <t>Yes</t>
        </is>
      </c>
      <c r="K78" s="27" t="n"/>
      <c r="L78" s="28" t="inlineStr">
        <is>
          <t>No</t>
        </is>
      </c>
      <c r="M78" s="29">
        <f>IF(E78="","",IF(H78="Yes","❌ Disc",IF(G78="No","⚠ Missing",IF(J78="Yes","✓ OK","⚠ Check"))))</f>
        <v/>
      </c>
      <c r="N78" s="43" t="n">
        <v>46196</v>
      </c>
      <c r="O78" s="26" t="inlineStr">
        <is>
          <t>Sunil CR</t>
        </is>
      </c>
      <c r="P78" s="26" t="inlineStr">
        <is>
          <t>Yes</t>
        </is>
      </c>
      <c r="Q78" s="26" t="inlineStr">
        <is>
          <t>No</t>
        </is>
      </c>
      <c r="R78" s="26" t="inlineStr">
        <is>
          <t>Good finish</t>
        </is>
      </c>
      <c r="S78" s="26" t="inlineStr">
        <is>
          <t>Yes</t>
        </is>
      </c>
      <c r="T78" s="27" t="n"/>
      <c r="U78" s="28" t="inlineStr">
        <is>
          <t>No</t>
        </is>
      </c>
      <c r="V78" s="29">
        <f>IF(N78="","",IF(Q78="Yes","❌ Disc",IF(P78="No","⚠ Missing",IF(S78="Yes","✓ OK","⚠ Check"))))</f>
        <v/>
      </c>
      <c r="W78" s="65" t="n">
        <v>46248</v>
      </c>
      <c r="X78" s="30" t="inlineStr">
        <is>
          <t>Sunil CR</t>
        </is>
      </c>
      <c r="Y78" s="30" t="inlineStr">
        <is>
          <t>Yes</t>
        </is>
      </c>
      <c r="Z78" s="30" t="n"/>
      <c r="AA78" s="30" t="inlineStr">
        <is>
          <t>Good finish</t>
        </is>
      </c>
      <c r="AB78" s="30" t="inlineStr">
        <is>
          <t>Yes</t>
        </is>
      </c>
      <c r="AC78" s="27" t="n"/>
      <c r="AD78" s="31" t="inlineStr">
        <is>
          <t>No</t>
        </is>
      </c>
      <c r="AE78" s="32">
        <f>IF(W78="","",IF(Z78="Yes","❌ Disc",IF(Y78="No","⚠ Missing",IF(AB78="Yes","✓ OK","⚠ Check"))))</f>
        <v/>
      </c>
      <c r="AF78" s="33" t="n"/>
      <c r="AG78" s="33" t="n"/>
      <c r="AH78" s="33" t="n"/>
      <c r="AI78" s="33" t="n"/>
      <c r="AJ78" s="33" t="n"/>
      <c r="AK78" s="33" t="n"/>
      <c r="AL78" s="27" t="n"/>
      <c r="AM78" s="34" t="n"/>
      <c r="AN78" s="35">
        <f>IF(AF78="","",IF(AI78="Yes","❌ Disc",IF(AH78="No","⚠ Missing",IF(AK78="Yes","✓ OK","⚠ Check"))))</f>
        <v/>
      </c>
      <c r="AO78" s="36" t="n"/>
      <c r="AP78" s="36" t="n"/>
      <c r="AQ78" s="36" t="n"/>
      <c r="AR78" s="36" t="n"/>
      <c r="AS78" s="36" t="n"/>
      <c r="AT78" s="36" t="n"/>
      <c r="AU78" s="27" t="n"/>
      <c r="AV78" s="37" t="n"/>
      <c r="AW78" s="38">
        <f>IF(AO78="","",IF(AR78="Yes","❌ Disc",IF(AQ78="No","⚠ Missing",IF(AT78="Yes","✓ OK","⚠ Check"))))</f>
        <v/>
      </c>
    </row>
    <row r="79">
      <c r="A79" t="n">
        <v>75</v>
      </c>
      <c r="B79" t="inlineStr">
        <is>
          <t>CT QTZ NRT02 AG</t>
        </is>
      </c>
      <c r="C79" t="inlineStr">
        <is>
          <t>Quartz Kalinga Ash Grey NORTH 02</t>
        </is>
      </c>
      <c r="D79" t="inlineStr">
        <is>
          <t>Kalinga Stone</t>
        </is>
      </c>
      <c r="E79" s="43" t="n">
        <v>46126</v>
      </c>
      <c r="F79" s="26" t="inlineStr">
        <is>
          <t>Sunil CR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Good finish</t>
        </is>
      </c>
      <c r="J79" s="26" t="inlineStr">
        <is>
          <t>Yes</t>
        </is>
      </c>
      <c r="K79" s="27" t="n"/>
      <c r="L79" s="28" t="inlineStr">
        <is>
          <t>No</t>
        </is>
      </c>
      <c r="M79" s="29">
        <f>IF(E79="","",IF(H79="Yes","❌ Disc",IF(G79="No","⚠ Missing",IF(J79="Yes","✓ OK","⚠ Check"))))</f>
        <v/>
      </c>
      <c r="N79" s="43" t="n">
        <v>46196</v>
      </c>
      <c r="O79" s="26" t="inlineStr">
        <is>
          <t>Sunil CR</t>
        </is>
      </c>
      <c r="P79" s="26" t="inlineStr">
        <is>
          <t>Yes</t>
        </is>
      </c>
      <c r="Q79" s="26" t="inlineStr">
        <is>
          <t>No</t>
        </is>
      </c>
      <c r="R79" s="26" t="inlineStr">
        <is>
          <t>Good finish</t>
        </is>
      </c>
      <c r="S79" s="26" t="inlineStr">
        <is>
          <t>Yes</t>
        </is>
      </c>
      <c r="T79" s="27" t="n"/>
      <c r="U79" s="28" t="inlineStr">
        <is>
          <t>No</t>
        </is>
      </c>
      <c r="V79" s="29">
        <f>IF(N79="","",IF(Q79="Yes","❌ Disc",IF(P79="No","⚠ Missing",IF(S79="Yes","✓ OK","⚠ Check"))))</f>
        <v/>
      </c>
      <c r="W79" s="65" t="n">
        <v>46248</v>
      </c>
      <c r="X79" s="30" t="inlineStr">
        <is>
          <t>Sunil CR</t>
        </is>
      </c>
      <c r="Y79" s="30" t="inlineStr">
        <is>
          <t>Yes</t>
        </is>
      </c>
      <c r="Z79" s="30" t="n"/>
      <c r="AA79" s="30" t="inlineStr">
        <is>
          <t>Good finish</t>
        </is>
      </c>
      <c r="AB79" s="30" t="inlineStr">
        <is>
          <t>Yes</t>
        </is>
      </c>
      <c r="AC79" s="27" t="n"/>
      <c r="AD79" s="31" t="inlineStr">
        <is>
          <t>No</t>
        </is>
      </c>
      <c r="AE79" s="32">
        <f>IF(W79="","",IF(Z79="Yes","❌ Disc",IF(Y79="No","⚠ Missing",IF(AB79="Yes","✓ OK","⚠ Check"))))</f>
        <v/>
      </c>
      <c r="AF79" s="33" t="n"/>
      <c r="AG79" s="33" t="n"/>
      <c r="AH79" s="33" t="n"/>
      <c r="AI79" s="33" t="n"/>
      <c r="AJ79" s="33" t="n"/>
      <c r="AK79" s="33" t="n"/>
      <c r="AL79" s="27" t="n"/>
      <c r="AM79" s="34" t="n"/>
      <c r="AN79" s="35">
        <f>IF(AF79="","",IF(AI79="Yes","❌ Disc",IF(AH79="No","⚠ Missing",IF(AK79="Yes","✓ OK","⚠ Check"))))</f>
        <v/>
      </c>
      <c r="AO79" s="36" t="n"/>
      <c r="AP79" s="36" t="n"/>
      <c r="AQ79" s="36" t="n"/>
      <c r="AR79" s="36" t="n"/>
      <c r="AS79" s="36" t="n"/>
      <c r="AT79" s="36" t="n"/>
      <c r="AU79" s="27" t="n"/>
      <c r="AV79" s="37" t="n"/>
      <c r="AW79" s="38">
        <f>IF(AO79="","",IF(AR79="Yes","❌ Disc",IF(AQ79="No","⚠ Missing",IF(AT79="Yes","✓ OK","⚠ Check"))))</f>
        <v/>
      </c>
    </row>
    <row r="80">
      <c r="A80" t="n">
        <v>76</v>
      </c>
      <c r="B80" t="inlineStr">
        <is>
          <t>CT QTZ NRT02 BT</t>
        </is>
      </c>
      <c r="C80" t="inlineStr">
        <is>
          <t>Quartz Kalinga Beige Tuscany NORTH 02</t>
        </is>
      </c>
      <c r="D80" t="inlineStr">
        <is>
          <t>Kalinga Stone</t>
        </is>
      </c>
      <c r="E80" s="43" t="n">
        <v>46126</v>
      </c>
      <c r="F80" s="26" t="inlineStr">
        <is>
          <t>Sunil CR</t>
        </is>
      </c>
      <c r="G80" s="26" t="inlineStr">
        <is>
          <t>Yes</t>
        </is>
      </c>
      <c r="H80" s="26" t="inlineStr">
        <is>
          <t>No</t>
        </is>
      </c>
      <c r="I80" s="26" t="inlineStr">
        <is>
          <t>Good finish</t>
        </is>
      </c>
      <c r="J80" s="26" t="inlineStr">
        <is>
          <t>Yes</t>
        </is>
      </c>
      <c r="K80" s="27" t="n"/>
      <c r="L80" s="28" t="inlineStr">
        <is>
          <t>No</t>
        </is>
      </c>
      <c r="M80" s="29">
        <f>IF(E80="","",IF(H80="Yes","❌ Disc",IF(G80="No","⚠ Missing",IF(J80="Yes","✓ OK","⚠ Check"))))</f>
        <v/>
      </c>
      <c r="N80" s="43" t="n">
        <v>46196</v>
      </c>
      <c r="O80" s="26" t="inlineStr">
        <is>
          <t>Sunil CR</t>
        </is>
      </c>
      <c r="P80" s="26" t="inlineStr">
        <is>
          <t>Yes</t>
        </is>
      </c>
      <c r="Q80" s="26" t="inlineStr">
        <is>
          <t>No</t>
        </is>
      </c>
      <c r="R80" s="26" t="inlineStr">
        <is>
          <t>Good finish</t>
        </is>
      </c>
      <c r="S80" s="26" t="inlineStr">
        <is>
          <t>Yes</t>
        </is>
      </c>
      <c r="T80" s="27" t="n"/>
      <c r="U80" s="28" t="inlineStr">
        <is>
          <t>No</t>
        </is>
      </c>
      <c r="V80" s="29">
        <f>IF(N80="","",IF(Q80="Yes","❌ Disc",IF(P80="No","⚠ Missing",IF(S80="Yes","✓ OK","⚠ Check"))))</f>
        <v/>
      </c>
      <c r="W80" s="65" t="n">
        <v>46248</v>
      </c>
      <c r="X80" s="30" t="inlineStr">
        <is>
          <t>Sunil CR</t>
        </is>
      </c>
      <c r="Y80" s="30" t="inlineStr">
        <is>
          <t>Yes</t>
        </is>
      </c>
      <c r="Z80" s="30" t="n"/>
      <c r="AA80" s="30" t="inlineStr">
        <is>
          <t>Good finish</t>
        </is>
      </c>
      <c r="AB80" s="30" t="inlineStr">
        <is>
          <t>Yes</t>
        </is>
      </c>
      <c r="AC80" s="27" t="n"/>
      <c r="AD80" s="31" t="inlineStr">
        <is>
          <t>No</t>
        </is>
      </c>
      <c r="AE80" s="32">
        <f>IF(W80="","",IF(Z80="Yes","❌ Disc",IF(Y80="No","⚠ Missing",IF(AB80="Yes","✓ OK","⚠ Check"))))</f>
        <v/>
      </c>
      <c r="AF80" s="33" t="n"/>
      <c r="AG80" s="33" t="n"/>
      <c r="AH80" s="33" t="n"/>
      <c r="AI80" s="33" t="n"/>
      <c r="AJ80" s="33" t="n"/>
      <c r="AK80" s="33" t="n"/>
      <c r="AL80" s="27" t="n"/>
      <c r="AM80" s="34" t="n"/>
      <c r="AN80" s="35">
        <f>IF(AF80="","",IF(AI80="Yes","❌ Disc",IF(AH80="No","⚠ Missing",IF(AK80="Yes","✓ OK","⚠ Check"))))</f>
        <v/>
      </c>
      <c r="AO80" s="36" t="n"/>
      <c r="AP80" s="36" t="n"/>
      <c r="AQ80" s="36" t="n"/>
      <c r="AR80" s="36" t="n"/>
      <c r="AS80" s="36" t="n"/>
      <c r="AT80" s="36" t="n"/>
      <c r="AU80" s="27" t="n"/>
      <c r="AV80" s="37" t="n"/>
      <c r="AW80" s="38">
        <f>IF(AO80="","",IF(AR80="Yes","❌ Disc",IF(AQ80="No","⚠ Missing",IF(AT80="Yes","✓ OK","⚠ Check"))))</f>
        <v/>
      </c>
    </row>
    <row r="81">
      <c r="A81" t="n">
        <v>77</v>
      </c>
      <c r="B81" t="inlineStr">
        <is>
          <t>CT QTZ AMB05 BM</t>
        </is>
      </c>
      <c r="C81" t="inlineStr">
        <is>
          <t>Quartz Kalinga Bermingham AMBIENTE 05</t>
        </is>
      </c>
      <c r="D81" t="inlineStr">
        <is>
          <t>Kalinga Stone</t>
        </is>
      </c>
      <c r="E81" s="43" t="n">
        <v>46126</v>
      </c>
      <c r="F81" s="26" t="inlineStr">
        <is>
          <t>Sunil CR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Good finish</t>
        </is>
      </c>
      <c r="J81" s="26" t="inlineStr">
        <is>
          <t>Yes</t>
        </is>
      </c>
      <c r="K81" s="27" t="n"/>
      <c r="L81" s="28" t="inlineStr">
        <is>
          <t>No</t>
        </is>
      </c>
      <c r="M81" s="29">
        <f>IF(E81="","",IF(H81="Yes","❌ Disc",IF(G81="No","⚠ Missing",IF(J81="Yes","✓ OK","⚠ Check"))))</f>
        <v/>
      </c>
      <c r="N81" s="43" t="n">
        <v>46196</v>
      </c>
      <c r="O81" s="26" t="inlineStr">
        <is>
          <t>Sunil CR</t>
        </is>
      </c>
      <c r="P81" s="26" t="inlineStr">
        <is>
          <t>Yes</t>
        </is>
      </c>
      <c r="Q81" s="26" t="inlineStr">
        <is>
          <t>No</t>
        </is>
      </c>
      <c r="R81" s="26" t="inlineStr">
        <is>
          <t>Good finish</t>
        </is>
      </c>
      <c r="S81" s="26" t="inlineStr">
        <is>
          <t>Yes</t>
        </is>
      </c>
      <c r="T81" s="27" t="n"/>
      <c r="U81" s="28" t="inlineStr">
        <is>
          <t>No</t>
        </is>
      </c>
      <c r="V81" s="29">
        <f>IF(N81="","",IF(Q81="Yes","❌ Disc",IF(P81="No","⚠ Missing",IF(S81="Yes","✓ OK","⚠ Check"))))</f>
        <v/>
      </c>
      <c r="W81" s="65" t="n">
        <v>46248</v>
      </c>
      <c r="X81" s="30" t="inlineStr">
        <is>
          <t>Sunil CR</t>
        </is>
      </c>
      <c r="Y81" s="30" t="inlineStr">
        <is>
          <t>Yes</t>
        </is>
      </c>
      <c r="Z81" s="30" t="n"/>
      <c r="AA81" s="30" t="inlineStr">
        <is>
          <t>Good finish</t>
        </is>
      </c>
      <c r="AB81" s="30" t="inlineStr">
        <is>
          <t>Yes</t>
        </is>
      </c>
      <c r="AC81" s="27" t="n"/>
      <c r="AD81" s="31" t="inlineStr">
        <is>
          <t>No</t>
        </is>
      </c>
      <c r="AE81" s="32">
        <f>IF(W81="","",IF(Z81="Yes","❌ Disc",IF(Y81="No","⚠ Missing",IF(AB81="Yes","✓ OK","⚠ Check"))))</f>
        <v/>
      </c>
      <c r="AF81" s="33" t="n"/>
      <c r="AG81" s="33" t="n"/>
      <c r="AH81" s="33" t="n"/>
      <c r="AI81" s="33" t="n"/>
      <c r="AJ81" s="33" t="n"/>
      <c r="AK81" s="33" t="n"/>
      <c r="AL81" s="27" t="n"/>
      <c r="AM81" s="34" t="n"/>
      <c r="AN81" s="35">
        <f>IF(AF81="","",IF(AI81="Yes","❌ Disc",IF(AH81="No","⚠ Missing",IF(AK81="Yes","✓ OK","⚠ Check"))))</f>
        <v/>
      </c>
      <c r="AO81" s="36" t="n"/>
      <c r="AP81" s="36" t="n"/>
      <c r="AQ81" s="36" t="n"/>
      <c r="AR81" s="36" t="n"/>
      <c r="AS81" s="36" t="n"/>
      <c r="AT81" s="36" t="n"/>
      <c r="AU81" s="27" t="n"/>
      <c r="AV81" s="37" t="n"/>
      <c r="AW81" s="38">
        <f>IF(AO81="","",IF(AR81="Yes","❌ Disc",IF(AQ81="No","⚠ Missing",IF(AT81="Yes","✓ OK","⚠ Check"))))</f>
        <v/>
      </c>
    </row>
    <row r="82">
      <c r="A82" t="n">
        <v>78</v>
      </c>
      <c r="B82" t="inlineStr">
        <is>
          <t>CT QTZ SOH03 BCL</t>
        </is>
      </c>
      <c r="C82" t="inlineStr">
        <is>
          <t>Quartz Kalinga Bianco Classic SOHO 03</t>
        </is>
      </c>
      <c r="D82" t="inlineStr">
        <is>
          <t>Kalinga Stone</t>
        </is>
      </c>
      <c r="E82" s="43" t="n">
        <v>46126</v>
      </c>
      <c r="F82" s="26" t="inlineStr">
        <is>
          <t>Sunil CR</t>
        </is>
      </c>
      <c r="G82" s="26" t="inlineStr">
        <is>
          <t>Yes</t>
        </is>
      </c>
      <c r="H82" s="26" t="inlineStr">
        <is>
          <t>No</t>
        </is>
      </c>
      <c r="I82" s="26" t="inlineStr">
        <is>
          <t>Good finish</t>
        </is>
      </c>
      <c r="J82" s="26" t="inlineStr">
        <is>
          <t>Yes</t>
        </is>
      </c>
      <c r="K82" s="27" t="n"/>
      <c r="L82" s="28" t="inlineStr">
        <is>
          <t>No</t>
        </is>
      </c>
      <c r="M82" s="29">
        <f>IF(E82="","",IF(H82="Yes","❌ Disc",IF(G82="No","⚠ Missing",IF(J82="Yes","✓ OK","⚠ Check"))))</f>
        <v/>
      </c>
      <c r="N82" s="43" t="n">
        <v>46196</v>
      </c>
      <c r="O82" s="26" t="inlineStr">
        <is>
          <t>Sunil CR</t>
        </is>
      </c>
      <c r="P82" s="26" t="inlineStr">
        <is>
          <t>Yes</t>
        </is>
      </c>
      <c r="Q82" s="26" t="inlineStr">
        <is>
          <t>No</t>
        </is>
      </c>
      <c r="R82" s="26" t="inlineStr">
        <is>
          <t>Good finish</t>
        </is>
      </c>
      <c r="S82" s="26" t="inlineStr">
        <is>
          <t>Yes</t>
        </is>
      </c>
      <c r="T82" s="27" t="n"/>
      <c r="U82" s="28" t="inlineStr">
        <is>
          <t>No</t>
        </is>
      </c>
      <c r="V82" s="29">
        <f>IF(N82="","",IF(Q82="Yes","❌ Disc",IF(P82="No","⚠ Missing",IF(S82="Yes","✓ OK","⚠ Check"))))</f>
        <v/>
      </c>
      <c r="W82" s="65" t="n">
        <v>46248</v>
      </c>
      <c r="X82" s="30" t="inlineStr">
        <is>
          <t>Sunil CR</t>
        </is>
      </c>
      <c r="Y82" s="30" t="inlineStr">
        <is>
          <t>Yes</t>
        </is>
      </c>
      <c r="Z82" s="30" t="n"/>
      <c r="AA82" s="30" t="inlineStr">
        <is>
          <t>Good finish</t>
        </is>
      </c>
      <c r="AB82" s="30" t="inlineStr">
        <is>
          <t>Yes</t>
        </is>
      </c>
      <c r="AC82" s="27" t="n"/>
      <c r="AD82" s="31" t="inlineStr">
        <is>
          <t>No</t>
        </is>
      </c>
      <c r="AE82" s="32">
        <f>IF(W82="","",IF(Z82="Yes","❌ Disc",IF(Y82="No","⚠ Missing",IF(AB82="Yes","✓ OK","⚠ Check"))))</f>
        <v/>
      </c>
      <c r="AF82" s="33" t="n"/>
      <c r="AG82" s="33" t="n"/>
      <c r="AH82" s="33" t="n"/>
      <c r="AI82" s="33" t="n"/>
      <c r="AJ82" s="33" t="n"/>
      <c r="AK82" s="33" t="n"/>
      <c r="AL82" s="27" t="n"/>
      <c r="AM82" s="34" t="n"/>
      <c r="AN82" s="35">
        <f>IF(AF82="","",IF(AI82="Yes","❌ Disc",IF(AH82="No","⚠ Missing",IF(AK82="Yes","✓ OK","⚠ Check"))))</f>
        <v/>
      </c>
      <c r="AO82" s="36" t="n"/>
      <c r="AP82" s="36" t="n"/>
      <c r="AQ82" s="36" t="n"/>
      <c r="AR82" s="36" t="n"/>
      <c r="AS82" s="36" t="n"/>
      <c r="AT82" s="36" t="n"/>
      <c r="AU82" s="27" t="n"/>
      <c r="AV82" s="37" t="n"/>
      <c r="AW82" s="38">
        <f>IF(AO82="","",IF(AR82="Yes","❌ Disc",IF(AQ82="No","⚠ Missing",IF(AT82="Yes","✓ OK","⚠ Check"))))</f>
        <v/>
      </c>
    </row>
    <row r="83">
      <c r="A83" t="n">
        <v>79</v>
      </c>
      <c r="B83" t="inlineStr">
        <is>
          <t>CT QTZ CRM01 BC</t>
        </is>
      </c>
      <c r="C83" t="inlineStr">
        <is>
          <t>Quartz Kalinga Bianco Cristallo CROMO 01</t>
        </is>
      </c>
      <c r="D83" t="inlineStr">
        <is>
          <t>Kalinga Stone</t>
        </is>
      </c>
      <c r="E83" s="43" t="n">
        <v>46126</v>
      </c>
      <c r="F83" s="26" t="inlineStr">
        <is>
          <t>Sunil CR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Good finish</t>
        </is>
      </c>
      <c r="J83" s="26" t="inlineStr">
        <is>
          <t>Yes</t>
        </is>
      </c>
      <c r="K83" s="27" t="n"/>
      <c r="L83" s="28" t="inlineStr">
        <is>
          <t>No</t>
        </is>
      </c>
      <c r="M83" s="29">
        <f>IF(E83="","",IF(H83="Yes","❌ Disc",IF(G83="No","⚠ Missing",IF(J83="Yes","✓ OK","⚠ Check"))))</f>
        <v/>
      </c>
      <c r="N83" s="43" t="n">
        <v>46196</v>
      </c>
      <c r="O83" s="26" t="inlineStr">
        <is>
          <t>Sunil CR</t>
        </is>
      </c>
      <c r="P83" s="26" t="inlineStr">
        <is>
          <t>Yes</t>
        </is>
      </c>
      <c r="Q83" s="26" t="inlineStr">
        <is>
          <t>No</t>
        </is>
      </c>
      <c r="R83" s="26" t="inlineStr">
        <is>
          <t>Good finish</t>
        </is>
      </c>
      <c r="S83" s="26" t="inlineStr">
        <is>
          <t>Yes</t>
        </is>
      </c>
      <c r="T83" s="27" t="n"/>
      <c r="U83" s="28" t="inlineStr">
        <is>
          <t>No</t>
        </is>
      </c>
      <c r="V83" s="29">
        <f>IF(N83="","",IF(Q83="Yes","❌ Disc",IF(P83="No","⚠ Missing",IF(S83="Yes","✓ OK","⚠ Check"))))</f>
        <v/>
      </c>
      <c r="W83" s="65" t="n">
        <v>46248</v>
      </c>
      <c r="X83" s="30" t="inlineStr">
        <is>
          <t>Sunil CR</t>
        </is>
      </c>
      <c r="Y83" s="30" t="inlineStr">
        <is>
          <t>Yes</t>
        </is>
      </c>
      <c r="Z83" s="30" t="n"/>
      <c r="AA83" s="30" t="inlineStr">
        <is>
          <t>Good finish</t>
        </is>
      </c>
      <c r="AB83" s="30" t="inlineStr">
        <is>
          <t>Yes</t>
        </is>
      </c>
      <c r="AC83" s="27" t="n"/>
      <c r="AD83" s="31" t="inlineStr">
        <is>
          <t>No</t>
        </is>
      </c>
      <c r="AE83" s="32">
        <f>IF(W83="","",IF(Z83="Yes","❌ Disc",IF(Y83="No","⚠ Missing",IF(AB83="Yes","✓ OK","⚠ Check"))))</f>
        <v/>
      </c>
      <c r="AF83" s="33" t="n"/>
      <c r="AG83" s="33" t="n"/>
      <c r="AH83" s="33" t="n"/>
      <c r="AI83" s="33" t="n"/>
      <c r="AJ83" s="33" t="n"/>
      <c r="AK83" s="33" t="n"/>
      <c r="AL83" s="27" t="n"/>
      <c r="AM83" s="34" t="n"/>
      <c r="AN83" s="35">
        <f>IF(AF83="","",IF(AI83="Yes","❌ Disc",IF(AH83="No","⚠ Missing",IF(AK83="Yes","✓ OK","⚠ Check"))))</f>
        <v/>
      </c>
      <c r="AO83" s="36" t="n"/>
      <c r="AP83" s="36" t="n"/>
      <c r="AQ83" s="36" t="n"/>
      <c r="AR83" s="36" t="n"/>
      <c r="AS83" s="36" t="n"/>
      <c r="AT83" s="36" t="n"/>
      <c r="AU83" s="27" t="n"/>
      <c r="AV83" s="37" t="n"/>
      <c r="AW83" s="38">
        <f>IF(AO83="","",IF(AR83="Yes","❌ Disc",IF(AQ83="No","⚠ Missing",IF(AT83="Yes","✓ OK","⚠ Check"))))</f>
        <v/>
      </c>
    </row>
    <row r="84">
      <c r="A84" t="n">
        <v>80</v>
      </c>
      <c r="B84" t="inlineStr">
        <is>
          <t>CT QTZ NRT02 BD</t>
        </is>
      </c>
      <c r="C84" t="inlineStr">
        <is>
          <t>Quartz Kalinga Bianco Diamante NORTH 02</t>
        </is>
      </c>
      <c r="D84" t="inlineStr">
        <is>
          <t>Kalinga Stone</t>
        </is>
      </c>
      <c r="E84" s="43" t="n">
        <v>46126</v>
      </c>
      <c r="F84" s="26" t="inlineStr">
        <is>
          <t>Sunil CR</t>
        </is>
      </c>
      <c r="G84" s="26" t="inlineStr">
        <is>
          <t>Yes</t>
        </is>
      </c>
      <c r="H84" s="26" t="inlineStr">
        <is>
          <t>No</t>
        </is>
      </c>
      <c r="I84" s="26" t="inlineStr">
        <is>
          <t>Good finish</t>
        </is>
      </c>
      <c r="J84" s="26" t="inlineStr">
        <is>
          <t>Yes</t>
        </is>
      </c>
      <c r="K84" s="27" t="n"/>
      <c r="L84" s="28" t="inlineStr">
        <is>
          <t>No</t>
        </is>
      </c>
      <c r="M84" s="29">
        <f>IF(E84="","",IF(H84="Yes","❌ Disc",IF(G84="No","⚠ Missing",IF(J84="Yes","✓ OK","⚠ Check"))))</f>
        <v/>
      </c>
      <c r="N84" s="43" t="n">
        <v>46196</v>
      </c>
      <c r="O84" s="26" t="inlineStr">
        <is>
          <t>Sunil CR</t>
        </is>
      </c>
      <c r="P84" s="26" t="inlineStr">
        <is>
          <t>Yes</t>
        </is>
      </c>
      <c r="Q84" s="26" t="inlineStr">
        <is>
          <t>No</t>
        </is>
      </c>
      <c r="R84" s="26" t="inlineStr">
        <is>
          <t>Good finish</t>
        </is>
      </c>
      <c r="S84" s="26" t="inlineStr">
        <is>
          <t>Yes</t>
        </is>
      </c>
      <c r="T84" s="27" t="n"/>
      <c r="U84" s="28" t="inlineStr">
        <is>
          <t>No</t>
        </is>
      </c>
      <c r="V84" s="29">
        <f>IF(N84="","",IF(Q84="Yes","❌ Disc",IF(P84="No","⚠ Missing",IF(S84="Yes","✓ OK","⚠ Check"))))</f>
        <v/>
      </c>
      <c r="W84" s="65" t="n">
        <v>46248</v>
      </c>
      <c r="X84" s="30" t="inlineStr">
        <is>
          <t>Sunil CR</t>
        </is>
      </c>
      <c r="Y84" s="30" t="inlineStr">
        <is>
          <t>Yes</t>
        </is>
      </c>
      <c r="Z84" s="30" t="n"/>
      <c r="AA84" s="30" t="inlineStr">
        <is>
          <t>Good finish</t>
        </is>
      </c>
      <c r="AB84" s="30" t="inlineStr">
        <is>
          <t>Yes</t>
        </is>
      </c>
      <c r="AC84" s="27" t="n"/>
      <c r="AD84" s="31" t="inlineStr">
        <is>
          <t>No</t>
        </is>
      </c>
      <c r="AE84" s="32">
        <f>IF(W84="","",IF(Z84="Yes","❌ Disc",IF(Y84="No","⚠ Missing",IF(AB84="Yes","✓ OK","⚠ Check"))))</f>
        <v/>
      </c>
      <c r="AF84" s="33" t="n"/>
      <c r="AG84" s="33" t="n"/>
      <c r="AH84" s="33" t="n"/>
      <c r="AI84" s="33" t="n"/>
      <c r="AJ84" s="33" t="n"/>
      <c r="AK84" s="33" t="n"/>
      <c r="AL84" s="27" t="n"/>
      <c r="AM84" s="34" t="n"/>
      <c r="AN84" s="35">
        <f>IF(AF84="","",IF(AI84="Yes","❌ Disc",IF(AH84="No","⚠ Missing",IF(AK84="Yes","✓ OK","⚠ Check"))))</f>
        <v/>
      </c>
      <c r="AO84" s="36" t="n"/>
      <c r="AP84" s="36" t="n"/>
      <c r="AQ84" s="36" t="n"/>
      <c r="AR84" s="36" t="n"/>
      <c r="AS84" s="36" t="n"/>
      <c r="AT84" s="36" t="n"/>
      <c r="AU84" s="27" t="n"/>
      <c r="AV84" s="37" t="n"/>
      <c r="AW84" s="38">
        <f>IF(AO84="","",IF(AR84="Yes","❌ Disc",IF(AQ84="No","⚠ Missing",IF(AT84="Yes","✓ OK","⚠ Check"))))</f>
        <v/>
      </c>
    </row>
    <row r="85">
      <c r="A85" t="n">
        <v>81</v>
      </c>
      <c r="B85" t="inlineStr">
        <is>
          <t>CT QTZ AMB05 BG</t>
        </is>
      </c>
      <c r="C85" t="inlineStr">
        <is>
          <t>Quartz Kalinga Bianco Gioa AMBIENTE 05</t>
        </is>
      </c>
      <c r="D85" t="inlineStr">
        <is>
          <t>Kalinga Stone</t>
        </is>
      </c>
      <c r="E85" s="43" t="n">
        <v>46126</v>
      </c>
      <c r="F85" s="26" t="inlineStr">
        <is>
          <t>Sunil CR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Good finish</t>
        </is>
      </c>
      <c r="J85" s="26" t="inlineStr">
        <is>
          <t>Yes</t>
        </is>
      </c>
      <c r="K85" s="27" t="n"/>
      <c r="L85" s="28" t="inlineStr">
        <is>
          <t>No</t>
        </is>
      </c>
      <c r="M85" s="29">
        <f>IF(E85="","",IF(H85="Yes","❌ Disc",IF(G85="No","⚠ Missing",IF(J85="Yes","✓ OK","⚠ Check"))))</f>
        <v/>
      </c>
      <c r="N85" s="43" t="n">
        <v>46196</v>
      </c>
      <c r="O85" s="26" t="inlineStr">
        <is>
          <t>Sunil CR</t>
        </is>
      </c>
      <c r="P85" s="26" t="inlineStr">
        <is>
          <t>Yes</t>
        </is>
      </c>
      <c r="Q85" s="26" t="inlineStr">
        <is>
          <t>No</t>
        </is>
      </c>
      <c r="R85" s="26" t="inlineStr">
        <is>
          <t>Good finish</t>
        </is>
      </c>
      <c r="S85" s="26" t="inlineStr">
        <is>
          <t>Yes</t>
        </is>
      </c>
      <c r="T85" s="27" t="n"/>
      <c r="U85" s="28" t="inlineStr">
        <is>
          <t>No</t>
        </is>
      </c>
      <c r="V85" s="29">
        <f>IF(N85="","",IF(Q85="Yes","❌ Disc",IF(P85="No","⚠ Missing",IF(S85="Yes","✓ OK","⚠ Check"))))</f>
        <v/>
      </c>
      <c r="W85" s="65" t="n">
        <v>46248</v>
      </c>
      <c r="X85" s="30" t="inlineStr">
        <is>
          <t>Sunil CR</t>
        </is>
      </c>
      <c r="Y85" s="30" t="inlineStr">
        <is>
          <t>Yes</t>
        </is>
      </c>
      <c r="Z85" s="30" t="n"/>
      <c r="AA85" s="30" t="inlineStr">
        <is>
          <t>Good finish</t>
        </is>
      </c>
      <c r="AB85" s="30" t="inlineStr">
        <is>
          <t>Yes</t>
        </is>
      </c>
      <c r="AC85" s="27" t="n"/>
      <c r="AD85" s="31" t="inlineStr">
        <is>
          <t>No</t>
        </is>
      </c>
      <c r="AE85" s="32">
        <f>IF(W85="","",IF(Z85="Yes","❌ Disc",IF(Y85="No","⚠ Missing",IF(AB85="Yes","✓ OK","⚠ Check"))))</f>
        <v/>
      </c>
      <c r="AF85" s="33" t="n"/>
      <c r="AG85" s="33" t="n"/>
      <c r="AH85" s="33" t="n"/>
      <c r="AI85" s="33" t="n"/>
      <c r="AJ85" s="33" t="n"/>
      <c r="AK85" s="33" t="n"/>
      <c r="AL85" s="27" t="n"/>
      <c r="AM85" s="34" t="n"/>
      <c r="AN85" s="35">
        <f>IF(AF85="","",IF(AI85="Yes","❌ Disc",IF(AH85="No","⚠ Missing",IF(AK85="Yes","✓ OK","⚠ Check"))))</f>
        <v/>
      </c>
      <c r="AO85" s="36" t="n"/>
      <c r="AP85" s="36" t="n"/>
      <c r="AQ85" s="36" t="n"/>
      <c r="AR85" s="36" t="n"/>
      <c r="AS85" s="36" t="n"/>
      <c r="AT85" s="36" t="n"/>
      <c r="AU85" s="27" t="n"/>
      <c r="AV85" s="37" t="n"/>
      <c r="AW85" s="38">
        <f>IF(AO85="","",IF(AR85="Yes","❌ Disc",IF(AQ85="No","⚠ Missing",IF(AT85="Yes","✓ OK","⚠ Check"))))</f>
        <v/>
      </c>
    </row>
    <row r="86">
      <c r="A86" t="n">
        <v>82</v>
      </c>
      <c r="B86" t="inlineStr">
        <is>
          <t>CT QTZ CRM01 BN</t>
        </is>
      </c>
      <c r="C86" t="inlineStr">
        <is>
          <t>Quartz Kalinga Bianco Neve CROMO 01</t>
        </is>
      </c>
      <c r="D86" t="inlineStr">
        <is>
          <t>Kalinga Stone</t>
        </is>
      </c>
      <c r="E86" s="43" t="n">
        <v>46126</v>
      </c>
      <c r="F86" s="26" t="inlineStr">
        <is>
          <t>Sunil CR</t>
        </is>
      </c>
      <c r="G86" s="26" t="inlineStr">
        <is>
          <t>Yes</t>
        </is>
      </c>
      <c r="H86" s="26" t="inlineStr">
        <is>
          <t>No</t>
        </is>
      </c>
      <c r="I86" s="26" t="inlineStr">
        <is>
          <t>Good finish</t>
        </is>
      </c>
      <c r="J86" s="26" t="inlineStr">
        <is>
          <t>Yes</t>
        </is>
      </c>
      <c r="K86" s="27" t="n"/>
      <c r="L86" s="28" t="inlineStr">
        <is>
          <t>No</t>
        </is>
      </c>
      <c r="M86" s="29">
        <f>IF(E86="","",IF(H86="Yes","❌ Disc",IF(G86="No","⚠ Missing",IF(J86="Yes","✓ OK","⚠ Check"))))</f>
        <v/>
      </c>
      <c r="N86" s="43" t="n">
        <v>46196</v>
      </c>
      <c r="O86" s="26" t="inlineStr">
        <is>
          <t>Sunil CR</t>
        </is>
      </c>
      <c r="P86" s="26" t="inlineStr">
        <is>
          <t>Yes</t>
        </is>
      </c>
      <c r="Q86" s="26" t="inlineStr">
        <is>
          <t>No</t>
        </is>
      </c>
      <c r="R86" s="26" t="inlineStr">
        <is>
          <t>Good finish</t>
        </is>
      </c>
      <c r="S86" s="26" t="inlineStr">
        <is>
          <t>Yes</t>
        </is>
      </c>
      <c r="T86" s="27" t="n"/>
      <c r="U86" s="28" t="inlineStr">
        <is>
          <t>No</t>
        </is>
      </c>
      <c r="V86" s="29">
        <f>IF(N86="","",IF(Q86="Yes","❌ Disc",IF(P86="No","⚠ Missing",IF(S86="Yes","✓ OK","⚠ Check"))))</f>
        <v/>
      </c>
      <c r="W86" s="65" t="n">
        <v>46248</v>
      </c>
      <c r="X86" s="30" t="inlineStr">
        <is>
          <t>Sunil CR</t>
        </is>
      </c>
      <c r="Y86" s="30" t="inlineStr">
        <is>
          <t>Yes</t>
        </is>
      </c>
      <c r="Z86" s="30" t="n"/>
      <c r="AA86" s="30" t="inlineStr">
        <is>
          <t>Good finish</t>
        </is>
      </c>
      <c r="AB86" s="30" t="inlineStr">
        <is>
          <t>Yes</t>
        </is>
      </c>
      <c r="AC86" s="27" t="n"/>
      <c r="AD86" s="31" t="inlineStr">
        <is>
          <t>No</t>
        </is>
      </c>
      <c r="AE86" s="32">
        <f>IF(W86="","",IF(Z86="Yes","❌ Disc",IF(Y86="No","⚠ Missing",IF(AB86="Yes","✓ OK","⚠ Check"))))</f>
        <v/>
      </c>
      <c r="AF86" s="33" t="n"/>
      <c r="AG86" s="33" t="n"/>
      <c r="AH86" s="33" t="n"/>
      <c r="AI86" s="33" t="n"/>
      <c r="AJ86" s="33" t="n"/>
      <c r="AK86" s="33" t="n"/>
      <c r="AL86" s="27" t="n"/>
      <c r="AM86" s="34" t="n"/>
      <c r="AN86" s="35">
        <f>IF(AF86="","",IF(AI86="Yes","❌ Disc",IF(AH86="No","⚠ Missing",IF(AK86="Yes","✓ OK","⚠ Check"))))</f>
        <v/>
      </c>
      <c r="AO86" s="36" t="n"/>
      <c r="AP86" s="36" t="n"/>
      <c r="AQ86" s="36" t="n"/>
      <c r="AR86" s="36" t="n"/>
      <c r="AS86" s="36" t="n"/>
      <c r="AT86" s="36" t="n"/>
      <c r="AU86" s="27" t="n"/>
      <c r="AV86" s="37" t="n"/>
      <c r="AW86" s="38">
        <f>IF(AO86="","",IF(AR86="Yes","❌ Disc",IF(AQ86="No","⚠ Missing",IF(AT86="Yes","✓ OK","⚠ Check"))))</f>
        <v/>
      </c>
    </row>
    <row r="87">
      <c r="A87" t="n">
        <v>83</v>
      </c>
      <c r="B87" t="inlineStr">
        <is>
          <t>CT QTZ SOH03 BS</t>
        </is>
      </c>
      <c r="C87" t="inlineStr">
        <is>
          <t>Quartz Kalinga Bianco Superiore SOHO 03</t>
        </is>
      </c>
      <c r="D87" t="inlineStr">
        <is>
          <t>Kalinga Stone</t>
        </is>
      </c>
      <c r="E87" s="43" t="n">
        <v>46126</v>
      </c>
      <c r="F87" s="26" t="inlineStr">
        <is>
          <t>Sunil CR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Good finish</t>
        </is>
      </c>
      <c r="J87" s="26" t="inlineStr">
        <is>
          <t>Yes</t>
        </is>
      </c>
      <c r="K87" s="27" t="n"/>
      <c r="L87" s="28" t="inlineStr">
        <is>
          <t>No</t>
        </is>
      </c>
      <c r="M87" s="29">
        <f>IF(E87="","",IF(H87="Yes","❌ Disc",IF(G87="No","⚠ Missing",IF(J87="Yes","✓ OK","⚠ Check"))))</f>
        <v/>
      </c>
      <c r="N87" s="43" t="n">
        <v>46196</v>
      </c>
      <c r="O87" s="26" t="inlineStr">
        <is>
          <t>Sunil CR</t>
        </is>
      </c>
      <c r="P87" s="26" t="inlineStr">
        <is>
          <t>Yes</t>
        </is>
      </c>
      <c r="Q87" s="26" t="inlineStr">
        <is>
          <t>No</t>
        </is>
      </c>
      <c r="R87" s="26" t="inlineStr">
        <is>
          <t>Good finish</t>
        </is>
      </c>
      <c r="S87" s="26" t="inlineStr">
        <is>
          <t>Yes</t>
        </is>
      </c>
      <c r="T87" s="27" t="n"/>
      <c r="U87" s="28" t="inlineStr">
        <is>
          <t>No</t>
        </is>
      </c>
      <c r="V87" s="29">
        <f>IF(N87="","",IF(Q87="Yes","❌ Disc",IF(P87="No","⚠ Missing",IF(S87="Yes","✓ OK","⚠ Check"))))</f>
        <v/>
      </c>
      <c r="W87" s="65" t="n">
        <v>46248</v>
      </c>
      <c r="X87" s="30" t="inlineStr">
        <is>
          <t>Sunil CR</t>
        </is>
      </c>
      <c r="Y87" s="30" t="inlineStr">
        <is>
          <t>Yes</t>
        </is>
      </c>
      <c r="Z87" s="30" t="n"/>
      <c r="AA87" s="30" t="inlineStr">
        <is>
          <t>Good finish</t>
        </is>
      </c>
      <c r="AB87" s="30" t="inlineStr">
        <is>
          <t>Yes</t>
        </is>
      </c>
      <c r="AC87" s="27" t="n"/>
      <c r="AD87" s="31" t="inlineStr">
        <is>
          <t>No</t>
        </is>
      </c>
      <c r="AE87" s="32">
        <f>IF(W87="","",IF(Z87="Yes","❌ Disc",IF(Y87="No","⚠ Missing",IF(AB87="Yes","✓ OK","⚠ Check"))))</f>
        <v/>
      </c>
      <c r="AF87" s="33" t="n"/>
      <c r="AG87" s="33" t="n"/>
      <c r="AH87" s="33" t="n"/>
      <c r="AI87" s="33" t="n"/>
      <c r="AJ87" s="33" t="n"/>
      <c r="AK87" s="33" t="n"/>
      <c r="AL87" s="27" t="n"/>
      <c r="AM87" s="34" t="n"/>
      <c r="AN87" s="35">
        <f>IF(AF87="","",IF(AI87="Yes","❌ Disc",IF(AH87="No","⚠ Missing",IF(AK87="Yes","✓ OK","⚠ Check"))))</f>
        <v/>
      </c>
      <c r="AO87" s="36" t="n"/>
      <c r="AP87" s="36" t="n"/>
      <c r="AQ87" s="36" t="n"/>
      <c r="AR87" s="36" t="n"/>
      <c r="AS87" s="36" t="n"/>
      <c r="AT87" s="36" t="n"/>
      <c r="AU87" s="27" t="n"/>
      <c r="AV87" s="37" t="n"/>
      <c r="AW87" s="38">
        <f>IF(AO87="","",IF(AR87="Yes","❌ Disc",IF(AQ87="No","⚠ Missing",IF(AT87="Yes","✓ OK","⚠ Check"))))</f>
        <v/>
      </c>
    </row>
    <row r="88">
      <c r="A88" t="n">
        <v>84</v>
      </c>
      <c r="B88" t="inlineStr">
        <is>
          <t>CT QTZ CRM01 BD</t>
        </is>
      </c>
      <c r="C88" t="inlineStr">
        <is>
          <t>Quartz Kalinga Biege Diamanate CROMO 01</t>
        </is>
      </c>
      <c r="D88" t="inlineStr">
        <is>
          <t>Kalinga Stone</t>
        </is>
      </c>
      <c r="E88" s="43" t="n">
        <v>46126</v>
      </c>
      <c r="F88" s="26" t="inlineStr">
        <is>
          <t>Sunil CR</t>
        </is>
      </c>
      <c r="G88" s="26" t="inlineStr">
        <is>
          <t>Yes</t>
        </is>
      </c>
      <c r="H88" s="26" t="inlineStr">
        <is>
          <t>No</t>
        </is>
      </c>
      <c r="I88" s="26" t="inlineStr">
        <is>
          <t>Good finish</t>
        </is>
      </c>
      <c r="J88" s="26" t="inlineStr">
        <is>
          <t>Yes</t>
        </is>
      </c>
      <c r="K88" s="27" t="n"/>
      <c r="L88" s="28" t="inlineStr">
        <is>
          <t>No</t>
        </is>
      </c>
      <c r="M88" s="29">
        <f>IF(E88="","",IF(H88="Yes","❌ Disc",IF(G88="No","⚠ Missing",IF(J88="Yes","✓ OK","⚠ Check"))))</f>
        <v/>
      </c>
      <c r="N88" s="43" t="n">
        <v>46196</v>
      </c>
      <c r="O88" s="26" t="inlineStr">
        <is>
          <t>Sunil CR</t>
        </is>
      </c>
      <c r="P88" s="26" t="inlineStr">
        <is>
          <t>Yes</t>
        </is>
      </c>
      <c r="Q88" s="26" t="inlineStr">
        <is>
          <t>No</t>
        </is>
      </c>
      <c r="R88" s="26" t="inlineStr">
        <is>
          <t>Good finish</t>
        </is>
      </c>
      <c r="S88" s="26" t="inlineStr">
        <is>
          <t>Yes</t>
        </is>
      </c>
      <c r="T88" s="27" t="n"/>
      <c r="U88" s="28" t="inlineStr">
        <is>
          <t>No</t>
        </is>
      </c>
      <c r="V88" s="29">
        <f>IF(N88="","",IF(Q88="Yes","❌ Disc",IF(P88="No","⚠ Missing",IF(S88="Yes","✓ OK","⚠ Check"))))</f>
        <v/>
      </c>
      <c r="W88" s="65" t="n">
        <v>46248</v>
      </c>
      <c r="X88" s="30" t="inlineStr">
        <is>
          <t>Sunil CR</t>
        </is>
      </c>
      <c r="Y88" s="30" t="inlineStr">
        <is>
          <t>Yes</t>
        </is>
      </c>
      <c r="Z88" s="30" t="n"/>
      <c r="AA88" s="30" t="inlineStr">
        <is>
          <t>Good finish</t>
        </is>
      </c>
      <c r="AB88" s="30" t="inlineStr">
        <is>
          <t>Yes</t>
        </is>
      </c>
      <c r="AC88" s="27" t="n"/>
      <c r="AD88" s="31" t="inlineStr">
        <is>
          <t>No</t>
        </is>
      </c>
      <c r="AE88" s="32">
        <f>IF(W88="","",IF(Z88="Yes","❌ Disc",IF(Y88="No","⚠ Missing",IF(AB88="Yes","✓ OK","⚠ Check"))))</f>
        <v/>
      </c>
      <c r="AF88" s="33" t="n"/>
      <c r="AG88" s="33" t="n"/>
      <c r="AH88" s="33" t="n"/>
      <c r="AI88" s="33" t="n"/>
      <c r="AJ88" s="33" t="n"/>
      <c r="AK88" s="33" t="n"/>
      <c r="AL88" s="27" t="n"/>
      <c r="AM88" s="34" t="n"/>
      <c r="AN88" s="35">
        <f>IF(AF88="","",IF(AI88="Yes","❌ Disc",IF(AH88="No","⚠ Missing",IF(AK88="Yes","✓ OK","⚠ Check"))))</f>
        <v/>
      </c>
      <c r="AO88" s="36" t="n"/>
      <c r="AP88" s="36" t="n"/>
      <c r="AQ88" s="36" t="n"/>
      <c r="AR88" s="36" t="n"/>
      <c r="AS88" s="36" t="n"/>
      <c r="AT88" s="36" t="n"/>
      <c r="AU88" s="27" t="n"/>
      <c r="AV88" s="37" t="n"/>
      <c r="AW88" s="38">
        <f>IF(AO88="","",IF(AR88="Yes","❌ Disc",IF(AQ88="No","⚠ Missing",IF(AT88="Yes","✓ OK","⚠ Check"))))</f>
        <v/>
      </c>
    </row>
    <row r="89">
      <c r="A89" t="n">
        <v>85</v>
      </c>
      <c r="B89" t="inlineStr">
        <is>
          <t>CT QTZ SOH03 CH</t>
        </is>
      </c>
      <c r="C89" t="inlineStr">
        <is>
          <t>Quartz Kalinga Chandan SOHO 03</t>
        </is>
      </c>
      <c r="D89" t="inlineStr">
        <is>
          <t>Kalinga Stone</t>
        </is>
      </c>
      <c r="E89" s="43" t="n">
        <v>46126</v>
      </c>
      <c r="F89" s="26" t="inlineStr">
        <is>
          <t>Sunil CR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Good finish</t>
        </is>
      </c>
      <c r="J89" s="26" t="inlineStr">
        <is>
          <t>Yes</t>
        </is>
      </c>
      <c r="K89" s="27" t="n"/>
      <c r="L89" s="28" t="inlineStr">
        <is>
          <t>No</t>
        </is>
      </c>
      <c r="M89" s="29">
        <f>IF(E89="","",IF(H89="Yes","❌ Disc",IF(G89="No","⚠ Missing",IF(J89="Yes","✓ OK","⚠ Check"))))</f>
        <v/>
      </c>
      <c r="N89" s="43" t="n">
        <v>46196</v>
      </c>
      <c r="O89" s="26" t="inlineStr">
        <is>
          <t>Sunil CR</t>
        </is>
      </c>
      <c r="P89" s="26" t="inlineStr">
        <is>
          <t>Yes</t>
        </is>
      </c>
      <c r="Q89" s="26" t="inlineStr">
        <is>
          <t>No</t>
        </is>
      </c>
      <c r="R89" s="26" t="inlineStr">
        <is>
          <t>Good finish</t>
        </is>
      </c>
      <c r="S89" s="26" t="inlineStr">
        <is>
          <t>Yes</t>
        </is>
      </c>
      <c r="T89" s="27" t="n"/>
      <c r="U89" s="28" t="inlineStr">
        <is>
          <t>No</t>
        </is>
      </c>
      <c r="V89" s="29">
        <f>IF(N89="","",IF(Q89="Yes","❌ Disc",IF(P89="No","⚠ Missing",IF(S89="Yes","✓ OK","⚠ Check"))))</f>
        <v/>
      </c>
      <c r="W89" s="65" t="n">
        <v>46248</v>
      </c>
      <c r="X89" s="30" t="inlineStr">
        <is>
          <t>Sunil CR</t>
        </is>
      </c>
      <c r="Y89" s="30" t="inlineStr">
        <is>
          <t>Yes</t>
        </is>
      </c>
      <c r="Z89" s="30" t="n"/>
      <c r="AA89" s="30" t="inlineStr">
        <is>
          <t>Good finish</t>
        </is>
      </c>
      <c r="AB89" s="30" t="inlineStr">
        <is>
          <t>Yes</t>
        </is>
      </c>
      <c r="AC89" s="27" t="n"/>
      <c r="AD89" s="31" t="inlineStr">
        <is>
          <t>No</t>
        </is>
      </c>
      <c r="AE89" s="32">
        <f>IF(W89="","",IF(Z89="Yes","❌ Disc",IF(Y89="No","⚠ Missing",IF(AB89="Yes","✓ OK","⚠ Check"))))</f>
        <v/>
      </c>
      <c r="AF89" s="33" t="n"/>
      <c r="AG89" s="33" t="n"/>
      <c r="AH89" s="33" t="n"/>
      <c r="AI89" s="33" t="n"/>
      <c r="AJ89" s="33" t="n"/>
      <c r="AK89" s="33" t="n"/>
      <c r="AL89" s="27" t="n"/>
      <c r="AM89" s="34" t="n"/>
      <c r="AN89" s="35">
        <f>IF(AF89="","",IF(AI89="Yes","❌ Disc",IF(AH89="No","⚠ Missing",IF(AK89="Yes","✓ OK","⚠ Check"))))</f>
        <v/>
      </c>
      <c r="AO89" s="36" t="n"/>
      <c r="AP89" s="36" t="n"/>
      <c r="AQ89" s="36" t="n"/>
      <c r="AR89" s="36" t="n"/>
      <c r="AS89" s="36" t="n"/>
      <c r="AT89" s="36" t="n"/>
      <c r="AU89" s="27" t="n"/>
      <c r="AV89" s="37" t="n"/>
      <c r="AW89" s="38">
        <f>IF(AO89="","",IF(AR89="Yes","❌ Disc",IF(AQ89="No","⚠ Missing",IF(AT89="Yes","✓ OK","⚠ Check"))))</f>
        <v/>
      </c>
    </row>
    <row r="90">
      <c r="A90" t="n">
        <v>86</v>
      </c>
      <c r="B90" t="inlineStr">
        <is>
          <t>CT QTZ SOH03 CB</t>
        </is>
      </c>
      <c r="C90" t="inlineStr">
        <is>
          <t>Quartz Kalinga Classic Beige SOHO 03</t>
        </is>
      </c>
      <c r="D90" t="inlineStr">
        <is>
          <t>Kalinga Stone</t>
        </is>
      </c>
      <c r="E90" s="43" t="n">
        <v>46126</v>
      </c>
      <c r="F90" s="26" t="inlineStr">
        <is>
          <t>Sunil CR</t>
        </is>
      </c>
      <c r="G90" s="26" t="inlineStr">
        <is>
          <t>Yes</t>
        </is>
      </c>
      <c r="H90" s="26" t="inlineStr">
        <is>
          <t>No</t>
        </is>
      </c>
      <c r="I90" s="26" t="inlineStr">
        <is>
          <t>Good finish</t>
        </is>
      </c>
      <c r="J90" s="26" t="inlineStr">
        <is>
          <t>Yes</t>
        </is>
      </c>
      <c r="K90" s="27" t="n"/>
      <c r="L90" s="28" t="inlineStr">
        <is>
          <t>No</t>
        </is>
      </c>
      <c r="M90" s="29">
        <f>IF(E90="","",IF(H90="Yes","❌ Disc",IF(G90="No","⚠ Missing",IF(J90="Yes","✓ OK","⚠ Check"))))</f>
        <v/>
      </c>
      <c r="N90" s="43" t="n">
        <v>46196</v>
      </c>
      <c r="O90" s="26" t="inlineStr">
        <is>
          <t>Sunil CR</t>
        </is>
      </c>
      <c r="P90" s="26" t="inlineStr">
        <is>
          <t>Yes</t>
        </is>
      </c>
      <c r="Q90" s="26" t="inlineStr">
        <is>
          <t>No</t>
        </is>
      </c>
      <c r="R90" s="26" t="inlineStr">
        <is>
          <t>Good finish</t>
        </is>
      </c>
      <c r="S90" s="26" t="inlineStr">
        <is>
          <t>Yes</t>
        </is>
      </c>
      <c r="T90" s="27" t="n"/>
      <c r="U90" s="28" t="inlineStr">
        <is>
          <t>No</t>
        </is>
      </c>
      <c r="V90" s="29">
        <f>IF(N90="","",IF(Q90="Yes","❌ Disc",IF(P90="No","⚠ Missing",IF(S90="Yes","✓ OK","⚠ Check"))))</f>
        <v/>
      </c>
      <c r="W90" s="65" t="n">
        <v>46248</v>
      </c>
      <c r="X90" s="30" t="inlineStr">
        <is>
          <t>Sunil CR</t>
        </is>
      </c>
      <c r="Y90" s="30" t="inlineStr">
        <is>
          <t>Yes</t>
        </is>
      </c>
      <c r="Z90" s="30" t="n"/>
      <c r="AA90" s="30" t="inlineStr">
        <is>
          <t>Good finish</t>
        </is>
      </c>
      <c r="AB90" s="30" t="inlineStr">
        <is>
          <t>Yes</t>
        </is>
      </c>
      <c r="AC90" s="27" t="n"/>
      <c r="AD90" s="31" t="inlineStr">
        <is>
          <t>No</t>
        </is>
      </c>
      <c r="AE90" s="32">
        <f>IF(W90="","",IF(Z90="Yes","❌ Disc",IF(Y90="No","⚠ Missing",IF(AB90="Yes","✓ OK","⚠ Check"))))</f>
        <v/>
      </c>
      <c r="AF90" s="33" t="n"/>
      <c r="AG90" s="33" t="n"/>
      <c r="AH90" s="33" t="n"/>
      <c r="AI90" s="33" t="n"/>
      <c r="AJ90" s="33" t="n"/>
      <c r="AK90" s="33" t="n"/>
      <c r="AL90" s="27" t="n"/>
      <c r="AM90" s="34" t="n"/>
      <c r="AN90" s="35">
        <f>IF(AF90="","",IF(AI90="Yes","❌ Disc",IF(AH90="No","⚠ Missing",IF(AK90="Yes","✓ OK","⚠ Check"))))</f>
        <v/>
      </c>
      <c r="AO90" s="36" t="n"/>
      <c r="AP90" s="36" t="n"/>
      <c r="AQ90" s="36" t="n"/>
      <c r="AR90" s="36" t="n"/>
      <c r="AS90" s="36" t="n"/>
      <c r="AT90" s="36" t="n"/>
      <c r="AU90" s="27" t="n"/>
      <c r="AV90" s="37" t="n"/>
      <c r="AW90" s="38">
        <f>IF(AO90="","",IF(AR90="Yes","❌ Disc",IF(AQ90="No","⚠ Missing",IF(AT90="Yes","✓ OK","⚠ Check"))))</f>
        <v/>
      </c>
    </row>
    <row r="91">
      <c r="A91" t="n">
        <v>87</v>
      </c>
      <c r="B91" t="inlineStr">
        <is>
          <t>CT QTZ SOH03 CO</t>
        </is>
      </c>
      <c r="C91" t="inlineStr">
        <is>
          <t>Quartz Kalinga Concrete SOHO 03</t>
        </is>
      </c>
      <c r="D91" t="inlineStr">
        <is>
          <t>Kalinga Stone</t>
        </is>
      </c>
      <c r="E91" s="43" t="n">
        <v>46126</v>
      </c>
      <c r="F91" s="26" t="inlineStr">
        <is>
          <t>Sunil CR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Good finish</t>
        </is>
      </c>
      <c r="J91" s="26" t="inlineStr">
        <is>
          <t>Yes</t>
        </is>
      </c>
      <c r="K91" s="27" t="n"/>
      <c r="L91" s="28" t="inlineStr">
        <is>
          <t>No</t>
        </is>
      </c>
      <c r="M91" s="29">
        <f>IF(E91="","",IF(H91="Yes","❌ Disc",IF(G91="No","⚠ Missing",IF(J91="Yes","✓ OK","⚠ Check"))))</f>
        <v/>
      </c>
      <c r="N91" s="43" t="n">
        <v>46196</v>
      </c>
      <c r="O91" s="26" t="inlineStr">
        <is>
          <t>Sunil CR</t>
        </is>
      </c>
      <c r="P91" s="26" t="inlineStr">
        <is>
          <t>Yes</t>
        </is>
      </c>
      <c r="Q91" s="26" t="inlineStr">
        <is>
          <t>No</t>
        </is>
      </c>
      <c r="R91" s="26" t="inlineStr">
        <is>
          <t>Good finish</t>
        </is>
      </c>
      <c r="S91" s="26" t="inlineStr">
        <is>
          <t>Yes</t>
        </is>
      </c>
      <c r="T91" s="27" t="n"/>
      <c r="U91" s="28" t="inlineStr">
        <is>
          <t>No</t>
        </is>
      </c>
      <c r="V91" s="29">
        <f>IF(N91="","",IF(Q91="Yes","❌ Disc",IF(P91="No","⚠ Missing",IF(S91="Yes","✓ OK","⚠ Check"))))</f>
        <v/>
      </c>
      <c r="W91" s="65" t="n">
        <v>46248</v>
      </c>
      <c r="X91" s="30" t="inlineStr">
        <is>
          <t>Sunil CR</t>
        </is>
      </c>
      <c r="Y91" s="30" t="inlineStr">
        <is>
          <t>Yes</t>
        </is>
      </c>
      <c r="Z91" s="30" t="n"/>
      <c r="AA91" s="30" t="inlineStr">
        <is>
          <t>Good finish</t>
        </is>
      </c>
      <c r="AB91" s="30" t="inlineStr">
        <is>
          <t>Yes</t>
        </is>
      </c>
      <c r="AC91" s="27" t="n"/>
      <c r="AD91" s="31" t="inlineStr">
        <is>
          <t>No</t>
        </is>
      </c>
      <c r="AE91" s="32">
        <f>IF(W91="","",IF(Z91="Yes","❌ Disc",IF(Y91="No","⚠ Missing",IF(AB91="Yes","✓ OK","⚠ Check"))))</f>
        <v/>
      </c>
      <c r="AF91" s="33" t="n"/>
      <c r="AG91" s="33" t="n"/>
      <c r="AH91" s="33" t="n"/>
      <c r="AI91" s="33" t="n"/>
      <c r="AJ91" s="33" t="n"/>
      <c r="AK91" s="33" t="n"/>
      <c r="AL91" s="27" t="n"/>
      <c r="AM91" s="34" t="n"/>
      <c r="AN91" s="35">
        <f>IF(AF91="","",IF(AI91="Yes","❌ Disc",IF(AH91="No","⚠ Missing",IF(AK91="Yes","✓ OK","⚠ Check"))))</f>
        <v/>
      </c>
      <c r="AO91" s="36" t="n"/>
      <c r="AP91" s="36" t="n"/>
      <c r="AQ91" s="36" t="n"/>
      <c r="AR91" s="36" t="n"/>
      <c r="AS91" s="36" t="n"/>
      <c r="AT91" s="36" t="n"/>
      <c r="AU91" s="27" t="n"/>
      <c r="AV91" s="37" t="n"/>
      <c r="AW91" s="38">
        <f>IF(AO91="","",IF(AR91="Yes","❌ Disc",IF(AQ91="No","⚠ Missing",IF(AT91="Yes","✓ OK","⚠ Check"))))</f>
        <v/>
      </c>
    </row>
    <row r="92">
      <c r="A92" t="n">
        <v>88</v>
      </c>
      <c r="B92" t="inlineStr">
        <is>
          <t>CT QTZ AMB05 CG</t>
        </is>
      </c>
      <c r="C92" t="inlineStr">
        <is>
          <t>Quartz Kalinga Crema Gold AMBIENTE 05</t>
        </is>
      </c>
      <c r="D92" t="inlineStr">
        <is>
          <t>Kalinga Stone</t>
        </is>
      </c>
      <c r="E92" s="43" t="n">
        <v>46126</v>
      </c>
      <c r="F92" s="26" t="inlineStr">
        <is>
          <t>Sunil CR</t>
        </is>
      </c>
      <c r="G92" s="26" t="inlineStr">
        <is>
          <t>Yes</t>
        </is>
      </c>
      <c r="H92" s="26" t="inlineStr">
        <is>
          <t>No</t>
        </is>
      </c>
      <c r="I92" s="26" t="inlineStr">
        <is>
          <t>Good finish</t>
        </is>
      </c>
      <c r="J92" s="26" t="inlineStr">
        <is>
          <t>Yes</t>
        </is>
      </c>
      <c r="K92" s="27" t="n"/>
      <c r="L92" s="28" t="inlineStr">
        <is>
          <t>No</t>
        </is>
      </c>
      <c r="M92" s="29">
        <f>IF(E92="","",IF(H92="Yes","❌ Disc",IF(G92="No","⚠ Missing",IF(J92="Yes","✓ OK","⚠ Check"))))</f>
        <v/>
      </c>
      <c r="N92" s="43" t="n">
        <v>46196</v>
      </c>
      <c r="O92" s="26" t="inlineStr">
        <is>
          <t>Sunil CR</t>
        </is>
      </c>
      <c r="P92" s="26" t="inlineStr">
        <is>
          <t>Yes</t>
        </is>
      </c>
      <c r="Q92" s="26" t="inlineStr">
        <is>
          <t>No</t>
        </is>
      </c>
      <c r="R92" s="26" t="inlineStr">
        <is>
          <t>Good finish</t>
        </is>
      </c>
      <c r="S92" s="26" t="inlineStr">
        <is>
          <t>Yes</t>
        </is>
      </c>
      <c r="T92" s="27" t="n"/>
      <c r="U92" s="28" t="inlineStr">
        <is>
          <t>No</t>
        </is>
      </c>
      <c r="V92" s="29">
        <f>IF(N92="","",IF(Q92="Yes","❌ Disc",IF(P92="No","⚠ Missing",IF(S92="Yes","✓ OK","⚠ Check"))))</f>
        <v/>
      </c>
      <c r="W92" s="65" t="n">
        <v>46248</v>
      </c>
      <c r="X92" s="30" t="inlineStr">
        <is>
          <t>Sunil CR</t>
        </is>
      </c>
      <c r="Y92" s="30" t="inlineStr">
        <is>
          <t>Yes</t>
        </is>
      </c>
      <c r="Z92" s="30" t="n"/>
      <c r="AA92" s="30" t="inlineStr">
        <is>
          <t>Good finish</t>
        </is>
      </c>
      <c r="AB92" s="30" t="inlineStr">
        <is>
          <t>Yes</t>
        </is>
      </c>
      <c r="AC92" s="27" t="n"/>
      <c r="AD92" s="31" t="inlineStr">
        <is>
          <t>No</t>
        </is>
      </c>
      <c r="AE92" s="32">
        <f>IF(W92="","",IF(Z92="Yes","❌ Disc",IF(Y92="No","⚠ Missing",IF(AB92="Yes","✓ OK","⚠ Check"))))</f>
        <v/>
      </c>
      <c r="AF92" s="33" t="n"/>
      <c r="AG92" s="33" t="n"/>
      <c r="AH92" s="33" t="n"/>
      <c r="AI92" s="33" t="n"/>
      <c r="AJ92" s="33" t="n"/>
      <c r="AK92" s="33" t="n"/>
      <c r="AL92" s="27" t="n"/>
      <c r="AM92" s="34" t="n"/>
      <c r="AN92" s="35">
        <f>IF(AF92="","",IF(AI92="Yes","❌ Disc",IF(AH92="No","⚠ Missing",IF(AK92="Yes","✓ OK","⚠ Check"))))</f>
        <v/>
      </c>
      <c r="AO92" s="36" t="n"/>
      <c r="AP92" s="36" t="n"/>
      <c r="AQ92" s="36" t="n"/>
      <c r="AR92" s="36" t="n"/>
      <c r="AS92" s="36" t="n"/>
      <c r="AT92" s="36" t="n"/>
      <c r="AU92" s="27" t="n"/>
      <c r="AV92" s="37" t="n"/>
      <c r="AW92" s="38">
        <f>IF(AO92="","",IF(AR92="Yes","❌ Disc",IF(AQ92="No","⚠ Missing",IF(AT92="Yes","✓ OK","⚠ Check"))))</f>
        <v/>
      </c>
    </row>
    <row r="93">
      <c r="A93" t="n">
        <v>89</v>
      </c>
      <c r="B93" t="inlineStr">
        <is>
          <t>CT QTZ CRM01 CS</t>
        </is>
      </c>
      <c r="C93" t="inlineStr">
        <is>
          <t>Quartz Kalinga Crema Scuro CROMO 01</t>
        </is>
      </c>
      <c r="D93" t="inlineStr">
        <is>
          <t>Kalinga Stone</t>
        </is>
      </c>
      <c r="E93" s="43" t="n">
        <v>46126</v>
      </c>
      <c r="F93" s="26" t="inlineStr">
        <is>
          <t>Sunil CR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Good finish</t>
        </is>
      </c>
      <c r="J93" s="26" t="inlineStr">
        <is>
          <t>Yes</t>
        </is>
      </c>
      <c r="K93" s="27" t="n"/>
      <c r="L93" s="28" t="inlineStr">
        <is>
          <t>No</t>
        </is>
      </c>
      <c r="M93" s="29">
        <f>IF(E93="","",IF(H93="Yes","❌ Disc",IF(G93="No","⚠ Missing",IF(J93="Yes","✓ OK","⚠ Check"))))</f>
        <v/>
      </c>
      <c r="N93" s="43" t="n">
        <v>46196</v>
      </c>
      <c r="O93" s="26" t="inlineStr">
        <is>
          <t>Sunil CR</t>
        </is>
      </c>
      <c r="P93" s="26" t="inlineStr">
        <is>
          <t>Yes</t>
        </is>
      </c>
      <c r="Q93" s="26" t="inlineStr">
        <is>
          <t>No</t>
        </is>
      </c>
      <c r="R93" s="26" t="inlineStr">
        <is>
          <t>Good finish</t>
        </is>
      </c>
      <c r="S93" s="26" t="inlineStr">
        <is>
          <t>Yes</t>
        </is>
      </c>
      <c r="T93" s="27" t="n"/>
      <c r="U93" s="28" t="inlineStr">
        <is>
          <t>No</t>
        </is>
      </c>
      <c r="V93" s="29">
        <f>IF(N93="","",IF(Q93="Yes","❌ Disc",IF(P93="No","⚠ Missing",IF(S93="Yes","✓ OK","⚠ Check"))))</f>
        <v/>
      </c>
      <c r="W93" s="65" t="n">
        <v>46248</v>
      </c>
      <c r="X93" s="30" t="inlineStr">
        <is>
          <t>Sunil CR</t>
        </is>
      </c>
      <c r="Y93" s="30" t="inlineStr">
        <is>
          <t>Yes</t>
        </is>
      </c>
      <c r="Z93" s="30" t="n"/>
      <c r="AA93" s="30" t="inlineStr">
        <is>
          <t>Good finish</t>
        </is>
      </c>
      <c r="AB93" s="30" t="inlineStr">
        <is>
          <t>Yes</t>
        </is>
      </c>
      <c r="AC93" s="27" t="n"/>
      <c r="AD93" s="31" t="inlineStr">
        <is>
          <t>No</t>
        </is>
      </c>
      <c r="AE93" s="32">
        <f>IF(W93="","",IF(Z93="Yes","❌ Disc",IF(Y93="No","⚠ Missing",IF(AB93="Yes","✓ OK","⚠ Check"))))</f>
        <v/>
      </c>
      <c r="AF93" s="33" t="n"/>
      <c r="AG93" s="33" t="n"/>
      <c r="AH93" s="33" t="n"/>
      <c r="AI93" s="33" t="n"/>
      <c r="AJ93" s="33" t="n"/>
      <c r="AK93" s="33" t="n"/>
      <c r="AL93" s="27" t="n"/>
      <c r="AM93" s="34" t="n"/>
      <c r="AN93" s="35">
        <f>IF(AF93="","",IF(AI93="Yes","❌ Disc",IF(AH93="No","⚠ Missing",IF(AK93="Yes","✓ OK","⚠ Check"))))</f>
        <v/>
      </c>
      <c r="AO93" s="36" t="n"/>
      <c r="AP93" s="36" t="n"/>
      <c r="AQ93" s="36" t="n"/>
      <c r="AR93" s="36" t="n"/>
      <c r="AS93" s="36" t="n"/>
      <c r="AT93" s="36" t="n"/>
      <c r="AU93" s="27" t="n"/>
      <c r="AV93" s="37" t="n"/>
      <c r="AW93" s="38">
        <f>IF(AO93="","",IF(AR93="Yes","❌ Disc",IF(AQ93="No","⚠ Missing",IF(AT93="Yes","✓ OK","⚠ Check"))))</f>
        <v/>
      </c>
    </row>
    <row r="94">
      <c r="A94" t="n">
        <v>90</v>
      </c>
      <c r="B94" t="inlineStr">
        <is>
          <t>CT QTZ CON04 CV</t>
        </is>
      </c>
      <c r="C94" t="inlineStr">
        <is>
          <t>Quartz Kalinga Crema Venato Extra CONCORD 04</t>
        </is>
      </c>
      <c r="D94" t="inlineStr">
        <is>
          <t>Kalinga Stone</t>
        </is>
      </c>
      <c r="E94" s="43" t="n">
        <v>46126</v>
      </c>
      <c r="F94" s="26" t="inlineStr">
        <is>
          <t>Sunil CR</t>
        </is>
      </c>
      <c r="G94" s="26" t="inlineStr">
        <is>
          <t>Yes</t>
        </is>
      </c>
      <c r="H94" s="26" t="inlineStr">
        <is>
          <t>No</t>
        </is>
      </c>
      <c r="I94" s="26" t="inlineStr">
        <is>
          <t>Good finish</t>
        </is>
      </c>
      <c r="J94" s="26" t="inlineStr">
        <is>
          <t>Yes</t>
        </is>
      </c>
      <c r="K94" s="27" t="n"/>
      <c r="L94" s="28" t="inlineStr">
        <is>
          <t>No</t>
        </is>
      </c>
      <c r="M94" s="29">
        <f>IF(E94="","",IF(H94="Yes","❌ Disc",IF(G94="No","⚠ Missing",IF(J94="Yes","✓ OK","⚠ Check"))))</f>
        <v/>
      </c>
      <c r="N94" s="43" t="n">
        <v>46196</v>
      </c>
      <c r="O94" s="26" t="inlineStr">
        <is>
          <t>Sunil CR</t>
        </is>
      </c>
      <c r="P94" s="26" t="inlineStr">
        <is>
          <t>Yes</t>
        </is>
      </c>
      <c r="Q94" s="26" t="inlineStr">
        <is>
          <t>No</t>
        </is>
      </c>
      <c r="R94" s="26" t="inlineStr">
        <is>
          <t>Good finish</t>
        </is>
      </c>
      <c r="S94" s="26" t="inlineStr">
        <is>
          <t>Yes</t>
        </is>
      </c>
      <c r="T94" s="27" t="n"/>
      <c r="U94" s="28" t="inlineStr">
        <is>
          <t>No</t>
        </is>
      </c>
      <c r="V94" s="29">
        <f>IF(N94="","",IF(Q94="Yes","❌ Disc",IF(P94="No","⚠ Missing",IF(S94="Yes","✓ OK","⚠ Check"))))</f>
        <v/>
      </c>
      <c r="W94" s="65" t="n">
        <v>46248</v>
      </c>
      <c r="X94" s="30" t="inlineStr">
        <is>
          <t>Sunil CR</t>
        </is>
      </c>
      <c r="Y94" s="30" t="inlineStr">
        <is>
          <t>Yes</t>
        </is>
      </c>
      <c r="Z94" s="30" t="n"/>
      <c r="AA94" s="30" t="inlineStr">
        <is>
          <t>Good finish</t>
        </is>
      </c>
      <c r="AB94" s="30" t="inlineStr">
        <is>
          <t>Yes</t>
        </is>
      </c>
      <c r="AC94" s="27" t="n"/>
      <c r="AD94" s="31" t="inlineStr">
        <is>
          <t>No</t>
        </is>
      </c>
      <c r="AE94" s="32">
        <f>IF(W94="","",IF(Z94="Yes","❌ Disc",IF(Y94="No","⚠ Missing",IF(AB94="Yes","✓ OK","⚠ Check"))))</f>
        <v/>
      </c>
      <c r="AF94" s="33" t="n"/>
      <c r="AG94" s="33" t="n"/>
      <c r="AH94" s="33" t="n"/>
      <c r="AI94" s="33" t="n"/>
      <c r="AJ94" s="33" t="n"/>
      <c r="AK94" s="33" t="n"/>
      <c r="AL94" s="27" t="n"/>
      <c r="AM94" s="34" t="n"/>
      <c r="AN94" s="35">
        <f>IF(AF94="","",IF(AI94="Yes","❌ Disc",IF(AH94="No","⚠ Missing",IF(AK94="Yes","✓ OK","⚠ Check"))))</f>
        <v/>
      </c>
      <c r="AO94" s="36" t="n"/>
      <c r="AP94" s="36" t="n"/>
      <c r="AQ94" s="36" t="n"/>
      <c r="AR94" s="36" t="n"/>
      <c r="AS94" s="36" t="n"/>
      <c r="AT94" s="36" t="n"/>
      <c r="AU94" s="27" t="n"/>
      <c r="AV94" s="37" t="n"/>
      <c r="AW94" s="38">
        <f>IF(AO94="","",IF(AR94="Yes","❌ Disc",IF(AQ94="No","⚠ Missing",IF(AT94="Yes","✓ OK","⚠ Check"))))</f>
        <v/>
      </c>
    </row>
    <row r="95">
      <c r="A95" t="n">
        <v>91</v>
      </c>
      <c r="B95" t="inlineStr">
        <is>
          <t>CT QTZ NRT02 CV</t>
        </is>
      </c>
      <c r="C95" t="inlineStr">
        <is>
          <t>Quartz Kalinga Crema Verona NORTH 02</t>
        </is>
      </c>
      <c r="D95" t="inlineStr">
        <is>
          <t>Kalinga Stone</t>
        </is>
      </c>
      <c r="E95" s="43" t="n">
        <v>46126</v>
      </c>
      <c r="F95" s="26" t="inlineStr">
        <is>
          <t>Sunil CR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Good finish</t>
        </is>
      </c>
      <c r="J95" s="26" t="inlineStr">
        <is>
          <t>Yes</t>
        </is>
      </c>
      <c r="K95" s="27" t="n"/>
      <c r="L95" s="28" t="inlineStr">
        <is>
          <t>No</t>
        </is>
      </c>
      <c r="M95" s="29">
        <f>IF(E95="","",IF(H95="Yes","❌ Disc",IF(G95="No","⚠ Missing",IF(J95="Yes","✓ OK","⚠ Check"))))</f>
        <v/>
      </c>
      <c r="N95" s="43" t="n">
        <v>46196</v>
      </c>
      <c r="O95" s="26" t="inlineStr">
        <is>
          <t>Sunil CR</t>
        </is>
      </c>
      <c r="P95" s="26" t="inlineStr">
        <is>
          <t>Yes</t>
        </is>
      </c>
      <c r="Q95" s="26" t="inlineStr">
        <is>
          <t>No</t>
        </is>
      </c>
      <c r="R95" s="26" t="inlineStr">
        <is>
          <t>Good finish</t>
        </is>
      </c>
      <c r="S95" s="26" t="inlineStr">
        <is>
          <t>Yes</t>
        </is>
      </c>
      <c r="T95" s="27" t="n"/>
      <c r="U95" s="28" t="inlineStr">
        <is>
          <t>No</t>
        </is>
      </c>
      <c r="V95" s="29">
        <f>IF(N95="","",IF(Q95="Yes","❌ Disc",IF(P95="No","⚠ Missing",IF(S95="Yes","✓ OK","⚠ Check"))))</f>
        <v/>
      </c>
      <c r="W95" s="65" t="n">
        <v>46248</v>
      </c>
      <c r="X95" s="30" t="inlineStr">
        <is>
          <t>Sunil CR</t>
        </is>
      </c>
      <c r="Y95" s="30" t="inlineStr">
        <is>
          <t>Yes</t>
        </is>
      </c>
      <c r="Z95" s="30" t="n"/>
      <c r="AA95" s="30" t="inlineStr">
        <is>
          <t>Good finish</t>
        </is>
      </c>
      <c r="AB95" s="30" t="inlineStr">
        <is>
          <t>Yes</t>
        </is>
      </c>
      <c r="AC95" s="27" t="n"/>
      <c r="AD95" s="31" t="inlineStr">
        <is>
          <t>No</t>
        </is>
      </c>
      <c r="AE95" s="32">
        <f>IF(W95="","",IF(Z95="Yes","❌ Disc",IF(Y95="No","⚠ Missing",IF(AB95="Yes","✓ OK","⚠ Check"))))</f>
        <v/>
      </c>
      <c r="AF95" s="33" t="n"/>
      <c r="AG95" s="33" t="n"/>
      <c r="AH95" s="33" t="n"/>
      <c r="AI95" s="33" t="n"/>
      <c r="AJ95" s="33" t="n"/>
      <c r="AK95" s="33" t="n"/>
      <c r="AL95" s="27" t="n"/>
      <c r="AM95" s="34" t="n"/>
      <c r="AN95" s="35">
        <f>IF(AF95="","",IF(AI95="Yes","❌ Disc",IF(AH95="No","⚠ Missing",IF(AK95="Yes","✓ OK","⚠ Check"))))</f>
        <v/>
      </c>
      <c r="AO95" s="36" t="n"/>
      <c r="AP95" s="36" t="n"/>
      <c r="AQ95" s="36" t="n"/>
      <c r="AR95" s="36" t="n"/>
      <c r="AS95" s="36" t="n"/>
      <c r="AT95" s="36" t="n"/>
      <c r="AU95" s="27" t="n"/>
      <c r="AV95" s="37" t="n"/>
      <c r="AW95" s="38">
        <f>IF(AO95="","",IF(AR95="Yes","❌ Disc",IF(AQ95="No","⚠ Missing",IF(AT95="Yes","✓ OK","⚠ Check"))))</f>
        <v/>
      </c>
    </row>
    <row r="96">
      <c r="A96" t="n">
        <v>92</v>
      </c>
      <c r="B96" t="inlineStr">
        <is>
          <t>CT QTZ NRT02 DB</t>
        </is>
      </c>
      <c r="C96" t="inlineStr">
        <is>
          <t>Quartz Kalinga Desert Brown NORTH 02</t>
        </is>
      </c>
      <c r="D96" t="inlineStr">
        <is>
          <t>Kalinga Stone</t>
        </is>
      </c>
      <c r="E96" s="43" t="n">
        <v>46126</v>
      </c>
      <c r="F96" s="26" t="inlineStr">
        <is>
          <t>Sunil CR</t>
        </is>
      </c>
      <c r="G96" s="26" t="inlineStr">
        <is>
          <t>Yes</t>
        </is>
      </c>
      <c r="H96" s="26" t="inlineStr">
        <is>
          <t>No</t>
        </is>
      </c>
      <c r="I96" s="26" t="inlineStr">
        <is>
          <t>Good finish</t>
        </is>
      </c>
      <c r="J96" s="26" t="inlineStr">
        <is>
          <t>Yes</t>
        </is>
      </c>
      <c r="K96" s="27" t="n"/>
      <c r="L96" s="28" t="inlineStr">
        <is>
          <t>No</t>
        </is>
      </c>
      <c r="M96" s="29">
        <f>IF(E96="","",IF(H96="Yes","❌ Disc",IF(G96="No","⚠ Missing",IF(J96="Yes","✓ OK","⚠ Check"))))</f>
        <v/>
      </c>
      <c r="N96" s="43" t="n">
        <v>46196</v>
      </c>
      <c r="O96" s="26" t="inlineStr">
        <is>
          <t>Sunil CR</t>
        </is>
      </c>
      <c r="P96" s="26" t="inlineStr">
        <is>
          <t>Yes</t>
        </is>
      </c>
      <c r="Q96" s="26" t="inlineStr">
        <is>
          <t>No</t>
        </is>
      </c>
      <c r="R96" s="26" t="inlineStr">
        <is>
          <t>Good finish</t>
        </is>
      </c>
      <c r="S96" s="26" t="inlineStr">
        <is>
          <t>Yes</t>
        </is>
      </c>
      <c r="T96" s="27" t="n"/>
      <c r="U96" s="28" t="inlineStr">
        <is>
          <t>No</t>
        </is>
      </c>
      <c r="V96" s="29">
        <f>IF(N96="","",IF(Q96="Yes","❌ Disc",IF(P96="No","⚠ Missing",IF(S96="Yes","✓ OK","⚠ Check"))))</f>
        <v/>
      </c>
      <c r="W96" s="65" t="n">
        <v>46248</v>
      </c>
      <c r="X96" s="30" t="inlineStr">
        <is>
          <t>Sunil CR</t>
        </is>
      </c>
      <c r="Y96" s="30" t="inlineStr">
        <is>
          <t>Yes</t>
        </is>
      </c>
      <c r="Z96" s="30" t="n"/>
      <c r="AA96" s="30" t="inlineStr">
        <is>
          <t>Good finish</t>
        </is>
      </c>
      <c r="AB96" s="30" t="inlineStr">
        <is>
          <t>Yes</t>
        </is>
      </c>
      <c r="AC96" s="27" t="n"/>
      <c r="AD96" s="31" t="inlineStr">
        <is>
          <t>No</t>
        </is>
      </c>
      <c r="AE96" s="32">
        <f>IF(W96="","",IF(Z96="Yes","❌ Disc",IF(Y96="No","⚠ Missing",IF(AB96="Yes","✓ OK","⚠ Check"))))</f>
        <v/>
      </c>
      <c r="AF96" s="33" t="n"/>
      <c r="AG96" s="33" t="n"/>
      <c r="AH96" s="33" t="n"/>
      <c r="AI96" s="33" t="n"/>
      <c r="AJ96" s="33" t="n"/>
      <c r="AK96" s="33" t="n"/>
      <c r="AL96" s="27" t="n"/>
      <c r="AM96" s="34" t="n"/>
      <c r="AN96" s="35">
        <f>IF(AF96="","",IF(AI96="Yes","❌ Disc",IF(AH96="No","⚠ Missing",IF(AK96="Yes","✓ OK","⚠ Check"))))</f>
        <v/>
      </c>
      <c r="AO96" s="36" t="n"/>
      <c r="AP96" s="36" t="n"/>
      <c r="AQ96" s="36" t="n"/>
      <c r="AR96" s="36" t="n"/>
      <c r="AS96" s="36" t="n"/>
      <c r="AT96" s="36" t="n"/>
      <c r="AU96" s="27" t="n"/>
      <c r="AV96" s="37" t="n"/>
      <c r="AW96" s="38">
        <f>IF(AO96="","",IF(AR96="Yes","❌ Disc",IF(AQ96="No","⚠ Missing",IF(AT96="Yes","✓ OK","⚠ Check"))))</f>
        <v/>
      </c>
    </row>
    <row r="97">
      <c r="A97" t="n">
        <v>93</v>
      </c>
      <c r="B97" t="inlineStr">
        <is>
          <t>CT QTZ NRT02 GD</t>
        </is>
      </c>
      <c r="C97" t="inlineStr">
        <is>
          <t>Quartz Kalinga Grigio Diamante NORTH 02</t>
        </is>
      </c>
      <c r="D97" t="inlineStr">
        <is>
          <t>Kalinga Stone</t>
        </is>
      </c>
      <c r="E97" s="43" t="n">
        <v>46126</v>
      </c>
      <c r="F97" s="26" t="inlineStr">
        <is>
          <t>Sunil CR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Good finish</t>
        </is>
      </c>
      <c r="J97" s="26" t="inlineStr">
        <is>
          <t>Yes</t>
        </is>
      </c>
      <c r="K97" s="27" t="n"/>
      <c r="L97" s="28" t="inlineStr">
        <is>
          <t>No</t>
        </is>
      </c>
      <c r="M97" s="29">
        <f>IF(E97="","",IF(H97="Yes","❌ Disc",IF(G97="No","⚠ Missing",IF(J97="Yes","✓ OK","⚠ Check"))))</f>
        <v/>
      </c>
      <c r="N97" s="43" t="n">
        <v>46196</v>
      </c>
      <c r="O97" s="26" t="inlineStr">
        <is>
          <t>Sunil CR</t>
        </is>
      </c>
      <c r="P97" s="26" t="inlineStr">
        <is>
          <t>Yes</t>
        </is>
      </c>
      <c r="Q97" s="26" t="inlineStr">
        <is>
          <t>No</t>
        </is>
      </c>
      <c r="R97" s="26" t="inlineStr">
        <is>
          <t>Good finish</t>
        </is>
      </c>
      <c r="S97" s="26" t="inlineStr">
        <is>
          <t>Yes</t>
        </is>
      </c>
      <c r="T97" s="27" t="n"/>
      <c r="U97" s="28" t="inlineStr">
        <is>
          <t>No</t>
        </is>
      </c>
      <c r="V97" s="29">
        <f>IF(N97="","",IF(Q97="Yes","❌ Disc",IF(P97="No","⚠ Missing",IF(S97="Yes","✓ OK","⚠ Check"))))</f>
        <v/>
      </c>
      <c r="W97" s="65" t="n">
        <v>46248</v>
      </c>
      <c r="X97" s="30" t="inlineStr">
        <is>
          <t>Sunil CR</t>
        </is>
      </c>
      <c r="Y97" s="30" t="inlineStr">
        <is>
          <t>Yes</t>
        </is>
      </c>
      <c r="Z97" s="30" t="n"/>
      <c r="AA97" s="30" t="inlineStr">
        <is>
          <t>Good finish</t>
        </is>
      </c>
      <c r="AB97" s="30" t="inlineStr">
        <is>
          <t>Yes</t>
        </is>
      </c>
      <c r="AC97" s="27" t="n"/>
      <c r="AD97" s="31" t="inlineStr">
        <is>
          <t>No</t>
        </is>
      </c>
      <c r="AE97" s="32">
        <f>IF(W97="","",IF(Z97="Yes","❌ Disc",IF(Y97="No","⚠ Missing",IF(AB97="Yes","✓ OK","⚠ Check"))))</f>
        <v/>
      </c>
      <c r="AF97" s="33" t="n"/>
      <c r="AG97" s="33" t="n"/>
      <c r="AH97" s="33" t="n"/>
      <c r="AI97" s="33" t="n"/>
      <c r="AJ97" s="33" t="n"/>
      <c r="AK97" s="33" t="n"/>
      <c r="AL97" s="27" t="n"/>
      <c r="AM97" s="34" t="n"/>
      <c r="AN97" s="35">
        <f>IF(AF97="","",IF(AI97="Yes","❌ Disc",IF(AH97="No","⚠ Missing",IF(AK97="Yes","✓ OK","⚠ Check"))))</f>
        <v/>
      </c>
      <c r="AO97" s="36" t="n"/>
      <c r="AP97" s="36" t="n"/>
      <c r="AQ97" s="36" t="n"/>
      <c r="AR97" s="36" t="n"/>
      <c r="AS97" s="36" t="n"/>
      <c r="AT97" s="36" t="n"/>
      <c r="AU97" s="27" t="n"/>
      <c r="AV97" s="37" t="n"/>
      <c r="AW97" s="38">
        <f>IF(AO97="","",IF(AR97="Yes","❌ Disc",IF(AQ97="No","⚠ Missing",IF(AT97="Yes","✓ OK","⚠ Check"))))</f>
        <v/>
      </c>
    </row>
    <row r="98">
      <c r="A98" t="n">
        <v>94</v>
      </c>
      <c r="B98" t="inlineStr">
        <is>
          <t>CT QTZ NRT02 GL</t>
        </is>
      </c>
      <c r="C98" t="inlineStr">
        <is>
          <t>Quartz Kalinga Grigio Londra NORTH 02</t>
        </is>
      </c>
      <c r="D98" t="inlineStr">
        <is>
          <t>Kalinga Stone</t>
        </is>
      </c>
      <c r="E98" s="43" t="n">
        <v>46126</v>
      </c>
      <c r="F98" s="26" t="inlineStr">
        <is>
          <t>Sunil CR</t>
        </is>
      </c>
      <c r="G98" s="26" t="inlineStr">
        <is>
          <t>Yes</t>
        </is>
      </c>
      <c r="H98" s="26" t="inlineStr">
        <is>
          <t>No</t>
        </is>
      </c>
      <c r="I98" s="26" t="inlineStr">
        <is>
          <t>Good finish</t>
        </is>
      </c>
      <c r="J98" s="26" t="inlineStr">
        <is>
          <t>Yes</t>
        </is>
      </c>
      <c r="K98" s="27" t="n"/>
      <c r="L98" s="28" t="inlineStr">
        <is>
          <t>No</t>
        </is>
      </c>
      <c r="M98" s="29">
        <f>IF(E98="","",IF(H98="Yes","❌ Disc",IF(G98="No","⚠ Missing",IF(J98="Yes","✓ OK","⚠ Check"))))</f>
        <v/>
      </c>
      <c r="N98" s="43" t="n">
        <v>46196</v>
      </c>
      <c r="O98" s="26" t="inlineStr">
        <is>
          <t>Sunil CR</t>
        </is>
      </c>
      <c r="P98" s="26" t="inlineStr">
        <is>
          <t>Yes</t>
        </is>
      </c>
      <c r="Q98" s="26" t="inlineStr">
        <is>
          <t>No</t>
        </is>
      </c>
      <c r="R98" s="26" t="inlineStr">
        <is>
          <t>Good finish</t>
        </is>
      </c>
      <c r="S98" s="26" t="inlineStr">
        <is>
          <t>Yes</t>
        </is>
      </c>
      <c r="T98" s="27" t="n"/>
      <c r="U98" s="28" t="inlineStr">
        <is>
          <t>No</t>
        </is>
      </c>
      <c r="V98" s="29">
        <f>IF(N98="","",IF(Q98="Yes","❌ Disc",IF(P98="No","⚠ Missing",IF(S98="Yes","✓ OK","⚠ Check"))))</f>
        <v/>
      </c>
      <c r="W98" s="65" t="n">
        <v>46248</v>
      </c>
      <c r="X98" s="30" t="inlineStr">
        <is>
          <t>Sunil CR</t>
        </is>
      </c>
      <c r="Y98" s="30" t="inlineStr">
        <is>
          <t>Yes</t>
        </is>
      </c>
      <c r="Z98" s="30" t="n"/>
      <c r="AA98" s="30" t="inlineStr">
        <is>
          <t>Good finish</t>
        </is>
      </c>
      <c r="AB98" s="30" t="inlineStr">
        <is>
          <t>Yes</t>
        </is>
      </c>
      <c r="AC98" s="27" t="n"/>
      <c r="AD98" s="31" t="inlineStr">
        <is>
          <t>No</t>
        </is>
      </c>
      <c r="AE98" s="32">
        <f>IF(W98="","",IF(Z98="Yes","❌ Disc",IF(Y98="No","⚠ Missing",IF(AB98="Yes","✓ OK","⚠ Check"))))</f>
        <v/>
      </c>
      <c r="AF98" s="33" t="n"/>
      <c r="AG98" s="33" t="n"/>
      <c r="AH98" s="33" t="n"/>
      <c r="AI98" s="33" t="n"/>
      <c r="AJ98" s="33" t="n"/>
      <c r="AK98" s="33" t="n"/>
      <c r="AL98" s="27" t="n"/>
      <c r="AM98" s="34" t="n"/>
      <c r="AN98" s="35">
        <f>IF(AF98="","",IF(AI98="Yes","❌ Disc",IF(AH98="No","⚠ Missing",IF(AK98="Yes","✓ OK","⚠ Check"))))</f>
        <v/>
      </c>
      <c r="AO98" s="36" t="n"/>
      <c r="AP98" s="36" t="n"/>
      <c r="AQ98" s="36" t="n"/>
      <c r="AR98" s="36" t="n"/>
      <c r="AS98" s="36" t="n"/>
      <c r="AT98" s="36" t="n"/>
      <c r="AU98" s="27" t="n"/>
      <c r="AV98" s="37" t="n"/>
      <c r="AW98" s="38">
        <f>IF(AO98="","",IF(AR98="Yes","❌ Disc",IF(AQ98="No","⚠ Missing",IF(AT98="Yes","✓ OK","⚠ Check"))))</f>
        <v/>
      </c>
    </row>
    <row r="99">
      <c r="A99" t="n">
        <v>95</v>
      </c>
      <c r="B99" t="inlineStr">
        <is>
          <t>CT QTZ CON04 GV</t>
        </is>
      </c>
      <c r="C99" t="inlineStr">
        <is>
          <t>Quartz Kalinga Gris Venato CONCORD 04</t>
        </is>
      </c>
      <c r="D99" t="inlineStr">
        <is>
          <t>Kalinga Stone</t>
        </is>
      </c>
      <c r="E99" s="43" t="n">
        <v>46126</v>
      </c>
      <c r="F99" s="26" t="inlineStr">
        <is>
          <t>Sunil CR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Good finish</t>
        </is>
      </c>
      <c r="J99" s="26" t="inlineStr">
        <is>
          <t>Yes</t>
        </is>
      </c>
      <c r="K99" s="27" t="n"/>
      <c r="L99" s="28" t="inlineStr">
        <is>
          <t>No</t>
        </is>
      </c>
      <c r="M99" s="29">
        <f>IF(E99="","",IF(H99="Yes","❌ Disc",IF(G99="No","⚠ Missing",IF(J99="Yes","✓ OK","⚠ Check"))))</f>
        <v/>
      </c>
      <c r="N99" s="43" t="n">
        <v>46196</v>
      </c>
      <c r="O99" s="26" t="inlineStr">
        <is>
          <t>Sunil CR</t>
        </is>
      </c>
      <c r="P99" s="26" t="inlineStr">
        <is>
          <t>Yes</t>
        </is>
      </c>
      <c r="Q99" s="26" t="inlineStr">
        <is>
          <t>No</t>
        </is>
      </c>
      <c r="R99" s="26" t="inlineStr">
        <is>
          <t>Good finish</t>
        </is>
      </c>
      <c r="S99" s="26" t="inlineStr">
        <is>
          <t>Yes</t>
        </is>
      </c>
      <c r="T99" s="27" t="n"/>
      <c r="U99" s="28" t="inlineStr">
        <is>
          <t>No</t>
        </is>
      </c>
      <c r="V99" s="29">
        <f>IF(N99="","",IF(Q99="Yes","❌ Disc",IF(P99="No","⚠ Missing",IF(S99="Yes","✓ OK","⚠ Check"))))</f>
        <v/>
      </c>
      <c r="W99" s="65" t="n">
        <v>46248</v>
      </c>
      <c r="X99" s="30" t="inlineStr">
        <is>
          <t>Sunil CR</t>
        </is>
      </c>
      <c r="Y99" s="30" t="inlineStr">
        <is>
          <t>Yes</t>
        </is>
      </c>
      <c r="Z99" s="30" t="n"/>
      <c r="AA99" s="30" t="inlineStr">
        <is>
          <t>Good finish</t>
        </is>
      </c>
      <c r="AB99" s="30" t="inlineStr">
        <is>
          <t>Yes</t>
        </is>
      </c>
      <c r="AC99" s="27" t="n"/>
      <c r="AD99" s="31" t="inlineStr">
        <is>
          <t>No</t>
        </is>
      </c>
      <c r="AE99" s="32">
        <f>IF(W99="","",IF(Z99="Yes","❌ Disc",IF(Y99="No","⚠ Missing",IF(AB99="Yes","✓ OK","⚠ Check"))))</f>
        <v/>
      </c>
      <c r="AF99" s="33" t="n"/>
      <c r="AG99" s="33" t="n"/>
      <c r="AH99" s="33" t="n"/>
      <c r="AI99" s="33" t="n"/>
      <c r="AJ99" s="33" t="n"/>
      <c r="AK99" s="33" t="n"/>
      <c r="AL99" s="27" t="n"/>
      <c r="AM99" s="34" t="n"/>
      <c r="AN99" s="35">
        <f>IF(AF99="","",IF(AI99="Yes","❌ Disc",IF(AH99="No","⚠ Missing",IF(AK99="Yes","✓ OK","⚠ Check"))))</f>
        <v/>
      </c>
      <c r="AO99" s="36" t="n"/>
      <c r="AP99" s="36" t="n"/>
      <c r="AQ99" s="36" t="n"/>
      <c r="AR99" s="36" t="n"/>
      <c r="AS99" s="36" t="n"/>
      <c r="AT99" s="36" t="n"/>
      <c r="AU99" s="27" t="n"/>
      <c r="AV99" s="37" t="n"/>
      <c r="AW99" s="38">
        <f>IF(AO99="","",IF(AR99="Yes","❌ Disc",IF(AQ99="No","⚠ Missing",IF(AT99="Yes","✓ OK","⚠ Check"))))</f>
        <v/>
      </c>
    </row>
    <row r="100">
      <c r="A100" t="n">
        <v>96</v>
      </c>
      <c r="B100" t="inlineStr">
        <is>
          <t>CT QTZ SOH03 G3C</t>
        </is>
      </c>
      <c r="C100" t="inlineStr">
        <is>
          <t>Quartz Kalinga Group 3, Cement SOHO 03</t>
        </is>
      </c>
      <c r="D100" t="inlineStr">
        <is>
          <t>Kalinga Stone</t>
        </is>
      </c>
      <c r="E100" s="43" t="n">
        <v>46126</v>
      </c>
      <c r="F100" s="26" t="inlineStr">
        <is>
          <t>Sunil CR</t>
        </is>
      </c>
      <c r="G100" s="26" t="inlineStr">
        <is>
          <t>Yes</t>
        </is>
      </c>
      <c r="H100" s="26" t="inlineStr">
        <is>
          <t>No</t>
        </is>
      </c>
      <c r="I100" s="26" t="inlineStr">
        <is>
          <t>Good finish</t>
        </is>
      </c>
      <c r="J100" s="26" t="inlineStr">
        <is>
          <t>Yes</t>
        </is>
      </c>
      <c r="K100" s="27" t="n"/>
      <c r="L100" s="28" t="inlineStr">
        <is>
          <t>No</t>
        </is>
      </c>
      <c r="M100" s="29">
        <f>IF(E100="","",IF(H100="Yes","❌ Disc",IF(G100="No","⚠ Missing",IF(J100="Yes","✓ OK","⚠ Check"))))</f>
        <v/>
      </c>
      <c r="N100" s="43" t="n">
        <v>46196</v>
      </c>
      <c r="O100" s="26" t="inlineStr">
        <is>
          <t>Sunil CR</t>
        </is>
      </c>
      <c r="P100" s="26" t="inlineStr">
        <is>
          <t>Yes</t>
        </is>
      </c>
      <c r="Q100" s="26" t="inlineStr">
        <is>
          <t>No</t>
        </is>
      </c>
      <c r="R100" s="26" t="inlineStr">
        <is>
          <t>Good finish</t>
        </is>
      </c>
      <c r="S100" s="26" t="inlineStr">
        <is>
          <t>Yes</t>
        </is>
      </c>
      <c r="T100" s="27" t="n"/>
      <c r="U100" s="28" t="inlineStr">
        <is>
          <t>No</t>
        </is>
      </c>
      <c r="V100" s="29">
        <f>IF(N100="","",IF(Q100="Yes","❌ Disc",IF(P100="No","⚠ Missing",IF(S100="Yes","✓ OK","⚠ Check"))))</f>
        <v/>
      </c>
      <c r="W100" s="65" t="n">
        <v>46248</v>
      </c>
      <c r="X100" s="30" t="inlineStr">
        <is>
          <t>Sunil CR</t>
        </is>
      </c>
      <c r="Y100" s="30" t="inlineStr">
        <is>
          <t>Yes</t>
        </is>
      </c>
      <c r="Z100" s="30" t="n"/>
      <c r="AA100" s="30" t="inlineStr">
        <is>
          <t>Good finish</t>
        </is>
      </c>
      <c r="AB100" s="30" t="inlineStr">
        <is>
          <t>Yes</t>
        </is>
      </c>
      <c r="AC100" s="27" t="n"/>
      <c r="AD100" s="31" t="inlineStr">
        <is>
          <t>No</t>
        </is>
      </c>
      <c r="AE100" s="32">
        <f>IF(W100="","",IF(Z100="Yes","❌ Disc",IF(Y100="No","⚠ Missing",IF(AB100="Yes","✓ OK","⚠ Check"))))</f>
        <v/>
      </c>
      <c r="AF100" s="33" t="n"/>
      <c r="AG100" s="33" t="n"/>
      <c r="AH100" s="33" t="n"/>
      <c r="AI100" s="33" t="n"/>
      <c r="AJ100" s="33" t="n"/>
      <c r="AK100" s="33" t="n"/>
      <c r="AL100" s="27" t="n"/>
      <c r="AM100" s="34" t="n"/>
      <c r="AN100" s="35">
        <f>IF(AF100="","",IF(AI100="Yes","❌ Disc",IF(AH100="No","⚠ Missing",IF(AK100="Yes","✓ OK","⚠ Check"))))</f>
        <v/>
      </c>
      <c r="AO100" s="36" t="n"/>
      <c r="AP100" s="36" t="n"/>
      <c r="AQ100" s="36" t="n"/>
      <c r="AR100" s="36" t="n"/>
      <c r="AS100" s="36" t="n"/>
      <c r="AT100" s="36" t="n"/>
      <c r="AU100" s="27" t="n"/>
      <c r="AV100" s="37" t="n"/>
      <c r="AW100" s="38">
        <f>IF(AO100="","",IF(AR100="Yes","❌ Disc",IF(AQ100="No","⚠ Missing",IF(AT100="Yes","✓ OK","⚠ Check"))))</f>
        <v/>
      </c>
    </row>
    <row r="101">
      <c r="A101" t="n">
        <v>97</v>
      </c>
      <c r="B101" t="inlineStr">
        <is>
          <t>CT QTZ NRT02 JD</t>
        </is>
      </c>
      <c r="C101" t="inlineStr">
        <is>
          <t>Quartz Kalinga Jerusalem Diamante NORTH 02</t>
        </is>
      </c>
      <c r="D101" t="inlineStr">
        <is>
          <t>Kalinga Stone</t>
        </is>
      </c>
      <c r="E101" s="43" t="n">
        <v>46126</v>
      </c>
      <c r="F101" s="26" t="inlineStr">
        <is>
          <t>Sunil CR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Good finish</t>
        </is>
      </c>
      <c r="J101" s="26" t="inlineStr">
        <is>
          <t>Yes</t>
        </is>
      </c>
      <c r="K101" s="27" t="n"/>
      <c r="L101" s="28" t="inlineStr">
        <is>
          <t>No</t>
        </is>
      </c>
      <c r="M101" s="29">
        <f>IF(E101="","",IF(H101="Yes","❌ Disc",IF(G101="No","⚠ Missing",IF(J101="Yes","✓ OK","⚠ Check"))))</f>
        <v/>
      </c>
      <c r="N101" s="43" t="n">
        <v>46196</v>
      </c>
      <c r="O101" s="26" t="inlineStr">
        <is>
          <t>Sunil CR</t>
        </is>
      </c>
      <c r="P101" s="26" t="inlineStr">
        <is>
          <t>Yes</t>
        </is>
      </c>
      <c r="Q101" s="26" t="inlineStr">
        <is>
          <t>No</t>
        </is>
      </c>
      <c r="R101" s="26" t="inlineStr">
        <is>
          <t>Good finish</t>
        </is>
      </c>
      <c r="S101" s="26" t="inlineStr">
        <is>
          <t>Yes</t>
        </is>
      </c>
      <c r="T101" s="27" t="n"/>
      <c r="U101" s="28" t="inlineStr">
        <is>
          <t>No</t>
        </is>
      </c>
      <c r="V101" s="29">
        <f>IF(N101="","",IF(Q101="Yes","❌ Disc",IF(P101="No","⚠ Missing",IF(S101="Yes","✓ OK","⚠ Check"))))</f>
        <v/>
      </c>
      <c r="W101" s="65" t="n">
        <v>46248</v>
      </c>
      <c r="X101" s="30" t="inlineStr">
        <is>
          <t>Sunil CR</t>
        </is>
      </c>
      <c r="Y101" s="30" t="inlineStr">
        <is>
          <t>Yes</t>
        </is>
      </c>
      <c r="Z101" s="30" t="n"/>
      <c r="AA101" s="30" t="inlineStr">
        <is>
          <t>Good finish</t>
        </is>
      </c>
      <c r="AB101" s="30" t="inlineStr">
        <is>
          <t>Yes</t>
        </is>
      </c>
      <c r="AC101" s="27" t="n"/>
      <c r="AD101" s="31" t="inlineStr">
        <is>
          <t>No</t>
        </is>
      </c>
      <c r="AE101" s="32">
        <f>IF(W101="","",IF(Z101="Yes","❌ Disc",IF(Y101="No","⚠ Missing",IF(AB101="Yes","✓ OK","⚠ Check"))))</f>
        <v/>
      </c>
      <c r="AF101" s="33" t="n"/>
      <c r="AG101" s="33" t="n"/>
      <c r="AH101" s="33" t="n"/>
      <c r="AI101" s="33" t="n"/>
      <c r="AJ101" s="33" t="n"/>
      <c r="AK101" s="33" t="n"/>
      <c r="AL101" s="27" t="n"/>
      <c r="AM101" s="34" t="n"/>
      <c r="AN101" s="35">
        <f>IF(AF101="","",IF(AI101="Yes","❌ Disc",IF(AH101="No","⚠ Missing",IF(AK101="Yes","✓ OK","⚠ Check"))))</f>
        <v/>
      </c>
      <c r="AO101" s="36" t="n"/>
      <c r="AP101" s="36" t="n"/>
      <c r="AQ101" s="36" t="n"/>
      <c r="AR101" s="36" t="n"/>
      <c r="AS101" s="36" t="n"/>
      <c r="AT101" s="36" t="n"/>
      <c r="AU101" s="27" t="n"/>
      <c r="AV101" s="37" t="n"/>
      <c r="AW101" s="38">
        <f>IF(AO101="","",IF(AR101="Yes","❌ Disc",IF(AQ101="No","⚠ Missing",IF(AT101="Yes","✓ OK","⚠ Check"))))</f>
        <v/>
      </c>
    </row>
    <row r="102">
      <c r="A102" t="n">
        <v>98</v>
      </c>
      <c r="B102" t="inlineStr">
        <is>
          <t>CT QTZ SOH03 MT</t>
        </is>
      </c>
      <c r="C102" t="inlineStr">
        <is>
          <t>Quartz Kalinga Metropolitan SOHO 03</t>
        </is>
      </c>
      <c r="D102" t="inlineStr">
        <is>
          <t>Kalinga Stone</t>
        </is>
      </c>
      <c r="E102" s="43" t="n">
        <v>46126</v>
      </c>
      <c r="F102" s="26" t="inlineStr">
        <is>
          <t>Sunil CR</t>
        </is>
      </c>
      <c r="G102" s="26" t="inlineStr">
        <is>
          <t>Yes</t>
        </is>
      </c>
      <c r="H102" s="26" t="inlineStr">
        <is>
          <t>No</t>
        </is>
      </c>
      <c r="I102" s="26" t="inlineStr">
        <is>
          <t>Good finish</t>
        </is>
      </c>
      <c r="J102" s="26" t="inlineStr">
        <is>
          <t>Yes</t>
        </is>
      </c>
      <c r="K102" s="27" t="n"/>
      <c r="L102" s="28" t="inlineStr">
        <is>
          <t>No</t>
        </is>
      </c>
      <c r="M102" s="29">
        <f>IF(E102="","",IF(H102="Yes","❌ Disc",IF(G102="No","⚠ Missing",IF(J102="Yes","✓ OK","⚠ Check"))))</f>
        <v/>
      </c>
      <c r="N102" s="43" t="n">
        <v>46196</v>
      </c>
      <c r="O102" s="26" t="inlineStr">
        <is>
          <t>Sunil CR</t>
        </is>
      </c>
      <c r="P102" s="26" t="inlineStr">
        <is>
          <t>Yes</t>
        </is>
      </c>
      <c r="Q102" s="26" t="inlineStr">
        <is>
          <t>No</t>
        </is>
      </c>
      <c r="R102" s="26" t="inlineStr">
        <is>
          <t>Good finish</t>
        </is>
      </c>
      <c r="S102" s="26" t="inlineStr">
        <is>
          <t>Yes</t>
        </is>
      </c>
      <c r="T102" s="27" t="n"/>
      <c r="U102" s="28" t="inlineStr">
        <is>
          <t>No</t>
        </is>
      </c>
      <c r="V102" s="29">
        <f>IF(N102="","",IF(Q102="Yes","❌ Disc",IF(P102="No","⚠ Missing",IF(S102="Yes","✓ OK","⚠ Check"))))</f>
        <v/>
      </c>
      <c r="W102" s="65" t="n">
        <v>46248</v>
      </c>
      <c r="X102" s="30" t="inlineStr">
        <is>
          <t>Sunil CR</t>
        </is>
      </c>
      <c r="Y102" s="30" t="inlineStr">
        <is>
          <t>Yes</t>
        </is>
      </c>
      <c r="Z102" s="30" t="n"/>
      <c r="AA102" s="30" t="inlineStr">
        <is>
          <t>Good finish</t>
        </is>
      </c>
      <c r="AB102" s="30" t="inlineStr">
        <is>
          <t>Yes</t>
        </is>
      </c>
      <c r="AC102" s="27" t="n"/>
      <c r="AD102" s="31" t="inlineStr">
        <is>
          <t>No</t>
        </is>
      </c>
      <c r="AE102" s="32">
        <f>IF(W102="","",IF(Z102="Yes","❌ Disc",IF(Y102="No","⚠ Missing",IF(AB102="Yes","✓ OK","⚠ Check"))))</f>
        <v/>
      </c>
      <c r="AF102" s="33" t="n"/>
      <c r="AG102" s="33" t="n"/>
      <c r="AH102" s="33" t="n"/>
      <c r="AI102" s="33" t="n"/>
      <c r="AJ102" s="33" t="n"/>
      <c r="AK102" s="33" t="n"/>
      <c r="AL102" s="27" t="n"/>
      <c r="AM102" s="34" t="n"/>
      <c r="AN102" s="35">
        <f>IF(AF102="","",IF(AI102="Yes","❌ Disc",IF(AH102="No","⚠ Missing",IF(AK102="Yes","✓ OK","⚠ Check"))))</f>
        <v/>
      </c>
      <c r="AO102" s="36" t="n"/>
      <c r="AP102" s="36" t="n"/>
      <c r="AQ102" s="36" t="n"/>
      <c r="AR102" s="36" t="n"/>
      <c r="AS102" s="36" t="n"/>
      <c r="AT102" s="36" t="n"/>
      <c r="AU102" s="27" t="n"/>
      <c r="AV102" s="37" t="n"/>
      <c r="AW102" s="38">
        <f>IF(AO102="","",IF(AR102="Yes","❌ Disc",IF(AQ102="No","⚠ Missing",IF(AT102="Yes","✓ OK","⚠ Check"))))</f>
        <v/>
      </c>
    </row>
    <row r="103">
      <c r="A103" t="n">
        <v>99</v>
      </c>
      <c r="B103" t="inlineStr">
        <is>
          <t>CT QTZ SOH03 ML</t>
        </is>
      </c>
      <c r="C103" t="inlineStr">
        <is>
          <t>Quartz Kalinga Milano SOHO 03</t>
        </is>
      </c>
      <c r="D103" t="inlineStr">
        <is>
          <t>Kalinga Stone</t>
        </is>
      </c>
      <c r="E103" s="43" t="n">
        <v>46126</v>
      </c>
      <c r="F103" s="26" t="inlineStr">
        <is>
          <t>Sunil CR</t>
        </is>
      </c>
      <c r="G103" s="26" t="inlineStr">
        <is>
          <t>Yes</t>
        </is>
      </c>
      <c r="H103" s="26" t="inlineStr">
        <is>
          <t>No</t>
        </is>
      </c>
      <c r="I103" s="26" t="inlineStr">
        <is>
          <t>Good finish</t>
        </is>
      </c>
      <c r="J103" s="26" t="inlineStr">
        <is>
          <t>Yes</t>
        </is>
      </c>
      <c r="K103" s="27" t="n"/>
      <c r="L103" s="28" t="inlineStr">
        <is>
          <t>No</t>
        </is>
      </c>
      <c r="M103" s="29">
        <f>IF(E103="","",IF(H103="Yes","❌ Disc",IF(G103="No","⚠ Missing",IF(J103="Yes","✓ OK","⚠ Check"))))</f>
        <v/>
      </c>
      <c r="N103" s="43" t="n">
        <v>46196</v>
      </c>
      <c r="O103" s="26" t="inlineStr">
        <is>
          <t>Sunil CR</t>
        </is>
      </c>
      <c r="P103" s="26" t="inlineStr">
        <is>
          <t>Yes</t>
        </is>
      </c>
      <c r="Q103" s="26" t="inlineStr">
        <is>
          <t>No</t>
        </is>
      </c>
      <c r="R103" s="26" t="inlineStr">
        <is>
          <t>Good finish</t>
        </is>
      </c>
      <c r="S103" s="26" t="inlineStr">
        <is>
          <t>Yes</t>
        </is>
      </c>
      <c r="T103" s="27" t="n"/>
      <c r="U103" s="28" t="inlineStr">
        <is>
          <t>No</t>
        </is>
      </c>
      <c r="V103" s="29">
        <f>IF(N103="","",IF(Q103="Yes","❌ Disc",IF(P103="No","⚠ Missing",IF(S103="Yes","✓ OK","⚠ Check"))))</f>
        <v/>
      </c>
      <c r="W103" s="65" t="n">
        <v>46248</v>
      </c>
      <c r="X103" s="30" t="inlineStr">
        <is>
          <t>Sunil CR</t>
        </is>
      </c>
      <c r="Y103" s="30" t="inlineStr">
        <is>
          <t>Yes</t>
        </is>
      </c>
      <c r="Z103" s="30" t="n"/>
      <c r="AA103" s="30" t="inlineStr">
        <is>
          <t>Good finish</t>
        </is>
      </c>
      <c r="AB103" s="30" t="inlineStr">
        <is>
          <t>Yes</t>
        </is>
      </c>
      <c r="AC103" s="27" t="n"/>
      <c r="AD103" s="31" t="inlineStr">
        <is>
          <t>No</t>
        </is>
      </c>
      <c r="AE103" s="32">
        <f>IF(W103="","",IF(Z103="Yes","❌ Disc",IF(Y103="No","⚠ Missing",IF(AB103="Yes","✓ OK","⚠ Check"))))</f>
        <v/>
      </c>
      <c r="AF103" s="33" t="n"/>
      <c r="AG103" s="33" t="n"/>
      <c r="AH103" s="33" t="n"/>
      <c r="AI103" s="33" t="n"/>
      <c r="AJ103" s="33" t="n"/>
      <c r="AK103" s="33" t="n"/>
      <c r="AL103" s="27" t="n"/>
      <c r="AM103" s="34" t="n"/>
      <c r="AN103" s="35">
        <f>IF(AF103="","",IF(AI103="Yes","❌ Disc",IF(AH103="No","⚠ Missing",IF(AK103="Yes","✓ OK","⚠ Check"))))</f>
        <v/>
      </c>
      <c r="AO103" s="36" t="n"/>
      <c r="AP103" s="36" t="n"/>
      <c r="AQ103" s="36" t="n"/>
      <c r="AR103" s="36" t="n"/>
      <c r="AS103" s="36" t="n"/>
      <c r="AT103" s="36" t="n"/>
      <c r="AU103" s="27" t="n"/>
      <c r="AV103" s="37" t="n"/>
      <c r="AW103" s="38">
        <f>IF(AO103="","",IF(AR103="Yes","❌ Disc",IF(AQ103="No","⚠ Missing",IF(AT103="Yes","✓ OK","⚠ Check"))))</f>
        <v/>
      </c>
    </row>
    <row r="104">
      <c r="A104" t="n">
        <v>100</v>
      </c>
      <c r="B104" t="inlineStr">
        <is>
          <t>CT QTZ NRT02 MC</t>
        </is>
      </c>
      <c r="C104" t="inlineStr">
        <is>
          <t>Quartz Kalinga Mocca Cream NORTH 02</t>
        </is>
      </c>
      <c r="D104" t="inlineStr">
        <is>
          <t>Kalinga Stone</t>
        </is>
      </c>
      <c r="E104" s="43" t="n">
        <v>46126</v>
      </c>
      <c r="F104" s="26" t="inlineStr">
        <is>
          <t>Sunil CR</t>
        </is>
      </c>
      <c r="G104" s="26" t="inlineStr">
        <is>
          <t>Yes</t>
        </is>
      </c>
      <c r="H104" s="26" t="inlineStr">
        <is>
          <t>No</t>
        </is>
      </c>
      <c r="I104" s="26" t="inlineStr">
        <is>
          <t>Good finish</t>
        </is>
      </c>
      <c r="J104" s="26" t="inlineStr">
        <is>
          <t>Yes</t>
        </is>
      </c>
      <c r="K104" s="27" t="n"/>
      <c r="L104" s="28" t="inlineStr">
        <is>
          <t>No</t>
        </is>
      </c>
      <c r="M104" s="29">
        <f>IF(E104="","",IF(H104="Yes","❌ Disc",IF(G104="No","⚠ Missing",IF(J104="Yes","✓ OK","⚠ Check"))))</f>
        <v/>
      </c>
      <c r="N104" s="43" t="n">
        <v>46196</v>
      </c>
      <c r="O104" s="26" t="inlineStr">
        <is>
          <t>Sunil CR</t>
        </is>
      </c>
      <c r="P104" s="26" t="inlineStr">
        <is>
          <t>Yes</t>
        </is>
      </c>
      <c r="Q104" s="26" t="inlineStr">
        <is>
          <t>No</t>
        </is>
      </c>
      <c r="R104" s="26" t="inlineStr">
        <is>
          <t>Good finish</t>
        </is>
      </c>
      <c r="S104" s="26" t="inlineStr">
        <is>
          <t>Yes</t>
        </is>
      </c>
      <c r="T104" s="27" t="n"/>
      <c r="U104" s="28" t="inlineStr">
        <is>
          <t>No</t>
        </is>
      </c>
      <c r="V104" s="29">
        <f>IF(N104="","",IF(Q104="Yes","❌ Disc",IF(P104="No","⚠ Missing",IF(S104="Yes","✓ OK","⚠ Check"))))</f>
        <v/>
      </c>
      <c r="W104" s="65" t="n">
        <v>46248</v>
      </c>
      <c r="X104" s="30" t="inlineStr">
        <is>
          <t>Sunil CR</t>
        </is>
      </c>
      <c r="Y104" s="30" t="inlineStr">
        <is>
          <t>Yes</t>
        </is>
      </c>
      <c r="Z104" s="30" t="n"/>
      <c r="AA104" s="30" t="inlineStr">
        <is>
          <t>Good finish</t>
        </is>
      </c>
      <c r="AB104" s="30" t="inlineStr">
        <is>
          <t>Yes</t>
        </is>
      </c>
      <c r="AC104" s="27" t="n"/>
      <c r="AD104" s="31" t="inlineStr">
        <is>
          <t>No</t>
        </is>
      </c>
      <c r="AE104" s="32">
        <f>IF(W104="","",IF(Z104="Yes","❌ Disc",IF(Y104="No","⚠ Missing",IF(AB104="Yes","✓ OK","⚠ Check"))))</f>
        <v/>
      </c>
      <c r="AF104" s="33" t="n"/>
      <c r="AG104" s="33" t="n"/>
      <c r="AH104" s="33" t="n"/>
      <c r="AI104" s="33" t="n"/>
      <c r="AJ104" s="33" t="n"/>
      <c r="AK104" s="33" t="n"/>
      <c r="AL104" s="27" t="n"/>
      <c r="AM104" s="34" t="n"/>
      <c r="AN104" s="35">
        <f>IF(AF104="","",IF(AI104="Yes","❌ Disc",IF(AH104="No","⚠ Missing",IF(AK104="Yes","✓ OK","⚠ Check"))))</f>
        <v/>
      </c>
      <c r="AO104" s="36" t="n"/>
      <c r="AP104" s="36" t="n"/>
      <c r="AQ104" s="36" t="n"/>
      <c r="AR104" s="36" t="n"/>
      <c r="AS104" s="36" t="n"/>
      <c r="AT104" s="36" t="n"/>
      <c r="AU104" s="27" t="n"/>
      <c r="AV104" s="37" t="n"/>
      <c r="AW104" s="38">
        <f>IF(AO104="","",IF(AR104="Yes","❌ Disc",IF(AQ104="No","⚠ Missing",IF(AT104="Yes","✓ OK","⚠ Check"))))</f>
        <v/>
      </c>
    </row>
    <row r="105">
      <c r="A105" t="n">
        <v>101</v>
      </c>
      <c r="B105" t="inlineStr">
        <is>
          <t>CT QTZ NRT02 MD</t>
        </is>
      </c>
      <c r="C105" t="inlineStr">
        <is>
          <t>Quartz Kalinga Mocca Diamante NORTH 02</t>
        </is>
      </c>
      <c r="D105" t="inlineStr">
        <is>
          <t>Kalinga Stone</t>
        </is>
      </c>
      <c r="E105" s="43" t="n">
        <v>46126</v>
      </c>
      <c r="F105" s="26" t="inlineStr">
        <is>
          <t>Sunil CR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Good finish</t>
        </is>
      </c>
      <c r="J105" s="26" t="inlineStr">
        <is>
          <t>Yes</t>
        </is>
      </c>
      <c r="K105" s="27" t="n"/>
      <c r="L105" s="28" t="inlineStr">
        <is>
          <t>No</t>
        </is>
      </c>
      <c r="M105" s="29">
        <f>IF(E105="","",IF(H105="Yes","❌ Disc",IF(G105="No","⚠ Missing",IF(J105="Yes","✓ OK","⚠ Check"))))</f>
        <v/>
      </c>
      <c r="N105" s="43" t="n">
        <v>46196</v>
      </c>
      <c r="O105" s="26" t="inlineStr">
        <is>
          <t>Sunil CR</t>
        </is>
      </c>
      <c r="P105" s="26" t="inlineStr">
        <is>
          <t>Yes</t>
        </is>
      </c>
      <c r="Q105" s="26" t="inlineStr">
        <is>
          <t>No</t>
        </is>
      </c>
      <c r="R105" s="26" t="inlineStr">
        <is>
          <t>Good finish</t>
        </is>
      </c>
      <c r="S105" s="26" t="inlineStr">
        <is>
          <t>Yes</t>
        </is>
      </c>
      <c r="T105" s="27" t="n"/>
      <c r="U105" s="28" t="inlineStr">
        <is>
          <t>No</t>
        </is>
      </c>
      <c r="V105" s="29">
        <f>IF(N105="","",IF(Q105="Yes","❌ Disc",IF(P105="No","⚠ Missing",IF(S105="Yes","✓ OK","⚠ Check"))))</f>
        <v/>
      </c>
      <c r="W105" s="65" t="n">
        <v>46248</v>
      </c>
      <c r="X105" s="30" t="inlineStr">
        <is>
          <t>Sunil CR</t>
        </is>
      </c>
      <c r="Y105" s="30" t="inlineStr">
        <is>
          <t>Yes</t>
        </is>
      </c>
      <c r="Z105" s="30" t="n"/>
      <c r="AA105" s="30" t="inlineStr">
        <is>
          <t>Good finish</t>
        </is>
      </c>
      <c r="AB105" s="30" t="inlineStr">
        <is>
          <t>Yes</t>
        </is>
      </c>
      <c r="AC105" s="27" t="n"/>
      <c r="AD105" s="31" t="inlineStr">
        <is>
          <t>No</t>
        </is>
      </c>
      <c r="AE105" s="32">
        <f>IF(W105="","",IF(Z105="Yes","❌ Disc",IF(Y105="No","⚠ Missing",IF(AB105="Yes","✓ OK","⚠ Check"))))</f>
        <v/>
      </c>
      <c r="AF105" s="33" t="n"/>
      <c r="AG105" s="33" t="n"/>
      <c r="AH105" s="33" t="n"/>
      <c r="AI105" s="33" t="n"/>
      <c r="AJ105" s="33" t="n"/>
      <c r="AK105" s="33" t="n"/>
      <c r="AL105" s="27" t="n"/>
      <c r="AM105" s="34" t="n"/>
      <c r="AN105" s="35">
        <f>IF(AF105="","",IF(AI105="Yes","❌ Disc",IF(AH105="No","⚠ Missing",IF(AK105="Yes","✓ OK","⚠ Check"))))</f>
        <v/>
      </c>
      <c r="AO105" s="36" t="n"/>
      <c r="AP105" s="36" t="n"/>
      <c r="AQ105" s="36" t="n"/>
      <c r="AR105" s="36" t="n"/>
      <c r="AS105" s="36" t="n"/>
      <c r="AT105" s="36" t="n"/>
      <c r="AU105" s="27" t="n"/>
      <c r="AV105" s="37" t="n"/>
      <c r="AW105" s="38">
        <f>IF(AO105="","",IF(AR105="Yes","❌ Disc",IF(AQ105="No","⚠ Missing",IF(AT105="Yes","✓ OK","⚠ Check"))))</f>
        <v/>
      </c>
    </row>
    <row r="106">
      <c r="A106" t="n">
        <v>102</v>
      </c>
      <c r="B106" t="inlineStr">
        <is>
          <t>CT QTZ SOH03 NC</t>
        </is>
      </c>
      <c r="C106" t="inlineStr">
        <is>
          <t>Quartz Kalinga Nero Classic SOHO 03</t>
        </is>
      </c>
      <c r="D106" t="inlineStr">
        <is>
          <t>Kalinga Stone</t>
        </is>
      </c>
      <c r="E106" s="43" t="n">
        <v>46126</v>
      </c>
      <c r="F106" s="26" t="inlineStr">
        <is>
          <t>Sunil CR</t>
        </is>
      </c>
      <c r="G106" s="26" t="inlineStr">
        <is>
          <t>Yes</t>
        </is>
      </c>
      <c r="H106" s="26" t="inlineStr">
        <is>
          <t>No</t>
        </is>
      </c>
      <c r="I106" s="26" t="inlineStr">
        <is>
          <t>Good finish</t>
        </is>
      </c>
      <c r="J106" s="26" t="inlineStr">
        <is>
          <t>Yes</t>
        </is>
      </c>
      <c r="K106" s="27" t="n"/>
      <c r="L106" s="28" t="inlineStr">
        <is>
          <t>No</t>
        </is>
      </c>
      <c r="M106" s="29">
        <f>IF(E106="","",IF(H106="Yes","❌ Disc",IF(G106="No","⚠ Missing",IF(J106="Yes","✓ OK","⚠ Check"))))</f>
        <v/>
      </c>
      <c r="N106" s="43" t="n">
        <v>46196</v>
      </c>
      <c r="O106" s="26" t="inlineStr">
        <is>
          <t>Sunil CR</t>
        </is>
      </c>
      <c r="P106" s="26" t="inlineStr">
        <is>
          <t>Yes</t>
        </is>
      </c>
      <c r="Q106" s="26" t="inlineStr">
        <is>
          <t>No</t>
        </is>
      </c>
      <c r="R106" s="26" t="inlineStr">
        <is>
          <t>Good finish</t>
        </is>
      </c>
      <c r="S106" s="26" t="inlineStr">
        <is>
          <t>Yes</t>
        </is>
      </c>
      <c r="T106" s="27" t="n"/>
      <c r="U106" s="28" t="inlineStr">
        <is>
          <t>No</t>
        </is>
      </c>
      <c r="V106" s="29">
        <f>IF(N106="","",IF(Q106="Yes","❌ Disc",IF(P106="No","⚠ Missing",IF(S106="Yes","✓ OK","⚠ Check"))))</f>
        <v/>
      </c>
      <c r="W106" s="65" t="n">
        <v>46248</v>
      </c>
      <c r="X106" s="30" t="inlineStr">
        <is>
          <t>Sunil CR</t>
        </is>
      </c>
      <c r="Y106" s="30" t="inlineStr">
        <is>
          <t>Yes</t>
        </is>
      </c>
      <c r="Z106" s="30" t="n"/>
      <c r="AA106" s="30" t="inlineStr">
        <is>
          <t>Good finish</t>
        </is>
      </c>
      <c r="AB106" s="30" t="inlineStr">
        <is>
          <t>Yes</t>
        </is>
      </c>
      <c r="AC106" s="27" t="n"/>
      <c r="AD106" s="31" t="inlineStr">
        <is>
          <t>No</t>
        </is>
      </c>
      <c r="AE106" s="32">
        <f>IF(W106="","",IF(Z106="Yes","❌ Disc",IF(Y106="No","⚠ Missing",IF(AB106="Yes","✓ OK","⚠ Check"))))</f>
        <v/>
      </c>
      <c r="AF106" s="33" t="n"/>
      <c r="AG106" s="33" t="n"/>
      <c r="AH106" s="33" t="n"/>
      <c r="AI106" s="33" t="n"/>
      <c r="AJ106" s="33" t="n"/>
      <c r="AK106" s="33" t="n"/>
      <c r="AL106" s="27" t="n"/>
      <c r="AM106" s="34" t="n"/>
      <c r="AN106" s="35">
        <f>IF(AF106="","",IF(AI106="Yes","❌ Disc",IF(AH106="No","⚠ Missing",IF(AK106="Yes","✓ OK","⚠ Check"))))</f>
        <v/>
      </c>
      <c r="AO106" s="36" t="n"/>
      <c r="AP106" s="36" t="n"/>
      <c r="AQ106" s="36" t="n"/>
      <c r="AR106" s="36" t="n"/>
      <c r="AS106" s="36" t="n"/>
      <c r="AT106" s="36" t="n"/>
      <c r="AU106" s="27" t="n"/>
      <c r="AV106" s="37" t="n"/>
      <c r="AW106" s="38">
        <f>IF(AO106="","",IF(AR106="Yes","❌ Disc",IF(AQ106="No","⚠ Missing",IF(AT106="Yes","✓ OK","⚠ Check"))))</f>
        <v/>
      </c>
    </row>
    <row r="107">
      <c r="A107" t="n">
        <v>103</v>
      </c>
      <c r="B107" t="inlineStr">
        <is>
          <t>CT QTZ NRT02 ND</t>
        </is>
      </c>
      <c r="C107" t="inlineStr">
        <is>
          <t>Quartz Kalinga Nero Diamante NORTH 02</t>
        </is>
      </c>
      <c r="D107" t="inlineStr">
        <is>
          <t>Kalinga Stone</t>
        </is>
      </c>
      <c r="E107" s="43" t="n">
        <v>46126</v>
      </c>
      <c r="F107" s="26" t="inlineStr">
        <is>
          <t>Sunil CR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Good finish</t>
        </is>
      </c>
      <c r="J107" s="26" t="inlineStr">
        <is>
          <t>Yes</t>
        </is>
      </c>
      <c r="K107" s="27" t="n"/>
      <c r="L107" s="28" t="inlineStr">
        <is>
          <t>No</t>
        </is>
      </c>
      <c r="M107" s="29">
        <f>IF(E107="","",IF(H107="Yes","❌ Disc",IF(G107="No","⚠ Missing",IF(J107="Yes","✓ OK","⚠ Check"))))</f>
        <v/>
      </c>
      <c r="N107" s="43" t="n">
        <v>46196</v>
      </c>
      <c r="O107" s="26" t="inlineStr">
        <is>
          <t>Sunil CR</t>
        </is>
      </c>
      <c r="P107" s="26" t="inlineStr">
        <is>
          <t>Yes</t>
        </is>
      </c>
      <c r="Q107" s="26" t="inlineStr">
        <is>
          <t>No</t>
        </is>
      </c>
      <c r="R107" s="26" t="inlineStr">
        <is>
          <t>Good finish</t>
        </is>
      </c>
      <c r="S107" s="26" t="inlineStr">
        <is>
          <t>Yes</t>
        </is>
      </c>
      <c r="T107" s="27" t="n"/>
      <c r="U107" s="28" t="inlineStr">
        <is>
          <t>No</t>
        </is>
      </c>
      <c r="V107" s="29">
        <f>IF(N107="","",IF(Q107="Yes","❌ Disc",IF(P107="No","⚠ Missing",IF(S107="Yes","✓ OK","⚠ Check"))))</f>
        <v/>
      </c>
      <c r="W107" s="65" t="n">
        <v>46248</v>
      </c>
      <c r="X107" s="30" t="inlineStr">
        <is>
          <t>Sunil CR</t>
        </is>
      </c>
      <c r="Y107" s="30" t="inlineStr">
        <is>
          <t>Yes</t>
        </is>
      </c>
      <c r="Z107" s="30" t="n"/>
      <c r="AA107" s="30" t="inlineStr">
        <is>
          <t>Good finish</t>
        </is>
      </c>
      <c r="AB107" s="30" t="inlineStr">
        <is>
          <t>Yes</t>
        </is>
      </c>
      <c r="AC107" s="27" t="n"/>
      <c r="AD107" s="31" t="inlineStr">
        <is>
          <t>No</t>
        </is>
      </c>
      <c r="AE107" s="32">
        <f>IF(W107="","",IF(Z107="Yes","❌ Disc",IF(Y107="No","⚠ Missing",IF(AB107="Yes","✓ OK","⚠ Check"))))</f>
        <v/>
      </c>
      <c r="AF107" s="33" t="n"/>
      <c r="AG107" s="33" t="n"/>
      <c r="AH107" s="33" t="n"/>
      <c r="AI107" s="33" t="n"/>
      <c r="AJ107" s="33" t="n"/>
      <c r="AK107" s="33" t="n"/>
      <c r="AL107" s="27" t="n"/>
      <c r="AM107" s="34" t="n"/>
      <c r="AN107" s="35">
        <f>IF(AF107="","",IF(AI107="Yes","❌ Disc",IF(AH107="No","⚠ Missing",IF(AK107="Yes","✓ OK","⚠ Check"))))</f>
        <v/>
      </c>
      <c r="AO107" s="36" t="n"/>
      <c r="AP107" s="36" t="n"/>
      <c r="AQ107" s="36" t="n"/>
      <c r="AR107" s="36" t="n"/>
      <c r="AS107" s="36" t="n"/>
      <c r="AT107" s="36" t="n"/>
      <c r="AU107" s="27" t="n"/>
      <c r="AV107" s="37" t="n"/>
      <c r="AW107" s="38">
        <f>IF(AO107="","",IF(AR107="Yes","❌ Disc",IF(AQ107="No","⚠ Missing",IF(AT107="Yes","✓ OK","⚠ Check"))))</f>
        <v/>
      </c>
    </row>
    <row r="108">
      <c r="A108" t="n">
        <v>104</v>
      </c>
      <c r="B108" t="inlineStr">
        <is>
          <t>CT QTZ AMB05 NE</t>
        </is>
      </c>
      <c r="C108" t="inlineStr">
        <is>
          <t>Quartz Kalinga New Extra White AMBIENTE 05</t>
        </is>
      </c>
      <c r="D108" t="inlineStr">
        <is>
          <t>Kalinga Stone</t>
        </is>
      </c>
      <c r="E108" s="43" t="n">
        <v>46126</v>
      </c>
      <c r="F108" s="26" t="inlineStr">
        <is>
          <t>Sunil CR</t>
        </is>
      </c>
      <c r="G108" s="26" t="inlineStr">
        <is>
          <t>Yes</t>
        </is>
      </c>
      <c r="H108" s="26" t="inlineStr">
        <is>
          <t>No</t>
        </is>
      </c>
      <c r="I108" s="26" t="inlineStr">
        <is>
          <t>Good finish</t>
        </is>
      </c>
      <c r="J108" s="26" t="inlineStr">
        <is>
          <t>Yes</t>
        </is>
      </c>
      <c r="K108" s="27" t="n"/>
      <c r="L108" s="28" t="inlineStr">
        <is>
          <t>No</t>
        </is>
      </c>
      <c r="M108" s="29">
        <f>IF(E108="","",IF(H108="Yes","❌ Disc",IF(G108="No","⚠ Missing",IF(J108="Yes","✓ OK","⚠ Check"))))</f>
        <v/>
      </c>
      <c r="N108" s="43" t="n">
        <v>46196</v>
      </c>
      <c r="O108" s="26" t="inlineStr">
        <is>
          <t>Sunil CR</t>
        </is>
      </c>
      <c r="P108" s="26" t="inlineStr">
        <is>
          <t>Yes</t>
        </is>
      </c>
      <c r="Q108" s="26" t="inlineStr">
        <is>
          <t>No</t>
        </is>
      </c>
      <c r="R108" s="26" t="inlineStr">
        <is>
          <t>Good finish</t>
        </is>
      </c>
      <c r="S108" s="26" t="inlineStr">
        <is>
          <t>Yes</t>
        </is>
      </c>
      <c r="T108" s="27" t="n"/>
      <c r="U108" s="28" t="inlineStr">
        <is>
          <t>No</t>
        </is>
      </c>
      <c r="V108" s="29">
        <f>IF(N108="","",IF(Q108="Yes","❌ Disc",IF(P108="No","⚠ Missing",IF(S108="Yes","✓ OK","⚠ Check"))))</f>
        <v/>
      </c>
      <c r="W108" s="65" t="n">
        <v>46248</v>
      </c>
      <c r="X108" s="30" t="inlineStr">
        <is>
          <t>Sunil CR</t>
        </is>
      </c>
      <c r="Y108" s="30" t="inlineStr">
        <is>
          <t>Yes</t>
        </is>
      </c>
      <c r="Z108" s="30" t="n"/>
      <c r="AA108" s="30" t="inlineStr">
        <is>
          <t>Good finish</t>
        </is>
      </c>
      <c r="AB108" s="30" t="inlineStr">
        <is>
          <t>Yes</t>
        </is>
      </c>
      <c r="AC108" s="27" t="n"/>
      <c r="AD108" s="31" t="inlineStr">
        <is>
          <t>No</t>
        </is>
      </c>
      <c r="AE108" s="32">
        <f>IF(W108="","",IF(Z108="Yes","❌ Disc",IF(Y108="No","⚠ Missing",IF(AB108="Yes","✓ OK","⚠ Check"))))</f>
        <v/>
      </c>
      <c r="AF108" s="33" t="n"/>
      <c r="AG108" s="33" t="n"/>
      <c r="AH108" s="33" t="n"/>
      <c r="AI108" s="33" t="n"/>
      <c r="AJ108" s="33" t="n"/>
      <c r="AK108" s="33" t="n"/>
      <c r="AL108" s="27" t="n"/>
      <c r="AM108" s="34" t="n"/>
      <c r="AN108" s="35">
        <f>IF(AF108="","",IF(AI108="Yes","❌ Disc",IF(AH108="No","⚠ Missing",IF(AK108="Yes","✓ OK","⚠ Check"))))</f>
        <v/>
      </c>
      <c r="AO108" s="36" t="n"/>
      <c r="AP108" s="36" t="n"/>
      <c r="AQ108" s="36" t="n"/>
      <c r="AR108" s="36" t="n"/>
      <c r="AS108" s="36" t="n"/>
      <c r="AT108" s="36" t="n"/>
      <c r="AU108" s="27" t="n"/>
      <c r="AV108" s="37" t="n"/>
      <c r="AW108" s="38">
        <f>IF(AO108="","",IF(AR108="Yes","❌ Disc",IF(AQ108="No","⚠ Missing",IF(AT108="Yes","✓ OK","⚠ Check"))))</f>
        <v/>
      </c>
    </row>
    <row r="109">
      <c r="A109" t="n">
        <v>105</v>
      </c>
      <c r="B109" t="inlineStr">
        <is>
          <t>CT QTZ AMB05 NS</t>
        </is>
      </c>
      <c r="C109" t="inlineStr">
        <is>
          <t>Quartz Kalinga Nisley AMBIENTE 05</t>
        </is>
      </c>
      <c r="D109" t="inlineStr">
        <is>
          <t>Kalinga Stone</t>
        </is>
      </c>
      <c r="E109" s="43" t="n">
        <v>46126</v>
      </c>
      <c r="F109" s="26" t="inlineStr">
        <is>
          <t>Sunil CR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Good finish</t>
        </is>
      </c>
      <c r="J109" s="26" t="inlineStr">
        <is>
          <t>Yes</t>
        </is>
      </c>
      <c r="K109" s="27" t="n"/>
      <c r="L109" s="28" t="inlineStr">
        <is>
          <t>No</t>
        </is>
      </c>
      <c r="M109" s="29">
        <f>IF(E109="","",IF(H109="Yes","❌ Disc",IF(G109="No","⚠ Missing",IF(J109="Yes","✓ OK","⚠ Check"))))</f>
        <v/>
      </c>
      <c r="N109" s="43" t="n">
        <v>46196</v>
      </c>
      <c r="O109" s="26" t="inlineStr">
        <is>
          <t>Sunil CR</t>
        </is>
      </c>
      <c r="P109" s="26" t="inlineStr">
        <is>
          <t>Yes</t>
        </is>
      </c>
      <c r="Q109" s="26" t="inlineStr">
        <is>
          <t>No</t>
        </is>
      </c>
      <c r="R109" s="26" t="inlineStr">
        <is>
          <t>Good finish</t>
        </is>
      </c>
      <c r="S109" s="26" t="inlineStr">
        <is>
          <t>Yes</t>
        </is>
      </c>
      <c r="T109" s="27" t="n"/>
      <c r="U109" s="28" t="inlineStr">
        <is>
          <t>No</t>
        </is>
      </c>
      <c r="V109" s="29">
        <f>IF(N109="","",IF(Q109="Yes","❌ Disc",IF(P109="No","⚠ Missing",IF(S109="Yes","✓ OK","⚠ Check"))))</f>
        <v/>
      </c>
      <c r="W109" s="65" t="n">
        <v>46248</v>
      </c>
      <c r="X109" s="30" t="inlineStr">
        <is>
          <t>Sunil CR</t>
        </is>
      </c>
      <c r="Y109" s="30" t="inlineStr">
        <is>
          <t>Yes</t>
        </is>
      </c>
      <c r="Z109" s="30" t="n"/>
      <c r="AA109" s="30" t="inlineStr">
        <is>
          <t>Good finish</t>
        </is>
      </c>
      <c r="AB109" s="30" t="inlineStr">
        <is>
          <t>Yes</t>
        </is>
      </c>
      <c r="AC109" s="27" t="n"/>
      <c r="AD109" s="31" t="inlineStr">
        <is>
          <t>No</t>
        </is>
      </c>
      <c r="AE109" s="32">
        <f>IF(W109="","",IF(Z109="Yes","❌ Disc",IF(Y109="No","⚠ Missing",IF(AB109="Yes","✓ OK","⚠ Check"))))</f>
        <v/>
      </c>
      <c r="AF109" s="33" t="n"/>
      <c r="AG109" s="33" t="n"/>
      <c r="AH109" s="33" t="n"/>
      <c r="AI109" s="33" t="n"/>
      <c r="AJ109" s="33" t="n"/>
      <c r="AK109" s="33" t="n"/>
      <c r="AL109" s="27" t="n"/>
      <c r="AM109" s="34" t="n"/>
      <c r="AN109" s="35">
        <f>IF(AF109="","",IF(AI109="Yes","❌ Disc",IF(AH109="No","⚠ Missing",IF(AK109="Yes","✓ OK","⚠ Check"))))</f>
        <v/>
      </c>
      <c r="AO109" s="36" t="n"/>
      <c r="AP109" s="36" t="n"/>
      <c r="AQ109" s="36" t="n"/>
      <c r="AR109" s="36" t="n"/>
      <c r="AS109" s="36" t="n"/>
      <c r="AT109" s="36" t="n"/>
      <c r="AU109" s="27" t="n"/>
      <c r="AV109" s="37" t="n"/>
      <c r="AW109" s="38">
        <f>IF(AO109="","",IF(AR109="Yes","❌ Disc",IF(AQ109="No","⚠ Missing",IF(AT109="Yes","✓ OK","⚠ Check"))))</f>
        <v/>
      </c>
    </row>
    <row r="110">
      <c r="A110" t="n">
        <v>106</v>
      </c>
      <c r="B110" t="inlineStr">
        <is>
          <t>CT QTZ CON04 NO</t>
        </is>
      </c>
      <c r="C110" t="inlineStr">
        <is>
          <t>Quartz Kalinga Noah CONCORD 04</t>
        </is>
      </c>
      <c r="D110" t="inlineStr">
        <is>
          <t>Kalinga Stone</t>
        </is>
      </c>
      <c r="E110" s="43" t="n">
        <v>46126</v>
      </c>
      <c r="F110" s="26" t="inlineStr">
        <is>
          <t>Sunil CR</t>
        </is>
      </c>
      <c r="G110" s="26" t="inlineStr">
        <is>
          <t>Yes</t>
        </is>
      </c>
      <c r="H110" s="26" t="inlineStr">
        <is>
          <t>No</t>
        </is>
      </c>
      <c r="I110" s="26" t="inlineStr">
        <is>
          <t>Good finish</t>
        </is>
      </c>
      <c r="J110" s="26" t="inlineStr">
        <is>
          <t>Yes</t>
        </is>
      </c>
      <c r="K110" s="27" t="n"/>
      <c r="L110" s="28" t="inlineStr">
        <is>
          <t>No</t>
        </is>
      </c>
      <c r="M110" s="29">
        <f>IF(E110="","",IF(H110="Yes","❌ Disc",IF(G110="No","⚠ Missing",IF(J110="Yes","✓ OK","⚠ Check"))))</f>
        <v/>
      </c>
      <c r="N110" s="43" t="n">
        <v>46196</v>
      </c>
      <c r="O110" s="26" t="inlineStr">
        <is>
          <t>Sunil CR</t>
        </is>
      </c>
      <c r="P110" s="26" t="inlineStr">
        <is>
          <t>Yes</t>
        </is>
      </c>
      <c r="Q110" s="26" t="inlineStr">
        <is>
          <t>No</t>
        </is>
      </c>
      <c r="R110" s="26" t="inlineStr">
        <is>
          <t>Good finish</t>
        </is>
      </c>
      <c r="S110" s="26" t="inlineStr">
        <is>
          <t>Yes</t>
        </is>
      </c>
      <c r="T110" s="27" t="n"/>
      <c r="U110" s="28" t="inlineStr">
        <is>
          <t>No</t>
        </is>
      </c>
      <c r="V110" s="29">
        <f>IF(N110="","",IF(Q110="Yes","❌ Disc",IF(P110="No","⚠ Missing",IF(S110="Yes","✓ OK","⚠ Check"))))</f>
        <v/>
      </c>
      <c r="W110" s="65" t="n">
        <v>46248</v>
      </c>
      <c r="X110" s="30" t="inlineStr">
        <is>
          <t>Sunil CR</t>
        </is>
      </c>
      <c r="Y110" s="30" t="inlineStr">
        <is>
          <t>Yes</t>
        </is>
      </c>
      <c r="Z110" s="30" t="n"/>
      <c r="AA110" s="30" t="inlineStr">
        <is>
          <t>Good finish</t>
        </is>
      </c>
      <c r="AB110" s="30" t="inlineStr">
        <is>
          <t>Yes</t>
        </is>
      </c>
      <c r="AC110" s="27" t="n"/>
      <c r="AD110" s="31" t="inlineStr">
        <is>
          <t>No</t>
        </is>
      </c>
      <c r="AE110" s="32">
        <f>IF(W110="","",IF(Z110="Yes","❌ Disc",IF(Y110="No","⚠ Missing",IF(AB110="Yes","✓ OK","⚠ Check"))))</f>
        <v/>
      </c>
      <c r="AF110" s="33" t="n"/>
      <c r="AG110" s="33" t="n"/>
      <c r="AH110" s="33" t="n"/>
      <c r="AI110" s="33" t="n"/>
      <c r="AJ110" s="33" t="n"/>
      <c r="AK110" s="33" t="n"/>
      <c r="AL110" s="27" t="n"/>
      <c r="AM110" s="34" t="n"/>
      <c r="AN110" s="35">
        <f>IF(AF110="","",IF(AI110="Yes","❌ Disc",IF(AH110="No","⚠ Missing",IF(AK110="Yes","✓ OK","⚠ Check"))))</f>
        <v/>
      </c>
      <c r="AO110" s="36" t="n"/>
      <c r="AP110" s="36" t="n"/>
      <c r="AQ110" s="36" t="n"/>
      <c r="AR110" s="36" t="n"/>
      <c r="AS110" s="36" t="n"/>
      <c r="AT110" s="36" t="n"/>
      <c r="AU110" s="27" t="n"/>
      <c r="AV110" s="37" t="n"/>
      <c r="AW110" s="38">
        <f>IF(AO110="","",IF(AR110="Yes","❌ Disc",IF(AQ110="No","⚠ Missing",IF(AT110="Yes","✓ OK","⚠ Check"))))</f>
        <v/>
      </c>
    </row>
    <row r="111">
      <c r="A111" t="n">
        <v>107</v>
      </c>
      <c r="B111" t="inlineStr">
        <is>
          <t>CT QTZ SOH03 RP</t>
        </is>
      </c>
      <c r="C111" t="inlineStr">
        <is>
          <t>Quartz Kalinga Repen SOHO 03</t>
        </is>
      </c>
      <c r="D111" t="inlineStr">
        <is>
          <t>Kalinga Stone</t>
        </is>
      </c>
      <c r="E111" s="43" t="n">
        <v>46126</v>
      </c>
      <c r="F111" s="26" t="inlineStr">
        <is>
          <t>Sunil CR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Good finish</t>
        </is>
      </c>
      <c r="J111" s="26" t="inlineStr">
        <is>
          <t>Yes</t>
        </is>
      </c>
      <c r="K111" s="27" t="n"/>
      <c r="L111" s="28" t="inlineStr">
        <is>
          <t>No</t>
        </is>
      </c>
      <c r="M111" s="29">
        <f>IF(E111="","",IF(H111="Yes","❌ Disc",IF(G111="No","⚠ Missing",IF(J111="Yes","✓ OK","⚠ Check"))))</f>
        <v/>
      </c>
      <c r="N111" s="43" t="n">
        <v>46196</v>
      </c>
      <c r="O111" s="26" t="inlineStr">
        <is>
          <t>Sunil CR</t>
        </is>
      </c>
      <c r="P111" s="26" t="inlineStr">
        <is>
          <t>Yes</t>
        </is>
      </c>
      <c r="Q111" s="26" t="inlineStr">
        <is>
          <t>No</t>
        </is>
      </c>
      <c r="R111" s="26" t="inlineStr">
        <is>
          <t>Good finish</t>
        </is>
      </c>
      <c r="S111" s="26" t="inlineStr">
        <is>
          <t>Yes</t>
        </is>
      </c>
      <c r="T111" s="27" t="n"/>
      <c r="U111" s="28" t="inlineStr">
        <is>
          <t>No</t>
        </is>
      </c>
      <c r="V111" s="29">
        <f>IF(N111="","",IF(Q111="Yes","❌ Disc",IF(P111="No","⚠ Missing",IF(S111="Yes","✓ OK","⚠ Check"))))</f>
        <v/>
      </c>
      <c r="W111" s="65" t="n">
        <v>46248</v>
      </c>
      <c r="X111" s="30" t="inlineStr">
        <is>
          <t>Sunil CR</t>
        </is>
      </c>
      <c r="Y111" s="30" t="inlineStr">
        <is>
          <t>Yes</t>
        </is>
      </c>
      <c r="Z111" s="30" t="n"/>
      <c r="AA111" s="30" t="inlineStr">
        <is>
          <t>Good finish</t>
        </is>
      </c>
      <c r="AB111" s="30" t="inlineStr">
        <is>
          <t>Yes</t>
        </is>
      </c>
      <c r="AC111" s="27" t="n"/>
      <c r="AD111" s="31" t="inlineStr">
        <is>
          <t>No</t>
        </is>
      </c>
      <c r="AE111" s="32">
        <f>IF(W111="","",IF(Z111="Yes","❌ Disc",IF(Y111="No","⚠ Missing",IF(AB111="Yes","✓ OK","⚠ Check"))))</f>
        <v/>
      </c>
      <c r="AF111" s="33" t="n"/>
      <c r="AG111" s="33" t="n"/>
      <c r="AH111" s="33" t="n"/>
      <c r="AI111" s="33" t="n"/>
      <c r="AJ111" s="33" t="n"/>
      <c r="AK111" s="33" t="n"/>
      <c r="AL111" s="27" t="n"/>
      <c r="AM111" s="34" t="n"/>
      <c r="AN111" s="35">
        <f>IF(AF111="","",IF(AI111="Yes","❌ Disc",IF(AH111="No","⚠ Missing",IF(AK111="Yes","✓ OK","⚠ Check"))))</f>
        <v/>
      </c>
      <c r="AO111" s="36" t="n"/>
      <c r="AP111" s="36" t="n"/>
      <c r="AQ111" s="36" t="n"/>
      <c r="AR111" s="36" t="n"/>
      <c r="AS111" s="36" t="n"/>
      <c r="AT111" s="36" t="n"/>
      <c r="AU111" s="27" t="n"/>
      <c r="AV111" s="37" t="n"/>
      <c r="AW111" s="38">
        <f>IF(AO111="","",IF(AR111="Yes","❌ Disc",IF(AQ111="No","⚠ Missing",IF(AT111="Yes","✓ OK","⚠ Check"))))</f>
        <v/>
      </c>
    </row>
    <row r="112">
      <c r="A112" t="n">
        <v>108</v>
      </c>
      <c r="B112" t="inlineStr">
        <is>
          <t>CT QTZ NRT02 SD</t>
        </is>
      </c>
      <c r="C112" t="inlineStr">
        <is>
          <t>Quartz Kalinga Sandy Diamante NORTH 02</t>
        </is>
      </c>
      <c r="D112" t="inlineStr">
        <is>
          <t>Kalinga Stone</t>
        </is>
      </c>
      <c r="E112" s="43" t="n">
        <v>46126</v>
      </c>
      <c r="F112" s="26" t="inlineStr">
        <is>
          <t>Sunil CR</t>
        </is>
      </c>
      <c r="G112" s="26" t="inlineStr">
        <is>
          <t>Yes</t>
        </is>
      </c>
      <c r="H112" s="26" t="inlineStr">
        <is>
          <t>No</t>
        </is>
      </c>
      <c r="I112" s="26" t="inlineStr">
        <is>
          <t>Good finish</t>
        </is>
      </c>
      <c r="J112" s="26" t="inlineStr">
        <is>
          <t>Yes</t>
        </is>
      </c>
      <c r="K112" s="27" t="n"/>
      <c r="L112" s="28" t="inlineStr">
        <is>
          <t>No</t>
        </is>
      </c>
      <c r="M112" s="29">
        <f>IF(E112="","",IF(H112="Yes","❌ Disc",IF(G112="No","⚠ Missing",IF(J112="Yes","✓ OK","⚠ Check"))))</f>
        <v/>
      </c>
      <c r="N112" s="43" t="n">
        <v>46196</v>
      </c>
      <c r="O112" s="26" t="inlineStr">
        <is>
          <t>Sunil CR</t>
        </is>
      </c>
      <c r="P112" s="26" t="inlineStr">
        <is>
          <t>Yes</t>
        </is>
      </c>
      <c r="Q112" s="26" t="inlineStr">
        <is>
          <t>No</t>
        </is>
      </c>
      <c r="R112" s="26" t="inlineStr">
        <is>
          <t>Good finish</t>
        </is>
      </c>
      <c r="S112" s="26" t="inlineStr">
        <is>
          <t>Yes</t>
        </is>
      </c>
      <c r="T112" s="27" t="n"/>
      <c r="U112" s="28" t="inlineStr">
        <is>
          <t>No</t>
        </is>
      </c>
      <c r="V112" s="29">
        <f>IF(N112="","",IF(Q112="Yes","❌ Disc",IF(P112="No","⚠ Missing",IF(S112="Yes","✓ OK","⚠ Check"))))</f>
        <v/>
      </c>
      <c r="W112" s="65" t="n">
        <v>46248</v>
      </c>
      <c r="X112" s="30" t="inlineStr">
        <is>
          <t>Sunil CR</t>
        </is>
      </c>
      <c r="Y112" s="30" t="inlineStr">
        <is>
          <t>Yes</t>
        </is>
      </c>
      <c r="Z112" s="30" t="n"/>
      <c r="AA112" s="30" t="inlineStr">
        <is>
          <t>Good finish</t>
        </is>
      </c>
      <c r="AB112" s="30" t="inlineStr">
        <is>
          <t>Yes</t>
        </is>
      </c>
      <c r="AC112" s="27" t="n"/>
      <c r="AD112" s="31" t="inlineStr">
        <is>
          <t>No</t>
        </is>
      </c>
      <c r="AE112" s="32">
        <f>IF(W112="","",IF(Z112="Yes","❌ Disc",IF(Y112="No","⚠ Missing",IF(AB112="Yes","✓ OK","⚠ Check"))))</f>
        <v/>
      </c>
      <c r="AF112" s="33" t="n"/>
      <c r="AG112" s="33" t="n"/>
      <c r="AH112" s="33" t="n"/>
      <c r="AI112" s="33" t="n"/>
      <c r="AJ112" s="33" t="n"/>
      <c r="AK112" s="33" t="n"/>
      <c r="AL112" s="27" t="n"/>
      <c r="AM112" s="34" t="n"/>
      <c r="AN112" s="35">
        <f>IF(AF112="","",IF(AI112="Yes","❌ Disc",IF(AH112="No","⚠ Missing",IF(AK112="Yes","✓ OK","⚠ Check"))))</f>
        <v/>
      </c>
      <c r="AO112" s="36" t="n"/>
      <c r="AP112" s="36" t="n"/>
      <c r="AQ112" s="36" t="n"/>
      <c r="AR112" s="36" t="n"/>
      <c r="AS112" s="36" t="n"/>
      <c r="AT112" s="36" t="n"/>
      <c r="AU112" s="27" t="n"/>
      <c r="AV112" s="37" t="n"/>
      <c r="AW112" s="38">
        <f>IF(AO112="","",IF(AR112="Yes","❌ Disc",IF(AQ112="No","⚠ Missing",IF(AT112="Yes","✓ OK","⚠ Check"))))</f>
        <v/>
      </c>
    </row>
    <row r="113">
      <c r="A113" t="n">
        <v>109</v>
      </c>
      <c r="B113" t="inlineStr">
        <is>
          <t>CT QTZ NRT02 SG</t>
        </is>
      </c>
      <c r="C113" t="inlineStr">
        <is>
          <t>Quartz Kalinga Silver Grey NORTH 02</t>
        </is>
      </c>
      <c r="D113" t="inlineStr">
        <is>
          <t>Kalinga Stone</t>
        </is>
      </c>
      <c r="E113" s="43" t="n">
        <v>46126</v>
      </c>
      <c r="F113" s="26" t="inlineStr">
        <is>
          <t>Sunil CR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Good finish</t>
        </is>
      </c>
      <c r="J113" s="26" t="inlineStr">
        <is>
          <t>Yes</t>
        </is>
      </c>
      <c r="K113" s="27" t="n"/>
      <c r="L113" s="28" t="inlineStr">
        <is>
          <t>No</t>
        </is>
      </c>
      <c r="M113" s="29">
        <f>IF(E113="","",IF(H113="Yes","❌ Disc",IF(G113="No","⚠ Missing",IF(J113="Yes","✓ OK","⚠ Check"))))</f>
        <v/>
      </c>
      <c r="N113" s="43" t="n">
        <v>46196</v>
      </c>
      <c r="O113" s="26" t="inlineStr">
        <is>
          <t>Sunil CR</t>
        </is>
      </c>
      <c r="P113" s="26" t="inlineStr">
        <is>
          <t>Yes</t>
        </is>
      </c>
      <c r="Q113" s="26" t="inlineStr">
        <is>
          <t>No</t>
        </is>
      </c>
      <c r="R113" s="26" t="inlineStr">
        <is>
          <t>Good finish</t>
        </is>
      </c>
      <c r="S113" s="26" t="inlineStr">
        <is>
          <t>Yes</t>
        </is>
      </c>
      <c r="T113" s="27" t="n"/>
      <c r="U113" s="28" t="inlineStr">
        <is>
          <t>No</t>
        </is>
      </c>
      <c r="V113" s="29">
        <f>IF(N113="","",IF(Q113="Yes","❌ Disc",IF(P113="No","⚠ Missing",IF(S113="Yes","✓ OK","⚠ Check"))))</f>
        <v/>
      </c>
      <c r="W113" s="65" t="n">
        <v>46248</v>
      </c>
      <c r="X113" s="30" t="inlineStr">
        <is>
          <t>Sunil CR</t>
        </is>
      </c>
      <c r="Y113" s="30" t="inlineStr">
        <is>
          <t>Yes</t>
        </is>
      </c>
      <c r="Z113" s="30" t="n"/>
      <c r="AA113" s="30" t="inlineStr">
        <is>
          <t>Good finish</t>
        </is>
      </c>
      <c r="AB113" s="30" t="inlineStr">
        <is>
          <t>Yes</t>
        </is>
      </c>
      <c r="AC113" s="27" t="n"/>
      <c r="AD113" s="31" t="inlineStr">
        <is>
          <t>No</t>
        </is>
      </c>
      <c r="AE113" s="32">
        <f>IF(W113="","",IF(Z113="Yes","❌ Disc",IF(Y113="No","⚠ Missing",IF(AB113="Yes","✓ OK","⚠ Check"))))</f>
        <v/>
      </c>
      <c r="AF113" s="33" t="n"/>
      <c r="AG113" s="33" t="n"/>
      <c r="AH113" s="33" t="n"/>
      <c r="AI113" s="33" t="n"/>
      <c r="AJ113" s="33" t="n"/>
      <c r="AK113" s="33" t="n"/>
      <c r="AL113" s="27" t="n"/>
      <c r="AM113" s="34" t="n"/>
      <c r="AN113" s="35">
        <f>IF(AF113="","",IF(AI113="Yes","❌ Disc",IF(AH113="No","⚠ Missing",IF(AK113="Yes","✓ OK","⚠ Check"))))</f>
        <v/>
      </c>
      <c r="AO113" s="36" t="n"/>
      <c r="AP113" s="36" t="n"/>
      <c r="AQ113" s="36" t="n"/>
      <c r="AR113" s="36" t="n"/>
      <c r="AS113" s="36" t="n"/>
      <c r="AT113" s="36" t="n"/>
      <c r="AU113" s="27" t="n"/>
      <c r="AV113" s="37" t="n"/>
      <c r="AW113" s="38">
        <f>IF(AO113="","",IF(AR113="Yes","❌ Disc",IF(AQ113="No","⚠ Missing",IF(AT113="Yes","✓ OK","⚠ Check"))))</f>
        <v/>
      </c>
    </row>
    <row r="114">
      <c r="A114" t="n">
        <v>110</v>
      </c>
      <c r="B114" t="inlineStr">
        <is>
          <t>CT QTZ SOH03 TD</t>
        </is>
      </c>
      <c r="C114" t="inlineStr">
        <is>
          <t>Quartz Kalinga Tundra SOHO 03</t>
        </is>
      </c>
      <c r="D114" t="inlineStr">
        <is>
          <t>Kalinga Stone</t>
        </is>
      </c>
      <c r="E114" s="43" t="n">
        <v>46126</v>
      </c>
      <c r="F114" s="26" t="inlineStr">
        <is>
          <t>Sunil CR</t>
        </is>
      </c>
      <c r="G114" s="26" t="inlineStr">
        <is>
          <t>Yes</t>
        </is>
      </c>
      <c r="H114" s="26" t="inlineStr">
        <is>
          <t>No</t>
        </is>
      </c>
      <c r="I114" s="26" t="inlineStr">
        <is>
          <t>Good finish</t>
        </is>
      </c>
      <c r="J114" s="26" t="inlineStr">
        <is>
          <t>Yes</t>
        </is>
      </c>
      <c r="K114" s="27" t="n"/>
      <c r="L114" s="28" t="inlineStr">
        <is>
          <t>No</t>
        </is>
      </c>
      <c r="M114" s="29">
        <f>IF(E114="","",IF(H114="Yes","❌ Disc",IF(G114="No","⚠ Missing",IF(J114="Yes","✓ OK","⚠ Check"))))</f>
        <v/>
      </c>
      <c r="N114" s="43" t="n">
        <v>46196</v>
      </c>
      <c r="O114" s="26" t="inlineStr">
        <is>
          <t>Sunil CR</t>
        </is>
      </c>
      <c r="P114" s="26" t="inlineStr">
        <is>
          <t>Yes</t>
        </is>
      </c>
      <c r="Q114" s="26" t="inlineStr">
        <is>
          <t>No</t>
        </is>
      </c>
      <c r="R114" s="26" t="inlineStr">
        <is>
          <t>Good finish</t>
        </is>
      </c>
      <c r="S114" s="26" t="inlineStr">
        <is>
          <t>Yes</t>
        </is>
      </c>
      <c r="T114" s="27" t="n"/>
      <c r="U114" s="28" t="inlineStr">
        <is>
          <t>No</t>
        </is>
      </c>
      <c r="V114" s="29">
        <f>IF(N114="","",IF(Q114="Yes","❌ Disc",IF(P114="No","⚠ Missing",IF(S114="Yes","✓ OK","⚠ Check"))))</f>
        <v/>
      </c>
      <c r="W114" s="65" t="n">
        <v>46248</v>
      </c>
      <c r="X114" s="30" t="inlineStr">
        <is>
          <t>Sunil CR</t>
        </is>
      </c>
      <c r="Y114" s="30" t="inlineStr">
        <is>
          <t>Yes</t>
        </is>
      </c>
      <c r="Z114" s="30" t="n"/>
      <c r="AA114" s="30" t="inlineStr">
        <is>
          <t>Good finish</t>
        </is>
      </c>
      <c r="AB114" s="30" t="inlineStr">
        <is>
          <t>Yes</t>
        </is>
      </c>
      <c r="AC114" s="27" t="n"/>
      <c r="AD114" s="31" t="inlineStr">
        <is>
          <t>No</t>
        </is>
      </c>
      <c r="AE114" s="32">
        <f>IF(W114="","",IF(Z114="Yes","❌ Disc",IF(Y114="No","⚠ Missing",IF(AB114="Yes","✓ OK","⚠ Check"))))</f>
        <v/>
      </c>
      <c r="AF114" s="33" t="n"/>
      <c r="AG114" s="33" t="n"/>
      <c r="AH114" s="33" t="n"/>
      <c r="AI114" s="33" t="n"/>
      <c r="AJ114" s="33" t="n"/>
      <c r="AK114" s="33" t="n"/>
      <c r="AL114" s="27" t="n"/>
      <c r="AM114" s="34" t="n"/>
      <c r="AN114" s="35">
        <f>IF(AF114="","",IF(AI114="Yes","❌ Disc",IF(AH114="No","⚠ Missing",IF(AK114="Yes","✓ OK","⚠ Check"))))</f>
        <v/>
      </c>
      <c r="AO114" s="36" t="n"/>
      <c r="AP114" s="36" t="n"/>
      <c r="AQ114" s="36" t="n"/>
      <c r="AR114" s="36" t="n"/>
      <c r="AS114" s="36" t="n"/>
      <c r="AT114" s="36" t="n"/>
      <c r="AU114" s="27" t="n"/>
      <c r="AV114" s="37" t="n"/>
      <c r="AW114" s="38">
        <f>IF(AO114="","",IF(AR114="Yes","❌ Disc",IF(AQ114="No","⚠ Missing",IF(AT114="Yes","✓ OK","⚠ Check"))))</f>
        <v/>
      </c>
    </row>
    <row r="115">
      <c r="A115" t="n">
        <v>111</v>
      </c>
      <c r="B115" t="inlineStr">
        <is>
          <t>CT QTZ SOH03 US</t>
        </is>
      </c>
      <c r="C115" t="inlineStr">
        <is>
          <t>Quartz Kalinga Ush SOHO 03</t>
        </is>
      </c>
      <c r="D115" t="inlineStr">
        <is>
          <t>Kalinga Stone</t>
        </is>
      </c>
      <c r="E115" s="43" t="n">
        <v>46126</v>
      </c>
      <c r="F115" s="26" t="inlineStr">
        <is>
          <t>Sunil CR</t>
        </is>
      </c>
      <c r="G115" s="26" t="inlineStr">
        <is>
          <t>Yes</t>
        </is>
      </c>
      <c r="H115" s="26" t="inlineStr">
        <is>
          <t>No</t>
        </is>
      </c>
      <c r="I115" s="26" t="inlineStr">
        <is>
          <t>Good finish</t>
        </is>
      </c>
      <c r="J115" s="26" t="inlineStr">
        <is>
          <t>Yes</t>
        </is>
      </c>
      <c r="K115" s="27" t="n"/>
      <c r="L115" s="28" t="inlineStr">
        <is>
          <t>No</t>
        </is>
      </c>
      <c r="M115" s="29">
        <f>IF(E115="","",IF(H115="Yes","❌ Disc",IF(G115="No","⚠ Missing",IF(J115="Yes","✓ OK","⚠ Check"))))</f>
        <v/>
      </c>
      <c r="N115" s="43" t="n">
        <v>46196</v>
      </c>
      <c r="O115" s="26" t="inlineStr">
        <is>
          <t>Sunil CR</t>
        </is>
      </c>
      <c r="P115" s="26" t="inlineStr">
        <is>
          <t>Yes</t>
        </is>
      </c>
      <c r="Q115" s="26" t="inlineStr">
        <is>
          <t>No</t>
        </is>
      </c>
      <c r="R115" s="26" t="inlineStr">
        <is>
          <t>Good finish</t>
        </is>
      </c>
      <c r="S115" s="26" t="inlineStr">
        <is>
          <t>Yes</t>
        </is>
      </c>
      <c r="T115" s="27" t="n"/>
      <c r="U115" s="28" t="inlineStr">
        <is>
          <t>No</t>
        </is>
      </c>
      <c r="V115" s="29">
        <f>IF(N115="","",IF(Q115="Yes","❌ Disc",IF(P115="No","⚠ Missing",IF(S115="Yes","✓ OK","⚠ Check"))))</f>
        <v/>
      </c>
      <c r="W115" s="65" t="n">
        <v>46248</v>
      </c>
      <c r="X115" s="30" t="inlineStr">
        <is>
          <t>Sunil CR</t>
        </is>
      </c>
      <c r="Y115" s="30" t="inlineStr">
        <is>
          <t>Yes</t>
        </is>
      </c>
      <c r="Z115" s="30" t="n"/>
      <c r="AA115" s="30" t="inlineStr">
        <is>
          <t>Good finish</t>
        </is>
      </c>
      <c r="AB115" s="30" t="inlineStr">
        <is>
          <t>Yes</t>
        </is>
      </c>
      <c r="AC115" s="27" t="n"/>
      <c r="AD115" s="31" t="inlineStr">
        <is>
          <t>No</t>
        </is>
      </c>
      <c r="AE115" s="32">
        <f>IF(W115="","",IF(Z115="Yes","❌ Disc",IF(Y115="No","⚠ Missing",IF(AB115="Yes","✓ OK","⚠ Check"))))</f>
        <v/>
      </c>
      <c r="AF115" s="33" t="n"/>
      <c r="AG115" s="33" t="n"/>
      <c r="AH115" s="33" t="n"/>
      <c r="AI115" s="33" t="n"/>
      <c r="AJ115" s="33" t="n"/>
      <c r="AK115" s="33" t="n"/>
      <c r="AL115" s="27" t="n"/>
      <c r="AM115" s="34" t="n"/>
      <c r="AN115" s="35">
        <f>IF(AF115="","",IF(AI115="Yes","❌ Disc",IF(AH115="No","⚠ Missing",IF(AK115="Yes","✓ OK","⚠ Check"))))</f>
        <v/>
      </c>
      <c r="AO115" s="36" t="n"/>
      <c r="AP115" s="36" t="n"/>
      <c r="AQ115" s="36" t="n"/>
      <c r="AR115" s="36" t="n"/>
      <c r="AS115" s="36" t="n"/>
      <c r="AT115" s="36" t="n"/>
      <c r="AU115" s="27" t="n"/>
      <c r="AV115" s="37" t="n"/>
      <c r="AW115" s="38">
        <f>IF(AO115="","",IF(AR115="Yes","❌ Disc",IF(AQ115="No","⚠ Missing",IF(AT115="Yes","✓ OK","⚠ Check"))))</f>
        <v/>
      </c>
    </row>
    <row r="116">
      <c r="A116" t="n">
        <v>112</v>
      </c>
      <c r="B116" t="inlineStr">
        <is>
          <t>CT QTZ SOH03 VB</t>
        </is>
      </c>
      <c r="C116" t="inlineStr">
        <is>
          <t>Quartz Kalinga Vetro Bianco SOHO 03</t>
        </is>
      </c>
      <c r="D116" t="inlineStr">
        <is>
          <t>Kalinga Stone</t>
        </is>
      </c>
      <c r="E116" s="43" t="n">
        <v>46126</v>
      </c>
      <c r="F116" s="26" t="inlineStr">
        <is>
          <t>Sunil CR</t>
        </is>
      </c>
      <c r="G116" s="26" t="inlineStr">
        <is>
          <t>Yes</t>
        </is>
      </c>
      <c r="H116" s="26" t="inlineStr">
        <is>
          <t>No</t>
        </is>
      </c>
      <c r="I116" s="26" t="inlineStr">
        <is>
          <t>Good finish</t>
        </is>
      </c>
      <c r="J116" s="26" t="inlineStr">
        <is>
          <t>Yes</t>
        </is>
      </c>
      <c r="K116" s="27" t="n"/>
      <c r="L116" s="28" t="inlineStr">
        <is>
          <t>No</t>
        </is>
      </c>
      <c r="M116" s="29">
        <f>IF(E116="","",IF(H116="Yes","❌ Disc",IF(G116="No","⚠ Missing",IF(J116="Yes","✓ OK","⚠ Check"))))</f>
        <v/>
      </c>
      <c r="N116" s="43" t="n">
        <v>46196</v>
      </c>
      <c r="O116" s="26" t="inlineStr">
        <is>
          <t>Sunil CR</t>
        </is>
      </c>
      <c r="P116" s="26" t="inlineStr">
        <is>
          <t>Yes</t>
        </is>
      </c>
      <c r="Q116" s="26" t="inlineStr">
        <is>
          <t>No</t>
        </is>
      </c>
      <c r="R116" s="26" t="inlineStr">
        <is>
          <t>Good finish</t>
        </is>
      </c>
      <c r="S116" s="26" t="inlineStr">
        <is>
          <t>Yes</t>
        </is>
      </c>
      <c r="T116" s="27" t="n"/>
      <c r="U116" s="28" t="inlineStr">
        <is>
          <t>No</t>
        </is>
      </c>
      <c r="V116" s="29">
        <f>IF(N116="","",IF(Q116="Yes","❌ Disc",IF(P116="No","⚠ Missing",IF(S116="Yes","✓ OK","⚠ Check"))))</f>
        <v/>
      </c>
      <c r="W116" s="65" t="n">
        <v>46248</v>
      </c>
      <c r="X116" s="30" t="inlineStr">
        <is>
          <t>Sunil CR</t>
        </is>
      </c>
      <c r="Y116" s="30" t="inlineStr">
        <is>
          <t>Yes</t>
        </is>
      </c>
      <c r="Z116" s="30" t="n"/>
      <c r="AA116" s="30" t="inlineStr">
        <is>
          <t>Good finish</t>
        </is>
      </c>
      <c r="AB116" s="30" t="inlineStr">
        <is>
          <t>Yes</t>
        </is>
      </c>
      <c r="AC116" s="27" t="n"/>
      <c r="AD116" s="31" t="inlineStr">
        <is>
          <t>No</t>
        </is>
      </c>
      <c r="AE116" s="32">
        <f>IF(W116="","",IF(Z116="Yes","❌ Disc",IF(Y116="No","⚠ Missing",IF(AB116="Yes","✓ OK","⚠ Check"))))</f>
        <v/>
      </c>
      <c r="AF116" s="33" t="n"/>
      <c r="AG116" s="33" t="n"/>
      <c r="AH116" s="33" t="n"/>
      <c r="AI116" s="33" t="n"/>
      <c r="AJ116" s="33" t="n"/>
      <c r="AK116" s="33" t="n"/>
      <c r="AL116" s="27" t="n"/>
      <c r="AM116" s="34" t="n"/>
      <c r="AN116" s="35">
        <f>IF(AF116="","",IF(AI116="Yes","❌ Disc",IF(AH116="No","⚠ Missing",IF(AK116="Yes","✓ OK","⚠ Check"))))</f>
        <v/>
      </c>
      <c r="AO116" s="36" t="n"/>
      <c r="AP116" s="36" t="n"/>
      <c r="AQ116" s="36" t="n"/>
      <c r="AR116" s="36" t="n"/>
      <c r="AS116" s="36" t="n"/>
      <c r="AT116" s="36" t="n"/>
      <c r="AU116" s="27" t="n"/>
      <c r="AV116" s="37" t="n"/>
      <c r="AW116" s="38">
        <f>IF(AO116="","",IF(AR116="Yes","❌ Disc",IF(AQ116="No","⚠ Missing",IF(AT116="Yes","✓ OK","⚠ Check"))))</f>
        <v/>
      </c>
    </row>
    <row r="117">
      <c r="A117" t="n">
        <v>113</v>
      </c>
      <c r="B117" t="inlineStr">
        <is>
          <t>CT QTZ SOH03 WZ</t>
        </is>
      </c>
      <c r="C117" t="inlineStr">
        <is>
          <t>Quartz Kalinga Wizzard SOHO 03</t>
        </is>
      </c>
      <c r="D117" t="inlineStr">
        <is>
          <t>Kalinga Stone</t>
        </is>
      </c>
      <c r="E117" s="43" t="n">
        <v>46126</v>
      </c>
      <c r="F117" s="26" t="inlineStr">
        <is>
          <t>Sunil CR</t>
        </is>
      </c>
      <c r="G117" s="26" t="inlineStr">
        <is>
          <t>Yes</t>
        </is>
      </c>
      <c r="H117" s="26" t="inlineStr">
        <is>
          <t>No</t>
        </is>
      </c>
      <c r="I117" s="26" t="inlineStr">
        <is>
          <t>Good finish</t>
        </is>
      </c>
      <c r="J117" s="26" t="inlineStr">
        <is>
          <t>Yes</t>
        </is>
      </c>
      <c r="K117" s="27" t="n"/>
      <c r="L117" s="28" t="inlineStr">
        <is>
          <t>No</t>
        </is>
      </c>
      <c r="M117" s="29">
        <f>IF(E117="","",IF(H117="Yes","❌ Disc",IF(G117="No","⚠ Missing",IF(J117="Yes","✓ OK","⚠ Check"))))</f>
        <v/>
      </c>
      <c r="N117" s="43" t="n">
        <v>46196</v>
      </c>
      <c r="O117" s="26" t="inlineStr">
        <is>
          <t>Sunil CR</t>
        </is>
      </c>
      <c r="P117" s="26" t="inlineStr">
        <is>
          <t>Yes</t>
        </is>
      </c>
      <c r="Q117" s="26" t="inlineStr">
        <is>
          <t>No</t>
        </is>
      </c>
      <c r="R117" s="26" t="inlineStr">
        <is>
          <t>Good finish</t>
        </is>
      </c>
      <c r="S117" s="26" t="inlineStr">
        <is>
          <t>Yes</t>
        </is>
      </c>
      <c r="T117" s="27" t="n"/>
      <c r="U117" s="28" t="inlineStr">
        <is>
          <t>No</t>
        </is>
      </c>
      <c r="V117" s="29">
        <f>IF(N117="","",IF(Q117="Yes","❌ Disc",IF(P117="No","⚠ Missing",IF(S117="Yes","✓ OK","⚠ Check"))))</f>
        <v/>
      </c>
      <c r="W117" s="65" t="n">
        <v>46248</v>
      </c>
      <c r="X117" s="30" t="inlineStr">
        <is>
          <t>Sunil CR</t>
        </is>
      </c>
      <c r="Y117" s="30" t="inlineStr">
        <is>
          <t>Yes</t>
        </is>
      </c>
      <c r="Z117" s="30" t="n"/>
      <c r="AA117" s="30" t="inlineStr">
        <is>
          <t>Good finish</t>
        </is>
      </c>
      <c r="AB117" s="30" t="inlineStr">
        <is>
          <t>Yes</t>
        </is>
      </c>
      <c r="AC117" s="27" t="n"/>
      <c r="AD117" s="31" t="inlineStr">
        <is>
          <t>No</t>
        </is>
      </c>
      <c r="AE117" s="32">
        <f>IF(W117="","",IF(Z117="Yes","❌ Disc",IF(Y117="No","⚠ Missing",IF(AB117="Yes","✓ OK","⚠ Check"))))</f>
        <v/>
      </c>
      <c r="AF117" s="33" t="n"/>
      <c r="AG117" s="33" t="n"/>
      <c r="AH117" s="33" t="n"/>
      <c r="AI117" s="33" t="n"/>
      <c r="AJ117" s="33" t="n"/>
      <c r="AK117" s="33" t="n"/>
      <c r="AL117" s="27" t="n"/>
      <c r="AM117" s="34" t="n"/>
      <c r="AN117" s="35">
        <f>IF(AF117="","",IF(AI117="Yes","❌ Disc",IF(AH117="No","⚠ Missing",IF(AK117="Yes","✓ OK","⚠ Check"))))</f>
        <v/>
      </c>
      <c r="AO117" s="36" t="n"/>
      <c r="AP117" s="36" t="n"/>
      <c r="AQ117" s="36" t="n"/>
      <c r="AR117" s="36" t="n"/>
      <c r="AS117" s="36" t="n"/>
      <c r="AT117" s="36" t="n"/>
      <c r="AU117" s="27" t="n"/>
      <c r="AV117" s="37" t="n"/>
      <c r="AW117" s="38">
        <f>IF(AO117="","",IF(AR117="Yes","❌ Disc",IF(AQ117="No","⚠ Missing",IF(AT117="Yes","✓ OK","⚠ Check"))))</f>
        <v/>
      </c>
    </row>
  </sheetData>
  <autoFilter ref="A4:AW117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17">
    <cfRule type="expression" priority="14" dxfId="3">
      <formula>G5="Yes"</formula>
    </cfRule>
    <cfRule type="expression" priority="15" dxfId="1">
      <formula>G5="No"</formula>
    </cfRule>
  </conditionalFormatting>
  <conditionalFormatting sqref="H5:H117">
    <cfRule type="expression" priority="16" dxfId="1">
      <formula>H5="Yes"</formula>
    </cfRule>
  </conditionalFormatting>
  <conditionalFormatting sqref="J5:J117">
    <cfRule type="expression" priority="17" dxfId="3">
      <formula>J5="Yes"</formula>
    </cfRule>
    <cfRule type="expression" priority="18" dxfId="1">
      <formula>J5="No"</formula>
    </cfRule>
  </conditionalFormatting>
  <conditionalFormatting sqref="M5:M117">
    <cfRule type="expression" priority="11" dxfId="1">
      <formula>M5="❌ Disc"</formula>
    </cfRule>
    <cfRule type="expression" priority="10" dxfId="3">
      <formula>M5="✓ OK"</formula>
    </cfRule>
    <cfRule type="expression" priority="12" dxfId="1">
      <formula>M5="⚠ Missing"</formula>
    </cfRule>
    <cfRule type="expression" priority="13" dxfId="0">
      <formula>M5="⚠ Check"</formula>
    </cfRule>
  </conditionalFormatting>
  <conditionalFormatting sqref="A5:M5 A6:D77 E6:M117 N5:AW117">
    <cfRule type="expression" priority="55" dxfId="27">
      <formula>MOD(ROW(),2)=0</formula>
    </cfRule>
  </conditionalFormatting>
  <conditionalFormatting sqref="P5:P117">
    <cfRule type="expression" priority="5" dxfId="3">
      <formula>P5="Yes"</formula>
    </cfRule>
    <cfRule type="expression" priority="6" dxfId="1">
      <formula>P5="No"</formula>
    </cfRule>
  </conditionalFormatting>
  <conditionalFormatting sqref="Q5:Q117">
    <cfRule type="expression" priority="7" dxfId="1">
      <formula>Q5="Yes"</formula>
    </cfRule>
  </conditionalFormatting>
  <conditionalFormatting sqref="S5:S117">
    <cfRule type="expression" priority="8" dxfId="3">
      <formula>S5="Yes"</formula>
    </cfRule>
    <cfRule type="expression" priority="9" dxfId="1">
      <formula>S5="No"</formula>
    </cfRule>
  </conditionalFormatting>
  <conditionalFormatting sqref="V5:V117">
    <cfRule type="expression" priority="2" dxfId="1">
      <formula>V5="❌ Disc"</formula>
    </cfRule>
    <cfRule type="expression" priority="3" dxfId="1">
      <formula>V5="⚠ Missing"</formula>
    </cfRule>
    <cfRule type="expression" priority="4" dxfId="0">
      <formula>V5="⚠ Check"</formula>
    </cfRule>
    <cfRule type="expression" priority="1" dxfId="3">
      <formula>V5="✓ OK"</formula>
    </cfRule>
  </conditionalFormatting>
  <conditionalFormatting sqref="Y5:Y117">
    <cfRule type="expression" priority="33" dxfId="1">
      <formula>Y5="No"</formula>
    </cfRule>
    <cfRule type="expression" priority="32" dxfId="3">
      <formula>Y5="Yes"</formula>
    </cfRule>
  </conditionalFormatting>
  <conditionalFormatting sqref="Z5:Z117">
    <cfRule type="expression" priority="34" dxfId="1">
      <formula>Z5="Yes"</formula>
    </cfRule>
  </conditionalFormatting>
  <conditionalFormatting sqref="AB5:AB117">
    <cfRule type="expression" priority="35" dxfId="3">
      <formula>AB5="Yes"</formula>
    </cfRule>
    <cfRule type="expression" priority="36" dxfId="1">
      <formula>AB5="No"</formula>
    </cfRule>
  </conditionalFormatting>
  <conditionalFormatting sqref="AE5:AE117">
    <cfRule type="expression" priority="29" dxfId="1">
      <formula>AE5="❌ Disc"</formula>
    </cfRule>
    <cfRule type="expression" priority="30" dxfId="1">
      <formula>AE5="⚠ Missing"</formula>
    </cfRule>
    <cfRule type="expression" priority="31" dxfId="0">
      <formula>AE5="⚠ Check"</formula>
    </cfRule>
    <cfRule type="expression" priority="28" dxfId="3">
      <formula>AE5="✓ OK"</formula>
    </cfRule>
  </conditionalFormatting>
  <conditionalFormatting sqref="AH5:AH117">
    <cfRule type="expression" priority="41" dxfId="3">
      <formula>AH5="Yes"</formula>
    </cfRule>
    <cfRule type="expression" priority="42" dxfId="1">
      <formula>AH5="No"</formula>
    </cfRule>
  </conditionalFormatting>
  <conditionalFormatting sqref="AI5:AI117">
    <cfRule type="expression" priority="43" dxfId="1">
      <formula>AI5="Yes"</formula>
    </cfRule>
  </conditionalFormatting>
  <conditionalFormatting sqref="AK5:AK117">
    <cfRule type="expression" priority="44" dxfId="3">
      <formula>AK5="Yes"</formula>
    </cfRule>
    <cfRule type="expression" priority="45" dxfId="1">
      <formula>AK5="No"</formula>
    </cfRule>
  </conditionalFormatting>
  <conditionalFormatting sqref="AN5:AN117">
    <cfRule type="expression" priority="38" dxfId="1">
      <formula>AN5="❌ Disc"</formula>
    </cfRule>
    <cfRule type="expression" priority="39" dxfId="1">
      <formula>AN5="⚠ Missing"</formula>
    </cfRule>
    <cfRule type="expression" priority="40" dxfId="0">
      <formula>AN5="⚠ Check"</formula>
    </cfRule>
    <cfRule type="expression" priority="37" dxfId="3">
      <formula>AN5="✓ OK"</formula>
    </cfRule>
  </conditionalFormatting>
  <conditionalFormatting sqref="AQ5:AQ117">
    <cfRule type="expression" priority="51" dxfId="1">
      <formula>AQ5="No"</formula>
    </cfRule>
    <cfRule type="expression" priority="50" dxfId="3">
      <formula>AQ5="Yes"</formula>
    </cfRule>
  </conditionalFormatting>
  <conditionalFormatting sqref="AR5:AR117">
    <cfRule type="expression" priority="52" dxfId="1">
      <formula>AR5="Yes"</formula>
    </cfRule>
  </conditionalFormatting>
  <conditionalFormatting sqref="AT5:AT117">
    <cfRule type="expression" priority="53" dxfId="3">
      <formula>AT5="Yes"</formula>
    </cfRule>
    <cfRule type="expression" priority="54" dxfId="1">
      <formula>AT5="No"</formula>
    </cfRule>
  </conditionalFormatting>
  <conditionalFormatting sqref="AW5:AW117">
    <cfRule type="expression" priority="46" dxfId="3">
      <formula>AW5="✓ OK"</formula>
    </cfRule>
    <cfRule type="expression" priority="47" dxfId="1">
      <formula>AW5="❌ Disc"</formula>
    </cfRule>
    <cfRule type="expression" priority="48" dxfId="1">
      <formula>AW5="⚠ Missing"</formula>
    </cfRule>
    <cfRule type="expression" priority="49" dxfId="0">
      <formula>AW5="⚠ Check"</formula>
    </cfRule>
  </conditionalFormatting>
  <dataValidations count="2">
    <dataValidation sqref="G5:H117 J5:J117 P5:Q117 S5:S117 Y5:Z117 AB5:AB117 AH5:AI117 AK5:AK117 AQ5:AR117 AT5:AT117" showDropDown="0" showInputMessage="0" showErrorMessage="0" allowBlank="1" type="list">
      <formula1>"Yes,No"</formula1>
    </dataValidation>
    <dataValidation sqref="I5:I117 R5:R117 AA5:AA117 AJ5:AJ117 AS5:AS117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theme="0"/>
    <outlinePr summaryBelow="1" summaryRight="1"/>
    <pageSetUpPr/>
  </sheetPr>
  <dimension ref="A1:AW16"/>
  <sheetViews>
    <sheetView workbookViewId="0">
      <pane xSplit="4" ySplit="4" topLeftCell="N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GRANITE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40" t="inlineStr">
        <is>
          <t>CT GR 126</t>
        </is>
      </c>
      <c r="C5" s="41" t="inlineStr">
        <is>
          <t>Granite Emerald Black - CT GR 126</t>
        </is>
      </c>
      <c r="D5" s="39" t="inlineStr">
        <is>
          <t>Local</t>
        </is>
      </c>
      <c r="E5" s="43" t="n">
        <v>46125</v>
      </c>
      <c r="F5" s="26" t="inlineStr">
        <is>
          <t>Sunil CR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Minor defect</t>
        </is>
      </c>
      <c r="J5" s="26" t="inlineStr">
        <is>
          <t>No</t>
        </is>
      </c>
      <c r="K5" s="27" t="inlineStr">
        <is>
          <t>Name Sticker to be Changed</t>
        </is>
      </c>
      <c r="L5" s="28" t="inlineStr">
        <is>
          <t>Yes</t>
        </is>
      </c>
      <c r="M5" s="29">
        <f>IF(E5="","",IF(H5="Yes","❌ Disc",IF(G5="No","⚠ Missing",IF(J5="Yes","✓ OK","⚠ Check"))))</f>
        <v/>
      </c>
      <c r="N5" s="43" t="n">
        <v>46196</v>
      </c>
      <c r="O5" s="26" t="inlineStr">
        <is>
          <t>Sunil CR</t>
        </is>
      </c>
      <c r="P5" s="26" t="inlineStr">
        <is>
          <t>Yes</t>
        </is>
      </c>
      <c r="Q5" s="26" t="inlineStr">
        <is>
          <t>No</t>
        </is>
      </c>
      <c r="R5" s="26" t="inlineStr">
        <is>
          <t>Minor defect</t>
        </is>
      </c>
      <c r="S5" s="26" t="inlineStr">
        <is>
          <t>No</t>
        </is>
      </c>
      <c r="T5" s="27" t="inlineStr">
        <is>
          <t>Name Sticker to be Changed</t>
        </is>
      </c>
      <c r="U5" s="28" t="inlineStr">
        <is>
          <t>Yes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Yes</t>
        </is>
      </c>
      <c r="Z5" s="30" t="n"/>
      <c r="AA5" s="30" t="inlineStr">
        <is>
          <t>Minor defect</t>
        </is>
      </c>
      <c r="AB5" s="30" t="inlineStr">
        <is>
          <t>No</t>
        </is>
      </c>
      <c r="AC5" s="27" t="inlineStr">
        <is>
          <t>Name Sticker to be Changed</t>
        </is>
      </c>
      <c r="AD5" s="31" t="inlineStr">
        <is>
          <t>Yes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24" t="inlineStr">
        <is>
          <t>CT GR 128</t>
        </is>
      </c>
      <c r="C6" s="25" t="inlineStr">
        <is>
          <t>Granite Steel Grey - CT GR 128</t>
        </is>
      </c>
      <c r="D6" s="23" t="inlineStr">
        <is>
          <t>Local</t>
        </is>
      </c>
      <c r="E6" s="43" t="n">
        <v>46125</v>
      </c>
      <c r="F6" s="26" t="inlineStr">
        <is>
          <t>Sunil CR</t>
        </is>
      </c>
      <c r="G6" s="26" t="inlineStr">
        <is>
          <t>Yes</t>
        </is>
      </c>
      <c r="H6" s="26" t="inlineStr">
        <is>
          <t>No</t>
        </is>
      </c>
      <c r="I6" s="26" t="inlineStr">
        <is>
          <t>Good finish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46196</v>
      </c>
      <c r="O6" s="26" t="inlineStr">
        <is>
          <t>Sunil CR</t>
        </is>
      </c>
      <c r="P6" s="26" t="inlineStr">
        <is>
          <t>Yes</t>
        </is>
      </c>
      <c r="Q6" s="26" t="inlineStr">
        <is>
          <t>No</t>
        </is>
      </c>
      <c r="R6" s="26" t="inlineStr">
        <is>
          <t>Good finish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Yes</t>
        </is>
      </c>
      <c r="Z6" s="30" t="n"/>
      <c r="AA6" s="30" t="inlineStr">
        <is>
          <t>Good finish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40" t="inlineStr">
        <is>
          <t>CT GR 135</t>
        </is>
      </c>
      <c r="C7" s="41" t="inlineStr">
        <is>
          <t>Granite Honey Blue - CT GR 135</t>
        </is>
      </c>
      <c r="D7" s="39" t="inlineStr">
        <is>
          <t>Local</t>
        </is>
      </c>
      <c r="E7" s="43" t="n">
        <v>46125</v>
      </c>
      <c r="F7" s="26" t="inlineStr">
        <is>
          <t>Sunil CR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Good finish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46196</v>
      </c>
      <c r="O7" s="26" t="inlineStr">
        <is>
          <t>Sunil CR</t>
        </is>
      </c>
      <c r="P7" s="26" t="inlineStr">
        <is>
          <t>Yes</t>
        </is>
      </c>
      <c r="Q7" s="26" t="inlineStr">
        <is>
          <t>No</t>
        </is>
      </c>
      <c r="R7" s="26" t="inlineStr">
        <is>
          <t>Good finish</t>
        </is>
      </c>
      <c r="S7" s="26" t="inlineStr">
        <is>
          <t>Yes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Yes</t>
        </is>
      </c>
      <c r="Z7" s="30" t="n"/>
      <c r="AA7" s="30" t="inlineStr">
        <is>
          <t>Good finish</t>
        </is>
      </c>
      <c r="AB7" s="30" t="inlineStr">
        <is>
          <t>Yes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CT GR 136</t>
        </is>
      </c>
      <c r="C8" s="41" t="inlineStr">
        <is>
          <t>Granite Tan Brown - CT GR 136</t>
        </is>
      </c>
      <c r="D8" s="39" t="inlineStr">
        <is>
          <t>Local</t>
        </is>
      </c>
      <c r="E8" s="43" t="n">
        <v>46125</v>
      </c>
      <c r="F8" s="26" t="inlineStr">
        <is>
          <t>Sunil CR</t>
        </is>
      </c>
      <c r="G8" s="26" t="inlineStr">
        <is>
          <t>Yes</t>
        </is>
      </c>
      <c r="H8" s="26" t="inlineStr">
        <is>
          <t>No</t>
        </is>
      </c>
      <c r="I8" s="26" t="inlineStr">
        <is>
          <t>Good finish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46196</v>
      </c>
      <c r="O8" s="26" t="inlineStr">
        <is>
          <t>Sunil CR</t>
        </is>
      </c>
      <c r="P8" s="26" t="inlineStr">
        <is>
          <t>Yes</t>
        </is>
      </c>
      <c r="Q8" s="26" t="inlineStr">
        <is>
          <t>No</t>
        </is>
      </c>
      <c r="R8" s="26" t="inlineStr">
        <is>
          <t>Good finish</t>
        </is>
      </c>
      <c r="S8" s="26" t="inlineStr">
        <is>
          <t>Yes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Yes</t>
        </is>
      </c>
      <c r="Z8" s="30" t="n"/>
      <c r="AA8" s="30" t="inlineStr">
        <is>
          <t>Good finish</t>
        </is>
      </c>
      <c r="AB8" s="30" t="inlineStr">
        <is>
          <t>Yes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CT GR 138</t>
        </is>
      </c>
      <c r="C9" s="25" t="inlineStr">
        <is>
          <t>Granite Coffe Brown - CT GR 138</t>
        </is>
      </c>
      <c r="D9" s="23" t="inlineStr">
        <is>
          <t>Local</t>
        </is>
      </c>
      <c r="E9" s="43" t="n">
        <v>46125</v>
      </c>
      <c r="F9" s="26" t="inlineStr">
        <is>
          <t>Sunil CR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Good finish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46196</v>
      </c>
      <c r="O9" s="26" t="inlineStr">
        <is>
          <t>Sunil CR</t>
        </is>
      </c>
      <c r="P9" s="26" t="inlineStr">
        <is>
          <t>Yes</t>
        </is>
      </c>
      <c r="Q9" s="26" t="inlineStr">
        <is>
          <t>No</t>
        </is>
      </c>
      <c r="R9" s="26" t="inlineStr">
        <is>
          <t>Good finish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Yes</t>
        </is>
      </c>
      <c r="Z9" s="30" t="n"/>
      <c r="AA9" s="30" t="inlineStr">
        <is>
          <t>Good finish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24" t="inlineStr">
        <is>
          <t>CT GR 141</t>
        </is>
      </c>
      <c r="C10" s="25" t="inlineStr">
        <is>
          <t>Granite P White - CT GR 141</t>
        </is>
      </c>
      <c r="D10" s="23" t="inlineStr">
        <is>
          <t>Local</t>
        </is>
      </c>
      <c r="E10" s="43" t="n">
        <v>46125</v>
      </c>
      <c r="F10" s="26" t="inlineStr">
        <is>
          <t>Sunil CR</t>
        </is>
      </c>
      <c r="G10" s="26" t="inlineStr">
        <is>
          <t>Yes</t>
        </is>
      </c>
      <c r="H10" s="26" t="inlineStr">
        <is>
          <t>No</t>
        </is>
      </c>
      <c r="I10" s="26" t="inlineStr">
        <is>
          <t>Good finish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46196</v>
      </c>
      <c r="O10" s="26" t="inlineStr">
        <is>
          <t>Sunil CR</t>
        </is>
      </c>
      <c r="P10" s="26" t="inlineStr">
        <is>
          <t>Yes</t>
        </is>
      </c>
      <c r="Q10" s="26" t="inlineStr">
        <is>
          <t>No</t>
        </is>
      </c>
      <c r="R10" s="26" t="inlineStr">
        <is>
          <t>Good finish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Yes</t>
        </is>
      </c>
      <c r="Z10" s="30" t="n"/>
      <c r="AA10" s="30" t="inlineStr">
        <is>
          <t>Good finish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40" t="inlineStr">
        <is>
          <t>CT GR 143</t>
        </is>
      </c>
      <c r="C11" s="41" t="inlineStr">
        <is>
          <t>Granite Desert Brown - CT GR 143</t>
        </is>
      </c>
      <c r="D11" s="39" t="inlineStr">
        <is>
          <t>Local</t>
        </is>
      </c>
      <c r="E11" s="43" t="n">
        <v>46125</v>
      </c>
      <c r="F11" s="26" t="inlineStr">
        <is>
          <t>Sunil CR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Good finish</t>
        </is>
      </c>
      <c r="J11" s="26" t="inlineStr">
        <is>
          <t>Yes</t>
        </is>
      </c>
      <c r="K11" s="27" t="n"/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46196</v>
      </c>
      <c r="O11" s="26" t="inlineStr">
        <is>
          <t>Sunil CR</t>
        </is>
      </c>
      <c r="P11" s="26" t="inlineStr">
        <is>
          <t>Yes</t>
        </is>
      </c>
      <c r="Q11" s="26" t="inlineStr">
        <is>
          <t>No</t>
        </is>
      </c>
      <c r="R11" s="26" t="inlineStr">
        <is>
          <t>Good finish</t>
        </is>
      </c>
      <c r="S11" s="26" t="inlineStr">
        <is>
          <t>Yes</t>
        </is>
      </c>
      <c r="T11" s="27" t="n"/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Yes</t>
        </is>
      </c>
      <c r="Z11" s="30" t="n"/>
      <c r="AA11" s="30" t="inlineStr">
        <is>
          <t>Good finish</t>
        </is>
      </c>
      <c r="AB11" s="30" t="inlineStr">
        <is>
          <t>Yes</t>
        </is>
      </c>
      <c r="AC11" s="27" t="n"/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24" t="inlineStr">
        <is>
          <t>CT GR 147</t>
        </is>
      </c>
      <c r="C12" s="25" t="inlineStr">
        <is>
          <t>Granite Crystal Yellow - CT GR 147</t>
        </is>
      </c>
      <c r="D12" s="23" t="inlineStr">
        <is>
          <t>Local</t>
        </is>
      </c>
      <c r="E12" s="43" t="n">
        <v>46125</v>
      </c>
      <c r="F12" s="26" t="inlineStr">
        <is>
          <t>Sunil CR</t>
        </is>
      </c>
      <c r="G12" s="26" t="inlineStr">
        <is>
          <t>Yes</t>
        </is>
      </c>
      <c r="H12" s="26" t="inlineStr">
        <is>
          <t>No</t>
        </is>
      </c>
      <c r="I12" s="26" t="inlineStr">
        <is>
          <t>Good finish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46196</v>
      </c>
      <c r="O12" s="26" t="inlineStr">
        <is>
          <t>Sunil CR</t>
        </is>
      </c>
      <c r="P12" s="26" t="inlineStr">
        <is>
          <t>Yes</t>
        </is>
      </c>
      <c r="Q12" s="26" t="inlineStr">
        <is>
          <t>No</t>
        </is>
      </c>
      <c r="R12" s="26" t="inlineStr">
        <is>
          <t>Good finish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Yes</t>
        </is>
      </c>
      <c r="Z12" s="30" t="n"/>
      <c r="AA12" s="30" t="inlineStr">
        <is>
          <t>Good finish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40" t="inlineStr">
        <is>
          <t>CT GR 153</t>
        </is>
      </c>
      <c r="C13" s="41" t="inlineStr">
        <is>
          <t>Granite Flash Blue - CT GR 153</t>
        </is>
      </c>
      <c r="D13" s="39" t="inlineStr">
        <is>
          <t>Local</t>
        </is>
      </c>
      <c r="E13" s="43" t="n">
        <v>46125</v>
      </c>
      <c r="F13" s="26" t="inlineStr">
        <is>
          <t>Sunil CR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Good finish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46196</v>
      </c>
      <c r="O13" s="26" t="inlineStr">
        <is>
          <t>Sunil CR</t>
        </is>
      </c>
      <c r="P13" s="26" t="inlineStr">
        <is>
          <t>Yes</t>
        </is>
      </c>
      <c r="Q13" s="26" t="inlineStr">
        <is>
          <t>No</t>
        </is>
      </c>
      <c r="R13" s="26" t="inlineStr">
        <is>
          <t>Good finish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Yes</t>
        </is>
      </c>
      <c r="Z13" s="30" t="n"/>
      <c r="AA13" s="30" t="inlineStr">
        <is>
          <t>Good finish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CT GR 177</t>
        </is>
      </c>
      <c r="C14" s="41" t="inlineStr">
        <is>
          <t>Granite Emerald Pearl - CT GR 177</t>
        </is>
      </c>
      <c r="D14" s="39" t="inlineStr">
        <is>
          <t>Local</t>
        </is>
      </c>
      <c r="E14" s="43" t="n">
        <v>46125</v>
      </c>
      <c r="F14" s="26" t="inlineStr">
        <is>
          <t>Sunil CR</t>
        </is>
      </c>
      <c r="G14" s="26" t="inlineStr">
        <is>
          <t>Yes</t>
        </is>
      </c>
      <c r="H14" s="26" t="inlineStr">
        <is>
          <t>No</t>
        </is>
      </c>
      <c r="I14" s="26" t="inlineStr">
        <is>
          <t>Good finish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46196</v>
      </c>
      <c r="O14" s="26" t="inlineStr">
        <is>
          <t>Sunil CR</t>
        </is>
      </c>
      <c r="P14" s="26" t="inlineStr">
        <is>
          <t>Yes</t>
        </is>
      </c>
      <c r="Q14" s="26" t="inlineStr">
        <is>
          <t>No</t>
        </is>
      </c>
      <c r="R14" s="26" t="inlineStr">
        <is>
          <t>Good finish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Yes</t>
        </is>
      </c>
      <c r="Z14" s="30" t="n"/>
      <c r="AA14" s="30" t="inlineStr">
        <is>
          <t>Good finish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CT GR 188</t>
        </is>
      </c>
      <c r="C15" s="25" t="inlineStr">
        <is>
          <t>Granite Black Galaxy - CT GR 188</t>
        </is>
      </c>
      <c r="D15" s="23" t="inlineStr">
        <is>
          <t>Local</t>
        </is>
      </c>
      <c r="E15" s="43" t="n">
        <v>46125</v>
      </c>
      <c r="F15" s="26" t="inlineStr">
        <is>
          <t>Sunil CR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Minor defect</t>
        </is>
      </c>
      <c r="J15" s="26" t="inlineStr">
        <is>
          <t>No</t>
        </is>
      </c>
      <c r="K15" s="27" t="inlineStr">
        <is>
          <t>Name Sticker to be Changed</t>
        </is>
      </c>
      <c r="L15" s="28" t="inlineStr">
        <is>
          <t>Yes</t>
        </is>
      </c>
      <c r="M15" s="29">
        <f>IF(E15="","",IF(H15="Yes","❌ Disc",IF(G15="No","⚠ Missing",IF(J15="Yes","✓ OK","⚠ Check"))))</f>
        <v/>
      </c>
      <c r="N15" s="43" t="n">
        <v>46196</v>
      </c>
      <c r="O15" s="26" t="inlineStr">
        <is>
          <t>Sunil CR</t>
        </is>
      </c>
      <c r="P15" s="26" t="inlineStr">
        <is>
          <t>Yes</t>
        </is>
      </c>
      <c r="Q15" s="26" t="inlineStr">
        <is>
          <t>No</t>
        </is>
      </c>
      <c r="R15" s="26" t="inlineStr">
        <is>
          <t>Minor defect</t>
        </is>
      </c>
      <c r="S15" s="26" t="inlineStr">
        <is>
          <t>No</t>
        </is>
      </c>
      <c r="T15" s="27" t="inlineStr">
        <is>
          <t>Name Sticker to be Changed</t>
        </is>
      </c>
      <c r="U15" s="28" t="inlineStr">
        <is>
          <t>Yes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Minor defect</t>
        </is>
      </c>
      <c r="AB15" s="30" t="inlineStr">
        <is>
          <t>No</t>
        </is>
      </c>
      <c r="AC15" s="27" t="inlineStr">
        <is>
          <t>Name Sticker to be Changed</t>
        </is>
      </c>
      <c r="AD15" s="31" t="inlineStr">
        <is>
          <t>Yes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>
      <c r="A16" s="42" t="n">
        <v>12</v>
      </c>
      <c r="B16" s="24" t="inlineStr">
        <is>
          <t>CT GR 190</t>
        </is>
      </c>
      <c r="C16" s="25" t="inlineStr">
        <is>
          <t>Granite Titan Brown - CT GR 190</t>
        </is>
      </c>
      <c r="D16" s="23" t="inlineStr">
        <is>
          <t>Local</t>
        </is>
      </c>
      <c r="E16" s="43" t="n">
        <v>46125</v>
      </c>
      <c r="F16" s="26" t="inlineStr">
        <is>
          <t>Sunil CR</t>
        </is>
      </c>
      <c r="G16" s="26" t="inlineStr">
        <is>
          <t>Yes</t>
        </is>
      </c>
      <c r="H16" s="26" t="inlineStr">
        <is>
          <t>No</t>
        </is>
      </c>
      <c r="I16" s="26" t="inlineStr">
        <is>
          <t>Good finish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46196</v>
      </c>
      <c r="O16" s="26" t="inlineStr">
        <is>
          <t>Sunil CR</t>
        </is>
      </c>
      <c r="P16" s="26" t="inlineStr">
        <is>
          <t>Yes</t>
        </is>
      </c>
      <c r="Q16" s="26" t="inlineStr">
        <is>
          <t>No</t>
        </is>
      </c>
      <c r="R16" s="26" t="inlineStr">
        <is>
          <t>Good finish</t>
        </is>
      </c>
      <c r="S16" s="26" t="inlineStr">
        <is>
          <t>Yes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Yes</t>
        </is>
      </c>
      <c r="Z16" s="30" t="n"/>
      <c r="AA16" s="30" t="inlineStr">
        <is>
          <t>Good finish</t>
        </is>
      </c>
      <c r="AB16" s="30" t="inlineStr">
        <is>
          <t>Yes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</sheetData>
  <autoFilter ref="A4:AW15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6">
    <cfRule type="expression" priority="15" dxfId="3">
      <formula>G5="Yes"</formula>
    </cfRule>
    <cfRule type="expression" priority="16" dxfId="1">
      <formula>G5="No"</formula>
    </cfRule>
  </conditionalFormatting>
  <conditionalFormatting sqref="H5:H16">
    <cfRule type="expression" priority="17" dxfId="1">
      <formula>H5="Yes"</formula>
    </cfRule>
  </conditionalFormatting>
  <conditionalFormatting sqref="J5:J16">
    <cfRule type="expression" priority="18" dxfId="3">
      <formula>J5="Yes"</formula>
    </cfRule>
    <cfRule type="expression" priority="19" dxfId="1">
      <formula>J5="No"</formula>
    </cfRule>
  </conditionalFormatting>
  <conditionalFormatting sqref="M5:M16">
    <cfRule type="expression" priority="11" dxfId="3">
      <formula>M5="✓ OK"</formula>
    </cfRule>
    <cfRule type="expression" priority="12" dxfId="1">
      <formula>M5="❌ Disc"</formula>
    </cfRule>
    <cfRule type="expression" priority="13" dxfId="1">
      <formula>M5="⚠ Missing"</formula>
    </cfRule>
    <cfRule type="expression" priority="14" dxfId="0">
      <formula>M5="⚠ Check"</formula>
    </cfRule>
  </conditionalFormatting>
  <conditionalFormatting sqref="N5:N16">
    <cfRule type="expression" priority="1" dxfId="27">
      <formula>MOD(ROW(),2)=0</formula>
    </cfRule>
  </conditionalFormatting>
  <conditionalFormatting sqref="A5:M16 O5:AW16">
    <cfRule type="expression" priority="56" dxfId="27">
      <formula>MOD(ROW(),2)=0</formula>
    </cfRule>
  </conditionalFormatting>
  <conditionalFormatting sqref="P5:P16">
    <cfRule type="expression" priority="6" dxfId="3">
      <formula>P5="Yes"</formula>
    </cfRule>
    <cfRule type="expression" priority="7" dxfId="1">
      <formula>P5="No"</formula>
    </cfRule>
    <cfRule type="expression" priority="24" dxfId="3">
      <formula>P5="Yes"</formula>
    </cfRule>
    <cfRule type="expression" priority="25" dxfId="1">
      <formula>P5="No"</formula>
    </cfRule>
  </conditionalFormatting>
  <conditionalFormatting sqref="Q5:Q16">
    <cfRule type="expression" priority="8" dxfId="1">
      <formula>Q5="Yes"</formula>
    </cfRule>
  </conditionalFormatting>
  <conditionalFormatting sqref="S5:S16">
    <cfRule type="expression" priority="9" dxfId="3">
      <formula>S5="Yes"</formula>
    </cfRule>
    <cfRule type="expression" priority="10" dxfId="1">
      <formula>S5="No"</formula>
    </cfRule>
    <cfRule type="expression" priority="27" dxfId="3">
      <formula>S5="Yes"</formula>
    </cfRule>
    <cfRule type="expression" priority="28" dxfId="1">
      <formula>S5="No"</formula>
    </cfRule>
  </conditionalFormatting>
  <conditionalFormatting sqref="V5:V16">
    <cfRule type="expression" priority="2" dxfId="3">
      <formula>V5="✓ OK"</formula>
    </cfRule>
    <cfRule type="expression" priority="3" dxfId="1">
      <formula>V5="❌ Disc"</formula>
    </cfRule>
    <cfRule type="expression" priority="4" dxfId="1">
      <formula>V5="⚠ Missing"</formula>
    </cfRule>
    <cfRule type="expression" priority="5" dxfId="0">
      <formula>V5="⚠ Check"</formula>
    </cfRule>
    <cfRule type="expression" priority="20" dxfId="3">
      <formula>V5="✓ OK"</formula>
    </cfRule>
    <cfRule type="expression" priority="21" dxfId="1">
      <formula>V5="❌ Disc"</formula>
    </cfRule>
    <cfRule type="expression" priority="22" dxfId="1">
      <formula>V5="⚠ Missing"</formula>
    </cfRule>
    <cfRule type="expression" priority="23" dxfId="0">
      <formula>V5="⚠ Check"</formula>
    </cfRule>
  </conditionalFormatting>
  <conditionalFormatting sqref="Y5:Y16">
    <cfRule type="expression" priority="33" dxfId="3">
      <formula>Y5="Yes"</formula>
    </cfRule>
    <cfRule type="expression" priority="34" dxfId="1">
      <formula>Y5="No"</formula>
    </cfRule>
  </conditionalFormatting>
  <conditionalFormatting sqref="Z5:Z16">
    <cfRule type="expression" priority="35" dxfId="1">
      <formula>Z5="Yes"</formula>
    </cfRule>
  </conditionalFormatting>
  <conditionalFormatting sqref="AB5:AB16">
    <cfRule type="expression" priority="37" dxfId="1">
      <formula>AB5="No"</formula>
    </cfRule>
    <cfRule type="expression" priority="36" dxfId="3">
      <formula>AB5="Yes"</formula>
    </cfRule>
  </conditionalFormatting>
  <conditionalFormatting sqref="AE5:AE16">
    <cfRule type="expression" priority="30" dxfId="1">
      <formula>AE5="❌ Disc"</formula>
    </cfRule>
    <cfRule type="expression" priority="31" dxfId="1">
      <formula>AE5="⚠ Missing"</formula>
    </cfRule>
    <cfRule type="expression" priority="29" dxfId="3">
      <formula>AE5="✓ OK"</formula>
    </cfRule>
    <cfRule type="expression" priority="32" dxfId="0">
      <formula>AE5="⚠ Check"</formula>
    </cfRule>
  </conditionalFormatting>
  <conditionalFormatting sqref="AH5:AH16">
    <cfRule type="expression" priority="43" dxfId="1">
      <formula>AH5="No"</formula>
    </cfRule>
    <cfRule type="expression" priority="42" dxfId="3">
      <formula>AH5="Yes"</formula>
    </cfRule>
  </conditionalFormatting>
  <conditionalFormatting sqref="AI5:AI16">
    <cfRule type="expression" priority="44" dxfId="1">
      <formula>AI5="Yes"</formula>
    </cfRule>
  </conditionalFormatting>
  <conditionalFormatting sqref="AK5:AK16">
    <cfRule type="expression" priority="45" dxfId="3">
      <formula>AK5="Yes"</formula>
    </cfRule>
    <cfRule type="expression" priority="46" dxfId="1">
      <formula>AK5="No"</formula>
    </cfRule>
  </conditionalFormatting>
  <conditionalFormatting sqref="AN5:AN16">
    <cfRule type="expression" priority="38" dxfId="3">
      <formula>AN5="✓ OK"</formula>
    </cfRule>
    <cfRule type="expression" priority="39" dxfId="1">
      <formula>AN5="❌ Disc"</formula>
    </cfRule>
    <cfRule type="expression" priority="40" dxfId="1">
      <formula>AN5="⚠ Missing"</formula>
    </cfRule>
    <cfRule type="expression" priority="41" dxfId="0">
      <formula>AN5="⚠ Check"</formula>
    </cfRule>
  </conditionalFormatting>
  <conditionalFormatting sqref="AQ5:AQ16">
    <cfRule type="expression" priority="51" dxfId="3">
      <formula>AQ5="Yes"</formula>
    </cfRule>
    <cfRule type="expression" priority="52" dxfId="1">
      <formula>AQ5="No"</formula>
    </cfRule>
  </conditionalFormatting>
  <conditionalFormatting sqref="AR5:AR16">
    <cfRule type="expression" priority="53" dxfId="1">
      <formula>AR5="Yes"</formula>
    </cfRule>
  </conditionalFormatting>
  <conditionalFormatting sqref="AT5:AT16">
    <cfRule type="expression" priority="54" dxfId="3">
      <formula>AT5="Yes"</formula>
    </cfRule>
    <cfRule type="expression" priority="55" dxfId="1">
      <formula>AT5="No"</formula>
    </cfRule>
  </conditionalFormatting>
  <conditionalFormatting sqref="AW5:AW16">
    <cfRule type="expression" priority="47" dxfId="3">
      <formula>AW5="✓ OK"</formula>
    </cfRule>
    <cfRule type="expression" priority="48" dxfId="1">
      <formula>AW5="❌ Disc"</formula>
    </cfRule>
    <cfRule type="expression" priority="50" dxfId="0">
      <formula>AW5="⚠ Check"</formula>
    </cfRule>
    <cfRule type="expression" priority="49" dxfId="1">
      <formula>AW5="⚠ Missing"</formula>
    </cfRule>
  </conditionalFormatting>
  <dataValidations count="2">
    <dataValidation sqref="G5:H16 J5:J16 P5:Q16 S5:S16 Y5:Z16 AB5:AB16 AH5:AI16 AK5:AK16 AQ5:AR16 AT5:AT16" showDropDown="0" showInputMessage="0" showErrorMessage="0" allowBlank="1" type="list">
      <formula1>"Yes,No"</formula1>
    </dataValidation>
    <dataValidation sqref="I5:I16 R5:R16 AA5:AA16 AJ5:AJ16 AS5:AS16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theme="0"/>
    <outlinePr summaryBelow="1" summaryRight="1"/>
    <pageSetUpPr/>
  </sheetPr>
  <dimension ref="A1:AW26"/>
  <sheetViews>
    <sheetView workbookViewId="0">
      <pane xSplit="4" ySplit="4" topLeftCell="N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WOODEN FLOORING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WF GP FL014</t>
        </is>
      </c>
      <c r="C5" s="25" t="inlineStr">
        <is>
          <t>AMAZON WALNUT</t>
        </is>
      </c>
      <c r="D5" s="23" t="inlineStr">
        <is>
          <t>Greenpanel</t>
        </is>
      </c>
      <c r="E5" s="43" t="n">
        <v>46125</v>
      </c>
      <c r="F5" s="26" t="inlineStr">
        <is>
          <t>Sunil CR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Good finish</t>
        </is>
      </c>
      <c r="J5" s="26" t="inlineStr">
        <is>
          <t>Yes</t>
        </is>
      </c>
      <c r="K5" s="27" t="n"/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46196</v>
      </c>
      <c r="O5" s="26" t="inlineStr">
        <is>
          <t>Sunil CR</t>
        </is>
      </c>
      <c r="P5" s="26" t="inlineStr">
        <is>
          <t>Yes</t>
        </is>
      </c>
      <c r="Q5" s="26" t="inlineStr">
        <is>
          <t>No</t>
        </is>
      </c>
      <c r="R5" s="26" t="inlineStr">
        <is>
          <t>Good finish</t>
        </is>
      </c>
      <c r="S5" s="26" t="inlineStr">
        <is>
          <t>Yes</t>
        </is>
      </c>
      <c r="T5" s="27" t="n"/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Yes</t>
        </is>
      </c>
      <c r="Z5" s="30" t="n"/>
      <c r="AA5" s="30" t="inlineStr">
        <is>
          <t>Good finish</t>
        </is>
      </c>
      <c r="AB5" s="30" t="inlineStr">
        <is>
          <t>Yes</t>
        </is>
      </c>
      <c r="AC5" s="27" t="n"/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WF GP FLP505</t>
        </is>
      </c>
      <c r="C6" s="41" t="inlineStr">
        <is>
          <t>ANTIQUE CADBURY</t>
        </is>
      </c>
      <c r="D6" s="39" t="inlineStr">
        <is>
          <t>Greenpanel</t>
        </is>
      </c>
      <c r="E6" s="43" t="n">
        <v>46125</v>
      </c>
      <c r="F6" s="26" t="inlineStr">
        <is>
          <t>Sunil CR</t>
        </is>
      </c>
      <c r="G6" s="26" t="inlineStr">
        <is>
          <t>Yes</t>
        </is>
      </c>
      <c r="H6" s="26" t="inlineStr">
        <is>
          <t>No</t>
        </is>
      </c>
      <c r="I6" s="26" t="inlineStr">
        <is>
          <t>Good finish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46196</v>
      </c>
      <c r="O6" s="26" t="inlineStr">
        <is>
          <t>Sunil CR</t>
        </is>
      </c>
      <c r="P6" s="26" t="inlineStr">
        <is>
          <t>Yes</t>
        </is>
      </c>
      <c r="Q6" s="26" t="inlineStr">
        <is>
          <t>No</t>
        </is>
      </c>
      <c r="R6" s="26" t="inlineStr">
        <is>
          <t>Good finish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Yes</t>
        </is>
      </c>
      <c r="Z6" s="30" t="n"/>
      <c r="AA6" s="30" t="inlineStr">
        <is>
          <t>Good finish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WF GP FL025</t>
        </is>
      </c>
      <c r="C7" s="25" t="inlineStr">
        <is>
          <t>ATLANTIC OAK</t>
        </is>
      </c>
      <c r="D7" s="23" t="inlineStr">
        <is>
          <t>Greenpanel</t>
        </is>
      </c>
      <c r="E7" s="43" t="n">
        <v>46125</v>
      </c>
      <c r="F7" s="26" t="inlineStr">
        <is>
          <t>Sunil CR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Good finish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46196</v>
      </c>
      <c r="O7" s="26" t="inlineStr">
        <is>
          <t>Sunil CR</t>
        </is>
      </c>
      <c r="P7" s="26" t="inlineStr">
        <is>
          <t>Yes</t>
        </is>
      </c>
      <c r="Q7" s="26" t="inlineStr">
        <is>
          <t>No</t>
        </is>
      </c>
      <c r="R7" s="26" t="inlineStr">
        <is>
          <t>Good finish</t>
        </is>
      </c>
      <c r="S7" s="26" t="inlineStr">
        <is>
          <t>Yes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Yes</t>
        </is>
      </c>
      <c r="Z7" s="30" t="n"/>
      <c r="AA7" s="30" t="inlineStr">
        <is>
          <t>Good finish</t>
        </is>
      </c>
      <c r="AB7" s="30" t="inlineStr">
        <is>
          <t>Yes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WF GP FLP515</t>
        </is>
      </c>
      <c r="C8" s="41" t="inlineStr">
        <is>
          <t>BROWNY WALNUT</t>
        </is>
      </c>
      <c r="D8" s="39" t="inlineStr">
        <is>
          <t>Greenpanel</t>
        </is>
      </c>
      <c r="E8" s="43" t="n">
        <v>46125</v>
      </c>
      <c r="F8" s="26" t="inlineStr">
        <is>
          <t>Sunil CR</t>
        </is>
      </c>
      <c r="G8" s="26" t="inlineStr">
        <is>
          <t>Yes</t>
        </is>
      </c>
      <c r="H8" s="26" t="inlineStr">
        <is>
          <t>No</t>
        </is>
      </c>
      <c r="I8" s="26" t="inlineStr">
        <is>
          <t>Good finish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46196</v>
      </c>
      <c r="O8" s="26" t="inlineStr">
        <is>
          <t>Sunil CR</t>
        </is>
      </c>
      <c r="P8" s="26" t="inlineStr">
        <is>
          <t>Yes</t>
        </is>
      </c>
      <c r="Q8" s="26" t="inlineStr">
        <is>
          <t>No</t>
        </is>
      </c>
      <c r="R8" s="26" t="inlineStr">
        <is>
          <t>Good finish</t>
        </is>
      </c>
      <c r="S8" s="26" t="inlineStr">
        <is>
          <t>Yes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Yes</t>
        </is>
      </c>
      <c r="Z8" s="30" t="n"/>
      <c r="AA8" s="30" t="inlineStr">
        <is>
          <t>Good finish</t>
        </is>
      </c>
      <c r="AB8" s="30" t="inlineStr">
        <is>
          <t>Yes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WF GP FLP510</t>
        </is>
      </c>
      <c r="C9" s="25" t="inlineStr">
        <is>
          <t>CRESCENT MOONLIGHT</t>
        </is>
      </c>
      <c r="D9" s="23" t="inlineStr">
        <is>
          <t>Greenpanel</t>
        </is>
      </c>
      <c r="E9" s="43" t="n">
        <v>46125</v>
      </c>
      <c r="F9" s="26" t="inlineStr">
        <is>
          <t>Sunil CR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Good finish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46196</v>
      </c>
      <c r="O9" s="26" t="inlineStr">
        <is>
          <t>Sunil CR</t>
        </is>
      </c>
      <c r="P9" s="26" t="inlineStr">
        <is>
          <t>Yes</t>
        </is>
      </c>
      <c r="Q9" s="26" t="inlineStr">
        <is>
          <t>No</t>
        </is>
      </c>
      <c r="R9" s="26" t="inlineStr">
        <is>
          <t>Good finish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Yes</t>
        </is>
      </c>
      <c r="Z9" s="30" t="n"/>
      <c r="AA9" s="30" t="inlineStr">
        <is>
          <t>Good finish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WF GP FLP513</t>
        </is>
      </c>
      <c r="C10" s="41" t="inlineStr">
        <is>
          <t>DESERT SUN</t>
        </is>
      </c>
      <c r="D10" s="39" t="inlineStr">
        <is>
          <t>Greenpanel</t>
        </is>
      </c>
      <c r="E10" s="43" t="n">
        <v>46125</v>
      </c>
      <c r="F10" s="26" t="inlineStr">
        <is>
          <t>Sunil CR</t>
        </is>
      </c>
      <c r="G10" s="26" t="inlineStr">
        <is>
          <t>Yes</t>
        </is>
      </c>
      <c r="H10" s="26" t="inlineStr">
        <is>
          <t>No</t>
        </is>
      </c>
      <c r="I10" s="26" t="inlineStr">
        <is>
          <t>Good finish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46196</v>
      </c>
      <c r="O10" s="26" t="inlineStr">
        <is>
          <t>Sunil CR</t>
        </is>
      </c>
      <c r="P10" s="26" t="inlineStr">
        <is>
          <t>Yes</t>
        </is>
      </c>
      <c r="Q10" s="26" t="inlineStr">
        <is>
          <t>No</t>
        </is>
      </c>
      <c r="R10" s="26" t="inlineStr">
        <is>
          <t>Good finish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Yes</t>
        </is>
      </c>
      <c r="Z10" s="30" t="n"/>
      <c r="AA10" s="30" t="inlineStr">
        <is>
          <t>Good finish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WF GP FL013</t>
        </is>
      </c>
      <c r="C11" s="25" t="inlineStr">
        <is>
          <t>EARTHERN APPLE</t>
        </is>
      </c>
      <c r="D11" s="23" t="inlineStr">
        <is>
          <t>Greenpanel</t>
        </is>
      </c>
      <c r="E11" s="43" t="n">
        <v>46125</v>
      </c>
      <c r="F11" s="26" t="inlineStr">
        <is>
          <t>Sunil CR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Good finish</t>
        </is>
      </c>
      <c r="J11" s="26" t="inlineStr">
        <is>
          <t>Yes</t>
        </is>
      </c>
      <c r="K11" s="27" t="n"/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46196</v>
      </c>
      <c r="O11" s="26" t="inlineStr">
        <is>
          <t>Sunil CR</t>
        </is>
      </c>
      <c r="P11" s="26" t="inlineStr">
        <is>
          <t>Yes</t>
        </is>
      </c>
      <c r="Q11" s="26" t="inlineStr">
        <is>
          <t>No</t>
        </is>
      </c>
      <c r="R11" s="26" t="inlineStr">
        <is>
          <t>Good finish</t>
        </is>
      </c>
      <c r="S11" s="26" t="inlineStr">
        <is>
          <t>Yes</t>
        </is>
      </c>
      <c r="T11" s="27" t="n"/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Yes</t>
        </is>
      </c>
      <c r="Z11" s="30" t="n"/>
      <c r="AA11" s="30" t="inlineStr">
        <is>
          <t>Good finish</t>
        </is>
      </c>
      <c r="AB11" s="30" t="inlineStr">
        <is>
          <t>Yes</t>
        </is>
      </c>
      <c r="AC11" s="27" t="n"/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WF GP FL020</t>
        </is>
      </c>
      <c r="C12" s="41" t="inlineStr">
        <is>
          <t>EARTHERN CHERRY</t>
        </is>
      </c>
      <c r="D12" s="39" t="inlineStr">
        <is>
          <t>Greenpanel</t>
        </is>
      </c>
      <c r="E12" s="43" t="n">
        <v>46125</v>
      </c>
      <c r="F12" s="26" t="inlineStr">
        <is>
          <t>Sunil CR</t>
        </is>
      </c>
      <c r="G12" s="26" t="inlineStr">
        <is>
          <t>Yes</t>
        </is>
      </c>
      <c r="H12" s="26" t="inlineStr">
        <is>
          <t>No</t>
        </is>
      </c>
      <c r="I12" s="26" t="inlineStr">
        <is>
          <t>Good finish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46196</v>
      </c>
      <c r="O12" s="26" t="inlineStr">
        <is>
          <t>Sunil CR</t>
        </is>
      </c>
      <c r="P12" s="26" t="inlineStr">
        <is>
          <t>Yes</t>
        </is>
      </c>
      <c r="Q12" s="26" t="inlineStr">
        <is>
          <t>No</t>
        </is>
      </c>
      <c r="R12" s="26" t="inlineStr">
        <is>
          <t>Good finish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Yes</t>
        </is>
      </c>
      <c r="Z12" s="30" t="n"/>
      <c r="AA12" s="30" t="inlineStr">
        <is>
          <t>Good finish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WF GP FL011</t>
        </is>
      </c>
      <c r="C13" s="25" t="inlineStr">
        <is>
          <t>HIMALAYAN MERBAU</t>
        </is>
      </c>
      <c r="D13" s="23" t="inlineStr">
        <is>
          <t>Greenpanel</t>
        </is>
      </c>
      <c r="E13" s="43" t="n">
        <v>46125</v>
      </c>
      <c r="F13" s="26" t="inlineStr">
        <is>
          <t>Sunil CR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Good finish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46196</v>
      </c>
      <c r="O13" s="26" t="inlineStr">
        <is>
          <t>Sunil CR</t>
        </is>
      </c>
      <c r="P13" s="26" t="inlineStr">
        <is>
          <t>Yes</t>
        </is>
      </c>
      <c r="Q13" s="26" t="inlineStr">
        <is>
          <t>No</t>
        </is>
      </c>
      <c r="R13" s="26" t="inlineStr">
        <is>
          <t>Good finish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Yes</t>
        </is>
      </c>
      <c r="Z13" s="30" t="n"/>
      <c r="AA13" s="30" t="inlineStr">
        <is>
          <t>Good finish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WF GP FL005</t>
        </is>
      </c>
      <c r="C14" s="41" t="inlineStr">
        <is>
          <t>KALAHARI OAK</t>
        </is>
      </c>
      <c r="D14" s="39" t="inlineStr">
        <is>
          <t>Greenpanel</t>
        </is>
      </c>
      <c r="E14" s="43" t="n">
        <v>46125</v>
      </c>
      <c r="F14" s="26" t="inlineStr">
        <is>
          <t>Sunil CR</t>
        </is>
      </c>
      <c r="G14" s="26" t="inlineStr">
        <is>
          <t>Yes</t>
        </is>
      </c>
      <c r="H14" s="26" t="inlineStr">
        <is>
          <t>No</t>
        </is>
      </c>
      <c r="I14" s="26" t="inlineStr">
        <is>
          <t>Good finish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46196</v>
      </c>
      <c r="O14" s="26" t="inlineStr">
        <is>
          <t>Sunil CR</t>
        </is>
      </c>
      <c r="P14" s="26" t="inlineStr">
        <is>
          <t>Yes</t>
        </is>
      </c>
      <c r="Q14" s="26" t="inlineStr">
        <is>
          <t>No</t>
        </is>
      </c>
      <c r="R14" s="26" t="inlineStr">
        <is>
          <t>Good finish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Yes</t>
        </is>
      </c>
      <c r="Z14" s="30" t="n"/>
      <c r="AA14" s="30" t="inlineStr">
        <is>
          <t>Good finish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WF GP FL022</t>
        </is>
      </c>
      <c r="C15" s="25" t="inlineStr">
        <is>
          <t>PLUSH WALNUT</t>
        </is>
      </c>
      <c r="D15" s="23" t="inlineStr">
        <is>
          <t>Greenpanel</t>
        </is>
      </c>
      <c r="E15" s="43" t="n">
        <v>46125</v>
      </c>
      <c r="F15" s="26" t="inlineStr">
        <is>
          <t>Sunil CR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Good finish</t>
        </is>
      </c>
      <c r="J15" s="26" t="inlineStr">
        <is>
          <t>Yes</t>
        </is>
      </c>
      <c r="K15" s="27" t="n"/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46196</v>
      </c>
      <c r="O15" s="26" t="inlineStr">
        <is>
          <t>Sunil CR</t>
        </is>
      </c>
      <c r="P15" s="26" t="inlineStr">
        <is>
          <t>Yes</t>
        </is>
      </c>
      <c r="Q15" s="26" t="inlineStr">
        <is>
          <t>No</t>
        </is>
      </c>
      <c r="R15" s="26" t="inlineStr">
        <is>
          <t>Good finish</t>
        </is>
      </c>
      <c r="S15" s="26" t="inlineStr">
        <is>
          <t>Yes</t>
        </is>
      </c>
      <c r="T15" s="27" t="n"/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Good finish</t>
        </is>
      </c>
      <c r="AB15" s="30" t="inlineStr">
        <is>
          <t>Yes</t>
        </is>
      </c>
      <c r="AC15" s="27" t="n"/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WF GP FLP506</t>
        </is>
      </c>
      <c r="C16" s="41" t="inlineStr">
        <is>
          <t>SEPIA TEAK</t>
        </is>
      </c>
      <c r="D16" s="39" t="inlineStr">
        <is>
          <t>Greenpanel</t>
        </is>
      </c>
      <c r="E16" s="43" t="n">
        <v>46125</v>
      </c>
      <c r="F16" s="26" t="inlineStr">
        <is>
          <t>Sunil CR</t>
        </is>
      </c>
      <c r="G16" s="26" t="inlineStr">
        <is>
          <t>Yes</t>
        </is>
      </c>
      <c r="H16" s="26" t="inlineStr">
        <is>
          <t>No</t>
        </is>
      </c>
      <c r="I16" s="26" t="inlineStr">
        <is>
          <t>Good finish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46196</v>
      </c>
      <c r="O16" s="26" t="inlineStr">
        <is>
          <t>Sunil CR</t>
        </is>
      </c>
      <c r="P16" s="26" t="inlineStr">
        <is>
          <t>Yes</t>
        </is>
      </c>
      <c r="Q16" s="26" t="inlineStr">
        <is>
          <t>No</t>
        </is>
      </c>
      <c r="R16" s="26" t="inlineStr">
        <is>
          <t>Good finish</t>
        </is>
      </c>
      <c r="S16" s="26" t="inlineStr">
        <is>
          <t>Yes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Yes</t>
        </is>
      </c>
      <c r="Z16" s="30" t="n"/>
      <c r="AA16" s="30" t="inlineStr">
        <is>
          <t>Good finish</t>
        </is>
      </c>
      <c r="AB16" s="30" t="inlineStr">
        <is>
          <t>Yes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WF GP FL018</t>
        </is>
      </c>
      <c r="C17" s="25" t="inlineStr">
        <is>
          <t>SERENE SEPIA</t>
        </is>
      </c>
      <c r="D17" s="23" t="inlineStr">
        <is>
          <t>Greenpanel</t>
        </is>
      </c>
      <c r="E17" s="43" t="n">
        <v>46125</v>
      </c>
      <c r="F17" s="26" t="inlineStr">
        <is>
          <t>Sunil CR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Good finish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46196</v>
      </c>
      <c r="O17" s="26" t="inlineStr">
        <is>
          <t>Sunil CR</t>
        </is>
      </c>
      <c r="P17" s="26" t="inlineStr">
        <is>
          <t>Yes</t>
        </is>
      </c>
      <c r="Q17" s="26" t="inlineStr">
        <is>
          <t>No</t>
        </is>
      </c>
      <c r="R17" s="26" t="inlineStr">
        <is>
          <t>Good finish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Yes</t>
        </is>
      </c>
      <c r="Z17" s="30" t="n"/>
      <c r="AA17" s="30" t="inlineStr">
        <is>
          <t>Good finish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WF GP FL024</t>
        </is>
      </c>
      <c r="C18" s="41" t="inlineStr">
        <is>
          <t>SHERWOOD DOUZUKI</t>
        </is>
      </c>
      <c r="D18" s="39" t="inlineStr">
        <is>
          <t>Greenpanel</t>
        </is>
      </c>
      <c r="E18" s="43" t="n">
        <v>46125</v>
      </c>
      <c r="F18" s="26" t="inlineStr">
        <is>
          <t>Sunil CR</t>
        </is>
      </c>
      <c r="G18" s="26" t="inlineStr">
        <is>
          <t>Yes</t>
        </is>
      </c>
      <c r="H18" s="26" t="inlineStr">
        <is>
          <t>No</t>
        </is>
      </c>
      <c r="I18" s="26" t="inlineStr">
        <is>
          <t>Good finish</t>
        </is>
      </c>
      <c r="J18" s="26" t="inlineStr">
        <is>
          <t>Yes</t>
        </is>
      </c>
      <c r="K18" s="27" t="n"/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46196</v>
      </c>
      <c r="O18" s="26" t="inlineStr">
        <is>
          <t>Sunil CR</t>
        </is>
      </c>
      <c r="P18" s="26" t="inlineStr">
        <is>
          <t>Yes</t>
        </is>
      </c>
      <c r="Q18" s="26" t="inlineStr">
        <is>
          <t>No</t>
        </is>
      </c>
      <c r="R18" s="26" t="inlineStr">
        <is>
          <t>Good finish</t>
        </is>
      </c>
      <c r="S18" s="26" t="inlineStr">
        <is>
          <t>Yes</t>
        </is>
      </c>
      <c r="T18" s="27" t="n"/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Yes</t>
        </is>
      </c>
      <c r="Z18" s="30" t="n"/>
      <c r="AA18" s="30" t="inlineStr">
        <is>
          <t>Good finish</t>
        </is>
      </c>
      <c r="AB18" s="30" t="inlineStr">
        <is>
          <t>Yes</t>
        </is>
      </c>
      <c r="AC18" s="27" t="n"/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WF GP FL026</t>
        </is>
      </c>
      <c r="C19" s="25" t="inlineStr">
        <is>
          <t>TAUPE OAK</t>
        </is>
      </c>
      <c r="D19" s="23" t="inlineStr">
        <is>
          <t>Greenpanel</t>
        </is>
      </c>
      <c r="E19" s="43" t="n">
        <v>46125</v>
      </c>
      <c r="F19" s="26" t="inlineStr">
        <is>
          <t>Sunil CR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Good finish</t>
        </is>
      </c>
      <c r="J19" s="26" t="inlineStr">
        <is>
          <t>Yes</t>
        </is>
      </c>
      <c r="K19" s="27" t="n"/>
      <c r="L19" s="28" t="inlineStr">
        <is>
          <t>No</t>
        </is>
      </c>
      <c r="M19" s="29">
        <f>IF(E19="","",IF(H19="Yes","❌ Disc",IF(G19="No","⚠ Missing",IF(J19="Yes","✓ OK","⚠ Check"))))</f>
        <v/>
      </c>
      <c r="N19" s="43" t="n">
        <v>46196</v>
      </c>
      <c r="O19" s="26" t="inlineStr">
        <is>
          <t>Sunil CR</t>
        </is>
      </c>
      <c r="P19" s="26" t="inlineStr">
        <is>
          <t>Yes</t>
        </is>
      </c>
      <c r="Q19" s="26" t="inlineStr">
        <is>
          <t>No</t>
        </is>
      </c>
      <c r="R19" s="26" t="inlineStr">
        <is>
          <t>Good finish</t>
        </is>
      </c>
      <c r="S19" s="26" t="inlineStr">
        <is>
          <t>Yes</t>
        </is>
      </c>
      <c r="T19" s="27" t="n"/>
      <c r="U19" s="28" t="inlineStr">
        <is>
          <t>No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Yes</t>
        </is>
      </c>
      <c r="Z19" s="30" t="n"/>
      <c r="AA19" s="30" t="inlineStr">
        <is>
          <t>Good finish</t>
        </is>
      </c>
      <c r="AB19" s="30" t="inlineStr">
        <is>
          <t>Yes</t>
        </is>
      </c>
      <c r="AC19" s="27" t="n"/>
      <c r="AD19" s="31" t="inlineStr">
        <is>
          <t>No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WF GP FLP504</t>
        </is>
      </c>
      <c r="C20" s="41" t="inlineStr">
        <is>
          <t>TAVERN TRAILS</t>
        </is>
      </c>
      <c r="D20" s="39" t="inlineStr">
        <is>
          <t>Greenpanel</t>
        </is>
      </c>
      <c r="E20" s="43" t="n">
        <v>46125</v>
      </c>
      <c r="F20" s="26" t="inlineStr">
        <is>
          <t>Sunil CR</t>
        </is>
      </c>
      <c r="G20" s="26" t="inlineStr">
        <is>
          <t>Yes</t>
        </is>
      </c>
      <c r="H20" s="26" t="inlineStr">
        <is>
          <t>No</t>
        </is>
      </c>
      <c r="I20" s="26" t="inlineStr">
        <is>
          <t>Good finish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46196</v>
      </c>
      <c r="O20" s="26" t="inlineStr">
        <is>
          <t>Sunil CR</t>
        </is>
      </c>
      <c r="P20" s="26" t="inlineStr">
        <is>
          <t>Yes</t>
        </is>
      </c>
      <c r="Q20" s="26" t="inlineStr">
        <is>
          <t>No</t>
        </is>
      </c>
      <c r="R20" s="26" t="inlineStr">
        <is>
          <t>Good finish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Yes</t>
        </is>
      </c>
      <c r="Z20" s="30" t="n"/>
      <c r="AA20" s="30" t="inlineStr">
        <is>
          <t>Good finish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WF GP FL003</t>
        </is>
      </c>
      <c r="C21" s="25" t="inlineStr">
        <is>
          <t>TIMBER TRAIL</t>
        </is>
      </c>
      <c r="D21" s="23" t="inlineStr">
        <is>
          <t>Greenpanel</t>
        </is>
      </c>
      <c r="E21" s="43" t="n">
        <v>46125</v>
      </c>
      <c r="F21" s="26" t="inlineStr">
        <is>
          <t>Sunil CR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Good finish</t>
        </is>
      </c>
      <c r="J21" s="26" t="inlineStr">
        <is>
          <t>Yes</t>
        </is>
      </c>
      <c r="K21" s="27" t="n"/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46196</v>
      </c>
      <c r="O21" s="26" t="inlineStr">
        <is>
          <t>Sunil CR</t>
        </is>
      </c>
      <c r="P21" s="26" t="inlineStr">
        <is>
          <t>Yes</t>
        </is>
      </c>
      <c r="Q21" s="26" t="inlineStr">
        <is>
          <t>No</t>
        </is>
      </c>
      <c r="R21" s="26" t="inlineStr">
        <is>
          <t>Good finish</t>
        </is>
      </c>
      <c r="S21" s="26" t="inlineStr">
        <is>
          <t>Yes</t>
        </is>
      </c>
      <c r="T21" s="27" t="n"/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Yes</t>
        </is>
      </c>
      <c r="Z21" s="30" t="n"/>
      <c r="AA21" s="30" t="inlineStr">
        <is>
          <t>Good finish</t>
        </is>
      </c>
      <c r="AB21" s="30" t="inlineStr">
        <is>
          <t>Yes</t>
        </is>
      </c>
      <c r="AC21" s="27" t="n"/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BD-VRM-2024-0133</t>
        </is>
      </c>
      <c r="C22" s="41" t="inlineStr">
        <is>
          <t>Bonito Soft Flooring Solution - SPC SA11 Nordic Brown - 1220mmx183mm</t>
        </is>
      </c>
      <c r="D22" s="39" t="inlineStr">
        <is>
          <t>SPC Flooring</t>
        </is>
      </c>
      <c r="E22" s="43" t="n">
        <v>46125</v>
      </c>
      <c r="F22" s="26" t="inlineStr">
        <is>
          <t>Sunil CR</t>
        </is>
      </c>
      <c r="G22" s="26" t="inlineStr">
        <is>
          <t>No</t>
        </is>
      </c>
      <c r="H22" s="26" t="inlineStr">
        <is>
          <t>No</t>
        </is>
      </c>
      <c r="I22" s="26" t="inlineStr">
        <is>
          <t>Not Available</t>
        </is>
      </c>
      <c r="J22" s="26" t="inlineStr">
        <is>
          <t>No</t>
        </is>
      </c>
      <c r="K22" s="27" t="n"/>
      <c r="L22" s="28" t="inlineStr">
        <is>
          <t>Yes</t>
        </is>
      </c>
      <c r="M22" s="29">
        <f>IF(E22="","",IF(H22="Yes","❌ Disc",IF(G22="No","⚠ Missing",IF(J22="Yes","✓ OK","⚠ Check"))))</f>
        <v/>
      </c>
      <c r="N22" s="43" t="n">
        <v>46196</v>
      </c>
      <c r="O22" s="26" t="inlineStr">
        <is>
          <t>Sunil CR</t>
        </is>
      </c>
      <c r="P22" s="26" t="inlineStr">
        <is>
          <t>No</t>
        </is>
      </c>
      <c r="Q22" s="26" t="inlineStr">
        <is>
          <t>No</t>
        </is>
      </c>
      <c r="R22" s="26" t="inlineStr">
        <is>
          <t>Not Available</t>
        </is>
      </c>
      <c r="S22" s="26" t="inlineStr">
        <is>
          <t>No</t>
        </is>
      </c>
      <c r="T22" s="27" t="n"/>
      <c r="U22" s="28" t="inlineStr">
        <is>
          <t>Yes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No</t>
        </is>
      </c>
      <c r="Z22" s="30" t="n"/>
      <c r="AA22" s="30" t="inlineStr">
        <is>
          <t>Not Available</t>
        </is>
      </c>
      <c r="AB22" s="30" t="inlineStr">
        <is>
          <t>No</t>
        </is>
      </c>
      <c r="AC22" s="27" t="n"/>
      <c r="AD22" s="31" t="inlineStr">
        <is>
          <t>Yes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BD-VRM-2024-0134</t>
        </is>
      </c>
      <c r="C23" s="25" t="inlineStr">
        <is>
          <t>Bonito Soft Flooring Solution - SPC SA15 Almond Brown - 1220mmx183mm</t>
        </is>
      </c>
      <c r="D23" s="23" t="inlineStr">
        <is>
          <t>SPC Flooring</t>
        </is>
      </c>
      <c r="E23" s="43" t="n">
        <v>46125</v>
      </c>
      <c r="F23" s="26" t="inlineStr">
        <is>
          <t>Sunil CR</t>
        </is>
      </c>
      <c r="G23" s="26" t="inlineStr">
        <is>
          <t>No</t>
        </is>
      </c>
      <c r="H23" s="26" t="inlineStr">
        <is>
          <t>No</t>
        </is>
      </c>
      <c r="I23" s="26" t="inlineStr">
        <is>
          <t>Not Available</t>
        </is>
      </c>
      <c r="J23" s="26" t="inlineStr">
        <is>
          <t>No</t>
        </is>
      </c>
      <c r="K23" s="27" t="n"/>
      <c r="L23" s="28" t="inlineStr">
        <is>
          <t>Yes</t>
        </is>
      </c>
      <c r="M23" s="29">
        <f>IF(E23="","",IF(H23="Yes","❌ Disc",IF(G23="No","⚠ Missing",IF(J23="Yes","✓ OK","⚠ Check"))))</f>
        <v/>
      </c>
      <c r="N23" s="43" t="n">
        <v>46196</v>
      </c>
      <c r="O23" s="26" t="inlineStr">
        <is>
          <t>Sunil CR</t>
        </is>
      </c>
      <c r="P23" s="26" t="inlineStr">
        <is>
          <t>No</t>
        </is>
      </c>
      <c r="Q23" s="26" t="inlineStr">
        <is>
          <t>No</t>
        </is>
      </c>
      <c r="R23" s="26" t="inlineStr">
        <is>
          <t>Not Available</t>
        </is>
      </c>
      <c r="S23" s="26" t="inlineStr">
        <is>
          <t>No</t>
        </is>
      </c>
      <c r="T23" s="27" t="n"/>
      <c r="U23" s="28" t="inlineStr">
        <is>
          <t>Yes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No</t>
        </is>
      </c>
      <c r="Z23" s="30" t="n"/>
      <c r="AA23" s="30" t="inlineStr">
        <is>
          <t>Not Available</t>
        </is>
      </c>
      <c r="AB23" s="30" t="inlineStr">
        <is>
          <t>No</t>
        </is>
      </c>
      <c r="AC23" s="27" t="n"/>
      <c r="AD23" s="31" t="inlineStr">
        <is>
          <t>Yes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BD-VRM-2024-0135</t>
        </is>
      </c>
      <c r="C24" s="41" t="inlineStr">
        <is>
          <t>Bonito Soft Flooring Solution - SPC SA16 Light Oak - 1220mmx183mm</t>
        </is>
      </c>
      <c r="D24" s="39" t="inlineStr">
        <is>
          <t>SPC Flooring</t>
        </is>
      </c>
      <c r="E24" s="43" t="n">
        <v>46125</v>
      </c>
      <c r="F24" s="26" t="inlineStr">
        <is>
          <t>Sunil CR</t>
        </is>
      </c>
      <c r="G24" s="26" t="inlineStr">
        <is>
          <t>No</t>
        </is>
      </c>
      <c r="H24" s="26" t="inlineStr">
        <is>
          <t>No</t>
        </is>
      </c>
      <c r="I24" s="26" t="inlineStr">
        <is>
          <t>Not Available</t>
        </is>
      </c>
      <c r="J24" s="26" t="inlineStr">
        <is>
          <t>No</t>
        </is>
      </c>
      <c r="K24" s="27" t="n"/>
      <c r="L24" s="28" t="inlineStr">
        <is>
          <t>Yes</t>
        </is>
      </c>
      <c r="M24" s="29">
        <f>IF(E24="","",IF(H24="Yes","❌ Disc",IF(G24="No","⚠ Missing",IF(J24="Yes","✓ OK","⚠ Check"))))</f>
        <v/>
      </c>
      <c r="N24" s="43" t="n">
        <v>46196</v>
      </c>
      <c r="O24" s="26" t="inlineStr">
        <is>
          <t>Sunil CR</t>
        </is>
      </c>
      <c r="P24" s="26" t="inlineStr">
        <is>
          <t>No</t>
        </is>
      </c>
      <c r="Q24" s="26" t="inlineStr">
        <is>
          <t>No</t>
        </is>
      </c>
      <c r="R24" s="26" t="inlineStr">
        <is>
          <t>Not Available</t>
        </is>
      </c>
      <c r="S24" s="26" t="inlineStr">
        <is>
          <t>No</t>
        </is>
      </c>
      <c r="T24" s="27" t="n"/>
      <c r="U24" s="28" t="inlineStr">
        <is>
          <t>Yes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No</t>
        </is>
      </c>
      <c r="Z24" s="30" t="n"/>
      <c r="AA24" s="30" t="inlineStr">
        <is>
          <t>Not Available</t>
        </is>
      </c>
      <c r="AB24" s="30" t="inlineStr">
        <is>
          <t>No</t>
        </is>
      </c>
      <c r="AC24" s="27" t="n"/>
      <c r="AD24" s="31" t="inlineStr">
        <is>
          <t>Yes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BD-VRM-2024-0136</t>
        </is>
      </c>
      <c r="C25" s="25" t="inlineStr">
        <is>
          <t>Bonito Soft Flooring Solution - SPC SA17 Western Oak - 1220mmx183mm</t>
        </is>
      </c>
      <c r="D25" s="23" t="inlineStr">
        <is>
          <t>SPC Flooring</t>
        </is>
      </c>
      <c r="E25" s="43" t="n">
        <v>46125</v>
      </c>
      <c r="F25" s="26" t="inlineStr">
        <is>
          <t>Sunil CR</t>
        </is>
      </c>
      <c r="G25" s="26" t="inlineStr">
        <is>
          <t>No</t>
        </is>
      </c>
      <c r="H25" s="26" t="inlineStr">
        <is>
          <t>No</t>
        </is>
      </c>
      <c r="I25" s="26" t="inlineStr">
        <is>
          <t>Not Available</t>
        </is>
      </c>
      <c r="J25" s="26" t="inlineStr">
        <is>
          <t>No</t>
        </is>
      </c>
      <c r="K25" s="27" t="n"/>
      <c r="L25" s="28" t="inlineStr">
        <is>
          <t>Yes</t>
        </is>
      </c>
      <c r="M25" s="29">
        <f>IF(E25="","",IF(H25="Yes","❌ Disc",IF(G25="No","⚠ Missing",IF(J25="Yes","✓ OK","⚠ Check"))))</f>
        <v/>
      </c>
      <c r="N25" s="43" t="n">
        <v>46196</v>
      </c>
      <c r="O25" s="26" t="inlineStr">
        <is>
          <t>Sunil CR</t>
        </is>
      </c>
      <c r="P25" s="26" t="inlineStr">
        <is>
          <t>No</t>
        </is>
      </c>
      <c r="Q25" s="26" t="inlineStr">
        <is>
          <t>No</t>
        </is>
      </c>
      <c r="R25" s="26" t="inlineStr">
        <is>
          <t>Not Available</t>
        </is>
      </c>
      <c r="S25" s="26" t="inlineStr">
        <is>
          <t>No</t>
        </is>
      </c>
      <c r="T25" s="27" t="n"/>
      <c r="U25" s="28" t="inlineStr">
        <is>
          <t>Yes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No</t>
        </is>
      </c>
      <c r="Z25" s="30" t="n"/>
      <c r="AA25" s="30" t="inlineStr">
        <is>
          <t>Not Available</t>
        </is>
      </c>
      <c r="AB25" s="30" t="inlineStr">
        <is>
          <t>No</t>
        </is>
      </c>
      <c r="AC25" s="27" t="n"/>
      <c r="AD25" s="31" t="inlineStr">
        <is>
          <t>Yes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BD-VRM-2024-0137</t>
        </is>
      </c>
      <c r="C26" s="41" t="inlineStr">
        <is>
          <t>Bonito Soft Flooring Solution - SPC SA18 Golden Teak - 1220mmx183mm</t>
        </is>
      </c>
      <c r="D26" s="39" t="inlineStr">
        <is>
          <t>SPC Flooring</t>
        </is>
      </c>
      <c r="E26" s="43" t="n">
        <v>46125</v>
      </c>
      <c r="F26" s="26" t="inlineStr">
        <is>
          <t>Sunil CR</t>
        </is>
      </c>
      <c r="G26" s="26" t="inlineStr">
        <is>
          <t>No</t>
        </is>
      </c>
      <c r="H26" s="26" t="inlineStr">
        <is>
          <t>No</t>
        </is>
      </c>
      <c r="I26" s="26" t="inlineStr">
        <is>
          <t>Not Available</t>
        </is>
      </c>
      <c r="J26" s="26" t="inlineStr">
        <is>
          <t>No</t>
        </is>
      </c>
      <c r="K26" s="27" t="n"/>
      <c r="L26" s="28" t="inlineStr">
        <is>
          <t>Yes</t>
        </is>
      </c>
      <c r="M26" s="29">
        <f>IF(E26="","",IF(H26="Yes","❌ Disc",IF(G26="No","⚠ Missing",IF(J26="Yes","✓ OK","⚠ Check"))))</f>
        <v/>
      </c>
      <c r="N26" s="43" t="n">
        <v>46196</v>
      </c>
      <c r="O26" s="26" t="inlineStr">
        <is>
          <t>Sunil CR</t>
        </is>
      </c>
      <c r="P26" s="26" t="inlineStr">
        <is>
          <t>No</t>
        </is>
      </c>
      <c r="Q26" s="26" t="inlineStr">
        <is>
          <t>No</t>
        </is>
      </c>
      <c r="R26" s="26" t="inlineStr">
        <is>
          <t>Not Available</t>
        </is>
      </c>
      <c r="S26" s="26" t="inlineStr">
        <is>
          <t>No</t>
        </is>
      </c>
      <c r="T26" s="27" t="n"/>
      <c r="U26" s="28" t="inlineStr">
        <is>
          <t>Yes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No</t>
        </is>
      </c>
      <c r="Z26" s="30" t="n"/>
      <c r="AA26" s="30" t="inlineStr">
        <is>
          <t>Not Available</t>
        </is>
      </c>
      <c r="AB26" s="30" t="inlineStr">
        <is>
          <t>No</t>
        </is>
      </c>
      <c r="AC26" s="27" t="n"/>
      <c r="AD26" s="31" t="inlineStr">
        <is>
          <t>Yes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</sheetData>
  <autoFilter ref="A4:AW26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priority="15" dxfId="3">
      <formula>G5="Yes"</formula>
    </cfRule>
    <cfRule type="expression" priority="16" dxfId="1">
      <formula>G5="No"</formula>
    </cfRule>
  </conditionalFormatting>
  <conditionalFormatting sqref="H5:H26">
    <cfRule type="expression" priority="17" dxfId="1">
      <formula>H5="Yes"</formula>
    </cfRule>
  </conditionalFormatting>
  <conditionalFormatting sqref="J5:J26">
    <cfRule type="expression" priority="18" dxfId="3">
      <formula>J5="Yes"</formula>
    </cfRule>
    <cfRule type="expression" priority="19" dxfId="1">
      <formula>J5="No"</formula>
    </cfRule>
  </conditionalFormatting>
  <conditionalFormatting sqref="M5:M26">
    <cfRule type="expression" priority="11" dxfId="3">
      <formula>M5="✓ OK"</formula>
    </cfRule>
    <cfRule type="expression" priority="12" dxfId="1">
      <formula>M5="❌ Disc"</formula>
    </cfRule>
    <cfRule type="expression" priority="13" dxfId="1">
      <formula>M5="⚠ Missing"</formula>
    </cfRule>
    <cfRule type="expression" priority="14" dxfId="0">
      <formula>M5="⚠ Check"</formula>
    </cfRule>
  </conditionalFormatting>
  <conditionalFormatting sqref="N5:N26">
    <cfRule type="expression" priority="1" dxfId="27">
      <formula>MOD(ROW(),2)=0</formula>
    </cfRule>
  </conditionalFormatting>
  <conditionalFormatting sqref="A5:M26 O5:AW26">
    <cfRule type="expression" priority="56" dxfId="27">
      <formula>MOD(ROW(),2)=0</formula>
    </cfRule>
  </conditionalFormatting>
  <conditionalFormatting sqref="P5:P26">
    <cfRule type="expression" priority="6" dxfId="3">
      <formula>P5="Yes"</formula>
    </cfRule>
    <cfRule type="expression" priority="7" dxfId="1">
      <formula>P5="No"</formula>
    </cfRule>
    <cfRule type="expression" priority="24" dxfId="3">
      <formula>P5="Yes"</formula>
    </cfRule>
    <cfRule type="expression" priority="25" dxfId="1">
      <formula>P5="No"</formula>
    </cfRule>
  </conditionalFormatting>
  <conditionalFormatting sqref="Q5:Q26">
    <cfRule type="expression" priority="8" dxfId="1">
      <formula>Q5="Yes"</formula>
    </cfRule>
  </conditionalFormatting>
  <conditionalFormatting sqref="S5:S26">
    <cfRule type="expression" priority="9" dxfId="3">
      <formula>S5="Yes"</formula>
    </cfRule>
    <cfRule type="expression" priority="10" dxfId="1">
      <formula>S5="No"</formula>
    </cfRule>
    <cfRule type="expression" priority="27" dxfId="3">
      <formula>S5="Yes"</formula>
    </cfRule>
    <cfRule type="expression" priority="28" dxfId="1">
      <formula>S5="No"</formula>
    </cfRule>
  </conditionalFormatting>
  <conditionalFormatting sqref="V5:V26">
    <cfRule type="expression" priority="2" dxfId="3">
      <formula>V5="✓ OK"</formula>
    </cfRule>
    <cfRule type="expression" priority="3" dxfId="1">
      <formula>V5="❌ Disc"</formula>
    </cfRule>
    <cfRule type="expression" priority="4" dxfId="1">
      <formula>V5="⚠ Missing"</formula>
    </cfRule>
    <cfRule type="expression" priority="5" dxfId="0">
      <formula>V5="⚠ Check"</formula>
    </cfRule>
    <cfRule type="expression" priority="20" dxfId="3">
      <formula>V5="✓ OK"</formula>
    </cfRule>
    <cfRule type="expression" priority="21" dxfId="1">
      <formula>V5="❌ Disc"</formula>
    </cfRule>
    <cfRule type="expression" priority="22" dxfId="1">
      <formula>V5="⚠ Missing"</formula>
    </cfRule>
    <cfRule type="expression" priority="23" dxfId="0">
      <formula>V5="⚠ Check"</formula>
    </cfRule>
  </conditionalFormatting>
  <conditionalFormatting sqref="Y5:Y26">
    <cfRule type="expression" priority="33" dxfId="3">
      <formula>Y5="Yes"</formula>
    </cfRule>
    <cfRule type="expression" priority="34" dxfId="1">
      <formula>Y5="No"</formula>
    </cfRule>
  </conditionalFormatting>
  <conditionalFormatting sqref="Z5:Z26">
    <cfRule type="expression" priority="35" dxfId="1">
      <formula>Z5="Yes"</formula>
    </cfRule>
  </conditionalFormatting>
  <conditionalFormatting sqref="AB5:AB26">
    <cfRule type="expression" priority="37" dxfId="1">
      <formula>AB5="No"</formula>
    </cfRule>
    <cfRule type="expression" priority="36" dxfId="3">
      <formula>AB5="Yes"</formula>
    </cfRule>
  </conditionalFormatting>
  <conditionalFormatting sqref="AE5:AE26">
    <cfRule type="expression" priority="30" dxfId="1">
      <formula>AE5="❌ Disc"</formula>
    </cfRule>
    <cfRule type="expression" priority="31" dxfId="1">
      <formula>AE5="⚠ Missing"</formula>
    </cfRule>
    <cfRule type="expression" priority="29" dxfId="3">
      <formula>AE5="✓ OK"</formula>
    </cfRule>
    <cfRule type="expression" priority="32" dxfId="0">
      <formula>AE5="⚠ Check"</formula>
    </cfRule>
  </conditionalFormatting>
  <conditionalFormatting sqref="AH5:AH26">
    <cfRule type="expression" priority="43" dxfId="1">
      <formula>AH5="No"</formula>
    </cfRule>
    <cfRule type="expression" priority="42" dxfId="3">
      <formula>AH5="Yes"</formula>
    </cfRule>
  </conditionalFormatting>
  <conditionalFormatting sqref="AI5:AI26">
    <cfRule type="expression" priority="44" dxfId="1">
      <formula>AI5="Yes"</formula>
    </cfRule>
  </conditionalFormatting>
  <conditionalFormatting sqref="AK5:AK26">
    <cfRule type="expression" priority="45" dxfId="3">
      <formula>AK5="Yes"</formula>
    </cfRule>
    <cfRule type="expression" priority="46" dxfId="1">
      <formula>AK5="No"</formula>
    </cfRule>
  </conditionalFormatting>
  <conditionalFormatting sqref="AN5:AN26">
    <cfRule type="expression" priority="38" dxfId="3">
      <formula>AN5="✓ OK"</formula>
    </cfRule>
    <cfRule type="expression" priority="39" dxfId="1">
      <formula>AN5="❌ Disc"</formula>
    </cfRule>
    <cfRule type="expression" priority="40" dxfId="1">
      <formula>AN5="⚠ Missing"</formula>
    </cfRule>
    <cfRule type="expression" priority="41" dxfId="0">
      <formula>AN5="⚠ Check"</formula>
    </cfRule>
  </conditionalFormatting>
  <conditionalFormatting sqref="AQ5:AQ26">
    <cfRule type="expression" priority="51" dxfId="3">
      <formula>AQ5="Yes"</formula>
    </cfRule>
    <cfRule type="expression" priority="52" dxfId="1">
      <formula>AQ5="No"</formula>
    </cfRule>
  </conditionalFormatting>
  <conditionalFormatting sqref="AR5:AR26">
    <cfRule type="expression" priority="53" dxfId="1">
      <formula>AR5="Yes"</formula>
    </cfRule>
  </conditionalFormatting>
  <conditionalFormatting sqref="AT5:AT26">
    <cfRule type="expression" priority="54" dxfId="3">
      <formula>AT5="Yes"</formula>
    </cfRule>
    <cfRule type="expression" priority="55" dxfId="1">
      <formula>AT5="No"</formula>
    </cfRule>
  </conditionalFormatting>
  <conditionalFormatting sqref="AW5:AW26">
    <cfRule type="expression" priority="47" dxfId="3">
      <formula>AW5="✓ OK"</formula>
    </cfRule>
    <cfRule type="expression" priority="48" dxfId="1">
      <formula>AW5="❌ Disc"</formula>
    </cfRule>
    <cfRule type="expression" priority="50" dxfId="0">
      <formula>AW5="⚠ Check"</formula>
    </cfRule>
    <cfRule type="expression" priority="49" dxfId="1">
      <formula>AW5="⚠ Missing"</formula>
    </cfRule>
  </conditionalFormatting>
  <dataValidations count="2">
    <dataValidation sqref="G5:H26 J5:J26 P5:Q26 S5:S26 Y5:Z26 AB5:AB26 AH5:AI26 AK5:AK26 AQ5:AR26 AT5:AT26" showDropDown="0" showInputMessage="0" showErrorMessage="0" allowBlank="1" type="list">
      <formula1>"Yes,No"</formula1>
    </dataValidation>
    <dataValidation sqref="I5:I26 R5:R26 AA5:AA26 AJ5:AJ26 AS5:AS26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theme="0"/>
    <outlinePr summaryBelow="1" summaryRight="1"/>
    <pageSetUpPr/>
  </sheetPr>
  <dimension ref="A1:AW39"/>
  <sheetViews>
    <sheetView workbookViewId="0">
      <pane xSplit="4" ySplit="4" topLeftCell="L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BEADING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BD-VRM-2024-0661</t>
        </is>
      </c>
      <c r="C5" s="25" t="inlineStr">
        <is>
          <t>Charcoal Beading - VA-22</t>
        </is>
      </c>
      <c r="D5" s="23" t="inlineStr">
        <is>
          <t>Europratik</t>
        </is>
      </c>
      <c r="E5" s="43" t="n">
        <v>46125</v>
      </c>
      <c r="F5" s="26" t="inlineStr">
        <is>
          <t>Sunil CR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Good finish</t>
        </is>
      </c>
      <c r="J5" s="26" t="inlineStr">
        <is>
          <t>Yes</t>
        </is>
      </c>
      <c r="K5" s="27" t="n"/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46196</v>
      </c>
      <c r="O5" s="26" t="inlineStr">
        <is>
          <t>Sunil CR</t>
        </is>
      </c>
      <c r="P5" s="26" t="inlineStr">
        <is>
          <t>Yes</t>
        </is>
      </c>
      <c r="Q5" s="26" t="inlineStr">
        <is>
          <t>No</t>
        </is>
      </c>
      <c r="R5" s="26" t="inlineStr">
        <is>
          <t>Good finish</t>
        </is>
      </c>
      <c r="S5" s="26" t="inlineStr">
        <is>
          <t>Yes</t>
        </is>
      </c>
      <c r="T5" s="27" t="n"/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Yes</t>
        </is>
      </c>
      <c r="Z5" s="30" t="n"/>
      <c r="AA5" s="30" t="inlineStr">
        <is>
          <t>Good finish</t>
        </is>
      </c>
      <c r="AB5" s="30" t="inlineStr">
        <is>
          <t>Yes</t>
        </is>
      </c>
      <c r="AC5" s="27" t="n"/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BD-VRM-2024-0659</t>
        </is>
      </c>
      <c r="C6" s="41" t="inlineStr">
        <is>
          <t>Charcoal Beading - VA-30</t>
        </is>
      </c>
      <c r="D6" s="39" t="inlineStr">
        <is>
          <t>Europratik</t>
        </is>
      </c>
      <c r="E6" s="43" t="n">
        <v>46125</v>
      </c>
      <c r="F6" s="26" t="inlineStr">
        <is>
          <t>Sunil CR</t>
        </is>
      </c>
      <c r="G6" s="26" t="inlineStr">
        <is>
          <t>Yes</t>
        </is>
      </c>
      <c r="H6" s="26" t="inlineStr">
        <is>
          <t>No</t>
        </is>
      </c>
      <c r="I6" s="26" t="inlineStr">
        <is>
          <t>Good finish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46196</v>
      </c>
      <c r="O6" s="26" t="inlineStr">
        <is>
          <t>Sunil CR</t>
        </is>
      </c>
      <c r="P6" s="26" t="inlineStr">
        <is>
          <t>Yes</t>
        </is>
      </c>
      <c r="Q6" s="26" t="inlineStr">
        <is>
          <t>No</t>
        </is>
      </c>
      <c r="R6" s="26" t="inlineStr">
        <is>
          <t>Good finish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Yes</t>
        </is>
      </c>
      <c r="Z6" s="30" t="n"/>
      <c r="AA6" s="30" t="inlineStr">
        <is>
          <t>Good finish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BD-VRM-2024-0657</t>
        </is>
      </c>
      <c r="C7" s="25" t="inlineStr">
        <is>
          <t>Charcoal Beading - VA-38</t>
        </is>
      </c>
      <c r="D7" s="23" t="inlineStr">
        <is>
          <t>Europratik</t>
        </is>
      </c>
      <c r="E7" s="43" t="n">
        <v>46125</v>
      </c>
      <c r="F7" s="26" t="inlineStr">
        <is>
          <t>Sunil CR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Good finish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46196</v>
      </c>
      <c r="O7" s="26" t="inlineStr">
        <is>
          <t>Sunil CR</t>
        </is>
      </c>
      <c r="P7" s="26" t="inlineStr">
        <is>
          <t>Yes</t>
        </is>
      </c>
      <c r="Q7" s="26" t="inlineStr">
        <is>
          <t>No</t>
        </is>
      </c>
      <c r="R7" s="26" t="inlineStr">
        <is>
          <t>Good finish</t>
        </is>
      </c>
      <c r="S7" s="26" t="inlineStr">
        <is>
          <t>Yes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Yes</t>
        </is>
      </c>
      <c r="Z7" s="30" t="n"/>
      <c r="AA7" s="30" t="inlineStr">
        <is>
          <t>Good finish</t>
        </is>
      </c>
      <c r="AB7" s="30" t="inlineStr">
        <is>
          <t>Yes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BD-VRM-2024-0662</t>
        </is>
      </c>
      <c r="C8" s="41" t="inlineStr">
        <is>
          <t>Charcoal Beading - VB-22</t>
        </is>
      </c>
      <c r="D8" s="39" t="inlineStr">
        <is>
          <t>Europratik</t>
        </is>
      </c>
      <c r="E8" s="43" t="n">
        <v>46125</v>
      </c>
      <c r="F8" s="26" t="inlineStr">
        <is>
          <t>Sunil CR</t>
        </is>
      </c>
      <c r="G8" s="26" t="inlineStr">
        <is>
          <t>Yes</t>
        </is>
      </c>
      <c r="H8" s="26" t="inlineStr">
        <is>
          <t>No</t>
        </is>
      </c>
      <c r="I8" s="26" t="inlineStr">
        <is>
          <t>Good finish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46196</v>
      </c>
      <c r="O8" s="26" t="inlineStr">
        <is>
          <t>Sunil CR</t>
        </is>
      </c>
      <c r="P8" s="26" t="inlineStr">
        <is>
          <t>Yes</t>
        </is>
      </c>
      <c r="Q8" s="26" t="inlineStr">
        <is>
          <t>No</t>
        </is>
      </c>
      <c r="R8" s="26" t="inlineStr">
        <is>
          <t>Good finish</t>
        </is>
      </c>
      <c r="S8" s="26" t="inlineStr">
        <is>
          <t>Yes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Yes</t>
        </is>
      </c>
      <c r="Z8" s="30" t="n"/>
      <c r="AA8" s="30" t="inlineStr">
        <is>
          <t>Good finish</t>
        </is>
      </c>
      <c r="AB8" s="30" t="inlineStr">
        <is>
          <t>Yes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BD-VRM-2024-0660</t>
        </is>
      </c>
      <c r="C9" s="25" t="inlineStr">
        <is>
          <t>Charcoal Beading - VB-30</t>
        </is>
      </c>
      <c r="D9" s="23" t="inlineStr">
        <is>
          <t>Europratik</t>
        </is>
      </c>
      <c r="E9" s="43" t="n">
        <v>46125</v>
      </c>
      <c r="F9" s="26" t="inlineStr">
        <is>
          <t>Sunil CR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Good finish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46196</v>
      </c>
      <c r="O9" s="26" t="inlineStr">
        <is>
          <t>Sunil CR</t>
        </is>
      </c>
      <c r="P9" s="26" t="inlineStr">
        <is>
          <t>Yes</t>
        </is>
      </c>
      <c r="Q9" s="26" t="inlineStr">
        <is>
          <t>No</t>
        </is>
      </c>
      <c r="R9" s="26" t="inlineStr">
        <is>
          <t>Good finish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Yes</t>
        </is>
      </c>
      <c r="Z9" s="30" t="n"/>
      <c r="AA9" s="30" t="inlineStr">
        <is>
          <t>Good finish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BD-VRM-2024-0658</t>
        </is>
      </c>
      <c r="C10" s="41" t="inlineStr">
        <is>
          <t>Charcoal Beading - VB-38</t>
        </is>
      </c>
      <c r="D10" s="39" t="inlineStr">
        <is>
          <t>Europratik</t>
        </is>
      </c>
      <c r="E10" s="43" t="n">
        <v>46125</v>
      </c>
      <c r="F10" s="26" t="inlineStr">
        <is>
          <t>Sunil CR</t>
        </is>
      </c>
      <c r="G10" s="26" t="inlineStr">
        <is>
          <t>Yes</t>
        </is>
      </c>
      <c r="H10" s="26" t="inlineStr">
        <is>
          <t>No</t>
        </is>
      </c>
      <c r="I10" s="26" t="inlineStr">
        <is>
          <t>Good finish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46196</v>
      </c>
      <c r="O10" s="26" t="inlineStr">
        <is>
          <t>Sunil CR</t>
        </is>
      </c>
      <c r="P10" s="26" t="inlineStr">
        <is>
          <t>Yes</t>
        </is>
      </c>
      <c r="Q10" s="26" t="inlineStr">
        <is>
          <t>No</t>
        </is>
      </c>
      <c r="R10" s="26" t="inlineStr">
        <is>
          <t>Good finish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Yes</t>
        </is>
      </c>
      <c r="Z10" s="30" t="n"/>
      <c r="AA10" s="30" t="inlineStr">
        <is>
          <t>Good finish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BD-VRM-2024-0656</t>
        </is>
      </c>
      <c r="C11" s="25" t="inlineStr">
        <is>
          <t>Charcoal Beading - VB-45</t>
        </is>
      </c>
      <c r="D11" s="23" t="inlineStr">
        <is>
          <t>Europratik</t>
        </is>
      </c>
      <c r="E11" s="43" t="n">
        <v>46125</v>
      </c>
      <c r="F11" s="26" t="inlineStr">
        <is>
          <t>Sunil CR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Good finish</t>
        </is>
      </c>
      <c r="J11" s="26" t="inlineStr">
        <is>
          <t>Yes</t>
        </is>
      </c>
      <c r="K11" s="27" t="n"/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46196</v>
      </c>
      <c r="O11" s="26" t="inlineStr">
        <is>
          <t>Sunil CR</t>
        </is>
      </c>
      <c r="P11" s="26" t="inlineStr">
        <is>
          <t>Yes</t>
        </is>
      </c>
      <c r="Q11" s="26" t="inlineStr">
        <is>
          <t>No</t>
        </is>
      </c>
      <c r="R11" s="26" t="inlineStr">
        <is>
          <t>Good finish</t>
        </is>
      </c>
      <c r="S11" s="26" t="inlineStr">
        <is>
          <t>Yes</t>
        </is>
      </c>
      <c r="T11" s="27" t="n"/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Yes</t>
        </is>
      </c>
      <c r="Z11" s="30" t="n"/>
      <c r="AA11" s="30" t="inlineStr">
        <is>
          <t>Good finish</t>
        </is>
      </c>
      <c r="AB11" s="30" t="inlineStr">
        <is>
          <t>Yes</t>
        </is>
      </c>
      <c r="AC11" s="27" t="n"/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BD-VRM-2024-0655</t>
        </is>
      </c>
      <c r="C12" s="41" t="inlineStr">
        <is>
          <t>Charcoal Beading - VB-65</t>
        </is>
      </c>
      <c r="D12" s="39" t="inlineStr">
        <is>
          <t>Europratik</t>
        </is>
      </c>
      <c r="E12" s="43" t="n">
        <v>46125</v>
      </c>
      <c r="F12" s="26" t="inlineStr">
        <is>
          <t>Sunil CR</t>
        </is>
      </c>
      <c r="G12" s="26" t="inlineStr">
        <is>
          <t>Yes</t>
        </is>
      </c>
      <c r="H12" s="26" t="inlineStr">
        <is>
          <t>No</t>
        </is>
      </c>
      <c r="I12" s="26" t="inlineStr">
        <is>
          <t>Good finish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46196</v>
      </c>
      <c r="O12" s="26" t="inlineStr">
        <is>
          <t>Sunil CR</t>
        </is>
      </c>
      <c r="P12" s="26" t="inlineStr">
        <is>
          <t>Yes</t>
        </is>
      </c>
      <c r="Q12" s="26" t="inlineStr">
        <is>
          <t>No</t>
        </is>
      </c>
      <c r="R12" s="26" t="inlineStr">
        <is>
          <t>Good finish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Yes</t>
        </is>
      </c>
      <c r="Z12" s="30" t="n"/>
      <c r="AA12" s="30" t="inlineStr">
        <is>
          <t>Good finish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SWB28</t>
        </is>
      </c>
      <c r="C13" s="25" t="inlineStr">
        <is>
          <t>Solid Wooden Beading 10x10mm Design 28</t>
        </is>
      </c>
      <c r="D13" s="23" t="inlineStr">
        <is>
          <t>Local</t>
        </is>
      </c>
      <c r="E13" s="43" t="n">
        <v>46125</v>
      </c>
      <c r="F13" s="26" t="inlineStr">
        <is>
          <t>Sunil CR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Good finish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46196</v>
      </c>
      <c r="O13" s="26" t="inlineStr">
        <is>
          <t>Sunil CR</t>
        </is>
      </c>
      <c r="P13" s="26" t="inlineStr">
        <is>
          <t>Yes</t>
        </is>
      </c>
      <c r="Q13" s="26" t="inlineStr">
        <is>
          <t>No</t>
        </is>
      </c>
      <c r="R13" s="26" t="inlineStr">
        <is>
          <t>Good finish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Yes</t>
        </is>
      </c>
      <c r="Z13" s="30" t="n"/>
      <c r="AA13" s="30" t="inlineStr">
        <is>
          <t>Good finish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SWB23</t>
        </is>
      </c>
      <c r="C14" s="41" t="inlineStr">
        <is>
          <t>Solid Wooden Beading 12x12mm Design 23</t>
        </is>
      </c>
      <c r="D14" s="39" t="inlineStr">
        <is>
          <t>Local</t>
        </is>
      </c>
      <c r="E14" s="43" t="n">
        <v>46125</v>
      </c>
      <c r="F14" s="26" t="inlineStr">
        <is>
          <t>Sunil CR</t>
        </is>
      </c>
      <c r="G14" s="26" t="inlineStr">
        <is>
          <t>Yes</t>
        </is>
      </c>
      <c r="H14" s="26" t="inlineStr">
        <is>
          <t>No</t>
        </is>
      </c>
      <c r="I14" s="26" t="inlineStr">
        <is>
          <t>Good finish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46196</v>
      </c>
      <c r="O14" s="26" t="inlineStr">
        <is>
          <t>Sunil CR</t>
        </is>
      </c>
      <c r="P14" s="26" t="inlineStr">
        <is>
          <t>Yes</t>
        </is>
      </c>
      <c r="Q14" s="26" t="inlineStr">
        <is>
          <t>No</t>
        </is>
      </c>
      <c r="R14" s="26" t="inlineStr">
        <is>
          <t>Good finish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Yes</t>
        </is>
      </c>
      <c r="Z14" s="30" t="n"/>
      <c r="AA14" s="30" t="inlineStr">
        <is>
          <t>Good finish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SWB6</t>
        </is>
      </c>
      <c r="C15" s="25" t="inlineStr">
        <is>
          <t>Solid Wooden Beading 15x15mm Design 6</t>
        </is>
      </c>
      <c r="D15" s="23" t="inlineStr">
        <is>
          <t>Local</t>
        </is>
      </c>
      <c r="E15" s="43" t="n">
        <v>46125</v>
      </c>
      <c r="F15" s="26" t="inlineStr">
        <is>
          <t>Sunil CR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Good finish</t>
        </is>
      </c>
      <c r="J15" s="26" t="inlineStr">
        <is>
          <t>Yes</t>
        </is>
      </c>
      <c r="K15" s="27" t="n"/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46196</v>
      </c>
      <c r="O15" s="26" t="inlineStr">
        <is>
          <t>Sunil CR</t>
        </is>
      </c>
      <c r="P15" s="26" t="inlineStr">
        <is>
          <t>Yes</t>
        </is>
      </c>
      <c r="Q15" s="26" t="inlineStr">
        <is>
          <t>No</t>
        </is>
      </c>
      <c r="R15" s="26" t="inlineStr">
        <is>
          <t>Good finish</t>
        </is>
      </c>
      <c r="S15" s="26" t="inlineStr">
        <is>
          <t>Yes</t>
        </is>
      </c>
      <c r="T15" s="27" t="n"/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Good finish</t>
        </is>
      </c>
      <c r="AB15" s="30" t="inlineStr">
        <is>
          <t>Yes</t>
        </is>
      </c>
      <c r="AC15" s="27" t="n"/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SWB19</t>
        </is>
      </c>
      <c r="C16" s="41" t="inlineStr">
        <is>
          <t>Solid Wooden Beading 15x8mm Design 19</t>
        </is>
      </c>
      <c r="D16" s="39" t="inlineStr">
        <is>
          <t>Local</t>
        </is>
      </c>
      <c r="E16" s="43" t="n">
        <v>46125</v>
      </c>
      <c r="F16" s="26" t="inlineStr">
        <is>
          <t>Sunil CR</t>
        </is>
      </c>
      <c r="G16" s="26" t="inlineStr">
        <is>
          <t>Yes</t>
        </is>
      </c>
      <c r="H16" s="26" t="inlineStr">
        <is>
          <t>No</t>
        </is>
      </c>
      <c r="I16" s="26" t="inlineStr">
        <is>
          <t>Good finish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46196</v>
      </c>
      <c r="O16" s="26" t="inlineStr">
        <is>
          <t>Sunil CR</t>
        </is>
      </c>
      <c r="P16" s="26" t="inlineStr">
        <is>
          <t>Yes</t>
        </is>
      </c>
      <c r="Q16" s="26" t="inlineStr">
        <is>
          <t>No</t>
        </is>
      </c>
      <c r="R16" s="26" t="inlineStr">
        <is>
          <t>Good finish</t>
        </is>
      </c>
      <c r="S16" s="26" t="inlineStr">
        <is>
          <t>Yes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Yes</t>
        </is>
      </c>
      <c r="Z16" s="30" t="n"/>
      <c r="AA16" s="30" t="inlineStr">
        <is>
          <t>Good finish</t>
        </is>
      </c>
      <c r="AB16" s="30" t="inlineStr">
        <is>
          <t>Yes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SWB20</t>
        </is>
      </c>
      <c r="C17" s="25" t="inlineStr">
        <is>
          <t>Solid Wooden Beading 15x8mm Design 20</t>
        </is>
      </c>
      <c r="D17" s="23" t="inlineStr">
        <is>
          <t>Local</t>
        </is>
      </c>
      <c r="E17" s="43" t="n">
        <v>46125</v>
      </c>
      <c r="F17" s="26" t="inlineStr">
        <is>
          <t>Sunil CR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Good finish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46196</v>
      </c>
      <c r="O17" s="26" t="inlineStr">
        <is>
          <t>Sunil CR</t>
        </is>
      </c>
      <c r="P17" s="26" t="inlineStr">
        <is>
          <t>Yes</t>
        </is>
      </c>
      <c r="Q17" s="26" t="inlineStr">
        <is>
          <t>No</t>
        </is>
      </c>
      <c r="R17" s="26" t="inlineStr">
        <is>
          <t>Good finish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Yes</t>
        </is>
      </c>
      <c r="Z17" s="30" t="n"/>
      <c r="AA17" s="30" t="inlineStr">
        <is>
          <t>Good finish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SWB30</t>
        </is>
      </c>
      <c r="C18" s="41" t="inlineStr">
        <is>
          <t>Solid Wooden Beading 17x12mm Design 30</t>
        </is>
      </c>
      <c r="D18" s="39" t="inlineStr">
        <is>
          <t>Local</t>
        </is>
      </c>
      <c r="E18" s="43" t="n">
        <v>46125</v>
      </c>
      <c r="F18" s="26" t="inlineStr">
        <is>
          <t>Sunil CR</t>
        </is>
      </c>
      <c r="G18" s="26" t="inlineStr">
        <is>
          <t>Yes</t>
        </is>
      </c>
      <c r="H18" s="26" t="inlineStr">
        <is>
          <t>No</t>
        </is>
      </c>
      <c r="I18" s="26" t="inlineStr">
        <is>
          <t>Good finish</t>
        </is>
      </c>
      <c r="J18" s="26" t="inlineStr">
        <is>
          <t>Yes</t>
        </is>
      </c>
      <c r="K18" s="27" t="n"/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46196</v>
      </c>
      <c r="O18" s="26" t="inlineStr">
        <is>
          <t>Sunil CR</t>
        </is>
      </c>
      <c r="P18" s="26" t="inlineStr">
        <is>
          <t>Yes</t>
        </is>
      </c>
      <c r="Q18" s="26" t="inlineStr">
        <is>
          <t>No</t>
        </is>
      </c>
      <c r="R18" s="26" t="inlineStr">
        <is>
          <t>Good finish</t>
        </is>
      </c>
      <c r="S18" s="26" t="inlineStr">
        <is>
          <t>Yes</t>
        </is>
      </c>
      <c r="T18" s="27" t="n"/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Yes</t>
        </is>
      </c>
      <c r="Z18" s="30" t="n"/>
      <c r="AA18" s="30" t="inlineStr">
        <is>
          <t>Good finish</t>
        </is>
      </c>
      <c r="AB18" s="30" t="inlineStr">
        <is>
          <t>Yes</t>
        </is>
      </c>
      <c r="AC18" s="27" t="n"/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SWB14</t>
        </is>
      </c>
      <c r="C19" s="25" t="inlineStr">
        <is>
          <t>Solid Wooden Beading 19x19mm Design 14</t>
        </is>
      </c>
      <c r="D19" s="23" t="inlineStr">
        <is>
          <t>Local</t>
        </is>
      </c>
      <c r="E19" s="43" t="n">
        <v>46125</v>
      </c>
      <c r="F19" s="26" t="inlineStr">
        <is>
          <t>Sunil CR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Good finish</t>
        </is>
      </c>
      <c r="J19" s="26" t="inlineStr">
        <is>
          <t>Yes</t>
        </is>
      </c>
      <c r="K19" s="27" t="n"/>
      <c r="L19" s="28" t="inlineStr">
        <is>
          <t>No</t>
        </is>
      </c>
      <c r="M19" s="29">
        <f>IF(E19="","",IF(H19="Yes","❌ Disc",IF(G19="No","⚠ Missing",IF(J19="Yes","✓ OK","⚠ Check"))))</f>
        <v/>
      </c>
      <c r="N19" s="43" t="n">
        <v>46196</v>
      </c>
      <c r="O19" s="26" t="inlineStr">
        <is>
          <t>Sunil CR</t>
        </is>
      </c>
      <c r="P19" s="26" t="inlineStr">
        <is>
          <t>Yes</t>
        </is>
      </c>
      <c r="Q19" s="26" t="inlineStr">
        <is>
          <t>No</t>
        </is>
      </c>
      <c r="R19" s="26" t="inlineStr">
        <is>
          <t>Good finish</t>
        </is>
      </c>
      <c r="S19" s="26" t="inlineStr">
        <is>
          <t>Yes</t>
        </is>
      </c>
      <c r="T19" s="27" t="n"/>
      <c r="U19" s="28" t="inlineStr">
        <is>
          <t>No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Yes</t>
        </is>
      </c>
      <c r="Z19" s="30" t="n"/>
      <c r="AA19" s="30" t="inlineStr">
        <is>
          <t>Good finish</t>
        </is>
      </c>
      <c r="AB19" s="30" t="inlineStr">
        <is>
          <t>Yes</t>
        </is>
      </c>
      <c r="AC19" s="27" t="n"/>
      <c r="AD19" s="31" t="inlineStr">
        <is>
          <t>No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SWB5</t>
        </is>
      </c>
      <c r="C20" s="41" t="inlineStr">
        <is>
          <t>Solid Wooden Beading 19x19mm Design 5</t>
        </is>
      </c>
      <c r="D20" s="39" t="inlineStr">
        <is>
          <t>Local</t>
        </is>
      </c>
      <c r="E20" s="43" t="n">
        <v>46125</v>
      </c>
      <c r="F20" s="26" t="inlineStr">
        <is>
          <t>Sunil CR</t>
        </is>
      </c>
      <c r="G20" s="26" t="inlineStr">
        <is>
          <t>Yes</t>
        </is>
      </c>
      <c r="H20" s="26" t="inlineStr">
        <is>
          <t>No</t>
        </is>
      </c>
      <c r="I20" s="26" t="inlineStr">
        <is>
          <t>Good finish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46196</v>
      </c>
      <c r="O20" s="26" t="inlineStr">
        <is>
          <t>Sunil CR</t>
        </is>
      </c>
      <c r="P20" s="26" t="inlineStr">
        <is>
          <t>Yes</t>
        </is>
      </c>
      <c r="Q20" s="26" t="inlineStr">
        <is>
          <t>No</t>
        </is>
      </c>
      <c r="R20" s="26" t="inlineStr">
        <is>
          <t>Good finish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Yes</t>
        </is>
      </c>
      <c r="Z20" s="30" t="n"/>
      <c r="AA20" s="30" t="inlineStr">
        <is>
          <t>Good finish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SWB13</t>
        </is>
      </c>
      <c r="C21" s="25" t="inlineStr">
        <is>
          <t>Solid Wooden Beading 22x10mm Design 13</t>
        </is>
      </c>
      <c r="D21" s="23" t="inlineStr">
        <is>
          <t>Local</t>
        </is>
      </c>
      <c r="E21" s="43" t="n">
        <v>46125</v>
      </c>
      <c r="F21" s="26" t="inlineStr">
        <is>
          <t>Sunil CR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Good finish</t>
        </is>
      </c>
      <c r="J21" s="26" t="inlineStr">
        <is>
          <t>Yes</t>
        </is>
      </c>
      <c r="K21" s="27" t="n"/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46196</v>
      </c>
      <c r="O21" s="26" t="inlineStr">
        <is>
          <t>Sunil CR</t>
        </is>
      </c>
      <c r="P21" s="26" t="inlineStr">
        <is>
          <t>Yes</t>
        </is>
      </c>
      <c r="Q21" s="26" t="inlineStr">
        <is>
          <t>No</t>
        </is>
      </c>
      <c r="R21" s="26" t="inlineStr">
        <is>
          <t>Good finish</t>
        </is>
      </c>
      <c r="S21" s="26" t="inlineStr">
        <is>
          <t>Yes</t>
        </is>
      </c>
      <c r="T21" s="27" t="n"/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Yes</t>
        </is>
      </c>
      <c r="Z21" s="30" t="n"/>
      <c r="AA21" s="30" t="inlineStr">
        <is>
          <t>Good finish</t>
        </is>
      </c>
      <c r="AB21" s="30" t="inlineStr">
        <is>
          <t>Yes</t>
        </is>
      </c>
      <c r="AC21" s="27" t="n"/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SWB26</t>
        </is>
      </c>
      <c r="C22" s="41" t="inlineStr">
        <is>
          <t>Solid Wooden Beading 22x10mm Design 26</t>
        </is>
      </c>
      <c r="D22" s="39" t="inlineStr">
        <is>
          <t>Local</t>
        </is>
      </c>
      <c r="E22" s="43" t="n">
        <v>46125</v>
      </c>
      <c r="F22" s="26" t="inlineStr">
        <is>
          <t>Sunil CR</t>
        </is>
      </c>
      <c r="G22" s="26" t="inlineStr">
        <is>
          <t>Yes</t>
        </is>
      </c>
      <c r="H22" s="26" t="inlineStr">
        <is>
          <t>No</t>
        </is>
      </c>
      <c r="I22" s="26" t="inlineStr">
        <is>
          <t>Good finish</t>
        </is>
      </c>
      <c r="J22" s="26" t="inlineStr">
        <is>
          <t>Yes</t>
        </is>
      </c>
      <c r="K22" s="27" t="n"/>
      <c r="L22" s="28" t="inlineStr">
        <is>
          <t>No</t>
        </is>
      </c>
      <c r="M22" s="29">
        <f>IF(E22="","",IF(H22="Yes","❌ Disc",IF(G22="No","⚠ Missing",IF(J22="Yes","✓ OK","⚠ Check"))))</f>
        <v/>
      </c>
      <c r="N22" s="43" t="n">
        <v>46196</v>
      </c>
      <c r="O22" s="26" t="inlineStr">
        <is>
          <t>Sunil CR</t>
        </is>
      </c>
      <c r="P22" s="26" t="inlineStr">
        <is>
          <t>Yes</t>
        </is>
      </c>
      <c r="Q22" s="26" t="inlineStr">
        <is>
          <t>No</t>
        </is>
      </c>
      <c r="R22" s="26" t="inlineStr">
        <is>
          <t>Good finish</t>
        </is>
      </c>
      <c r="S22" s="26" t="inlineStr">
        <is>
          <t>Yes</t>
        </is>
      </c>
      <c r="T22" s="27" t="n"/>
      <c r="U22" s="28" t="inlineStr">
        <is>
          <t>No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Yes</t>
        </is>
      </c>
      <c r="Z22" s="30" t="n"/>
      <c r="AA22" s="30" t="inlineStr">
        <is>
          <t>Good finish</t>
        </is>
      </c>
      <c r="AB22" s="30" t="inlineStr">
        <is>
          <t>Yes</t>
        </is>
      </c>
      <c r="AC22" s="27" t="n"/>
      <c r="AD22" s="31" t="inlineStr">
        <is>
          <t>No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SWB17</t>
        </is>
      </c>
      <c r="C23" s="25" t="inlineStr">
        <is>
          <t>Solid Wooden Beading 22x22mm Design 17</t>
        </is>
      </c>
      <c r="D23" s="23" t="inlineStr">
        <is>
          <t>Local</t>
        </is>
      </c>
      <c r="E23" s="43" t="n">
        <v>46125</v>
      </c>
      <c r="F23" s="26" t="inlineStr">
        <is>
          <t>Sunil CR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Good finish</t>
        </is>
      </c>
      <c r="J23" s="26" t="inlineStr">
        <is>
          <t>Yes</t>
        </is>
      </c>
      <c r="K23" s="27" t="n"/>
      <c r="L23" s="28" t="inlineStr">
        <is>
          <t>No</t>
        </is>
      </c>
      <c r="M23" s="29">
        <f>IF(E23="","",IF(H23="Yes","❌ Disc",IF(G23="No","⚠ Missing",IF(J23="Yes","✓ OK","⚠ Check"))))</f>
        <v/>
      </c>
      <c r="N23" s="43" t="n">
        <v>46196</v>
      </c>
      <c r="O23" s="26" t="inlineStr">
        <is>
          <t>Sunil CR</t>
        </is>
      </c>
      <c r="P23" s="26" t="inlineStr">
        <is>
          <t>Yes</t>
        </is>
      </c>
      <c r="Q23" s="26" t="inlineStr">
        <is>
          <t>No</t>
        </is>
      </c>
      <c r="R23" s="26" t="inlineStr">
        <is>
          <t>Good finish</t>
        </is>
      </c>
      <c r="S23" s="26" t="inlineStr">
        <is>
          <t>Yes</t>
        </is>
      </c>
      <c r="T23" s="27" t="n"/>
      <c r="U23" s="28" t="inlineStr">
        <is>
          <t>No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Yes</t>
        </is>
      </c>
      <c r="Z23" s="30" t="n"/>
      <c r="AA23" s="30" t="inlineStr">
        <is>
          <t>Good finish</t>
        </is>
      </c>
      <c r="AB23" s="30" t="inlineStr">
        <is>
          <t>Yes</t>
        </is>
      </c>
      <c r="AC23" s="27" t="n"/>
      <c r="AD23" s="31" t="inlineStr">
        <is>
          <t>No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SWB8</t>
        </is>
      </c>
      <c r="C24" s="41" t="inlineStr">
        <is>
          <t>Solid Wooden Beading 22x22mm Design 8</t>
        </is>
      </c>
      <c r="D24" s="39" t="inlineStr">
        <is>
          <t>Local</t>
        </is>
      </c>
      <c r="E24" s="43" t="n">
        <v>46125</v>
      </c>
      <c r="F24" s="26" t="inlineStr">
        <is>
          <t>Sunil CR</t>
        </is>
      </c>
      <c r="G24" s="26" t="inlineStr">
        <is>
          <t>Yes</t>
        </is>
      </c>
      <c r="H24" s="26" t="inlineStr">
        <is>
          <t>No</t>
        </is>
      </c>
      <c r="I24" s="26" t="inlineStr">
        <is>
          <t>Good finish</t>
        </is>
      </c>
      <c r="J24" s="26" t="inlineStr">
        <is>
          <t>Yes</t>
        </is>
      </c>
      <c r="K24" s="27" t="n"/>
      <c r="L24" s="28" t="inlineStr">
        <is>
          <t>No</t>
        </is>
      </c>
      <c r="M24" s="29">
        <f>IF(E24="","",IF(H24="Yes","❌ Disc",IF(G24="No","⚠ Missing",IF(J24="Yes","✓ OK","⚠ Check"))))</f>
        <v/>
      </c>
      <c r="N24" s="43" t="n">
        <v>46196</v>
      </c>
      <c r="O24" s="26" t="inlineStr">
        <is>
          <t>Sunil CR</t>
        </is>
      </c>
      <c r="P24" s="26" t="inlineStr">
        <is>
          <t>Yes</t>
        </is>
      </c>
      <c r="Q24" s="26" t="inlineStr">
        <is>
          <t>No</t>
        </is>
      </c>
      <c r="R24" s="26" t="inlineStr">
        <is>
          <t>Good finish</t>
        </is>
      </c>
      <c r="S24" s="26" t="inlineStr">
        <is>
          <t>Yes</t>
        </is>
      </c>
      <c r="T24" s="27" t="n"/>
      <c r="U24" s="28" t="inlineStr">
        <is>
          <t>No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Yes</t>
        </is>
      </c>
      <c r="Z24" s="30" t="n"/>
      <c r="AA24" s="30" t="inlineStr">
        <is>
          <t>Good finish</t>
        </is>
      </c>
      <c r="AB24" s="30" t="inlineStr">
        <is>
          <t>Yes</t>
        </is>
      </c>
      <c r="AC24" s="27" t="n"/>
      <c r="AD24" s="31" t="inlineStr">
        <is>
          <t>No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SWB27</t>
        </is>
      </c>
      <c r="C25" s="25" t="inlineStr">
        <is>
          <t>Solid Wooden Beading 22x8mm Design 27</t>
        </is>
      </c>
      <c r="D25" s="23" t="inlineStr">
        <is>
          <t>Local</t>
        </is>
      </c>
      <c r="E25" s="43" t="n">
        <v>46125</v>
      </c>
      <c r="F25" s="26" t="inlineStr">
        <is>
          <t>Sunil CR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Good finish</t>
        </is>
      </c>
      <c r="J25" s="26" t="inlineStr">
        <is>
          <t>Yes</t>
        </is>
      </c>
      <c r="K25" s="27" t="n"/>
      <c r="L25" s="28" t="inlineStr">
        <is>
          <t>No</t>
        </is>
      </c>
      <c r="M25" s="29">
        <f>IF(E25="","",IF(H25="Yes","❌ Disc",IF(G25="No","⚠ Missing",IF(J25="Yes","✓ OK","⚠ Check"))))</f>
        <v/>
      </c>
      <c r="N25" s="43" t="n">
        <v>46196</v>
      </c>
      <c r="O25" s="26" t="inlineStr">
        <is>
          <t>Sunil CR</t>
        </is>
      </c>
      <c r="P25" s="26" t="inlineStr">
        <is>
          <t>Yes</t>
        </is>
      </c>
      <c r="Q25" s="26" t="inlineStr">
        <is>
          <t>No</t>
        </is>
      </c>
      <c r="R25" s="26" t="inlineStr">
        <is>
          <t>Good finish</t>
        </is>
      </c>
      <c r="S25" s="26" t="inlineStr">
        <is>
          <t>Yes</t>
        </is>
      </c>
      <c r="T25" s="27" t="n"/>
      <c r="U25" s="28" t="inlineStr">
        <is>
          <t>No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Yes</t>
        </is>
      </c>
      <c r="Z25" s="30" t="n"/>
      <c r="AA25" s="30" t="inlineStr">
        <is>
          <t>Good finish</t>
        </is>
      </c>
      <c r="AB25" s="30" t="inlineStr">
        <is>
          <t>Yes</t>
        </is>
      </c>
      <c r="AC25" s="27" t="n"/>
      <c r="AD25" s="31" t="inlineStr">
        <is>
          <t>No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SWB9</t>
        </is>
      </c>
      <c r="C26" s="41" t="inlineStr">
        <is>
          <t>Solid Wooden Beading 22x8mm Design 9</t>
        </is>
      </c>
      <c r="D26" s="39" t="inlineStr">
        <is>
          <t>Local</t>
        </is>
      </c>
      <c r="E26" s="43" t="n">
        <v>46125</v>
      </c>
      <c r="F26" s="26" t="inlineStr">
        <is>
          <t>Sunil CR</t>
        </is>
      </c>
      <c r="G26" s="26" t="inlineStr">
        <is>
          <t>Yes</t>
        </is>
      </c>
      <c r="H26" s="26" t="inlineStr">
        <is>
          <t>No</t>
        </is>
      </c>
      <c r="I26" s="26" t="inlineStr">
        <is>
          <t>Good finish</t>
        </is>
      </c>
      <c r="J26" s="26" t="inlineStr">
        <is>
          <t>Yes</t>
        </is>
      </c>
      <c r="K26" s="27" t="n"/>
      <c r="L26" s="28" t="inlineStr">
        <is>
          <t>No</t>
        </is>
      </c>
      <c r="M26" s="29">
        <f>IF(E26="","",IF(H26="Yes","❌ Disc",IF(G26="No","⚠ Missing",IF(J26="Yes","✓ OK","⚠ Check"))))</f>
        <v/>
      </c>
      <c r="N26" s="43" t="n">
        <v>46196</v>
      </c>
      <c r="O26" s="26" t="inlineStr">
        <is>
          <t>Sunil CR</t>
        </is>
      </c>
      <c r="P26" s="26" t="inlineStr">
        <is>
          <t>Yes</t>
        </is>
      </c>
      <c r="Q26" s="26" t="inlineStr">
        <is>
          <t>No</t>
        </is>
      </c>
      <c r="R26" s="26" t="inlineStr">
        <is>
          <t>Good finish</t>
        </is>
      </c>
      <c r="S26" s="26" t="inlineStr">
        <is>
          <t>Yes</t>
        </is>
      </c>
      <c r="T26" s="27" t="n"/>
      <c r="U26" s="28" t="inlineStr">
        <is>
          <t>No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Yes</t>
        </is>
      </c>
      <c r="Z26" s="30" t="n"/>
      <c r="AA26" s="30" t="inlineStr">
        <is>
          <t>Good finish</t>
        </is>
      </c>
      <c r="AB26" s="30" t="inlineStr">
        <is>
          <t>Yes</t>
        </is>
      </c>
      <c r="AC26" s="27" t="n"/>
      <c r="AD26" s="31" t="inlineStr">
        <is>
          <t>No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SWB24</t>
        </is>
      </c>
      <c r="C27" s="25" t="inlineStr">
        <is>
          <t>Solid Wooden Beading 25x10mm Design 24</t>
        </is>
      </c>
      <c r="D27" s="23" t="inlineStr">
        <is>
          <t>Local</t>
        </is>
      </c>
      <c r="E27" s="43" t="n">
        <v>46125</v>
      </c>
      <c r="F27" s="26" t="inlineStr">
        <is>
          <t>Sunil CR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Good finish</t>
        </is>
      </c>
      <c r="J27" s="26" t="inlineStr">
        <is>
          <t>Yes</t>
        </is>
      </c>
      <c r="K27" s="27" t="n"/>
      <c r="L27" s="28" t="inlineStr">
        <is>
          <t>No</t>
        </is>
      </c>
      <c r="M27" s="29">
        <f>IF(E27="","",IF(H27="Yes","❌ Disc",IF(G27="No","⚠ Missing",IF(J27="Yes","✓ OK","⚠ Check"))))</f>
        <v/>
      </c>
      <c r="N27" s="43" t="n">
        <v>46196</v>
      </c>
      <c r="O27" s="26" t="inlineStr">
        <is>
          <t>Sunil CR</t>
        </is>
      </c>
      <c r="P27" s="26" t="inlineStr">
        <is>
          <t>Yes</t>
        </is>
      </c>
      <c r="Q27" s="26" t="inlineStr">
        <is>
          <t>No</t>
        </is>
      </c>
      <c r="R27" s="26" t="inlineStr">
        <is>
          <t>Good finish</t>
        </is>
      </c>
      <c r="S27" s="26" t="inlineStr">
        <is>
          <t>Yes</t>
        </is>
      </c>
      <c r="T27" s="27" t="n"/>
      <c r="U27" s="28" t="inlineStr">
        <is>
          <t>No</t>
        </is>
      </c>
      <c r="V27" s="29">
        <f>IF(N27="","",IF(Q27="Yes","❌ Disc",IF(P27="No","⚠ Missing",IF(S27="Yes","✓ OK","⚠ Check"))))</f>
        <v/>
      </c>
      <c r="W27" s="65" t="n">
        <v>46248</v>
      </c>
      <c r="X27" s="30" t="inlineStr">
        <is>
          <t>Sunil CR</t>
        </is>
      </c>
      <c r="Y27" s="30" t="inlineStr">
        <is>
          <t>Yes</t>
        </is>
      </c>
      <c r="Z27" s="30" t="n"/>
      <c r="AA27" s="30" t="inlineStr">
        <is>
          <t>Good finish</t>
        </is>
      </c>
      <c r="AB27" s="30" t="inlineStr">
        <is>
          <t>Yes</t>
        </is>
      </c>
      <c r="AC27" s="27" t="n"/>
      <c r="AD27" s="31" t="inlineStr">
        <is>
          <t>No</t>
        </is>
      </c>
      <c r="AE27" s="32">
        <f>IF(W27="","",IF(Z27="Yes","❌ Disc",IF(Y27="No","⚠ Missing",IF(AB27="Yes","✓ OK","⚠ Check"))))</f>
        <v/>
      </c>
      <c r="AF27" s="33" t="n"/>
      <c r="AG27" s="33" t="n"/>
      <c r="AH27" s="33" t="n"/>
      <c r="AI27" s="33" t="n"/>
      <c r="AJ27" s="33" t="n"/>
      <c r="AK27" s="33" t="n"/>
      <c r="AL27" s="27" t="n"/>
      <c r="AM27" s="34" t="n"/>
      <c r="AN27" s="35">
        <f>IF(AF27="","",IF(AI27="Yes","❌ Disc",IF(AH27="No","⚠ Missing",IF(AK27="Yes","✓ OK","⚠ Check"))))</f>
        <v/>
      </c>
      <c r="AO27" s="36" t="n"/>
      <c r="AP27" s="36" t="n"/>
      <c r="AQ27" s="36" t="n"/>
      <c r="AR27" s="36" t="n"/>
      <c r="AS27" s="36" t="n"/>
      <c r="AT27" s="36" t="n"/>
      <c r="AU27" s="27" t="n"/>
      <c r="AV27" s="37" t="n"/>
      <c r="AW27" s="38">
        <f>IF(AO27="","",IF(AR27="Yes","❌ Disc",IF(AQ27="No","⚠ Missing",IF(AT27="Yes","✓ OK","⚠ Check"))))</f>
        <v/>
      </c>
    </row>
    <row r="28" ht="18" customHeight="1" s="46">
      <c r="A28" s="39" t="n">
        <v>24</v>
      </c>
      <c r="B28" s="40" t="inlineStr">
        <is>
          <t>SWB1</t>
        </is>
      </c>
      <c r="C28" s="41" t="inlineStr">
        <is>
          <t>Solid Wooden Beading 27x10mm Design 1</t>
        </is>
      </c>
      <c r="D28" s="39" t="inlineStr">
        <is>
          <t>Local</t>
        </is>
      </c>
      <c r="E28" s="43" t="n">
        <v>46125</v>
      </c>
      <c r="F28" s="26" t="inlineStr">
        <is>
          <t>Sunil CR</t>
        </is>
      </c>
      <c r="G28" s="26" t="inlineStr">
        <is>
          <t>Yes</t>
        </is>
      </c>
      <c r="H28" s="26" t="inlineStr">
        <is>
          <t>No</t>
        </is>
      </c>
      <c r="I28" s="26" t="inlineStr">
        <is>
          <t>Good finish</t>
        </is>
      </c>
      <c r="J28" s="26" t="inlineStr">
        <is>
          <t>Yes</t>
        </is>
      </c>
      <c r="K28" s="27" t="n"/>
      <c r="L28" s="28" t="inlineStr">
        <is>
          <t>No</t>
        </is>
      </c>
      <c r="M28" s="29">
        <f>IF(E28="","",IF(H28="Yes","❌ Disc",IF(G28="No","⚠ Missing",IF(J28="Yes","✓ OK","⚠ Check"))))</f>
        <v/>
      </c>
      <c r="N28" s="43" t="n">
        <v>46196</v>
      </c>
      <c r="O28" s="26" t="inlineStr">
        <is>
          <t>Sunil CR</t>
        </is>
      </c>
      <c r="P28" s="26" t="inlineStr">
        <is>
          <t>Yes</t>
        </is>
      </c>
      <c r="Q28" s="26" t="inlineStr">
        <is>
          <t>No</t>
        </is>
      </c>
      <c r="R28" s="26" t="inlineStr">
        <is>
          <t>Good finish</t>
        </is>
      </c>
      <c r="S28" s="26" t="inlineStr">
        <is>
          <t>Yes</t>
        </is>
      </c>
      <c r="T28" s="27" t="n"/>
      <c r="U28" s="28" t="inlineStr">
        <is>
          <t>No</t>
        </is>
      </c>
      <c r="V28" s="29">
        <f>IF(N28="","",IF(Q28="Yes","❌ Disc",IF(P28="No","⚠ Missing",IF(S28="Yes","✓ OK","⚠ Check"))))</f>
        <v/>
      </c>
      <c r="W28" s="65" t="n">
        <v>46248</v>
      </c>
      <c r="X28" s="30" t="inlineStr">
        <is>
          <t>Sunil CR</t>
        </is>
      </c>
      <c r="Y28" s="30" t="inlineStr">
        <is>
          <t>Yes</t>
        </is>
      </c>
      <c r="Z28" s="30" t="n"/>
      <c r="AA28" s="30" t="inlineStr">
        <is>
          <t>Good finish</t>
        </is>
      </c>
      <c r="AB28" s="30" t="inlineStr">
        <is>
          <t>Yes</t>
        </is>
      </c>
      <c r="AC28" s="27" t="n"/>
      <c r="AD28" s="31" t="inlineStr">
        <is>
          <t>No</t>
        </is>
      </c>
      <c r="AE28" s="32">
        <f>IF(W28="","",IF(Z28="Yes","❌ Disc",IF(Y28="No","⚠ Missing",IF(AB28="Yes","✓ OK","⚠ Check"))))</f>
        <v/>
      </c>
      <c r="AF28" s="33" t="n"/>
      <c r="AG28" s="33" t="n"/>
      <c r="AH28" s="33" t="n"/>
      <c r="AI28" s="33" t="n"/>
      <c r="AJ28" s="33" t="n"/>
      <c r="AK28" s="33" t="n"/>
      <c r="AL28" s="27" t="n"/>
      <c r="AM28" s="34" t="n"/>
      <c r="AN28" s="35">
        <f>IF(AF28="","",IF(AI28="Yes","❌ Disc",IF(AH28="No","⚠ Missing",IF(AK28="Yes","✓ OK","⚠ Check"))))</f>
        <v/>
      </c>
      <c r="AO28" s="36" t="n"/>
      <c r="AP28" s="36" t="n"/>
      <c r="AQ28" s="36" t="n"/>
      <c r="AR28" s="36" t="n"/>
      <c r="AS28" s="36" t="n"/>
      <c r="AT28" s="36" t="n"/>
      <c r="AU28" s="27" t="n"/>
      <c r="AV28" s="37" t="n"/>
      <c r="AW28" s="38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SWB2</t>
        </is>
      </c>
      <c r="C29" s="25" t="inlineStr">
        <is>
          <t>Solid Wooden Beading 27x10mm Design 2</t>
        </is>
      </c>
      <c r="D29" s="23" t="inlineStr">
        <is>
          <t>Local</t>
        </is>
      </c>
      <c r="E29" s="43" t="n">
        <v>46125</v>
      </c>
      <c r="F29" s="26" t="inlineStr">
        <is>
          <t>Sunil CR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Good finish</t>
        </is>
      </c>
      <c r="J29" s="26" t="inlineStr">
        <is>
          <t>Yes</t>
        </is>
      </c>
      <c r="K29" s="27" t="n"/>
      <c r="L29" s="28" t="inlineStr">
        <is>
          <t>No</t>
        </is>
      </c>
      <c r="M29" s="29">
        <f>IF(E29="","",IF(H29="Yes","❌ Disc",IF(G29="No","⚠ Missing",IF(J29="Yes","✓ OK","⚠ Check"))))</f>
        <v/>
      </c>
      <c r="N29" s="43" t="n">
        <v>46196</v>
      </c>
      <c r="O29" s="26" t="inlineStr">
        <is>
          <t>Sunil CR</t>
        </is>
      </c>
      <c r="P29" s="26" t="inlineStr">
        <is>
          <t>Yes</t>
        </is>
      </c>
      <c r="Q29" s="26" t="inlineStr">
        <is>
          <t>No</t>
        </is>
      </c>
      <c r="R29" s="26" t="inlineStr">
        <is>
          <t>Good finish</t>
        </is>
      </c>
      <c r="S29" s="26" t="inlineStr">
        <is>
          <t>Yes</t>
        </is>
      </c>
      <c r="T29" s="27" t="n"/>
      <c r="U29" s="28" t="inlineStr">
        <is>
          <t>No</t>
        </is>
      </c>
      <c r="V29" s="29">
        <f>IF(N29="","",IF(Q29="Yes","❌ Disc",IF(P29="No","⚠ Missing",IF(S29="Yes","✓ OK","⚠ Check"))))</f>
        <v/>
      </c>
      <c r="W29" s="65" t="n">
        <v>46248</v>
      </c>
      <c r="X29" s="30" t="inlineStr">
        <is>
          <t>Sunil CR</t>
        </is>
      </c>
      <c r="Y29" s="30" t="inlineStr">
        <is>
          <t>Yes</t>
        </is>
      </c>
      <c r="Z29" s="30" t="n"/>
      <c r="AA29" s="30" t="inlineStr">
        <is>
          <t>Good finish</t>
        </is>
      </c>
      <c r="AB29" s="30" t="inlineStr">
        <is>
          <t>Yes</t>
        </is>
      </c>
      <c r="AC29" s="27" t="n"/>
      <c r="AD29" s="31" t="inlineStr">
        <is>
          <t>No</t>
        </is>
      </c>
      <c r="AE29" s="32">
        <f>IF(W29="","",IF(Z29="Yes","❌ Disc",IF(Y29="No","⚠ Missing",IF(AB29="Yes","✓ OK","⚠ Check"))))</f>
        <v/>
      </c>
      <c r="AF29" s="33" t="n"/>
      <c r="AG29" s="33" t="n"/>
      <c r="AH29" s="33" t="n"/>
      <c r="AI29" s="33" t="n"/>
      <c r="AJ29" s="33" t="n"/>
      <c r="AK29" s="33" t="n"/>
      <c r="AL29" s="27" t="n"/>
      <c r="AM29" s="34" t="n"/>
      <c r="AN29" s="35">
        <f>IF(AF29="","",IF(AI29="Yes","❌ Disc",IF(AH29="No","⚠ Missing",IF(AK29="Yes","✓ OK","⚠ Check"))))</f>
        <v/>
      </c>
      <c r="AO29" s="36" t="n"/>
      <c r="AP29" s="36" t="n"/>
      <c r="AQ29" s="36" t="n"/>
      <c r="AR29" s="36" t="n"/>
      <c r="AS29" s="36" t="n"/>
      <c r="AT29" s="36" t="n"/>
      <c r="AU29" s="27" t="n"/>
      <c r="AV29" s="37" t="n"/>
      <c r="AW29" s="38">
        <f>IF(AO29="","",IF(AR29="Yes","❌ Disc",IF(AQ29="No","⚠ Missing",IF(AT29="Yes","✓ OK","⚠ Check"))))</f>
        <v/>
      </c>
    </row>
    <row r="30" ht="18" customHeight="1" s="46">
      <c r="A30" s="39" t="n">
        <v>26</v>
      </c>
      <c r="B30" s="40" t="inlineStr">
        <is>
          <t>SWB25</t>
        </is>
      </c>
      <c r="C30" s="41" t="inlineStr">
        <is>
          <t>Solid Wooden Beading 27x12mm Design 25</t>
        </is>
      </c>
      <c r="D30" s="39" t="inlineStr">
        <is>
          <t>Local</t>
        </is>
      </c>
      <c r="E30" s="43" t="n">
        <v>46125</v>
      </c>
      <c r="F30" s="26" t="inlineStr">
        <is>
          <t>Sunil CR</t>
        </is>
      </c>
      <c r="G30" s="26" t="inlineStr">
        <is>
          <t>Yes</t>
        </is>
      </c>
      <c r="H30" s="26" t="inlineStr">
        <is>
          <t>No</t>
        </is>
      </c>
      <c r="I30" s="26" t="inlineStr">
        <is>
          <t>Good finish</t>
        </is>
      </c>
      <c r="J30" s="26" t="inlineStr">
        <is>
          <t>Yes</t>
        </is>
      </c>
      <c r="K30" s="27" t="n"/>
      <c r="L30" s="28" t="inlineStr">
        <is>
          <t>No</t>
        </is>
      </c>
      <c r="M30" s="29">
        <f>IF(E30="","",IF(H30="Yes","❌ Disc",IF(G30="No","⚠ Missing",IF(J30="Yes","✓ OK","⚠ Check"))))</f>
        <v/>
      </c>
      <c r="N30" s="43" t="n">
        <v>46196</v>
      </c>
      <c r="O30" s="26" t="inlineStr">
        <is>
          <t>Sunil CR</t>
        </is>
      </c>
      <c r="P30" s="26" t="inlineStr">
        <is>
          <t>Yes</t>
        </is>
      </c>
      <c r="Q30" s="26" t="inlineStr">
        <is>
          <t>No</t>
        </is>
      </c>
      <c r="R30" s="26" t="inlineStr">
        <is>
          <t>Good finish</t>
        </is>
      </c>
      <c r="S30" s="26" t="inlineStr">
        <is>
          <t>Yes</t>
        </is>
      </c>
      <c r="T30" s="27" t="n"/>
      <c r="U30" s="28" t="inlineStr">
        <is>
          <t>No</t>
        </is>
      </c>
      <c r="V30" s="29">
        <f>IF(N30="","",IF(Q30="Yes","❌ Disc",IF(P30="No","⚠ Missing",IF(S30="Yes","✓ OK","⚠ Check"))))</f>
        <v/>
      </c>
      <c r="W30" s="65" t="n">
        <v>46248</v>
      </c>
      <c r="X30" s="30" t="inlineStr">
        <is>
          <t>Sunil CR</t>
        </is>
      </c>
      <c r="Y30" s="30" t="inlineStr">
        <is>
          <t>Yes</t>
        </is>
      </c>
      <c r="Z30" s="30" t="n"/>
      <c r="AA30" s="30" t="inlineStr">
        <is>
          <t>Good finish</t>
        </is>
      </c>
      <c r="AB30" s="30" t="inlineStr">
        <is>
          <t>Yes</t>
        </is>
      </c>
      <c r="AC30" s="27" t="n"/>
      <c r="AD30" s="31" t="inlineStr">
        <is>
          <t>No</t>
        </is>
      </c>
      <c r="AE30" s="32">
        <f>IF(W30="","",IF(Z30="Yes","❌ Disc",IF(Y30="No","⚠ Missing",IF(AB30="Yes","✓ OK","⚠ Check"))))</f>
        <v/>
      </c>
      <c r="AF30" s="33" t="n"/>
      <c r="AG30" s="33" t="n"/>
      <c r="AH30" s="33" t="n"/>
      <c r="AI30" s="33" t="n"/>
      <c r="AJ30" s="33" t="n"/>
      <c r="AK30" s="33" t="n"/>
      <c r="AL30" s="27" t="n"/>
      <c r="AM30" s="34" t="n"/>
      <c r="AN30" s="35">
        <f>IF(AF30="","",IF(AI30="Yes","❌ Disc",IF(AH30="No","⚠ Missing",IF(AK30="Yes","✓ OK","⚠ Check"))))</f>
        <v/>
      </c>
      <c r="AO30" s="36" t="n"/>
      <c r="AP30" s="36" t="n"/>
      <c r="AQ30" s="36" t="n"/>
      <c r="AR30" s="36" t="n"/>
      <c r="AS30" s="36" t="n"/>
      <c r="AT30" s="36" t="n"/>
      <c r="AU30" s="27" t="n"/>
      <c r="AV30" s="37" t="n"/>
      <c r="AW30" s="38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SWB3</t>
        </is>
      </c>
      <c r="C31" s="25" t="inlineStr">
        <is>
          <t>Solid Wooden Beading 28x10mm Design 3</t>
        </is>
      </c>
      <c r="D31" s="23" t="inlineStr">
        <is>
          <t>Local</t>
        </is>
      </c>
      <c r="E31" s="43" t="n">
        <v>46125</v>
      </c>
      <c r="F31" s="26" t="inlineStr">
        <is>
          <t>Sunil CR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Good finish</t>
        </is>
      </c>
      <c r="J31" s="26" t="inlineStr">
        <is>
          <t>Yes</t>
        </is>
      </c>
      <c r="K31" s="27" t="n"/>
      <c r="L31" s="28" t="inlineStr">
        <is>
          <t>No</t>
        </is>
      </c>
      <c r="M31" s="29">
        <f>IF(E31="","",IF(H31="Yes","❌ Disc",IF(G31="No","⚠ Missing",IF(J31="Yes","✓ OK","⚠ Check"))))</f>
        <v/>
      </c>
      <c r="N31" s="43" t="n">
        <v>46196</v>
      </c>
      <c r="O31" s="26" t="inlineStr">
        <is>
          <t>Sunil CR</t>
        </is>
      </c>
      <c r="P31" s="26" t="inlineStr">
        <is>
          <t>Yes</t>
        </is>
      </c>
      <c r="Q31" s="26" t="inlineStr">
        <is>
          <t>No</t>
        </is>
      </c>
      <c r="R31" s="26" t="inlineStr">
        <is>
          <t>Good finish</t>
        </is>
      </c>
      <c r="S31" s="26" t="inlineStr">
        <is>
          <t>Yes</t>
        </is>
      </c>
      <c r="T31" s="27" t="n"/>
      <c r="U31" s="28" t="inlineStr">
        <is>
          <t>No</t>
        </is>
      </c>
      <c r="V31" s="29">
        <f>IF(N31="","",IF(Q31="Yes","❌ Disc",IF(P31="No","⚠ Missing",IF(S31="Yes","✓ OK","⚠ Check"))))</f>
        <v/>
      </c>
      <c r="W31" s="65" t="n">
        <v>46248</v>
      </c>
      <c r="X31" s="30" t="inlineStr">
        <is>
          <t>Sunil CR</t>
        </is>
      </c>
      <c r="Y31" s="30" t="inlineStr">
        <is>
          <t>Yes</t>
        </is>
      </c>
      <c r="Z31" s="30" t="n"/>
      <c r="AA31" s="30" t="inlineStr">
        <is>
          <t>Good finish</t>
        </is>
      </c>
      <c r="AB31" s="30" t="inlineStr">
        <is>
          <t>Yes</t>
        </is>
      </c>
      <c r="AC31" s="27" t="n"/>
      <c r="AD31" s="31" t="inlineStr">
        <is>
          <t>No</t>
        </is>
      </c>
      <c r="AE31" s="32">
        <f>IF(W31="","",IF(Z31="Yes","❌ Disc",IF(Y31="No","⚠ Missing",IF(AB31="Yes","✓ OK","⚠ Check"))))</f>
        <v/>
      </c>
      <c r="AF31" s="33" t="n"/>
      <c r="AG31" s="33" t="n"/>
      <c r="AH31" s="33" t="n"/>
      <c r="AI31" s="33" t="n"/>
      <c r="AJ31" s="33" t="n"/>
      <c r="AK31" s="33" t="n"/>
      <c r="AL31" s="27" t="n"/>
      <c r="AM31" s="34" t="n"/>
      <c r="AN31" s="35">
        <f>IF(AF31="","",IF(AI31="Yes","❌ Disc",IF(AH31="No","⚠ Missing",IF(AK31="Yes","✓ OK","⚠ Check"))))</f>
        <v/>
      </c>
      <c r="AO31" s="36" t="n"/>
      <c r="AP31" s="36" t="n"/>
      <c r="AQ31" s="36" t="n"/>
      <c r="AR31" s="36" t="n"/>
      <c r="AS31" s="36" t="n"/>
      <c r="AT31" s="36" t="n"/>
      <c r="AU31" s="27" t="n"/>
      <c r="AV31" s="37" t="n"/>
      <c r="AW31" s="38">
        <f>IF(AO31="","",IF(AR31="Yes","❌ Disc",IF(AQ31="No","⚠ Missing",IF(AT31="Yes","✓ OK","⚠ Check"))))</f>
        <v/>
      </c>
    </row>
    <row r="32" ht="18" customHeight="1" s="46">
      <c r="A32" s="39" t="n">
        <v>28</v>
      </c>
      <c r="B32" s="40" t="inlineStr">
        <is>
          <t>SWB32</t>
        </is>
      </c>
      <c r="C32" s="41" t="inlineStr">
        <is>
          <t>Solid Wooden Beading 28x10mm Design 32</t>
        </is>
      </c>
      <c r="D32" s="39" t="inlineStr">
        <is>
          <t>Local</t>
        </is>
      </c>
      <c r="E32" s="43" t="n">
        <v>46125</v>
      </c>
      <c r="F32" s="26" t="inlineStr">
        <is>
          <t>Sunil CR</t>
        </is>
      </c>
      <c r="G32" s="26" t="inlineStr">
        <is>
          <t>Yes</t>
        </is>
      </c>
      <c r="H32" s="26" t="inlineStr">
        <is>
          <t>No</t>
        </is>
      </c>
      <c r="I32" s="26" t="inlineStr">
        <is>
          <t>Good finish</t>
        </is>
      </c>
      <c r="J32" s="26" t="inlineStr">
        <is>
          <t>Yes</t>
        </is>
      </c>
      <c r="K32" s="27" t="n"/>
      <c r="L32" s="28" t="inlineStr">
        <is>
          <t>No</t>
        </is>
      </c>
      <c r="M32" s="29">
        <f>IF(E32="","",IF(H32="Yes","❌ Disc",IF(G32="No","⚠ Missing",IF(J32="Yes","✓ OK","⚠ Check"))))</f>
        <v/>
      </c>
      <c r="N32" s="43" t="n">
        <v>46196</v>
      </c>
      <c r="O32" s="26" t="inlineStr">
        <is>
          <t>Sunil CR</t>
        </is>
      </c>
      <c r="P32" s="26" t="inlineStr">
        <is>
          <t>Yes</t>
        </is>
      </c>
      <c r="Q32" s="26" t="inlineStr">
        <is>
          <t>No</t>
        </is>
      </c>
      <c r="R32" s="26" t="inlineStr">
        <is>
          <t>Good finish</t>
        </is>
      </c>
      <c r="S32" s="26" t="inlineStr">
        <is>
          <t>Yes</t>
        </is>
      </c>
      <c r="T32" s="27" t="n"/>
      <c r="U32" s="28" t="inlineStr">
        <is>
          <t>No</t>
        </is>
      </c>
      <c r="V32" s="29">
        <f>IF(N32="","",IF(Q32="Yes","❌ Disc",IF(P32="No","⚠ Missing",IF(S32="Yes","✓ OK","⚠ Check"))))</f>
        <v/>
      </c>
      <c r="W32" s="65" t="n">
        <v>46248</v>
      </c>
      <c r="X32" s="30" t="inlineStr">
        <is>
          <t>Sunil CR</t>
        </is>
      </c>
      <c r="Y32" s="30" t="inlineStr">
        <is>
          <t>Yes</t>
        </is>
      </c>
      <c r="Z32" s="30" t="n"/>
      <c r="AA32" s="30" t="inlineStr">
        <is>
          <t>Good finish</t>
        </is>
      </c>
      <c r="AB32" s="30" t="inlineStr">
        <is>
          <t>Yes</t>
        </is>
      </c>
      <c r="AC32" s="27" t="n"/>
      <c r="AD32" s="31" t="inlineStr">
        <is>
          <t>No</t>
        </is>
      </c>
      <c r="AE32" s="32">
        <f>IF(W32="","",IF(Z32="Yes","❌ Disc",IF(Y32="No","⚠ Missing",IF(AB32="Yes","✓ OK","⚠ Check"))))</f>
        <v/>
      </c>
      <c r="AF32" s="33" t="n"/>
      <c r="AG32" s="33" t="n"/>
      <c r="AH32" s="33" t="n"/>
      <c r="AI32" s="33" t="n"/>
      <c r="AJ32" s="33" t="n"/>
      <c r="AK32" s="33" t="n"/>
      <c r="AL32" s="27" t="n"/>
      <c r="AM32" s="34" t="n"/>
      <c r="AN32" s="35">
        <f>IF(AF32="","",IF(AI32="Yes","❌ Disc",IF(AH32="No","⚠ Missing",IF(AK32="Yes","✓ OK","⚠ Check"))))</f>
        <v/>
      </c>
      <c r="AO32" s="36" t="n"/>
      <c r="AP32" s="36" t="n"/>
      <c r="AQ32" s="36" t="n"/>
      <c r="AR32" s="36" t="n"/>
      <c r="AS32" s="36" t="n"/>
      <c r="AT32" s="36" t="n"/>
      <c r="AU32" s="27" t="n"/>
      <c r="AV32" s="37" t="n"/>
      <c r="AW32" s="38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SWB11</t>
        </is>
      </c>
      <c r="C33" s="25" t="inlineStr">
        <is>
          <t>Solid Wooden Beading 28x28mm Design 11</t>
        </is>
      </c>
      <c r="D33" s="23" t="inlineStr">
        <is>
          <t>Local</t>
        </is>
      </c>
      <c r="E33" s="43" t="n">
        <v>46125</v>
      </c>
      <c r="F33" s="26" t="inlineStr">
        <is>
          <t>Sunil CR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Good finish</t>
        </is>
      </c>
      <c r="J33" s="26" t="inlineStr">
        <is>
          <t>Yes</t>
        </is>
      </c>
      <c r="K33" s="27" t="n"/>
      <c r="L33" s="28" t="inlineStr">
        <is>
          <t>No</t>
        </is>
      </c>
      <c r="M33" s="29">
        <f>IF(E33="","",IF(H33="Yes","❌ Disc",IF(G33="No","⚠ Missing",IF(J33="Yes","✓ OK","⚠ Check"))))</f>
        <v/>
      </c>
      <c r="N33" s="43" t="n">
        <v>46196</v>
      </c>
      <c r="O33" s="26" t="inlineStr">
        <is>
          <t>Sunil CR</t>
        </is>
      </c>
      <c r="P33" s="26" t="inlineStr">
        <is>
          <t>Yes</t>
        </is>
      </c>
      <c r="Q33" s="26" t="inlineStr">
        <is>
          <t>No</t>
        </is>
      </c>
      <c r="R33" s="26" t="inlineStr">
        <is>
          <t>Good finish</t>
        </is>
      </c>
      <c r="S33" s="26" t="inlineStr">
        <is>
          <t>Yes</t>
        </is>
      </c>
      <c r="T33" s="27" t="n"/>
      <c r="U33" s="28" t="inlineStr">
        <is>
          <t>No</t>
        </is>
      </c>
      <c r="V33" s="29">
        <f>IF(N33="","",IF(Q33="Yes","❌ Disc",IF(P33="No","⚠ Missing",IF(S33="Yes","✓ OK","⚠ Check"))))</f>
        <v/>
      </c>
      <c r="W33" s="65" t="n">
        <v>46248</v>
      </c>
      <c r="X33" s="30" t="inlineStr">
        <is>
          <t>Sunil CR</t>
        </is>
      </c>
      <c r="Y33" s="30" t="inlineStr">
        <is>
          <t>Yes</t>
        </is>
      </c>
      <c r="Z33" s="30" t="n"/>
      <c r="AA33" s="30" t="inlineStr">
        <is>
          <t>Good finish</t>
        </is>
      </c>
      <c r="AB33" s="30" t="inlineStr">
        <is>
          <t>Yes</t>
        </is>
      </c>
      <c r="AC33" s="27" t="n"/>
      <c r="AD33" s="31" t="inlineStr">
        <is>
          <t>No</t>
        </is>
      </c>
      <c r="AE33" s="32">
        <f>IF(W33="","",IF(Z33="Yes","❌ Disc",IF(Y33="No","⚠ Missing",IF(AB33="Yes","✓ OK","⚠ Check"))))</f>
        <v/>
      </c>
      <c r="AF33" s="33" t="n"/>
      <c r="AG33" s="33" t="n"/>
      <c r="AH33" s="33" t="n"/>
      <c r="AI33" s="33" t="n"/>
      <c r="AJ33" s="33" t="n"/>
      <c r="AK33" s="33" t="n"/>
      <c r="AL33" s="27" t="n"/>
      <c r="AM33" s="34" t="n"/>
      <c r="AN33" s="35">
        <f>IF(AF33="","",IF(AI33="Yes","❌ Disc",IF(AH33="No","⚠ Missing",IF(AK33="Yes","✓ OK","⚠ Check"))))</f>
        <v/>
      </c>
      <c r="AO33" s="36" t="n"/>
      <c r="AP33" s="36" t="n"/>
      <c r="AQ33" s="36" t="n"/>
      <c r="AR33" s="36" t="n"/>
      <c r="AS33" s="36" t="n"/>
      <c r="AT33" s="36" t="n"/>
      <c r="AU33" s="27" t="n"/>
      <c r="AV33" s="37" t="n"/>
      <c r="AW33" s="38">
        <f>IF(AO33="","",IF(AR33="Yes","❌ Disc",IF(AQ33="No","⚠ Missing",IF(AT33="Yes","✓ OK","⚠ Check"))))</f>
        <v/>
      </c>
    </row>
    <row r="34" ht="18" customHeight="1" s="46">
      <c r="A34" s="39" t="n">
        <v>30</v>
      </c>
      <c r="B34" s="40" t="inlineStr">
        <is>
          <t>SWB10</t>
        </is>
      </c>
      <c r="C34" s="41" t="inlineStr">
        <is>
          <t>Solid Wooden Beading 30x10mm Design 10</t>
        </is>
      </c>
      <c r="D34" s="39" t="inlineStr">
        <is>
          <t>Local</t>
        </is>
      </c>
      <c r="E34" s="43" t="n">
        <v>46125</v>
      </c>
      <c r="F34" s="26" t="inlineStr">
        <is>
          <t>Sunil CR</t>
        </is>
      </c>
      <c r="G34" s="26" t="inlineStr">
        <is>
          <t>Yes</t>
        </is>
      </c>
      <c r="H34" s="26" t="inlineStr">
        <is>
          <t>No</t>
        </is>
      </c>
      <c r="I34" s="26" t="inlineStr">
        <is>
          <t>Good finish</t>
        </is>
      </c>
      <c r="J34" s="26" t="inlineStr">
        <is>
          <t>Yes</t>
        </is>
      </c>
      <c r="K34" s="27" t="n"/>
      <c r="L34" s="28" t="inlineStr">
        <is>
          <t>No</t>
        </is>
      </c>
      <c r="M34" s="29">
        <f>IF(E34="","",IF(H34="Yes","❌ Disc",IF(G34="No","⚠ Missing",IF(J34="Yes","✓ OK","⚠ Check"))))</f>
        <v/>
      </c>
      <c r="N34" s="43" t="n">
        <v>46196</v>
      </c>
      <c r="O34" s="26" t="inlineStr">
        <is>
          <t>Sunil CR</t>
        </is>
      </c>
      <c r="P34" s="26" t="inlineStr">
        <is>
          <t>Yes</t>
        </is>
      </c>
      <c r="Q34" s="26" t="inlineStr">
        <is>
          <t>No</t>
        </is>
      </c>
      <c r="R34" s="26" t="inlineStr">
        <is>
          <t>Good finish</t>
        </is>
      </c>
      <c r="S34" s="26" t="inlineStr">
        <is>
          <t>Yes</t>
        </is>
      </c>
      <c r="T34" s="27" t="n"/>
      <c r="U34" s="28" t="inlineStr">
        <is>
          <t>No</t>
        </is>
      </c>
      <c r="V34" s="29">
        <f>IF(N34="","",IF(Q34="Yes","❌ Disc",IF(P34="No","⚠ Missing",IF(S34="Yes","✓ OK","⚠ Check"))))</f>
        <v/>
      </c>
      <c r="W34" s="65" t="n">
        <v>46248</v>
      </c>
      <c r="X34" s="30" t="inlineStr">
        <is>
          <t>Sunil CR</t>
        </is>
      </c>
      <c r="Y34" s="30" t="inlineStr">
        <is>
          <t>Yes</t>
        </is>
      </c>
      <c r="Z34" s="30" t="n"/>
      <c r="AA34" s="30" t="inlineStr">
        <is>
          <t>Good finish</t>
        </is>
      </c>
      <c r="AB34" s="30" t="inlineStr">
        <is>
          <t>Yes</t>
        </is>
      </c>
      <c r="AC34" s="27" t="n"/>
      <c r="AD34" s="31" t="inlineStr">
        <is>
          <t>No</t>
        </is>
      </c>
      <c r="AE34" s="32">
        <f>IF(W34="","",IF(Z34="Yes","❌ Disc",IF(Y34="No","⚠ Missing",IF(AB34="Yes","✓ OK","⚠ Check"))))</f>
        <v/>
      </c>
      <c r="AF34" s="33" t="n"/>
      <c r="AG34" s="33" t="n"/>
      <c r="AH34" s="33" t="n"/>
      <c r="AI34" s="33" t="n"/>
      <c r="AJ34" s="33" t="n"/>
      <c r="AK34" s="33" t="n"/>
      <c r="AL34" s="27" t="n"/>
      <c r="AM34" s="34" t="n"/>
      <c r="AN34" s="35">
        <f>IF(AF34="","",IF(AI34="Yes","❌ Disc",IF(AH34="No","⚠ Missing",IF(AK34="Yes","✓ OK","⚠ Check"))))</f>
        <v/>
      </c>
      <c r="AO34" s="36" t="n"/>
      <c r="AP34" s="36" t="n"/>
      <c r="AQ34" s="36" t="n"/>
      <c r="AR34" s="36" t="n"/>
      <c r="AS34" s="36" t="n"/>
      <c r="AT34" s="36" t="n"/>
      <c r="AU34" s="27" t="n"/>
      <c r="AV34" s="37" t="n"/>
      <c r="AW34" s="38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SWB31</t>
        </is>
      </c>
      <c r="C35" s="25" t="inlineStr">
        <is>
          <t>Solid Wooden Beading 30x30mm Design 31</t>
        </is>
      </c>
      <c r="D35" s="23" t="inlineStr">
        <is>
          <t>Local</t>
        </is>
      </c>
      <c r="E35" s="43" t="n">
        <v>46125</v>
      </c>
      <c r="F35" s="26" t="inlineStr">
        <is>
          <t>Sunil CR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Good finish</t>
        </is>
      </c>
      <c r="J35" s="26" t="inlineStr">
        <is>
          <t>Yes</t>
        </is>
      </c>
      <c r="K35" s="27" t="n"/>
      <c r="L35" s="28" t="inlineStr">
        <is>
          <t>No</t>
        </is>
      </c>
      <c r="M35" s="29">
        <f>IF(E35="","",IF(H35="Yes","❌ Disc",IF(G35="No","⚠ Missing",IF(J35="Yes","✓ OK","⚠ Check"))))</f>
        <v/>
      </c>
      <c r="N35" s="43" t="n">
        <v>46196</v>
      </c>
      <c r="O35" s="26" t="inlineStr">
        <is>
          <t>Sunil CR</t>
        </is>
      </c>
      <c r="P35" s="26" t="inlineStr">
        <is>
          <t>Yes</t>
        </is>
      </c>
      <c r="Q35" s="26" t="inlineStr">
        <is>
          <t>No</t>
        </is>
      </c>
      <c r="R35" s="26" t="inlineStr">
        <is>
          <t>Good finish</t>
        </is>
      </c>
      <c r="S35" s="26" t="inlineStr">
        <is>
          <t>Yes</t>
        </is>
      </c>
      <c r="T35" s="27" t="n"/>
      <c r="U35" s="28" t="inlineStr">
        <is>
          <t>No</t>
        </is>
      </c>
      <c r="V35" s="29">
        <f>IF(N35="","",IF(Q35="Yes","❌ Disc",IF(P35="No","⚠ Missing",IF(S35="Yes","✓ OK","⚠ Check"))))</f>
        <v/>
      </c>
      <c r="W35" s="65" t="n">
        <v>46248</v>
      </c>
      <c r="X35" s="30" t="inlineStr">
        <is>
          <t>Sunil CR</t>
        </is>
      </c>
      <c r="Y35" s="30" t="inlineStr">
        <is>
          <t>Yes</t>
        </is>
      </c>
      <c r="Z35" s="30" t="n"/>
      <c r="AA35" s="30" t="inlineStr">
        <is>
          <t>Good finish</t>
        </is>
      </c>
      <c r="AB35" s="30" t="inlineStr">
        <is>
          <t>Yes</t>
        </is>
      </c>
      <c r="AC35" s="27" t="n"/>
      <c r="AD35" s="31" t="inlineStr">
        <is>
          <t>No</t>
        </is>
      </c>
      <c r="AE35" s="32">
        <f>IF(W35="","",IF(Z35="Yes","❌ Disc",IF(Y35="No","⚠ Missing",IF(AB35="Yes","✓ OK","⚠ Check"))))</f>
        <v/>
      </c>
      <c r="AF35" s="33" t="n"/>
      <c r="AG35" s="33" t="n"/>
      <c r="AH35" s="33" t="n"/>
      <c r="AI35" s="33" t="n"/>
      <c r="AJ35" s="33" t="n"/>
      <c r="AK35" s="33" t="n"/>
      <c r="AL35" s="27" t="n"/>
      <c r="AM35" s="34" t="n"/>
      <c r="AN35" s="35">
        <f>IF(AF35="","",IF(AI35="Yes","❌ Disc",IF(AH35="No","⚠ Missing",IF(AK35="Yes","✓ OK","⚠ Check"))))</f>
        <v/>
      </c>
      <c r="AO35" s="36" t="n"/>
      <c r="AP35" s="36" t="n"/>
      <c r="AQ35" s="36" t="n"/>
      <c r="AR35" s="36" t="n"/>
      <c r="AS35" s="36" t="n"/>
      <c r="AT35" s="36" t="n"/>
      <c r="AU35" s="27" t="n"/>
      <c r="AV35" s="37" t="n"/>
      <c r="AW35" s="38">
        <f>IF(AO35="","",IF(AR35="Yes","❌ Disc",IF(AQ35="No","⚠ Missing",IF(AT35="Yes","✓ OK","⚠ Check"))))</f>
        <v/>
      </c>
    </row>
    <row r="36" ht="18" customHeight="1" s="46">
      <c r="A36" s="39" t="n">
        <v>32</v>
      </c>
      <c r="B36" s="40" t="inlineStr">
        <is>
          <t>SWB12</t>
        </is>
      </c>
      <c r="C36" s="41" t="inlineStr">
        <is>
          <t>Solid Wooden Beading 32x15mm Design 12</t>
        </is>
      </c>
      <c r="D36" s="39" t="inlineStr">
        <is>
          <t>Local</t>
        </is>
      </c>
      <c r="E36" s="43" t="n">
        <v>46125</v>
      </c>
      <c r="F36" s="26" t="inlineStr">
        <is>
          <t>Sunil CR</t>
        </is>
      </c>
      <c r="G36" s="26" t="inlineStr">
        <is>
          <t>Yes</t>
        </is>
      </c>
      <c r="H36" s="26" t="inlineStr">
        <is>
          <t>No</t>
        </is>
      </c>
      <c r="I36" s="26" t="inlineStr">
        <is>
          <t>Good finish</t>
        </is>
      </c>
      <c r="J36" s="26" t="inlineStr">
        <is>
          <t>Yes</t>
        </is>
      </c>
      <c r="K36" s="27" t="n"/>
      <c r="L36" s="28" t="inlineStr">
        <is>
          <t>No</t>
        </is>
      </c>
      <c r="M36" s="29">
        <f>IF(E36="","",IF(H36="Yes","❌ Disc",IF(G36="No","⚠ Missing",IF(J36="Yes","✓ OK","⚠ Check"))))</f>
        <v/>
      </c>
      <c r="N36" s="43" t="n">
        <v>46196</v>
      </c>
      <c r="O36" s="26" t="inlineStr">
        <is>
          <t>Sunil CR</t>
        </is>
      </c>
      <c r="P36" s="26" t="inlineStr">
        <is>
          <t>Yes</t>
        </is>
      </c>
      <c r="Q36" s="26" t="inlineStr">
        <is>
          <t>No</t>
        </is>
      </c>
      <c r="R36" s="26" t="inlineStr">
        <is>
          <t>Good finish</t>
        </is>
      </c>
      <c r="S36" s="26" t="inlineStr">
        <is>
          <t>Yes</t>
        </is>
      </c>
      <c r="T36" s="27" t="n"/>
      <c r="U36" s="28" t="inlineStr">
        <is>
          <t>No</t>
        </is>
      </c>
      <c r="V36" s="29">
        <f>IF(N36="","",IF(Q36="Yes","❌ Disc",IF(P36="No","⚠ Missing",IF(S36="Yes","✓ OK","⚠ Check"))))</f>
        <v/>
      </c>
      <c r="W36" s="65" t="n">
        <v>46248</v>
      </c>
      <c r="X36" s="30" t="inlineStr">
        <is>
          <t>Sunil CR</t>
        </is>
      </c>
      <c r="Y36" s="30" t="inlineStr">
        <is>
          <t>Yes</t>
        </is>
      </c>
      <c r="Z36" s="30" t="n"/>
      <c r="AA36" s="30" t="inlineStr">
        <is>
          <t>Good finish</t>
        </is>
      </c>
      <c r="AB36" s="30" t="inlineStr">
        <is>
          <t>Yes</t>
        </is>
      </c>
      <c r="AC36" s="27" t="n"/>
      <c r="AD36" s="31" t="inlineStr">
        <is>
          <t>No</t>
        </is>
      </c>
      <c r="AE36" s="32">
        <f>IF(W36="","",IF(Z36="Yes","❌ Disc",IF(Y36="No","⚠ Missing",IF(AB36="Yes","✓ OK","⚠ Check"))))</f>
        <v/>
      </c>
      <c r="AF36" s="33" t="n"/>
      <c r="AG36" s="33" t="n"/>
      <c r="AH36" s="33" t="n"/>
      <c r="AI36" s="33" t="n"/>
      <c r="AJ36" s="33" t="n"/>
      <c r="AK36" s="33" t="n"/>
      <c r="AL36" s="27" t="n"/>
      <c r="AM36" s="34" t="n"/>
      <c r="AN36" s="35">
        <f>IF(AF36="","",IF(AI36="Yes","❌ Disc",IF(AH36="No","⚠ Missing",IF(AK36="Yes","✓ OK","⚠ Check"))))</f>
        <v/>
      </c>
      <c r="AO36" s="36" t="n"/>
      <c r="AP36" s="36" t="n"/>
      <c r="AQ36" s="36" t="n"/>
      <c r="AR36" s="36" t="n"/>
      <c r="AS36" s="36" t="n"/>
      <c r="AT36" s="36" t="n"/>
      <c r="AU36" s="27" t="n"/>
      <c r="AV36" s="37" t="n"/>
      <c r="AW36" s="38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SWB7</t>
        </is>
      </c>
      <c r="C37" s="25" t="inlineStr">
        <is>
          <t>Solid Wooden Beading 35x10mm Design 7</t>
        </is>
      </c>
      <c r="D37" s="23" t="inlineStr">
        <is>
          <t>Local</t>
        </is>
      </c>
      <c r="E37" s="43" t="n">
        <v>46125</v>
      </c>
      <c r="F37" s="26" t="inlineStr">
        <is>
          <t>Sunil CR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Good finish</t>
        </is>
      </c>
      <c r="J37" s="26" t="inlineStr">
        <is>
          <t>Yes</t>
        </is>
      </c>
      <c r="K37" s="27" t="n"/>
      <c r="L37" s="28" t="inlineStr">
        <is>
          <t>No</t>
        </is>
      </c>
      <c r="M37" s="29">
        <f>IF(E37="","",IF(H37="Yes","❌ Disc",IF(G37="No","⚠ Missing",IF(J37="Yes","✓ OK","⚠ Check"))))</f>
        <v/>
      </c>
      <c r="N37" s="43" t="n">
        <v>46196</v>
      </c>
      <c r="O37" s="26" t="inlineStr">
        <is>
          <t>Sunil CR</t>
        </is>
      </c>
      <c r="P37" s="26" t="inlineStr">
        <is>
          <t>Yes</t>
        </is>
      </c>
      <c r="Q37" s="26" t="inlineStr">
        <is>
          <t>No</t>
        </is>
      </c>
      <c r="R37" s="26" t="inlineStr">
        <is>
          <t>Good finish</t>
        </is>
      </c>
      <c r="S37" s="26" t="inlineStr">
        <is>
          <t>Yes</t>
        </is>
      </c>
      <c r="T37" s="27" t="n"/>
      <c r="U37" s="28" t="inlineStr">
        <is>
          <t>No</t>
        </is>
      </c>
      <c r="V37" s="29">
        <f>IF(N37="","",IF(Q37="Yes","❌ Disc",IF(P37="No","⚠ Missing",IF(S37="Yes","✓ OK","⚠ Check"))))</f>
        <v/>
      </c>
      <c r="W37" s="65" t="n">
        <v>46248</v>
      </c>
      <c r="X37" s="30" t="inlineStr">
        <is>
          <t>Sunil CR</t>
        </is>
      </c>
      <c r="Y37" s="30" t="inlineStr">
        <is>
          <t>Yes</t>
        </is>
      </c>
      <c r="Z37" s="30" t="n"/>
      <c r="AA37" s="30" t="inlineStr">
        <is>
          <t>Good finish</t>
        </is>
      </c>
      <c r="AB37" s="30" t="inlineStr">
        <is>
          <t>Yes</t>
        </is>
      </c>
      <c r="AC37" s="27" t="n"/>
      <c r="AD37" s="31" t="inlineStr">
        <is>
          <t>No</t>
        </is>
      </c>
      <c r="AE37" s="32">
        <f>IF(W37="","",IF(Z37="Yes","❌ Disc",IF(Y37="No","⚠ Missing",IF(AB37="Yes","✓ OK","⚠ Check"))))</f>
        <v/>
      </c>
      <c r="AF37" s="33" t="n"/>
      <c r="AG37" s="33" t="n"/>
      <c r="AH37" s="33" t="n"/>
      <c r="AI37" s="33" t="n"/>
      <c r="AJ37" s="33" t="n"/>
      <c r="AK37" s="33" t="n"/>
      <c r="AL37" s="27" t="n"/>
      <c r="AM37" s="34" t="n"/>
      <c r="AN37" s="35">
        <f>IF(AF37="","",IF(AI37="Yes","❌ Disc",IF(AH37="No","⚠ Missing",IF(AK37="Yes","✓ OK","⚠ Check"))))</f>
        <v/>
      </c>
      <c r="AO37" s="36" t="n"/>
      <c r="AP37" s="36" t="n"/>
      <c r="AQ37" s="36" t="n"/>
      <c r="AR37" s="36" t="n"/>
      <c r="AS37" s="36" t="n"/>
      <c r="AT37" s="36" t="n"/>
      <c r="AU37" s="27" t="n"/>
      <c r="AV37" s="37" t="n"/>
      <c r="AW37" s="38">
        <f>IF(AO37="","",IF(AR37="Yes","❌ Disc",IF(AQ37="No","⚠ Missing",IF(AT37="Yes","✓ OK","⚠ Check"))))</f>
        <v/>
      </c>
    </row>
    <row r="38" ht="18" customHeight="1" s="46">
      <c r="A38" s="39" t="n">
        <v>34</v>
      </c>
      <c r="B38" s="40" t="inlineStr">
        <is>
          <t>SWB18</t>
        </is>
      </c>
      <c r="C38" s="41" t="inlineStr">
        <is>
          <t>Solid Wooden Beading 38x10mm Design 18</t>
        </is>
      </c>
      <c r="D38" s="39" t="inlineStr">
        <is>
          <t>Local</t>
        </is>
      </c>
      <c r="E38" s="43" t="n">
        <v>46125</v>
      </c>
      <c r="F38" s="26" t="inlineStr">
        <is>
          <t>Sunil CR</t>
        </is>
      </c>
      <c r="G38" s="26" t="inlineStr">
        <is>
          <t>Yes</t>
        </is>
      </c>
      <c r="H38" s="26" t="inlineStr">
        <is>
          <t>No</t>
        </is>
      </c>
      <c r="I38" s="26" t="inlineStr">
        <is>
          <t>Good finish</t>
        </is>
      </c>
      <c r="J38" s="26" t="inlineStr">
        <is>
          <t>Yes</t>
        </is>
      </c>
      <c r="K38" s="27" t="n"/>
      <c r="L38" s="28" t="inlineStr">
        <is>
          <t>No</t>
        </is>
      </c>
      <c r="M38" s="29">
        <f>IF(E38="","",IF(H38="Yes","❌ Disc",IF(G38="No","⚠ Missing",IF(J38="Yes","✓ OK","⚠ Check"))))</f>
        <v/>
      </c>
      <c r="N38" s="43" t="n">
        <v>46196</v>
      </c>
      <c r="O38" s="26" t="inlineStr">
        <is>
          <t>Sunil CR</t>
        </is>
      </c>
      <c r="P38" s="26" t="inlineStr">
        <is>
          <t>Yes</t>
        </is>
      </c>
      <c r="Q38" s="26" t="inlineStr">
        <is>
          <t>No</t>
        </is>
      </c>
      <c r="R38" s="26" t="inlineStr">
        <is>
          <t>Good finish</t>
        </is>
      </c>
      <c r="S38" s="26" t="inlineStr">
        <is>
          <t>Yes</t>
        </is>
      </c>
      <c r="T38" s="27" t="n"/>
      <c r="U38" s="28" t="inlineStr">
        <is>
          <t>No</t>
        </is>
      </c>
      <c r="V38" s="29">
        <f>IF(N38="","",IF(Q38="Yes","❌ Disc",IF(P38="No","⚠ Missing",IF(S38="Yes","✓ OK","⚠ Check"))))</f>
        <v/>
      </c>
      <c r="W38" s="65" t="n">
        <v>46248</v>
      </c>
      <c r="X38" s="30" t="inlineStr">
        <is>
          <t>Sunil CR</t>
        </is>
      </c>
      <c r="Y38" s="30" t="inlineStr">
        <is>
          <t>Yes</t>
        </is>
      </c>
      <c r="Z38" s="30" t="n"/>
      <c r="AA38" s="30" t="inlineStr">
        <is>
          <t>Good finish</t>
        </is>
      </c>
      <c r="AB38" s="30" t="inlineStr">
        <is>
          <t>Yes</t>
        </is>
      </c>
      <c r="AC38" s="27" t="n"/>
      <c r="AD38" s="31" t="inlineStr">
        <is>
          <t>No</t>
        </is>
      </c>
      <c r="AE38" s="32">
        <f>IF(W38="","",IF(Z38="Yes","❌ Disc",IF(Y38="No","⚠ Missing",IF(AB38="Yes","✓ OK","⚠ Check"))))</f>
        <v/>
      </c>
      <c r="AF38" s="33" t="n"/>
      <c r="AG38" s="33" t="n"/>
      <c r="AH38" s="33" t="n"/>
      <c r="AI38" s="33" t="n"/>
      <c r="AJ38" s="33" t="n"/>
      <c r="AK38" s="33" t="n"/>
      <c r="AL38" s="27" t="n"/>
      <c r="AM38" s="34" t="n"/>
      <c r="AN38" s="35">
        <f>IF(AF38="","",IF(AI38="Yes","❌ Disc",IF(AH38="No","⚠ Missing",IF(AK38="Yes","✓ OK","⚠ Check"))))</f>
        <v/>
      </c>
      <c r="AO38" s="36" t="n"/>
      <c r="AP38" s="36" t="n"/>
      <c r="AQ38" s="36" t="n"/>
      <c r="AR38" s="36" t="n"/>
      <c r="AS38" s="36" t="n"/>
      <c r="AT38" s="36" t="n"/>
      <c r="AU38" s="27" t="n"/>
      <c r="AV38" s="37" t="n"/>
      <c r="AW38" s="38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SWB04</t>
        </is>
      </c>
      <c r="C39" s="25" t="inlineStr">
        <is>
          <t>Solid Wooden Beading 42x12mm Design 4</t>
        </is>
      </c>
      <c r="D39" s="23" t="inlineStr">
        <is>
          <t>Local</t>
        </is>
      </c>
      <c r="E39" s="43" t="n">
        <v>46125</v>
      </c>
      <c r="F39" s="26" t="inlineStr">
        <is>
          <t>Sunil CR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Good finish</t>
        </is>
      </c>
      <c r="J39" s="26" t="inlineStr">
        <is>
          <t>Yes</t>
        </is>
      </c>
      <c r="K39" s="27" t="n"/>
      <c r="L39" s="28" t="inlineStr">
        <is>
          <t>No</t>
        </is>
      </c>
      <c r="M39" s="29">
        <f>IF(E39="","",IF(H39="Yes","❌ Disc",IF(G39="No","⚠ Missing",IF(J39="Yes","✓ OK","⚠ Check"))))</f>
        <v/>
      </c>
      <c r="N39" s="43" t="n">
        <v>46196</v>
      </c>
      <c r="O39" s="26" t="inlineStr">
        <is>
          <t>Sunil CR</t>
        </is>
      </c>
      <c r="P39" s="26" t="inlineStr">
        <is>
          <t>Yes</t>
        </is>
      </c>
      <c r="Q39" s="26" t="inlineStr">
        <is>
          <t>No</t>
        </is>
      </c>
      <c r="R39" s="26" t="inlineStr">
        <is>
          <t>Good finish</t>
        </is>
      </c>
      <c r="S39" s="26" t="inlineStr">
        <is>
          <t>Yes</t>
        </is>
      </c>
      <c r="T39" s="27" t="n"/>
      <c r="U39" s="28" t="inlineStr">
        <is>
          <t>No</t>
        </is>
      </c>
      <c r="V39" s="29">
        <f>IF(N39="","",IF(Q39="Yes","❌ Disc",IF(P39="No","⚠ Missing",IF(S39="Yes","✓ OK","⚠ Check"))))</f>
        <v/>
      </c>
      <c r="W39" s="65" t="n">
        <v>46248</v>
      </c>
      <c r="X39" s="30" t="inlineStr">
        <is>
          <t>Sunil CR</t>
        </is>
      </c>
      <c r="Y39" s="30" t="inlineStr">
        <is>
          <t>Yes</t>
        </is>
      </c>
      <c r="Z39" s="30" t="n"/>
      <c r="AA39" s="30" t="inlineStr">
        <is>
          <t>Good finish</t>
        </is>
      </c>
      <c r="AB39" s="30" t="inlineStr">
        <is>
          <t>Yes</t>
        </is>
      </c>
      <c r="AC39" s="27" t="n"/>
      <c r="AD39" s="31" t="inlineStr">
        <is>
          <t>No</t>
        </is>
      </c>
      <c r="AE39" s="32">
        <f>IF(W39="","",IF(Z39="Yes","❌ Disc",IF(Y39="No","⚠ Missing",IF(AB39="Yes","✓ OK","⚠ Check"))))</f>
        <v/>
      </c>
      <c r="AF39" s="33" t="n"/>
      <c r="AG39" s="33" t="n"/>
      <c r="AH39" s="33" t="n"/>
      <c r="AI39" s="33" t="n"/>
      <c r="AJ39" s="33" t="n"/>
      <c r="AK39" s="33" t="n"/>
      <c r="AL39" s="27" t="n"/>
      <c r="AM39" s="34" t="n"/>
      <c r="AN39" s="35">
        <f>IF(AF39="","",IF(AI39="Yes","❌ Disc",IF(AH39="No","⚠ Missing",IF(AK39="Yes","✓ OK","⚠ Check"))))</f>
        <v/>
      </c>
      <c r="AO39" s="36" t="n"/>
      <c r="AP39" s="36" t="n"/>
      <c r="AQ39" s="36" t="n"/>
      <c r="AR39" s="36" t="n"/>
      <c r="AS39" s="36" t="n"/>
      <c r="AT39" s="36" t="n"/>
      <c r="AU39" s="27" t="n"/>
      <c r="AV39" s="37" t="n"/>
      <c r="AW39" s="38">
        <f>IF(AO39="","",IF(AR39="Yes","❌ Disc",IF(AQ39="No","⚠ Missing",IF(AT39="Yes","✓ OK","⚠ Check"))))</f>
        <v/>
      </c>
    </row>
  </sheetData>
  <autoFilter ref="A4:AW39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priority="15" dxfId="3">
      <formula>G5="Yes"</formula>
    </cfRule>
    <cfRule type="expression" priority="16" dxfId="1">
      <formula>G5="No"</formula>
    </cfRule>
  </conditionalFormatting>
  <conditionalFormatting sqref="H5:H39">
    <cfRule type="expression" priority="17" dxfId="1">
      <formula>H5="Yes"</formula>
    </cfRule>
  </conditionalFormatting>
  <conditionalFormatting sqref="J5:J39">
    <cfRule type="expression" priority="18" dxfId="3">
      <formula>J5="Yes"</formula>
    </cfRule>
    <cfRule type="expression" priority="19" dxfId="1">
      <formula>J5="No"</formula>
    </cfRule>
  </conditionalFormatting>
  <conditionalFormatting sqref="M5:M39">
    <cfRule type="expression" priority="11" dxfId="3">
      <formula>M5="✓ OK"</formula>
    </cfRule>
    <cfRule type="expression" priority="12" dxfId="1">
      <formula>M5="❌ Disc"</formula>
    </cfRule>
    <cfRule type="expression" priority="13" dxfId="1">
      <formula>M5="⚠ Missing"</formula>
    </cfRule>
    <cfRule type="expression" priority="14" dxfId="0">
      <formula>M5="⚠ Check"</formula>
    </cfRule>
  </conditionalFormatting>
  <conditionalFormatting sqref="N5:N39">
    <cfRule type="expression" priority="1" dxfId="27">
      <formula>MOD(ROW(),2)=0</formula>
    </cfRule>
  </conditionalFormatting>
  <conditionalFormatting sqref="A5:M39 O5:AW39">
    <cfRule type="expression" priority="56" dxfId="27">
      <formula>MOD(ROW(),2)=0</formula>
    </cfRule>
  </conditionalFormatting>
  <conditionalFormatting sqref="P5:P39">
    <cfRule type="expression" priority="6" dxfId="3">
      <formula>P5="Yes"</formula>
    </cfRule>
    <cfRule type="expression" priority="7" dxfId="1">
      <formula>P5="No"</formula>
    </cfRule>
    <cfRule type="expression" priority="24" dxfId="3">
      <formula>P5="Yes"</formula>
    </cfRule>
    <cfRule type="expression" priority="25" dxfId="1">
      <formula>P5="No"</formula>
    </cfRule>
  </conditionalFormatting>
  <conditionalFormatting sqref="Q5:Q39">
    <cfRule type="expression" priority="8" dxfId="1">
      <formula>Q5="Yes"</formula>
    </cfRule>
  </conditionalFormatting>
  <conditionalFormatting sqref="S5:S39">
    <cfRule type="expression" priority="9" dxfId="3">
      <formula>S5="Yes"</formula>
    </cfRule>
    <cfRule type="expression" priority="10" dxfId="1">
      <formula>S5="No"</formula>
    </cfRule>
    <cfRule type="expression" priority="27" dxfId="3">
      <formula>S5="Yes"</formula>
    </cfRule>
    <cfRule type="expression" priority="28" dxfId="1">
      <formula>S5="No"</formula>
    </cfRule>
  </conditionalFormatting>
  <conditionalFormatting sqref="V5:V39">
    <cfRule type="expression" priority="2" dxfId="3">
      <formula>V5="✓ OK"</formula>
    </cfRule>
    <cfRule type="expression" priority="3" dxfId="1">
      <formula>V5="❌ Disc"</formula>
    </cfRule>
    <cfRule type="expression" priority="4" dxfId="1">
      <formula>V5="⚠ Missing"</formula>
    </cfRule>
    <cfRule type="expression" priority="5" dxfId="0">
      <formula>V5="⚠ Check"</formula>
    </cfRule>
    <cfRule type="expression" priority="20" dxfId="3">
      <formula>V5="✓ OK"</formula>
    </cfRule>
    <cfRule type="expression" priority="21" dxfId="1">
      <formula>V5="❌ Disc"</formula>
    </cfRule>
    <cfRule type="expression" priority="22" dxfId="1">
      <formula>V5="⚠ Missing"</formula>
    </cfRule>
    <cfRule type="expression" priority="23" dxfId="0">
      <formula>V5="⚠ Check"</formula>
    </cfRule>
  </conditionalFormatting>
  <conditionalFormatting sqref="Y5:Y39">
    <cfRule type="expression" priority="33" dxfId="3">
      <formula>Y5="Yes"</formula>
    </cfRule>
    <cfRule type="expression" priority="34" dxfId="1">
      <formula>Y5="No"</formula>
    </cfRule>
  </conditionalFormatting>
  <conditionalFormatting sqref="Z5:Z39">
    <cfRule type="expression" priority="35" dxfId="1">
      <formula>Z5="Yes"</formula>
    </cfRule>
  </conditionalFormatting>
  <conditionalFormatting sqref="AB5:AB39">
    <cfRule type="expression" priority="37" dxfId="1">
      <formula>AB5="No"</formula>
    </cfRule>
    <cfRule type="expression" priority="36" dxfId="3">
      <formula>AB5="Yes"</formula>
    </cfRule>
  </conditionalFormatting>
  <conditionalFormatting sqref="AE5:AE39">
    <cfRule type="expression" priority="30" dxfId="1">
      <formula>AE5="❌ Disc"</formula>
    </cfRule>
    <cfRule type="expression" priority="31" dxfId="1">
      <formula>AE5="⚠ Missing"</formula>
    </cfRule>
    <cfRule type="expression" priority="29" dxfId="3">
      <formula>AE5="✓ OK"</formula>
    </cfRule>
    <cfRule type="expression" priority="32" dxfId="0">
      <formula>AE5="⚠ Check"</formula>
    </cfRule>
  </conditionalFormatting>
  <conditionalFormatting sqref="AH5:AH39">
    <cfRule type="expression" priority="43" dxfId="1">
      <formula>AH5="No"</formula>
    </cfRule>
    <cfRule type="expression" priority="42" dxfId="3">
      <formula>AH5="Yes"</formula>
    </cfRule>
  </conditionalFormatting>
  <conditionalFormatting sqref="AI5:AI39">
    <cfRule type="expression" priority="44" dxfId="1">
      <formula>AI5="Yes"</formula>
    </cfRule>
  </conditionalFormatting>
  <conditionalFormatting sqref="AK5:AK39">
    <cfRule type="expression" priority="45" dxfId="3">
      <formula>AK5="Yes"</formula>
    </cfRule>
    <cfRule type="expression" priority="46" dxfId="1">
      <formula>AK5="No"</formula>
    </cfRule>
  </conditionalFormatting>
  <conditionalFormatting sqref="AN5:AN39">
    <cfRule type="expression" priority="38" dxfId="3">
      <formula>AN5="✓ OK"</formula>
    </cfRule>
    <cfRule type="expression" priority="39" dxfId="1">
      <formula>AN5="❌ Disc"</formula>
    </cfRule>
    <cfRule type="expression" priority="40" dxfId="1">
      <formula>AN5="⚠ Missing"</formula>
    </cfRule>
    <cfRule type="expression" priority="41" dxfId="0">
      <formula>AN5="⚠ Check"</formula>
    </cfRule>
  </conditionalFormatting>
  <conditionalFormatting sqref="AQ5:AQ39">
    <cfRule type="expression" priority="51" dxfId="3">
      <formula>AQ5="Yes"</formula>
    </cfRule>
    <cfRule type="expression" priority="52" dxfId="1">
      <formula>AQ5="No"</formula>
    </cfRule>
  </conditionalFormatting>
  <conditionalFormatting sqref="AR5:AR39">
    <cfRule type="expression" priority="53" dxfId="1">
      <formula>AR5="Yes"</formula>
    </cfRule>
  </conditionalFormatting>
  <conditionalFormatting sqref="AT5:AT39">
    <cfRule type="expression" priority="54" dxfId="3">
      <formula>AT5="Yes"</formula>
    </cfRule>
    <cfRule type="expression" priority="55" dxfId="1">
      <formula>AT5="No"</formula>
    </cfRule>
  </conditionalFormatting>
  <conditionalFormatting sqref="AW5:AW39">
    <cfRule type="expression" priority="47" dxfId="3">
      <formula>AW5="✓ OK"</formula>
    </cfRule>
    <cfRule type="expression" priority="48" dxfId="1">
      <formula>AW5="❌ Disc"</formula>
    </cfRule>
    <cfRule type="expression" priority="50" dxfId="0">
      <formula>AW5="⚠ Check"</formula>
    </cfRule>
    <cfRule type="expression" priority="49" dxfId="1">
      <formula>AW5="⚠ Missing"</formula>
    </cfRule>
  </conditionalFormatting>
  <dataValidations count="2">
    <dataValidation sqref="G5:H39 J5:J39 P5:Q39 S5:S39 Y5:Z39 AB5:AB39 AH5:AI39 AK5:AK39 AQ5:AR39 AT5:AT39" showDropDown="0" showInputMessage="0" showErrorMessage="0" allowBlank="1" type="list">
      <formula1>"Yes,No"</formula1>
    </dataValidation>
    <dataValidation sqref="I5:I39 R5:R39 AA5:AA39 AJ5:AJ39 AS5:AS39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theme="0"/>
    <outlinePr summaryBelow="1" summaryRight="1"/>
    <pageSetUpPr/>
  </sheetPr>
  <dimension ref="A1:AW80"/>
  <sheetViews>
    <sheetView workbookViewId="0">
      <pane xSplit="4" ySplit="4" topLeftCell="J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40.6640625" bestFit="1" customWidth="1" style="46" min="3" max="3"/>
    <col width="14" customWidth="1" style="46" min="4" max="4"/>
    <col width="13" customWidth="1" style="46" min="5" max="6"/>
    <col width="16.33203125" bestFit="1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BONITO LEGS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BD-HNA-2025-0015</t>
        </is>
      </c>
      <c r="C5" s="25" t="inlineStr">
        <is>
          <t>Bonito Legs - 10" 298(V.H) Black Metal Leg</t>
        </is>
      </c>
      <c r="D5" s="23" t="inlineStr">
        <is>
          <t>Bonito Legs</t>
        </is>
      </c>
      <c r="E5" s="43" t="n">
        <v>46125</v>
      </c>
      <c r="F5" s="26" t="inlineStr">
        <is>
          <t>Sunil CR</t>
        </is>
      </c>
      <c r="G5" s="44" t="inlineStr">
        <is>
          <t>Represented by Sample</t>
        </is>
      </c>
      <c r="H5" s="26" t="inlineStr">
        <is>
          <t>No</t>
        </is>
      </c>
      <c r="I5" s="44" t="inlineStr">
        <is>
          <t>Represented by Sample</t>
        </is>
      </c>
      <c r="J5" s="26" t="inlineStr">
        <is>
          <t>Yes</t>
        </is>
      </c>
      <c r="K5" s="27" t="n"/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46196</v>
      </c>
      <c r="O5" s="26" t="inlineStr">
        <is>
          <t>Sunil CR</t>
        </is>
      </c>
      <c r="P5" s="44" t="inlineStr">
        <is>
          <t>Represented by Sample</t>
        </is>
      </c>
      <c r="Q5" s="26" t="inlineStr">
        <is>
          <t>No</t>
        </is>
      </c>
      <c r="R5" s="44" t="inlineStr">
        <is>
          <t>Represented by Sample</t>
        </is>
      </c>
      <c r="S5" s="26" t="inlineStr">
        <is>
          <t>Yes</t>
        </is>
      </c>
      <c r="T5" s="27" t="n"/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Represented by Sample</t>
        </is>
      </c>
      <c r="Z5" s="30" t="n"/>
      <c r="AA5" s="30" t="inlineStr">
        <is>
          <t>Represented by Sample</t>
        </is>
      </c>
      <c r="AB5" s="30" t="inlineStr">
        <is>
          <t>Yes</t>
        </is>
      </c>
      <c r="AC5" s="27" t="n"/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BD-HNA-2025-0022</t>
        </is>
      </c>
      <c r="C6" s="41" t="inlineStr">
        <is>
          <t>Bonito Legs - 10" 298(V.H) Gold Metal Leg</t>
        </is>
      </c>
      <c r="D6" s="39" t="inlineStr">
        <is>
          <t>Bonito Legs</t>
        </is>
      </c>
      <c r="E6" s="43" t="n">
        <v>46125</v>
      </c>
      <c r="F6" s="26" t="inlineStr">
        <is>
          <t>Sunil CR</t>
        </is>
      </c>
      <c r="G6" s="44" t="inlineStr">
        <is>
          <t>Represented by Sample</t>
        </is>
      </c>
      <c r="H6" s="26" t="inlineStr">
        <is>
          <t>No</t>
        </is>
      </c>
      <c r="I6" s="44" t="inlineStr">
        <is>
          <t>Represented by Sample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46196</v>
      </c>
      <c r="O6" s="26" t="inlineStr">
        <is>
          <t>Sunil CR</t>
        </is>
      </c>
      <c r="P6" s="44" t="inlineStr">
        <is>
          <t>Represented by Sample</t>
        </is>
      </c>
      <c r="Q6" s="26" t="inlineStr">
        <is>
          <t>No</t>
        </is>
      </c>
      <c r="R6" s="44" t="inlineStr">
        <is>
          <t>Represented by Sample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Represented by Sample</t>
        </is>
      </c>
      <c r="Z6" s="30" t="n"/>
      <c r="AA6" s="30" t="inlineStr">
        <is>
          <t>Represented by Sample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BD-HNA-2025-0029</t>
        </is>
      </c>
      <c r="C7" s="25" t="inlineStr">
        <is>
          <t>Bonito Legs - 10" 298(V.H) Rose Gold Metal Leg</t>
        </is>
      </c>
      <c r="D7" s="23" t="inlineStr">
        <is>
          <t>Bonito Legs</t>
        </is>
      </c>
      <c r="E7" s="43" t="n">
        <v>46125</v>
      </c>
      <c r="F7" s="26" t="inlineStr">
        <is>
          <t>Sunil CR</t>
        </is>
      </c>
      <c r="G7" s="44" t="inlineStr">
        <is>
          <t>Represented by Sample</t>
        </is>
      </c>
      <c r="H7" s="26" t="inlineStr">
        <is>
          <t>No</t>
        </is>
      </c>
      <c r="I7" s="44" t="inlineStr">
        <is>
          <t>Represented by Sample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46196</v>
      </c>
      <c r="O7" s="26" t="inlineStr">
        <is>
          <t>Sunil CR</t>
        </is>
      </c>
      <c r="P7" s="44" t="inlineStr">
        <is>
          <t>Represented by Sample</t>
        </is>
      </c>
      <c r="Q7" s="26" t="inlineStr">
        <is>
          <t>No</t>
        </is>
      </c>
      <c r="R7" s="44" t="inlineStr">
        <is>
          <t>Represented by Sample</t>
        </is>
      </c>
      <c r="S7" s="26" t="inlineStr">
        <is>
          <t>Yes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Represented by Sample</t>
        </is>
      </c>
      <c r="Z7" s="30" t="n"/>
      <c r="AA7" s="30" t="inlineStr">
        <is>
          <t>Represented by Sample</t>
        </is>
      </c>
      <c r="AB7" s="30" t="inlineStr">
        <is>
          <t>Yes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BD-HNA-2025-0077</t>
        </is>
      </c>
      <c r="C8" s="41" t="inlineStr">
        <is>
          <t>Bonito Legs - 10" Candy Cross Wooden Leg</t>
        </is>
      </c>
      <c r="D8" s="39" t="inlineStr">
        <is>
          <t>Bonito Legs</t>
        </is>
      </c>
      <c r="E8" s="43" t="n">
        <v>46125</v>
      </c>
      <c r="F8" s="26" t="inlineStr">
        <is>
          <t>Sunil CR</t>
        </is>
      </c>
      <c r="G8" s="44" t="inlineStr">
        <is>
          <t>Represented by Sample</t>
        </is>
      </c>
      <c r="H8" s="26" t="inlineStr">
        <is>
          <t>No</t>
        </is>
      </c>
      <c r="I8" s="44" t="inlineStr">
        <is>
          <t>Represented by Sample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46196</v>
      </c>
      <c r="O8" s="26" t="inlineStr">
        <is>
          <t>Sunil CR</t>
        </is>
      </c>
      <c r="P8" s="44" t="inlineStr">
        <is>
          <t>Represented by Sample</t>
        </is>
      </c>
      <c r="Q8" s="26" t="inlineStr">
        <is>
          <t>No</t>
        </is>
      </c>
      <c r="R8" s="44" t="inlineStr">
        <is>
          <t>Represented by Sample</t>
        </is>
      </c>
      <c r="S8" s="26" t="inlineStr">
        <is>
          <t>Yes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Represented by Sample</t>
        </is>
      </c>
      <c r="Z8" s="30" t="n"/>
      <c r="AA8" s="30" t="inlineStr">
        <is>
          <t>Represented by Sample</t>
        </is>
      </c>
      <c r="AB8" s="30" t="inlineStr">
        <is>
          <t>Yes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BD-HNA-2025-0016</t>
        </is>
      </c>
      <c r="C9" s="25" t="inlineStr">
        <is>
          <t>Bonito Legs - 12" 298(V.H) Black Metal Leg</t>
        </is>
      </c>
      <c r="D9" s="23" t="inlineStr">
        <is>
          <t>Bonito Legs</t>
        </is>
      </c>
      <c r="E9" s="43" t="n">
        <v>46125</v>
      </c>
      <c r="F9" s="26" t="inlineStr">
        <is>
          <t>Sunil CR</t>
        </is>
      </c>
      <c r="G9" s="44" t="inlineStr">
        <is>
          <t>Represented by Sample</t>
        </is>
      </c>
      <c r="H9" s="26" t="inlineStr">
        <is>
          <t>No</t>
        </is>
      </c>
      <c r="I9" s="44" t="inlineStr">
        <is>
          <t>Represented by Sample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46196</v>
      </c>
      <c r="O9" s="26" t="inlineStr">
        <is>
          <t>Sunil CR</t>
        </is>
      </c>
      <c r="P9" s="44" t="inlineStr">
        <is>
          <t>Represented by Sample</t>
        </is>
      </c>
      <c r="Q9" s="26" t="inlineStr">
        <is>
          <t>No</t>
        </is>
      </c>
      <c r="R9" s="44" t="inlineStr">
        <is>
          <t>Represented by Sample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Represented by Sample</t>
        </is>
      </c>
      <c r="Z9" s="30" t="n"/>
      <c r="AA9" s="30" t="inlineStr">
        <is>
          <t>Represented by Sample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BD-HNA-2025-0023</t>
        </is>
      </c>
      <c r="C10" s="41" t="inlineStr">
        <is>
          <t>Bonito Legs - 12" 298(V.H) Gold Metal Leg</t>
        </is>
      </c>
      <c r="D10" s="39" t="inlineStr">
        <is>
          <t>Bonito Legs</t>
        </is>
      </c>
      <c r="E10" s="43" t="n">
        <v>46125</v>
      </c>
      <c r="F10" s="26" t="inlineStr">
        <is>
          <t>Sunil CR</t>
        </is>
      </c>
      <c r="G10" s="44" t="inlineStr">
        <is>
          <t>Represented by Sample</t>
        </is>
      </c>
      <c r="H10" s="26" t="inlineStr">
        <is>
          <t>No</t>
        </is>
      </c>
      <c r="I10" s="44" t="inlineStr">
        <is>
          <t>Represented by Sample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46196</v>
      </c>
      <c r="O10" s="26" t="inlineStr">
        <is>
          <t>Sunil CR</t>
        </is>
      </c>
      <c r="P10" s="44" t="inlineStr">
        <is>
          <t>Represented by Sample</t>
        </is>
      </c>
      <c r="Q10" s="26" t="inlineStr">
        <is>
          <t>No</t>
        </is>
      </c>
      <c r="R10" s="44" t="inlineStr">
        <is>
          <t>Represented by Sample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Represented by Sample</t>
        </is>
      </c>
      <c r="Z10" s="30" t="n"/>
      <c r="AA10" s="30" t="inlineStr">
        <is>
          <t>Represented by Sample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BD-HNA-2025-0030</t>
        </is>
      </c>
      <c r="C11" s="25" t="inlineStr">
        <is>
          <t>Bonito Legs - 12" 298(V.H) Rose Gold Metal Leg</t>
        </is>
      </c>
      <c r="D11" s="23" t="inlineStr">
        <is>
          <t>Bonito Legs</t>
        </is>
      </c>
      <c r="E11" s="43" t="n">
        <v>46125</v>
      </c>
      <c r="F11" s="26" t="inlineStr">
        <is>
          <t>Sunil CR</t>
        </is>
      </c>
      <c r="G11" s="44" t="inlineStr">
        <is>
          <t>Represented by Sample</t>
        </is>
      </c>
      <c r="H11" s="26" t="inlineStr">
        <is>
          <t>No</t>
        </is>
      </c>
      <c r="I11" s="44" t="inlineStr">
        <is>
          <t>Represented by Sample</t>
        </is>
      </c>
      <c r="J11" s="26" t="inlineStr">
        <is>
          <t>Yes</t>
        </is>
      </c>
      <c r="K11" s="27" t="n"/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46196</v>
      </c>
      <c r="O11" s="26" t="inlineStr">
        <is>
          <t>Sunil CR</t>
        </is>
      </c>
      <c r="P11" s="44" t="inlineStr">
        <is>
          <t>Represented by Sample</t>
        </is>
      </c>
      <c r="Q11" s="26" t="inlineStr">
        <is>
          <t>No</t>
        </is>
      </c>
      <c r="R11" s="44" t="inlineStr">
        <is>
          <t>Represented by Sample</t>
        </is>
      </c>
      <c r="S11" s="26" t="inlineStr">
        <is>
          <t>Yes</t>
        </is>
      </c>
      <c r="T11" s="27" t="n"/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Represented by Sample</t>
        </is>
      </c>
      <c r="Z11" s="30" t="n"/>
      <c r="AA11" s="30" t="inlineStr">
        <is>
          <t>Represented by Sample</t>
        </is>
      </c>
      <c r="AB11" s="30" t="inlineStr">
        <is>
          <t>Yes</t>
        </is>
      </c>
      <c r="AC11" s="27" t="n"/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BD-HNA-2025-0057</t>
        </is>
      </c>
      <c r="C12" s="41" t="inlineStr">
        <is>
          <t>Bonito Legs - 12" LG -134(S.H-ZP) Black Metal Leg</t>
        </is>
      </c>
      <c r="D12" s="39" t="inlineStr">
        <is>
          <t>Bonito Legs</t>
        </is>
      </c>
      <c r="E12" s="43" t="n">
        <v>46125</v>
      </c>
      <c r="F12" s="26" t="inlineStr">
        <is>
          <t>Sunil CR</t>
        </is>
      </c>
      <c r="G12" s="44" t="inlineStr">
        <is>
          <t>Represented by Sample</t>
        </is>
      </c>
      <c r="H12" s="26" t="inlineStr">
        <is>
          <t>No</t>
        </is>
      </c>
      <c r="I12" s="44" t="inlineStr">
        <is>
          <t>Represented by Sample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46196</v>
      </c>
      <c r="O12" s="26" t="inlineStr">
        <is>
          <t>Sunil CR</t>
        </is>
      </c>
      <c r="P12" s="44" t="inlineStr">
        <is>
          <t>Represented by Sample</t>
        </is>
      </c>
      <c r="Q12" s="26" t="inlineStr">
        <is>
          <t>No</t>
        </is>
      </c>
      <c r="R12" s="44" t="inlineStr">
        <is>
          <t>Represented by Sample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Represented by Sample</t>
        </is>
      </c>
      <c r="Z12" s="30" t="n"/>
      <c r="AA12" s="30" t="inlineStr">
        <is>
          <t>Represented by Sample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BD-HNA-2025-0061</t>
        </is>
      </c>
      <c r="C13" s="25" t="inlineStr">
        <is>
          <t>Bonito Legs - 12" LG -134(S.H-ZP) Gold Metal Leg</t>
        </is>
      </c>
      <c r="D13" s="23" t="inlineStr">
        <is>
          <t>Bonito Legs</t>
        </is>
      </c>
      <c r="E13" s="43" t="n">
        <v>46125</v>
      </c>
      <c r="F13" s="26" t="inlineStr">
        <is>
          <t>Sunil CR</t>
        </is>
      </c>
      <c r="G13" s="44" t="inlineStr">
        <is>
          <t>Represented by Sample</t>
        </is>
      </c>
      <c r="H13" s="26" t="inlineStr">
        <is>
          <t>No</t>
        </is>
      </c>
      <c r="I13" s="44" t="inlineStr">
        <is>
          <t>Represented by Sample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46196</v>
      </c>
      <c r="O13" s="26" t="inlineStr">
        <is>
          <t>Sunil CR</t>
        </is>
      </c>
      <c r="P13" s="44" t="inlineStr">
        <is>
          <t>Represented by Sample</t>
        </is>
      </c>
      <c r="Q13" s="26" t="inlineStr">
        <is>
          <t>No</t>
        </is>
      </c>
      <c r="R13" s="44" t="inlineStr">
        <is>
          <t>Represented by Sample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Represented by Sample</t>
        </is>
      </c>
      <c r="Z13" s="30" t="n"/>
      <c r="AA13" s="30" t="inlineStr">
        <is>
          <t>Represented by Sample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BD-HNA-2025-0065</t>
        </is>
      </c>
      <c r="C14" s="41" t="inlineStr">
        <is>
          <t>Bonito Legs - 12" LG -134(S.H-ZP) Rose Gold Metal Leg</t>
        </is>
      </c>
      <c r="D14" s="39" t="inlineStr">
        <is>
          <t>Bonito Legs</t>
        </is>
      </c>
      <c r="E14" s="43" t="n">
        <v>46125</v>
      </c>
      <c r="F14" s="26" t="inlineStr">
        <is>
          <t>Sunil CR</t>
        </is>
      </c>
      <c r="G14" s="44" t="inlineStr">
        <is>
          <t>Represented by Sample</t>
        </is>
      </c>
      <c r="H14" s="26" t="inlineStr">
        <is>
          <t>No</t>
        </is>
      </c>
      <c r="I14" s="44" t="inlineStr">
        <is>
          <t>Represented by Sample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46196</v>
      </c>
      <c r="O14" s="26" t="inlineStr">
        <is>
          <t>Sunil CR</t>
        </is>
      </c>
      <c r="P14" s="44" t="inlineStr">
        <is>
          <t>Represented by Sample</t>
        </is>
      </c>
      <c r="Q14" s="26" t="inlineStr">
        <is>
          <t>No</t>
        </is>
      </c>
      <c r="R14" s="44" t="inlineStr">
        <is>
          <t>Represented by Sample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Represented by Sample</t>
        </is>
      </c>
      <c r="Z14" s="30" t="n"/>
      <c r="AA14" s="30" t="inlineStr">
        <is>
          <t>Represented by Sample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BD-HNA-2025-0040</t>
        </is>
      </c>
      <c r="C15" s="25" t="inlineStr">
        <is>
          <t>Bonito Legs - 12" LG-109(S.H.-ZP) Black Metal Leg</t>
        </is>
      </c>
      <c r="D15" s="23" t="inlineStr">
        <is>
          <t>Bonito Legs</t>
        </is>
      </c>
      <c r="E15" s="43" t="n">
        <v>46125</v>
      </c>
      <c r="F15" s="26" t="inlineStr">
        <is>
          <t>Sunil CR</t>
        </is>
      </c>
      <c r="G15" s="44" t="inlineStr">
        <is>
          <t>Yes</t>
        </is>
      </c>
      <c r="H15" s="26" t="inlineStr">
        <is>
          <t>No</t>
        </is>
      </c>
      <c r="I15" s="44" t="inlineStr">
        <is>
          <t>Good finish</t>
        </is>
      </c>
      <c r="J15" s="26" t="inlineStr">
        <is>
          <t>Yes</t>
        </is>
      </c>
      <c r="K15" s="27" t="n"/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46196</v>
      </c>
      <c r="O15" s="26" t="inlineStr">
        <is>
          <t>Sunil CR</t>
        </is>
      </c>
      <c r="P15" s="44" t="inlineStr">
        <is>
          <t>Yes</t>
        </is>
      </c>
      <c r="Q15" s="26" t="inlineStr">
        <is>
          <t>No</t>
        </is>
      </c>
      <c r="R15" s="44" t="inlineStr">
        <is>
          <t>Good finish</t>
        </is>
      </c>
      <c r="S15" s="26" t="inlineStr">
        <is>
          <t>Yes</t>
        </is>
      </c>
      <c r="T15" s="27" t="n"/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Good finish</t>
        </is>
      </c>
      <c r="AB15" s="30" t="inlineStr">
        <is>
          <t>Yes</t>
        </is>
      </c>
      <c r="AC15" s="27" t="n"/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BD-HNA-2025-0036</t>
        </is>
      </c>
      <c r="C16" s="41" t="inlineStr">
        <is>
          <t>Bonito Legs - 12" LG-109(S.H.-ZP) Gold Metal Leg</t>
        </is>
      </c>
      <c r="D16" s="39" t="inlineStr">
        <is>
          <t>Bonito Legs</t>
        </is>
      </c>
      <c r="E16" s="43" t="n">
        <v>46125</v>
      </c>
      <c r="F16" s="26" t="inlineStr">
        <is>
          <t>Sunil CR</t>
        </is>
      </c>
      <c r="G16" s="44" t="inlineStr">
        <is>
          <t>Represented by Sample</t>
        </is>
      </c>
      <c r="H16" s="26" t="inlineStr">
        <is>
          <t>No</t>
        </is>
      </c>
      <c r="I16" s="44" t="inlineStr">
        <is>
          <t>Represented by Sample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46196</v>
      </c>
      <c r="O16" s="26" t="inlineStr">
        <is>
          <t>Sunil CR</t>
        </is>
      </c>
      <c r="P16" s="44" t="inlineStr">
        <is>
          <t>Represented by Sample</t>
        </is>
      </c>
      <c r="Q16" s="26" t="inlineStr">
        <is>
          <t>No</t>
        </is>
      </c>
      <c r="R16" s="44" t="inlineStr">
        <is>
          <t>Represented by Sample</t>
        </is>
      </c>
      <c r="S16" s="26" t="inlineStr">
        <is>
          <t>Yes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Represented by Sample</t>
        </is>
      </c>
      <c r="Z16" s="30" t="n"/>
      <c r="AA16" s="30" t="inlineStr">
        <is>
          <t>Represented by Sample</t>
        </is>
      </c>
      <c r="AB16" s="30" t="inlineStr">
        <is>
          <t>Yes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BD-HNA-2025-0044</t>
        </is>
      </c>
      <c r="C17" s="25" t="inlineStr">
        <is>
          <t>Bonito Legs - 12" LG-109(S.H.-ZP) Rose Gold Metal Leg</t>
        </is>
      </c>
      <c r="D17" s="23" t="inlineStr">
        <is>
          <t>Bonito Legs</t>
        </is>
      </c>
      <c r="E17" s="43" t="n">
        <v>46125</v>
      </c>
      <c r="F17" s="26" t="inlineStr">
        <is>
          <t>Sunil CR</t>
        </is>
      </c>
      <c r="G17" s="44" t="inlineStr">
        <is>
          <t>Represented by Sample</t>
        </is>
      </c>
      <c r="H17" s="26" t="inlineStr">
        <is>
          <t>No</t>
        </is>
      </c>
      <c r="I17" s="44" t="inlineStr">
        <is>
          <t>Represented by Sample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46196</v>
      </c>
      <c r="O17" s="26" t="inlineStr">
        <is>
          <t>Sunil CR</t>
        </is>
      </c>
      <c r="P17" s="44" t="inlineStr">
        <is>
          <t>Represented by Sample</t>
        </is>
      </c>
      <c r="Q17" s="26" t="inlineStr">
        <is>
          <t>No</t>
        </is>
      </c>
      <c r="R17" s="44" t="inlineStr">
        <is>
          <t>Represented by Sample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Represented by Sample</t>
        </is>
      </c>
      <c r="Z17" s="30" t="n"/>
      <c r="AA17" s="30" t="inlineStr">
        <is>
          <t>Represented by Sample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BD-HNA-2025-0017</t>
        </is>
      </c>
      <c r="C18" s="41" t="inlineStr">
        <is>
          <t>Bonito Legs - 14" 298(V.H) Black Metal Leg</t>
        </is>
      </c>
      <c r="D18" s="39" t="inlineStr">
        <is>
          <t>Bonito Legs</t>
        </is>
      </c>
      <c r="E18" s="43" t="n">
        <v>46125</v>
      </c>
      <c r="F18" s="26" t="inlineStr">
        <is>
          <t>Sunil CR</t>
        </is>
      </c>
      <c r="G18" s="44" t="inlineStr">
        <is>
          <t>Yes</t>
        </is>
      </c>
      <c r="H18" s="26" t="inlineStr">
        <is>
          <t>No</t>
        </is>
      </c>
      <c r="I18" s="44" t="inlineStr">
        <is>
          <t>Good finish</t>
        </is>
      </c>
      <c r="J18" s="26" t="inlineStr">
        <is>
          <t>Yes</t>
        </is>
      </c>
      <c r="K18" s="27" t="n"/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46196</v>
      </c>
      <c r="O18" s="26" t="inlineStr">
        <is>
          <t>Sunil CR</t>
        </is>
      </c>
      <c r="P18" s="44" t="inlineStr">
        <is>
          <t>Yes</t>
        </is>
      </c>
      <c r="Q18" s="26" t="inlineStr">
        <is>
          <t>No</t>
        </is>
      </c>
      <c r="R18" s="44" t="inlineStr">
        <is>
          <t>Good finish</t>
        </is>
      </c>
      <c r="S18" s="26" t="inlineStr">
        <is>
          <t>Yes</t>
        </is>
      </c>
      <c r="T18" s="27" t="n"/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Yes</t>
        </is>
      </c>
      <c r="Z18" s="30" t="n"/>
      <c r="AA18" s="30" t="inlineStr">
        <is>
          <t>Good finish</t>
        </is>
      </c>
      <c r="AB18" s="30" t="inlineStr">
        <is>
          <t>Yes</t>
        </is>
      </c>
      <c r="AC18" s="27" t="n"/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BD-HNA-2025-0024</t>
        </is>
      </c>
      <c r="C19" s="25" t="inlineStr">
        <is>
          <t>Bonito Legs - 14" 298(V.H) Gold Metal Leg</t>
        </is>
      </c>
      <c r="D19" s="23" t="inlineStr">
        <is>
          <t>Bonito Legs</t>
        </is>
      </c>
      <c r="E19" s="43" t="n">
        <v>46125</v>
      </c>
      <c r="F19" s="26" t="inlineStr">
        <is>
          <t>Sunil CR</t>
        </is>
      </c>
      <c r="G19" s="44" t="inlineStr">
        <is>
          <t>Represented by Sample</t>
        </is>
      </c>
      <c r="H19" s="26" t="inlineStr">
        <is>
          <t>No</t>
        </is>
      </c>
      <c r="I19" s="44" t="inlineStr">
        <is>
          <t>Represented by Sample</t>
        </is>
      </c>
      <c r="J19" s="26" t="inlineStr">
        <is>
          <t>Yes</t>
        </is>
      </c>
      <c r="K19" s="27" t="n"/>
      <c r="L19" s="28" t="inlineStr">
        <is>
          <t>No</t>
        </is>
      </c>
      <c r="M19" s="29">
        <f>IF(E19="","",IF(H19="Yes","❌ Disc",IF(G19="No","⚠ Missing",IF(J19="Yes","✓ OK","⚠ Check"))))</f>
        <v/>
      </c>
      <c r="N19" s="43" t="n">
        <v>46196</v>
      </c>
      <c r="O19" s="26" t="inlineStr">
        <is>
          <t>Sunil CR</t>
        </is>
      </c>
      <c r="P19" s="44" t="inlineStr">
        <is>
          <t>Represented by Sample</t>
        </is>
      </c>
      <c r="Q19" s="26" t="inlineStr">
        <is>
          <t>No</t>
        </is>
      </c>
      <c r="R19" s="44" t="inlineStr">
        <is>
          <t>Represented by Sample</t>
        </is>
      </c>
      <c r="S19" s="26" t="inlineStr">
        <is>
          <t>Yes</t>
        </is>
      </c>
      <c r="T19" s="27" t="n"/>
      <c r="U19" s="28" t="inlineStr">
        <is>
          <t>No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Represented by Sample</t>
        </is>
      </c>
      <c r="Z19" s="30" t="n"/>
      <c r="AA19" s="30" t="inlineStr">
        <is>
          <t>Represented by Sample</t>
        </is>
      </c>
      <c r="AB19" s="30" t="inlineStr">
        <is>
          <t>Yes</t>
        </is>
      </c>
      <c r="AC19" s="27" t="n"/>
      <c r="AD19" s="31" t="inlineStr">
        <is>
          <t>No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BD-HNA-2025-0031</t>
        </is>
      </c>
      <c r="C20" s="41" t="inlineStr">
        <is>
          <t>Bonito Legs - 14" 298(V.H) Rose Gold Metal Leg</t>
        </is>
      </c>
      <c r="D20" s="39" t="inlineStr">
        <is>
          <t>Bonito Legs</t>
        </is>
      </c>
      <c r="E20" s="43" t="n">
        <v>46125</v>
      </c>
      <c r="F20" s="26" t="inlineStr">
        <is>
          <t>Sunil CR</t>
        </is>
      </c>
      <c r="G20" s="44" t="inlineStr">
        <is>
          <t>Represented by Sample</t>
        </is>
      </c>
      <c r="H20" s="26" t="inlineStr">
        <is>
          <t>No</t>
        </is>
      </c>
      <c r="I20" s="44" t="inlineStr">
        <is>
          <t>Represented by Sample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46196</v>
      </c>
      <c r="O20" s="26" t="inlineStr">
        <is>
          <t>Sunil CR</t>
        </is>
      </c>
      <c r="P20" s="44" t="inlineStr">
        <is>
          <t>Represented by Sample</t>
        </is>
      </c>
      <c r="Q20" s="26" t="inlineStr">
        <is>
          <t>No</t>
        </is>
      </c>
      <c r="R20" s="44" t="inlineStr">
        <is>
          <t>Represented by Sample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Represented by Sample</t>
        </is>
      </c>
      <c r="Z20" s="30" t="n"/>
      <c r="AA20" s="30" t="inlineStr">
        <is>
          <t>Represented by Sample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BD-HNA-2025-0078</t>
        </is>
      </c>
      <c r="C21" s="25" t="inlineStr">
        <is>
          <t>Bonito Legs - 15" Candy Cross Wooden Leg</t>
        </is>
      </c>
      <c r="D21" s="23" t="inlineStr">
        <is>
          <t>Bonito Legs</t>
        </is>
      </c>
      <c r="E21" s="43" t="n">
        <v>46125</v>
      </c>
      <c r="F21" s="26" t="inlineStr">
        <is>
          <t>Sunil CR</t>
        </is>
      </c>
      <c r="G21" s="44" t="inlineStr">
        <is>
          <t>Yes</t>
        </is>
      </c>
      <c r="H21" s="26" t="inlineStr">
        <is>
          <t>No</t>
        </is>
      </c>
      <c r="I21" s="44" t="inlineStr">
        <is>
          <t>Good finish</t>
        </is>
      </c>
      <c r="J21" s="26" t="inlineStr">
        <is>
          <t>Yes</t>
        </is>
      </c>
      <c r="K21" s="27" t="n"/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46196</v>
      </c>
      <c r="O21" s="26" t="inlineStr">
        <is>
          <t>Sunil CR</t>
        </is>
      </c>
      <c r="P21" s="44" t="inlineStr">
        <is>
          <t>Yes</t>
        </is>
      </c>
      <c r="Q21" s="26" t="inlineStr">
        <is>
          <t>No</t>
        </is>
      </c>
      <c r="R21" s="44" t="inlineStr">
        <is>
          <t>Good finish</t>
        </is>
      </c>
      <c r="S21" s="26" t="inlineStr">
        <is>
          <t>Yes</t>
        </is>
      </c>
      <c r="T21" s="27" t="n"/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Yes</t>
        </is>
      </c>
      <c r="Z21" s="30" t="n"/>
      <c r="AA21" s="30" t="inlineStr">
        <is>
          <t>Good finish</t>
        </is>
      </c>
      <c r="AB21" s="30" t="inlineStr">
        <is>
          <t>Yes</t>
        </is>
      </c>
      <c r="AC21" s="27" t="n"/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BD-HNA-2025-0018</t>
        </is>
      </c>
      <c r="C22" s="41" t="inlineStr">
        <is>
          <t>Bonito Legs - 16" 298(V.H) Black Metal Leg</t>
        </is>
      </c>
      <c r="D22" s="39" t="inlineStr">
        <is>
          <t>Bonito Legs</t>
        </is>
      </c>
      <c r="E22" s="43" t="n">
        <v>46125</v>
      </c>
      <c r="F22" s="26" t="inlineStr">
        <is>
          <t>Sunil CR</t>
        </is>
      </c>
      <c r="G22" s="44" t="inlineStr">
        <is>
          <t>Represented by Sample</t>
        </is>
      </c>
      <c r="H22" s="26" t="inlineStr">
        <is>
          <t>No</t>
        </is>
      </c>
      <c r="I22" s="44" t="inlineStr">
        <is>
          <t>Represented by Sample</t>
        </is>
      </c>
      <c r="J22" s="26" t="inlineStr">
        <is>
          <t>Yes</t>
        </is>
      </c>
      <c r="K22" s="27" t="n"/>
      <c r="L22" s="28" t="inlineStr">
        <is>
          <t>No</t>
        </is>
      </c>
      <c r="M22" s="29">
        <f>IF(E22="","",IF(H22="Yes","❌ Disc",IF(G22="No","⚠ Missing",IF(J22="Yes","✓ OK","⚠ Check"))))</f>
        <v/>
      </c>
      <c r="N22" s="43" t="n">
        <v>46196</v>
      </c>
      <c r="O22" s="26" t="inlineStr">
        <is>
          <t>Sunil CR</t>
        </is>
      </c>
      <c r="P22" s="44" t="inlineStr">
        <is>
          <t>Represented by Sample</t>
        </is>
      </c>
      <c r="Q22" s="26" t="inlineStr">
        <is>
          <t>No</t>
        </is>
      </c>
      <c r="R22" s="44" t="inlineStr">
        <is>
          <t>Represented by Sample</t>
        </is>
      </c>
      <c r="S22" s="26" t="inlineStr">
        <is>
          <t>Yes</t>
        </is>
      </c>
      <c r="T22" s="27" t="n"/>
      <c r="U22" s="28" t="inlineStr">
        <is>
          <t>No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Represented by Sample</t>
        </is>
      </c>
      <c r="Z22" s="30" t="n"/>
      <c r="AA22" s="30" t="inlineStr">
        <is>
          <t>Represented by Sample</t>
        </is>
      </c>
      <c r="AB22" s="30" t="inlineStr">
        <is>
          <t>Yes</t>
        </is>
      </c>
      <c r="AC22" s="27" t="n"/>
      <c r="AD22" s="31" t="inlineStr">
        <is>
          <t>No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BD-HNA-2025-0025</t>
        </is>
      </c>
      <c r="C23" s="25" t="inlineStr">
        <is>
          <t>Bonito Legs - 16" 298(V.H) Gold Metal Leg</t>
        </is>
      </c>
      <c r="D23" s="23" t="inlineStr">
        <is>
          <t>Bonito Legs</t>
        </is>
      </c>
      <c r="E23" s="43" t="n">
        <v>46125</v>
      </c>
      <c r="F23" s="26" t="inlineStr">
        <is>
          <t>Sunil CR</t>
        </is>
      </c>
      <c r="G23" s="44" t="inlineStr">
        <is>
          <t>Yes</t>
        </is>
      </c>
      <c r="H23" s="26" t="inlineStr">
        <is>
          <t>No</t>
        </is>
      </c>
      <c r="I23" s="44" t="inlineStr">
        <is>
          <t>Good finish</t>
        </is>
      </c>
      <c r="J23" s="26" t="inlineStr">
        <is>
          <t>Yes</t>
        </is>
      </c>
      <c r="K23" s="27" t="n"/>
      <c r="L23" s="28" t="inlineStr">
        <is>
          <t>No</t>
        </is>
      </c>
      <c r="M23" s="29">
        <f>IF(E23="","",IF(H23="Yes","❌ Disc",IF(G23="No","⚠ Missing",IF(J23="Yes","✓ OK","⚠ Check"))))</f>
        <v/>
      </c>
      <c r="N23" s="43" t="n">
        <v>46196</v>
      </c>
      <c r="O23" s="26" t="inlineStr">
        <is>
          <t>Sunil CR</t>
        </is>
      </c>
      <c r="P23" s="44" t="inlineStr">
        <is>
          <t>Yes</t>
        </is>
      </c>
      <c r="Q23" s="26" t="inlineStr">
        <is>
          <t>No</t>
        </is>
      </c>
      <c r="R23" s="44" t="inlineStr">
        <is>
          <t>Good finish</t>
        </is>
      </c>
      <c r="S23" s="26" t="inlineStr">
        <is>
          <t>Yes</t>
        </is>
      </c>
      <c r="T23" s="27" t="n"/>
      <c r="U23" s="28" t="inlineStr">
        <is>
          <t>No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Yes</t>
        </is>
      </c>
      <c r="Z23" s="30" t="n"/>
      <c r="AA23" s="30" t="inlineStr">
        <is>
          <t>Good finish</t>
        </is>
      </c>
      <c r="AB23" s="30" t="inlineStr">
        <is>
          <t>Yes</t>
        </is>
      </c>
      <c r="AC23" s="27" t="n"/>
      <c r="AD23" s="31" t="inlineStr">
        <is>
          <t>No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BD-HNA-2025-0032</t>
        </is>
      </c>
      <c r="C24" s="41" t="inlineStr">
        <is>
          <t>Bonito Legs - 16" 298(V.H) Rose Gold Metal Leg</t>
        </is>
      </c>
      <c r="D24" s="39" t="inlineStr">
        <is>
          <t>Bonito Legs</t>
        </is>
      </c>
      <c r="E24" s="43" t="n">
        <v>46125</v>
      </c>
      <c r="F24" s="26" t="inlineStr">
        <is>
          <t>Sunil CR</t>
        </is>
      </c>
      <c r="G24" s="44" t="inlineStr">
        <is>
          <t>Represented by Sample</t>
        </is>
      </c>
      <c r="H24" s="26" t="inlineStr">
        <is>
          <t>No</t>
        </is>
      </c>
      <c r="I24" s="44" t="inlineStr">
        <is>
          <t>Represented by Sample</t>
        </is>
      </c>
      <c r="J24" s="26" t="inlineStr">
        <is>
          <t>Yes</t>
        </is>
      </c>
      <c r="K24" s="27" t="n"/>
      <c r="L24" s="28" t="inlineStr">
        <is>
          <t>No</t>
        </is>
      </c>
      <c r="M24" s="29">
        <f>IF(E24="","",IF(H24="Yes","❌ Disc",IF(G24="No","⚠ Missing",IF(J24="Yes","✓ OK","⚠ Check"))))</f>
        <v/>
      </c>
      <c r="N24" s="43" t="n">
        <v>46196</v>
      </c>
      <c r="O24" s="26" t="inlineStr">
        <is>
          <t>Sunil CR</t>
        </is>
      </c>
      <c r="P24" s="44" t="inlineStr">
        <is>
          <t>Represented by Sample</t>
        </is>
      </c>
      <c r="Q24" s="26" t="inlineStr">
        <is>
          <t>No</t>
        </is>
      </c>
      <c r="R24" s="44" t="inlineStr">
        <is>
          <t>Represented by Sample</t>
        </is>
      </c>
      <c r="S24" s="26" t="inlineStr">
        <is>
          <t>Yes</t>
        </is>
      </c>
      <c r="T24" s="27" t="n"/>
      <c r="U24" s="28" t="inlineStr">
        <is>
          <t>No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Represented by Sample</t>
        </is>
      </c>
      <c r="Z24" s="30" t="n"/>
      <c r="AA24" s="30" t="inlineStr">
        <is>
          <t>Represented by Sample</t>
        </is>
      </c>
      <c r="AB24" s="30" t="inlineStr">
        <is>
          <t>Yes</t>
        </is>
      </c>
      <c r="AC24" s="27" t="n"/>
      <c r="AD24" s="31" t="inlineStr">
        <is>
          <t>No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BD-HNA-2025-0085</t>
        </is>
      </c>
      <c r="C25" s="25" t="inlineStr">
        <is>
          <t>Bonito Legs - 3" 7028(G.I) Dark Wooden Leg</t>
        </is>
      </c>
      <c r="D25" s="23" t="inlineStr">
        <is>
          <t>Bonito Legs</t>
        </is>
      </c>
      <c r="E25" s="43" t="n">
        <v>46125</v>
      </c>
      <c r="F25" s="26" t="inlineStr">
        <is>
          <t>Sunil CR</t>
        </is>
      </c>
      <c r="G25" s="44" t="inlineStr">
        <is>
          <t>Yes</t>
        </is>
      </c>
      <c r="H25" s="26" t="inlineStr">
        <is>
          <t>No</t>
        </is>
      </c>
      <c r="I25" s="44" t="inlineStr">
        <is>
          <t>Good finish</t>
        </is>
      </c>
      <c r="J25" s="26" t="inlineStr">
        <is>
          <t>Yes</t>
        </is>
      </c>
      <c r="K25" s="27" t="n"/>
      <c r="L25" s="28" t="inlineStr">
        <is>
          <t>No</t>
        </is>
      </c>
      <c r="M25" s="29">
        <f>IF(E25="","",IF(H25="Yes","❌ Disc",IF(G25="No","⚠ Missing",IF(J25="Yes","✓ OK","⚠ Check"))))</f>
        <v/>
      </c>
      <c r="N25" s="43" t="n">
        <v>46196</v>
      </c>
      <c r="O25" s="26" t="inlineStr">
        <is>
          <t>Sunil CR</t>
        </is>
      </c>
      <c r="P25" s="44" t="inlineStr">
        <is>
          <t>Yes</t>
        </is>
      </c>
      <c r="Q25" s="26" t="inlineStr">
        <is>
          <t>No</t>
        </is>
      </c>
      <c r="R25" s="44" t="inlineStr">
        <is>
          <t>Good finish</t>
        </is>
      </c>
      <c r="S25" s="26" t="inlineStr">
        <is>
          <t>Yes</t>
        </is>
      </c>
      <c r="T25" s="27" t="n"/>
      <c r="U25" s="28" t="inlineStr">
        <is>
          <t>No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Yes</t>
        </is>
      </c>
      <c r="Z25" s="30" t="n"/>
      <c r="AA25" s="30" t="inlineStr">
        <is>
          <t>Good finish</t>
        </is>
      </c>
      <c r="AB25" s="30" t="inlineStr">
        <is>
          <t>Yes</t>
        </is>
      </c>
      <c r="AC25" s="27" t="n"/>
      <c r="AD25" s="31" t="inlineStr">
        <is>
          <t>No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BD-HNA-2025-0074</t>
        </is>
      </c>
      <c r="C26" s="41" t="inlineStr">
        <is>
          <t>Bonito Legs - 3" Candy Cross Wooden Leg</t>
        </is>
      </c>
      <c r="D26" s="39" t="inlineStr">
        <is>
          <t>Bonito Legs</t>
        </is>
      </c>
      <c r="E26" s="43" t="n">
        <v>46125</v>
      </c>
      <c r="F26" s="26" t="inlineStr">
        <is>
          <t>Sunil CR</t>
        </is>
      </c>
      <c r="G26" s="44" t="inlineStr">
        <is>
          <t>Represented by Sample</t>
        </is>
      </c>
      <c r="H26" s="26" t="inlineStr">
        <is>
          <t>No</t>
        </is>
      </c>
      <c r="I26" s="44" t="inlineStr">
        <is>
          <t>Represented by Sample</t>
        </is>
      </c>
      <c r="J26" s="26" t="inlineStr">
        <is>
          <t>Yes</t>
        </is>
      </c>
      <c r="K26" s="27" t="n"/>
      <c r="L26" s="28" t="inlineStr">
        <is>
          <t>No</t>
        </is>
      </c>
      <c r="M26" s="29">
        <f>IF(E26="","",IF(H26="Yes","❌ Disc",IF(G26="No","⚠ Missing",IF(J26="Yes","✓ OK","⚠ Check"))))</f>
        <v/>
      </c>
      <c r="N26" s="43" t="n">
        <v>46196</v>
      </c>
      <c r="O26" s="26" t="inlineStr">
        <is>
          <t>Sunil CR</t>
        </is>
      </c>
      <c r="P26" s="44" t="inlineStr">
        <is>
          <t>Represented by Sample</t>
        </is>
      </c>
      <c r="Q26" s="26" t="inlineStr">
        <is>
          <t>No</t>
        </is>
      </c>
      <c r="R26" s="44" t="inlineStr">
        <is>
          <t>Represented by Sample</t>
        </is>
      </c>
      <c r="S26" s="26" t="inlineStr">
        <is>
          <t>Yes</t>
        </is>
      </c>
      <c r="T26" s="27" t="n"/>
      <c r="U26" s="28" t="inlineStr">
        <is>
          <t>No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Represented by Sample</t>
        </is>
      </c>
      <c r="Z26" s="30" t="n"/>
      <c r="AA26" s="30" t="inlineStr">
        <is>
          <t>Represented by Sample</t>
        </is>
      </c>
      <c r="AB26" s="30" t="inlineStr">
        <is>
          <t>Yes</t>
        </is>
      </c>
      <c r="AC26" s="27" t="n"/>
      <c r="AD26" s="31" t="inlineStr">
        <is>
          <t>No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BD-HNA-2025-0071</t>
        </is>
      </c>
      <c r="C27" s="25" t="inlineStr">
        <is>
          <t>Bonito Legs - 3" Candy Straight Wooden Leg</t>
        </is>
      </c>
      <c r="D27" s="23" t="inlineStr">
        <is>
          <t>Bonito Legs</t>
        </is>
      </c>
      <c r="E27" s="43" t="n">
        <v>46125</v>
      </c>
      <c r="F27" s="26" t="inlineStr">
        <is>
          <t>Sunil CR</t>
        </is>
      </c>
      <c r="G27" s="44" t="inlineStr">
        <is>
          <t>Yes</t>
        </is>
      </c>
      <c r="H27" s="26" t="inlineStr">
        <is>
          <t>No</t>
        </is>
      </c>
      <c r="I27" s="44" t="inlineStr">
        <is>
          <t>Good finish</t>
        </is>
      </c>
      <c r="J27" s="26" t="inlineStr">
        <is>
          <t>Yes</t>
        </is>
      </c>
      <c r="K27" s="27" t="n"/>
      <c r="L27" s="28" t="inlineStr">
        <is>
          <t>No</t>
        </is>
      </c>
      <c r="M27" s="29">
        <f>IF(E27="","",IF(H27="Yes","❌ Disc",IF(G27="No","⚠ Missing",IF(J27="Yes","✓ OK","⚠ Check"))))</f>
        <v/>
      </c>
      <c r="N27" s="43" t="n">
        <v>46196</v>
      </c>
      <c r="O27" s="26" t="inlineStr">
        <is>
          <t>Sunil CR</t>
        </is>
      </c>
      <c r="P27" s="44" t="inlineStr">
        <is>
          <t>Yes</t>
        </is>
      </c>
      <c r="Q27" s="26" t="inlineStr">
        <is>
          <t>No</t>
        </is>
      </c>
      <c r="R27" s="44" t="inlineStr">
        <is>
          <t>Good finish</t>
        </is>
      </c>
      <c r="S27" s="26" t="inlineStr">
        <is>
          <t>Yes</t>
        </is>
      </c>
      <c r="T27" s="27" t="n"/>
      <c r="U27" s="28" t="inlineStr">
        <is>
          <t>No</t>
        </is>
      </c>
      <c r="V27" s="29">
        <f>IF(N27="","",IF(Q27="Yes","❌ Disc",IF(P27="No","⚠ Missing",IF(S27="Yes","✓ OK","⚠ Check"))))</f>
        <v/>
      </c>
      <c r="W27" s="65" t="n">
        <v>46248</v>
      </c>
      <c r="X27" s="30" t="inlineStr">
        <is>
          <t>Sunil CR</t>
        </is>
      </c>
      <c r="Y27" s="30" t="inlineStr">
        <is>
          <t>Yes</t>
        </is>
      </c>
      <c r="Z27" s="30" t="n"/>
      <c r="AA27" s="30" t="inlineStr">
        <is>
          <t>Good finish</t>
        </is>
      </c>
      <c r="AB27" s="30" t="inlineStr">
        <is>
          <t>Yes</t>
        </is>
      </c>
      <c r="AC27" s="27" t="n"/>
      <c r="AD27" s="31" t="inlineStr">
        <is>
          <t>No</t>
        </is>
      </c>
      <c r="AE27" s="32">
        <f>IF(W27="","",IF(Z27="Yes","❌ Disc",IF(Y27="No","⚠ Missing",IF(AB27="Yes","✓ OK","⚠ Check"))))</f>
        <v/>
      </c>
      <c r="AF27" s="33" t="n"/>
      <c r="AG27" s="33" t="n"/>
      <c r="AH27" s="33" t="n"/>
      <c r="AI27" s="33" t="n"/>
      <c r="AJ27" s="33" t="n"/>
      <c r="AK27" s="33" t="n"/>
      <c r="AL27" s="27" t="n"/>
      <c r="AM27" s="34" t="n"/>
      <c r="AN27" s="35">
        <f>IF(AF27="","",IF(AI27="Yes","❌ Disc",IF(AH27="No","⚠ Missing",IF(AK27="Yes","✓ OK","⚠ Check"))))</f>
        <v/>
      </c>
      <c r="AO27" s="36" t="n"/>
      <c r="AP27" s="36" t="n"/>
      <c r="AQ27" s="36" t="n"/>
      <c r="AR27" s="36" t="n"/>
      <c r="AS27" s="36" t="n"/>
      <c r="AT27" s="36" t="n"/>
      <c r="AU27" s="27" t="n"/>
      <c r="AV27" s="37" t="n"/>
      <c r="AW27" s="38">
        <f>IF(AO27="","",IF(AR27="Yes","❌ Disc",IF(AQ27="No","⚠ Missing",IF(AT27="Yes","✓ OK","⚠ Check"))))</f>
        <v/>
      </c>
    </row>
    <row r="28" ht="18" customHeight="1" s="46">
      <c r="A28" s="39" t="n">
        <v>24</v>
      </c>
      <c r="B28" s="40" t="inlineStr">
        <is>
          <t>BD-HNA-2025-0082</t>
        </is>
      </c>
      <c r="C28" s="41" t="inlineStr">
        <is>
          <t>Bonito Legs - 3" Four Side Degree Wooden Leg</t>
        </is>
      </c>
      <c r="D28" s="39" t="inlineStr">
        <is>
          <t>Bonito Legs</t>
        </is>
      </c>
      <c r="E28" s="43" t="n">
        <v>46125</v>
      </c>
      <c r="F28" s="26" t="inlineStr">
        <is>
          <t>Sunil CR</t>
        </is>
      </c>
      <c r="G28" s="44" t="inlineStr">
        <is>
          <t>Yes</t>
        </is>
      </c>
      <c r="H28" s="26" t="inlineStr">
        <is>
          <t>No</t>
        </is>
      </c>
      <c r="I28" s="44" t="inlineStr">
        <is>
          <t>Good finish</t>
        </is>
      </c>
      <c r="J28" s="26" t="inlineStr">
        <is>
          <t>Yes</t>
        </is>
      </c>
      <c r="K28" s="27" t="n"/>
      <c r="L28" s="28" t="inlineStr">
        <is>
          <t>No</t>
        </is>
      </c>
      <c r="M28" s="29">
        <f>IF(E28="","",IF(H28="Yes","❌ Disc",IF(G28="No","⚠ Missing",IF(J28="Yes","✓ OK","⚠ Check"))))</f>
        <v/>
      </c>
      <c r="N28" s="43" t="n">
        <v>46196</v>
      </c>
      <c r="O28" s="26" t="inlineStr">
        <is>
          <t>Sunil CR</t>
        </is>
      </c>
      <c r="P28" s="44" t="inlineStr">
        <is>
          <t>Yes</t>
        </is>
      </c>
      <c r="Q28" s="26" t="inlineStr">
        <is>
          <t>No</t>
        </is>
      </c>
      <c r="R28" s="44" t="inlineStr">
        <is>
          <t>Good finish</t>
        </is>
      </c>
      <c r="S28" s="26" t="inlineStr">
        <is>
          <t>Yes</t>
        </is>
      </c>
      <c r="T28" s="27" t="n"/>
      <c r="U28" s="28" t="inlineStr">
        <is>
          <t>No</t>
        </is>
      </c>
      <c r="V28" s="29">
        <f>IF(N28="","",IF(Q28="Yes","❌ Disc",IF(P28="No","⚠ Missing",IF(S28="Yes","✓ OK","⚠ Check"))))</f>
        <v/>
      </c>
      <c r="W28" s="65" t="n">
        <v>46248</v>
      </c>
      <c r="X28" s="30" t="inlineStr">
        <is>
          <t>Sunil CR</t>
        </is>
      </c>
      <c r="Y28" s="30" t="inlineStr">
        <is>
          <t>Yes</t>
        </is>
      </c>
      <c r="Z28" s="30" t="n"/>
      <c r="AA28" s="30" t="inlineStr">
        <is>
          <t>Good finish</t>
        </is>
      </c>
      <c r="AB28" s="30" t="inlineStr">
        <is>
          <t>Yes</t>
        </is>
      </c>
      <c r="AC28" s="27" t="n"/>
      <c r="AD28" s="31" t="inlineStr">
        <is>
          <t>No</t>
        </is>
      </c>
      <c r="AE28" s="32">
        <f>IF(W28="","",IF(Z28="Yes","❌ Disc",IF(Y28="No","⚠ Missing",IF(AB28="Yes","✓ OK","⚠ Check"))))</f>
        <v/>
      </c>
      <c r="AF28" s="33" t="n"/>
      <c r="AG28" s="33" t="n"/>
      <c r="AH28" s="33" t="n"/>
      <c r="AI28" s="33" t="n"/>
      <c r="AJ28" s="33" t="n"/>
      <c r="AK28" s="33" t="n"/>
      <c r="AL28" s="27" t="n"/>
      <c r="AM28" s="34" t="n"/>
      <c r="AN28" s="35">
        <f>IF(AF28="","",IF(AI28="Yes","❌ Disc",IF(AH28="No","⚠ Missing",IF(AK28="Yes","✓ OK","⚠ Check"))))</f>
        <v/>
      </c>
      <c r="AO28" s="36" t="n"/>
      <c r="AP28" s="36" t="n"/>
      <c r="AQ28" s="36" t="n"/>
      <c r="AR28" s="36" t="n"/>
      <c r="AS28" s="36" t="n"/>
      <c r="AT28" s="36" t="n"/>
      <c r="AU28" s="27" t="n"/>
      <c r="AV28" s="37" t="n"/>
      <c r="AW28" s="38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BD-HNA-2025-0079</t>
        </is>
      </c>
      <c r="C29" s="25" t="inlineStr">
        <is>
          <t>Bonito Legs - 3" One Side Degree Wooden Leg</t>
        </is>
      </c>
      <c r="D29" s="23" t="inlineStr">
        <is>
          <t>Bonito Legs</t>
        </is>
      </c>
      <c r="E29" s="43" t="n">
        <v>46125</v>
      </c>
      <c r="F29" s="26" t="inlineStr">
        <is>
          <t>Sunil CR</t>
        </is>
      </c>
      <c r="G29" s="44" t="inlineStr">
        <is>
          <t>Yes</t>
        </is>
      </c>
      <c r="H29" s="26" t="inlineStr">
        <is>
          <t>No</t>
        </is>
      </c>
      <c r="I29" s="44" t="inlineStr">
        <is>
          <t>Good finish</t>
        </is>
      </c>
      <c r="J29" s="26" t="inlineStr">
        <is>
          <t>Yes</t>
        </is>
      </c>
      <c r="K29" s="27" t="n"/>
      <c r="L29" s="28" t="inlineStr">
        <is>
          <t>No</t>
        </is>
      </c>
      <c r="M29" s="29">
        <f>IF(E29="","",IF(H29="Yes","❌ Disc",IF(G29="No","⚠ Missing",IF(J29="Yes","✓ OK","⚠ Check"))))</f>
        <v/>
      </c>
      <c r="N29" s="43" t="n">
        <v>46196</v>
      </c>
      <c r="O29" s="26" t="inlineStr">
        <is>
          <t>Sunil CR</t>
        </is>
      </c>
      <c r="P29" s="44" t="inlineStr">
        <is>
          <t>Yes</t>
        </is>
      </c>
      <c r="Q29" s="26" t="inlineStr">
        <is>
          <t>No</t>
        </is>
      </c>
      <c r="R29" s="44" t="inlineStr">
        <is>
          <t>Good finish</t>
        </is>
      </c>
      <c r="S29" s="26" t="inlineStr">
        <is>
          <t>Yes</t>
        </is>
      </c>
      <c r="T29" s="27" t="n"/>
      <c r="U29" s="28" t="inlineStr">
        <is>
          <t>No</t>
        </is>
      </c>
      <c r="V29" s="29">
        <f>IF(N29="","",IF(Q29="Yes","❌ Disc",IF(P29="No","⚠ Missing",IF(S29="Yes","✓ OK","⚠ Check"))))</f>
        <v/>
      </c>
      <c r="W29" s="65" t="n">
        <v>46248</v>
      </c>
      <c r="X29" s="30" t="inlineStr">
        <is>
          <t>Sunil CR</t>
        </is>
      </c>
      <c r="Y29" s="30" t="inlineStr">
        <is>
          <t>Yes</t>
        </is>
      </c>
      <c r="Z29" s="30" t="n"/>
      <c r="AA29" s="30" t="inlineStr">
        <is>
          <t>Good finish</t>
        </is>
      </c>
      <c r="AB29" s="30" t="inlineStr">
        <is>
          <t>Yes</t>
        </is>
      </c>
      <c r="AC29" s="27" t="n"/>
      <c r="AD29" s="31" t="inlineStr">
        <is>
          <t>No</t>
        </is>
      </c>
      <c r="AE29" s="32">
        <f>IF(W29="","",IF(Z29="Yes","❌ Disc",IF(Y29="No","⚠ Missing",IF(AB29="Yes","✓ OK","⚠ Check"))))</f>
        <v/>
      </c>
      <c r="AF29" s="33" t="n"/>
      <c r="AG29" s="33" t="n"/>
      <c r="AH29" s="33" t="n"/>
      <c r="AI29" s="33" t="n"/>
      <c r="AJ29" s="33" t="n"/>
      <c r="AK29" s="33" t="n"/>
      <c r="AL29" s="27" t="n"/>
      <c r="AM29" s="34" t="n"/>
      <c r="AN29" s="35">
        <f>IF(AF29="","",IF(AI29="Yes","❌ Disc",IF(AH29="No","⚠ Missing",IF(AK29="Yes","✓ OK","⚠ Check"))))</f>
        <v/>
      </c>
      <c r="AO29" s="36" t="n"/>
      <c r="AP29" s="36" t="n"/>
      <c r="AQ29" s="36" t="n"/>
      <c r="AR29" s="36" t="n"/>
      <c r="AS29" s="36" t="n"/>
      <c r="AT29" s="36" t="n"/>
      <c r="AU29" s="27" t="n"/>
      <c r="AV29" s="37" t="n"/>
      <c r="AW29" s="38">
        <f>IF(AO29="","",IF(AR29="Yes","❌ Disc",IF(AQ29="No","⚠ Missing",IF(AT29="Yes","✓ OK","⚠ Check"))))</f>
        <v/>
      </c>
    </row>
    <row r="30" ht="18" customHeight="1" s="46">
      <c r="A30" s="39" t="n">
        <v>26</v>
      </c>
      <c r="B30" s="40" t="inlineStr">
        <is>
          <t>BD-HNA-2025-0012</t>
        </is>
      </c>
      <c r="C30" s="41" t="inlineStr">
        <is>
          <t>Bonito Legs - 4" 298(V.H) Black Metal Leg</t>
        </is>
      </c>
      <c r="D30" s="39" t="inlineStr">
        <is>
          <t>Bonito Legs</t>
        </is>
      </c>
      <c r="E30" s="43" t="n">
        <v>46125</v>
      </c>
      <c r="F30" s="26" t="inlineStr">
        <is>
          <t>Sunil CR</t>
        </is>
      </c>
      <c r="G30" s="44" t="inlineStr">
        <is>
          <t>Represented by Sample</t>
        </is>
      </c>
      <c r="H30" s="26" t="inlineStr">
        <is>
          <t>No</t>
        </is>
      </c>
      <c r="I30" s="44" t="inlineStr">
        <is>
          <t>Represented by Sample</t>
        </is>
      </c>
      <c r="J30" s="26" t="inlineStr">
        <is>
          <t>Yes</t>
        </is>
      </c>
      <c r="K30" s="27" t="n"/>
      <c r="L30" s="28" t="inlineStr">
        <is>
          <t>No</t>
        </is>
      </c>
      <c r="M30" s="29">
        <f>IF(E30="","",IF(H30="Yes","❌ Disc",IF(G30="No","⚠ Missing",IF(J30="Yes","✓ OK","⚠ Check"))))</f>
        <v/>
      </c>
      <c r="N30" s="43" t="n">
        <v>46196</v>
      </c>
      <c r="O30" s="26" t="inlineStr">
        <is>
          <t>Sunil CR</t>
        </is>
      </c>
      <c r="P30" s="44" t="inlineStr">
        <is>
          <t>Represented by Sample</t>
        </is>
      </c>
      <c r="Q30" s="26" t="inlineStr">
        <is>
          <t>No</t>
        </is>
      </c>
      <c r="R30" s="44" t="inlineStr">
        <is>
          <t>Represented by Sample</t>
        </is>
      </c>
      <c r="S30" s="26" t="inlineStr">
        <is>
          <t>Yes</t>
        </is>
      </c>
      <c r="T30" s="27" t="n"/>
      <c r="U30" s="28" t="inlineStr">
        <is>
          <t>No</t>
        </is>
      </c>
      <c r="V30" s="29">
        <f>IF(N30="","",IF(Q30="Yes","❌ Disc",IF(P30="No","⚠ Missing",IF(S30="Yes","✓ OK","⚠ Check"))))</f>
        <v/>
      </c>
      <c r="W30" s="65" t="n">
        <v>46248</v>
      </c>
      <c r="X30" s="30" t="inlineStr">
        <is>
          <t>Sunil CR</t>
        </is>
      </c>
      <c r="Y30" s="30" t="inlineStr">
        <is>
          <t>Represented by Sample</t>
        </is>
      </c>
      <c r="Z30" s="30" t="n"/>
      <c r="AA30" s="30" t="inlineStr">
        <is>
          <t>Represented by Sample</t>
        </is>
      </c>
      <c r="AB30" s="30" t="inlineStr">
        <is>
          <t>Yes</t>
        </is>
      </c>
      <c r="AC30" s="27" t="n"/>
      <c r="AD30" s="31" t="inlineStr">
        <is>
          <t>No</t>
        </is>
      </c>
      <c r="AE30" s="32">
        <f>IF(W30="","",IF(Z30="Yes","❌ Disc",IF(Y30="No","⚠ Missing",IF(AB30="Yes","✓ OK","⚠ Check"))))</f>
        <v/>
      </c>
      <c r="AF30" s="33" t="n"/>
      <c r="AG30" s="33" t="n"/>
      <c r="AH30" s="33" t="n"/>
      <c r="AI30" s="33" t="n"/>
      <c r="AJ30" s="33" t="n"/>
      <c r="AK30" s="33" t="n"/>
      <c r="AL30" s="27" t="n"/>
      <c r="AM30" s="34" t="n"/>
      <c r="AN30" s="35">
        <f>IF(AF30="","",IF(AI30="Yes","❌ Disc",IF(AH30="No","⚠ Missing",IF(AK30="Yes","✓ OK","⚠ Check"))))</f>
        <v/>
      </c>
      <c r="AO30" s="36" t="n"/>
      <c r="AP30" s="36" t="n"/>
      <c r="AQ30" s="36" t="n"/>
      <c r="AR30" s="36" t="n"/>
      <c r="AS30" s="36" t="n"/>
      <c r="AT30" s="36" t="n"/>
      <c r="AU30" s="27" t="n"/>
      <c r="AV30" s="37" t="n"/>
      <c r="AW30" s="38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BD-HNA-2025-0019</t>
        </is>
      </c>
      <c r="C31" s="25" t="inlineStr">
        <is>
          <t>Bonito Legs - 4" 298(V.H) Gold Metal Leg</t>
        </is>
      </c>
      <c r="D31" s="23" t="inlineStr">
        <is>
          <t>Bonito Legs</t>
        </is>
      </c>
      <c r="E31" s="43" t="n">
        <v>46125</v>
      </c>
      <c r="F31" s="26" t="inlineStr">
        <is>
          <t>Sunil CR</t>
        </is>
      </c>
      <c r="G31" s="44" t="inlineStr">
        <is>
          <t>Represented by Sample</t>
        </is>
      </c>
      <c r="H31" s="26" t="inlineStr">
        <is>
          <t>No</t>
        </is>
      </c>
      <c r="I31" s="44" t="inlineStr">
        <is>
          <t>Represented by Sample</t>
        </is>
      </c>
      <c r="J31" s="26" t="inlineStr">
        <is>
          <t>Yes</t>
        </is>
      </c>
      <c r="K31" s="27" t="n"/>
      <c r="L31" s="28" t="inlineStr">
        <is>
          <t>No</t>
        </is>
      </c>
      <c r="M31" s="29">
        <f>IF(E31="","",IF(H31="Yes","❌ Disc",IF(G31="No","⚠ Missing",IF(J31="Yes","✓ OK","⚠ Check"))))</f>
        <v/>
      </c>
      <c r="N31" s="43" t="n">
        <v>46196</v>
      </c>
      <c r="O31" s="26" t="inlineStr">
        <is>
          <t>Sunil CR</t>
        </is>
      </c>
      <c r="P31" s="44" t="inlineStr">
        <is>
          <t>Represented by Sample</t>
        </is>
      </c>
      <c r="Q31" s="26" t="inlineStr">
        <is>
          <t>No</t>
        </is>
      </c>
      <c r="R31" s="44" t="inlineStr">
        <is>
          <t>Represented by Sample</t>
        </is>
      </c>
      <c r="S31" s="26" t="inlineStr">
        <is>
          <t>Yes</t>
        </is>
      </c>
      <c r="T31" s="27" t="n"/>
      <c r="U31" s="28" t="inlineStr">
        <is>
          <t>No</t>
        </is>
      </c>
      <c r="V31" s="29">
        <f>IF(N31="","",IF(Q31="Yes","❌ Disc",IF(P31="No","⚠ Missing",IF(S31="Yes","✓ OK","⚠ Check"))))</f>
        <v/>
      </c>
      <c r="W31" s="65" t="n">
        <v>46248</v>
      </c>
      <c r="X31" s="30" t="inlineStr">
        <is>
          <t>Sunil CR</t>
        </is>
      </c>
      <c r="Y31" s="30" t="inlineStr">
        <is>
          <t>Represented by Sample</t>
        </is>
      </c>
      <c r="Z31" s="30" t="n"/>
      <c r="AA31" s="30" t="inlineStr">
        <is>
          <t>Represented by Sample</t>
        </is>
      </c>
      <c r="AB31" s="30" t="inlineStr">
        <is>
          <t>Yes</t>
        </is>
      </c>
      <c r="AC31" s="27" t="n"/>
      <c r="AD31" s="31" t="inlineStr">
        <is>
          <t>No</t>
        </is>
      </c>
      <c r="AE31" s="32">
        <f>IF(W31="","",IF(Z31="Yes","❌ Disc",IF(Y31="No","⚠ Missing",IF(AB31="Yes","✓ OK","⚠ Check"))))</f>
        <v/>
      </c>
      <c r="AF31" s="33" t="n"/>
      <c r="AG31" s="33" t="n"/>
      <c r="AH31" s="33" t="n"/>
      <c r="AI31" s="33" t="n"/>
      <c r="AJ31" s="33" t="n"/>
      <c r="AK31" s="33" t="n"/>
      <c r="AL31" s="27" t="n"/>
      <c r="AM31" s="34" t="n"/>
      <c r="AN31" s="35">
        <f>IF(AF31="","",IF(AI31="Yes","❌ Disc",IF(AH31="No","⚠ Missing",IF(AK31="Yes","✓ OK","⚠ Check"))))</f>
        <v/>
      </c>
      <c r="AO31" s="36" t="n"/>
      <c r="AP31" s="36" t="n"/>
      <c r="AQ31" s="36" t="n"/>
      <c r="AR31" s="36" t="n"/>
      <c r="AS31" s="36" t="n"/>
      <c r="AT31" s="36" t="n"/>
      <c r="AU31" s="27" t="n"/>
      <c r="AV31" s="37" t="n"/>
      <c r="AW31" s="38">
        <f>IF(AO31="","",IF(AR31="Yes","❌ Disc",IF(AQ31="No","⚠ Missing",IF(AT31="Yes","✓ OK","⚠ Check"))))</f>
        <v/>
      </c>
    </row>
    <row r="32" ht="18" customHeight="1" s="46">
      <c r="A32" s="39" t="n">
        <v>28</v>
      </c>
      <c r="B32" s="40" t="inlineStr">
        <is>
          <t>BD-HNA-2025-0026</t>
        </is>
      </c>
      <c r="C32" s="41" t="inlineStr">
        <is>
          <t>Bonito Legs - 4" 298(V.H) Rose Gold Metal Leg</t>
        </is>
      </c>
      <c r="D32" s="39" t="inlineStr">
        <is>
          <t>Bonito Legs</t>
        </is>
      </c>
      <c r="E32" s="43" t="n">
        <v>46125</v>
      </c>
      <c r="F32" s="26" t="inlineStr">
        <is>
          <t>Sunil CR</t>
        </is>
      </c>
      <c r="G32" s="44" t="inlineStr">
        <is>
          <t>Represented by Sample</t>
        </is>
      </c>
      <c r="H32" s="26" t="inlineStr">
        <is>
          <t>No</t>
        </is>
      </c>
      <c r="I32" s="44" t="inlineStr">
        <is>
          <t>Represented by Sample</t>
        </is>
      </c>
      <c r="J32" s="26" t="inlineStr">
        <is>
          <t>Yes</t>
        </is>
      </c>
      <c r="K32" s="27" t="n"/>
      <c r="L32" s="28" t="inlineStr">
        <is>
          <t>No</t>
        </is>
      </c>
      <c r="M32" s="29">
        <f>IF(E32="","",IF(H32="Yes","❌ Disc",IF(G32="No","⚠ Missing",IF(J32="Yes","✓ OK","⚠ Check"))))</f>
        <v/>
      </c>
      <c r="N32" s="43" t="n">
        <v>46196</v>
      </c>
      <c r="O32" s="26" t="inlineStr">
        <is>
          <t>Sunil CR</t>
        </is>
      </c>
      <c r="P32" s="44" t="inlineStr">
        <is>
          <t>Represented by Sample</t>
        </is>
      </c>
      <c r="Q32" s="26" t="inlineStr">
        <is>
          <t>No</t>
        </is>
      </c>
      <c r="R32" s="44" t="inlineStr">
        <is>
          <t>Represented by Sample</t>
        </is>
      </c>
      <c r="S32" s="26" t="inlineStr">
        <is>
          <t>Yes</t>
        </is>
      </c>
      <c r="T32" s="27" t="n"/>
      <c r="U32" s="28" t="inlineStr">
        <is>
          <t>No</t>
        </is>
      </c>
      <c r="V32" s="29">
        <f>IF(N32="","",IF(Q32="Yes","❌ Disc",IF(P32="No","⚠ Missing",IF(S32="Yes","✓ OK","⚠ Check"))))</f>
        <v/>
      </c>
      <c r="W32" s="65" t="n">
        <v>46248</v>
      </c>
      <c r="X32" s="30" t="inlineStr">
        <is>
          <t>Sunil CR</t>
        </is>
      </c>
      <c r="Y32" s="30" t="inlineStr">
        <is>
          <t>Represented by Sample</t>
        </is>
      </c>
      <c r="Z32" s="30" t="n"/>
      <c r="AA32" s="30" t="inlineStr">
        <is>
          <t>Represented by Sample</t>
        </is>
      </c>
      <c r="AB32" s="30" t="inlineStr">
        <is>
          <t>Yes</t>
        </is>
      </c>
      <c r="AC32" s="27" t="n"/>
      <c r="AD32" s="31" t="inlineStr">
        <is>
          <t>No</t>
        </is>
      </c>
      <c r="AE32" s="32">
        <f>IF(W32="","",IF(Z32="Yes","❌ Disc",IF(Y32="No","⚠ Missing",IF(AB32="Yes","✓ OK","⚠ Check"))))</f>
        <v/>
      </c>
      <c r="AF32" s="33" t="n"/>
      <c r="AG32" s="33" t="n"/>
      <c r="AH32" s="33" t="n"/>
      <c r="AI32" s="33" t="n"/>
      <c r="AJ32" s="33" t="n"/>
      <c r="AK32" s="33" t="n"/>
      <c r="AL32" s="27" t="n"/>
      <c r="AM32" s="34" t="n"/>
      <c r="AN32" s="35">
        <f>IF(AF32="","",IF(AI32="Yes","❌ Disc",IF(AH32="No","⚠ Missing",IF(AK32="Yes","✓ OK","⚠ Check"))))</f>
        <v/>
      </c>
      <c r="AO32" s="36" t="n"/>
      <c r="AP32" s="36" t="n"/>
      <c r="AQ32" s="36" t="n"/>
      <c r="AR32" s="36" t="n"/>
      <c r="AS32" s="36" t="n"/>
      <c r="AT32" s="36" t="n"/>
      <c r="AU32" s="27" t="n"/>
      <c r="AV32" s="37" t="n"/>
      <c r="AW32" s="38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BD-HNA-2025-0086</t>
        </is>
      </c>
      <c r="C33" s="25" t="inlineStr">
        <is>
          <t>Bonito Legs - 4" 7028(G.I) Dark Wooden Leg</t>
        </is>
      </c>
      <c r="D33" s="23" t="inlineStr">
        <is>
          <t>Bonito Legs</t>
        </is>
      </c>
      <c r="E33" s="43" t="n">
        <v>46125</v>
      </c>
      <c r="F33" s="26" t="inlineStr">
        <is>
          <t>Sunil CR</t>
        </is>
      </c>
      <c r="G33" s="44" t="inlineStr">
        <is>
          <t>Represented by Sample</t>
        </is>
      </c>
      <c r="H33" s="26" t="inlineStr">
        <is>
          <t>No</t>
        </is>
      </c>
      <c r="I33" s="44" t="inlineStr">
        <is>
          <t>Represented by Sample</t>
        </is>
      </c>
      <c r="J33" s="26" t="inlineStr">
        <is>
          <t>Yes</t>
        </is>
      </c>
      <c r="K33" s="27" t="n"/>
      <c r="L33" s="28" t="inlineStr">
        <is>
          <t>No</t>
        </is>
      </c>
      <c r="M33" s="29">
        <f>IF(E33="","",IF(H33="Yes","❌ Disc",IF(G33="No","⚠ Missing",IF(J33="Yes","✓ OK","⚠ Check"))))</f>
        <v/>
      </c>
      <c r="N33" s="43" t="n">
        <v>46196</v>
      </c>
      <c r="O33" s="26" t="inlineStr">
        <is>
          <t>Sunil CR</t>
        </is>
      </c>
      <c r="P33" s="44" t="inlineStr">
        <is>
          <t>Represented by Sample</t>
        </is>
      </c>
      <c r="Q33" s="26" t="inlineStr">
        <is>
          <t>No</t>
        </is>
      </c>
      <c r="R33" s="44" t="inlineStr">
        <is>
          <t>Represented by Sample</t>
        </is>
      </c>
      <c r="S33" s="26" t="inlineStr">
        <is>
          <t>Yes</t>
        </is>
      </c>
      <c r="T33" s="27" t="n"/>
      <c r="U33" s="28" t="inlineStr">
        <is>
          <t>No</t>
        </is>
      </c>
      <c r="V33" s="29">
        <f>IF(N33="","",IF(Q33="Yes","❌ Disc",IF(P33="No","⚠ Missing",IF(S33="Yes","✓ OK","⚠ Check"))))</f>
        <v/>
      </c>
      <c r="W33" s="65" t="n">
        <v>46248</v>
      </c>
      <c r="X33" s="30" t="inlineStr">
        <is>
          <t>Sunil CR</t>
        </is>
      </c>
      <c r="Y33" s="30" t="inlineStr">
        <is>
          <t>Represented by Sample</t>
        </is>
      </c>
      <c r="Z33" s="30" t="n"/>
      <c r="AA33" s="30" t="inlineStr">
        <is>
          <t>Represented by Sample</t>
        </is>
      </c>
      <c r="AB33" s="30" t="inlineStr">
        <is>
          <t>Yes</t>
        </is>
      </c>
      <c r="AC33" s="27" t="n"/>
      <c r="AD33" s="31" t="inlineStr">
        <is>
          <t>No</t>
        </is>
      </c>
      <c r="AE33" s="32">
        <f>IF(W33="","",IF(Z33="Yes","❌ Disc",IF(Y33="No","⚠ Missing",IF(AB33="Yes","✓ OK","⚠ Check"))))</f>
        <v/>
      </c>
      <c r="AF33" s="33" t="n"/>
      <c r="AG33" s="33" t="n"/>
      <c r="AH33" s="33" t="n"/>
      <c r="AI33" s="33" t="n"/>
      <c r="AJ33" s="33" t="n"/>
      <c r="AK33" s="33" t="n"/>
      <c r="AL33" s="27" t="n"/>
      <c r="AM33" s="34" t="n"/>
      <c r="AN33" s="35">
        <f>IF(AF33="","",IF(AI33="Yes","❌ Disc",IF(AH33="No","⚠ Missing",IF(AK33="Yes","✓ OK","⚠ Check"))))</f>
        <v/>
      </c>
      <c r="AO33" s="36" t="n"/>
      <c r="AP33" s="36" t="n"/>
      <c r="AQ33" s="36" t="n"/>
      <c r="AR33" s="36" t="n"/>
      <c r="AS33" s="36" t="n"/>
      <c r="AT33" s="36" t="n"/>
      <c r="AU33" s="27" t="n"/>
      <c r="AV33" s="37" t="n"/>
      <c r="AW33" s="38">
        <f>IF(AO33="","",IF(AR33="Yes","❌ Disc",IF(AQ33="No","⚠ Missing",IF(AT33="Yes","✓ OK","⚠ Check"))))</f>
        <v/>
      </c>
    </row>
    <row r="34" ht="18" customHeight="1" s="46">
      <c r="A34" s="39" t="n">
        <v>30</v>
      </c>
      <c r="B34" s="40" t="inlineStr">
        <is>
          <t>BD-HNA-2025-0075</t>
        </is>
      </c>
      <c r="C34" s="41" t="inlineStr">
        <is>
          <t>Bonito Legs - 4" Candy Cross Wooden Leg</t>
        </is>
      </c>
      <c r="D34" s="39" t="inlineStr">
        <is>
          <t>Bonito Legs</t>
        </is>
      </c>
      <c r="E34" s="43" t="n">
        <v>46125</v>
      </c>
      <c r="F34" s="26" t="inlineStr">
        <is>
          <t>Sunil CR</t>
        </is>
      </c>
      <c r="G34" s="44" t="inlineStr">
        <is>
          <t>Represented by Sample</t>
        </is>
      </c>
      <c r="H34" s="26" t="inlineStr">
        <is>
          <t>No</t>
        </is>
      </c>
      <c r="I34" s="44" t="inlineStr">
        <is>
          <t>Represented by Sample</t>
        </is>
      </c>
      <c r="J34" s="26" t="inlineStr">
        <is>
          <t>Yes</t>
        </is>
      </c>
      <c r="K34" s="27" t="n"/>
      <c r="L34" s="28" t="inlineStr">
        <is>
          <t>No</t>
        </is>
      </c>
      <c r="M34" s="29">
        <f>IF(E34="","",IF(H34="Yes","❌ Disc",IF(G34="No","⚠ Missing",IF(J34="Yes","✓ OK","⚠ Check"))))</f>
        <v/>
      </c>
      <c r="N34" s="43" t="n">
        <v>46196</v>
      </c>
      <c r="O34" s="26" t="inlineStr">
        <is>
          <t>Sunil CR</t>
        </is>
      </c>
      <c r="P34" s="44" t="inlineStr">
        <is>
          <t>Represented by Sample</t>
        </is>
      </c>
      <c r="Q34" s="26" t="inlineStr">
        <is>
          <t>No</t>
        </is>
      </c>
      <c r="R34" s="44" t="inlineStr">
        <is>
          <t>Represented by Sample</t>
        </is>
      </c>
      <c r="S34" s="26" t="inlineStr">
        <is>
          <t>Yes</t>
        </is>
      </c>
      <c r="T34" s="27" t="n"/>
      <c r="U34" s="28" t="inlineStr">
        <is>
          <t>No</t>
        </is>
      </c>
      <c r="V34" s="29">
        <f>IF(N34="","",IF(Q34="Yes","❌ Disc",IF(P34="No","⚠ Missing",IF(S34="Yes","✓ OK","⚠ Check"))))</f>
        <v/>
      </c>
      <c r="W34" s="65" t="n">
        <v>46248</v>
      </c>
      <c r="X34" s="30" t="inlineStr">
        <is>
          <t>Sunil CR</t>
        </is>
      </c>
      <c r="Y34" s="30" t="inlineStr">
        <is>
          <t>Represented by Sample</t>
        </is>
      </c>
      <c r="Z34" s="30" t="n"/>
      <c r="AA34" s="30" t="inlineStr">
        <is>
          <t>Represented by Sample</t>
        </is>
      </c>
      <c r="AB34" s="30" t="inlineStr">
        <is>
          <t>Yes</t>
        </is>
      </c>
      <c r="AC34" s="27" t="n"/>
      <c r="AD34" s="31" t="inlineStr">
        <is>
          <t>No</t>
        </is>
      </c>
      <c r="AE34" s="32">
        <f>IF(W34="","",IF(Z34="Yes","❌ Disc",IF(Y34="No","⚠ Missing",IF(AB34="Yes","✓ OK","⚠ Check"))))</f>
        <v/>
      </c>
      <c r="AF34" s="33" t="n"/>
      <c r="AG34" s="33" t="n"/>
      <c r="AH34" s="33" t="n"/>
      <c r="AI34" s="33" t="n"/>
      <c r="AJ34" s="33" t="n"/>
      <c r="AK34" s="33" t="n"/>
      <c r="AL34" s="27" t="n"/>
      <c r="AM34" s="34" t="n"/>
      <c r="AN34" s="35">
        <f>IF(AF34="","",IF(AI34="Yes","❌ Disc",IF(AH34="No","⚠ Missing",IF(AK34="Yes","✓ OK","⚠ Check"))))</f>
        <v/>
      </c>
      <c r="AO34" s="36" t="n"/>
      <c r="AP34" s="36" t="n"/>
      <c r="AQ34" s="36" t="n"/>
      <c r="AR34" s="36" t="n"/>
      <c r="AS34" s="36" t="n"/>
      <c r="AT34" s="36" t="n"/>
      <c r="AU34" s="27" t="n"/>
      <c r="AV34" s="37" t="n"/>
      <c r="AW34" s="38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BD-HNA-2025-0072</t>
        </is>
      </c>
      <c r="C35" s="25" t="inlineStr">
        <is>
          <t>Bonito Legs - 4" Candy Straight Wooden Leg</t>
        </is>
      </c>
      <c r="D35" s="23" t="inlineStr">
        <is>
          <t>Bonito Legs</t>
        </is>
      </c>
      <c r="E35" s="43" t="n">
        <v>46125</v>
      </c>
      <c r="F35" s="26" t="inlineStr">
        <is>
          <t>Sunil CR</t>
        </is>
      </c>
      <c r="G35" s="44" t="inlineStr">
        <is>
          <t>Represented by Sample</t>
        </is>
      </c>
      <c r="H35" s="26" t="inlineStr">
        <is>
          <t>No</t>
        </is>
      </c>
      <c r="I35" s="44" t="inlineStr">
        <is>
          <t>Represented by Sample</t>
        </is>
      </c>
      <c r="J35" s="26" t="inlineStr">
        <is>
          <t>Yes</t>
        </is>
      </c>
      <c r="K35" s="27" t="n"/>
      <c r="L35" s="28" t="inlineStr">
        <is>
          <t>No</t>
        </is>
      </c>
      <c r="M35" s="29">
        <f>IF(E35="","",IF(H35="Yes","❌ Disc",IF(G35="No","⚠ Missing",IF(J35="Yes","✓ OK","⚠ Check"))))</f>
        <v/>
      </c>
      <c r="N35" s="43" t="n">
        <v>46196</v>
      </c>
      <c r="O35" s="26" t="inlineStr">
        <is>
          <t>Sunil CR</t>
        </is>
      </c>
      <c r="P35" s="44" t="inlineStr">
        <is>
          <t>Represented by Sample</t>
        </is>
      </c>
      <c r="Q35" s="26" t="inlineStr">
        <is>
          <t>No</t>
        </is>
      </c>
      <c r="R35" s="44" t="inlineStr">
        <is>
          <t>Represented by Sample</t>
        </is>
      </c>
      <c r="S35" s="26" t="inlineStr">
        <is>
          <t>Yes</t>
        </is>
      </c>
      <c r="T35" s="27" t="n"/>
      <c r="U35" s="28" t="inlineStr">
        <is>
          <t>No</t>
        </is>
      </c>
      <c r="V35" s="29">
        <f>IF(N35="","",IF(Q35="Yes","❌ Disc",IF(P35="No","⚠ Missing",IF(S35="Yes","✓ OK","⚠ Check"))))</f>
        <v/>
      </c>
      <c r="W35" s="65" t="n">
        <v>46248</v>
      </c>
      <c r="X35" s="30" t="inlineStr">
        <is>
          <t>Sunil CR</t>
        </is>
      </c>
      <c r="Y35" s="30" t="inlineStr">
        <is>
          <t>Represented by Sample</t>
        </is>
      </c>
      <c r="Z35" s="30" t="n"/>
      <c r="AA35" s="30" t="inlineStr">
        <is>
          <t>Represented by Sample</t>
        </is>
      </c>
      <c r="AB35" s="30" t="inlineStr">
        <is>
          <t>Yes</t>
        </is>
      </c>
      <c r="AC35" s="27" t="n"/>
      <c r="AD35" s="31" t="inlineStr">
        <is>
          <t>No</t>
        </is>
      </c>
      <c r="AE35" s="32">
        <f>IF(W35="","",IF(Z35="Yes","❌ Disc",IF(Y35="No","⚠ Missing",IF(AB35="Yes","✓ OK","⚠ Check"))))</f>
        <v/>
      </c>
      <c r="AF35" s="33" t="n"/>
      <c r="AG35" s="33" t="n"/>
      <c r="AH35" s="33" t="n"/>
      <c r="AI35" s="33" t="n"/>
      <c r="AJ35" s="33" t="n"/>
      <c r="AK35" s="33" t="n"/>
      <c r="AL35" s="27" t="n"/>
      <c r="AM35" s="34" t="n"/>
      <c r="AN35" s="35">
        <f>IF(AF35="","",IF(AI35="Yes","❌ Disc",IF(AH35="No","⚠ Missing",IF(AK35="Yes","✓ OK","⚠ Check"))))</f>
        <v/>
      </c>
      <c r="AO35" s="36" t="n"/>
      <c r="AP35" s="36" t="n"/>
      <c r="AQ35" s="36" t="n"/>
      <c r="AR35" s="36" t="n"/>
      <c r="AS35" s="36" t="n"/>
      <c r="AT35" s="36" t="n"/>
      <c r="AU35" s="27" t="n"/>
      <c r="AV35" s="37" t="n"/>
      <c r="AW35" s="38">
        <f>IF(AO35="","",IF(AR35="Yes","❌ Disc",IF(AQ35="No","⚠ Missing",IF(AT35="Yes","✓ OK","⚠ Check"))))</f>
        <v/>
      </c>
    </row>
    <row r="36" ht="18" customHeight="1" s="46">
      <c r="A36" s="39" t="n">
        <v>32</v>
      </c>
      <c r="B36" s="40" t="inlineStr">
        <is>
          <t>BD-HNA-2025-0069</t>
        </is>
      </c>
      <c r="C36" s="41" t="inlineStr">
        <is>
          <t>Bonito Legs - 4" EL-214(S.H-ZP) Antique Metal Leg</t>
        </is>
      </c>
      <c r="D36" s="39" t="inlineStr">
        <is>
          <t>Bonito Legs</t>
        </is>
      </c>
      <c r="E36" s="43" t="n">
        <v>46125</v>
      </c>
      <c r="F36" s="26" t="inlineStr">
        <is>
          <t>Sunil CR</t>
        </is>
      </c>
      <c r="G36" s="44" t="inlineStr">
        <is>
          <t>Represented by Sample</t>
        </is>
      </c>
      <c r="H36" s="26" t="inlineStr">
        <is>
          <t>No</t>
        </is>
      </c>
      <c r="I36" s="44" t="inlineStr">
        <is>
          <t>Represented by Sample</t>
        </is>
      </c>
      <c r="J36" s="26" t="inlineStr">
        <is>
          <t>Yes</t>
        </is>
      </c>
      <c r="K36" s="27" t="n"/>
      <c r="L36" s="28" t="inlineStr">
        <is>
          <t>No</t>
        </is>
      </c>
      <c r="M36" s="29">
        <f>IF(E36="","",IF(H36="Yes","❌ Disc",IF(G36="No","⚠ Missing",IF(J36="Yes","✓ OK","⚠ Check"))))</f>
        <v/>
      </c>
      <c r="N36" s="43" t="n">
        <v>46196</v>
      </c>
      <c r="O36" s="26" t="inlineStr">
        <is>
          <t>Sunil CR</t>
        </is>
      </c>
      <c r="P36" s="44" t="inlineStr">
        <is>
          <t>Represented by Sample</t>
        </is>
      </c>
      <c r="Q36" s="26" t="inlineStr">
        <is>
          <t>No</t>
        </is>
      </c>
      <c r="R36" s="44" t="inlineStr">
        <is>
          <t>Represented by Sample</t>
        </is>
      </c>
      <c r="S36" s="26" t="inlineStr">
        <is>
          <t>Yes</t>
        </is>
      </c>
      <c r="T36" s="27" t="n"/>
      <c r="U36" s="28" t="inlineStr">
        <is>
          <t>No</t>
        </is>
      </c>
      <c r="V36" s="29">
        <f>IF(N36="","",IF(Q36="Yes","❌ Disc",IF(P36="No","⚠ Missing",IF(S36="Yes","✓ OK","⚠ Check"))))</f>
        <v/>
      </c>
      <c r="W36" s="65" t="n">
        <v>46248</v>
      </c>
      <c r="X36" s="30" t="inlineStr">
        <is>
          <t>Sunil CR</t>
        </is>
      </c>
      <c r="Y36" s="30" t="inlineStr">
        <is>
          <t>Represented by Sample</t>
        </is>
      </c>
      <c r="Z36" s="30" t="n"/>
      <c r="AA36" s="30" t="inlineStr">
        <is>
          <t>Represented by Sample</t>
        </is>
      </c>
      <c r="AB36" s="30" t="inlineStr">
        <is>
          <t>Yes</t>
        </is>
      </c>
      <c r="AC36" s="27" t="n"/>
      <c r="AD36" s="31" t="inlineStr">
        <is>
          <t>No</t>
        </is>
      </c>
      <c r="AE36" s="32">
        <f>IF(W36="","",IF(Z36="Yes","❌ Disc",IF(Y36="No","⚠ Missing",IF(AB36="Yes","✓ OK","⚠ Check"))))</f>
        <v/>
      </c>
      <c r="AF36" s="33" t="n"/>
      <c r="AG36" s="33" t="n"/>
      <c r="AH36" s="33" t="n"/>
      <c r="AI36" s="33" t="n"/>
      <c r="AJ36" s="33" t="n"/>
      <c r="AK36" s="33" t="n"/>
      <c r="AL36" s="27" t="n"/>
      <c r="AM36" s="34" t="n"/>
      <c r="AN36" s="35">
        <f>IF(AF36="","",IF(AI36="Yes","❌ Disc",IF(AH36="No","⚠ Missing",IF(AK36="Yes","✓ OK","⚠ Check"))))</f>
        <v/>
      </c>
      <c r="AO36" s="36" t="n"/>
      <c r="AP36" s="36" t="n"/>
      <c r="AQ36" s="36" t="n"/>
      <c r="AR36" s="36" t="n"/>
      <c r="AS36" s="36" t="n"/>
      <c r="AT36" s="36" t="n"/>
      <c r="AU36" s="27" t="n"/>
      <c r="AV36" s="37" t="n"/>
      <c r="AW36" s="38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BD-HNA-2025-0068</t>
        </is>
      </c>
      <c r="C37" s="25" t="inlineStr">
        <is>
          <t>Bonito Legs - 4" EL-214(S.H-ZP) Black Metal Leg</t>
        </is>
      </c>
      <c r="D37" s="23" t="inlineStr">
        <is>
          <t>Bonito Legs</t>
        </is>
      </c>
      <c r="E37" s="43" t="n">
        <v>46125</v>
      </c>
      <c r="F37" s="26" t="inlineStr">
        <is>
          <t>Sunil CR</t>
        </is>
      </c>
      <c r="G37" s="44" t="inlineStr">
        <is>
          <t>Represented by Sample</t>
        </is>
      </c>
      <c r="H37" s="26" t="inlineStr">
        <is>
          <t>No</t>
        </is>
      </c>
      <c r="I37" s="44" t="inlineStr">
        <is>
          <t>Represented by Sample</t>
        </is>
      </c>
      <c r="J37" s="26" t="inlineStr">
        <is>
          <t>Yes</t>
        </is>
      </c>
      <c r="K37" s="27" t="n"/>
      <c r="L37" s="28" t="inlineStr">
        <is>
          <t>No</t>
        </is>
      </c>
      <c r="M37" s="29">
        <f>IF(E37="","",IF(H37="Yes","❌ Disc",IF(G37="No","⚠ Missing",IF(J37="Yes","✓ OK","⚠ Check"))))</f>
        <v/>
      </c>
      <c r="N37" s="43" t="n">
        <v>46196</v>
      </c>
      <c r="O37" s="26" t="inlineStr">
        <is>
          <t>Sunil CR</t>
        </is>
      </c>
      <c r="P37" s="44" t="inlineStr">
        <is>
          <t>Represented by Sample</t>
        </is>
      </c>
      <c r="Q37" s="26" t="inlineStr">
        <is>
          <t>No</t>
        </is>
      </c>
      <c r="R37" s="44" t="inlineStr">
        <is>
          <t>Represented by Sample</t>
        </is>
      </c>
      <c r="S37" s="26" t="inlineStr">
        <is>
          <t>Yes</t>
        </is>
      </c>
      <c r="T37" s="27" t="n"/>
      <c r="U37" s="28" t="inlineStr">
        <is>
          <t>No</t>
        </is>
      </c>
      <c r="V37" s="29">
        <f>IF(N37="","",IF(Q37="Yes","❌ Disc",IF(P37="No","⚠ Missing",IF(S37="Yes","✓ OK","⚠ Check"))))</f>
        <v/>
      </c>
      <c r="W37" s="65" t="n">
        <v>46248</v>
      </c>
      <c r="X37" s="30" t="inlineStr">
        <is>
          <t>Sunil CR</t>
        </is>
      </c>
      <c r="Y37" s="30" t="inlineStr">
        <is>
          <t>Represented by Sample</t>
        </is>
      </c>
      <c r="Z37" s="30" t="n"/>
      <c r="AA37" s="30" t="inlineStr">
        <is>
          <t>Represented by Sample</t>
        </is>
      </c>
      <c r="AB37" s="30" t="inlineStr">
        <is>
          <t>Yes</t>
        </is>
      </c>
      <c r="AC37" s="27" t="n"/>
      <c r="AD37" s="31" t="inlineStr">
        <is>
          <t>No</t>
        </is>
      </c>
      <c r="AE37" s="32">
        <f>IF(W37="","",IF(Z37="Yes","❌ Disc",IF(Y37="No","⚠ Missing",IF(AB37="Yes","✓ OK","⚠ Check"))))</f>
        <v/>
      </c>
      <c r="AF37" s="33" t="n"/>
      <c r="AG37" s="33" t="n"/>
      <c r="AH37" s="33" t="n"/>
      <c r="AI37" s="33" t="n"/>
      <c r="AJ37" s="33" t="n"/>
      <c r="AK37" s="33" t="n"/>
      <c r="AL37" s="27" t="n"/>
      <c r="AM37" s="34" t="n"/>
      <c r="AN37" s="35">
        <f>IF(AF37="","",IF(AI37="Yes","❌ Disc",IF(AH37="No","⚠ Missing",IF(AK37="Yes","✓ OK","⚠ Check"))))</f>
        <v/>
      </c>
      <c r="AO37" s="36" t="n"/>
      <c r="AP37" s="36" t="n"/>
      <c r="AQ37" s="36" t="n"/>
      <c r="AR37" s="36" t="n"/>
      <c r="AS37" s="36" t="n"/>
      <c r="AT37" s="36" t="n"/>
      <c r="AU37" s="27" t="n"/>
      <c r="AV37" s="37" t="n"/>
      <c r="AW37" s="38">
        <f>IF(AO37="","",IF(AR37="Yes","❌ Disc",IF(AQ37="No","⚠ Missing",IF(AT37="Yes","✓ OK","⚠ Check"))))</f>
        <v/>
      </c>
    </row>
    <row r="38" ht="18" customHeight="1" s="46">
      <c r="A38" s="39" t="n">
        <v>34</v>
      </c>
      <c r="B38" s="40" t="inlineStr">
        <is>
          <t>BD-HNA-2025-0066</t>
        </is>
      </c>
      <c r="C38" s="41" t="inlineStr">
        <is>
          <t>Bonito Legs - 4" EL-214(S.H-ZP) Chrome Plated Metal Leg</t>
        </is>
      </c>
      <c r="D38" s="39" t="inlineStr">
        <is>
          <t>Bonito Legs</t>
        </is>
      </c>
      <c r="E38" s="43" t="n">
        <v>46125</v>
      </c>
      <c r="F38" s="26" t="inlineStr">
        <is>
          <t>Sunil CR</t>
        </is>
      </c>
      <c r="G38" s="44" t="inlineStr">
        <is>
          <t>Yes</t>
        </is>
      </c>
      <c r="H38" s="26" t="inlineStr">
        <is>
          <t>No</t>
        </is>
      </c>
      <c r="I38" s="44" t="inlineStr">
        <is>
          <t>Good finish</t>
        </is>
      </c>
      <c r="J38" s="26" t="inlineStr">
        <is>
          <t>Yes</t>
        </is>
      </c>
      <c r="K38" s="27" t="n"/>
      <c r="L38" s="28" t="inlineStr">
        <is>
          <t>No</t>
        </is>
      </c>
      <c r="M38" s="29">
        <f>IF(E38="","",IF(H38="Yes","❌ Disc",IF(G38="No","⚠ Missing",IF(J38="Yes","✓ OK","⚠ Check"))))</f>
        <v/>
      </c>
      <c r="N38" s="43" t="n">
        <v>46196</v>
      </c>
      <c r="O38" s="26" t="inlineStr">
        <is>
          <t>Sunil CR</t>
        </is>
      </c>
      <c r="P38" s="44" t="inlineStr">
        <is>
          <t>Yes</t>
        </is>
      </c>
      <c r="Q38" s="26" t="inlineStr">
        <is>
          <t>No</t>
        </is>
      </c>
      <c r="R38" s="44" t="inlineStr">
        <is>
          <t>Good finish</t>
        </is>
      </c>
      <c r="S38" s="26" t="inlineStr">
        <is>
          <t>Yes</t>
        </is>
      </c>
      <c r="T38" s="27" t="n"/>
      <c r="U38" s="28" t="inlineStr">
        <is>
          <t>No</t>
        </is>
      </c>
      <c r="V38" s="29">
        <f>IF(N38="","",IF(Q38="Yes","❌ Disc",IF(P38="No","⚠ Missing",IF(S38="Yes","✓ OK","⚠ Check"))))</f>
        <v/>
      </c>
      <c r="W38" s="65" t="n">
        <v>46248</v>
      </c>
      <c r="X38" s="30" t="inlineStr">
        <is>
          <t>Sunil CR</t>
        </is>
      </c>
      <c r="Y38" s="30" t="inlineStr">
        <is>
          <t>Yes</t>
        </is>
      </c>
      <c r="Z38" s="30" t="n"/>
      <c r="AA38" s="30" t="inlineStr">
        <is>
          <t>Good finish</t>
        </is>
      </c>
      <c r="AB38" s="30" t="inlineStr">
        <is>
          <t>Yes</t>
        </is>
      </c>
      <c r="AC38" s="27" t="n"/>
      <c r="AD38" s="31" t="inlineStr">
        <is>
          <t>No</t>
        </is>
      </c>
      <c r="AE38" s="32">
        <f>IF(W38="","",IF(Z38="Yes","❌ Disc",IF(Y38="No","⚠ Missing",IF(AB38="Yes","✓ OK","⚠ Check"))))</f>
        <v/>
      </c>
      <c r="AF38" s="33" t="n"/>
      <c r="AG38" s="33" t="n"/>
      <c r="AH38" s="33" t="n"/>
      <c r="AI38" s="33" t="n"/>
      <c r="AJ38" s="33" t="n"/>
      <c r="AK38" s="33" t="n"/>
      <c r="AL38" s="27" t="n"/>
      <c r="AM38" s="34" t="n"/>
      <c r="AN38" s="35">
        <f>IF(AF38="","",IF(AI38="Yes","❌ Disc",IF(AH38="No","⚠ Missing",IF(AK38="Yes","✓ OK","⚠ Check"))))</f>
        <v/>
      </c>
      <c r="AO38" s="36" t="n"/>
      <c r="AP38" s="36" t="n"/>
      <c r="AQ38" s="36" t="n"/>
      <c r="AR38" s="36" t="n"/>
      <c r="AS38" s="36" t="n"/>
      <c r="AT38" s="36" t="n"/>
      <c r="AU38" s="27" t="n"/>
      <c r="AV38" s="37" t="n"/>
      <c r="AW38" s="38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BD-HNA-2025-0070</t>
        </is>
      </c>
      <c r="C39" s="25" t="inlineStr">
        <is>
          <t>Bonito Legs - 4" EL-214(S.H-ZP) Gold Metal Leg</t>
        </is>
      </c>
      <c r="D39" s="23" t="inlineStr">
        <is>
          <t>Bonito Legs</t>
        </is>
      </c>
      <c r="E39" s="43" t="n">
        <v>46125</v>
      </c>
      <c r="F39" s="26" t="inlineStr">
        <is>
          <t>Sunil CR</t>
        </is>
      </c>
      <c r="G39" s="44" t="inlineStr">
        <is>
          <t>Represented by Sample</t>
        </is>
      </c>
      <c r="H39" s="26" t="inlineStr">
        <is>
          <t>No</t>
        </is>
      </c>
      <c r="I39" s="44" t="inlineStr">
        <is>
          <t>Represented by Sample</t>
        </is>
      </c>
      <c r="J39" s="26" t="inlineStr">
        <is>
          <t>Yes</t>
        </is>
      </c>
      <c r="K39" s="27" t="n"/>
      <c r="L39" s="28" t="inlineStr">
        <is>
          <t>No</t>
        </is>
      </c>
      <c r="M39" s="29">
        <f>IF(E39="","",IF(H39="Yes","❌ Disc",IF(G39="No","⚠ Missing",IF(J39="Yes","✓ OK","⚠ Check"))))</f>
        <v/>
      </c>
      <c r="N39" s="43" t="n">
        <v>46196</v>
      </c>
      <c r="O39" s="26" t="inlineStr">
        <is>
          <t>Sunil CR</t>
        </is>
      </c>
      <c r="P39" s="44" t="inlineStr">
        <is>
          <t>Represented by Sample</t>
        </is>
      </c>
      <c r="Q39" s="26" t="inlineStr">
        <is>
          <t>No</t>
        </is>
      </c>
      <c r="R39" s="44" t="inlineStr">
        <is>
          <t>Represented by Sample</t>
        </is>
      </c>
      <c r="S39" s="26" t="inlineStr">
        <is>
          <t>Yes</t>
        </is>
      </c>
      <c r="T39" s="27" t="n"/>
      <c r="U39" s="28" t="inlineStr">
        <is>
          <t>No</t>
        </is>
      </c>
      <c r="V39" s="29">
        <f>IF(N39="","",IF(Q39="Yes","❌ Disc",IF(P39="No","⚠ Missing",IF(S39="Yes","✓ OK","⚠ Check"))))</f>
        <v/>
      </c>
      <c r="W39" s="65" t="n">
        <v>46248</v>
      </c>
      <c r="X39" s="30" t="inlineStr">
        <is>
          <t>Sunil CR</t>
        </is>
      </c>
      <c r="Y39" s="30" t="inlineStr">
        <is>
          <t>Represented by Sample</t>
        </is>
      </c>
      <c r="Z39" s="30" t="n"/>
      <c r="AA39" s="30" t="inlineStr">
        <is>
          <t>Represented by Sample</t>
        </is>
      </c>
      <c r="AB39" s="30" t="inlineStr">
        <is>
          <t>Yes</t>
        </is>
      </c>
      <c r="AC39" s="27" t="n"/>
      <c r="AD39" s="31" t="inlineStr">
        <is>
          <t>No</t>
        </is>
      </c>
      <c r="AE39" s="32">
        <f>IF(W39="","",IF(Z39="Yes","❌ Disc",IF(Y39="No","⚠ Missing",IF(AB39="Yes","✓ OK","⚠ Check"))))</f>
        <v/>
      </c>
      <c r="AF39" s="33" t="n"/>
      <c r="AG39" s="33" t="n"/>
      <c r="AH39" s="33" t="n"/>
      <c r="AI39" s="33" t="n"/>
      <c r="AJ39" s="33" t="n"/>
      <c r="AK39" s="33" t="n"/>
      <c r="AL39" s="27" t="n"/>
      <c r="AM39" s="34" t="n"/>
      <c r="AN39" s="35">
        <f>IF(AF39="","",IF(AI39="Yes","❌ Disc",IF(AH39="No","⚠ Missing",IF(AK39="Yes","✓ OK","⚠ Check"))))</f>
        <v/>
      </c>
      <c r="AO39" s="36" t="n"/>
      <c r="AP39" s="36" t="n"/>
      <c r="AQ39" s="36" t="n"/>
      <c r="AR39" s="36" t="n"/>
      <c r="AS39" s="36" t="n"/>
      <c r="AT39" s="36" t="n"/>
      <c r="AU39" s="27" t="n"/>
      <c r="AV39" s="37" t="n"/>
      <c r="AW39" s="38">
        <f>IF(AO39="","",IF(AR39="Yes","❌ Disc",IF(AQ39="No","⚠ Missing",IF(AT39="Yes","✓ OK","⚠ Check"))))</f>
        <v/>
      </c>
    </row>
    <row r="40" ht="18" customHeight="1" s="46">
      <c r="A40" s="39" t="n">
        <v>36</v>
      </c>
      <c r="B40" s="40" t="inlineStr">
        <is>
          <t>BD-HNA-2025-0067</t>
        </is>
      </c>
      <c r="C40" s="41" t="inlineStr">
        <is>
          <t>Bonito Legs - 4" EL-214(S.H-ZP) Rose Gold Metal Leg</t>
        </is>
      </c>
      <c r="D40" s="39" t="inlineStr">
        <is>
          <t>Bonito Legs</t>
        </is>
      </c>
      <c r="E40" s="43" t="n">
        <v>46125</v>
      </c>
      <c r="F40" s="26" t="inlineStr">
        <is>
          <t>Sunil CR</t>
        </is>
      </c>
      <c r="G40" s="44" t="inlineStr">
        <is>
          <t>Represented by Sample</t>
        </is>
      </c>
      <c r="H40" s="26" t="inlineStr">
        <is>
          <t>No</t>
        </is>
      </c>
      <c r="I40" s="44" t="inlineStr">
        <is>
          <t>Represented by Sample</t>
        </is>
      </c>
      <c r="J40" s="26" t="inlineStr">
        <is>
          <t>Yes</t>
        </is>
      </c>
      <c r="K40" s="27" t="n"/>
      <c r="L40" s="28" t="inlineStr">
        <is>
          <t>No</t>
        </is>
      </c>
      <c r="M40" s="29">
        <f>IF(E40="","",IF(H40="Yes","❌ Disc",IF(G40="No","⚠ Missing",IF(J40="Yes","✓ OK","⚠ Check"))))</f>
        <v/>
      </c>
      <c r="N40" s="43" t="n">
        <v>46196</v>
      </c>
      <c r="O40" s="26" t="inlineStr">
        <is>
          <t>Sunil CR</t>
        </is>
      </c>
      <c r="P40" s="44" t="inlineStr">
        <is>
          <t>Represented by Sample</t>
        </is>
      </c>
      <c r="Q40" s="26" t="inlineStr">
        <is>
          <t>No</t>
        </is>
      </c>
      <c r="R40" s="44" t="inlineStr">
        <is>
          <t>Represented by Sample</t>
        </is>
      </c>
      <c r="S40" s="26" t="inlineStr">
        <is>
          <t>Yes</t>
        </is>
      </c>
      <c r="T40" s="27" t="n"/>
      <c r="U40" s="28" t="inlineStr">
        <is>
          <t>No</t>
        </is>
      </c>
      <c r="V40" s="29">
        <f>IF(N40="","",IF(Q40="Yes","❌ Disc",IF(P40="No","⚠ Missing",IF(S40="Yes","✓ OK","⚠ Check"))))</f>
        <v/>
      </c>
      <c r="W40" s="65" t="n">
        <v>46248</v>
      </c>
      <c r="X40" s="30" t="inlineStr">
        <is>
          <t>Sunil CR</t>
        </is>
      </c>
      <c r="Y40" s="30" t="inlineStr">
        <is>
          <t>Represented by Sample</t>
        </is>
      </c>
      <c r="Z40" s="30" t="n"/>
      <c r="AA40" s="30" t="inlineStr">
        <is>
          <t>Represented by Sample</t>
        </is>
      </c>
      <c r="AB40" s="30" t="inlineStr">
        <is>
          <t>Yes</t>
        </is>
      </c>
      <c r="AC40" s="27" t="n"/>
      <c r="AD40" s="31" t="inlineStr">
        <is>
          <t>No</t>
        </is>
      </c>
      <c r="AE40" s="32">
        <f>IF(W40="","",IF(Z40="Yes","❌ Disc",IF(Y40="No","⚠ Missing",IF(AB40="Yes","✓ OK","⚠ Check"))))</f>
        <v/>
      </c>
      <c r="AF40" s="33" t="n"/>
      <c r="AG40" s="33" t="n"/>
      <c r="AH40" s="33" t="n"/>
      <c r="AI40" s="33" t="n"/>
      <c r="AJ40" s="33" t="n"/>
      <c r="AK40" s="33" t="n"/>
      <c r="AL40" s="27" t="n"/>
      <c r="AM40" s="34" t="n"/>
      <c r="AN40" s="35">
        <f>IF(AF40="","",IF(AI40="Yes","❌ Disc",IF(AH40="No","⚠ Missing",IF(AK40="Yes","✓ OK","⚠ Check"))))</f>
        <v/>
      </c>
      <c r="AO40" s="36" t="n"/>
      <c r="AP40" s="36" t="n"/>
      <c r="AQ40" s="36" t="n"/>
      <c r="AR40" s="36" t="n"/>
      <c r="AS40" s="36" t="n"/>
      <c r="AT40" s="36" t="n"/>
      <c r="AU40" s="27" t="n"/>
      <c r="AV40" s="37" t="n"/>
      <c r="AW40" s="38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BD-HNA-2025-0083</t>
        </is>
      </c>
      <c r="C41" s="25" t="inlineStr">
        <is>
          <t>Bonito Legs - 4" Four Side Degree Wooden Leg</t>
        </is>
      </c>
      <c r="D41" s="23" t="inlineStr">
        <is>
          <t>Bonito Legs</t>
        </is>
      </c>
      <c r="E41" s="43" t="n">
        <v>46125</v>
      </c>
      <c r="F41" s="26" t="inlineStr">
        <is>
          <t>Sunil CR</t>
        </is>
      </c>
      <c r="G41" s="44" t="inlineStr">
        <is>
          <t>Represented by Sample</t>
        </is>
      </c>
      <c r="H41" s="26" t="inlineStr">
        <is>
          <t>No</t>
        </is>
      </c>
      <c r="I41" s="44" t="inlineStr">
        <is>
          <t>Represented by Sample</t>
        </is>
      </c>
      <c r="J41" s="26" t="inlineStr">
        <is>
          <t>Yes</t>
        </is>
      </c>
      <c r="K41" s="27" t="n"/>
      <c r="L41" s="28" t="inlineStr">
        <is>
          <t>No</t>
        </is>
      </c>
      <c r="M41" s="29">
        <f>IF(E41="","",IF(H41="Yes","❌ Disc",IF(G41="No","⚠ Missing",IF(J41="Yes","✓ OK","⚠ Check"))))</f>
        <v/>
      </c>
      <c r="N41" s="43" t="n">
        <v>46196</v>
      </c>
      <c r="O41" s="26" t="inlineStr">
        <is>
          <t>Sunil CR</t>
        </is>
      </c>
      <c r="P41" s="44" t="inlineStr">
        <is>
          <t>Represented by Sample</t>
        </is>
      </c>
      <c r="Q41" s="26" t="inlineStr">
        <is>
          <t>No</t>
        </is>
      </c>
      <c r="R41" s="44" t="inlineStr">
        <is>
          <t>Represented by Sample</t>
        </is>
      </c>
      <c r="S41" s="26" t="inlineStr">
        <is>
          <t>Yes</t>
        </is>
      </c>
      <c r="T41" s="27" t="n"/>
      <c r="U41" s="28" t="inlineStr">
        <is>
          <t>No</t>
        </is>
      </c>
      <c r="V41" s="29">
        <f>IF(N41="","",IF(Q41="Yes","❌ Disc",IF(P41="No","⚠ Missing",IF(S41="Yes","✓ OK","⚠ Check"))))</f>
        <v/>
      </c>
      <c r="W41" s="65" t="n">
        <v>46248</v>
      </c>
      <c r="X41" s="30" t="inlineStr">
        <is>
          <t>Sunil CR</t>
        </is>
      </c>
      <c r="Y41" s="30" t="inlineStr">
        <is>
          <t>Represented by Sample</t>
        </is>
      </c>
      <c r="Z41" s="30" t="n"/>
      <c r="AA41" s="30" t="inlineStr">
        <is>
          <t>Represented by Sample</t>
        </is>
      </c>
      <c r="AB41" s="30" t="inlineStr">
        <is>
          <t>Yes</t>
        </is>
      </c>
      <c r="AC41" s="27" t="n"/>
      <c r="AD41" s="31" t="inlineStr">
        <is>
          <t>No</t>
        </is>
      </c>
      <c r="AE41" s="32">
        <f>IF(W41="","",IF(Z41="Yes","❌ Disc",IF(Y41="No","⚠ Missing",IF(AB41="Yes","✓ OK","⚠ Check"))))</f>
        <v/>
      </c>
      <c r="AF41" s="33" t="n"/>
      <c r="AG41" s="33" t="n"/>
      <c r="AH41" s="33" t="n"/>
      <c r="AI41" s="33" t="n"/>
      <c r="AJ41" s="33" t="n"/>
      <c r="AK41" s="33" t="n"/>
      <c r="AL41" s="27" t="n"/>
      <c r="AM41" s="34" t="n"/>
      <c r="AN41" s="35">
        <f>IF(AF41="","",IF(AI41="Yes","❌ Disc",IF(AH41="No","⚠ Missing",IF(AK41="Yes","✓ OK","⚠ Check"))))</f>
        <v/>
      </c>
      <c r="AO41" s="36" t="n"/>
      <c r="AP41" s="36" t="n"/>
      <c r="AQ41" s="36" t="n"/>
      <c r="AR41" s="36" t="n"/>
      <c r="AS41" s="36" t="n"/>
      <c r="AT41" s="36" t="n"/>
      <c r="AU41" s="27" t="n"/>
      <c r="AV41" s="37" t="n"/>
      <c r="AW41" s="38">
        <f>IF(AO41="","",IF(AR41="Yes","❌ Disc",IF(AQ41="No","⚠ Missing",IF(AT41="Yes","✓ OK","⚠ Check"))))</f>
        <v/>
      </c>
    </row>
    <row r="42" ht="18" customHeight="1" s="46">
      <c r="A42" s="39" t="n">
        <v>38</v>
      </c>
      <c r="B42" s="40" t="inlineStr">
        <is>
          <t>BD-HNA-2025-0054</t>
        </is>
      </c>
      <c r="C42" s="41" t="inlineStr">
        <is>
          <t>Bonito Legs - 4" LG -134(S.H-ZP) Black Metal Leg</t>
        </is>
      </c>
      <c r="D42" s="39" t="inlineStr">
        <is>
          <t>Bonito Legs</t>
        </is>
      </c>
      <c r="E42" s="43" t="n">
        <v>46125</v>
      </c>
      <c r="F42" s="26" t="inlineStr">
        <is>
          <t>Sunil CR</t>
        </is>
      </c>
      <c r="G42" s="44" t="inlineStr">
        <is>
          <t>Represented by Sample</t>
        </is>
      </c>
      <c r="H42" s="26" t="inlineStr">
        <is>
          <t>No</t>
        </is>
      </c>
      <c r="I42" s="44" t="inlineStr">
        <is>
          <t>Represented by Sample</t>
        </is>
      </c>
      <c r="J42" s="26" t="inlineStr">
        <is>
          <t>Yes</t>
        </is>
      </c>
      <c r="K42" s="27" t="n"/>
      <c r="L42" s="28" t="inlineStr">
        <is>
          <t>No</t>
        </is>
      </c>
      <c r="M42" s="29">
        <f>IF(E42="","",IF(H42="Yes","❌ Disc",IF(G42="No","⚠ Missing",IF(J42="Yes","✓ OK","⚠ Check"))))</f>
        <v/>
      </c>
      <c r="N42" s="43" t="n">
        <v>46196</v>
      </c>
      <c r="O42" s="26" t="inlineStr">
        <is>
          <t>Sunil CR</t>
        </is>
      </c>
      <c r="P42" s="44" t="inlineStr">
        <is>
          <t>Represented by Sample</t>
        </is>
      </c>
      <c r="Q42" s="26" t="inlineStr">
        <is>
          <t>No</t>
        </is>
      </c>
      <c r="R42" s="44" t="inlineStr">
        <is>
          <t>Represented by Sample</t>
        </is>
      </c>
      <c r="S42" s="26" t="inlineStr">
        <is>
          <t>Yes</t>
        </is>
      </c>
      <c r="T42" s="27" t="n"/>
      <c r="U42" s="28" t="inlineStr">
        <is>
          <t>No</t>
        </is>
      </c>
      <c r="V42" s="29">
        <f>IF(N42="","",IF(Q42="Yes","❌ Disc",IF(P42="No","⚠ Missing",IF(S42="Yes","✓ OK","⚠ Check"))))</f>
        <v/>
      </c>
      <c r="W42" s="65" t="n">
        <v>46248</v>
      </c>
      <c r="X42" s="30" t="inlineStr">
        <is>
          <t>Sunil CR</t>
        </is>
      </c>
      <c r="Y42" s="30" t="inlineStr">
        <is>
          <t>Represented by Sample</t>
        </is>
      </c>
      <c r="Z42" s="30" t="n"/>
      <c r="AA42" s="30" t="inlineStr">
        <is>
          <t>Represented by Sample</t>
        </is>
      </c>
      <c r="AB42" s="30" t="inlineStr">
        <is>
          <t>Yes</t>
        </is>
      </c>
      <c r="AC42" s="27" t="n"/>
      <c r="AD42" s="31" t="inlineStr">
        <is>
          <t>No</t>
        </is>
      </c>
      <c r="AE42" s="32">
        <f>IF(W42="","",IF(Z42="Yes","❌ Disc",IF(Y42="No","⚠ Missing",IF(AB42="Yes","✓ OK","⚠ Check"))))</f>
        <v/>
      </c>
      <c r="AF42" s="33" t="n"/>
      <c r="AG42" s="33" t="n"/>
      <c r="AH42" s="33" t="n"/>
      <c r="AI42" s="33" t="n"/>
      <c r="AJ42" s="33" t="n"/>
      <c r="AK42" s="33" t="n"/>
      <c r="AL42" s="27" t="n"/>
      <c r="AM42" s="34" t="n"/>
      <c r="AN42" s="35">
        <f>IF(AF42="","",IF(AI42="Yes","❌ Disc",IF(AH42="No","⚠ Missing",IF(AK42="Yes","✓ OK","⚠ Check"))))</f>
        <v/>
      </c>
      <c r="AO42" s="36" t="n"/>
      <c r="AP42" s="36" t="n"/>
      <c r="AQ42" s="36" t="n"/>
      <c r="AR42" s="36" t="n"/>
      <c r="AS42" s="36" t="n"/>
      <c r="AT42" s="36" t="n"/>
      <c r="AU42" s="27" t="n"/>
      <c r="AV42" s="37" t="n"/>
      <c r="AW42" s="38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BD-HNA-2025-0058</t>
        </is>
      </c>
      <c r="C43" s="25" t="inlineStr">
        <is>
          <t>Bonito Legs - 4" LG -134(S.H-ZP) Gold Metal Leg</t>
        </is>
      </c>
      <c r="D43" s="23" t="inlineStr">
        <is>
          <t>Bonito Legs</t>
        </is>
      </c>
      <c r="E43" s="43" t="n">
        <v>46125</v>
      </c>
      <c r="F43" s="26" t="inlineStr">
        <is>
          <t>Sunil CR</t>
        </is>
      </c>
      <c r="G43" s="44" t="inlineStr">
        <is>
          <t>Yes</t>
        </is>
      </c>
      <c r="H43" s="26" t="inlineStr">
        <is>
          <t>No</t>
        </is>
      </c>
      <c r="I43" s="44" t="inlineStr">
        <is>
          <t>Good finish</t>
        </is>
      </c>
      <c r="J43" s="26" t="inlineStr">
        <is>
          <t>Yes</t>
        </is>
      </c>
      <c r="K43" s="27" t="n"/>
      <c r="L43" s="28" t="inlineStr">
        <is>
          <t>No</t>
        </is>
      </c>
      <c r="M43" s="29">
        <f>IF(E43="","",IF(H43="Yes","❌ Disc",IF(G43="No","⚠ Missing",IF(J43="Yes","✓ OK","⚠ Check"))))</f>
        <v/>
      </c>
      <c r="N43" s="43" t="n">
        <v>46196</v>
      </c>
      <c r="O43" s="26" t="inlineStr">
        <is>
          <t>Sunil CR</t>
        </is>
      </c>
      <c r="P43" s="44" t="inlineStr">
        <is>
          <t>Yes</t>
        </is>
      </c>
      <c r="Q43" s="26" t="inlineStr">
        <is>
          <t>No</t>
        </is>
      </c>
      <c r="R43" s="44" t="inlineStr">
        <is>
          <t>Good finish</t>
        </is>
      </c>
      <c r="S43" s="26" t="inlineStr">
        <is>
          <t>Yes</t>
        </is>
      </c>
      <c r="T43" s="27" t="n"/>
      <c r="U43" s="28" t="inlineStr">
        <is>
          <t>No</t>
        </is>
      </c>
      <c r="V43" s="29">
        <f>IF(N43="","",IF(Q43="Yes","❌ Disc",IF(P43="No","⚠ Missing",IF(S43="Yes","✓ OK","⚠ Check"))))</f>
        <v/>
      </c>
      <c r="W43" s="65" t="n">
        <v>46248</v>
      </c>
      <c r="X43" s="30" t="inlineStr">
        <is>
          <t>Sunil CR</t>
        </is>
      </c>
      <c r="Y43" s="30" t="inlineStr">
        <is>
          <t>Yes</t>
        </is>
      </c>
      <c r="Z43" s="30" t="n"/>
      <c r="AA43" s="30" t="inlineStr">
        <is>
          <t>Good finish</t>
        </is>
      </c>
      <c r="AB43" s="30" t="inlineStr">
        <is>
          <t>Yes</t>
        </is>
      </c>
      <c r="AC43" s="27" t="n"/>
      <c r="AD43" s="31" t="inlineStr">
        <is>
          <t>No</t>
        </is>
      </c>
      <c r="AE43" s="32">
        <f>IF(W43="","",IF(Z43="Yes","❌ Disc",IF(Y43="No","⚠ Missing",IF(AB43="Yes","✓ OK","⚠ Check"))))</f>
        <v/>
      </c>
      <c r="AF43" s="33" t="n"/>
      <c r="AG43" s="33" t="n"/>
      <c r="AH43" s="33" t="n"/>
      <c r="AI43" s="33" t="n"/>
      <c r="AJ43" s="33" t="n"/>
      <c r="AK43" s="33" t="n"/>
      <c r="AL43" s="27" t="n"/>
      <c r="AM43" s="34" t="n"/>
      <c r="AN43" s="35">
        <f>IF(AF43="","",IF(AI43="Yes","❌ Disc",IF(AH43="No","⚠ Missing",IF(AK43="Yes","✓ OK","⚠ Check"))))</f>
        <v/>
      </c>
      <c r="AO43" s="36" t="n"/>
      <c r="AP43" s="36" t="n"/>
      <c r="AQ43" s="36" t="n"/>
      <c r="AR43" s="36" t="n"/>
      <c r="AS43" s="36" t="n"/>
      <c r="AT43" s="36" t="n"/>
      <c r="AU43" s="27" t="n"/>
      <c r="AV43" s="37" t="n"/>
      <c r="AW43" s="38">
        <f>IF(AO43="","",IF(AR43="Yes","❌ Disc",IF(AQ43="No","⚠ Missing",IF(AT43="Yes","✓ OK","⚠ Check"))))</f>
        <v/>
      </c>
    </row>
    <row r="44" ht="18" customHeight="1" s="46">
      <c r="A44" s="39" t="n">
        <v>40</v>
      </c>
      <c r="B44" s="40" t="inlineStr">
        <is>
          <t>BD-HNA-2025-0062</t>
        </is>
      </c>
      <c r="C44" s="41" t="inlineStr">
        <is>
          <t>Bonito Legs - 4" LG -134(S.H-ZP) Rose Gold Metal Leg</t>
        </is>
      </c>
      <c r="D44" s="39" t="inlineStr">
        <is>
          <t>Bonito Legs</t>
        </is>
      </c>
      <c r="E44" s="43" t="n">
        <v>46125</v>
      </c>
      <c r="F44" s="26" t="inlineStr">
        <is>
          <t>Sunil CR</t>
        </is>
      </c>
      <c r="G44" s="44" t="inlineStr">
        <is>
          <t>Represented by Sample</t>
        </is>
      </c>
      <c r="H44" s="26" t="inlineStr">
        <is>
          <t>No</t>
        </is>
      </c>
      <c r="I44" s="44" t="inlineStr">
        <is>
          <t>Represented by Sample</t>
        </is>
      </c>
      <c r="J44" s="26" t="inlineStr">
        <is>
          <t>Yes</t>
        </is>
      </c>
      <c r="K44" s="27" t="n"/>
      <c r="L44" s="28" t="inlineStr">
        <is>
          <t>No</t>
        </is>
      </c>
      <c r="M44" s="29">
        <f>IF(E44="","",IF(H44="Yes","❌ Disc",IF(G44="No","⚠ Missing",IF(J44="Yes","✓ OK","⚠ Check"))))</f>
        <v/>
      </c>
      <c r="N44" s="43" t="n">
        <v>46196</v>
      </c>
      <c r="O44" s="26" t="inlineStr">
        <is>
          <t>Sunil CR</t>
        </is>
      </c>
      <c r="P44" s="44" t="inlineStr">
        <is>
          <t>Represented by Sample</t>
        </is>
      </c>
      <c r="Q44" s="26" t="inlineStr">
        <is>
          <t>No</t>
        </is>
      </c>
      <c r="R44" s="44" t="inlineStr">
        <is>
          <t>Represented by Sample</t>
        </is>
      </c>
      <c r="S44" s="26" t="inlineStr">
        <is>
          <t>Yes</t>
        </is>
      </c>
      <c r="T44" s="27" t="n"/>
      <c r="U44" s="28" t="inlineStr">
        <is>
          <t>No</t>
        </is>
      </c>
      <c r="V44" s="29">
        <f>IF(N44="","",IF(Q44="Yes","❌ Disc",IF(P44="No","⚠ Missing",IF(S44="Yes","✓ OK","⚠ Check"))))</f>
        <v/>
      </c>
      <c r="W44" s="65" t="n">
        <v>46248</v>
      </c>
      <c r="X44" s="30" t="inlineStr">
        <is>
          <t>Sunil CR</t>
        </is>
      </c>
      <c r="Y44" s="30" t="inlineStr">
        <is>
          <t>Represented by Sample</t>
        </is>
      </c>
      <c r="Z44" s="30" t="n"/>
      <c r="AA44" s="30" t="inlineStr">
        <is>
          <t>Represented by Sample</t>
        </is>
      </c>
      <c r="AB44" s="30" t="inlineStr">
        <is>
          <t>Yes</t>
        </is>
      </c>
      <c r="AC44" s="27" t="n"/>
      <c r="AD44" s="31" t="inlineStr">
        <is>
          <t>No</t>
        </is>
      </c>
      <c r="AE44" s="32">
        <f>IF(W44="","",IF(Z44="Yes","❌ Disc",IF(Y44="No","⚠ Missing",IF(AB44="Yes","✓ OK","⚠ Check"))))</f>
        <v/>
      </c>
      <c r="AF44" s="33" t="n"/>
      <c r="AG44" s="33" t="n"/>
      <c r="AH44" s="33" t="n"/>
      <c r="AI44" s="33" t="n"/>
      <c r="AJ44" s="33" t="n"/>
      <c r="AK44" s="33" t="n"/>
      <c r="AL44" s="27" t="n"/>
      <c r="AM44" s="34" t="n"/>
      <c r="AN44" s="35">
        <f>IF(AF44="","",IF(AI44="Yes","❌ Disc",IF(AH44="No","⚠ Missing",IF(AK44="Yes","✓ OK","⚠ Check"))))</f>
        <v/>
      </c>
      <c r="AO44" s="36" t="n"/>
      <c r="AP44" s="36" t="n"/>
      <c r="AQ44" s="36" t="n"/>
      <c r="AR44" s="36" t="n"/>
      <c r="AS44" s="36" t="n"/>
      <c r="AT44" s="36" t="n"/>
      <c r="AU44" s="27" t="n"/>
      <c r="AV44" s="37" t="n"/>
      <c r="AW44" s="38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BD-HNA-2025-0037</t>
        </is>
      </c>
      <c r="C45" s="25" t="inlineStr">
        <is>
          <t>Bonito Legs - 4" LG-109(S.H.-ZP) Black Metal Leg</t>
        </is>
      </c>
      <c r="D45" s="23" t="inlineStr">
        <is>
          <t>Bonito Legs</t>
        </is>
      </c>
      <c r="E45" s="43" t="n">
        <v>46125</v>
      </c>
      <c r="F45" s="26" t="inlineStr">
        <is>
          <t>Sunil CR</t>
        </is>
      </c>
      <c r="G45" s="44" t="inlineStr">
        <is>
          <t>Represented by Sample</t>
        </is>
      </c>
      <c r="H45" s="26" t="inlineStr">
        <is>
          <t>No</t>
        </is>
      </c>
      <c r="I45" s="44" t="inlineStr">
        <is>
          <t>Represented by Sample</t>
        </is>
      </c>
      <c r="J45" s="26" t="inlineStr">
        <is>
          <t>Yes</t>
        </is>
      </c>
      <c r="K45" s="27" t="n"/>
      <c r="L45" s="28" t="inlineStr">
        <is>
          <t>No</t>
        </is>
      </c>
      <c r="M45" s="29">
        <f>IF(E45="","",IF(H45="Yes","❌ Disc",IF(G45="No","⚠ Missing",IF(J45="Yes","✓ OK","⚠ Check"))))</f>
        <v/>
      </c>
      <c r="N45" s="43" t="n">
        <v>46196</v>
      </c>
      <c r="O45" s="26" t="inlineStr">
        <is>
          <t>Sunil CR</t>
        </is>
      </c>
      <c r="P45" s="44" t="inlineStr">
        <is>
          <t>Represented by Sample</t>
        </is>
      </c>
      <c r="Q45" s="26" t="inlineStr">
        <is>
          <t>No</t>
        </is>
      </c>
      <c r="R45" s="44" t="inlineStr">
        <is>
          <t>Represented by Sample</t>
        </is>
      </c>
      <c r="S45" s="26" t="inlineStr">
        <is>
          <t>Yes</t>
        </is>
      </c>
      <c r="T45" s="27" t="n"/>
      <c r="U45" s="28" t="inlineStr">
        <is>
          <t>No</t>
        </is>
      </c>
      <c r="V45" s="29">
        <f>IF(N45="","",IF(Q45="Yes","❌ Disc",IF(P45="No","⚠ Missing",IF(S45="Yes","✓ OK","⚠ Check"))))</f>
        <v/>
      </c>
      <c r="W45" s="65" t="n">
        <v>46248</v>
      </c>
      <c r="X45" s="30" t="inlineStr">
        <is>
          <t>Sunil CR</t>
        </is>
      </c>
      <c r="Y45" s="30" t="inlineStr">
        <is>
          <t>Represented by Sample</t>
        </is>
      </c>
      <c r="Z45" s="30" t="n"/>
      <c r="AA45" s="30" t="inlineStr">
        <is>
          <t>Represented by Sample</t>
        </is>
      </c>
      <c r="AB45" s="30" t="inlineStr">
        <is>
          <t>Yes</t>
        </is>
      </c>
      <c r="AC45" s="27" t="n"/>
      <c r="AD45" s="31" t="inlineStr">
        <is>
          <t>No</t>
        </is>
      </c>
      <c r="AE45" s="32">
        <f>IF(W45="","",IF(Z45="Yes","❌ Disc",IF(Y45="No","⚠ Missing",IF(AB45="Yes","✓ OK","⚠ Check"))))</f>
        <v/>
      </c>
      <c r="AF45" s="33" t="n"/>
      <c r="AG45" s="33" t="n"/>
      <c r="AH45" s="33" t="n"/>
      <c r="AI45" s="33" t="n"/>
      <c r="AJ45" s="33" t="n"/>
      <c r="AK45" s="33" t="n"/>
      <c r="AL45" s="27" t="n"/>
      <c r="AM45" s="34" t="n"/>
      <c r="AN45" s="35">
        <f>IF(AF45="","",IF(AI45="Yes","❌ Disc",IF(AH45="No","⚠ Missing",IF(AK45="Yes","✓ OK","⚠ Check"))))</f>
        <v/>
      </c>
      <c r="AO45" s="36" t="n"/>
      <c r="AP45" s="36" t="n"/>
      <c r="AQ45" s="36" t="n"/>
      <c r="AR45" s="36" t="n"/>
      <c r="AS45" s="36" t="n"/>
      <c r="AT45" s="36" t="n"/>
      <c r="AU45" s="27" t="n"/>
      <c r="AV45" s="37" t="n"/>
      <c r="AW45" s="38">
        <f>IF(AO45="","",IF(AR45="Yes","❌ Disc",IF(AQ45="No","⚠ Missing",IF(AT45="Yes","✓ OK","⚠ Check"))))</f>
        <v/>
      </c>
    </row>
    <row r="46" ht="18" customHeight="1" s="46">
      <c r="A46" s="39" t="n">
        <v>42</v>
      </c>
      <c r="B46" s="40" t="inlineStr">
        <is>
          <t>BD-HNA-2025-0033</t>
        </is>
      </c>
      <c r="C46" s="41" t="inlineStr">
        <is>
          <t>Bonito Legs - 4" LG-109(S.H.-ZP) Gold Metal Leg</t>
        </is>
      </c>
      <c r="D46" s="39" t="inlineStr">
        <is>
          <t>Bonito Legs</t>
        </is>
      </c>
      <c r="E46" s="43" t="n">
        <v>46125</v>
      </c>
      <c r="F46" s="26" t="inlineStr">
        <is>
          <t>Sunil CR</t>
        </is>
      </c>
      <c r="G46" s="44" t="inlineStr">
        <is>
          <t>Represented by Sample</t>
        </is>
      </c>
      <c r="H46" s="26" t="inlineStr">
        <is>
          <t>No</t>
        </is>
      </c>
      <c r="I46" s="44" t="inlineStr">
        <is>
          <t>Represented by Sample</t>
        </is>
      </c>
      <c r="J46" s="26" t="inlineStr">
        <is>
          <t>Yes</t>
        </is>
      </c>
      <c r="K46" s="27" t="n"/>
      <c r="L46" s="28" t="inlineStr">
        <is>
          <t>No</t>
        </is>
      </c>
      <c r="M46" s="29">
        <f>IF(E46="","",IF(H46="Yes","❌ Disc",IF(G46="No","⚠ Missing",IF(J46="Yes","✓ OK","⚠ Check"))))</f>
        <v/>
      </c>
      <c r="N46" s="43" t="n">
        <v>46196</v>
      </c>
      <c r="O46" s="26" t="inlineStr">
        <is>
          <t>Sunil CR</t>
        </is>
      </c>
      <c r="P46" s="44" t="inlineStr">
        <is>
          <t>Represented by Sample</t>
        </is>
      </c>
      <c r="Q46" s="26" t="inlineStr">
        <is>
          <t>No</t>
        </is>
      </c>
      <c r="R46" s="44" t="inlineStr">
        <is>
          <t>Represented by Sample</t>
        </is>
      </c>
      <c r="S46" s="26" t="inlineStr">
        <is>
          <t>Yes</t>
        </is>
      </c>
      <c r="T46" s="27" t="n"/>
      <c r="U46" s="28" t="inlineStr">
        <is>
          <t>No</t>
        </is>
      </c>
      <c r="V46" s="29">
        <f>IF(N46="","",IF(Q46="Yes","❌ Disc",IF(P46="No","⚠ Missing",IF(S46="Yes","✓ OK","⚠ Check"))))</f>
        <v/>
      </c>
      <c r="W46" s="65" t="n">
        <v>46248</v>
      </c>
      <c r="X46" s="30" t="inlineStr">
        <is>
          <t>Sunil CR</t>
        </is>
      </c>
      <c r="Y46" s="30" t="inlineStr">
        <is>
          <t>Represented by Sample</t>
        </is>
      </c>
      <c r="Z46" s="30" t="n"/>
      <c r="AA46" s="30" t="inlineStr">
        <is>
          <t>Represented by Sample</t>
        </is>
      </c>
      <c r="AB46" s="30" t="inlineStr">
        <is>
          <t>Yes</t>
        </is>
      </c>
      <c r="AC46" s="27" t="n"/>
      <c r="AD46" s="31" t="inlineStr">
        <is>
          <t>No</t>
        </is>
      </c>
      <c r="AE46" s="32">
        <f>IF(W46="","",IF(Z46="Yes","❌ Disc",IF(Y46="No","⚠ Missing",IF(AB46="Yes","✓ OK","⚠ Check"))))</f>
        <v/>
      </c>
      <c r="AF46" s="33" t="n"/>
      <c r="AG46" s="33" t="n"/>
      <c r="AH46" s="33" t="n"/>
      <c r="AI46" s="33" t="n"/>
      <c r="AJ46" s="33" t="n"/>
      <c r="AK46" s="33" t="n"/>
      <c r="AL46" s="27" t="n"/>
      <c r="AM46" s="34" t="n"/>
      <c r="AN46" s="35">
        <f>IF(AF46="","",IF(AI46="Yes","❌ Disc",IF(AH46="No","⚠ Missing",IF(AK46="Yes","✓ OK","⚠ Check"))))</f>
        <v/>
      </c>
      <c r="AO46" s="36" t="n"/>
      <c r="AP46" s="36" t="n"/>
      <c r="AQ46" s="36" t="n"/>
      <c r="AR46" s="36" t="n"/>
      <c r="AS46" s="36" t="n"/>
      <c r="AT46" s="36" t="n"/>
      <c r="AU46" s="27" t="n"/>
      <c r="AV46" s="37" t="n"/>
      <c r="AW46" s="38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BD-HNA-2025-0041</t>
        </is>
      </c>
      <c r="C47" s="25" t="inlineStr">
        <is>
          <t>Bonito Legs - 4" LG-109(S.H.-ZP) Rose Gold Metal Leg</t>
        </is>
      </c>
      <c r="D47" s="23" t="inlineStr">
        <is>
          <t>Bonito Legs</t>
        </is>
      </c>
      <c r="E47" s="43" t="n">
        <v>46125</v>
      </c>
      <c r="F47" s="26" t="inlineStr">
        <is>
          <t>Sunil CR</t>
        </is>
      </c>
      <c r="G47" s="44" t="inlineStr">
        <is>
          <t>Yes</t>
        </is>
      </c>
      <c r="H47" s="26" t="inlineStr">
        <is>
          <t>No</t>
        </is>
      </c>
      <c r="I47" s="44" t="inlineStr">
        <is>
          <t>Good finish</t>
        </is>
      </c>
      <c r="J47" s="26" t="inlineStr">
        <is>
          <t>Yes</t>
        </is>
      </c>
      <c r="K47" s="27" t="n"/>
      <c r="L47" s="28" t="inlineStr">
        <is>
          <t>No</t>
        </is>
      </c>
      <c r="M47" s="29">
        <f>IF(E47="","",IF(H47="Yes","❌ Disc",IF(G47="No","⚠ Missing",IF(J47="Yes","✓ OK","⚠ Check"))))</f>
        <v/>
      </c>
      <c r="N47" s="43" t="n">
        <v>46196</v>
      </c>
      <c r="O47" s="26" t="inlineStr">
        <is>
          <t>Sunil CR</t>
        </is>
      </c>
      <c r="P47" s="44" t="inlineStr">
        <is>
          <t>Yes</t>
        </is>
      </c>
      <c r="Q47" s="26" t="inlineStr">
        <is>
          <t>No</t>
        </is>
      </c>
      <c r="R47" s="44" t="inlineStr">
        <is>
          <t>Good finish</t>
        </is>
      </c>
      <c r="S47" s="26" t="inlineStr">
        <is>
          <t>Yes</t>
        </is>
      </c>
      <c r="T47" s="27" t="n"/>
      <c r="U47" s="28" t="inlineStr">
        <is>
          <t>No</t>
        </is>
      </c>
      <c r="V47" s="29">
        <f>IF(N47="","",IF(Q47="Yes","❌ Disc",IF(P47="No","⚠ Missing",IF(S47="Yes","✓ OK","⚠ Check"))))</f>
        <v/>
      </c>
      <c r="W47" s="65" t="n">
        <v>46248</v>
      </c>
      <c r="X47" s="30" t="inlineStr">
        <is>
          <t>Sunil CR</t>
        </is>
      </c>
      <c r="Y47" s="30" t="inlineStr">
        <is>
          <t>Yes</t>
        </is>
      </c>
      <c r="Z47" s="30" t="n"/>
      <c r="AA47" s="30" t="inlineStr">
        <is>
          <t>Good finish</t>
        </is>
      </c>
      <c r="AB47" s="30" t="inlineStr">
        <is>
          <t>Yes</t>
        </is>
      </c>
      <c r="AC47" s="27" t="n"/>
      <c r="AD47" s="31" t="inlineStr">
        <is>
          <t>No</t>
        </is>
      </c>
      <c r="AE47" s="32">
        <f>IF(W47="","",IF(Z47="Yes","❌ Disc",IF(Y47="No","⚠ Missing",IF(AB47="Yes","✓ OK","⚠ Check"))))</f>
        <v/>
      </c>
      <c r="AF47" s="33" t="n"/>
      <c r="AG47" s="33" t="n"/>
      <c r="AH47" s="33" t="n"/>
      <c r="AI47" s="33" t="n"/>
      <c r="AJ47" s="33" t="n"/>
      <c r="AK47" s="33" t="n"/>
      <c r="AL47" s="27" t="n"/>
      <c r="AM47" s="34" t="n"/>
      <c r="AN47" s="35">
        <f>IF(AF47="","",IF(AI47="Yes","❌ Disc",IF(AH47="No","⚠ Missing",IF(AK47="Yes","✓ OK","⚠ Check"))))</f>
        <v/>
      </c>
      <c r="AO47" s="36" t="n"/>
      <c r="AP47" s="36" t="n"/>
      <c r="AQ47" s="36" t="n"/>
      <c r="AR47" s="36" t="n"/>
      <c r="AS47" s="36" t="n"/>
      <c r="AT47" s="36" t="n"/>
      <c r="AU47" s="27" t="n"/>
      <c r="AV47" s="37" t="n"/>
      <c r="AW47" s="38">
        <f>IF(AO47="","",IF(AR47="Yes","❌ Disc",IF(AQ47="No","⚠ Missing",IF(AT47="Yes","✓ OK","⚠ Check"))))</f>
        <v/>
      </c>
    </row>
    <row r="48" ht="18" customHeight="1" s="46">
      <c r="A48" s="39" t="n">
        <v>44</v>
      </c>
      <c r="B48" s="40" t="inlineStr">
        <is>
          <t>BD-HNA-2025-0045</t>
        </is>
      </c>
      <c r="C48" s="41" t="inlineStr">
        <is>
          <t>Bonito Legs - 4" LG-130(S.H-ZP) Antique Metal Leg</t>
        </is>
      </c>
      <c r="D48" s="39" t="inlineStr">
        <is>
          <t>Bonito Legs</t>
        </is>
      </c>
      <c r="E48" s="43" t="n">
        <v>46125</v>
      </c>
      <c r="F48" s="26" t="inlineStr">
        <is>
          <t>Sunil CR</t>
        </is>
      </c>
      <c r="G48" s="44" t="inlineStr">
        <is>
          <t>Yes</t>
        </is>
      </c>
      <c r="H48" s="26" t="inlineStr">
        <is>
          <t>No</t>
        </is>
      </c>
      <c r="I48" s="44" t="inlineStr">
        <is>
          <t>Good finish</t>
        </is>
      </c>
      <c r="J48" s="26" t="inlineStr">
        <is>
          <t>Yes</t>
        </is>
      </c>
      <c r="K48" s="27" t="n"/>
      <c r="L48" s="28" t="inlineStr">
        <is>
          <t>No</t>
        </is>
      </c>
      <c r="M48" s="29">
        <f>IF(E48="","",IF(H48="Yes","❌ Disc",IF(G48="No","⚠ Missing",IF(J48="Yes","✓ OK","⚠ Check"))))</f>
        <v/>
      </c>
      <c r="N48" s="43" t="n">
        <v>46196</v>
      </c>
      <c r="O48" s="26" t="inlineStr">
        <is>
          <t>Sunil CR</t>
        </is>
      </c>
      <c r="P48" s="44" t="inlineStr">
        <is>
          <t>Yes</t>
        </is>
      </c>
      <c r="Q48" s="26" t="inlineStr">
        <is>
          <t>No</t>
        </is>
      </c>
      <c r="R48" s="44" t="inlineStr">
        <is>
          <t>Good finish</t>
        </is>
      </c>
      <c r="S48" s="26" t="inlineStr">
        <is>
          <t>Yes</t>
        </is>
      </c>
      <c r="T48" s="27" t="n"/>
      <c r="U48" s="28" t="inlineStr">
        <is>
          <t>No</t>
        </is>
      </c>
      <c r="V48" s="29">
        <f>IF(N48="","",IF(Q48="Yes","❌ Disc",IF(P48="No","⚠ Missing",IF(S48="Yes","✓ OK","⚠ Check"))))</f>
        <v/>
      </c>
      <c r="W48" s="65" t="n">
        <v>46248</v>
      </c>
      <c r="X48" s="30" t="inlineStr">
        <is>
          <t>Sunil CR</t>
        </is>
      </c>
      <c r="Y48" s="30" t="inlineStr">
        <is>
          <t>Yes</t>
        </is>
      </c>
      <c r="Z48" s="30" t="n"/>
      <c r="AA48" s="30" t="inlineStr">
        <is>
          <t>Good finish</t>
        </is>
      </c>
      <c r="AB48" s="30" t="inlineStr">
        <is>
          <t>Yes</t>
        </is>
      </c>
      <c r="AC48" s="27" t="n"/>
      <c r="AD48" s="31" t="inlineStr">
        <is>
          <t>No</t>
        </is>
      </c>
      <c r="AE48" s="32">
        <f>IF(W48="","",IF(Z48="Yes","❌ Disc",IF(Y48="No","⚠ Missing",IF(AB48="Yes","✓ OK","⚠ Check"))))</f>
        <v/>
      </c>
      <c r="AF48" s="33" t="n"/>
      <c r="AG48" s="33" t="n"/>
      <c r="AH48" s="33" t="n"/>
      <c r="AI48" s="33" t="n"/>
      <c r="AJ48" s="33" t="n"/>
      <c r="AK48" s="33" t="n"/>
      <c r="AL48" s="27" t="n"/>
      <c r="AM48" s="34" t="n"/>
      <c r="AN48" s="35">
        <f>IF(AF48="","",IF(AI48="Yes","❌ Disc",IF(AH48="No","⚠ Missing",IF(AK48="Yes","✓ OK","⚠ Check"))))</f>
        <v/>
      </c>
      <c r="AO48" s="36" t="n"/>
      <c r="AP48" s="36" t="n"/>
      <c r="AQ48" s="36" t="n"/>
      <c r="AR48" s="36" t="n"/>
      <c r="AS48" s="36" t="n"/>
      <c r="AT48" s="36" t="n"/>
      <c r="AU48" s="27" t="n"/>
      <c r="AV48" s="37" t="n"/>
      <c r="AW48" s="38">
        <f>IF(AO48="","",IF(AR48="Yes","❌ Disc",IF(AQ48="No","⚠ Missing",IF(AT48="Yes","✓ OK","⚠ Check"))))</f>
        <v/>
      </c>
    </row>
    <row r="49" ht="18" customHeight="1" s="46">
      <c r="A49" s="23" t="n">
        <v>45</v>
      </c>
      <c r="B49" s="24" t="inlineStr">
        <is>
          <t>BD-HNA-2025-0047</t>
        </is>
      </c>
      <c r="C49" s="25" t="inlineStr">
        <is>
          <t>Bonito Legs - 4" LG-130(S.H-ZP) Gold Metal Leg</t>
        </is>
      </c>
      <c r="D49" s="23" t="inlineStr">
        <is>
          <t>Bonito Legs</t>
        </is>
      </c>
      <c r="E49" s="43" t="n">
        <v>46125</v>
      </c>
      <c r="F49" s="26" t="inlineStr">
        <is>
          <t>Sunil CR</t>
        </is>
      </c>
      <c r="G49" s="44" t="inlineStr">
        <is>
          <t>Represented by Sample</t>
        </is>
      </c>
      <c r="H49" s="26" t="inlineStr">
        <is>
          <t>No</t>
        </is>
      </c>
      <c r="I49" s="44" t="inlineStr">
        <is>
          <t>Represented by Sample</t>
        </is>
      </c>
      <c r="J49" s="26" t="inlineStr">
        <is>
          <t>Yes</t>
        </is>
      </c>
      <c r="K49" s="27" t="n"/>
      <c r="L49" s="28" t="inlineStr">
        <is>
          <t>No</t>
        </is>
      </c>
      <c r="M49" s="29">
        <f>IF(E49="","",IF(H49="Yes","❌ Disc",IF(G49="No","⚠ Missing",IF(J49="Yes","✓ OK","⚠ Check"))))</f>
        <v/>
      </c>
      <c r="N49" s="43" t="n">
        <v>46196</v>
      </c>
      <c r="O49" s="26" t="inlineStr">
        <is>
          <t>Sunil CR</t>
        </is>
      </c>
      <c r="P49" s="44" t="inlineStr">
        <is>
          <t>Represented by Sample</t>
        </is>
      </c>
      <c r="Q49" s="26" t="inlineStr">
        <is>
          <t>No</t>
        </is>
      </c>
      <c r="R49" s="44" t="inlineStr">
        <is>
          <t>Represented by Sample</t>
        </is>
      </c>
      <c r="S49" s="26" t="inlineStr">
        <is>
          <t>Yes</t>
        </is>
      </c>
      <c r="T49" s="27" t="n"/>
      <c r="U49" s="28" t="inlineStr">
        <is>
          <t>No</t>
        </is>
      </c>
      <c r="V49" s="29">
        <f>IF(N49="","",IF(Q49="Yes","❌ Disc",IF(P49="No","⚠ Missing",IF(S49="Yes","✓ OK","⚠ Check"))))</f>
        <v/>
      </c>
      <c r="W49" s="65" t="n">
        <v>46248</v>
      </c>
      <c r="X49" s="30" t="inlineStr">
        <is>
          <t>Sunil CR</t>
        </is>
      </c>
      <c r="Y49" s="30" t="inlineStr">
        <is>
          <t>Represented by Sample</t>
        </is>
      </c>
      <c r="Z49" s="30" t="n"/>
      <c r="AA49" s="30" t="inlineStr">
        <is>
          <t>Represented by Sample</t>
        </is>
      </c>
      <c r="AB49" s="30" t="inlineStr">
        <is>
          <t>Yes</t>
        </is>
      </c>
      <c r="AC49" s="27" t="n"/>
      <c r="AD49" s="31" t="inlineStr">
        <is>
          <t>No</t>
        </is>
      </c>
      <c r="AE49" s="32">
        <f>IF(W49="","",IF(Z49="Yes","❌ Disc",IF(Y49="No","⚠ Missing",IF(AB49="Yes","✓ OK","⚠ Check"))))</f>
        <v/>
      </c>
      <c r="AF49" s="33" t="n"/>
      <c r="AG49" s="33" t="n"/>
      <c r="AH49" s="33" t="n"/>
      <c r="AI49" s="33" t="n"/>
      <c r="AJ49" s="33" t="n"/>
      <c r="AK49" s="33" t="n"/>
      <c r="AL49" s="27" t="n"/>
      <c r="AM49" s="34" t="n"/>
      <c r="AN49" s="35">
        <f>IF(AF49="","",IF(AI49="Yes","❌ Disc",IF(AH49="No","⚠ Missing",IF(AK49="Yes","✓ OK","⚠ Check"))))</f>
        <v/>
      </c>
      <c r="AO49" s="36" t="n"/>
      <c r="AP49" s="36" t="n"/>
      <c r="AQ49" s="36" t="n"/>
      <c r="AR49" s="36" t="n"/>
      <c r="AS49" s="36" t="n"/>
      <c r="AT49" s="36" t="n"/>
      <c r="AU49" s="27" t="n"/>
      <c r="AV49" s="37" t="n"/>
      <c r="AW49" s="38">
        <f>IF(AO49="","",IF(AR49="Yes","❌ Disc",IF(AQ49="No","⚠ Missing",IF(AT49="Yes","✓ OK","⚠ Check"))))</f>
        <v/>
      </c>
    </row>
    <row r="50" ht="18" customHeight="1" s="46">
      <c r="A50" s="39" t="n">
        <v>46</v>
      </c>
      <c r="B50" s="40" t="inlineStr">
        <is>
          <t>BD-HNA-2025-0049</t>
        </is>
      </c>
      <c r="C50" s="41" t="inlineStr">
        <is>
          <t>Bonito Legs - 4" LG-130(S.H-ZP) Rose Gold Metal Leg</t>
        </is>
      </c>
      <c r="D50" s="39" t="inlineStr">
        <is>
          <t>Bonito Legs</t>
        </is>
      </c>
      <c r="E50" s="43" t="n">
        <v>46125</v>
      </c>
      <c r="F50" s="26" t="inlineStr">
        <is>
          <t>Sunil CR</t>
        </is>
      </c>
      <c r="G50" s="44" t="inlineStr">
        <is>
          <t>Represented by Sample</t>
        </is>
      </c>
      <c r="H50" s="26" t="inlineStr">
        <is>
          <t>No</t>
        </is>
      </c>
      <c r="I50" s="44" t="inlineStr">
        <is>
          <t>Represented by Sample</t>
        </is>
      </c>
      <c r="J50" s="26" t="inlineStr">
        <is>
          <t>Yes</t>
        </is>
      </c>
      <c r="K50" s="27" t="n"/>
      <c r="L50" s="28" t="inlineStr">
        <is>
          <t>No</t>
        </is>
      </c>
      <c r="M50" s="29">
        <f>IF(E50="","",IF(H50="Yes","❌ Disc",IF(G50="No","⚠ Missing",IF(J50="Yes","✓ OK","⚠ Check"))))</f>
        <v/>
      </c>
      <c r="N50" s="43" t="n">
        <v>46196</v>
      </c>
      <c r="O50" s="26" t="inlineStr">
        <is>
          <t>Sunil CR</t>
        </is>
      </c>
      <c r="P50" s="44" t="inlineStr">
        <is>
          <t>Represented by Sample</t>
        </is>
      </c>
      <c r="Q50" s="26" t="inlineStr">
        <is>
          <t>No</t>
        </is>
      </c>
      <c r="R50" s="44" t="inlineStr">
        <is>
          <t>Represented by Sample</t>
        </is>
      </c>
      <c r="S50" s="26" t="inlineStr">
        <is>
          <t>Yes</t>
        </is>
      </c>
      <c r="T50" s="27" t="n"/>
      <c r="U50" s="28" t="inlineStr">
        <is>
          <t>No</t>
        </is>
      </c>
      <c r="V50" s="29">
        <f>IF(N50="","",IF(Q50="Yes","❌ Disc",IF(P50="No","⚠ Missing",IF(S50="Yes","✓ OK","⚠ Check"))))</f>
        <v/>
      </c>
      <c r="W50" s="65" t="n">
        <v>46248</v>
      </c>
      <c r="X50" s="30" t="inlineStr">
        <is>
          <t>Sunil CR</t>
        </is>
      </c>
      <c r="Y50" s="30" t="inlineStr">
        <is>
          <t>Represented by Sample</t>
        </is>
      </c>
      <c r="Z50" s="30" t="n"/>
      <c r="AA50" s="30" t="inlineStr">
        <is>
          <t>Represented by Sample</t>
        </is>
      </c>
      <c r="AB50" s="30" t="inlineStr">
        <is>
          <t>Yes</t>
        </is>
      </c>
      <c r="AC50" s="27" t="n"/>
      <c r="AD50" s="31" t="inlineStr">
        <is>
          <t>No</t>
        </is>
      </c>
      <c r="AE50" s="32">
        <f>IF(W50="","",IF(Z50="Yes","❌ Disc",IF(Y50="No","⚠ Missing",IF(AB50="Yes","✓ OK","⚠ Check"))))</f>
        <v/>
      </c>
      <c r="AF50" s="33" t="n"/>
      <c r="AG50" s="33" t="n"/>
      <c r="AH50" s="33" t="n"/>
      <c r="AI50" s="33" t="n"/>
      <c r="AJ50" s="33" t="n"/>
      <c r="AK50" s="33" t="n"/>
      <c r="AL50" s="27" t="n"/>
      <c r="AM50" s="34" t="n"/>
      <c r="AN50" s="35">
        <f>IF(AF50="","",IF(AI50="Yes","❌ Disc",IF(AH50="No","⚠ Missing",IF(AK50="Yes","✓ OK","⚠ Check"))))</f>
        <v/>
      </c>
      <c r="AO50" s="36" t="n"/>
      <c r="AP50" s="36" t="n"/>
      <c r="AQ50" s="36" t="n"/>
      <c r="AR50" s="36" t="n"/>
      <c r="AS50" s="36" t="n"/>
      <c r="AT50" s="36" t="n"/>
      <c r="AU50" s="27" t="n"/>
      <c r="AV50" s="37" t="n"/>
      <c r="AW50" s="38">
        <f>IF(AO50="","",IF(AR50="Yes","❌ Disc",IF(AQ50="No","⚠ Missing",IF(AT50="Yes","✓ OK","⚠ Check"))))</f>
        <v/>
      </c>
    </row>
    <row r="51" ht="18" customHeight="1" s="46">
      <c r="A51" s="23" t="n">
        <v>47</v>
      </c>
      <c r="B51" s="24" t="inlineStr">
        <is>
          <t>BD-HNA-2025-0051</t>
        </is>
      </c>
      <c r="C51" s="25" t="inlineStr">
        <is>
          <t>Bonito Legs - 4" LG-133(S.H-ZP) Black Metal Leg</t>
        </is>
      </c>
      <c r="D51" s="23" t="inlineStr">
        <is>
          <t>Bonito Legs</t>
        </is>
      </c>
      <c r="E51" s="43" t="n">
        <v>46125</v>
      </c>
      <c r="F51" s="26" t="inlineStr">
        <is>
          <t>Sunil CR</t>
        </is>
      </c>
      <c r="G51" s="44" t="inlineStr">
        <is>
          <t>Yes</t>
        </is>
      </c>
      <c r="H51" s="26" t="inlineStr">
        <is>
          <t>No</t>
        </is>
      </c>
      <c r="I51" s="44" t="inlineStr">
        <is>
          <t>Good finish</t>
        </is>
      </c>
      <c r="J51" s="26" t="inlineStr">
        <is>
          <t>Yes</t>
        </is>
      </c>
      <c r="K51" s="27" t="n"/>
      <c r="L51" s="28" t="inlineStr">
        <is>
          <t>No</t>
        </is>
      </c>
      <c r="M51" s="29">
        <f>IF(E51="","",IF(H51="Yes","❌ Disc",IF(G51="No","⚠ Missing",IF(J51="Yes","✓ OK","⚠ Check"))))</f>
        <v/>
      </c>
      <c r="N51" s="43" t="n">
        <v>46196</v>
      </c>
      <c r="O51" s="26" t="inlineStr">
        <is>
          <t>Sunil CR</t>
        </is>
      </c>
      <c r="P51" s="44" t="inlineStr">
        <is>
          <t>Yes</t>
        </is>
      </c>
      <c r="Q51" s="26" t="inlineStr">
        <is>
          <t>No</t>
        </is>
      </c>
      <c r="R51" s="44" t="inlineStr">
        <is>
          <t>Good finish</t>
        </is>
      </c>
      <c r="S51" s="26" t="inlineStr">
        <is>
          <t>Yes</t>
        </is>
      </c>
      <c r="T51" s="27" t="n"/>
      <c r="U51" s="28" t="inlineStr">
        <is>
          <t>No</t>
        </is>
      </c>
      <c r="V51" s="29">
        <f>IF(N51="","",IF(Q51="Yes","❌ Disc",IF(P51="No","⚠ Missing",IF(S51="Yes","✓ OK","⚠ Check"))))</f>
        <v/>
      </c>
      <c r="W51" s="65" t="n">
        <v>46248</v>
      </c>
      <c r="X51" s="30" t="inlineStr">
        <is>
          <t>Sunil CR</t>
        </is>
      </c>
      <c r="Y51" s="30" t="inlineStr">
        <is>
          <t>Yes</t>
        </is>
      </c>
      <c r="Z51" s="30" t="n"/>
      <c r="AA51" s="30" t="inlineStr">
        <is>
          <t>Good finish</t>
        </is>
      </c>
      <c r="AB51" s="30" t="inlineStr">
        <is>
          <t>Yes</t>
        </is>
      </c>
      <c r="AC51" s="27" t="n"/>
      <c r="AD51" s="31" t="inlineStr">
        <is>
          <t>No</t>
        </is>
      </c>
      <c r="AE51" s="32">
        <f>IF(W51="","",IF(Z51="Yes","❌ Disc",IF(Y51="No","⚠ Missing",IF(AB51="Yes","✓ OK","⚠ Check"))))</f>
        <v/>
      </c>
      <c r="AF51" s="33" t="n"/>
      <c r="AG51" s="33" t="n"/>
      <c r="AH51" s="33" t="n"/>
      <c r="AI51" s="33" t="n"/>
      <c r="AJ51" s="33" t="n"/>
      <c r="AK51" s="33" t="n"/>
      <c r="AL51" s="27" t="n"/>
      <c r="AM51" s="34" t="n"/>
      <c r="AN51" s="35">
        <f>IF(AF51="","",IF(AI51="Yes","❌ Disc",IF(AH51="No","⚠ Missing",IF(AK51="Yes","✓ OK","⚠ Check"))))</f>
        <v/>
      </c>
      <c r="AO51" s="36" t="n"/>
      <c r="AP51" s="36" t="n"/>
      <c r="AQ51" s="36" t="n"/>
      <c r="AR51" s="36" t="n"/>
      <c r="AS51" s="36" t="n"/>
      <c r="AT51" s="36" t="n"/>
      <c r="AU51" s="27" t="n"/>
      <c r="AV51" s="37" t="n"/>
      <c r="AW51" s="38">
        <f>IF(AO51="","",IF(AR51="Yes","❌ Disc",IF(AQ51="No","⚠ Missing",IF(AT51="Yes","✓ OK","⚠ Check"))))</f>
        <v/>
      </c>
    </row>
    <row r="52" ht="18" customHeight="1" s="46">
      <c r="A52" s="39" t="n">
        <v>48</v>
      </c>
      <c r="B52" s="40" t="inlineStr">
        <is>
          <t>BD-HNA-2025-0053</t>
        </is>
      </c>
      <c r="C52" s="41" t="inlineStr">
        <is>
          <t>Bonito Legs - 4" LG-133(S.H-ZP) Gold/Black Metal Leg</t>
        </is>
      </c>
      <c r="D52" s="39" t="inlineStr">
        <is>
          <t>Bonito Legs</t>
        </is>
      </c>
      <c r="E52" s="43" t="n">
        <v>46125</v>
      </c>
      <c r="F52" s="26" t="inlineStr">
        <is>
          <t>Sunil CR</t>
        </is>
      </c>
      <c r="G52" s="44" t="inlineStr">
        <is>
          <t>Yes</t>
        </is>
      </c>
      <c r="H52" s="26" t="inlineStr">
        <is>
          <t>No</t>
        </is>
      </c>
      <c r="I52" s="44" t="inlineStr">
        <is>
          <t>Good finish</t>
        </is>
      </c>
      <c r="J52" s="26" t="inlineStr">
        <is>
          <t>Yes</t>
        </is>
      </c>
      <c r="K52" s="27" t="n"/>
      <c r="L52" s="28" t="inlineStr">
        <is>
          <t>No</t>
        </is>
      </c>
      <c r="M52" s="29">
        <f>IF(E52="","",IF(H52="Yes","❌ Disc",IF(G52="No","⚠ Missing",IF(J52="Yes","✓ OK","⚠ Check"))))</f>
        <v/>
      </c>
      <c r="N52" s="43" t="n">
        <v>46196</v>
      </c>
      <c r="O52" s="26" t="inlineStr">
        <is>
          <t>Sunil CR</t>
        </is>
      </c>
      <c r="P52" s="44" t="inlineStr">
        <is>
          <t>Yes</t>
        </is>
      </c>
      <c r="Q52" s="26" t="inlineStr">
        <is>
          <t>No</t>
        </is>
      </c>
      <c r="R52" s="44" t="inlineStr">
        <is>
          <t>Good finish</t>
        </is>
      </c>
      <c r="S52" s="26" t="inlineStr">
        <is>
          <t>Yes</t>
        </is>
      </c>
      <c r="T52" s="27" t="n"/>
      <c r="U52" s="28" t="inlineStr">
        <is>
          <t>No</t>
        </is>
      </c>
      <c r="V52" s="29">
        <f>IF(N52="","",IF(Q52="Yes","❌ Disc",IF(P52="No","⚠ Missing",IF(S52="Yes","✓ OK","⚠ Check"))))</f>
        <v/>
      </c>
      <c r="W52" s="65" t="n">
        <v>46248</v>
      </c>
      <c r="X52" s="30" t="inlineStr">
        <is>
          <t>Sunil CR</t>
        </is>
      </c>
      <c r="Y52" s="30" t="inlineStr">
        <is>
          <t>Yes</t>
        </is>
      </c>
      <c r="Z52" s="30" t="n"/>
      <c r="AA52" s="30" t="inlineStr">
        <is>
          <t>Good finish</t>
        </is>
      </c>
      <c r="AB52" s="30" t="inlineStr">
        <is>
          <t>Yes</t>
        </is>
      </c>
      <c r="AC52" s="27" t="n"/>
      <c r="AD52" s="31" t="inlineStr">
        <is>
          <t>No</t>
        </is>
      </c>
      <c r="AE52" s="32">
        <f>IF(W52="","",IF(Z52="Yes","❌ Disc",IF(Y52="No","⚠ Missing",IF(AB52="Yes","✓ OK","⚠ Check"))))</f>
        <v/>
      </c>
      <c r="AF52" s="33" t="n"/>
      <c r="AG52" s="33" t="n"/>
      <c r="AH52" s="33" t="n"/>
      <c r="AI52" s="33" t="n"/>
      <c r="AJ52" s="33" t="n"/>
      <c r="AK52" s="33" t="n"/>
      <c r="AL52" s="27" t="n"/>
      <c r="AM52" s="34" t="n"/>
      <c r="AN52" s="35">
        <f>IF(AF52="","",IF(AI52="Yes","❌ Disc",IF(AH52="No","⚠ Missing",IF(AK52="Yes","✓ OK","⚠ Check"))))</f>
        <v/>
      </c>
      <c r="AO52" s="36" t="n"/>
      <c r="AP52" s="36" t="n"/>
      <c r="AQ52" s="36" t="n"/>
      <c r="AR52" s="36" t="n"/>
      <c r="AS52" s="36" t="n"/>
      <c r="AT52" s="36" t="n"/>
      <c r="AU52" s="27" t="n"/>
      <c r="AV52" s="37" t="n"/>
      <c r="AW52" s="38">
        <f>IF(AO52="","",IF(AR52="Yes","❌ Disc",IF(AQ52="No","⚠ Missing",IF(AT52="Yes","✓ OK","⚠ Check"))))</f>
        <v/>
      </c>
    </row>
    <row r="53" ht="18" customHeight="1" s="46">
      <c r="A53" s="23" t="n">
        <v>49</v>
      </c>
      <c r="B53" s="24" t="inlineStr">
        <is>
          <t>BD-HNA-2025-0052</t>
        </is>
      </c>
      <c r="C53" s="25" t="inlineStr">
        <is>
          <t>Bonito Legs - 4" LG-133(S.H-ZP) Rose Gold/Black Metal Leg</t>
        </is>
      </c>
      <c r="D53" s="23" t="inlineStr">
        <is>
          <t>Bonito Legs</t>
        </is>
      </c>
      <c r="E53" s="43" t="n">
        <v>46125</v>
      </c>
      <c r="F53" s="26" t="inlineStr">
        <is>
          <t>Sunil CR</t>
        </is>
      </c>
      <c r="G53" s="44" t="inlineStr">
        <is>
          <t>Yes</t>
        </is>
      </c>
      <c r="H53" s="26" t="inlineStr">
        <is>
          <t>No</t>
        </is>
      </c>
      <c r="I53" s="44" t="inlineStr">
        <is>
          <t>Good finish</t>
        </is>
      </c>
      <c r="J53" s="26" t="inlineStr">
        <is>
          <t>Yes</t>
        </is>
      </c>
      <c r="K53" s="27" t="n"/>
      <c r="L53" s="28" t="inlineStr">
        <is>
          <t>No</t>
        </is>
      </c>
      <c r="M53" s="29">
        <f>IF(E53="","",IF(H53="Yes","❌ Disc",IF(G53="No","⚠ Missing",IF(J53="Yes","✓ OK","⚠ Check"))))</f>
        <v/>
      </c>
      <c r="N53" s="43" t="n">
        <v>46196</v>
      </c>
      <c r="O53" s="26" t="inlineStr">
        <is>
          <t>Sunil CR</t>
        </is>
      </c>
      <c r="P53" s="44" t="inlineStr">
        <is>
          <t>Yes</t>
        </is>
      </c>
      <c r="Q53" s="26" t="inlineStr">
        <is>
          <t>No</t>
        </is>
      </c>
      <c r="R53" s="44" t="inlineStr">
        <is>
          <t>Good finish</t>
        </is>
      </c>
      <c r="S53" s="26" t="inlineStr">
        <is>
          <t>Yes</t>
        </is>
      </c>
      <c r="T53" s="27" t="n"/>
      <c r="U53" s="28" t="inlineStr">
        <is>
          <t>No</t>
        </is>
      </c>
      <c r="V53" s="29">
        <f>IF(N53="","",IF(Q53="Yes","❌ Disc",IF(P53="No","⚠ Missing",IF(S53="Yes","✓ OK","⚠ Check"))))</f>
        <v/>
      </c>
      <c r="W53" s="65" t="n">
        <v>46248</v>
      </c>
      <c r="X53" s="30" t="inlineStr">
        <is>
          <t>Sunil CR</t>
        </is>
      </c>
      <c r="Y53" s="30" t="inlineStr">
        <is>
          <t>Yes</t>
        </is>
      </c>
      <c r="Z53" s="30" t="n"/>
      <c r="AA53" s="30" t="inlineStr">
        <is>
          <t>Good finish</t>
        </is>
      </c>
      <c r="AB53" s="30" t="inlineStr">
        <is>
          <t>Yes</t>
        </is>
      </c>
      <c r="AC53" s="27" t="n"/>
      <c r="AD53" s="31" t="inlineStr">
        <is>
          <t>No</t>
        </is>
      </c>
      <c r="AE53" s="32">
        <f>IF(W53="","",IF(Z53="Yes","❌ Disc",IF(Y53="No","⚠ Missing",IF(AB53="Yes","✓ OK","⚠ Check"))))</f>
        <v/>
      </c>
      <c r="AF53" s="33" t="n"/>
      <c r="AG53" s="33" t="n"/>
      <c r="AH53" s="33" t="n"/>
      <c r="AI53" s="33" t="n"/>
      <c r="AJ53" s="33" t="n"/>
      <c r="AK53" s="33" t="n"/>
      <c r="AL53" s="27" t="n"/>
      <c r="AM53" s="34" t="n"/>
      <c r="AN53" s="35">
        <f>IF(AF53="","",IF(AI53="Yes","❌ Disc",IF(AH53="No","⚠ Missing",IF(AK53="Yes","✓ OK","⚠ Check"))))</f>
        <v/>
      </c>
      <c r="AO53" s="36" t="n"/>
      <c r="AP53" s="36" t="n"/>
      <c r="AQ53" s="36" t="n"/>
      <c r="AR53" s="36" t="n"/>
      <c r="AS53" s="36" t="n"/>
      <c r="AT53" s="36" t="n"/>
      <c r="AU53" s="27" t="n"/>
      <c r="AV53" s="37" t="n"/>
      <c r="AW53" s="38">
        <f>IF(AO53="","",IF(AR53="Yes","❌ Disc",IF(AQ53="No","⚠ Missing",IF(AT53="Yes","✓ OK","⚠ Check"))))</f>
        <v/>
      </c>
    </row>
    <row r="54" ht="18" customHeight="1" s="46">
      <c r="A54" s="39" t="n">
        <v>50</v>
      </c>
      <c r="B54" s="40" t="inlineStr">
        <is>
          <t>BD-HNA-2025-0080</t>
        </is>
      </c>
      <c r="C54" s="41" t="inlineStr">
        <is>
          <t>Bonito Legs - 4" One Side Degree Wooden Leg</t>
        </is>
      </c>
      <c r="D54" s="39" t="inlineStr">
        <is>
          <t>Bonito Legs</t>
        </is>
      </c>
      <c r="E54" s="43" t="n">
        <v>46125</v>
      </c>
      <c r="F54" s="26" t="inlineStr">
        <is>
          <t>Sunil CR</t>
        </is>
      </c>
      <c r="G54" s="44" t="inlineStr">
        <is>
          <t>Represented by Sample</t>
        </is>
      </c>
      <c r="H54" s="26" t="inlineStr">
        <is>
          <t>No</t>
        </is>
      </c>
      <c r="I54" s="44" t="inlineStr">
        <is>
          <t>Represented by Sample</t>
        </is>
      </c>
      <c r="J54" s="26" t="inlineStr">
        <is>
          <t>Yes</t>
        </is>
      </c>
      <c r="K54" s="27" t="n"/>
      <c r="L54" s="28" t="inlineStr">
        <is>
          <t>No</t>
        </is>
      </c>
      <c r="M54" s="29">
        <f>IF(E54="","",IF(H54="Yes","❌ Disc",IF(G54="No","⚠ Missing",IF(J54="Yes","✓ OK","⚠ Check"))))</f>
        <v/>
      </c>
      <c r="N54" s="43" t="n">
        <v>46196</v>
      </c>
      <c r="O54" s="26" t="inlineStr">
        <is>
          <t>Sunil CR</t>
        </is>
      </c>
      <c r="P54" s="44" t="inlineStr">
        <is>
          <t>Represented by Sample</t>
        </is>
      </c>
      <c r="Q54" s="26" t="inlineStr">
        <is>
          <t>No</t>
        </is>
      </c>
      <c r="R54" s="44" t="inlineStr">
        <is>
          <t>Represented by Sample</t>
        </is>
      </c>
      <c r="S54" s="26" t="inlineStr">
        <is>
          <t>Yes</t>
        </is>
      </c>
      <c r="T54" s="27" t="n"/>
      <c r="U54" s="28" t="inlineStr">
        <is>
          <t>No</t>
        </is>
      </c>
      <c r="V54" s="29">
        <f>IF(N54="","",IF(Q54="Yes","❌ Disc",IF(P54="No","⚠ Missing",IF(S54="Yes","✓ OK","⚠ Check"))))</f>
        <v/>
      </c>
      <c r="W54" s="65" t="n">
        <v>46248</v>
      </c>
      <c r="X54" s="30" t="inlineStr">
        <is>
          <t>Sunil CR</t>
        </is>
      </c>
      <c r="Y54" s="30" t="inlineStr">
        <is>
          <t>Represented by Sample</t>
        </is>
      </c>
      <c r="Z54" s="30" t="n"/>
      <c r="AA54" s="30" t="inlineStr">
        <is>
          <t>Represented by Sample</t>
        </is>
      </c>
      <c r="AB54" s="30" t="inlineStr">
        <is>
          <t>Yes</t>
        </is>
      </c>
      <c r="AC54" s="27" t="n"/>
      <c r="AD54" s="31" t="inlineStr">
        <is>
          <t>No</t>
        </is>
      </c>
      <c r="AE54" s="32">
        <f>IF(W54="","",IF(Z54="Yes","❌ Disc",IF(Y54="No","⚠ Missing",IF(AB54="Yes","✓ OK","⚠ Check"))))</f>
        <v/>
      </c>
      <c r="AF54" s="33" t="n"/>
      <c r="AG54" s="33" t="n"/>
      <c r="AH54" s="33" t="n"/>
      <c r="AI54" s="33" t="n"/>
      <c r="AJ54" s="33" t="n"/>
      <c r="AK54" s="33" t="n"/>
      <c r="AL54" s="27" t="n"/>
      <c r="AM54" s="34" t="n"/>
      <c r="AN54" s="35">
        <f>IF(AF54="","",IF(AI54="Yes","❌ Disc",IF(AH54="No","⚠ Missing",IF(AK54="Yes","✓ OK","⚠ Check"))))</f>
        <v/>
      </c>
      <c r="AO54" s="36" t="n"/>
      <c r="AP54" s="36" t="n"/>
      <c r="AQ54" s="36" t="n"/>
      <c r="AR54" s="36" t="n"/>
      <c r="AS54" s="36" t="n"/>
      <c r="AT54" s="36" t="n"/>
      <c r="AU54" s="27" t="n"/>
      <c r="AV54" s="37" t="n"/>
      <c r="AW54" s="38">
        <f>IF(AO54="","",IF(AR54="Yes","❌ Disc",IF(AQ54="No","⚠ Missing",IF(AT54="Yes","✓ OK","⚠ Check"))))</f>
        <v/>
      </c>
    </row>
    <row r="55" ht="18" customHeight="1" s="46">
      <c r="A55" s="23" t="n">
        <v>51</v>
      </c>
      <c r="B55" s="24" t="inlineStr">
        <is>
          <t>BD-HNA-2025-0013</t>
        </is>
      </c>
      <c r="C55" s="25" t="inlineStr">
        <is>
          <t>Bonito Legs - 6" 298(V.H) Black Metal Leg</t>
        </is>
      </c>
      <c r="D55" s="23" t="inlineStr">
        <is>
          <t>Bonito Legs</t>
        </is>
      </c>
      <c r="E55" s="43" t="n">
        <v>46125</v>
      </c>
      <c r="F55" s="26" t="inlineStr">
        <is>
          <t>Sunil CR</t>
        </is>
      </c>
      <c r="G55" s="44" t="inlineStr">
        <is>
          <t>Represented by Sample</t>
        </is>
      </c>
      <c r="H55" s="26" t="inlineStr">
        <is>
          <t>No</t>
        </is>
      </c>
      <c r="I55" s="44" t="inlineStr">
        <is>
          <t>Represented by Sample</t>
        </is>
      </c>
      <c r="J55" s="26" t="inlineStr">
        <is>
          <t>Yes</t>
        </is>
      </c>
      <c r="K55" s="27" t="n"/>
      <c r="L55" s="28" t="inlineStr">
        <is>
          <t>No</t>
        </is>
      </c>
      <c r="M55" s="29">
        <f>IF(E55="","",IF(H55="Yes","❌ Disc",IF(G55="No","⚠ Missing",IF(J55="Yes","✓ OK","⚠ Check"))))</f>
        <v/>
      </c>
      <c r="N55" s="43" t="n">
        <v>46196</v>
      </c>
      <c r="O55" s="26" t="inlineStr">
        <is>
          <t>Sunil CR</t>
        </is>
      </c>
      <c r="P55" s="44" t="inlineStr">
        <is>
          <t>Represented by Sample</t>
        </is>
      </c>
      <c r="Q55" s="26" t="inlineStr">
        <is>
          <t>No</t>
        </is>
      </c>
      <c r="R55" s="44" t="inlineStr">
        <is>
          <t>Represented by Sample</t>
        </is>
      </c>
      <c r="S55" s="26" t="inlineStr">
        <is>
          <t>Yes</t>
        </is>
      </c>
      <c r="T55" s="27" t="n"/>
      <c r="U55" s="28" t="inlineStr">
        <is>
          <t>No</t>
        </is>
      </c>
      <c r="V55" s="29">
        <f>IF(N55="","",IF(Q55="Yes","❌ Disc",IF(P55="No","⚠ Missing",IF(S55="Yes","✓ OK","⚠ Check"))))</f>
        <v/>
      </c>
      <c r="W55" s="65" t="n">
        <v>46248</v>
      </c>
      <c r="X55" s="30" t="inlineStr">
        <is>
          <t>Sunil CR</t>
        </is>
      </c>
      <c r="Y55" s="30" t="inlineStr">
        <is>
          <t>Represented by Sample</t>
        </is>
      </c>
      <c r="Z55" s="30" t="n"/>
      <c r="AA55" s="30" t="inlineStr">
        <is>
          <t>Represented by Sample</t>
        </is>
      </c>
      <c r="AB55" s="30" t="inlineStr">
        <is>
          <t>Yes</t>
        </is>
      </c>
      <c r="AC55" s="27" t="n"/>
      <c r="AD55" s="31" t="inlineStr">
        <is>
          <t>No</t>
        </is>
      </c>
      <c r="AE55" s="32">
        <f>IF(W55="","",IF(Z55="Yes","❌ Disc",IF(Y55="No","⚠ Missing",IF(AB55="Yes","✓ OK","⚠ Check"))))</f>
        <v/>
      </c>
      <c r="AF55" s="33" t="n"/>
      <c r="AG55" s="33" t="n"/>
      <c r="AH55" s="33" t="n"/>
      <c r="AI55" s="33" t="n"/>
      <c r="AJ55" s="33" t="n"/>
      <c r="AK55" s="33" t="n"/>
      <c r="AL55" s="27" t="n"/>
      <c r="AM55" s="34" t="n"/>
      <c r="AN55" s="35">
        <f>IF(AF55="","",IF(AI55="Yes","❌ Disc",IF(AH55="No","⚠ Missing",IF(AK55="Yes","✓ OK","⚠ Check"))))</f>
        <v/>
      </c>
      <c r="AO55" s="36" t="n"/>
      <c r="AP55" s="36" t="n"/>
      <c r="AQ55" s="36" t="n"/>
      <c r="AR55" s="36" t="n"/>
      <c r="AS55" s="36" t="n"/>
      <c r="AT55" s="36" t="n"/>
      <c r="AU55" s="27" t="n"/>
      <c r="AV55" s="37" t="n"/>
      <c r="AW55" s="38">
        <f>IF(AO55="","",IF(AR55="Yes","❌ Disc",IF(AQ55="No","⚠ Missing",IF(AT55="Yes","✓ OK","⚠ Check"))))</f>
        <v/>
      </c>
    </row>
    <row r="56" ht="18" customHeight="1" s="46">
      <c r="A56" s="39" t="n">
        <v>52</v>
      </c>
      <c r="B56" s="40" t="inlineStr">
        <is>
          <t>BD-HNA-2025-0020</t>
        </is>
      </c>
      <c r="C56" s="41" t="inlineStr">
        <is>
          <t>Bonito Legs - 6" 298(V.H) Gold Metal Leg</t>
        </is>
      </c>
      <c r="D56" s="39" t="inlineStr">
        <is>
          <t>Bonito Legs</t>
        </is>
      </c>
      <c r="E56" s="43" t="n">
        <v>46125</v>
      </c>
      <c r="F56" s="26" t="inlineStr">
        <is>
          <t>Sunil CR</t>
        </is>
      </c>
      <c r="G56" s="44" t="inlineStr">
        <is>
          <t>Represented by Sample</t>
        </is>
      </c>
      <c r="H56" s="26" t="inlineStr">
        <is>
          <t>No</t>
        </is>
      </c>
      <c r="I56" s="44" t="inlineStr">
        <is>
          <t>Represented by Sample</t>
        </is>
      </c>
      <c r="J56" s="26" t="inlineStr">
        <is>
          <t>Yes</t>
        </is>
      </c>
      <c r="K56" s="27" t="n"/>
      <c r="L56" s="28" t="inlineStr">
        <is>
          <t>No</t>
        </is>
      </c>
      <c r="M56" s="29">
        <f>IF(E56="","",IF(H56="Yes","❌ Disc",IF(G56="No","⚠ Missing",IF(J56="Yes","✓ OK","⚠ Check"))))</f>
        <v/>
      </c>
      <c r="N56" s="43" t="n">
        <v>46196</v>
      </c>
      <c r="O56" s="26" t="inlineStr">
        <is>
          <t>Sunil CR</t>
        </is>
      </c>
      <c r="P56" s="44" t="inlineStr">
        <is>
          <t>Represented by Sample</t>
        </is>
      </c>
      <c r="Q56" s="26" t="inlineStr">
        <is>
          <t>No</t>
        </is>
      </c>
      <c r="R56" s="44" t="inlineStr">
        <is>
          <t>Represented by Sample</t>
        </is>
      </c>
      <c r="S56" s="26" t="inlineStr">
        <is>
          <t>Yes</t>
        </is>
      </c>
      <c r="T56" s="27" t="n"/>
      <c r="U56" s="28" t="inlineStr">
        <is>
          <t>No</t>
        </is>
      </c>
      <c r="V56" s="29">
        <f>IF(N56="","",IF(Q56="Yes","❌ Disc",IF(P56="No","⚠ Missing",IF(S56="Yes","✓ OK","⚠ Check"))))</f>
        <v/>
      </c>
      <c r="W56" s="65" t="n">
        <v>46248</v>
      </c>
      <c r="X56" s="30" t="inlineStr">
        <is>
          <t>Sunil CR</t>
        </is>
      </c>
      <c r="Y56" s="30" t="inlineStr">
        <is>
          <t>Represented by Sample</t>
        </is>
      </c>
      <c r="Z56" s="30" t="n"/>
      <c r="AA56" s="30" t="inlineStr">
        <is>
          <t>Represented by Sample</t>
        </is>
      </c>
      <c r="AB56" s="30" t="inlineStr">
        <is>
          <t>Yes</t>
        </is>
      </c>
      <c r="AC56" s="27" t="n"/>
      <c r="AD56" s="31" t="inlineStr">
        <is>
          <t>No</t>
        </is>
      </c>
      <c r="AE56" s="32">
        <f>IF(W56="","",IF(Z56="Yes","❌ Disc",IF(Y56="No","⚠ Missing",IF(AB56="Yes","✓ OK","⚠ Check"))))</f>
        <v/>
      </c>
      <c r="AF56" s="33" t="n"/>
      <c r="AG56" s="33" t="n"/>
      <c r="AH56" s="33" t="n"/>
      <c r="AI56" s="33" t="n"/>
      <c r="AJ56" s="33" t="n"/>
      <c r="AK56" s="33" t="n"/>
      <c r="AL56" s="27" t="n"/>
      <c r="AM56" s="34" t="n"/>
      <c r="AN56" s="35">
        <f>IF(AF56="","",IF(AI56="Yes","❌ Disc",IF(AH56="No","⚠ Missing",IF(AK56="Yes","✓ OK","⚠ Check"))))</f>
        <v/>
      </c>
      <c r="AO56" s="36" t="n"/>
      <c r="AP56" s="36" t="n"/>
      <c r="AQ56" s="36" t="n"/>
      <c r="AR56" s="36" t="n"/>
      <c r="AS56" s="36" t="n"/>
      <c r="AT56" s="36" t="n"/>
      <c r="AU56" s="27" t="n"/>
      <c r="AV56" s="37" t="n"/>
      <c r="AW56" s="38">
        <f>IF(AO56="","",IF(AR56="Yes","❌ Disc",IF(AQ56="No","⚠ Missing",IF(AT56="Yes","✓ OK","⚠ Check"))))</f>
        <v/>
      </c>
    </row>
    <row r="57" ht="18" customHeight="1" s="46">
      <c r="A57" s="23" t="n">
        <v>53</v>
      </c>
      <c r="B57" s="24" t="inlineStr">
        <is>
          <t>BD-HNA-2025-0027</t>
        </is>
      </c>
      <c r="C57" s="25" t="inlineStr">
        <is>
          <t>Bonito Legs - 6" 298(V.H) Rose Gold Metal Leg</t>
        </is>
      </c>
      <c r="D57" s="23" t="inlineStr">
        <is>
          <t>Bonito Legs</t>
        </is>
      </c>
      <c r="E57" s="43" t="n">
        <v>46125</v>
      </c>
      <c r="F57" s="26" t="inlineStr">
        <is>
          <t>Sunil CR</t>
        </is>
      </c>
      <c r="G57" s="44" t="inlineStr">
        <is>
          <t>Represented by Sample</t>
        </is>
      </c>
      <c r="H57" s="26" t="inlineStr">
        <is>
          <t>No</t>
        </is>
      </c>
      <c r="I57" s="44" t="inlineStr">
        <is>
          <t>Represented by Sample</t>
        </is>
      </c>
      <c r="J57" s="26" t="inlineStr">
        <is>
          <t>Yes</t>
        </is>
      </c>
      <c r="K57" s="27" t="n"/>
      <c r="L57" s="28" t="inlineStr">
        <is>
          <t>No</t>
        </is>
      </c>
      <c r="M57" s="29">
        <f>IF(E57="","",IF(H57="Yes","❌ Disc",IF(G57="No","⚠ Missing",IF(J57="Yes","✓ OK","⚠ Check"))))</f>
        <v/>
      </c>
      <c r="N57" s="43" t="n">
        <v>46196</v>
      </c>
      <c r="O57" s="26" t="inlineStr">
        <is>
          <t>Sunil CR</t>
        </is>
      </c>
      <c r="P57" s="44" t="inlineStr">
        <is>
          <t>Represented by Sample</t>
        </is>
      </c>
      <c r="Q57" s="26" t="inlineStr">
        <is>
          <t>No</t>
        </is>
      </c>
      <c r="R57" s="44" t="inlineStr">
        <is>
          <t>Represented by Sample</t>
        </is>
      </c>
      <c r="S57" s="26" t="inlineStr">
        <is>
          <t>Yes</t>
        </is>
      </c>
      <c r="T57" s="27" t="n"/>
      <c r="U57" s="28" t="inlineStr">
        <is>
          <t>No</t>
        </is>
      </c>
      <c r="V57" s="29">
        <f>IF(N57="","",IF(Q57="Yes","❌ Disc",IF(P57="No","⚠ Missing",IF(S57="Yes","✓ OK","⚠ Check"))))</f>
        <v/>
      </c>
      <c r="W57" s="65" t="n">
        <v>46248</v>
      </c>
      <c r="X57" s="30" t="inlineStr">
        <is>
          <t>Sunil CR</t>
        </is>
      </c>
      <c r="Y57" s="30" t="inlineStr">
        <is>
          <t>Represented by Sample</t>
        </is>
      </c>
      <c r="Z57" s="30" t="n"/>
      <c r="AA57" s="30" t="inlineStr">
        <is>
          <t>Represented by Sample</t>
        </is>
      </c>
      <c r="AB57" s="30" t="inlineStr">
        <is>
          <t>Yes</t>
        </is>
      </c>
      <c r="AC57" s="27" t="n"/>
      <c r="AD57" s="31" t="inlineStr">
        <is>
          <t>No</t>
        </is>
      </c>
      <c r="AE57" s="32">
        <f>IF(W57="","",IF(Z57="Yes","❌ Disc",IF(Y57="No","⚠ Missing",IF(AB57="Yes","✓ OK","⚠ Check"))))</f>
        <v/>
      </c>
      <c r="AF57" s="33" t="n"/>
      <c r="AG57" s="33" t="n"/>
      <c r="AH57" s="33" t="n"/>
      <c r="AI57" s="33" t="n"/>
      <c r="AJ57" s="33" t="n"/>
      <c r="AK57" s="33" t="n"/>
      <c r="AL57" s="27" t="n"/>
      <c r="AM57" s="34" t="n"/>
      <c r="AN57" s="35">
        <f>IF(AF57="","",IF(AI57="Yes","❌ Disc",IF(AH57="No","⚠ Missing",IF(AK57="Yes","✓ OK","⚠ Check"))))</f>
        <v/>
      </c>
      <c r="AO57" s="36" t="n"/>
      <c r="AP57" s="36" t="n"/>
      <c r="AQ57" s="36" t="n"/>
      <c r="AR57" s="36" t="n"/>
      <c r="AS57" s="36" t="n"/>
      <c r="AT57" s="36" t="n"/>
      <c r="AU57" s="27" t="n"/>
      <c r="AV57" s="37" t="n"/>
      <c r="AW57" s="38">
        <f>IF(AO57="","",IF(AR57="Yes","❌ Disc",IF(AQ57="No","⚠ Missing",IF(AT57="Yes","✓ OK","⚠ Check"))))</f>
        <v/>
      </c>
    </row>
    <row r="58" ht="18" customHeight="1" s="46">
      <c r="A58" s="39" t="n">
        <v>54</v>
      </c>
      <c r="B58" s="40" t="inlineStr">
        <is>
          <t>BD-HNA-2025-0087</t>
        </is>
      </c>
      <c r="C58" s="41" t="inlineStr">
        <is>
          <t>Bonito Legs - 6" 7028(G.I) Dark Wooden Leg</t>
        </is>
      </c>
      <c r="D58" s="39" t="inlineStr">
        <is>
          <t>Bonito Legs</t>
        </is>
      </c>
      <c r="E58" s="43" t="n">
        <v>46125</v>
      </c>
      <c r="F58" s="26" t="inlineStr">
        <is>
          <t>Sunil CR</t>
        </is>
      </c>
      <c r="G58" s="44" t="inlineStr">
        <is>
          <t>Represented by Sample</t>
        </is>
      </c>
      <c r="H58" s="26" t="inlineStr">
        <is>
          <t>No</t>
        </is>
      </c>
      <c r="I58" s="44" t="inlineStr">
        <is>
          <t>Represented by Sample</t>
        </is>
      </c>
      <c r="J58" s="26" t="inlineStr">
        <is>
          <t>Yes</t>
        </is>
      </c>
      <c r="K58" s="27" t="n"/>
      <c r="L58" s="28" t="inlineStr">
        <is>
          <t>No</t>
        </is>
      </c>
      <c r="M58" s="29">
        <f>IF(E58="","",IF(H58="Yes","❌ Disc",IF(G58="No","⚠ Missing",IF(J58="Yes","✓ OK","⚠ Check"))))</f>
        <v/>
      </c>
      <c r="N58" s="43" t="n">
        <v>46196</v>
      </c>
      <c r="O58" s="26" t="inlineStr">
        <is>
          <t>Sunil CR</t>
        </is>
      </c>
      <c r="P58" s="44" t="inlineStr">
        <is>
          <t>Represented by Sample</t>
        </is>
      </c>
      <c r="Q58" s="26" t="inlineStr">
        <is>
          <t>No</t>
        </is>
      </c>
      <c r="R58" s="44" t="inlineStr">
        <is>
          <t>Represented by Sample</t>
        </is>
      </c>
      <c r="S58" s="26" t="inlineStr">
        <is>
          <t>Yes</t>
        </is>
      </c>
      <c r="T58" s="27" t="n"/>
      <c r="U58" s="28" t="inlineStr">
        <is>
          <t>No</t>
        </is>
      </c>
      <c r="V58" s="29">
        <f>IF(N58="","",IF(Q58="Yes","❌ Disc",IF(P58="No","⚠ Missing",IF(S58="Yes","✓ OK","⚠ Check"))))</f>
        <v/>
      </c>
      <c r="W58" s="65" t="n">
        <v>46248</v>
      </c>
      <c r="X58" s="30" t="inlineStr">
        <is>
          <t>Sunil CR</t>
        </is>
      </c>
      <c r="Y58" s="30" t="inlineStr">
        <is>
          <t>Represented by Sample</t>
        </is>
      </c>
      <c r="Z58" s="30" t="n"/>
      <c r="AA58" s="30" t="inlineStr">
        <is>
          <t>Represented by Sample</t>
        </is>
      </c>
      <c r="AB58" s="30" t="inlineStr">
        <is>
          <t>Yes</t>
        </is>
      </c>
      <c r="AC58" s="27" t="n"/>
      <c r="AD58" s="31" t="inlineStr">
        <is>
          <t>No</t>
        </is>
      </c>
      <c r="AE58" s="32">
        <f>IF(W58="","",IF(Z58="Yes","❌ Disc",IF(Y58="No","⚠ Missing",IF(AB58="Yes","✓ OK","⚠ Check"))))</f>
        <v/>
      </c>
      <c r="AF58" s="33" t="n"/>
      <c r="AG58" s="33" t="n"/>
      <c r="AH58" s="33" t="n"/>
      <c r="AI58" s="33" t="n"/>
      <c r="AJ58" s="33" t="n"/>
      <c r="AK58" s="33" t="n"/>
      <c r="AL58" s="27" t="n"/>
      <c r="AM58" s="34" t="n"/>
      <c r="AN58" s="35">
        <f>IF(AF58="","",IF(AI58="Yes","❌ Disc",IF(AH58="No","⚠ Missing",IF(AK58="Yes","✓ OK","⚠ Check"))))</f>
        <v/>
      </c>
      <c r="AO58" s="36" t="n"/>
      <c r="AP58" s="36" t="n"/>
      <c r="AQ58" s="36" t="n"/>
      <c r="AR58" s="36" t="n"/>
      <c r="AS58" s="36" t="n"/>
      <c r="AT58" s="36" t="n"/>
      <c r="AU58" s="27" t="n"/>
      <c r="AV58" s="37" t="n"/>
      <c r="AW58" s="38">
        <f>IF(AO58="","",IF(AR58="Yes","❌ Disc",IF(AQ58="No","⚠ Missing",IF(AT58="Yes","✓ OK","⚠ Check"))))</f>
        <v/>
      </c>
    </row>
    <row r="59" ht="18" customHeight="1" s="46">
      <c r="A59" s="23" t="n">
        <v>55</v>
      </c>
      <c r="B59" s="24" t="inlineStr">
        <is>
          <t>BD-HNA-2025-0076</t>
        </is>
      </c>
      <c r="C59" s="25" t="inlineStr">
        <is>
          <t>Bonito Legs - 6" Candy Cross Wooden Leg</t>
        </is>
      </c>
      <c r="D59" s="23" t="inlineStr">
        <is>
          <t>Bonito Legs</t>
        </is>
      </c>
      <c r="E59" s="43" t="n">
        <v>46125</v>
      </c>
      <c r="F59" s="26" t="inlineStr">
        <is>
          <t>Sunil CR</t>
        </is>
      </c>
      <c r="G59" s="44" t="inlineStr">
        <is>
          <t>Yes</t>
        </is>
      </c>
      <c r="H59" s="26" t="inlineStr">
        <is>
          <t>No</t>
        </is>
      </c>
      <c r="I59" s="44" t="inlineStr">
        <is>
          <t>Good finish</t>
        </is>
      </c>
      <c r="J59" s="26" t="inlineStr">
        <is>
          <t>Yes</t>
        </is>
      </c>
      <c r="K59" s="27" t="n"/>
      <c r="L59" s="28" t="inlineStr">
        <is>
          <t>No</t>
        </is>
      </c>
      <c r="M59" s="29">
        <f>IF(E59="","",IF(H59="Yes","❌ Disc",IF(G59="No","⚠ Missing",IF(J59="Yes","✓ OK","⚠ Check"))))</f>
        <v/>
      </c>
      <c r="N59" s="43" t="n">
        <v>46196</v>
      </c>
      <c r="O59" s="26" t="inlineStr">
        <is>
          <t>Sunil CR</t>
        </is>
      </c>
      <c r="P59" s="44" t="inlineStr">
        <is>
          <t>Yes</t>
        </is>
      </c>
      <c r="Q59" s="26" t="inlineStr">
        <is>
          <t>No</t>
        </is>
      </c>
      <c r="R59" s="44" t="inlineStr">
        <is>
          <t>Good finish</t>
        </is>
      </c>
      <c r="S59" s="26" t="inlineStr">
        <is>
          <t>Yes</t>
        </is>
      </c>
      <c r="T59" s="27" t="n"/>
      <c r="U59" s="28" t="inlineStr">
        <is>
          <t>No</t>
        </is>
      </c>
      <c r="V59" s="29">
        <f>IF(N59="","",IF(Q59="Yes","❌ Disc",IF(P59="No","⚠ Missing",IF(S59="Yes","✓ OK","⚠ Check"))))</f>
        <v/>
      </c>
      <c r="W59" s="65" t="n">
        <v>46248</v>
      </c>
      <c r="X59" s="30" t="inlineStr">
        <is>
          <t>Sunil CR</t>
        </is>
      </c>
      <c r="Y59" s="30" t="inlineStr">
        <is>
          <t>Yes</t>
        </is>
      </c>
      <c r="Z59" s="30" t="n"/>
      <c r="AA59" s="30" t="inlineStr">
        <is>
          <t>Good finish</t>
        </is>
      </c>
      <c r="AB59" s="30" t="inlineStr">
        <is>
          <t>Yes</t>
        </is>
      </c>
      <c r="AC59" s="27" t="n"/>
      <c r="AD59" s="31" t="inlineStr">
        <is>
          <t>No</t>
        </is>
      </c>
      <c r="AE59" s="32">
        <f>IF(W59="","",IF(Z59="Yes","❌ Disc",IF(Y59="No","⚠ Missing",IF(AB59="Yes","✓ OK","⚠ Check"))))</f>
        <v/>
      </c>
      <c r="AF59" s="33" t="n"/>
      <c r="AG59" s="33" t="n"/>
      <c r="AH59" s="33" t="n"/>
      <c r="AI59" s="33" t="n"/>
      <c r="AJ59" s="33" t="n"/>
      <c r="AK59" s="33" t="n"/>
      <c r="AL59" s="27" t="n"/>
      <c r="AM59" s="34" t="n"/>
      <c r="AN59" s="35">
        <f>IF(AF59="","",IF(AI59="Yes","❌ Disc",IF(AH59="No","⚠ Missing",IF(AK59="Yes","✓ OK","⚠ Check"))))</f>
        <v/>
      </c>
      <c r="AO59" s="36" t="n"/>
      <c r="AP59" s="36" t="n"/>
      <c r="AQ59" s="36" t="n"/>
      <c r="AR59" s="36" t="n"/>
      <c r="AS59" s="36" t="n"/>
      <c r="AT59" s="36" t="n"/>
      <c r="AU59" s="27" t="n"/>
      <c r="AV59" s="37" t="n"/>
      <c r="AW59" s="38">
        <f>IF(AO59="","",IF(AR59="Yes","❌ Disc",IF(AQ59="No","⚠ Missing",IF(AT59="Yes","✓ OK","⚠ Check"))))</f>
        <v/>
      </c>
    </row>
    <row r="60" ht="18" customHeight="1" s="46">
      <c r="A60" s="39" t="n">
        <v>56</v>
      </c>
      <c r="B60" s="40" t="inlineStr">
        <is>
          <t>BD-HNA-2025-0073</t>
        </is>
      </c>
      <c r="C60" s="41" t="inlineStr">
        <is>
          <t>Bonito Legs - 6" Candy Straight Wooden Leg</t>
        </is>
      </c>
      <c r="D60" s="39" t="inlineStr">
        <is>
          <t>Bonito Legs</t>
        </is>
      </c>
      <c r="E60" s="43" t="n">
        <v>46125</v>
      </c>
      <c r="F60" s="26" t="inlineStr">
        <is>
          <t>Sunil CR</t>
        </is>
      </c>
      <c r="G60" s="44" t="inlineStr">
        <is>
          <t>Represented by Sample</t>
        </is>
      </c>
      <c r="H60" s="26" t="inlineStr">
        <is>
          <t>No</t>
        </is>
      </c>
      <c r="I60" s="44" t="inlineStr">
        <is>
          <t>Represented by Sample</t>
        </is>
      </c>
      <c r="J60" s="26" t="inlineStr">
        <is>
          <t>Yes</t>
        </is>
      </c>
      <c r="K60" s="27" t="n"/>
      <c r="L60" s="28" t="inlineStr">
        <is>
          <t>No</t>
        </is>
      </c>
      <c r="M60" s="29">
        <f>IF(E60="","",IF(H60="Yes","❌ Disc",IF(G60="No","⚠ Missing",IF(J60="Yes","✓ OK","⚠ Check"))))</f>
        <v/>
      </c>
      <c r="N60" s="43" t="n">
        <v>46196</v>
      </c>
      <c r="O60" s="26" t="inlineStr">
        <is>
          <t>Sunil CR</t>
        </is>
      </c>
      <c r="P60" s="44" t="inlineStr">
        <is>
          <t>Represented by Sample</t>
        </is>
      </c>
      <c r="Q60" s="26" t="inlineStr">
        <is>
          <t>No</t>
        </is>
      </c>
      <c r="R60" s="44" t="inlineStr">
        <is>
          <t>Represented by Sample</t>
        </is>
      </c>
      <c r="S60" s="26" t="inlineStr">
        <is>
          <t>Yes</t>
        </is>
      </c>
      <c r="T60" s="27" t="n"/>
      <c r="U60" s="28" t="inlineStr">
        <is>
          <t>No</t>
        </is>
      </c>
      <c r="V60" s="29">
        <f>IF(N60="","",IF(Q60="Yes","❌ Disc",IF(P60="No","⚠ Missing",IF(S60="Yes","✓ OK","⚠ Check"))))</f>
        <v/>
      </c>
      <c r="W60" s="65" t="n">
        <v>46248</v>
      </c>
      <c r="X60" s="30" t="inlineStr">
        <is>
          <t>Sunil CR</t>
        </is>
      </c>
      <c r="Y60" s="30" t="inlineStr">
        <is>
          <t>Represented by Sample</t>
        </is>
      </c>
      <c r="Z60" s="30" t="n"/>
      <c r="AA60" s="30" t="inlineStr">
        <is>
          <t>Represented by Sample</t>
        </is>
      </c>
      <c r="AB60" s="30" t="inlineStr">
        <is>
          <t>Yes</t>
        </is>
      </c>
      <c r="AC60" s="27" t="n"/>
      <c r="AD60" s="31" t="inlineStr">
        <is>
          <t>No</t>
        </is>
      </c>
      <c r="AE60" s="32">
        <f>IF(W60="","",IF(Z60="Yes","❌ Disc",IF(Y60="No","⚠ Missing",IF(AB60="Yes","✓ OK","⚠ Check"))))</f>
        <v/>
      </c>
      <c r="AF60" s="33" t="n"/>
      <c r="AG60" s="33" t="n"/>
      <c r="AH60" s="33" t="n"/>
      <c r="AI60" s="33" t="n"/>
      <c r="AJ60" s="33" t="n"/>
      <c r="AK60" s="33" t="n"/>
      <c r="AL60" s="27" t="n"/>
      <c r="AM60" s="34" t="n"/>
      <c r="AN60" s="35">
        <f>IF(AF60="","",IF(AI60="Yes","❌ Disc",IF(AH60="No","⚠ Missing",IF(AK60="Yes","✓ OK","⚠ Check"))))</f>
        <v/>
      </c>
      <c r="AO60" s="36" t="n"/>
      <c r="AP60" s="36" t="n"/>
      <c r="AQ60" s="36" t="n"/>
      <c r="AR60" s="36" t="n"/>
      <c r="AS60" s="36" t="n"/>
      <c r="AT60" s="36" t="n"/>
      <c r="AU60" s="27" t="n"/>
      <c r="AV60" s="37" t="n"/>
      <c r="AW60" s="38">
        <f>IF(AO60="","",IF(AR60="Yes","❌ Disc",IF(AQ60="No","⚠ Missing",IF(AT60="Yes","✓ OK","⚠ Check"))))</f>
        <v/>
      </c>
    </row>
    <row r="61" ht="18" customHeight="1" s="46">
      <c r="A61" s="23" t="n">
        <v>57</v>
      </c>
      <c r="B61" s="24" t="inlineStr">
        <is>
          <t>BD-HNA-2025-0084</t>
        </is>
      </c>
      <c r="C61" s="25" t="inlineStr">
        <is>
          <t>Bonito Legs - 6" Four Side Degree Wooden Leg</t>
        </is>
      </c>
      <c r="D61" s="23" t="inlineStr">
        <is>
          <t>Bonito Legs</t>
        </is>
      </c>
      <c r="E61" s="43" t="n">
        <v>46125</v>
      </c>
      <c r="F61" s="26" t="inlineStr">
        <is>
          <t>Sunil CR</t>
        </is>
      </c>
      <c r="G61" s="44" t="inlineStr">
        <is>
          <t>Represented by Sample</t>
        </is>
      </c>
      <c r="H61" s="26" t="inlineStr">
        <is>
          <t>No</t>
        </is>
      </c>
      <c r="I61" s="44" t="inlineStr">
        <is>
          <t>Represented by Sample</t>
        </is>
      </c>
      <c r="J61" s="26" t="inlineStr">
        <is>
          <t>Yes</t>
        </is>
      </c>
      <c r="K61" s="27" t="n"/>
      <c r="L61" s="28" t="inlineStr">
        <is>
          <t>No</t>
        </is>
      </c>
      <c r="M61" s="29">
        <f>IF(E61="","",IF(H61="Yes","❌ Disc",IF(G61="No","⚠ Missing",IF(J61="Yes","✓ OK","⚠ Check"))))</f>
        <v/>
      </c>
      <c r="N61" s="43" t="n">
        <v>46196</v>
      </c>
      <c r="O61" s="26" t="inlineStr">
        <is>
          <t>Sunil CR</t>
        </is>
      </c>
      <c r="P61" s="44" t="inlineStr">
        <is>
          <t>Represented by Sample</t>
        </is>
      </c>
      <c r="Q61" s="26" t="inlineStr">
        <is>
          <t>No</t>
        </is>
      </c>
      <c r="R61" s="44" t="inlineStr">
        <is>
          <t>Represented by Sample</t>
        </is>
      </c>
      <c r="S61" s="26" t="inlineStr">
        <is>
          <t>Yes</t>
        </is>
      </c>
      <c r="T61" s="27" t="n"/>
      <c r="U61" s="28" t="inlineStr">
        <is>
          <t>No</t>
        </is>
      </c>
      <c r="V61" s="29">
        <f>IF(N61="","",IF(Q61="Yes","❌ Disc",IF(P61="No","⚠ Missing",IF(S61="Yes","✓ OK","⚠ Check"))))</f>
        <v/>
      </c>
      <c r="W61" s="65" t="n">
        <v>46248</v>
      </c>
      <c r="X61" s="30" t="inlineStr">
        <is>
          <t>Sunil CR</t>
        </is>
      </c>
      <c r="Y61" s="30" t="inlineStr">
        <is>
          <t>Represented by Sample</t>
        </is>
      </c>
      <c r="Z61" s="30" t="n"/>
      <c r="AA61" s="30" t="inlineStr">
        <is>
          <t>Represented by Sample</t>
        </is>
      </c>
      <c r="AB61" s="30" t="inlineStr">
        <is>
          <t>Yes</t>
        </is>
      </c>
      <c r="AC61" s="27" t="n"/>
      <c r="AD61" s="31" t="inlineStr">
        <is>
          <t>No</t>
        </is>
      </c>
      <c r="AE61" s="32">
        <f>IF(W61="","",IF(Z61="Yes","❌ Disc",IF(Y61="No","⚠ Missing",IF(AB61="Yes","✓ OK","⚠ Check"))))</f>
        <v/>
      </c>
      <c r="AF61" s="33" t="n"/>
      <c r="AG61" s="33" t="n"/>
      <c r="AH61" s="33" t="n"/>
      <c r="AI61" s="33" t="n"/>
      <c r="AJ61" s="33" t="n"/>
      <c r="AK61" s="33" t="n"/>
      <c r="AL61" s="27" t="n"/>
      <c r="AM61" s="34" t="n"/>
      <c r="AN61" s="35">
        <f>IF(AF61="","",IF(AI61="Yes","❌ Disc",IF(AH61="No","⚠ Missing",IF(AK61="Yes","✓ OK","⚠ Check"))))</f>
        <v/>
      </c>
      <c r="AO61" s="36" t="n"/>
      <c r="AP61" s="36" t="n"/>
      <c r="AQ61" s="36" t="n"/>
      <c r="AR61" s="36" t="n"/>
      <c r="AS61" s="36" t="n"/>
      <c r="AT61" s="36" t="n"/>
      <c r="AU61" s="27" t="n"/>
      <c r="AV61" s="37" t="n"/>
      <c r="AW61" s="38">
        <f>IF(AO61="","",IF(AR61="Yes","❌ Disc",IF(AQ61="No","⚠ Missing",IF(AT61="Yes","✓ OK","⚠ Check"))))</f>
        <v/>
      </c>
    </row>
    <row r="62" ht="18" customHeight="1" s="46">
      <c r="A62" s="39" t="n">
        <v>58</v>
      </c>
      <c r="B62" s="40" t="inlineStr">
        <is>
          <t>BD-HNA-2025-0055</t>
        </is>
      </c>
      <c r="C62" s="41" t="inlineStr">
        <is>
          <t>Bonito Legs - 6" LG -134(S.H-ZP) Black Metal Leg</t>
        </is>
      </c>
      <c r="D62" s="39" t="inlineStr">
        <is>
          <t>Bonito Legs</t>
        </is>
      </c>
      <c r="E62" s="43" t="n">
        <v>46125</v>
      </c>
      <c r="F62" s="26" t="inlineStr">
        <is>
          <t>Sunil CR</t>
        </is>
      </c>
      <c r="G62" s="44" t="inlineStr">
        <is>
          <t>Represented by Sample</t>
        </is>
      </c>
      <c r="H62" s="26" t="inlineStr">
        <is>
          <t>No</t>
        </is>
      </c>
      <c r="I62" s="44" t="inlineStr">
        <is>
          <t>Represented by Sample</t>
        </is>
      </c>
      <c r="J62" s="26" t="inlineStr">
        <is>
          <t>Yes</t>
        </is>
      </c>
      <c r="K62" s="27" t="n"/>
      <c r="L62" s="28" t="inlineStr">
        <is>
          <t>No</t>
        </is>
      </c>
      <c r="M62" s="29">
        <f>IF(E62="","",IF(H62="Yes","❌ Disc",IF(G62="No","⚠ Missing",IF(J62="Yes","✓ OK","⚠ Check"))))</f>
        <v/>
      </c>
      <c r="N62" s="43" t="n">
        <v>46196</v>
      </c>
      <c r="O62" s="26" t="inlineStr">
        <is>
          <t>Sunil CR</t>
        </is>
      </c>
      <c r="P62" s="44" t="inlineStr">
        <is>
          <t>Represented by Sample</t>
        </is>
      </c>
      <c r="Q62" s="26" t="inlineStr">
        <is>
          <t>No</t>
        </is>
      </c>
      <c r="R62" s="44" t="inlineStr">
        <is>
          <t>Represented by Sample</t>
        </is>
      </c>
      <c r="S62" s="26" t="inlineStr">
        <is>
          <t>Yes</t>
        </is>
      </c>
      <c r="T62" s="27" t="n"/>
      <c r="U62" s="28" t="inlineStr">
        <is>
          <t>No</t>
        </is>
      </c>
      <c r="V62" s="29">
        <f>IF(N62="","",IF(Q62="Yes","❌ Disc",IF(P62="No","⚠ Missing",IF(S62="Yes","✓ OK","⚠ Check"))))</f>
        <v/>
      </c>
      <c r="W62" s="65" t="n">
        <v>46248</v>
      </c>
      <c r="X62" s="30" t="inlineStr">
        <is>
          <t>Sunil CR</t>
        </is>
      </c>
      <c r="Y62" s="30" t="inlineStr">
        <is>
          <t>Represented by Sample</t>
        </is>
      </c>
      <c r="Z62" s="30" t="n"/>
      <c r="AA62" s="30" t="inlineStr">
        <is>
          <t>Represented by Sample</t>
        </is>
      </c>
      <c r="AB62" s="30" t="inlineStr">
        <is>
          <t>Yes</t>
        </is>
      </c>
      <c r="AC62" s="27" t="n"/>
      <c r="AD62" s="31" t="inlineStr">
        <is>
          <t>No</t>
        </is>
      </c>
      <c r="AE62" s="32">
        <f>IF(W62="","",IF(Z62="Yes","❌ Disc",IF(Y62="No","⚠ Missing",IF(AB62="Yes","✓ OK","⚠ Check"))))</f>
        <v/>
      </c>
      <c r="AF62" s="33" t="n"/>
      <c r="AG62" s="33" t="n"/>
      <c r="AH62" s="33" t="n"/>
      <c r="AI62" s="33" t="n"/>
      <c r="AJ62" s="33" t="n"/>
      <c r="AK62" s="33" t="n"/>
      <c r="AL62" s="27" t="n"/>
      <c r="AM62" s="34" t="n"/>
      <c r="AN62" s="35">
        <f>IF(AF62="","",IF(AI62="Yes","❌ Disc",IF(AH62="No","⚠ Missing",IF(AK62="Yes","✓ OK","⚠ Check"))))</f>
        <v/>
      </c>
      <c r="AO62" s="36" t="n"/>
      <c r="AP62" s="36" t="n"/>
      <c r="AQ62" s="36" t="n"/>
      <c r="AR62" s="36" t="n"/>
      <c r="AS62" s="36" t="n"/>
      <c r="AT62" s="36" t="n"/>
      <c r="AU62" s="27" t="n"/>
      <c r="AV62" s="37" t="n"/>
      <c r="AW62" s="38">
        <f>IF(AO62="","",IF(AR62="Yes","❌ Disc",IF(AQ62="No","⚠ Missing",IF(AT62="Yes","✓ OK","⚠ Check"))))</f>
        <v/>
      </c>
    </row>
    <row r="63" ht="18" customHeight="1" s="46">
      <c r="A63" s="23" t="n">
        <v>59</v>
      </c>
      <c r="B63" s="24" t="inlineStr">
        <is>
          <t>BD-HNA-2025-0059</t>
        </is>
      </c>
      <c r="C63" s="25" t="inlineStr">
        <is>
          <t>Bonito Legs - 6" LG -134(S.H-ZP) Gold Metal Leg</t>
        </is>
      </c>
      <c r="D63" s="23" t="inlineStr">
        <is>
          <t>Bonito Legs</t>
        </is>
      </c>
      <c r="E63" s="43" t="n">
        <v>46125</v>
      </c>
      <c r="F63" s="26" t="inlineStr">
        <is>
          <t>Sunil CR</t>
        </is>
      </c>
      <c r="G63" s="44" t="inlineStr">
        <is>
          <t>Represented by Sample</t>
        </is>
      </c>
      <c r="H63" s="26" t="inlineStr">
        <is>
          <t>No</t>
        </is>
      </c>
      <c r="I63" s="44" t="inlineStr">
        <is>
          <t>Represented by Sample</t>
        </is>
      </c>
      <c r="J63" s="26" t="inlineStr">
        <is>
          <t>Yes</t>
        </is>
      </c>
      <c r="K63" s="27" t="n"/>
      <c r="L63" s="28" t="inlineStr">
        <is>
          <t>No</t>
        </is>
      </c>
      <c r="M63" s="29">
        <f>IF(E63="","",IF(H63="Yes","❌ Disc",IF(G63="No","⚠ Missing",IF(J63="Yes","✓ OK","⚠ Check"))))</f>
        <v/>
      </c>
      <c r="N63" s="43" t="n">
        <v>46196</v>
      </c>
      <c r="O63" s="26" t="inlineStr">
        <is>
          <t>Sunil CR</t>
        </is>
      </c>
      <c r="P63" s="44" t="inlineStr">
        <is>
          <t>Represented by Sample</t>
        </is>
      </c>
      <c r="Q63" s="26" t="inlineStr">
        <is>
          <t>No</t>
        </is>
      </c>
      <c r="R63" s="44" t="inlineStr">
        <is>
          <t>Represented by Sample</t>
        </is>
      </c>
      <c r="S63" s="26" t="inlineStr">
        <is>
          <t>Yes</t>
        </is>
      </c>
      <c r="T63" s="27" t="n"/>
      <c r="U63" s="28" t="inlineStr">
        <is>
          <t>No</t>
        </is>
      </c>
      <c r="V63" s="29">
        <f>IF(N63="","",IF(Q63="Yes","❌ Disc",IF(P63="No","⚠ Missing",IF(S63="Yes","✓ OK","⚠ Check"))))</f>
        <v/>
      </c>
      <c r="W63" s="65" t="n">
        <v>46248</v>
      </c>
      <c r="X63" s="30" t="inlineStr">
        <is>
          <t>Sunil CR</t>
        </is>
      </c>
      <c r="Y63" s="30" t="inlineStr">
        <is>
          <t>Represented by Sample</t>
        </is>
      </c>
      <c r="Z63" s="30" t="n"/>
      <c r="AA63" s="30" t="inlineStr">
        <is>
          <t>Represented by Sample</t>
        </is>
      </c>
      <c r="AB63" s="30" t="inlineStr">
        <is>
          <t>Yes</t>
        </is>
      </c>
      <c r="AC63" s="27" t="n"/>
      <c r="AD63" s="31" t="inlineStr">
        <is>
          <t>No</t>
        </is>
      </c>
      <c r="AE63" s="32">
        <f>IF(W63="","",IF(Z63="Yes","❌ Disc",IF(Y63="No","⚠ Missing",IF(AB63="Yes","✓ OK","⚠ Check"))))</f>
        <v/>
      </c>
      <c r="AF63" s="33" t="n"/>
      <c r="AG63" s="33" t="n"/>
      <c r="AH63" s="33" t="n"/>
      <c r="AI63" s="33" t="n"/>
      <c r="AJ63" s="33" t="n"/>
      <c r="AK63" s="33" t="n"/>
      <c r="AL63" s="27" t="n"/>
      <c r="AM63" s="34" t="n"/>
      <c r="AN63" s="35">
        <f>IF(AF63="","",IF(AI63="Yes","❌ Disc",IF(AH63="No","⚠ Missing",IF(AK63="Yes","✓ OK","⚠ Check"))))</f>
        <v/>
      </c>
      <c r="AO63" s="36" t="n"/>
      <c r="AP63" s="36" t="n"/>
      <c r="AQ63" s="36" t="n"/>
      <c r="AR63" s="36" t="n"/>
      <c r="AS63" s="36" t="n"/>
      <c r="AT63" s="36" t="n"/>
      <c r="AU63" s="27" t="n"/>
      <c r="AV63" s="37" t="n"/>
      <c r="AW63" s="38">
        <f>IF(AO63="","",IF(AR63="Yes","❌ Disc",IF(AQ63="No","⚠ Missing",IF(AT63="Yes","✓ OK","⚠ Check"))))</f>
        <v/>
      </c>
    </row>
    <row r="64" ht="18" customHeight="1" s="46">
      <c r="A64" s="39" t="n">
        <v>60</v>
      </c>
      <c r="B64" s="40" t="inlineStr">
        <is>
          <t>BD-HNA-2025-0063</t>
        </is>
      </c>
      <c r="C64" s="41" t="inlineStr">
        <is>
          <t>Bonito Legs - 6" LG -134(S.H-ZP) Rose Gold Metal Leg</t>
        </is>
      </c>
      <c r="D64" s="39" t="inlineStr">
        <is>
          <t>Bonito Legs</t>
        </is>
      </c>
      <c r="E64" s="43" t="n">
        <v>46125</v>
      </c>
      <c r="F64" s="26" t="inlineStr">
        <is>
          <t>Sunil CR</t>
        </is>
      </c>
      <c r="G64" s="44" t="inlineStr">
        <is>
          <t>Represented by Sample</t>
        </is>
      </c>
      <c r="H64" s="26" t="inlineStr">
        <is>
          <t>No</t>
        </is>
      </c>
      <c r="I64" s="44" t="inlineStr">
        <is>
          <t>Represented by Sample</t>
        </is>
      </c>
      <c r="J64" s="26" t="inlineStr">
        <is>
          <t>Yes</t>
        </is>
      </c>
      <c r="K64" s="27" t="n"/>
      <c r="L64" s="28" t="inlineStr">
        <is>
          <t>No</t>
        </is>
      </c>
      <c r="M64" s="29">
        <f>IF(E64="","",IF(H64="Yes","❌ Disc",IF(G64="No","⚠ Missing",IF(J64="Yes","✓ OK","⚠ Check"))))</f>
        <v/>
      </c>
      <c r="N64" s="43" t="n">
        <v>46196</v>
      </c>
      <c r="O64" s="26" t="inlineStr">
        <is>
          <t>Sunil CR</t>
        </is>
      </c>
      <c r="P64" s="44" t="inlineStr">
        <is>
          <t>Represented by Sample</t>
        </is>
      </c>
      <c r="Q64" s="26" t="inlineStr">
        <is>
          <t>No</t>
        </is>
      </c>
      <c r="R64" s="44" t="inlineStr">
        <is>
          <t>Represented by Sample</t>
        </is>
      </c>
      <c r="S64" s="26" t="inlineStr">
        <is>
          <t>Yes</t>
        </is>
      </c>
      <c r="T64" s="27" t="n"/>
      <c r="U64" s="28" t="inlineStr">
        <is>
          <t>No</t>
        </is>
      </c>
      <c r="V64" s="29">
        <f>IF(N64="","",IF(Q64="Yes","❌ Disc",IF(P64="No","⚠ Missing",IF(S64="Yes","✓ OK","⚠ Check"))))</f>
        <v/>
      </c>
      <c r="W64" s="65" t="n">
        <v>46248</v>
      </c>
      <c r="X64" s="30" t="inlineStr">
        <is>
          <t>Sunil CR</t>
        </is>
      </c>
      <c r="Y64" s="30" t="inlineStr">
        <is>
          <t>Represented by Sample</t>
        </is>
      </c>
      <c r="Z64" s="30" t="n"/>
      <c r="AA64" s="30" t="inlineStr">
        <is>
          <t>Represented by Sample</t>
        </is>
      </c>
      <c r="AB64" s="30" t="inlineStr">
        <is>
          <t>Yes</t>
        </is>
      </c>
      <c r="AC64" s="27" t="n"/>
      <c r="AD64" s="31" t="inlineStr">
        <is>
          <t>No</t>
        </is>
      </c>
      <c r="AE64" s="32">
        <f>IF(W64="","",IF(Z64="Yes","❌ Disc",IF(Y64="No","⚠ Missing",IF(AB64="Yes","✓ OK","⚠ Check"))))</f>
        <v/>
      </c>
      <c r="AF64" s="33" t="n"/>
      <c r="AG64" s="33" t="n"/>
      <c r="AH64" s="33" t="n"/>
      <c r="AI64" s="33" t="n"/>
      <c r="AJ64" s="33" t="n"/>
      <c r="AK64" s="33" t="n"/>
      <c r="AL64" s="27" t="n"/>
      <c r="AM64" s="34" t="n"/>
      <c r="AN64" s="35">
        <f>IF(AF64="","",IF(AI64="Yes","❌ Disc",IF(AH64="No","⚠ Missing",IF(AK64="Yes","✓ OK","⚠ Check"))))</f>
        <v/>
      </c>
      <c r="AO64" s="36" t="n"/>
      <c r="AP64" s="36" t="n"/>
      <c r="AQ64" s="36" t="n"/>
      <c r="AR64" s="36" t="n"/>
      <c r="AS64" s="36" t="n"/>
      <c r="AT64" s="36" t="n"/>
      <c r="AU64" s="27" t="n"/>
      <c r="AV64" s="37" t="n"/>
      <c r="AW64" s="38">
        <f>IF(AO64="","",IF(AR64="Yes","❌ Disc",IF(AQ64="No","⚠ Missing",IF(AT64="Yes","✓ OK","⚠ Check"))))</f>
        <v/>
      </c>
    </row>
    <row r="65" ht="18" customHeight="1" s="46">
      <c r="A65" s="23" t="n">
        <v>61</v>
      </c>
      <c r="B65" s="24" t="inlineStr">
        <is>
          <t>BD-HNA-2025-0038</t>
        </is>
      </c>
      <c r="C65" s="25" t="inlineStr">
        <is>
          <t>Bonito Legs - 6" LG-109(S.H.-ZP) Black Metal Leg</t>
        </is>
      </c>
      <c r="D65" s="23" t="inlineStr">
        <is>
          <t>Bonito Legs</t>
        </is>
      </c>
      <c r="E65" s="43" t="n">
        <v>46125</v>
      </c>
      <c r="F65" s="26" t="inlineStr">
        <is>
          <t>Sunil CR</t>
        </is>
      </c>
      <c r="G65" s="44" t="inlineStr">
        <is>
          <t>Represented by Sample</t>
        </is>
      </c>
      <c r="H65" s="26" t="inlineStr">
        <is>
          <t>No</t>
        </is>
      </c>
      <c r="I65" s="44" t="inlineStr">
        <is>
          <t>Represented by Sample</t>
        </is>
      </c>
      <c r="J65" s="26" t="inlineStr">
        <is>
          <t>Yes</t>
        </is>
      </c>
      <c r="K65" s="27" t="n"/>
      <c r="L65" s="28" t="inlineStr">
        <is>
          <t>No</t>
        </is>
      </c>
      <c r="M65" s="29">
        <f>IF(E65="","",IF(H65="Yes","❌ Disc",IF(G65="No","⚠ Missing",IF(J65="Yes","✓ OK","⚠ Check"))))</f>
        <v/>
      </c>
      <c r="N65" s="43" t="n">
        <v>46196</v>
      </c>
      <c r="O65" s="26" t="inlineStr">
        <is>
          <t>Sunil CR</t>
        </is>
      </c>
      <c r="P65" s="44" t="inlineStr">
        <is>
          <t>Represented by Sample</t>
        </is>
      </c>
      <c r="Q65" s="26" t="inlineStr">
        <is>
          <t>No</t>
        </is>
      </c>
      <c r="R65" s="44" t="inlineStr">
        <is>
          <t>Represented by Sample</t>
        </is>
      </c>
      <c r="S65" s="26" t="inlineStr">
        <is>
          <t>Yes</t>
        </is>
      </c>
      <c r="T65" s="27" t="n"/>
      <c r="U65" s="28" t="inlineStr">
        <is>
          <t>No</t>
        </is>
      </c>
      <c r="V65" s="29">
        <f>IF(N65="","",IF(Q65="Yes","❌ Disc",IF(P65="No","⚠ Missing",IF(S65="Yes","✓ OK","⚠ Check"))))</f>
        <v/>
      </c>
      <c r="W65" s="65" t="n">
        <v>46248</v>
      </c>
      <c r="X65" s="30" t="inlineStr">
        <is>
          <t>Sunil CR</t>
        </is>
      </c>
      <c r="Y65" s="30" t="inlineStr">
        <is>
          <t>Represented by Sample</t>
        </is>
      </c>
      <c r="Z65" s="30" t="n"/>
      <c r="AA65" s="30" t="inlineStr">
        <is>
          <t>Represented by Sample</t>
        </is>
      </c>
      <c r="AB65" s="30" t="inlineStr">
        <is>
          <t>Yes</t>
        </is>
      </c>
      <c r="AC65" s="27" t="n"/>
      <c r="AD65" s="31" t="inlineStr">
        <is>
          <t>No</t>
        </is>
      </c>
      <c r="AE65" s="32">
        <f>IF(W65="","",IF(Z65="Yes","❌ Disc",IF(Y65="No","⚠ Missing",IF(AB65="Yes","✓ OK","⚠ Check"))))</f>
        <v/>
      </c>
      <c r="AF65" s="33" t="n"/>
      <c r="AG65" s="33" t="n"/>
      <c r="AH65" s="33" t="n"/>
      <c r="AI65" s="33" t="n"/>
      <c r="AJ65" s="33" t="n"/>
      <c r="AK65" s="33" t="n"/>
      <c r="AL65" s="27" t="n"/>
      <c r="AM65" s="34" t="n"/>
      <c r="AN65" s="35">
        <f>IF(AF65="","",IF(AI65="Yes","❌ Disc",IF(AH65="No","⚠ Missing",IF(AK65="Yes","✓ OK","⚠ Check"))))</f>
        <v/>
      </c>
      <c r="AO65" s="36" t="n"/>
      <c r="AP65" s="36" t="n"/>
      <c r="AQ65" s="36" t="n"/>
      <c r="AR65" s="36" t="n"/>
      <c r="AS65" s="36" t="n"/>
      <c r="AT65" s="36" t="n"/>
      <c r="AU65" s="27" t="n"/>
      <c r="AV65" s="37" t="n"/>
      <c r="AW65" s="38">
        <f>IF(AO65="","",IF(AR65="Yes","❌ Disc",IF(AQ65="No","⚠ Missing",IF(AT65="Yes","✓ OK","⚠ Check"))))</f>
        <v/>
      </c>
    </row>
    <row r="66" ht="18" customHeight="1" s="46">
      <c r="A66" s="39" t="n">
        <v>62</v>
      </c>
      <c r="B66" s="40" t="inlineStr">
        <is>
          <t>BD-HNA-2025-0034</t>
        </is>
      </c>
      <c r="C66" s="41" t="inlineStr">
        <is>
          <t>Bonito Legs - 6" LG-109(S.H.-ZP) Gold Metal Leg</t>
        </is>
      </c>
      <c r="D66" s="39" t="inlineStr">
        <is>
          <t>Bonito Legs</t>
        </is>
      </c>
      <c r="E66" s="43" t="n">
        <v>46125</v>
      </c>
      <c r="F66" s="26" t="inlineStr">
        <is>
          <t>Sunil CR</t>
        </is>
      </c>
      <c r="G66" s="44" t="inlineStr">
        <is>
          <t>Represented by Sample</t>
        </is>
      </c>
      <c r="H66" s="26" t="inlineStr">
        <is>
          <t>No</t>
        </is>
      </c>
      <c r="I66" s="44" t="inlineStr">
        <is>
          <t>Represented by Sample</t>
        </is>
      </c>
      <c r="J66" s="26" t="inlineStr">
        <is>
          <t>Yes</t>
        </is>
      </c>
      <c r="K66" s="27" t="n"/>
      <c r="L66" s="28" t="inlineStr">
        <is>
          <t>No</t>
        </is>
      </c>
      <c r="M66" s="29">
        <f>IF(E66="","",IF(H66="Yes","❌ Disc",IF(G66="No","⚠ Missing",IF(J66="Yes","✓ OK","⚠ Check"))))</f>
        <v/>
      </c>
      <c r="N66" s="43" t="n">
        <v>46196</v>
      </c>
      <c r="O66" s="26" t="inlineStr">
        <is>
          <t>Sunil CR</t>
        </is>
      </c>
      <c r="P66" s="44" t="inlineStr">
        <is>
          <t>Represented by Sample</t>
        </is>
      </c>
      <c r="Q66" s="26" t="inlineStr">
        <is>
          <t>No</t>
        </is>
      </c>
      <c r="R66" s="44" t="inlineStr">
        <is>
          <t>Represented by Sample</t>
        </is>
      </c>
      <c r="S66" s="26" t="inlineStr">
        <is>
          <t>Yes</t>
        </is>
      </c>
      <c r="T66" s="27" t="n"/>
      <c r="U66" s="28" t="inlineStr">
        <is>
          <t>No</t>
        </is>
      </c>
      <c r="V66" s="29">
        <f>IF(N66="","",IF(Q66="Yes","❌ Disc",IF(P66="No","⚠ Missing",IF(S66="Yes","✓ OK","⚠ Check"))))</f>
        <v/>
      </c>
      <c r="W66" s="65" t="n">
        <v>46248</v>
      </c>
      <c r="X66" s="30" t="inlineStr">
        <is>
          <t>Sunil CR</t>
        </is>
      </c>
      <c r="Y66" s="30" t="inlineStr">
        <is>
          <t>Represented by Sample</t>
        </is>
      </c>
      <c r="Z66" s="30" t="n"/>
      <c r="AA66" s="30" t="inlineStr">
        <is>
          <t>Represented by Sample</t>
        </is>
      </c>
      <c r="AB66" s="30" t="inlineStr">
        <is>
          <t>Yes</t>
        </is>
      </c>
      <c r="AC66" s="27" t="n"/>
      <c r="AD66" s="31" t="inlineStr">
        <is>
          <t>No</t>
        </is>
      </c>
      <c r="AE66" s="32">
        <f>IF(W66="","",IF(Z66="Yes","❌ Disc",IF(Y66="No","⚠ Missing",IF(AB66="Yes","✓ OK","⚠ Check"))))</f>
        <v/>
      </c>
      <c r="AF66" s="33" t="n"/>
      <c r="AG66" s="33" t="n"/>
      <c r="AH66" s="33" t="n"/>
      <c r="AI66" s="33" t="n"/>
      <c r="AJ66" s="33" t="n"/>
      <c r="AK66" s="33" t="n"/>
      <c r="AL66" s="27" t="n"/>
      <c r="AM66" s="34" t="n"/>
      <c r="AN66" s="35">
        <f>IF(AF66="","",IF(AI66="Yes","❌ Disc",IF(AH66="No","⚠ Missing",IF(AK66="Yes","✓ OK","⚠ Check"))))</f>
        <v/>
      </c>
      <c r="AO66" s="36" t="n"/>
      <c r="AP66" s="36" t="n"/>
      <c r="AQ66" s="36" t="n"/>
      <c r="AR66" s="36" t="n"/>
      <c r="AS66" s="36" t="n"/>
      <c r="AT66" s="36" t="n"/>
      <c r="AU66" s="27" t="n"/>
      <c r="AV66" s="37" t="n"/>
      <c r="AW66" s="38">
        <f>IF(AO66="","",IF(AR66="Yes","❌ Disc",IF(AQ66="No","⚠ Missing",IF(AT66="Yes","✓ OK","⚠ Check"))))</f>
        <v/>
      </c>
    </row>
    <row r="67" ht="18" customHeight="1" s="46">
      <c r="A67" s="23" t="n">
        <v>63</v>
      </c>
      <c r="B67" s="24" t="inlineStr">
        <is>
          <t>BD-HNA-2025-0042</t>
        </is>
      </c>
      <c r="C67" s="25" t="inlineStr">
        <is>
          <t>Bonito Legs - 6" LG-109(S.H.-ZP) Rose Gold Metal Leg</t>
        </is>
      </c>
      <c r="D67" s="23" t="inlineStr">
        <is>
          <t>Bonito Legs</t>
        </is>
      </c>
      <c r="E67" s="43" t="n">
        <v>46125</v>
      </c>
      <c r="F67" s="26" t="inlineStr">
        <is>
          <t>Sunil CR</t>
        </is>
      </c>
      <c r="G67" s="44" t="inlineStr">
        <is>
          <t>Represented by Sample</t>
        </is>
      </c>
      <c r="H67" s="26" t="inlineStr">
        <is>
          <t>No</t>
        </is>
      </c>
      <c r="I67" s="44" t="inlineStr">
        <is>
          <t>Represented by Sample</t>
        </is>
      </c>
      <c r="J67" s="26" t="inlineStr">
        <is>
          <t>Yes</t>
        </is>
      </c>
      <c r="K67" s="27" t="n"/>
      <c r="L67" s="28" t="inlineStr">
        <is>
          <t>No</t>
        </is>
      </c>
      <c r="M67" s="29">
        <f>IF(E67="","",IF(H67="Yes","❌ Disc",IF(G67="No","⚠ Missing",IF(J67="Yes","✓ OK","⚠ Check"))))</f>
        <v/>
      </c>
      <c r="N67" s="43" t="n">
        <v>46196</v>
      </c>
      <c r="O67" s="26" t="inlineStr">
        <is>
          <t>Sunil CR</t>
        </is>
      </c>
      <c r="P67" s="44" t="inlineStr">
        <is>
          <t>Represented by Sample</t>
        </is>
      </c>
      <c r="Q67" s="26" t="inlineStr">
        <is>
          <t>No</t>
        </is>
      </c>
      <c r="R67" s="44" t="inlineStr">
        <is>
          <t>Represented by Sample</t>
        </is>
      </c>
      <c r="S67" s="26" t="inlineStr">
        <is>
          <t>Yes</t>
        </is>
      </c>
      <c r="T67" s="27" t="n"/>
      <c r="U67" s="28" t="inlineStr">
        <is>
          <t>No</t>
        </is>
      </c>
      <c r="V67" s="29">
        <f>IF(N67="","",IF(Q67="Yes","❌ Disc",IF(P67="No","⚠ Missing",IF(S67="Yes","✓ OK","⚠ Check"))))</f>
        <v/>
      </c>
      <c r="W67" s="65" t="n">
        <v>46248</v>
      </c>
      <c r="X67" s="30" t="inlineStr">
        <is>
          <t>Sunil CR</t>
        </is>
      </c>
      <c r="Y67" s="30" t="inlineStr">
        <is>
          <t>Represented by Sample</t>
        </is>
      </c>
      <c r="Z67" s="30" t="n"/>
      <c r="AA67" s="30" t="inlineStr">
        <is>
          <t>Represented by Sample</t>
        </is>
      </c>
      <c r="AB67" s="30" t="inlineStr">
        <is>
          <t>Yes</t>
        </is>
      </c>
      <c r="AC67" s="27" t="n"/>
      <c r="AD67" s="31" t="inlineStr">
        <is>
          <t>No</t>
        </is>
      </c>
      <c r="AE67" s="32">
        <f>IF(W67="","",IF(Z67="Yes","❌ Disc",IF(Y67="No","⚠ Missing",IF(AB67="Yes","✓ OK","⚠ Check"))))</f>
        <v/>
      </c>
      <c r="AF67" s="33" t="n"/>
      <c r="AG67" s="33" t="n"/>
      <c r="AH67" s="33" t="n"/>
      <c r="AI67" s="33" t="n"/>
      <c r="AJ67" s="33" t="n"/>
      <c r="AK67" s="33" t="n"/>
      <c r="AL67" s="27" t="n"/>
      <c r="AM67" s="34" t="n"/>
      <c r="AN67" s="35">
        <f>IF(AF67="","",IF(AI67="Yes","❌ Disc",IF(AH67="No","⚠ Missing",IF(AK67="Yes","✓ OK","⚠ Check"))))</f>
        <v/>
      </c>
      <c r="AO67" s="36" t="n"/>
      <c r="AP67" s="36" t="n"/>
      <c r="AQ67" s="36" t="n"/>
      <c r="AR67" s="36" t="n"/>
      <c r="AS67" s="36" t="n"/>
      <c r="AT67" s="36" t="n"/>
      <c r="AU67" s="27" t="n"/>
      <c r="AV67" s="37" t="n"/>
      <c r="AW67" s="38">
        <f>IF(AO67="","",IF(AR67="Yes","❌ Disc",IF(AQ67="No","⚠ Missing",IF(AT67="Yes","✓ OK","⚠ Check"))))</f>
        <v/>
      </c>
    </row>
    <row r="68" ht="18" customHeight="1" s="46">
      <c r="A68" s="39" t="n">
        <v>64</v>
      </c>
      <c r="B68" s="40" t="inlineStr">
        <is>
          <t>BD-HNA-2025-0046</t>
        </is>
      </c>
      <c r="C68" s="41" t="inlineStr">
        <is>
          <t>Bonito Legs - 6" LG-130(S.H-ZP) Antique Metal Leg</t>
        </is>
      </c>
      <c r="D68" s="39" t="inlineStr">
        <is>
          <t>Bonito Legs</t>
        </is>
      </c>
      <c r="E68" s="43" t="n">
        <v>46125</v>
      </c>
      <c r="F68" s="26" t="inlineStr">
        <is>
          <t>Sunil CR</t>
        </is>
      </c>
      <c r="G68" s="44" t="inlineStr">
        <is>
          <t>Represented by Sample</t>
        </is>
      </c>
      <c r="H68" s="26" t="inlineStr">
        <is>
          <t>No</t>
        </is>
      </c>
      <c r="I68" s="44" t="inlineStr">
        <is>
          <t>Represented by Sample</t>
        </is>
      </c>
      <c r="J68" s="26" t="inlineStr">
        <is>
          <t>Yes</t>
        </is>
      </c>
      <c r="K68" s="27" t="n"/>
      <c r="L68" s="28" t="inlineStr">
        <is>
          <t>No</t>
        </is>
      </c>
      <c r="M68" s="29">
        <f>IF(E68="","",IF(H68="Yes","❌ Disc",IF(G68="No","⚠ Missing",IF(J68="Yes","✓ OK","⚠ Check"))))</f>
        <v/>
      </c>
      <c r="N68" s="43" t="n">
        <v>46196</v>
      </c>
      <c r="O68" s="26" t="inlineStr">
        <is>
          <t>Sunil CR</t>
        </is>
      </c>
      <c r="P68" s="44" t="inlineStr">
        <is>
          <t>Represented by Sample</t>
        </is>
      </c>
      <c r="Q68" s="26" t="inlineStr">
        <is>
          <t>No</t>
        </is>
      </c>
      <c r="R68" s="44" t="inlineStr">
        <is>
          <t>Represented by Sample</t>
        </is>
      </c>
      <c r="S68" s="26" t="inlineStr">
        <is>
          <t>Yes</t>
        </is>
      </c>
      <c r="T68" s="27" t="n"/>
      <c r="U68" s="28" t="inlineStr">
        <is>
          <t>No</t>
        </is>
      </c>
      <c r="V68" s="29">
        <f>IF(N68="","",IF(Q68="Yes","❌ Disc",IF(P68="No","⚠ Missing",IF(S68="Yes","✓ OK","⚠ Check"))))</f>
        <v/>
      </c>
      <c r="W68" s="65" t="n">
        <v>46248</v>
      </c>
      <c r="X68" s="30" t="inlineStr">
        <is>
          <t>Sunil CR</t>
        </is>
      </c>
      <c r="Y68" s="30" t="inlineStr">
        <is>
          <t>Represented by Sample</t>
        </is>
      </c>
      <c r="Z68" s="30" t="n"/>
      <c r="AA68" s="30" t="inlineStr">
        <is>
          <t>Represented by Sample</t>
        </is>
      </c>
      <c r="AB68" s="30" t="inlineStr">
        <is>
          <t>Yes</t>
        </is>
      </c>
      <c r="AC68" s="27" t="n"/>
      <c r="AD68" s="31" t="inlineStr">
        <is>
          <t>No</t>
        </is>
      </c>
      <c r="AE68" s="32">
        <f>IF(W68="","",IF(Z68="Yes","❌ Disc",IF(Y68="No","⚠ Missing",IF(AB68="Yes","✓ OK","⚠ Check"))))</f>
        <v/>
      </c>
      <c r="AF68" s="33" t="n"/>
      <c r="AG68" s="33" t="n"/>
      <c r="AH68" s="33" t="n"/>
      <c r="AI68" s="33" t="n"/>
      <c r="AJ68" s="33" t="n"/>
      <c r="AK68" s="33" t="n"/>
      <c r="AL68" s="27" t="n"/>
      <c r="AM68" s="34" t="n"/>
      <c r="AN68" s="35">
        <f>IF(AF68="","",IF(AI68="Yes","❌ Disc",IF(AH68="No","⚠ Missing",IF(AK68="Yes","✓ OK","⚠ Check"))))</f>
        <v/>
      </c>
      <c r="AO68" s="36" t="n"/>
      <c r="AP68" s="36" t="n"/>
      <c r="AQ68" s="36" t="n"/>
      <c r="AR68" s="36" t="n"/>
      <c r="AS68" s="36" t="n"/>
      <c r="AT68" s="36" t="n"/>
      <c r="AU68" s="27" t="n"/>
      <c r="AV68" s="37" t="n"/>
      <c r="AW68" s="38">
        <f>IF(AO68="","",IF(AR68="Yes","❌ Disc",IF(AQ68="No","⚠ Missing",IF(AT68="Yes","✓ OK","⚠ Check"))))</f>
        <v/>
      </c>
    </row>
    <row r="69" ht="18" customHeight="1" s="46">
      <c r="A69" s="23" t="n">
        <v>65</v>
      </c>
      <c r="B69" s="24" t="inlineStr">
        <is>
          <t>BD-HNA-2025-0048</t>
        </is>
      </c>
      <c r="C69" s="25" t="inlineStr">
        <is>
          <t>Bonito Legs - 6" LG-130(S.H-ZP) Gold Metal Leg</t>
        </is>
      </c>
      <c r="D69" s="23" t="inlineStr">
        <is>
          <t>Bonito Legs</t>
        </is>
      </c>
      <c r="E69" s="43" t="n">
        <v>46125</v>
      </c>
      <c r="F69" s="26" t="inlineStr">
        <is>
          <t>Sunil CR</t>
        </is>
      </c>
      <c r="G69" s="44" t="inlineStr">
        <is>
          <t>Represented by Sample</t>
        </is>
      </c>
      <c r="H69" s="26" t="inlineStr">
        <is>
          <t>No</t>
        </is>
      </c>
      <c r="I69" s="44" t="inlineStr">
        <is>
          <t>Represented by Sample</t>
        </is>
      </c>
      <c r="J69" s="26" t="inlineStr">
        <is>
          <t>Yes</t>
        </is>
      </c>
      <c r="K69" s="27" t="n"/>
      <c r="L69" s="28" t="inlineStr">
        <is>
          <t>No</t>
        </is>
      </c>
      <c r="M69" s="29">
        <f>IF(E69="","",IF(H69="Yes","❌ Disc",IF(G69="No","⚠ Missing",IF(J69="Yes","✓ OK","⚠ Check"))))</f>
        <v/>
      </c>
      <c r="N69" s="43" t="n">
        <v>46196</v>
      </c>
      <c r="O69" s="26" t="inlineStr">
        <is>
          <t>Sunil CR</t>
        </is>
      </c>
      <c r="P69" s="44" t="inlineStr">
        <is>
          <t>Represented by Sample</t>
        </is>
      </c>
      <c r="Q69" s="26" t="inlineStr">
        <is>
          <t>No</t>
        </is>
      </c>
      <c r="R69" s="44" t="inlineStr">
        <is>
          <t>Represented by Sample</t>
        </is>
      </c>
      <c r="S69" s="26" t="inlineStr">
        <is>
          <t>Yes</t>
        </is>
      </c>
      <c r="T69" s="27" t="n"/>
      <c r="U69" s="28" t="inlineStr">
        <is>
          <t>No</t>
        </is>
      </c>
      <c r="V69" s="29">
        <f>IF(N69="","",IF(Q69="Yes","❌ Disc",IF(P69="No","⚠ Missing",IF(S69="Yes","✓ OK","⚠ Check"))))</f>
        <v/>
      </c>
      <c r="W69" s="65" t="n">
        <v>46248</v>
      </c>
      <c r="X69" s="30" t="inlineStr">
        <is>
          <t>Sunil CR</t>
        </is>
      </c>
      <c r="Y69" s="30" t="inlineStr">
        <is>
          <t>Represented by Sample</t>
        </is>
      </c>
      <c r="Z69" s="30" t="n"/>
      <c r="AA69" s="30" t="inlineStr">
        <is>
          <t>Represented by Sample</t>
        </is>
      </c>
      <c r="AB69" s="30" t="inlineStr">
        <is>
          <t>Yes</t>
        </is>
      </c>
      <c r="AC69" s="27" t="n"/>
      <c r="AD69" s="31" t="inlineStr">
        <is>
          <t>No</t>
        </is>
      </c>
      <c r="AE69" s="32">
        <f>IF(W69="","",IF(Z69="Yes","❌ Disc",IF(Y69="No","⚠ Missing",IF(AB69="Yes","✓ OK","⚠ Check"))))</f>
        <v/>
      </c>
      <c r="AF69" s="33" t="n"/>
      <c r="AG69" s="33" t="n"/>
      <c r="AH69" s="33" t="n"/>
      <c r="AI69" s="33" t="n"/>
      <c r="AJ69" s="33" t="n"/>
      <c r="AK69" s="33" t="n"/>
      <c r="AL69" s="27" t="n"/>
      <c r="AM69" s="34" t="n"/>
      <c r="AN69" s="35">
        <f>IF(AF69="","",IF(AI69="Yes","❌ Disc",IF(AH69="No","⚠ Missing",IF(AK69="Yes","✓ OK","⚠ Check"))))</f>
        <v/>
      </c>
      <c r="AO69" s="36" t="n"/>
      <c r="AP69" s="36" t="n"/>
      <c r="AQ69" s="36" t="n"/>
      <c r="AR69" s="36" t="n"/>
      <c r="AS69" s="36" t="n"/>
      <c r="AT69" s="36" t="n"/>
      <c r="AU69" s="27" t="n"/>
      <c r="AV69" s="37" t="n"/>
      <c r="AW69" s="38">
        <f>IF(AO69="","",IF(AR69="Yes","❌ Disc",IF(AQ69="No","⚠ Missing",IF(AT69="Yes","✓ OK","⚠ Check"))))</f>
        <v/>
      </c>
    </row>
    <row r="70" ht="18" customHeight="1" s="46">
      <c r="A70" s="39" t="n">
        <v>66</v>
      </c>
      <c r="B70" s="40" t="inlineStr">
        <is>
          <t>BD-HNA-2025-0050</t>
        </is>
      </c>
      <c r="C70" s="41" t="inlineStr">
        <is>
          <t>Bonito Legs - 6" LG-130(S.H-ZP) Rose Gold Metal Leg</t>
        </is>
      </c>
      <c r="D70" s="39" t="inlineStr">
        <is>
          <t>Bonito Legs</t>
        </is>
      </c>
      <c r="E70" s="43" t="n">
        <v>46125</v>
      </c>
      <c r="F70" s="26" t="inlineStr">
        <is>
          <t>Sunil CR</t>
        </is>
      </c>
      <c r="G70" s="44" t="inlineStr">
        <is>
          <t>Represented by Sample</t>
        </is>
      </c>
      <c r="H70" s="26" t="inlineStr">
        <is>
          <t>No</t>
        </is>
      </c>
      <c r="I70" s="44" t="inlineStr">
        <is>
          <t>Represented by Sample</t>
        </is>
      </c>
      <c r="J70" s="26" t="inlineStr">
        <is>
          <t>Yes</t>
        </is>
      </c>
      <c r="K70" s="27" t="n"/>
      <c r="L70" s="28" t="inlineStr">
        <is>
          <t>No</t>
        </is>
      </c>
      <c r="M70" s="29">
        <f>IF(E70="","",IF(H70="Yes","❌ Disc",IF(G70="No","⚠ Missing",IF(J70="Yes","✓ OK","⚠ Check"))))</f>
        <v/>
      </c>
      <c r="N70" s="43" t="n">
        <v>46196</v>
      </c>
      <c r="O70" s="26" t="inlineStr">
        <is>
          <t>Sunil CR</t>
        </is>
      </c>
      <c r="P70" s="44" t="inlineStr">
        <is>
          <t>Represented by Sample</t>
        </is>
      </c>
      <c r="Q70" s="26" t="inlineStr">
        <is>
          <t>No</t>
        </is>
      </c>
      <c r="R70" s="44" t="inlineStr">
        <is>
          <t>Represented by Sample</t>
        </is>
      </c>
      <c r="S70" s="26" t="inlineStr">
        <is>
          <t>Yes</t>
        </is>
      </c>
      <c r="T70" s="27" t="n"/>
      <c r="U70" s="28" t="inlineStr">
        <is>
          <t>No</t>
        </is>
      </c>
      <c r="V70" s="29">
        <f>IF(N70="","",IF(Q70="Yes","❌ Disc",IF(P70="No","⚠ Missing",IF(S70="Yes","✓ OK","⚠ Check"))))</f>
        <v/>
      </c>
      <c r="W70" s="65" t="n">
        <v>46248</v>
      </c>
      <c r="X70" s="30" t="inlineStr">
        <is>
          <t>Sunil CR</t>
        </is>
      </c>
      <c r="Y70" s="30" t="inlineStr">
        <is>
          <t>Represented by Sample</t>
        </is>
      </c>
      <c r="Z70" s="30" t="n"/>
      <c r="AA70" s="30" t="inlineStr">
        <is>
          <t>Represented by Sample</t>
        </is>
      </c>
      <c r="AB70" s="30" t="inlineStr">
        <is>
          <t>Yes</t>
        </is>
      </c>
      <c r="AC70" s="27" t="n"/>
      <c r="AD70" s="31" t="inlineStr">
        <is>
          <t>No</t>
        </is>
      </c>
      <c r="AE70" s="32">
        <f>IF(W70="","",IF(Z70="Yes","❌ Disc",IF(Y70="No","⚠ Missing",IF(AB70="Yes","✓ OK","⚠ Check"))))</f>
        <v/>
      </c>
      <c r="AF70" s="33" t="n"/>
      <c r="AG70" s="33" t="n"/>
      <c r="AH70" s="33" t="n"/>
      <c r="AI70" s="33" t="n"/>
      <c r="AJ70" s="33" t="n"/>
      <c r="AK70" s="33" t="n"/>
      <c r="AL70" s="27" t="n"/>
      <c r="AM70" s="34" t="n"/>
      <c r="AN70" s="35">
        <f>IF(AF70="","",IF(AI70="Yes","❌ Disc",IF(AH70="No","⚠ Missing",IF(AK70="Yes","✓ OK","⚠ Check"))))</f>
        <v/>
      </c>
      <c r="AO70" s="36" t="n"/>
      <c r="AP70" s="36" t="n"/>
      <c r="AQ70" s="36" t="n"/>
      <c r="AR70" s="36" t="n"/>
      <c r="AS70" s="36" t="n"/>
      <c r="AT70" s="36" t="n"/>
      <c r="AU70" s="27" t="n"/>
      <c r="AV70" s="37" t="n"/>
      <c r="AW70" s="38">
        <f>IF(AO70="","",IF(AR70="Yes","❌ Disc",IF(AQ70="No","⚠ Missing",IF(AT70="Yes","✓ OK","⚠ Check"))))</f>
        <v/>
      </c>
    </row>
    <row r="71" ht="18" customHeight="1" s="46">
      <c r="A71" s="23" t="n">
        <v>67</v>
      </c>
      <c r="B71" s="24" t="inlineStr">
        <is>
          <t>BD-HNA-2025-0081</t>
        </is>
      </c>
      <c r="C71" s="25" t="inlineStr">
        <is>
          <t>Bonito Legs - 6" One Side Degree Wooden Leg</t>
        </is>
      </c>
      <c r="D71" s="23" t="inlineStr">
        <is>
          <t>Bonito Legs</t>
        </is>
      </c>
      <c r="E71" s="43" t="n">
        <v>46125</v>
      </c>
      <c r="F71" s="26" t="inlineStr">
        <is>
          <t>Sunil CR</t>
        </is>
      </c>
      <c r="G71" s="44" t="inlineStr">
        <is>
          <t>Represented by Sample</t>
        </is>
      </c>
      <c r="H71" s="26" t="inlineStr">
        <is>
          <t>No</t>
        </is>
      </c>
      <c r="I71" s="44" t="inlineStr">
        <is>
          <t>Represented by Sample</t>
        </is>
      </c>
      <c r="J71" s="26" t="inlineStr">
        <is>
          <t>Yes</t>
        </is>
      </c>
      <c r="K71" s="27" t="n"/>
      <c r="L71" s="28" t="inlineStr">
        <is>
          <t>No</t>
        </is>
      </c>
      <c r="M71" s="29">
        <f>IF(E71="","",IF(H71="Yes","❌ Disc",IF(G71="No","⚠ Missing",IF(J71="Yes","✓ OK","⚠ Check"))))</f>
        <v/>
      </c>
      <c r="N71" s="43" t="n">
        <v>46196</v>
      </c>
      <c r="O71" s="26" t="inlineStr">
        <is>
          <t>Sunil CR</t>
        </is>
      </c>
      <c r="P71" s="44" t="inlineStr">
        <is>
          <t>Represented by Sample</t>
        </is>
      </c>
      <c r="Q71" s="26" t="inlineStr">
        <is>
          <t>No</t>
        </is>
      </c>
      <c r="R71" s="44" t="inlineStr">
        <is>
          <t>Represented by Sample</t>
        </is>
      </c>
      <c r="S71" s="26" t="inlineStr">
        <is>
          <t>Yes</t>
        </is>
      </c>
      <c r="T71" s="27" t="n"/>
      <c r="U71" s="28" t="inlineStr">
        <is>
          <t>No</t>
        </is>
      </c>
      <c r="V71" s="29">
        <f>IF(N71="","",IF(Q71="Yes","❌ Disc",IF(P71="No","⚠ Missing",IF(S71="Yes","✓ OK","⚠ Check"))))</f>
        <v/>
      </c>
      <c r="W71" s="65" t="n">
        <v>46248</v>
      </c>
      <c r="X71" s="30" t="inlineStr">
        <is>
          <t>Sunil CR</t>
        </is>
      </c>
      <c r="Y71" s="30" t="inlineStr">
        <is>
          <t>Represented by Sample</t>
        </is>
      </c>
      <c r="Z71" s="30" t="n"/>
      <c r="AA71" s="30" t="inlineStr">
        <is>
          <t>Represented by Sample</t>
        </is>
      </c>
      <c r="AB71" s="30" t="inlineStr">
        <is>
          <t>Yes</t>
        </is>
      </c>
      <c r="AC71" s="27" t="n"/>
      <c r="AD71" s="31" t="inlineStr">
        <is>
          <t>No</t>
        </is>
      </c>
      <c r="AE71" s="32">
        <f>IF(W71="","",IF(Z71="Yes","❌ Disc",IF(Y71="No","⚠ Missing",IF(AB71="Yes","✓ OK","⚠ Check"))))</f>
        <v/>
      </c>
      <c r="AF71" s="33" t="n"/>
      <c r="AG71" s="33" t="n"/>
      <c r="AH71" s="33" t="n"/>
      <c r="AI71" s="33" t="n"/>
      <c r="AJ71" s="33" t="n"/>
      <c r="AK71" s="33" t="n"/>
      <c r="AL71" s="27" t="n"/>
      <c r="AM71" s="34" t="n"/>
      <c r="AN71" s="35">
        <f>IF(AF71="","",IF(AI71="Yes","❌ Disc",IF(AH71="No","⚠ Missing",IF(AK71="Yes","✓ OK","⚠ Check"))))</f>
        <v/>
      </c>
      <c r="AO71" s="36" t="n"/>
      <c r="AP71" s="36" t="n"/>
      <c r="AQ71" s="36" t="n"/>
      <c r="AR71" s="36" t="n"/>
      <c r="AS71" s="36" t="n"/>
      <c r="AT71" s="36" t="n"/>
      <c r="AU71" s="27" t="n"/>
      <c r="AV71" s="37" t="n"/>
      <c r="AW71" s="38">
        <f>IF(AO71="","",IF(AR71="Yes","❌ Disc",IF(AQ71="No","⚠ Missing",IF(AT71="Yes","✓ OK","⚠ Check"))))</f>
        <v/>
      </c>
    </row>
    <row r="72" ht="18" customHeight="1" s="46">
      <c r="A72" s="39" t="n">
        <v>68</v>
      </c>
      <c r="B72" s="40" t="inlineStr">
        <is>
          <t>BD-HNA-2025-0014</t>
        </is>
      </c>
      <c r="C72" s="41" t="inlineStr">
        <is>
          <t>Bonito Legs - 8" 298(V.H) Black Metal Leg</t>
        </is>
      </c>
      <c r="D72" s="39" t="inlineStr">
        <is>
          <t>Bonito Legs</t>
        </is>
      </c>
      <c r="E72" s="43" t="n">
        <v>46125</v>
      </c>
      <c r="F72" s="26" t="inlineStr">
        <is>
          <t>Sunil CR</t>
        </is>
      </c>
      <c r="G72" s="44" t="inlineStr">
        <is>
          <t>Yes</t>
        </is>
      </c>
      <c r="H72" s="26" t="inlineStr">
        <is>
          <t>No</t>
        </is>
      </c>
      <c r="I72" s="44" t="inlineStr">
        <is>
          <t>Good finish</t>
        </is>
      </c>
      <c r="J72" s="26" t="inlineStr">
        <is>
          <t>Yes</t>
        </is>
      </c>
      <c r="K72" s="27" t="n"/>
      <c r="L72" s="28" t="inlineStr">
        <is>
          <t>No</t>
        </is>
      </c>
      <c r="M72" s="29">
        <f>IF(E72="","",IF(H72="Yes","❌ Disc",IF(G72="No","⚠ Missing",IF(J72="Yes","✓ OK","⚠ Check"))))</f>
        <v/>
      </c>
      <c r="N72" s="43" t="n">
        <v>46196</v>
      </c>
      <c r="O72" s="26" t="inlineStr">
        <is>
          <t>Sunil CR</t>
        </is>
      </c>
      <c r="P72" s="44" t="inlineStr">
        <is>
          <t>Yes</t>
        </is>
      </c>
      <c r="Q72" s="26" t="inlineStr">
        <is>
          <t>No</t>
        </is>
      </c>
      <c r="R72" s="44" t="inlineStr">
        <is>
          <t>Good finish</t>
        </is>
      </c>
      <c r="S72" s="26" t="inlineStr">
        <is>
          <t>Yes</t>
        </is>
      </c>
      <c r="T72" s="27" t="n"/>
      <c r="U72" s="28" t="inlineStr">
        <is>
          <t>No</t>
        </is>
      </c>
      <c r="V72" s="29">
        <f>IF(N72="","",IF(Q72="Yes","❌ Disc",IF(P72="No","⚠ Missing",IF(S72="Yes","✓ OK","⚠ Check"))))</f>
        <v/>
      </c>
      <c r="W72" s="65" t="n">
        <v>46248</v>
      </c>
      <c r="X72" s="30" t="inlineStr">
        <is>
          <t>Sunil CR</t>
        </is>
      </c>
      <c r="Y72" s="30" t="inlineStr">
        <is>
          <t>Yes</t>
        </is>
      </c>
      <c r="Z72" s="30" t="n"/>
      <c r="AA72" s="30" t="inlineStr">
        <is>
          <t>Good finish</t>
        </is>
      </c>
      <c r="AB72" s="30" t="inlineStr">
        <is>
          <t>Yes</t>
        </is>
      </c>
      <c r="AC72" s="27" t="n"/>
      <c r="AD72" s="31" t="inlineStr">
        <is>
          <t>No</t>
        </is>
      </c>
      <c r="AE72" s="32">
        <f>IF(W72="","",IF(Z72="Yes","❌ Disc",IF(Y72="No","⚠ Missing",IF(AB72="Yes","✓ OK","⚠ Check"))))</f>
        <v/>
      </c>
      <c r="AF72" s="33" t="n"/>
      <c r="AG72" s="33" t="n"/>
      <c r="AH72" s="33" t="n"/>
      <c r="AI72" s="33" t="n"/>
      <c r="AJ72" s="33" t="n"/>
      <c r="AK72" s="33" t="n"/>
      <c r="AL72" s="27" t="n"/>
      <c r="AM72" s="34" t="n"/>
      <c r="AN72" s="35">
        <f>IF(AF72="","",IF(AI72="Yes","❌ Disc",IF(AH72="No","⚠ Missing",IF(AK72="Yes","✓ OK","⚠ Check"))))</f>
        <v/>
      </c>
      <c r="AO72" s="36" t="n"/>
      <c r="AP72" s="36" t="n"/>
      <c r="AQ72" s="36" t="n"/>
      <c r="AR72" s="36" t="n"/>
      <c r="AS72" s="36" t="n"/>
      <c r="AT72" s="36" t="n"/>
      <c r="AU72" s="27" t="n"/>
      <c r="AV72" s="37" t="n"/>
      <c r="AW72" s="38">
        <f>IF(AO72="","",IF(AR72="Yes","❌ Disc",IF(AQ72="No","⚠ Missing",IF(AT72="Yes","✓ OK","⚠ Check"))))</f>
        <v/>
      </c>
    </row>
    <row r="73" ht="18" customHeight="1" s="46">
      <c r="A73" s="23" t="n">
        <v>69</v>
      </c>
      <c r="B73" s="24" t="inlineStr">
        <is>
          <t>BD-HNA-2025-0021</t>
        </is>
      </c>
      <c r="C73" s="25" t="inlineStr">
        <is>
          <t>Bonito Legs - 8" 298(V.H) Gold Metal Leg</t>
        </is>
      </c>
      <c r="D73" s="23" t="inlineStr">
        <is>
          <t>Bonito Legs</t>
        </is>
      </c>
      <c r="E73" s="43" t="n">
        <v>46125</v>
      </c>
      <c r="F73" s="26" t="inlineStr">
        <is>
          <t>Sunil CR</t>
        </is>
      </c>
      <c r="G73" s="44" t="inlineStr">
        <is>
          <t>Represented by Sample</t>
        </is>
      </c>
      <c r="H73" s="26" t="inlineStr">
        <is>
          <t>No</t>
        </is>
      </c>
      <c r="I73" s="44" t="inlineStr">
        <is>
          <t>Represented by Sample</t>
        </is>
      </c>
      <c r="J73" s="26" t="inlineStr">
        <is>
          <t>Yes</t>
        </is>
      </c>
      <c r="K73" s="27" t="n"/>
      <c r="L73" s="28" t="inlineStr">
        <is>
          <t>No</t>
        </is>
      </c>
      <c r="M73" s="29">
        <f>IF(E73="","",IF(H73="Yes","❌ Disc",IF(G73="No","⚠ Missing",IF(J73="Yes","✓ OK","⚠ Check"))))</f>
        <v/>
      </c>
      <c r="N73" s="43" t="n">
        <v>46196</v>
      </c>
      <c r="O73" s="26" t="inlineStr">
        <is>
          <t>Sunil CR</t>
        </is>
      </c>
      <c r="P73" s="44" t="inlineStr">
        <is>
          <t>Represented by Sample</t>
        </is>
      </c>
      <c r="Q73" s="26" t="inlineStr">
        <is>
          <t>No</t>
        </is>
      </c>
      <c r="R73" s="44" t="inlineStr">
        <is>
          <t>Represented by Sample</t>
        </is>
      </c>
      <c r="S73" s="26" t="inlineStr">
        <is>
          <t>Yes</t>
        </is>
      </c>
      <c r="T73" s="27" t="n"/>
      <c r="U73" s="28" t="inlineStr">
        <is>
          <t>No</t>
        </is>
      </c>
      <c r="V73" s="29">
        <f>IF(N73="","",IF(Q73="Yes","❌ Disc",IF(P73="No","⚠ Missing",IF(S73="Yes","✓ OK","⚠ Check"))))</f>
        <v/>
      </c>
      <c r="W73" s="65" t="n">
        <v>46248</v>
      </c>
      <c r="X73" s="30" t="inlineStr">
        <is>
          <t>Sunil CR</t>
        </is>
      </c>
      <c r="Y73" s="30" t="inlineStr">
        <is>
          <t>Represented by Sample</t>
        </is>
      </c>
      <c r="Z73" s="30" t="n"/>
      <c r="AA73" s="30" t="inlineStr">
        <is>
          <t>Represented by Sample</t>
        </is>
      </c>
      <c r="AB73" s="30" t="inlineStr">
        <is>
          <t>Yes</t>
        </is>
      </c>
      <c r="AC73" s="27" t="n"/>
      <c r="AD73" s="31" t="inlineStr">
        <is>
          <t>No</t>
        </is>
      </c>
      <c r="AE73" s="32">
        <f>IF(W73="","",IF(Z73="Yes","❌ Disc",IF(Y73="No","⚠ Missing",IF(AB73="Yes","✓ OK","⚠ Check"))))</f>
        <v/>
      </c>
      <c r="AF73" s="33" t="n"/>
      <c r="AG73" s="33" t="n"/>
      <c r="AH73" s="33" t="n"/>
      <c r="AI73" s="33" t="n"/>
      <c r="AJ73" s="33" t="n"/>
      <c r="AK73" s="33" t="n"/>
      <c r="AL73" s="27" t="n"/>
      <c r="AM73" s="34" t="n"/>
      <c r="AN73" s="35">
        <f>IF(AF73="","",IF(AI73="Yes","❌ Disc",IF(AH73="No","⚠ Missing",IF(AK73="Yes","✓ OK","⚠ Check"))))</f>
        <v/>
      </c>
      <c r="AO73" s="36" t="n"/>
      <c r="AP73" s="36" t="n"/>
      <c r="AQ73" s="36" t="n"/>
      <c r="AR73" s="36" t="n"/>
      <c r="AS73" s="36" t="n"/>
      <c r="AT73" s="36" t="n"/>
      <c r="AU73" s="27" t="n"/>
      <c r="AV73" s="37" t="n"/>
      <c r="AW73" s="38">
        <f>IF(AO73="","",IF(AR73="Yes","❌ Disc",IF(AQ73="No","⚠ Missing",IF(AT73="Yes","✓ OK","⚠ Check"))))</f>
        <v/>
      </c>
    </row>
    <row r="74" ht="18" customHeight="1" s="46">
      <c r="A74" s="39" t="n">
        <v>70</v>
      </c>
      <c r="B74" s="40" t="inlineStr">
        <is>
          <t>BD-HNA-2025-0028</t>
        </is>
      </c>
      <c r="C74" s="41" t="inlineStr">
        <is>
          <t>Bonito Legs - 8" 298(V.H) Rose Gold Metal Leg</t>
        </is>
      </c>
      <c r="D74" s="39" t="inlineStr">
        <is>
          <t>Bonito Legs</t>
        </is>
      </c>
      <c r="E74" s="43" t="n">
        <v>46125</v>
      </c>
      <c r="F74" s="26" t="inlineStr">
        <is>
          <t>Sunil CR</t>
        </is>
      </c>
      <c r="G74" s="44" t="inlineStr">
        <is>
          <t>Represented by Sample</t>
        </is>
      </c>
      <c r="H74" s="26" t="inlineStr">
        <is>
          <t>No</t>
        </is>
      </c>
      <c r="I74" s="44" t="inlineStr">
        <is>
          <t>Represented by Sample</t>
        </is>
      </c>
      <c r="J74" s="26" t="inlineStr">
        <is>
          <t>Yes</t>
        </is>
      </c>
      <c r="K74" s="27" t="n"/>
      <c r="L74" s="28" t="inlineStr">
        <is>
          <t>No</t>
        </is>
      </c>
      <c r="M74" s="29">
        <f>IF(E74="","",IF(H74="Yes","❌ Disc",IF(G74="No","⚠ Missing",IF(J74="Yes","✓ OK","⚠ Check"))))</f>
        <v/>
      </c>
      <c r="N74" s="43" t="n">
        <v>46196</v>
      </c>
      <c r="O74" s="26" t="inlineStr">
        <is>
          <t>Sunil CR</t>
        </is>
      </c>
      <c r="P74" s="44" t="inlineStr">
        <is>
          <t>Represented by Sample</t>
        </is>
      </c>
      <c r="Q74" s="26" t="inlineStr">
        <is>
          <t>No</t>
        </is>
      </c>
      <c r="R74" s="44" t="inlineStr">
        <is>
          <t>Represented by Sample</t>
        </is>
      </c>
      <c r="S74" s="26" t="inlineStr">
        <is>
          <t>Yes</t>
        </is>
      </c>
      <c r="T74" s="27" t="n"/>
      <c r="U74" s="28" t="inlineStr">
        <is>
          <t>No</t>
        </is>
      </c>
      <c r="V74" s="29">
        <f>IF(N74="","",IF(Q74="Yes","❌ Disc",IF(P74="No","⚠ Missing",IF(S74="Yes","✓ OK","⚠ Check"))))</f>
        <v/>
      </c>
      <c r="W74" s="65" t="n">
        <v>46248</v>
      </c>
      <c r="X74" s="30" t="inlineStr">
        <is>
          <t>Sunil CR</t>
        </is>
      </c>
      <c r="Y74" s="30" t="inlineStr">
        <is>
          <t>Represented by Sample</t>
        </is>
      </c>
      <c r="Z74" s="30" t="n"/>
      <c r="AA74" s="30" t="inlineStr">
        <is>
          <t>Represented by Sample</t>
        </is>
      </c>
      <c r="AB74" s="30" t="inlineStr">
        <is>
          <t>Yes</t>
        </is>
      </c>
      <c r="AC74" s="27" t="n"/>
      <c r="AD74" s="31" t="inlineStr">
        <is>
          <t>No</t>
        </is>
      </c>
      <c r="AE74" s="32">
        <f>IF(W74="","",IF(Z74="Yes","❌ Disc",IF(Y74="No","⚠ Missing",IF(AB74="Yes","✓ OK","⚠ Check"))))</f>
        <v/>
      </c>
      <c r="AF74" s="33" t="n"/>
      <c r="AG74" s="33" t="n"/>
      <c r="AH74" s="33" t="n"/>
      <c r="AI74" s="33" t="n"/>
      <c r="AJ74" s="33" t="n"/>
      <c r="AK74" s="33" t="n"/>
      <c r="AL74" s="27" t="n"/>
      <c r="AM74" s="34" t="n"/>
      <c r="AN74" s="35">
        <f>IF(AF74="","",IF(AI74="Yes","❌ Disc",IF(AH74="No","⚠ Missing",IF(AK74="Yes","✓ OK","⚠ Check"))))</f>
        <v/>
      </c>
      <c r="AO74" s="36" t="n"/>
      <c r="AP74" s="36" t="n"/>
      <c r="AQ74" s="36" t="n"/>
      <c r="AR74" s="36" t="n"/>
      <c r="AS74" s="36" t="n"/>
      <c r="AT74" s="36" t="n"/>
      <c r="AU74" s="27" t="n"/>
      <c r="AV74" s="37" t="n"/>
      <c r="AW74" s="38">
        <f>IF(AO74="","",IF(AR74="Yes","❌ Disc",IF(AQ74="No","⚠ Missing",IF(AT74="Yes","✓ OK","⚠ Check"))))</f>
        <v/>
      </c>
    </row>
    <row r="75" ht="18" customHeight="1" s="46">
      <c r="A75" s="23" t="n">
        <v>71</v>
      </c>
      <c r="B75" s="24" t="inlineStr">
        <is>
          <t>BD-HNA-2025-0056</t>
        </is>
      </c>
      <c r="C75" s="25" t="inlineStr">
        <is>
          <t>Bonito Legs - 8" LG -134(S.H-ZP) Black Metal Leg</t>
        </is>
      </c>
      <c r="D75" s="23" t="inlineStr">
        <is>
          <t>Bonito Legs</t>
        </is>
      </c>
      <c r="E75" s="43" t="n">
        <v>46125</v>
      </c>
      <c r="F75" s="26" t="inlineStr">
        <is>
          <t>Sunil CR</t>
        </is>
      </c>
      <c r="G75" s="44" t="inlineStr">
        <is>
          <t>Represented by Sample</t>
        </is>
      </c>
      <c r="H75" s="26" t="inlineStr">
        <is>
          <t>No</t>
        </is>
      </c>
      <c r="I75" s="44" t="inlineStr">
        <is>
          <t>Represented by Sample</t>
        </is>
      </c>
      <c r="J75" s="26" t="inlineStr">
        <is>
          <t>Yes</t>
        </is>
      </c>
      <c r="K75" s="27" t="n"/>
      <c r="L75" s="28" t="inlineStr">
        <is>
          <t>No</t>
        </is>
      </c>
      <c r="M75" s="29">
        <f>IF(E75="","",IF(H75="Yes","❌ Disc",IF(G75="No","⚠ Missing",IF(J75="Yes","✓ OK","⚠ Check"))))</f>
        <v/>
      </c>
      <c r="N75" s="43" t="n">
        <v>46196</v>
      </c>
      <c r="O75" s="26" t="inlineStr">
        <is>
          <t>Sunil CR</t>
        </is>
      </c>
      <c r="P75" s="44" t="inlineStr">
        <is>
          <t>Represented by Sample</t>
        </is>
      </c>
      <c r="Q75" s="26" t="inlineStr">
        <is>
          <t>No</t>
        </is>
      </c>
      <c r="R75" s="44" t="inlineStr">
        <is>
          <t>Represented by Sample</t>
        </is>
      </c>
      <c r="S75" s="26" t="inlineStr">
        <is>
          <t>Yes</t>
        </is>
      </c>
      <c r="T75" s="27" t="n"/>
      <c r="U75" s="28" t="inlineStr">
        <is>
          <t>No</t>
        </is>
      </c>
      <c r="V75" s="29">
        <f>IF(N75="","",IF(Q75="Yes","❌ Disc",IF(P75="No","⚠ Missing",IF(S75="Yes","✓ OK","⚠ Check"))))</f>
        <v/>
      </c>
      <c r="W75" s="65" t="n">
        <v>46248</v>
      </c>
      <c r="X75" s="30" t="inlineStr">
        <is>
          <t>Sunil CR</t>
        </is>
      </c>
      <c r="Y75" s="30" t="inlineStr">
        <is>
          <t>Represented by Sample</t>
        </is>
      </c>
      <c r="Z75" s="30" t="n"/>
      <c r="AA75" s="30" t="inlineStr">
        <is>
          <t>Represented by Sample</t>
        </is>
      </c>
      <c r="AB75" s="30" t="inlineStr">
        <is>
          <t>Yes</t>
        </is>
      </c>
      <c r="AC75" s="27" t="n"/>
      <c r="AD75" s="31" t="inlineStr">
        <is>
          <t>No</t>
        </is>
      </c>
      <c r="AE75" s="32">
        <f>IF(W75="","",IF(Z75="Yes","❌ Disc",IF(Y75="No","⚠ Missing",IF(AB75="Yes","✓ OK","⚠ Check"))))</f>
        <v/>
      </c>
      <c r="AF75" s="33" t="n"/>
      <c r="AG75" s="33" t="n"/>
      <c r="AH75" s="33" t="n"/>
      <c r="AI75" s="33" t="n"/>
      <c r="AJ75" s="33" t="n"/>
      <c r="AK75" s="33" t="n"/>
      <c r="AL75" s="27" t="n"/>
      <c r="AM75" s="34" t="n"/>
      <c r="AN75" s="35">
        <f>IF(AF75="","",IF(AI75="Yes","❌ Disc",IF(AH75="No","⚠ Missing",IF(AK75="Yes","✓ OK","⚠ Check"))))</f>
        <v/>
      </c>
      <c r="AO75" s="36" t="n"/>
      <c r="AP75" s="36" t="n"/>
      <c r="AQ75" s="36" t="n"/>
      <c r="AR75" s="36" t="n"/>
      <c r="AS75" s="36" t="n"/>
      <c r="AT75" s="36" t="n"/>
      <c r="AU75" s="27" t="n"/>
      <c r="AV75" s="37" t="n"/>
      <c r="AW75" s="38">
        <f>IF(AO75="","",IF(AR75="Yes","❌ Disc",IF(AQ75="No","⚠ Missing",IF(AT75="Yes","✓ OK","⚠ Check"))))</f>
        <v/>
      </c>
    </row>
    <row r="76" ht="18" customHeight="1" s="46">
      <c r="A76" s="39" t="n">
        <v>72</v>
      </c>
      <c r="B76" s="40" t="inlineStr">
        <is>
          <t>BD-HNA-2025-0060</t>
        </is>
      </c>
      <c r="C76" s="41" t="inlineStr">
        <is>
          <t>Bonito Legs - 8" LG -134(S.H-ZP) Gold Metal Leg</t>
        </is>
      </c>
      <c r="D76" s="39" t="inlineStr">
        <is>
          <t>Bonito Legs</t>
        </is>
      </c>
      <c r="E76" s="43" t="n">
        <v>46125</v>
      </c>
      <c r="F76" s="26" t="inlineStr">
        <is>
          <t>Sunil CR</t>
        </is>
      </c>
      <c r="G76" s="44" t="inlineStr">
        <is>
          <t>Represented by Sample</t>
        </is>
      </c>
      <c r="H76" s="26" t="inlineStr">
        <is>
          <t>No</t>
        </is>
      </c>
      <c r="I76" s="44" t="inlineStr">
        <is>
          <t>Represented by Sample</t>
        </is>
      </c>
      <c r="J76" s="26" t="inlineStr">
        <is>
          <t>Yes</t>
        </is>
      </c>
      <c r="K76" s="27" t="n"/>
      <c r="L76" s="28" t="inlineStr">
        <is>
          <t>No</t>
        </is>
      </c>
      <c r="M76" s="29">
        <f>IF(E76="","",IF(H76="Yes","❌ Disc",IF(G76="No","⚠ Missing",IF(J76="Yes","✓ OK","⚠ Check"))))</f>
        <v/>
      </c>
      <c r="N76" s="43" t="n">
        <v>46196</v>
      </c>
      <c r="O76" s="26" t="inlineStr">
        <is>
          <t>Sunil CR</t>
        </is>
      </c>
      <c r="P76" s="44" t="inlineStr">
        <is>
          <t>Represented by Sample</t>
        </is>
      </c>
      <c r="Q76" s="26" t="inlineStr">
        <is>
          <t>No</t>
        </is>
      </c>
      <c r="R76" s="44" t="inlineStr">
        <is>
          <t>Represented by Sample</t>
        </is>
      </c>
      <c r="S76" s="26" t="inlineStr">
        <is>
          <t>Yes</t>
        </is>
      </c>
      <c r="T76" s="27" t="n"/>
      <c r="U76" s="28" t="inlineStr">
        <is>
          <t>No</t>
        </is>
      </c>
      <c r="V76" s="29">
        <f>IF(N76="","",IF(Q76="Yes","❌ Disc",IF(P76="No","⚠ Missing",IF(S76="Yes","✓ OK","⚠ Check"))))</f>
        <v/>
      </c>
      <c r="W76" s="65" t="n">
        <v>46248</v>
      </c>
      <c r="X76" s="30" t="inlineStr">
        <is>
          <t>Sunil CR</t>
        </is>
      </c>
      <c r="Y76" s="30" t="inlineStr">
        <is>
          <t>Represented by Sample</t>
        </is>
      </c>
      <c r="Z76" s="30" t="n"/>
      <c r="AA76" s="30" t="inlineStr">
        <is>
          <t>Represented by Sample</t>
        </is>
      </c>
      <c r="AB76" s="30" t="inlineStr">
        <is>
          <t>Yes</t>
        </is>
      </c>
      <c r="AC76" s="27" t="n"/>
      <c r="AD76" s="31" t="inlineStr">
        <is>
          <t>No</t>
        </is>
      </c>
      <c r="AE76" s="32">
        <f>IF(W76="","",IF(Z76="Yes","❌ Disc",IF(Y76="No","⚠ Missing",IF(AB76="Yes","✓ OK","⚠ Check"))))</f>
        <v/>
      </c>
      <c r="AF76" s="33" t="n"/>
      <c r="AG76" s="33" t="n"/>
      <c r="AH76" s="33" t="n"/>
      <c r="AI76" s="33" t="n"/>
      <c r="AJ76" s="33" t="n"/>
      <c r="AK76" s="33" t="n"/>
      <c r="AL76" s="27" t="n"/>
      <c r="AM76" s="34" t="n"/>
      <c r="AN76" s="35">
        <f>IF(AF76="","",IF(AI76="Yes","❌ Disc",IF(AH76="No","⚠ Missing",IF(AK76="Yes","✓ OK","⚠ Check"))))</f>
        <v/>
      </c>
      <c r="AO76" s="36" t="n"/>
      <c r="AP76" s="36" t="n"/>
      <c r="AQ76" s="36" t="n"/>
      <c r="AR76" s="36" t="n"/>
      <c r="AS76" s="36" t="n"/>
      <c r="AT76" s="36" t="n"/>
      <c r="AU76" s="27" t="n"/>
      <c r="AV76" s="37" t="n"/>
      <c r="AW76" s="38">
        <f>IF(AO76="","",IF(AR76="Yes","❌ Disc",IF(AQ76="No","⚠ Missing",IF(AT76="Yes","✓ OK","⚠ Check"))))</f>
        <v/>
      </c>
    </row>
    <row r="77" ht="18" customHeight="1" s="46">
      <c r="A77" s="23" t="n">
        <v>73</v>
      </c>
      <c r="B77" s="24" t="inlineStr">
        <is>
          <t>BD-HNA-2025-0064</t>
        </is>
      </c>
      <c r="C77" s="25" t="inlineStr">
        <is>
          <t>Bonito Legs - 8" LG -134(S.H-ZP) Rose Gold Metal Leg</t>
        </is>
      </c>
      <c r="D77" s="23" t="inlineStr">
        <is>
          <t>Bonito Legs</t>
        </is>
      </c>
      <c r="E77" s="43" t="n">
        <v>46125</v>
      </c>
      <c r="F77" s="26" t="inlineStr">
        <is>
          <t>Sunil CR</t>
        </is>
      </c>
      <c r="G77" s="44" t="inlineStr">
        <is>
          <t>Represented by Sample</t>
        </is>
      </c>
      <c r="H77" s="26" t="inlineStr">
        <is>
          <t>No</t>
        </is>
      </c>
      <c r="I77" s="44" t="inlineStr">
        <is>
          <t>Represented by Sample</t>
        </is>
      </c>
      <c r="J77" s="26" t="inlineStr">
        <is>
          <t>Yes</t>
        </is>
      </c>
      <c r="K77" s="27" t="n"/>
      <c r="L77" s="28" t="inlineStr">
        <is>
          <t>No</t>
        </is>
      </c>
      <c r="M77" s="29">
        <f>IF(E77="","",IF(H77="Yes","❌ Disc",IF(G77="No","⚠ Missing",IF(J77="Yes","✓ OK","⚠ Check"))))</f>
        <v/>
      </c>
      <c r="N77" s="43" t="n">
        <v>46196</v>
      </c>
      <c r="O77" s="26" t="inlineStr">
        <is>
          <t>Sunil CR</t>
        </is>
      </c>
      <c r="P77" s="44" t="inlineStr">
        <is>
          <t>Represented by Sample</t>
        </is>
      </c>
      <c r="Q77" s="26" t="inlineStr">
        <is>
          <t>No</t>
        </is>
      </c>
      <c r="R77" s="44" t="inlineStr">
        <is>
          <t>Represented by Sample</t>
        </is>
      </c>
      <c r="S77" s="26" t="inlineStr">
        <is>
          <t>Yes</t>
        </is>
      </c>
      <c r="T77" s="27" t="n"/>
      <c r="U77" s="28" t="inlineStr">
        <is>
          <t>No</t>
        </is>
      </c>
      <c r="V77" s="29">
        <f>IF(N77="","",IF(Q77="Yes","❌ Disc",IF(P77="No","⚠ Missing",IF(S77="Yes","✓ OK","⚠ Check"))))</f>
        <v/>
      </c>
      <c r="W77" s="65" t="n">
        <v>46248</v>
      </c>
      <c r="X77" s="30" t="inlineStr">
        <is>
          <t>Sunil CR</t>
        </is>
      </c>
      <c r="Y77" s="30" t="inlineStr">
        <is>
          <t>Represented by Sample</t>
        </is>
      </c>
      <c r="Z77" s="30" t="n"/>
      <c r="AA77" s="30" t="inlineStr">
        <is>
          <t>Represented by Sample</t>
        </is>
      </c>
      <c r="AB77" s="30" t="inlineStr">
        <is>
          <t>Yes</t>
        </is>
      </c>
      <c r="AC77" s="27" t="n"/>
      <c r="AD77" s="31" t="inlineStr">
        <is>
          <t>No</t>
        </is>
      </c>
      <c r="AE77" s="32">
        <f>IF(W77="","",IF(Z77="Yes","❌ Disc",IF(Y77="No","⚠ Missing",IF(AB77="Yes","✓ OK","⚠ Check"))))</f>
        <v/>
      </c>
      <c r="AF77" s="33" t="n"/>
      <c r="AG77" s="33" t="n"/>
      <c r="AH77" s="33" t="n"/>
      <c r="AI77" s="33" t="n"/>
      <c r="AJ77" s="33" t="n"/>
      <c r="AK77" s="33" t="n"/>
      <c r="AL77" s="27" t="n"/>
      <c r="AM77" s="34" t="n"/>
      <c r="AN77" s="35">
        <f>IF(AF77="","",IF(AI77="Yes","❌ Disc",IF(AH77="No","⚠ Missing",IF(AK77="Yes","✓ OK","⚠ Check"))))</f>
        <v/>
      </c>
      <c r="AO77" s="36" t="n"/>
      <c r="AP77" s="36" t="n"/>
      <c r="AQ77" s="36" t="n"/>
      <c r="AR77" s="36" t="n"/>
      <c r="AS77" s="36" t="n"/>
      <c r="AT77" s="36" t="n"/>
      <c r="AU77" s="27" t="n"/>
      <c r="AV77" s="37" t="n"/>
      <c r="AW77" s="38">
        <f>IF(AO77="","",IF(AR77="Yes","❌ Disc",IF(AQ77="No","⚠ Missing",IF(AT77="Yes","✓ OK","⚠ Check"))))</f>
        <v/>
      </c>
    </row>
    <row r="78" ht="18" customHeight="1" s="46">
      <c r="A78" s="39" t="n">
        <v>74</v>
      </c>
      <c r="B78" s="40" t="inlineStr">
        <is>
          <t>BD-HNA-2025-0039</t>
        </is>
      </c>
      <c r="C78" s="41" t="inlineStr">
        <is>
          <t>Bonito Legs - 8" LG-109(S.H.-ZP) Black Metal Leg</t>
        </is>
      </c>
      <c r="D78" s="39" t="inlineStr">
        <is>
          <t>Bonito Legs</t>
        </is>
      </c>
      <c r="E78" s="43" t="n">
        <v>46125</v>
      </c>
      <c r="F78" s="26" t="inlineStr">
        <is>
          <t>Sunil CR</t>
        </is>
      </c>
      <c r="G78" s="44" t="inlineStr">
        <is>
          <t>Represented by Sample</t>
        </is>
      </c>
      <c r="H78" s="26" t="inlineStr">
        <is>
          <t>No</t>
        </is>
      </c>
      <c r="I78" s="44" t="inlineStr">
        <is>
          <t>Represented by Sample</t>
        </is>
      </c>
      <c r="J78" s="26" t="inlineStr">
        <is>
          <t>Yes</t>
        </is>
      </c>
      <c r="K78" s="27" t="n"/>
      <c r="L78" s="28" t="inlineStr">
        <is>
          <t>No</t>
        </is>
      </c>
      <c r="M78" s="29">
        <f>IF(E78="","",IF(H78="Yes","❌ Disc",IF(G78="No","⚠ Missing",IF(J78="Yes","✓ OK","⚠ Check"))))</f>
        <v/>
      </c>
      <c r="N78" s="43" t="n">
        <v>46196</v>
      </c>
      <c r="O78" s="26" t="inlineStr">
        <is>
          <t>Sunil CR</t>
        </is>
      </c>
      <c r="P78" s="44" t="inlineStr">
        <is>
          <t>Represented by Sample</t>
        </is>
      </c>
      <c r="Q78" s="26" t="inlineStr">
        <is>
          <t>No</t>
        </is>
      </c>
      <c r="R78" s="44" t="inlineStr">
        <is>
          <t>Represented by Sample</t>
        </is>
      </c>
      <c r="S78" s="26" t="inlineStr">
        <is>
          <t>Yes</t>
        </is>
      </c>
      <c r="T78" s="27" t="n"/>
      <c r="U78" s="28" t="inlineStr">
        <is>
          <t>No</t>
        </is>
      </c>
      <c r="V78" s="29">
        <f>IF(N78="","",IF(Q78="Yes","❌ Disc",IF(P78="No","⚠ Missing",IF(S78="Yes","✓ OK","⚠ Check"))))</f>
        <v/>
      </c>
      <c r="W78" s="65" t="n">
        <v>46248</v>
      </c>
      <c r="X78" s="30" t="inlineStr">
        <is>
          <t>Sunil CR</t>
        </is>
      </c>
      <c r="Y78" s="30" t="inlineStr">
        <is>
          <t>Represented by Sample</t>
        </is>
      </c>
      <c r="Z78" s="30" t="n"/>
      <c r="AA78" s="30" t="inlineStr">
        <is>
          <t>Represented by Sample</t>
        </is>
      </c>
      <c r="AB78" s="30" t="inlineStr">
        <is>
          <t>Yes</t>
        </is>
      </c>
      <c r="AC78" s="27" t="n"/>
      <c r="AD78" s="31" t="inlineStr">
        <is>
          <t>No</t>
        </is>
      </c>
      <c r="AE78" s="32">
        <f>IF(W78="","",IF(Z78="Yes","❌ Disc",IF(Y78="No","⚠ Missing",IF(AB78="Yes","✓ OK","⚠ Check"))))</f>
        <v/>
      </c>
      <c r="AF78" s="33" t="n"/>
      <c r="AG78" s="33" t="n"/>
      <c r="AH78" s="33" t="n"/>
      <c r="AI78" s="33" t="n"/>
      <c r="AJ78" s="33" t="n"/>
      <c r="AK78" s="33" t="n"/>
      <c r="AL78" s="27" t="n"/>
      <c r="AM78" s="34" t="n"/>
      <c r="AN78" s="35">
        <f>IF(AF78="","",IF(AI78="Yes","❌ Disc",IF(AH78="No","⚠ Missing",IF(AK78="Yes","✓ OK","⚠ Check"))))</f>
        <v/>
      </c>
      <c r="AO78" s="36" t="n"/>
      <c r="AP78" s="36" t="n"/>
      <c r="AQ78" s="36" t="n"/>
      <c r="AR78" s="36" t="n"/>
      <c r="AS78" s="36" t="n"/>
      <c r="AT78" s="36" t="n"/>
      <c r="AU78" s="27" t="n"/>
      <c r="AV78" s="37" t="n"/>
      <c r="AW78" s="38">
        <f>IF(AO78="","",IF(AR78="Yes","❌ Disc",IF(AQ78="No","⚠ Missing",IF(AT78="Yes","✓ OK","⚠ Check"))))</f>
        <v/>
      </c>
    </row>
    <row r="79" ht="18" customHeight="1" s="46">
      <c r="A79" s="23" t="n">
        <v>75</v>
      </c>
      <c r="B79" s="24" t="inlineStr">
        <is>
          <t>BD-HNA-2025-0035</t>
        </is>
      </c>
      <c r="C79" s="25" t="inlineStr">
        <is>
          <t>Bonito Legs - 8" LG-109(S.H.-ZP) Gold Metal Leg</t>
        </is>
      </c>
      <c r="D79" s="23" t="inlineStr">
        <is>
          <t>Bonito Legs</t>
        </is>
      </c>
      <c r="E79" s="43" t="n">
        <v>46125</v>
      </c>
      <c r="F79" s="26" t="inlineStr">
        <is>
          <t>Sunil CR</t>
        </is>
      </c>
      <c r="G79" s="44" t="inlineStr">
        <is>
          <t>Represented by Sample</t>
        </is>
      </c>
      <c r="H79" s="26" t="inlineStr">
        <is>
          <t>No</t>
        </is>
      </c>
      <c r="I79" s="44" t="inlineStr">
        <is>
          <t>Represented by Sample</t>
        </is>
      </c>
      <c r="J79" s="26" t="inlineStr">
        <is>
          <t>Yes</t>
        </is>
      </c>
      <c r="K79" s="27" t="n"/>
      <c r="L79" s="28" t="inlineStr">
        <is>
          <t>No</t>
        </is>
      </c>
      <c r="M79" s="29">
        <f>IF(E79="","",IF(H79="Yes","❌ Disc",IF(G79="No","⚠ Missing",IF(J79="Yes","✓ OK","⚠ Check"))))</f>
        <v/>
      </c>
      <c r="N79" s="43" t="n">
        <v>46196</v>
      </c>
      <c r="O79" s="26" t="inlineStr">
        <is>
          <t>Sunil CR</t>
        </is>
      </c>
      <c r="P79" s="44" t="inlineStr">
        <is>
          <t>Represented by Sample</t>
        </is>
      </c>
      <c r="Q79" s="26" t="inlineStr">
        <is>
          <t>No</t>
        </is>
      </c>
      <c r="R79" s="44" t="inlineStr">
        <is>
          <t>Represented by Sample</t>
        </is>
      </c>
      <c r="S79" s="26" t="inlineStr">
        <is>
          <t>Yes</t>
        </is>
      </c>
      <c r="T79" s="27" t="n"/>
      <c r="U79" s="28" t="inlineStr">
        <is>
          <t>No</t>
        </is>
      </c>
      <c r="V79" s="29">
        <f>IF(N79="","",IF(Q79="Yes","❌ Disc",IF(P79="No","⚠ Missing",IF(S79="Yes","✓ OK","⚠ Check"))))</f>
        <v/>
      </c>
      <c r="W79" s="65" t="n">
        <v>46248</v>
      </c>
      <c r="X79" s="30" t="inlineStr">
        <is>
          <t>Sunil CR</t>
        </is>
      </c>
      <c r="Y79" s="30" t="inlineStr">
        <is>
          <t>Represented by Sample</t>
        </is>
      </c>
      <c r="Z79" s="30" t="n"/>
      <c r="AA79" s="30" t="inlineStr">
        <is>
          <t>Represented by Sample</t>
        </is>
      </c>
      <c r="AB79" s="30" t="inlineStr">
        <is>
          <t>Yes</t>
        </is>
      </c>
      <c r="AC79" s="27" t="n"/>
      <c r="AD79" s="31" t="inlineStr">
        <is>
          <t>No</t>
        </is>
      </c>
      <c r="AE79" s="32">
        <f>IF(W79="","",IF(Z79="Yes","❌ Disc",IF(Y79="No","⚠ Missing",IF(AB79="Yes","✓ OK","⚠ Check"))))</f>
        <v/>
      </c>
      <c r="AF79" s="33" t="n"/>
      <c r="AG79" s="33" t="n"/>
      <c r="AH79" s="33" t="n"/>
      <c r="AI79" s="33" t="n"/>
      <c r="AJ79" s="33" t="n"/>
      <c r="AK79" s="33" t="n"/>
      <c r="AL79" s="27" t="n"/>
      <c r="AM79" s="34" t="n"/>
      <c r="AN79" s="35">
        <f>IF(AF79="","",IF(AI79="Yes","❌ Disc",IF(AH79="No","⚠ Missing",IF(AK79="Yes","✓ OK","⚠ Check"))))</f>
        <v/>
      </c>
      <c r="AO79" s="36" t="n"/>
      <c r="AP79" s="36" t="n"/>
      <c r="AQ79" s="36" t="n"/>
      <c r="AR79" s="36" t="n"/>
      <c r="AS79" s="36" t="n"/>
      <c r="AT79" s="36" t="n"/>
      <c r="AU79" s="27" t="n"/>
      <c r="AV79" s="37" t="n"/>
      <c r="AW79" s="38">
        <f>IF(AO79="","",IF(AR79="Yes","❌ Disc",IF(AQ79="No","⚠ Missing",IF(AT79="Yes","✓ OK","⚠ Check"))))</f>
        <v/>
      </c>
    </row>
    <row r="80" ht="18" customHeight="1" s="46">
      <c r="A80" s="39" t="n">
        <v>76</v>
      </c>
      <c r="B80" s="40" t="inlineStr">
        <is>
          <t>BD-HNA-2025-0043</t>
        </is>
      </c>
      <c r="C80" s="41" t="inlineStr">
        <is>
          <t>Bonito Legs - 8" LG-109(S.H.-ZP) Rose Gold Metal Leg</t>
        </is>
      </c>
      <c r="D80" s="39" t="inlineStr">
        <is>
          <t>Bonito Legs</t>
        </is>
      </c>
      <c r="E80" s="43" t="n">
        <v>46125</v>
      </c>
      <c r="F80" s="26" t="inlineStr">
        <is>
          <t>Sunil CR</t>
        </is>
      </c>
      <c r="G80" s="44" t="inlineStr">
        <is>
          <t>Represented by Sample</t>
        </is>
      </c>
      <c r="H80" s="26" t="inlineStr">
        <is>
          <t>No</t>
        </is>
      </c>
      <c r="I80" s="44" t="inlineStr">
        <is>
          <t>Represented by Sample</t>
        </is>
      </c>
      <c r="J80" s="26" t="inlineStr">
        <is>
          <t>Yes</t>
        </is>
      </c>
      <c r="K80" s="27" t="n"/>
      <c r="L80" s="28" t="inlineStr">
        <is>
          <t>No</t>
        </is>
      </c>
      <c r="M80" s="29">
        <f>IF(E80="","",IF(H80="Yes","❌ Disc",IF(G80="No","⚠ Missing",IF(J80="Yes","✓ OK","⚠ Check"))))</f>
        <v/>
      </c>
      <c r="N80" s="43" t="n">
        <v>46196</v>
      </c>
      <c r="O80" s="26" t="inlineStr">
        <is>
          <t>Sunil CR</t>
        </is>
      </c>
      <c r="P80" s="44" t="inlineStr">
        <is>
          <t>Represented by Sample</t>
        </is>
      </c>
      <c r="Q80" s="26" t="inlineStr">
        <is>
          <t>No</t>
        </is>
      </c>
      <c r="R80" s="44" t="inlineStr">
        <is>
          <t>Represented by Sample</t>
        </is>
      </c>
      <c r="S80" s="26" t="inlineStr">
        <is>
          <t>Yes</t>
        </is>
      </c>
      <c r="T80" s="27" t="n"/>
      <c r="U80" s="28" t="inlineStr">
        <is>
          <t>No</t>
        </is>
      </c>
      <c r="V80" s="29">
        <f>IF(N80="","",IF(Q80="Yes","❌ Disc",IF(P80="No","⚠ Missing",IF(S80="Yes","✓ OK","⚠ Check"))))</f>
        <v/>
      </c>
      <c r="W80" s="65" t="n">
        <v>46248</v>
      </c>
      <c r="X80" s="30" t="inlineStr">
        <is>
          <t>Sunil CR</t>
        </is>
      </c>
      <c r="Y80" s="30" t="inlineStr">
        <is>
          <t>Represented by Sample</t>
        </is>
      </c>
      <c r="Z80" s="30" t="n"/>
      <c r="AA80" s="30" t="inlineStr">
        <is>
          <t>Represented by Sample</t>
        </is>
      </c>
      <c r="AB80" s="30" t="inlineStr">
        <is>
          <t>Yes</t>
        </is>
      </c>
      <c r="AC80" s="27" t="n"/>
      <c r="AD80" s="31" t="inlineStr">
        <is>
          <t>No</t>
        </is>
      </c>
      <c r="AE80" s="32">
        <f>IF(W80="","",IF(Z80="Yes","❌ Disc",IF(Y80="No","⚠ Missing",IF(AB80="Yes","✓ OK","⚠ Check"))))</f>
        <v/>
      </c>
      <c r="AF80" s="33" t="n"/>
      <c r="AG80" s="33" t="n"/>
      <c r="AH80" s="33" t="n"/>
      <c r="AI80" s="33" t="n"/>
      <c r="AJ80" s="33" t="n"/>
      <c r="AK80" s="33" t="n"/>
      <c r="AL80" s="27" t="n"/>
      <c r="AM80" s="34" t="n"/>
      <c r="AN80" s="35">
        <f>IF(AF80="","",IF(AI80="Yes","❌ Disc",IF(AH80="No","⚠ Missing",IF(AK80="Yes","✓ OK","⚠ Check"))))</f>
        <v/>
      </c>
      <c r="AO80" s="36" t="n"/>
      <c r="AP80" s="36" t="n"/>
      <c r="AQ80" s="36" t="n"/>
      <c r="AR80" s="36" t="n"/>
      <c r="AS80" s="36" t="n"/>
      <c r="AT80" s="36" t="n"/>
      <c r="AU80" s="27" t="n"/>
      <c r="AV80" s="37" t="n"/>
      <c r="AW80" s="38">
        <f>IF(AO80="","",IF(AR80="Yes","❌ Disc",IF(AQ80="No","⚠ Missing",IF(AT80="Yes","✓ OK","⚠ Check"))))</f>
        <v/>
      </c>
    </row>
  </sheetData>
  <autoFilter ref="A4:AW80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priority="14" dxfId="87">
      <formula>G5="Yes"</formula>
    </cfRule>
    <cfRule type="expression" priority="15" dxfId="86">
      <formula>G5="No"</formula>
    </cfRule>
    <cfRule type="expression" priority="16" dxfId="83">
      <formula>MOD(ROW(),2)=0</formula>
    </cfRule>
  </conditionalFormatting>
  <conditionalFormatting sqref="H5:H80">
    <cfRule type="expression" priority="23" dxfId="1">
      <formula>H5="Yes"</formula>
    </cfRule>
  </conditionalFormatting>
  <conditionalFormatting sqref="I5:I80">
    <cfRule type="expression" priority="13" dxfId="83">
      <formula>MOD(ROW(),2)=0</formula>
    </cfRule>
  </conditionalFormatting>
  <conditionalFormatting sqref="J5:J80">
    <cfRule type="expression" priority="24" dxfId="3">
      <formula>J5="Yes"</formula>
    </cfRule>
    <cfRule type="expression" priority="25" dxfId="1">
      <formula>J5="No"</formula>
    </cfRule>
  </conditionalFormatting>
  <conditionalFormatting sqref="M5:M80">
    <cfRule type="expression" priority="17" dxfId="3">
      <formula>M5="✓ OK"</formula>
    </cfRule>
    <cfRule type="expression" priority="18" dxfId="1">
      <formula>M5="❌ Disc"</formula>
    </cfRule>
    <cfRule type="expression" priority="19" dxfId="1">
      <formula>M5="⚠ Missing"</formula>
    </cfRule>
    <cfRule type="expression" priority="20" dxfId="0">
      <formula>M5="⚠ Check"</formula>
    </cfRule>
  </conditionalFormatting>
  <conditionalFormatting sqref="N5:O80">
    <cfRule type="expression" priority="1" dxfId="27">
      <formula>MOD(ROW(),2)=0</formula>
    </cfRule>
  </conditionalFormatting>
  <conditionalFormatting sqref="P5:P80">
    <cfRule type="expression" priority="3" dxfId="87">
      <formula>P5="Yes"</formula>
    </cfRule>
    <cfRule type="expression" priority="4" dxfId="86">
      <formula>P5="No"</formula>
    </cfRule>
    <cfRule type="expression" priority="5" dxfId="83">
      <formula>MOD(ROW(),2)=0</formula>
    </cfRule>
  </conditionalFormatting>
  <conditionalFormatting sqref="Q5:Q80">
    <cfRule type="expression" priority="10" dxfId="1">
      <formula>Q5="Yes"</formula>
    </cfRule>
  </conditionalFormatting>
  <conditionalFormatting sqref="R5:R80">
    <cfRule type="expression" priority="2" dxfId="83">
      <formula>MOD(ROW(),2)=0</formula>
    </cfRule>
  </conditionalFormatting>
  <conditionalFormatting sqref="S5:S80">
    <cfRule type="expression" priority="11" dxfId="3">
      <formula>S5="Yes"</formula>
    </cfRule>
    <cfRule type="expression" priority="12" dxfId="1">
      <formula>S5="No"</formula>
    </cfRule>
  </conditionalFormatting>
  <conditionalFormatting sqref="A5:F80 H5:H80 J5:M80 Q5:Q80 S5:AW80">
    <cfRule type="expression" priority="62" dxfId="27">
      <formula>MOD(ROW(),2)=0</formula>
    </cfRule>
  </conditionalFormatting>
  <conditionalFormatting sqref="V5:V80">
    <cfRule type="expression" priority="6" dxfId="3">
      <formula>V5="✓ OK"</formula>
    </cfRule>
    <cfRule type="expression" priority="8" dxfId="1">
      <formula>V5="⚠ Missing"</formula>
    </cfRule>
    <cfRule type="expression" priority="9" dxfId="0">
      <formula>V5="⚠ Check"</formula>
    </cfRule>
    <cfRule type="expression" priority="7" dxfId="1">
      <formula>V5="❌ Disc"</formula>
    </cfRule>
  </conditionalFormatting>
  <conditionalFormatting sqref="Y5:Y80">
    <cfRule type="expression" priority="40" dxfId="1">
      <formula>Y5="No"</formula>
    </cfRule>
    <cfRule type="expression" priority="39" dxfId="3">
      <formula>Y5="Yes"</formula>
    </cfRule>
  </conditionalFormatting>
  <conditionalFormatting sqref="Z5:Z80">
    <cfRule type="expression" priority="41" dxfId="1">
      <formula>Z5="Yes"</formula>
    </cfRule>
  </conditionalFormatting>
  <conditionalFormatting sqref="AB5:AB80">
    <cfRule type="expression" priority="42" dxfId="3">
      <formula>AB5="Yes"</formula>
    </cfRule>
    <cfRule type="expression" priority="43" dxfId="1">
      <formula>AB5="No"</formula>
    </cfRule>
  </conditionalFormatting>
  <conditionalFormatting sqref="AE5:AE80">
    <cfRule type="expression" priority="38" dxfId="0">
      <formula>AE5="⚠ Check"</formula>
    </cfRule>
    <cfRule type="expression" priority="36" dxfId="1">
      <formula>AE5="❌ Disc"</formula>
    </cfRule>
    <cfRule type="expression" priority="37" dxfId="1">
      <formula>AE5="⚠ Missing"</formula>
    </cfRule>
    <cfRule type="expression" priority="35" dxfId="3">
      <formula>AE5="✓ OK"</formula>
    </cfRule>
  </conditionalFormatting>
  <conditionalFormatting sqref="AH5:AH80">
    <cfRule type="expression" priority="48" dxfId="3">
      <formula>AH5="Yes"</formula>
    </cfRule>
    <cfRule type="expression" priority="49" dxfId="1">
      <formula>AH5="No"</formula>
    </cfRule>
  </conditionalFormatting>
  <conditionalFormatting sqref="AI5:AI80">
    <cfRule type="expression" priority="50" dxfId="1">
      <formula>AI5="Yes"</formula>
    </cfRule>
  </conditionalFormatting>
  <conditionalFormatting sqref="AK5:AK80">
    <cfRule type="expression" priority="51" dxfId="3">
      <formula>AK5="Yes"</formula>
    </cfRule>
    <cfRule type="expression" priority="52" dxfId="1">
      <formula>AK5="No"</formula>
    </cfRule>
  </conditionalFormatting>
  <conditionalFormatting sqref="AN5:AN80">
    <cfRule type="expression" priority="44" dxfId="3">
      <formula>AN5="✓ OK"</formula>
    </cfRule>
    <cfRule type="expression" priority="45" dxfId="1">
      <formula>AN5="❌ Disc"</formula>
    </cfRule>
    <cfRule type="expression" priority="46" dxfId="1">
      <formula>AN5="⚠ Missing"</formula>
    </cfRule>
    <cfRule type="expression" priority="47" dxfId="0">
      <formula>AN5="⚠ Check"</formula>
    </cfRule>
  </conditionalFormatting>
  <conditionalFormatting sqref="AQ5:AQ80">
    <cfRule type="expression" priority="57" dxfId="3">
      <formula>AQ5="Yes"</formula>
    </cfRule>
    <cfRule type="expression" priority="58" dxfId="1">
      <formula>AQ5="No"</formula>
    </cfRule>
  </conditionalFormatting>
  <conditionalFormatting sqref="AR5:AR80">
    <cfRule type="expression" priority="59" dxfId="1">
      <formula>AR5="Yes"</formula>
    </cfRule>
  </conditionalFormatting>
  <conditionalFormatting sqref="AT5:AT80">
    <cfRule type="expression" priority="60" dxfId="3">
      <formula>AT5="Yes"</formula>
    </cfRule>
    <cfRule type="expression" priority="61" dxfId="1">
      <formula>AT5="No"</formula>
    </cfRule>
  </conditionalFormatting>
  <conditionalFormatting sqref="AW5:AW80">
    <cfRule type="expression" priority="53" dxfId="3">
      <formula>AW5="✓ OK"</formula>
    </cfRule>
    <cfRule type="expression" priority="54" dxfId="1">
      <formula>AW5="❌ Disc"</formula>
    </cfRule>
    <cfRule type="expression" priority="55" dxfId="1">
      <formula>AW5="⚠ Missing"</formula>
    </cfRule>
    <cfRule type="expression" priority="56" dxfId="0">
      <formula>AW5="⚠ Check"</formula>
    </cfRule>
  </conditionalFormatting>
  <dataValidations count="4">
    <dataValidation sqref="H5:H80 J5:J80 Q5:Q80 S5:S80 Y5:Z80 AB5:AB80 AH5:AI80 AK5:AK80 AQ5:AR80 AT5:AT80" showDropDown="0" showInputMessage="0" showErrorMessage="0" allowBlank="1" type="list">
      <formula1>"Yes,No"</formula1>
    </dataValidation>
    <dataValidation sqref="AA5:AA80 AJ5:AJ80 AS5:AS80" showDropDown="0" showInputMessage="0" showErrorMessage="0" allowBlank="1" type="list">
      <formula1>"Good finish,Minor defect,Major defect,Discontinued,Not Available"</formula1>
    </dataValidation>
    <dataValidation sqref="G5:G80 P5:P80" showDropDown="0" showInputMessage="0" showErrorMessage="0" allowBlank="1" type="list">
      <formula1>"Yes,No,Represented by Sample"</formula1>
    </dataValidation>
    <dataValidation sqref="I5:I80 R5:R80" showDropDown="0" showInputMessage="0" showErrorMessage="0" allowBlank="1" type="list">
      <formula1>"Represented by Sample,Good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theme="0"/>
    <outlinePr summaryBelow="1" summaryRight="1"/>
    <pageSetUpPr/>
  </sheetPr>
  <dimension ref="A1:AW516"/>
  <sheetViews>
    <sheetView workbookViewId="0">
      <pane xSplit="4" ySplit="4" topLeftCell="M5" activePane="bottomRight" state="frozen"/>
      <selection pane="topRight" activeCell="AU16" sqref="AU16"/>
      <selection pane="bottomLeft" activeCell="AU16" sqref="AU16"/>
      <selection pane="bottomRight" activeCell="N5" sqref="N5"/>
    </sheetView>
  </sheetViews>
  <sheetFormatPr baseColWidth="8" defaultRowHeight="14.4"/>
  <cols>
    <col width="4" customWidth="1" style="46" min="1" max="1"/>
    <col width="16" customWidth="1" style="46" min="2" max="2"/>
    <col width="56.5546875" bestFit="1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HANDLES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BD-HNA-2025-0327</t>
        </is>
      </c>
      <c r="C5" s="25" t="inlineStr">
        <is>
          <t>Bonito Handles - 812(P.H) - Antique Concealed Handle  - 130mm</t>
        </is>
      </c>
      <c r="D5" s="23" t="inlineStr">
        <is>
          <t>Bonito Handles</t>
        </is>
      </c>
      <c r="E5" s="43" t="n">
        <v>46125</v>
      </c>
      <c r="F5" s="26" t="inlineStr">
        <is>
          <t>Sunil CR</t>
        </is>
      </c>
      <c r="G5" s="44" t="inlineStr">
        <is>
          <t>Yes</t>
        </is>
      </c>
      <c r="H5" s="26" t="inlineStr">
        <is>
          <t>No</t>
        </is>
      </c>
      <c r="I5" s="44" t="inlineStr">
        <is>
          <t>Good finish</t>
        </is>
      </c>
      <c r="J5" s="26" t="inlineStr">
        <is>
          <t>Yes</t>
        </is>
      </c>
      <c r="K5" s="27" t="n"/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46196</v>
      </c>
      <c r="O5" s="26" t="inlineStr">
        <is>
          <t>Sunil CR</t>
        </is>
      </c>
      <c r="P5" s="44" t="inlineStr">
        <is>
          <t>Yes</t>
        </is>
      </c>
      <c r="Q5" s="26" t="inlineStr">
        <is>
          <t>No</t>
        </is>
      </c>
      <c r="R5" s="44" t="inlineStr">
        <is>
          <t>Good finish</t>
        </is>
      </c>
      <c r="S5" s="26" t="inlineStr">
        <is>
          <t>Yes</t>
        </is>
      </c>
      <c r="T5" s="27" t="n"/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Yes</t>
        </is>
      </c>
      <c r="Z5" s="30" t="n"/>
      <c r="AA5" s="30" t="inlineStr">
        <is>
          <t>Good finish</t>
        </is>
      </c>
      <c r="AB5" s="30" t="inlineStr">
        <is>
          <t>Yes</t>
        </is>
      </c>
      <c r="AC5" s="27" t="n"/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BD-HNA-2025-0328</t>
        </is>
      </c>
      <c r="C6" s="41" t="inlineStr">
        <is>
          <t>Bonito Handles - 812(P.H) - Antique Concealed Handle  - 205mm</t>
        </is>
      </c>
      <c r="D6" s="39" t="inlineStr">
        <is>
          <t>Bonito Handles</t>
        </is>
      </c>
      <c r="E6" s="43" t="n">
        <v>46125</v>
      </c>
      <c r="F6" s="26" t="inlineStr">
        <is>
          <t>Sunil CR</t>
        </is>
      </c>
      <c r="G6" s="44" t="inlineStr">
        <is>
          <t>Represented by Sample</t>
        </is>
      </c>
      <c r="H6" s="26" t="inlineStr">
        <is>
          <t>No</t>
        </is>
      </c>
      <c r="I6" s="44" t="inlineStr">
        <is>
          <t>Represented by Sample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46196</v>
      </c>
      <c r="O6" s="26" t="inlineStr">
        <is>
          <t>Sunil CR</t>
        </is>
      </c>
      <c r="P6" s="44" t="inlineStr">
        <is>
          <t>Represented by Sample</t>
        </is>
      </c>
      <c r="Q6" s="26" t="inlineStr">
        <is>
          <t>No</t>
        </is>
      </c>
      <c r="R6" s="44" t="inlineStr">
        <is>
          <t>Represented by Sample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Represented by Sample</t>
        </is>
      </c>
      <c r="Z6" s="30" t="n"/>
      <c r="AA6" s="30" t="inlineStr">
        <is>
          <t>Represented by Sample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BD-HNA-2025-0329</t>
        </is>
      </c>
      <c r="C7" s="25" t="inlineStr">
        <is>
          <t>Bonito Handles - 812(P.H) - Satin Concealed Handle  - 130mm</t>
        </is>
      </c>
      <c r="D7" s="23" t="inlineStr">
        <is>
          <t>Bonito Handles</t>
        </is>
      </c>
      <c r="E7" s="43" t="n">
        <v>46125</v>
      </c>
      <c r="F7" s="26" t="inlineStr">
        <is>
          <t>Sunil CR</t>
        </is>
      </c>
      <c r="G7" s="44" t="inlineStr">
        <is>
          <t>Represented by Sample</t>
        </is>
      </c>
      <c r="H7" s="26" t="inlineStr">
        <is>
          <t>No</t>
        </is>
      </c>
      <c r="I7" s="44" t="inlineStr">
        <is>
          <t>Represented by Sample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46196</v>
      </c>
      <c r="O7" s="26" t="inlineStr">
        <is>
          <t>Sunil CR</t>
        </is>
      </c>
      <c r="P7" s="44" t="inlineStr">
        <is>
          <t>Represented by Sample</t>
        </is>
      </c>
      <c r="Q7" s="26" t="inlineStr">
        <is>
          <t>No</t>
        </is>
      </c>
      <c r="R7" s="44" t="inlineStr">
        <is>
          <t>Represented by Sample</t>
        </is>
      </c>
      <c r="S7" s="26" t="inlineStr">
        <is>
          <t>Yes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Represented by Sample</t>
        </is>
      </c>
      <c r="Z7" s="30" t="n"/>
      <c r="AA7" s="30" t="inlineStr">
        <is>
          <t>Represented by Sample</t>
        </is>
      </c>
      <c r="AB7" s="30" t="inlineStr">
        <is>
          <t>Yes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BD-HNA-2025-0330</t>
        </is>
      </c>
      <c r="C8" s="41" t="inlineStr">
        <is>
          <t>Bonito Handles - 812(P.H) - Satin Concealed Handle  - 205mm</t>
        </is>
      </c>
      <c r="D8" s="39" t="inlineStr">
        <is>
          <t>Bonito Handles</t>
        </is>
      </c>
      <c r="E8" s="43" t="n">
        <v>46125</v>
      </c>
      <c r="F8" s="26" t="inlineStr">
        <is>
          <t>Sunil CR</t>
        </is>
      </c>
      <c r="G8" s="44" t="inlineStr">
        <is>
          <t>Yes</t>
        </is>
      </c>
      <c r="H8" s="26" t="inlineStr">
        <is>
          <t>No</t>
        </is>
      </c>
      <c r="I8" s="44" t="inlineStr">
        <is>
          <t>Good finish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46196</v>
      </c>
      <c r="O8" s="26" t="inlineStr">
        <is>
          <t>Sunil CR</t>
        </is>
      </c>
      <c r="P8" s="44" t="inlineStr">
        <is>
          <t>Yes</t>
        </is>
      </c>
      <c r="Q8" s="26" t="inlineStr">
        <is>
          <t>No</t>
        </is>
      </c>
      <c r="R8" s="44" t="inlineStr">
        <is>
          <t>Good finish</t>
        </is>
      </c>
      <c r="S8" s="26" t="inlineStr">
        <is>
          <t>Yes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Yes</t>
        </is>
      </c>
      <c r="Z8" s="30" t="n"/>
      <c r="AA8" s="30" t="inlineStr">
        <is>
          <t>Good finish</t>
        </is>
      </c>
      <c r="AB8" s="30" t="inlineStr">
        <is>
          <t>Yes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BD-HNA-2025-0322</t>
        </is>
      </c>
      <c r="C9" s="25" t="inlineStr">
        <is>
          <t>Bonito Handles - 828(P.H) - Antique Concealed Handle  - 200mm</t>
        </is>
      </c>
      <c r="D9" s="23" t="inlineStr">
        <is>
          <t>Bonito Handles</t>
        </is>
      </c>
      <c r="E9" s="43" t="n">
        <v>46125</v>
      </c>
      <c r="F9" s="26" t="inlineStr">
        <is>
          <t>Sunil CR</t>
        </is>
      </c>
      <c r="G9" s="44" t="inlineStr">
        <is>
          <t>Yes</t>
        </is>
      </c>
      <c r="H9" s="26" t="inlineStr">
        <is>
          <t>No</t>
        </is>
      </c>
      <c r="I9" s="44" t="inlineStr">
        <is>
          <t>Good finish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46196</v>
      </c>
      <c r="O9" s="26" t="inlineStr">
        <is>
          <t>Sunil CR</t>
        </is>
      </c>
      <c r="P9" s="44" t="inlineStr">
        <is>
          <t>Yes</t>
        </is>
      </c>
      <c r="Q9" s="26" t="inlineStr">
        <is>
          <t>No</t>
        </is>
      </c>
      <c r="R9" s="44" t="inlineStr">
        <is>
          <t>Good finish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Yes</t>
        </is>
      </c>
      <c r="Z9" s="30" t="n"/>
      <c r="AA9" s="30" t="inlineStr">
        <is>
          <t>Good finish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BD-HNA-2025-0321</t>
        </is>
      </c>
      <c r="C10" s="41" t="inlineStr">
        <is>
          <t>Bonito Handles - 828(P.H) - Antique Concealed Handle  - 96mm</t>
        </is>
      </c>
      <c r="D10" s="39" t="inlineStr">
        <is>
          <t>Bonito Handles</t>
        </is>
      </c>
      <c r="E10" s="43" t="n">
        <v>46125</v>
      </c>
      <c r="F10" s="26" t="inlineStr">
        <is>
          <t>Sunil CR</t>
        </is>
      </c>
      <c r="G10" s="44" t="inlineStr">
        <is>
          <t>Represented by Sample</t>
        </is>
      </c>
      <c r="H10" s="26" t="inlineStr">
        <is>
          <t>No</t>
        </is>
      </c>
      <c r="I10" s="44" t="inlineStr">
        <is>
          <t>Represented by Sample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46196</v>
      </c>
      <c r="O10" s="26" t="inlineStr">
        <is>
          <t>Sunil CR</t>
        </is>
      </c>
      <c r="P10" s="44" t="inlineStr">
        <is>
          <t>Represented by Sample</t>
        </is>
      </c>
      <c r="Q10" s="26" t="inlineStr">
        <is>
          <t>No</t>
        </is>
      </c>
      <c r="R10" s="44" t="inlineStr">
        <is>
          <t>Represented by Sample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Represented by Sample</t>
        </is>
      </c>
      <c r="Z10" s="30" t="n"/>
      <c r="AA10" s="30" t="inlineStr">
        <is>
          <t>Represented by Sample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BD-HNA-2025-0320</t>
        </is>
      </c>
      <c r="C11" s="25" t="inlineStr">
        <is>
          <t>Bonito Handles - 828(P.H) - Black Concealed Handle  - 200mm</t>
        </is>
      </c>
      <c r="D11" s="23" t="inlineStr">
        <is>
          <t>Bonito Handles</t>
        </is>
      </c>
      <c r="E11" s="43" t="n">
        <v>46125</v>
      </c>
      <c r="F11" s="26" t="inlineStr">
        <is>
          <t>Sunil CR</t>
        </is>
      </c>
      <c r="G11" s="44" t="inlineStr">
        <is>
          <t>Represented by Sample</t>
        </is>
      </c>
      <c r="H11" s="26" t="inlineStr">
        <is>
          <t>No</t>
        </is>
      </c>
      <c r="I11" s="44" t="inlineStr">
        <is>
          <t>Represented by Sample</t>
        </is>
      </c>
      <c r="J11" s="26" t="inlineStr">
        <is>
          <t>Yes</t>
        </is>
      </c>
      <c r="K11" s="27" t="n"/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46196</v>
      </c>
      <c r="O11" s="26" t="inlineStr">
        <is>
          <t>Sunil CR</t>
        </is>
      </c>
      <c r="P11" s="44" t="inlineStr">
        <is>
          <t>Represented by Sample</t>
        </is>
      </c>
      <c r="Q11" s="26" t="inlineStr">
        <is>
          <t>No</t>
        </is>
      </c>
      <c r="R11" s="44" t="inlineStr">
        <is>
          <t>Represented by Sample</t>
        </is>
      </c>
      <c r="S11" s="26" t="inlineStr">
        <is>
          <t>Yes</t>
        </is>
      </c>
      <c r="T11" s="27" t="n"/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Represented by Sample</t>
        </is>
      </c>
      <c r="Z11" s="30" t="n"/>
      <c r="AA11" s="30" t="inlineStr">
        <is>
          <t>Represented by Sample</t>
        </is>
      </c>
      <c r="AB11" s="30" t="inlineStr">
        <is>
          <t>Yes</t>
        </is>
      </c>
      <c r="AC11" s="27" t="n"/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BD-HNA-2025-0319</t>
        </is>
      </c>
      <c r="C12" s="41" t="inlineStr">
        <is>
          <t>Bonito Handles - 828(P.H) - Black Concealed Handle  - 96mm</t>
        </is>
      </c>
      <c r="D12" s="39" t="inlineStr">
        <is>
          <t>Bonito Handles</t>
        </is>
      </c>
      <c r="E12" s="43" t="n">
        <v>46125</v>
      </c>
      <c r="F12" s="26" t="inlineStr">
        <is>
          <t>Sunil CR</t>
        </is>
      </c>
      <c r="G12" s="44" t="inlineStr">
        <is>
          <t>Represented by Sample</t>
        </is>
      </c>
      <c r="H12" s="26" t="inlineStr">
        <is>
          <t>No</t>
        </is>
      </c>
      <c r="I12" s="44" t="inlineStr">
        <is>
          <t>Represented by Sample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46196</v>
      </c>
      <c r="O12" s="26" t="inlineStr">
        <is>
          <t>Sunil CR</t>
        </is>
      </c>
      <c r="P12" s="44" t="inlineStr">
        <is>
          <t>Represented by Sample</t>
        </is>
      </c>
      <c r="Q12" s="26" t="inlineStr">
        <is>
          <t>No</t>
        </is>
      </c>
      <c r="R12" s="44" t="inlineStr">
        <is>
          <t>Represented by Sample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Represented by Sample</t>
        </is>
      </c>
      <c r="Z12" s="30" t="n"/>
      <c r="AA12" s="30" t="inlineStr">
        <is>
          <t>Represented by Sample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BD-HNA-2025-0326</t>
        </is>
      </c>
      <c r="C13" s="25" t="inlineStr">
        <is>
          <t>Bonito Handles - 828(P.H) - PVD Gold Concealed Handle  - 200mm</t>
        </is>
      </c>
      <c r="D13" s="23" t="inlineStr">
        <is>
          <t>Bonito Handles</t>
        </is>
      </c>
      <c r="E13" s="43" t="n">
        <v>46125</v>
      </c>
      <c r="F13" s="26" t="inlineStr">
        <is>
          <t>Sunil CR</t>
        </is>
      </c>
      <c r="G13" s="44" t="inlineStr">
        <is>
          <t>Represented by Sample</t>
        </is>
      </c>
      <c r="H13" s="26" t="inlineStr">
        <is>
          <t>No</t>
        </is>
      </c>
      <c r="I13" s="44" t="inlineStr">
        <is>
          <t>Represented by Sample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46196</v>
      </c>
      <c r="O13" s="26" t="inlineStr">
        <is>
          <t>Sunil CR</t>
        </is>
      </c>
      <c r="P13" s="44" t="inlineStr">
        <is>
          <t>Represented by Sample</t>
        </is>
      </c>
      <c r="Q13" s="26" t="inlineStr">
        <is>
          <t>No</t>
        </is>
      </c>
      <c r="R13" s="44" t="inlineStr">
        <is>
          <t>Represented by Sample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Represented by Sample</t>
        </is>
      </c>
      <c r="Z13" s="30" t="n"/>
      <c r="AA13" s="30" t="inlineStr">
        <is>
          <t>Represented by Sample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BD-HNA-2025-0325</t>
        </is>
      </c>
      <c r="C14" s="41" t="inlineStr">
        <is>
          <t>Bonito Handles - 828(P.H) - PVD Gold Concealed Handle  - 96mm</t>
        </is>
      </c>
      <c r="D14" s="39" t="inlineStr">
        <is>
          <t>Bonito Handles</t>
        </is>
      </c>
      <c r="E14" s="43" t="n">
        <v>46125</v>
      </c>
      <c r="F14" s="26" t="inlineStr">
        <is>
          <t>Sunil CR</t>
        </is>
      </c>
      <c r="G14" s="44" t="inlineStr">
        <is>
          <t>Represented by Sample</t>
        </is>
      </c>
      <c r="H14" s="26" t="inlineStr">
        <is>
          <t>No</t>
        </is>
      </c>
      <c r="I14" s="44" t="inlineStr">
        <is>
          <t>Represented by Sample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46196</v>
      </c>
      <c r="O14" s="26" t="inlineStr">
        <is>
          <t>Sunil CR</t>
        </is>
      </c>
      <c r="P14" s="44" t="inlineStr">
        <is>
          <t>Represented by Sample</t>
        </is>
      </c>
      <c r="Q14" s="26" t="inlineStr">
        <is>
          <t>No</t>
        </is>
      </c>
      <c r="R14" s="44" t="inlineStr">
        <is>
          <t>Represented by Sample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Represented by Sample</t>
        </is>
      </c>
      <c r="Z14" s="30" t="n"/>
      <c r="AA14" s="30" t="inlineStr">
        <is>
          <t>Represented by Sample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BD-HNA-2025-0324</t>
        </is>
      </c>
      <c r="C15" s="25" t="inlineStr">
        <is>
          <t>Bonito Handles - 828(P.H) - Rose Gold Concealed Handle  - 200mm</t>
        </is>
      </c>
      <c r="D15" s="23" t="inlineStr">
        <is>
          <t>Bonito Handles</t>
        </is>
      </c>
      <c r="E15" s="43" t="n">
        <v>46125</v>
      </c>
      <c r="F15" s="26" t="inlineStr">
        <is>
          <t>Sunil CR</t>
        </is>
      </c>
      <c r="G15" s="44" t="inlineStr">
        <is>
          <t>Represented by Sample</t>
        </is>
      </c>
      <c r="H15" s="26" t="inlineStr">
        <is>
          <t>No</t>
        </is>
      </c>
      <c r="I15" s="44" t="inlineStr">
        <is>
          <t>Represented by Sample</t>
        </is>
      </c>
      <c r="J15" s="26" t="inlineStr">
        <is>
          <t>Yes</t>
        </is>
      </c>
      <c r="K15" s="27" t="n"/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46196</v>
      </c>
      <c r="O15" s="26" t="inlineStr">
        <is>
          <t>Sunil CR</t>
        </is>
      </c>
      <c r="P15" s="44" t="inlineStr">
        <is>
          <t>Represented by Sample</t>
        </is>
      </c>
      <c r="Q15" s="26" t="inlineStr">
        <is>
          <t>No</t>
        </is>
      </c>
      <c r="R15" s="44" t="inlineStr">
        <is>
          <t>Represented by Sample</t>
        </is>
      </c>
      <c r="S15" s="26" t="inlineStr">
        <is>
          <t>Yes</t>
        </is>
      </c>
      <c r="T15" s="27" t="n"/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Represented by Sample</t>
        </is>
      </c>
      <c r="Z15" s="30" t="n"/>
      <c r="AA15" s="30" t="inlineStr">
        <is>
          <t>Represented by Sample</t>
        </is>
      </c>
      <c r="AB15" s="30" t="inlineStr">
        <is>
          <t>Yes</t>
        </is>
      </c>
      <c r="AC15" s="27" t="n"/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BD-HNA-2025-0323</t>
        </is>
      </c>
      <c r="C16" s="41" t="inlineStr">
        <is>
          <t>Bonito Handles - 828(P.H) - Rose Gold Concealed Handle  - 96mm</t>
        </is>
      </c>
      <c r="D16" s="39" t="inlineStr">
        <is>
          <t>Bonito Handles</t>
        </is>
      </c>
      <c r="E16" s="43" t="n">
        <v>46125</v>
      </c>
      <c r="F16" s="26" t="inlineStr">
        <is>
          <t>Sunil CR</t>
        </is>
      </c>
      <c r="G16" s="44" t="inlineStr">
        <is>
          <t>Represented by Sample</t>
        </is>
      </c>
      <c r="H16" s="26" t="inlineStr">
        <is>
          <t>No</t>
        </is>
      </c>
      <c r="I16" s="44" t="inlineStr">
        <is>
          <t>Represented by Sample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46196</v>
      </c>
      <c r="O16" s="26" t="inlineStr">
        <is>
          <t>Sunil CR</t>
        </is>
      </c>
      <c r="P16" s="44" t="inlineStr">
        <is>
          <t>Represented by Sample</t>
        </is>
      </c>
      <c r="Q16" s="26" t="inlineStr">
        <is>
          <t>No</t>
        </is>
      </c>
      <c r="R16" s="44" t="inlineStr">
        <is>
          <t>Represented by Sample</t>
        </is>
      </c>
      <c r="S16" s="26" t="inlineStr">
        <is>
          <t>Yes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Represented by Sample</t>
        </is>
      </c>
      <c r="Z16" s="30" t="n"/>
      <c r="AA16" s="30" t="inlineStr">
        <is>
          <t>Represented by Sample</t>
        </is>
      </c>
      <c r="AB16" s="30" t="inlineStr">
        <is>
          <t>Yes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BD-HNA-2025-0313</t>
        </is>
      </c>
      <c r="C17" s="25" t="inlineStr">
        <is>
          <t>Bonito Handles - AL-251(S.M) - Black Concealed Handle  - 200mm</t>
        </is>
      </c>
      <c r="D17" s="23" t="inlineStr">
        <is>
          <t>Bonito Handles</t>
        </is>
      </c>
      <c r="E17" s="43" t="n">
        <v>46125</v>
      </c>
      <c r="F17" s="26" t="inlineStr">
        <is>
          <t>Sunil CR</t>
        </is>
      </c>
      <c r="G17" s="44" t="inlineStr">
        <is>
          <t>Represented by Sample</t>
        </is>
      </c>
      <c r="H17" s="26" t="inlineStr">
        <is>
          <t>No</t>
        </is>
      </c>
      <c r="I17" s="44" t="inlineStr">
        <is>
          <t>Represented by Sample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46196</v>
      </c>
      <c r="O17" s="26" t="inlineStr">
        <is>
          <t>Sunil CR</t>
        </is>
      </c>
      <c r="P17" s="44" t="inlineStr">
        <is>
          <t>Represented by Sample</t>
        </is>
      </c>
      <c r="Q17" s="26" t="inlineStr">
        <is>
          <t>No</t>
        </is>
      </c>
      <c r="R17" s="44" t="inlineStr">
        <is>
          <t>Represented by Sample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Represented by Sample</t>
        </is>
      </c>
      <c r="Z17" s="30" t="n"/>
      <c r="AA17" s="30" t="inlineStr">
        <is>
          <t>Represented by Sample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BD-HNA-2025-0314</t>
        </is>
      </c>
      <c r="C18" s="41" t="inlineStr">
        <is>
          <t>Bonito Handles - AL-251(S.M) - Black Concealed Handle  - 300mm</t>
        </is>
      </c>
      <c r="D18" s="39" t="inlineStr">
        <is>
          <t>Bonito Handles</t>
        </is>
      </c>
      <c r="E18" s="43" t="n">
        <v>46125</v>
      </c>
      <c r="F18" s="26" t="inlineStr">
        <is>
          <t>Sunil CR</t>
        </is>
      </c>
      <c r="G18" s="44" t="inlineStr">
        <is>
          <t>Represented by Sample</t>
        </is>
      </c>
      <c r="H18" s="26" t="inlineStr">
        <is>
          <t>No</t>
        </is>
      </c>
      <c r="I18" s="44" t="inlineStr">
        <is>
          <t>Represented by Sample</t>
        </is>
      </c>
      <c r="J18" s="26" t="inlineStr">
        <is>
          <t>Yes</t>
        </is>
      </c>
      <c r="K18" s="27" t="n"/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46196</v>
      </c>
      <c r="O18" s="26" t="inlineStr">
        <is>
          <t>Sunil CR</t>
        </is>
      </c>
      <c r="P18" s="44" t="inlineStr">
        <is>
          <t>Represented by Sample</t>
        </is>
      </c>
      <c r="Q18" s="26" t="inlineStr">
        <is>
          <t>No</t>
        </is>
      </c>
      <c r="R18" s="44" t="inlineStr">
        <is>
          <t>Represented by Sample</t>
        </is>
      </c>
      <c r="S18" s="26" t="inlineStr">
        <is>
          <t>Yes</t>
        </is>
      </c>
      <c r="T18" s="27" t="n"/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Represented by Sample</t>
        </is>
      </c>
      <c r="Z18" s="30" t="n"/>
      <c r="AA18" s="30" t="inlineStr">
        <is>
          <t>Represented by Sample</t>
        </is>
      </c>
      <c r="AB18" s="30" t="inlineStr">
        <is>
          <t>Yes</t>
        </is>
      </c>
      <c r="AC18" s="27" t="n"/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BD-HNA-2025-0315</t>
        </is>
      </c>
      <c r="C19" s="25" t="inlineStr">
        <is>
          <t>Bonito Handles - AL-251(S.M) - PVD Gold Concealed Handle  - 200mm</t>
        </is>
      </c>
      <c r="D19" s="23" t="inlineStr">
        <is>
          <t>Bonito Handles</t>
        </is>
      </c>
      <c r="E19" s="43" t="n">
        <v>46125</v>
      </c>
      <c r="F19" s="26" t="inlineStr">
        <is>
          <t>Sunil CR</t>
        </is>
      </c>
      <c r="G19" s="44" t="inlineStr">
        <is>
          <t>Yes</t>
        </is>
      </c>
      <c r="H19" s="26" t="inlineStr">
        <is>
          <t>No</t>
        </is>
      </c>
      <c r="I19" s="44" t="inlineStr">
        <is>
          <t>Good finish</t>
        </is>
      </c>
      <c r="J19" s="26" t="inlineStr">
        <is>
          <t>Yes</t>
        </is>
      </c>
      <c r="K19" s="27" t="n"/>
      <c r="L19" s="28" t="inlineStr">
        <is>
          <t>No</t>
        </is>
      </c>
      <c r="M19" s="29">
        <f>IF(E19="","",IF(H19="Yes","❌ Disc",IF(G19="No","⚠ Missing",IF(J19="Yes","✓ OK","⚠ Check"))))</f>
        <v/>
      </c>
      <c r="N19" s="43" t="n">
        <v>46196</v>
      </c>
      <c r="O19" s="26" t="inlineStr">
        <is>
          <t>Sunil CR</t>
        </is>
      </c>
      <c r="P19" s="44" t="inlineStr">
        <is>
          <t>Yes</t>
        </is>
      </c>
      <c r="Q19" s="26" t="inlineStr">
        <is>
          <t>No</t>
        </is>
      </c>
      <c r="R19" s="44" t="inlineStr">
        <is>
          <t>Good finish</t>
        </is>
      </c>
      <c r="S19" s="26" t="inlineStr">
        <is>
          <t>Yes</t>
        </is>
      </c>
      <c r="T19" s="27" t="n"/>
      <c r="U19" s="28" t="inlineStr">
        <is>
          <t>No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Yes</t>
        </is>
      </c>
      <c r="Z19" s="30" t="n"/>
      <c r="AA19" s="30" t="inlineStr">
        <is>
          <t>Good finish</t>
        </is>
      </c>
      <c r="AB19" s="30" t="inlineStr">
        <is>
          <t>Yes</t>
        </is>
      </c>
      <c r="AC19" s="27" t="n"/>
      <c r="AD19" s="31" t="inlineStr">
        <is>
          <t>No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BD-HNA-2025-0316</t>
        </is>
      </c>
      <c r="C20" s="41" t="inlineStr">
        <is>
          <t>Bonito Handles - AL-251(S.M) - PVD Gold Concealed Handle  - 300mm</t>
        </is>
      </c>
      <c r="D20" s="39" t="inlineStr">
        <is>
          <t>Bonito Handles</t>
        </is>
      </c>
      <c r="E20" s="43" t="n">
        <v>46125</v>
      </c>
      <c r="F20" s="26" t="inlineStr">
        <is>
          <t>Sunil CR</t>
        </is>
      </c>
      <c r="G20" s="44" t="inlineStr">
        <is>
          <t>Represented by Sample</t>
        </is>
      </c>
      <c r="H20" s="26" t="inlineStr">
        <is>
          <t>No</t>
        </is>
      </c>
      <c r="I20" s="44" t="inlineStr">
        <is>
          <t>Represented by Sample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46196</v>
      </c>
      <c r="O20" s="26" t="inlineStr">
        <is>
          <t>Sunil CR</t>
        </is>
      </c>
      <c r="P20" s="44" t="inlineStr">
        <is>
          <t>Represented by Sample</t>
        </is>
      </c>
      <c r="Q20" s="26" t="inlineStr">
        <is>
          <t>No</t>
        </is>
      </c>
      <c r="R20" s="44" t="inlineStr">
        <is>
          <t>Represented by Sample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Represented by Sample</t>
        </is>
      </c>
      <c r="Z20" s="30" t="n"/>
      <c r="AA20" s="30" t="inlineStr">
        <is>
          <t>Represented by Sample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BD-HNA-2025-0317</t>
        </is>
      </c>
      <c r="C21" s="25" t="inlineStr">
        <is>
          <t>Bonito Handles - AL-251(S.M) - Rose Gold Concealed Handle  - 200mm</t>
        </is>
      </c>
      <c r="D21" s="23" t="inlineStr">
        <is>
          <t>Bonito Handles</t>
        </is>
      </c>
      <c r="E21" s="43" t="n">
        <v>46125</v>
      </c>
      <c r="F21" s="26" t="inlineStr">
        <is>
          <t>Sunil CR</t>
        </is>
      </c>
      <c r="G21" s="44" t="inlineStr">
        <is>
          <t>Represented by Sample</t>
        </is>
      </c>
      <c r="H21" s="26" t="inlineStr">
        <is>
          <t>No</t>
        </is>
      </c>
      <c r="I21" s="44" t="inlineStr">
        <is>
          <t>Represented by Sample</t>
        </is>
      </c>
      <c r="J21" s="26" t="inlineStr">
        <is>
          <t>Yes</t>
        </is>
      </c>
      <c r="K21" s="27" t="n"/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46196</v>
      </c>
      <c r="O21" s="26" t="inlineStr">
        <is>
          <t>Sunil CR</t>
        </is>
      </c>
      <c r="P21" s="44" t="inlineStr">
        <is>
          <t>Represented by Sample</t>
        </is>
      </c>
      <c r="Q21" s="26" t="inlineStr">
        <is>
          <t>No</t>
        </is>
      </c>
      <c r="R21" s="44" t="inlineStr">
        <is>
          <t>Represented by Sample</t>
        </is>
      </c>
      <c r="S21" s="26" t="inlineStr">
        <is>
          <t>Yes</t>
        </is>
      </c>
      <c r="T21" s="27" t="n"/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Represented by Sample</t>
        </is>
      </c>
      <c r="Z21" s="30" t="n"/>
      <c r="AA21" s="30" t="inlineStr">
        <is>
          <t>Represented by Sample</t>
        </is>
      </c>
      <c r="AB21" s="30" t="inlineStr">
        <is>
          <t>Yes</t>
        </is>
      </c>
      <c r="AC21" s="27" t="n"/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BD-HNA-2025-0318</t>
        </is>
      </c>
      <c r="C22" s="41" t="inlineStr">
        <is>
          <t>Bonito Handles - AL-251(S.M) - Rose Gold Concealed Handle  - 300mm</t>
        </is>
      </c>
      <c r="D22" s="39" t="inlineStr">
        <is>
          <t>Bonito Handles</t>
        </is>
      </c>
      <c r="E22" s="43" t="n">
        <v>46125</v>
      </c>
      <c r="F22" s="26" t="inlineStr">
        <is>
          <t>Sunil CR</t>
        </is>
      </c>
      <c r="G22" s="44" t="inlineStr">
        <is>
          <t>Represented by Sample</t>
        </is>
      </c>
      <c r="H22" s="26" t="inlineStr">
        <is>
          <t>No</t>
        </is>
      </c>
      <c r="I22" s="44" t="inlineStr">
        <is>
          <t>Represented by Sample</t>
        </is>
      </c>
      <c r="J22" s="26" t="inlineStr">
        <is>
          <t>Yes</t>
        </is>
      </c>
      <c r="K22" s="27" t="n"/>
      <c r="L22" s="28" t="inlineStr">
        <is>
          <t>No</t>
        </is>
      </c>
      <c r="M22" s="29">
        <f>IF(E22="","",IF(H22="Yes","❌ Disc",IF(G22="No","⚠ Missing",IF(J22="Yes","✓ OK","⚠ Check"))))</f>
        <v/>
      </c>
      <c r="N22" s="43" t="n">
        <v>46196</v>
      </c>
      <c r="O22" s="26" t="inlineStr">
        <is>
          <t>Sunil CR</t>
        </is>
      </c>
      <c r="P22" s="44" t="inlineStr">
        <is>
          <t>Represented by Sample</t>
        </is>
      </c>
      <c r="Q22" s="26" t="inlineStr">
        <is>
          <t>No</t>
        </is>
      </c>
      <c r="R22" s="44" t="inlineStr">
        <is>
          <t>Represented by Sample</t>
        </is>
      </c>
      <c r="S22" s="26" t="inlineStr">
        <is>
          <t>Yes</t>
        </is>
      </c>
      <c r="T22" s="27" t="n"/>
      <c r="U22" s="28" t="inlineStr">
        <is>
          <t>No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Represented by Sample</t>
        </is>
      </c>
      <c r="Z22" s="30" t="n"/>
      <c r="AA22" s="30" t="inlineStr">
        <is>
          <t>Represented by Sample</t>
        </is>
      </c>
      <c r="AB22" s="30" t="inlineStr">
        <is>
          <t>Yes</t>
        </is>
      </c>
      <c r="AC22" s="27" t="n"/>
      <c r="AD22" s="31" t="inlineStr">
        <is>
          <t>No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BD-HNA-2025-0246</t>
        </is>
      </c>
      <c r="C23" s="25" t="inlineStr">
        <is>
          <t>Bonito Handles - ALTAS(G.H) - Black Handle  - 190mm</t>
        </is>
      </c>
      <c r="D23" s="23" t="inlineStr">
        <is>
          <t>Bonito Handles</t>
        </is>
      </c>
      <c r="E23" s="43" t="n">
        <v>46125</v>
      </c>
      <c r="F23" s="26" t="inlineStr">
        <is>
          <t>Sunil CR</t>
        </is>
      </c>
      <c r="G23" s="44" t="inlineStr">
        <is>
          <t>Represented by Sample</t>
        </is>
      </c>
      <c r="H23" s="26" t="inlineStr">
        <is>
          <t>No</t>
        </is>
      </c>
      <c r="I23" s="44" t="inlineStr">
        <is>
          <t>Represented by Sample</t>
        </is>
      </c>
      <c r="J23" s="26" t="inlineStr">
        <is>
          <t>Yes</t>
        </is>
      </c>
      <c r="K23" s="27" t="n"/>
      <c r="L23" s="28" t="inlineStr">
        <is>
          <t>No</t>
        </is>
      </c>
      <c r="M23" s="29">
        <f>IF(E23="","",IF(H23="Yes","❌ Disc",IF(G23="No","⚠ Missing",IF(J23="Yes","✓ OK","⚠ Check"))))</f>
        <v/>
      </c>
      <c r="N23" s="43" t="n">
        <v>46196</v>
      </c>
      <c r="O23" s="26" t="inlineStr">
        <is>
          <t>Sunil CR</t>
        </is>
      </c>
      <c r="P23" s="44" t="inlineStr">
        <is>
          <t>Represented by Sample</t>
        </is>
      </c>
      <c r="Q23" s="26" t="inlineStr">
        <is>
          <t>No</t>
        </is>
      </c>
      <c r="R23" s="44" t="inlineStr">
        <is>
          <t>Represented by Sample</t>
        </is>
      </c>
      <c r="S23" s="26" t="inlineStr">
        <is>
          <t>Yes</t>
        </is>
      </c>
      <c r="T23" s="27" t="n"/>
      <c r="U23" s="28" t="inlineStr">
        <is>
          <t>No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Represented by Sample</t>
        </is>
      </c>
      <c r="Z23" s="30" t="n"/>
      <c r="AA23" s="30" t="inlineStr">
        <is>
          <t>Represented by Sample</t>
        </is>
      </c>
      <c r="AB23" s="30" t="inlineStr">
        <is>
          <t>Yes</t>
        </is>
      </c>
      <c r="AC23" s="27" t="n"/>
      <c r="AD23" s="31" t="inlineStr">
        <is>
          <t>No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BD-HNA-2025-0247</t>
        </is>
      </c>
      <c r="C24" s="41" t="inlineStr">
        <is>
          <t>Bonito Handles - ALTAS(G.H) - Black Handle  - 315mm</t>
        </is>
      </c>
      <c r="D24" s="39" t="inlineStr">
        <is>
          <t>Bonito Handles</t>
        </is>
      </c>
      <c r="E24" s="43" t="n">
        <v>46125</v>
      </c>
      <c r="F24" s="26" t="inlineStr">
        <is>
          <t>Sunil CR</t>
        </is>
      </c>
      <c r="G24" s="44" t="inlineStr">
        <is>
          <t>Represented by Sample</t>
        </is>
      </c>
      <c r="H24" s="26" t="inlineStr">
        <is>
          <t>No</t>
        </is>
      </c>
      <c r="I24" s="44" t="inlineStr">
        <is>
          <t>Represented by Sample</t>
        </is>
      </c>
      <c r="J24" s="26" t="inlineStr">
        <is>
          <t>Yes</t>
        </is>
      </c>
      <c r="K24" s="27" t="n"/>
      <c r="L24" s="28" t="inlineStr">
        <is>
          <t>No</t>
        </is>
      </c>
      <c r="M24" s="29">
        <f>IF(E24="","",IF(H24="Yes","❌ Disc",IF(G24="No","⚠ Missing",IF(J24="Yes","✓ OK","⚠ Check"))))</f>
        <v/>
      </c>
      <c r="N24" s="43" t="n">
        <v>46196</v>
      </c>
      <c r="O24" s="26" t="inlineStr">
        <is>
          <t>Sunil CR</t>
        </is>
      </c>
      <c r="P24" s="44" t="inlineStr">
        <is>
          <t>Represented by Sample</t>
        </is>
      </c>
      <c r="Q24" s="26" t="inlineStr">
        <is>
          <t>No</t>
        </is>
      </c>
      <c r="R24" s="44" t="inlineStr">
        <is>
          <t>Represented by Sample</t>
        </is>
      </c>
      <c r="S24" s="26" t="inlineStr">
        <is>
          <t>Yes</t>
        </is>
      </c>
      <c r="T24" s="27" t="n"/>
      <c r="U24" s="28" t="inlineStr">
        <is>
          <t>No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Represented by Sample</t>
        </is>
      </c>
      <c r="Z24" s="30" t="n"/>
      <c r="AA24" s="30" t="inlineStr">
        <is>
          <t>Represented by Sample</t>
        </is>
      </c>
      <c r="AB24" s="30" t="inlineStr">
        <is>
          <t>Yes</t>
        </is>
      </c>
      <c r="AC24" s="27" t="n"/>
      <c r="AD24" s="31" t="inlineStr">
        <is>
          <t>No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BD-HNA-2025-0248</t>
        </is>
      </c>
      <c r="C25" s="25" t="inlineStr">
        <is>
          <t>Bonito Handles - ALTAS(G.H) - Black Handle  - 475mm</t>
        </is>
      </c>
      <c r="D25" s="23" t="inlineStr">
        <is>
          <t>Bonito Handles</t>
        </is>
      </c>
      <c r="E25" s="43" t="n">
        <v>46125</v>
      </c>
      <c r="F25" s="26" t="inlineStr">
        <is>
          <t>Sunil CR</t>
        </is>
      </c>
      <c r="G25" s="44" t="inlineStr">
        <is>
          <t>Represented by Sample</t>
        </is>
      </c>
      <c r="H25" s="26" t="inlineStr">
        <is>
          <t>No</t>
        </is>
      </c>
      <c r="I25" s="44" t="inlineStr">
        <is>
          <t>Represented by Sample</t>
        </is>
      </c>
      <c r="J25" s="26" t="inlineStr">
        <is>
          <t>Yes</t>
        </is>
      </c>
      <c r="K25" s="27" t="n"/>
      <c r="L25" s="28" t="inlineStr">
        <is>
          <t>No</t>
        </is>
      </c>
      <c r="M25" s="29">
        <f>IF(E25="","",IF(H25="Yes","❌ Disc",IF(G25="No","⚠ Missing",IF(J25="Yes","✓ OK","⚠ Check"))))</f>
        <v/>
      </c>
      <c r="N25" s="43" t="n">
        <v>46196</v>
      </c>
      <c r="O25" s="26" t="inlineStr">
        <is>
          <t>Sunil CR</t>
        </is>
      </c>
      <c r="P25" s="44" t="inlineStr">
        <is>
          <t>Represented by Sample</t>
        </is>
      </c>
      <c r="Q25" s="26" t="inlineStr">
        <is>
          <t>No</t>
        </is>
      </c>
      <c r="R25" s="44" t="inlineStr">
        <is>
          <t>Represented by Sample</t>
        </is>
      </c>
      <c r="S25" s="26" t="inlineStr">
        <is>
          <t>Yes</t>
        </is>
      </c>
      <c r="T25" s="27" t="n"/>
      <c r="U25" s="28" t="inlineStr">
        <is>
          <t>No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Represented by Sample</t>
        </is>
      </c>
      <c r="Z25" s="30" t="n"/>
      <c r="AA25" s="30" t="inlineStr">
        <is>
          <t>Represented by Sample</t>
        </is>
      </c>
      <c r="AB25" s="30" t="inlineStr">
        <is>
          <t>Yes</t>
        </is>
      </c>
      <c r="AC25" s="27" t="n"/>
      <c r="AD25" s="31" t="inlineStr">
        <is>
          <t>No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BD-HNA-2025-0240</t>
        </is>
      </c>
      <c r="C26" s="41" t="inlineStr">
        <is>
          <t>Bonito Handles - ALTAS(G.H) - Gold Handle  - 190mm</t>
        </is>
      </c>
      <c r="D26" s="39" t="inlineStr">
        <is>
          <t>Bonito Handles</t>
        </is>
      </c>
      <c r="E26" s="43" t="n">
        <v>46125</v>
      </c>
      <c r="F26" s="26" t="inlineStr">
        <is>
          <t>Sunil CR</t>
        </is>
      </c>
      <c r="G26" s="44" t="inlineStr">
        <is>
          <t>Represented by Sample</t>
        </is>
      </c>
      <c r="H26" s="26" t="inlineStr">
        <is>
          <t>No</t>
        </is>
      </c>
      <c r="I26" s="44" t="inlineStr">
        <is>
          <t>Represented by Sample</t>
        </is>
      </c>
      <c r="J26" s="26" t="inlineStr">
        <is>
          <t>Yes</t>
        </is>
      </c>
      <c r="K26" s="27" t="n"/>
      <c r="L26" s="28" t="inlineStr">
        <is>
          <t>No</t>
        </is>
      </c>
      <c r="M26" s="29">
        <f>IF(E26="","",IF(H26="Yes","❌ Disc",IF(G26="No","⚠ Missing",IF(J26="Yes","✓ OK","⚠ Check"))))</f>
        <v/>
      </c>
      <c r="N26" s="43" t="n">
        <v>46196</v>
      </c>
      <c r="O26" s="26" t="inlineStr">
        <is>
          <t>Sunil CR</t>
        </is>
      </c>
      <c r="P26" s="44" t="inlineStr">
        <is>
          <t>Represented by Sample</t>
        </is>
      </c>
      <c r="Q26" s="26" t="inlineStr">
        <is>
          <t>No</t>
        </is>
      </c>
      <c r="R26" s="44" t="inlineStr">
        <is>
          <t>Represented by Sample</t>
        </is>
      </c>
      <c r="S26" s="26" t="inlineStr">
        <is>
          <t>Yes</t>
        </is>
      </c>
      <c r="T26" s="27" t="n"/>
      <c r="U26" s="28" t="inlineStr">
        <is>
          <t>No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Represented by Sample</t>
        </is>
      </c>
      <c r="Z26" s="30" t="n"/>
      <c r="AA26" s="30" t="inlineStr">
        <is>
          <t>Represented by Sample</t>
        </is>
      </c>
      <c r="AB26" s="30" t="inlineStr">
        <is>
          <t>Yes</t>
        </is>
      </c>
      <c r="AC26" s="27" t="n"/>
      <c r="AD26" s="31" t="inlineStr">
        <is>
          <t>No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BD-HNA-2025-0241</t>
        </is>
      </c>
      <c r="C27" s="25" t="inlineStr">
        <is>
          <t>Bonito Handles - ALTAS(G.H) - Gold Handle  - 315mm</t>
        </is>
      </c>
      <c r="D27" s="23" t="inlineStr">
        <is>
          <t>Bonito Handles</t>
        </is>
      </c>
      <c r="E27" s="43" t="n">
        <v>46125</v>
      </c>
      <c r="F27" s="26" t="inlineStr">
        <is>
          <t>Sunil CR</t>
        </is>
      </c>
      <c r="G27" s="44" t="inlineStr">
        <is>
          <t>Represented by Sample</t>
        </is>
      </c>
      <c r="H27" s="26" t="inlineStr">
        <is>
          <t>No</t>
        </is>
      </c>
      <c r="I27" s="44" t="inlineStr">
        <is>
          <t>Represented by Sample</t>
        </is>
      </c>
      <c r="J27" s="26" t="inlineStr">
        <is>
          <t>Yes</t>
        </is>
      </c>
      <c r="K27" s="27" t="n"/>
      <c r="L27" s="28" t="inlineStr">
        <is>
          <t>No</t>
        </is>
      </c>
      <c r="M27" s="29">
        <f>IF(E27="","",IF(H27="Yes","❌ Disc",IF(G27="No","⚠ Missing",IF(J27="Yes","✓ OK","⚠ Check"))))</f>
        <v/>
      </c>
      <c r="N27" s="43" t="n">
        <v>46196</v>
      </c>
      <c r="O27" s="26" t="inlineStr">
        <is>
          <t>Sunil CR</t>
        </is>
      </c>
      <c r="P27" s="44" t="inlineStr">
        <is>
          <t>Represented by Sample</t>
        </is>
      </c>
      <c r="Q27" s="26" t="inlineStr">
        <is>
          <t>No</t>
        </is>
      </c>
      <c r="R27" s="44" t="inlineStr">
        <is>
          <t>Represented by Sample</t>
        </is>
      </c>
      <c r="S27" s="26" t="inlineStr">
        <is>
          <t>Yes</t>
        </is>
      </c>
      <c r="T27" s="27" t="n"/>
      <c r="U27" s="28" t="inlineStr">
        <is>
          <t>No</t>
        </is>
      </c>
      <c r="V27" s="29">
        <f>IF(N27="","",IF(Q27="Yes","❌ Disc",IF(P27="No","⚠ Missing",IF(S27="Yes","✓ OK","⚠ Check"))))</f>
        <v/>
      </c>
      <c r="W27" s="65" t="n">
        <v>46248</v>
      </c>
      <c r="X27" s="30" t="inlineStr">
        <is>
          <t>Sunil CR</t>
        </is>
      </c>
      <c r="Y27" s="30" t="inlineStr">
        <is>
          <t>Represented by Sample</t>
        </is>
      </c>
      <c r="Z27" s="30" t="n"/>
      <c r="AA27" s="30" t="inlineStr">
        <is>
          <t>Represented by Sample</t>
        </is>
      </c>
      <c r="AB27" s="30" t="inlineStr">
        <is>
          <t>Yes</t>
        </is>
      </c>
      <c r="AC27" s="27" t="n"/>
      <c r="AD27" s="31" t="inlineStr">
        <is>
          <t>No</t>
        </is>
      </c>
      <c r="AE27" s="32">
        <f>IF(W27="","",IF(Z27="Yes","❌ Disc",IF(Y27="No","⚠ Missing",IF(AB27="Yes","✓ OK","⚠ Check"))))</f>
        <v/>
      </c>
      <c r="AF27" s="33" t="n"/>
      <c r="AG27" s="33" t="n"/>
      <c r="AH27" s="33" t="n"/>
      <c r="AI27" s="33" t="n"/>
      <c r="AJ27" s="33" t="n"/>
      <c r="AK27" s="33" t="n"/>
      <c r="AL27" s="27" t="n"/>
      <c r="AM27" s="34" t="n"/>
      <c r="AN27" s="35">
        <f>IF(AF27="","",IF(AI27="Yes","❌ Disc",IF(AH27="No","⚠ Missing",IF(AK27="Yes","✓ OK","⚠ Check"))))</f>
        <v/>
      </c>
      <c r="AO27" s="36" t="n"/>
      <c r="AP27" s="36" t="n"/>
      <c r="AQ27" s="36" t="n"/>
      <c r="AR27" s="36" t="n"/>
      <c r="AS27" s="36" t="n"/>
      <c r="AT27" s="36" t="n"/>
      <c r="AU27" s="27" t="n"/>
      <c r="AV27" s="37" t="n"/>
      <c r="AW27" s="38">
        <f>IF(AO27="","",IF(AR27="Yes","❌ Disc",IF(AQ27="No","⚠ Missing",IF(AT27="Yes","✓ OK","⚠ Check"))))</f>
        <v/>
      </c>
    </row>
    <row r="28" ht="18" customHeight="1" s="46">
      <c r="A28" s="39" t="n">
        <v>24</v>
      </c>
      <c r="B28" s="40" t="inlineStr">
        <is>
          <t>BD-HNA-2025-0242</t>
        </is>
      </c>
      <c r="C28" s="41" t="inlineStr">
        <is>
          <t>Bonito Handles - ALTAS(G.H) - Gold Handle  - 475mm</t>
        </is>
      </c>
      <c r="D28" s="39" t="inlineStr">
        <is>
          <t>Bonito Handles</t>
        </is>
      </c>
      <c r="E28" s="43" t="n">
        <v>46125</v>
      </c>
      <c r="F28" s="26" t="inlineStr">
        <is>
          <t>Sunil CR</t>
        </is>
      </c>
      <c r="G28" s="44" t="inlineStr">
        <is>
          <t>Represented by Sample</t>
        </is>
      </c>
      <c r="H28" s="26" t="inlineStr">
        <is>
          <t>No</t>
        </is>
      </c>
      <c r="I28" s="44" t="inlineStr">
        <is>
          <t>Represented by Sample</t>
        </is>
      </c>
      <c r="J28" s="26" t="inlineStr">
        <is>
          <t>Yes</t>
        </is>
      </c>
      <c r="K28" s="27" t="n"/>
      <c r="L28" s="28" t="inlineStr">
        <is>
          <t>No</t>
        </is>
      </c>
      <c r="M28" s="29">
        <f>IF(E28="","",IF(H28="Yes","❌ Disc",IF(G28="No","⚠ Missing",IF(J28="Yes","✓ OK","⚠ Check"))))</f>
        <v/>
      </c>
      <c r="N28" s="43" t="n">
        <v>46196</v>
      </c>
      <c r="O28" s="26" t="inlineStr">
        <is>
          <t>Sunil CR</t>
        </is>
      </c>
      <c r="P28" s="44" t="inlineStr">
        <is>
          <t>Represented by Sample</t>
        </is>
      </c>
      <c r="Q28" s="26" t="inlineStr">
        <is>
          <t>No</t>
        </is>
      </c>
      <c r="R28" s="44" t="inlineStr">
        <is>
          <t>Represented by Sample</t>
        </is>
      </c>
      <c r="S28" s="26" t="inlineStr">
        <is>
          <t>Yes</t>
        </is>
      </c>
      <c r="T28" s="27" t="n"/>
      <c r="U28" s="28" t="inlineStr">
        <is>
          <t>No</t>
        </is>
      </c>
      <c r="V28" s="29">
        <f>IF(N28="","",IF(Q28="Yes","❌ Disc",IF(P28="No","⚠ Missing",IF(S28="Yes","✓ OK","⚠ Check"))))</f>
        <v/>
      </c>
      <c r="W28" s="65" t="n">
        <v>46248</v>
      </c>
      <c r="X28" s="30" t="inlineStr">
        <is>
          <t>Sunil CR</t>
        </is>
      </c>
      <c r="Y28" s="30" t="inlineStr">
        <is>
          <t>Represented by Sample</t>
        </is>
      </c>
      <c r="Z28" s="30" t="n"/>
      <c r="AA28" s="30" t="inlineStr">
        <is>
          <t>Represented by Sample</t>
        </is>
      </c>
      <c r="AB28" s="30" t="inlineStr">
        <is>
          <t>Yes</t>
        </is>
      </c>
      <c r="AC28" s="27" t="n"/>
      <c r="AD28" s="31" t="inlineStr">
        <is>
          <t>No</t>
        </is>
      </c>
      <c r="AE28" s="32">
        <f>IF(W28="","",IF(Z28="Yes","❌ Disc",IF(Y28="No","⚠ Missing",IF(AB28="Yes","✓ OK","⚠ Check"))))</f>
        <v/>
      </c>
      <c r="AF28" s="33" t="n"/>
      <c r="AG28" s="33" t="n"/>
      <c r="AH28" s="33" t="n"/>
      <c r="AI28" s="33" t="n"/>
      <c r="AJ28" s="33" t="n"/>
      <c r="AK28" s="33" t="n"/>
      <c r="AL28" s="27" t="n"/>
      <c r="AM28" s="34" t="n"/>
      <c r="AN28" s="35">
        <f>IF(AF28="","",IF(AI28="Yes","❌ Disc",IF(AH28="No","⚠ Missing",IF(AK28="Yes","✓ OK","⚠ Check"))))</f>
        <v/>
      </c>
      <c r="AO28" s="36" t="n"/>
      <c r="AP28" s="36" t="n"/>
      <c r="AQ28" s="36" t="n"/>
      <c r="AR28" s="36" t="n"/>
      <c r="AS28" s="36" t="n"/>
      <c r="AT28" s="36" t="n"/>
      <c r="AU28" s="27" t="n"/>
      <c r="AV28" s="37" t="n"/>
      <c r="AW28" s="38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BD-HNA-2025-0243</t>
        </is>
      </c>
      <c r="C29" s="25" t="inlineStr">
        <is>
          <t>Bonito Handles - ALTAS(G.H) - Rose Handle  - 190mm</t>
        </is>
      </c>
      <c r="D29" s="23" t="inlineStr">
        <is>
          <t>Bonito Handles</t>
        </is>
      </c>
      <c r="E29" s="43" t="n">
        <v>46125</v>
      </c>
      <c r="F29" s="26" t="inlineStr">
        <is>
          <t>Sunil CR</t>
        </is>
      </c>
      <c r="G29" s="44" t="inlineStr">
        <is>
          <t>Represented by Sample</t>
        </is>
      </c>
      <c r="H29" s="26" t="inlineStr">
        <is>
          <t>No</t>
        </is>
      </c>
      <c r="I29" s="44" t="inlineStr">
        <is>
          <t>Represented by Sample</t>
        </is>
      </c>
      <c r="J29" s="26" t="inlineStr">
        <is>
          <t>Yes</t>
        </is>
      </c>
      <c r="K29" s="27" t="n"/>
      <c r="L29" s="28" t="inlineStr">
        <is>
          <t>No</t>
        </is>
      </c>
      <c r="M29" s="29">
        <f>IF(E29="","",IF(H29="Yes","❌ Disc",IF(G29="No","⚠ Missing",IF(J29="Yes","✓ OK","⚠ Check"))))</f>
        <v/>
      </c>
      <c r="N29" s="43" t="n">
        <v>46196</v>
      </c>
      <c r="O29" s="26" t="inlineStr">
        <is>
          <t>Sunil CR</t>
        </is>
      </c>
      <c r="P29" s="44" t="inlineStr">
        <is>
          <t>Represented by Sample</t>
        </is>
      </c>
      <c r="Q29" s="26" t="inlineStr">
        <is>
          <t>No</t>
        </is>
      </c>
      <c r="R29" s="44" t="inlineStr">
        <is>
          <t>Represented by Sample</t>
        </is>
      </c>
      <c r="S29" s="26" t="inlineStr">
        <is>
          <t>Yes</t>
        </is>
      </c>
      <c r="T29" s="27" t="n"/>
      <c r="U29" s="28" t="inlineStr">
        <is>
          <t>No</t>
        </is>
      </c>
      <c r="V29" s="29">
        <f>IF(N29="","",IF(Q29="Yes","❌ Disc",IF(P29="No","⚠ Missing",IF(S29="Yes","✓ OK","⚠ Check"))))</f>
        <v/>
      </c>
      <c r="W29" s="65" t="n">
        <v>46248</v>
      </c>
      <c r="X29" s="30" t="inlineStr">
        <is>
          <t>Sunil CR</t>
        </is>
      </c>
      <c r="Y29" s="30" t="inlineStr">
        <is>
          <t>Represented by Sample</t>
        </is>
      </c>
      <c r="Z29" s="30" t="n"/>
      <c r="AA29" s="30" t="inlineStr">
        <is>
          <t>Represented by Sample</t>
        </is>
      </c>
      <c r="AB29" s="30" t="inlineStr">
        <is>
          <t>Yes</t>
        </is>
      </c>
      <c r="AC29" s="27" t="n"/>
      <c r="AD29" s="31" t="inlineStr">
        <is>
          <t>No</t>
        </is>
      </c>
      <c r="AE29" s="32">
        <f>IF(W29="","",IF(Z29="Yes","❌ Disc",IF(Y29="No","⚠ Missing",IF(AB29="Yes","✓ OK","⚠ Check"))))</f>
        <v/>
      </c>
      <c r="AF29" s="33" t="n"/>
      <c r="AG29" s="33" t="n"/>
      <c r="AH29" s="33" t="n"/>
      <c r="AI29" s="33" t="n"/>
      <c r="AJ29" s="33" t="n"/>
      <c r="AK29" s="33" t="n"/>
      <c r="AL29" s="27" t="n"/>
      <c r="AM29" s="34" t="n"/>
      <c r="AN29" s="35">
        <f>IF(AF29="","",IF(AI29="Yes","❌ Disc",IF(AH29="No","⚠ Missing",IF(AK29="Yes","✓ OK","⚠ Check"))))</f>
        <v/>
      </c>
      <c r="AO29" s="36" t="n"/>
      <c r="AP29" s="36" t="n"/>
      <c r="AQ29" s="36" t="n"/>
      <c r="AR29" s="36" t="n"/>
      <c r="AS29" s="36" t="n"/>
      <c r="AT29" s="36" t="n"/>
      <c r="AU29" s="27" t="n"/>
      <c r="AV29" s="37" t="n"/>
      <c r="AW29" s="38">
        <f>IF(AO29="","",IF(AR29="Yes","❌ Disc",IF(AQ29="No","⚠ Missing",IF(AT29="Yes","✓ OK","⚠ Check"))))</f>
        <v/>
      </c>
    </row>
    <row r="30" ht="18" customHeight="1" s="46">
      <c r="A30" s="39" t="n">
        <v>26</v>
      </c>
      <c r="B30" s="40" t="inlineStr">
        <is>
          <t>BD-HNA-2025-0244</t>
        </is>
      </c>
      <c r="C30" s="41" t="inlineStr">
        <is>
          <t>Bonito Handles - ALTAS(G.H) - Rose Handle  - 315mm</t>
        </is>
      </c>
      <c r="D30" s="39" t="inlineStr">
        <is>
          <t>Bonito Handles</t>
        </is>
      </c>
      <c r="E30" s="43" t="n">
        <v>46125</v>
      </c>
      <c r="F30" s="26" t="inlineStr">
        <is>
          <t>Sunil CR</t>
        </is>
      </c>
      <c r="G30" s="44" t="inlineStr">
        <is>
          <t>Yes</t>
        </is>
      </c>
      <c r="H30" s="26" t="inlineStr">
        <is>
          <t>No</t>
        </is>
      </c>
      <c r="I30" s="44" t="inlineStr">
        <is>
          <t>Good finish</t>
        </is>
      </c>
      <c r="J30" s="26" t="inlineStr">
        <is>
          <t>Yes</t>
        </is>
      </c>
      <c r="K30" s="27" t="n"/>
      <c r="L30" s="28" t="inlineStr">
        <is>
          <t>No</t>
        </is>
      </c>
      <c r="M30" s="29">
        <f>IF(E30="","",IF(H30="Yes","❌ Disc",IF(G30="No","⚠ Missing",IF(J30="Yes","✓ OK","⚠ Check"))))</f>
        <v/>
      </c>
      <c r="N30" s="43" t="n">
        <v>46196</v>
      </c>
      <c r="O30" s="26" t="inlineStr">
        <is>
          <t>Sunil CR</t>
        </is>
      </c>
      <c r="P30" s="44" t="inlineStr">
        <is>
          <t>Yes</t>
        </is>
      </c>
      <c r="Q30" s="26" t="inlineStr">
        <is>
          <t>No</t>
        </is>
      </c>
      <c r="R30" s="44" t="inlineStr">
        <is>
          <t>Good finish</t>
        </is>
      </c>
      <c r="S30" s="26" t="inlineStr">
        <is>
          <t>Yes</t>
        </is>
      </c>
      <c r="T30" s="27" t="n"/>
      <c r="U30" s="28" t="inlineStr">
        <is>
          <t>No</t>
        </is>
      </c>
      <c r="V30" s="29">
        <f>IF(N30="","",IF(Q30="Yes","❌ Disc",IF(P30="No","⚠ Missing",IF(S30="Yes","✓ OK","⚠ Check"))))</f>
        <v/>
      </c>
      <c r="W30" s="65" t="n">
        <v>46248</v>
      </c>
      <c r="X30" s="30" t="inlineStr">
        <is>
          <t>Sunil CR</t>
        </is>
      </c>
      <c r="Y30" s="30" t="inlineStr">
        <is>
          <t>Yes</t>
        </is>
      </c>
      <c r="Z30" s="30" t="n"/>
      <c r="AA30" s="30" t="inlineStr">
        <is>
          <t>Good finish</t>
        </is>
      </c>
      <c r="AB30" s="30" t="inlineStr">
        <is>
          <t>Yes</t>
        </is>
      </c>
      <c r="AC30" s="27" t="n"/>
      <c r="AD30" s="31" t="inlineStr">
        <is>
          <t>No</t>
        </is>
      </c>
      <c r="AE30" s="32">
        <f>IF(W30="","",IF(Z30="Yes","❌ Disc",IF(Y30="No","⚠ Missing",IF(AB30="Yes","✓ OK","⚠ Check"))))</f>
        <v/>
      </c>
      <c r="AF30" s="33" t="n"/>
      <c r="AG30" s="33" t="n"/>
      <c r="AH30" s="33" t="n"/>
      <c r="AI30" s="33" t="n"/>
      <c r="AJ30" s="33" t="n"/>
      <c r="AK30" s="33" t="n"/>
      <c r="AL30" s="27" t="n"/>
      <c r="AM30" s="34" t="n"/>
      <c r="AN30" s="35">
        <f>IF(AF30="","",IF(AI30="Yes","❌ Disc",IF(AH30="No","⚠ Missing",IF(AK30="Yes","✓ OK","⚠ Check"))))</f>
        <v/>
      </c>
      <c r="AO30" s="36" t="n"/>
      <c r="AP30" s="36" t="n"/>
      <c r="AQ30" s="36" t="n"/>
      <c r="AR30" s="36" t="n"/>
      <c r="AS30" s="36" t="n"/>
      <c r="AT30" s="36" t="n"/>
      <c r="AU30" s="27" t="n"/>
      <c r="AV30" s="37" t="n"/>
      <c r="AW30" s="38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BD-HNA-2025-0245</t>
        </is>
      </c>
      <c r="C31" s="25" t="inlineStr">
        <is>
          <t>Bonito Handles - ALTAS(G.H) - Rose Handle  - 475mm</t>
        </is>
      </c>
      <c r="D31" s="23" t="inlineStr">
        <is>
          <t>Bonito Handles</t>
        </is>
      </c>
      <c r="E31" s="43" t="n">
        <v>46125</v>
      </c>
      <c r="F31" s="26" t="inlineStr">
        <is>
          <t>Sunil CR</t>
        </is>
      </c>
      <c r="G31" s="44" t="inlineStr">
        <is>
          <t>Represented by Sample</t>
        </is>
      </c>
      <c r="H31" s="26" t="inlineStr">
        <is>
          <t>No</t>
        </is>
      </c>
      <c r="I31" s="44" t="inlineStr">
        <is>
          <t>Represented by Sample</t>
        </is>
      </c>
      <c r="J31" s="26" t="inlineStr">
        <is>
          <t>Yes</t>
        </is>
      </c>
      <c r="K31" s="27" t="n"/>
      <c r="L31" s="28" t="inlineStr">
        <is>
          <t>No</t>
        </is>
      </c>
      <c r="M31" s="29">
        <f>IF(E31="","",IF(H31="Yes","❌ Disc",IF(G31="No","⚠ Missing",IF(J31="Yes","✓ OK","⚠ Check"))))</f>
        <v/>
      </c>
      <c r="N31" s="43" t="n">
        <v>46196</v>
      </c>
      <c r="O31" s="26" t="inlineStr">
        <is>
          <t>Sunil CR</t>
        </is>
      </c>
      <c r="P31" s="44" t="inlineStr">
        <is>
          <t>Represented by Sample</t>
        </is>
      </c>
      <c r="Q31" s="26" t="inlineStr">
        <is>
          <t>No</t>
        </is>
      </c>
      <c r="R31" s="44" t="inlineStr">
        <is>
          <t>Represented by Sample</t>
        </is>
      </c>
      <c r="S31" s="26" t="inlineStr">
        <is>
          <t>Yes</t>
        </is>
      </c>
      <c r="T31" s="27" t="n"/>
      <c r="U31" s="28" t="inlineStr">
        <is>
          <t>No</t>
        </is>
      </c>
      <c r="V31" s="29">
        <f>IF(N31="","",IF(Q31="Yes","❌ Disc",IF(P31="No","⚠ Missing",IF(S31="Yes","✓ OK","⚠ Check"))))</f>
        <v/>
      </c>
      <c r="W31" s="65" t="n">
        <v>46248</v>
      </c>
      <c r="X31" s="30" t="inlineStr">
        <is>
          <t>Sunil CR</t>
        </is>
      </c>
      <c r="Y31" s="30" t="inlineStr">
        <is>
          <t>Represented by Sample</t>
        </is>
      </c>
      <c r="Z31" s="30" t="n"/>
      <c r="AA31" s="30" t="inlineStr">
        <is>
          <t>Represented by Sample</t>
        </is>
      </c>
      <c r="AB31" s="30" t="inlineStr">
        <is>
          <t>Yes</t>
        </is>
      </c>
      <c r="AC31" s="27" t="n"/>
      <c r="AD31" s="31" t="inlineStr">
        <is>
          <t>No</t>
        </is>
      </c>
      <c r="AE31" s="32">
        <f>IF(W31="","",IF(Z31="Yes","❌ Disc",IF(Y31="No","⚠ Missing",IF(AB31="Yes","✓ OK","⚠ Check"))))</f>
        <v/>
      </c>
      <c r="AF31" s="33" t="n"/>
      <c r="AG31" s="33" t="n"/>
      <c r="AH31" s="33" t="n"/>
      <c r="AI31" s="33" t="n"/>
      <c r="AJ31" s="33" t="n"/>
      <c r="AK31" s="33" t="n"/>
      <c r="AL31" s="27" t="n"/>
      <c r="AM31" s="34" t="n"/>
      <c r="AN31" s="35">
        <f>IF(AF31="","",IF(AI31="Yes","❌ Disc",IF(AH31="No","⚠ Missing",IF(AK31="Yes","✓ OK","⚠ Check"))))</f>
        <v/>
      </c>
      <c r="AO31" s="36" t="n"/>
      <c r="AP31" s="36" t="n"/>
      <c r="AQ31" s="36" t="n"/>
      <c r="AR31" s="36" t="n"/>
      <c r="AS31" s="36" t="n"/>
      <c r="AT31" s="36" t="n"/>
      <c r="AU31" s="27" t="n"/>
      <c r="AV31" s="37" t="n"/>
      <c r="AW31" s="38">
        <f>IF(AO31="","",IF(AR31="Yes","❌ Disc",IF(AQ31="No","⚠ Missing",IF(AT31="Yes","✓ OK","⚠ Check"))))</f>
        <v/>
      </c>
    </row>
    <row r="32" ht="18" customHeight="1" s="46">
      <c r="A32" s="39" t="n">
        <v>28</v>
      </c>
      <c r="B32" s="40" t="inlineStr">
        <is>
          <t>BD-HNA-2025-0249</t>
        </is>
      </c>
      <c r="C32" s="41" t="inlineStr">
        <is>
          <t>Bonito Handles - C-4(N.H) - Black Concealed Handle  - 115mm</t>
        </is>
      </c>
      <c r="D32" s="39" t="inlineStr">
        <is>
          <t>Bonito Handles</t>
        </is>
      </c>
      <c r="E32" s="43" t="n">
        <v>46125</v>
      </c>
      <c r="F32" s="26" t="inlineStr">
        <is>
          <t>Sunil CR</t>
        </is>
      </c>
      <c r="G32" s="44" t="inlineStr">
        <is>
          <t>Represented by Sample</t>
        </is>
      </c>
      <c r="H32" s="26" t="inlineStr">
        <is>
          <t>No</t>
        </is>
      </c>
      <c r="I32" s="44" t="inlineStr">
        <is>
          <t>Represented by Sample</t>
        </is>
      </c>
      <c r="J32" s="26" t="inlineStr">
        <is>
          <t>Yes</t>
        </is>
      </c>
      <c r="K32" s="27" t="n"/>
      <c r="L32" s="28" t="inlineStr">
        <is>
          <t>No</t>
        </is>
      </c>
      <c r="M32" s="29">
        <f>IF(E32="","",IF(H32="Yes","❌ Disc",IF(G32="No","⚠ Missing",IF(J32="Yes","✓ OK","⚠ Check"))))</f>
        <v/>
      </c>
      <c r="N32" s="43" t="n">
        <v>46196</v>
      </c>
      <c r="O32" s="26" t="inlineStr">
        <is>
          <t>Sunil CR</t>
        </is>
      </c>
      <c r="P32" s="44" t="inlineStr">
        <is>
          <t>Represented by Sample</t>
        </is>
      </c>
      <c r="Q32" s="26" t="inlineStr">
        <is>
          <t>No</t>
        </is>
      </c>
      <c r="R32" s="44" t="inlineStr">
        <is>
          <t>Represented by Sample</t>
        </is>
      </c>
      <c r="S32" s="26" t="inlineStr">
        <is>
          <t>Yes</t>
        </is>
      </c>
      <c r="T32" s="27" t="n"/>
      <c r="U32" s="28" t="inlineStr">
        <is>
          <t>No</t>
        </is>
      </c>
      <c r="V32" s="29">
        <f>IF(N32="","",IF(Q32="Yes","❌ Disc",IF(P32="No","⚠ Missing",IF(S32="Yes","✓ OK","⚠ Check"))))</f>
        <v/>
      </c>
      <c r="W32" s="65" t="n">
        <v>46248</v>
      </c>
      <c r="X32" s="30" t="inlineStr">
        <is>
          <t>Sunil CR</t>
        </is>
      </c>
      <c r="Y32" s="30" t="inlineStr">
        <is>
          <t>Represented by Sample</t>
        </is>
      </c>
      <c r="Z32" s="30" t="n"/>
      <c r="AA32" s="30" t="inlineStr">
        <is>
          <t>Represented by Sample</t>
        </is>
      </c>
      <c r="AB32" s="30" t="inlineStr">
        <is>
          <t>Yes</t>
        </is>
      </c>
      <c r="AC32" s="27" t="n"/>
      <c r="AD32" s="31" t="inlineStr">
        <is>
          <t>No</t>
        </is>
      </c>
      <c r="AE32" s="32">
        <f>IF(W32="","",IF(Z32="Yes","❌ Disc",IF(Y32="No","⚠ Missing",IF(AB32="Yes","✓ OK","⚠ Check"))))</f>
        <v/>
      </c>
      <c r="AF32" s="33" t="n"/>
      <c r="AG32" s="33" t="n"/>
      <c r="AH32" s="33" t="n"/>
      <c r="AI32" s="33" t="n"/>
      <c r="AJ32" s="33" t="n"/>
      <c r="AK32" s="33" t="n"/>
      <c r="AL32" s="27" t="n"/>
      <c r="AM32" s="34" t="n"/>
      <c r="AN32" s="35">
        <f>IF(AF32="","",IF(AI32="Yes","❌ Disc",IF(AH32="No","⚠ Missing",IF(AK32="Yes","✓ OK","⚠ Check"))))</f>
        <v/>
      </c>
      <c r="AO32" s="36" t="n"/>
      <c r="AP32" s="36" t="n"/>
      <c r="AQ32" s="36" t="n"/>
      <c r="AR32" s="36" t="n"/>
      <c r="AS32" s="36" t="n"/>
      <c r="AT32" s="36" t="n"/>
      <c r="AU32" s="27" t="n"/>
      <c r="AV32" s="37" t="n"/>
      <c r="AW32" s="38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BD-HNA-2025-0250</t>
        </is>
      </c>
      <c r="C33" s="25" t="inlineStr">
        <is>
          <t>Bonito Handles - C-4(N.H) - Black Concealed Handle  - 177mm</t>
        </is>
      </c>
      <c r="D33" s="23" t="inlineStr">
        <is>
          <t>Bonito Handles</t>
        </is>
      </c>
      <c r="E33" s="43" t="n">
        <v>46125</v>
      </c>
      <c r="F33" s="26" t="inlineStr">
        <is>
          <t>Sunil CR</t>
        </is>
      </c>
      <c r="G33" s="44" t="inlineStr">
        <is>
          <t>Represented by Sample</t>
        </is>
      </c>
      <c r="H33" s="26" t="inlineStr">
        <is>
          <t>No</t>
        </is>
      </c>
      <c r="I33" s="44" t="inlineStr">
        <is>
          <t>Represented by Sample</t>
        </is>
      </c>
      <c r="J33" s="26" t="inlineStr">
        <is>
          <t>Yes</t>
        </is>
      </c>
      <c r="K33" s="27" t="n"/>
      <c r="L33" s="28" t="inlineStr">
        <is>
          <t>No</t>
        </is>
      </c>
      <c r="M33" s="29">
        <f>IF(E33="","",IF(H33="Yes","❌ Disc",IF(G33="No","⚠ Missing",IF(J33="Yes","✓ OK","⚠ Check"))))</f>
        <v/>
      </c>
      <c r="N33" s="43" t="n">
        <v>46196</v>
      </c>
      <c r="O33" s="26" t="inlineStr">
        <is>
          <t>Sunil CR</t>
        </is>
      </c>
      <c r="P33" s="44" t="inlineStr">
        <is>
          <t>Represented by Sample</t>
        </is>
      </c>
      <c r="Q33" s="26" t="inlineStr">
        <is>
          <t>No</t>
        </is>
      </c>
      <c r="R33" s="44" t="inlineStr">
        <is>
          <t>Represented by Sample</t>
        </is>
      </c>
      <c r="S33" s="26" t="inlineStr">
        <is>
          <t>Yes</t>
        </is>
      </c>
      <c r="T33" s="27" t="n"/>
      <c r="U33" s="28" t="inlineStr">
        <is>
          <t>No</t>
        </is>
      </c>
      <c r="V33" s="29">
        <f>IF(N33="","",IF(Q33="Yes","❌ Disc",IF(P33="No","⚠ Missing",IF(S33="Yes","✓ OK","⚠ Check"))))</f>
        <v/>
      </c>
      <c r="W33" s="65" t="n">
        <v>46248</v>
      </c>
      <c r="X33" s="30" t="inlineStr">
        <is>
          <t>Sunil CR</t>
        </is>
      </c>
      <c r="Y33" s="30" t="inlineStr">
        <is>
          <t>Represented by Sample</t>
        </is>
      </c>
      <c r="Z33" s="30" t="n"/>
      <c r="AA33" s="30" t="inlineStr">
        <is>
          <t>Represented by Sample</t>
        </is>
      </c>
      <c r="AB33" s="30" t="inlineStr">
        <is>
          <t>Yes</t>
        </is>
      </c>
      <c r="AC33" s="27" t="n"/>
      <c r="AD33" s="31" t="inlineStr">
        <is>
          <t>No</t>
        </is>
      </c>
      <c r="AE33" s="32">
        <f>IF(W33="","",IF(Z33="Yes","❌ Disc",IF(Y33="No","⚠ Missing",IF(AB33="Yes","✓ OK","⚠ Check"))))</f>
        <v/>
      </c>
      <c r="AF33" s="33" t="n"/>
      <c r="AG33" s="33" t="n"/>
      <c r="AH33" s="33" t="n"/>
      <c r="AI33" s="33" t="n"/>
      <c r="AJ33" s="33" t="n"/>
      <c r="AK33" s="33" t="n"/>
      <c r="AL33" s="27" t="n"/>
      <c r="AM33" s="34" t="n"/>
      <c r="AN33" s="35">
        <f>IF(AF33="","",IF(AI33="Yes","❌ Disc",IF(AH33="No","⚠ Missing",IF(AK33="Yes","✓ OK","⚠ Check"))))</f>
        <v/>
      </c>
      <c r="AO33" s="36" t="n"/>
      <c r="AP33" s="36" t="n"/>
      <c r="AQ33" s="36" t="n"/>
      <c r="AR33" s="36" t="n"/>
      <c r="AS33" s="36" t="n"/>
      <c r="AT33" s="36" t="n"/>
      <c r="AU33" s="27" t="n"/>
      <c r="AV33" s="37" t="n"/>
      <c r="AW33" s="38">
        <f>IF(AO33="","",IF(AR33="Yes","❌ Disc",IF(AQ33="No","⚠ Missing",IF(AT33="Yes","✓ OK","⚠ Check"))))</f>
        <v/>
      </c>
    </row>
    <row r="34" ht="18" customHeight="1" s="46">
      <c r="A34" s="39" t="n">
        <v>30</v>
      </c>
      <c r="B34" s="40" t="inlineStr">
        <is>
          <t>BD-HNA-2025-0251</t>
        </is>
      </c>
      <c r="C34" s="41" t="inlineStr">
        <is>
          <t>Bonito Handles - C-4(N.H) - Black Concealed Handle  - 242mm</t>
        </is>
      </c>
      <c r="D34" s="39" t="inlineStr">
        <is>
          <t>Bonito Handles</t>
        </is>
      </c>
      <c r="E34" s="43" t="n">
        <v>46125</v>
      </c>
      <c r="F34" s="26" t="inlineStr">
        <is>
          <t>Sunil CR</t>
        </is>
      </c>
      <c r="G34" s="44" t="inlineStr">
        <is>
          <t>Represented by Sample</t>
        </is>
      </c>
      <c r="H34" s="26" t="inlineStr">
        <is>
          <t>No</t>
        </is>
      </c>
      <c r="I34" s="44" t="inlineStr">
        <is>
          <t>Represented by Sample</t>
        </is>
      </c>
      <c r="J34" s="26" t="inlineStr">
        <is>
          <t>Yes</t>
        </is>
      </c>
      <c r="K34" s="27" t="n"/>
      <c r="L34" s="28" t="inlineStr">
        <is>
          <t>No</t>
        </is>
      </c>
      <c r="M34" s="29">
        <f>IF(E34="","",IF(H34="Yes","❌ Disc",IF(G34="No","⚠ Missing",IF(J34="Yes","✓ OK","⚠ Check"))))</f>
        <v/>
      </c>
      <c r="N34" s="43" t="n">
        <v>46196</v>
      </c>
      <c r="O34" s="26" t="inlineStr">
        <is>
          <t>Sunil CR</t>
        </is>
      </c>
      <c r="P34" s="44" t="inlineStr">
        <is>
          <t>Represented by Sample</t>
        </is>
      </c>
      <c r="Q34" s="26" t="inlineStr">
        <is>
          <t>No</t>
        </is>
      </c>
      <c r="R34" s="44" t="inlineStr">
        <is>
          <t>Represented by Sample</t>
        </is>
      </c>
      <c r="S34" s="26" t="inlineStr">
        <is>
          <t>Yes</t>
        </is>
      </c>
      <c r="T34" s="27" t="n"/>
      <c r="U34" s="28" t="inlineStr">
        <is>
          <t>No</t>
        </is>
      </c>
      <c r="V34" s="29">
        <f>IF(N34="","",IF(Q34="Yes","❌ Disc",IF(P34="No","⚠ Missing",IF(S34="Yes","✓ OK","⚠ Check"))))</f>
        <v/>
      </c>
      <c r="W34" s="65" t="n">
        <v>46248</v>
      </c>
      <c r="X34" s="30" t="inlineStr">
        <is>
          <t>Sunil CR</t>
        </is>
      </c>
      <c r="Y34" s="30" t="inlineStr">
        <is>
          <t>Represented by Sample</t>
        </is>
      </c>
      <c r="Z34" s="30" t="n"/>
      <c r="AA34" s="30" t="inlineStr">
        <is>
          <t>Represented by Sample</t>
        </is>
      </c>
      <c r="AB34" s="30" t="inlineStr">
        <is>
          <t>Yes</t>
        </is>
      </c>
      <c r="AC34" s="27" t="n"/>
      <c r="AD34" s="31" t="inlineStr">
        <is>
          <t>No</t>
        </is>
      </c>
      <c r="AE34" s="32">
        <f>IF(W34="","",IF(Z34="Yes","❌ Disc",IF(Y34="No","⚠ Missing",IF(AB34="Yes","✓ OK","⚠ Check"))))</f>
        <v/>
      </c>
      <c r="AF34" s="33" t="n"/>
      <c r="AG34" s="33" t="n"/>
      <c r="AH34" s="33" t="n"/>
      <c r="AI34" s="33" t="n"/>
      <c r="AJ34" s="33" t="n"/>
      <c r="AK34" s="33" t="n"/>
      <c r="AL34" s="27" t="n"/>
      <c r="AM34" s="34" t="n"/>
      <c r="AN34" s="35">
        <f>IF(AF34="","",IF(AI34="Yes","❌ Disc",IF(AH34="No","⚠ Missing",IF(AK34="Yes","✓ OK","⚠ Check"))))</f>
        <v/>
      </c>
      <c r="AO34" s="36" t="n"/>
      <c r="AP34" s="36" t="n"/>
      <c r="AQ34" s="36" t="n"/>
      <c r="AR34" s="36" t="n"/>
      <c r="AS34" s="36" t="n"/>
      <c r="AT34" s="36" t="n"/>
      <c r="AU34" s="27" t="n"/>
      <c r="AV34" s="37" t="n"/>
      <c r="AW34" s="38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BD-HNA-2025-0252</t>
        </is>
      </c>
      <c r="C35" s="25" t="inlineStr">
        <is>
          <t>Bonito Handles - C-4(N.H) - Black Concealed Handle  - 305mm</t>
        </is>
      </c>
      <c r="D35" s="23" t="inlineStr">
        <is>
          <t>Bonito Handles</t>
        </is>
      </c>
      <c r="E35" s="43" t="n">
        <v>46125</v>
      </c>
      <c r="F35" s="26" t="inlineStr">
        <is>
          <t>Sunil CR</t>
        </is>
      </c>
      <c r="G35" s="44" t="inlineStr">
        <is>
          <t>Represented by Sample</t>
        </is>
      </c>
      <c r="H35" s="26" t="inlineStr">
        <is>
          <t>No</t>
        </is>
      </c>
      <c r="I35" s="44" t="inlineStr">
        <is>
          <t>Represented by Sample</t>
        </is>
      </c>
      <c r="J35" s="26" t="inlineStr">
        <is>
          <t>Yes</t>
        </is>
      </c>
      <c r="K35" s="27" t="n"/>
      <c r="L35" s="28" t="inlineStr">
        <is>
          <t>No</t>
        </is>
      </c>
      <c r="M35" s="29">
        <f>IF(E35="","",IF(H35="Yes","❌ Disc",IF(G35="No","⚠ Missing",IF(J35="Yes","✓ OK","⚠ Check"))))</f>
        <v/>
      </c>
      <c r="N35" s="43" t="n">
        <v>46196</v>
      </c>
      <c r="O35" s="26" t="inlineStr">
        <is>
          <t>Sunil CR</t>
        </is>
      </c>
      <c r="P35" s="44" t="inlineStr">
        <is>
          <t>Represented by Sample</t>
        </is>
      </c>
      <c r="Q35" s="26" t="inlineStr">
        <is>
          <t>No</t>
        </is>
      </c>
      <c r="R35" s="44" t="inlineStr">
        <is>
          <t>Represented by Sample</t>
        </is>
      </c>
      <c r="S35" s="26" t="inlineStr">
        <is>
          <t>Yes</t>
        </is>
      </c>
      <c r="T35" s="27" t="n"/>
      <c r="U35" s="28" t="inlineStr">
        <is>
          <t>No</t>
        </is>
      </c>
      <c r="V35" s="29">
        <f>IF(N35="","",IF(Q35="Yes","❌ Disc",IF(P35="No","⚠ Missing",IF(S35="Yes","✓ OK","⚠ Check"))))</f>
        <v/>
      </c>
      <c r="W35" s="65" t="n">
        <v>46248</v>
      </c>
      <c r="X35" s="30" t="inlineStr">
        <is>
          <t>Sunil CR</t>
        </is>
      </c>
      <c r="Y35" s="30" t="inlineStr">
        <is>
          <t>Represented by Sample</t>
        </is>
      </c>
      <c r="Z35" s="30" t="n"/>
      <c r="AA35" s="30" t="inlineStr">
        <is>
          <t>Represented by Sample</t>
        </is>
      </c>
      <c r="AB35" s="30" t="inlineStr">
        <is>
          <t>Yes</t>
        </is>
      </c>
      <c r="AC35" s="27" t="n"/>
      <c r="AD35" s="31" t="inlineStr">
        <is>
          <t>No</t>
        </is>
      </c>
      <c r="AE35" s="32">
        <f>IF(W35="","",IF(Z35="Yes","❌ Disc",IF(Y35="No","⚠ Missing",IF(AB35="Yes","✓ OK","⚠ Check"))))</f>
        <v/>
      </c>
      <c r="AF35" s="33" t="n"/>
      <c r="AG35" s="33" t="n"/>
      <c r="AH35" s="33" t="n"/>
      <c r="AI35" s="33" t="n"/>
      <c r="AJ35" s="33" t="n"/>
      <c r="AK35" s="33" t="n"/>
      <c r="AL35" s="27" t="n"/>
      <c r="AM35" s="34" t="n"/>
      <c r="AN35" s="35">
        <f>IF(AF35="","",IF(AI35="Yes","❌ Disc",IF(AH35="No","⚠ Missing",IF(AK35="Yes","✓ OK","⚠ Check"))))</f>
        <v/>
      </c>
      <c r="AO35" s="36" t="n"/>
      <c r="AP35" s="36" t="n"/>
      <c r="AQ35" s="36" t="n"/>
      <c r="AR35" s="36" t="n"/>
      <c r="AS35" s="36" t="n"/>
      <c r="AT35" s="36" t="n"/>
      <c r="AU35" s="27" t="n"/>
      <c r="AV35" s="37" t="n"/>
      <c r="AW35" s="38">
        <f>IF(AO35="","",IF(AR35="Yes","❌ Disc",IF(AQ35="No","⚠ Missing",IF(AT35="Yes","✓ OK","⚠ Check"))))</f>
        <v/>
      </c>
    </row>
    <row r="36" ht="18" customHeight="1" s="46">
      <c r="A36" s="39" t="n">
        <v>32</v>
      </c>
      <c r="B36" s="40" t="inlineStr">
        <is>
          <t>BD-HNA-2025-0253</t>
        </is>
      </c>
      <c r="C36" s="41" t="inlineStr">
        <is>
          <t>Bonito Handles - C-4(N.H) - Black Concealed Handle  - 467mm</t>
        </is>
      </c>
      <c r="D36" s="39" t="inlineStr">
        <is>
          <t>Bonito Handles</t>
        </is>
      </c>
      <c r="E36" s="43" t="n">
        <v>46125</v>
      </c>
      <c r="F36" s="26" t="inlineStr">
        <is>
          <t>Sunil CR</t>
        </is>
      </c>
      <c r="G36" s="44" t="inlineStr">
        <is>
          <t>Represented by Sample</t>
        </is>
      </c>
      <c r="H36" s="26" t="inlineStr">
        <is>
          <t>No</t>
        </is>
      </c>
      <c r="I36" s="44" t="inlineStr">
        <is>
          <t>Represented by Sample</t>
        </is>
      </c>
      <c r="J36" s="26" t="inlineStr">
        <is>
          <t>Yes</t>
        </is>
      </c>
      <c r="K36" s="27" t="n"/>
      <c r="L36" s="28" t="inlineStr">
        <is>
          <t>No</t>
        </is>
      </c>
      <c r="M36" s="29">
        <f>IF(E36="","",IF(H36="Yes","❌ Disc",IF(G36="No","⚠ Missing",IF(J36="Yes","✓ OK","⚠ Check"))))</f>
        <v/>
      </c>
      <c r="N36" s="43" t="n">
        <v>46196</v>
      </c>
      <c r="O36" s="26" t="inlineStr">
        <is>
          <t>Sunil CR</t>
        </is>
      </c>
      <c r="P36" s="44" t="inlineStr">
        <is>
          <t>Represented by Sample</t>
        </is>
      </c>
      <c r="Q36" s="26" t="inlineStr">
        <is>
          <t>No</t>
        </is>
      </c>
      <c r="R36" s="44" t="inlineStr">
        <is>
          <t>Represented by Sample</t>
        </is>
      </c>
      <c r="S36" s="26" t="inlineStr">
        <is>
          <t>Yes</t>
        </is>
      </c>
      <c r="T36" s="27" t="n"/>
      <c r="U36" s="28" t="inlineStr">
        <is>
          <t>No</t>
        </is>
      </c>
      <c r="V36" s="29">
        <f>IF(N36="","",IF(Q36="Yes","❌ Disc",IF(P36="No","⚠ Missing",IF(S36="Yes","✓ OK","⚠ Check"))))</f>
        <v/>
      </c>
      <c r="W36" s="65" t="n">
        <v>46248</v>
      </c>
      <c r="X36" s="30" t="inlineStr">
        <is>
          <t>Sunil CR</t>
        </is>
      </c>
      <c r="Y36" s="30" t="inlineStr">
        <is>
          <t>Represented by Sample</t>
        </is>
      </c>
      <c r="Z36" s="30" t="n"/>
      <c r="AA36" s="30" t="inlineStr">
        <is>
          <t>Represented by Sample</t>
        </is>
      </c>
      <c r="AB36" s="30" t="inlineStr">
        <is>
          <t>Yes</t>
        </is>
      </c>
      <c r="AC36" s="27" t="n"/>
      <c r="AD36" s="31" t="inlineStr">
        <is>
          <t>No</t>
        </is>
      </c>
      <c r="AE36" s="32">
        <f>IF(W36="","",IF(Z36="Yes","❌ Disc",IF(Y36="No","⚠ Missing",IF(AB36="Yes","✓ OK","⚠ Check"))))</f>
        <v/>
      </c>
      <c r="AF36" s="33" t="n"/>
      <c r="AG36" s="33" t="n"/>
      <c r="AH36" s="33" t="n"/>
      <c r="AI36" s="33" t="n"/>
      <c r="AJ36" s="33" t="n"/>
      <c r="AK36" s="33" t="n"/>
      <c r="AL36" s="27" t="n"/>
      <c r="AM36" s="34" t="n"/>
      <c r="AN36" s="35">
        <f>IF(AF36="","",IF(AI36="Yes","❌ Disc",IF(AH36="No","⚠ Missing",IF(AK36="Yes","✓ OK","⚠ Check"))))</f>
        <v/>
      </c>
      <c r="AO36" s="36" t="n"/>
      <c r="AP36" s="36" t="n"/>
      <c r="AQ36" s="36" t="n"/>
      <c r="AR36" s="36" t="n"/>
      <c r="AS36" s="36" t="n"/>
      <c r="AT36" s="36" t="n"/>
      <c r="AU36" s="27" t="n"/>
      <c r="AV36" s="37" t="n"/>
      <c r="AW36" s="38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BD-HNA-2025-0254</t>
        </is>
      </c>
      <c r="C37" s="25" t="inlineStr">
        <is>
          <t>Bonito Handles - C-4(N.H) - Black Concealed Handle  - 594mm</t>
        </is>
      </c>
      <c r="D37" s="23" t="inlineStr">
        <is>
          <t>Bonito Handles</t>
        </is>
      </c>
      <c r="E37" s="43" t="n">
        <v>46125</v>
      </c>
      <c r="F37" s="26" t="inlineStr">
        <is>
          <t>Sunil CR</t>
        </is>
      </c>
      <c r="G37" s="44" t="inlineStr">
        <is>
          <t>Represented by Sample</t>
        </is>
      </c>
      <c r="H37" s="26" t="inlineStr">
        <is>
          <t>No</t>
        </is>
      </c>
      <c r="I37" s="44" t="inlineStr">
        <is>
          <t>Represented by Sample</t>
        </is>
      </c>
      <c r="J37" s="26" t="inlineStr">
        <is>
          <t>Yes</t>
        </is>
      </c>
      <c r="K37" s="27" t="n"/>
      <c r="L37" s="28" t="inlineStr">
        <is>
          <t>No</t>
        </is>
      </c>
      <c r="M37" s="29">
        <f>IF(E37="","",IF(H37="Yes","❌ Disc",IF(G37="No","⚠ Missing",IF(J37="Yes","✓ OK","⚠ Check"))))</f>
        <v/>
      </c>
      <c r="N37" s="43" t="n">
        <v>46196</v>
      </c>
      <c r="O37" s="26" t="inlineStr">
        <is>
          <t>Sunil CR</t>
        </is>
      </c>
      <c r="P37" s="44" t="inlineStr">
        <is>
          <t>Represented by Sample</t>
        </is>
      </c>
      <c r="Q37" s="26" t="inlineStr">
        <is>
          <t>No</t>
        </is>
      </c>
      <c r="R37" s="44" t="inlineStr">
        <is>
          <t>Represented by Sample</t>
        </is>
      </c>
      <c r="S37" s="26" t="inlineStr">
        <is>
          <t>Yes</t>
        </is>
      </c>
      <c r="T37" s="27" t="n"/>
      <c r="U37" s="28" t="inlineStr">
        <is>
          <t>No</t>
        </is>
      </c>
      <c r="V37" s="29">
        <f>IF(N37="","",IF(Q37="Yes","❌ Disc",IF(P37="No","⚠ Missing",IF(S37="Yes","✓ OK","⚠ Check"))))</f>
        <v/>
      </c>
      <c r="W37" s="65" t="n">
        <v>46248</v>
      </c>
      <c r="X37" s="30" t="inlineStr">
        <is>
          <t>Sunil CR</t>
        </is>
      </c>
      <c r="Y37" s="30" t="inlineStr">
        <is>
          <t>Represented by Sample</t>
        </is>
      </c>
      <c r="Z37" s="30" t="n"/>
      <c r="AA37" s="30" t="inlineStr">
        <is>
          <t>Represented by Sample</t>
        </is>
      </c>
      <c r="AB37" s="30" t="inlineStr">
        <is>
          <t>Yes</t>
        </is>
      </c>
      <c r="AC37" s="27" t="n"/>
      <c r="AD37" s="31" t="inlineStr">
        <is>
          <t>No</t>
        </is>
      </c>
      <c r="AE37" s="32">
        <f>IF(W37="","",IF(Z37="Yes","❌ Disc",IF(Y37="No","⚠ Missing",IF(AB37="Yes","✓ OK","⚠ Check"))))</f>
        <v/>
      </c>
      <c r="AF37" s="33" t="n"/>
      <c r="AG37" s="33" t="n"/>
      <c r="AH37" s="33" t="n"/>
      <c r="AI37" s="33" t="n"/>
      <c r="AJ37" s="33" t="n"/>
      <c r="AK37" s="33" t="n"/>
      <c r="AL37" s="27" t="n"/>
      <c r="AM37" s="34" t="n"/>
      <c r="AN37" s="35">
        <f>IF(AF37="","",IF(AI37="Yes","❌ Disc",IF(AH37="No","⚠ Missing",IF(AK37="Yes","✓ OK","⚠ Check"))))</f>
        <v/>
      </c>
      <c r="AO37" s="36" t="n"/>
      <c r="AP37" s="36" t="n"/>
      <c r="AQ37" s="36" t="n"/>
      <c r="AR37" s="36" t="n"/>
      <c r="AS37" s="36" t="n"/>
      <c r="AT37" s="36" t="n"/>
      <c r="AU37" s="27" t="n"/>
      <c r="AV37" s="37" t="n"/>
      <c r="AW37" s="38">
        <f>IF(AO37="","",IF(AR37="Yes","❌ Disc",IF(AQ37="No","⚠ Missing",IF(AT37="Yes","✓ OK","⚠ Check"))))</f>
        <v/>
      </c>
    </row>
    <row r="38" ht="18" customHeight="1" s="46">
      <c r="A38" s="39" t="n">
        <v>34</v>
      </c>
      <c r="B38" s="40" t="inlineStr">
        <is>
          <t>BD-HNA-2025-0261</t>
        </is>
      </c>
      <c r="C38" s="41" t="inlineStr">
        <is>
          <t>Bonito Handles - C-4(N.H) - Copper and Black Concealed Handle  - 115mm</t>
        </is>
      </c>
      <c r="D38" s="39" t="inlineStr">
        <is>
          <t>Bonito Handles</t>
        </is>
      </c>
      <c r="E38" s="43" t="n">
        <v>46125</v>
      </c>
      <c r="F38" s="26" t="inlineStr">
        <is>
          <t>Sunil CR</t>
        </is>
      </c>
      <c r="G38" s="44" t="inlineStr">
        <is>
          <t>Represented by Sample</t>
        </is>
      </c>
      <c r="H38" s="26" t="inlineStr">
        <is>
          <t>No</t>
        </is>
      </c>
      <c r="I38" s="44" t="inlineStr">
        <is>
          <t>Represented by Sample</t>
        </is>
      </c>
      <c r="J38" s="26" t="inlineStr">
        <is>
          <t>Yes</t>
        </is>
      </c>
      <c r="K38" s="27" t="n"/>
      <c r="L38" s="28" t="inlineStr">
        <is>
          <t>No</t>
        </is>
      </c>
      <c r="M38" s="29">
        <f>IF(E38="","",IF(H38="Yes","❌ Disc",IF(G38="No","⚠ Missing",IF(J38="Yes","✓ OK","⚠ Check"))))</f>
        <v/>
      </c>
      <c r="N38" s="43" t="n">
        <v>46196</v>
      </c>
      <c r="O38" s="26" t="inlineStr">
        <is>
          <t>Sunil CR</t>
        </is>
      </c>
      <c r="P38" s="44" t="inlineStr">
        <is>
          <t>Represented by Sample</t>
        </is>
      </c>
      <c r="Q38" s="26" t="inlineStr">
        <is>
          <t>No</t>
        </is>
      </c>
      <c r="R38" s="44" t="inlineStr">
        <is>
          <t>Represented by Sample</t>
        </is>
      </c>
      <c r="S38" s="26" t="inlineStr">
        <is>
          <t>Yes</t>
        </is>
      </c>
      <c r="T38" s="27" t="n"/>
      <c r="U38" s="28" t="inlineStr">
        <is>
          <t>No</t>
        </is>
      </c>
      <c r="V38" s="29">
        <f>IF(N38="","",IF(Q38="Yes","❌ Disc",IF(P38="No","⚠ Missing",IF(S38="Yes","✓ OK","⚠ Check"))))</f>
        <v/>
      </c>
      <c r="W38" s="65" t="n">
        <v>46248</v>
      </c>
      <c r="X38" s="30" t="inlineStr">
        <is>
          <t>Sunil CR</t>
        </is>
      </c>
      <c r="Y38" s="30" t="inlineStr">
        <is>
          <t>Represented by Sample</t>
        </is>
      </c>
      <c r="Z38" s="30" t="n"/>
      <c r="AA38" s="30" t="inlineStr">
        <is>
          <t>Represented by Sample</t>
        </is>
      </c>
      <c r="AB38" s="30" t="inlineStr">
        <is>
          <t>Yes</t>
        </is>
      </c>
      <c r="AC38" s="27" t="n"/>
      <c r="AD38" s="31" t="inlineStr">
        <is>
          <t>No</t>
        </is>
      </c>
      <c r="AE38" s="32">
        <f>IF(W38="","",IF(Z38="Yes","❌ Disc",IF(Y38="No","⚠ Missing",IF(AB38="Yes","✓ OK","⚠ Check"))))</f>
        <v/>
      </c>
      <c r="AF38" s="33" t="n"/>
      <c r="AG38" s="33" t="n"/>
      <c r="AH38" s="33" t="n"/>
      <c r="AI38" s="33" t="n"/>
      <c r="AJ38" s="33" t="n"/>
      <c r="AK38" s="33" t="n"/>
      <c r="AL38" s="27" t="n"/>
      <c r="AM38" s="34" t="n"/>
      <c r="AN38" s="35">
        <f>IF(AF38="","",IF(AI38="Yes","❌ Disc",IF(AH38="No","⚠ Missing",IF(AK38="Yes","✓ OK","⚠ Check"))))</f>
        <v/>
      </c>
      <c r="AO38" s="36" t="n"/>
      <c r="AP38" s="36" t="n"/>
      <c r="AQ38" s="36" t="n"/>
      <c r="AR38" s="36" t="n"/>
      <c r="AS38" s="36" t="n"/>
      <c r="AT38" s="36" t="n"/>
      <c r="AU38" s="27" t="n"/>
      <c r="AV38" s="37" t="n"/>
      <c r="AW38" s="38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BD-HNA-2025-0262</t>
        </is>
      </c>
      <c r="C39" s="25" t="inlineStr">
        <is>
          <t>Bonito Handles - C-4(N.H) - Copper and Black Concealed Handle  - 177mm</t>
        </is>
      </c>
      <c r="D39" s="23" t="inlineStr">
        <is>
          <t>Bonito Handles</t>
        </is>
      </c>
      <c r="E39" s="43" t="n">
        <v>46125</v>
      </c>
      <c r="F39" s="26" t="inlineStr">
        <is>
          <t>Sunil CR</t>
        </is>
      </c>
      <c r="G39" s="44" t="inlineStr">
        <is>
          <t>Represented by Sample</t>
        </is>
      </c>
      <c r="H39" s="26" t="inlineStr">
        <is>
          <t>No</t>
        </is>
      </c>
      <c r="I39" s="44" t="inlineStr">
        <is>
          <t>Represented by Sample</t>
        </is>
      </c>
      <c r="J39" s="26" t="inlineStr">
        <is>
          <t>Yes</t>
        </is>
      </c>
      <c r="K39" s="27" t="n"/>
      <c r="L39" s="28" t="inlineStr">
        <is>
          <t>No</t>
        </is>
      </c>
      <c r="M39" s="29">
        <f>IF(E39="","",IF(H39="Yes","❌ Disc",IF(G39="No","⚠ Missing",IF(J39="Yes","✓ OK","⚠ Check"))))</f>
        <v/>
      </c>
      <c r="N39" s="43" t="n">
        <v>46196</v>
      </c>
      <c r="O39" s="26" t="inlineStr">
        <is>
          <t>Sunil CR</t>
        </is>
      </c>
      <c r="P39" s="44" t="inlineStr">
        <is>
          <t>Represented by Sample</t>
        </is>
      </c>
      <c r="Q39" s="26" t="inlineStr">
        <is>
          <t>No</t>
        </is>
      </c>
      <c r="R39" s="44" t="inlineStr">
        <is>
          <t>Represented by Sample</t>
        </is>
      </c>
      <c r="S39" s="26" t="inlineStr">
        <is>
          <t>Yes</t>
        </is>
      </c>
      <c r="T39" s="27" t="n"/>
      <c r="U39" s="28" t="inlineStr">
        <is>
          <t>No</t>
        </is>
      </c>
      <c r="V39" s="29">
        <f>IF(N39="","",IF(Q39="Yes","❌ Disc",IF(P39="No","⚠ Missing",IF(S39="Yes","✓ OK","⚠ Check"))))</f>
        <v/>
      </c>
      <c r="W39" s="65" t="n">
        <v>46248</v>
      </c>
      <c r="X39" s="30" t="inlineStr">
        <is>
          <t>Sunil CR</t>
        </is>
      </c>
      <c r="Y39" s="30" t="inlineStr">
        <is>
          <t>Represented by Sample</t>
        </is>
      </c>
      <c r="Z39" s="30" t="n"/>
      <c r="AA39" s="30" t="inlineStr">
        <is>
          <t>Represented by Sample</t>
        </is>
      </c>
      <c r="AB39" s="30" t="inlineStr">
        <is>
          <t>Yes</t>
        </is>
      </c>
      <c r="AC39" s="27" t="n"/>
      <c r="AD39" s="31" t="inlineStr">
        <is>
          <t>No</t>
        </is>
      </c>
      <c r="AE39" s="32">
        <f>IF(W39="","",IF(Z39="Yes","❌ Disc",IF(Y39="No","⚠ Missing",IF(AB39="Yes","✓ OK","⚠ Check"))))</f>
        <v/>
      </c>
      <c r="AF39" s="33" t="n"/>
      <c r="AG39" s="33" t="n"/>
      <c r="AH39" s="33" t="n"/>
      <c r="AI39" s="33" t="n"/>
      <c r="AJ39" s="33" t="n"/>
      <c r="AK39" s="33" t="n"/>
      <c r="AL39" s="27" t="n"/>
      <c r="AM39" s="34" t="n"/>
      <c r="AN39" s="35">
        <f>IF(AF39="","",IF(AI39="Yes","❌ Disc",IF(AH39="No","⚠ Missing",IF(AK39="Yes","✓ OK","⚠ Check"))))</f>
        <v/>
      </c>
      <c r="AO39" s="36" t="n"/>
      <c r="AP39" s="36" t="n"/>
      <c r="AQ39" s="36" t="n"/>
      <c r="AR39" s="36" t="n"/>
      <c r="AS39" s="36" t="n"/>
      <c r="AT39" s="36" t="n"/>
      <c r="AU39" s="27" t="n"/>
      <c r="AV39" s="37" t="n"/>
      <c r="AW39" s="38">
        <f>IF(AO39="","",IF(AR39="Yes","❌ Disc",IF(AQ39="No","⚠ Missing",IF(AT39="Yes","✓ OK","⚠ Check"))))</f>
        <v/>
      </c>
    </row>
    <row r="40" ht="18" customHeight="1" s="46">
      <c r="A40" s="39" t="n">
        <v>36</v>
      </c>
      <c r="B40" s="40" t="inlineStr">
        <is>
          <t>BD-HNA-2025-0263</t>
        </is>
      </c>
      <c r="C40" s="41" t="inlineStr">
        <is>
          <t>Bonito Handles - C-4(N.H) - Copper and Black Concealed Handle  - 242mm</t>
        </is>
      </c>
      <c r="D40" s="39" t="inlineStr">
        <is>
          <t>Bonito Handles</t>
        </is>
      </c>
      <c r="E40" s="43" t="n">
        <v>46125</v>
      </c>
      <c r="F40" s="26" t="inlineStr">
        <is>
          <t>Sunil CR</t>
        </is>
      </c>
      <c r="G40" s="44" t="inlineStr">
        <is>
          <t>Represented by Sample</t>
        </is>
      </c>
      <c r="H40" s="26" t="inlineStr">
        <is>
          <t>No</t>
        </is>
      </c>
      <c r="I40" s="44" t="inlineStr">
        <is>
          <t>Represented by Sample</t>
        </is>
      </c>
      <c r="J40" s="26" t="inlineStr">
        <is>
          <t>Yes</t>
        </is>
      </c>
      <c r="K40" s="27" t="n"/>
      <c r="L40" s="28" t="inlineStr">
        <is>
          <t>No</t>
        </is>
      </c>
      <c r="M40" s="29">
        <f>IF(E40="","",IF(H40="Yes","❌ Disc",IF(G40="No","⚠ Missing",IF(J40="Yes","✓ OK","⚠ Check"))))</f>
        <v/>
      </c>
      <c r="N40" s="43" t="n">
        <v>46196</v>
      </c>
      <c r="O40" s="26" t="inlineStr">
        <is>
          <t>Sunil CR</t>
        </is>
      </c>
      <c r="P40" s="44" t="inlineStr">
        <is>
          <t>Represented by Sample</t>
        </is>
      </c>
      <c r="Q40" s="26" t="inlineStr">
        <is>
          <t>No</t>
        </is>
      </c>
      <c r="R40" s="44" t="inlineStr">
        <is>
          <t>Represented by Sample</t>
        </is>
      </c>
      <c r="S40" s="26" t="inlineStr">
        <is>
          <t>Yes</t>
        </is>
      </c>
      <c r="T40" s="27" t="n"/>
      <c r="U40" s="28" t="inlineStr">
        <is>
          <t>No</t>
        </is>
      </c>
      <c r="V40" s="29">
        <f>IF(N40="","",IF(Q40="Yes","❌ Disc",IF(P40="No","⚠ Missing",IF(S40="Yes","✓ OK","⚠ Check"))))</f>
        <v/>
      </c>
      <c r="W40" s="65" t="n">
        <v>46248</v>
      </c>
      <c r="X40" s="30" t="inlineStr">
        <is>
          <t>Sunil CR</t>
        </is>
      </c>
      <c r="Y40" s="30" t="inlineStr">
        <is>
          <t>Represented by Sample</t>
        </is>
      </c>
      <c r="Z40" s="30" t="n"/>
      <c r="AA40" s="30" t="inlineStr">
        <is>
          <t>Represented by Sample</t>
        </is>
      </c>
      <c r="AB40" s="30" t="inlineStr">
        <is>
          <t>Yes</t>
        </is>
      </c>
      <c r="AC40" s="27" t="n"/>
      <c r="AD40" s="31" t="inlineStr">
        <is>
          <t>No</t>
        </is>
      </c>
      <c r="AE40" s="32">
        <f>IF(W40="","",IF(Z40="Yes","❌ Disc",IF(Y40="No","⚠ Missing",IF(AB40="Yes","✓ OK","⚠ Check"))))</f>
        <v/>
      </c>
      <c r="AF40" s="33" t="n"/>
      <c r="AG40" s="33" t="n"/>
      <c r="AH40" s="33" t="n"/>
      <c r="AI40" s="33" t="n"/>
      <c r="AJ40" s="33" t="n"/>
      <c r="AK40" s="33" t="n"/>
      <c r="AL40" s="27" t="n"/>
      <c r="AM40" s="34" t="n"/>
      <c r="AN40" s="35">
        <f>IF(AF40="","",IF(AI40="Yes","❌ Disc",IF(AH40="No","⚠ Missing",IF(AK40="Yes","✓ OK","⚠ Check"))))</f>
        <v/>
      </c>
      <c r="AO40" s="36" t="n"/>
      <c r="AP40" s="36" t="n"/>
      <c r="AQ40" s="36" t="n"/>
      <c r="AR40" s="36" t="n"/>
      <c r="AS40" s="36" t="n"/>
      <c r="AT40" s="36" t="n"/>
      <c r="AU40" s="27" t="n"/>
      <c r="AV40" s="37" t="n"/>
      <c r="AW40" s="38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BD-HNA-2025-0264</t>
        </is>
      </c>
      <c r="C41" s="25" t="inlineStr">
        <is>
          <t>Bonito Handles - C-4(N.H) - Copper and Black Concealed Handle  - 305mm</t>
        </is>
      </c>
      <c r="D41" s="23" t="inlineStr">
        <is>
          <t>Bonito Handles</t>
        </is>
      </c>
      <c r="E41" s="43" t="n">
        <v>46125</v>
      </c>
      <c r="F41" s="26" t="inlineStr">
        <is>
          <t>Sunil CR</t>
        </is>
      </c>
      <c r="G41" s="44" t="inlineStr">
        <is>
          <t>Represented by Sample</t>
        </is>
      </c>
      <c r="H41" s="26" t="inlineStr">
        <is>
          <t>No</t>
        </is>
      </c>
      <c r="I41" s="44" t="inlineStr">
        <is>
          <t>Represented by Sample</t>
        </is>
      </c>
      <c r="J41" s="26" t="inlineStr">
        <is>
          <t>Yes</t>
        </is>
      </c>
      <c r="K41" s="27" t="n"/>
      <c r="L41" s="28" t="inlineStr">
        <is>
          <t>No</t>
        </is>
      </c>
      <c r="M41" s="29">
        <f>IF(E41="","",IF(H41="Yes","❌ Disc",IF(G41="No","⚠ Missing",IF(J41="Yes","✓ OK","⚠ Check"))))</f>
        <v/>
      </c>
      <c r="N41" s="43" t="n">
        <v>46196</v>
      </c>
      <c r="O41" s="26" t="inlineStr">
        <is>
          <t>Sunil CR</t>
        </is>
      </c>
      <c r="P41" s="44" t="inlineStr">
        <is>
          <t>Represented by Sample</t>
        </is>
      </c>
      <c r="Q41" s="26" t="inlineStr">
        <is>
          <t>No</t>
        </is>
      </c>
      <c r="R41" s="44" t="inlineStr">
        <is>
          <t>Represented by Sample</t>
        </is>
      </c>
      <c r="S41" s="26" t="inlineStr">
        <is>
          <t>Yes</t>
        </is>
      </c>
      <c r="T41" s="27" t="n"/>
      <c r="U41" s="28" t="inlineStr">
        <is>
          <t>No</t>
        </is>
      </c>
      <c r="V41" s="29">
        <f>IF(N41="","",IF(Q41="Yes","❌ Disc",IF(P41="No","⚠ Missing",IF(S41="Yes","✓ OK","⚠ Check"))))</f>
        <v/>
      </c>
      <c r="W41" s="65" t="n">
        <v>46248</v>
      </c>
      <c r="X41" s="30" t="inlineStr">
        <is>
          <t>Sunil CR</t>
        </is>
      </c>
      <c r="Y41" s="30" t="inlineStr">
        <is>
          <t>Represented by Sample</t>
        </is>
      </c>
      <c r="Z41" s="30" t="n"/>
      <c r="AA41" s="30" t="inlineStr">
        <is>
          <t>Represented by Sample</t>
        </is>
      </c>
      <c r="AB41" s="30" t="inlineStr">
        <is>
          <t>Yes</t>
        </is>
      </c>
      <c r="AC41" s="27" t="n"/>
      <c r="AD41" s="31" t="inlineStr">
        <is>
          <t>No</t>
        </is>
      </c>
      <c r="AE41" s="32">
        <f>IF(W41="","",IF(Z41="Yes","❌ Disc",IF(Y41="No","⚠ Missing",IF(AB41="Yes","✓ OK","⚠ Check"))))</f>
        <v/>
      </c>
      <c r="AF41" s="33" t="n"/>
      <c r="AG41" s="33" t="n"/>
      <c r="AH41" s="33" t="n"/>
      <c r="AI41" s="33" t="n"/>
      <c r="AJ41" s="33" t="n"/>
      <c r="AK41" s="33" t="n"/>
      <c r="AL41" s="27" t="n"/>
      <c r="AM41" s="34" t="n"/>
      <c r="AN41" s="35">
        <f>IF(AF41="","",IF(AI41="Yes","❌ Disc",IF(AH41="No","⚠ Missing",IF(AK41="Yes","✓ OK","⚠ Check"))))</f>
        <v/>
      </c>
      <c r="AO41" s="36" t="n"/>
      <c r="AP41" s="36" t="n"/>
      <c r="AQ41" s="36" t="n"/>
      <c r="AR41" s="36" t="n"/>
      <c r="AS41" s="36" t="n"/>
      <c r="AT41" s="36" t="n"/>
      <c r="AU41" s="27" t="n"/>
      <c r="AV41" s="37" t="n"/>
      <c r="AW41" s="38">
        <f>IF(AO41="","",IF(AR41="Yes","❌ Disc",IF(AQ41="No","⚠ Missing",IF(AT41="Yes","✓ OK","⚠ Check"))))</f>
        <v/>
      </c>
    </row>
    <row r="42" ht="18" customHeight="1" s="46">
      <c r="A42" s="39" t="n">
        <v>38</v>
      </c>
      <c r="B42" s="40" t="inlineStr">
        <is>
          <t>BD-HNA-2025-0265</t>
        </is>
      </c>
      <c r="C42" s="41" t="inlineStr">
        <is>
          <t>Bonito Handles - C-4(N.H) - Copper and Black Concealed Handle  - 467mm</t>
        </is>
      </c>
      <c r="D42" s="39" t="inlineStr">
        <is>
          <t>Bonito Handles</t>
        </is>
      </c>
      <c r="E42" s="43" t="n">
        <v>46125</v>
      </c>
      <c r="F42" s="26" t="inlineStr">
        <is>
          <t>Sunil CR</t>
        </is>
      </c>
      <c r="G42" s="44" t="inlineStr">
        <is>
          <t>Represented by Sample</t>
        </is>
      </c>
      <c r="H42" s="26" t="inlineStr">
        <is>
          <t>No</t>
        </is>
      </c>
      <c r="I42" s="44" t="inlineStr">
        <is>
          <t>Represented by Sample</t>
        </is>
      </c>
      <c r="J42" s="26" t="inlineStr">
        <is>
          <t>Yes</t>
        </is>
      </c>
      <c r="K42" s="27" t="n"/>
      <c r="L42" s="28" t="inlineStr">
        <is>
          <t>No</t>
        </is>
      </c>
      <c r="M42" s="29">
        <f>IF(E42="","",IF(H42="Yes","❌ Disc",IF(G42="No","⚠ Missing",IF(J42="Yes","✓ OK","⚠ Check"))))</f>
        <v/>
      </c>
      <c r="N42" s="43" t="n">
        <v>46196</v>
      </c>
      <c r="O42" s="26" t="inlineStr">
        <is>
          <t>Sunil CR</t>
        </is>
      </c>
      <c r="P42" s="44" t="inlineStr">
        <is>
          <t>Represented by Sample</t>
        </is>
      </c>
      <c r="Q42" s="26" t="inlineStr">
        <is>
          <t>No</t>
        </is>
      </c>
      <c r="R42" s="44" t="inlineStr">
        <is>
          <t>Represented by Sample</t>
        </is>
      </c>
      <c r="S42" s="26" t="inlineStr">
        <is>
          <t>Yes</t>
        </is>
      </c>
      <c r="T42" s="27" t="n"/>
      <c r="U42" s="28" t="inlineStr">
        <is>
          <t>No</t>
        </is>
      </c>
      <c r="V42" s="29">
        <f>IF(N42="","",IF(Q42="Yes","❌ Disc",IF(P42="No","⚠ Missing",IF(S42="Yes","✓ OK","⚠ Check"))))</f>
        <v/>
      </c>
      <c r="W42" s="65" t="n">
        <v>46248</v>
      </c>
      <c r="X42" s="30" t="inlineStr">
        <is>
          <t>Sunil CR</t>
        </is>
      </c>
      <c r="Y42" s="30" t="inlineStr">
        <is>
          <t>Represented by Sample</t>
        </is>
      </c>
      <c r="Z42" s="30" t="n"/>
      <c r="AA42" s="30" t="inlineStr">
        <is>
          <t>Represented by Sample</t>
        </is>
      </c>
      <c r="AB42" s="30" t="inlineStr">
        <is>
          <t>Yes</t>
        </is>
      </c>
      <c r="AC42" s="27" t="n"/>
      <c r="AD42" s="31" t="inlineStr">
        <is>
          <t>No</t>
        </is>
      </c>
      <c r="AE42" s="32">
        <f>IF(W42="","",IF(Z42="Yes","❌ Disc",IF(Y42="No","⚠ Missing",IF(AB42="Yes","✓ OK","⚠ Check"))))</f>
        <v/>
      </c>
      <c r="AF42" s="33" t="n"/>
      <c r="AG42" s="33" t="n"/>
      <c r="AH42" s="33" t="n"/>
      <c r="AI42" s="33" t="n"/>
      <c r="AJ42" s="33" t="n"/>
      <c r="AK42" s="33" t="n"/>
      <c r="AL42" s="27" t="n"/>
      <c r="AM42" s="34" t="n"/>
      <c r="AN42" s="35">
        <f>IF(AF42="","",IF(AI42="Yes","❌ Disc",IF(AH42="No","⚠ Missing",IF(AK42="Yes","✓ OK","⚠ Check"))))</f>
        <v/>
      </c>
      <c r="AO42" s="36" t="n"/>
      <c r="AP42" s="36" t="n"/>
      <c r="AQ42" s="36" t="n"/>
      <c r="AR42" s="36" t="n"/>
      <c r="AS42" s="36" t="n"/>
      <c r="AT42" s="36" t="n"/>
      <c r="AU42" s="27" t="n"/>
      <c r="AV42" s="37" t="n"/>
      <c r="AW42" s="38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BD-HNA-2025-0266</t>
        </is>
      </c>
      <c r="C43" s="25" t="inlineStr">
        <is>
          <t>Bonito Handles - C-4(N.H) - Copper and Black Concealed Handle  - 594mm</t>
        </is>
      </c>
      <c r="D43" s="23" t="inlineStr">
        <is>
          <t>Bonito Handles</t>
        </is>
      </c>
      <c r="E43" s="43" t="n">
        <v>46125</v>
      </c>
      <c r="F43" s="26" t="inlineStr">
        <is>
          <t>Sunil CR</t>
        </is>
      </c>
      <c r="G43" s="44" t="inlineStr">
        <is>
          <t>Yes</t>
        </is>
      </c>
      <c r="H43" s="26" t="inlineStr">
        <is>
          <t>No</t>
        </is>
      </c>
      <c r="I43" s="44" t="inlineStr">
        <is>
          <t>Good finish</t>
        </is>
      </c>
      <c r="J43" s="26" t="inlineStr">
        <is>
          <t>Yes</t>
        </is>
      </c>
      <c r="K43" s="27" t="n"/>
      <c r="L43" s="28" t="inlineStr">
        <is>
          <t>No</t>
        </is>
      </c>
      <c r="M43" s="29">
        <f>IF(E43="","",IF(H43="Yes","❌ Disc",IF(G43="No","⚠ Missing",IF(J43="Yes","✓ OK","⚠ Check"))))</f>
        <v/>
      </c>
      <c r="N43" s="43" t="n">
        <v>46196</v>
      </c>
      <c r="O43" s="26" t="inlineStr">
        <is>
          <t>Sunil CR</t>
        </is>
      </c>
      <c r="P43" s="44" t="inlineStr">
        <is>
          <t>Yes</t>
        </is>
      </c>
      <c r="Q43" s="26" t="inlineStr">
        <is>
          <t>No</t>
        </is>
      </c>
      <c r="R43" s="44" t="inlineStr">
        <is>
          <t>Good finish</t>
        </is>
      </c>
      <c r="S43" s="26" t="inlineStr">
        <is>
          <t>Yes</t>
        </is>
      </c>
      <c r="T43" s="27" t="n"/>
      <c r="U43" s="28" t="inlineStr">
        <is>
          <t>No</t>
        </is>
      </c>
      <c r="V43" s="29">
        <f>IF(N43="","",IF(Q43="Yes","❌ Disc",IF(P43="No","⚠ Missing",IF(S43="Yes","✓ OK","⚠ Check"))))</f>
        <v/>
      </c>
      <c r="W43" s="65" t="n">
        <v>46248</v>
      </c>
      <c r="X43" s="30" t="inlineStr">
        <is>
          <t>Sunil CR</t>
        </is>
      </c>
      <c r="Y43" s="30" t="inlineStr">
        <is>
          <t>Yes</t>
        </is>
      </c>
      <c r="Z43" s="30" t="n"/>
      <c r="AA43" s="30" t="inlineStr">
        <is>
          <t>Good finish</t>
        </is>
      </c>
      <c r="AB43" s="30" t="inlineStr">
        <is>
          <t>Yes</t>
        </is>
      </c>
      <c r="AC43" s="27" t="n"/>
      <c r="AD43" s="31" t="inlineStr">
        <is>
          <t>No</t>
        </is>
      </c>
      <c r="AE43" s="32">
        <f>IF(W43="","",IF(Z43="Yes","❌ Disc",IF(Y43="No","⚠ Missing",IF(AB43="Yes","✓ OK","⚠ Check"))))</f>
        <v/>
      </c>
      <c r="AF43" s="33" t="n"/>
      <c r="AG43" s="33" t="n"/>
      <c r="AH43" s="33" t="n"/>
      <c r="AI43" s="33" t="n"/>
      <c r="AJ43" s="33" t="n"/>
      <c r="AK43" s="33" t="n"/>
      <c r="AL43" s="27" t="n"/>
      <c r="AM43" s="34" t="n"/>
      <c r="AN43" s="35">
        <f>IF(AF43="","",IF(AI43="Yes","❌ Disc",IF(AH43="No","⚠ Missing",IF(AK43="Yes","✓ OK","⚠ Check"))))</f>
        <v/>
      </c>
      <c r="AO43" s="36" t="n"/>
      <c r="AP43" s="36" t="n"/>
      <c r="AQ43" s="36" t="n"/>
      <c r="AR43" s="36" t="n"/>
      <c r="AS43" s="36" t="n"/>
      <c r="AT43" s="36" t="n"/>
      <c r="AU43" s="27" t="n"/>
      <c r="AV43" s="37" t="n"/>
      <c r="AW43" s="38">
        <f>IF(AO43="","",IF(AR43="Yes","❌ Disc",IF(AQ43="No","⚠ Missing",IF(AT43="Yes","✓ OK","⚠ Check"))))</f>
        <v/>
      </c>
    </row>
    <row r="44" ht="18" customHeight="1" s="46">
      <c r="A44" s="39" t="n">
        <v>40</v>
      </c>
      <c r="B44" s="40" t="inlineStr">
        <is>
          <t>BD-HNA-2025-0267</t>
        </is>
      </c>
      <c r="C44" s="41" t="inlineStr">
        <is>
          <t>Bonito Handles - CL-521(K.E-CH) - Antique and Gold Concealed Handle  - 130mm</t>
        </is>
      </c>
      <c r="D44" s="39" t="inlineStr">
        <is>
          <t>Bonito Handles</t>
        </is>
      </c>
      <c r="E44" s="43" t="n">
        <v>46125</v>
      </c>
      <c r="F44" s="26" t="inlineStr">
        <is>
          <t>Sunil CR</t>
        </is>
      </c>
      <c r="G44" s="44" t="inlineStr">
        <is>
          <t>Represented by Sample</t>
        </is>
      </c>
      <c r="H44" s="26" t="inlineStr">
        <is>
          <t>No</t>
        </is>
      </c>
      <c r="I44" s="44" t="inlineStr">
        <is>
          <t>Represented by Sample</t>
        </is>
      </c>
      <c r="J44" s="26" t="inlineStr">
        <is>
          <t>Yes</t>
        </is>
      </c>
      <c r="K44" s="27" t="n"/>
      <c r="L44" s="28" t="inlineStr">
        <is>
          <t>No</t>
        </is>
      </c>
      <c r="M44" s="29">
        <f>IF(E44="","",IF(H44="Yes","❌ Disc",IF(G44="No","⚠ Missing",IF(J44="Yes","✓ OK","⚠ Check"))))</f>
        <v/>
      </c>
      <c r="N44" s="43" t="n">
        <v>46196</v>
      </c>
      <c r="O44" s="26" t="inlineStr">
        <is>
          <t>Sunil CR</t>
        </is>
      </c>
      <c r="P44" s="44" t="inlineStr">
        <is>
          <t>Represented by Sample</t>
        </is>
      </c>
      <c r="Q44" s="26" t="inlineStr">
        <is>
          <t>No</t>
        </is>
      </c>
      <c r="R44" s="44" t="inlineStr">
        <is>
          <t>Represented by Sample</t>
        </is>
      </c>
      <c r="S44" s="26" t="inlineStr">
        <is>
          <t>Yes</t>
        </is>
      </c>
      <c r="T44" s="27" t="n"/>
      <c r="U44" s="28" t="inlineStr">
        <is>
          <t>No</t>
        </is>
      </c>
      <c r="V44" s="29">
        <f>IF(N44="","",IF(Q44="Yes","❌ Disc",IF(P44="No","⚠ Missing",IF(S44="Yes","✓ OK","⚠ Check"))))</f>
        <v/>
      </c>
      <c r="W44" s="65" t="n">
        <v>46248</v>
      </c>
      <c r="X44" s="30" t="inlineStr">
        <is>
          <t>Sunil CR</t>
        </is>
      </c>
      <c r="Y44" s="30" t="inlineStr">
        <is>
          <t>Represented by Sample</t>
        </is>
      </c>
      <c r="Z44" s="30" t="n"/>
      <c r="AA44" s="30" t="inlineStr">
        <is>
          <t>Represented by Sample</t>
        </is>
      </c>
      <c r="AB44" s="30" t="inlineStr">
        <is>
          <t>Yes</t>
        </is>
      </c>
      <c r="AC44" s="27" t="n"/>
      <c r="AD44" s="31" t="inlineStr">
        <is>
          <t>No</t>
        </is>
      </c>
      <c r="AE44" s="32">
        <f>IF(W44="","",IF(Z44="Yes","❌ Disc",IF(Y44="No","⚠ Missing",IF(AB44="Yes","✓ OK","⚠ Check"))))</f>
        <v/>
      </c>
      <c r="AF44" s="33" t="n"/>
      <c r="AG44" s="33" t="n"/>
      <c r="AH44" s="33" t="n"/>
      <c r="AI44" s="33" t="n"/>
      <c r="AJ44" s="33" t="n"/>
      <c r="AK44" s="33" t="n"/>
      <c r="AL44" s="27" t="n"/>
      <c r="AM44" s="34" t="n"/>
      <c r="AN44" s="35">
        <f>IF(AF44="","",IF(AI44="Yes","❌ Disc",IF(AH44="No","⚠ Missing",IF(AK44="Yes","✓ OK","⚠ Check"))))</f>
        <v/>
      </c>
      <c r="AO44" s="36" t="n"/>
      <c r="AP44" s="36" t="n"/>
      <c r="AQ44" s="36" t="n"/>
      <c r="AR44" s="36" t="n"/>
      <c r="AS44" s="36" t="n"/>
      <c r="AT44" s="36" t="n"/>
      <c r="AU44" s="27" t="n"/>
      <c r="AV44" s="37" t="n"/>
      <c r="AW44" s="38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BD-HNA-2025-0268</t>
        </is>
      </c>
      <c r="C45" s="25" t="inlineStr">
        <is>
          <t>Bonito Handles - CL-521(K.E-CH) - Antique and Gold Concealed Handle  - 193mm</t>
        </is>
      </c>
      <c r="D45" s="23" t="inlineStr">
        <is>
          <t>Bonito Handles</t>
        </is>
      </c>
      <c r="E45" s="43" t="n">
        <v>46125</v>
      </c>
      <c r="F45" s="26" t="inlineStr">
        <is>
          <t>Sunil CR</t>
        </is>
      </c>
      <c r="G45" s="44" t="inlineStr">
        <is>
          <t>Represented by Sample</t>
        </is>
      </c>
      <c r="H45" s="26" t="inlineStr">
        <is>
          <t>No</t>
        </is>
      </c>
      <c r="I45" s="44" t="inlineStr">
        <is>
          <t>Represented by Sample</t>
        </is>
      </c>
      <c r="J45" s="26" t="inlineStr">
        <is>
          <t>Yes</t>
        </is>
      </c>
      <c r="K45" s="27" t="n"/>
      <c r="L45" s="28" t="inlineStr">
        <is>
          <t>No</t>
        </is>
      </c>
      <c r="M45" s="29">
        <f>IF(E45="","",IF(H45="Yes","❌ Disc",IF(G45="No","⚠ Missing",IF(J45="Yes","✓ OK","⚠ Check"))))</f>
        <v/>
      </c>
      <c r="N45" s="43" t="n">
        <v>46196</v>
      </c>
      <c r="O45" s="26" t="inlineStr">
        <is>
          <t>Sunil CR</t>
        </is>
      </c>
      <c r="P45" s="44" t="inlineStr">
        <is>
          <t>Represented by Sample</t>
        </is>
      </c>
      <c r="Q45" s="26" t="inlineStr">
        <is>
          <t>No</t>
        </is>
      </c>
      <c r="R45" s="44" t="inlineStr">
        <is>
          <t>Represented by Sample</t>
        </is>
      </c>
      <c r="S45" s="26" t="inlineStr">
        <is>
          <t>Yes</t>
        </is>
      </c>
      <c r="T45" s="27" t="n"/>
      <c r="U45" s="28" t="inlineStr">
        <is>
          <t>No</t>
        </is>
      </c>
      <c r="V45" s="29">
        <f>IF(N45="","",IF(Q45="Yes","❌ Disc",IF(P45="No","⚠ Missing",IF(S45="Yes","✓ OK","⚠ Check"))))</f>
        <v/>
      </c>
      <c r="W45" s="65" t="n">
        <v>46248</v>
      </c>
      <c r="X45" s="30" t="inlineStr">
        <is>
          <t>Sunil CR</t>
        </is>
      </c>
      <c r="Y45" s="30" t="inlineStr">
        <is>
          <t>Represented by Sample</t>
        </is>
      </c>
      <c r="Z45" s="30" t="n"/>
      <c r="AA45" s="30" t="inlineStr">
        <is>
          <t>Represented by Sample</t>
        </is>
      </c>
      <c r="AB45" s="30" t="inlineStr">
        <is>
          <t>Yes</t>
        </is>
      </c>
      <c r="AC45" s="27" t="n"/>
      <c r="AD45" s="31" t="inlineStr">
        <is>
          <t>No</t>
        </is>
      </c>
      <c r="AE45" s="32">
        <f>IF(W45="","",IF(Z45="Yes","❌ Disc",IF(Y45="No","⚠ Missing",IF(AB45="Yes","✓ OK","⚠ Check"))))</f>
        <v/>
      </c>
      <c r="AF45" s="33" t="n"/>
      <c r="AG45" s="33" t="n"/>
      <c r="AH45" s="33" t="n"/>
      <c r="AI45" s="33" t="n"/>
      <c r="AJ45" s="33" t="n"/>
      <c r="AK45" s="33" t="n"/>
      <c r="AL45" s="27" t="n"/>
      <c r="AM45" s="34" t="n"/>
      <c r="AN45" s="35">
        <f>IF(AF45="","",IF(AI45="Yes","❌ Disc",IF(AH45="No","⚠ Missing",IF(AK45="Yes","✓ OK","⚠ Check"))))</f>
        <v/>
      </c>
      <c r="AO45" s="36" t="n"/>
      <c r="AP45" s="36" t="n"/>
      <c r="AQ45" s="36" t="n"/>
      <c r="AR45" s="36" t="n"/>
      <c r="AS45" s="36" t="n"/>
      <c r="AT45" s="36" t="n"/>
      <c r="AU45" s="27" t="n"/>
      <c r="AV45" s="37" t="n"/>
      <c r="AW45" s="38">
        <f>IF(AO45="","",IF(AR45="Yes","❌ Disc",IF(AQ45="No","⚠ Missing",IF(AT45="Yes","✓ OK","⚠ Check"))))</f>
        <v/>
      </c>
    </row>
    <row r="46" ht="18" customHeight="1" s="46">
      <c r="A46" s="39" t="n">
        <v>42</v>
      </c>
      <c r="B46" s="40" t="inlineStr">
        <is>
          <t>BD-HNA-2025-0269</t>
        </is>
      </c>
      <c r="C46" s="41" t="inlineStr">
        <is>
          <t>Bonito Handles - CL-521(K.E-CH) - Antique and Gold Concealed Handle  - 257mm</t>
        </is>
      </c>
      <c r="D46" s="39" t="inlineStr">
        <is>
          <t>Bonito Handles</t>
        </is>
      </c>
      <c r="E46" s="43" t="n">
        <v>46125</v>
      </c>
      <c r="F46" s="26" t="inlineStr">
        <is>
          <t>Sunil CR</t>
        </is>
      </c>
      <c r="G46" s="44" t="inlineStr">
        <is>
          <t>Represented by Sample</t>
        </is>
      </c>
      <c r="H46" s="26" t="inlineStr">
        <is>
          <t>No</t>
        </is>
      </c>
      <c r="I46" s="44" t="inlineStr">
        <is>
          <t>Represented by Sample</t>
        </is>
      </c>
      <c r="J46" s="26" t="inlineStr">
        <is>
          <t>Yes</t>
        </is>
      </c>
      <c r="K46" s="27" t="n"/>
      <c r="L46" s="28" t="inlineStr">
        <is>
          <t>No</t>
        </is>
      </c>
      <c r="M46" s="29">
        <f>IF(E46="","",IF(H46="Yes","❌ Disc",IF(G46="No","⚠ Missing",IF(J46="Yes","✓ OK","⚠ Check"))))</f>
        <v/>
      </c>
      <c r="N46" s="43" t="n">
        <v>46196</v>
      </c>
      <c r="O46" s="26" t="inlineStr">
        <is>
          <t>Sunil CR</t>
        </is>
      </c>
      <c r="P46" s="44" t="inlineStr">
        <is>
          <t>Represented by Sample</t>
        </is>
      </c>
      <c r="Q46" s="26" t="inlineStr">
        <is>
          <t>No</t>
        </is>
      </c>
      <c r="R46" s="44" t="inlineStr">
        <is>
          <t>Represented by Sample</t>
        </is>
      </c>
      <c r="S46" s="26" t="inlineStr">
        <is>
          <t>Yes</t>
        </is>
      </c>
      <c r="T46" s="27" t="n"/>
      <c r="U46" s="28" t="inlineStr">
        <is>
          <t>No</t>
        </is>
      </c>
      <c r="V46" s="29">
        <f>IF(N46="","",IF(Q46="Yes","❌ Disc",IF(P46="No","⚠ Missing",IF(S46="Yes","✓ OK","⚠ Check"))))</f>
        <v/>
      </c>
      <c r="W46" s="65" t="n">
        <v>46248</v>
      </c>
      <c r="X46" s="30" t="inlineStr">
        <is>
          <t>Sunil CR</t>
        </is>
      </c>
      <c r="Y46" s="30" t="inlineStr">
        <is>
          <t>Represented by Sample</t>
        </is>
      </c>
      <c r="Z46" s="30" t="n"/>
      <c r="AA46" s="30" t="inlineStr">
        <is>
          <t>Represented by Sample</t>
        </is>
      </c>
      <c r="AB46" s="30" t="inlineStr">
        <is>
          <t>Yes</t>
        </is>
      </c>
      <c r="AC46" s="27" t="n"/>
      <c r="AD46" s="31" t="inlineStr">
        <is>
          <t>No</t>
        </is>
      </c>
      <c r="AE46" s="32">
        <f>IF(W46="","",IF(Z46="Yes","❌ Disc",IF(Y46="No","⚠ Missing",IF(AB46="Yes","✓ OK","⚠ Check"))))</f>
        <v/>
      </c>
      <c r="AF46" s="33" t="n"/>
      <c r="AG46" s="33" t="n"/>
      <c r="AH46" s="33" t="n"/>
      <c r="AI46" s="33" t="n"/>
      <c r="AJ46" s="33" t="n"/>
      <c r="AK46" s="33" t="n"/>
      <c r="AL46" s="27" t="n"/>
      <c r="AM46" s="34" t="n"/>
      <c r="AN46" s="35">
        <f>IF(AF46="","",IF(AI46="Yes","❌ Disc",IF(AH46="No","⚠ Missing",IF(AK46="Yes","✓ OK","⚠ Check"))))</f>
        <v/>
      </c>
      <c r="AO46" s="36" t="n"/>
      <c r="AP46" s="36" t="n"/>
      <c r="AQ46" s="36" t="n"/>
      <c r="AR46" s="36" t="n"/>
      <c r="AS46" s="36" t="n"/>
      <c r="AT46" s="36" t="n"/>
      <c r="AU46" s="27" t="n"/>
      <c r="AV46" s="37" t="n"/>
      <c r="AW46" s="38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BD-HNA-2025-0273</t>
        </is>
      </c>
      <c r="C47" s="25" t="inlineStr">
        <is>
          <t>Bonito Handles - CL-521(K.E-CH) - Black Concealed Handle  - 130mm</t>
        </is>
      </c>
      <c r="D47" s="23" t="inlineStr">
        <is>
          <t>Bonito Handles</t>
        </is>
      </c>
      <c r="E47" s="43" t="n">
        <v>46125</v>
      </c>
      <c r="F47" s="26" t="inlineStr">
        <is>
          <t>Sunil CR</t>
        </is>
      </c>
      <c r="G47" s="44" t="inlineStr">
        <is>
          <t>Represented by Sample</t>
        </is>
      </c>
      <c r="H47" s="26" t="inlineStr">
        <is>
          <t>No</t>
        </is>
      </c>
      <c r="I47" s="44" t="inlineStr">
        <is>
          <t>Represented by Sample</t>
        </is>
      </c>
      <c r="J47" s="26" t="inlineStr">
        <is>
          <t>Yes</t>
        </is>
      </c>
      <c r="K47" s="27" t="n"/>
      <c r="L47" s="28" t="inlineStr">
        <is>
          <t>No</t>
        </is>
      </c>
      <c r="M47" s="29">
        <f>IF(E47="","",IF(H47="Yes","❌ Disc",IF(G47="No","⚠ Missing",IF(J47="Yes","✓ OK","⚠ Check"))))</f>
        <v/>
      </c>
      <c r="N47" s="43" t="n">
        <v>46196</v>
      </c>
      <c r="O47" s="26" t="inlineStr">
        <is>
          <t>Sunil CR</t>
        </is>
      </c>
      <c r="P47" s="44" t="inlineStr">
        <is>
          <t>Represented by Sample</t>
        </is>
      </c>
      <c r="Q47" s="26" t="inlineStr">
        <is>
          <t>No</t>
        </is>
      </c>
      <c r="R47" s="44" t="inlineStr">
        <is>
          <t>Represented by Sample</t>
        </is>
      </c>
      <c r="S47" s="26" t="inlineStr">
        <is>
          <t>Yes</t>
        </is>
      </c>
      <c r="T47" s="27" t="n"/>
      <c r="U47" s="28" t="inlineStr">
        <is>
          <t>No</t>
        </is>
      </c>
      <c r="V47" s="29">
        <f>IF(N47="","",IF(Q47="Yes","❌ Disc",IF(P47="No","⚠ Missing",IF(S47="Yes","✓ OK","⚠ Check"))))</f>
        <v/>
      </c>
      <c r="W47" s="65" t="n">
        <v>46248</v>
      </c>
      <c r="X47" s="30" t="inlineStr">
        <is>
          <t>Sunil CR</t>
        </is>
      </c>
      <c r="Y47" s="30" t="inlineStr">
        <is>
          <t>Represented by Sample</t>
        </is>
      </c>
      <c r="Z47" s="30" t="n"/>
      <c r="AA47" s="30" t="inlineStr">
        <is>
          <t>Represented by Sample</t>
        </is>
      </c>
      <c r="AB47" s="30" t="inlineStr">
        <is>
          <t>Yes</t>
        </is>
      </c>
      <c r="AC47" s="27" t="n"/>
      <c r="AD47" s="31" t="inlineStr">
        <is>
          <t>No</t>
        </is>
      </c>
      <c r="AE47" s="32">
        <f>IF(W47="","",IF(Z47="Yes","❌ Disc",IF(Y47="No","⚠ Missing",IF(AB47="Yes","✓ OK","⚠ Check"))))</f>
        <v/>
      </c>
      <c r="AF47" s="33" t="n"/>
      <c r="AG47" s="33" t="n"/>
      <c r="AH47" s="33" t="n"/>
      <c r="AI47" s="33" t="n"/>
      <c r="AJ47" s="33" t="n"/>
      <c r="AK47" s="33" t="n"/>
      <c r="AL47" s="27" t="n"/>
      <c r="AM47" s="34" t="n"/>
      <c r="AN47" s="35">
        <f>IF(AF47="","",IF(AI47="Yes","❌ Disc",IF(AH47="No","⚠ Missing",IF(AK47="Yes","✓ OK","⚠ Check"))))</f>
        <v/>
      </c>
      <c r="AO47" s="36" t="n"/>
      <c r="AP47" s="36" t="n"/>
      <c r="AQ47" s="36" t="n"/>
      <c r="AR47" s="36" t="n"/>
      <c r="AS47" s="36" t="n"/>
      <c r="AT47" s="36" t="n"/>
      <c r="AU47" s="27" t="n"/>
      <c r="AV47" s="37" t="n"/>
      <c r="AW47" s="38">
        <f>IF(AO47="","",IF(AR47="Yes","❌ Disc",IF(AQ47="No","⚠ Missing",IF(AT47="Yes","✓ OK","⚠ Check"))))</f>
        <v/>
      </c>
    </row>
    <row r="48" ht="18" customHeight="1" s="46">
      <c r="A48" s="39" t="n">
        <v>44</v>
      </c>
      <c r="B48" s="40" t="inlineStr">
        <is>
          <t>BD-HNA-2025-0274</t>
        </is>
      </c>
      <c r="C48" s="41" t="inlineStr">
        <is>
          <t>Bonito Handles - CL-521(K.E-CH) - Black Concealed Handle  - 193mm</t>
        </is>
      </c>
      <c r="D48" s="39" t="inlineStr">
        <is>
          <t>Bonito Handles</t>
        </is>
      </c>
      <c r="E48" s="43" t="n">
        <v>46125</v>
      </c>
      <c r="F48" s="26" t="inlineStr">
        <is>
          <t>Sunil CR</t>
        </is>
      </c>
      <c r="G48" s="44" t="inlineStr">
        <is>
          <t>Represented by Sample</t>
        </is>
      </c>
      <c r="H48" s="26" t="inlineStr">
        <is>
          <t>No</t>
        </is>
      </c>
      <c r="I48" s="44" t="inlineStr">
        <is>
          <t>Represented by Sample</t>
        </is>
      </c>
      <c r="J48" s="26" t="inlineStr">
        <is>
          <t>Yes</t>
        </is>
      </c>
      <c r="K48" s="27" t="n"/>
      <c r="L48" s="28" t="inlineStr">
        <is>
          <t>No</t>
        </is>
      </c>
      <c r="M48" s="29">
        <f>IF(E48="","",IF(H48="Yes","❌ Disc",IF(G48="No","⚠ Missing",IF(J48="Yes","✓ OK","⚠ Check"))))</f>
        <v/>
      </c>
      <c r="N48" s="43" t="n">
        <v>46196</v>
      </c>
      <c r="O48" s="26" t="inlineStr">
        <is>
          <t>Sunil CR</t>
        </is>
      </c>
      <c r="P48" s="44" t="inlineStr">
        <is>
          <t>Represented by Sample</t>
        </is>
      </c>
      <c r="Q48" s="26" t="inlineStr">
        <is>
          <t>No</t>
        </is>
      </c>
      <c r="R48" s="44" t="inlineStr">
        <is>
          <t>Represented by Sample</t>
        </is>
      </c>
      <c r="S48" s="26" t="inlineStr">
        <is>
          <t>Yes</t>
        </is>
      </c>
      <c r="T48" s="27" t="n"/>
      <c r="U48" s="28" t="inlineStr">
        <is>
          <t>No</t>
        </is>
      </c>
      <c r="V48" s="29">
        <f>IF(N48="","",IF(Q48="Yes","❌ Disc",IF(P48="No","⚠ Missing",IF(S48="Yes","✓ OK","⚠ Check"))))</f>
        <v/>
      </c>
      <c r="W48" s="65" t="n">
        <v>46248</v>
      </c>
      <c r="X48" s="30" t="inlineStr">
        <is>
          <t>Sunil CR</t>
        </is>
      </c>
      <c r="Y48" s="30" t="inlineStr">
        <is>
          <t>Represented by Sample</t>
        </is>
      </c>
      <c r="Z48" s="30" t="n"/>
      <c r="AA48" s="30" t="inlineStr">
        <is>
          <t>Represented by Sample</t>
        </is>
      </c>
      <c r="AB48" s="30" t="inlineStr">
        <is>
          <t>Yes</t>
        </is>
      </c>
      <c r="AC48" s="27" t="n"/>
      <c r="AD48" s="31" t="inlineStr">
        <is>
          <t>No</t>
        </is>
      </c>
      <c r="AE48" s="32">
        <f>IF(W48="","",IF(Z48="Yes","❌ Disc",IF(Y48="No","⚠ Missing",IF(AB48="Yes","✓ OK","⚠ Check"))))</f>
        <v/>
      </c>
      <c r="AF48" s="33" t="n"/>
      <c r="AG48" s="33" t="n"/>
      <c r="AH48" s="33" t="n"/>
      <c r="AI48" s="33" t="n"/>
      <c r="AJ48" s="33" t="n"/>
      <c r="AK48" s="33" t="n"/>
      <c r="AL48" s="27" t="n"/>
      <c r="AM48" s="34" t="n"/>
      <c r="AN48" s="35">
        <f>IF(AF48="","",IF(AI48="Yes","❌ Disc",IF(AH48="No","⚠ Missing",IF(AK48="Yes","✓ OK","⚠ Check"))))</f>
        <v/>
      </c>
      <c r="AO48" s="36" t="n"/>
      <c r="AP48" s="36" t="n"/>
      <c r="AQ48" s="36" t="n"/>
      <c r="AR48" s="36" t="n"/>
      <c r="AS48" s="36" t="n"/>
      <c r="AT48" s="36" t="n"/>
      <c r="AU48" s="27" t="n"/>
      <c r="AV48" s="37" t="n"/>
      <c r="AW48" s="38">
        <f>IF(AO48="","",IF(AR48="Yes","❌ Disc",IF(AQ48="No","⚠ Missing",IF(AT48="Yes","✓ OK","⚠ Check"))))</f>
        <v/>
      </c>
    </row>
    <row r="49" ht="18" customHeight="1" s="46">
      <c r="A49" s="23" t="n">
        <v>45</v>
      </c>
      <c r="B49" s="24" t="inlineStr">
        <is>
          <t>BD-HNA-2025-0275</t>
        </is>
      </c>
      <c r="C49" s="25" t="inlineStr">
        <is>
          <t>Bonito Handles - CL-521(K.E-CH) - Black Concealed Handle  - 257mm</t>
        </is>
      </c>
      <c r="D49" s="23" t="inlineStr">
        <is>
          <t>Bonito Handles</t>
        </is>
      </c>
      <c r="E49" s="43" t="n">
        <v>46125</v>
      </c>
      <c r="F49" s="26" t="inlineStr">
        <is>
          <t>Sunil CR</t>
        </is>
      </c>
      <c r="G49" s="44" t="inlineStr">
        <is>
          <t>Represented by Sample</t>
        </is>
      </c>
      <c r="H49" s="26" t="inlineStr">
        <is>
          <t>No</t>
        </is>
      </c>
      <c r="I49" s="44" t="inlineStr">
        <is>
          <t>Represented by Sample</t>
        </is>
      </c>
      <c r="J49" s="26" t="inlineStr">
        <is>
          <t>Yes</t>
        </is>
      </c>
      <c r="K49" s="27" t="n"/>
      <c r="L49" s="28" t="inlineStr">
        <is>
          <t>No</t>
        </is>
      </c>
      <c r="M49" s="29">
        <f>IF(E49="","",IF(H49="Yes","❌ Disc",IF(G49="No","⚠ Missing",IF(J49="Yes","✓ OK","⚠ Check"))))</f>
        <v/>
      </c>
      <c r="N49" s="43" t="n">
        <v>46196</v>
      </c>
      <c r="O49" s="26" t="inlineStr">
        <is>
          <t>Sunil CR</t>
        </is>
      </c>
      <c r="P49" s="44" t="inlineStr">
        <is>
          <t>Represented by Sample</t>
        </is>
      </c>
      <c r="Q49" s="26" t="inlineStr">
        <is>
          <t>No</t>
        </is>
      </c>
      <c r="R49" s="44" t="inlineStr">
        <is>
          <t>Represented by Sample</t>
        </is>
      </c>
      <c r="S49" s="26" t="inlineStr">
        <is>
          <t>Yes</t>
        </is>
      </c>
      <c r="T49" s="27" t="n"/>
      <c r="U49" s="28" t="inlineStr">
        <is>
          <t>No</t>
        </is>
      </c>
      <c r="V49" s="29">
        <f>IF(N49="","",IF(Q49="Yes","❌ Disc",IF(P49="No","⚠ Missing",IF(S49="Yes","✓ OK","⚠ Check"))))</f>
        <v/>
      </c>
      <c r="W49" s="65" t="n">
        <v>46248</v>
      </c>
      <c r="X49" s="30" t="inlineStr">
        <is>
          <t>Sunil CR</t>
        </is>
      </c>
      <c r="Y49" s="30" t="inlineStr">
        <is>
          <t>Represented by Sample</t>
        </is>
      </c>
      <c r="Z49" s="30" t="n"/>
      <c r="AA49" s="30" t="inlineStr">
        <is>
          <t>Represented by Sample</t>
        </is>
      </c>
      <c r="AB49" s="30" t="inlineStr">
        <is>
          <t>Yes</t>
        </is>
      </c>
      <c r="AC49" s="27" t="n"/>
      <c r="AD49" s="31" t="inlineStr">
        <is>
          <t>No</t>
        </is>
      </c>
      <c r="AE49" s="32">
        <f>IF(W49="","",IF(Z49="Yes","❌ Disc",IF(Y49="No","⚠ Missing",IF(AB49="Yes","✓ OK","⚠ Check"))))</f>
        <v/>
      </c>
      <c r="AF49" s="33" t="n"/>
      <c r="AG49" s="33" t="n"/>
      <c r="AH49" s="33" t="n"/>
      <c r="AI49" s="33" t="n"/>
      <c r="AJ49" s="33" t="n"/>
      <c r="AK49" s="33" t="n"/>
      <c r="AL49" s="27" t="n"/>
      <c r="AM49" s="34" t="n"/>
      <c r="AN49" s="35">
        <f>IF(AF49="","",IF(AI49="Yes","❌ Disc",IF(AH49="No","⚠ Missing",IF(AK49="Yes","✓ OK","⚠ Check"))))</f>
        <v/>
      </c>
      <c r="AO49" s="36" t="n"/>
      <c r="AP49" s="36" t="n"/>
      <c r="AQ49" s="36" t="n"/>
      <c r="AR49" s="36" t="n"/>
      <c r="AS49" s="36" t="n"/>
      <c r="AT49" s="36" t="n"/>
      <c r="AU49" s="27" t="n"/>
      <c r="AV49" s="37" t="n"/>
      <c r="AW49" s="38">
        <f>IF(AO49="","",IF(AR49="Yes","❌ Disc",IF(AQ49="No","⚠ Missing",IF(AT49="Yes","✓ OK","⚠ Check"))))</f>
        <v/>
      </c>
    </row>
    <row r="50" ht="18" customHeight="1" s="46">
      <c r="A50" s="39" t="n">
        <v>46</v>
      </c>
      <c r="B50" s="40" t="inlineStr">
        <is>
          <t>BD-HNA-2025-0270</t>
        </is>
      </c>
      <c r="C50" s="41" t="inlineStr">
        <is>
          <t>Bonito Handles - CL-521(K.E-CH) - Rose Gold Concealed Handle  - 130mm</t>
        </is>
      </c>
      <c r="D50" s="39" t="inlineStr">
        <is>
          <t>Bonito Handles</t>
        </is>
      </c>
      <c r="E50" s="43" t="n">
        <v>46125</v>
      </c>
      <c r="F50" s="26" t="inlineStr">
        <is>
          <t>Sunil CR</t>
        </is>
      </c>
      <c r="G50" s="44" t="inlineStr">
        <is>
          <t>Represented by Sample</t>
        </is>
      </c>
      <c r="H50" s="26" t="inlineStr">
        <is>
          <t>No</t>
        </is>
      </c>
      <c r="I50" s="44" t="inlineStr">
        <is>
          <t>Represented by Sample</t>
        </is>
      </c>
      <c r="J50" s="26" t="inlineStr">
        <is>
          <t>Yes</t>
        </is>
      </c>
      <c r="K50" s="27" t="n"/>
      <c r="L50" s="28" t="inlineStr">
        <is>
          <t>No</t>
        </is>
      </c>
      <c r="M50" s="29">
        <f>IF(E50="","",IF(H50="Yes","❌ Disc",IF(G50="No","⚠ Missing",IF(J50="Yes","✓ OK","⚠ Check"))))</f>
        <v/>
      </c>
      <c r="N50" s="43" t="n">
        <v>46196</v>
      </c>
      <c r="O50" s="26" t="inlineStr">
        <is>
          <t>Sunil CR</t>
        </is>
      </c>
      <c r="P50" s="44" t="inlineStr">
        <is>
          <t>Represented by Sample</t>
        </is>
      </c>
      <c r="Q50" s="26" t="inlineStr">
        <is>
          <t>No</t>
        </is>
      </c>
      <c r="R50" s="44" t="inlineStr">
        <is>
          <t>Represented by Sample</t>
        </is>
      </c>
      <c r="S50" s="26" t="inlineStr">
        <is>
          <t>Yes</t>
        </is>
      </c>
      <c r="T50" s="27" t="n"/>
      <c r="U50" s="28" t="inlineStr">
        <is>
          <t>No</t>
        </is>
      </c>
      <c r="V50" s="29">
        <f>IF(N50="","",IF(Q50="Yes","❌ Disc",IF(P50="No","⚠ Missing",IF(S50="Yes","✓ OK","⚠ Check"))))</f>
        <v/>
      </c>
      <c r="W50" s="65" t="n">
        <v>46248</v>
      </c>
      <c r="X50" s="30" t="inlineStr">
        <is>
          <t>Sunil CR</t>
        </is>
      </c>
      <c r="Y50" s="30" t="inlineStr">
        <is>
          <t>Represented by Sample</t>
        </is>
      </c>
      <c r="Z50" s="30" t="n"/>
      <c r="AA50" s="30" t="inlineStr">
        <is>
          <t>Represented by Sample</t>
        </is>
      </c>
      <c r="AB50" s="30" t="inlineStr">
        <is>
          <t>Yes</t>
        </is>
      </c>
      <c r="AC50" s="27" t="n"/>
      <c r="AD50" s="31" t="inlineStr">
        <is>
          <t>No</t>
        </is>
      </c>
      <c r="AE50" s="32">
        <f>IF(W50="","",IF(Z50="Yes","❌ Disc",IF(Y50="No","⚠ Missing",IF(AB50="Yes","✓ OK","⚠ Check"))))</f>
        <v/>
      </c>
      <c r="AF50" s="33" t="n"/>
      <c r="AG50" s="33" t="n"/>
      <c r="AH50" s="33" t="n"/>
      <c r="AI50" s="33" t="n"/>
      <c r="AJ50" s="33" t="n"/>
      <c r="AK50" s="33" t="n"/>
      <c r="AL50" s="27" t="n"/>
      <c r="AM50" s="34" t="n"/>
      <c r="AN50" s="35">
        <f>IF(AF50="","",IF(AI50="Yes","❌ Disc",IF(AH50="No","⚠ Missing",IF(AK50="Yes","✓ OK","⚠ Check"))))</f>
        <v/>
      </c>
      <c r="AO50" s="36" t="n"/>
      <c r="AP50" s="36" t="n"/>
      <c r="AQ50" s="36" t="n"/>
      <c r="AR50" s="36" t="n"/>
      <c r="AS50" s="36" t="n"/>
      <c r="AT50" s="36" t="n"/>
      <c r="AU50" s="27" t="n"/>
      <c r="AV50" s="37" t="n"/>
      <c r="AW50" s="38">
        <f>IF(AO50="","",IF(AR50="Yes","❌ Disc",IF(AQ50="No","⚠ Missing",IF(AT50="Yes","✓ OK","⚠ Check"))))</f>
        <v/>
      </c>
    </row>
    <row r="51" ht="18" customHeight="1" s="46">
      <c r="A51" s="23" t="n">
        <v>47</v>
      </c>
      <c r="B51" s="24" t="inlineStr">
        <is>
          <t>BD-HNA-2025-0271</t>
        </is>
      </c>
      <c r="C51" s="25" t="inlineStr">
        <is>
          <t>Bonito Handles - CL-521(K.E-CH) - Rose Gold Concealed Handle  - 193mm</t>
        </is>
      </c>
      <c r="D51" s="23" t="inlineStr">
        <is>
          <t>Bonito Handles</t>
        </is>
      </c>
      <c r="E51" s="43" t="n">
        <v>46125</v>
      </c>
      <c r="F51" s="26" t="inlineStr">
        <is>
          <t>Sunil CR</t>
        </is>
      </c>
      <c r="G51" s="44" t="inlineStr">
        <is>
          <t>Yes</t>
        </is>
      </c>
      <c r="H51" s="26" t="inlineStr">
        <is>
          <t>No</t>
        </is>
      </c>
      <c r="I51" s="44" t="inlineStr">
        <is>
          <t>Good finish</t>
        </is>
      </c>
      <c r="J51" s="26" t="inlineStr">
        <is>
          <t>Yes</t>
        </is>
      </c>
      <c r="K51" s="27" t="n"/>
      <c r="L51" s="28" t="inlineStr">
        <is>
          <t>No</t>
        </is>
      </c>
      <c r="M51" s="29">
        <f>IF(E51="","",IF(H51="Yes","❌ Disc",IF(G51="No","⚠ Missing",IF(J51="Yes","✓ OK","⚠ Check"))))</f>
        <v/>
      </c>
      <c r="N51" s="43" t="n">
        <v>46196</v>
      </c>
      <c r="O51" s="26" t="inlineStr">
        <is>
          <t>Sunil CR</t>
        </is>
      </c>
      <c r="P51" s="44" t="inlineStr">
        <is>
          <t>Yes</t>
        </is>
      </c>
      <c r="Q51" s="26" t="inlineStr">
        <is>
          <t>No</t>
        </is>
      </c>
      <c r="R51" s="44" t="inlineStr">
        <is>
          <t>Good finish</t>
        </is>
      </c>
      <c r="S51" s="26" t="inlineStr">
        <is>
          <t>Yes</t>
        </is>
      </c>
      <c r="T51" s="27" t="n"/>
      <c r="U51" s="28" t="inlineStr">
        <is>
          <t>No</t>
        </is>
      </c>
      <c r="V51" s="29">
        <f>IF(N51="","",IF(Q51="Yes","❌ Disc",IF(P51="No","⚠ Missing",IF(S51="Yes","✓ OK","⚠ Check"))))</f>
        <v/>
      </c>
      <c r="W51" s="65" t="n">
        <v>46248</v>
      </c>
      <c r="X51" s="30" t="inlineStr">
        <is>
          <t>Sunil CR</t>
        </is>
      </c>
      <c r="Y51" s="30" t="inlineStr">
        <is>
          <t>Yes</t>
        </is>
      </c>
      <c r="Z51" s="30" t="n"/>
      <c r="AA51" s="30" t="inlineStr">
        <is>
          <t>Good finish</t>
        </is>
      </c>
      <c r="AB51" s="30" t="inlineStr">
        <is>
          <t>Yes</t>
        </is>
      </c>
      <c r="AC51" s="27" t="n"/>
      <c r="AD51" s="31" t="inlineStr">
        <is>
          <t>No</t>
        </is>
      </c>
      <c r="AE51" s="32">
        <f>IF(W51="","",IF(Z51="Yes","❌ Disc",IF(Y51="No","⚠ Missing",IF(AB51="Yes","✓ OK","⚠ Check"))))</f>
        <v/>
      </c>
      <c r="AF51" s="33" t="n"/>
      <c r="AG51" s="33" t="n"/>
      <c r="AH51" s="33" t="n"/>
      <c r="AI51" s="33" t="n"/>
      <c r="AJ51" s="33" t="n"/>
      <c r="AK51" s="33" t="n"/>
      <c r="AL51" s="27" t="n"/>
      <c r="AM51" s="34" t="n"/>
      <c r="AN51" s="35">
        <f>IF(AF51="","",IF(AI51="Yes","❌ Disc",IF(AH51="No","⚠ Missing",IF(AK51="Yes","✓ OK","⚠ Check"))))</f>
        <v/>
      </c>
      <c r="AO51" s="36" t="n"/>
      <c r="AP51" s="36" t="n"/>
      <c r="AQ51" s="36" t="n"/>
      <c r="AR51" s="36" t="n"/>
      <c r="AS51" s="36" t="n"/>
      <c r="AT51" s="36" t="n"/>
      <c r="AU51" s="27" t="n"/>
      <c r="AV51" s="37" t="n"/>
      <c r="AW51" s="38">
        <f>IF(AO51="","",IF(AR51="Yes","❌ Disc",IF(AQ51="No","⚠ Missing",IF(AT51="Yes","✓ OK","⚠ Check"))))</f>
        <v/>
      </c>
    </row>
    <row r="52" ht="18" customHeight="1" s="46">
      <c r="A52" s="39" t="n">
        <v>48</v>
      </c>
      <c r="B52" s="40" t="inlineStr">
        <is>
          <t>BD-HNA-2025-0272</t>
        </is>
      </c>
      <c r="C52" s="41" t="inlineStr">
        <is>
          <t>Bonito Handles - CL-521(K.E-CH) - Rose Gold Concealed Handle  - 257mm</t>
        </is>
      </c>
      <c r="D52" s="39" t="inlineStr">
        <is>
          <t>Bonito Handles</t>
        </is>
      </c>
      <c r="E52" s="43" t="n">
        <v>46125</v>
      </c>
      <c r="F52" s="26" t="inlineStr">
        <is>
          <t>Sunil CR</t>
        </is>
      </c>
      <c r="G52" s="44" t="inlineStr">
        <is>
          <t>Represented by Sample</t>
        </is>
      </c>
      <c r="H52" s="26" t="inlineStr">
        <is>
          <t>No</t>
        </is>
      </c>
      <c r="I52" s="44" t="inlineStr">
        <is>
          <t>Represented by Sample</t>
        </is>
      </c>
      <c r="J52" s="26" t="inlineStr">
        <is>
          <t>Yes</t>
        </is>
      </c>
      <c r="K52" s="27" t="n"/>
      <c r="L52" s="28" t="inlineStr">
        <is>
          <t>No</t>
        </is>
      </c>
      <c r="M52" s="29">
        <f>IF(E52="","",IF(H52="Yes","❌ Disc",IF(G52="No","⚠ Missing",IF(J52="Yes","✓ OK","⚠ Check"))))</f>
        <v/>
      </c>
      <c r="N52" s="43" t="n">
        <v>46196</v>
      </c>
      <c r="O52" s="26" t="inlineStr">
        <is>
          <t>Sunil CR</t>
        </is>
      </c>
      <c r="P52" s="44" t="inlineStr">
        <is>
          <t>Represented by Sample</t>
        </is>
      </c>
      <c r="Q52" s="26" t="inlineStr">
        <is>
          <t>No</t>
        </is>
      </c>
      <c r="R52" s="44" t="inlineStr">
        <is>
          <t>Represented by Sample</t>
        </is>
      </c>
      <c r="S52" s="26" t="inlineStr">
        <is>
          <t>Yes</t>
        </is>
      </c>
      <c r="T52" s="27" t="n"/>
      <c r="U52" s="28" t="inlineStr">
        <is>
          <t>No</t>
        </is>
      </c>
      <c r="V52" s="29">
        <f>IF(N52="","",IF(Q52="Yes","❌ Disc",IF(P52="No","⚠ Missing",IF(S52="Yes","✓ OK","⚠ Check"))))</f>
        <v/>
      </c>
      <c r="W52" s="65" t="n">
        <v>46248</v>
      </c>
      <c r="X52" s="30" t="inlineStr">
        <is>
          <t>Sunil CR</t>
        </is>
      </c>
      <c r="Y52" s="30" t="inlineStr">
        <is>
          <t>Represented by Sample</t>
        </is>
      </c>
      <c r="Z52" s="30" t="n"/>
      <c r="AA52" s="30" t="inlineStr">
        <is>
          <t>Represented by Sample</t>
        </is>
      </c>
      <c r="AB52" s="30" t="inlineStr">
        <is>
          <t>Yes</t>
        </is>
      </c>
      <c r="AC52" s="27" t="n"/>
      <c r="AD52" s="31" t="inlineStr">
        <is>
          <t>No</t>
        </is>
      </c>
      <c r="AE52" s="32">
        <f>IF(W52="","",IF(Z52="Yes","❌ Disc",IF(Y52="No","⚠ Missing",IF(AB52="Yes","✓ OK","⚠ Check"))))</f>
        <v/>
      </c>
      <c r="AF52" s="33" t="n"/>
      <c r="AG52" s="33" t="n"/>
      <c r="AH52" s="33" t="n"/>
      <c r="AI52" s="33" t="n"/>
      <c r="AJ52" s="33" t="n"/>
      <c r="AK52" s="33" t="n"/>
      <c r="AL52" s="27" t="n"/>
      <c r="AM52" s="34" t="n"/>
      <c r="AN52" s="35">
        <f>IF(AF52="","",IF(AI52="Yes","❌ Disc",IF(AH52="No","⚠ Missing",IF(AK52="Yes","✓ OK","⚠ Check"))))</f>
        <v/>
      </c>
      <c r="AO52" s="36" t="n"/>
      <c r="AP52" s="36" t="n"/>
      <c r="AQ52" s="36" t="n"/>
      <c r="AR52" s="36" t="n"/>
      <c r="AS52" s="36" t="n"/>
      <c r="AT52" s="36" t="n"/>
      <c r="AU52" s="27" t="n"/>
      <c r="AV52" s="37" t="n"/>
      <c r="AW52" s="38">
        <f>IF(AO52="","",IF(AR52="Yes","❌ Disc",IF(AQ52="No","⚠ Missing",IF(AT52="Yes","✓ OK","⚠ Check"))))</f>
        <v/>
      </c>
    </row>
    <row r="53" ht="18" customHeight="1" s="46">
      <c r="A53" s="23" t="n">
        <v>49</v>
      </c>
      <c r="B53" s="24" t="inlineStr">
        <is>
          <t>BD-HNA-2025-0294</t>
        </is>
      </c>
      <c r="C53" s="25" t="inlineStr">
        <is>
          <t>Bonito Handles - CL-522(K.E-CH) - Antique and Gold Concealed Handle  - 121mm</t>
        </is>
      </c>
      <c r="D53" s="23" t="inlineStr">
        <is>
          <t>Bonito Handles</t>
        </is>
      </c>
      <c r="E53" s="43" t="n">
        <v>46125</v>
      </c>
      <c r="F53" s="26" t="inlineStr">
        <is>
          <t>Sunil CR</t>
        </is>
      </c>
      <c r="G53" s="44" t="inlineStr">
        <is>
          <t>No</t>
        </is>
      </c>
      <c r="H53" s="26" t="inlineStr">
        <is>
          <t>No</t>
        </is>
      </c>
      <c r="I53" s="44" t="inlineStr">
        <is>
          <t>Not Available</t>
        </is>
      </c>
      <c r="J53" s="26" t="inlineStr">
        <is>
          <t>No</t>
        </is>
      </c>
      <c r="K53" s="27" t="n"/>
      <c r="L53" s="28" t="inlineStr">
        <is>
          <t>Yes</t>
        </is>
      </c>
      <c r="M53" s="29">
        <f>IF(E53="","",IF(H53="Yes","❌ Disc",IF(G53="No","⚠ Missing",IF(J53="Yes","✓ OK","⚠ Check"))))</f>
        <v/>
      </c>
      <c r="N53" s="43" t="n">
        <v>46196</v>
      </c>
      <c r="O53" s="26" t="inlineStr">
        <is>
          <t>Sunil CR</t>
        </is>
      </c>
      <c r="P53" s="44" t="inlineStr">
        <is>
          <t>No</t>
        </is>
      </c>
      <c r="Q53" s="26" t="inlineStr">
        <is>
          <t>No</t>
        </is>
      </c>
      <c r="R53" s="44" t="inlineStr">
        <is>
          <t>Not Available</t>
        </is>
      </c>
      <c r="S53" s="26" t="inlineStr">
        <is>
          <t>No</t>
        </is>
      </c>
      <c r="T53" s="27" t="n"/>
      <c r="U53" s="28" t="inlineStr">
        <is>
          <t>Yes</t>
        </is>
      </c>
      <c r="V53" s="29">
        <f>IF(N53="","",IF(Q53="Yes","❌ Disc",IF(P53="No","⚠ Missing",IF(S53="Yes","✓ OK","⚠ Check"))))</f>
        <v/>
      </c>
      <c r="W53" s="65" t="n">
        <v>46248</v>
      </c>
      <c r="X53" s="30" t="inlineStr">
        <is>
          <t>Sunil CR</t>
        </is>
      </c>
      <c r="Y53" s="30" t="inlineStr">
        <is>
          <t>No</t>
        </is>
      </c>
      <c r="Z53" s="30" t="n"/>
      <c r="AA53" s="30" t="inlineStr">
        <is>
          <t>Not Available</t>
        </is>
      </c>
      <c r="AB53" s="30" t="inlineStr">
        <is>
          <t>No</t>
        </is>
      </c>
      <c r="AC53" s="27" t="n"/>
      <c r="AD53" s="31" t="inlineStr">
        <is>
          <t>Yes</t>
        </is>
      </c>
      <c r="AE53" s="32">
        <f>IF(W53="","",IF(Z53="Yes","❌ Disc",IF(Y53="No","⚠ Missing",IF(AB53="Yes","✓ OK","⚠ Check"))))</f>
        <v/>
      </c>
      <c r="AF53" s="33" t="n"/>
      <c r="AG53" s="33" t="n"/>
      <c r="AH53" s="33" t="n"/>
      <c r="AI53" s="33" t="n"/>
      <c r="AJ53" s="33" t="n"/>
      <c r="AK53" s="33" t="n"/>
      <c r="AL53" s="27" t="n"/>
      <c r="AM53" s="34" t="n"/>
      <c r="AN53" s="35">
        <f>IF(AF53="","",IF(AI53="Yes","❌ Disc",IF(AH53="No","⚠ Missing",IF(AK53="Yes","✓ OK","⚠ Check"))))</f>
        <v/>
      </c>
      <c r="AO53" s="36" t="n"/>
      <c r="AP53" s="36" t="n"/>
      <c r="AQ53" s="36" t="n"/>
      <c r="AR53" s="36" t="n"/>
      <c r="AS53" s="36" t="n"/>
      <c r="AT53" s="36" t="n"/>
      <c r="AU53" s="27" t="n"/>
      <c r="AV53" s="37" t="n"/>
      <c r="AW53" s="38">
        <f>IF(AO53="","",IF(AR53="Yes","❌ Disc",IF(AQ53="No","⚠ Missing",IF(AT53="Yes","✓ OK","⚠ Check"))))</f>
        <v/>
      </c>
    </row>
    <row r="54" ht="18" customHeight="1" s="46">
      <c r="A54" s="39" t="n">
        <v>50</v>
      </c>
      <c r="B54" s="40" t="inlineStr">
        <is>
          <t>BD-HNA-2025-0295</t>
        </is>
      </c>
      <c r="C54" s="41" t="inlineStr">
        <is>
          <t>Bonito Handles - CL-522(K.E-CH) - Antique and Gold Concealed Handle  - 185mm</t>
        </is>
      </c>
      <c r="D54" s="39" t="inlineStr">
        <is>
          <t>Bonito Handles</t>
        </is>
      </c>
      <c r="E54" s="43" t="n">
        <v>46125</v>
      </c>
      <c r="F54" s="26" t="inlineStr">
        <is>
          <t>Sunil CR</t>
        </is>
      </c>
      <c r="G54" s="44" t="inlineStr">
        <is>
          <t>No</t>
        </is>
      </c>
      <c r="H54" s="26" t="inlineStr">
        <is>
          <t>No</t>
        </is>
      </c>
      <c r="I54" s="44" t="inlineStr">
        <is>
          <t>Not Available</t>
        </is>
      </c>
      <c r="J54" s="26" t="inlineStr">
        <is>
          <t>No</t>
        </is>
      </c>
      <c r="K54" s="27" t="n"/>
      <c r="L54" s="28" t="inlineStr">
        <is>
          <t>Yes</t>
        </is>
      </c>
      <c r="M54" s="29">
        <f>IF(E54="","",IF(H54="Yes","❌ Disc",IF(G54="No","⚠ Missing",IF(J54="Yes","✓ OK","⚠ Check"))))</f>
        <v/>
      </c>
      <c r="N54" s="43" t="n">
        <v>46196</v>
      </c>
      <c r="O54" s="26" t="inlineStr">
        <is>
          <t>Sunil CR</t>
        </is>
      </c>
      <c r="P54" s="44" t="inlineStr">
        <is>
          <t>No</t>
        </is>
      </c>
      <c r="Q54" s="26" t="inlineStr">
        <is>
          <t>No</t>
        </is>
      </c>
      <c r="R54" s="44" t="inlineStr">
        <is>
          <t>Not Available</t>
        </is>
      </c>
      <c r="S54" s="26" t="inlineStr">
        <is>
          <t>No</t>
        </is>
      </c>
      <c r="T54" s="27" t="n"/>
      <c r="U54" s="28" t="inlineStr">
        <is>
          <t>Yes</t>
        </is>
      </c>
      <c r="V54" s="29">
        <f>IF(N54="","",IF(Q54="Yes","❌ Disc",IF(P54="No","⚠ Missing",IF(S54="Yes","✓ OK","⚠ Check"))))</f>
        <v/>
      </c>
      <c r="W54" s="65" t="n">
        <v>46248</v>
      </c>
      <c r="X54" s="30" t="inlineStr">
        <is>
          <t>Sunil CR</t>
        </is>
      </c>
      <c r="Y54" s="30" t="inlineStr">
        <is>
          <t>No</t>
        </is>
      </c>
      <c r="Z54" s="30" t="n"/>
      <c r="AA54" s="30" t="inlineStr">
        <is>
          <t>Not Available</t>
        </is>
      </c>
      <c r="AB54" s="30" t="inlineStr">
        <is>
          <t>No</t>
        </is>
      </c>
      <c r="AC54" s="27" t="n"/>
      <c r="AD54" s="31" t="inlineStr">
        <is>
          <t>Yes</t>
        </is>
      </c>
      <c r="AE54" s="32">
        <f>IF(W54="","",IF(Z54="Yes","❌ Disc",IF(Y54="No","⚠ Missing",IF(AB54="Yes","✓ OK","⚠ Check"))))</f>
        <v/>
      </c>
      <c r="AF54" s="33" t="n"/>
      <c r="AG54" s="33" t="n"/>
      <c r="AH54" s="33" t="n"/>
      <c r="AI54" s="33" t="n"/>
      <c r="AJ54" s="33" t="n"/>
      <c r="AK54" s="33" t="n"/>
      <c r="AL54" s="27" t="n"/>
      <c r="AM54" s="34" t="n"/>
      <c r="AN54" s="35">
        <f>IF(AF54="","",IF(AI54="Yes","❌ Disc",IF(AH54="No","⚠ Missing",IF(AK54="Yes","✓ OK","⚠ Check"))))</f>
        <v/>
      </c>
      <c r="AO54" s="36" t="n"/>
      <c r="AP54" s="36" t="n"/>
      <c r="AQ54" s="36" t="n"/>
      <c r="AR54" s="36" t="n"/>
      <c r="AS54" s="36" t="n"/>
      <c r="AT54" s="36" t="n"/>
      <c r="AU54" s="27" t="n"/>
      <c r="AV54" s="37" t="n"/>
      <c r="AW54" s="38">
        <f>IF(AO54="","",IF(AR54="Yes","❌ Disc",IF(AQ54="No","⚠ Missing",IF(AT54="Yes","✓ OK","⚠ Check"))))</f>
        <v/>
      </c>
    </row>
    <row r="55" ht="18" customHeight="1" s="46">
      <c r="A55" s="23" t="n">
        <v>51</v>
      </c>
      <c r="B55" s="24" t="inlineStr">
        <is>
          <t>BD-HNA-2025-0296</t>
        </is>
      </c>
      <c r="C55" s="25" t="inlineStr">
        <is>
          <t>Bonito Handles - CL-522(K.E-CH) - Antique and Gold Concealed Handle  - 249mm</t>
        </is>
      </c>
      <c r="D55" s="23" t="inlineStr">
        <is>
          <t>Bonito Handles</t>
        </is>
      </c>
      <c r="E55" s="43" t="n">
        <v>46125</v>
      </c>
      <c r="F55" s="26" t="inlineStr">
        <is>
          <t>Sunil CR</t>
        </is>
      </c>
      <c r="G55" s="44" t="inlineStr">
        <is>
          <t>No</t>
        </is>
      </c>
      <c r="H55" s="26" t="inlineStr">
        <is>
          <t>No</t>
        </is>
      </c>
      <c r="I55" s="44" t="inlineStr">
        <is>
          <t>Not Available</t>
        </is>
      </c>
      <c r="J55" s="26" t="inlineStr">
        <is>
          <t>No</t>
        </is>
      </c>
      <c r="K55" s="27" t="n"/>
      <c r="L55" s="28" t="inlineStr">
        <is>
          <t>Yes</t>
        </is>
      </c>
      <c r="M55" s="29">
        <f>IF(E55="","",IF(H55="Yes","❌ Disc",IF(G55="No","⚠ Missing",IF(J55="Yes","✓ OK","⚠ Check"))))</f>
        <v/>
      </c>
      <c r="N55" s="43" t="n">
        <v>46196</v>
      </c>
      <c r="O55" s="26" t="inlineStr">
        <is>
          <t>Sunil CR</t>
        </is>
      </c>
      <c r="P55" s="44" t="inlineStr">
        <is>
          <t>No</t>
        </is>
      </c>
      <c r="Q55" s="26" t="inlineStr">
        <is>
          <t>No</t>
        </is>
      </c>
      <c r="R55" s="44" t="inlineStr">
        <is>
          <t>Not Available</t>
        </is>
      </c>
      <c r="S55" s="26" t="inlineStr">
        <is>
          <t>No</t>
        </is>
      </c>
      <c r="T55" s="27" t="n"/>
      <c r="U55" s="28" t="inlineStr">
        <is>
          <t>Yes</t>
        </is>
      </c>
      <c r="V55" s="29">
        <f>IF(N55="","",IF(Q55="Yes","❌ Disc",IF(P55="No","⚠ Missing",IF(S55="Yes","✓ OK","⚠ Check"))))</f>
        <v/>
      </c>
      <c r="W55" s="65" t="n">
        <v>46248</v>
      </c>
      <c r="X55" s="30" t="inlineStr">
        <is>
          <t>Sunil CR</t>
        </is>
      </c>
      <c r="Y55" s="30" t="inlineStr">
        <is>
          <t>No</t>
        </is>
      </c>
      <c r="Z55" s="30" t="n"/>
      <c r="AA55" s="30" t="inlineStr">
        <is>
          <t>Not Available</t>
        </is>
      </c>
      <c r="AB55" s="30" t="inlineStr">
        <is>
          <t>No</t>
        </is>
      </c>
      <c r="AC55" s="27" t="n"/>
      <c r="AD55" s="31" t="inlineStr">
        <is>
          <t>Yes</t>
        </is>
      </c>
      <c r="AE55" s="32">
        <f>IF(W55="","",IF(Z55="Yes","❌ Disc",IF(Y55="No","⚠ Missing",IF(AB55="Yes","✓ OK","⚠ Check"))))</f>
        <v/>
      </c>
      <c r="AF55" s="33" t="n"/>
      <c r="AG55" s="33" t="n"/>
      <c r="AH55" s="33" t="n"/>
      <c r="AI55" s="33" t="n"/>
      <c r="AJ55" s="33" t="n"/>
      <c r="AK55" s="33" t="n"/>
      <c r="AL55" s="27" t="n"/>
      <c r="AM55" s="34" t="n"/>
      <c r="AN55" s="35">
        <f>IF(AF55="","",IF(AI55="Yes","❌ Disc",IF(AH55="No","⚠ Missing",IF(AK55="Yes","✓ OK","⚠ Check"))))</f>
        <v/>
      </c>
      <c r="AO55" s="36" t="n"/>
      <c r="AP55" s="36" t="n"/>
      <c r="AQ55" s="36" t="n"/>
      <c r="AR55" s="36" t="n"/>
      <c r="AS55" s="36" t="n"/>
      <c r="AT55" s="36" t="n"/>
      <c r="AU55" s="27" t="n"/>
      <c r="AV55" s="37" t="n"/>
      <c r="AW55" s="38">
        <f>IF(AO55="","",IF(AR55="Yes","❌ Disc",IF(AQ55="No","⚠ Missing",IF(AT55="Yes","✓ OK","⚠ Check"))))</f>
        <v/>
      </c>
    </row>
    <row r="56" ht="18" customHeight="1" s="46">
      <c r="A56" s="39" t="n">
        <v>52</v>
      </c>
      <c r="B56" s="40" t="inlineStr">
        <is>
          <t>BD-HNA-2025-0300</t>
        </is>
      </c>
      <c r="C56" s="41" t="inlineStr">
        <is>
          <t>Bonito Handles - CL-522(K.E-CH) - Black Concealed Handle  - 121mm</t>
        </is>
      </c>
      <c r="D56" s="39" t="inlineStr">
        <is>
          <t>Bonito Handles</t>
        </is>
      </c>
      <c r="E56" s="43" t="n">
        <v>46125</v>
      </c>
      <c r="F56" s="26" t="inlineStr">
        <is>
          <t>Sunil CR</t>
        </is>
      </c>
      <c r="G56" s="44" t="inlineStr">
        <is>
          <t>No</t>
        </is>
      </c>
      <c r="H56" s="26" t="inlineStr">
        <is>
          <t>No</t>
        </is>
      </c>
      <c r="I56" s="44" t="inlineStr">
        <is>
          <t>Not Available</t>
        </is>
      </c>
      <c r="J56" s="26" t="inlineStr">
        <is>
          <t>No</t>
        </is>
      </c>
      <c r="K56" s="27" t="n"/>
      <c r="L56" s="28" t="inlineStr">
        <is>
          <t>Yes</t>
        </is>
      </c>
      <c r="M56" s="29">
        <f>IF(E56="","",IF(H56="Yes","❌ Disc",IF(G56="No","⚠ Missing",IF(J56="Yes","✓ OK","⚠ Check"))))</f>
        <v/>
      </c>
      <c r="N56" s="43" t="n">
        <v>46196</v>
      </c>
      <c r="O56" s="26" t="inlineStr">
        <is>
          <t>Sunil CR</t>
        </is>
      </c>
      <c r="P56" s="44" t="inlineStr">
        <is>
          <t>No</t>
        </is>
      </c>
      <c r="Q56" s="26" t="inlineStr">
        <is>
          <t>No</t>
        </is>
      </c>
      <c r="R56" s="44" t="inlineStr">
        <is>
          <t>Not Available</t>
        </is>
      </c>
      <c r="S56" s="26" t="inlineStr">
        <is>
          <t>No</t>
        </is>
      </c>
      <c r="T56" s="27" t="n"/>
      <c r="U56" s="28" t="inlineStr">
        <is>
          <t>Yes</t>
        </is>
      </c>
      <c r="V56" s="29">
        <f>IF(N56="","",IF(Q56="Yes","❌ Disc",IF(P56="No","⚠ Missing",IF(S56="Yes","✓ OK","⚠ Check"))))</f>
        <v/>
      </c>
      <c r="W56" s="65" t="n">
        <v>46248</v>
      </c>
      <c r="X56" s="30" t="inlineStr">
        <is>
          <t>Sunil CR</t>
        </is>
      </c>
      <c r="Y56" s="30" t="inlineStr">
        <is>
          <t>No</t>
        </is>
      </c>
      <c r="Z56" s="30" t="n"/>
      <c r="AA56" s="30" t="inlineStr">
        <is>
          <t>Not Available</t>
        </is>
      </c>
      <c r="AB56" s="30" t="inlineStr">
        <is>
          <t>No</t>
        </is>
      </c>
      <c r="AC56" s="27" t="n"/>
      <c r="AD56" s="31" t="inlineStr">
        <is>
          <t>Yes</t>
        </is>
      </c>
      <c r="AE56" s="32">
        <f>IF(W56="","",IF(Z56="Yes","❌ Disc",IF(Y56="No","⚠ Missing",IF(AB56="Yes","✓ OK","⚠ Check"))))</f>
        <v/>
      </c>
      <c r="AF56" s="33" t="n"/>
      <c r="AG56" s="33" t="n"/>
      <c r="AH56" s="33" t="n"/>
      <c r="AI56" s="33" t="n"/>
      <c r="AJ56" s="33" t="n"/>
      <c r="AK56" s="33" t="n"/>
      <c r="AL56" s="27" t="n"/>
      <c r="AM56" s="34" t="n"/>
      <c r="AN56" s="35">
        <f>IF(AF56="","",IF(AI56="Yes","❌ Disc",IF(AH56="No","⚠ Missing",IF(AK56="Yes","✓ OK","⚠ Check"))))</f>
        <v/>
      </c>
      <c r="AO56" s="36" t="n"/>
      <c r="AP56" s="36" t="n"/>
      <c r="AQ56" s="36" t="n"/>
      <c r="AR56" s="36" t="n"/>
      <c r="AS56" s="36" t="n"/>
      <c r="AT56" s="36" t="n"/>
      <c r="AU56" s="27" t="n"/>
      <c r="AV56" s="37" t="n"/>
      <c r="AW56" s="38">
        <f>IF(AO56="","",IF(AR56="Yes","❌ Disc",IF(AQ56="No","⚠ Missing",IF(AT56="Yes","✓ OK","⚠ Check"))))</f>
        <v/>
      </c>
    </row>
    <row r="57" ht="18" customHeight="1" s="46">
      <c r="A57" s="23" t="n">
        <v>53</v>
      </c>
      <c r="B57" s="24" t="inlineStr">
        <is>
          <t>BD-HNA-2025-0301</t>
        </is>
      </c>
      <c r="C57" s="25" t="inlineStr">
        <is>
          <t>Bonito Handles - CL-522(K.E-CH) - Black Concealed Handle  - 185mm</t>
        </is>
      </c>
      <c r="D57" s="23" t="inlineStr">
        <is>
          <t>Bonito Handles</t>
        </is>
      </c>
      <c r="E57" s="43" t="n">
        <v>46125</v>
      </c>
      <c r="F57" s="26" t="inlineStr">
        <is>
          <t>Sunil CR</t>
        </is>
      </c>
      <c r="G57" s="44" t="inlineStr">
        <is>
          <t>No</t>
        </is>
      </c>
      <c r="H57" s="26" t="inlineStr">
        <is>
          <t>No</t>
        </is>
      </c>
      <c r="I57" s="44" t="inlineStr">
        <is>
          <t>Not Available</t>
        </is>
      </c>
      <c r="J57" s="26" t="inlineStr">
        <is>
          <t>No</t>
        </is>
      </c>
      <c r="K57" s="27" t="n"/>
      <c r="L57" s="28" t="inlineStr">
        <is>
          <t>Yes</t>
        </is>
      </c>
      <c r="M57" s="29">
        <f>IF(E57="","",IF(H57="Yes","❌ Disc",IF(G57="No","⚠ Missing",IF(J57="Yes","✓ OK","⚠ Check"))))</f>
        <v/>
      </c>
      <c r="N57" s="43" t="n">
        <v>46196</v>
      </c>
      <c r="O57" s="26" t="inlineStr">
        <is>
          <t>Sunil CR</t>
        </is>
      </c>
      <c r="P57" s="44" t="inlineStr">
        <is>
          <t>No</t>
        </is>
      </c>
      <c r="Q57" s="26" t="inlineStr">
        <is>
          <t>No</t>
        </is>
      </c>
      <c r="R57" s="44" t="inlineStr">
        <is>
          <t>Not Available</t>
        </is>
      </c>
      <c r="S57" s="26" t="inlineStr">
        <is>
          <t>No</t>
        </is>
      </c>
      <c r="T57" s="27" t="n"/>
      <c r="U57" s="28" t="inlineStr">
        <is>
          <t>Yes</t>
        </is>
      </c>
      <c r="V57" s="29">
        <f>IF(N57="","",IF(Q57="Yes","❌ Disc",IF(P57="No","⚠ Missing",IF(S57="Yes","✓ OK","⚠ Check"))))</f>
        <v/>
      </c>
      <c r="W57" s="65" t="n">
        <v>46248</v>
      </c>
      <c r="X57" s="30" t="inlineStr">
        <is>
          <t>Sunil CR</t>
        </is>
      </c>
      <c r="Y57" s="30" t="inlineStr">
        <is>
          <t>No</t>
        </is>
      </c>
      <c r="Z57" s="30" t="n"/>
      <c r="AA57" s="30" t="inlineStr">
        <is>
          <t>Not Available</t>
        </is>
      </c>
      <c r="AB57" s="30" t="inlineStr">
        <is>
          <t>No</t>
        </is>
      </c>
      <c r="AC57" s="27" t="n"/>
      <c r="AD57" s="31" t="inlineStr">
        <is>
          <t>Yes</t>
        </is>
      </c>
      <c r="AE57" s="32">
        <f>IF(W57="","",IF(Z57="Yes","❌ Disc",IF(Y57="No","⚠ Missing",IF(AB57="Yes","✓ OK","⚠ Check"))))</f>
        <v/>
      </c>
      <c r="AF57" s="33" t="n"/>
      <c r="AG57" s="33" t="n"/>
      <c r="AH57" s="33" t="n"/>
      <c r="AI57" s="33" t="n"/>
      <c r="AJ57" s="33" t="n"/>
      <c r="AK57" s="33" t="n"/>
      <c r="AL57" s="27" t="n"/>
      <c r="AM57" s="34" t="n"/>
      <c r="AN57" s="35">
        <f>IF(AF57="","",IF(AI57="Yes","❌ Disc",IF(AH57="No","⚠ Missing",IF(AK57="Yes","✓ OK","⚠ Check"))))</f>
        <v/>
      </c>
      <c r="AO57" s="36" t="n"/>
      <c r="AP57" s="36" t="n"/>
      <c r="AQ57" s="36" t="n"/>
      <c r="AR57" s="36" t="n"/>
      <c r="AS57" s="36" t="n"/>
      <c r="AT57" s="36" t="n"/>
      <c r="AU57" s="27" t="n"/>
      <c r="AV57" s="37" t="n"/>
      <c r="AW57" s="38">
        <f>IF(AO57="","",IF(AR57="Yes","❌ Disc",IF(AQ57="No","⚠ Missing",IF(AT57="Yes","✓ OK","⚠ Check"))))</f>
        <v/>
      </c>
    </row>
    <row r="58" ht="18" customHeight="1" s="46">
      <c r="A58" s="39" t="n">
        <v>54</v>
      </c>
      <c r="B58" s="40" t="inlineStr">
        <is>
          <t>BD-HNA-2025-0302</t>
        </is>
      </c>
      <c r="C58" s="41" t="inlineStr">
        <is>
          <t>Bonito Handles - CL-522(K.E-CH) - Black Concealed Handle  - 249mm</t>
        </is>
      </c>
      <c r="D58" s="39" t="inlineStr">
        <is>
          <t>Bonito Handles</t>
        </is>
      </c>
      <c r="E58" s="43" t="n">
        <v>46125</v>
      </c>
      <c r="F58" s="26" t="inlineStr">
        <is>
          <t>Sunil CR</t>
        </is>
      </c>
      <c r="G58" s="44" t="inlineStr">
        <is>
          <t>No</t>
        </is>
      </c>
      <c r="H58" s="26" t="inlineStr">
        <is>
          <t>No</t>
        </is>
      </c>
      <c r="I58" s="44" t="inlineStr">
        <is>
          <t>Not Available</t>
        </is>
      </c>
      <c r="J58" s="26" t="inlineStr">
        <is>
          <t>No</t>
        </is>
      </c>
      <c r="K58" s="27" t="n"/>
      <c r="L58" s="28" t="inlineStr">
        <is>
          <t>Yes</t>
        </is>
      </c>
      <c r="M58" s="29">
        <f>IF(E58="","",IF(H58="Yes","❌ Disc",IF(G58="No","⚠ Missing",IF(J58="Yes","✓ OK","⚠ Check"))))</f>
        <v/>
      </c>
      <c r="N58" s="43" t="n">
        <v>46196</v>
      </c>
      <c r="O58" s="26" t="inlineStr">
        <is>
          <t>Sunil CR</t>
        </is>
      </c>
      <c r="P58" s="44" t="inlineStr">
        <is>
          <t>No</t>
        </is>
      </c>
      <c r="Q58" s="26" t="inlineStr">
        <is>
          <t>No</t>
        </is>
      </c>
      <c r="R58" s="44" t="inlineStr">
        <is>
          <t>Not Available</t>
        </is>
      </c>
      <c r="S58" s="26" t="inlineStr">
        <is>
          <t>No</t>
        </is>
      </c>
      <c r="T58" s="27" t="n"/>
      <c r="U58" s="28" t="inlineStr">
        <is>
          <t>Yes</t>
        </is>
      </c>
      <c r="V58" s="29">
        <f>IF(N58="","",IF(Q58="Yes","❌ Disc",IF(P58="No","⚠ Missing",IF(S58="Yes","✓ OK","⚠ Check"))))</f>
        <v/>
      </c>
      <c r="W58" s="65" t="n">
        <v>46248</v>
      </c>
      <c r="X58" s="30" t="inlineStr">
        <is>
          <t>Sunil CR</t>
        </is>
      </c>
      <c r="Y58" s="30" t="inlineStr">
        <is>
          <t>No</t>
        </is>
      </c>
      <c r="Z58" s="30" t="n"/>
      <c r="AA58" s="30" t="inlineStr">
        <is>
          <t>Not Available</t>
        </is>
      </c>
      <c r="AB58" s="30" t="inlineStr">
        <is>
          <t>No</t>
        </is>
      </c>
      <c r="AC58" s="27" t="n"/>
      <c r="AD58" s="31" t="inlineStr">
        <is>
          <t>Yes</t>
        </is>
      </c>
      <c r="AE58" s="32">
        <f>IF(W58="","",IF(Z58="Yes","❌ Disc",IF(Y58="No","⚠ Missing",IF(AB58="Yes","✓ OK","⚠ Check"))))</f>
        <v/>
      </c>
      <c r="AF58" s="33" t="n"/>
      <c r="AG58" s="33" t="n"/>
      <c r="AH58" s="33" t="n"/>
      <c r="AI58" s="33" t="n"/>
      <c r="AJ58" s="33" t="n"/>
      <c r="AK58" s="33" t="n"/>
      <c r="AL58" s="27" t="n"/>
      <c r="AM58" s="34" t="n"/>
      <c r="AN58" s="35">
        <f>IF(AF58="","",IF(AI58="Yes","❌ Disc",IF(AH58="No","⚠ Missing",IF(AK58="Yes","✓ OK","⚠ Check"))))</f>
        <v/>
      </c>
      <c r="AO58" s="36" t="n"/>
      <c r="AP58" s="36" t="n"/>
      <c r="AQ58" s="36" t="n"/>
      <c r="AR58" s="36" t="n"/>
      <c r="AS58" s="36" t="n"/>
      <c r="AT58" s="36" t="n"/>
      <c r="AU58" s="27" t="n"/>
      <c r="AV58" s="37" t="n"/>
      <c r="AW58" s="38">
        <f>IF(AO58="","",IF(AR58="Yes","❌ Disc",IF(AQ58="No","⚠ Missing",IF(AT58="Yes","✓ OK","⚠ Check"))))</f>
        <v/>
      </c>
    </row>
    <row r="59" ht="18" customHeight="1" s="46">
      <c r="A59" s="23" t="n">
        <v>55</v>
      </c>
      <c r="B59" s="24" t="inlineStr">
        <is>
          <t>BD-HNA-2025-0297</t>
        </is>
      </c>
      <c r="C59" s="25" t="inlineStr">
        <is>
          <t>Bonito Handles - CL-522(K.E-CH) - Rose Gold Concealed Handle  - 121mm</t>
        </is>
      </c>
      <c r="D59" s="23" t="inlineStr">
        <is>
          <t>Bonito Handles</t>
        </is>
      </c>
      <c r="E59" s="43" t="n">
        <v>46125</v>
      </c>
      <c r="F59" s="26" t="inlineStr">
        <is>
          <t>Sunil CR</t>
        </is>
      </c>
      <c r="G59" s="44" t="inlineStr">
        <is>
          <t>No</t>
        </is>
      </c>
      <c r="H59" s="26" t="inlineStr">
        <is>
          <t>No</t>
        </is>
      </c>
      <c r="I59" s="44" t="inlineStr">
        <is>
          <t>Not Available</t>
        </is>
      </c>
      <c r="J59" s="26" t="inlineStr">
        <is>
          <t>No</t>
        </is>
      </c>
      <c r="K59" s="27" t="n"/>
      <c r="L59" s="28" t="inlineStr">
        <is>
          <t>Yes</t>
        </is>
      </c>
      <c r="M59" s="29">
        <f>IF(E59="","",IF(H59="Yes","❌ Disc",IF(G59="No","⚠ Missing",IF(J59="Yes","✓ OK","⚠ Check"))))</f>
        <v/>
      </c>
      <c r="N59" s="43" t="n">
        <v>46196</v>
      </c>
      <c r="O59" s="26" t="inlineStr">
        <is>
          <t>Sunil CR</t>
        </is>
      </c>
      <c r="P59" s="44" t="inlineStr">
        <is>
          <t>No</t>
        </is>
      </c>
      <c r="Q59" s="26" t="inlineStr">
        <is>
          <t>No</t>
        </is>
      </c>
      <c r="R59" s="44" t="inlineStr">
        <is>
          <t>Not Available</t>
        </is>
      </c>
      <c r="S59" s="26" t="inlineStr">
        <is>
          <t>No</t>
        </is>
      </c>
      <c r="T59" s="27" t="n"/>
      <c r="U59" s="28" t="inlineStr">
        <is>
          <t>Yes</t>
        </is>
      </c>
      <c r="V59" s="29">
        <f>IF(N59="","",IF(Q59="Yes","❌ Disc",IF(P59="No","⚠ Missing",IF(S59="Yes","✓ OK","⚠ Check"))))</f>
        <v/>
      </c>
      <c r="W59" s="65" t="n">
        <v>46248</v>
      </c>
      <c r="X59" s="30" t="inlineStr">
        <is>
          <t>Sunil CR</t>
        </is>
      </c>
      <c r="Y59" s="30" t="inlineStr">
        <is>
          <t>No</t>
        </is>
      </c>
      <c r="Z59" s="30" t="n"/>
      <c r="AA59" s="30" t="inlineStr">
        <is>
          <t>Not Available</t>
        </is>
      </c>
      <c r="AB59" s="30" t="inlineStr">
        <is>
          <t>No</t>
        </is>
      </c>
      <c r="AC59" s="27" t="n"/>
      <c r="AD59" s="31" t="inlineStr">
        <is>
          <t>Yes</t>
        </is>
      </c>
      <c r="AE59" s="32">
        <f>IF(W59="","",IF(Z59="Yes","❌ Disc",IF(Y59="No","⚠ Missing",IF(AB59="Yes","✓ OK","⚠ Check"))))</f>
        <v/>
      </c>
      <c r="AF59" s="33" t="n"/>
      <c r="AG59" s="33" t="n"/>
      <c r="AH59" s="33" t="n"/>
      <c r="AI59" s="33" t="n"/>
      <c r="AJ59" s="33" t="n"/>
      <c r="AK59" s="33" t="n"/>
      <c r="AL59" s="27" t="n"/>
      <c r="AM59" s="34" t="n"/>
      <c r="AN59" s="35">
        <f>IF(AF59="","",IF(AI59="Yes","❌ Disc",IF(AH59="No","⚠ Missing",IF(AK59="Yes","✓ OK","⚠ Check"))))</f>
        <v/>
      </c>
      <c r="AO59" s="36" t="n"/>
      <c r="AP59" s="36" t="n"/>
      <c r="AQ59" s="36" t="n"/>
      <c r="AR59" s="36" t="n"/>
      <c r="AS59" s="36" t="n"/>
      <c r="AT59" s="36" t="n"/>
      <c r="AU59" s="27" t="n"/>
      <c r="AV59" s="37" t="n"/>
      <c r="AW59" s="38">
        <f>IF(AO59="","",IF(AR59="Yes","❌ Disc",IF(AQ59="No","⚠ Missing",IF(AT59="Yes","✓ OK","⚠ Check"))))</f>
        <v/>
      </c>
    </row>
    <row r="60" ht="18" customHeight="1" s="46">
      <c r="A60" s="39" t="n">
        <v>56</v>
      </c>
      <c r="B60" s="40" t="inlineStr">
        <is>
          <t>BD-HNA-2025-0298</t>
        </is>
      </c>
      <c r="C60" s="41" t="inlineStr">
        <is>
          <t>Bonito Handles - CL-522(K.E-CH) - Rose Gold Concealed Handle  - 185mm</t>
        </is>
      </c>
      <c r="D60" s="39" t="inlineStr">
        <is>
          <t>Bonito Handles</t>
        </is>
      </c>
      <c r="E60" s="43" t="n">
        <v>46125</v>
      </c>
      <c r="F60" s="26" t="inlineStr">
        <is>
          <t>Sunil CR</t>
        </is>
      </c>
      <c r="G60" s="44" t="inlineStr">
        <is>
          <t>No</t>
        </is>
      </c>
      <c r="H60" s="26" t="inlineStr">
        <is>
          <t>No</t>
        </is>
      </c>
      <c r="I60" s="44" t="inlineStr">
        <is>
          <t>Not Available</t>
        </is>
      </c>
      <c r="J60" s="26" t="inlineStr">
        <is>
          <t>No</t>
        </is>
      </c>
      <c r="K60" s="27" t="n"/>
      <c r="L60" s="28" t="inlineStr">
        <is>
          <t>Yes</t>
        </is>
      </c>
      <c r="M60" s="29">
        <f>IF(E60="","",IF(H60="Yes","❌ Disc",IF(G60="No","⚠ Missing",IF(J60="Yes","✓ OK","⚠ Check"))))</f>
        <v/>
      </c>
      <c r="N60" s="43" t="n">
        <v>46196</v>
      </c>
      <c r="O60" s="26" t="inlineStr">
        <is>
          <t>Sunil CR</t>
        </is>
      </c>
      <c r="P60" s="44" t="inlineStr">
        <is>
          <t>No</t>
        </is>
      </c>
      <c r="Q60" s="26" t="inlineStr">
        <is>
          <t>No</t>
        </is>
      </c>
      <c r="R60" s="44" t="inlineStr">
        <is>
          <t>Not Available</t>
        </is>
      </c>
      <c r="S60" s="26" t="inlineStr">
        <is>
          <t>No</t>
        </is>
      </c>
      <c r="T60" s="27" t="n"/>
      <c r="U60" s="28" t="inlineStr">
        <is>
          <t>Yes</t>
        </is>
      </c>
      <c r="V60" s="29">
        <f>IF(N60="","",IF(Q60="Yes","❌ Disc",IF(P60="No","⚠ Missing",IF(S60="Yes","✓ OK","⚠ Check"))))</f>
        <v/>
      </c>
      <c r="W60" s="65" t="n">
        <v>46248</v>
      </c>
      <c r="X60" s="30" t="inlineStr">
        <is>
          <t>Sunil CR</t>
        </is>
      </c>
      <c r="Y60" s="30" t="inlineStr">
        <is>
          <t>No</t>
        </is>
      </c>
      <c r="Z60" s="30" t="n"/>
      <c r="AA60" s="30" t="inlineStr">
        <is>
          <t>Not Available</t>
        </is>
      </c>
      <c r="AB60" s="30" t="inlineStr">
        <is>
          <t>No</t>
        </is>
      </c>
      <c r="AC60" s="27" t="n"/>
      <c r="AD60" s="31" t="inlineStr">
        <is>
          <t>Yes</t>
        </is>
      </c>
      <c r="AE60" s="32">
        <f>IF(W60="","",IF(Z60="Yes","❌ Disc",IF(Y60="No","⚠ Missing",IF(AB60="Yes","✓ OK","⚠ Check"))))</f>
        <v/>
      </c>
      <c r="AF60" s="33" t="n"/>
      <c r="AG60" s="33" t="n"/>
      <c r="AH60" s="33" t="n"/>
      <c r="AI60" s="33" t="n"/>
      <c r="AJ60" s="33" t="n"/>
      <c r="AK60" s="33" t="n"/>
      <c r="AL60" s="27" t="n"/>
      <c r="AM60" s="34" t="n"/>
      <c r="AN60" s="35">
        <f>IF(AF60="","",IF(AI60="Yes","❌ Disc",IF(AH60="No","⚠ Missing",IF(AK60="Yes","✓ OK","⚠ Check"))))</f>
        <v/>
      </c>
      <c r="AO60" s="36" t="n"/>
      <c r="AP60" s="36" t="n"/>
      <c r="AQ60" s="36" t="n"/>
      <c r="AR60" s="36" t="n"/>
      <c r="AS60" s="36" t="n"/>
      <c r="AT60" s="36" t="n"/>
      <c r="AU60" s="27" t="n"/>
      <c r="AV60" s="37" t="n"/>
      <c r="AW60" s="38">
        <f>IF(AO60="","",IF(AR60="Yes","❌ Disc",IF(AQ60="No","⚠ Missing",IF(AT60="Yes","✓ OK","⚠ Check"))))</f>
        <v/>
      </c>
    </row>
    <row r="61" ht="18" customHeight="1" s="46">
      <c r="A61" s="23" t="n">
        <v>57</v>
      </c>
      <c r="B61" s="24" t="inlineStr">
        <is>
          <t>BD-HNA-2025-0299</t>
        </is>
      </c>
      <c r="C61" s="25" t="inlineStr">
        <is>
          <t>Bonito Handles - CL-522(K.E-CH) - Rose Gold Concealed Handle  - 249mm</t>
        </is>
      </c>
      <c r="D61" s="23" t="inlineStr">
        <is>
          <t>Bonito Handles</t>
        </is>
      </c>
      <c r="E61" s="43" t="n">
        <v>46125</v>
      </c>
      <c r="F61" s="26" t="inlineStr">
        <is>
          <t>Sunil CR</t>
        </is>
      </c>
      <c r="G61" s="44" t="inlineStr">
        <is>
          <t>No</t>
        </is>
      </c>
      <c r="H61" s="26" t="inlineStr">
        <is>
          <t>No</t>
        </is>
      </c>
      <c r="I61" s="44" t="inlineStr">
        <is>
          <t>Not Available</t>
        </is>
      </c>
      <c r="J61" s="26" t="inlineStr">
        <is>
          <t>No</t>
        </is>
      </c>
      <c r="K61" s="27" t="n"/>
      <c r="L61" s="28" t="inlineStr">
        <is>
          <t>Yes</t>
        </is>
      </c>
      <c r="M61" s="29">
        <f>IF(E61="","",IF(H61="Yes","❌ Disc",IF(G61="No","⚠ Missing",IF(J61="Yes","✓ OK","⚠ Check"))))</f>
        <v/>
      </c>
      <c r="N61" s="43" t="n">
        <v>46196</v>
      </c>
      <c r="O61" s="26" t="inlineStr">
        <is>
          <t>Sunil CR</t>
        </is>
      </c>
      <c r="P61" s="44" t="inlineStr">
        <is>
          <t>No</t>
        </is>
      </c>
      <c r="Q61" s="26" t="inlineStr">
        <is>
          <t>No</t>
        </is>
      </c>
      <c r="R61" s="44" t="inlineStr">
        <is>
          <t>Not Available</t>
        </is>
      </c>
      <c r="S61" s="26" t="inlineStr">
        <is>
          <t>No</t>
        </is>
      </c>
      <c r="T61" s="27" t="n"/>
      <c r="U61" s="28" t="inlineStr">
        <is>
          <t>Yes</t>
        </is>
      </c>
      <c r="V61" s="29">
        <f>IF(N61="","",IF(Q61="Yes","❌ Disc",IF(P61="No","⚠ Missing",IF(S61="Yes","✓ OK","⚠ Check"))))</f>
        <v/>
      </c>
      <c r="W61" s="65" t="n">
        <v>46248</v>
      </c>
      <c r="X61" s="30" t="inlineStr">
        <is>
          <t>Sunil CR</t>
        </is>
      </c>
      <c r="Y61" s="30" t="inlineStr">
        <is>
          <t>No</t>
        </is>
      </c>
      <c r="Z61" s="30" t="n"/>
      <c r="AA61" s="30" t="inlineStr">
        <is>
          <t>Not Available</t>
        </is>
      </c>
      <c r="AB61" s="30" t="inlineStr">
        <is>
          <t>No</t>
        </is>
      </c>
      <c r="AC61" s="27" t="n"/>
      <c r="AD61" s="31" t="inlineStr">
        <is>
          <t>Yes</t>
        </is>
      </c>
      <c r="AE61" s="32">
        <f>IF(W61="","",IF(Z61="Yes","❌ Disc",IF(Y61="No","⚠ Missing",IF(AB61="Yes","✓ OK","⚠ Check"))))</f>
        <v/>
      </c>
      <c r="AF61" s="33" t="n"/>
      <c r="AG61" s="33" t="n"/>
      <c r="AH61" s="33" t="n"/>
      <c r="AI61" s="33" t="n"/>
      <c r="AJ61" s="33" t="n"/>
      <c r="AK61" s="33" t="n"/>
      <c r="AL61" s="27" t="n"/>
      <c r="AM61" s="34" t="n"/>
      <c r="AN61" s="35">
        <f>IF(AF61="","",IF(AI61="Yes","❌ Disc",IF(AH61="No","⚠ Missing",IF(AK61="Yes","✓ OK","⚠ Check"))))</f>
        <v/>
      </c>
      <c r="AO61" s="36" t="n"/>
      <c r="AP61" s="36" t="n"/>
      <c r="AQ61" s="36" t="n"/>
      <c r="AR61" s="36" t="n"/>
      <c r="AS61" s="36" t="n"/>
      <c r="AT61" s="36" t="n"/>
      <c r="AU61" s="27" t="n"/>
      <c r="AV61" s="37" t="n"/>
      <c r="AW61" s="38">
        <f>IF(AO61="","",IF(AR61="Yes","❌ Disc",IF(AQ61="No","⚠ Missing",IF(AT61="Yes","✓ OK","⚠ Check"))))</f>
        <v/>
      </c>
    </row>
    <row r="62" ht="18" customHeight="1" s="46">
      <c r="A62" s="39" t="n">
        <v>58</v>
      </c>
      <c r="B62" s="40" t="inlineStr">
        <is>
          <t>BD-HNA-2025-0282</t>
        </is>
      </c>
      <c r="C62" s="41" t="inlineStr">
        <is>
          <t>Bonito Handles - CL-523(K.E-CH) - Black Concealed Handle  - 127mm</t>
        </is>
      </c>
      <c r="D62" s="39" t="inlineStr">
        <is>
          <t>Bonito Handles</t>
        </is>
      </c>
      <c r="E62" s="43" t="n">
        <v>46125</v>
      </c>
      <c r="F62" s="26" t="inlineStr">
        <is>
          <t>Sunil CR</t>
        </is>
      </c>
      <c r="G62" s="44" t="inlineStr">
        <is>
          <t>No</t>
        </is>
      </c>
      <c r="H62" s="26" t="inlineStr">
        <is>
          <t>No</t>
        </is>
      </c>
      <c r="I62" s="44" t="inlineStr">
        <is>
          <t>Not Available</t>
        </is>
      </c>
      <c r="J62" s="26" t="inlineStr">
        <is>
          <t>No</t>
        </is>
      </c>
      <c r="K62" s="27" t="n"/>
      <c r="L62" s="28" t="inlineStr">
        <is>
          <t>Yes</t>
        </is>
      </c>
      <c r="M62" s="29">
        <f>IF(E62="","",IF(H62="Yes","❌ Disc",IF(G62="No","⚠ Missing",IF(J62="Yes","✓ OK","⚠ Check"))))</f>
        <v/>
      </c>
      <c r="N62" s="43" t="n">
        <v>46196</v>
      </c>
      <c r="O62" s="26" t="inlineStr">
        <is>
          <t>Sunil CR</t>
        </is>
      </c>
      <c r="P62" s="44" t="inlineStr">
        <is>
          <t>No</t>
        </is>
      </c>
      <c r="Q62" s="26" t="inlineStr">
        <is>
          <t>No</t>
        </is>
      </c>
      <c r="R62" s="44" t="inlineStr">
        <is>
          <t>Not Available</t>
        </is>
      </c>
      <c r="S62" s="26" t="inlineStr">
        <is>
          <t>No</t>
        </is>
      </c>
      <c r="T62" s="27" t="n"/>
      <c r="U62" s="28" t="inlineStr">
        <is>
          <t>Yes</t>
        </is>
      </c>
      <c r="V62" s="29">
        <f>IF(N62="","",IF(Q62="Yes","❌ Disc",IF(P62="No","⚠ Missing",IF(S62="Yes","✓ OK","⚠ Check"))))</f>
        <v/>
      </c>
      <c r="W62" s="65" t="n">
        <v>46248</v>
      </c>
      <c r="X62" s="30" t="inlineStr">
        <is>
          <t>Sunil CR</t>
        </is>
      </c>
      <c r="Y62" s="30" t="inlineStr">
        <is>
          <t>No</t>
        </is>
      </c>
      <c r="Z62" s="30" t="n"/>
      <c r="AA62" s="30" t="inlineStr">
        <is>
          <t>Not Available</t>
        </is>
      </c>
      <c r="AB62" s="30" t="inlineStr">
        <is>
          <t>No</t>
        </is>
      </c>
      <c r="AC62" s="27" t="n"/>
      <c r="AD62" s="31" t="inlineStr">
        <is>
          <t>Yes</t>
        </is>
      </c>
      <c r="AE62" s="32">
        <f>IF(W62="","",IF(Z62="Yes","❌ Disc",IF(Y62="No","⚠ Missing",IF(AB62="Yes","✓ OK","⚠ Check"))))</f>
        <v/>
      </c>
      <c r="AF62" s="33" t="n"/>
      <c r="AG62" s="33" t="n"/>
      <c r="AH62" s="33" t="n"/>
      <c r="AI62" s="33" t="n"/>
      <c r="AJ62" s="33" t="n"/>
      <c r="AK62" s="33" t="n"/>
      <c r="AL62" s="27" t="n"/>
      <c r="AM62" s="34" t="n"/>
      <c r="AN62" s="35">
        <f>IF(AF62="","",IF(AI62="Yes","❌ Disc",IF(AH62="No","⚠ Missing",IF(AK62="Yes","✓ OK","⚠ Check"))))</f>
        <v/>
      </c>
      <c r="AO62" s="36" t="n"/>
      <c r="AP62" s="36" t="n"/>
      <c r="AQ62" s="36" t="n"/>
      <c r="AR62" s="36" t="n"/>
      <c r="AS62" s="36" t="n"/>
      <c r="AT62" s="36" t="n"/>
      <c r="AU62" s="27" t="n"/>
      <c r="AV62" s="37" t="n"/>
      <c r="AW62" s="38">
        <f>IF(AO62="","",IF(AR62="Yes","❌ Disc",IF(AQ62="No","⚠ Missing",IF(AT62="Yes","✓ OK","⚠ Check"))))</f>
        <v/>
      </c>
    </row>
    <row r="63" ht="18" customHeight="1" s="46">
      <c r="A63" s="23" t="n">
        <v>59</v>
      </c>
      <c r="B63" s="24" t="inlineStr">
        <is>
          <t>BD-HNA-2025-0283</t>
        </is>
      </c>
      <c r="C63" s="25" t="inlineStr">
        <is>
          <t>Bonito Handles - CL-523(K.E-CH) - Black Concealed Handle  - 192mm</t>
        </is>
      </c>
      <c r="D63" s="23" t="inlineStr">
        <is>
          <t>Bonito Handles</t>
        </is>
      </c>
      <c r="E63" s="43" t="n">
        <v>46125</v>
      </c>
      <c r="F63" s="26" t="inlineStr">
        <is>
          <t>Sunil CR</t>
        </is>
      </c>
      <c r="G63" s="44" t="inlineStr">
        <is>
          <t>No</t>
        </is>
      </c>
      <c r="H63" s="26" t="inlineStr">
        <is>
          <t>No</t>
        </is>
      </c>
      <c r="I63" s="44" t="inlineStr">
        <is>
          <t>Not Available</t>
        </is>
      </c>
      <c r="J63" s="26" t="inlineStr">
        <is>
          <t>No</t>
        </is>
      </c>
      <c r="K63" s="27" t="n"/>
      <c r="L63" s="28" t="inlineStr">
        <is>
          <t>Yes</t>
        </is>
      </c>
      <c r="M63" s="29">
        <f>IF(E63="","",IF(H63="Yes","❌ Disc",IF(G63="No","⚠ Missing",IF(J63="Yes","✓ OK","⚠ Check"))))</f>
        <v/>
      </c>
      <c r="N63" s="43" t="n">
        <v>46196</v>
      </c>
      <c r="O63" s="26" t="inlineStr">
        <is>
          <t>Sunil CR</t>
        </is>
      </c>
      <c r="P63" s="44" t="inlineStr">
        <is>
          <t>No</t>
        </is>
      </c>
      <c r="Q63" s="26" t="inlineStr">
        <is>
          <t>No</t>
        </is>
      </c>
      <c r="R63" s="44" t="inlineStr">
        <is>
          <t>Not Available</t>
        </is>
      </c>
      <c r="S63" s="26" t="inlineStr">
        <is>
          <t>No</t>
        </is>
      </c>
      <c r="T63" s="27" t="n"/>
      <c r="U63" s="28" t="inlineStr">
        <is>
          <t>Yes</t>
        </is>
      </c>
      <c r="V63" s="29">
        <f>IF(N63="","",IF(Q63="Yes","❌ Disc",IF(P63="No","⚠ Missing",IF(S63="Yes","✓ OK","⚠ Check"))))</f>
        <v/>
      </c>
      <c r="W63" s="65" t="n">
        <v>46248</v>
      </c>
      <c r="X63" s="30" t="inlineStr">
        <is>
          <t>Sunil CR</t>
        </is>
      </c>
      <c r="Y63" s="30" t="inlineStr">
        <is>
          <t>No</t>
        </is>
      </c>
      <c r="Z63" s="30" t="n"/>
      <c r="AA63" s="30" t="inlineStr">
        <is>
          <t>Not Available</t>
        </is>
      </c>
      <c r="AB63" s="30" t="inlineStr">
        <is>
          <t>No</t>
        </is>
      </c>
      <c r="AC63" s="27" t="n"/>
      <c r="AD63" s="31" t="inlineStr">
        <is>
          <t>Yes</t>
        </is>
      </c>
      <c r="AE63" s="32">
        <f>IF(W63="","",IF(Z63="Yes","❌ Disc",IF(Y63="No","⚠ Missing",IF(AB63="Yes","✓ OK","⚠ Check"))))</f>
        <v/>
      </c>
      <c r="AF63" s="33" t="n"/>
      <c r="AG63" s="33" t="n"/>
      <c r="AH63" s="33" t="n"/>
      <c r="AI63" s="33" t="n"/>
      <c r="AJ63" s="33" t="n"/>
      <c r="AK63" s="33" t="n"/>
      <c r="AL63" s="27" t="n"/>
      <c r="AM63" s="34" t="n"/>
      <c r="AN63" s="35">
        <f>IF(AF63="","",IF(AI63="Yes","❌ Disc",IF(AH63="No","⚠ Missing",IF(AK63="Yes","✓ OK","⚠ Check"))))</f>
        <v/>
      </c>
      <c r="AO63" s="36" t="n"/>
      <c r="AP63" s="36" t="n"/>
      <c r="AQ63" s="36" t="n"/>
      <c r="AR63" s="36" t="n"/>
      <c r="AS63" s="36" t="n"/>
      <c r="AT63" s="36" t="n"/>
      <c r="AU63" s="27" t="n"/>
      <c r="AV63" s="37" t="n"/>
      <c r="AW63" s="38">
        <f>IF(AO63="","",IF(AR63="Yes","❌ Disc",IF(AQ63="No","⚠ Missing",IF(AT63="Yes","✓ OK","⚠ Check"))))</f>
        <v/>
      </c>
    </row>
    <row r="64" ht="18" customHeight="1" s="46">
      <c r="A64" s="39" t="n">
        <v>60</v>
      </c>
      <c r="B64" s="40" t="inlineStr">
        <is>
          <t>BD-HNA-2025-0284</t>
        </is>
      </c>
      <c r="C64" s="41" t="inlineStr">
        <is>
          <t>Bonito Handles - CL-523(K.E-CH) - Black Concealed Handle  - 255mm</t>
        </is>
      </c>
      <c r="D64" s="39" t="inlineStr">
        <is>
          <t>Bonito Handles</t>
        </is>
      </c>
      <c r="E64" s="43" t="n">
        <v>46125</v>
      </c>
      <c r="F64" s="26" t="inlineStr">
        <is>
          <t>Sunil CR</t>
        </is>
      </c>
      <c r="G64" s="44" t="inlineStr">
        <is>
          <t>No</t>
        </is>
      </c>
      <c r="H64" s="26" t="inlineStr">
        <is>
          <t>No</t>
        </is>
      </c>
      <c r="I64" s="44" t="inlineStr">
        <is>
          <t>Not Available</t>
        </is>
      </c>
      <c r="J64" s="26" t="inlineStr">
        <is>
          <t>No</t>
        </is>
      </c>
      <c r="K64" s="27" t="n"/>
      <c r="L64" s="28" t="inlineStr">
        <is>
          <t>Yes</t>
        </is>
      </c>
      <c r="M64" s="29">
        <f>IF(E64="","",IF(H64="Yes","❌ Disc",IF(G64="No","⚠ Missing",IF(J64="Yes","✓ OK","⚠ Check"))))</f>
        <v/>
      </c>
      <c r="N64" s="43" t="n">
        <v>46196</v>
      </c>
      <c r="O64" s="26" t="inlineStr">
        <is>
          <t>Sunil CR</t>
        </is>
      </c>
      <c r="P64" s="44" t="inlineStr">
        <is>
          <t>No</t>
        </is>
      </c>
      <c r="Q64" s="26" t="inlineStr">
        <is>
          <t>No</t>
        </is>
      </c>
      <c r="R64" s="44" t="inlineStr">
        <is>
          <t>Not Available</t>
        </is>
      </c>
      <c r="S64" s="26" t="inlineStr">
        <is>
          <t>No</t>
        </is>
      </c>
      <c r="T64" s="27" t="n"/>
      <c r="U64" s="28" t="inlineStr">
        <is>
          <t>Yes</t>
        </is>
      </c>
      <c r="V64" s="29">
        <f>IF(N64="","",IF(Q64="Yes","❌ Disc",IF(P64="No","⚠ Missing",IF(S64="Yes","✓ OK","⚠ Check"))))</f>
        <v/>
      </c>
      <c r="W64" s="65" t="n">
        <v>46248</v>
      </c>
      <c r="X64" s="30" t="inlineStr">
        <is>
          <t>Sunil CR</t>
        </is>
      </c>
      <c r="Y64" s="30" t="inlineStr">
        <is>
          <t>No</t>
        </is>
      </c>
      <c r="Z64" s="30" t="n"/>
      <c r="AA64" s="30" t="inlineStr">
        <is>
          <t>Not Available</t>
        </is>
      </c>
      <c r="AB64" s="30" t="inlineStr">
        <is>
          <t>No</t>
        </is>
      </c>
      <c r="AC64" s="27" t="n"/>
      <c r="AD64" s="31" t="inlineStr">
        <is>
          <t>Yes</t>
        </is>
      </c>
      <c r="AE64" s="32">
        <f>IF(W64="","",IF(Z64="Yes","❌ Disc",IF(Y64="No","⚠ Missing",IF(AB64="Yes","✓ OK","⚠ Check"))))</f>
        <v/>
      </c>
      <c r="AF64" s="33" t="n"/>
      <c r="AG64" s="33" t="n"/>
      <c r="AH64" s="33" t="n"/>
      <c r="AI64" s="33" t="n"/>
      <c r="AJ64" s="33" t="n"/>
      <c r="AK64" s="33" t="n"/>
      <c r="AL64" s="27" t="n"/>
      <c r="AM64" s="34" t="n"/>
      <c r="AN64" s="35">
        <f>IF(AF64="","",IF(AI64="Yes","❌ Disc",IF(AH64="No","⚠ Missing",IF(AK64="Yes","✓ OK","⚠ Check"))))</f>
        <v/>
      </c>
      <c r="AO64" s="36" t="n"/>
      <c r="AP64" s="36" t="n"/>
      <c r="AQ64" s="36" t="n"/>
      <c r="AR64" s="36" t="n"/>
      <c r="AS64" s="36" t="n"/>
      <c r="AT64" s="36" t="n"/>
      <c r="AU64" s="27" t="n"/>
      <c r="AV64" s="37" t="n"/>
      <c r="AW64" s="38">
        <f>IF(AO64="","",IF(AR64="Yes","❌ Disc",IF(AQ64="No","⚠ Missing",IF(AT64="Yes","✓ OK","⚠ Check"))))</f>
        <v/>
      </c>
    </row>
    <row r="65" ht="18" customHeight="1" s="46">
      <c r="A65" s="23" t="n">
        <v>61</v>
      </c>
      <c r="B65" s="24" t="inlineStr">
        <is>
          <t>BD-HNA-2025-0276</t>
        </is>
      </c>
      <c r="C65" s="25" t="inlineStr">
        <is>
          <t>Bonito Handles - CL-523(K.E-CH) - Gold and Black Concealed Handle  - 127mm</t>
        </is>
      </c>
      <c r="D65" s="23" t="inlineStr">
        <is>
          <t>Bonito Handles</t>
        </is>
      </c>
      <c r="E65" s="43" t="n">
        <v>46125</v>
      </c>
      <c r="F65" s="26" t="inlineStr">
        <is>
          <t>Sunil CR</t>
        </is>
      </c>
      <c r="G65" s="44" t="inlineStr">
        <is>
          <t>No</t>
        </is>
      </c>
      <c r="H65" s="26" t="inlineStr">
        <is>
          <t>No</t>
        </is>
      </c>
      <c r="I65" s="44" t="inlineStr">
        <is>
          <t>Not Available</t>
        </is>
      </c>
      <c r="J65" s="26" t="inlineStr">
        <is>
          <t>No</t>
        </is>
      </c>
      <c r="K65" s="27" t="n"/>
      <c r="L65" s="28" t="inlineStr">
        <is>
          <t>Yes</t>
        </is>
      </c>
      <c r="M65" s="29">
        <f>IF(E65="","",IF(H65="Yes","❌ Disc",IF(G65="No","⚠ Missing",IF(J65="Yes","✓ OK","⚠ Check"))))</f>
        <v/>
      </c>
      <c r="N65" s="43" t="n">
        <v>46196</v>
      </c>
      <c r="O65" s="26" t="inlineStr">
        <is>
          <t>Sunil CR</t>
        </is>
      </c>
      <c r="P65" s="44" t="inlineStr">
        <is>
          <t>No</t>
        </is>
      </c>
      <c r="Q65" s="26" t="inlineStr">
        <is>
          <t>No</t>
        </is>
      </c>
      <c r="R65" s="44" t="inlineStr">
        <is>
          <t>Not Available</t>
        </is>
      </c>
      <c r="S65" s="26" t="inlineStr">
        <is>
          <t>No</t>
        </is>
      </c>
      <c r="T65" s="27" t="n"/>
      <c r="U65" s="28" t="inlineStr">
        <is>
          <t>Yes</t>
        </is>
      </c>
      <c r="V65" s="29">
        <f>IF(N65="","",IF(Q65="Yes","❌ Disc",IF(P65="No","⚠ Missing",IF(S65="Yes","✓ OK","⚠ Check"))))</f>
        <v/>
      </c>
      <c r="W65" s="65" t="n">
        <v>46248</v>
      </c>
      <c r="X65" s="30" t="inlineStr">
        <is>
          <t>Sunil CR</t>
        </is>
      </c>
      <c r="Y65" s="30" t="inlineStr">
        <is>
          <t>No</t>
        </is>
      </c>
      <c r="Z65" s="30" t="n"/>
      <c r="AA65" s="30" t="inlineStr">
        <is>
          <t>Not Available</t>
        </is>
      </c>
      <c r="AB65" s="30" t="inlineStr">
        <is>
          <t>No</t>
        </is>
      </c>
      <c r="AC65" s="27" t="n"/>
      <c r="AD65" s="31" t="inlineStr">
        <is>
          <t>Yes</t>
        </is>
      </c>
      <c r="AE65" s="32">
        <f>IF(W65="","",IF(Z65="Yes","❌ Disc",IF(Y65="No","⚠ Missing",IF(AB65="Yes","✓ OK","⚠ Check"))))</f>
        <v/>
      </c>
      <c r="AF65" s="33" t="n"/>
      <c r="AG65" s="33" t="n"/>
      <c r="AH65" s="33" t="n"/>
      <c r="AI65" s="33" t="n"/>
      <c r="AJ65" s="33" t="n"/>
      <c r="AK65" s="33" t="n"/>
      <c r="AL65" s="27" t="n"/>
      <c r="AM65" s="34" t="n"/>
      <c r="AN65" s="35">
        <f>IF(AF65="","",IF(AI65="Yes","❌ Disc",IF(AH65="No","⚠ Missing",IF(AK65="Yes","✓ OK","⚠ Check"))))</f>
        <v/>
      </c>
      <c r="AO65" s="36" t="n"/>
      <c r="AP65" s="36" t="n"/>
      <c r="AQ65" s="36" t="n"/>
      <c r="AR65" s="36" t="n"/>
      <c r="AS65" s="36" t="n"/>
      <c r="AT65" s="36" t="n"/>
      <c r="AU65" s="27" t="n"/>
      <c r="AV65" s="37" t="n"/>
      <c r="AW65" s="38">
        <f>IF(AO65="","",IF(AR65="Yes","❌ Disc",IF(AQ65="No","⚠ Missing",IF(AT65="Yes","✓ OK","⚠ Check"))))</f>
        <v/>
      </c>
    </row>
    <row r="66" ht="18" customHeight="1" s="46">
      <c r="A66" s="39" t="n">
        <v>62</v>
      </c>
      <c r="B66" s="40" t="inlineStr">
        <is>
          <t>BD-HNA-2025-0277</t>
        </is>
      </c>
      <c r="C66" s="41" t="inlineStr">
        <is>
          <t>Bonito Handles - CL-523(K.E-CH) - Gold and Black Concealed Handle  - 192mm</t>
        </is>
      </c>
      <c r="D66" s="39" t="inlineStr">
        <is>
          <t>Bonito Handles</t>
        </is>
      </c>
      <c r="E66" s="43" t="n">
        <v>46125</v>
      </c>
      <c r="F66" s="26" t="inlineStr">
        <is>
          <t>Sunil CR</t>
        </is>
      </c>
      <c r="G66" s="44" t="inlineStr">
        <is>
          <t>No</t>
        </is>
      </c>
      <c r="H66" s="26" t="inlineStr">
        <is>
          <t>No</t>
        </is>
      </c>
      <c r="I66" s="44" t="inlineStr">
        <is>
          <t>Not Available</t>
        </is>
      </c>
      <c r="J66" s="26" t="inlineStr">
        <is>
          <t>No</t>
        </is>
      </c>
      <c r="K66" s="27" t="n"/>
      <c r="L66" s="28" t="inlineStr">
        <is>
          <t>Yes</t>
        </is>
      </c>
      <c r="M66" s="29">
        <f>IF(E66="","",IF(H66="Yes","❌ Disc",IF(G66="No","⚠ Missing",IF(J66="Yes","✓ OK","⚠ Check"))))</f>
        <v/>
      </c>
      <c r="N66" s="43" t="n">
        <v>46196</v>
      </c>
      <c r="O66" s="26" t="inlineStr">
        <is>
          <t>Sunil CR</t>
        </is>
      </c>
      <c r="P66" s="44" t="inlineStr">
        <is>
          <t>No</t>
        </is>
      </c>
      <c r="Q66" s="26" t="inlineStr">
        <is>
          <t>No</t>
        </is>
      </c>
      <c r="R66" s="44" t="inlineStr">
        <is>
          <t>Not Available</t>
        </is>
      </c>
      <c r="S66" s="26" t="inlineStr">
        <is>
          <t>No</t>
        </is>
      </c>
      <c r="T66" s="27" t="n"/>
      <c r="U66" s="28" t="inlineStr">
        <is>
          <t>Yes</t>
        </is>
      </c>
      <c r="V66" s="29">
        <f>IF(N66="","",IF(Q66="Yes","❌ Disc",IF(P66="No","⚠ Missing",IF(S66="Yes","✓ OK","⚠ Check"))))</f>
        <v/>
      </c>
      <c r="W66" s="65" t="n">
        <v>46248</v>
      </c>
      <c r="X66" s="30" t="inlineStr">
        <is>
          <t>Sunil CR</t>
        </is>
      </c>
      <c r="Y66" s="30" t="inlineStr">
        <is>
          <t>No</t>
        </is>
      </c>
      <c r="Z66" s="30" t="n"/>
      <c r="AA66" s="30" t="inlineStr">
        <is>
          <t>Not Available</t>
        </is>
      </c>
      <c r="AB66" s="30" t="inlineStr">
        <is>
          <t>No</t>
        </is>
      </c>
      <c r="AC66" s="27" t="n"/>
      <c r="AD66" s="31" t="inlineStr">
        <is>
          <t>Yes</t>
        </is>
      </c>
      <c r="AE66" s="32">
        <f>IF(W66="","",IF(Z66="Yes","❌ Disc",IF(Y66="No","⚠ Missing",IF(AB66="Yes","✓ OK","⚠ Check"))))</f>
        <v/>
      </c>
      <c r="AF66" s="33" t="n"/>
      <c r="AG66" s="33" t="n"/>
      <c r="AH66" s="33" t="n"/>
      <c r="AI66" s="33" t="n"/>
      <c r="AJ66" s="33" t="n"/>
      <c r="AK66" s="33" t="n"/>
      <c r="AL66" s="27" t="n"/>
      <c r="AM66" s="34" t="n"/>
      <c r="AN66" s="35">
        <f>IF(AF66="","",IF(AI66="Yes","❌ Disc",IF(AH66="No","⚠ Missing",IF(AK66="Yes","✓ OK","⚠ Check"))))</f>
        <v/>
      </c>
      <c r="AO66" s="36" t="n"/>
      <c r="AP66" s="36" t="n"/>
      <c r="AQ66" s="36" t="n"/>
      <c r="AR66" s="36" t="n"/>
      <c r="AS66" s="36" t="n"/>
      <c r="AT66" s="36" t="n"/>
      <c r="AU66" s="27" t="n"/>
      <c r="AV66" s="37" t="n"/>
      <c r="AW66" s="38">
        <f>IF(AO66="","",IF(AR66="Yes","❌ Disc",IF(AQ66="No","⚠ Missing",IF(AT66="Yes","✓ OK","⚠ Check"))))</f>
        <v/>
      </c>
    </row>
    <row r="67" ht="18" customHeight="1" s="46">
      <c r="A67" s="23" t="n">
        <v>63</v>
      </c>
      <c r="B67" s="24" t="inlineStr">
        <is>
          <t>BD-HNA-2025-0278</t>
        </is>
      </c>
      <c r="C67" s="25" t="inlineStr">
        <is>
          <t>Bonito Handles - CL-523(K.E-CH) - Gold and Black Concealed Handle  - 255mm</t>
        </is>
      </c>
      <c r="D67" s="23" t="inlineStr">
        <is>
          <t>Bonito Handles</t>
        </is>
      </c>
      <c r="E67" s="43" t="n">
        <v>46125</v>
      </c>
      <c r="F67" s="26" t="inlineStr">
        <is>
          <t>Sunil CR</t>
        </is>
      </c>
      <c r="G67" s="44" t="inlineStr">
        <is>
          <t>No</t>
        </is>
      </c>
      <c r="H67" s="26" t="inlineStr">
        <is>
          <t>No</t>
        </is>
      </c>
      <c r="I67" s="44" t="inlineStr">
        <is>
          <t>Not Available</t>
        </is>
      </c>
      <c r="J67" s="26" t="inlineStr">
        <is>
          <t>No</t>
        </is>
      </c>
      <c r="K67" s="27" t="n"/>
      <c r="L67" s="28" t="inlineStr">
        <is>
          <t>Yes</t>
        </is>
      </c>
      <c r="M67" s="29">
        <f>IF(E67="","",IF(H67="Yes","❌ Disc",IF(G67="No","⚠ Missing",IF(J67="Yes","✓ OK","⚠ Check"))))</f>
        <v/>
      </c>
      <c r="N67" s="43" t="n">
        <v>46196</v>
      </c>
      <c r="O67" s="26" t="inlineStr">
        <is>
          <t>Sunil CR</t>
        </is>
      </c>
      <c r="P67" s="44" t="inlineStr">
        <is>
          <t>No</t>
        </is>
      </c>
      <c r="Q67" s="26" t="inlineStr">
        <is>
          <t>No</t>
        </is>
      </c>
      <c r="R67" s="44" t="inlineStr">
        <is>
          <t>Not Available</t>
        </is>
      </c>
      <c r="S67" s="26" t="inlineStr">
        <is>
          <t>No</t>
        </is>
      </c>
      <c r="T67" s="27" t="n"/>
      <c r="U67" s="28" t="inlineStr">
        <is>
          <t>Yes</t>
        </is>
      </c>
      <c r="V67" s="29">
        <f>IF(N67="","",IF(Q67="Yes","❌ Disc",IF(P67="No","⚠ Missing",IF(S67="Yes","✓ OK","⚠ Check"))))</f>
        <v/>
      </c>
      <c r="W67" s="65" t="n">
        <v>46248</v>
      </c>
      <c r="X67" s="30" t="inlineStr">
        <is>
          <t>Sunil CR</t>
        </is>
      </c>
      <c r="Y67" s="30" t="inlineStr">
        <is>
          <t>No</t>
        </is>
      </c>
      <c r="Z67" s="30" t="n"/>
      <c r="AA67" s="30" t="inlineStr">
        <is>
          <t>Not Available</t>
        </is>
      </c>
      <c r="AB67" s="30" t="inlineStr">
        <is>
          <t>No</t>
        </is>
      </c>
      <c r="AC67" s="27" t="n"/>
      <c r="AD67" s="31" t="inlineStr">
        <is>
          <t>Yes</t>
        </is>
      </c>
      <c r="AE67" s="32">
        <f>IF(W67="","",IF(Z67="Yes","❌ Disc",IF(Y67="No","⚠ Missing",IF(AB67="Yes","✓ OK","⚠ Check"))))</f>
        <v/>
      </c>
      <c r="AF67" s="33" t="n"/>
      <c r="AG67" s="33" t="n"/>
      <c r="AH67" s="33" t="n"/>
      <c r="AI67" s="33" t="n"/>
      <c r="AJ67" s="33" t="n"/>
      <c r="AK67" s="33" t="n"/>
      <c r="AL67" s="27" t="n"/>
      <c r="AM67" s="34" t="n"/>
      <c r="AN67" s="35">
        <f>IF(AF67="","",IF(AI67="Yes","❌ Disc",IF(AH67="No","⚠ Missing",IF(AK67="Yes","✓ OK","⚠ Check"))))</f>
        <v/>
      </c>
      <c r="AO67" s="36" t="n"/>
      <c r="AP67" s="36" t="n"/>
      <c r="AQ67" s="36" t="n"/>
      <c r="AR67" s="36" t="n"/>
      <c r="AS67" s="36" t="n"/>
      <c r="AT67" s="36" t="n"/>
      <c r="AU67" s="27" t="n"/>
      <c r="AV67" s="37" t="n"/>
      <c r="AW67" s="38">
        <f>IF(AO67="","",IF(AR67="Yes","❌ Disc",IF(AQ67="No","⚠ Missing",IF(AT67="Yes","✓ OK","⚠ Check"))))</f>
        <v/>
      </c>
    </row>
    <row r="68" ht="18" customHeight="1" s="46">
      <c r="A68" s="39" t="n">
        <v>64</v>
      </c>
      <c r="B68" s="40" t="inlineStr">
        <is>
          <t>BD-HNA-2025-0279</t>
        </is>
      </c>
      <c r="C68" s="41" t="inlineStr">
        <is>
          <t>Bonito Handles - CL-523(K.E-CH) - Rose Gold Concealed Handle  - 127mm</t>
        </is>
      </c>
      <c r="D68" s="39" t="inlineStr">
        <is>
          <t>Bonito Handles</t>
        </is>
      </c>
      <c r="E68" s="43" t="n">
        <v>46125</v>
      </c>
      <c r="F68" s="26" t="inlineStr">
        <is>
          <t>Sunil CR</t>
        </is>
      </c>
      <c r="G68" s="44" t="inlineStr">
        <is>
          <t>No</t>
        </is>
      </c>
      <c r="H68" s="26" t="inlineStr">
        <is>
          <t>No</t>
        </is>
      </c>
      <c r="I68" s="44" t="inlineStr">
        <is>
          <t>Not Available</t>
        </is>
      </c>
      <c r="J68" s="26" t="inlineStr">
        <is>
          <t>No</t>
        </is>
      </c>
      <c r="K68" s="27" t="n"/>
      <c r="L68" s="28" t="inlineStr">
        <is>
          <t>Yes</t>
        </is>
      </c>
      <c r="M68" s="29">
        <f>IF(E68="","",IF(H68="Yes","❌ Disc",IF(G68="No","⚠ Missing",IF(J68="Yes","✓ OK","⚠ Check"))))</f>
        <v/>
      </c>
      <c r="N68" s="43" t="n">
        <v>46196</v>
      </c>
      <c r="O68" s="26" t="inlineStr">
        <is>
          <t>Sunil CR</t>
        </is>
      </c>
      <c r="P68" s="44" t="inlineStr">
        <is>
          <t>No</t>
        </is>
      </c>
      <c r="Q68" s="26" t="inlineStr">
        <is>
          <t>No</t>
        </is>
      </c>
      <c r="R68" s="44" t="inlineStr">
        <is>
          <t>Not Available</t>
        </is>
      </c>
      <c r="S68" s="26" t="inlineStr">
        <is>
          <t>No</t>
        </is>
      </c>
      <c r="T68" s="27" t="n"/>
      <c r="U68" s="28" t="inlineStr">
        <is>
          <t>Yes</t>
        </is>
      </c>
      <c r="V68" s="29">
        <f>IF(N68="","",IF(Q68="Yes","❌ Disc",IF(P68="No","⚠ Missing",IF(S68="Yes","✓ OK","⚠ Check"))))</f>
        <v/>
      </c>
      <c r="W68" s="65" t="n">
        <v>46248</v>
      </c>
      <c r="X68" s="30" t="inlineStr">
        <is>
          <t>Sunil CR</t>
        </is>
      </c>
      <c r="Y68" s="30" t="inlineStr">
        <is>
          <t>No</t>
        </is>
      </c>
      <c r="Z68" s="30" t="n"/>
      <c r="AA68" s="30" t="inlineStr">
        <is>
          <t>Not Available</t>
        </is>
      </c>
      <c r="AB68" s="30" t="inlineStr">
        <is>
          <t>No</t>
        </is>
      </c>
      <c r="AC68" s="27" t="n"/>
      <c r="AD68" s="31" t="inlineStr">
        <is>
          <t>Yes</t>
        </is>
      </c>
      <c r="AE68" s="32">
        <f>IF(W68="","",IF(Z68="Yes","❌ Disc",IF(Y68="No","⚠ Missing",IF(AB68="Yes","✓ OK","⚠ Check"))))</f>
        <v/>
      </c>
      <c r="AF68" s="33" t="n"/>
      <c r="AG68" s="33" t="n"/>
      <c r="AH68" s="33" t="n"/>
      <c r="AI68" s="33" t="n"/>
      <c r="AJ68" s="33" t="n"/>
      <c r="AK68" s="33" t="n"/>
      <c r="AL68" s="27" t="n"/>
      <c r="AM68" s="34" t="n"/>
      <c r="AN68" s="35">
        <f>IF(AF68="","",IF(AI68="Yes","❌ Disc",IF(AH68="No","⚠ Missing",IF(AK68="Yes","✓ OK","⚠ Check"))))</f>
        <v/>
      </c>
      <c r="AO68" s="36" t="n"/>
      <c r="AP68" s="36" t="n"/>
      <c r="AQ68" s="36" t="n"/>
      <c r="AR68" s="36" t="n"/>
      <c r="AS68" s="36" t="n"/>
      <c r="AT68" s="36" t="n"/>
      <c r="AU68" s="27" t="n"/>
      <c r="AV68" s="37" t="n"/>
      <c r="AW68" s="38">
        <f>IF(AO68="","",IF(AR68="Yes","❌ Disc",IF(AQ68="No","⚠ Missing",IF(AT68="Yes","✓ OK","⚠ Check"))))</f>
        <v/>
      </c>
    </row>
    <row r="69" ht="18" customHeight="1" s="46">
      <c r="A69" s="23" t="n">
        <v>65</v>
      </c>
      <c r="B69" s="24" t="inlineStr">
        <is>
          <t>BD-HNA-2025-0280</t>
        </is>
      </c>
      <c r="C69" s="25" t="inlineStr">
        <is>
          <t>Bonito Handles - CL-523(K.E-CH) - Rose Gold Concealed Handle  - 192mm</t>
        </is>
      </c>
      <c r="D69" s="23" t="inlineStr">
        <is>
          <t>Bonito Handles</t>
        </is>
      </c>
      <c r="E69" s="43" t="n">
        <v>46125</v>
      </c>
      <c r="F69" s="26" t="inlineStr">
        <is>
          <t>Sunil CR</t>
        </is>
      </c>
      <c r="G69" s="44" t="inlineStr">
        <is>
          <t>No</t>
        </is>
      </c>
      <c r="H69" s="26" t="inlineStr">
        <is>
          <t>No</t>
        </is>
      </c>
      <c r="I69" s="44" t="inlineStr">
        <is>
          <t>Not Available</t>
        </is>
      </c>
      <c r="J69" s="26" t="inlineStr">
        <is>
          <t>No</t>
        </is>
      </c>
      <c r="K69" s="27" t="n"/>
      <c r="L69" s="28" t="inlineStr">
        <is>
          <t>Yes</t>
        </is>
      </c>
      <c r="M69" s="29">
        <f>IF(E69="","",IF(H69="Yes","❌ Disc",IF(G69="No","⚠ Missing",IF(J69="Yes","✓ OK","⚠ Check"))))</f>
        <v/>
      </c>
      <c r="N69" s="43" t="n">
        <v>46196</v>
      </c>
      <c r="O69" s="26" t="inlineStr">
        <is>
          <t>Sunil CR</t>
        </is>
      </c>
      <c r="P69" s="44" t="inlineStr">
        <is>
          <t>No</t>
        </is>
      </c>
      <c r="Q69" s="26" t="inlineStr">
        <is>
          <t>No</t>
        </is>
      </c>
      <c r="R69" s="44" t="inlineStr">
        <is>
          <t>Not Available</t>
        </is>
      </c>
      <c r="S69" s="26" t="inlineStr">
        <is>
          <t>No</t>
        </is>
      </c>
      <c r="T69" s="27" t="n"/>
      <c r="U69" s="28" t="inlineStr">
        <is>
          <t>Yes</t>
        </is>
      </c>
      <c r="V69" s="29">
        <f>IF(N69="","",IF(Q69="Yes","❌ Disc",IF(P69="No","⚠ Missing",IF(S69="Yes","✓ OK","⚠ Check"))))</f>
        <v/>
      </c>
      <c r="W69" s="65" t="n">
        <v>46248</v>
      </c>
      <c r="X69" s="30" t="inlineStr">
        <is>
          <t>Sunil CR</t>
        </is>
      </c>
      <c r="Y69" s="30" t="inlineStr">
        <is>
          <t>No</t>
        </is>
      </c>
      <c r="Z69" s="30" t="n"/>
      <c r="AA69" s="30" t="inlineStr">
        <is>
          <t>Not Available</t>
        </is>
      </c>
      <c r="AB69" s="30" t="inlineStr">
        <is>
          <t>No</t>
        </is>
      </c>
      <c r="AC69" s="27" t="n"/>
      <c r="AD69" s="31" t="inlineStr">
        <is>
          <t>Yes</t>
        </is>
      </c>
      <c r="AE69" s="32">
        <f>IF(W69="","",IF(Z69="Yes","❌ Disc",IF(Y69="No","⚠ Missing",IF(AB69="Yes","✓ OK","⚠ Check"))))</f>
        <v/>
      </c>
      <c r="AF69" s="33" t="n"/>
      <c r="AG69" s="33" t="n"/>
      <c r="AH69" s="33" t="n"/>
      <c r="AI69" s="33" t="n"/>
      <c r="AJ69" s="33" t="n"/>
      <c r="AK69" s="33" t="n"/>
      <c r="AL69" s="27" t="n"/>
      <c r="AM69" s="34" t="n"/>
      <c r="AN69" s="35">
        <f>IF(AF69="","",IF(AI69="Yes","❌ Disc",IF(AH69="No","⚠ Missing",IF(AK69="Yes","✓ OK","⚠ Check"))))</f>
        <v/>
      </c>
      <c r="AO69" s="36" t="n"/>
      <c r="AP69" s="36" t="n"/>
      <c r="AQ69" s="36" t="n"/>
      <c r="AR69" s="36" t="n"/>
      <c r="AS69" s="36" t="n"/>
      <c r="AT69" s="36" t="n"/>
      <c r="AU69" s="27" t="n"/>
      <c r="AV69" s="37" t="n"/>
      <c r="AW69" s="38">
        <f>IF(AO69="","",IF(AR69="Yes","❌ Disc",IF(AQ69="No","⚠ Missing",IF(AT69="Yes","✓ OK","⚠ Check"))))</f>
        <v/>
      </c>
    </row>
    <row r="70" ht="18" customHeight="1" s="46">
      <c r="A70" s="39" t="n">
        <v>66</v>
      </c>
      <c r="B70" s="40" t="inlineStr">
        <is>
          <t>BD-HNA-2025-0281</t>
        </is>
      </c>
      <c r="C70" s="41" t="inlineStr">
        <is>
          <t>Bonito Handles - CL-523(K.E-CH) - Rose Gold Concealed Handle  - 255mm</t>
        </is>
      </c>
      <c r="D70" s="39" t="inlineStr">
        <is>
          <t>Bonito Handles</t>
        </is>
      </c>
      <c r="E70" s="43" t="n">
        <v>46125</v>
      </c>
      <c r="F70" s="26" t="inlineStr">
        <is>
          <t>Sunil CR</t>
        </is>
      </c>
      <c r="G70" s="44" t="inlineStr">
        <is>
          <t>No</t>
        </is>
      </c>
      <c r="H70" s="26" t="inlineStr">
        <is>
          <t>No</t>
        </is>
      </c>
      <c r="I70" s="44" t="inlineStr">
        <is>
          <t>Not Available</t>
        </is>
      </c>
      <c r="J70" s="26" t="inlineStr">
        <is>
          <t>No</t>
        </is>
      </c>
      <c r="K70" s="27" t="n"/>
      <c r="L70" s="28" t="inlineStr">
        <is>
          <t>Yes</t>
        </is>
      </c>
      <c r="M70" s="29">
        <f>IF(E70="","",IF(H70="Yes","❌ Disc",IF(G70="No","⚠ Missing",IF(J70="Yes","✓ OK","⚠ Check"))))</f>
        <v/>
      </c>
      <c r="N70" s="43" t="n">
        <v>46196</v>
      </c>
      <c r="O70" s="26" t="inlineStr">
        <is>
          <t>Sunil CR</t>
        </is>
      </c>
      <c r="P70" s="44" t="inlineStr">
        <is>
          <t>No</t>
        </is>
      </c>
      <c r="Q70" s="26" t="inlineStr">
        <is>
          <t>No</t>
        </is>
      </c>
      <c r="R70" s="44" t="inlineStr">
        <is>
          <t>Not Available</t>
        </is>
      </c>
      <c r="S70" s="26" t="inlineStr">
        <is>
          <t>No</t>
        </is>
      </c>
      <c r="T70" s="27" t="n"/>
      <c r="U70" s="28" t="inlineStr">
        <is>
          <t>Yes</t>
        </is>
      </c>
      <c r="V70" s="29">
        <f>IF(N70="","",IF(Q70="Yes","❌ Disc",IF(P70="No","⚠ Missing",IF(S70="Yes","✓ OK","⚠ Check"))))</f>
        <v/>
      </c>
      <c r="W70" s="65" t="n">
        <v>46248</v>
      </c>
      <c r="X70" s="30" t="inlineStr">
        <is>
          <t>Sunil CR</t>
        </is>
      </c>
      <c r="Y70" s="30" t="inlineStr">
        <is>
          <t>No</t>
        </is>
      </c>
      <c r="Z70" s="30" t="n"/>
      <c r="AA70" s="30" t="inlineStr">
        <is>
          <t>Not Available</t>
        </is>
      </c>
      <c r="AB70" s="30" t="inlineStr">
        <is>
          <t>No</t>
        </is>
      </c>
      <c r="AC70" s="27" t="n"/>
      <c r="AD70" s="31" t="inlineStr">
        <is>
          <t>Yes</t>
        </is>
      </c>
      <c r="AE70" s="32">
        <f>IF(W70="","",IF(Z70="Yes","❌ Disc",IF(Y70="No","⚠ Missing",IF(AB70="Yes","✓ OK","⚠ Check"))))</f>
        <v/>
      </c>
      <c r="AF70" s="33" t="n"/>
      <c r="AG70" s="33" t="n"/>
      <c r="AH70" s="33" t="n"/>
      <c r="AI70" s="33" t="n"/>
      <c r="AJ70" s="33" t="n"/>
      <c r="AK70" s="33" t="n"/>
      <c r="AL70" s="27" t="n"/>
      <c r="AM70" s="34" t="n"/>
      <c r="AN70" s="35">
        <f>IF(AF70="","",IF(AI70="Yes","❌ Disc",IF(AH70="No","⚠ Missing",IF(AK70="Yes","✓ OK","⚠ Check"))))</f>
        <v/>
      </c>
      <c r="AO70" s="36" t="n"/>
      <c r="AP70" s="36" t="n"/>
      <c r="AQ70" s="36" t="n"/>
      <c r="AR70" s="36" t="n"/>
      <c r="AS70" s="36" t="n"/>
      <c r="AT70" s="36" t="n"/>
      <c r="AU70" s="27" t="n"/>
      <c r="AV70" s="37" t="n"/>
      <c r="AW70" s="38">
        <f>IF(AO70="","",IF(AR70="Yes","❌ Disc",IF(AQ70="No","⚠ Missing",IF(AT70="Yes","✓ OK","⚠ Check"))))</f>
        <v/>
      </c>
    </row>
    <row r="71" ht="18" customHeight="1" s="46">
      <c r="A71" s="23" t="n">
        <v>67</v>
      </c>
      <c r="B71" s="24" t="inlineStr">
        <is>
          <t>BD-HNA-2025-0285</t>
        </is>
      </c>
      <c r="C71" s="25" t="inlineStr">
        <is>
          <t>Bonito Handles - CL-551(K.E.-CH) - Antique and Gold Concealed Handle  - 127mm</t>
        </is>
      </c>
      <c r="D71" s="23" t="inlineStr">
        <is>
          <t>Bonito Handles</t>
        </is>
      </c>
      <c r="E71" s="43" t="n">
        <v>46125</v>
      </c>
      <c r="F71" s="26" t="inlineStr">
        <is>
          <t>Sunil CR</t>
        </is>
      </c>
      <c r="G71" s="44" t="inlineStr">
        <is>
          <t>No</t>
        </is>
      </c>
      <c r="H71" s="26" t="inlineStr">
        <is>
          <t>No</t>
        </is>
      </c>
      <c r="I71" s="44" t="inlineStr">
        <is>
          <t>Not Available</t>
        </is>
      </c>
      <c r="J71" s="26" t="inlineStr">
        <is>
          <t>No</t>
        </is>
      </c>
      <c r="K71" s="27" t="n"/>
      <c r="L71" s="28" t="inlineStr">
        <is>
          <t>Yes</t>
        </is>
      </c>
      <c r="M71" s="29">
        <f>IF(E71="","",IF(H71="Yes","❌ Disc",IF(G71="No","⚠ Missing",IF(J71="Yes","✓ OK","⚠ Check"))))</f>
        <v/>
      </c>
      <c r="N71" s="43" t="n">
        <v>46196</v>
      </c>
      <c r="O71" s="26" t="inlineStr">
        <is>
          <t>Sunil CR</t>
        </is>
      </c>
      <c r="P71" s="44" t="inlineStr">
        <is>
          <t>No</t>
        </is>
      </c>
      <c r="Q71" s="26" t="inlineStr">
        <is>
          <t>No</t>
        </is>
      </c>
      <c r="R71" s="44" t="inlineStr">
        <is>
          <t>Not Available</t>
        </is>
      </c>
      <c r="S71" s="26" t="inlineStr">
        <is>
          <t>No</t>
        </is>
      </c>
      <c r="T71" s="27" t="n"/>
      <c r="U71" s="28" t="inlineStr">
        <is>
          <t>Yes</t>
        </is>
      </c>
      <c r="V71" s="29">
        <f>IF(N71="","",IF(Q71="Yes","❌ Disc",IF(P71="No","⚠ Missing",IF(S71="Yes","✓ OK","⚠ Check"))))</f>
        <v/>
      </c>
      <c r="W71" s="65" t="n">
        <v>46248</v>
      </c>
      <c r="X71" s="30" t="inlineStr">
        <is>
          <t>Sunil CR</t>
        </is>
      </c>
      <c r="Y71" s="30" t="inlineStr">
        <is>
          <t>No</t>
        </is>
      </c>
      <c r="Z71" s="30" t="n"/>
      <c r="AA71" s="30" t="inlineStr">
        <is>
          <t>Not Available</t>
        </is>
      </c>
      <c r="AB71" s="30" t="inlineStr">
        <is>
          <t>No</t>
        </is>
      </c>
      <c r="AC71" s="27" t="n"/>
      <c r="AD71" s="31" t="inlineStr">
        <is>
          <t>Yes</t>
        </is>
      </c>
      <c r="AE71" s="32">
        <f>IF(W71="","",IF(Z71="Yes","❌ Disc",IF(Y71="No","⚠ Missing",IF(AB71="Yes","✓ OK","⚠ Check"))))</f>
        <v/>
      </c>
      <c r="AF71" s="33" t="n"/>
      <c r="AG71" s="33" t="n"/>
      <c r="AH71" s="33" t="n"/>
      <c r="AI71" s="33" t="n"/>
      <c r="AJ71" s="33" t="n"/>
      <c r="AK71" s="33" t="n"/>
      <c r="AL71" s="27" t="n"/>
      <c r="AM71" s="34" t="n"/>
      <c r="AN71" s="35">
        <f>IF(AF71="","",IF(AI71="Yes","❌ Disc",IF(AH71="No","⚠ Missing",IF(AK71="Yes","✓ OK","⚠ Check"))))</f>
        <v/>
      </c>
      <c r="AO71" s="36" t="n"/>
      <c r="AP71" s="36" t="n"/>
      <c r="AQ71" s="36" t="n"/>
      <c r="AR71" s="36" t="n"/>
      <c r="AS71" s="36" t="n"/>
      <c r="AT71" s="36" t="n"/>
      <c r="AU71" s="27" t="n"/>
      <c r="AV71" s="37" t="n"/>
      <c r="AW71" s="38">
        <f>IF(AO71="","",IF(AR71="Yes","❌ Disc",IF(AQ71="No","⚠ Missing",IF(AT71="Yes","✓ OK","⚠ Check"))))</f>
        <v/>
      </c>
    </row>
    <row r="72" ht="18" customHeight="1" s="46">
      <c r="A72" s="39" t="n">
        <v>68</v>
      </c>
      <c r="B72" s="40" t="inlineStr">
        <is>
          <t>BD-HNA-2025-0286</t>
        </is>
      </c>
      <c r="C72" s="41" t="inlineStr">
        <is>
          <t>Bonito Handles - CL-551(K.E.-CH) - Antique and Gold Concealed Handle  - 191mm</t>
        </is>
      </c>
      <c r="D72" s="39" t="inlineStr">
        <is>
          <t>Bonito Handles</t>
        </is>
      </c>
      <c r="E72" s="43" t="n">
        <v>46125</v>
      </c>
      <c r="F72" s="26" t="inlineStr">
        <is>
          <t>Sunil CR</t>
        </is>
      </c>
      <c r="G72" s="44" t="inlineStr">
        <is>
          <t>No</t>
        </is>
      </c>
      <c r="H72" s="26" t="inlineStr">
        <is>
          <t>No</t>
        </is>
      </c>
      <c r="I72" s="44" t="inlineStr">
        <is>
          <t>Not Available</t>
        </is>
      </c>
      <c r="J72" s="26" t="inlineStr">
        <is>
          <t>No</t>
        </is>
      </c>
      <c r="K72" s="27" t="n"/>
      <c r="L72" s="28" t="inlineStr">
        <is>
          <t>Yes</t>
        </is>
      </c>
      <c r="M72" s="29">
        <f>IF(E72="","",IF(H72="Yes","❌ Disc",IF(G72="No","⚠ Missing",IF(J72="Yes","✓ OK","⚠ Check"))))</f>
        <v/>
      </c>
      <c r="N72" s="43" t="n">
        <v>46196</v>
      </c>
      <c r="O72" s="26" t="inlineStr">
        <is>
          <t>Sunil CR</t>
        </is>
      </c>
      <c r="P72" s="44" t="inlineStr">
        <is>
          <t>No</t>
        </is>
      </c>
      <c r="Q72" s="26" t="inlineStr">
        <is>
          <t>No</t>
        </is>
      </c>
      <c r="R72" s="44" t="inlineStr">
        <is>
          <t>Not Available</t>
        </is>
      </c>
      <c r="S72" s="26" t="inlineStr">
        <is>
          <t>No</t>
        </is>
      </c>
      <c r="T72" s="27" t="n"/>
      <c r="U72" s="28" t="inlineStr">
        <is>
          <t>Yes</t>
        </is>
      </c>
      <c r="V72" s="29">
        <f>IF(N72="","",IF(Q72="Yes","❌ Disc",IF(P72="No","⚠ Missing",IF(S72="Yes","✓ OK","⚠ Check"))))</f>
        <v/>
      </c>
      <c r="W72" s="65" t="n">
        <v>46248</v>
      </c>
      <c r="X72" s="30" t="inlineStr">
        <is>
          <t>Sunil CR</t>
        </is>
      </c>
      <c r="Y72" s="30" t="inlineStr">
        <is>
          <t>No</t>
        </is>
      </c>
      <c r="Z72" s="30" t="n"/>
      <c r="AA72" s="30" t="inlineStr">
        <is>
          <t>Not Available</t>
        </is>
      </c>
      <c r="AB72" s="30" t="inlineStr">
        <is>
          <t>No</t>
        </is>
      </c>
      <c r="AC72" s="27" t="n"/>
      <c r="AD72" s="31" t="inlineStr">
        <is>
          <t>Yes</t>
        </is>
      </c>
      <c r="AE72" s="32">
        <f>IF(W72="","",IF(Z72="Yes","❌ Disc",IF(Y72="No","⚠ Missing",IF(AB72="Yes","✓ OK","⚠ Check"))))</f>
        <v/>
      </c>
      <c r="AF72" s="33" t="n"/>
      <c r="AG72" s="33" t="n"/>
      <c r="AH72" s="33" t="n"/>
      <c r="AI72" s="33" t="n"/>
      <c r="AJ72" s="33" t="n"/>
      <c r="AK72" s="33" t="n"/>
      <c r="AL72" s="27" t="n"/>
      <c r="AM72" s="34" t="n"/>
      <c r="AN72" s="35">
        <f>IF(AF72="","",IF(AI72="Yes","❌ Disc",IF(AH72="No","⚠ Missing",IF(AK72="Yes","✓ OK","⚠ Check"))))</f>
        <v/>
      </c>
      <c r="AO72" s="36" t="n"/>
      <c r="AP72" s="36" t="n"/>
      <c r="AQ72" s="36" t="n"/>
      <c r="AR72" s="36" t="n"/>
      <c r="AS72" s="36" t="n"/>
      <c r="AT72" s="36" t="n"/>
      <c r="AU72" s="27" t="n"/>
      <c r="AV72" s="37" t="n"/>
      <c r="AW72" s="38">
        <f>IF(AO72="","",IF(AR72="Yes","❌ Disc",IF(AQ72="No","⚠ Missing",IF(AT72="Yes","✓ OK","⚠ Check"))))</f>
        <v/>
      </c>
    </row>
    <row r="73" ht="18" customHeight="1" s="46">
      <c r="A73" s="23" t="n">
        <v>69</v>
      </c>
      <c r="B73" s="24" t="inlineStr">
        <is>
          <t>BD-HNA-2025-0287</t>
        </is>
      </c>
      <c r="C73" s="25" t="inlineStr">
        <is>
          <t>Bonito Handles - CL-551(K.E.-CH) - Antique and Gold Concealed Handle  - 255mm</t>
        </is>
      </c>
      <c r="D73" s="23" t="inlineStr">
        <is>
          <t>Bonito Handles</t>
        </is>
      </c>
      <c r="E73" s="43" t="n">
        <v>46125</v>
      </c>
      <c r="F73" s="26" t="inlineStr">
        <is>
          <t>Sunil CR</t>
        </is>
      </c>
      <c r="G73" s="44" t="inlineStr">
        <is>
          <t>No</t>
        </is>
      </c>
      <c r="H73" s="26" t="inlineStr">
        <is>
          <t>No</t>
        </is>
      </c>
      <c r="I73" s="44" t="inlineStr">
        <is>
          <t>Not Available</t>
        </is>
      </c>
      <c r="J73" s="26" t="inlineStr">
        <is>
          <t>No</t>
        </is>
      </c>
      <c r="K73" s="27" t="n"/>
      <c r="L73" s="28" t="inlineStr">
        <is>
          <t>Yes</t>
        </is>
      </c>
      <c r="M73" s="29">
        <f>IF(E73="","",IF(H73="Yes","❌ Disc",IF(G73="No","⚠ Missing",IF(J73="Yes","✓ OK","⚠ Check"))))</f>
        <v/>
      </c>
      <c r="N73" s="43" t="n">
        <v>46196</v>
      </c>
      <c r="O73" s="26" t="inlineStr">
        <is>
          <t>Sunil CR</t>
        </is>
      </c>
      <c r="P73" s="44" t="inlineStr">
        <is>
          <t>No</t>
        </is>
      </c>
      <c r="Q73" s="26" t="inlineStr">
        <is>
          <t>No</t>
        </is>
      </c>
      <c r="R73" s="44" t="inlineStr">
        <is>
          <t>Not Available</t>
        </is>
      </c>
      <c r="S73" s="26" t="inlineStr">
        <is>
          <t>No</t>
        </is>
      </c>
      <c r="T73" s="27" t="n"/>
      <c r="U73" s="28" t="inlineStr">
        <is>
          <t>Yes</t>
        </is>
      </c>
      <c r="V73" s="29">
        <f>IF(N73="","",IF(Q73="Yes","❌ Disc",IF(P73="No","⚠ Missing",IF(S73="Yes","✓ OK","⚠ Check"))))</f>
        <v/>
      </c>
      <c r="W73" s="65" t="n">
        <v>46248</v>
      </c>
      <c r="X73" s="30" t="inlineStr">
        <is>
          <t>Sunil CR</t>
        </is>
      </c>
      <c r="Y73" s="30" t="inlineStr">
        <is>
          <t>No</t>
        </is>
      </c>
      <c r="Z73" s="30" t="n"/>
      <c r="AA73" s="30" t="inlineStr">
        <is>
          <t>Not Available</t>
        </is>
      </c>
      <c r="AB73" s="30" t="inlineStr">
        <is>
          <t>No</t>
        </is>
      </c>
      <c r="AC73" s="27" t="n"/>
      <c r="AD73" s="31" t="inlineStr">
        <is>
          <t>Yes</t>
        </is>
      </c>
      <c r="AE73" s="32">
        <f>IF(W73="","",IF(Z73="Yes","❌ Disc",IF(Y73="No","⚠ Missing",IF(AB73="Yes","✓ OK","⚠ Check"))))</f>
        <v/>
      </c>
      <c r="AF73" s="33" t="n"/>
      <c r="AG73" s="33" t="n"/>
      <c r="AH73" s="33" t="n"/>
      <c r="AI73" s="33" t="n"/>
      <c r="AJ73" s="33" t="n"/>
      <c r="AK73" s="33" t="n"/>
      <c r="AL73" s="27" t="n"/>
      <c r="AM73" s="34" t="n"/>
      <c r="AN73" s="35">
        <f>IF(AF73="","",IF(AI73="Yes","❌ Disc",IF(AH73="No","⚠ Missing",IF(AK73="Yes","✓ OK","⚠ Check"))))</f>
        <v/>
      </c>
      <c r="AO73" s="36" t="n"/>
      <c r="AP73" s="36" t="n"/>
      <c r="AQ73" s="36" t="n"/>
      <c r="AR73" s="36" t="n"/>
      <c r="AS73" s="36" t="n"/>
      <c r="AT73" s="36" t="n"/>
      <c r="AU73" s="27" t="n"/>
      <c r="AV73" s="37" t="n"/>
      <c r="AW73" s="38">
        <f>IF(AO73="","",IF(AR73="Yes","❌ Disc",IF(AQ73="No","⚠ Missing",IF(AT73="Yes","✓ OK","⚠ Check"))))</f>
        <v/>
      </c>
    </row>
    <row r="74" ht="18" customHeight="1" s="46">
      <c r="A74" s="39" t="n">
        <v>70</v>
      </c>
      <c r="B74" s="40" t="inlineStr">
        <is>
          <t>BD-HNA-2025-0291</t>
        </is>
      </c>
      <c r="C74" s="41" t="inlineStr">
        <is>
          <t>Bonito Handles - CL-551(K.E.-CH) - Black and Grey Concealed Handle  - 127mm</t>
        </is>
      </c>
      <c r="D74" s="39" t="inlineStr">
        <is>
          <t>Bonito Handles</t>
        </is>
      </c>
      <c r="E74" s="43" t="n">
        <v>46125</v>
      </c>
      <c r="F74" s="26" t="inlineStr">
        <is>
          <t>Sunil CR</t>
        </is>
      </c>
      <c r="G74" s="44" t="inlineStr">
        <is>
          <t>No</t>
        </is>
      </c>
      <c r="H74" s="26" t="inlineStr">
        <is>
          <t>No</t>
        </is>
      </c>
      <c r="I74" s="44" t="inlineStr">
        <is>
          <t>Not Available</t>
        </is>
      </c>
      <c r="J74" s="26" t="inlineStr">
        <is>
          <t>No</t>
        </is>
      </c>
      <c r="K74" s="27" t="n"/>
      <c r="L74" s="28" t="inlineStr">
        <is>
          <t>Yes</t>
        </is>
      </c>
      <c r="M74" s="29">
        <f>IF(E74="","",IF(H74="Yes","❌ Disc",IF(G74="No","⚠ Missing",IF(J74="Yes","✓ OK","⚠ Check"))))</f>
        <v/>
      </c>
      <c r="N74" s="43" t="n">
        <v>46196</v>
      </c>
      <c r="O74" s="26" t="inlineStr">
        <is>
          <t>Sunil CR</t>
        </is>
      </c>
      <c r="P74" s="44" t="inlineStr">
        <is>
          <t>No</t>
        </is>
      </c>
      <c r="Q74" s="26" t="inlineStr">
        <is>
          <t>No</t>
        </is>
      </c>
      <c r="R74" s="44" t="inlineStr">
        <is>
          <t>Not Available</t>
        </is>
      </c>
      <c r="S74" s="26" t="inlineStr">
        <is>
          <t>No</t>
        </is>
      </c>
      <c r="T74" s="27" t="n"/>
      <c r="U74" s="28" t="inlineStr">
        <is>
          <t>Yes</t>
        </is>
      </c>
      <c r="V74" s="29">
        <f>IF(N74="","",IF(Q74="Yes","❌ Disc",IF(P74="No","⚠ Missing",IF(S74="Yes","✓ OK","⚠ Check"))))</f>
        <v/>
      </c>
      <c r="W74" s="65" t="n">
        <v>46248</v>
      </c>
      <c r="X74" s="30" t="inlineStr">
        <is>
          <t>Sunil CR</t>
        </is>
      </c>
      <c r="Y74" s="30" t="inlineStr">
        <is>
          <t>No</t>
        </is>
      </c>
      <c r="Z74" s="30" t="n"/>
      <c r="AA74" s="30" t="inlineStr">
        <is>
          <t>Not Available</t>
        </is>
      </c>
      <c r="AB74" s="30" t="inlineStr">
        <is>
          <t>No</t>
        </is>
      </c>
      <c r="AC74" s="27" t="n"/>
      <c r="AD74" s="31" t="inlineStr">
        <is>
          <t>Yes</t>
        </is>
      </c>
      <c r="AE74" s="32">
        <f>IF(W74="","",IF(Z74="Yes","❌ Disc",IF(Y74="No","⚠ Missing",IF(AB74="Yes","✓ OK","⚠ Check"))))</f>
        <v/>
      </c>
      <c r="AF74" s="33" t="n"/>
      <c r="AG74" s="33" t="n"/>
      <c r="AH74" s="33" t="n"/>
      <c r="AI74" s="33" t="n"/>
      <c r="AJ74" s="33" t="n"/>
      <c r="AK74" s="33" t="n"/>
      <c r="AL74" s="27" t="n"/>
      <c r="AM74" s="34" t="n"/>
      <c r="AN74" s="35">
        <f>IF(AF74="","",IF(AI74="Yes","❌ Disc",IF(AH74="No","⚠ Missing",IF(AK74="Yes","✓ OK","⚠ Check"))))</f>
        <v/>
      </c>
      <c r="AO74" s="36" t="n"/>
      <c r="AP74" s="36" t="n"/>
      <c r="AQ74" s="36" t="n"/>
      <c r="AR74" s="36" t="n"/>
      <c r="AS74" s="36" t="n"/>
      <c r="AT74" s="36" t="n"/>
      <c r="AU74" s="27" t="n"/>
      <c r="AV74" s="37" t="n"/>
      <c r="AW74" s="38">
        <f>IF(AO74="","",IF(AR74="Yes","❌ Disc",IF(AQ74="No","⚠ Missing",IF(AT74="Yes","✓ OK","⚠ Check"))))</f>
        <v/>
      </c>
    </row>
    <row r="75" ht="18" customHeight="1" s="46">
      <c r="A75" s="23" t="n">
        <v>71</v>
      </c>
      <c r="B75" s="24" t="inlineStr">
        <is>
          <t>BD-HNA-2025-0292</t>
        </is>
      </c>
      <c r="C75" s="25" t="inlineStr">
        <is>
          <t>Bonito Handles - CL-551(K.E.-CH) - Black and Grey Concealed Handle  - 191mm</t>
        </is>
      </c>
      <c r="D75" s="23" t="inlineStr">
        <is>
          <t>Bonito Handles</t>
        </is>
      </c>
      <c r="E75" s="43" t="n">
        <v>46125</v>
      </c>
      <c r="F75" s="26" t="inlineStr">
        <is>
          <t>Sunil CR</t>
        </is>
      </c>
      <c r="G75" s="44" t="inlineStr">
        <is>
          <t>No</t>
        </is>
      </c>
      <c r="H75" s="26" t="inlineStr">
        <is>
          <t>No</t>
        </is>
      </c>
      <c r="I75" s="44" t="inlineStr">
        <is>
          <t>Not Available</t>
        </is>
      </c>
      <c r="J75" s="26" t="inlineStr">
        <is>
          <t>No</t>
        </is>
      </c>
      <c r="K75" s="27" t="n"/>
      <c r="L75" s="28" t="inlineStr">
        <is>
          <t>Yes</t>
        </is>
      </c>
      <c r="M75" s="29">
        <f>IF(E75="","",IF(H75="Yes","❌ Disc",IF(G75="No","⚠ Missing",IF(J75="Yes","✓ OK","⚠ Check"))))</f>
        <v/>
      </c>
      <c r="N75" s="43" t="n">
        <v>46196</v>
      </c>
      <c r="O75" s="26" t="inlineStr">
        <is>
          <t>Sunil CR</t>
        </is>
      </c>
      <c r="P75" s="44" t="inlineStr">
        <is>
          <t>No</t>
        </is>
      </c>
      <c r="Q75" s="26" t="inlineStr">
        <is>
          <t>No</t>
        </is>
      </c>
      <c r="R75" s="44" t="inlineStr">
        <is>
          <t>Not Available</t>
        </is>
      </c>
      <c r="S75" s="26" t="inlineStr">
        <is>
          <t>No</t>
        </is>
      </c>
      <c r="T75" s="27" t="n"/>
      <c r="U75" s="28" t="inlineStr">
        <is>
          <t>Yes</t>
        </is>
      </c>
      <c r="V75" s="29">
        <f>IF(N75="","",IF(Q75="Yes","❌ Disc",IF(P75="No","⚠ Missing",IF(S75="Yes","✓ OK","⚠ Check"))))</f>
        <v/>
      </c>
      <c r="W75" s="65" t="n">
        <v>46248</v>
      </c>
      <c r="X75" s="30" t="inlineStr">
        <is>
          <t>Sunil CR</t>
        </is>
      </c>
      <c r="Y75" s="30" t="inlineStr">
        <is>
          <t>No</t>
        </is>
      </c>
      <c r="Z75" s="30" t="n"/>
      <c r="AA75" s="30" t="inlineStr">
        <is>
          <t>Not Available</t>
        </is>
      </c>
      <c r="AB75" s="30" t="inlineStr">
        <is>
          <t>No</t>
        </is>
      </c>
      <c r="AC75" s="27" t="n"/>
      <c r="AD75" s="31" t="inlineStr">
        <is>
          <t>Yes</t>
        </is>
      </c>
      <c r="AE75" s="32">
        <f>IF(W75="","",IF(Z75="Yes","❌ Disc",IF(Y75="No","⚠ Missing",IF(AB75="Yes","✓ OK","⚠ Check"))))</f>
        <v/>
      </c>
      <c r="AF75" s="33" t="n"/>
      <c r="AG75" s="33" t="n"/>
      <c r="AH75" s="33" t="n"/>
      <c r="AI75" s="33" t="n"/>
      <c r="AJ75" s="33" t="n"/>
      <c r="AK75" s="33" t="n"/>
      <c r="AL75" s="27" t="n"/>
      <c r="AM75" s="34" t="n"/>
      <c r="AN75" s="35">
        <f>IF(AF75="","",IF(AI75="Yes","❌ Disc",IF(AH75="No","⚠ Missing",IF(AK75="Yes","✓ OK","⚠ Check"))))</f>
        <v/>
      </c>
      <c r="AO75" s="36" t="n"/>
      <c r="AP75" s="36" t="n"/>
      <c r="AQ75" s="36" t="n"/>
      <c r="AR75" s="36" t="n"/>
      <c r="AS75" s="36" t="n"/>
      <c r="AT75" s="36" t="n"/>
      <c r="AU75" s="27" t="n"/>
      <c r="AV75" s="37" t="n"/>
      <c r="AW75" s="38">
        <f>IF(AO75="","",IF(AR75="Yes","❌ Disc",IF(AQ75="No","⚠ Missing",IF(AT75="Yes","✓ OK","⚠ Check"))))</f>
        <v/>
      </c>
    </row>
    <row r="76" ht="18" customHeight="1" s="46">
      <c r="A76" s="39" t="n">
        <v>72</v>
      </c>
      <c r="B76" s="40" t="inlineStr">
        <is>
          <t>BD-HNA-2025-0293</t>
        </is>
      </c>
      <c r="C76" s="41" t="inlineStr">
        <is>
          <t>Bonito Handles - CL-551(K.E.-CH) - Black and Grey Concealed Handle  - 255mm</t>
        </is>
      </c>
      <c r="D76" s="39" t="inlineStr">
        <is>
          <t>Bonito Handles</t>
        </is>
      </c>
      <c r="E76" s="43" t="n">
        <v>46125</v>
      </c>
      <c r="F76" s="26" t="inlineStr">
        <is>
          <t>Sunil CR</t>
        </is>
      </c>
      <c r="G76" s="44" t="inlineStr">
        <is>
          <t>No</t>
        </is>
      </c>
      <c r="H76" s="26" t="inlineStr">
        <is>
          <t>No</t>
        </is>
      </c>
      <c r="I76" s="44" t="inlineStr">
        <is>
          <t>Not Available</t>
        </is>
      </c>
      <c r="J76" s="26" t="inlineStr">
        <is>
          <t>No</t>
        </is>
      </c>
      <c r="K76" s="27" t="n"/>
      <c r="L76" s="28" t="inlineStr">
        <is>
          <t>Yes</t>
        </is>
      </c>
      <c r="M76" s="29">
        <f>IF(E76="","",IF(H76="Yes","❌ Disc",IF(G76="No","⚠ Missing",IF(J76="Yes","✓ OK","⚠ Check"))))</f>
        <v/>
      </c>
      <c r="N76" s="43" t="n">
        <v>46196</v>
      </c>
      <c r="O76" s="26" t="inlineStr">
        <is>
          <t>Sunil CR</t>
        </is>
      </c>
      <c r="P76" s="44" t="inlineStr">
        <is>
          <t>No</t>
        </is>
      </c>
      <c r="Q76" s="26" t="inlineStr">
        <is>
          <t>No</t>
        </is>
      </c>
      <c r="R76" s="44" t="inlineStr">
        <is>
          <t>Not Available</t>
        </is>
      </c>
      <c r="S76" s="26" t="inlineStr">
        <is>
          <t>No</t>
        </is>
      </c>
      <c r="T76" s="27" t="n"/>
      <c r="U76" s="28" t="inlineStr">
        <is>
          <t>Yes</t>
        </is>
      </c>
      <c r="V76" s="29">
        <f>IF(N76="","",IF(Q76="Yes","❌ Disc",IF(P76="No","⚠ Missing",IF(S76="Yes","✓ OK","⚠ Check"))))</f>
        <v/>
      </c>
      <c r="W76" s="65" t="n">
        <v>46248</v>
      </c>
      <c r="X76" s="30" t="inlineStr">
        <is>
          <t>Sunil CR</t>
        </is>
      </c>
      <c r="Y76" s="30" t="inlineStr">
        <is>
          <t>No</t>
        </is>
      </c>
      <c r="Z76" s="30" t="n"/>
      <c r="AA76" s="30" t="inlineStr">
        <is>
          <t>Not Available</t>
        </is>
      </c>
      <c r="AB76" s="30" t="inlineStr">
        <is>
          <t>No</t>
        </is>
      </c>
      <c r="AC76" s="27" t="n"/>
      <c r="AD76" s="31" t="inlineStr">
        <is>
          <t>Yes</t>
        </is>
      </c>
      <c r="AE76" s="32">
        <f>IF(W76="","",IF(Z76="Yes","❌ Disc",IF(Y76="No","⚠ Missing",IF(AB76="Yes","✓ OK","⚠ Check"))))</f>
        <v/>
      </c>
      <c r="AF76" s="33" t="n"/>
      <c r="AG76" s="33" t="n"/>
      <c r="AH76" s="33" t="n"/>
      <c r="AI76" s="33" t="n"/>
      <c r="AJ76" s="33" t="n"/>
      <c r="AK76" s="33" t="n"/>
      <c r="AL76" s="27" t="n"/>
      <c r="AM76" s="34" t="n"/>
      <c r="AN76" s="35">
        <f>IF(AF76="","",IF(AI76="Yes","❌ Disc",IF(AH76="No","⚠ Missing",IF(AK76="Yes","✓ OK","⚠ Check"))))</f>
        <v/>
      </c>
      <c r="AO76" s="36" t="n"/>
      <c r="AP76" s="36" t="n"/>
      <c r="AQ76" s="36" t="n"/>
      <c r="AR76" s="36" t="n"/>
      <c r="AS76" s="36" t="n"/>
      <c r="AT76" s="36" t="n"/>
      <c r="AU76" s="27" t="n"/>
      <c r="AV76" s="37" t="n"/>
      <c r="AW76" s="38">
        <f>IF(AO76="","",IF(AR76="Yes","❌ Disc",IF(AQ76="No","⚠ Missing",IF(AT76="Yes","✓ OK","⚠ Check"))))</f>
        <v/>
      </c>
    </row>
    <row r="77" ht="18" customHeight="1" s="46">
      <c r="A77" s="23" t="n">
        <v>73</v>
      </c>
      <c r="B77" s="24" t="inlineStr">
        <is>
          <t>BD-HNA-2025-0288</t>
        </is>
      </c>
      <c r="C77" s="25" t="inlineStr">
        <is>
          <t>Bonito Handles - CL-551(K.E.-CH) - Rose Gold Concealed Handle  - 127mm</t>
        </is>
      </c>
      <c r="D77" s="23" t="inlineStr">
        <is>
          <t>Bonito Handles</t>
        </is>
      </c>
      <c r="E77" s="43" t="n">
        <v>46125</v>
      </c>
      <c r="F77" s="26" t="inlineStr">
        <is>
          <t>Sunil CR</t>
        </is>
      </c>
      <c r="G77" s="44" t="inlineStr">
        <is>
          <t>No</t>
        </is>
      </c>
      <c r="H77" s="26" t="inlineStr">
        <is>
          <t>No</t>
        </is>
      </c>
      <c r="I77" s="44" t="inlineStr">
        <is>
          <t>Not Available</t>
        </is>
      </c>
      <c r="J77" s="26" t="inlineStr">
        <is>
          <t>No</t>
        </is>
      </c>
      <c r="K77" s="27" t="n"/>
      <c r="L77" s="28" t="inlineStr">
        <is>
          <t>Yes</t>
        </is>
      </c>
      <c r="M77" s="29">
        <f>IF(E77="","",IF(H77="Yes","❌ Disc",IF(G77="No","⚠ Missing",IF(J77="Yes","✓ OK","⚠ Check"))))</f>
        <v/>
      </c>
      <c r="N77" s="43" t="n">
        <v>46196</v>
      </c>
      <c r="O77" s="26" t="inlineStr">
        <is>
          <t>Sunil CR</t>
        </is>
      </c>
      <c r="P77" s="44" t="inlineStr">
        <is>
          <t>No</t>
        </is>
      </c>
      <c r="Q77" s="26" t="inlineStr">
        <is>
          <t>No</t>
        </is>
      </c>
      <c r="R77" s="44" t="inlineStr">
        <is>
          <t>Not Available</t>
        </is>
      </c>
      <c r="S77" s="26" t="inlineStr">
        <is>
          <t>No</t>
        </is>
      </c>
      <c r="T77" s="27" t="n"/>
      <c r="U77" s="28" t="inlineStr">
        <is>
          <t>Yes</t>
        </is>
      </c>
      <c r="V77" s="29">
        <f>IF(N77="","",IF(Q77="Yes","❌ Disc",IF(P77="No","⚠ Missing",IF(S77="Yes","✓ OK","⚠ Check"))))</f>
        <v/>
      </c>
      <c r="W77" s="65" t="n">
        <v>46248</v>
      </c>
      <c r="X77" s="30" t="inlineStr">
        <is>
          <t>Sunil CR</t>
        </is>
      </c>
      <c r="Y77" s="30" t="inlineStr">
        <is>
          <t>No</t>
        </is>
      </c>
      <c r="Z77" s="30" t="n"/>
      <c r="AA77" s="30" t="inlineStr">
        <is>
          <t>Not Available</t>
        </is>
      </c>
      <c r="AB77" s="30" t="inlineStr">
        <is>
          <t>No</t>
        </is>
      </c>
      <c r="AC77" s="27" t="n"/>
      <c r="AD77" s="31" t="inlineStr">
        <is>
          <t>Yes</t>
        </is>
      </c>
      <c r="AE77" s="32">
        <f>IF(W77="","",IF(Z77="Yes","❌ Disc",IF(Y77="No","⚠ Missing",IF(AB77="Yes","✓ OK","⚠ Check"))))</f>
        <v/>
      </c>
      <c r="AF77" s="33" t="n"/>
      <c r="AG77" s="33" t="n"/>
      <c r="AH77" s="33" t="n"/>
      <c r="AI77" s="33" t="n"/>
      <c r="AJ77" s="33" t="n"/>
      <c r="AK77" s="33" t="n"/>
      <c r="AL77" s="27" t="n"/>
      <c r="AM77" s="34" t="n"/>
      <c r="AN77" s="35">
        <f>IF(AF77="","",IF(AI77="Yes","❌ Disc",IF(AH77="No","⚠ Missing",IF(AK77="Yes","✓ OK","⚠ Check"))))</f>
        <v/>
      </c>
      <c r="AO77" s="36" t="n"/>
      <c r="AP77" s="36" t="n"/>
      <c r="AQ77" s="36" t="n"/>
      <c r="AR77" s="36" t="n"/>
      <c r="AS77" s="36" t="n"/>
      <c r="AT77" s="36" t="n"/>
      <c r="AU77" s="27" t="n"/>
      <c r="AV77" s="37" t="n"/>
      <c r="AW77" s="38">
        <f>IF(AO77="","",IF(AR77="Yes","❌ Disc",IF(AQ77="No","⚠ Missing",IF(AT77="Yes","✓ OK","⚠ Check"))))</f>
        <v/>
      </c>
    </row>
    <row r="78" ht="18" customHeight="1" s="46">
      <c r="A78" s="39" t="n">
        <v>74</v>
      </c>
      <c r="B78" s="40" t="inlineStr">
        <is>
          <t>BD-HNA-2025-0289</t>
        </is>
      </c>
      <c r="C78" s="41" t="inlineStr">
        <is>
          <t>Bonito Handles - CL-551(K.E.-CH) - Rose Gold Concealed Handle  - 191mm</t>
        </is>
      </c>
      <c r="D78" s="39" t="inlineStr">
        <is>
          <t>Bonito Handles</t>
        </is>
      </c>
      <c r="E78" s="43" t="n">
        <v>46125</v>
      </c>
      <c r="F78" s="26" t="inlineStr">
        <is>
          <t>Sunil CR</t>
        </is>
      </c>
      <c r="G78" s="44" t="inlineStr">
        <is>
          <t>No</t>
        </is>
      </c>
      <c r="H78" s="26" t="inlineStr">
        <is>
          <t>No</t>
        </is>
      </c>
      <c r="I78" s="44" t="inlineStr">
        <is>
          <t>Not Available</t>
        </is>
      </c>
      <c r="J78" s="26" t="inlineStr">
        <is>
          <t>No</t>
        </is>
      </c>
      <c r="K78" s="27" t="n"/>
      <c r="L78" s="28" t="inlineStr">
        <is>
          <t>Yes</t>
        </is>
      </c>
      <c r="M78" s="29">
        <f>IF(E78="","",IF(H78="Yes","❌ Disc",IF(G78="No","⚠ Missing",IF(J78="Yes","✓ OK","⚠ Check"))))</f>
        <v/>
      </c>
      <c r="N78" s="43" t="n">
        <v>46196</v>
      </c>
      <c r="O78" s="26" t="inlineStr">
        <is>
          <t>Sunil CR</t>
        </is>
      </c>
      <c r="P78" s="44" t="inlineStr">
        <is>
          <t>No</t>
        </is>
      </c>
      <c r="Q78" s="26" t="inlineStr">
        <is>
          <t>No</t>
        </is>
      </c>
      <c r="R78" s="44" t="inlineStr">
        <is>
          <t>Not Available</t>
        </is>
      </c>
      <c r="S78" s="26" t="inlineStr">
        <is>
          <t>No</t>
        </is>
      </c>
      <c r="T78" s="27" t="n"/>
      <c r="U78" s="28" t="inlineStr">
        <is>
          <t>Yes</t>
        </is>
      </c>
      <c r="V78" s="29">
        <f>IF(N78="","",IF(Q78="Yes","❌ Disc",IF(P78="No","⚠ Missing",IF(S78="Yes","✓ OK","⚠ Check"))))</f>
        <v/>
      </c>
      <c r="W78" s="65" t="n">
        <v>46248</v>
      </c>
      <c r="X78" s="30" t="inlineStr">
        <is>
          <t>Sunil CR</t>
        </is>
      </c>
      <c r="Y78" s="30" t="inlineStr">
        <is>
          <t>No</t>
        </is>
      </c>
      <c r="Z78" s="30" t="n"/>
      <c r="AA78" s="30" t="inlineStr">
        <is>
          <t>Not Available</t>
        </is>
      </c>
      <c r="AB78" s="30" t="inlineStr">
        <is>
          <t>No</t>
        </is>
      </c>
      <c r="AC78" s="27" t="n"/>
      <c r="AD78" s="31" t="inlineStr">
        <is>
          <t>Yes</t>
        </is>
      </c>
      <c r="AE78" s="32">
        <f>IF(W78="","",IF(Z78="Yes","❌ Disc",IF(Y78="No","⚠ Missing",IF(AB78="Yes","✓ OK","⚠ Check"))))</f>
        <v/>
      </c>
      <c r="AF78" s="33" t="n"/>
      <c r="AG78" s="33" t="n"/>
      <c r="AH78" s="33" t="n"/>
      <c r="AI78" s="33" t="n"/>
      <c r="AJ78" s="33" t="n"/>
      <c r="AK78" s="33" t="n"/>
      <c r="AL78" s="27" t="n"/>
      <c r="AM78" s="34" t="n"/>
      <c r="AN78" s="35">
        <f>IF(AF78="","",IF(AI78="Yes","❌ Disc",IF(AH78="No","⚠ Missing",IF(AK78="Yes","✓ OK","⚠ Check"))))</f>
        <v/>
      </c>
      <c r="AO78" s="36" t="n"/>
      <c r="AP78" s="36" t="n"/>
      <c r="AQ78" s="36" t="n"/>
      <c r="AR78" s="36" t="n"/>
      <c r="AS78" s="36" t="n"/>
      <c r="AT78" s="36" t="n"/>
      <c r="AU78" s="27" t="n"/>
      <c r="AV78" s="37" t="n"/>
      <c r="AW78" s="38">
        <f>IF(AO78="","",IF(AR78="Yes","❌ Disc",IF(AQ78="No","⚠ Missing",IF(AT78="Yes","✓ OK","⚠ Check"))))</f>
        <v/>
      </c>
    </row>
    <row r="79" ht="18" customHeight="1" s="46">
      <c r="A79" s="23" t="n">
        <v>75</v>
      </c>
      <c r="B79" s="24" t="inlineStr">
        <is>
          <t>BD-HNA-2025-0290</t>
        </is>
      </c>
      <c r="C79" s="25" t="inlineStr">
        <is>
          <t>Bonito Handles - CL-551(K.E.-CH) - Rose Gold Concealed Handle  - 255mm</t>
        </is>
      </c>
      <c r="D79" s="23" t="inlineStr">
        <is>
          <t>Bonito Handles</t>
        </is>
      </c>
      <c r="E79" s="43" t="n">
        <v>46125</v>
      </c>
      <c r="F79" s="26" t="inlineStr">
        <is>
          <t>Sunil CR</t>
        </is>
      </c>
      <c r="G79" s="44" t="inlineStr">
        <is>
          <t>No</t>
        </is>
      </c>
      <c r="H79" s="26" t="inlineStr">
        <is>
          <t>No</t>
        </is>
      </c>
      <c r="I79" s="44" t="inlineStr">
        <is>
          <t>Not Available</t>
        </is>
      </c>
      <c r="J79" s="26" t="inlineStr">
        <is>
          <t>No</t>
        </is>
      </c>
      <c r="K79" s="27" t="n"/>
      <c r="L79" s="28" t="inlineStr">
        <is>
          <t>Yes</t>
        </is>
      </c>
      <c r="M79" s="29">
        <f>IF(E79="","",IF(H79="Yes","❌ Disc",IF(G79="No","⚠ Missing",IF(J79="Yes","✓ OK","⚠ Check"))))</f>
        <v/>
      </c>
      <c r="N79" s="43" t="n">
        <v>46196</v>
      </c>
      <c r="O79" s="26" t="inlineStr">
        <is>
          <t>Sunil CR</t>
        </is>
      </c>
      <c r="P79" s="44" t="inlineStr">
        <is>
          <t>No</t>
        </is>
      </c>
      <c r="Q79" s="26" t="inlineStr">
        <is>
          <t>No</t>
        </is>
      </c>
      <c r="R79" s="44" t="inlineStr">
        <is>
          <t>Not Available</t>
        </is>
      </c>
      <c r="S79" s="26" t="inlineStr">
        <is>
          <t>No</t>
        </is>
      </c>
      <c r="T79" s="27" t="n"/>
      <c r="U79" s="28" t="inlineStr">
        <is>
          <t>Yes</t>
        </is>
      </c>
      <c r="V79" s="29">
        <f>IF(N79="","",IF(Q79="Yes","❌ Disc",IF(P79="No","⚠ Missing",IF(S79="Yes","✓ OK","⚠ Check"))))</f>
        <v/>
      </c>
      <c r="W79" s="65" t="n">
        <v>46248</v>
      </c>
      <c r="X79" s="30" t="inlineStr">
        <is>
          <t>Sunil CR</t>
        </is>
      </c>
      <c r="Y79" s="30" t="inlineStr">
        <is>
          <t>No</t>
        </is>
      </c>
      <c r="Z79" s="30" t="n"/>
      <c r="AA79" s="30" t="inlineStr">
        <is>
          <t>Not Available</t>
        </is>
      </c>
      <c r="AB79" s="30" t="inlineStr">
        <is>
          <t>No</t>
        </is>
      </c>
      <c r="AC79" s="27" t="n"/>
      <c r="AD79" s="31" t="inlineStr">
        <is>
          <t>Yes</t>
        </is>
      </c>
      <c r="AE79" s="32">
        <f>IF(W79="","",IF(Z79="Yes","❌ Disc",IF(Y79="No","⚠ Missing",IF(AB79="Yes","✓ OK","⚠ Check"))))</f>
        <v/>
      </c>
      <c r="AF79" s="33" t="n"/>
      <c r="AG79" s="33" t="n"/>
      <c r="AH79" s="33" t="n"/>
      <c r="AI79" s="33" t="n"/>
      <c r="AJ79" s="33" t="n"/>
      <c r="AK79" s="33" t="n"/>
      <c r="AL79" s="27" t="n"/>
      <c r="AM79" s="34" t="n"/>
      <c r="AN79" s="35">
        <f>IF(AF79="","",IF(AI79="Yes","❌ Disc",IF(AH79="No","⚠ Missing",IF(AK79="Yes","✓ OK","⚠ Check"))))</f>
        <v/>
      </c>
      <c r="AO79" s="36" t="n"/>
      <c r="AP79" s="36" t="n"/>
      <c r="AQ79" s="36" t="n"/>
      <c r="AR79" s="36" t="n"/>
      <c r="AS79" s="36" t="n"/>
      <c r="AT79" s="36" t="n"/>
      <c r="AU79" s="27" t="n"/>
      <c r="AV79" s="37" t="n"/>
      <c r="AW79" s="38">
        <f>IF(AO79="","",IF(AR79="Yes","❌ Disc",IF(AQ79="No","⚠ Missing",IF(AT79="Yes","✓ OK","⚠ Check"))))</f>
        <v/>
      </c>
    </row>
    <row r="80" ht="18" customHeight="1" s="46">
      <c r="A80" s="39" t="n">
        <v>76</v>
      </c>
      <c r="B80" s="40" t="inlineStr">
        <is>
          <t>BD-HNA-2025-0308</t>
        </is>
      </c>
      <c r="C80" s="41" t="inlineStr">
        <is>
          <t>Bonito Handles - CL-602(K.E -CH) - Black Concealed Handle  - 125mm</t>
        </is>
      </c>
      <c r="D80" s="39" t="inlineStr">
        <is>
          <t>Bonito Handles</t>
        </is>
      </c>
      <c r="E80" s="43" t="n">
        <v>46125</v>
      </c>
      <c r="F80" s="26" t="inlineStr">
        <is>
          <t>Sunil CR</t>
        </is>
      </c>
      <c r="G80" s="44" t="inlineStr">
        <is>
          <t>No</t>
        </is>
      </c>
      <c r="H80" s="26" t="inlineStr">
        <is>
          <t>No</t>
        </is>
      </c>
      <c r="I80" s="44" t="inlineStr">
        <is>
          <t>Not Available</t>
        </is>
      </c>
      <c r="J80" s="26" t="inlineStr">
        <is>
          <t>No</t>
        </is>
      </c>
      <c r="K80" s="27" t="n"/>
      <c r="L80" s="28" t="inlineStr">
        <is>
          <t>Yes</t>
        </is>
      </c>
      <c r="M80" s="29">
        <f>IF(E80="","",IF(H80="Yes","❌ Disc",IF(G80="No","⚠ Missing",IF(J80="Yes","✓ OK","⚠ Check"))))</f>
        <v/>
      </c>
      <c r="N80" s="43" t="n">
        <v>46196</v>
      </c>
      <c r="O80" s="26" t="inlineStr">
        <is>
          <t>Sunil CR</t>
        </is>
      </c>
      <c r="P80" s="44" t="inlineStr">
        <is>
          <t>No</t>
        </is>
      </c>
      <c r="Q80" s="26" t="inlineStr">
        <is>
          <t>No</t>
        </is>
      </c>
      <c r="R80" s="44" t="inlineStr">
        <is>
          <t>Not Available</t>
        </is>
      </c>
      <c r="S80" s="26" t="inlineStr">
        <is>
          <t>No</t>
        </is>
      </c>
      <c r="T80" s="27" t="n"/>
      <c r="U80" s="28" t="inlineStr">
        <is>
          <t>Yes</t>
        </is>
      </c>
      <c r="V80" s="29">
        <f>IF(N80="","",IF(Q80="Yes","❌ Disc",IF(P80="No","⚠ Missing",IF(S80="Yes","✓ OK","⚠ Check"))))</f>
        <v/>
      </c>
      <c r="W80" s="65" t="n">
        <v>46248</v>
      </c>
      <c r="X80" s="30" t="inlineStr">
        <is>
          <t>Sunil CR</t>
        </is>
      </c>
      <c r="Y80" s="30" t="inlineStr">
        <is>
          <t>No</t>
        </is>
      </c>
      <c r="Z80" s="30" t="n"/>
      <c r="AA80" s="30" t="inlineStr">
        <is>
          <t>Not Available</t>
        </is>
      </c>
      <c r="AB80" s="30" t="inlineStr">
        <is>
          <t>No</t>
        </is>
      </c>
      <c r="AC80" s="27" t="n"/>
      <c r="AD80" s="31" t="inlineStr">
        <is>
          <t>Yes</t>
        </is>
      </c>
      <c r="AE80" s="32">
        <f>IF(W80="","",IF(Z80="Yes","❌ Disc",IF(Y80="No","⚠ Missing",IF(AB80="Yes","✓ OK","⚠ Check"))))</f>
        <v/>
      </c>
      <c r="AF80" s="33" t="n"/>
      <c r="AG80" s="33" t="n"/>
      <c r="AH80" s="33" t="n"/>
      <c r="AI80" s="33" t="n"/>
      <c r="AJ80" s="33" t="n"/>
      <c r="AK80" s="33" t="n"/>
      <c r="AL80" s="27" t="n"/>
      <c r="AM80" s="34" t="n"/>
      <c r="AN80" s="35">
        <f>IF(AF80="","",IF(AI80="Yes","❌ Disc",IF(AH80="No","⚠ Missing",IF(AK80="Yes","✓ OK","⚠ Check"))))</f>
        <v/>
      </c>
      <c r="AO80" s="36" t="n"/>
      <c r="AP80" s="36" t="n"/>
      <c r="AQ80" s="36" t="n"/>
      <c r="AR80" s="36" t="n"/>
      <c r="AS80" s="36" t="n"/>
      <c r="AT80" s="36" t="n"/>
      <c r="AU80" s="27" t="n"/>
      <c r="AV80" s="37" t="n"/>
      <c r="AW80" s="38">
        <f>IF(AO80="","",IF(AR80="Yes","❌ Disc",IF(AQ80="No","⚠ Missing",IF(AT80="Yes","✓ OK","⚠ Check"))))</f>
        <v/>
      </c>
    </row>
    <row r="81" ht="18" customHeight="1" s="46">
      <c r="A81" s="23" t="n">
        <v>77</v>
      </c>
      <c r="B81" s="24" t="inlineStr">
        <is>
          <t>BD-HNA-2025-0309</t>
        </is>
      </c>
      <c r="C81" s="25" t="inlineStr">
        <is>
          <t>Bonito Handles - CL-602(K.E -CH) - Black Concealed Handle  - 190mm</t>
        </is>
      </c>
      <c r="D81" s="23" t="inlineStr">
        <is>
          <t>Bonito Handles</t>
        </is>
      </c>
      <c r="E81" s="43" t="n">
        <v>46125</v>
      </c>
      <c r="F81" s="26" t="inlineStr">
        <is>
          <t>Sunil CR</t>
        </is>
      </c>
      <c r="G81" s="44" t="inlineStr">
        <is>
          <t>No</t>
        </is>
      </c>
      <c r="H81" s="26" t="inlineStr">
        <is>
          <t>No</t>
        </is>
      </c>
      <c r="I81" s="44" t="inlineStr">
        <is>
          <t>Not Available</t>
        </is>
      </c>
      <c r="J81" s="26" t="inlineStr">
        <is>
          <t>No</t>
        </is>
      </c>
      <c r="K81" s="27" t="n"/>
      <c r="L81" s="28" t="inlineStr">
        <is>
          <t>Yes</t>
        </is>
      </c>
      <c r="M81" s="29">
        <f>IF(E81="","",IF(H81="Yes","❌ Disc",IF(G81="No","⚠ Missing",IF(J81="Yes","✓ OK","⚠ Check"))))</f>
        <v/>
      </c>
      <c r="N81" s="43" t="n">
        <v>46196</v>
      </c>
      <c r="O81" s="26" t="inlineStr">
        <is>
          <t>Sunil CR</t>
        </is>
      </c>
      <c r="P81" s="44" t="inlineStr">
        <is>
          <t>No</t>
        </is>
      </c>
      <c r="Q81" s="26" t="inlineStr">
        <is>
          <t>No</t>
        </is>
      </c>
      <c r="R81" s="44" t="inlineStr">
        <is>
          <t>Not Available</t>
        </is>
      </c>
      <c r="S81" s="26" t="inlineStr">
        <is>
          <t>No</t>
        </is>
      </c>
      <c r="T81" s="27" t="n"/>
      <c r="U81" s="28" t="inlineStr">
        <is>
          <t>Yes</t>
        </is>
      </c>
      <c r="V81" s="29">
        <f>IF(N81="","",IF(Q81="Yes","❌ Disc",IF(P81="No","⚠ Missing",IF(S81="Yes","✓ OK","⚠ Check"))))</f>
        <v/>
      </c>
      <c r="W81" s="65" t="n">
        <v>46248</v>
      </c>
      <c r="X81" s="30" t="inlineStr">
        <is>
          <t>Sunil CR</t>
        </is>
      </c>
      <c r="Y81" s="30" t="inlineStr">
        <is>
          <t>No</t>
        </is>
      </c>
      <c r="Z81" s="30" t="n"/>
      <c r="AA81" s="30" t="inlineStr">
        <is>
          <t>Not Available</t>
        </is>
      </c>
      <c r="AB81" s="30" t="inlineStr">
        <is>
          <t>No</t>
        </is>
      </c>
      <c r="AC81" s="27" t="n"/>
      <c r="AD81" s="31" t="inlineStr">
        <is>
          <t>Yes</t>
        </is>
      </c>
      <c r="AE81" s="32">
        <f>IF(W81="","",IF(Z81="Yes","❌ Disc",IF(Y81="No","⚠ Missing",IF(AB81="Yes","✓ OK","⚠ Check"))))</f>
        <v/>
      </c>
      <c r="AF81" s="33" t="n"/>
      <c r="AG81" s="33" t="n"/>
      <c r="AH81" s="33" t="n"/>
      <c r="AI81" s="33" t="n"/>
      <c r="AJ81" s="33" t="n"/>
      <c r="AK81" s="33" t="n"/>
      <c r="AL81" s="27" t="n"/>
      <c r="AM81" s="34" t="n"/>
      <c r="AN81" s="35">
        <f>IF(AF81="","",IF(AI81="Yes","❌ Disc",IF(AH81="No","⚠ Missing",IF(AK81="Yes","✓ OK","⚠ Check"))))</f>
        <v/>
      </c>
      <c r="AO81" s="36" t="n"/>
      <c r="AP81" s="36" t="n"/>
      <c r="AQ81" s="36" t="n"/>
      <c r="AR81" s="36" t="n"/>
      <c r="AS81" s="36" t="n"/>
      <c r="AT81" s="36" t="n"/>
      <c r="AU81" s="27" t="n"/>
      <c r="AV81" s="37" t="n"/>
      <c r="AW81" s="38">
        <f>IF(AO81="","",IF(AR81="Yes","❌ Disc",IF(AQ81="No","⚠ Missing",IF(AT81="Yes","✓ OK","⚠ Check"))))</f>
        <v/>
      </c>
    </row>
    <row r="82" ht="18" customHeight="1" s="46">
      <c r="A82" s="39" t="n">
        <v>78</v>
      </c>
      <c r="B82" s="40" t="inlineStr">
        <is>
          <t>BD-HNA-2025-0310</t>
        </is>
      </c>
      <c r="C82" s="41" t="inlineStr">
        <is>
          <t>Bonito Handles - CL-602(K.E -CH) - Black Concealed Handle  - 318mm</t>
        </is>
      </c>
      <c r="D82" s="39" t="inlineStr">
        <is>
          <t>Bonito Handles</t>
        </is>
      </c>
      <c r="E82" s="43" t="n">
        <v>46125</v>
      </c>
      <c r="F82" s="26" t="inlineStr">
        <is>
          <t>Sunil CR</t>
        </is>
      </c>
      <c r="G82" s="44" t="inlineStr">
        <is>
          <t>No</t>
        </is>
      </c>
      <c r="H82" s="26" t="inlineStr">
        <is>
          <t>No</t>
        </is>
      </c>
      <c r="I82" s="44" t="inlineStr">
        <is>
          <t>Not Available</t>
        </is>
      </c>
      <c r="J82" s="26" t="inlineStr">
        <is>
          <t>No</t>
        </is>
      </c>
      <c r="K82" s="27" t="n"/>
      <c r="L82" s="28" t="inlineStr">
        <is>
          <t>Yes</t>
        </is>
      </c>
      <c r="M82" s="29">
        <f>IF(E82="","",IF(H82="Yes","❌ Disc",IF(G82="No","⚠ Missing",IF(J82="Yes","✓ OK","⚠ Check"))))</f>
        <v/>
      </c>
      <c r="N82" s="43" t="n">
        <v>46196</v>
      </c>
      <c r="O82" s="26" t="inlineStr">
        <is>
          <t>Sunil CR</t>
        </is>
      </c>
      <c r="P82" s="44" t="inlineStr">
        <is>
          <t>No</t>
        </is>
      </c>
      <c r="Q82" s="26" t="inlineStr">
        <is>
          <t>No</t>
        </is>
      </c>
      <c r="R82" s="44" t="inlineStr">
        <is>
          <t>Not Available</t>
        </is>
      </c>
      <c r="S82" s="26" t="inlineStr">
        <is>
          <t>No</t>
        </is>
      </c>
      <c r="T82" s="27" t="n"/>
      <c r="U82" s="28" t="inlineStr">
        <is>
          <t>Yes</t>
        </is>
      </c>
      <c r="V82" s="29">
        <f>IF(N82="","",IF(Q82="Yes","❌ Disc",IF(P82="No","⚠ Missing",IF(S82="Yes","✓ OK","⚠ Check"))))</f>
        <v/>
      </c>
      <c r="W82" s="65" t="n">
        <v>46248</v>
      </c>
      <c r="X82" s="30" t="inlineStr">
        <is>
          <t>Sunil CR</t>
        </is>
      </c>
      <c r="Y82" s="30" t="inlineStr">
        <is>
          <t>No</t>
        </is>
      </c>
      <c r="Z82" s="30" t="n"/>
      <c r="AA82" s="30" t="inlineStr">
        <is>
          <t>Not Available</t>
        </is>
      </c>
      <c r="AB82" s="30" t="inlineStr">
        <is>
          <t>No</t>
        </is>
      </c>
      <c r="AC82" s="27" t="n"/>
      <c r="AD82" s="31" t="inlineStr">
        <is>
          <t>Yes</t>
        </is>
      </c>
      <c r="AE82" s="32">
        <f>IF(W82="","",IF(Z82="Yes","❌ Disc",IF(Y82="No","⚠ Missing",IF(AB82="Yes","✓ OK","⚠ Check"))))</f>
        <v/>
      </c>
      <c r="AF82" s="33" t="n"/>
      <c r="AG82" s="33" t="n"/>
      <c r="AH82" s="33" t="n"/>
      <c r="AI82" s="33" t="n"/>
      <c r="AJ82" s="33" t="n"/>
      <c r="AK82" s="33" t="n"/>
      <c r="AL82" s="27" t="n"/>
      <c r="AM82" s="34" t="n"/>
      <c r="AN82" s="35">
        <f>IF(AF82="","",IF(AI82="Yes","❌ Disc",IF(AH82="No","⚠ Missing",IF(AK82="Yes","✓ OK","⚠ Check"))))</f>
        <v/>
      </c>
      <c r="AO82" s="36" t="n"/>
      <c r="AP82" s="36" t="n"/>
      <c r="AQ82" s="36" t="n"/>
      <c r="AR82" s="36" t="n"/>
      <c r="AS82" s="36" t="n"/>
      <c r="AT82" s="36" t="n"/>
      <c r="AU82" s="27" t="n"/>
      <c r="AV82" s="37" t="n"/>
      <c r="AW82" s="38">
        <f>IF(AO82="","",IF(AR82="Yes","❌ Disc",IF(AQ82="No","⚠ Missing",IF(AT82="Yes","✓ OK","⚠ Check"))))</f>
        <v/>
      </c>
    </row>
    <row r="83" ht="18" customHeight="1" s="46">
      <c r="A83" s="23" t="n">
        <v>79</v>
      </c>
      <c r="B83" s="24" t="inlineStr">
        <is>
          <t>BD-HNA-2025-0311</t>
        </is>
      </c>
      <c r="C83" s="25" t="inlineStr">
        <is>
          <t>Bonito Handles - CL-602(K.E -CH) - Black Concealed Handle  - 447mm</t>
        </is>
      </c>
      <c r="D83" s="23" t="inlineStr">
        <is>
          <t>Bonito Handles</t>
        </is>
      </c>
      <c r="E83" s="43" t="n">
        <v>46125</v>
      </c>
      <c r="F83" s="26" t="inlineStr">
        <is>
          <t>Sunil CR</t>
        </is>
      </c>
      <c r="G83" s="44" t="inlineStr">
        <is>
          <t>No</t>
        </is>
      </c>
      <c r="H83" s="26" t="inlineStr">
        <is>
          <t>No</t>
        </is>
      </c>
      <c r="I83" s="44" t="inlineStr">
        <is>
          <t>Not Available</t>
        </is>
      </c>
      <c r="J83" s="26" t="inlineStr">
        <is>
          <t>No</t>
        </is>
      </c>
      <c r="K83" s="27" t="n"/>
      <c r="L83" s="28" t="inlineStr">
        <is>
          <t>Yes</t>
        </is>
      </c>
      <c r="M83" s="29">
        <f>IF(E83="","",IF(H83="Yes","❌ Disc",IF(G83="No","⚠ Missing",IF(J83="Yes","✓ OK","⚠ Check"))))</f>
        <v/>
      </c>
      <c r="N83" s="43" t="n">
        <v>46196</v>
      </c>
      <c r="O83" s="26" t="inlineStr">
        <is>
          <t>Sunil CR</t>
        </is>
      </c>
      <c r="P83" s="44" t="inlineStr">
        <is>
          <t>No</t>
        </is>
      </c>
      <c r="Q83" s="26" t="inlineStr">
        <is>
          <t>No</t>
        </is>
      </c>
      <c r="R83" s="44" t="inlineStr">
        <is>
          <t>Not Available</t>
        </is>
      </c>
      <c r="S83" s="26" t="inlineStr">
        <is>
          <t>No</t>
        </is>
      </c>
      <c r="T83" s="27" t="n"/>
      <c r="U83" s="28" t="inlineStr">
        <is>
          <t>Yes</t>
        </is>
      </c>
      <c r="V83" s="29">
        <f>IF(N83="","",IF(Q83="Yes","❌ Disc",IF(P83="No","⚠ Missing",IF(S83="Yes","✓ OK","⚠ Check"))))</f>
        <v/>
      </c>
      <c r="W83" s="65" t="n">
        <v>46248</v>
      </c>
      <c r="X83" s="30" t="inlineStr">
        <is>
          <t>Sunil CR</t>
        </is>
      </c>
      <c r="Y83" s="30" t="inlineStr">
        <is>
          <t>No</t>
        </is>
      </c>
      <c r="Z83" s="30" t="n"/>
      <c r="AA83" s="30" t="inlineStr">
        <is>
          <t>Not Available</t>
        </is>
      </c>
      <c r="AB83" s="30" t="inlineStr">
        <is>
          <t>No</t>
        </is>
      </c>
      <c r="AC83" s="27" t="n"/>
      <c r="AD83" s="31" t="inlineStr">
        <is>
          <t>Yes</t>
        </is>
      </c>
      <c r="AE83" s="32">
        <f>IF(W83="","",IF(Z83="Yes","❌ Disc",IF(Y83="No","⚠ Missing",IF(AB83="Yes","✓ OK","⚠ Check"))))</f>
        <v/>
      </c>
      <c r="AF83" s="33" t="n"/>
      <c r="AG83" s="33" t="n"/>
      <c r="AH83" s="33" t="n"/>
      <c r="AI83" s="33" t="n"/>
      <c r="AJ83" s="33" t="n"/>
      <c r="AK83" s="33" t="n"/>
      <c r="AL83" s="27" t="n"/>
      <c r="AM83" s="34" t="n"/>
      <c r="AN83" s="35">
        <f>IF(AF83="","",IF(AI83="Yes","❌ Disc",IF(AH83="No","⚠ Missing",IF(AK83="Yes","✓ OK","⚠ Check"))))</f>
        <v/>
      </c>
      <c r="AO83" s="36" t="n"/>
      <c r="AP83" s="36" t="n"/>
      <c r="AQ83" s="36" t="n"/>
      <c r="AR83" s="36" t="n"/>
      <c r="AS83" s="36" t="n"/>
      <c r="AT83" s="36" t="n"/>
      <c r="AU83" s="27" t="n"/>
      <c r="AV83" s="37" t="n"/>
      <c r="AW83" s="38">
        <f>IF(AO83="","",IF(AR83="Yes","❌ Disc",IF(AQ83="No","⚠ Missing",IF(AT83="Yes","✓ OK","⚠ Check"))))</f>
        <v/>
      </c>
    </row>
    <row r="84" ht="18" customHeight="1" s="46">
      <c r="A84" s="39" t="n">
        <v>80</v>
      </c>
      <c r="B84" s="40" t="inlineStr">
        <is>
          <t>BD-HNA-2025-0312</t>
        </is>
      </c>
      <c r="C84" s="41" t="inlineStr">
        <is>
          <t>Bonito Handles - CL-602(K.E -CH) - Black Concealed Handle  - 596mm</t>
        </is>
      </c>
      <c r="D84" s="39" t="inlineStr">
        <is>
          <t>Bonito Handles</t>
        </is>
      </c>
      <c r="E84" s="43" t="n">
        <v>46125</v>
      </c>
      <c r="F84" s="26" t="inlineStr">
        <is>
          <t>Sunil CR</t>
        </is>
      </c>
      <c r="G84" s="44" t="inlineStr">
        <is>
          <t>No</t>
        </is>
      </c>
      <c r="H84" s="26" t="inlineStr">
        <is>
          <t>No</t>
        </is>
      </c>
      <c r="I84" s="44" t="inlineStr">
        <is>
          <t>Not Available</t>
        </is>
      </c>
      <c r="J84" s="26" t="inlineStr">
        <is>
          <t>No</t>
        </is>
      </c>
      <c r="K84" s="27" t="n"/>
      <c r="L84" s="28" t="inlineStr">
        <is>
          <t>Yes</t>
        </is>
      </c>
      <c r="M84" s="29">
        <f>IF(E84="","",IF(H84="Yes","❌ Disc",IF(G84="No","⚠ Missing",IF(J84="Yes","✓ OK","⚠ Check"))))</f>
        <v/>
      </c>
      <c r="N84" s="43" t="n">
        <v>46196</v>
      </c>
      <c r="O84" s="26" t="inlineStr">
        <is>
          <t>Sunil CR</t>
        </is>
      </c>
      <c r="P84" s="44" t="inlineStr">
        <is>
          <t>No</t>
        </is>
      </c>
      <c r="Q84" s="26" t="inlineStr">
        <is>
          <t>No</t>
        </is>
      </c>
      <c r="R84" s="44" t="inlineStr">
        <is>
          <t>Not Available</t>
        </is>
      </c>
      <c r="S84" s="26" t="inlineStr">
        <is>
          <t>No</t>
        </is>
      </c>
      <c r="T84" s="27" t="n"/>
      <c r="U84" s="28" t="inlineStr">
        <is>
          <t>Yes</t>
        </is>
      </c>
      <c r="V84" s="29">
        <f>IF(N84="","",IF(Q84="Yes","❌ Disc",IF(P84="No","⚠ Missing",IF(S84="Yes","✓ OK","⚠ Check"))))</f>
        <v/>
      </c>
      <c r="W84" s="65" t="n">
        <v>46248</v>
      </c>
      <c r="X84" s="30" t="inlineStr">
        <is>
          <t>Sunil CR</t>
        </is>
      </c>
      <c r="Y84" s="30" t="inlineStr">
        <is>
          <t>No</t>
        </is>
      </c>
      <c r="Z84" s="30" t="n"/>
      <c r="AA84" s="30" t="inlineStr">
        <is>
          <t>Not Available</t>
        </is>
      </c>
      <c r="AB84" s="30" t="inlineStr">
        <is>
          <t>No</t>
        </is>
      </c>
      <c r="AC84" s="27" t="n"/>
      <c r="AD84" s="31" t="inlineStr">
        <is>
          <t>Yes</t>
        </is>
      </c>
      <c r="AE84" s="32">
        <f>IF(W84="","",IF(Z84="Yes","❌ Disc",IF(Y84="No","⚠ Missing",IF(AB84="Yes","✓ OK","⚠ Check"))))</f>
        <v/>
      </c>
      <c r="AF84" s="33" t="n"/>
      <c r="AG84" s="33" t="n"/>
      <c r="AH84" s="33" t="n"/>
      <c r="AI84" s="33" t="n"/>
      <c r="AJ84" s="33" t="n"/>
      <c r="AK84" s="33" t="n"/>
      <c r="AL84" s="27" t="n"/>
      <c r="AM84" s="34" t="n"/>
      <c r="AN84" s="35">
        <f>IF(AF84="","",IF(AI84="Yes","❌ Disc",IF(AH84="No","⚠ Missing",IF(AK84="Yes","✓ OK","⚠ Check"))))</f>
        <v/>
      </c>
      <c r="AO84" s="36" t="n"/>
      <c r="AP84" s="36" t="n"/>
      <c r="AQ84" s="36" t="n"/>
      <c r="AR84" s="36" t="n"/>
      <c r="AS84" s="36" t="n"/>
      <c r="AT84" s="36" t="n"/>
      <c r="AU84" s="27" t="n"/>
      <c r="AV84" s="37" t="n"/>
      <c r="AW84" s="38">
        <f>IF(AO84="","",IF(AR84="Yes","❌ Disc",IF(AQ84="No","⚠ Missing",IF(AT84="Yes","✓ OK","⚠ Check"))))</f>
        <v/>
      </c>
    </row>
    <row r="85" ht="18" customHeight="1" s="46">
      <c r="A85" s="23" t="n">
        <v>81</v>
      </c>
      <c r="B85" s="24" t="inlineStr">
        <is>
          <t>BD-HNA-2025-0303</t>
        </is>
      </c>
      <c r="C85" s="25" t="inlineStr">
        <is>
          <t>Bonito Handles - CL-602(K.E -CH) - Rose Gold Concealed Handle  - 125mm</t>
        </is>
      </c>
      <c r="D85" s="23" t="inlineStr">
        <is>
          <t>Bonito Handles</t>
        </is>
      </c>
      <c r="E85" s="43" t="n">
        <v>46125</v>
      </c>
      <c r="F85" s="26" t="inlineStr">
        <is>
          <t>Sunil CR</t>
        </is>
      </c>
      <c r="G85" s="44" t="inlineStr">
        <is>
          <t>No</t>
        </is>
      </c>
      <c r="H85" s="26" t="inlineStr">
        <is>
          <t>No</t>
        </is>
      </c>
      <c r="I85" s="44" t="inlineStr">
        <is>
          <t>Not Available</t>
        </is>
      </c>
      <c r="J85" s="26" t="inlineStr">
        <is>
          <t>No</t>
        </is>
      </c>
      <c r="K85" s="27" t="n"/>
      <c r="L85" s="28" t="inlineStr">
        <is>
          <t>Yes</t>
        </is>
      </c>
      <c r="M85" s="29">
        <f>IF(E85="","",IF(H85="Yes","❌ Disc",IF(G85="No","⚠ Missing",IF(J85="Yes","✓ OK","⚠ Check"))))</f>
        <v/>
      </c>
      <c r="N85" s="43" t="n">
        <v>46196</v>
      </c>
      <c r="O85" s="26" t="inlineStr">
        <is>
          <t>Sunil CR</t>
        </is>
      </c>
      <c r="P85" s="44" t="inlineStr">
        <is>
          <t>No</t>
        </is>
      </c>
      <c r="Q85" s="26" t="inlineStr">
        <is>
          <t>No</t>
        </is>
      </c>
      <c r="R85" s="44" t="inlineStr">
        <is>
          <t>Not Available</t>
        </is>
      </c>
      <c r="S85" s="26" t="inlineStr">
        <is>
          <t>No</t>
        </is>
      </c>
      <c r="T85" s="27" t="n"/>
      <c r="U85" s="28" t="inlineStr">
        <is>
          <t>Yes</t>
        </is>
      </c>
      <c r="V85" s="29">
        <f>IF(N85="","",IF(Q85="Yes","❌ Disc",IF(P85="No","⚠ Missing",IF(S85="Yes","✓ OK","⚠ Check"))))</f>
        <v/>
      </c>
      <c r="W85" s="65" t="n">
        <v>46248</v>
      </c>
      <c r="X85" s="30" t="inlineStr">
        <is>
          <t>Sunil CR</t>
        </is>
      </c>
      <c r="Y85" s="30" t="inlineStr">
        <is>
          <t>No</t>
        </is>
      </c>
      <c r="Z85" s="30" t="n"/>
      <c r="AA85" s="30" t="inlineStr">
        <is>
          <t>Not Available</t>
        </is>
      </c>
      <c r="AB85" s="30" t="inlineStr">
        <is>
          <t>No</t>
        </is>
      </c>
      <c r="AC85" s="27" t="n"/>
      <c r="AD85" s="31" t="inlineStr">
        <is>
          <t>Yes</t>
        </is>
      </c>
      <c r="AE85" s="32">
        <f>IF(W85="","",IF(Z85="Yes","❌ Disc",IF(Y85="No","⚠ Missing",IF(AB85="Yes","✓ OK","⚠ Check"))))</f>
        <v/>
      </c>
      <c r="AF85" s="33" t="n"/>
      <c r="AG85" s="33" t="n"/>
      <c r="AH85" s="33" t="n"/>
      <c r="AI85" s="33" t="n"/>
      <c r="AJ85" s="33" t="n"/>
      <c r="AK85" s="33" t="n"/>
      <c r="AL85" s="27" t="n"/>
      <c r="AM85" s="34" t="n"/>
      <c r="AN85" s="35">
        <f>IF(AF85="","",IF(AI85="Yes","❌ Disc",IF(AH85="No","⚠ Missing",IF(AK85="Yes","✓ OK","⚠ Check"))))</f>
        <v/>
      </c>
      <c r="AO85" s="36" t="n"/>
      <c r="AP85" s="36" t="n"/>
      <c r="AQ85" s="36" t="n"/>
      <c r="AR85" s="36" t="n"/>
      <c r="AS85" s="36" t="n"/>
      <c r="AT85" s="36" t="n"/>
      <c r="AU85" s="27" t="n"/>
      <c r="AV85" s="37" t="n"/>
      <c r="AW85" s="38">
        <f>IF(AO85="","",IF(AR85="Yes","❌ Disc",IF(AQ85="No","⚠ Missing",IF(AT85="Yes","✓ OK","⚠ Check"))))</f>
        <v/>
      </c>
    </row>
    <row r="86" ht="18" customHeight="1" s="46">
      <c r="A86" s="39" t="n">
        <v>82</v>
      </c>
      <c r="B86" s="40" t="inlineStr">
        <is>
          <t>BD-HNA-2025-0304</t>
        </is>
      </c>
      <c r="C86" s="41" t="inlineStr">
        <is>
          <t>Bonito Handles - CL-602(K.E -CH) - Rose Gold Concealed Handle  - 190mm</t>
        </is>
      </c>
      <c r="D86" s="39" t="inlineStr">
        <is>
          <t>Bonito Handles</t>
        </is>
      </c>
      <c r="E86" s="43" t="n">
        <v>46125</v>
      </c>
      <c r="F86" s="26" t="inlineStr">
        <is>
          <t>Sunil CR</t>
        </is>
      </c>
      <c r="G86" s="44" t="inlineStr">
        <is>
          <t>No</t>
        </is>
      </c>
      <c r="H86" s="26" t="inlineStr">
        <is>
          <t>No</t>
        </is>
      </c>
      <c r="I86" s="44" t="inlineStr">
        <is>
          <t>Not Available</t>
        </is>
      </c>
      <c r="J86" s="26" t="inlineStr">
        <is>
          <t>No</t>
        </is>
      </c>
      <c r="K86" s="27" t="n"/>
      <c r="L86" s="28" t="inlineStr">
        <is>
          <t>Yes</t>
        </is>
      </c>
      <c r="M86" s="29">
        <f>IF(E86="","",IF(H86="Yes","❌ Disc",IF(G86="No","⚠ Missing",IF(J86="Yes","✓ OK","⚠ Check"))))</f>
        <v/>
      </c>
      <c r="N86" s="43" t="n">
        <v>46196</v>
      </c>
      <c r="O86" s="26" t="inlineStr">
        <is>
          <t>Sunil CR</t>
        </is>
      </c>
      <c r="P86" s="44" t="inlineStr">
        <is>
          <t>No</t>
        </is>
      </c>
      <c r="Q86" s="26" t="inlineStr">
        <is>
          <t>No</t>
        </is>
      </c>
      <c r="R86" s="44" t="inlineStr">
        <is>
          <t>Not Available</t>
        </is>
      </c>
      <c r="S86" s="26" t="inlineStr">
        <is>
          <t>No</t>
        </is>
      </c>
      <c r="T86" s="27" t="n"/>
      <c r="U86" s="28" t="inlineStr">
        <is>
          <t>Yes</t>
        </is>
      </c>
      <c r="V86" s="29">
        <f>IF(N86="","",IF(Q86="Yes","❌ Disc",IF(P86="No","⚠ Missing",IF(S86="Yes","✓ OK","⚠ Check"))))</f>
        <v/>
      </c>
      <c r="W86" s="65" t="n">
        <v>46248</v>
      </c>
      <c r="X86" s="30" t="inlineStr">
        <is>
          <t>Sunil CR</t>
        </is>
      </c>
      <c r="Y86" s="30" t="inlineStr">
        <is>
          <t>No</t>
        </is>
      </c>
      <c r="Z86" s="30" t="n"/>
      <c r="AA86" s="30" t="inlineStr">
        <is>
          <t>Not Available</t>
        </is>
      </c>
      <c r="AB86" s="30" t="inlineStr">
        <is>
          <t>No</t>
        </is>
      </c>
      <c r="AC86" s="27" t="n"/>
      <c r="AD86" s="31" t="inlineStr">
        <is>
          <t>Yes</t>
        </is>
      </c>
      <c r="AE86" s="32">
        <f>IF(W86="","",IF(Z86="Yes","❌ Disc",IF(Y86="No","⚠ Missing",IF(AB86="Yes","✓ OK","⚠ Check"))))</f>
        <v/>
      </c>
      <c r="AF86" s="33" t="n"/>
      <c r="AG86" s="33" t="n"/>
      <c r="AH86" s="33" t="n"/>
      <c r="AI86" s="33" t="n"/>
      <c r="AJ86" s="33" t="n"/>
      <c r="AK86" s="33" t="n"/>
      <c r="AL86" s="27" t="n"/>
      <c r="AM86" s="34" t="n"/>
      <c r="AN86" s="35">
        <f>IF(AF86="","",IF(AI86="Yes","❌ Disc",IF(AH86="No","⚠ Missing",IF(AK86="Yes","✓ OK","⚠ Check"))))</f>
        <v/>
      </c>
      <c r="AO86" s="36" t="n"/>
      <c r="AP86" s="36" t="n"/>
      <c r="AQ86" s="36" t="n"/>
      <c r="AR86" s="36" t="n"/>
      <c r="AS86" s="36" t="n"/>
      <c r="AT86" s="36" t="n"/>
      <c r="AU86" s="27" t="n"/>
      <c r="AV86" s="37" t="n"/>
      <c r="AW86" s="38">
        <f>IF(AO86="","",IF(AR86="Yes","❌ Disc",IF(AQ86="No","⚠ Missing",IF(AT86="Yes","✓ OK","⚠ Check"))))</f>
        <v/>
      </c>
    </row>
    <row r="87" ht="18" customHeight="1" s="46">
      <c r="A87" s="23" t="n">
        <v>83</v>
      </c>
      <c r="B87" s="24" t="inlineStr">
        <is>
          <t>BD-HNA-2025-0305</t>
        </is>
      </c>
      <c r="C87" s="25" t="inlineStr">
        <is>
          <t>Bonito Handles - CL-602(K.E -CH) - Rose Gold Concealed Handle  - 318mm</t>
        </is>
      </c>
      <c r="D87" s="23" t="inlineStr">
        <is>
          <t>Bonito Handles</t>
        </is>
      </c>
      <c r="E87" s="43" t="n">
        <v>46125</v>
      </c>
      <c r="F87" s="26" t="inlineStr">
        <is>
          <t>Sunil CR</t>
        </is>
      </c>
      <c r="G87" s="44" t="inlineStr">
        <is>
          <t>No</t>
        </is>
      </c>
      <c r="H87" s="26" t="inlineStr">
        <is>
          <t>No</t>
        </is>
      </c>
      <c r="I87" s="44" t="inlineStr">
        <is>
          <t>Not Available</t>
        </is>
      </c>
      <c r="J87" s="26" t="inlineStr">
        <is>
          <t>No</t>
        </is>
      </c>
      <c r="K87" s="27" t="n"/>
      <c r="L87" s="28" t="inlineStr">
        <is>
          <t>Yes</t>
        </is>
      </c>
      <c r="M87" s="29">
        <f>IF(E87="","",IF(H87="Yes","❌ Disc",IF(G87="No","⚠ Missing",IF(J87="Yes","✓ OK","⚠ Check"))))</f>
        <v/>
      </c>
      <c r="N87" s="43" t="n">
        <v>46196</v>
      </c>
      <c r="O87" s="26" t="inlineStr">
        <is>
          <t>Sunil CR</t>
        </is>
      </c>
      <c r="P87" s="44" t="inlineStr">
        <is>
          <t>No</t>
        </is>
      </c>
      <c r="Q87" s="26" t="inlineStr">
        <is>
          <t>No</t>
        </is>
      </c>
      <c r="R87" s="44" t="inlineStr">
        <is>
          <t>Not Available</t>
        </is>
      </c>
      <c r="S87" s="26" t="inlineStr">
        <is>
          <t>No</t>
        </is>
      </c>
      <c r="T87" s="27" t="n"/>
      <c r="U87" s="28" t="inlineStr">
        <is>
          <t>Yes</t>
        </is>
      </c>
      <c r="V87" s="29">
        <f>IF(N87="","",IF(Q87="Yes","❌ Disc",IF(P87="No","⚠ Missing",IF(S87="Yes","✓ OK","⚠ Check"))))</f>
        <v/>
      </c>
      <c r="W87" s="65" t="n">
        <v>46248</v>
      </c>
      <c r="X87" s="30" t="inlineStr">
        <is>
          <t>Sunil CR</t>
        </is>
      </c>
      <c r="Y87" s="30" t="inlineStr">
        <is>
          <t>No</t>
        </is>
      </c>
      <c r="Z87" s="30" t="n"/>
      <c r="AA87" s="30" t="inlineStr">
        <is>
          <t>Not Available</t>
        </is>
      </c>
      <c r="AB87" s="30" t="inlineStr">
        <is>
          <t>No</t>
        </is>
      </c>
      <c r="AC87" s="27" t="n"/>
      <c r="AD87" s="31" t="inlineStr">
        <is>
          <t>Yes</t>
        </is>
      </c>
      <c r="AE87" s="32">
        <f>IF(W87="","",IF(Z87="Yes","❌ Disc",IF(Y87="No","⚠ Missing",IF(AB87="Yes","✓ OK","⚠ Check"))))</f>
        <v/>
      </c>
      <c r="AF87" s="33" t="n"/>
      <c r="AG87" s="33" t="n"/>
      <c r="AH87" s="33" t="n"/>
      <c r="AI87" s="33" t="n"/>
      <c r="AJ87" s="33" t="n"/>
      <c r="AK87" s="33" t="n"/>
      <c r="AL87" s="27" t="n"/>
      <c r="AM87" s="34" t="n"/>
      <c r="AN87" s="35">
        <f>IF(AF87="","",IF(AI87="Yes","❌ Disc",IF(AH87="No","⚠ Missing",IF(AK87="Yes","✓ OK","⚠ Check"))))</f>
        <v/>
      </c>
      <c r="AO87" s="36" t="n"/>
      <c r="AP87" s="36" t="n"/>
      <c r="AQ87" s="36" t="n"/>
      <c r="AR87" s="36" t="n"/>
      <c r="AS87" s="36" t="n"/>
      <c r="AT87" s="36" t="n"/>
      <c r="AU87" s="27" t="n"/>
      <c r="AV87" s="37" t="n"/>
      <c r="AW87" s="38">
        <f>IF(AO87="","",IF(AR87="Yes","❌ Disc",IF(AQ87="No","⚠ Missing",IF(AT87="Yes","✓ OK","⚠ Check"))))</f>
        <v/>
      </c>
    </row>
    <row r="88" ht="18" customHeight="1" s="46">
      <c r="A88" s="39" t="n">
        <v>84</v>
      </c>
      <c r="B88" s="40" t="inlineStr">
        <is>
          <t>BD-HNA-2025-0306</t>
        </is>
      </c>
      <c r="C88" s="41" t="inlineStr">
        <is>
          <t>Bonito Handles - CL-602(K.E -CH) - Rose Gold Concealed Handle  - 447mm</t>
        </is>
      </c>
      <c r="D88" s="39" t="inlineStr">
        <is>
          <t>Bonito Handles</t>
        </is>
      </c>
      <c r="E88" s="43" t="n">
        <v>46125</v>
      </c>
      <c r="F88" s="26" t="inlineStr">
        <is>
          <t>Sunil CR</t>
        </is>
      </c>
      <c r="G88" s="44" t="inlineStr">
        <is>
          <t>No</t>
        </is>
      </c>
      <c r="H88" s="26" t="inlineStr">
        <is>
          <t>No</t>
        </is>
      </c>
      <c r="I88" s="44" t="inlineStr">
        <is>
          <t>Not Available</t>
        </is>
      </c>
      <c r="J88" s="26" t="inlineStr">
        <is>
          <t>No</t>
        </is>
      </c>
      <c r="K88" s="27" t="n"/>
      <c r="L88" s="28" t="inlineStr">
        <is>
          <t>Yes</t>
        </is>
      </c>
      <c r="M88" s="29">
        <f>IF(E88="","",IF(H88="Yes","❌ Disc",IF(G88="No","⚠ Missing",IF(J88="Yes","✓ OK","⚠ Check"))))</f>
        <v/>
      </c>
      <c r="N88" s="43" t="n">
        <v>46196</v>
      </c>
      <c r="O88" s="26" t="inlineStr">
        <is>
          <t>Sunil CR</t>
        </is>
      </c>
      <c r="P88" s="44" t="inlineStr">
        <is>
          <t>No</t>
        </is>
      </c>
      <c r="Q88" s="26" t="inlineStr">
        <is>
          <t>No</t>
        </is>
      </c>
      <c r="R88" s="44" t="inlineStr">
        <is>
          <t>Not Available</t>
        </is>
      </c>
      <c r="S88" s="26" t="inlineStr">
        <is>
          <t>No</t>
        </is>
      </c>
      <c r="T88" s="27" t="n"/>
      <c r="U88" s="28" t="inlineStr">
        <is>
          <t>Yes</t>
        </is>
      </c>
      <c r="V88" s="29">
        <f>IF(N88="","",IF(Q88="Yes","❌ Disc",IF(P88="No","⚠ Missing",IF(S88="Yes","✓ OK","⚠ Check"))))</f>
        <v/>
      </c>
      <c r="W88" s="65" t="n">
        <v>46248</v>
      </c>
      <c r="X88" s="30" t="inlineStr">
        <is>
          <t>Sunil CR</t>
        </is>
      </c>
      <c r="Y88" s="30" t="inlineStr">
        <is>
          <t>No</t>
        </is>
      </c>
      <c r="Z88" s="30" t="n"/>
      <c r="AA88" s="30" t="inlineStr">
        <is>
          <t>Not Available</t>
        </is>
      </c>
      <c r="AB88" s="30" t="inlineStr">
        <is>
          <t>No</t>
        </is>
      </c>
      <c r="AC88" s="27" t="n"/>
      <c r="AD88" s="31" t="inlineStr">
        <is>
          <t>Yes</t>
        </is>
      </c>
      <c r="AE88" s="32">
        <f>IF(W88="","",IF(Z88="Yes","❌ Disc",IF(Y88="No","⚠ Missing",IF(AB88="Yes","✓ OK","⚠ Check"))))</f>
        <v/>
      </c>
      <c r="AF88" s="33" t="n"/>
      <c r="AG88" s="33" t="n"/>
      <c r="AH88" s="33" t="n"/>
      <c r="AI88" s="33" t="n"/>
      <c r="AJ88" s="33" t="n"/>
      <c r="AK88" s="33" t="n"/>
      <c r="AL88" s="27" t="n"/>
      <c r="AM88" s="34" t="n"/>
      <c r="AN88" s="35">
        <f>IF(AF88="","",IF(AI88="Yes","❌ Disc",IF(AH88="No","⚠ Missing",IF(AK88="Yes","✓ OK","⚠ Check"))))</f>
        <v/>
      </c>
      <c r="AO88" s="36" t="n"/>
      <c r="AP88" s="36" t="n"/>
      <c r="AQ88" s="36" t="n"/>
      <c r="AR88" s="36" t="n"/>
      <c r="AS88" s="36" t="n"/>
      <c r="AT88" s="36" t="n"/>
      <c r="AU88" s="27" t="n"/>
      <c r="AV88" s="37" t="n"/>
      <c r="AW88" s="38">
        <f>IF(AO88="","",IF(AR88="Yes","❌ Disc",IF(AQ88="No","⚠ Missing",IF(AT88="Yes","✓ OK","⚠ Check"))))</f>
        <v/>
      </c>
    </row>
    <row r="89" ht="18" customHeight="1" s="46">
      <c r="A89" s="23" t="n">
        <v>85</v>
      </c>
      <c r="B89" s="24" t="inlineStr">
        <is>
          <t>BD-HNA-2025-0307</t>
        </is>
      </c>
      <c r="C89" s="25" t="inlineStr">
        <is>
          <t>Bonito Handles - CL-602(K.E -CH) - Rose Gold Concealed Handle  - 596mm</t>
        </is>
      </c>
      <c r="D89" s="23" t="inlineStr">
        <is>
          <t>Bonito Handles</t>
        </is>
      </c>
      <c r="E89" s="43" t="n">
        <v>46125</v>
      </c>
      <c r="F89" s="26" t="inlineStr">
        <is>
          <t>Sunil CR</t>
        </is>
      </c>
      <c r="G89" s="44" t="inlineStr">
        <is>
          <t>No</t>
        </is>
      </c>
      <c r="H89" s="26" t="inlineStr">
        <is>
          <t>No</t>
        </is>
      </c>
      <c r="I89" s="44" t="inlineStr">
        <is>
          <t>Not Available</t>
        </is>
      </c>
      <c r="J89" s="26" t="inlineStr">
        <is>
          <t>No</t>
        </is>
      </c>
      <c r="K89" s="27" t="n"/>
      <c r="L89" s="28" t="inlineStr">
        <is>
          <t>Yes</t>
        </is>
      </c>
      <c r="M89" s="29">
        <f>IF(E89="","",IF(H89="Yes","❌ Disc",IF(G89="No","⚠ Missing",IF(J89="Yes","✓ OK","⚠ Check"))))</f>
        <v/>
      </c>
      <c r="N89" s="43" t="n">
        <v>46196</v>
      </c>
      <c r="O89" s="26" t="inlineStr">
        <is>
          <t>Sunil CR</t>
        </is>
      </c>
      <c r="P89" s="44" t="inlineStr">
        <is>
          <t>No</t>
        </is>
      </c>
      <c r="Q89" s="26" t="inlineStr">
        <is>
          <t>No</t>
        </is>
      </c>
      <c r="R89" s="44" t="inlineStr">
        <is>
          <t>Not Available</t>
        </is>
      </c>
      <c r="S89" s="26" t="inlineStr">
        <is>
          <t>No</t>
        </is>
      </c>
      <c r="T89" s="27" t="n"/>
      <c r="U89" s="28" t="inlineStr">
        <is>
          <t>Yes</t>
        </is>
      </c>
      <c r="V89" s="29">
        <f>IF(N89="","",IF(Q89="Yes","❌ Disc",IF(P89="No","⚠ Missing",IF(S89="Yes","✓ OK","⚠ Check"))))</f>
        <v/>
      </c>
      <c r="W89" s="65" t="n">
        <v>46248</v>
      </c>
      <c r="X89" s="30" t="inlineStr">
        <is>
          <t>Sunil CR</t>
        </is>
      </c>
      <c r="Y89" s="30" t="inlineStr">
        <is>
          <t>No</t>
        </is>
      </c>
      <c r="Z89" s="30" t="n"/>
      <c r="AA89" s="30" t="inlineStr">
        <is>
          <t>Not Available</t>
        </is>
      </c>
      <c r="AB89" s="30" t="inlineStr">
        <is>
          <t>No</t>
        </is>
      </c>
      <c r="AC89" s="27" t="n"/>
      <c r="AD89" s="31" t="inlineStr">
        <is>
          <t>Yes</t>
        </is>
      </c>
      <c r="AE89" s="32">
        <f>IF(W89="","",IF(Z89="Yes","❌ Disc",IF(Y89="No","⚠ Missing",IF(AB89="Yes","✓ OK","⚠ Check"))))</f>
        <v/>
      </c>
      <c r="AF89" s="33" t="n"/>
      <c r="AG89" s="33" t="n"/>
      <c r="AH89" s="33" t="n"/>
      <c r="AI89" s="33" t="n"/>
      <c r="AJ89" s="33" t="n"/>
      <c r="AK89" s="33" t="n"/>
      <c r="AL89" s="27" t="n"/>
      <c r="AM89" s="34" t="n"/>
      <c r="AN89" s="35">
        <f>IF(AF89="","",IF(AI89="Yes","❌ Disc",IF(AH89="No","⚠ Missing",IF(AK89="Yes","✓ OK","⚠ Check"))))</f>
        <v/>
      </c>
      <c r="AO89" s="36" t="n"/>
      <c r="AP89" s="36" t="n"/>
      <c r="AQ89" s="36" t="n"/>
      <c r="AR89" s="36" t="n"/>
      <c r="AS89" s="36" t="n"/>
      <c r="AT89" s="36" t="n"/>
      <c r="AU89" s="27" t="n"/>
      <c r="AV89" s="37" t="n"/>
      <c r="AW89" s="38">
        <f>IF(AO89="","",IF(AR89="Yes","❌ Disc",IF(AQ89="No","⚠ Missing",IF(AT89="Yes","✓ OK","⚠ Check"))))</f>
        <v/>
      </c>
    </row>
    <row r="90" ht="18" customHeight="1" s="46">
      <c r="A90" s="39" t="n">
        <v>86</v>
      </c>
      <c r="B90" s="40" t="inlineStr">
        <is>
          <t>BD-HNA-2025-0456</t>
        </is>
      </c>
      <c r="C90" s="41" t="inlineStr">
        <is>
          <t>Bonito Handles - DC-234(S.N) - Black and Gold Handle  - 200mm</t>
        </is>
      </c>
      <c r="D90" s="39" t="inlineStr">
        <is>
          <t>Bonito Handles</t>
        </is>
      </c>
      <c r="E90" s="43" t="n">
        <v>46125</v>
      </c>
      <c r="F90" s="26" t="inlineStr">
        <is>
          <t>Sunil CR</t>
        </is>
      </c>
      <c r="G90" s="44" t="inlineStr">
        <is>
          <t>Represented by Sample</t>
        </is>
      </c>
      <c r="H90" s="26" t="inlineStr">
        <is>
          <t>No</t>
        </is>
      </c>
      <c r="I90" s="44" t="inlineStr">
        <is>
          <t>Represented by Sample</t>
        </is>
      </c>
      <c r="J90" s="26" t="inlineStr">
        <is>
          <t>Yes</t>
        </is>
      </c>
      <c r="K90" s="27" t="n"/>
      <c r="L90" s="28" t="inlineStr">
        <is>
          <t>No</t>
        </is>
      </c>
      <c r="M90" s="29">
        <f>IF(E90="","",IF(H90="Yes","❌ Disc",IF(G90="No","⚠ Missing",IF(J90="Yes","✓ OK","⚠ Check"))))</f>
        <v/>
      </c>
      <c r="N90" s="43" t="n">
        <v>46196</v>
      </c>
      <c r="O90" s="26" t="inlineStr">
        <is>
          <t>Sunil CR</t>
        </is>
      </c>
      <c r="P90" s="44" t="inlineStr">
        <is>
          <t>Represented by Sample</t>
        </is>
      </c>
      <c r="Q90" s="26" t="inlineStr">
        <is>
          <t>No</t>
        </is>
      </c>
      <c r="R90" s="44" t="inlineStr">
        <is>
          <t>Represented by Sample</t>
        </is>
      </c>
      <c r="S90" s="26" t="inlineStr">
        <is>
          <t>Yes</t>
        </is>
      </c>
      <c r="T90" s="27" t="n"/>
      <c r="U90" s="28" t="inlineStr">
        <is>
          <t>No</t>
        </is>
      </c>
      <c r="V90" s="29">
        <f>IF(N90="","",IF(Q90="Yes","❌ Disc",IF(P90="No","⚠ Missing",IF(S90="Yes","✓ OK","⚠ Check"))))</f>
        <v/>
      </c>
      <c r="W90" s="65" t="n">
        <v>46248</v>
      </c>
      <c r="X90" s="30" t="inlineStr">
        <is>
          <t>Sunil CR</t>
        </is>
      </c>
      <c r="Y90" s="30" t="inlineStr">
        <is>
          <t>Represented by Sample</t>
        </is>
      </c>
      <c r="Z90" s="30" t="n"/>
      <c r="AA90" s="30" t="inlineStr">
        <is>
          <t>Represented by Sample</t>
        </is>
      </c>
      <c r="AB90" s="30" t="inlineStr">
        <is>
          <t>Yes</t>
        </is>
      </c>
      <c r="AC90" s="27" t="n"/>
      <c r="AD90" s="31" t="inlineStr">
        <is>
          <t>No</t>
        </is>
      </c>
      <c r="AE90" s="32">
        <f>IF(W90="","",IF(Z90="Yes","❌ Disc",IF(Y90="No","⚠ Missing",IF(AB90="Yes","✓ OK","⚠ Check"))))</f>
        <v/>
      </c>
      <c r="AF90" s="33" t="n"/>
      <c r="AG90" s="33" t="n"/>
      <c r="AH90" s="33" t="n"/>
      <c r="AI90" s="33" t="n"/>
      <c r="AJ90" s="33" t="n"/>
      <c r="AK90" s="33" t="n"/>
      <c r="AL90" s="27" t="n"/>
      <c r="AM90" s="34" t="n"/>
      <c r="AN90" s="35">
        <f>IF(AF90="","",IF(AI90="Yes","❌ Disc",IF(AH90="No","⚠ Missing",IF(AK90="Yes","✓ OK","⚠ Check"))))</f>
        <v/>
      </c>
      <c r="AO90" s="36" t="n"/>
      <c r="AP90" s="36" t="n"/>
      <c r="AQ90" s="36" t="n"/>
      <c r="AR90" s="36" t="n"/>
      <c r="AS90" s="36" t="n"/>
      <c r="AT90" s="36" t="n"/>
      <c r="AU90" s="27" t="n"/>
      <c r="AV90" s="37" t="n"/>
      <c r="AW90" s="38">
        <f>IF(AO90="","",IF(AR90="Yes","❌ Disc",IF(AQ90="No","⚠ Missing",IF(AT90="Yes","✓ OK","⚠ Check"))))</f>
        <v/>
      </c>
    </row>
    <row r="91" ht="18" customHeight="1" s="46">
      <c r="A91" s="23" t="n">
        <v>87</v>
      </c>
      <c r="B91" s="24" t="inlineStr">
        <is>
          <t>BD-HNA-2025-0457</t>
        </is>
      </c>
      <c r="C91" s="25" t="inlineStr">
        <is>
          <t>Bonito Handles - DC-234(S.N) - Black and Gold Handle  - 296mm</t>
        </is>
      </c>
      <c r="D91" s="23" t="inlineStr">
        <is>
          <t>Bonito Handles</t>
        </is>
      </c>
      <c r="E91" s="43" t="n">
        <v>46125</v>
      </c>
      <c r="F91" s="26" t="inlineStr">
        <is>
          <t>Sunil CR</t>
        </is>
      </c>
      <c r="G91" s="44" t="inlineStr">
        <is>
          <t>Represented by Sample</t>
        </is>
      </c>
      <c r="H91" s="26" t="inlineStr">
        <is>
          <t>No</t>
        </is>
      </c>
      <c r="I91" s="44" t="inlineStr">
        <is>
          <t>Represented by Sample</t>
        </is>
      </c>
      <c r="J91" s="26" t="inlineStr">
        <is>
          <t>Yes</t>
        </is>
      </c>
      <c r="K91" s="27" t="n"/>
      <c r="L91" s="28" t="inlineStr">
        <is>
          <t>No</t>
        </is>
      </c>
      <c r="M91" s="29">
        <f>IF(E91="","",IF(H91="Yes","❌ Disc",IF(G91="No","⚠ Missing",IF(J91="Yes","✓ OK","⚠ Check"))))</f>
        <v/>
      </c>
      <c r="N91" s="43" t="n">
        <v>46196</v>
      </c>
      <c r="O91" s="26" t="inlineStr">
        <is>
          <t>Sunil CR</t>
        </is>
      </c>
      <c r="P91" s="44" t="inlineStr">
        <is>
          <t>Represented by Sample</t>
        </is>
      </c>
      <c r="Q91" s="26" t="inlineStr">
        <is>
          <t>No</t>
        </is>
      </c>
      <c r="R91" s="44" t="inlineStr">
        <is>
          <t>Represented by Sample</t>
        </is>
      </c>
      <c r="S91" s="26" t="inlineStr">
        <is>
          <t>Yes</t>
        </is>
      </c>
      <c r="T91" s="27" t="n"/>
      <c r="U91" s="28" t="inlineStr">
        <is>
          <t>No</t>
        </is>
      </c>
      <c r="V91" s="29">
        <f>IF(N91="","",IF(Q91="Yes","❌ Disc",IF(P91="No","⚠ Missing",IF(S91="Yes","✓ OK","⚠ Check"))))</f>
        <v/>
      </c>
      <c r="W91" s="65" t="n">
        <v>46248</v>
      </c>
      <c r="X91" s="30" t="inlineStr">
        <is>
          <t>Sunil CR</t>
        </is>
      </c>
      <c r="Y91" s="30" t="inlineStr">
        <is>
          <t>Represented by Sample</t>
        </is>
      </c>
      <c r="Z91" s="30" t="n"/>
      <c r="AA91" s="30" t="inlineStr">
        <is>
          <t>Represented by Sample</t>
        </is>
      </c>
      <c r="AB91" s="30" t="inlineStr">
        <is>
          <t>Yes</t>
        </is>
      </c>
      <c r="AC91" s="27" t="n"/>
      <c r="AD91" s="31" t="inlineStr">
        <is>
          <t>No</t>
        </is>
      </c>
      <c r="AE91" s="32">
        <f>IF(W91="","",IF(Z91="Yes","❌ Disc",IF(Y91="No","⚠ Missing",IF(AB91="Yes","✓ OK","⚠ Check"))))</f>
        <v/>
      </c>
      <c r="AF91" s="33" t="n"/>
      <c r="AG91" s="33" t="n"/>
      <c r="AH91" s="33" t="n"/>
      <c r="AI91" s="33" t="n"/>
      <c r="AJ91" s="33" t="n"/>
      <c r="AK91" s="33" t="n"/>
      <c r="AL91" s="27" t="n"/>
      <c r="AM91" s="34" t="n"/>
      <c r="AN91" s="35">
        <f>IF(AF91="","",IF(AI91="Yes","❌ Disc",IF(AH91="No","⚠ Missing",IF(AK91="Yes","✓ OK","⚠ Check"))))</f>
        <v/>
      </c>
      <c r="AO91" s="36" t="n"/>
      <c r="AP91" s="36" t="n"/>
      <c r="AQ91" s="36" t="n"/>
      <c r="AR91" s="36" t="n"/>
      <c r="AS91" s="36" t="n"/>
      <c r="AT91" s="36" t="n"/>
      <c r="AU91" s="27" t="n"/>
      <c r="AV91" s="37" t="n"/>
      <c r="AW91" s="38">
        <f>IF(AO91="","",IF(AR91="Yes","❌ Disc",IF(AQ91="No","⚠ Missing",IF(AT91="Yes","✓ OK","⚠ Check"))))</f>
        <v/>
      </c>
    </row>
    <row r="92" ht="18" customHeight="1" s="46">
      <c r="A92" s="39" t="n">
        <v>88</v>
      </c>
      <c r="B92" s="40" t="inlineStr">
        <is>
          <t>BD-HNA-2025-0455</t>
        </is>
      </c>
      <c r="C92" s="41" t="inlineStr">
        <is>
          <t>Bonito Handles - DC-234(S.N) - Black and Gold Handle  - 80mm</t>
        </is>
      </c>
      <c r="D92" s="39" t="inlineStr">
        <is>
          <t>Bonito Handles</t>
        </is>
      </c>
      <c r="E92" s="43" t="n">
        <v>46125</v>
      </c>
      <c r="F92" s="26" t="inlineStr">
        <is>
          <t>Sunil CR</t>
        </is>
      </c>
      <c r="G92" s="44" t="inlineStr">
        <is>
          <t>Represented by Sample</t>
        </is>
      </c>
      <c r="H92" s="26" t="inlineStr">
        <is>
          <t>No</t>
        </is>
      </c>
      <c r="I92" s="44" t="inlineStr">
        <is>
          <t>Represented by Sample</t>
        </is>
      </c>
      <c r="J92" s="26" t="inlineStr">
        <is>
          <t>Yes</t>
        </is>
      </c>
      <c r="K92" s="27" t="n"/>
      <c r="L92" s="28" t="inlineStr">
        <is>
          <t>No</t>
        </is>
      </c>
      <c r="M92" s="29">
        <f>IF(E92="","",IF(H92="Yes","❌ Disc",IF(G92="No","⚠ Missing",IF(J92="Yes","✓ OK","⚠ Check"))))</f>
        <v/>
      </c>
      <c r="N92" s="43" t="n">
        <v>46196</v>
      </c>
      <c r="O92" s="26" t="inlineStr">
        <is>
          <t>Sunil CR</t>
        </is>
      </c>
      <c r="P92" s="44" t="inlineStr">
        <is>
          <t>Represented by Sample</t>
        </is>
      </c>
      <c r="Q92" s="26" t="inlineStr">
        <is>
          <t>No</t>
        </is>
      </c>
      <c r="R92" s="44" t="inlineStr">
        <is>
          <t>Represented by Sample</t>
        </is>
      </c>
      <c r="S92" s="26" t="inlineStr">
        <is>
          <t>Yes</t>
        </is>
      </c>
      <c r="T92" s="27" t="n"/>
      <c r="U92" s="28" t="inlineStr">
        <is>
          <t>No</t>
        </is>
      </c>
      <c r="V92" s="29">
        <f>IF(N92="","",IF(Q92="Yes","❌ Disc",IF(P92="No","⚠ Missing",IF(S92="Yes","✓ OK","⚠ Check"))))</f>
        <v/>
      </c>
      <c r="W92" s="65" t="n">
        <v>46248</v>
      </c>
      <c r="X92" s="30" t="inlineStr">
        <is>
          <t>Sunil CR</t>
        </is>
      </c>
      <c r="Y92" s="30" t="inlineStr">
        <is>
          <t>Represented by Sample</t>
        </is>
      </c>
      <c r="Z92" s="30" t="n"/>
      <c r="AA92" s="30" t="inlineStr">
        <is>
          <t>Represented by Sample</t>
        </is>
      </c>
      <c r="AB92" s="30" t="inlineStr">
        <is>
          <t>Yes</t>
        </is>
      </c>
      <c r="AC92" s="27" t="n"/>
      <c r="AD92" s="31" t="inlineStr">
        <is>
          <t>No</t>
        </is>
      </c>
      <c r="AE92" s="32">
        <f>IF(W92="","",IF(Z92="Yes","❌ Disc",IF(Y92="No","⚠ Missing",IF(AB92="Yes","✓ OK","⚠ Check"))))</f>
        <v/>
      </c>
      <c r="AF92" s="33" t="n"/>
      <c r="AG92" s="33" t="n"/>
      <c r="AH92" s="33" t="n"/>
      <c r="AI92" s="33" t="n"/>
      <c r="AJ92" s="33" t="n"/>
      <c r="AK92" s="33" t="n"/>
      <c r="AL92" s="27" t="n"/>
      <c r="AM92" s="34" t="n"/>
      <c r="AN92" s="35">
        <f>IF(AF92="","",IF(AI92="Yes","❌ Disc",IF(AH92="No","⚠ Missing",IF(AK92="Yes","✓ OK","⚠ Check"))))</f>
        <v/>
      </c>
      <c r="AO92" s="36" t="n"/>
      <c r="AP92" s="36" t="n"/>
      <c r="AQ92" s="36" t="n"/>
      <c r="AR92" s="36" t="n"/>
      <c r="AS92" s="36" t="n"/>
      <c r="AT92" s="36" t="n"/>
      <c r="AU92" s="27" t="n"/>
      <c r="AV92" s="37" t="n"/>
      <c r="AW92" s="38">
        <f>IF(AO92="","",IF(AR92="Yes","❌ Disc",IF(AQ92="No","⚠ Missing",IF(AT92="Yes","✓ OK","⚠ Check"))))</f>
        <v/>
      </c>
    </row>
    <row r="93" ht="18" customHeight="1" s="46">
      <c r="A93" s="23" t="n">
        <v>89</v>
      </c>
      <c r="B93" s="24" t="inlineStr">
        <is>
          <t>BD-HNA-2025-0459</t>
        </is>
      </c>
      <c r="C93" s="25" t="inlineStr">
        <is>
          <t>Bonito Handles - DC-234(S.N) - Bronze Handle  - 200mm</t>
        </is>
      </c>
      <c r="D93" s="23" t="inlineStr">
        <is>
          <t>Bonito Handles</t>
        </is>
      </c>
      <c r="E93" s="43" t="n">
        <v>46125</v>
      </c>
      <c r="F93" s="26" t="inlineStr">
        <is>
          <t>Sunil CR</t>
        </is>
      </c>
      <c r="G93" s="44" t="inlineStr">
        <is>
          <t>Represented by Sample</t>
        </is>
      </c>
      <c r="H93" s="26" t="inlineStr">
        <is>
          <t>No</t>
        </is>
      </c>
      <c r="I93" s="44" t="inlineStr">
        <is>
          <t>Represented by Sample</t>
        </is>
      </c>
      <c r="J93" s="26" t="inlineStr">
        <is>
          <t>Yes</t>
        </is>
      </c>
      <c r="K93" s="27" t="n"/>
      <c r="L93" s="28" t="inlineStr">
        <is>
          <t>No</t>
        </is>
      </c>
      <c r="M93" s="29">
        <f>IF(E93="","",IF(H93="Yes","❌ Disc",IF(G93="No","⚠ Missing",IF(J93="Yes","✓ OK","⚠ Check"))))</f>
        <v/>
      </c>
      <c r="N93" s="43" t="n">
        <v>46196</v>
      </c>
      <c r="O93" s="26" t="inlineStr">
        <is>
          <t>Sunil CR</t>
        </is>
      </c>
      <c r="P93" s="44" t="inlineStr">
        <is>
          <t>Represented by Sample</t>
        </is>
      </c>
      <c r="Q93" s="26" t="inlineStr">
        <is>
          <t>No</t>
        </is>
      </c>
      <c r="R93" s="44" t="inlineStr">
        <is>
          <t>Represented by Sample</t>
        </is>
      </c>
      <c r="S93" s="26" t="inlineStr">
        <is>
          <t>Yes</t>
        </is>
      </c>
      <c r="T93" s="27" t="n"/>
      <c r="U93" s="28" t="inlineStr">
        <is>
          <t>No</t>
        </is>
      </c>
      <c r="V93" s="29">
        <f>IF(N93="","",IF(Q93="Yes","❌ Disc",IF(P93="No","⚠ Missing",IF(S93="Yes","✓ OK","⚠ Check"))))</f>
        <v/>
      </c>
      <c r="W93" s="65" t="n">
        <v>46248</v>
      </c>
      <c r="X93" s="30" t="inlineStr">
        <is>
          <t>Sunil CR</t>
        </is>
      </c>
      <c r="Y93" s="30" t="inlineStr">
        <is>
          <t>Represented by Sample</t>
        </is>
      </c>
      <c r="Z93" s="30" t="n"/>
      <c r="AA93" s="30" t="inlineStr">
        <is>
          <t>Represented by Sample</t>
        </is>
      </c>
      <c r="AB93" s="30" t="inlineStr">
        <is>
          <t>Yes</t>
        </is>
      </c>
      <c r="AC93" s="27" t="n"/>
      <c r="AD93" s="31" t="inlineStr">
        <is>
          <t>No</t>
        </is>
      </c>
      <c r="AE93" s="32">
        <f>IF(W93="","",IF(Z93="Yes","❌ Disc",IF(Y93="No","⚠ Missing",IF(AB93="Yes","✓ OK","⚠ Check"))))</f>
        <v/>
      </c>
      <c r="AF93" s="33" t="n"/>
      <c r="AG93" s="33" t="n"/>
      <c r="AH93" s="33" t="n"/>
      <c r="AI93" s="33" t="n"/>
      <c r="AJ93" s="33" t="n"/>
      <c r="AK93" s="33" t="n"/>
      <c r="AL93" s="27" t="n"/>
      <c r="AM93" s="34" t="n"/>
      <c r="AN93" s="35">
        <f>IF(AF93="","",IF(AI93="Yes","❌ Disc",IF(AH93="No","⚠ Missing",IF(AK93="Yes","✓ OK","⚠ Check"))))</f>
        <v/>
      </c>
      <c r="AO93" s="36" t="n"/>
      <c r="AP93" s="36" t="n"/>
      <c r="AQ93" s="36" t="n"/>
      <c r="AR93" s="36" t="n"/>
      <c r="AS93" s="36" t="n"/>
      <c r="AT93" s="36" t="n"/>
      <c r="AU93" s="27" t="n"/>
      <c r="AV93" s="37" t="n"/>
      <c r="AW93" s="38">
        <f>IF(AO93="","",IF(AR93="Yes","❌ Disc",IF(AQ93="No","⚠ Missing",IF(AT93="Yes","✓ OK","⚠ Check"))))</f>
        <v/>
      </c>
    </row>
    <row r="94" ht="18" customHeight="1" s="46">
      <c r="A94" s="39" t="n">
        <v>90</v>
      </c>
      <c r="B94" s="40" t="inlineStr">
        <is>
          <t>BD-HNA-2025-0460</t>
        </is>
      </c>
      <c r="C94" s="41" t="inlineStr">
        <is>
          <t>Bonito Handles - DC-234(S.N) - Bronze Handle  - 296mm</t>
        </is>
      </c>
      <c r="D94" s="39" t="inlineStr">
        <is>
          <t>Bonito Handles</t>
        </is>
      </c>
      <c r="E94" s="43" t="n">
        <v>46125</v>
      </c>
      <c r="F94" s="26" t="inlineStr">
        <is>
          <t>Sunil CR</t>
        </is>
      </c>
      <c r="G94" s="44" t="inlineStr">
        <is>
          <t>Represented by Sample</t>
        </is>
      </c>
      <c r="H94" s="26" t="inlineStr">
        <is>
          <t>No</t>
        </is>
      </c>
      <c r="I94" s="44" t="inlineStr">
        <is>
          <t>Represented by Sample</t>
        </is>
      </c>
      <c r="J94" s="26" t="inlineStr">
        <is>
          <t>Yes</t>
        </is>
      </c>
      <c r="K94" s="27" t="n"/>
      <c r="L94" s="28" t="inlineStr">
        <is>
          <t>No</t>
        </is>
      </c>
      <c r="M94" s="29">
        <f>IF(E94="","",IF(H94="Yes","❌ Disc",IF(G94="No","⚠ Missing",IF(J94="Yes","✓ OK","⚠ Check"))))</f>
        <v/>
      </c>
      <c r="N94" s="43" t="n">
        <v>46196</v>
      </c>
      <c r="O94" s="26" t="inlineStr">
        <is>
          <t>Sunil CR</t>
        </is>
      </c>
      <c r="P94" s="44" t="inlineStr">
        <is>
          <t>Represented by Sample</t>
        </is>
      </c>
      <c r="Q94" s="26" t="inlineStr">
        <is>
          <t>No</t>
        </is>
      </c>
      <c r="R94" s="44" t="inlineStr">
        <is>
          <t>Represented by Sample</t>
        </is>
      </c>
      <c r="S94" s="26" t="inlineStr">
        <is>
          <t>Yes</t>
        </is>
      </c>
      <c r="T94" s="27" t="n"/>
      <c r="U94" s="28" t="inlineStr">
        <is>
          <t>No</t>
        </is>
      </c>
      <c r="V94" s="29">
        <f>IF(N94="","",IF(Q94="Yes","❌ Disc",IF(P94="No","⚠ Missing",IF(S94="Yes","✓ OK","⚠ Check"))))</f>
        <v/>
      </c>
      <c r="W94" s="65" t="n">
        <v>46248</v>
      </c>
      <c r="X94" s="30" t="inlineStr">
        <is>
          <t>Sunil CR</t>
        </is>
      </c>
      <c r="Y94" s="30" t="inlineStr">
        <is>
          <t>Represented by Sample</t>
        </is>
      </c>
      <c r="Z94" s="30" t="n"/>
      <c r="AA94" s="30" t="inlineStr">
        <is>
          <t>Represented by Sample</t>
        </is>
      </c>
      <c r="AB94" s="30" t="inlineStr">
        <is>
          <t>Yes</t>
        </is>
      </c>
      <c r="AC94" s="27" t="n"/>
      <c r="AD94" s="31" t="inlineStr">
        <is>
          <t>No</t>
        </is>
      </c>
      <c r="AE94" s="32">
        <f>IF(W94="","",IF(Z94="Yes","❌ Disc",IF(Y94="No","⚠ Missing",IF(AB94="Yes","✓ OK","⚠ Check"))))</f>
        <v/>
      </c>
      <c r="AF94" s="33" t="n"/>
      <c r="AG94" s="33" t="n"/>
      <c r="AH94" s="33" t="n"/>
      <c r="AI94" s="33" t="n"/>
      <c r="AJ94" s="33" t="n"/>
      <c r="AK94" s="33" t="n"/>
      <c r="AL94" s="27" t="n"/>
      <c r="AM94" s="34" t="n"/>
      <c r="AN94" s="35">
        <f>IF(AF94="","",IF(AI94="Yes","❌ Disc",IF(AH94="No","⚠ Missing",IF(AK94="Yes","✓ OK","⚠ Check"))))</f>
        <v/>
      </c>
      <c r="AO94" s="36" t="n"/>
      <c r="AP94" s="36" t="n"/>
      <c r="AQ94" s="36" t="n"/>
      <c r="AR94" s="36" t="n"/>
      <c r="AS94" s="36" t="n"/>
      <c r="AT94" s="36" t="n"/>
      <c r="AU94" s="27" t="n"/>
      <c r="AV94" s="37" t="n"/>
      <c r="AW94" s="38">
        <f>IF(AO94="","",IF(AR94="Yes","❌ Disc",IF(AQ94="No","⚠ Missing",IF(AT94="Yes","✓ OK","⚠ Check"))))</f>
        <v/>
      </c>
    </row>
    <row r="95" ht="18" customHeight="1" s="46">
      <c r="A95" s="23" t="n">
        <v>91</v>
      </c>
      <c r="B95" s="24" t="inlineStr">
        <is>
          <t>BD-HNA-2025-0458</t>
        </is>
      </c>
      <c r="C95" s="25" t="inlineStr">
        <is>
          <t>Bonito Handles - DC-234(S.N) - Bronze Handle  - 80mm</t>
        </is>
      </c>
      <c r="D95" s="23" t="inlineStr">
        <is>
          <t>Bonito Handles</t>
        </is>
      </c>
      <c r="E95" s="43" t="n">
        <v>46125</v>
      </c>
      <c r="F95" s="26" t="inlineStr">
        <is>
          <t>Sunil CR</t>
        </is>
      </c>
      <c r="G95" s="44" t="inlineStr">
        <is>
          <t>Represented by Sample</t>
        </is>
      </c>
      <c r="H95" s="26" t="inlineStr">
        <is>
          <t>No</t>
        </is>
      </c>
      <c r="I95" s="44" t="inlineStr">
        <is>
          <t>Represented by Sample</t>
        </is>
      </c>
      <c r="J95" s="26" t="inlineStr">
        <is>
          <t>Yes</t>
        </is>
      </c>
      <c r="K95" s="27" t="n"/>
      <c r="L95" s="28" t="inlineStr">
        <is>
          <t>No</t>
        </is>
      </c>
      <c r="M95" s="29">
        <f>IF(E95="","",IF(H95="Yes","❌ Disc",IF(G95="No","⚠ Missing",IF(J95="Yes","✓ OK","⚠ Check"))))</f>
        <v/>
      </c>
      <c r="N95" s="43" t="n">
        <v>46196</v>
      </c>
      <c r="O95" s="26" t="inlineStr">
        <is>
          <t>Sunil CR</t>
        </is>
      </c>
      <c r="P95" s="44" t="inlineStr">
        <is>
          <t>Represented by Sample</t>
        </is>
      </c>
      <c r="Q95" s="26" t="inlineStr">
        <is>
          <t>No</t>
        </is>
      </c>
      <c r="R95" s="44" t="inlineStr">
        <is>
          <t>Represented by Sample</t>
        </is>
      </c>
      <c r="S95" s="26" t="inlineStr">
        <is>
          <t>Yes</t>
        </is>
      </c>
      <c r="T95" s="27" t="n"/>
      <c r="U95" s="28" t="inlineStr">
        <is>
          <t>No</t>
        </is>
      </c>
      <c r="V95" s="29">
        <f>IF(N95="","",IF(Q95="Yes","❌ Disc",IF(P95="No","⚠ Missing",IF(S95="Yes","✓ OK","⚠ Check"))))</f>
        <v/>
      </c>
      <c r="W95" s="65" t="n">
        <v>46248</v>
      </c>
      <c r="X95" s="30" t="inlineStr">
        <is>
          <t>Sunil CR</t>
        </is>
      </c>
      <c r="Y95" s="30" t="inlineStr">
        <is>
          <t>Represented by Sample</t>
        </is>
      </c>
      <c r="Z95" s="30" t="n"/>
      <c r="AA95" s="30" t="inlineStr">
        <is>
          <t>Represented by Sample</t>
        </is>
      </c>
      <c r="AB95" s="30" t="inlineStr">
        <is>
          <t>Yes</t>
        </is>
      </c>
      <c r="AC95" s="27" t="n"/>
      <c r="AD95" s="31" t="inlineStr">
        <is>
          <t>No</t>
        </is>
      </c>
      <c r="AE95" s="32">
        <f>IF(W95="","",IF(Z95="Yes","❌ Disc",IF(Y95="No","⚠ Missing",IF(AB95="Yes","✓ OK","⚠ Check"))))</f>
        <v/>
      </c>
      <c r="AF95" s="33" t="n"/>
      <c r="AG95" s="33" t="n"/>
      <c r="AH95" s="33" t="n"/>
      <c r="AI95" s="33" t="n"/>
      <c r="AJ95" s="33" t="n"/>
      <c r="AK95" s="33" t="n"/>
      <c r="AL95" s="27" t="n"/>
      <c r="AM95" s="34" t="n"/>
      <c r="AN95" s="35">
        <f>IF(AF95="","",IF(AI95="Yes","❌ Disc",IF(AH95="No","⚠ Missing",IF(AK95="Yes","✓ OK","⚠ Check"))))</f>
        <v/>
      </c>
      <c r="AO95" s="36" t="n"/>
      <c r="AP95" s="36" t="n"/>
      <c r="AQ95" s="36" t="n"/>
      <c r="AR95" s="36" t="n"/>
      <c r="AS95" s="36" t="n"/>
      <c r="AT95" s="36" t="n"/>
      <c r="AU95" s="27" t="n"/>
      <c r="AV95" s="37" t="n"/>
      <c r="AW95" s="38">
        <f>IF(AO95="","",IF(AR95="Yes","❌ Disc",IF(AQ95="No","⚠ Missing",IF(AT95="Yes","✓ OK","⚠ Check"))))</f>
        <v/>
      </c>
    </row>
    <row r="96" ht="18" customHeight="1" s="46">
      <c r="A96" s="39" t="n">
        <v>92</v>
      </c>
      <c r="B96" s="40" t="inlineStr">
        <is>
          <t>BD-HNA-2025-0462</t>
        </is>
      </c>
      <c r="C96" s="41" t="inlineStr">
        <is>
          <t>Bonito Handles - DC-234(S.N) - Satin and Satin Black Handle  - 200mm</t>
        </is>
      </c>
      <c r="D96" s="39" t="inlineStr">
        <is>
          <t>Bonito Handles</t>
        </is>
      </c>
      <c r="E96" s="43" t="n">
        <v>46125</v>
      </c>
      <c r="F96" s="26" t="inlineStr">
        <is>
          <t>Sunil CR</t>
        </is>
      </c>
      <c r="G96" s="44" t="inlineStr">
        <is>
          <t>Represented by Sample</t>
        </is>
      </c>
      <c r="H96" s="26" t="inlineStr">
        <is>
          <t>No</t>
        </is>
      </c>
      <c r="I96" s="44" t="inlineStr">
        <is>
          <t>Represented by Sample</t>
        </is>
      </c>
      <c r="J96" s="26" t="inlineStr">
        <is>
          <t>Yes</t>
        </is>
      </c>
      <c r="K96" s="27" t="n"/>
      <c r="L96" s="28" t="inlineStr">
        <is>
          <t>No</t>
        </is>
      </c>
      <c r="M96" s="29">
        <f>IF(E96="","",IF(H96="Yes","❌ Disc",IF(G96="No","⚠ Missing",IF(J96="Yes","✓ OK","⚠ Check"))))</f>
        <v/>
      </c>
      <c r="N96" s="43" t="n">
        <v>46196</v>
      </c>
      <c r="O96" s="26" t="inlineStr">
        <is>
          <t>Sunil CR</t>
        </is>
      </c>
      <c r="P96" s="44" t="inlineStr">
        <is>
          <t>Represented by Sample</t>
        </is>
      </c>
      <c r="Q96" s="26" t="inlineStr">
        <is>
          <t>No</t>
        </is>
      </c>
      <c r="R96" s="44" t="inlineStr">
        <is>
          <t>Represented by Sample</t>
        </is>
      </c>
      <c r="S96" s="26" t="inlineStr">
        <is>
          <t>Yes</t>
        </is>
      </c>
      <c r="T96" s="27" t="n"/>
      <c r="U96" s="28" t="inlineStr">
        <is>
          <t>No</t>
        </is>
      </c>
      <c r="V96" s="29">
        <f>IF(N96="","",IF(Q96="Yes","❌ Disc",IF(P96="No","⚠ Missing",IF(S96="Yes","✓ OK","⚠ Check"))))</f>
        <v/>
      </c>
      <c r="W96" s="65" t="n">
        <v>46248</v>
      </c>
      <c r="X96" s="30" t="inlineStr">
        <is>
          <t>Sunil CR</t>
        </is>
      </c>
      <c r="Y96" s="30" t="inlineStr">
        <is>
          <t>Represented by Sample</t>
        </is>
      </c>
      <c r="Z96" s="30" t="n"/>
      <c r="AA96" s="30" t="inlineStr">
        <is>
          <t>Represented by Sample</t>
        </is>
      </c>
      <c r="AB96" s="30" t="inlineStr">
        <is>
          <t>Yes</t>
        </is>
      </c>
      <c r="AC96" s="27" t="n"/>
      <c r="AD96" s="31" t="inlineStr">
        <is>
          <t>No</t>
        </is>
      </c>
      <c r="AE96" s="32">
        <f>IF(W96="","",IF(Z96="Yes","❌ Disc",IF(Y96="No","⚠ Missing",IF(AB96="Yes","✓ OK","⚠ Check"))))</f>
        <v/>
      </c>
      <c r="AF96" s="33" t="n"/>
      <c r="AG96" s="33" t="n"/>
      <c r="AH96" s="33" t="n"/>
      <c r="AI96" s="33" t="n"/>
      <c r="AJ96" s="33" t="n"/>
      <c r="AK96" s="33" t="n"/>
      <c r="AL96" s="27" t="n"/>
      <c r="AM96" s="34" t="n"/>
      <c r="AN96" s="35">
        <f>IF(AF96="","",IF(AI96="Yes","❌ Disc",IF(AH96="No","⚠ Missing",IF(AK96="Yes","✓ OK","⚠ Check"))))</f>
        <v/>
      </c>
      <c r="AO96" s="36" t="n"/>
      <c r="AP96" s="36" t="n"/>
      <c r="AQ96" s="36" t="n"/>
      <c r="AR96" s="36" t="n"/>
      <c r="AS96" s="36" t="n"/>
      <c r="AT96" s="36" t="n"/>
      <c r="AU96" s="27" t="n"/>
      <c r="AV96" s="37" t="n"/>
      <c r="AW96" s="38">
        <f>IF(AO96="","",IF(AR96="Yes","❌ Disc",IF(AQ96="No","⚠ Missing",IF(AT96="Yes","✓ OK","⚠ Check"))))</f>
        <v/>
      </c>
    </row>
    <row r="97" ht="18" customHeight="1" s="46">
      <c r="A97" s="23" t="n">
        <v>93</v>
      </c>
      <c r="B97" s="24" t="inlineStr">
        <is>
          <t>BD-HNA-2025-0463</t>
        </is>
      </c>
      <c r="C97" s="25" t="inlineStr">
        <is>
          <t>Bonito Handles - DC-234(S.N) - Satin and Satin Black Handle  - 296mm</t>
        </is>
      </c>
      <c r="D97" s="23" t="inlineStr">
        <is>
          <t>Bonito Handles</t>
        </is>
      </c>
      <c r="E97" s="43" t="n">
        <v>46125</v>
      </c>
      <c r="F97" s="26" t="inlineStr">
        <is>
          <t>Sunil CR</t>
        </is>
      </c>
      <c r="G97" s="44" t="inlineStr">
        <is>
          <t>Represented by Sample</t>
        </is>
      </c>
      <c r="H97" s="26" t="inlineStr">
        <is>
          <t>No</t>
        </is>
      </c>
      <c r="I97" s="44" t="inlineStr">
        <is>
          <t>Represented by Sample</t>
        </is>
      </c>
      <c r="J97" s="26" t="inlineStr">
        <is>
          <t>Yes</t>
        </is>
      </c>
      <c r="K97" s="27" t="n"/>
      <c r="L97" s="28" t="inlineStr">
        <is>
          <t>No</t>
        </is>
      </c>
      <c r="M97" s="29">
        <f>IF(E97="","",IF(H97="Yes","❌ Disc",IF(G97="No","⚠ Missing",IF(J97="Yes","✓ OK","⚠ Check"))))</f>
        <v/>
      </c>
      <c r="N97" s="43" t="n">
        <v>46196</v>
      </c>
      <c r="O97" s="26" t="inlineStr">
        <is>
          <t>Sunil CR</t>
        </is>
      </c>
      <c r="P97" s="44" t="inlineStr">
        <is>
          <t>Represented by Sample</t>
        </is>
      </c>
      <c r="Q97" s="26" t="inlineStr">
        <is>
          <t>No</t>
        </is>
      </c>
      <c r="R97" s="44" t="inlineStr">
        <is>
          <t>Represented by Sample</t>
        </is>
      </c>
      <c r="S97" s="26" t="inlineStr">
        <is>
          <t>Yes</t>
        </is>
      </c>
      <c r="T97" s="27" t="n"/>
      <c r="U97" s="28" t="inlineStr">
        <is>
          <t>No</t>
        </is>
      </c>
      <c r="V97" s="29">
        <f>IF(N97="","",IF(Q97="Yes","❌ Disc",IF(P97="No","⚠ Missing",IF(S97="Yes","✓ OK","⚠ Check"))))</f>
        <v/>
      </c>
      <c r="W97" s="65" t="n">
        <v>46248</v>
      </c>
      <c r="X97" s="30" t="inlineStr">
        <is>
          <t>Sunil CR</t>
        </is>
      </c>
      <c r="Y97" s="30" t="inlineStr">
        <is>
          <t>Represented by Sample</t>
        </is>
      </c>
      <c r="Z97" s="30" t="n"/>
      <c r="AA97" s="30" t="inlineStr">
        <is>
          <t>Represented by Sample</t>
        </is>
      </c>
      <c r="AB97" s="30" t="inlineStr">
        <is>
          <t>Yes</t>
        </is>
      </c>
      <c r="AC97" s="27" t="n"/>
      <c r="AD97" s="31" t="inlineStr">
        <is>
          <t>No</t>
        </is>
      </c>
      <c r="AE97" s="32">
        <f>IF(W97="","",IF(Z97="Yes","❌ Disc",IF(Y97="No","⚠ Missing",IF(AB97="Yes","✓ OK","⚠ Check"))))</f>
        <v/>
      </c>
      <c r="AF97" s="33" t="n"/>
      <c r="AG97" s="33" t="n"/>
      <c r="AH97" s="33" t="n"/>
      <c r="AI97" s="33" t="n"/>
      <c r="AJ97" s="33" t="n"/>
      <c r="AK97" s="33" t="n"/>
      <c r="AL97" s="27" t="n"/>
      <c r="AM97" s="34" t="n"/>
      <c r="AN97" s="35">
        <f>IF(AF97="","",IF(AI97="Yes","❌ Disc",IF(AH97="No","⚠ Missing",IF(AK97="Yes","✓ OK","⚠ Check"))))</f>
        <v/>
      </c>
      <c r="AO97" s="36" t="n"/>
      <c r="AP97" s="36" t="n"/>
      <c r="AQ97" s="36" t="n"/>
      <c r="AR97" s="36" t="n"/>
      <c r="AS97" s="36" t="n"/>
      <c r="AT97" s="36" t="n"/>
      <c r="AU97" s="27" t="n"/>
      <c r="AV97" s="37" t="n"/>
      <c r="AW97" s="38">
        <f>IF(AO97="","",IF(AR97="Yes","❌ Disc",IF(AQ97="No","⚠ Missing",IF(AT97="Yes","✓ OK","⚠ Check"))))</f>
        <v/>
      </c>
    </row>
    <row r="98" ht="18" customHeight="1" s="46">
      <c r="A98" s="39" t="n">
        <v>94</v>
      </c>
      <c r="B98" s="40" t="inlineStr">
        <is>
          <t>BD-HNA-2025-0461</t>
        </is>
      </c>
      <c r="C98" s="41" t="inlineStr">
        <is>
          <t>Bonito Handles - DC-234(S.N) - Satin and Satin Black Handle  - 80mm</t>
        </is>
      </c>
      <c r="D98" s="39" t="inlineStr">
        <is>
          <t>Bonito Handles</t>
        </is>
      </c>
      <c r="E98" s="43" t="n">
        <v>46125</v>
      </c>
      <c r="F98" s="26" t="inlineStr">
        <is>
          <t>Sunil CR</t>
        </is>
      </c>
      <c r="G98" s="44" t="inlineStr">
        <is>
          <t>Yes</t>
        </is>
      </c>
      <c r="H98" s="26" t="inlineStr">
        <is>
          <t>No</t>
        </is>
      </c>
      <c r="I98" s="44" t="inlineStr">
        <is>
          <t>Good finish</t>
        </is>
      </c>
      <c r="J98" s="26" t="inlineStr">
        <is>
          <t>Yes</t>
        </is>
      </c>
      <c r="K98" s="27" t="n"/>
      <c r="L98" s="28" t="inlineStr">
        <is>
          <t>No</t>
        </is>
      </c>
      <c r="M98" s="29">
        <f>IF(E98="","",IF(H98="Yes","❌ Disc",IF(G98="No","⚠ Missing",IF(J98="Yes","✓ OK","⚠ Check"))))</f>
        <v/>
      </c>
      <c r="N98" s="43" t="n">
        <v>46196</v>
      </c>
      <c r="O98" s="26" t="inlineStr">
        <is>
          <t>Sunil CR</t>
        </is>
      </c>
      <c r="P98" s="44" t="inlineStr">
        <is>
          <t>Yes</t>
        </is>
      </c>
      <c r="Q98" s="26" t="inlineStr">
        <is>
          <t>No</t>
        </is>
      </c>
      <c r="R98" s="44" t="inlineStr">
        <is>
          <t>Good finish</t>
        </is>
      </c>
      <c r="S98" s="26" t="inlineStr">
        <is>
          <t>Yes</t>
        </is>
      </c>
      <c r="T98" s="27" t="n"/>
      <c r="U98" s="28" t="inlineStr">
        <is>
          <t>No</t>
        </is>
      </c>
      <c r="V98" s="29">
        <f>IF(N98="","",IF(Q98="Yes","❌ Disc",IF(P98="No","⚠ Missing",IF(S98="Yes","✓ OK","⚠ Check"))))</f>
        <v/>
      </c>
      <c r="W98" s="65" t="n">
        <v>46248</v>
      </c>
      <c r="X98" s="30" t="inlineStr">
        <is>
          <t>Sunil CR</t>
        </is>
      </c>
      <c r="Y98" s="30" t="inlineStr">
        <is>
          <t>Yes</t>
        </is>
      </c>
      <c r="Z98" s="30" t="n"/>
      <c r="AA98" s="30" t="inlineStr">
        <is>
          <t>Good finish</t>
        </is>
      </c>
      <c r="AB98" s="30" t="inlineStr">
        <is>
          <t>Yes</t>
        </is>
      </c>
      <c r="AC98" s="27" t="n"/>
      <c r="AD98" s="31" t="inlineStr">
        <is>
          <t>No</t>
        </is>
      </c>
      <c r="AE98" s="32">
        <f>IF(W98="","",IF(Z98="Yes","❌ Disc",IF(Y98="No","⚠ Missing",IF(AB98="Yes","✓ OK","⚠ Check"))))</f>
        <v/>
      </c>
      <c r="AF98" s="33" t="n"/>
      <c r="AG98" s="33" t="n"/>
      <c r="AH98" s="33" t="n"/>
      <c r="AI98" s="33" t="n"/>
      <c r="AJ98" s="33" t="n"/>
      <c r="AK98" s="33" t="n"/>
      <c r="AL98" s="27" t="n"/>
      <c r="AM98" s="34" t="n"/>
      <c r="AN98" s="35">
        <f>IF(AF98="","",IF(AI98="Yes","❌ Disc",IF(AH98="No","⚠ Missing",IF(AK98="Yes","✓ OK","⚠ Check"))))</f>
        <v/>
      </c>
      <c r="AO98" s="36" t="n"/>
      <c r="AP98" s="36" t="n"/>
      <c r="AQ98" s="36" t="n"/>
      <c r="AR98" s="36" t="n"/>
      <c r="AS98" s="36" t="n"/>
      <c r="AT98" s="36" t="n"/>
      <c r="AU98" s="27" t="n"/>
      <c r="AV98" s="37" t="n"/>
      <c r="AW98" s="38">
        <f>IF(AO98="","",IF(AR98="Yes","❌ Disc",IF(AQ98="No","⚠ Missing",IF(AT98="Yes","✓ OK","⚠ Check"))))</f>
        <v/>
      </c>
    </row>
    <row r="99" ht="18" customHeight="1" s="46">
      <c r="A99" s="23" t="n">
        <v>95</v>
      </c>
      <c r="B99" s="24" t="inlineStr">
        <is>
          <t>BD-HNA-2025-0448</t>
        </is>
      </c>
      <c r="C99" s="25" t="inlineStr">
        <is>
          <t>Bonito Handles - DK-3026(S.N) - PVD Black Knob - 48x17mm</t>
        </is>
      </c>
      <c r="D99" s="23" t="inlineStr">
        <is>
          <t>Bonito Handles</t>
        </is>
      </c>
      <c r="E99" s="43" t="n">
        <v>46125</v>
      </c>
      <c r="F99" s="26" t="inlineStr">
        <is>
          <t>Sunil CR</t>
        </is>
      </c>
      <c r="G99" s="44" t="inlineStr">
        <is>
          <t>Represented by Sample</t>
        </is>
      </c>
      <c r="H99" s="26" t="inlineStr">
        <is>
          <t>No</t>
        </is>
      </c>
      <c r="I99" s="44" t="inlineStr">
        <is>
          <t>Represented by Sample</t>
        </is>
      </c>
      <c r="J99" s="26" t="inlineStr">
        <is>
          <t>Yes</t>
        </is>
      </c>
      <c r="K99" s="27" t="n"/>
      <c r="L99" s="28" t="inlineStr">
        <is>
          <t>No</t>
        </is>
      </c>
      <c r="M99" s="29">
        <f>IF(E99="","",IF(H99="Yes","❌ Disc",IF(G99="No","⚠ Missing",IF(J99="Yes","✓ OK","⚠ Check"))))</f>
        <v/>
      </c>
      <c r="N99" s="43" t="n">
        <v>46196</v>
      </c>
      <c r="O99" s="26" t="inlineStr">
        <is>
          <t>Sunil CR</t>
        </is>
      </c>
      <c r="P99" s="44" t="inlineStr">
        <is>
          <t>Represented by Sample</t>
        </is>
      </c>
      <c r="Q99" s="26" t="inlineStr">
        <is>
          <t>No</t>
        </is>
      </c>
      <c r="R99" s="44" t="inlineStr">
        <is>
          <t>Represented by Sample</t>
        </is>
      </c>
      <c r="S99" s="26" t="inlineStr">
        <is>
          <t>Yes</t>
        </is>
      </c>
      <c r="T99" s="27" t="n"/>
      <c r="U99" s="28" t="inlineStr">
        <is>
          <t>No</t>
        </is>
      </c>
      <c r="V99" s="29">
        <f>IF(N99="","",IF(Q99="Yes","❌ Disc",IF(P99="No","⚠ Missing",IF(S99="Yes","✓ OK","⚠ Check"))))</f>
        <v/>
      </c>
      <c r="W99" s="65" t="n">
        <v>46248</v>
      </c>
      <c r="X99" s="30" t="inlineStr">
        <is>
          <t>Sunil CR</t>
        </is>
      </c>
      <c r="Y99" s="30" t="inlineStr">
        <is>
          <t>Represented by Sample</t>
        </is>
      </c>
      <c r="Z99" s="30" t="n"/>
      <c r="AA99" s="30" t="inlineStr">
        <is>
          <t>Represented by Sample</t>
        </is>
      </c>
      <c r="AB99" s="30" t="inlineStr">
        <is>
          <t>Yes</t>
        </is>
      </c>
      <c r="AC99" s="27" t="n"/>
      <c r="AD99" s="31" t="inlineStr">
        <is>
          <t>No</t>
        </is>
      </c>
      <c r="AE99" s="32">
        <f>IF(W99="","",IF(Z99="Yes","❌ Disc",IF(Y99="No","⚠ Missing",IF(AB99="Yes","✓ OK","⚠ Check"))))</f>
        <v/>
      </c>
      <c r="AF99" s="33" t="n"/>
      <c r="AG99" s="33" t="n"/>
      <c r="AH99" s="33" t="n"/>
      <c r="AI99" s="33" t="n"/>
      <c r="AJ99" s="33" t="n"/>
      <c r="AK99" s="33" t="n"/>
      <c r="AL99" s="27" t="n"/>
      <c r="AM99" s="34" t="n"/>
      <c r="AN99" s="35">
        <f>IF(AF99="","",IF(AI99="Yes","❌ Disc",IF(AH99="No","⚠ Missing",IF(AK99="Yes","✓ OK","⚠ Check"))))</f>
        <v/>
      </c>
      <c r="AO99" s="36" t="n"/>
      <c r="AP99" s="36" t="n"/>
      <c r="AQ99" s="36" t="n"/>
      <c r="AR99" s="36" t="n"/>
      <c r="AS99" s="36" t="n"/>
      <c r="AT99" s="36" t="n"/>
      <c r="AU99" s="27" t="n"/>
      <c r="AV99" s="37" t="n"/>
      <c r="AW99" s="38">
        <f>IF(AO99="","",IF(AR99="Yes","❌ Disc",IF(AQ99="No","⚠ Missing",IF(AT99="Yes","✓ OK","⚠ Check"))))</f>
        <v/>
      </c>
    </row>
    <row r="100" ht="18" customHeight="1" s="46">
      <c r="A100" s="39" t="n">
        <v>96</v>
      </c>
      <c r="B100" s="40" t="inlineStr">
        <is>
          <t>BD-HNA-2025-0449</t>
        </is>
      </c>
      <c r="C100" s="41" t="inlineStr">
        <is>
          <t>Bonito Handles - DK-3026(S.N) - PVD Chrome Plated Knob - 48x17mm</t>
        </is>
      </c>
      <c r="D100" s="39" t="inlineStr">
        <is>
          <t>Bonito Handles</t>
        </is>
      </c>
      <c r="E100" s="43" t="n">
        <v>46125</v>
      </c>
      <c r="F100" s="26" t="inlineStr">
        <is>
          <t>Sunil CR</t>
        </is>
      </c>
      <c r="G100" s="44" t="inlineStr">
        <is>
          <t>Yes</t>
        </is>
      </c>
      <c r="H100" s="26" t="inlineStr">
        <is>
          <t>No</t>
        </is>
      </c>
      <c r="I100" s="44" t="inlineStr">
        <is>
          <t>Good finish</t>
        </is>
      </c>
      <c r="J100" s="26" t="inlineStr">
        <is>
          <t>Yes</t>
        </is>
      </c>
      <c r="K100" s="27" t="n"/>
      <c r="L100" s="28" t="inlineStr">
        <is>
          <t>No</t>
        </is>
      </c>
      <c r="M100" s="29">
        <f>IF(E100="","",IF(H100="Yes","❌ Disc",IF(G100="No","⚠ Missing",IF(J100="Yes","✓ OK","⚠ Check"))))</f>
        <v/>
      </c>
      <c r="N100" s="43" t="n">
        <v>46196</v>
      </c>
      <c r="O100" s="26" t="inlineStr">
        <is>
          <t>Sunil CR</t>
        </is>
      </c>
      <c r="P100" s="44" t="inlineStr">
        <is>
          <t>Yes</t>
        </is>
      </c>
      <c r="Q100" s="26" t="inlineStr">
        <is>
          <t>No</t>
        </is>
      </c>
      <c r="R100" s="44" t="inlineStr">
        <is>
          <t>Good finish</t>
        </is>
      </c>
      <c r="S100" s="26" t="inlineStr">
        <is>
          <t>Yes</t>
        </is>
      </c>
      <c r="T100" s="27" t="n"/>
      <c r="U100" s="28" t="inlineStr">
        <is>
          <t>No</t>
        </is>
      </c>
      <c r="V100" s="29">
        <f>IF(N100="","",IF(Q100="Yes","❌ Disc",IF(P100="No","⚠ Missing",IF(S100="Yes","✓ OK","⚠ Check"))))</f>
        <v/>
      </c>
      <c r="W100" s="65" t="n">
        <v>46248</v>
      </c>
      <c r="X100" s="30" t="inlineStr">
        <is>
          <t>Sunil CR</t>
        </is>
      </c>
      <c r="Y100" s="30" t="inlineStr">
        <is>
          <t>Yes</t>
        </is>
      </c>
      <c r="Z100" s="30" t="n"/>
      <c r="AA100" s="30" t="inlineStr">
        <is>
          <t>Good finish</t>
        </is>
      </c>
      <c r="AB100" s="30" t="inlineStr">
        <is>
          <t>Yes</t>
        </is>
      </c>
      <c r="AC100" s="27" t="n"/>
      <c r="AD100" s="31" t="inlineStr">
        <is>
          <t>No</t>
        </is>
      </c>
      <c r="AE100" s="32">
        <f>IF(W100="","",IF(Z100="Yes","❌ Disc",IF(Y100="No","⚠ Missing",IF(AB100="Yes","✓ OK","⚠ Check"))))</f>
        <v/>
      </c>
      <c r="AF100" s="33" t="n"/>
      <c r="AG100" s="33" t="n"/>
      <c r="AH100" s="33" t="n"/>
      <c r="AI100" s="33" t="n"/>
      <c r="AJ100" s="33" t="n"/>
      <c r="AK100" s="33" t="n"/>
      <c r="AL100" s="27" t="n"/>
      <c r="AM100" s="34" t="n"/>
      <c r="AN100" s="35">
        <f>IF(AF100="","",IF(AI100="Yes","❌ Disc",IF(AH100="No","⚠ Missing",IF(AK100="Yes","✓ OK","⚠ Check"))))</f>
        <v/>
      </c>
      <c r="AO100" s="36" t="n"/>
      <c r="AP100" s="36" t="n"/>
      <c r="AQ100" s="36" t="n"/>
      <c r="AR100" s="36" t="n"/>
      <c r="AS100" s="36" t="n"/>
      <c r="AT100" s="36" t="n"/>
      <c r="AU100" s="27" t="n"/>
      <c r="AV100" s="37" t="n"/>
      <c r="AW100" s="38">
        <f>IF(AO100="","",IF(AR100="Yes","❌ Disc",IF(AQ100="No","⚠ Missing",IF(AT100="Yes","✓ OK","⚠ Check"))))</f>
        <v/>
      </c>
    </row>
    <row r="101" ht="18" customHeight="1" s="46">
      <c r="A101" s="23" t="n">
        <v>97</v>
      </c>
      <c r="B101" s="24" t="inlineStr">
        <is>
          <t>BD-HNA-2025-0446</t>
        </is>
      </c>
      <c r="C101" s="25" t="inlineStr">
        <is>
          <t>Bonito Handles - DK-3026(S.N) - PVD Gold Knob - 48x17mm</t>
        </is>
      </c>
      <c r="D101" s="23" t="inlineStr">
        <is>
          <t>Bonito Handles</t>
        </is>
      </c>
      <c r="E101" s="43" t="n">
        <v>46125</v>
      </c>
      <c r="F101" s="26" t="inlineStr">
        <is>
          <t>Sunil CR</t>
        </is>
      </c>
      <c r="G101" s="44" t="inlineStr">
        <is>
          <t>Represented by Sample</t>
        </is>
      </c>
      <c r="H101" s="26" t="inlineStr">
        <is>
          <t>No</t>
        </is>
      </c>
      <c r="I101" s="44" t="inlineStr">
        <is>
          <t>Represented by Sample</t>
        </is>
      </c>
      <c r="J101" s="26" t="inlineStr">
        <is>
          <t>Yes</t>
        </is>
      </c>
      <c r="K101" s="27" t="n"/>
      <c r="L101" s="28" t="inlineStr">
        <is>
          <t>No</t>
        </is>
      </c>
      <c r="M101" s="29">
        <f>IF(E101="","",IF(H101="Yes","❌ Disc",IF(G101="No","⚠ Missing",IF(J101="Yes","✓ OK","⚠ Check"))))</f>
        <v/>
      </c>
      <c r="N101" s="43" t="n">
        <v>46196</v>
      </c>
      <c r="O101" s="26" t="inlineStr">
        <is>
          <t>Sunil CR</t>
        </is>
      </c>
      <c r="P101" s="44" t="inlineStr">
        <is>
          <t>Represented by Sample</t>
        </is>
      </c>
      <c r="Q101" s="26" t="inlineStr">
        <is>
          <t>No</t>
        </is>
      </c>
      <c r="R101" s="44" t="inlineStr">
        <is>
          <t>Represented by Sample</t>
        </is>
      </c>
      <c r="S101" s="26" t="inlineStr">
        <is>
          <t>Yes</t>
        </is>
      </c>
      <c r="T101" s="27" t="n"/>
      <c r="U101" s="28" t="inlineStr">
        <is>
          <t>No</t>
        </is>
      </c>
      <c r="V101" s="29">
        <f>IF(N101="","",IF(Q101="Yes","❌ Disc",IF(P101="No","⚠ Missing",IF(S101="Yes","✓ OK","⚠ Check"))))</f>
        <v/>
      </c>
      <c r="W101" s="65" t="n">
        <v>46248</v>
      </c>
      <c r="X101" s="30" t="inlineStr">
        <is>
          <t>Sunil CR</t>
        </is>
      </c>
      <c r="Y101" s="30" t="inlineStr">
        <is>
          <t>Represented by Sample</t>
        </is>
      </c>
      <c r="Z101" s="30" t="n"/>
      <c r="AA101" s="30" t="inlineStr">
        <is>
          <t>Represented by Sample</t>
        </is>
      </c>
      <c r="AB101" s="30" t="inlineStr">
        <is>
          <t>Yes</t>
        </is>
      </c>
      <c r="AC101" s="27" t="n"/>
      <c r="AD101" s="31" t="inlineStr">
        <is>
          <t>No</t>
        </is>
      </c>
      <c r="AE101" s="32">
        <f>IF(W101="","",IF(Z101="Yes","❌ Disc",IF(Y101="No","⚠ Missing",IF(AB101="Yes","✓ OK","⚠ Check"))))</f>
        <v/>
      </c>
      <c r="AF101" s="33" t="n"/>
      <c r="AG101" s="33" t="n"/>
      <c r="AH101" s="33" t="n"/>
      <c r="AI101" s="33" t="n"/>
      <c r="AJ101" s="33" t="n"/>
      <c r="AK101" s="33" t="n"/>
      <c r="AL101" s="27" t="n"/>
      <c r="AM101" s="34" t="n"/>
      <c r="AN101" s="35">
        <f>IF(AF101="","",IF(AI101="Yes","❌ Disc",IF(AH101="No","⚠ Missing",IF(AK101="Yes","✓ OK","⚠ Check"))))</f>
        <v/>
      </c>
      <c r="AO101" s="36" t="n"/>
      <c r="AP101" s="36" t="n"/>
      <c r="AQ101" s="36" t="n"/>
      <c r="AR101" s="36" t="n"/>
      <c r="AS101" s="36" t="n"/>
      <c r="AT101" s="36" t="n"/>
      <c r="AU101" s="27" t="n"/>
      <c r="AV101" s="37" t="n"/>
      <c r="AW101" s="38">
        <f>IF(AO101="","",IF(AR101="Yes","❌ Disc",IF(AQ101="No","⚠ Missing",IF(AT101="Yes","✓ OK","⚠ Check"))))</f>
        <v/>
      </c>
    </row>
    <row r="102" ht="18" customHeight="1" s="46">
      <c r="A102" s="39" t="n">
        <v>98</v>
      </c>
      <c r="B102" s="40" t="inlineStr">
        <is>
          <t>BD-HNA-2025-0447</t>
        </is>
      </c>
      <c r="C102" s="41" t="inlineStr">
        <is>
          <t>Bonito Handles - DK-3026(S.N) - Rose Gold Knob - 48x17mm</t>
        </is>
      </c>
      <c r="D102" s="39" t="inlineStr">
        <is>
          <t>Bonito Handles</t>
        </is>
      </c>
      <c r="E102" s="43" t="n">
        <v>46125</v>
      </c>
      <c r="F102" s="26" t="inlineStr">
        <is>
          <t>Sunil CR</t>
        </is>
      </c>
      <c r="G102" s="44" t="inlineStr">
        <is>
          <t>Represented by Sample</t>
        </is>
      </c>
      <c r="H102" s="26" t="inlineStr">
        <is>
          <t>No</t>
        </is>
      </c>
      <c r="I102" s="44" t="inlineStr">
        <is>
          <t>Represented by Sample</t>
        </is>
      </c>
      <c r="J102" s="26" t="inlineStr">
        <is>
          <t>Yes</t>
        </is>
      </c>
      <c r="K102" s="27" t="n"/>
      <c r="L102" s="28" t="inlineStr">
        <is>
          <t>No</t>
        </is>
      </c>
      <c r="M102" s="29">
        <f>IF(E102="","",IF(H102="Yes","❌ Disc",IF(G102="No","⚠ Missing",IF(J102="Yes","✓ OK","⚠ Check"))))</f>
        <v/>
      </c>
      <c r="N102" s="43" t="n">
        <v>46196</v>
      </c>
      <c r="O102" s="26" t="inlineStr">
        <is>
          <t>Sunil CR</t>
        </is>
      </c>
      <c r="P102" s="44" t="inlineStr">
        <is>
          <t>Represented by Sample</t>
        </is>
      </c>
      <c r="Q102" s="26" t="inlineStr">
        <is>
          <t>No</t>
        </is>
      </c>
      <c r="R102" s="44" t="inlineStr">
        <is>
          <t>Represented by Sample</t>
        </is>
      </c>
      <c r="S102" s="26" t="inlineStr">
        <is>
          <t>Yes</t>
        </is>
      </c>
      <c r="T102" s="27" t="n"/>
      <c r="U102" s="28" t="inlineStr">
        <is>
          <t>No</t>
        </is>
      </c>
      <c r="V102" s="29">
        <f>IF(N102="","",IF(Q102="Yes","❌ Disc",IF(P102="No","⚠ Missing",IF(S102="Yes","✓ OK","⚠ Check"))))</f>
        <v/>
      </c>
      <c r="W102" s="65" t="n">
        <v>46248</v>
      </c>
      <c r="X102" s="30" t="inlineStr">
        <is>
          <t>Sunil CR</t>
        </is>
      </c>
      <c r="Y102" s="30" t="inlineStr">
        <is>
          <t>Represented by Sample</t>
        </is>
      </c>
      <c r="Z102" s="30" t="n"/>
      <c r="AA102" s="30" t="inlineStr">
        <is>
          <t>Represented by Sample</t>
        </is>
      </c>
      <c r="AB102" s="30" t="inlineStr">
        <is>
          <t>Yes</t>
        </is>
      </c>
      <c r="AC102" s="27" t="n"/>
      <c r="AD102" s="31" t="inlineStr">
        <is>
          <t>No</t>
        </is>
      </c>
      <c r="AE102" s="32">
        <f>IF(W102="","",IF(Z102="Yes","❌ Disc",IF(Y102="No","⚠ Missing",IF(AB102="Yes","✓ OK","⚠ Check"))))</f>
        <v/>
      </c>
      <c r="AF102" s="33" t="n"/>
      <c r="AG102" s="33" t="n"/>
      <c r="AH102" s="33" t="n"/>
      <c r="AI102" s="33" t="n"/>
      <c r="AJ102" s="33" t="n"/>
      <c r="AK102" s="33" t="n"/>
      <c r="AL102" s="27" t="n"/>
      <c r="AM102" s="34" t="n"/>
      <c r="AN102" s="35">
        <f>IF(AF102="","",IF(AI102="Yes","❌ Disc",IF(AH102="No","⚠ Missing",IF(AK102="Yes","✓ OK","⚠ Check"))))</f>
        <v/>
      </c>
      <c r="AO102" s="36" t="n"/>
      <c r="AP102" s="36" t="n"/>
      <c r="AQ102" s="36" t="n"/>
      <c r="AR102" s="36" t="n"/>
      <c r="AS102" s="36" t="n"/>
      <c r="AT102" s="36" t="n"/>
      <c r="AU102" s="27" t="n"/>
      <c r="AV102" s="37" t="n"/>
      <c r="AW102" s="38">
        <f>IF(AO102="","",IF(AR102="Yes","❌ Disc",IF(AQ102="No","⚠ Missing",IF(AT102="Yes","✓ OK","⚠ Check"))))</f>
        <v/>
      </c>
    </row>
    <row r="103" ht="18" customHeight="1" s="46">
      <c r="A103" s="23" t="n">
        <v>99</v>
      </c>
      <c r="B103" s="24" t="inlineStr">
        <is>
          <t>BD-HNA-2025-0088</t>
        </is>
      </c>
      <c r="C103" s="25" t="inlineStr">
        <is>
          <t>Bonito Handles - EVX(S.H-ZP) - Anodized Brass and Gold Handle  - 320mm</t>
        </is>
      </c>
      <c r="D103" s="23" t="inlineStr">
        <is>
          <t>Bonito Handles</t>
        </is>
      </c>
      <c r="E103" s="43" t="n">
        <v>46125</v>
      </c>
      <c r="F103" s="26" t="inlineStr">
        <is>
          <t>Sunil CR</t>
        </is>
      </c>
      <c r="G103" s="44" t="inlineStr">
        <is>
          <t>Represented by Sample</t>
        </is>
      </c>
      <c r="H103" s="26" t="inlineStr">
        <is>
          <t>No</t>
        </is>
      </c>
      <c r="I103" s="44" t="inlineStr">
        <is>
          <t>Represented by Sample</t>
        </is>
      </c>
      <c r="J103" s="26" t="inlineStr">
        <is>
          <t>Yes</t>
        </is>
      </c>
      <c r="K103" s="27" t="n"/>
      <c r="L103" s="28" t="inlineStr">
        <is>
          <t>No</t>
        </is>
      </c>
      <c r="M103" s="29">
        <f>IF(E103="","",IF(H103="Yes","❌ Disc",IF(G103="No","⚠ Missing",IF(J103="Yes","✓ OK","⚠ Check"))))</f>
        <v/>
      </c>
      <c r="N103" s="43" t="n">
        <v>46196</v>
      </c>
      <c r="O103" s="26" t="inlineStr">
        <is>
          <t>Sunil CR</t>
        </is>
      </c>
      <c r="P103" s="44" t="inlineStr">
        <is>
          <t>Represented by Sample</t>
        </is>
      </c>
      <c r="Q103" s="26" t="inlineStr">
        <is>
          <t>No</t>
        </is>
      </c>
      <c r="R103" s="44" t="inlineStr">
        <is>
          <t>Represented by Sample</t>
        </is>
      </c>
      <c r="S103" s="26" t="inlineStr">
        <is>
          <t>Yes</t>
        </is>
      </c>
      <c r="T103" s="27" t="n"/>
      <c r="U103" s="28" t="inlineStr">
        <is>
          <t>No</t>
        </is>
      </c>
      <c r="V103" s="29">
        <f>IF(N103="","",IF(Q103="Yes","❌ Disc",IF(P103="No","⚠ Missing",IF(S103="Yes","✓ OK","⚠ Check"))))</f>
        <v/>
      </c>
      <c r="W103" s="65" t="n">
        <v>46248</v>
      </c>
      <c r="X103" s="30" t="inlineStr">
        <is>
          <t>Sunil CR</t>
        </is>
      </c>
      <c r="Y103" s="30" t="inlineStr">
        <is>
          <t>Represented by Sample</t>
        </is>
      </c>
      <c r="Z103" s="30" t="n"/>
      <c r="AA103" s="30" t="inlineStr">
        <is>
          <t>Represented by Sample</t>
        </is>
      </c>
      <c r="AB103" s="30" t="inlineStr">
        <is>
          <t>Yes</t>
        </is>
      </c>
      <c r="AC103" s="27" t="n"/>
      <c r="AD103" s="31" t="inlineStr">
        <is>
          <t>No</t>
        </is>
      </c>
      <c r="AE103" s="32">
        <f>IF(W103="","",IF(Z103="Yes","❌ Disc",IF(Y103="No","⚠ Missing",IF(AB103="Yes","✓ OK","⚠ Check"))))</f>
        <v/>
      </c>
      <c r="AF103" s="33" t="n"/>
      <c r="AG103" s="33" t="n"/>
      <c r="AH103" s="33" t="n"/>
      <c r="AI103" s="33" t="n"/>
      <c r="AJ103" s="33" t="n"/>
      <c r="AK103" s="33" t="n"/>
      <c r="AL103" s="27" t="n"/>
      <c r="AM103" s="34" t="n"/>
      <c r="AN103" s="35">
        <f>IF(AF103="","",IF(AI103="Yes","❌ Disc",IF(AH103="No","⚠ Missing",IF(AK103="Yes","✓ OK","⚠ Check"))))</f>
        <v/>
      </c>
      <c r="AO103" s="36" t="n"/>
      <c r="AP103" s="36" t="n"/>
      <c r="AQ103" s="36" t="n"/>
      <c r="AR103" s="36" t="n"/>
      <c r="AS103" s="36" t="n"/>
      <c r="AT103" s="36" t="n"/>
      <c r="AU103" s="27" t="n"/>
      <c r="AV103" s="37" t="n"/>
      <c r="AW103" s="38">
        <f>IF(AO103="","",IF(AR103="Yes","❌ Disc",IF(AQ103="No","⚠ Missing",IF(AT103="Yes","✓ OK","⚠ Check"))))</f>
        <v/>
      </c>
    </row>
    <row r="104" ht="18" customHeight="1" s="46">
      <c r="A104" s="39" t="n">
        <v>100</v>
      </c>
      <c r="B104" s="40" t="inlineStr">
        <is>
          <t>BD-HNA-2025-0089</t>
        </is>
      </c>
      <c r="C104" s="41" t="inlineStr">
        <is>
          <t>Bonito Handles - EVX(S.H-ZP) - Anodized Brass and Gold Handle  - 630mm</t>
        </is>
      </c>
      <c r="D104" s="39" t="inlineStr">
        <is>
          <t>Bonito Handles</t>
        </is>
      </c>
      <c r="E104" s="43" t="n">
        <v>46125</v>
      </c>
      <c r="F104" s="26" t="inlineStr">
        <is>
          <t>Sunil CR</t>
        </is>
      </c>
      <c r="G104" s="44" t="inlineStr">
        <is>
          <t>Represented by Sample</t>
        </is>
      </c>
      <c r="H104" s="26" t="inlineStr">
        <is>
          <t>No</t>
        </is>
      </c>
      <c r="I104" s="44" t="inlineStr">
        <is>
          <t>Represented by Sample</t>
        </is>
      </c>
      <c r="J104" s="26" t="inlineStr">
        <is>
          <t>Yes</t>
        </is>
      </c>
      <c r="K104" s="27" t="n"/>
      <c r="L104" s="28" t="inlineStr">
        <is>
          <t>No</t>
        </is>
      </c>
      <c r="M104" s="29">
        <f>IF(E104="","",IF(H104="Yes","❌ Disc",IF(G104="No","⚠ Missing",IF(J104="Yes","✓ OK","⚠ Check"))))</f>
        <v/>
      </c>
      <c r="N104" s="43" t="n">
        <v>46196</v>
      </c>
      <c r="O104" s="26" t="inlineStr">
        <is>
          <t>Sunil CR</t>
        </is>
      </c>
      <c r="P104" s="44" t="inlineStr">
        <is>
          <t>Represented by Sample</t>
        </is>
      </c>
      <c r="Q104" s="26" t="inlineStr">
        <is>
          <t>No</t>
        </is>
      </c>
      <c r="R104" s="44" t="inlineStr">
        <is>
          <t>Represented by Sample</t>
        </is>
      </c>
      <c r="S104" s="26" t="inlineStr">
        <is>
          <t>Yes</t>
        </is>
      </c>
      <c r="T104" s="27" t="n"/>
      <c r="U104" s="28" t="inlineStr">
        <is>
          <t>No</t>
        </is>
      </c>
      <c r="V104" s="29">
        <f>IF(N104="","",IF(Q104="Yes","❌ Disc",IF(P104="No","⚠ Missing",IF(S104="Yes","✓ OK","⚠ Check"))))</f>
        <v/>
      </c>
      <c r="W104" s="65" t="n">
        <v>46248</v>
      </c>
      <c r="X104" s="30" t="inlineStr">
        <is>
          <t>Sunil CR</t>
        </is>
      </c>
      <c r="Y104" s="30" t="inlineStr">
        <is>
          <t>Represented by Sample</t>
        </is>
      </c>
      <c r="Z104" s="30" t="n"/>
      <c r="AA104" s="30" t="inlineStr">
        <is>
          <t>Represented by Sample</t>
        </is>
      </c>
      <c r="AB104" s="30" t="inlineStr">
        <is>
          <t>Yes</t>
        </is>
      </c>
      <c r="AC104" s="27" t="n"/>
      <c r="AD104" s="31" t="inlineStr">
        <is>
          <t>No</t>
        </is>
      </c>
      <c r="AE104" s="32">
        <f>IF(W104="","",IF(Z104="Yes","❌ Disc",IF(Y104="No","⚠ Missing",IF(AB104="Yes","✓ OK","⚠ Check"))))</f>
        <v/>
      </c>
      <c r="AF104" s="33" t="n"/>
      <c r="AG104" s="33" t="n"/>
      <c r="AH104" s="33" t="n"/>
      <c r="AI104" s="33" t="n"/>
      <c r="AJ104" s="33" t="n"/>
      <c r="AK104" s="33" t="n"/>
      <c r="AL104" s="27" t="n"/>
      <c r="AM104" s="34" t="n"/>
      <c r="AN104" s="35">
        <f>IF(AF104="","",IF(AI104="Yes","❌ Disc",IF(AH104="No","⚠ Missing",IF(AK104="Yes","✓ OK","⚠ Check"))))</f>
        <v/>
      </c>
      <c r="AO104" s="36" t="n"/>
      <c r="AP104" s="36" t="n"/>
      <c r="AQ104" s="36" t="n"/>
      <c r="AR104" s="36" t="n"/>
      <c r="AS104" s="36" t="n"/>
      <c r="AT104" s="36" t="n"/>
      <c r="AU104" s="27" t="n"/>
      <c r="AV104" s="37" t="n"/>
      <c r="AW104" s="38">
        <f>IF(AO104="","",IF(AR104="Yes","❌ Disc",IF(AQ104="No","⚠ Missing",IF(AT104="Yes","✓ OK","⚠ Check"))))</f>
        <v/>
      </c>
    </row>
    <row r="105" ht="18" customHeight="1" s="46">
      <c r="A105" s="23" t="n">
        <v>101</v>
      </c>
      <c r="B105" s="24" t="inlineStr">
        <is>
          <t>BD-HNA-2025-0092</t>
        </is>
      </c>
      <c r="C105" s="25" t="inlineStr">
        <is>
          <t>Bonito Handles - EVX(S.H-ZP) - Black Handle  - 320mm</t>
        </is>
      </c>
      <c r="D105" s="23" t="inlineStr">
        <is>
          <t>Bonito Handles</t>
        </is>
      </c>
      <c r="E105" s="43" t="n">
        <v>46125</v>
      </c>
      <c r="F105" s="26" t="inlineStr">
        <is>
          <t>Sunil CR</t>
        </is>
      </c>
      <c r="G105" s="44" t="inlineStr">
        <is>
          <t>Represented by Sample</t>
        </is>
      </c>
      <c r="H105" s="26" t="inlineStr">
        <is>
          <t>No</t>
        </is>
      </c>
      <c r="I105" s="44" t="inlineStr">
        <is>
          <t>Represented by Sample</t>
        </is>
      </c>
      <c r="J105" s="26" t="inlineStr">
        <is>
          <t>Yes</t>
        </is>
      </c>
      <c r="K105" s="27" t="n"/>
      <c r="L105" s="28" t="inlineStr">
        <is>
          <t>No</t>
        </is>
      </c>
      <c r="M105" s="29">
        <f>IF(E105="","",IF(H105="Yes","❌ Disc",IF(G105="No","⚠ Missing",IF(J105="Yes","✓ OK","⚠ Check"))))</f>
        <v/>
      </c>
      <c r="N105" s="43" t="n">
        <v>46196</v>
      </c>
      <c r="O105" s="26" t="inlineStr">
        <is>
          <t>Sunil CR</t>
        </is>
      </c>
      <c r="P105" s="44" t="inlineStr">
        <is>
          <t>Represented by Sample</t>
        </is>
      </c>
      <c r="Q105" s="26" t="inlineStr">
        <is>
          <t>No</t>
        </is>
      </c>
      <c r="R105" s="44" t="inlineStr">
        <is>
          <t>Represented by Sample</t>
        </is>
      </c>
      <c r="S105" s="26" t="inlineStr">
        <is>
          <t>Yes</t>
        </is>
      </c>
      <c r="T105" s="27" t="n"/>
      <c r="U105" s="28" t="inlineStr">
        <is>
          <t>No</t>
        </is>
      </c>
      <c r="V105" s="29">
        <f>IF(N105="","",IF(Q105="Yes","❌ Disc",IF(P105="No","⚠ Missing",IF(S105="Yes","✓ OK","⚠ Check"))))</f>
        <v/>
      </c>
      <c r="W105" s="65" t="n">
        <v>46248</v>
      </c>
      <c r="X105" s="30" t="inlineStr">
        <is>
          <t>Sunil CR</t>
        </is>
      </c>
      <c r="Y105" s="30" t="inlineStr">
        <is>
          <t>Represented by Sample</t>
        </is>
      </c>
      <c r="Z105" s="30" t="n"/>
      <c r="AA105" s="30" t="inlineStr">
        <is>
          <t>Represented by Sample</t>
        </is>
      </c>
      <c r="AB105" s="30" t="inlineStr">
        <is>
          <t>Yes</t>
        </is>
      </c>
      <c r="AC105" s="27" t="n"/>
      <c r="AD105" s="31" t="inlineStr">
        <is>
          <t>No</t>
        </is>
      </c>
      <c r="AE105" s="32">
        <f>IF(W105="","",IF(Z105="Yes","❌ Disc",IF(Y105="No","⚠ Missing",IF(AB105="Yes","✓ OK","⚠ Check"))))</f>
        <v/>
      </c>
      <c r="AF105" s="33" t="n"/>
      <c r="AG105" s="33" t="n"/>
      <c r="AH105" s="33" t="n"/>
      <c r="AI105" s="33" t="n"/>
      <c r="AJ105" s="33" t="n"/>
      <c r="AK105" s="33" t="n"/>
      <c r="AL105" s="27" t="n"/>
      <c r="AM105" s="34" t="n"/>
      <c r="AN105" s="35">
        <f>IF(AF105="","",IF(AI105="Yes","❌ Disc",IF(AH105="No","⚠ Missing",IF(AK105="Yes","✓ OK","⚠ Check"))))</f>
        <v/>
      </c>
      <c r="AO105" s="36" t="n"/>
      <c r="AP105" s="36" t="n"/>
      <c r="AQ105" s="36" t="n"/>
      <c r="AR105" s="36" t="n"/>
      <c r="AS105" s="36" t="n"/>
      <c r="AT105" s="36" t="n"/>
      <c r="AU105" s="27" t="n"/>
      <c r="AV105" s="37" t="n"/>
      <c r="AW105" s="38">
        <f>IF(AO105="","",IF(AR105="Yes","❌ Disc",IF(AQ105="No","⚠ Missing",IF(AT105="Yes","✓ OK","⚠ Check"))))</f>
        <v/>
      </c>
    </row>
    <row r="106" ht="18" customHeight="1" s="46">
      <c r="A106" s="39" t="n">
        <v>102</v>
      </c>
      <c r="B106" s="40" t="inlineStr">
        <is>
          <t>BD-HNA-2025-0093</t>
        </is>
      </c>
      <c r="C106" s="41" t="inlineStr">
        <is>
          <t>Bonito Handles - EVX(S.H-ZP) - Black Handle  - 630mm</t>
        </is>
      </c>
      <c r="D106" s="39" t="inlineStr">
        <is>
          <t>Bonito Handles</t>
        </is>
      </c>
      <c r="E106" s="43" t="n">
        <v>46125</v>
      </c>
      <c r="F106" s="26" t="inlineStr">
        <is>
          <t>Sunil CR</t>
        </is>
      </c>
      <c r="G106" s="44" t="inlineStr">
        <is>
          <t>Yes</t>
        </is>
      </c>
      <c r="H106" s="26" t="inlineStr">
        <is>
          <t>No</t>
        </is>
      </c>
      <c r="I106" s="44" t="inlineStr">
        <is>
          <t>Good finish</t>
        </is>
      </c>
      <c r="J106" s="26" t="inlineStr">
        <is>
          <t>Yes</t>
        </is>
      </c>
      <c r="K106" s="27" t="n"/>
      <c r="L106" s="28" t="inlineStr">
        <is>
          <t>No</t>
        </is>
      </c>
      <c r="M106" s="29">
        <f>IF(E106="","",IF(H106="Yes","❌ Disc",IF(G106="No","⚠ Missing",IF(J106="Yes","✓ OK","⚠ Check"))))</f>
        <v/>
      </c>
      <c r="N106" s="43" t="n">
        <v>46196</v>
      </c>
      <c r="O106" s="26" t="inlineStr">
        <is>
          <t>Sunil CR</t>
        </is>
      </c>
      <c r="P106" s="44" t="inlineStr">
        <is>
          <t>Yes</t>
        </is>
      </c>
      <c r="Q106" s="26" t="inlineStr">
        <is>
          <t>No</t>
        </is>
      </c>
      <c r="R106" s="44" t="inlineStr">
        <is>
          <t>Good finish</t>
        </is>
      </c>
      <c r="S106" s="26" t="inlineStr">
        <is>
          <t>Yes</t>
        </is>
      </c>
      <c r="T106" s="27" t="n"/>
      <c r="U106" s="28" t="inlineStr">
        <is>
          <t>No</t>
        </is>
      </c>
      <c r="V106" s="29">
        <f>IF(N106="","",IF(Q106="Yes","❌ Disc",IF(P106="No","⚠ Missing",IF(S106="Yes","✓ OK","⚠ Check"))))</f>
        <v/>
      </c>
      <c r="W106" s="65" t="n">
        <v>46248</v>
      </c>
      <c r="X106" s="30" t="inlineStr">
        <is>
          <t>Sunil CR</t>
        </is>
      </c>
      <c r="Y106" s="30" t="inlineStr">
        <is>
          <t>Yes</t>
        </is>
      </c>
      <c r="Z106" s="30" t="n"/>
      <c r="AA106" s="30" t="inlineStr">
        <is>
          <t>Good finish</t>
        </is>
      </c>
      <c r="AB106" s="30" t="inlineStr">
        <is>
          <t>Yes</t>
        </is>
      </c>
      <c r="AC106" s="27" t="n"/>
      <c r="AD106" s="31" t="inlineStr">
        <is>
          <t>No</t>
        </is>
      </c>
      <c r="AE106" s="32">
        <f>IF(W106="","",IF(Z106="Yes","❌ Disc",IF(Y106="No","⚠ Missing",IF(AB106="Yes","✓ OK","⚠ Check"))))</f>
        <v/>
      </c>
      <c r="AF106" s="33" t="n"/>
      <c r="AG106" s="33" t="n"/>
      <c r="AH106" s="33" t="n"/>
      <c r="AI106" s="33" t="n"/>
      <c r="AJ106" s="33" t="n"/>
      <c r="AK106" s="33" t="n"/>
      <c r="AL106" s="27" t="n"/>
      <c r="AM106" s="34" t="n"/>
      <c r="AN106" s="35">
        <f>IF(AF106="","",IF(AI106="Yes","❌ Disc",IF(AH106="No","⚠ Missing",IF(AK106="Yes","✓ OK","⚠ Check"))))</f>
        <v/>
      </c>
      <c r="AO106" s="36" t="n"/>
      <c r="AP106" s="36" t="n"/>
      <c r="AQ106" s="36" t="n"/>
      <c r="AR106" s="36" t="n"/>
      <c r="AS106" s="36" t="n"/>
      <c r="AT106" s="36" t="n"/>
      <c r="AU106" s="27" t="n"/>
      <c r="AV106" s="37" t="n"/>
      <c r="AW106" s="38">
        <f>IF(AO106="","",IF(AR106="Yes","❌ Disc",IF(AQ106="No","⚠ Missing",IF(AT106="Yes","✓ OK","⚠ Check"))))</f>
        <v/>
      </c>
    </row>
    <row r="107" ht="18" customHeight="1" s="46">
      <c r="A107" s="23" t="n">
        <v>103</v>
      </c>
      <c r="B107" s="24" t="inlineStr">
        <is>
          <t>BD-HNA-2025-0090</t>
        </is>
      </c>
      <c r="C107" s="25" t="inlineStr">
        <is>
          <t>Bonito Handles - EVX(S.H-ZP) - Rose Gold Handle  - 320mm</t>
        </is>
      </c>
      <c r="D107" s="23" t="inlineStr">
        <is>
          <t>Bonito Handles</t>
        </is>
      </c>
      <c r="E107" s="43" t="n">
        <v>46125</v>
      </c>
      <c r="F107" s="26" t="inlineStr">
        <is>
          <t>Sunil CR</t>
        </is>
      </c>
      <c r="G107" s="44" t="inlineStr">
        <is>
          <t>Represented by Sample</t>
        </is>
      </c>
      <c r="H107" s="26" t="inlineStr">
        <is>
          <t>No</t>
        </is>
      </c>
      <c r="I107" s="44" t="inlineStr">
        <is>
          <t>Represented by Sample</t>
        </is>
      </c>
      <c r="J107" s="26" t="inlineStr">
        <is>
          <t>Yes</t>
        </is>
      </c>
      <c r="K107" s="27" t="n"/>
      <c r="L107" s="28" t="inlineStr">
        <is>
          <t>No</t>
        </is>
      </c>
      <c r="M107" s="29">
        <f>IF(E107="","",IF(H107="Yes","❌ Disc",IF(G107="No","⚠ Missing",IF(J107="Yes","✓ OK","⚠ Check"))))</f>
        <v/>
      </c>
      <c r="N107" s="43" t="n">
        <v>46196</v>
      </c>
      <c r="O107" s="26" t="inlineStr">
        <is>
          <t>Sunil CR</t>
        </is>
      </c>
      <c r="P107" s="44" t="inlineStr">
        <is>
          <t>Represented by Sample</t>
        </is>
      </c>
      <c r="Q107" s="26" t="inlineStr">
        <is>
          <t>No</t>
        </is>
      </c>
      <c r="R107" s="44" t="inlineStr">
        <is>
          <t>Represented by Sample</t>
        </is>
      </c>
      <c r="S107" s="26" t="inlineStr">
        <is>
          <t>Yes</t>
        </is>
      </c>
      <c r="T107" s="27" t="n"/>
      <c r="U107" s="28" t="inlineStr">
        <is>
          <t>No</t>
        </is>
      </c>
      <c r="V107" s="29">
        <f>IF(N107="","",IF(Q107="Yes","❌ Disc",IF(P107="No","⚠ Missing",IF(S107="Yes","✓ OK","⚠ Check"))))</f>
        <v/>
      </c>
      <c r="W107" s="65" t="n">
        <v>46248</v>
      </c>
      <c r="X107" s="30" t="inlineStr">
        <is>
          <t>Sunil CR</t>
        </is>
      </c>
      <c r="Y107" s="30" t="inlineStr">
        <is>
          <t>Represented by Sample</t>
        </is>
      </c>
      <c r="Z107" s="30" t="n"/>
      <c r="AA107" s="30" t="inlineStr">
        <is>
          <t>Represented by Sample</t>
        </is>
      </c>
      <c r="AB107" s="30" t="inlineStr">
        <is>
          <t>Yes</t>
        </is>
      </c>
      <c r="AC107" s="27" t="n"/>
      <c r="AD107" s="31" t="inlineStr">
        <is>
          <t>No</t>
        </is>
      </c>
      <c r="AE107" s="32">
        <f>IF(W107="","",IF(Z107="Yes","❌ Disc",IF(Y107="No","⚠ Missing",IF(AB107="Yes","✓ OK","⚠ Check"))))</f>
        <v/>
      </c>
      <c r="AF107" s="33" t="n"/>
      <c r="AG107" s="33" t="n"/>
      <c r="AH107" s="33" t="n"/>
      <c r="AI107" s="33" t="n"/>
      <c r="AJ107" s="33" t="n"/>
      <c r="AK107" s="33" t="n"/>
      <c r="AL107" s="27" t="n"/>
      <c r="AM107" s="34" t="n"/>
      <c r="AN107" s="35">
        <f>IF(AF107="","",IF(AI107="Yes","❌ Disc",IF(AH107="No","⚠ Missing",IF(AK107="Yes","✓ OK","⚠ Check"))))</f>
        <v/>
      </c>
      <c r="AO107" s="36" t="n"/>
      <c r="AP107" s="36" t="n"/>
      <c r="AQ107" s="36" t="n"/>
      <c r="AR107" s="36" t="n"/>
      <c r="AS107" s="36" t="n"/>
      <c r="AT107" s="36" t="n"/>
      <c r="AU107" s="27" t="n"/>
      <c r="AV107" s="37" t="n"/>
      <c r="AW107" s="38">
        <f>IF(AO107="","",IF(AR107="Yes","❌ Disc",IF(AQ107="No","⚠ Missing",IF(AT107="Yes","✓ OK","⚠ Check"))))</f>
        <v/>
      </c>
    </row>
    <row r="108" ht="18" customHeight="1" s="46">
      <c r="A108" s="39" t="n">
        <v>104</v>
      </c>
      <c r="B108" s="40" t="inlineStr">
        <is>
          <t>BD-HNA-2025-0091</t>
        </is>
      </c>
      <c r="C108" s="41" t="inlineStr">
        <is>
          <t>Bonito Handles - EVX(S.H-ZP) - Rose Gold Handle  - 630mm</t>
        </is>
      </c>
      <c r="D108" s="39" t="inlineStr">
        <is>
          <t>Bonito Handles</t>
        </is>
      </c>
      <c r="E108" s="43" t="n">
        <v>46125</v>
      </c>
      <c r="F108" s="26" t="inlineStr">
        <is>
          <t>Sunil CR</t>
        </is>
      </c>
      <c r="G108" s="44" t="inlineStr">
        <is>
          <t>Represented by Sample</t>
        </is>
      </c>
      <c r="H108" s="26" t="inlineStr">
        <is>
          <t>No</t>
        </is>
      </c>
      <c r="I108" s="44" t="inlineStr">
        <is>
          <t>Represented by Sample</t>
        </is>
      </c>
      <c r="J108" s="26" t="inlineStr">
        <is>
          <t>Yes</t>
        </is>
      </c>
      <c r="K108" s="27" t="n"/>
      <c r="L108" s="28" t="inlineStr">
        <is>
          <t>No</t>
        </is>
      </c>
      <c r="M108" s="29">
        <f>IF(E108="","",IF(H108="Yes","❌ Disc",IF(G108="No","⚠ Missing",IF(J108="Yes","✓ OK","⚠ Check"))))</f>
        <v/>
      </c>
      <c r="N108" s="43" t="n">
        <v>46196</v>
      </c>
      <c r="O108" s="26" t="inlineStr">
        <is>
          <t>Sunil CR</t>
        </is>
      </c>
      <c r="P108" s="44" t="inlineStr">
        <is>
          <t>Represented by Sample</t>
        </is>
      </c>
      <c r="Q108" s="26" t="inlineStr">
        <is>
          <t>No</t>
        </is>
      </c>
      <c r="R108" s="44" t="inlineStr">
        <is>
          <t>Represented by Sample</t>
        </is>
      </c>
      <c r="S108" s="26" t="inlineStr">
        <is>
          <t>Yes</t>
        </is>
      </c>
      <c r="T108" s="27" t="n"/>
      <c r="U108" s="28" t="inlineStr">
        <is>
          <t>No</t>
        </is>
      </c>
      <c r="V108" s="29">
        <f>IF(N108="","",IF(Q108="Yes","❌ Disc",IF(P108="No","⚠ Missing",IF(S108="Yes","✓ OK","⚠ Check"))))</f>
        <v/>
      </c>
      <c r="W108" s="65" t="n">
        <v>46248</v>
      </c>
      <c r="X108" s="30" t="inlineStr">
        <is>
          <t>Sunil CR</t>
        </is>
      </c>
      <c r="Y108" s="30" t="inlineStr">
        <is>
          <t>Represented by Sample</t>
        </is>
      </c>
      <c r="Z108" s="30" t="n"/>
      <c r="AA108" s="30" t="inlineStr">
        <is>
          <t>Represented by Sample</t>
        </is>
      </c>
      <c r="AB108" s="30" t="inlineStr">
        <is>
          <t>Yes</t>
        </is>
      </c>
      <c r="AC108" s="27" t="n"/>
      <c r="AD108" s="31" t="inlineStr">
        <is>
          <t>No</t>
        </is>
      </c>
      <c r="AE108" s="32">
        <f>IF(W108="","",IF(Z108="Yes","❌ Disc",IF(Y108="No","⚠ Missing",IF(AB108="Yes","✓ OK","⚠ Check"))))</f>
        <v/>
      </c>
      <c r="AF108" s="33" t="n"/>
      <c r="AG108" s="33" t="n"/>
      <c r="AH108" s="33" t="n"/>
      <c r="AI108" s="33" t="n"/>
      <c r="AJ108" s="33" t="n"/>
      <c r="AK108" s="33" t="n"/>
      <c r="AL108" s="27" t="n"/>
      <c r="AM108" s="34" t="n"/>
      <c r="AN108" s="35">
        <f>IF(AF108="","",IF(AI108="Yes","❌ Disc",IF(AH108="No","⚠ Missing",IF(AK108="Yes","✓ OK","⚠ Check"))))</f>
        <v/>
      </c>
      <c r="AO108" s="36" t="n"/>
      <c r="AP108" s="36" t="n"/>
      <c r="AQ108" s="36" t="n"/>
      <c r="AR108" s="36" t="n"/>
      <c r="AS108" s="36" t="n"/>
      <c r="AT108" s="36" t="n"/>
      <c r="AU108" s="27" t="n"/>
      <c r="AV108" s="37" t="n"/>
      <c r="AW108" s="38">
        <f>IF(AO108="","",IF(AR108="Yes","❌ Disc",IF(AQ108="No","⚠ Missing",IF(AT108="Yes","✓ OK","⚠ Check"))))</f>
        <v/>
      </c>
    </row>
    <row r="109" ht="18" customHeight="1" s="46">
      <c r="A109" s="23" t="n">
        <v>105</v>
      </c>
      <c r="B109" s="24" t="inlineStr">
        <is>
          <t>BD-HNA-2025-0215</t>
        </is>
      </c>
      <c r="C109" s="25" t="inlineStr">
        <is>
          <t>Bonito Handles - H-106 - Cola Matt Handle  - 136mm</t>
        </is>
      </c>
      <c r="D109" s="23" t="inlineStr">
        <is>
          <t>Bonito Handles</t>
        </is>
      </c>
      <c r="E109" s="43" t="n">
        <v>46125</v>
      </c>
      <c r="F109" s="26" t="inlineStr">
        <is>
          <t>Sunil CR</t>
        </is>
      </c>
      <c r="G109" s="44" t="inlineStr">
        <is>
          <t>Yes</t>
        </is>
      </c>
      <c r="H109" s="26" t="inlineStr">
        <is>
          <t>No</t>
        </is>
      </c>
      <c r="I109" s="44" t="inlineStr">
        <is>
          <t>Good finish</t>
        </is>
      </c>
      <c r="J109" s="26" t="inlineStr">
        <is>
          <t>Yes</t>
        </is>
      </c>
      <c r="K109" s="27" t="n"/>
      <c r="L109" s="28" t="inlineStr">
        <is>
          <t>No</t>
        </is>
      </c>
      <c r="M109" s="29">
        <f>IF(E109="","",IF(H109="Yes","❌ Disc",IF(G109="No","⚠ Missing",IF(J109="Yes","✓ OK","⚠ Check"))))</f>
        <v/>
      </c>
      <c r="N109" s="43" t="n">
        <v>46196</v>
      </c>
      <c r="O109" s="26" t="inlineStr">
        <is>
          <t>Sunil CR</t>
        </is>
      </c>
      <c r="P109" s="44" t="inlineStr">
        <is>
          <t>Yes</t>
        </is>
      </c>
      <c r="Q109" s="26" t="inlineStr">
        <is>
          <t>No</t>
        </is>
      </c>
      <c r="R109" s="44" t="inlineStr">
        <is>
          <t>Good finish</t>
        </is>
      </c>
      <c r="S109" s="26" t="inlineStr">
        <is>
          <t>Yes</t>
        </is>
      </c>
      <c r="T109" s="27" t="n"/>
      <c r="U109" s="28" t="inlineStr">
        <is>
          <t>No</t>
        </is>
      </c>
      <c r="V109" s="29">
        <f>IF(N109="","",IF(Q109="Yes","❌ Disc",IF(P109="No","⚠ Missing",IF(S109="Yes","✓ OK","⚠ Check"))))</f>
        <v/>
      </c>
      <c r="W109" s="65" t="n">
        <v>46248</v>
      </c>
      <c r="X109" s="30" t="inlineStr">
        <is>
          <t>Sunil CR</t>
        </is>
      </c>
      <c r="Y109" s="30" t="inlineStr">
        <is>
          <t>Yes</t>
        </is>
      </c>
      <c r="Z109" s="30" t="n"/>
      <c r="AA109" s="30" t="inlineStr">
        <is>
          <t>Good finish</t>
        </is>
      </c>
      <c r="AB109" s="30" t="inlineStr">
        <is>
          <t>Yes</t>
        </is>
      </c>
      <c r="AC109" s="27" t="n"/>
      <c r="AD109" s="31" t="inlineStr">
        <is>
          <t>No</t>
        </is>
      </c>
      <c r="AE109" s="32">
        <f>IF(W109="","",IF(Z109="Yes","❌ Disc",IF(Y109="No","⚠ Missing",IF(AB109="Yes","✓ OK","⚠ Check"))))</f>
        <v/>
      </c>
      <c r="AF109" s="33" t="n"/>
      <c r="AG109" s="33" t="n"/>
      <c r="AH109" s="33" t="n"/>
      <c r="AI109" s="33" t="n"/>
      <c r="AJ109" s="33" t="n"/>
      <c r="AK109" s="33" t="n"/>
      <c r="AL109" s="27" t="n"/>
      <c r="AM109" s="34" t="n"/>
      <c r="AN109" s="35">
        <f>IF(AF109="","",IF(AI109="Yes","❌ Disc",IF(AH109="No","⚠ Missing",IF(AK109="Yes","✓ OK","⚠ Check"))))</f>
        <v/>
      </c>
      <c r="AO109" s="36" t="n"/>
      <c r="AP109" s="36" t="n"/>
      <c r="AQ109" s="36" t="n"/>
      <c r="AR109" s="36" t="n"/>
      <c r="AS109" s="36" t="n"/>
      <c r="AT109" s="36" t="n"/>
      <c r="AU109" s="27" t="n"/>
      <c r="AV109" s="37" t="n"/>
      <c r="AW109" s="38">
        <f>IF(AO109="","",IF(AR109="Yes","❌ Disc",IF(AQ109="No","⚠ Missing",IF(AT109="Yes","✓ OK","⚠ Check"))))</f>
        <v/>
      </c>
    </row>
    <row r="110" ht="18" customHeight="1" s="46">
      <c r="A110" s="39" t="n">
        <v>106</v>
      </c>
      <c r="B110" s="40" t="inlineStr">
        <is>
          <t>BD-HNA-2025-0216</t>
        </is>
      </c>
      <c r="C110" s="41" t="inlineStr">
        <is>
          <t>Bonito Handles - H-106 - Cola Matt Handle  - 210mm</t>
        </is>
      </c>
      <c r="D110" s="39" t="inlineStr">
        <is>
          <t>Bonito Handles</t>
        </is>
      </c>
      <c r="E110" s="43" t="n">
        <v>46125</v>
      </c>
      <c r="F110" s="26" t="inlineStr">
        <is>
          <t>Sunil CR</t>
        </is>
      </c>
      <c r="G110" s="44" t="inlineStr">
        <is>
          <t>Represented by Sample</t>
        </is>
      </c>
      <c r="H110" s="26" t="inlineStr">
        <is>
          <t>No</t>
        </is>
      </c>
      <c r="I110" s="44" t="inlineStr">
        <is>
          <t>Represented by Sample</t>
        </is>
      </c>
      <c r="J110" s="26" t="inlineStr">
        <is>
          <t>Yes</t>
        </is>
      </c>
      <c r="K110" s="27" t="n"/>
      <c r="L110" s="28" t="inlineStr">
        <is>
          <t>No</t>
        </is>
      </c>
      <c r="M110" s="29">
        <f>IF(E110="","",IF(H110="Yes","❌ Disc",IF(G110="No","⚠ Missing",IF(J110="Yes","✓ OK","⚠ Check"))))</f>
        <v/>
      </c>
      <c r="N110" s="43" t="n">
        <v>46196</v>
      </c>
      <c r="O110" s="26" t="inlineStr">
        <is>
          <t>Sunil CR</t>
        </is>
      </c>
      <c r="P110" s="44" t="inlineStr">
        <is>
          <t>Represented by Sample</t>
        </is>
      </c>
      <c r="Q110" s="26" t="inlineStr">
        <is>
          <t>No</t>
        </is>
      </c>
      <c r="R110" s="44" t="inlineStr">
        <is>
          <t>Represented by Sample</t>
        </is>
      </c>
      <c r="S110" s="26" t="inlineStr">
        <is>
          <t>Yes</t>
        </is>
      </c>
      <c r="T110" s="27" t="n"/>
      <c r="U110" s="28" t="inlineStr">
        <is>
          <t>No</t>
        </is>
      </c>
      <c r="V110" s="29">
        <f>IF(N110="","",IF(Q110="Yes","❌ Disc",IF(P110="No","⚠ Missing",IF(S110="Yes","✓ OK","⚠ Check"))))</f>
        <v/>
      </c>
      <c r="W110" s="65" t="n">
        <v>46248</v>
      </c>
      <c r="X110" s="30" t="inlineStr">
        <is>
          <t>Sunil CR</t>
        </is>
      </c>
      <c r="Y110" s="30" t="inlineStr">
        <is>
          <t>Represented by Sample</t>
        </is>
      </c>
      <c r="Z110" s="30" t="n"/>
      <c r="AA110" s="30" t="inlineStr">
        <is>
          <t>Represented by Sample</t>
        </is>
      </c>
      <c r="AB110" s="30" t="inlineStr">
        <is>
          <t>Yes</t>
        </is>
      </c>
      <c r="AC110" s="27" t="n"/>
      <c r="AD110" s="31" t="inlineStr">
        <is>
          <t>No</t>
        </is>
      </c>
      <c r="AE110" s="32">
        <f>IF(W110="","",IF(Z110="Yes","❌ Disc",IF(Y110="No","⚠ Missing",IF(AB110="Yes","✓ OK","⚠ Check"))))</f>
        <v/>
      </c>
      <c r="AF110" s="33" t="n"/>
      <c r="AG110" s="33" t="n"/>
      <c r="AH110" s="33" t="n"/>
      <c r="AI110" s="33" t="n"/>
      <c r="AJ110" s="33" t="n"/>
      <c r="AK110" s="33" t="n"/>
      <c r="AL110" s="27" t="n"/>
      <c r="AM110" s="34" t="n"/>
      <c r="AN110" s="35">
        <f>IF(AF110="","",IF(AI110="Yes","❌ Disc",IF(AH110="No","⚠ Missing",IF(AK110="Yes","✓ OK","⚠ Check"))))</f>
        <v/>
      </c>
      <c r="AO110" s="36" t="n"/>
      <c r="AP110" s="36" t="n"/>
      <c r="AQ110" s="36" t="n"/>
      <c r="AR110" s="36" t="n"/>
      <c r="AS110" s="36" t="n"/>
      <c r="AT110" s="36" t="n"/>
      <c r="AU110" s="27" t="n"/>
      <c r="AV110" s="37" t="n"/>
      <c r="AW110" s="38">
        <f>IF(AO110="","",IF(AR110="Yes","❌ Disc",IF(AQ110="No","⚠ Missing",IF(AT110="Yes","✓ OK","⚠ Check"))))</f>
        <v/>
      </c>
    </row>
    <row r="111" ht="18" customHeight="1" s="46">
      <c r="A111" s="23" t="n">
        <v>107</v>
      </c>
      <c r="B111" s="24" t="inlineStr">
        <is>
          <t>BD-HNA-2025-0213</t>
        </is>
      </c>
      <c r="C111" s="25" t="inlineStr">
        <is>
          <t>Bonito Handles - H-106 - Rustic Anodized Brass Handle  - 136mm</t>
        </is>
      </c>
      <c r="D111" s="23" t="inlineStr">
        <is>
          <t>Bonito Handles</t>
        </is>
      </c>
      <c r="E111" s="43" t="n">
        <v>46125</v>
      </c>
      <c r="F111" s="26" t="inlineStr">
        <is>
          <t>Sunil CR</t>
        </is>
      </c>
      <c r="G111" s="44" t="inlineStr">
        <is>
          <t>Represented by Sample</t>
        </is>
      </c>
      <c r="H111" s="26" t="inlineStr">
        <is>
          <t>No</t>
        </is>
      </c>
      <c r="I111" s="44" t="inlineStr">
        <is>
          <t>Represented by Sample</t>
        </is>
      </c>
      <c r="J111" s="26" t="inlineStr">
        <is>
          <t>Yes</t>
        </is>
      </c>
      <c r="K111" s="27" t="n"/>
      <c r="L111" s="28" t="inlineStr">
        <is>
          <t>No</t>
        </is>
      </c>
      <c r="M111" s="29">
        <f>IF(E111="","",IF(H111="Yes","❌ Disc",IF(G111="No","⚠ Missing",IF(J111="Yes","✓ OK","⚠ Check"))))</f>
        <v/>
      </c>
      <c r="N111" s="43" t="n">
        <v>46196</v>
      </c>
      <c r="O111" s="26" t="inlineStr">
        <is>
          <t>Sunil CR</t>
        </is>
      </c>
      <c r="P111" s="44" t="inlineStr">
        <is>
          <t>Represented by Sample</t>
        </is>
      </c>
      <c r="Q111" s="26" t="inlineStr">
        <is>
          <t>No</t>
        </is>
      </c>
      <c r="R111" s="44" t="inlineStr">
        <is>
          <t>Represented by Sample</t>
        </is>
      </c>
      <c r="S111" s="26" t="inlineStr">
        <is>
          <t>Yes</t>
        </is>
      </c>
      <c r="T111" s="27" t="n"/>
      <c r="U111" s="28" t="inlineStr">
        <is>
          <t>No</t>
        </is>
      </c>
      <c r="V111" s="29">
        <f>IF(N111="","",IF(Q111="Yes","❌ Disc",IF(P111="No","⚠ Missing",IF(S111="Yes","✓ OK","⚠ Check"))))</f>
        <v/>
      </c>
      <c r="W111" s="65" t="n">
        <v>46248</v>
      </c>
      <c r="X111" s="30" t="inlineStr">
        <is>
          <t>Sunil CR</t>
        </is>
      </c>
      <c r="Y111" s="30" t="inlineStr">
        <is>
          <t>Represented by Sample</t>
        </is>
      </c>
      <c r="Z111" s="30" t="n"/>
      <c r="AA111" s="30" t="inlineStr">
        <is>
          <t>Represented by Sample</t>
        </is>
      </c>
      <c r="AB111" s="30" t="inlineStr">
        <is>
          <t>Yes</t>
        </is>
      </c>
      <c r="AC111" s="27" t="n"/>
      <c r="AD111" s="31" t="inlineStr">
        <is>
          <t>No</t>
        </is>
      </c>
      <c r="AE111" s="32">
        <f>IF(W111="","",IF(Z111="Yes","❌ Disc",IF(Y111="No","⚠ Missing",IF(AB111="Yes","✓ OK","⚠ Check"))))</f>
        <v/>
      </c>
      <c r="AF111" s="33" t="n"/>
      <c r="AG111" s="33" t="n"/>
      <c r="AH111" s="33" t="n"/>
      <c r="AI111" s="33" t="n"/>
      <c r="AJ111" s="33" t="n"/>
      <c r="AK111" s="33" t="n"/>
      <c r="AL111" s="27" t="n"/>
      <c r="AM111" s="34" t="n"/>
      <c r="AN111" s="35">
        <f>IF(AF111="","",IF(AI111="Yes","❌ Disc",IF(AH111="No","⚠ Missing",IF(AK111="Yes","✓ OK","⚠ Check"))))</f>
        <v/>
      </c>
      <c r="AO111" s="36" t="n"/>
      <c r="AP111" s="36" t="n"/>
      <c r="AQ111" s="36" t="n"/>
      <c r="AR111" s="36" t="n"/>
      <c r="AS111" s="36" t="n"/>
      <c r="AT111" s="36" t="n"/>
      <c r="AU111" s="27" t="n"/>
      <c r="AV111" s="37" t="n"/>
      <c r="AW111" s="38">
        <f>IF(AO111="","",IF(AR111="Yes","❌ Disc",IF(AQ111="No","⚠ Missing",IF(AT111="Yes","✓ OK","⚠ Check"))))</f>
        <v/>
      </c>
    </row>
    <row r="112" ht="18" customHeight="1" s="46">
      <c r="A112" s="39" t="n">
        <v>108</v>
      </c>
      <c r="B112" s="40" t="inlineStr">
        <is>
          <t>BD-HNA-2025-0214</t>
        </is>
      </c>
      <c r="C112" s="41" t="inlineStr">
        <is>
          <t>Bonito Handles - H-106 - Rustic Anodized Brass Handle  - 210mm</t>
        </is>
      </c>
      <c r="D112" s="39" t="inlineStr">
        <is>
          <t>Bonito Handles</t>
        </is>
      </c>
      <c r="E112" s="43" t="n">
        <v>46125</v>
      </c>
      <c r="F112" s="26" t="inlineStr">
        <is>
          <t>Sunil CR</t>
        </is>
      </c>
      <c r="G112" s="44" t="inlineStr">
        <is>
          <t>Yes</t>
        </is>
      </c>
      <c r="H112" s="26" t="inlineStr">
        <is>
          <t>No</t>
        </is>
      </c>
      <c r="I112" s="44" t="inlineStr">
        <is>
          <t>Good finish</t>
        </is>
      </c>
      <c r="J112" s="26" t="inlineStr">
        <is>
          <t>Yes</t>
        </is>
      </c>
      <c r="K112" s="27" t="n"/>
      <c r="L112" s="28" t="inlineStr">
        <is>
          <t>No</t>
        </is>
      </c>
      <c r="M112" s="29">
        <f>IF(E112="","",IF(H112="Yes","❌ Disc",IF(G112="No","⚠ Missing",IF(J112="Yes","✓ OK","⚠ Check"))))</f>
        <v/>
      </c>
      <c r="N112" s="43" t="n">
        <v>46196</v>
      </c>
      <c r="O112" s="26" t="inlineStr">
        <is>
          <t>Sunil CR</t>
        </is>
      </c>
      <c r="P112" s="44" t="inlineStr">
        <is>
          <t>Yes</t>
        </is>
      </c>
      <c r="Q112" s="26" t="inlineStr">
        <is>
          <t>No</t>
        </is>
      </c>
      <c r="R112" s="44" t="inlineStr">
        <is>
          <t>Good finish</t>
        </is>
      </c>
      <c r="S112" s="26" t="inlineStr">
        <is>
          <t>Yes</t>
        </is>
      </c>
      <c r="T112" s="27" t="n"/>
      <c r="U112" s="28" t="inlineStr">
        <is>
          <t>No</t>
        </is>
      </c>
      <c r="V112" s="29">
        <f>IF(N112="","",IF(Q112="Yes","❌ Disc",IF(P112="No","⚠ Missing",IF(S112="Yes","✓ OK","⚠ Check"))))</f>
        <v/>
      </c>
      <c r="W112" s="65" t="n">
        <v>46248</v>
      </c>
      <c r="X112" s="30" t="inlineStr">
        <is>
          <t>Sunil CR</t>
        </is>
      </c>
      <c r="Y112" s="30" t="inlineStr">
        <is>
          <t>Yes</t>
        </is>
      </c>
      <c r="Z112" s="30" t="n"/>
      <c r="AA112" s="30" t="inlineStr">
        <is>
          <t>Good finish</t>
        </is>
      </c>
      <c r="AB112" s="30" t="inlineStr">
        <is>
          <t>Yes</t>
        </is>
      </c>
      <c r="AC112" s="27" t="n"/>
      <c r="AD112" s="31" t="inlineStr">
        <is>
          <t>No</t>
        </is>
      </c>
      <c r="AE112" s="32">
        <f>IF(W112="","",IF(Z112="Yes","❌ Disc",IF(Y112="No","⚠ Missing",IF(AB112="Yes","✓ OK","⚠ Check"))))</f>
        <v/>
      </c>
      <c r="AF112" s="33" t="n"/>
      <c r="AG112" s="33" t="n"/>
      <c r="AH112" s="33" t="n"/>
      <c r="AI112" s="33" t="n"/>
      <c r="AJ112" s="33" t="n"/>
      <c r="AK112" s="33" t="n"/>
      <c r="AL112" s="27" t="n"/>
      <c r="AM112" s="34" t="n"/>
      <c r="AN112" s="35">
        <f>IF(AF112="","",IF(AI112="Yes","❌ Disc",IF(AH112="No","⚠ Missing",IF(AK112="Yes","✓ OK","⚠ Check"))))</f>
        <v/>
      </c>
      <c r="AO112" s="36" t="n"/>
      <c r="AP112" s="36" t="n"/>
      <c r="AQ112" s="36" t="n"/>
      <c r="AR112" s="36" t="n"/>
      <c r="AS112" s="36" t="n"/>
      <c r="AT112" s="36" t="n"/>
      <c r="AU112" s="27" t="n"/>
      <c r="AV112" s="37" t="n"/>
      <c r="AW112" s="38">
        <f>IF(AO112="","",IF(AR112="Yes","❌ Disc",IF(AQ112="No","⚠ Missing",IF(AT112="Yes","✓ OK","⚠ Check"))))</f>
        <v/>
      </c>
    </row>
    <row r="113" ht="18" customHeight="1" s="46">
      <c r="A113" s="23" t="n">
        <v>109</v>
      </c>
      <c r="B113" s="24" t="inlineStr">
        <is>
          <t>BD-HNA-2025-0211</t>
        </is>
      </c>
      <c r="C113" s="25" t="inlineStr">
        <is>
          <t>Bonito Handles - H-106 - Satin Handle  - 136mm</t>
        </is>
      </c>
      <c r="D113" s="23" t="inlineStr">
        <is>
          <t>Bonito Handles</t>
        </is>
      </c>
      <c r="E113" s="43" t="n">
        <v>46125</v>
      </c>
      <c r="F113" s="26" t="inlineStr">
        <is>
          <t>Sunil CR</t>
        </is>
      </c>
      <c r="G113" s="44" t="inlineStr">
        <is>
          <t>Represented by Sample</t>
        </is>
      </c>
      <c r="H113" s="26" t="inlineStr">
        <is>
          <t>No</t>
        </is>
      </c>
      <c r="I113" s="44" t="inlineStr">
        <is>
          <t>Represented by Sample</t>
        </is>
      </c>
      <c r="J113" s="26" t="inlineStr">
        <is>
          <t>Yes</t>
        </is>
      </c>
      <c r="K113" s="27" t="n"/>
      <c r="L113" s="28" t="inlineStr">
        <is>
          <t>No</t>
        </is>
      </c>
      <c r="M113" s="29">
        <f>IF(E113="","",IF(H113="Yes","❌ Disc",IF(G113="No","⚠ Missing",IF(J113="Yes","✓ OK","⚠ Check"))))</f>
        <v/>
      </c>
      <c r="N113" s="43" t="n">
        <v>46196</v>
      </c>
      <c r="O113" s="26" t="inlineStr">
        <is>
          <t>Sunil CR</t>
        </is>
      </c>
      <c r="P113" s="44" t="inlineStr">
        <is>
          <t>Represented by Sample</t>
        </is>
      </c>
      <c r="Q113" s="26" t="inlineStr">
        <is>
          <t>No</t>
        </is>
      </c>
      <c r="R113" s="44" t="inlineStr">
        <is>
          <t>Represented by Sample</t>
        </is>
      </c>
      <c r="S113" s="26" t="inlineStr">
        <is>
          <t>Yes</t>
        </is>
      </c>
      <c r="T113" s="27" t="n"/>
      <c r="U113" s="28" t="inlineStr">
        <is>
          <t>No</t>
        </is>
      </c>
      <c r="V113" s="29">
        <f>IF(N113="","",IF(Q113="Yes","❌ Disc",IF(P113="No","⚠ Missing",IF(S113="Yes","✓ OK","⚠ Check"))))</f>
        <v/>
      </c>
      <c r="W113" s="65" t="n">
        <v>46248</v>
      </c>
      <c r="X113" s="30" t="inlineStr">
        <is>
          <t>Sunil CR</t>
        </is>
      </c>
      <c r="Y113" s="30" t="inlineStr">
        <is>
          <t>Represented by Sample</t>
        </is>
      </c>
      <c r="Z113" s="30" t="n"/>
      <c r="AA113" s="30" t="inlineStr">
        <is>
          <t>Represented by Sample</t>
        </is>
      </c>
      <c r="AB113" s="30" t="inlineStr">
        <is>
          <t>Yes</t>
        </is>
      </c>
      <c r="AC113" s="27" t="n"/>
      <c r="AD113" s="31" t="inlineStr">
        <is>
          <t>No</t>
        </is>
      </c>
      <c r="AE113" s="32">
        <f>IF(W113="","",IF(Z113="Yes","❌ Disc",IF(Y113="No","⚠ Missing",IF(AB113="Yes","✓ OK","⚠ Check"))))</f>
        <v/>
      </c>
      <c r="AF113" s="33" t="n"/>
      <c r="AG113" s="33" t="n"/>
      <c r="AH113" s="33" t="n"/>
      <c r="AI113" s="33" t="n"/>
      <c r="AJ113" s="33" t="n"/>
      <c r="AK113" s="33" t="n"/>
      <c r="AL113" s="27" t="n"/>
      <c r="AM113" s="34" t="n"/>
      <c r="AN113" s="35">
        <f>IF(AF113="","",IF(AI113="Yes","❌ Disc",IF(AH113="No","⚠ Missing",IF(AK113="Yes","✓ OK","⚠ Check"))))</f>
        <v/>
      </c>
      <c r="AO113" s="36" t="n"/>
      <c r="AP113" s="36" t="n"/>
      <c r="AQ113" s="36" t="n"/>
      <c r="AR113" s="36" t="n"/>
      <c r="AS113" s="36" t="n"/>
      <c r="AT113" s="36" t="n"/>
      <c r="AU113" s="27" t="n"/>
      <c r="AV113" s="37" t="n"/>
      <c r="AW113" s="38">
        <f>IF(AO113="","",IF(AR113="Yes","❌ Disc",IF(AQ113="No","⚠ Missing",IF(AT113="Yes","✓ OK","⚠ Check"))))</f>
        <v/>
      </c>
    </row>
    <row r="114" ht="18" customHeight="1" s="46">
      <c r="A114" s="39" t="n">
        <v>110</v>
      </c>
      <c r="B114" s="40" t="inlineStr">
        <is>
          <t>BD-HNA-2025-0212</t>
        </is>
      </c>
      <c r="C114" s="41" t="inlineStr">
        <is>
          <t>Bonito Handles - H-106 - Satin Handle  - 210mm</t>
        </is>
      </c>
      <c r="D114" s="39" t="inlineStr">
        <is>
          <t>Bonito Handles</t>
        </is>
      </c>
      <c r="E114" s="43" t="n">
        <v>46125</v>
      </c>
      <c r="F114" s="26" t="inlineStr">
        <is>
          <t>Sunil CR</t>
        </is>
      </c>
      <c r="G114" s="44" t="inlineStr">
        <is>
          <t>Represented by Sample</t>
        </is>
      </c>
      <c r="H114" s="26" t="inlineStr">
        <is>
          <t>No</t>
        </is>
      </c>
      <c r="I114" s="44" t="inlineStr">
        <is>
          <t>Represented by Sample</t>
        </is>
      </c>
      <c r="J114" s="26" t="inlineStr">
        <is>
          <t>Yes</t>
        </is>
      </c>
      <c r="K114" s="27" t="n"/>
      <c r="L114" s="28" t="inlineStr">
        <is>
          <t>No</t>
        </is>
      </c>
      <c r="M114" s="29">
        <f>IF(E114="","",IF(H114="Yes","❌ Disc",IF(G114="No","⚠ Missing",IF(J114="Yes","✓ OK","⚠ Check"))))</f>
        <v/>
      </c>
      <c r="N114" s="43" t="n">
        <v>46196</v>
      </c>
      <c r="O114" s="26" t="inlineStr">
        <is>
          <t>Sunil CR</t>
        </is>
      </c>
      <c r="P114" s="44" t="inlineStr">
        <is>
          <t>Represented by Sample</t>
        </is>
      </c>
      <c r="Q114" s="26" t="inlineStr">
        <is>
          <t>No</t>
        </is>
      </c>
      <c r="R114" s="44" t="inlineStr">
        <is>
          <t>Represented by Sample</t>
        </is>
      </c>
      <c r="S114" s="26" t="inlineStr">
        <is>
          <t>Yes</t>
        </is>
      </c>
      <c r="T114" s="27" t="n"/>
      <c r="U114" s="28" t="inlineStr">
        <is>
          <t>No</t>
        </is>
      </c>
      <c r="V114" s="29">
        <f>IF(N114="","",IF(Q114="Yes","❌ Disc",IF(P114="No","⚠ Missing",IF(S114="Yes","✓ OK","⚠ Check"))))</f>
        <v/>
      </c>
      <c r="W114" s="65" t="n">
        <v>46248</v>
      </c>
      <c r="X114" s="30" t="inlineStr">
        <is>
          <t>Sunil CR</t>
        </is>
      </c>
      <c r="Y114" s="30" t="inlineStr">
        <is>
          <t>Represented by Sample</t>
        </is>
      </c>
      <c r="Z114" s="30" t="n"/>
      <c r="AA114" s="30" t="inlineStr">
        <is>
          <t>Represented by Sample</t>
        </is>
      </c>
      <c r="AB114" s="30" t="inlineStr">
        <is>
          <t>Yes</t>
        </is>
      </c>
      <c r="AC114" s="27" t="n"/>
      <c r="AD114" s="31" t="inlineStr">
        <is>
          <t>No</t>
        </is>
      </c>
      <c r="AE114" s="32">
        <f>IF(W114="","",IF(Z114="Yes","❌ Disc",IF(Y114="No","⚠ Missing",IF(AB114="Yes","✓ OK","⚠ Check"))))</f>
        <v/>
      </c>
      <c r="AF114" s="33" t="n"/>
      <c r="AG114" s="33" t="n"/>
      <c r="AH114" s="33" t="n"/>
      <c r="AI114" s="33" t="n"/>
      <c r="AJ114" s="33" t="n"/>
      <c r="AK114" s="33" t="n"/>
      <c r="AL114" s="27" t="n"/>
      <c r="AM114" s="34" t="n"/>
      <c r="AN114" s="35">
        <f>IF(AF114="","",IF(AI114="Yes","❌ Disc",IF(AH114="No","⚠ Missing",IF(AK114="Yes","✓ OK","⚠ Check"))))</f>
        <v/>
      </c>
      <c r="AO114" s="36" t="n"/>
      <c r="AP114" s="36" t="n"/>
      <c r="AQ114" s="36" t="n"/>
      <c r="AR114" s="36" t="n"/>
      <c r="AS114" s="36" t="n"/>
      <c r="AT114" s="36" t="n"/>
      <c r="AU114" s="27" t="n"/>
      <c r="AV114" s="37" t="n"/>
      <c r="AW114" s="38">
        <f>IF(AO114="","",IF(AR114="Yes","❌ Disc",IF(AQ114="No","⚠ Missing",IF(AT114="Yes","✓ OK","⚠ Check"))))</f>
        <v/>
      </c>
    </row>
    <row r="115" ht="18" customHeight="1" s="46">
      <c r="A115" s="23" t="n">
        <v>111</v>
      </c>
      <c r="B115" s="24" t="inlineStr">
        <is>
          <t>BD-HNA-2025-0143</t>
        </is>
      </c>
      <c r="C115" s="25" t="inlineStr">
        <is>
          <t>Bonito Handles - H-110 - Antique and Gold Handle  - 125mm</t>
        </is>
      </c>
      <c r="D115" s="23" t="inlineStr">
        <is>
          <t>Bonito Handles</t>
        </is>
      </c>
      <c r="E115" s="43" t="n">
        <v>46125</v>
      </c>
      <c r="F115" s="26" t="inlineStr">
        <is>
          <t>Sunil CR</t>
        </is>
      </c>
      <c r="G115" s="44" t="inlineStr">
        <is>
          <t>Represented by Sample</t>
        </is>
      </c>
      <c r="H115" s="26" t="inlineStr">
        <is>
          <t>No</t>
        </is>
      </c>
      <c r="I115" s="44" t="inlineStr">
        <is>
          <t>Represented by Sample</t>
        </is>
      </c>
      <c r="J115" s="26" t="inlineStr">
        <is>
          <t>Yes</t>
        </is>
      </c>
      <c r="K115" s="27" t="n"/>
      <c r="L115" s="28" t="inlineStr">
        <is>
          <t>No</t>
        </is>
      </c>
      <c r="M115" s="29">
        <f>IF(E115="","",IF(H115="Yes","❌ Disc",IF(G115="No","⚠ Missing",IF(J115="Yes","✓ OK","⚠ Check"))))</f>
        <v/>
      </c>
      <c r="N115" s="43" t="n">
        <v>46196</v>
      </c>
      <c r="O115" s="26" t="inlineStr">
        <is>
          <t>Sunil CR</t>
        </is>
      </c>
      <c r="P115" s="44" t="inlineStr">
        <is>
          <t>Represented by Sample</t>
        </is>
      </c>
      <c r="Q115" s="26" t="inlineStr">
        <is>
          <t>No</t>
        </is>
      </c>
      <c r="R115" s="44" t="inlineStr">
        <is>
          <t>Represented by Sample</t>
        </is>
      </c>
      <c r="S115" s="26" t="inlineStr">
        <is>
          <t>Yes</t>
        </is>
      </c>
      <c r="T115" s="27" t="n"/>
      <c r="U115" s="28" t="inlineStr">
        <is>
          <t>No</t>
        </is>
      </c>
      <c r="V115" s="29">
        <f>IF(N115="","",IF(Q115="Yes","❌ Disc",IF(P115="No","⚠ Missing",IF(S115="Yes","✓ OK","⚠ Check"))))</f>
        <v/>
      </c>
      <c r="W115" s="65" t="n">
        <v>46248</v>
      </c>
      <c r="X115" s="30" t="inlineStr">
        <is>
          <t>Sunil CR</t>
        </is>
      </c>
      <c r="Y115" s="30" t="inlineStr">
        <is>
          <t>Represented by Sample</t>
        </is>
      </c>
      <c r="Z115" s="30" t="n"/>
      <c r="AA115" s="30" t="inlineStr">
        <is>
          <t>Represented by Sample</t>
        </is>
      </c>
      <c r="AB115" s="30" t="inlineStr">
        <is>
          <t>Yes</t>
        </is>
      </c>
      <c r="AC115" s="27" t="n"/>
      <c r="AD115" s="31" t="inlineStr">
        <is>
          <t>No</t>
        </is>
      </c>
      <c r="AE115" s="32">
        <f>IF(W115="","",IF(Z115="Yes","❌ Disc",IF(Y115="No","⚠ Missing",IF(AB115="Yes","✓ OK","⚠ Check"))))</f>
        <v/>
      </c>
      <c r="AF115" s="33" t="n"/>
      <c r="AG115" s="33" t="n"/>
      <c r="AH115" s="33" t="n"/>
      <c r="AI115" s="33" t="n"/>
      <c r="AJ115" s="33" t="n"/>
      <c r="AK115" s="33" t="n"/>
      <c r="AL115" s="27" t="n"/>
      <c r="AM115" s="34" t="n"/>
      <c r="AN115" s="35">
        <f>IF(AF115="","",IF(AI115="Yes","❌ Disc",IF(AH115="No","⚠ Missing",IF(AK115="Yes","✓ OK","⚠ Check"))))</f>
        <v/>
      </c>
      <c r="AO115" s="36" t="n"/>
      <c r="AP115" s="36" t="n"/>
      <c r="AQ115" s="36" t="n"/>
      <c r="AR115" s="36" t="n"/>
      <c r="AS115" s="36" t="n"/>
      <c r="AT115" s="36" t="n"/>
      <c r="AU115" s="27" t="n"/>
      <c r="AV115" s="37" t="n"/>
      <c r="AW115" s="38">
        <f>IF(AO115="","",IF(AR115="Yes","❌ Disc",IF(AQ115="No","⚠ Missing",IF(AT115="Yes","✓ OK","⚠ Check"))))</f>
        <v/>
      </c>
    </row>
    <row r="116" ht="18" customHeight="1" s="46">
      <c r="A116" s="39" t="n">
        <v>112</v>
      </c>
      <c r="B116" s="40" t="inlineStr">
        <is>
          <t>BD-HNA-2025-0144</t>
        </is>
      </c>
      <c r="C116" s="41" t="inlineStr">
        <is>
          <t>Bonito Handles - H-110 - Antique and Gold Handle  - 191mm</t>
        </is>
      </c>
      <c r="D116" s="39" t="inlineStr">
        <is>
          <t>Bonito Handles</t>
        </is>
      </c>
      <c r="E116" s="43" t="n">
        <v>46125</v>
      </c>
      <c r="F116" s="26" t="inlineStr">
        <is>
          <t>Sunil CR</t>
        </is>
      </c>
      <c r="G116" s="44" t="inlineStr">
        <is>
          <t>Represented by Sample</t>
        </is>
      </c>
      <c r="H116" s="26" t="inlineStr">
        <is>
          <t>No</t>
        </is>
      </c>
      <c r="I116" s="44" t="inlineStr">
        <is>
          <t>Represented by Sample</t>
        </is>
      </c>
      <c r="J116" s="26" t="inlineStr">
        <is>
          <t>Yes</t>
        </is>
      </c>
      <c r="K116" s="27" t="n"/>
      <c r="L116" s="28" t="inlineStr">
        <is>
          <t>No</t>
        </is>
      </c>
      <c r="M116" s="29">
        <f>IF(E116="","",IF(H116="Yes","❌ Disc",IF(G116="No","⚠ Missing",IF(J116="Yes","✓ OK","⚠ Check"))))</f>
        <v/>
      </c>
      <c r="N116" s="43" t="n">
        <v>46196</v>
      </c>
      <c r="O116" s="26" t="inlineStr">
        <is>
          <t>Sunil CR</t>
        </is>
      </c>
      <c r="P116" s="44" t="inlineStr">
        <is>
          <t>Represented by Sample</t>
        </is>
      </c>
      <c r="Q116" s="26" t="inlineStr">
        <is>
          <t>No</t>
        </is>
      </c>
      <c r="R116" s="44" t="inlineStr">
        <is>
          <t>Represented by Sample</t>
        </is>
      </c>
      <c r="S116" s="26" t="inlineStr">
        <is>
          <t>Yes</t>
        </is>
      </c>
      <c r="T116" s="27" t="n"/>
      <c r="U116" s="28" t="inlineStr">
        <is>
          <t>No</t>
        </is>
      </c>
      <c r="V116" s="29">
        <f>IF(N116="","",IF(Q116="Yes","❌ Disc",IF(P116="No","⚠ Missing",IF(S116="Yes","✓ OK","⚠ Check"))))</f>
        <v/>
      </c>
      <c r="W116" s="65" t="n">
        <v>46248</v>
      </c>
      <c r="X116" s="30" t="inlineStr">
        <is>
          <t>Sunil CR</t>
        </is>
      </c>
      <c r="Y116" s="30" t="inlineStr">
        <is>
          <t>Represented by Sample</t>
        </is>
      </c>
      <c r="Z116" s="30" t="n"/>
      <c r="AA116" s="30" t="inlineStr">
        <is>
          <t>Represented by Sample</t>
        </is>
      </c>
      <c r="AB116" s="30" t="inlineStr">
        <is>
          <t>Yes</t>
        </is>
      </c>
      <c r="AC116" s="27" t="n"/>
      <c r="AD116" s="31" t="inlineStr">
        <is>
          <t>No</t>
        </is>
      </c>
      <c r="AE116" s="32">
        <f>IF(W116="","",IF(Z116="Yes","❌ Disc",IF(Y116="No","⚠ Missing",IF(AB116="Yes","✓ OK","⚠ Check"))))</f>
        <v/>
      </c>
      <c r="AF116" s="33" t="n"/>
      <c r="AG116" s="33" t="n"/>
      <c r="AH116" s="33" t="n"/>
      <c r="AI116" s="33" t="n"/>
      <c r="AJ116" s="33" t="n"/>
      <c r="AK116" s="33" t="n"/>
      <c r="AL116" s="27" t="n"/>
      <c r="AM116" s="34" t="n"/>
      <c r="AN116" s="35">
        <f>IF(AF116="","",IF(AI116="Yes","❌ Disc",IF(AH116="No","⚠ Missing",IF(AK116="Yes","✓ OK","⚠ Check"))))</f>
        <v/>
      </c>
      <c r="AO116" s="36" t="n"/>
      <c r="AP116" s="36" t="n"/>
      <c r="AQ116" s="36" t="n"/>
      <c r="AR116" s="36" t="n"/>
      <c r="AS116" s="36" t="n"/>
      <c r="AT116" s="36" t="n"/>
      <c r="AU116" s="27" t="n"/>
      <c r="AV116" s="37" t="n"/>
      <c r="AW116" s="38">
        <f>IF(AO116="","",IF(AR116="Yes","❌ Disc",IF(AQ116="No","⚠ Missing",IF(AT116="Yes","✓ OK","⚠ Check"))))</f>
        <v/>
      </c>
    </row>
    <row r="117" ht="18" customHeight="1" s="46">
      <c r="A117" s="23" t="n">
        <v>113</v>
      </c>
      <c r="B117" s="24" t="inlineStr">
        <is>
          <t>BD-HNA-2025-0145</t>
        </is>
      </c>
      <c r="C117" s="25" t="inlineStr">
        <is>
          <t>Bonito Handles - H-110 - Antique and Gold Handle  - 257mm</t>
        </is>
      </c>
      <c r="D117" s="23" t="inlineStr">
        <is>
          <t>Bonito Handles</t>
        </is>
      </c>
      <c r="E117" s="43" t="n">
        <v>46125</v>
      </c>
      <c r="F117" s="26" t="inlineStr">
        <is>
          <t>Sunil CR</t>
        </is>
      </c>
      <c r="G117" s="44" t="inlineStr">
        <is>
          <t>Represented by Sample</t>
        </is>
      </c>
      <c r="H117" s="26" t="inlineStr">
        <is>
          <t>No</t>
        </is>
      </c>
      <c r="I117" s="44" t="inlineStr">
        <is>
          <t>Represented by Sample</t>
        </is>
      </c>
      <c r="J117" s="26" t="inlineStr">
        <is>
          <t>Yes</t>
        </is>
      </c>
      <c r="K117" s="27" t="n"/>
      <c r="L117" s="28" t="inlineStr">
        <is>
          <t>No</t>
        </is>
      </c>
      <c r="M117" s="29">
        <f>IF(E117="","",IF(H117="Yes","❌ Disc",IF(G117="No","⚠ Missing",IF(J117="Yes","✓ OK","⚠ Check"))))</f>
        <v/>
      </c>
      <c r="N117" s="43" t="n">
        <v>46196</v>
      </c>
      <c r="O117" s="26" t="inlineStr">
        <is>
          <t>Sunil CR</t>
        </is>
      </c>
      <c r="P117" s="44" t="inlineStr">
        <is>
          <t>Represented by Sample</t>
        </is>
      </c>
      <c r="Q117" s="26" t="inlineStr">
        <is>
          <t>No</t>
        </is>
      </c>
      <c r="R117" s="44" t="inlineStr">
        <is>
          <t>Represented by Sample</t>
        </is>
      </c>
      <c r="S117" s="26" t="inlineStr">
        <is>
          <t>Yes</t>
        </is>
      </c>
      <c r="T117" s="27" t="n"/>
      <c r="U117" s="28" t="inlineStr">
        <is>
          <t>No</t>
        </is>
      </c>
      <c r="V117" s="29">
        <f>IF(N117="","",IF(Q117="Yes","❌ Disc",IF(P117="No","⚠ Missing",IF(S117="Yes","✓ OK","⚠ Check"))))</f>
        <v/>
      </c>
      <c r="W117" s="65" t="n">
        <v>46248</v>
      </c>
      <c r="X117" s="30" t="inlineStr">
        <is>
          <t>Sunil CR</t>
        </is>
      </c>
      <c r="Y117" s="30" t="inlineStr">
        <is>
          <t>Represented by Sample</t>
        </is>
      </c>
      <c r="Z117" s="30" t="n"/>
      <c r="AA117" s="30" t="inlineStr">
        <is>
          <t>Represented by Sample</t>
        </is>
      </c>
      <c r="AB117" s="30" t="inlineStr">
        <is>
          <t>Yes</t>
        </is>
      </c>
      <c r="AC117" s="27" t="n"/>
      <c r="AD117" s="31" t="inlineStr">
        <is>
          <t>No</t>
        </is>
      </c>
      <c r="AE117" s="32">
        <f>IF(W117="","",IF(Z117="Yes","❌ Disc",IF(Y117="No","⚠ Missing",IF(AB117="Yes","✓ OK","⚠ Check"))))</f>
        <v/>
      </c>
      <c r="AF117" s="33" t="n"/>
      <c r="AG117" s="33" t="n"/>
      <c r="AH117" s="33" t="n"/>
      <c r="AI117" s="33" t="n"/>
      <c r="AJ117" s="33" t="n"/>
      <c r="AK117" s="33" t="n"/>
      <c r="AL117" s="27" t="n"/>
      <c r="AM117" s="34" t="n"/>
      <c r="AN117" s="35">
        <f>IF(AF117="","",IF(AI117="Yes","❌ Disc",IF(AH117="No","⚠ Missing",IF(AK117="Yes","✓ OK","⚠ Check"))))</f>
        <v/>
      </c>
      <c r="AO117" s="36" t="n"/>
      <c r="AP117" s="36" t="n"/>
      <c r="AQ117" s="36" t="n"/>
      <c r="AR117" s="36" t="n"/>
      <c r="AS117" s="36" t="n"/>
      <c r="AT117" s="36" t="n"/>
      <c r="AU117" s="27" t="n"/>
      <c r="AV117" s="37" t="n"/>
      <c r="AW117" s="38">
        <f>IF(AO117="","",IF(AR117="Yes","❌ Disc",IF(AQ117="No","⚠ Missing",IF(AT117="Yes","✓ OK","⚠ Check"))))</f>
        <v/>
      </c>
    </row>
    <row r="118" ht="18" customHeight="1" s="46">
      <c r="A118" s="39" t="n">
        <v>114</v>
      </c>
      <c r="B118" s="40" t="inlineStr">
        <is>
          <t>BD-HNA-2025-0146</t>
        </is>
      </c>
      <c r="C118" s="41" t="inlineStr">
        <is>
          <t>Bonito Handles - H-110 - Antique and Gold Handle  - 323mm</t>
        </is>
      </c>
      <c r="D118" s="39" t="inlineStr">
        <is>
          <t>Bonito Handles</t>
        </is>
      </c>
      <c r="E118" s="43" t="n">
        <v>46125</v>
      </c>
      <c r="F118" s="26" t="inlineStr">
        <is>
          <t>Sunil CR</t>
        </is>
      </c>
      <c r="G118" s="44" t="inlineStr">
        <is>
          <t>Represented by Sample</t>
        </is>
      </c>
      <c r="H118" s="26" t="inlineStr">
        <is>
          <t>No</t>
        </is>
      </c>
      <c r="I118" s="44" t="inlineStr">
        <is>
          <t>Represented by Sample</t>
        </is>
      </c>
      <c r="J118" s="26" t="inlineStr">
        <is>
          <t>Yes</t>
        </is>
      </c>
      <c r="K118" s="27" t="n"/>
      <c r="L118" s="28" t="inlineStr">
        <is>
          <t>No</t>
        </is>
      </c>
      <c r="M118" s="29">
        <f>IF(E118="","",IF(H118="Yes","❌ Disc",IF(G118="No","⚠ Missing",IF(J118="Yes","✓ OK","⚠ Check"))))</f>
        <v/>
      </c>
      <c r="N118" s="43" t="n">
        <v>46196</v>
      </c>
      <c r="O118" s="26" t="inlineStr">
        <is>
          <t>Sunil CR</t>
        </is>
      </c>
      <c r="P118" s="44" t="inlineStr">
        <is>
          <t>Represented by Sample</t>
        </is>
      </c>
      <c r="Q118" s="26" t="inlineStr">
        <is>
          <t>No</t>
        </is>
      </c>
      <c r="R118" s="44" t="inlineStr">
        <is>
          <t>Represented by Sample</t>
        </is>
      </c>
      <c r="S118" s="26" t="inlineStr">
        <is>
          <t>Yes</t>
        </is>
      </c>
      <c r="T118" s="27" t="n"/>
      <c r="U118" s="28" t="inlineStr">
        <is>
          <t>No</t>
        </is>
      </c>
      <c r="V118" s="29">
        <f>IF(N118="","",IF(Q118="Yes","❌ Disc",IF(P118="No","⚠ Missing",IF(S118="Yes","✓ OK","⚠ Check"))))</f>
        <v/>
      </c>
      <c r="W118" s="65" t="n">
        <v>46248</v>
      </c>
      <c r="X118" s="30" t="inlineStr">
        <is>
          <t>Sunil CR</t>
        </is>
      </c>
      <c r="Y118" s="30" t="inlineStr">
        <is>
          <t>Represented by Sample</t>
        </is>
      </c>
      <c r="Z118" s="30" t="n"/>
      <c r="AA118" s="30" t="inlineStr">
        <is>
          <t>Represented by Sample</t>
        </is>
      </c>
      <c r="AB118" s="30" t="inlineStr">
        <is>
          <t>Yes</t>
        </is>
      </c>
      <c r="AC118" s="27" t="n"/>
      <c r="AD118" s="31" t="inlineStr">
        <is>
          <t>No</t>
        </is>
      </c>
      <c r="AE118" s="32">
        <f>IF(W118="","",IF(Z118="Yes","❌ Disc",IF(Y118="No","⚠ Missing",IF(AB118="Yes","✓ OK","⚠ Check"))))</f>
        <v/>
      </c>
      <c r="AF118" s="33" t="n"/>
      <c r="AG118" s="33" t="n"/>
      <c r="AH118" s="33" t="n"/>
      <c r="AI118" s="33" t="n"/>
      <c r="AJ118" s="33" t="n"/>
      <c r="AK118" s="33" t="n"/>
      <c r="AL118" s="27" t="n"/>
      <c r="AM118" s="34" t="n"/>
      <c r="AN118" s="35">
        <f>IF(AF118="","",IF(AI118="Yes","❌ Disc",IF(AH118="No","⚠ Missing",IF(AK118="Yes","✓ OK","⚠ Check"))))</f>
        <v/>
      </c>
      <c r="AO118" s="36" t="n"/>
      <c r="AP118" s="36" t="n"/>
      <c r="AQ118" s="36" t="n"/>
      <c r="AR118" s="36" t="n"/>
      <c r="AS118" s="36" t="n"/>
      <c r="AT118" s="36" t="n"/>
      <c r="AU118" s="27" t="n"/>
      <c r="AV118" s="37" t="n"/>
      <c r="AW118" s="38">
        <f>IF(AO118="","",IF(AR118="Yes","❌ Disc",IF(AQ118="No","⚠ Missing",IF(AT118="Yes","✓ OK","⚠ Check"))))</f>
        <v/>
      </c>
    </row>
    <row r="119" ht="18" customHeight="1" s="46">
      <c r="A119" s="23" t="n">
        <v>115</v>
      </c>
      <c r="B119" s="24" t="inlineStr">
        <is>
          <t>BD-HNA-2025-0135</t>
        </is>
      </c>
      <c r="C119" s="25" t="inlineStr">
        <is>
          <t>Bonito Handles - H-110 - Black Handle  - 125mm</t>
        </is>
      </c>
      <c r="D119" s="23" t="inlineStr">
        <is>
          <t>Bonito Handles</t>
        </is>
      </c>
      <c r="E119" s="43" t="n">
        <v>46125</v>
      </c>
      <c r="F119" s="26" t="inlineStr">
        <is>
          <t>Sunil CR</t>
        </is>
      </c>
      <c r="G119" s="44" t="inlineStr">
        <is>
          <t>Represented by Sample</t>
        </is>
      </c>
      <c r="H119" s="26" t="inlineStr">
        <is>
          <t>No</t>
        </is>
      </c>
      <c r="I119" s="44" t="inlineStr">
        <is>
          <t>Represented by Sample</t>
        </is>
      </c>
      <c r="J119" s="26" t="inlineStr">
        <is>
          <t>Yes</t>
        </is>
      </c>
      <c r="K119" s="27" t="n"/>
      <c r="L119" s="28" t="inlineStr">
        <is>
          <t>No</t>
        </is>
      </c>
      <c r="M119" s="29">
        <f>IF(E119="","",IF(H119="Yes","❌ Disc",IF(G119="No","⚠ Missing",IF(J119="Yes","✓ OK","⚠ Check"))))</f>
        <v/>
      </c>
      <c r="N119" s="43" t="n">
        <v>46196</v>
      </c>
      <c r="O119" s="26" t="inlineStr">
        <is>
          <t>Sunil CR</t>
        </is>
      </c>
      <c r="P119" s="44" t="inlineStr">
        <is>
          <t>Represented by Sample</t>
        </is>
      </c>
      <c r="Q119" s="26" t="inlineStr">
        <is>
          <t>No</t>
        </is>
      </c>
      <c r="R119" s="44" t="inlineStr">
        <is>
          <t>Represented by Sample</t>
        </is>
      </c>
      <c r="S119" s="26" t="inlineStr">
        <is>
          <t>Yes</t>
        </is>
      </c>
      <c r="T119" s="27" t="n"/>
      <c r="U119" s="28" t="inlineStr">
        <is>
          <t>No</t>
        </is>
      </c>
      <c r="V119" s="29">
        <f>IF(N119="","",IF(Q119="Yes","❌ Disc",IF(P119="No","⚠ Missing",IF(S119="Yes","✓ OK","⚠ Check"))))</f>
        <v/>
      </c>
      <c r="W119" s="65" t="n">
        <v>46248</v>
      </c>
      <c r="X119" s="30" t="inlineStr">
        <is>
          <t>Sunil CR</t>
        </is>
      </c>
      <c r="Y119" s="30" t="inlineStr">
        <is>
          <t>Represented by Sample</t>
        </is>
      </c>
      <c r="Z119" s="30" t="n"/>
      <c r="AA119" s="30" t="inlineStr">
        <is>
          <t>Represented by Sample</t>
        </is>
      </c>
      <c r="AB119" s="30" t="inlineStr">
        <is>
          <t>Yes</t>
        </is>
      </c>
      <c r="AC119" s="27" t="n"/>
      <c r="AD119" s="31" t="inlineStr">
        <is>
          <t>No</t>
        </is>
      </c>
      <c r="AE119" s="32">
        <f>IF(W119="","",IF(Z119="Yes","❌ Disc",IF(Y119="No","⚠ Missing",IF(AB119="Yes","✓ OK","⚠ Check"))))</f>
        <v/>
      </c>
      <c r="AF119" s="33" t="n"/>
      <c r="AG119" s="33" t="n"/>
      <c r="AH119" s="33" t="n"/>
      <c r="AI119" s="33" t="n"/>
      <c r="AJ119" s="33" t="n"/>
      <c r="AK119" s="33" t="n"/>
      <c r="AL119" s="27" t="n"/>
      <c r="AM119" s="34" t="n"/>
      <c r="AN119" s="35">
        <f>IF(AF119="","",IF(AI119="Yes","❌ Disc",IF(AH119="No","⚠ Missing",IF(AK119="Yes","✓ OK","⚠ Check"))))</f>
        <v/>
      </c>
      <c r="AO119" s="36" t="n"/>
      <c r="AP119" s="36" t="n"/>
      <c r="AQ119" s="36" t="n"/>
      <c r="AR119" s="36" t="n"/>
      <c r="AS119" s="36" t="n"/>
      <c r="AT119" s="36" t="n"/>
      <c r="AU119" s="27" t="n"/>
      <c r="AV119" s="37" t="n"/>
      <c r="AW119" s="38">
        <f>IF(AO119="","",IF(AR119="Yes","❌ Disc",IF(AQ119="No","⚠ Missing",IF(AT119="Yes","✓ OK","⚠ Check"))))</f>
        <v/>
      </c>
    </row>
    <row r="120" ht="18" customHeight="1" s="46">
      <c r="A120" s="39" t="n">
        <v>116</v>
      </c>
      <c r="B120" s="40" t="inlineStr">
        <is>
          <t>BD-HNA-2025-0136</t>
        </is>
      </c>
      <c r="C120" s="41" t="inlineStr">
        <is>
          <t>Bonito Handles - H-110 - Black Handle  - 191mm</t>
        </is>
      </c>
      <c r="D120" s="39" t="inlineStr">
        <is>
          <t>Bonito Handles</t>
        </is>
      </c>
      <c r="E120" s="43" t="n">
        <v>46125</v>
      </c>
      <c r="F120" s="26" t="inlineStr">
        <is>
          <t>Sunil CR</t>
        </is>
      </c>
      <c r="G120" s="44" t="inlineStr">
        <is>
          <t>Represented by Sample</t>
        </is>
      </c>
      <c r="H120" s="26" t="inlineStr">
        <is>
          <t>No</t>
        </is>
      </c>
      <c r="I120" s="44" t="inlineStr">
        <is>
          <t>Represented by Sample</t>
        </is>
      </c>
      <c r="J120" s="26" t="inlineStr">
        <is>
          <t>Yes</t>
        </is>
      </c>
      <c r="K120" s="27" t="n"/>
      <c r="L120" s="28" t="inlineStr">
        <is>
          <t>No</t>
        </is>
      </c>
      <c r="M120" s="29">
        <f>IF(E120="","",IF(H120="Yes","❌ Disc",IF(G120="No","⚠ Missing",IF(J120="Yes","✓ OK","⚠ Check"))))</f>
        <v/>
      </c>
      <c r="N120" s="43" t="n">
        <v>46196</v>
      </c>
      <c r="O120" s="26" t="inlineStr">
        <is>
          <t>Sunil CR</t>
        </is>
      </c>
      <c r="P120" s="44" t="inlineStr">
        <is>
          <t>Represented by Sample</t>
        </is>
      </c>
      <c r="Q120" s="26" t="inlineStr">
        <is>
          <t>No</t>
        </is>
      </c>
      <c r="R120" s="44" t="inlineStr">
        <is>
          <t>Represented by Sample</t>
        </is>
      </c>
      <c r="S120" s="26" t="inlineStr">
        <is>
          <t>Yes</t>
        </is>
      </c>
      <c r="T120" s="27" t="n"/>
      <c r="U120" s="28" t="inlineStr">
        <is>
          <t>No</t>
        </is>
      </c>
      <c r="V120" s="29">
        <f>IF(N120="","",IF(Q120="Yes","❌ Disc",IF(P120="No","⚠ Missing",IF(S120="Yes","✓ OK","⚠ Check"))))</f>
        <v/>
      </c>
      <c r="W120" s="65" t="n">
        <v>46248</v>
      </c>
      <c r="X120" s="30" t="inlineStr">
        <is>
          <t>Sunil CR</t>
        </is>
      </c>
      <c r="Y120" s="30" t="inlineStr">
        <is>
          <t>Represented by Sample</t>
        </is>
      </c>
      <c r="Z120" s="30" t="n"/>
      <c r="AA120" s="30" t="inlineStr">
        <is>
          <t>Represented by Sample</t>
        </is>
      </c>
      <c r="AB120" s="30" t="inlineStr">
        <is>
          <t>Yes</t>
        </is>
      </c>
      <c r="AC120" s="27" t="n"/>
      <c r="AD120" s="31" t="inlineStr">
        <is>
          <t>No</t>
        </is>
      </c>
      <c r="AE120" s="32">
        <f>IF(W120="","",IF(Z120="Yes","❌ Disc",IF(Y120="No","⚠ Missing",IF(AB120="Yes","✓ OK","⚠ Check"))))</f>
        <v/>
      </c>
      <c r="AF120" s="33" t="n"/>
      <c r="AG120" s="33" t="n"/>
      <c r="AH120" s="33" t="n"/>
      <c r="AI120" s="33" t="n"/>
      <c r="AJ120" s="33" t="n"/>
      <c r="AK120" s="33" t="n"/>
      <c r="AL120" s="27" t="n"/>
      <c r="AM120" s="34" t="n"/>
      <c r="AN120" s="35">
        <f>IF(AF120="","",IF(AI120="Yes","❌ Disc",IF(AH120="No","⚠ Missing",IF(AK120="Yes","✓ OK","⚠ Check"))))</f>
        <v/>
      </c>
      <c r="AO120" s="36" t="n"/>
      <c r="AP120" s="36" t="n"/>
      <c r="AQ120" s="36" t="n"/>
      <c r="AR120" s="36" t="n"/>
      <c r="AS120" s="36" t="n"/>
      <c r="AT120" s="36" t="n"/>
      <c r="AU120" s="27" t="n"/>
      <c r="AV120" s="37" t="n"/>
      <c r="AW120" s="38">
        <f>IF(AO120="","",IF(AR120="Yes","❌ Disc",IF(AQ120="No","⚠ Missing",IF(AT120="Yes","✓ OK","⚠ Check"))))</f>
        <v/>
      </c>
    </row>
    <row r="121" ht="18" customHeight="1" s="46">
      <c r="A121" s="23" t="n">
        <v>117</v>
      </c>
      <c r="B121" s="24" t="inlineStr">
        <is>
          <t>BD-HNA-2025-0137</t>
        </is>
      </c>
      <c r="C121" s="25" t="inlineStr">
        <is>
          <t>Bonito Handles - H-110 - Black Handle  - 257mm</t>
        </is>
      </c>
      <c r="D121" s="23" t="inlineStr">
        <is>
          <t>Bonito Handles</t>
        </is>
      </c>
      <c r="E121" s="43" t="n">
        <v>46125</v>
      </c>
      <c r="F121" s="26" t="inlineStr">
        <is>
          <t>Sunil CR</t>
        </is>
      </c>
      <c r="G121" s="44" t="inlineStr">
        <is>
          <t>Represented by Sample</t>
        </is>
      </c>
      <c r="H121" s="26" t="inlineStr">
        <is>
          <t>No</t>
        </is>
      </c>
      <c r="I121" s="44" t="inlineStr">
        <is>
          <t>Represented by Sample</t>
        </is>
      </c>
      <c r="J121" s="26" t="inlineStr">
        <is>
          <t>Yes</t>
        </is>
      </c>
      <c r="K121" s="27" t="n"/>
      <c r="L121" s="28" t="inlineStr">
        <is>
          <t>No</t>
        </is>
      </c>
      <c r="M121" s="29">
        <f>IF(E121="","",IF(H121="Yes","❌ Disc",IF(G121="No","⚠ Missing",IF(J121="Yes","✓ OK","⚠ Check"))))</f>
        <v/>
      </c>
      <c r="N121" s="43" t="n">
        <v>46196</v>
      </c>
      <c r="O121" s="26" t="inlineStr">
        <is>
          <t>Sunil CR</t>
        </is>
      </c>
      <c r="P121" s="44" t="inlineStr">
        <is>
          <t>Represented by Sample</t>
        </is>
      </c>
      <c r="Q121" s="26" t="inlineStr">
        <is>
          <t>No</t>
        </is>
      </c>
      <c r="R121" s="44" t="inlineStr">
        <is>
          <t>Represented by Sample</t>
        </is>
      </c>
      <c r="S121" s="26" t="inlineStr">
        <is>
          <t>Yes</t>
        </is>
      </c>
      <c r="T121" s="27" t="n"/>
      <c r="U121" s="28" t="inlineStr">
        <is>
          <t>No</t>
        </is>
      </c>
      <c r="V121" s="29">
        <f>IF(N121="","",IF(Q121="Yes","❌ Disc",IF(P121="No","⚠ Missing",IF(S121="Yes","✓ OK","⚠ Check"))))</f>
        <v/>
      </c>
      <c r="W121" s="65" t="n">
        <v>46248</v>
      </c>
      <c r="X121" s="30" t="inlineStr">
        <is>
          <t>Sunil CR</t>
        </is>
      </c>
      <c r="Y121" s="30" t="inlineStr">
        <is>
          <t>Represented by Sample</t>
        </is>
      </c>
      <c r="Z121" s="30" t="n"/>
      <c r="AA121" s="30" t="inlineStr">
        <is>
          <t>Represented by Sample</t>
        </is>
      </c>
      <c r="AB121" s="30" t="inlineStr">
        <is>
          <t>Yes</t>
        </is>
      </c>
      <c r="AC121" s="27" t="n"/>
      <c r="AD121" s="31" t="inlineStr">
        <is>
          <t>No</t>
        </is>
      </c>
      <c r="AE121" s="32">
        <f>IF(W121="","",IF(Z121="Yes","❌ Disc",IF(Y121="No","⚠ Missing",IF(AB121="Yes","✓ OK","⚠ Check"))))</f>
        <v/>
      </c>
      <c r="AF121" s="33" t="n"/>
      <c r="AG121" s="33" t="n"/>
      <c r="AH121" s="33" t="n"/>
      <c r="AI121" s="33" t="n"/>
      <c r="AJ121" s="33" t="n"/>
      <c r="AK121" s="33" t="n"/>
      <c r="AL121" s="27" t="n"/>
      <c r="AM121" s="34" t="n"/>
      <c r="AN121" s="35">
        <f>IF(AF121="","",IF(AI121="Yes","❌ Disc",IF(AH121="No","⚠ Missing",IF(AK121="Yes","✓ OK","⚠ Check"))))</f>
        <v/>
      </c>
      <c r="AO121" s="36" t="n"/>
      <c r="AP121" s="36" t="n"/>
      <c r="AQ121" s="36" t="n"/>
      <c r="AR121" s="36" t="n"/>
      <c r="AS121" s="36" t="n"/>
      <c r="AT121" s="36" t="n"/>
      <c r="AU121" s="27" t="n"/>
      <c r="AV121" s="37" t="n"/>
      <c r="AW121" s="38">
        <f>IF(AO121="","",IF(AR121="Yes","❌ Disc",IF(AQ121="No","⚠ Missing",IF(AT121="Yes","✓ OK","⚠ Check"))))</f>
        <v/>
      </c>
    </row>
    <row r="122" ht="18" customHeight="1" s="46">
      <c r="A122" s="39" t="n">
        <v>118</v>
      </c>
      <c r="B122" s="40" t="inlineStr">
        <is>
          <t>BD-HNA-2025-0138</t>
        </is>
      </c>
      <c r="C122" s="41" t="inlineStr">
        <is>
          <t>Bonito Handles - H-110 - Black Handle  - 323mm</t>
        </is>
      </c>
      <c r="D122" s="39" t="inlineStr">
        <is>
          <t>Bonito Handles</t>
        </is>
      </c>
      <c r="E122" s="43" t="n">
        <v>46125</v>
      </c>
      <c r="F122" s="26" t="inlineStr">
        <is>
          <t>Sunil CR</t>
        </is>
      </c>
      <c r="G122" s="44" t="inlineStr">
        <is>
          <t>Represented by Sample</t>
        </is>
      </c>
      <c r="H122" s="26" t="inlineStr">
        <is>
          <t>No</t>
        </is>
      </c>
      <c r="I122" s="44" t="inlineStr">
        <is>
          <t>Represented by Sample</t>
        </is>
      </c>
      <c r="J122" s="26" t="inlineStr">
        <is>
          <t>Yes</t>
        </is>
      </c>
      <c r="K122" s="27" t="n"/>
      <c r="L122" s="28" t="inlineStr">
        <is>
          <t>No</t>
        </is>
      </c>
      <c r="M122" s="29">
        <f>IF(E122="","",IF(H122="Yes","❌ Disc",IF(G122="No","⚠ Missing",IF(J122="Yes","✓ OK","⚠ Check"))))</f>
        <v/>
      </c>
      <c r="N122" s="43" t="n">
        <v>46196</v>
      </c>
      <c r="O122" s="26" t="inlineStr">
        <is>
          <t>Sunil CR</t>
        </is>
      </c>
      <c r="P122" s="44" t="inlineStr">
        <is>
          <t>Represented by Sample</t>
        </is>
      </c>
      <c r="Q122" s="26" t="inlineStr">
        <is>
          <t>No</t>
        </is>
      </c>
      <c r="R122" s="44" t="inlineStr">
        <is>
          <t>Represented by Sample</t>
        </is>
      </c>
      <c r="S122" s="26" t="inlineStr">
        <is>
          <t>Yes</t>
        </is>
      </c>
      <c r="T122" s="27" t="n"/>
      <c r="U122" s="28" t="inlineStr">
        <is>
          <t>No</t>
        </is>
      </c>
      <c r="V122" s="29">
        <f>IF(N122="","",IF(Q122="Yes","❌ Disc",IF(P122="No","⚠ Missing",IF(S122="Yes","✓ OK","⚠ Check"))))</f>
        <v/>
      </c>
      <c r="W122" s="65" t="n">
        <v>46248</v>
      </c>
      <c r="X122" s="30" t="inlineStr">
        <is>
          <t>Sunil CR</t>
        </is>
      </c>
      <c r="Y122" s="30" t="inlineStr">
        <is>
          <t>Represented by Sample</t>
        </is>
      </c>
      <c r="Z122" s="30" t="n"/>
      <c r="AA122" s="30" t="inlineStr">
        <is>
          <t>Represented by Sample</t>
        </is>
      </c>
      <c r="AB122" s="30" t="inlineStr">
        <is>
          <t>Yes</t>
        </is>
      </c>
      <c r="AC122" s="27" t="n"/>
      <c r="AD122" s="31" t="inlineStr">
        <is>
          <t>No</t>
        </is>
      </c>
      <c r="AE122" s="32">
        <f>IF(W122="","",IF(Z122="Yes","❌ Disc",IF(Y122="No","⚠ Missing",IF(AB122="Yes","✓ OK","⚠ Check"))))</f>
        <v/>
      </c>
      <c r="AF122" s="33" t="n"/>
      <c r="AG122" s="33" t="n"/>
      <c r="AH122" s="33" t="n"/>
      <c r="AI122" s="33" t="n"/>
      <c r="AJ122" s="33" t="n"/>
      <c r="AK122" s="33" t="n"/>
      <c r="AL122" s="27" t="n"/>
      <c r="AM122" s="34" t="n"/>
      <c r="AN122" s="35">
        <f>IF(AF122="","",IF(AI122="Yes","❌ Disc",IF(AH122="No","⚠ Missing",IF(AK122="Yes","✓ OK","⚠ Check"))))</f>
        <v/>
      </c>
      <c r="AO122" s="36" t="n"/>
      <c r="AP122" s="36" t="n"/>
      <c r="AQ122" s="36" t="n"/>
      <c r="AR122" s="36" t="n"/>
      <c r="AS122" s="36" t="n"/>
      <c r="AT122" s="36" t="n"/>
      <c r="AU122" s="27" t="n"/>
      <c r="AV122" s="37" t="n"/>
      <c r="AW122" s="38">
        <f>IF(AO122="","",IF(AR122="Yes","❌ Disc",IF(AQ122="No","⚠ Missing",IF(AT122="Yes","✓ OK","⚠ Check"))))</f>
        <v/>
      </c>
    </row>
    <row r="123" ht="18" customHeight="1" s="46">
      <c r="A123" s="23" t="n">
        <v>119</v>
      </c>
      <c r="B123" s="24" t="inlineStr">
        <is>
          <t>BD-HNA-2025-0139</t>
        </is>
      </c>
      <c r="C123" s="25" t="inlineStr">
        <is>
          <t>Bonito Handles - H-110 - Grey and Rose Gold Handle  - 125mm</t>
        </is>
      </c>
      <c r="D123" s="23" t="inlineStr">
        <is>
          <t>Bonito Handles</t>
        </is>
      </c>
      <c r="E123" s="43" t="n">
        <v>46125</v>
      </c>
      <c r="F123" s="26" t="inlineStr">
        <is>
          <t>Sunil CR</t>
        </is>
      </c>
      <c r="G123" s="44" t="inlineStr">
        <is>
          <t>Represented by Sample</t>
        </is>
      </c>
      <c r="H123" s="26" t="inlineStr">
        <is>
          <t>No</t>
        </is>
      </c>
      <c r="I123" s="44" t="inlineStr">
        <is>
          <t>Represented by Sample</t>
        </is>
      </c>
      <c r="J123" s="26" t="inlineStr">
        <is>
          <t>Yes</t>
        </is>
      </c>
      <c r="K123" s="27" t="n"/>
      <c r="L123" s="28" t="inlineStr">
        <is>
          <t>No</t>
        </is>
      </c>
      <c r="M123" s="29">
        <f>IF(E123="","",IF(H123="Yes","❌ Disc",IF(G123="No","⚠ Missing",IF(J123="Yes","✓ OK","⚠ Check"))))</f>
        <v/>
      </c>
      <c r="N123" s="43" t="n">
        <v>46196</v>
      </c>
      <c r="O123" s="26" t="inlineStr">
        <is>
          <t>Sunil CR</t>
        </is>
      </c>
      <c r="P123" s="44" t="inlineStr">
        <is>
          <t>Represented by Sample</t>
        </is>
      </c>
      <c r="Q123" s="26" t="inlineStr">
        <is>
          <t>No</t>
        </is>
      </c>
      <c r="R123" s="44" t="inlineStr">
        <is>
          <t>Represented by Sample</t>
        </is>
      </c>
      <c r="S123" s="26" t="inlineStr">
        <is>
          <t>Yes</t>
        </is>
      </c>
      <c r="T123" s="27" t="n"/>
      <c r="U123" s="28" t="inlineStr">
        <is>
          <t>No</t>
        </is>
      </c>
      <c r="V123" s="29">
        <f>IF(N123="","",IF(Q123="Yes","❌ Disc",IF(P123="No","⚠ Missing",IF(S123="Yes","✓ OK","⚠ Check"))))</f>
        <v/>
      </c>
      <c r="W123" s="65" t="n">
        <v>46248</v>
      </c>
      <c r="X123" s="30" t="inlineStr">
        <is>
          <t>Sunil CR</t>
        </is>
      </c>
      <c r="Y123" s="30" t="inlineStr">
        <is>
          <t>Represented by Sample</t>
        </is>
      </c>
      <c r="Z123" s="30" t="n"/>
      <c r="AA123" s="30" t="inlineStr">
        <is>
          <t>Represented by Sample</t>
        </is>
      </c>
      <c r="AB123" s="30" t="inlineStr">
        <is>
          <t>Yes</t>
        </is>
      </c>
      <c r="AC123" s="27" t="n"/>
      <c r="AD123" s="31" t="inlineStr">
        <is>
          <t>No</t>
        </is>
      </c>
      <c r="AE123" s="32">
        <f>IF(W123="","",IF(Z123="Yes","❌ Disc",IF(Y123="No","⚠ Missing",IF(AB123="Yes","✓ OK","⚠ Check"))))</f>
        <v/>
      </c>
      <c r="AF123" s="33" t="n"/>
      <c r="AG123" s="33" t="n"/>
      <c r="AH123" s="33" t="n"/>
      <c r="AI123" s="33" t="n"/>
      <c r="AJ123" s="33" t="n"/>
      <c r="AK123" s="33" t="n"/>
      <c r="AL123" s="27" t="n"/>
      <c r="AM123" s="34" t="n"/>
      <c r="AN123" s="35">
        <f>IF(AF123="","",IF(AI123="Yes","❌ Disc",IF(AH123="No","⚠ Missing",IF(AK123="Yes","✓ OK","⚠ Check"))))</f>
        <v/>
      </c>
      <c r="AO123" s="36" t="n"/>
      <c r="AP123" s="36" t="n"/>
      <c r="AQ123" s="36" t="n"/>
      <c r="AR123" s="36" t="n"/>
      <c r="AS123" s="36" t="n"/>
      <c r="AT123" s="36" t="n"/>
      <c r="AU123" s="27" t="n"/>
      <c r="AV123" s="37" t="n"/>
      <c r="AW123" s="38">
        <f>IF(AO123="","",IF(AR123="Yes","❌ Disc",IF(AQ123="No","⚠ Missing",IF(AT123="Yes","✓ OK","⚠ Check"))))</f>
        <v/>
      </c>
    </row>
    <row r="124" ht="18" customHeight="1" s="46">
      <c r="A124" s="39" t="n">
        <v>120</v>
      </c>
      <c r="B124" s="40" t="inlineStr">
        <is>
          <t>BD-HNA-2025-0140</t>
        </is>
      </c>
      <c r="C124" s="41" t="inlineStr">
        <is>
          <t>Bonito Handles - H-110 - Grey and Rose Gold Handle  - 191mm</t>
        </is>
      </c>
      <c r="D124" s="39" t="inlineStr">
        <is>
          <t>Bonito Handles</t>
        </is>
      </c>
      <c r="E124" s="43" t="n">
        <v>46125</v>
      </c>
      <c r="F124" s="26" t="inlineStr">
        <is>
          <t>Sunil CR</t>
        </is>
      </c>
      <c r="G124" s="44" t="inlineStr">
        <is>
          <t>Represented by Sample</t>
        </is>
      </c>
      <c r="H124" s="26" t="inlineStr">
        <is>
          <t>No</t>
        </is>
      </c>
      <c r="I124" s="44" t="inlineStr">
        <is>
          <t>Represented by Sample</t>
        </is>
      </c>
      <c r="J124" s="26" t="inlineStr">
        <is>
          <t>Yes</t>
        </is>
      </c>
      <c r="K124" s="27" t="n"/>
      <c r="L124" s="28" t="inlineStr">
        <is>
          <t>No</t>
        </is>
      </c>
      <c r="M124" s="29">
        <f>IF(E124="","",IF(H124="Yes","❌ Disc",IF(G124="No","⚠ Missing",IF(J124="Yes","✓ OK","⚠ Check"))))</f>
        <v/>
      </c>
      <c r="N124" s="43" t="n">
        <v>46196</v>
      </c>
      <c r="O124" s="26" t="inlineStr">
        <is>
          <t>Sunil CR</t>
        </is>
      </c>
      <c r="P124" s="44" t="inlineStr">
        <is>
          <t>Represented by Sample</t>
        </is>
      </c>
      <c r="Q124" s="26" t="inlineStr">
        <is>
          <t>No</t>
        </is>
      </c>
      <c r="R124" s="44" t="inlineStr">
        <is>
          <t>Represented by Sample</t>
        </is>
      </c>
      <c r="S124" s="26" t="inlineStr">
        <is>
          <t>Yes</t>
        </is>
      </c>
      <c r="T124" s="27" t="n"/>
      <c r="U124" s="28" t="inlineStr">
        <is>
          <t>No</t>
        </is>
      </c>
      <c r="V124" s="29">
        <f>IF(N124="","",IF(Q124="Yes","❌ Disc",IF(P124="No","⚠ Missing",IF(S124="Yes","✓ OK","⚠ Check"))))</f>
        <v/>
      </c>
      <c r="W124" s="65" t="n">
        <v>46248</v>
      </c>
      <c r="X124" s="30" t="inlineStr">
        <is>
          <t>Sunil CR</t>
        </is>
      </c>
      <c r="Y124" s="30" t="inlineStr">
        <is>
          <t>Represented by Sample</t>
        </is>
      </c>
      <c r="Z124" s="30" t="n"/>
      <c r="AA124" s="30" t="inlineStr">
        <is>
          <t>Represented by Sample</t>
        </is>
      </c>
      <c r="AB124" s="30" t="inlineStr">
        <is>
          <t>Yes</t>
        </is>
      </c>
      <c r="AC124" s="27" t="n"/>
      <c r="AD124" s="31" t="inlineStr">
        <is>
          <t>No</t>
        </is>
      </c>
      <c r="AE124" s="32">
        <f>IF(W124="","",IF(Z124="Yes","❌ Disc",IF(Y124="No","⚠ Missing",IF(AB124="Yes","✓ OK","⚠ Check"))))</f>
        <v/>
      </c>
      <c r="AF124" s="33" t="n"/>
      <c r="AG124" s="33" t="n"/>
      <c r="AH124" s="33" t="n"/>
      <c r="AI124" s="33" t="n"/>
      <c r="AJ124" s="33" t="n"/>
      <c r="AK124" s="33" t="n"/>
      <c r="AL124" s="27" t="n"/>
      <c r="AM124" s="34" t="n"/>
      <c r="AN124" s="35">
        <f>IF(AF124="","",IF(AI124="Yes","❌ Disc",IF(AH124="No","⚠ Missing",IF(AK124="Yes","✓ OK","⚠ Check"))))</f>
        <v/>
      </c>
      <c r="AO124" s="36" t="n"/>
      <c r="AP124" s="36" t="n"/>
      <c r="AQ124" s="36" t="n"/>
      <c r="AR124" s="36" t="n"/>
      <c r="AS124" s="36" t="n"/>
      <c r="AT124" s="36" t="n"/>
      <c r="AU124" s="27" t="n"/>
      <c r="AV124" s="37" t="n"/>
      <c r="AW124" s="38">
        <f>IF(AO124="","",IF(AR124="Yes","❌ Disc",IF(AQ124="No","⚠ Missing",IF(AT124="Yes","✓ OK","⚠ Check"))))</f>
        <v/>
      </c>
    </row>
    <row r="125" ht="18" customHeight="1" s="46">
      <c r="A125" s="23" t="n">
        <v>121</v>
      </c>
      <c r="B125" s="24" t="inlineStr">
        <is>
          <t>BD-HNA-2025-0141</t>
        </is>
      </c>
      <c r="C125" s="25" t="inlineStr">
        <is>
          <t>Bonito Handles - H-110 - Grey and Rose Gold Handle  - 257mm</t>
        </is>
      </c>
      <c r="D125" s="23" t="inlineStr">
        <is>
          <t>Bonito Handles</t>
        </is>
      </c>
      <c r="E125" s="43" t="n">
        <v>46125</v>
      </c>
      <c r="F125" s="26" t="inlineStr">
        <is>
          <t>Sunil CR</t>
        </is>
      </c>
      <c r="G125" s="44" t="inlineStr">
        <is>
          <t>Represented by Sample</t>
        </is>
      </c>
      <c r="H125" s="26" t="inlineStr">
        <is>
          <t>No</t>
        </is>
      </c>
      <c r="I125" s="44" t="inlineStr">
        <is>
          <t>Represented by Sample</t>
        </is>
      </c>
      <c r="J125" s="26" t="inlineStr">
        <is>
          <t>Yes</t>
        </is>
      </c>
      <c r="K125" s="27" t="n"/>
      <c r="L125" s="28" t="inlineStr">
        <is>
          <t>No</t>
        </is>
      </c>
      <c r="M125" s="29">
        <f>IF(E125="","",IF(H125="Yes","❌ Disc",IF(G125="No","⚠ Missing",IF(J125="Yes","✓ OK","⚠ Check"))))</f>
        <v/>
      </c>
      <c r="N125" s="43" t="n">
        <v>46196</v>
      </c>
      <c r="O125" s="26" t="inlineStr">
        <is>
          <t>Sunil CR</t>
        </is>
      </c>
      <c r="P125" s="44" t="inlineStr">
        <is>
          <t>Represented by Sample</t>
        </is>
      </c>
      <c r="Q125" s="26" t="inlineStr">
        <is>
          <t>No</t>
        </is>
      </c>
      <c r="R125" s="44" t="inlineStr">
        <is>
          <t>Represented by Sample</t>
        </is>
      </c>
      <c r="S125" s="26" t="inlineStr">
        <is>
          <t>Yes</t>
        </is>
      </c>
      <c r="T125" s="27" t="n"/>
      <c r="U125" s="28" t="inlineStr">
        <is>
          <t>No</t>
        </is>
      </c>
      <c r="V125" s="29">
        <f>IF(N125="","",IF(Q125="Yes","❌ Disc",IF(P125="No","⚠ Missing",IF(S125="Yes","✓ OK","⚠ Check"))))</f>
        <v/>
      </c>
      <c r="W125" s="65" t="n">
        <v>46248</v>
      </c>
      <c r="X125" s="30" t="inlineStr">
        <is>
          <t>Sunil CR</t>
        </is>
      </c>
      <c r="Y125" s="30" t="inlineStr">
        <is>
          <t>Represented by Sample</t>
        </is>
      </c>
      <c r="Z125" s="30" t="n"/>
      <c r="AA125" s="30" t="inlineStr">
        <is>
          <t>Represented by Sample</t>
        </is>
      </c>
      <c r="AB125" s="30" t="inlineStr">
        <is>
          <t>Yes</t>
        </is>
      </c>
      <c r="AC125" s="27" t="n"/>
      <c r="AD125" s="31" t="inlineStr">
        <is>
          <t>No</t>
        </is>
      </c>
      <c r="AE125" s="32">
        <f>IF(W125="","",IF(Z125="Yes","❌ Disc",IF(Y125="No","⚠ Missing",IF(AB125="Yes","✓ OK","⚠ Check"))))</f>
        <v/>
      </c>
      <c r="AF125" s="33" t="n"/>
      <c r="AG125" s="33" t="n"/>
      <c r="AH125" s="33" t="n"/>
      <c r="AI125" s="33" t="n"/>
      <c r="AJ125" s="33" t="n"/>
      <c r="AK125" s="33" t="n"/>
      <c r="AL125" s="27" t="n"/>
      <c r="AM125" s="34" t="n"/>
      <c r="AN125" s="35">
        <f>IF(AF125="","",IF(AI125="Yes","❌ Disc",IF(AH125="No","⚠ Missing",IF(AK125="Yes","✓ OK","⚠ Check"))))</f>
        <v/>
      </c>
      <c r="AO125" s="36" t="n"/>
      <c r="AP125" s="36" t="n"/>
      <c r="AQ125" s="36" t="n"/>
      <c r="AR125" s="36" t="n"/>
      <c r="AS125" s="36" t="n"/>
      <c r="AT125" s="36" t="n"/>
      <c r="AU125" s="27" t="n"/>
      <c r="AV125" s="37" t="n"/>
      <c r="AW125" s="38">
        <f>IF(AO125="","",IF(AR125="Yes","❌ Disc",IF(AQ125="No","⚠ Missing",IF(AT125="Yes","✓ OK","⚠ Check"))))</f>
        <v/>
      </c>
    </row>
    <row r="126" ht="18" customHeight="1" s="46">
      <c r="A126" s="39" t="n">
        <v>122</v>
      </c>
      <c r="B126" s="40" t="inlineStr">
        <is>
          <t>BD-HNA-2025-0142</t>
        </is>
      </c>
      <c r="C126" s="41" t="inlineStr">
        <is>
          <t>Bonito Handles - H-110 - Grey and Rose Gold Handle  - 323mm</t>
        </is>
      </c>
      <c r="D126" s="39" t="inlineStr">
        <is>
          <t>Bonito Handles</t>
        </is>
      </c>
      <c r="E126" s="43" t="n">
        <v>46125</v>
      </c>
      <c r="F126" s="26" t="inlineStr">
        <is>
          <t>Sunil CR</t>
        </is>
      </c>
      <c r="G126" s="44" t="inlineStr">
        <is>
          <t>Yes</t>
        </is>
      </c>
      <c r="H126" s="26" t="inlineStr">
        <is>
          <t>No</t>
        </is>
      </c>
      <c r="I126" s="44" t="inlineStr">
        <is>
          <t>Good finish</t>
        </is>
      </c>
      <c r="J126" s="26" t="inlineStr">
        <is>
          <t>Yes</t>
        </is>
      </c>
      <c r="K126" s="27" t="n"/>
      <c r="L126" s="28" t="inlineStr">
        <is>
          <t>No</t>
        </is>
      </c>
      <c r="M126" s="29">
        <f>IF(E126="","",IF(H126="Yes","❌ Disc",IF(G126="No","⚠ Missing",IF(J126="Yes","✓ OK","⚠ Check"))))</f>
        <v/>
      </c>
      <c r="N126" s="43" t="n">
        <v>46196</v>
      </c>
      <c r="O126" s="26" t="inlineStr">
        <is>
          <t>Sunil CR</t>
        </is>
      </c>
      <c r="P126" s="44" t="inlineStr">
        <is>
          <t>Yes</t>
        </is>
      </c>
      <c r="Q126" s="26" t="inlineStr">
        <is>
          <t>No</t>
        </is>
      </c>
      <c r="R126" s="44" t="inlineStr">
        <is>
          <t>Good finish</t>
        </is>
      </c>
      <c r="S126" s="26" t="inlineStr">
        <is>
          <t>Yes</t>
        </is>
      </c>
      <c r="T126" s="27" t="n"/>
      <c r="U126" s="28" t="inlineStr">
        <is>
          <t>No</t>
        </is>
      </c>
      <c r="V126" s="29">
        <f>IF(N126="","",IF(Q126="Yes","❌ Disc",IF(P126="No","⚠ Missing",IF(S126="Yes","✓ OK","⚠ Check"))))</f>
        <v/>
      </c>
      <c r="W126" s="65" t="n">
        <v>46248</v>
      </c>
      <c r="X126" s="30" t="inlineStr">
        <is>
          <t>Sunil CR</t>
        </is>
      </c>
      <c r="Y126" s="30" t="inlineStr">
        <is>
          <t>Yes</t>
        </is>
      </c>
      <c r="Z126" s="30" t="n"/>
      <c r="AA126" s="30" t="inlineStr">
        <is>
          <t>Good finish</t>
        </is>
      </c>
      <c r="AB126" s="30" t="inlineStr">
        <is>
          <t>Yes</t>
        </is>
      </c>
      <c r="AC126" s="27" t="n"/>
      <c r="AD126" s="31" t="inlineStr">
        <is>
          <t>No</t>
        </is>
      </c>
      <c r="AE126" s="32">
        <f>IF(W126="","",IF(Z126="Yes","❌ Disc",IF(Y126="No","⚠ Missing",IF(AB126="Yes","✓ OK","⚠ Check"))))</f>
        <v/>
      </c>
      <c r="AF126" s="33" t="n"/>
      <c r="AG126" s="33" t="n"/>
      <c r="AH126" s="33" t="n"/>
      <c r="AI126" s="33" t="n"/>
      <c r="AJ126" s="33" t="n"/>
      <c r="AK126" s="33" t="n"/>
      <c r="AL126" s="27" t="n"/>
      <c r="AM126" s="34" t="n"/>
      <c r="AN126" s="35">
        <f>IF(AF126="","",IF(AI126="Yes","❌ Disc",IF(AH126="No","⚠ Missing",IF(AK126="Yes","✓ OK","⚠ Check"))))</f>
        <v/>
      </c>
      <c r="AO126" s="36" t="n"/>
      <c r="AP126" s="36" t="n"/>
      <c r="AQ126" s="36" t="n"/>
      <c r="AR126" s="36" t="n"/>
      <c r="AS126" s="36" t="n"/>
      <c r="AT126" s="36" t="n"/>
      <c r="AU126" s="27" t="n"/>
      <c r="AV126" s="37" t="n"/>
      <c r="AW126" s="38">
        <f>IF(AO126="","",IF(AR126="Yes","❌ Disc",IF(AQ126="No","⚠ Missing",IF(AT126="Yes","✓ OK","⚠ Check"))))</f>
        <v/>
      </c>
    </row>
    <row r="127" ht="18" customHeight="1" s="46">
      <c r="A127" s="23" t="n">
        <v>123</v>
      </c>
      <c r="B127" s="24" t="inlineStr">
        <is>
          <t>BD-HNA-2025-0195</t>
        </is>
      </c>
      <c r="C127" s="25" t="inlineStr">
        <is>
          <t>Bonito Handles - H-114 - Anodized Brass and Black Handle  - 157mm</t>
        </is>
      </c>
      <c r="D127" s="23" t="inlineStr">
        <is>
          <t>Bonito Handles</t>
        </is>
      </c>
      <c r="E127" s="43" t="n">
        <v>46125</v>
      </c>
      <c r="F127" s="26" t="inlineStr">
        <is>
          <t>Sunil CR</t>
        </is>
      </c>
      <c r="G127" s="44" t="inlineStr">
        <is>
          <t>Represented by Sample</t>
        </is>
      </c>
      <c r="H127" s="26" t="inlineStr">
        <is>
          <t>No</t>
        </is>
      </c>
      <c r="I127" s="44" t="inlineStr">
        <is>
          <t>Represented by Sample</t>
        </is>
      </c>
      <c r="J127" s="26" t="inlineStr">
        <is>
          <t>Yes</t>
        </is>
      </c>
      <c r="K127" s="27" t="n"/>
      <c r="L127" s="28" t="inlineStr">
        <is>
          <t>No</t>
        </is>
      </c>
      <c r="M127" s="29">
        <f>IF(E127="","",IF(H127="Yes","❌ Disc",IF(G127="No","⚠ Missing",IF(J127="Yes","✓ OK","⚠ Check"))))</f>
        <v/>
      </c>
      <c r="N127" s="43" t="n">
        <v>46196</v>
      </c>
      <c r="O127" s="26" t="inlineStr">
        <is>
          <t>Sunil CR</t>
        </is>
      </c>
      <c r="P127" s="44" t="inlineStr">
        <is>
          <t>Represented by Sample</t>
        </is>
      </c>
      <c r="Q127" s="26" t="inlineStr">
        <is>
          <t>No</t>
        </is>
      </c>
      <c r="R127" s="44" t="inlineStr">
        <is>
          <t>Represented by Sample</t>
        </is>
      </c>
      <c r="S127" s="26" t="inlineStr">
        <is>
          <t>Yes</t>
        </is>
      </c>
      <c r="T127" s="27" t="n"/>
      <c r="U127" s="28" t="inlineStr">
        <is>
          <t>No</t>
        </is>
      </c>
      <c r="V127" s="29">
        <f>IF(N127="","",IF(Q127="Yes","❌ Disc",IF(P127="No","⚠ Missing",IF(S127="Yes","✓ OK","⚠ Check"))))</f>
        <v/>
      </c>
      <c r="W127" s="65" t="n">
        <v>46248</v>
      </c>
      <c r="X127" s="30" t="inlineStr">
        <is>
          <t>Sunil CR</t>
        </is>
      </c>
      <c r="Y127" s="30" t="inlineStr">
        <is>
          <t>Represented by Sample</t>
        </is>
      </c>
      <c r="Z127" s="30" t="n"/>
      <c r="AA127" s="30" t="inlineStr">
        <is>
          <t>Represented by Sample</t>
        </is>
      </c>
      <c r="AB127" s="30" t="inlineStr">
        <is>
          <t>Yes</t>
        </is>
      </c>
      <c r="AC127" s="27" t="n"/>
      <c r="AD127" s="31" t="inlineStr">
        <is>
          <t>No</t>
        </is>
      </c>
      <c r="AE127" s="32">
        <f>IF(W127="","",IF(Z127="Yes","❌ Disc",IF(Y127="No","⚠ Missing",IF(AB127="Yes","✓ OK","⚠ Check"))))</f>
        <v/>
      </c>
      <c r="AF127" s="33" t="n"/>
      <c r="AG127" s="33" t="n"/>
      <c r="AH127" s="33" t="n"/>
      <c r="AI127" s="33" t="n"/>
      <c r="AJ127" s="33" t="n"/>
      <c r="AK127" s="33" t="n"/>
      <c r="AL127" s="27" t="n"/>
      <c r="AM127" s="34" t="n"/>
      <c r="AN127" s="35">
        <f>IF(AF127="","",IF(AI127="Yes","❌ Disc",IF(AH127="No","⚠ Missing",IF(AK127="Yes","✓ OK","⚠ Check"))))</f>
        <v/>
      </c>
      <c r="AO127" s="36" t="n"/>
      <c r="AP127" s="36" t="n"/>
      <c r="AQ127" s="36" t="n"/>
      <c r="AR127" s="36" t="n"/>
      <c r="AS127" s="36" t="n"/>
      <c r="AT127" s="36" t="n"/>
      <c r="AU127" s="27" t="n"/>
      <c r="AV127" s="37" t="n"/>
      <c r="AW127" s="38">
        <f>IF(AO127="","",IF(AR127="Yes","❌ Disc",IF(AQ127="No","⚠ Missing",IF(AT127="Yes","✓ OK","⚠ Check"))))</f>
        <v/>
      </c>
    </row>
    <row r="128" ht="18" customHeight="1" s="46">
      <c r="A128" s="39" t="n">
        <v>124</v>
      </c>
      <c r="B128" s="40" t="inlineStr">
        <is>
          <t>BD-HNA-2025-0196</t>
        </is>
      </c>
      <c r="C128" s="41" t="inlineStr">
        <is>
          <t>Bonito Handles - H-114 - Anodized Brass and Black Handle  - 228mm</t>
        </is>
      </c>
      <c r="D128" s="39" t="inlineStr">
        <is>
          <t>Bonito Handles</t>
        </is>
      </c>
      <c r="E128" s="43" t="n">
        <v>46125</v>
      </c>
      <c r="F128" s="26" t="inlineStr">
        <is>
          <t>Sunil CR</t>
        </is>
      </c>
      <c r="G128" s="44" t="inlineStr">
        <is>
          <t>Yes</t>
        </is>
      </c>
      <c r="H128" s="26" t="inlineStr">
        <is>
          <t>No</t>
        </is>
      </c>
      <c r="I128" s="44" t="inlineStr">
        <is>
          <t>Good finish</t>
        </is>
      </c>
      <c r="J128" s="26" t="inlineStr">
        <is>
          <t>Yes</t>
        </is>
      </c>
      <c r="K128" s="27" t="n"/>
      <c r="L128" s="28" t="inlineStr">
        <is>
          <t>No</t>
        </is>
      </c>
      <c r="M128" s="29">
        <f>IF(E128="","",IF(H128="Yes","❌ Disc",IF(G128="No","⚠ Missing",IF(J128="Yes","✓ OK","⚠ Check"))))</f>
        <v/>
      </c>
      <c r="N128" s="43" t="n">
        <v>46196</v>
      </c>
      <c r="O128" s="26" t="inlineStr">
        <is>
          <t>Sunil CR</t>
        </is>
      </c>
      <c r="P128" s="44" t="inlineStr">
        <is>
          <t>Yes</t>
        </is>
      </c>
      <c r="Q128" s="26" t="inlineStr">
        <is>
          <t>No</t>
        </is>
      </c>
      <c r="R128" s="44" t="inlineStr">
        <is>
          <t>Good finish</t>
        </is>
      </c>
      <c r="S128" s="26" t="inlineStr">
        <is>
          <t>Yes</t>
        </is>
      </c>
      <c r="T128" s="27" t="n"/>
      <c r="U128" s="28" t="inlineStr">
        <is>
          <t>No</t>
        </is>
      </c>
      <c r="V128" s="29">
        <f>IF(N128="","",IF(Q128="Yes","❌ Disc",IF(P128="No","⚠ Missing",IF(S128="Yes","✓ OK","⚠ Check"))))</f>
        <v/>
      </c>
      <c r="W128" s="65" t="n">
        <v>46248</v>
      </c>
      <c r="X128" s="30" t="inlineStr">
        <is>
          <t>Sunil CR</t>
        </is>
      </c>
      <c r="Y128" s="30" t="inlineStr">
        <is>
          <t>Yes</t>
        </is>
      </c>
      <c r="Z128" s="30" t="n"/>
      <c r="AA128" s="30" t="inlineStr">
        <is>
          <t>Good finish</t>
        </is>
      </c>
      <c r="AB128" s="30" t="inlineStr">
        <is>
          <t>Yes</t>
        </is>
      </c>
      <c r="AC128" s="27" t="n"/>
      <c r="AD128" s="31" t="inlineStr">
        <is>
          <t>No</t>
        </is>
      </c>
      <c r="AE128" s="32">
        <f>IF(W128="","",IF(Z128="Yes","❌ Disc",IF(Y128="No","⚠ Missing",IF(AB128="Yes","✓ OK","⚠ Check"))))</f>
        <v/>
      </c>
      <c r="AF128" s="33" t="n"/>
      <c r="AG128" s="33" t="n"/>
      <c r="AH128" s="33" t="n"/>
      <c r="AI128" s="33" t="n"/>
      <c r="AJ128" s="33" t="n"/>
      <c r="AK128" s="33" t="n"/>
      <c r="AL128" s="27" t="n"/>
      <c r="AM128" s="34" t="n"/>
      <c r="AN128" s="35">
        <f>IF(AF128="","",IF(AI128="Yes","❌ Disc",IF(AH128="No","⚠ Missing",IF(AK128="Yes","✓ OK","⚠ Check"))))</f>
        <v/>
      </c>
      <c r="AO128" s="36" t="n"/>
      <c r="AP128" s="36" t="n"/>
      <c r="AQ128" s="36" t="n"/>
      <c r="AR128" s="36" t="n"/>
      <c r="AS128" s="36" t="n"/>
      <c r="AT128" s="36" t="n"/>
      <c r="AU128" s="27" t="n"/>
      <c r="AV128" s="37" t="n"/>
      <c r="AW128" s="38">
        <f>IF(AO128="","",IF(AR128="Yes","❌ Disc",IF(AQ128="No","⚠ Missing",IF(AT128="Yes","✓ OK","⚠ Check"))))</f>
        <v/>
      </c>
    </row>
    <row r="129" ht="18" customHeight="1" s="46">
      <c r="A129" s="23" t="n">
        <v>125</v>
      </c>
      <c r="B129" s="24" t="inlineStr">
        <is>
          <t>BD-HNA-2025-0197</t>
        </is>
      </c>
      <c r="C129" s="25" t="inlineStr">
        <is>
          <t>Bonito Handles - H-114 - Anodized Brass and Black Handle  - 367mm</t>
        </is>
      </c>
      <c r="D129" s="23" t="inlineStr">
        <is>
          <t>Bonito Handles</t>
        </is>
      </c>
      <c r="E129" s="43" t="n">
        <v>46125</v>
      </c>
      <c r="F129" s="26" t="inlineStr">
        <is>
          <t>Sunil CR</t>
        </is>
      </c>
      <c r="G129" s="44" t="inlineStr">
        <is>
          <t>Represented by Sample</t>
        </is>
      </c>
      <c r="H129" s="26" t="inlineStr">
        <is>
          <t>No</t>
        </is>
      </c>
      <c r="I129" s="44" t="inlineStr">
        <is>
          <t>Represented by Sample</t>
        </is>
      </c>
      <c r="J129" s="26" t="inlineStr">
        <is>
          <t>Yes</t>
        </is>
      </c>
      <c r="K129" s="27" t="n"/>
      <c r="L129" s="28" t="inlineStr">
        <is>
          <t>No</t>
        </is>
      </c>
      <c r="M129" s="29">
        <f>IF(E129="","",IF(H129="Yes","❌ Disc",IF(G129="No","⚠ Missing",IF(J129="Yes","✓ OK","⚠ Check"))))</f>
        <v/>
      </c>
      <c r="N129" s="43" t="n">
        <v>46196</v>
      </c>
      <c r="O129" s="26" t="inlineStr">
        <is>
          <t>Sunil CR</t>
        </is>
      </c>
      <c r="P129" s="44" t="inlineStr">
        <is>
          <t>Represented by Sample</t>
        </is>
      </c>
      <c r="Q129" s="26" t="inlineStr">
        <is>
          <t>No</t>
        </is>
      </c>
      <c r="R129" s="44" t="inlineStr">
        <is>
          <t>Represented by Sample</t>
        </is>
      </c>
      <c r="S129" s="26" t="inlineStr">
        <is>
          <t>Yes</t>
        </is>
      </c>
      <c r="T129" s="27" t="n"/>
      <c r="U129" s="28" t="inlineStr">
        <is>
          <t>No</t>
        </is>
      </c>
      <c r="V129" s="29">
        <f>IF(N129="","",IF(Q129="Yes","❌ Disc",IF(P129="No","⚠ Missing",IF(S129="Yes","✓ OK","⚠ Check"))))</f>
        <v/>
      </c>
      <c r="W129" s="65" t="n">
        <v>46248</v>
      </c>
      <c r="X129" s="30" t="inlineStr">
        <is>
          <t>Sunil CR</t>
        </is>
      </c>
      <c r="Y129" s="30" t="inlineStr">
        <is>
          <t>Represented by Sample</t>
        </is>
      </c>
      <c r="Z129" s="30" t="n"/>
      <c r="AA129" s="30" t="inlineStr">
        <is>
          <t>Represented by Sample</t>
        </is>
      </c>
      <c r="AB129" s="30" t="inlineStr">
        <is>
          <t>Yes</t>
        </is>
      </c>
      <c r="AC129" s="27" t="n"/>
      <c r="AD129" s="31" t="inlineStr">
        <is>
          <t>No</t>
        </is>
      </c>
      <c r="AE129" s="32">
        <f>IF(W129="","",IF(Z129="Yes","❌ Disc",IF(Y129="No","⚠ Missing",IF(AB129="Yes","✓ OK","⚠ Check"))))</f>
        <v/>
      </c>
      <c r="AF129" s="33" t="n"/>
      <c r="AG129" s="33" t="n"/>
      <c r="AH129" s="33" t="n"/>
      <c r="AI129" s="33" t="n"/>
      <c r="AJ129" s="33" t="n"/>
      <c r="AK129" s="33" t="n"/>
      <c r="AL129" s="27" t="n"/>
      <c r="AM129" s="34" t="n"/>
      <c r="AN129" s="35">
        <f>IF(AF129="","",IF(AI129="Yes","❌ Disc",IF(AH129="No","⚠ Missing",IF(AK129="Yes","✓ OK","⚠ Check"))))</f>
        <v/>
      </c>
      <c r="AO129" s="36" t="n"/>
      <c r="AP129" s="36" t="n"/>
      <c r="AQ129" s="36" t="n"/>
      <c r="AR129" s="36" t="n"/>
      <c r="AS129" s="36" t="n"/>
      <c r="AT129" s="36" t="n"/>
      <c r="AU129" s="27" t="n"/>
      <c r="AV129" s="37" t="n"/>
      <c r="AW129" s="38">
        <f>IF(AO129="","",IF(AR129="Yes","❌ Disc",IF(AQ129="No","⚠ Missing",IF(AT129="Yes","✓ OK","⚠ Check"))))</f>
        <v/>
      </c>
    </row>
    <row r="130" ht="18" customHeight="1" s="46">
      <c r="A130" s="39" t="n">
        <v>126</v>
      </c>
      <c r="B130" s="40" t="inlineStr">
        <is>
          <t>BD-HNA-2025-0192</t>
        </is>
      </c>
      <c r="C130" s="41" t="inlineStr">
        <is>
          <t>Bonito Handles - H-114 - Cola and White Handle  - 157mm</t>
        </is>
      </c>
      <c r="D130" s="39" t="inlineStr">
        <is>
          <t>Bonito Handles</t>
        </is>
      </c>
      <c r="E130" s="43" t="n">
        <v>46125</v>
      </c>
      <c r="F130" s="26" t="inlineStr">
        <is>
          <t>Sunil CR</t>
        </is>
      </c>
      <c r="G130" s="44" t="inlineStr">
        <is>
          <t>Yes</t>
        </is>
      </c>
      <c r="H130" s="26" t="inlineStr">
        <is>
          <t>No</t>
        </is>
      </c>
      <c r="I130" s="44" t="inlineStr">
        <is>
          <t>Good finish</t>
        </is>
      </c>
      <c r="J130" s="26" t="inlineStr">
        <is>
          <t>Yes</t>
        </is>
      </c>
      <c r="K130" s="27" t="n"/>
      <c r="L130" s="28" t="inlineStr">
        <is>
          <t>No</t>
        </is>
      </c>
      <c r="M130" s="29">
        <f>IF(E130="","",IF(H130="Yes","❌ Disc",IF(G130="No","⚠ Missing",IF(J130="Yes","✓ OK","⚠ Check"))))</f>
        <v/>
      </c>
      <c r="N130" s="43" t="n">
        <v>46196</v>
      </c>
      <c r="O130" s="26" t="inlineStr">
        <is>
          <t>Sunil CR</t>
        </is>
      </c>
      <c r="P130" s="44" t="inlineStr">
        <is>
          <t>Yes</t>
        </is>
      </c>
      <c r="Q130" s="26" t="inlineStr">
        <is>
          <t>No</t>
        </is>
      </c>
      <c r="R130" s="44" t="inlineStr">
        <is>
          <t>Good finish</t>
        </is>
      </c>
      <c r="S130" s="26" t="inlineStr">
        <is>
          <t>Yes</t>
        </is>
      </c>
      <c r="T130" s="27" t="n"/>
      <c r="U130" s="28" t="inlineStr">
        <is>
          <t>No</t>
        </is>
      </c>
      <c r="V130" s="29">
        <f>IF(N130="","",IF(Q130="Yes","❌ Disc",IF(P130="No","⚠ Missing",IF(S130="Yes","✓ OK","⚠ Check"))))</f>
        <v/>
      </c>
      <c r="W130" s="65" t="n">
        <v>46248</v>
      </c>
      <c r="X130" s="30" t="inlineStr">
        <is>
          <t>Sunil CR</t>
        </is>
      </c>
      <c r="Y130" s="30" t="inlineStr">
        <is>
          <t>Yes</t>
        </is>
      </c>
      <c r="Z130" s="30" t="n"/>
      <c r="AA130" s="30" t="inlineStr">
        <is>
          <t>Good finish</t>
        </is>
      </c>
      <c r="AB130" s="30" t="inlineStr">
        <is>
          <t>Yes</t>
        </is>
      </c>
      <c r="AC130" s="27" t="n"/>
      <c r="AD130" s="31" t="inlineStr">
        <is>
          <t>No</t>
        </is>
      </c>
      <c r="AE130" s="32">
        <f>IF(W130="","",IF(Z130="Yes","❌ Disc",IF(Y130="No","⚠ Missing",IF(AB130="Yes","✓ OK","⚠ Check"))))</f>
        <v/>
      </c>
      <c r="AF130" s="33" t="n"/>
      <c r="AG130" s="33" t="n"/>
      <c r="AH130" s="33" t="n"/>
      <c r="AI130" s="33" t="n"/>
      <c r="AJ130" s="33" t="n"/>
      <c r="AK130" s="33" t="n"/>
      <c r="AL130" s="27" t="n"/>
      <c r="AM130" s="34" t="n"/>
      <c r="AN130" s="35">
        <f>IF(AF130="","",IF(AI130="Yes","❌ Disc",IF(AH130="No","⚠ Missing",IF(AK130="Yes","✓ OK","⚠ Check"))))</f>
        <v/>
      </c>
      <c r="AO130" s="36" t="n"/>
      <c r="AP130" s="36" t="n"/>
      <c r="AQ130" s="36" t="n"/>
      <c r="AR130" s="36" t="n"/>
      <c r="AS130" s="36" t="n"/>
      <c r="AT130" s="36" t="n"/>
      <c r="AU130" s="27" t="n"/>
      <c r="AV130" s="37" t="n"/>
      <c r="AW130" s="38">
        <f>IF(AO130="","",IF(AR130="Yes","❌ Disc",IF(AQ130="No","⚠ Missing",IF(AT130="Yes","✓ OK","⚠ Check"))))</f>
        <v/>
      </c>
    </row>
    <row r="131" ht="18" customHeight="1" s="46">
      <c r="A131" s="23" t="n">
        <v>127</v>
      </c>
      <c r="B131" s="24" t="inlineStr">
        <is>
          <t>BD-HNA-2025-0193</t>
        </is>
      </c>
      <c r="C131" s="25" t="inlineStr">
        <is>
          <t>Bonito Handles - H-114 - Cola and White Handle  - 228mm</t>
        </is>
      </c>
      <c r="D131" s="23" t="inlineStr">
        <is>
          <t>Bonito Handles</t>
        </is>
      </c>
      <c r="E131" s="43" t="n">
        <v>46125</v>
      </c>
      <c r="F131" s="26" t="inlineStr">
        <is>
          <t>Sunil CR</t>
        </is>
      </c>
      <c r="G131" s="44" t="inlineStr">
        <is>
          <t>Represented by Sample</t>
        </is>
      </c>
      <c r="H131" s="26" t="inlineStr">
        <is>
          <t>No</t>
        </is>
      </c>
      <c r="I131" s="44" t="inlineStr">
        <is>
          <t>Represented by Sample</t>
        </is>
      </c>
      <c r="J131" s="26" t="inlineStr">
        <is>
          <t>Yes</t>
        </is>
      </c>
      <c r="K131" s="27" t="n"/>
      <c r="L131" s="28" t="inlineStr">
        <is>
          <t>No</t>
        </is>
      </c>
      <c r="M131" s="29">
        <f>IF(E131="","",IF(H131="Yes","❌ Disc",IF(G131="No","⚠ Missing",IF(J131="Yes","✓ OK","⚠ Check"))))</f>
        <v/>
      </c>
      <c r="N131" s="43" t="n">
        <v>46196</v>
      </c>
      <c r="O131" s="26" t="inlineStr">
        <is>
          <t>Sunil CR</t>
        </is>
      </c>
      <c r="P131" s="44" t="inlineStr">
        <is>
          <t>Represented by Sample</t>
        </is>
      </c>
      <c r="Q131" s="26" t="inlineStr">
        <is>
          <t>No</t>
        </is>
      </c>
      <c r="R131" s="44" t="inlineStr">
        <is>
          <t>Represented by Sample</t>
        </is>
      </c>
      <c r="S131" s="26" t="inlineStr">
        <is>
          <t>Yes</t>
        </is>
      </c>
      <c r="T131" s="27" t="n"/>
      <c r="U131" s="28" t="inlineStr">
        <is>
          <t>No</t>
        </is>
      </c>
      <c r="V131" s="29">
        <f>IF(N131="","",IF(Q131="Yes","❌ Disc",IF(P131="No","⚠ Missing",IF(S131="Yes","✓ OK","⚠ Check"))))</f>
        <v/>
      </c>
      <c r="W131" s="65" t="n">
        <v>46248</v>
      </c>
      <c r="X131" s="30" t="inlineStr">
        <is>
          <t>Sunil CR</t>
        </is>
      </c>
      <c r="Y131" s="30" t="inlineStr">
        <is>
          <t>Represented by Sample</t>
        </is>
      </c>
      <c r="Z131" s="30" t="n"/>
      <c r="AA131" s="30" t="inlineStr">
        <is>
          <t>Represented by Sample</t>
        </is>
      </c>
      <c r="AB131" s="30" t="inlineStr">
        <is>
          <t>Yes</t>
        </is>
      </c>
      <c r="AC131" s="27" t="n"/>
      <c r="AD131" s="31" t="inlineStr">
        <is>
          <t>No</t>
        </is>
      </c>
      <c r="AE131" s="32">
        <f>IF(W131="","",IF(Z131="Yes","❌ Disc",IF(Y131="No","⚠ Missing",IF(AB131="Yes","✓ OK","⚠ Check"))))</f>
        <v/>
      </c>
      <c r="AF131" s="33" t="n"/>
      <c r="AG131" s="33" t="n"/>
      <c r="AH131" s="33" t="n"/>
      <c r="AI131" s="33" t="n"/>
      <c r="AJ131" s="33" t="n"/>
      <c r="AK131" s="33" t="n"/>
      <c r="AL131" s="27" t="n"/>
      <c r="AM131" s="34" t="n"/>
      <c r="AN131" s="35">
        <f>IF(AF131="","",IF(AI131="Yes","❌ Disc",IF(AH131="No","⚠ Missing",IF(AK131="Yes","✓ OK","⚠ Check"))))</f>
        <v/>
      </c>
      <c r="AO131" s="36" t="n"/>
      <c r="AP131" s="36" t="n"/>
      <c r="AQ131" s="36" t="n"/>
      <c r="AR131" s="36" t="n"/>
      <c r="AS131" s="36" t="n"/>
      <c r="AT131" s="36" t="n"/>
      <c r="AU131" s="27" t="n"/>
      <c r="AV131" s="37" t="n"/>
      <c r="AW131" s="38">
        <f>IF(AO131="","",IF(AR131="Yes","❌ Disc",IF(AQ131="No","⚠ Missing",IF(AT131="Yes","✓ OK","⚠ Check"))))</f>
        <v/>
      </c>
    </row>
    <row r="132" ht="18" customHeight="1" s="46">
      <c r="A132" s="39" t="n">
        <v>128</v>
      </c>
      <c r="B132" s="40" t="inlineStr">
        <is>
          <t>BD-HNA-2025-0194</t>
        </is>
      </c>
      <c r="C132" s="41" t="inlineStr">
        <is>
          <t>Bonito Handles - H-114 - Cola and White Handle  - 367mm</t>
        </is>
      </c>
      <c r="D132" s="39" t="inlineStr">
        <is>
          <t>Bonito Handles</t>
        </is>
      </c>
      <c r="E132" s="43" t="n">
        <v>46125</v>
      </c>
      <c r="F132" s="26" t="inlineStr">
        <is>
          <t>Sunil CR</t>
        </is>
      </c>
      <c r="G132" s="44" t="inlineStr">
        <is>
          <t>Represented by Sample</t>
        </is>
      </c>
      <c r="H132" s="26" t="inlineStr">
        <is>
          <t>No</t>
        </is>
      </c>
      <c r="I132" s="44" t="inlineStr">
        <is>
          <t>Represented by Sample</t>
        </is>
      </c>
      <c r="J132" s="26" t="inlineStr">
        <is>
          <t>Yes</t>
        </is>
      </c>
      <c r="K132" s="27" t="n"/>
      <c r="L132" s="28" t="inlineStr">
        <is>
          <t>No</t>
        </is>
      </c>
      <c r="M132" s="29">
        <f>IF(E132="","",IF(H132="Yes","❌ Disc",IF(G132="No","⚠ Missing",IF(J132="Yes","✓ OK","⚠ Check"))))</f>
        <v/>
      </c>
      <c r="N132" s="43" t="n">
        <v>46196</v>
      </c>
      <c r="O132" s="26" t="inlineStr">
        <is>
          <t>Sunil CR</t>
        </is>
      </c>
      <c r="P132" s="44" t="inlineStr">
        <is>
          <t>Represented by Sample</t>
        </is>
      </c>
      <c r="Q132" s="26" t="inlineStr">
        <is>
          <t>No</t>
        </is>
      </c>
      <c r="R132" s="44" t="inlineStr">
        <is>
          <t>Represented by Sample</t>
        </is>
      </c>
      <c r="S132" s="26" t="inlineStr">
        <is>
          <t>Yes</t>
        </is>
      </c>
      <c r="T132" s="27" t="n"/>
      <c r="U132" s="28" t="inlineStr">
        <is>
          <t>No</t>
        </is>
      </c>
      <c r="V132" s="29">
        <f>IF(N132="","",IF(Q132="Yes","❌ Disc",IF(P132="No","⚠ Missing",IF(S132="Yes","✓ OK","⚠ Check"))))</f>
        <v/>
      </c>
      <c r="W132" s="65" t="n">
        <v>46248</v>
      </c>
      <c r="X132" s="30" t="inlineStr">
        <is>
          <t>Sunil CR</t>
        </is>
      </c>
      <c r="Y132" s="30" t="inlineStr">
        <is>
          <t>Represented by Sample</t>
        </is>
      </c>
      <c r="Z132" s="30" t="n"/>
      <c r="AA132" s="30" t="inlineStr">
        <is>
          <t>Represented by Sample</t>
        </is>
      </c>
      <c r="AB132" s="30" t="inlineStr">
        <is>
          <t>Yes</t>
        </is>
      </c>
      <c r="AC132" s="27" t="n"/>
      <c r="AD132" s="31" t="inlineStr">
        <is>
          <t>No</t>
        </is>
      </c>
      <c r="AE132" s="32">
        <f>IF(W132="","",IF(Z132="Yes","❌ Disc",IF(Y132="No","⚠ Missing",IF(AB132="Yes","✓ OK","⚠ Check"))))</f>
        <v/>
      </c>
      <c r="AF132" s="33" t="n"/>
      <c r="AG132" s="33" t="n"/>
      <c r="AH132" s="33" t="n"/>
      <c r="AI132" s="33" t="n"/>
      <c r="AJ132" s="33" t="n"/>
      <c r="AK132" s="33" t="n"/>
      <c r="AL132" s="27" t="n"/>
      <c r="AM132" s="34" t="n"/>
      <c r="AN132" s="35">
        <f>IF(AF132="","",IF(AI132="Yes","❌ Disc",IF(AH132="No","⚠ Missing",IF(AK132="Yes","✓ OK","⚠ Check"))))</f>
        <v/>
      </c>
      <c r="AO132" s="36" t="n"/>
      <c r="AP132" s="36" t="n"/>
      <c r="AQ132" s="36" t="n"/>
      <c r="AR132" s="36" t="n"/>
      <c r="AS132" s="36" t="n"/>
      <c r="AT132" s="36" t="n"/>
      <c r="AU132" s="27" t="n"/>
      <c r="AV132" s="37" t="n"/>
      <c r="AW132" s="38">
        <f>IF(AO132="","",IF(AR132="Yes","❌ Disc",IF(AQ132="No","⚠ Missing",IF(AT132="Yes","✓ OK","⚠ Check"))))</f>
        <v/>
      </c>
    </row>
    <row r="133" ht="18" customHeight="1" s="46">
      <c r="A133" s="23" t="n">
        <v>129</v>
      </c>
      <c r="B133" s="24" t="inlineStr">
        <is>
          <t>BD-HNA-2025-0198</t>
        </is>
      </c>
      <c r="C133" s="25" t="inlineStr">
        <is>
          <t>Bonito Handles - H-114 - Satin and Wenge Handle  - 157mm</t>
        </is>
      </c>
      <c r="D133" s="23" t="inlineStr">
        <is>
          <t>Bonito Handles</t>
        </is>
      </c>
      <c r="E133" s="43" t="n">
        <v>46125</v>
      </c>
      <c r="F133" s="26" t="inlineStr">
        <is>
          <t>Sunil CR</t>
        </is>
      </c>
      <c r="G133" s="44" t="inlineStr">
        <is>
          <t>Represented by Sample</t>
        </is>
      </c>
      <c r="H133" s="26" t="inlineStr">
        <is>
          <t>No</t>
        </is>
      </c>
      <c r="I133" s="44" t="inlineStr">
        <is>
          <t>Represented by Sample</t>
        </is>
      </c>
      <c r="J133" s="26" t="inlineStr">
        <is>
          <t>Yes</t>
        </is>
      </c>
      <c r="K133" s="27" t="n"/>
      <c r="L133" s="28" t="inlineStr">
        <is>
          <t>No</t>
        </is>
      </c>
      <c r="M133" s="29">
        <f>IF(E133="","",IF(H133="Yes","❌ Disc",IF(G133="No","⚠ Missing",IF(J133="Yes","✓ OK","⚠ Check"))))</f>
        <v/>
      </c>
      <c r="N133" s="43" t="n">
        <v>46196</v>
      </c>
      <c r="O133" s="26" t="inlineStr">
        <is>
          <t>Sunil CR</t>
        </is>
      </c>
      <c r="P133" s="44" t="inlineStr">
        <is>
          <t>Represented by Sample</t>
        </is>
      </c>
      <c r="Q133" s="26" t="inlineStr">
        <is>
          <t>No</t>
        </is>
      </c>
      <c r="R133" s="44" t="inlineStr">
        <is>
          <t>Represented by Sample</t>
        </is>
      </c>
      <c r="S133" s="26" t="inlineStr">
        <is>
          <t>Yes</t>
        </is>
      </c>
      <c r="T133" s="27" t="n"/>
      <c r="U133" s="28" t="inlineStr">
        <is>
          <t>No</t>
        </is>
      </c>
      <c r="V133" s="29">
        <f>IF(N133="","",IF(Q133="Yes","❌ Disc",IF(P133="No","⚠ Missing",IF(S133="Yes","✓ OK","⚠ Check"))))</f>
        <v/>
      </c>
      <c r="W133" s="65" t="n">
        <v>46248</v>
      </c>
      <c r="X133" s="30" t="inlineStr">
        <is>
          <t>Sunil CR</t>
        </is>
      </c>
      <c r="Y133" s="30" t="inlineStr">
        <is>
          <t>Represented by Sample</t>
        </is>
      </c>
      <c r="Z133" s="30" t="n"/>
      <c r="AA133" s="30" t="inlineStr">
        <is>
          <t>Represented by Sample</t>
        </is>
      </c>
      <c r="AB133" s="30" t="inlineStr">
        <is>
          <t>Yes</t>
        </is>
      </c>
      <c r="AC133" s="27" t="n"/>
      <c r="AD133" s="31" t="inlineStr">
        <is>
          <t>No</t>
        </is>
      </c>
      <c r="AE133" s="32">
        <f>IF(W133="","",IF(Z133="Yes","❌ Disc",IF(Y133="No","⚠ Missing",IF(AB133="Yes","✓ OK","⚠ Check"))))</f>
        <v/>
      </c>
      <c r="AF133" s="33" t="n"/>
      <c r="AG133" s="33" t="n"/>
      <c r="AH133" s="33" t="n"/>
      <c r="AI133" s="33" t="n"/>
      <c r="AJ133" s="33" t="n"/>
      <c r="AK133" s="33" t="n"/>
      <c r="AL133" s="27" t="n"/>
      <c r="AM133" s="34" t="n"/>
      <c r="AN133" s="35">
        <f>IF(AF133="","",IF(AI133="Yes","❌ Disc",IF(AH133="No","⚠ Missing",IF(AK133="Yes","✓ OK","⚠ Check"))))</f>
        <v/>
      </c>
      <c r="AO133" s="36" t="n"/>
      <c r="AP133" s="36" t="n"/>
      <c r="AQ133" s="36" t="n"/>
      <c r="AR133" s="36" t="n"/>
      <c r="AS133" s="36" t="n"/>
      <c r="AT133" s="36" t="n"/>
      <c r="AU133" s="27" t="n"/>
      <c r="AV133" s="37" t="n"/>
      <c r="AW133" s="38">
        <f>IF(AO133="","",IF(AR133="Yes","❌ Disc",IF(AQ133="No","⚠ Missing",IF(AT133="Yes","✓ OK","⚠ Check"))))</f>
        <v/>
      </c>
    </row>
    <row r="134" ht="18" customHeight="1" s="46">
      <c r="A134" s="39" t="n">
        <v>130</v>
      </c>
      <c r="B134" s="40" t="inlineStr">
        <is>
          <t>BD-HNA-2025-0199</t>
        </is>
      </c>
      <c r="C134" s="41" t="inlineStr">
        <is>
          <t>Bonito Handles - H-114 - Satin and Wenge Handle  - 228mm</t>
        </is>
      </c>
      <c r="D134" s="39" t="inlineStr">
        <is>
          <t>Bonito Handles</t>
        </is>
      </c>
      <c r="E134" s="43" t="n">
        <v>46125</v>
      </c>
      <c r="F134" s="26" t="inlineStr">
        <is>
          <t>Sunil CR</t>
        </is>
      </c>
      <c r="G134" s="44" t="inlineStr">
        <is>
          <t>Represented by Sample</t>
        </is>
      </c>
      <c r="H134" s="26" t="inlineStr">
        <is>
          <t>No</t>
        </is>
      </c>
      <c r="I134" s="44" t="inlineStr">
        <is>
          <t>Represented by Sample</t>
        </is>
      </c>
      <c r="J134" s="26" t="inlineStr">
        <is>
          <t>Yes</t>
        </is>
      </c>
      <c r="K134" s="27" t="n"/>
      <c r="L134" s="28" t="inlineStr">
        <is>
          <t>No</t>
        </is>
      </c>
      <c r="M134" s="29">
        <f>IF(E134="","",IF(H134="Yes","❌ Disc",IF(G134="No","⚠ Missing",IF(J134="Yes","✓ OK","⚠ Check"))))</f>
        <v/>
      </c>
      <c r="N134" s="43" t="n">
        <v>46196</v>
      </c>
      <c r="O134" s="26" t="inlineStr">
        <is>
          <t>Sunil CR</t>
        </is>
      </c>
      <c r="P134" s="44" t="inlineStr">
        <is>
          <t>Represented by Sample</t>
        </is>
      </c>
      <c r="Q134" s="26" t="inlineStr">
        <is>
          <t>No</t>
        </is>
      </c>
      <c r="R134" s="44" t="inlineStr">
        <is>
          <t>Represented by Sample</t>
        </is>
      </c>
      <c r="S134" s="26" t="inlineStr">
        <is>
          <t>Yes</t>
        </is>
      </c>
      <c r="T134" s="27" t="n"/>
      <c r="U134" s="28" t="inlineStr">
        <is>
          <t>No</t>
        </is>
      </c>
      <c r="V134" s="29">
        <f>IF(N134="","",IF(Q134="Yes","❌ Disc",IF(P134="No","⚠ Missing",IF(S134="Yes","✓ OK","⚠ Check"))))</f>
        <v/>
      </c>
      <c r="W134" s="65" t="n">
        <v>46248</v>
      </c>
      <c r="X134" s="30" t="inlineStr">
        <is>
          <t>Sunil CR</t>
        </is>
      </c>
      <c r="Y134" s="30" t="inlineStr">
        <is>
          <t>Represented by Sample</t>
        </is>
      </c>
      <c r="Z134" s="30" t="n"/>
      <c r="AA134" s="30" t="inlineStr">
        <is>
          <t>Represented by Sample</t>
        </is>
      </c>
      <c r="AB134" s="30" t="inlineStr">
        <is>
          <t>Yes</t>
        </is>
      </c>
      <c r="AC134" s="27" t="n"/>
      <c r="AD134" s="31" t="inlineStr">
        <is>
          <t>No</t>
        </is>
      </c>
      <c r="AE134" s="32">
        <f>IF(W134="","",IF(Z134="Yes","❌ Disc",IF(Y134="No","⚠ Missing",IF(AB134="Yes","✓ OK","⚠ Check"))))</f>
        <v/>
      </c>
      <c r="AF134" s="33" t="n"/>
      <c r="AG134" s="33" t="n"/>
      <c r="AH134" s="33" t="n"/>
      <c r="AI134" s="33" t="n"/>
      <c r="AJ134" s="33" t="n"/>
      <c r="AK134" s="33" t="n"/>
      <c r="AL134" s="27" t="n"/>
      <c r="AM134" s="34" t="n"/>
      <c r="AN134" s="35">
        <f>IF(AF134="","",IF(AI134="Yes","❌ Disc",IF(AH134="No","⚠ Missing",IF(AK134="Yes","✓ OK","⚠ Check"))))</f>
        <v/>
      </c>
      <c r="AO134" s="36" t="n"/>
      <c r="AP134" s="36" t="n"/>
      <c r="AQ134" s="36" t="n"/>
      <c r="AR134" s="36" t="n"/>
      <c r="AS134" s="36" t="n"/>
      <c r="AT134" s="36" t="n"/>
      <c r="AU134" s="27" t="n"/>
      <c r="AV134" s="37" t="n"/>
      <c r="AW134" s="38">
        <f>IF(AO134="","",IF(AR134="Yes","❌ Disc",IF(AQ134="No","⚠ Missing",IF(AT134="Yes","✓ OK","⚠ Check"))))</f>
        <v/>
      </c>
    </row>
    <row r="135" ht="18" customHeight="1" s="46">
      <c r="A135" s="23" t="n">
        <v>131</v>
      </c>
      <c r="B135" s="24" t="inlineStr">
        <is>
          <t>BD-HNA-2025-0200</t>
        </is>
      </c>
      <c r="C135" s="25" t="inlineStr">
        <is>
          <t>Bonito Handles - H-114 - Satin and Wenge Handle  - 367mm</t>
        </is>
      </c>
      <c r="D135" s="23" t="inlineStr">
        <is>
          <t>Bonito Handles</t>
        </is>
      </c>
      <c r="E135" s="43" t="n">
        <v>46125</v>
      </c>
      <c r="F135" s="26" t="inlineStr">
        <is>
          <t>Sunil CR</t>
        </is>
      </c>
      <c r="G135" s="44" t="inlineStr">
        <is>
          <t>Yes</t>
        </is>
      </c>
      <c r="H135" s="26" t="inlineStr">
        <is>
          <t>No</t>
        </is>
      </c>
      <c r="I135" s="44" t="inlineStr">
        <is>
          <t>Good finish</t>
        </is>
      </c>
      <c r="J135" s="26" t="inlineStr">
        <is>
          <t>Yes</t>
        </is>
      </c>
      <c r="K135" s="27" t="n"/>
      <c r="L135" s="28" t="inlineStr">
        <is>
          <t>No</t>
        </is>
      </c>
      <c r="M135" s="29">
        <f>IF(E135="","",IF(H135="Yes","❌ Disc",IF(G135="No","⚠ Missing",IF(J135="Yes","✓ OK","⚠ Check"))))</f>
        <v/>
      </c>
      <c r="N135" s="43" t="n">
        <v>46196</v>
      </c>
      <c r="O135" s="26" t="inlineStr">
        <is>
          <t>Sunil CR</t>
        </is>
      </c>
      <c r="P135" s="44" t="inlineStr">
        <is>
          <t>Yes</t>
        </is>
      </c>
      <c r="Q135" s="26" t="inlineStr">
        <is>
          <t>No</t>
        </is>
      </c>
      <c r="R135" s="44" t="inlineStr">
        <is>
          <t>Good finish</t>
        </is>
      </c>
      <c r="S135" s="26" t="inlineStr">
        <is>
          <t>Yes</t>
        </is>
      </c>
      <c r="T135" s="27" t="n"/>
      <c r="U135" s="28" t="inlineStr">
        <is>
          <t>No</t>
        </is>
      </c>
      <c r="V135" s="29">
        <f>IF(N135="","",IF(Q135="Yes","❌ Disc",IF(P135="No","⚠ Missing",IF(S135="Yes","✓ OK","⚠ Check"))))</f>
        <v/>
      </c>
      <c r="W135" s="65" t="n">
        <v>46248</v>
      </c>
      <c r="X135" s="30" t="inlineStr">
        <is>
          <t>Sunil CR</t>
        </is>
      </c>
      <c r="Y135" s="30" t="inlineStr">
        <is>
          <t>Yes</t>
        </is>
      </c>
      <c r="Z135" s="30" t="n"/>
      <c r="AA135" s="30" t="inlineStr">
        <is>
          <t>Good finish</t>
        </is>
      </c>
      <c r="AB135" s="30" t="inlineStr">
        <is>
          <t>Yes</t>
        </is>
      </c>
      <c r="AC135" s="27" t="n"/>
      <c r="AD135" s="31" t="inlineStr">
        <is>
          <t>No</t>
        </is>
      </c>
      <c r="AE135" s="32">
        <f>IF(W135="","",IF(Z135="Yes","❌ Disc",IF(Y135="No","⚠ Missing",IF(AB135="Yes","✓ OK","⚠ Check"))))</f>
        <v/>
      </c>
      <c r="AF135" s="33" t="n"/>
      <c r="AG135" s="33" t="n"/>
      <c r="AH135" s="33" t="n"/>
      <c r="AI135" s="33" t="n"/>
      <c r="AJ135" s="33" t="n"/>
      <c r="AK135" s="33" t="n"/>
      <c r="AL135" s="27" t="n"/>
      <c r="AM135" s="34" t="n"/>
      <c r="AN135" s="35">
        <f>IF(AF135="","",IF(AI135="Yes","❌ Disc",IF(AH135="No","⚠ Missing",IF(AK135="Yes","✓ OK","⚠ Check"))))</f>
        <v/>
      </c>
      <c r="AO135" s="36" t="n"/>
      <c r="AP135" s="36" t="n"/>
      <c r="AQ135" s="36" t="n"/>
      <c r="AR135" s="36" t="n"/>
      <c r="AS135" s="36" t="n"/>
      <c r="AT135" s="36" t="n"/>
      <c r="AU135" s="27" t="n"/>
      <c r="AV135" s="37" t="n"/>
      <c r="AW135" s="38">
        <f>IF(AO135="","",IF(AR135="Yes","❌ Disc",IF(AQ135="No","⚠ Missing",IF(AT135="Yes","✓ OK","⚠ Check"))))</f>
        <v/>
      </c>
    </row>
    <row r="136" ht="18" customHeight="1" s="46">
      <c r="A136" s="39" t="n">
        <v>132</v>
      </c>
      <c r="B136" s="40" t="inlineStr">
        <is>
          <t>BD-HNA-2025-0126</t>
        </is>
      </c>
      <c r="C136" s="41" t="inlineStr">
        <is>
          <t>Bonito Handles - H-115 - Black Handle  - 125mm</t>
        </is>
      </c>
      <c r="D136" s="39" t="inlineStr">
        <is>
          <t>Bonito Handles</t>
        </is>
      </c>
      <c r="E136" s="43" t="n">
        <v>46125</v>
      </c>
      <c r="F136" s="26" t="inlineStr">
        <is>
          <t>Sunil CR</t>
        </is>
      </c>
      <c r="G136" s="44" t="inlineStr">
        <is>
          <t>Represented by Sample</t>
        </is>
      </c>
      <c r="H136" s="26" t="inlineStr">
        <is>
          <t>No</t>
        </is>
      </c>
      <c r="I136" s="44" t="inlineStr">
        <is>
          <t>Represented by Sample</t>
        </is>
      </c>
      <c r="J136" s="26" t="inlineStr">
        <is>
          <t>Yes</t>
        </is>
      </c>
      <c r="K136" s="27" t="n"/>
      <c r="L136" s="28" t="inlineStr">
        <is>
          <t>No</t>
        </is>
      </c>
      <c r="M136" s="29">
        <f>IF(E136="","",IF(H136="Yes","❌ Disc",IF(G136="No","⚠ Missing",IF(J136="Yes","✓ OK","⚠ Check"))))</f>
        <v/>
      </c>
      <c r="N136" s="43" t="n">
        <v>46196</v>
      </c>
      <c r="O136" s="26" t="inlineStr">
        <is>
          <t>Sunil CR</t>
        </is>
      </c>
      <c r="P136" s="44" t="inlineStr">
        <is>
          <t>Represented by Sample</t>
        </is>
      </c>
      <c r="Q136" s="26" t="inlineStr">
        <is>
          <t>No</t>
        </is>
      </c>
      <c r="R136" s="44" t="inlineStr">
        <is>
          <t>Represented by Sample</t>
        </is>
      </c>
      <c r="S136" s="26" t="inlineStr">
        <is>
          <t>Yes</t>
        </is>
      </c>
      <c r="T136" s="27" t="n"/>
      <c r="U136" s="28" t="inlineStr">
        <is>
          <t>No</t>
        </is>
      </c>
      <c r="V136" s="29">
        <f>IF(N136="","",IF(Q136="Yes","❌ Disc",IF(P136="No","⚠ Missing",IF(S136="Yes","✓ OK","⚠ Check"))))</f>
        <v/>
      </c>
      <c r="W136" s="65" t="n">
        <v>46248</v>
      </c>
      <c r="X136" s="30" t="inlineStr">
        <is>
          <t>Sunil CR</t>
        </is>
      </c>
      <c r="Y136" s="30" t="inlineStr">
        <is>
          <t>Represented by Sample</t>
        </is>
      </c>
      <c r="Z136" s="30" t="n"/>
      <c r="AA136" s="30" t="inlineStr">
        <is>
          <t>Represented by Sample</t>
        </is>
      </c>
      <c r="AB136" s="30" t="inlineStr">
        <is>
          <t>Yes</t>
        </is>
      </c>
      <c r="AC136" s="27" t="n"/>
      <c r="AD136" s="31" t="inlineStr">
        <is>
          <t>No</t>
        </is>
      </c>
      <c r="AE136" s="32">
        <f>IF(W136="","",IF(Z136="Yes","❌ Disc",IF(Y136="No","⚠ Missing",IF(AB136="Yes","✓ OK","⚠ Check"))))</f>
        <v/>
      </c>
      <c r="AF136" s="33" t="n"/>
      <c r="AG136" s="33" t="n"/>
      <c r="AH136" s="33" t="n"/>
      <c r="AI136" s="33" t="n"/>
      <c r="AJ136" s="33" t="n"/>
      <c r="AK136" s="33" t="n"/>
      <c r="AL136" s="27" t="n"/>
      <c r="AM136" s="34" t="n"/>
      <c r="AN136" s="35">
        <f>IF(AF136="","",IF(AI136="Yes","❌ Disc",IF(AH136="No","⚠ Missing",IF(AK136="Yes","✓ OK","⚠ Check"))))</f>
        <v/>
      </c>
      <c r="AO136" s="36" t="n"/>
      <c r="AP136" s="36" t="n"/>
      <c r="AQ136" s="36" t="n"/>
      <c r="AR136" s="36" t="n"/>
      <c r="AS136" s="36" t="n"/>
      <c r="AT136" s="36" t="n"/>
      <c r="AU136" s="27" t="n"/>
      <c r="AV136" s="37" t="n"/>
      <c r="AW136" s="38">
        <f>IF(AO136="","",IF(AR136="Yes","❌ Disc",IF(AQ136="No","⚠ Missing",IF(AT136="Yes","✓ OK","⚠ Check"))))</f>
        <v/>
      </c>
    </row>
    <row r="137" ht="18" customHeight="1" s="46">
      <c r="A137" s="23" t="n">
        <v>133</v>
      </c>
      <c r="B137" s="24" t="inlineStr">
        <is>
          <t>BD-HNA-2025-0127</t>
        </is>
      </c>
      <c r="C137" s="25" t="inlineStr">
        <is>
          <t>Bonito Handles - H-115 - Black Handle  - 190mm</t>
        </is>
      </c>
      <c r="D137" s="23" t="inlineStr">
        <is>
          <t>Bonito Handles</t>
        </is>
      </c>
      <c r="E137" s="43" t="n">
        <v>46125</v>
      </c>
      <c r="F137" s="26" t="inlineStr">
        <is>
          <t>Sunil CR</t>
        </is>
      </c>
      <c r="G137" s="44" t="inlineStr">
        <is>
          <t>Represented by Sample</t>
        </is>
      </c>
      <c r="H137" s="26" t="inlineStr">
        <is>
          <t>No</t>
        </is>
      </c>
      <c r="I137" s="44" t="inlineStr">
        <is>
          <t>Represented by Sample</t>
        </is>
      </c>
      <c r="J137" s="26" t="inlineStr">
        <is>
          <t>Yes</t>
        </is>
      </c>
      <c r="K137" s="27" t="n"/>
      <c r="L137" s="28" t="inlineStr">
        <is>
          <t>No</t>
        </is>
      </c>
      <c r="M137" s="29">
        <f>IF(E137="","",IF(H137="Yes","❌ Disc",IF(G137="No","⚠ Missing",IF(J137="Yes","✓ OK","⚠ Check"))))</f>
        <v/>
      </c>
      <c r="N137" s="43" t="n">
        <v>46196</v>
      </c>
      <c r="O137" s="26" t="inlineStr">
        <is>
          <t>Sunil CR</t>
        </is>
      </c>
      <c r="P137" s="44" t="inlineStr">
        <is>
          <t>Represented by Sample</t>
        </is>
      </c>
      <c r="Q137" s="26" t="inlineStr">
        <is>
          <t>No</t>
        </is>
      </c>
      <c r="R137" s="44" t="inlineStr">
        <is>
          <t>Represented by Sample</t>
        </is>
      </c>
      <c r="S137" s="26" t="inlineStr">
        <is>
          <t>Yes</t>
        </is>
      </c>
      <c r="T137" s="27" t="n"/>
      <c r="U137" s="28" t="inlineStr">
        <is>
          <t>No</t>
        </is>
      </c>
      <c r="V137" s="29">
        <f>IF(N137="","",IF(Q137="Yes","❌ Disc",IF(P137="No","⚠ Missing",IF(S137="Yes","✓ OK","⚠ Check"))))</f>
        <v/>
      </c>
      <c r="W137" s="65" t="n">
        <v>46248</v>
      </c>
      <c r="X137" s="30" t="inlineStr">
        <is>
          <t>Sunil CR</t>
        </is>
      </c>
      <c r="Y137" s="30" t="inlineStr">
        <is>
          <t>Represented by Sample</t>
        </is>
      </c>
      <c r="Z137" s="30" t="n"/>
      <c r="AA137" s="30" t="inlineStr">
        <is>
          <t>Represented by Sample</t>
        </is>
      </c>
      <c r="AB137" s="30" t="inlineStr">
        <is>
          <t>Yes</t>
        </is>
      </c>
      <c r="AC137" s="27" t="n"/>
      <c r="AD137" s="31" t="inlineStr">
        <is>
          <t>No</t>
        </is>
      </c>
      <c r="AE137" s="32">
        <f>IF(W137="","",IF(Z137="Yes","❌ Disc",IF(Y137="No","⚠ Missing",IF(AB137="Yes","✓ OK","⚠ Check"))))</f>
        <v/>
      </c>
      <c r="AF137" s="33" t="n"/>
      <c r="AG137" s="33" t="n"/>
      <c r="AH137" s="33" t="n"/>
      <c r="AI137" s="33" t="n"/>
      <c r="AJ137" s="33" t="n"/>
      <c r="AK137" s="33" t="n"/>
      <c r="AL137" s="27" t="n"/>
      <c r="AM137" s="34" t="n"/>
      <c r="AN137" s="35">
        <f>IF(AF137="","",IF(AI137="Yes","❌ Disc",IF(AH137="No","⚠ Missing",IF(AK137="Yes","✓ OK","⚠ Check"))))</f>
        <v/>
      </c>
      <c r="AO137" s="36" t="n"/>
      <c r="AP137" s="36" t="n"/>
      <c r="AQ137" s="36" t="n"/>
      <c r="AR137" s="36" t="n"/>
      <c r="AS137" s="36" t="n"/>
      <c r="AT137" s="36" t="n"/>
      <c r="AU137" s="27" t="n"/>
      <c r="AV137" s="37" t="n"/>
      <c r="AW137" s="38">
        <f>IF(AO137="","",IF(AR137="Yes","❌ Disc",IF(AQ137="No","⚠ Missing",IF(AT137="Yes","✓ OK","⚠ Check"))))</f>
        <v/>
      </c>
    </row>
    <row r="138" ht="18" customHeight="1" s="46">
      <c r="A138" s="39" t="n">
        <v>134</v>
      </c>
      <c r="B138" s="40" t="inlineStr">
        <is>
          <t>BD-HNA-2025-0128</t>
        </is>
      </c>
      <c r="C138" s="41" t="inlineStr">
        <is>
          <t>Bonito Handles - H-115 - Black Handle  - 285mm</t>
        </is>
      </c>
      <c r="D138" s="39" t="inlineStr">
        <is>
          <t>Bonito Handles</t>
        </is>
      </c>
      <c r="E138" s="43" t="n">
        <v>46125</v>
      </c>
      <c r="F138" s="26" t="inlineStr">
        <is>
          <t>Sunil CR</t>
        </is>
      </c>
      <c r="G138" s="44" t="inlineStr">
        <is>
          <t>Represented by Sample</t>
        </is>
      </c>
      <c r="H138" s="26" t="inlineStr">
        <is>
          <t>No</t>
        </is>
      </c>
      <c r="I138" s="44" t="inlineStr">
        <is>
          <t>Represented by Sample</t>
        </is>
      </c>
      <c r="J138" s="26" t="inlineStr">
        <is>
          <t>Yes</t>
        </is>
      </c>
      <c r="K138" s="27" t="n"/>
      <c r="L138" s="28" t="inlineStr">
        <is>
          <t>No</t>
        </is>
      </c>
      <c r="M138" s="29">
        <f>IF(E138="","",IF(H138="Yes","❌ Disc",IF(G138="No","⚠ Missing",IF(J138="Yes","✓ OK","⚠ Check"))))</f>
        <v/>
      </c>
      <c r="N138" s="43" t="n">
        <v>46196</v>
      </c>
      <c r="O138" s="26" t="inlineStr">
        <is>
          <t>Sunil CR</t>
        </is>
      </c>
      <c r="P138" s="44" t="inlineStr">
        <is>
          <t>Represented by Sample</t>
        </is>
      </c>
      <c r="Q138" s="26" t="inlineStr">
        <is>
          <t>No</t>
        </is>
      </c>
      <c r="R138" s="44" t="inlineStr">
        <is>
          <t>Represented by Sample</t>
        </is>
      </c>
      <c r="S138" s="26" t="inlineStr">
        <is>
          <t>Yes</t>
        </is>
      </c>
      <c r="T138" s="27" t="n"/>
      <c r="U138" s="28" t="inlineStr">
        <is>
          <t>No</t>
        </is>
      </c>
      <c r="V138" s="29">
        <f>IF(N138="","",IF(Q138="Yes","❌ Disc",IF(P138="No","⚠ Missing",IF(S138="Yes","✓ OK","⚠ Check"))))</f>
        <v/>
      </c>
      <c r="W138" s="65" t="n">
        <v>46248</v>
      </c>
      <c r="X138" s="30" t="inlineStr">
        <is>
          <t>Sunil CR</t>
        </is>
      </c>
      <c r="Y138" s="30" t="inlineStr">
        <is>
          <t>Represented by Sample</t>
        </is>
      </c>
      <c r="Z138" s="30" t="n"/>
      <c r="AA138" s="30" t="inlineStr">
        <is>
          <t>Represented by Sample</t>
        </is>
      </c>
      <c r="AB138" s="30" t="inlineStr">
        <is>
          <t>Yes</t>
        </is>
      </c>
      <c r="AC138" s="27" t="n"/>
      <c r="AD138" s="31" t="inlineStr">
        <is>
          <t>No</t>
        </is>
      </c>
      <c r="AE138" s="32">
        <f>IF(W138="","",IF(Z138="Yes","❌ Disc",IF(Y138="No","⚠ Missing",IF(AB138="Yes","✓ OK","⚠ Check"))))</f>
        <v/>
      </c>
      <c r="AF138" s="33" t="n"/>
      <c r="AG138" s="33" t="n"/>
      <c r="AH138" s="33" t="n"/>
      <c r="AI138" s="33" t="n"/>
      <c r="AJ138" s="33" t="n"/>
      <c r="AK138" s="33" t="n"/>
      <c r="AL138" s="27" t="n"/>
      <c r="AM138" s="34" t="n"/>
      <c r="AN138" s="35">
        <f>IF(AF138="","",IF(AI138="Yes","❌ Disc",IF(AH138="No","⚠ Missing",IF(AK138="Yes","✓ OK","⚠ Check"))))</f>
        <v/>
      </c>
      <c r="AO138" s="36" t="n"/>
      <c r="AP138" s="36" t="n"/>
      <c r="AQ138" s="36" t="n"/>
      <c r="AR138" s="36" t="n"/>
      <c r="AS138" s="36" t="n"/>
      <c r="AT138" s="36" t="n"/>
      <c r="AU138" s="27" t="n"/>
      <c r="AV138" s="37" t="n"/>
      <c r="AW138" s="38">
        <f>IF(AO138="","",IF(AR138="Yes","❌ Disc",IF(AQ138="No","⚠ Missing",IF(AT138="Yes","✓ OK","⚠ Check"))))</f>
        <v/>
      </c>
    </row>
    <row r="139" ht="18" customHeight="1" s="46">
      <c r="A139" s="23" t="n">
        <v>135</v>
      </c>
      <c r="B139" s="24" t="inlineStr">
        <is>
          <t>BD-HNA-2025-0132</t>
        </is>
      </c>
      <c r="C139" s="25" t="inlineStr">
        <is>
          <t>Bonito Handles - H-115 - Gold Handle  - 125mm</t>
        </is>
      </c>
      <c r="D139" s="23" t="inlineStr">
        <is>
          <t>Bonito Handles</t>
        </is>
      </c>
      <c r="E139" s="43" t="n">
        <v>46125</v>
      </c>
      <c r="F139" s="26" t="inlineStr">
        <is>
          <t>Sunil CR</t>
        </is>
      </c>
      <c r="G139" s="44" t="inlineStr">
        <is>
          <t>Represented by Sample</t>
        </is>
      </c>
      <c r="H139" s="26" t="inlineStr">
        <is>
          <t>No</t>
        </is>
      </c>
      <c r="I139" s="44" t="inlineStr">
        <is>
          <t>Represented by Sample</t>
        </is>
      </c>
      <c r="J139" s="26" t="inlineStr">
        <is>
          <t>Yes</t>
        </is>
      </c>
      <c r="K139" s="27" t="n"/>
      <c r="L139" s="28" t="inlineStr">
        <is>
          <t>No</t>
        </is>
      </c>
      <c r="M139" s="29">
        <f>IF(E139="","",IF(H139="Yes","❌ Disc",IF(G139="No","⚠ Missing",IF(J139="Yes","✓ OK","⚠ Check"))))</f>
        <v/>
      </c>
      <c r="N139" s="43" t="n">
        <v>46196</v>
      </c>
      <c r="O139" s="26" t="inlineStr">
        <is>
          <t>Sunil CR</t>
        </is>
      </c>
      <c r="P139" s="44" t="inlineStr">
        <is>
          <t>Represented by Sample</t>
        </is>
      </c>
      <c r="Q139" s="26" t="inlineStr">
        <is>
          <t>No</t>
        </is>
      </c>
      <c r="R139" s="44" t="inlineStr">
        <is>
          <t>Represented by Sample</t>
        </is>
      </c>
      <c r="S139" s="26" t="inlineStr">
        <is>
          <t>Yes</t>
        </is>
      </c>
      <c r="T139" s="27" t="n"/>
      <c r="U139" s="28" t="inlineStr">
        <is>
          <t>No</t>
        </is>
      </c>
      <c r="V139" s="29">
        <f>IF(N139="","",IF(Q139="Yes","❌ Disc",IF(P139="No","⚠ Missing",IF(S139="Yes","✓ OK","⚠ Check"))))</f>
        <v/>
      </c>
      <c r="W139" s="65" t="n">
        <v>46248</v>
      </c>
      <c r="X139" s="30" t="inlineStr">
        <is>
          <t>Sunil CR</t>
        </is>
      </c>
      <c r="Y139" s="30" t="inlineStr">
        <is>
          <t>Represented by Sample</t>
        </is>
      </c>
      <c r="Z139" s="30" t="n"/>
      <c r="AA139" s="30" t="inlineStr">
        <is>
          <t>Represented by Sample</t>
        </is>
      </c>
      <c r="AB139" s="30" t="inlineStr">
        <is>
          <t>Yes</t>
        </is>
      </c>
      <c r="AC139" s="27" t="n"/>
      <c r="AD139" s="31" t="inlineStr">
        <is>
          <t>No</t>
        </is>
      </c>
      <c r="AE139" s="32">
        <f>IF(W139="","",IF(Z139="Yes","❌ Disc",IF(Y139="No","⚠ Missing",IF(AB139="Yes","✓ OK","⚠ Check"))))</f>
        <v/>
      </c>
      <c r="AF139" s="33" t="n"/>
      <c r="AG139" s="33" t="n"/>
      <c r="AH139" s="33" t="n"/>
      <c r="AI139" s="33" t="n"/>
      <c r="AJ139" s="33" t="n"/>
      <c r="AK139" s="33" t="n"/>
      <c r="AL139" s="27" t="n"/>
      <c r="AM139" s="34" t="n"/>
      <c r="AN139" s="35">
        <f>IF(AF139="","",IF(AI139="Yes","❌ Disc",IF(AH139="No","⚠ Missing",IF(AK139="Yes","✓ OK","⚠ Check"))))</f>
        <v/>
      </c>
      <c r="AO139" s="36" t="n"/>
      <c r="AP139" s="36" t="n"/>
      <c r="AQ139" s="36" t="n"/>
      <c r="AR139" s="36" t="n"/>
      <c r="AS139" s="36" t="n"/>
      <c r="AT139" s="36" t="n"/>
      <c r="AU139" s="27" t="n"/>
      <c r="AV139" s="37" t="n"/>
      <c r="AW139" s="38">
        <f>IF(AO139="","",IF(AR139="Yes","❌ Disc",IF(AQ139="No","⚠ Missing",IF(AT139="Yes","✓ OK","⚠ Check"))))</f>
        <v/>
      </c>
    </row>
    <row r="140" ht="18" customHeight="1" s="46">
      <c r="A140" s="39" t="n">
        <v>136</v>
      </c>
      <c r="B140" s="40" t="inlineStr">
        <is>
          <t>BD-HNA-2025-0133</t>
        </is>
      </c>
      <c r="C140" s="41" t="inlineStr">
        <is>
          <t>Bonito Handles - H-115 - Gold Handle  - 190mm</t>
        </is>
      </c>
      <c r="D140" s="39" t="inlineStr">
        <is>
          <t>Bonito Handles</t>
        </is>
      </c>
      <c r="E140" s="43" t="n">
        <v>46125</v>
      </c>
      <c r="F140" s="26" t="inlineStr">
        <is>
          <t>Sunil CR</t>
        </is>
      </c>
      <c r="G140" s="44" t="inlineStr">
        <is>
          <t>Represented by Sample</t>
        </is>
      </c>
      <c r="H140" s="26" t="inlineStr">
        <is>
          <t>No</t>
        </is>
      </c>
      <c r="I140" s="44" t="inlineStr">
        <is>
          <t>Represented by Sample</t>
        </is>
      </c>
      <c r="J140" s="26" t="inlineStr">
        <is>
          <t>Yes</t>
        </is>
      </c>
      <c r="K140" s="27" t="n"/>
      <c r="L140" s="28" t="inlineStr">
        <is>
          <t>No</t>
        </is>
      </c>
      <c r="M140" s="29">
        <f>IF(E140="","",IF(H140="Yes","❌ Disc",IF(G140="No","⚠ Missing",IF(J140="Yes","✓ OK","⚠ Check"))))</f>
        <v/>
      </c>
      <c r="N140" s="43" t="n">
        <v>46196</v>
      </c>
      <c r="O140" s="26" t="inlineStr">
        <is>
          <t>Sunil CR</t>
        </is>
      </c>
      <c r="P140" s="44" t="inlineStr">
        <is>
          <t>Represented by Sample</t>
        </is>
      </c>
      <c r="Q140" s="26" t="inlineStr">
        <is>
          <t>No</t>
        </is>
      </c>
      <c r="R140" s="44" t="inlineStr">
        <is>
          <t>Represented by Sample</t>
        </is>
      </c>
      <c r="S140" s="26" t="inlineStr">
        <is>
          <t>Yes</t>
        </is>
      </c>
      <c r="T140" s="27" t="n"/>
      <c r="U140" s="28" t="inlineStr">
        <is>
          <t>No</t>
        </is>
      </c>
      <c r="V140" s="29">
        <f>IF(N140="","",IF(Q140="Yes","❌ Disc",IF(P140="No","⚠ Missing",IF(S140="Yes","✓ OK","⚠ Check"))))</f>
        <v/>
      </c>
      <c r="W140" s="65" t="n">
        <v>46248</v>
      </c>
      <c r="X140" s="30" t="inlineStr">
        <is>
          <t>Sunil CR</t>
        </is>
      </c>
      <c r="Y140" s="30" t="inlineStr">
        <is>
          <t>Represented by Sample</t>
        </is>
      </c>
      <c r="Z140" s="30" t="n"/>
      <c r="AA140" s="30" t="inlineStr">
        <is>
          <t>Represented by Sample</t>
        </is>
      </c>
      <c r="AB140" s="30" t="inlineStr">
        <is>
          <t>Yes</t>
        </is>
      </c>
      <c r="AC140" s="27" t="n"/>
      <c r="AD140" s="31" t="inlineStr">
        <is>
          <t>No</t>
        </is>
      </c>
      <c r="AE140" s="32">
        <f>IF(W140="","",IF(Z140="Yes","❌ Disc",IF(Y140="No","⚠ Missing",IF(AB140="Yes","✓ OK","⚠ Check"))))</f>
        <v/>
      </c>
      <c r="AF140" s="33" t="n"/>
      <c r="AG140" s="33" t="n"/>
      <c r="AH140" s="33" t="n"/>
      <c r="AI140" s="33" t="n"/>
      <c r="AJ140" s="33" t="n"/>
      <c r="AK140" s="33" t="n"/>
      <c r="AL140" s="27" t="n"/>
      <c r="AM140" s="34" t="n"/>
      <c r="AN140" s="35">
        <f>IF(AF140="","",IF(AI140="Yes","❌ Disc",IF(AH140="No","⚠ Missing",IF(AK140="Yes","✓ OK","⚠ Check"))))</f>
        <v/>
      </c>
      <c r="AO140" s="36" t="n"/>
      <c r="AP140" s="36" t="n"/>
      <c r="AQ140" s="36" t="n"/>
      <c r="AR140" s="36" t="n"/>
      <c r="AS140" s="36" t="n"/>
      <c r="AT140" s="36" t="n"/>
      <c r="AU140" s="27" t="n"/>
      <c r="AV140" s="37" t="n"/>
      <c r="AW140" s="38">
        <f>IF(AO140="","",IF(AR140="Yes","❌ Disc",IF(AQ140="No","⚠ Missing",IF(AT140="Yes","✓ OK","⚠ Check"))))</f>
        <v/>
      </c>
    </row>
    <row r="141" ht="18" customHeight="1" s="46">
      <c r="A141" s="23" t="n">
        <v>137</v>
      </c>
      <c r="B141" s="24" t="inlineStr">
        <is>
          <t>BD-HNA-2025-0134</t>
        </is>
      </c>
      <c r="C141" s="25" t="inlineStr">
        <is>
          <t>Bonito Handles - H-115 - Gold Handle  - 285mm</t>
        </is>
      </c>
      <c r="D141" s="23" t="inlineStr">
        <is>
          <t>Bonito Handles</t>
        </is>
      </c>
      <c r="E141" s="43" t="n">
        <v>46125</v>
      </c>
      <c r="F141" s="26" t="inlineStr">
        <is>
          <t>Sunil CR</t>
        </is>
      </c>
      <c r="G141" s="44" t="inlineStr">
        <is>
          <t>Represented by Sample</t>
        </is>
      </c>
      <c r="H141" s="26" t="inlineStr">
        <is>
          <t>No</t>
        </is>
      </c>
      <c r="I141" s="44" t="inlineStr">
        <is>
          <t>Represented by Sample</t>
        </is>
      </c>
      <c r="J141" s="26" t="inlineStr">
        <is>
          <t>Yes</t>
        </is>
      </c>
      <c r="K141" s="27" t="n"/>
      <c r="L141" s="28" t="inlineStr">
        <is>
          <t>No</t>
        </is>
      </c>
      <c r="M141" s="29">
        <f>IF(E141="","",IF(H141="Yes","❌ Disc",IF(G141="No","⚠ Missing",IF(J141="Yes","✓ OK","⚠ Check"))))</f>
        <v/>
      </c>
      <c r="N141" s="43" t="n">
        <v>46196</v>
      </c>
      <c r="O141" s="26" t="inlineStr">
        <is>
          <t>Sunil CR</t>
        </is>
      </c>
      <c r="P141" s="44" t="inlineStr">
        <is>
          <t>Represented by Sample</t>
        </is>
      </c>
      <c r="Q141" s="26" t="inlineStr">
        <is>
          <t>No</t>
        </is>
      </c>
      <c r="R141" s="44" t="inlineStr">
        <is>
          <t>Represented by Sample</t>
        </is>
      </c>
      <c r="S141" s="26" t="inlineStr">
        <is>
          <t>Yes</t>
        </is>
      </c>
      <c r="T141" s="27" t="n"/>
      <c r="U141" s="28" t="inlineStr">
        <is>
          <t>No</t>
        </is>
      </c>
      <c r="V141" s="29">
        <f>IF(N141="","",IF(Q141="Yes","❌ Disc",IF(P141="No","⚠ Missing",IF(S141="Yes","✓ OK","⚠ Check"))))</f>
        <v/>
      </c>
      <c r="W141" s="65" t="n">
        <v>46248</v>
      </c>
      <c r="X141" s="30" t="inlineStr">
        <is>
          <t>Sunil CR</t>
        </is>
      </c>
      <c r="Y141" s="30" t="inlineStr">
        <is>
          <t>Represented by Sample</t>
        </is>
      </c>
      <c r="Z141" s="30" t="n"/>
      <c r="AA141" s="30" t="inlineStr">
        <is>
          <t>Represented by Sample</t>
        </is>
      </c>
      <c r="AB141" s="30" t="inlineStr">
        <is>
          <t>Yes</t>
        </is>
      </c>
      <c r="AC141" s="27" t="n"/>
      <c r="AD141" s="31" t="inlineStr">
        <is>
          <t>No</t>
        </is>
      </c>
      <c r="AE141" s="32">
        <f>IF(W141="","",IF(Z141="Yes","❌ Disc",IF(Y141="No","⚠ Missing",IF(AB141="Yes","✓ OK","⚠ Check"))))</f>
        <v/>
      </c>
      <c r="AF141" s="33" t="n"/>
      <c r="AG141" s="33" t="n"/>
      <c r="AH141" s="33" t="n"/>
      <c r="AI141" s="33" t="n"/>
      <c r="AJ141" s="33" t="n"/>
      <c r="AK141" s="33" t="n"/>
      <c r="AL141" s="27" t="n"/>
      <c r="AM141" s="34" t="n"/>
      <c r="AN141" s="35">
        <f>IF(AF141="","",IF(AI141="Yes","❌ Disc",IF(AH141="No","⚠ Missing",IF(AK141="Yes","✓ OK","⚠ Check"))))</f>
        <v/>
      </c>
      <c r="AO141" s="36" t="n"/>
      <c r="AP141" s="36" t="n"/>
      <c r="AQ141" s="36" t="n"/>
      <c r="AR141" s="36" t="n"/>
      <c r="AS141" s="36" t="n"/>
      <c r="AT141" s="36" t="n"/>
      <c r="AU141" s="27" t="n"/>
      <c r="AV141" s="37" t="n"/>
      <c r="AW141" s="38">
        <f>IF(AO141="","",IF(AR141="Yes","❌ Disc",IF(AQ141="No","⚠ Missing",IF(AT141="Yes","✓ OK","⚠ Check"))))</f>
        <v/>
      </c>
    </row>
    <row r="142" ht="18" customHeight="1" s="46">
      <c r="A142" s="39" t="n">
        <v>138</v>
      </c>
      <c r="B142" s="40" t="inlineStr">
        <is>
          <t>BD-HNA-2025-0129</t>
        </is>
      </c>
      <c r="C142" s="41" t="inlineStr">
        <is>
          <t>Bonito Handles - H-115 - Rose Gold Handle  - 125mm</t>
        </is>
      </c>
      <c r="D142" s="39" t="inlineStr">
        <is>
          <t>Bonito Handles</t>
        </is>
      </c>
      <c r="E142" s="43" t="n">
        <v>46125</v>
      </c>
      <c r="F142" s="26" t="inlineStr">
        <is>
          <t>Sunil CR</t>
        </is>
      </c>
      <c r="G142" s="44" t="inlineStr">
        <is>
          <t>Represented by Sample</t>
        </is>
      </c>
      <c r="H142" s="26" t="inlineStr">
        <is>
          <t>No</t>
        </is>
      </c>
      <c r="I142" s="44" t="inlineStr">
        <is>
          <t>Represented by Sample</t>
        </is>
      </c>
      <c r="J142" s="26" t="inlineStr">
        <is>
          <t>Yes</t>
        </is>
      </c>
      <c r="K142" s="27" t="n"/>
      <c r="L142" s="28" t="inlineStr">
        <is>
          <t>No</t>
        </is>
      </c>
      <c r="M142" s="29">
        <f>IF(E142="","",IF(H142="Yes","❌ Disc",IF(G142="No","⚠ Missing",IF(J142="Yes","✓ OK","⚠ Check"))))</f>
        <v/>
      </c>
      <c r="N142" s="43" t="n">
        <v>46196</v>
      </c>
      <c r="O142" s="26" t="inlineStr">
        <is>
          <t>Sunil CR</t>
        </is>
      </c>
      <c r="P142" s="44" t="inlineStr">
        <is>
          <t>Represented by Sample</t>
        </is>
      </c>
      <c r="Q142" s="26" t="inlineStr">
        <is>
          <t>No</t>
        </is>
      </c>
      <c r="R142" s="44" t="inlineStr">
        <is>
          <t>Represented by Sample</t>
        </is>
      </c>
      <c r="S142" s="26" t="inlineStr">
        <is>
          <t>Yes</t>
        </is>
      </c>
      <c r="T142" s="27" t="n"/>
      <c r="U142" s="28" t="inlineStr">
        <is>
          <t>No</t>
        </is>
      </c>
      <c r="V142" s="29">
        <f>IF(N142="","",IF(Q142="Yes","❌ Disc",IF(P142="No","⚠ Missing",IF(S142="Yes","✓ OK","⚠ Check"))))</f>
        <v/>
      </c>
      <c r="W142" s="65" t="n">
        <v>46248</v>
      </c>
      <c r="X142" s="30" t="inlineStr">
        <is>
          <t>Sunil CR</t>
        </is>
      </c>
      <c r="Y142" s="30" t="inlineStr">
        <is>
          <t>Represented by Sample</t>
        </is>
      </c>
      <c r="Z142" s="30" t="n"/>
      <c r="AA142" s="30" t="inlineStr">
        <is>
          <t>Represented by Sample</t>
        </is>
      </c>
      <c r="AB142" s="30" t="inlineStr">
        <is>
          <t>Yes</t>
        </is>
      </c>
      <c r="AC142" s="27" t="n"/>
      <c r="AD142" s="31" t="inlineStr">
        <is>
          <t>No</t>
        </is>
      </c>
      <c r="AE142" s="32">
        <f>IF(W142="","",IF(Z142="Yes","❌ Disc",IF(Y142="No","⚠ Missing",IF(AB142="Yes","✓ OK","⚠ Check"))))</f>
        <v/>
      </c>
      <c r="AF142" s="33" t="n"/>
      <c r="AG142" s="33" t="n"/>
      <c r="AH142" s="33" t="n"/>
      <c r="AI142" s="33" t="n"/>
      <c r="AJ142" s="33" t="n"/>
      <c r="AK142" s="33" t="n"/>
      <c r="AL142" s="27" t="n"/>
      <c r="AM142" s="34" t="n"/>
      <c r="AN142" s="35">
        <f>IF(AF142="","",IF(AI142="Yes","❌ Disc",IF(AH142="No","⚠ Missing",IF(AK142="Yes","✓ OK","⚠ Check"))))</f>
        <v/>
      </c>
      <c r="AO142" s="36" t="n"/>
      <c r="AP142" s="36" t="n"/>
      <c r="AQ142" s="36" t="n"/>
      <c r="AR142" s="36" t="n"/>
      <c r="AS142" s="36" t="n"/>
      <c r="AT142" s="36" t="n"/>
      <c r="AU142" s="27" t="n"/>
      <c r="AV142" s="37" t="n"/>
      <c r="AW142" s="38">
        <f>IF(AO142="","",IF(AR142="Yes","❌ Disc",IF(AQ142="No","⚠ Missing",IF(AT142="Yes","✓ OK","⚠ Check"))))</f>
        <v/>
      </c>
    </row>
    <row r="143" ht="18" customHeight="1" s="46">
      <c r="A143" s="23" t="n">
        <v>139</v>
      </c>
      <c r="B143" s="24" t="inlineStr">
        <is>
          <t>BD-HNA-2025-0130</t>
        </is>
      </c>
      <c r="C143" s="25" t="inlineStr">
        <is>
          <t>Bonito Handles - H-115 - Rose Gold Handle  - 190mm</t>
        </is>
      </c>
      <c r="D143" s="23" t="inlineStr">
        <is>
          <t>Bonito Handles</t>
        </is>
      </c>
      <c r="E143" s="43" t="n">
        <v>46125</v>
      </c>
      <c r="F143" s="26" t="inlineStr">
        <is>
          <t>Sunil CR</t>
        </is>
      </c>
      <c r="G143" s="44" t="inlineStr">
        <is>
          <t>Represented by Sample</t>
        </is>
      </c>
      <c r="H143" s="26" t="inlineStr">
        <is>
          <t>No</t>
        </is>
      </c>
      <c r="I143" s="44" t="inlineStr">
        <is>
          <t>Represented by Sample</t>
        </is>
      </c>
      <c r="J143" s="26" t="inlineStr">
        <is>
          <t>Yes</t>
        </is>
      </c>
      <c r="K143" s="27" t="n"/>
      <c r="L143" s="28" t="inlineStr">
        <is>
          <t>No</t>
        </is>
      </c>
      <c r="M143" s="29">
        <f>IF(E143="","",IF(H143="Yes","❌ Disc",IF(G143="No","⚠ Missing",IF(J143="Yes","✓ OK","⚠ Check"))))</f>
        <v/>
      </c>
      <c r="N143" s="43" t="n">
        <v>46196</v>
      </c>
      <c r="O143" s="26" t="inlineStr">
        <is>
          <t>Sunil CR</t>
        </is>
      </c>
      <c r="P143" s="44" t="inlineStr">
        <is>
          <t>Represented by Sample</t>
        </is>
      </c>
      <c r="Q143" s="26" t="inlineStr">
        <is>
          <t>No</t>
        </is>
      </c>
      <c r="R143" s="44" t="inlineStr">
        <is>
          <t>Represented by Sample</t>
        </is>
      </c>
      <c r="S143" s="26" t="inlineStr">
        <is>
          <t>Yes</t>
        </is>
      </c>
      <c r="T143" s="27" t="n"/>
      <c r="U143" s="28" t="inlineStr">
        <is>
          <t>No</t>
        </is>
      </c>
      <c r="V143" s="29">
        <f>IF(N143="","",IF(Q143="Yes","❌ Disc",IF(P143="No","⚠ Missing",IF(S143="Yes","✓ OK","⚠ Check"))))</f>
        <v/>
      </c>
      <c r="W143" s="65" t="n">
        <v>46248</v>
      </c>
      <c r="X143" s="30" t="inlineStr">
        <is>
          <t>Sunil CR</t>
        </is>
      </c>
      <c r="Y143" s="30" t="inlineStr">
        <is>
          <t>Represented by Sample</t>
        </is>
      </c>
      <c r="Z143" s="30" t="n"/>
      <c r="AA143" s="30" t="inlineStr">
        <is>
          <t>Represented by Sample</t>
        </is>
      </c>
      <c r="AB143" s="30" t="inlineStr">
        <is>
          <t>Yes</t>
        </is>
      </c>
      <c r="AC143" s="27" t="n"/>
      <c r="AD143" s="31" t="inlineStr">
        <is>
          <t>No</t>
        </is>
      </c>
      <c r="AE143" s="32">
        <f>IF(W143="","",IF(Z143="Yes","❌ Disc",IF(Y143="No","⚠ Missing",IF(AB143="Yes","✓ OK","⚠ Check"))))</f>
        <v/>
      </c>
      <c r="AF143" s="33" t="n"/>
      <c r="AG143" s="33" t="n"/>
      <c r="AH143" s="33" t="n"/>
      <c r="AI143" s="33" t="n"/>
      <c r="AJ143" s="33" t="n"/>
      <c r="AK143" s="33" t="n"/>
      <c r="AL143" s="27" t="n"/>
      <c r="AM143" s="34" t="n"/>
      <c r="AN143" s="35">
        <f>IF(AF143="","",IF(AI143="Yes","❌ Disc",IF(AH143="No","⚠ Missing",IF(AK143="Yes","✓ OK","⚠ Check"))))</f>
        <v/>
      </c>
      <c r="AO143" s="36" t="n"/>
      <c r="AP143" s="36" t="n"/>
      <c r="AQ143" s="36" t="n"/>
      <c r="AR143" s="36" t="n"/>
      <c r="AS143" s="36" t="n"/>
      <c r="AT143" s="36" t="n"/>
      <c r="AU143" s="27" t="n"/>
      <c r="AV143" s="37" t="n"/>
      <c r="AW143" s="38">
        <f>IF(AO143="","",IF(AR143="Yes","❌ Disc",IF(AQ143="No","⚠ Missing",IF(AT143="Yes","✓ OK","⚠ Check"))))</f>
        <v/>
      </c>
    </row>
    <row r="144" ht="18" customHeight="1" s="46">
      <c r="A144" s="39" t="n">
        <v>140</v>
      </c>
      <c r="B144" s="40" t="inlineStr">
        <is>
          <t>BD-HNA-2025-0131</t>
        </is>
      </c>
      <c r="C144" s="41" t="inlineStr">
        <is>
          <t>Bonito Handles - H-115 - Rose Gold Handle  - 285mm</t>
        </is>
      </c>
      <c r="D144" s="39" t="inlineStr">
        <is>
          <t>Bonito Handles</t>
        </is>
      </c>
      <c r="E144" s="43" t="n">
        <v>46125</v>
      </c>
      <c r="F144" s="26" t="inlineStr">
        <is>
          <t>Sunil CR</t>
        </is>
      </c>
      <c r="G144" s="44" t="inlineStr">
        <is>
          <t>Represented by Sample</t>
        </is>
      </c>
      <c r="H144" s="26" t="inlineStr">
        <is>
          <t>No</t>
        </is>
      </c>
      <c r="I144" s="44" t="inlineStr">
        <is>
          <t>Represented by Sample</t>
        </is>
      </c>
      <c r="J144" s="26" t="inlineStr">
        <is>
          <t>Yes</t>
        </is>
      </c>
      <c r="K144" s="27" t="n"/>
      <c r="L144" s="28" t="inlineStr">
        <is>
          <t>No</t>
        </is>
      </c>
      <c r="M144" s="29">
        <f>IF(E144="","",IF(H144="Yes","❌ Disc",IF(G144="No","⚠ Missing",IF(J144="Yes","✓ OK","⚠ Check"))))</f>
        <v/>
      </c>
      <c r="N144" s="43" t="n">
        <v>46196</v>
      </c>
      <c r="O144" s="26" t="inlineStr">
        <is>
          <t>Sunil CR</t>
        </is>
      </c>
      <c r="P144" s="44" t="inlineStr">
        <is>
          <t>Represented by Sample</t>
        </is>
      </c>
      <c r="Q144" s="26" t="inlineStr">
        <is>
          <t>No</t>
        </is>
      </c>
      <c r="R144" s="44" t="inlineStr">
        <is>
          <t>Represented by Sample</t>
        </is>
      </c>
      <c r="S144" s="26" t="inlineStr">
        <is>
          <t>Yes</t>
        </is>
      </c>
      <c r="T144" s="27" t="n"/>
      <c r="U144" s="28" t="inlineStr">
        <is>
          <t>No</t>
        </is>
      </c>
      <c r="V144" s="29">
        <f>IF(N144="","",IF(Q144="Yes","❌ Disc",IF(P144="No","⚠ Missing",IF(S144="Yes","✓ OK","⚠ Check"))))</f>
        <v/>
      </c>
      <c r="W144" s="65" t="n">
        <v>46248</v>
      </c>
      <c r="X144" s="30" t="inlineStr">
        <is>
          <t>Sunil CR</t>
        </is>
      </c>
      <c r="Y144" s="30" t="inlineStr">
        <is>
          <t>Represented by Sample</t>
        </is>
      </c>
      <c r="Z144" s="30" t="n"/>
      <c r="AA144" s="30" t="inlineStr">
        <is>
          <t>Represented by Sample</t>
        </is>
      </c>
      <c r="AB144" s="30" t="inlineStr">
        <is>
          <t>Yes</t>
        </is>
      </c>
      <c r="AC144" s="27" t="n"/>
      <c r="AD144" s="31" t="inlineStr">
        <is>
          <t>No</t>
        </is>
      </c>
      <c r="AE144" s="32">
        <f>IF(W144="","",IF(Z144="Yes","❌ Disc",IF(Y144="No","⚠ Missing",IF(AB144="Yes","✓ OK","⚠ Check"))))</f>
        <v/>
      </c>
      <c r="AF144" s="33" t="n"/>
      <c r="AG144" s="33" t="n"/>
      <c r="AH144" s="33" t="n"/>
      <c r="AI144" s="33" t="n"/>
      <c r="AJ144" s="33" t="n"/>
      <c r="AK144" s="33" t="n"/>
      <c r="AL144" s="27" t="n"/>
      <c r="AM144" s="34" t="n"/>
      <c r="AN144" s="35">
        <f>IF(AF144="","",IF(AI144="Yes","❌ Disc",IF(AH144="No","⚠ Missing",IF(AK144="Yes","✓ OK","⚠ Check"))))</f>
        <v/>
      </c>
      <c r="AO144" s="36" t="n"/>
      <c r="AP144" s="36" t="n"/>
      <c r="AQ144" s="36" t="n"/>
      <c r="AR144" s="36" t="n"/>
      <c r="AS144" s="36" t="n"/>
      <c r="AT144" s="36" t="n"/>
      <c r="AU144" s="27" t="n"/>
      <c r="AV144" s="37" t="n"/>
      <c r="AW144" s="38">
        <f>IF(AO144="","",IF(AR144="Yes","❌ Disc",IF(AQ144="No","⚠ Missing",IF(AT144="Yes","✓ OK","⚠ Check"))))</f>
        <v/>
      </c>
    </row>
    <row r="145" ht="18" customHeight="1" s="46">
      <c r="A145" s="23" t="n">
        <v>141</v>
      </c>
      <c r="B145" s="24" t="inlineStr">
        <is>
          <t>BD-HNA-2025-0123</t>
        </is>
      </c>
      <c r="C145" s="25" t="inlineStr">
        <is>
          <t>Bonito Handles - H-115 - Satin Handle  - 125mm</t>
        </is>
      </c>
      <c r="D145" s="23" t="inlineStr">
        <is>
          <t>Bonito Handles</t>
        </is>
      </c>
      <c r="E145" s="43" t="n">
        <v>46125</v>
      </c>
      <c r="F145" s="26" t="inlineStr">
        <is>
          <t>Sunil CR</t>
        </is>
      </c>
      <c r="G145" s="44" t="inlineStr">
        <is>
          <t>Represented by Sample</t>
        </is>
      </c>
      <c r="H145" s="26" t="inlineStr">
        <is>
          <t>No</t>
        </is>
      </c>
      <c r="I145" s="44" t="inlineStr">
        <is>
          <t>Represented by Sample</t>
        </is>
      </c>
      <c r="J145" s="26" t="inlineStr">
        <is>
          <t>Yes</t>
        </is>
      </c>
      <c r="K145" s="27" t="n"/>
      <c r="L145" s="28" t="inlineStr">
        <is>
          <t>No</t>
        </is>
      </c>
      <c r="M145" s="29">
        <f>IF(E145="","",IF(H145="Yes","❌ Disc",IF(G145="No","⚠ Missing",IF(J145="Yes","✓ OK","⚠ Check"))))</f>
        <v/>
      </c>
      <c r="N145" s="43" t="n">
        <v>46196</v>
      </c>
      <c r="O145" s="26" t="inlineStr">
        <is>
          <t>Sunil CR</t>
        </is>
      </c>
      <c r="P145" s="44" t="inlineStr">
        <is>
          <t>Represented by Sample</t>
        </is>
      </c>
      <c r="Q145" s="26" t="inlineStr">
        <is>
          <t>No</t>
        </is>
      </c>
      <c r="R145" s="44" t="inlineStr">
        <is>
          <t>Represented by Sample</t>
        </is>
      </c>
      <c r="S145" s="26" t="inlineStr">
        <is>
          <t>Yes</t>
        </is>
      </c>
      <c r="T145" s="27" t="n"/>
      <c r="U145" s="28" t="inlineStr">
        <is>
          <t>No</t>
        </is>
      </c>
      <c r="V145" s="29">
        <f>IF(N145="","",IF(Q145="Yes","❌ Disc",IF(P145="No","⚠ Missing",IF(S145="Yes","✓ OK","⚠ Check"))))</f>
        <v/>
      </c>
      <c r="W145" s="65" t="n">
        <v>46248</v>
      </c>
      <c r="X145" s="30" t="inlineStr">
        <is>
          <t>Sunil CR</t>
        </is>
      </c>
      <c r="Y145" s="30" t="inlineStr">
        <is>
          <t>Represented by Sample</t>
        </is>
      </c>
      <c r="Z145" s="30" t="n"/>
      <c r="AA145" s="30" t="inlineStr">
        <is>
          <t>Represented by Sample</t>
        </is>
      </c>
      <c r="AB145" s="30" t="inlineStr">
        <is>
          <t>Yes</t>
        </is>
      </c>
      <c r="AC145" s="27" t="n"/>
      <c r="AD145" s="31" t="inlineStr">
        <is>
          <t>No</t>
        </is>
      </c>
      <c r="AE145" s="32">
        <f>IF(W145="","",IF(Z145="Yes","❌ Disc",IF(Y145="No","⚠ Missing",IF(AB145="Yes","✓ OK","⚠ Check"))))</f>
        <v/>
      </c>
      <c r="AF145" s="33" t="n"/>
      <c r="AG145" s="33" t="n"/>
      <c r="AH145" s="33" t="n"/>
      <c r="AI145" s="33" t="n"/>
      <c r="AJ145" s="33" t="n"/>
      <c r="AK145" s="33" t="n"/>
      <c r="AL145" s="27" t="n"/>
      <c r="AM145" s="34" t="n"/>
      <c r="AN145" s="35">
        <f>IF(AF145="","",IF(AI145="Yes","❌ Disc",IF(AH145="No","⚠ Missing",IF(AK145="Yes","✓ OK","⚠ Check"))))</f>
        <v/>
      </c>
      <c r="AO145" s="36" t="n"/>
      <c r="AP145" s="36" t="n"/>
      <c r="AQ145" s="36" t="n"/>
      <c r="AR145" s="36" t="n"/>
      <c r="AS145" s="36" t="n"/>
      <c r="AT145" s="36" t="n"/>
      <c r="AU145" s="27" t="n"/>
      <c r="AV145" s="37" t="n"/>
      <c r="AW145" s="38">
        <f>IF(AO145="","",IF(AR145="Yes","❌ Disc",IF(AQ145="No","⚠ Missing",IF(AT145="Yes","✓ OK","⚠ Check"))))</f>
        <v/>
      </c>
    </row>
    <row r="146" ht="18" customHeight="1" s="46">
      <c r="A146" s="39" t="n">
        <v>142</v>
      </c>
      <c r="B146" s="40" t="inlineStr">
        <is>
          <t>BD-HNA-2025-0124</t>
        </is>
      </c>
      <c r="C146" s="41" t="inlineStr">
        <is>
          <t>Bonito Handles - H-115 - Satin Handle  - 190mm</t>
        </is>
      </c>
      <c r="D146" s="39" t="inlineStr">
        <is>
          <t>Bonito Handles</t>
        </is>
      </c>
      <c r="E146" s="43" t="n">
        <v>46125</v>
      </c>
      <c r="F146" s="26" t="inlineStr">
        <is>
          <t>Sunil CR</t>
        </is>
      </c>
      <c r="G146" s="44" t="inlineStr">
        <is>
          <t>Yes</t>
        </is>
      </c>
      <c r="H146" s="26" t="inlineStr">
        <is>
          <t>No</t>
        </is>
      </c>
      <c r="I146" s="44" t="inlineStr">
        <is>
          <t>Good finish</t>
        </is>
      </c>
      <c r="J146" s="26" t="inlineStr">
        <is>
          <t>Yes</t>
        </is>
      </c>
      <c r="K146" s="27" t="n"/>
      <c r="L146" s="28" t="inlineStr">
        <is>
          <t>No</t>
        </is>
      </c>
      <c r="M146" s="29">
        <f>IF(E146="","",IF(H146="Yes","❌ Disc",IF(G146="No","⚠ Missing",IF(J146="Yes","✓ OK","⚠ Check"))))</f>
        <v/>
      </c>
      <c r="N146" s="43" t="n">
        <v>46196</v>
      </c>
      <c r="O146" s="26" t="inlineStr">
        <is>
          <t>Sunil CR</t>
        </is>
      </c>
      <c r="P146" s="44" t="inlineStr">
        <is>
          <t>Yes</t>
        </is>
      </c>
      <c r="Q146" s="26" t="inlineStr">
        <is>
          <t>No</t>
        </is>
      </c>
      <c r="R146" s="44" t="inlineStr">
        <is>
          <t>Good finish</t>
        </is>
      </c>
      <c r="S146" s="26" t="inlineStr">
        <is>
          <t>Yes</t>
        </is>
      </c>
      <c r="T146" s="27" t="n"/>
      <c r="U146" s="28" t="inlineStr">
        <is>
          <t>No</t>
        </is>
      </c>
      <c r="V146" s="29">
        <f>IF(N146="","",IF(Q146="Yes","❌ Disc",IF(P146="No","⚠ Missing",IF(S146="Yes","✓ OK","⚠ Check"))))</f>
        <v/>
      </c>
      <c r="W146" s="65" t="n">
        <v>46248</v>
      </c>
      <c r="X146" s="30" t="inlineStr">
        <is>
          <t>Sunil CR</t>
        </is>
      </c>
      <c r="Y146" s="30" t="inlineStr">
        <is>
          <t>Yes</t>
        </is>
      </c>
      <c r="Z146" s="30" t="n"/>
      <c r="AA146" s="30" t="inlineStr">
        <is>
          <t>Good finish</t>
        </is>
      </c>
      <c r="AB146" s="30" t="inlineStr">
        <is>
          <t>Yes</t>
        </is>
      </c>
      <c r="AC146" s="27" t="n"/>
      <c r="AD146" s="31" t="inlineStr">
        <is>
          <t>No</t>
        </is>
      </c>
      <c r="AE146" s="32">
        <f>IF(W146="","",IF(Z146="Yes","❌ Disc",IF(Y146="No","⚠ Missing",IF(AB146="Yes","✓ OK","⚠ Check"))))</f>
        <v/>
      </c>
      <c r="AF146" s="33" t="n"/>
      <c r="AG146" s="33" t="n"/>
      <c r="AH146" s="33" t="n"/>
      <c r="AI146" s="33" t="n"/>
      <c r="AJ146" s="33" t="n"/>
      <c r="AK146" s="33" t="n"/>
      <c r="AL146" s="27" t="n"/>
      <c r="AM146" s="34" t="n"/>
      <c r="AN146" s="35">
        <f>IF(AF146="","",IF(AI146="Yes","❌ Disc",IF(AH146="No","⚠ Missing",IF(AK146="Yes","✓ OK","⚠ Check"))))</f>
        <v/>
      </c>
      <c r="AO146" s="36" t="n"/>
      <c r="AP146" s="36" t="n"/>
      <c r="AQ146" s="36" t="n"/>
      <c r="AR146" s="36" t="n"/>
      <c r="AS146" s="36" t="n"/>
      <c r="AT146" s="36" t="n"/>
      <c r="AU146" s="27" t="n"/>
      <c r="AV146" s="37" t="n"/>
      <c r="AW146" s="38">
        <f>IF(AO146="","",IF(AR146="Yes","❌ Disc",IF(AQ146="No","⚠ Missing",IF(AT146="Yes","✓ OK","⚠ Check"))))</f>
        <v/>
      </c>
    </row>
    <row r="147" ht="18" customHeight="1" s="46">
      <c r="A147" s="23" t="n">
        <v>143</v>
      </c>
      <c r="B147" s="24" t="inlineStr">
        <is>
          <t>BD-HNA-2025-0125</t>
        </is>
      </c>
      <c r="C147" s="25" t="inlineStr">
        <is>
          <t>Bonito Handles - H-115 - Satin Handle  - 285mm</t>
        </is>
      </c>
      <c r="D147" s="23" t="inlineStr">
        <is>
          <t>Bonito Handles</t>
        </is>
      </c>
      <c r="E147" s="43" t="n">
        <v>46125</v>
      </c>
      <c r="F147" s="26" t="inlineStr">
        <is>
          <t>Sunil CR</t>
        </is>
      </c>
      <c r="G147" s="44" t="inlineStr">
        <is>
          <t>Represented by Sample</t>
        </is>
      </c>
      <c r="H147" s="26" t="inlineStr">
        <is>
          <t>No</t>
        </is>
      </c>
      <c r="I147" s="44" t="inlineStr">
        <is>
          <t>Represented by Sample</t>
        </is>
      </c>
      <c r="J147" s="26" t="inlineStr">
        <is>
          <t>Yes</t>
        </is>
      </c>
      <c r="K147" s="27" t="n"/>
      <c r="L147" s="28" t="inlineStr">
        <is>
          <t>No</t>
        </is>
      </c>
      <c r="M147" s="29">
        <f>IF(E147="","",IF(H147="Yes","❌ Disc",IF(G147="No","⚠ Missing",IF(J147="Yes","✓ OK","⚠ Check"))))</f>
        <v/>
      </c>
      <c r="N147" s="43" t="n">
        <v>46196</v>
      </c>
      <c r="O147" s="26" t="inlineStr">
        <is>
          <t>Sunil CR</t>
        </is>
      </c>
      <c r="P147" s="44" t="inlineStr">
        <is>
          <t>Represented by Sample</t>
        </is>
      </c>
      <c r="Q147" s="26" t="inlineStr">
        <is>
          <t>No</t>
        </is>
      </c>
      <c r="R147" s="44" t="inlineStr">
        <is>
          <t>Represented by Sample</t>
        </is>
      </c>
      <c r="S147" s="26" t="inlineStr">
        <is>
          <t>Yes</t>
        </is>
      </c>
      <c r="T147" s="27" t="n"/>
      <c r="U147" s="28" t="inlineStr">
        <is>
          <t>No</t>
        </is>
      </c>
      <c r="V147" s="29">
        <f>IF(N147="","",IF(Q147="Yes","❌ Disc",IF(P147="No","⚠ Missing",IF(S147="Yes","✓ OK","⚠ Check"))))</f>
        <v/>
      </c>
      <c r="W147" s="65" t="n">
        <v>46248</v>
      </c>
      <c r="X147" s="30" t="inlineStr">
        <is>
          <t>Sunil CR</t>
        </is>
      </c>
      <c r="Y147" s="30" t="inlineStr">
        <is>
          <t>Represented by Sample</t>
        </is>
      </c>
      <c r="Z147" s="30" t="n"/>
      <c r="AA147" s="30" t="inlineStr">
        <is>
          <t>Represented by Sample</t>
        </is>
      </c>
      <c r="AB147" s="30" t="inlineStr">
        <is>
          <t>Yes</t>
        </is>
      </c>
      <c r="AC147" s="27" t="n"/>
      <c r="AD147" s="31" t="inlineStr">
        <is>
          <t>No</t>
        </is>
      </c>
      <c r="AE147" s="32">
        <f>IF(W147="","",IF(Z147="Yes","❌ Disc",IF(Y147="No","⚠ Missing",IF(AB147="Yes","✓ OK","⚠ Check"))))</f>
        <v/>
      </c>
      <c r="AF147" s="33" t="n"/>
      <c r="AG147" s="33" t="n"/>
      <c r="AH147" s="33" t="n"/>
      <c r="AI147" s="33" t="n"/>
      <c r="AJ147" s="33" t="n"/>
      <c r="AK147" s="33" t="n"/>
      <c r="AL147" s="27" t="n"/>
      <c r="AM147" s="34" t="n"/>
      <c r="AN147" s="35">
        <f>IF(AF147="","",IF(AI147="Yes","❌ Disc",IF(AH147="No","⚠ Missing",IF(AK147="Yes","✓ OK","⚠ Check"))))</f>
        <v/>
      </c>
      <c r="AO147" s="36" t="n"/>
      <c r="AP147" s="36" t="n"/>
      <c r="AQ147" s="36" t="n"/>
      <c r="AR147" s="36" t="n"/>
      <c r="AS147" s="36" t="n"/>
      <c r="AT147" s="36" t="n"/>
      <c r="AU147" s="27" t="n"/>
      <c r="AV147" s="37" t="n"/>
      <c r="AW147" s="38">
        <f>IF(AO147="","",IF(AR147="Yes","❌ Disc",IF(AQ147="No","⚠ Missing",IF(AT147="Yes","✓ OK","⚠ Check"))))</f>
        <v/>
      </c>
    </row>
    <row r="148" ht="18" customHeight="1" s="46">
      <c r="A148" s="39" t="n">
        <v>144</v>
      </c>
      <c r="B148" s="40" t="inlineStr">
        <is>
          <t>BD-HNA-2025-0174</t>
        </is>
      </c>
      <c r="C148" s="41" t="inlineStr">
        <is>
          <t>Bonito Handles - H-119 - Black and Anodized Brass Handle  - 120mm</t>
        </is>
      </c>
      <c r="D148" s="39" t="inlineStr">
        <is>
          <t>Bonito Handles</t>
        </is>
      </c>
      <c r="E148" s="43" t="n">
        <v>46125</v>
      </c>
      <c r="F148" s="26" t="inlineStr">
        <is>
          <t>Sunil CR</t>
        </is>
      </c>
      <c r="G148" s="44" t="inlineStr">
        <is>
          <t>Represented by Sample</t>
        </is>
      </c>
      <c r="H148" s="26" t="inlineStr">
        <is>
          <t>No</t>
        </is>
      </c>
      <c r="I148" s="44" t="inlineStr">
        <is>
          <t>Represented by Sample</t>
        </is>
      </c>
      <c r="J148" s="26" t="inlineStr">
        <is>
          <t>Yes</t>
        </is>
      </c>
      <c r="K148" s="27" t="n"/>
      <c r="L148" s="28" t="inlineStr">
        <is>
          <t>No</t>
        </is>
      </c>
      <c r="M148" s="29">
        <f>IF(E148="","",IF(H148="Yes","❌ Disc",IF(G148="No","⚠ Missing",IF(J148="Yes","✓ OK","⚠ Check"))))</f>
        <v/>
      </c>
      <c r="N148" s="43" t="n">
        <v>46196</v>
      </c>
      <c r="O148" s="26" t="inlineStr">
        <is>
          <t>Sunil CR</t>
        </is>
      </c>
      <c r="P148" s="44" t="inlineStr">
        <is>
          <t>Represented by Sample</t>
        </is>
      </c>
      <c r="Q148" s="26" t="inlineStr">
        <is>
          <t>No</t>
        </is>
      </c>
      <c r="R148" s="44" t="inlineStr">
        <is>
          <t>Represented by Sample</t>
        </is>
      </c>
      <c r="S148" s="26" t="inlineStr">
        <is>
          <t>Yes</t>
        </is>
      </c>
      <c r="T148" s="27" t="n"/>
      <c r="U148" s="28" t="inlineStr">
        <is>
          <t>No</t>
        </is>
      </c>
      <c r="V148" s="29">
        <f>IF(N148="","",IF(Q148="Yes","❌ Disc",IF(P148="No","⚠ Missing",IF(S148="Yes","✓ OK","⚠ Check"))))</f>
        <v/>
      </c>
      <c r="W148" s="65" t="n">
        <v>46248</v>
      </c>
      <c r="X148" s="30" t="inlineStr">
        <is>
          <t>Sunil CR</t>
        </is>
      </c>
      <c r="Y148" s="30" t="inlineStr">
        <is>
          <t>Represented by Sample</t>
        </is>
      </c>
      <c r="Z148" s="30" t="n"/>
      <c r="AA148" s="30" t="inlineStr">
        <is>
          <t>Represented by Sample</t>
        </is>
      </c>
      <c r="AB148" s="30" t="inlineStr">
        <is>
          <t>Yes</t>
        </is>
      </c>
      <c r="AC148" s="27" t="n"/>
      <c r="AD148" s="31" t="inlineStr">
        <is>
          <t>No</t>
        </is>
      </c>
      <c r="AE148" s="32">
        <f>IF(W148="","",IF(Z148="Yes","❌ Disc",IF(Y148="No","⚠ Missing",IF(AB148="Yes","✓ OK","⚠ Check"))))</f>
        <v/>
      </c>
      <c r="AF148" s="33" t="n"/>
      <c r="AG148" s="33" t="n"/>
      <c r="AH148" s="33" t="n"/>
      <c r="AI148" s="33" t="n"/>
      <c r="AJ148" s="33" t="n"/>
      <c r="AK148" s="33" t="n"/>
      <c r="AL148" s="27" t="n"/>
      <c r="AM148" s="34" t="n"/>
      <c r="AN148" s="35">
        <f>IF(AF148="","",IF(AI148="Yes","❌ Disc",IF(AH148="No","⚠ Missing",IF(AK148="Yes","✓ OK","⚠ Check"))))</f>
        <v/>
      </c>
      <c r="AO148" s="36" t="n"/>
      <c r="AP148" s="36" t="n"/>
      <c r="AQ148" s="36" t="n"/>
      <c r="AR148" s="36" t="n"/>
      <c r="AS148" s="36" t="n"/>
      <c r="AT148" s="36" t="n"/>
      <c r="AU148" s="27" t="n"/>
      <c r="AV148" s="37" t="n"/>
      <c r="AW148" s="38">
        <f>IF(AO148="","",IF(AR148="Yes","❌ Disc",IF(AQ148="No","⚠ Missing",IF(AT148="Yes","✓ OK","⚠ Check"))))</f>
        <v/>
      </c>
    </row>
    <row r="149" ht="18" customHeight="1" s="46">
      <c r="A149" s="23" t="n">
        <v>145</v>
      </c>
      <c r="B149" s="24" t="inlineStr">
        <is>
          <t>BD-HNA-2025-0175</t>
        </is>
      </c>
      <c r="C149" s="25" t="inlineStr">
        <is>
          <t>Bonito Handles - H-119 - Black and Anodized Brass Handle  - 183mm</t>
        </is>
      </c>
      <c r="D149" s="23" t="inlineStr">
        <is>
          <t>Bonito Handles</t>
        </is>
      </c>
      <c r="E149" s="43" t="n">
        <v>46125</v>
      </c>
      <c r="F149" s="26" t="inlineStr">
        <is>
          <t>Sunil CR</t>
        </is>
      </c>
      <c r="G149" s="44" t="inlineStr">
        <is>
          <t>Represented by Sample</t>
        </is>
      </c>
      <c r="H149" s="26" t="inlineStr">
        <is>
          <t>No</t>
        </is>
      </c>
      <c r="I149" s="44" t="inlineStr">
        <is>
          <t>Represented by Sample</t>
        </is>
      </c>
      <c r="J149" s="26" t="inlineStr">
        <is>
          <t>Yes</t>
        </is>
      </c>
      <c r="K149" s="27" t="n"/>
      <c r="L149" s="28" t="inlineStr">
        <is>
          <t>No</t>
        </is>
      </c>
      <c r="M149" s="29">
        <f>IF(E149="","",IF(H149="Yes","❌ Disc",IF(G149="No","⚠ Missing",IF(J149="Yes","✓ OK","⚠ Check"))))</f>
        <v/>
      </c>
      <c r="N149" s="43" t="n">
        <v>46196</v>
      </c>
      <c r="O149" s="26" t="inlineStr">
        <is>
          <t>Sunil CR</t>
        </is>
      </c>
      <c r="P149" s="44" t="inlineStr">
        <is>
          <t>Represented by Sample</t>
        </is>
      </c>
      <c r="Q149" s="26" t="inlineStr">
        <is>
          <t>No</t>
        </is>
      </c>
      <c r="R149" s="44" t="inlineStr">
        <is>
          <t>Represented by Sample</t>
        </is>
      </c>
      <c r="S149" s="26" t="inlineStr">
        <is>
          <t>Yes</t>
        </is>
      </c>
      <c r="T149" s="27" t="n"/>
      <c r="U149" s="28" t="inlineStr">
        <is>
          <t>No</t>
        </is>
      </c>
      <c r="V149" s="29">
        <f>IF(N149="","",IF(Q149="Yes","❌ Disc",IF(P149="No","⚠ Missing",IF(S149="Yes","✓ OK","⚠ Check"))))</f>
        <v/>
      </c>
      <c r="W149" s="65" t="n">
        <v>46248</v>
      </c>
      <c r="X149" s="30" t="inlineStr">
        <is>
          <t>Sunil CR</t>
        </is>
      </c>
      <c r="Y149" s="30" t="inlineStr">
        <is>
          <t>Represented by Sample</t>
        </is>
      </c>
      <c r="Z149" s="30" t="n"/>
      <c r="AA149" s="30" t="inlineStr">
        <is>
          <t>Represented by Sample</t>
        </is>
      </c>
      <c r="AB149" s="30" t="inlineStr">
        <is>
          <t>Yes</t>
        </is>
      </c>
      <c r="AC149" s="27" t="n"/>
      <c r="AD149" s="31" t="inlineStr">
        <is>
          <t>No</t>
        </is>
      </c>
      <c r="AE149" s="32">
        <f>IF(W149="","",IF(Z149="Yes","❌ Disc",IF(Y149="No","⚠ Missing",IF(AB149="Yes","✓ OK","⚠ Check"))))</f>
        <v/>
      </c>
      <c r="AF149" s="33" t="n"/>
      <c r="AG149" s="33" t="n"/>
      <c r="AH149" s="33" t="n"/>
      <c r="AI149" s="33" t="n"/>
      <c r="AJ149" s="33" t="n"/>
      <c r="AK149" s="33" t="n"/>
      <c r="AL149" s="27" t="n"/>
      <c r="AM149" s="34" t="n"/>
      <c r="AN149" s="35">
        <f>IF(AF149="","",IF(AI149="Yes","❌ Disc",IF(AH149="No","⚠ Missing",IF(AK149="Yes","✓ OK","⚠ Check"))))</f>
        <v/>
      </c>
      <c r="AO149" s="36" t="n"/>
      <c r="AP149" s="36" t="n"/>
      <c r="AQ149" s="36" t="n"/>
      <c r="AR149" s="36" t="n"/>
      <c r="AS149" s="36" t="n"/>
      <c r="AT149" s="36" t="n"/>
      <c r="AU149" s="27" t="n"/>
      <c r="AV149" s="37" t="n"/>
      <c r="AW149" s="38">
        <f>IF(AO149="","",IF(AR149="Yes","❌ Disc",IF(AQ149="No","⚠ Missing",IF(AT149="Yes","✓ OK","⚠ Check"))))</f>
        <v/>
      </c>
    </row>
    <row r="150" ht="18" customHeight="1" s="46">
      <c r="A150" s="39" t="n">
        <v>146</v>
      </c>
      <c r="B150" s="40" t="inlineStr">
        <is>
          <t>BD-HNA-2025-0176</t>
        </is>
      </c>
      <c r="C150" s="41" t="inlineStr">
        <is>
          <t>Bonito Handles - H-119 - Black and Anodized Brass Handle  - 247mm</t>
        </is>
      </c>
      <c r="D150" s="39" t="inlineStr">
        <is>
          <t>Bonito Handles</t>
        </is>
      </c>
      <c r="E150" s="43" t="n">
        <v>46125</v>
      </c>
      <c r="F150" s="26" t="inlineStr">
        <is>
          <t>Sunil CR</t>
        </is>
      </c>
      <c r="G150" s="44" t="inlineStr">
        <is>
          <t>Represented by Sample</t>
        </is>
      </c>
      <c r="H150" s="26" t="inlineStr">
        <is>
          <t>No</t>
        </is>
      </c>
      <c r="I150" s="44" t="inlineStr">
        <is>
          <t>Represented by Sample</t>
        </is>
      </c>
      <c r="J150" s="26" t="inlineStr">
        <is>
          <t>Yes</t>
        </is>
      </c>
      <c r="K150" s="27" t="n"/>
      <c r="L150" s="28" t="inlineStr">
        <is>
          <t>No</t>
        </is>
      </c>
      <c r="M150" s="29">
        <f>IF(E150="","",IF(H150="Yes","❌ Disc",IF(G150="No","⚠ Missing",IF(J150="Yes","✓ OK","⚠ Check"))))</f>
        <v/>
      </c>
      <c r="N150" s="43" t="n">
        <v>46196</v>
      </c>
      <c r="O150" s="26" t="inlineStr">
        <is>
          <t>Sunil CR</t>
        </is>
      </c>
      <c r="P150" s="44" t="inlineStr">
        <is>
          <t>Represented by Sample</t>
        </is>
      </c>
      <c r="Q150" s="26" t="inlineStr">
        <is>
          <t>No</t>
        </is>
      </c>
      <c r="R150" s="44" t="inlineStr">
        <is>
          <t>Represented by Sample</t>
        </is>
      </c>
      <c r="S150" s="26" t="inlineStr">
        <is>
          <t>Yes</t>
        </is>
      </c>
      <c r="T150" s="27" t="n"/>
      <c r="U150" s="28" t="inlineStr">
        <is>
          <t>No</t>
        </is>
      </c>
      <c r="V150" s="29">
        <f>IF(N150="","",IF(Q150="Yes","❌ Disc",IF(P150="No","⚠ Missing",IF(S150="Yes","✓ OK","⚠ Check"))))</f>
        <v/>
      </c>
      <c r="W150" s="65" t="n">
        <v>46248</v>
      </c>
      <c r="X150" s="30" t="inlineStr">
        <is>
          <t>Sunil CR</t>
        </is>
      </c>
      <c r="Y150" s="30" t="inlineStr">
        <is>
          <t>Represented by Sample</t>
        </is>
      </c>
      <c r="Z150" s="30" t="n"/>
      <c r="AA150" s="30" t="inlineStr">
        <is>
          <t>Represented by Sample</t>
        </is>
      </c>
      <c r="AB150" s="30" t="inlineStr">
        <is>
          <t>Yes</t>
        </is>
      </c>
      <c r="AC150" s="27" t="n"/>
      <c r="AD150" s="31" t="inlineStr">
        <is>
          <t>No</t>
        </is>
      </c>
      <c r="AE150" s="32">
        <f>IF(W150="","",IF(Z150="Yes","❌ Disc",IF(Y150="No","⚠ Missing",IF(AB150="Yes","✓ OK","⚠ Check"))))</f>
        <v/>
      </c>
      <c r="AF150" s="33" t="n"/>
      <c r="AG150" s="33" t="n"/>
      <c r="AH150" s="33" t="n"/>
      <c r="AI150" s="33" t="n"/>
      <c r="AJ150" s="33" t="n"/>
      <c r="AK150" s="33" t="n"/>
      <c r="AL150" s="27" t="n"/>
      <c r="AM150" s="34" t="n"/>
      <c r="AN150" s="35">
        <f>IF(AF150="","",IF(AI150="Yes","❌ Disc",IF(AH150="No","⚠ Missing",IF(AK150="Yes","✓ OK","⚠ Check"))))</f>
        <v/>
      </c>
      <c r="AO150" s="36" t="n"/>
      <c r="AP150" s="36" t="n"/>
      <c r="AQ150" s="36" t="n"/>
      <c r="AR150" s="36" t="n"/>
      <c r="AS150" s="36" t="n"/>
      <c r="AT150" s="36" t="n"/>
      <c r="AU150" s="27" t="n"/>
      <c r="AV150" s="37" t="n"/>
      <c r="AW150" s="38">
        <f>IF(AO150="","",IF(AR150="Yes","❌ Disc",IF(AQ150="No","⚠ Missing",IF(AT150="Yes","✓ OK","⚠ Check"))))</f>
        <v/>
      </c>
    </row>
    <row r="151" ht="18" customHeight="1" s="46">
      <c r="A151" s="23" t="n">
        <v>147</v>
      </c>
      <c r="B151" s="24" t="inlineStr">
        <is>
          <t>BD-HNA-2025-0171</t>
        </is>
      </c>
      <c r="C151" s="25" t="inlineStr">
        <is>
          <t>Bonito Handles - H-119 - Satin Handle  - 120mm</t>
        </is>
      </c>
      <c r="D151" s="23" t="inlineStr">
        <is>
          <t>Bonito Handles</t>
        </is>
      </c>
      <c r="E151" s="43" t="n">
        <v>46125</v>
      </c>
      <c r="F151" s="26" t="inlineStr">
        <is>
          <t>Sunil CR</t>
        </is>
      </c>
      <c r="G151" s="44" t="inlineStr">
        <is>
          <t>Represented by Sample</t>
        </is>
      </c>
      <c r="H151" s="26" t="inlineStr">
        <is>
          <t>No</t>
        </is>
      </c>
      <c r="I151" s="44" t="inlineStr">
        <is>
          <t>Represented by Sample</t>
        </is>
      </c>
      <c r="J151" s="26" t="inlineStr">
        <is>
          <t>Yes</t>
        </is>
      </c>
      <c r="K151" s="27" t="n"/>
      <c r="L151" s="28" t="inlineStr">
        <is>
          <t>No</t>
        </is>
      </c>
      <c r="M151" s="29">
        <f>IF(E151="","",IF(H151="Yes","❌ Disc",IF(G151="No","⚠ Missing",IF(J151="Yes","✓ OK","⚠ Check"))))</f>
        <v/>
      </c>
      <c r="N151" s="43" t="n">
        <v>46196</v>
      </c>
      <c r="O151" s="26" t="inlineStr">
        <is>
          <t>Sunil CR</t>
        </is>
      </c>
      <c r="P151" s="44" t="inlineStr">
        <is>
          <t>Represented by Sample</t>
        </is>
      </c>
      <c r="Q151" s="26" t="inlineStr">
        <is>
          <t>No</t>
        </is>
      </c>
      <c r="R151" s="44" t="inlineStr">
        <is>
          <t>Represented by Sample</t>
        </is>
      </c>
      <c r="S151" s="26" t="inlineStr">
        <is>
          <t>Yes</t>
        </is>
      </c>
      <c r="T151" s="27" t="n"/>
      <c r="U151" s="28" t="inlineStr">
        <is>
          <t>No</t>
        </is>
      </c>
      <c r="V151" s="29">
        <f>IF(N151="","",IF(Q151="Yes","❌ Disc",IF(P151="No","⚠ Missing",IF(S151="Yes","✓ OK","⚠ Check"))))</f>
        <v/>
      </c>
      <c r="W151" s="65" t="n">
        <v>46248</v>
      </c>
      <c r="X151" s="30" t="inlineStr">
        <is>
          <t>Sunil CR</t>
        </is>
      </c>
      <c r="Y151" s="30" t="inlineStr">
        <is>
          <t>Represented by Sample</t>
        </is>
      </c>
      <c r="Z151" s="30" t="n"/>
      <c r="AA151" s="30" t="inlineStr">
        <is>
          <t>Represented by Sample</t>
        </is>
      </c>
      <c r="AB151" s="30" t="inlineStr">
        <is>
          <t>Yes</t>
        </is>
      </c>
      <c r="AC151" s="27" t="n"/>
      <c r="AD151" s="31" t="inlineStr">
        <is>
          <t>No</t>
        </is>
      </c>
      <c r="AE151" s="32">
        <f>IF(W151="","",IF(Z151="Yes","❌ Disc",IF(Y151="No","⚠ Missing",IF(AB151="Yes","✓ OK","⚠ Check"))))</f>
        <v/>
      </c>
      <c r="AF151" s="33" t="n"/>
      <c r="AG151" s="33" t="n"/>
      <c r="AH151" s="33" t="n"/>
      <c r="AI151" s="33" t="n"/>
      <c r="AJ151" s="33" t="n"/>
      <c r="AK151" s="33" t="n"/>
      <c r="AL151" s="27" t="n"/>
      <c r="AM151" s="34" t="n"/>
      <c r="AN151" s="35">
        <f>IF(AF151="","",IF(AI151="Yes","❌ Disc",IF(AH151="No","⚠ Missing",IF(AK151="Yes","✓ OK","⚠ Check"))))</f>
        <v/>
      </c>
      <c r="AO151" s="36" t="n"/>
      <c r="AP151" s="36" t="n"/>
      <c r="AQ151" s="36" t="n"/>
      <c r="AR151" s="36" t="n"/>
      <c r="AS151" s="36" t="n"/>
      <c r="AT151" s="36" t="n"/>
      <c r="AU151" s="27" t="n"/>
      <c r="AV151" s="37" t="n"/>
      <c r="AW151" s="38">
        <f>IF(AO151="","",IF(AR151="Yes","❌ Disc",IF(AQ151="No","⚠ Missing",IF(AT151="Yes","✓ OK","⚠ Check"))))</f>
        <v/>
      </c>
    </row>
    <row r="152" ht="18" customHeight="1" s="46">
      <c r="A152" s="39" t="n">
        <v>148</v>
      </c>
      <c r="B152" s="40" t="inlineStr">
        <is>
          <t>BD-HNA-2025-0172</t>
        </is>
      </c>
      <c r="C152" s="41" t="inlineStr">
        <is>
          <t>Bonito Handles - H-119 - Satin Handle  - 183mm</t>
        </is>
      </c>
      <c r="D152" s="39" t="inlineStr">
        <is>
          <t>Bonito Handles</t>
        </is>
      </c>
      <c r="E152" s="43" t="n">
        <v>46125</v>
      </c>
      <c r="F152" s="26" t="inlineStr">
        <is>
          <t>Sunil CR</t>
        </is>
      </c>
      <c r="G152" s="44" t="inlineStr">
        <is>
          <t>Yes</t>
        </is>
      </c>
      <c r="H152" s="26" t="inlineStr">
        <is>
          <t>No</t>
        </is>
      </c>
      <c r="I152" s="44" t="inlineStr">
        <is>
          <t>Good finish</t>
        </is>
      </c>
      <c r="J152" s="26" t="inlineStr">
        <is>
          <t>Yes</t>
        </is>
      </c>
      <c r="K152" s="27" t="n"/>
      <c r="L152" s="28" t="inlineStr">
        <is>
          <t>No</t>
        </is>
      </c>
      <c r="M152" s="29">
        <f>IF(E152="","",IF(H152="Yes","❌ Disc",IF(G152="No","⚠ Missing",IF(J152="Yes","✓ OK","⚠ Check"))))</f>
        <v/>
      </c>
      <c r="N152" s="43" t="n">
        <v>46196</v>
      </c>
      <c r="O152" s="26" t="inlineStr">
        <is>
          <t>Sunil CR</t>
        </is>
      </c>
      <c r="P152" s="44" t="inlineStr">
        <is>
          <t>Yes</t>
        </is>
      </c>
      <c r="Q152" s="26" t="inlineStr">
        <is>
          <t>No</t>
        </is>
      </c>
      <c r="R152" s="44" t="inlineStr">
        <is>
          <t>Good finish</t>
        </is>
      </c>
      <c r="S152" s="26" t="inlineStr">
        <is>
          <t>Yes</t>
        </is>
      </c>
      <c r="T152" s="27" t="n"/>
      <c r="U152" s="28" t="inlineStr">
        <is>
          <t>No</t>
        </is>
      </c>
      <c r="V152" s="29">
        <f>IF(N152="","",IF(Q152="Yes","❌ Disc",IF(P152="No","⚠ Missing",IF(S152="Yes","✓ OK","⚠ Check"))))</f>
        <v/>
      </c>
      <c r="W152" s="65" t="n">
        <v>46248</v>
      </c>
      <c r="X152" s="30" t="inlineStr">
        <is>
          <t>Sunil CR</t>
        </is>
      </c>
      <c r="Y152" s="30" t="inlineStr">
        <is>
          <t>Yes</t>
        </is>
      </c>
      <c r="Z152" s="30" t="n"/>
      <c r="AA152" s="30" t="inlineStr">
        <is>
          <t>Good finish</t>
        </is>
      </c>
      <c r="AB152" s="30" t="inlineStr">
        <is>
          <t>Yes</t>
        </is>
      </c>
      <c r="AC152" s="27" t="n"/>
      <c r="AD152" s="31" t="inlineStr">
        <is>
          <t>No</t>
        </is>
      </c>
      <c r="AE152" s="32">
        <f>IF(W152="","",IF(Z152="Yes","❌ Disc",IF(Y152="No","⚠ Missing",IF(AB152="Yes","✓ OK","⚠ Check"))))</f>
        <v/>
      </c>
      <c r="AF152" s="33" t="n"/>
      <c r="AG152" s="33" t="n"/>
      <c r="AH152" s="33" t="n"/>
      <c r="AI152" s="33" t="n"/>
      <c r="AJ152" s="33" t="n"/>
      <c r="AK152" s="33" t="n"/>
      <c r="AL152" s="27" t="n"/>
      <c r="AM152" s="34" t="n"/>
      <c r="AN152" s="35">
        <f>IF(AF152="","",IF(AI152="Yes","❌ Disc",IF(AH152="No","⚠ Missing",IF(AK152="Yes","✓ OK","⚠ Check"))))</f>
        <v/>
      </c>
      <c r="AO152" s="36" t="n"/>
      <c r="AP152" s="36" t="n"/>
      <c r="AQ152" s="36" t="n"/>
      <c r="AR152" s="36" t="n"/>
      <c r="AS152" s="36" t="n"/>
      <c r="AT152" s="36" t="n"/>
      <c r="AU152" s="27" t="n"/>
      <c r="AV152" s="37" t="n"/>
      <c r="AW152" s="38">
        <f>IF(AO152="","",IF(AR152="Yes","❌ Disc",IF(AQ152="No","⚠ Missing",IF(AT152="Yes","✓ OK","⚠ Check"))))</f>
        <v/>
      </c>
    </row>
    <row r="153" ht="18" customHeight="1" s="46">
      <c r="A153" s="23" t="n">
        <v>149</v>
      </c>
      <c r="B153" s="24" t="inlineStr">
        <is>
          <t>BD-HNA-2025-0173</t>
        </is>
      </c>
      <c r="C153" s="25" t="inlineStr">
        <is>
          <t>Bonito Handles - H-119 - Satin Handle  - 247mm</t>
        </is>
      </c>
      <c r="D153" s="23" t="inlineStr">
        <is>
          <t>Bonito Handles</t>
        </is>
      </c>
      <c r="E153" s="43" t="n">
        <v>46125</v>
      </c>
      <c r="F153" s="26" t="inlineStr">
        <is>
          <t>Sunil CR</t>
        </is>
      </c>
      <c r="G153" s="44" t="inlineStr">
        <is>
          <t>Represented by Sample</t>
        </is>
      </c>
      <c r="H153" s="26" t="inlineStr">
        <is>
          <t>No</t>
        </is>
      </c>
      <c r="I153" s="44" t="inlineStr">
        <is>
          <t>Represented by Sample</t>
        </is>
      </c>
      <c r="J153" s="26" t="inlineStr">
        <is>
          <t>Yes</t>
        </is>
      </c>
      <c r="K153" s="27" t="n"/>
      <c r="L153" s="28" t="inlineStr">
        <is>
          <t>No</t>
        </is>
      </c>
      <c r="M153" s="29">
        <f>IF(E153="","",IF(H153="Yes","❌ Disc",IF(G153="No","⚠ Missing",IF(J153="Yes","✓ OK","⚠ Check"))))</f>
        <v/>
      </c>
      <c r="N153" s="43" t="n">
        <v>46196</v>
      </c>
      <c r="O153" s="26" t="inlineStr">
        <is>
          <t>Sunil CR</t>
        </is>
      </c>
      <c r="P153" s="44" t="inlineStr">
        <is>
          <t>Represented by Sample</t>
        </is>
      </c>
      <c r="Q153" s="26" t="inlineStr">
        <is>
          <t>No</t>
        </is>
      </c>
      <c r="R153" s="44" t="inlineStr">
        <is>
          <t>Represented by Sample</t>
        </is>
      </c>
      <c r="S153" s="26" t="inlineStr">
        <is>
          <t>Yes</t>
        </is>
      </c>
      <c r="T153" s="27" t="n"/>
      <c r="U153" s="28" t="inlineStr">
        <is>
          <t>No</t>
        </is>
      </c>
      <c r="V153" s="29">
        <f>IF(N153="","",IF(Q153="Yes","❌ Disc",IF(P153="No","⚠ Missing",IF(S153="Yes","✓ OK","⚠ Check"))))</f>
        <v/>
      </c>
      <c r="W153" s="65" t="n">
        <v>46248</v>
      </c>
      <c r="X153" s="30" t="inlineStr">
        <is>
          <t>Sunil CR</t>
        </is>
      </c>
      <c r="Y153" s="30" t="inlineStr">
        <is>
          <t>Represented by Sample</t>
        </is>
      </c>
      <c r="Z153" s="30" t="n"/>
      <c r="AA153" s="30" t="inlineStr">
        <is>
          <t>Represented by Sample</t>
        </is>
      </c>
      <c r="AB153" s="30" t="inlineStr">
        <is>
          <t>Yes</t>
        </is>
      </c>
      <c r="AC153" s="27" t="n"/>
      <c r="AD153" s="31" t="inlineStr">
        <is>
          <t>No</t>
        </is>
      </c>
      <c r="AE153" s="32">
        <f>IF(W153="","",IF(Z153="Yes","❌ Disc",IF(Y153="No","⚠ Missing",IF(AB153="Yes","✓ OK","⚠ Check"))))</f>
        <v/>
      </c>
      <c r="AF153" s="33" t="n"/>
      <c r="AG153" s="33" t="n"/>
      <c r="AH153" s="33" t="n"/>
      <c r="AI153" s="33" t="n"/>
      <c r="AJ153" s="33" t="n"/>
      <c r="AK153" s="33" t="n"/>
      <c r="AL153" s="27" t="n"/>
      <c r="AM153" s="34" t="n"/>
      <c r="AN153" s="35">
        <f>IF(AF153="","",IF(AI153="Yes","❌ Disc",IF(AH153="No","⚠ Missing",IF(AK153="Yes","✓ OK","⚠ Check"))))</f>
        <v/>
      </c>
      <c r="AO153" s="36" t="n"/>
      <c r="AP153" s="36" t="n"/>
      <c r="AQ153" s="36" t="n"/>
      <c r="AR153" s="36" t="n"/>
      <c r="AS153" s="36" t="n"/>
      <c r="AT153" s="36" t="n"/>
      <c r="AU153" s="27" t="n"/>
      <c r="AV153" s="37" t="n"/>
      <c r="AW153" s="38">
        <f>IF(AO153="","",IF(AR153="Yes","❌ Disc",IF(AQ153="No","⚠ Missing",IF(AT153="Yes","✓ OK","⚠ Check"))))</f>
        <v/>
      </c>
    </row>
    <row r="154" ht="18" customHeight="1" s="46">
      <c r="A154" s="39" t="n">
        <v>150</v>
      </c>
      <c r="B154" s="40" t="inlineStr">
        <is>
          <t>BD-HNA-2025-0177</t>
        </is>
      </c>
      <c r="C154" s="41" t="inlineStr">
        <is>
          <t>Bonito Handles - H-120 - Black and Satin Handle  - 130mm</t>
        </is>
      </c>
      <c r="D154" s="39" t="inlineStr">
        <is>
          <t>Bonito Handles</t>
        </is>
      </c>
      <c r="E154" s="43" t="n">
        <v>46125</v>
      </c>
      <c r="F154" s="26" t="inlineStr">
        <is>
          <t>Sunil CR</t>
        </is>
      </c>
      <c r="G154" s="44" t="inlineStr">
        <is>
          <t>No</t>
        </is>
      </c>
      <c r="H154" s="26" t="inlineStr">
        <is>
          <t>No</t>
        </is>
      </c>
      <c r="I154" s="44" t="inlineStr">
        <is>
          <t>Not Available</t>
        </is>
      </c>
      <c r="J154" s="26" t="inlineStr">
        <is>
          <t>No</t>
        </is>
      </c>
      <c r="K154" s="27" t="n"/>
      <c r="L154" s="28" t="inlineStr">
        <is>
          <t>Yes</t>
        </is>
      </c>
      <c r="M154" s="29">
        <f>IF(E154="","",IF(H154="Yes","❌ Disc",IF(G154="No","⚠ Missing",IF(J154="Yes","✓ OK","⚠ Check"))))</f>
        <v/>
      </c>
      <c r="N154" s="43" t="n">
        <v>46196</v>
      </c>
      <c r="O154" s="26" t="inlineStr">
        <is>
          <t>Sunil CR</t>
        </is>
      </c>
      <c r="P154" s="44" t="inlineStr">
        <is>
          <t>No</t>
        </is>
      </c>
      <c r="Q154" s="26" t="inlineStr">
        <is>
          <t>No</t>
        </is>
      </c>
      <c r="R154" s="44" t="inlineStr">
        <is>
          <t>Not Available</t>
        </is>
      </c>
      <c r="S154" s="26" t="inlineStr">
        <is>
          <t>No</t>
        </is>
      </c>
      <c r="T154" s="27" t="n"/>
      <c r="U154" s="28" t="inlineStr">
        <is>
          <t>Yes</t>
        </is>
      </c>
      <c r="V154" s="29">
        <f>IF(N154="","",IF(Q154="Yes","❌ Disc",IF(P154="No","⚠ Missing",IF(S154="Yes","✓ OK","⚠ Check"))))</f>
        <v/>
      </c>
      <c r="W154" s="65" t="n">
        <v>46248</v>
      </c>
      <c r="X154" s="30" t="inlineStr">
        <is>
          <t>Sunil CR</t>
        </is>
      </c>
      <c r="Y154" s="30" t="inlineStr">
        <is>
          <t>No</t>
        </is>
      </c>
      <c r="Z154" s="30" t="n"/>
      <c r="AA154" s="30" t="inlineStr">
        <is>
          <t>Not Available</t>
        </is>
      </c>
      <c r="AB154" s="30" t="inlineStr">
        <is>
          <t>No</t>
        </is>
      </c>
      <c r="AC154" s="27" t="n"/>
      <c r="AD154" s="31" t="inlineStr">
        <is>
          <t>Yes</t>
        </is>
      </c>
      <c r="AE154" s="32">
        <f>IF(W154="","",IF(Z154="Yes","❌ Disc",IF(Y154="No","⚠ Missing",IF(AB154="Yes","✓ OK","⚠ Check"))))</f>
        <v/>
      </c>
      <c r="AF154" s="33" t="n"/>
      <c r="AG154" s="33" t="n"/>
      <c r="AH154" s="33" t="n"/>
      <c r="AI154" s="33" t="n"/>
      <c r="AJ154" s="33" t="n"/>
      <c r="AK154" s="33" t="n"/>
      <c r="AL154" s="27" t="n"/>
      <c r="AM154" s="34" t="n"/>
      <c r="AN154" s="35">
        <f>IF(AF154="","",IF(AI154="Yes","❌ Disc",IF(AH154="No","⚠ Missing",IF(AK154="Yes","✓ OK","⚠ Check"))))</f>
        <v/>
      </c>
      <c r="AO154" s="36" t="n"/>
      <c r="AP154" s="36" t="n"/>
      <c r="AQ154" s="36" t="n"/>
      <c r="AR154" s="36" t="n"/>
      <c r="AS154" s="36" t="n"/>
      <c r="AT154" s="36" t="n"/>
      <c r="AU154" s="27" t="n"/>
      <c r="AV154" s="37" t="n"/>
      <c r="AW154" s="38">
        <f>IF(AO154="","",IF(AR154="Yes","❌ Disc",IF(AQ154="No","⚠ Missing",IF(AT154="Yes","✓ OK","⚠ Check"))))</f>
        <v/>
      </c>
    </row>
    <row r="155" ht="18" customHeight="1" s="46">
      <c r="A155" s="23" t="n">
        <v>151</v>
      </c>
      <c r="B155" s="24" t="inlineStr">
        <is>
          <t>BD-HNA-2025-0178</t>
        </is>
      </c>
      <c r="C155" s="25" t="inlineStr">
        <is>
          <t>Bonito Handles - H-120 - Black and Satin Handle  - 195mm</t>
        </is>
      </c>
      <c r="D155" s="23" t="inlineStr">
        <is>
          <t>Bonito Handles</t>
        </is>
      </c>
      <c r="E155" s="43" t="n">
        <v>46125</v>
      </c>
      <c r="F155" s="26" t="inlineStr">
        <is>
          <t>Sunil CR</t>
        </is>
      </c>
      <c r="G155" s="44" t="inlineStr">
        <is>
          <t>No</t>
        </is>
      </c>
      <c r="H155" s="26" t="inlineStr">
        <is>
          <t>No</t>
        </is>
      </c>
      <c r="I155" s="44" t="inlineStr">
        <is>
          <t>Not Available</t>
        </is>
      </c>
      <c r="J155" s="26" t="inlineStr">
        <is>
          <t>No</t>
        </is>
      </c>
      <c r="K155" s="27" t="n"/>
      <c r="L155" s="28" t="inlineStr">
        <is>
          <t>Yes</t>
        </is>
      </c>
      <c r="M155" s="29">
        <f>IF(E155="","",IF(H155="Yes","❌ Disc",IF(G155="No","⚠ Missing",IF(J155="Yes","✓ OK","⚠ Check"))))</f>
        <v/>
      </c>
      <c r="N155" s="43" t="n">
        <v>46196</v>
      </c>
      <c r="O155" s="26" t="inlineStr">
        <is>
          <t>Sunil CR</t>
        </is>
      </c>
      <c r="P155" s="44" t="inlineStr">
        <is>
          <t>No</t>
        </is>
      </c>
      <c r="Q155" s="26" t="inlineStr">
        <is>
          <t>No</t>
        </is>
      </c>
      <c r="R155" s="44" t="inlineStr">
        <is>
          <t>Not Available</t>
        </is>
      </c>
      <c r="S155" s="26" t="inlineStr">
        <is>
          <t>No</t>
        </is>
      </c>
      <c r="T155" s="27" t="n"/>
      <c r="U155" s="28" t="inlineStr">
        <is>
          <t>Yes</t>
        </is>
      </c>
      <c r="V155" s="29">
        <f>IF(N155="","",IF(Q155="Yes","❌ Disc",IF(P155="No","⚠ Missing",IF(S155="Yes","✓ OK","⚠ Check"))))</f>
        <v/>
      </c>
      <c r="W155" s="65" t="n">
        <v>46248</v>
      </c>
      <c r="X155" s="30" t="inlineStr">
        <is>
          <t>Sunil CR</t>
        </is>
      </c>
      <c r="Y155" s="30" t="inlineStr">
        <is>
          <t>No</t>
        </is>
      </c>
      <c r="Z155" s="30" t="n"/>
      <c r="AA155" s="30" t="inlineStr">
        <is>
          <t>Not Available</t>
        </is>
      </c>
      <c r="AB155" s="30" t="inlineStr">
        <is>
          <t>No</t>
        </is>
      </c>
      <c r="AC155" s="27" t="n"/>
      <c r="AD155" s="31" t="inlineStr">
        <is>
          <t>Yes</t>
        </is>
      </c>
      <c r="AE155" s="32">
        <f>IF(W155="","",IF(Z155="Yes","❌ Disc",IF(Y155="No","⚠ Missing",IF(AB155="Yes","✓ OK","⚠ Check"))))</f>
        <v/>
      </c>
      <c r="AF155" s="33" t="n"/>
      <c r="AG155" s="33" t="n"/>
      <c r="AH155" s="33" t="n"/>
      <c r="AI155" s="33" t="n"/>
      <c r="AJ155" s="33" t="n"/>
      <c r="AK155" s="33" t="n"/>
      <c r="AL155" s="27" t="n"/>
      <c r="AM155" s="34" t="n"/>
      <c r="AN155" s="35">
        <f>IF(AF155="","",IF(AI155="Yes","❌ Disc",IF(AH155="No","⚠ Missing",IF(AK155="Yes","✓ OK","⚠ Check"))))</f>
        <v/>
      </c>
      <c r="AO155" s="36" t="n"/>
      <c r="AP155" s="36" t="n"/>
      <c r="AQ155" s="36" t="n"/>
      <c r="AR155" s="36" t="n"/>
      <c r="AS155" s="36" t="n"/>
      <c r="AT155" s="36" t="n"/>
      <c r="AU155" s="27" t="n"/>
      <c r="AV155" s="37" t="n"/>
      <c r="AW155" s="38">
        <f>IF(AO155="","",IF(AR155="Yes","❌ Disc",IF(AQ155="No","⚠ Missing",IF(AT155="Yes","✓ OK","⚠ Check"))))</f>
        <v/>
      </c>
    </row>
    <row r="156" ht="18" customHeight="1" s="46">
      <c r="A156" s="39" t="n">
        <v>152</v>
      </c>
      <c r="B156" s="40" t="inlineStr">
        <is>
          <t>BD-HNA-2025-0179</t>
        </is>
      </c>
      <c r="C156" s="41" t="inlineStr">
        <is>
          <t>Bonito Handles - H-120 - Black and Satin Handle  - 262mm</t>
        </is>
      </c>
      <c r="D156" s="39" t="inlineStr">
        <is>
          <t>Bonito Handles</t>
        </is>
      </c>
      <c r="E156" s="43" t="n">
        <v>46125</v>
      </c>
      <c r="F156" s="26" t="inlineStr">
        <is>
          <t>Sunil CR</t>
        </is>
      </c>
      <c r="G156" s="44" t="inlineStr">
        <is>
          <t>No</t>
        </is>
      </c>
      <c r="H156" s="26" t="inlineStr">
        <is>
          <t>No</t>
        </is>
      </c>
      <c r="I156" s="44" t="inlineStr">
        <is>
          <t>Not Available</t>
        </is>
      </c>
      <c r="J156" s="26" t="inlineStr">
        <is>
          <t>No</t>
        </is>
      </c>
      <c r="K156" s="27" t="n"/>
      <c r="L156" s="28" t="inlineStr">
        <is>
          <t>Yes</t>
        </is>
      </c>
      <c r="M156" s="29">
        <f>IF(E156="","",IF(H156="Yes","❌ Disc",IF(G156="No","⚠ Missing",IF(J156="Yes","✓ OK","⚠ Check"))))</f>
        <v/>
      </c>
      <c r="N156" s="43" t="n">
        <v>46196</v>
      </c>
      <c r="O156" s="26" t="inlineStr">
        <is>
          <t>Sunil CR</t>
        </is>
      </c>
      <c r="P156" s="44" t="inlineStr">
        <is>
          <t>No</t>
        </is>
      </c>
      <c r="Q156" s="26" t="inlineStr">
        <is>
          <t>No</t>
        </is>
      </c>
      <c r="R156" s="44" t="inlineStr">
        <is>
          <t>Not Available</t>
        </is>
      </c>
      <c r="S156" s="26" t="inlineStr">
        <is>
          <t>No</t>
        </is>
      </c>
      <c r="T156" s="27" t="n"/>
      <c r="U156" s="28" t="inlineStr">
        <is>
          <t>Yes</t>
        </is>
      </c>
      <c r="V156" s="29">
        <f>IF(N156="","",IF(Q156="Yes","❌ Disc",IF(P156="No","⚠ Missing",IF(S156="Yes","✓ OK","⚠ Check"))))</f>
        <v/>
      </c>
      <c r="W156" s="65" t="n">
        <v>46248</v>
      </c>
      <c r="X156" s="30" t="inlineStr">
        <is>
          <t>Sunil CR</t>
        </is>
      </c>
      <c r="Y156" s="30" t="inlineStr">
        <is>
          <t>No</t>
        </is>
      </c>
      <c r="Z156" s="30" t="n"/>
      <c r="AA156" s="30" t="inlineStr">
        <is>
          <t>Not Available</t>
        </is>
      </c>
      <c r="AB156" s="30" t="inlineStr">
        <is>
          <t>No</t>
        </is>
      </c>
      <c r="AC156" s="27" t="n"/>
      <c r="AD156" s="31" t="inlineStr">
        <is>
          <t>Yes</t>
        </is>
      </c>
      <c r="AE156" s="32">
        <f>IF(W156="","",IF(Z156="Yes","❌ Disc",IF(Y156="No","⚠ Missing",IF(AB156="Yes","✓ OK","⚠ Check"))))</f>
        <v/>
      </c>
      <c r="AF156" s="33" t="n"/>
      <c r="AG156" s="33" t="n"/>
      <c r="AH156" s="33" t="n"/>
      <c r="AI156" s="33" t="n"/>
      <c r="AJ156" s="33" t="n"/>
      <c r="AK156" s="33" t="n"/>
      <c r="AL156" s="27" t="n"/>
      <c r="AM156" s="34" t="n"/>
      <c r="AN156" s="35">
        <f>IF(AF156="","",IF(AI156="Yes","❌ Disc",IF(AH156="No","⚠ Missing",IF(AK156="Yes","✓ OK","⚠ Check"))))</f>
        <v/>
      </c>
      <c r="AO156" s="36" t="n"/>
      <c r="AP156" s="36" t="n"/>
      <c r="AQ156" s="36" t="n"/>
      <c r="AR156" s="36" t="n"/>
      <c r="AS156" s="36" t="n"/>
      <c r="AT156" s="36" t="n"/>
      <c r="AU156" s="27" t="n"/>
      <c r="AV156" s="37" t="n"/>
      <c r="AW156" s="38">
        <f>IF(AO156="","",IF(AR156="Yes","❌ Disc",IF(AQ156="No","⚠ Missing",IF(AT156="Yes","✓ OK","⚠ Check"))))</f>
        <v/>
      </c>
    </row>
    <row r="157" ht="18" customHeight="1" s="46">
      <c r="A157" s="23" t="n">
        <v>153</v>
      </c>
      <c r="B157" s="24" t="inlineStr">
        <is>
          <t>BD-HNA-2025-0180</t>
        </is>
      </c>
      <c r="C157" s="25" t="inlineStr">
        <is>
          <t>Bonito Handles - H-120 - Rose Gold Handle  - 130mm</t>
        </is>
      </c>
      <c r="D157" s="23" t="inlineStr">
        <is>
          <t>Bonito Handles</t>
        </is>
      </c>
      <c r="E157" s="43" t="n">
        <v>46125</v>
      </c>
      <c r="F157" s="26" t="inlineStr">
        <is>
          <t>Sunil CR</t>
        </is>
      </c>
      <c r="G157" s="44" t="inlineStr">
        <is>
          <t>No</t>
        </is>
      </c>
      <c r="H157" s="26" t="inlineStr">
        <is>
          <t>No</t>
        </is>
      </c>
      <c r="I157" s="44" t="inlineStr">
        <is>
          <t>Not Available</t>
        </is>
      </c>
      <c r="J157" s="26" t="inlineStr">
        <is>
          <t>No</t>
        </is>
      </c>
      <c r="K157" s="27" t="n"/>
      <c r="L157" s="28" t="inlineStr">
        <is>
          <t>Yes</t>
        </is>
      </c>
      <c r="M157" s="29">
        <f>IF(E157="","",IF(H157="Yes","❌ Disc",IF(G157="No","⚠ Missing",IF(J157="Yes","✓ OK","⚠ Check"))))</f>
        <v/>
      </c>
      <c r="N157" s="43" t="n">
        <v>46196</v>
      </c>
      <c r="O157" s="26" t="inlineStr">
        <is>
          <t>Sunil CR</t>
        </is>
      </c>
      <c r="P157" s="44" t="inlineStr">
        <is>
          <t>No</t>
        </is>
      </c>
      <c r="Q157" s="26" t="inlineStr">
        <is>
          <t>No</t>
        </is>
      </c>
      <c r="R157" s="44" t="inlineStr">
        <is>
          <t>Not Available</t>
        </is>
      </c>
      <c r="S157" s="26" t="inlineStr">
        <is>
          <t>No</t>
        </is>
      </c>
      <c r="T157" s="27" t="n"/>
      <c r="U157" s="28" t="inlineStr">
        <is>
          <t>Yes</t>
        </is>
      </c>
      <c r="V157" s="29">
        <f>IF(N157="","",IF(Q157="Yes","❌ Disc",IF(P157="No","⚠ Missing",IF(S157="Yes","✓ OK","⚠ Check"))))</f>
        <v/>
      </c>
      <c r="W157" s="65" t="n">
        <v>46248</v>
      </c>
      <c r="X157" s="30" t="inlineStr">
        <is>
          <t>Sunil CR</t>
        </is>
      </c>
      <c r="Y157" s="30" t="inlineStr">
        <is>
          <t>No</t>
        </is>
      </c>
      <c r="Z157" s="30" t="n"/>
      <c r="AA157" s="30" t="inlineStr">
        <is>
          <t>Not Available</t>
        </is>
      </c>
      <c r="AB157" s="30" t="inlineStr">
        <is>
          <t>No</t>
        </is>
      </c>
      <c r="AC157" s="27" t="n"/>
      <c r="AD157" s="31" t="inlineStr">
        <is>
          <t>Yes</t>
        </is>
      </c>
      <c r="AE157" s="32">
        <f>IF(W157="","",IF(Z157="Yes","❌ Disc",IF(Y157="No","⚠ Missing",IF(AB157="Yes","✓ OK","⚠ Check"))))</f>
        <v/>
      </c>
      <c r="AF157" s="33" t="n"/>
      <c r="AG157" s="33" t="n"/>
      <c r="AH157" s="33" t="n"/>
      <c r="AI157" s="33" t="n"/>
      <c r="AJ157" s="33" t="n"/>
      <c r="AK157" s="33" t="n"/>
      <c r="AL157" s="27" t="n"/>
      <c r="AM157" s="34" t="n"/>
      <c r="AN157" s="35">
        <f>IF(AF157="","",IF(AI157="Yes","❌ Disc",IF(AH157="No","⚠ Missing",IF(AK157="Yes","✓ OK","⚠ Check"))))</f>
        <v/>
      </c>
      <c r="AO157" s="36" t="n"/>
      <c r="AP157" s="36" t="n"/>
      <c r="AQ157" s="36" t="n"/>
      <c r="AR157" s="36" t="n"/>
      <c r="AS157" s="36" t="n"/>
      <c r="AT157" s="36" t="n"/>
      <c r="AU157" s="27" t="n"/>
      <c r="AV157" s="37" t="n"/>
      <c r="AW157" s="38">
        <f>IF(AO157="","",IF(AR157="Yes","❌ Disc",IF(AQ157="No","⚠ Missing",IF(AT157="Yes","✓ OK","⚠ Check"))))</f>
        <v/>
      </c>
    </row>
    <row r="158" ht="18" customHeight="1" s="46">
      <c r="A158" s="39" t="n">
        <v>154</v>
      </c>
      <c r="B158" s="40" t="inlineStr">
        <is>
          <t>BD-HNA-2025-0181</t>
        </is>
      </c>
      <c r="C158" s="41" t="inlineStr">
        <is>
          <t>Bonito Handles - H-120 - Rose Gold Handle  - 195mm</t>
        </is>
      </c>
      <c r="D158" s="39" t="inlineStr">
        <is>
          <t>Bonito Handles</t>
        </is>
      </c>
      <c r="E158" s="43" t="n">
        <v>46125</v>
      </c>
      <c r="F158" s="26" t="inlineStr">
        <is>
          <t>Sunil CR</t>
        </is>
      </c>
      <c r="G158" s="44" t="inlineStr">
        <is>
          <t>No</t>
        </is>
      </c>
      <c r="H158" s="26" t="inlineStr">
        <is>
          <t>No</t>
        </is>
      </c>
      <c r="I158" s="44" t="inlineStr">
        <is>
          <t>Not Available</t>
        </is>
      </c>
      <c r="J158" s="26" t="inlineStr">
        <is>
          <t>No</t>
        </is>
      </c>
      <c r="K158" s="27" t="n"/>
      <c r="L158" s="28" t="inlineStr">
        <is>
          <t>Yes</t>
        </is>
      </c>
      <c r="M158" s="29">
        <f>IF(E158="","",IF(H158="Yes","❌ Disc",IF(G158="No","⚠ Missing",IF(J158="Yes","✓ OK","⚠ Check"))))</f>
        <v/>
      </c>
      <c r="N158" s="43" t="n">
        <v>46196</v>
      </c>
      <c r="O158" s="26" t="inlineStr">
        <is>
          <t>Sunil CR</t>
        </is>
      </c>
      <c r="P158" s="44" t="inlineStr">
        <is>
          <t>No</t>
        </is>
      </c>
      <c r="Q158" s="26" t="inlineStr">
        <is>
          <t>No</t>
        </is>
      </c>
      <c r="R158" s="44" t="inlineStr">
        <is>
          <t>Not Available</t>
        </is>
      </c>
      <c r="S158" s="26" t="inlineStr">
        <is>
          <t>No</t>
        </is>
      </c>
      <c r="T158" s="27" t="n"/>
      <c r="U158" s="28" t="inlineStr">
        <is>
          <t>Yes</t>
        </is>
      </c>
      <c r="V158" s="29">
        <f>IF(N158="","",IF(Q158="Yes","❌ Disc",IF(P158="No","⚠ Missing",IF(S158="Yes","✓ OK","⚠ Check"))))</f>
        <v/>
      </c>
      <c r="W158" s="65" t="n">
        <v>46248</v>
      </c>
      <c r="X158" s="30" t="inlineStr">
        <is>
          <t>Sunil CR</t>
        </is>
      </c>
      <c r="Y158" s="30" t="inlineStr">
        <is>
          <t>No</t>
        </is>
      </c>
      <c r="Z158" s="30" t="n"/>
      <c r="AA158" s="30" t="inlineStr">
        <is>
          <t>Not Available</t>
        </is>
      </c>
      <c r="AB158" s="30" t="inlineStr">
        <is>
          <t>No</t>
        </is>
      </c>
      <c r="AC158" s="27" t="n"/>
      <c r="AD158" s="31" t="inlineStr">
        <is>
          <t>Yes</t>
        </is>
      </c>
      <c r="AE158" s="32">
        <f>IF(W158="","",IF(Z158="Yes","❌ Disc",IF(Y158="No","⚠ Missing",IF(AB158="Yes","✓ OK","⚠ Check"))))</f>
        <v/>
      </c>
      <c r="AF158" s="33" t="n"/>
      <c r="AG158" s="33" t="n"/>
      <c r="AH158" s="33" t="n"/>
      <c r="AI158" s="33" t="n"/>
      <c r="AJ158" s="33" t="n"/>
      <c r="AK158" s="33" t="n"/>
      <c r="AL158" s="27" t="n"/>
      <c r="AM158" s="34" t="n"/>
      <c r="AN158" s="35">
        <f>IF(AF158="","",IF(AI158="Yes","❌ Disc",IF(AH158="No","⚠ Missing",IF(AK158="Yes","✓ OK","⚠ Check"))))</f>
        <v/>
      </c>
      <c r="AO158" s="36" t="n"/>
      <c r="AP158" s="36" t="n"/>
      <c r="AQ158" s="36" t="n"/>
      <c r="AR158" s="36" t="n"/>
      <c r="AS158" s="36" t="n"/>
      <c r="AT158" s="36" t="n"/>
      <c r="AU158" s="27" t="n"/>
      <c r="AV158" s="37" t="n"/>
      <c r="AW158" s="38">
        <f>IF(AO158="","",IF(AR158="Yes","❌ Disc",IF(AQ158="No","⚠ Missing",IF(AT158="Yes","✓ OK","⚠ Check"))))</f>
        <v/>
      </c>
    </row>
    <row r="159" ht="18" customHeight="1" s="46">
      <c r="A159" s="23" t="n">
        <v>155</v>
      </c>
      <c r="B159" s="24" t="inlineStr">
        <is>
          <t>BD-HNA-2025-0182</t>
        </is>
      </c>
      <c r="C159" s="25" t="inlineStr">
        <is>
          <t>Bonito Handles - H-120 - Rose Gold Handle  - 262mm</t>
        </is>
      </c>
      <c r="D159" s="23" t="inlineStr">
        <is>
          <t>Bonito Handles</t>
        </is>
      </c>
      <c r="E159" s="43" t="n">
        <v>46125</v>
      </c>
      <c r="F159" s="26" t="inlineStr">
        <is>
          <t>Sunil CR</t>
        </is>
      </c>
      <c r="G159" s="44" t="inlineStr">
        <is>
          <t>No</t>
        </is>
      </c>
      <c r="H159" s="26" t="inlineStr">
        <is>
          <t>No</t>
        </is>
      </c>
      <c r="I159" s="44" t="inlineStr">
        <is>
          <t>Not Available</t>
        </is>
      </c>
      <c r="J159" s="26" t="inlineStr">
        <is>
          <t>No</t>
        </is>
      </c>
      <c r="K159" s="27" t="n"/>
      <c r="L159" s="28" t="inlineStr">
        <is>
          <t>Yes</t>
        </is>
      </c>
      <c r="M159" s="29">
        <f>IF(E159="","",IF(H159="Yes","❌ Disc",IF(G159="No","⚠ Missing",IF(J159="Yes","✓ OK","⚠ Check"))))</f>
        <v/>
      </c>
      <c r="N159" s="43" t="n">
        <v>46196</v>
      </c>
      <c r="O159" s="26" t="inlineStr">
        <is>
          <t>Sunil CR</t>
        </is>
      </c>
      <c r="P159" s="44" t="inlineStr">
        <is>
          <t>No</t>
        </is>
      </c>
      <c r="Q159" s="26" t="inlineStr">
        <is>
          <t>No</t>
        </is>
      </c>
      <c r="R159" s="44" t="inlineStr">
        <is>
          <t>Not Available</t>
        </is>
      </c>
      <c r="S159" s="26" t="inlineStr">
        <is>
          <t>No</t>
        </is>
      </c>
      <c r="T159" s="27" t="n"/>
      <c r="U159" s="28" t="inlineStr">
        <is>
          <t>Yes</t>
        </is>
      </c>
      <c r="V159" s="29">
        <f>IF(N159="","",IF(Q159="Yes","❌ Disc",IF(P159="No","⚠ Missing",IF(S159="Yes","✓ OK","⚠ Check"))))</f>
        <v/>
      </c>
      <c r="W159" s="65" t="n">
        <v>46248</v>
      </c>
      <c r="X159" s="30" t="inlineStr">
        <is>
          <t>Sunil CR</t>
        </is>
      </c>
      <c r="Y159" s="30" t="inlineStr">
        <is>
          <t>No</t>
        </is>
      </c>
      <c r="Z159" s="30" t="n"/>
      <c r="AA159" s="30" t="inlineStr">
        <is>
          <t>Not Available</t>
        </is>
      </c>
      <c r="AB159" s="30" t="inlineStr">
        <is>
          <t>No</t>
        </is>
      </c>
      <c r="AC159" s="27" t="n"/>
      <c r="AD159" s="31" t="inlineStr">
        <is>
          <t>Yes</t>
        </is>
      </c>
      <c r="AE159" s="32">
        <f>IF(W159="","",IF(Z159="Yes","❌ Disc",IF(Y159="No","⚠ Missing",IF(AB159="Yes","✓ OK","⚠ Check"))))</f>
        <v/>
      </c>
      <c r="AF159" s="33" t="n"/>
      <c r="AG159" s="33" t="n"/>
      <c r="AH159" s="33" t="n"/>
      <c r="AI159" s="33" t="n"/>
      <c r="AJ159" s="33" t="n"/>
      <c r="AK159" s="33" t="n"/>
      <c r="AL159" s="27" t="n"/>
      <c r="AM159" s="34" t="n"/>
      <c r="AN159" s="35">
        <f>IF(AF159="","",IF(AI159="Yes","❌ Disc",IF(AH159="No","⚠ Missing",IF(AK159="Yes","✓ OK","⚠ Check"))))</f>
        <v/>
      </c>
      <c r="AO159" s="36" t="n"/>
      <c r="AP159" s="36" t="n"/>
      <c r="AQ159" s="36" t="n"/>
      <c r="AR159" s="36" t="n"/>
      <c r="AS159" s="36" t="n"/>
      <c r="AT159" s="36" t="n"/>
      <c r="AU159" s="27" t="n"/>
      <c r="AV159" s="37" t="n"/>
      <c r="AW159" s="38">
        <f>IF(AO159="","",IF(AR159="Yes","❌ Disc",IF(AQ159="No","⚠ Missing",IF(AT159="Yes","✓ OK","⚠ Check"))))</f>
        <v/>
      </c>
    </row>
    <row r="160" ht="18" customHeight="1" s="46">
      <c r="A160" s="39" t="n">
        <v>156</v>
      </c>
      <c r="B160" s="40" t="inlineStr">
        <is>
          <t>BD-HNA-2025-0203</t>
        </is>
      </c>
      <c r="C160" s="41" t="inlineStr">
        <is>
          <t>Bonito Handles - H-122 - Rose Gold Handle  - 175mm</t>
        </is>
      </c>
      <c r="D160" s="39" t="inlineStr">
        <is>
          <t>Bonito Handles</t>
        </is>
      </c>
      <c r="E160" s="43" t="n">
        <v>46125</v>
      </c>
      <c r="F160" s="26" t="inlineStr">
        <is>
          <t>Sunil CR</t>
        </is>
      </c>
      <c r="G160" s="44" t="inlineStr">
        <is>
          <t>Represented by Sample</t>
        </is>
      </c>
      <c r="H160" s="26" t="inlineStr">
        <is>
          <t>No</t>
        </is>
      </c>
      <c r="I160" s="44" t="inlineStr">
        <is>
          <t>Represented by Sample</t>
        </is>
      </c>
      <c r="J160" s="26" t="inlineStr">
        <is>
          <t>Yes</t>
        </is>
      </c>
      <c r="K160" s="27" t="n"/>
      <c r="L160" s="28" t="inlineStr">
        <is>
          <t>No</t>
        </is>
      </c>
      <c r="M160" s="29">
        <f>IF(E160="","",IF(H160="Yes","❌ Disc",IF(G160="No","⚠ Missing",IF(J160="Yes","✓ OK","⚠ Check"))))</f>
        <v/>
      </c>
      <c r="N160" s="43" t="n">
        <v>46196</v>
      </c>
      <c r="O160" s="26" t="inlineStr">
        <is>
          <t>Sunil CR</t>
        </is>
      </c>
      <c r="P160" s="44" t="inlineStr">
        <is>
          <t>Represented by Sample</t>
        </is>
      </c>
      <c r="Q160" s="26" t="inlineStr">
        <is>
          <t>No</t>
        </is>
      </c>
      <c r="R160" s="44" t="inlineStr">
        <is>
          <t>Represented by Sample</t>
        </is>
      </c>
      <c r="S160" s="26" t="inlineStr">
        <is>
          <t>Yes</t>
        </is>
      </c>
      <c r="T160" s="27" t="n"/>
      <c r="U160" s="28" t="inlineStr">
        <is>
          <t>No</t>
        </is>
      </c>
      <c r="V160" s="29">
        <f>IF(N160="","",IF(Q160="Yes","❌ Disc",IF(P160="No","⚠ Missing",IF(S160="Yes","✓ OK","⚠ Check"))))</f>
        <v/>
      </c>
      <c r="W160" s="65" t="n">
        <v>46248</v>
      </c>
      <c r="X160" s="30" t="inlineStr">
        <is>
          <t>Sunil CR</t>
        </is>
      </c>
      <c r="Y160" s="30" t="inlineStr">
        <is>
          <t>Represented by Sample</t>
        </is>
      </c>
      <c r="Z160" s="30" t="n"/>
      <c r="AA160" s="30" t="inlineStr">
        <is>
          <t>Represented by Sample</t>
        </is>
      </c>
      <c r="AB160" s="30" t="inlineStr">
        <is>
          <t>Yes</t>
        </is>
      </c>
      <c r="AC160" s="27" t="n"/>
      <c r="AD160" s="31" t="inlineStr">
        <is>
          <t>No</t>
        </is>
      </c>
      <c r="AE160" s="32">
        <f>IF(W160="","",IF(Z160="Yes","❌ Disc",IF(Y160="No","⚠ Missing",IF(AB160="Yes","✓ OK","⚠ Check"))))</f>
        <v/>
      </c>
      <c r="AF160" s="33" t="n"/>
      <c r="AG160" s="33" t="n"/>
      <c r="AH160" s="33" t="n"/>
      <c r="AI160" s="33" t="n"/>
      <c r="AJ160" s="33" t="n"/>
      <c r="AK160" s="33" t="n"/>
      <c r="AL160" s="27" t="n"/>
      <c r="AM160" s="34" t="n"/>
      <c r="AN160" s="35">
        <f>IF(AF160="","",IF(AI160="Yes","❌ Disc",IF(AH160="No","⚠ Missing",IF(AK160="Yes","✓ OK","⚠ Check"))))</f>
        <v/>
      </c>
      <c r="AO160" s="36" t="n"/>
      <c r="AP160" s="36" t="n"/>
      <c r="AQ160" s="36" t="n"/>
      <c r="AR160" s="36" t="n"/>
      <c r="AS160" s="36" t="n"/>
      <c r="AT160" s="36" t="n"/>
      <c r="AU160" s="27" t="n"/>
      <c r="AV160" s="37" t="n"/>
      <c r="AW160" s="38">
        <f>IF(AO160="","",IF(AR160="Yes","❌ Disc",IF(AQ160="No","⚠ Missing",IF(AT160="Yes","✓ OK","⚠ Check"))))</f>
        <v/>
      </c>
    </row>
    <row r="161" ht="18" customHeight="1" s="46">
      <c r="A161" s="23" t="n">
        <v>157</v>
      </c>
      <c r="B161" s="24" t="inlineStr">
        <is>
          <t>BD-HNA-2025-0204</t>
        </is>
      </c>
      <c r="C161" s="25" t="inlineStr">
        <is>
          <t>Bonito Handles - H-122 - Rose Gold Handle  - 305mm</t>
        </is>
      </c>
      <c r="D161" s="23" t="inlineStr">
        <is>
          <t>Bonito Handles</t>
        </is>
      </c>
      <c r="E161" s="43" t="n">
        <v>46125</v>
      </c>
      <c r="F161" s="26" t="inlineStr">
        <is>
          <t>Sunil CR</t>
        </is>
      </c>
      <c r="G161" s="44" t="inlineStr">
        <is>
          <t>Represented by Sample</t>
        </is>
      </c>
      <c r="H161" s="26" t="inlineStr">
        <is>
          <t>No</t>
        </is>
      </c>
      <c r="I161" s="44" t="inlineStr">
        <is>
          <t>Represented by Sample</t>
        </is>
      </c>
      <c r="J161" s="26" t="inlineStr">
        <is>
          <t>Yes</t>
        </is>
      </c>
      <c r="K161" s="27" t="n"/>
      <c r="L161" s="28" t="inlineStr">
        <is>
          <t>No</t>
        </is>
      </c>
      <c r="M161" s="29">
        <f>IF(E161="","",IF(H161="Yes","❌ Disc",IF(G161="No","⚠ Missing",IF(J161="Yes","✓ OK","⚠ Check"))))</f>
        <v/>
      </c>
      <c r="N161" s="43" t="n">
        <v>46196</v>
      </c>
      <c r="O161" s="26" t="inlineStr">
        <is>
          <t>Sunil CR</t>
        </is>
      </c>
      <c r="P161" s="44" t="inlineStr">
        <is>
          <t>Represented by Sample</t>
        </is>
      </c>
      <c r="Q161" s="26" t="inlineStr">
        <is>
          <t>No</t>
        </is>
      </c>
      <c r="R161" s="44" t="inlineStr">
        <is>
          <t>Represented by Sample</t>
        </is>
      </c>
      <c r="S161" s="26" t="inlineStr">
        <is>
          <t>Yes</t>
        </is>
      </c>
      <c r="T161" s="27" t="n"/>
      <c r="U161" s="28" t="inlineStr">
        <is>
          <t>No</t>
        </is>
      </c>
      <c r="V161" s="29">
        <f>IF(N161="","",IF(Q161="Yes","❌ Disc",IF(P161="No","⚠ Missing",IF(S161="Yes","✓ OK","⚠ Check"))))</f>
        <v/>
      </c>
      <c r="W161" s="65" t="n">
        <v>46248</v>
      </c>
      <c r="X161" s="30" t="inlineStr">
        <is>
          <t>Sunil CR</t>
        </is>
      </c>
      <c r="Y161" s="30" t="inlineStr">
        <is>
          <t>Represented by Sample</t>
        </is>
      </c>
      <c r="Z161" s="30" t="n"/>
      <c r="AA161" s="30" t="inlineStr">
        <is>
          <t>Represented by Sample</t>
        </is>
      </c>
      <c r="AB161" s="30" t="inlineStr">
        <is>
          <t>Yes</t>
        </is>
      </c>
      <c r="AC161" s="27" t="n"/>
      <c r="AD161" s="31" t="inlineStr">
        <is>
          <t>No</t>
        </is>
      </c>
      <c r="AE161" s="32">
        <f>IF(W161="","",IF(Z161="Yes","❌ Disc",IF(Y161="No","⚠ Missing",IF(AB161="Yes","✓ OK","⚠ Check"))))</f>
        <v/>
      </c>
      <c r="AF161" s="33" t="n"/>
      <c r="AG161" s="33" t="n"/>
      <c r="AH161" s="33" t="n"/>
      <c r="AI161" s="33" t="n"/>
      <c r="AJ161" s="33" t="n"/>
      <c r="AK161" s="33" t="n"/>
      <c r="AL161" s="27" t="n"/>
      <c r="AM161" s="34" t="n"/>
      <c r="AN161" s="35">
        <f>IF(AF161="","",IF(AI161="Yes","❌ Disc",IF(AH161="No","⚠ Missing",IF(AK161="Yes","✓ OK","⚠ Check"))))</f>
        <v/>
      </c>
      <c r="AO161" s="36" t="n"/>
      <c r="AP161" s="36" t="n"/>
      <c r="AQ161" s="36" t="n"/>
      <c r="AR161" s="36" t="n"/>
      <c r="AS161" s="36" t="n"/>
      <c r="AT161" s="36" t="n"/>
      <c r="AU161" s="27" t="n"/>
      <c r="AV161" s="37" t="n"/>
      <c r="AW161" s="38">
        <f>IF(AO161="","",IF(AR161="Yes","❌ Disc",IF(AQ161="No","⚠ Missing",IF(AT161="Yes","✓ OK","⚠ Check"))))</f>
        <v/>
      </c>
    </row>
    <row r="162" ht="18" customHeight="1" s="46">
      <c r="A162" s="39" t="n">
        <v>158</v>
      </c>
      <c r="B162" s="40" t="inlineStr">
        <is>
          <t>BD-HNA-2025-0201</t>
        </is>
      </c>
      <c r="C162" s="41" t="inlineStr">
        <is>
          <t>Bonito Handles - H-122 - Satin Handle  - 175mm</t>
        </is>
      </c>
      <c r="D162" s="39" t="inlineStr">
        <is>
          <t>Bonito Handles</t>
        </is>
      </c>
      <c r="E162" s="43" t="n">
        <v>46125</v>
      </c>
      <c r="F162" s="26" t="inlineStr">
        <is>
          <t>Sunil CR</t>
        </is>
      </c>
      <c r="G162" s="44" t="inlineStr">
        <is>
          <t>Represented by Sample</t>
        </is>
      </c>
      <c r="H162" s="26" t="inlineStr">
        <is>
          <t>No</t>
        </is>
      </c>
      <c r="I162" s="44" t="inlineStr">
        <is>
          <t>Represented by Sample</t>
        </is>
      </c>
      <c r="J162" s="26" t="inlineStr">
        <is>
          <t>Yes</t>
        </is>
      </c>
      <c r="K162" s="27" t="n"/>
      <c r="L162" s="28" t="inlineStr">
        <is>
          <t>No</t>
        </is>
      </c>
      <c r="M162" s="29">
        <f>IF(E162="","",IF(H162="Yes","❌ Disc",IF(G162="No","⚠ Missing",IF(J162="Yes","✓ OK","⚠ Check"))))</f>
        <v/>
      </c>
      <c r="N162" s="43" t="n">
        <v>46196</v>
      </c>
      <c r="O162" s="26" t="inlineStr">
        <is>
          <t>Sunil CR</t>
        </is>
      </c>
      <c r="P162" s="44" t="inlineStr">
        <is>
          <t>Represented by Sample</t>
        </is>
      </c>
      <c r="Q162" s="26" t="inlineStr">
        <is>
          <t>No</t>
        </is>
      </c>
      <c r="R162" s="44" t="inlineStr">
        <is>
          <t>Represented by Sample</t>
        </is>
      </c>
      <c r="S162" s="26" t="inlineStr">
        <is>
          <t>Yes</t>
        </is>
      </c>
      <c r="T162" s="27" t="n"/>
      <c r="U162" s="28" t="inlineStr">
        <is>
          <t>No</t>
        </is>
      </c>
      <c r="V162" s="29">
        <f>IF(N162="","",IF(Q162="Yes","❌ Disc",IF(P162="No","⚠ Missing",IF(S162="Yes","✓ OK","⚠ Check"))))</f>
        <v/>
      </c>
      <c r="W162" s="65" t="n">
        <v>46248</v>
      </c>
      <c r="X162" s="30" t="inlineStr">
        <is>
          <t>Sunil CR</t>
        </is>
      </c>
      <c r="Y162" s="30" t="inlineStr">
        <is>
          <t>Represented by Sample</t>
        </is>
      </c>
      <c r="Z162" s="30" t="n"/>
      <c r="AA162" s="30" t="inlineStr">
        <is>
          <t>Represented by Sample</t>
        </is>
      </c>
      <c r="AB162" s="30" t="inlineStr">
        <is>
          <t>Yes</t>
        </is>
      </c>
      <c r="AC162" s="27" t="n"/>
      <c r="AD162" s="31" t="inlineStr">
        <is>
          <t>No</t>
        </is>
      </c>
      <c r="AE162" s="32">
        <f>IF(W162="","",IF(Z162="Yes","❌ Disc",IF(Y162="No","⚠ Missing",IF(AB162="Yes","✓ OK","⚠ Check"))))</f>
        <v/>
      </c>
      <c r="AF162" s="33" t="n"/>
      <c r="AG162" s="33" t="n"/>
      <c r="AH162" s="33" t="n"/>
      <c r="AI162" s="33" t="n"/>
      <c r="AJ162" s="33" t="n"/>
      <c r="AK162" s="33" t="n"/>
      <c r="AL162" s="27" t="n"/>
      <c r="AM162" s="34" t="n"/>
      <c r="AN162" s="35">
        <f>IF(AF162="","",IF(AI162="Yes","❌ Disc",IF(AH162="No","⚠ Missing",IF(AK162="Yes","✓ OK","⚠ Check"))))</f>
        <v/>
      </c>
      <c r="AO162" s="36" t="n"/>
      <c r="AP162" s="36" t="n"/>
      <c r="AQ162" s="36" t="n"/>
      <c r="AR162" s="36" t="n"/>
      <c r="AS162" s="36" t="n"/>
      <c r="AT162" s="36" t="n"/>
      <c r="AU162" s="27" t="n"/>
      <c r="AV162" s="37" t="n"/>
      <c r="AW162" s="38">
        <f>IF(AO162="","",IF(AR162="Yes","❌ Disc",IF(AQ162="No","⚠ Missing",IF(AT162="Yes","✓ OK","⚠ Check"))))</f>
        <v/>
      </c>
    </row>
    <row r="163" ht="18" customHeight="1" s="46">
      <c r="A163" s="23" t="n">
        <v>159</v>
      </c>
      <c r="B163" s="24" t="inlineStr">
        <is>
          <t>BD-HNA-2025-0202</t>
        </is>
      </c>
      <c r="C163" s="25" t="inlineStr">
        <is>
          <t>Bonito Handles - H-122 - Satin Handle  - 305mm</t>
        </is>
      </c>
      <c r="D163" s="23" t="inlineStr">
        <is>
          <t>Bonito Handles</t>
        </is>
      </c>
      <c r="E163" s="43" t="n">
        <v>46125</v>
      </c>
      <c r="F163" s="26" t="inlineStr">
        <is>
          <t>Sunil CR</t>
        </is>
      </c>
      <c r="G163" s="44" t="inlineStr">
        <is>
          <t>Yes</t>
        </is>
      </c>
      <c r="H163" s="26" t="inlineStr">
        <is>
          <t>No</t>
        </is>
      </c>
      <c r="I163" s="44" t="inlineStr">
        <is>
          <t>Good finish</t>
        </is>
      </c>
      <c r="J163" s="26" t="inlineStr">
        <is>
          <t>Yes</t>
        </is>
      </c>
      <c r="K163" s="27" t="n"/>
      <c r="L163" s="28" t="inlineStr">
        <is>
          <t>No</t>
        </is>
      </c>
      <c r="M163" s="29">
        <f>IF(E163="","",IF(H163="Yes","❌ Disc",IF(G163="No","⚠ Missing",IF(J163="Yes","✓ OK","⚠ Check"))))</f>
        <v/>
      </c>
      <c r="N163" s="43" t="n">
        <v>46196</v>
      </c>
      <c r="O163" s="26" t="inlineStr">
        <is>
          <t>Sunil CR</t>
        </is>
      </c>
      <c r="P163" s="44" t="inlineStr">
        <is>
          <t>Yes</t>
        </is>
      </c>
      <c r="Q163" s="26" t="inlineStr">
        <is>
          <t>No</t>
        </is>
      </c>
      <c r="R163" s="44" t="inlineStr">
        <is>
          <t>Good finish</t>
        </is>
      </c>
      <c r="S163" s="26" t="inlineStr">
        <is>
          <t>Yes</t>
        </is>
      </c>
      <c r="T163" s="27" t="n"/>
      <c r="U163" s="28" t="inlineStr">
        <is>
          <t>No</t>
        </is>
      </c>
      <c r="V163" s="29">
        <f>IF(N163="","",IF(Q163="Yes","❌ Disc",IF(P163="No","⚠ Missing",IF(S163="Yes","✓ OK","⚠ Check"))))</f>
        <v/>
      </c>
      <c r="W163" s="65" t="n">
        <v>46248</v>
      </c>
      <c r="X163" s="30" t="inlineStr">
        <is>
          <t>Sunil CR</t>
        </is>
      </c>
      <c r="Y163" s="30" t="inlineStr">
        <is>
          <t>Yes</t>
        </is>
      </c>
      <c r="Z163" s="30" t="n"/>
      <c r="AA163" s="30" t="inlineStr">
        <is>
          <t>Good finish</t>
        </is>
      </c>
      <c r="AB163" s="30" t="inlineStr">
        <is>
          <t>Yes</t>
        </is>
      </c>
      <c r="AC163" s="27" t="n"/>
      <c r="AD163" s="31" t="inlineStr">
        <is>
          <t>No</t>
        </is>
      </c>
      <c r="AE163" s="32">
        <f>IF(W163="","",IF(Z163="Yes","❌ Disc",IF(Y163="No","⚠ Missing",IF(AB163="Yes","✓ OK","⚠ Check"))))</f>
        <v/>
      </c>
      <c r="AF163" s="33" t="n"/>
      <c r="AG163" s="33" t="n"/>
      <c r="AH163" s="33" t="n"/>
      <c r="AI163" s="33" t="n"/>
      <c r="AJ163" s="33" t="n"/>
      <c r="AK163" s="33" t="n"/>
      <c r="AL163" s="27" t="n"/>
      <c r="AM163" s="34" t="n"/>
      <c r="AN163" s="35">
        <f>IF(AF163="","",IF(AI163="Yes","❌ Disc",IF(AH163="No","⚠ Missing",IF(AK163="Yes","✓ OK","⚠ Check"))))</f>
        <v/>
      </c>
      <c r="AO163" s="36" t="n"/>
      <c r="AP163" s="36" t="n"/>
      <c r="AQ163" s="36" t="n"/>
      <c r="AR163" s="36" t="n"/>
      <c r="AS163" s="36" t="n"/>
      <c r="AT163" s="36" t="n"/>
      <c r="AU163" s="27" t="n"/>
      <c r="AV163" s="37" t="n"/>
      <c r="AW163" s="38">
        <f>IF(AO163="","",IF(AR163="Yes","❌ Disc",IF(AQ163="No","⚠ Missing",IF(AT163="Yes","✓ OK","⚠ Check"))))</f>
        <v/>
      </c>
    </row>
    <row r="164" ht="18" customHeight="1" s="46">
      <c r="A164" s="39" t="n">
        <v>160</v>
      </c>
      <c r="B164" s="40" t="inlineStr">
        <is>
          <t>BD-HNA-2025-0221</t>
        </is>
      </c>
      <c r="C164" s="41" t="inlineStr">
        <is>
          <t>Bonito Handles - H-132 - Antique Handle  - 132mm</t>
        </is>
      </c>
      <c r="D164" s="39" t="inlineStr">
        <is>
          <t>Bonito Handles</t>
        </is>
      </c>
      <c r="E164" s="43" t="n">
        <v>46125</v>
      </c>
      <c r="F164" s="26" t="inlineStr">
        <is>
          <t>Sunil CR</t>
        </is>
      </c>
      <c r="G164" s="44" t="inlineStr">
        <is>
          <t>Represented by Sample</t>
        </is>
      </c>
      <c r="H164" s="26" t="inlineStr">
        <is>
          <t>No</t>
        </is>
      </c>
      <c r="I164" s="44" t="inlineStr">
        <is>
          <t>Represented by Sample</t>
        </is>
      </c>
      <c r="J164" s="26" t="inlineStr">
        <is>
          <t>Yes</t>
        </is>
      </c>
      <c r="K164" s="27" t="n"/>
      <c r="L164" s="28" t="inlineStr">
        <is>
          <t>No</t>
        </is>
      </c>
      <c r="M164" s="29">
        <f>IF(E164="","",IF(H164="Yes","❌ Disc",IF(G164="No","⚠ Missing",IF(J164="Yes","✓ OK","⚠ Check"))))</f>
        <v/>
      </c>
      <c r="N164" s="43" t="n">
        <v>46196</v>
      </c>
      <c r="O164" s="26" t="inlineStr">
        <is>
          <t>Sunil CR</t>
        </is>
      </c>
      <c r="P164" s="44" t="inlineStr">
        <is>
          <t>Represented by Sample</t>
        </is>
      </c>
      <c r="Q164" s="26" t="inlineStr">
        <is>
          <t>No</t>
        </is>
      </c>
      <c r="R164" s="44" t="inlineStr">
        <is>
          <t>Represented by Sample</t>
        </is>
      </c>
      <c r="S164" s="26" t="inlineStr">
        <is>
          <t>Yes</t>
        </is>
      </c>
      <c r="T164" s="27" t="n"/>
      <c r="U164" s="28" t="inlineStr">
        <is>
          <t>No</t>
        </is>
      </c>
      <c r="V164" s="29">
        <f>IF(N164="","",IF(Q164="Yes","❌ Disc",IF(P164="No","⚠ Missing",IF(S164="Yes","✓ OK","⚠ Check"))))</f>
        <v/>
      </c>
      <c r="W164" s="65" t="n">
        <v>46248</v>
      </c>
      <c r="X164" s="30" t="inlineStr">
        <is>
          <t>Sunil CR</t>
        </is>
      </c>
      <c r="Y164" s="30" t="inlineStr">
        <is>
          <t>Represented by Sample</t>
        </is>
      </c>
      <c r="Z164" s="30" t="n"/>
      <c r="AA164" s="30" t="inlineStr">
        <is>
          <t>Represented by Sample</t>
        </is>
      </c>
      <c r="AB164" s="30" t="inlineStr">
        <is>
          <t>Yes</t>
        </is>
      </c>
      <c r="AC164" s="27" t="n"/>
      <c r="AD164" s="31" t="inlineStr">
        <is>
          <t>No</t>
        </is>
      </c>
      <c r="AE164" s="32">
        <f>IF(W164="","",IF(Z164="Yes","❌ Disc",IF(Y164="No","⚠ Missing",IF(AB164="Yes","✓ OK","⚠ Check"))))</f>
        <v/>
      </c>
      <c r="AF164" s="33" t="n"/>
      <c r="AG164" s="33" t="n"/>
      <c r="AH164" s="33" t="n"/>
      <c r="AI164" s="33" t="n"/>
      <c r="AJ164" s="33" t="n"/>
      <c r="AK164" s="33" t="n"/>
      <c r="AL164" s="27" t="n"/>
      <c r="AM164" s="34" t="n"/>
      <c r="AN164" s="35">
        <f>IF(AF164="","",IF(AI164="Yes","❌ Disc",IF(AH164="No","⚠ Missing",IF(AK164="Yes","✓ OK","⚠ Check"))))</f>
        <v/>
      </c>
      <c r="AO164" s="36" t="n"/>
      <c r="AP164" s="36" t="n"/>
      <c r="AQ164" s="36" t="n"/>
      <c r="AR164" s="36" t="n"/>
      <c r="AS164" s="36" t="n"/>
      <c r="AT164" s="36" t="n"/>
      <c r="AU164" s="27" t="n"/>
      <c r="AV164" s="37" t="n"/>
      <c r="AW164" s="38">
        <f>IF(AO164="","",IF(AR164="Yes","❌ Disc",IF(AQ164="No","⚠ Missing",IF(AT164="Yes","✓ OK","⚠ Check"))))</f>
        <v/>
      </c>
    </row>
    <row r="165" ht="18" customHeight="1" s="46">
      <c r="A165" s="23" t="n">
        <v>161</v>
      </c>
      <c r="B165" s="24" t="inlineStr">
        <is>
          <t>BD-HNA-2025-0222</t>
        </is>
      </c>
      <c r="C165" s="25" t="inlineStr">
        <is>
          <t>Bonito Handles - H-132 - Antique Handle  - 200mm</t>
        </is>
      </c>
      <c r="D165" s="23" t="inlineStr">
        <is>
          <t>Bonito Handles</t>
        </is>
      </c>
      <c r="E165" s="43" t="n">
        <v>46125</v>
      </c>
      <c r="F165" s="26" t="inlineStr">
        <is>
          <t>Sunil CR</t>
        </is>
      </c>
      <c r="G165" s="44" t="inlineStr">
        <is>
          <t>Represented by Sample</t>
        </is>
      </c>
      <c r="H165" s="26" t="inlineStr">
        <is>
          <t>No</t>
        </is>
      </c>
      <c r="I165" s="44" t="inlineStr">
        <is>
          <t>Represented by Sample</t>
        </is>
      </c>
      <c r="J165" s="26" t="inlineStr">
        <is>
          <t>Yes</t>
        </is>
      </c>
      <c r="K165" s="27" t="n"/>
      <c r="L165" s="28" t="inlineStr">
        <is>
          <t>No</t>
        </is>
      </c>
      <c r="M165" s="29">
        <f>IF(E165="","",IF(H165="Yes","❌ Disc",IF(G165="No","⚠ Missing",IF(J165="Yes","✓ OK","⚠ Check"))))</f>
        <v/>
      </c>
      <c r="N165" s="43" t="n">
        <v>46196</v>
      </c>
      <c r="O165" s="26" t="inlineStr">
        <is>
          <t>Sunil CR</t>
        </is>
      </c>
      <c r="P165" s="44" t="inlineStr">
        <is>
          <t>Represented by Sample</t>
        </is>
      </c>
      <c r="Q165" s="26" t="inlineStr">
        <is>
          <t>No</t>
        </is>
      </c>
      <c r="R165" s="44" t="inlineStr">
        <is>
          <t>Represented by Sample</t>
        </is>
      </c>
      <c r="S165" s="26" t="inlineStr">
        <is>
          <t>Yes</t>
        </is>
      </c>
      <c r="T165" s="27" t="n"/>
      <c r="U165" s="28" t="inlineStr">
        <is>
          <t>No</t>
        </is>
      </c>
      <c r="V165" s="29">
        <f>IF(N165="","",IF(Q165="Yes","❌ Disc",IF(P165="No","⚠ Missing",IF(S165="Yes","✓ OK","⚠ Check"))))</f>
        <v/>
      </c>
      <c r="W165" s="65" t="n">
        <v>46248</v>
      </c>
      <c r="X165" s="30" t="inlineStr">
        <is>
          <t>Sunil CR</t>
        </is>
      </c>
      <c r="Y165" s="30" t="inlineStr">
        <is>
          <t>Represented by Sample</t>
        </is>
      </c>
      <c r="Z165" s="30" t="n"/>
      <c r="AA165" s="30" t="inlineStr">
        <is>
          <t>Represented by Sample</t>
        </is>
      </c>
      <c r="AB165" s="30" t="inlineStr">
        <is>
          <t>Yes</t>
        </is>
      </c>
      <c r="AC165" s="27" t="n"/>
      <c r="AD165" s="31" t="inlineStr">
        <is>
          <t>No</t>
        </is>
      </c>
      <c r="AE165" s="32">
        <f>IF(W165="","",IF(Z165="Yes","❌ Disc",IF(Y165="No","⚠ Missing",IF(AB165="Yes","✓ OK","⚠ Check"))))</f>
        <v/>
      </c>
      <c r="AF165" s="33" t="n"/>
      <c r="AG165" s="33" t="n"/>
      <c r="AH165" s="33" t="n"/>
      <c r="AI165" s="33" t="n"/>
      <c r="AJ165" s="33" t="n"/>
      <c r="AK165" s="33" t="n"/>
      <c r="AL165" s="27" t="n"/>
      <c r="AM165" s="34" t="n"/>
      <c r="AN165" s="35">
        <f>IF(AF165="","",IF(AI165="Yes","❌ Disc",IF(AH165="No","⚠ Missing",IF(AK165="Yes","✓ OK","⚠ Check"))))</f>
        <v/>
      </c>
      <c r="AO165" s="36" t="n"/>
      <c r="AP165" s="36" t="n"/>
      <c r="AQ165" s="36" t="n"/>
      <c r="AR165" s="36" t="n"/>
      <c r="AS165" s="36" t="n"/>
      <c r="AT165" s="36" t="n"/>
      <c r="AU165" s="27" t="n"/>
      <c r="AV165" s="37" t="n"/>
      <c r="AW165" s="38">
        <f>IF(AO165="","",IF(AR165="Yes","❌ Disc",IF(AQ165="No","⚠ Missing",IF(AT165="Yes","✓ OK","⚠ Check"))))</f>
        <v/>
      </c>
    </row>
    <row r="166" ht="18" customHeight="1" s="46">
      <c r="A166" s="39" t="n">
        <v>162</v>
      </c>
      <c r="B166" s="40" t="inlineStr">
        <is>
          <t>BD-HNA-2025-0223</t>
        </is>
      </c>
      <c r="C166" s="41" t="inlineStr">
        <is>
          <t>Bonito Handles - H-132 - Antique Handle  - 345mm</t>
        </is>
      </c>
      <c r="D166" s="39" t="inlineStr">
        <is>
          <t>Bonito Handles</t>
        </is>
      </c>
      <c r="E166" s="43" t="n">
        <v>46125</v>
      </c>
      <c r="F166" s="26" t="inlineStr">
        <is>
          <t>Sunil CR</t>
        </is>
      </c>
      <c r="G166" s="44" t="inlineStr">
        <is>
          <t>Represented by Sample</t>
        </is>
      </c>
      <c r="H166" s="26" t="inlineStr">
        <is>
          <t>No</t>
        </is>
      </c>
      <c r="I166" s="44" t="inlineStr">
        <is>
          <t>Represented by Sample</t>
        </is>
      </c>
      <c r="J166" s="26" t="inlineStr">
        <is>
          <t>Yes</t>
        </is>
      </c>
      <c r="K166" s="27" t="n"/>
      <c r="L166" s="28" t="inlineStr">
        <is>
          <t>No</t>
        </is>
      </c>
      <c r="M166" s="29">
        <f>IF(E166="","",IF(H166="Yes","❌ Disc",IF(G166="No","⚠ Missing",IF(J166="Yes","✓ OK","⚠ Check"))))</f>
        <v/>
      </c>
      <c r="N166" s="43" t="n">
        <v>46196</v>
      </c>
      <c r="O166" s="26" t="inlineStr">
        <is>
          <t>Sunil CR</t>
        </is>
      </c>
      <c r="P166" s="44" t="inlineStr">
        <is>
          <t>Represented by Sample</t>
        </is>
      </c>
      <c r="Q166" s="26" t="inlineStr">
        <is>
          <t>No</t>
        </is>
      </c>
      <c r="R166" s="44" t="inlineStr">
        <is>
          <t>Represented by Sample</t>
        </is>
      </c>
      <c r="S166" s="26" t="inlineStr">
        <is>
          <t>Yes</t>
        </is>
      </c>
      <c r="T166" s="27" t="n"/>
      <c r="U166" s="28" t="inlineStr">
        <is>
          <t>No</t>
        </is>
      </c>
      <c r="V166" s="29">
        <f>IF(N166="","",IF(Q166="Yes","❌ Disc",IF(P166="No","⚠ Missing",IF(S166="Yes","✓ OK","⚠ Check"))))</f>
        <v/>
      </c>
      <c r="W166" s="65" t="n">
        <v>46248</v>
      </c>
      <c r="X166" s="30" t="inlineStr">
        <is>
          <t>Sunil CR</t>
        </is>
      </c>
      <c r="Y166" s="30" t="inlineStr">
        <is>
          <t>Represented by Sample</t>
        </is>
      </c>
      <c r="Z166" s="30" t="n"/>
      <c r="AA166" s="30" t="inlineStr">
        <is>
          <t>Represented by Sample</t>
        </is>
      </c>
      <c r="AB166" s="30" t="inlineStr">
        <is>
          <t>Yes</t>
        </is>
      </c>
      <c r="AC166" s="27" t="n"/>
      <c r="AD166" s="31" t="inlineStr">
        <is>
          <t>No</t>
        </is>
      </c>
      <c r="AE166" s="32">
        <f>IF(W166="","",IF(Z166="Yes","❌ Disc",IF(Y166="No","⚠ Missing",IF(AB166="Yes","✓ OK","⚠ Check"))))</f>
        <v/>
      </c>
      <c r="AF166" s="33" t="n"/>
      <c r="AG166" s="33" t="n"/>
      <c r="AH166" s="33" t="n"/>
      <c r="AI166" s="33" t="n"/>
      <c r="AJ166" s="33" t="n"/>
      <c r="AK166" s="33" t="n"/>
      <c r="AL166" s="27" t="n"/>
      <c r="AM166" s="34" t="n"/>
      <c r="AN166" s="35">
        <f>IF(AF166="","",IF(AI166="Yes","❌ Disc",IF(AH166="No","⚠ Missing",IF(AK166="Yes","✓ OK","⚠ Check"))))</f>
        <v/>
      </c>
      <c r="AO166" s="36" t="n"/>
      <c r="AP166" s="36" t="n"/>
      <c r="AQ166" s="36" t="n"/>
      <c r="AR166" s="36" t="n"/>
      <c r="AS166" s="36" t="n"/>
      <c r="AT166" s="36" t="n"/>
      <c r="AU166" s="27" t="n"/>
      <c r="AV166" s="37" t="n"/>
      <c r="AW166" s="38">
        <f>IF(AO166="","",IF(AR166="Yes","❌ Disc",IF(AQ166="No","⚠ Missing",IF(AT166="Yes","✓ OK","⚠ Check"))))</f>
        <v/>
      </c>
    </row>
    <row r="167" ht="18" customHeight="1" s="46">
      <c r="A167" s="23" t="n">
        <v>163</v>
      </c>
      <c r="B167" s="24" t="inlineStr">
        <is>
          <t>BD-HNA-2025-0224</t>
        </is>
      </c>
      <c r="C167" s="25" t="inlineStr">
        <is>
          <t>Bonito Handles - H-132 - Copper Handle  - 132mm</t>
        </is>
      </c>
      <c r="D167" s="23" t="inlineStr">
        <is>
          <t>Bonito Handles</t>
        </is>
      </c>
      <c r="E167" s="43" t="n">
        <v>46125</v>
      </c>
      <c r="F167" s="26" t="inlineStr">
        <is>
          <t>Sunil CR</t>
        </is>
      </c>
      <c r="G167" s="44" t="inlineStr">
        <is>
          <t>Represented by Sample</t>
        </is>
      </c>
      <c r="H167" s="26" t="inlineStr">
        <is>
          <t>No</t>
        </is>
      </c>
      <c r="I167" s="44" t="inlineStr">
        <is>
          <t>Represented by Sample</t>
        </is>
      </c>
      <c r="J167" s="26" t="inlineStr">
        <is>
          <t>Yes</t>
        </is>
      </c>
      <c r="K167" s="27" t="n"/>
      <c r="L167" s="28" t="inlineStr">
        <is>
          <t>No</t>
        </is>
      </c>
      <c r="M167" s="29">
        <f>IF(E167="","",IF(H167="Yes","❌ Disc",IF(G167="No","⚠ Missing",IF(J167="Yes","✓ OK","⚠ Check"))))</f>
        <v/>
      </c>
      <c r="N167" s="43" t="n">
        <v>46196</v>
      </c>
      <c r="O167" s="26" t="inlineStr">
        <is>
          <t>Sunil CR</t>
        </is>
      </c>
      <c r="P167" s="44" t="inlineStr">
        <is>
          <t>Represented by Sample</t>
        </is>
      </c>
      <c r="Q167" s="26" t="inlineStr">
        <is>
          <t>No</t>
        </is>
      </c>
      <c r="R167" s="44" t="inlineStr">
        <is>
          <t>Represented by Sample</t>
        </is>
      </c>
      <c r="S167" s="26" t="inlineStr">
        <is>
          <t>Yes</t>
        </is>
      </c>
      <c r="T167" s="27" t="n"/>
      <c r="U167" s="28" t="inlineStr">
        <is>
          <t>No</t>
        </is>
      </c>
      <c r="V167" s="29">
        <f>IF(N167="","",IF(Q167="Yes","❌ Disc",IF(P167="No","⚠ Missing",IF(S167="Yes","✓ OK","⚠ Check"))))</f>
        <v/>
      </c>
      <c r="W167" s="65" t="n">
        <v>46248</v>
      </c>
      <c r="X167" s="30" t="inlineStr">
        <is>
          <t>Sunil CR</t>
        </is>
      </c>
      <c r="Y167" s="30" t="inlineStr">
        <is>
          <t>Represented by Sample</t>
        </is>
      </c>
      <c r="Z167" s="30" t="n"/>
      <c r="AA167" s="30" t="inlineStr">
        <is>
          <t>Represented by Sample</t>
        </is>
      </c>
      <c r="AB167" s="30" t="inlineStr">
        <is>
          <t>Yes</t>
        </is>
      </c>
      <c r="AC167" s="27" t="n"/>
      <c r="AD167" s="31" t="inlineStr">
        <is>
          <t>No</t>
        </is>
      </c>
      <c r="AE167" s="32">
        <f>IF(W167="","",IF(Z167="Yes","❌ Disc",IF(Y167="No","⚠ Missing",IF(AB167="Yes","✓ OK","⚠ Check"))))</f>
        <v/>
      </c>
      <c r="AF167" s="33" t="n"/>
      <c r="AG167" s="33" t="n"/>
      <c r="AH167" s="33" t="n"/>
      <c r="AI167" s="33" t="n"/>
      <c r="AJ167" s="33" t="n"/>
      <c r="AK167" s="33" t="n"/>
      <c r="AL167" s="27" t="n"/>
      <c r="AM167" s="34" t="n"/>
      <c r="AN167" s="35">
        <f>IF(AF167="","",IF(AI167="Yes","❌ Disc",IF(AH167="No","⚠ Missing",IF(AK167="Yes","✓ OK","⚠ Check"))))</f>
        <v/>
      </c>
      <c r="AO167" s="36" t="n"/>
      <c r="AP167" s="36" t="n"/>
      <c r="AQ167" s="36" t="n"/>
      <c r="AR167" s="36" t="n"/>
      <c r="AS167" s="36" t="n"/>
      <c r="AT167" s="36" t="n"/>
      <c r="AU167" s="27" t="n"/>
      <c r="AV167" s="37" t="n"/>
      <c r="AW167" s="38">
        <f>IF(AO167="","",IF(AR167="Yes","❌ Disc",IF(AQ167="No","⚠ Missing",IF(AT167="Yes","✓ OK","⚠ Check"))))</f>
        <v/>
      </c>
    </row>
    <row r="168" ht="18" customHeight="1" s="46">
      <c r="A168" s="39" t="n">
        <v>164</v>
      </c>
      <c r="B168" s="40" t="inlineStr">
        <is>
          <t>BD-HNA-2025-0225</t>
        </is>
      </c>
      <c r="C168" s="41" t="inlineStr">
        <is>
          <t>Bonito Handles - H-132 - Copper Handle  - 200mm</t>
        </is>
      </c>
      <c r="D168" s="39" t="inlineStr">
        <is>
          <t>Bonito Handles</t>
        </is>
      </c>
      <c r="E168" s="43" t="n">
        <v>46125</v>
      </c>
      <c r="F168" s="26" t="inlineStr">
        <is>
          <t>Sunil CR</t>
        </is>
      </c>
      <c r="G168" s="44" t="inlineStr">
        <is>
          <t>Yes</t>
        </is>
      </c>
      <c r="H168" s="26" t="inlineStr">
        <is>
          <t>No</t>
        </is>
      </c>
      <c r="I168" s="44" t="inlineStr">
        <is>
          <t>Good finish</t>
        </is>
      </c>
      <c r="J168" s="26" t="inlineStr">
        <is>
          <t>Yes</t>
        </is>
      </c>
      <c r="K168" s="27" t="n"/>
      <c r="L168" s="28" t="inlineStr">
        <is>
          <t>No</t>
        </is>
      </c>
      <c r="M168" s="29">
        <f>IF(E168="","",IF(H168="Yes","❌ Disc",IF(G168="No","⚠ Missing",IF(J168="Yes","✓ OK","⚠ Check"))))</f>
        <v/>
      </c>
      <c r="N168" s="43" t="n">
        <v>46196</v>
      </c>
      <c r="O168" s="26" t="inlineStr">
        <is>
          <t>Sunil CR</t>
        </is>
      </c>
      <c r="P168" s="44" t="inlineStr">
        <is>
          <t>Yes</t>
        </is>
      </c>
      <c r="Q168" s="26" t="inlineStr">
        <is>
          <t>No</t>
        </is>
      </c>
      <c r="R168" s="44" t="inlineStr">
        <is>
          <t>Good finish</t>
        </is>
      </c>
      <c r="S168" s="26" t="inlineStr">
        <is>
          <t>Yes</t>
        </is>
      </c>
      <c r="T168" s="27" t="n"/>
      <c r="U168" s="28" t="inlineStr">
        <is>
          <t>No</t>
        </is>
      </c>
      <c r="V168" s="29">
        <f>IF(N168="","",IF(Q168="Yes","❌ Disc",IF(P168="No","⚠ Missing",IF(S168="Yes","✓ OK","⚠ Check"))))</f>
        <v/>
      </c>
      <c r="W168" s="65" t="n">
        <v>46248</v>
      </c>
      <c r="X168" s="30" t="inlineStr">
        <is>
          <t>Sunil CR</t>
        </is>
      </c>
      <c r="Y168" s="30" t="inlineStr">
        <is>
          <t>Yes</t>
        </is>
      </c>
      <c r="Z168" s="30" t="n"/>
      <c r="AA168" s="30" t="inlineStr">
        <is>
          <t>Good finish</t>
        </is>
      </c>
      <c r="AB168" s="30" t="inlineStr">
        <is>
          <t>Yes</t>
        </is>
      </c>
      <c r="AC168" s="27" t="n"/>
      <c r="AD168" s="31" t="inlineStr">
        <is>
          <t>No</t>
        </is>
      </c>
      <c r="AE168" s="32">
        <f>IF(W168="","",IF(Z168="Yes","❌ Disc",IF(Y168="No","⚠ Missing",IF(AB168="Yes","✓ OK","⚠ Check"))))</f>
        <v/>
      </c>
      <c r="AF168" s="33" t="n"/>
      <c r="AG168" s="33" t="n"/>
      <c r="AH168" s="33" t="n"/>
      <c r="AI168" s="33" t="n"/>
      <c r="AJ168" s="33" t="n"/>
      <c r="AK168" s="33" t="n"/>
      <c r="AL168" s="27" t="n"/>
      <c r="AM168" s="34" t="n"/>
      <c r="AN168" s="35">
        <f>IF(AF168="","",IF(AI168="Yes","❌ Disc",IF(AH168="No","⚠ Missing",IF(AK168="Yes","✓ OK","⚠ Check"))))</f>
        <v/>
      </c>
      <c r="AO168" s="36" t="n"/>
      <c r="AP168" s="36" t="n"/>
      <c r="AQ168" s="36" t="n"/>
      <c r="AR168" s="36" t="n"/>
      <c r="AS168" s="36" t="n"/>
      <c r="AT168" s="36" t="n"/>
      <c r="AU168" s="27" t="n"/>
      <c r="AV168" s="37" t="n"/>
      <c r="AW168" s="38">
        <f>IF(AO168="","",IF(AR168="Yes","❌ Disc",IF(AQ168="No","⚠ Missing",IF(AT168="Yes","✓ OK","⚠ Check"))))</f>
        <v/>
      </c>
    </row>
    <row r="169" ht="18" customHeight="1" s="46">
      <c r="A169" s="23" t="n">
        <v>165</v>
      </c>
      <c r="B169" s="24" t="inlineStr">
        <is>
          <t>BD-HNA-2025-0226</t>
        </is>
      </c>
      <c r="C169" s="25" t="inlineStr">
        <is>
          <t>Bonito Handles - H-132 - Copper Handle  - 345mm</t>
        </is>
      </c>
      <c r="D169" s="23" t="inlineStr">
        <is>
          <t>Bonito Handles</t>
        </is>
      </c>
      <c r="E169" s="43" t="n">
        <v>46125</v>
      </c>
      <c r="F169" s="26" t="inlineStr">
        <is>
          <t>Sunil CR</t>
        </is>
      </c>
      <c r="G169" s="44" t="inlineStr">
        <is>
          <t>Represented by Sample</t>
        </is>
      </c>
      <c r="H169" s="26" t="inlineStr">
        <is>
          <t>No</t>
        </is>
      </c>
      <c r="I169" s="44" t="inlineStr">
        <is>
          <t>Represented by Sample</t>
        </is>
      </c>
      <c r="J169" s="26" t="inlineStr">
        <is>
          <t>Yes</t>
        </is>
      </c>
      <c r="K169" s="27" t="n"/>
      <c r="L169" s="28" t="inlineStr">
        <is>
          <t>No</t>
        </is>
      </c>
      <c r="M169" s="29">
        <f>IF(E169="","",IF(H169="Yes","❌ Disc",IF(G169="No","⚠ Missing",IF(J169="Yes","✓ OK","⚠ Check"))))</f>
        <v/>
      </c>
      <c r="N169" s="43" t="n">
        <v>46196</v>
      </c>
      <c r="O169" s="26" t="inlineStr">
        <is>
          <t>Sunil CR</t>
        </is>
      </c>
      <c r="P169" s="44" t="inlineStr">
        <is>
          <t>Represented by Sample</t>
        </is>
      </c>
      <c r="Q169" s="26" t="inlineStr">
        <is>
          <t>No</t>
        </is>
      </c>
      <c r="R169" s="44" t="inlineStr">
        <is>
          <t>Represented by Sample</t>
        </is>
      </c>
      <c r="S169" s="26" t="inlineStr">
        <is>
          <t>Yes</t>
        </is>
      </c>
      <c r="T169" s="27" t="n"/>
      <c r="U169" s="28" t="inlineStr">
        <is>
          <t>No</t>
        </is>
      </c>
      <c r="V169" s="29">
        <f>IF(N169="","",IF(Q169="Yes","❌ Disc",IF(P169="No","⚠ Missing",IF(S169="Yes","✓ OK","⚠ Check"))))</f>
        <v/>
      </c>
      <c r="W169" s="65" t="n">
        <v>46248</v>
      </c>
      <c r="X169" s="30" t="inlineStr">
        <is>
          <t>Sunil CR</t>
        </is>
      </c>
      <c r="Y169" s="30" t="inlineStr">
        <is>
          <t>Represented by Sample</t>
        </is>
      </c>
      <c r="Z169" s="30" t="n"/>
      <c r="AA169" s="30" t="inlineStr">
        <is>
          <t>Represented by Sample</t>
        </is>
      </c>
      <c r="AB169" s="30" t="inlineStr">
        <is>
          <t>Yes</t>
        </is>
      </c>
      <c r="AC169" s="27" t="n"/>
      <c r="AD169" s="31" t="inlineStr">
        <is>
          <t>No</t>
        </is>
      </c>
      <c r="AE169" s="32">
        <f>IF(W169="","",IF(Z169="Yes","❌ Disc",IF(Y169="No","⚠ Missing",IF(AB169="Yes","✓ OK","⚠ Check"))))</f>
        <v/>
      </c>
      <c r="AF169" s="33" t="n"/>
      <c r="AG169" s="33" t="n"/>
      <c r="AH169" s="33" t="n"/>
      <c r="AI169" s="33" t="n"/>
      <c r="AJ169" s="33" t="n"/>
      <c r="AK169" s="33" t="n"/>
      <c r="AL169" s="27" t="n"/>
      <c r="AM169" s="34" t="n"/>
      <c r="AN169" s="35">
        <f>IF(AF169="","",IF(AI169="Yes","❌ Disc",IF(AH169="No","⚠ Missing",IF(AK169="Yes","✓ OK","⚠ Check"))))</f>
        <v/>
      </c>
      <c r="AO169" s="36" t="n"/>
      <c r="AP169" s="36" t="n"/>
      <c r="AQ169" s="36" t="n"/>
      <c r="AR169" s="36" t="n"/>
      <c r="AS169" s="36" t="n"/>
      <c r="AT169" s="36" t="n"/>
      <c r="AU169" s="27" t="n"/>
      <c r="AV169" s="37" t="n"/>
      <c r="AW169" s="38">
        <f>IF(AO169="","",IF(AR169="Yes","❌ Disc",IF(AQ169="No","⚠ Missing",IF(AT169="Yes","✓ OK","⚠ Check"))))</f>
        <v/>
      </c>
    </row>
    <row r="170" ht="18" customHeight="1" s="46">
      <c r="A170" s="39" t="n">
        <v>166</v>
      </c>
      <c r="B170" s="40" t="inlineStr">
        <is>
          <t>BD-HNA-2025-0227</t>
        </is>
      </c>
      <c r="C170" s="41" t="inlineStr">
        <is>
          <t>Bonito Handles - H-132 - Grey Handle  - 132mm</t>
        </is>
      </c>
      <c r="D170" s="39" t="inlineStr">
        <is>
          <t>Bonito Handles</t>
        </is>
      </c>
      <c r="E170" s="43" t="n">
        <v>46125</v>
      </c>
      <c r="F170" s="26" t="inlineStr">
        <is>
          <t>Sunil CR</t>
        </is>
      </c>
      <c r="G170" s="44" t="inlineStr">
        <is>
          <t>Represented by Sample</t>
        </is>
      </c>
      <c r="H170" s="26" t="inlineStr">
        <is>
          <t>No</t>
        </is>
      </c>
      <c r="I170" s="44" t="inlineStr">
        <is>
          <t>Represented by Sample</t>
        </is>
      </c>
      <c r="J170" s="26" t="inlineStr">
        <is>
          <t>Yes</t>
        </is>
      </c>
      <c r="K170" s="27" t="n"/>
      <c r="L170" s="28" t="inlineStr">
        <is>
          <t>No</t>
        </is>
      </c>
      <c r="M170" s="29">
        <f>IF(E170="","",IF(H170="Yes","❌ Disc",IF(G170="No","⚠ Missing",IF(J170="Yes","✓ OK","⚠ Check"))))</f>
        <v/>
      </c>
      <c r="N170" s="43" t="n">
        <v>46196</v>
      </c>
      <c r="O170" s="26" t="inlineStr">
        <is>
          <t>Sunil CR</t>
        </is>
      </c>
      <c r="P170" s="44" t="inlineStr">
        <is>
          <t>Represented by Sample</t>
        </is>
      </c>
      <c r="Q170" s="26" t="inlineStr">
        <is>
          <t>No</t>
        </is>
      </c>
      <c r="R170" s="44" t="inlineStr">
        <is>
          <t>Represented by Sample</t>
        </is>
      </c>
      <c r="S170" s="26" t="inlineStr">
        <is>
          <t>Yes</t>
        </is>
      </c>
      <c r="T170" s="27" t="n"/>
      <c r="U170" s="28" t="inlineStr">
        <is>
          <t>No</t>
        </is>
      </c>
      <c r="V170" s="29">
        <f>IF(N170="","",IF(Q170="Yes","❌ Disc",IF(P170="No","⚠ Missing",IF(S170="Yes","✓ OK","⚠ Check"))))</f>
        <v/>
      </c>
      <c r="W170" s="65" t="n">
        <v>46248</v>
      </c>
      <c r="X170" s="30" t="inlineStr">
        <is>
          <t>Sunil CR</t>
        </is>
      </c>
      <c r="Y170" s="30" t="inlineStr">
        <is>
          <t>Represented by Sample</t>
        </is>
      </c>
      <c r="Z170" s="30" t="n"/>
      <c r="AA170" s="30" t="inlineStr">
        <is>
          <t>Represented by Sample</t>
        </is>
      </c>
      <c r="AB170" s="30" t="inlineStr">
        <is>
          <t>Yes</t>
        </is>
      </c>
      <c r="AC170" s="27" t="n"/>
      <c r="AD170" s="31" t="inlineStr">
        <is>
          <t>No</t>
        </is>
      </c>
      <c r="AE170" s="32">
        <f>IF(W170="","",IF(Z170="Yes","❌ Disc",IF(Y170="No","⚠ Missing",IF(AB170="Yes","✓ OK","⚠ Check"))))</f>
        <v/>
      </c>
      <c r="AF170" s="33" t="n"/>
      <c r="AG170" s="33" t="n"/>
      <c r="AH170" s="33" t="n"/>
      <c r="AI170" s="33" t="n"/>
      <c r="AJ170" s="33" t="n"/>
      <c r="AK170" s="33" t="n"/>
      <c r="AL170" s="27" t="n"/>
      <c r="AM170" s="34" t="n"/>
      <c r="AN170" s="35">
        <f>IF(AF170="","",IF(AI170="Yes","❌ Disc",IF(AH170="No","⚠ Missing",IF(AK170="Yes","✓ OK","⚠ Check"))))</f>
        <v/>
      </c>
      <c r="AO170" s="36" t="n"/>
      <c r="AP170" s="36" t="n"/>
      <c r="AQ170" s="36" t="n"/>
      <c r="AR170" s="36" t="n"/>
      <c r="AS170" s="36" t="n"/>
      <c r="AT170" s="36" t="n"/>
      <c r="AU170" s="27" t="n"/>
      <c r="AV170" s="37" t="n"/>
      <c r="AW170" s="38">
        <f>IF(AO170="","",IF(AR170="Yes","❌ Disc",IF(AQ170="No","⚠ Missing",IF(AT170="Yes","✓ OK","⚠ Check"))))</f>
        <v/>
      </c>
    </row>
    <row r="171" ht="18" customHeight="1" s="46">
      <c r="A171" s="23" t="n">
        <v>167</v>
      </c>
      <c r="B171" s="24" t="inlineStr">
        <is>
          <t>BD-HNA-2025-0228</t>
        </is>
      </c>
      <c r="C171" s="25" t="inlineStr">
        <is>
          <t>Bonito Handles - H-132 - Grey Handle  - 200mm</t>
        </is>
      </c>
      <c r="D171" s="23" t="inlineStr">
        <is>
          <t>Bonito Handles</t>
        </is>
      </c>
      <c r="E171" s="43" t="n">
        <v>46125</v>
      </c>
      <c r="F171" s="26" t="inlineStr">
        <is>
          <t>Sunil CR</t>
        </is>
      </c>
      <c r="G171" s="44" t="inlineStr">
        <is>
          <t>Represented by Sample</t>
        </is>
      </c>
      <c r="H171" s="26" t="inlineStr">
        <is>
          <t>No</t>
        </is>
      </c>
      <c r="I171" s="44" t="inlineStr">
        <is>
          <t>Represented by Sample</t>
        </is>
      </c>
      <c r="J171" s="26" t="inlineStr">
        <is>
          <t>Yes</t>
        </is>
      </c>
      <c r="K171" s="27" t="n"/>
      <c r="L171" s="28" t="inlineStr">
        <is>
          <t>No</t>
        </is>
      </c>
      <c r="M171" s="29">
        <f>IF(E171="","",IF(H171="Yes","❌ Disc",IF(G171="No","⚠ Missing",IF(J171="Yes","✓ OK","⚠ Check"))))</f>
        <v/>
      </c>
      <c r="N171" s="43" t="n">
        <v>46196</v>
      </c>
      <c r="O171" s="26" t="inlineStr">
        <is>
          <t>Sunil CR</t>
        </is>
      </c>
      <c r="P171" s="44" t="inlineStr">
        <is>
          <t>Represented by Sample</t>
        </is>
      </c>
      <c r="Q171" s="26" t="inlineStr">
        <is>
          <t>No</t>
        </is>
      </c>
      <c r="R171" s="44" t="inlineStr">
        <is>
          <t>Represented by Sample</t>
        </is>
      </c>
      <c r="S171" s="26" t="inlineStr">
        <is>
          <t>Yes</t>
        </is>
      </c>
      <c r="T171" s="27" t="n"/>
      <c r="U171" s="28" t="inlineStr">
        <is>
          <t>No</t>
        </is>
      </c>
      <c r="V171" s="29">
        <f>IF(N171="","",IF(Q171="Yes","❌ Disc",IF(P171="No","⚠ Missing",IF(S171="Yes","✓ OK","⚠ Check"))))</f>
        <v/>
      </c>
      <c r="W171" s="65" t="n">
        <v>46248</v>
      </c>
      <c r="X171" s="30" t="inlineStr">
        <is>
          <t>Sunil CR</t>
        </is>
      </c>
      <c r="Y171" s="30" t="inlineStr">
        <is>
          <t>Represented by Sample</t>
        </is>
      </c>
      <c r="Z171" s="30" t="n"/>
      <c r="AA171" s="30" t="inlineStr">
        <is>
          <t>Represented by Sample</t>
        </is>
      </c>
      <c r="AB171" s="30" t="inlineStr">
        <is>
          <t>Yes</t>
        </is>
      </c>
      <c r="AC171" s="27" t="n"/>
      <c r="AD171" s="31" t="inlineStr">
        <is>
          <t>No</t>
        </is>
      </c>
      <c r="AE171" s="32">
        <f>IF(W171="","",IF(Z171="Yes","❌ Disc",IF(Y171="No","⚠ Missing",IF(AB171="Yes","✓ OK","⚠ Check"))))</f>
        <v/>
      </c>
      <c r="AF171" s="33" t="n"/>
      <c r="AG171" s="33" t="n"/>
      <c r="AH171" s="33" t="n"/>
      <c r="AI171" s="33" t="n"/>
      <c r="AJ171" s="33" t="n"/>
      <c r="AK171" s="33" t="n"/>
      <c r="AL171" s="27" t="n"/>
      <c r="AM171" s="34" t="n"/>
      <c r="AN171" s="35">
        <f>IF(AF171="","",IF(AI171="Yes","❌ Disc",IF(AH171="No","⚠ Missing",IF(AK171="Yes","✓ OK","⚠ Check"))))</f>
        <v/>
      </c>
      <c r="AO171" s="36" t="n"/>
      <c r="AP171" s="36" t="n"/>
      <c r="AQ171" s="36" t="n"/>
      <c r="AR171" s="36" t="n"/>
      <c r="AS171" s="36" t="n"/>
      <c r="AT171" s="36" t="n"/>
      <c r="AU171" s="27" t="n"/>
      <c r="AV171" s="37" t="n"/>
      <c r="AW171" s="38">
        <f>IF(AO171="","",IF(AR171="Yes","❌ Disc",IF(AQ171="No","⚠ Missing",IF(AT171="Yes","✓ OK","⚠ Check"))))</f>
        <v/>
      </c>
    </row>
    <row r="172" ht="18" customHeight="1" s="46">
      <c r="A172" s="39" t="n">
        <v>168</v>
      </c>
      <c r="B172" s="40" t="inlineStr">
        <is>
          <t>BD-HNA-2025-0229</t>
        </is>
      </c>
      <c r="C172" s="41" t="inlineStr">
        <is>
          <t>Bonito Handles - H-132 - Grey Handle  - 345mm</t>
        </is>
      </c>
      <c r="D172" s="39" t="inlineStr">
        <is>
          <t>Bonito Handles</t>
        </is>
      </c>
      <c r="E172" s="43" t="n">
        <v>46125</v>
      </c>
      <c r="F172" s="26" t="inlineStr">
        <is>
          <t>Sunil CR</t>
        </is>
      </c>
      <c r="G172" s="44" t="inlineStr">
        <is>
          <t>Represented by Sample</t>
        </is>
      </c>
      <c r="H172" s="26" t="inlineStr">
        <is>
          <t>No</t>
        </is>
      </c>
      <c r="I172" s="44" t="inlineStr">
        <is>
          <t>Represented by Sample</t>
        </is>
      </c>
      <c r="J172" s="26" t="inlineStr">
        <is>
          <t>Yes</t>
        </is>
      </c>
      <c r="K172" s="27" t="n"/>
      <c r="L172" s="28" t="inlineStr">
        <is>
          <t>No</t>
        </is>
      </c>
      <c r="M172" s="29">
        <f>IF(E172="","",IF(H172="Yes","❌ Disc",IF(G172="No","⚠ Missing",IF(J172="Yes","✓ OK","⚠ Check"))))</f>
        <v/>
      </c>
      <c r="N172" s="43" t="n">
        <v>46196</v>
      </c>
      <c r="O172" s="26" t="inlineStr">
        <is>
          <t>Sunil CR</t>
        </is>
      </c>
      <c r="P172" s="44" t="inlineStr">
        <is>
          <t>Represented by Sample</t>
        </is>
      </c>
      <c r="Q172" s="26" t="inlineStr">
        <is>
          <t>No</t>
        </is>
      </c>
      <c r="R172" s="44" t="inlineStr">
        <is>
          <t>Represented by Sample</t>
        </is>
      </c>
      <c r="S172" s="26" t="inlineStr">
        <is>
          <t>Yes</t>
        </is>
      </c>
      <c r="T172" s="27" t="n"/>
      <c r="U172" s="28" t="inlineStr">
        <is>
          <t>No</t>
        </is>
      </c>
      <c r="V172" s="29">
        <f>IF(N172="","",IF(Q172="Yes","❌ Disc",IF(P172="No","⚠ Missing",IF(S172="Yes","✓ OK","⚠ Check"))))</f>
        <v/>
      </c>
      <c r="W172" s="65" t="n">
        <v>46248</v>
      </c>
      <c r="X172" s="30" t="inlineStr">
        <is>
          <t>Sunil CR</t>
        </is>
      </c>
      <c r="Y172" s="30" t="inlineStr">
        <is>
          <t>Represented by Sample</t>
        </is>
      </c>
      <c r="Z172" s="30" t="n"/>
      <c r="AA172" s="30" t="inlineStr">
        <is>
          <t>Represented by Sample</t>
        </is>
      </c>
      <c r="AB172" s="30" t="inlineStr">
        <is>
          <t>Yes</t>
        </is>
      </c>
      <c r="AC172" s="27" t="n"/>
      <c r="AD172" s="31" t="inlineStr">
        <is>
          <t>No</t>
        </is>
      </c>
      <c r="AE172" s="32">
        <f>IF(W172="","",IF(Z172="Yes","❌ Disc",IF(Y172="No","⚠ Missing",IF(AB172="Yes","✓ OK","⚠ Check"))))</f>
        <v/>
      </c>
      <c r="AF172" s="33" t="n"/>
      <c r="AG172" s="33" t="n"/>
      <c r="AH172" s="33" t="n"/>
      <c r="AI172" s="33" t="n"/>
      <c r="AJ172" s="33" t="n"/>
      <c r="AK172" s="33" t="n"/>
      <c r="AL172" s="27" t="n"/>
      <c r="AM172" s="34" t="n"/>
      <c r="AN172" s="35">
        <f>IF(AF172="","",IF(AI172="Yes","❌ Disc",IF(AH172="No","⚠ Missing",IF(AK172="Yes","✓ OK","⚠ Check"))))</f>
        <v/>
      </c>
      <c r="AO172" s="36" t="n"/>
      <c r="AP172" s="36" t="n"/>
      <c r="AQ172" s="36" t="n"/>
      <c r="AR172" s="36" t="n"/>
      <c r="AS172" s="36" t="n"/>
      <c r="AT172" s="36" t="n"/>
      <c r="AU172" s="27" t="n"/>
      <c r="AV172" s="37" t="n"/>
      <c r="AW172" s="38">
        <f>IF(AO172="","",IF(AR172="Yes","❌ Disc",IF(AQ172="No","⚠ Missing",IF(AT172="Yes","✓ OK","⚠ Check"))))</f>
        <v/>
      </c>
    </row>
    <row r="173" ht="18" customHeight="1" s="46">
      <c r="A173" s="23" t="n">
        <v>169</v>
      </c>
      <c r="B173" s="24" t="inlineStr">
        <is>
          <t>BD-HNA-2025-0217</t>
        </is>
      </c>
      <c r="C173" s="25" t="inlineStr">
        <is>
          <t>Bonito Handles - H-136 - Antique Handle  - 130mm</t>
        </is>
      </c>
      <c r="D173" s="23" t="inlineStr">
        <is>
          <t>Bonito Handles</t>
        </is>
      </c>
      <c r="E173" s="43" t="n">
        <v>46125</v>
      </c>
      <c r="F173" s="26" t="inlineStr">
        <is>
          <t>Sunil CR</t>
        </is>
      </c>
      <c r="G173" s="44" t="inlineStr">
        <is>
          <t>Represented by Sample</t>
        </is>
      </c>
      <c r="H173" s="26" t="inlineStr">
        <is>
          <t>No</t>
        </is>
      </c>
      <c r="I173" s="44" t="inlineStr">
        <is>
          <t>Represented by Sample</t>
        </is>
      </c>
      <c r="J173" s="26" t="inlineStr">
        <is>
          <t>Yes</t>
        </is>
      </c>
      <c r="K173" s="27" t="n"/>
      <c r="L173" s="28" t="inlineStr">
        <is>
          <t>No</t>
        </is>
      </c>
      <c r="M173" s="29">
        <f>IF(E173="","",IF(H173="Yes","❌ Disc",IF(G173="No","⚠ Missing",IF(J173="Yes","✓ OK","⚠ Check"))))</f>
        <v/>
      </c>
      <c r="N173" s="43" t="n">
        <v>46196</v>
      </c>
      <c r="O173" s="26" t="inlineStr">
        <is>
          <t>Sunil CR</t>
        </is>
      </c>
      <c r="P173" s="44" t="inlineStr">
        <is>
          <t>Represented by Sample</t>
        </is>
      </c>
      <c r="Q173" s="26" t="inlineStr">
        <is>
          <t>No</t>
        </is>
      </c>
      <c r="R173" s="44" t="inlineStr">
        <is>
          <t>Represented by Sample</t>
        </is>
      </c>
      <c r="S173" s="26" t="inlineStr">
        <is>
          <t>Yes</t>
        </is>
      </c>
      <c r="T173" s="27" t="n"/>
      <c r="U173" s="28" t="inlineStr">
        <is>
          <t>No</t>
        </is>
      </c>
      <c r="V173" s="29">
        <f>IF(N173="","",IF(Q173="Yes","❌ Disc",IF(P173="No","⚠ Missing",IF(S173="Yes","✓ OK","⚠ Check"))))</f>
        <v/>
      </c>
      <c r="W173" s="65" t="n">
        <v>46248</v>
      </c>
      <c r="X173" s="30" t="inlineStr">
        <is>
          <t>Sunil CR</t>
        </is>
      </c>
      <c r="Y173" s="30" t="inlineStr">
        <is>
          <t>Represented by Sample</t>
        </is>
      </c>
      <c r="Z173" s="30" t="n"/>
      <c r="AA173" s="30" t="inlineStr">
        <is>
          <t>Represented by Sample</t>
        </is>
      </c>
      <c r="AB173" s="30" t="inlineStr">
        <is>
          <t>Yes</t>
        </is>
      </c>
      <c r="AC173" s="27" t="n"/>
      <c r="AD173" s="31" t="inlineStr">
        <is>
          <t>No</t>
        </is>
      </c>
      <c r="AE173" s="32">
        <f>IF(W173="","",IF(Z173="Yes","❌ Disc",IF(Y173="No","⚠ Missing",IF(AB173="Yes","✓ OK","⚠ Check"))))</f>
        <v/>
      </c>
      <c r="AF173" s="33" t="n"/>
      <c r="AG173" s="33" t="n"/>
      <c r="AH173" s="33" t="n"/>
      <c r="AI173" s="33" t="n"/>
      <c r="AJ173" s="33" t="n"/>
      <c r="AK173" s="33" t="n"/>
      <c r="AL173" s="27" t="n"/>
      <c r="AM173" s="34" t="n"/>
      <c r="AN173" s="35">
        <f>IF(AF173="","",IF(AI173="Yes","❌ Disc",IF(AH173="No","⚠ Missing",IF(AK173="Yes","✓ OK","⚠ Check"))))</f>
        <v/>
      </c>
      <c r="AO173" s="36" t="n"/>
      <c r="AP173" s="36" t="n"/>
      <c r="AQ173" s="36" t="n"/>
      <c r="AR173" s="36" t="n"/>
      <c r="AS173" s="36" t="n"/>
      <c r="AT173" s="36" t="n"/>
      <c r="AU173" s="27" t="n"/>
      <c r="AV173" s="37" t="n"/>
      <c r="AW173" s="38">
        <f>IF(AO173="","",IF(AR173="Yes","❌ Disc",IF(AQ173="No","⚠ Missing",IF(AT173="Yes","✓ OK","⚠ Check"))))</f>
        <v/>
      </c>
    </row>
    <row r="174" ht="18" customHeight="1" s="46">
      <c r="A174" s="39" t="n">
        <v>170</v>
      </c>
      <c r="B174" s="40" t="inlineStr">
        <is>
          <t>BD-HNA-2025-0218</t>
        </is>
      </c>
      <c r="C174" s="41" t="inlineStr">
        <is>
          <t>Bonito Handles - H-136 - Antique Handle  - 210mm</t>
        </is>
      </c>
      <c r="D174" s="39" t="inlineStr">
        <is>
          <t>Bonito Handles</t>
        </is>
      </c>
      <c r="E174" s="43" t="n">
        <v>46125</v>
      </c>
      <c r="F174" s="26" t="inlineStr">
        <is>
          <t>Sunil CR</t>
        </is>
      </c>
      <c r="G174" s="44" t="inlineStr">
        <is>
          <t>Represented by Sample</t>
        </is>
      </c>
      <c r="H174" s="26" t="inlineStr">
        <is>
          <t>No</t>
        </is>
      </c>
      <c r="I174" s="44" t="inlineStr">
        <is>
          <t>Represented by Sample</t>
        </is>
      </c>
      <c r="J174" s="26" t="inlineStr">
        <is>
          <t>Yes</t>
        </is>
      </c>
      <c r="K174" s="27" t="n"/>
      <c r="L174" s="28" t="inlineStr">
        <is>
          <t>No</t>
        </is>
      </c>
      <c r="M174" s="29">
        <f>IF(E174="","",IF(H174="Yes","❌ Disc",IF(G174="No","⚠ Missing",IF(J174="Yes","✓ OK","⚠ Check"))))</f>
        <v/>
      </c>
      <c r="N174" s="43" t="n">
        <v>46196</v>
      </c>
      <c r="O174" s="26" t="inlineStr">
        <is>
          <t>Sunil CR</t>
        </is>
      </c>
      <c r="P174" s="44" t="inlineStr">
        <is>
          <t>Represented by Sample</t>
        </is>
      </c>
      <c r="Q174" s="26" t="inlineStr">
        <is>
          <t>No</t>
        </is>
      </c>
      <c r="R174" s="44" t="inlineStr">
        <is>
          <t>Represented by Sample</t>
        </is>
      </c>
      <c r="S174" s="26" t="inlineStr">
        <is>
          <t>Yes</t>
        </is>
      </c>
      <c r="T174" s="27" t="n"/>
      <c r="U174" s="28" t="inlineStr">
        <is>
          <t>No</t>
        </is>
      </c>
      <c r="V174" s="29">
        <f>IF(N174="","",IF(Q174="Yes","❌ Disc",IF(P174="No","⚠ Missing",IF(S174="Yes","✓ OK","⚠ Check"))))</f>
        <v/>
      </c>
      <c r="W174" s="65" t="n">
        <v>46248</v>
      </c>
      <c r="X174" s="30" t="inlineStr">
        <is>
          <t>Sunil CR</t>
        </is>
      </c>
      <c r="Y174" s="30" t="inlineStr">
        <is>
          <t>Represented by Sample</t>
        </is>
      </c>
      <c r="Z174" s="30" t="n"/>
      <c r="AA174" s="30" t="inlineStr">
        <is>
          <t>Represented by Sample</t>
        </is>
      </c>
      <c r="AB174" s="30" t="inlineStr">
        <is>
          <t>Yes</t>
        </is>
      </c>
      <c r="AC174" s="27" t="n"/>
      <c r="AD174" s="31" t="inlineStr">
        <is>
          <t>No</t>
        </is>
      </c>
      <c r="AE174" s="32">
        <f>IF(W174="","",IF(Z174="Yes","❌ Disc",IF(Y174="No","⚠ Missing",IF(AB174="Yes","✓ OK","⚠ Check"))))</f>
        <v/>
      </c>
      <c r="AF174" s="33" t="n"/>
      <c r="AG174" s="33" t="n"/>
      <c r="AH174" s="33" t="n"/>
      <c r="AI174" s="33" t="n"/>
      <c r="AJ174" s="33" t="n"/>
      <c r="AK174" s="33" t="n"/>
      <c r="AL174" s="27" t="n"/>
      <c r="AM174" s="34" t="n"/>
      <c r="AN174" s="35">
        <f>IF(AF174="","",IF(AI174="Yes","❌ Disc",IF(AH174="No","⚠ Missing",IF(AK174="Yes","✓ OK","⚠ Check"))))</f>
        <v/>
      </c>
      <c r="AO174" s="36" t="n"/>
      <c r="AP174" s="36" t="n"/>
      <c r="AQ174" s="36" t="n"/>
      <c r="AR174" s="36" t="n"/>
      <c r="AS174" s="36" t="n"/>
      <c r="AT174" s="36" t="n"/>
      <c r="AU174" s="27" t="n"/>
      <c r="AV174" s="37" t="n"/>
      <c r="AW174" s="38">
        <f>IF(AO174="","",IF(AR174="Yes","❌ Disc",IF(AQ174="No","⚠ Missing",IF(AT174="Yes","✓ OK","⚠ Check"))))</f>
        <v/>
      </c>
    </row>
    <row r="175" ht="18" customHeight="1" s="46">
      <c r="A175" s="23" t="n">
        <v>171</v>
      </c>
      <c r="B175" s="24" t="inlineStr">
        <is>
          <t>BD-HNA-2025-0219</t>
        </is>
      </c>
      <c r="C175" s="25" t="inlineStr">
        <is>
          <t>Bonito Handles - H-136 - Antique Handle  - 293mm</t>
        </is>
      </c>
      <c r="D175" s="23" t="inlineStr">
        <is>
          <t>Bonito Handles</t>
        </is>
      </c>
      <c r="E175" s="43" t="n">
        <v>46125</v>
      </c>
      <c r="F175" s="26" t="inlineStr">
        <is>
          <t>Sunil CR</t>
        </is>
      </c>
      <c r="G175" s="44" t="inlineStr">
        <is>
          <t>Represented by Sample</t>
        </is>
      </c>
      <c r="H175" s="26" t="inlineStr">
        <is>
          <t>No</t>
        </is>
      </c>
      <c r="I175" s="44" t="inlineStr">
        <is>
          <t>Represented by Sample</t>
        </is>
      </c>
      <c r="J175" s="26" t="inlineStr">
        <is>
          <t>Yes</t>
        </is>
      </c>
      <c r="K175" s="27" t="n"/>
      <c r="L175" s="28" t="inlineStr">
        <is>
          <t>No</t>
        </is>
      </c>
      <c r="M175" s="29">
        <f>IF(E175="","",IF(H175="Yes","❌ Disc",IF(G175="No","⚠ Missing",IF(J175="Yes","✓ OK","⚠ Check"))))</f>
        <v/>
      </c>
      <c r="N175" s="43" t="n">
        <v>46196</v>
      </c>
      <c r="O175" s="26" t="inlineStr">
        <is>
          <t>Sunil CR</t>
        </is>
      </c>
      <c r="P175" s="44" t="inlineStr">
        <is>
          <t>Represented by Sample</t>
        </is>
      </c>
      <c r="Q175" s="26" t="inlineStr">
        <is>
          <t>No</t>
        </is>
      </c>
      <c r="R175" s="44" t="inlineStr">
        <is>
          <t>Represented by Sample</t>
        </is>
      </c>
      <c r="S175" s="26" t="inlineStr">
        <is>
          <t>Yes</t>
        </is>
      </c>
      <c r="T175" s="27" t="n"/>
      <c r="U175" s="28" t="inlineStr">
        <is>
          <t>No</t>
        </is>
      </c>
      <c r="V175" s="29">
        <f>IF(N175="","",IF(Q175="Yes","❌ Disc",IF(P175="No","⚠ Missing",IF(S175="Yes","✓ OK","⚠ Check"))))</f>
        <v/>
      </c>
      <c r="W175" s="65" t="n">
        <v>46248</v>
      </c>
      <c r="X175" s="30" t="inlineStr">
        <is>
          <t>Sunil CR</t>
        </is>
      </c>
      <c r="Y175" s="30" t="inlineStr">
        <is>
          <t>Represented by Sample</t>
        </is>
      </c>
      <c r="Z175" s="30" t="n"/>
      <c r="AA175" s="30" t="inlineStr">
        <is>
          <t>Represented by Sample</t>
        </is>
      </c>
      <c r="AB175" s="30" t="inlineStr">
        <is>
          <t>Yes</t>
        </is>
      </c>
      <c r="AC175" s="27" t="n"/>
      <c r="AD175" s="31" t="inlineStr">
        <is>
          <t>No</t>
        </is>
      </c>
      <c r="AE175" s="32">
        <f>IF(W175="","",IF(Z175="Yes","❌ Disc",IF(Y175="No","⚠ Missing",IF(AB175="Yes","✓ OK","⚠ Check"))))</f>
        <v/>
      </c>
      <c r="AF175" s="33" t="n"/>
      <c r="AG175" s="33" t="n"/>
      <c r="AH175" s="33" t="n"/>
      <c r="AI175" s="33" t="n"/>
      <c r="AJ175" s="33" t="n"/>
      <c r="AK175" s="33" t="n"/>
      <c r="AL175" s="27" t="n"/>
      <c r="AM175" s="34" t="n"/>
      <c r="AN175" s="35">
        <f>IF(AF175="","",IF(AI175="Yes","❌ Disc",IF(AH175="No","⚠ Missing",IF(AK175="Yes","✓ OK","⚠ Check"))))</f>
        <v/>
      </c>
      <c r="AO175" s="36" t="n"/>
      <c r="AP175" s="36" t="n"/>
      <c r="AQ175" s="36" t="n"/>
      <c r="AR175" s="36" t="n"/>
      <c r="AS175" s="36" t="n"/>
      <c r="AT175" s="36" t="n"/>
      <c r="AU175" s="27" t="n"/>
      <c r="AV175" s="37" t="n"/>
      <c r="AW175" s="38">
        <f>IF(AO175="","",IF(AR175="Yes","❌ Disc",IF(AQ175="No","⚠ Missing",IF(AT175="Yes","✓ OK","⚠ Check"))))</f>
        <v/>
      </c>
    </row>
    <row r="176" ht="18" customHeight="1" s="46">
      <c r="A176" s="39" t="n">
        <v>172</v>
      </c>
      <c r="B176" s="40" t="inlineStr">
        <is>
          <t>BD-HNA-2025-0220</t>
        </is>
      </c>
      <c r="C176" s="41" t="inlineStr">
        <is>
          <t>Bonito Handles - H-136 - Antique Handle  - 380mm</t>
        </is>
      </c>
      <c r="D176" s="39" t="inlineStr">
        <is>
          <t>Bonito Handles</t>
        </is>
      </c>
      <c r="E176" s="43" t="n">
        <v>46125</v>
      </c>
      <c r="F176" s="26" t="inlineStr">
        <is>
          <t>Sunil CR</t>
        </is>
      </c>
      <c r="G176" s="44" t="inlineStr">
        <is>
          <t>Yes</t>
        </is>
      </c>
      <c r="H176" s="26" t="inlineStr">
        <is>
          <t>No</t>
        </is>
      </c>
      <c r="I176" s="44" t="inlineStr">
        <is>
          <t>Good finish</t>
        </is>
      </c>
      <c r="J176" s="26" t="inlineStr">
        <is>
          <t>Yes</t>
        </is>
      </c>
      <c r="K176" s="27" t="n"/>
      <c r="L176" s="28" t="inlineStr">
        <is>
          <t>No</t>
        </is>
      </c>
      <c r="M176" s="29">
        <f>IF(E176="","",IF(H176="Yes","❌ Disc",IF(G176="No","⚠ Missing",IF(J176="Yes","✓ OK","⚠ Check"))))</f>
        <v/>
      </c>
      <c r="N176" s="43" t="n">
        <v>46196</v>
      </c>
      <c r="O176" s="26" t="inlineStr">
        <is>
          <t>Sunil CR</t>
        </is>
      </c>
      <c r="P176" s="44" t="inlineStr">
        <is>
          <t>Yes</t>
        </is>
      </c>
      <c r="Q176" s="26" t="inlineStr">
        <is>
          <t>No</t>
        </is>
      </c>
      <c r="R176" s="44" t="inlineStr">
        <is>
          <t>Good finish</t>
        </is>
      </c>
      <c r="S176" s="26" t="inlineStr">
        <is>
          <t>Yes</t>
        </is>
      </c>
      <c r="T176" s="27" t="n"/>
      <c r="U176" s="28" t="inlineStr">
        <is>
          <t>No</t>
        </is>
      </c>
      <c r="V176" s="29">
        <f>IF(N176="","",IF(Q176="Yes","❌ Disc",IF(P176="No","⚠ Missing",IF(S176="Yes","✓ OK","⚠ Check"))))</f>
        <v/>
      </c>
      <c r="W176" s="65" t="n">
        <v>46248</v>
      </c>
      <c r="X176" s="30" t="inlineStr">
        <is>
          <t>Sunil CR</t>
        </is>
      </c>
      <c r="Y176" s="30" t="inlineStr">
        <is>
          <t>Yes</t>
        </is>
      </c>
      <c r="Z176" s="30" t="n"/>
      <c r="AA176" s="30" t="inlineStr">
        <is>
          <t>Good finish</t>
        </is>
      </c>
      <c r="AB176" s="30" t="inlineStr">
        <is>
          <t>Yes</t>
        </is>
      </c>
      <c r="AC176" s="27" t="n"/>
      <c r="AD176" s="31" t="inlineStr">
        <is>
          <t>No</t>
        </is>
      </c>
      <c r="AE176" s="32">
        <f>IF(W176="","",IF(Z176="Yes","❌ Disc",IF(Y176="No","⚠ Missing",IF(AB176="Yes","✓ OK","⚠ Check"))))</f>
        <v/>
      </c>
      <c r="AF176" s="33" t="n"/>
      <c r="AG176" s="33" t="n"/>
      <c r="AH176" s="33" t="n"/>
      <c r="AI176" s="33" t="n"/>
      <c r="AJ176" s="33" t="n"/>
      <c r="AK176" s="33" t="n"/>
      <c r="AL176" s="27" t="n"/>
      <c r="AM176" s="34" t="n"/>
      <c r="AN176" s="35">
        <f>IF(AF176="","",IF(AI176="Yes","❌ Disc",IF(AH176="No","⚠ Missing",IF(AK176="Yes","✓ OK","⚠ Check"))))</f>
        <v/>
      </c>
      <c r="AO176" s="36" t="n"/>
      <c r="AP176" s="36" t="n"/>
      <c r="AQ176" s="36" t="n"/>
      <c r="AR176" s="36" t="n"/>
      <c r="AS176" s="36" t="n"/>
      <c r="AT176" s="36" t="n"/>
      <c r="AU176" s="27" t="n"/>
      <c r="AV176" s="37" t="n"/>
      <c r="AW176" s="38">
        <f>IF(AO176="","",IF(AR176="Yes","❌ Disc",IF(AQ176="No","⚠ Missing",IF(AT176="Yes","✓ OK","⚠ Check"))))</f>
        <v/>
      </c>
    </row>
    <row r="177" ht="18" customHeight="1" s="46">
      <c r="A177" s="23" t="n">
        <v>173</v>
      </c>
      <c r="B177" s="24" t="inlineStr">
        <is>
          <t>BD-HNA-2025-0207</t>
        </is>
      </c>
      <c r="C177" s="25" t="inlineStr">
        <is>
          <t>Bonito Handles - H-158 - Antique Handle  - 192mm</t>
        </is>
      </c>
      <c r="D177" s="23" t="inlineStr">
        <is>
          <t>Bonito Handles</t>
        </is>
      </c>
      <c r="E177" s="43" t="n">
        <v>46125</v>
      </c>
      <c r="F177" s="26" t="inlineStr">
        <is>
          <t>Sunil CR</t>
        </is>
      </c>
      <c r="G177" s="44" t="inlineStr">
        <is>
          <t>Yes</t>
        </is>
      </c>
      <c r="H177" s="26" t="inlineStr">
        <is>
          <t>No</t>
        </is>
      </c>
      <c r="I177" s="44" t="inlineStr">
        <is>
          <t>Good finish</t>
        </is>
      </c>
      <c r="J177" s="26" t="inlineStr">
        <is>
          <t>Yes</t>
        </is>
      </c>
      <c r="K177" s="27" t="n"/>
      <c r="L177" s="28" t="inlineStr">
        <is>
          <t>No</t>
        </is>
      </c>
      <c r="M177" s="29">
        <f>IF(E177="","",IF(H177="Yes","❌ Disc",IF(G177="No","⚠ Missing",IF(J177="Yes","✓ OK","⚠ Check"))))</f>
        <v/>
      </c>
      <c r="N177" s="43" t="n">
        <v>46196</v>
      </c>
      <c r="O177" s="26" t="inlineStr">
        <is>
          <t>Sunil CR</t>
        </is>
      </c>
      <c r="P177" s="44" t="inlineStr">
        <is>
          <t>Yes</t>
        </is>
      </c>
      <c r="Q177" s="26" t="inlineStr">
        <is>
          <t>No</t>
        </is>
      </c>
      <c r="R177" s="44" t="inlineStr">
        <is>
          <t>Good finish</t>
        </is>
      </c>
      <c r="S177" s="26" t="inlineStr">
        <is>
          <t>Yes</t>
        </is>
      </c>
      <c r="T177" s="27" t="n"/>
      <c r="U177" s="28" t="inlineStr">
        <is>
          <t>No</t>
        </is>
      </c>
      <c r="V177" s="29">
        <f>IF(N177="","",IF(Q177="Yes","❌ Disc",IF(P177="No","⚠ Missing",IF(S177="Yes","✓ OK","⚠ Check"))))</f>
        <v/>
      </c>
      <c r="W177" s="65" t="n">
        <v>46248</v>
      </c>
      <c r="X177" s="30" t="inlineStr">
        <is>
          <t>Sunil CR</t>
        </is>
      </c>
      <c r="Y177" s="30" t="inlineStr">
        <is>
          <t>Yes</t>
        </is>
      </c>
      <c r="Z177" s="30" t="n"/>
      <c r="AA177" s="30" t="inlineStr">
        <is>
          <t>Good finish</t>
        </is>
      </c>
      <c r="AB177" s="30" t="inlineStr">
        <is>
          <t>Yes</t>
        </is>
      </c>
      <c r="AC177" s="27" t="n"/>
      <c r="AD177" s="31" t="inlineStr">
        <is>
          <t>No</t>
        </is>
      </c>
      <c r="AE177" s="32">
        <f>IF(W177="","",IF(Z177="Yes","❌ Disc",IF(Y177="No","⚠ Missing",IF(AB177="Yes","✓ OK","⚠ Check"))))</f>
        <v/>
      </c>
      <c r="AF177" s="33" t="n"/>
      <c r="AG177" s="33" t="n"/>
      <c r="AH177" s="33" t="n"/>
      <c r="AI177" s="33" t="n"/>
      <c r="AJ177" s="33" t="n"/>
      <c r="AK177" s="33" t="n"/>
      <c r="AL177" s="27" t="n"/>
      <c r="AM177" s="34" t="n"/>
      <c r="AN177" s="35">
        <f>IF(AF177="","",IF(AI177="Yes","❌ Disc",IF(AH177="No","⚠ Missing",IF(AK177="Yes","✓ OK","⚠ Check"))))</f>
        <v/>
      </c>
      <c r="AO177" s="36" t="n"/>
      <c r="AP177" s="36" t="n"/>
      <c r="AQ177" s="36" t="n"/>
      <c r="AR177" s="36" t="n"/>
      <c r="AS177" s="36" t="n"/>
      <c r="AT177" s="36" t="n"/>
      <c r="AU177" s="27" t="n"/>
      <c r="AV177" s="37" t="n"/>
      <c r="AW177" s="38">
        <f>IF(AO177="","",IF(AR177="Yes","❌ Disc",IF(AQ177="No","⚠ Missing",IF(AT177="Yes","✓ OK","⚠ Check"))))</f>
        <v/>
      </c>
    </row>
    <row r="178" ht="18" customHeight="1" s="46">
      <c r="A178" s="39" t="n">
        <v>174</v>
      </c>
      <c r="B178" s="40" t="inlineStr">
        <is>
          <t>BD-HNA-2025-0208</t>
        </is>
      </c>
      <c r="C178" s="41" t="inlineStr">
        <is>
          <t>Bonito Handles - H-158 - Antique Handle  - 335mm</t>
        </is>
      </c>
      <c r="D178" s="39" t="inlineStr">
        <is>
          <t>Bonito Handles</t>
        </is>
      </c>
      <c r="E178" s="43" t="n">
        <v>46125</v>
      </c>
      <c r="F178" s="26" t="inlineStr">
        <is>
          <t>Sunil CR</t>
        </is>
      </c>
      <c r="G178" s="44" t="inlineStr">
        <is>
          <t>Represented by Sample</t>
        </is>
      </c>
      <c r="H178" s="26" t="inlineStr">
        <is>
          <t>No</t>
        </is>
      </c>
      <c r="I178" s="44" t="inlineStr">
        <is>
          <t>Represented by Sample</t>
        </is>
      </c>
      <c r="J178" s="26" t="inlineStr">
        <is>
          <t>Yes</t>
        </is>
      </c>
      <c r="K178" s="27" t="n"/>
      <c r="L178" s="28" t="inlineStr">
        <is>
          <t>No</t>
        </is>
      </c>
      <c r="M178" s="29">
        <f>IF(E178="","",IF(H178="Yes","❌ Disc",IF(G178="No","⚠ Missing",IF(J178="Yes","✓ OK","⚠ Check"))))</f>
        <v/>
      </c>
      <c r="N178" s="43" t="n">
        <v>46196</v>
      </c>
      <c r="O178" s="26" t="inlineStr">
        <is>
          <t>Sunil CR</t>
        </is>
      </c>
      <c r="P178" s="44" t="inlineStr">
        <is>
          <t>Represented by Sample</t>
        </is>
      </c>
      <c r="Q178" s="26" t="inlineStr">
        <is>
          <t>No</t>
        </is>
      </c>
      <c r="R178" s="44" t="inlineStr">
        <is>
          <t>Represented by Sample</t>
        </is>
      </c>
      <c r="S178" s="26" t="inlineStr">
        <is>
          <t>Yes</t>
        </is>
      </c>
      <c r="T178" s="27" t="n"/>
      <c r="U178" s="28" t="inlineStr">
        <is>
          <t>No</t>
        </is>
      </c>
      <c r="V178" s="29">
        <f>IF(N178="","",IF(Q178="Yes","❌ Disc",IF(P178="No","⚠ Missing",IF(S178="Yes","✓ OK","⚠ Check"))))</f>
        <v/>
      </c>
      <c r="W178" s="65" t="n">
        <v>46248</v>
      </c>
      <c r="X178" s="30" t="inlineStr">
        <is>
          <t>Sunil CR</t>
        </is>
      </c>
      <c r="Y178" s="30" t="inlineStr">
        <is>
          <t>Represented by Sample</t>
        </is>
      </c>
      <c r="Z178" s="30" t="n"/>
      <c r="AA178" s="30" t="inlineStr">
        <is>
          <t>Represented by Sample</t>
        </is>
      </c>
      <c r="AB178" s="30" t="inlineStr">
        <is>
          <t>Yes</t>
        </is>
      </c>
      <c r="AC178" s="27" t="n"/>
      <c r="AD178" s="31" t="inlineStr">
        <is>
          <t>No</t>
        </is>
      </c>
      <c r="AE178" s="32">
        <f>IF(W178="","",IF(Z178="Yes","❌ Disc",IF(Y178="No","⚠ Missing",IF(AB178="Yes","✓ OK","⚠ Check"))))</f>
        <v/>
      </c>
      <c r="AF178" s="33" t="n"/>
      <c r="AG178" s="33" t="n"/>
      <c r="AH178" s="33" t="n"/>
      <c r="AI178" s="33" t="n"/>
      <c r="AJ178" s="33" t="n"/>
      <c r="AK178" s="33" t="n"/>
      <c r="AL178" s="27" t="n"/>
      <c r="AM178" s="34" t="n"/>
      <c r="AN178" s="35">
        <f>IF(AF178="","",IF(AI178="Yes","❌ Disc",IF(AH178="No","⚠ Missing",IF(AK178="Yes","✓ OK","⚠ Check"))))</f>
        <v/>
      </c>
      <c r="AO178" s="36" t="n"/>
      <c r="AP178" s="36" t="n"/>
      <c r="AQ178" s="36" t="n"/>
      <c r="AR178" s="36" t="n"/>
      <c r="AS178" s="36" t="n"/>
      <c r="AT178" s="36" t="n"/>
      <c r="AU178" s="27" t="n"/>
      <c r="AV178" s="37" t="n"/>
      <c r="AW178" s="38">
        <f>IF(AO178="","",IF(AR178="Yes","❌ Disc",IF(AQ178="No","⚠ Missing",IF(AT178="Yes","✓ OK","⚠ Check"))))</f>
        <v/>
      </c>
    </row>
    <row r="179" ht="18" customHeight="1" s="46">
      <c r="A179" s="23" t="n">
        <v>175</v>
      </c>
      <c r="B179" s="24" t="inlineStr">
        <is>
          <t>BD-HNA-2025-0209</t>
        </is>
      </c>
      <c r="C179" s="25" t="inlineStr">
        <is>
          <t>Bonito Handles - H-158 - Rose Gold Handle  - 192mm</t>
        </is>
      </c>
      <c r="D179" s="23" t="inlineStr">
        <is>
          <t>Bonito Handles</t>
        </is>
      </c>
      <c r="E179" s="43" t="n">
        <v>46125</v>
      </c>
      <c r="F179" s="26" t="inlineStr">
        <is>
          <t>Sunil CR</t>
        </is>
      </c>
      <c r="G179" s="44" t="inlineStr">
        <is>
          <t>Represented by Sample</t>
        </is>
      </c>
      <c r="H179" s="26" t="inlineStr">
        <is>
          <t>No</t>
        </is>
      </c>
      <c r="I179" s="44" t="inlineStr">
        <is>
          <t>Represented by Sample</t>
        </is>
      </c>
      <c r="J179" s="26" t="inlineStr">
        <is>
          <t>Yes</t>
        </is>
      </c>
      <c r="K179" s="27" t="n"/>
      <c r="L179" s="28" t="inlineStr">
        <is>
          <t>No</t>
        </is>
      </c>
      <c r="M179" s="29">
        <f>IF(E179="","",IF(H179="Yes","❌ Disc",IF(G179="No","⚠ Missing",IF(J179="Yes","✓ OK","⚠ Check"))))</f>
        <v/>
      </c>
      <c r="N179" s="43" t="n">
        <v>46196</v>
      </c>
      <c r="O179" s="26" t="inlineStr">
        <is>
          <t>Sunil CR</t>
        </is>
      </c>
      <c r="P179" s="44" t="inlineStr">
        <is>
          <t>Represented by Sample</t>
        </is>
      </c>
      <c r="Q179" s="26" t="inlineStr">
        <is>
          <t>No</t>
        </is>
      </c>
      <c r="R179" s="44" t="inlineStr">
        <is>
          <t>Represented by Sample</t>
        </is>
      </c>
      <c r="S179" s="26" t="inlineStr">
        <is>
          <t>Yes</t>
        </is>
      </c>
      <c r="T179" s="27" t="n"/>
      <c r="U179" s="28" t="inlineStr">
        <is>
          <t>No</t>
        </is>
      </c>
      <c r="V179" s="29">
        <f>IF(N179="","",IF(Q179="Yes","❌ Disc",IF(P179="No","⚠ Missing",IF(S179="Yes","✓ OK","⚠ Check"))))</f>
        <v/>
      </c>
      <c r="W179" s="65" t="n">
        <v>46248</v>
      </c>
      <c r="X179" s="30" t="inlineStr">
        <is>
          <t>Sunil CR</t>
        </is>
      </c>
      <c r="Y179" s="30" t="inlineStr">
        <is>
          <t>Represented by Sample</t>
        </is>
      </c>
      <c r="Z179" s="30" t="n"/>
      <c r="AA179" s="30" t="inlineStr">
        <is>
          <t>Represented by Sample</t>
        </is>
      </c>
      <c r="AB179" s="30" t="inlineStr">
        <is>
          <t>Yes</t>
        </is>
      </c>
      <c r="AC179" s="27" t="n"/>
      <c r="AD179" s="31" t="inlineStr">
        <is>
          <t>No</t>
        </is>
      </c>
      <c r="AE179" s="32">
        <f>IF(W179="","",IF(Z179="Yes","❌ Disc",IF(Y179="No","⚠ Missing",IF(AB179="Yes","✓ OK","⚠ Check"))))</f>
        <v/>
      </c>
      <c r="AF179" s="33" t="n"/>
      <c r="AG179" s="33" t="n"/>
      <c r="AH179" s="33" t="n"/>
      <c r="AI179" s="33" t="n"/>
      <c r="AJ179" s="33" t="n"/>
      <c r="AK179" s="33" t="n"/>
      <c r="AL179" s="27" t="n"/>
      <c r="AM179" s="34" t="n"/>
      <c r="AN179" s="35">
        <f>IF(AF179="","",IF(AI179="Yes","❌ Disc",IF(AH179="No","⚠ Missing",IF(AK179="Yes","✓ OK","⚠ Check"))))</f>
        <v/>
      </c>
      <c r="AO179" s="36" t="n"/>
      <c r="AP179" s="36" t="n"/>
      <c r="AQ179" s="36" t="n"/>
      <c r="AR179" s="36" t="n"/>
      <c r="AS179" s="36" t="n"/>
      <c r="AT179" s="36" t="n"/>
      <c r="AU179" s="27" t="n"/>
      <c r="AV179" s="37" t="n"/>
      <c r="AW179" s="38">
        <f>IF(AO179="","",IF(AR179="Yes","❌ Disc",IF(AQ179="No","⚠ Missing",IF(AT179="Yes","✓ OK","⚠ Check"))))</f>
        <v/>
      </c>
    </row>
    <row r="180" ht="18" customHeight="1" s="46">
      <c r="A180" s="39" t="n">
        <v>176</v>
      </c>
      <c r="B180" s="40" t="inlineStr">
        <is>
          <t>BD-HNA-2025-0210</t>
        </is>
      </c>
      <c r="C180" s="41" t="inlineStr">
        <is>
          <t>Bonito Handles - H-158 - Rose Gold Handle  - 335mm</t>
        </is>
      </c>
      <c r="D180" s="39" t="inlineStr">
        <is>
          <t>Bonito Handles</t>
        </is>
      </c>
      <c r="E180" s="43" t="n">
        <v>46125</v>
      </c>
      <c r="F180" s="26" t="inlineStr">
        <is>
          <t>Sunil CR</t>
        </is>
      </c>
      <c r="G180" s="44" t="inlineStr">
        <is>
          <t>Represented by Sample</t>
        </is>
      </c>
      <c r="H180" s="26" t="inlineStr">
        <is>
          <t>No</t>
        </is>
      </c>
      <c r="I180" s="44" t="inlineStr">
        <is>
          <t>Represented by Sample</t>
        </is>
      </c>
      <c r="J180" s="26" t="inlineStr">
        <is>
          <t>Yes</t>
        </is>
      </c>
      <c r="K180" s="27" t="n"/>
      <c r="L180" s="28" t="inlineStr">
        <is>
          <t>No</t>
        </is>
      </c>
      <c r="M180" s="29">
        <f>IF(E180="","",IF(H180="Yes","❌ Disc",IF(G180="No","⚠ Missing",IF(J180="Yes","✓ OK","⚠ Check"))))</f>
        <v/>
      </c>
      <c r="N180" s="43" t="n">
        <v>46196</v>
      </c>
      <c r="O180" s="26" t="inlineStr">
        <is>
          <t>Sunil CR</t>
        </is>
      </c>
      <c r="P180" s="44" t="inlineStr">
        <is>
          <t>Represented by Sample</t>
        </is>
      </c>
      <c r="Q180" s="26" t="inlineStr">
        <is>
          <t>No</t>
        </is>
      </c>
      <c r="R180" s="44" t="inlineStr">
        <is>
          <t>Represented by Sample</t>
        </is>
      </c>
      <c r="S180" s="26" t="inlineStr">
        <is>
          <t>Yes</t>
        </is>
      </c>
      <c r="T180" s="27" t="n"/>
      <c r="U180" s="28" t="inlineStr">
        <is>
          <t>No</t>
        </is>
      </c>
      <c r="V180" s="29">
        <f>IF(N180="","",IF(Q180="Yes","❌ Disc",IF(P180="No","⚠ Missing",IF(S180="Yes","✓ OK","⚠ Check"))))</f>
        <v/>
      </c>
      <c r="W180" s="65" t="n">
        <v>46248</v>
      </c>
      <c r="X180" s="30" t="inlineStr">
        <is>
          <t>Sunil CR</t>
        </is>
      </c>
      <c r="Y180" s="30" t="inlineStr">
        <is>
          <t>Represented by Sample</t>
        </is>
      </c>
      <c r="Z180" s="30" t="n"/>
      <c r="AA180" s="30" t="inlineStr">
        <is>
          <t>Represented by Sample</t>
        </is>
      </c>
      <c r="AB180" s="30" t="inlineStr">
        <is>
          <t>Yes</t>
        </is>
      </c>
      <c r="AC180" s="27" t="n"/>
      <c r="AD180" s="31" t="inlineStr">
        <is>
          <t>No</t>
        </is>
      </c>
      <c r="AE180" s="32">
        <f>IF(W180="","",IF(Z180="Yes","❌ Disc",IF(Y180="No","⚠ Missing",IF(AB180="Yes","✓ OK","⚠ Check"))))</f>
        <v/>
      </c>
      <c r="AF180" s="33" t="n"/>
      <c r="AG180" s="33" t="n"/>
      <c r="AH180" s="33" t="n"/>
      <c r="AI180" s="33" t="n"/>
      <c r="AJ180" s="33" t="n"/>
      <c r="AK180" s="33" t="n"/>
      <c r="AL180" s="27" t="n"/>
      <c r="AM180" s="34" t="n"/>
      <c r="AN180" s="35">
        <f>IF(AF180="","",IF(AI180="Yes","❌ Disc",IF(AH180="No","⚠ Missing",IF(AK180="Yes","✓ OK","⚠ Check"))))</f>
        <v/>
      </c>
      <c r="AO180" s="36" t="n"/>
      <c r="AP180" s="36" t="n"/>
      <c r="AQ180" s="36" t="n"/>
      <c r="AR180" s="36" t="n"/>
      <c r="AS180" s="36" t="n"/>
      <c r="AT180" s="36" t="n"/>
      <c r="AU180" s="27" t="n"/>
      <c r="AV180" s="37" t="n"/>
      <c r="AW180" s="38">
        <f>IF(AO180="","",IF(AR180="Yes","❌ Disc",IF(AQ180="No","⚠ Missing",IF(AT180="Yes","✓ OK","⚠ Check"))))</f>
        <v/>
      </c>
    </row>
    <row r="181" ht="18" customHeight="1" s="46">
      <c r="A181" s="23" t="n">
        <v>177</v>
      </c>
      <c r="B181" s="24" t="inlineStr">
        <is>
          <t>BD-HNA-2025-0205</t>
        </is>
      </c>
      <c r="C181" s="25" t="inlineStr">
        <is>
          <t>Bonito Handles - H-158 - Satin Handle  - 192mm</t>
        </is>
      </c>
      <c r="D181" s="23" t="inlineStr">
        <is>
          <t>Bonito Handles</t>
        </is>
      </c>
      <c r="E181" s="43" t="n">
        <v>46125</v>
      </c>
      <c r="F181" s="26" t="inlineStr">
        <is>
          <t>Sunil CR</t>
        </is>
      </c>
      <c r="G181" s="44" t="inlineStr">
        <is>
          <t>Represented by Sample</t>
        </is>
      </c>
      <c r="H181" s="26" t="inlineStr">
        <is>
          <t>No</t>
        </is>
      </c>
      <c r="I181" s="44" t="inlineStr">
        <is>
          <t>Represented by Sample</t>
        </is>
      </c>
      <c r="J181" s="26" t="inlineStr">
        <is>
          <t>Yes</t>
        </is>
      </c>
      <c r="K181" s="27" t="n"/>
      <c r="L181" s="28" t="inlineStr">
        <is>
          <t>No</t>
        </is>
      </c>
      <c r="M181" s="29">
        <f>IF(E181="","",IF(H181="Yes","❌ Disc",IF(G181="No","⚠ Missing",IF(J181="Yes","✓ OK","⚠ Check"))))</f>
        <v/>
      </c>
      <c r="N181" s="43" t="n">
        <v>46196</v>
      </c>
      <c r="O181" s="26" t="inlineStr">
        <is>
          <t>Sunil CR</t>
        </is>
      </c>
      <c r="P181" s="44" t="inlineStr">
        <is>
          <t>Represented by Sample</t>
        </is>
      </c>
      <c r="Q181" s="26" t="inlineStr">
        <is>
          <t>No</t>
        </is>
      </c>
      <c r="R181" s="44" t="inlineStr">
        <is>
          <t>Represented by Sample</t>
        </is>
      </c>
      <c r="S181" s="26" t="inlineStr">
        <is>
          <t>Yes</t>
        </is>
      </c>
      <c r="T181" s="27" t="n"/>
      <c r="U181" s="28" t="inlineStr">
        <is>
          <t>No</t>
        </is>
      </c>
      <c r="V181" s="29">
        <f>IF(N181="","",IF(Q181="Yes","❌ Disc",IF(P181="No","⚠ Missing",IF(S181="Yes","✓ OK","⚠ Check"))))</f>
        <v/>
      </c>
      <c r="W181" s="65" t="n">
        <v>46248</v>
      </c>
      <c r="X181" s="30" t="inlineStr">
        <is>
          <t>Sunil CR</t>
        </is>
      </c>
      <c r="Y181" s="30" t="inlineStr">
        <is>
          <t>Represented by Sample</t>
        </is>
      </c>
      <c r="Z181" s="30" t="n"/>
      <c r="AA181" s="30" t="inlineStr">
        <is>
          <t>Represented by Sample</t>
        </is>
      </c>
      <c r="AB181" s="30" t="inlineStr">
        <is>
          <t>Yes</t>
        </is>
      </c>
      <c r="AC181" s="27" t="n"/>
      <c r="AD181" s="31" t="inlineStr">
        <is>
          <t>No</t>
        </is>
      </c>
      <c r="AE181" s="32">
        <f>IF(W181="","",IF(Z181="Yes","❌ Disc",IF(Y181="No","⚠ Missing",IF(AB181="Yes","✓ OK","⚠ Check"))))</f>
        <v/>
      </c>
      <c r="AF181" s="33" t="n"/>
      <c r="AG181" s="33" t="n"/>
      <c r="AH181" s="33" t="n"/>
      <c r="AI181" s="33" t="n"/>
      <c r="AJ181" s="33" t="n"/>
      <c r="AK181" s="33" t="n"/>
      <c r="AL181" s="27" t="n"/>
      <c r="AM181" s="34" t="n"/>
      <c r="AN181" s="35">
        <f>IF(AF181="","",IF(AI181="Yes","❌ Disc",IF(AH181="No","⚠ Missing",IF(AK181="Yes","✓ OK","⚠ Check"))))</f>
        <v/>
      </c>
      <c r="AO181" s="36" t="n"/>
      <c r="AP181" s="36" t="n"/>
      <c r="AQ181" s="36" t="n"/>
      <c r="AR181" s="36" t="n"/>
      <c r="AS181" s="36" t="n"/>
      <c r="AT181" s="36" t="n"/>
      <c r="AU181" s="27" t="n"/>
      <c r="AV181" s="37" t="n"/>
      <c r="AW181" s="38">
        <f>IF(AO181="","",IF(AR181="Yes","❌ Disc",IF(AQ181="No","⚠ Missing",IF(AT181="Yes","✓ OK","⚠ Check"))))</f>
        <v/>
      </c>
    </row>
    <row r="182" ht="18" customHeight="1" s="46">
      <c r="A182" s="39" t="n">
        <v>178</v>
      </c>
      <c r="B182" s="40" t="inlineStr">
        <is>
          <t>BD-HNA-2025-0206</t>
        </is>
      </c>
      <c r="C182" s="41" t="inlineStr">
        <is>
          <t>Bonito Handles - H-158 - Satin Handle  - 335mm</t>
        </is>
      </c>
      <c r="D182" s="39" t="inlineStr">
        <is>
          <t>Bonito Handles</t>
        </is>
      </c>
      <c r="E182" s="43" t="n">
        <v>46125</v>
      </c>
      <c r="F182" s="26" t="inlineStr">
        <is>
          <t>Sunil CR</t>
        </is>
      </c>
      <c r="G182" s="44" t="inlineStr">
        <is>
          <t>Represented by Sample</t>
        </is>
      </c>
      <c r="H182" s="26" t="inlineStr">
        <is>
          <t>No</t>
        </is>
      </c>
      <c r="I182" s="44" t="inlineStr">
        <is>
          <t>Represented by Sample</t>
        </is>
      </c>
      <c r="J182" s="26" t="inlineStr">
        <is>
          <t>Yes</t>
        </is>
      </c>
      <c r="K182" s="27" t="n"/>
      <c r="L182" s="28" t="inlineStr">
        <is>
          <t>No</t>
        </is>
      </c>
      <c r="M182" s="29">
        <f>IF(E182="","",IF(H182="Yes","❌ Disc",IF(G182="No","⚠ Missing",IF(J182="Yes","✓ OK","⚠ Check"))))</f>
        <v/>
      </c>
      <c r="N182" s="43" t="n">
        <v>46196</v>
      </c>
      <c r="O182" s="26" t="inlineStr">
        <is>
          <t>Sunil CR</t>
        </is>
      </c>
      <c r="P182" s="44" t="inlineStr">
        <is>
          <t>Represented by Sample</t>
        </is>
      </c>
      <c r="Q182" s="26" t="inlineStr">
        <is>
          <t>No</t>
        </is>
      </c>
      <c r="R182" s="44" t="inlineStr">
        <is>
          <t>Represented by Sample</t>
        </is>
      </c>
      <c r="S182" s="26" t="inlineStr">
        <is>
          <t>Yes</t>
        </is>
      </c>
      <c r="T182" s="27" t="n"/>
      <c r="U182" s="28" t="inlineStr">
        <is>
          <t>No</t>
        </is>
      </c>
      <c r="V182" s="29">
        <f>IF(N182="","",IF(Q182="Yes","❌ Disc",IF(P182="No","⚠ Missing",IF(S182="Yes","✓ OK","⚠ Check"))))</f>
        <v/>
      </c>
      <c r="W182" s="65" t="n">
        <v>46248</v>
      </c>
      <c r="X182" s="30" t="inlineStr">
        <is>
          <t>Sunil CR</t>
        </is>
      </c>
      <c r="Y182" s="30" t="inlineStr">
        <is>
          <t>Represented by Sample</t>
        </is>
      </c>
      <c r="Z182" s="30" t="n"/>
      <c r="AA182" s="30" t="inlineStr">
        <is>
          <t>Represented by Sample</t>
        </is>
      </c>
      <c r="AB182" s="30" t="inlineStr">
        <is>
          <t>Yes</t>
        </is>
      </c>
      <c r="AC182" s="27" t="n"/>
      <c r="AD182" s="31" t="inlineStr">
        <is>
          <t>No</t>
        </is>
      </c>
      <c r="AE182" s="32">
        <f>IF(W182="","",IF(Z182="Yes","❌ Disc",IF(Y182="No","⚠ Missing",IF(AB182="Yes","✓ OK","⚠ Check"))))</f>
        <v/>
      </c>
      <c r="AF182" s="33" t="n"/>
      <c r="AG182" s="33" t="n"/>
      <c r="AH182" s="33" t="n"/>
      <c r="AI182" s="33" t="n"/>
      <c r="AJ182" s="33" t="n"/>
      <c r="AK182" s="33" t="n"/>
      <c r="AL182" s="27" t="n"/>
      <c r="AM182" s="34" t="n"/>
      <c r="AN182" s="35">
        <f>IF(AF182="","",IF(AI182="Yes","❌ Disc",IF(AH182="No","⚠ Missing",IF(AK182="Yes","✓ OK","⚠ Check"))))</f>
        <v/>
      </c>
      <c r="AO182" s="36" t="n"/>
      <c r="AP182" s="36" t="n"/>
      <c r="AQ182" s="36" t="n"/>
      <c r="AR182" s="36" t="n"/>
      <c r="AS182" s="36" t="n"/>
      <c r="AT182" s="36" t="n"/>
      <c r="AU182" s="27" t="n"/>
      <c r="AV182" s="37" t="n"/>
      <c r="AW182" s="38">
        <f>IF(AO182="","",IF(AR182="Yes","❌ Disc",IF(AQ182="No","⚠ Missing",IF(AT182="Yes","✓ OK","⚠ Check"))))</f>
        <v/>
      </c>
    </row>
    <row r="183" ht="18" customHeight="1" s="46">
      <c r="A183" s="23" t="n">
        <v>179</v>
      </c>
      <c r="B183" s="24" t="inlineStr">
        <is>
          <t>BD-HNA-2025-0162</t>
        </is>
      </c>
      <c r="C183" s="25" t="inlineStr">
        <is>
          <t>Bonito Handles - H-161 - Antique Handle  - 135mm</t>
        </is>
      </c>
      <c r="D183" s="23" t="inlineStr">
        <is>
          <t>Bonito Handles</t>
        </is>
      </c>
      <c r="E183" s="43" t="n">
        <v>46125</v>
      </c>
      <c r="F183" s="26" t="inlineStr">
        <is>
          <t>Sunil CR</t>
        </is>
      </c>
      <c r="G183" s="44" t="inlineStr">
        <is>
          <t>Represented by Sample</t>
        </is>
      </c>
      <c r="H183" s="26" t="inlineStr">
        <is>
          <t>No</t>
        </is>
      </c>
      <c r="I183" s="44" t="inlineStr">
        <is>
          <t>Represented by Sample</t>
        </is>
      </c>
      <c r="J183" s="26" t="inlineStr">
        <is>
          <t>Yes</t>
        </is>
      </c>
      <c r="K183" s="27" t="n"/>
      <c r="L183" s="28" t="inlineStr">
        <is>
          <t>No</t>
        </is>
      </c>
      <c r="M183" s="29">
        <f>IF(E183="","",IF(H183="Yes","❌ Disc",IF(G183="No","⚠ Missing",IF(J183="Yes","✓ OK","⚠ Check"))))</f>
        <v/>
      </c>
      <c r="N183" s="43" t="n">
        <v>46196</v>
      </c>
      <c r="O183" s="26" t="inlineStr">
        <is>
          <t>Sunil CR</t>
        </is>
      </c>
      <c r="P183" s="44" t="inlineStr">
        <is>
          <t>Represented by Sample</t>
        </is>
      </c>
      <c r="Q183" s="26" t="inlineStr">
        <is>
          <t>No</t>
        </is>
      </c>
      <c r="R183" s="44" t="inlineStr">
        <is>
          <t>Represented by Sample</t>
        </is>
      </c>
      <c r="S183" s="26" t="inlineStr">
        <is>
          <t>Yes</t>
        </is>
      </c>
      <c r="T183" s="27" t="n"/>
      <c r="U183" s="28" t="inlineStr">
        <is>
          <t>No</t>
        </is>
      </c>
      <c r="V183" s="29">
        <f>IF(N183="","",IF(Q183="Yes","❌ Disc",IF(P183="No","⚠ Missing",IF(S183="Yes","✓ OK","⚠ Check"))))</f>
        <v/>
      </c>
      <c r="W183" s="65" t="n">
        <v>46248</v>
      </c>
      <c r="X183" s="30" t="inlineStr">
        <is>
          <t>Sunil CR</t>
        </is>
      </c>
      <c r="Y183" s="30" t="inlineStr">
        <is>
          <t>Represented by Sample</t>
        </is>
      </c>
      <c r="Z183" s="30" t="n"/>
      <c r="AA183" s="30" t="inlineStr">
        <is>
          <t>Represented by Sample</t>
        </is>
      </c>
      <c r="AB183" s="30" t="inlineStr">
        <is>
          <t>Yes</t>
        </is>
      </c>
      <c r="AC183" s="27" t="n"/>
      <c r="AD183" s="31" t="inlineStr">
        <is>
          <t>No</t>
        </is>
      </c>
      <c r="AE183" s="32">
        <f>IF(W183="","",IF(Z183="Yes","❌ Disc",IF(Y183="No","⚠ Missing",IF(AB183="Yes","✓ OK","⚠ Check"))))</f>
        <v/>
      </c>
      <c r="AF183" s="33" t="n"/>
      <c r="AG183" s="33" t="n"/>
      <c r="AH183" s="33" t="n"/>
      <c r="AI183" s="33" t="n"/>
      <c r="AJ183" s="33" t="n"/>
      <c r="AK183" s="33" t="n"/>
      <c r="AL183" s="27" t="n"/>
      <c r="AM183" s="34" t="n"/>
      <c r="AN183" s="35">
        <f>IF(AF183="","",IF(AI183="Yes","❌ Disc",IF(AH183="No","⚠ Missing",IF(AK183="Yes","✓ OK","⚠ Check"))))</f>
        <v/>
      </c>
      <c r="AO183" s="36" t="n"/>
      <c r="AP183" s="36" t="n"/>
      <c r="AQ183" s="36" t="n"/>
      <c r="AR183" s="36" t="n"/>
      <c r="AS183" s="36" t="n"/>
      <c r="AT183" s="36" t="n"/>
      <c r="AU183" s="27" t="n"/>
      <c r="AV183" s="37" t="n"/>
      <c r="AW183" s="38">
        <f>IF(AO183="","",IF(AR183="Yes","❌ Disc",IF(AQ183="No","⚠ Missing",IF(AT183="Yes","✓ OK","⚠ Check"))))</f>
        <v/>
      </c>
    </row>
    <row r="184" ht="18" customHeight="1" s="46">
      <c r="A184" s="39" t="n">
        <v>180</v>
      </c>
      <c r="B184" s="40" t="inlineStr">
        <is>
          <t>BD-HNA-2025-0163</t>
        </is>
      </c>
      <c r="C184" s="41" t="inlineStr">
        <is>
          <t>Bonito Handles - H-161 - Antique Handle  - 205mm</t>
        </is>
      </c>
      <c r="D184" s="39" t="inlineStr">
        <is>
          <t>Bonito Handles</t>
        </is>
      </c>
      <c r="E184" s="43" t="n">
        <v>46125</v>
      </c>
      <c r="F184" s="26" t="inlineStr">
        <is>
          <t>Sunil CR</t>
        </is>
      </c>
      <c r="G184" s="44" t="inlineStr">
        <is>
          <t>Represented by Sample</t>
        </is>
      </c>
      <c r="H184" s="26" t="inlineStr">
        <is>
          <t>No</t>
        </is>
      </c>
      <c r="I184" s="44" t="inlineStr">
        <is>
          <t>Represented by Sample</t>
        </is>
      </c>
      <c r="J184" s="26" t="inlineStr">
        <is>
          <t>Yes</t>
        </is>
      </c>
      <c r="K184" s="27" t="n"/>
      <c r="L184" s="28" t="inlineStr">
        <is>
          <t>No</t>
        </is>
      </c>
      <c r="M184" s="29">
        <f>IF(E184="","",IF(H184="Yes","❌ Disc",IF(G184="No","⚠ Missing",IF(J184="Yes","✓ OK","⚠ Check"))))</f>
        <v/>
      </c>
      <c r="N184" s="43" t="n">
        <v>46196</v>
      </c>
      <c r="O184" s="26" t="inlineStr">
        <is>
          <t>Sunil CR</t>
        </is>
      </c>
      <c r="P184" s="44" t="inlineStr">
        <is>
          <t>Represented by Sample</t>
        </is>
      </c>
      <c r="Q184" s="26" t="inlineStr">
        <is>
          <t>No</t>
        </is>
      </c>
      <c r="R184" s="44" t="inlineStr">
        <is>
          <t>Represented by Sample</t>
        </is>
      </c>
      <c r="S184" s="26" t="inlineStr">
        <is>
          <t>Yes</t>
        </is>
      </c>
      <c r="T184" s="27" t="n"/>
      <c r="U184" s="28" t="inlineStr">
        <is>
          <t>No</t>
        </is>
      </c>
      <c r="V184" s="29">
        <f>IF(N184="","",IF(Q184="Yes","❌ Disc",IF(P184="No","⚠ Missing",IF(S184="Yes","✓ OK","⚠ Check"))))</f>
        <v/>
      </c>
      <c r="W184" s="65" t="n">
        <v>46248</v>
      </c>
      <c r="X184" s="30" t="inlineStr">
        <is>
          <t>Sunil CR</t>
        </is>
      </c>
      <c r="Y184" s="30" t="inlineStr">
        <is>
          <t>Represented by Sample</t>
        </is>
      </c>
      <c r="Z184" s="30" t="n"/>
      <c r="AA184" s="30" t="inlineStr">
        <is>
          <t>Represented by Sample</t>
        </is>
      </c>
      <c r="AB184" s="30" t="inlineStr">
        <is>
          <t>Yes</t>
        </is>
      </c>
      <c r="AC184" s="27" t="n"/>
      <c r="AD184" s="31" t="inlineStr">
        <is>
          <t>No</t>
        </is>
      </c>
      <c r="AE184" s="32">
        <f>IF(W184="","",IF(Z184="Yes","❌ Disc",IF(Y184="No","⚠ Missing",IF(AB184="Yes","✓ OK","⚠ Check"))))</f>
        <v/>
      </c>
      <c r="AF184" s="33" t="n"/>
      <c r="AG184" s="33" t="n"/>
      <c r="AH184" s="33" t="n"/>
      <c r="AI184" s="33" t="n"/>
      <c r="AJ184" s="33" t="n"/>
      <c r="AK184" s="33" t="n"/>
      <c r="AL184" s="27" t="n"/>
      <c r="AM184" s="34" t="n"/>
      <c r="AN184" s="35">
        <f>IF(AF184="","",IF(AI184="Yes","❌ Disc",IF(AH184="No","⚠ Missing",IF(AK184="Yes","✓ OK","⚠ Check"))))</f>
        <v/>
      </c>
      <c r="AO184" s="36" t="n"/>
      <c r="AP184" s="36" t="n"/>
      <c r="AQ184" s="36" t="n"/>
      <c r="AR184" s="36" t="n"/>
      <c r="AS184" s="36" t="n"/>
      <c r="AT184" s="36" t="n"/>
      <c r="AU184" s="27" t="n"/>
      <c r="AV184" s="37" t="n"/>
      <c r="AW184" s="38">
        <f>IF(AO184="","",IF(AR184="Yes","❌ Disc",IF(AQ184="No","⚠ Missing",IF(AT184="Yes","✓ OK","⚠ Check"))))</f>
        <v/>
      </c>
    </row>
    <row r="185" ht="18" customHeight="1" s="46">
      <c r="A185" s="23" t="n">
        <v>181</v>
      </c>
      <c r="B185" s="24" t="inlineStr">
        <is>
          <t>BD-HNA-2025-0164</t>
        </is>
      </c>
      <c r="C185" s="25" t="inlineStr">
        <is>
          <t>Bonito Handles - H-161 - Antique Handle  - 333mm</t>
        </is>
      </c>
      <c r="D185" s="23" t="inlineStr">
        <is>
          <t>Bonito Handles</t>
        </is>
      </c>
      <c r="E185" s="43" t="n">
        <v>46125</v>
      </c>
      <c r="F185" s="26" t="inlineStr">
        <is>
          <t>Sunil CR</t>
        </is>
      </c>
      <c r="G185" s="44" t="inlineStr">
        <is>
          <t>Represented by Sample</t>
        </is>
      </c>
      <c r="H185" s="26" t="inlineStr">
        <is>
          <t>No</t>
        </is>
      </c>
      <c r="I185" s="44" t="inlineStr">
        <is>
          <t>Represented by Sample</t>
        </is>
      </c>
      <c r="J185" s="26" t="inlineStr">
        <is>
          <t>Yes</t>
        </is>
      </c>
      <c r="K185" s="27" t="n"/>
      <c r="L185" s="28" t="inlineStr">
        <is>
          <t>No</t>
        </is>
      </c>
      <c r="M185" s="29">
        <f>IF(E185="","",IF(H185="Yes","❌ Disc",IF(G185="No","⚠ Missing",IF(J185="Yes","✓ OK","⚠ Check"))))</f>
        <v/>
      </c>
      <c r="N185" s="43" t="n">
        <v>46196</v>
      </c>
      <c r="O185" s="26" t="inlineStr">
        <is>
          <t>Sunil CR</t>
        </is>
      </c>
      <c r="P185" s="44" t="inlineStr">
        <is>
          <t>Represented by Sample</t>
        </is>
      </c>
      <c r="Q185" s="26" t="inlineStr">
        <is>
          <t>No</t>
        </is>
      </c>
      <c r="R185" s="44" t="inlineStr">
        <is>
          <t>Represented by Sample</t>
        </is>
      </c>
      <c r="S185" s="26" t="inlineStr">
        <is>
          <t>Yes</t>
        </is>
      </c>
      <c r="T185" s="27" t="n"/>
      <c r="U185" s="28" t="inlineStr">
        <is>
          <t>No</t>
        </is>
      </c>
      <c r="V185" s="29">
        <f>IF(N185="","",IF(Q185="Yes","❌ Disc",IF(P185="No","⚠ Missing",IF(S185="Yes","✓ OK","⚠ Check"))))</f>
        <v/>
      </c>
      <c r="W185" s="65" t="n">
        <v>46248</v>
      </c>
      <c r="X185" s="30" t="inlineStr">
        <is>
          <t>Sunil CR</t>
        </is>
      </c>
      <c r="Y185" s="30" t="inlineStr">
        <is>
          <t>Represented by Sample</t>
        </is>
      </c>
      <c r="Z185" s="30" t="n"/>
      <c r="AA185" s="30" t="inlineStr">
        <is>
          <t>Represented by Sample</t>
        </is>
      </c>
      <c r="AB185" s="30" t="inlineStr">
        <is>
          <t>Yes</t>
        </is>
      </c>
      <c r="AC185" s="27" t="n"/>
      <c r="AD185" s="31" t="inlineStr">
        <is>
          <t>No</t>
        </is>
      </c>
      <c r="AE185" s="32">
        <f>IF(W185="","",IF(Z185="Yes","❌ Disc",IF(Y185="No","⚠ Missing",IF(AB185="Yes","✓ OK","⚠ Check"))))</f>
        <v/>
      </c>
      <c r="AF185" s="33" t="n"/>
      <c r="AG185" s="33" t="n"/>
      <c r="AH185" s="33" t="n"/>
      <c r="AI185" s="33" t="n"/>
      <c r="AJ185" s="33" t="n"/>
      <c r="AK185" s="33" t="n"/>
      <c r="AL185" s="27" t="n"/>
      <c r="AM185" s="34" t="n"/>
      <c r="AN185" s="35">
        <f>IF(AF185="","",IF(AI185="Yes","❌ Disc",IF(AH185="No","⚠ Missing",IF(AK185="Yes","✓ OK","⚠ Check"))))</f>
        <v/>
      </c>
      <c r="AO185" s="36" t="n"/>
      <c r="AP185" s="36" t="n"/>
      <c r="AQ185" s="36" t="n"/>
      <c r="AR185" s="36" t="n"/>
      <c r="AS185" s="36" t="n"/>
      <c r="AT185" s="36" t="n"/>
      <c r="AU185" s="27" t="n"/>
      <c r="AV185" s="37" t="n"/>
      <c r="AW185" s="38">
        <f>IF(AO185="","",IF(AR185="Yes","❌ Disc",IF(AQ185="No","⚠ Missing",IF(AT185="Yes","✓ OK","⚠ Check"))))</f>
        <v/>
      </c>
    </row>
    <row r="186" ht="18" customHeight="1" s="46">
      <c r="A186" s="39" t="n">
        <v>182</v>
      </c>
      <c r="B186" s="40" t="inlineStr">
        <is>
          <t>BD-HNA-2025-0165</t>
        </is>
      </c>
      <c r="C186" s="41" t="inlineStr">
        <is>
          <t>Bonito Handles - H-161 - Grey Handle  - 135mm</t>
        </is>
      </c>
      <c r="D186" s="39" t="inlineStr">
        <is>
          <t>Bonito Handles</t>
        </is>
      </c>
      <c r="E186" s="43" t="n">
        <v>46125</v>
      </c>
      <c r="F186" s="26" t="inlineStr">
        <is>
          <t>Sunil CR</t>
        </is>
      </c>
      <c r="G186" s="44" t="inlineStr">
        <is>
          <t>Represented by Sample</t>
        </is>
      </c>
      <c r="H186" s="26" t="inlineStr">
        <is>
          <t>No</t>
        </is>
      </c>
      <c r="I186" s="44" t="inlineStr">
        <is>
          <t>Represented by Sample</t>
        </is>
      </c>
      <c r="J186" s="26" t="inlineStr">
        <is>
          <t>Yes</t>
        </is>
      </c>
      <c r="K186" s="27" t="n"/>
      <c r="L186" s="28" t="inlineStr">
        <is>
          <t>No</t>
        </is>
      </c>
      <c r="M186" s="29">
        <f>IF(E186="","",IF(H186="Yes","❌ Disc",IF(G186="No","⚠ Missing",IF(J186="Yes","✓ OK","⚠ Check"))))</f>
        <v/>
      </c>
      <c r="N186" s="43" t="n">
        <v>46196</v>
      </c>
      <c r="O186" s="26" t="inlineStr">
        <is>
          <t>Sunil CR</t>
        </is>
      </c>
      <c r="P186" s="44" t="inlineStr">
        <is>
          <t>Represented by Sample</t>
        </is>
      </c>
      <c r="Q186" s="26" t="inlineStr">
        <is>
          <t>No</t>
        </is>
      </c>
      <c r="R186" s="44" t="inlineStr">
        <is>
          <t>Represented by Sample</t>
        </is>
      </c>
      <c r="S186" s="26" t="inlineStr">
        <is>
          <t>Yes</t>
        </is>
      </c>
      <c r="T186" s="27" t="n"/>
      <c r="U186" s="28" t="inlineStr">
        <is>
          <t>No</t>
        </is>
      </c>
      <c r="V186" s="29">
        <f>IF(N186="","",IF(Q186="Yes","❌ Disc",IF(P186="No","⚠ Missing",IF(S186="Yes","✓ OK","⚠ Check"))))</f>
        <v/>
      </c>
      <c r="W186" s="65" t="n">
        <v>46248</v>
      </c>
      <c r="X186" s="30" t="inlineStr">
        <is>
          <t>Sunil CR</t>
        </is>
      </c>
      <c r="Y186" s="30" t="inlineStr">
        <is>
          <t>Represented by Sample</t>
        </is>
      </c>
      <c r="Z186" s="30" t="n"/>
      <c r="AA186" s="30" t="inlineStr">
        <is>
          <t>Represented by Sample</t>
        </is>
      </c>
      <c r="AB186" s="30" t="inlineStr">
        <is>
          <t>Yes</t>
        </is>
      </c>
      <c r="AC186" s="27" t="n"/>
      <c r="AD186" s="31" t="inlineStr">
        <is>
          <t>No</t>
        </is>
      </c>
      <c r="AE186" s="32">
        <f>IF(W186="","",IF(Z186="Yes","❌ Disc",IF(Y186="No","⚠ Missing",IF(AB186="Yes","✓ OK","⚠ Check"))))</f>
        <v/>
      </c>
      <c r="AF186" s="33" t="n"/>
      <c r="AG186" s="33" t="n"/>
      <c r="AH186" s="33" t="n"/>
      <c r="AI186" s="33" t="n"/>
      <c r="AJ186" s="33" t="n"/>
      <c r="AK186" s="33" t="n"/>
      <c r="AL186" s="27" t="n"/>
      <c r="AM186" s="34" t="n"/>
      <c r="AN186" s="35">
        <f>IF(AF186="","",IF(AI186="Yes","❌ Disc",IF(AH186="No","⚠ Missing",IF(AK186="Yes","✓ OK","⚠ Check"))))</f>
        <v/>
      </c>
      <c r="AO186" s="36" t="n"/>
      <c r="AP186" s="36" t="n"/>
      <c r="AQ186" s="36" t="n"/>
      <c r="AR186" s="36" t="n"/>
      <c r="AS186" s="36" t="n"/>
      <c r="AT186" s="36" t="n"/>
      <c r="AU186" s="27" t="n"/>
      <c r="AV186" s="37" t="n"/>
      <c r="AW186" s="38">
        <f>IF(AO186="","",IF(AR186="Yes","❌ Disc",IF(AQ186="No","⚠ Missing",IF(AT186="Yes","✓ OK","⚠ Check"))))</f>
        <v/>
      </c>
    </row>
    <row r="187" ht="18" customHeight="1" s="46">
      <c r="A187" s="23" t="n">
        <v>183</v>
      </c>
      <c r="B187" s="24" t="inlineStr">
        <is>
          <t>BD-HNA-2025-0166</t>
        </is>
      </c>
      <c r="C187" s="25" t="inlineStr">
        <is>
          <t>Bonito Handles - H-161 - Grey Handle  - 205mm</t>
        </is>
      </c>
      <c r="D187" s="23" t="inlineStr">
        <is>
          <t>Bonito Handles</t>
        </is>
      </c>
      <c r="E187" s="43" t="n">
        <v>46125</v>
      </c>
      <c r="F187" s="26" t="inlineStr">
        <is>
          <t>Sunil CR</t>
        </is>
      </c>
      <c r="G187" s="44" t="inlineStr">
        <is>
          <t>Represented by Sample</t>
        </is>
      </c>
      <c r="H187" s="26" t="inlineStr">
        <is>
          <t>No</t>
        </is>
      </c>
      <c r="I187" s="44" t="inlineStr">
        <is>
          <t>Represented by Sample</t>
        </is>
      </c>
      <c r="J187" s="26" t="inlineStr">
        <is>
          <t>Yes</t>
        </is>
      </c>
      <c r="K187" s="27" t="n"/>
      <c r="L187" s="28" t="inlineStr">
        <is>
          <t>No</t>
        </is>
      </c>
      <c r="M187" s="29">
        <f>IF(E187="","",IF(H187="Yes","❌ Disc",IF(G187="No","⚠ Missing",IF(J187="Yes","✓ OK","⚠ Check"))))</f>
        <v/>
      </c>
      <c r="N187" s="43" t="n">
        <v>46196</v>
      </c>
      <c r="O187" s="26" t="inlineStr">
        <is>
          <t>Sunil CR</t>
        </is>
      </c>
      <c r="P187" s="44" t="inlineStr">
        <is>
          <t>Represented by Sample</t>
        </is>
      </c>
      <c r="Q187" s="26" t="inlineStr">
        <is>
          <t>No</t>
        </is>
      </c>
      <c r="R187" s="44" t="inlineStr">
        <is>
          <t>Represented by Sample</t>
        </is>
      </c>
      <c r="S187" s="26" t="inlineStr">
        <is>
          <t>Yes</t>
        </is>
      </c>
      <c r="T187" s="27" t="n"/>
      <c r="U187" s="28" t="inlineStr">
        <is>
          <t>No</t>
        </is>
      </c>
      <c r="V187" s="29">
        <f>IF(N187="","",IF(Q187="Yes","❌ Disc",IF(P187="No","⚠ Missing",IF(S187="Yes","✓ OK","⚠ Check"))))</f>
        <v/>
      </c>
      <c r="W187" s="65" t="n">
        <v>46248</v>
      </c>
      <c r="X187" s="30" t="inlineStr">
        <is>
          <t>Sunil CR</t>
        </is>
      </c>
      <c r="Y187" s="30" t="inlineStr">
        <is>
          <t>Represented by Sample</t>
        </is>
      </c>
      <c r="Z187" s="30" t="n"/>
      <c r="AA187" s="30" t="inlineStr">
        <is>
          <t>Represented by Sample</t>
        </is>
      </c>
      <c r="AB187" s="30" t="inlineStr">
        <is>
          <t>Yes</t>
        </is>
      </c>
      <c r="AC187" s="27" t="n"/>
      <c r="AD187" s="31" t="inlineStr">
        <is>
          <t>No</t>
        </is>
      </c>
      <c r="AE187" s="32">
        <f>IF(W187="","",IF(Z187="Yes","❌ Disc",IF(Y187="No","⚠ Missing",IF(AB187="Yes","✓ OK","⚠ Check"))))</f>
        <v/>
      </c>
      <c r="AF187" s="33" t="n"/>
      <c r="AG187" s="33" t="n"/>
      <c r="AH187" s="33" t="n"/>
      <c r="AI187" s="33" t="n"/>
      <c r="AJ187" s="33" t="n"/>
      <c r="AK187" s="33" t="n"/>
      <c r="AL187" s="27" t="n"/>
      <c r="AM187" s="34" t="n"/>
      <c r="AN187" s="35">
        <f>IF(AF187="","",IF(AI187="Yes","❌ Disc",IF(AH187="No","⚠ Missing",IF(AK187="Yes","✓ OK","⚠ Check"))))</f>
        <v/>
      </c>
      <c r="AO187" s="36" t="n"/>
      <c r="AP187" s="36" t="n"/>
      <c r="AQ187" s="36" t="n"/>
      <c r="AR187" s="36" t="n"/>
      <c r="AS187" s="36" t="n"/>
      <c r="AT187" s="36" t="n"/>
      <c r="AU187" s="27" t="n"/>
      <c r="AV187" s="37" t="n"/>
      <c r="AW187" s="38">
        <f>IF(AO187="","",IF(AR187="Yes","❌ Disc",IF(AQ187="No","⚠ Missing",IF(AT187="Yes","✓ OK","⚠ Check"))))</f>
        <v/>
      </c>
    </row>
    <row r="188" ht="18" customHeight="1" s="46">
      <c r="A188" s="39" t="n">
        <v>184</v>
      </c>
      <c r="B188" s="40" t="inlineStr">
        <is>
          <t>BD-HNA-2025-0167</t>
        </is>
      </c>
      <c r="C188" s="41" t="inlineStr">
        <is>
          <t>Bonito Handles - H-161 - Grey Handle  - 333mm</t>
        </is>
      </c>
      <c r="D188" s="39" t="inlineStr">
        <is>
          <t>Bonito Handles</t>
        </is>
      </c>
      <c r="E188" s="43" t="n">
        <v>46125</v>
      </c>
      <c r="F188" s="26" t="inlineStr">
        <is>
          <t>Sunil CR</t>
        </is>
      </c>
      <c r="G188" s="44" t="inlineStr">
        <is>
          <t>Represented by Sample</t>
        </is>
      </c>
      <c r="H188" s="26" t="inlineStr">
        <is>
          <t>No</t>
        </is>
      </c>
      <c r="I188" s="44" t="inlineStr">
        <is>
          <t>Represented by Sample</t>
        </is>
      </c>
      <c r="J188" s="26" t="inlineStr">
        <is>
          <t>Yes</t>
        </is>
      </c>
      <c r="K188" s="27" t="n"/>
      <c r="L188" s="28" t="inlineStr">
        <is>
          <t>No</t>
        </is>
      </c>
      <c r="M188" s="29">
        <f>IF(E188="","",IF(H188="Yes","❌ Disc",IF(G188="No","⚠ Missing",IF(J188="Yes","✓ OK","⚠ Check"))))</f>
        <v/>
      </c>
      <c r="N188" s="43" t="n">
        <v>46196</v>
      </c>
      <c r="O188" s="26" t="inlineStr">
        <is>
          <t>Sunil CR</t>
        </is>
      </c>
      <c r="P188" s="44" t="inlineStr">
        <is>
          <t>Represented by Sample</t>
        </is>
      </c>
      <c r="Q188" s="26" t="inlineStr">
        <is>
          <t>No</t>
        </is>
      </c>
      <c r="R188" s="44" t="inlineStr">
        <is>
          <t>Represented by Sample</t>
        </is>
      </c>
      <c r="S188" s="26" t="inlineStr">
        <is>
          <t>Yes</t>
        </is>
      </c>
      <c r="T188" s="27" t="n"/>
      <c r="U188" s="28" t="inlineStr">
        <is>
          <t>No</t>
        </is>
      </c>
      <c r="V188" s="29">
        <f>IF(N188="","",IF(Q188="Yes","❌ Disc",IF(P188="No","⚠ Missing",IF(S188="Yes","✓ OK","⚠ Check"))))</f>
        <v/>
      </c>
      <c r="W188" s="65" t="n">
        <v>46248</v>
      </c>
      <c r="X188" s="30" t="inlineStr">
        <is>
          <t>Sunil CR</t>
        </is>
      </c>
      <c r="Y188" s="30" t="inlineStr">
        <is>
          <t>Represented by Sample</t>
        </is>
      </c>
      <c r="Z188" s="30" t="n"/>
      <c r="AA188" s="30" t="inlineStr">
        <is>
          <t>Represented by Sample</t>
        </is>
      </c>
      <c r="AB188" s="30" t="inlineStr">
        <is>
          <t>Yes</t>
        </is>
      </c>
      <c r="AC188" s="27" t="n"/>
      <c r="AD188" s="31" t="inlineStr">
        <is>
          <t>No</t>
        </is>
      </c>
      <c r="AE188" s="32">
        <f>IF(W188="","",IF(Z188="Yes","❌ Disc",IF(Y188="No","⚠ Missing",IF(AB188="Yes","✓ OK","⚠ Check"))))</f>
        <v/>
      </c>
      <c r="AF188" s="33" t="n"/>
      <c r="AG188" s="33" t="n"/>
      <c r="AH188" s="33" t="n"/>
      <c r="AI188" s="33" t="n"/>
      <c r="AJ188" s="33" t="n"/>
      <c r="AK188" s="33" t="n"/>
      <c r="AL188" s="27" t="n"/>
      <c r="AM188" s="34" t="n"/>
      <c r="AN188" s="35">
        <f>IF(AF188="","",IF(AI188="Yes","❌ Disc",IF(AH188="No","⚠ Missing",IF(AK188="Yes","✓ OK","⚠ Check"))))</f>
        <v/>
      </c>
      <c r="AO188" s="36" t="n"/>
      <c r="AP188" s="36" t="n"/>
      <c r="AQ188" s="36" t="n"/>
      <c r="AR188" s="36" t="n"/>
      <c r="AS188" s="36" t="n"/>
      <c r="AT188" s="36" t="n"/>
      <c r="AU188" s="27" t="n"/>
      <c r="AV188" s="37" t="n"/>
      <c r="AW188" s="38">
        <f>IF(AO188="","",IF(AR188="Yes","❌ Disc",IF(AQ188="No","⚠ Missing",IF(AT188="Yes","✓ OK","⚠ Check"))))</f>
        <v/>
      </c>
    </row>
    <row r="189" ht="18" customHeight="1" s="46">
      <c r="A189" s="23" t="n">
        <v>185</v>
      </c>
      <c r="B189" s="24" t="inlineStr">
        <is>
          <t>BD-HNA-2025-0168</t>
        </is>
      </c>
      <c r="C189" s="25" t="inlineStr">
        <is>
          <t>Bonito Handles - H-161 - Rose Gold Handle  - 135mm</t>
        </is>
      </c>
      <c r="D189" s="23" t="inlineStr">
        <is>
          <t>Bonito Handles</t>
        </is>
      </c>
      <c r="E189" s="43" t="n">
        <v>46125</v>
      </c>
      <c r="F189" s="26" t="inlineStr">
        <is>
          <t>Sunil CR</t>
        </is>
      </c>
      <c r="G189" s="44" t="inlineStr">
        <is>
          <t>Represented by Sample</t>
        </is>
      </c>
      <c r="H189" s="26" t="inlineStr">
        <is>
          <t>No</t>
        </is>
      </c>
      <c r="I189" s="44" t="inlineStr">
        <is>
          <t>Represented by Sample</t>
        </is>
      </c>
      <c r="J189" s="26" t="inlineStr">
        <is>
          <t>Yes</t>
        </is>
      </c>
      <c r="K189" s="27" t="n"/>
      <c r="L189" s="28" t="inlineStr">
        <is>
          <t>No</t>
        </is>
      </c>
      <c r="M189" s="29">
        <f>IF(E189="","",IF(H189="Yes","❌ Disc",IF(G189="No","⚠ Missing",IF(J189="Yes","✓ OK","⚠ Check"))))</f>
        <v/>
      </c>
      <c r="N189" s="43" t="n">
        <v>46196</v>
      </c>
      <c r="O189" s="26" t="inlineStr">
        <is>
          <t>Sunil CR</t>
        </is>
      </c>
      <c r="P189" s="44" t="inlineStr">
        <is>
          <t>Represented by Sample</t>
        </is>
      </c>
      <c r="Q189" s="26" t="inlineStr">
        <is>
          <t>No</t>
        </is>
      </c>
      <c r="R189" s="44" t="inlineStr">
        <is>
          <t>Represented by Sample</t>
        </is>
      </c>
      <c r="S189" s="26" t="inlineStr">
        <is>
          <t>Yes</t>
        </is>
      </c>
      <c r="T189" s="27" t="n"/>
      <c r="U189" s="28" t="inlineStr">
        <is>
          <t>No</t>
        </is>
      </c>
      <c r="V189" s="29">
        <f>IF(N189="","",IF(Q189="Yes","❌ Disc",IF(P189="No","⚠ Missing",IF(S189="Yes","✓ OK","⚠ Check"))))</f>
        <v/>
      </c>
      <c r="W189" s="65" t="n">
        <v>46248</v>
      </c>
      <c r="X189" s="30" t="inlineStr">
        <is>
          <t>Sunil CR</t>
        </is>
      </c>
      <c r="Y189" s="30" t="inlineStr">
        <is>
          <t>Represented by Sample</t>
        </is>
      </c>
      <c r="Z189" s="30" t="n"/>
      <c r="AA189" s="30" t="inlineStr">
        <is>
          <t>Represented by Sample</t>
        </is>
      </c>
      <c r="AB189" s="30" t="inlineStr">
        <is>
          <t>Yes</t>
        </is>
      </c>
      <c r="AC189" s="27" t="n"/>
      <c r="AD189" s="31" t="inlineStr">
        <is>
          <t>No</t>
        </is>
      </c>
      <c r="AE189" s="32">
        <f>IF(W189="","",IF(Z189="Yes","❌ Disc",IF(Y189="No","⚠ Missing",IF(AB189="Yes","✓ OK","⚠ Check"))))</f>
        <v/>
      </c>
      <c r="AF189" s="33" t="n"/>
      <c r="AG189" s="33" t="n"/>
      <c r="AH189" s="33" t="n"/>
      <c r="AI189" s="33" t="n"/>
      <c r="AJ189" s="33" t="n"/>
      <c r="AK189" s="33" t="n"/>
      <c r="AL189" s="27" t="n"/>
      <c r="AM189" s="34" t="n"/>
      <c r="AN189" s="35">
        <f>IF(AF189="","",IF(AI189="Yes","❌ Disc",IF(AH189="No","⚠ Missing",IF(AK189="Yes","✓ OK","⚠ Check"))))</f>
        <v/>
      </c>
      <c r="AO189" s="36" t="n"/>
      <c r="AP189" s="36" t="n"/>
      <c r="AQ189" s="36" t="n"/>
      <c r="AR189" s="36" t="n"/>
      <c r="AS189" s="36" t="n"/>
      <c r="AT189" s="36" t="n"/>
      <c r="AU189" s="27" t="n"/>
      <c r="AV189" s="37" t="n"/>
      <c r="AW189" s="38">
        <f>IF(AO189="","",IF(AR189="Yes","❌ Disc",IF(AQ189="No","⚠ Missing",IF(AT189="Yes","✓ OK","⚠ Check"))))</f>
        <v/>
      </c>
    </row>
    <row r="190" ht="18" customHeight="1" s="46">
      <c r="A190" s="39" t="n">
        <v>186</v>
      </c>
      <c r="B190" s="40" t="inlineStr">
        <is>
          <t>BD-HNA-2025-0169</t>
        </is>
      </c>
      <c r="C190" s="41" t="inlineStr">
        <is>
          <t>Bonito Handles - H-161 - Rose Gold Handle  - 205mm</t>
        </is>
      </c>
      <c r="D190" s="39" t="inlineStr">
        <is>
          <t>Bonito Handles</t>
        </is>
      </c>
      <c r="E190" s="43" t="n">
        <v>46125</v>
      </c>
      <c r="F190" s="26" t="inlineStr">
        <is>
          <t>Sunil CR</t>
        </is>
      </c>
      <c r="G190" s="44" t="inlineStr">
        <is>
          <t>Represented by Sample</t>
        </is>
      </c>
      <c r="H190" s="26" t="inlineStr">
        <is>
          <t>No</t>
        </is>
      </c>
      <c r="I190" s="44" t="inlineStr">
        <is>
          <t>Represented by Sample</t>
        </is>
      </c>
      <c r="J190" s="26" t="inlineStr">
        <is>
          <t>Yes</t>
        </is>
      </c>
      <c r="K190" s="27" t="n"/>
      <c r="L190" s="28" t="inlineStr">
        <is>
          <t>No</t>
        </is>
      </c>
      <c r="M190" s="29">
        <f>IF(E190="","",IF(H190="Yes","❌ Disc",IF(G190="No","⚠ Missing",IF(J190="Yes","✓ OK","⚠ Check"))))</f>
        <v/>
      </c>
      <c r="N190" s="43" t="n">
        <v>46196</v>
      </c>
      <c r="O190" s="26" t="inlineStr">
        <is>
          <t>Sunil CR</t>
        </is>
      </c>
      <c r="P190" s="44" t="inlineStr">
        <is>
          <t>Represented by Sample</t>
        </is>
      </c>
      <c r="Q190" s="26" t="inlineStr">
        <is>
          <t>No</t>
        </is>
      </c>
      <c r="R190" s="44" t="inlineStr">
        <is>
          <t>Represented by Sample</t>
        </is>
      </c>
      <c r="S190" s="26" t="inlineStr">
        <is>
          <t>Yes</t>
        </is>
      </c>
      <c r="T190" s="27" t="n"/>
      <c r="U190" s="28" t="inlineStr">
        <is>
          <t>No</t>
        </is>
      </c>
      <c r="V190" s="29">
        <f>IF(N190="","",IF(Q190="Yes","❌ Disc",IF(P190="No","⚠ Missing",IF(S190="Yes","✓ OK","⚠ Check"))))</f>
        <v/>
      </c>
      <c r="W190" s="65" t="n">
        <v>46248</v>
      </c>
      <c r="X190" s="30" t="inlineStr">
        <is>
          <t>Sunil CR</t>
        </is>
      </c>
      <c r="Y190" s="30" t="inlineStr">
        <is>
          <t>Represented by Sample</t>
        </is>
      </c>
      <c r="Z190" s="30" t="n"/>
      <c r="AA190" s="30" t="inlineStr">
        <is>
          <t>Represented by Sample</t>
        </is>
      </c>
      <c r="AB190" s="30" t="inlineStr">
        <is>
          <t>Yes</t>
        </is>
      </c>
      <c r="AC190" s="27" t="n"/>
      <c r="AD190" s="31" t="inlineStr">
        <is>
          <t>No</t>
        </is>
      </c>
      <c r="AE190" s="32">
        <f>IF(W190="","",IF(Z190="Yes","❌ Disc",IF(Y190="No","⚠ Missing",IF(AB190="Yes","✓ OK","⚠ Check"))))</f>
        <v/>
      </c>
      <c r="AF190" s="33" t="n"/>
      <c r="AG190" s="33" t="n"/>
      <c r="AH190" s="33" t="n"/>
      <c r="AI190" s="33" t="n"/>
      <c r="AJ190" s="33" t="n"/>
      <c r="AK190" s="33" t="n"/>
      <c r="AL190" s="27" t="n"/>
      <c r="AM190" s="34" t="n"/>
      <c r="AN190" s="35">
        <f>IF(AF190="","",IF(AI190="Yes","❌ Disc",IF(AH190="No","⚠ Missing",IF(AK190="Yes","✓ OK","⚠ Check"))))</f>
        <v/>
      </c>
      <c r="AO190" s="36" t="n"/>
      <c r="AP190" s="36" t="n"/>
      <c r="AQ190" s="36" t="n"/>
      <c r="AR190" s="36" t="n"/>
      <c r="AS190" s="36" t="n"/>
      <c r="AT190" s="36" t="n"/>
      <c r="AU190" s="27" t="n"/>
      <c r="AV190" s="37" t="n"/>
      <c r="AW190" s="38">
        <f>IF(AO190="","",IF(AR190="Yes","❌ Disc",IF(AQ190="No","⚠ Missing",IF(AT190="Yes","✓ OK","⚠ Check"))))</f>
        <v/>
      </c>
    </row>
    <row r="191" ht="18" customHeight="1" s="46">
      <c r="A191" s="23" t="n">
        <v>187</v>
      </c>
      <c r="B191" s="24" t="inlineStr">
        <is>
          <t>BD-HNA-2025-0170</t>
        </is>
      </c>
      <c r="C191" s="25" t="inlineStr">
        <is>
          <t>Bonito Handles - H-161 - Rose Gold Handle  - 333mm</t>
        </is>
      </c>
      <c r="D191" s="23" t="inlineStr">
        <is>
          <t>Bonito Handles</t>
        </is>
      </c>
      <c r="E191" s="43" t="n">
        <v>46125</v>
      </c>
      <c r="F191" s="26" t="inlineStr">
        <is>
          <t>Sunil CR</t>
        </is>
      </c>
      <c r="G191" s="44" t="inlineStr">
        <is>
          <t>Represented by Sample</t>
        </is>
      </c>
      <c r="H191" s="26" t="inlineStr">
        <is>
          <t>No</t>
        </is>
      </c>
      <c r="I191" s="44" t="inlineStr">
        <is>
          <t>Represented by Sample</t>
        </is>
      </c>
      <c r="J191" s="26" t="inlineStr">
        <is>
          <t>Yes</t>
        </is>
      </c>
      <c r="K191" s="27" t="n"/>
      <c r="L191" s="28" t="inlineStr">
        <is>
          <t>No</t>
        </is>
      </c>
      <c r="M191" s="29">
        <f>IF(E191="","",IF(H191="Yes","❌ Disc",IF(G191="No","⚠ Missing",IF(J191="Yes","✓ OK","⚠ Check"))))</f>
        <v/>
      </c>
      <c r="N191" s="43" t="n">
        <v>46196</v>
      </c>
      <c r="O191" s="26" t="inlineStr">
        <is>
          <t>Sunil CR</t>
        </is>
      </c>
      <c r="P191" s="44" t="inlineStr">
        <is>
          <t>Represented by Sample</t>
        </is>
      </c>
      <c r="Q191" s="26" t="inlineStr">
        <is>
          <t>No</t>
        </is>
      </c>
      <c r="R191" s="44" t="inlineStr">
        <is>
          <t>Represented by Sample</t>
        </is>
      </c>
      <c r="S191" s="26" t="inlineStr">
        <is>
          <t>Yes</t>
        </is>
      </c>
      <c r="T191" s="27" t="n"/>
      <c r="U191" s="28" t="inlineStr">
        <is>
          <t>No</t>
        </is>
      </c>
      <c r="V191" s="29">
        <f>IF(N191="","",IF(Q191="Yes","❌ Disc",IF(P191="No","⚠ Missing",IF(S191="Yes","✓ OK","⚠ Check"))))</f>
        <v/>
      </c>
      <c r="W191" s="65" t="n">
        <v>46248</v>
      </c>
      <c r="X191" s="30" t="inlineStr">
        <is>
          <t>Sunil CR</t>
        </is>
      </c>
      <c r="Y191" s="30" t="inlineStr">
        <is>
          <t>Represented by Sample</t>
        </is>
      </c>
      <c r="Z191" s="30" t="n"/>
      <c r="AA191" s="30" t="inlineStr">
        <is>
          <t>Represented by Sample</t>
        </is>
      </c>
      <c r="AB191" s="30" t="inlineStr">
        <is>
          <t>Yes</t>
        </is>
      </c>
      <c r="AC191" s="27" t="n"/>
      <c r="AD191" s="31" t="inlineStr">
        <is>
          <t>No</t>
        </is>
      </c>
      <c r="AE191" s="32">
        <f>IF(W191="","",IF(Z191="Yes","❌ Disc",IF(Y191="No","⚠ Missing",IF(AB191="Yes","✓ OK","⚠ Check"))))</f>
        <v/>
      </c>
      <c r="AF191" s="33" t="n"/>
      <c r="AG191" s="33" t="n"/>
      <c r="AH191" s="33" t="n"/>
      <c r="AI191" s="33" t="n"/>
      <c r="AJ191" s="33" t="n"/>
      <c r="AK191" s="33" t="n"/>
      <c r="AL191" s="27" t="n"/>
      <c r="AM191" s="34" t="n"/>
      <c r="AN191" s="35">
        <f>IF(AF191="","",IF(AI191="Yes","❌ Disc",IF(AH191="No","⚠ Missing",IF(AK191="Yes","✓ OK","⚠ Check"))))</f>
        <v/>
      </c>
      <c r="AO191" s="36" t="n"/>
      <c r="AP191" s="36" t="n"/>
      <c r="AQ191" s="36" t="n"/>
      <c r="AR191" s="36" t="n"/>
      <c r="AS191" s="36" t="n"/>
      <c r="AT191" s="36" t="n"/>
      <c r="AU191" s="27" t="n"/>
      <c r="AV191" s="37" t="n"/>
      <c r="AW191" s="38">
        <f>IF(AO191="","",IF(AR191="Yes","❌ Disc",IF(AQ191="No","⚠ Missing",IF(AT191="Yes","✓ OK","⚠ Check"))))</f>
        <v/>
      </c>
    </row>
    <row r="192" ht="18" customHeight="1" s="46">
      <c r="A192" s="39" t="n">
        <v>188</v>
      </c>
      <c r="B192" s="40" t="inlineStr">
        <is>
          <t>BD-HNA-2025-0159</t>
        </is>
      </c>
      <c r="C192" s="41" t="inlineStr">
        <is>
          <t>Bonito Handles - H-161 - Satin Handle  - 135mm</t>
        </is>
      </c>
      <c r="D192" s="39" t="inlineStr">
        <is>
          <t>Bonito Handles</t>
        </is>
      </c>
      <c r="E192" s="43" t="n">
        <v>46125</v>
      </c>
      <c r="F192" s="26" t="inlineStr">
        <is>
          <t>Sunil CR</t>
        </is>
      </c>
      <c r="G192" s="44" t="inlineStr">
        <is>
          <t>Yes</t>
        </is>
      </c>
      <c r="H192" s="26" t="inlineStr">
        <is>
          <t>No</t>
        </is>
      </c>
      <c r="I192" s="44" t="inlineStr">
        <is>
          <t>Good finish</t>
        </is>
      </c>
      <c r="J192" s="26" t="inlineStr">
        <is>
          <t>Yes</t>
        </is>
      </c>
      <c r="K192" s="27" t="n"/>
      <c r="L192" s="28" t="inlineStr">
        <is>
          <t>No</t>
        </is>
      </c>
      <c r="M192" s="29">
        <f>IF(E192="","",IF(H192="Yes","❌ Disc",IF(G192="No","⚠ Missing",IF(J192="Yes","✓ OK","⚠ Check"))))</f>
        <v/>
      </c>
      <c r="N192" s="43" t="n">
        <v>46196</v>
      </c>
      <c r="O192" s="26" t="inlineStr">
        <is>
          <t>Sunil CR</t>
        </is>
      </c>
      <c r="P192" s="44" t="inlineStr">
        <is>
          <t>Yes</t>
        </is>
      </c>
      <c r="Q192" s="26" t="inlineStr">
        <is>
          <t>No</t>
        </is>
      </c>
      <c r="R192" s="44" t="inlineStr">
        <is>
          <t>Good finish</t>
        </is>
      </c>
      <c r="S192" s="26" t="inlineStr">
        <is>
          <t>Yes</t>
        </is>
      </c>
      <c r="T192" s="27" t="n"/>
      <c r="U192" s="28" t="inlineStr">
        <is>
          <t>No</t>
        </is>
      </c>
      <c r="V192" s="29">
        <f>IF(N192="","",IF(Q192="Yes","❌ Disc",IF(P192="No","⚠ Missing",IF(S192="Yes","✓ OK","⚠ Check"))))</f>
        <v/>
      </c>
      <c r="W192" s="65" t="n">
        <v>46248</v>
      </c>
      <c r="X192" s="30" t="inlineStr">
        <is>
          <t>Sunil CR</t>
        </is>
      </c>
      <c r="Y192" s="30" t="inlineStr">
        <is>
          <t>Yes</t>
        </is>
      </c>
      <c r="Z192" s="30" t="n"/>
      <c r="AA192" s="30" t="inlineStr">
        <is>
          <t>Good finish</t>
        </is>
      </c>
      <c r="AB192" s="30" t="inlineStr">
        <is>
          <t>Yes</t>
        </is>
      </c>
      <c r="AC192" s="27" t="n"/>
      <c r="AD192" s="31" t="inlineStr">
        <is>
          <t>No</t>
        </is>
      </c>
      <c r="AE192" s="32">
        <f>IF(W192="","",IF(Z192="Yes","❌ Disc",IF(Y192="No","⚠ Missing",IF(AB192="Yes","✓ OK","⚠ Check"))))</f>
        <v/>
      </c>
      <c r="AF192" s="33" t="n"/>
      <c r="AG192" s="33" t="n"/>
      <c r="AH192" s="33" t="n"/>
      <c r="AI192" s="33" t="n"/>
      <c r="AJ192" s="33" t="n"/>
      <c r="AK192" s="33" t="n"/>
      <c r="AL192" s="27" t="n"/>
      <c r="AM192" s="34" t="n"/>
      <c r="AN192" s="35">
        <f>IF(AF192="","",IF(AI192="Yes","❌ Disc",IF(AH192="No","⚠ Missing",IF(AK192="Yes","✓ OK","⚠ Check"))))</f>
        <v/>
      </c>
      <c r="AO192" s="36" t="n"/>
      <c r="AP192" s="36" t="n"/>
      <c r="AQ192" s="36" t="n"/>
      <c r="AR192" s="36" t="n"/>
      <c r="AS192" s="36" t="n"/>
      <c r="AT192" s="36" t="n"/>
      <c r="AU192" s="27" t="n"/>
      <c r="AV192" s="37" t="n"/>
      <c r="AW192" s="38">
        <f>IF(AO192="","",IF(AR192="Yes","❌ Disc",IF(AQ192="No","⚠ Missing",IF(AT192="Yes","✓ OK","⚠ Check"))))</f>
        <v/>
      </c>
    </row>
    <row r="193" ht="18" customHeight="1" s="46">
      <c r="A193" s="23" t="n">
        <v>189</v>
      </c>
      <c r="B193" s="24" t="inlineStr">
        <is>
          <t>BD-HNA-2025-0160</t>
        </is>
      </c>
      <c r="C193" s="25" t="inlineStr">
        <is>
          <t>Bonito Handles - H-161 - Satin Handle  - 205mm</t>
        </is>
      </c>
      <c r="D193" s="23" t="inlineStr">
        <is>
          <t>Bonito Handles</t>
        </is>
      </c>
      <c r="E193" s="43" t="n">
        <v>46125</v>
      </c>
      <c r="F193" s="26" t="inlineStr">
        <is>
          <t>Sunil CR</t>
        </is>
      </c>
      <c r="G193" s="44" t="inlineStr">
        <is>
          <t>Represented by Sample</t>
        </is>
      </c>
      <c r="H193" s="26" t="inlineStr">
        <is>
          <t>No</t>
        </is>
      </c>
      <c r="I193" s="44" t="inlineStr">
        <is>
          <t>Represented by Sample</t>
        </is>
      </c>
      <c r="J193" s="26" t="inlineStr">
        <is>
          <t>Yes</t>
        </is>
      </c>
      <c r="K193" s="27" t="n"/>
      <c r="L193" s="28" t="inlineStr">
        <is>
          <t>No</t>
        </is>
      </c>
      <c r="M193" s="29">
        <f>IF(E193="","",IF(H193="Yes","❌ Disc",IF(G193="No","⚠ Missing",IF(J193="Yes","✓ OK","⚠ Check"))))</f>
        <v/>
      </c>
      <c r="N193" s="43" t="n">
        <v>46196</v>
      </c>
      <c r="O193" s="26" t="inlineStr">
        <is>
          <t>Sunil CR</t>
        </is>
      </c>
      <c r="P193" s="44" t="inlineStr">
        <is>
          <t>Represented by Sample</t>
        </is>
      </c>
      <c r="Q193" s="26" t="inlineStr">
        <is>
          <t>No</t>
        </is>
      </c>
      <c r="R193" s="44" t="inlineStr">
        <is>
          <t>Represented by Sample</t>
        </is>
      </c>
      <c r="S193" s="26" t="inlineStr">
        <is>
          <t>Yes</t>
        </is>
      </c>
      <c r="T193" s="27" t="n"/>
      <c r="U193" s="28" t="inlineStr">
        <is>
          <t>No</t>
        </is>
      </c>
      <c r="V193" s="29">
        <f>IF(N193="","",IF(Q193="Yes","❌ Disc",IF(P193="No","⚠ Missing",IF(S193="Yes","✓ OK","⚠ Check"))))</f>
        <v/>
      </c>
      <c r="W193" s="65" t="n">
        <v>46248</v>
      </c>
      <c r="X193" s="30" t="inlineStr">
        <is>
          <t>Sunil CR</t>
        </is>
      </c>
      <c r="Y193" s="30" t="inlineStr">
        <is>
          <t>Represented by Sample</t>
        </is>
      </c>
      <c r="Z193" s="30" t="n"/>
      <c r="AA193" s="30" t="inlineStr">
        <is>
          <t>Represented by Sample</t>
        </is>
      </c>
      <c r="AB193" s="30" t="inlineStr">
        <is>
          <t>Yes</t>
        </is>
      </c>
      <c r="AC193" s="27" t="n"/>
      <c r="AD193" s="31" t="inlineStr">
        <is>
          <t>No</t>
        </is>
      </c>
      <c r="AE193" s="32">
        <f>IF(W193="","",IF(Z193="Yes","❌ Disc",IF(Y193="No","⚠ Missing",IF(AB193="Yes","✓ OK","⚠ Check"))))</f>
        <v/>
      </c>
      <c r="AF193" s="33" t="n"/>
      <c r="AG193" s="33" t="n"/>
      <c r="AH193" s="33" t="n"/>
      <c r="AI193" s="33" t="n"/>
      <c r="AJ193" s="33" t="n"/>
      <c r="AK193" s="33" t="n"/>
      <c r="AL193" s="27" t="n"/>
      <c r="AM193" s="34" t="n"/>
      <c r="AN193" s="35">
        <f>IF(AF193="","",IF(AI193="Yes","❌ Disc",IF(AH193="No","⚠ Missing",IF(AK193="Yes","✓ OK","⚠ Check"))))</f>
        <v/>
      </c>
      <c r="AO193" s="36" t="n"/>
      <c r="AP193" s="36" t="n"/>
      <c r="AQ193" s="36" t="n"/>
      <c r="AR193" s="36" t="n"/>
      <c r="AS193" s="36" t="n"/>
      <c r="AT193" s="36" t="n"/>
      <c r="AU193" s="27" t="n"/>
      <c r="AV193" s="37" t="n"/>
      <c r="AW193" s="38">
        <f>IF(AO193="","",IF(AR193="Yes","❌ Disc",IF(AQ193="No","⚠ Missing",IF(AT193="Yes","✓ OK","⚠ Check"))))</f>
        <v/>
      </c>
    </row>
    <row r="194" ht="18" customHeight="1" s="46">
      <c r="A194" s="39" t="n">
        <v>190</v>
      </c>
      <c r="B194" s="40" t="inlineStr">
        <is>
          <t>BD-HNA-2025-0161</t>
        </is>
      </c>
      <c r="C194" s="41" t="inlineStr">
        <is>
          <t>Bonito Handles - H-161 - Satin Handle  - 333mm</t>
        </is>
      </c>
      <c r="D194" s="39" t="inlineStr">
        <is>
          <t>Bonito Handles</t>
        </is>
      </c>
      <c r="E194" s="43" t="n">
        <v>46125</v>
      </c>
      <c r="F194" s="26" t="inlineStr">
        <is>
          <t>Sunil CR</t>
        </is>
      </c>
      <c r="G194" s="44" t="inlineStr">
        <is>
          <t>Represented by Sample</t>
        </is>
      </c>
      <c r="H194" s="26" t="inlineStr">
        <is>
          <t>No</t>
        </is>
      </c>
      <c r="I194" s="44" t="inlineStr">
        <is>
          <t>Represented by Sample</t>
        </is>
      </c>
      <c r="J194" s="26" t="inlineStr">
        <is>
          <t>Yes</t>
        </is>
      </c>
      <c r="K194" s="27" t="n"/>
      <c r="L194" s="28" t="inlineStr">
        <is>
          <t>No</t>
        </is>
      </c>
      <c r="M194" s="29">
        <f>IF(E194="","",IF(H194="Yes","❌ Disc",IF(G194="No","⚠ Missing",IF(J194="Yes","✓ OK","⚠ Check"))))</f>
        <v/>
      </c>
      <c r="N194" s="43" t="n">
        <v>46196</v>
      </c>
      <c r="O194" s="26" t="inlineStr">
        <is>
          <t>Sunil CR</t>
        </is>
      </c>
      <c r="P194" s="44" t="inlineStr">
        <is>
          <t>Represented by Sample</t>
        </is>
      </c>
      <c r="Q194" s="26" t="inlineStr">
        <is>
          <t>No</t>
        </is>
      </c>
      <c r="R194" s="44" t="inlineStr">
        <is>
          <t>Represented by Sample</t>
        </is>
      </c>
      <c r="S194" s="26" t="inlineStr">
        <is>
          <t>Yes</t>
        </is>
      </c>
      <c r="T194" s="27" t="n"/>
      <c r="U194" s="28" t="inlineStr">
        <is>
          <t>No</t>
        </is>
      </c>
      <c r="V194" s="29">
        <f>IF(N194="","",IF(Q194="Yes","❌ Disc",IF(P194="No","⚠ Missing",IF(S194="Yes","✓ OK","⚠ Check"))))</f>
        <v/>
      </c>
      <c r="W194" s="65" t="n">
        <v>46248</v>
      </c>
      <c r="X194" s="30" t="inlineStr">
        <is>
          <t>Sunil CR</t>
        </is>
      </c>
      <c r="Y194" s="30" t="inlineStr">
        <is>
          <t>Represented by Sample</t>
        </is>
      </c>
      <c r="Z194" s="30" t="n"/>
      <c r="AA194" s="30" t="inlineStr">
        <is>
          <t>Represented by Sample</t>
        </is>
      </c>
      <c r="AB194" s="30" t="inlineStr">
        <is>
          <t>Yes</t>
        </is>
      </c>
      <c r="AC194" s="27" t="n"/>
      <c r="AD194" s="31" t="inlineStr">
        <is>
          <t>No</t>
        </is>
      </c>
      <c r="AE194" s="32">
        <f>IF(W194="","",IF(Z194="Yes","❌ Disc",IF(Y194="No","⚠ Missing",IF(AB194="Yes","✓ OK","⚠ Check"))))</f>
        <v/>
      </c>
      <c r="AF194" s="33" t="n"/>
      <c r="AG194" s="33" t="n"/>
      <c r="AH194" s="33" t="n"/>
      <c r="AI194" s="33" t="n"/>
      <c r="AJ194" s="33" t="n"/>
      <c r="AK194" s="33" t="n"/>
      <c r="AL194" s="27" t="n"/>
      <c r="AM194" s="34" t="n"/>
      <c r="AN194" s="35">
        <f>IF(AF194="","",IF(AI194="Yes","❌ Disc",IF(AH194="No","⚠ Missing",IF(AK194="Yes","✓ OK","⚠ Check"))))</f>
        <v/>
      </c>
      <c r="AO194" s="36" t="n"/>
      <c r="AP194" s="36" t="n"/>
      <c r="AQ194" s="36" t="n"/>
      <c r="AR194" s="36" t="n"/>
      <c r="AS194" s="36" t="n"/>
      <c r="AT194" s="36" t="n"/>
      <c r="AU194" s="27" t="n"/>
      <c r="AV194" s="37" t="n"/>
      <c r="AW194" s="38">
        <f>IF(AO194="","",IF(AR194="Yes","❌ Disc",IF(AQ194="No","⚠ Missing",IF(AT194="Yes","✓ OK","⚠ Check"))))</f>
        <v/>
      </c>
    </row>
    <row r="195" ht="18" customHeight="1" s="46">
      <c r="A195" s="23" t="n">
        <v>191</v>
      </c>
      <c r="B195" s="24" t="inlineStr">
        <is>
          <t>BD-HNA-2025-0121</t>
        </is>
      </c>
      <c r="C195" s="25" t="inlineStr">
        <is>
          <t>Bonito Handles - H-203 - Gold Handle  - 140mm</t>
        </is>
      </c>
      <c r="D195" s="23" t="inlineStr">
        <is>
          <t>Bonito Handles</t>
        </is>
      </c>
      <c r="E195" s="43" t="n">
        <v>46125</v>
      </c>
      <c r="F195" s="26" t="inlineStr">
        <is>
          <t>Sunil CR</t>
        </is>
      </c>
      <c r="G195" s="44" t="inlineStr">
        <is>
          <t>Represented by Sample</t>
        </is>
      </c>
      <c r="H195" s="26" t="inlineStr">
        <is>
          <t>No</t>
        </is>
      </c>
      <c r="I195" s="44" t="inlineStr">
        <is>
          <t>Represented by Sample</t>
        </is>
      </c>
      <c r="J195" s="26" t="inlineStr">
        <is>
          <t>Yes</t>
        </is>
      </c>
      <c r="K195" s="27" t="n"/>
      <c r="L195" s="28" t="inlineStr">
        <is>
          <t>No</t>
        </is>
      </c>
      <c r="M195" s="29">
        <f>IF(E195="","",IF(H195="Yes","❌ Disc",IF(G195="No","⚠ Missing",IF(J195="Yes","✓ OK","⚠ Check"))))</f>
        <v/>
      </c>
      <c r="N195" s="43" t="n">
        <v>46196</v>
      </c>
      <c r="O195" s="26" t="inlineStr">
        <is>
          <t>Sunil CR</t>
        </is>
      </c>
      <c r="P195" s="44" t="inlineStr">
        <is>
          <t>Represented by Sample</t>
        </is>
      </c>
      <c r="Q195" s="26" t="inlineStr">
        <is>
          <t>No</t>
        </is>
      </c>
      <c r="R195" s="44" t="inlineStr">
        <is>
          <t>Represented by Sample</t>
        </is>
      </c>
      <c r="S195" s="26" t="inlineStr">
        <is>
          <t>Yes</t>
        </is>
      </c>
      <c r="T195" s="27" t="n"/>
      <c r="U195" s="28" t="inlineStr">
        <is>
          <t>No</t>
        </is>
      </c>
      <c r="V195" s="29">
        <f>IF(N195="","",IF(Q195="Yes","❌ Disc",IF(P195="No","⚠ Missing",IF(S195="Yes","✓ OK","⚠ Check"))))</f>
        <v/>
      </c>
      <c r="W195" s="65" t="n">
        <v>46248</v>
      </c>
      <c r="X195" s="30" t="inlineStr">
        <is>
          <t>Sunil CR</t>
        </is>
      </c>
      <c r="Y195" s="30" t="inlineStr">
        <is>
          <t>Represented by Sample</t>
        </is>
      </c>
      <c r="Z195" s="30" t="n"/>
      <c r="AA195" s="30" t="inlineStr">
        <is>
          <t>Represented by Sample</t>
        </is>
      </c>
      <c r="AB195" s="30" t="inlineStr">
        <is>
          <t>Yes</t>
        </is>
      </c>
      <c r="AC195" s="27" t="n"/>
      <c r="AD195" s="31" t="inlineStr">
        <is>
          <t>No</t>
        </is>
      </c>
      <c r="AE195" s="32">
        <f>IF(W195="","",IF(Z195="Yes","❌ Disc",IF(Y195="No","⚠ Missing",IF(AB195="Yes","✓ OK","⚠ Check"))))</f>
        <v/>
      </c>
      <c r="AF195" s="33" t="n"/>
      <c r="AG195" s="33" t="n"/>
      <c r="AH195" s="33" t="n"/>
      <c r="AI195" s="33" t="n"/>
      <c r="AJ195" s="33" t="n"/>
      <c r="AK195" s="33" t="n"/>
      <c r="AL195" s="27" t="n"/>
      <c r="AM195" s="34" t="n"/>
      <c r="AN195" s="35">
        <f>IF(AF195="","",IF(AI195="Yes","❌ Disc",IF(AH195="No","⚠ Missing",IF(AK195="Yes","✓ OK","⚠ Check"))))</f>
        <v/>
      </c>
      <c r="AO195" s="36" t="n"/>
      <c r="AP195" s="36" t="n"/>
      <c r="AQ195" s="36" t="n"/>
      <c r="AR195" s="36" t="n"/>
      <c r="AS195" s="36" t="n"/>
      <c r="AT195" s="36" t="n"/>
      <c r="AU195" s="27" t="n"/>
      <c r="AV195" s="37" t="n"/>
      <c r="AW195" s="38">
        <f>IF(AO195="","",IF(AR195="Yes","❌ Disc",IF(AQ195="No","⚠ Missing",IF(AT195="Yes","✓ OK","⚠ Check"))))</f>
        <v/>
      </c>
    </row>
    <row r="196" ht="18" customHeight="1" s="46">
      <c r="A196" s="39" t="n">
        <v>192</v>
      </c>
      <c r="B196" s="40" t="inlineStr">
        <is>
          <t>BD-HNA-2025-0122</t>
        </is>
      </c>
      <c r="C196" s="41" t="inlineStr">
        <is>
          <t>Bonito Handles - H-203 - Gold Handle  - 209mm</t>
        </is>
      </c>
      <c r="D196" s="39" t="inlineStr">
        <is>
          <t>Bonito Handles</t>
        </is>
      </c>
      <c r="E196" s="43" t="n">
        <v>46125</v>
      </c>
      <c r="F196" s="26" t="inlineStr">
        <is>
          <t>Sunil CR</t>
        </is>
      </c>
      <c r="G196" s="44" t="inlineStr">
        <is>
          <t>Represented by Sample</t>
        </is>
      </c>
      <c r="H196" s="26" t="inlineStr">
        <is>
          <t>No</t>
        </is>
      </c>
      <c r="I196" s="44" t="inlineStr">
        <is>
          <t>Represented by Sample</t>
        </is>
      </c>
      <c r="J196" s="26" t="inlineStr">
        <is>
          <t>Yes</t>
        </is>
      </c>
      <c r="K196" s="27" t="n"/>
      <c r="L196" s="28" t="inlineStr">
        <is>
          <t>No</t>
        </is>
      </c>
      <c r="M196" s="29">
        <f>IF(E196="","",IF(H196="Yes","❌ Disc",IF(G196="No","⚠ Missing",IF(J196="Yes","✓ OK","⚠ Check"))))</f>
        <v/>
      </c>
      <c r="N196" s="43" t="n">
        <v>46196</v>
      </c>
      <c r="O196" s="26" t="inlineStr">
        <is>
          <t>Sunil CR</t>
        </is>
      </c>
      <c r="P196" s="44" t="inlineStr">
        <is>
          <t>Represented by Sample</t>
        </is>
      </c>
      <c r="Q196" s="26" t="inlineStr">
        <is>
          <t>No</t>
        </is>
      </c>
      <c r="R196" s="44" t="inlineStr">
        <is>
          <t>Represented by Sample</t>
        </is>
      </c>
      <c r="S196" s="26" t="inlineStr">
        <is>
          <t>Yes</t>
        </is>
      </c>
      <c r="T196" s="27" t="n"/>
      <c r="U196" s="28" t="inlineStr">
        <is>
          <t>No</t>
        </is>
      </c>
      <c r="V196" s="29">
        <f>IF(N196="","",IF(Q196="Yes","❌ Disc",IF(P196="No","⚠ Missing",IF(S196="Yes","✓ OK","⚠ Check"))))</f>
        <v/>
      </c>
      <c r="W196" s="65" t="n">
        <v>46248</v>
      </c>
      <c r="X196" s="30" t="inlineStr">
        <is>
          <t>Sunil CR</t>
        </is>
      </c>
      <c r="Y196" s="30" t="inlineStr">
        <is>
          <t>Represented by Sample</t>
        </is>
      </c>
      <c r="Z196" s="30" t="n"/>
      <c r="AA196" s="30" t="inlineStr">
        <is>
          <t>Represented by Sample</t>
        </is>
      </c>
      <c r="AB196" s="30" t="inlineStr">
        <is>
          <t>Yes</t>
        </is>
      </c>
      <c r="AC196" s="27" t="n"/>
      <c r="AD196" s="31" t="inlineStr">
        <is>
          <t>No</t>
        </is>
      </c>
      <c r="AE196" s="32">
        <f>IF(W196="","",IF(Z196="Yes","❌ Disc",IF(Y196="No","⚠ Missing",IF(AB196="Yes","✓ OK","⚠ Check"))))</f>
        <v/>
      </c>
      <c r="AF196" s="33" t="n"/>
      <c r="AG196" s="33" t="n"/>
      <c r="AH196" s="33" t="n"/>
      <c r="AI196" s="33" t="n"/>
      <c r="AJ196" s="33" t="n"/>
      <c r="AK196" s="33" t="n"/>
      <c r="AL196" s="27" t="n"/>
      <c r="AM196" s="34" t="n"/>
      <c r="AN196" s="35">
        <f>IF(AF196="","",IF(AI196="Yes","❌ Disc",IF(AH196="No","⚠ Missing",IF(AK196="Yes","✓ OK","⚠ Check"))))</f>
        <v/>
      </c>
      <c r="AO196" s="36" t="n"/>
      <c r="AP196" s="36" t="n"/>
      <c r="AQ196" s="36" t="n"/>
      <c r="AR196" s="36" t="n"/>
      <c r="AS196" s="36" t="n"/>
      <c r="AT196" s="36" t="n"/>
      <c r="AU196" s="27" t="n"/>
      <c r="AV196" s="37" t="n"/>
      <c r="AW196" s="38">
        <f>IF(AO196="","",IF(AR196="Yes","❌ Disc",IF(AQ196="No","⚠ Missing",IF(AT196="Yes","✓ OK","⚠ Check"))))</f>
        <v/>
      </c>
    </row>
    <row r="197" ht="18" customHeight="1" s="46">
      <c r="A197" s="23" t="n">
        <v>193</v>
      </c>
      <c r="B197" s="24" t="inlineStr">
        <is>
          <t>BD-HNA-2025-0119</t>
        </is>
      </c>
      <c r="C197" s="25" t="inlineStr">
        <is>
          <t>Bonito Handles - H-203 - Rose Gold Handle  - 140mm</t>
        </is>
      </c>
      <c r="D197" s="23" t="inlineStr">
        <is>
          <t>Bonito Handles</t>
        </is>
      </c>
      <c r="E197" s="43" t="n">
        <v>46125</v>
      </c>
      <c r="F197" s="26" t="inlineStr">
        <is>
          <t>Sunil CR</t>
        </is>
      </c>
      <c r="G197" s="44" t="inlineStr">
        <is>
          <t>Yes</t>
        </is>
      </c>
      <c r="H197" s="26" t="inlineStr">
        <is>
          <t>No</t>
        </is>
      </c>
      <c r="I197" s="44" t="inlineStr">
        <is>
          <t>Good finish</t>
        </is>
      </c>
      <c r="J197" s="26" t="inlineStr">
        <is>
          <t>Yes</t>
        </is>
      </c>
      <c r="K197" s="27" t="n"/>
      <c r="L197" s="28" t="inlineStr">
        <is>
          <t>No</t>
        </is>
      </c>
      <c r="M197" s="29">
        <f>IF(E197="","",IF(H197="Yes","❌ Disc",IF(G197="No","⚠ Missing",IF(J197="Yes","✓ OK","⚠ Check"))))</f>
        <v/>
      </c>
      <c r="N197" s="43" t="n">
        <v>46196</v>
      </c>
      <c r="O197" s="26" t="inlineStr">
        <is>
          <t>Sunil CR</t>
        </is>
      </c>
      <c r="P197" s="44" t="inlineStr">
        <is>
          <t>Yes</t>
        </is>
      </c>
      <c r="Q197" s="26" t="inlineStr">
        <is>
          <t>No</t>
        </is>
      </c>
      <c r="R197" s="44" t="inlineStr">
        <is>
          <t>Good finish</t>
        </is>
      </c>
      <c r="S197" s="26" t="inlineStr">
        <is>
          <t>Yes</t>
        </is>
      </c>
      <c r="T197" s="27" t="n"/>
      <c r="U197" s="28" t="inlineStr">
        <is>
          <t>No</t>
        </is>
      </c>
      <c r="V197" s="29">
        <f>IF(N197="","",IF(Q197="Yes","❌ Disc",IF(P197="No","⚠ Missing",IF(S197="Yes","✓ OK","⚠ Check"))))</f>
        <v/>
      </c>
      <c r="W197" s="65" t="n">
        <v>46248</v>
      </c>
      <c r="X197" s="30" t="inlineStr">
        <is>
          <t>Sunil CR</t>
        </is>
      </c>
      <c r="Y197" s="30" t="inlineStr">
        <is>
          <t>Yes</t>
        </is>
      </c>
      <c r="Z197" s="30" t="n"/>
      <c r="AA197" s="30" t="inlineStr">
        <is>
          <t>Good finish</t>
        </is>
      </c>
      <c r="AB197" s="30" t="inlineStr">
        <is>
          <t>Yes</t>
        </is>
      </c>
      <c r="AC197" s="27" t="n"/>
      <c r="AD197" s="31" t="inlineStr">
        <is>
          <t>No</t>
        </is>
      </c>
      <c r="AE197" s="32">
        <f>IF(W197="","",IF(Z197="Yes","❌ Disc",IF(Y197="No","⚠ Missing",IF(AB197="Yes","✓ OK","⚠ Check"))))</f>
        <v/>
      </c>
      <c r="AF197" s="33" t="n"/>
      <c r="AG197" s="33" t="n"/>
      <c r="AH197" s="33" t="n"/>
      <c r="AI197" s="33" t="n"/>
      <c r="AJ197" s="33" t="n"/>
      <c r="AK197" s="33" t="n"/>
      <c r="AL197" s="27" t="n"/>
      <c r="AM197" s="34" t="n"/>
      <c r="AN197" s="35">
        <f>IF(AF197="","",IF(AI197="Yes","❌ Disc",IF(AH197="No","⚠ Missing",IF(AK197="Yes","✓ OK","⚠ Check"))))</f>
        <v/>
      </c>
      <c r="AO197" s="36" t="n"/>
      <c r="AP197" s="36" t="n"/>
      <c r="AQ197" s="36" t="n"/>
      <c r="AR197" s="36" t="n"/>
      <c r="AS197" s="36" t="n"/>
      <c r="AT197" s="36" t="n"/>
      <c r="AU197" s="27" t="n"/>
      <c r="AV197" s="37" t="n"/>
      <c r="AW197" s="38">
        <f>IF(AO197="","",IF(AR197="Yes","❌ Disc",IF(AQ197="No","⚠ Missing",IF(AT197="Yes","✓ OK","⚠ Check"))))</f>
        <v/>
      </c>
    </row>
    <row r="198" ht="18" customHeight="1" s="46">
      <c r="A198" s="39" t="n">
        <v>194</v>
      </c>
      <c r="B198" s="40" t="inlineStr">
        <is>
          <t>BD-HNA-2025-0120</t>
        </is>
      </c>
      <c r="C198" s="41" t="inlineStr">
        <is>
          <t>Bonito Handles - H-203 - Rose Gold Handle  - 209mm</t>
        </is>
      </c>
      <c r="D198" s="39" t="inlineStr">
        <is>
          <t>Bonito Handles</t>
        </is>
      </c>
      <c r="E198" s="43" t="n">
        <v>46125</v>
      </c>
      <c r="F198" s="26" t="inlineStr">
        <is>
          <t>Sunil CR</t>
        </is>
      </c>
      <c r="G198" s="44" t="inlineStr">
        <is>
          <t>Represented by Sample</t>
        </is>
      </c>
      <c r="H198" s="26" t="inlineStr">
        <is>
          <t>No</t>
        </is>
      </c>
      <c r="I198" s="44" t="inlineStr">
        <is>
          <t>Represented by Sample</t>
        </is>
      </c>
      <c r="J198" s="26" t="inlineStr">
        <is>
          <t>Yes</t>
        </is>
      </c>
      <c r="K198" s="27" t="n"/>
      <c r="L198" s="28" t="inlineStr">
        <is>
          <t>No</t>
        </is>
      </c>
      <c r="M198" s="29">
        <f>IF(E198="","",IF(H198="Yes","❌ Disc",IF(G198="No","⚠ Missing",IF(J198="Yes","✓ OK","⚠ Check"))))</f>
        <v/>
      </c>
      <c r="N198" s="43" t="n">
        <v>46196</v>
      </c>
      <c r="O198" s="26" t="inlineStr">
        <is>
          <t>Sunil CR</t>
        </is>
      </c>
      <c r="P198" s="44" t="inlineStr">
        <is>
          <t>Represented by Sample</t>
        </is>
      </c>
      <c r="Q198" s="26" t="inlineStr">
        <is>
          <t>No</t>
        </is>
      </c>
      <c r="R198" s="44" t="inlineStr">
        <is>
          <t>Represented by Sample</t>
        </is>
      </c>
      <c r="S198" s="26" t="inlineStr">
        <is>
          <t>Yes</t>
        </is>
      </c>
      <c r="T198" s="27" t="n"/>
      <c r="U198" s="28" t="inlineStr">
        <is>
          <t>No</t>
        </is>
      </c>
      <c r="V198" s="29">
        <f>IF(N198="","",IF(Q198="Yes","❌ Disc",IF(P198="No","⚠ Missing",IF(S198="Yes","✓ OK","⚠ Check"))))</f>
        <v/>
      </c>
      <c r="W198" s="65" t="n">
        <v>46248</v>
      </c>
      <c r="X198" s="30" t="inlineStr">
        <is>
          <t>Sunil CR</t>
        </is>
      </c>
      <c r="Y198" s="30" t="inlineStr">
        <is>
          <t>Represented by Sample</t>
        </is>
      </c>
      <c r="Z198" s="30" t="n"/>
      <c r="AA198" s="30" t="inlineStr">
        <is>
          <t>Represented by Sample</t>
        </is>
      </c>
      <c r="AB198" s="30" t="inlineStr">
        <is>
          <t>Yes</t>
        </is>
      </c>
      <c r="AC198" s="27" t="n"/>
      <c r="AD198" s="31" t="inlineStr">
        <is>
          <t>No</t>
        </is>
      </c>
      <c r="AE198" s="32">
        <f>IF(W198="","",IF(Z198="Yes","❌ Disc",IF(Y198="No","⚠ Missing",IF(AB198="Yes","✓ OK","⚠ Check"))))</f>
        <v/>
      </c>
      <c r="AF198" s="33" t="n"/>
      <c r="AG198" s="33" t="n"/>
      <c r="AH198" s="33" t="n"/>
      <c r="AI198" s="33" t="n"/>
      <c r="AJ198" s="33" t="n"/>
      <c r="AK198" s="33" t="n"/>
      <c r="AL198" s="27" t="n"/>
      <c r="AM198" s="34" t="n"/>
      <c r="AN198" s="35">
        <f>IF(AF198="","",IF(AI198="Yes","❌ Disc",IF(AH198="No","⚠ Missing",IF(AK198="Yes","✓ OK","⚠ Check"))))</f>
        <v/>
      </c>
      <c r="AO198" s="36" t="n"/>
      <c r="AP198" s="36" t="n"/>
      <c r="AQ198" s="36" t="n"/>
      <c r="AR198" s="36" t="n"/>
      <c r="AS198" s="36" t="n"/>
      <c r="AT198" s="36" t="n"/>
      <c r="AU198" s="27" t="n"/>
      <c r="AV198" s="37" t="n"/>
      <c r="AW198" s="38">
        <f>IF(AO198="","",IF(AR198="Yes","❌ Disc",IF(AQ198="No","⚠ Missing",IF(AT198="Yes","✓ OK","⚠ Check"))))</f>
        <v/>
      </c>
    </row>
    <row r="199" ht="18" customHeight="1" s="46">
      <c r="A199" s="23" t="n">
        <v>195</v>
      </c>
      <c r="B199" s="24" t="inlineStr">
        <is>
          <t>BD-HNA-2025-0106</t>
        </is>
      </c>
      <c r="C199" s="25" t="inlineStr">
        <is>
          <t>Bonito Handles - H-204 - Anodized Brass Handle  - 121mm</t>
        </is>
      </c>
      <c r="D199" s="23" t="inlineStr">
        <is>
          <t>Bonito Handles</t>
        </is>
      </c>
      <c r="E199" s="43" t="n">
        <v>46125</v>
      </c>
      <c r="F199" s="26" t="inlineStr">
        <is>
          <t>Sunil CR</t>
        </is>
      </c>
      <c r="G199" s="44" t="inlineStr">
        <is>
          <t>Represented by Sample</t>
        </is>
      </c>
      <c r="H199" s="26" t="inlineStr">
        <is>
          <t>No</t>
        </is>
      </c>
      <c r="I199" s="44" t="inlineStr">
        <is>
          <t>Represented by Sample</t>
        </is>
      </c>
      <c r="J199" s="26" t="inlineStr">
        <is>
          <t>Yes</t>
        </is>
      </c>
      <c r="K199" s="27" t="n"/>
      <c r="L199" s="28" t="inlineStr">
        <is>
          <t>No</t>
        </is>
      </c>
      <c r="M199" s="29">
        <f>IF(E199="","",IF(H199="Yes","❌ Disc",IF(G199="No","⚠ Missing",IF(J199="Yes","✓ OK","⚠ Check"))))</f>
        <v/>
      </c>
      <c r="N199" s="43" t="n">
        <v>46196</v>
      </c>
      <c r="O199" s="26" t="inlineStr">
        <is>
          <t>Sunil CR</t>
        </is>
      </c>
      <c r="P199" s="44" t="inlineStr">
        <is>
          <t>Represented by Sample</t>
        </is>
      </c>
      <c r="Q199" s="26" t="inlineStr">
        <is>
          <t>No</t>
        </is>
      </c>
      <c r="R199" s="44" t="inlineStr">
        <is>
          <t>Represented by Sample</t>
        </is>
      </c>
      <c r="S199" s="26" t="inlineStr">
        <is>
          <t>Yes</t>
        </is>
      </c>
      <c r="T199" s="27" t="n"/>
      <c r="U199" s="28" t="inlineStr">
        <is>
          <t>No</t>
        </is>
      </c>
      <c r="V199" s="29">
        <f>IF(N199="","",IF(Q199="Yes","❌ Disc",IF(P199="No","⚠ Missing",IF(S199="Yes","✓ OK","⚠ Check"))))</f>
        <v/>
      </c>
      <c r="W199" s="65" t="n">
        <v>46248</v>
      </c>
      <c r="X199" s="30" t="inlineStr">
        <is>
          <t>Sunil CR</t>
        </is>
      </c>
      <c r="Y199" s="30" t="inlineStr">
        <is>
          <t>Represented by Sample</t>
        </is>
      </c>
      <c r="Z199" s="30" t="n"/>
      <c r="AA199" s="30" t="inlineStr">
        <is>
          <t>Represented by Sample</t>
        </is>
      </c>
      <c r="AB199" s="30" t="inlineStr">
        <is>
          <t>Yes</t>
        </is>
      </c>
      <c r="AC199" s="27" t="n"/>
      <c r="AD199" s="31" t="inlineStr">
        <is>
          <t>No</t>
        </is>
      </c>
      <c r="AE199" s="32">
        <f>IF(W199="","",IF(Z199="Yes","❌ Disc",IF(Y199="No","⚠ Missing",IF(AB199="Yes","✓ OK","⚠ Check"))))</f>
        <v/>
      </c>
      <c r="AF199" s="33" t="n"/>
      <c r="AG199" s="33" t="n"/>
      <c r="AH199" s="33" t="n"/>
      <c r="AI199" s="33" t="n"/>
      <c r="AJ199" s="33" t="n"/>
      <c r="AK199" s="33" t="n"/>
      <c r="AL199" s="27" t="n"/>
      <c r="AM199" s="34" t="n"/>
      <c r="AN199" s="35">
        <f>IF(AF199="","",IF(AI199="Yes","❌ Disc",IF(AH199="No","⚠ Missing",IF(AK199="Yes","✓ OK","⚠ Check"))))</f>
        <v/>
      </c>
      <c r="AO199" s="36" t="n"/>
      <c r="AP199" s="36" t="n"/>
      <c r="AQ199" s="36" t="n"/>
      <c r="AR199" s="36" t="n"/>
      <c r="AS199" s="36" t="n"/>
      <c r="AT199" s="36" t="n"/>
      <c r="AU199" s="27" t="n"/>
      <c r="AV199" s="37" t="n"/>
      <c r="AW199" s="38">
        <f>IF(AO199="","",IF(AR199="Yes","❌ Disc",IF(AQ199="No","⚠ Missing",IF(AT199="Yes","✓ OK","⚠ Check"))))</f>
        <v/>
      </c>
    </row>
    <row r="200" ht="18" customHeight="1" s="46">
      <c r="A200" s="39" t="n">
        <v>196</v>
      </c>
      <c r="B200" s="40" t="inlineStr">
        <is>
          <t>BD-HNA-2025-0107</t>
        </is>
      </c>
      <c r="C200" s="41" t="inlineStr">
        <is>
          <t>Bonito Handles - H-204 - Anodized Brass Handle  - 152mm</t>
        </is>
      </c>
      <c r="D200" s="39" t="inlineStr">
        <is>
          <t>Bonito Handles</t>
        </is>
      </c>
      <c r="E200" s="43" t="n">
        <v>46125</v>
      </c>
      <c r="F200" s="26" t="inlineStr">
        <is>
          <t>Sunil CR</t>
        </is>
      </c>
      <c r="G200" s="44" t="inlineStr">
        <is>
          <t>Represented by Sample</t>
        </is>
      </c>
      <c r="H200" s="26" t="inlineStr">
        <is>
          <t>No</t>
        </is>
      </c>
      <c r="I200" s="44" t="inlineStr">
        <is>
          <t>Represented by Sample</t>
        </is>
      </c>
      <c r="J200" s="26" t="inlineStr">
        <is>
          <t>Yes</t>
        </is>
      </c>
      <c r="K200" s="27" t="n"/>
      <c r="L200" s="28" t="inlineStr">
        <is>
          <t>No</t>
        </is>
      </c>
      <c r="M200" s="29">
        <f>IF(E200="","",IF(H200="Yes","❌ Disc",IF(G200="No","⚠ Missing",IF(J200="Yes","✓ OK","⚠ Check"))))</f>
        <v/>
      </c>
      <c r="N200" s="43" t="n">
        <v>46196</v>
      </c>
      <c r="O200" s="26" t="inlineStr">
        <is>
          <t>Sunil CR</t>
        </is>
      </c>
      <c r="P200" s="44" t="inlineStr">
        <is>
          <t>Represented by Sample</t>
        </is>
      </c>
      <c r="Q200" s="26" t="inlineStr">
        <is>
          <t>No</t>
        </is>
      </c>
      <c r="R200" s="44" t="inlineStr">
        <is>
          <t>Represented by Sample</t>
        </is>
      </c>
      <c r="S200" s="26" t="inlineStr">
        <is>
          <t>Yes</t>
        </is>
      </c>
      <c r="T200" s="27" t="n"/>
      <c r="U200" s="28" t="inlineStr">
        <is>
          <t>No</t>
        </is>
      </c>
      <c r="V200" s="29">
        <f>IF(N200="","",IF(Q200="Yes","❌ Disc",IF(P200="No","⚠ Missing",IF(S200="Yes","✓ OK","⚠ Check"))))</f>
        <v/>
      </c>
      <c r="W200" s="65" t="n">
        <v>46248</v>
      </c>
      <c r="X200" s="30" t="inlineStr">
        <is>
          <t>Sunil CR</t>
        </is>
      </c>
      <c r="Y200" s="30" t="inlineStr">
        <is>
          <t>Represented by Sample</t>
        </is>
      </c>
      <c r="Z200" s="30" t="n"/>
      <c r="AA200" s="30" t="inlineStr">
        <is>
          <t>Represented by Sample</t>
        </is>
      </c>
      <c r="AB200" s="30" t="inlineStr">
        <is>
          <t>Yes</t>
        </is>
      </c>
      <c r="AC200" s="27" t="n"/>
      <c r="AD200" s="31" t="inlineStr">
        <is>
          <t>No</t>
        </is>
      </c>
      <c r="AE200" s="32">
        <f>IF(W200="","",IF(Z200="Yes","❌ Disc",IF(Y200="No","⚠ Missing",IF(AB200="Yes","✓ OK","⚠ Check"))))</f>
        <v/>
      </c>
      <c r="AF200" s="33" t="n"/>
      <c r="AG200" s="33" t="n"/>
      <c r="AH200" s="33" t="n"/>
      <c r="AI200" s="33" t="n"/>
      <c r="AJ200" s="33" t="n"/>
      <c r="AK200" s="33" t="n"/>
      <c r="AL200" s="27" t="n"/>
      <c r="AM200" s="34" t="n"/>
      <c r="AN200" s="35">
        <f>IF(AF200="","",IF(AI200="Yes","❌ Disc",IF(AH200="No","⚠ Missing",IF(AK200="Yes","✓ OK","⚠ Check"))))</f>
        <v/>
      </c>
      <c r="AO200" s="36" t="n"/>
      <c r="AP200" s="36" t="n"/>
      <c r="AQ200" s="36" t="n"/>
      <c r="AR200" s="36" t="n"/>
      <c r="AS200" s="36" t="n"/>
      <c r="AT200" s="36" t="n"/>
      <c r="AU200" s="27" t="n"/>
      <c r="AV200" s="37" t="n"/>
      <c r="AW200" s="38">
        <f>IF(AO200="","",IF(AR200="Yes","❌ Disc",IF(AQ200="No","⚠ Missing",IF(AT200="Yes","✓ OK","⚠ Check"))))</f>
        <v/>
      </c>
    </row>
    <row r="201" ht="18" customHeight="1" s="46">
      <c r="A201" s="23" t="n">
        <v>197</v>
      </c>
      <c r="B201" s="24" t="inlineStr">
        <is>
          <t>BD-HNA-2025-0108</t>
        </is>
      </c>
      <c r="C201" s="25" t="inlineStr">
        <is>
          <t>Bonito Handles - H-204 - Anodized Brass Handle  - 187mm</t>
        </is>
      </c>
      <c r="D201" s="23" t="inlineStr">
        <is>
          <t>Bonito Handles</t>
        </is>
      </c>
      <c r="E201" s="43" t="n">
        <v>46125</v>
      </c>
      <c r="F201" s="26" t="inlineStr">
        <is>
          <t>Sunil CR</t>
        </is>
      </c>
      <c r="G201" s="44" t="inlineStr">
        <is>
          <t>Yes</t>
        </is>
      </c>
      <c r="H201" s="26" t="inlineStr">
        <is>
          <t>No</t>
        </is>
      </c>
      <c r="I201" s="44" t="inlineStr">
        <is>
          <t>Good finish</t>
        </is>
      </c>
      <c r="J201" s="26" t="inlineStr">
        <is>
          <t>Yes</t>
        </is>
      </c>
      <c r="K201" s="27" t="n"/>
      <c r="L201" s="28" t="inlineStr">
        <is>
          <t>No</t>
        </is>
      </c>
      <c r="M201" s="29">
        <f>IF(E201="","",IF(H201="Yes","❌ Disc",IF(G201="No","⚠ Missing",IF(J201="Yes","✓ OK","⚠ Check"))))</f>
        <v/>
      </c>
      <c r="N201" s="43" t="n">
        <v>46196</v>
      </c>
      <c r="O201" s="26" t="inlineStr">
        <is>
          <t>Sunil CR</t>
        </is>
      </c>
      <c r="P201" s="44" t="inlineStr">
        <is>
          <t>Yes</t>
        </is>
      </c>
      <c r="Q201" s="26" t="inlineStr">
        <is>
          <t>No</t>
        </is>
      </c>
      <c r="R201" s="44" t="inlineStr">
        <is>
          <t>Good finish</t>
        </is>
      </c>
      <c r="S201" s="26" t="inlineStr">
        <is>
          <t>Yes</t>
        </is>
      </c>
      <c r="T201" s="27" t="n"/>
      <c r="U201" s="28" t="inlineStr">
        <is>
          <t>No</t>
        </is>
      </c>
      <c r="V201" s="29">
        <f>IF(N201="","",IF(Q201="Yes","❌ Disc",IF(P201="No","⚠ Missing",IF(S201="Yes","✓ OK","⚠ Check"))))</f>
        <v/>
      </c>
      <c r="W201" s="65" t="n">
        <v>46248</v>
      </c>
      <c r="X201" s="30" t="inlineStr">
        <is>
          <t>Sunil CR</t>
        </is>
      </c>
      <c r="Y201" s="30" t="inlineStr">
        <is>
          <t>Yes</t>
        </is>
      </c>
      <c r="Z201" s="30" t="n"/>
      <c r="AA201" s="30" t="inlineStr">
        <is>
          <t>Good finish</t>
        </is>
      </c>
      <c r="AB201" s="30" t="inlineStr">
        <is>
          <t>Yes</t>
        </is>
      </c>
      <c r="AC201" s="27" t="n"/>
      <c r="AD201" s="31" t="inlineStr">
        <is>
          <t>No</t>
        </is>
      </c>
      <c r="AE201" s="32">
        <f>IF(W201="","",IF(Z201="Yes","❌ Disc",IF(Y201="No","⚠ Missing",IF(AB201="Yes","✓ OK","⚠ Check"))))</f>
        <v/>
      </c>
      <c r="AF201" s="33" t="n"/>
      <c r="AG201" s="33" t="n"/>
      <c r="AH201" s="33" t="n"/>
      <c r="AI201" s="33" t="n"/>
      <c r="AJ201" s="33" t="n"/>
      <c r="AK201" s="33" t="n"/>
      <c r="AL201" s="27" t="n"/>
      <c r="AM201" s="34" t="n"/>
      <c r="AN201" s="35">
        <f>IF(AF201="","",IF(AI201="Yes","❌ Disc",IF(AH201="No","⚠ Missing",IF(AK201="Yes","✓ OK","⚠ Check"))))</f>
        <v/>
      </c>
      <c r="AO201" s="36" t="n"/>
      <c r="AP201" s="36" t="n"/>
      <c r="AQ201" s="36" t="n"/>
      <c r="AR201" s="36" t="n"/>
      <c r="AS201" s="36" t="n"/>
      <c r="AT201" s="36" t="n"/>
      <c r="AU201" s="27" t="n"/>
      <c r="AV201" s="37" t="n"/>
      <c r="AW201" s="38">
        <f>IF(AO201="","",IF(AR201="Yes","❌ Disc",IF(AQ201="No","⚠ Missing",IF(AT201="Yes","✓ OK","⚠ Check"))))</f>
        <v/>
      </c>
    </row>
    <row r="202" ht="18" customHeight="1" s="46">
      <c r="A202" s="39" t="n">
        <v>198</v>
      </c>
      <c r="B202" s="40" t="inlineStr">
        <is>
          <t>BD-HNA-2025-0235</t>
        </is>
      </c>
      <c r="C202" s="41" t="inlineStr">
        <is>
          <t>Bonito Handles - H-221 - Black and Gold Handle  - 190mm</t>
        </is>
      </c>
      <c r="D202" s="39" t="inlineStr">
        <is>
          <t>Bonito Handles</t>
        </is>
      </c>
      <c r="E202" s="43" t="n">
        <v>46125</v>
      </c>
      <c r="F202" s="26" t="inlineStr">
        <is>
          <t>Sunil CR</t>
        </is>
      </c>
      <c r="G202" s="44" t="inlineStr">
        <is>
          <t>Represented by Sample</t>
        </is>
      </c>
      <c r="H202" s="26" t="inlineStr">
        <is>
          <t>No</t>
        </is>
      </c>
      <c r="I202" s="44" t="inlineStr">
        <is>
          <t>Represented by Sample</t>
        </is>
      </c>
      <c r="J202" s="26" t="inlineStr">
        <is>
          <t>Yes</t>
        </is>
      </c>
      <c r="K202" s="27" t="n"/>
      <c r="L202" s="28" t="inlineStr">
        <is>
          <t>No</t>
        </is>
      </c>
      <c r="M202" s="29">
        <f>IF(E202="","",IF(H202="Yes","❌ Disc",IF(G202="No","⚠ Missing",IF(J202="Yes","✓ OK","⚠ Check"))))</f>
        <v/>
      </c>
      <c r="N202" s="43" t="n">
        <v>46196</v>
      </c>
      <c r="O202" s="26" t="inlineStr">
        <is>
          <t>Sunil CR</t>
        </is>
      </c>
      <c r="P202" s="44" t="inlineStr">
        <is>
          <t>Represented by Sample</t>
        </is>
      </c>
      <c r="Q202" s="26" t="inlineStr">
        <is>
          <t>No</t>
        </is>
      </c>
      <c r="R202" s="44" t="inlineStr">
        <is>
          <t>Represented by Sample</t>
        </is>
      </c>
      <c r="S202" s="26" t="inlineStr">
        <is>
          <t>Yes</t>
        </is>
      </c>
      <c r="T202" s="27" t="n"/>
      <c r="U202" s="28" t="inlineStr">
        <is>
          <t>No</t>
        </is>
      </c>
      <c r="V202" s="29">
        <f>IF(N202="","",IF(Q202="Yes","❌ Disc",IF(P202="No","⚠ Missing",IF(S202="Yes","✓ OK","⚠ Check"))))</f>
        <v/>
      </c>
      <c r="W202" s="65" t="n">
        <v>46248</v>
      </c>
      <c r="X202" s="30" t="inlineStr">
        <is>
          <t>Sunil CR</t>
        </is>
      </c>
      <c r="Y202" s="30" t="inlineStr">
        <is>
          <t>Represented by Sample</t>
        </is>
      </c>
      <c r="Z202" s="30" t="n"/>
      <c r="AA202" s="30" t="inlineStr">
        <is>
          <t>Represented by Sample</t>
        </is>
      </c>
      <c r="AB202" s="30" t="inlineStr">
        <is>
          <t>Yes</t>
        </is>
      </c>
      <c r="AC202" s="27" t="n"/>
      <c r="AD202" s="31" t="inlineStr">
        <is>
          <t>No</t>
        </is>
      </c>
      <c r="AE202" s="32">
        <f>IF(W202="","",IF(Z202="Yes","❌ Disc",IF(Y202="No","⚠ Missing",IF(AB202="Yes","✓ OK","⚠ Check"))))</f>
        <v/>
      </c>
      <c r="AF202" s="33" t="n"/>
      <c r="AG202" s="33" t="n"/>
      <c r="AH202" s="33" t="n"/>
      <c r="AI202" s="33" t="n"/>
      <c r="AJ202" s="33" t="n"/>
      <c r="AK202" s="33" t="n"/>
      <c r="AL202" s="27" t="n"/>
      <c r="AM202" s="34" t="n"/>
      <c r="AN202" s="35">
        <f>IF(AF202="","",IF(AI202="Yes","❌ Disc",IF(AH202="No","⚠ Missing",IF(AK202="Yes","✓ OK","⚠ Check"))))</f>
        <v/>
      </c>
      <c r="AO202" s="36" t="n"/>
      <c r="AP202" s="36" t="n"/>
      <c r="AQ202" s="36" t="n"/>
      <c r="AR202" s="36" t="n"/>
      <c r="AS202" s="36" t="n"/>
      <c r="AT202" s="36" t="n"/>
      <c r="AU202" s="27" t="n"/>
      <c r="AV202" s="37" t="n"/>
      <c r="AW202" s="38">
        <f>IF(AO202="","",IF(AR202="Yes","❌ Disc",IF(AQ202="No","⚠ Missing",IF(AT202="Yes","✓ OK","⚠ Check"))))</f>
        <v/>
      </c>
    </row>
    <row r="203" ht="18" customHeight="1" s="46">
      <c r="A203" s="23" t="n">
        <v>199</v>
      </c>
      <c r="B203" s="24" t="inlineStr">
        <is>
          <t>BD-HNA-2025-0236</t>
        </is>
      </c>
      <c r="C203" s="25" t="inlineStr">
        <is>
          <t>Bonito Handles - H-221 - Black and Gold Handle  - 318mm</t>
        </is>
      </c>
      <c r="D203" s="23" t="inlineStr">
        <is>
          <t>Bonito Handles</t>
        </is>
      </c>
      <c r="E203" s="43" t="n">
        <v>46125</v>
      </c>
      <c r="F203" s="26" t="inlineStr">
        <is>
          <t>Sunil CR</t>
        </is>
      </c>
      <c r="G203" s="44" t="inlineStr">
        <is>
          <t>Represented by Sample</t>
        </is>
      </c>
      <c r="H203" s="26" t="inlineStr">
        <is>
          <t>No</t>
        </is>
      </c>
      <c r="I203" s="44" t="inlineStr">
        <is>
          <t>Represented by Sample</t>
        </is>
      </c>
      <c r="J203" s="26" t="inlineStr">
        <is>
          <t>Yes</t>
        </is>
      </c>
      <c r="K203" s="27" t="n"/>
      <c r="L203" s="28" t="inlineStr">
        <is>
          <t>No</t>
        </is>
      </c>
      <c r="M203" s="29">
        <f>IF(E203="","",IF(H203="Yes","❌ Disc",IF(G203="No","⚠ Missing",IF(J203="Yes","✓ OK","⚠ Check"))))</f>
        <v/>
      </c>
      <c r="N203" s="43" t="n">
        <v>46196</v>
      </c>
      <c r="O203" s="26" t="inlineStr">
        <is>
          <t>Sunil CR</t>
        </is>
      </c>
      <c r="P203" s="44" t="inlineStr">
        <is>
          <t>Represented by Sample</t>
        </is>
      </c>
      <c r="Q203" s="26" t="inlineStr">
        <is>
          <t>No</t>
        </is>
      </c>
      <c r="R203" s="44" t="inlineStr">
        <is>
          <t>Represented by Sample</t>
        </is>
      </c>
      <c r="S203" s="26" t="inlineStr">
        <is>
          <t>Yes</t>
        </is>
      </c>
      <c r="T203" s="27" t="n"/>
      <c r="U203" s="28" t="inlineStr">
        <is>
          <t>No</t>
        </is>
      </c>
      <c r="V203" s="29">
        <f>IF(N203="","",IF(Q203="Yes","❌ Disc",IF(P203="No","⚠ Missing",IF(S203="Yes","✓ OK","⚠ Check"))))</f>
        <v/>
      </c>
      <c r="W203" s="65" t="n">
        <v>46248</v>
      </c>
      <c r="X203" s="30" t="inlineStr">
        <is>
          <t>Sunil CR</t>
        </is>
      </c>
      <c r="Y203" s="30" t="inlineStr">
        <is>
          <t>Represented by Sample</t>
        </is>
      </c>
      <c r="Z203" s="30" t="n"/>
      <c r="AA203" s="30" t="inlineStr">
        <is>
          <t>Represented by Sample</t>
        </is>
      </c>
      <c r="AB203" s="30" t="inlineStr">
        <is>
          <t>Yes</t>
        </is>
      </c>
      <c r="AC203" s="27" t="n"/>
      <c r="AD203" s="31" t="inlineStr">
        <is>
          <t>No</t>
        </is>
      </c>
      <c r="AE203" s="32">
        <f>IF(W203="","",IF(Z203="Yes","❌ Disc",IF(Y203="No","⚠ Missing",IF(AB203="Yes","✓ OK","⚠ Check"))))</f>
        <v/>
      </c>
      <c r="AF203" s="33" t="n"/>
      <c r="AG203" s="33" t="n"/>
      <c r="AH203" s="33" t="n"/>
      <c r="AI203" s="33" t="n"/>
      <c r="AJ203" s="33" t="n"/>
      <c r="AK203" s="33" t="n"/>
      <c r="AL203" s="27" t="n"/>
      <c r="AM203" s="34" t="n"/>
      <c r="AN203" s="35">
        <f>IF(AF203="","",IF(AI203="Yes","❌ Disc",IF(AH203="No","⚠ Missing",IF(AK203="Yes","✓ OK","⚠ Check"))))</f>
        <v/>
      </c>
      <c r="AO203" s="36" t="n"/>
      <c r="AP203" s="36" t="n"/>
      <c r="AQ203" s="36" t="n"/>
      <c r="AR203" s="36" t="n"/>
      <c r="AS203" s="36" t="n"/>
      <c r="AT203" s="36" t="n"/>
      <c r="AU203" s="27" t="n"/>
      <c r="AV203" s="37" t="n"/>
      <c r="AW203" s="38">
        <f>IF(AO203="","",IF(AR203="Yes","❌ Disc",IF(AQ203="No","⚠ Missing",IF(AT203="Yes","✓ OK","⚠ Check"))))</f>
        <v/>
      </c>
    </row>
    <row r="204" ht="18" customHeight="1" s="46">
      <c r="A204" s="39" t="n">
        <v>200</v>
      </c>
      <c r="B204" s="40" t="inlineStr">
        <is>
          <t>BD-HNA-2025-0237</t>
        </is>
      </c>
      <c r="C204" s="41" t="inlineStr">
        <is>
          <t>Bonito Handles - H-221 - Black and Gold Handle  - 477mm</t>
        </is>
      </c>
      <c r="D204" s="39" t="inlineStr">
        <is>
          <t>Bonito Handles</t>
        </is>
      </c>
      <c r="E204" s="43" t="n">
        <v>46125</v>
      </c>
      <c r="F204" s="26" t="inlineStr">
        <is>
          <t>Sunil CR</t>
        </is>
      </c>
      <c r="G204" s="44" t="inlineStr">
        <is>
          <t>Yes</t>
        </is>
      </c>
      <c r="H204" s="26" t="inlineStr">
        <is>
          <t>No</t>
        </is>
      </c>
      <c r="I204" s="44" t="inlineStr">
        <is>
          <t>Good finish</t>
        </is>
      </c>
      <c r="J204" s="26" t="inlineStr">
        <is>
          <t>Yes</t>
        </is>
      </c>
      <c r="K204" s="27" t="n"/>
      <c r="L204" s="28" t="inlineStr">
        <is>
          <t>No</t>
        </is>
      </c>
      <c r="M204" s="29">
        <f>IF(E204="","",IF(H204="Yes","❌ Disc",IF(G204="No","⚠ Missing",IF(J204="Yes","✓ OK","⚠ Check"))))</f>
        <v/>
      </c>
      <c r="N204" s="43" t="n">
        <v>46196</v>
      </c>
      <c r="O204" s="26" t="inlineStr">
        <is>
          <t>Sunil CR</t>
        </is>
      </c>
      <c r="P204" s="44" t="inlineStr">
        <is>
          <t>Yes</t>
        </is>
      </c>
      <c r="Q204" s="26" t="inlineStr">
        <is>
          <t>No</t>
        </is>
      </c>
      <c r="R204" s="44" t="inlineStr">
        <is>
          <t>Good finish</t>
        </is>
      </c>
      <c r="S204" s="26" t="inlineStr">
        <is>
          <t>Yes</t>
        </is>
      </c>
      <c r="T204" s="27" t="n"/>
      <c r="U204" s="28" t="inlineStr">
        <is>
          <t>No</t>
        </is>
      </c>
      <c r="V204" s="29">
        <f>IF(N204="","",IF(Q204="Yes","❌ Disc",IF(P204="No","⚠ Missing",IF(S204="Yes","✓ OK","⚠ Check"))))</f>
        <v/>
      </c>
      <c r="W204" s="65" t="n">
        <v>46248</v>
      </c>
      <c r="X204" s="30" t="inlineStr">
        <is>
          <t>Sunil CR</t>
        </is>
      </c>
      <c r="Y204" s="30" t="inlineStr">
        <is>
          <t>Yes</t>
        </is>
      </c>
      <c r="Z204" s="30" t="n"/>
      <c r="AA204" s="30" t="inlineStr">
        <is>
          <t>Good finish</t>
        </is>
      </c>
      <c r="AB204" s="30" t="inlineStr">
        <is>
          <t>Yes</t>
        </is>
      </c>
      <c r="AC204" s="27" t="n"/>
      <c r="AD204" s="31" t="inlineStr">
        <is>
          <t>No</t>
        </is>
      </c>
      <c r="AE204" s="32">
        <f>IF(W204="","",IF(Z204="Yes","❌ Disc",IF(Y204="No","⚠ Missing",IF(AB204="Yes","✓ OK","⚠ Check"))))</f>
        <v/>
      </c>
      <c r="AF204" s="33" t="n"/>
      <c r="AG204" s="33" t="n"/>
      <c r="AH204" s="33" t="n"/>
      <c r="AI204" s="33" t="n"/>
      <c r="AJ204" s="33" t="n"/>
      <c r="AK204" s="33" t="n"/>
      <c r="AL204" s="27" t="n"/>
      <c r="AM204" s="34" t="n"/>
      <c r="AN204" s="35">
        <f>IF(AF204="","",IF(AI204="Yes","❌ Disc",IF(AH204="No","⚠ Missing",IF(AK204="Yes","✓ OK","⚠ Check"))))</f>
        <v/>
      </c>
      <c r="AO204" s="36" t="n"/>
      <c r="AP204" s="36" t="n"/>
      <c r="AQ204" s="36" t="n"/>
      <c r="AR204" s="36" t="n"/>
      <c r="AS204" s="36" t="n"/>
      <c r="AT204" s="36" t="n"/>
      <c r="AU204" s="27" t="n"/>
      <c r="AV204" s="37" t="n"/>
      <c r="AW204" s="38">
        <f>IF(AO204="","",IF(AR204="Yes","❌ Disc",IF(AQ204="No","⚠ Missing",IF(AT204="Yes","✓ OK","⚠ Check"))))</f>
        <v/>
      </c>
    </row>
    <row r="205" ht="18" customHeight="1" s="46">
      <c r="A205" s="23" t="n">
        <v>201</v>
      </c>
      <c r="B205" s="24" t="inlineStr">
        <is>
          <t>BD-HNA-2025-0238</t>
        </is>
      </c>
      <c r="C205" s="25" t="inlineStr">
        <is>
          <t>Bonito Handles - H-221 - Black and Gold Handle  - 605mm</t>
        </is>
      </c>
      <c r="D205" s="23" t="inlineStr">
        <is>
          <t>Bonito Handles</t>
        </is>
      </c>
      <c r="E205" s="43" t="n">
        <v>46125</v>
      </c>
      <c r="F205" s="26" t="inlineStr">
        <is>
          <t>Sunil CR</t>
        </is>
      </c>
      <c r="G205" s="44" t="inlineStr">
        <is>
          <t>Represented by Sample</t>
        </is>
      </c>
      <c r="H205" s="26" t="inlineStr">
        <is>
          <t>No</t>
        </is>
      </c>
      <c r="I205" s="44" t="inlineStr">
        <is>
          <t>Represented by Sample</t>
        </is>
      </c>
      <c r="J205" s="26" t="inlineStr">
        <is>
          <t>Yes</t>
        </is>
      </c>
      <c r="K205" s="27" t="n"/>
      <c r="L205" s="28" t="inlineStr">
        <is>
          <t>No</t>
        </is>
      </c>
      <c r="M205" s="29">
        <f>IF(E205="","",IF(H205="Yes","❌ Disc",IF(G205="No","⚠ Missing",IF(J205="Yes","✓ OK","⚠ Check"))))</f>
        <v/>
      </c>
      <c r="N205" s="43" t="n">
        <v>46196</v>
      </c>
      <c r="O205" s="26" t="inlineStr">
        <is>
          <t>Sunil CR</t>
        </is>
      </c>
      <c r="P205" s="44" t="inlineStr">
        <is>
          <t>Represented by Sample</t>
        </is>
      </c>
      <c r="Q205" s="26" t="inlineStr">
        <is>
          <t>No</t>
        </is>
      </c>
      <c r="R205" s="44" t="inlineStr">
        <is>
          <t>Represented by Sample</t>
        </is>
      </c>
      <c r="S205" s="26" t="inlineStr">
        <is>
          <t>Yes</t>
        </is>
      </c>
      <c r="T205" s="27" t="n"/>
      <c r="U205" s="28" t="inlineStr">
        <is>
          <t>No</t>
        </is>
      </c>
      <c r="V205" s="29">
        <f>IF(N205="","",IF(Q205="Yes","❌ Disc",IF(P205="No","⚠ Missing",IF(S205="Yes","✓ OK","⚠ Check"))))</f>
        <v/>
      </c>
      <c r="W205" s="65" t="n">
        <v>46248</v>
      </c>
      <c r="X205" s="30" t="inlineStr">
        <is>
          <t>Sunil CR</t>
        </is>
      </c>
      <c r="Y205" s="30" t="inlineStr">
        <is>
          <t>Represented by Sample</t>
        </is>
      </c>
      <c r="Z205" s="30" t="n"/>
      <c r="AA205" s="30" t="inlineStr">
        <is>
          <t>Represented by Sample</t>
        </is>
      </c>
      <c r="AB205" s="30" t="inlineStr">
        <is>
          <t>Yes</t>
        </is>
      </c>
      <c r="AC205" s="27" t="n"/>
      <c r="AD205" s="31" t="inlineStr">
        <is>
          <t>No</t>
        </is>
      </c>
      <c r="AE205" s="32">
        <f>IF(W205="","",IF(Z205="Yes","❌ Disc",IF(Y205="No","⚠ Missing",IF(AB205="Yes","✓ OK","⚠ Check"))))</f>
        <v/>
      </c>
      <c r="AF205" s="33" t="n"/>
      <c r="AG205" s="33" t="n"/>
      <c r="AH205" s="33" t="n"/>
      <c r="AI205" s="33" t="n"/>
      <c r="AJ205" s="33" t="n"/>
      <c r="AK205" s="33" t="n"/>
      <c r="AL205" s="27" t="n"/>
      <c r="AM205" s="34" t="n"/>
      <c r="AN205" s="35">
        <f>IF(AF205="","",IF(AI205="Yes","❌ Disc",IF(AH205="No","⚠ Missing",IF(AK205="Yes","✓ OK","⚠ Check"))))</f>
        <v/>
      </c>
      <c r="AO205" s="36" t="n"/>
      <c r="AP205" s="36" t="n"/>
      <c r="AQ205" s="36" t="n"/>
      <c r="AR205" s="36" t="n"/>
      <c r="AS205" s="36" t="n"/>
      <c r="AT205" s="36" t="n"/>
      <c r="AU205" s="27" t="n"/>
      <c r="AV205" s="37" t="n"/>
      <c r="AW205" s="38">
        <f>IF(AO205="","",IF(AR205="Yes","❌ Disc",IF(AQ205="No","⚠ Missing",IF(AT205="Yes","✓ OK","⚠ Check"))))</f>
        <v/>
      </c>
    </row>
    <row r="206" ht="18" customHeight="1" s="46">
      <c r="A206" s="39" t="n">
        <v>202</v>
      </c>
      <c r="B206" s="40" t="inlineStr">
        <is>
          <t>BD-HNA-2025-0239</t>
        </is>
      </c>
      <c r="C206" s="41" t="inlineStr">
        <is>
          <t>Bonito Handles - H-221 - Black and Gold Handle  - 925mm</t>
        </is>
      </c>
      <c r="D206" s="39" t="inlineStr">
        <is>
          <t>Bonito Handles</t>
        </is>
      </c>
      <c r="E206" s="43" t="n">
        <v>46125</v>
      </c>
      <c r="F206" s="26" t="inlineStr">
        <is>
          <t>Sunil CR</t>
        </is>
      </c>
      <c r="G206" s="44" t="inlineStr">
        <is>
          <t>Represented by Sample</t>
        </is>
      </c>
      <c r="H206" s="26" t="inlineStr">
        <is>
          <t>No</t>
        </is>
      </c>
      <c r="I206" s="44" t="inlineStr">
        <is>
          <t>Represented by Sample</t>
        </is>
      </c>
      <c r="J206" s="26" t="inlineStr">
        <is>
          <t>Yes</t>
        </is>
      </c>
      <c r="K206" s="27" t="n"/>
      <c r="L206" s="28" t="inlineStr">
        <is>
          <t>No</t>
        </is>
      </c>
      <c r="M206" s="29">
        <f>IF(E206="","",IF(H206="Yes","❌ Disc",IF(G206="No","⚠ Missing",IF(J206="Yes","✓ OK","⚠ Check"))))</f>
        <v/>
      </c>
      <c r="N206" s="43" t="n">
        <v>46196</v>
      </c>
      <c r="O206" s="26" t="inlineStr">
        <is>
          <t>Sunil CR</t>
        </is>
      </c>
      <c r="P206" s="44" t="inlineStr">
        <is>
          <t>Represented by Sample</t>
        </is>
      </c>
      <c r="Q206" s="26" t="inlineStr">
        <is>
          <t>No</t>
        </is>
      </c>
      <c r="R206" s="44" t="inlineStr">
        <is>
          <t>Represented by Sample</t>
        </is>
      </c>
      <c r="S206" s="26" t="inlineStr">
        <is>
          <t>Yes</t>
        </is>
      </c>
      <c r="T206" s="27" t="n"/>
      <c r="U206" s="28" t="inlineStr">
        <is>
          <t>No</t>
        </is>
      </c>
      <c r="V206" s="29">
        <f>IF(N206="","",IF(Q206="Yes","❌ Disc",IF(P206="No","⚠ Missing",IF(S206="Yes","✓ OK","⚠ Check"))))</f>
        <v/>
      </c>
      <c r="W206" s="65" t="n">
        <v>46248</v>
      </c>
      <c r="X206" s="30" t="inlineStr">
        <is>
          <t>Sunil CR</t>
        </is>
      </c>
      <c r="Y206" s="30" t="inlineStr">
        <is>
          <t>Represented by Sample</t>
        </is>
      </c>
      <c r="Z206" s="30" t="n"/>
      <c r="AA206" s="30" t="inlineStr">
        <is>
          <t>Represented by Sample</t>
        </is>
      </c>
      <c r="AB206" s="30" t="inlineStr">
        <is>
          <t>Yes</t>
        </is>
      </c>
      <c r="AC206" s="27" t="n"/>
      <c r="AD206" s="31" t="inlineStr">
        <is>
          <t>No</t>
        </is>
      </c>
      <c r="AE206" s="32">
        <f>IF(W206="","",IF(Z206="Yes","❌ Disc",IF(Y206="No","⚠ Missing",IF(AB206="Yes","✓ OK","⚠ Check"))))</f>
        <v/>
      </c>
      <c r="AF206" s="33" t="n"/>
      <c r="AG206" s="33" t="n"/>
      <c r="AH206" s="33" t="n"/>
      <c r="AI206" s="33" t="n"/>
      <c r="AJ206" s="33" t="n"/>
      <c r="AK206" s="33" t="n"/>
      <c r="AL206" s="27" t="n"/>
      <c r="AM206" s="34" t="n"/>
      <c r="AN206" s="35">
        <f>IF(AF206="","",IF(AI206="Yes","❌ Disc",IF(AH206="No","⚠ Missing",IF(AK206="Yes","✓ OK","⚠ Check"))))</f>
        <v/>
      </c>
      <c r="AO206" s="36" t="n"/>
      <c r="AP206" s="36" t="n"/>
      <c r="AQ206" s="36" t="n"/>
      <c r="AR206" s="36" t="n"/>
      <c r="AS206" s="36" t="n"/>
      <c r="AT206" s="36" t="n"/>
      <c r="AU206" s="27" t="n"/>
      <c r="AV206" s="37" t="n"/>
      <c r="AW206" s="38">
        <f>IF(AO206="","",IF(AR206="Yes","❌ Disc",IF(AQ206="No","⚠ Missing",IF(AT206="Yes","✓ OK","⚠ Check"))))</f>
        <v/>
      </c>
    </row>
    <row r="207" ht="18" customHeight="1" s="46">
      <c r="A207" s="23" t="n">
        <v>203</v>
      </c>
      <c r="B207" s="24" t="inlineStr">
        <is>
          <t>BD-HNA-2025-0230</t>
        </is>
      </c>
      <c r="C207" s="25" t="inlineStr">
        <is>
          <t>Bonito Handles - H-221 - Black and Rose Gold Handle  - 190mm</t>
        </is>
      </c>
      <c r="D207" s="23" t="inlineStr">
        <is>
          <t>Bonito Handles</t>
        </is>
      </c>
      <c r="E207" s="43" t="n">
        <v>46125</v>
      </c>
      <c r="F207" s="26" t="inlineStr">
        <is>
          <t>Sunil CR</t>
        </is>
      </c>
      <c r="G207" s="44" t="inlineStr">
        <is>
          <t>Represented by Sample</t>
        </is>
      </c>
      <c r="H207" s="26" t="inlineStr">
        <is>
          <t>No</t>
        </is>
      </c>
      <c r="I207" s="44" t="inlineStr">
        <is>
          <t>Represented by Sample</t>
        </is>
      </c>
      <c r="J207" s="26" t="inlineStr">
        <is>
          <t>Yes</t>
        </is>
      </c>
      <c r="K207" s="27" t="n"/>
      <c r="L207" s="28" t="inlineStr">
        <is>
          <t>No</t>
        </is>
      </c>
      <c r="M207" s="29">
        <f>IF(E207="","",IF(H207="Yes","❌ Disc",IF(G207="No","⚠ Missing",IF(J207="Yes","✓ OK","⚠ Check"))))</f>
        <v/>
      </c>
      <c r="N207" s="43" t="n">
        <v>46196</v>
      </c>
      <c r="O207" s="26" t="inlineStr">
        <is>
          <t>Sunil CR</t>
        </is>
      </c>
      <c r="P207" s="44" t="inlineStr">
        <is>
          <t>Represented by Sample</t>
        </is>
      </c>
      <c r="Q207" s="26" t="inlineStr">
        <is>
          <t>No</t>
        </is>
      </c>
      <c r="R207" s="44" t="inlineStr">
        <is>
          <t>Represented by Sample</t>
        </is>
      </c>
      <c r="S207" s="26" t="inlineStr">
        <is>
          <t>Yes</t>
        </is>
      </c>
      <c r="T207" s="27" t="n"/>
      <c r="U207" s="28" t="inlineStr">
        <is>
          <t>No</t>
        </is>
      </c>
      <c r="V207" s="29">
        <f>IF(N207="","",IF(Q207="Yes","❌ Disc",IF(P207="No","⚠ Missing",IF(S207="Yes","✓ OK","⚠ Check"))))</f>
        <v/>
      </c>
      <c r="W207" s="65" t="n">
        <v>46248</v>
      </c>
      <c r="X207" s="30" t="inlineStr">
        <is>
          <t>Sunil CR</t>
        </is>
      </c>
      <c r="Y207" s="30" t="inlineStr">
        <is>
          <t>Represented by Sample</t>
        </is>
      </c>
      <c r="Z207" s="30" t="n"/>
      <c r="AA207" s="30" t="inlineStr">
        <is>
          <t>Represented by Sample</t>
        </is>
      </c>
      <c r="AB207" s="30" t="inlineStr">
        <is>
          <t>Yes</t>
        </is>
      </c>
      <c r="AC207" s="27" t="n"/>
      <c r="AD207" s="31" t="inlineStr">
        <is>
          <t>No</t>
        </is>
      </c>
      <c r="AE207" s="32">
        <f>IF(W207="","",IF(Z207="Yes","❌ Disc",IF(Y207="No","⚠ Missing",IF(AB207="Yes","✓ OK","⚠ Check"))))</f>
        <v/>
      </c>
      <c r="AF207" s="33" t="n"/>
      <c r="AG207" s="33" t="n"/>
      <c r="AH207" s="33" t="n"/>
      <c r="AI207" s="33" t="n"/>
      <c r="AJ207" s="33" t="n"/>
      <c r="AK207" s="33" t="n"/>
      <c r="AL207" s="27" t="n"/>
      <c r="AM207" s="34" t="n"/>
      <c r="AN207" s="35">
        <f>IF(AF207="","",IF(AI207="Yes","❌ Disc",IF(AH207="No","⚠ Missing",IF(AK207="Yes","✓ OK","⚠ Check"))))</f>
        <v/>
      </c>
      <c r="AO207" s="36" t="n"/>
      <c r="AP207" s="36" t="n"/>
      <c r="AQ207" s="36" t="n"/>
      <c r="AR207" s="36" t="n"/>
      <c r="AS207" s="36" t="n"/>
      <c r="AT207" s="36" t="n"/>
      <c r="AU207" s="27" t="n"/>
      <c r="AV207" s="37" t="n"/>
      <c r="AW207" s="38">
        <f>IF(AO207="","",IF(AR207="Yes","❌ Disc",IF(AQ207="No","⚠ Missing",IF(AT207="Yes","✓ OK","⚠ Check"))))</f>
        <v/>
      </c>
    </row>
    <row r="208" ht="18" customHeight="1" s="46">
      <c r="A208" s="39" t="n">
        <v>204</v>
      </c>
      <c r="B208" s="40" t="inlineStr">
        <is>
          <t>BD-HNA-2025-0231</t>
        </is>
      </c>
      <c r="C208" s="41" t="inlineStr">
        <is>
          <t>Bonito Handles - H-221 - Black and Rose Gold Handle  - 318mm</t>
        </is>
      </c>
      <c r="D208" s="39" t="inlineStr">
        <is>
          <t>Bonito Handles</t>
        </is>
      </c>
      <c r="E208" s="43" t="n">
        <v>46125</v>
      </c>
      <c r="F208" s="26" t="inlineStr">
        <is>
          <t>Sunil CR</t>
        </is>
      </c>
      <c r="G208" s="44" t="inlineStr">
        <is>
          <t>Represented by Sample</t>
        </is>
      </c>
      <c r="H208" s="26" t="inlineStr">
        <is>
          <t>No</t>
        </is>
      </c>
      <c r="I208" s="44" t="inlineStr">
        <is>
          <t>Represented by Sample</t>
        </is>
      </c>
      <c r="J208" s="26" t="inlineStr">
        <is>
          <t>Yes</t>
        </is>
      </c>
      <c r="K208" s="27" t="n"/>
      <c r="L208" s="28" t="inlineStr">
        <is>
          <t>No</t>
        </is>
      </c>
      <c r="M208" s="29">
        <f>IF(E208="","",IF(H208="Yes","❌ Disc",IF(G208="No","⚠ Missing",IF(J208="Yes","✓ OK","⚠ Check"))))</f>
        <v/>
      </c>
      <c r="N208" s="43" t="n">
        <v>46196</v>
      </c>
      <c r="O208" s="26" t="inlineStr">
        <is>
          <t>Sunil CR</t>
        </is>
      </c>
      <c r="P208" s="44" t="inlineStr">
        <is>
          <t>Represented by Sample</t>
        </is>
      </c>
      <c r="Q208" s="26" t="inlineStr">
        <is>
          <t>No</t>
        </is>
      </c>
      <c r="R208" s="44" t="inlineStr">
        <is>
          <t>Represented by Sample</t>
        </is>
      </c>
      <c r="S208" s="26" t="inlineStr">
        <is>
          <t>Yes</t>
        </is>
      </c>
      <c r="T208" s="27" t="n"/>
      <c r="U208" s="28" t="inlineStr">
        <is>
          <t>No</t>
        </is>
      </c>
      <c r="V208" s="29">
        <f>IF(N208="","",IF(Q208="Yes","❌ Disc",IF(P208="No","⚠ Missing",IF(S208="Yes","✓ OK","⚠ Check"))))</f>
        <v/>
      </c>
      <c r="W208" s="65" t="n">
        <v>46248</v>
      </c>
      <c r="X208" s="30" t="inlineStr">
        <is>
          <t>Sunil CR</t>
        </is>
      </c>
      <c r="Y208" s="30" t="inlineStr">
        <is>
          <t>Represented by Sample</t>
        </is>
      </c>
      <c r="Z208" s="30" t="n"/>
      <c r="AA208" s="30" t="inlineStr">
        <is>
          <t>Represented by Sample</t>
        </is>
      </c>
      <c r="AB208" s="30" t="inlineStr">
        <is>
          <t>Yes</t>
        </is>
      </c>
      <c r="AC208" s="27" t="n"/>
      <c r="AD208" s="31" t="inlineStr">
        <is>
          <t>No</t>
        </is>
      </c>
      <c r="AE208" s="32">
        <f>IF(W208="","",IF(Z208="Yes","❌ Disc",IF(Y208="No","⚠ Missing",IF(AB208="Yes","✓ OK","⚠ Check"))))</f>
        <v/>
      </c>
      <c r="AF208" s="33" t="n"/>
      <c r="AG208" s="33" t="n"/>
      <c r="AH208" s="33" t="n"/>
      <c r="AI208" s="33" t="n"/>
      <c r="AJ208" s="33" t="n"/>
      <c r="AK208" s="33" t="n"/>
      <c r="AL208" s="27" t="n"/>
      <c r="AM208" s="34" t="n"/>
      <c r="AN208" s="35">
        <f>IF(AF208="","",IF(AI208="Yes","❌ Disc",IF(AH208="No","⚠ Missing",IF(AK208="Yes","✓ OK","⚠ Check"))))</f>
        <v/>
      </c>
      <c r="AO208" s="36" t="n"/>
      <c r="AP208" s="36" t="n"/>
      <c r="AQ208" s="36" t="n"/>
      <c r="AR208" s="36" t="n"/>
      <c r="AS208" s="36" t="n"/>
      <c r="AT208" s="36" t="n"/>
      <c r="AU208" s="27" t="n"/>
      <c r="AV208" s="37" t="n"/>
      <c r="AW208" s="38">
        <f>IF(AO208="","",IF(AR208="Yes","❌ Disc",IF(AQ208="No","⚠ Missing",IF(AT208="Yes","✓ OK","⚠ Check"))))</f>
        <v/>
      </c>
    </row>
    <row r="209" ht="18" customHeight="1" s="46">
      <c r="A209" s="23" t="n">
        <v>205</v>
      </c>
      <c r="B209" s="24" t="inlineStr">
        <is>
          <t>BD-HNA-2025-0232</t>
        </is>
      </c>
      <c r="C209" s="25" t="inlineStr">
        <is>
          <t>Bonito Handles - H-221 - Black and Rose Gold Handle  - 477mm</t>
        </is>
      </c>
      <c r="D209" s="23" t="inlineStr">
        <is>
          <t>Bonito Handles</t>
        </is>
      </c>
      <c r="E209" s="43" t="n">
        <v>46125</v>
      </c>
      <c r="F209" s="26" t="inlineStr">
        <is>
          <t>Sunil CR</t>
        </is>
      </c>
      <c r="G209" s="44" t="inlineStr">
        <is>
          <t>Represented by Sample</t>
        </is>
      </c>
      <c r="H209" s="26" t="inlineStr">
        <is>
          <t>No</t>
        </is>
      </c>
      <c r="I209" s="44" t="inlineStr">
        <is>
          <t>Represented by Sample</t>
        </is>
      </c>
      <c r="J209" s="26" t="inlineStr">
        <is>
          <t>Yes</t>
        </is>
      </c>
      <c r="K209" s="27" t="n"/>
      <c r="L209" s="28" t="inlineStr">
        <is>
          <t>No</t>
        </is>
      </c>
      <c r="M209" s="29">
        <f>IF(E209="","",IF(H209="Yes","❌ Disc",IF(G209="No","⚠ Missing",IF(J209="Yes","✓ OK","⚠ Check"))))</f>
        <v/>
      </c>
      <c r="N209" s="43" t="n">
        <v>46196</v>
      </c>
      <c r="O209" s="26" t="inlineStr">
        <is>
          <t>Sunil CR</t>
        </is>
      </c>
      <c r="P209" s="44" t="inlineStr">
        <is>
          <t>Represented by Sample</t>
        </is>
      </c>
      <c r="Q209" s="26" t="inlineStr">
        <is>
          <t>No</t>
        </is>
      </c>
      <c r="R209" s="44" t="inlineStr">
        <is>
          <t>Represented by Sample</t>
        </is>
      </c>
      <c r="S209" s="26" t="inlineStr">
        <is>
          <t>Yes</t>
        </is>
      </c>
      <c r="T209" s="27" t="n"/>
      <c r="U209" s="28" t="inlineStr">
        <is>
          <t>No</t>
        </is>
      </c>
      <c r="V209" s="29">
        <f>IF(N209="","",IF(Q209="Yes","❌ Disc",IF(P209="No","⚠ Missing",IF(S209="Yes","✓ OK","⚠ Check"))))</f>
        <v/>
      </c>
      <c r="W209" s="65" t="n">
        <v>46248</v>
      </c>
      <c r="X209" s="30" t="inlineStr">
        <is>
          <t>Sunil CR</t>
        </is>
      </c>
      <c r="Y209" s="30" t="inlineStr">
        <is>
          <t>Represented by Sample</t>
        </is>
      </c>
      <c r="Z209" s="30" t="n"/>
      <c r="AA209" s="30" t="inlineStr">
        <is>
          <t>Represented by Sample</t>
        </is>
      </c>
      <c r="AB209" s="30" t="inlineStr">
        <is>
          <t>Yes</t>
        </is>
      </c>
      <c r="AC209" s="27" t="n"/>
      <c r="AD209" s="31" t="inlineStr">
        <is>
          <t>No</t>
        </is>
      </c>
      <c r="AE209" s="32">
        <f>IF(W209="","",IF(Z209="Yes","❌ Disc",IF(Y209="No","⚠ Missing",IF(AB209="Yes","✓ OK","⚠ Check"))))</f>
        <v/>
      </c>
      <c r="AF209" s="33" t="n"/>
      <c r="AG209" s="33" t="n"/>
      <c r="AH209" s="33" t="n"/>
      <c r="AI209" s="33" t="n"/>
      <c r="AJ209" s="33" t="n"/>
      <c r="AK209" s="33" t="n"/>
      <c r="AL209" s="27" t="n"/>
      <c r="AM209" s="34" t="n"/>
      <c r="AN209" s="35">
        <f>IF(AF209="","",IF(AI209="Yes","❌ Disc",IF(AH209="No","⚠ Missing",IF(AK209="Yes","✓ OK","⚠ Check"))))</f>
        <v/>
      </c>
      <c r="AO209" s="36" t="n"/>
      <c r="AP209" s="36" t="n"/>
      <c r="AQ209" s="36" t="n"/>
      <c r="AR209" s="36" t="n"/>
      <c r="AS209" s="36" t="n"/>
      <c r="AT209" s="36" t="n"/>
      <c r="AU209" s="27" t="n"/>
      <c r="AV209" s="37" t="n"/>
      <c r="AW209" s="38">
        <f>IF(AO209="","",IF(AR209="Yes","❌ Disc",IF(AQ209="No","⚠ Missing",IF(AT209="Yes","✓ OK","⚠ Check"))))</f>
        <v/>
      </c>
    </row>
    <row r="210" ht="18" customHeight="1" s="46">
      <c r="A210" s="39" t="n">
        <v>206</v>
      </c>
      <c r="B210" s="40" t="inlineStr">
        <is>
          <t>BD-HNA-2025-0233</t>
        </is>
      </c>
      <c r="C210" s="41" t="inlineStr">
        <is>
          <t>Bonito Handles - H-221 - Black and Rose Gold Handle  - 605mm</t>
        </is>
      </c>
      <c r="D210" s="39" t="inlineStr">
        <is>
          <t>Bonito Handles</t>
        </is>
      </c>
      <c r="E210" s="43" t="n">
        <v>46125</v>
      </c>
      <c r="F210" s="26" t="inlineStr">
        <is>
          <t>Sunil CR</t>
        </is>
      </c>
      <c r="G210" s="44" t="inlineStr">
        <is>
          <t>Represented by Sample</t>
        </is>
      </c>
      <c r="H210" s="26" t="inlineStr">
        <is>
          <t>No</t>
        </is>
      </c>
      <c r="I210" s="44" t="inlineStr">
        <is>
          <t>Represented by Sample</t>
        </is>
      </c>
      <c r="J210" s="26" t="inlineStr">
        <is>
          <t>Yes</t>
        </is>
      </c>
      <c r="K210" s="27" t="n"/>
      <c r="L210" s="28" t="inlineStr">
        <is>
          <t>No</t>
        </is>
      </c>
      <c r="M210" s="29">
        <f>IF(E210="","",IF(H210="Yes","❌ Disc",IF(G210="No","⚠ Missing",IF(J210="Yes","✓ OK","⚠ Check"))))</f>
        <v/>
      </c>
      <c r="N210" s="43" t="n">
        <v>46196</v>
      </c>
      <c r="O210" s="26" t="inlineStr">
        <is>
          <t>Sunil CR</t>
        </is>
      </c>
      <c r="P210" s="44" t="inlineStr">
        <is>
          <t>Represented by Sample</t>
        </is>
      </c>
      <c r="Q210" s="26" t="inlineStr">
        <is>
          <t>No</t>
        </is>
      </c>
      <c r="R210" s="44" t="inlineStr">
        <is>
          <t>Represented by Sample</t>
        </is>
      </c>
      <c r="S210" s="26" t="inlineStr">
        <is>
          <t>Yes</t>
        </is>
      </c>
      <c r="T210" s="27" t="n"/>
      <c r="U210" s="28" t="inlineStr">
        <is>
          <t>No</t>
        </is>
      </c>
      <c r="V210" s="29">
        <f>IF(N210="","",IF(Q210="Yes","❌ Disc",IF(P210="No","⚠ Missing",IF(S210="Yes","✓ OK","⚠ Check"))))</f>
        <v/>
      </c>
      <c r="W210" s="65" t="n">
        <v>46248</v>
      </c>
      <c r="X210" s="30" t="inlineStr">
        <is>
          <t>Sunil CR</t>
        </is>
      </c>
      <c r="Y210" s="30" t="inlineStr">
        <is>
          <t>Represented by Sample</t>
        </is>
      </c>
      <c r="Z210" s="30" t="n"/>
      <c r="AA210" s="30" t="inlineStr">
        <is>
          <t>Represented by Sample</t>
        </is>
      </c>
      <c r="AB210" s="30" t="inlineStr">
        <is>
          <t>Yes</t>
        </is>
      </c>
      <c r="AC210" s="27" t="n"/>
      <c r="AD210" s="31" t="inlineStr">
        <is>
          <t>No</t>
        </is>
      </c>
      <c r="AE210" s="32">
        <f>IF(W210="","",IF(Z210="Yes","❌ Disc",IF(Y210="No","⚠ Missing",IF(AB210="Yes","✓ OK","⚠ Check"))))</f>
        <v/>
      </c>
      <c r="AF210" s="33" t="n"/>
      <c r="AG210" s="33" t="n"/>
      <c r="AH210" s="33" t="n"/>
      <c r="AI210" s="33" t="n"/>
      <c r="AJ210" s="33" t="n"/>
      <c r="AK210" s="33" t="n"/>
      <c r="AL210" s="27" t="n"/>
      <c r="AM210" s="34" t="n"/>
      <c r="AN210" s="35">
        <f>IF(AF210="","",IF(AI210="Yes","❌ Disc",IF(AH210="No","⚠ Missing",IF(AK210="Yes","✓ OK","⚠ Check"))))</f>
        <v/>
      </c>
      <c r="AO210" s="36" t="n"/>
      <c r="AP210" s="36" t="n"/>
      <c r="AQ210" s="36" t="n"/>
      <c r="AR210" s="36" t="n"/>
      <c r="AS210" s="36" t="n"/>
      <c r="AT210" s="36" t="n"/>
      <c r="AU210" s="27" t="n"/>
      <c r="AV210" s="37" t="n"/>
      <c r="AW210" s="38">
        <f>IF(AO210="","",IF(AR210="Yes","❌ Disc",IF(AQ210="No","⚠ Missing",IF(AT210="Yes","✓ OK","⚠ Check"))))</f>
        <v/>
      </c>
    </row>
    <row r="211" ht="18" customHeight="1" s="46">
      <c r="A211" s="23" t="n">
        <v>207</v>
      </c>
      <c r="B211" s="24" t="inlineStr">
        <is>
          <t>BD-HNA-2025-0234</t>
        </is>
      </c>
      <c r="C211" s="25" t="inlineStr">
        <is>
          <t>Bonito Handles - H-221 - Black and Rose Gold Handle  - 925mm</t>
        </is>
      </c>
      <c r="D211" s="23" t="inlineStr">
        <is>
          <t>Bonito Handles</t>
        </is>
      </c>
      <c r="E211" s="43" t="n">
        <v>46125</v>
      </c>
      <c r="F211" s="26" t="inlineStr">
        <is>
          <t>Sunil CR</t>
        </is>
      </c>
      <c r="G211" s="44" t="inlineStr">
        <is>
          <t>Yes</t>
        </is>
      </c>
      <c r="H211" s="26" t="inlineStr">
        <is>
          <t>No</t>
        </is>
      </c>
      <c r="I211" s="44" t="inlineStr">
        <is>
          <t>Good finish</t>
        </is>
      </c>
      <c r="J211" s="26" t="inlineStr">
        <is>
          <t>Yes</t>
        </is>
      </c>
      <c r="K211" s="27" t="n"/>
      <c r="L211" s="28" t="inlineStr">
        <is>
          <t>No</t>
        </is>
      </c>
      <c r="M211" s="29">
        <f>IF(E211="","",IF(H211="Yes","❌ Disc",IF(G211="No","⚠ Missing",IF(J211="Yes","✓ OK","⚠ Check"))))</f>
        <v/>
      </c>
      <c r="N211" s="43" t="n">
        <v>46196</v>
      </c>
      <c r="O211" s="26" t="inlineStr">
        <is>
          <t>Sunil CR</t>
        </is>
      </c>
      <c r="P211" s="44" t="inlineStr">
        <is>
          <t>Yes</t>
        </is>
      </c>
      <c r="Q211" s="26" t="inlineStr">
        <is>
          <t>No</t>
        </is>
      </c>
      <c r="R211" s="44" t="inlineStr">
        <is>
          <t>Good finish</t>
        </is>
      </c>
      <c r="S211" s="26" t="inlineStr">
        <is>
          <t>Yes</t>
        </is>
      </c>
      <c r="T211" s="27" t="n"/>
      <c r="U211" s="28" t="inlineStr">
        <is>
          <t>No</t>
        </is>
      </c>
      <c r="V211" s="29">
        <f>IF(N211="","",IF(Q211="Yes","❌ Disc",IF(P211="No","⚠ Missing",IF(S211="Yes","✓ OK","⚠ Check"))))</f>
        <v/>
      </c>
      <c r="W211" s="65" t="n">
        <v>46248</v>
      </c>
      <c r="X211" s="30" t="inlineStr">
        <is>
          <t>Sunil CR</t>
        </is>
      </c>
      <c r="Y211" s="30" t="inlineStr">
        <is>
          <t>Yes</t>
        </is>
      </c>
      <c r="Z211" s="30" t="n"/>
      <c r="AA211" s="30" t="inlineStr">
        <is>
          <t>Good finish</t>
        </is>
      </c>
      <c r="AB211" s="30" t="inlineStr">
        <is>
          <t>Yes</t>
        </is>
      </c>
      <c r="AC211" s="27" t="n"/>
      <c r="AD211" s="31" t="inlineStr">
        <is>
          <t>No</t>
        </is>
      </c>
      <c r="AE211" s="32">
        <f>IF(W211="","",IF(Z211="Yes","❌ Disc",IF(Y211="No","⚠ Missing",IF(AB211="Yes","✓ OK","⚠ Check"))))</f>
        <v/>
      </c>
      <c r="AF211" s="33" t="n"/>
      <c r="AG211" s="33" t="n"/>
      <c r="AH211" s="33" t="n"/>
      <c r="AI211" s="33" t="n"/>
      <c r="AJ211" s="33" t="n"/>
      <c r="AK211" s="33" t="n"/>
      <c r="AL211" s="27" t="n"/>
      <c r="AM211" s="34" t="n"/>
      <c r="AN211" s="35">
        <f>IF(AF211="","",IF(AI211="Yes","❌ Disc",IF(AH211="No","⚠ Missing",IF(AK211="Yes","✓ OK","⚠ Check"))))</f>
        <v/>
      </c>
      <c r="AO211" s="36" t="n"/>
      <c r="AP211" s="36" t="n"/>
      <c r="AQ211" s="36" t="n"/>
      <c r="AR211" s="36" t="n"/>
      <c r="AS211" s="36" t="n"/>
      <c r="AT211" s="36" t="n"/>
      <c r="AU211" s="27" t="n"/>
      <c r="AV211" s="37" t="n"/>
      <c r="AW211" s="38">
        <f>IF(AO211="","",IF(AR211="Yes","❌ Disc",IF(AQ211="No","⚠ Missing",IF(AT211="Yes","✓ OK","⚠ Check"))))</f>
        <v/>
      </c>
    </row>
    <row r="212" ht="18" customHeight="1" s="46">
      <c r="A212" s="39" t="n">
        <v>208</v>
      </c>
      <c r="B212" s="40" t="inlineStr">
        <is>
          <t>BD-HNA-2025-0342</t>
        </is>
      </c>
      <c r="C212" s="41" t="inlineStr">
        <is>
          <t>Bonito Handles - HA-503(D.E-UP) - Black Concealed Handle  - 148mm</t>
        </is>
      </c>
      <c r="D212" s="39" t="inlineStr">
        <is>
          <t>Bonito Handles</t>
        </is>
      </c>
      <c r="E212" s="43" t="n">
        <v>46125</v>
      </c>
      <c r="F212" s="26" t="inlineStr">
        <is>
          <t>Sunil CR</t>
        </is>
      </c>
      <c r="G212" s="44" t="inlineStr">
        <is>
          <t>Yes</t>
        </is>
      </c>
      <c r="H212" s="26" t="inlineStr">
        <is>
          <t>No</t>
        </is>
      </c>
      <c r="I212" s="44" t="inlineStr">
        <is>
          <t>Minor defect</t>
        </is>
      </c>
      <c r="J212" s="26" t="inlineStr">
        <is>
          <t>No</t>
        </is>
      </c>
      <c r="K212" s="27" t="inlineStr">
        <is>
          <t>Sticker not proper</t>
        </is>
      </c>
      <c r="L212" s="28" t="inlineStr">
        <is>
          <t>Yes</t>
        </is>
      </c>
      <c r="M212" s="29">
        <f>IF(E212="","",IF(H212="Yes","❌ Disc",IF(G212="No","⚠ Missing",IF(J212="Yes","✓ OK","⚠ Check"))))</f>
        <v/>
      </c>
      <c r="N212" s="43" t="n">
        <v>46196</v>
      </c>
      <c r="O212" s="26" t="inlineStr">
        <is>
          <t>Sunil CR</t>
        </is>
      </c>
      <c r="P212" s="44" t="inlineStr">
        <is>
          <t>Yes</t>
        </is>
      </c>
      <c r="Q212" s="26" t="inlineStr">
        <is>
          <t>No</t>
        </is>
      </c>
      <c r="R212" s="44" t="inlineStr">
        <is>
          <t>Minor defect</t>
        </is>
      </c>
      <c r="S212" s="26" t="inlineStr">
        <is>
          <t>No</t>
        </is>
      </c>
      <c r="T212" s="27" t="inlineStr">
        <is>
          <t>Sticker not proper</t>
        </is>
      </c>
      <c r="U212" s="28" t="inlineStr">
        <is>
          <t>Yes</t>
        </is>
      </c>
      <c r="V212" s="29">
        <f>IF(N212="","",IF(Q212="Yes","❌ Disc",IF(P212="No","⚠ Missing",IF(S212="Yes","✓ OK","⚠ Check"))))</f>
        <v/>
      </c>
      <c r="W212" s="65" t="n">
        <v>46248</v>
      </c>
      <c r="X212" s="30" t="inlineStr">
        <is>
          <t>Sunil CR</t>
        </is>
      </c>
      <c r="Y212" s="30" t="inlineStr">
        <is>
          <t>Yes</t>
        </is>
      </c>
      <c r="Z212" s="30" t="n"/>
      <c r="AA212" s="30" t="inlineStr">
        <is>
          <t>Minor defect</t>
        </is>
      </c>
      <c r="AB212" s="30" t="inlineStr">
        <is>
          <t>No</t>
        </is>
      </c>
      <c r="AC212" s="27" t="inlineStr">
        <is>
          <t>Sticker not proper</t>
        </is>
      </c>
      <c r="AD212" s="31" t="inlineStr">
        <is>
          <t>Yes</t>
        </is>
      </c>
      <c r="AE212" s="32">
        <f>IF(W212="","",IF(Z212="Yes","❌ Disc",IF(Y212="No","⚠ Missing",IF(AB212="Yes","✓ OK","⚠ Check"))))</f>
        <v/>
      </c>
      <c r="AF212" s="33" t="n"/>
      <c r="AG212" s="33" t="n"/>
      <c r="AH212" s="33" t="n"/>
      <c r="AI212" s="33" t="n"/>
      <c r="AJ212" s="33" t="n"/>
      <c r="AK212" s="33" t="n"/>
      <c r="AL212" s="27" t="n"/>
      <c r="AM212" s="34" t="n"/>
      <c r="AN212" s="35">
        <f>IF(AF212="","",IF(AI212="Yes","❌ Disc",IF(AH212="No","⚠ Missing",IF(AK212="Yes","✓ OK","⚠ Check"))))</f>
        <v/>
      </c>
      <c r="AO212" s="36" t="n"/>
      <c r="AP212" s="36" t="n"/>
      <c r="AQ212" s="36" t="n"/>
      <c r="AR212" s="36" t="n"/>
      <c r="AS212" s="36" t="n"/>
      <c r="AT212" s="36" t="n"/>
      <c r="AU212" s="27" t="n"/>
      <c r="AV212" s="37" t="n"/>
      <c r="AW212" s="38">
        <f>IF(AO212="","",IF(AR212="Yes","❌ Disc",IF(AQ212="No","⚠ Missing",IF(AT212="Yes","✓ OK","⚠ Check"))))</f>
        <v/>
      </c>
    </row>
    <row r="213" ht="18" customHeight="1" s="46">
      <c r="A213" s="23" t="n">
        <v>209</v>
      </c>
      <c r="B213" s="24" t="inlineStr">
        <is>
          <t>BD-HNA-2025-0341</t>
        </is>
      </c>
      <c r="C213" s="25" t="inlineStr">
        <is>
          <t>Bonito Handles - HA-503(D.E-UP) - Gold Concealed Handle  - 148mm</t>
        </is>
      </c>
      <c r="D213" s="23" t="inlineStr">
        <is>
          <t>Bonito Handles</t>
        </is>
      </c>
      <c r="E213" s="43" t="n">
        <v>46125</v>
      </c>
      <c r="F213" s="26" t="inlineStr">
        <is>
          <t>Sunil CR</t>
        </is>
      </c>
      <c r="G213" s="44" t="inlineStr">
        <is>
          <t>Represented by Sample</t>
        </is>
      </c>
      <c r="H213" s="26" t="inlineStr">
        <is>
          <t>No</t>
        </is>
      </c>
      <c r="I213" s="44" t="inlineStr">
        <is>
          <t>Represented by Sample</t>
        </is>
      </c>
      <c r="J213" s="26" t="inlineStr">
        <is>
          <t>Yes</t>
        </is>
      </c>
      <c r="K213" s="27" t="n"/>
      <c r="L213" s="28" t="inlineStr">
        <is>
          <t>No</t>
        </is>
      </c>
      <c r="M213" s="29">
        <f>IF(E213="","",IF(H213="Yes","❌ Disc",IF(G213="No","⚠ Missing",IF(J213="Yes","✓ OK","⚠ Check"))))</f>
        <v/>
      </c>
      <c r="N213" s="43" t="n">
        <v>46196</v>
      </c>
      <c r="O213" s="26" t="inlineStr">
        <is>
          <t>Sunil CR</t>
        </is>
      </c>
      <c r="P213" s="44" t="inlineStr">
        <is>
          <t>Represented by Sample</t>
        </is>
      </c>
      <c r="Q213" s="26" t="inlineStr">
        <is>
          <t>No</t>
        </is>
      </c>
      <c r="R213" s="44" t="inlineStr">
        <is>
          <t>Represented by Sample</t>
        </is>
      </c>
      <c r="S213" s="26" t="inlineStr">
        <is>
          <t>Yes</t>
        </is>
      </c>
      <c r="T213" s="27" t="n"/>
      <c r="U213" s="28" t="inlineStr">
        <is>
          <t>No</t>
        </is>
      </c>
      <c r="V213" s="29">
        <f>IF(N213="","",IF(Q213="Yes","❌ Disc",IF(P213="No","⚠ Missing",IF(S213="Yes","✓ OK","⚠ Check"))))</f>
        <v/>
      </c>
      <c r="W213" s="65" t="n">
        <v>46248</v>
      </c>
      <c r="X213" s="30" t="inlineStr">
        <is>
          <t>Sunil CR</t>
        </is>
      </c>
      <c r="Y213" s="30" t="inlineStr">
        <is>
          <t>Represented by Sample</t>
        </is>
      </c>
      <c r="Z213" s="30" t="n"/>
      <c r="AA213" s="30" t="inlineStr">
        <is>
          <t>Represented by Sample</t>
        </is>
      </c>
      <c r="AB213" s="30" t="inlineStr">
        <is>
          <t>Yes</t>
        </is>
      </c>
      <c r="AC213" s="27" t="n"/>
      <c r="AD213" s="31" t="inlineStr">
        <is>
          <t>No</t>
        </is>
      </c>
      <c r="AE213" s="32">
        <f>IF(W213="","",IF(Z213="Yes","❌ Disc",IF(Y213="No","⚠ Missing",IF(AB213="Yes","✓ OK","⚠ Check"))))</f>
        <v/>
      </c>
      <c r="AF213" s="33" t="n"/>
      <c r="AG213" s="33" t="n"/>
      <c r="AH213" s="33" t="n"/>
      <c r="AI213" s="33" t="n"/>
      <c r="AJ213" s="33" t="n"/>
      <c r="AK213" s="33" t="n"/>
      <c r="AL213" s="27" t="n"/>
      <c r="AM213" s="34" t="n"/>
      <c r="AN213" s="35">
        <f>IF(AF213="","",IF(AI213="Yes","❌ Disc",IF(AH213="No","⚠ Missing",IF(AK213="Yes","✓ OK","⚠ Check"))))</f>
        <v/>
      </c>
      <c r="AO213" s="36" t="n"/>
      <c r="AP213" s="36" t="n"/>
      <c r="AQ213" s="36" t="n"/>
      <c r="AR213" s="36" t="n"/>
      <c r="AS213" s="36" t="n"/>
      <c r="AT213" s="36" t="n"/>
      <c r="AU213" s="27" t="n"/>
      <c r="AV213" s="37" t="n"/>
      <c r="AW213" s="38">
        <f>IF(AO213="","",IF(AR213="Yes","❌ Disc",IF(AQ213="No","⚠ Missing",IF(AT213="Yes","✓ OK","⚠ Check"))))</f>
        <v/>
      </c>
    </row>
    <row r="214" ht="18" customHeight="1" s="46">
      <c r="A214" s="39" t="n">
        <v>210</v>
      </c>
      <c r="B214" s="40" t="inlineStr">
        <is>
          <t>BD-HNA-2025-0340</t>
        </is>
      </c>
      <c r="C214" s="41" t="inlineStr">
        <is>
          <t>Bonito Handles - HA-503(D.E-UP) - Rose Gold Concealed Handle  - 148mm</t>
        </is>
      </c>
      <c r="D214" s="39" t="inlineStr">
        <is>
          <t>Bonito Handles</t>
        </is>
      </c>
      <c r="E214" s="43" t="n">
        <v>46125</v>
      </c>
      <c r="F214" s="26" t="inlineStr">
        <is>
          <t>Sunil CR</t>
        </is>
      </c>
      <c r="G214" s="44" t="inlineStr">
        <is>
          <t>Represented by Sample</t>
        </is>
      </c>
      <c r="H214" s="26" t="inlineStr">
        <is>
          <t>No</t>
        </is>
      </c>
      <c r="I214" s="44" t="inlineStr">
        <is>
          <t>Represented by Sample</t>
        </is>
      </c>
      <c r="J214" s="26" t="inlineStr">
        <is>
          <t>Yes</t>
        </is>
      </c>
      <c r="K214" s="27" t="n"/>
      <c r="L214" s="28" t="inlineStr">
        <is>
          <t>No</t>
        </is>
      </c>
      <c r="M214" s="29">
        <f>IF(E214="","",IF(H214="Yes","❌ Disc",IF(G214="No","⚠ Missing",IF(J214="Yes","✓ OK","⚠ Check"))))</f>
        <v/>
      </c>
      <c r="N214" s="43" t="n">
        <v>46196</v>
      </c>
      <c r="O214" s="26" t="inlineStr">
        <is>
          <t>Sunil CR</t>
        </is>
      </c>
      <c r="P214" s="44" t="inlineStr">
        <is>
          <t>Represented by Sample</t>
        </is>
      </c>
      <c r="Q214" s="26" t="inlineStr">
        <is>
          <t>No</t>
        </is>
      </c>
      <c r="R214" s="44" t="inlineStr">
        <is>
          <t>Represented by Sample</t>
        </is>
      </c>
      <c r="S214" s="26" t="inlineStr">
        <is>
          <t>Yes</t>
        </is>
      </c>
      <c r="T214" s="27" t="n"/>
      <c r="U214" s="28" t="inlineStr">
        <is>
          <t>No</t>
        </is>
      </c>
      <c r="V214" s="29">
        <f>IF(N214="","",IF(Q214="Yes","❌ Disc",IF(P214="No","⚠ Missing",IF(S214="Yes","✓ OK","⚠ Check"))))</f>
        <v/>
      </c>
      <c r="W214" s="65" t="n">
        <v>46248</v>
      </c>
      <c r="X214" s="30" t="inlineStr">
        <is>
          <t>Sunil CR</t>
        </is>
      </c>
      <c r="Y214" s="30" t="inlineStr">
        <is>
          <t>Represented by Sample</t>
        </is>
      </c>
      <c r="Z214" s="30" t="n"/>
      <c r="AA214" s="30" t="inlineStr">
        <is>
          <t>Represented by Sample</t>
        </is>
      </c>
      <c r="AB214" s="30" t="inlineStr">
        <is>
          <t>Yes</t>
        </is>
      </c>
      <c r="AC214" s="27" t="n"/>
      <c r="AD214" s="31" t="inlineStr">
        <is>
          <t>No</t>
        </is>
      </c>
      <c r="AE214" s="32">
        <f>IF(W214="","",IF(Z214="Yes","❌ Disc",IF(Y214="No","⚠ Missing",IF(AB214="Yes","✓ OK","⚠ Check"))))</f>
        <v/>
      </c>
      <c r="AF214" s="33" t="n"/>
      <c r="AG214" s="33" t="n"/>
      <c r="AH214" s="33" t="n"/>
      <c r="AI214" s="33" t="n"/>
      <c r="AJ214" s="33" t="n"/>
      <c r="AK214" s="33" t="n"/>
      <c r="AL214" s="27" t="n"/>
      <c r="AM214" s="34" t="n"/>
      <c r="AN214" s="35">
        <f>IF(AF214="","",IF(AI214="Yes","❌ Disc",IF(AH214="No","⚠ Missing",IF(AK214="Yes","✓ OK","⚠ Check"))))</f>
        <v/>
      </c>
      <c r="AO214" s="36" t="n"/>
      <c r="AP214" s="36" t="n"/>
      <c r="AQ214" s="36" t="n"/>
      <c r="AR214" s="36" t="n"/>
      <c r="AS214" s="36" t="n"/>
      <c r="AT214" s="36" t="n"/>
      <c r="AU214" s="27" t="n"/>
      <c r="AV214" s="37" t="n"/>
      <c r="AW214" s="38">
        <f>IF(AO214="","",IF(AR214="Yes","❌ Disc",IF(AQ214="No","⚠ Missing",IF(AT214="Yes","✓ OK","⚠ Check"))))</f>
        <v/>
      </c>
    </row>
    <row r="215" ht="18" customHeight="1" s="46">
      <c r="A215" s="23" t="n">
        <v>211</v>
      </c>
      <c r="B215" s="24" t="inlineStr">
        <is>
          <t>BD-HNA-2025-0334</t>
        </is>
      </c>
      <c r="C215" s="25" t="inlineStr">
        <is>
          <t>Bonito Handles - HA-504(D.E-UP) - Antique Concealed Handle  - 110mm</t>
        </is>
      </c>
      <c r="D215" s="23" t="inlineStr">
        <is>
          <t>Bonito Handles</t>
        </is>
      </c>
      <c r="E215" s="43" t="n">
        <v>46125</v>
      </c>
      <c r="F215" s="26" t="inlineStr">
        <is>
          <t>Sunil CR</t>
        </is>
      </c>
      <c r="G215" s="44" t="inlineStr">
        <is>
          <t>Represented by Sample</t>
        </is>
      </c>
      <c r="H215" s="26" t="inlineStr">
        <is>
          <t>No</t>
        </is>
      </c>
      <c r="I215" s="44" t="inlineStr">
        <is>
          <t>Represented by Sample</t>
        </is>
      </c>
      <c r="J215" s="26" t="inlineStr">
        <is>
          <t>Yes</t>
        </is>
      </c>
      <c r="K215" s="27" t="n"/>
      <c r="L215" s="28" t="inlineStr">
        <is>
          <t>No</t>
        </is>
      </c>
      <c r="M215" s="29">
        <f>IF(E215="","",IF(H215="Yes","❌ Disc",IF(G215="No","⚠ Missing",IF(J215="Yes","✓ OK","⚠ Check"))))</f>
        <v/>
      </c>
      <c r="N215" s="43" t="n">
        <v>46196</v>
      </c>
      <c r="O215" s="26" t="inlineStr">
        <is>
          <t>Sunil CR</t>
        </is>
      </c>
      <c r="P215" s="44" t="inlineStr">
        <is>
          <t>Represented by Sample</t>
        </is>
      </c>
      <c r="Q215" s="26" t="inlineStr">
        <is>
          <t>No</t>
        </is>
      </c>
      <c r="R215" s="44" t="inlineStr">
        <is>
          <t>Represented by Sample</t>
        </is>
      </c>
      <c r="S215" s="26" t="inlineStr">
        <is>
          <t>Yes</t>
        </is>
      </c>
      <c r="T215" s="27" t="n"/>
      <c r="U215" s="28" t="inlineStr">
        <is>
          <t>No</t>
        </is>
      </c>
      <c r="V215" s="29">
        <f>IF(N215="","",IF(Q215="Yes","❌ Disc",IF(P215="No","⚠ Missing",IF(S215="Yes","✓ OK","⚠ Check"))))</f>
        <v/>
      </c>
      <c r="W215" s="65" t="n">
        <v>46248</v>
      </c>
      <c r="X215" s="30" t="inlineStr">
        <is>
          <t>Sunil CR</t>
        </is>
      </c>
      <c r="Y215" s="30" t="inlineStr">
        <is>
          <t>Represented by Sample</t>
        </is>
      </c>
      <c r="Z215" s="30" t="n"/>
      <c r="AA215" s="30" t="inlineStr">
        <is>
          <t>Represented by Sample</t>
        </is>
      </c>
      <c r="AB215" s="30" t="inlineStr">
        <is>
          <t>Yes</t>
        </is>
      </c>
      <c r="AC215" s="27" t="n"/>
      <c r="AD215" s="31" t="inlineStr">
        <is>
          <t>No</t>
        </is>
      </c>
      <c r="AE215" s="32">
        <f>IF(W215="","",IF(Z215="Yes","❌ Disc",IF(Y215="No","⚠ Missing",IF(AB215="Yes","✓ OK","⚠ Check"))))</f>
        <v/>
      </c>
      <c r="AF215" s="33" t="n"/>
      <c r="AG215" s="33" t="n"/>
      <c r="AH215" s="33" t="n"/>
      <c r="AI215" s="33" t="n"/>
      <c r="AJ215" s="33" t="n"/>
      <c r="AK215" s="33" t="n"/>
      <c r="AL215" s="27" t="n"/>
      <c r="AM215" s="34" t="n"/>
      <c r="AN215" s="35">
        <f>IF(AF215="","",IF(AI215="Yes","❌ Disc",IF(AH215="No","⚠ Missing",IF(AK215="Yes","✓ OK","⚠ Check"))))</f>
        <v/>
      </c>
      <c r="AO215" s="36" t="n"/>
      <c r="AP215" s="36" t="n"/>
      <c r="AQ215" s="36" t="n"/>
      <c r="AR215" s="36" t="n"/>
      <c r="AS215" s="36" t="n"/>
      <c r="AT215" s="36" t="n"/>
      <c r="AU215" s="27" t="n"/>
      <c r="AV215" s="37" t="n"/>
      <c r="AW215" s="38">
        <f>IF(AO215="","",IF(AR215="Yes","❌ Disc",IF(AQ215="No","⚠ Missing",IF(AT215="Yes","✓ OK","⚠ Check"))))</f>
        <v/>
      </c>
    </row>
    <row r="216" ht="18" customHeight="1" s="46">
      <c r="A216" s="39" t="n">
        <v>212</v>
      </c>
      <c r="B216" s="40" t="inlineStr">
        <is>
          <t>BD-HNA-2025-0335</t>
        </is>
      </c>
      <c r="C216" s="41" t="inlineStr">
        <is>
          <t>Bonito Handles - HA-504(D.E-UP) - Antique Concealed Handle  - 173mm</t>
        </is>
      </c>
      <c r="D216" s="39" t="inlineStr">
        <is>
          <t>Bonito Handles</t>
        </is>
      </c>
      <c r="E216" s="43" t="n">
        <v>46125</v>
      </c>
      <c r="F216" s="26" t="inlineStr">
        <is>
          <t>Sunil CR</t>
        </is>
      </c>
      <c r="G216" s="44" t="inlineStr">
        <is>
          <t>Yes</t>
        </is>
      </c>
      <c r="H216" s="26" t="inlineStr">
        <is>
          <t>No</t>
        </is>
      </c>
      <c r="I216" s="44" t="inlineStr">
        <is>
          <t>Good finish</t>
        </is>
      </c>
      <c r="J216" s="26" t="inlineStr">
        <is>
          <t>Yes</t>
        </is>
      </c>
      <c r="K216" s="27" t="n"/>
      <c r="L216" s="28" t="inlineStr">
        <is>
          <t>No</t>
        </is>
      </c>
      <c r="M216" s="29">
        <f>IF(E216="","",IF(H216="Yes","❌ Disc",IF(G216="No","⚠ Missing",IF(J216="Yes","✓ OK","⚠ Check"))))</f>
        <v/>
      </c>
      <c r="N216" s="43" t="n">
        <v>46196</v>
      </c>
      <c r="O216" s="26" t="inlineStr">
        <is>
          <t>Sunil CR</t>
        </is>
      </c>
      <c r="P216" s="44" t="inlineStr">
        <is>
          <t>Yes</t>
        </is>
      </c>
      <c r="Q216" s="26" t="inlineStr">
        <is>
          <t>No</t>
        </is>
      </c>
      <c r="R216" s="44" t="inlineStr">
        <is>
          <t>Good finish</t>
        </is>
      </c>
      <c r="S216" s="26" t="inlineStr">
        <is>
          <t>Yes</t>
        </is>
      </c>
      <c r="T216" s="27" t="n"/>
      <c r="U216" s="28" t="inlineStr">
        <is>
          <t>No</t>
        </is>
      </c>
      <c r="V216" s="29">
        <f>IF(N216="","",IF(Q216="Yes","❌ Disc",IF(P216="No","⚠ Missing",IF(S216="Yes","✓ OK","⚠ Check"))))</f>
        <v/>
      </c>
      <c r="W216" s="65" t="n">
        <v>46248</v>
      </c>
      <c r="X216" s="30" t="inlineStr">
        <is>
          <t>Sunil CR</t>
        </is>
      </c>
      <c r="Y216" s="30" t="inlineStr">
        <is>
          <t>Yes</t>
        </is>
      </c>
      <c r="Z216" s="30" t="n"/>
      <c r="AA216" s="30" t="inlineStr">
        <is>
          <t>Good finish</t>
        </is>
      </c>
      <c r="AB216" s="30" t="inlineStr">
        <is>
          <t>Yes</t>
        </is>
      </c>
      <c r="AC216" s="27" t="n"/>
      <c r="AD216" s="31" t="inlineStr">
        <is>
          <t>No</t>
        </is>
      </c>
      <c r="AE216" s="32">
        <f>IF(W216="","",IF(Z216="Yes","❌ Disc",IF(Y216="No","⚠ Missing",IF(AB216="Yes","✓ OK","⚠ Check"))))</f>
        <v/>
      </c>
      <c r="AF216" s="33" t="n"/>
      <c r="AG216" s="33" t="n"/>
      <c r="AH216" s="33" t="n"/>
      <c r="AI216" s="33" t="n"/>
      <c r="AJ216" s="33" t="n"/>
      <c r="AK216" s="33" t="n"/>
      <c r="AL216" s="27" t="n"/>
      <c r="AM216" s="34" t="n"/>
      <c r="AN216" s="35">
        <f>IF(AF216="","",IF(AI216="Yes","❌ Disc",IF(AH216="No","⚠ Missing",IF(AK216="Yes","✓ OK","⚠ Check"))))</f>
        <v/>
      </c>
      <c r="AO216" s="36" t="n"/>
      <c r="AP216" s="36" t="n"/>
      <c r="AQ216" s="36" t="n"/>
      <c r="AR216" s="36" t="n"/>
      <c r="AS216" s="36" t="n"/>
      <c r="AT216" s="36" t="n"/>
      <c r="AU216" s="27" t="n"/>
      <c r="AV216" s="37" t="n"/>
      <c r="AW216" s="38">
        <f>IF(AO216="","",IF(AR216="Yes","❌ Disc",IF(AQ216="No","⚠ Missing",IF(AT216="Yes","✓ OK","⚠ Check"))))</f>
        <v/>
      </c>
    </row>
    <row r="217" ht="18" customHeight="1" s="46">
      <c r="A217" s="23" t="n">
        <v>213</v>
      </c>
      <c r="B217" s="24" t="inlineStr">
        <is>
          <t>BD-HNA-2025-0338</t>
        </is>
      </c>
      <c r="C217" s="25" t="inlineStr">
        <is>
          <t>Bonito Handles - HA-504(D.E-UP) - Black Concealed Handle  - 110mm</t>
        </is>
      </c>
      <c r="D217" s="23" t="inlineStr">
        <is>
          <t>Bonito Handles</t>
        </is>
      </c>
      <c r="E217" s="43" t="n">
        <v>46125</v>
      </c>
      <c r="F217" s="26" t="inlineStr">
        <is>
          <t>Sunil CR</t>
        </is>
      </c>
      <c r="G217" s="44" t="inlineStr">
        <is>
          <t>Represented by Sample</t>
        </is>
      </c>
      <c r="H217" s="26" t="inlineStr">
        <is>
          <t>No</t>
        </is>
      </c>
      <c r="I217" s="44" t="inlineStr">
        <is>
          <t>Represented by Sample</t>
        </is>
      </c>
      <c r="J217" s="26" t="inlineStr">
        <is>
          <t>Yes</t>
        </is>
      </c>
      <c r="K217" s="27" t="n"/>
      <c r="L217" s="28" t="inlineStr">
        <is>
          <t>No</t>
        </is>
      </c>
      <c r="M217" s="29">
        <f>IF(E217="","",IF(H217="Yes","❌ Disc",IF(G217="No","⚠ Missing",IF(J217="Yes","✓ OK","⚠ Check"))))</f>
        <v/>
      </c>
      <c r="N217" s="43" t="n">
        <v>46196</v>
      </c>
      <c r="O217" s="26" t="inlineStr">
        <is>
          <t>Sunil CR</t>
        </is>
      </c>
      <c r="P217" s="44" t="inlineStr">
        <is>
          <t>Represented by Sample</t>
        </is>
      </c>
      <c r="Q217" s="26" t="inlineStr">
        <is>
          <t>No</t>
        </is>
      </c>
      <c r="R217" s="44" t="inlineStr">
        <is>
          <t>Represented by Sample</t>
        </is>
      </c>
      <c r="S217" s="26" t="inlineStr">
        <is>
          <t>Yes</t>
        </is>
      </c>
      <c r="T217" s="27" t="n"/>
      <c r="U217" s="28" t="inlineStr">
        <is>
          <t>No</t>
        </is>
      </c>
      <c r="V217" s="29">
        <f>IF(N217="","",IF(Q217="Yes","❌ Disc",IF(P217="No","⚠ Missing",IF(S217="Yes","✓ OK","⚠ Check"))))</f>
        <v/>
      </c>
      <c r="W217" s="65" t="n">
        <v>46248</v>
      </c>
      <c r="X217" s="30" t="inlineStr">
        <is>
          <t>Sunil CR</t>
        </is>
      </c>
      <c r="Y217" s="30" t="inlineStr">
        <is>
          <t>Represented by Sample</t>
        </is>
      </c>
      <c r="Z217" s="30" t="n"/>
      <c r="AA217" s="30" t="inlineStr">
        <is>
          <t>Represented by Sample</t>
        </is>
      </c>
      <c r="AB217" s="30" t="inlineStr">
        <is>
          <t>Yes</t>
        </is>
      </c>
      <c r="AC217" s="27" t="n"/>
      <c r="AD217" s="31" t="inlineStr">
        <is>
          <t>No</t>
        </is>
      </c>
      <c r="AE217" s="32">
        <f>IF(W217="","",IF(Z217="Yes","❌ Disc",IF(Y217="No","⚠ Missing",IF(AB217="Yes","✓ OK","⚠ Check"))))</f>
        <v/>
      </c>
      <c r="AF217" s="33" t="n"/>
      <c r="AG217" s="33" t="n"/>
      <c r="AH217" s="33" t="n"/>
      <c r="AI217" s="33" t="n"/>
      <c r="AJ217" s="33" t="n"/>
      <c r="AK217" s="33" t="n"/>
      <c r="AL217" s="27" t="n"/>
      <c r="AM217" s="34" t="n"/>
      <c r="AN217" s="35">
        <f>IF(AF217="","",IF(AI217="Yes","❌ Disc",IF(AH217="No","⚠ Missing",IF(AK217="Yes","✓ OK","⚠ Check"))))</f>
        <v/>
      </c>
      <c r="AO217" s="36" t="n"/>
      <c r="AP217" s="36" t="n"/>
      <c r="AQ217" s="36" t="n"/>
      <c r="AR217" s="36" t="n"/>
      <c r="AS217" s="36" t="n"/>
      <c r="AT217" s="36" t="n"/>
      <c r="AU217" s="27" t="n"/>
      <c r="AV217" s="37" t="n"/>
      <c r="AW217" s="38">
        <f>IF(AO217="","",IF(AR217="Yes","❌ Disc",IF(AQ217="No","⚠ Missing",IF(AT217="Yes","✓ OK","⚠ Check"))))</f>
        <v/>
      </c>
    </row>
    <row r="218" ht="18" customHeight="1" s="46">
      <c r="A218" s="39" t="n">
        <v>214</v>
      </c>
      <c r="B218" s="40" t="inlineStr">
        <is>
          <t>BD-HNA-2025-0339</t>
        </is>
      </c>
      <c r="C218" s="41" t="inlineStr">
        <is>
          <t>Bonito Handles - HA-504(D.E-UP) - Black Concealed Handle  - 173mm</t>
        </is>
      </c>
      <c r="D218" s="39" t="inlineStr">
        <is>
          <t>Bonito Handles</t>
        </is>
      </c>
      <c r="E218" s="43" t="n">
        <v>46125</v>
      </c>
      <c r="F218" s="26" t="inlineStr">
        <is>
          <t>Sunil CR</t>
        </is>
      </c>
      <c r="G218" s="44" t="inlineStr">
        <is>
          <t>Represented by Sample</t>
        </is>
      </c>
      <c r="H218" s="26" t="inlineStr">
        <is>
          <t>No</t>
        </is>
      </c>
      <c r="I218" s="44" t="inlineStr">
        <is>
          <t>Represented by Sample</t>
        </is>
      </c>
      <c r="J218" s="26" t="inlineStr">
        <is>
          <t>Yes</t>
        </is>
      </c>
      <c r="K218" s="27" t="n"/>
      <c r="L218" s="28" t="inlineStr">
        <is>
          <t>No</t>
        </is>
      </c>
      <c r="M218" s="29">
        <f>IF(E218="","",IF(H218="Yes","❌ Disc",IF(G218="No","⚠ Missing",IF(J218="Yes","✓ OK","⚠ Check"))))</f>
        <v/>
      </c>
      <c r="N218" s="43" t="n">
        <v>46196</v>
      </c>
      <c r="O218" s="26" t="inlineStr">
        <is>
          <t>Sunil CR</t>
        </is>
      </c>
      <c r="P218" s="44" t="inlineStr">
        <is>
          <t>Represented by Sample</t>
        </is>
      </c>
      <c r="Q218" s="26" t="inlineStr">
        <is>
          <t>No</t>
        </is>
      </c>
      <c r="R218" s="44" t="inlineStr">
        <is>
          <t>Represented by Sample</t>
        </is>
      </c>
      <c r="S218" s="26" t="inlineStr">
        <is>
          <t>Yes</t>
        </is>
      </c>
      <c r="T218" s="27" t="n"/>
      <c r="U218" s="28" t="inlineStr">
        <is>
          <t>No</t>
        </is>
      </c>
      <c r="V218" s="29">
        <f>IF(N218="","",IF(Q218="Yes","❌ Disc",IF(P218="No","⚠ Missing",IF(S218="Yes","✓ OK","⚠ Check"))))</f>
        <v/>
      </c>
      <c r="W218" s="65" t="n">
        <v>46248</v>
      </c>
      <c r="X218" s="30" t="inlineStr">
        <is>
          <t>Sunil CR</t>
        </is>
      </c>
      <c r="Y218" s="30" t="inlineStr">
        <is>
          <t>Represented by Sample</t>
        </is>
      </c>
      <c r="Z218" s="30" t="n"/>
      <c r="AA218" s="30" t="inlineStr">
        <is>
          <t>Represented by Sample</t>
        </is>
      </c>
      <c r="AB218" s="30" t="inlineStr">
        <is>
          <t>Yes</t>
        </is>
      </c>
      <c r="AC218" s="27" t="n"/>
      <c r="AD218" s="31" t="inlineStr">
        <is>
          <t>No</t>
        </is>
      </c>
      <c r="AE218" s="32">
        <f>IF(W218="","",IF(Z218="Yes","❌ Disc",IF(Y218="No","⚠ Missing",IF(AB218="Yes","✓ OK","⚠ Check"))))</f>
        <v/>
      </c>
      <c r="AF218" s="33" t="n"/>
      <c r="AG218" s="33" t="n"/>
      <c r="AH218" s="33" t="n"/>
      <c r="AI218" s="33" t="n"/>
      <c r="AJ218" s="33" t="n"/>
      <c r="AK218" s="33" t="n"/>
      <c r="AL218" s="27" t="n"/>
      <c r="AM218" s="34" t="n"/>
      <c r="AN218" s="35">
        <f>IF(AF218="","",IF(AI218="Yes","❌ Disc",IF(AH218="No","⚠ Missing",IF(AK218="Yes","✓ OK","⚠ Check"))))</f>
        <v/>
      </c>
      <c r="AO218" s="36" t="n"/>
      <c r="AP218" s="36" t="n"/>
      <c r="AQ218" s="36" t="n"/>
      <c r="AR218" s="36" t="n"/>
      <c r="AS218" s="36" t="n"/>
      <c r="AT218" s="36" t="n"/>
      <c r="AU218" s="27" t="n"/>
      <c r="AV218" s="37" t="n"/>
      <c r="AW218" s="38">
        <f>IF(AO218="","",IF(AR218="Yes","❌ Disc",IF(AQ218="No","⚠ Missing",IF(AT218="Yes","✓ OK","⚠ Check"))))</f>
        <v/>
      </c>
    </row>
    <row r="219" ht="18" customHeight="1" s="46">
      <c r="A219" s="23" t="n">
        <v>215</v>
      </c>
      <c r="B219" s="24" t="inlineStr">
        <is>
          <t>BD-HNA-2025-0336</t>
        </is>
      </c>
      <c r="C219" s="25" t="inlineStr">
        <is>
          <t>Bonito Handles - HA-504(D.E-UP) - Rose Gold Concealed Handle  - 110mm</t>
        </is>
      </c>
      <c r="D219" s="23" t="inlineStr">
        <is>
          <t>Bonito Handles</t>
        </is>
      </c>
      <c r="E219" s="43" t="n">
        <v>46125</v>
      </c>
      <c r="F219" s="26" t="inlineStr">
        <is>
          <t>Sunil CR</t>
        </is>
      </c>
      <c r="G219" s="44" t="inlineStr">
        <is>
          <t>Represented by Sample</t>
        </is>
      </c>
      <c r="H219" s="26" t="inlineStr">
        <is>
          <t>No</t>
        </is>
      </c>
      <c r="I219" s="44" t="inlineStr">
        <is>
          <t>Represented by Sample</t>
        </is>
      </c>
      <c r="J219" s="26" t="inlineStr">
        <is>
          <t>Yes</t>
        </is>
      </c>
      <c r="K219" s="27" t="n"/>
      <c r="L219" s="28" t="inlineStr">
        <is>
          <t>No</t>
        </is>
      </c>
      <c r="M219" s="29">
        <f>IF(E219="","",IF(H219="Yes","❌ Disc",IF(G219="No","⚠ Missing",IF(J219="Yes","✓ OK","⚠ Check"))))</f>
        <v/>
      </c>
      <c r="N219" s="43" t="n">
        <v>46196</v>
      </c>
      <c r="O219" s="26" t="inlineStr">
        <is>
          <t>Sunil CR</t>
        </is>
      </c>
      <c r="P219" s="44" t="inlineStr">
        <is>
          <t>Represented by Sample</t>
        </is>
      </c>
      <c r="Q219" s="26" t="inlineStr">
        <is>
          <t>No</t>
        </is>
      </c>
      <c r="R219" s="44" t="inlineStr">
        <is>
          <t>Represented by Sample</t>
        </is>
      </c>
      <c r="S219" s="26" t="inlineStr">
        <is>
          <t>Yes</t>
        </is>
      </c>
      <c r="T219" s="27" t="n"/>
      <c r="U219" s="28" t="inlineStr">
        <is>
          <t>No</t>
        </is>
      </c>
      <c r="V219" s="29">
        <f>IF(N219="","",IF(Q219="Yes","❌ Disc",IF(P219="No","⚠ Missing",IF(S219="Yes","✓ OK","⚠ Check"))))</f>
        <v/>
      </c>
      <c r="W219" s="65" t="n">
        <v>46248</v>
      </c>
      <c r="X219" s="30" t="inlineStr">
        <is>
          <t>Sunil CR</t>
        </is>
      </c>
      <c r="Y219" s="30" t="inlineStr">
        <is>
          <t>Represented by Sample</t>
        </is>
      </c>
      <c r="Z219" s="30" t="n"/>
      <c r="AA219" s="30" t="inlineStr">
        <is>
          <t>Represented by Sample</t>
        </is>
      </c>
      <c r="AB219" s="30" t="inlineStr">
        <is>
          <t>Yes</t>
        </is>
      </c>
      <c r="AC219" s="27" t="n"/>
      <c r="AD219" s="31" t="inlineStr">
        <is>
          <t>No</t>
        </is>
      </c>
      <c r="AE219" s="32">
        <f>IF(W219="","",IF(Z219="Yes","❌ Disc",IF(Y219="No","⚠ Missing",IF(AB219="Yes","✓ OK","⚠ Check"))))</f>
        <v/>
      </c>
      <c r="AF219" s="33" t="n"/>
      <c r="AG219" s="33" t="n"/>
      <c r="AH219" s="33" t="n"/>
      <c r="AI219" s="33" t="n"/>
      <c r="AJ219" s="33" t="n"/>
      <c r="AK219" s="33" t="n"/>
      <c r="AL219" s="27" t="n"/>
      <c r="AM219" s="34" t="n"/>
      <c r="AN219" s="35">
        <f>IF(AF219="","",IF(AI219="Yes","❌ Disc",IF(AH219="No","⚠ Missing",IF(AK219="Yes","✓ OK","⚠ Check"))))</f>
        <v/>
      </c>
      <c r="AO219" s="36" t="n"/>
      <c r="AP219" s="36" t="n"/>
      <c r="AQ219" s="36" t="n"/>
      <c r="AR219" s="36" t="n"/>
      <c r="AS219" s="36" t="n"/>
      <c r="AT219" s="36" t="n"/>
      <c r="AU219" s="27" t="n"/>
      <c r="AV219" s="37" t="n"/>
      <c r="AW219" s="38">
        <f>IF(AO219="","",IF(AR219="Yes","❌ Disc",IF(AQ219="No","⚠ Missing",IF(AT219="Yes","✓ OK","⚠ Check"))))</f>
        <v/>
      </c>
    </row>
    <row r="220" ht="18" customHeight="1" s="46">
      <c r="A220" s="39" t="n">
        <v>216</v>
      </c>
      <c r="B220" s="40" t="inlineStr">
        <is>
          <t>BD-HNA-2025-0337</t>
        </is>
      </c>
      <c r="C220" s="41" t="inlineStr">
        <is>
          <t>Bonito Handles - HA-504(D.E-UP) - Rose Gold Concealed Handle  - 173mm</t>
        </is>
      </c>
      <c r="D220" s="39" t="inlineStr">
        <is>
          <t>Bonito Handles</t>
        </is>
      </c>
      <c r="E220" s="43" t="n">
        <v>46125</v>
      </c>
      <c r="F220" s="26" t="inlineStr">
        <is>
          <t>Sunil CR</t>
        </is>
      </c>
      <c r="G220" s="44" t="inlineStr">
        <is>
          <t>Represented by Sample</t>
        </is>
      </c>
      <c r="H220" s="26" t="inlineStr">
        <is>
          <t>No</t>
        </is>
      </c>
      <c r="I220" s="44" t="inlineStr">
        <is>
          <t>Represented by Sample</t>
        </is>
      </c>
      <c r="J220" s="26" t="inlineStr">
        <is>
          <t>Yes</t>
        </is>
      </c>
      <c r="K220" s="27" t="n"/>
      <c r="L220" s="28" t="inlineStr">
        <is>
          <t>No</t>
        </is>
      </c>
      <c r="M220" s="29">
        <f>IF(E220="","",IF(H220="Yes","❌ Disc",IF(G220="No","⚠ Missing",IF(J220="Yes","✓ OK","⚠ Check"))))</f>
        <v/>
      </c>
      <c r="N220" s="43" t="n">
        <v>46196</v>
      </c>
      <c r="O220" s="26" t="inlineStr">
        <is>
          <t>Sunil CR</t>
        </is>
      </c>
      <c r="P220" s="44" t="inlineStr">
        <is>
          <t>Represented by Sample</t>
        </is>
      </c>
      <c r="Q220" s="26" t="inlineStr">
        <is>
          <t>No</t>
        </is>
      </c>
      <c r="R220" s="44" t="inlineStr">
        <is>
          <t>Represented by Sample</t>
        </is>
      </c>
      <c r="S220" s="26" t="inlineStr">
        <is>
          <t>Yes</t>
        </is>
      </c>
      <c r="T220" s="27" t="n"/>
      <c r="U220" s="28" t="inlineStr">
        <is>
          <t>No</t>
        </is>
      </c>
      <c r="V220" s="29">
        <f>IF(N220="","",IF(Q220="Yes","❌ Disc",IF(P220="No","⚠ Missing",IF(S220="Yes","✓ OK","⚠ Check"))))</f>
        <v/>
      </c>
      <c r="W220" s="65" t="n">
        <v>46248</v>
      </c>
      <c r="X220" s="30" t="inlineStr">
        <is>
          <t>Sunil CR</t>
        </is>
      </c>
      <c r="Y220" s="30" t="inlineStr">
        <is>
          <t>Represented by Sample</t>
        </is>
      </c>
      <c r="Z220" s="30" t="n"/>
      <c r="AA220" s="30" t="inlineStr">
        <is>
          <t>Represented by Sample</t>
        </is>
      </c>
      <c r="AB220" s="30" t="inlineStr">
        <is>
          <t>Yes</t>
        </is>
      </c>
      <c r="AC220" s="27" t="n"/>
      <c r="AD220" s="31" t="inlineStr">
        <is>
          <t>No</t>
        </is>
      </c>
      <c r="AE220" s="32">
        <f>IF(W220="","",IF(Z220="Yes","❌ Disc",IF(Y220="No","⚠ Missing",IF(AB220="Yes","✓ OK","⚠ Check"))))</f>
        <v/>
      </c>
      <c r="AF220" s="33" t="n"/>
      <c r="AG220" s="33" t="n"/>
      <c r="AH220" s="33" t="n"/>
      <c r="AI220" s="33" t="n"/>
      <c r="AJ220" s="33" t="n"/>
      <c r="AK220" s="33" t="n"/>
      <c r="AL220" s="27" t="n"/>
      <c r="AM220" s="34" t="n"/>
      <c r="AN220" s="35">
        <f>IF(AF220="","",IF(AI220="Yes","❌ Disc",IF(AH220="No","⚠ Missing",IF(AK220="Yes","✓ OK","⚠ Check"))))</f>
        <v/>
      </c>
      <c r="AO220" s="36" t="n"/>
      <c r="AP220" s="36" t="n"/>
      <c r="AQ220" s="36" t="n"/>
      <c r="AR220" s="36" t="n"/>
      <c r="AS220" s="36" t="n"/>
      <c r="AT220" s="36" t="n"/>
      <c r="AU220" s="27" t="n"/>
      <c r="AV220" s="37" t="n"/>
      <c r="AW220" s="38">
        <f>IF(AO220="","",IF(AR220="Yes","❌ Disc",IF(AQ220="No","⚠ Missing",IF(AT220="Yes","✓ OK","⚠ Check"))))</f>
        <v/>
      </c>
    </row>
    <row r="221" ht="18" customHeight="1" s="46">
      <c r="A221" s="23" t="n">
        <v>217</v>
      </c>
      <c r="B221" s="24" t="inlineStr">
        <is>
          <t>BD-HNA-2025-0432</t>
        </is>
      </c>
      <c r="C221" s="25" t="inlineStr">
        <is>
          <t>Bonito Handles - HA-7066(D.E -UP) - Anodized Brass and Gold Knob - 42x42mm</t>
        </is>
      </c>
      <c r="D221" s="23" t="inlineStr">
        <is>
          <t>Bonito Handles</t>
        </is>
      </c>
      <c r="E221" s="43" t="n">
        <v>46125</v>
      </c>
      <c r="F221" s="26" t="inlineStr">
        <is>
          <t>Sunil CR</t>
        </is>
      </c>
      <c r="G221" s="44" t="inlineStr">
        <is>
          <t>Represented by Sample</t>
        </is>
      </c>
      <c r="H221" s="26" t="inlineStr">
        <is>
          <t>No</t>
        </is>
      </c>
      <c r="I221" s="44" t="inlineStr">
        <is>
          <t>Represented by Sample</t>
        </is>
      </c>
      <c r="J221" s="26" t="inlineStr">
        <is>
          <t>Yes</t>
        </is>
      </c>
      <c r="K221" s="27" t="n"/>
      <c r="L221" s="28" t="inlineStr">
        <is>
          <t>No</t>
        </is>
      </c>
      <c r="M221" s="29">
        <f>IF(E221="","",IF(H221="Yes","❌ Disc",IF(G221="No","⚠ Missing",IF(J221="Yes","✓ OK","⚠ Check"))))</f>
        <v/>
      </c>
      <c r="N221" s="43" t="n">
        <v>46196</v>
      </c>
      <c r="O221" s="26" t="inlineStr">
        <is>
          <t>Sunil CR</t>
        </is>
      </c>
      <c r="P221" s="44" t="inlineStr">
        <is>
          <t>Represented by Sample</t>
        </is>
      </c>
      <c r="Q221" s="26" t="inlineStr">
        <is>
          <t>No</t>
        </is>
      </c>
      <c r="R221" s="44" t="inlineStr">
        <is>
          <t>Represented by Sample</t>
        </is>
      </c>
      <c r="S221" s="26" t="inlineStr">
        <is>
          <t>Yes</t>
        </is>
      </c>
      <c r="T221" s="27" t="n"/>
      <c r="U221" s="28" t="inlineStr">
        <is>
          <t>No</t>
        </is>
      </c>
      <c r="V221" s="29">
        <f>IF(N221="","",IF(Q221="Yes","❌ Disc",IF(P221="No","⚠ Missing",IF(S221="Yes","✓ OK","⚠ Check"))))</f>
        <v/>
      </c>
      <c r="W221" s="65" t="n">
        <v>46248</v>
      </c>
      <c r="X221" s="30" t="inlineStr">
        <is>
          <t>Sunil CR</t>
        </is>
      </c>
      <c r="Y221" s="30" t="inlineStr">
        <is>
          <t>Represented by Sample</t>
        </is>
      </c>
      <c r="Z221" s="30" t="n"/>
      <c r="AA221" s="30" t="inlineStr">
        <is>
          <t>Represented by Sample</t>
        </is>
      </c>
      <c r="AB221" s="30" t="inlineStr">
        <is>
          <t>Yes</t>
        </is>
      </c>
      <c r="AC221" s="27" t="n"/>
      <c r="AD221" s="31" t="inlineStr">
        <is>
          <t>No</t>
        </is>
      </c>
      <c r="AE221" s="32">
        <f>IF(W221="","",IF(Z221="Yes","❌ Disc",IF(Y221="No","⚠ Missing",IF(AB221="Yes","✓ OK","⚠ Check"))))</f>
        <v/>
      </c>
      <c r="AF221" s="33" t="n"/>
      <c r="AG221" s="33" t="n"/>
      <c r="AH221" s="33" t="n"/>
      <c r="AI221" s="33" t="n"/>
      <c r="AJ221" s="33" t="n"/>
      <c r="AK221" s="33" t="n"/>
      <c r="AL221" s="27" t="n"/>
      <c r="AM221" s="34" t="n"/>
      <c r="AN221" s="35">
        <f>IF(AF221="","",IF(AI221="Yes","❌ Disc",IF(AH221="No","⚠ Missing",IF(AK221="Yes","✓ OK","⚠ Check"))))</f>
        <v/>
      </c>
      <c r="AO221" s="36" t="n"/>
      <c r="AP221" s="36" t="n"/>
      <c r="AQ221" s="36" t="n"/>
      <c r="AR221" s="36" t="n"/>
      <c r="AS221" s="36" t="n"/>
      <c r="AT221" s="36" t="n"/>
      <c r="AU221" s="27" t="n"/>
      <c r="AV221" s="37" t="n"/>
      <c r="AW221" s="38">
        <f>IF(AO221="","",IF(AR221="Yes","❌ Disc",IF(AQ221="No","⚠ Missing",IF(AT221="Yes","✓ OK","⚠ Check"))))</f>
        <v/>
      </c>
    </row>
    <row r="222" ht="18" customHeight="1" s="46">
      <c r="A222" s="39" t="n">
        <v>218</v>
      </c>
      <c r="B222" s="40" t="inlineStr">
        <is>
          <t>BD-HNA-2025-0429</t>
        </is>
      </c>
      <c r="C222" s="41" t="inlineStr">
        <is>
          <t>Bonito Handles - HA-7066(D.E -UP) - Black and Satin Knob - 42x42mm</t>
        </is>
      </c>
      <c r="D222" s="39" t="inlineStr">
        <is>
          <t>Bonito Handles</t>
        </is>
      </c>
      <c r="E222" s="43" t="n">
        <v>46125</v>
      </c>
      <c r="F222" s="26" t="inlineStr">
        <is>
          <t>Sunil CR</t>
        </is>
      </c>
      <c r="G222" s="44" t="inlineStr">
        <is>
          <t>Represented by Sample</t>
        </is>
      </c>
      <c r="H222" s="26" t="inlineStr">
        <is>
          <t>No</t>
        </is>
      </c>
      <c r="I222" s="44" t="inlineStr">
        <is>
          <t>Represented by Sample</t>
        </is>
      </c>
      <c r="J222" s="26" t="inlineStr">
        <is>
          <t>Yes</t>
        </is>
      </c>
      <c r="K222" s="27" t="n"/>
      <c r="L222" s="28" t="inlineStr">
        <is>
          <t>No</t>
        </is>
      </c>
      <c r="M222" s="29">
        <f>IF(E222="","",IF(H222="Yes","❌ Disc",IF(G222="No","⚠ Missing",IF(J222="Yes","✓ OK","⚠ Check"))))</f>
        <v/>
      </c>
      <c r="N222" s="43" t="n">
        <v>46196</v>
      </c>
      <c r="O222" s="26" t="inlineStr">
        <is>
          <t>Sunil CR</t>
        </is>
      </c>
      <c r="P222" s="44" t="inlineStr">
        <is>
          <t>Represented by Sample</t>
        </is>
      </c>
      <c r="Q222" s="26" t="inlineStr">
        <is>
          <t>No</t>
        </is>
      </c>
      <c r="R222" s="44" t="inlineStr">
        <is>
          <t>Represented by Sample</t>
        </is>
      </c>
      <c r="S222" s="26" t="inlineStr">
        <is>
          <t>Yes</t>
        </is>
      </c>
      <c r="T222" s="27" t="n"/>
      <c r="U222" s="28" t="inlineStr">
        <is>
          <t>No</t>
        </is>
      </c>
      <c r="V222" s="29">
        <f>IF(N222="","",IF(Q222="Yes","❌ Disc",IF(P222="No","⚠ Missing",IF(S222="Yes","✓ OK","⚠ Check"))))</f>
        <v/>
      </c>
      <c r="W222" s="65" t="n">
        <v>46248</v>
      </c>
      <c r="X222" s="30" t="inlineStr">
        <is>
          <t>Sunil CR</t>
        </is>
      </c>
      <c r="Y222" s="30" t="inlineStr">
        <is>
          <t>Represented by Sample</t>
        </is>
      </c>
      <c r="Z222" s="30" t="n"/>
      <c r="AA222" s="30" t="inlineStr">
        <is>
          <t>Represented by Sample</t>
        </is>
      </c>
      <c r="AB222" s="30" t="inlineStr">
        <is>
          <t>Yes</t>
        </is>
      </c>
      <c r="AC222" s="27" t="n"/>
      <c r="AD222" s="31" t="inlineStr">
        <is>
          <t>No</t>
        </is>
      </c>
      <c r="AE222" s="32">
        <f>IF(W222="","",IF(Z222="Yes","❌ Disc",IF(Y222="No","⚠ Missing",IF(AB222="Yes","✓ OK","⚠ Check"))))</f>
        <v/>
      </c>
      <c r="AF222" s="33" t="n"/>
      <c r="AG222" s="33" t="n"/>
      <c r="AH222" s="33" t="n"/>
      <c r="AI222" s="33" t="n"/>
      <c r="AJ222" s="33" t="n"/>
      <c r="AK222" s="33" t="n"/>
      <c r="AL222" s="27" t="n"/>
      <c r="AM222" s="34" t="n"/>
      <c r="AN222" s="35">
        <f>IF(AF222="","",IF(AI222="Yes","❌ Disc",IF(AH222="No","⚠ Missing",IF(AK222="Yes","✓ OK","⚠ Check"))))</f>
        <v/>
      </c>
      <c r="AO222" s="36" t="n"/>
      <c r="AP222" s="36" t="n"/>
      <c r="AQ222" s="36" t="n"/>
      <c r="AR222" s="36" t="n"/>
      <c r="AS222" s="36" t="n"/>
      <c r="AT222" s="36" t="n"/>
      <c r="AU222" s="27" t="n"/>
      <c r="AV222" s="37" t="n"/>
      <c r="AW222" s="38">
        <f>IF(AO222="","",IF(AR222="Yes","❌ Disc",IF(AQ222="No","⚠ Missing",IF(AT222="Yes","✓ OK","⚠ Check"))))</f>
        <v/>
      </c>
    </row>
    <row r="223" ht="18" customHeight="1" s="46">
      <c r="A223" s="23" t="n">
        <v>219</v>
      </c>
      <c r="B223" s="24" t="inlineStr">
        <is>
          <t>BD-HNA-2025-0430</t>
        </is>
      </c>
      <c r="C223" s="25" t="inlineStr">
        <is>
          <t>Bonito Handles - HA-7066(D.E -UP) - Black Knob - 42x42mm</t>
        </is>
      </c>
      <c r="D223" s="23" t="inlineStr">
        <is>
          <t>Bonito Handles</t>
        </is>
      </c>
      <c r="E223" s="43" t="n">
        <v>46125</v>
      </c>
      <c r="F223" s="26" t="inlineStr">
        <is>
          <t>Sunil CR</t>
        </is>
      </c>
      <c r="G223" s="44" t="inlineStr">
        <is>
          <t>Represented by Sample</t>
        </is>
      </c>
      <c r="H223" s="26" t="inlineStr">
        <is>
          <t>No</t>
        </is>
      </c>
      <c r="I223" s="44" t="inlineStr">
        <is>
          <t>Represented by Sample</t>
        </is>
      </c>
      <c r="J223" s="26" t="inlineStr">
        <is>
          <t>Yes</t>
        </is>
      </c>
      <c r="K223" s="27" t="n"/>
      <c r="L223" s="28" t="inlineStr">
        <is>
          <t>No</t>
        </is>
      </c>
      <c r="M223" s="29">
        <f>IF(E223="","",IF(H223="Yes","❌ Disc",IF(G223="No","⚠ Missing",IF(J223="Yes","✓ OK","⚠ Check"))))</f>
        <v/>
      </c>
      <c r="N223" s="43" t="n">
        <v>46196</v>
      </c>
      <c r="O223" s="26" t="inlineStr">
        <is>
          <t>Sunil CR</t>
        </is>
      </c>
      <c r="P223" s="44" t="inlineStr">
        <is>
          <t>Represented by Sample</t>
        </is>
      </c>
      <c r="Q223" s="26" t="inlineStr">
        <is>
          <t>No</t>
        </is>
      </c>
      <c r="R223" s="44" t="inlineStr">
        <is>
          <t>Represented by Sample</t>
        </is>
      </c>
      <c r="S223" s="26" t="inlineStr">
        <is>
          <t>Yes</t>
        </is>
      </c>
      <c r="T223" s="27" t="n"/>
      <c r="U223" s="28" t="inlineStr">
        <is>
          <t>No</t>
        </is>
      </c>
      <c r="V223" s="29">
        <f>IF(N223="","",IF(Q223="Yes","❌ Disc",IF(P223="No","⚠ Missing",IF(S223="Yes","✓ OK","⚠ Check"))))</f>
        <v/>
      </c>
      <c r="W223" s="65" t="n">
        <v>46248</v>
      </c>
      <c r="X223" s="30" t="inlineStr">
        <is>
          <t>Sunil CR</t>
        </is>
      </c>
      <c r="Y223" s="30" t="inlineStr">
        <is>
          <t>Represented by Sample</t>
        </is>
      </c>
      <c r="Z223" s="30" t="n"/>
      <c r="AA223" s="30" t="inlineStr">
        <is>
          <t>Represented by Sample</t>
        </is>
      </c>
      <c r="AB223" s="30" t="inlineStr">
        <is>
          <t>Yes</t>
        </is>
      </c>
      <c r="AC223" s="27" t="n"/>
      <c r="AD223" s="31" t="inlineStr">
        <is>
          <t>No</t>
        </is>
      </c>
      <c r="AE223" s="32">
        <f>IF(W223="","",IF(Z223="Yes","❌ Disc",IF(Y223="No","⚠ Missing",IF(AB223="Yes","✓ OK","⚠ Check"))))</f>
        <v/>
      </c>
      <c r="AF223" s="33" t="n"/>
      <c r="AG223" s="33" t="n"/>
      <c r="AH223" s="33" t="n"/>
      <c r="AI223" s="33" t="n"/>
      <c r="AJ223" s="33" t="n"/>
      <c r="AK223" s="33" t="n"/>
      <c r="AL223" s="27" t="n"/>
      <c r="AM223" s="34" t="n"/>
      <c r="AN223" s="35">
        <f>IF(AF223="","",IF(AI223="Yes","❌ Disc",IF(AH223="No","⚠ Missing",IF(AK223="Yes","✓ OK","⚠ Check"))))</f>
        <v/>
      </c>
      <c r="AO223" s="36" t="n"/>
      <c r="AP223" s="36" t="n"/>
      <c r="AQ223" s="36" t="n"/>
      <c r="AR223" s="36" t="n"/>
      <c r="AS223" s="36" t="n"/>
      <c r="AT223" s="36" t="n"/>
      <c r="AU223" s="27" t="n"/>
      <c r="AV223" s="37" t="n"/>
      <c r="AW223" s="38">
        <f>IF(AO223="","",IF(AR223="Yes","❌ Disc",IF(AQ223="No","⚠ Missing",IF(AT223="Yes","✓ OK","⚠ Check"))))</f>
        <v/>
      </c>
    </row>
    <row r="224" ht="18" customHeight="1" s="46">
      <c r="A224" s="39" t="n">
        <v>220</v>
      </c>
      <c r="B224" s="40" t="inlineStr">
        <is>
          <t>BD-HNA-2025-0431</t>
        </is>
      </c>
      <c r="C224" s="41" t="inlineStr">
        <is>
          <t>Bonito Handles - HA-7066(D.E -UP) - Rose Gold Knob - 42x42mm</t>
        </is>
      </c>
      <c r="D224" s="39" t="inlineStr">
        <is>
          <t>Bonito Handles</t>
        </is>
      </c>
      <c r="E224" s="43" t="n">
        <v>46125</v>
      </c>
      <c r="F224" s="26" t="inlineStr">
        <is>
          <t>Sunil CR</t>
        </is>
      </c>
      <c r="G224" s="44" t="inlineStr">
        <is>
          <t>Yes</t>
        </is>
      </c>
      <c r="H224" s="26" t="inlineStr">
        <is>
          <t>No</t>
        </is>
      </c>
      <c r="I224" s="44" t="inlineStr">
        <is>
          <t>Good finish</t>
        </is>
      </c>
      <c r="J224" s="26" t="inlineStr">
        <is>
          <t>Yes</t>
        </is>
      </c>
      <c r="K224" s="27" t="n"/>
      <c r="L224" s="28" t="inlineStr">
        <is>
          <t>No</t>
        </is>
      </c>
      <c r="M224" s="29">
        <f>IF(E224="","",IF(H224="Yes","❌ Disc",IF(G224="No","⚠ Missing",IF(J224="Yes","✓ OK","⚠ Check"))))</f>
        <v/>
      </c>
      <c r="N224" s="43" t="n">
        <v>46196</v>
      </c>
      <c r="O224" s="26" t="inlineStr">
        <is>
          <t>Sunil CR</t>
        </is>
      </c>
      <c r="P224" s="44" t="inlineStr">
        <is>
          <t>Yes</t>
        </is>
      </c>
      <c r="Q224" s="26" t="inlineStr">
        <is>
          <t>No</t>
        </is>
      </c>
      <c r="R224" s="44" t="inlineStr">
        <is>
          <t>Good finish</t>
        </is>
      </c>
      <c r="S224" s="26" t="inlineStr">
        <is>
          <t>Yes</t>
        </is>
      </c>
      <c r="T224" s="27" t="n"/>
      <c r="U224" s="28" t="inlineStr">
        <is>
          <t>No</t>
        </is>
      </c>
      <c r="V224" s="29">
        <f>IF(N224="","",IF(Q224="Yes","❌ Disc",IF(P224="No","⚠ Missing",IF(S224="Yes","✓ OK","⚠ Check"))))</f>
        <v/>
      </c>
      <c r="W224" s="65" t="n">
        <v>46248</v>
      </c>
      <c r="X224" s="30" t="inlineStr">
        <is>
          <t>Sunil CR</t>
        </is>
      </c>
      <c r="Y224" s="30" t="inlineStr">
        <is>
          <t>Yes</t>
        </is>
      </c>
      <c r="Z224" s="30" t="n"/>
      <c r="AA224" s="30" t="inlineStr">
        <is>
          <t>Good finish</t>
        </is>
      </c>
      <c r="AB224" s="30" t="inlineStr">
        <is>
          <t>Yes</t>
        </is>
      </c>
      <c r="AC224" s="27" t="n"/>
      <c r="AD224" s="31" t="inlineStr">
        <is>
          <t>No</t>
        </is>
      </c>
      <c r="AE224" s="32">
        <f>IF(W224="","",IF(Z224="Yes","❌ Disc",IF(Y224="No","⚠ Missing",IF(AB224="Yes","✓ OK","⚠ Check"))))</f>
        <v/>
      </c>
      <c r="AF224" s="33" t="n"/>
      <c r="AG224" s="33" t="n"/>
      <c r="AH224" s="33" t="n"/>
      <c r="AI224" s="33" t="n"/>
      <c r="AJ224" s="33" t="n"/>
      <c r="AK224" s="33" t="n"/>
      <c r="AL224" s="27" t="n"/>
      <c r="AM224" s="34" t="n"/>
      <c r="AN224" s="35">
        <f>IF(AF224="","",IF(AI224="Yes","❌ Disc",IF(AH224="No","⚠ Missing",IF(AK224="Yes","✓ OK","⚠ Check"))))</f>
        <v/>
      </c>
      <c r="AO224" s="36" t="n"/>
      <c r="AP224" s="36" t="n"/>
      <c r="AQ224" s="36" t="n"/>
      <c r="AR224" s="36" t="n"/>
      <c r="AS224" s="36" t="n"/>
      <c r="AT224" s="36" t="n"/>
      <c r="AU224" s="27" t="n"/>
      <c r="AV224" s="37" t="n"/>
      <c r="AW224" s="38">
        <f>IF(AO224="","",IF(AR224="Yes","❌ Disc",IF(AQ224="No","⚠ Missing",IF(AT224="Yes","✓ OK","⚠ Check"))))</f>
        <v/>
      </c>
    </row>
    <row r="225" ht="18" customHeight="1" s="46">
      <c r="A225" s="23" t="n">
        <v>221</v>
      </c>
      <c r="B225" s="24" t="inlineStr">
        <is>
          <t>BD-HNA-2025-0096</t>
        </is>
      </c>
      <c r="C225" s="25" t="inlineStr">
        <is>
          <t>Bonito Handles - LEAF(S.H-ZP) - Black Handle  - 305mm</t>
        </is>
      </c>
      <c r="D225" s="23" t="inlineStr">
        <is>
          <t>Bonito Handles</t>
        </is>
      </c>
      <c r="E225" s="43" t="n">
        <v>46125</v>
      </c>
      <c r="F225" s="26" t="inlineStr">
        <is>
          <t>Sunil CR</t>
        </is>
      </c>
      <c r="G225" s="44" t="inlineStr">
        <is>
          <t>Represented by Sample</t>
        </is>
      </c>
      <c r="H225" s="26" t="inlineStr">
        <is>
          <t>No</t>
        </is>
      </c>
      <c r="I225" s="44" t="inlineStr">
        <is>
          <t>Represented by Sample</t>
        </is>
      </c>
      <c r="J225" s="26" t="inlineStr">
        <is>
          <t>Yes</t>
        </is>
      </c>
      <c r="K225" s="27" t="n"/>
      <c r="L225" s="28" t="inlineStr">
        <is>
          <t>No</t>
        </is>
      </c>
      <c r="M225" s="29">
        <f>IF(E225="","",IF(H225="Yes","❌ Disc",IF(G225="No","⚠ Missing",IF(J225="Yes","✓ OK","⚠ Check"))))</f>
        <v/>
      </c>
      <c r="N225" s="43" t="n">
        <v>46196</v>
      </c>
      <c r="O225" s="26" t="inlineStr">
        <is>
          <t>Sunil CR</t>
        </is>
      </c>
      <c r="P225" s="44" t="inlineStr">
        <is>
          <t>Represented by Sample</t>
        </is>
      </c>
      <c r="Q225" s="26" t="inlineStr">
        <is>
          <t>No</t>
        </is>
      </c>
      <c r="R225" s="44" t="inlineStr">
        <is>
          <t>Represented by Sample</t>
        </is>
      </c>
      <c r="S225" s="26" t="inlineStr">
        <is>
          <t>Yes</t>
        </is>
      </c>
      <c r="T225" s="27" t="n"/>
      <c r="U225" s="28" t="inlineStr">
        <is>
          <t>No</t>
        </is>
      </c>
      <c r="V225" s="29">
        <f>IF(N225="","",IF(Q225="Yes","❌ Disc",IF(P225="No","⚠ Missing",IF(S225="Yes","✓ OK","⚠ Check"))))</f>
        <v/>
      </c>
      <c r="W225" s="65" t="n">
        <v>46248</v>
      </c>
      <c r="X225" s="30" t="inlineStr">
        <is>
          <t>Sunil CR</t>
        </is>
      </c>
      <c r="Y225" s="30" t="inlineStr">
        <is>
          <t>Represented by Sample</t>
        </is>
      </c>
      <c r="Z225" s="30" t="n"/>
      <c r="AA225" s="30" t="inlineStr">
        <is>
          <t>Represented by Sample</t>
        </is>
      </c>
      <c r="AB225" s="30" t="inlineStr">
        <is>
          <t>Yes</t>
        </is>
      </c>
      <c r="AC225" s="27" t="n"/>
      <c r="AD225" s="31" t="inlineStr">
        <is>
          <t>No</t>
        </is>
      </c>
      <c r="AE225" s="32">
        <f>IF(W225="","",IF(Z225="Yes","❌ Disc",IF(Y225="No","⚠ Missing",IF(AB225="Yes","✓ OK","⚠ Check"))))</f>
        <v/>
      </c>
      <c r="AF225" s="33" t="n"/>
      <c r="AG225" s="33" t="n"/>
      <c r="AH225" s="33" t="n"/>
      <c r="AI225" s="33" t="n"/>
      <c r="AJ225" s="33" t="n"/>
      <c r="AK225" s="33" t="n"/>
      <c r="AL225" s="27" t="n"/>
      <c r="AM225" s="34" t="n"/>
      <c r="AN225" s="35">
        <f>IF(AF225="","",IF(AI225="Yes","❌ Disc",IF(AH225="No","⚠ Missing",IF(AK225="Yes","✓ OK","⚠ Check"))))</f>
        <v/>
      </c>
      <c r="AO225" s="36" t="n"/>
      <c r="AP225" s="36" t="n"/>
      <c r="AQ225" s="36" t="n"/>
      <c r="AR225" s="36" t="n"/>
      <c r="AS225" s="36" t="n"/>
      <c r="AT225" s="36" t="n"/>
      <c r="AU225" s="27" t="n"/>
      <c r="AV225" s="37" t="n"/>
      <c r="AW225" s="38">
        <f>IF(AO225="","",IF(AR225="Yes","❌ Disc",IF(AQ225="No","⚠ Missing",IF(AT225="Yes","✓ OK","⚠ Check"))))</f>
        <v/>
      </c>
    </row>
    <row r="226" ht="18" customHeight="1" s="46">
      <c r="A226" s="39" t="n">
        <v>222</v>
      </c>
      <c r="B226" s="40" t="inlineStr">
        <is>
          <t>BD-HNA-2025-0097</t>
        </is>
      </c>
      <c r="C226" s="41" t="inlineStr">
        <is>
          <t>Bonito Handles - LEAF(S.H-ZP) - Black Handle  - 470mm</t>
        </is>
      </c>
      <c r="D226" s="39" t="inlineStr">
        <is>
          <t>Bonito Handles</t>
        </is>
      </c>
      <c r="E226" s="43" t="n">
        <v>46125</v>
      </c>
      <c r="F226" s="26" t="inlineStr">
        <is>
          <t>Sunil CR</t>
        </is>
      </c>
      <c r="G226" s="44" t="inlineStr">
        <is>
          <t>Represented by Sample</t>
        </is>
      </c>
      <c r="H226" s="26" t="inlineStr">
        <is>
          <t>No</t>
        </is>
      </c>
      <c r="I226" s="44" t="inlineStr">
        <is>
          <t>Represented by Sample</t>
        </is>
      </c>
      <c r="J226" s="26" t="inlineStr">
        <is>
          <t>Yes</t>
        </is>
      </c>
      <c r="K226" s="27" t="n"/>
      <c r="L226" s="28" t="inlineStr">
        <is>
          <t>No</t>
        </is>
      </c>
      <c r="M226" s="29">
        <f>IF(E226="","",IF(H226="Yes","❌ Disc",IF(G226="No","⚠ Missing",IF(J226="Yes","✓ OK","⚠ Check"))))</f>
        <v/>
      </c>
      <c r="N226" s="43" t="n">
        <v>46196</v>
      </c>
      <c r="O226" s="26" t="inlineStr">
        <is>
          <t>Sunil CR</t>
        </is>
      </c>
      <c r="P226" s="44" t="inlineStr">
        <is>
          <t>Represented by Sample</t>
        </is>
      </c>
      <c r="Q226" s="26" t="inlineStr">
        <is>
          <t>No</t>
        </is>
      </c>
      <c r="R226" s="44" t="inlineStr">
        <is>
          <t>Represented by Sample</t>
        </is>
      </c>
      <c r="S226" s="26" t="inlineStr">
        <is>
          <t>Yes</t>
        </is>
      </c>
      <c r="T226" s="27" t="n"/>
      <c r="U226" s="28" t="inlineStr">
        <is>
          <t>No</t>
        </is>
      </c>
      <c r="V226" s="29">
        <f>IF(N226="","",IF(Q226="Yes","❌ Disc",IF(P226="No","⚠ Missing",IF(S226="Yes","✓ OK","⚠ Check"))))</f>
        <v/>
      </c>
      <c r="W226" s="65" t="n">
        <v>46248</v>
      </c>
      <c r="X226" s="30" t="inlineStr">
        <is>
          <t>Sunil CR</t>
        </is>
      </c>
      <c r="Y226" s="30" t="inlineStr">
        <is>
          <t>Represented by Sample</t>
        </is>
      </c>
      <c r="Z226" s="30" t="n"/>
      <c r="AA226" s="30" t="inlineStr">
        <is>
          <t>Represented by Sample</t>
        </is>
      </c>
      <c r="AB226" s="30" t="inlineStr">
        <is>
          <t>Yes</t>
        </is>
      </c>
      <c r="AC226" s="27" t="n"/>
      <c r="AD226" s="31" t="inlineStr">
        <is>
          <t>No</t>
        </is>
      </c>
      <c r="AE226" s="32">
        <f>IF(W226="","",IF(Z226="Yes","❌ Disc",IF(Y226="No","⚠ Missing",IF(AB226="Yes","✓ OK","⚠ Check"))))</f>
        <v/>
      </c>
      <c r="AF226" s="33" t="n"/>
      <c r="AG226" s="33" t="n"/>
      <c r="AH226" s="33" t="n"/>
      <c r="AI226" s="33" t="n"/>
      <c r="AJ226" s="33" t="n"/>
      <c r="AK226" s="33" t="n"/>
      <c r="AL226" s="27" t="n"/>
      <c r="AM226" s="34" t="n"/>
      <c r="AN226" s="35">
        <f>IF(AF226="","",IF(AI226="Yes","❌ Disc",IF(AH226="No","⚠ Missing",IF(AK226="Yes","✓ OK","⚠ Check"))))</f>
        <v/>
      </c>
      <c r="AO226" s="36" t="n"/>
      <c r="AP226" s="36" t="n"/>
      <c r="AQ226" s="36" t="n"/>
      <c r="AR226" s="36" t="n"/>
      <c r="AS226" s="36" t="n"/>
      <c r="AT226" s="36" t="n"/>
      <c r="AU226" s="27" t="n"/>
      <c r="AV226" s="37" t="n"/>
      <c r="AW226" s="38">
        <f>IF(AO226="","",IF(AR226="Yes","❌ Disc",IF(AQ226="No","⚠ Missing",IF(AT226="Yes","✓ OK","⚠ Check"))))</f>
        <v/>
      </c>
    </row>
    <row r="227" ht="18" customHeight="1" s="46">
      <c r="A227" s="23" t="n">
        <v>223</v>
      </c>
      <c r="B227" s="24" t="inlineStr">
        <is>
          <t>BD-HNA-2025-0094</t>
        </is>
      </c>
      <c r="C227" s="25" t="inlineStr">
        <is>
          <t>Bonito Handles - LEAF(S.H-ZP) - Rose Handle  - 305mm</t>
        </is>
      </c>
      <c r="D227" s="23" t="inlineStr">
        <is>
          <t>Bonito Handles</t>
        </is>
      </c>
      <c r="E227" s="43" t="n">
        <v>46125</v>
      </c>
      <c r="F227" s="26" t="inlineStr">
        <is>
          <t>Sunil CR</t>
        </is>
      </c>
      <c r="G227" s="44" t="inlineStr">
        <is>
          <t>Represented by Sample</t>
        </is>
      </c>
      <c r="H227" s="26" t="inlineStr">
        <is>
          <t>No</t>
        </is>
      </c>
      <c r="I227" s="44" t="inlineStr">
        <is>
          <t>Represented by Sample</t>
        </is>
      </c>
      <c r="J227" s="26" t="inlineStr">
        <is>
          <t>Yes</t>
        </is>
      </c>
      <c r="K227" s="27" t="n"/>
      <c r="L227" s="28" t="inlineStr">
        <is>
          <t>No</t>
        </is>
      </c>
      <c r="M227" s="29">
        <f>IF(E227="","",IF(H227="Yes","❌ Disc",IF(G227="No","⚠ Missing",IF(J227="Yes","✓ OK","⚠ Check"))))</f>
        <v/>
      </c>
      <c r="N227" s="43" t="n">
        <v>46196</v>
      </c>
      <c r="O227" s="26" t="inlineStr">
        <is>
          <t>Sunil CR</t>
        </is>
      </c>
      <c r="P227" s="44" t="inlineStr">
        <is>
          <t>Represented by Sample</t>
        </is>
      </c>
      <c r="Q227" s="26" t="inlineStr">
        <is>
          <t>No</t>
        </is>
      </c>
      <c r="R227" s="44" t="inlineStr">
        <is>
          <t>Represented by Sample</t>
        </is>
      </c>
      <c r="S227" s="26" t="inlineStr">
        <is>
          <t>Yes</t>
        </is>
      </c>
      <c r="T227" s="27" t="n"/>
      <c r="U227" s="28" t="inlineStr">
        <is>
          <t>No</t>
        </is>
      </c>
      <c r="V227" s="29">
        <f>IF(N227="","",IF(Q227="Yes","❌ Disc",IF(P227="No","⚠ Missing",IF(S227="Yes","✓ OK","⚠ Check"))))</f>
        <v/>
      </c>
      <c r="W227" s="65" t="n">
        <v>46248</v>
      </c>
      <c r="X227" s="30" t="inlineStr">
        <is>
          <t>Sunil CR</t>
        </is>
      </c>
      <c r="Y227" s="30" t="inlineStr">
        <is>
          <t>Represented by Sample</t>
        </is>
      </c>
      <c r="Z227" s="30" t="n"/>
      <c r="AA227" s="30" t="inlineStr">
        <is>
          <t>Represented by Sample</t>
        </is>
      </c>
      <c r="AB227" s="30" t="inlineStr">
        <is>
          <t>Yes</t>
        </is>
      </c>
      <c r="AC227" s="27" t="n"/>
      <c r="AD227" s="31" t="inlineStr">
        <is>
          <t>No</t>
        </is>
      </c>
      <c r="AE227" s="32">
        <f>IF(W227="","",IF(Z227="Yes","❌ Disc",IF(Y227="No","⚠ Missing",IF(AB227="Yes","✓ OK","⚠ Check"))))</f>
        <v/>
      </c>
      <c r="AF227" s="33" t="n"/>
      <c r="AG227" s="33" t="n"/>
      <c r="AH227" s="33" t="n"/>
      <c r="AI227" s="33" t="n"/>
      <c r="AJ227" s="33" t="n"/>
      <c r="AK227" s="33" t="n"/>
      <c r="AL227" s="27" t="n"/>
      <c r="AM227" s="34" t="n"/>
      <c r="AN227" s="35">
        <f>IF(AF227="","",IF(AI227="Yes","❌ Disc",IF(AH227="No","⚠ Missing",IF(AK227="Yes","✓ OK","⚠ Check"))))</f>
        <v/>
      </c>
      <c r="AO227" s="36" t="n"/>
      <c r="AP227" s="36" t="n"/>
      <c r="AQ227" s="36" t="n"/>
      <c r="AR227" s="36" t="n"/>
      <c r="AS227" s="36" t="n"/>
      <c r="AT227" s="36" t="n"/>
      <c r="AU227" s="27" t="n"/>
      <c r="AV227" s="37" t="n"/>
      <c r="AW227" s="38">
        <f>IF(AO227="","",IF(AR227="Yes","❌ Disc",IF(AQ227="No","⚠ Missing",IF(AT227="Yes","✓ OK","⚠ Check"))))</f>
        <v/>
      </c>
    </row>
    <row r="228" ht="18" customHeight="1" s="46">
      <c r="A228" s="39" t="n">
        <v>224</v>
      </c>
      <c r="B228" s="40" t="inlineStr">
        <is>
          <t>BD-HNA-2025-0095</t>
        </is>
      </c>
      <c r="C228" s="41" t="inlineStr">
        <is>
          <t>Bonito Handles - LEAF(S.H-ZP) - Rose Handle  - 470mm</t>
        </is>
      </c>
      <c r="D228" s="39" t="inlineStr">
        <is>
          <t>Bonito Handles</t>
        </is>
      </c>
      <c r="E228" s="43" t="n">
        <v>46125</v>
      </c>
      <c r="F228" s="26" t="inlineStr">
        <is>
          <t>Sunil CR</t>
        </is>
      </c>
      <c r="G228" s="44" t="inlineStr">
        <is>
          <t>Yes</t>
        </is>
      </c>
      <c r="H228" s="26" t="inlineStr">
        <is>
          <t>No</t>
        </is>
      </c>
      <c r="I228" s="44" t="inlineStr">
        <is>
          <t>Good finish</t>
        </is>
      </c>
      <c r="J228" s="26" t="inlineStr">
        <is>
          <t>Yes</t>
        </is>
      </c>
      <c r="K228" s="27" t="n"/>
      <c r="L228" s="28" t="inlineStr">
        <is>
          <t>No</t>
        </is>
      </c>
      <c r="M228" s="29">
        <f>IF(E228="","",IF(H228="Yes","❌ Disc",IF(G228="No","⚠ Missing",IF(J228="Yes","✓ OK","⚠ Check"))))</f>
        <v/>
      </c>
      <c r="N228" s="43" t="n">
        <v>46196</v>
      </c>
      <c r="O228" s="26" t="inlineStr">
        <is>
          <t>Sunil CR</t>
        </is>
      </c>
      <c r="P228" s="44" t="inlineStr">
        <is>
          <t>Yes</t>
        </is>
      </c>
      <c r="Q228" s="26" t="inlineStr">
        <is>
          <t>No</t>
        </is>
      </c>
      <c r="R228" s="44" t="inlineStr">
        <is>
          <t>Good finish</t>
        </is>
      </c>
      <c r="S228" s="26" t="inlineStr">
        <is>
          <t>Yes</t>
        </is>
      </c>
      <c r="T228" s="27" t="n"/>
      <c r="U228" s="28" t="inlineStr">
        <is>
          <t>No</t>
        </is>
      </c>
      <c r="V228" s="29">
        <f>IF(N228="","",IF(Q228="Yes","❌ Disc",IF(P228="No","⚠ Missing",IF(S228="Yes","✓ OK","⚠ Check"))))</f>
        <v/>
      </c>
      <c r="W228" s="65" t="n">
        <v>46248</v>
      </c>
      <c r="X228" s="30" t="inlineStr">
        <is>
          <t>Sunil CR</t>
        </is>
      </c>
      <c r="Y228" s="30" t="inlineStr">
        <is>
          <t>Yes</t>
        </is>
      </c>
      <c r="Z228" s="30" t="n"/>
      <c r="AA228" s="30" t="inlineStr">
        <is>
          <t>Good finish</t>
        </is>
      </c>
      <c r="AB228" s="30" t="inlineStr">
        <is>
          <t>Yes</t>
        </is>
      </c>
      <c r="AC228" s="27" t="n"/>
      <c r="AD228" s="31" t="inlineStr">
        <is>
          <t>No</t>
        </is>
      </c>
      <c r="AE228" s="32">
        <f>IF(W228="","",IF(Z228="Yes","❌ Disc",IF(Y228="No","⚠ Missing",IF(AB228="Yes","✓ OK","⚠ Check"))))</f>
        <v/>
      </c>
      <c r="AF228" s="33" t="n"/>
      <c r="AG228" s="33" t="n"/>
      <c r="AH228" s="33" t="n"/>
      <c r="AI228" s="33" t="n"/>
      <c r="AJ228" s="33" t="n"/>
      <c r="AK228" s="33" t="n"/>
      <c r="AL228" s="27" t="n"/>
      <c r="AM228" s="34" t="n"/>
      <c r="AN228" s="35">
        <f>IF(AF228="","",IF(AI228="Yes","❌ Disc",IF(AH228="No","⚠ Missing",IF(AK228="Yes","✓ OK","⚠ Check"))))</f>
        <v/>
      </c>
      <c r="AO228" s="36" t="n"/>
      <c r="AP228" s="36" t="n"/>
      <c r="AQ228" s="36" t="n"/>
      <c r="AR228" s="36" t="n"/>
      <c r="AS228" s="36" t="n"/>
      <c r="AT228" s="36" t="n"/>
      <c r="AU228" s="27" t="n"/>
      <c r="AV228" s="37" t="n"/>
      <c r="AW228" s="38">
        <f>IF(AO228="","",IF(AR228="Yes","❌ Disc",IF(AQ228="No","⚠ Missing",IF(AT228="Yes","✓ OK","⚠ Check"))))</f>
        <v/>
      </c>
    </row>
    <row r="229" ht="18" customHeight="1" s="46">
      <c r="A229" s="23" t="n">
        <v>225</v>
      </c>
      <c r="B229" s="24" t="inlineStr">
        <is>
          <t>BD-HNA-2025-0115</t>
        </is>
      </c>
      <c r="C229" s="25" t="inlineStr">
        <is>
          <t>Bonito Handles - M-7009(K.H) - Black Handle  - 240mm</t>
        </is>
      </c>
      <c r="D229" s="23" t="inlineStr">
        <is>
          <t>Bonito Handles</t>
        </is>
      </c>
      <c r="E229" s="43" t="n">
        <v>46125</v>
      </c>
      <c r="F229" s="26" t="inlineStr">
        <is>
          <t>Sunil CR</t>
        </is>
      </c>
      <c r="G229" s="44" t="inlineStr">
        <is>
          <t>Represented by Sample</t>
        </is>
      </c>
      <c r="H229" s="26" t="inlineStr">
        <is>
          <t>No</t>
        </is>
      </c>
      <c r="I229" s="44" t="inlineStr">
        <is>
          <t>Represented by Sample</t>
        </is>
      </c>
      <c r="J229" s="26" t="inlineStr">
        <is>
          <t>Yes</t>
        </is>
      </c>
      <c r="K229" s="27" t="n"/>
      <c r="L229" s="28" t="inlineStr">
        <is>
          <t>No</t>
        </is>
      </c>
      <c r="M229" s="29">
        <f>IF(E229="","",IF(H229="Yes","❌ Disc",IF(G229="No","⚠ Missing",IF(J229="Yes","✓ OK","⚠ Check"))))</f>
        <v/>
      </c>
      <c r="N229" s="43" t="n">
        <v>46196</v>
      </c>
      <c r="O229" s="26" t="inlineStr">
        <is>
          <t>Sunil CR</t>
        </is>
      </c>
      <c r="P229" s="44" t="inlineStr">
        <is>
          <t>Represented by Sample</t>
        </is>
      </c>
      <c r="Q229" s="26" t="inlineStr">
        <is>
          <t>No</t>
        </is>
      </c>
      <c r="R229" s="44" t="inlineStr">
        <is>
          <t>Represented by Sample</t>
        </is>
      </c>
      <c r="S229" s="26" t="inlineStr">
        <is>
          <t>Yes</t>
        </is>
      </c>
      <c r="T229" s="27" t="n"/>
      <c r="U229" s="28" t="inlineStr">
        <is>
          <t>No</t>
        </is>
      </c>
      <c r="V229" s="29">
        <f>IF(N229="","",IF(Q229="Yes","❌ Disc",IF(P229="No","⚠ Missing",IF(S229="Yes","✓ OK","⚠ Check"))))</f>
        <v/>
      </c>
      <c r="W229" s="65" t="n">
        <v>46248</v>
      </c>
      <c r="X229" s="30" t="inlineStr">
        <is>
          <t>Sunil CR</t>
        </is>
      </c>
      <c r="Y229" s="30" t="inlineStr">
        <is>
          <t>Represented by Sample</t>
        </is>
      </c>
      <c r="Z229" s="30" t="n"/>
      <c r="AA229" s="30" t="inlineStr">
        <is>
          <t>Represented by Sample</t>
        </is>
      </c>
      <c r="AB229" s="30" t="inlineStr">
        <is>
          <t>Yes</t>
        </is>
      </c>
      <c r="AC229" s="27" t="n"/>
      <c r="AD229" s="31" t="inlineStr">
        <is>
          <t>No</t>
        </is>
      </c>
      <c r="AE229" s="32">
        <f>IF(W229="","",IF(Z229="Yes","❌ Disc",IF(Y229="No","⚠ Missing",IF(AB229="Yes","✓ OK","⚠ Check"))))</f>
        <v/>
      </c>
      <c r="AF229" s="33" t="n"/>
      <c r="AG229" s="33" t="n"/>
      <c r="AH229" s="33" t="n"/>
      <c r="AI229" s="33" t="n"/>
      <c r="AJ229" s="33" t="n"/>
      <c r="AK229" s="33" t="n"/>
      <c r="AL229" s="27" t="n"/>
      <c r="AM229" s="34" t="n"/>
      <c r="AN229" s="35">
        <f>IF(AF229="","",IF(AI229="Yes","❌ Disc",IF(AH229="No","⚠ Missing",IF(AK229="Yes","✓ OK","⚠ Check"))))</f>
        <v/>
      </c>
      <c r="AO229" s="36" t="n"/>
      <c r="AP229" s="36" t="n"/>
      <c r="AQ229" s="36" t="n"/>
      <c r="AR229" s="36" t="n"/>
      <c r="AS229" s="36" t="n"/>
      <c r="AT229" s="36" t="n"/>
      <c r="AU229" s="27" t="n"/>
      <c r="AV229" s="37" t="n"/>
      <c r="AW229" s="38">
        <f>IF(AO229="","",IF(AR229="Yes","❌ Disc",IF(AQ229="No","⚠ Missing",IF(AT229="Yes","✓ OK","⚠ Check"))))</f>
        <v/>
      </c>
    </row>
    <row r="230" ht="18" customHeight="1" s="46">
      <c r="A230" s="39" t="n">
        <v>226</v>
      </c>
      <c r="B230" s="40" t="inlineStr">
        <is>
          <t>BD-HNA-2025-0116</t>
        </is>
      </c>
      <c r="C230" s="41" t="inlineStr">
        <is>
          <t>Bonito Handles - M-7009(K.H) - Black Handle  - 305mm</t>
        </is>
      </c>
      <c r="D230" s="39" t="inlineStr">
        <is>
          <t>Bonito Handles</t>
        </is>
      </c>
      <c r="E230" s="43" t="n">
        <v>46125</v>
      </c>
      <c r="F230" s="26" t="inlineStr">
        <is>
          <t>Sunil CR</t>
        </is>
      </c>
      <c r="G230" s="44" t="inlineStr">
        <is>
          <t>Represented by Sample</t>
        </is>
      </c>
      <c r="H230" s="26" t="inlineStr">
        <is>
          <t>No</t>
        </is>
      </c>
      <c r="I230" s="44" t="inlineStr">
        <is>
          <t>Represented by Sample</t>
        </is>
      </c>
      <c r="J230" s="26" t="inlineStr">
        <is>
          <t>Yes</t>
        </is>
      </c>
      <c r="K230" s="27" t="n"/>
      <c r="L230" s="28" t="inlineStr">
        <is>
          <t>No</t>
        </is>
      </c>
      <c r="M230" s="29">
        <f>IF(E230="","",IF(H230="Yes","❌ Disc",IF(G230="No","⚠ Missing",IF(J230="Yes","✓ OK","⚠ Check"))))</f>
        <v/>
      </c>
      <c r="N230" s="43" t="n">
        <v>46196</v>
      </c>
      <c r="O230" s="26" t="inlineStr">
        <is>
          <t>Sunil CR</t>
        </is>
      </c>
      <c r="P230" s="44" t="inlineStr">
        <is>
          <t>Represented by Sample</t>
        </is>
      </c>
      <c r="Q230" s="26" t="inlineStr">
        <is>
          <t>No</t>
        </is>
      </c>
      <c r="R230" s="44" t="inlineStr">
        <is>
          <t>Represented by Sample</t>
        </is>
      </c>
      <c r="S230" s="26" t="inlineStr">
        <is>
          <t>Yes</t>
        </is>
      </c>
      <c r="T230" s="27" t="n"/>
      <c r="U230" s="28" t="inlineStr">
        <is>
          <t>No</t>
        </is>
      </c>
      <c r="V230" s="29">
        <f>IF(N230="","",IF(Q230="Yes","❌ Disc",IF(P230="No","⚠ Missing",IF(S230="Yes","✓ OK","⚠ Check"))))</f>
        <v/>
      </c>
      <c r="W230" s="65" t="n">
        <v>46248</v>
      </c>
      <c r="X230" s="30" t="inlineStr">
        <is>
          <t>Sunil CR</t>
        </is>
      </c>
      <c r="Y230" s="30" t="inlineStr">
        <is>
          <t>Represented by Sample</t>
        </is>
      </c>
      <c r="Z230" s="30" t="n"/>
      <c r="AA230" s="30" t="inlineStr">
        <is>
          <t>Represented by Sample</t>
        </is>
      </c>
      <c r="AB230" s="30" t="inlineStr">
        <is>
          <t>Yes</t>
        </is>
      </c>
      <c r="AC230" s="27" t="n"/>
      <c r="AD230" s="31" t="inlineStr">
        <is>
          <t>No</t>
        </is>
      </c>
      <c r="AE230" s="32">
        <f>IF(W230="","",IF(Z230="Yes","❌ Disc",IF(Y230="No","⚠ Missing",IF(AB230="Yes","✓ OK","⚠ Check"))))</f>
        <v/>
      </c>
      <c r="AF230" s="33" t="n"/>
      <c r="AG230" s="33" t="n"/>
      <c r="AH230" s="33" t="n"/>
      <c r="AI230" s="33" t="n"/>
      <c r="AJ230" s="33" t="n"/>
      <c r="AK230" s="33" t="n"/>
      <c r="AL230" s="27" t="n"/>
      <c r="AM230" s="34" t="n"/>
      <c r="AN230" s="35">
        <f>IF(AF230="","",IF(AI230="Yes","❌ Disc",IF(AH230="No","⚠ Missing",IF(AK230="Yes","✓ OK","⚠ Check"))))</f>
        <v/>
      </c>
      <c r="AO230" s="36" t="n"/>
      <c r="AP230" s="36" t="n"/>
      <c r="AQ230" s="36" t="n"/>
      <c r="AR230" s="36" t="n"/>
      <c r="AS230" s="36" t="n"/>
      <c r="AT230" s="36" t="n"/>
      <c r="AU230" s="27" t="n"/>
      <c r="AV230" s="37" t="n"/>
      <c r="AW230" s="38">
        <f>IF(AO230="","",IF(AR230="Yes","❌ Disc",IF(AQ230="No","⚠ Missing",IF(AT230="Yes","✓ OK","⚠ Check"))))</f>
        <v/>
      </c>
    </row>
    <row r="231" ht="18" customHeight="1" s="46">
      <c r="A231" s="23" t="n">
        <v>227</v>
      </c>
      <c r="B231" s="24" t="inlineStr">
        <is>
          <t>BD-HNA-2025-0117</t>
        </is>
      </c>
      <c r="C231" s="25" t="inlineStr">
        <is>
          <t>Bonito Handles - M-7009(K.H) - Gold Handle  - 240mm</t>
        </is>
      </c>
      <c r="D231" s="23" t="inlineStr">
        <is>
          <t>Bonito Handles</t>
        </is>
      </c>
      <c r="E231" s="43" t="n">
        <v>46125</v>
      </c>
      <c r="F231" s="26" t="inlineStr">
        <is>
          <t>Sunil CR</t>
        </is>
      </c>
      <c r="G231" s="44" t="inlineStr">
        <is>
          <t>Represented by Sample</t>
        </is>
      </c>
      <c r="H231" s="26" t="inlineStr">
        <is>
          <t>No</t>
        </is>
      </c>
      <c r="I231" s="44" t="inlineStr">
        <is>
          <t>Represented by Sample</t>
        </is>
      </c>
      <c r="J231" s="26" t="inlineStr">
        <is>
          <t>Yes</t>
        </is>
      </c>
      <c r="K231" s="27" t="n"/>
      <c r="L231" s="28" t="inlineStr">
        <is>
          <t>No</t>
        </is>
      </c>
      <c r="M231" s="29">
        <f>IF(E231="","",IF(H231="Yes","❌ Disc",IF(G231="No","⚠ Missing",IF(J231="Yes","✓ OK","⚠ Check"))))</f>
        <v/>
      </c>
      <c r="N231" s="43" t="n">
        <v>46196</v>
      </c>
      <c r="O231" s="26" t="inlineStr">
        <is>
          <t>Sunil CR</t>
        </is>
      </c>
      <c r="P231" s="44" t="inlineStr">
        <is>
          <t>Represented by Sample</t>
        </is>
      </c>
      <c r="Q231" s="26" t="inlineStr">
        <is>
          <t>No</t>
        </is>
      </c>
      <c r="R231" s="44" t="inlineStr">
        <is>
          <t>Represented by Sample</t>
        </is>
      </c>
      <c r="S231" s="26" t="inlineStr">
        <is>
          <t>Yes</t>
        </is>
      </c>
      <c r="T231" s="27" t="n"/>
      <c r="U231" s="28" t="inlineStr">
        <is>
          <t>No</t>
        </is>
      </c>
      <c r="V231" s="29">
        <f>IF(N231="","",IF(Q231="Yes","❌ Disc",IF(P231="No","⚠ Missing",IF(S231="Yes","✓ OK","⚠ Check"))))</f>
        <v/>
      </c>
      <c r="W231" s="65" t="n">
        <v>46248</v>
      </c>
      <c r="X231" s="30" t="inlineStr">
        <is>
          <t>Sunil CR</t>
        </is>
      </c>
      <c r="Y231" s="30" t="inlineStr">
        <is>
          <t>Represented by Sample</t>
        </is>
      </c>
      <c r="Z231" s="30" t="n"/>
      <c r="AA231" s="30" t="inlineStr">
        <is>
          <t>Represented by Sample</t>
        </is>
      </c>
      <c r="AB231" s="30" t="inlineStr">
        <is>
          <t>Yes</t>
        </is>
      </c>
      <c r="AC231" s="27" t="n"/>
      <c r="AD231" s="31" t="inlineStr">
        <is>
          <t>No</t>
        </is>
      </c>
      <c r="AE231" s="32">
        <f>IF(W231="","",IF(Z231="Yes","❌ Disc",IF(Y231="No","⚠ Missing",IF(AB231="Yes","✓ OK","⚠ Check"))))</f>
        <v/>
      </c>
      <c r="AF231" s="33" t="n"/>
      <c r="AG231" s="33" t="n"/>
      <c r="AH231" s="33" t="n"/>
      <c r="AI231" s="33" t="n"/>
      <c r="AJ231" s="33" t="n"/>
      <c r="AK231" s="33" t="n"/>
      <c r="AL231" s="27" t="n"/>
      <c r="AM231" s="34" t="n"/>
      <c r="AN231" s="35">
        <f>IF(AF231="","",IF(AI231="Yes","❌ Disc",IF(AH231="No","⚠ Missing",IF(AK231="Yes","✓ OK","⚠ Check"))))</f>
        <v/>
      </c>
      <c r="AO231" s="36" t="n"/>
      <c r="AP231" s="36" t="n"/>
      <c r="AQ231" s="36" t="n"/>
      <c r="AR231" s="36" t="n"/>
      <c r="AS231" s="36" t="n"/>
      <c r="AT231" s="36" t="n"/>
      <c r="AU231" s="27" t="n"/>
      <c r="AV231" s="37" t="n"/>
      <c r="AW231" s="38">
        <f>IF(AO231="","",IF(AR231="Yes","❌ Disc",IF(AQ231="No","⚠ Missing",IF(AT231="Yes","✓ OK","⚠ Check"))))</f>
        <v/>
      </c>
    </row>
    <row r="232" ht="18" customHeight="1" s="46">
      <c r="A232" s="39" t="n">
        <v>228</v>
      </c>
      <c r="B232" s="40" t="inlineStr">
        <is>
          <t>BD-HNA-2025-0118</t>
        </is>
      </c>
      <c r="C232" s="41" t="inlineStr">
        <is>
          <t>Bonito Handles - M-7009(K.H) - Gold Handle  - 305mm</t>
        </is>
      </c>
      <c r="D232" s="39" t="inlineStr">
        <is>
          <t>Bonito Handles</t>
        </is>
      </c>
      <c r="E232" s="43" t="n">
        <v>46125</v>
      </c>
      <c r="F232" s="26" t="inlineStr">
        <is>
          <t>Sunil CR</t>
        </is>
      </c>
      <c r="G232" s="44" t="inlineStr">
        <is>
          <t>Yes</t>
        </is>
      </c>
      <c r="H232" s="26" t="inlineStr">
        <is>
          <t>No</t>
        </is>
      </c>
      <c r="I232" s="44" t="inlineStr">
        <is>
          <t>Good finish</t>
        </is>
      </c>
      <c r="J232" s="26" t="inlineStr">
        <is>
          <t>Yes</t>
        </is>
      </c>
      <c r="K232" s="27" t="n"/>
      <c r="L232" s="28" t="inlineStr">
        <is>
          <t>No</t>
        </is>
      </c>
      <c r="M232" s="29">
        <f>IF(E232="","",IF(H232="Yes","❌ Disc",IF(G232="No","⚠ Missing",IF(J232="Yes","✓ OK","⚠ Check"))))</f>
        <v/>
      </c>
      <c r="N232" s="43" t="n">
        <v>46196</v>
      </c>
      <c r="O232" s="26" t="inlineStr">
        <is>
          <t>Sunil CR</t>
        </is>
      </c>
      <c r="P232" s="44" t="inlineStr">
        <is>
          <t>Yes</t>
        </is>
      </c>
      <c r="Q232" s="26" t="inlineStr">
        <is>
          <t>No</t>
        </is>
      </c>
      <c r="R232" s="44" t="inlineStr">
        <is>
          <t>Good finish</t>
        </is>
      </c>
      <c r="S232" s="26" t="inlineStr">
        <is>
          <t>Yes</t>
        </is>
      </c>
      <c r="T232" s="27" t="n"/>
      <c r="U232" s="28" t="inlineStr">
        <is>
          <t>No</t>
        </is>
      </c>
      <c r="V232" s="29">
        <f>IF(N232="","",IF(Q232="Yes","❌ Disc",IF(P232="No","⚠ Missing",IF(S232="Yes","✓ OK","⚠ Check"))))</f>
        <v/>
      </c>
      <c r="W232" s="65" t="n">
        <v>46248</v>
      </c>
      <c r="X232" s="30" t="inlineStr">
        <is>
          <t>Sunil CR</t>
        </is>
      </c>
      <c r="Y232" s="30" t="inlineStr">
        <is>
          <t>Yes</t>
        </is>
      </c>
      <c r="Z232" s="30" t="n"/>
      <c r="AA232" s="30" t="inlineStr">
        <is>
          <t>Good finish</t>
        </is>
      </c>
      <c r="AB232" s="30" t="inlineStr">
        <is>
          <t>Yes</t>
        </is>
      </c>
      <c r="AC232" s="27" t="n"/>
      <c r="AD232" s="31" t="inlineStr">
        <is>
          <t>No</t>
        </is>
      </c>
      <c r="AE232" s="32">
        <f>IF(W232="","",IF(Z232="Yes","❌ Disc",IF(Y232="No","⚠ Missing",IF(AB232="Yes","✓ OK","⚠ Check"))))</f>
        <v/>
      </c>
      <c r="AF232" s="33" t="n"/>
      <c r="AG232" s="33" t="n"/>
      <c r="AH232" s="33" t="n"/>
      <c r="AI232" s="33" t="n"/>
      <c r="AJ232" s="33" t="n"/>
      <c r="AK232" s="33" t="n"/>
      <c r="AL232" s="27" t="n"/>
      <c r="AM232" s="34" t="n"/>
      <c r="AN232" s="35">
        <f>IF(AF232="","",IF(AI232="Yes","❌ Disc",IF(AH232="No","⚠ Missing",IF(AK232="Yes","✓ OK","⚠ Check"))))</f>
        <v/>
      </c>
      <c r="AO232" s="36" t="n"/>
      <c r="AP232" s="36" t="n"/>
      <c r="AQ232" s="36" t="n"/>
      <c r="AR232" s="36" t="n"/>
      <c r="AS232" s="36" t="n"/>
      <c r="AT232" s="36" t="n"/>
      <c r="AU232" s="27" t="n"/>
      <c r="AV232" s="37" t="n"/>
      <c r="AW232" s="38">
        <f>IF(AO232="","",IF(AR232="Yes","❌ Disc",IF(AQ232="No","⚠ Missing",IF(AT232="Yes","✓ OK","⚠ Check"))))</f>
        <v/>
      </c>
    </row>
    <row r="233" ht="18" customHeight="1" s="46">
      <c r="A233" s="23" t="n">
        <v>229</v>
      </c>
      <c r="B233" s="24" t="inlineStr">
        <is>
          <t>BD-HNA-2025-0151</t>
        </is>
      </c>
      <c r="C233" s="25" t="inlineStr">
        <is>
          <t>Bonito Handles - MACAW(G.H) - Black Handle  - 200mm</t>
        </is>
      </c>
      <c r="D233" s="23" t="inlineStr">
        <is>
          <t>Bonito Handles</t>
        </is>
      </c>
      <c r="E233" s="43" t="n">
        <v>46125</v>
      </c>
      <c r="F233" s="26" t="inlineStr">
        <is>
          <t>Sunil CR</t>
        </is>
      </c>
      <c r="G233" s="44" t="inlineStr">
        <is>
          <t>Represented by Sample</t>
        </is>
      </c>
      <c r="H233" s="26" t="inlineStr">
        <is>
          <t>No</t>
        </is>
      </c>
      <c r="I233" s="44" t="inlineStr">
        <is>
          <t>Represented by Sample</t>
        </is>
      </c>
      <c r="J233" s="26" t="inlineStr">
        <is>
          <t>Yes</t>
        </is>
      </c>
      <c r="K233" s="27" t="n"/>
      <c r="L233" s="28" t="inlineStr">
        <is>
          <t>No</t>
        </is>
      </c>
      <c r="M233" s="29">
        <f>IF(E233="","",IF(H233="Yes","❌ Disc",IF(G233="No","⚠ Missing",IF(J233="Yes","✓ OK","⚠ Check"))))</f>
        <v/>
      </c>
      <c r="N233" s="43" t="n">
        <v>46196</v>
      </c>
      <c r="O233" s="26" t="inlineStr">
        <is>
          <t>Sunil CR</t>
        </is>
      </c>
      <c r="P233" s="44" t="inlineStr">
        <is>
          <t>Represented by Sample</t>
        </is>
      </c>
      <c r="Q233" s="26" t="inlineStr">
        <is>
          <t>No</t>
        </is>
      </c>
      <c r="R233" s="44" t="inlineStr">
        <is>
          <t>Represented by Sample</t>
        </is>
      </c>
      <c r="S233" s="26" t="inlineStr">
        <is>
          <t>Yes</t>
        </is>
      </c>
      <c r="T233" s="27" t="n"/>
      <c r="U233" s="28" t="inlineStr">
        <is>
          <t>No</t>
        </is>
      </c>
      <c r="V233" s="29">
        <f>IF(N233="","",IF(Q233="Yes","❌ Disc",IF(P233="No","⚠ Missing",IF(S233="Yes","✓ OK","⚠ Check"))))</f>
        <v/>
      </c>
      <c r="W233" s="65" t="n">
        <v>46248</v>
      </c>
      <c r="X233" s="30" t="inlineStr">
        <is>
          <t>Sunil CR</t>
        </is>
      </c>
      <c r="Y233" s="30" t="inlineStr">
        <is>
          <t>Represented by Sample</t>
        </is>
      </c>
      <c r="Z233" s="30" t="n"/>
      <c r="AA233" s="30" t="inlineStr">
        <is>
          <t>Represented by Sample</t>
        </is>
      </c>
      <c r="AB233" s="30" t="inlineStr">
        <is>
          <t>Yes</t>
        </is>
      </c>
      <c r="AC233" s="27" t="n"/>
      <c r="AD233" s="31" t="inlineStr">
        <is>
          <t>No</t>
        </is>
      </c>
      <c r="AE233" s="32">
        <f>IF(W233="","",IF(Z233="Yes","❌ Disc",IF(Y233="No","⚠ Missing",IF(AB233="Yes","✓ OK","⚠ Check"))))</f>
        <v/>
      </c>
      <c r="AF233" s="33" t="n"/>
      <c r="AG233" s="33" t="n"/>
      <c r="AH233" s="33" t="n"/>
      <c r="AI233" s="33" t="n"/>
      <c r="AJ233" s="33" t="n"/>
      <c r="AK233" s="33" t="n"/>
      <c r="AL233" s="27" t="n"/>
      <c r="AM233" s="34" t="n"/>
      <c r="AN233" s="35">
        <f>IF(AF233="","",IF(AI233="Yes","❌ Disc",IF(AH233="No","⚠ Missing",IF(AK233="Yes","✓ OK","⚠ Check"))))</f>
        <v/>
      </c>
      <c r="AO233" s="36" t="n"/>
      <c r="AP233" s="36" t="n"/>
      <c r="AQ233" s="36" t="n"/>
      <c r="AR233" s="36" t="n"/>
      <c r="AS233" s="36" t="n"/>
      <c r="AT233" s="36" t="n"/>
      <c r="AU233" s="27" t="n"/>
      <c r="AV233" s="37" t="n"/>
      <c r="AW233" s="38">
        <f>IF(AO233="","",IF(AR233="Yes","❌ Disc",IF(AQ233="No","⚠ Missing",IF(AT233="Yes","✓ OK","⚠ Check"))))</f>
        <v/>
      </c>
    </row>
    <row r="234" ht="18" customHeight="1" s="46">
      <c r="A234" s="39" t="n">
        <v>230</v>
      </c>
      <c r="B234" s="40" t="inlineStr">
        <is>
          <t>BD-HNA-2025-0152</t>
        </is>
      </c>
      <c r="C234" s="41" t="inlineStr">
        <is>
          <t>Bonito Handles - MACAW(G.H) - Black Handle  - 300mm</t>
        </is>
      </c>
      <c r="D234" s="39" t="inlineStr">
        <is>
          <t>Bonito Handles</t>
        </is>
      </c>
      <c r="E234" s="43" t="n">
        <v>46125</v>
      </c>
      <c r="F234" s="26" t="inlineStr">
        <is>
          <t>Sunil CR</t>
        </is>
      </c>
      <c r="G234" s="44" t="inlineStr">
        <is>
          <t>Represented by Sample</t>
        </is>
      </c>
      <c r="H234" s="26" t="inlineStr">
        <is>
          <t>No</t>
        </is>
      </c>
      <c r="I234" s="44" t="inlineStr">
        <is>
          <t>Represented by Sample</t>
        </is>
      </c>
      <c r="J234" s="26" t="inlineStr">
        <is>
          <t>Yes</t>
        </is>
      </c>
      <c r="K234" s="27" t="n"/>
      <c r="L234" s="28" t="inlineStr">
        <is>
          <t>No</t>
        </is>
      </c>
      <c r="M234" s="29">
        <f>IF(E234="","",IF(H234="Yes","❌ Disc",IF(G234="No","⚠ Missing",IF(J234="Yes","✓ OK","⚠ Check"))))</f>
        <v/>
      </c>
      <c r="N234" s="43" t="n">
        <v>46196</v>
      </c>
      <c r="O234" s="26" t="inlineStr">
        <is>
          <t>Sunil CR</t>
        </is>
      </c>
      <c r="P234" s="44" t="inlineStr">
        <is>
          <t>Represented by Sample</t>
        </is>
      </c>
      <c r="Q234" s="26" t="inlineStr">
        <is>
          <t>No</t>
        </is>
      </c>
      <c r="R234" s="44" t="inlineStr">
        <is>
          <t>Represented by Sample</t>
        </is>
      </c>
      <c r="S234" s="26" t="inlineStr">
        <is>
          <t>Yes</t>
        </is>
      </c>
      <c r="T234" s="27" t="n"/>
      <c r="U234" s="28" t="inlineStr">
        <is>
          <t>No</t>
        </is>
      </c>
      <c r="V234" s="29">
        <f>IF(N234="","",IF(Q234="Yes","❌ Disc",IF(P234="No","⚠ Missing",IF(S234="Yes","✓ OK","⚠ Check"))))</f>
        <v/>
      </c>
      <c r="W234" s="65" t="n">
        <v>46248</v>
      </c>
      <c r="X234" s="30" t="inlineStr">
        <is>
          <t>Sunil CR</t>
        </is>
      </c>
      <c r="Y234" s="30" t="inlineStr">
        <is>
          <t>Represented by Sample</t>
        </is>
      </c>
      <c r="Z234" s="30" t="n"/>
      <c r="AA234" s="30" t="inlineStr">
        <is>
          <t>Represented by Sample</t>
        </is>
      </c>
      <c r="AB234" s="30" t="inlineStr">
        <is>
          <t>Yes</t>
        </is>
      </c>
      <c r="AC234" s="27" t="n"/>
      <c r="AD234" s="31" t="inlineStr">
        <is>
          <t>No</t>
        </is>
      </c>
      <c r="AE234" s="32">
        <f>IF(W234="","",IF(Z234="Yes","❌ Disc",IF(Y234="No","⚠ Missing",IF(AB234="Yes","✓ OK","⚠ Check"))))</f>
        <v/>
      </c>
      <c r="AF234" s="33" t="n"/>
      <c r="AG234" s="33" t="n"/>
      <c r="AH234" s="33" t="n"/>
      <c r="AI234" s="33" t="n"/>
      <c r="AJ234" s="33" t="n"/>
      <c r="AK234" s="33" t="n"/>
      <c r="AL234" s="27" t="n"/>
      <c r="AM234" s="34" t="n"/>
      <c r="AN234" s="35">
        <f>IF(AF234="","",IF(AI234="Yes","❌ Disc",IF(AH234="No","⚠ Missing",IF(AK234="Yes","✓ OK","⚠ Check"))))</f>
        <v/>
      </c>
      <c r="AO234" s="36" t="n"/>
      <c r="AP234" s="36" t="n"/>
      <c r="AQ234" s="36" t="n"/>
      <c r="AR234" s="36" t="n"/>
      <c r="AS234" s="36" t="n"/>
      <c r="AT234" s="36" t="n"/>
      <c r="AU234" s="27" t="n"/>
      <c r="AV234" s="37" t="n"/>
      <c r="AW234" s="38">
        <f>IF(AO234="","",IF(AR234="Yes","❌ Disc",IF(AQ234="No","⚠ Missing",IF(AT234="Yes","✓ OK","⚠ Check"))))</f>
        <v/>
      </c>
    </row>
    <row r="235" ht="18" customHeight="1" s="46">
      <c r="A235" s="23" t="n">
        <v>231</v>
      </c>
      <c r="B235" s="24" t="inlineStr">
        <is>
          <t>BD-HNA-2025-0153</t>
        </is>
      </c>
      <c r="C235" s="25" t="inlineStr">
        <is>
          <t>Bonito Handles - MACAW(G.H) - Black Handle  - 450mm</t>
        </is>
      </c>
      <c r="D235" s="23" t="inlineStr">
        <is>
          <t>Bonito Handles</t>
        </is>
      </c>
      <c r="E235" s="43" t="n">
        <v>46125</v>
      </c>
      <c r="F235" s="26" t="inlineStr">
        <is>
          <t>Sunil CR</t>
        </is>
      </c>
      <c r="G235" s="44" t="inlineStr">
        <is>
          <t>Represented by Sample</t>
        </is>
      </c>
      <c r="H235" s="26" t="inlineStr">
        <is>
          <t>No</t>
        </is>
      </c>
      <c r="I235" s="44" t="inlineStr">
        <is>
          <t>Represented by Sample</t>
        </is>
      </c>
      <c r="J235" s="26" t="inlineStr">
        <is>
          <t>Yes</t>
        </is>
      </c>
      <c r="K235" s="27" t="n"/>
      <c r="L235" s="28" t="inlineStr">
        <is>
          <t>No</t>
        </is>
      </c>
      <c r="M235" s="29">
        <f>IF(E235="","",IF(H235="Yes","❌ Disc",IF(G235="No","⚠ Missing",IF(J235="Yes","✓ OK","⚠ Check"))))</f>
        <v/>
      </c>
      <c r="N235" s="43" t="n">
        <v>46196</v>
      </c>
      <c r="O235" s="26" t="inlineStr">
        <is>
          <t>Sunil CR</t>
        </is>
      </c>
      <c r="P235" s="44" t="inlineStr">
        <is>
          <t>Represented by Sample</t>
        </is>
      </c>
      <c r="Q235" s="26" t="inlineStr">
        <is>
          <t>No</t>
        </is>
      </c>
      <c r="R235" s="44" t="inlineStr">
        <is>
          <t>Represented by Sample</t>
        </is>
      </c>
      <c r="S235" s="26" t="inlineStr">
        <is>
          <t>Yes</t>
        </is>
      </c>
      <c r="T235" s="27" t="n"/>
      <c r="U235" s="28" t="inlineStr">
        <is>
          <t>No</t>
        </is>
      </c>
      <c r="V235" s="29">
        <f>IF(N235="","",IF(Q235="Yes","❌ Disc",IF(P235="No","⚠ Missing",IF(S235="Yes","✓ OK","⚠ Check"))))</f>
        <v/>
      </c>
      <c r="W235" s="65" t="n">
        <v>46248</v>
      </c>
      <c r="X235" s="30" t="inlineStr">
        <is>
          <t>Sunil CR</t>
        </is>
      </c>
      <c r="Y235" s="30" t="inlineStr">
        <is>
          <t>Represented by Sample</t>
        </is>
      </c>
      <c r="Z235" s="30" t="n"/>
      <c r="AA235" s="30" t="inlineStr">
        <is>
          <t>Represented by Sample</t>
        </is>
      </c>
      <c r="AB235" s="30" t="inlineStr">
        <is>
          <t>Yes</t>
        </is>
      </c>
      <c r="AC235" s="27" t="n"/>
      <c r="AD235" s="31" t="inlineStr">
        <is>
          <t>No</t>
        </is>
      </c>
      <c r="AE235" s="32">
        <f>IF(W235="","",IF(Z235="Yes","❌ Disc",IF(Y235="No","⚠ Missing",IF(AB235="Yes","✓ OK","⚠ Check"))))</f>
        <v/>
      </c>
      <c r="AF235" s="33" t="n"/>
      <c r="AG235" s="33" t="n"/>
      <c r="AH235" s="33" t="n"/>
      <c r="AI235" s="33" t="n"/>
      <c r="AJ235" s="33" t="n"/>
      <c r="AK235" s="33" t="n"/>
      <c r="AL235" s="27" t="n"/>
      <c r="AM235" s="34" t="n"/>
      <c r="AN235" s="35">
        <f>IF(AF235="","",IF(AI235="Yes","❌ Disc",IF(AH235="No","⚠ Missing",IF(AK235="Yes","✓ OK","⚠ Check"))))</f>
        <v/>
      </c>
      <c r="AO235" s="36" t="n"/>
      <c r="AP235" s="36" t="n"/>
      <c r="AQ235" s="36" t="n"/>
      <c r="AR235" s="36" t="n"/>
      <c r="AS235" s="36" t="n"/>
      <c r="AT235" s="36" t="n"/>
      <c r="AU235" s="27" t="n"/>
      <c r="AV235" s="37" t="n"/>
      <c r="AW235" s="38">
        <f>IF(AO235="","",IF(AR235="Yes","❌ Disc",IF(AQ235="No","⚠ Missing",IF(AT235="Yes","✓ OK","⚠ Check"))))</f>
        <v/>
      </c>
    </row>
    <row r="236" ht="18" customHeight="1" s="46">
      <c r="A236" s="39" t="n">
        <v>232</v>
      </c>
      <c r="B236" s="40" t="inlineStr">
        <is>
          <t>BD-HNA-2025-0154</t>
        </is>
      </c>
      <c r="C236" s="41" t="inlineStr">
        <is>
          <t>Bonito Handles - MACAW(G.H) - Black Handle  - 596mm</t>
        </is>
      </c>
      <c r="D236" s="39" t="inlineStr">
        <is>
          <t>Bonito Handles</t>
        </is>
      </c>
      <c r="E236" s="43" t="n">
        <v>46125</v>
      </c>
      <c r="F236" s="26" t="inlineStr">
        <is>
          <t>Sunil CR</t>
        </is>
      </c>
      <c r="G236" s="44" t="inlineStr">
        <is>
          <t>Represented by Sample</t>
        </is>
      </c>
      <c r="H236" s="26" t="inlineStr">
        <is>
          <t>No</t>
        </is>
      </c>
      <c r="I236" s="44" t="inlineStr">
        <is>
          <t>Represented by Sample</t>
        </is>
      </c>
      <c r="J236" s="26" t="inlineStr">
        <is>
          <t>Yes</t>
        </is>
      </c>
      <c r="K236" s="27" t="n"/>
      <c r="L236" s="28" t="inlineStr">
        <is>
          <t>No</t>
        </is>
      </c>
      <c r="M236" s="29">
        <f>IF(E236="","",IF(H236="Yes","❌ Disc",IF(G236="No","⚠ Missing",IF(J236="Yes","✓ OK","⚠ Check"))))</f>
        <v/>
      </c>
      <c r="N236" s="43" t="n">
        <v>46196</v>
      </c>
      <c r="O236" s="26" t="inlineStr">
        <is>
          <t>Sunil CR</t>
        </is>
      </c>
      <c r="P236" s="44" t="inlineStr">
        <is>
          <t>Represented by Sample</t>
        </is>
      </c>
      <c r="Q236" s="26" t="inlineStr">
        <is>
          <t>No</t>
        </is>
      </c>
      <c r="R236" s="44" t="inlineStr">
        <is>
          <t>Represented by Sample</t>
        </is>
      </c>
      <c r="S236" s="26" t="inlineStr">
        <is>
          <t>Yes</t>
        </is>
      </c>
      <c r="T236" s="27" t="n"/>
      <c r="U236" s="28" t="inlineStr">
        <is>
          <t>No</t>
        </is>
      </c>
      <c r="V236" s="29">
        <f>IF(N236="","",IF(Q236="Yes","❌ Disc",IF(P236="No","⚠ Missing",IF(S236="Yes","✓ OK","⚠ Check"))))</f>
        <v/>
      </c>
      <c r="W236" s="65" t="n">
        <v>46248</v>
      </c>
      <c r="X236" s="30" t="inlineStr">
        <is>
          <t>Sunil CR</t>
        </is>
      </c>
      <c r="Y236" s="30" t="inlineStr">
        <is>
          <t>Represented by Sample</t>
        </is>
      </c>
      <c r="Z236" s="30" t="n"/>
      <c r="AA236" s="30" t="inlineStr">
        <is>
          <t>Represented by Sample</t>
        </is>
      </c>
      <c r="AB236" s="30" t="inlineStr">
        <is>
          <t>Yes</t>
        </is>
      </c>
      <c r="AC236" s="27" t="n"/>
      <c r="AD236" s="31" t="inlineStr">
        <is>
          <t>No</t>
        </is>
      </c>
      <c r="AE236" s="32">
        <f>IF(W236="","",IF(Z236="Yes","❌ Disc",IF(Y236="No","⚠ Missing",IF(AB236="Yes","✓ OK","⚠ Check"))))</f>
        <v/>
      </c>
      <c r="AF236" s="33" t="n"/>
      <c r="AG236" s="33" t="n"/>
      <c r="AH236" s="33" t="n"/>
      <c r="AI236" s="33" t="n"/>
      <c r="AJ236" s="33" t="n"/>
      <c r="AK236" s="33" t="n"/>
      <c r="AL236" s="27" t="n"/>
      <c r="AM236" s="34" t="n"/>
      <c r="AN236" s="35">
        <f>IF(AF236="","",IF(AI236="Yes","❌ Disc",IF(AH236="No","⚠ Missing",IF(AK236="Yes","✓ OK","⚠ Check"))))</f>
        <v/>
      </c>
      <c r="AO236" s="36" t="n"/>
      <c r="AP236" s="36" t="n"/>
      <c r="AQ236" s="36" t="n"/>
      <c r="AR236" s="36" t="n"/>
      <c r="AS236" s="36" t="n"/>
      <c r="AT236" s="36" t="n"/>
      <c r="AU236" s="27" t="n"/>
      <c r="AV236" s="37" t="n"/>
      <c r="AW236" s="38">
        <f>IF(AO236="","",IF(AR236="Yes","❌ Disc",IF(AQ236="No","⚠ Missing",IF(AT236="Yes","✓ OK","⚠ Check"))))</f>
        <v/>
      </c>
    </row>
    <row r="237" ht="18" customHeight="1" s="46">
      <c r="A237" s="23" t="n">
        <v>233</v>
      </c>
      <c r="B237" s="24" t="inlineStr">
        <is>
          <t>BD-HNA-2025-0147</t>
        </is>
      </c>
      <c r="C237" s="25" t="inlineStr">
        <is>
          <t>Bonito Handles - MACAW(G.H) - Brushed Gold Handle  - 200mm</t>
        </is>
      </c>
      <c r="D237" s="23" t="inlineStr">
        <is>
          <t>Bonito Handles</t>
        </is>
      </c>
      <c r="E237" s="43" t="n">
        <v>46125</v>
      </c>
      <c r="F237" s="26" t="inlineStr">
        <is>
          <t>Sunil CR</t>
        </is>
      </c>
      <c r="G237" s="44" t="inlineStr">
        <is>
          <t>Represented by Sample</t>
        </is>
      </c>
      <c r="H237" s="26" t="inlineStr">
        <is>
          <t>No</t>
        </is>
      </c>
      <c r="I237" s="44" t="inlineStr">
        <is>
          <t>Represented by Sample</t>
        </is>
      </c>
      <c r="J237" s="26" t="inlineStr">
        <is>
          <t>Yes</t>
        </is>
      </c>
      <c r="K237" s="27" t="n"/>
      <c r="L237" s="28" t="inlineStr">
        <is>
          <t>No</t>
        </is>
      </c>
      <c r="M237" s="29">
        <f>IF(E237="","",IF(H237="Yes","❌ Disc",IF(G237="No","⚠ Missing",IF(J237="Yes","✓ OK","⚠ Check"))))</f>
        <v/>
      </c>
      <c r="N237" s="43" t="n">
        <v>46196</v>
      </c>
      <c r="O237" s="26" t="inlineStr">
        <is>
          <t>Sunil CR</t>
        </is>
      </c>
      <c r="P237" s="44" t="inlineStr">
        <is>
          <t>Represented by Sample</t>
        </is>
      </c>
      <c r="Q237" s="26" t="inlineStr">
        <is>
          <t>No</t>
        </is>
      </c>
      <c r="R237" s="44" t="inlineStr">
        <is>
          <t>Represented by Sample</t>
        </is>
      </c>
      <c r="S237" s="26" t="inlineStr">
        <is>
          <t>Yes</t>
        </is>
      </c>
      <c r="T237" s="27" t="n"/>
      <c r="U237" s="28" t="inlineStr">
        <is>
          <t>No</t>
        </is>
      </c>
      <c r="V237" s="29">
        <f>IF(N237="","",IF(Q237="Yes","❌ Disc",IF(P237="No","⚠ Missing",IF(S237="Yes","✓ OK","⚠ Check"))))</f>
        <v/>
      </c>
      <c r="W237" s="65" t="n">
        <v>46248</v>
      </c>
      <c r="X237" s="30" t="inlineStr">
        <is>
          <t>Sunil CR</t>
        </is>
      </c>
      <c r="Y237" s="30" t="inlineStr">
        <is>
          <t>Represented by Sample</t>
        </is>
      </c>
      <c r="Z237" s="30" t="n"/>
      <c r="AA237" s="30" t="inlineStr">
        <is>
          <t>Represented by Sample</t>
        </is>
      </c>
      <c r="AB237" s="30" t="inlineStr">
        <is>
          <t>Yes</t>
        </is>
      </c>
      <c r="AC237" s="27" t="n"/>
      <c r="AD237" s="31" t="inlineStr">
        <is>
          <t>No</t>
        </is>
      </c>
      <c r="AE237" s="32">
        <f>IF(W237="","",IF(Z237="Yes","❌ Disc",IF(Y237="No","⚠ Missing",IF(AB237="Yes","✓ OK","⚠ Check"))))</f>
        <v/>
      </c>
      <c r="AF237" s="33" t="n"/>
      <c r="AG237" s="33" t="n"/>
      <c r="AH237" s="33" t="n"/>
      <c r="AI237" s="33" t="n"/>
      <c r="AJ237" s="33" t="n"/>
      <c r="AK237" s="33" t="n"/>
      <c r="AL237" s="27" t="n"/>
      <c r="AM237" s="34" t="n"/>
      <c r="AN237" s="35">
        <f>IF(AF237="","",IF(AI237="Yes","❌ Disc",IF(AH237="No","⚠ Missing",IF(AK237="Yes","✓ OK","⚠ Check"))))</f>
        <v/>
      </c>
      <c r="AO237" s="36" t="n"/>
      <c r="AP237" s="36" t="n"/>
      <c r="AQ237" s="36" t="n"/>
      <c r="AR237" s="36" t="n"/>
      <c r="AS237" s="36" t="n"/>
      <c r="AT237" s="36" t="n"/>
      <c r="AU237" s="27" t="n"/>
      <c r="AV237" s="37" t="n"/>
      <c r="AW237" s="38">
        <f>IF(AO237="","",IF(AR237="Yes","❌ Disc",IF(AQ237="No","⚠ Missing",IF(AT237="Yes","✓ OK","⚠ Check"))))</f>
        <v/>
      </c>
    </row>
    <row r="238" ht="18" customHeight="1" s="46">
      <c r="A238" s="39" t="n">
        <v>234</v>
      </c>
      <c r="B238" s="40" t="inlineStr">
        <is>
          <t>BD-HNA-2025-0148</t>
        </is>
      </c>
      <c r="C238" s="41" t="inlineStr">
        <is>
          <t>Bonito Handles - MACAW(G.H) - Brushed Gold Handle  - 300mm</t>
        </is>
      </c>
      <c r="D238" s="39" t="inlineStr">
        <is>
          <t>Bonito Handles</t>
        </is>
      </c>
      <c r="E238" s="43" t="n">
        <v>46125</v>
      </c>
      <c r="F238" s="26" t="inlineStr">
        <is>
          <t>Sunil CR</t>
        </is>
      </c>
      <c r="G238" s="44" t="inlineStr">
        <is>
          <t>Represented by Sample</t>
        </is>
      </c>
      <c r="H238" s="26" t="inlineStr">
        <is>
          <t>No</t>
        </is>
      </c>
      <c r="I238" s="44" t="inlineStr">
        <is>
          <t>Represented by Sample</t>
        </is>
      </c>
      <c r="J238" s="26" t="inlineStr">
        <is>
          <t>Yes</t>
        </is>
      </c>
      <c r="K238" s="27" t="n"/>
      <c r="L238" s="28" t="inlineStr">
        <is>
          <t>No</t>
        </is>
      </c>
      <c r="M238" s="29">
        <f>IF(E238="","",IF(H238="Yes","❌ Disc",IF(G238="No","⚠ Missing",IF(J238="Yes","✓ OK","⚠ Check"))))</f>
        <v/>
      </c>
      <c r="N238" s="43" t="n">
        <v>46196</v>
      </c>
      <c r="O238" s="26" t="inlineStr">
        <is>
          <t>Sunil CR</t>
        </is>
      </c>
      <c r="P238" s="44" t="inlineStr">
        <is>
          <t>Represented by Sample</t>
        </is>
      </c>
      <c r="Q238" s="26" t="inlineStr">
        <is>
          <t>No</t>
        </is>
      </c>
      <c r="R238" s="44" t="inlineStr">
        <is>
          <t>Represented by Sample</t>
        </is>
      </c>
      <c r="S238" s="26" t="inlineStr">
        <is>
          <t>Yes</t>
        </is>
      </c>
      <c r="T238" s="27" t="n"/>
      <c r="U238" s="28" t="inlineStr">
        <is>
          <t>No</t>
        </is>
      </c>
      <c r="V238" s="29">
        <f>IF(N238="","",IF(Q238="Yes","❌ Disc",IF(P238="No","⚠ Missing",IF(S238="Yes","✓ OK","⚠ Check"))))</f>
        <v/>
      </c>
      <c r="W238" s="65" t="n">
        <v>46248</v>
      </c>
      <c r="X238" s="30" t="inlineStr">
        <is>
          <t>Sunil CR</t>
        </is>
      </c>
      <c r="Y238" s="30" t="inlineStr">
        <is>
          <t>Represented by Sample</t>
        </is>
      </c>
      <c r="Z238" s="30" t="n"/>
      <c r="AA238" s="30" t="inlineStr">
        <is>
          <t>Represented by Sample</t>
        </is>
      </c>
      <c r="AB238" s="30" t="inlineStr">
        <is>
          <t>Yes</t>
        </is>
      </c>
      <c r="AC238" s="27" t="n"/>
      <c r="AD238" s="31" t="inlineStr">
        <is>
          <t>No</t>
        </is>
      </c>
      <c r="AE238" s="32">
        <f>IF(W238="","",IF(Z238="Yes","❌ Disc",IF(Y238="No","⚠ Missing",IF(AB238="Yes","✓ OK","⚠ Check"))))</f>
        <v/>
      </c>
      <c r="AF238" s="33" t="n"/>
      <c r="AG238" s="33" t="n"/>
      <c r="AH238" s="33" t="n"/>
      <c r="AI238" s="33" t="n"/>
      <c r="AJ238" s="33" t="n"/>
      <c r="AK238" s="33" t="n"/>
      <c r="AL238" s="27" t="n"/>
      <c r="AM238" s="34" t="n"/>
      <c r="AN238" s="35">
        <f>IF(AF238="","",IF(AI238="Yes","❌ Disc",IF(AH238="No","⚠ Missing",IF(AK238="Yes","✓ OK","⚠ Check"))))</f>
        <v/>
      </c>
      <c r="AO238" s="36" t="n"/>
      <c r="AP238" s="36" t="n"/>
      <c r="AQ238" s="36" t="n"/>
      <c r="AR238" s="36" t="n"/>
      <c r="AS238" s="36" t="n"/>
      <c r="AT238" s="36" t="n"/>
      <c r="AU238" s="27" t="n"/>
      <c r="AV238" s="37" t="n"/>
      <c r="AW238" s="38">
        <f>IF(AO238="","",IF(AR238="Yes","❌ Disc",IF(AQ238="No","⚠ Missing",IF(AT238="Yes","✓ OK","⚠ Check"))))</f>
        <v/>
      </c>
    </row>
    <row r="239" ht="18" customHeight="1" s="46">
      <c r="A239" s="23" t="n">
        <v>235</v>
      </c>
      <c r="B239" s="24" t="inlineStr">
        <is>
          <t>BD-HNA-2025-0149</t>
        </is>
      </c>
      <c r="C239" s="25" t="inlineStr">
        <is>
          <t>Bonito Handles - MACAW(G.H) - Brushed Gold Handle  - 450mm</t>
        </is>
      </c>
      <c r="D239" s="23" t="inlineStr">
        <is>
          <t>Bonito Handles</t>
        </is>
      </c>
      <c r="E239" s="43" t="n">
        <v>46125</v>
      </c>
      <c r="F239" s="26" t="inlineStr">
        <is>
          <t>Sunil CR</t>
        </is>
      </c>
      <c r="G239" s="44" t="inlineStr">
        <is>
          <t>Represented by Sample</t>
        </is>
      </c>
      <c r="H239" s="26" t="inlineStr">
        <is>
          <t>No</t>
        </is>
      </c>
      <c r="I239" s="44" t="inlineStr">
        <is>
          <t>Represented by Sample</t>
        </is>
      </c>
      <c r="J239" s="26" t="inlineStr">
        <is>
          <t>Yes</t>
        </is>
      </c>
      <c r="K239" s="27" t="n"/>
      <c r="L239" s="28" t="inlineStr">
        <is>
          <t>No</t>
        </is>
      </c>
      <c r="M239" s="29">
        <f>IF(E239="","",IF(H239="Yes","❌ Disc",IF(G239="No","⚠ Missing",IF(J239="Yes","✓ OK","⚠ Check"))))</f>
        <v/>
      </c>
      <c r="N239" s="43" t="n">
        <v>46196</v>
      </c>
      <c r="O239" s="26" t="inlineStr">
        <is>
          <t>Sunil CR</t>
        </is>
      </c>
      <c r="P239" s="44" t="inlineStr">
        <is>
          <t>Represented by Sample</t>
        </is>
      </c>
      <c r="Q239" s="26" t="inlineStr">
        <is>
          <t>No</t>
        </is>
      </c>
      <c r="R239" s="44" t="inlineStr">
        <is>
          <t>Represented by Sample</t>
        </is>
      </c>
      <c r="S239" s="26" t="inlineStr">
        <is>
          <t>Yes</t>
        </is>
      </c>
      <c r="T239" s="27" t="n"/>
      <c r="U239" s="28" t="inlineStr">
        <is>
          <t>No</t>
        </is>
      </c>
      <c r="V239" s="29">
        <f>IF(N239="","",IF(Q239="Yes","❌ Disc",IF(P239="No","⚠ Missing",IF(S239="Yes","✓ OK","⚠ Check"))))</f>
        <v/>
      </c>
      <c r="W239" s="65" t="n">
        <v>46248</v>
      </c>
      <c r="X239" s="30" t="inlineStr">
        <is>
          <t>Sunil CR</t>
        </is>
      </c>
      <c r="Y239" s="30" t="inlineStr">
        <is>
          <t>Represented by Sample</t>
        </is>
      </c>
      <c r="Z239" s="30" t="n"/>
      <c r="AA239" s="30" t="inlineStr">
        <is>
          <t>Represented by Sample</t>
        </is>
      </c>
      <c r="AB239" s="30" t="inlineStr">
        <is>
          <t>Yes</t>
        </is>
      </c>
      <c r="AC239" s="27" t="n"/>
      <c r="AD239" s="31" t="inlineStr">
        <is>
          <t>No</t>
        </is>
      </c>
      <c r="AE239" s="32">
        <f>IF(W239="","",IF(Z239="Yes","❌ Disc",IF(Y239="No","⚠ Missing",IF(AB239="Yes","✓ OK","⚠ Check"))))</f>
        <v/>
      </c>
      <c r="AF239" s="33" t="n"/>
      <c r="AG239" s="33" t="n"/>
      <c r="AH239" s="33" t="n"/>
      <c r="AI239" s="33" t="n"/>
      <c r="AJ239" s="33" t="n"/>
      <c r="AK239" s="33" t="n"/>
      <c r="AL239" s="27" t="n"/>
      <c r="AM239" s="34" t="n"/>
      <c r="AN239" s="35">
        <f>IF(AF239="","",IF(AI239="Yes","❌ Disc",IF(AH239="No","⚠ Missing",IF(AK239="Yes","✓ OK","⚠ Check"))))</f>
        <v/>
      </c>
      <c r="AO239" s="36" t="n"/>
      <c r="AP239" s="36" t="n"/>
      <c r="AQ239" s="36" t="n"/>
      <c r="AR239" s="36" t="n"/>
      <c r="AS239" s="36" t="n"/>
      <c r="AT239" s="36" t="n"/>
      <c r="AU239" s="27" t="n"/>
      <c r="AV239" s="37" t="n"/>
      <c r="AW239" s="38">
        <f>IF(AO239="","",IF(AR239="Yes","❌ Disc",IF(AQ239="No","⚠ Missing",IF(AT239="Yes","✓ OK","⚠ Check"))))</f>
        <v/>
      </c>
    </row>
    <row r="240" ht="18" customHeight="1" s="46">
      <c r="A240" s="39" t="n">
        <v>236</v>
      </c>
      <c r="B240" s="40" t="inlineStr">
        <is>
          <t>BD-HNA-2025-0150</t>
        </is>
      </c>
      <c r="C240" s="41" t="inlineStr">
        <is>
          <t>Bonito Handles - MACAW(G.H) - Brushed Gold Handle  - 596mm</t>
        </is>
      </c>
      <c r="D240" s="39" t="inlineStr">
        <is>
          <t>Bonito Handles</t>
        </is>
      </c>
      <c r="E240" s="43" t="n">
        <v>46125</v>
      </c>
      <c r="F240" s="26" t="inlineStr">
        <is>
          <t>Sunil CR</t>
        </is>
      </c>
      <c r="G240" s="44" t="inlineStr">
        <is>
          <t>Represented by Sample</t>
        </is>
      </c>
      <c r="H240" s="26" t="inlineStr">
        <is>
          <t>No</t>
        </is>
      </c>
      <c r="I240" s="44" t="inlineStr">
        <is>
          <t>Represented by Sample</t>
        </is>
      </c>
      <c r="J240" s="26" t="inlineStr">
        <is>
          <t>Yes</t>
        </is>
      </c>
      <c r="K240" s="27" t="n"/>
      <c r="L240" s="28" t="inlineStr">
        <is>
          <t>No</t>
        </is>
      </c>
      <c r="M240" s="29">
        <f>IF(E240="","",IF(H240="Yes","❌ Disc",IF(G240="No","⚠ Missing",IF(J240="Yes","✓ OK","⚠ Check"))))</f>
        <v/>
      </c>
      <c r="N240" s="43" t="n">
        <v>46196</v>
      </c>
      <c r="O240" s="26" t="inlineStr">
        <is>
          <t>Sunil CR</t>
        </is>
      </c>
      <c r="P240" s="44" t="inlineStr">
        <is>
          <t>Represented by Sample</t>
        </is>
      </c>
      <c r="Q240" s="26" t="inlineStr">
        <is>
          <t>No</t>
        </is>
      </c>
      <c r="R240" s="44" t="inlineStr">
        <is>
          <t>Represented by Sample</t>
        </is>
      </c>
      <c r="S240" s="26" t="inlineStr">
        <is>
          <t>Yes</t>
        </is>
      </c>
      <c r="T240" s="27" t="n"/>
      <c r="U240" s="28" t="inlineStr">
        <is>
          <t>No</t>
        </is>
      </c>
      <c r="V240" s="29">
        <f>IF(N240="","",IF(Q240="Yes","❌ Disc",IF(P240="No","⚠ Missing",IF(S240="Yes","✓ OK","⚠ Check"))))</f>
        <v/>
      </c>
      <c r="W240" s="65" t="n">
        <v>46248</v>
      </c>
      <c r="X240" s="30" t="inlineStr">
        <is>
          <t>Sunil CR</t>
        </is>
      </c>
      <c r="Y240" s="30" t="inlineStr">
        <is>
          <t>Represented by Sample</t>
        </is>
      </c>
      <c r="Z240" s="30" t="n"/>
      <c r="AA240" s="30" t="inlineStr">
        <is>
          <t>Represented by Sample</t>
        </is>
      </c>
      <c r="AB240" s="30" t="inlineStr">
        <is>
          <t>Yes</t>
        </is>
      </c>
      <c r="AC240" s="27" t="n"/>
      <c r="AD240" s="31" t="inlineStr">
        <is>
          <t>No</t>
        </is>
      </c>
      <c r="AE240" s="32">
        <f>IF(W240="","",IF(Z240="Yes","❌ Disc",IF(Y240="No","⚠ Missing",IF(AB240="Yes","✓ OK","⚠ Check"))))</f>
        <v/>
      </c>
      <c r="AF240" s="33" t="n"/>
      <c r="AG240" s="33" t="n"/>
      <c r="AH240" s="33" t="n"/>
      <c r="AI240" s="33" t="n"/>
      <c r="AJ240" s="33" t="n"/>
      <c r="AK240" s="33" t="n"/>
      <c r="AL240" s="27" t="n"/>
      <c r="AM240" s="34" t="n"/>
      <c r="AN240" s="35">
        <f>IF(AF240="","",IF(AI240="Yes","❌ Disc",IF(AH240="No","⚠ Missing",IF(AK240="Yes","✓ OK","⚠ Check"))))</f>
        <v/>
      </c>
      <c r="AO240" s="36" t="n"/>
      <c r="AP240" s="36" t="n"/>
      <c r="AQ240" s="36" t="n"/>
      <c r="AR240" s="36" t="n"/>
      <c r="AS240" s="36" t="n"/>
      <c r="AT240" s="36" t="n"/>
      <c r="AU240" s="27" t="n"/>
      <c r="AV240" s="37" t="n"/>
      <c r="AW240" s="38">
        <f>IF(AO240="","",IF(AR240="Yes","❌ Disc",IF(AQ240="No","⚠ Missing",IF(AT240="Yes","✓ OK","⚠ Check"))))</f>
        <v/>
      </c>
    </row>
    <row r="241" ht="18" customHeight="1" s="46">
      <c r="A241" s="23" t="n">
        <v>237</v>
      </c>
      <c r="B241" s="24" t="inlineStr">
        <is>
          <t>BD-HNA-2025-0155</t>
        </is>
      </c>
      <c r="C241" s="25" t="inlineStr">
        <is>
          <t>Bonito Handles - MACAW(G.H) - Rose Handle  - 200mm</t>
        </is>
      </c>
      <c r="D241" s="23" t="inlineStr">
        <is>
          <t>Bonito Handles</t>
        </is>
      </c>
      <c r="E241" s="43" t="n">
        <v>46125</v>
      </c>
      <c r="F241" s="26" t="inlineStr">
        <is>
          <t>Sunil CR</t>
        </is>
      </c>
      <c r="G241" s="44" t="inlineStr">
        <is>
          <t>Represented by Sample</t>
        </is>
      </c>
      <c r="H241" s="26" t="inlineStr">
        <is>
          <t>No</t>
        </is>
      </c>
      <c r="I241" s="44" t="inlineStr">
        <is>
          <t>Represented by Sample</t>
        </is>
      </c>
      <c r="J241" s="26" t="inlineStr">
        <is>
          <t>Yes</t>
        </is>
      </c>
      <c r="K241" s="27" t="n"/>
      <c r="L241" s="28" t="inlineStr">
        <is>
          <t>No</t>
        </is>
      </c>
      <c r="M241" s="29">
        <f>IF(E241="","",IF(H241="Yes","❌ Disc",IF(G241="No","⚠ Missing",IF(J241="Yes","✓ OK","⚠ Check"))))</f>
        <v/>
      </c>
      <c r="N241" s="43" t="n">
        <v>46196</v>
      </c>
      <c r="O241" s="26" t="inlineStr">
        <is>
          <t>Sunil CR</t>
        </is>
      </c>
      <c r="P241" s="44" t="inlineStr">
        <is>
          <t>Represented by Sample</t>
        </is>
      </c>
      <c r="Q241" s="26" t="inlineStr">
        <is>
          <t>No</t>
        </is>
      </c>
      <c r="R241" s="44" t="inlineStr">
        <is>
          <t>Represented by Sample</t>
        </is>
      </c>
      <c r="S241" s="26" t="inlineStr">
        <is>
          <t>Yes</t>
        </is>
      </c>
      <c r="T241" s="27" t="n"/>
      <c r="U241" s="28" t="inlineStr">
        <is>
          <t>No</t>
        </is>
      </c>
      <c r="V241" s="29">
        <f>IF(N241="","",IF(Q241="Yes","❌ Disc",IF(P241="No","⚠ Missing",IF(S241="Yes","✓ OK","⚠ Check"))))</f>
        <v/>
      </c>
      <c r="W241" s="65" t="n">
        <v>46248</v>
      </c>
      <c r="X241" s="30" t="inlineStr">
        <is>
          <t>Sunil CR</t>
        </is>
      </c>
      <c r="Y241" s="30" t="inlineStr">
        <is>
          <t>Represented by Sample</t>
        </is>
      </c>
      <c r="Z241" s="30" t="n"/>
      <c r="AA241" s="30" t="inlineStr">
        <is>
          <t>Represented by Sample</t>
        </is>
      </c>
      <c r="AB241" s="30" t="inlineStr">
        <is>
          <t>Yes</t>
        </is>
      </c>
      <c r="AC241" s="27" t="n"/>
      <c r="AD241" s="31" t="inlineStr">
        <is>
          <t>No</t>
        </is>
      </c>
      <c r="AE241" s="32">
        <f>IF(W241="","",IF(Z241="Yes","❌ Disc",IF(Y241="No","⚠ Missing",IF(AB241="Yes","✓ OK","⚠ Check"))))</f>
        <v/>
      </c>
      <c r="AF241" s="33" t="n"/>
      <c r="AG241" s="33" t="n"/>
      <c r="AH241" s="33" t="n"/>
      <c r="AI241" s="33" t="n"/>
      <c r="AJ241" s="33" t="n"/>
      <c r="AK241" s="33" t="n"/>
      <c r="AL241" s="27" t="n"/>
      <c r="AM241" s="34" t="n"/>
      <c r="AN241" s="35">
        <f>IF(AF241="","",IF(AI241="Yes","❌ Disc",IF(AH241="No","⚠ Missing",IF(AK241="Yes","✓ OK","⚠ Check"))))</f>
        <v/>
      </c>
      <c r="AO241" s="36" t="n"/>
      <c r="AP241" s="36" t="n"/>
      <c r="AQ241" s="36" t="n"/>
      <c r="AR241" s="36" t="n"/>
      <c r="AS241" s="36" t="n"/>
      <c r="AT241" s="36" t="n"/>
      <c r="AU241" s="27" t="n"/>
      <c r="AV241" s="37" t="n"/>
      <c r="AW241" s="38">
        <f>IF(AO241="","",IF(AR241="Yes","❌ Disc",IF(AQ241="No","⚠ Missing",IF(AT241="Yes","✓ OK","⚠ Check"))))</f>
        <v/>
      </c>
    </row>
    <row r="242" ht="18" customHeight="1" s="46">
      <c r="A242" s="39" t="n">
        <v>238</v>
      </c>
      <c r="B242" s="40" t="inlineStr">
        <is>
          <t>BD-HNA-2025-0156</t>
        </is>
      </c>
      <c r="C242" s="41" t="inlineStr">
        <is>
          <t>Bonito Handles - MACAW(G.H) - Rose Handle  - 300mm</t>
        </is>
      </c>
      <c r="D242" s="39" t="inlineStr">
        <is>
          <t>Bonito Handles</t>
        </is>
      </c>
      <c r="E242" s="43" t="n">
        <v>46125</v>
      </c>
      <c r="F242" s="26" t="inlineStr">
        <is>
          <t>Sunil CR</t>
        </is>
      </c>
      <c r="G242" s="44" t="inlineStr">
        <is>
          <t>Represented by Sample</t>
        </is>
      </c>
      <c r="H242" s="26" t="inlineStr">
        <is>
          <t>No</t>
        </is>
      </c>
      <c r="I242" s="44" t="inlineStr">
        <is>
          <t>Represented by Sample</t>
        </is>
      </c>
      <c r="J242" s="26" t="inlineStr">
        <is>
          <t>Yes</t>
        </is>
      </c>
      <c r="K242" s="27" t="n"/>
      <c r="L242" s="28" t="inlineStr">
        <is>
          <t>No</t>
        </is>
      </c>
      <c r="M242" s="29">
        <f>IF(E242="","",IF(H242="Yes","❌ Disc",IF(G242="No","⚠ Missing",IF(J242="Yes","✓ OK","⚠ Check"))))</f>
        <v/>
      </c>
      <c r="N242" s="43" t="n">
        <v>46196</v>
      </c>
      <c r="O242" s="26" t="inlineStr">
        <is>
          <t>Sunil CR</t>
        </is>
      </c>
      <c r="P242" s="44" t="inlineStr">
        <is>
          <t>Represented by Sample</t>
        </is>
      </c>
      <c r="Q242" s="26" t="inlineStr">
        <is>
          <t>No</t>
        </is>
      </c>
      <c r="R242" s="44" t="inlineStr">
        <is>
          <t>Represented by Sample</t>
        </is>
      </c>
      <c r="S242" s="26" t="inlineStr">
        <is>
          <t>Yes</t>
        </is>
      </c>
      <c r="T242" s="27" t="n"/>
      <c r="U242" s="28" t="inlineStr">
        <is>
          <t>No</t>
        </is>
      </c>
      <c r="V242" s="29">
        <f>IF(N242="","",IF(Q242="Yes","❌ Disc",IF(P242="No","⚠ Missing",IF(S242="Yes","✓ OK","⚠ Check"))))</f>
        <v/>
      </c>
      <c r="W242" s="65" t="n">
        <v>46248</v>
      </c>
      <c r="X242" s="30" t="inlineStr">
        <is>
          <t>Sunil CR</t>
        </is>
      </c>
      <c r="Y242" s="30" t="inlineStr">
        <is>
          <t>Represented by Sample</t>
        </is>
      </c>
      <c r="Z242" s="30" t="n"/>
      <c r="AA242" s="30" t="inlineStr">
        <is>
          <t>Represented by Sample</t>
        </is>
      </c>
      <c r="AB242" s="30" t="inlineStr">
        <is>
          <t>Yes</t>
        </is>
      </c>
      <c r="AC242" s="27" t="n"/>
      <c r="AD242" s="31" t="inlineStr">
        <is>
          <t>No</t>
        </is>
      </c>
      <c r="AE242" s="32">
        <f>IF(W242="","",IF(Z242="Yes","❌ Disc",IF(Y242="No","⚠ Missing",IF(AB242="Yes","✓ OK","⚠ Check"))))</f>
        <v/>
      </c>
      <c r="AF242" s="33" t="n"/>
      <c r="AG242" s="33" t="n"/>
      <c r="AH242" s="33" t="n"/>
      <c r="AI242" s="33" t="n"/>
      <c r="AJ242" s="33" t="n"/>
      <c r="AK242" s="33" t="n"/>
      <c r="AL242" s="27" t="n"/>
      <c r="AM242" s="34" t="n"/>
      <c r="AN242" s="35">
        <f>IF(AF242="","",IF(AI242="Yes","❌ Disc",IF(AH242="No","⚠ Missing",IF(AK242="Yes","✓ OK","⚠ Check"))))</f>
        <v/>
      </c>
      <c r="AO242" s="36" t="n"/>
      <c r="AP242" s="36" t="n"/>
      <c r="AQ242" s="36" t="n"/>
      <c r="AR242" s="36" t="n"/>
      <c r="AS242" s="36" t="n"/>
      <c r="AT242" s="36" t="n"/>
      <c r="AU242" s="27" t="n"/>
      <c r="AV242" s="37" t="n"/>
      <c r="AW242" s="38">
        <f>IF(AO242="","",IF(AR242="Yes","❌ Disc",IF(AQ242="No","⚠ Missing",IF(AT242="Yes","✓ OK","⚠ Check"))))</f>
        <v/>
      </c>
    </row>
    <row r="243" ht="18" customHeight="1" s="46">
      <c r="A243" s="23" t="n">
        <v>239</v>
      </c>
      <c r="B243" s="24" t="inlineStr">
        <is>
          <t>BD-HNA-2025-0157</t>
        </is>
      </c>
      <c r="C243" s="25" t="inlineStr">
        <is>
          <t>Bonito Handles - MACAW(G.H) - Rose Handle  - 450mm</t>
        </is>
      </c>
      <c r="D243" s="23" t="inlineStr">
        <is>
          <t>Bonito Handles</t>
        </is>
      </c>
      <c r="E243" s="43" t="n">
        <v>46125</v>
      </c>
      <c r="F243" s="26" t="inlineStr">
        <is>
          <t>Sunil CR</t>
        </is>
      </c>
      <c r="G243" s="44" t="inlineStr">
        <is>
          <t>Represented by Sample</t>
        </is>
      </c>
      <c r="H243" s="26" t="inlineStr">
        <is>
          <t>No</t>
        </is>
      </c>
      <c r="I243" s="44" t="inlineStr">
        <is>
          <t>Represented by Sample</t>
        </is>
      </c>
      <c r="J243" s="26" t="inlineStr">
        <is>
          <t>Yes</t>
        </is>
      </c>
      <c r="K243" s="27" t="n"/>
      <c r="L243" s="28" t="inlineStr">
        <is>
          <t>No</t>
        </is>
      </c>
      <c r="M243" s="29">
        <f>IF(E243="","",IF(H243="Yes","❌ Disc",IF(G243="No","⚠ Missing",IF(J243="Yes","✓ OK","⚠ Check"))))</f>
        <v/>
      </c>
      <c r="N243" s="43" t="n">
        <v>46196</v>
      </c>
      <c r="O243" s="26" t="inlineStr">
        <is>
          <t>Sunil CR</t>
        </is>
      </c>
      <c r="P243" s="44" t="inlineStr">
        <is>
          <t>Represented by Sample</t>
        </is>
      </c>
      <c r="Q243" s="26" t="inlineStr">
        <is>
          <t>No</t>
        </is>
      </c>
      <c r="R243" s="44" t="inlineStr">
        <is>
          <t>Represented by Sample</t>
        </is>
      </c>
      <c r="S243" s="26" t="inlineStr">
        <is>
          <t>Yes</t>
        </is>
      </c>
      <c r="T243" s="27" t="n"/>
      <c r="U243" s="28" t="inlineStr">
        <is>
          <t>No</t>
        </is>
      </c>
      <c r="V243" s="29">
        <f>IF(N243="","",IF(Q243="Yes","❌ Disc",IF(P243="No","⚠ Missing",IF(S243="Yes","✓ OK","⚠ Check"))))</f>
        <v/>
      </c>
      <c r="W243" s="65" t="n">
        <v>46248</v>
      </c>
      <c r="X243" s="30" t="inlineStr">
        <is>
          <t>Sunil CR</t>
        </is>
      </c>
      <c r="Y243" s="30" t="inlineStr">
        <is>
          <t>Represented by Sample</t>
        </is>
      </c>
      <c r="Z243" s="30" t="n"/>
      <c r="AA243" s="30" t="inlineStr">
        <is>
          <t>Represented by Sample</t>
        </is>
      </c>
      <c r="AB243" s="30" t="inlineStr">
        <is>
          <t>Yes</t>
        </is>
      </c>
      <c r="AC243" s="27" t="n"/>
      <c r="AD243" s="31" t="inlineStr">
        <is>
          <t>No</t>
        </is>
      </c>
      <c r="AE243" s="32">
        <f>IF(W243="","",IF(Z243="Yes","❌ Disc",IF(Y243="No","⚠ Missing",IF(AB243="Yes","✓ OK","⚠ Check"))))</f>
        <v/>
      </c>
      <c r="AF243" s="33" t="n"/>
      <c r="AG243" s="33" t="n"/>
      <c r="AH243" s="33" t="n"/>
      <c r="AI243" s="33" t="n"/>
      <c r="AJ243" s="33" t="n"/>
      <c r="AK243" s="33" t="n"/>
      <c r="AL243" s="27" t="n"/>
      <c r="AM243" s="34" t="n"/>
      <c r="AN243" s="35">
        <f>IF(AF243="","",IF(AI243="Yes","❌ Disc",IF(AH243="No","⚠ Missing",IF(AK243="Yes","✓ OK","⚠ Check"))))</f>
        <v/>
      </c>
      <c r="AO243" s="36" t="n"/>
      <c r="AP243" s="36" t="n"/>
      <c r="AQ243" s="36" t="n"/>
      <c r="AR243" s="36" t="n"/>
      <c r="AS243" s="36" t="n"/>
      <c r="AT243" s="36" t="n"/>
      <c r="AU243" s="27" t="n"/>
      <c r="AV243" s="37" t="n"/>
      <c r="AW243" s="38">
        <f>IF(AO243="","",IF(AR243="Yes","❌ Disc",IF(AQ243="No","⚠ Missing",IF(AT243="Yes","✓ OK","⚠ Check"))))</f>
        <v/>
      </c>
    </row>
    <row r="244" ht="18" customHeight="1" s="46">
      <c r="A244" s="39" t="n">
        <v>240</v>
      </c>
      <c r="B244" s="40" t="inlineStr">
        <is>
          <t>BD-HNA-2025-0158</t>
        </is>
      </c>
      <c r="C244" s="41" t="inlineStr">
        <is>
          <t>Bonito Handles - MACAW(G.H) - Rose Handle  - 596mm</t>
        </is>
      </c>
      <c r="D244" s="39" t="inlineStr">
        <is>
          <t>Bonito Handles</t>
        </is>
      </c>
      <c r="E244" s="43" t="n">
        <v>46125</v>
      </c>
      <c r="F244" s="26" t="inlineStr">
        <is>
          <t>Sunil CR</t>
        </is>
      </c>
      <c r="G244" s="44" t="inlineStr">
        <is>
          <t>Yes</t>
        </is>
      </c>
      <c r="H244" s="26" t="inlineStr">
        <is>
          <t>No</t>
        </is>
      </c>
      <c r="I244" s="44" t="inlineStr">
        <is>
          <t>Good finish</t>
        </is>
      </c>
      <c r="J244" s="26" t="inlineStr">
        <is>
          <t>Yes</t>
        </is>
      </c>
      <c r="K244" s="27" t="n"/>
      <c r="L244" s="28" t="inlineStr">
        <is>
          <t>No</t>
        </is>
      </c>
      <c r="M244" s="29">
        <f>IF(E244="","",IF(H244="Yes","❌ Disc",IF(G244="No","⚠ Missing",IF(J244="Yes","✓ OK","⚠ Check"))))</f>
        <v/>
      </c>
      <c r="N244" s="43" t="n">
        <v>46196</v>
      </c>
      <c r="O244" s="26" t="inlineStr">
        <is>
          <t>Sunil CR</t>
        </is>
      </c>
      <c r="P244" s="44" t="inlineStr">
        <is>
          <t>Yes</t>
        </is>
      </c>
      <c r="Q244" s="26" t="inlineStr">
        <is>
          <t>No</t>
        </is>
      </c>
      <c r="R244" s="44" t="inlineStr">
        <is>
          <t>Good finish</t>
        </is>
      </c>
      <c r="S244" s="26" t="inlineStr">
        <is>
          <t>Yes</t>
        </is>
      </c>
      <c r="T244" s="27" t="n"/>
      <c r="U244" s="28" t="inlineStr">
        <is>
          <t>No</t>
        </is>
      </c>
      <c r="V244" s="29">
        <f>IF(N244="","",IF(Q244="Yes","❌ Disc",IF(P244="No","⚠ Missing",IF(S244="Yes","✓ OK","⚠ Check"))))</f>
        <v/>
      </c>
      <c r="W244" s="65" t="n">
        <v>46248</v>
      </c>
      <c r="X244" s="30" t="inlineStr">
        <is>
          <t>Sunil CR</t>
        </is>
      </c>
      <c r="Y244" s="30" t="inlineStr">
        <is>
          <t>Yes</t>
        </is>
      </c>
      <c r="Z244" s="30" t="n"/>
      <c r="AA244" s="30" t="inlineStr">
        <is>
          <t>Good finish</t>
        </is>
      </c>
      <c r="AB244" s="30" t="inlineStr">
        <is>
          <t>Yes</t>
        </is>
      </c>
      <c r="AC244" s="27" t="n"/>
      <c r="AD244" s="31" t="inlineStr">
        <is>
          <t>No</t>
        </is>
      </c>
      <c r="AE244" s="32">
        <f>IF(W244="","",IF(Z244="Yes","❌ Disc",IF(Y244="No","⚠ Missing",IF(AB244="Yes","✓ OK","⚠ Check"))))</f>
        <v/>
      </c>
      <c r="AF244" s="33" t="n"/>
      <c r="AG244" s="33" t="n"/>
      <c r="AH244" s="33" t="n"/>
      <c r="AI244" s="33" t="n"/>
      <c r="AJ244" s="33" t="n"/>
      <c r="AK244" s="33" t="n"/>
      <c r="AL244" s="27" t="n"/>
      <c r="AM244" s="34" t="n"/>
      <c r="AN244" s="35">
        <f>IF(AF244="","",IF(AI244="Yes","❌ Disc",IF(AH244="No","⚠ Missing",IF(AK244="Yes","✓ OK","⚠ Check"))))</f>
        <v/>
      </c>
      <c r="AO244" s="36" t="n"/>
      <c r="AP244" s="36" t="n"/>
      <c r="AQ244" s="36" t="n"/>
      <c r="AR244" s="36" t="n"/>
      <c r="AS244" s="36" t="n"/>
      <c r="AT244" s="36" t="n"/>
      <c r="AU244" s="27" t="n"/>
      <c r="AV244" s="37" t="n"/>
      <c r="AW244" s="38">
        <f>IF(AO244="","",IF(AR244="Yes","❌ Disc",IF(AQ244="No","⚠ Missing",IF(AT244="Yes","✓ OK","⚠ Check"))))</f>
        <v/>
      </c>
    </row>
    <row r="245" ht="18" customHeight="1" s="46">
      <c r="A245" s="23" t="n">
        <v>241</v>
      </c>
      <c r="B245" s="24" t="inlineStr">
        <is>
          <t>BD-HNA-2025-0343</t>
        </is>
      </c>
      <c r="C245" s="25" t="inlineStr">
        <is>
          <t>Bonito Handles - N.H_VI-03 - Anodized SS Coated Profile Handle - 200mm</t>
        </is>
      </c>
      <c r="D245" s="23" t="inlineStr">
        <is>
          <t>Bonito Handles</t>
        </is>
      </c>
      <c r="E245" s="43" t="n">
        <v>46125</v>
      </c>
      <c r="F245" s="26" t="inlineStr">
        <is>
          <t>Sunil CR</t>
        </is>
      </c>
      <c r="G245" s="44" t="inlineStr">
        <is>
          <t>Represented by Sample</t>
        </is>
      </c>
      <c r="H245" s="26" t="inlineStr">
        <is>
          <t>No</t>
        </is>
      </c>
      <c r="I245" s="44" t="inlineStr">
        <is>
          <t>Represented by Sample</t>
        </is>
      </c>
      <c r="J245" s="26" t="inlineStr">
        <is>
          <t>Yes</t>
        </is>
      </c>
      <c r="K245" s="27" t="n"/>
      <c r="L245" s="28" t="inlineStr">
        <is>
          <t>No</t>
        </is>
      </c>
      <c r="M245" s="29">
        <f>IF(E245="","",IF(H245="Yes","❌ Disc",IF(G245="No","⚠ Missing",IF(J245="Yes","✓ OK","⚠ Check"))))</f>
        <v/>
      </c>
      <c r="N245" s="43" t="n">
        <v>46196</v>
      </c>
      <c r="O245" s="26" t="inlineStr">
        <is>
          <t>Sunil CR</t>
        </is>
      </c>
      <c r="P245" s="44" t="inlineStr">
        <is>
          <t>Represented by Sample</t>
        </is>
      </c>
      <c r="Q245" s="26" t="inlineStr">
        <is>
          <t>No</t>
        </is>
      </c>
      <c r="R245" s="44" t="inlineStr">
        <is>
          <t>Represented by Sample</t>
        </is>
      </c>
      <c r="S245" s="26" t="inlineStr">
        <is>
          <t>Yes</t>
        </is>
      </c>
      <c r="T245" s="27" t="n"/>
      <c r="U245" s="28" t="inlineStr">
        <is>
          <t>No</t>
        </is>
      </c>
      <c r="V245" s="29">
        <f>IF(N245="","",IF(Q245="Yes","❌ Disc",IF(P245="No","⚠ Missing",IF(S245="Yes","✓ OK","⚠ Check"))))</f>
        <v/>
      </c>
      <c r="W245" s="65" t="n">
        <v>46248</v>
      </c>
      <c r="X245" s="30" t="inlineStr">
        <is>
          <t>Sunil CR</t>
        </is>
      </c>
      <c r="Y245" s="30" t="inlineStr">
        <is>
          <t>Represented by Sample</t>
        </is>
      </c>
      <c r="Z245" s="30" t="n"/>
      <c r="AA245" s="30" t="inlineStr">
        <is>
          <t>Represented by Sample</t>
        </is>
      </c>
      <c r="AB245" s="30" t="inlineStr">
        <is>
          <t>Yes</t>
        </is>
      </c>
      <c r="AC245" s="27" t="n"/>
      <c r="AD245" s="31" t="inlineStr">
        <is>
          <t>No</t>
        </is>
      </c>
      <c r="AE245" s="32">
        <f>IF(W245="","",IF(Z245="Yes","❌ Disc",IF(Y245="No","⚠ Missing",IF(AB245="Yes","✓ OK","⚠ Check"))))</f>
        <v/>
      </c>
      <c r="AF245" s="33" t="n"/>
      <c r="AG245" s="33" t="n"/>
      <c r="AH245" s="33" t="n"/>
      <c r="AI245" s="33" t="n"/>
      <c r="AJ245" s="33" t="n"/>
      <c r="AK245" s="33" t="n"/>
      <c r="AL245" s="27" t="n"/>
      <c r="AM245" s="34" t="n"/>
      <c r="AN245" s="35">
        <f>IF(AF245="","",IF(AI245="Yes","❌ Disc",IF(AH245="No","⚠ Missing",IF(AK245="Yes","✓ OK","⚠ Check"))))</f>
        <v/>
      </c>
      <c r="AO245" s="36" t="n"/>
      <c r="AP245" s="36" t="n"/>
      <c r="AQ245" s="36" t="n"/>
      <c r="AR245" s="36" t="n"/>
      <c r="AS245" s="36" t="n"/>
      <c r="AT245" s="36" t="n"/>
      <c r="AU245" s="27" t="n"/>
      <c r="AV245" s="37" t="n"/>
      <c r="AW245" s="38">
        <f>IF(AO245="","",IF(AR245="Yes","❌ Disc",IF(AQ245="No","⚠ Missing",IF(AT245="Yes","✓ OK","⚠ Check"))))</f>
        <v/>
      </c>
    </row>
    <row r="246" ht="18" customHeight="1" s="46">
      <c r="A246" s="39" t="n">
        <v>242</v>
      </c>
      <c r="B246" s="40" t="inlineStr">
        <is>
          <t>BD-HNA-2025-0344</t>
        </is>
      </c>
      <c r="C246" s="41" t="inlineStr">
        <is>
          <t>Bonito Handles - N.H_VI-03 - Anodized SS Coated Profile Handle - 250mm</t>
        </is>
      </c>
      <c r="D246" s="39" t="inlineStr">
        <is>
          <t>Bonito Handles</t>
        </is>
      </c>
      <c r="E246" s="43" t="n">
        <v>46125</v>
      </c>
      <c r="F246" s="26" t="inlineStr">
        <is>
          <t>Sunil CR</t>
        </is>
      </c>
      <c r="G246" s="44" t="inlineStr">
        <is>
          <t>Represented by Sample</t>
        </is>
      </c>
      <c r="H246" s="26" t="inlineStr">
        <is>
          <t>No</t>
        </is>
      </c>
      <c r="I246" s="44" t="inlineStr">
        <is>
          <t>Represented by Sample</t>
        </is>
      </c>
      <c r="J246" s="26" t="inlineStr">
        <is>
          <t>Yes</t>
        </is>
      </c>
      <c r="K246" s="27" t="n"/>
      <c r="L246" s="28" t="inlineStr">
        <is>
          <t>No</t>
        </is>
      </c>
      <c r="M246" s="29">
        <f>IF(E246="","",IF(H246="Yes","❌ Disc",IF(G246="No","⚠ Missing",IF(J246="Yes","✓ OK","⚠ Check"))))</f>
        <v/>
      </c>
      <c r="N246" s="43" t="n">
        <v>46196</v>
      </c>
      <c r="O246" s="26" t="inlineStr">
        <is>
          <t>Sunil CR</t>
        </is>
      </c>
      <c r="P246" s="44" t="inlineStr">
        <is>
          <t>Represented by Sample</t>
        </is>
      </c>
      <c r="Q246" s="26" t="inlineStr">
        <is>
          <t>No</t>
        </is>
      </c>
      <c r="R246" s="44" t="inlineStr">
        <is>
          <t>Represented by Sample</t>
        </is>
      </c>
      <c r="S246" s="26" t="inlineStr">
        <is>
          <t>Yes</t>
        </is>
      </c>
      <c r="T246" s="27" t="n"/>
      <c r="U246" s="28" t="inlineStr">
        <is>
          <t>No</t>
        </is>
      </c>
      <c r="V246" s="29">
        <f>IF(N246="","",IF(Q246="Yes","❌ Disc",IF(P246="No","⚠ Missing",IF(S246="Yes","✓ OK","⚠ Check"))))</f>
        <v/>
      </c>
      <c r="W246" s="65" t="n">
        <v>46248</v>
      </c>
      <c r="X246" s="30" t="inlineStr">
        <is>
          <t>Sunil CR</t>
        </is>
      </c>
      <c r="Y246" s="30" t="inlineStr">
        <is>
          <t>Represented by Sample</t>
        </is>
      </c>
      <c r="Z246" s="30" t="n"/>
      <c r="AA246" s="30" t="inlineStr">
        <is>
          <t>Represented by Sample</t>
        </is>
      </c>
      <c r="AB246" s="30" t="inlineStr">
        <is>
          <t>Yes</t>
        </is>
      </c>
      <c r="AC246" s="27" t="n"/>
      <c r="AD246" s="31" t="inlineStr">
        <is>
          <t>No</t>
        </is>
      </c>
      <c r="AE246" s="32">
        <f>IF(W246="","",IF(Z246="Yes","❌ Disc",IF(Y246="No","⚠ Missing",IF(AB246="Yes","✓ OK","⚠ Check"))))</f>
        <v/>
      </c>
      <c r="AF246" s="33" t="n"/>
      <c r="AG246" s="33" t="n"/>
      <c r="AH246" s="33" t="n"/>
      <c r="AI246" s="33" t="n"/>
      <c r="AJ246" s="33" t="n"/>
      <c r="AK246" s="33" t="n"/>
      <c r="AL246" s="27" t="n"/>
      <c r="AM246" s="34" t="n"/>
      <c r="AN246" s="35">
        <f>IF(AF246="","",IF(AI246="Yes","❌ Disc",IF(AH246="No","⚠ Missing",IF(AK246="Yes","✓ OK","⚠ Check"))))</f>
        <v/>
      </c>
      <c r="AO246" s="36" t="n"/>
      <c r="AP246" s="36" t="n"/>
      <c r="AQ246" s="36" t="n"/>
      <c r="AR246" s="36" t="n"/>
      <c r="AS246" s="36" t="n"/>
      <c r="AT246" s="36" t="n"/>
      <c r="AU246" s="27" t="n"/>
      <c r="AV246" s="37" t="n"/>
      <c r="AW246" s="38">
        <f>IF(AO246="","",IF(AR246="Yes","❌ Disc",IF(AQ246="No","⚠ Missing",IF(AT246="Yes","✓ OK","⚠ Check"))))</f>
        <v/>
      </c>
    </row>
    <row r="247" ht="18" customHeight="1" s="46">
      <c r="A247" s="23" t="n">
        <v>243</v>
      </c>
      <c r="B247" s="24" t="inlineStr">
        <is>
          <t>BD-HNA-2025-0345</t>
        </is>
      </c>
      <c r="C247" s="25" t="inlineStr">
        <is>
          <t>Bonito Handles - N.H_VI-03 - Anodized SS Coated Profile Handle - 300mm</t>
        </is>
      </c>
      <c r="D247" s="23" t="inlineStr">
        <is>
          <t>Bonito Handles</t>
        </is>
      </c>
      <c r="E247" s="43" t="n">
        <v>46125</v>
      </c>
      <c r="F247" s="26" t="inlineStr">
        <is>
          <t>Sunil CR</t>
        </is>
      </c>
      <c r="G247" s="44" t="inlineStr">
        <is>
          <t>Represented by Sample</t>
        </is>
      </c>
      <c r="H247" s="26" t="inlineStr">
        <is>
          <t>No</t>
        </is>
      </c>
      <c r="I247" s="44" t="inlineStr">
        <is>
          <t>Represented by Sample</t>
        </is>
      </c>
      <c r="J247" s="26" t="inlineStr">
        <is>
          <t>Yes</t>
        </is>
      </c>
      <c r="K247" s="27" t="n"/>
      <c r="L247" s="28" t="inlineStr">
        <is>
          <t>No</t>
        </is>
      </c>
      <c r="M247" s="29">
        <f>IF(E247="","",IF(H247="Yes","❌ Disc",IF(G247="No","⚠ Missing",IF(J247="Yes","✓ OK","⚠ Check"))))</f>
        <v/>
      </c>
      <c r="N247" s="43" t="n">
        <v>46196</v>
      </c>
      <c r="O247" s="26" t="inlineStr">
        <is>
          <t>Sunil CR</t>
        </is>
      </c>
      <c r="P247" s="44" t="inlineStr">
        <is>
          <t>Represented by Sample</t>
        </is>
      </c>
      <c r="Q247" s="26" t="inlineStr">
        <is>
          <t>No</t>
        </is>
      </c>
      <c r="R247" s="44" t="inlineStr">
        <is>
          <t>Represented by Sample</t>
        </is>
      </c>
      <c r="S247" s="26" t="inlineStr">
        <is>
          <t>Yes</t>
        </is>
      </c>
      <c r="T247" s="27" t="n"/>
      <c r="U247" s="28" t="inlineStr">
        <is>
          <t>No</t>
        </is>
      </c>
      <c r="V247" s="29">
        <f>IF(N247="","",IF(Q247="Yes","❌ Disc",IF(P247="No","⚠ Missing",IF(S247="Yes","✓ OK","⚠ Check"))))</f>
        <v/>
      </c>
      <c r="W247" s="65" t="n">
        <v>46248</v>
      </c>
      <c r="X247" s="30" t="inlineStr">
        <is>
          <t>Sunil CR</t>
        </is>
      </c>
      <c r="Y247" s="30" t="inlineStr">
        <is>
          <t>Represented by Sample</t>
        </is>
      </c>
      <c r="Z247" s="30" t="n"/>
      <c r="AA247" s="30" t="inlineStr">
        <is>
          <t>Represented by Sample</t>
        </is>
      </c>
      <c r="AB247" s="30" t="inlineStr">
        <is>
          <t>Yes</t>
        </is>
      </c>
      <c r="AC247" s="27" t="n"/>
      <c r="AD247" s="31" t="inlineStr">
        <is>
          <t>No</t>
        </is>
      </c>
      <c r="AE247" s="32">
        <f>IF(W247="","",IF(Z247="Yes","❌ Disc",IF(Y247="No","⚠ Missing",IF(AB247="Yes","✓ OK","⚠ Check"))))</f>
        <v/>
      </c>
      <c r="AF247" s="33" t="n"/>
      <c r="AG247" s="33" t="n"/>
      <c r="AH247" s="33" t="n"/>
      <c r="AI247" s="33" t="n"/>
      <c r="AJ247" s="33" t="n"/>
      <c r="AK247" s="33" t="n"/>
      <c r="AL247" s="27" t="n"/>
      <c r="AM247" s="34" t="n"/>
      <c r="AN247" s="35">
        <f>IF(AF247="","",IF(AI247="Yes","❌ Disc",IF(AH247="No","⚠ Missing",IF(AK247="Yes","✓ OK","⚠ Check"))))</f>
        <v/>
      </c>
      <c r="AO247" s="36" t="n"/>
      <c r="AP247" s="36" t="n"/>
      <c r="AQ247" s="36" t="n"/>
      <c r="AR247" s="36" t="n"/>
      <c r="AS247" s="36" t="n"/>
      <c r="AT247" s="36" t="n"/>
      <c r="AU247" s="27" t="n"/>
      <c r="AV247" s="37" t="n"/>
      <c r="AW247" s="38">
        <f>IF(AO247="","",IF(AR247="Yes","❌ Disc",IF(AQ247="No","⚠ Missing",IF(AT247="Yes","✓ OK","⚠ Check"))))</f>
        <v/>
      </c>
    </row>
    <row r="248" ht="18" customHeight="1" s="46">
      <c r="A248" s="39" t="n">
        <v>244</v>
      </c>
      <c r="B248" s="40" t="inlineStr">
        <is>
          <t>BD-HNA-2025-0346</t>
        </is>
      </c>
      <c r="C248" s="41" t="inlineStr">
        <is>
          <t>Bonito Handles - N.H_VI-03 - Anodized SS Coated Profile Handle - 398mm</t>
        </is>
      </c>
      <c r="D248" s="39" t="inlineStr">
        <is>
          <t>Bonito Handles</t>
        </is>
      </c>
      <c r="E248" s="43" t="n">
        <v>46125</v>
      </c>
      <c r="F248" s="26" t="inlineStr">
        <is>
          <t>Sunil CR</t>
        </is>
      </c>
      <c r="G248" s="44" t="inlineStr">
        <is>
          <t>Represented by Sample</t>
        </is>
      </c>
      <c r="H248" s="26" t="inlineStr">
        <is>
          <t>No</t>
        </is>
      </c>
      <c r="I248" s="44" t="inlineStr">
        <is>
          <t>Represented by Sample</t>
        </is>
      </c>
      <c r="J248" s="26" t="inlineStr">
        <is>
          <t>Yes</t>
        </is>
      </c>
      <c r="K248" s="27" t="n"/>
      <c r="L248" s="28" t="inlineStr">
        <is>
          <t>No</t>
        </is>
      </c>
      <c r="M248" s="29">
        <f>IF(E248="","",IF(H248="Yes","❌ Disc",IF(G248="No","⚠ Missing",IF(J248="Yes","✓ OK","⚠ Check"))))</f>
        <v/>
      </c>
      <c r="N248" s="43" t="n">
        <v>46196</v>
      </c>
      <c r="O248" s="26" t="inlineStr">
        <is>
          <t>Sunil CR</t>
        </is>
      </c>
      <c r="P248" s="44" t="inlineStr">
        <is>
          <t>Represented by Sample</t>
        </is>
      </c>
      <c r="Q248" s="26" t="inlineStr">
        <is>
          <t>No</t>
        </is>
      </c>
      <c r="R248" s="44" t="inlineStr">
        <is>
          <t>Represented by Sample</t>
        </is>
      </c>
      <c r="S248" s="26" t="inlineStr">
        <is>
          <t>Yes</t>
        </is>
      </c>
      <c r="T248" s="27" t="n"/>
      <c r="U248" s="28" t="inlineStr">
        <is>
          <t>No</t>
        </is>
      </c>
      <c r="V248" s="29">
        <f>IF(N248="","",IF(Q248="Yes","❌ Disc",IF(P248="No","⚠ Missing",IF(S248="Yes","✓ OK","⚠ Check"))))</f>
        <v/>
      </c>
      <c r="W248" s="65" t="n">
        <v>46248</v>
      </c>
      <c r="X248" s="30" t="inlineStr">
        <is>
          <t>Sunil CR</t>
        </is>
      </c>
      <c r="Y248" s="30" t="inlineStr">
        <is>
          <t>Represented by Sample</t>
        </is>
      </c>
      <c r="Z248" s="30" t="n"/>
      <c r="AA248" s="30" t="inlineStr">
        <is>
          <t>Represented by Sample</t>
        </is>
      </c>
      <c r="AB248" s="30" t="inlineStr">
        <is>
          <t>Yes</t>
        </is>
      </c>
      <c r="AC248" s="27" t="n"/>
      <c r="AD248" s="31" t="inlineStr">
        <is>
          <t>No</t>
        </is>
      </c>
      <c r="AE248" s="32">
        <f>IF(W248="","",IF(Z248="Yes","❌ Disc",IF(Y248="No","⚠ Missing",IF(AB248="Yes","✓ OK","⚠ Check"))))</f>
        <v/>
      </c>
      <c r="AF248" s="33" t="n"/>
      <c r="AG248" s="33" t="n"/>
      <c r="AH248" s="33" t="n"/>
      <c r="AI248" s="33" t="n"/>
      <c r="AJ248" s="33" t="n"/>
      <c r="AK248" s="33" t="n"/>
      <c r="AL248" s="27" t="n"/>
      <c r="AM248" s="34" t="n"/>
      <c r="AN248" s="35">
        <f>IF(AF248="","",IF(AI248="Yes","❌ Disc",IF(AH248="No","⚠ Missing",IF(AK248="Yes","✓ OK","⚠ Check"))))</f>
        <v/>
      </c>
      <c r="AO248" s="36" t="n"/>
      <c r="AP248" s="36" t="n"/>
      <c r="AQ248" s="36" t="n"/>
      <c r="AR248" s="36" t="n"/>
      <c r="AS248" s="36" t="n"/>
      <c r="AT248" s="36" t="n"/>
      <c r="AU248" s="27" t="n"/>
      <c r="AV248" s="37" t="n"/>
      <c r="AW248" s="38">
        <f>IF(AO248="","",IF(AR248="Yes","❌ Disc",IF(AQ248="No","⚠ Missing",IF(AT248="Yes","✓ OK","⚠ Check"))))</f>
        <v/>
      </c>
    </row>
    <row r="249" ht="18" customHeight="1" s="46">
      <c r="A249" s="23" t="n">
        <v>245</v>
      </c>
      <c r="B249" s="24" t="inlineStr">
        <is>
          <t>BD-HNA-2025-0347</t>
        </is>
      </c>
      <c r="C249" s="25" t="inlineStr">
        <is>
          <t>Bonito Handles - N.H_VI-03 - Anodized SS Coated Profile Handle - 450mm</t>
        </is>
      </c>
      <c r="D249" s="23" t="inlineStr">
        <is>
          <t>Bonito Handles</t>
        </is>
      </c>
      <c r="E249" s="43" t="n">
        <v>46125</v>
      </c>
      <c r="F249" s="26" t="inlineStr">
        <is>
          <t>Sunil CR</t>
        </is>
      </c>
      <c r="G249" s="44" t="inlineStr">
        <is>
          <t>Represented by Sample</t>
        </is>
      </c>
      <c r="H249" s="26" t="inlineStr">
        <is>
          <t>No</t>
        </is>
      </c>
      <c r="I249" s="44" t="inlineStr">
        <is>
          <t>Represented by Sample</t>
        </is>
      </c>
      <c r="J249" s="26" t="inlineStr">
        <is>
          <t>Yes</t>
        </is>
      </c>
      <c r="K249" s="27" t="n"/>
      <c r="L249" s="28" t="inlineStr">
        <is>
          <t>No</t>
        </is>
      </c>
      <c r="M249" s="29">
        <f>IF(E249="","",IF(H249="Yes","❌ Disc",IF(G249="No","⚠ Missing",IF(J249="Yes","✓ OK","⚠ Check"))))</f>
        <v/>
      </c>
      <c r="N249" s="43" t="n">
        <v>46196</v>
      </c>
      <c r="O249" s="26" t="inlineStr">
        <is>
          <t>Sunil CR</t>
        </is>
      </c>
      <c r="P249" s="44" t="inlineStr">
        <is>
          <t>Represented by Sample</t>
        </is>
      </c>
      <c r="Q249" s="26" t="inlineStr">
        <is>
          <t>No</t>
        </is>
      </c>
      <c r="R249" s="44" t="inlineStr">
        <is>
          <t>Represented by Sample</t>
        </is>
      </c>
      <c r="S249" s="26" t="inlineStr">
        <is>
          <t>Yes</t>
        </is>
      </c>
      <c r="T249" s="27" t="n"/>
      <c r="U249" s="28" t="inlineStr">
        <is>
          <t>No</t>
        </is>
      </c>
      <c r="V249" s="29">
        <f>IF(N249="","",IF(Q249="Yes","❌ Disc",IF(P249="No","⚠ Missing",IF(S249="Yes","✓ OK","⚠ Check"))))</f>
        <v/>
      </c>
      <c r="W249" s="65" t="n">
        <v>46248</v>
      </c>
      <c r="X249" s="30" t="inlineStr">
        <is>
          <t>Sunil CR</t>
        </is>
      </c>
      <c r="Y249" s="30" t="inlineStr">
        <is>
          <t>Represented by Sample</t>
        </is>
      </c>
      <c r="Z249" s="30" t="n"/>
      <c r="AA249" s="30" t="inlineStr">
        <is>
          <t>Represented by Sample</t>
        </is>
      </c>
      <c r="AB249" s="30" t="inlineStr">
        <is>
          <t>Yes</t>
        </is>
      </c>
      <c r="AC249" s="27" t="n"/>
      <c r="AD249" s="31" t="inlineStr">
        <is>
          <t>No</t>
        </is>
      </c>
      <c r="AE249" s="32">
        <f>IF(W249="","",IF(Z249="Yes","❌ Disc",IF(Y249="No","⚠ Missing",IF(AB249="Yes","✓ OK","⚠ Check"))))</f>
        <v/>
      </c>
      <c r="AF249" s="33" t="n"/>
      <c r="AG249" s="33" t="n"/>
      <c r="AH249" s="33" t="n"/>
      <c r="AI249" s="33" t="n"/>
      <c r="AJ249" s="33" t="n"/>
      <c r="AK249" s="33" t="n"/>
      <c r="AL249" s="27" t="n"/>
      <c r="AM249" s="34" t="n"/>
      <c r="AN249" s="35">
        <f>IF(AF249="","",IF(AI249="Yes","❌ Disc",IF(AH249="No","⚠ Missing",IF(AK249="Yes","✓ OK","⚠ Check"))))</f>
        <v/>
      </c>
      <c r="AO249" s="36" t="n"/>
      <c r="AP249" s="36" t="n"/>
      <c r="AQ249" s="36" t="n"/>
      <c r="AR249" s="36" t="n"/>
      <c r="AS249" s="36" t="n"/>
      <c r="AT249" s="36" t="n"/>
      <c r="AU249" s="27" t="n"/>
      <c r="AV249" s="37" t="n"/>
      <c r="AW249" s="38">
        <f>IF(AO249="","",IF(AR249="Yes","❌ Disc",IF(AQ249="No","⚠ Missing",IF(AT249="Yes","✓ OK","⚠ Check"))))</f>
        <v/>
      </c>
    </row>
    <row r="250" ht="18" customHeight="1" s="46">
      <c r="A250" s="39" t="n">
        <v>246</v>
      </c>
      <c r="B250" s="40" t="inlineStr">
        <is>
          <t>BD-HNA-2025-0348</t>
        </is>
      </c>
      <c r="C250" s="41" t="inlineStr">
        <is>
          <t>Bonito Handles - N.H_VI-03 - Anodized SS Coated Profile Handle - 500mm</t>
        </is>
      </c>
      <c r="D250" s="39" t="inlineStr">
        <is>
          <t>Bonito Handles</t>
        </is>
      </c>
      <c r="E250" s="43" t="n">
        <v>46125</v>
      </c>
      <c r="F250" s="26" t="inlineStr">
        <is>
          <t>Sunil CR</t>
        </is>
      </c>
      <c r="G250" s="44" t="inlineStr">
        <is>
          <t>Represented by Sample</t>
        </is>
      </c>
      <c r="H250" s="26" t="inlineStr">
        <is>
          <t>No</t>
        </is>
      </c>
      <c r="I250" s="44" t="inlineStr">
        <is>
          <t>Represented by Sample</t>
        </is>
      </c>
      <c r="J250" s="26" t="inlineStr">
        <is>
          <t>Yes</t>
        </is>
      </c>
      <c r="K250" s="27" t="n"/>
      <c r="L250" s="28" t="inlineStr">
        <is>
          <t>No</t>
        </is>
      </c>
      <c r="M250" s="29">
        <f>IF(E250="","",IF(H250="Yes","❌ Disc",IF(G250="No","⚠ Missing",IF(J250="Yes","✓ OK","⚠ Check"))))</f>
        <v/>
      </c>
      <c r="N250" s="43" t="n">
        <v>46196</v>
      </c>
      <c r="O250" s="26" t="inlineStr">
        <is>
          <t>Sunil CR</t>
        </is>
      </c>
      <c r="P250" s="44" t="inlineStr">
        <is>
          <t>Represented by Sample</t>
        </is>
      </c>
      <c r="Q250" s="26" t="inlineStr">
        <is>
          <t>No</t>
        </is>
      </c>
      <c r="R250" s="44" t="inlineStr">
        <is>
          <t>Represented by Sample</t>
        </is>
      </c>
      <c r="S250" s="26" t="inlineStr">
        <is>
          <t>Yes</t>
        </is>
      </c>
      <c r="T250" s="27" t="n"/>
      <c r="U250" s="28" t="inlineStr">
        <is>
          <t>No</t>
        </is>
      </c>
      <c r="V250" s="29">
        <f>IF(N250="","",IF(Q250="Yes","❌ Disc",IF(P250="No","⚠ Missing",IF(S250="Yes","✓ OK","⚠ Check"))))</f>
        <v/>
      </c>
      <c r="W250" s="65" t="n">
        <v>46248</v>
      </c>
      <c r="X250" s="30" t="inlineStr">
        <is>
          <t>Sunil CR</t>
        </is>
      </c>
      <c r="Y250" s="30" t="inlineStr">
        <is>
          <t>Represented by Sample</t>
        </is>
      </c>
      <c r="Z250" s="30" t="n"/>
      <c r="AA250" s="30" t="inlineStr">
        <is>
          <t>Represented by Sample</t>
        </is>
      </c>
      <c r="AB250" s="30" t="inlineStr">
        <is>
          <t>Yes</t>
        </is>
      </c>
      <c r="AC250" s="27" t="n"/>
      <c r="AD250" s="31" t="inlineStr">
        <is>
          <t>No</t>
        </is>
      </c>
      <c r="AE250" s="32">
        <f>IF(W250="","",IF(Z250="Yes","❌ Disc",IF(Y250="No","⚠ Missing",IF(AB250="Yes","✓ OK","⚠ Check"))))</f>
        <v/>
      </c>
      <c r="AF250" s="33" t="n"/>
      <c r="AG250" s="33" t="n"/>
      <c r="AH250" s="33" t="n"/>
      <c r="AI250" s="33" t="n"/>
      <c r="AJ250" s="33" t="n"/>
      <c r="AK250" s="33" t="n"/>
      <c r="AL250" s="27" t="n"/>
      <c r="AM250" s="34" t="n"/>
      <c r="AN250" s="35">
        <f>IF(AF250="","",IF(AI250="Yes","❌ Disc",IF(AH250="No","⚠ Missing",IF(AK250="Yes","✓ OK","⚠ Check"))))</f>
        <v/>
      </c>
      <c r="AO250" s="36" t="n"/>
      <c r="AP250" s="36" t="n"/>
      <c r="AQ250" s="36" t="n"/>
      <c r="AR250" s="36" t="n"/>
      <c r="AS250" s="36" t="n"/>
      <c r="AT250" s="36" t="n"/>
      <c r="AU250" s="27" t="n"/>
      <c r="AV250" s="37" t="n"/>
      <c r="AW250" s="38">
        <f>IF(AO250="","",IF(AR250="Yes","❌ Disc",IF(AQ250="No","⚠ Missing",IF(AT250="Yes","✓ OK","⚠ Check"))))</f>
        <v/>
      </c>
    </row>
    <row r="251" ht="18" customHeight="1" s="46">
      <c r="A251" s="23" t="n">
        <v>247</v>
      </c>
      <c r="B251" s="24" t="inlineStr">
        <is>
          <t>BD-HNA-2025-0349</t>
        </is>
      </c>
      <c r="C251" s="25" t="inlineStr">
        <is>
          <t>Bonito Handles - N.H_VI-03 - Anodized SS Coated Profile Handle - 600mm</t>
        </is>
      </c>
      <c r="D251" s="23" t="inlineStr">
        <is>
          <t>Bonito Handles</t>
        </is>
      </c>
      <c r="E251" s="43" t="n">
        <v>46125</v>
      </c>
      <c r="F251" s="26" t="inlineStr">
        <is>
          <t>Sunil CR</t>
        </is>
      </c>
      <c r="G251" s="44" t="inlineStr">
        <is>
          <t>Yes</t>
        </is>
      </c>
      <c r="H251" s="26" t="inlineStr">
        <is>
          <t>No</t>
        </is>
      </c>
      <c r="I251" s="44" t="inlineStr">
        <is>
          <t>Good finish</t>
        </is>
      </c>
      <c r="J251" s="26" t="inlineStr">
        <is>
          <t>Yes</t>
        </is>
      </c>
      <c r="K251" s="27" t="n"/>
      <c r="L251" s="28" t="inlineStr">
        <is>
          <t>No</t>
        </is>
      </c>
      <c r="M251" s="29">
        <f>IF(E251="","",IF(H251="Yes","❌ Disc",IF(G251="No","⚠ Missing",IF(J251="Yes","✓ OK","⚠ Check"))))</f>
        <v/>
      </c>
      <c r="N251" s="43" t="n">
        <v>46196</v>
      </c>
      <c r="O251" s="26" t="inlineStr">
        <is>
          <t>Sunil CR</t>
        </is>
      </c>
      <c r="P251" s="44" t="inlineStr">
        <is>
          <t>Yes</t>
        </is>
      </c>
      <c r="Q251" s="26" t="inlineStr">
        <is>
          <t>No</t>
        </is>
      </c>
      <c r="R251" s="44" t="inlineStr">
        <is>
          <t>Good finish</t>
        </is>
      </c>
      <c r="S251" s="26" t="inlineStr">
        <is>
          <t>Yes</t>
        </is>
      </c>
      <c r="T251" s="27" t="n"/>
      <c r="U251" s="28" t="inlineStr">
        <is>
          <t>No</t>
        </is>
      </c>
      <c r="V251" s="29">
        <f>IF(N251="","",IF(Q251="Yes","❌ Disc",IF(P251="No","⚠ Missing",IF(S251="Yes","✓ OK","⚠ Check"))))</f>
        <v/>
      </c>
      <c r="W251" s="65" t="n">
        <v>46248</v>
      </c>
      <c r="X251" s="30" t="inlineStr">
        <is>
          <t>Sunil CR</t>
        </is>
      </c>
      <c r="Y251" s="30" t="inlineStr">
        <is>
          <t>Yes</t>
        </is>
      </c>
      <c r="Z251" s="30" t="n"/>
      <c r="AA251" s="30" t="inlineStr">
        <is>
          <t>Good finish</t>
        </is>
      </c>
      <c r="AB251" s="30" t="inlineStr">
        <is>
          <t>Yes</t>
        </is>
      </c>
      <c r="AC251" s="27" t="n"/>
      <c r="AD251" s="31" t="inlineStr">
        <is>
          <t>No</t>
        </is>
      </c>
      <c r="AE251" s="32">
        <f>IF(W251="","",IF(Z251="Yes","❌ Disc",IF(Y251="No","⚠ Missing",IF(AB251="Yes","✓ OK","⚠ Check"))))</f>
        <v/>
      </c>
      <c r="AF251" s="33" t="n"/>
      <c r="AG251" s="33" t="n"/>
      <c r="AH251" s="33" t="n"/>
      <c r="AI251" s="33" t="n"/>
      <c r="AJ251" s="33" t="n"/>
      <c r="AK251" s="33" t="n"/>
      <c r="AL251" s="27" t="n"/>
      <c r="AM251" s="34" t="n"/>
      <c r="AN251" s="35">
        <f>IF(AF251="","",IF(AI251="Yes","❌ Disc",IF(AH251="No","⚠ Missing",IF(AK251="Yes","✓ OK","⚠ Check"))))</f>
        <v/>
      </c>
      <c r="AO251" s="36" t="n"/>
      <c r="AP251" s="36" t="n"/>
      <c r="AQ251" s="36" t="n"/>
      <c r="AR251" s="36" t="n"/>
      <c r="AS251" s="36" t="n"/>
      <c r="AT251" s="36" t="n"/>
      <c r="AU251" s="27" t="n"/>
      <c r="AV251" s="37" t="n"/>
      <c r="AW251" s="38">
        <f>IF(AO251="","",IF(AR251="Yes","❌ Disc",IF(AQ251="No","⚠ Missing",IF(AT251="Yes","✓ OK","⚠ Check"))))</f>
        <v/>
      </c>
    </row>
    <row r="252" ht="18" customHeight="1" s="46">
      <c r="A252" s="39" t="n">
        <v>248</v>
      </c>
      <c r="B252" s="40" t="inlineStr">
        <is>
          <t>BD-HNA-2025-0364</t>
        </is>
      </c>
      <c r="C252" s="41" t="inlineStr">
        <is>
          <t>Bonito Handles - N.H_VI-03 - Black Profile Handle - 200mm</t>
        </is>
      </c>
      <c r="D252" s="39" t="inlineStr">
        <is>
          <t>Bonito Handles</t>
        </is>
      </c>
      <c r="E252" s="43" t="n">
        <v>46125</v>
      </c>
      <c r="F252" s="26" t="inlineStr">
        <is>
          <t>Sunil CR</t>
        </is>
      </c>
      <c r="G252" s="44" t="inlineStr">
        <is>
          <t>Represented by Sample</t>
        </is>
      </c>
      <c r="H252" s="26" t="inlineStr">
        <is>
          <t>No</t>
        </is>
      </c>
      <c r="I252" s="44" t="inlineStr">
        <is>
          <t>Represented by Sample</t>
        </is>
      </c>
      <c r="J252" s="26" t="inlineStr">
        <is>
          <t>Yes</t>
        </is>
      </c>
      <c r="K252" s="27" t="n"/>
      <c r="L252" s="28" t="inlineStr">
        <is>
          <t>No</t>
        </is>
      </c>
      <c r="M252" s="29">
        <f>IF(E252="","",IF(H252="Yes","❌ Disc",IF(G252="No","⚠ Missing",IF(J252="Yes","✓ OK","⚠ Check"))))</f>
        <v/>
      </c>
      <c r="N252" s="43" t="n">
        <v>46196</v>
      </c>
      <c r="O252" s="26" t="inlineStr">
        <is>
          <t>Sunil CR</t>
        </is>
      </c>
      <c r="P252" s="44" t="inlineStr">
        <is>
          <t>Represented by Sample</t>
        </is>
      </c>
      <c r="Q252" s="26" t="inlineStr">
        <is>
          <t>No</t>
        </is>
      </c>
      <c r="R252" s="44" t="inlineStr">
        <is>
          <t>Represented by Sample</t>
        </is>
      </c>
      <c r="S252" s="26" t="inlineStr">
        <is>
          <t>Yes</t>
        </is>
      </c>
      <c r="T252" s="27" t="n"/>
      <c r="U252" s="28" t="inlineStr">
        <is>
          <t>No</t>
        </is>
      </c>
      <c r="V252" s="29">
        <f>IF(N252="","",IF(Q252="Yes","❌ Disc",IF(P252="No","⚠ Missing",IF(S252="Yes","✓ OK","⚠ Check"))))</f>
        <v/>
      </c>
      <c r="W252" s="65" t="n">
        <v>46248</v>
      </c>
      <c r="X252" s="30" t="inlineStr">
        <is>
          <t>Sunil CR</t>
        </is>
      </c>
      <c r="Y252" s="30" t="inlineStr">
        <is>
          <t>Represented by Sample</t>
        </is>
      </c>
      <c r="Z252" s="30" t="n"/>
      <c r="AA252" s="30" t="inlineStr">
        <is>
          <t>Represented by Sample</t>
        </is>
      </c>
      <c r="AB252" s="30" t="inlineStr">
        <is>
          <t>Yes</t>
        </is>
      </c>
      <c r="AC252" s="27" t="n"/>
      <c r="AD252" s="31" t="inlineStr">
        <is>
          <t>No</t>
        </is>
      </c>
      <c r="AE252" s="32">
        <f>IF(W252="","",IF(Z252="Yes","❌ Disc",IF(Y252="No","⚠ Missing",IF(AB252="Yes","✓ OK","⚠ Check"))))</f>
        <v/>
      </c>
      <c r="AF252" s="33" t="n"/>
      <c r="AG252" s="33" t="n"/>
      <c r="AH252" s="33" t="n"/>
      <c r="AI252" s="33" t="n"/>
      <c r="AJ252" s="33" t="n"/>
      <c r="AK252" s="33" t="n"/>
      <c r="AL252" s="27" t="n"/>
      <c r="AM252" s="34" t="n"/>
      <c r="AN252" s="35">
        <f>IF(AF252="","",IF(AI252="Yes","❌ Disc",IF(AH252="No","⚠ Missing",IF(AK252="Yes","✓ OK","⚠ Check"))))</f>
        <v/>
      </c>
      <c r="AO252" s="36" t="n"/>
      <c r="AP252" s="36" t="n"/>
      <c r="AQ252" s="36" t="n"/>
      <c r="AR252" s="36" t="n"/>
      <c r="AS252" s="36" t="n"/>
      <c r="AT252" s="36" t="n"/>
      <c r="AU252" s="27" t="n"/>
      <c r="AV252" s="37" t="n"/>
      <c r="AW252" s="38">
        <f>IF(AO252="","",IF(AR252="Yes","❌ Disc",IF(AQ252="No","⚠ Missing",IF(AT252="Yes","✓ OK","⚠ Check"))))</f>
        <v/>
      </c>
    </row>
    <row r="253" ht="18" customHeight="1" s="46">
      <c r="A253" s="23" t="n">
        <v>249</v>
      </c>
      <c r="B253" s="24" t="inlineStr">
        <is>
          <t>BD-HNA-2025-0365</t>
        </is>
      </c>
      <c r="C253" s="25" t="inlineStr">
        <is>
          <t>Bonito Handles - N.H_VI-03 - Black Profile Handle - 250mm</t>
        </is>
      </c>
      <c r="D253" s="23" t="inlineStr">
        <is>
          <t>Bonito Handles</t>
        </is>
      </c>
      <c r="E253" s="43" t="n">
        <v>46125</v>
      </c>
      <c r="F253" s="26" t="inlineStr">
        <is>
          <t>Sunil CR</t>
        </is>
      </c>
      <c r="G253" s="44" t="inlineStr">
        <is>
          <t>Represented by Sample</t>
        </is>
      </c>
      <c r="H253" s="26" t="inlineStr">
        <is>
          <t>No</t>
        </is>
      </c>
      <c r="I253" s="44" t="inlineStr">
        <is>
          <t>Represented by Sample</t>
        </is>
      </c>
      <c r="J253" s="26" t="inlineStr">
        <is>
          <t>Yes</t>
        </is>
      </c>
      <c r="K253" s="27" t="n"/>
      <c r="L253" s="28" t="inlineStr">
        <is>
          <t>No</t>
        </is>
      </c>
      <c r="M253" s="29">
        <f>IF(E253="","",IF(H253="Yes","❌ Disc",IF(G253="No","⚠ Missing",IF(J253="Yes","✓ OK","⚠ Check"))))</f>
        <v/>
      </c>
      <c r="N253" s="43" t="n">
        <v>46196</v>
      </c>
      <c r="O253" s="26" t="inlineStr">
        <is>
          <t>Sunil CR</t>
        </is>
      </c>
      <c r="P253" s="44" t="inlineStr">
        <is>
          <t>Represented by Sample</t>
        </is>
      </c>
      <c r="Q253" s="26" t="inlineStr">
        <is>
          <t>No</t>
        </is>
      </c>
      <c r="R253" s="44" t="inlineStr">
        <is>
          <t>Represented by Sample</t>
        </is>
      </c>
      <c r="S253" s="26" t="inlineStr">
        <is>
          <t>Yes</t>
        </is>
      </c>
      <c r="T253" s="27" t="n"/>
      <c r="U253" s="28" t="inlineStr">
        <is>
          <t>No</t>
        </is>
      </c>
      <c r="V253" s="29">
        <f>IF(N253="","",IF(Q253="Yes","❌ Disc",IF(P253="No","⚠ Missing",IF(S253="Yes","✓ OK","⚠ Check"))))</f>
        <v/>
      </c>
      <c r="W253" s="65" t="n">
        <v>46248</v>
      </c>
      <c r="X253" s="30" t="inlineStr">
        <is>
          <t>Sunil CR</t>
        </is>
      </c>
      <c r="Y253" s="30" t="inlineStr">
        <is>
          <t>Represented by Sample</t>
        </is>
      </c>
      <c r="Z253" s="30" t="n"/>
      <c r="AA253" s="30" t="inlineStr">
        <is>
          <t>Represented by Sample</t>
        </is>
      </c>
      <c r="AB253" s="30" t="inlineStr">
        <is>
          <t>Yes</t>
        </is>
      </c>
      <c r="AC253" s="27" t="n"/>
      <c r="AD253" s="31" t="inlineStr">
        <is>
          <t>No</t>
        </is>
      </c>
      <c r="AE253" s="32">
        <f>IF(W253="","",IF(Z253="Yes","❌ Disc",IF(Y253="No","⚠ Missing",IF(AB253="Yes","✓ OK","⚠ Check"))))</f>
        <v/>
      </c>
      <c r="AF253" s="33" t="n"/>
      <c r="AG253" s="33" t="n"/>
      <c r="AH253" s="33" t="n"/>
      <c r="AI253" s="33" t="n"/>
      <c r="AJ253" s="33" t="n"/>
      <c r="AK253" s="33" t="n"/>
      <c r="AL253" s="27" t="n"/>
      <c r="AM253" s="34" t="n"/>
      <c r="AN253" s="35">
        <f>IF(AF253="","",IF(AI253="Yes","❌ Disc",IF(AH253="No","⚠ Missing",IF(AK253="Yes","✓ OK","⚠ Check"))))</f>
        <v/>
      </c>
      <c r="AO253" s="36" t="n"/>
      <c r="AP253" s="36" t="n"/>
      <c r="AQ253" s="36" t="n"/>
      <c r="AR253" s="36" t="n"/>
      <c r="AS253" s="36" t="n"/>
      <c r="AT253" s="36" t="n"/>
      <c r="AU253" s="27" t="n"/>
      <c r="AV253" s="37" t="n"/>
      <c r="AW253" s="38">
        <f>IF(AO253="","",IF(AR253="Yes","❌ Disc",IF(AQ253="No","⚠ Missing",IF(AT253="Yes","✓ OK","⚠ Check"))))</f>
        <v/>
      </c>
    </row>
    <row r="254" ht="18" customHeight="1" s="46">
      <c r="A254" s="39" t="n">
        <v>250</v>
      </c>
      <c r="B254" s="40" t="inlineStr">
        <is>
          <t>BD-HNA-2025-0366</t>
        </is>
      </c>
      <c r="C254" s="41" t="inlineStr">
        <is>
          <t>Bonito Handles - N.H_VI-03 - Black Profile Handle - 300mm</t>
        </is>
      </c>
      <c r="D254" s="39" t="inlineStr">
        <is>
          <t>Bonito Handles</t>
        </is>
      </c>
      <c r="E254" s="43" t="n">
        <v>46125</v>
      </c>
      <c r="F254" s="26" t="inlineStr">
        <is>
          <t>Sunil CR</t>
        </is>
      </c>
      <c r="G254" s="44" t="inlineStr">
        <is>
          <t>Represented by Sample</t>
        </is>
      </c>
      <c r="H254" s="26" t="inlineStr">
        <is>
          <t>No</t>
        </is>
      </c>
      <c r="I254" s="44" t="inlineStr">
        <is>
          <t>Represented by Sample</t>
        </is>
      </c>
      <c r="J254" s="26" t="inlineStr">
        <is>
          <t>Yes</t>
        </is>
      </c>
      <c r="K254" s="27" t="n"/>
      <c r="L254" s="28" t="inlineStr">
        <is>
          <t>No</t>
        </is>
      </c>
      <c r="M254" s="29">
        <f>IF(E254="","",IF(H254="Yes","❌ Disc",IF(G254="No","⚠ Missing",IF(J254="Yes","✓ OK","⚠ Check"))))</f>
        <v/>
      </c>
      <c r="N254" s="43" t="n">
        <v>46196</v>
      </c>
      <c r="O254" s="26" t="inlineStr">
        <is>
          <t>Sunil CR</t>
        </is>
      </c>
      <c r="P254" s="44" t="inlineStr">
        <is>
          <t>Represented by Sample</t>
        </is>
      </c>
      <c r="Q254" s="26" t="inlineStr">
        <is>
          <t>No</t>
        </is>
      </c>
      <c r="R254" s="44" t="inlineStr">
        <is>
          <t>Represented by Sample</t>
        </is>
      </c>
      <c r="S254" s="26" t="inlineStr">
        <is>
          <t>Yes</t>
        </is>
      </c>
      <c r="T254" s="27" t="n"/>
      <c r="U254" s="28" t="inlineStr">
        <is>
          <t>No</t>
        </is>
      </c>
      <c r="V254" s="29">
        <f>IF(N254="","",IF(Q254="Yes","❌ Disc",IF(P254="No","⚠ Missing",IF(S254="Yes","✓ OK","⚠ Check"))))</f>
        <v/>
      </c>
      <c r="W254" s="65" t="n">
        <v>46248</v>
      </c>
      <c r="X254" s="30" t="inlineStr">
        <is>
          <t>Sunil CR</t>
        </is>
      </c>
      <c r="Y254" s="30" t="inlineStr">
        <is>
          <t>Represented by Sample</t>
        </is>
      </c>
      <c r="Z254" s="30" t="n"/>
      <c r="AA254" s="30" t="inlineStr">
        <is>
          <t>Represented by Sample</t>
        </is>
      </c>
      <c r="AB254" s="30" t="inlineStr">
        <is>
          <t>Yes</t>
        </is>
      </c>
      <c r="AC254" s="27" t="n"/>
      <c r="AD254" s="31" t="inlineStr">
        <is>
          <t>No</t>
        </is>
      </c>
      <c r="AE254" s="32">
        <f>IF(W254="","",IF(Z254="Yes","❌ Disc",IF(Y254="No","⚠ Missing",IF(AB254="Yes","✓ OK","⚠ Check"))))</f>
        <v/>
      </c>
      <c r="AF254" s="33" t="n"/>
      <c r="AG254" s="33" t="n"/>
      <c r="AH254" s="33" t="n"/>
      <c r="AI254" s="33" t="n"/>
      <c r="AJ254" s="33" t="n"/>
      <c r="AK254" s="33" t="n"/>
      <c r="AL254" s="27" t="n"/>
      <c r="AM254" s="34" t="n"/>
      <c r="AN254" s="35">
        <f>IF(AF254="","",IF(AI254="Yes","❌ Disc",IF(AH254="No","⚠ Missing",IF(AK254="Yes","✓ OK","⚠ Check"))))</f>
        <v/>
      </c>
      <c r="AO254" s="36" t="n"/>
      <c r="AP254" s="36" t="n"/>
      <c r="AQ254" s="36" t="n"/>
      <c r="AR254" s="36" t="n"/>
      <c r="AS254" s="36" t="n"/>
      <c r="AT254" s="36" t="n"/>
      <c r="AU254" s="27" t="n"/>
      <c r="AV254" s="37" t="n"/>
      <c r="AW254" s="38">
        <f>IF(AO254="","",IF(AR254="Yes","❌ Disc",IF(AQ254="No","⚠ Missing",IF(AT254="Yes","✓ OK","⚠ Check"))))</f>
        <v/>
      </c>
    </row>
    <row r="255" ht="18" customHeight="1" s="46">
      <c r="A255" s="23" t="n">
        <v>251</v>
      </c>
      <c r="B255" s="24" t="inlineStr">
        <is>
          <t>BD-HNA-2025-0367</t>
        </is>
      </c>
      <c r="C255" s="25" t="inlineStr">
        <is>
          <t>Bonito Handles - N.H_VI-03 - Black Profile Handle - 398mm</t>
        </is>
      </c>
      <c r="D255" s="23" t="inlineStr">
        <is>
          <t>Bonito Handles</t>
        </is>
      </c>
      <c r="E255" s="43" t="n">
        <v>46125</v>
      </c>
      <c r="F255" s="26" t="inlineStr">
        <is>
          <t>Sunil CR</t>
        </is>
      </c>
      <c r="G255" s="44" t="inlineStr">
        <is>
          <t>Represented by Sample</t>
        </is>
      </c>
      <c r="H255" s="26" t="inlineStr">
        <is>
          <t>No</t>
        </is>
      </c>
      <c r="I255" s="44" t="inlineStr">
        <is>
          <t>Represented by Sample</t>
        </is>
      </c>
      <c r="J255" s="26" t="inlineStr">
        <is>
          <t>Yes</t>
        </is>
      </c>
      <c r="K255" s="27" t="n"/>
      <c r="L255" s="28" t="inlineStr">
        <is>
          <t>No</t>
        </is>
      </c>
      <c r="M255" s="29">
        <f>IF(E255="","",IF(H255="Yes","❌ Disc",IF(G255="No","⚠ Missing",IF(J255="Yes","✓ OK","⚠ Check"))))</f>
        <v/>
      </c>
      <c r="N255" s="43" t="n">
        <v>46196</v>
      </c>
      <c r="O255" s="26" t="inlineStr">
        <is>
          <t>Sunil CR</t>
        </is>
      </c>
      <c r="P255" s="44" t="inlineStr">
        <is>
          <t>Represented by Sample</t>
        </is>
      </c>
      <c r="Q255" s="26" t="inlineStr">
        <is>
          <t>No</t>
        </is>
      </c>
      <c r="R255" s="44" t="inlineStr">
        <is>
          <t>Represented by Sample</t>
        </is>
      </c>
      <c r="S255" s="26" t="inlineStr">
        <is>
          <t>Yes</t>
        </is>
      </c>
      <c r="T255" s="27" t="n"/>
      <c r="U255" s="28" t="inlineStr">
        <is>
          <t>No</t>
        </is>
      </c>
      <c r="V255" s="29">
        <f>IF(N255="","",IF(Q255="Yes","❌ Disc",IF(P255="No","⚠ Missing",IF(S255="Yes","✓ OK","⚠ Check"))))</f>
        <v/>
      </c>
      <c r="W255" s="65" t="n">
        <v>46248</v>
      </c>
      <c r="X255" s="30" t="inlineStr">
        <is>
          <t>Sunil CR</t>
        </is>
      </c>
      <c r="Y255" s="30" t="inlineStr">
        <is>
          <t>Represented by Sample</t>
        </is>
      </c>
      <c r="Z255" s="30" t="n"/>
      <c r="AA255" s="30" t="inlineStr">
        <is>
          <t>Represented by Sample</t>
        </is>
      </c>
      <c r="AB255" s="30" t="inlineStr">
        <is>
          <t>Yes</t>
        </is>
      </c>
      <c r="AC255" s="27" t="n"/>
      <c r="AD255" s="31" t="inlineStr">
        <is>
          <t>No</t>
        </is>
      </c>
      <c r="AE255" s="32">
        <f>IF(W255="","",IF(Z255="Yes","❌ Disc",IF(Y255="No","⚠ Missing",IF(AB255="Yes","✓ OK","⚠ Check"))))</f>
        <v/>
      </c>
      <c r="AF255" s="33" t="n"/>
      <c r="AG255" s="33" t="n"/>
      <c r="AH255" s="33" t="n"/>
      <c r="AI255" s="33" t="n"/>
      <c r="AJ255" s="33" t="n"/>
      <c r="AK255" s="33" t="n"/>
      <c r="AL255" s="27" t="n"/>
      <c r="AM255" s="34" t="n"/>
      <c r="AN255" s="35">
        <f>IF(AF255="","",IF(AI255="Yes","❌ Disc",IF(AH255="No","⚠ Missing",IF(AK255="Yes","✓ OK","⚠ Check"))))</f>
        <v/>
      </c>
      <c r="AO255" s="36" t="n"/>
      <c r="AP255" s="36" t="n"/>
      <c r="AQ255" s="36" t="n"/>
      <c r="AR255" s="36" t="n"/>
      <c r="AS255" s="36" t="n"/>
      <c r="AT255" s="36" t="n"/>
      <c r="AU255" s="27" t="n"/>
      <c r="AV255" s="37" t="n"/>
      <c r="AW255" s="38">
        <f>IF(AO255="","",IF(AR255="Yes","❌ Disc",IF(AQ255="No","⚠ Missing",IF(AT255="Yes","✓ OK","⚠ Check"))))</f>
        <v/>
      </c>
    </row>
    <row r="256" ht="18" customHeight="1" s="46">
      <c r="A256" s="39" t="n">
        <v>252</v>
      </c>
      <c r="B256" s="40" t="inlineStr">
        <is>
          <t>BD-HNA-2025-0368</t>
        </is>
      </c>
      <c r="C256" s="41" t="inlineStr">
        <is>
          <t>Bonito Handles - N.H_VI-03 - Black Profile Handle - 450mm</t>
        </is>
      </c>
      <c r="D256" s="39" t="inlineStr">
        <is>
          <t>Bonito Handles</t>
        </is>
      </c>
      <c r="E256" s="43" t="n">
        <v>46125</v>
      </c>
      <c r="F256" s="26" t="inlineStr">
        <is>
          <t>Sunil CR</t>
        </is>
      </c>
      <c r="G256" s="44" t="inlineStr">
        <is>
          <t>Represented by Sample</t>
        </is>
      </c>
      <c r="H256" s="26" t="inlineStr">
        <is>
          <t>No</t>
        </is>
      </c>
      <c r="I256" s="44" t="inlineStr">
        <is>
          <t>Represented by Sample</t>
        </is>
      </c>
      <c r="J256" s="26" t="inlineStr">
        <is>
          <t>Yes</t>
        </is>
      </c>
      <c r="K256" s="27" t="n"/>
      <c r="L256" s="28" t="inlineStr">
        <is>
          <t>No</t>
        </is>
      </c>
      <c r="M256" s="29">
        <f>IF(E256="","",IF(H256="Yes","❌ Disc",IF(G256="No","⚠ Missing",IF(J256="Yes","✓ OK","⚠ Check"))))</f>
        <v/>
      </c>
      <c r="N256" s="43" t="n">
        <v>46196</v>
      </c>
      <c r="O256" s="26" t="inlineStr">
        <is>
          <t>Sunil CR</t>
        </is>
      </c>
      <c r="P256" s="44" t="inlineStr">
        <is>
          <t>Represented by Sample</t>
        </is>
      </c>
      <c r="Q256" s="26" t="inlineStr">
        <is>
          <t>No</t>
        </is>
      </c>
      <c r="R256" s="44" t="inlineStr">
        <is>
          <t>Represented by Sample</t>
        </is>
      </c>
      <c r="S256" s="26" t="inlineStr">
        <is>
          <t>Yes</t>
        </is>
      </c>
      <c r="T256" s="27" t="n"/>
      <c r="U256" s="28" t="inlineStr">
        <is>
          <t>No</t>
        </is>
      </c>
      <c r="V256" s="29">
        <f>IF(N256="","",IF(Q256="Yes","❌ Disc",IF(P256="No","⚠ Missing",IF(S256="Yes","✓ OK","⚠ Check"))))</f>
        <v/>
      </c>
      <c r="W256" s="65" t="n">
        <v>46248</v>
      </c>
      <c r="X256" s="30" t="inlineStr">
        <is>
          <t>Sunil CR</t>
        </is>
      </c>
      <c r="Y256" s="30" t="inlineStr">
        <is>
          <t>Represented by Sample</t>
        </is>
      </c>
      <c r="Z256" s="30" t="n"/>
      <c r="AA256" s="30" t="inlineStr">
        <is>
          <t>Represented by Sample</t>
        </is>
      </c>
      <c r="AB256" s="30" t="inlineStr">
        <is>
          <t>Yes</t>
        </is>
      </c>
      <c r="AC256" s="27" t="n"/>
      <c r="AD256" s="31" t="inlineStr">
        <is>
          <t>No</t>
        </is>
      </c>
      <c r="AE256" s="32">
        <f>IF(W256="","",IF(Z256="Yes","❌ Disc",IF(Y256="No","⚠ Missing",IF(AB256="Yes","✓ OK","⚠ Check"))))</f>
        <v/>
      </c>
      <c r="AF256" s="33" t="n"/>
      <c r="AG256" s="33" t="n"/>
      <c r="AH256" s="33" t="n"/>
      <c r="AI256" s="33" t="n"/>
      <c r="AJ256" s="33" t="n"/>
      <c r="AK256" s="33" t="n"/>
      <c r="AL256" s="27" t="n"/>
      <c r="AM256" s="34" t="n"/>
      <c r="AN256" s="35">
        <f>IF(AF256="","",IF(AI256="Yes","❌ Disc",IF(AH256="No","⚠ Missing",IF(AK256="Yes","✓ OK","⚠ Check"))))</f>
        <v/>
      </c>
      <c r="AO256" s="36" t="n"/>
      <c r="AP256" s="36" t="n"/>
      <c r="AQ256" s="36" t="n"/>
      <c r="AR256" s="36" t="n"/>
      <c r="AS256" s="36" t="n"/>
      <c r="AT256" s="36" t="n"/>
      <c r="AU256" s="27" t="n"/>
      <c r="AV256" s="37" t="n"/>
      <c r="AW256" s="38">
        <f>IF(AO256="","",IF(AR256="Yes","❌ Disc",IF(AQ256="No","⚠ Missing",IF(AT256="Yes","✓ OK","⚠ Check"))))</f>
        <v/>
      </c>
    </row>
    <row r="257" ht="18" customHeight="1" s="46">
      <c r="A257" s="23" t="n">
        <v>253</v>
      </c>
      <c r="B257" s="24" t="inlineStr">
        <is>
          <t>BD-HNA-2025-0369</t>
        </is>
      </c>
      <c r="C257" s="25" t="inlineStr">
        <is>
          <t>Bonito Handles - N.H_VI-03 - Black Profile Handle - 500mm</t>
        </is>
      </c>
      <c r="D257" s="23" t="inlineStr">
        <is>
          <t>Bonito Handles</t>
        </is>
      </c>
      <c r="E257" s="43" t="n">
        <v>46125</v>
      </c>
      <c r="F257" s="26" t="inlineStr">
        <is>
          <t>Sunil CR</t>
        </is>
      </c>
      <c r="G257" s="44" t="inlineStr">
        <is>
          <t>Represented by Sample</t>
        </is>
      </c>
      <c r="H257" s="26" t="inlineStr">
        <is>
          <t>No</t>
        </is>
      </c>
      <c r="I257" s="44" t="inlineStr">
        <is>
          <t>Represented by Sample</t>
        </is>
      </c>
      <c r="J257" s="26" t="inlineStr">
        <is>
          <t>Yes</t>
        </is>
      </c>
      <c r="K257" s="27" t="n"/>
      <c r="L257" s="28" t="inlineStr">
        <is>
          <t>No</t>
        </is>
      </c>
      <c r="M257" s="29">
        <f>IF(E257="","",IF(H257="Yes","❌ Disc",IF(G257="No","⚠ Missing",IF(J257="Yes","✓ OK","⚠ Check"))))</f>
        <v/>
      </c>
      <c r="N257" s="43" t="n">
        <v>46196</v>
      </c>
      <c r="O257" s="26" t="inlineStr">
        <is>
          <t>Sunil CR</t>
        </is>
      </c>
      <c r="P257" s="44" t="inlineStr">
        <is>
          <t>Represented by Sample</t>
        </is>
      </c>
      <c r="Q257" s="26" t="inlineStr">
        <is>
          <t>No</t>
        </is>
      </c>
      <c r="R257" s="44" t="inlineStr">
        <is>
          <t>Represented by Sample</t>
        </is>
      </c>
      <c r="S257" s="26" t="inlineStr">
        <is>
          <t>Yes</t>
        </is>
      </c>
      <c r="T257" s="27" t="n"/>
      <c r="U257" s="28" t="inlineStr">
        <is>
          <t>No</t>
        </is>
      </c>
      <c r="V257" s="29">
        <f>IF(N257="","",IF(Q257="Yes","❌ Disc",IF(P257="No","⚠ Missing",IF(S257="Yes","✓ OK","⚠ Check"))))</f>
        <v/>
      </c>
      <c r="W257" s="65" t="n">
        <v>46248</v>
      </c>
      <c r="X257" s="30" t="inlineStr">
        <is>
          <t>Sunil CR</t>
        </is>
      </c>
      <c r="Y257" s="30" t="inlineStr">
        <is>
          <t>Represented by Sample</t>
        </is>
      </c>
      <c r="Z257" s="30" t="n"/>
      <c r="AA257" s="30" t="inlineStr">
        <is>
          <t>Represented by Sample</t>
        </is>
      </c>
      <c r="AB257" s="30" t="inlineStr">
        <is>
          <t>Yes</t>
        </is>
      </c>
      <c r="AC257" s="27" t="n"/>
      <c r="AD257" s="31" t="inlineStr">
        <is>
          <t>No</t>
        </is>
      </c>
      <c r="AE257" s="32">
        <f>IF(W257="","",IF(Z257="Yes","❌ Disc",IF(Y257="No","⚠ Missing",IF(AB257="Yes","✓ OK","⚠ Check"))))</f>
        <v/>
      </c>
      <c r="AF257" s="33" t="n"/>
      <c r="AG257" s="33" t="n"/>
      <c r="AH257" s="33" t="n"/>
      <c r="AI257" s="33" t="n"/>
      <c r="AJ257" s="33" t="n"/>
      <c r="AK257" s="33" t="n"/>
      <c r="AL257" s="27" t="n"/>
      <c r="AM257" s="34" t="n"/>
      <c r="AN257" s="35">
        <f>IF(AF257="","",IF(AI257="Yes","❌ Disc",IF(AH257="No","⚠ Missing",IF(AK257="Yes","✓ OK","⚠ Check"))))</f>
        <v/>
      </c>
      <c r="AO257" s="36" t="n"/>
      <c r="AP257" s="36" t="n"/>
      <c r="AQ257" s="36" t="n"/>
      <c r="AR257" s="36" t="n"/>
      <c r="AS257" s="36" t="n"/>
      <c r="AT257" s="36" t="n"/>
      <c r="AU257" s="27" t="n"/>
      <c r="AV257" s="37" t="n"/>
      <c r="AW257" s="38">
        <f>IF(AO257="","",IF(AR257="Yes","❌ Disc",IF(AQ257="No","⚠ Missing",IF(AT257="Yes","✓ OK","⚠ Check"))))</f>
        <v/>
      </c>
    </row>
    <row r="258" ht="18" customHeight="1" s="46">
      <c r="A258" s="39" t="n">
        <v>254</v>
      </c>
      <c r="B258" s="40" t="inlineStr">
        <is>
          <t>BD-HNA-2025-0370</t>
        </is>
      </c>
      <c r="C258" s="41" t="inlineStr">
        <is>
          <t>Bonito Handles - N.H_VI-03 - Black Profile Handle - 600mm</t>
        </is>
      </c>
      <c r="D258" s="39" t="inlineStr">
        <is>
          <t>Bonito Handles</t>
        </is>
      </c>
      <c r="E258" s="43" t="n">
        <v>46125</v>
      </c>
      <c r="F258" s="26" t="inlineStr">
        <is>
          <t>Sunil CR</t>
        </is>
      </c>
      <c r="G258" s="44" t="inlineStr">
        <is>
          <t>Represented by Sample</t>
        </is>
      </c>
      <c r="H258" s="26" t="inlineStr">
        <is>
          <t>No</t>
        </is>
      </c>
      <c r="I258" s="44" t="inlineStr">
        <is>
          <t>Represented by Sample</t>
        </is>
      </c>
      <c r="J258" s="26" t="inlineStr">
        <is>
          <t>Yes</t>
        </is>
      </c>
      <c r="K258" s="27" t="n"/>
      <c r="L258" s="28" t="inlineStr">
        <is>
          <t>No</t>
        </is>
      </c>
      <c r="M258" s="29">
        <f>IF(E258="","",IF(H258="Yes","❌ Disc",IF(G258="No","⚠ Missing",IF(J258="Yes","✓ OK","⚠ Check"))))</f>
        <v/>
      </c>
      <c r="N258" s="43" t="n">
        <v>46196</v>
      </c>
      <c r="O258" s="26" t="inlineStr">
        <is>
          <t>Sunil CR</t>
        </is>
      </c>
      <c r="P258" s="44" t="inlineStr">
        <is>
          <t>Represented by Sample</t>
        </is>
      </c>
      <c r="Q258" s="26" t="inlineStr">
        <is>
          <t>No</t>
        </is>
      </c>
      <c r="R258" s="44" t="inlineStr">
        <is>
          <t>Represented by Sample</t>
        </is>
      </c>
      <c r="S258" s="26" t="inlineStr">
        <is>
          <t>Yes</t>
        </is>
      </c>
      <c r="T258" s="27" t="n"/>
      <c r="U258" s="28" t="inlineStr">
        <is>
          <t>No</t>
        </is>
      </c>
      <c r="V258" s="29">
        <f>IF(N258="","",IF(Q258="Yes","❌ Disc",IF(P258="No","⚠ Missing",IF(S258="Yes","✓ OK","⚠ Check"))))</f>
        <v/>
      </c>
      <c r="W258" s="65" t="n">
        <v>46248</v>
      </c>
      <c r="X258" s="30" t="inlineStr">
        <is>
          <t>Sunil CR</t>
        </is>
      </c>
      <c r="Y258" s="30" t="inlineStr">
        <is>
          <t>Represented by Sample</t>
        </is>
      </c>
      <c r="Z258" s="30" t="n"/>
      <c r="AA258" s="30" t="inlineStr">
        <is>
          <t>Represented by Sample</t>
        </is>
      </c>
      <c r="AB258" s="30" t="inlineStr">
        <is>
          <t>Yes</t>
        </is>
      </c>
      <c r="AC258" s="27" t="n"/>
      <c r="AD258" s="31" t="inlineStr">
        <is>
          <t>No</t>
        </is>
      </c>
      <c r="AE258" s="32">
        <f>IF(W258="","",IF(Z258="Yes","❌ Disc",IF(Y258="No","⚠ Missing",IF(AB258="Yes","✓ OK","⚠ Check"))))</f>
        <v/>
      </c>
      <c r="AF258" s="33" t="n"/>
      <c r="AG258" s="33" t="n"/>
      <c r="AH258" s="33" t="n"/>
      <c r="AI258" s="33" t="n"/>
      <c r="AJ258" s="33" t="n"/>
      <c r="AK258" s="33" t="n"/>
      <c r="AL258" s="27" t="n"/>
      <c r="AM258" s="34" t="n"/>
      <c r="AN258" s="35">
        <f>IF(AF258="","",IF(AI258="Yes","❌ Disc",IF(AH258="No","⚠ Missing",IF(AK258="Yes","✓ OK","⚠ Check"))))</f>
        <v/>
      </c>
      <c r="AO258" s="36" t="n"/>
      <c r="AP258" s="36" t="n"/>
      <c r="AQ258" s="36" t="n"/>
      <c r="AR258" s="36" t="n"/>
      <c r="AS258" s="36" t="n"/>
      <c r="AT258" s="36" t="n"/>
      <c r="AU258" s="27" t="n"/>
      <c r="AV258" s="37" t="n"/>
      <c r="AW258" s="38">
        <f>IF(AO258="","",IF(AR258="Yes","❌ Disc",IF(AQ258="No","⚠ Missing",IF(AT258="Yes","✓ OK","⚠ Check"))))</f>
        <v/>
      </c>
    </row>
    <row r="259" ht="18" customHeight="1" s="46">
      <c r="A259" s="23" t="n">
        <v>255</v>
      </c>
      <c r="B259" s="24" t="inlineStr">
        <is>
          <t>BD-HNA-2025-0371</t>
        </is>
      </c>
      <c r="C259" s="25" t="inlineStr">
        <is>
          <t>Bonito Handles - N.H_VI-03 - Gold Profile Handle - 200mm</t>
        </is>
      </c>
      <c r="D259" s="23" t="inlineStr">
        <is>
          <t>Bonito Handles</t>
        </is>
      </c>
      <c r="E259" s="43" t="n">
        <v>46125</v>
      </c>
      <c r="F259" s="26" t="inlineStr">
        <is>
          <t>Sunil CR</t>
        </is>
      </c>
      <c r="G259" s="44" t="inlineStr">
        <is>
          <t>Represented by Sample</t>
        </is>
      </c>
      <c r="H259" s="26" t="inlineStr">
        <is>
          <t>No</t>
        </is>
      </c>
      <c r="I259" s="44" t="inlineStr">
        <is>
          <t>Represented by Sample</t>
        </is>
      </c>
      <c r="J259" s="26" t="inlineStr">
        <is>
          <t>Yes</t>
        </is>
      </c>
      <c r="K259" s="27" t="n"/>
      <c r="L259" s="28" t="inlineStr">
        <is>
          <t>No</t>
        </is>
      </c>
      <c r="M259" s="29">
        <f>IF(E259="","",IF(H259="Yes","❌ Disc",IF(G259="No","⚠ Missing",IF(J259="Yes","✓ OK","⚠ Check"))))</f>
        <v/>
      </c>
      <c r="N259" s="43" t="n">
        <v>46196</v>
      </c>
      <c r="O259" s="26" t="inlineStr">
        <is>
          <t>Sunil CR</t>
        </is>
      </c>
      <c r="P259" s="44" t="inlineStr">
        <is>
          <t>Represented by Sample</t>
        </is>
      </c>
      <c r="Q259" s="26" t="inlineStr">
        <is>
          <t>No</t>
        </is>
      </c>
      <c r="R259" s="44" t="inlineStr">
        <is>
          <t>Represented by Sample</t>
        </is>
      </c>
      <c r="S259" s="26" t="inlineStr">
        <is>
          <t>Yes</t>
        </is>
      </c>
      <c r="T259" s="27" t="n"/>
      <c r="U259" s="28" t="inlineStr">
        <is>
          <t>No</t>
        </is>
      </c>
      <c r="V259" s="29">
        <f>IF(N259="","",IF(Q259="Yes","❌ Disc",IF(P259="No","⚠ Missing",IF(S259="Yes","✓ OK","⚠ Check"))))</f>
        <v/>
      </c>
      <c r="W259" s="65" t="n">
        <v>46248</v>
      </c>
      <c r="X259" s="30" t="inlineStr">
        <is>
          <t>Sunil CR</t>
        </is>
      </c>
      <c r="Y259" s="30" t="inlineStr">
        <is>
          <t>Represented by Sample</t>
        </is>
      </c>
      <c r="Z259" s="30" t="n"/>
      <c r="AA259" s="30" t="inlineStr">
        <is>
          <t>Represented by Sample</t>
        </is>
      </c>
      <c r="AB259" s="30" t="inlineStr">
        <is>
          <t>Yes</t>
        </is>
      </c>
      <c r="AC259" s="27" t="n"/>
      <c r="AD259" s="31" t="inlineStr">
        <is>
          <t>No</t>
        </is>
      </c>
      <c r="AE259" s="32">
        <f>IF(W259="","",IF(Z259="Yes","❌ Disc",IF(Y259="No","⚠ Missing",IF(AB259="Yes","✓ OK","⚠ Check"))))</f>
        <v/>
      </c>
      <c r="AF259" s="33" t="n"/>
      <c r="AG259" s="33" t="n"/>
      <c r="AH259" s="33" t="n"/>
      <c r="AI259" s="33" t="n"/>
      <c r="AJ259" s="33" t="n"/>
      <c r="AK259" s="33" t="n"/>
      <c r="AL259" s="27" t="n"/>
      <c r="AM259" s="34" t="n"/>
      <c r="AN259" s="35">
        <f>IF(AF259="","",IF(AI259="Yes","❌ Disc",IF(AH259="No","⚠ Missing",IF(AK259="Yes","✓ OK","⚠ Check"))))</f>
        <v/>
      </c>
      <c r="AO259" s="36" t="n"/>
      <c r="AP259" s="36" t="n"/>
      <c r="AQ259" s="36" t="n"/>
      <c r="AR259" s="36" t="n"/>
      <c r="AS259" s="36" t="n"/>
      <c r="AT259" s="36" t="n"/>
      <c r="AU259" s="27" t="n"/>
      <c r="AV259" s="37" t="n"/>
      <c r="AW259" s="38">
        <f>IF(AO259="","",IF(AR259="Yes","❌ Disc",IF(AQ259="No","⚠ Missing",IF(AT259="Yes","✓ OK","⚠ Check"))))</f>
        <v/>
      </c>
    </row>
    <row r="260" ht="18" customHeight="1" s="46">
      <c r="A260" s="39" t="n">
        <v>256</v>
      </c>
      <c r="B260" s="40" t="inlineStr">
        <is>
          <t>BD-HNA-2025-0372</t>
        </is>
      </c>
      <c r="C260" s="41" t="inlineStr">
        <is>
          <t>Bonito Handles - N.H_VI-03 - Gold Profile Handle - 250mm</t>
        </is>
      </c>
      <c r="D260" s="39" t="inlineStr">
        <is>
          <t>Bonito Handles</t>
        </is>
      </c>
      <c r="E260" s="43" t="n">
        <v>46125</v>
      </c>
      <c r="F260" s="26" t="inlineStr">
        <is>
          <t>Sunil CR</t>
        </is>
      </c>
      <c r="G260" s="44" t="inlineStr">
        <is>
          <t>Represented by Sample</t>
        </is>
      </c>
      <c r="H260" s="26" t="inlineStr">
        <is>
          <t>No</t>
        </is>
      </c>
      <c r="I260" s="44" t="inlineStr">
        <is>
          <t>Represented by Sample</t>
        </is>
      </c>
      <c r="J260" s="26" t="inlineStr">
        <is>
          <t>Yes</t>
        </is>
      </c>
      <c r="K260" s="27" t="n"/>
      <c r="L260" s="28" t="inlineStr">
        <is>
          <t>No</t>
        </is>
      </c>
      <c r="M260" s="29">
        <f>IF(E260="","",IF(H260="Yes","❌ Disc",IF(G260="No","⚠ Missing",IF(J260="Yes","✓ OK","⚠ Check"))))</f>
        <v/>
      </c>
      <c r="N260" s="43" t="n">
        <v>46196</v>
      </c>
      <c r="O260" s="26" t="inlineStr">
        <is>
          <t>Sunil CR</t>
        </is>
      </c>
      <c r="P260" s="44" t="inlineStr">
        <is>
          <t>Represented by Sample</t>
        </is>
      </c>
      <c r="Q260" s="26" t="inlineStr">
        <is>
          <t>No</t>
        </is>
      </c>
      <c r="R260" s="44" t="inlineStr">
        <is>
          <t>Represented by Sample</t>
        </is>
      </c>
      <c r="S260" s="26" t="inlineStr">
        <is>
          <t>Yes</t>
        </is>
      </c>
      <c r="T260" s="27" t="n"/>
      <c r="U260" s="28" t="inlineStr">
        <is>
          <t>No</t>
        </is>
      </c>
      <c r="V260" s="29">
        <f>IF(N260="","",IF(Q260="Yes","❌ Disc",IF(P260="No","⚠ Missing",IF(S260="Yes","✓ OK","⚠ Check"))))</f>
        <v/>
      </c>
      <c r="W260" s="65" t="n">
        <v>46248</v>
      </c>
      <c r="X260" s="30" t="inlineStr">
        <is>
          <t>Sunil CR</t>
        </is>
      </c>
      <c r="Y260" s="30" t="inlineStr">
        <is>
          <t>Represented by Sample</t>
        </is>
      </c>
      <c r="Z260" s="30" t="n"/>
      <c r="AA260" s="30" t="inlineStr">
        <is>
          <t>Represented by Sample</t>
        </is>
      </c>
      <c r="AB260" s="30" t="inlineStr">
        <is>
          <t>Yes</t>
        </is>
      </c>
      <c r="AC260" s="27" t="n"/>
      <c r="AD260" s="31" t="inlineStr">
        <is>
          <t>No</t>
        </is>
      </c>
      <c r="AE260" s="32">
        <f>IF(W260="","",IF(Z260="Yes","❌ Disc",IF(Y260="No","⚠ Missing",IF(AB260="Yes","✓ OK","⚠ Check"))))</f>
        <v/>
      </c>
      <c r="AF260" s="33" t="n"/>
      <c r="AG260" s="33" t="n"/>
      <c r="AH260" s="33" t="n"/>
      <c r="AI260" s="33" t="n"/>
      <c r="AJ260" s="33" t="n"/>
      <c r="AK260" s="33" t="n"/>
      <c r="AL260" s="27" t="n"/>
      <c r="AM260" s="34" t="n"/>
      <c r="AN260" s="35">
        <f>IF(AF260="","",IF(AI260="Yes","❌ Disc",IF(AH260="No","⚠ Missing",IF(AK260="Yes","✓ OK","⚠ Check"))))</f>
        <v/>
      </c>
      <c r="AO260" s="36" t="n"/>
      <c r="AP260" s="36" t="n"/>
      <c r="AQ260" s="36" t="n"/>
      <c r="AR260" s="36" t="n"/>
      <c r="AS260" s="36" t="n"/>
      <c r="AT260" s="36" t="n"/>
      <c r="AU260" s="27" t="n"/>
      <c r="AV260" s="37" t="n"/>
      <c r="AW260" s="38">
        <f>IF(AO260="","",IF(AR260="Yes","❌ Disc",IF(AQ260="No","⚠ Missing",IF(AT260="Yes","✓ OK","⚠ Check"))))</f>
        <v/>
      </c>
    </row>
    <row r="261" ht="18" customHeight="1" s="46">
      <c r="A261" s="23" t="n">
        <v>257</v>
      </c>
      <c r="B261" s="24" t="inlineStr">
        <is>
          <t>BD-HNA-2025-0373</t>
        </is>
      </c>
      <c r="C261" s="25" t="inlineStr">
        <is>
          <t>Bonito Handles - N.H_VI-03 - Gold Profile Handle - 300mm</t>
        </is>
      </c>
      <c r="D261" s="23" t="inlineStr">
        <is>
          <t>Bonito Handles</t>
        </is>
      </c>
      <c r="E261" s="43" t="n">
        <v>46125</v>
      </c>
      <c r="F261" s="26" t="inlineStr">
        <is>
          <t>Sunil CR</t>
        </is>
      </c>
      <c r="G261" s="44" t="inlineStr">
        <is>
          <t>Represented by Sample</t>
        </is>
      </c>
      <c r="H261" s="26" t="inlineStr">
        <is>
          <t>No</t>
        </is>
      </c>
      <c r="I261" s="44" t="inlineStr">
        <is>
          <t>Represented by Sample</t>
        </is>
      </c>
      <c r="J261" s="26" t="inlineStr">
        <is>
          <t>Yes</t>
        </is>
      </c>
      <c r="K261" s="27" t="n"/>
      <c r="L261" s="28" t="inlineStr">
        <is>
          <t>No</t>
        </is>
      </c>
      <c r="M261" s="29">
        <f>IF(E261="","",IF(H261="Yes","❌ Disc",IF(G261="No","⚠ Missing",IF(J261="Yes","✓ OK","⚠ Check"))))</f>
        <v/>
      </c>
      <c r="N261" s="43" t="n">
        <v>46196</v>
      </c>
      <c r="O261" s="26" t="inlineStr">
        <is>
          <t>Sunil CR</t>
        </is>
      </c>
      <c r="P261" s="44" t="inlineStr">
        <is>
          <t>Represented by Sample</t>
        </is>
      </c>
      <c r="Q261" s="26" t="inlineStr">
        <is>
          <t>No</t>
        </is>
      </c>
      <c r="R261" s="44" t="inlineStr">
        <is>
          <t>Represented by Sample</t>
        </is>
      </c>
      <c r="S261" s="26" t="inlineStr">
        <is>
          <t>Yes</t>
        </is>
      </c>
      <c r="T261" s="27" t="n"/>
      <c r="U261" s="28" t="inlineStr">
        <is>
          <t>No</t>
        </is>
      </c>
      <c r="V261" s="29">
        <f>IF(N261="","",IF(Q261="Yes","❌ Disc",IF(P261="No","⚠ Missing",IF(S261="Yes","✓ OK","⚠ Check"))))</f>
        <v/>
      </c>
      <c r="W261" s="65" t="n">
        <v>46248</v>
      </c>
      <c r="X261" s="30" t="inlineStr">
        <is>
          <t>Sunil CR</t>
        </is>
      </c>
      <c r="Y261" s="30" t="inlineStr">
        <is>
          <t>Represented by Sample</t>
        </is>
      </c>
      <c r="Z261" s="30" t="n"/>
      <c r="AA261" s="30" t="inlineStr">
        <is>
          <t>Represented by Sample</t>
        </is>
      </c>
      <c r="AB261" s="30" t="inlineStr">
        <is>
          <t>Yes</t>
        </is>
      </c>
      <c r="AC261" s="27" t="n"/>
      <c r="AD261" s="31" t="inlineStr">
        <is>
          <t>No</t>
        </is>
      </c>
      <c r="AE261" s="32">
        <f>IF(W261="","",IF(Z261="Yes","❌ Disc",IF(Y261="No","⚠ Missing",IF(AB261="Yes","✓ OK","⚠ Check"))))</f>
        <v/>
      </c>
      <c r="AF261" s="33" t="n"/>
      <c r="AG261" s="33" t="n"/>
      <c r="AH261" s="33" t="n"/>
      <c r="AI261" s="33" t="n"/>
      <c r="AJ261" s="33" t="n"/>
      <c r="AK261" s="33" t="n"/>
      <c r="AL261" s="27" t="n"/>
      <c r="AM261" s="34" t="n"/>
      <c r="AN261" s="35">
        <f>IF(AF261="","",IF(AI261="Yes","❌ Disc",IF(AH261="No","⚠ Missing",IF(AK261="Yes","✓ OK","⚠ Check"))))</f>
        <v/>
      </c>
      <c r="AO261" s="36" t="n"/>
      <c r="AP261" s="36" t="n"/>
      <c r="AQ261" s="36" t="n"/>
      <c r="AR261" s="36" t="n"/>
      <c r="AS261" s="36" t="n"/>
      <c r="AT261" s="36" t="n"/>
      <c r="AU261" s="27" t="n"/>
      <c r="AV261" s="37" t="n"/>
      <c r="AW261" s="38">
        <f>IF(AO261="","",IF(AR261="Yes","❌ Disc",IF(AQ261="No","⚠ Missing",IF(AT261="Yes","✓ OK","⚠ Check"))))</f>
        <v/>
      </c>
    </row>
    <row r="262" ht="18" customHeight="1" s="46">
      <c r="A262" s="39" t="n">
        <v>258</v>
      </c>
      <c r="B262" s="40" t="inlineStr">
        <is>
          <t>BD-HNA-2025-0374</t>
        </is>
      </c>
      <c r="C262" s="41" t="inlineStr">
        <is>
          <t>Bonito Handles - N.H_VI-03 - Gold Profile Handle - 398mm</t>
        </is>
      </c>
      <c r="D262" s="39" t="inlineStr">
        <is>
          <t>Bonito Handles</t>
        </is>
      </c>
      <c r="E262" s="43" t="n">
        <v>46125</v>
      </c>
      <c r="F262" s="26" t="inlineStr">
        <is>
          <t>Sunil CR</t>
        </is>
      </c>
      <c r="G262" s="44" t="inlineStr">
        <is>
          <t>Represented by Sample</t>
        </is>
      </c>
      <c r="H262" s="26" t="inlineStr">
        <is>
          <t>No</t>
        </is>
      </c>
      <c r="I262" s="44" t="inlineStr">
        <is>
          <t>Represented by Sample</t>
        </is>
      </c>
      <c r="J262" s="26" t="inlineStr">
        <is>
          <t>Yes</t>
        </is>
      </c>
      <c r="K262" s="27" t="n"/>
      <c r="L262" s="28" t="inlineStr">
        <is>
          <t>No</t>
        </is>
      </c>
      <c r="M262" s="29">
        <f>IF(E262="","",IF(H262="Yes","❌ Disc",IF(G262="No","⚠ Missing",IF(J262="Yes","✓ OK","⚠ Check"))))</f>
        <v/>
      </c>
      <c r="N262" s="43" t="n">
        <v>46196</v>
      </c>
      <c r="O262" s="26" t="inlineStr">
        <is>
          <t>Sunil CR</t>
        </is>
      </c>
      <c r="P262" s="44" t="inlineStr">
        <is>
          <t>Represented by Sample</t>
        </is>
      </c>
      <c r="Q262" s="26" t="inlineStr">
        <is>
          <t>No</t>
        </is>
      </c>
      <c r="R262" s="44" t="inlineStr">
        <is>
          <t>Represented by Sample</t>
        </is>
      </c>
      <c r="S262" s="26" t="inlineStr">
        <is>
          <t>Yes</t>
        </is>
      </c>
      <c r="T262" s="27" t="n"/>
      <c r="U262" s="28" t="inlineStr">
        <is>
          <t>No</t>
        </is>
      </c>
      <c r="V262" s="29">
        <f>IF(N262="","",IF(Q262="Yes","❌ Disc",IF(P262="No","⚠ Missing",IF(S262="Yes","✓ OK","⚠ Check"))))</f>
        <v/>
      </c>
      <c r="W262" s="65" t="n">
        <v>46248</v>
      </c>
      <c r="X262" s="30" t="inlineStr">
        <is>
          <t>Sunil CR</t>
        </is>
      </c>
      <c r="Y262" s="30" t="inlineStr">
        <is>
          <t>Represented by Sample</t>
        </is>
      </c>
      <c r="Z262" s="30" t="n"/>
      <c r="AA262" s="30" t="inlineStr">
        <is>
          <t>Represented by Sample</t>
        </is>
      </c>
      <c r="AB262" s="30" t="inlineStr">
        <is>
          <t>Yes</t>
        </is>
      </c>
      <c r="AC262" s="27" t="n"/>
      <c r="AD262" s="31" t="inlineStr">
        <is>
          <t>No</t>
        </is>
      </c>
      <c r="AE262" s="32">
        <f>IF(W262="","",IF(Z262="Yes","❌ Disc",IF(Y262="No","⚠ Missing",IF(AB262="Yes","✓ OK","⚠ Check"))))</f>
        <v/>
      </c>
      <c r="AF262" s="33" t="n"/>
      <c r="AG262" s="33" t="n"/>
      <c r="AH262" s="33" t="n"/>
      <c r="AI262" s="33" t="n"/>
      <c r="AJ262" s="33" t="n"/>
      <c r="AK262" s="33" t="n"/>
      <c r="AL262" s="27" t="n"/>
      <c r="AM262" s="34" t="n"/>
      <c r="AN262" s="35">
        <f>IF(AF262="","",IF(AI262="Yes","❌ Disc",IF(AH262="No","⚠ Missing",IF(AK262="Yes","✓ OK","⚠ Check"))))</f>
        <v/>
      </c>
      <c r="AO262" s="36" t="n"/>
      <c r="AP262" s="36" t="n"/>
      <c r="AQ262" s="36" t="n"/>
      <c r="AR262" s="36" t="n"/>
      <c r="AS262" s="36" t="n"/>
      <c r="AT262" s="36" t="n"/>
      <c r="AU262" s="27" t="n"/>
      <c r="AV262" s="37" t="n"/>
      <c r="AW262" s="38">
        <f>IF(AO262="","",IF(AR262="Yes","❌ Disc",IF(AQ262="No","⚠ Missing",IF(AT262="Yes","✓ OK","⚠ Check"))))</f>
        <v/>
      </c>
    </row>
    <row r="263" ht="18" customHeight="1" s="46">
      <c r="A263" s="23" t="n">
        <v>259</v>
      </c>
      <c r="B263" s="24" t="inlineStr">
        <is>
          <t>BD-HNA-2025-0375</t>
        </is>
      </c>
      <c r="C263" s="25" t="inlineStr">
        <is>
          <t>Bonito Handles - N.H_VI-03 - Gold Profile Handle - 450mm</t>
        </is>
      </c>
      <c r="D263" s="23" t="inlineStr">
        <is>
          <t>Bonito Handles</t>
        </is>
      </c>
      <c r="E263" s="43" t="n">
        <v>46125</v>
      </c>
      <c r="F263" s="26" t="inlineStr">
        <is>
          <t>Sunil CR</t>
        </is>
      </c>
      <c r="G263" s="44" t="inlineStr">
        <is>
          <t>Represented by Sample</t>
        </is>
      </c>
      <c r="H263" s="26" t="inlineStr">
        <is>
          <t>No</t>
        </is>
      </c>
      <c r="I263" s="44" t="inlineStr">
        <is>
          <t>Represented by Sample</t>
        </is>
      </c>
      <c r="J263" s="26" t="inlineStr">
        <is>
          <t>Yes</t>
        </is>
      </c>
      <c r="K263" s="27" t="n"/>
      <c r="L263" s="28" t="inlineStr">
        <is>
          <t>No</t>
        </is>
      </c>
      <c r="M263" s="29">
        <f>IF(E263="","",IF(H263="Yes","❌ Disc",IF(G263="No","⚠ Missing",IF(J263="Yes","✓ OK","⚠ Check"))))</f>
        <v/>
      </c>
      <c r="N263" s="43" t="n">
        <v>46196</v>
      </c>
      <c r="O263" s="26" t="inlineStr">
        <is>
          <t>Sunil CR</t>
        </is>
      </c>
      <c r="P263" s="44" t="inlineStr">
        <is>
          <t>Represented by Sample</t>
        </is>
      </c>
      <c r="Q263" s="26" t="inlineStr">
        <is>
          <t>No</t>
        </is>
      </c>
      <c r="R263" s="44" t="inlineStr">
        <is>
          <t>Represented by Sample</t>
        </is>
      </c>
      <c r="S263" s="26" t="inlineStr">
        <is>
          <t>Yes</t>
        </is>
      </c>
      <c r="T263" s="27" t="n"/>
      <c r="U263" s="28" t="inlineStr">
        <is>
          <t>No</t>
        </is>
      </c>
      <c r="V263" s="29">
        <f>IF(N263="","",IF(Q263="Yes","❌ Disc",IF(P263="No","⚠ Missing",IF(S263="Yes","✓ OK","⚠ Check"))))</f>
        <v/>
      </c>
      <c r="W263" s="65" t="n">
        <v>46248</v>
      </c>
      <c r="X263" s="30" t="inlineStr">
        <is>
          <t>Sunil CR</t>
        </is>
      </c>
      <c r="Y263" s="30" t="inlineStr">
        <is>
          <t>Represented by Sample</t>
        </is>
      </c>
      <c r="Z263" s="30" t="n"/>
      <c r="AA263" s="30" t="inlineStr">
        <is>
          <t>Represented by Sample</t>
        </is>
      </c>
      <c r="AB263" s="30" t="inlineStr">
        <is>
          <t>Yes</t>
        </is>
      </c>
      <c r="AC263" s="27" t="n"/>
      <c r="AD263" s="31" t="inlineStr">
        <is>
          <t>No</t>
        </is>
      </c>
      <c r="AE263" s="32">
        <f>IF(W263="","",IF(Z263="Yes","❌ Disc",IF(Y263="No","⚠ Missing",IF(AB263="Yes","✓ OK","⚠ Check"))))</f>
        <v/>
      </c>
      <c r="AF263" s="33" t="n"/>
      <c r="AG263" s="33" t="n"/>
      <c r="AH263" s="33" t="n"/>
      <c r="AI263" s="33" t="n"/>
      <c r="AJ263" s="33" t="n"/>
      <c r="AK263" s="33" t="n"/>
      <c r="AL263" s="27" t="n"/>
      <c r="AM263" s="34" t="n"/>
      <c r="AN263" s="35">
        <f>IF(AF263="","",IF(AI263="Yes","❌ Disc",IF(AH263="No","⚠ Missing",IF(AK263="Yes","✓ OK","⚠ Check"))))</f>
        <v/>
      </c>
      <c r="AO263" s="36" t="n"/>
      <c r="AP263" s="36" t="n"/>
      <c r="AQ263" s="36" t="n"/>
      <c r="AR263" s="36" t="n"/>
      <c r="AS263" s="36" t="n"/>
      <c r="AT263" s="36" t="n"/>
      <c r="AU263" s="27" t="n"/>
      <c r="AV263" s="37" t="n"/>
      <c r="AW263" s="38">
        <f>IF(AO263="","",IF(AR263="Yes","❌ Disc",IF(AQ263="No","⚠ Missing",IF(AT263="Yes","✓ OK","⚠ Check"))))</f>
        <v/>
      </c>
    </row>
    <row r="264" ht="18" customHeight="1" s="46">
      <c r="A264" s="39" t="n">
        <v>260</v>
      </c>
      <c r="B264" s="40" t="inlineStr">
        <is>
          <t>BD-HNA-2025-0376</t>
        </is>
      </c>
      <c r="C264" s="41" t="inlineStr">
        <is>
          <t>Bonito Handles - N.H_VI-03 - Gold Profile Handle - 500mm</t>
        </is>
      </c>
      <c r="D264" s="39" t="inlineStr">
        <is>
          <t>Bonito Handles</t>
        </is>
      </c>
      <c r="E264" s="43" t="n">
        <v>46125</v>
      </c>
      <c r="F264" s="26" t="inlineStr">
        <is>
          <t>Sunil CR</t>
        </is>
      </c>
      <c r="G264" s="44" t="inlineStr">
        <is>
          <t>Represented by Sample</t>
        </is>
      </c>
      <c r="H264" s="26" t="inlineStr">
        <is>
          <t>No</t>
        </is>
      </c>
      <c r="I264" s="44" t="inlineStr">
        <is>
          <t>Represented by Sample</t>
        </is>
      </c>
      <c r="J264" s="26" t="inlineStr">
        <is>
          <t>Yes</t>
        </is>
      </c>
      <c r="K264" s="27" t="n"/>
      <c r="L264" s="28" t="inlineStr">
        <is>
          <t>No</t>
        </is>
      </c>
      <c r="M264" s="29">
        <f>IF(E264="","",IF(H264="Yes","❌ Disc",IF(G264="No","⚠ Missing",IF(J264="Yes","✓ OK","⚠ Check"))))</f>
        <v/>
      </c>
      <c r="N264" s="43" t="n">
        <v>46196</v>
      </c>
      <c r="O264" s="26" t="inlineStr">
        <is>
          <t>Sunil CR</t>
        </is>
      </c>
      <c r="P264" s="44" t="inlineStr">
        <is>
          <t>Represented by Sample</t>
        </is>
      </c>
      <c r="Q264" s="26" t="inlineStr">
        <is>
          <t>No</t>
        </is>
      </c>
      <c r="R264" s="44" t="inlineStr">
        <is>
          <t>Represented by Sample</t>
        </is>
      </c>
      <c r="S264" s="26" t="inlineStr">
        <is>
          <t>Yes</t>
        </is>
      </c>
      <c r="T264" s="27" t="n"/>
      <c r="U264" s="28" t="inlineStr">
        <is>
          <t>No</t>
        </is>
      </c>
      <c r="V264" s="29">
        <f>IF(N264="","",IF(Q264="Yes","❌ Disc",IF(P264="No","⚠ Missing",IF(S264="Yes","✓ OK","⚠ Check"))))</f>
        <v/>
      </c>
      <c r="W264" s="65" t="n">
        <v>46248</v>
      </c>
      <c r="X264" s="30" t="inlineStr">
        <is>
          <t>Sunil CR</t>
        </is>
      </c>
      <c r="Y264" s="30" t="inlineStr">
        <is>
          <t>Represented by Sample</t>
        </is>
      </c>
      <c r="Z264" s="30" t="n"/>
      <c r="AA264" s="30" t="inlineStr">
        <is>
          <t>Represented by Sample</t>
        </is>
      </c>
      <c r="AB264" s="30" t="inlineStr">
        <is>
          <t>Yes</t>
        </is>
      </c>
      <c r="AC264" s="27" t="n"/>
      <c r="AD264" s="31" t="inlineStr">
        <is>
          <t>No</t>
        </is>
      </c>
      <c r="AE264" s="32">
        <f>IF(W264="","",IF(Z264="Yes","❌ Disc",IF(Y264="No","⚠ Missing",IF(AB264="Yes","✓ OK","⚠ Check"))))</f>
        <v/>
      </c>
      <c r="AF264" s="33" t="n"/>
      <c r="AG264" s="33" t="n"/>
      <c r="AH264" s="33" t="n"/>
      <c r="AI264" s="33" t="n"/>
      <c r="AJ264" s="33" t="n"/>
      <c r="AK264" s="33" t="n"/>
      <c r="AL264" s="27" t="n"/>
      <c r="AM264" s="34" t="n"/>
      <c r="AN264" s="35">
        <f>IF(AF264="","",IF(AI264="Yes","❌ Disc",IF(AH264="No","⚠ Missing",IF(AK264="Yes","✓ OK","⚠ Check"))))</f>
        <v/>
      </c>
      <c r="AO264" s="36" t="n"/>
      <c r="AP264" s="36" t="n"/>
      <c r="AQ264" s="36" t="n"/>
      <c r="AR264" s="36" t="n"/>
      <c r="AS264" s="36" t="n"/>
      <c r="AT264" s="36" t="n"/>
      <c r="AU264" s="27" t="n"/>
      <c r="AV264" s="37" t="n"/>
      <c r="AW264" s="38">
        <f>IF(AO264="","",IF(AR264="Yes","❌ Disc",IF(AQ264="No","⚠ Missing",IF(AT264="Yes","✓ OK","⚠ Check"))))</f>
        <v/>
      </c>
    </row>
    <row r="265" ht="18" customHeight="1" s="46">
      <c r="A265" s="23" t="n">
        <v>261</v>
      </c>
      <c r="B265" s="24" t="inlineStr">
        <is>
          <t>BD-HNA-2025-0377</t>
        </is>
      </c>
      <c r="C265" s="25" t="inlineStr">
        <is>
          <t>Bonito Handles - N.H_VI-03 - Gold Profile Handle - 600mm</t>
        </is>
      </c>
      <c r="D265" s="23" t="inlineStr">
        <is>
          <t>Bonito Handles</t>
        </is>
      </c>
      <c r="E265" s="43" t="n">
        <v>46125</v>
      </c>
      <c r="F265" s="26" t="inlineStr">
        <is>
          <t>Sunil CR</t>
        </is>
      </c>
      <c r="G265" s="44" t="inlineStr">
        <is>
          <t>Represented by Sample</t>
        </is>
      </c>
      <c r="H265" s="26" t="inlineStr">
        <is>
          <t>No</t>
        </is>
      </c>
      <c r="I265" s="44" t="inlineStr">
        <is>
          <t>Represented by Sample</t>
        </is>
      </c>
      <c r="J265" s="26" t="inlineStr">
        <is>
          <t>Yes</t>
        </is>
      </c>
      <c r="K265" s="27" t="n"/>
      <c r="L265" s="28" t="inlineStr">
        <is>
          <t>No</t>
        </is>
      </c>
      <c r="M265" s="29">
        <f>IF(E265="","",IF(H265="Yes","❌ Disc",IF(G265="No","⚠ Missing",IF(J265="Yes","✓ OK","⚠ Check"))))</f>
        <v/>
      </c>
      <c r="N265" s="43" t="n">
        <v>46196</v>
      </c>
      <c r="O265" s="26" t="inlineStr">
        <is>
          <t>Sunil CR</t>
        </is>
      </c>
      <c r="P265" s="44" t="inlineStr">
        <is>
          <t>Represented by Sample</t>
        </is>
      </c>
      <c r="Q265" s="26" t="inlineStr">
        <is>
          <t>No</t>
        </is>
      </c>
      <c r="R265" s="44" t="inlineStr">
        <is>
          <t>Represented by Sample</t>
        </is>
      </c>
      <c r="S265" s="26" t="inlineStr">
        <is>
          <t>Yes</t>
        </is>
      </c>
      <c r="T265" s="27" t="n"/>
      <c r="U265" s="28" t="inlineStr">
        <is>
          <t>No</t>
        </is>
      </c>
      <c r="V265" s="29">
        <f>IF(N265="","",IF(Q265="Yes","❌ Disc",IF(P265="No","⚠ Missing",IF(S265="Yes","✓ OK","⚠ Check"))))</f>
        <v/>
      </c>
      <c r="W265" s="65" t="n">
        <v>46248</v>
      </c>
      <c r="X265" s="30" t="inlineStr">
        <is>
          <t>Sunil CR</t>
        </is>
      </c>
      <c r="Y265" s="30" t="inlineStr">
        <is>
          <t>Represented by Sample</t>
        </is>
      </c>
      <c r="Z265" s="30" t="n"/>
      <c r="AA265" s="30" t="inlineStr">
        <is>
          <t>Represented by Sample</t>
        </is>
      </c>
      <c r="AB265" s="30" t="inlineStr">
        <is>
          <t>Yes</t>
        </is>
      </c>
      <c r="AC265" s="27" t="n"/>
      <c r="AD265" s="31" t="inlineStr">
        <is>
          <t>No</t>
        </is>
      </c>
      <c r="AE265" s="32">
        <f>IF(W265="","",IF(Z265="Yes","❌ Disc",IF(Y265="No","⚠ Missing",IF(AB265="Yes","✓ OK","⚠ Check"))))</f>
        <v/>
      </c>
      <c r="AF265" s="33" t="n"/>
      <c r="AG265" s="33" t="n"/>
      <c r="AH265" s="33" t="n"/>
      <c r="AI265" s="33" t="n"/>
      <c r="AJ265" s="33" t="n"/>
      <c r="AK265" s="33" t="n"/>
      <c r="AL265" s="27" t="n"/>
      <c r="AM265" s="34" t="n"/>
      <c r="AN265" s="35">
        <f>IF(AF265="","",IF(AI265="Yes","❌ Disc",IF(AH265="No","⚠ Missing",IF(AK265="Yes","✓ OK","⚠ Check"))))</f>
        <v/>
      </c>
      <c r="AO265" s="36" t="n"/>
      <c r="AP265" s="36" t="n"/>
      <c r="AQ265" s="36" t="n"/>
      <c r="AR265" s="36" t="n"/>
      <c r="AS265" s="36" t="n"/>
      <c r="AT265" s="36" t="n"/>
      <c r="AU265" s="27" t="n"/>
      <c r="AV265" s="37" t="n"/>
      <c r="AW265" s="38">
        <f>IF(AO265="","",IF(AR265="Yes","❌ Disc",IF(AQ265="No","⚠ Missing",IF(AT265="Yes","✓ OK","⚠ Check"))))</f>
        <v/>
      </c>
    </row>
    <row r="266" ht="18" customHeight="1" s="46">
      <c r="A266" s="39" t="n">
        <v>262</v>
      </c>
      <c r="B266" s="40" t="inlineStr">
        <is>
          <t>BD-HNA-2025-0357</t>
        </is>
      </c>
      <c r="C266" s="41" t="inlineStr">
        <is>
          <t>Bonito Handles - N.H_VI-03 - Grey Profile Handle - 200mm</t>
        </is>
      </c>
      <c r="D266" s="39" t="inlineStr">
        <is>
          <t>Bonito Handles</t>
        </is>
      </c>
      <c r="E266" s="43" t="n">
        <v>46125</v>
      </c>
      <c r="F266" s="26" t="inlineStr">
        <is>
          <t>Sunil CR</t>
        </is>
      </c>
      <c r="G266" s="44" t="inlineStr">
        <is>
          <t>Represented by Sample</t>
        </is>
      </c>
      <c r="H266" s="26" t="inlineStr">
        <is>
          <t>No</t>
        </is>
      </c>
      <c r="I266" s="44" t="inlineStr">
        <is>
          <t>Represented by Sample</t>
        </is>
      </c>
      <c r="J266" s="26" t="inlineStr">
        <is>
          <t>Yes</t>
        </is>
      </c>
      <c r="K266" s="27" t="n"/>
      <c r="L266" s="28" t="inlineStr">
        <is>
          <t>No</t>
        </is>
      </c>
      <c r="M266" s="29">
        <f>IF(E266="","",IF(H266="Yes","❌ Disc",IF(G266="No","⚠ Missing",IF(J266="Yes","✓ OK","⚠ Check"))))</f>
        <v/>
      </c>
      <c r="N266" s="43" t="n">
        <v>46196</v>
      </c>
      <c r="O266" s="26" t="inlineStr">
        <is>
          <t>Sunil CR</t>
        </is>
      </c>
      <c r="P266" s="44" t="inlineStr">
        <is>
          <t>Represented by Sample</t>
        </is>
      </c>
      <c r="Q266" s="26" t="inlineStr">
        <is>
          <t>No</t>
        </is>
      </c>
      <c r="R266" s="44" t="inlineStr">
        <is>
          <t>Represented by Sample</t>
        </is>
      </c>
      <c r="S266" s="26" t="inlineStr">
        <is>
          <t>Yes</t>
        </is>
      </c>
      <c r="T266" s="27" t="n"/>
      <c r="U266" s="28" t="inlineStr">
        <is>
          <t>No</t>
        </is>
      </c>
      <c r="V266" s="29">
        <f>IF(N266="","",IF(Q266="Yes","❌ Disc",IF(P266="No","⚠ Missing",IF(S266="Yes","✓ OK","⚠ Check"))))</f>
        <v/>
      </c>
      <c r="W266" s="65" t="n">
        <v>46248</v>
      </c>
      <c r="X266" s="30" t="inlineStr">
        <is>
          <t>Sunil CR</t>
        </is>
      </c>
      <c r="Y266" s="30" t="inlineStr">
        <is>
          <t>Represented by Sample</t>
        </is>
      </c>
      <c r="Z266" s="30" t="n"/>
      <c r="AA266" s="30" t="inlineStr">
        <is>
          <t>Represented by Sample</t>
        </is>
      </c>
      <c r="AB266" s="30" t="inlineStr">
        <is>
          <t>Yes</t>
        </is>
      </c>
      <c r="AC266" s="27" t="n"/>
      <c r="AD266" s="31" t="inlineStr">
        <is>
          <t>No</t>
        </is>
      </c>
      <c r="AE266" s="32">
        <f>IF(W266="","",IF(Z266="Yes","❌ Disc",IF(Y266="No","⚠ Missing",IF(AB266="Yes","✓ OK","⚠ Check"))))</f>
        <v/>
      </c>
      <c r="AF266" s="33" t="n"/>
      <c r="AG266" s="33" t="n"/>
      <c r="AH266" s="33" t="n"/>
      <c r="AI266" s="33" t="n"/>
      <c r="AJ266" s="33" t="n"/>
      <c r="AK266" s="33" t="n"/>
      <c r="AL266" s="27" t="n"/>
      <c r="AM266" s="34" t="n"/>
      <c r="AN266" s="35">
        <f>IF(AF266="","",IF(AI266="Yes","❌ Disc",IF(AH266="No","⚠ Missing",IF(AK266="Yes","✓ OK","⚠ Check"))))</f>
        <v/>
      </c>
      <c r="AO266" s="36" t="n"/>
      <c r="AP266" s="36" t="n"/>
      <c r="AQ266" s="36" t="n"/>
      <c r="AR266" s="36" t="n"/>
      <c r="AS266" s="36" t="n"/>
      <c r="AT266" s="36" t="n"/>
      <c r="AU266" s="27" t="n"/>
      <c r="AV266" s="37" t="n"/>
      <c r="AW266" s="38">
        <f>IF(AO266="","",IF(AR266="Yes","❌ Disc",IF(AQ266="No","⚠ Missing",IF(AT266="Yes","✓ OK","⚠ Check"))))</f>
        <v/>
      </c>
    </row>
    <row r="267" ht="18" customHeight="1" s="46">
      <c r="A267" s="23" t="n">
        <v>263</v>
      </c>
      <c r="B267" s="24" t="inlineStr">
        <is>
          <t>BD-HNA-2025-0358</t>
        </is>
      </c>
      <c r="C267" s="25" t="inlineStr">
        <is>
          <t>Bonito Handles - N.H_VI-03 - Grey Profile Handle - 250mm</t>
        </is>
      </c>
      <c r="D267" s="23" t="inlineStr">
        <is>
          <t>Bonito Handles</t>
        </is>
      </c>
      <c r="E267" s="43" t="n">
        <v>46125</v>
      </c>
      <c r="F267" s="26" t="inlineStr">
        <is>
          <t>Sunil CR</t>
        </is>
      </c>
      <c r="G267" s="44" t="inlineStr">
        <is>
          <t>Represented by Sample</t>
        </is>
      </c>
      <c r="H267" s="26" t="inlineStr">
        <is>
          <t>No</t>
        </is>
      </c>
      <c r="I267" s="44" t="inlineStr">
        <is>
          <t>Represented by Sample</t>
        </is>
      </c>
      <c r="J267" s="26" t="inlineStr">
        <is>
          <t>Yes</t>
        </is>
      </c>
      <c r="K267" s="27" t="n"/>
      <c r="L267" s="28" t="inlineStr">
        <is>
          <t>No</t>
        </is>
      </c>
      <c r="M267" s="29">
        <f>IF(E267="","",IF(H267="Yes","❌ Disc",IF(G267="No","⚠ Missing",IF(J267="Yes","✓ OK","⚠ Check"))))</f>
        <v/>
      </c>
      <c r="N267" s="43" t="n">
        <v>46196</v>
      </c>
      <c r="O267" s="26" t="inlineStr">
        <is>
          <t>Sunil CR</t>
        </is>
      </c>
      <c r="P267" s="44" t="inlineStr">
        <is>
          <t>Represented by Sample</t>
        </is>
      </c>
      <c r="Q267" s="26" t="inlineStr">
        <is>
          <t>No</t>
        </is>
      </c>
      <c r="R267" s="44" t="inlineStr">
        <is>
          <t>Represented by Sample</t>
        </is>
      </c>
      <c r="S267" s="26" t="inlineStr">
        <is>
          <t>Yes</t>
        </is>
      </c>
      <c r="T267" s="27" t="n"/>
      <c r="U267" s="28" t="inlineStr">
        <is>
          <t>No</t>
        </is>
      </c>
      <c r="V267" s="29">
        <f>IF(N267="","",IF(Q267="Yes","❌ Disc",IF(P267="No","⚠ Missing",IF(S267="Yes","✓ OK","⚠ Check"))))</f>
        <v/>
      </c>
      <c r="W267" s="65" t="n">
        <v>46248</v>
      </c>
      <c r="X267" s="30" t="inlineStr">
        <is>
          <t>Sunil CR</t>
        </is>
      </c>
      <c r="Y267" s="30" t="inlineStr">
        <is>
          <t>Represented by Sample</t>
        </is>
      </c>
      <c r="Z267" s="30" t="n"/>
      <c r="AA267" s="30" t="inlineStr">
        <is>
          <t>Represented by Sample</t>
        </is>
      </c>
      <c r="AB267" s="30" t="inlineStr">
        <is>
          <t>Yes</t>
        </is>
      </c>
      <c r="AC267" s="27" t="n"/>
      <c r="AD267" s="31" t="inlineStr">
        <is>
          <t>No</t>
        </is>
      </c>
      <c r="AE267" s="32">
        <f>IF(W267="","",IF(Z267="Yes","❌ Disc",IF(Y267="No","⚠ Missing",IF(AB267="Yes","✓ OK","⚠ Check"))))</f>
        <v/>
      </c>
      <c r="AF267" s="33" t="n"/>
      <c r="AG267" s="33" t="n"/>
      <c r="AH267" s="33" t="n"/>
      <c r="AI267" s="33" t="n"/>
      <c r="AJ267" s="33" t="n"/>
      <c r="AK267" s="33" t="n"/>
      <c r="AL267" s="27" t="n"/>
      <c r="AM267" s="34" t="n"/>
      <c r="AN267" s="35">
        <f>IF(AF267="","",IF(AI267="Yes","❌ Disc",IF(AH267="No","⚠ Missing",IF(AK267="Yes","✓ OK","⚠ Check"))))</f>
        <v/>
      </c>
      <c r="AO267" s="36" t="n"/>
      <c r="AP267" s="36" t="n"/>
      <c r="AQ267" s="36" t="n"/>
      <c r="AR267" s="36" t="n"/>
      <c r="AS267" s="36" t="n"/>
      <c r="AT267" s="36" t="n"/>
      <c r="AU267" s="27" t="n"/>
      <c r="AV267" s="37" t="n"/>
      <c r="AW267" s="38">
        <f>IF(AO267="","",IF(AR267="Yes","❌ Disc",IF(AQ267="No","⚠ Missing",IF(AT267="Yes","✓ OK","⚠ Check"))))</f>
        <v/>
      </c>
    </row>
    <row r="268" ht="18" customHeight="1" s="46">
      <c r="A268" s="39" t="n">
        <v>264</v>
      </c>
      <c r="B268" s="40" t="inlineStr">
        <is>
          <t>BD-HNA-2025-0359</t>
        </is>
      </c>
      <c r="C268" s="41" t="inlineStr">
        <is>
          <t>Bonito Handles - N.H_VI-03 - Grey Profile Handle - 300mm</t>
        </is>
      </c>
      <c r="D268" s="39" t="inlineStr">
        <is>
          <t>Bonito Handles</t>
        </is>
      </c>
      <c r="E268" s="43" t="n">
        <v>46125</v>
      </c>
      <c r="F268" s="26" t="inlineStr">
        <is>
          <t>Sunil CR</t>
        </is>
      </c>
      <c r="G268" s="44" t="inlineStr">
        <is>
          <t>Yes</t>
        </is>
      </c>
      <c r="H268" s="26" t="inlineStr">
        <is>
          <t>No</t>
        </is>
      </c>
      <c r="I268" s="44" t="inlineStr">
        <is>
          <t>Good finish</t>
        </is>
      </c>
      <c r="J268" s="26" t="inlineStr">
        <is>
          <t>Yes</t>
        </is>
      </c>
      <c r="K268" s="27" t="n"/>
      <c r="L268" s="28" t="inlineStr">
        <is>
          <t>No</t>
        </is>
      </c>
      <c r="M268" s="29">
        <f>IF(E268="","",IF(H268="Yes","❌ Disc",IF(G268="No","⚠ Missing",IF(J268="Yes","✓ OK","⚠ Check"))))</f>
        <v/>
      </c>
      <c r="N268" s="43" t="n">
        <v>46196</v>
      </c>
      <c r="O268" s="26" t="inlineStr">
        <is>
          <t>Sunil CR</t>
        </is>
      </c>
      <c r="P268" s="44" t="inlineStr">
        <is>
          <t>Yes</t>
        </is>
      </c>
      <c r="Q268" s="26" t="inlineStr">
        <is>
          <t>No</t>
        </is>
      </c>
      <c r="R268" s="44" t="inlineStr">
        <is>
          <t>Good finish</t>
        </is>
      </c>
      <c r="S268" s="26" t="inlineStr">
        <is>
          <t>Yes</t>
        </is>
      </c>
      <c r="T268" s="27" t="n"/>
      <c r="U268" s="28" t="inlineStr">
        <is>
          <t>No</t>
        </is>
      </c>
      <c r="V268" s="29">
        <f>IF(N268="","",IF(Q268="Yes","❌ Disc",IF(P268="No","⚠ Missing",IF(S268="Yes","✓ OK","⚠ Check"))))</f>
        <v/>
      </c>
      <c r="W268" s="65" t="n">
        <v>46248</v>
      </c>
      <c r="X268" s="30" t="inlineStr">
        <is>
          <t>Sunil CR</t>
        </is>
      </c>
      <c r="Y268" s="30" t="inlineStr">
        <is>
          <t>Yes</t>
        </is>
      </c>
      <c r="Z268" s="30" t="n"/>
      <c r="AA268" s="30" t="inlineStr">
        <is>
          <t>Good finish</t>
        </is>
      </c>
      <c r="AB268" s="30" t="inlineStr">
        <is>
          <t>Yes</t>
        </is>
      </c>
      <c r="AC268" s="27" t="n"/>
      <c r="AD268" s="31" t="inlineStr">
        <is>
          <t>No</t>
        </is>
      </c>
      <c r="AE268" s="32">
        <f>IF(W268="","",IF(Z268="Yes","❌ Disc",IF(Y268="No","⚠ Missing",IF(AB268="Yes","✓ OK","⚠ Check"))))</f>
        <v/>
      </c>
      <c r="AF268" s="33" t="n"/>
      <c r="AG268" s="33" t="n"/>
      <c r="AH268" s="33" t="n"/>
      <c r="AI268" s="33" t="n"/>
      <c r="AJ268" s="33" t="n"/>
      <c r="AK268" s="33" t="n"/>
      <c r="AL268" s="27" t="n"/>
      <c r="AM268" s="34" t="n"/>
      <c r="AN268" s="35">
        <f>IF(AF268="","",IF(AI268="Yes","❌ Disc",IF(AH268="No","⚠ Missing",IF(AK268="Yes","✓ OK","⚠ Check"))))</f>
        <v/>
      </c>
      <c r="AO268" s="36" t="n"/>
      <c r="AP268" s="36" t="n"/>
      <c r="AQ268" s="36" t="n"/>
      <c r="AR268" s="36" t="n"/>
      <c r="AS268" s="36" t="n"/>
      <c r="AT268" s="36" t="n"/>
      <c r="AU268" s="27" t="n"/>
      <c r="AV268" s="37" t="n"/>
      <c r="AW268" s="38">
        <f>IF(AO268="","",IF(AR268="Yes","❌ Disc",IF(AQ268="No","⚠ Missing",IF(AT268="Yes","✓ OK","⚠ Check"))))</f>
        <v/>
      </c>
    </row>
    <row r="269" ht="18" customHeight="1" s="46">
      <c r="A269" s="23" t="n">
        <v>265</v>
      </c>
      <c r="B269" s="24" t="inlineStr">
        <is>
          <t>BD-HNA-2025-0360</t>
        </is>
      </c>
      <c r="C269" s="25" t="inlineStr">
        <is>
          <t>Bonito Handles - N.H_VI-03 - Grey Profile Handle - 398mm</t>
        </is>
      </c>
      <c r="D269" s="23" t="inlineStr">
        <is>
          <t>Bonito Handles</t>
        </is>
      </c>
      <c r="E269" s="43" t="n">
        <v>46125</v>
      </c>
      <c r="F269" s="26" t="inlineStr">
        <is>
          <t>Sunil CR</t>
        </is>
      </c>
      <c r="G269" s="44" t="inlineStr">
        <is>
          <t>Represented by Sample</t>
        </is>
      </c>
      <c r="H269" s="26" t="inlineStr">
        <is>
          <t>No</t>
        </is>
      </c>
      <c r="I269" s="44" t="inlineStr">
        <is>
          <t>Represented by Sample</t>
        </is>
      </c>
      <c r="J269" s="26" t="inlineStr">
        <is>
          <t>Yes</t>
        </is>
      </c>
      <c r="K269" s="27" t="n"/>
      <c r="L269" s="28" t="inlineStr">
        <is>
          <t>No</t>
        </is>
      </c>
      <c r="M269" s="29">
        <f>IF(E269="","",IF(H269="Yes","❌ Disc",IF(G269="No","⚠ Missing",IF(J269="Yes","✓ OK","⚠ Check"))))</f>
        <v/>
      </c>
      <c r="N269" s="43" t="n">
        <v>46196</v>
      </c>
      <c r="O269" s="26" t="inlineStr">
        <is>
          <t>Sunil CR</t>
        </is>
      </c>
      <c r="P269" s="44" t="inlineStr">
        <is>
          <t>Represented by Sample</t>
        </is>
      </c>
      <c r="Q269" s="26" t="inlineStr">
        <is>
          <t>No</t>
        </is>
      </c>
      <c r="R269" s="44" t="inlineStr">
        <is>
          <t>Represented by Sample</t>
        </is>
      </c>
      <c r="S269" s="26" t="inlineStr">
        <is>
          <t>Yes</t>
        </is>
      </c>
      <c r="T269" s="27" t="n"/>
      <c r="U269" s="28" t="inlineStr">
        <is>
          <t>No</t>
        </is>
      </c>
      <c r="V269" s="29">
        <f>IF(N269="","",IF(Q269="Yes","❌ Disc",IF(P269="No","⚠ Missing",IF(S269="Yes","✓ OK","⚠ Check"))))</f>
        <v/>
      </c>
      <c r="W269" s="65" t="n">
        <v>46248</v>
      </c>
      <c r="X269" s="30" t="inlineStr">
        <is>
          <t>Sunil CR</t>
        </is>
      </c>
      <c r="Y269" s="30" t="inlineStr">
        <is>
          <t>Represented by Sample</t>
        </is>
      </c>
      <c r="Z269" s="30" t="n"/>
      <c r="AA269" s="30" t="inlineStr">
        <is>
          <t>Represented by Sample</t>
        </is>
      </c>
      <c r="AB269" s="30" t="inlineStr">
        <is>
          <t>Yes</t>
        </is>
      </c>
      <c r="AC269" s="27" t="n"/>
      <c r="AD269" s="31" t="inlineStr">
        <is>
          <t>No</t>
        </is>
      </c>
      <c r="AE269" s="32">
        <f>IF(W269="","",IF(Z269="Yes","❌ Disc",IF(Y269="No","⚠ Missing",IF(AB269="Yes","✓ OK","⚠ Check"))))</f>
        <v/>
      </c>
      <c r="AF269" s="33" t="n"/>
      <c r="AG269" s="33" t="n"/>
      <c r="AH269" s="33" t="n"/>
      <c r="AI269" s="33" t="n"/>
      <c r="AJ269" s="33" t="n"/>
      <c r="AK269" s="33" t="n"/>
      <c r="AL269" s="27" t="n"/>
      <c r="AM269" s="34" t="n"/>
      <c r="AN269" s="35">
        <f>IF(AF269="","",IF(AI269="Yes","❌ Disc",IF(AH269="No","⚠ Missing",IF(AK269="Yes","✓ OK","⚠ Check"))))</f>
        <v/>
      </c>
      <c r="AO269" s="36" t="n"/>
      <c r="AP269" s="36" t="n"/>
      <c r="AQ269" s="36" t="n"/>
      <c r="AR269" s="36" t="n"/>
      <c r="AS269" s="36" t="n"/>
      <c r="AT269" s="36" t="n"/>
      <c r="AU269" s="27" t="n"/>
      <c r="AV269" s="37" t="n"/>
      <c r="AW269" s="38">
        <f>IF(AO269="","",IF(AR269="Yes","❌ Disc",IF(AQ269="No","⚠ Missing",IF(AT269="Yes","✓ OK","⚠ Check"))))</f>
        <v/>
      </c>
    </row>
    <row r="270" ht="18" customHeight="1" s="46">
      <c r="A270" s="39" t="n">
        <v>266</v>
      </c>
      <c r="B270" s="40" t="inlineStr">
        <is>
          <t>BD-HNA-2025-0361</t>
        </is>
      </c>
      <c r="C270" s="41" t="inlineStr">
        <is>
          <t>Bonito Handles - N.H_VI-03 - Grey Profile Handle - 450mm</t>
        </is>
      </c>
      <c r="D270" s="39" t="inlineStr">
        <is>
          <t>Bonito Handles</t>
        </is>
      </c>
      <c r="E270" s="43" t="n">
        <v>46125</v>
      </c>
      <c r="F270" s="26" t="inlineStr">
        <is>
          <t>Sunil CR</t>
        </is>
      </c>
      <c r="G270" s="44" t="inlineStr">
        <is>
          <t>Represented by Sample</t>
        </is>
      </c>
      <c r="H270" s="26" t="inlineStr">
        <is>
          <t>No</t>
        </is>
      </c>
      <c r="I270" s="44" t="inlineStr">
        <is>
          <t>Represented by Sample</t>
        </is>
      </c>
      <c r="J270" s="26" t="inlineStr">
        <is>
          <t>Yes</t>
        </is>
      </c>
      <c r="K270" s="27" t="n"/>
      <c r="L270" s="28" t="inlineStr">
        <is>
          <t>No</t>
        </is>
      </c>
      <c r="M270" s="29">
        <f>IF(E270="","",IF(H270="Yes","❌ Disc",IF(G270="No","⚠ Missing",IF(J270="Yes","✓ OK","⚠ Check"))))</f>
        <v/>
      </c>
      <c r="N270" s="43" t="n">
        <v>46196</v>
      </c>
      <c r="O270" s="26" t="inlineStr">
        <is>
          <t>Sunil CR</t>
        </is>
      </c>
      <c r="P270" s="44" t="inlineStr">
        <is>
          <t>Represented by Sample</t>
        </is>
      </c>
      <c r="Q270" s="26" t="inlineStr">
        <is>
          <t>No</t>
        </is>
      </c>
      <c r="R270" s="44" t="inlineStr">
        <is>
          <t>Represented by Sample</t>
        </is>
      </c>
      <c r="S270" s="26" t="inlineStr">
        <is>
          <t>Yes</t>
        </is>
      </c>
      <c r="T270" s="27" t="n"/>
      <c r="U270" s="28" t="inlineStr">
        <is>
          <t>No</t>
        </is>
      </c>
      <c r="V270" s="29">
        <f>IF(N270="","",IF(Q270="Yes","❌ Disc",IF(P270="No","⚠ Missing",IF(S270="Yes","✓ OK","⚠ Check"))))</f>
        <v/>
      </c>
      <c r="W270" s="65" t="n">
        <v>46248</v>
      </c>
      <c r="X270" s="30" t="inlineStr">
        <is>
          <t>Sunil CR</t>
        </is>
      </c>
      <c r="Y270" s="30" t="inlineStr">
        <is>
          <t>Represented by Sample</t>
        </is>
      </c>
      <c r="Z270" s="30" t="n"/>
      <c r="AA270" s="30" t="inlineStr">
        <is>
          <t>Represented by Sample</t>
        </is>
      </c>
      <c r="AB270" s="30" t="inlineStr">
        <is>
          <t>Yes</t>
        </is>
      </c>
      <c r="AC270" s="27" t="n"/>
      <c r="AD270" s="31" t="inlineStr">
        <is>
          <t>No</t>
        </is>
      </c>
      <c r="AE270" s="32">
        <f>IF(W270="","",IF(Z270="Yes","❌ Disc",IF(Y270="No","⚠ Missing",IF(AB270="Yes","✓ OK","⚠ Check"))))</f>
        <v/>
      </c>
      <c r="AF270" s="33" t="n"/>
      <c r="AG270" s="33" t="n"/>
      <c r="AH270" s="33" t="n"/>
      <c r="AI270" s="33" t="n"/>
      <c r="AJ270" s="33" t="n"/>
      <c r="AK270" s="33" t="n"/>
      <c r="AL270" s="27" t="n"/>
      <c r="AM270" s="34" t="n"/>
      <c r="AN270" s="35">
        <f>IF(AF270="","",IF(AI270="Yes","❌ Disc",IF(AH270="No","⚠ Missing",IF(AK270="Yes","✓ OK","⚠ Check"))))</f>
        <v/>
      </c>
      <c r="AO270" s="36" t="n"/>
      <c r="AP270" s="36" t="n"/>
      <c r="AQ270" s="36" t="n"/>
      <c r="AR270" s="36" t="n"/>
      <c r="AS270" s="36" t="n"/>
      <c r="AT270" s="36" t="n"/>
      <c r="AU270" s="27" t="n"/>
      <c r="AV270" s="37" t="n"/>
      <c r="AW270" s="38">
        <f>IF(AO270="","",IF(AR270="Yes","❌ Disc",IF(AQ270="No","⚠ Missing",IF(AT270="Yes","✓ OK","⚠ Check"))))</f>
        <v/>
      </c>
    </row>
    <row r="271" ht="18" customHeight="1" s="46">
      <c r="A271" s="23" t="n">
        <v>267</v>
      </c>
      <c r="B271" s="24" t="inlineStr">
        <is>
          <t>BD-HNA-2025-0362</t>
        </is>
      </c>
      <c r="C271" s="25" t="inlineStr">
        <is>
          <t>Bonito Handles - N.H_VI-03 - Grey Profile Handle - 500mm</t>
        </is>
      </c>
      <c r="D271" s="23" t="inlineStr">
        <is>
          <t>Bonito Handles</t>
        </is>
      </c>
      <c r="E271" s="43" t="n">
        <v>46125</v>
      </c>
      <c r="F271" s="26" t="inlineStr">
        <is>
          <t>Sunil CR</t>
        </is>
      </c>
      <c r="G271" s="44" t="inlineStr">
        <is>
          <t>Represented by Sample</t>
        </is>
      </c>
      <c r="H271" s="26" t="inlineStr">
        <is>
          <t>No</t>
        </is>
      </c>
      <c r="I271" s="44" t="inlineStr">
        <is>
          <t>Represented by Sample</t>
        </is>
      </c>
      <c r="J271" s="26" t="inlineStr">
        <is>
          <t>Yes</t>
        </is>
      </c>
      <c r="K271" s="27" t="n"/>
      <c r="L271" s="28" t="inlineStr">
        <is>
          <t>No</t>
        </is>
      </c>
      <c r="M271" s="29">
        <f>IF(E271="","",IF(H271="Yes","❌ Disc",IF(G271="No","⚠ Missing",IF(J271="Yes","✓ OK","⚠ Check"))))</f>
        <v/>
      </c>
      <c r="N271" s="43" t="n">
        <v>46196</v>
      </c>
      <c r="O271" s="26" t="inlineStr">
        <is>
          <t>Sunil CR</t>
        </is>
      </c>
      <c r="P271" s="44" t="inlineStr">
        <is>
          <t>Represented by Sample</t>
        </is>
      </c>
      <c r="Q271" s="26" t="inlineStr">
        <is>
          <t>No</t>
        </is>
      </c>
      <c r="R271" s="44" t="inlineStr">
        <is>
          <t>Represented by Sample</t>
        </is>
      </c>
      <c r="S271" s="26" t="inlineStr">
        <is>
          <t>Yes</t>
        </is>
      </c>
      <c r="T271" s="27" t="n"/>
      <c r="U271" s="28" t="inlineStr">
        <is>
          <t>No</t>
        </is>
      </c>
      <c r="V271" s="29">
        <f>IF(N271="","",IF(Q271="Yes","❌ Disc",IF(P271="No","⚠ Missing",IF(S271="Yes","✓ OK","⚠ Check"))))</f>
        <v/>
      </c>
      <c r="W271" s="65" t="n">
        <v>46248</v>
      </c>
      <c r="X271" s="30" t="inlineStr">
        <is>
          <t>Sunil CR</t>
        </is>
      </c>
      <c r="Y271" s="30" t="inlineStr">
        <is>
          <t>Represented by Sample</t>
        </is>
      </c>
      <c r="Z271" s="30" t="n"/>
      <c r="AA271" s="30" t="inlineStr">
        <is>
          <t>Represented by Sample</t>
        </is>
      </c>
      <c r="AB271" s="30" t="inlineStr">
        <is>
          <t>Yes</t>
        </is>
      </c>
      <c r="AC271" s="27" t="n"/>
      <c r="AD271" s="31" t="inlineStr">
        <is>
          <t>No</t>
        </is>
      </c>
      <c r="AE271" s="32">
        <f>IF(W271="","",IF(Z271="Yes","❌ Disc",IF(Y271="No","⚠ Missing",IF(AB271="Yes","✓ OK","⚠ Check"))))</f>
        <v/>
      </c>
      <c r="AF271" s="33" t="n"/>
      <c r="AG271" s="33" t="n"/>
      <c r="AH271" s="33" t="n"/>
      <c r="AI271" s="33" t="n"/>
      <c r="AJ271" s="33" t="n"/>
      <c r="AK271" s="33" t="n"/>
      <c r="AL271" s="27" t="n"/>
      <c r="AM271" s="34" t="n"/>
      <c r="AN271" s="35">
        <f>IF(AF271="","",IF(AI271="Yes","❌ Disc",IF(AH271="No","⚠ Missing",IF(AK271="Yes","✓ OK","⚠ Check"))))</f>
        <v/>
      </c>
      <c r="AO271" s="36" t="n"/>
      <c r="AP271" s="36" t="n"/>
      <c r="AQ271" s="36" t="n"/>
      <c r="AR271" s="36" t="n"/>
      <c r="AS271" s="36" t="n"/>
      <c r="AT271" s="36" t="n"/>
      <c r="AU271" s="27" t="n"/>
      <c r="AV271" s="37" t="n"/>
      <c r="AW271" s="38">
        <f>IF(AO271="","",IF(AR271="Yes","❌ Disc",IF(AQ271="No","⚠ Missing",IF(AT271="Yes","✓ OK","⚠ Check"))))</f>
        <v/>
      </c>
    </row>
    <row r="272" ht="18" customHeight="1" s="46">
      <c r="A272" s="39" t="n">
        <v>268</v>
      </c>
      <c r="B272" s="40" t="inlineStr">
        <is>
          <t>BD-HNA-2025-0363</t>
        </is>
      </c>
      <c r="C272" s="41" t="inlineStr">
        <is>
          <t>Bonito Handles - N.H_VI-03 - Grey Profile Handle - 600mm</t>
        </is>
      </c>
      <c r="D272" s="39" t="inlineStr">
        <is>
          <t>Bonito Handles</t>
        </is>
      </c>
      <c r="E272" s="43" t="n">
        <v>46125</v>
      </c>
      <c r="F272" s="26" t="inlineStr">
        <is>
          <t>Sunil CR</t>
        </is>
      </c>
      <c r="G272" s="44" t="inlineStr">
        <is>
          <t>Represented by Sample</t>
        </is>
      </c>
      <c r="H272" s="26" t="inlineStr">
        <is>
          <t>No</t>
        </is>
      </c>
      <c r="I272" s="44" t="inlineStr">
        <is>
          <t>Represented by Sample</t>
        </is>
      </c>
      <c r="J272" s="26" t="inlineStr">
        <is>
          <t>Yes</t>
        </is>
      </c>
      <c r="K272" s="27" t="n"/>
      <c r="L272" s="28" t="inlineStr">
        <is>
          <t>No</t>
        </is>
      </c>
      <c r="M272" s="29">
        <f>IF(E272="","",IF(H272="Yes","❌ Disc",IF(G272="No","⚠ Missing",IF(J272="Yes","✓ OK","⚠ Check"))))</f>
        <v/>
      </c>
      <c r="N272" s="43" t="n">
        <v>46196</v>
      </c>
      <c r="O272" s="26" t="inlineStr">
        <is>
          <t>Sunil CR</t>
        </is>
      </c>
      <c r="P272" s="44" t="inlineStr">
        <is>
          <t>Represented by Sample</t>
        </is>
      </c>
      <c r="Q272" s="26" t="inlineStr">
        <is>
          <t>No</t>
        </is>
      </c>
      <c r="R272" s="44" t="inlineStr">
        <is>
          <t>Represented by Sample</t>
        </is>
      </c>
      <c r="S272" s="26" t="inlineStr">
        <is>
          <t>Yes</t>
        </is>
      </c>
      <c r="T272" s="27" t="n"/>
      <c r="U272" s="28" t="inlineStr">
        <is>
          <t>No</t>
        </is>
      </c>
      <c r="V272" s="29">
        <f>IF(N272="","",IF(Q272="Yes","❌ Disc",IF(P272="No","⚠ Missing",IF(S272="Yes","✓ OK","⚠ Check"))))</f>
        <v/>
      </c>
      <c r="W272" s="65" t="n">
        <v>46248</v>
      </c>
      <c r="X272" s="30" t="inlineStr">
        <is>
          <t>Sunil CR</t>
        </is>
      </c>
      <c r="Y272" s="30" t="inlineStr">
        <is>
          <t>Represented by Sample</t>
        </is>
      </c>
      <c r="Z272" s="30" t="n"/>
      <c r="AA272" s="30" t="inlineStr">
        <is>
          <t>Represented by Sample</t>
        </is>
      </c>
      <c r="AB272" s="30" t="inlineStr">
        <is>
          <t>Yes</t>
        </is>
      </c>
      <c r="AC272" s="27" t="n"/>
      <c r="AD272" s="31" t="inlineStr">
        <is>
          <t>No</t>
        </is>
      </c>
      <c r="AE272" s="32">
        <f>IF(W272="","",IF(Z272="Yes","❌ Disc",IF(Y272="No","⚠ Missing",IF(AB272="Yes","✓ OK","⚠ Check"))))</f>
        <v/>
      </c>
      <c r="AF272" s="33" t="n"/>
      <c r="AG272" s="33" t="n"/>
      <c r="AH272" s="33" t="n"/>
      <c r="AI272" s="33" t="n"/>
      <c r="AJ272" s="33" t="n"/>
      <c r="AK272" s="33" t="n"/>
      <c r="AL272" s="27" t="n"/>
      <c r="AM272" s="34" t="n"/>
      <c r="AN272" s="35">
        <f>IF(AF272="","",IF(AI272="Yes","❌ Disc",IF(AH272="No","⚠ Missing",IF(AK272="Yes","✓ OK","⚠ Check"))))</f>
        <v/>
      </c>
      <c r="AO272" s="36" t="n"/>
      <c r="AP272" s="36" t="n"/>
      <c r="AQ272" s="36" t="n"/>
      <c r="AR272" s="36" t="n"/>
      <c r="AS272" s="36" t="n"/>
      <c r="AT272" s="36" t="n"/>
      <c r="AU272" s="27" t="n"/>
      <c r="AV272" s="37" t="n"/>
      <c r="AW272" s="38">
        <f>IF(AO272="","",IF(AR272="Yes","❌ Disc",IF(AQ272="No","⚠ Missing",IF(AT272="Yes","✓ OK","⚠ Check"))))</f>
        <v/>
      </c>
    </row>
    <row r="273" ht="18" customHeight="1" s="46">
      <c r="A273" s="23" t="n">
        <v>269</v>
      </c>
      <c r="B273" s="24" t="inlineStr">
        <is>
          <t>BD-HNA-2025-0350</t>
        </is>
      </c>
      <c r="C273" s="25" t="inlineStr">
        <is>
          <t>Bonito Handles - N.H_VI-03 - Rose Profile Handle - 200mm</t>
        </is>
      </c>
      <c r="D273" s="23" t="inlineStr">
        <is>
          <t>Bonito Handles</t>
        </is>
      </c>
      <c r="E273" s="43" t="n">
        <v>46125</v>
      </c>
      <c r="F273" s="26" t="inlineStr">
        <is>
          <t>Sunil CR</t>
        </is>
      </c>
      <c r="G273" s="44" t="inlineStr">
        <is>
          <t>Represented by Sample</t>
        </is>
      </c>
      <c r="H273" s="26" t="inlineStr">
        <is>
          <t>No</t>
        </is>
      </c>
      <c r="I273" s="44" t="inlineStr">
        <is>
          <t>Represented by Sample</t>
        </is>
      </c>
      <c r="J273" s="26" t="inlineStr">
        <is>
          <t>Yes</t>
        </is>
      </c>
      <c r="K273" s="27" t="n"/>
      <c r="L273" s="28" t="inlineStr">
        <is>
          <t>No</t>
        </is>
      </c>
      <c r="M273" s="29">
        <f>IF(E273="","",IF(H273="Yes","❌ Disc",IF(G273="No","⚠ Missing",IF(J273="Yes","✓ OK","⚠ Check"))))</f>
        <v/>
      </c>
      <c r="N273" s="43" t="n">
        <v>46196</v>
      </c>
      <c r="O273" s="26" t="inlineStr">
        <is>
          <t>Sunil CR</t>
        </is>
      </c>
      <c r="P273" s="44" t="inlineStr">
        <is>
          <t>Represented by Sample</t>
        </is>
      </c>
      <c r="Q273" s="26" t="inlineStr">
        <is>
          <t>No</t>
        </is>
      </c>
      <c r="R273" s="44" t="inlineStr">
        <is>
          <t>Represented by Sample</t>
        </is>
      </c>
      <c r="S273" s="26" t="inlineStr">
        <is>
          <t>Yes</t>
        </is>
      </c>
      <c r="T273" s="27" t="n"/>
      <c r="U273" s="28" t="inlineStr">
        <is>
          <t>No</t>
        </is>
      </c>
      <c r="V273" s="29">
        <f>IF(N273="","",IF(Q273="Yes","❌ Disc",IF(P273="No","⚠ Missing",IF(S273="Yes","✓ OK","⚠ Check"))))</f>
        <v/>
      </c>
      <c r="W273" s="65" t="n">
        <v>46248</v>
      </c>
      <c r="X273" s="30" t="inlineStr">
        <is>
          <t>Sunil CR</t>
        </is>
      </c>
      <c r="Y273" s="30" t="inlineStr">
        <is>
          <t>Represented by Sample</t>
        </is>
      </c>
      <c r="Z273" s="30" t="n"/>
      <c r="AA273" s="30" t="inlineStr">
        <is>
          <t>Represented by Sample</t>
        </is>
      </c>
      <c r="AB273" s="30" t="inlineStr">
        <is>
          <t>Yes</t>
        </is>
      </c>
      <c r="AC273" s="27" t="n"/>
      <c r="AD273" s="31" t="inlineStr">
        <is>
          <t>No</t>
        </is>
      </c>
      <c r="AE273" s="32">
        <f>IF(W273="","",IF(Z273="Yes","❌ Disc",IF(Y273="No","⚠ Missing",IF(AB273="Yes","✓ OK","⚠ Check"))))</f>
        <v/>
      </c>
      <c r="AF273" s="33" t="n"/>
      <c r="AG273" s="33" t="n"/>
      <c r="AH273" s="33" t="n"/>
      <c r="AI273" s="33" t="n"/>
      <c r="AJ273" s="33" t="n"/>
      <c r="AK273" s="33" t="n"/>
      <c r="AL273" s="27" t="n"/>
      <c r="AM273" s="34" t="n"/>
      <c r="AN273" s="35">
        <f>IF(AF273="","",IF(AI273="Yes","❌ Disc",IF(AH273="No","⚠ Missing",IF(AK273="Yes","✓ OK","⚠ Check"))))</f>
        <v/>
      </c>
      <c r="AO273" s="36" t="n"/>
      <c r="AP273" s="36" t="n"/>
      <c r="AQ273" s="36" t="n"/>
      <c r="AR273" s="36" t="n"/>
      <c r="AS273" s="36" t="n"/>
      <c r="AT273" s="36" t="n"/>
      <c r="AU273" s="27" t="n"/>
      <c r="AV273" s="37" t="n"/>
      <c r="AW273" s="38">
        <f>IF(AO273="","",IF(AR273="Yes","❌ Disc",IF(AQ273="No","⚠ Missing",IF(AT273="Yes","✓ OK","⚠ Check"))))</f>
        <v/>
      </c>
    </row>
    <row r="274" ht="18" customHeight="1" s="46">
      <c r="A274" s="39" t="n">
        <v>270</v>
      </c>
      <c r="B274" s="40" t="inlineStr">
        <is>
          <t>BD-HNA-2025-0351</t>
        </is>
      </c>
      <c r="C274" s="41" t="inlineStr">
        <is>
          <t>Bonito Handles - N.H_VI-03 - Rose Profile Handle - 250mm</t>
        </is>
      </c>
      <c r="D274" s="39" t="inlineStr">
        <is>
          <t>Bonito Handles</t>
        </is>
      </c>
      <c r="E274" s="43" t="n">
        <v>46125</v>
      </c>
      <c r="F274" s="26" t="inlineStr">
        <is>
          <t>Sunil CR</t>
        </is>
      </c>
      <c r="G274" s="44" t="inlineStr">
        <is>
          <t>Represented by Sample</t>
        </is>
      </c>
      <c r="H274" s="26" t="inlineStr">
        <is>
          <t>No</t>
        </is>
      </c>
      <c r="I274" s="44" t="inlineStr">
        <is>
          <t>Represented by Sample</t>
        </is>
      </c>
      <c r="J274" s="26" t="inlineStr">
        <is>
          <t>Yes</t>
        </is>
      </c>
      <c r="K274" s="27" t="n"/>
      <c r="L274" s="28" t="inlineStr">
        <is>
          <t>No</t>
        </is>
      </c>
      <c r="M274" s="29">
        <f>IF(E274="","",IF(H274="Yes","❌ Disc",IF(G274="No","⚠ Missing",IF(J274="Yes","✓ OK","⚠ Check"))))</f>
        <v/>
      </c>
      <c r="N274" s="43" t="n">
        <v>46196</v>
      </c>
      <c r="O274" s="26" t="inlineStr">
        <is>
          <t>Sunil CR</t>
        </is>
      </c>
      <c r="P274" s="44" t="inlineStr">
        <is>
          <t>Represented by Sample</t>
        </is>
      </c>
      <c r="Q274" s="26" t="inlineStr">
        <is>
          <t>No</t>
        </is>
      </c>
      <c r="R274" s="44" t="inlineStr">
        <is>
          <t>Represented by Sample</t>
        </is>
      </c>
      <c r="S274" s="26" t="inlineStr">
        <is>
          <t>Yes</t>
        </is>
      </c>
      <c r="T274" s="27" t="n"/>
      <c r="U274" s="28" t="inlineStr">
        <is>
          <t>No</t>
        </is>
      </c>
      <c r="V274" s="29">
        <f>IF(N274="","",IF(Q274="Yes","❌ Disc",IF(P274="No","⚠ Missing",IF(S274="Yes","✓ OK","⚠ Check"))))</f>
        <v/>
      </c>
      <c r="W274" s="65" t="n">
        <v>46248</v>
      </c>
      <c r="X274" s="30" t="inlineStr">
        <is>
          <t>Sunil CR</t>
        </is>
      </c>
      <c r="Y274" s="30" t="inlineStr">
        <is>
          <t>Represented by Sample</t>
        </is>
      </c>
      <c r="Z274" s="30" t="n"/>
      <c r="AA274" s="30" t="inlineStr">
        <is>
          <t>Represented by Sample</t>
        </is>
      </c>
      <c r="AB274" s="30" t="inlineStr">
        <is>
          <t>Yes</t>
        </is>
      </c>
      <c r="AC274" s="27" t="n"/>
      <c r="AD274" s="31" t="inlineStr">
        <is>
          <t>No</t>
        </is>
      </c>
      <c r="AE274" s="32">
        <f>IF(W274="","",IF(Z274="Yes","❌ Disc",IF(Y274="No","⚠ Missing",IF(AB274="Yes","✓ OK","⚠ Check"))))</f>
        <v/>
      </c>
      <c r="AF274" s="33" t="n"/>
      <c r="AG274" s="33" t="n"/>
      <c r="AH274" s="33" t="n"/>
      <c r="AI274" s="33" t="n"/>
      <c r="AJ274" s="33" t="n"/>
      <c r="AK274" s="33" t="n"/>
      <c r="AL274" s="27" t="n"/>
      <c r="AM274" s="34" t="n"/>
      <c r="AN274" s="35">
        <f>IF(AF274="","",IF(AI274="Yes","❌ Disc",IF(AH274="No","⚠ Missing",IF(AK274="Yes","✓ OK","⚠ Check"))))</f>
        <v/>
      </c>
      <c r="AO274" s="36" t="n"/>
      <c r="AP274" s="36" t="n"/>
      <c r="AQ274" s="36" t="n"/>
      <c r="AR274" s="36" t="n"/>
      <c r="AS274" s="36" t="n"/>
      <c r="AT274" s="36" t="n"/>
      <c r="AU274" s="27" t="n"/>
      <c r="AV274" s="37" t="n"/>
      <c r="AW274" s="38">
        <f>IF(AO274="","",IF(AR274="Yes","❌ Disc",IF(AQ274="No","⚠ Missing",IF(AT274="Yes","✓ OK","⚠ Check"))))</f>
        <v/>
      </c>
    </row>
    <row r="275" ht="18" customHeight="1" s="46">
      <c r="A275" s="23" t="n">
        <v>271</v>
      </c>
      <c r="B275" s="24" t="inlineStr">
        <is>
          <t>BD-HNA-2025-0352</t>
        </is>
      </c>
      <c r="C275" s="25" t="inlineStr">
        <is>
          <t>Bonito Handles - N.H_VI-03 - Rose Profile Handle - 300mm</t>
        </is>
      </c>
      <c r="D275" s="23" t="inlineStr">
        <is>
          <t>Bonito Handles</t>
        </is>
      </c>
      <c r="E275" s="43" t="n">
        <v>46125</v>
      </c>
      <c r="F275" s="26" t="inlineStr">
        <is>
          <t>Sunil CR</t>
        </is>
      </c>
      <c r="G275" s="44" t="inlineStr">
        <is>
          <t>Represented by Sample</t>
        </is>
      </c>
      <c r="H275" s="26" t="inlineStr">
        <is>
          <t>No</t>
        </is>
      </c>
      <c r="I275" s="44" t="inlineStr">
        <is>
          <t>Represented by Sample</t>
        </is>
      </c>
      <c r="J275" s="26" t="inlineStr">
        <is>
          <t>Yes</t>
        </is>
      </c>
      <c r="K275" s="27" t="n"/>
      <c r="L275" s="28" t="inlineStr">
        <is>
          <t>No</t>
        </is>
      </c>
      <c r="M275" s="29">
        <f>IF(E275="","",IF(H275="Yes","❌ Disc",IF(G275="No","⚠ Missing",IF(J275="Yes","✓ OK","⚠ Check"))))</f>
        <v/>
      </c>
      <c r="N275" s="43" t="n">
        <v>46196</v>
      </c>
      <c r="O275" s="26" t="inlineStr">
        <is>
          <t>Sunil CR</t>
        </is>
      </c>
      <c r="P275" s="44" t="inlineStr">
        <is>
          <t>Represented by Sample</t>
        </is>
      </c>
      <c r="Q275" s="26" t="inlineStr">
        <is>
          <t>No</t>
        </is>
      </c>
      <c r="R275" s="44" t="inlineStr">
        <is>
          <t>Represented by Sample</t>
        </is>
      </c>
      <c r="S275" s="26" t="inlineStr">
        <is>
          <t>Yes</t>
        </is>
      </c>
      <c r="T275" s="27" t="n"/>
      <c r="U275" s="28" t="inlineStr">
        <is>
          <t>No</t>
        </is>
      </c>
      <c r="V275" s="29">
        <f>IF(N275="","",IF(Q275="Yes","❌ Disc",IF(P275="No","⚠ Missing",IF(S275="Yes","✓ OK","⚠ Check"))))</f>
        <v/>
      </c>
      <c r="W275" s="65" t="n">
        <v>46248</v>
      </c>
      <c r="X275" s="30" t="inlineStr">
        <is>
          <t>Sunil CR</t>
        </is>
      </c>
      <c r="Y275" s="30" t="inlineStr">
        <is>
          <t>Represented by Sample</t>
        </is>
      </c>
      <c r="Z275" s="30" t="n"/>
      <c r="AA275" s="30" t="inlineStr">
        <is>
          <t>Represented by Sample</t>
        </is>
      </c>
      <c r="AB275" s="30" t="inlineStr">
        <is>
          <t>Yes</t>
        </is>
      </c>
      <c r="AC275" s="27" t="n"/>
      <c r="AD275" s="31" t="inlineStr">
        <is>
          <t>No</t>
        </is>
      </c>
      <c r="AE275" s="32">
        <f>IF(W275="","",IF(Z275="Yes","❌ Disc",IF(Y275="No","⚠ Missing",IF(AB275="Yes","✓ OK","⚠ Check"))))</f>
        <v/>
      </c>
      <c r="AF275" s="33" t="n"/>
      <c r="AG275" s="33" t="n"/>
      <c r="AH275" s="33" t="n"/>
      <c r="AI275" s="33" t="n"/>
      <c r="AJ275" s="33" t="n"/>
      <c r="AK275" s="33" t="n"/>
      <c r="AL275" s="27" t="n"/>
      <c r="AM275" s="34" t="n"/>
      <c r="AN275" s="35">
        <f>IF(AF275="","",IF(AI275="Yes","❌ Disc",IF(AH275="No","⚠ Missing",IF(AK275="Yes","✓ OK","⚠ Check"))))</f>
        <v/>
      </c>
      <c r="AO275" s="36" t="n"/>
      <c r="AP275" s="36" t="n"/>
      <c r="AQ275" s="36" t="n"/>
      <c r="AR275" s="36" t="n"/>
      <c r="AS275" s="36" t="n"/>
      <c r="AT275" s="36" t="n"/>
      <c r="AU275" s="27" t="n"/>
      <c r="AV275" s="37" t="n"/>
      <c r="AW275" s="38">
        <f>IF(AO275="","",IF(AR275="Yes","❌ Disc",IF(AQ275="No","⚠ Missing",IF(AT275="Yes","✓ OK","⚠ Check"))))</f>
        <v/>
      </c>
    </row>
    <row r="276" ht="18" customHeight="1" s="46">
      <c r="A276" s="39" t="n">
        <v>272</v>
      </c>
      <c r="B276" s="40" t="inlineStr">
        <is>
          <t>BD-HNA-2025-0353</t>
        </is>
      </c>
      <c r="C276" s="41" t="inlineStr">
        <is>
          <t>Bonito Handles - N.H_VI-03 - Rose Profile Handle - 398mm</t>
        </is>
      </c>
      <c r="D276" s="39" t="inlineStr">
        <is>
          <t>Bonito Handles</t>
        </is>
      </c>
      <c r="E276" s="43" t="n">
        <v>46125</v>
      </c>
      <c r="F276" s="26" t="inlineStr">
        <is>
          <t>Sunil CR</t>
        </is>
      </c>
      <c r="G276" s="44" t="inlineStr">
        <is>
          <t>Yes</t>
        </is>
      </c>
      <c r="H276" s="26" t="inlineStr">
        <is>
          <t>No</t>
        </is>
      </c>
      <c r="I276" s="44" t="inlineStr">
        <is>
          <t>Good finish</t>
        </is>
      </c>
      <c r="J276" s="26" t="inlineStr">
        <is>
          <t>Yes</t>
        </is>
      </c>
      <c r="K276" s="27" t="n"/>
      <c r="L276" s="28" t="inlineStr">
        <is>
          <t>No</t>
        </is>
      </c>
      <c r="M276" s="29">
        <f>IF(E276="","",IF(H276="Yes","❌ Disc",IF(G276="No","⚠ Missing",IF(J276="Yes","✓ OK","⚠ Check"))))</f>
        <v/>
      </c>
      <c r="N276" s="43" t="n">
        <v>46196</v>
      </c>
      <c r="O276" s="26" t="inlineStr">
        <is>
          <t>Sunil CR</t>
        </is>
      </c>
      <c r="P276" s="44" t="inlineStr">
        <is>
          <t>Yes</t>
        </is>
      </c>
      <c r="Q276" s="26" t="inlineStr">
        <is>
          <t>No</t>
        </is>
      </c>
      <c r="R276" s="44" t="inlineStr">
        <is>
          <t>Good finish</t>
        </is>
      </c>
      <c r="S276" s="26" t="inlineStr">
        <is>
          <t>Yes</t>
        </is>
      </c>
      <c r="T276" s="27" t="n"/>
      <c r="U276" s="28" t="inlineStr">
        <is>
          <t>No</t>
        </is>
      </c>
      <c r="V276" s="29">
        <f>IF(N276="","",IF(Q276="Yes","❌ Disc",IF(P276="No","⚠ Missing",IF(S276="Yes","✓ OK","⚠ Check"))))</f>
        <v/>
      </c>
      <c r="W276" s="65" t="n">
        <v>46248</v>
      </c>
      <c r="X276" s="30" t="inlineStr">
        <is>
          <t>Sunil CR</t>
        </is>
      </c>
      <c r="Y276" s="30" t="inlineStr">
        <is>
          <t>Yes</t>
        </is>
      </c>
      <c r="Z276" s="30" t="n"/>
      <c r="AA276" s="30" t="inlineStr">
        <is>
          <t>Good finish</t>
        </is>
      </c>
      <c r="AB276" s="30" t="inlineStr">
        <is>
          <t>Yes</t>
        </is>
      </c>
      <c r="AC276" s="27" t="n"/>
      <c r="AD276" s="31" t="inlineStr">
        <is>
          <t>No</t>
        </is>
      </c>
      <c r="AE276" s="32">
        <f>IF(W276="","",IF(Z276="Yes","❌ Disc",IF(Y276="No","⚠ Missing",IF(AB276="Yes","✓ OK","⚠ Check"))))</f>
        <v/>
      </c>
      <c r="AF276" s="33" t="n"/>
      <c r="AG276" s="33" t="n"/>
      <c r="AH276" s="33" t="n"/>
      <c r="AI276" s="33" t="n"/>
      <c r="AJ276" s="33" t="n"/>
      <c r="AK276" s="33" t="n"/>
      <c r="AL276" s="27" t="n"/>
      <c r="AM276" s="34" t="n"/>
      <c r="AN276" s="35">
        <f>IF(AF276="","",IF(AI276="Yes","❌ Disc",IF(AH276="No","⚠ Missing",IF(AK276="Yes","✓ OK","⚠ Check"))))</f>
        <v/>
      </c>
      <c r="AO276" s="36" t="n"/>
      <c r="AP276" s="36" t="n"/>
      <c r="AQ276" s="36" t="n"/>
      <c r="AR276" s="36" t="n"/>
      <c r="AS276" s="36" t="n"/>
      <c r="AT276" s="36" t="n"/>
      <c r="AU276" s="27" t="n"/>
      <c r="AV276" s="37" t="n"/>
      <c r="AW276" s="38">
        <f>IF(AO276="","",IF(AR276="Yes","❌ Disc",IF(AQ276="No","⚠ Missing",IF(AT276="Yes","✓ OK","⚠ Check"))))</f>
        <v/>
      </c>
    </row>
    <row r="277" ht="18" customHeight="1" s="46">
      <c r="A277" s="23" t="n">
        <v>273</v>
      </c>
      <c r="B277" s="24" t="inlineStr">
        <is>
          <t>BD-HNA-2025-0354</t>
        </is>
      </c>
      <c r="C277" s="25" t="inlineStr">
        <is>
          <t>Bonito Handles - N.H_VI-03 - Rose Profile Handle - 450mm</t>
        </is>
      </c>
      <c r="D277" s="23" t="inlineStr">
        <is>
          <t>Bonito Handles</t>
        </is>
      </c>
      <c r="E277" s="43" t="n">
        <v>46125</v>
      </c>
      <c r="F277" s="26" t="inlineStr">
        <is>
          <t>Sunil CR</t>
        </is>
      </c>
      <c r="G277" s="44" t="inlineStr">
        <is>
          <t>Represented by Sample</t>
        </is>
      </c>
      <c r="H277" s="26" t="inlineStr">
        <is>
          <t>No</t>
        </is>
      </c>
      <c r="I277" s="44" t="inlineStr">
        <is>
          <t>Represented by Sample</t>
        </is>
      </c>
      <c r="J277" s="26" t="inlineStr">
        <is>
          <t>Yes</t>
        </is>
      </c>
      <c r="K277" s="27" t="n"/>
      <c r="L277" s="28" t="inlineStr">
        <is>
          <t>No</t>
        </is>
      </c>
      <c r="M277" s="29">
        <f>IF(E277="","",IF(H277="Yes","❌ Disc",IF(G277="No","⚠ Missing",IF(J277="Yes","✓ OK","⚠ Check"))))</f>
        <v/>
      </c>
      <c r="N277" s="43" t="n">
        <v>46196</v>
      </c>
      <c r="O277" s="26" t="inlineStr">
        <is>
          <t>Sunil CR</t>
        </is>
      </c>
      <c r="P277" s="44" t="inlineStr">
        <is>
          <t>Represented by Sample</t>
        </is>
      </c>
      <c r="Q277" s="26" t="inlineStr">
        <is>
          <t>No</t>
        </is>
      </c>
      <c r="R277" s="44" t="inlineStr">
        <is>
          <t>Represented by Sample</t>
        </is>
      </c>
      <c r="S277" s="26" t="inlineStr">
        <is>
          <t>Yes</t>
        </is>
      </c>
      <c r="T277" s="27" t="n"/>
      <c r="U277" s="28" t="inlineStr">
        <is>
          <t>No</t>
        </is>
      </c>
      <c r="V277" s="29">
        <f>IF(N277="","",IF(Q277="Yes","❌ Disc",IF(P277="No","⚠ Missing",IF(S277="Yes","✓ OK","⚠ Check"))))</f>
        <v/>
      </c>
      <c r="W277" s="65" t="n">
        <v>46248</v>
      </c>
      <c r="X277" s="30" t="inlineStr">
        <is>
          <t>Sunil CR</t>
        </is>
      </c>
      <c r="Y277" s="30" t="inlineStr">
        <is>
          <t>Represented by Sample</t>
        </is>
      </c>
      <c r="Z277" s="30" t="n"/>
      <c r="AA277" s="30" t="inlineStr">
        <is>
          <t>Represented by Sample</t>
        </is>
      </c>
      <c r="AB277" s="30" t="inlineStr">
        <is>
          <t>Yes</t>
        </is>
      </c>
      <c r="AC277" s="27" t="n"/>
      <c r="AD277" s="31" t="inlineStr">
        <is>
          <t>No</t>
        </is>
      </c>
      <c r="AE277" s="32">
        <f>IF(W277="","",IF(Z277="Yes","❌ Disc",IF(Y277="No","⚠ Missing",IF(AB277="Yes","✓ OK","⚠ Check"))))</f>
        <v/>
      </c>
      <c r="AF277" s="33" t="n"/>
      <c r="AG277" s="33" t="n"/>
      <c r="AH277" s="33" t="n"/>
      <c r="AI277" s="33" t="n"/>
      <c r="AJ277" s="33" t="n"/>
      <c r="AK277" s="33" t="n"/>
      <c r="AL277" s="27" t="n"/>
      <c r="AM277" s="34" t="n"/>
      <c r="AN277" s="35">
        <f>IF(AF277="","",IF(AI277="Yes","❌ Disc",IF(AH277="No","⚠ Missing",IF(AK277="Yes","✓ OK","⚠ Check"))))</f>
        <v/>
      </c>
      <c r="AO277" s="36" t="n"/>
      <c r="AP277" s="36" t="n"/>
      <c r="AQ277" s="36" t="n"/>
      <c r="AR277" s="36" t="n"/>
      <c r="AS277" s="36" t="n"/>
      <c r="AT277" s="36" t="n"/>
      <c r="AU277" s="27" t="n"/>
      <c r="AV277" s="37" t="n"/>
      <c r="AW277" s="38">
        <f>IF(AO277="","",IF(AR277="Yes","❌ Disc",IF(AQ277="No","⚠ Missing",IF(AT277="Yes","✓ OK","⚠ Check"))))</f>
        <v/>
      </c>
    </row>
    <row r="278" ht="18" customHeight="1" s="46">
      <c r="A278" s="39" t="n">
        <v>274</v>
      </c>
      <c r="B278" s="40" t="inlineStr">
        <is>
          <t>BD-HNA-2025-0355</t>
        </is>
      </c>
      <c r="C278" s="41" t="inlineStr">
        <is>
          <t>Bonito Handles - N.H_VI-03 - Rose Profile Handle - 500mm</t>
        </is>
      </c>
      <c r="D278" s="39" t="inlineStr">
        <is>
          <t>Bonito Handles</t>
        </is>
      </c>
      <c r="E278" s="43" t="n">
        <v>46125</v>
      </c>
      <c r="F278" s="26" t="inlineStr">
        <is>
          <t>Sunil CR</t>
        </is>
      </c>
      <c r="G278" s="44" t="inlineStr">
        <is>
          <t>Represented by Sample</t>
        </is>
      </c>
      <c r="H278" s="26" t="inlineStr">
        <is>
          <t>No</t>
        </is>
      </c>
      <c r="I278" s="44" t="inlineStr">
        <is>
          <t>Represented by Sample</t>
        </is>
      </c>
      <c r="J278" s="26" t="inlineStr">
        <is>
          <t>Yes</t>
        </is>
      </c>
      <c r="K278" s="27" t="n"/>
      <c r="L278" s="28" t="inlineStr">
        <is>
          <t>No</t>
        </is>
      </c>
      <c r="M278" s="29">
        <f>IF(E278="","",IF(H278="Yes","❌ Disc",IF(G278="No","⚠ Missing",IF(J278="Yes","✓ OK","⚠ Check"))))</f>
        <v/>
      </c>
      <c r="N278" s="43" t="n">
        <v>46196</v>
      </c>
      <c r="O278" s="26" t="inlineStr">
        <is>
          <t>Sunil CR</t>
        </is>
      </c>
      <c r="P278" s="44" t="inlineStr">
        <is>
          <t>Represented by Sample</t>
        </is>
      </c>
      <c r="Q278" s="26" t="inlineStr">
        <is>
          <t>No</t>
        </is>
      </c>
      <c r="R278" s="44" t="inlineStr">
        <is>
          <t>Represented by Sample</t>
        </is>
      </c>
      <c r="S278" s="26" t="inlineStr">
        <is>
          <t>Yes</t>
        </is>
      </c>
      <c r="T278" s="27" t="n"/>
      <c r="U278" s="28" t="inlineStr">
        <is>
          <t>No</t>
        </is>
      </c>
      <c r="V278" s="29">
        <f>IF(N278="","",IF(Q278="Yes","❌ Disc",IF(P278="No","⚠ Missing",IF(S278="Yes","✓ OK","⚠ Check"))))</f>
        <v/>
      </c>
      <c r="W278" s="65" t="n">
        <v>46248</v>
      </c>
      <c r="X278" s="30" t="inlineStr">
        <is>
          <t>Sunil CR</t>
        </is>
      </c>
      <c r="Y278" s="30" t="inlineStr">
        <is>
          <t>Represented by Sample</t>
        </is>
      </c>
      <c r="Z278" s="30" t="n"/>
      <c r="AA278" s="30" t="inlineStr">
        <is>
          <t>Represented by Sample</t>
        </is>
      </c>
      <c r="AB278" s="30" t="inlineStr">
        <is>
          <t>Yes</t>
        </is>
      </c>
      <c r="AC278" s="27" t="n"/>
      <c r="AD278" s="31" t="inlineStr">
        <is>
          <t>No</t>
        </is>
      </c>
      <c r="AE278" s="32">
        <f>IF(W278="","",IF(Z278="Yes","❌ Disc",IF(Y278="No","⚠ Missing",IF(AB278="Yes","✓ OK","⚠ Check"))))</f>
        <v/>
      </c>
      <c r="AF278" s="33" t="n"/>
      <c r="AG278" s="33" t="n"/>
      <c r="AH278" s="33" t="n"/>
      <c r="AI278" s="33" t="n"/>
      <c r="AJ278" s="33" t="n"/>
      <c r="AK278" s="33" t="n"/>
      <c r="AL278" s="27" t="n"/>
      <c r="AM278" s="34" t="n"/>
      <c r="AN278" s="35">
        <f>IF(AF278="","",IF(AI278="Yes","❌ Disc",IF(AH278="No","⚠ Missing",IF(AK278="Yes","✓ OK","⚠ Check"))))</f>
        <v/>
      </c>
      <c r="AO278" s="36" t="n"/>
      <c r="AP278" s="36" t="n"/>
      <c r="AQ278" s="36" t="n"/>
      <c r="AR278" s="36" t="n"/>
      <c r="AS278" s="36" t="n"/>
      <c r="AT278" s="36" t="n"/>
      <c r="AU278" s="27" t="n"/>
      <c r="AV278" s="37" t="n"/>
      <c r="AW278" s="38">
        <f>IF(AO278="","",IF(AR278="Yes","❌ Disc",IF(AQ278="No","⚠ Missing",IF(AT278="Yes","✓ OK","⚠ Check"))))</f>
        <v/>
      </c>
    </row>
    <row r="279" ht="18" customHeight="1" s="46">
      <c r="A279" s="23" t="n">
        <v>275</v>
      </c>
      <c r="B279" s="24" t="inlineStr">
        <is>
          <t>BD-HNA-2025-0356</t>
        </is>
      </c>
      <c r="C279" s="25" t="inlineStr">
        <is>
          <t>Bonito Handles - N.H_VI-03 - Rose Profile Handle - 600mm</t>
        </is>
      </c>
      <c r="D279" s="23" t="inlineStr">
        <is>
          <t>Bonito Handles</t>
        </is>
      </c>
      <c r="E279" s="43" t="n">
        <v>46125</v>
      </c>
      <c r="F279" s="26" t="inlineStr">
        <is>
          <t>Sunil CR</t>
        </is>
      </c>
      <c r="G279" s="44" t="inlineStr">
        <is>
          <t>Represented by Sample</t>
        </is>
      </c>
      <c r="H279" s="26" t="inlineStr">
        <is>
          <t>No</t>
        </is>
      </c>
      <c r="I279" s="44" t="inlineStr">
        <is>
          <t>Represented by Sample</t>
        </is>
      </c>
      <c r="J279" s="26" t="inlineStr">
        <is>
          <t>Yes</t>
        </is>
      </c>
      <c r="K279" s="27" t="n"/>
      <c r="L279" s="28" t="inlineStr">
        <is>
          <t>No</t>
        </is>
      </c>
      <c r="M279" s="29">
        <f>IF(E279="","",IF(H279="Yes","❌ Disc",IF(G279="No","⚠ Missing",IF(J279="Yes","✓ OK","⚠ Check"))))</f>
        <v/>
      </c>
      <c r="N279" s="43" t="n">
        <v>46196</v>
      </c>
      <c r="O279" s="26" t="inlineStr">
        <is>
          <t>Sunil CR</t>
        </is>
      </c>
      <c r="P279" s="44" t="inlineStr">
        <is>
          <t>Represented by Sample</t>
        </is>
      </c>
      <c r="Q279" s="26" t="inlineStr">
        <is>
          <t>No</t>
        </is>
      </c>
      <c r="R279" s="44" t="inlineStr">
        <is>
          <t>Represented by Sample</t>
        </is>
      </c>
      <c r="S279" s="26" t="inlineStr">
        <is>
          <t>Yes</t>
        </is>
      </c>
      <c r="T279" s="27" t="n"/>
      <c r="U279" s="28" t="inlineStr">
        <is>
          <t>No</t>
        </is>
      </c>
      <c r="V279" s="29">
        <f>IF(N279="","",IF(Q279="Yes","❌ Disc",IF(P279="No","⚠ Missing",IF(S279="Yes","✓ OK","⚠ Check"))))</f>
        <v/>
      </c>
      <c r="W279" s="65" t="n">
        <v>46248</v>
      </c>
      <c r="X279" s="30" t="inlineStr">
        <is>
          <t>Sunil CR</t>
        </is>
      </c>
      <c r="Y279" s="30" t="inlineStr">
        <is>
          <t>Represented by Sample</t>
        </is>
      </c>
      <c r="Z279" s="30" t="n"/>
      <c r="AA279" s="30" t="inlineStr">
        <is>
          <t>Represented by Sample</t>
        </is>
      </c>
      <c r="AB279" s="30" t="inlineStr">
        <is>
          <t>Yes</t>
        </is>
      </c>
      <c r="AC279" s="27" t="n"/>
      <c r="AD279" s="31" t="inlineStr">
        <is>
          <t>No</t>
        </is>
      </c>
      <c r="AE279" s="32">
        <f>IF(W279="","",IF(Z279="Yes","❌ Disc",IF(Y279="No","⚠ Missing",IF(AB279="Yes","✓ OK","⚠ Check"))))</f>
        <v/>
      </c>
      <c r="AF279" s="33" t="n"/>
      <c r="AG279" s="33" t="n"/>
      <c r="AH279" s="33" t="n"/>
      <c r="AI279" s="33" t="n"/>
      <c r="AJ279" s="33" t="n"/>
      <c r="AK279" s="33" t="n"/>
      <c r="AL279" s="27" t="n"/>
      <c r="AM279" s="34" t="n"/>
      <c r="AN279" s="35">
        <f>IF(AF279="","",IF(AI279="Yes","❌ Disc",IF(AH279="No","⚠ Missing",IF(AK279="Yes","✓ OK","⚠ Check"))))</f>
        <v/>
      </c>
      <c r="AO279" s="36" t="n"/>
      <c r="AP279" s="36" t="n"/>
      <c r="AQ279" s="36" t="n"/>
      <c r="AR279" s="36" t="n"/>
      <c r="AS279" s="36" t="n"/>
      <c r="AT279" s="36" t="n"/>
      <c r="AU279" s="27" t="n"/>
      <c r="AV279" s="37" t="n"/>
      <c r="AW279" s="38">
        <f>IF(AO279="","",IF(AR279="Yes","❌ Disc",IF(AQ279="No","⚠ Missing",IF(AT279="Yes","✓ OK","⚠ Check"))))</f>
        <v/>
      </c>
    </row>
    <row r="280" ht="18" customHeight="1" s="46">
      <c r="A280" s="39" t="n">
        <v>276</v>
      </c>
      <c r="B280" s="40" t="inlineStr">
        <is>
          <t>BD-HNA-2025-0450</t>
        </is>
      </c>
      <c r="C280" s="41" t="inlineStr">
        <is>
          <t>Bonito Handles - NO-66(G.H) - Black and Gold Knob - 87x20mm</t>
        </is>
      </c>
      <c r="D280" s="39" t="inlineStr">
        <is>
          <t>Bonito Handles</t>
        </is>
      </c>
      <c r="E280" s="43" t="n">
        <v>46125</v>
      </c>
      <c r="F280" s="26" t="inlineStr">
        <is>
          <t>Sunil CR</t>
        </is>
      </c>
      <c r="G280" s="44" t="inlineStr">
        <is>
          <t>Yes</t>
        </is>
      </c>
      <c r="H280" s="26" t="inlineStr">
        <is>
          <t>No</t>
        </is>
      </c>
      <c r="I280" s="44" t="inlineStr">
        <is>
          <t>Good finish</t>
        </is>
      </c>
      <c r="J280" s="26" t="inlineStr">
        <is>
          <t>Yes</t>
        </is>
      </c>
      <c r="K280" s="27" t="n"/>
      <c r="L280" s="28" t="inlineStr">
        <is>
          <t>No</t>
        </is>
      </c>
      <c r="M280" s="29">
        <f>IF(E280="","",IF(H280="Yes","❌ Disc",IF(G280="No","⚠ Missing",IF(J280="Yes","✓ OK","⚠ Check"))))</f>
        <v/>
      </c>
      <c r="N280" s="43" t="n">
        <v>46196</v>
      </c>
      <c r="O280" s="26" t="inlineStr">
        <is>
          <t>Sunil CR</t>
        </is>
      </c>
      <c r="P280" s="44" t="inlineStr">
        <is>
          <t>Yes</t>
        </is>
      </c>
      <c r="Q280" s="26" t="inlineStr">
        <is>
          <t>No</t>
        </is>
      </c>
      <c r="R280" s="44" t="inlineStr">
        <is>
          <t>Good finish</t>
        </is>
      </c>
      <c r="S280" s="26" t="inlineStr">
        <is>
          <t>Yes</t>
        </is>
      </c>
      <c r="T280" s="27" t="n"/>
      <c r="U280" s="28" t="inlineStr">
        <is>
          <t>No</t>
        </is>
      </c>
      <c r="V280" s="29">
        <f>IF(N280="","",IF(Q280="Yes","❌ Disc",IF(P280="No","⚠ Missing",IF(S280="Yes","✓ OK","⚠ Check"))))</f>
        <v/>
      </c>
      <c r="W280" s="65" t="n">
        <v>46248</v>
      </c>
      <c r="X280" s="30" t="inlineStr">
        <is>
          <t>Sunil CR</t>
        </is>
      </c>
      <c r="Y280" s="30" t="inlineStr">
        <is>
          <t>Yes</t>
        </is>
      </c>
      <c r="Z280" s="30" t="n"/>
      <c r="AA280" s="30" t="inlineStr">
        <is>
          <t>Good finish</t>
        </is>
      </c>
      <c r="AB280" s="30" t="inlineStr">
        <is>
          <t>Yes</t>
        </is>
      </c>
      <c r="AC280" s="27" t="n"/>
      <c r="AD280" s="31" t="inlineStr">
        <is>
          <t>No</t>
        </is>
      </c>
      <c r="AE280" s="32">
        <f>IF(W280="","",IF(Z280="Yes","❌ Disc",IF(Y280="No","⚠ Missing",IF(AB280="Yes","✓ OK","⚠ Check"))))</f>
        <v/>
      </c>
      <c r="AF280" s="33" t="n"/>
      <c r="AG280" s="33" t="n"/>
      <c r="AH280" s="33" t="n"/>
      <c r="AI280" s="33" t="n"/>
      <c r="AJ280" s="33" t="n"/>
      <c r="AK280" s="33" t="n"/>
      <c r="AL280" s="27" t="n"/>
      <c r="AM280" s="34" t="n"/>
      <c r="AN280" s="35">
        <f>IF(AF280="","",IF(AI280="Yes","❌ Disc",IF(AH280="No","⚠ Missing",IF(AK280="Yes","✓ OK","⚠ Check"))))</f>
        <v/>
      </c>
      <c r="AO280" s="36" t="n"/>
      <c r="AP280" s="36" t="n"/>
      <c r="AQ280" s="36" t="n"/>
      <c r="AR280" s="36" t="n"/>
      <c r="AS280" s="36" t="n"/>
      <c r="AT280" s="36" t="n"/>
      <c r="AU280" s="27" t="n"/>
      <c r="AV280" s="37" t="n"/>
      <c r="AW280" s="38">
        <f>IF(AO280="","",IF(AR280="Yes","❌ Disc",IF(AQ280="No","⚠ Missing",IF(AT280="Yes","✓ OK","⚠ Check"))))</f>
        <v/>
      </c>
    </row>
    <row r="281" ht="18" customHeight="1" s="46">
      <c r="A281" s="23" t="n">
        <v>277</v>
      </c>
      <c r="B281" s="24" t="inlineStr">
        <is>
          <t>BD-HNA-2025-0451</t>
        </is>
      </c>
      <c r="C281" s="25" t="inlineStr">
        <is>
          <t>Bonito Handles - NO-66(G.H) - Black and White Knob - 87x20mm</t>
        </is>
      </c>
      <c r="D281" s="23" t="inlineStr">
        <is>
          <t>Bonito Handles</t>
        </is>
      </c>
      <c r="E281" s="43" t="n">
        <v>46125</v>
      </c>
      <c r="F281" s="26" t="inlineStr">
        <is>
          <t>Sunil CR</t>
        </is>
      </c>
      <c r="G281" s="44" t="inlineStr">
        <is>
          <t>Represented by Sample</t>
        </is>
      </c>
      <c r="H281" s="26" t="inlineStr">
        <is>
          <t>No</t>
        </is>
      </c>
      <c r="I281" s="44" t="inlineStr">
        <is>
          <t>Represented by Sample</t>
        </is>
      </c>
      <c r="J281" s="26" t="inlineStr">
        <is>
          <t>Yes</t>
        </is>
      </c>
      <c r="K281" s="27" t="n"/>
      <c r="L281" s="28" t="inlineStr">
        <is>
          <t>No</t>
        </is>
      </c>
      <c r="M281" s="29">
        <f>IF(E281="","",IF(H281="Yes","❌ Disc",IF(G281="No","⚠ Missing",IF(J281="Yes","✓ OK","⚠ Check"))))</f>
        <v/>
      </c>
      <c r="N281" s="43" t="n">
        <v>46196</v>
      </c>
      <c r="O281" s="26" t="inlineStr">
        <is>
          <t>Sunil CR</t>
        </is>
      </c>
      <c r="P281" s="44" t="inlineStr">
        <is>
          <t>Represented by Sample</t>
        </is>
      </c>
      <c r="Q281" s="26" t="inlineStr">
        <is>
          <t>No</t>
        </is>
      </c>
      <c r="R281" s="44" t="inlineStr">
        <is>
          <t>Represented by Sample</t>
        </is>
      </c>
      <c r="S281" s="26" t="inlineStr">
        <is>
          <t>Yes</t>
        </is>
      </c>
      <c r="T281" s="27" t="n"/>
      <c r="U281" s="28" t="inlineStr">
        <is>
          <t>No</t>
        </is>
      </c>
      <c r="V281" s="29">
        <f>IF(N281="","",IF(Q281="Yes","❌ Disc",IF(P281="No","⚠ Missing",IF(S281="Yes","✓ OK","⚠ Check"))))</f>
        <v/>
      </c>
      <c r="W281" s="65" t="n">
        <v>46248</v>
      </c>
      <c r="X281" s="30" t="inlineStr">
        <is>
          <t>Sunil CR</t>
        </is>
      </c>
      <c r="Y281" s="30" t="inlineStr">
        <is>
          <t>Represented by Sample</t>
        </is>
      </c>
      <c r="Z281" s="30" t="n"/>
      <c r="AA281" s="30" t="inlineStr">
        <is>
          <t>Represented by Sample</t>
        </is>
      </c>
      <c r="AB281" s="30" t="inlineStr">
        <is>
          <t>Yes</t>
        </is>
      </c>
      <c r="AC281" s="27" t="n"/>
      <c r="AD281" s="31" t="inlineStr">
        <is>
          <t>No</t>
        </is>
      </c>
      <c r="AE281" s="32">
        <f>IF(W281="","",IF(Z281="Yes","❌ Disc",IF(Y281="No","⚠ Missing",IF(AB281="Yes","✓ OK","⚠ Check"))))</f>
        <v/>
      </c>
      <c r="AF281" s="33" t="n"/>
      <c r="AG281" s="33" t="n"/>
      <c r="AH281" s="33" t="n"/>
      <c r="AI281" s="33" t="n"/>
      <c r="AJ281" s="33" t="n"/>
      <c r="AK281" s="33" t="n"/>
      <c r="AL281" s="27" t="n"/>
      <c r="AM281" s="34" t="n"/>
      <c r="AN281" s="35">
        <f>IF(AF281="","",IF(AI281="Yes","❌ Disc",IF(AH281="No","⚠ Missing",IF(AK281="Yes","✓ OK","⚠ Check"))))</f>
        <v/>
      </c>
      <c r="AO281" s="36" t="n"/>
      <c r="AP281" s="36" t="n"/>
      <c r="AQ281" s="36" t="n"/>
      <c r="AR281" s="36" t="n"/>
      <c r="AS281" s="36" t="n"/>
      <c r="AT281" s="36" t="n"/>
      <c r="AU281" s="27" t="n"/>
      <c r="AV281" s="37" t="n"/>
      <c r="AW281" s="38">
        <f>IF(AO281="","",IF(AR281="Yes","❌ Disc",IF(AQ281="No","⚠ Missing",IF(AT281="Yes","✓ OK","⚠ Check"))))</f>
        <v/>
      </c>
    </row>
    <row r="282" ht="18" customHeight="1" s="46">
      <c r="A282" s="39" t="n">
        <v>278</v>
      </c>
      <c r="B282" s="40" t="inlineStr">
        <is>
          <t>BD-HNA-2025-0452</t>
        </is>
      </c>
      <c r="C282" s="41" t="inlineStr">
        <is>
          <t>Bonito Handles - NO-66(G.H) - Grey and Black Knob - 87x20mm</t>
        </is>
      </c>
      <c r="D282" s="39" t="inlineStr">
        <is>
          <t>Bonito Handles</t>
        </is>
      </c>
      <c r="E282" s="43" t="n">
        <v>46125</v>
      </c>
      <c r="F282" s="26" t="inlineStr">
        <is>
          <t>Sunil CR</t>
        </is>
      </c>
      <c r="G282" s="44" t="inlineStr">
        <is>
          <t>Represented by Sample</t>
        </is>
      </c>
      <c r="H282" s="26" t="inlineStr">
        <is>
          <t>No</t>
        </is>
      </c>
      <c r="I282" s="44" t="inlineStr">
        <is>
          <t>Represented by Sample</t>
        </is>
      </c>
      <c r="J282" s="26" t="inlineStr">
        <is>
          <t>Yes</t>
        </is>
      </c>
      <c r="K282" s="27" t="n"/>
      <c r="L282" s="28" t="inlineStr">
        <is>
          <t>No</t>
        </is>
      </c>
      <c r="M282" s="29">
        <f>IF(E282="","",IF(H282="Yes","❌ Disc",IF(G282="No","⚠ Missing",IF(J282="Yes","✓ OK","⚠ Check"))))</f>
        <v/>
      </c>
      <c r="N282" s="43" t="n">
        <v>46196</v>
      </c>
      <c r="O282" s="26" t="inlineStr">
        <is>
          <t>Sunil CR</t>
        </is>
      </c>
      <c r="P282" s="44" t="inlineStr">
        <is>
          <t>Represented by Sample</t>
        </is>
      </c>
      <c r="Q282" s="26" t="inlineStr">
        <is>
          <t>No</t>
        </is>
      </c>
      <c r="R282" s="44" t="inlineStr">
        <is>
          <t>Represented by Sample</t>
        </is>
      </c>
      <c r="S282" s="26" t="inlineStr">
        <is>
          <t>Yes</t>
        </is>
      </c>
      <c r="T282" s="27" t="n"/>
      <c r="U282" s="28" t="inlineStr">
        <is>
          <t>No</t>
        </is>
      </c>
      <c r="V282" s="29">
        <f>IF(N282="","",IF(Q282="Yes","❌ Disc",IF(P282="No","⚠ Missing",IF(S282="Yes","✓ OK","⚠ Check"))))</f>
        <v/>
      </c>
      <c r="W282" s="65" t="n">
        <v>46248</v>
      </c>
      <c r="X282" s="30" t="inlineStr">
        <is>
          <t>Sunil CR</t>
        </is>
      </c>
      <c r="Y282" s="30" t="inlineStr">
        <is>
          <t>Represented by Sample</t>
        </is>
      </c>
      <c r="Z282" s="30" t="n"/>
      <c r="AA282" s="30" t="inlineStr">
        <is>
          <t>Represented by Sample</t>
        </is>
      </c>
      <c r="AB282" s="30" t="inlineStr">
        <is>
          <t>Yes</t>
        </is>
      </c>
      <c r="AC282" s="27" t="n"/>
      <c r="AD282" s="31" t="inlineStr">
        <is>
          <t>No</t>
        </is>
      </c>
      <c r="AE282" s="32">
        <f>IF(W282="","",IF(Z282="Yes","❌ Disc",IF(Y282="No","⚠ Missing",IF(AB282="Yes","✓ OK","⚠ Check"))))</f>
        <v/>
      </c>
      <c r="AF282" s="33" t="n"/>
      <c r="AG282" s="33" t="n"/>
      <c r="AH282" s="33" t="n"/>
      <c r="AI282" s="33" t="n"/>
      <c r="AJ282" s="33" t="n"/>
      <c r="AK282" s="33" t="n"/>
      <c r="AL282" s="27" t="n"/>
      <c r="AM282" s="34" t="n"/>
      <c r="AN282" s="35">
        <f>IF(AF282="","",IF(AI282="Yes","❌ Disc",IF(AH282="No","⚠ Missing",IF(AK282="Yes","✓ OK","⚠ Check"))))</f>
        <v/>
      </c>
      <c r="AO282" s="36" t="n"/>
      <c r="AP282" s="36" t="n"/>
      <c r="AQ282" s="36" t="n"/>
      <c r="AR282" s="36" t="n"/>
      <c r="AS282" s="36" t="n"/>
      <c r="AT282" s="36" t="n"/>
      <c r="AU282" s="27" t="n"/>
      <c r="AV282" s="37" t="n"/>
      <c r="AW282" s="38">
        <f>IF(AO282="","",IF(AR282="Yes","❌ Disc",IF(AQ282="No","⚠ Missing",IF(AT282="Yes","✓ OK","⚠ Check"))))</f>
        <v/>
      </c>
    </row>
    <row r="283" ht="18" customHeight="1" s="46">
      <c r="A283" s="23" t="n">
        <v>279</v>
      </c>
      <c r="B283" s="24" t="inlineStr">
        <is>
          <t>BD-HNA-2025-0454</t>
        </is>
      </c>
      <c r="C283" s="25" t="inlineStr">
        <is>
          <t>Bonito Handles - NO-66(G.H) - Rose Gold Knob - 87x20mm</t>
        </is>
      </c>
      <c r="D283" s="23" t="inlineStr">
        <is>
          <t>Bonito Handles</t>
        </is>
      </c>
      <c r="E283" s="43" t="n">
        <v>46125</v>
      </c>
      <c r="F283" s="26" t="inlineStr">
        <is>
          <t>Sunil CR</t>
        </is>
      </c>
      <c r="G283" s="44" t="inlineStr">
        <is>
          <t>Represented by Sample</t>
        </is>
      </c>
      <c r="H283" s="26" t="inlineStr">
        <is>
          <t>No</t>
        </is>
      </c>
      <c r="I283" s="44" t="inlineStr">
        <is>
          <t>Represented by Sample</t>
        </is>
      </c>
      <c r="J283" s="26" t="inlineStr">
        <is>
          <t>Yes</t>
        </is>
      </c>
      <c r="K283" s="27" t="n"/>
      <c r="L283" s="28" t="inlineStr">
        <is>
          <t>No</t>
        </is>
      </c>
      <c r="M283" s="29">
        <f>IF(E283="","",IF(H283="Yes","❌ Disc",IF(G283="No","⚠ Missing",IF(J283="Yes","✓ OK","⚠ Check"))))</f>
        <v/>
      </c>
      <c r="N283" s="43" t="n">
        <v>46196</v>
      </c>
      <c r="O283" s="26" t="inlineStr">
        <is>
          <t>Sunil CR</t>
        </is>
      </c>
      <c r="P283" s="44" t="inlineStr">
        <is>
          <t>Represented by Sample</t>
        </is>
      </c>
      <c r="Q283" s="26" t="inlineStr">
        <is>
          <t>No</t>
        </is>
      </c>
      <c r="R283" s="44" t="inlineStr">
        <is>
          <t>Represented by Sample</t>
        </is>
      </c>
      <c r="S283" s="26" t="inlineStr">
        <is>
          <t>Yes</t>
        </is>
      </c>
      <c r="T283" s="27" t="n"/>
      <c r="U283" s="28" t="inlineStr">
        <is>
          <t>No</t>
        </is>
      </c>
      <c r="V283" s="29">
        <f>IF(N283="","",IF(Q283="Yes","❌ Disc",IF(P283="No","⚠ Missing",IF(S283="Yes","✓ OK","⚠ Check"))))</f>
        <v/>
      </c>
      <c r="W283" s="65" t="n">
        <v>46248</v>
      </c>
      <c r="X283" s="30" t="inlineStr">
        <is>
          <t>Sunil CR</t>
        </is>
      </c>
      <c r="Y283" s="30" t="inlineStr">
        <is>
          <t>Represented by Sample</t>
        </is>
      </c>
      <c r="Z283" s="30" t="n"/>
      <c r="AA283" s="30" t="inlineStr">
        <is>
          <t>Represented by Sample</t>
        </is>
      </c>
      <c r="AB283" s="30" t="inlineStr">
        <is>
          <t>Yes</t>
        </is>
      </c>
      <c r="AC283" s="27" t="n"/>
      <c r="AD283" s="31" t="inlineStr">
        <is>
          <t>No</t>
        </is>
      </c>
      <c r="AE283" s="32">
        <f>IF(W283="","",IF(Z283="Yes","❌ Disc",IF(Y283="No","⚠ Missing",IF(AB283="Yes","✓ OK","⚠ Check"))))</f>
        <v/>
      </c>
      <c r="AF283" s="33" t="n"/>
      <c r="AG283" s="33" t="n"/>
      <c r="AH283" s="33" t="n"/>
      <c r="AI283" s="33" t="n"/>
      <c r="AJ283" s="33" t="n"/>
      <c r="AK283" s="33" t="n"/>
      <c r="AL283" s="27" t="n"/>
      <c r="AM283" s="34" t="n"/>
      <c r="AN283" s="35">
        <f>IF(AF283="","",IF(AI283="Yes","❌ Disc",IF(AH283="No","⚠ Missing",IF(AK283="Yes","✓ OK","⚠ Check"))))</f>
        <v/>
      </c>
      <c r="AO283" s="36" t="n"/>
      <c r="AP283" s="36" t="n"/>
      <c r="AQ283" s="36" t="n"/>
      <c r="AR283" s="36" t="n"/>
      <c r="AS283" s="36" t="n"/>
      <c r="AT283" s="36" t="n"/>
      <c r="AU283" s="27" t="n"/>
      <c r="AV283" s="37" t="n"/>
      <c r="AW283" s="38">
        <f>IF(AO283="","",IF(AR283="Yes","❌ Disc",IF(AQ283="No","⚠ Missing",IF(AT283="Yes","✓ OK","⚠ Check"))))</f>
        <v/>
      </c>
    </row>
    <row r="284" ht="18" customHeight="1" s="46">
      <c r="A284" s="39" t="n">
        <v>280</v>
      </c>
      <c r="B284" s="40" t="inlineStr">
        <is>
          <t>BD-HNA-2025-0453</t>
        </is>
      </c>
      <c r="C284" s="41" t="inlineStr">
        <is>
          <t>Bonito Handles - NO-66(G.H) - Satin and Grey Knob - 87x20mm</t>
        </is>
      </c>
      <c r="D284" s="39" t="inlineStr">
        <is>
          <t>Bonito Handles</t>
        </is>
      </c>
      <c r="E284" s="43" t="n">
        <v>46125</v>
      </c>
      <c r="F284" s="26" t="inlineStr">
        <is>
          <t>Sunil CR</t>
        </is>
      </c>
      <c r="G284" s="44" t="inlineStr">
        <is>
          <t>Represented by Sample</t>
        </is>
      </c>
      <c r="H284" s="26" t="inlineStr">
        <is>
          <t>No</t>
        </is>
      </c>
      <c r="I284" s="44" t="inlineStr">
        <is>
          <t>Represented by Sample</t>
        </is>
      </c>
      <c r="J284" s="26" t="inlineStr">
        <is>
          <t>Yes</t>
        </is>
      </c>
      <c r="K284" s="27" t="n"/>
      <c r="L284" s="28" t="inlineStr">
        <is>
          <t>No</t>
        </is>
      </c>
      <c r="M284" s="29">
        <f>IF(E284="","",IF(H284="Yes","❌ Disc",IF(G284="No","⚠ Missing",IF(J284="Yes","✓ OK","⚠ Check"))))</f>
        <v/>
      </c>
      <c r="N284" s="43" t="n">
        <v>46196</v>
      </c>
      <c r="O284" s="26" t="inlineStr">
        <is>
          <t>Sunil CR</t>
        </is>
      </c>
      <c r="P284" s="44" t="inlineStr">
        <is>
          <t>Represented by Sample</t>
        </is>
      </c>
      <c r="Q284" s="26" t="inlineStr">
        <is>
          <t>No</t>
        </is>
      </c>
      <c r="R284" s="44" t="inlineStr">
        <is>
          <t>Represented by Sample</t>
        </is>
      </c>
      <c r="S284" s="26" t="inlineStr">
        <is>
          <t>Yes</t>
        </is>
      </c>
      <c r="T284" s="27" t="n"/>
      <c r="U284" s="28" t="inlineStr">
        <is>
          <t>No</t>
        </is>
      </c>
      <c r="V284" s="29">
        <f>IF(N284="","",IF(Q284="Yes","❌ Disc",IF(P284="No","⚠ Missing",IF(S284="Yes","✓ OK","⚠ Check"))))</f>
        <v/>
      </c>
      <c r="W284" s="65" t="n">
        <v>46248</v>
      </c>
      <c r="X284" s="30" t="inlineStr">
        <is>
          <t>Sunil CR</t>
        </is>
      </c>
      <c r="Y284" s="30" t="inlineStr">
        <is>
          <t>Represented by Sample</t>
        </is>
      </c>
      <c r="Z284" s="30" t="n"/>
      <c r="AA284" s="30" t="inlineStr">
        <is>
          <t>Represented by Sample</t>
        </is>
      </c>
      <c r="AB284" s="30" t="inlineStr">
        <is>
          <t>Yes</t>
        </is>
      </c>
      <c r="AC284" s="27" t="n"/>
      <c r="AD284" s="31" t="inlineStr">
        <is>
          <t>No</t>
        </is>
      </c>
      <c r="AE284" s="32">
        <f>IF(W284="","",IF(Z284="Yes","❌ Disc",IF(Y284="No","⚠ Missing",IF(AB284="Yes","✓ OK","⚠ Check"))))</f>
        <v/>
      </c>
      <c r="AF284" s="33" t="n"/>
      <c r="AG284" s="33" t="n"/>
      <c r="AH284" s="33" t="n"/>
      <c r="AI284" s="33" t="n"/>
      <c r="AJ284" s="33" t="n"/>
      <c r="AK284" s="33" t="n"/>
      <c r="AL284" s="27" t="n"/>
      <c r="AM284" s="34" t="n"/>
      <c r="AN284" s="35">
        <f>IF(AF284="","",IF(AI284="Yes","❌ Disc",IF(AH284="No","⚠ Missing",IF(AK284="Yes","✓ OK","⚠ Check"))))</f>
        <v/>
      </c>
      <c r="AO284" s="36" t="n"/>
      <c r="AP284" s="36" t="n"/>
      <c r="AQ284" s="36" t="n"/>
      <c r="AR284" s="36" t="n"/>
      <c r="AS284" s="36" t="n"/>
      <c r="AT284" s="36" t="n"/>
      <c r="AU284" s="27" t="n"/>
      <c r="AV284" s="37" t="n"/>
      <c r="AW284" s="38">
        <f>IF(AO284="","",IF(AR284="Yes","❌ Disc",IF(AQ284="No","⚠ Missing",IF(AT284="Yes","✓ OK","⚠ Check"))))</f>
        <v/>
      </c>
    </row>
    <row r="285" ht="18" customHeight="1" s="46">
      <c r="A285" s="23" t="n">
        <v>281</v>
      </c>
      <c r="B285" s="24" t="inlineStr">
        <is>
          <t>BD-HNA-2025-0101</t>
        </is>
      </c>
      <c r="C285" s="25" t="inlineStr">
        <is>
          <t>Bonito Handles - P-36(S.H-ZP) - PVD Black Handle  - 305mm</t>
        </is>
      </c>
      <c r="D285" s="23" t="inlineStr">
        <is>
          <t>Bonito Handles</t>
        </is>
      </c>
      <c r="E285" s="43" t="n">
        <v>46125</v>
      </c>
      <c r="F285" s="26" t="inlineStr">
        <is>
          <t>Sunil CR</t>
        </is>
      </c>
      <c r="G285" s="44" t="inlineStr">
        <is>
          <t>Represented by Sample</t>
        </is>
      </c>
      <c r="H285" s="26" t="inlineStr">
        <is>
          <t>No</t>
        </is>
      </c>
      <c r="I285" s="44" t="inlineStr">
        <is>
          <t>Represented by Sample</t>
        </is>
      </c>
      <c r="J285" s="26" t="inlineStr">
        <is>
          <t>Yes</t>
        </is>
      </c>
      <c r="K285" s="27" t="n"/>
      <c r="L285" s="28" t="inlineStr">
        <is>
          <t>No</t>
        </is>
      </c>
      <c r="M285" s="29">
        <f>IF(E285="","",IF(H285="Yes","❌ Disc",IF(G285="No","⚠ Missing",IF(J285="Yes","✓ OK","⚠ Check"))))</f>
        <v/>
      </c>
      <c r="N285" s="43" t="n">
        <v>46196</v>
      </c>
      <c r="O285" s="26" t="inlineStr">
        <is>
          <t>Sunil CR</t>
        </is>
      </c>
      <c r="P285" s="44" t="inlineStr">
        <is>
          <t>Represented by Sample</t>
        </is>
      </c>
      <c r="Q285" s="26" t="inlineStr">
        <is>
          <t>No</t>
        </is>
      </c>
      <c r="R285" s="44" t="inlineStr">
        <is>
          <t>Represented by Sample</t>
        </is>
      </c>
      <c r="S285" s="26" t="inlineStr">
        <is>
          <t>Yes</t>
        </is>
      </c>
      <c r="T285" s="27" t="n"/>
      <c r="U285" s="28" t="inlineStr">
        <is>
          <t>No</t>
        </is>
      </c>
      <c r="V285" s="29">
        <f>IF(N285="","",IF(Q285="Yes","❌ Disc",IF(P285="No","⚠ Missing",IF(S285="Yes","✓ OK","⚠ Check"))))</f>
        <v/>
      </c>
      <c r="W285" s="65" t="n">
        <v>46248</v>
      </c>
      <c r="X285" s="30" t="inlineStr">
        <is>
          <t>Sunil CR</t>
        </is>
      </c>
      <c r="Y285" s="30" t="inlineStr">
        <is>
          <t>Represented by Sample</t>
        </is>
      </c>
      <c r="Z285" s="30" t="n"/>
      <c r="AA285" s="30" t="inlineStr">
        <is>
          <t>Represented by Sample</t>
        </is>
      </c>
      <c r="AB285" s="30" t="inlineStr">
        <is>
          <t>Yes</t>
        </is>
      </c>
      <c r="AC285" s="27" t="n"/>
      <c r="AD285" s="31" t="inlineStr">
        <is>
          <t>No</t>
        </is>
      </c>
      <c r="AE285" s="32">
        <f>IF(W285="","",IF(Z285="Yes","❌ Disc",IF(Y285="No","⚠ Missing",IF(AB285="Yes","✓ OK","⚠ Check"))))</f>
        <v/>
      </c>
      <c r="AF285" s="33" t="n"/>
      <c r="AG285" s="33" t="n"/>
      <c r="AH285" s="33" t="n"/>
      <c r="AI285" s="33" t="n"/>
      <c r="AJ285" s="33" t="n"/>
      <c r="AK285" s="33" t="n"/>
      <c r="AL285" s="27" t="n"/>
      <c r="AM285" s="34" t="n"/>
      <c r="AN285" s="35">
        <f>IF(AF285="","",IF(AI285="Yes","❌ Disc",IF(AH285="No","⚠ Missing",IF(AK285="Yes","✓ OK","⚠ Check"))))</f>
        <v/>
      </c>
      <c r="AO285" s="36" t="n"/>
      <c r="AP285" s="36" t="n"/>
      <c r="AQ285" s="36" t="n"/>
      <c r="AR285" s="36" t="n"/>
      <c r="AS285" s="36" t="n"/>
      <c r="AT285" s="36" t="n"/>
      <c r="AU285" s="27" t="n"/>
      <c r="AV285" s="37" t="n"/>
      <c r="AW285" s="38">
        <f>IF(AO285="","",IF(AR285="Yes","❌ Disc",IF(AQ285="No","⚠ Missing",IF(AT285="Yes","✓ OK","⚠ Check"))))</f>
        <v/>
      </c>
    </row>
    <row r="286" ht="18" customHeight="1" s="46">
      <c r="A286" s="39" t="n">
        <v>282</v>
      </c>
      <c r="B286" s="40" t="inlineStr">
        <is>
          <t>BD-HNA-2025-0102</t>
        </is>
      </c>
      <c r="C286" s="41" t="inlineStr">
        <is>
          <t>Bonito Handles - P-36(S.H-ZP) - Rose Gold Handle  - 305mm</t>
        </is>
      </c>
      <c r="D286" s="39" t="inlineStr">
        <is>
          <t>Bonito Handles</t>
        </is>
      </c>
      <c r="E286" s="43" t="n">
        <v>46125</v>
      </c>
      <c r="F286" s="26" t="inlineStr">
        <is>
          <t>Sunil CR</t>
        </is>
      </c>
      <c r="G286" s="44" t="inlineStr">
        <is>
          <t>Yes</t>
        </is>
      </c>
      <c r="H286" s="26" t="inlineStr">
        <is>
          <t>No</t>
        </is>
      </c>
      <c r="I286" s="44" t="inlineStr">
        <is>
          <t>Good finish</t>
        </is>
      </c>
      <c r="J286" s="26" t="inlineStr">
        <is>
          <t>Yes</t>
        </is>
      </c>
      <c r="K286" s="27" t="n"/>
      <c r="L286" s="28" t="inlineStr">
        <is>
          <t>No</t>
        </is>
      </c>
      <c r="M286" s="29">
        <f>IF(E286="","",IF(H286="Yes","❌ Disc",IF(G286="No","⚠ Missing",IF(J286="Yes","✓ OK","⚠ Check"))))</f>
        <v/>
      </c>
      <c r="N286" s="43" t="n">
        <v>46196</v>
      </c>
      <c r="O286" s="26" t="inlineStr">
        <is>
          <t>Sunil CR</t>
        </is>
      </c>
      <c r="P286" s="44" t="inlineStr">
        <is>
          <t>Yes</t>
        </is>
      </c>
      <c r="Q286" s="26" t="inlineStr">
        <is>
          <t>No</t>
        </is>
      </c>
      <c r="R286" s="44" t="inlineStr">
        <is>
          <t>Good finish</t>
        </is>
      </c>
      <c r="S286" s="26" t="inlineStr">
        <is>
          <t>Yes</t>
        </is>
      </c>
      <c r="T286" s="27" t="n"/>
      <c r="U286" s="28" t="inlineStr">
        <is>
          <t>No</t>
        </is>
      </c>
      <c r="V286" s="29">
        <f>IF(N286="","",IF(Q286="Yes","❌ Disc",IF(P286="No","⚠ Missing",IF(S286="Yes","✓ OK","⚠ Check"))))</f>
        <v/>
      </c>
      <c r="W286" s="65" t="n">
        <v>46248</v>
      </c>
      <c r="X286" s="30" t="inlineStr">
        <is>
          <t>Sunil CR</t>
        </is>
      </c>
      <c r="Y286" s="30" t="inlineStr">
        <is>
          <t>Yes</t>
        </is>
      </c>
      <c r="Z286" s="30" t="n"/>
      <c r="AA286" s="30" t="inlineStr">
        <is>
          <t>Good finish</t>
        </is>
      </c>
      <c r="AB286" s="30" t="inlineStr">
        <is>
          <t>Yes</t>
        </is>
      </c>
      <c r="AC286" s="27" t="n"/>
      <c r="AD286" s="31" t="inlineStr">
        <is>
          <t>No</t>
        </is>
      </c>
      <c r="AE286" s="32">
        <f>IF(W286="","",IF(Z286="Yes","❌ Disc",IF(Y286="No","⚠ Missing",IF(AB286="Yes","✓ OK","⚠ Check"))))</f>
        <v/>
      </c>
      <c r="AF286" s="33" t="n"/>
      <c r="AG286" s="33" t="n"/>
      <c r="AH286" s="33" t="n"/>
      <c r="AI286" s="33" t="n"/>
      <c r="AJ286" s="33" t="n"/>
      <c r="AK286" s="33" t="n"/>
      <c r="AL286" s="27" t="n"/>
      <c r="AM286" s="34" t="n"/>
      <c r="AN286" s="35">
        <f>IF(AF286="","",IF(AI286="Yes","❌ Disc",IF(AH286="No","⚠ Missing",IF(AK286="Yes","✓ OK","⚠ Check"))))</f>
        <v/>
      </c>
      <c r="AO286" s="36" t="n"/>
      <c r="AP286" s="36" t="n"/>
      <c r="AQ286" s="36" t="n"/>
      <c r="AR286" s="36" t="n"/>
      <c r="AS286" s="36" t="n"/>
      <c r="AT286" s="36" t="n"/>
      <c r="AU286" s="27" t="n"/>
      <c r="AV286" s="37" t="n"/>
      <c r="AW286" s="38">
        <f>IF(AO286="","",IF(AR286="Yes","❌ Disc",IF(AQ286="No","⚠ Missing",IF(AT286="Yes","✓ OK","⚠ Check"))))</f>
        <v/>
      </c>
    </row>
    <row r="287" ht="18" customHeight="1" s="46">
      <c r="A287" s="23" t="n">
        <v>283</v>
      </c>
      <c r="B287" s="24" t="inlineStr">
        <is>
          <t>BD-HNA-2025-0113</t>
        </is>
      </c>
      <c r="C287" s="25" t="inlineStr">
        <is>
          <t>Bonito Handles - T-134(S.H-ZP) - Black Handle  - 120mm</t>
        </is>
      </c>
      <c r="D287" s="23" t="inlineStr">
        <is>
          <t>Bonito Handles</t>
        </is>
      </c>
      <c r="E287" s="43" t="n">
        <v>46125</v>
      </c>
      <c r="F287" s="26" t="inlineStr">
        <is>
          <t>Sunil CR</t>
        </is>
      </c>
      <c r="G287" s="44" t="inlineStr">
        <is>
          <t>Represented by Sample</t>
        </is>
      </c>
      <c r="H287" s="26" t="inlineStr">
        <is>
          <t>No</t>
        </is>
      </c>
      <c r="I287" s="44" t="inlineStr">
        <is>
          <t>Represented by Sample</t>
        </is>
      </c>
      <c r="J287" s="26" t="inlineStr">
        <is>
          <t>Yes</t>
        </is>
      </c>
      <c r="K287" s="27" t="n"/>
      <c r="L287" s="28" t="inlineStr">
        <is>
          <t>No</t>
        </is>
      </c>
      <c r="M287" s="29">
        <f>IF(E287="","",IF(H287="Yes","❌ Disc",IF(G287="No","⚠ Missing",IF(J287="Yes","✓ OK","⚠ Check"))))</f>
        <v/>
      </c>
      <c r="N287" s="43" t="n">
        <v>46196</v>
      </c>
      <c r="O287" s="26" t="inlineStr">
        <is>
          <t>Sunil CR</t>
        </is>
      </c>
      <c r="P287" s="44" t="inlineStr">
        <is>
          <t>Represented by Sample</t>
        </is>
      </c>
      <c r="Q287" s="26" t="inlineStr">
        <is>
          <t>No</t>
        </is>
      </c>
      <c r="R287" s="44" t="inlineStr">
        <is>
          <t>Represented by Sample</t>
        </is>
      </c>
      <c r="S287" s="26" t="inlineStr">
        <is>
          <t>Yes</t>
        </is>
      </c>
      <c r="T287" s="27" t="n"/>
      <c r="U287" s="28" t="inlineStr">
        <is>
          <t>No</t>
        </is>
      </c>
      <c r="V287" s="29">
        <f>IF(N287="","",IF(Q287="Yes","❌ Disc",IF(P287="No","⚠ Missing",IF(S287="Yes","✓ OK","⚠ Check"))))</f>
        <v/>
      </c>
      <c r="W287" s="65" t="n">
        <v>46248</v>
      </c>
      <c r="X287" s="30" t="inlineStr">
        <is>
          <t>Sunil CR</t>
        </is>
      </c>
      <c r="Y287" s="30" t="inlineStr">
        <is>
          <t>Represented by Sample</t>
        </is>
      </c>
      <c r="Z287" s="30" t="n"/>
      <c r="AA287" s="30" t="inlineStr">
        <is>
          <t>Represented by Sample</t>
        </is>
      </c>
      <c r="AB287" s="30" t="inlineStr">
        <is>
          <t>Yes</t>
        </is>
      </c>
      <c r="AC287" s="27" t="n"/>
      <c r="AD287" s="31" t="inlineStr">
        <is>
          <t>No</t>
        </is>
      </c>
      <c r="AE287" s="32">
        <f>IF(W287="","",IF(Z287="Yes","❌ Disc",IF(Y287="No","⚠ Missing",IF(AB287="Yes","✓ OK","⚠ Check"))))</f>
        <v/>
      </c>
      <c r="AF287" s="33" t="n"/>
      <c r="AG287" s="33" t="n"/>
      <c r="AH287" s="33" t="n"/>
      <c r="AI287" s="33" t="n"/>
      <c r="AJ287" s="33" t="n"/>
      <c r="AK287" s="33" t="n"/>
      <c r="AL287" s="27" t="n"/>
      <c r="AM287" s="34" t="n"/>
      <c r="AN287" s="35">
        <f>IF(AF287="","",IF(AI287="Yes","❌ Disc",IF(AH287="No","⚠ Missing",IF(AK287="Yes","✓ OK","⚠ Check"))))</f>
        <v/>
      </c>
      <c r="AO287" s="36" t="n"/>
      <c r="AP287" s="36" t="n"/>
      <c r="AQ287" s="36" t="n"/>
      <c r="AR287" s="36" t="n"/>
      <c r="AS287" s="36" t="n"/>
      <c r="AT287" s="36" t="n"/>
      <c r="AU287" s="27" t="n"/>
      <c r="AV287" s="37" t="n"/>
      <c r="AW287" s="38">
        <f>IF(AO287="","",IF(AR287="Yes","❌ Disc",IF(AQ287="No","⚠ Missing",IF(AT287="Yes","✓ OK","⚠ Check"))))</f>
        <v/>
      </c>
    </row>
    <row r="288" ht="18" customHeight="1" s="46">
      <c r="A288" s="39" t="n">
        <v>284</v>
      </c>
      <c r="B288" s="40" t="inlineStr">
        <is>
          <t>BD-HNA-2025-0114</t>
        </is>
      </c>
      <c r="C288" s="41" t="inlineStr">
        <is>
          <t>Bonito Handles - T-134(S.H-ZP) - Black Handle  - 300mm</t>
        </is>
      </c>
      <c r="D288" s="39" t="inlineStr">
        <is>
          <t>Bonito Handles</t>
        </is>
      </c>
      <c r="E288" s="43" t="n">
        <v>46125</v>
      </c>
      <c r="F288" s="26" t="inlineStr">
        <is>
          <t>Sunil CR</t>
        </is>
      </c>
      <c r="G288" s="44" t="inlineStr">
        <is>
          <t>Represented by Sample</t>
        </is>
      </c>
      <c r="H288" s="26" t="inlineStr">
        <is>
          <t>No</t>
        </is>
      </c>
      <c r="I288" s="44" t="inlineStr">
        <is>
          <t>Represented by Sample</t>
        </is>
      </c>
      <c r="J288" s="26" t="inlineStr">
        <is>
          <t>Yes</t>
        </is>
      </c>
      <c r="K288" s="27" t="n"/>
      <c r="L288" s="28" t="inlineStr">
        <is>
          <t>No</t>
        </is>
      </c>
      <c r="M288" s="29">
        <f>IF(E288="","",IF(H288="Yes","❌ Disc",IF(G288="No","⚠ Missing",IF(J288="Yes","✓ OK","⚠ Check"))))</f>
        <v/>
      </c>
      <c r="N288" s="43" t="n">
        <v>46196</v>
      </c>
      <c r="O288" s="26" t="inlineStr">
        <is>
          <t>Sunil CR</t>
        </is>
      </c>
      <c r="P288" s="44" t="inlineStr">
        <is>
          <t>Represented by Sample</t>
        </is>
      </c>
      <c r="Q288" s="26" t="inlineStr">
        <is>
          <t>No</t>
        </is>
      </c>
      <c r="R288" s="44" t="inlineStr">
        <is>
          <t>Represented by Sample</t>
        </is>
      </c>
      <c r="S288" s="26" t="inlineStr">
        <is>
          <t>Yes</t>
        </is>
      </c>
      <c r="T288" s="27" t="n"/>
      <c r="U288" s="28" t="inlineStr">
        <is>
          <t>No</t>
        </is>
      </c>
      <c r="V288" s="29">
        <f>IF(N288="","",IF(Q288="Yes","❌ Disc",IF(P288="No","⚠ Missing",IF(S288="Yes","✓ OK","⚠ Check"))))</f>
        <v/>
      </c>
      <c r="W288" s="65" t="n">
        <v>46248</v>
      </c>
      <c r="X288" s="30" t="inlineStr">
        <is>
          <t>Sunil CR</t>
        </is>
      </c>
      <c r="Y288" s="30" t="inlineStr">
        <is>
          <t>Represented by Sample</t>
        </is>
      </c>
      <c r="Z288" s="30" t="n"/>
      <c r="AA288" s="30" t="inlineStr">
        <is>
          <t>Represented by Sample</t>
        </is>
      </c>
      <c r="AB288" s="30" t="inlineStr">
        <is>
          <t>Yes</t>
        </is>
      </c>
      <c r="AC288" s="27" t="n"/>
      <c r="AD288" s="31" t="inlineStr">
        <is>
          <t>No</t>
        </is>
      </c>
      <c r="AE288" s="32">
        <f>IF(W288="","",IF(Z288="Yes","❌ Disc",IF(Y288="No","⚠ Missing",IF(AB288="Yes","✓ OK","⚠ Check"))))</f>
        <v/>
      </c>
      <c r="AF288" s="33" t="n"/>
      <c r="AG288" s="33" t="n"/>
      <c r="AH288" s="33" t="n"/>
      <c r="AI288" s="33" t="n"/>
      <c r="AJ288" s="33" t="n"/>
      <c r="AK288" s="33" t="n"/>
      <c r="AL288" s="27" t="n"/>
      <c r="AM288" s="34" t="n"/>
      <c r="AN288" s="35">
        <f>IF(AF288="","",IF(AI288="Yes","❌ Disc",IF(AH288="No","⚠ Missing",IF(AK288="Yes","✓ OK","⚠ Check"))))</f>
        <v/>
      </c>
      <c r="AO288" s="36" t="n"/>
      <c r="AP288" s="36" t="n"/>
      <c r="AQ288" s="36" t="n"/>
      <c r="AR288" s="36" t="n"/>
      <c r="AS288" s="36" t="n"/>
      <c r="AT288" s="36" t="n"/>
      <c r="AU288" s="27" t="n"/>
      <c r="AV288" s="37" t="n"/>
      <c r="AW288" s="38">
        <f>IF(AO288="","",IF(AR288="Yes","❌ Disc",IF(AQ288="No","⚠ Missing",IF(AT288="Yes","✓ OK","⚠ Check"))))</f>
        <v/>
      </c>
    </row>
    <row r="289" ht="18" customHeight="1" s="46">
      <c r="A289" s="23" t="n">
        <v>285</v>
      </c>
      <c r="B289" s="24" t="inlineStr">
        <is>
          <t>BD-HNA-2025-0111</t>
        </is>
      </c>
      <c r="C289" s="25" t="inlineStr">
        <is>
          <t>Bonito Handles - T-134(S.H-ZP) - Gold Handle  - 120mm</t>
        </is>
      </c>
      <c r="D289" s="23" t="inlineStr">
        <is>
          <t>Bonito Handles</t>
        </is>
      </c>
      <c r="E289" s="43" t="n">
        <v>46125</v>
      </c>
      <c r="F289" s="26" t="inlineStr">
        <is>
          <t>Sunil CR</t>
        </is>
      </c>
      <c r="G289" s="44" t="inlineStr">
        <is>
          <t>Yes</t>
        </is>
      </c>
      <c r="H289" s="26" t="inlineStr">
        <is>
          <t>No</t>
        </is>
      </c>
      <c r="I289" s="44" t="inlineStr">
        <is>
          <t>Good finish</t>
        </is>
      </c>
      <c r="J289" s="26" t="inlineStr">
        <is>
          <t>Yes</t>
        </is>
      </c>
      <c r="K289" s="27" t="n"/>
      <c r="L289" s="28" t="inlineStr">
        <is>
          <t>No</t>
        </is>
      </c>
      <c r="M289" s="29">
        <f>IF(E289="","",IF(H289="Yes","❌ Disc",IF(G289="No","⚠ Missing",IF(J289="Yes","✓ OK","⚠ Check"))))</f>
        <v/>
      </c>
      <c r="N289" s="43" t="n">
        <v>46196</v>
      </c>
      <c r="O289" s="26" t="inlineStr">
        <is>
          <t>Sunil CR</t>
        </is>
      </c>
      <c r="P289" s="44" t="inlineStr">
        <is>
          <t>Yes</t>
        </is>
      </c>
      <c r="Q289" s="26" t="inlineStr">
        <is>
          <t>No</t>
        </is>
      </c>
      <c r="R289" s="44" t="inlineStr">
        <is>
          <t>Good finish</t>
        </is>
      </c>
      <c r="S289" s="26" t="inlineStr">
        <is>
          <t>Yes</t>
        </is>
      </c>
      <c r="T289" s="27" t="n"/>
      <c r="U289" s="28" t="inlineStr">
        <is>
          <t>No</t>
        </is>
      </c>
      <c r="V289" s="29">
        <f>IF(N289="","",IF(Q289="Yes","❌ Disc",IF(P289="No","⚠ Missing",IF(S289="Yes","✓ OK","⚠ Check"))))</f>
        <v/>
      </c>
      <c r="W289" s="65" t="n">
        <v>46248</v>
      </c>
      <c r="X289" s="30" t="inlineStr">
        <is>
          <t>Sunil CR</t>
        </is>
      </c>
      <c r="Y289" s="30" t="inlineStr">
        <is>
          <t>Yes</t>
        </is>
      </c>
      <c r="Z289" s="30" t="n"/>
      <c r="AA289" s="30" t="inlineStr">
        <is>
          <t>Good finish</t>
        </is>
      </c>
      <c r="AB289" s="30" t="inlineStr">
        <is>
          <t>Yes</t>
        </is>
      </c>
      <c r="AC289" s="27" t="n"/>
      <c r="AD289" s="31" t="inlineStr">
        <is>
          <t>No</t>
        </is>
      </c>
      <c r="AE289" s="32">
        <f>IF(W289="","",IF(Z289="Yes","❌ Disc",IF(Y289="No","⚠ Missing",IF(AB289="Yes","✓ OK","⚠ Check"))))</f>
        <v/>
      </c>
      <c r="AF289" s="33" t="n"/>
      <c r="AG289" s="33" t="n"/>
      <c r="AH289" s="33" t="n"/>
      <c r="AI289" s="33" t="n"/>
      <c r="AJ289" s="33" t="n"/>
      <c r="AK289" s="33" t="n"/>
      <c r="AL289" s="27" t="n"/>
      <c r="AM289" s="34" t="n"/>
      <c r="AN289" s="35">
        <f>IF(AF289="","",IF(AI289="Yes","❌ Disc",IF(AH289="No","⚠ Missing",IF(AK289="Yes","✓ OK","⚠ Check"))))</f>
        <v/>
      </c>
      <c r="AO289" s="36" t="n"/>
      <c r="AP289" s="36" t="n"/>
      <c r="AQ289" s="36" t="n"/>
      <c r="AR289" s="36" t="n"/>
      <c r="AS289" s="36" t="n"/>
      <c r="AT289" s="36" t="n"/>
      <c r="AU289" s="27" t="n"/>
      <c r="AV289" s="37" t="n"/>
      <c r="AW289" s="38">
        <f>IF(AO289="","",IF(AR289="Yes","❌ Disc",IF(AQ289="No","⚠ Missing",IF(AT289="Yes","✓ OK","⚠ Check"))))</f>
        <v/>
      </c>
    </row>
    <row r="290" ht="18" customHeight="1" s="46">
      <c r="A290" s="39" t="n">
        <v>286</v>
      </c>
      <c r="B290" s="40" t="inlineStr">
        <is>
          <t>BD-HNA-2025-0112</t>
        </is>
      </c>
      <c r="C290" s="41" t="inlineStr">
        <is>
          <t>Bonito Handles - T-134(S.H-ZP) - Gold Handle  - 300mm</t>
        </is>
      </c>
      <c r="D290" s="39" t="inlineStr">
        <is>
          <t>Bonito Handles</t>
        </is>
      </c>
      <c r="E290" s="43" t="n">
        <v>46125</v>
      </c>
      <c r="F290" s="26" t="inlineStr">
        <is>
          <t>Sunil CR</t>
        </is>
      </c>
      <c r="G290" s="44" t="inlineStr">
        <is>
          <t>Represented by Sample</t>
        </is>
      </c>
      <c r="H290" s="26" t="inlineStr">
        <is>
          <t>No</t>
        </is>
      </c>
      <c r="I290" s="44" t="inlineStr">
        <is>
          <t>Represented by Sample</t>
        </is>
      </c>
      <c r="J290" s="26" t="inlineStr">
        <is>
          <t>Yes</t>
        </is>
      </c>
      <c r="K290" s="27" t="n"/>
      <c r="L290" s="28" t="inlineStr">
        <is>
          <t>No</t>
        </is>
      </c>
      <c r="M290" s="29">
        <f>IF(E290="","",IF(H290="Yes","❌ Disc",IF(G290="No","⚠ Missing",IF(J290="Yes","✓ OK","⚠ Check"))))</f>
        <v/>
      </c>
      <c r="N290" s="43" t="n">
        <v>46196</v>
      </c>
      <c r="O290" s="26" t="inlineStr">
        <is>
          <t>Sunil CR</t>
        </is>
      </c>
      <c r="P290" s="44" t="inlineStr">
        <is>
          <t>Represented by Sample</t>
        </is>
      </c>
      <c r="Q290" s="26" t="inlineStr">
        <is>
          <t>No</t>
        </is>
      </c>
      <c r="R290" s="44" t="inlineStr">
        <is>
          <t>Represented by Sample</t>
        </is>
      </c>
      <c r="S290" s="26" t="inlineStr">
        <is>
          <t>Yes</t>
        </is>
      </c>
      <c r="T290" s="27" t="n"/>
      <c r="U290" s="28" t="inlineStr">
        <is>
          <t>No</t>
        </is>
      </c>
      <c r="V290" s="29">
        <f>IF(N290="","",IF(Q290="Yes","❌ Disc",IF(P290="No","⚠ Missing",IF(S290="Yes","✓ OK","⚠ Check"))))</f>
        <v/>
      </c>
      <c r="W290" s="65" t="n">
        <v>46248</v>
      </c>
      <c r="X290" s="30" t="inlineStr">
        <is>
          <t>Sunil CR</t>
        </is>
      </c>
      <c r="Y290" s="30" t="inlineStr">
        <is>
          <t>Represented by Sample</t>
        </is>
      </c>
      <c r="Z290" s="30" t="n"/>
      <c r="AA290" s="30" t="inlineStr">
        <is>
          <t>Represented by Sample</t>
        </is>
      </c>
      <c r="AB290" s="30" t="inlineStr">
        <is>
          <t>Yes</t>
        </is>
      </c>
      <c r="AC290" s="27" t="n"/>
      <c r="AD290" s="31" t="inlineStr">
        <is>
          <t>No</t>
        </is>
      </c>
      <c r="AE290" s="32">
        <f>IF(W290="","",IF(Z290="Yes","❌ Disc",IF(Y290="No","⚠ Missing",IF(AB290="Yes","✓ OK","⚠ Check"))))</f>
        <v/>
      </c>
      <c r="AF290" s="33" t="n"/>
      <c r="AG290" s="33" t="n"/>
      <c r="AH290" s="33" t="n"/>
      <c r="AI290" s="33" t="n"/>
      <c r="AJ290" s="33" t="n"/>
      <c r="AK290" s="33" t="n"/>
      <c r="AL290" s="27" t="n"/>
      <c r="AM290" s="34" t="n"/>
      <c r="AN290" s="35">
        <f>IF(AF290="","",IF(AI290="Yes","❌ Disc",IF(AH290="No","⚠ Missing",IF(AK290="Yes","✓ OK","⚠ Check"))))</f>
        <v/>
      </c>
      <c r="AO290" s="36" t="n"/>
      <c r="AP290" s="36" t="n"/>
      <c r="AQ290" s="36" t="n"/>
      <c r="AR290" s="36" t="n"/>
      <c r="AS290" s="36" t="n"/>
      <c r="AT290" s="36" t="n"/>
      <c r="AU290" s="27" t="n"/>
      <c r="AV290" s="37" t="n"/>
      <c r="AW290" s="38">
        <f>IF(AO290="","",IF(AR290="Yes","❌ Disc",IF(AQ290="No","⚠ Missing",IF(AT290="Yes","✓ OK","⚠ Check"))))</f>
        <v/>
      </c>
    </row>
    <row r="291" ht="18" customHeight="1" s="46">
      <c r="A291" s="23" t="n">
        <v>287</v>
      </c>
      <c r="B291" s="24" t="inlineStr">
        <is>
          <t>BD-HNA-2025-0109</t>
        </is>
      </c>
      <c r="C291" s="25" t="inlineStr">
        <is>
          <t>Bonito Handles - T-134(S.H-ZP) - Rose Handle  - 120mm</t>
        </is>
      </c>
      <c r="D291" s="23" t="inlineStr">
        <is>
          <t>Bonito Handles</t>
        </is>
      </c>
      <c r="E291" s="43" t="n">
        <v>46125</v>
      </c>
      <c r="F291" s="26" t="inlineStr">
        <is>
          <t>Sunil CR</t>
        </is>
      </c>
      <c r="G291" s="44" t="inlineStr">
        <is>
          <t>Represented by Sample</t>
        </is>
      </c>
      <c r="H291" s="26" t="inlineStr">
        <is>
          <t>No</t>
        </is>
      </c>
      <c r="I291" s="44" t="inlineStr">
        <is>
          <t>Represented by Sample</t>
        </is>
      </c>
      <c r="J291" s="26" t="inlineStr">
        <is>
          <t>Yes</t>
        </is>
      </c>
      <c r="K291" s="27" t="n"/>
      <c r="L291" s="28" t="inlineStr">
        <is>
          <t>No</t>
        </is>
      </c>
      <c r="M291" s="29">
        <f>IF(E291="","",IF(H291="Yes","❌ Disc",IF(G291="No","⚠ Missing",IF(J291="Yes","✓ OK","⚠ Check"))))</f>
        <v/>
      </c>
      <c r="N291" s="43" t="n">
        <v>46196</v>
      </c>
      <c r="O291" s="26" t="inlineStr">
        <is>
          <t>Sunil CR</t>
        </is>
      </c>
      <c r="P291" s="44" t="inlineStr">
        <is>
          <t>Represented by Sample</t>
        </is>
      </c>
      <c r="Q291" s="26" t="inlineStr">
        <is>
          <t>No</t>
        </is>
      </c>
      <c r="R291" s="44" t="inlineStr">
        <is>
          <t>Represented by Sample</t>
        </is>
      </c>
      <c r="S291" s="26" t="inlineStr">
        <is>
          <t>Yes</t>
        </is>
      </c>
      <c r="T291" s="27" t="n"/>
      <c r="U291" s="28" t="inlineStr">
        <is>
          <t>No</t>
        </is>
      </c>
      <c r="V291" s="29">
        <f>IF(N291="","",IF(Q291="Yes","❌ Disc",IF(P291="No","⚠ Missing",IF(S291="Yes","✓ OK","⚠ Check"))))</f>
        <v/>
      </c>
      <c r="W291" s="65" t="n">
        <v>46248</v>
      </c>
      <c r="X291" s="30" t="inlineStr">
        <is>
          <t>Sunil CR</t>
        </is>
      </c>
      <c r="Y291" s="30" t="inlineStr">
        <is>
          <t>Represented by Sample</t>
        </is>
      </c>
      <c r="Z291" s="30" t="n"/>
      <c r="AA291" s="30" t="inlineStr">
        <is>
          <t>Represented by Sample</t>
        </is>
      </c>
      <c r="AB291" s="30" t="inlineStr">
        <is>
          <t>Yes</t>
        </is>
      </c>
      <c r="AC291" s="27" t="n"/>
      <c r="AD291" s="31" t="inlineStr">
        <is>
          <t>No</t>
        </is>
      </c>
      <c r="AE291" s="32">
        <f>IF(W291="","",IF(Z291="Yes","❌ Disc",IF(Y291="No","⚠ Missing",IF(AB291="Yes","✓ OK","⚠ Check"))))</f>
        <v/>
      </c>
      <c r="AF291" s="33" t="n"/>
      <c r="AG291" s="33" t="n"/>
      <c r="AH291" s="33" t="n"/>
      <c r="AI291" s="33" t="n"/>
      <c r="AJ291" s="33" t="n"/>
      <c r="AK291" s="33" t="n"/>
      <c r="AL291" s="27" t="n"/>
      <c r="AM291" s="34" t="n"/>
      <c r="AN291" s="35">
        <f>IF(AF291="","",IF(AI291="Yes","❌ Disc",IF(AH291="No","⚠ Missing",IF(AK291="Yes","✓ OK","⚠ Check"))))</f>
        <v/>
      </c>
      <c r="AO291" s="36" t="n"/>
      <c r="AP291" s="36" t="n"/>
      <c r="AQ291" s="36" t="n"/>
      <c r="AR291" s="36" t="n"/>
      <c r="AS291" s="36" t="n"/>
      <c r="AT291" s="36" t="n"/>
      <c r="AU291" s="27" t="n"/>
      <c r="AV291" s="37" t="n"/>
      <c r="AW291" s="38">
        <f>IF(AO291="","",IF(AR291="Yes","❌ Disc",IF(AQ291="No","⚠ Missing",IF(AT291="Yes","✓ OK","⚠ Check"))))</f>
        <v/>
      </c>
    </row>
    <row r="292" ht="18" customHeight="1" s="46">
      <c r="A292" s="39" t="n">
        <v>288</v>
      </c>
      <c r="B292" s="40" t="inlineStr">
        <is>
          <t>BD-HNA-2025-0110</t>
        </is>
      </c>
      <c r="C292" s="41" t="inlineStr">
        <is>
          <t>Bonito Handles - T-134(S.H-ZP) - Rose Handle  - 300mm</t>
        </is>
      </c>
      <c r="D292" s="39" t="inlineStr">
        <is>
          <t>Bonito Handles</t>
        </is>
      </c>
      <c r="E292" s="43" t="n">
        <v>46125</v>
      </c>
      <c r="F292" s="26" t="inlineStr">
        <is>
          <t>Sunil CR</t>
        </is>
      </c>
      <c r="G292" s="44" t="inlineStr">
        <is>
          <t>Represented by Sample</t>
        </is>
      </c>
      <c r="H292" s="26" t="inlineStr">
        <is>
          <t>No</t>
        </is>
      </c>
      <c r="I292" s="44" t="inlineStr">
        <is>
          <t>Represented by Sample</t>
        </is>
      </c>
      <c r="J292" s="26" t="inlineStr">
        <is>
          <t>Yes</t>
        </is>
      </c>
      <c r="K292" s="27" t="n"/>
      <c r="L292" s="28" t="inlineStr">
        <is>
          <t>No</t>
        </is>
      </c>
      <c r="M292" s="29">
        <f>IF(E292="","",IF(H292="Yes","❌ Disc",IF(G292="No","⚠ Missing",IF(J292="Yes","✓ OK","⚠ Check"))))</f>
        <v/>
      </c>
      <c r="N292" s="43" t="n">
        <v>46196</v>
      </c>
      <c r="O292" s="26" t="inlineStr">
        <is>
          <t>Sunil CR</t>
        </is>
      </c>
      <c r="P292" s="44" t="inlineStr">
        <is>
          <t>Represented by Sample</t>
        </is>
      </c>
      <c r="Q292" s="26" t="inlineStr">
        <is>
          <t>No</t>
        </is>
      </c>
      <c r="R292" s="44" t="inlineStr">
        <is>
          <t>Represented by Sample</t>
        </is>
      </c>
      <c r="S292" s="26" t="inlineStr">
        <is>
          <t>Yes</t>
        </is>
      </c>
      <c r="T292" s="27" t="n"/>
      <c r="U292" s="28" t="inlineStr">
        <is>
          <t>No</t>
        </is>
      </c>
      <c r="V292" s="29">
        <f>IF(N292="","",IF(Q292="Yes","❌ Disc",IF(P292="No","⚠ Missing",IF(S292="Yes","✓ OK","⚠ Check"))))</f>
        <v/>
      </c>
      <c r="W292" s="65" t="n">
        <v>46248</v>
      </c>
      <c r="X292" s="30" t="inlineStr">
        <is>
          <t>Sunil CR</t>
        </is>
      </c>
      <c r="Y292" s="30" t="inlineStr">
        <is>
          <t>Represented by Sample</t>
        </is>
      </c>
      <c r="Z292" s="30" t="n"/>
      <c r="AA292" s="30" t="inlineStr">
        <is>
          <t>Represented by Sample</t>
        </is>
      </c>
      <c r="AB292" s="30" t="inlineStr">
        <is>
          <t>Yes</t>
        </is>
      </c>
      <c r="AC292" s="27" t="n"/>
      <c r="AD292" s="31" t="inlineStr">
        <is>
          <t>No</t>
        </is>
      </c>
      <c r="AE292" s="32">
        <f>IF(W292="","",IF(Z292="Yes","❌ Disc",IF(Y292="No","⚠ Missing",IF(AB292="Yes","✓ OK","⚠ Check"))))</f>
        <v/>
      </c>
      <c r="AF292" s="33" t="n"/>
      <c r="AG292" s="33" t="n"/>
      <c r="AH292" s="33" t="n"/>
      <c r="AI292" s="33" t="n"/>
      <c r="AJ292" s="33" t="n"/>
      <c r="AK292" s="33" t="n"/>
      <c r="AL292" s="27" t="n"/>
      <c r="AM292" s="34" t="n"/>
      <c r="AN292" s="35">
        <f>IF(AF292="","",IF(AI292="Yes","❌ Disc",IF(AH292="No","⚠ Missing",IF(AK292="Yes","✓ OK","⚠ Check"))))</f>
        <v/>
      </c>
      <c r="AO292" s="36" t="n"/>
      <c r="AP292" s="36" t="n"/>
      <c r="AQ292" s="36" t="n"/>
      <c r="AR292" s="36" t="n"/>
      <c r="AS292" s="36" t="n"/>
      <c r="AT292" s="36" t="n"/>
      <c r="AU292" s="27" t="n"/>
      <c r="AV292" s="37" t="n"/>
      <c r="AW292" s="38">
        <f>IF(AO292="","",IF(AR292="Yes","❌ Disc",IF(AQ292="No","⚠ Missing",IF(AT292="Yes","✓ OK","⚠ Check"))))</f>
        <v/>
      </c>
    </row>
    <row r="293" ht="18" customHeight="1" s="46">
      <c r="A293" s="23" t="n">
        <v>289</v>
      </c>
      <c r="B293" s="24" t="inlineStr">
        <is>
          <t>BD-HNA-2025-0100</t>
        </is>
      </c>
      <c r="C293" s="25" t="inlineStr">
        <is>
          <t>Bonito Handles - T-5537(S.H-ZP) - PVD Black Handle  - 450mm</t>
        </is>
      </c>
      <c r="D293" s="23" t="inlineStr">
        <is>
          <t>Bonito Handles</t>
        </is>
      </c>
      <c r="E293" s="43" t="n">
        <v>46125</v>
      </c>
      <c r="F293" s="26" t="inlineStr">
        <is>
          <t>Sunil CR</t>
        </is>
      </c>
      <c r="G293" s="44" t="inlineStr">
        <is>
          <t>Represented by Sample</t>
        </is>
      </c>
      <c r="H293" s="26" t="inlineStr">
        <is>
          <t>No</t>
        </is>
      </c>
      <c r="I293" s="44" t="inlineStr">
        <is>
          <t>Represented by Sample</t>
        </is>
      </c>
      <c r="J293" s="26" t="inlineStr">
        <is>
          <t>Yes</t>
        </is>
      </c>
      <c r="K293" s="27" t="n"/>
      <c r="L293" s="28" t="inlineStr">
        <is>
          <t>No</t>
        </is>
      </c>
      <c r="M293" s="29">
        <f>IF(E293="","",IF(H293="Yes","❌ Disc",IF(G293="No","⚠ Missing",IF(J293="Yes","✓ OK","⚠ Check"))))</f>
        <v/>
      </c>
      <c r="N293" s="43" t="n">
        <v>46196</v>
      </c>
      <c r="O293" s="26" t="inlineStr">
        <is>
          <t>Sunil CR</t>
        </is>
      </c>
      <c r="P293" s="44" t="inlineStr">
        <is>
          <t>Represented by Sample</t>
        </is>
      </c>
      <c r="Q293" s="26" t="inlineStr">
        <is>
          <t>No</t>
        </is>
      </c>
      <c r="R293" s="44" t="inlineStr">
        <is>
          <t>Represented by Sample</t>
        </is>
      </c>
      <c r="S293" s="26" t="inlineStr">
        <is>
          <t>Yes</t>
        </is>
      </c>
      <c r="T293" s="27" t="n"/>
      <c r="U293" s="28" t="inlineStr">
        <is>
          <t>No</t>
        </is>
      </c>
      <c r="V293" s="29">
        <f>IF(N293="","",IF(Q293="Yes","❌ Disc",IF(P293="No","⚠ Missing",IF(S293="Yes","✓ OK","⚠ Check"))))</f>
        <v/>
      </c>
      <c r="W293" s="65" t="n">
        <v>46248</v>
      </c>
      <c r="X293" s="30" t="inlineStr">
        <is>
          <t>Sunil CR</t>
        </is>
      </c>
      <c r="Y293" s="30" t="inlineStr">
        <is>
          <t>Represented by Sample</t>
        </is>
      </c>
      <c r="Z293" s="30" t="n"/>
      <c r="AA293" s="30" t="inlineStr">
        <is>
          <t>Represented by Sample</t>
        </is>
      </c>
      <c r="AB293" s="30" t="inlineStr">
        <is>
          <t>Yes</t>
        </is>
      </c>
      <c r="AC293" s="27" t="n"/>
      <c r="AD293" s="31" t="inlineStr">
        <is>
          <t>No</t>
        </is>
      </c>
      <c r="AE293" s="32">
        <f>IF(W293="","",IF(Z293="Yes","❌ Disc",IF(Y293="No","⚠ Missing",IF(AB293="Yes","✓ OK","⚠ Check"))))</f>
        <v/>
      </c>
      <c r="AF293" s="33" t="n"/>
      <c r="AG293" s="33" t="n"/>
      <c r="AH293" s="33" t="n"/>
      <c r="AI293" s="33" t="n"/>
      <c r="AJ293" s="33" t="n"/>
      <c r="AK293" s="33" t="n"/>
      <c r="AL293" s="27" t="n"/>
      <c r="AM293" s="34" t="n"/>
      <c r="AN293" s="35">
        <f>IF(AF293="","",IF(AI293="Yes","❌ Disc",IF(AH293="No","⚠ Missing",IF(AK293="Yes","✓ OK","⚠ Check"))))</f>
        <v/>
      </c>
      <c r="AO293" s="36" t="n"/>
      <c r="AP293" s="36" t="n"/>
      <c r="AQ293" s="36" t="n"/>
      <c r="AR293" s="36" t="n"/>
      <c r="AS293" s="36" t="n"/>
      <c r="AT293" s="36" t="n"/>
      <c r="AU293" s="27" t="n"/>
      <c r="AV293" s="37" t="n"/>
      <c r="AW293" s="38">
        <f>IF(AO293="","",IF(AR293="Yes","❌ Disc",IF(AQ293="No","⚠ Missing",IF(AT293="Yes","✓ OK","⚠ Check"))))</f>
        <v/>
      </c>
    </row>
    <row r="294" ht="18" customHeight="1" s="46">
      <c r="A294" s="39" t="n">
        <v>290</v>
      </c>
      <c r="B294" s="40" t="inlineStr">
        <is>
          <t>BD-HNA-2025-0098</t>
        </is>
      </c>
      <c r="C294" s="41" t="inlineStr">
        <is>
          <t>Bonito Handles - T-5537(S.H-ZP) - PVD Gold Handle  - 450mm</t>
        </is>
      </c>
      <c r="D294" s="39" t="inlineStr">
        <is>
          <t>Bonito Handles</t>
        </is>
      </c>
      <c r="E294" s="43" t="n">
        <v>46125</v>
      </c>
      <c r="F294" s="26" t="inlineStr">
        <is>
          <t>Sunil CR</t>
        </is>
      </c>
      <c r="G294" s="44" t="inlineStr">
        <is>
          <t>Yes</t>
        </is>
      </c>
      <c r="H294" s="26" t="inlineStr">
        <is>
          <t>No</t>
        </is>
      </c>
      <c r="I294" s="44" t="inlineStr">
        <is>
          <t>Good finish</t>
        </is>
      </c>
      <c r="J294" s="26" t="inlineStr">
        <is>
          <t>Yes</t>
        </is>
      </c>
      <c r="K294" s="27" t="n"/>
      <c r="L294" s="28" t="inlineStr">
        <is>
          <t>No</t>
        </is>
      </c>
      <c r="M294" s="29">
        <f>IF(E294="","",IF(H294="Yes","❌ Disc",IF(G294="No","⚠ Missing",IF(J294="Yes","✓ OK","⚠ Check"))))</f>
        <v/>
      </c>
      <c r="N294" s="43" t="n">
        <v>46196</v>
      </c>
      <c r="O294" s="26" t="inlineStr">
        <is>
          <t>Sunil CR</t>
        </is>
      </c>
      <c r="P294" s="44" t="inlineStr">
        <is>
          <t>Yes</t>
        </is>
      </c>
      <c r="Q294" s="26" t="inlineStr">
        <is>
          <t>No</t>
        </is>
      </c>
      <c r="R294" s="44" t="inlineStr">
        <is>
          <t>Good finish</t>
        </is>
      </c>
      <c r="S294" s="26" t="inlineStr">
        <is>
          <t>Yes</t>
        </is>
      </c>
      <c r="T294" s="27" t="n"/>
      <c r="U294" s="28" t="inlineStr">
        <is>
          <t>No</t>
        </is>
      </c>
      <c r="V294" s="29">
        <f>IF(N294="","",IF(Q294="Yes","❌ Disc",IF(P294="No","⚠ Missing",IF(S294="Yes","✓ OK","⚠ Check"))))</f>
        <v/>
      </c>
      <c r="W294" s="65" t="n">
        <v>46248</v>
      </c>
      <c r="X294" s="30" t="inlineStr">
        <is>
          <t>Sunil CR</t>
        </is>
      </c>
      <c r="Y294" s="30" t="inlineStr">
        <is>
          <t>Yes</t>
        </is>
      </c>
      <c r="Z294" s="30" t="n"/>
      <c r="AA294" s="30" t="inlineStr">
        <is>
          <t>Good finish</t>
        </is>
      </c>
      <c r="AB294" s="30" t="inlineStr">
        <is>
          <t>Yes</t>
        </is>
      </c>
      <c r="AC294" s="27" t="n"/>
      <c r="AD294" s="31" t="inlineStr">
        <is>
          <t>No</t>
        </is>
      </c>
      <c r="AE294" s="32">
        <f>IF(W294="","",IF(Z294="Yes","❌ Disc",IF(Y294="No","⚠ Missing",IF(AB294="Yes","✓ OK","⚠ Check"))))</f>
        <v/>
      </c>
      <c r="AF294" s="33" t="n"/>
      <c r="AG294" s="33" t="n"/>
      <c r="AH294" s="33" t="n"/>
      <c r="AI294" s="33" t="n"/>
      <c r="AJ294" s="33" t="n"/>
      <c r="AK294" s="33" t="n"/>
      <c r="AL294" s="27" t="n"/>
      <c r="AM294" s="34" t="n"/>
      <c r="AN294" s="35">
        <f>IF(AF294="","",IF(AI294="Yes","❌ Disc",IF(AH294="No","⚠ Missing",IF(AK294="Yes","✓ OK","⚠ Check"))))</f>
        <v/>
      </c>
      <c r="AO294" s="36" t="n"/>
      <c r="AP294" s="36" t="n"/>
      <c r="AQ294" s="36" t="n"/>
      <c r="AR294" s="36" t="n"/>
      <c r="AS294" s="36" t="n"/>
      <c r="AT294" s="36" t="n"/>
      <c r="AU294" s="27" t="n"/>
      <c r="AV294" s="37" t="n"/>
      <c r="AW294" s="38">
        <f>IF(AO294="","",IF(AR294="Yes","❌ Disc",IF(AQ294="No","⚠ Missing",IF(AT294="Yes","✓ OK","⚠ Check"))))</f>
        <v/>
      </c>
    </row>
    <row r="295" ht="18" customHeight="1" s="46">
      <c r="A295" s="23" t="n">
        <v>291</v>
      </c>
      <c r="B295" s="24" t="inlineStr">
        <is>
          <t>BD-HNA-2025-0099</t>
        </is>
      </c>
      <c r="C295" s="25" t="inlineStr">
        <is>
          <t>Bonito Handles - T-5537(S.H-ZP) - Rose Gold Handle  - 450mm</t>
        </is>
      </c>
      <c r="D295" s="23" t="inlineStr">
        <is>
          <t>Bonito Handles</t>
        </is>
      </c>
      <c r="E295" s="43" t="n">
        <v>46125</v>
      </c>
      <c r="F295" s="26" t="inlineStr">
        <is>
          <t>Sunil CR</t>
        </is>
      </c>
      <c r="G295" s="44" t="inlineStr">
        <is>
          <t>Represented by Sample</t>
        </is>
      </c>
      <c r="H295" s="26" t="inlineStr">
        <is>
          <t>No</t>
        </is>
      </c>
      <c r="I295" s="44" t="inlineStr">
        <is>
          <t>Represented by Sample</t>
        </is>
      </c>
      <c r="J295" s="26" t="inlineStr">
        <is>
          <t>Yes</t>
        </is>
      </c>
      <c r="K295" s="27" t="n"/>
      <c r="L295" s="28" t="inlineStr">
        <is>
          <t>No</t>
        </is>
      </c>
      <c r="M295" s="29">
        <f>IF(E295="","",IF(H295="Yes","❌ Disc",IF(G295="No","⚠ Missing",IF(J295="Yes","✓ OK","⚠ Check"))))</f>
        <v/>
      </c>
      <c r="N295" s="43" t="n">
        <v>46196</v>
      </c>
      <c r="O295" s="26" t="inlineStr">
        <is>
          <t>Sunil CR</t>
        </is>
      </c>
      <c r="P295" s="44" t="inlineStr">
        <is>
          <t>Represented by Sample</t>
        </is>
      </c>
      <c r="Q295" s="26" t="inlineStr">
        <is>
          <t>No</t>
        </is>
      </c>
      <c r="R295" s="44" t="inlineStr">
        <is>
          <t>Represented by Sample</t>
        </is>
      </c>
      <c r="S295" s="26" t="inlineStr">
        <is>
          <t>Yes</t>
        </is>
      </c>
      <c r="T295" s="27" t="n"/>
      <c r="U295" s="28" t="inlineStr">
        <is>
          <t>No</t>
        </is>
      </c>
      <c r="V295" s="29">
        <f>IF(N295="","",IF(Q295="Yes","❌ Disc",IF(P295="No","⚠ Missing",IF(S295="Yes","✓ OK","⚠ Check"))))</f>
        <v/>
      </c>
      <c r="W295" s="65" t="n">
        <v>46248</v>
      </c>
      <c r="X295" s="30" t="inlineStr">
        <is>
          <t>Sunil CR</t>
        </is>
      </c>
      <c r="Y295" s="30" t="inlineStr">
        <is>
          <t>Represented by Sample</t>
        </is>
      </c>
      <c r="Z295" s="30" t="n"/>
      <c r="AA295" s="30" t="inlineStr">
        <is>
          <t>Represented by Sample</t>
        </is>
      </c>
      <c r="AB295" s="30" t="inlineStr">
        <is>
          <t>Yes</t>
        </is>
      </c>
      <c r="AC295" s="27" t="n"/>
      <c r="AD295" s="31" t="inlineStr">
        <is>
          <t>No</t>
        </is>
      </c>
      <c r="AE295" s="32">
        <f>IF(W295="","",IF(Z295="Yes","❌ Disc",IF(Y295="No","⚠ Missing",IF(AB295="Yes","✓ OK","⚠ Check"))))</f>
        <v/>
      </c>
      <c r="AF295" s="33" t="n"/>
      <c r="AG295" s="33" t="n"/>
      <c r="AH295" s="33" t="n"/>
      <c r="AI295" s="33" t="n"/>
      <c r="AJ295" s="33" t="n"/>
      <c r="AK295" s="33" t="n"/>
      <c r="AL295" s="27" t="n"/>
      <c r="AM295" s="34" t="n"/>
      <c r="AN295" s="35">
        <f>IF(AF295="","",IF(AI295="Yes","❌ Disc",IF(AH295="No","⚠ Missing",IF(AK295="Yes","✓ OK","⚠ Check"))))</f>
        <v/>
      </c>
      <c r="AO295" s="36" t="n"/>
      <c r="AP295" s="36" t="n"/>
      <c r="AQ295" s="36" t="n"/>
      <c r="AR295" s="36" t="n"/>
      <c r="AS295" s="36" t="n"/>
      <c r="AT295" s="36" t="n"/>
      <c r="AU295" s="27" t="n"/>
      <c r="AV295" s="37" t="n"/>
      <c r="AW295" s="38">
        <f>IF(AO295="","",IF(AR295="Yes","❌ Disc",IF(AQ295="No","⚠ Missing",IF(AT295="Yes","✓ OK","⚠ Check"))))</f>
        <v/>
      </c>
    </row>
    <row r="296" ht="18" customHeight="1" s="46">
      <c r="A296" s="39" t="n">
        <v>292</v>
      </c>
      <c r="B296" s="40" t="inlineStr">
        <is>
          <t>BD-HNA-2025-0411</t>
        </is>
      </c>
      <c r="C296" s="41" t="inlineStr">
        <is>
          <t>Bonito Handles - T-5538(S.H-ZP) - Black Concealed Handle - 200mm</t>
        </is>
      </c>
      <c r="D296" s="39" t="inlineStr">
        <is>
          <t>Bonito Handles</t>
        </is>
      </c>
      <c r="E296" s="43" t="n">
        <v>46125</v>
      </c>
      <c r="F296" s="26" t="inlineStr">
        <is>
          <t>Sunil CR</t>
        </is>
      </c>
      <c r="G296" s="44" t="inlineStr">
        <is>
          <t>Represented by Sample</t>
        </is>
      </c>
      <c r="H296" s="26" t="inlineStr">
        <is>
          <t>No</t>
        </is>
      </c>
      <c r="I296" s="44" t="inlineStr">
        <is>
          <t>Represented by Sample</t>
        </is>
      </c>
      <c r="J296" s="26" t="inlineStr">
        <is>
          <t>Yes</t>
        </is>
      </c>
      <c r="K296" s="27" t="n"/>
      <c r="L296" s="28" t="inlineStr">
        <is>
          <t>No</t>
        </is>
      </c>
      <c r="M296" s="29">
        <f>IF(E296="","",IF(H296="Yes","❌ Disc",IF(G296="No","⚠ Missing",IF(J296="Yes","✓ OK","⚠ Check"))))</f>
        <v/>
      </c>
      <c r="N296" s="43" t="n">
        <v>46196</v>
      </c>
      <c r="O296" s="26" t="inlineStr">
        <is>
          <t>Sunil CR</t>
        </is>
      </c>
      <c r="P296" s="44" t="inlineStr">
        <is>
          <t>Represented by Sample</t>
        </is>
      </c>
      <c r="Q296" s="26" t="inlineStr">
        <is>
          <t>No</t>
        </is>
      </c>
      <c r="R296" s="44" t="inlineStr">
        <is>
          <t>Represented by Sample</t>
        </is>
      </c>
      <c r="S296" s="26" t="inlineStr">
        <is>
          <t>Yes</t>
        </is>
      </c>
      <c r="T296" s="27" t="n"/>
      <c r="U296" s="28" t="inlineStr">
        <is>
          <t>No</t>
        </is>
      </c>
      <c r="V296" s="29">
        <f>IF(N296="","",IF(Q296="Yes","❌ Disc",IF(P296="No","⚠ Missing",IF(S296="Yes","✓ OK","⚠ Check"))))</f>
        <v/>
      </c>
      <c r="W296" s="65" t="n">
        <v>46248</v>
      </c>
      <c r="X296" s="30" t="inlineStr">
        <is>
          <t>Sunil CR</t>
        </is>
      </c>
      <c r="Y296" s="30" t="inlineStr">
        <is>
          <t>Represented by Sample</t>
        </is>
      </c>
      <c r="Z296" s="30" t="n"/>
      <c r="AA296" s="30" t="inlineStr">
        <is>
          <t>Represented by Sample</t>
        </is>
      </c>
      <c r="AB296" s="30" t="inlineStr">
        <is>
          <t>Yes</t>
        </is>
      </c>
      <c r="AC296" s="27" t="n"/>
      <c r="AD296" s="31" t="inlineStr">
        <is>
          <t>No</t>
        </is>
      </c>
      <c r="AE296" s="32">
        <f>IF(W296="","",IF(Z296="Yes","❌ Disc",IF(Y296="No","⚠ Missing",IF(AB296="Yes","✓ OK","⚠ Check"))))</f>
        <v/>
      </c>
      <c r="AF296" s="33" t="n"/>
      <c r="AG296" s="33" t="n"/>
      <c r="AH296" s="33" t="n"/>
      <c r="AI296" s="33" t="n"/>
      <c r="AJ296" s="33" t="n"/>
      <c r="AK296" s="33" t="n"/>
      <c r="AL296" s="27" t="n"/>
      <c r="AM296" s="34" t="n"/>
      <c r="AN296" s="35">
        <f>IF(AF296="","",IF(AI296="Yes","❌ Disc",IF(AH296="No","⚠ Missing",IF(AK296="Yes","✓ OK","⚠ Check"))))</f>
        <v/>
      </c>
      <c r="AO296" s="36" t="n"/>
      <c r="AP296" s="36" t="n"/>
      <c r="AQ296" s="36" t="n"/>
      <c r="AR296" s="36" t="n"/>
      <c r="AS296" s="36" t="n"/>
      <c r="AT296" s="36" t="n"/>
      <c r="AU296" s="27" t="n"/>
      <c r="AV296" s="37" t="n"/>
      <c r="AW296" s="38">
        <f>IF(AO296="","",IF(AR296="Yes","❌ Disc",IF(AQ296="No","⚠ Missing",IF(AT296="Yes","✓ OK","⚠ Check"))))</f>
        <v/>
      </c>
    </row>
    <row r="297" ht="18" customHeight="1" s="46">
      <c r="A297" s="23" t="n">
        <v>293</v>
      </c>
      <c r="B297" s="24" t="inlineStr">
        <is>
          <t>BD-HNA-2025-0412</t>
        </is>
      </c>
      <c r="C297" s="25" t="inlineStr">
        <is>
          <t>Bonito Handles - T-5538(S.H-ZP) - Black Concealed Handle - 300mm</t>
        </is>
      </c>
      <c r="D297" s="23" t="inlineStr">
        <is>
          <t>Bonito Handles</t>
        </is>
      </c>
      <c r="E297" s="43" t="n">
        <v>46125</v>
      </c>
      <c r="F297" s="26" t="inlineStr">
        <is>
          <t>Sunil CR</t>
        </is>
      </c>
      <c r="G297" s="44" t="inlineStr">
        <is>
          <t>Represented by Sample</t>
        </is>
      </c>
      <c r="H297" s="26" t="inlineStr">
        <is>
          <t>No</t>
        </is>
      </c>
      <c r="I297" s="44" t="inlineStr">
        <is>
          <t>Represented by Sample</t>
        </is>
      </c>
      <c r="J297" s="26" t="inlineStr">
        <is>
          <t>Yes</t>
        </is>
      </c>
      <c r="K297" s="27" t="n"/>
      <c r="L297" s="28" t="inlineStr">
        <is>
          <t>No</t>
        </is>
      </c>
      <c r="M297" s="29">
        <f>IF(E297="","",IF(H297="Yes","❌ Disc",IF(G297="No","⚠ Missing",IF(J297="Yes","✓ OK","⚠ Check"))))</f>
        <v/>
      </c>
      <c r="N297" s="43" t="n">
        <v>46196</v>
      </c>
      <c r="O297" s="26" t="inlineStr">
        <is>
          <t>Sunil CR</t>
        </is>
      </c>
      <c r="P297" s="44" t="inlineStr">
        <is>
          <t>Represented by Sample</t>
        </is>
      </c>
      <c r="Q297" s="26" t="inlineStr">
        <is>
          <t>No</t>
        </is>
      </c>
      <c r="R297" s="44" t="inlineStr">
        <is>
          <t>Represented by Sample</t>
        </is>
      </c>
      <c r="S297" s="26" t="inlineStr">
        <is>
          <t>Yes</t>
        </is>
      </c>
      <c r="T297" s="27" t="n"/>
      <c r="U297" s="28" t="inlineStr">
        <is>
          <t>No</t>
        </is>
      </c>
      <c r="V297" s="29">
        <f>IF(N297="","",IF(Q297="Yes","❌ Disc",IF(P297="No","⚠ Missing",IF(S297="Yes","✓ OK","⚠ Check"))))</f>
        <v/>
      </c>
      <c r="W297" s="65" t="n">
        <v>46248</v>
      </c>
      <c r="X297" s="30" t="inlineStr">
        <is>
          <t>Sunil CR</t>
        </is>
      </c>
      <c r="Y297" s="30" t="inlineStr">
        <is>
          <t>Represented by Sample</t>
        </is>
      </c>
      <c r="Z297" s="30" t="n"/>
      <c r="AA297" s="30" t="inlineStr">
        <is>
          <t>Represented by Sample</t>
        </is>
      </c>
      <c r="AB297" s="30" t="inlineStr">
        <is>
          <t>Yes</t>
        </is>
      </c>
      <c r="AC297" s="27" t="n"/>
      <c r="AD297" s="31" t="inlineStr">
        <is>
          <t>No</t>
        </is>
      </c>
      <c r="AE297" s="32">
        <f>IF(W297="","",IF(Z297="Yes","❌ Disc",IF(Y297="No","⚠ Missing",IF(AB297="Yes","✓ OK","⚠ Check"))))</f>
        <v/>
      </c>
      <c r="AF297" s="33" t="n"/>
      <c r="AG297" s="33" t="n"/>
      <c r="AH297" s="33" t="n"/>
      <c r="AI297" s="33" t="n"/>
      <c r="AJ297" s="33" t="n"/>
      <c r="AK297" s="33" t="n"/>
      <c r="AL297" s="27" t="n"/>
      <c r="AM297" s="34" t="n"/>
      <c r="AN297" s="35">
        <f>IF(AF297="","",IF(AI297="Yes","❌ Disc",IF(AH297="No","⚠ Missing",IF(AK297="Yes","✓ OK","⚠ Check"))))</f>
        <v/>
      </c>
      <c r="AO297" s="36" t="n"/>
      <c r="AP297" s="36" t="n"/>
      <c r="AQ297" s="36" t="n"/>
      <c r="AR297" s="36" t="n"/>
      <c r="AS297" s="36" t="n"/>
      <c r="AT297" s="36" t="n"/>
      <c r="AU297" s="27" t="n"/>
      <c r="AV297" s="37" t="n"/>
      <c r="AW297" s="38">
        <f>IF(AO297="","",IF(AR297="Yes","❌ Disc",IF(AQ297="No","⚠ Missing",IF(AT297="Yes","✓ OK","⚠ Check"))))</f>
        <v/>
      </c>
    </row>
    <row r="298" ht="18" customHeight="1" s="46">
      <c r="A298" s="39" t="n">
        <v>294</v>
      </c>
      <c r="B298" s="40" t="inlineStr">
        <is>
          <t>BD-HNA-2025-0415</t>
        </is>
      </c>
      <c r="C298" s="41" t="inlineStr">
        <is>
          <t>Bonito Handles - T-5538(S.H-ZP) - Gold Concealed Handle - 200mm</t>
        </is>
      </c>
      <c r="D298" s="39" t="inlineStr">
        <is>
          <t>Bonito Handles</t>
        </is>
      </c>
      <c r="E298" s="43" t="n">
        <v>46125</v>
      </c>
      <c r="F298" s="26" t="inlineStr">
        <is>
          <t>Sunil CR</t>
        </is>
      </c>
      <c r="G298" s="44" t="inlineStr">
        <is>
          <t>Represented by Sample</t>
        </is>
      </c>
      <c r="H298" s="26" t="inlineStr">
        <is>
          <t>No</t>
        </is>
      </c>
      <c r="I298" s="44" t="inlineStr">
        <is>
          <t>Represented by Sample</t>
        </is>
      </c>
      <c r="J298" s="26" t="inlineStr">
        <is>
          <t>Yes</t>
        </is>
      </c>
      <c r="K298" s="27" t="n"/>
      <c r="L298" s="28" t="inlineStr">
        <is>
          <t>No</t>
        </is>
      </c>
      <c r="M298" s="29">
        <f>IF(E298="","",IF(H298="Yes","❌ Disc",IF(G298="No","⚠ Missing",IF(J298="Yes","✓ OK","⚠ Check"))))</f>
        <v/>
      </c>
      <c r="N298" s="43" t="n">
        <v>46196</v>
      </c>
      <c r="O298" s="26" t="inlineStr">
        <is>
          <t>Sunil CR</t>
        </is>
      </c>
      <c r="P298" s="44" t="inlineStr">
        <is>
          <t>Represented by Sample</t>
        </is>
      </c>
      <c r="Q298" s="26" t="inlineStr">
        <is>
          <t>No</t>
        </is>
      </c>
      <c r="R298" s="44" t="inlineStr">
        <is>
          <t>Represented by Sample</t>
        </is>
      </c>
      <c r="S298" s="26" t="inlineStr">
        <is>
          <t>Yes</t>
        </is>
      </c>
      <c r="T298" s="27" t="n"/>
      <c r="U298" s="28" t="inlineStr">
        <is>
          <t>No</t>
        </is>
      </c>
      <c r="V298" s="29">
        <f>IF(N298="","",IF(Q298="Yes","❌ Disc",IF(P298="No","⚠ Missing",IF(S298="Yes","✓ OK","⚠ Check"))))</f>
        <v/>
      </c>
      <c r="W298" s="65" t="n">
        <v>46248</v>
      </c>
      <c r="X298" s="30" t="inlineStr">
        <is>
          <t>Sunil CR</t>
        </is>
      </c>
      <c r="Y298" s="30" t="inlineStr">
        <is>
          <t>Represented by Sample</t>
        </is>
      </c>
      <c r="Z298" s="30" t="n"/>
      <c r="AA298" s="30" t="inlineStr">
        <is>
          <t>Represented by Sample</t>
        </is>
      </c>
      <c r="AB298" s="30" t="inlineStr">
        <is>
          <t>Yes</t>
        </is>
      </c>
      <c r="AC298" s="27" t="n"/>
      <c r="AD298" s="31" t="inlineStr">
        <is>
          <t>No</t>
        </is>
      </c>
      <c r="AE298" s="32">
        <f>IF(W298="","",IF(Z298="Yes","❌ Disc",IF(Y298="No","⚠ Missing",IF(AB298="Yes","✓ OK","⚠ Check"))))</f>
        <v/>
      </c>
      <c r="AF298" s="33" t="n"/>
      <c r="AG298" s="33" t="n"/>
      <c r="AH298" s="33" t="n"/>
      <c r="AI298" s="33" t="n"/>
      <c r="AJ298" s="33" t="n"/>
      <c r="AK298" s="33" t="n"/>
      <c r="AL298" s="27" t="n"/>
      <c r="AM298" s="34" t="n"/>
      <c r="AN298" s="35">
        <f>IF(AF298="","",IF(AI298="Yes","❌ Disc",IF(AH298="No","⚠ Missing",IF(AK298="Yes","✓ OK","⚠ Check"))))</f>
        <v/>
      </c>
      <c r="AO298" s="36" t="n"/>
      <c r="AP298" s="36" t="n"/>
      <c r="AQ298" s="36" t="n"/>
      <c r="AR298" s="36" t="n"/>
      <c r="AS298" s="36" t="n"/>
      <c r="AT298" s="36" t="n"/>
      <c r="AU298" s="27" t="n"/>
      <c r="AV298" s="37" t="n"/>
      <c r="AW298" s="38">
        <f>IF(AO298="","",IF(AR298="Yes","❌ Disc",IF(AQ298="No","⚠ Missing",IF(AT298="Yes","✓ OK","⚠ Check"))))</f>
        <v/>
      </c>
    </row>
    <row r="299" ht="18" customHeight="1" s="46">
      <c r="A299" s="23" t="n">
        <v>295</v>
      </c>
      <c r="B299" s="24" t="inlineStr">
        <is>
          <t>BD-HNA-2025-0416</t>
        </is>
      </c>
      <c r="C299" s="25" t="inlineStr">
        <is>
          <t>Bonito Handles - T-5538(S.H-ZP) - Gold Concealed Handle - 300mm</t>
        </is>
      </c>
      <c r="D299" s="23" t="inlineStr">
        <is>
          <t>Bonito Handles</t>
        </is>
      </c>
      <c r="E299" s="43" t="n">
        <v>46125</v>
      </c>
      <c r="F299" s="26" t="inlineStr">
        <is>
          <t>Sunil CR</t>
        </is>
      </c>
      <c r="G299" s="44" t="inlineStr">
        <is>
          <t>Represented by Sample</t>
        </is>
      </c>
      <c r="H299" s="26" t="inlineStr">
        <is>
          <t>No</t>
        </is>
      </c>
      <c r="I299" s="44" t="inlineStr">
        <is>
          <t>Represented by Sample</t>
        </is>
      </c>
      <c r="J299" s="26" t="inlineStr">
        <is>
          <t>Yes</t>
        </is>
      </c>
      <c r="K299" s="27" t="n"/>
      <c r="L299" s="28" t="inlineStr">
        <is>
          <t>No</t>
        </is>
      </c>
      <c r="M299" s="29">
        <f>IF(E299="","",IF(H299="Yes","❌ Disc",IF(G299="No","⚠ Missing",IF(J299="Yes","✓ OK","⚠ Check"))))</f>
        <v/>
      </c>
      <c r="N299" s="43" t="n">
        <v>46196</v>
      </c>
      <c r="O299" s="26" t="inlineStr">
        <is>
          <t>Sunil CR</t>
        </is>
      </c>
      <c r="P299" s="44" t="inlineStr">
        <is>
          <t>Represented by Sample</t>
        </is>
      </c>
      <c r="Q299" s="26" t="inlineStr">
        <is>
          <t>No</t>
        </is>
      </c>
      <c r="R299" s="44" t="inlineStr">
        <is>
          <t>Represented by Sample</t>
        </is>
      </c>
      <c r="S299" s="26" t="inlineStr">
        <is>
          <t>Yes</t>
        </is>
      </c>
      <c r="T299" s="27" t="n"/>
      <c r="U299" s="28" t="inlineStr">
        <is>
          <t>No</t>
        </is>
      </c>
      <c r="V299" s="29">
        <f>IF(N299="","",IF(Q299="Yes","❌ Disc",IF(P299="No","⚠ Missing",IF(S299="Yes","✓ OK","⚠ Check"))))</f>
        <v/>
      </c>
      <c r="W299" s="65" t="n">
        <v>46248</v>
      </c>
      <c r="X299" s="30" t="inlineStr">
        <is>
          <t>Sunil CR</t>
        </is>
      </c>
      <c r="Y299" s="30" t="inlineStr">
        <is>
          <t>Represented by Sample</t>
        </is>
      </c>
      <c r="Z299" s="30" t="n"/>
      <c r="AA299" s="30" t="inlineStr">
        <is>
          <t>Represented by Sample</t>
        </is>
      </c>
      <c r="AB299" s="30" t="inlineStr">
        <is>
          <t>Yes</t>
        </is>
      </c>
      <c r="AC299" s="27" t="n"/>
      <c r="AD299" s="31" t="inlineStr">
        <is>
          <t>No</t>
        </is>
      </c>
      <c r="AE299" s="32">
        <f>IF(W299="","",IF(Z299="Yes","❌ Disc",IF(Y299="No","⚠ Missing",IF(AB299="Yes","✓ OK","⚠ Check"))))</f>
        <v/>
      </c>
      <c r="AF299" s="33" t="n"/>
      <c r="AG299" s="33" t="n"/>
      <c r="AH299" s="33" t="n"/>
      <c r="AI299" s="33" t="n"/>
      <c r="AJ299" s="33" t="n"/>
      <c r="AK299" s="33" t="n"/>
      <c r="AL299" s="27" t="n"/>
      <c r="AM299" s="34" t="n"/>
      <c r="AN299" s="35">
        <f>IF(AF299="","",IF(AI299="Yes","❌ Disc",IF(AH299="No","⚠ Missing",IF(AK299="Yes","✓ OK","⚠ Check"))))</f>
        <v/>
      </c>
      <c r="AO299" s="36" t="n"/>
      <c r="AP299" s="36" t="n"/>
      <c r="AQ299" s="36" t="n"/>
      <c r="AR299" s="36" t="n"/>
      <c r="AS299" s="36" t="n"/>
      <c r="AT299" s="36" t="n"/>
      <c r="AU299" s="27" t="n"/>
      <c r="AV299" s="37" t="n"/>
      <c r="AW299" s="38">
        <f>IF(AO299="","",IF(AR299="Yes","❌ Disc",IF(AQ299="No","⚠ Missing",IF(AT299="Yes","✓ OK","⚠ Check"))))</f>
        <v/>
      </c>
    </row>
    <row r="300" ht="18" customHeight="1" s="46">
      <c r="A300" s="39" t="n">
        <v>296</v>
      </c>
      <c r="B300" s="40" t="inlineStr">
        <is>
          <t>BD-HNA-2025-0413</t>
        </is>
      </c>
      <c r="C300" s="41" t="inlineStr">
        <is>
          <t>Bonito Handles - T-5538(S.H-ZP) - Rose Concealed Handle - 200mm</t>
        </is>
      </c>
      <c r="D300" s="39" t="inlineStr">
        <is>
          <t>Bonito Handles</t>
        </is>
      </c>
      <c r="E300" s="43" t="n">
        <v>46125</v>
      </c>
      <c r="F300" s="26" t="inlineStr">
        <is>
          <t>Sunil CR</t>
        </is>
      </c>
      <c r="G300" s="44" t="inlineStr">
        <is>
          <t>Represented by Sample</t>
        </is>
      </c>
      <c r="H300" s="26" t="inlineStr">
        <is>
          <t>No</t>
        </is>
      </c>
      <c r="I300" s="44" t="inlineStr">
        <is>
          <t>Represented by Sample</t>
        </is>
      </c>
      <c r="J300" s="26" t="inlineStr">
        <is>
          <t>Yes</t>
        </is>
      </c>
      <c r="K300" s="27" t="n"/>
      <c r="L300" s="28" t="inlineStr">
        <is>
          <t>No</t>
        </is>
      </c>
      <c r="M300" s="29">
        <f>IF(E300="","",IF(H300="Yes","❌ Disc",IF(G300="No","⚠ Missing",IF(J300="Yes","✓ OK","⚠ Check"))))</f>
        <v/>
      </c>
      <c r="N300" s="43" t="n">
        <v>46196</v>
      </c>
      <c r="O300" s="26" t="inlineStr">
        <is>
          <t>Sunil CR</t>
        </is>
      </c>
      <c r="P300" s="44" t="inlineStr">
        <is>
          <t>Represented by Sample</t>
        </is>
      </c>
      <c r="Q300" s="26" t="inlineStr">
        <is>
          <t>No</t>
        </is>
      </c>
      <c r="R300" s="44" t="inlineStr">
        <is>
          <t>Represented by Sample</t>
        </is>
      </c>
      <c r="S300" s="26" t="inlineStr">
        <is>
          <t>Yes</t>
        </is>
      </c>
      <c r="T300" s="27" t="n"/>
      <c r="U300" s="28" t="inlineStr">
        <is>
          <t>No</t>
        </is>
      </c>
      <c r="V300" s="29">
        <f>IF(N300="","",IF(Q300="Yes","❌ Disc",IF(P300="No","⚠ Missing",IF(S300="Yes","✓ OK","⚠ Check"))))</f>
        <v/>
      </c>
      <c r="W300" s="65" t="n">
        <v>46248</v>
      </c>
      <c r="X300" s="30" t="inlineStr">
        <is>
          <t>Sunil CR</t>
        </is>
      </c>
      <c r="Y300" s="30" t="inlineStr">
        <is>
          <t>Represented by Sample</t>
        </is>
      </c>
      <c r="Z300" s="30" t="n"/>
      <c r="AA300" s="30" t="inlineStr">
        <is>
          <t>Represented by Sample</t>
        </is>
      </c>
      <c r="AB300" s="30" t="inlineStr">
        <is>
          <t>Yes</t>
        </is>
      </c>
      <c r="AC300" s="27" t="n"/>
      <c r="AD300" s="31" t="inlineStr">
        <is>
          <t>No</t>
        </is>
      </c>
      <c r="AE300" s="32">
        <f>IF(W300="","",IF(Z300="Yes","❌ Disc",IF(Y300="No","⚠ Missing",IF(AB300="Yes","✓ OK","⚠ Check"))))</f>
        <v/>
      </c>
      <c r="AF300" s="33" t="n"/>
      <c r="AG300" s="33" t="n"/>
      <c r="AH300" s="33" t="n"/>
      <c r="AI300" s="33" t="n"/>
      <c r="AJ300" s="33" t="n"/>
      <c r="AK300" s="33" t="n"/>
      <c r="AL300" s="27" t="n"/>
      <c r="AM300" s="34" t="n"/>
      <c r="AN300" s="35">
        <f>IF(AF300="","",IF(AI300="Yes","❌ Disc",IF(AH300="No","⚠ Missing",IF(AK300="Yes","✓ OK","⚠ Check"))))</f>
        <v/>
      </c>
      <c r="AO300" s="36" t="n"/>
      <c r="AP300" s="36" t="n"/>
      <c r="AQ300" s="36" t="n"/>
      <c r="AR300" s="36" t="n"/>
      <c r="AS300" s="36" t="n"/>
      <c r="AT300" s="36" t="n"/>
      <c r="AU300" s="27" t="n"/>
      <c r="AV300" s="37" t="n"/>
      <c r="AW300" s="38">
        <f>IF(AO300="","",IF(AR300="Yes","❌ Disc",IF(AQ300="No","⚠ Missing",IF(AT300="Yes","✓ OK","⚠ Check"))))</f>
        <v/>
      </c>
    </row>
    <row r="301" ht="18" customHeight="1" s="46">
      <c r="A301" s="23" t="n">
        <v>297</v>
      </c>
      <c r="B301" s="24" t="inlineStr">
        <is>
          <t>BD-HNA-2025-0414</t>
        </is>
      </c>
      <c r="C301" s="25" t="inlineStr">
        <is>
          <t>Bonito Handles - T-5538(S.H-ZP) - Rose Concealed Handle - 300mm</t>
        </is>
      </c>
      <c r="D301" s="23" t="inlineStr">
        <is>
          <t>Bonito Handles</t>
        </is>
      </c>
      <c r="E301" s="43" t="n">
        <v>46125</v>
      </c>
      <c r="F301" s="26" t="inlineStr">
        <is>
          <t>Sunil CR</t>
        </is>
      </c>
      <c r="G301" s="44" t="inlineStr">
        <is>
          <t>Yes</t>
        </is>
      </c>
      <c r="H301" s="26" t="inlineStr">
        <is>
          <t>No</t>
        </is>
      </c>
      <c r="I301" s="44" t="inlineStr">
        <is>
          <t>Minor defect</t>
        </is>
      </c>
      <c r="J301" s="26" t="inlineStr">
        <is>
          <t>No</t>
        </is>
      </c>
      <c r="K301" s="27" t="inlineStr">
        <is>
          <t>Sticker not proper</t>
        </is>
      </c>
      <c r="L301" s="28" t="inlineStr">
        <is>
          <t>Yes</t>
        </is>
      </c>
      <c r="M301" s="29">
        <f>IF(E301="","",IF(H301="Yes","❌ Disc",IF(G301="No","⚠ Missing",IF(J301="Yes","✓ OK","⚠ Check"))))</f>
        <v/>
      </c>
      <c r="N301" s="43" t="n">
        <v>46196</v>
      </c>
      <c r="O301" s="26" t="inlineStr">
        <is>
          <t>Sunil CR</t>
        </is>
      </c>
      <c r="P301" s="44" t="inlineStr">
        <is>
          <t>Yes</t>
        </is>
      </c>
      <c r="Q301" s="26" t="inlineStr">
        <is>
          <t>No</t>
        </is>
      </c>
      <c r="R301" s="44" t="inlineStr">
        <is>
          <t>Minor defect</t>
        </is>
      </c>
      <c r="S301" s="26" t="inlineStr">
        <is>
          <t>No</t>
        </is>
      </c>
      <c r="T301" s="27" t="inlineStr">
        <is>
          <t>Sticker not proper</t>
        </is>
      </c>
      <c r="U301" s="28" t="inlineStr">
        <is>
          <t>Yes</t>
        </is>
      </c>
      <c r="V301" s="29">
        <f>IF(N301="","",IF(Q301="Yes","❌ Disc",IF(P301="No","⚠ Missing",IF(S301="Yes","✓ OK","⚠ Check"))))</f>
        <v/>
      </c>
      <c r="W301" s="65" t="n">
        <v>46248</v>
      </c>
      <c r="X301" s="30" t="inlineStr">
        <is>
          <t>Sunil CR</t>
        </is>
      </c>
      <c r="Y301" s="30" t="inlineStr">
        <is>
          <t>Yes</t>
        </is>
      </c>
      <c r="Z301" s="30" t="n"/>
      <c r="AA301" s="30" t="inlineStr">
        <is>
          <t>Minor defect</t>
        </is>
      </c>
      <c r="AB301" s="30" t="inlineStr">
        <is>
          <t>No</t>
        </is>
      </c>
      <c r="AC301" s="27" t="inlineStr">
        <is>
          <t>Sticker not proper</t>
        </is>
      </c>
      <c r="AD301" s="31" t="inlineStr">
        <is>
          <t>Yes</t>
        </is>
      </c>
      <c r="AE301" s="32">
        <f>IF(W301="","",IF(Z301="Yes","❌ Disc",IF(Y301="No","⚠ Missing",IF(AB301="Yes","✓ OK","⚠ Check"))))</f>
        <v/>
      </c>
      <c r="AF301" s="33" t="n"/>
      <c r="AG301" s="33" t="n"/>
      <c r="AH301" s="33" t="n"/>
      <c r="AI301" s="33" t="n"/>
      <c r="AJ301" s="33" t="n"/>
      <c r="AK301" s="33" t="n"/>
      <c r="AL301" s="27" t="n"/>
      <c r="AM301" s="34" t="n"/>
      <c r="AN301" s="35">
        <f>IF(AF301="","",IF(AI301="Yes","❌ Disc",IF(AH301="No","⚠ Missing",IF(AK301="Yes","✓ OK","⚠ Check"))))</f>
        <v/>
      </c>
      <c r="AO301" s="36" t="n"/>
      <c r="AP301" s="36" t="n"/>
      <c r="AQ301" s="36" t="n"/>
      <c r="AR301" s="36" t="n"/>
      <c r="AS301" s="36" t="n"/>
      <c r="AT301" s="36" t="n"/>
      <c r="AU301" s="27" t="n"/>
      <c r="AV301" s="37" t="n"/>
      <c r="AW301" s="38">
        <f>IF(AO301="","",IF(AR301="Yes","❌ Disc",IF(AQ301="No","⚠ Missing",IF(AT301="Yes","✓ OK","⚠ Check"))))</f>
        <v/>
      </c>
    </row>
    <row r="302" ht="18" customHeight="1" s="46">
      <c r="A302" s="39" t="n">
        <v>298</v>
      </c>
      <c r="B302" s="40" t="inlineStr">
        <is>
          <t>BD-HNA-2025-0439</t>
        </is>
      </c>
      <c r="C302" s="41" t="inlineStr">
        <is>
          <t>Bonito Handles - V-1437 Big(K.H) - Antique Knob - Dia: 45mm</t>
        </is>
      </c>
      <c r="D302" s="39" t="inlineStr">
        <is>
          <t>Bonito Handles</t>
        </is>
      </c>
      <c r="E302" s="43" t="n">
        <v>46125</v>
      </c>
      <c r="F302" s="26" t="inlineStr">
        <is>
          <t>Sunil CR</t>
        </is>
      </c>
      <c r="G302" s="44" t="inlineStr">
        <is>
          <t>Represented by Sample</t>
        </is>
      </c>
      <c r="H302" s="26" t="inlineStr">
        <is>
          <t>No</t>
        </is>
      </c>
      <c r="I302" s="44" t="inlineStr">
        <is>
          <t>Represented by Sample</t>
        </is>
      </c>
      <c r="J302" s="26" t="inlineStr">
        <is>
          <t>Yes</t>
        </is>
      </c>
      <c r="K302" s="27" t="n"/>
      <c r="L302" s="28" t="inlineStr">
        <is>
          <t>No</t>
        </is>
      </c>
      <c r="M302" s="29">
        <f>IF(E302="","",IF(H302="Yes","❌ Disc",IF(G302="No","⚠ Missing",IF(J302="Yes","✓ OK","⚠ Check"))))</f>
        <v/>
      </c>
      <c r="N302" s="43" t="n">
        <v>46196</v>
      </c>
      <c r="O302" s="26" t="inlineStr">
        <is>
          <t>Sunil CR</t>
        </is>
      </c>
      <c r="P302" s="44" t="inlineStr">
        <is>
          <t>Represented by Sample</t>
        </is>
      </c>
      <c r="Q302" s="26" t="inlineStr">
        <is>
          <t>No</t>
        </is>
      </c>
      <c r="R302" s="44" t="inlineStr">
        <is>
          <t>Represented by Sample</t>
        </is>
      </c>
      <c r="S302" s="26" t="inlineStr">
        <is>
          <t>Yes</t>
        </is>
      </c>
      <c r="T302" s="27" t="n"/>
      <c r="U302" s="28" t="inlineStr">
        <is>
          <t>No</t>
        </is>
      </c>
      <c r="V302" s="29">
        <f>IF(N302="","",IF(Q302="Yes","❌ Disc",IF(P302="No","⚠ Missing",IF(S302="Yes","✓ OK","⚠ Check"))))</f>
        <v/>
      </c>
      <c r="W302" s="65" t="n">
        <v>46248</v>
      </c>
      <c r="X302" s="30" t="inlineStr">
        <is>
          <t>Sunil CR</t>
        </is>
      </c>
      <c r="Y302" s="30" t="inlineStr">
        <is>
          <t>Represented by Sample</t>
        </is>
      </c>
      <c r="Z302" s="30" t="n"/>
      <c r="AA302" s="30" t="inlineStr">
        <is>
          <t>Represented by Sample</t>
        </is>
      </c>
      <c r="AB302" s="30" t="inlineStr">
        <is>
          <t>Yes</t>
        </is>
      </c>
      <c r="AC302" s="27" t="n"/>
      <c r="AD302" s="31" t="inlineStr">
        <is>
          <t>No</t>
        </is>
      </c>
      <c r="AE302" s="32">
        <f>IF(W302="","",IF(Z302="Yes","❌ Disc",IF(Y302="No","⚠ Missing",IF(AB302="Yes","✓ OK","⚠ Check"))))</f>
        <v/>
      </c>
      <c r="AF302" s="33" t="n"/>
      <c r="AG302" s="33" t="n"/>
      <c r="AH302" s="33" t="n"/>
      <c r="AI302" s="33" t="n"/>
      <c r="AJ302" s="33" t="n"/>
      <c r="AK302" s="33" t="n"/>
      <c r="AL302" s="27" t="n"/>
      <c r="AM302" s="34" t="n"/>
      <c r="AN302" s="35">
        <f>IF(AF302="","",IF(AI302="Yes","❌ Disc",IF(AH302="No","⚠ Missing",IF(AK302="Yes","✓ OK","⚠ Check"))))</f>
        <v/>
      </c>
      <c r="AO302" s="36" t="n"/>
      <c r="AP302" s="36" t="n"/>
      <c r="AQ302" s="36" t="n"/>
      <c r="AR302" s="36" t="n"/>
      <c r="AS302" s="36" t="n"/>
      <c r="AT302" s="36" t="n"/>
      <c r="AU302" s="27" t="n"/>
      <c r="AV302" s="37" t="n"/>
      <c r="AW302" s="38">
        <f>IF(AO302="","",IF(AR302="Yes","❌ Disc",IF(AQ302="No","⚠ Missing",IF(AT302="Yes","✓ OK","⚠ Check"))))</f>
        <v/>
      </c>
    </row>
    <row r="303" ht="18" customHeight="1" s="46">
      <c r="A303" s="23" t="n">
        <v>299</v>
      </c>
      <c r="B303" s="24" t="inlineStr">
        <is>
          <t>BD-HNA-2025-0440</t>
        </is>
      </c>
      <c r="C303" s="25" t="inlineStr">
        <is>
          <t>Bonito Handles - V-1437 Big(K.H) - Black Knob - Dia: 45mm</t>
        </is>
      </c>
      <c r="D303" s="23" t="inlineStr">
        <is>
          <t>Bonito Handles</t>
        </is>
      </c>
      <c r="E303" s="43" t="n">
        <v>46125</v>
      </c>
      <c r="F303" s="26" t="inlineStr">
        <is>
          <t>Sunil CR</t>
        </is>
      </c>
      <c r="G303" s="44" t="inlineStr">
        <is>
          <t>Represented by Sample</t>
        </is>
      </c>
      <c r="H303" s="26" t="inlineStr">
        <is>
          <t>No</t>
        </is>
      </c>
      <c r="I303" s="44" t="inlineStr">
        <is>
          <t>Represented by Sample</t>
        </is>
      </c>
      <c r="J303" s="26" t="inlineStr">
        <is>
          <t>Yes</t>
        </is>
      </c>
      <c r="K303" s="27" t="n"/>
      <c r="L303" s="28" t="inlineStr">
        <is>
          <t>No</t>
        </is>
      </c>
      <c r="M303" s="29">
        <f>IF(E303="","",IF(H303="Yes","❌ Disc",IF(G303="No","⚠ Missing",IF(J303="Yes","✓ OK","⚠ Check"))))</f>
        <v/>
      </c>
      <c r="N303" s="43" t="n">
        <v>46196</v>
      </c>
      <c r="O303" s="26" t="inlineStr">
        <is>
          <t>Sunil CR</t>
        </is>
      </c>
      <c r="P303" s="44" t="inlineStr">
        <is>
          <t>Represented by Sample</t>
        </is>
      </c>
      <c r="Q303" s="26" t="inlineStr">
        <is>
          <t>No</t>
        </is>
      </c>
      <c r="R303" s="44" t="inlineStr">
        <is>
          <t>Represented by Sample</t>
        </is>
      </c>
      <c r="S303" s="26" t="inlineStr">
        <is>
          <t>Yes</t>
        </is>
      </c>
      <c r="T303" s="27" t="n"/>
      <c r="U303" s="28" t="inlineStr">
        <is>
          <t>No</t>
        </is>
      </c>
      <c r="V303" s="29">
        <f>IF(N303="","",IF(Q303="Yes","❌ Disc",IF(P303="No","⚠ Missing",IF(S303="Yes","✓ OK","⚠ Check"))))</f>
        <v/>
      </c>
      <c r="W303" s="65" t="n">
        <v>46248</v>
      </c>
      <c r="X303" s="30" t="inlineStr">
        <is>
          <t>Sunil CR</t>
        </is>
      </c>
      <c r="Y303" s="30" t="inlineStr">
        <is>
          <t>Represented by Sample</t>
        </is>
      </c>
      <c r="Z303" s="30" t="n"/>
      <c r="AA303" s="30" t="inlineStr">
        <is>
          <t>Represented by Sample</t>
        </is>
      </c>
      <c r="AB303" s="30" t="inlineStr">
        <is>
          <t>Yes</t>
        </is>
      </c>
      <c r="AC303" s="27" t="n"/>
      <c r="AD303" s="31" t="inlineStr">
        <is>
          <t>No</t>
        </is>
      </c>
      <c r="AE303" s="32">
        <f>IF(W303="","",IF(Z303="Yes","❌ Disc",IF(Y303="No","⚠ Missing",IF(AB303="Yes","✓ OK","⚠ Check"))))</f>
        <v/>
      </c>
      <c r="AF303" s="33" t="n"/>
      <c r="AG303" s="33" t="n"/>
      <c r="AH303" s="33" t="n"/>
      <c r="AI303" s="33" t="n"/>
      <c r="AJ303" s="33" t="n"/>
      <c r="AK303" s="33" t="n"/>
      <c r="AL303" s="27" t="n"/>
      <c r="AM303" s="34" t="n"/>
      <c r="AN303" s="35">
        <f>IF(AF303="","",IF(AI303="Yes","❌ Disc",IF(AH303="No","⚠ Missing",IF(AK303="Yes","✓ OK","⚠ Check"))))</f>
        <v/>
      </c>
      <c r="AO303" s="36" t="n"/>
      <c r="AP303" s="36" t="n"/>
      <c r="AQ303" s="36" t="n"/>
      <c r="AR303" s="36" t="n"/>
      <c r="AS303" s="36" t="n"/>
      <c r="AT303" s="36" t="n"/>
      <c r="AU303" s="27" t="n"/>
      <c r="AV303" s="37" t="n"/>
      <c r="AW303" s="38">
        <f>IF(AO303="","",IF(AR303="Yes","❌ Disc",IF(AQ303="No","⚠ Missing",IF(AT303="Yes","✓ OK","⚠ Check"))))</f>
        <v/>
      </c>
    </row>
    <row r="304" ht="18" customHeight="1" s="46">
      <c r="A304" s="39" t="n">
        <v>300</v>
      </c>
      <c r="B304" s="40" t="inlineStr">
        <is>
          <t>BD-HNA-2025-0437</t>
        </is>
      </c>
      <c r="C304" s="41" t="inlineStr">
        <is>
          <t>Bonito Handles - V-1437 Big(K.H) - Gold Knob - Dia: 45mm</t>
        </is>
      </c>
      <c r="D304" s="39" t="inlineStr">
        <is>
          <t>Bonito Handles</t>
        </is>
      </c>
      <c r="E304" s="43" t="n">
        <v>46125</v>
      </c>
      <c r="F304" s="26" t="inlineStr">
        <is>
          <t>Sunil CR</t>
        </is>
      </c>
      <c r="G304" s="44" t="inlineStr">
        <is>
          <t>Represented by Sample</t>
        </is>
      </c>
      <c r="H304" s="26" t="inlineStr">
        <is>
          <t>No</t>
        </is>
      </c>
      <c r="I304" s="44" t="inlineStr">
        <is>
          <t>Represented by Sample</t>
        </is>
      </c>
      <c r="J304" s="26" t="inlineStr">
        <is>
          <t>Yes</t>
        </is>
      </c>
      <c r="K304" s="27" t="n"/>
      <c r="L304" s="28" t="inlineStr">
        <is>
          <t>No</t>
        </is>
      </c>
      <c r="M304" s="29">
        <f>IF(E304="","",IF(H304="Yes","❌ Disc",IF(G304="No","⚠ Missing",IF(J304="Yes","✓ OK","⚠ Check"))))</f>
        <v/>
      </c>
      <c r="N304" s="43" t="n">
        <v>46196</v>
      </c>
      <c r="O304" s="26" t="inlineStr">
        <is>
          <t>Sunil CR</t>
        </is>
      </c>
      <c r="P304" s="44" t="inlineStr">
        <is>
          <t>Represented by Sample</t>
        </is>
      </c>
      <c r="Q304" s="26" t="inlineStr">
        <is>
          <t>No</t>
        </is>
      </c>
      <c r="R304" s="44" t="inlineStr">
        <is>
          <t>Represented by Sample</t>
        </is>
      </c>
      <c r="S304" s="26" t="inlineStr">
        <is>
          <t>Yes</t>
        </is>
      </c>
      <c r="T304" s="27" t="n"/>
      <c r="U304" s="28" t="inlineStr">
        <is>
          <t>No</t>
        </is>
      </c>
      <c r="V304" s="29">
        <f>IF(N304="","",IF(Q304="Yes","❌ Disc",IF(P304="No","⚠ Missing",IF(S304="Yes","✓ OK","⚠ Check"))))</f>
        <v/>
      </c>
      <c r="W304" s="65" t="n">
        <v>46248</v>
      </c>
      <c r="X304" s="30" t="inlineStr">
        <is>
          <t>Sunil CR</t>
        </is>
      </c>
      <c r="Y304" s="30" t="inlineStr">
        <is>
          <t>Represented by Sample</t>
        </is>
      </c>
      <c r="Z304" s="30" t="n"/>
      <c r="AA304" s="30" t="inlineStr">
        <is>
          <t>Represented by Sample</t>
        </is>
      </c>
      <c r="AB304" s="30" t="inlineStr">
        <is>
          <t>Yes</t>
        </is>
      </c>
      <c r="AC304" s="27" t="n"/>
      <c r="AD304" s="31" t="inlineStr">
        <is>
          <t>No</t>
        </is>
      </c>
      <c r="AE304" s="32">
        <f>IF(W304="","",IF(Z304="Yes","❌ Disc",IF(Y304="No","⚠ Missing",IF(AB304="Yes","✓ OK","⚠ Check"))))</f>
        <v/>
      </c>
      <c r="AF304" s="33" t="n"/>
      <c r="AG304" s="33" t="n"/>
      <c r="AH304" s="33" t="n"/>
      <c r="AI304" s="33" t="n"/>
      <c r="AJ304" s="33" t="n"/>
      <c r="AK304" s="33" t="n"/>
      <c r="AL304" s="27" t="n"/>
      <c r="AM304" s="34" t="n"/>
      <c r="AN304" s="35">
        <f>IF(AF304="","",IF(AI304="Yes","❌ Disc",IF(AH304="No","⚠ Missing",IF(AK304="Yes","✓ OK","⚠ Check"))))</f>
        <v/>
      </c>
      <c r="AO304" s="36" t="n"/>
      <c r="AP304" s="36" t="n"/>
      <c r="AQ304" s="36" t="n"/>
      <c r="AR304" s="36" t="n"/>
      <c r="AS304" s="36" t="n"/>
      <c r="AT304" s="36" t="n"/>
      <c r="AU304" s="27" t="n"/>
      <c r="AV304" s="37" t="n"/>
      <c r="AW304" s="38">
        <f>IF(AO304="","",IF(AR304="Yes","❌ Disc",IF(AQ304="No","⚠ Missing",IF(AT304="Yes","✓ OK","⚠ Check"))))</f>
        <v/>
      </c>
    </row>
    <row r="305" ht="18" customHeight="1" s="46">
      <c r="A305" s="23" t="n">
        <v>301</v>
      </c>
      <c r="B305" s="24" t="inlineStr">
        <is>
          <t>BD-HNA-2025-0438</t>
        </is>
      </c>
      <c r="C305" s="25" t="inlineStr">
        <is>
          <t>Bonito Handles - V-1437 Big(K.H) - Rose Gold Knob - Dia: 45mm</t>
        </is>
      </c>
      <c r="D305" s="23" t="inlineStr">
        <is>
          <t>Bonito Handles</t>
        </is>
      </c>
      <c r="E305" s="43" t="n">
        <v>46125</v>
      </c>
      <c r="F305" s="26" t="inlineStr">
        <is>
          <t>Sunil CR</t>
        </is>
      </c>
      <c r="G305" s="44" t="inlineStr">
        <is>
          <t>Yes</t>
        </is>
      </c>
      <c r="H305" s="26" t="inlineStr">
        <is>
          <t>No</t>
        </is>
      </c>
      <c r="I305" s="44" t="inlineStr">
        <is>
          <t>Good finish</t>
        </is>
      </c>
      <c r="J305" s="26" t="inlineStr">
        <is>
          <t>Yes</t>
        </is>
      </c>
      <c r="K305" s="27" t="n"/>
      <c r="L305" s="28" t="inlineStr">
        <is>
          <t>No</t>
        </is>
      </c>
      <c r="M305" s="29">
        <f>IF(E305="","",IF(H305="Yes","❌ Disc",IF(G305="No","⚠ Missing",IF(J305="Yes","✓ OK","⚠ Check"))))</f>
        <v/>
      </c>
      <c r="N305" s="43" t="n">
        <v>46196</v>
      </c>
      <c r="O305" s="26" t="inlineStr">
        <is>
          <t>Sunil CR</t>
        </is>
      </c>
      <c r="P305" s="44" t="inlineStr">
        <is>
          <t>Yes</t>
        </is>
      </c>
      <c r="Q305" s="26" t="inlineStr">
        <is>
          <t>No</t>
        </is>
      </c>
      <c r="R305" s="44" t="inlineStr">
        <is>
          <t>Good finish</t>
        </is>
      </c>
      <c r="S305" s="26" t="inlineStr">
        <is>
          <t>Yes</t>
        </is>
      </c>
      <c r="T305" s="27" t="n"/>
      <c r="U305" s="28" t="inlineStr">
        <is>
          <t>No</t>
        </is>
      </c>
      <c r="V305" s="29">
        <f>IF(N305="","",IF(Q305="Yes","❌ Disc",IF(P305="No","⚠ Missing",IF(S305="Yes","✓ OK","⚠ Check"))))</f>
        <v/>
      </c>
      <c r="W305" s="65" t="n">
        <v>46248</v>
      </c>
      <c r="X305" s="30" t="inlineStr">
        <is>
          <t>Sunil CR</t>
        </is>
      </c>
      <c r="Y305" s="30" t="inlineStr">
        <is>
          <t>Yes</t>
        </is>
      </c>
      <c r="Z305" s="30" t="n"/>
      <c r="AA305" s="30" t="inlineStr">
        <is>
          <t>Good finish</t>
        </is>
      </c>
      <c r="AB305" s="30" t="inlineStr">
        <is>
          <t>Yes</t>
        </is>
      </c>
      <c r="AC305" s="27" t="n"/>
      <c r="AD305" s="31" t="inlineStr">
        <is>
          <t>No</t>
        </is>
      </c>
      <c r="AE305" s="32">
        <f>IF(W305="","",IF(Z305="Yes","❌ Disc",IF(Y305="No","⚠ Missing",IF(AB305="Yes","✓ OK","⚠ Check"))))</f>
        <v/>
      </c>
      <c r="AF305" s="33" t="n"/>
      <c r="AG305" s="33" t="n"/>
      <c r="AH305" s="33" t="n"/>
      <c r="AI305" s="33" t="n"/>
      <c r="AJ305" s="33" t="n"/>
      <c r="AK305" s="33" t="n"/>
      <c r="AL305" s="27" t="n"/>
      <c r="AM305" s="34" t="n"/>
      <c r="AN305" s="35">
        <f>IF(AF305="","",IF(AI305="Yes","❌ Disc",IF(AH305="No","⚠ Missing",IF(AK305="Yes","✓ OK","⚠ Check"))))</f>
        <v/>
      </c>
      <c r="AO305" s="36" t="n"/>
      <c r="AP305" s="36" t="n"/>
      <c r="AQ305" s="36" t="n"/>
      <c r="AR305" s="36" t="n"/>
      <c r="AS305" s="36" t="n"/>
      <c r="AT305" s="36" t="n"/>
      <c r="AU305" s="27" t="n"/>
      <c r="AV305" s="37" t="n"/>
      <c r="AW305" s="38">
        <f>IF(AO305="","",IF(AR305="Yes","❌ Disc",IF(AQ305="No","⚠ Missing",IF(AT305="Yes","✓ OK","⚠ Check"))))</f>
        <v/>
      </c>
    </row>
    <row r="306" ht="18" customHeight="1" s="46">
      <c r="A306" s="39" t="n">
        <v>302</v>
      </c>
      <c r="B306" s="40" t="inlineStr">
        <is>
          <t>BD-HNA-2025-0435</t>
        </is>
      </c>
      <c r="C306" s="41" t="inlineStr">
        <is>
          <t>Bonito Handles - V-1437 Small(K.H) - Antique Knob - Dia: 36mm</t>
        </is>
      </c>
      <c r="D306" s="39" t="inlineStr">
        <is>
          <t>Bonito Handles</t>
        </is>
      </c>
      <c r="E306" s="43" t="n">
        <v>46125</v>
      </c>
      <c r="F306" s="26" t="inlineStr">
        <is>
          <t>Sunil CR</t>
        </is>
      </c>
      <c r="G306" s="44" t="inlineStr">
        <is>
          <t>Yes</t>
        </is>
      </c>
      <c r="H306" s="26" t="inlineStr">
        <is>
          <t>No</t>
        </is>
      </c>
      <c r="I306" s="44" t="inlineStr">
        <is>
          <t>Good finish</t>
        </is>
      </c>
      <c r="J306" s="26" t="inlineStr">
        <is>
          <t>Yes</t>
        </is>
      </c>
      <c r="K306" s="27" t="n"/>
      <c r="L306" s="28" t="inlineStr">
        <is>
          <t>No</t>
        </is>
      </c>
      <c r="M306" s="29">
        <f>IF(E306="","",IF(H306="Yes","❌ Disc",IF(G306="No","⚠ Missing",IF(J306="Yes","✓ OK","⚠ Check"))))</f>
        <v/>
      </c>
      <c r="N306" s="43" t="n">
        <v>46196</v>
      </c>
      <c r="O306" s="26" t="inlineStr">
        <is>
          <t>Sunil CR</t>
        </is>
      </c>
      <c r="P306" s="44" t="inlineStr">
        <is>
          <t>Yes</t>
        </is>
      </c>
      <c r="Q306" s="26" t="inlineStr">
        <is>
          <t>No</t>
        </is>
      </c>
      <c r="R306" s="44" t="inlineStr">
        <is>
          <t>Good finish</t>
        </is>
      </c>
      <c r="S306" s="26" t="inlineStr">
        <is>
          <t>Yes</t>
        </is>
      </c>
      <c r="T306" s="27" t="n"/>
      <c r="U306" s="28" t="inlineStr">
        <is>
          <t>No</t>
        </is>
      </c>
      <c r="V306" s="29">
        <f>IF(N306="","",IF(Q306="Yes","❌ Disc",IF(P306="No","⚠ Missing",IF(S306="Yes","✓ OK","⚠ Check"))))</f>
        <v/>
      </c>
      <c r="W306" s="65" t="n">
        <v>46248</v>
      </c>
      <c r="X306" s="30" t="inlineStr">
        <is>
          <t>Sunil CR</t>
        </is>
      </c>
      <c r="Y306" s="30" t="inlineStr">
        <is>
          <t>Yes</t>
        </is>
      </c>
      <c r="Z306" s="30" t="n"/>
      <c r="AA306" s="30" t="inlineStr">
        <is>
          <t>Good finish</t>
        </is>
      </c>
      <c r="AB306" s="30" t="inlineStr">
        <is>
          <t>Yes</t>
        </is>
      </c>
      <c r="AC306" s="27" t="n"/>
      <c r="AD306" s="31" t="inlineStr">
        <is>
          <t>No</t>
        </is>
      </c>
      <c r="AE306" s="32">
        <f>IF(W306="","",IF(Z306="Yes","❌ Disc",IF(Y306="No","⚠ Missing",IF(AB306="Yes","✓ OK","⚠ Check"))))</f>
        <v/>
      </c>
      <c r="AF306" s="33" t="n"/>
      <c r="AG306" s="33" t="n"/>
      <c r="AH306" s="33" t="n"/>
      <c r="AI306" s="33" t="n"/>
      <c r="AJ306" s="33" t="n"/>
      <c r="AK306" s="33" t="n"/>
      <c r="AL306" s="27" t="n"/>
      <c r="AM306" s="34" t="n"/>
      <c r="AN306" s="35">
        <f>IF(AF306="","",IF(AI306="Yes","❌ Disc",IF(AH306="No","⚠ Missing",IF(AK306="Yes","✓ OK","⚠ Check"))))</f>
        <v/>
      </c>
      <c r="AO306" s="36" t="n"/>
      <c r="AP306" s="36" t="n"/>
      <c r="AQ306" s="36" t="n"/>
      <c r="AR306" s="36" t="n"/>
      <c r="AS306" s="36" t="n"/>
      <c r="AT306" s="36" t="n"/>
      <c r="AU306" s="27" t="n"/>
      <c r="AV306" s="37" t="n"/>
      <c r="AW306" s="38">
        <f>IF(AO306="","",IF(AR306="Yes","❌ Disc",IF(AQ306="No","⚠ Missing",IF(AT306="Yes","✓ OK","⚠ Check"))))</f>
        <v/>
      </c>
    </row>
    <row r="307" ht="18" customHeight="1" s="46">
      <c r="A307" s="23" t="n">
        <v>303</v>
      </c>
      <c r="B307" s="24" t="inlineStr">
        <is>
          <t>BD-HNA-2025-0436</t>
        </is>
      </c>
      <c r="C307" s="25" t="inlineStr">
        <is>
          <t>Bonito Handles - V-1437 Small(K.H) - Black Knob - Dia: 36mm</t>
        </is>
      </c>
      <c r="D307" s="23" t="inlineStr">
        <is>
          <t>Bonito Handles</t>
        </is>
      </c>
      <c r="E307" s="43" t="n">
        <v>46125</v>
      </c>
      <c r="F307" s="26" t="inlineStr">
        <is>
          <t>Sunil CR</t>
        </is>
      </c>
      <c r="G307" s="44" t="inlineStr">
        <is>
          <t>Represented by Sample</t>
        </is>
      </c>
      <c r="H307" s="26" t="inlineStr">
        <is>
          <t>No</t>
        </is>
      </c>
      <c r="I307" s="44" t="inlineStr">
        <is>
          <t>Represented by Sample</t>
        </is>
      </c>
      <c r="J307" s="26" t="inlineStr">
        <is>
          <t>Yes</t>
        </is>
      </c>
      <c r="K307" s="27" t="n"/>
      <c r="L307" s="28" t="inlineStr">
        <is>
          <t>No</t>
        </is>
      </c>
      <c r="M307" s="29">
        <f>IF(E307="","",IF(H307="Yes","❌ Disc",IF(G307="No","⚠ Missing",IF(J307="Yes","✓ OK","⚠ Check"))))</f>
        <v/>
      </c>
      <c r="N307" s="43" t="n">
        <v>46196</v>
      </c>
      <c r="O307" s="26" t="inlineStr">
        <is>
          <t>Sunil CR</t>
        </is>
      </c>
      <c r="P307" s="44" t="inlineStr">
        <is>
          <t>Represented by Sample</t>
        </is>
      </c>
      <c r="Q307" s="26" t="inlineStr">
        <is>
          <t>No</t>
        </is>
      </c>
      <c r="R307" s="44" t="inlineStr">
        <is>
          <t>Represented by Sample</t>
        </is>
      </c>
      <c r="S307" s="26" t="inlineStr">
        <is>
          <t>Yes</t>
        </is>
      </c>
      <c r="T307" s="27" t="n"/>
      <c r="U307" s="28" t="inlineStr">
        <is>
          <t>No</t>
        </is>
      </c>
      <c r="V307" s="29">
        <f>IF(N307="","",IF(Q307="Yes","❌ Disc",IF(P307="No","⚠ Missing",IF(S307="Yes","✓ OK","⚠ Check"))))</f>
        <v/>
      </c>
      <c r="W307" s="65" t="n">
        <v>46248</v>
      </c>
      <c r="X307" s="30" t="inlineStr">
        <is>
          <t>Sunil CR</t>
        </is>
      </c>
      <c r="Y307" s="30" t="inlineStr">
        <is>
          <t>Represented by Sample</t>
        </is>
      </c>
      <c r="Z307" s="30" t="n"/>
      <c r="AA307" s="30" t="inlineStr">
        <is>
          <t>Represented by Sample</t>
        </is>
      </c>
      <c r="AB307" s="30" t="inlineStr">
        <is>
          <t>Yes</t>
        </is>
      </c>
      <c r="AC307" s="27" t="n"/>
      <c r="AD307" s="31" t="inlineStr">
        <is>
          <t>No</t>
        </is>
      </c>
      <c r="AE307" s="32">
        <f>IF(W307="","",IF(Z307="Yes","❌ Disc",IF(Y307="No","⚠ Missing",IF(AB307="Yes","✓ OK","⚠ Check"))))</f>
        <v/>
      </c>
      <c r="AF307" s="33" t="n"/>
      <c r="AG307" s="33" t="n"/>
      <c r="AH307" s="33" t="n"/>
      <c r="AI307" s="33" t="n"/>
      <c r="AJ307" s="33" t="n"/>
      <c r="AK307" s="33" t="n"/>
      <c r="AL307" s="27" t="n"/>
      <c r="AM307" s="34" t="n"/>
      <c r="AN307" s="35">
        <f>IF(AF307="","",IF(AI307="Yes","❌ Disc",IF(AH307="No","⚠ Missing",IF(AK307="Yes","✓ OK","⚠ Check"))))</f>
        <v/>
      </c>
      <c r="AO307" s="36" t="n"/>
      <c r="AP307" s="36" t="n"/>
      <c r="AQ307" s="36" t="n"/>
      <c r="AR307" s="36" t="n"/>
      <c r="AS307" s="36" t="n"/>
      <c r="AT307" s="36" t="n"/>
      <c r="AU307" s="27" t="n"/>
      <c r="AV307" s="37" t="n"/>
      <c r="AW307" s="38">
        <f>IF(AO307="","",IF(AR307="Yes","❌ Disc",IF(AQ307="No","⚠ Missing",IF(AT307="Yes","✓ OK","⚠ Check"))))</f>
        <v/>
      </c>
    </row>
    <row r="308" ht="18" customHeight="1" s="46">
      <c r="A308" s="39" t="n">
        <v>304</v>
      </c>
      <c r="B308" s="40" t="inlineStr">
        <is>
          <t>BD-HNA-2025-0433</t>
        </is>
      </c>
      <c r="C308" s="41" t="inlineStr">
        <is>
          <t>Bonito Handles - V-1437 Small(K.H) - Gold Knob - Dia: 36mm</t>
        </is>
      </c>
      <c r="D308" s="39" t="inlineStr">
        <is>
          <t>Bonito Handles</t>
        </is>
      </c>
      <c r="E308" s="43" t="n">
        <v>46125</v>
      </c>
      <c r="F308" s="26" t="inlineStr">
        <is>
          <t>Sunil CR</t>
        </is>
      </c>
      <c r="G308" s="44" t="inlineStr">
        <is>
          <t>Represented by Sample</t>
        </is>
      </c>
      <c r="H308" s="26" t="inlineStr">
        <is>
          <t>No</t>
        </is>
      </c>
      <c r="I308" s="44" t="inlineStr">
        <is>
          <t>Represented by Sample</t>
        </is>
      </c>
      <c r="J308" s="26" t="inlineStr">
        <is>
          <t>Yes</t>
        </is>
      </c>
      <c r="K308" s="27" t="n"/>
      <c r="L308" s="28" t="inlineStr">
        <is>
          <t>No</t>
        </is>
      </c>
      <c r="M308" s="29">
        <f>IF(E308="","",IF(H308="Yes","❌ Disc",IF(G308="No","⚠ Missing",IF(J308="Yes","✓ OK","⚠ Check"))))</f>
        <v/>
      </c>
      <c r="N308" s="43" t="n">
        <v>46196</v>
      </c>
      <c r="O308" s="26" t="inlineStr">
        <is>
          <t>Sunil CR</t>
        </is>
      </c>
      <c r="P308" s="44" t="inlineStr">
        <is>
          <t>Represented by Sample</t>
        </is>
      </c>
      <c r="Q308" s="26" t="inlineStr">
        <is>
          <t>No</t>
        </is>
      </c>
      <c r="R308" s="44" t="inlineStr">
        <is>
          <t>Represented by Sample</t>
        </is>
      </c>
      <c r="S308" s="26" t="inlineStr">
        <is>
          <t>Yes</t>
        </is>
      </c>
      <c r="T308" s="27" t="n"/>
      <c r="U308" s="28" t="inlineStr">
        <is>
          <t>No</t>
        </is>
      </c>
      <c r="V308" s="29">
        <f>IF(N308="","",IF(Q308="Yes","❌ Disc",IF(P308="No","⚠ Missing",IF(S308="Yes","✓ OK","⚠ Check"))))</f>
        <v/>
      </c>
      <c r="W308" s="65" t="n">
        <v>46248</v>
      </c>
      <c r="X308" s="30" t="inlineStr">
        <is>
          <t>Sunil CR</t>
        </is>
      </c>
      <c r="Y308" s="30" t="inlineStr">
        <is>
          <t>Represented by Sample</t>
        </is>
      </c>
      <c r="Z308" s="30" t="n"/>
      <c r="AA308" s="30" t="inlineStr">
        <is>
          <t>Represented by Sample</t>
        </is>
      </c>
      <c r="AB308" s="30" t="inlineStr">
        <is>
          <t>Yes</t>
        </is>
      </c>
      <c r="AC308" s="27" t="n"/>
      <c r="AD308" s="31" t="inlineStr">
        <is>
          <t>No</t>
        </is>
      </c>
      <c r="AE308" s="32">
        <f>IF(W308="","",IF(Z308="Yes","❌ Disc",IF(Y308="No","⚠ Missing",IF(AB308="Yes","✓ OK","⚠ Check"))))</f>
        <v/>
      </c>
      <c r="AF308" s="33" t="n"/>
      <c r="AG308" s="33" t="n"/>
      <c r="AH308" s="33" t="n"/>
      <c r="AI308" s="33" t="n"/>
      <c r="AJ308" s="33" t="n"/>
      <c r="AK308" s="33" t="n"/>
      <c r="AL308" s="27" t="n"/>
      <c r="AM308" s="34" t="n"/>
      <c r="AN308" s="35">
        <f>IF(AF308="","",IF(AI308="Yes","❌ Disc",IF(AH308="No","⚠ Missing",IF(AK308="Yes","✓ OK","⚠ Check"))))</f>
        <v/>
      </c>
      <c r="AO308" s="36" t="n"/>
      <c r="AP308" s="36" t="n"/>
      <c r="AQ308" s="36" t="n"/>
      <c r="AR308" s="36" t="n"/>
      <c r="AS308" s="36" t="n"/>
      <c r="AT308" s="36" t="n"/>
      <c r="AU308" s="27" t="n"/>
      <c r="AV308" s="37" t="n"/>
      <c r="AW308" s="38">
        <f>IF(AO308="","",IF(AR308="Yes","❌ Disc",IF(AQ308="No","⚠ Missing",IF(AT308="Yes","✓ OK","⚠ Check"))))</f>
        <v/>
      </c>
    </row>
    <row r="309" ht="18" customHeight="1" s="46">
      <c r="A309" s="23" t="n">
        <v>305</v>
      </c>
      <c r="B309" s="24" t="inlineStr">
        <is>
          <t>BD-HNA-2025-0434</t>
        </is>
      </c>
      <c r="C309" s="25" t="inlineStr">
        <is>
          <t>Bonito Handles - V-1437 Small(K.H) - Rose Gold Knob - Dia: 36mm</t>
        </is>
      </c>
      <c r="D309" s="23" t="inlineStr">
        <is>
          <t>Bonito Handles</t>
        </is>
      </c>
      <c r="E309" s="43" t="n">
        <v>46125</v>
      </c>
      <c r="F309" s="26" t="inlineStr">
        <is>
          <t>Sunil CR</t>
        </is>
      </c>
      <c r="G309" s="44" t="inlineStr">
        <is>
          <t>Represented by Sample</t>
        </is>
      </c>
      <c r="H309" s="26" t="inlineStr">
        <is>
          <t>No</t>
        </is>
      </c>
      <c r="I309" s="44" t="inlineStr">
        <is>
          <t>Represented by Sample</t>
        </is>
      </c>
      <c r="J309" s="26" t="inlineStr">
        <is>
          <t>Yes</t>
        </is>
      </c>
      <c r="K309" s="27" t="n"/>
      <c r="L309" s="28" t="inlineStr">
        <is>
          <t>No</t>
        </is>
      </c>
      <c r="M309" s="29">
        <f>IF(E309="","",IF(H309="Yes","❌ Disc",IF(G309="No","⚠ Missing",IF(J309="Yes","✓ OK","⚠ Check"))))</f>
        <v/>
      </c>
      <c r="N309" s="43" t="n">
        <v>46196</v>
      </c>
      <c r="O309" s="26" t="inlineStr">
        <is>
          <t>Sunil CR</t>
        </is>
      </c>
      <c r="P309" s="44" t="inlineStr">
        <is>
          <t>Represented by Sample</t>
        </is>
      </c>
      <c r="Q309" s="26" t="inlineStr">
        <is>
          <t>No</t>
        </is>
      </c>
      <c r="R309" s="44" t="inlineStr">
        <is>
          <t>Represented by Sample</t>
        </is>
      </c>
      <c r="S309" s="26" t="inlineStr">
        <is>
          <t>Yes</t>
        </is>
      </c>
      <c r="T309" s="27" t="n"/>
      <c r="U309" s="28" t="inlineStr">
        <is>
          <t>No</t>
        </is>
      </c>
      <c r="V309" s="29">
        <f>IF(N309="","",IF(Q309="Yes","❌ Disc",IF(P309="No","⚠ Missing",IF(S309="Yes","✓ OK","⚠ Check"))))</f>
        <v/>
      </c>
      <c r="W309" s="65" t="n">
        <v>46248</v>
      </c>
      <c r="X309" s="30" t="inlineStr">
        <is>
          <t>Sunil CR</t>
        </is>
      </c>
      <c r="Y309" s="30" t="inlineStr">
        <is>
          <t>Represented by Sample</t>
        </is>
      </c>
      <c r="Z309" s="30" t="n"/>
      <c r="AA309" s="30" t="inlineStr">
        <is>
          <t>Represented by Sample</t>
        </is>
      </c>
      <c r="AB309" s="30" t="inlineStr">
        <is>
          <t>Yes</t>
        </is>
      </c>
      <c r="AC309" s="27" t="n"/>
      <c r="AD309" s="31" t="inlineStr">
        <is>
          <t>No</t>
        </is>
      </c>
      <c r="AE309" s="32">
        <f>IF(W309="","",IF(Z309="Yes","❌ Disc",IF(Y309="No","⚠ Missing",IF(AB309="Yes","✓ OK","⚠ Check"))))</f>
        <v/>
      </c>
      <c r="AF309" s="33" t="n"/>
      <c r="AG309" s="33" t="n"/>
      <c r="AH309" s="33" t="n"/>
      <c r="AI309" s="33" t="n"/>
      <c r="AJ309" s="33" t="n"/>
      <c r="AK309" s="33" t="n"/>
      <c r="AL309" s="27" t="n"/>
      <c r="AM309" s="34" t="n"/>
      <c r="AN309" s="35">
        <f>IF(AF309="","",IF(AI309="Yes","❌ Disc",IF(AH309="No","⚠ Missing",IF(AK309="Yes","✓ OK","⚠ Check"))))</f>
        <v/>
      </c>
      <c r="AO309" s="36" t="n"/>
      <c r="AP309" s="36" t="n"/>
      <c r="AQ309" s="36" t="n"/>
      <c r="AR309" s="36" t="n"/>
      <c r="AS309" s="36" t="n"/>
      <c r="AT309" s="36" t="n"/>
      <c r="AU309" s="27" t="n"/>
      <c r="AV309" s="37" t="n"/>
      <c r="AW309" s="38">
        <f>IF(AO309="","",IF(AR309="Yes","❌ Disc",IF(AQ309="No","⚠ Missing",IF(AT309="Yes","✓ OK","⚠ Check"))))</f>
        <v/>
      </c>
    </row>
    <row r="310" ht="18" customHeight="1" s="46">
      <c r="A310" s="39" t="n">
        <v>306</v>
      </c>
      <c r="B310" s="40" t="inlineStr">
        <is>
          <t>BD-HNA-2025-0331</t>
        </is>
      </c>
      <c r="C310" s="41" t="inlineStr">
        <is>
          <t>Bonito Handles - V-1561(K.H) - Black and Gold Concealed Handle  - 148mm</t>
        </is>
      </c>
      <c r="D310" s="39" t="inlineStr">
        <is>
          <t>Bonito Handles</t>
        </is>
      </c>
      <c r="E310" s="43" t="n">
        <v>46125</v>
      </c>
      <c r="F310" s="26" t="inlineStr">
        <is>
          <t>Sunil CR</t>
        </is>
      </c>
      <c r="G310" s="44" t="inlineStr">
        <is>
          <t>Yes</t>
        </is>
      </c>
      <c r="H310" s="26" t="inlineStr">
        <is>
          <t>No</t>
        </is>
      </c>
      <c r="I310" s="44" t="inlineStr">
        <is>
          <t>Good finish</t>
        </is>
      </c>
      <c r="J310" s="26" t="inlineStr">
        <is>
          <t>Yes</t>
        </is>
      </c>
      <c r="K310" s="27" t="n"/>
      <c r="L310" s="28" t="inlineStr">
        <is>
          <t>No</t>
        </is>
      </c>
      <c r="M310" s="29">
        <f>IF(E310="","",IF(H310="Yes","❌ Disc",IF(G310="No","⚠ Missing",IF(J310="Yes","✓ OK","⚠ Check"))))</f>
        <v/>
      </c>
      <c r="N310" s="43" t="n">
        <v>46196</v>
      </c>
      <c r="O310" s="26" t="inlineStr">
        <is>
          <t>Sunil CR</t>
        </is>
      </c>
      <c r="P310" s="44" t="inlineStr">
        <is>
          <t>Yes</t>
        </is>
      </c>
      <c r="Q310" s="26" t="inlineStr">
        <is>
          <t>No</t>
        </is>
      </c>
      <c r="R310" s="44" t="inlineStr">
        <is>
          <t>Good finish</t>
        </is>
      </c>
      <c r="S310" s="26" t="inlineStr">
        <is>
          <t>Yes</t>
        </is>
      </c>
      <c r="T310" s="27" t="n"/>
      <c r="U310" s="28" t="inlineStr">
        <is>
          <t>No</t>
        </is>
      </c>
      <c r="V310" s="29">
        <f>IF(N310="","",IF(Q310="Yes","❌ Disc",IF(P310="No","⚠ Missing",IF(S310="Yes","✓ OK","⚠ Check"))))</f>
        <v/>
      </c>
      <c r="W310" s="65" t="n">
        <v>46248</v>
      </c>
      <c r="X310" s="30" t="inlineStr">
        <is>
          <t>Sunil CR</t>
        </is>
      </c>
      <c r="Y310" s="30" t="inlineStr">
        <is>
          <t>Yes</t>
        </is>
      </c>
      <c r="Z310" s="30" t="n"/>
      <c r="AA310" s="30" t="inlineStr">
        <is>
          <t>Good finish</t>
        </is>
      </c>
      <c r="AB310" s="30" t="inlineStr">
        <is>
          <t>Yes</t>
        </is>
      </c>
      <c r="AC310" s="27" t="n"/>
      <c r="AD310" s="31" t="inlineStr">
        <is>
          <t>No</t>
        </is>
      </c>
      <c r="AE310" s="32">
        <f>IF(W310="","",IF(Z310="Yes","❌ Disc",IF(Y310="No","⚠ Missing",IF(AB310="Yes","✓ OK","⚠ Check"))))</f>
        <v/>
      </c>
      <c r="AF310" s="33" t="n"/>
      <c r="AG310" s="33" t="n"/>
      <c r="AH310" s="33" t="n"/>
      <c r="AI310" s="33" t="n"/>
      <c r="AJ310" s="33" t="n"/>
      <c r="AK310" s="33" t="n"/>
      <c r="AL310" s="27" t="n"/>
      <c r="AM310" s="34" t="n"/>
      <c r="AN310" s="35">
        <f>IF(AF310="","",IF(AI310="Yes","❌ Disc",IF(AH310="No","⚠ Missing",IF(AK310="Yes","✓ OK","⚠ Check"))))</f>
        <v/>
      </c>
      <c r="AO310" s="36" t="n"/>
      <c r="AP310" s="36" t="n"/>
      <c r="AQ310" s="36" t="n"/>
      <c r="AR310" s="36" t="n"/>
      <c r="AS310" s="36" t="n"/>
      <c r="AT310" s="36" t="n"/>
      <c r="AU310" s="27" t="n"/>
      <c r="AV310" s="37" t="n"/>
      <c r="AW310" s="38">
        <f>IF(AO310="","",IF(AR310="Yes","❌ Disc",IF(AQ310="No","⚠ Missing",IF(AT310="Yes","✓ OK","⚠ Check"))))</f>
        <v/>
      </c>
    </row>
    <row r="311" ht="18" customHeight="1" s="46">
      <c r="A311" s="23" t="n">
        <v>307</v>
      </c>
      <c r="B311" s="24" t="inlineStr">
        <is>
          <t>BD-HNA-2025-0332</t>
        </is>
      </c>
      <c r="C311" s="25" t="inlineStr">
        <is>
          <t>Bonito Handles - V-1561(K.H) - Black Concealed Handle  - 148mm</t>
        </is>
      </c>
      <c r="D311" s="23" t="inlineStr">
        <is>
          <t>Bonito Handles</t>
        </is>
      </c>
      <c r="E311" s="43" t="n">
        <v>46125</v>
      </c>
      <c r="F311" s="26" t="inlineStr">
        <is>
          <t>Sunil CR</t>
        </is>
      </c>
      <c r="G311" s="44" t="inlineStr">
        <is>
          <t>Represented by Sample</t>
        </is>
      </c>
      <c r="H311" s="26" t="inlineStr">
        <is>
          <t>No</t>
        </is>
      </c>
      <c r="I311" s="44" t="inlineStr">
        <is>
          <t>Represented by Sample</t>
        </is>
      </c>
      <c r="J311" s="26" t="inlineStr">
        <is>
          <t>Yes</t>
        </is>
      </c>
      <c r="K311" s="27" t="n"/>
      <c r="L311" s="28" t="inlineStr">
        <is>
          <t>No</t>
        </is>
      </c>
      <c r="M311" s="29">
        <f>IF(E311="","",IF(H311="Yes","❌ Disc",IF(G311="No","⚠ Missing",IF(J311="Yes","✓ OK","⚠ Check"))))</f>
        <v/>
      </c>
      <c r="N311" s="43" t="n">
        <v>46196</v>
      </c>
      <c r="O311" s="26" t="inlineStr">
        <is>
          <t>Sunil CR</t>
        </is>
      </c>
      <c r="P311" s="44" t="inlineStr">
        <is>
          <t>Represented by Sample</t>
        </is>
      </c>
      <c r="Q311" s="26" t="inlineStr">
        <is>
          <t>No</t>
        </is>
      </c>
      <c r="R311" s="44" t="inlineStr">
        <is>
          <t>Represented by Sample</t>
        </is>
      </c>
      <c r="S311" s="26" t="inlineStr">
        <is>
          <t>Yes</t>
        </is>
      </c>
      <c r="T311" s="27" t="n"/>
      <c r="U311" s="28" t="inlineStr">
        <is>
          <t>No</t>
        </is>
      </c>
      <c r="V311" s="29">
        <f>IF(N311="","",IF(Q311="Yes","❌ Disc",IF(P311="No","⚠ Missing",IF(S311="Yes","✓ OK","⚠ Check"))))</f>
        <v/>
      </c>
      <c r="W311" s="65" t="n">
        <v>46248</v>
      </c>
      <c r="X311" s="30" t="inlineStr">
        <is>
          <t>Sunil CR</t>
        </is>
      </c>
      <c r="Y311" s="30" t="inlineStr">
        <is>
          <t>Represented by Sample</t>
        </is>
      </c>
      <c r="Z311" s="30" t="n"/>
      <c r="AA311" s="30" t="inlineStr">
        <is>
          <t>Represented by Sample</t>
        </is>
      </c>
      <c r="AB311" s="30" t="inlineStr">
        <is>
          <t>Yes</t>
        </is>
      </c>
      <c r="AC311" s="27" t="n"/>
      <c r="AD311" s="31" t="inlineStr">
        <is>
          <t>No</t>
        </is>
      </c>
      <c r="AE311" s="32">
        <f>IF(W311="","",IF(Z311="Yes","❌ Disc",IF(Y311="No","⚠ Missing",IF(AB311="Yes","✓ OK","⚠ Check"))))</f>
        <v/>
      </c>
      <c r="AF311" s="33" t="n"/>
      <c r="AG311" s="33" t="n"/>
      <c r="AH311" s="33" t="n"/>
      <c r="AI311" s="33" t="n"/>
      <c r="AJ311" s="33" t="n"/>
      <c r="AK311" s="33" t="n"/>
      <c r="AL311" s="27" t="n"/>
      <c r="AM311" s="34" t="n"/>
      <c r="AN311" s="35">
        <f>IF(AF311="","",IF(AI311="Yes","❌ Disc",IF(AH311="No","⚠ Missing",IF(AK311="Yes","✓ OK","⚠ Check"))))</f>
        <v/>
      </c>
      <c r="AO311" s="36" t="n"/>
      <c r="AP311" s="36" t="n"/>
      <c r="AQ311" s="36" t="n"/>
      <c r="AR311" s="36" t="n"/>
      <c r="AS311" s="36" t="n"/>
      <c r="AT311" s="36" t="n"/>
      <c r="AU311" s="27" t="n"/>
      <c r="AV311" s="37" t="n"/>
      <c r="AW311" s="38">
        <f>IF(AO311="","",IF(AR311="Yes","❌ Disc",IF(AQ311="No","⚠ Missing",IF(AT311="Yes","✓ OK","⚠ Check"))))</f>
        <v/>
      </c>
    </row>
    <row r="312" ht="18" customHeight="1" s="46">
      <c r="A312" s="39" t="n">
        <v>308</v>
      </c>
      <c r="B312" s="40" t="inlineStr">
        <is>
          <t>BD-HNA-2025-0333</t>
        </is>
      </c>
      <c r="C312" s="41" t="inlineStr">
        <is>
          <t>Bonito Handles - V-1561(K.H) - Rose Gold Concealed Handle  - 148mm</t>
        </is>
      </c>
      <c r="D312" s="39" t="inlineStr">
        <is>
          <t>Bonito Handles</t>
        </is>
      </c>
      <c r="E312" s="43" t="n">
        <v>46125</v>
      </c>
      <c r="F312" s="26" t="inlineStr">
        <is>
          <t>Sunil CR</t>
        </is>
      </c>
      <c r="G312" s="44" t="inlineStr">
        <is>
          <t>Represented by Sample</t>
        </is>
      </c>
      <c r="H312" s="26" t="inlineStr">
        <is>
          <t>No</t>
        </is>
      </c>
      <c r="I312" s="44" t="inlineStr">
        <is>
          <t>Represented by Sample</t>
        </is>
      </c>
      <c r="J312" s="26" t="inlineStr">
        <is>
          <t>Yes</t>
        </is>
      </c>
      <c r="K312" s="27" t="n"/>
      <c r="L312" s="28" t="inlineStr">
        <is>
          <t>No</t>
        </is>
      </c>
      <c r="M312" s="29">
        <f>IF(E312="","",IF(H312="Yes","❌ Disc",IF(G312="No","⚠ Missing",IF(J312="Yes","✓ OK","⚠ Check"))))</f>
        <v/>
      </c>
      <c r="N312" s="43" t="n">
        <v>46196</v>
      </c>
      <c r="O312" s="26" t="inlineStr">
        <is>
          <t>Sunil CR</t>
        </is>
      </c>
      <c r="P312" s="44" t="inlineStr">
        <is>
          <t>Represented by Sample</t>
        </is>
      </c>
      <c r="Q312" s="26" t="inlineStr">
        <is>
          <t>No</t>
        </is>
      </c>
      <c r="R312" s="44" t="inlineStr">
        <is>
          <t>Represented by Sample</t>
        </is>
      </c>
      <c r="S312" s="26" t="inlineStr">
        <is>
          <t>Yes</t>
        </is>
      </c>
      <c r="T312" s="27" t="n"/>
      <c r="U312" s="28" t="inlineStr">
        <is>
          <t>No</t>
        </is>
      </c>
      <c r="V312" s="29">
        <f>IF(N312="","",IF(Q312="Yes","❌ Disc",IF(P312="No","⚠ Missing",IF(S312="Yes","✓ OK","⚠ Check"))))</f>
        <v/>
      </c>
      <c r="W312" s="65" t="n">
        <v>46248</v>
      </c>
      <c r="X312" s="30" t="inlineStr">
        <is>
          <t>Sunil CR</t>
        </is>
      </c>
      <c r="Y312" s="30" t="inlineStr">
        <is>
          <t>Represented by Sample</t>
        </is>
      </c>
      <c r="Z312" s="30" t="n"/>
      <c r="AA312" s="30" t="inlineStr">
        <is>
          <t>Represented by Sample</t>
        </is>
      </c>
      <c r="AB312" s="30" t="inlineStr">
        <is>
          <t>Yes</t>
        </is>
      </c>
      <c r="AC312" s="27" t="n"/>
      <c r="AD312" s="31" t="inlineStr">
        <is>
          <t>No</t>
        </is>
      </c>
      <c r="AE312" s="32">
        <f>IF(W312="","",IF(Z312="Yes","❌ Disc",IF(Y312="No","⚠ Missing",IF(AB312="Yes","✓ OK","⚠ Check"))))</f>
        <v/>
      </c>
      <c r="AF312" s="33" t="n"/>
      <c r="AG312" s="33" t="n"/>
      <c r="AH312" s="33" t="n"/>
      <c r="AI312" s="33" t="n"/>
      <c r="AJ312" s="33" t="n"/>
      <c r="AK312" s="33" t="n"/>
      <c r="AL312" s="27" t="n"/>
      <c r="AM312" s="34" t="n"/>
      <c r="AN312" s="35">
        <f>IF(AF312="","",IF(AI312="Yes","❌ Disc",IF(AH312="No","⚠ Missing",IF(AK312="Yes","✓ OK","⚠ Check"))))</f>
        <v/>
      </c>
      <c r="AO312" s="36" t="n"/>
      <c r="AP312" s="36" t="n"/>
      <c r="AQ312" s="36" t="n"/>
      <c r="AR312" s="36" t="n"/>
      <c r="AS312" s="36" t="n"/>
      <c r="AT312" s="36" t="n"/>
      <c r="AU312" s="27" t="n"/>
      <c r="AV312" s="37" t="n"/>
      <c r="AW312" s="38">
        <f>IF(AO312="","",IF(AR312="Yes","❌ Disc",IF(AQ312="No","⚠ Missing",IF(AT312="Yes","✓ OK","⚠ Check"))))</f>
        <v/>
      </c>
    </row>
    <row r="313" ht="18" customHeight="1" s="46">
      <c r="A313" s="23" t="n">
        <v>309</v>
      </c>
      <c r="B313" s="24" t="inlineStr">
        <is>
          <t>BD-HNA-2025-0441</t>
        </is>
      </c>
      <c r="C313" s="25" t="inlineStr">
        <is>
          <t>Bonito Handles - V-3269(KH) - Black and Gold Knob - 49mm</t>
        </is>
      </c>
      <c r="D313" s="23" t="inlineStr">
        <is>
          <t>Bonito Handles</t>
        </is>
      </c>
      <c r="E313" s="43" t="n">
        <v>46125</v>
      </c>
      <c r="F313" s="26" t="inlineStr">
        <is>
          <t>Sunil CR</t>
        </is>
      </c>
      <c r="G313" s="44" t="inlineStr">
        <is>
          <t>Yes</t>
        </is>
      </c>
      <c r="H313" s="26" t="inlineStr">
        <is>
          <t>No</t>
        </is>
      </c>
      <c r="I313" s="44" t="inlineStr">
        <is>
          <t>Good finish</t>
        </is>
      </c>
      <c r="J313" s="26" t="inlineStr">
        <is>
          <t>Yes</t>
        </is>
      </c>
      <c r="K313" s="27" t="n"/>
      <c r="L313" s="28" t="inlineStr">
        <is>
          <t>No</t>
        </is>
      </c>
      <c r="M313" s="29">
        <f>IF(E313="","",IF(H313="Yes","❌ Disc",IF(G313="No","⚠ Missing",IF(J313="Yes","✓ OK","⚠ Check"))))</f>
        <v/>
      </c>
      <c r="N313" s="43" t="n">
        <v>46196</v>
      </c>
      <c r="O313" s="26" t="inlineStr">
        <is>
          <t>Sunil CR</t>
        </is>
      </c>
      <c r="P313" s="44" t="inlineStr">
        <is>
          <t>Yes</t>
        </is>
      </c>
      <c r="Q313" s="26" t="inlineStr">
        <is>
          <t>No</t>
        </is>
      </c>
      <c r="R313" s="44" t="inlineStr">
        <is>
          <t>Good finish</t>
        </is>
      </c>
      <c r="S313" s="26" t="inlineStr">
        <is>
          <t>Yes</t>
        </is>
      </c>
      <c r="T313" s="27" t="n"/>
      <c r="U313" s="28" t="inlineStr">
        <is>
          <t>No</t>
        </is>
      </c>
      <c r="V313" s="29">
        <f>IF(N313="","",IF(Q313="Yes","❌ Disc",IF(P313="No","⚠ Missing",IF(S313="Yes","✓ OK","⚠ Check"))))</f>
        <v/>
      </c>
      <c r="W313" s="65" t="n">
        <v>46248</v>
      </c>
      <c r="X313" s="30" t="inlineStr">
        <is>
          <t>Sunil CR</t>
        </is>
      </c>
      <c r="Y313" s="30" t="inlineStr">
        <is>
          <t>Yes</t>
        </is>
      </c>
      <c r="Z313" s="30" t="n"/>
      <c r="AA313" s="30" t="inlineStr">
        <is>
          <t>Good finish</t>
        </is>
      </c>
      <c r="AB313" s="30" t="inlineStr">
        <is>
          <t>Yes</t>
        </is>
      </c>
      <c r="AC313" s="27" t="n"/>
      <c r="AD313" s="31" t="inlineStr">
        <is>
          <t>No</t>
        </is>
      </c>
      <c r="AE313" s="32">
        <f>IF(W313="","",IF(Z313="Yes","❌ Disc",IF(Y313="No","⚠ Missing",IF(AB313="Yes","✓ OK","⚠ Check"))))</f>
        <v/>
      </c>
      <c r="AF313" s="33" t="n"/>
      <c r="AG313" s="33" t="n"/>
      <c r="AH313" s="33" t="n"/>
      <c r="AI313" s="33" t="n"/>
      <c r="AJ313" s="33" t="n"/>
      <c r="AK313" s="33" t="n"/>
      <c r="AL313" s="27" t="n"/>
      <c r="AM313" s="34" t="n"/>
      <c r="AN313" s="35">
        <f>IF(AF313="","",IF(AI313="Yes","❌ Disc",IF(AH313="No","⚠ Missing",IF(AK313="Yes","✓ OK","⚠ Check"))))</f>
        <v/>
      </c>
      <c r="AO313" s="36" t="n"/>
      <c r="AP313" s="36" t="n"/>
      <c r="AQ313" s="36" t="n"/>
      <c r="AR313" s="36" t="n"/>
      <c r="AS313" s="36" t="n"/>
      <c r="AT313" s="36" t="n"/>
      <c r="AU313" s="27" t="n"/>
      <c r="AV313" s="37" t="n"/>
      <c r="AW313" s="38">
        <f>IF(AO313="","",IF(AR313="Yes","❌ Disc",IF(AQ313="No","⚠ Missing",IF(AT313="Yes","✓ OK","⚠ Check"))))</f>
        <v/>
      </c>
    </row>
    <row r="314" ht="18" customHeight="1" s="46">
      <c r="A314" s="39" t="n">
        <v>310</v>
      </c>
      <c r="B314" s="40" t="inlineStr">
        <is>
          <t>BD-HNA-2025-0442</t>
        </is>
      </c>
      <c r="C314" s="41" t="inlineStr">
        <is>
          <t>Bonito Handles - V-3269(KH) - Grey Knob - 49mm</t>
        </is>
      </c>
      <c r="D314" s="39" t="inlineStr">
        <is>
          <t>Bonito Handles</t>
        </is>
      </c>
      <c r="E314" s="43" t="n">
        <v>46125</v>
      </c>
      <c r="F314" s="26" t="inlineStr">
        <is>
          <t>Sunil CR</t>
        </is>
      </c>
      <c r="G314" s="44" t="inlineStr">
        <is>
          <t>Represented by Sample</t>
        </is>
      </c>
      <c r="H314" s="26" t="inlineStr">
        <is>
          <t>No</t>
        </is>
      </c>
      <c r="I314" s="44" t="inlineStr">
        <is>
          <t>Represented by Sample</t>
        </is>
      </c>
      <c r="J314" s="26" t="inlineStr">
        <is>
          <t>Yes</t>
        </is>
      </c>
      <c r="K314" s="27" t="n"/>
      <c r="L314" s="28" t="inlineStr">
        <is>
          <t>No</t>
        </is>
      </c>
      <c r="M314" s="29">
        <f>IF(E314="","",IF(H314="Yes","❌ Disc",IF(G314="No","⚠ Missing",IF(J314="Yes","✓ OK","⚠ Check"))))</f>
        <v/>
      </c>
      <c r="N314" s="43" t="n">
        <v>46196</v>
      </c>
      <c r="O314" s="26" t="inlineStr">
        <is>
          <t>Sunil CR</t>
        </is>
      </c>
      <c r="P314" s="44" t="inlineStr">
        <is>
          <t>Represented by Sample</t>
        </is>
      </c>
      <c r="Q314" s="26" t="inlineStr">
        <is>
          <t>No</t>
        </is>
      </c>
      <c r="R314" s="44" t="inlineStr">
        <is>
          <t>Represented by Sample</t>
        </is>
      </c>
      <c r="S314" s="26" t="inlineStr">
        <is>
          <t>Yes</t>
        </is>
      </c>
      <c r="T314" s="27" t="n"/>
      <c r="U314" s="28" t="inlineStr">
        <is>
          <t>No</t>
        </is>
      </c>
      <c r="V314" s="29">
        <f>IF(N314="","",IF(Q314="Yes","❌ Disc",IF(P314="No","⚠ Missing",IF(S314="Yes","✓ OK","⚠ Check"))))</f>
        <v/>
      </c>
      <c r="W314" s="65" t="n">
        <v>46248</v>
      </c>
      <c r="X314" s="30" t="inlineStr">
        <is>
          <t>Sunil CR</t>
        </is>
      </c>
      <c r="Y314" s="30" t="inlineStr">
        <is>
          <t>Represented by Sample</t>
        </is>
      </c>
      <c r="Z314" s="30" t="n"/>
      <c r="AA314" s="30" t="inlineStr">
        <is>
          <t>Represented by Sample</t>
        </is>
      </c>
      <c r="AB314" s="30" t="inlineStr">
        <is>
          <t>Yes</t>
        </is>
      </c>
      <c r="AC314" s="27" t="n"/>
      <c r="AD314" s="31" t="inlineStr">
        <is>
          <t>No</t>
        </is>
      </c>
      <c r="AE314" s="32">
        <f>IF(W314="","",IF(Z314="Yes","❌ Disc",IF(Y314="No","⚠ Missing",IF(AB314="Yes","✓ OK","⚠ Check"))))</f>
        <v/>
      </c>
      <c r="AF314" s="33" t="n"/>
      <c r="AG314" s="33" t="n"/>
      <c r="AH314" s="33" t="n"/>
      <c r="AI314" s="33" t="n"/>
      <c r="AJ314" s="33" t="n"/>
      <c r="AK314" s="33" t="n"/>
      <c r="AL314" s="27" t="n"/>
      <c r="AM314" s="34" t="n"/>
      <c r="AN314" s="35">
        <f>IF(AF314="","",IF(AI314="Yes","❌ Disc",IF(AH314="No","⚠ Missing",IF(AK314="Yes","✓ OK","⚠ Check"))))</f>
        <v/>
      </c>
      <c r="AO314" s="36" t="n"/>
      <c r="AP314" s="36" t="n"/>
      <c r="AQ314" s="36" t="n"/>
      <c r="AR314" s="36" t="n"/>
      <c r="AS314" s="36" t="n"/>
      <c r="AT314" s="36" t="n"/>
      <c r="AU314" s="27" t="n"/>
      <c r="AV314" s="37" t="n"/>
      <c r="AW314" s="38">
        <f>IF(AO314="","",IF(AR314="Yes","❌ Disc",IF(AQ314="No","⚠ Missing",IF(AT314="Yes","✓ OK","⚠ Check"))))</f>
        <v/>
      </c>
    </row>
    <row r="315" ht="18" customHeight="1" s="46">
      <c r="A315" s="23" t="n">
        <v>311</v>
      </c>
      <c r="B315" s="24" t="inlineStr">
        <is>
          <t>BD-HNA-2025-0445</t>
        </is>
      </c>
      <c r="C315" s="25" t="inlineStr">
        <is>
          <t>Bonito Handles - V-3276(K.H) - Black Knob - 40x40mm</t>
        </is>
      </c>
      <c r="D315" s="23" t="inlineStr">
        <is>
          <t>Bonito Handles</t>
        </is>
      </c>
      <c r="E315" s="43" t="n">
        <v>46125</v>
      </c>
      <c r="F315" s="26" t="inlineStr">
        <is>
          <t>Sunil CR</t>
        </is>
      </c>
      <c r="G315" s="44" t="inlineStr">
        <is>
          <t>No</t>
        </is>
      </c>
      <c r="H315" s="26" t="inlineStr">
        <is>
          <t>No</t>
        </is>
      </c>
      <c r="I315" s="44" t="inlineStr">
        <is>
          <t>Not Available</t>
        </is>
      </c>
      <c r="J315" s="26" t="inlineStr">
        <is>
          <t>No</t>
        </is>
      </c>
      <c r="K315" s="27" t="n"/>
      <c r="L315" s="28" t="inlineStr">
        <is>
          <t>Yes</t>
        </is>
      </c>
      <c r="M315" s="29">
        <f>IF(E315="","",IF(H315="Yes","❌ Disc",IF(G315="No","⚠ Missing",IF(J315="Yes","✓ OK","⚠ Check"))))</f>
        <v/>
      </c>
      <c r="N315" s="43" t="n">
        <v>46196</v>
      </c>
      <c r="O315" s="26" t="inlineStr">
        <is>
          <t>Sunil CR</t>
        </is>
      </c>
      <c r="P315" s="44" t="inlineStr">
        <is>
          <t>No</t>
        </is>
      </c>
      <c r="Q315" s="26" t="inlineStr">
        <is>
          <t>No</t>
        </is>
      </c>
      <c r="R315" s="44" t="inlineStr">
        <is>
          <t>Not Available</t>
        </is>
      </c>
      <c r="S315" s="26" t="inlineStr">
        <is>
          <t>No</t>
        </is>
      </c>
      <c r="T315" s="27" t="n"/>
      <c r="U315" s="28" t="inlineStr">
        <is>
          <t>Yes</t>
        </is>
      </c>
      <c r="V315" s="29">
        <f>IF(N315="","",IF(Q315="Yes","❌ Disc",IF(P315="No","⚠ Missing",IF(S315="Yes","✓ OK","⚠ Check"))))</f>
        <v/>
      </c>
      <c r="W315" s="65" t="n">
        <v>46248</v>
      </c>
      <c r="X315" s="30" t="inlineStr">
        <is>
          <t>Sunil CR</t>
        </is>
      </c>
      <c r="Y315" s="30" t="inlineStr">
        <is>
          <t>No</t>
        </is>
      </c>
      <c r="Z315" s="30" t="n"/>
      <c r="AA315" s="30" t="inlineStr">
        <is>
          <t>Not Available</t>
        </is>
      </c>
      <c r="AB315" s="30" t="inlineStr">
        <is>
          <t>No</t>
        </is>
      </c>
      <c r="AC315" s="27" t="n"/>
      <c r="AD315" s="31" t="inlineStr">
        <is>
          <t>Yes</t>
        </is>
      </c>
      <c r="AE315" s="32">
        <f>IF(W315="","",IF(Z315="Yes","❌ Disc",IF(Y315="No","⚠ Missing",IF(AB315="Yes","✓ OK","⚠ Check"))))</f>
        <v/>
      </c>
      <c r="AF315" s="33" t="n"/>
      <c r="AG315" s="33" t="n"/>
      <c r="AH315" s="33" t="n"/>
      <c r="AI315" s="33" t="n"/>
      <c r="AJ315" s="33" t="n"/>
      <c r="AK315" s="33" t="n"/>
      <c r="AL315" s="27" t="n"/>
      <c r="AM315" s="34" t="n"/>
      <c r="AN315" s="35">
        <f>IF(AF315="","",IF(AI315="Yes","❌ Disc",IF(AH315="No","⚠ Missing",IF(AK315="Yes","✓ OK","⚠ Check"))))</f>
        <v/>
      </c>
      <c r="AO315" s="36" t="n"/>
      <c r="AP315" s="36" t="n"/>
      <c r="AQ315" s="36" t="n"/>
      <c r="AR315" s="36" t="n"/>
      <c r="AS315" s="36" t="n"/>
      <c r="AT315" s="36" t="n"/>
      <c r="AU315" s="27" t="n"/>
      <c r="AV315" s="37" t="n"/>
      <c r="AW315" s="38">
        <f>IF(AO315="","",IF(AR315="Yes","❌ Disc",IF(AQ315="No","⚠ Missing",IF(AT315="Yes","✓ OK","⚠ Check"))))</f>
        <v/>
      </c>
    </row>
    <row r="316" ht="18" customHeight="1" s="46">
      <c r="A316" s="39" t="n">
        <v>312</v>
      </c>
      <c r="B316" s="40" t="inlineStr">
        <is>
          <t>BD-HNA-2025-0443</t>
        </is>
      </c>
      <c r="C316" s="41" t="inlineStr">
        <is>
          <t>Bonito Handles - V-3276(K.H) - Gold Knob - 40x40mm</t>
        </is>
      </c>
      <c r="D316" s="39" t="inlineStr">
        <is>
          <t>Bonito Handles</t>
        </is>
      </c>
      <c r="E316" s="43" t="n">
        <v>46125</v>
      </c>
      <c r="F316" s="26" t="inlineStr">
        <is>
          <t>Sunil CR</t>
        </is>
      </c>
      <c r="G316" s="44" t="inlineStr">
        <is>
          <t>No</t>
        </is>
      </c>
      <c r="H316" s="26" t="inlineStr">
        <is>
          <t>No</t>
        </is>
      </c>
      <c r="I316" s="44" t="inlineStr">
        <is>
          <t>Not Available</t>
        </is>
      </c>
      <c r="J316" s="26" t="inlineStr">
        <is>
          <t>No</t>
        </is>
      </c>
      <c r="K316" s="27" t="n"/>
      <c r="L316" s="28" t="inlineStr">
        <is>
          <t>Yes</t>
        </is>
      </c>
      <c r="M316" s="29">
        <f>IF(E316="","",IF(H316="Yes","❌ Disc",IF(G316="No","⚠ Missing",IF(J316="Yes","✓ OK","⚠ Check"))))</f>
        <v/>
      </c>
      <c r="N316" s="43" t="n">
        <v>46196</v>
      </c>
      <c r="O316" s="26" t="inlineStr">
        <is>
          <t>Sunil CR</t>
        </is>
      </c>
      <c r="P316" s="44" t="inlineStr">
        <is>
          <t>No</t>
        </is>
      </c>
      <c r="Q316" s="26" t="inlineStr">
        <is>
          <t>No</t>
        </is>
      </c>
      <c r="R316" s="44" t="inlineStr">
        <is>
          <t>Not Available</t>
        </is>
      </c>
      <c r="S316" s="26" t="inlineStr">
        <is>
          <t>No</t>
        </is>
      </c>
      <c r="T316" s="27" t="n"/>
      <c r="U316" s="28" t="inlineStr">
        <is>
          <t>Yes</t>
        </is>
      </c>
      <c r="V316" s="29">
        <f>IF(N316="","",IF(Q316="Yes","❌ Disc",IF(P316="No","⚠ Missing",IF(S316="Yes","✓ OK","⚠ Check"))))</f>
        <v/>
      </c>
      <c r="W316" s="65" t="n">
        <v>46248</v>
      </c>
      <c r="X316" s="30" t="inlineStr">
        <is>
          <t>Sunil CR</t>
        </is>
      </c>
      <c r="Y316" s="30" t="inlineStr">
        <is>
          <t>No</t>
        </is>
      </c>
      <c r="Z316" s="30" t="n"/>
      <c r="AA316" s="30" t="inlineStr">
        <is>
          <t>Not Available</t>
        </is>
      </c>
      <c r="AB316" s="30" t="inlineStr">
        <is>
          <t>No</t>
        </is>
      </c>
      <c r="AC316" s="27" t="n"/>
      <c r="AD316" s="31" t="inlineStr">
        <is>
          <t>Yes</t>
        </is>
      </c>
      <c r="AE316" s="32">
        <f>IF(W316="","",IF(Z316="Yes","❌ Disc",IF(Y316="No","⚠ Missing",IF(AB316="Yes","✓ OK","⚠ Check"))))</f>
        <v/>
      </c>
      <c r="AF316" s="33" t="n"/>
      <c r="AG316" s="33" t="n"/>
      <c r="AH316" s="33" t="n"/>
      <c r="AI316" s="33" t="n"/>
      <c r="AJ316" s="33" t="n"/>
      <c r="AK316" s="33" t="n"/>
      <c r="AL316" s="27" t="n"/>
      <c r="AM316" s="34" t="n"/>
      <c r="AN316" s="35">
        <f>IF(AF316="","",IF(AI316="Yes","❌ Disc",IF(AH316="No","⚠ Missing",IF(AK316="Yes","✓ OK","⚠ Check"))))</f>
        <v/>
      </c>
      <c r="AO316" s="36" t="n"/>
      <c r="AP316" s="36" t="n"/>
      <c r="AQ316" s="36" t="n"/>
      <c r="AR316" s="36" t="n"/>
      <c r="AS316" s="36" t="n"/>
      <c r="AT316" s="36" t="n"/>
      <c r="AU316" s="27" t="n"/>
      <c r="AV316" s="37" t="n"/>
      <c r="AW316" s="38">
        <f>IF(AO316="","",IF(AR316="Yes","❌ Disc",IF(AQ316="No","⚠ Missing",IF(AT316="Yes","✓ OK","⚠ Check"))))</f>
        <v/>
      </c>
    </row>
    <row r="317" ht="18" customHeight="1" s="46">
      <c r="A317" s="23" t="n">
        <v>313</v>
      </c>
      <c r="B317" s="24" t="inlineStr">
        <is>
          <t>BD-HNA-2025-0444</t>
        </is>
      </c>
      <c r="C317" s="25" t="inlineStr">
        <is>
          <t>Bonito Handles - V-3276(K.H) - Rose Gold Knob - 40x40mm</t>
        </is>
      </c>
      <c r="D317" s="23" t="inlineStr">
        <is>
          <t>Bonito Handles</t>
        </is>
      </c>
      <c r="E317" s="43" t="n">
        <v>46125</v>
      </c>
      <c r="F317" s="26" t="inlineStr">
        <is>
          <t>Sunil CR</t>
        </is>
      </c>
      <c r="G317" s="44" t="inlineStr">
        <is>
          <t>No</t>
        </is>
      </c>
      <c r="H317" s="26" t="inlineStr">
        <is>
          <t>No</t>
        </is>
      </c>
      <c r="I317" s="44" t="inlineStr">
        <is>
          <t>Not Available</t>
        </is>
      </c>
      <c r="J317" s="26" t="inlineStr">
        <is>
          <t>No</t>
        </is>
      </c>
      <c r="K317" s="27" t="n"/>
      <c r="L317" s="28" t="inlineStr">
        <is>
          <t>Yes</t>
        </is>
      </c>
      <c r="M317" s="29">
        <f>IF(E317="","",IF(H317="Yes","❌ Disc",IF(G317="No","⚠ Missing",IF(J317="Yes","✓ OK","⚠ Check"))))</f>
        <v/>
      </c>
      <c r="N317" s="43" t="n">
        <v>46196</v>
      </c>
      <c r="O317" s="26" t="inlineStr">
        <is>
          <t>Sunil CR</t>
        </is>
      </c>
      <c r="P317" s="44" t="inlineStr">
        <is>
          <t>No</t>
        </is>
      </c>
      <c r="Q317" s="26" t="inlineStr">
        <is>
          <t>No</t>
        </is>
      </c>
      <c r="R317" s="44" t="inlineStr">
        <is>
          <t>Not Available</t>
        </is>
      </c>
      <c r="S317" s="26" t="inlineStr">
        <is>
          <t>No</t>
        </is>
      </c>
      <c r="T317" s="27" t="n"/>
      <c r="U317" s="28" t="inlineStr">
        <is>
          <t>Yes</t>
        </is>
      </c>
      <c r="V317" s="29">
        <f>IF(N317="","",IF(Q317="Yes","❌ Disc",IF(P317="No","⚠ Missing",IF(S317="Yes","✓ OK","⚠ Check"))))</f>
        <v/>
      </c>
      <c r="W317" s="65" t="n">
        <v>46248</v>
      </c>
      <c r="X317" s="30" t="inlineStr">
        <is>
          <t>Sunil CR</t>
        </is>
      </c>
      <c r="Y317" s="30" t="inlineStr">
        <is>
          <t>No</t>
        </is>
      </c>
      <c r="Z317" s="30" t="n"/>
      <c r="AA317" s="30" t="inlineStr">
        <is>
          <t>Not Available</t>
        </is>
      </c>
      <c r="AB317" s="30" t="inlineStr">
        <is>
          <t>No</t>
        </is>
      </c>
      <c r="AC317" s="27" t="n"/>
      <c r="AD317" s="31" t="inlineStr">
        <is>
          <t>Yes</t>
        </is>
      </c>
      <c r="AE317" s="32">
        <f>IF(W317="","",IF(Z317="Yes","❌ Disc",IF(Y317="No","⚠ Missing",IF(AB317="Yes","✓ OK","⚠ Check"))))</f>
        <v/>
      </c>
      <c r="AF317" s="33" t="n"/>
      <c r="AG317" s="33" t="n"/>
      <c r="AH317" s="33" t="n"/>
      <c r="AI317" s="33" t="n"/>
      <c r="AJ317" s="33" t="n"/>
      <c r="AK317" s="33" t="n"/>
      <c r="AL317" s="27" t="n"/>
      <c r="AM317" s="34" t="n"/>
      <c r="AN317" s="35">
        <f>IF(AF317="","",IF(AI317="Yes","❌ Disc",IF(AH317="No","⚠ Missing",IF(AK317="Yes","✓ OK","⚠ Check"))))</f>
        <v/>
      </c>
      <c r="AO317" s="36" t="n"/>
      <c r="AP317" s="36" t="n"/>
      <c r="AQ317" s="36" t="n"/>
      <c r="AR317" s="36" t="n"/>
      <c r="AS317" s="36" t="n"/>
      <c r="AT317" s="36" t="n"/>
      <c r="AU317" s="27" t="n"/>
      <c r="AV317" s="37" t="n"/>
      <c r="AW317" s="38">
        <f>IF(AO317="","",IF(AR317="Yes","❌ Disc",IF(AQ317="No","⚠ Missing",IF(AT317="Yes","✓ OK","⚠ Check"))))</f>
        <v/>
      </c>
    </row>
    <row r="318" ht="18" customHeight="1" s="46">
      <c r="A318" s="39" t="n">
        <v>314</v>
      </c>
      <c r="B318" s="40" t="inlineStr">
        <is>
          <t>BD-HNA-2025-0417</t>
        </is>
      </c>
      <c r="C318" s="41" t="inlineStr">
        <is>
          <t>Bonito Handles - V-3279(K.H) - Antique Knob - 50mm</t>
        </is>
      </c>
      <c r="D318" s="39" t="inlineStr">
        <is>
          <t>Bonito Handles</t>
        </is>
      </c>
      <c r="E318" s="43" t="n">
        <v>46125</v>
      </c>
      <c r="F318" s="26" t="inlineStr">
        <is>
          <t>Sunil CR</t>
        </is>
      </c>
      <c r="G318" s="44" t="inlineStr">
        <is>
          <t>Yes</t>
        </is>
      </c>
      <c r="H318" s="26" t="inlineStr">
        <is>
          <t>No</t>
        </is>
      </c>
      <c r="I318" s="44" t="inlineStr">
        <is>
          <t>Good finish</t>
        </is>
      </c>
      <c r="J318" s="26" t="inlineStr">
        <is>
          <t>Yes</t>
        </is>
      </c>
      <c r="K318" s="27" t="n"/>
      <c r="L318" s="28" t="inlineStr">
        <is>
          <t>No</t>
        </is>
      </c>
      <c r="M318" s="29">
        <f>IF(E318="","",IF(H318="Yes","❌ Disc",IF(G318="No","⚠ Missing",IF(J318="Yes","✓ OK","⚠ Check"))))</f>
        <v/>
      </c>
      <c r="N318" s="43" t="n">
        <v>46196</v>
      </c>
      <c r="O318" s="26" t="inlineStr">
        <is>
          <t>Sunil CR</t>
        </is>
      </c>
      <c r="P318" s="44" t="inlineStr">
        <is>
          <t>Yes</t>
        </is>
      </c>
      <c r="Q318" s="26" t="inlineStr">
        <is>
          <t>No</t>
        </is>
      </c>
      <c r="R318" s="44" t="inlineStr">
        <is>
          <t>Good finish</t>
        </is>
      </c>
      <c r="S318" s="26" t="inlineStr">
        <is>
          <t>Yes</t>
        </is>
      </c>
      <c r="T318" s="27" t="n"/>
      <c r="U318" s="28" t="inlineStr">
        <is>
          <t>No</t>
        </is>
      </c>
      <c r="V318" s="29">
        <f>IF(N318="","",IF(Q318="Yes","❌ Disc",IF(P318="No","⚠ Missing",IF(S318="Yes","✓ OK","⚠ Check"))))</f>
        <v/>
      </c>
      <c r="W318" s="65" t="n">
        <v>46248</v>
      </c>
      <c r="X318" s="30" t="inlineStr">
        <is>
          <t>Sunil CR</t>
        </is>
      </c>
      <c r="Y318" s="30" t="inlineStr">
        <is>
          <t>Yes</t>
        </is>
      </c>
      <c r="Z318" s="30" t="n"/>
      <c r="AA318" s="30" t="inlineStr">
        <is>
          <t>Good finish</t>
        </is>
      </c>
      <c r="AB318" s="30" t="inlineStr">
        <is>
          <t>Yes</t>
        </is>
      </c>
      <c r="AC318" s="27" t="n"/>
      <c r="AD318" s="31" t="inlineStr">
        <is>
          <t>No</t>
        </is>
      </c>
      <c r="AE318" s="32">
        <f>IF(W318="","",IF(Z318="Yes","❌ Disc",IF(Y318="No","⚠ Missing",IF(AB318="Yes","✓ OK","⚠ Check"))))</f>
        <v/>
      </c>
      <c r="AF318" s="33" t="n"/>
      <c r="AG318" s="33" t="n"/>
      <c r="AH318" s="33" t="n"/>
      <c r="AI318" s="33" t="n"/>
      <c r="AJ318" s="33" t="n"/>
      <c r="AK318" s="33" t="n"/>
      <c r="AL318" s="27" t="n"/>
      <c r="AM318" s="34" t="n"/>
      <c r="AN318" s="35">
        <f>IF(AF318="","",IF(AI318="Yes","❌ Disc",IF(AH318="No","⚠ Missing",IF(AK318="Yes","✓ OK","⚠ Check"))))</f>
        <v/>
      </c>
      <c r="AO318" s="36" t="n"/>
      <c r="AP318" s="36" t="n"/>
      <c r="AQ318" s="36" t="n"/>
      <c r="AR318" s="36" t="n"/>
      <c r="AS318" s="36" t="n"/>
      <c r="AT318" s="36" t="n"/>
      <c r="AU318" s="27" t="n"/>
      <c r="AV318" s="37" t="n"/>
      <c r="AW318" s="38">
        <f>IF(AO318="","",IF(AR318="Yes","❌ Disc",IF(AQ318="No","⚠ Missing",IF(AT318="Yes","✓ OK","⚠ Check"))))</f>
        <v/>
      </c>
    </row>
    <row r="319" ht="18" customHeight="1" s="46">
      <c r="A319" s="23" t="n">
        <v>315</v>
      </c>
      <c r="B319" s="24" t="inlineStr">
        <is>
          <t>BD-HNA-2025-0418</t>
        </is>
      </c>
      <c r="C319" s="25" t="inlineStr">
        <is>
          <t>Bonito Handles - V-3279(K.H) - Black Knob - 50mm</t>
        </is>
      </c>
      <c r="D319" s="23" t="inlineStr">
        <is>
          <t>Bonito Handles</t>
        </is>
      </c>
      <c r="E319" s="43" t="n">
        <v>46125</v>
      </c>
      <c r="F319" s="26" t="inlineStr">
        <is>
          <t>Sunil CR</t>
        </is>
      </c>
      <c r="G319" s="44" t="inlineStr">
        <is>
          <t>Represented by Sample</t>
        </is>
      </c>
      <c r="H319" s="26" t="inlineStr">
        <is>
          <t>No</t>
        </is>
      </c>
      <c r="I319" s="44" t="inlineStr">
        <is>
          <t>Represented by Sample</t>
        </is>
      </c>
      <c r="J319" s="26" t="inlineStr">
        <is>
          <t>Yes</t>
        </is>
      </c>
      <c r="K319" s="27" t="n"/>
      <c r="L319" s="28" t="inlineStr">
        <is>
          <t>No</t>
        </is>
      </c>
      <c r="M319" s="29">
        <f>IF(E319="","",IF(H319="Yes","❌ Disc",IF(G319="No","⚠ Missing",IF(J319="Yes","✓ OK","⚠ Check"))))</f>
        <v/>
      </c>
      <c r="N319" s="43" t="n">
        <v>46196</v>
      </c>
      <c r="O319" s="26" t="inlineStr">
        <is>
          <t>Sunil CR</t>
        </is>
      </c>
      <c r="P319" s="44" t="inlineStr">
        <is>
          <t>Represented by Sample</t>
        </is>
      </c>
      <c r="Q319" s="26" t="inlineStr">
        <is>
          <t>No</t>
        </is>
      </c>
      <c r="R319" s="44" t="inlineStr">
        <is>
          <t>Represented by Sample</t>
        </is>
      </c>
      <c r="S319" s="26" t="inlineStr">
        <is>
          <t>Yes</t>
        </is>
      </c>
      <c r="T319" s="27" t="n"/>
      <c r="U319" s="28" t="inlineStr">
        <is>
          <t>No</t>
        </is>
      </c>
      <c r="V319" s="29">
        <f>IF(N319="","",IF(Q319="Yes","❌ Disc",IF(P319="No","⚠ Missing",IF(S319="Yes","✓ OK","⚠ Check"))))</f>
        <v/>
      </c>
      <c r="W319" s="65" t="n">
        <v>46248</v>
      </c>
      <c r="X319" s="30" t="inlineStr">
        <is>
          <t>Sunil CR</t>
        </is>
      </c>
      <c r="Y319" s="30" t="inlineStr">
        <is>
          <t>Represented by Sample</t>
        </is>
      </c>
      <c r="Z319" s="30" t="n"/>
      <c r="AA319" s="30" t="inlineStr">
        <is>
          <t>Represented by Sample</t>
        </is>
      </c>
      <c r="AB319" s="30" t="inlineStr">
        <is>
          <t>Yes</t>
        </is>
      </c>
      <c r="AC319" s="27" t="n"/>
      <c r="AD319" s="31" t="inlineStr">
        <is>
          <t>No</t>
        </is>
      </c>
      <c r="AE319" s="32">
        <f>IF(W319="","",IF(Z319="Yes","❌ Disc",IF(Y319="No","⚠ Missing",IF(AB319="Yes","✓ OK","⚠ Check"))))</f>
        <v/>
      </c>
      <c r="AF319" s="33" t="n"/>
      <c r="AG319" s="33" t="n"/>
      <c r="AH319" s="33" t="n"/>
      <c r="AI319" s="33" t="n"/>
      <c r="AJ319" s="33" t="n"/>
      <c r="AK319" s="33" t="n"/>
      <c r="AL319" s="27" t="n"/>
      <c r="AM319" s="34" t="n"/>
      <c r="AN319" s="35">
        <f>IF(AF319="","",IF(AI319="Yes","❌ Disc",IF(AH319="No","⚠ Missing",IF(AK319="Yes","✓ OK","⚠ Check"))))</f>
        <v/>
      </c>
      <c r="AO319" s="36" t="n"/>
      <c r="AP319" s="36" t="n"/>
      <c r="AQ319" s="36" t="n"/>
      <c r="AR319" s="36" t="n"/>
      <c r="AS319" s="36" t="n"/>
      <c r="AT319" s="36" t="n"/>
      <c r="AU319" s="27" t="n"/>
      <c r="AV319" s="37" t="n"/>
      <c r="AW319" s="38">
        <f>IF(AO319="","",IF(AR319="Yes","❌ Disc",IF(AQ319="No","⚠ Missing",IF(AT319="Yes","✓ OK","⚠ Check"))))</f>
        <v/>
      </c>
    </row>
    <row r="320" ht="18" customHeight="1" s="46">
      <c r="A320" s="39" t="n">
        <v>316</v>
      </c>
      <c r="B320" s="40" t="inlineStr">
        <is>
          <t>BD-HNA-2025-0419</t>
        </is>
      </c>
      <c r="C320" s="41" t="inlineStr">
        <is>
          <t>Bonito Handles - V-3279(K.H) - Gold Knob - 50mm</t>
        </is>
      </c>
      <c r="D320" s="39" t="inlineStr">
        <is>
          <t>Bonito Handles</t>
        </is>
      </c>
      <c r="E320" s="43" t="n">
        <v>46125</v>
      </c>
      <c r="F320" s="26" t="inlineStr">
        <is>
          <t>Sunil CR</t>
        </is>
      </c>
      <c r="G320" s="44" t="inlineStr">
        <is>
          <t>Represented by Sample</t>
        </is>
      </c>
      <c r="H320" s="26" t="inlineStr">
        <is>
          <t>No</t>
        </is>
      </c>
      <c r="I320" s="44" t="inlineStr">
        <is>
          <t>Represented by Sample</t>
        </is>
      </c>
      <c r="J320" s="26" t="inlineStr">
        <is>
          <t>Yes</t>
        </is>
      </c>
      <c r="K320" s="27" t="n"/>
      <c r="L320" s="28" t="inlineStr">
        <is>
          <t>No</t>
        </is>
      </c>
      <c r="M320" s="29">
        <f>IF(E320="","",IF(H320="Yes","❌ Disc",IF(G320="No","⚠ Missing",IF(J320="Yes","✓ OK","⚠ Check"))))</f>
        <v/>
      </c>
      <c r="N320" s="43" t="n">
        <v>46196</v>
      </c>
      <c r="O320" s="26" t="inlineStr">
        <is>
          <t>Sunil CR</t>
        </is>
      </c>
      <c r="P320" s="44" t="inlineStr">
        <is>
          <t>Represented by Sample</t>
        </is>
      </c>
      <c r="Q320" s="26" t="inlineStr">
        <is>
          <t>No</t>
        </is>
      </c>
      <c r="R320" s="44" t="inlineStr">
        <is>
          <t>Represented by Sample</t>
        </is>
      </c>
      <c r="S320" s="26" t="inlineStr">
        <is>
          <t>Yes</t>
        </is>
      </c>
      <c r="T320" s="27" t="n"/>
      <c r="U320" s="28" t="inlineStr">
        <is>
          <t>No</t>
        </is>
      </c>
      <c r="V320" s="29">
        <f>IF(N320="","",IF(Q320="Yes","❌ Disc",IF(P320="No","⚠ Missing",IF(S320="Yes","✓ OK","⚠ Check"))))</f>
        <v/>
      </c>
      <c r="W320" s="65" t="n">
        <v>46248</v>
      </c>
      <c r="X320" s="30" t="inlineStr">
        <is>
          <t>Sunil CR</t>
        </is>
      </c>
      <c r="Y320" s="30" t="inlineStr">
        <is>
          <t>Represented by Sample</t>
        </is>
      </c>
      <c r="Z320" s="30" t="n"/>
      <c r="AA320" s="30" t="inlineStr">
        <is>
          <t>Represented by Sample</t>
        </is>
      </c>
      <c r="AB320" s="30" t="inlineStr">
        <is>
          <t>Yes</t>
        </is>
      </c>
      <c r="AC320" s="27" t="n"/>
      <c r="AD320" s="31" t="inlineStr">
        <is>
          <t>No</t>
        </is>
      </c>
      <c r="AE320" s="32">
        <f>IF(W320="","",IF(Z320="Yes","❌ Disc",IF(Y320="No","⚠ Missing",IF(AB320="Yes","✓ OK","⚠ Check"))))</f>
        <v/>
      </c>
      <c r="AF320" s="33" t="n"/>
      <c r="AG320" s="33" t="n"/>
      <c r="AH320" s="33" t="n"/>
      <c r="AI320" s="33" t="n"/>
      <c r="AJ320" s="33" t="n"/>
      <c r="AK320" s="33" t="n"/>
      <c r="AL320" s="27" t="n"/>
      <c r="AM320" s="34" t="n"/>
      <c r="AN320" s="35">
        <f>IF(AF320="","",IF(AI320="Yes","❌ Disc",IF(AH320="No","⚠ Missing",IF(AK320="Yes","✓ OK","⚠ Check"))))</f>
        <v/>
      </c>
      <c r="AO320" s="36" t="n"/>
      <c r="AP320" s="36" t="n"/>
      <c r="AQ320" s="36" t="n"/>
      <c r="AR320" s="36" t="n"/>
      <c r="AS320" s="36" t="n"/>
      <c r="AT320" s="36" t="n"/>
      <c r="AU320" s="27" t="n"/>
      <c r="AV320" s="37" t="n"/>
      <c r="AW320" s="38">
        <f>IF(AO320="","",IF(AR320="Yes","❌ Disc",IF(AQ320="No","⚠ Missing",IF(AT320="Yes","✓ OK","⚠ Check"))))</f>
        <v/>
      </c>
    </row>
    <row r="321" ht="18" customHeight="1" s="46">
      <c r="A321" s="23" t="n">
        <v>317</v>
      </c>
      <c r="B321" s="24" t="inlineStr">
        <is>
          <t>BD-HNA-2025-0420</t>
        </is>
      </c>
      <c r="C321" s="25" t="inlineStr">
        <is>
          <t>Bonito Handles - V-3279(K.H) - Rose Gold Knob - 50mm</t>
        </is>
      </c>
      <c r="D321" s="23" t="inlineStr">
        <is>
          <t>Bonito Handles</t>
        </is>
      </c>
      <c r="E321" s="43" t="n">
        <v>46125</v>
      </c>
      <c r="F321" s="26" t="inlineStr">
        <is>
          <t>Sunil CR</t>
        </is>
      </c>
      <c r="G321" s="44" t="inlineStr">
        <is>
          <t>Represented by Sample</t>
        </is>
      </c>
      <c r="H321" s="26" t="inlineStr">
        <is>
          <t>No</t>
        </is>
      </c>
      <c r="I321" s="44" t="inlineStr">
        <is>
          <t>Represented by Sample</t>
        </is>
      </c>
      <c r="J321" s="26" t="inlineStr">
        <is>
          <t>Yes</t>
        </is>
      </c>
      <c r="K321" s="27" t="n"/>
      <c r="L321" s="28" t="inlineStr">
        <is>
          <t>No</t>
        </is>
      </c>
      <c r="M321" s="29">
        <f>IF(E321="","",IF(H321="Yes","❌ Disc",IF(G321="No","⚠ Missing",IF(J321="Yes","✓ OK","⚠ Check"))))</f>
        <v/>
      </c>
      <c r="N321" s="43" t="n">
        <v>46196</v>
      </c>
      <c r="O321" s="26" t="inlineStr">
        <is>
          <t>Sunil CR</t>
        </is>
      </c>
      <c r="P321" s="44" t="inlineStr">
        <is>
          <t>Represented by Sample</t>
        </is>
      </c>
      <c r="Q321" s="26" t="inlineStr">
        <is>
          <t>No</t>
        </is>
      </c>
      <c r="R321" s="44" t="inlineStr">
        <is>
          <t>Represented by Sample</t>
        </is>
      </c>
      <c r="S321" s="26" t="inlineStr">
        <is>
          <t>Yes</t>
        </is>
      </c>
      <c r="T321" s="27" t="n"/>
      <c r="U321" s="28" t="inlineStr">
        <is>
          <t>No</t>
        </is>
      </c>
      <c r="V321" s="29">
        <f>IF(N321="","",IF(Q321="Yes","❌ Disc",IF(P321="No","⚠ Missing",IF(S321="Yes","✓ OK","⚠ Check"))))</f>
        <v/>
      </c>
      <c r="W321" s="65" t="n">
        <v>46248</v>
      </c>
      <c r="X321" s="30" t="inlineStr">
        <is>
          <t>Sunil CR</t>
        </is>
      </c>
      <c r="Y321" s="30" t="inlineStr">
        <is>
          <t>Represented by Sample</t>
        </is>
      </c>
      <c r="Z321" s="30" t="n"/>
      <c r="AA321" s="30" t="inlineStr">
        <is>
          <t>Represented by Sample</t>
        </is>
      </c>
      <c r="AB321" s="30" t="inlineStr">
        <is>
          <t>Yes</t>
        </is>
      </c>
      <c r="AC321" s="27" t="n"/>
      <c r="AD321" s="31" t="inlineStr">
        <is>
          <t>No</t>
        </is>
      </c>
      <c r="AE321" s="32">
        <f>IF(W321="","",IF(Z321="Yes","❌ Disc",IF(Y321="No","⚠ Missing",IF(AB321="Yes","✓ OK","⚠ Check"))))</f>
        <v/>
      </c>
      <c r="AF321" s="33" t="n"/>
      <c r="AG321" s="33" t="n"/>
      <c r="AH321" s="33" t="n"/>
      <c r="AI321" s="33" t="n"/>
      <c r="AJ321" s="33" t="n"/>
      <c r="AK321" s="33" t="n"/>
      <c r="AL321" s="27" t="n"/>
      <c r="AM321" s="34" t="n"/>
      <c r="AN321" s="35">
        <f>IF(AF321="","",IF(AI321="Yes","❌ Disc",IF(AH321="No","⚠ Missing",IF(AK321="Yes","✓ OK","⚠ Check"))))</f>
        <v/>
      </c>
      <c r="AO321" s="36" t="n"/>
      <c r="AP321" s="36" t="n"/>
      <c r="AQ321" s="36" t="n"/>
      <c r="AR321" s="36" t="n"/>
      <c r="AS321" s="36" t="n"/>
      <c r="AT321" s="36" t="n"/>
      <c r="AU321" s="27" t="n"/>
      <c r="AV321" s="37" t="n"/>
      <c r="AW321" s="38">
        <f>IF(AO321="","",IF(AR321="Yes","❌ Disc",IF(AQ321="No","⚠ Missing",IF(AT321="Yes","✓ OK","⚠ Check"))))</f>
        <v/>
      </c>
    </row>
    <row r="322" ht="18" customHeight="1" s="46">
      <c r="A322" s="39" t="n">
        <v>318</v>
      </c>
      <c r="B322" s="40" t="inlineStr">
        <is>
          <t>BD-HNA-2025-0425</t>
        </is>
      </c>
      <c r="C322" s="41" t="inlineStr">
        <is>
          <t>Bonito Handles - V-3288(K.H) - Antique Knob - Dia: 39mm</t>
        </is>
      </c>
      <c r="D322" s="39" t="inlineStr">
        <is>
          <t>Bonito Handles</t>
        </is>
      </c>
      <c r="E322" s="43" t="n">
        <v>46125</v>
      </c>
      <c r="F322" s="26" t="inlineStr">
        <is>
          <t>Sunil CR</t>
        </is>
      </c>
      <c r="G322" s="44" t="inlineStr">
        <is>
          <t>Represented by Sample</t>
        </is>
      </c>
      <c r="H322" s="26" t="inlineStr">
        <is>
          <t>No</t>
        </is>
      </c>
      <c r="I322" s="44" t="inlineStr">
        <is>
          <t>Represented by Sample</t>
        </is>
      </c>
      <c r="J322" s="26" t="inlineStr">
        <is>
          <t>Yes</t>
        </is>
      </c>
      <c r="K322" s="27" t="n"/>
      <c r="L322" s="28" t="inlineStr">
        <is>
          <t>No</t>
        </is>
      </c>
      <c r="M322" s="29">
        <f>IF(E322="","",IF(H322="Yes","❌ Disc",IF(G322="No","⚠ Missing",IF(J322="Yes","✓ OK","⚠ Check"))))</f>
        <v/>
      </c>
      <c r="N322" s="43" t="n">
        <v>46196</v>
      </c>
      <c r="O322" s="26" t="inlineStr">
        <is>
          <t>Sunil CR</t>
        </is>
      </c>
      <c r="P322" s="44" t="inlineStr">
        <is>
          <t>Represented by Sample</t>
        </is>
      </c>
      <c r="Q322" s="26" t="inlineStr">
        <is>
          <t>No</t>
        </is>
      </c>
      <c r="R322" s="44" t="inlineStr">
        <is>
          <t>Represented by Sample</t>
        </is>
      </c>
      <c r="S322" s="26" t="inlineStr">
        <is>
          <t>Yes</t>
        </is>
      </c>
      <c r="T322" s="27" t="n"/>
      <c r="U322" s="28" t="inlineStr">
        <is>
          <t>No</t>
        </is>
      </c>
      <c r="V322" s="29">
        <f>IF(N322="","",IF(Q322="Yes","❌ Disc",IF(P322="No","⚠ Missing",IF(S322="Yes","✓ OK","⚠ Check"))))</f>
        <v/>
      </c>
      <c r="W322" s="65" t="n">
        <v>46248</v>
      </c>
      <c r="X322" s="30" t="inlineStr">
        <is>
          <t>Sunil CR</t>
        </is>
      </c>
      <c r="Y322" s="30" t="inlineStr">
        <is>
          <t>Represented by Sample</t>
        </is>
      </c>
      <c r="Z322" s="30" t="n"/>
      <c r="AA322" s="30" t="inlineStr">
        <is>
          <t>Represented by Sample</t>
        </is>
      </c>
      <c r="AB322" s="30" t="inlineStr">
        <is>
          <t>Yes</t>
        </is>
      </c>
      <c r="AC322" s="27" t="n"/>
      <c r="AD322" s="31" t="inlineStr">
        <is>
          <t>No</t>
        </is>
      </c>
      <c r="AE322" s="32">
        <f>IF(W322="","",IF(Z322="Yes","❌ Disc",IF(Y322="No","⚠ Missing",IF(AB322="Yes","✓ OK","⚠ Check"))))</f>
        <v/>
      </c>
      <c r="AF322" s="33" t="n"/>
      <c r="AG322" s="33" t="n"/>
      <c r="AH322" s="33" t="n"/>
      <c r="AI322" s="33" t="n"/>
      <c r="AJ322" s="33" t="n"/>
      <c r="AK322" s="33" t="n"/>
      <c r="AL322" s="27" t="n"/>
      <c r="AM322" s="34" t="n"/>
      <c r="AN322" s="35">
        <f>IF(AF322="","",IF(AI322="Yes","❌ Disc",IF(AH322="No","⚠ Missing",IF(AK322="Yes","✓ OK","⚠ Check"))))</f>
        <v/>
      </c>
      <c r="AO322" s="36" t="n"/>
      <c r="AP322" s="36" t="n"/>
      <c r="AQ322" s="36" t="n"/>
      <c r="AR322" s="36" t="n"/>
      <c r="AS322" s="36" t="n"/>
      <c r="AT322" s="36" t="n"/>
      <c r="AU322" s="27" t="n"/>
      <c r="AV322" s="37" t="n"/>
      <c r="AW322" s="38">
        <f>IF(AO322="","",IF(AR322="Yes","❌ Disc",IF(AQ322="No","⚠ Missing",IF(AT322="Yes","✓ OK","⚠ Check"))))</f>
        <v/>
      </c>
    </row>
    <row r="323" ht="18" customHeight="1" s="46">
      <c r="A323" s="23" t="n">
        <v>319</v>
      </c>
      <c r="B323" s="24" t="inlineStr">
        <is>
          <t>BD-HNA-2025-0427</t>
        </is>
      </c>
      <c r="C323" s="25" t="inlineStr">
        <is>
          <t>Bonito Handles - V-3288(K.H) - Gold Knob - Dia: 39mm</t>
        </is>
      </c>
      <c r="D323" s="23" t="inlineStr">
        <is>
          <t>Bonito Handles</t>
        </is>
      </c>
      <c r="E323" s="43" t="n">
        <v>46125</v>
      </c>
      <c r="F323" s="26" t="inlineStr">
        <is>
          <t>Sunil CR</t>
        </is>
      </c>
      <c r="G323" s="44" t="inlineStr">
        <is>
          <t>Represented by Sample</t>
        </is>
      </c>
      <c r="H323" s="26" t="inlineStr">
        <is>
          <t>No</t>
        </is>
      </c>
      <c r="I323" s="44" t="inlineStr">
        <is>
          <t>Represented by Sample</t>
        </is>
      </c>
      <c r="J323" s="26" t="inlineStr">
        <is>
          <t>Yes</t>
        </is>
      </c>
      <c r="K323" s="27" t="n"/>
      <c r="L323" s="28" t="inlineStr">
        <is>
          <t>No</t>
        </is>
      </c>
      <c r="M323" s="29">
        <f>IF(E323="","",IF(H323="Yes","❌ Disc",IF(G323="No","⚠ Missing",IF(J323="Yes","✓ OK","⚠ Check"))))</f>
        <v/>
      </c>
      <c r="N323" s="43" t="n">
        <v>46196</v>
      </c>
      <c r="O323" s="26" t="inlineStr">
        <is>
          <t>Sunil CR</t>
        </is>
      </c>
      <c r="P323" s="44" t="inlineStr">
        <is>
          <t>Represented by Sample</t>
        </is>
      </c>
      <c r="Q323" s="26" t="inlineStr">
        <is>
          <t>No</t>
        </is>
      </c>
      <c r="R323" s="44" t="inlineStr">
        <is>
          <t>Represented by Sample</t>
        </is>
      </c>
      <c r="S323" s="26" t="inlineStr">
        <is>
          <t>Yes</t>
        </is>
      </c>
      <c r="T323" s="27" t="n"/>
      <c r="U323" s="28" t="inlineStr">
        <is>
          <t>No</t>
        </is>
      </c>
      <c r="V323" s="29">
        <f>IF(N323="","",IF(Q323="Yes","❌ Disc",IF(P323="No","⚠ Missing",IF(S323="Yes","✓ OK","⚠ Check"))))</f>
        <v/>
      </c>
      <c r="W323" s="65" t="n">
        <v>46248</v>
      </c>
      <c r="X323" s="30" t="inlineStr">
        <is>
          <t>Sunil CR</t>
        </is>
      </c>
      <c r="Y323" s="30" t="inlineStr">
        <is>
          <t>Represented by Sample</t>
        </is>
      </c>
      <c r="Z323" s="30" t="n"/>
      <c r="AA323" s="30" t="inlineStr">
        <is>
          <t>Represented by Sample</t>
        </is>
      </c>
      <c r="AB323" s="30" t="inlineStr">
        <is>
          <t>Yes</t>
        </is>
      </c>
      <c r="AC323" s="27" t="n"/>
      <c r="AD323" s="31" t="inlineStr">
        <is>
          <t>No</t>
        </is>
      </c>
      <c r="AE323" s="32">
        <f>IF(W323="","",IF(Z323="Yes","❌ Disc",IF(Y323="No","⚠ Missing",IF(AB323="Yes","✓ OK","⚠ Check"))))</f>
        <v/>
      </c>
      <c r="AF323" s="33" t="n"/>
      <c r="AG323" s="33" t="n"/>
      <c r="AH323" s="33" t="n"/>
      <c r="AI323" s="33" t="n"/>
      <c r="AJ323" s="33" t="n"/>
      <c r="AK323" s="33" t="n"/>
      <c r="AL323" s="27" t="n"/>
      <c r="AM323" s="34" t="n"/>
      <c r="AN323" s="35">
        <f>IF(AF323="","",IF(AI323="Yes","❌ Disc",IF(AH323="No","⚠ Missing",IF(AK323="Yes","✓ OK","⚠ Check"))))</f>
        <v/>
      </c>
      <c r="AO323" s="36" t="n"/>
      <c r="AP323" s="36" t="n"/>
      <c r="AQ323" s="36" t="n"/>
      <c r="AR323" s="36" t="n"/>
      <c r="AS323" s="36" t="n"/>
      <c r="AT323" s="36" t="n"/>
      <c r="AU323" s="27" t="n"/>
      <c r="AV323" s="37" t="n"/>
      <c r="AW323" s="38">
        <f>IF(AO323="","",IF(AR323="Yes","❌ Disc",IF(AQ323="No","⚠ Missing",IF(AT323="Yes","✓ OK","⚠ Check"))))</f>
        <v/>
      </c>
    </row>
    <row r="324" ht="18" customHeight="1" s="46">
      <c r="A324" s="39" t="n">
        <v>320</v>
      </c>
      <c r="B324" s="40" t="inlineStr">
        <is>
          <t>BD-HNA-2025-0426</t>
        </is>
      </c>
      <c r="C324" s="41" t="inlineStr">
        <is>
          <t>Bonito Handles - V-3288(K.H) - Grey Knob - Dia: 39mm</t>
        </is>
      </c>
      <c r="D324" s="39" t="inlineStr">
        <is>
          <t>Bonito Handles</t>
        </is>
      </c>
      <c r="E324" s="43" t="n">
        <v>46125</v>
      </c>
      <c r="F324" s="26" t="inlineStr">
        <is>
          <t>Sunil CR</t>
        </is>
      </c>
      <c r="G324" s="44" t="inlineStr">
        <is>
          <t>Yes</t>
        </is>
      </c>
      <c r="H324" s="26" t="inlineStr">
        <is>
          <t>No</t>
        </is>
      </c>
      <c r="I324" s="44" t="inlineStr">
        <is>
          <t>Good finish</t>
        </is>
      </c>
      <c r="J324" s="26" t="inlineStr">
        <is>
          <t>Yes</t>
        </is>
      </c>
      <c r="K324" s="27" t="n"/>
      <c r="L324" s="28" t="inlineStr">
        <is>
          <t>No</t>
        </is>
      </c>
      <c r="M324" s="29">
        <f>IF(E324="","",IF(H324="Yes","❌ Disc",IF(G324="No","⚠ Missing",IF(J324="Yes","✓ OK","⚠ Check"))))</f>
        <v/>
      </c>
      <c r="N324" s="43" t="n">
        <v>46196</v>
      </c>
      <c r="O324" s="26" t="inlineStr">
        <is>
          <t>Sunil CR</t>
        </is>
      </c>
      <c r="P324" s="44" t="inlineStr">
        <is>
          <t>Yes</t>
        </is>
      </c>
      <c r="Q324" s="26" t="inlineStr">
        <is>
          <t>No</t>
        </is>
      </c>
      <c r="R324" s="44" t="inlineStr">
        <is>
          <t>Good finish</t>
        </is>
      </c>
      <c r="S324" s="26" t="inlineStr">
        <is>
          <t>Yes</t>
        </is>
      </c>
      <c r="T324" s="27" t="n"/>
      <c r="U324" s="28" t="inlineStr">
        <is>
          <t>No</t>
        </is>
      </c>
      <c r="V324" s="29">
        <f>IF(N324="","",IF(Q324="Yes","❌ Disc",IF(P324="No","⚠ Missing",IF(S324="Yes","✓ OK","⚠ Check"))))</f>
        <v/>
      </c>
      <c r="W324" s="65" t="n">
        <v>46248</v>
      </c>
      <c r="X324" s="30" t="inlineStr">
        <is>
          <t>Sunil CR</t>
        </is>
      </c>
      <c r="Y324" s="30" t="inlineStr">
        <is>
          <t>Yes</t>
        </is>
      </c>
      <c r="Z324" s="30" t="n"/>
      <c r="AA324" s="30" t="inlineStr">
        <is>
          <t>Good finish</t>
        </is>
      </c>
      <c r="AB324" s="30" t="inlineStr">
        <is>
          <t>Yes</t>
        </is>
      </c>
      <c r="AC324" s="27" t="n"/>
      <c r="AD324" s="31" t="inlineStr">
        <is>
          <t>No</t>
        </is>
      </c>
      <c r="AE324" s="32">
        <f>IF(W324="","",IF(Z324="Yes","❌ Disc",IF(Y324="No","⚠ Missing",IF(AB324="Yes","✓ OK","⚠ Check"))))</f>
        <v/>
      </c>
      <c r="AF324" s="33" t="n"/>
      <c r="AG324" s="33" t="n"/>
      <c r="AH324" s="33" t="n"/>
      <c r="AI324" s="33" t="n"/>
      <c r="AJ324" s="33" t="n"/>
      <c r="AK324" s="33" t="n"/>
      <c r="AL324" s="27" t="n"/>
      <c r="AM324" s="34" t="n"/>
      <c r="AN324" s="35">
        <f>IF(AF324="","",IF(AI324="Yes","❌ Disc",IF(AH324="No","⚠ Missing",IF(AK324="Yes","✓ OK","⚠ Check"))))</f>
        <v/>
      </c>
      <c r="AO324" s="36" t="n"/>
      <c r="AP324" s="36" t="n"/>
      <c r="AQ324" s="36" t="n"/>
      <c r="AR324" s="36" t="n"/>
      <c r="AS324" s="36" t="n"/>
      <c r="AT324" s="36" t="n"/>
      <c r="AU324" s="27" t="n"/>
      <c r="AV324" s="37" t="n"/>
      <c r="AW324" s="38">
        <f>IF(AO324="","",IF(AR324="Yes","❌ Disc",IF(AQ324="No","⚠ Missing",IF(AT324="Yes","✓ OK","⚠ Check"))))</f>
        <v/>
      </c>
    </row>
    <row r="325" ht="18" customHeight="1" s="46">
      <c r="A325" s="23" t="n">
        <v>321</v>
      </c>
      <c r="B325" s="24" t="inlineStr">
        <is>
          <t>BD-HNA-2025-0428</t>
        </is>
      </c>
      <c r="C325" s="25" t="inlineStr">
        <is>
          <t>Bonito Handles - V-3288(K.H) - Rose Gold Knob - Dia: 39mm</t>
        </is>
      </c>
      <c r="D325" s="23" t="inlineStr">
        <is>
          <t>Bonito Handles</t>
        </is>
      </c>
      <c r="E325" s="43" t="n">
        <v>46125</v>
      </c>
      <c r="F325" s="26" t="inlineStr">
        <is>
          <t>Sunil CR</t>
        </is>
      </c>
      <c r="G325" s="44" t="inlineStr">
        <is>
          <t>Represented by Sample</t>
        </is>
      </c>
      <c r="H325" s="26" t="inlineStr">
        <is>
          <t>No</t>
        </is>
      </c>
      <c r="I325" s="44" t="inlineStr">
        <is>
          <t>Represented by Sample</t>
        </is>
      </c>
      <c r="J325" s="26" t="inlineStr">
        <is>
          <t>Yes</t>
        </is>
      </c>
      <c r="K325" s="27" t="n"/>
      <c r="L325" s="28" t="inlineStr">
        <is>
          <t>No</t>
        </is>
      </c>
      <c r="M325" s="29">
        <f>IF(E325="","",IF(H325="Yes","❌ Disc",IF(G325="No","⚠ Missing",IF(J325="Yes","✓ OK","⚠ Check"))))</f>
        <v/>
      </c>
      <c r="N325" s="43" t="n">
        <v>46196</v>
      </c>
      <c r="O325" s="26" t="inlineStr">
        <is>
          <t>Sunil CR</t>
        </is>
      </c>
      <c r="P325" s="44" t="inlineStr">
        <is>
          <t>Represented by Sample</t>
        </is>
      </c>
      <c r="Q325" s="26" t="inlineStr">
        <is>
          <t>No</t>
        </is>
      </c>
      <c r="R325" s="44" t="inlineStr">
        <is>
          <t>Represented by Sample</t>
        </is>
      </c>
      <c r="S325" s="26" t="inlineStr">
        <is>
          <t>Yes</t>
        </is>
      </c>
      <c r="T325" s="27" t="n"/>
      <c r="U325" s="28" t="inlineStr">
        <is>
          <t>No</t>
        </is>
      </c>
      <c r="V325" s="29">
        <f>IF(N325="","",IF(Q325="Yes","❌ Disc",IF(P325="No","⚠ Missing",IF(S325="Yes","✓ OK","⚠ Check"))))</f>
        <v/>
      </c>
      <c r="W325" s="65" t="n">
        <v>46248</v>
      </c>
      <c r="X325" s="30" t="inlineStr">
        <is>
          <t>Sunil CR</t>
        </is>
      </c>
      <c r="Y325" s="30" t="inlineStr">
        <is>
          <t>Represented by Sample</t>
        </is>
      </c>
      <c r="Z325" s="30" t="n"/>
      <c r="AA325" s="30" t="inlineStr">
        <is>
          <t>Represented by Sample</t>
        </is>
      </c>
      <c r="AB325" s="30" t="inlineStr">
        <is>
          <t>Yes</t>
        </is>
      </c>
      <c r="AC325" s="27" t="n"/>
      <c r="AD325" s="31" t="inlineStr">
        <is>
          <t>No</t>
        </is>
      </c>
      <c r="AE325" s="32">
        <f>IF(W325="","",IF(Z325="Yes","❌ Disc",IF(Y325="No","⚠ Missing",IF(AB325="Yes","✓ OK","⚠ Check"))))</f>
        <v/>
      </c>
      <c r="AF325" s="33" t="n"/>
      <c r="AG325" s="33" t="n"/>
      <c r="AH325" s="33" t="n"/>
      <c r="AI325" s="33" t="n"/>
      <c r="AJ325" s="33" t="n"/>
      <c r="AK325" s="33" t="n"/>
      <c r="AL325" s="27" t="n"/>
      <c r="AM325" s="34" t="n"/>
      <c r="AN325" s="35">
        <f>IF(AF325="","",IF(AI325="Yes","❌ Disc",IF(AH325="No","⚠ Missing",IF(AK325="Yes","✓ OK","⚠ Check"))))</f>
        <v/>
      </c>
      <c r="AO325" s="36" t="n"/>
      <c r="AP325" s="36" t="n"/>
      <c r="AQ325" s="36" t="n"/>
      <c r="AR325" s="36" t="n"/>
      <c r="AS325" s="36" t="n"/>
      <c r="AT325" s="36" t="n"/>
      <c r="AU325" s="27" t="n"/>
      <c r="AV325" s="37" t="n"/>
      <c r="AW325" s="38">
        <f>IF(AO325="","",IF(AR325="Yes","❌ Disc",IF(AQ325="No","⚠ Missing",IF(AT325="Yes","✓ OK","⚠ Check"))))</f>
        <v/>
      </c>
    </row>
    <row r="326" ht="18" customHeight="1" s="46">
      <c r="A326" s="39" t="n">
        <v>322</v>
      </c>
      <c r="B326" s="40" t="inlineStr">
        <is>
          <t>BD-HNA-2025-0421</t>
        </is>
      </c>
      <c r="C326" s="41" t="inlineStr">
        <is>
          <t>Bonito Handles - V-3294(K.H) - Antique Knob - 35mm</t>
        </is>
      </c>
      <c r="D326" s="39" t="inlineStr">
        <is>
          <t>Bonito Handles</t>
        </is>
      </c>
      <c r="E326" s="43" t="n">
        <v>46125</v>
      </c>
      <c r="F326" s="26" t="inlineStr">
        <is>
          <t>Sunil CR</t>
        </is>
      </c>
      <c r="G326" s="44" t="inlineStr">
        <is>
          <t>Represented by Sample</t>
        </is>
      </c>
      <c r="H326" s="26" t="inlineStr">
        <is>
          <t>No</t>
        </is>
      </c>
      <c r="I326" s="44" t="inlineStr">
        <is>
          <t>Represented by Sample</t>
        </is>
      </c>
      <c r="J326" s="26" t="inlineStr">
        <is>
          <t>Yes</t>
        </is>
      </c>
      <c r="K326" s="27" t="n"/>
      <c r="L326" s="28" t="inlineStr">
        <is>
          <t>No</t>
        </is>
      </c>
      <c r="M326" s="29">
        <f>IF(E326="","",IF(H326="Yes","❌ Disc",IF(G326="No","⚠ Missing",IF(J326="Yes","✓ OK","⚠ Check"))))</f>
        <v/>
      </c>
      <c r="N326" s="43" t="n">
        <v>46196</v>
      </c>
      <c r="O326" s="26" t="inlineStr">
        <is>
          <t>Sunil CR</t>
        </is>
      </c>
      <c r="P326" s="44" t="inlineStr">
        <is>
          <t>Represented by Sample</t>
        </is>
      </c>
      <c r="Q326" s="26" t="inlineStr">
        <is>
          <t>No</t>
        </is>
      </c>
      <c r="R326" s="44" t="inlineStr">
        <is>
          <t>Represented by Sample</t>
        </is>
      </c>
      <c r="S326" s="26" t="inlineStr">
        <is>
          <t>Yes</t>
        </is>
      </c>
      <c r="T326" s="27" t="n"/>
      <c r="U326" s="28" t="inlineStr">
        <is>
          <t>No</t>
        </is>
      </c>
      <c r="V326" s="29">
        <f>IF(N326="","",IF(Q326="Yes","❌ Disc",IF(P326="No","⚠ Missing",IF(S326="Yes","✓ OK","⚠ Check"))))</f>
        <v/>
      </c>
      <c r="W326" s="65" t="n">
        <v>46248</v>
      </c>
      <c r="X326" s="30" t="inlineStr">
        <is>
          <t>Sunil CR</t>
        </is>
      </c>
      <c r="Y326" s="30" t="inlineStr">
        <is>
          <t>Represented by Sample</t>
        </is>
      </c>
      <c r="Z326" s="30" t="n"/>
      <c r="AA326" s="30" t="inlineStr">
        <is>
          <t>Represented by Sample</t>
        </is>
      </c>
      <c r="AB326" s="30" t="inlineStr">
        <is>
          <t>Yes</t>
        </is>
      </c>
      <c r="AC326" s="27" t="n"/>
      <c r="AD326" s="31" t="inlineStr">
        <is>
          <t>No</t>
        </is>
      </c>
      <c r="AE326" s="32">
        <f>IF(W326="","",IF(Z326="Yes","❌ Disc",IF(Y326="No","⚠ Missing",IF(AB326="Yes","✓ OK","⚠ Check"))))</f>
        <v/>
      </c>
      <c r="AF326" s="33" t="n"/>
      <c r="AG326" s="33" t="n"/>
      <c r="AH326" s="33" t="n"/>
      <c r="AI326" s="33" t="n"/>
      <c r="AJ326" s="33" t="n"/>
      <c r="AK326" s="33" t="n"/>
      <c r="AL326" s="27" t="n"/>
      <c r="AM326" s="34" t="n"/>
      <c r="AN326" s="35">
        <f>IF(AF326="","",IF(AI326="Yes","❌ Disc",IF(AH326="No","⚠ Missing",IF(AK326="Yes","✓ OK","⚠ Check"))))</f>
        <v/>
      </c>
      <c r="AO326" s="36" t="n"/>
      <c r="AP326" s="36" t="n"/>
      <c r="AQ326" s="36" t="n"/>
      <c r="AR326" s="36" t="n"/>
      <c r="AS326" s="36" t="n"/>
      <c r="AT326" s="36" t="n"/>
      <c r="AU326" s="27" t="n"/>
      <c r="AV326" s="37" t="n"/>
      <c r="AW326" s="38">
        <f>IF(AO326="","",IF(AR326="Yes","❌ Disc",IF(AQ326="No","⚠ Missing",IF(AT326="Yes","✓ OK","⚠ Check"))))</f>
        <v/>
      </c>
    </row>
    <row r="327" ht="18" customHeight="1" s="46">
      <c r="A327" s="23" t="n">
        <v>323</v>
      </c>
      <c r="B327" s="24" t="inlineStr">
        <is>
          <t>BD-HNA-2025-0422</t>
        </is>
      </c>
      <c r="C327" s="25" t="inlineStr">
        <is>
          <t>Bonito Handles - V-3294(K.H) - Black Knob - 35mm</t>
        </is>
      </c>
      <c r="D327" s="23" t="inlineStr">
        <is>
          <t>Bonito Handles</t>
        </is>
      </c>
      <c r="E327" s="43" t="n">
        <v>46125</v>
      </c>
      <c r="F327" s="26" t="inlineStr">
        <is>
          <t>Sunil CR</t>
        </is>
      </c>
      <c r="G327" s="44" t="inlineStr">
        <is>
          <t>Represented by Sample</t>
        </is>
      </c>
      <c r="H327" s="26" t="inlineStr">
        <is>
          <t>No</t>
        </is>
      </c>
      <c r="I327" s="44" t="inlineStr">
        <is>
          <t>Represented by Sample</t>
        </is>
      </c>
      <c r="J327" s="26" t="inlineStr">
        <is>
          <t>Yes</t>
        </is>
      </c>
      <c r="K327" s="27" t="n"/>
      <c r="L327" s="28" t="inlineStr">
        <is>
          <t>No</t>
        </is>
      </c>
      <c r="M327" s="29">
        <f>IF(E327="","",IF(H327="Yes","❌ Disc",IF(G327="No","⚠ Missing",IF(J327="Yes","✓ OK","⚠ Check"))))</f>
        <v/>
      </c>
      <c r="N327" s="43" t="n">
        <v>46196</v>
      </c>
      <c r="O327" s="26" t="inlineStr">
        <is>
          <t>Sunil CR</t>
        </is>
      </c>
      <c r="P327" s="44" t="inlineStr">
        <is>
          <t>Represented by Sample</t>
        </is>
      </c>
      <c r="Q327" s="26" t="inlineStr">
        <is>
          <t>No</t>
        </is>
      </c>
      <c r="R327" s="44" t="inlineStr">
        <is>
          <t>Represented by Sample</t>
        </is>
      </c>
      <c r="S327" s="26" t="inlineStr">
        <is>
          <t>Yes</t>
        </is>
      </c>
      <c r="T327" s="27" t="n"/>
      <c r="U327" s="28" t="inlineStr">
        <is>
          <t>No</t>
        </is>
      </c>
      <c r="V327" s="29">
        <f>IF(N327="","",IF(Q327="Yes","❌ Disc",IF(P327="No","⚠ Missing",IF(S327="Yes","✓ OK","⚠ Check"))))</f>
        <v/>
      </c>
      <c r="W327" s="65" t="n">
        <v>46248</v>
      </c>
      <c r="X327" s="30" t="inlineStr">
        <is>
          <t>Sunil CR</t>
        </is>
      </c>
      <c r="Y327" s="30" t="inlineStr">
        <is>
          <t>Represented by Sample</t>
        </is>
      </c>
      <c r="Z327" s="30" t="n"/>
      <c r="AA327" s="30" t="inlineStr">
        <is>
          <t>Represented by Sample</t>
        </is>
      </c>
      <c r="AB327" s="30" t="inlineStr">
        <is>
          <t>Yes</t>
        </is>
      </c>
      <c r="AC327" s="27" t="n"/>
      <c r="AD327" s="31" t="inlineStr">
        <is>
          <t>No</t>
        </is>
      </c>
      <c r="AE327" s="32">
        <f>IF(W327="","",IF(Z327="Yes","❌ Disc",IF(Y327="No","⚠ Missing",IF(AB327="Yes","✓ OK","⚠ Check"))))</f>
        <v/>
      </c>
      <c r="AF327" s="33" t="n"/>
      <c r="AG327" s="33" t="n"/>
      <c r="AH327" s="33" t="n"/>
      <c r="AI327" s="33" t="n"/>
      <c r="AJ327" s="33" t="n"/>
      <c r="AK327" s="33" t="n"/>
      <c r="AL327" s="27" t="n"/>
      <c r="AM327" s="34" t="n"/>
      <c r="AN327" s="35">
        <f>IF(AF327="","",IF(AI327="Yes","❌ Disc",IF(AH327="No","⚠ Missing",IF(AK327="Yes","✓ OK","⚠ Check"))))</f>
        <v/>
      </c>
      <c r="AO327" s="36" t="n"/>
      <c r="AP327" s="36" t="n"/>
      <c r="AQ327" s="36" t="n"/>
      <c r="AR327" s="36" t="n"/>
      <c r="AS327" s="36" t="n"/>
      <c r="AT327" s="36" t="n"/>
      <c r="AU327" s="27" t="n"/>
      <c r="AV327" s="37" t="n"/>
      <c r="AW327" s="38">
        <f>IF(AO327="","",IF(AR327="Yes","❌ Disc",IF(AQ327="No","⚠ Missing",IF(AT327="Yes","✓ OK","⚠ Check"))))</f>
        <v/>
      </c>
    </row>
    <row r="328" ht="18" customHeight="1" s="46">
      <c r="A328" s="39" t="n">
        <v>324</v>
      </c>
      <c r="B328" s="40" t="inlineStr">
        <is>
          <t>BD-HNA-2025-0423</t>
        </is>
      </c>
      <c r="C328" s="41" t="inlineStr">
        <is>
          <t>Bonito Handles - V-3294(K.H) - Gold Knob - 35mm</t>
        </is>
      </c>
      <c r="D328" s="39" t="inlineStr">
        <is>
          <t>Bonito Handles</t>
        </is>
      </c>
      <c r="E328" s="43" t="n">
        <v>46125</v>
      </c>
      <c r="F328" s="26" t="inlineStr">
        <is>
          <t>Sunil CR</t>
        </is>
      </c>
      <c r="G328" s="44" t="inlineStr">
        <is>
          <t>Represented by Sample</t>
        </is>
      </c>
      <c r="H328" s="26" t="inlineStr">
        <is>
          <t>No</t>
        </is>
      </c>
      <c r="I328" s="44" t="inlineStr">
        <is>
          <t>Represented by Sample</t>
        </is>
      </c>
      <c r="J328" s="26" t="inlineStr">
        <is>
          <t>Yes</t>
        </is>
      </c>
      <c r="K328" s="27" t="n"/>
      <c r="L328" s="28" t="inlineStr">
        <is>
          <t>No</t>
        </is>
      </c>
      <c r="M328" s="29">
        <f>IF(E328="","",IF(H328="Yes","❌ Disc",IF(G328="No","⚠ Missing",IF(J328="Yes","✓ OK","⚠ Check"))))</f>
        <v/>
      </c>
      <c r="N328" s="43" t="n">
        <v>46196</v>
      </c>
      <c r="O328" s="26" t="inlineStr">
        <is>
          <t>Sunil CR</t>
        </is>
      </c>
      <c r="P328" s="44" t="inlineStr">
        <is>
          <t>Represented by Sample</t>
        </is>
      </c>
      <c r="Q328" s="26" t="inlineStr">
        <is>
          <t>No</t>
        </is>
      </c>
      <c r="R328" s="44" t="inlineStr">
        <is>
          <t>Represented by Sample</t>
        </is>
      </c>
      <c r="S328" s="26" t="inlineStr">
        <is>
          <t>Yes</t>
        </is>
      </c>
      <c r="T328" s="27" t="n"/>
      <c r="U328" s="28" t="inlineStr">
        <is>
          <t>No</t>
        </is>
      </c>
      <c r="V328" s="29">
        <f>IF(N328="","",IF(Q328="Yes","❌ Disc",IF(P328="No","⚠ Missing",IF(S328="Yes","✓ OK","⚠ Check"))))</f>
        <v/>
      </c>
      <c r="W328" s="65" t="n">
        <v>46248</v>
      </c>
      <c r="X328" s="30" t="inlineStr">
        <is>
          <t>Sunil CR</t>
        </is>
      </c>
      <c r="Y328" s="30" t="inlineStr">
        <is>
          <t>Represented by Sample</t>
        </is>
      </c>
      <c r="Z328" s="30" t="n"/>
      <c r="AA328" s="30" t="inlineStr">
        <is>
          <t>Represented by Sample</t>
        </is>
      </c>
      <c r="AB328" s="30" t="inlineStr">
        <is>
          <t>Yes</t>
        </is>
      </c>
      <c r="AC328" s="27" t="n"/>
      <c r="AD328" s="31" t="inlineStr">
        <is>
          <t>No</t>
        </is>
      </c>
      <c r="AE328" s="32">
        <f>IF(W328="","",IF(Z328="Yes","❌ Disc",IF(Y328="No","⚠ Missing",IF(AB328="Yes","✓ OK","⚠ Check"))))</f>
        <v/>
      </c>
      <c r="AF328" s="33" t="n"/>
      <c r="AG328" s="33" t="n"/>
      <c r="AH328" s="33" t="n"/>
      <c r="AI328" s="33" t="n"/>
      <c r="AJ328" s="33" t="n"/>
      <c r="AK328" s="33" t="n"/>
      <c r="AL328" s="27" t="n"/>
      <c r="AM328" s="34" t="n"/>
      <c r="AN328" s="35">
        <f>IF(AF328="","",IF(AI328="Yes","❌ Disc",IF(AH328="No","⚠ Missing",IF(AK328="Yes","✓ OK","⚠ Check"))))</f>
        <v/>
      </c>
      <c r="AO328" s="36" t="n"/>
      <c r="AP328" s="36" t="n"/>
      <c r="AQ328" s="36" t="n"/>
      <c r="AR328" s="36" t="n"/>
      <c r="AS328" s="36" t="n"/>
      <c r="AT328" s="36" t="n"/>
      <c r="AU328" s="27" t="n"/>
      <c r="AV328" s="37" t="n"/>
      <c r="AW328" s="38">
        <f>IF(AO328="","",IF(AR328="Yes","❌ Disc",IF(AQ328="No","⚠ Missing",IF(AT328="Yes","✓ OK","⚠ Check"))))</f>
        <v/>
      </c>
    </row>
    <row r="329" ht="18" customHeight="1" s="46">
      <c r="A329" s="23" t="n">
        <v>325</v>
      </c>
      <c r="B329" s="24" t="inlineStr">
        <is>
          <t>BD-HNA-2025-0424</t>
        </is>
      </c>
      <c r="C329" s="25" t="inlineStr">
        <is>
          <t>Bonito Handles - V-3294(K.H) - Rose Gold Knob - 35mm</t>
        </is>
      </c>
      <c r="D329" s="23" t="inlineStr">
        <is>
          <t>Bonito Handles</t>
        </is>
      </c>
      <c r="E329" s="43" t="n">
        <v>46125</v>
      </c>
      <c r="F329" s="26" t="inlineStr">
        <is>
          <t>Sunil CR</t>
        </is>
      </c>
      <c r="G329" s="44" t="inlineStr">
        <is>
          <t>Yes</t>
        </is>
      </c>
      <c r="H329" s="26" t="inlineStr">
        <is>
          <t>No</t>
        </is>
      </c>
      <c r="I329" s="44" t="inlineStr">
        <is>
          <t>Good finish</t>
        </is>
      </c>
      <c r="J329" s="26" t="inlineStr">
        <is>
          <t>Yes</t>
        </is>
      </c>
      <c r="K329" s="27" t="n"/>
      <c r="L329" s="28" t="inlineStr">
        <is>
          <t>No</t>
        </is>
      </c>
      <c r="M329" s="29">
        <f>IF(E329="","",IF(H329="Yes","❌ Disc",IF(G329="No","⚠ Missing",IF(J329="Yes","✓ OK","⚠ Check"))))</f>
        <v/>
      </c>
      <c r="N329" s="43" t="n">
        <v>46196</v>
      </c>
      <c r="O329" s="26" t="inlineStr">
        <is>
          <t>Sunil CR</t>
        </is>
      </c>
      <c r="P329" s="44" t="inlineStr">
        <is>
          <t>Yes</t>
        </is>
      </c>
      <c r="Q329" s="26" t="inlineStr">
        <is>
          <t>No</t>
        </is>
      </c>
      <c r="R329" s="44" t="inlineStr">
        <is>
          <t>Good finish</t>
        </is>
      </c>
      <c r="S329" s="26" t="inlineStr">
        <is>
          <t>Yes</t>
        </is>
      </c>
      <c r="T329" s="27" t="n"/>
      <c r="U329" s="28" t="inlineStr">
        <is>
          <t>No</t>
        </is>
      </c>
      <c r="V329" s="29">
        <f>IF(N329="","",IF(Q329="Yes","❌ Disc",IF(P329="No","⚠ Missing",IF(S329="Yes","✓ OK","⚠ Check"))))</f>
        <v/>
      </c>
      <c r="W329" s="65" t="n">
        <v>46248</v>
      </c>
      <c r="X329" s="30" t="inlineStr">
        <is>
          <t>Sunil CR</t>
        </is>
      </c>
      <c r="Y329" s="30" t="inlineStr">
        <is>
          <t>Yes</t>
        </is>
      </c>
      <c r="Z329" s="30" t="n"/>
      <c r="AA329" s="30" t="inlineStr">
        <is>
          <t>Good finish</t>
        </is>
      </c>
      <c r="AB329" s="30" t="inlineStr">
        <is>
          <t>Yes</t>
        </is>
      </c>
      <c r="AC329" s="27" t="n"/>
      <c r="AD329" s="31" t="inlineStr">
        <is>
          <t>No</t>
        </is>
      </c>
      <c r="AE329" s="32">
        <f>IF(W329="","",IF(Z329="Yes","❌ Disc",IF(Y329="No","⚠ Missing",IF(AB329="Yes","✓ OK","⚠ Check"))))</f>
        <v/>
      </c>
      <c r="AF329" s="33" t="n"/>
      <c r="AG329" s="33" t="n"/>
      <c r="AH329" s="33" t="n"/>
      <c r="AI329" s="33" t="n"/>
      <c r="AJ329" s="33" t="n"/>
      <c r="AK329" s="33" t="n"/>
      <c r="AL329" s="27" t="n"/>
      <c r="AM329" s="34" t="n"/>
      <c r="AN329" s="35">
        <f>IF(AF329="","",IF(AI329="Yes","❌ Disc",IF(AH329="No","⚠ Missing",IF(AK329="Yes","✓ OK","⚠ Check"))))</f>
        <v/>
      </c>
      <c r="AO329" s="36" t="n"/>
      <c r="AP329" s="36" t="n"/>
      <c r="AQ329" s="36" t="n"/>
      <c r="AR329" s="36" t="n"/>
      <c r="AS329" s="36" t="n"/>
      <c r="AT329" s="36" t="n"/>
      <c r="AU329" s="27" t="n"/>
      <c r="AV329" s="37" t="n"/>
      <c r="AW329" s="38">
        <f>IF(AO329="","",IF(AR329="Yes","❌ Disc",IF(AQ329="No","⚠ Missing",IF(AT329="Yes","✓ OK","⚠ Check"))))</f>
        <v/>
      </c>
    </row>
    <row r="330" ht="18" customHeight="1" s="46">
      <c r="A330" s="39" t="n">
        <v>326</v>
      </c>
      <c r="B330" s="40" t="inlineStr">
        <is>
          <t>BD-HNA-2025-0381</t>
        </is>
      </c>
      <c r="C330" s="41" t="inlineStr">
        <is>
          <t>Bonito Handles - VI-01 PROFILE(V.H) - Anodized SS Coated Profile Handle - 250mm</t>
        </is>
      </c>
      <c r="D330" s="39" t="inlineStr">
        <is>
          <t>Bonito Handles</t>
        </is>
      </c>
      <c r="E330" s="43" t="n">
        <v>46125</v>
      </c>
      <c r="F330" s="26" t="inlineStr">
        <is>
          <t>Sunil CR</t>
        </is>
      </c>
      <c r="G330" s="44" t="inlineStr">
        <is>
          <t>Represented by Sample</t>
        </is>
      </c>
      <c r="H330" s="26" t="inlineStr">
        <is>
          <t>No</t>
        </is>
      </c>
      <c r="I330" s="44" t="inlineStr">
        <is>
          <t>Represented by Sample</t>
        </is>
      </c>
      <c r="J330" s="26" t="inlineStr">
        <is>
          <t>Yes</t>
        </is>
      </c>
      <c r="K330" s="27" t="n"/>
      <c r="L330" s="28" t="inlineStr">
        <is>
          <t>No</t>
        </is>
      </c>
      <c r="M330" s="29">
        <f>IF(E330="","",IF(H330="Yes","❌ Disc",IF(G330="No","⚠ Missing",IF(J330="Yes","✓ OK","⚠ Check"))))</f>
        <v/>
      </c>
      <c r="N330" s="43" t="n">
        <v>46196</v>
      </c>
      <c r="O330" s="26" t="inlineStr">
        <is>
          <t>Sunil CR</t>
        </is>
      </c>
      <c r="P330" s="44" t="inlineStr">
        <is>
          <t>Represented by Sample</t>
        </is>
      </c>
      <c r="Q330" s="26" t="inlineStr">
        <is>
          <t>No</t>
        </is>
      </c>
      <c r="R330" s="44" t="inlineStr">
        <is>
          <t>Represented by Sample</t>
        </is>
      </c>
      <c r="S330" s="26" t="inlineStr">
        <is>
          <t>Yes</t>
        </is>
      </c>
      <c r="T330" s="27" t="n"/>
      <c r="U330" s="28" t="inlineStr">
        <is>
          <t>No</t>
        </is>
      </c>
      <c r="V330" s="29">
        <f>IF(N330="","",IF(Q330="Yes","❌ Disc",IF(P330="No","⚠ Missing",IF(S330="Yes","✓ OK","⚠ Check"))))</f>
        <v/>
      </c>
      <c r="W330" s="65" t="n">
        <v>46248</v>
      </c>
      <c r="X330" s="30" t="inlineStr">
        <is>
          <t>Sunil CR</t>
        </is>
      </c>
      <c r="Y330" s="30" t="inlineStr">
        <is>
          <t>Represented by Sample</t>
        </is>
      </c>
      <c r="Z330" s="30" t="n"/>
      <c r="AA330" s="30" t="inlineStr">
        <is>
          <t>Represented by Sample</t>
        </is>
      </c>
      <c r="AB330" s="30" t="inlineStr">
        <is>
          <t>Yes</t>
        </is>
      </c>
      <c r="AC330" s="27" t="n"/>
      <c r="AD330" s="31" t="inlineStr">
        <is>
          <t>No</t>
        </is>
      </c>
      <c r="AE330" s="32">
        <f>IF(W330="","",IF(Z330="Yes","❌ Disc",IF(Y330="No","⚠ Missing",IF(AB330="Yes","✓ OK","⚠ Check"))))</f>
        <v/>
      </c>
      <c r="AF330" s="33" t="n"/>
      <c r="AG330" s="33" t="n"/>
      <c r="AH330" s="33" t="n"/>
      <c r="AI330" s="33" t="n"/>
      <c r="AJ330" s="33" t="n"/>
      <c r="AK330" s="33" t="n"/>
      <c r="AL330" s="27" t="n"/>
      <c r="AM330" s="34" t="n"/>
      <c r="AN330" s="35">
        <f>IF(AF330="","",IF(AI330="Yes","❌ Disc",IF(AH330="No","⚠ Missing",IF(AK330="Yes","✓ OK","⚠ Check"))))</f>
        <v/>
      </c>
      <c r="AO330" s="36" t="n"/>
      <c r="AP330" s="36" t="n"/>
      <c r="AQ330" s="36" t="n"/>
      <c r="AR330" s="36" t="n"/>
      <c r="AS330" s="36" t="n"/>
      <c r="AT330" s="36" t="n"/>
      <c r="AU330" s="27" t="n"/>
      <c r="AV330" s="37" t="n"/>
      <c r="AW330" s="38">
        <f>IF(AO330="","",IF(AR330="Yes","❌ Disc",IF(AQ330="No","⚠ Missing",IF(AT330="Yes","✓ OK","⚠ Check"))))</f>
        <v/>
      </c>
    </row>
    <row r="331" ht="18" customHeight="1" s="46">
      <c r="A331" s="23" t="n">
        <v>327</v>
      </c>
      <c r="B331" s="24" t="inlineStr">
        <is>
          <t>BD-HNA-2025-0382</t>
        </is>
      </c>
      <c r="C331" s="25" t="inlineStr">
        <is>
          <t>Bonito Handles - VI-01 PROFILE(V.H) - Anodized SS Coated Profile Handle - 450mm</t>
        </is>
      </c>
      <c r="D331" s="23" t="inlineStr">
        <is>
          <t>Bonito Handles</t>
        </is>
      </c>
      <c r="E331" s="43" t="n">
        <v>46125</v>
      </c>
      <c r="F331" s="26" t="inlineStr">
        <is>
          <t>Sunil CR</t>
        </is>
      </c>
      <c r="G331" s="44" t="inlineStr">
        <is>
          <t>Represented by Sample</t>
        </is>
      </c>
      <c r="H331" s="26" t="inlineStr">
        <is>
          <t>No</t>
        </is>
      </c>
      <c r="I331" s="44" t="inlineStr">
        <is>
          <t>Represented by Sample</t>
        </is>
      </c>
      <c r="J331" s="26" t="inlineStr">
        <is>
          <t>Yes</t>
        </is>
      </c>
      <c r="K331" s="27" t="n"/>
      <c r="L331" s="28" t="inlineStr">
        <is>
          <t>No</t>
        </is>
      </c>
      <c r="M331" s="29">
        <f>IF(E331="","",IF(H331="Yes","❌ Disc",IF(G331="No","⚠ Missing",IF(J331="Yes","✓ OK","⚠ Check"))))</f>
        <v/>
      </c>
      <c r="N331" s="43" t="n">
        <v>46196</v>
      </c>
      <c r="O331" s="26" t="inlineStr">
        <is>
          <t>Sunil CR</t>
        </is>
      </c>
      <c r="P331" s="44" t="inlineStr">
        <is>
          <t>Represented by Sample</t>
        </is>
      </c>
      <c r="Q331" s="26" t="inlineStr">
        <is>
          <t>No</t>
        </is>
      </c>
      <c r="R331" s="44" t="inlineStr">
        <is>
          <t>Represented by Sample</t>
        </is>
      </c>
      <c r="S331" s="26" t="inlineStr">
        <is>
          <t>Yes</t>
        </is>
      </c>
      <c r="T331" s="27" t="n"/>
      <c r="U331" s="28" t="inlineStr">
        <is>
          <t>No</t>
        </is>
      </c>
      <c r="V331" s="29">
        <f>IF(N331="","",IF(Q331="Yes","❌ Disc",IF(P331="No","⚠ Missing",IF(S331="Yes","✓ OK","⚠ Check"))))</f>
        <v/>
      </c>
      <c r="W331" s="65" t="n">
        <v>46248</v>
      </c>
      <c r="X331" s="30" t="inlineStr">
        <is>
          <t>Sunil CR</t>
        </is>
      </c>
      <c r="Y331" s="30" t="inlineStr">
        <is>
          <t>Represented by Sample</t>
        </is>
      </c>
      <c r="Z331" s="30" t="n"/>
      <c r="AA331" s="30" t="inlineStr">
        <is>
          <t>Represented by Sample</t>
        </is>
      </c>
      <c r="AB331" s="30" t="inlineStr">
        <is>
          <t>Yes</t>
        </is>
      </c>
      <c r="AC331" s="27" t="n"/>
      <c r="AD331" s="31" t="inlineStr">
        <is>
          <t>No</t>
        </is>
      </c>
      <c r="AE331" s="32">
        <f>IF(W331="","",IF(Z331="Yes","❌ Disc",IF(Y331="No","⚠ Missing",IF(AB331="Yes","✓ OK","⚠ Check"))))</f>
        <v/>
      </c>
      <c r="AF331" s="33" t="n"/>
      <c r="AG331" s="33" t="n"/>
      <c r="AH331" s="33" t="n"/>
      <c r="AI331" s="33" t="n"/>
      <c r="AJ331" s="33" t="n"/>
      <c r="AK331" s="33" t="n"/>
      <c r="AL331" s="27" t="n"/>
      <c r="AM331" s="34" t="n"/>
      <c r="AN331" s="35">
        <f>IF(AF331="","",IF(AI331="Yes","❌ Disc",IF(AH331="No","⚠ Missing",IF(AK331="Yes","✓ OK","⚠ Check"))))</f>
        <v/>
      </c>
      <c r="AO331" s="36" t="n"/>
      <c r="AP331" s="36" t="n"/>
      <c r="AQ331" s="36" t="n"/>
      <c r="AR331" s="36" t="n"/>
      <c r="AS331" s="36" t="n"/>
      <c r="AT331" s="36" t="n"/>
      <c r="AU331" s="27" t="n"/>
      <c r="AV331" s="37" t="n"/>
      <c r="AW331" s="38">
        <f>IF(AO331="","",IF(AR331="Yes","❌ Disc",IF(AQ331="No","⚠ Missing",IF(AT331="Yes","✓ OK","⚠ Check"))))</f>
        <v/>
      </c>
    </row>
    <row r="332" ht="18" customHeight="1" s="46">
      <c r="A332" s="39" t="n">
        <v>328</v>
      </c>
      <c r="B332" s="40" t="inlineStr">
        <is>
          <t>BD-HNA-2025-0383</t>
        </is>
      </c>
      <c r="C332" s="41" t="inlineStr">
        <is>
          <t>Bonito Handles - VI-01 PROFILE(V.H) - Anodized SS Coated Profile Handle - 600mm</t>
        </is>
      </c>
      <c r="D332" s="39" t="inlineStr">
        <is>
          <t>Bonito Handles</t>
        </is>
      </c>
      <c r="E332" s="43" t="n">
        <v>46125</v>
      </c>
      <c r="F332" s="26" t="inlineStr">
        <is>
          <t>Sunil CR</t>
        </is>
      </c>
      <c r="G332" s="44" t="inlineStr">
        <is>
          <t>Yes</t>
        </is>
      </c>
      <c r="H332" s="26" t="inlineStr">
        <is>
          <t>No</t>
        </is>
      </c>
      <c r="I332" s="44" t="inlineStr">
        <is>
          <t>Good finish</t>
        </is>
      </c>
      <c r="J332" s="26" t="inlineStr">
        <is>
          <t>Yes</t>
        </is>
      </c>
      <c r="K332" s="27" t="n"/>
      <c r="L332" s="28" t="inlineStr">
        <is>
          <t>No</t>
        </is>
      </c>
      <c r="M332" s="29">
        <f>IF(E332="","",IF(H332="Yes","❌ Disc",IF(G332="No","⚠ Missing",IF(J332="Yes","✓ OK","⚠ Check"))))</f>
        <v/>
      </c>
      <c r="N332" s="43" t="n">
        <v>46196</v>
      </c>
      <c r="O332" s="26" t="inlineStr">
        <is>
          <t>Sunil CR</t>
        </is>
      </c>
      <c r="P332" s="44" t="inlineStr">
        <is>
          <t>Yes</t>
        </is>
      </c>
      <c r="Q332" s="26" t="inlineStr">
        <is>
          <t>No</t>
        </is>
      </c>
      <c r="R332" s="44" t="inlineStr">
        <is>
          <t>Good finish</t>
        </is>
      </c>
      <c r="S332" s="26" t="inlineStr">
        <is>
          <t>Yes</t>
        </is>
      </c>
      <c r="T332" s="27" t="n"/>
      <c r="U332" s="28" t="inlineStr">
        <is>
          <t>No</t>
        </is>
      </c>
      <c r="V332" s="29">
        <f>IF(N332="","",IF(Q332="Yes","❌ Disc",IF(P332="No","⚠ Missing",IF(S332="Yes","✓ OK","⚠ Check"))))</f>
        <v/>
      </c>
      <c r="W332" s="65" t="n">
        <v>46248</v>
      </c>
      <c r="X332" s="30" t="inlineStr">
        <is>
          <t>Sunil CR</t>
        </is>
      </c>
      <c r="Y332" s="30" t="inlineStr">
        <is>
          <t>Yes</t>
        </is>
      </c>
      <c r="Z332" s="30" t="n"/>
      <c r="AA332" s="30" t="inlineStr">
        <is>
          <t>Good finish</t>
        </is>
      </c>
      <c r="AB332" s="30" t="inlineStr">
        <is>
          <t>Yes</t>
        </is>
      </c>
      <c r="AC332" s="27" t="n"/>
      <c r="AD332" s="31" t="inlineStr">
        <is>
          <t>No</t>
        </is>
      </c>
      <c r="AE332" s="32">
        <f>IF(W332="","",IF(Z332="Yes","❌ Disc",IF(Y332="No","⚠ Missing",IF(AB332="Yes","✓ OK","⚠ Check"))))</f>
        <v/>
      </c>
      <c r="AF332" s="33" t="n"/>
      <c r="AG332" s="33" t="n"/>
      <c r="AH332" s="33" t="n"/>
      <c r="AI332" s="33" t="n"/>
      <c r="AJ332" s="33" t="n"/>
      <c r="AK332" s="33" t="n"/>
      <c r="AL332" s="27" t="n"/>
      <c r="AM332" s="34" t="n"/>
      <c r="AN332" s="35">
        <f>IF(AF332="","",IF(AI332="Yes","❌ Disc",IF(AH332="No","⚠ Missing",IF(AK332="Yes","✓ OK","⚠ Check"))))</f>
        <v/>
      </c>
      <c r="AO332" s="36" t="n"/>
      <c r="AP332" s="36" t="n"/>
      <c r="AQ332" s="36" t="n"/>
      <c r="AR332" s="36" t="n"/>
      <c r="AS332" s="36" t="n"/>
      <c r="AT332" s="36" t="n"/>
      <c r="AU332" s="27" t="n"/>
      <c r="AV332" s="37" t="n"/>
      <c r="AW332" s="38">
        <f>IF(AO332="","",IF(AR332="Yes","❌ Disc",IF(AQ332="No","⚠ Missing",IF(AT332="Yes","✓ OK","⚠ Check"))))</f>
        <v/>
      </c>
    </row>
    <row r="333" ht="18" customHeight="1" s="46">
      <c r="A333" s="23" t="n">
        <v>329</v>
      </c>
      <c r="B333" s="24" t="inlineStr">
        <is>
          <t>BD-HNA-2025-0378</t>
        </is>
      </c>
      <c r="C333" s="25" t="inlineStr">
        <is>
          <t>Bonito Handles - VI-01 PROFILE(V.H) - Black Profile Handle - 250mm</t>
        </is>
      </c>
      <c r="D333" s="23" t="inlineStr">
        <is>
          <t>Bonito Handles</t>
        </is>
      </c>
      <c r="E333" s="43" t="n">
        <v>46125</v>
      </c>
      <c r="F333" s="26" t="inlineStr">
        <is>
          <t>Sunil CR</t>
        </is>
      </c>
      <c r="G333" s="44" t="inlineStr">
        <is>
          <t>Represented by Sample</t>
        </is>
      </c>
      <c r="H333" s="26" t="inlineStr">
        <is>
          <t>No</t>
        </is>
      </c>
      <c r="I333" s="44" t="inlineStr">
        <is>
          <t>Represented by Sample</t>
        </is>
      </c>
      <c r="J333" s="26" t="inlineStr">
        <is>
          <t>Yes</t>
        </is>
      </c>
      <c r="K333" s="27" t="n"/>
      <c r="L333" s="28" t="inlineStr">
        <is>
          <t>No</t>
        </is>
      </c>
      <c r="M333" s="29">
        <f>IF(E333="","",IF(H333="Yes","❌ Disc",IF(G333="No","⚠ Missing",IF(J333="Yes","✓ OK","⚠ Check"))))</f>
        <v/>
      </c>
      <c r="N333" s="43" t="n">
        <v>46196</v>
      </c>
      <c r="O333" s="26" t="inlineStr">
        <is>
          <t>Sunil CR</t>
        </is>
      </c>
      <c r="P333" s="44" t="inlineStr">
        <is>
          <t>Represented by Sample</t>
        </is>
      </c>
      <c r="Q333" s="26" t="inlineStr">
        <is>
          <t>No</t>
        </is>
      </c>
      <c r="R333" s="44" t="inlineStr">
        <is>
          <t>Represented by Sample</t>
        </is>
      </c>
      <c r="S333" s="26" t="inlineStr">
        <is>
          <t>Yes</t>
        </is>
      </c>
      <c r="T333" s="27" t="n"/>
      <c r="U333" s="28" t="inlineStr">
        <is>
          <t>No</t>
        </is>
      </c>
      <c r="V333" s="29">
        <f>IF(N333="","",IF(Q333="Yes","❌ Disc",IF(P333="No","⚠ Missing",IF(S333="Yes","✓ OK","⚠ Check"))))</f>
        <v/>
      </c>
      <c r="W333" s="65" t="n">
        <v>46248</v>
      </c>
      <c r="X333" s="30" t="inlineStr">
        <is>
          <t>Sunil CR</t>
        </is>
      </c>
      <c r="Y333" s="30" t="inlineStr">
        <is>
          <t>Represented by Sample</t>
        </is>
      </c>
      <c r="Z333" s="30" t="n"/>
      <c r="AA333" s="30" t="inlineStr">
        <is>
          <t>Represented by Sample</t>
        </is>
      </c>
      <c r="AB333" s="30" t="inlineStr">
        <is>
          <t>Yes</t>
        </is>
      </c>
      <c r="AC333" s="27" t="n"/>
      <c r="AD333" s="31" t="inlineStr">
        <is>
          <t>No</t>
        </is>
      </c>
      <c r="AE333" s="32">
        <f>IF(W333="","",IF(Z333="Yes","❌ Disc",IF(Y333="No","⚠ Missing",IF(AB333="Yes","✓ OK","⚠ Check"))))</f>
        <v/>
      </c>
      <c r="AF333" s="33" t="n"/>
      <c r="AG333" s="33" t="n"/>
      <c r="AH333" s="33" t="n"/>
      <c r="AI333" s="33" t="n"/>
      <c r="AJ333" s="33" t="n"/>
      <c r="AK333" s="33" t="n"/>
      <c r="AL333" s="27" t="n"/>
      <c r="AM333" s="34" t="n"/>
      <c r="AN333" s="35">
        <f>IF(AF333="","",IF(AI333="Yes","❌ Disc",IF(AH333="No","⚠ Missing",IF(AK333="Yes","✓ OK","⚠ Check"))))</f>
        <v/>
      </c>
      <c r="AO333" s="36" t="n"/>
      <c r="AP333" s="36" t="n"/>
      <c r="AQ333" s="36" t="n"/>
      <c r="AR333" s="36" t="n"/>
      <c r="AS333" s="36" t="n"/>
      <c r="AT333" s="36" t="n"/>
      <c r="AU333" s="27" t="n"/>
      <c r="AV333" s="37" t="n"/>
      <c r="AW333" s="38">
        <f>IF(AO333="","",IF(AR333="Yes","❌ Disc",IF(AQ333="No","⚠ Missing",IF(AT333="Yes","✓ OK","⚠ Check"))))</f>
        <v/>
      </c>
    </row>
    <row r="334" ht="18" customHeight="1" s="46">
      <c r="A334" s="39" t="n">
        <v>330</v>
      </c>
      <c r="B334" s="40" t="inlineStr">
        <is>
          <t>BD-HNA-2025-0379</t>
        </is>
      </c>
      <c r="C334" s="41" t="inlineStr">
        <is>
          <t>Bonito Handles - VI-01 PROFILE(V.H) - Black Profile Handle - 450mm</t>
        </is>
      </c>
      <c r="D334" s="39" t="inlineStr">
        <is>
          <t>Bonito Handles</t>
        </is>
      </c>
      <c r="E334" s="43" t="n">
        <v>46125</v>
      </c>
      <c r="F334" s="26" t="inlineStr">
        <is>
          <t>Sunil CR</t>
        </is>
      </c>
      <c r="G334" s="44" t="inlineStr">
        <is>
          <t>Represented by Sample</t>
        </is>
      </c>
      <c r="H334" s="26" t="inlineStr">
        <is>
          <t>No</t>
        </is>
      </c>
      <c r="I334" s="44" t="inlineStr">
        <is>
          <t>Represented by Sample</t>
        </is>
      </c>
      <c r="J334" s="26" t="inlineStr">
        <is>
          <t>Yes</t>
        </is>
      </c>
      <c r="K334" s="27" t="n"/>
      <c r="L334" s="28" t="inlineStr">
        <is>
          <t>No</t>
        </is>
      </c>
      <c r="M334" s="29">
        <f>IF(E334="","",IF(H334="Yes","❌ Disc",IF(G334="No","⚠ Missing",IF(J334="Yes","✓ OK","⚠ Check"))))</f>
        <v/>
      </c>
      <c r="N334" s="43" t="n">
        <v>46196</v>
      </c>
      <c r="O334" s="26" t="inlineStr">
        <is>
          <t>Sunil CR</t>
        </is>
      </c>
      <c r="P334" s="44" t="inlineStr">
        <is>
          <t>Represented by Sample</t>
        </is>
      </c>
      <c r="Q334" s="26" t="inlineStr">
        <is>
          <t>No</t>
        </is>
      </c>
      <c r="R334" s="44" t="inlineStr">
        <is>
          <t>Represented by Sample</t>
        </is>
      </c>
      <c r="S334" s="26" t="inlineStr">
        <is>
          <t>Yes</t>
        </is>
      </c>
      <c r="T334" s="27" t="n"/>
      <c r="U334" s="28" t="inlineStr">
        <is>
          <t>No</t>
        </is>
      </c>
      <c r="V334" s="29">
        <f>IF(N334="","",IF(Q334="Yes","❌ Disc",IF(P334="No","⚠ Missing",IF(S334="Yes","✓ OK","⚠ Check"))))</f>
        <v/>
      </c>
      <c r="W334" s="65" t="n">
        <v>46248</v>
      </c>
      <c r="X334" s="30" t="inlineStr">
        <is>
          <t>Sunil CR</t>
        </is>
      </c>
      <c r="Y334" s="30" t="inlineStr">
        <is>
          <t>Represented by Sample</t>
        </is>
      </c>
      <c r="Z334" s="30" t="n"/>
      <c r="AA334" s="30" t="inlineStr">
        <is>
          <t>Represented by Sample</t>
        </is>
      </c>
      <c r="AB334" s="30" t="inlineStr">
        <is>
          <t>Yes</t>
        </is>
      </c>
      <c r="AC334" s="27" t="n"/>
      <c r="AD334" s="31" t="inlineStr">
        <is>
          <t>No</t>
        </is>
      </c>
      <c r="AE334" s="32">
        <f>IF(W334="","",IF(Z334="Yes","❌ Disc",IF(Y334="No","⚠ Missing",IF(AB334="Yes","✓ OK","⚠ Check"))))</f>
        <v/>
      </c>
      <c r="AF334" s="33" t="n"/>
      <c r="AG334" s="33" t="n"/>
      <c r="AH334" s="33" t="n"/>
      <c r="AI334" s="33" t="n"/>
      <c r="AJ334" s="33" t="n"/>
      <c r="AK334" s="33" t="n"/>
      <c r="AL334" s="27" t="n"/>
      <c r="AM334" s="34" t="n"/>
      <c r="AN334" s="35">
        <f>IF(AF334="","",IF(AI334="Yes","❌ Disc",IF(AH334="No","⚠ Missing",IF(AK334="Yes","✓ OK","⚠ Check"))))</f>
        <v/>
      </c>
      <c r="AO334" s="36" t="n"/>
      <c r="AP334" s="36" t="n"/>
      <c r="AQ334" s="36" t="n"/>
      <c r="AR334" s="36" t="n"/>
      <c r="AS334" s="36" t="n"/>
      <c r="AT334" s="36" t="n"/>
      <c r="AU334" s="27" t="n"/>
      <c r="AV334" s="37" t="n"/>
      <c r="AW334" s="38">
        <f>IF(AO334="","",IF(AR334="Yes","❌ Disc",IF(AQ334="No","⚠ Missing",IF(AT334="Yes","✓ OK","⚠ Check"))))</f>
        <v/>
      </c>
    </row>
    <row r="335" ht="18" customHeight="1" s="46">
      <c r="A335" s="23" t="n">
        <v>331</v>
      </c>
      <c r="B335" s="24" t="inlineStr">
        <is>
          <t>BD-HNA-2025-0380</t>
        </is>
      </c>
      <c r="C335" s="25" t="inlineStr">
        <is>
          <t>Bonito Handles - VI-01 PROFILE(V.H) - Black Profile Handle - 600mm</t>
        </is>
      </c>
      <c r="D335" s="23" t="inlineStr">
        <is>
          <t>Bonito Handles</t>
        </is>
      </c>
      <c r="E335" s="43" t="n">
        <v>46125</v>
      </c>
      <c r="F335" s="26" t="inlineStr">
        <is>
          <t>Sunil CR</t>
        </is>
      </c>
      <c r="G335" s="44" t="inlineStr">
        <is>
          <t>Represented by Sample</t>
        </is>
      </c>
      <c r="H335" s="26" t="inlineStr">
        <is>
          <t>No</t>
        </is>
      </c>
      <c r="I335" s="44" t="inlineStr">
        <is>
          <t>Represented by Sample</t>
        </is>
      </c>
      <c r="J335" s="26" t="inlineStr">
        <is>
          <t>Yes</t>
        </is>
      </c>
      <c r="K335" s="27" t="n"/>
      <c r="L335" s="28" t="inlineStr">
        <is>
          <t>No</t>
        </is>
      </c>
      <c r="M335" s="29">
        <f>IF(E335="","",IF(H335="Yes","❌ Disc",IF(G335="No","⚠ Missing",IF(J335="Yes","✓ OK","⚠ Check"))))</f>
        <v/>
      </c>
      <c r="N335" s="43" t="n">
        <v>46196</v>
      </c>
      <c r="O335" s="26" t="inlineStr">
        <is>
          <t>Sunil CR</t>
        </is>
      </c>
      <c r="P335" s="44" t="inlineStr">
        <is>
          <t>Represented by Sample</t>
        </is>
      </c>
      <c r="Q335" s="26" t="inlineStr">
        <is>
          <t>No</t>
        </is>
      </c>
      <c r="R335" s="44" t="inlineStr">
        <is>
          <t>Represented by Sample</t>
        </is>
      </c>
      <c r="S335" s="26" t="inlineStr">
        <is>
          <t>Yes</t>
        </is>
      </c>
      <c r="T335" s="27" t="n"/>
      <c r="U335" s="28" t="inlineStr">
        <is>
          <t>No</t>
        </is>
      </c>
      <c r="V335" s="29">
        <f>IF(N335="","",IF(Q335="Yes","❌ Disc",IF(P335="No","⚠ Missing",IF(S335="Yes","✓ OK","⚠ Check"))))</f>
        <v/>
      </c>
      <c r="W335" s="65" t="n">
        <v>46248</v>
      </c>
      <c r="X335" s="30" t="inlineStr">
        <is>
          <t>Sunil CR</t>
        </is>
      </c>
      <c r="Y335" s="30" t="inlineStr">
        <is>
          <t>Represented by Sample</t>
        </is>
      </c>
      <c r="Z335" s="30" t="n"/>
      <c r="AA335" s="30" t="inlineStr">
        <is>
          <t>Represented by Sample</t>
        </is>
      </c>
      <c r="AB335" s="30" t="inlineStr">
        <is>
          <t>Yes</t>
        </is>
      </c>
      <c r="AC335" s="27" t="n"/>
      <c r="AD335" s="31" t="inlineStr">
        <is>
          <t>No</t>
        </is>
      </c>
      <c r="AE335" s="32">
        <f>IF(W335="","",IF(Z335="Yes","❌ Disc",IF(Y335="No","⚠ Missing",IF(AB335="Yes","✓ OK","⚠ Check"))))</f>
        <v/>
      </c>
      <c r="AF335" s="33" t="n"/>
      <c r="AG335" s="33" t="n"/>
      <c r="AH335" s="33" t="n"/>
      <c r="AI335" s="33" t="n"/>
      <c r="AJ335" s="33" t="n"/>
      <c r="AK335" s="33" t="n"/>
      <c r="AL335" s="27" t="n"/>
      <c r="AM335" s="34" t="n"/>
      <c r="AN335" s="35">
        <f>IF(AF335="","",IF(AI335="Yes","❌ Disc",IF(AH335="No","⚠ Missing",IF(AK335="Yes","✓ OK","⚠ Check"))))</f>
        <v/>
      </c>
      <c r="AO335" s="36" t="n"/>
      <c r="AP335" s="36" t="n"/>
      <c r="AQ335" s="36" t="n"/>
      <c r="AR335" s="36" t="n"/>
      <c r="AS335" s="36" t="n"/>
      <c r="AT335" s="36" t="n"/>
      <c r="AU335" s="27" t="n"/>
      <c r="AV335" s="37" t="n"/>
      <c r="AW335" s="38">
        <f>IF(AO335="","",IF(AR335="Yes","❌ Disc",IF(AQ335="No","⚠ Missing",IF(AT335="Yes","✓ OK","⚠ Check"))))</f>
        <v/>
      </c>
    </row>
    <row r="336" ht="18" customHeight="1" s="46">
      <c r="A336" s="39" t="n">
        <v>332</v>
      </c>
      <c r="B336" s="40" t="inlineStr">
        <is>
          <t>BD-HNA-2025-0384</t>
        </is>
      </c>
      <c r="C336" s="41" t="inlineStr">
        <is>
          <t>Bonito Handles - VI-01 PROFILE(V.H) - Chrome Plated Profile Handle - 250mm</t>
        </is>
      </c>
      <c r="D336" s="39" t="inlineStr">
        <is>
          <t>Bonito Handles</t>
        </is>
      </c>
      <c r="E336" s="43" t="n">
        <v>46125</v>
      </c>
      <c r="F336" s="26" t="inlineStr">
        <is>
          <t>Sunil CR</t>
        </is>
      </c>
      <c r="G336" s="44" t="inlineStr">
        <is>
          <t>Represented by Sample</t>
        </is>
      </c>
      <c r="H336" s="26" t="inlineStr">
        <is>
          <t>No</t>
        </is>
      </c>
      <c r="I336" s="44" t="inlineStr">
        <is>
          <t>Represented by Sample</t>
        </is>
      </c>
      <c r="J336" s="26" t="inlineStr">
        <is>
          <t>Yes</t>
        </is>
      </c>
      <c r="K336" s="27" t="n"/>
      <c r="L336" s="28" t="inlineStr">
        <is>
          <t>No</t>
        </is>
      </c>
      <c r="M336" s="29">
        <f>IF(E336="","",IF(H336="Yes","❌ Disc",IF(G336="No","⚠ Missing",IF(J336="Yes","✓ OK","⚠ Check"))))</f>
        <v/>
      </c>
      <c r="N336" s="43" t="n">
        <v>46196</v>
      </c>
      <c r="O336" s="26" t="inlineStr">
        <is>
          <t>Sunil CR</t>
        </is>
      </c>
      <c r="P336" s="44" t="inlineStr">
        <is>
          <t>Represented by Sample</t>
        </is>
      </c>
      <c r="Q336" s="26" t="inlineStr">
        <is>
          <t>No</t>
        </is>
      </c>
      <c r="R336" s="44" t="inlineStr">
        <is>
          <t>Represented by Sample</t>
        </is>
      </c>
      <c r="S336" s="26" t="inlineStr">
        <is>
          <t>Yes</t>
        </is>
      </c>
      <c r="T336" s="27" t="n"/>
      <c r="U336" s="28" t="inlineStr">
        <is>
          <t>No</t>
        </is>
      </c>
      <c r="V336" s="29">
        <f>IF(N336="","",IF(Q336="Yes","❌ Disc",IF(P336="No","⚠ Missing",IF(S336="Yes","✓ OK","⚠ Check"))))</f>
        <v/>
      </c>
      <c r="W336" s="65" t="n">
        <v>46248</v>
      </c>
      <c r="X336" s="30" t="inlineStr">
        <is>
          <t>Sunil CR</t>
        </is>
      </c>
      <c r="Y336" s="30" t="inlineStr">
        <is>
          <t>Represented by Sample</t>
        </is>
      </c>
      <c r="Z336" s="30" t="n"/>
      <c r="AA336" s="30" t="inlineStr">
        <is>
          <t>Represented by Sample</t>
        </is>
      </c>
      <c r="AB336" s="30" t="inlineStr">
        <is>
          <t>Yes</t>
        </is>
      </c>
      <c r="AC336" s="27" t="n"/>
      <c r="AD336" s="31" t="inlineStr">
        <is>
          <t>No</t>
        </is>
      </c>
      <c r="AE336" s="32">
        <f>IF(W336="","",IF(Z336="Yes","❌ Disc",IF(Y336="No","⚠ Missing",IF(AB336="Yes","✓ OK","⚠ Check"))))</f>
        <v/>
      </c>
      <c r="AF336" s="33" t="n"/>
      <c r="AG336" s="33" t="n"/>
      <c r="AH336" s="33" t="n"/>
      <c r="AI336" s="33" t="n"/>
      <c r="AJ336" s="33" t="n"/>
      <c r="AK336" s="33" t="n"/>
      <c r="AL336" s="27" t="n"/>
      <c r="AM336" s="34" t="n"/>
      <c r="AN336" s="35">
        <f>IF(AF336="","",IF(AI336="Yes","❌ Disc",IF(AH336="No","⚠ Missing",IF(AK336="Yes","✓ OK","⚠ Check"))))</f>
        <v/>
      </c>
      <c r="AO336" s="36" t="n"/>
      <c r="AP336" s="36" t="n"/>
      <c r="AQ336" s="36" t="n"/>
      <c r="AR336" s="36" t="n"/>
      <c r="AS336" s="36" t="n"/>
      <c r="AT336" s="36" t="n"/>
      <c r="AU336" s="27" t="n"/>
      <c r="AV336" s="37" t="n"/>
      <c r="AW336" s="38">
        <f>IF(AO336="","",IF(AR336="Yes","❌ Disc",IF(AQ336="No","⚠ Missing",IF(AT336="Yes","✓ OK","⚠ Check"))))</f>
        <v/>
      </c>
    </row>
    <row r="337" ht="18" customHeight="1" s="46">
      <c r="A337" s="23" t="n">
        <v>333</v>
      </c>
      <c r="B337" s="24" t="inlineStr">
        <is>
          <t>BD-HNA-2025-0385</t>
        </is>
      </c>
      <c r="C337" s="25" t="inlineStr">
        <is>
          <t>Bonito Handles - VI-01 PROFILE(V.H) - Chrome Plated Profile Handle - 450mm</t>
        </is>
      </c>
      <c r="D337" s="23" t="inlineStr">
        <is>
          <t>Bonito Handles</t>
        </is>
      </c>
      <c r="E337" s="43" t="n">
        <v>46125</v>
      </c>
      <c r="F337" s="26" t="inlineStr">
        <is>
          <t>Sunil CR</t>
        </is>
      </c>
      <c r="G337" s="44" t="inlineStr">
        <is>
          <t>Yes</t>
        </is>
      </c>
      <c r="H337" s="26" t="inlineStr">
        <is>
          <t>No</t>
        </is>
      </c>
      <c r="I337" s="44" t="inlineStr">
        <is>
          <t>Good finish</t>
        </is>
      </c>
      <c r="J337" s="26" t="inlineStr">
        <is>
          <t>Yes</t>
        </is>
      </c>
      <c r="K337" s="27" t="n"/>
      <c r="L337" s="28" t="inlineStr">
        <is>
          <t>No</t>
        </is>
      </c>
      <c r="M337" s="29">
        <f>IF(E337="","",IF(H337="Yes","❌ Disc",IF(G337="No","⚠ Missing",IF(J337="Yes","✓ OK","⚠ Check"))))</f>
        <v/>
      </c>
      <c r="N337" s="43" t="n">
        <v>46196</v>
      </c>
      <c r="O337" s="26" t="inlineStr">
        <is>
          <t>Sunil CR</t>
        </is>
      </c>
      <c r="P337" s="44" t="inlineStr">
        <is>
          <t>Yes</t>
        </is>
      </c>
      <c r="Q337" s="26" t="inlineStr">
        <is>
          <t>No</t>
        </is>
      </c>
      <c r="R337" s="44" t="inlineStr">
        <is>
          <t>Good finish</t>
        </is>
      </c>
      <c r="S337" s="26" t="inlineStr">
        <is>
          <t>Yes</t>
        </is>
      </c>
      <c r="T337" s="27" t="n"/>
      <c r="U337" s="28" t="inlineStr">
        <is>
          <t>No</t>
        </is>
      </c>
      <c r="V337" s="29">
        <f>IF(N337="","",IF(Q337="Yes","❌ Disc",IF(P337="No","⚠ Missing",IF(S337="Yes","✓ OK","⚠ Check"))))</f>
        <v/>
      </c>
      <c r="W337" s="65" t="n">
        <v>46248</v>
      </c>
      <c r="X337" s="30" t="inlineStr">
        <is>
          <t>Sunil CR</t>
        </is>
      </c>
      <c r="Y337" s="30" t="inlineStr">
        <is>
          <t>Yes</t>
        </is>
      </c>
      <c r="Z337" s="30" t="n"/>
      <c r="AA337" s="30" t="inlineStr">
        <is>
          <t>Good finish</t>
        </is>
      </c>
      <c r="AB337" s="30" t="inlineStr">
        <is>
          <t>Yes</t>
        </is>
      </c>
      <c r="AC337" s="27" t="n"/>
      <c r="AD337" s="31" t="inlineStr">
        <is>
          <t>No</t>
        </is>
      </c>
      <c r="AE337" s="32">
        <f>IF(W337="","",IF(Z337="Yes","❌ Disc",IF(Y337="No","⚠ Missing",IF(AB337="Yes","✓ OK","⚠ Check"))))</f>
        <v/>
      </c>
      <c r="AF337" s="33" t="n"/>
      <c r="AG337" s="33" t="n"/>
      <c r="AH337" s="33" t="n"/>
      <c r="AI337" s="33" t="n"/>
      <c r="AJ337" s="33" t="n"/>
      <c r="AK337" s="33" t="n"/>
      <c r="AL337" s="27" t="n"/>
      <c r="AM337" s="34" t="n"/>
      <c r="AN337" s="35">
        <f>IF(AF337="","",IF(AI337="Yes","❌ Disc",IF(AH337="No","⚠ Missing",IF(AK337="Yes","✓ OK","⚠ Check"))))</f>
        <v/>
      </c>
      <c r="AO337" s="36" t="n"/>
      <c r="AP337" s="36" t="n"/>
      <c r="AQ337" s="36" t="n"/>
      <c r="AR337" s="36" t="n"/>
      <c r="AS337" s="36" t="n"/>
      <c r="AT337" s="36" t="n"/>
      <c r="AU337" s="27" t="n"/>
      <c r="AV337" s="37" t="n"/>
      <c r="AW337" s="38">
        <f>IF(AO337="","",IF(AR337="Yes","❌ Disc",IF(AQ337="No","⚠ Missing",IF(AT337="Yes","✓ OK","⚠ Check"))))</f>
        <v/>
      </c>
    </row>
    <row r="338" ht="18" customHeight="1" s="46">
      <c r="A338" s="39" t="n">
        <v>334</v>
      </c>
      <c r="B338" s="40" t="inlineStr">
        <is>
          <t>BD-HNA-2025-0386</t>
        </is>
      </c>
      <c r="C338" s="41" t="inlineStr">
        <is>
          <t>Bonito Handles - VI-01 PROFILE(V.H) - Chrome Plated Profile Handle - 600mm</t>
        </is>
      </c>
      <c r="D338" s="39" t="inlineStr">
        <is>
          <t>Bonito Handles</t>
        </is>
      </c>
      <c r="E338" s="43" t="n">
        <v>46125</v>
      </c>
      <c r="F338" s="26" t="inlineStr">
        <is>
          <t>Sunil CR</t>
        </is>
      </c>
      <c r="G338" s="44" t="inlineStr">
        <is>
          <t>Represented by Sample</t>
        </is>
      </c>
      <c r="H338" s="26" t="inlineStr">
        <is>
          <t>No</t>
        </is>
      </c>
      <c r="I338" s="44" t="inlineStr">
        <is>
          <t>Represented by Sample</t>
        </is>
      </c>
      <c r="J338" s="26" t="inlineStr">
        <is>
          <t>Yes</t>
        </is>
      </c>
      <c r="K338" s="27" t="n"/>
      <c r="L338" s="28" t="inlineStr">
        <is>
          <t>No</t>
        </is>
      </c>
      <c r="M338" s="29">
        <f>IF(E338="","",IF(H338="Yes","❌ Disc",IF(G338="No","⚠ Missing",IF(J338="Yes","✓ OK","⚠ Check"))))</f>
        <v/>
      </c>
      <c r="N338" s="43" t="n">
        <v>46196</v>
      </c>
      <c r="O338" s="26" t="inlineStr">
        <is>
          <t>Sunil CR</t>
        </is>
      </c>
      <c r="P338" s="44" t="inlineStr">
        <is>
          <t>Represented by Sample</t>
        </is>
      </c>
      <c r="Q338" s="26" t="inlineStr">
        <is>
          <t>No</t>
        </is>
      </c>
      <c r="R338" s="44" t="inlineStr">
        <is>
          <t>Represented by Sample</t>
        </is>
      </c>
      <c r="S338" s="26" t="inlineStr">
        <is>
          <t>Yes</t>
        </is>
      </c>
      <c r="T338" s="27" t="n"/>
      <c r="U338" s="28" t="inlineStr">
        <is>
          <t>No</t>
        </is>
      </c>
      <c r="V338" s="29">
        <f>IF(N338="","",IF(Q338="Yes","❌ Disc",IF(P338="No","⚠ Missing",IF(S338="Yes","✓ OK","⚠ Check"))))</f>
        <v/>
      </c>
      <c r="W338" s="65" t="n">
        <v>46248</v>
      </c>
      <c r="X338" s="30" t="inlineStr">
        <is>
          <t>Sunil CR</t>
        </is>
      </c>
      <c r="Y338" s="30" t="inlineStr">
        <is>
          <t>Represented by Sample</t>
        </is>
      </c>
      <c r="Z338" s="30" t="n"/>
      <c r="AA338" s="30" t="inlineStr">
        <is>
          <t>Represented by Sample</t>
        </is>
      </c>
      <c r="AB338" s="30" t="inlineStr">
        <is>
          <t>Yes</t>
        </is>
      </c>
      <c r="AC338" s="27" t="n"/>
      <c r="AD338" s="31" t="inlineStr">
        <is>
          <t>No</t>
        </is>
      </c>
      <c r="AE338" s="32">
        <f>IF(W338="","",IF(Z338="Yes","❌ Disc",IF(Y338="No","⚠ Missing",IF(AB338="Yes","✓ OK","⚠ Check"))))</f>
        <v/>
      </c>
      <c r="AF338" s="33" t="n"/>
      <c r="AG338" s="33" t="n"/>
      <c r="AH338" s="33" t="n"/>
      <c r="AI338" s="33" t="n"/>
      <c r="AJ338" s="33" t="n"/>
      <c r="AK338" s="33" t="n"/>
      <c r="AL338" s="27" t="n"/>
      <c r="AM338" s="34" t="n"/>
      <c r="AN338" s="35">
        <f>IF(AF338="","",IF(AI338="Yes","❌ Disc",IF(AH338="No","⚠ Missing",IF(AK338="Yes","✓ OK","⚠ Check"))))</f>
        <v/>
      </c>
      <c r="AO338" s="36" t="n"/>
      <c r="AP338" s="36" t="n"/>
      <c r="AQ338" s="36" t="n"/>
      <c r="AR338" s="36" t="n"/>
      <c r="AS338" s="36" t="n"/>
      <c r="AT338" s="36" t="n"/>
      <c r="AU338" s="27" t="n"/>
      <c r="AV338" s="37" t="n"/>
      <c r="AW338" s="38">
        <f>IF(AO338="","",IF(AR338="Yes","❌ Disc",IF(AQ338="No","⚠ Missing",IF(AT338="Yes","✓ OK","⚠ Check"))))</f>
        <v/>
      </c>
    </row>
    <row r="339" ht="18" customHeight="1" s="46">
      <c r="A339" s="23" t="n">
        <v>335</v>
      </c>
      <c r="B339" s="24" t="inlineStr">
        <is>
          <t>BD-HNA-2025-0393</t>
        </is>
      </c>
      <c r="C339" s="25" t="inlineStr">
        <is>
          <t>Bonito Handles - VI-01 PROFILE(V.H) - Gold Profile Handle - 250mm</t>
        </is>
      </c>
      <c r="D339" s="23" t="inlineStr">
        <is>
          <t>Bonito Handles</t>
        </is>
      </c>
      <c r="E339" s="43" t="n">
        <v>46125</v>
      </c>
      <c r="F339" s="26" t="inlineStr">
        <is>
          <t>Sunil CR</t>
        </is>
      </c>
      <c r="G339" s="44" t="inlineStr">
        <is>
          <t>Represented by Sample</t>
        </is>
      </c>
      <c r="H339" s="26" t="inlineStr">
        <is>
          <t>No</t>
        </is>
      </c>
      <c r="I339" s="44" t="inlineStr">
        <is>
          <t>Represented by Sample</t>
        </is>
      </c>
      <c r="J339" s="26" t="inlineStr">
        <is>
          <t>Yes</t>
        </is>
      </c>
      <c r="K339" s="27" t="n"/>
      <c r="L339" s="28" t="inlineStr">
        <is>
          <t>No</t>
        </is>
      </c>
      <c r="M339" s="29">
        <f>IF(E339="","",IF(H339="Yes","❌ Disc",IF(G339="No","⚠ Missing",IF(J339="Yes","✓ OK","⚠ Check"))))</f>
        <v/>
      </c>
      <c r="N339" s="43" t="n">
        <v>46196</v>
      </c>
      <c r="O339" s="26" t="inlineStr">
        <is>
          <t>Sunil CR</t>
        </is>
      </c>
      <c r="P339" s="44" t="inlineStr">
        <is>
          <t>Represented by Sample</t>
        </is>
      </c>
      <c r="Q339" s="26" t="inlineStr">
        <is>
          <t>No</t>
        </is>
      </c>
      <c r="R339" s="44" t="inlineStr">
        <is>
          <t>Represented by Sample</t>
        </is>
      </c>
      <c r="S339" s="26" t="inlineStr">
        <is>
          <t>Yes</t>
        </is>
      </c>
      <c r="T339" s="27" t="n"/>
      <c r="U339" s="28" t="inlineStr">
        <is>
          <t>No</t>
        </is>
      </c>
      <c r="V339" s="29">
        <f>IF(N339="","",IF(Q339="Yes","❌ Disc",IF(P339="No","⚠ Missing",IF(S339="Yes","✓ OK","⚠ Check"))))</f>
        <v/>
      </c>
      <c r="W339" s="65" t="n">
        <v>46248</v>
      </c>
      <c r="X339" s="30" t="inlineStr">
        <is>
          <t>Sunil CR</t>
        </is>
      </c>
      <c r="Y339" s="30" t="inlineStr">
        <is>
          <t>Represented by Sample</t>
        </is>
      </c>
      <c r="Z339" s="30" t="n"/>
      <c r="AA339" s="30" t="inlineStr">
        <is>
          <t>Represented by Sample</t>
        </is>
      </c>
      <c r="AB339" s="30" t="inlineStr">
        <is>
          <t>Yes</t>
        </is>
      </c>
      <c r="AC339" s="27" t="n"/>
      <c r="AD339" s="31" t="inlineStr">
        <is>
          <t>No</t>
        </is>
      </c>
      <c r="AE339" s="32">
        <f>IF(W339="","",IF(Z339="Yes","❌ Disc",IF(Y339="No","⚠ Missing",IF(AB339="Yes","✓ OK","⚠ Check"))))</f>
        <v/>
      </c>
      <c r="AF339" s="33" t="n"/>
      <c r="AG339" s="33" t="n"/>
      <c r="AH339" s="33" t="n"/>
      <c r="AI339" s="33" t="n"/>
      <c r="AJ339" s="33" t="n"/>
      <c r="AK339" s="33" t="n"/>
      <c r="AL339" s="27" t="n"/>
      <c r="AM339" s="34" t="n"/>
      <c r="AN339" s="35">
        <f>IF(AF339="","",IF(AI339="Yes","❌ Disc",IF(AH339="No","⚠ Missing",IF(AK339="Yes","✓ OK","⚠ Check"))))</f>
        <v/>
      </c>
      <c r="AO339" s="36" t="n"/>
      <c r="AP339" s="36" t="n"/>
      <c r="AQ339" s="36" t="n"/>
      <c r="AR339" s="36" t="n"/>
      <c r="AS339" s="36" t="n"/>
      <c r="AT339" s="36" t="n"/>
      <c r="AU339" s="27" t="n"/>
      <c r="AV339" s="37" t="n"/>
      <c r="AW339" s="38">
        <f>IF(AO339="","",IF(AR339="Yes","❌ Disc",IF(AQ339="No","⚠ Missing",IF(AT339="Yes","✓ OK","⚠ Check"))))</f>
        <v/>
      </c>
    </row>
    <row r="340" ht="18" customHeight="1" s="46">
      <c r="A340" s="39" t="n">
        <v>336</v>
      </c>
      <c r="B340" s="40" t="inlineStr">
        <is>
          <t>BD-HNA-2025-0394</t>
        </is>
      </c>
      <c r="C340" s="41" t="inlineStr">
        <is>
          <t>Bonito Handles - VI-01 PROFILE(V.H) - Gold Profile Handle - 450mm</t>
        </is>
      </c>
      <c r="D340" s="39" t="inlineStr">
        <is>
          <t>Bonito Handles</t>
        </is>
      </c>
      <c r="E340" s="43" t="n">
        <v>46125</v>
      </c>
      <c r="F340" s="26" t="inlineStr">
        <is>
          <t>Sunil CR</t>
        </is>
      </c>
      <c r="G340" s="44" t="inlineStr">
        <is>
          <t>Represented by Sample</t>
        </is>
      </c>
      <c r="H340" s="26" t="inlineStr">
        <is>
          <t>No</t>
        </is>
      </c>
      <c r="I340" s="44" t="inlineStr">
        <is>
          <t>Represented by Sample</t>
        </is>
      </c>
      <c r="J340" s="26" t="inlineStr">
        <is>
          <t>Yes</t>
        </is>
      </c>
      <c r="K340" s="27" t="n"/>
      <c r="L340" s="28" t="inlineStr">
        <is>
          <t>No</t>
        </is>
      </c>
      <c r="M340" s="29">
        <f>IF(E340="","",IF(H340="Yes","❌ Disc",IF(G340="No","⚠ Missing",IF(J340="Yes","✓ OK","⚠ Check"))))</f>
        <v/>
      </c>
      <c r="N340" s="43" t="n">
        <v>46196</v>
      </c>
      <c r="O340" s="26" t="inlineStr">
        <is>
          <t>Sunil CR</t>
        </is>
      </c>
      <c r="P340" s="44" t="inlineStr">
        <is>
          <t>Represented by Sample</t>
        </is>
      </c>
      <c r="Q340" s="26" t="inlineStr">
        <is>
          <t>No</t>
        </is>
      </c>
      <c r="R340" s="44" t="inlineStr">
        <is>
          <t>Represented by Sample</t>
        </is>
      </c>
      <c r="S340" s="26" t="inlineStr">
        <is>
          <t>Yes</t>
        </is>
      </c>
      <c r="T340" s="27" t="n"/>
      <c r="U340" s="28" t="inlineStr">
        <is>
          <t>No</t>
        </is>
      </c>
      <c r="V340" s="29">
        <f>IF(N340="","",IF(Q340="Yes","❌ Disc",IF(P340="No","⚠ Missing",IF(S340="Yes","✓ OK","⚠ Check"))))</f>
        <v/>
      </c>
      <c r="W340" s="65" t="n">
        <v>46248</v>
      </c>
      <c r="X340" s="30" t="inlineStr">
        <is>
          <t>Sunil CR</t>
        </is>
      </c>
      <c r="Y340" s="30" t="inlineStr">
        <is>
          <t>Represented by Sample</t>
        </is>
      </c>
      <c r="Z340" s="30" t="n"/>
      <c r="AA340" s="30" t="inlineStr">
        <is>
          <t>Represented by Sample</t>
        </is>
      </c>
      <c r="AB340" s="30" t="inlineStr">
        <is>
          <t>Yes</t>
        </is>
      </c>
      <c r="AC340" s="27" t="n"/>
      <c r="AD340" s="31" t="inlineStr">
        <is>
          <t>No</t>
        </is>
      </c>
      <c r="AE340" s="32">
        <f>IF(W340="","",IF(Z340="Yes","❌ Disc",IF(Y340="No","⚠ Missing",IF(AB340="Yes","✓ OK","⚠ Check"))))</f>
        <v/>
      </c>
      <c r="AF340" s="33" t="n"/>
      <c r="AG340" s="33" t="n"/>
      <c r="AH340" s="33" t="n"/>
      <c r="AI340" s="33" t="n"/>
      <c r="AJ340" s="33" t="n"/>
      <c r="AK340" s="33" t="n"/>
      <c r="AL340" s="27" t="n"/>
      <c r="AM340" s="34" t="n"/>
      <c r="AN340" s="35">
        <f>IF(AF340="","",IF(AI340="Yes","❌ Disc",IF(AH340="No","⚠ Missing",IF(AK340="Yes","✓ OK","⚠ Check"))))</f>
        <v/>
      </c>
      <c r="AO340" s="36" t="n"/>
      <c r="AP340" s="36" t="n"/>
      <c r="AQ340" s="36" t="n"/>
      <c r="AR340" s="36" t="n"/>
      <c r="AS340" s="36" t="n"/>
      <c r="AT340" s="36" t="n"/>
      <c r="AU340" s="27" t="n"/>
      <c r="AV340" s="37" t="n"/>
      <c r="AW340" s="38">
        <f>IF(AO340="","",IF(AR340="Yes","❌ Disc",IF(AQ340="No","⚠ Missing",IF(AT340="Yes","✓ OK","⚠ Check"))))</f>
        <v/>
      </c>
    </row>
    <row r="341" ht="18" customHeight="1" s="46">
      <c r="A341" s="23" t="n">
        <v>337</v>
      </c>
      <c r="B341" s="24" t="inlineStr">
        <is>
          <t>BD-HNA-2025-0395</t>
        </is>
      </c>
      <c r="C341" s="25" t="inlineStr">
        <is>
          <t>Bonito Handles - VI-01 PROFILE(V.H) - Gold Profile Handle - 600mm</t>
        </is>
      </c>
      <c r="D341" s="23" t="inlineStr">
        <is>
          <t>Bonito Handles</t>
        </is>
      </c>
      <c r="E341" s="43" t="n">
        <v>46125</v>
      </c>
      <c r="F341" s="26" t="inlineStr">
        <is>
          <t>Sunil CR</t>
        </is>
      </c>
      <c r="G341" s="44" t="inlineStr">
        <is>
          <t>Represented by Sample</t>
        </is>
      </c>
      <c r="H341" s="26" t="inlineStr">
        <is>
          <t>No</t>
        </is>
      </c>
      <c r="I341" s="44" t="inlineStr">
        <is>
          <t>Represented by Sample</t>
        </is>
      </c>
      <c r="J341" s="26" t="inlineStr">
        <is>
          <t>Yes</t>
        </is>
      </c>
      <c r="K341" s="27" t="n"/>
      <c r="L341" s="28" t="inlineStr">
        <is>
          <t>No</t>
        </is>
      </c>
      <c r="M341" s="29">
        <f>IF(E341="","",IF(H341="Yes","❌ Disc",IF(G341="No","⚠ Missing",IF(J341="Yes","✓ OK","⚠ Check"))))</f>
        <v/>
      </c>
      <c r="N341" s="43" t="n">
        <v>46196</v>
      </c>
      <c r="O341" s="26" t="inlineStr">
        <is>
          <t>Sunil CR</t>
        </is>
      </c>
      <c r="P341" s="44" t="inlineStr">
        <is>
          <t>Represented by Sample</t>
        </is>
      </c>
      <c r="Q341" s="26" t="inlineStr">
        <is>
          <t>No</t>
        </is>
      </c>
      <c r="R341" s="44" t="inlineStr">
        <is>
          <t>Represented by Sample</t>
        </is>
      </c>
      <c r="S341" s="26" t="inlineStr">
        <is>
          <t>Yes</t>
        </is>
      </c>
      <c r="T341" s="27" t="n"/>
      <c r="U341" s="28" t="inlineStr">
        <is>
          <t>No</t>
        </is>
      </c>
      <c r="V341" s="29">
        <f>IF(N341="","",IF(Q341="Yes","❌ Disc",IF(P341="No","⚠ Missing",IF(S341="Yes","✓ OK","⚠ Check"))))</f>
        <v/>
      </c>
      <c r="W341" s="65" t="n">
        <v>46248</v>
      </c>
      <c r="X341" s="30" t="inlineStr">
        <is>
          <t>Sunil CR</t>
        </is>
      </c>
      <c r="Y341" s="30" t="inlineStr">
        <is>
          <t>Represented by Sample</t>
        </is>
      </c>
      <c r="Z341" s="30" t="n"/>
      <c r="AA341" s="30" t="inlineStr">
        <is>
          <t>Represented by Sample</t>
        </is>
      </c>
      <c r="AB341" s="30" t="inlineStr">
        <is>
          <t>Yes</t>
        </is>
      </c>
      <c r="AC341" s="27" t="n"/>
      <c r="AD341" s="31" t="inlineStr">
        <is>
          <t>No</t>
        </is>
      </c>
      <c r="AE341" s="32">
        <f>IF(W341="","",IF(Z341="Yes","❌ Disc",IF(Y341="No","⚠ Missing",IF(AB341="Yes","✓ OK","⚠ Check"))))</f>
        <v/>
      </c>
      <c r="AF341" s="33" t="n"/>
      <c r="AG341" s="33" t="n"/>
      <c r="AH341" s="33" t="n"/>
      <c r="AI341" s="33" t="n"/>
      <c r="AJ341" s="33" t="n"/>
      <c r="AK341" s="33" t="n"/>
      <c r="AL341" s="27" t="n"/>
      <c r="AM341" s="34" t="n"/>
      <c r="AN341" s="35">
        <f>IF(AF341="","",IF(AI341="Yes","❌ Disc",IF(AH341="No","⚠ Missing",IF(AK341="Yes","✓ OK","⚠ Check"))))</f>
        <v/>
      </c>
      <c r="AO341" s="36" t="n"/>
      <c r="AP341" s="36" t="n"/>
      <c r="AQ341" s="36" t="n"/>
      <c r="AR341" s="36" t="n"/>
      <c r="AS341" s="36" t="n"/>
      <c r="AT341" s="36" t="n"/>
      <c r="AU341" s="27" t="n"/>
      <c r="AV341" s="37" t="n"/>
      <c r="AW341" s="38">
        <f>IF(AO341="","",IF(AR341="Yes","❌ Disc",IF(AQ341="No","⚠ Missing",IF(AT341="Yes","✓ OK","⚠ Check"))))</f>
        <v/>
      </c>
    </row>
    <row r="342" ht="18" customHeight="1" s="46">
      <c r="A342" s="39" t="n">
        <v>338</v>
      </c>
      <c r="B342" s="40" t="inlineStr">
        <is>
          <t>BD-HNA-2025-0387</t>
        </is>
      </c>
      <c r="C342" s="41" t="inlineStr">
        <is>
          <t>Bonito Handles - VI-01 PROFILE(V.H) - Grey Profile Handle - 250mm</t>
        </is>
      </c>
      <c r="D342" s="39" t="inlineStr">
        <is>
          <t>Bonito Handles</t>
        </is>
      </c>
      <c r="E342" s="43" t="n">
        <v>46125</v>
      </c>
      <c r="F342" s="26" t="inlineStr">
        <is>
          <t>Sunil CR</t>
        </is>
      </c>
      <c r="G342" s="44" t="inlineStr">
        <is>
          <t>Represented by Sample</t>
        </is>
      </c>
      <c r="H342" s="26" t="inlineStr">
        <is>
          <t>No</t>
        </is>
      </c>
      <c r="I342" s="44" t="inlineStr">
        <is>
          <t>Represented by Sample</t>
        </is>
      </c>
      <c r="J342" s="26" t="inlineStr">
        <is>
          <t>Yes</t>
        </is>
      </c>
      <c r="K342" s="27" t="n"/>
      <c r="L342" s="28" t="inlineStr">
        <is>
          <t>No</t>
        </is>
      </c>
      <c r="M342" s="29">
        <f>IF(E342="","",IF(H342="Yes","❌ Disc",IF(G342="No","⚠ Missing",IF(J342="Yes","✓ OK","⚠ Check"))))</f>
        <v/>
      </c>
      <c r="N342" s="43" t="n">
        <v>46196</v>
      </c>
      <c r="O342" s="26" t="inlineStr">
        <is>
          <t>Sunil CR</t>
        </is>
      </c>
      <c r="P342" s="44" t="inlineStr">
        <is>
          <t>Represented by Sample</t>
        </is>
      </c>
      <c r="Q342" s="26" t="inlineStr">
        <is>
          <t>No</t>
        </is>
      </c>
      <c r="R342" s="44" t="inlineStr">
        <is>
          <t>Represented by Sample</t>
        </is>
      </c>
      <c r="S342" s="26" t="inlineStr">
        <is>
          <t>Yes</t>
        </is>
      </c>
      <c r="T342" s="27" t="n"/>
      <c r="U342" s="28" t="inlineStr">
        <is>
          <t>No</t>
        </is>
      </c>
      <c r="V342" s="29">
        <f>IF(N342="","",IF(Q342="Yes","❌ Disc",IF(P342="No","⚠ Missing",IF(S342="Yes","✓ OK","⚠ Check"))))</f>
        <v/>
      </c>
      <c r="W342" s="65" t="n">
        <v>46248</v>
      </c>
      <c r="X342" s="30" t="inlineStr">
        <is>
          <t>Sunil CR</t>
        </is>
      </c>
      <c r="Y342" s="30" t="inlineStr">
        <is>
          <t>Represented by Sample</t>
        </is>
      </c>
      <c r="Z342" s="30" t="n"/>
      <c r="AA342" s="30" t="inlineStr">
        <is>
          <t>Represented by Sample</t>
        </is>
      </c>
      <c r="AB342" s="30" t="inlineStr">
        <is>
          <t>Yes</t>
        </is>
      </c>
      <c r="AC342" s="27" t="n"/>
      <c r="AD342" s="31" t="inlineStr">
        <is>
          <t>No</t>
        </is>
      </c>
      <c r="AE342" s="32">
        <f>IF(W342="","",IF(Z342="Yes","❌ Disc",IF(Y342="No","⚠ Missing",IF(AB342="Yes","✓ OK","⚠ Check"))))</f>
        <v/>
      </c>
      <c r="AF342" s="33" t="n"/>
      <c r="AG342" s="33" t="n"/>
      <c r="AH342" s="33" t="n"/>
      <c r="AI342" s="33" t="n"/>
      <c r="AJ342" s="33" t="n"/>
      <c r="AK342" s="33" t="n"/>
      <c r="AL342" s="27" t="n"/>
      <c r="AM342" s="34" t="n"/>
      <c r="AN342" s="35">
        <f>IF(AF342="","",IF(AI342="Yes","❌ Disc",IF(AH342="No","⚠ Missing",IF(AK342="Yes","✓ OK","⚠ Check"))))</f>
        <v/>
      </c>
      <c r="AO342" s="36" t="n"/>
      <c r="AP342" s="36" t="n"/>
      <c r="AQ342" s="36" t="n"/>
      <c r="AR342" s="36" t="n"/>
      <c r="AS342" s="36" t="n"/>
      <c r="AT342" s="36" t="n"/>
      <c r="AU342" s="27" t="n"/>
      <c r="AV342" s="37" t="n"/>
      <c r="AW342" s="38">
        <f>IF(AO342="","",IF(AR342="Yes","❌ Disc",IF(AQ342="No","⚠ Missing",IF(AT342="Yes","✓ OK","⚠ Check"))))</f>
        <v/>
      </c>
    </row>
    <row r="343" ht="18" customHeight="1" s="46">
      <c r="A343" s="23" t="n">
        <v>339</v>
      </c>
      <c r="B343" s="24" t="inlineStr">
        <is>
          <t>BD-HNA-2025-0388</t>
        </is>
      </c>
      <c r="C343" s="25" t="inlineStr">
        <is>
          <t>Bonito Handles - VI-01 PROFILE(V.H) - Grey Profile Handle - 450mm</t>
        </is>
      </c>
      <c r="D343" s="23" t="inlineStr">
        <is>
          <t>Bonito Handles</t>
        </is>
      </c>
      <c r="E343" s="43" t="n">
        <v>46125</v>
      </c>
      <c r="F343" s="26" t="inlineStr">
        <is>
          <t>Sunil CR</t>
        </is>
      </c>
      <c r="G343" s="44" t="inlineStr">
        <is>
          <t>Represented by Sample</t>
        </is>
      </c>
      <c r="H343" s="26" t="inlineStr">
        <is>
          <t>No</t>
        </is>
      </c>
      <c r="I343" s="44" t="inlineStr">
        <is>
          <t>Represented by Sample</t>
        </is>
      </c>
      <c r="J343" s="26" t="inlineStr">
        <is>
          <t>Yes</t>
        </is>
      </c>
      <c r="K343" s="27" t="n"/>
      <c r="L343" s="28" t="inlineStr">
        <is>
          <t>No</t>
        </is>
      </c>
      <c r="M343" s="29">
        <f>IF(E343="","",IF(H343="Yes","❌ Disc",IF(G343="No","⚠ Missing",IF(J343="Yes","✓ OK","⚠ Check"))))</f>
        <v/>
      </c>
      <c r="N343" s="43" t="n">
        <v>46196</v>
      </c>
      <c r="O343" s="26" t="inlineStr">
        <is>
          <t>Sunil CR</t>
        </is>
      </c>
      <c r="P343" s="44" t="inlineStr">
        <is>
          <t>Represented by Sample</t>
        </is>
      </c>
      <c r="Q343" s="26" t="inlineStr">
        <is>
          <t>No</t>
        </is>
      </c>
      <c r="R343" s="44" t="inlineStr">
        <is>
          <t>Represented by Sample</t>
        </is>
      </c>
      <c r="S343" s="26" t="inlineStr">
        <is>
          <t>Yes</t>
        </is>
      </c>
      <c r="T343" s="27" t="n"/>
      <c r="U343" s="28" t="inlineStr">
        <is>
          <t>No</t>
        </is>
      </c>
      <c r="V343" s="29">
        <f>IF(N343="","",IF(Q343="Yes","❌ Disc",IF(P343="No","⚠ Missing",IF(S343="Yes","✓ OK","⚠ Check"))))</f>
        <v/>
      </c>
      <c r="W343" s="65" t="n">
        <v>46248</v>
      </c>
      <c r="X343" s="30" t="inlineStr">
        <is>
          <t>Sunil CR</t>
        </is>
      </c>
      <c r="Y343" s="30" t="inlineStr">
        <is>
          <t>Represented by Sample</t>
        </is>
      </c>
      <c r="Z343" s="30" t="n"/>
      <c r="AA343" s="30" t="inlineStr">
        <is>
          <t>Represented by Sample</t>
        </is>
      </c>
      <c r="AB343" s="30" t="inlineStr">
        <is>
          <t>Yes</t>
        </is>
      </c>
      <c r="AC343" s="27" t="n"/>
      <c r="AD343" s="31" t="inlineStr">
        <is>
          <t>No</t>
        </is>
      </c>
      <c r="AE343" s="32">
        <f>IF(W343="","",IF(Z343="Yes","❌ Disc",IF(Y343="No","⚠ Missing",IF(AB343="Yes","✓ OK","⚠ Check"))))</f>
        <v/>
      </c>
      <c r="AF343" s="33" t="n"/>
      <c r="AG343" s="33" t="n"/>
      <c r="AH343" s="33" t="n"/>
      <c r="AI343" s="33" t="n"/>
      <c r="AJ343" s="33" t="n"/>
      <c r="AK343" s="33" t="n"/>
      <c r="AL343" s="27" t="n"/>
      <c r="AM343" s="34" t="n"/>
      <c r="AN343" s="35">
        <f>IF(AF343="","",IF(AI343="Yes","❌ Disc",IF(AH343="No","⚠ Missing",IF(AK343="Yes","✓ OK","⚠ Check"))))</f>
        <v/>
      </c>
      <c r="AO343" s="36" t="n"/>
      <c r="AP343" s="36" t="n"/>
      <c r="AQ343" s="36" t="n"/>
      <c r="AR343" s="36" t="n"/>
      <c r="AS343" s="36" t="n"/>
      <c r="AT343" s="36" t="n"/>
      <c r="AU343" s="27" t="n"/>
      <c r="AV343" s="37" t="n"/>
      <c r="AW343" s="38">
        <f>IF(AO343="","",IF(AR343="Yes","❌ Disc",IF(AQ343="No","⚠ Missing",IF(AT343="Yes","✓ OK","⚠ Check"))))</f>
        <v/>
      </c>
    </row>
    <row r="344" ht="18" customHeight="1" s="46">
      <c r="A344" s="39" t="n">
        <v>340</v>
      </c>
      <c r="B344" s="40" t="inlineStr">
        <is>
          <t>BD-HNA-2025-0389</t>
        </is>
      </c>
      <c r="C344" s="41" t="inlineStr">
        <is>
          <t>Bonito Handles - VI-01 PROFILE(V.H) - Grey Profile Handle - 600mm</t>
        </is>
      </c>
      <c r="D344" s="39" t="inlineStr">
        <is>
          <t>Bonito Handles</t>
        </is>
      </c>
      <c r="E344" s="43" t="n">
        <v>46125</v>
      </c>
      <c r="F344" s="26" t="inlineStr">
        <is>
          <t>Sunil CR</t>
        </is>
      </c>
      <c r="G344" s="44" t="inlineStr">
        <is>
          <t>Represented by Sample</t>
        </is>
      </c>
      <c r="H344" s="26" t="inlineStr">
        <is>
          <t>No</t>
        </is>
      </c>
      <c r="I344" s="44" t="inlineStr">
        <is>
          <t>Represented by Sample</t>
        </is>
      </c>
      <c r="J344" s="26" t="inlineStr">
        <is>
          <t>Yes</t>
        </is>
      </c>
      <c r="K344" s="27" t="n"/>
      <c r="L344" s="28" t="inlineStr">
        <is>
          <t>No</t>
        </is>
      </c>
      <c r="M344" s="29">
        <f>IF(E344="","",IF(H344="Yes","❌ Disc",IF(G344="No","⚠ Missing",IF(J344="Yes","✓ OK","⚠ Check"))))</f>
        <v/>
      </c>
      <c r="N344" s="43" t="n">
        <v>46196</v>
      </c>
      <c r="O344" s="26" t="inlineStr">
        <is>
          <t>Sunil CR</t>
        </is>
      </c>
      <c r="P344" s="44" t="inlineStr">
        <is>
          <t>Represented by Sample</t>
        </is>
      </c>
      <c r="Q344" s="26" t="inlineStr">
        <is>
          <t>No</t>
        </is>
      </c>
      <c r="R344" s="44" t="inlineStr">
        <is>
          <t>Represented by Sample</t>
        </is>
      </c>
      <c r="S344" s="26" t="inlineStr">
        <is>
          <t>Yes</t>
        </is>
      </c>
      <c r="T344" s="27" t="n"/>
      <c r="U344" s="28" t="inlineStr">
        <is>
          <t>No</t>
        </is>
      </c>
      <c r="V344" s="29">
        <f>IF(N344="","",IF(Q344="Yes","❌ Disc",IF(P344="No","⚠ Missing",IF(S344="Yes","✓ OK","⚠ Check"))))</f>
        <v/>
      </c>
      <c r="W344" s="65" t="n">
        <v>46248</v>
      </c>
      <c r="X344" s="30" t="inlineStr">
        <is>
          <t>Sunil CR</t>
        </is>
      </c>
      <c r="Y344" s="30" t="inlineStr">
        <is>
          <t>Represented by Sample</t>
        </is>
      </c>
      <c r="Z344" s="30" t="n"/>
      <c r="AA344" s="30" t="inlineStr">
        <is>
          <t>Represented by Sample</t>
        </is>
      </c>
      <c r="AB344" s="30" t="inlineStr">
        <is>
          <t>Yes</t>
        </is>
      </c>
      <c r="AC344" s="27" t="n"/>
      <c r="AD344" s="31" t="inlineStr">
        <is>
          <t>No</t>
        </is>
      </c>
      <c r="AE344" s="32">
        <f>IF(W344="","",IF(Z344="Yes","❌ Disc",IF(Y344="No","⚠ Missing",IF(AB344="Yes","✓ OK","⚠ Check"))))</f>
        <v/>
      </c>
      <c r="AF344" s="33" t="n"/>
      <c r="AG344" s="33" t="n"/>
      <c r="AH344" s="33" t="n"/>
      <c r="AI344" s="33" t="n"/>
      <c r="AJ344" s="33" t="n"/>
      <c r="AK344" s="33" t="n"/>
      <c r="AL344" s="27" t="n"/>
      <c r="AM344" s="34" t="n"/>
      <c r="AN344" s="35">
        <f>IF(AF344="","",IF(AI344="Yes","❌ Disc",IF(AH344="No","⚠ Missing",IF(AK344="Yes","✓ OK","⚠ Check"))))</f>
        <v/>
      </c>
      <c r="AO344" s="36" t="n"/>
      <c r="AP344" s="36" t="n"/>
      <c r="AQ344" s="36" t="n"/>
      <c r="AR344" s="36" t="n"/>
      <c r="AS344" s="36" t="n"/>
      <c r="AT344" s="36" t="n"/>
      <c r="AU344" s="27" t="n"/>
      <c r="AV344" s="37" t="n"/>
      <c r="AW344" s="38">
        <f>IF(AO344="","",IF(AR344="Yes","❌ Disc",IF(AQ344="No","⚠ Missing",IF(AT344="Yes","✓ OK","⚠ Check"))))</f>
        <v/>
      </c>
    </row>
    <row r="345" ht="18" customHeight="1" s="46">
      <c r="A345" s="23" t="n">
        <v>341</v>
      </c>
      <c r="B345" s="24" t="inlineStr">
        <is>
          <t>BD-HNA-2025-0390</t>
        </is>
      </c>
      <c r="C345" s="25" t="inlineStr">
        <is>
          <t>Bonito Handles - VI-01 PROFILE(V.H) - Rose Profile Handle - 250mm</t>
        </is>
      </c>
      <c r="D345" s="23" t="inlineStr">
        <is>
          <t>Bonito Handles</t>
        </is>
      </c>
      <c r="E345" s="43" t="n">
        <v>46125</v>
      </c>
      <c r="F345" s="26" t="inlineStr">
        <is>
          <t>Sunil CR</t>
        </is>
      </c>
      <c r="G345" s="44" t="inlineStr">
        <is>
          <t>Represented by Sample</t>
        </is>
      </c>
      <c r="H345" s="26" t="inlineStr">
        <is>
          <t>No</t>
        </is>
      </c>
      <c r="I345" s="44" t="inlineStr">
        <is>
          <t>Represented by Sample</t>
        </is>
      </c>
      <c r="J345" s="26" t="inlineStr">
        <is>
          <t>Yes</t>
        </is>
      </c>
      <c r="K345" s="27" t="n"/>
      <c r="L345" s="28" t="inlineStr">
        <is>
          <t>No</t>
        </is>
      </c>
      <c r="M345" s="29">
        <f>IF(E345="","",IF(H345="Yes","❌ Disc",IF(G345="No","⚠ Missing",IF(J345="Yes","✓ OK","⚠ Check"))))</f>
        <v/>
      </c>
      <c r="N345" s="43" t="n">
        <v>46196</v>
      </c>
      <c r="O345" s="26" t="inlineStr">
        <is>
          <t>Sunil CR</t>
        </is>
      </c>
      <c r="P345" s="44" t="inlineStr">
        <is>
          <t>Represented by Sample</t>
        </is>
      </c>
      <c r="Q345" s="26" t="inlineStr">
        <is>
          <t>No</t>
        </is>
      </c>
      <c r="R345" s="44" t="inlineStr">
        <is>
          <t>Represented by Sample</t>
        </is>
      </c>
      <c r="S345" s="26" t="inlineStr">
        <is>
          <t>Yes</t>
        </is>
      </c>
      <c r="T345" s="27" t="n"/>
      <c r="U345" s="28" t="inlineStr">
        <is>
          <t>No</t>
        </is>
      </c>
      <c r="V345" s="29">
        <f>IF(N345="","",IF(Q345="Yes","❌ Disc",IF(P345="No","⚠ Missing",IF(S345="Yes","✓ OK","⚠ Check"))))</f>
        <v/>
      </c>
      <c r="W345" s="65" t="n">
        <v>46248</v>
      </c>
      <c r="X345" s="30" t="inlineStr">
        <is>
          <t>Sunil CR</t>
        </is>
      </c>
      <c r="Y345" s="30" t="inlineStr">
        <is>
          <t>Represented by Sample</t>
        </is>
      </c>
      <c r="Z345" s="30" t="n"/>
      <c r="AA345" s="30" t="inlineStr">
        <is>
          <t>Represented by Sample</t>
        </is>
      </c>
      <c r="AB345" s="30" t="inlineStr">
        <is>
          <t>Yes</t>
        </is>
      </c>
      <c r="AC345" s="27" t="n"/>
      <c r="AD345" s="31" t="inlineStr">
        <is>
          <t>No</t>
        </is>
      </c>
      <c r="AE345" s="32">
        <f>IF(W345="","",IF(Z345="Yes","❌ Disc",IF(Y345="No","⚠ Missing",IF(AB345="Yes","✓ OK","⚠ Check"))))</f>
        <v/>
      </c>
      <c r="AF345" s="33" t="n"/>
      <c r="AG345" s="33" t="n"/>
      <c r="AH345" s="33" t="n"/>
      <c r="AI345" s="33" t="n"/>
      <c r="AJ345" s="33" t="n"/>
      <c r="AK345" s="33" t="n"/>
      <c r="AL345" s="27" t="n"/>
      <c r="AM345" s="34" t="n"/>
      <c r="AN345" s="35">
        <f>IF(AF345="","",IF(AI345="Yes","❌ Disc",IF(AH345="No","⚠ Missing",IF(AK345="Yes","✓ OK","⚠ Check"))))</f>
        <v/>
      </c>
      <c r="AO345" s="36" t="n"/>
      <c r="AP345" s="36" t="n"/>
      <c r="AQ345" s="36" t="n"/>
      <c r="AR345" s="36" t="n"/>
      <c r="AS345" s="36" t="n"/>
      <c r="AT345" s="36" t="n"/>
      <c r="AU345" s="27" t="n"/>
      <c r="AV345" s="37" t="n"/>
      <c r="AW345" s="38">
        <f>IF(AO345="","",IF(AR345="Yes","❌ Disc",IF(AQ345="No","⚠ Missing",IF(AT345="Yes","✓ OK","⚠ Check"))))</f>
        <v/>
      </c>
    </row>
    <row r="346" ht="18" customHeight="1" s="46">
      <c r="A346" s="39" t="n">
        <v>342</v>
      </c>
      <c r="B346" s="40" t="inlineStr">
        <is>
          <t>BD-HNA-2025-0391</t>
        </is>
      </c>
      <c r="C346" s="41" t="inlineStr">
        <is>
          <t>Bonito Handles - VI-01 PROFILE(V.H) - Rose Profile Handle - 450mm</t>
        </is>
      </c>
      <c r="D346" s="39" t="inlineStr">
        <is>
          <t>Bonito Handles</t>
        </is>
      </c>
      <c r="E346" s="43" t="n">
        <v>46125</v>
      </c>
      <c r="F346" s="26" t="inlineStr">
        <is>
          <t>Sunil CR</t>
        </is>
      </c>
      <c r="G346" s="44" t="inlineStr">
        <is>
          <t>Represented by Sample</t>
        </is>
      </c>
      <c r="H346" s="26" t="inlineStr">
        <is>
          <t>No</t>
        </is>
      </c>
      <c r="I346" s="44" t="inlineStr">
        <is>
          <t>Represented by Sample</t>
        </is>
      </c>
      <c r="J346" s="26" t="inlineStr">
        <is>
          <t>Yes</t>
        </is>
      </c>
      <c r="K346" s="27" t="n"/>
      <c r="L346" s="28" t="inlineStr">
        <is>
          <t>No</t>
        </is>
      </c>
      <c r="M346" s="29">
        <f>IF(E346="","",IF(H346="Yes","❌ Disc",IF(G346="No","⚠ Missing",IF(J346="Yes","✓ OK","⚠ Check"))))</f>
        <v/>
      </c>
      <c r="N346" s="43" t="n">
        <v>46196</v>
      </c>
      <c r="O346" s="26" t="inlineStr">
        <is>
          <t>Sunil CR</t>
        </is>
      </c>
      <c r="P346" s="44" t="inlineStr">
        <is>
          <t>Represented by Sample</t>
        </is>
      </c>
      <c r="Q346" s="26" t="inlineStr">
        <is>
          <t>No</t>
        </is>
      </c>
      <c r="R346" s="44" t="inlineStr">
        <is>
          <t>Represented by Sample</t>
        </is>
      </c>
      <c r="S346" s="26" t="inlineStr">
        <is>
          <t>Yes</t>
        </is>
      </c>
      <c r="T346" s="27" t="n"/>
      <c r="U346" s="28" t="inlineStr">
        <is>
          <t>No</t>
        </is>
      </c>
      <c r="V346" s="29">
        <f>IF(N346="","",IF(Q346="Yes","❌ Disc",IF(P346="No","⚠ Missing",IF(S346="Yes","✓ OK","⚠ Check"))))</f>
        <v/>
      </c>
      <c r="W346" s="65" t="n">
        <v>46248</v>
      </c>
      <c r="X346" s="30" t="inlineStr">
        <is>
          <t>Sunil CR</t>
        </is>
      </c>
      <c r="Y346" s="30" t="inlineStr">
        <is>
          <t>Represented by Sample</t>
        </is>
      </c>
      <c r="Z346" s="30" t="n"/>
      <c r="AA346" s="30" t="inlineStr">
        <is>
          <t>Represented by Sample</t>
        </is>
      </c>
      <c r="AB346" s="30" t="inlineStr">
        <is>
          <t>Yes</t>
        </is>
      </c>
      <c r="AC346" s="27" t="n"/>
      <c r="AD346" s="31" t="inlineStr">
        <is>
          <t>No</t>
        </is>
      </c>
      <c r="AE346" s="32">
        <f>IF(W346="","",IF(Z346="Yes","❌ Disc",IF(Y346="No","⚠ Missing",IF(AB346="Yes","✓ OK","⚠ Check"))))</f>
        <v/>
      </c>
      <c r="AF346" s="33" t="n"/>
      <c r="AG346" s="33" t="n"/>
      <c r="AH346" s="33" t="n"/>
      <c r="AI346" s="33" t="n"/>
      <c r="AJ346" s="33" t="n"/>
      <c r="AK346" s="33" t="n"/>
      <c r="AL346" s="27" t="n"/>
      <c r="AM346" s="34" t="n"/>
      <c r="AN346" s="35">
        <f>IF(AF346="","",IF(AI346="Yes","❌ Disc",IF(AH346="No","⚠ Missing",IF(AK346="Yes","✓ OK","⚠ Check"))))</f>
        <v/>
      </c>
      <c r="AO346" s="36" t="n"/>
      <c r="AP346" s="36" t="n"/>
      <c r="AQ346" s="36" t="n"/>
      <c r="AR346" s="36" t="n"/>
      <c r="AS346" s="36" t="n"/>
      <c r="AT346" s="36" t="n"/>
      <c r="AU346" s="27" t="n"/>
      <c r="AV346" s="37" t="n"/>
      <c r="AW346" s="38">
        <f>IF(AO346="","",IF(AR346="Yes","❌ Disc",IF(AQ346="No","⚠ Missing",IF(AT346="Yes","✓ OK","⚠ Check"))))</f>
        <v/>
      </c>
    </row>
    <row r="347" ht="18" customHeight="1" s="46">
      <c r="A347" s="23" t="n">
        <v>343</v>
      </c>
      <c r="B347" s="24" t="inlineStr">
        <is>
          <t>BD-HNA-2025-0392</t>
        </is>
      </c>
      <c r="C347" s="25" t="inlineStr">
        <is>
          <t>Bonito Handles - VI-01 PROFILE(V.H) - Rose Profile Handle - 600mm</t>
        </is>
      </c>
      <c r="D347" s="23" t="inlineStr">
        <is>
          <t>Bonito Handles</t>
        </is>
      </c>
      <c r="E347" s="43" t="n">
        <v>46125</v>
      </c>
      <c r="F347" s="26" t="inlineStr">
        <is>
          <t>Sunil CR</t>
        </is>
      </c>
      <c r="G347" s="44" t="inlineStr">
        <is>
          <t>Represented by Sample</t>
        </is>
      </c>
      <c r="H347" s="26" t="inlineStr">
        <is>
          <t>No</t>
        </is>
      </c>
      <c r="I347" s="44" t="inlineStr">
        <is>
          <t>Represented by Sample</t>
        </is>
      </c>
      <c r="J347" s="26" t="inlineStr">
        <is>
          <t>Yes</t>
        </is>
      </c>
      <c r="K347" s="27" t="n"/>
      <c r="L347" s="28" t="inlineStr">
        <is>
          <t>No</t>
        </is>
      </c>
      <c r="M347" s="29">
        <f>IF(E347="","",IF(H347="Yes","❌ Disc",IF(G347="No","⚠ Missing",IF(J347="Yes","✓ OK","⚠ Check"))))</f>
        <v/>
      </c>
      <c r="N347" s="43" t="n">
        <v>46196</v>
      </c>
      <c r="O347" s="26" t="inlineStr">
        <is>
          <t>Sunil CR</t>
        </is>
      </c>
      <c r="P347" s="44" t="inlineStr">
        <is>
          <t>Represented by Sample</t>
        </is>
      </c>
      <c r="Q347" s="26" t="inlineStr">
        <is>
          <t>No</t>
        </is>
      </c>
      <c r="R347" s="44" t="inlineStr">
        <is>
          <t>Represented by Sample</t>
        </is>
      </c>
      <c r="S347" s="26" t="inlineStr">
        <is>
          <t>Yes</t>
        </is>
      </c>
      <c r="T347" s="27" t="n"/>
      <c r="U347" s="28" t="inlineStr">
        <is>
          <t>No</t>
        </is>
      </c>
      <c r="V347" s="29">
        <f>IF(N347="","",IF(Q347="Yes","❌ Disc",IF(P347="No","⚠ Missing",IF(S347="Yes","✓ OK","⚠ Check"))))</f>
        <v/>
      </c>
      <c r="W347" s="65" t="n">
        <v>46248</v>
      </c>
      <c r="X347" s="30" t="inlineStr">
        <is>
          <t>Sunil CR</t>
        </is>
      </c>
      <c r="Y347" s="30" t="inlineStr">
        <is>
          <t>Represented by Sample</t>
        </is>
      </c>
      <c r="Z347" s="30" t="n"/>
      <c r="AA347" s="30" t="inlineStr">
        <is>
          <t>Represented by Sample</t>
        </is>
      </c>
      <c r="AB347" s="30" t="inlineStr">
        <is>
          <t>Yes</t>
        </is>
      </c>
      <c r="AC347" s="27" t="n"/>
      <c r="AD347" s="31" t="inlineStr">
        <is>
          <t>No</t>
        </is>
      </c>
      <c r="AE347" s="32">
        <f>IF(W347="","",IF(Z347="Yes","❌ Disc",IF(Y347="No","⚠ Missing",IF(AB347="Yes","✓ OK","⚠ Check"))))</f>
        <v/>
      </c>
      <c r="AF347" s="33" t="n"/>
      <c r="AG347" s="33" t="n"/>
      <c r="AH347" s="33" t="n"/>
      <c r="AI347" s="33" t="n"/>
      <c r="AJ347" s="33" t="n"/>
      <c r="AK347" s="33" t="n"/>
      <c r="AL347" s="27" t="n"/>
      <c r="AM347" s="34" t="n"/>
      <c r="AN347" s="35">
        <f>IF(AF347="","",IF(AI347="Yes","❌ Disc",IF(AH347="No","⚠ Missing",IF(AK347="Yes","✓ OK","⚠ Check"))))</f>
        <v/>
      </c>
      <c r="AO347" s="36" t="n"/>
      <c r="AP347" s="36" t="n"/>
      <c r="AQ347" s="36" t="n"/>
      <c r="AR347" s="36" t="n"/>
      <c r="AS347" s="36" t="n"/>
      <c r="AT347" s="36" t="n"/>
      <c r="AU347" s="27" t="n"/>
      <c r="AV347" s="37" t="n"/>
      <c r="AW347" s="38">
        <f>IF(AO347="","",IF(AR347="Yes","❌ Disc",IF(AQ347="No","⚠ Missing",IF(AT347="Yes","✓ OK","⚠ Check"))))</f>
        <v/>
      </c>
    </row>
    <row r="348" ht="18" customHeight="1" s="46">
      <c r="A348" s="39" t="n">
        <v>344</v>
      </c>
      <c r="B348" s="40" t="inlineStr">
        <is>
          <t>BD-HNA-2025-0396</t>
        </is>
      </c>
      <c r="C348" s="41" t="inlineStr">
        <is>
          <t>Bonito Handles - VI-03 PROFILE(V.H) - Blasting Black Profile Handle - 250mm</t>
        </is>
      </c>
      <c r="D348" s="39" t="inlineStr">
        <is>
          <t>Bonito Handles</t>
        </is>
      </c>
      <c r="E348" s="43" t="n">
        <v>46125</v>
      </c>
      <c r="F348" s="26" t="inlineStr">
        <is>
          <t>Sunil CR</t>
        </is>
      </c>
      <c r="G348" s="44" t="inlineStr">
        <is>
          <t>Yes</t>
        </is>
      </c>
      <c r="H348" s="26" t="inlineStr">
        <is>
          <t>No</t>
        </is>
      </c>
      <c r="I348" s="44" t="inlineStr">
        <is>
          <t>Good finish</t>
        </is>
      </c>
      <c r="J348" s="26" t="inlineStr">
        <is>
          <t>Yes</t>
        </is>
      </c>
      <c r="K348" s="27" t="n"/>
      <c r="L348" s="28" t="inlineStr">
        <is>
          <t>No</t>
        </is>
      </c>
      <c r="M348" s="29">
        <f>IF(E348="","",IF(H348="Yes","❌ Disc",IF(G348="No","⚠ Missing",IF(J348="Yes","✓ OK","⚠ Check"))))</f>
        <v/>
      </c>
      <c r="N348" s="43" t="n">
        <v>46196</v>
      </c>
      <c r="O348" s="26" t="inlineStr">
        <is>
          <t>Sunil CR</t>
        </is>
      </c>
      <c r="P348" s="44" t="inlineStr">
        <is>
          <t>Yes</t>
        </is>
      </c>
      <c r="Q348" s="26" t="inlineStr">
        <is>
          <t>No</t>
        </is>
      </c>
      <c r="R348" s="44" t="inlineStr">
        <is>
          <t>Good finish</t>
        </is>
      </c>
      <c r="S348" s="26" t="inlineStr">
        <is>
          <t>Yes</t>
        </is>
      </c>
      <c r="T348" s="27" t="n"/>
      <c r="U348" s="28" t="inlineStr">
        <is>
          <t>No</t>
        </is>
      </c>
      <c r="V348" s="29">
        <f>IF(N348="","",IF(Q348="Yes","❌ Disc",IF(P348="No","⚠ Missing",IF(S348="Yes","✓ OK","⚠ Check"))))</f>
        <v/>
      </c>
      <c r="W348" s="65" t="n">
        <v>46248</v>
      </c>
      <c r="X348" s="30" t="inlineStr">
        <is>
          <t>Sunil CR</t>
        </is>
      </c>
      <c r="Y348" s="30" t="inlineStr">
        <is>
          <t>Yes</t>
        </is>
      </c>
      <c r="Z348" s="30" t="n"/>
      <c r="AA348" s="30" t="inlineStr">
        <is>
          <t>Good finish</t>
        </is>
      </c>
      <c r="AB348" s="30" t="inlineStr">
        <is>
          <t>Yes</t>
        </is>
      </c>
      <c r="AC348" s="27" t="n"/>
      <c r="AD348" s="31" t="inlineStr">
        <is>
          <t>No</t>
        </is>
      </c>
      <c r="AE348" s="32">
        <f>IF(W348="","",IF(Z348="Yes","❌ Disc",IF(Y348="No","⚠ Missing",IF(AB348="Yes","✓ OK","⚠ Check"))))</f>
        <v/>
      </c>
      <c r="AF348" s="33" t="n"/>
      <c r="AG348" s="33" t="n"/>
      <c r="AH348" s="33" t="n"/>
      <c r="AI348" s="33" t="n"/>
      <c r="AJ348" s="33" t="n"/>
      <c r="AK348" s="33" t="n"/>
      <c r="AL348" s="27" t="n"/>
      <c r="AM348" s="34" t="n"/>
      <c r="AN348" s="35">
        <f>IF(AF348="","",IF(AI348="Yes","❌ Disc",IF(AH348="No","⚠ Missing",IF(AK348="Yes","✓ OK","⚠ Check"))))</f>
        <v/>
      </c>
      <c r="AO348" s="36" t="n"/>
      <c r="AP348" s="36" t="n"/>
      <c r="AQ348" s="36" t="n"/>
      <c r="AR348" s="36" t="n"/>
      <c r="AS348" s="36" t="n"/>
      <c r="AT348" s="36" t="n"/>
      <c r="AU348" s="27" t="n"/>
      <c r="AV348" s="37" t="n"/>
      <c r="AW348" s="38">
        <f>IF(AO348="","",IF(AR348="Yes","❌ Disc",IF(AQ348="No","⚠ Missing",IF(AT348="Yes","✓ OK","⚠ Check"))))</f>
        <v/>
      </c>
    </row>
    <row r="349" ht="18" customHeight="1" s="46">
      <c r="A349" s="23" t="n">
        <v>345</v>
      </c>
      <c r="B349" s="24" t="inlineStr">
        <is>
          <t>BD-HNA-2025-0397</t>
        </is>
      </c>
      <c r="C349" s="25" t="inlineStr">
        <is>
          <t>Bonito Handles - VI-03 PROFILE(V.H) - Blasting Black Profile Handle - 448mm</t>
        </is>
      </c>
      <c r="D349" s="23" t="inlineStr">
        <is>
          <t>Bonito Handles</t>
        </is>
      </c>
      <c r="E349" s="43" t="n">
        <v>46125</v>
      </c>
      <c r="F349" s="26" t="inlineStr">
        <is>
          <t>Sunil CR</t>
        </is>
      </c>
      <c r="G349" s="44" t="inlineStr">
        <is>
          <t>Represented by Sample</t>
        </is>
      </c>
      <c r="H349" s="26" t="inlineStr">
        <is>
          <t>No</t>
        </is>
      </c>
      <c r="I349" s="44" t="inlineStr">
        <is>
          <t>Represented by Sample</t>
        </is>
      </c>
      <c r="J349" s="26" t="inlineStr">
        <is>
          <t>Yes</t>
        </is>
      </c>
      <c r="K349" s="27" t="n"/>
      <c r="L349" s="28" t="inlineStr">
        <is>
          <t>No</t>
        </is>
      </c>
      <c r="M349" s="29">
        <f>IF(E349="","",IF(H349="Yes","❌ Disc",IF(G349="No","⚠ Missing",IF(J349="Yes","✓ OK","⚠ Check"))))</f>
        <v/>
      </c>
      <c r="N349" s="43" t="n">
        <v>46196</v>
      </c>
      <c r="O349" s="26" t="inlineStr">
        <is>
          <t>Sunil CR</t>
        </is>
      </c>
      <c r="P349" s="44" t="inlineStr">
        <is>
          <t>Represented by Sample</t>
        </is>
      </c>
      <c r="Q349" s="26" t="inlineStr">
        <is>
          <t>No</t>
        </is>
      </c>
      <c r="R349" s="44" t="inlineStr">
        <is>
          <t>Represented by Sample</t>
        </is>
      </c>
      <c r="S349" s="26" t="inlineStr">
        <is>
          <t>Yes</t>
        </is>
      </c>
      <c r="T349" s="27" t="n"/>
      <c r="U349" s="28" t="inlineStr">
        <is>
          <t>No</t>
        </is>
      </c>
      <c r="V349" s="29">
        <f>IF(N349="","",IF(Q349="Yes","❌ Disc",IF(P349="No","⚠ Missing",IF(S349="Yes","✓ OK","⚠ Check"))))</f>
        <v/>
      </c>
      <c r="W349" s="65" t="n">
        <v>46248</v>
      </c>
      <c r="X349" s="30" t="inlineStr">
        <is>
          <t>Sunil CR</t>
        </is>
      </c>
      <c r="Y349" s="30" t="inlineStr">
        <is>
          <t>Represented by Sample</t>
        </is>
      </c>
      <c r="Z349" s="30" t="n"/>
      <c r="AA349" s="30" t="inlineStr">
        <is>
          <t>Represented by Sample</t>
        </is>
      </c>
      <c r="AB349" s="30" t="inlineStr">
        <is>
          <t>Yes</t>
        </is>
      </c>
      <c r="AC349" s="27" t="n"/>
      <c r="AD349" s="31" t="inlineStr">
        <is>
          <t>No</t>
        </is>
      </c>
      <c r="AE349" s="32">
        <f>IF(W349="","",IF(Z349="Yes","❌ Disc",IF(Y349="No","⚠ Missing",IF(AB349="Yes","✓ OK","⚠ Check"))))</f>
        <v/>
      </c>
      <c r="AF349" s="33" t="n"/>
      <c r="AG349" s="33" t="n"/>
      <c r="AH349" s="33" t="n"/>
      <c r="AI349" s="33" t="n"/>
      <c r="AJ349" s="33" t="n"/>
      <c r="AK349" s="33" t="n"/>
      <c r="AL349" s="27" t="n"/>
      <c r="AM349" s="34" t="n"/>
      <c r="AN349" s="35">
        <f>IF(AF349="","",IF(AI349="Yes","❌ Disc",IF(AH349="No","⚠ Missing",IF(AK349="Yes","✓ OK","⚠ Check"))))</f>
        <v/>
      </c>
      <c r="AO349" s="36" t="n"/>
      <c r="AP349" s="36" t="n"/>
      <c r="AQ349" s="36" t="n"/>
      <c r="AR349" s="36" t="n"/>
      <c r="AS349" s="36" t="n"/>
      <c r="AT349" s="36" t="n"/>
      <c r="AU349" s="27" t="n"/>
      <c r="AV349" s="37" t="n"/>
      <c r="AW349" s="38">
        <f>IF(AO349="","",IF(AR349="Yes","❌ Disc",IF(AQ349="No","⚠ Missing",IF(AT349="Yes","✓ OK","⚠ Check"))))</f>
        <v/>
      </c>
    </row>
    <row r="350" ht="18" customHeight="1" s="46">
      <c r="A350" s="39" t="n">
        <v>346</v>
      </c>
      <c r="B350" s="40" t="inlineStr">
        <is>
          <t>BD-HNA-2025-0398</t>
        </is>
      </c>
      <c r="C350" s="41" t="inlineStr">
        <is>
          <t>Bonito Handles - VI-03 PROFILE(V.H) - Blasting Black Profile Handle - 600mm</t>
        </is>
      </c>
      <c r="D350" s="39" t="inlineStr">
        <is>
          <t>Bonito Handles</t>
        </is>
      </c>
      <c r="E350" s="43" t="n">
        <v>46125</v>
      </c>
      <c r="F350" s="26" t="inlineStr">
        <is>
          <t>Sunil CR</t>
        </is>
      </c>
      <c r="G350" s="44" t="inlineStr">
        <is>
          <t>Represented by Sample</t>
        </is>
      </c>
      <c r="H350" s="26" t="inlineStr">
        <is>
          <t>No</t>
        </is>
      </c>
      <c r="I350" s="44" t="inlineStr">
        <is>
          <t>Represented by Sample</t>
        </is>
      </c>
      <c r="J350" s="26" t="inlineStr">
        <is>
          <t>Yes</t>
        </is>
      </c>
      <c r="K350" s="27" t="n"/>
      <c r="L350" s="28" t="inlineStr">
        <is>
          <t>No</t>
        </is>
      </c>
      <c r="M350" s="29">
        <f>IF(E350="","",IF(H350="Yes","❌ Disc",IF(G350="No","⚠ Missing",IF(J350="Yes","✓ OK","⚠ Check"))))</f>
        <v/>
      </c>
      <c r="N350" s="43" t="n">
        <v>46196</v>
      </c>
      <c r="O350" s="26" t="inlineStr">
        <is>
          <t>Sunil CR</t>
        </is>
      </c>
      <c r="P350" s="44" t="inlineStr">
        <is>
          <t>Represented by Sample</t>
        </is>
      </c>
      <c r="Q350" s="26" t="inlineStr">
        <is>
          <t>No</t>
        </is>
      </c>
      <c r="R350" s="44" t="inlineStr">
        <is>
          <t>Represented by Sample</t>
        </is>
      </c>
      <c r="S350" s="26" t="inlineStr">
        <is>
          <t>Yes</t>
        </is>
      </c>
      <c r="T350" s="27" t="n"/>
      <c r="U350" s="28" t="inlineStr">
        <is>
          <t>No</t>
        </is>
      </c>
      <c r="V350" s="29">
        <f>IF(N350="","",IF(Q350="Yes","❌ Disc",IF(P350="No","⚠ Missing",IF(S350="Yes","✓ OK","⚠ Check"))))</f>
        <v/>
      </c>
      <c r="W350" s="65" t="n">
        <v>46248</v>
      </c>
      <c r="X350" s="30" t="inlineStr">
        <is>
          <t>Sunil CR</t>
        </is>
      </c>
      <c r="Y350" s="30" t="inlineStr">
        <is>
          <t>Represented by Sample</t>
        </is>
      </c>
      <c r="Z350" s="30" t="n"/>
      <c r="AA350" s="30" t="inlineStr">
        <is>
          <t>Represented by Sample</t>
        </is>
      </c>
      <c r="AB350" s="30" t="inlineStr">
        <is>
          <t>Yes</t>
        </is>
      </c>
      <c r="AC350" s="27" t="n"/>
      <c r="AD350" s="31" t="inlineStr">
        <is>
          <t>No</t>
        </is>
      </c>
      <c r="AE350" s="32">
        <f>IF(W350="","",IF(Z350="Yes","❌ Disc",IF(Y350="No","⚠ Missing",IF(AB350="Yes","✓ OK","⚠ Check"))))</f>
        <v/>
      </c>
      <c r="AF350" s="33" t="n"/>
      <c r="AG350" s="33" t="n"/>
      <c r="AH350" s="33" t="n"/>
      <c r="AI350" s="33" t="n"/>
      <c r="AJ350" s="33" t="n"/>
      <c r="AK350" s="33" t="n"/>
      <c r="AL350" s="27" t="n"/>
      <c r="AM350" s="34" t="n"/>
      <c r="AN350" s="35">
        <f>IF(AF350="","",IF(AI350="Yes","❌ Disc",IF(AH350="No","⚠ Missing",IF(AK350="Yes","✓ OK","⚠ Check"))))</f>
        <v/>
      </c>
      <c r="AO350" s="36" t="n"/>
      <c r="AP350" s="36" t="n"/>
      <c r="AQ350" s="36" t="n"/>
      <c r="AR350" s="36" t="n"/>
      <c r="AS350" s="36" t="n"/>
      <c r="AT350" s="36" t="n"/>
      <c r="AU350" s="27" t="n"/>
      <c r="AV350" s="37" t="n"/>
      <c r="AW350" s="38">
        <f>IF(AO350="","",IF(AR350="Yes","❌ Disc",IF(AQ350="No","⚠ Missing",IF(AT350="Yes","✓ OK","⚠ Check"))))</f>
        <v/>
      </c>
    </row>
    <row r="351" ht="18" customHeight="1" s="46">
      <c r="A351" s="23" t="n">
        <v>347</v>
      </c>
      <c r="B351" s="24" t="inlineStr">
        <is>
          <t>BD-HNA-2025-0399</t>
        </is>
      </c>
      <c r="C351" s="25" t="inlineStr">
        <is>
          <t>Bonito Handles - VI-03 PROFILE(V.H) - Blasting Black Profile Handle - 900mm</t>
        </is>
      </c>
      <c r="D351" s="23" t="inlineStr">
        <is>
          <t>Bonito Handles</t>
        </is>
      </c>
      <c r="E351" s="43" t="n">
        <v>46125</v>
      </c>
      <c r="F351" s="26" t="inlineStr">
        <is>
          <t>Sunil CR</t>
        </is>
      </c>
      <c r="G351" s="44" t="inlineStr">
        <is>
          <t>Represented by Sample</t>
        </is>
      </c>
      <c r="H351" s="26" t="inlineStr">
        <is>
          <t>No</t>
        </is>
      </c>
      <c r="I351" s="44" t="inlineStr">
        <is>
          <t>Represented by Sample</t>
        </is>
      </c>
      <c r="J351" s="26" t="inlineStr">
        <is>
          <t>Yes</t>
        </is>
      </c>
      <c r="K351" s="27" t="n"/>
      <c r="L351" s="28" t="inlineStr">
        <is>
          <t>No</t>
        </is>
      </c>
      <c r="M351" s="29">
        <f>IF(E351="","",IF(H351="Yes","❌ Disc",IF(G351="No","⚠ Missing",IF(J351="Yes","✓ OK","⚠ Check"))))</f>
        <v/>
      </c>
      <c r="N351" s="43" t="n">
        <v>46196</v>
      </c>
      <c r="O351" s="26" t="inlineStr">
        <is>
          <t>Sunil CR</t>
        </is>
      </c>
      <c r="P351" s="44" t="inlineStr">
        <is>
          <t>Represented by Sample</t>
        </is>
      </c>
      <c r="Q351" s="26" t="inlineStr">
        <is>
          <t>No</t>
        </is>
      </c>
      <c r="R351" s="44" t="inlineStr">
        <is>
          <t>Represented by Sample</t>
        </is>
      </c>
      <c r="S351" s="26" t="inlineStr">
        <is>
          <t>Yes</t>
        </is>
      </c>
      <c r="T351" s="27" t="n"/>
      <c r="U351" s="28" t="inlineStr">
        <is>
          <t>No</t>
        </is>
      </c>
      <c r="V351" s="29">
        <f>IF(N351="","",IF(Q351="Yes","❌ Disc",IF(P351="No","⚠ Missing",IF(S351="Yes","✓ OK","⚠ Check"))))</f>
        <v/>
      </c>
      <c r="W351" s="65" t="n">
        <v>46248</v>
      </c>
      <c r="X351" s="30" t="inlineStr">
        <is>
          <t>Sunil CR</t>
        </is>
      </c>
      <c r="Y351" s="30" t="inlineStr">
        <is>
          <t>Represented by Sample</t>
        </is>
      </c>
      <c r="Z351" s="30" t="n"/>
      <c r="AA351" s="30" t="inlineStr">
        <is>
          <t>Represented by Sample</t>
        </is>
      </c>
      <c r="AB351" s="30" t="inlineStr">
        <is>
          <t>Yes</t>
        </is>
      </c>
      <c r="AC351" s="27" t="n"/>
      <c r="AD351" s="31" t="inlineStr">
        <is>
          <t>No</t>
        </is>
      </c>
      <c r="AE351" s="32">
        <f>IF(W351="","",IF(Z351="Yes","❌ Disc",IF(Y351="No","⚠ Missing",IF(AB351="Yes","✓ OK","⚠ Check"))))</f>
        <v/>
      </c>
      <c r="AF351" s="33" t="n"/>
      <c r="AG351" s="33" t="n"/>
      <c r="AH351" s="33" t="n"/>
      <c r="AI351" s="33" t="n"/>
      <c r="AJ351" s="33" t="n"/>
      <c r="AK351" s="33" t="n"/>
      <c r="AL351" s="27" t="n"/>
      <c r="AM351" s="34" t="n"/>
      <c r="AN351" s="35">
        <f>IF(AF351="","",IF(AI351="Yes","❌ Disc",IF(AH351="No","⚠ Missing",IF(AK351="Yes","✓ OK","⚠ Check"))))</f>
        <v/>
      </c>
      <c r="AO351" s="36" t="n"/>
      <c r="AP351" s="36" t="n"/>
      <c r="AQ351" s="36" t="n"/>
      <c r="AR351" s="36" t="n"/>
      <c r="AS351" s="36" t="n"/>
      <c r="AT351" s="36" t="n"/>
      <c r="AU351" s="27" t="n"/>
      <c r="AV351" s="37" t="n"/>
      <c r="AW351" s="38">
        <f>IF(AO351="","",IF(AR351="Yes","❌ Disc",IF(AQ351="No","⚠ Missing",IF(AT351="Yes","✓ OK","⚠ Check"))))</f>
        <v/>
      </c>
    </row>
    <row r="352" ht="18" customHeight="1" s="46">
      <c r="A352" s="39" t="n">
        <v>348</v>
      </c>
      <c r="B352" s="40" t="inlineStr">
        <is>
          <t>BD-HNA-2025-0404</t>
        </is>
      </c>
      <c r="C352" s="41" t="inlineStr">
        <is>
          <t>Bonito Handles - VI-03 PROFILE(V.H) - Blasting Gold Profile Handle - 250mm</t>
        </is>
      </c>
      <c r="D352" s="39" t="inlineStr">
        <is>
          <t>Bonito Handles</t>
        </is>
      </c>
      <c r="E352" s="43" t="n">
        <v>46125</v>
      </c>
      <c r="F352" s="26" t="inlineStr">
        <is>
          <t>Sunil CR</t>
        </is>
      </c>
      <c r="G352" s="44" t="inlineStr">
        <is>
          <t>Represented by Sample</t>
        </is>
      </c>
      <c r="H352" s="26" t="inlineStr">
        <is>
          <t>No</t>
        </is>
      </c>
      <c r="I352" s="44" t="inlineStr">
        <is>
          <t>Represented by Sample</t>
        </is>
      </c>
      <c r="J352" s="26" t="inlineStr">
        <is>
          <t>Yes</t>
        </is>
      </c>
      <c r="K352" s="27" t="n"/>
      <c r="L352" s="28" t="inlineStr">
        <is>
          <t>No</t>
        </is>
      </c>
      <c r="M352" s="29">
        <f>IF(E352="","",IF(H352="Yes","❌ Disc",IF(G352="No","⚠ Missing",IF(J352="Yes","✓ OK","⚠ Check"))))</f>
        <v/>
      </c>
      <c r="N352" s="43" t="n">
        <v>46196</v>
      </c>
      <c r="O352" s="26" t="inlineStr">
        <is>
          <t>Sunil CR</t>
        </is>
      </c>
      <c r="P352" s="44" t="inlineStr">
        <is>
          <t>Represented by Sample</t>
        </is>
      </c>
      <c r="Q352" s="26" t="inlineStr">
        <is>
          <t>No</t>
        </is>
      </c>
      <c r="R352" s="44" t="inlineStr">
        <is>
          <t>Represented by Sample</t>
        </is>
      </c>
      <c r="S352" s="26" t="inlineStr">
        <is>
          <t>Yes</t>
        </is>
      </c>
      <c r="T352" s="27" t="n"/>
      <c r="U352" s="28" t="inlineStr">
        <is>
          <t>No</t>
        </is>
      </c>
      <c r="V352" s="29">
        <f>IF(N352="","",IF(Q352="Yes","❌ Disc",IF(P352="No","⚠ Missing",IF(S352="Yes","✓ OK","⚠ Check"))))</f>
        <v/>
      </c>
      <c r="W352" s="65" t="n">
        <v>46248</v>
      </c>
      <c r="X352" s="30" t="inlineStr">
        <is>
          <t>Sunil CR</t>
        </is>
      </c>
      <c r="Y352" s="30" t="inlineStr">
        <is>
          <t>Represented by Sample</t>
        </is>
      </c>
      <c r="Z352" s="30" t="n"/>
      <c r="AA352" s="30" t="inlineStr">
        <is>
          <t>Represented by Sample</t>
        </is>
      </c>
      <c r="AB352" s="30" t="inlineStr">
        <is>
          <t>Yes</t>
        </is>
      </c>
      <c r="AC352" s="27" t="n"/>
      <c r="AD352" s="31" t="inlineStr">
        <is>
          <t>No</t>
        </is>
      </c>
      <c r="AE352" s="32">
        <f>IF(W352="","",IF(Z352="Yes","❌ Disc",IF(Y352="No","⚠ Missing",IF(AB352="Yes","✓ OK","⚠ Check"))))</f>
        <v/>
      </c>
      <c r="AF352" s="33" t="n"/>
      <c r="AG352" s="33" t="n"/>
      <c r="AH352" s="33" t="n"/>
      <c r="AI352" s="33" t="n"/>
      <c r="AJ352" s="33" t="n"/>
      <c r="AK352" s="33" t="n"/>
      <c r="AL352" s="27" t="n"/>
      <c r="AM352" s="34" t="n"/>
      <c r="AN352" s="35">
        <f>IF(AF352="","",IF(AI352="Yes","❌ Disc",IF(AH352="No","⚠ Missing",IF(AK352="Yes","✓ OK","⚠ Check"))))</f>
        <v/>
      </c>
      <c r="AO352" s="36" t="n"/>
      <c r="AP352" s="36" t="n"/>
      <c r="AQ352" s="36" t="n"/>
      <c r="AR352" s="36" t="n"/>
      <c r="AS352" s="36" t="n"/>
      <c r="AT352" s="36" t="n"/>
      <c r="AU352" s="27" t="n"/>
      <c r="AV352" s="37" t="n"/>
      <c r="AW352" s="38">
        <f>IF(AO352="","",IF(AR352="Yes","❌ Disc",IF(AQ352="No","⚠ Missing",IF(AT352="Yes","✓ OK","⚠ Check"))))</f>
        <v/>
      </c>
    </row>
    <row r="353" ht="18" customHeight="1" s="46">
      <c r="A353" s="23" t="n">
        <v>349</v>
      </c>
      <c r="B353" s="24" t="inlineStr">
        <is>
          <t>BD-HNA-2025-0405</t>
        </is>
      </c>
      <c r="C353" s="25" t="inlineStr">
        <is>
          <t>Bonito Handles - VI-03 PROFILE(V.H) - Blasting Gold Profile Handle - 448mm</t>
        </is>
      </c>
      <c r="D353" s="23" t="inlineStr">
        <is>
          <t>Bonito Handles</t>
        </is>
      </c>
      <c r="E353" s="43" t="n">
        <v>46125</v>
      </c>
      <c r="F353" s="26" t="inlineStr">
        <is>
          <t>Sunil CR</t>
        </is>
      </c>
      <c r="G353" s="44" t="inlineStr">
        <is>
          <t>Represented by Sample</t>
        </is>
      </c>
      <c r="H353" s="26" t="inlineStr">
        <is>
          <t>No</t>
        </is>
      </c>
      <c r="I353" s="44" t="inlineStr">
        <is>
          <t>Represented by Sample</t>
        </is>
      </c>
      <c r="J353" s="26" t="inlineStr">
        <is>
          <t>Yes</t>
        </is>
      </c>
      <c r="K353" s="27" t="n"/>
      <c r="L353" s="28" t="inlineStr">
        <is>
          <t>No</t>
        </is>
      </c>
      <c r="M353" s="29">
        <f>IF(E353="","",IF(H353="Yes","❌ Disc",IF(G353="No","⚠ Missing",IF(J353="Yes","✓ OK","⚠ Check"))))</f>
        <v/>
      </c>
      <c r="N353" s="43" t="n">
        <v>46196</v>
      </c>
      <c r="O353" s="26" t="inlineStr">
        <is>
          <t>Sunil CR</t>
        </is>
      </c>
      <c r="P353" s="44" t="inlineStr">
        <is>
          <t>Represented by Sample</t>
        </is>
      </c>
      <c r="Q353" s="26" t="inlineStr">
        <is>
          <t>No</t>
        </is>
      </c>
      <c r="R353" s="44" t="inlineStr">
        <is>
          <t>Represented by Sample</t>
        </is>
      </c>
      <c r="S353" s="26" t="inlineStr">
        <is>
          <t>Yes</t>
        </is>
      </c>
      <c r="T353" s="27" t="n"/>
      <c r="U353" s="28" t="inlineStr">
        <is>
          <t>No</t>
        </is>
      </c>
      <c r="V353" s="29">
        <f>IF(N353="","",IF(Q353="Yes","❌ Disc",IF(P353="No","⚠ Missing",IF(S353="Yes","✓ OK","⚠ Check"))))</f>
        <v/>
      </c>
      <c r="W353" s="65" t="n">
        <v>46248</v>
      </c>
      <c r="X353" s="30" t="inlineStr">
        <is>
          <t>Sunil CR</t>
        </is>
      </c>
      <c r="Y353" s="30" t="inlineStr">
        <is>
          <t>Represented by Sample</t>
        </is>
      </c>
      <c r="Z353" s="30" t="n"/>
      <c r="AA353" s="30" t="inlineStr">
        <is>
          <t>Represented by Sample</t>
        </is>
      </c>
      <c r="AB353" s="30" t="inlineStr">
        <is>
          <t>Yes</t>
        </is>
      </c>
      <c r="AC353" s="27" t="n"/>
      <c r="AD353" s="31" t="inlineStr">
        <is>
          <t>No</t>
        </is>
      </c>
      <c r="AE353" s="32">
        <f>IF(W353="","",IF(Z353="Yes","❌ Disc",IF(Y353="No","⚠ Missing",IF(AB353="Yes","✓ OK","⚠ Check"))))</f>
        <v/>
      </c>
      <c r="AF353" s="33" t="n"/>
      <c r="AG353" s="33" t="n"/>
      <c r="AH353" s="33" t="n"/>
      <c r="AI353" s="33" t="n"/>
      <c r="AJ353" s="33" t="n"/>
      <c r="AK353" s="33" t="n"/>
      <c r="AL353" s="27" t="n"/>
      <c r="AM353" s="34" t="n"/>
      <c r="AN353" s="35">
        <f>IF(AF353="","",IF(AI353="Yes","❌ Disc",IF(AH353="No","⚠ Missing",IF(AK353="Yes","✓ OK","⚠ Check"))))</f>
        <v/>
      </c>
      <c r="AO353" s="36" t="n"/>
      <c r="AP353" s="36" t="n"/>
      <c r="AQ353" s="36" t="n"/>
      <c r="AR353" s="36" t="n"/>
      <c r="AS353" s="36" t="n"/>
      <c r="AT353" s="36" t="n"/>
      <c r="AU353" s="27" t="n"/>
      <c r="AV353" s="37" t="n"/>
      <c r="AW353" s="38">
        <f>IF(AO353="","",IF(AR353="Yes","❌ Disc",IF(AQ353="No","⚠ Missing",IF(AT353="Yes","✓ OK","⚠ Check"))))</f>
        <v/>
      </c>
    </row>
    <row r="354" ht="18" customHeight="1" s="46">
      <c r="A354" s="39" t="n">
        <v>350</v>
      </c>
      <c r="B354" s="40" t="inlineStr">
        <is>
          <t>BD-HNA-2025-0406</t>
        </is>
      </c>
      <c r="C354" s="41" t="inlineStr">
        <is>
          <t>Bonito Handles - VI-03 PROFILE(V.H) - Blasting Gold Profile Handle - 600mm</t>
        </is>
      </c>
      <c r="D354" s="39" t="inlineStr">
        <is>
          <t>Bonito Handles</t>
        </is>
      </c>
      <c r="E354" s="43" t="n">
        <v>46125</v>
      </c>
      <c r="F354" s="26" t="inlineStr">
        <is>
          <t>Sunil CR</t>
        </is>
      </c>
      <c r="G354" s="44" t="inlineStr">
        <is>
          <t>Represented by Sample</t>
        </is>
      </c>
      <c r="H354" s="26" t="inlineStr">
        <is>
          <t>No</t>
        </is>
      </c>
      <c r="I354" s="44" t="inlineStr">
        <is>
          <t>Represented by Sample</t>
        </is>
      </c>
      <c r="J354" s="26" t="inlineStr">
        <is>
          <t>Yes</t>
        </is>
      </c>
      <c r="K354" s="27" t="n"/>
      <c r="L354" s="28" t="inlineStr">
        <is>
          <t>No</t>
        </is>
      </c>
      <c r="M354" s="29">
        <f>IF(E354="","",IF(H354="Yes","❌ Disc",IF(G354="No","⚠ Missing",IF(J354="Yes","✓ OK","⚠ Check"))))</f>
        <v/>
      </c>
      <c r="N354" s="43" t="n">
        <v>46196</v>
      </c>
      <c r="O354" s="26" t="inlineStr">
        <is>
          <t>Sunil CR</t>
        </is>
      </c>
      <c r="P354" s="44" t="inlineStr">
        <is>
          <t>Represented by Sample</t>
        </is>
      </c>
      <c r="Q354" s="26" t="inlineStr">
        <is>
          <t>No</t>
        </is>
      </c>
      <c r="R354" s="44" t="inlineStr">
        <is>
          <t>Represented by Sample</t>
        </is>
      </c>
      <c r="S354" s="26" t="inlineStr">
        <is>
          <t>Yes</t>
        </is>
      </c>
      <c r="T354" s="27" t="n"/>
      <c r="U354" s="28" t="inlineStr">
        <is>
          <t>No</t>
        </is>
      </c>
      <c r="V354" s="29">
        <f>IF(N354="","",IF(Q354="Yes","❌ Disc",IF(P354="No","⚠ Missing",IF(S354="Yes","✓ OK","⚠ Check"))))</f>
        <v/>
      </c>
      <c r="W354" s="65" t="n">
        <v>46248</v>
      </c>
      <c r="X354" s="30" t="inlineStr">
        <is>
          <t>Sunil CR</t>
        </is>
      </c>
      <c r="Y354" s="30" t="inlineStr">
        <is>
          <t>Represented by Sample</t>
        </is>
      </c>
      <c r="Z354" s="30" t="n"/>
      <c r="AA354" s="30" t="inlineStr">
        <is>
          <t>Represented by Sample</t>
        </is>
      </c>
      <c r="AB354" s="30" t="inlineStr">
        <is>
          <t>Yes</t>
        </is>
      </c>
      <c r="AC354" s="27" t="n"/>
      <c r="AD354" s="31" t="inlineStr">
        <is>
          <t>No</t>
        </is>
      </c>
      <c r="AE354" s="32">
        <f>IF(W354="","",IF(Z354="Yes","❌ Disc",IF(Y354="No","⚠ Missing",IF(AB354="Yes","✓ OK","⚠ Check"))))</f>
        <v/>
      </c>
      <c r="AF354" s="33" t="n"/>
      <c r="AG354" s="33" t="n"/>
      <c r="AH354" s="33" t="n"/>
      <c r="AI354" s="33" t="n"/>
      <c r="AJ354" s="33" t="n"/>
      <c r="AK354" s="33" t="n"/>
      <c r="AL354" s="27" t="n"/>
      <c r="AM354" s="34" t="n"/>
      <c r="AN354" s="35">
        <f>IF(AF354="","",IF(AI354="Yes","❌ Disc",IF(AH354="No","⚠ Missing",IF(AK354="Yes","✓ OK","⚠ Check"))))</f>
        <v/>
      </c>
      <c r="AO354" s="36" t="n"/>
      <c r="AP354" s="36" t="n"/>
      <c r="AQ354" s="36" t="n"/>
      <c r="AR354" s="36" t="n"/>
      <c r="AS354" s="36" t="n"/>
      <c r="AT354" s="36" t="n"/>
      <c r="AU354" s="27" t="n"/>
      <c r="AV354" s="37" t="n"/>
      <c r="AW354" s="38">
        <f>IF(AO354="","",IF(AR354="Yes","❌ Disc",IF(AQ354="No","⚠ Missing",IF(AT354="Yes","✓ OK","⚠ Check"))))</f>
        <v/>
      </c>
    </row>
    <row r="355" ht="18" customHeight="1" s="46">
      <c r="A355" s="23" t="n">
        <v>351</v>
      </c>
      <c r="B355" s="24" t="inlineStr">
        <is>
          <t>BD-HNA-2025-0407</t>
        </is>
      </c>
      <c r="C355" s="25" t="inlineStr">
        <is>
          <t>Bonito Handles - VI-03 PROFILE(V.H) - Blasting Gold Profile Handle - 900mm</t>
        </is>
      </c>
      <c r="D355" s="23" t="inlineStr">
        <is>
          <t>Bonito Handles</t>
        </is>
      </c>
      <c r="E355" s="43" t="n">
        <v>46125</v>
      </c>
      <c r="F355" s="26" t="inlineStr">
        <is>
          <t>Sunil CR</t>
        </is>
      </c>
      <c r="G355" s="44" t="inlineStr">
        <is>
          <t>Represented by Sample</t>
        </is>
      </c>
      <c r="H355" s="26" t="inlineStr">
        <is>
          <t>No</t>
        </is>
      </c>
      <c r="I355" s="44" t="inlineStr">
        <is>
          <t>Represented by Sample</t>
        </is>
      </c>
      <c r="J355" s="26" t="inlineStr">
        <is>
          <t>Yes</t>
        </is>
      </c>
      <c r="K355" s="27" t="n"/>
      <c r="L355" s="28" t="inlineStr">
        <is>
          <t>No</t>
        </is>
      </c>
      <c r="M355" s="29">
        <f>IF(E355="","",IF(H355="Yes","❌ Disc",IF(G355="No","⚠ Missing",IF(J355="Yes","✓ OK","⚠ Check"))))</f>
        <v/>
      </c>
      <c r="N355" s="43" t="n">
        <v>46196</v>
      </c>
      <c r="O355" s="26" t="inlineStr">
        <is>
          <t>Sunil CR</t>
        </is>
      </c>
      <c r="P355" s="44" t="inlineStr">
        <is>
          <t>Represented by Sample</t>
        </is>
      </c>
      <c r="Q355" s="26" t="inlineStr">
        <is>
          <t>No</t>
        </is>
      </c>
      <c r="R355" s="44" t="inlineStr">
        <is>
          <t>Represented by Sample</t>
        </is>
      </c>
      <c r="S355" s="26" t="inlineStr">
        <is>
          <t>Yes</t>
        </is>
      </c>
      <c r="T355" s="27" t="n"/>
      <c r="U355" s="28" t="inlineStr">
        <is>
          <t>No</t>
        </is>
      </c>
      <c r="V355" s="29">
        <f>IF(N355="","",IF(Q355="Yes","❌ Disc",IF(P355="No","⚠ Missing",IF(S355="Yes","✓ OK","⚠ Check"))))</f>
        <v/>
      </c>
      <c r="W355" s="65" t="n">
        <v>46248</v>
      </c>
      <c r="X355" s="30" t="inlineStr">
        <is>
          <t>Sunil CR</t>
        </is>
      </c>
      <c r="Y355" s="30" t="inlineStr">
        <is>
          <t>Represented by Sample</t>
        </is>
      </c>
      <c r="Z355" s="30" t="n"/>
      <c r="AA355" s="30" t="inlineStr">
        <is>
          <t>Represented by Sample</t>
        </is>
      </c>
      <c r="AB355" s="30" t="inlineStr">
        <is>
          <t>Yes</t>
        </is>
      </c>
      <c r="AC355" s="27" t="n"/>
      <c r="AD355" s="31" t="inlineStr">
        <is>
          <t>No</t>
        </is>
      </c>
      <c r="AE355" s="32">
        <f>IF(W355="","",IF(Z355="Yes","❌ Disc",IF(Y355="No","⚠ Missing",IF(AB355="Yes","✓ OK","⚠ Check"))))</f>
        <v/>
      </c>
      <c r="AF355" s="33" t="n"/>
      <c r="AG355" s="33" t="n"/>
      <c r="AH355" s="33" t="n"/>
      <c r="AI355" s="33" t="n"/>
      <c r="AJ355" s="33" t="n"/>
      <c r="AK355" s="33" t="n"/>
      <c r="AL355" s="27" t="n"/>
      <c r="AM355" s="34" t="n"/>
      <c r="AN355" s="35">
        <f>IF(AF355="","",IF(AI355="Yes","❌ Disc",IF(AH355="No","⚠ Missing",IF(AK355="Yes","✓ OK","⚠ Check"))))</f>
        <v/>
      </c>
      <c r="AO355" s="36" t="n"/>
      <c r="AP355" s="36" t="n"/>
      <c r="AQ355" s="36" t="n"/>
      <c r="AR355" s="36" t="n"/>
      <c r="AS355" s="36" t="n"/>
      <c r="AT355" s="36" t="n"/>
      <c r="AU355" s="27" t="n"/>
      <c r="AV355" s="37" t="n"/>
      <c r="AW355" s="38">
        <f>IF(AO355="","",IF(AR355="Yes","❌ Disc",IF(AQ355="No","⚠ Missing",IF(AT355="Yes","✓ OK","⚠ Check"))))</f>
        <v/>
      </c>
    </row>
    <row r="356" ht="18" customHeight="1" s="46">
      <c r="A356" s="39" t="n">
        <v>352</v>
      </c>
      <c r="B356" s="40" t="inlineStr">
        <is>
          <t>BD-HNA-2025-0408</t>
        </is>
      </c>
      <c r="C356" s="41" t="inlineStr">
        <is>
          <t>Bonito Handles - VI-03 PROFILE(V.H) - Blasting Rose Profile Handle - 250mm</t>
        </is>
      </c>
      <c r="D356" s="39" t="inlineStr">
        <is>
          <t>Bonito Handles</t>
        </is>
      </c>
      <c r="E356" s="43" t="n">
        <v>46125</v>
      </c>
      <c r="F356" s="26" t="inlineStr">
        <is>
          <t>Sunil CR</t>
        </is>
      </c>
      <c r="G356" s="44" t="inlineStr">
        <is>
          <t>Represented by Sample</t>
        </is>
      </c>
      <c r="H356" s="26" t="inlineStr">
        <is>
          <t>No</t>
        </is>
      </c>
      <c r="I356" s="44" t="inlineStr">
        <is>
          <t>Represented by Sample</t>
        </is>
      </c>
      <c r="J356" s="26" t="inlineStr">
        <is>
          <t>Yes</t>
        </is>
      </c>
      <c r="K356" s="27" t="n"/>
      <c r="L356" s="28" t="inlineStr">
        <is>
          <t>No</t>
        </is>
      </c>
      <c r="M356" s="29">
        <f>IF(E356="","",IF(H356="Yes","❌ Disc",IF(G356="No","⚠ Missing",IF(J356="Yes","✓ OK","⚠ Check"))))</f>
        <v/>
      </c>
      <c r="N356" s="43" t="n">
        <v>46196</v>
      </c>
      <c r="O356" s="26" t="inlineStr">
        <is>
          <t>Sunil CR</t>
        </is>
      </c>
      <c r="P356" s="44" t="inlineStr">
        <is>
          <t>Represented by Sample</t>
        </is>
      </c>
      <c r="Q356" s="26" t="inlineStr">
        <is>
          <t>No</t>
        </is>
      </c>
      <c r="R356" s="44" t="inlineStr">
        <is>
          <t>Represented by Sample</t>
        </is>
      </c>
      <c r="S356" s="26" t="inlineStr">
        <is>
          <t>Yes</t>
        </is>
      </c>
      <c r="T356" s="27" t="n"/>
      <c r="U356" s="28" t="inlineStr">
        <is>
          <t>No</t>
        </is>
      </c>
      <c r="V356" s="29">
        <f>IF(N356="","",IF(Q356="Yes","❌ Disc",IF(P356="No","⚠ Missing",IF(S356="Yes","✓ OK","⚠ Check"))))</f>
        <v/>
      </c>
      <c r="W356" s="65" t="n">
        <v>46248</v>
      </c>
      <c r="X356" s="30" t="inlineStr">
        <is>
          <t>Sunil CR</t>
        </is>
      </c>
      <c r="Y356" s="30" t="inlineStr">
        <is>
          <t>Represented by Sample</t>
        </is>
      </c>
      <c r="Z356" s="30" t="n"/>
      <c r="AA356" s="30" t="inlineStr">
        <is>
          <t>Represented by Sample</t>
        </is>
      </c>
      <c r="AB356" s="30" t="inlineStr">
        <is>
          <t>Yes</t>
        </is>
      </c>
      <c r="AC356" s="27" t="n"/>
      <c r="AD356" s="31" t="inlineStr">
        <is>
          <t>No</t>
        </is>
      </c>
      <c r="AE356" s="32">
        <f>IF(W356="","",IF(Z356="Yes","❌ Disc",IF(Y356="No","⚠ Missing",IF(AB356="Yes","✓ OK","⚠ Check"))))</f>
        <v/>
      </c>
      <c r="AF356" s="33" t="n"/>
      <c r="AG356" s="33" t="n"/>
      <c r="AH356" s="33" t="n"/>
      <c r="AI356" s="33" t="n"/>
      <c r="AJ356" s="33" t="n"/>
      <c r="AK356" s="33" t="n"/>
      <c r="AL356" s="27" t="n"/>
      <c r="AM356" s="34" t="n"/>
      <c r="AN356" s="35">
        <f>IF(AF356="","",IF(AI356="Yes","❌ Disc",IF(AH356="No","⚠ Missing",IF(AK356="Yes","✓ OK","⚠ Check"))))</f>
        <v/>
      </c>
      <c r="AO356" s="36" t="n"/>
      <c r="AP356" s="36" t="n"/>
      <c r="AQ356" s="36" t="n"/>
      <c r="AR356" s="36" t="n"/>
      <c r="AS356" s="36" t="n"/>
      <c r="AT356" s="36" t="n"/>
      <c r="AU356" s="27" t="n"/>
      <c r="AV356" s="37" t="n"/>
      <c r="AW356" s="38">
        <f>IF(AO356="","",IF(AR356="Yes","❌ Disc",IF(AQ356="No","⚠ Missing",IF(AT356="Yes","✓ OK","⚠ Check"))))</f>
        <v/>
      </c>
    </row>
    <row r="357" ht="18" customHeight="1" s="46">
      <c r="A357" s="23" t="n">
        <v>353</v>
      </c>
      <c r="B357" s="24" t="inlineStr">
        <is>
          <t>BD-HNA-2025-0409</t>
        </is>
      </c>
      <c r="C357" s="25" t="inlineStr">
        <is>
          <t>Bonito Handles - VI-03 PROFILE(V.H) - Blasting Rose Profile Handle - 448mm</t>
        </is>
      </c>
      <c r="D357" s="23" t="inlineStr">
        <is>
          <t>Bonito Handles</t>
        </is>
      </c>
      <c r="E357" s="43" t="n">
        <v>46125</v>
      </c>
      <c r="F357" s="26" t="inlineStr">
        <is>
          <t>Sunil CR</t>
        </is>
      </c>
      <c r="G357" s="44" t="inlineStr">
        <is>
          <t>Represented by Sample</t>
        </is>
      </c>
      <c r="H357" s="26" t="inlineStr">
        <is>
          <t>No</t>
        </is>
      </c>
      <c r="I357" s="44" t="inlineStr">
        <is>
          <t>Represented by Sample</t>
        </is>
      </c>
      <c r="J357" s="26" t="inlineStr">
        <is>
          <t>Yes</t>
        </is>
      </c>
      <c r="K357" s="27" t="n"/>
      <c r="L357" s="28" t="inlineStr">
        <is>
          <t>No</t>
        </is>
      </c>
      <c r="M357" s="29">
        <f>IF(E357="","",IF(H357="Yes","❌ Disc",IF(G357="No","⚠ Missing",IF(J357="Yes","✓ OK","⚠ Check"))))</f>
        <v/>
      </c>
      <c r="N357" s="43" t="n">
        <v>46196</v>
      </c>
      <c r="O357" s="26" t="inlineStr">
        <is>
          <t>Sunil CR</t>
        </is>
      </c>
      <c r="P357" s="44" t="inlineStr">
        <is>
          <t>Represented by Sample</t>
        </is>
      </c>
      <c r="Q357" s="26" t="inlineStr">
        <is>
          <t>No</t>
        </is>
      </c>
      <c r="R357" s="44" t="inlineStr">
        <is>
          <t>Represented by Sample</t>
        </is>
      </c>
      <c r="S357" s="26" t="inlineStr">
        <is>
          <t>Yes</t>
        </is>
      </c>
      <c r="T357" s="27" t="n"/>
      <c r="U357" s="28" t="inlineStr">
        <is>
          <t>No</t>
        </is>
      </c>
      <c r="V357" s="29">
        <f>IF(N357="","",IF(Q357="Yes","❌ Disc",IF(P357="No","⚠ Missing",IF(S357="Yes","✓ OK","⚠ Check"))))</f>
        <v/>
      </c>
      <c r="W357" s="65" t="n">
        <v>46248</v>
      </c>
      <c r="X357" s="30" t="inlineStr">
        <is>
          <t>Sunil CR</t>
        </is>
      </c>
      <c r="Y357" s="30" t="inlineStr">
        <is>
          <t>Represented by Sample</t>
        </is>
      </c>
      <c r="Z357" s="30" t="n"/>
      <c r="AA357" s="30" t="inlineStr">
        <is>
          <t>Represented by Sample</t>
        </is>
      </c>
      <c r="AB357" s="30" t="inlineStr">
        <is>
          <t>Yes</t>
        </is>
      </c>
      <c r="AC357" s="27" t="n"/>
      <c r="AD357" s="31" t="inlineStr">
        <is>
          <t>No</t>
        </is>
      </c>
      <c r="AE357" s="32">
        <f>IF(W357="","",IF(Z357="Yes","❌ Disc",IF(Y357="No","⚠ Missing",IF(AB357="Yes","✓ OK","⚠ Check"))))</f>
        <v/>
      </c>
      <c r="AF357" s="33" t="n"/>
      <c r="AG357" s="33" t="n"/>
      <c r="AH357" s="33" t="n"/>
      <c r="AI357" s="33" t="n"/>
      <c r="AJ357" s="33" t="n"/>
      <c r="AK357" s="33" t="n"/>
      <c r="AL357" s="27" t="n"/>
      <c r="AM357" s="34" t="n"/>
      <c r="AN357" s="35">
        <f>IF(AF357="","",IF(AI357="Yes","❌ Disc",IF(AH357="No","⚠ Missing",IF(AK357="Yes","✓ OK","⚠ Check"))))</f>
        <v/>
      </c>
      <c r="AO357" s="36" t="n"/>
      <c r="AP357" s="36" t="n"/>
      <c r="AQ357" s="36" t="n"/>
      <c r="AR357" s="36" t="n"/>
      <c r="AS357" s="36" t="n"/>
      <c r="AT357" s="36" t="n"/>
      <c r="AU357" s="27" t="n"/>
      <c r="AV357" s="37" t="n"/>
      <c r="AW357" s="38">
        <f>IF(AO357="","",IF(AR357="Yes","❌ Disc",IF(AQ357="No","⚠ Missing",IF(AT357="Yes","✓ OK","⚠ Check"))))</f>
        <v/>
      </c>
    </row>
    <row r="358" ht="18" customHeight="1" s="46">
      <c r="A358" s="39" t="n">
        <v>354</v>
      </c>
      <c r="B358" s="40" t="inlineStr">
        <is>
          <t>BD-HNA-2025-0410</t>
        </is>
      </c>
      <c r="C358" s="41" t="inlineStr">
        <is>
          <t>Bonito Handles - VI-03 PROFILE(V.H) - Blasting Rose Profile Handle - 900mm</t>
        </is>
      </c>
      <c r="D358" s="39" t="inlineStr">
        <is>
          <t>Bonito Handles</t>
        </is>
      </c>
      <c r="E358" s="43" t="n">
        <v>46125</v>
      </c>
      <c r="F358" s="26" t="inlineStr">
        <is>
          <t>Sunil CR</t>
        </is>
      </c>
      <c r="G358" s="44" t="inlineStr">
        <is>
          <t>Represented by Sample</t>
        </is>
      </c>
      <c r="H358" s="26" t="inlineStr">
        <is>
          <t>No</t>
        </is>
      </c>
      <c r="I358" s="44" t="inlineStr">
        <is>
          <t>Represented by Sample</t>
        </is>
      </c>
      <c r="J358" s="26" t="inlineStr">
        <is>
          <t>Yes</t>
        </is>
      </c>
      <c r="K358" s="27" t="n"/>
      <c r="L358" s="28" t="inlineStr">
        <is>
          <t>No</t>
        </is>
      </c>
      <c r="M358" s="29">
        <f>IF(E358="","",IF(H358="Yes","❌ Disc",IF(G358="No","⚠ Missing",IF(J358="Yes","✓ OK","⚠ Check"))))</f>
        <v/>
      </c>
      <c r="N358" s="43" t="n">
        <v>46196</v>
      </c>
      <c r="O358" s="26" t="inlineStr">
        <is>
          <t>Sunil CR</t>
        </is>
      </c>
      <c r="P358" s="44" t="inlineStr">
        <is>
          <t>Represented by Sample</t>
        </is>
      </c>
      <c r="Q358" s="26" t="inlineStr">
        <is>
          <t>No</t>
        </is>
      </c>
      <c r="R358" s="44" t="inlineStr">
        <is>
          <t>Represented by Sample</t>
        </is>
      </c>
      <c r="S358" s="26" t="inlineStr">
        <is>
          <t>Yes</t>
        </is>
      </c>
      <c r="T358" s="27" t="n"/>
      <c r="U358" s="28" t="inlineStr">
        <is>
          <t>No</t>
        </is>
      </c>
      <c r="V358" s="29">
        <f>IF(N358="","",IF(Q358="Yes","❌ Disc",IF(P358="No","⚠ Missing",IF(S358="Yes","✓ OK","⚠ Check"))))</f>
        <v/>
      </c>
      <c r="W358" s="65" t="n">
        <v>46248</v>
      </c>
      <c r="X358" s="30" t="inlineStr">
        <is>
          <t>Sunil CR</t>
        </is>
      </c>
      <c r="Y358" s="30" t="inlineStr">
        <is>
          <t>Represented by Sample</t>
        </is>
      </c>
      <c r="Z358" s="30" t="n"/>
      <c r="AA358" s="30" t="inlineStr">
        <is>
          <t>Represented by Sample</t>
        </is>
      </c>
      <c r="AB358" s="30" t="inlineStr">
        <is>
          <t>Yes</t>
        </is>
      </c>
      <c r="AC358" s="27" t="n"/>
      <c r="AD358" s="31" t="inlineStr">
        <is>
          <t>No</t>
        </is>
      </c>
      <c r="AE358" s="32">
        <f>IF(W358="","",IF(Z358="Yes","❌ Disc",IF(Y358="No","⚠ Missing",IF(AB358="Yes","✓ OK","⚠ Check"))))</f>
        <v/>
      </c>
      <c r="AF358" s="33" t="n"/>
      <c r="AG358" s="33" t="n"/>
      <c r="AH358" s="33" t="n"/>
      <c r="AI358" s="33" t="n"/>
      <c r="AJ358" s="33" t="n"/>
      <c r="AK358" s="33" t="n"/>
      <c r="AL358" s="27" t="n"/>
      <c r="AM358" s="34" t="n"/>
      <c r="AN358" s="35">
        <f>IF(AF358="","",IF(AI358="Yes","❌ Disc",IF(AH358="No","⚠ Missing",IF(AK358="Yes","✓ OK","⚠ Check"))))</f>
        <v/>
      </c>
      <c r="AO358" s="36" t="n"/>
      <c r="AP358" s="36" t="n"/>
      <c r="AQ358" s="36" t="n"/>
      <c r="AR358" s="36" t="n"/>
      <c r="AS358" s="36" t="n"/>
      <c r="AT358" s="36" t="n"/>
      <c r="AU358" s="27" t="n"/>
      <c r="AV358" s="37" t="n"/>
      <c r="AW358" s="38">
        <f>IF(AO358="","",IF(AR358="Yes","❌ Disc",IF(AQ358="No","⚠ Missing",IF(AT358="Yes","✓ OK","⚠ Check"))))</f>
        <v/>
      </c>
    </row>
    <row r="359" ht="18" customHeight="1" s="46">
      <c r="A359" s="23" t="n">
        <v>355</v>
      </c>
      <c r="B359" s="24" t="inlineStr">
        <is>
          <t>BD-HNA-2025-0400</t>
        </is>
      </c>
      <c r="C359" s="25" t="inlineStr">
        <is>
          <t>Bonito Handles - VI-03 PROFILE(V.H) - Blasting Satin Profile Handle - 250mm</t>
        </is>
      </c>
      <c r="D359" s="23" t="inlineStr">
        <is>
          <t>Bonito Handles</t>
        </is>
      </c>
      <c r="E359" s="43" t="n">
        <v>46125</v>
      </c>
      <c r="F359" s="26" t="inlineStr">
        <is>
          <t>Sunil CR</t>
        </is>
      </c>
      <c r="G359" s="44" t="inlineStr">
        <is>
          <t>Represented by Sample</t>
        </is>
      </c>
      <c r="H359" s="26" t="inlineStr">
        <is>
          <t>No</t>
        </is>
      </c>
      <c r="I359" s="44" t="inlineStr">
        <is>
          <t>Represented by Sample</t>
        </is>
      </c>
      <c r="J359" s="26" t="inlineStr">
        <is>
          <t>Yes</t>
        </is>
      </c>
      <c r="K359" s="27" t="n"/>
      <c r="L359" s="28" t="inlineStr">
        <is>
          <t>No</t>
        </is>
      </c>
      <c r="M359" s="29">
        <f>IF(E359="","",IF(H359="Yes","❌ Disc",IF(G359="No","⚠ Missing",IF(J359="Yes","✓ OK","⚠ Check"))))</f>
        <v/>
      </c>
      <c r="N359" s="43" t="n">
        <v>46196</v>
      </c>
      <c r="O359" s="26" t="inlineStr">
        <is>
          <t>Sunil CR</t>
        </is>
      </c>
      <c r="P359" s="44" t="inlineStr">
        <is>
          <t>Represented by Sample</t>
        </is>
      </c>
      <c r="Q359" s="26" t="inlineStr">
        <is>
          <t>No</t>
        </is>
      </c>
      <c r="R359" s="44" t="inlineStr">
        <is>
          <t>Represented by Sample</t>
        </is>
      </c>
      <c r="S359" s="26" t="inlineStr">
        <is>
          <t>Yes</t>
        </is>
      </c>
      <c r="T359" s="27" t="n"/>
      <c r="U359" s="28" t="inlineStr">
        <is>
          <t>No</t>
        </is>
      </c>
      <c r="V359" s="29">
        <f>IF(N359="","",IF(Q359="Yes","❌ Disc",IF(P359="No","⚠ Missing",IF(S359="Yes","✓ OK","⚠ Check"))))</f>
        <v/>
      </c>
      <c r="W359" s="65" t="n">
        <v>46248</v>
      </c>
      <c r="X359" s="30" t="inlineStr">
        <is>
          <t>Sunil CR</t>
        </is>
      </c>
      <c r="Y359" s="30" t="inlineStr">
        <is>
          <t>Represented by Sample</t>
        </is>
      </c>
      <c r="Z359" s="30" t="n"/>
      <c r="AA359" s="30" t="inlineStr">
        <is>
          <t>Represented by Sample</t>
        </is>
      </c>
      <c r="AB359" s="30" t="inlineStr">
        <is>
          <t>Yes</t>
        </is>
      </c>
      <c r="AC359" s="27" t="n"/>
      <c r="AD359" s="31" t="inlineStr">
        <is>
          <t>No</t>
        </is>
      </c>
      <c r="AE359" s="32">
        <f>IF(W359="","",IF(Z359="Yes","❌ Disc",IF(Y359="No","⚠ Missing",IF(AB359="Yes","✓ OK","⚠ Check"))))</f>
        <v/>
      </c>
      <c r="AF359" s="33" t="n"/>
      <c r="AG359" s="33" t="n"/>
      <c r="AH359" s="33" t="n"/>
      <c r="AI359" s="33" t="n"/>
      <c r="AJ359" s="33" t="n"/>
      <c r="AK359" s="33" t="n"/>
      <c r="AL359" s="27" t="n"/>
      <c r="AM359" s="34" t="n"/>
      <c r="AN359" s="35">
        <f>IF(AF359="","",IF(AI359="Yes","❌ Disc",IF(AH359="No","⚠ Missing",IF(AK359="Yes","✓ OK","⚠ Check"))))</f>
        <v/>
      </c>
      <c r="AO359" s="36" t="n"/>
      <c r="AP359" s="36" t="n"/>
      <c r="AQ359" s="36" t="n"/>
      <c r="AR359" s="36" t="n"/>
      <c r="AS359" s="36" t="n"/>
      <c r="AT359" s="36" t="n"/>
      <c r="AU359" s="27" t="n"/>
      <c r="AV359" s="37" t="n"/>
      <c r="AW359" s="38">
        <f>IF(AO359="","",IF(AR359="Yes","❌ Disc",IF(AQ359="No","⚠ Missing",IF(AT359="Yes","✓ OK","⚠ Check"))))</f>
        <v/>
      </c>
    </row>
    <row r="360" ht="18" customHeight="1" s="46">
      <c r="A360" s="39" t="n">
        <v>356</v>
      </c>
      <c r="B360" s="40" t="inlineStr">
        <is>
          <t>BD-HNA-2025-0401</t>
        </is>
      </c>
      <c r="C360" s="41" t="inlineStr">
        <is>
          <t>Bonito Handles - VI-03 PROFILE(V.H) - Blasting Satin Profile Handle - 448mm</t>
        </is>
      </c>
      <c r="D360" s="39" t="inlineStr">
        <is>
          <t>Bonito Handles</t>
        </is>
      </c>
      <c r="E360" s="43" t="n">
        <v>46125</v>
      </c>
      <c r="F360" s="26" t="inlineStr">
        <is>
          <t>Sunil CR</t>
        </is>
      </c>
      <c r="G360" s="44" t="inlineStr">
        <is>
          <t>Represented by Sample</t>
        </is>
      </c>
      <c r="H360" s="26" t="inlineStr">
        <is>
          <t>No</t>
        </is>
      </c>
      <c r="I360" s="44" t="inlineStr">
        <is>
          <t>Represented by Sample</t>
        </is>
      </c>
      <c r="J360" s="26" t="inlineStr">
        <is>
          <t>Yes</t>
        </is>
      </c>
      <c r="K360" s="27" t="n"/>
      <c r="L360" s="28" t="inlineStr">
        <is>
          <t>No</t>
        </is>
      </c>
      <c r="M360" s="29">
        <f>IF(E360="","",IF(H360="Yes","❌ Disc",IF(G360="No","⚠ Missing",IF(J360="Yes","✓ OK","⚠ Check"))))</f>
        <v/>
      </c>
      <c r="N360" s="43" t="n">
        <v>46196</v>
      </c>
      <c r="O360" s="26" t="inlineStr">
        <is>
          <t>Sunil CR</t>
        </is>
      </c>
      <c r="P360" s="44" t="inlineStr">
        <is>
          <t>Represented by Sample</t>
        </is>
      </c>
      <c r="Q360" s="26" t="inlineStr">
        <is>
          <t>No</t>
        </is>
      </c>
      <c r="R360" s="44" t="inlineStr">
        <is>
          <t>Represented by Sample</t>
        </is>
      </c>
      <c r="S360" s="26" t="inlineStr">
        <is>
          <t>Yes</t>
        </is>
      </c>
      <c r="T360" s="27" t="n"/>
      <c r="U360" s="28" t="inlineStr">
        <is>
          <t>No</t>
        </is>
      </c>
      <c r="V360" s="29">
        <f>IF(N360="","",IF(Q360="Yes","❌ Disc",IF(P360="No","⚠ Missing",IF(S360="Yes","✓ OK","⚠ Check"))))</f>
        <v/>
      </c>
      <c r="W360" s="65" t="n">
        <v>46248</v>
      </c>
      <c r="X360" s="30" t="inlineStr">
        <is>
          <t>Sunil CR</t>
        </is>
      </c>
      <c r="Y360" s="30" t="inlineStr">
        <is>
          <t>Represented by Sample</t>
        </is>
      </c>
      <c r="Z360" s="30" t="n"/>
      <c r="AA360" s="30" t="inlineStr">
        <is>
          <t>Represented by Sample</t>
        </is>
      </c>
      <c r="AB360" s="30" t="inlineStr">
        <is>
          <t>Yes</t>
        </is>
      </c>
      <c r="AC360" s="27" t="n"/>
      <c r="AD360" s="31" t="inlineStr">
        <is>
          <t>No</t>
        </is>
      </c>
      <c r="AE360" s="32">
        <f>IF(W360="","",IF(Z360="Yes","❌ Disc",IF(Y360="No","⚠ Missing",IF(AB360="Yes","✓ OK","⚠ Check"))))</f>
        <v/>
      </c>
      <c r="AF360" s="33" t="n"/>
      <c r="AG360" s="33" t="n"/>
      <c r="AH360" s="33" t="n"/>
      <c r="AI360" s="33" t="n"/>
      <c r="AJ360" s="33" t="n"/>
      <c r="AK360" s="33" t="n"/>
      <c r="AL360" s="27" t="n"/>
      <c r="AM360" s="34" t="n"/>
      <c r="AN360" s="35">
        <f>IF(AF360="","",IF(AI360="Yes","❌ Disc",IF(AH360="No","⚠ Missing",IF(AK360="Yes","✓ OK","⚠ Check"))))</f>
        <v/>
      </c>
      <c r="AO360" s="36" t="n"/>
      <c r="AP360" s="36" t="n"/>
      <c r="AQ360" s="36" t="n"/>
      <c r="AR360" s="36" t="n"/>
      <c r="AS360" s="36" t="n"/>
      <c r="AT360" s="36" t="n"/>
      <c r="AU360" s="27" t="n"/>
      <c r="AV360" s="37" t="n"/>
      <c r="AW360" s="38">
        <f>IF(AO360="","",IF(AR360="Yes","❌ Disc",IF(AQ360="No","⚠ Missing",IF(AT360="Yes","✓ OK","⚠ Check"))))</f>
        <v/>
      </c>
    </row>
    <row r="361" ht="18" customHeight="1" s="46">
      <c r="A361" s="23" t="n">
        <v>357</v>
      </c>
      <c r="B361" s="24" t="inlineStr">
        <is>
          <t>BD-HNA-2025-0402</t>
        </is>
      </c>
      <c r="C361" s="25" t="inlineStr">
        <is>
          <t>Bonito Handles - VI-03 PROFILE(V.H) - Blasting Satin Profile Handle - 600mm</t>
        </is>
      </c>
      <c r="D361" s="23" t="inlineStr">
        <is>
          <t>Bonito Handles</t>
        </is>
      </c>
      <c r="E361" s="43" t="n">
        <v>46125</v>
      </c>
      <c r="F361" s="26" t="inlineStr">
        <is>
          <t>Sunil CR</t>
        </is>
      </c>
      <c r="G361" s="44" t="inlineStr">
        <is>
          <t>Represented by Sample</t>
        </is>
      </c>
      <c r="H361" s="26" t="inlineStr">
        <is>
          <t>No</t>
        </is>
      </c>
      <c r="I361" s="44" t="inlineStr">
        <is>
          <t>Represented by Sample</t>
        </is>
      </c>
      <c r="J361" s="26" t="inlineStr">
        <is>
          <t>Yes</t>
        </is>
      </c>
      <c r="K361" s="27" t="n"/>
      <c r="L361" s="28" t="inlineStr">
        <is>
          <t>No</t>
        </is>
      </c>
      <c r="M361" s="29">
        <f>IF(E361="","",IF(H361="Yes","❌ Disc",IF(G361="No","⚠ Missing",IF(J361="Yes","✓ OK","⚠ Check"))))</f>
        <v/>
      </c>
      <c r="N361" s="43" t="n">
        <v>46196</v>
      </c>
      <c r="O361" s="26" t="inlineStr">
        <is>
          <t>Sunil CR</t>
        </is>
      </c>
      <c r="P361" s="44" t="inlineStr">
        <is>
          <t>Represented by Sample</t>
        </is>
      </c>
      <c r="Q361" s="26" t="inlineStr">
        <is>
          <t>No</t>
        </is>
      </c>
      <c r="R361" s="44" t="inlineStr">
        <is>
          <t>Represented by Sample</t>
        </is>
      </c>
      <c r="S361" s="26" t="inlineStr">
        <is>
          <t>Yes</t>
        </is>
      </c>
      <c r="T361" s="27" t="n"/>
      <c r="U361" s="28" t="inlineStr">
        <is>
          <t>No</t>
        </is>
      </c>
      <c r="V361" s="29">
        <f>IF(N361="","",IF(Q361="Yes","❌ Disc",IF(P361="No","⚠ Missing",IF(S361="Yes","✓ OK","⚠ Check"))))</f>
        <v/>
      </c>
      <c r="W361" s="65" t="n">
        <v>46248</v>
      </c>
      <c r="X361" s="30" t="inlineStr">
        <is>
          <t>Sunil CR</t>
        </is>
      </c>
      <c r="Y361" s="30" t="inlineStr">
        <is>
          <t>Represented by Sample</t>
        </is>
      </c>
      <c r="Z361" s="30" t="n"/>
      <c r="AA361" s="30" t="inlineStr">
        <is>
          <t>Represented by Sample</t>
        </is>
      </c>
      <c r="AB361" s="30" t="inlineStr">
        <is>
          <t>Yes</t>
        </is>
      </c>
      <c r="AC361" s="27" t="n"/>
      <c r="AD361" s="31" t="inlineStr">
        <is>
          <t>No</t>
        </is>
      </c>
      <c r="AE361" s="32">
        <f>IF(W361="","",IF(Z361="Yes","❌ Disc",IF(Y361="No","⚠ Missing",IF(AB361="Yes","✓ OK","⚠ Check"))))</f>
        <v/>
      </c>
      <c r="AF361" s="33" t="n"/>
      <c r="AG361" s="33" t="n"/>
      <c r="AH361" s="33" t="n"/>
      <c r="AI361" s="33" t="n"/>
      <c r="AJ361" s="33" t="n"/>
      <c r="AK361" s="33" t="n"/>
      <c r="AL361" s="27" t="n"/>
      <c r="AM361" s="34" t="n"/>
      <c r="AN361" s="35">
        <f>IF(AF361="","",IF(AI361="Yes","❌ Disc",IF(AH361="No","⚠ Missing",IF(AK361="Yes","✓ OK","⚠ Check"))))</f>
        <v/>
      </c>
      <c r="AO361" s="36" t="n"/>
      <c r="AP361" s="36" t="n"/>
      <c r="AQ361" s="36" t="n"/>
      <c r="AR361" s="36" t="n"/>
      <c r="AS361" s="36" t="n"/>
      <c r="AT361" s="36" t="n"/>
      <c r="AU361" s="27" t="n"/>
      <c r="AV361" s="37" t="n"/>
      <c r="AW361" s="38">
        <f>IF(AO361="","",IF(AR361="Yes","❌ Disc",IF(AQ361="No","⚠ Missing",IF(AT361="Yes","✓ OK","⚠ Check"))))</f>
        <v/>
      </c>
    </row>
    <row r="362" ht="18" customHeight="1" s="46">
      <c r="A362" s="39" t="n">
        <v>358</v>
      </c>
      <c r="B362" s="40" t="inlineStr">
        <is>
          <t>BD-HNA-2025-0403</t>
        </is>
      </c>
      <c r="C362" s="41" t="inlineStr">
        <is>
          <t>Bonito Handles - VI-03 PROFILE(V.H) - Blasting Satin Profile Handle - 900mm</t>
        </is>
      </c>
      <c r="D362" s="39" t="inlineStr">
        <is>
          <t>Bonito Handles</t>
        </is>
      </c>
      <c r="E362" s="43" t="n">
        <v>46125</v>
      </c>
      <c r="F362" s="26" t="inlineStr">
        <is>
          <t>Sunil CR</t>
        </is>
      </c>
      <c r="G362" s="44" t="inlineStr">
        <is>
          <t>Yes</t>
        </is>
      </c>
      <c r="H362" s="26" t="inlineStr">
        <is>
          <t>No</t>
        </is>
      </c>
      <c r="I362" s="44" t="inlineStr">
        <is>
          <t>Good finish</t>
        </is>
      </c>
      <c r="J362" s="26" t="inlineStr">
        <is>
          <t>Yes</t>
        </is>
      </c>
      <c r="K362" s="27" t="n"/>
      <c r="L362" s="28" t="inlineStr">
        <is>
          <t>No</t>
        </is>
      </c>
      <c r="M362" s="29">
        <f>IF(E362="","",IF(H362="Yes","❌ Disc",IF(G362="No","⚠ Missing",IF(J362="Yes","✓ OK","⚠ Check"))))</f>
        <v/>
      </c>
      <c r="N362" s="43" t="n">
        <v>46196</v>
      </c>
      <c r="O362" s="26" t="inlineStr">
        <is>
          <t>Sunil CR</t>
        </is>
      </c>
      <c r="P362" s="44" t="inlineStr">
        <is>
          <t>Yes</t>
        </is>
      </c>
      <c r="Q362" s="26" t="inlineStr">
        <is>
          <t>No</t>
        </is>
      </c>
      <c r="R362" s="44" t="inlineStr">
        <is>
          <t>Good finish</t>
        </is>
      </c>
      <c r="S362" s="26" t="inlineStr">
        <is>
          <t>Yes</t>
        </is>
      </c>
      <c r="T362" s="27" t="n"/>
      <c r="U362" s="28" t="inlineStr">
        <is>
          <t>No</t>
        </is>
      </c>
      <c r="V362" s="29">
        <f>IF(N362="","",IF(Q362="Yes","❌ Disc",IF(P362="No","⚠ Missing",IF(S362="Yes","✓ OK","⚠ Check"))))</f>
        <v/>
      </c>
      <c r="W362" s="65" t="n">
        <v>46248</v>
      </c>
      <c r="X362" s="30" t="inlineStr">
        <is>
          <t>Sunil CR</t>
        </is>
      </c>
      <c r="Y362" s="30" t="inlineStr">
        <is>
          <t>Yes</t>
        </is>
      </c>
      <c r="Z362" s="30" t="n"/>
      <c r="AA362" s="30" t="inlineStr">
        <is>
          <t>Good finish</t>
        </is>
      </c>
      <c r="AB362" s="30" t="inlineStr">
        <is>
          <t>Yes</t>
        </is>
      </c>
      <c r="AC362" s="27" t="n"/>
      <c r="AD362" s="31" t="inlineStr">
        <is>
          <t>No</t>
        </is>
      </c>
      <c r="AE362" s="32">
        <f>IF(W362="","",IF(Z362="Yes","❌ Disc",IF(Y362="No","⚠ Missing",IF(AB362="Yes","✓ OK","⚠ Check"))))</f>
        <v/>
      </c>
      <c r="AF362" s="33" t="n"/>
      <c r="AG362" s="33" t="n"/>
      <c r="AH362" s="33" t="n"/>
      <c r="AI362" s="33" t="n"/>
      <c r="AJ362" s="33" t="n"/>
      <c r="AK362" s="33" t="n"/>
      <c r="AL362" s="27" t="n"/>
      <c r="AM362" s="34" t="n"/>
      <c r="AN362" s="35">
        <f>IF(AF362="","",IF(AI362="Yes","❌ Disc",IF(AH362="No","⚠ Missing",IF(AK362="Yes","✓ OK","⚠ Check"))))</f>
        <v/>
      </c>
      <c r="AO362" s="36" t="n"/>
      <c r="AP362" s="36" t="n"/>
      <c r="AQ362" s="36" t="n"/>
      <c r="AR362" s="36" t="n"/>
      <c r="AS362" s="36" t="n"/>
      <c r="AT362" s="36" t="n"/>
      <c r="AU362" s="27" t="n"/>
      <c r="AV362" s="37" t="n"/>
      <c r="AW362" s="38">
        <f>IF(AO362="","",IF(AR362="Yes","❌ Disc",IF(AQ362="No","⚠ Missing",IF(AT362="Yes","✓ OK","⚠ Check"))))</f>
        <v/>
      </c>
    </row>
    <row r="363" ht="18" customHeight="1" s="46">
      <c r="A363" s="23" t="n">
        <v>359</v>
      </c>
      <c r="B363" s="24" t="inlineStr">
        <is>
          <t>HWLSBAH 128 SF</t>
        </is>
      </c>
      <c r="C363" s="25" t="inlineStr">
        <is>
          <t>Aluminium Handle-B (Special Finish) BAH-128-SF</t>
        </is>
      </c>
      <c r="D363" s="23" t="inlineStr">
        <is>
          <t>Ebco</t>
        </is>
      </c>
      <c r="E363" s="43" t="n">
        <v>46125</v>
      </c>
      <c r="F363" s="26" t="inlineStr">
        <is>
          <t>Sunil CR</t>
        </is>
      </c>
      <c r="G363" s="44" t="inlineStr">
        <is>
          <t>No</t>
        </is>
      </c>
      <c r="H363" s="26" t="inlineStr">
        <is>
          <t>No</t>
        </is>
      </c>
      <c r="I363" s="44" t="inlineStr">
        <is>
          <t>Not Available</t>
        </is>
      </c>
      <c r="J363" s="26" t="inlineStr">
        <is>
          <t>No</t>
        </is>
      </c>
      <c r="K363" s="27" t="n"/>
      <c r="L363" s="28" t="inlineStr">
        <is>
          <t>Yes</t>
        </is>
      </c>
      <c r="M363" s="29">
        <f>IF(E363="","",IF(H363="Yes","❌ Disc",IF(G363="No","⚠ Missing",IF(J363="Yes","✓ OK","⚠ Check"))))</f>
        <v/>
      </c>
      <c r="N363" s="43" t="n">
        <v>46196</v>
      </c>
      <c r="O363" s="26" t="inlineStr">
        <is>
          <t>Sunil CR</t>
        </is>
      </c>
      <c r="P363" s="44" t="inlineStr">
        <is>
          <t>No</t>
        </is>
      </c>
      <c r="Q363" s="26" t="inlineStr">
        <is>
          <t>No</t>
        </is>
      </c>
      <c r="R363" s="44" t="inlineStr">
        <is>
          <t>Not Available</t>
        </is>
      </c>
      <c r="S363" s="26" t="inlineStr">
        <is>
          <t>No</t>
        </is>
      </c>
      <c r="T363" s="27" t="n"/>
      <c r="U363" s="28" t="inlineStr">
        <is>
          <t>Yes</t>
        </is>
      </c>
      <c r="V363" s="29">
        <f>IF(N363="","",IF(Q363="Yes","❌ Disc",IF(P363="No","⚠ Missing",IF(S363="Yes","✓ OK","⚠ Check"))))</f>
        <v/>
      </c>
      <c r="W363" s="65" t="n">
        <v>46248</v>
      </c>
      <c r="X363" s="30" t="inlineStr">
        <is>
          <t>Sunil CR</t>
        </is>
      </c>
      <c r="Y363" s="30" t="inlineStr">
        <is>
          <t>No</t>
        </is>
      </c>
      <c r="Z363" s="30" t="n"/>
      <c r="AA363" s="30" t="inlineStr">
        <is>
          <t>Not Available</t>
        </is>
      </c>
      <c r="AB363" s="30" t="inlineStr">
        <is>
          <t>No</t>
        </is>
      </c>
      <c r="AC363" s="27" t="n"/>
      <c r="AD363" s="31" t="inlineStr">
        <is>
          <t>Yes</t>
        </is>
      </c>
      <c r="AE363" s="32">
        <f>IF(W363="","",IF(Z363="Yes","❌ Disc",IF(Y363="No","⚠ Missing",IF(AB363="Yes","✓ OK","⚠ Check"))))</f>
        <v/>
      </c>
      <c r="AF363" s="33" t="n"/>
      <c r="AG363" s="33" t="n"/>
      <c r="AH363" s="33" t="n"/>
      <c r="AI363" s="33" t="n"/>
      <c r="AJ363" s="33" t="n"/>
      <c r="AK363" s="33" t="n"/>
      <c r="AL363" s="27" t="n"/>
      <c r="AM363" s="34" t="n"/>
      <c r="AN363" s="35">
        <f>IF(AF363="","",IF(AI363="Yes","❌ Disc",IF(AH363="No","⚠ Missing",IF(AK363="Yes","✓ OK","⚠ Check"))))</f>
        <v/>
      </c>
      <c r="AO363" s="36" t="n"/>
      <c r="AP363" s="36" t="n"/>
      <c r="AQ363" s="36" t="n"/>
      <c r="AR363" s="36" t="n"/>
      <c r="AS363" s="36" t="n"/>
      <c r="AT363" s="36" t="n"/>
      <c r="AU363" s="27" t="n"/>
      <c r="AV363" s="37" t="n"/>
      <c r="AW363" s="38">
        <f>IF(AO363="","",IF(AR363="Yes","❌ Disc",IF(AQ363="No","⚠ Missing",IF(AT363="Yes","✓ OK","⚠ Check"))))</f>
        <v/>
      </c>
    </row>
    <row r="364" ht="18" customHeight="1" s="46">
      <c r="A364" s="39" t="n">
        <v>360</v>
      </c>
      <c r="B364" s="40" t="inlineStr">
        <is>
          <t>HWLSBAH 160 SF</t>
        </is>
      </c>
      <c r="C364" s="41" t="inlineStr">
        <is>
          <t>Aluminium Handle-B (Special Finish) BAH-160-SF</t>
        </is>
      </c>
      <c r="D364" s="39" t="inlineStr">
        <is>
          <t>Ebco</t>
        </is>
      </c>
      <c r="E364" s="43" t="n">
        <v>46125</v>
      </c>
      <c r="F364" s="26" t="inlineStr">
        <is>
          <t>Sunil CR</t>
        </is>
      </c>
      <c r="G364" s="44" t="inlineStr">
        <is>
          <t>No</t>
        </is>
      </c>
      <c r="H364" s="26" t="inlineStr">
        <is>
          <t>No</t>
        </is>
      </c>
      <c r="I364" s="44" t="inlineStr">
        <is>
          <t>Not Available</t>
        </is>
      </c>
      <c r="J364" s="26" t="inlineStr">
        <is>
          <t>No</t>
        </is>
      </c>
      <c r="K364" s="27" t="n"/>
      <c r="L364" s="28" t="inlineStr">
        <is>
          <t>Yes</t>
        </is>
      </c>
      <c r="M364" s="29">
        <f>IF(E364="","",IF(H364="Yes","❌ Disc",IF(G364="No","⚠ Missing",IF(J364="Yes","✓ OK","⚠ Check"))))</f>
        <v/>
      </c>
      <c r="N364" s="43" t="n">
        <v>46196</v>
      </c>
      <c r="O364" s="26" t="inlineStr">
        <is>
          <t>Sunil CR</t>
        </is>
      </c>
      <c r="P364" s="44" t="inlineStr">
        <is>
          <t>No</t>
        </is>
      </c>
      <c r="Q364" s="26" t="inlineStr">
        <is>
          <t>No</t>
        </is>
      </c>
      <c r="R364" s="44" t="inlineStr">
        <is>
          <t>Not Available</t>
        </is>
      </c>
      <c r="S364" s="26" t="inlineStr">
        <is>
          <t>No</t>
        </is>
      </c>
      <c r="T364" s="27" t="n"/>
      <c r="U364" s="28" t="inlineStr">
        <is>
          <t>Yes</t>
        </is>
      </c>
      <c r="V364" s="29">
        <f>IF(N364="","",IF(Q364="Yes","❌ Disc",IF(P364="No","⚠ Missing",IF(S364="Yes","✓ OK","⚠ Check"))))</f>
        <v/>
      </c>
      <c r="W364" s="65" t="n">
        <v>46248</v>
      </c>
      <c r="X364" s="30" t="inlineStr">
        <is>
          <t>Sunil CR</t>
        </is>
      </c>
      <c r="Y364" s="30" t="inlineStr">
        <is>
          <t>No</t>
        </is>
      </c>
      <c r="Z364" s="30" t="n"/>
      <c r="AA364" s="30" t="inlineStr">
        <is>
          <t>Not Available</t>
        </is>
      </c>
      <c r="AB364" s="30" t="inlineStr">
        <is>
          <t>No</t>
        </is>
      </c>
      <c r="AC364" s="27" t="n"/>
      <c r="AD364" s="31" t="inlineStr">
        <is>
          <t>Yes</t>
        </is>
      </c>
      <c r="AE364" s="32">
        <f>IF(W364="","",IF(Z364="Yes","❌ Disc",IF(Y364="No","⚠ Missing",IF(AB364="Yes","✓ OK","⚠ Check"))))</f>
        <v/>
      </c>
      <c r="AF364" s="33" t="n"/>
      <c r="AG364" s="33" t="n"/>
      <c r="AH364" s="33" t="n"/>
      <c r="AI364" s="33" t="n"/>
      <c r="AJ364" s="33" t="n"/>
      <c r="AK364" s="33" t="n"/>
      <c r="AL364" s="27" t="n"/>
      <c r="AM364" s="34" t="n"/>
      <c r="AN364" s="35">
        <f>IF(AF364="","",IF(AI364="Yes","❌ Disc",IF(AH364="No","⚠ Missing",IF(AK364="Yes","✓ OK","⚠ Check"))))</f>
        <v/>
      </c>
      <c r="AO364" s="36" t="n"/>
      <c r="AP364" s="36" t="n"/>
      <c r="AQ364" s="36" t="n"/>
      <c r="AR364" s="36" t="n"/>
      <c r="AS364" s="36" t="n"/>
      <c r="AT364" s="36" t="n"/>
      <c r="AU364" s="27" t="n"/>
      <c r="AV364" s="37" t="n"/>
      <c r="AW364" s="38">
        <f>IF(AO364="","",IF(AR364="Yes","❌ Disc",IF(AQ364="No","⚠ Missing",IF(AT364="Yes","✓ OK","⚠ Check"))))</f>
        <v/>
      </c>
    </row>
    <row r="365" ht="18" customHeight="1" s="46">
      <c r="A365" s="23" t="n">
        <v>361</v>
      </c>
      <c r="B365" s="24" t="inlineStr">
        <is>
          <t>HWLSBAH 224 SF</t>
        </is>
      </c>
      <c r="C365" s="25" t="inlineStr">
        <is>
          <t>Aluminium Handle-B (Special Finish) BAH-224-SF</t>
        </is>
      </c>
      <c r="D365" s="23" t="inlineStr">
        <is>
          <t>Ebco</t>
        </is>
      </c>
      <c r="E365" s="43" t="n">
        <v>46125</v>
      </c>
      <c r="F365" s="26" t="inlineStr">
        <is>
          <t>Sunil CR</t>
        </is>
      </c>
      <c r="G365" s="44" t="inlineStr">
        <is>
          <t>No</t>
        </is>
      </c>
      <c r="H365" s="26" t="inlineStr">
        <is>
          <t>No</t>
        </is>
      </c>
      <c r="I365" s="44" t="inlineStr">
        <is>
          <t>Not Available</t>
        </is>
      </c>
      <c r="J365" s="26" t="inlineStr">
        <is>
          <t>No</t>
        </is>
      </c>
      <c r="K365" s="27" t="n"/>
      <c r="L365" s="28" t="inlineStr">
        <is>
          <t>Yes</t>
        </is>
      </c>
      <c r="M365" s="29">
        <f>IF(E365="","",IF(H365="Yes","❌ Disc",IF(G365="No","⚠ Missing",IF(J365="Yes","✓ OK","⚠ Check"))))</f>
        <v/>
      </c>
      <c r="N365" s="43" t="n">
        <v>46196</v>
      </c>
      <c r="O365" s="26" t="inlineStr">
        <is>
          <t>Sunil CR</t>
        </is>
      </c>
      <c r="P365" s="44" t="inlineStr">
        <is>
          <t>No</t>
        </is>
      </c>
      <c r="Q365" s="26" t="inlineStr">
        <is>
          <t>No</t>
        </is>
      </c>
      <c r="R365" s="44" t="inlineStr">
        <is>
          <t>Not Available</t>
        </is>
      </c>
      <c r="S365" s="26" t="inlineStr">
        <is>
          <t>No</t>
        </is>
      </c>
      <c r="T365" s="27" t="n"/>
      <c r="U365" s="28" t="inlineStr">
        <is>
          <t>Yes</t>
        </is>
      </c>
      <c r="V365" s="29">
        <f>IF(N365="","",IF(Q365="Yes","❌ Disc",IF(P365="No","⚠ Missing",IF(S365="Yes","✓ OK","⚠ Check"))))</f>
        <v/>
      </c>
      <c r="W365" s="65" t="n">
        <v>46248</v>
      </c>
      <c r="X365" s="30" t="inlineStr">
        <is>
          <t>Sunil CR</t>
        </is>
      </c>
      <c r="Y365" s="30" t="inlineStr">
        <is>
          <t>No</t>
        </is>
      </c>
      <c r="Z365" s="30" t="n"/>
      <c r="AA365" s="30" t="inlineStr">
        <is>
          <t>Not Available</t>
        </is>
      </c>
      <c r="AB365" s="30" t="inlineStr">
        <is>
          <t>No</t>
        </is>
      </c>
      <c r="AC365" s="27" t="n"/>
      <c r="AD365" s="31" t="inlineStr">
        <is>
          <t>Yes</t>
        </is>
      </c>
      <c r="AE365" s="32">
        <f>IF(W365="","",IF(Z365="Yes","❌ Disc",IF(Y365="No","⚠ Missing",IF(AB365="Yes","✓ OK","⚠ Check"))))</f>
        <v/>
      </c>
      <c r="AF365" s="33" t="n"/>
      <c r="AG365" s="33" t="n"/>
      <c r="AH365" s="33" t="n"/>
      <c r="AI365" s="33" t="n"/>
      <c r="AJ365" s="33" t="n"/>
      <c r="AK365" s="33" t="n"/>
      <c r="AL365" s="27" t="n"/>
      <c r="AM365" s="34" t="n"/>
      <c r="AN365" s="35">
        <f>IF(AF365="","",IF(AI365="Yes","❌ Disc",IF(AH365="No","⚠ Missing",IF(AK365="Yes","✓ OK","⚠ Check"))))</f>
        <v/>
      </c>
      <c r="AO365" s="36" t="n"/>
      <c r="AP365" s="36" t="n"/>
      <c r="AQ365" s="36" t="n"/>
      <c r="AR365" s="36" t="n"/>
      <c r="AS365" s="36" t="n"/>
      <c r="AT365" s="36" t="n"/>
      <c r="AU365" s="27" t="n"/>
      <c r="AV365" s="37" t="n"/>
      <c r="AW365" s="38">
        <f>IF(AO365="","",IF(AR365="Yes","❌ Disc",IF(AQ365="No","⚠ Missing",IF(AT365="Yes","✓ OK","⚠ Check"))))</f>
        <v/>
      </c>
    </row>
    <row r="366" ht="18" customHeight="1" s="46">
      <c r="A366" s="39" t="n">
        <v>362</v>
      </c>
      <c r="B366" s="40" t="inlineStr">
        <is>
          <t>HWLSKNB-32-SF</t>
        </is>
      </c>
      <c r="C366" s="41" t="inlineStr">
        <is>
          <t>Aluminium Knob  - KNB-32-SF (New)</t>
        </is>
      </c>
      <c r="D366" s="39" t="inlineStr">
        <is>
          <t>Ebco</t>
        </is>
      </c>
      <c r="E366" s="43" t="n">
        <v>46125</v>
      </c>
      <c r="F366" s="26" t="inlineStr">
        <is>
          <t>Sunil CR</t>
        </is>
      </c>
      <c r="G366" s="44" t="inlineStr">
        <is>
          <t>No</t>
        </is>
      </c>
      <c r="H366" s="26" t="inlineStr">
        <is>
          <t>No</t>
        </is>
      </c>
      <c r="I366" s="44" t="inlineStr">
        <is>
          <t>Not Available</t>
        </is>
      </c>
      <c r="J366" s="26" t="inlineStr">
        <is>
          <t>No</t>
        </is>
      </c>
      <c r="K366" s="27" t="n"/>
      <c r="L366" s="28" t="inlineStr">
        <is>
          <t>Yes</t>
        </is>
      </c>
      <c r="M366" s="29">
        <f>IF(E366="","",IF(H366="Yes","❌ Disc",IF(G366="No","⚠ Missing",IF(J366="Yes","✓ OK","⚠ Check"))))</f>
        <v/>
      </c>
      <c r="N366" s="43" t="n">
        <v>46196</v>
      </c>
      <c r="O366" s="26" t="inlineStr">
        <is>
          <t>Sunil CR</t>
        </is>
      </c>
      <c r="P366" s="44" t="inlineStr">
        <is>
          <t>No</t>
        </is>
      </c>
      <c r="Q366" s="26" t="inlineStr">
        <is>
          <t>No</t>
        </is>
      </c>
      <c r="R366" s="44" t="inlineStr">
        <is>
          <t>Not Available</t>
        </is>
      </c>
      <c r="S366" s="26" t="inlineStr">
        <is>
          <t>No</t>
        </is>
      </c>
      <c r="T366" s="27" t="n"/>
      <c r="U366" s="28" t="inlineStr">
        <is>
          <t>Yes</t>
        </is>
      </c>
      <c r="V366" s="29">
        <f>IF(N366="","",IF(Q366="Yes","❌ Disc",IF(P366="No","⚠ Missing",IF(S366="Yes","✓ OK","⚠ Check"))))</f>
        <v/>
      </c>
      <c r="W366" s="65" t="n">
        <v>46248</v>
      </c>
      <c r="X366" s="30" t="inlineStr">
        <is>
          <t>Sunil CR</t>
        </is>
      </c>
      <c r="Y366" s="30" t="inlineStr">
        <is>
          <t>No</t>
        </is>
      </c>
      <c r="Z366" s="30" t="n"/>
      <c r="AA366" s="30" t="inlineStr">
        <is>
          <t>Not Available</t>
        </is>
      </c>
      <c r="AB366" s="30" t="inlineStr">
        <is>
          <t>No</t>
        </is>
      </c>
      <c r="AC366" s="27" t="n"/>
      <c r="AD366" s="31" t="inlineStr">
        <is>
          <t>Yes</t>
        </is>
      </c>
      <c r="AE366" s="32">
        <f>IF(W366="","",IF(Z366="Yes","❌ Disc",IF(Y366="No","⚠ Missing",IF(AB366="Yes","✓ OK","⚠ Check"))))</f>
        <v/>
      </c>
      <c r="AF366" s="33" t="n"/>
      <c r="AG366" s="33" t="n"/>
      <c r="AH366" s="33" t="n"/>
      <c r="AI366" s="33" t="n"/>
      <c r="AJ366" s="33" t="n"/>
      <c r="AK366" s="33" t="n"/>
      <c r="AL366" s="27" t="n"/>
      <c r="AM366" s="34" t="n"/>
      <c r="AN366" s="35">
        <f>IF(AF366="","",IF(AI366="Yes","❌ Disc",IF(AH366="No","⚠ Missing",IF(AK366="Yes","✓ OK","⚠ Check"))))</f>
        <v/>
      </c>
      <c r="AO366" s="36" t="n"/>
      <c r="AP366" s="36" t="n"/>
      <c r="AQ366" s="36" t="n"/>
      <c r="AR366" s="36" t="n"/>
      <c r="AS366" s="36" t="n"/>
      <c r="AT366" s="36" t="n"/>
      <c r="AU366" s="27" t="n"/>
      <c r="AV366" s="37" t="n"/>
      <c r="AW366" s="38">
        <f>IF(AO366="","",IF(AR366="Yes","❌ Disc",IF(AQ366="No","⚠ Missing",IF(AT366="Yes","✓ OK","⚠ Check"))))</f>
        <v/>
      </c>
    </row>
    <row r="367" ht="18" customHeight="1" s="46">
      <c r="A367" s="23" t="n">
        <v>363</v>
      </c>
      <c r="B367" s="24" t="inlineStr">
        <is>
          <t>HWLSBZK BL</t>
        </is>
      </c>
      <c r="C367" s="25" t="inlineStr">
        <is>
          <t>BZK-BL</t>
        </is>
      </c>
      <c r="D367" s="23" t="inlineStr">
        <is>
          <t>Ebco</t>
        </is>
      </c>
      <c r="E367" s="43" t="n">
        <v>46125</v>
      </c>
      <c r="F367" s="26" t="inlineStr">
        <is>
          <t>Sunil CR</t>
        </is>
      </c>
      <c r="G367" s="44" t="inlineStr">
        <is>
          <t>No</t>
        </is>
      </c>
      <c r="H367" s="26" t="inlineStr">
        <is>
          <t>No</t>
        </is>
      </c>
      <c r="I367" s="44" t="inlineStr">
        <is>
          <t>Not Available</t>
        </is>
      </c>
      <c r="J367" s="26" t="inlineStr">
        <is>
          <t>No</t>
        </is>
      </c>
      <c r="K367" s="27" t="n"/>
      <c r="L367" s="28" t="inlineStr">
        <is>
          <t>Yes</t>
        </is>
      </c>
      <c r="M367" s="29">
        <f>IF(E367="","",IF(H367="Yes","❌ Disc",IF(G367="No","⚠ Missing",IF(J367="Yes","✓ OK","⚠ Check"))))</f>
        <v/>
      </c>
      <c r="N367" s="43" t="n">
        <v>46196</v>
      </c>
      <c r="O367" s="26" t="inlineStr">
        <is>
          <t>Sunil CR</t>
        </is>
      </c>
      <c r="P367" s="44" t="inlineStr">
        <is>
          <t>No</t>
        </is>
      </c>
      <c r="Q367" s="26" t="inlineStr">
        <is>
          <t>No</t>
        </is>
      </c>
      <c r="R367" s="44" t="inlineStr">
        <is>
          <t>Not Available</t>
        </is>
      </c>
      <c r="S367" s="26" t="inlineStr">
        <is>
          <t>No</t>
        </is>
      </c>
      <c r="T367" s="27" t="n"/>
      <c r="U367" s="28" t="inlineStr">
        <is>
          <t>Yes</t>
        </is>
      </c>
      <c r="V367" s="29">
        <f>IF(N367="","",IF(Q367="Yes","❌ Disc",IF(P367="No","⚠ Missing",IF(S367="Yes","✓ OK","⚠ Check"))))</f>
        <v/>
      </c>
      <c r="W367" s="65" t="n">
        <v>46248</v>
      </c>
      <c r="X367" s="30" t="inlineStr">
        <is>
          <t>Sunil CR</t>
        </is>
      </c>
      <c r="Y367" s="30" t="inlineStr">
        <is>
          <t>No</t>
        </is>
      </c>
      <c r="Z367" s="30" t="n"/>
      <c r="AA367" s="30" t="inlineStr">
        <is>
          <t>Not Available</t>
        </is>
      </c>
      <c r="AB367" s="30" t="inlineStr">
        <is>
          <t>No</t>
        </is>
      </c>
      <c r="AC367" s="27" t="n"/>
      <c r="AD367" s="31" t="inlineStr">
        <is>
          <t>Yes</t>
        </is>
      </c>
      <c r="AE367" s="32">
        <f>IF(W367="","",IF(Z367="Yes","❌ Disc",IF(Y367="No","⚠ Missing",IF(AB367="Yes","✓ OK","⚠ Check"))))</f>
        <v/>
      </c>
      <c r="AF367" s="33" t="n"/>
      <c r="AG367" s="33" t="n"/>
      <c r="AH367" s="33" t="n"/>
      <c r="AI367" s="33" t="n"/>
      <c r="AJ367" s="33" t="n"/>
      <c r="AK367" s="33" t="n"/>
      <c r="AL367" s="27" t="n"/>
      <c r="AM367" s="34" t="n"/>
      <c r="AN367" s="35">
        <f>IF(AF367="","",IF(AI367="Yes","❌ Disc",IF(AH367="No","⚠ Missing",IF(AK367="Yes","✓ OK","⚠ Check"))))</f>
        <v/>
      </c>
      <c r="AO367" s="36" t="n"/>
      <c r="AP367" s="36" t="n"/>
      <c r="AQ367" s="36" t="n"/>
      <c r="AR367" s="36" t="n"/>
      <c r="AS367" s="36" t="n"/>
      <c r="AT367" s="36" t="n"/>
      <c r="AU367" s="27" t="n"/>
      <c r="AV367" s="37" t="n"/>
      <c r="AW367" s="38">
        <f>IF(AO367="","",IF(AR367="Yes","❌ Disc",IF(AQ367="No","⚠ Missing",IF(AT367="Yes","✓ OK","⚠ Check"))))</f>
        <v/>
      </c>
    </row>
    <row r="368" ht="18" customHeight="1" s="46">
      <c r="A368" s="39" t="n">
        <v>364</v>
      </c>
      <c r="B368" s="40" t="inlineStr">
        <is>
          <t>HWLSCZK1 CP</t>
        </is>
      </c>
      <c r="C368" s="41" t="inlineStr">
        <is>
          <t>CZK1-CP</t>
        </is>
      </c>
      <c r="D368" s="39" t="inlineStr">
        <is>
          <t>Ebco</t>
        </is>
      </c>
      <c r="E368" s="43" t="n">
        <v>46125</v>
      </c>
      <c r="F368" s="26" t="inlineStr">
        <is>
          <t>Sunil CR</t>
        </is>
      </c>
      <c r="G368" s="44" t="inlineStr">
        <is>
          <t>No</t>
        </is>
      </c>
      <c r="H368" s="26" t="inlineStr">
        <is>
          <t>No</t>
        </is>
      </c>
      <c r="I368" s="44" t="inlineStr">
        <is>
          <t>Not Available</t>
        </is>
      </c>
      <c r="J368" s="26" t="inlineStr">
        <is>
          <t>No</t>
        </is>
      </c>
      <c r="K368" s="27" t="n"/>
      <c r="L368" s="28" t="inlineStr">
        <is>
          <t>Yes</t>
        </is>
      </c>
      <c r="M368" s="29">
        <f>IF(E368="","",IF(H368="Yes","❌ Disc",IF(G368="No","⚠ Missing",IF(J368="Yes","✓ OK","⚠ Check"))))</f>
        <v/>
      </c>
      <c r="N368" s="43" t="n">
        <v>46196</v>
      </c>
      <c r="O368" s="26" t="inlineStr">
        <is>
          <t>Sunil CR</t>
        </is>
      </c>
      <c r="P368" s="44" t="inlineStr">
        <is>
          <t>No</t>
        </is>
      </c>
      <c r="Q368" s="26" t="inlineStr">
        <is>
          <t>No</t>
        </is>
      </c>
      <c r="R368" s="44" t="inlineStr">
        <is>
          <t>Not Available</t>
        </is>
      </c>
      <c r="S368" s="26" t="inlineStr">
        <is>
          <t>No</t>
        </is>
      </c>
      <c r="T368" s="27" t="n"/>
      <c r="U368" s="28" t="inlineStr">
        <is>
          <t>Yes</t>
        </is>
      </c>
      <c r="V368" s="29">
        <f>IF(N368="","",IF(Q368="Yes","❌ Disc",IF(P368="No","⚠ Missing",IF(S368="Yes","✓ OK","⚠ Check"))))</f>
        <v/>
      </c>
      <c r="W368" s="65" t="n">
        <v>46248</v>
      </c>
      <c r="X368" s="30" t="inlineStr">
        <is>
          <t>Sunil CR</t>
        </is>
      </c>
      <c r="Y368" s="30" t="inlineStr">
        <is>
          <t>No</t>
        </is>
      </c>
      <c r="Z368" s="30" t="n"/>
      <c r="AA368" s="30" t="inlineStr">
        <is>
          <t>Not Available</t>
        </is>
      </c>
      <c r="AB368" s="30" t="inlineStr">
        <is>
          <t>No</t>
        </is>
      </c>
      <c r="AC368" s="27" t="n"/>
      <c r="AD368" s="31" t="inlineStr">
        <is>
          <t>Yes</t>
        </is>
      </c>
      <c r="AE368" s="32">
        <f>IF(W368="","",IF(Z368="Yes","❌ Disc",IF(Y368="No","⚠ Missing",IF(AB368="Yes","✓ OK","⚠ Check"))))</f>
        <v/>
      </c>
      <c r="AF368" s="33" t="n"/>
      <c r="AG368" s="33" t="n"/>
      <c r="AH368" s="33" t="n"/>
      <c r="AI368" s="33" t="n"/>
      <c r="AJ368" s="33" t="n"/>
      <c r="AK368" s="33" t="n"/>
      <c r="AL368" s="27" t="n"/>
      <c r="AM368" s="34" t="n"/>
      <c r="AN368" s="35">
        <f>IF(AF368="","",IF(AI368="Yes","❌ Disc",IF(AH368="No","⚠ Missing",IF(AK368="Yes","✓ OK","⚠ Check"))))</f>
        <v/>
      </c>
      <c r="AO368" s="36" t="n"/>
      <c r="AP368" s="36" t="n"/>
      <c r="AQ368" s="36" t="n"/>
      <c r="AR368" s="36" t="n"/>
      <c r="AS368" s="36" t="n"/>
      <c r="AT368" s="36" t="n"/>
      <c r="AU368" s="27" t="n"/>
      <c r="AV368" s="37" t="n"/>
      <c r="AW368" s="38">
        <f>IF(AO368="","",IF(AR368="Yes","❌ Disc",IF(AQ368="No","⚠ Missing",IF(AT368="Yes","✓ OK","⚠ Check"))))</f>
        <v/>
      </c>
    </row>
    <row r="369" ht="18" customHeight="1" s="46">
      <c r="A369" s="23" t="n">
        <v>365</v>
      </c>
      <c r="B369" s="24" t="inlineStr">
        <is>
          <t>BD-HNA-2024-0030</t>
        </is>
      </c>
      <c r="C369" s="25" t="inlineStr">
        <is>
          <t>EB Aluminum Profile Shutter handle SH1-1935-3M-BG (Brushed Gold)</t>
        </is>
      </c>
      <c r="D369" s="23" t="inlineStr">
        <is>
          <t>Ebco</t>
        </is>
      </c>
      <c r="E369" s="43" t="n">
        <v>46125</v>
      </c>
      <c r="F369" s="26" t="inlineStr">
        <is>
          <t>Sunil CR</t>
        </is>
      </c>
      <c r="G369" s="44" t="inlineStr">
        <is>
          <t>No</t>
        </is>
      </c>
      <c r="H369" s="26" t="inlineStr">
        <is>
          <t>No</t>
        </is>
      </c>
      <c r="I369" s="44" t="inlineStr">
        <is>
          <t>Not Available</t>
        </is>
      </c>
      <c r="J369" s="26" t="inlineStr">
        <is>
          <t>No</t>
        </is>
      </c>
      <c r="K369" s="27" t="n"/>
      <c r="L369" s="28" t="inlineStr">
        <is>
          <t>Yes</t>
        </is>
      </c>
      <c r="M369" s="29">
        <f>IF(E369="","",IF(H369="Yes","❌ Disc",IF(G369="No","⚠ Missing",IF(J369="Yes","✓ OK","⚠ Check"))))</f>
        <v/>
      </c>
      <c r="N369" s="43" t="n">
        <v>46196</v>
      </c>
      <c r="O369" s="26" t="inlineStr">
        <is>
          <t>Sunil CR</t>
        </is>
      </c>
      <c r="P369" s="44" t="inlineStr">
        <is>
          <t>No</t>
        </is>
      </c>
      <c r="Q369" s="26" t="inlineStr">
        <is>
          <t>No</t>
        </is>
      </c>
      <c r="R369" s="44" t="inlineStr">
        <is>
          <t>Not Available</t>
        </is>
      </c>
      <c r="S369" s="26" t="inlineStr">
        <is>
          <t>No</t>
        </is>
      </c>
      <c r="T369" s="27" t="n"/>
      <c r="U369" s="28" t="inlineStr">
        <is>
          <t>Yes</t>
        </is>
      </c>
      <c r="V369" s="29">
        <f>IF(N369="","",IF(Q369="Yes","❌ Disc",IF(P369="No","⚠ Missing",IF(S369="Yes","✓ OK","⚠ Check"))))</f>
        <v/>
      </c>
      <c r="W369" s="65" t="n">
        <v>46248</v>
      </c>
      <c r="X369" s="30" t="inlineStr">
        <is>
          <t>Sunil CR</t>
        </is>
      </c>
      <c r="Y369" s="30" t="inlineStr">
        <is>
          <t>No</t>
        </is>
      </c>
      <c r="Z369" s="30" t="n"/>
      <c r="AA369" s="30" t="inlineStr">
        <is>
          <t>Not Available</t>
        </is>
      </c>
      <c r="AB369" s="30" t="inlineStr">
        <is>
          <t>No</t>
        </is>
      </c>
      <c r="AC369" s="27" t="n"/>
      <c r="AD369" s="31" t="inlineStr">
        <is>
          <t>Yes</t>
        </is>
      </c>
      <c r="AE369" s="32">
        <f>IF(W369="","",IF(Z369="Yes","❌ Disc",IF(Y369="No","⚠ Missing",IF(AB369="Yes","✓ OK","⚠ Check"))))</f>
        <v/>
      </c>
      <c r="AF369" s="33" t="n"/>
      <c r="AG369" s="33" t="n"/>
      <c r="AH369" s="33" t="n"/>
      <c r="AI369" s="33" t="n"/>
      <c r="AJ369" s="33" t="n"/>
      <c r="AK369" s="33" t="n"/>
      <c r="AL369" s="27" t="n"/>
      <c r="AM369" s="34" t="n"/>
      <c r="AN369" s="35">
        <f>IF(AF369="","",IF(AI369="Yes","❌ Disc",IF(AH369="No","⚠ Missing",IF(AK369="Yes","✓ OK","⚠ Check"))))</f>
        <v/>
      </c>
      <c r="AO369" s="36" t="n"/>
      <c r="AP369" s="36" t="n"/>
      <c r="AQ369" s="36" t="n"/>
      <c r="AR369" s="36" t="n"/>
      <c r="AS369" s="36" t="n"/>
      <c r="AT369" s="36" t="n"/>
      <c r="AU369" s="27" t="n"/>
      <c r="AV369" s="37" t="n"/>
      <c r="AW369" s="38">
        <f>IF(AO369="","",IF(AR369="Yes","❌ Disc",IF(AQ369="No","⚠ Missing",IF(AT369="Yes","✓ OK","⚠ Check"))))</f>
        <v/>
      </c>
    </row>
    <row r="370" ht="18" customHeight="1" s="46">
      <c r="A370" s="39" t="n">
        <v>366</v>
      </c>
      <c r="B370" s="40" t="inlineStr">
        <is>
          <t>HWLSCHH 32 CP</t>
        </is>
      </c>
      <c r="C370" s="41" t="inlineStr">
        <is>
          <t>Ebco (Livsmart) - Concealed Hook Handle -CHH-32</t>
        </is>
      </c>
      <c r="D370" s="39" t="inlineStr">
        <is>
          <t>Ebco</t>
        </is>
      </c>
      <c r="E370" s="43" t="n">
        <v>46125</v>
      </c>
      <c r="F370" s="26" t="inlineStr">
        <is>
          <t>Sunil CR</t>
        </is>
      </c>
      <c r="G370" s="44" t="inlineStr">
        <is>
          <t>No</t>
        </is>
      </c>
      <c r="H370" s="26" t="inlineStr">
        <is>
          <t>No</t>
        </is>
      </c>
      <c r="I370" s="44" t="inlineStr">
        <is>
          <t>Not Available</t>
        </is>
      </c>
      <c r="J370" s="26" t="inlineStr">
        <is>
          <t>No</t>
        </is>
      </c>
      <c r="K370" s="27" t="n"/>
      <c r="L370" s="28" t="inlineStr">
        <is>
          <t>Yes</t>
        </is>
      </c>
      <c r="M370" s="29">
        <f>IF(E370="","",IF(H370="Yes","❌ Disc",IF(G370="No","⚠ Missing",IF(J370="Yes","✓ OK","⚠ Check"))))</f>
        <v/>
      </c>
      <c r="N370" s="43" t="n">
        <v>46196</v>
      </c>
      <c r="O370" s="26" t="inlineStr">
        <is>
          <t>Sunil CR</t>
        </is>
      </c>
      <c r="P370" s="44" t="inlineStr">
        <is>
          <t>No</t>
        </is>
      </c>
      <c r="Q370" s="26" t="inlineStr">
        <is>
          <t>No</t>
        </is>
      </c>
      <c r="R370" s="44" t="inlineStr">
        <is>
          <t>Not Available</t>
        </is>
      </c>
      <c r="S370" s="26" t="inlineStr">
        <is>
          <t>No</t>
        </is>
      </c>
      <c r="T370" s="27" t="n"/>
      <c r="U370" s="28" t="inlineStr">
        <is>
          <t>Yes</t>
        </is>
      </c>
      <c r="V370" s="29">
        <f>IF(N370="","",IF(Q370="Yes","❌ Disc",IF(P370="No","⚠ Missing",IF(S370="Yes","✓ OK","⚠ Check"))))</f>
        <v/>
      </c>
      <c r="W370" s="65" t="n">
        <v>46248</v>
      </c>
      <c r="X370" s="30" t="inlineStr">
        <is>
          <t>Sunil CR</t>
        </is>
      </c>
      <c r="Y370" s="30" t="inlineStr">
        <is>
          <t>No</t>
        </is>
      </c>
      <c r="Z370" s="30" t="n"/>
      <c r="AA370" s="30" t="inlineStr">
        <is>
          <t>Not Available</t>
        </is>
      </c>
      <c r="AB370" s="30" t="inlineStr">
        <is>
          <t>No</t>
        </is>
      </c>
      <c r="AC370" s="27" t="n"/>
      <c r="AD370" s="31" t="inlineStr">
        <is>
          <t>Yes</t>
        </is>
      </c>
      <c r="AE370" s="32">
        <f>IF(W370="","",IF(Z370="Yes","❌ Disc",IF(Y370="No","⚠ Missing",IF(AB370="Yes","✓ OK","⚠ Check"))))</f>
        <v/>
      </c>
      <c r="AF370" s="33" t="n"/>
      <c r="AG370" s="33" t="n"/>
      <c r="AH370" s="33" t="n"/>
      <c r="AI370" s="33" t="n"/>
      <c r="AJ370" s="33" t="n"/>
      <c r="AK370" s="33" t="n"/>
      <c r="AL370" s="27" t="n"/>
      <c r="AM370" s="34" t="n"/>
      <c r="AN370" s="35">
        <f>IF(AF370="","",IF(AI370="Yes","❌ Disc",IF(AH370="No","⚠ Missing",IF(AK370="Yes","✓ OK","⚠ Check"))))</f>
        <v/>
      </c>
      <c r="AO370" s="36" t="n"/>
      <c r="AP370" s="36" t="n"/>
      <c r="AQ370" s="36" t="n"/>
      <c r="AR370" s="36" t="n"/>
      <c r="AS370" s="36" t="n"/>
      <c r="AT370" s="36" t="n"/>
      <c r="AU370" s="27" t="n"/>
      <c r="AV370" s="37" t="n"/>
      <c r="AW370" s="38">
        <f>IF(AO370="","",IF(AR370="Yes","❌ Disc",IF(AQ370="No","⚠ Missing",IF(AT370="Yes","✓ OK","⚠ Check"))))</f>
        <v/>
      </c>
    </row>
    <row r="371" ht="18" customHeight="1" s="46">
      <c r="A371" s="23" t="n">
        <v>367</v>
      </c>
      <c r="B371" s="24" t="inlineStr">
        <is>
          <t>HWLSAZK BL</t>
        </is>
      </c>
      <c r="C371" s="25" t="inlineStr">
        <is>
          <t>Ebco (Livsmart) - Zinc Handle -AZK-BL</t>
        </is>
      </c>
      <c r="D371" s="23" t="inlineStr">
        <is>
          <t>Ebco</t>
        </is>
      </c>
      <c r="E371" s="43" t="n">
        <v>46125</v>
      </c>
      <c r="F371" s="26" t="inlineStr">
        <is>
          <t>Sunil CR</t>
        </is>
      </c>
      <c r="G371" s="44" t="inlineStr">
        <is>
          <t>No</t>
        </is>
      </c>
      <c r="H371" s="26" t="inlineStr">
        <is>
          <t>No</t>
        </is>
      </c>
      <c r="I371" s="44" t="inlineStr">
        <is>
          <t>Not Available</t>
        </is>
      </c>
      <c r="J371" s="26" t="inlineStr">
        <is>
          <t>No</t>
        </is>
      </c>
      <c r="K371" s="27" t="n"/>
      <c r="L371" s="28" t="inlineStr">
        <is>
          <t>Yes</t>
        </is>
      </c>
      <c r="M371" s="29">
        <f>IF(E371="","",IF(H371="Yes","❌ Disc",IF(G371="No","⚠ Missing",IF(J371="Yes","✓ OK","⚠ Check"))))</f>
        <v/>
      </c>
      <c r="N371" s="43" t="n">
        <v>46196</v>
      </c>
      <c r="O371" s="26" t="inlineStr">
        <is>
          <t>Sunil CR</t>
        </is>
      </c>
      <c r="P371" s="44" t="inlineStr">
        <is>
          <t>No</t>
        </is>
      </c>
      <c r="Q371" s="26" t="inlineStr">
        <is>
          <t>No</t>
        </is>
      </c>
      <c r="R371" s="44" t="inlineStr">
        <is>
          <t>Not Available</t>
        </is>
      </c>
      <c r="S371" s="26" t="inlineStr">
        <is>
          <t>No</t>
        </is>
      </c>
      <c r="T371" s="27" t="n"/>
      <c r="U371" s="28" t="inlineStr">
        <is>
          <t>Yes</t>
        </is>
      </c>
      <c r="V371" s="29">
        <f>IF(N371="","",IF(Q371="Yes","❌ Disc",IF(P371="No","⚠ Missing",IF(S371="Yes","✓ OK","⚠ Check"))))</f>
        <v/>
      </c>
      <c r="W371" s="65" t="n">
        <v>46248</v>
      </c>
      <c r="X371" s="30" t="inlineStr">
        <is>
          <t>Sunil CR</t>
        </is>
      </c>
      <c r="Y371" s="30" t="inlineStr">
        <is>
          <t>No</t>
        </is>
      </c>
      <c r="Z371" s="30" t="n"/>
      <c r="AA371" s="30" t="inlineStr">
        <is>
          <t>Not Available</t>
        </is>
      </c>
      <c r="AB371" s="30" t="inlineStr">
        <is>
          <t>No</t>
        </is>
      </c>
      <c r="AC371" s="27" t="n"/>
      <c r="AD371" s="31" t="inlineStr">
        <is>
          <t>Yes</t>
        </is>
      </c>
      <c r="AE371" s="32">
        <f>IF(W371="","",IF(Z371="Yes","❌ Disc",IF(Y371="No","⚠ Missing",IF(AB371="Yes","✓ OK","⚠ Check"))))</f>
        <v/>
      </c>
      <c r="AF371" s="33" t="n"/>
      <c r="AG371" s="33" t="n"/>
      <c r="AH371" s="33" t="n"/>
      <c r="AI371" s="33" t="n"/>
      <c r="AJ371" s="33" t="n"/>
      <c r="AK371" s="33" t="n"/>
      <c r="AL371" s="27" t="n"/>
      <c r="AM371" s="34" t="n"/>
      <c r="AN371" s="35">
        <f>IF(AF371="","",IF(AI371="Yes","❌ Disc",IF(AH371="No","⚠ Missing",IF(AK371="Yes","✓ OK","⚠ Check"))))</f>
        <v/>
      </c>
      <c r="AO371" s="36" t="n"/>
      <c r="AP371" s="36" t="n"/>
      <c r="AQ371" s="36" t="n"/>
      <c r="AR371" s="36" t="n"/>
      <c r="AS371" s="36" t="n"/>
      <c r="AT371" s="36" t="n"/>
      <c r="AU371" s="27" t="n"/>
      <c r="AV371" s="37" t="n"/>
      <c r="AW371" s="38">
        <f>IF(AO371="","",IF(AR371="Yes","❌ Disc",IF(AQ371="No","⚠ Missing",IF(AT371="Yes","✓ OK","⚠ Check"))))</f>
        <v/>
      </c>
    </row>
    <row r="372" ht="18" customHeight="1" s="46">
      <c r="A372" s="39" t="n">
        <v>368</v>
      </c>
      <c r="B372" s="40" t="inlineStr">
        <is>
          <t>HWLSMZH 96 AT</t>
        </is>
      </c>
      <c r="C372" s="41" t="inlineStr">
        <is>
          <t>Ebco (Livsmart) - Zinc Handle -MZH-96-AT</t>
        </is>
      </c>
      <c r="D372" s="39" t="inlineStr">
        <is>
          <t>Ebco</t>
        </is>
      </c>
      <c r="E372" s="43" t="n">
        <v>46125</v>
      </c>
      <c r="F372" s="26" t="inlineStr">
        <is>
          <t>Sunil CR</t>
        </is>
      </c>
      <c r="G372" s="44" t="inlineStr">
        <is>
          <t>No</t>
        </is>
      </c>
      <c r="H372" s="26" t="inlineStr">
        <is>
          <t>No</t>
        </is>
      </c>
      <c r="I372" s="44" t="inlineStr">
        <is>
          <t>Not Available</t>
        </is>
      </c>
      <c r="J372" s="26" t="inlineStr">
        <is>
          <t>No</t>
        </is>
      </c>
      <c r="K372" s="27" t="n"/>
      <c r="L372" s="28" t="inlineStr">
        <is>
          <t>Yes</t>
        </is>
      </c>
      <c r="M372" s="29">
        <f>IF(E372="","",IF(H372="Yes","❌ Disc",IF(G372="No","⚠ Missing",IF(J372="Yes","✓ OK","⚠ Check"))))</f>
        <v/>
      </c>
      <c r="N372" s="43" t="n">
        <v>46196</v>
      </c>
      <c r="O372" s="26" t="inlineStr">
        <is>
          <t>Sunil CR</t>
        </is>
      </c>
      <c r="P372" s="44" t="inlineStr">
        <is>
          <t>No</t>
        </is>
      </c>
      <c r="Q372" s="26" t="inlineStr">
        <is>
          <t>No</t>
        </is>
      </c>
      <c r="R372" s="44" t="inlineStr">
        <is>
          <t>Not Available</t>
        </is>
      </c>
      <c r="S372" s="26" t="inlineStr">
        <is>
          <t>No</t>
        </is>
      </c>
      <c r="T372" s="27" t="n"/>
      <c r="U372" s="28" t="inlineStr">
        <is>
          <t>Yes</t>
        </is>
      </c>
      <c r="V372" s="29">
        <f>IF(N372="","",IF(Q372="Yes","❌ Disc",IF(P372="No","⚠ Missing",IF(S372="Yes","✓ OK","⚠ Check"))))</f>
        <v/>
      </c>
      <c r="W372" s="65" t="n">
        <v>46248</v>
      </c>
      <c r="X372" s="30" t="inlineStr">
        <is>
          <t>Sunil CR</t>
        </is>
      </c>
      <c r="Y372" s="30" t="inlineStr">
        <is>
          <t>No</t>
        </is>
      </c>
      <c r="Z372" s="30" t="n"/>
      <c r="AA372" s="30" t="inlineStr">
        <is>
          <t>Not Available</t>
        </is>
      </c>
      <c r="AB372" s="30" t="inlineStr">
        <is>
          <t>No</t>
        </is>
      </c>
      <c r="AC372" s="27" t="n"/>
      <c r="AD372" s="31" t="inlineStr">
        <is>
          <t>Yes</t>
        </is>
      </c>
      <c r="AE372" s="32">
        <f>IF(W372="","",IF(Z372="Yes","❌ Disc",IF(Y372="No","⚠ Missing",IF(AB372="Yes","✓ OK","⚠ Check"))))</f>
        <v/>
      </c>
      <c r="AF372" s="33" t="n"/>
      <c r="AG372" s="33" t="n"/>
      <c r="AH372" s="33" t="n"/>
      <c r="AI372" s="33" t="n"/>
      <c r="AJ372" s="33" t="n"/>
      <c r="AK372" s="33" t="n"/>
      <c r="AL372" s="27" t="n"/>
      <c r="AM372" s="34" t="n"/>
      <c r="AN372" s="35">
        <f>IF(AF372="","",IF(AI372="Yes","❌ Disc",IF(AH372="No","⚠ Missing",IF(AK372="Yes","✓ OK","⚠ Check"))))</f>
        <v/>
      </c>
      <c r="AO372" s="36" t="n"/>
      <c r="AP372" s="36" t="n"/>
      <c r="AQ372" s="36" t="n"/>
      <c r="AR372" s="36" t="n"/>
      <c r="AS372" s="36" t="n"/>
      <c r="AT372" s="36" t="n"/>
      <c r="AU372" s="27" t="n"/>
      <c r="AV372" s="37" t="n"/>
      <c r="AW372" s="38">
        <f>IF(AO372="","",IF(AR372="Yes","❌ Disc",IF(AQ372="No","⚠ Missing",IF(AT372="Yes","✓ OK","⚠ Check"))))</f>
        <v/>
      </c>
    </row>
    <row r="373" ht="18" customHeight="1" s="46">
      <c r="A373" s="23" t="n">
        <v>369</v>
      </c>
      <c r="B373" s="24" t="inlineStr">
        <is>
          <t>BD-HNA-2024-0024</t>
        </is>
      </c>
      <c r="C373" s="25" t="inlineStr">
        <is>
          <t>Ebco Aluminum Profile Shutter handle SH1-1935-3M-AB Black</t>
        </is>
      </c>
      <c r="D373" s="23" t="inlineStr">
        <is>
          <t>Ebco</t>
        </is>
      </c>
      <c r="E373" s="43" t="n">
        <v>46125</v>
      </c>
      <c r="F373" s="26" t="inlineStr">
        <is>
          <t>Sunil CR</t>
        </is>
      </c>
      <c r="G373" s="44" t="inlineStr">
        <is>
          <t>No</t>
        </is>
      </c>
      <c r="H373" s="26" t="inlineStr">
        <is>
          <t>No</t>
        </is>
      </c>
      <c r="I373" s="44" t="inlineStr">
        <is>
          <t>Not Available</t>
        </is>
      </c>
      <c r="J373" s="26" t="inlineStr">
        <is>
          <t>No</t>
        </is>
      </c>
      <c r="K373" s="27" t="n"/>
      <c r="L373" s="28" t="inlineStr">
        <is>
          <t>Yes</t>
        </is>
      </c>
      <c r="M373" s="29">
        <f>IF(E373="","",IF(H373="Yes","❌ Disc",IF(G373="No","⚠ Missing",IF(J373="Yes","✓ OK","⚠ Check"))))</f>
        <v/>
      </c>
      <c r="N373" s="43" t="n">
        <v>46196</v>
      </c>
      <c r="O373" s="26" t="inlineStr">
        <is>
          <t>Sunil CR</t>
        </is>
      </c>
      <c r="P373" s="44" t="inlineStr">
        <is>
          <t>No</t>
        </is>
      </c>
      <c r="Q373" s="26" t="inlineStr">
        <is>
          <t>No</t>
        </is>
      </c>
      <c r="R373" s="44" t="inlineStr">
        <is>
          <t>Not Available</t>
        </is>
      </c>
      <c r="S373" s="26" t="inlineStr">
        <is>
          <t>No</t>
        </is>
      </c>
      <c r="T373" s="27" t="n"/>
      <c r="U373" s="28" t="inlineStr">
        <is>
          <t>Yes</t>
        </is>
      </c>
      <c r="V373" s="29">
        <f>IF(N373="","",IF(Q373="Yes","❌ Disc",IF(P373="No","⚠ Missing",IF(S373="Yes","✓ OK","⚠ Check"))))</f>
        <v/>
      </c>
      <c r="W373" s="65" t="n">
        <v>46248</v>
      </c>
      <c r="X373" s="30" t="inlineStr">
        <is>
          <t>Sunil CR</t>
        </is>
      </c>
      <c r="Y373" s="30" t="inlineStr">
        <is>
          <t>No</t>
        </is>
      </c>
      <c r="Z373" s="30" t="n"/>
      <c r="AA373" s="30" t="inlineStr">
        <is>
          <t>Not Available</t>
        </is>
      </c>
      <c r="AB373" s="30" t="inlineStr">
        <is>
          <t>No</t>
        </is>
      </c>
      <c r="AC373" s="27" t="n"/>
      <c r="AD373" s="31" t="inlineStr">
        <is>
          <t>Yes</t>
        </is>
      </c>
      <c r="AE373" s="32">
        <f>IF(W373="","",IF(Z373="Yes","❌ Disc",IF(Y373="No","⚠ Missing",IF(AB373="Yes","✓ OK","⚠ Check"))))</f>
        <v/>
      </c>
      <c r="AF373" s="33" t="n"/>
      <c r="AG373" s="33" t="n"/>
      <c r="AH373" s="33" t="n"/>
      <c r="AI373" s="33" t="n"/>
      <c r="AJ373" s="33" t="n"/>
      <c r="AK373" s="33" t="n"/>
      <c r="AL373" s="27" t="n"/>
      <c r="AM373" s="34" t="n"/>
      <c r="AN373" s="35">
        <f>IF(AF373="","",IF(AI373="Yes","❌ Disc",IF(AH373="No","⚠ Missing",IF(AK373="Yes","✓ OK","⚠ Check"))))</f>
        <v/>
      </c>
      <c r="AO373" s="36" t="n"/>
      <c r="AP373" s="36" t="n"/>
      <c r="AQ373" s="36" t="n"/>
      <c r="AR373" s="36" t="n"/>
      <c r="AS373" s="36" t="n"/>
      <c r="AT373" s="36" t="n"/>
      <c r="AU373" s="27" t="n"/>
      <c r="AV373" s="37" t="n"/>
      <c r="AW373" s="38">
        <f>IF(AO373="","",IF(AR373="Yes","❌ Disc",IF(AQ373="No","⚠ Missing",IF(AT373="Yes","✓ OK","⚠ Check"))))</f>
        <v/>
      </c>
    </row>
    <row r="374" ht="18" customHeight="1" s="46">
      <c r="A374" s="39" t="n">
        <v>370</v>
      </c>
      <c r="B374" s="40" t="inlineStr">
        <is>
          <t>BD-HNA-2024-0026</t>
        </is>
      </c>
      <c r="C374" s="41" t="inlineStr">
        <is>
          <t>Ebco Aluminum Profile Shutter handle SH1-1935-3M-BA Brushed Aluminum</t>
        </is>
      </c>
      <c r="D374" s="39" t="inlineStr">
        <is>
          <t>Ebco</t>
        </is>
      </c>
      <c r="E374" s="43" t="n">
        <v>46125</v>
      </c>
      <c r="F374" s="26" t="inlineStr">
        <is>
          <t>Sunil CR</t>
        </is>
      </c>
      <c r="G374" s="44" t="inlineStr">
        <is>
          <t>No</t>
        </is>
      </c>
      <c r="H374" s="26" t="inlineStr">
        <is>
          <t>No</t>
        </is>
      </c>
      <c r="I374" s="44" t="inlineStr">
        <is>
          <t>Not Available</t>
        </is>
      </c>
      <c r="J374" s="26" t="inlineStr">
        <is>
          <t>No</t>
        </is>
      </c>
      <c r="K374" s="27" t="n"/>
      <c r="L374" s="28" t="inlineStr">
        <is>
          <t>Yes</t>
        </is>
      </c>
      <c r="M374" s="29">
        <f>IF(E374="","",IF(H374="Yes","❌ Disc",IF(G374="No","⚠ Missing",IF(J374="Yes","✓ OK","⚠ Check"))))</f>
        <v/>
      </c>
      <c r="N374" s="43" t="n">
        <v>46196</v>
      </c>
      <c r="O374" s="26" t="inlineStr">
        <is>
          <t>Sunil CR</t>
        </is>
      </c>
      <c r="P374" s="44" t="inlineStr">
        <is>
          <t>No</t>
        </is>
      </c>
      <c r="Q374" s="26" t="inlineStr">
        <is>
          <t>No</t>
        </is>
      </c>
      <c r="R374" s="44" t="inlineStr">
        <is>
          <t>Not Available</t>
        </is>
      </c>
      <c r="S374" s="26" t="inlineStr">
        <is>
          <t>No</t>
        </is>
      </c>
      <c r="T374" s="27" t="n"/>
      <c r="U374" s="28" t="inlineStr">
        <is>
          <t>Yes</t>
        </is>
      </c>
      <c r="V374" s="29">
        <f>IF(N374="","",IF(Q374="Yes","❌ Disc",IF(P374="No","⚠ Missing",IF(S374="Yes","✓ OK","⚠ Check"))))</f>
        <v/>
      </c>
      <c r="W374" s="65" t="n">
        <v>46248</v>
      </c>
      <c r="X374" s="30" t="inlineStr">
        <is>
          <t>Sunil CR</t>
        </is>
      </c>
      <c r="Y374" s="30" t="inlineStr">
        <is>
          <t>No</t>
        </is>
      </c>
      <c r="Z374" s="30" t="n"/>
      <c r="AA374" s="30" t="inlineStr">
        <is>
          <t>Not Available</t>
        </is>
      </c>
      <c r="AB374" s="30" t="inlineStr">
        <is>
          <t>No</t>
        </is>
      </c>
      <c r="AC374" s="27" t="n"/>
      <c r="AD374" s="31" t="inlineStr">
        <is>
          <t>Yes</t>
        </is>
      </c>
      <c r="AE374" s="32">
        <f>IF(W374="","",IF(Z374="Yes","❌ Disc",IF(Y374="No","⚠ Missing",IF(AB374="Yes","✓ OK","⚠ Check"))))</f>
        <v/>
      </c>
      <c r="AF374" s="33" t="n"/>
      <c r="AG374" s="33" t="n"/>
      <c r="AH374" s="33" t="n"/>
      <c r="AI374" s="33" t="n"/>
      <c r="AJ374" s="33" t="n"/>
      <c r="AK374" s="33" t="n"/>
      <c r="AL374" s="27" t="n"/>
      <c r="AM374" s="34" t="n"/>
      <c r="AN374" s="35">
        <f>IF(AF374="","",IF(AI374="Yes","❌ Disc",IF(AH374="No","⚠ Missing",IF(AK374="Yes","✓ OK","⚠ Check"))))</f>
        <v/>
      </c>
      <c r="AO374" s="36" t="n"/>
      <c r="AP374" s="36" t="n"/>
      <c r="AQ374" s="36" t="n"/>
      <c r="AR374" s="36" t="n"/>
      <c r="AS374" s="36" t="n"/>
      <c r="AT374" s="36" t="n"/>
      <c r="AU374" s="27" t="n"/>
      <c r="AV374" s="37" t="n"/>
      <c r="AW374" s="38">
        <f>IF(AO374="","",IF(AR374="Yes","❌ Disc",IF(AQ374="No","⚠ Missing",IF(AT374="Yes","✓ OK","⚠ Check"))))</f>
        <v/>
      </c>
    </row>
    <row r="375" ht="18" customHeight="1" s="46">
      <c r="A375" s="23" t="n">
        <v>371</v>
      </c>
      <c r="B375" s="24" t="inlineStr">
        <is>
          <t>BD-HNA-2024-0028</t>
        </is>
      </c>
      <c r="C375" s="25" t="inlineStr">
        <is>
          <t>Ebco Aluminum Profile Shutter handle SH1-1935-3M-CP Chrome</t>
        </is>
      </c>
      <c r="D375" s="23" t="inlineStr">
        <is>
          <t>Ebco</t>
        </is>
      </c>
      <c r="E375" s="43" t="n">
        <v>46125</v>
      </c>
      <c r="F375" s="26" t="inlineStr">
        <is>
          <t>Sunil CR</t>
        </is>
      </c>
      <c r="G375" s="44" t="inlineStr">
        <is>
          <t>No</t>
        </is>
      </c>
      <c r="H375" s="26" t="inlineStr">
        <is>
          <t>No</t>
        </is>
      </c>
      <c r="I375" s="44" t="inlineStr">
        <is>
          <t>Not Available</t>
        </is>
      </c>
      <c r="J375" s="26" t="inlineStr">
        <is>
          <t>No</t>
        </is>
      </c>
      <c r="K375" s="27" t="n"/>
      <c r="L375" s="28" t="inlineStr">
        <is>
          <t>Yes</t>
        </is>
      </c>
      <c r="M375" s="29">
        <f>IF(E375="","",IF(H375="Yes","❌ Disc",IF(G375="No","⚠ Missing",IF(J375="Yes","✓ OK","⚠ Check"))))</f>
        <v/>
      </c>
      <c r="N375" s="43" t="n">
        <v>46196</v>
      </c>
      <c r="O375" s="26" t="inlineStr">
        <is>
          <t>Sunil CR</t>
        </is>
      </c>
      <c r="P375" s="44" t="inlineStr">
        <is>
          <t>No</t>
        </is>
      </c>
      <c r="Q375" s="26" t="inlineStr">
        <is>
          <t>No</t>
        </is>
      </c>
      <c r="R375" s="44" t="inlineStr">
        <is>
          <t>Not Available</t>
        </is>
      </c>
      <c r="S375" s="26" t="inlineStr">
        <is>
          <t>No</t>
        </is>
      </c>
      <c r="T375" s="27" t="n"/>
      <c r="U375" s="28" t="inlineStr">
        <is>
          <t>Yes</t>
        </is>
      </c>
      <c r="V375" s="29">
        <f>IF(N375="","",IF(Q375="Yes","❌ Disc",IF(P375="No","⚠ Missing",IF(S375="Yes","✓ OK","⚠ Check"))))</f>
        <v/>
      </c>
      <c r="W375" s="65" t="n">
        <v>46248</v>
      </c>
      <c r="X375" s="30" t="inlineStr">
        <is>
          <t>Sunil CR</t>
        </is>
      </c>
      <c r="Y375" s="30" t="inlineStr">
        <is>
          <t>No</t>
        </is>
      </c>
      <c r="Z375" s="30" t="n"/>
      <c r="AA375" s="30" t="inlineStr">
        <is>
          <t>Not Available</t>
        </is>
      </c>
      <c r="AB375" s="30" t="inlineStr">
        <is>
          <t>No</t>
        </is>
      </c>
      <c r="AC375" s="27" t="n"/>
      <c r="AD375" s="31" t="inlineStr">
        <is>
          <t>Yes</t>
        </is>
      </c>
      <c r="AE375" s="32">
        <f>IF(W375="","",IF(Z375="Yes","❌ Disc",IF(Y375="No","⚠ Missing",IF(AB375="Yes","✓ OK","⚠ Check"))))</f>
        <v/>
      </c>
      <c r="AF375" s="33" t="n"/>
      <c r="AG375" s="33" t="n"/>
      <c r="AH375" s="33" t="n"/>
      <c r="AI375" s="33" t="n"/>
      <c r="AJ375" s="33" t="n"/>
      <c r="AK375" s="33" t="n"/>
      <c r="AL375" s="27" t="n"/>
      <c r="AM375" s="34" t="n"/>
      <c r="AN375" s="35">
        <f>IF(AF375="","",IF(AI375="Yes","❌ Disc",IF(AH375="No","⚠ Missing",IF(AK375="Yes","✓ OK","⚠ Check"))))</f>
        <v/>
      </c>
      <c r="AO375" s="36" t="n"/>
      <c r="AP375" s="36" t="n"/>
      <c r="AQ375" s="36" t="n"/>
      <c r="AR375" s="36" t="n"/>
      <c r="AS375" s="36" t="n"/>
      <c r="AT375" s="36" t="n"/>
      <c r="AU375" s="27" t="n"/>
      <c r="AV375" s="37" t="n"/>
      <c r="AW375" s="38">
        <f>IF(AO375="","",IF(AR375="Yes","❌ Disc",IF(AQ375="No","⚠ Missing",IF(AT375="Yes","✓ OK","⚠ Check"))))</f>
        <v/>
      </c>
    </row>
    <row r="376" ht="18" customHeight="1" s="46">
      <c r="A376" s="39" t="n">
        <v>372</v>
      </c>
      <c r="B376" s="40" t="inlineStr">
        <is>
          <t>HWLSSH1 1935 3M SF</t>
        </is>
      </c>
      <c r="C376" s="41" t="inlineStr">
        <is>
          <t>Ebco SH1-1935-3M-SF Alu. G Profile Shutter Handle (Special Finish)</t>
        </is>
      </c>
      <c r="D376" s="39" t="inlineStr">
        <is>
          <t>Ebco</t>
        </is>
      </c>
      <c r="E376" s="43" t="n">
        <v>46125</v>
      </c>
      <c r="F376" s="26" t="inlineStr">
        <is>
          <t>Sunil CR</t>
        </is>
      </c>
      <c r="G376" s="44" t="inlineStr">
        <is>
          <t>No</t>
        </is>
      </c>
      <c r="H376" s="26" t="inlineStr">
        <is>
          <t>No</t>
        </is>
      </c>
      <c r="I376" s="44" t="inlineStr">
        <is>
          <t>Not Available</t>
        </is>
      </c>
      <c r="J376" s="26" t="inlineStr">
        <is>
          <t>No</t>
        </is>
      </c>
      <c r="K376" s="27" t="n"/>
      <c r="L376" s="28" t="inlineStr">
        <is>
          <t>Yes</t>
        </is>
      </c>
      <c r="M376" s="29">
        <f>IF(E376="","",IF(H376="Yes","❌ Disc",IF(G376="No","⚠ Missing",IF(J376="Yes","✓ OK","⚠ Check"))))</f>
        <v/>
      </c>
      <c r="N376" s="43" t="n">
        <v>46196</v>
      </c>
      <c r="O376" s="26" t="inlineStr">
        <is>
          <t>Sunil CR</t>
        </is>
      </c>
      <c r="P376" s="44" t="inlineStr">
        <is>
          <t>No</t>
        </is>
      </c>
      <c r="Q376" s="26" t="inlineStr">
        <is>
          <t>No</t>
        </is>
      </c>
      <c r="R376" s="44" t="inlineStr">
        <is>
          <t>Not Available</t>
        </is>
      </c>
      <c r="S376" s="26" t="inlineStr">
        <is>
          <t>No</t>
        </is>
      </c>
      <c r="T376" s="27" t="n"/>
      <c r="U376" s="28" t="inlineStr">
        <is>
          <t>Yes</t>
        </is>
      </c>
      <c r="V376" s="29">
        <f>IF(N376="","",IF(Q376="Yes","❌ Disc",IF(P376="No","⚠ Missing",IF(S376="Yes","✓ OK","⚠ Check"))))</f>
        <v/>
      </c>
      <c r="W376" s="65" t="n">
        <v>46248</v>
      </c>
      <c r="X376" s="30" t="inlineStr">
        <is>
          <t>Sunil CR</t>
        </is>
      </c>
      <c r="Y376" s="30" t="inlineStr">
        <is>
          <t>No</t>
        </is>
      </c>
      <c r="Z376" s="30" t="n"/>
      <c r="AA376" s="30" t="inlineStr">
        <is>
          <t>Not Available</t>
        </is>
      </c>
      <c r="AB376" s="30" t="inlineStr">
        <is>
          <t>No</t>
        </is>
      </c>
      <c r="AC376" s="27" t="n"/>
      <c r="AD376" s="31" t="inlineStr">
        <is>
          <t>Yes</t>
        </is>
      </c>
      <c r="AE376" s="32">
        <f>IF(W376="","",IF(Z376="Yes","❌ Disc",IF(Y376="No","⚠ Missing",IF(AB376="Yes","✓ OK","⚠ Check"))))</f>
        <v/>
      </c>
      <c r="AF376" s="33" t="n"/>
      <c r="AG376" s="33" t="n"/>
      <c r="AH376" s="33" t="n"/>
      <c r="AI376" s="33" t="n"/>
      <c r="AJ376" s="33" t="n"/>
      <c r="AK376" s="33" t="n"/>
      <c r="AL376" s="27" t="n"/>
      <c r="AM376" s="34" t="n"/>
      <c r="AN376" s="35">
        <f>IF(AF376="","",IF(AI376="Yes","❌ Disc",IF(AH376="No","⚠ Missing",IF(AK376="Yes","✓ OK","⚠ Check"))))</f>
        <v/>
      </c>
      <c r="AO376" s="36" t="n"/>
      <c r="AP376" s="36" t="n"/>
      <c r="AQ376" s="36" t="n"/>
      <c r="AR376" s="36" t="n"/>
      <c r="AS376" s="36" t="n"/>
      <c r="AT376" s="36" t="n"/>
      <c r="AU376" s="27" t="n"/>
      <c r="AV376" s="37" t="n"/>
      <c r="AW376" s="38">
        <f>IF(AO376="","",IF(AR376="Yes","❌ Disc",IF(AQ376="No","⚠ Missing",IF(AT376="Yes","✓ OK","⚠ Check"))))</f>
        <v/>
      </c>
    </row>
    <row r="377" ht="18" customHeight="1" s="46">
      <c r="A377" s="23" t="n">
        <v>373</v>
      </c>
      <c r="B377" s="24" t="inlineStr">
        <is>
          <t>HWLSKFH I OR</t>
        </is>
      </c>
      <c r="C377" s="25" t="inlineStr">
        <is>
          <t>Kids Furniture Handle-Plastic KFH-I-OR</t>
        </is>
      </c>
      <c r="D377" s="23" t="inlineStr">
        <is>
          <t>Ebco</t>
        </is>
      </c>
      <c r="E377" s="43" t="n">
        <v>46125</v>
      </c>
      <c r="F377" s="26" t="inlineStr">
        <is>
          <t>Sunil CR</t>
        </is>
      </c>
      <c r="G377" s="44" t="inlineStr">
        <is>
          <t>No</t>
        </is>
      </c>
      <c r="H377" s="26" t="inlineStr">
        <is>
          <t>No</t>
        </is>
      </c>
      <c r="I377" s="44" t="inlineStr">
        <is>
          <t>Not Available</t>
        </is>
      </c>
      <c r="J377" s="26" t="inlineStr">
        <is>
          <t>No</t>
        </is>
      </c>
      <c r="K377" s="27" t="n"/>
      <c r="L377" s="28" t="inlineStr">
        <is>
          <t>Yes</t>
        </is>
      </c>
      <c r="M377" s="29">
        <f>IF(E377="","",IF(H377="Yes","❌ Disc",IF(G377="No","⚠ Missing",IF(J377="Yes","✓ OK","⚠ Check"))))</f>
        <v/>
      </c>
      <c r="N377" s="43" t="n">
        <v>46196</v>
      </c>
      <c r="O377" s="26" t="inlineStr">
        <is>
          <t>Sunil CR</t>
        </is>
      </c>
      <c r="P377" s="44" t="inlineStr">
        <is>
          <t>No</t>
        </is>
      </c>
      <c r="Q377" s="26" t="inlineStr">
        <is>
          <t>No</t>
        </is>
      </c>
      <c r="R377" s="44" t="inlineStr">
        <is>
          <t>Not Available</t>
        </is>
      </c>
      <c r="S377" s="26" t="inlineStr">
        <is>
          <t>No</t>
        </is>
      </c>
      <c r="T377" s="27" t="n"/>
      <c r="U377" s="28" t="inlineStr">
        <is>
          <t>Yes</t>
        </is>
      </c>
      <c r="V377" s="29">
        <f>IF(N377="","",IF(Q377="Yes","❌ Disc",IF(P377="No","⚠ Missing",IF(S377="Yes","✓ OK","⚠ Check"))))</f>
        <v/>
      </c>
      <c r="W377" s="65" t="n">
        <v>46248</v>
      </c>
      <c r="X377" s="30" t="inlineStr">
        <is>
          <t>Sunil CR</t>
        </is>
      </c>
      <c r="Y377" s="30" t="inlineStr">
        <is>
          <t>No</t>
        </is>
      </c>
      <c r="Z377" s="30" t="n"/>
      <c r="AA377" s="30" t="inlineStr">
        <is>
          <t>Not Available</t>
        </is>
      </c>
      <c r="AB377" s="30" t="inlineStr">
        <is>
          <t>No</t>
        </is>
      </c>
      <c r="AC377" s="27" t="n"/>
      <c r="AD377" s="31" t="inlineStr">
        <is>
          <t>Yes</t>
        </is>
      </c>
      <c r="AE377" s="32">
        <f>IF(W377="","",IF(Z377="Yes","❌ Disc",IF(Y377="No","⚠ Missing",IF(AB377="Yes","✓ OK","⚠ Check"))))</f>
        <v/>
      </c>
      <c r="AF377" s="33" t="n"/>
      <c r="AG377" s="33" t="n"/>
      <c r="AH377" s="33" t="n"/>
      <c r="AI377" s="33" t="n"/>
      <c r="AJ377" s="33" t="n"/>
      <c r="AK377" s="33" t="n"/>
      <c r="AL377" s="27" t="n"/>
      <c r="AM377" s="34" t="n"/>
      <c r="AN377" s="35">
        <f>IF(AF377="","",IF(AI377="Yes","❌ Disc",IF(AH377="No","⚠ Missing",IF(AK377="Yes","✓ OK","⚠ Check"))))</f>
        <v/>
      </c>
      <c r="AO377" s="36" t="n"/>
      <c r="AP377" s="36" t="n"/>
      <c r="AQ377" s="36" t="n"/>
      <c r="AR377" s="36" t="n"/>
      <c r="AS377" s="36" t="n"/>
      <c r="AT377" s="36" t="n"/>
      <c r="AU377" s="27" t="n"/>
      <c r="AV377" s="37" t="n"/>
      <c r="AW377" s="38">
        <f>IF(AO377="","",IF(AR377="Yes","❌ Disc",IF(AQ377="No","⚠ Missing",IF(AT377="Yes","✓ OK","⚠ Check"))))</f>
        <v/>
      </c>
    </row>
    <row r="378" ht="18" customHeight="1" s="46">
      <c r="A378" s="39" t="n">
        <v>374</v>
      </c>
      <c r="B378" s="40" t="inlineStr">
        <is>
          <t>HWLSKFH J OR</t>
        </is>
      </c>
      <c r="C378" s="41" t="inlineStr">
        <is>
          <t>Kids Furniture Handle-Plastic KFH-J-OR</t>
        </is>
      </c>
      <c r="D378" s="39" t="inlineStr">
        <is>
          <t>Ebco</t>
        </is>
      </c>
      <c r="E378" s="43" t="n">
        <v>46125</v>
      </c>
      <c r="F378" s="26" t="inlineStr">
        <is>
          <t>Sunil CR</t>
        </is>
      </c>
      <c r="G378" s="44" t="inlineStr">
        <is>
          <t>No</t>
        </is>
      </c>
      <c r="H378" s="26" t="inlineStr">
        <is>
          <t>No</t>
        </is>
      </c>
      <c r="I378" s="44" t="inlineStr">
        <is>
          <t>Not Available</t>
        </is>
      </c>
      <c r="J378" s="26" t="inlineStr">
        <is>
          <t>No</t>
        </is>
      </c>
      <c r="K378" s="27" t="n"/>
      <c r="L378" s="28" t="inlineStr">
        <is>
          <t>Yes</t>
        </is>
      </c>
      <c r="M378" s="29">
        <f>IF(E378="","",IF(H378="Yes","❌ Disc",IF(G378="No","⚠ Missing",IF(J378="Yes","✓ OK","⚠ Check"))))</f>
        <v/>
      </c>
      <c r="N378" s="43" t="n">
        <v>46196</v>
      </c>
      <c r="O378" s="26" t="inlineStr">
        <is>
          <t>Sunil CR</t>
        </is>
      </c>
      <c r="P378" s="44" t="inlineStr">
        <is>
          <t>No</t>
        </is>
      </c>
      <c r="Q378" s="26" t="inlineStr">
        <is>
          <t>No</t>
        </is>
      </c>
      <c r="R378" s="44" t="inlineStr">
        <is>
          <t>Not Available</t>
        </is>
      </c>
      <c r="S378" s="26" t="inlineStr">
        <is>
          <t>No</t>
        </is>
      </c>
      <c r="T378" s="27" t="n"/>
      <c r="U378" s="28" t="inlineStr">
        <is>
          <t>Yes</t>
        </is>
      </c>
      <c r="V378" s="29">
        <f>IF(N378="","",IF(Q378="Yes","❌ Disc",IF(P378="No","⚠ Missing",IF(S378="Yes","✓ OK","⚠ Check"))))</f>
        <v/>
      </c>
      <c r="W378" s="65" t="n">
        <v>46248</v>
      </c>
      <c r="X378" s="30" t="inlineStr">
        <is>
          <t>Sunil CR</t>
        </is>
      </c>
      <c r="Y378" s="30" t="inlineStr">
        <is>
          <t>No</t>
        </is>
      </c>
      <c r="Z378" s="30" t="n"/>
      <c r="AA378" s="30" t="inlineStr">
        <is>
          <t>Not Available</t>
        </is>
      </c>
      <c r="AB378" s="30" t="inlineStr">
        <is>
          <t>No</t>
        </is>
      </c>
      <c r="AC378" s="27" t="n"/>
      <c r="AD378" s="31" t="inlineStr">
        <is>
          <t>Yes</t>
        </is>
      </c>
      <c r="AE378" s="32">
        <f>IF(W378="","",IF(Z378="Yes","❌ Disc",IF(Y378="No","⚠ Missing",IF(AB378="Yes","✓ OK","⚠ Check"))))</f>
        <v/>
      </c>
      <c r="AF378" s="33" t="n"/>
      <c r="AG378" s="33" t="n"/>
      <c r="AH378" s="33" t="n"/>
      <c r="AI378" s="33" t="n"/>
      <c r="AJ378" s="33" t="n"/>
      <c r="AK378" s="33" t="n"/>
      <c r="AL378" s="27" t="n"/>
      <c r="AM378" s="34" t="n"/>
      <c r="AN378" s="35">
        <f>IF(AF378="","",IF(AI378="Yes","❌ Disc",IF(AH378="No","⚠ Missing",IF(AK378="Yes","✓ OK","⚠ Check"))))</f>
        <v/>
      </c>
      <c r="AO378" s="36" t="n"/>
      <c r="AP378" s="36" t="n"/>
      <c r="AQ378" s="36" t="n"/>
      <c r="AR378" s="36" t="n"/>
      <c r="AS378" s="36" t="n"/>
      <c r="AT378" s="36" t="n"/>
      <c r="AU378" s="27" t="n"/>
      <c r="AV378" s="37" t="n"/>
      <c r="AW378" s="38">
        <f>IF(AO378="","",IF(AR378="Yes","❌ Disc",IF(AQ378="No","⚠ Missing",IF(AT378="Yes","✓ OK","⚠ Check"))))</f>
        <v/>
      </c>
    </row>
    <row r="379" ht="18" customHeight="1" s="46">
      <c r="A379" s="23" t="n">
        <v>375</v>
      </c>
      <c r="B379" s="24" t="inlineStr">
        <is>
          <t>HWLSSH1 1935 3M AS</t>
        </is>
      </c>
      <c r="C379" s="25" t="inlineStr">
        <is>
          <t>Livsmart SH1-1935-3M-AS Alu.Profile Shutter Handle (Anodized Silver)</t>
        </is>
      </c>
      <c r="D379" s="23" t="inlineStr">
        <is>
          <t>Ebco</t>
        </is>
      </c>
      <c r="E379" s="43" t="n">
        <v>46125</v>
      </c>
      <c r="F379" s="26" t="inlineStr">
        <is>
          <t>Sunil CR</t>
        </is>
      </c>
      <c r="G379" s="44" t="inlineStr">
        <is>
          <t>No</t>
        </is>
      </c>
      <c r="H379" s="26" t="inlineStr">
        <is>
          <t>No</t>
        </is>
      </c>
      <c r="I379" s="44" t="inlineStr">
        <is>
          <t>Not Available</t>
        </is>
      </c>
      <c r="J379" s="26" t="inlineStr">
        <is>
          <t>No</t>
        </is>
      </c>
      <c r="K379" s="27" t="n"/>
      <c r="L379" s="28" t="inlineStr">
        <is>
          <t>Yes</t>
        </is>
      </c>
      <c r="M379" s="29">
        <f>IF(E379="","",IF(H379="Yes","❌ Disc",IF(G379="No","⚠ Missing",IF(J379="Yes","✓ OK","⚠ Check"))))</f>
        <v/>
      </c>
      <c r="N379" s="43" t="n">
        <v>46196</v>
      </c>
      <c r="O379" s="26" t="inlineStr">
        <is>
          <t>Sunil CR</t>
        </is>
      </c>
      <c r="P379" s="44" t="inlineStr">
        <is>
          <t>No</t>
        </is>
      </c>
      <c r="Q379" s="26" t="inlineStr">
        <is>
          <t>No</t>
        </is>
      </c>
      <c r="R379" s="44" t="inlineStr">
        <is>
          <t>Not Available</t>
        </is>
      </c>
      <c r="S379" s="26" t="inlineStr">
        <is>
          <t>No</t>
        </is>
      </c>
      <c r="T379" s="27" t="n"/>
      <c r="U379" s="28" t="inlineStr">
        <is>
          <t>Yes</t>
        </is>
      </c>
      <c r="V379" s="29">
        <f>IF(N379="","",IF(Q379="Yes","❌ Disc",IF(P379="No","⚠ Missing",IF(S379="Yes","✓ OK","⚠ Check"))))</f>
        <v/>
      </c>
      <c r="W379" s="65" t="n">
        <v>46248</v>
      </c>
      <c r="X379" s="30" t="inlineStr">
        <is>
          <t>Sunil CR</t>
        </is>
      </c>
      <c r="Y379" s="30" t="inlineStr">
        <is>
          <t>No</t>
        </is>
      </c>
      <c r="Z379" s="30" t="n"/>
      <c r="AA379" s="30" t="inlineStr">
        <is>
          <t>Not Available</t>
        </is>
      </c>
      <c r="AB379" s="30" t="inlineStr">
        <is>
          <t>No</t>
        </is>
      </c>
      <c r="AC379" s="27" t="n"/>
      <c r="AD379" s="31" t="inlineStr">
        <is>
          <t>Yes</t>
        </is>
      </c>
      <c r="AE379" s="32">
        <f>IF(W379="","",IF(Z379="Yes","❌ Disc",IF(Y379="No","⚠ Missing",IF(AB379="Yes","✓ OK","⚠ Check"))))</f>
        <v/>
      </c>
      <c r="AF379" s="33" t="n"/>
      <c r="AG379" s="33" t="n"/>
      <c r="AH379" s="33" t="n"/>
      <c r="AI379" s="33" t="n"/>
      <c r="AJ379" s="33" t="n"/>
      <c r="AK379" s="33" t="n"/>
      <c r="AL379" s="27" t="n"/>
      <c r="AM379" s="34" t="n"/>
      <c r="AN379" s="35">
        <f>IF(AF379="","",IF(AI379="Yes","❌ Disc",IF(AH379="No","⚠ Missing",IF(AK379="Yes","✓ OK","⚠ Check"))))</f>
        <v/>
      </c>
      <c r="AO379" s="36" t="n"/>
      <c r="AP379" s="36" t="n"/>
      <c r="AQ379" s="36" t="n"/>
      <c r="AR379" s="36" t="n"/>
      <c r="AS379" s="36" t="n"/>
      <c r="AT379" s="36" t="n"/>
      <c r="AU379" s="27" t="n"/>
      <c r="AV379" s="37" t="n"/>
      <c r="AW379" s="38">
        <f>IF(AO379="","",IF(AR379="Yes","❌ Disc",IF(AQ379="No","⚠ Missing",IF(AT379="Yes","✓ OK","⚠ Check"))))</f>
        <v/>
      </c>
    </row>
    <row r="380" ht="18" customHeight="1" s="46">
      <c r="A380" s="39" t="n">
        <v>376</v>
      </c>
      <c r="B380" s="40" t="inlineStr">
        <is>
          <t>HWHF C Profile 12637925</t>
        </is>
      </c>
      <c r="C380" s="41" t="inlineStr">
        <is>
          <t>Hafele - Gola Profile - C Profile - Dark Bronze - HWHF C Profile 12637925</t>
        </is>
      </c>
      <c r="D380" s="39" t="inlineStr">
        <is>
          <t>Hafele</t>
        </is>
      </c>
      <c r="E380" s="43" t="n">
        <v>46125</v>
      </c>
      <c r="F380" s="26" t="inlineStr">
        <is>
          <t>Sunil CR</t>
        </is>
      </c>
      <c r="G380" s="44" t="inlineStr">
        <is>
          <t>Yes</t>
        </is>
      </c>
      <c r="H380" s="26" t="inlineStr">
        <is>
          <t>No</t>
        </is>
      </c>
      <c r="I380" s="44" t="inlineStr">
        <is>
          <t>Good finish</t>
        </is>
      </c>
      <c r="J380" s="26" t="inlineStr">
        <is>
          <t>Yes</t>
        </is>
      </c>
      <c r="K380" s="27" t="n"/>
      <c r="L380" s="28" t="inlineStr">
        <is>
          <t>No</t>
        </is>
      </c>
      <c r="M380" s="29">
        <f>IF(E380="","",IF(H380="Yes","❌ Disc",IF(G380="No","⚠ Missing",IF(J380="Yes","✓ OK","⚠ Check"))))</f>
        <v/>
      </c>
      <c r="N380" s="43" t="n">
        <v>46196</v>
      </c>
      <c r="O380" s="26" t="inlineStr">
        <is>
          <t>Sunil CR</t>
        </is>
      </c>
      <c r="P380" s="44" t="inlineStr">
        <is>
          <t>Yes</t>
        </is>
      </c>
      <c r="Q380" s="26" t="inlineStr">
        <is>
          <t>No</t>
        </is>
      </c>
      <c r="R380" s="44" t="inlineStr">
        <is>
          <t>Good finish</t>
        </is>
      </c>
      <c r="S380" s="26" t="inlineStr">
        <is>
          <t>Yes</t>
        </is>
      </c>
      <c r="T380" s="27" t="n"/>
      <c r="U380" s="28" t="inlineStr">
        <is>
          <t>No</t>
        </is>
      </c>
      <c r="V380" s="29">
        <f>IF(N380="","",IF(Q380="Yes","❌ Disc",IF(P380="No","⚠ Missing",IF(S380="Yes","✓ OK","⚠ Check"))))</f>
        <v/>
      </c>
      <c r="W380" s="65" t="n">
        <v>46248</v>
      </c>
      <c r="X380" s="30" t="inlineStr">
        <is>
          <t>Sunil CR</t>
        </is>
      </c>
      <c r="Y380" s="30" t="inlineStr">
        <is>
          <t>Yes</t>
        </is>
      </c>
      <c r="Z380" s="30" t="n"/>
      <c r="AA380" s="30" t="inlineStr">
        <is>
          <t>Good finish</t>
        </is>
      </c>
      <c r="AB380" s="30" t="inlineStr">
        <is>
          <t>Yes</t>
        </is>
      </c>
      <c r="AC380" s="27" t="n"/>
      <c r="AD380" s="31" t="inlineStr">
        <is>
          <t>No</t>
        </is>
      </c>
      <c r="AE380" s="32">
        <f>IF(W380="","",IF(Z380="Yes","❌ Disc",IF(Y380="No","⚠ Missing",IF(AB380="Yes","✓ OK","⚠ Check"))))</f>
        <v/>
      </c>
      <c r="AF380" s="33" t="n"/>
      <c r="AG380" s="33" t="n"/>
      <c r="AH380" s="33" t="n"/>
      <c r="AI380" s="33" t="n"/>
      <c r="AJ380" s="33" t="n"/>
      <c r="AK380" s="33" t="n"/>
      <c r="AL380" s="27" t="n"/>
      <c r="AM380" s="34" t="n"/>
      <c r="AN380" s="35">
        <f>IF(AF380="","",IF(AI380="Yes","❌ Disc",IF(AH380="No","⚠ Missing",IF(AK380="Yes","✓ OK","⚠ Check"))))</f>
        <v/>
      </c>
      <c r="AO380" s="36" t="n"/>
      <c r="AP380" s="36" t="n"/>
      <c r="AQ380" s="36" t="n"/>
      <c r="AR380" s="36" t="n"/>
      <c r="AS380" s="36" t="n"/>
      <c r="AT380" s="36" t="n"/>
      <c r="AU380" s="27" t="n"/>
      <c r="AV380" s="37" t="n"/>
      <c r="AW380" s="38">
        <f>IF(AO380="","",IF(AR380="Yes","❌ Disc",IF(AQ380="No","⚠ Missing",IF(AT380="Yes","✓ OK","⚠ Check"))))</f>
        <v/>
      </c>
    </row>
    <row r="381" ht="18" customHeight="1" s="46">
      <c r="A381" s="23" t="n">
        <v>377</v>
      </c>
      <c r="B381" s="24" t="inlineStr">
        <is>
          <t>HWHF C Profile 12637928</t>
        </is>
      </c>
      <c r="C381" s="25" t="inlineStr">
        <is>
          <t>Hafele - Gola Profile - C Profile - Gold - HWHF C Profile 12637928</t>
        </is>
      </c>
      <c r="D381" s="23" t="inlineStr">
        <is>
          <t>Hafele</t>
        </is>
      </c>
      <c r="E381" s="43" t="n">
        <v>46125</v>
      </c>
      <c r="F381" s="26" t="inlineStr">
        <is>
          <t>Sunil CR</t>
        </is>
      </c>
      <c r="G381" s="44" t="inlineStr">
        <is>
          <t>Yes</t>
        </is>
      </c>
      <c r="H381" s="26" t="inlineStr">
        <is>
          <t>No</t>
        </is>
      </c>
      <c r="I381" s="44" t="inlineStr">
        <is>
          <t>Good finish</t>
        </is>
      </c>
      <c r="J381" s="26" t="inlineStr">
        <is>
          <t>Yes</t>
        </is>
      </c>
      <c r="K381" s="27" t="n"/>
      <c r="L381" s="28" t="inlineStr">
        <is>
          <t>No</t>
        </is>
      </c>
      <c r="M381" s="29">
        <f>IF(E381="","",IF(H381="Yes","❌ Disc",IF(G381="No","⚠ Missing",IF(J381="Yes","✓ OK","⚠ Check"))))</f>
        <v/>
      </c>
      <c r="N381" s="43" t="n">
        <v>46196</v>
      </c>
      <c r="O381" s="26" t="inlineStr">
        <is>
          <t>Sunil CR</t>
        </is>
      </c>
      <c r="P381" s="44" t="inlineStr">
        <is>
          <t>Yes</t>
        </is>
      </c>
      <c r="Q381" s="26" t="inlineStr">
        <is>
          <t>No</t>
        </is>
      </c>
      <c r="R381" s="44" t="inlineStr">
        <is>
          <t>Good finish</t>
        </is>
      </c>
      <c r="S381" s="26" t="inlineStr">
        <is>
          <t>Yes</t>
        </is>
      </c>
      <c r="T381" s="27" t="n"/>
      <c r="U381" s="28" t="inlineStr">
        <is>
          <t>No</t>
        </is>
      </c>
      <c r="V381" s="29">
        <f>IF(N381="","",IF(Q381="Yes","❌ Disc",IF(P381="No","⚠ Missing",IF(S381="Yes","✓ OK","⚠ Check"))))</f>
        <v/>
      </c>
      <c r="W381" s="65" t="n">
        <v>46248</v>
      </c>
      <c r="X381" s="30" t="inlineStr">
        <is>
          <t>Sunil CR</t>
        </is>
      </c>
      <c r="Y381" s="30" t="inlineStr">
        <is>
          <t>Yes</t>
        </is>
      </c>
      <c r="Z381" s="30" t="n"/>
      <c r="AA381" s="30" t="inlineStr">
        <is>
          <t>Good finish</t>
        </is>
      </c>
      <c r="AB381" s="30" t="inlineStr">
        <is>
          <t>Yes</t>
        </is>
      </c>
      <c r="AC381" s="27" t="n"/>
      <c r="AD381" s="31" t="inlineStr">
        <is>
          <t>No</t>
        </is>
      </c>
      <c r="AE381" s="32">
        <f>IF(W381="","",IF(Z381="Yes","❌ Disc",IF(Y381="No","⚠ Missing",IF(AB381="Yes","✓ OK","⚠ Check"))))</f>
        <v/>
      </c>
      <c r="AF381" s="33" t="n"/>
      <c r="AG381" s="33" t="n"/>
      <c r="AH381" s="33" t="n"/>
      <c r="AI381" s="33" t="n"/>
      <c r="AJ381" s="33" t="n"/>
      <c r="AK381" s="33" t="n"/>
      <c r="AL381" s="27" t="n"/>
      <c r="AM381" s="34" t="n"/>
      <c r="AN381" s="35">
        <f>IF(AF381="","",IF(AI381="Yes","❌ Disc",IF(AH381="No","⚠ Missing",IF(AK381="Yes","✓ OK","⚠ Check"))))</f>
        <v/>
      </c>
      <c r="AO381" s="36" t="n"/>
      <c r="AP381" s="36" t="n"/>
      <c r="AQ381" s="36" t="n"/>
      <c r="AR381" s="36" t="n"/>
      <c r="AS381" s="36" t="n"/>
      <c r="AT381" s="36" t="n"/>
      <c r="AU381" s="27" t="n"/>
      <c r="AV381" s="37" t="n"/>
      <c r="AW381" s="38">
        <f>IF(AO381="","",IF(AR381="Yes","❌ Disc",IF(AQ381="No","⚠ Missing",IF(AT381="Yes","✓ OK","⚠ Check"))))</f>
        <v/>
      </c>
    </row>
    <row r="382" ht="18" customHeight="1" s="46">
      <c r="A382" s="39" t="n">
        <v>378</v>
      </c>
      <c r="B382" s="40" t="inlineStr">
        <is>
          <t>HWHF C Profile 12637927</t>
        </is>
      </c>
      <c r="C382" s="41" t="inlineStr">
        <is>
          <t>Hafele - Gola Profile - C Profile - Graphite - HWHF C Profile 12637927</t>
        </is>
      </c>
      <c r="D382" s="39" t="inlineStr">
        <is>
          <t>Hafele</t>
        </is>
      </c>
      <c r="E382" s="43" t="n">
        <v>46125</v>
      </c>
      <c r="F382" s="26" t="inlineStr">
        <is>
          <t>Sunil CR</t>
        </is>
      </c>
      <c r="G382" s="44" t="inlineStr">
        <is>
          <t>Yes</t>
        </is>
      </c>
      <c r="H382" s="26" t="inlineStr">
        <is>
          <t>No</t>
        </is>
      </c>
      <c r="I382" s="44" t="inlineStr">
        <is>
          <t>Good finish</t>
        </is>
      </c>
      <c r="J382" s="26" t="inlineStr">
        <is>
          <t>Yes</t>
        </is>
      </c>
      <c r="K382" s="27" t="n"/>
      <c r="L382" s="28" t="inlineStr">
        <is>
          <t>No</t>
        </is>
      </c>
      <c r="M382" s="29">
        <f>IF(E382="","",IF(H382="Yes","❌ Disc",IF(G382="No","⚠ Missing",IF(J382="Yes","✓ OK","⚠ Check"))))</f>
        <v/>
      </c>
      <c r="N382" s="43" t="n">
        <v>46196</v>
      </c>
      <c r="O382" s="26" t="inlineStr">
        <is>
          <t>Sunil CR</t>
        </is>
      </c>
      <c r="P382" s="44" t="inlineStr">
        <is>
          <t>Yes</t>
        </is>
      </c>
      <c r="Q382" s="26" t="inlineStr">
        <is>
          <t>No</t>
        </is>
      </c>
      <c r="R382" s="44" t="inlineStr">
        <is>
          <t>Good finish</t>
        </is>
      </c>
      <c r="S382" s="26" t="inlineStr">
        <is>
          <t>Yes</t>
        </is>
      </c>
      <c r="T382" s="27" t="n"/>
      <c r="U382" s="28" t="inlineStr">
        <is>
          <t>No</t>
        </is>
      </c>
      <c r="V382" s="29">
        <f>IF(N382="","",IF(Q382="Yes","❌ Disc",IF(P382="No","⚠ Missing",IF(S382="Yes","✓ OK","⚠ Check"))))</f>
        <v/>
      </c>
      <c r="W382" s="65" t="n">
        <v>46248</v>
      </c>
      <c r="X382" s="30" t="inlineStr">
        <is>
          <t>Sunil CR</t>
        </is>
      </c>
      <c r="Y382" s="30" t="inlineStr">
        <is>
          <t>Yes</t>
        </is>
      </c>
      <c r="Z382" s="30" t="n"/>
      <c r="AA382" s="30" t="inlineStr">
        <is>
          <t>Good finish</t>
        </is>
      </c>
      <c r="AB382" s="30" t="inlineStr">
        <is>
          <t>Yes</t>
        </is>
      </c>
      <c r="AC382" s="27" t="n"/>
      <c r="AD382" s="31" t="inlineStr">
        <is>
          <t>No</t>
        </is>
      </c>
      <c r="AE382" s="32">
        <f>IF(W382="","",IF(Z382="Yes","❌ Disc",IF(Y382="No","⚠ Missing",IF(AB382="Yes","✓ OK","⚠ Check"))))</f>
        <v/>
      </c>
      <c r="AF382" s="33" t="n"/>
      <c r="AG382" s="33" t="n"/>
      <c r="AH382" s="33" t="n"/>
      <c r="AI382" s="33" t="n"/>
      <c r="AJ382" s="33" t="n"/>
      <c r="AK382" s="33" t="n"/>
      <c r="AL382" s="27" t="n"/>
      <c r="AM382" s="34" t="n"/>
      <c r="AN382" s="35">
        <f>IF(AF382="","",IF(AI382="Yes","❌ Disc",IF(AH382="No","⚠ Missing",IF(AK382="Yes","✓ OK","⚠ Check"))))</f>
        <v/>
      </c>
      <c r="AO382" s="36" t="n"/>
      <c r="AP382" s="36" t="n"/>
      <c r="AQ382" s="36" t="n"/>
      <c r="AR382" s="36" t="n"/>
      <c r="AS382" s="36" t="n"/>
      <c r="AT382" s="36" t="n"/>
      <c r="AU382" s="27" t="n"/>
      <c r="AV382" s="37" t="n"/>
      <c r="AW382" s="38">
        <f>IF(AO382="","",IF(AR382="Yes","❌ Disc",IF(AQ382="No","⚠ Missing",IF(AT382="Yes","✓ OK","⚠ Check"))))</f>
        <v/>
      </c>
    </row>
    <row r="383" ht="18" customHeight="1" s="46">
      <c r="A383" s="23" t="n">
        <v>379</v>
      </c>
      <c r="B383" s="24" t="inlineStr">
        <is>
          <t>HWHF C Profile 12637929</t>
        </is>
      </c>
      <c r="C383" s="25" t="inlineStr">
        <is>
          <t>Hafele - Gola Profile - C Profile - Rose Gold - HWHF C Profile 12637929</t>
        </is>
      </c>
      <c r="D383" s="23" t="inlineStr">
        <is>
          <t>Hafele</t>
        </is>
      </c>
      <c r="E383" s="43" t="n">
        <v>46125</v>
      </c>
      <c r="F383" s="26" t="inlineStr">
        <is>
          <t>Sunil CR</t>
        </is>
      </c>
      <c r="G383" s="44" t="inlineStr">
        <is>
          <t>Yes</t>
        </is>
      </c>
      <c r="H383" s="26" t="inlineStr">
        <is>
          <t>No</t>
        </is>
      </c>
      <c r="I383" s="44" t="inlineStr">
        <is>
          <t>Good finish</t>
        </is>
      </c>
      <c r="J383" s="26" t="inlineStr">
        <is>
          <t>Yes</t>
        </is>
      </c>
      <c r="K383" s="27" t="n"/>
      <c r="L383" s="28" t="inlineStr">
        <is>
          <t>No</t>
        </is>
      </c>
      <c r="M383" s="29">
        <f>IF(E383="","",IF(H383="Yes","❌ Disc",IF(G383="No","⚠ Missing",IF(J383="Yes","✓ OK","⚠ Check"))))</f>
        <v/>
      </c>
      <c r="N383" s="43" t="n">
        <v>46196</v>
      </c>
      <c r="O383" s="26" t="inlineStr">
        <is>
          <t>Sunil CR</t>
        </is>
      </c>
      <c r="P383" s="44" t="inlineStr">
        <is>
          <t>Yes</t>
        </is>
      </c>
      <c r="Q383" s="26" t="inlineStr">
        <is>
          <t>No</t>
        </is>
      </c>
      <c r="R383" s="44" t="inlineStr">
        <is>
          <t>Good finish</t>
        </is>
      </c>
      <c r="S383" s="26" t="inlineStr">
        <is>
          <t>Yes</t>
        </is>
      </c>
      <c r="T383" s="27" t="n"/>
      <c r="U383" s="28" t="inlineStr">
        <is>
          <t>No</t>
        </is>
      </c>
      <c r="V383" s="29">
        <f>IF(N383="","",IF(Q383="Yes","❌ Disc",IF(P383="No","⚠ Missing",IF(S383="Yes","✓ OK","⚠ Check"))))</f>
        <v/>
      </c>
      <c r="W383" s="65" t="n">
        <v>46248</v>
      </c>
      <c r="X383" s="30" t="inlineStr">
        <is>
          <t>Sunil CR</t>
        </is>
      </c>
      <c r="Y383" s="30" t="inlineStr">
        <is>
          <t>Yes</t>
        </is>
      </c>
      <c r="Z383" s="30" t="n"/>
      <c r="AA383" s="30" t="inlineStr">
        <is>
          <t>Good finish</t>
        </is>
      </c>
      <c r="AB383" s="30" t="inlineStr">
        <is>
          <t>Yes</t>
        </is>
      </c>
      <c r="AC383" s="27" t="n"/>
      <c r="AD383" s="31" t="inlineStr">
        <is>
          <t>No</t>
        </is>
      </c>
      <c r="AE383" s="32">
        <f>IF(W383="","",IF(Z383="Yes","❌ Disc",IF(Y383="No","⚠ Missing",IF(AB383="Yes","✓ OK","⚠ Check"))))</f>
        <v/>
      </c>
      <c r="AF383" s="33" t="n"/>
      <c r="AG383" s="33" t="n"/>
      <c r="AH383" s="33" t="n"/>
      <c r="AI383" s="33" t="n"/>
      <c r="AJ383" s="33" t="n"/>
      <c r="AK383" s="33" t="n"/>
      <c r="AL383" s="27" t="n"/>
      <c r="AM383" s="34" t="n"/>
      <c r="AN383" s="35">
        <f>IF(AF383="","",IF(AI383="Yes","❌ Disc",IF(AH383="No","⚠ Missing",IF(AK383="Yes","✓ OK","⚠ Check"))))</f>
        <v/>
      </c>
      <c r="AO383" s="36" t="n"/>
      <c r="AP383" s="36" t="n"/>
      <c r="AQ383" s="36" t="n"/>
      <c r="AR383" s="36" t="n"/>
      <c r="AS383" s="36" t="n"/>
      <c r="AT383" s="36" t="n"/>
      <c r="AU383" s="27" t="n"/>
      <c r="AV383" s="37" t="n"/>
      <c r="AW383" s="38">
        <f>IF(AO383="","",IF(AR383="Yes","❌ Disc",IF(AQ383="No","⚠ Missing",IF(AT383="Yes","✓ OK","⚠ Check"))))</f>
        <v/>
      </c>
    </row>
    <row r="384" ht="18" customHeight="1" s="46">
      <c r="A384" s="39" t="n">
        <v>380</v>
      </c>
      <c r="B384" s="40" t="inlineStr">
        <is>
          <t>HWHF C Profile 12637926</t>
        </is>
      </c>
      <c r="C384" s="41" t="inlineStr">
        <is>
          <t>Hafele - Gola Profile - C Profile - Silver - HWHF C Profile 12637926</t>
        </is>
      </c>
      <c r="D384" s="39" t="inlineStr">
        <is>
          <t>Hafele</t>
        </is>
      </c>
      <c r="E384" s="43" t="n">
        <v>46125</v>
      </c>
      <c r="F384" s="26" t="inlineStr">
        <is>
          <t>Sunil CR</t>
        </is>
      </c>
      <c r="G384" s="44" t="inlineStr">
        <is>
          <t>Yes</t>
        </is>
      </c>
      <c r="H384" s="26" t="inlineStr">
        <is>
          <t>No</t>
        </is>
      </c>
      <c r="I384" s="44" t="inlineStr">
        <is>
          <t>Good finish</t>
        </is>
      </c>
      <c r="J384" s="26" t="inlineStr">
        <is>
          <t>Yes</t>
        </is>
      </c>
      <c r="K384" s="27" t="n"/>
      <c r="L384" s="28" t="inlineStr">
        <is>
          <t>No</t>
        </is>
      </c>
      <c r="M384" s="29">
        <f>IF(E384="","",IF(H384="Yes","❌ Disc",IF(G384="No","⚠ Missing",IF(J384="Yes","✓ OK","⚠ Check"))))</f>
        <v/>
      </c>
      <c r="N384" s="43" t="n">
        <v>46196</v>
      </c>
      <c r="O384" s="26" t="inlineStr">
        <is>
          <t>Sunil CR</t>
        </is>
      </c>
      <c r="P384" s="44" t="inlineStr">
        <is>
          <t>Yes</t>
        </is>
      </c>
      <c r="Q384" s="26" t="inlineStr">
        <is>
          <t>No</t>
        </is>
      </c>
      <c r="R384" s="44" t="inlineStr">
        <is>
          <t>Good finish</t>
        </is>
      </c>
      <c r="S384" s="26" t="inlineStr">
        <is>
          <t>Yes</t>
        </is>
      </c>
      <c r="T384" s="27" t="n"/>
      <c r="U384" s="28" t="inlineStr">
        <is>
          <t>No</t>
        </is>
      </c>
      <c r="V384" s="29">
        <f>IF(N384="","",IF(Q384="Yes","❌ Disc",IF(P384="No","⚠ Missing",IF(S384="Yes","✓ OK","⚠ Check"))))</f>
        <v/>
      </c>
      <c r="W384" s="65" t="n">
        <v>46248</v>
      </c>
      <c r="X384" s="30" t="inlineStr">
        <is>
          <t>Sunil CR</t>
        </is>
      </c>
      <c r="Y384" s="30" t="inlineStr">
        <is>
          <t>Yes</t>
        </is>
      </c>
      <c r="Z384" s="30" t="n"/>
      <c r="AA384" s="30" t="inlineStr">
        <is>
          <t>Good finish</t>
        </is>
      </c>
      <c r="AB384" s="30" t="inlineStr">
        <is>
          <t>Yes</t>
        </is>
      </c>
      <c r="AC384" s="27" t="n"/>
      <c r="AD384" s="31" t="inlineStr">
        <is>
          <t>No</t>
        </is>
      </c>
      <c r="AE384" s="32">
        <f>IF(W384="","",IF(Z384="Yes","❌ Disc",IF(Y384="No","⚠ Missing",IF(AB384="Yes","✓ OK","⚠ Check"))))</f>
        <v/>
      </c>
      <c r="AF384" s="33" t="n"/>
      <c r="AG384" s="33" t="n"/>
      <c r="AH384" s="33" t="n"/>
      <c r="AI384" s="33" t="n"/>
      <c r="AJ384" s="33" t="n"/>
      <c r="AK384" s="33" t="n"/>
      <c r="AL384" s="27" t="n"/>
      <c r="AM384" s="34" t="n"/>
      <c r="AN384" s="35">
        <f>IF(AF384="","",IF(AI384="Yes","❌ Disc",IF(AH384="No","⚠ Missing",IF(AK384="Yes","✓ OK","⚠ Check"))))</f>
        <v/>
      </c>
      <c r="AO384" s="36" t="n"/>
      <c r="AP384" s="36" t="n"/>
      <c r="AQ384" s="36" t="n"/>
      <c r="AR384" s="36" t="n"/>
      <c r="AS384" s="36" t="n"/>
      <c r="AT384" s="36" t="n"/>
      <c r="AU384" s="27" t="n"/>
      <c r="AV384" s="37" t="n"/>
      <c r="AW384" s="38">
        <f>IF(AO384="","",IF(AR384="Yes","❌ Disc",IF(AQ384="No","⚠ Missing",IF(AT384="Yes","✓ OK","⚠ Check"))))</f>
        <v/>
      </c>
    </row>
    <row r="385" ht="18" customHeight="1" s="46">
      <c r="A385" s="23" t="n">
        <v>381</v>
      </c>
      <c r="B385" s="24" t="inlineStr">
        <is>
          <t>HWHF J Profile  12637909</t>
        </is>
      </c>
      <c r="C385" s="25" t="inlineStr">
        <is>
          <t>Hafele - Gola Profile - J Profile  - Dark Bronze - HWHF J Profile 12637909</t>
        </is>
      </c>
      <c r="D385" s="23" t="inlineStr">
        <is>
          <t>Hafele</t>
        </is>
      </c>
      <c r="E385" s="43" t="n">
        <v>46125</v>
      </c>
      <c r="F385" s="26" t="inlineStr">
        <is>
          <t>Sunil CR</t>
        </is>
      </c>
      <c r="G385" s="44" t="inlineStr">
        <is>
          <t>Yes</t>
        </is>
      </c>
      <c r="H385" s="26" t="inlineStr">
        <is>
          <t>No</t>
        </is>
      </c>
      <c r="I385" s="44" t="inlineStr">
        <is>
          <t>Good finish</t>
        </is>
      </c>
      <c r="J385" s="26" t="inlineStr">
        <is>
          <t>Yes</t>
        </is>
      </c>
      <c r="K385" s="27" t="n"/>
      <c r="L385" s="28" t="inlineStr">
        <is>
          <t>No</t>
        </is>
      </c>
      <c r="M385" s="29">
        <f>IF(E385="","",IF(H385="Yes","❌ Disc",IF(G385="No","⚠ Missing",IF(J385="Yes","✓ OK","⚠ Check"))))</f>
        <v/>
      </c>
      <c r="N385" s="43" t="n">
        <v>46196</v>
      </c>
      <c r="O385" s="26" t="inlineStr">
        <is>
          <t>Sunil CR</t>
        </is>
      </c>
      <c r="P385" s="44" t="inlineStr">
        <is>
          <t>Yes</t>
        </is>
      </c>
      <c r="Q385" s="26" t="inlineStr">
        <is>
          <t>No</t>
        </is>
      </c>
      <c r="R385" s="44" t="inlineStr">
        <is>
          <t>Good finish</t>
        </is>
      </c>
      <c r="S385" s="26" t="inlineStr">
        <is>
          <t>Yes</t>
        </is>
      </c>
      <c r="T385" s="27" t="n"/>
      <c r="U385" s="28" t="inlineStr">
        <is>
          <t>No</t>
        </is>
      </c>
      <c r="V385" s="29">
        <f>IF(N385="","",IF(Q385="Yes","❌ Disc",IF(P385="No","⚠ Missing",IF(S385="Yes","✓ OK","⚠ Check"))))</f>
        <v/>
      </c>
      <c r="W385" s="65" t="n">
        <v>46248</v>
      </c>
      <c r="X385" s="30" t="inlineStr">
        <is>
          <t>Sunil CR</t>
        </is>
      </c>
      <c r="Y385" s="30" t="inlineStr">
        <is>
          <t>Yes</t>
        </is>
      </c>
      <c r="Z385" s="30" t="n"/>
      <c r="AA385" s="30" t="inlineStr">
        <is>
          <t>Good finish</t>
        </is>
      </c>
      <c r="AB385" s="30" t="inlineStr">
        <is>
          <t>Yes</t>
        </is>
      </c>
      <c r="AC385" s="27" t="n"/>
      <c r="AD385" s="31" t="inlineStr">
        <is>
          <t>No</t>
        </is>
      </c>
      <c r="AE385" s="32">
        <f>IF(W385="","",IF(Z385="Yes","❌ Disc",IF(Y385="No","⚠ Missing",IF(AB385="Yes","✓ OK","⚠ Check"))))</f>
        <v/>
      </c>
      <c r="AF385" s="33" t="n"/>
      <c r="AG385" s="33" t="n"/>
      <c r="AH385" s="33" t="n"/>
      <c r="AI385" s="33" t="n"/>
      <c r="AJ385" s="33" t="n"/>
      <c r="AK385" s="33" t="n"/>
      <c r="AL385" s="27" t="n"/>
      <c r="AM385" s="34" t="n"/>
      <c r="AN385" s="35">
        <f>IF(AF385="","",IF(AI385="Yes","❌ Disc",IF(AH385="No","⚠ Missing",IF(AK385="Yes","✓ OK","⚠ Check"))))</f>
        <v/>
      </c>
      <c r="AO385" s="36" t="n"/>
      <c r="AP385" s="36" t="n"/>
      <c r="AQ385" s="36" t="n"/>
      <c r="AR385" s="36" t="n"/>
      <c r="AS385" s="36" t="n"/>
      <c r="AT385" s="36" t="n"/>
      <c r="AU385" s="27" t="n"/>
      <c r="AV385" s="37" t="n"/>
      <c r="AW385" s="38">
        <f>IF(AO385="","",IF(AR385="Yes","❌ Disc",IF(AQ385="No","⚠ Missing",IF(AT385="Yes","✓ OK","⚠ Check"))))</f>
        <v/>
      </c>
    </row>
    <row r="386" ht="18" customHeight="1" s="46">
      <c r="A386" s="39" t="n">
        <v>382</v>
      </c>
      <c r="B386" s="40" t="inlineStr">
        <is>
          <t>HWHF J Profile  12637904</t>
        </is>
      </c>
      <c r="C386" s="41" t="inlineStr">
        <is>
          <t>Hafele - Gola Profile - J Profile  - Gold - HWHF J Profile 12637904</t>
        </is>
      </c>
      <c r="D386" s="39" t="inlineStr">
        <is>
          <t>Hafele</t>
        </is>
      </c>
      <c r="E386" s="43" t="n">
        <v>46125</v>
      </c>
      <c r="F386" s="26" t="inlineStr">
        <is>
          <t>Sunil CR</t>
        </is>
      </c>
      <c r="G386" s="44" t="inlineStr">
        <is>
          <t>Yes</t>
        </is>
      </c>
      <c r="H386" s="26" t="inlineStr">
        <is>
          <t>No</t>
        </is>
      </c>
      <c r="I386" s="44" t="inlineStr">
        <is>
          <t>Good finish</t>
        </is>
      </c>
      <c r="J386" s="26" t="inlineStr">
        <is>
          <t>Yes</t>
        </is>
      </c>
      <c r="K386" s="27" t="n"/>
      <c r="L386" s="28" t="inlineStr">
        <is>
          <t>No</t>
        </is>
      </c>
      <c r="M386" s="29">
        <f>IF(E386="","",IF(H386="Yes","❌ Disc",IF(G386="No","⚠ Missing",IF(J386="Yes","✓ OK","⚠ Check"))))</f>
        <v/>
      </c>
      <c r="N386" s="43" t="n">
        <v>46196</v>
      </c>
      <c r="O386" s="26" t="inlineStr">
        <is>
          <t>Sunil CR</t>
        </is>
      </c>
      <c r="P386" s="44" t="inlineStr">
        <is>
          <t>Yes</t>
        </is>
      </c>
      <c r="Q386" s="26" t="inlineStr">
        <is>
          <t>No</t>
        </is>
      </c>
      <c r="R386" s="44" t="inlineStr">
        <is>
          <t>Good finish</t>
        </is>
      </c>
      <c r="S386" s="26" t="inlineStr">
        <is>
          <t>Yes</t>
        </is>
      </c>
      <c r="T386" s="27" t="n"/>
      <c r="U386" s="28" t="inlineStr">
        <is>
          <t>No</t>
        </is>
      </c>
      <c r="V386" s="29">
        <f>IF(N386="","",IF(Q386="Yes","❌ Disc",IF(P386="No","⚠ Missing",IF(S386="Yes","✓ OK","⚠ Check"))))</f>
        <v/>
      </c>
      <c r="W386" s="65" t="n">
        <v>46248</v>
      </c>
      <c r="X386" s="30" t="inlineStr">
        <is>
          <t>Sunil CR</t>
        </is>
      </c>
      <c r="Y386" s="30" t="inlineStr">
        <is>
          <t>Yes</t>
        </is>
      </c>
      <c r="Z386" s="30" t="n"/>
      <c r="AA386" s="30" t="inlineStr">
        <is>
          <t>Good finish</t>
        </is>
      </c>
      <c r="AB386" s="30" t="inlineStr">
        <is>
          <t>Yes</t>
        </is>
      </c>
      <c r="AC386" s="27" t="n"/>
      <c r="AD386" s="31" t="inlineStr">
        <is>
          <t>No</t>
        </is>
      </c>
      <c r="AE386" s="32">
        <f>IF(W386="","",IF(Z386="Yes","❌ Disc",IF(Y386="No","⚠ Missing",IF(AB386="Yes","✓ OK","⚠ Check"))))</f>
        <v/>
      </c>
      <c r="AF386" s="33" t="n"/>
      <c r="AG386" s="33" t="n"/>
      <c r="AH386" s="33" t="n"/>
      <c r="AI386" s="33" t="n"/>
      <c r="AJ386" s="33" t="n"/>
      <c r="AK386" s="33" t="n"/>
      <c r="AL386" s="27" t="n"/>
      <c r="AM386" s="34" t="n"/>
      <c r="AN386" s="35">
        <f>IF(AF386="","",IF(AI386="Yes","❌ Disc",IF(AH386="No","⚠ Missing",IF(AK386="Yes","✓ OK","⚠ Check"))))</f>
        <v/>
      </c>
      <c r="AO386" s="36" t="n"/>
      <c r="AP386" s="36" t="n"/>
      <c r="AQ386" s="36" t="n"/>
      <c r="AR386" s="36" t="n"/>
      <c r="AS386" s="36" t="n"/>
      <c r="AT386" s="36" t="n"/>
      <c r="AU386" s="27" t="n"/>
      <c r="AV386" s="37" t="n"/>
      <c r="AW386" s="38">
        <f>IF(AO386="","",IF(AR386="Yes","❌ Disc",IF(AQ386="No","⚠ Missing",IF(AT386="Yes","✓ OK","⚠ Check"))))</f>
        <v/>
      </c>
    </row>
    <row r="387" ht="18" customHeight="1" s="46">
      <c r="A387" s="23" t="n">
        <v>383</v>
      </c>
      <c r="B387" s="24" t="inlineStr">
        <is>
          <t>HWHF J Profile  12637903</t>
        </is>
      </c>
      <c r="C387" s="25" t="inlineStr">
        <is>
          <t>Hafele - Gola Profile - J Profile  - Graphite - HWHF J Profile 12637903</t>
        </is>
      </c>
      <c r="D387" s="23" t="inlineStr">
        <is>
          <t>Hafele</t>
        </is>
      </c>
      <c r="E387" s="43" t="n">
        <v>46125</v>
      </c>
      <c r="F387" s="26" t="inlineStr">
        <is>
          <t>Sunil CR</t>
        </is>
      </c>
      <c r="G387" s="44" t="inlineStr">
        <is>
          <t>Yes</t>
        </is>
      </c>
      <c r="H387" s="26" t="inlineStr">
        <is>
          <t>No</t>
        </is>
      </c>
      <c r="I387" s="44" t="inlineStr">
        <is>
          <t>Good finish</t>
        </is>
      </c>
      <c r="J387" s="26" t="inlineStr">
        <is>
          <t>Yes</t>
        </is>
      </c>
      <c r="K387" s="27" t="n"/>
      <c r="L387" s="28" t="inlineStr">
        <is>
          <t>No</t>
        </is>
      </c>
      <c r="M387" s="29">
        <f>IF(E387="","",IF(H387="Yes","❌ Disc",IF(G387="No","⚠ Missing",IF(J387="Yes","✓ OK","⚠ Check"))))</f>
        <v/>
      </c>
      <c r="N387" s="43" t="n">
        <v>46196</v>
      </c>
      <c r="O387" s="26" t="inlineStr">
        <is>
          <t>Sunil CR</t>
        </is>
      </c>
      <c r="P387" s="44" t="inlineStr">
        <is>
          <t>Yes</t>
        </is>
      </c>
      <c r="Q387" s="26" t="inlineStr">
        <is>
          <t>No</t>
        </is>
      </c>
      <c r="R387" s="44" t="inlineStr">
        <is>
          <t>Good finish</t>
        </is>
      </c>
      <c r="S387" s="26" t="inlineStr">
        <is>
          <t>Yes</t>
        </is>
      </c>
      <c r="T387" s="27" t="n"/>
      <c r="U387" s="28" t="inlineStr">
        <is>
          <t>No</t>
        </is>
      </c>
      <c r="V387" s="29">
        <f>IF(N387="","",IF(Q387="Yes","❌ Disc",IF(P387="No","⚠ Missing",IF(S387="Yes","✓ OK","⚠ Check"))))</f>
        <v/>
      </c>
      <c r="W387" s="65" t="n">
        <v>46248</v>
      </c>
      <c r="X387" s="30" t="inlineStr">
        <is>
          <t>Sunil CR</t>
        </is>
      </c>
      <c r="Y387" s="30" t="inlineStr">
        <is>
          <t>Yes</t>
        </is>
      </c>
      <c r="Z387" s="30" t="n"/>
      <c r="AA387" s="30" t="inlineStr">
        <is>
          <t>Good finish</t>
        </is>
      </c>
      <c r="AB387" s="30" t="inlineStr">
        <is>
          <t>Yes</t>
        </is>
      </c>
      <c r="AC387" s="27" t="n"/>
      <c r="AD387" s="31" t="inlineStr">
        <is>
          <t>No</t>
        </is>
      </c>
      <c r="AE387" s="32">
        <f>IF(W387="","",IF(Z387="Yes","❌ Disc",IF(Y387="No","⚠ Missing",IF(AB387="Yes","✓ OK","⚠ Check"))))</f>
        <v/>
      </c>
      <c r="AF387" s="33" t="n"/>
      <c r="AG387" s="33" t="n"/>
      <c r="AH387" s="33" t="n"/>
      <c r="AI387" s="33" t="n"/>
      <c r="AJ387" s="33" t="n"/>
      <c r="AK387" s="33" t="n"/>
      <c r="AL387" s="27" t="n"/>
      <c r="AM387" s="34" t="n"/>
      <c r="AN387" s="35">
        <f>IF(AF387="","",IF(AI387="Yes","❌ Disc",IF(AH387="No","⚠ Missing",IF(AK387="Yes","✓ OK","⚠ Check"))))</f>
        <v/>
      </c>
      <c r="AO387" s="36" t="n"/>
      <c r="AP387" s="36" t="n"/>
      <c r="AQ387" s="36" t="n"/>
      <c r="AR387" s="36" t="n"/>
      <c r="AS387" s="36" t="n"/>
      <c r="AT387" s="36" t="n"/>
      <c r="AU387" s="27" t="n"/>
      <c r="AV387" s="37" t="n"/>
      <c r="AW387" s="38">
        <f>IF(AO387="","",IF(AR387="Yes","❌ Disc",IF(AQ387="No","⚠ Missing",IF(AT387="Yes","✓ OK","⚠ Check"))))</f>
        <v/>
      </c>
    </row>
    <row r="388" ht="18" customHeight="1" s="46">
      <c r="A388" s="39" t="n">
        <v>384</v>
      </c>
      <c r="B388" s="40" t="inlineStr">
        <is>
          <t>HWHF J Profile  12637906</t>
        </is>
      </c>
      <c r="C388" s="41" t="inlineStr">
        <is>
          <t>Hafele - Gola Profile - J Profile  - Rose Gold - HWHF J Profile 12637906</t>
        </is>
      </c>
      <c r="D388" s="39" t="inlineStr">
        <is>
          <t>Hafele</t>
        </is>
      </c>
      <c r="E388" s="43" t="n">
        <v>46125</v>
      </c>
      <c r="F388" s="26" t="inlineStr">
        <is>
          <t>Sunil CR</t>
        </is>
      </c>
      <c r="G388" s="44" t="inlineStr">
        <is>
          <t>Yes</t>
        </is>
      </c>
      <c r="H388" s="26" t="inlineStr">
        <is>
          <t>No</t>
        </is>
      </c>
      <c r="I388" s="44" t="inlineStr">
        <is>
          <t>Good finish</t>
        </is>
      </c>
      <c r="J388" s="26" t="inlineStr">
        <is>
          <t>Yes</t>
        </is>
      </c>
      <c r="K388" s="27" t="n"/>
      <c r="L388" s="28" t="inlineStr">
        <is>
          <t>No</t>
        </is>
      </c>
      <c r="M388" s="29">
        <f>IF(E388="","",IF(H388="Yes","❌ Disc",IF(G388="No","⚠ Missing",IF(J388="Yes","✓ OK","⚠ Check"))))</f>
        <v/>
      </c>
      <c r="N388" s="43" t="n">
        <v>46196</v>
      </c>
      <c r="O388" s="26" t="inlineStr">
        <is>
          <t>Sunil CR</t>
        </is>
      </c>
      <c r="P388" s="44" t="inlineStr">
        <is>
          <t>Yes</t>
        </is>
      </c>
      <c r="Q388" s="26" t="inlineStr">
        <is>
          <t>No</t>
        </is>
      </c>
      <c r="R388" s="44" t="inlineStr">
        <is>
          <t>Good finish</t>
        </is>
      </c>
      <c r="S388" s="26" t="inlineStr">
        <is>
          <t>Yes</t>
        </is>
      </c>
      <c r="T388" s="27" t="n"/>
      <c r="U388" s="28" t="inlineStr">
        <is>
          <t>No</t>
        </is>
      </c>
      <c r="V388" s="29">
        <f>IF(N388="","",IF(Q388="Yes","❌ Disc",IF(P388="No","⚠ Missing",IF(S388="Yes","✓ OK","⚠ Check"))))</f>
        <v/>
      </c>
      <c r="W388" s="65" t="n">
        <v>46248</v>
      </c>
      <c r="X388" s="30" t="inlineStr">
        <is>
          <t>Sunil CR</t>
        </is>
      </c>
      <c r="Y388" s="30" t="inlineStr">
        <is>
          <t>Yes</t>
        </is>
      </c>
      <c r="Z388" s="30" t="n"/>
      <c r="AA388" s="30" t="inlineStr">
        <is>
          <t>Good finish</t>
        </is>
      </c>
      <c r="AB388" s="30" t="inlineStr">
        <is>
          <t>Yes</t>
        </is>
      </c>
      <c r="AC388" s="27" t="n"/>
      <c r="AD388" s="31" t="inlineStr">
        <is>
          <t>No</t>
        </is>
      </c>
      <c r="AE388" s="32">
        <f>IF(W388="","",IF(Z388="Yes","❌ Disc",IF(Y388="No","⚠ Missing",IF(AB388="Yes","✓ OK","⚠ Check"))))</f>
        <v/>
      </c>
      <c r="AF388" s="33" t="n"/>
      <c r="AG388" s="33" t="n"/>
      <c r="AH388" s="33" t="n"/>
      <c r="AI388" s="33" t="n"/>
      <c r="AJ388" s="33" t="n"/>
      <c r="AK388" s="33" t="n"/>
      <c r="AL388" s="27" t="n"/>
      <c r="AM388" s="34" t="n"/>
      <c r="AN388" s="35">
        <f>IF(AF388="","",IF(AI388="Yes","❌ Disc",IF(AH388="No","⚠ Missing",IF(AK388="Yes","✓ OK","⚠ Check"))))</f>
        <v/>
      </c>
      <c r="AO388" s="36" t="n"/>
      <c r="AP388" s="36" t="n"/>
      <c r="AQ388" s="36" t="n"/>
      <c r="AR388" s="36" t="n"/>
      <c r="AS388" s="36" t="n"/>
      <c r="AT388" s="36" t="n"/>
      <c r="AU388" s="27" t="n"/>
      <c r="AV388" s="37" t="n"/>
      <c r="AW388" s="38">
        <f>IF(AO388="","",IF(AR388="Yes","❌ Disc",IF(AQ388="No","⚠ Missing",IF(AT388="Yes","✓ OK","⚠ Check"))))</f>
        <v/>
      </c>
    </row>
    <row r="389" ht="18" customHeight="1" s="46">
      <c r="A389" s="23" t="n">
        <v>385</v>
      </c>
      <c r="B389" s="24" t="inlineStr">
        <is>
          <t>HWHF J Profile 12637902</t>
        </is>
      </c>
      <c r="C389" s="25" t="inlineStr">
        <is>
          <t>Hafele - Gola Profile - J Profile  - Silver - HWHF J Profile 12637902</t>
        </is>
      </c>
      <c r="D389" s="23" t="inlineStr">
        <is>
          <t>Hafele</t>
        </is>
      </c>
      <c r="E389" s="43" t="n">
        <v>46125</v>
      </c>
      <c r="F389" s="26" t="inlineStr">
        <is>
          <t>Sunil CR</t>
        </is>
      </c>
      <c r="G389" s="44" t="inlineStr">
        <is>
          <t>Yes</t>
        </is>
      </c>
      <c r="H389" s="26" t="inlineStr">
        <is>
          <t>No</t>
        </is>
      </c>
      <c r="I389" s="44" t="inlineStr">
        <is>
          <t>Good finish</t>
        </is>
      </c>
      <c r="J389" s="26" t="inlineStr">
        <is>
          <t>Yes</t>
        </is>
      </c>
      <c r="K389" s="27" t="n"/>
      <c r="L389" s="28" t="inlineStr">
        <is>
          <t>No</t>
        </is>
      </c>
      <c r="M389" s="29">
        <f>IF(E389="","",IF(H389="Yes","❌ Disc",IF(G389="No","⚠ Missing",IF(J389="Yes","✓ OK","⚠ Check"))))</f>
        <v/>
      </c>
      <c r="N389" s="43" t="n">
        <v>46196</v>
      </c>
      <c r="O389" s="26" t="inlineStr">
        <is>
          <t>Sunil CR</t>
        </is>
      </c>
      <c r="P389" s="44" t="inlineStr">
        <is>
          <t>Yes</t>
        </is>
      </c>
      <c r="Q389" s="26" t="inlineStr">
        <is>
          <t>No</t>
        </is>
      </c>
      <c r="R389" s="44" t="inlineStr">
        <is>
          <t>Good finish</t>
        </is>
      </c>
      <c r="S389" s="26" t="inlineStr">
        <is>
          <t>Yes</t>
        </is>
      </c>
      <c r="T389" s="27" t="n"/>
      <c r="U389" s="28" t="inlineStr">
        <is>
          <t>No</t>
        </is>
      </c>
      <c r="V389" s="29">
        <f>IF(N389="","",IF(Q389="Yes","❌ Disc",IF(P389="No","⚠ Missing",IF(S389="Yes","✓ OK","⚠ Check"))))</f>
        <v/>
      </c>
      <c r="W389" s="65" t="n">
        <v>46248</v>
      </c>
      <c r="X389" s="30" t="inlineStr">
        <is>
          <t>Sunil CR</t>
        </is>
      </c>
      <c r="Y389" s="30" t="inlineStr">
        <is>
          <t>Yes</t>
        </is>
      </c>
      <c r="Z389" s="30" t="n"/>
      <c r="AA389" s="30" t="inlineStr">
        <is>
          <t>Good finish</t>
        </is>
      </c>
      <c r="AB389" s="30" t="inlineStr">
        <is>
          <t>Yes</t>
        </is>
      </c>
      <c r="AC389" s="27" t="n"/>
      <c r="AD389" s="31" t="inlineStr">
        <is>
          <t>No</t>
        </is>
      </c>
      <c r="AE389" s="32">
        <f>IF(W389="","",IF(Z389="Yes","❌ Disc",IF(Y389="No","⚠ Missing",IF(AB389="Yes","✓ OK","⚠ Check"))))</f>
        <v/>
      </c>
      <c r="AF389" s="33" t="n"/>
      <c r="AG389" s="33" t="n"/>
      <c r="AH389" s="33" t="n"/>
      <c r="AI389" s="33" t="n"/>
      <c r="AJ389" s="33" t="n"/>
      <c r="AK389" s="33" t="n"/>
      <c r="AL389" s="27" t="n"/>
      <c r="AM389" s="34" t="n"/>
      <c r="AN389" s="35">
        <f>IF(AF389="","",IF(AI389="Yes","❌ Disc",IF(AH389="No","⚠ Missing",IF(AK389="Yes","✓ OK","⚠ Check"))))</f>
        <v/>
      </c>
      <c r="AO389" s="36" t="n"/>
      <c r="AP389" s="36" t="n"/>
      <c r="AQ389" s="36" t="n"/>
      <c r="AR389" s="36" t="n"/>
      <c r="AS389" s="36" t="n"/>
      <c r="AT389" s="36" t="n"/>
      <c r="AU389" s="27" t="n"/>
      <c r="AV389" s="37" t="n"/>
      <c r="AW389" s="38">
        <f>IF(AO389="","",IF(AR389="Yes","❌ Disc",IF(AQ389="No","⚠ Missing",IF(AT389="Yes","✓ OK","⚠ Check"))))</f>
        <v/>
      </c>
    </row>
    <row r="390" ht="18" customHeight="1" s="46">
      <c r="A390" s="39" t="n">
        <v>386</v>
      </c>
      <c r="B390" s="40" t="inlineStr">
        <is>
          <t>HWSS H5 WN 128mm</t>
        </is>
      </c>
      <c r="C390" s="41" t="inlineStr">
        <is>
          <t>Handle H5 128 mm</t>
        </is>
      </c>
      <c r="D390" s="39" t="inlineStr">
        <is>
          <t>Merixo</t>
        </is>
      </c>
      <c r="E390" s="43" t="n">
        <v>46125</v>
      </c>
      <c r="F390" s="26" t="inlineStr">
        <is>
          <t>Sunil CR</t>
        </is>
      </c>
      <c r="G390" s="44" t="inlineStr">
        <is>
          <t>No</t>
        </is>
      </c>
      <c r="H390" s="26" t="inlineStr">
        <is>
          <t>No</t>
        </is>
      </c>
      <c r="I390" s="44" t="inlineStr">
        <is>
          <t>Not Available</t>
        </is>
      </c>
      <c r="J390" s="26" t="inlineStr">
        <is>
          <t>No</t>
        </is>
      </c>
      <c r="K390" s="27" t="n"/>
      <c r="L390" s="28" t="inlineStr">
        <is>
          <t>Yes</t>
        </is>
      </c>
      <c r="M390" s="29">
        <f>IF(E390="","",IF(H390="Yes","❌ Disc",IF(G390="No","⚠ Missing",IF(J390="Yes","✓ OK","⚠ Check"))))</f>
        <v/>
      </c>
      <c r="N390" s="43" t="n">
        <v>46196</v>
      </c>
      <c r="O390" s="26" t="inlineStr">
        <is>
          <t>Sunil CR</t>
        </is>
      </c>
      <c r="P390" s="44" t="inlineStr">
        <is>
          <t>No</t>
        </is>
      </c>
      <c r="Q390" s="26" t="inlineStr">
        <is>
          <t>No</t>
        </is>
      </c>
      <c r="R390" s="44" t="inlineStr">
        <is>
          <t>Not Available</t>
        </is>
      </c>
      <c r="S390" s="26" t="inlineStr">
        <is>
          <t>No</t>
        </is>
      </c>
      <c r="T390" s="27" t="n"/>
      <c r="U390" s="28" t="inlineStr">
        <is>
          <t>Yes</t>
        </is>
      </c>
      <c r="V390" s="29">
        <f>IF(N390="","",IF(Q390="Yes","❌ Disc",IF(P390="No","⚠ Missing",IF(S390="Yes","✓ OK","⚠ Check"))))</f>
        <v/>
      </c>
      <c r="W390" s="65" t="n">
        <v>46248</v>
      </c>
      <c r="X390" s="30" t="inlineStr">
        <is>
          <t>Sunil CR</t>
        </is>
      </c>
      <c r="Y390" s="30" t="inlineStr">
        <is>
          <t>No</t>
        </is>
      </c>
      <c r="Z390" s="30" t="n"/>
      <c r="AA390" s="30" t="inlineStr">
        <is>
          <t>Not Available</t>
        </is>
      </c>
      <c r="AB390" s="30" t="inlineStr">
        <is>
          <t>No</t>
        </is>
      </c>
      <c r="AC390" s="27" t="n"/>
      <c r="AD390" s="31" t="inlineStr">
        <is>
          <t>Yes</t>
        </is>
      </c>
      <c r="AE390" s="32">
        <f>IF(W390="","",IF(Z390="Yes","❌ Disc",IF(Y390="No","⚠ Missing",IF(AB390="Yes","✓ OK","⚠ Check"))))</f>
        <v/>
      </c>
      <c r="AF390" s="33" t="n"/>
      <c r="AG390" s="33" t="n"/>
      <c r="AH390" s="33" t="n"/>
      <c r="AI390" s="33" t="n"/>
      <c r="AJ390" s="33" t="n"/>
      <c r="AK390" s="33" t="n"/>
      <c r="AL390" s="27" t="n"/>
      <c r="AM390" s="34" t="n"/>
      <c r="AN390" s="35">
        <f>IF(AF390="","",IF(AI390="Yes","❌ Disc",IF(AH390="No","⚠ Missing",IF(AK390="Yes","✓ OK","⚠ Check"))))</f>
        <v/>
      </c>
      <c r="AO390" s="36" t="n"/>
      <c r="AP390" s="36" t="n"/>
      <c r="AQ390" s="36" t="n"/>
      <c r="AR390" s="36" t="n"/>
      <c r="AS390" s="36" t="n"/>
      <c r="AT390" s="36" t="n"/>
      <c r="AU390" s="27" t="n"/>
      <c r="AV390" s="37" t="n"/>
      <c r="AW390" s="38">
        <f>IF(AO390="","",IF(AR390="Yes","❌ Disc",IF(AQ390="No","⚠ Missing",IF(AT390="Yes","✓ OK","⚠ Check"))))</f>
        <v/>
      </c>
    </row>
    <row r="391" ht="18" customHeight="1" s="46">
      <c r="A391" s="23" t="n">
        <v>387</v>
      </c>
      <c r="B391" s="24" t="inlineStr">
        <is>
          <t>HWSS H99 SS 4"</t>
        </is>
      </c>
      <c r="C391" s="25" t="inlineStr">
        <is>
          <t>Handle H-99 4 inch</t>
        </is>
      </c>
      <c r="D391" s="23" t="inlineStr">
        <is>
          <t>Merixo</t>
        </is>
      </c>
      <c r="E391" s="43" t="n">
        <v>46125</v>
      </c>
      <c r="F391" s="26" t="inlineStr">
        <is>
          <t>Sunil CR</t>
        </is>
      </c>
      <c r="G391" s="44" t="inlineStr">
        <is>
          <t>No</t>
        </is>
      </c>
      <c r="H391" s="26" t="inlineStr">
        <is>
          <t>No</t>
        </is>
      </c>
      <c r="I391" s="44" t="inlineStr">
        <is>
          <t>Not Available</t>
        </is>
      </c>
      <c r="J391" s="26" t="inlineStr">
        <is>
          <t>No</t>
        </is>
      </c>
      <c r="K391" s="27" t="n"/>
      <c r="L391" s="28" t="inlineStr">
        <is>
          <t>Yes</t>
        </is>
      </c>
      <c r="M391" s="29">
        <f>IF(E391="","",IF(H391="Yes","❌ Disc",IF(G391="No","⚠ Missing",IF(J391="Yes","✓ OK","⚠ Check"))))</f>
        <v/>
      </c>
      <c r="N391" s="43" t="n">
        <v>46196</v>
      </c>
      <c r="O391" s="26" t="inlineStr">
        <is>
          <t>Sunil CR</t>
        </is>
      </c>
      <c r="P391" s="44" t="inlineStr">
        <is>
          <t>No</t>
        </is>
      </c>
      <c r="Q391" s="26" t="inlineStr">
        <is>
          <t>No</t>
        </is>
      </c>
      <c r="R391" s="44" t="inlineStr">
        <is>
          <t>Not Available</t>
        </is>
      </c>
      <c r="S391" s="26" t="inlineStr">
        <is>
          <t>No</t>
        </is>
      </c>
      <c r="T391" s="27" t="n"/>
      <c r="U391" s="28" t="inlineStr">
        <is>
          <t>Yes</t>
        </is>
      </c>
      <c r="V391" s="29">
        <f>IF(N391="","",IF(Q391="Yes","❌ Disc",IF(P391="No","⚠ Missing",IF(S391="Yes","✓ OK","⚠ Check"))))</f>
        <v/>
      </c>
      <c r="W391" s="65" t="n">
        <v>46248</v>
      </c>
      <c r="X391" s="30" t="inlineStr">
        <is>
          <t>Sunil CR</t>
        </is>
      </c>
      <c r="Y391" s="30" t="inlineStr">
        <is>
          <t>No</t>
        </is>
      </c>
      <c r="Z391" s="30" t="n"/>
      <c r="AA391" s="30" t="inlineStr">
        <is>
          <t>Not Available</t>
        </is>
      </c>
      <c r="AB391" s="30" t="inlineStr">
        <is>
          <t>No</t>
        </is>
      </c>
      <c r="AC391" s="27" t="n"/>
      <c r="AD391" s="31" t="inlineStr">
        <is>
          <t>Yes</t>
        </is>
      </c>
      <c r="AE391" s="32">
        <f>IF(W391="","",IF(Z391="Yes","❌ Disc",IF(Y391="No","⚠ Missing",IF(AB391="Yes","✓ OK","⚠ Check"))))</f>
        <v/>
      </c>
      <c r="AF391" s="33" t="n"/>
      <c r="AG391" s="33" t="n"/>
      <c r="AH391" s="33" t="n"/>
      <c r="AI391" s="33" t="n"/>
      <c r="AJ391" s="33" t="n"/>
      <c r="AK391" s="33" t="n"/>
      <c r="AL391" s="27" t="n"/>
      <c r="AM391" s="34" t="n"/>
      <c r="AN391" s="35">
        <f>IF(AF391="","",IF(AI391="Yes","❌ Disc",IF(AH391="No","⚠ Missing",IF(AK391="Yes","✓ OK","⚠ Check"))))</f>
        <v/>
      </c>
      <c r="AO391" s="36" t="n"/>
      <c r="AP391" s="36" t="n"/>
      <c r="AQ391" s="36" t="n"/>
      <c r="AR391" s="36" t="n"/>
      <c r="AS391" s="36" t="n"/>
      <c r="AT391" s="36" t="n"/>
      <c r="AU391" s="27" t="n"/>
      <c r="AV391" s="37" t="n"/>
      <c r="AW391" s="38">
        <f>IF(AO391="","",IF(AR391="Yes","❌ Disc",IF(AQ391="No","⚠ Missing",IF(AT391="Yes","✓ OK","⚠ Check"))))</f>
        <v/>
      </c>
    </row>
    <row r="392" ht="18" customHeight="1" s="46">
      <c r="A392" s="39" t="n">
        <v>388</v>
      </c>
      <c r="B392" s="40" t="inlineStr">
        <is>
          <t>HWSS N34 SS</t>
        </is>
      </c>
      <c r="C392" s="41" t="inlineStr">
        <is>
          <t>HandleN-34</t>
        </is>
      </c>
      <c r="D392" s="39" t="inlineStr">
        <is>
          <t>Merixo</t>
        </is>
      </c>
      <c r="E392" s="43" t="n">
        <v>46125</v>
      </c>
      <c r="F392" s="26" t="inlineStr">
        <is>
          <t>Sunil CR</t>
        </is>
      </c>
      <c r="G392" s="44" t="inlineStr">
        <is>
          <t>No</t>
        </is>
      </c>
      <c r="H392" s="26" t="inlineStr">
        <is>
          <t>No</t>
        </is>
      </c>
      <c r="I392" s="44" t="inlineStr">
        <is>
          <t>Not Available</t>
        </is>
      </c>
      <c r="J392" s="26" t="inlineStr">
        <is>
          <t>No</t>
        </is>
      </c>
      <c r="K392" s="27" t="n"/>
      <c r="L392" s="28" t="inlineStr">
        <is>
          <t>Yes</t>
        </is>
      </c>
      <c r="M392" s="29">
        <f>IF(E392="","",IF(H392="Yes","❌ Disc",IF(G392="No","⚠ Missing",IF(J392="Yes","✓ OK","⚠ Check"))))</f>
        <v/>
      </c>
      <c r="N392" s="43" t="n">
        <v>46196</v>
      </c>
      <c r="O392" s="26" t="inlineStr">
        <is>
          <t>Sunil CR</t>
        </is>
      </c>
      <c r="P392" s="44" t="inlineStr">
        <is>
          <t>No</t>
        </is>
      </c>
      <c r="Q392" s="26" t="inlineStr">
        <is>
          <t>No</t>
        </is>
      </c>
      <c r="R392" s="44" t="inlineStr">
        <is>
          <t>Not Available</t>
        </is>
      </c>
      <c r="S392" s="26" t="inlineStr">
        <is>
          <t>No</t>
        </is>
      </c>
      <c r="T392" s="27" t="n"/>
      <c r="U392" s="28" t="inlineStr">
        <is>
          <t>Yes</t>
        </is>
      </c>
      <c r="V392" s="29">
        <f>IF(N392="","",IF(Q392="Yes","❌ Disc",IF(P392="No","⚠ Missing",IF(S392="Yes","✓ OK","⚠ Check"))))</f>
        <v/>
      </c>
      <c r="W392" s="65" t="n">
        <v>46248</v>
      </c>
      <c r="X392" s="30" t="inlineStr">
        <is>
          <t>Sunil CR</t>
        </is>
      </c>
      <c r="Y392" s="30" t="inlineStr">
        <is>
          <t>No</t>
        </is>
      </c>
      <c r="Z392" s="30" t="n"/>
      <c r="AA392" s="30" t="inlineStr">
        <is>
          <t>Not Available</t>
        </is>
      </c>
      <c r="AB392" s="30" t="inlineStr">
        <is>
          <t>No</t>
        </is>
      </c>
      <c r="AC392" s="27" t="n"/>
      <c r="AD392" s="31" t="inlineStr">
        <is>
          <t>Yes</t>
        </is>
      </c>
      <c r="AE392" s="32">
        <f>IF(W392="","",IF(Z392="Yes","❌ Disc",IF(Y392="No","⚠ Missing",IF(AB392="Yes","✓ OK","⚠ Check"))))</f>
        <v/>
      </c>
      <c r="AF392" s="33" t="n"/>
      <c r="AG392" s="33" t="n"/>
      <c r="AH392" s="33" t="n"/>
      <c r="AI392" s="33" t="n"/>
      <c r="AJ392" s="33" t="n"/>
      <c r="AK392" s="33" t="n"/>
      <c r="AL392" s="27" t="n"/>
      <c r="AM392" s="34" t="n"/>
      <c r="AN392" s="35">
        <f>IF(AF392="","",IF(AI392="Yes","❌ Disc",IF(AH392="No","⚠ Missing",IF(AK392="Yes","✓ OK","⚠ Check"))))</f>
        <v/>
      </c>
      <c r="AO392" s="36" t="n"/>
      <c r="AP392" s="36" t="n"/>
      <c r="AQ392" s="36" t="n"/>
      <c r="AR392" s="36" t="n"/>
      <c r="AS392" s="36" t="n"/>
      <c r="AT392" s="36" t="n"/>
      <c r="AU392" s="27" t="n"/>
      <c r="AV392" s="37" t="n"/>
      <c r="AW392" s="38">
        <f>IF(AO392="","",IF(AR392="Yes","❌ Disc",IF(AQ392="No","⚠ Missing",IF(AT392="Yes","✓ OK","⚠ Check"))))</f>
        <v/>
      </c>
    </row>
    <row r="393" ht="18" customHeight="1" s="46">
      <c r="A393" s="23" t="n">
        <v>389</v>
      </c>
      <c r="B393" s="24" t="inlineStr">
        <is>
          <t>HWSS N45 WT</t>
        </is>
      </c>
      <c r="C393" s="25" t="inlineStr">
        <is>
          <t>HandleN-45</t>
        </is>
      </c>
      <c r="D393" s="23" t="inlineStr">
        <is>
          <t>Merixo</t>
        </is>
      </c>
      <c r="E393" s="43" t="n">
        <v>46125</v>
      </c>
      <c r="F393" s="26" t="inlineStr">
        <is>
          <t>Sunil CR</t>
        </is>
      </c>
      <c r="G393" s="44" t="inlineStr">
        <is>
          <t>No</t>
        </is>
      </c>
      <c r="H393" s="26" t="inlineStr">
        <is>
          <t>No</t>
        </is>
      </c>
      <c r="I393" s="44" t="inlineStr">
        <is>
          <t>Not Available</t>
        </is>
      </c>
      <c r="J393" s="26" t="inlineStr">
        <is>
          <t>No</t>
        </is>
      </c>
      <c r="K393" s="27" t="n"/>
      <c r="L393" s="28" t="inlineStr">
        <is>
          <t>Yes</t>
        </is>
      </c>
      <c r="M393" s="29">
        <f>IF(E393="","",IF(H393="Yes","❌ Disc",IF(G393="No","⚠ Missing",IF(J393="Yes","✓ OK","⚠ Check"))))</f>
        <v/>
      </c>
      <c r="N393" s="43" t="n">
        <v>46196</v>
      </c>
      <c r="O393" s="26" t="inlineStr">
        <is>
          <t>Sunil CR</t>
        </is>
      </c>
      <c r="P393" s="44" t="inlineStr">
        <is>
          <t>No</t>
        </is>
      </c>
      <c r="Q393" s="26" t="inlineStr">
        <is>
          <t>No</t>
        </is>
      </c>
      <c r="R393" s="44" t="inlineStr">
        <is>
          <t>Not Available</t>
        </is>
      </c>
      <c r="S393" s="26" t="inlineStr">
        <is>
          <t>No</t>
        </is>
      </c>
      <c r="T393" s="27" t="n"/>
      <c r="U393" s="28" t="inlineStr">
        <is>
          <t>Yes</t>
        </is>
      </c>
      <c r="V393" s="29">
        <f>IF(N393="","",IF(Q393="Yes","❌ Disc",IF(P393="No","⚠ Missing",IF(S393="Yes","✓ OK","⚠ Check"))))</f>
        <v/>
      </c>
      <c r="W393" s="65" t="n">
        <v>46248</v>
      </c>
      <c r="X393" s="30" t="inlineStr">
        <is>
          <t>Sunil CR</t>
        </is>
      </c>
      <c r="Y393" s="30" t="inlineStr">
        <is>
          <t>No</t>
        </is>
      </c>
      <c r="Z393" s="30" t="n"/>
      <c r="AA393" s="30" t="inlineStr">
        <is>
          <t>Not Available</t>
        </is>
      </c>
      <c r="AB393" s="30" t="inlineStr">
        <is>
          <t>No</t>
        </is>
      </c>
      <c r="AC393" s="27" t="n"/>
      <c r="AD393" s="31" t="inlineStr">
        <is>
          <t>Yes</t>
        </is>
      </c>
      <c r="AE393" s="32">
        <f>IF(W393="","",IF(Z393="Yes","❌ Disc",IF(Y393="No","⚠ Missing",IF(AB393="Yes","✓ OK","⚠ Check"))))</f>
        <v/>
      </c>
      <c r="AF393" s="33" t="n"/>
      <c r="AG393" s="33" t="n"/>
      <c r="AH393" s="33" t="n"/>
      <c r="AI393" s="33" t="n"/>
      <c r="AJ393" s="33" t="n"/>
      <c r="AK393" s="33" t="n"/>
      <c r="AL393" s="27" t="n"/>
      <c r="AM393" s="34" t="n"/>
      <c r="AN393" s="35">
        <f>IF(AF393="","",IF(AI393="Yes","❌ Disc",IF(AH393="No","⚠ Missing",IF(AK393="Yes","✓ OK","⚠ Check"))))</f>
        <v/>
      </c>
      <c r="AO393" s="36" t="n"/>
      <c r="AP393" s="36" t="n"/>
      <c r="AQ393" s="36" t="n"/>
      <c r="AR393" s="36" t="n"/>
      <c r="AS393" s="36" t="n"/>
      <c r="AT393" s="36" t="n"/>
      <c r="AU393" s="27" t="n"/>
      <c r="AV393" s="37" t="n"/>
      <c r="AW393" s="38">
        <f>IF(AO393="","",IF(AR393="Yes","❌ Disc",IF(AQ393="No","⚠ Missing",IF(AT393="Yes","✓ OK","⚠ Check"))))</f>
        <v/>
      </c>
    </row>
    <row r="394" ht="18" customHeight="1" s="46">
      <c r="A394" s="39" t="n">
        <v>390</v>
      </c>
      <c r="B394" s="40" t="inlineStr">
        <is>
          <t>HWSS 347 WT 160mm</t>
        </is>
      </c>
      <c r="C394" s="41" t="inlineStr">
        <is>
          <t>Handles - 347 (CONCEALED)-160 mm-White/Chrome Plated</t>
        </is>
      </c>
      <c r="D394" s="39" t="inlineStr">
        <is>
          <t>Merixo</t>
        </is>
      </c>
      <c r="E394" s="43" t="n">
        <v>46125</v>
      </c>
      <c r="F394" s="26" t="inlineStr">
        <is>
          <t>Sunil CR</t>
        </is>
      </c>
      <c r="G394" s="44" t="inlineStr">
        <is>
          <t>No</t>
        </is>
      </c>
      <c r="H394" s="26" t="inlineStr">
        <is>
          <t>No</t>
        </is>
      </c>
      <c r="I394" s="44" t="inlineStr">
        <is>
          <t>Not Available</t>
        </is>
      </c>
      <c r="J394" s="26" t="inlineStr">
        <is>
          <t>No</t>
        </is>
      </c>
      <c r="K394" s="27" t="n"/>
      <c r="L394" s="28" t="inlineStr">
        <is>
          <t>Yes</t>
        </is>
      </c>
      <c r="M394" s="29">
        <f>IF(E394="","",IF(H394="Yes","❌ Disc",IF(G394="No","⚠ Missing",IF(J394="Yes","✓ OK","⚠ Check"))))</f>
        <v/>
      </c>
      <c r="N394" s="43" t="n">
        <v>46196</v>
      </c>
      <c r="O394" s="26" t="inlineStr">
        <is>
          <t>Sunil CR</t>
        </is>
      </c>
      <c r="P394" s="44" t="inlineStr">
        <is>
          <t>No</t>
        </is>
      </c>
      <c r="Q394" s="26" t="inlineStr">
        <is>
          <t>No</t>
        </is>
      </c>
      <c r="R394" s="44" t="inlineStr">
        <is>
          <t>Not Available</t>
        </is>
      </c>
      <c r="S394" s="26" t="inlineStr">
        <is>
          <t>No</t>
        </is>
      </c>
      <c r="T394" s="27" t="n"/>
      <c r="U394" s="28" t="inlineStr">
        <is>
          <t>Yes</t>
        </is>
      </c>
      <c r="V394" s="29">
        <f>IF(N394="","",IF(Q394="Yes","❌ Disc",IF(P394="No","⚠ Missing",IF(S394="Yes","✓ OK","⚠ Check"))))</f>
        <v/>
      </c>
      <c r="W394" s="65" t="n">
        <v>46248</v>
      </c>
      <c r="X394" s="30" t="inlineStr">
        <is>
          <t>Sunil CR</t>
        </is>
      </c>
      <c r="Y394" s="30" t="inlineStr">
        <is>
          <t>No</t>
        </is>
      </c>
      <c r="Z394" s="30" t="n"/>
      <c r="AA394" s="30" t="inlineStr">
        <is>
          <t>Not Available</t>
        </is>
      </c>
      <c r="AB394" s="30" t="inlineStr">
        <is>
          <t>No</t>
        </is>
      </c>
      <c r="AC394" s="27" t="n"/>
      <c r="AD394" s="31" t="inlineStr">
        <is>
          <t>Yes</t>
        </is>
      </c>
      <c r="AE394" s="32">
        <f>IF(W394="","",IF(Z394="Yes","❌ Disc",IF(Y394="No","⚠ Missing",IF(AB394="Yes","✓ OK","⚠ Check"))))</f>
        <v/>
      </c>
      <c r="AF394" s="33" t="n"/>
      <c r="AG394" s="33" t="n"/>
      <c r="AH394" s="33" t="n"/>
      <c r="AI394" s="33" t="n"/>
      <c r="AJ394" s="33" t="n"/>
      <c r="AK394" s="33" t="n"/>
      <c r="AL394" s="27" t="n"/>
      <c r="AM394" s="34" t="n"/>
      <c r="AN394" s="35">
        <f>IF(AF394="","",IF(AI394="Yes","❌ Disc",IF(AH394="No","⚠ Missing",IF(AK394="Yes","✓ OK","⚠ Check"))))</f>
        <v/>
      </c>
      <c r="AO394" s="36" t="n"/>
      <c r="AP394" s="36" t="n"/>
      <c r="AQ394" s="36" t="n"/>
      <c r="AR394" s="36" t="n"/>
      <c r="AS394" s="36" t="n"/>
      <c r="AT394" s="36" t="n"/>
      <c r="AU394" s="27" t="n"/>
      <c r="AV394" s="37" t="n"/>
      <c r="AW394" s="38">
        <f>IF(AO394="","",IF(AR394="Yes","❌ Disc",IF(AQ394="No","⚠ Missing",IF(AT394="Yes","✓ OK","⚠ Check"))))</f>
        <v/>
      </c>
    </row>
    <row r="395" ht="18" customHeight="1" s="46">
      <c r="A395" s="23" t="n">
        <v>391</v>
      </c>
      <c r="B395" s="24" t="inlineStr">
        <is>
          <t>HWSS 347 WD 160mm</t>
        </is>
      </c>
      <c r="C395" s="25" t="inlineStr">
        <is>
          <t>Handles - 347 (CONCEALED)-160 mm-Wood/Chrome Plated</t>
        </is>
      </c>
      <c r="D395" s="23" t="inlineStr">
        <is>
          <t>Merixo</t>
        </is>
      </c>
      <c r="E395" s="43" t="n">
        <v>46125</v>
      </c>
      <c r="F395" s="26" t="inlineStr">
        <is>
          <t>Sunil CR</t>
        </is>
      </c>
      <c r="G395" s="44" t="inlineStr">
        <is>
          <t>No</t>
        </is>
      </c>
      <c r="H395" s="26" t="inlineStr">
        <is>
          <t>No</t>
        </is>
      </c>
      <c r="I395" s="44" t="inlineStr">
        <is>
          <t>Not Available</t>
        </is>
      </c>
      <c r="J395" s="26" t="inlineStr">
        <is>
          <t>No</t>
        </is>
      </c>
      <c r="K395" s="27" t="n"/>
      <c r="L395" s="28" t="inlineStr">
        <is>
          <t>Yes</t>
        </is>
      </c>
      <c r="M395" s="29">
        <f>IF(E395="","",IF(H395="Yes","❌ Disc",IF(G395="No","⚠ Missing",IF(J395="Yes","✓ OK","⚠ Check"))))</f>
        <v/>
      </c>
      <c r="N395" s="43" t="n">
        <v>46196</v>
      </c>
      <c r="O395" s="26" t="inlineStr">
        <is>
          <t>Sunil CR</t>
        </is>
      </c>
      <c r="P395" s="44" t="inlineStr">
        <is>
          <t>No</t>
        </is>
      </c>
      <c r="Q395" s="26" t="inlineStr">
        <is>
          <t>No</t>
        </is>
      </c>
      <c r="R395" s="44" t="inlineStr">
        <is>
          <t>Not Available</t>
        </is>
      </c>
      <c r="S395" s="26" t="inlineStr">
        <is>
          <t>No</t>
        </is>
      </c>
      <c r="T395" s="27" t="n"/>
      <c r="U395" s="28" t="inlineStr">
        <is>
          <t>Yes</t>
        </is>
      </c>
      <c r="V395" s="29">
        <f>IF(N395="","",IF(Q395="Yes","❌ Disc",IF(P395="No","⚠ Missing",IF(S395="Yes","✓ OK","⚠ Check"))))</f>
        <v/>
      </c>
      <c r="W395" s="65" t="n">
        <v>46248</v>
      </c>
      <c r="X395" s="30" t="inlineStr">
        <is>
          <t>Sunil CR</t>
        </is>
      </c>
      <c r="Y395" s="30" t="inlineStr">
        <is>
          <t>No</t>
        </is>
      </c>
      <c r="Z395" s="30" t="n"/>
      <c r="AA395" s="30" t="inlineStr">
        <is>
          <t>Not Available</t>
        </is>
      </c>
      <c r="AB395" s="30" t="inlineStr">
        <is>
          <t>No</t>
        </is>
      </c>
      <c r="AC395" s="27" t="n"/>
      <c r="AD395" s="31" t="inlineStr">
        <is>
          <t>Yes</t>
        </is>
      </c>
      <c r="AE395" s="32">
        <f>IF(W395="","",IF(Z395="Yes","❌ Disc",IF(Y395="No","⚠ Missing",IF(AB395="Yes","✓ OK","⚠ Check"))))</f>
        <v/>
      </c>
      <c r="AF395" s="33" t="n"/>
      <c r="AG395" s="33" t="n"/>
      <c r="AH395" s="33" t="n"/>
      <c r="AI395" s="33" t="n"/>
      <c r="AJ395" s="33" t="n"/>
      <c r="AK395" s="33" t="n"/>
      <c r="AL395" s="27" t="n"/>
      <c r="AM395" s="34" t="n"/>
      <c r="AN395" s="35">
        <f>IF(AF395="","",IF(AI395="Yes","❌ Disc",IF(AH395="No","⚠ Missing",IF(AK395="Yes","✓ OK","⚠ Check"))))</f>
        <v/>
      </c>
      <c r="AO395" s="36" t="n"/>
      <c r="AP395" s="36" t="n"/>
      <c r="AQ395" s="36" t="n"/>
      <c r="AR395" s="36" t="n"/>
      <c r="AS395" s="36" t="n"/>
      <c r="AT395" s="36" t="n"/>
      <c r="AU395" s="27" t="n"/>
      <c r="AV395" s="37" t="n"/>
      <c r="AW395" s="38">
        <f>IF(AO395="","",IF(AR395="Yes","❌ Disc",IF(AQ395="No","⚠ Missing",IF(AT395="Yes","✓ OK","⚠ Check"))))</f>
        <v/>
      </c>
    </row>
    <row r="396" ht="18" customHeight="1" s="46">
      <c r="A396" s="39" t="n">
        <v>392</v>
      </c>
      <c r="B396" s="40" t="inlineStr">
        <is>
          <t>HWSS 347 WT 224mm</t>
        </is>
      </c>
      <c r="C396" s="41" t="inlineStr">
        <is>
          <t>Handles - 347 (CONCEALED)-224 mm-White/Chrome Plated</t>
        </is>
      </c>
      <c r="D396" s="39" t="inlineStr">
        <is>
          <t>Merixo</t>
        </is>
      </c>
      <c r="E396" s="43" t="n">
        <v>46125</v>
      </c>
      <c r="F396" s="26" t="inlineStr">
        <is>
          <t>Sunil CR</t>
        </is>
      </c>
      <c r="G396" s="44" t="inlineStr">
        <is>
          <t>No</t>
        </is>
      </c>
      <c r="H396" s="26" t="inlineStr">
        <is>
          <t>No</t>
        </is>
      </c>
      <c r="I396" s="44" t="inlineStr">
        <is>
          <t>Not Available</t>
        </is>
      </c>
      <c r="J396" s="26" t="inlineStr">
        <is>
          <t>No</t>
        </is>
      </c>
      <c r="K396" s="27" t="n"/>
      <c r="L396" s="28" t="inlineStr">
        <is>
          <t>Yes</t>
        </is>
      </c>
      <c r="M396" s="29">
        <f>IF(E396="","",IF(H396="Yes","❌ Disc",IF(G396="No","⚠ Missing",IF(J396="Yes","✓ OK","⚠ Check"))))</f>
        <v/>
      </c>
      <c r="N396" s="43" t="n">
        <v>46196</v>
      </c>
      <c r="O396" s="26" t="inlineStr">
        <is>
          <t>Sunil CR</t>
        </is>
      </c>
      <c r="P396" s="44" t="inlineStr">
        <is>
          <t>No</t>
        </is>
      </c>
      <c r="Q396" s="26" t="inlineStr">
        <is>
          <t>No</t>
        </is>
      </c>
      <c r="R396" s="44" t="inlineStr">
        <is>
          <t>Not Available</t>
        </is>
      </c>
      <c r="S396" s="26" t="inlineStr">
        <is>
          <t>No</t>
        </is>
      </c>
      <c r="T396" s="27" t="n"/>
      <c r="U396" s="28" t="inlineStr">
        <is>
          <t>Yes</t>
        </is>
      </c>
      <c r="V396" s="29">
        <f>IF(N396="","",IF(Q396="Yes","❌ Disc",IF(P396="No","⚠ Missing",IF(S396="Yes","✓ OK","⚠ Check"))))</f>
        <v/>
      </c>
      <c r="W396" s="65" t="n">
        <v>46248</v>
      </c>
      <c r="X396" s="30" t="inlineStr">
        <is>
          <t>Sunil CR</t>
        </is>
      </c>
      <c r="Y396" s="30" t="inlineStr">
        <is>
          <t>No</t>
        </is>
      </c>
      <c r="Z396" s="30" t="n"/>
      <c r="AA396" s="30" t="inlineStr">
        <is>
          <t>Not Available</t>
        </is>
      </c>
      <c r="AB396" s="30" t="inlineStr">
        <is>
          <t>No</t>
        </is>
      </c>
      <c r="AC396" s="27" t="n"/>
      <c r="AD396" s="31" t="inlineStr">
        <is>
          <t>Yes</t>
        </is>
      </c>
      <c r="AE396" s="32">
        <f>IF(W396="","",IF(Z396="Yes","❌ Disc",IF(Y396="No","⚠ Missing",IF(AB396="Yes","✓ OK","⚠ Check"))))</f>
        <v/>
      </c>
      <c r="AF396" s="33" t="n"/>
      <c r="AG396" s="33" t="n"/>
      <c r="AH396" s="33" t="n"/>
      <c r="AI396" s="33" t="n"/>
      <c r="AJ396" s="33" t="n"/>
      <c r="AK396" s="33" t="n"/>
      <c r="AL396" s="27" t="n"/>
      <c r="AM396" s="34" t="n"/>
      <c r="AN396" s="35">
        <f>IF(AF396="","",IF(AI396="Yes","❌ Disc",IF(AH396="No","⚠ Missing",IF(AK396="Yes","✓ OK","⚠ Check"))))</f>
        <v/>
      </c>
      <c r="AO396" s="36" t="n"/>
      <c r="AP396" s="36" t="n"/>
      <c r="AQ396" s="36" t="n"/>
      <c r="AR396" s="36" t="n"/>
      <c r="AS396" s="36" t="n"/>
      <c r="AT396" s="36" t="n"/>
      <c r="AU396" s="27" t="n"/>
      <c r="AV396" s="37" t="n"/>
      <c r="AW396" s="38">
        <f>IF(AO396="","",IF(AR396="Yes","❌ Disc",IF(AQ396="No","⚠ Missing",IF(AT396="Yes","✓ OK","⚠ Check"))))</f>
        <v/>
      </c>
    </row>
    <row r="397" ht="18" customHeight="1" s="46">
      <c r="A397" s="23" t="n">
        <v>393</v>
      </c>
      <c r="B397" s="24" t="inlineStr">
        <is>
          <t>HWSS 347 WD 224mm</t>
        </is>
      </c>
      <c r="C397" s="25" t="inlineStr">
        <is>
          <t>Handles - 347 (CONCEALED)-224 mm-Wood/Chrome Plated</t>
        </is>
      </c>
      <c r="D397" s="23" t="inlineStr">
        <is>
          <t>Merixo</t>
        </is>
      </c>
      <c r="E397" s="43" t="n">
        <v>46125</v>
      </c>
      <c r="F397" s="26" t="inlineStr">
        <is>
          <t>Sunil CR</t>
        </is>
      </c>
      <c r="G397" s="44" t="inlineStr">
        <is>
          <t>No</t>
        </is>
      </c>
      <c r="H397" s="26" t="inlineStr">
        <is>
          <t>No</t>
        </is>
      </c>
      <c r="I397" s="44" t="inlineStr">
        <is>
          <t>Not Available</t>
        </is>
      </c>
      <c r="J397" s="26" t="inlineStr">
        <is>
          <t>No</t>
        </is>
      </c>
      <c r="K397" s="27" t="n"/>
      <c r="L397" s="28" t="inlineStr">
        <is>
          <t>Yes</t>
        </is>
      </c>
      <c r="M397" s="29">
        <f>IF(E397="","",IF(H397="Yes","❌ Disc",IF(G397="No","⚠ Missing",IF(J397="Yes","✓ OK","⚠ Check"))))</f>
        <v/>
      </c>
      <c r="N397" s="43" t="n">
        <v>46196</v>
      </c>
      <c r="O397" s="26" t="inlineStr">
        <is>
          <t>Sunil CR</t>
        </is>
      </c>
      <c r="P397" s="44" t="inlineStr">
        <is>
          <t>No</t>
        </is>
      </c>
      <c r="Q397" s="26" t="inlineStr">
        <is>
          <t>No</t>
        </is>
      </c>
      <c r="R397" s="44" t="inlineStr">
        <is>
          <t>Not Available</t>
        </is>
      </c>
      <c r="S397" s="26" t="inlineStr">
        <is>
          <t>No</t>
        </is>
      </c>
      <c r="T397" s="27" t="n"/>
      <c r="U397" s="28" t="inlineStr">
        <is>
          <t>Yes</t>
        </is>
      </c>
      <c r="V397" s="29">
        <f>IF(N397="","",IF(Q397="Yes","❌ Disc",IF(P397="No","⚠ Missing",IF(S397="Yes","✓ OK","⚠ Check"))))</f>
        <v/>
      </c>
      <c r="W397" s="65" t="n">
        <v>46248</v>
      </c>
      <c r="X397" s="30" t="inlineStr">
        <is>
          <t>Sunil CR</t>
        </is>
      </c>
      <c r="Y397" s="30" t="inlineStr">
        <is>
          <t>No</t>
        </is>
      </c>
      <c r="Z397" s="30" t="n"/>
      <c r="AA397" s="30" t="inlineStr">
        <is>
          <t>Not Available</t>
        </is>
      </c>
      <c r="AB397" s="30" t="inlineStr">
        <is>
          <t>No</t>
        </is>
      </c>
      <c r="AC397" s="27" t="n"/>
      <c r="AD397" s="31" t="inlineStr">
        <is>
          <t>Yes</t>
        </is>
      </c>
      <c r="AE397" s="32">
        <f>IF(W397="","",IF(Z397="Yes","❌ Disc",IF(Y397="No","⚠ Missing",IF(AB397="Yes","✓ OK","⚠ Check"))))</f>
        <v/>
      </c>
      <c r="AF397" s="33" t="n"/>
      <c r="AG397" s="33" t="n"/>
      <c r="AH397" s="33" t="n"/>
      <c r="AI397" s="33" t="n"/>
      <c r="AJ397" s="33" t="n"/>
      <c r="AK397" s="33" t="n"/>
      <c r="AL397" s="27" t="n"/>
      <c r="AM397" s="34" t="n"/>
      <c r="AN397" s="35">
        <f>IF(AF397="","",IF(AI397="Yes","❌ Disc",IF(AH397="No","⚠ Missing",IF(AK397="Yes","✓ OK","⚠ Check"))))</f>
        <v/>
      </c>
      <c r="AO397" s="36" t="n"/>
      <c r="AP397" s="36" t="n"/>
      <c r="AQ397" s="36" t="n"/>
      <c r="AR397" s="36" t="n"/>
      <c r="AS397" s="36" t="n"/>
      <c r="AT397" s="36" t="n"/>
      <c r="AU397" s="27" t="n"/>
      <c r="AV397" s="37" t="n"/>
      <c r="AW397" s="38">
        <f>IF(AO397="","",IF(AR397="Yes","❌ Disc",IF(AQ397="No","⚠ Missing",IF(AT397="Yes","✓ OK","⚠ Check"))))</f>
        <v/>
      </c>
    </row>
    <row r="398" ht="18" customHeight="1" s="46">
      <c r="A398" s="39" t="n">
        <v>394</v>
      </c>
      <c r="B398" s="40" t="inlineStr">
        <is>
          <t>HWSS 347 WT 96mm</t>
        </is>
      </c>
      <c r="C398" s="41" t="inlineStr">
        <is>
          <t>Handles - 347 (CONCEALED)-96 mm-White/Chrome Plated</t>
        </is>
      </c>
      <c r="D398" s="39" t="inlineStr">
        <is>
          <t>Merixo</t>
        </is>
      </c>
      <c r="E398" s="43" t="n">
        <v>46125</v>
      </c>
      <c r="F398" s="26" t="inlineStr">
        <is>
          <t>Sunil CR</t>
        </is>
      </c>
      <c r="G398" s="44" t="inlineStr">
        <is>
          <t>No</t>
        </is>
      </c>
      <c r="H398" s="26" t="inlineStr">
        <is>
          <t>No</t>
        </is>
      </c>
      <c r="I398" s="44" t="inlineStr">
        <is>
          <t>Not Available</t>
        </is>
      </c>
      <c r="J398" s="26" t="inlineStr">
        <is>
          <t>No</t>
        </is>
      </c>
      <c r="K398" s="27" t="n"/>
      <c r="L398" s="28" t="inlineStr">
        <is>
          <t>Yes</t>
        </is>
      </c>
      <c r="M398" s="29">
        <f>IF(E398="","",IF(H398="Yes","❌ Disc",IF(G398="No","⚠ Missing",IF(J398="Yes","✓ OK","⚠ Check"))))</f>
        <v/>
      </c>
      <c r="N398" s="43" t="n">
        <v>46196</v>
      </c>
      <c r="O398" s="26" t="inlineStr">
        <is>
          <t>Sunil CR</t>
        </is>
      </c>
      <c r="P398" s="44" t="inlineStr">
        <is>
          <t>No</t>
        </is>
      </c>
      <c r="Q398" s="26" t="inlineStr">
        <is>
          <t>No</t>
        </is>
      </c>
      <c r="R398" s="44" t="inlineStr">
        <is>
          <t>Not Available</t>
        </is>
      </c>
      <c r="S398" s="26" t="inlineStr">
        <is>
          <t>No</t>
        </is>
      </c>
      <c r="T398" s="27" t="n"/>
      <c r="U398" s="28" t="inlineStr">
        <is>
          <t>Yes</t>
        </is>
      </c>
      <c r="V398" s="29">
        <f>IF(N398="","",IF(Q398="Yes","❌ Disc",IF(P398="No","⚠ Missing",IF(S398="Yes","✓ OK","⚠ Check"))))</f>
        <v/>
      </c>
      <c r="W398" s="65" t="n">
        <v>46248</v>
      </c>
      <c r="X398" s="30" t="inlineStr">
        <is>
          <t>Sunil CR</t>
        </is>
      </c>
      <c r="Y398" s="30" t="inlineStr">
        <is>
          <t>No</t>
        </is>
      </c>
      <c r="Z398" s="30" t="n"/>
      <c r="AA398" s="30" t="inlineStr">
        <is>
          <t>Not Available</t>
        </is>
      </c>
      <c r="AB398" s="30" t="inlineStr">
        <is>
          <t>No</t>
        </is>
      </c>
      <c r="AC398" s="27" t="n"/>
      <c r="AD398" s="31" t="inlineStr">
        <is>
          <t>Yes</t>
        </is>
      </c>
      <c r="AE398" s="32">
        <f>IF(W398="","",IF(Z398="Yes","❌ Disc",IF(Y398="No","⚠ Missing",IF(AB398="Yes","✓ OK","⚠ Check"))))</f>
        <v/>
      </c>
      <c r="AF398" s="33" t="n"/>
      <c r="AG398" s="33" t="n"/>
      <c r="AH398" s="33" t="n"/>
      <c r="AI398" s="33" t="n"/>
      <c r="AJ398" s="33" t="n"/>
      <c r="AK398" s="33" t="n"/>
      <c r="AL398" s="27" t="n"/>
      <c r="AM398" s="34" t="n"/>
      <c r="AN398" s="35">
        <f>IF(AF398="","",IF(AI398="Yes","❌ Disc",IF(AH398="No","⚠ Missing",IF(AK398="Yes","✓ OK","⚠ Check"))))</f>
        <v/>
      </c>
      <c r="AO398" s="36" t="n"/>
      <c r="AP398" s="36" t="n"/>
      <c r="AQ398" s="36" t="n"/>
      <c r="AR398" s="36" t="n"/>
      <c r="AS398" s="36" t="n"/>
      <c r="AT398" s="36" t="n"/>
      <c r="AU398" s="27" t="n"/>
      <c r="AV398" s="37" t="n"/>
      <c r="AW398" s="38">
        <f>IF(AO398="","",IF(AR398="Yes","❌ Disc",IF(AQ398="No","⚠ Missing",IF(AT398="Yes","✓ OK","⚠ Check"))))</f>
        <v/>
      </c>
    </row>
    <row r="399" ht="18" customHeight="1" s="46">
      <c r="A399" s="23" t="n">
        <v>395</v>
      </c>
      <c r="B399" s="24" t="inlineStr">
        <is>
          <t>HWSS 347 WD 96mm</t>
        </is>
      </c>
      <c r="C399" s="25" t="inlineStr">
        <is>
          <t>Handles - 347 (CONCEALED)-96 mm-Wood/Chrome Plated</t>
        </is>
      </c>
      <c r="D399" s="23" t="inlineStr">
        <is>
          <t>Merixo</t>
        </is>
      </c>
      <c r="E399" s="43" t="n">
        <v>46125</v>
      </c>
      <c r="F399" s="26" t="inlineStr">
        <is>
          <t>Sunil CR</t>
        </is>
      </c>
      <c r="G399" s="44" t="inlineStr">
        <is>
          <t>No</t>
        </is>
      </c>
      <c r="H399" s="26" t="inlineStr">
        <is>
          <t>No</t>
        </is>
      </c>
      <c r="I399" s="44" t="inlineStr">
        <is>
          <t>Not Available</t>
        </is>
      </c>
      <c r="J399" s="26" t="inlineStr">
        <is>
          <t>No</t>
        </is>
      </c>
      <c r="K399" s="27" t="n"/>
      <c r="L399" s="28" t="inlineStr">
        <is>
          <t>Yes</t>
        </is>
      </c>
      <c r="M399" s="29">
        <f>IF(E399="","",IF(H399="Yes","❌ Disc",IF(G399="No","⚠ Missing",IF(J399="Yes","✓ OK","⚠ Check"))))</f>
        <v/>
      </c>
      <c r="N399" s="43" t="n">
        <v>46196</v>
      </c>
      <c r="O399" s="26" t="inlineStr">
        <is>
          <t>Sunil CR</t>
        </is>
      </c>
      <c r="P399" s="44" t="inlineStr">
        <is>
          <t>No</t>
        </is>
      </c>
      <c r="Q399" s="26" t="inlineStr">
        <is>
          <t>No</t>
        </is>
      </c>
      <c r="R399" s="44" t="inlineStr">
        <is>
          <t>Not Available</t>
        </is>
      </c>
      <c r="S399" s="26" t="inlineStr">
        <is>
          <t>No</t>
        </is>
      </c>
      <c r="T399" s="27" t="n"/>
      <c r="U399" s="28" t="inlineStr">
        <is>
          <t>Yes</t>
        </is>
      </c>
      <c r="V399" s="29">
        <f>IF(N399="","",IF(Q399="Yes","❌ Disc",IF(P399="No","⚠ Missing",IF(S399="Yes","✓ OK","⚠ Check"))))</f>
        <v/>
      </c>
      <c r="W399" s="65" t="n">
        <v>46248</v>
      </c>
      <c r="X399" s="30" t="inlineStr">
        <is>
          <t>Sunil CR</t>
        </is>
      </c>
      <c r="Y399" s="30" t="inlineStr">
        <is>
          <t>No</t>
        </is>
      </c>
      <c r="Z399" s="30" t="n"/>
      <c r="AA399" s="30" t="inlineStr">
        <is>
          <t>Not Available</t>
        </is>
      </c>
      <c r="AB399" s="30" t="inlineStr">
        <is>
          <t>No</t>
        </is>
      </c>
      <c r="AC399" s="27" t="n"/>
      <c r="AD399" s="31" t="inlineStr">
        <is>
          <t>Yes</t>
        </is>
      </c>
      <c r="AE399" s="32">
        <f>IF(W399="","",IF(Z399="Yes","❌ Disc",IF(Y399="No","⚠ Missing",IF(AB399="Yes","✓ OK","⚠ Check"))))</f>
        <v/>
      </c>
      <c r="AF399" s="33" t="n"/>
      <c r="AG399" s="33" t="n"/>
      <c r="AH399" s="33" t="n"/>
      <c r="AI399" s="33" t="n"/>
      <c r="AJ399" s="33" t="n"/>
      <c r="AK399" s="33" t="n"/>
      <c r="AL399" s="27" t="n"/>
      <c r="AM399" s="34" t="n"/>
      <c r="AN399" s="35">
        <f>IF(AF399="","",IF(AI399="Yes","❌ Disc",IF(AH399="No","⚠ Missing",IF(AK399="Yes","✓ OK","⚠ Check"))))</f>
        <v/>
      </c>
      <c r="AO399" s="36" t="n"/>
      <c r="AP399" s="36" t="n"/>
      <c r="AQ399" s="36" t="n"/>
      <c r="AR399" s="36" t="n"/>
      <c r="AS399" s="36" t="n"/>
      <c r="AT399" s="36" t="n"/>
      <c r="AU399" s="27" t="n"/>
      <c r="AV399" s="37" t="n"/>
      <c r="AW399" s="38">
        <f>IF(AO399="","",IF(AR399="Yes","❌ Disc",IF(AQ399="No","⚠ Missing",IF(AT399="Yes","✓ OK","⚠ Check"))))</f>
        <v/>
      </c>
    </row>
    <row r="400" ht="18" customHeight="1" s="46">
      <c r="A400" s="39" t="n">
        <v>396</v>
      </c>
      <c r="B400" s="40" t="inlineStr">
        <is>
          <t>HWSS 354 BLK 160mm</t>
        </is>
      </c>
      <c r="C400" s="41" t="inlineStr">
        <is>
          <t>Handles - 354 (CONCEALED)-160 mm-Black/Stainless Steel</t>
        </is>
      </c>
      <c r="D400" s="39" t="inlineStr">
        <is>
          <t>Merixo</t>
        </is>
      </c>
      <c r="E400" s="43" t="n">
        <v>46125</v>
      </c>
      <c r="F400" s="26" t="inlineStr">
        <is>
          <t>Sunil CR</t>
        </is>
      </c>
      <c r="G400" s="44" t="inlineStr">
        <is>
          <t>No</t>
        </is>
      </c>
      <c r="H400" s="26" t="inlineStr">
        <is>
          <t>No</t>
        </is>
      </c>
      <c r="I400" s="44" t="inlineStr">
        <is>
          <t>Not Available</t>
        </is>
      </c>
      <c r="J400" s="26" t="inlineStr">
        <is>
          <t>No</t>
        </is>
      </c>
      <c r="K400" s="27" t="n"/>
      <c r="L400" s="28" t="inlineStr">
        <is>
          <t>Yes</t>
        </is>
      </c>
      <c r="M400" s="29">
        <f>IF(E400="","",IF(H400="Yes","❌ Disc",IF(G400="No","⚠ Missing",IF(J400="Yes","✓ OK","⚠ Check"))))</f>
        <v/>
      </c>
      <c r="N400" s="43" t="n">
        <v>46196</v>
      </c>
      <c r="O400" s="26" t="inlineStr">
        <is>
          <t>Sunil CR</t>
        </is>
      </c>
      <c r="P400" s="44" t="inlineStr">
        <is>
          <t>No</t>
        </is>
      </c>
      <c r="Q400" s="26" t="inlineStr">
        <is>
          <t>No</t>
        </is>
      </c>
      <c r="R400" s="44" t="inlineStr">
        <is>
          <t>Not Available</t>
        </is>
      </c>
      <c r="S400" s="26" t="inlineStr">
        <is>
          <t>No</t>
        </is>
      </c>
      <c r="T400" s="27" t="n"/>
      <c r="U400" s="28" t="inlineStr">
        <is>
          <t>Yes</t>
        </is>
      </c>
      <c r="V400" s="29">
        <f>IF(N400="","",IF(Q400="Yes","❌ Disc",IF(P400="No","⚠ Missing",IF(S400="Yes","✓ OK","⚠ Check"))))</f>
        <v/>
      </c>
      <c r="W400" s="65" t="n">
        <v>46248</v>
      </c>
      <c r="X400" s="30" t="inlineStr">
        <is>
          <t>Sunil CR</t>
        </is>
      </c>
      <c r="Y400" s="30" t="inlineStr">
        <is>
          <t>No</t>
        </is>
      </c>
      <c r="Z400" s="30" t="n"/>
      <c r="AA400" s="30" t="inlineStr">
        <is>
          <t>Not Available</t>
        </is>
      </c>
      <c r="AB400" s="30" t="inlineStr">
        <is>
          <t>No</t>
        </is>
      </c>
      <c r="AC400" s="27" t="n"/>
      <c r="AD400" s="31" t="inlineStr">
        <is>
          <t>Yes</t>
        </is>
      </c>
      <c r="AE400" s="32">
        <f>IF(W400="","",IF(Z400="Yes","❌ Disc",IF(Y400="No","⚠ Missing",IF(AB400="Yes","✓ OK","⚠ Check"))))</f>
        <v/>
      </c>
      <c r="AF400" s="33" t="n"/>
      <c r="AG400" s="33" t="n"/>
      <c r="AH400" s="33" t="n"/>
      <c r="AI400" s="33" t="n"/>
      <c r="AJ400" s="33" t="n"/>
      <c r="AK400" s="33" t="n"/>
      <c r="AL400" s="27" t="n"/>
      <c r="AM400" s="34" t="n"/>
      <c r="AN400" s="35">
        <f>IF(AF400="","",IF(AI400="Yes","❌ Disc",IF(AH400="No","⚠ Missing",IF(AK400="Yes","✓ OK","⚠ Check"))))</f>
        <v/>
      </c>
      <c r="AO400" s="36" t="n"/>
      <c r="AP400" s="36" t="n"/>
      <c r="AQ400" s="36" t="n"/>
      <c r="AR400" s="36" t="n"/>
      <c r="AS400" s="36" t="n"/>
      <c r="AT400" s="36" t="n"/>
      <c r="AU400" s="27" t="n"/>
      <c r="AV400" s="37" t="n"/>
      <c r="AW400" s="38">
        <f>IF(AO400="","",IF(AR400="Yes","❌ Disc",IF(AQ400="No","⚠ Missing",IF(AT400="Yes","✓ OK","⚠ Check"))))</f>
        <v/>
      </c>
    </row>
    <row r="401" ht="18" customHeight="1" s="46">
      <c r="A401" s="23" t="n">
        <v>397</v>
      </c>
      <c r="B401" s="24" t="inlineStr">
        <is>
          <t>HWSS 354 BLK 224mm</t>
        </is>
      </c>
      <c r="C401" s="25" t="inlineStr">
        <is>
          <t>Handles - 354 (CONCEALED)-224 mm-Black/Stainless Steel</t>
        </is>
      </c>
      <c r="D401" s="23" t="inlineStr">
        <is>
          <t>Merixo</t>
        </is>
      </c>
      <c r="E401" s="43" t="n">
        <v>46125</v>
      </c>
      <c r="F401" s="26" t="inlineStr">
        <is>
          <t>Sunil CR</t>
        </is>
      </c>
      <c r="G401" s="44" t="inlineStr">
        <is>
          <t>No</t>
        </is>
      </c>
      <c r="H401" s="26" t="inlineStr">
        <is>
          <t>No</t>
        </is>
      </c>
      <c r="I401" s="44" t="inlineStr">
        <is>
          <t>Not Available</t>
        </is>
      </c>
      <c r="J401" s="26" t="inlineStr">
        <is>
          <t>No</t>
        </is>
      </c>
      <c r="K401" s="27" t="n"/>
      <c r="L401" s="28" t="inlineStr">
        <is>
          <t>Yes</t>
        </is>
      </c>
      <c r="M401" s="29">
        <f>IF(E401="","",IF(H401="Yes","❌ Disc",IF(G401="No","⚠ Missing",IF(J401="Yes","✓ OK","⚠ Check"))))</f>
        <v/>
      </c>
      <c r="N401" s="43" t="n">
        <v>46196</v>
      </c>
      <c r="O401" s="26" t="inlineStr">
        <is>
          <t>Sunil CR</t>
        </is>
      </c>
      <c r="P401" s="44" t="inlineStr">
        <is>
          <t>No</t>
        </is>
      </c>
      <c r="Q401" s="26" t="inlineStr">
        <is>
          <t>No</t>
        </is>
      </c>
      <c r="R401" s="44" t="inlineStr">
        <is>
          <t>Not Available</t>
        </is>
      </c>
      <c r="S401" s="26" t="inlineStr">
        <is>
          <t>No</t>
        </is>
      </c>
      <c r="T401" s="27" t="n"/>
      <c r="U401" s="28" t="inlineStr">
        <is>
          <t>Yes</t>
        </is>
      </c>
      <c r="V401" s="29">
        <f>IF(N401="","",IF(Q401="Yes","❌ Disc",IF(P401="No","⚠ Missing",IF(S401="Yes","✓ OK","⚠ Check"))))</f>
        <v/>
      </c>
      <c r="W401" s="65" t="n">
        <v>46248</v>
      </c>
      <c r="X401" s="30" t="inlineStr">
        <is>
          <t>Sunil CR</t>
        </is>
      </c>
      <c r="Y401" s="30" t="inlineStr">
        <is>
          <t>No</t>
        </is>
      </c>
      <c r="Z401" s="30" t="n"/>
      <c r="AA401" s="30" t="inlineStr">
        <is>
          <t>Not Available</t>
        </is>
      </c>
      <c r="AB401" s="30" t="inlineStr">
        <is>
          <t>No</t>
        </is>
      </c>
      <c r="AC401" s="27" t="n"/>
      <c r="AD401" s="31" t="inlineStr">
        <is>
          <t>Yes</t>
        </is>
      </c>
      <c r="AE401" s="32">
        <f>IF(W401="","",IF(Z401="Yes","❌ Disc",IF(Y401="No","⚠ Missing",IF(AB401="Yes","✓ OK","⚠ Check"))))</f>
        <v/>
      </c>
      <c r="AF401" s="33" t="n"/>
      <c r="AG401" s="33" t="n"/>
      <c r="AH401" s="33" t="n"/>
      <c r="AI401" s="33" t="n"/>
      <c r="AJ401" s="33" t="n"/>
      <c r="AK401" s="33" t="n"/>
      <c r="AL401" s="27" t="n"/>
      <c r="AM401" s="34" t="n"/>
      <c r="AN401" s="35">
        <f>IF(AF401="","",IF(AI401="Yes","❌ Disc",IF(AH401="No","⚠ Missing",IF(AK401="Yes","✓ OK","⚠ Check"))))</f>
        <v/>
      </c>
      <c r="AO401" s="36" t="n"/>
      <c r="AP401" s="36" t="n"/>
      <c r="AQ401" s="36" t="n"/>
      <c r="AR401" s="36" t="n"/>
      <c r="AS401" s="36" t="n"/>
      <c r="AT401" s="36" t="n"/>
      <c r="AU401" s="27" t="n"/>
      <c r="AV401" s="37" t="n"/>
      <c r="AW401" s="38">
        <f>IF(AO401="","",IF(AR401="Yes","❌ Disc",IF(AQ401="No","⚠ Missing",IF(AT401="Yes","✓ OK","⚠ Check"))))</f>
        <v/>
      </c>
    </row>
    <row r="402" ht="18" customHeight="1" s="46">
      <c r="A402" s="39" t="n">
        <v>398</v>
      </c>
      <c r="B402" s="40" t="inlineStr">
        <is>
          <t>HWSS 354 BLK 96mm</t>
        </is>
      </c>
      <c r="C402" s="41" t="inlineStr">
        <is>
          <t>Handles - 354 (CONCEALED)-96 mm-Black/Stainless Steel</t>
        </is>
      </c>
      <c r="D402" s="39" t="inlineStr">
        <is>
          <t>Merixo</t>
        </is>
      </c>
      <c r="E402" s="43" t="n">
        <v>46125</v>
      </c>
      <c r="F402" s="26" t="inlineStr">
        <is>
          <t>Sunil CR</t>
        </is>
      </c>
      <c r="G402" s="44" t="inlineStr">
        <is>
          <t>No</t>
        </is>
      </c>
      <c r="H402" s="26" t="inlineStr">
        <is>
          <t>No</t>
        </is>
      </c>
      <c r="I402" s="44" t="inlineStr">
        <is>
          <t>Not Available</t>
        </is>
      </c>
      <c r="J402" s="26" t="inlineStr">
        <is>
          <t>No</t>
        </is>
      </c>
      <c r="K402" s="27" t="n"/>
      <c r="L402" s="28" t="inlineStr">
        <is>
          <t>Yes</t>
        </is>
      </c>
      <c r="M402" s="29">
        <f>IF(E402="","",IF(H402="Yes","❌ Disc",IF(G402="No","⚠ Missing",IF(J402="Yes","✓ OK","⚠ Check"))))</f>
        <v/>
      </c>
      <c r="N402" s="43" t="n">
        <v>46196</v>
      </c>
      <c r="O402" s="26" t="inlineStr">
        <is>
          <t>Sunil CR</t>
        </is>
      </c>
      <c r="P402" s="44" t="inlineStr">
        <is>
          <t>No</t>
        </is>
      </c>
      <c r="Q402" s="26" t="inlineStr">
        <is>
          <t>No</t>
        </is>
      </c>
      <c r="R402" s="44" t="inlineStr">
        <is>
          <t>Not Available</t>
        </is>
      </c>
      <c r="S402" s="26" t="inlineStr">
        <is>
          <t>No</t>
        </is>
      </c>
      <c r="T402" s="27" t="n"/>
      <c r="U402" s="28" t="inlineStr">
        <is>
          <t>Yes</t>
        </is>
      </c>
      <c r="V402" s="29">
        <f>IF(N402="","",IF(Q402="Yes","❌ Disc",IF(P402="No","⚠ Missing",IF(S402="Yes","✓ OK","⚠ Check"))))</f>
        <v/>
      </c>
      <c r="W402" s="65" t="n">
        <v>46248</v>
      </c>
      <c r="X402" s="30" t="inlineStr">
        <is>
          <t>Sunil CR</t>
        </is>
      </c>
      <c r="Y402" s="30" t="inlineStr">
        <is>
          <t>No</t>
        </is>
      </c>
      <c r="Z402" s="30" t="n"/>
      <c r="AA402" s="30" t="inlineStr">
        <is>
          <t>Not Available</t>
        </is>
      </c>
      <c r="AB402" s="30" t="inlineStr">
        <is>
          <t>No</t>
        </is>
      </c>
      <c r="AC402" s="27" t="n"/>
      <c r="AD402" s="31" t="inlineStr">
        <is>
          <t>Yes</t>
        </is>
      </c>
      <c r="AE402" s="32">
        <f>IF(W402="","",IF(Z402="Yes","❌ Disc",IF(Y402="No","⚠ Missing",IF(AB402="Yes","✓ OK","⚠ Check"))))</f>
        <v/>
      </c>
      <c r="AF402" s="33" t="n"/>
      <c r="AG402" s="33" t="n"/>
      <c r="AH402" s="33" t="n"/>
      <c r="AI402" s="33" t="n"/>
      <c r="AJ402" s="33" t="n"/>
      <c r="AK402" s="33" t="n"/>
      <c r="AL402" s="27" t="n"/>
      <c r="AM402" s="34" t="n"/>
      <c r="AN402" s="35">
        <f>IF(AF402="","",IF(AI402="Yes","❌ Disc",IF(AH402="No","⚠ Missing",IF(AK402="Yes","✓ OK","⚠ Check"))))</f>
        <v/>
      </c>
      <c r="AO402" s="36" t="n"/>
      <c r="AP402" s="36" t="n"/>
      <c r="AQ402" s="36" t="n"/>
      <c r="AR402" s="36" t="n"/>
      <c r="AS402" s="36" t="n"/>
      <c r="AT402" s="36" t="n"/>
      <c r="AU402" s="27" t="n"/>
      <c r="AV402" s="37" t="n"/>
      <c r="AW402" s="38">
        <f>IF(AO402="","",IF(AR402="Yes","❌ Disc",IF(AQ402="No","⚠ Missing",IF(AT402="Yes","✓ OK","⚠ Check"))))</f>
        <v/>
      </c>
    </row>
    <row r="403" ht="18" customHeight="1" s="46">
      <c r="A403" s="23" t="n">
        <v>399</v>
      </c>
      <c r="B403" s="24" t="inlineStr">
        <is>
          <t>HWSS 805 CP 160mm</t>
        </is>
      </c>
      <c r="C403" s="25" t="inlineStr">
        <is>
          <t>Handles - 805 (CONCEALED)-160 mm-Black/Chrome Plated</t>
        </is>
      </c>
      <c r="D403" s="23" t="inlineStr">
        <is>
          <t>Merixo</t>
        </is>
      </c>
      <c r="E403" s="43" t="n">
        <v>46125</v>
      </c>
      <c r="F403" s="26" t="inlineStr">
        <is>
          <t>Sunil CR</t>
        </is>
      </c>
      <c r="G403" s="44" t="inlineStr">
        <is>
          <t>No</t>
        </is>
      </c>
      <c r="H403" s="26" t="inlineStr">
        <is>
          <t>No</t>
        </is>
      </c>
      <c r="I403" s="44" t="inlineStr">
        <is>
          <t>Not Available</t>
        </is>
      </c>
      <c r="J403" s="26" t="inlineStr">
        <is>
          <t>No</t>
        </is>
      </c>
      <c r="K403" s="27" t="n"/>
      <c r="L403" s="28" t="inlineStr">
        <is>
          <t>Yes</t>
        </is>
      </c>
      <c r="M403" s="29">
        <f>IF(E403="","",IF(H403="Yes","❌ Disc",IF(G403="No","⚠ Missing",IF(J403="Yes","✓ OK","⚠ Check"))))</f>
        <v/>
      </c>
      <c r="N403" s="43" t="n">
        <v>46196</v>
      </c>
      <c r="O403" s="26" t="inlineStr">
        <is>
          <t>Sunil CR</t>
        </is>
      </c>
      <c r="P403" s="44" t="inlineStr">
        <is>
          <t>No</t>
        </is>
      </c>
      <c r="Q403" s="26" t="inlineStr">
        <is>
          <t>No</t>
        </is>
      </c>
      <c r="R403" s="44" t="inlineStr">
        <is>
          <t>Not Available</t>
        </is>
      </c>
      <c r="S403" s="26" t="inlineStr">
        <is>
          <t>No</t>
        </is>
      </c>
      <c r="T403" s="27" t="n"/>
      <c r="U403" s="28" t="inlineStr">
        <is>
          <t>Yes</t>
        </is>
      </c>
      <c r="V403" s="29">
        <f>IF(N403="","",IF(Q403="Yes","❌ Disc",IF(P403="No","⚠ Missing",IF(S403="Yes","✓ OK","⚠ Check"))))</f>
        <v/>
      </c>
      <c r="W403" s="65" t="n">
        <v>46248</v>
      </c>
      <c r="X403" s="30" t="inlineStr">
        <is>
          <t>Sunil CR</t>
        </is>
      </c>
      <c r="Y403" s="30" t="inlineStr">
        <is>
          <t>No</t>
        </is>
      </c>
      <c r="Z403" s="30" t="n"/>
      <c r="AA403" s="30" t="inlineStr">
        <is>
          <t>Not Available</t>
        </is>
      </c>
      <c r="AB403" s="30" t="inlineStr">
        <is>
          <t>No</t>
        </is>
      </c>
      <c r="AC403" s="27" t="n"/>
      <c r="AD403" s="31" t="inlineStr">
        <is>
          <t>Yes</t>
        </is>
      </c>
      <c r="AE403" s="32">
        <f>IF(W403="","",IF(Z403="Yes","❌ Disc",IF(Y403="No","⚠ Missing",IF(AB403="Yes","✓ OK","⚠ Check"))))</f>
        <v/>
      </c>
      <c r="AF403" s="33" t="n"/>
      <c r="AG403" s="33" t="n"/>
      <c r="AH403" s="33" t="n"/>
      <c r="AI403" s="33" t="n"/>
      <c r="AJ403" s="33" t="n"/>
      <c r="AK403" s="33" t="n"/>
      <c r="AL403" s="27" t="n"/>
      <c r="AM403" s="34" t="n"/>
      <c r="AN403" s="35">
        <f>IF(AF403="","",IF(AI403="Yes","❌ Disc",IF(AH403="No","⚠ Missing",IF(AK403="Yes","✓ OK","⚠ Check"))))</f>
        <v/>
      </c>
      <c r="AO403" s="36" t="n"/>
      <c r="AP403" s="36" t="n"/>
      <c r="AQ403" s="36" t="n"/>
      <c r="AR403" s="36" t="n"/>
      <c r="AS403" s="36" t="n"/>
      <c r="AT403" s="36" t="n"/>
      <c r="AU403" s="27" t="n"/>
      <c r="AV403" s="37" t="n"/>
      <c r="AW403" s="38">
        <f>IF(AO403="","",IF(AR403="Yes","❌ Disc",IF(AQ403="No","⚠ Missing",IF(AT403="Yes","✓ OK","⚠ Check"))))</f>
        <v/>
      </c>
    </row>
    <row r="404" ht="18" customHeight="1" s="46">
      <c r="A404" s="39" t="n">
        <v>400</v>
      </c>
      <c r="B404" s="40" t="inlineStr">
        <is>
          <t>HWSS 805 SS 160mm</t>
        </is>
      </c>
      <c r="C404" s="41" t="inlineStr">
        <is>
          <t>Handles - 805 (CONCEALED)-160 mm-Brown/Stainless Steel</t>
        </is>
      </c>
      <c r="D404" s="39" t="inlineStr">
        <is>
          <t>Merixo</t>
        </is>
      </c>
      <c r="E404" s="43" t="n">
        <v>46125</v>
      </c>
      <c r="F404" s="26" t="inlineStr">
        <is>
          <t>Sunil CR</t>
        </is>
      </c>
      <c r="G404" s="44" t="inlineStr">
        <is>
          <t>No</t>
        </is>
      </c>
      <c r="H404" s="26" t="inlineStr">
        <is>
          <t>No</t>
        </is>
      </c>
      <c r="I404" s="44" t="inlineStr">
        <is>
          <t>Not Available</t>
        </is>
      </c>
      <c r="J404" s="26" t="inlineStr">
        <is>
          <t>No</t>
        </is>
      </c>
      <c r="K404" s="27" t="n"/>
      <c r="L404" s="28" t="inlineStr">
        <is>
          <t>Yes</t>
        </is>
      </c>
      <c r="M404" s="29">
        <f>IF(E404="","",IF(H404="Yes","❌ Disc",IF(G404="No","⚠ Missing",IF(J404="Yes","✓ OK","⚠ Check"))))</f>
        <v/>
      </c>
      <c r="N404" s="43" t="n">
        <v>46196</v>
      </c>
      <c r="O404" s="26" t="inlineStr">
        <is>
          <t>Sunil CR</t>
        </is>
      </c>
      <c r="P404" s="44" t="inlineStr">
        <is>
          <t>No</t>
        </is>
      </c>
      <c r="Q404" s="26" t="inlineStr">
        <is>
          <t>No</t>
        </is>
      </c>
      <c r="R404" s="44" t="inlineStr">
        <is>
          <t>Not Available</t>
        </is>
      </c>
      <c r="S404" s="26" t="inlineStr">
        <is>
          <t>No</t>
        </is>
      </c>
      <c r="T404" s="27" t="n"/>
      <c r="U404" s="28" t="inlineStr">
        <is>
          <t>Yes</t>
        </is>
      </c>
      <c r="V404" s="29">
        <f>IF(N404="","",IF(Q404="Yes","❌ Disc",IF(P404="No","⚠ Missing",IF(S404="Yes","✓ OK","⚠ Check"))))</f>
        <v/>
      </c>
      <c r="W404" s="65" t="n">
        <v>46248</v>
      </c>
      <c r="X404" s="30" t="inlineStr">
        <is>
          <t>Sunil CR</t>
        </is>
      </c>
      <c r="Y404" s="30" t="inlineStr">
        <is>
          <t>No</t>
        </is>
      </c>
      <c r="Z404" s="30" t="n"/>
      <c r="AA404" s="30" t="inlineStr">
        <is>
          <t>Not Available</t>
        </is>
      </c>
      <c r="AB404" s="30" t="inlineStr">
        <is>
          <t>No</t>
        </is>
      </c>
      <c r="AC404" s="27" t="n"/>
      <c r="AD404" s="31" t="inlineStr">
        <is>
          <t>Yes</t>
        </is>
      </c>
      <c r="AE404" s="32">
        <f>IF(W404="","",IF(Z404="Yes","❌ Disc",IF(Y404="No","⚠ Missing",IF(AB404="Yes","✓ OK","⚠ Check"))))</f>
        <v/>
      </c>
      <c r="AF404" s="33" t="n"/>
      <c r="AG404" s="33" t="n"/>
      <c r="AH404" s="33" t="n"/>
      <c r="AI404" s="33" t="n"/>
      <c r="AJ404" s="33" t="n"/>
      <c r="AK404" s="33" t="n"/>
      <c r="AL404" s="27" t="n"/>
      <c r="AM404" s="34" t="n"/>
      <c r="AN404" s="35">
        <f>IF(AF404="","",IF(AI404="Yes","❌ Disc",IF(AH404="No","⚠ Missing",IF(AK404="Yes","✓ OK","⚠ Check"))))</f>
        <v/>
      </c>
      <c r="AO404" s="36" t="n"/>
      <c r="AP404" s="36" t="n"/>
      <c r="AQ404" s="36" t="n"/>
      <c r="AR404" s="36" t="n"/>
      <c r="AS404" s="36" t="n"/>
      <c r="AT404" s="36" t="n"/>
      <c r="AU404" s="27" t="n"/>
      <c r="AV404" s="37" t="n"/>
      <c r="AW404" s="38">
        <f>IF(AO404="","",IF(AR404="Yes","❌ Disc",IF(AQ404="No","⚠ Missing",IF(AT404="Yes","✓ OK","⚠ Check"))))</f>
        <v/>
      </c>
    </row>
    <row r="405" ht="18" customHeight="1" s="46">
      <c r="A405" s="23" t="n">
        <v>401</v>
      </c>
      <c r="B405" s="24" t="inlineStr">
        <is>
          <t>HWSS 805 CP 224mm</t>
        </is>
      </c>
      <c r="C405" s="25" t="inlineStr">
        <is>
          <t>Handles - 805 (CONCEALED)-224 mm-Black/Chrome Plated</t>
        </is>
      </c>
      <c r="D405" s="23" t="inlineStr">
        <is>
          <t>Merixo</t>
        </is>
      </c>
      <c r="E405" s="43" t="n">
        <v>46125</v>
      </c>
      <c r="F405" s="26" t="inlineStr">
        <is>
          <t>Sunil CR</t>
        </is>
      </c>
      <c r="G405" s="44" t="inlineStr">
        <is>
          <t>No</t>
        </is>
      </c>
      <c r="H405" s="26" t="inlineStr">
        <is>
          <t>No</t>
        </is>
      </c>
      <c r="I405" s="44" t="inlineStr">
        <is>
          <t>Not Available</t>
        </is>
      </c>
      <c r="J405" s="26" t="inlineStr">
        <is>
          <t>No</t>
        </is>
      </c>
      <c r="K405" s="27" t="n"/>
      <c r="L405" s="28" t="inlineStr">
        <is>
          <t>Yes</t>
        </is>
      </c>
      <c r="M405" s="29">
        <f>IF(E405="","",IF(H405="Yes","❌ Disc",IF(G405="No","⚠ Missing",IF(J405="Yes","✓ OK","⚠ Check"))))</f>
        <v/>
      </c>
      <c r="N405" s="43" t="n">
        <v>46196</v>
      </c>
      <c r="O405" s="26" t="inlineStr">
        <is>
          <t>Sunil CR</t>
        </is>
      </c>
      <c r="P405" s="44" t="inlineStr">
        <is>
          <t>No</t>
        </is>
      </c>
      <c r="Q405" s="26" t="inlineStr">
        <is>
          <t>No</t>
        </is>
      </c>
      <c r="R405" s="44" t="inlineStr">
        <is>
          <t>Not Available</t>
        </is>
      </c>
      <c r="S405" s="26" t="inlineStr">
        <is>
          <t>No</t>
        </is>
      </c>
      <c r="T405" s="27" t="n"/>
      <c r="U405" s="28" t="inlineStr">
        <is>
          <t>Yes</t>
        </is>
      </c>
      <c r="V405" s="29">
        <f>IF(N405="","",IF(Q405="Yes","❌ Disc",IF(P405="No","⚠ Missing",IF(S405="Yes","✓ OK","⚠ Check"))))</f>
        <v/>
      </c>
      <c r="W405" s="65" t="n">
        <v>46248</v>
      </c>
      <c r="X405" s="30" t="inlineStr">
        <is>
          <t>Sunil CR</t>
        </is>
      </c>
      <c r="Y405" s="30" t="inlineStr">
        <is>
          <t>No</t>
        </is>
      </c>
      <c r="Z405" s="30" t="n"/>
      <c r="AA405" s="30" t="inlineStr">
        <is>
          <t>Not Available</t>
        </is>
      </c>
      <c r="AB405" s="30" t="inlineStr">
        <is>
          <t>No</t>
        </is>
      </c>
      <c r="AC405" s="27" t="n"/>
      <c r="AD405" s="31" t="inlineStr">
        <is>
          <t>Yes</t>
        </is>
      </c>
      <c r="AE405" s="32">
        <f>IF(W405="","",IF(Z405="Yes","❌ Disc",IF(Y405="No","⚠ Missing",IF(AB405="Yes","✓ OK","⚠ Check"))))</f>
        <v/>
      </c>
      <c r="AF405" s="33" t="n"/>
      <c r="AG405" s="33" t="n"/>
      <c r="AH405" s="33" t="n"/>
      <c r="AI405" s="33" t="n"/>
      <c r="AJ405" s="33" t="n"/>
      <c r="AK405" s="33" t="n"/>
      <c r="AL405" s="27" t="n"/>
      <c r="AM405" s="34" t="n"/>
      <c r="AN405" s="35">
        <f>IF(AF405="","",IF(AI405="Yes","❌ Disc",IF(AH405="No","⚠ Missing",IF(AK405="Yes","✓ OK","⚠ Check"))))</f>
        <v/>
      </c>
      <c r="AO405" s="36" t="n"/>
      <c r="AP405" s="36" t="n"/>
      <c r="AQ405" s="36" t="n"/>
      <c r="AR405" s="36" t="n"/>
      <c r="AS405" s="36" t="n"/>
      <c r="AT405" s="36" t="n"/>
      <c r="AU405" s="27" t="n"/>
      <c r="AV405" s="37" t="n"/>
      <c r="AW405" s="38">
        <f>IF(AO405="","",IF(AR405="Yes","❌ Disc",IF(AQ405="No","⚠ Missing",IF(AT405="Yes","✓ OK","⚠ Check"))))</f>
        <v/>
      </c>
    </row>
    <row r="406" ht="18" customHeight="1" s="46">
      <c r="A406" s="39" t="n">
        <v>402</v>
      </c>
      <c r="B406" s="40" t="inlineStr">
        <is>
          <t>HWSS 805 SS 224mm</t>
        </is>
      </c>
      <c r="C406" s="41" t="inlineStr">
        <is>
          <t>Handles - 805 (CONCEALED)-224 mm-Brown/Stainless Steel</t>
        </is>
      </c>
      <c r="D406" s="39" t="inlineStr">
        <is>
          <t>Merixo</t>
        </is>
      </c>
      <c r="E406" s="43" t="n">
        <v>46125</v>
      </c>
      <c r="F406" s="26" t="inlineStr">
        <is>
          <t>Sunil CR</t>
        </is>
      </c>
      <c r="G406" s="44" t="inlineStr">
        <is>
          <t>No</t>
        </is>
      </c>
      <c r="H406" s="26" t="inlineStr">
        <is>
          <t>No</t>
        </is>
      </c>
      <c r="I406" s="44" t="inlineStr">
        <is>
          <t>Not Available</t>
        </is>
      </c>
      <c r="J406" s="26" t="inlineStr">
        <is>
          <t>No</t>
        </is>
      </c>
      <c r="K406" s="27" t="n"/>
      <c r="L406" s="28" t="inlineStr">
        <is>
          <t>Yes</t>
        </is>
      </c>
      <c r="M406" s="29">
        <f>IF(E406="","",IF(H406="Yes","❌ Disc",IF(G406="No","⚠ Missing",IF(J406="Yes","✓ OK","⚠ Check"))))</f>
        <v/>
      </c>
      <c r="N406" s="43" t="n">
        <v>46196</v>
      </c>
      <c r="O406" s="26" t="inlineStr">
        <is>
          <t>Sunil CR</t>
        </is>
      </c>
      <c r="P406" s="44" t="inlineStr">
        <is>
          <t>No</t>
        </is>
      </c>
      <c r="Q406" s="26" t="inlineStr">
        <is>
          <t>No</t>
        </is>
      </c>
      <c r="R406" s="44" t="inlineStr">
        <is>
          <t>Not Available</t>
        </is>
      </c>
      <c r="S406" s="26" t="inlineStr">
        <is>
          <t>No</t>
        </is>
      </c>
      <c r="T406" s="27" t="n"/>
      <c r="U406" s="28" t="inlineStr">
        <is>
          <t>Yes</t>
        </is>
      </c>
      <c r="V406" s="29">
        <f>IF(N406="","",IF(Q406="Yes","❌ Disc",IF(P406="No","⚠ Missing",IF(S406="Yes","✓ OK","⚠ Check"))))</f>
        <v/>
      </c>
      <c r="W406" s="65" t="n">
        <v>46248</v>
      </c>
      <c r="X406" s="30" t="inlineStr">
        <is>
          <t>Sunil CR</t>
        </is>
      </c>
      <c r="Y406" s="30" t="inlineStr">
        <is>
          <t>No</t>
        </is>
      </c>
      <c r="Z406" s="30" t="n"/>
      <c r="AA406" s="30" t="inlineStr">
        <is>
          <t>Not Available</t>
        </is>
      </c>
      <c r="AB406" s="30" t="inlineStr">
        <is>
          <t>No</t>
        </is>
      </c>
      <c r="AC406" s="27" t="n"/>
      <c r="AD406" s="31" t="inlineStr">
        <is>
          <t>Yes</t>
        </is>
      </c>
      <c r="AE406" s="32">
        <f>IF(W406="","",IF(Z406="Yes","❌ Disc",IF(Y406="No","⚠ Missing",IF(AB406="Yes","✓ OK","⚠ Check"))))</f>
        <v/>
      </c>
      <c r="AF406" s="33" t="n"/>
      <c r="AG406" s="33" t="n"/>
      <c r="AH406" s="33" t="n"/>
      <c r="AI406" s="33" t="n"/>
      <c r="AJ406" s="33" t="n"/>
      <c r="AK406" s="33" t="n"/>
      <c r="AL406" s="27" t="n"/>
      <c r="AM406" s="34" t="n"/>
      <c r="AN406" s="35">
        <f>IF(AF406="","",IF(AI406="Yes","❌ Disc",IF(AH406="No","⚠ Missing",IF(AK406="Yes","✓ OK","⚠ Check"))))</f>
        <v/>
      </c>
      <c r="AO406" s="36" t="n"/>
      <c r="AP406" s="36" t="n"/>
      <c r="AQ406" s="36" t="n"/>
      <c r="AR406" s="36" t="n"/>
      <c r="AS406" s="36" t="n"/>
      <c r="AT406" s="36" t="n"/>
      <c r="AU406" s="27" t="n"/>
      <c r="AV406" s="37" t="n"/>
      <c r="AW406" s="38">
        <f>IF(AO406="","",IF(AR406="Yes","❌ Disc",IF(AQ406="No","⚠ Missing",IF(AT406="Yes","✓ OK","⚠ Check"))))</f>
        <v/>
      </c>
    </row>
    <row r="407" ht="18" customHeight="1" s="46">
      <c r="A407" s="23" t="n">
        <v>403</v>
      </c>
      <c r="B407" s="24" t="inlineStr">
        <is>
          <t>HWSS 805 CP 96mm</t>
        </is>
      </c>
      <c r="C407" s="25" t="inlineStr">
        <is>
          <t>Handles - 805 (CONCEALED)-96 mm-Black/Chrome Plated</t>
        </is>
      </c>
      <c r="D407" s="23" t="inlineStr">
        <is>
          <t>Merixo</t>
        </is>
      </c>
      <c r="E407" s="43" t="n">
        <v>46125</v>
      </c>
      <c r="F407" s="26" t="inlineStr">
        <is>
          <t>Sunil CR</t>
        </is>
      </c>
      <c r="G407" s="44" t="inlineStr">
        <is>
          <t>No</t>
        </is>
      </c>
      <c r="H407" s="26" t="inlineStr">
        <is>
          <t>No</t>
        </is>
      </c>
      <c r="I407" s="44" t="inlineStr">
        <is>
          <t>Not Available</t>
        </is>
      </c>
      <c r="J407" s="26" t="inlineStr">
        <is>
          <t>No</t>
        </is>
      </c>
      <c r="K407" s="27" t="n"/>
      <c r="L407" s="28" t="inlineStr">
        <is>
          <t>Yes</t>
        </is>
      </c>
      <c r="M407" s="29">
        <f>IF(E407="","",IF(H407="Yes","❌ Disc",IF(G407="No","⚠ Missing",IF(J407="Yes","✓ OK","⚠ Check"))))</f>
        <v/>
      </c>
      <c r="N407" s="43" t="n">
        <v>46196</v>
      </c>
      <c r="O407" s="26" t="inlineStr">
        <is>
          <t>Sunil CR</t>
        </is>
      </c>
      <c r="P407" s="44" t="inlineStr">
        <is>
          <t>No</t>
        </is>
      </c>
      <c r="Q407" s="26" t="inlineStr">
        <is>
          <t>No</t>
        </is>
      </c>
      <c r="R407" s="44" t="inlineStr">
        <is>
          <t>Not Available</t>
        </is>
      </c>
      <c r="S407" s="26" t="inlineStr">
        <is>
          <t>No</t>
        </is>
      </c>
      <c r="T407" s="27" t="n"/>
      <c r="U407" s="28" t="inlineStr">
        <is>
          <t>Yes</t>
        </is>
      </c>
      <c r="V407" s="29">
        <f>IF(N407="","",IF(Q407="Yes","❌ Disc",IF(P407="No","⚠ Missing",IF(S407="Yes","✓ OK","⚠ Check"))))</f>
        <v/>
      </c>
      <c r="W407" s="65" t="n">
        <v>46248</v>
      </c>
      <c r="X407" s="30" t="inlineStr">
        <is>
          <t>Sunil CR</t>
        </is>
      </c>
      <c r="Y407" s="30" t="inlineStr">
        <is>
          <t>No</t>
        </is>
      </c>
      <c r="Z407" s="30" t="n"/>
      <c r="AA407" s="30" t="inlineStr">
        <is>
          <t>Not Available</t>
        </is>
      </c>
      <c r="AB407" s="30" t="inlineStr">
        <is>
          <t>No</t>
        </is>
      </c>
      <c r="AC407" s="27" t="n"/>
      <c r="AD407" s="31" t="inlineStr">
        <is>
          <t>Yes</t>
        </is>
      </c>
      <c r="AE407" s="32">
        <f>IF(W407="","",IF(Z407="Yes","❌ Disc",IF(Y407="No","⚠ Missing",IF(AB407="Yes","✓ OK","⚠ Check"))))</f>
        <v/>
      </c>
      <c r="AF407" s="33" t="n"/>
      <c r="AG407" s="33" t="n"/>
      <c r="AH407" s="33" t="n"/>
      <c r="AI407" s="33" t="n"/>
      <c r="AJ407" s="33" t="n"/>
      <c r="AK407" s="33" t="n"/>
      <c r="AL407" s="27" t="n"/>
      <c r="AM407" s="34" t="n"/>
      <c r="AN407" s="35">
        <f>IF(AF407="","",IF(AI407="Yes","❌ Disc",IF(AH407="No","⚠ Missing",IF(AK407="Yes","✓ OK","⚠ Check"))))</f>
        <v/>
      </c>
      <c r="AO407" s="36" t="n"/>
      <c r="AP407" s="36" t="n"/>
      <c r="AQ407" s="36" t="n"/>
      <c r="AR407" s="36" t="n"/>
      <c r="AS407" s="36" t="n"/>
      <c r="AT407" s="36" t="n"/>
      <c r="AU407" s="27" t="n"/>
      <c r="AV407" s="37" t="n"/>
      <c r="AW407" s="38">
        <f>IF(AO407="","",IF(AR407="Yes","❌ Disc",IF(AQ407="No","⚠ Missing",IF(AT407="Yes","✓ OK","⚠ Check"))))</f>
        <v/>
      </c>
    </row>
    <row r="408" ht="18" customHeight="1" s="46">
      <c r="A408" s="39" t="n">
        <v>404</v>
      </c>
      <c r="B408" s="40" t="inlineStr">
        <is>
          <t>HWSS 805 SS 96mm</t>
        </is>
      </c>
      <c r="C408" s="41" t="inlineStr">
        <is>
          <t>Handles - 805 (CONCEALED)-96 mm-Brown/Stainless Steel</t>
        </is>
      </c>
      <c r="D408" s="39" t="inlineStr">
        <is>
          <t>Merixo</t>
        </is>
      </c>
      <c r="E408" s="43" t="n">
        <v>46125</v>
      </c>
      <c r="F408" s="26" t="inlineStr">
        <is>
          <t>Sunil CR</t>
        </is>
      </c>
      <c r="G408" s="44" t="inlineStr">
        <is>
          <t>No</t>
        </is>
      </c>
      <c r="H408" s="26" t="inlineStr">
        <is>
          <t>No</t>
        </is>
      </c>
      <c r="I408" s="44" t="inlineStr">
        <is>
          <t>Not Available</t>
        </is>
      </c>
      <c r="J408" s="26" t="inlineStr">
        <is>
          <t>No</t>
        </is>
      </c>
      <c r="K408" s="27" t="n"/>
      <c r="L408" s="28" t="inlineStr">
        <is>
          <t>Yes</t>
        </is>
      </c>
      <c r="M408" s="29">
        <f>IF(E408="","",IF(H408="Yes","❌ Disc",IF(G408="No","⚠ Missing",IF(J408="Yes","✓ OK","⚠ Check"))))</f>
        <v/>
      </c>
      <c r="N408" s="43" t="n">
        <v>46196</v>
      </c>
      <c r="O408" s="26" t="inlineStr">
        <is>
          <t>Sunil CR</t>
        </is>
      </c>
      <c r="P408" s="44" t="inlineStr">
        <is>
          <t>No</t>
        </is>
      </c>
      <c r="Q408" s="26" t="inlineStr">
        <is>
          <t>No</t>
        </is>
      </c>
      <c r="R408" s="44" t="inlineStr">
        <is>
          <t>Not Available</t>
        </is>
      </c>
      <c r="S408" s="26" t="inlineStr">
        <is>
          <t>No</t>
        </is>
      </c>
      <c r="T408" s="27" t="n"/>
      <c r="U408" s="28" t="inlineStr">
        <is>
          <t>Yes</t>
        </is>
      </c>
      <c r="V408" s="29">
        <f>IF(N408="","",IF(Q408="Yes","❌ Disc",IF(P408="No","⚠ Missing",IF(S408="Yes","✓ OK","⚠ Check"))))</f>
        <v/>
      </c>
      <c r="W408" s="65" t="n">
        <v>46248</v>
      </c>
      <c r="X408" s="30" t="inlineStr">
        <is>
          <t>Sunil CR</t>
        </is>
      </c>
      <c r="Y408" s="30" t="inlineStr">
        <is>
          <t>No</t>
        </is>
      </c>
      <c r="Z408" s="30" t="n"/>
      <c r="AA408" s="30" t="inlineStr">
        <is>
          <t>Not Available</t>
        </is>
      </c>
      <c r="AB408" s="30" t="inlineStr">
        <is>
          <t>No</t>
        </is>
      </c>
      <c r="AC408" s="27" t="n"/>
      <c r="AD408" s="31" t="inlineStr">
        <is>
          <t>Yes</t>
        </is>
      </c>
      <c r="AE408" s="32">
        <f>IF(W408="","",IF(Z408="Yes","❌ Disc",IF(Y408="No","⚠ Missing",IF(AB408="Yes","✓ OK","⚠ Check"))))</f>
        <v/>
      </c>
      <c r="AF408" s="33" t="n"/>
      <c r="AG408" s="33" t="n"/>
      <c r="AH408" s="33" t="n"/>
      <c r="AI408" s="33" t="n"/>
      <c r="AJ408" s="33" t="n"/>
      <c r="AK408" s="33" t="n"/>
      <c r="AL408" s="27" t="n"/>
      <c r="AM408" s="34" t="n"/>
      <c r="AN408" s="35">
        <f>IF(AF408="","",IF(AI408="Yes","❌ Disc",IF(AH408="No","⚠ Missing",IF(AK408="Yes","✓ OK","⚠ Check"))))</f>
        <v/>
      </c>
      <c r="AO408" s="36" t="n"/>
      <c r="AP408" s="36" t="n"/>
      <c r="AQ408" s="36" t="n"/>
      <c r="AR408" s="36" t="n"/>
      <c r="AS408" s="36" t="n"/>
      <c r="AT408" s="36" t="n"/>
      <c r="AU408" s="27" t="n"/>
      <c r="AV408" s="37" t="n"/>
      <c r="AW408" s="38">
        <f>IF(AO408="","",IF(AR408="Yes","❌ Disc",IF(AQ408="No","⚠ Missing",IF(AT408="Yes","✓ OK","⚠ Check"))))</f>
        <v/>
      </c>
    </row>
    <row r="409" ht="18" customHeight="1" s="46">
      <c r="A409" s="23" t="n">
        <v>405</v>
      </c>
      <c r="B409" s="24" t="inlineStr">
        <is>
          <t>HWSS 812 AB 160mm</t>
        </is>
      </c>
      <c r="C409" s="25" t="inlineStr">
        <is>
          <t>Handles - 812 (CONCEALED)-160 mm-Antique</t>
        </is>
      </c>
      <c r="D409" s="23" t="inlineStr">
        <is>
          <t>Merixo</t>
        </is>
      </c>
      <c r="E409" s="43" t="n">
        <v>46125</v>
      </c>
      <c r="F409" s="26" t="inlineStr">
        <is>
          <t>Sunil CR</t>
        </is>
      </c>
      <c r="G409" s="44" t="inlineStr">
        <is>
          <t>No</t>
        </is>
      </c>
      <c r="H409" s="26" t="inlineStr">
        <is>
          <t>No</t>
        </is>
      </c>
      <c r="I409" s="44" t="inlineStr">
        <is>
          <t>Not Available</t>
        </is>
      </c>
      <c r="J409" s="26" t="inlineStr">
        <is>
          <t>No</t>
        </is>
      </c>
      <c r="K409" s="27" t="n"/>
      <c r="L409" s="28" t="inlineStr">
        <is>
          <t>Yes</t>
        </is>
      </c>
      <c r="M409" s="29">
        <f>IF(E409="","",IF(H409="Yes","❌ Disc",IF(G409="No","⚠ Missing",IF(J409="Yes","✓ OK","⚠ Check"))))</f>
        <v/>
      </c>
      <c r="N409" s="43" t="n">
        <v>46196</v>
      </c>
      <c r="O409" s="26" t="inlineStr">
        <is>
          <t>Sunil CR</t>
        </is>
      </c>
      <c r="P409" s="44" t="inlineStr">
        <is>
          <t>No</t>
        </is>
      </c>
      <c r="Q409" s="26" t="inlineStr">
        <is>
          <t>No</t>
        </is>
      </c>
      <c r="R409" s="44" t="inlineStr">
        <is>
          <t>Not Available</t>
        </is>
      </c>
      <c r="S409" s="26" t="inlineStr">
        <is>
          <t>No</t>
        </is>
      </c>
      <c r="T409" s="27" t="n"/>
      <c r="U409" s="28" t="inlineStr">
        <is>
          <t>Yes</t>
        </is>
      </c>
      <c r="V409" s="29">
        <f>IF(N409="","",IF(Q409="Yes","❌ Disc",IF(P409="No","⚠ Missing",IF(S409="Yes","✓ OK","⚠ Check"))))</f>
        <v/>
      </c>
      <c r="W409" s="65" t="n">
        <v>46248</v>
      </c>
      <c r="X409" s="30" t="inlineStr">
        <is>
          <t>Sunil CR</t>
        </is>
      </c>
      <c r="Y409" s="30" t="inlineStr">
        <is>
          <t>No</t>
        </is>
      </c>
      <c r="Z409" s="30" t="n"/>
      <c r="AA409" s="30" t="inlineStr">
        <is>
          <t>Not Available</t>
        </is>
      </c>
      <c r="AB409" s="30" t="inlineStr">
        <is>
          <t>No</t>
        </is>
      </c>
      <c r="AC409" s="27" t="n"/>
      <c r="AD409" s="31" t="inlineStr">
        <is>
          <t>Yes</t>
        </is>
      </c>
      <c r="AE409" s="32">
        <f>IF(W409="","",IF(Z409="Yes","❌ Disc",IF(Y409="No","⚠ Missing",IF(AB409="Yes","✓ OK","⚠ Check"))))</f>
        <v/>
      </c>
      <c r="AF409" s="33" t="n"/>
      <c r="AG409" s="33" t="n"/>
      <c r="AH409" s="33" t="n"/>
      <c r="AI409" s="33" t="n"/>
      <c r="AJ409" s="33" t="n"/>
      <c r="AK409" s="33" t="n"/>
      <c r="AL409" s="27" t="n"/>
      <c r="AM409" s="34" t="n"/>
      <c r="AN409" s="35">
        <f>IF(AF409="","",IF(AI409="Yes","❌ Disc",IF(AH409="No","⚠ Missing",IF(AK409="Yes","✓ OK","⚠ Check"))))</f>
        <v/>
      </c>
      <c r="AO409" s="36" t="n"/>
      <c r="AP409" s="36" t="n"/>
      <c r="AQ409" s="36" t="n"/>
      <c r="AR409" s="36" t="n"/>
      <c r="AS409" s="36" t="n"/>
      <c r="AT409" s="36" t="n"/>
      <c r="AU409" s="27" t="n"/>
      <c r="AV409" s="37" t="n"/>
      <c r="AW409" s="38">
        <f>IF(AO409="","",IF(AR409="Yes","❌ Disc",IF(AQ409="No","⚠ Missing",IF(AT409="Yes","✓ OK","⚠ Check"))))</f>
        <v/>
      </c>
    </row>
    <row r="410" ht="18" customHeight="1" s="46">
      <c r="A410" s="39" t="n">
        <v>406</v>
      </c>
      <c r="B410" s="40" t="inlineStr">
        <is>
          <t>HWSS 812 SS 160mm</t>
        </is>
      </c>
      <c r="C410" s="41" t="inlineStr">
        <is>
          <t>Handles - 812 (CONCEALED)-160 mm-Stainless Steel</t>
        </is>
      </c>
      <c r="D410" s="39" t="inlineStr">
        <is>
          <t>Merixo</t>
        </is>
      </c>
      <c r="E410" s="43" t="n">
        <v>46125</v>
      </c>
      <c r="F410" s="26" t="inlineStr">
        <is>
          <t>Sunil CR</t>
        </is>
      </c>
      <c r="G410" s="44" t="inlineStr">
        <is>
          <t>No</t>
        </is>
      </c>
      <c r="H410" s="26" t="inlineStr">
        <is>
          <t>No</t>
        </is>
      </c>
      <c r="I410" s="44" t="inlineStr">
        <is>
          <t>Not Available</t>
        </is>
      </c>
      <c r="J410" s="26" t="inlineStr">
        <is>
          <t>No</t>
        </is>
      </c>
      <c r="K410" s="27" t="n"/>
      <c r="L410" s="28" t="inlineStr">
        <is>
          <t>Yes</t>
        </is>
      </c>
      <c r="M410" s="29">
        <f>IF(E410="","",IF(H410="Yes","❌ Disc",IF(G410="No","⚠ Missing",IF(J410="Yes","✓ OK","⚠ Check"))))</f>
        <v/>
      </c>
      <c r="N410" s="43" t="n">
        <v>46196</v>
      </c>
      <c r="O410" s="26" t="inlineStr">
        <is>
          <t>Sunil CR</t>
        </is>
      </c>
      <c r="P410" s="44" t="inlineStr">
        <is>
          <t>No</t>
        </is>
      </c>
      <c r="Q410" s="26" t="inlineStr">
        <is>
          <t>No</t>
        </is>
      </c>
      <c r="R410" s="44" t="inlineStr">
        <is>
          <t>Not Available</t>
        </is>
      </c>
      <c r="S410" s="26" t="inlineStr">
        <is>
          <t>No</t>
        </is>
      </c>
      <c r="T410" s="27" t="n"/>
      <c r="U410" s="28" t="inlineStr">
        <is>
          <t>Yes</t>
        </is>
      </c>
      <c r="V410" s="29">
        <f>IF(N410="","",IF(Q410="Yes","❌ Disc",IF(P410="No","⚠ Missing",IF(S410="Yes","✓ OK","⚠ Check"))))</f>
        <v/>
      </c>
      <c r="W410" s="65" t="n">
        <v>46248</v>
      </c>
      <c r="X410" s="30" t="inlineStr">
        <is>
          <t>Sunil CR</t>
        </is>
      </c>
      <c r="Y410" s="30" t="inlineStr">
        <is>
          <t>No</t>
        </is>
      </c>
      <c r="Z410" s="30" t="n"/>
      <c r="AA410" s="30" t="inlineStr">
        <is>
          <t>Not Available</t>
        </is>
      </c>
      <c r="AB410" s="30" t="inlineStr">
        <is>
          <t>No</t>
        </is>
      </c>
      <c r="AC410" s="27" t="n"/>
      <c r="AD410" s="31" t="inlineStr">
        <is>
          <t>Yes</t>
        </is>
      </c>
      <c r="AE410" s="32">
        <f>IF(W410="","",IF(Z410="Yes","❌ Disc",IF(Y410="No","⚠ Missing",IF(AB410="Yes","✓ OK","⚠ Check"))))</f>
        <v/>
      </c>
      <c r="AF410" s="33" t="n"/>
      <c r="AG410" s="33" t="n"/>
      <c r="AH410" s="33" t="n"/>
      <c r="AI410" s="33" t="n"/>
      <c r="AJ410" s="33" t="n"/>
      <c r="AK410" s="33" t="n"/>
      <c r="AL410" s="27" t="n"/>
      <c r="AM410" s="34" t="n"/>
      <c r="AN410" s="35">
        <f>IF(AF410="","",IF(AI410="Yes","❌ Disc",IF(AH410="No","⚠ Missing",IF(AK410="Yes","✓ OK","⚠ Check"))))</f>
        <v/>
      </c>
      <c r="AO410" s="36" t="n"/>
      <c r="AP410" s="36" t="n"/>
      <c r="AQ410" s="36" t="n"/>
      <c r="AR410" s="36" t="n"/>
      <c r="AS410" s="36" t="n"/>
      <c r="AT410" s="36" t="n"/>
      <c r="AU410" s="27" t="n"/>
      <c r="AV410" s="37" t="n"/>
      <c r="AW410" s="38">
        <f>IF(AO410="","",IF(AR410="Yes","❌ Disc",IF(AQ410="No","⚠ Missing",IF(AT410="Yes","✓ OK","⚠ Check"))))</f>
        <v/>
      </c>
    </row>
    <row r="411" ht="18" customHeight="1" s="46">
      <c r="A411" s="23" t="n">
        <v>407</v>
      </c>
      <c r="B411" s="24" t="inlineStr">
        <is>
          <t>HWSS 812 AB 224mm</t>
        </is>
      </c>
      <c r="C411" s="25" t="inlineStr">
        <is>
          <t>Handles - 812 (CONCEALED)-224 mm-Antique</t>
        </is>
      </c>
      <c r="D411" s="23" t="inlineStr">
        <is>
          <t>Merixo</t>
        </is>
      </c>
      <c r="E411" s="43" t="n">
        <v>46125</v>
      </c>
      <c r="F411" s="26" t="inlineStr">
        <is>
          <t>Sunil CR</t>
        </is>
      </c>
      <c r="G411" s="44" t="inlineStr">
        <is>
          <t>No</t>
        </is>
      </c>
      <c r="H411" s="26" t="inlineStr">
        <is>
          <t>No</t>
        </is>
      </c>
      <c r="I411" s="44" t="inlineStr">
        <is>
          <t>Not Available</t>
        </is>
      </c>
      <c r="J411" s="26" t="inlineStr">
        <is>
          <t>No</t>
        </is>
      </c>
      <c r="K411" s="27" t="n"/>
      <c r="L411" s="28" t="inlineStr">
        <is>
          <t>Yes</t>
        </is>
      </c>
      <c r="M411" s="29">
        <f>IF(E411="","",IF(H411="Yes","❌ Disc",IF(G411="No","⚠ Missing",IF(J411="Yes","✓ OK","⚠ Check"))))</f>
        <v/>
      </c>
      <c r="N411" s="43" t="n">
        <v>46196</v>
      </c>
      <c r="O411" s="26" t="inlineStr">
        <is>
          <t>Sunil CR</t>
        </is>
      </c>
      <c r="P411" s="44" t="inlineStr">
        <is>
          <t>No</t>
        </is>
      </c>
      <c r="Q411" s="26" t="inlineStr">
        <is>
          <t>No</t>
        </is>
      </c>
      <c r="R411" s="44" t="inlineStr">
        <is>
          <t>Not Available</t>
        </is>
      </c>
      <c r="S411" s="26" t="inlineStr">
        <is>
          <t>No</t>
        </is>
      </c>
      <c r="T411" s="27" t="n"/>
      <c r="U411" s="28" t="inlineStr">
        <is>
          <t>Yes</t>
        </is>
      </c>
      <c r="V411" s="29">
        <f>IF(N411="","",IF(Q411="Yes","❌ Disc",IF(P411="No","⚠ Missing",IF(S411="Yes","✓ OK","⚠ Check"))))</f>
        <v/>
      </c>
      <c r="W411" s="65" t="n">
        <v>46248</v>
      </c>
      <c r="X411" s="30" t="inlineStr">
        <is>
          <t>Sunil CR</t>
        </is>
      </c>
      <c r="Y411" s="30" t="inlineStr">
        <is>
          <t>No</t>
        </is>
      </c>
      <c r="Z411" s="30" t="n"/>
      <c r="AA411" s="30" t="inlineStr">
        <is>
          <t>Not Available</t>
        </is>
      </c>
      <c r="AB411" s="30" t="inlineStr">
        <is>
          <t>No</t>
        </is>
      </c>
      <c r="AC411" s="27" t="n"/>
      <c r="AD411" s="31" t="inlineStr">
        <is>
          <t>Yes</t>
        </is>
      </c>
      <c r="AE411" s="32">
        <f>IF(W411="","",IF(Z411="Yes","❌ Disc",IF(Y411="No","⚠ Missing",IF(AB411="Yes","✓ OK","⚠ Check"))))</f>
        <v/>
      </c>
      <c r="AF411" s="33" t="n"/>
      <c r="AG411" s="33" t="n"/>
      <c r="AH411" s="33" t="n"/>
      <c r="AI411" s="33" t="n"/>
      <c r="AJ411" s="33" t="n"/>
      <c r="AK411" s="33" t="n"/>
      <c r="AL411" s="27" t="n"/>
      <c r="AM411" s="34" t="n"/>
      <c r="AN411" s="35">
        <f>IF(AF411="","",IF(AI411="Yes","❌ Disc",IF(AH411="No","⚠ Missing",IF(AK411="Yes","✓ OK","⚠ Check"))))</f>
        <v/>
      </c>
      <c r="AO411" s="36" t="n"/>
      <c r="AP411" s="36" t="n"/>
      <c r="AQ411" s="36" t="n"/>
      <c r="AR411" s="36" t="n"/>
      <c r="AS411" s="36" t="n"/>
      <c r="AT411" s="36" t="n"/>
      <c r="AU411" s="27" t="n"/>
      <c r="AV411" s="37" t="n"/>
      <c r="AW411" s="38">
        <f>IF(AO411="","",IF(AR411="Yes","❌ Disc",IF(AQ411="No","⚠ Missing",IF(AT411="Yes","✓ OK","⚠ Check"))))</f>
        <v/>
      </c>
    </row>
    <row r="412" ht="18" customHeight="1" s="46">
      <c r="A412" s="39" t="n">
        <v>408</v>
      </c>
      <c r="B412" s="40" t="inlineStr">
        <is>
          <t>HWSS 812 SS 224mm</t>
        </is>
      </c>
      <c r="C412" s="41" t="inlineStr">
        <is>
          <t>Handles - 812 (CONCEALED)-224 mm-Stainless Steel</t>
        </is>
      </c>
      <c r="D412" s="39" t="inlineStr">
        <is>
          <t>Merixo</t>
        </is>
      </c>
      <c r="E412" s="43" t="n">
        <v>46125</v>
      </c>
      <c r="F412" s="26" t="inlineStr">
        <is>
          <t>Sunil CR</t>
        </is>
      </c>
      <c r="G412" s="44" t="inlineStr">
        <is>
          <t>No</t>
        </is>
      </c>
      <c r="H412" s="26" t="inlineStr">
        <is>
          <t>No</t>
        </is>
      </c>
      <c r="I412" s="44" t="inlineStr">
        <is>
          <t>Not Available</t>
        </is>
      </c>
      <c r="J412" s="26" t="inlineStr">
        <is>
          <t>No</t>
        </is>
      </c>
      <c r="K412" s="27" t="n"/>
      <c r="L412" s="28" t="inlineStr">
        <is>
          <t>Yes</t>
        </is>
      </c>
      <c r="M412" s="29">
        <f>IF(E412="","",IF(H412="Yes","❌ Disc",IF(G412="No","⚠ Missing",IF(J412="Yes","✓ OK","⚠ Check"))))</f>
        <v/>
      </c>
      <c r="N412" s="43" t="n">
        <v>46196</v>
      </c>
      <c r="O412" s="26" t="inlineStr">
        <is>
          <t>Sunil CR</t>
        </is>
      </c>
      <c r="P412" s="44" t="inlineStr">
        <is>
          <t>No</t>
        </is>
      </c>
      <c r="Q412" s="26" t="inlineStr">
        <is>
          <t>No</t>
        </is>
      </c>
      <c r="R412" s="44" t="inlineStr">
        <is>
          <t>Not Available</t>
        </is>
      </c>
      <c r="S412" s="26" t="inlineStr">
        <is>
          <t>No</t>
        </is>
      </c>
      <c r="T412" s="27" t="n"/>
      <c r="U412" s="28" t="inlineStr">
        <is>
          <t>Yes</t>
        </is>
      </c>
      <c r="V412" s="29">
        <f>IF(N412="","",IF(Q412="Yes","❌ Disc",IF(P412="No","⚠ Missing",IF(S412="Yes","✓ OK","⚠ Check"))))</f>
        <v/>
      </c>
      <c r="W412" s="65" t="n">
        <v>46248</v>
      </c>
      <c r="X412" s="30" t="inlineStr">
        <is>
          <t>Sunil CR</t>
        </is>
      </c>
      <c r="Y412" s="30" t="inlineStr">
        <is>
          <t>No</t>
        </is>
      </c>
      <c r="Z412" s="30" t="n"/>
      <c r="AA412" s="30" t="inlineStr">
        <is>
          <t>Not Available</t>
        </is>
      </c>
      <c r="AB412" s="30" t="inlineStr">
        <is>
          <t>No</t>
        </is>
      </c>
      <c r="AC412" s="27" t="n"/>
      <c r="AD412" s="31" t="inlineStr">
        <is>
          <t>Yes</t>
        </is>
      </c>
      <c r="AE412" s="32">
        <f>IF(W412="","",IF(Z412="Yes","❌ Disc",IF(Y412="No","⚠ Missing",IF(AB412="Yes","✓ OK","⚠ Check"))))</f>
        <v/>
      </c>
      <c r="AF412" s="33" t="n"/>
      <c r="AG412" s="33" t="n"/>
      <c r="AH412" s="33" t="n"/>
      <c r="AI412" s="33" t="n"/>
      <c r="AJ412" s="33" t="n"/>
      <c r="AK412" s="33" t="n"/>
      <c r="AL412" s="27" t="n"/>
      <c r="AM412" s="34" t="n"/>
      <c r="AN412" s="35">
        <f>IF(AF412="","",IF(AI412="Yes","❌ Disc",IF(AH412="No","⚠ Missing",IF(AK412="Yes","✓ OK","⚠ Check"))))</f>
        <v/>
      </c>
      <c r="AO412" s="36" t="n"/>
      <c r="AP412" s="36" t="n"/>
      <c r="AQ412" s="36" t="n"/>
      <c r="AR412" s="36" t="n"/>
      <c r="AS412" s="36" t="n"/>
      <c r="AT412" s="36" t="n"/>
      <c r="AU412" s="27" t="n"/>
      <c r="AV412" s="37" t="n"/>
      <c r="AW412" s="38">
        <f>IF(AO412="","",IF(AR412="Yes","❌ Disc",IF(AQ412="No","⚠ Missing",IF(AT412="Yes","✓ OK","⚠ Check"))))</f>
        <v/>
      </c>
    </row>
    <row r="413" ht="18" customHeight="1" s="46">
      <c r="A413" s="23" t="n">
        <v>409</v>
      </c>
      <c r="B413" s="24" t="inlineStr">
        <is>
          <t>HWSS 812 AB 288mm</t>
        </is>
      </c>
      <c r="C413" s="25" t="inlineStr">
        <is>
          <t>Handles - 812 (CONCEALED)-288 mm-Antique</t>
        </is>
      </c>
      <c r="D413" s="23" t="inlineStr">
        <is>
          <t>Merixo</t>
        </is>
      </c>
      <c r="E413" s="43" t="n">
        <v>46125</v>
      </c>
      <c r="F413" s="26" t="inlineStr">
        <is>
          <t>Sunil CR</t>
        </is>
      </c>
      <c r="G413" s="44" t="inlineStr">
        <is>
          <t>No</t>
        </is>
      </c>
      <c r="H413" s="26" t="inlineStr">
        <is>
          <t>No</t>
        </is>
      </c>
      <c r="I413" s="44" t="inlineStr">
        <is>
          <t>Not Available</t>
        </is>
      </c>
      <c r="J413" s="26" t="inlineStr">
        <is>
          <t>No</t>
        </is>
      </c>
      <c r="K413" s="27" t="n"/>
      <c r="L413" s="28" t="inlineStr">
        <is>
          <t>Yes</t>
        </is>
      </c>
      <c r="M413" s="29">
        <f>IF(E413="","",IF(H413="Yes","❌ Disc",IF(G413="No","⚠ Missing",IF(J413="Yes","✓ OK","⚠ Check"))))</f>
        <v/>
      </c>
      <c r="N413" s="43" t="n">
        <v>46196</v>
      </c>
      <c r="O413" s="26" t="inlineStr">
        <is>
          <t>Sunil CR</t>
        </is>
      </c>
      <c r="P413" s="44" t="inlineStr">
        <is>
          <t>No</t>
        </is>
      </c>
      <c r="Q413" s="26" t="inlineStr">
        <is>
          <t>No</t>
        </is>
      </c>
      <c r="R413" s="44" t="inlineStr">
        <is>
          <t>Not Available</t>
        </is>
      </c>
      <c r="S413" s="26" t="inlineStr">
        <is>
          <t>No</t>
        </is>
      </c>
      <c r="T413" s="27" t="n"/>
      <c r="U413" s="28" t="inlineStr">
        <is>
          <t>Yes</t>
        </is>
      </c>
      <c r="V413" s="29">
        <f>IF(N413="","",IF(Q413="Yes","❌ Disc",IF(P413="No","⚠ Missing",IF(S413="Yes","✓ OK","⚠ Check"))))</f>
        <v/>
      </c>
      <c r="W413" s="65" t="n">
        <v>46248</v>
      </c>
      <c r="X413" s="30" t="inlineStr">
        <is>
          <t>Sunil CR</t>
        </is>
      </c>
      <c r="Y413" s="30" t="inlineStr">
        <is>
          <t>No</t>
        </is>
      </c>
      <c r="Z413" s="30" t="n"/>
      <c r="AA413" s="30" t="inlineStr">
        <is>
          <t>Not Available</t>
        </is>
      </c>
      <c r="AB413" s="30" t="inlineStr">
        <is>
          <t>No</t>
        </is>
      </c>
      <c r="AC413" s="27" t="n"/>
      <c r="AD413" s="31" t="inlineStr">
        <is>
          <t>Yes</t>
        </is>
      </c>
      <c r="AE413" s="32">
        <f>IF(W413="","",IF(Z413="Yes","❌ Disc",IF(Y413="No","⚠ Missing",IF(AB413="Yes","✓ OK","⚠ Check"))))</f>
        <v/>
      </c>
      <c r="AF413" s="33" t="n"/>
      <c r="AG413" s="33" t="n"/>
      <c r="AH413" s="33" t="n"/>
      <c r="AI413" s="33" t="n"/>
      <c r="AJ413" s="33" t="n"/>
      <c r="AK413" s="33" t="n"/>
      <c r="AL413" s="27" t="n"/>
      <c r="AM413" s="34" t="n"/>
      <c r="AN413" s="35">
        <f>IF(AF413="","",IF(AI413="Yes","❌ Disc",IF(AH413="No","⚠ Missing",IF(AK413="Yes","✓ OK","⚠ Check"))))</f>
        <v/>
      </c>
      <c r="AO413" s="36" t="n"/>
      <c r="AP413" s="36" t="n"/>
      <c r="AQ413" s="36" t="n"/>
      <c r="AR413" s="36" t="n"/>
      <c r="AS413" s="36" t="n"/>
      <c r="AT413" s="36" t="n"/>
      <c r="AU413" s="27" t="n"/>
      <c r="AV413" s="37" t="n"/>
      <c r="AW413" s="38">
        <f>IF(AO413="","",IF(AR413="Yes","❌ Disc",IF(AQ413="No","⚠ Missing",IF(AT413="Yes","✓ OK","⚠ Check"))))</f>
        <v/>
      </c>
    </row>
    <row r="414" ht="18" customHeight="1" s="46">
      <c r="A414" s="39" t="n">
        <v>410</v>
      </c>
      <c r="B414" s="40" t="inlineStr">
        <is>
          <t>HWSS 812 SS 288mm</t>
        </is>
      </c>
      <c r="C414" s="41" t="inlineStr">
        <is>
          <t>Handles - 812 (CONCEALED)-288 mm-Stainless Steel</t>
        </is>
      </c>
      <c r="D414" s="39" t="inlineStr">
        <is>
          <t>Merixo</t>
        </is>
      </c>
      <c r="E414" s="43" t="n">
        <v>46125</v>
      </c>
      <c r="F414" s="26" t="inlineStr">
        <is>
          <t>Sunil CR</t>
        </is>
      </c>
      <c r="G414" s="44" t="inlineStr">
        <is>
          <t>No</t>
        </is>
      </c>
      <c r="H414" s="26" t="inlineStr">
        <is>
          <t>No</t>
        </is>
      </c>
      <c r="I414" s="44" t="inlineStr">
        <is>
          <t>Not Available</t>
        </is>
      </c>
      <c r="J414" s="26" t="inlineStr">
        <is>
          <t>No</t>
        </is>
      </c>
      <c r="K414" s="27" t="n"/>
      <c r="L414" s="28" t="inlineStr">
        <is>
          <t>Yes</t>
        </is>
      </c>
      <c r="M414" s="29">
        <f>IF(E414="","",IF(H414="Yes","❌ Disc",IF(G414="No","⚠ Missing",IF(J414="Yes","✓ OK","⚠ Check"))))</f>
        <v/>
      </c>
      <c r="N414" s="43" t="n">
        <v>46196</v>
      </c>
      <c r="O414" s="26" t="inlineStr">
        <is>
          <t>Sunil CR</t>
        </is>
      </c>
      <c r="P414" s="44" t="inlineStr">
        <is>
          <t>No</t>
        </is>
      </c>
      <c r="Q414" s="26" t="inlineStr">
        <is>
          <t>No</t>
        </is>
      </c>
      <c r="R414" s="44" t="inlineStr">
        <is>
          <t>Not Available</t>
        </is>
      </c>
      <c r="S414" s="26" t="inlineStr">
        <is>
          <t>No</t>
        </is>
      </c>
      <c r="T414" s="27" t="n"/>
      <c r="U414" s="28" t="inlineStr">
        <is>
          <t>Yes</t>
        </is>
      </c>
      <c r="V414" s="29">
        <f>IF(N414="","",IF(Q414="Yes","❌ Disc",IF(P414="No","⚠ Missing",IF(S414="Yes","✓ OK","⚠ Check"))))</f>
        <v/>
      </c>
      <c r="W414" s="65" t="n">
        <v>46248</v>
      </c>
      <c r="X414" s="30" t="inlineStr">
        <is>
          <t>Sunil CR</t>
        </is>
      </c>
      <c r="Y414" s="30" t="inlineStr">
        <is>
          <t>No</t>
        </is>
      </c>
      <c r="Z414" s="30" t="n"/>
      <c r="AA414" s="30" t="inlineStr">
        <is>
          <t>Not Available</t>
        </is>
      </c>
      <c r="AB414" s="30" t="inlineStr">
        <is>
          <t>No</t>
        </is>
      </c>
      <c r="AC414" s="27" t="n"/>
      <c r="AD414" s="31" t="inlineStr">
        <is>
          <t>Yes</t>
        </is>
      </c>
      <c r="AE414" s="32">
        <f>IF(W414="","",IF(Z414="Yes","❌ Disc",IF(Y414="No","⚠ Missing",IF(AB414="Yes","✓ OK","⚠ Check"))))</f>
        <v/>
      </c>
      <c r="AF414" s="33" t="n"/>
      <c r="AG414" s="33" t="n"/>
      <c r="AH414" s="33" t="n"/>
      <c r="AI414" s="33" t="n"/>
      <c r="AJ414" s="33" t="n"/>
      <c r="AK414" s="33" t="n"/>
      <c r="AL414" s="27" t="n"/>
      <c r="AM414" s="34" t="n"/>
      <c r="AN414" s="35">
        <f>IF(AF414="","",IF(AI414="Yes","❌ Disc",IF(AH414="No","⚠ Missing",IF(AK414="Yes","✓ OK","⚠ Check"))))</f>
        <v/>
      </c>
      <c r="AO414" s="36" t="n"/>
      <c r="AP414" s="36" t="n"/>
      <c r="AQ414" s="36" t="n"/>
      <c r="AR414" s="36" t="n"/>
      <c r="AS414" s="36" t="n"/>
      <c r="AT414" s="36" t="n"/>
      <c r="AU414" s="27" t="n"/>
      <c r="AV414" s="37" t="n"/>
      <c r="AW414" s="38">
        <f>IF(AO414="","",IF(AR414="Yes","❌ Disc",IF(AQ414="No","⚠ Missing",IF(AT414="Yes","✓ OK","⚠ Check"))))</f>
        <v/>
      </c>
    </row>
    <row r="415" ht="18" customHeight="1" s="46">
      <c r="A415" s="23" t="n">
        <v>411</v>
      </c>
      <c r="B415" s="24" t="inlineStr">
        <is>
          <t>HWSS 812 AB 96mm</t>
        </is>
      </c>
      <c r="C415" s="25" t="inlineStr">
        <is>
          <t>Handles - 812 (CONCEALED)-96 mm-Antique</t>
        </is>
      </c>
      <c r="D415" s="23" t="inlineStr">
        <is>
          <t>Merixo</t>
        </is>
      </c>
      <c r="E415" s="43" t="n">
        <v>46125</v>
      </c>
      <c r="F415" s="26" t="inlineStr">
        <is>
          <t>Sunil CR</t>
        </is>
      </c>
      <c r="G415" s="44" t="inlineStr">
        <is>
          <t>No</t>
        </is>
      </c>
      <c r="H415" s="26" t="inlineStr">
        <is>
          <t>No</t>
        </is>
      </c>
      <c r="I415" s="44" t="inlineStr">
        <is>
          <t>Not Available</t>
        </is>
      </c>
      <c r="J415" s="26" t="inlineStr">
        <is>
          <t>No</t>
        </is>
      </c>
      <c r="K415" s="27" t="n"/>
      <c r="L415" s="28" t="inlineStr">
        <is>
          <t>Yes</t>
        </is>
      </c>
      <c r="M415" s="29">
        <f>IF(E415="","",IF(H415="Yes","❌ Disc",IF(G415="No","⚠ Missing",IF(J415="Yes","✓ OK","⚠ Check"))))</f>
        <v/>
      </c>
      <c r="N415" s="43" t="n">
        <v>46196</v>
      </c>
      <c r="O415" s="26" t="inlineStr">
        <is>
          <t>Sunil CR</t>
        </is>
      </c>
      <c r="P415" s="44" t="inlineStr">
        <is>
          <t>No</t>
        </is>
      </c>
      <c r="Q415" s="26" t="inlineStr">
        <is>
          <t>No</t>
        </is>
      </c>
      <c r="R415" s="44" t="inlineStr">
        <is>
          <t>Not Available</t>
        </is>
      </c>
      <c r="S415" s="26" t="inlineStr">
        <is>
          <t>No</t>
        </is>
      </c>
      <c r="T415" s="27" t="n"/>
      <c r="U415" s="28" t="inlineStr">
        <is>
          <t>Yes</t>
        </is>
      </c>
      <c r="V415" s="29">
        <f>IF(N415="","",IF(Q415="Yes","❌ Disc",IF(P415="No","⚠ Missing",IF(S415="Yes","✓ OK","⚠ Check"))))</f>
        <v/>
      </c>
      <c r="W415" s="65" t="n">
        <v>46248</v>
      </c>
      <c r="X415" s="30" t="inlineStr">
        <is>
          <t>Sunil CR</t>
        </is>
      </c>
      <c r="Y415" s="30" t="inlineStr">
        <is>
          <t>No</t>
        </is>
      </c>
      <c r="Z415" s="30" t="n"/>
      <c r="AA415" s="30" t="inlineStr">
        <is>
          <t>Not Available</t>
        </is>
      </c>
      <c r="AB415" s="30" t="inlineStr">
        <is>
          <t>No</t>
        </is>
      </c>
      <c r="AC415" s="27" t="n"/>
      <c r="AD415" s="31" t="inlineStr">
        <is>
          <t>Yes</t>
        </is>
      </c>
      <c r="AE415" s="32">
        <f>IF(W415="","",IF(Z415="Yes","❌ Disc",IF(Y415="No","⚠ Missing",IF(AB415="Yes","✓ OK","⚠ Check"))))</f>
        <v/>
      </c>
      <c r="AF415" s="33" t="n"/>
      <c r="AG415" s="33" t="n"/>
      <c r="AH415" s="33" t="n"/>
      <c r="AI415" s="33" t="n"/>
      <c r="AJ415" s="33" t="n"/>
      <c r="AK415" s="33" t="n"/>
      <c r="AL415" s="27" t="n"/>
      <c r="AM415" s="34" t="n"/>
      <c r="AN415" s="35">
        <f>IF(AF415="","",IF(AI415="Yes","❌ Disc",IF(AH415="No","⚠ Missing",IF(AK415="Yes","✓ OK","⚠ Check"))))</f>
        <v/>
      </c>
      <c r="AO415" s="36" t="n"/>
      <c r="AP415" s="36" t="n"/>
      <c r="AQ415" s="36" t="n"/>
      <c r="AR415" s="36" t="n"/>
      <c r="AS415" s="36" t="n"/>
      <c r="AT415" s="36" t="n"/>
      <c r="AU415" s="27" t="n"/>
      <c r="AV415" s="37" t="n"/>
      <c r="AW415" s="38">
        <f>IF(AO415="","",IF(AR415="Yes","❌ Disc",IF(AQ415="No","⚠ Missing",IF(AT415="Yes","✓ OK","⚠ Check"))))</f>
        <v/>
      </c>
    </row>
    <row r="416" ht="18" customHeight="1" s="46">
      <c r="A416" s="39" t="n">
        <v>412</v>
      </c>
      <c r="B416" s="40" t="inlineStr">
        <is>
          <t>HWSS 812 SS 96mm</t>
        </is>
      </c>
      <c r="C416" s="41" t="inlineStr">
        <is>
          <t>Handles - 812 (CONCEALED)-96 mm-Stainless Steel</t>
        </is>
      </c>
      <c r="D416" s="39" t="inlineStr">
        <is>
          <t>Merixo</t>
        </is>
      </c>
      <c r="E416" s="43" t="n">
        <v>46125</v>
      </c>
      <c r="F416" s="26" t="inlineStr">
        <is>
          <t>Sunil CR</t>
        </is>
      </c>
      <c r="G416" s="44" t="inlineStr">
        <is>
          <t>No</t>
        </is>
      </c>
      <c r="H416" s="26" t="inlineStr">
        <is>
          <t>No</t>
        </is>
      </c>
      <c r="I416" s="44" t="inlineStr">
        <is>
          <t>Not Available</t>
        </is>
      </c>
      <c r="J416" s="26" t="inlineStr">
        <is>
          <t>No</t>
        </is>
      </c>
      <c r="K416" s="27" t="n"/>
      <c r="L416" s="28" t="inlineStr">
        <is>
          <t>Yes</t>
        </is>
      </c>
      <c r="M416" s="29">
        <f>IF(E416="","",IF(H416="Yes","❌ Disc",IF(G416="No","⚠ Missing",IF(J416="Yes","✓ OK","⚠ Check"))))</f>
        <v/>
      </c>
      <c r="N416" s="43" t="n">
        <v>46196</v>
      </c>
      <c r="O416" s="26" t="inlineStr">
        <is>
          <t>Sunil CR</t>
        </is>
      </c>
      <c r="P416" s="44" t="inlineStr">
        <is>
          <t>No</t>
        </is>
      </c>
      <c r="Q416" s="26" t="inlineStr">
        <is>
          <t>No</t>
        </is>
      </c>
      <c r="R416" s="44" t="inlineStr">
        <is>
          <t>Not Available</t>
        </is>
      </c>
      <c r="S416" s="26" t="inlineStr">
        <is>
          <t>No</t>
        </is>
      </c>
      <c r="T416" s="27" t="n"/>
      <c r="U416" s="28" t="inlineStr">
        <is>
          <t>Yes</t>
        </is>
      </c>
      <c r="V416" s="29">
        <f>IF(N416="","",IF(Q416="Yes","❌ Disc",IF(P416="No","⚠ Missing",IF(S416="Yes","✓ OK","⚠ Check"))))</f>
        <v/>
      </c>
      <c r="W416" s="65" t="n">
        <v>46248</v>
      </c>
      <c r="X416" s="30" t="inlineStr">
        <is>
          <t>Sunil CR</t>
        </is>
      </c>
      <c r="Y416" s="30" t="inlineStr">
        <is>
          <t>No</t>
        </is>
      </c>
      <c r="Z416" s="30" t="n"/>
      <c r="AA416" s="30" t="inlineStr">
        <is>
          <t>Not Available</t>
        </is>
      </c>
      <c r="AB416" s="30" t="inlineStr">
        <is>
          <t>No</t>
        </is>
      </c>
      <c r="AC416" s="27" t="n"/>
      <c r="AD416" s="31" t="inlineStr">
        <is>
          <t>Yes</t>
        </is>
      </c>
      <c r="AE416" s="32">
        <f>IF(W416="","",IF(Z416="Yes","❌ Disc",IF(Y416="No","⚠ Missing",IF(AB416="Yes","✓ OK","⚠ Check"))))</f>
        <v/>
      </c>
      <c r="AF416" s="33" t="n"/>
      <c r="AG416" s="33" t="n"/>
      <c r="AH416" s="33" t="n"/>
      <c r="AI416" s="33" t="n"/>
      <c r="AJ416" s="33" t="n"/>
      <c r="AK416" s="33" t="n"/>
      <c r="AL416" s="27" t="n"/>
      <c r="AM416" s="34" t="n"/>
      <c r="AN416" s="35">
        <f>IF(AF416="","",IF(AI416="Yes","❌ Disc",IF(AH416="No","⚠ Missing",IF(AK416="Yes","✓ OK","⚠ Check"))))</f>
        <v/>
      </c>
      <c r="AO416" s="36" t="n"/>
      <c r="AP416" s="36" t="n"/>
      <c r="AQ416" s="36" t="n"/>
      <c r="AR416" s="36" t="n"/>
      <c r="AS416" s="36" t="n"/>
      <c r="AT416" s="36" t="n"/>
      <c r="AU416" s="27" t="n"/>
      <c r="AV416" s="37" t="n"/>
      <c r="AW416" s="38">
        <f>IF(AO416="","",IF(AR416="Yes","❌ Disc",IF(AQ416="No","⚠ Missing",IF(AT416="Yes","✓ OK","⚠ Check"))))</f>
        <v/>
      </c>
    </row>
    <row r="417" ht="18" customHeight="1" s="46">
      <c r="A417" s="23" t="n">
        <v>413</v>
      </c>
      <c r="B417" s="24" t="inlineStr">
        <is>
          <t>HWSS N3 AB</t>
        </is>
      </c>
      <c r="C417" s="25" t="inlineStr">
        <is>
          <t>Merixo AB N3 Knob Handle</t>
        </is>
      </c>
      <c r="D417" s="23" t="inlineStr">
        <is>
          <t>Merixo</t>
        </is>
      </c>
      <c r="E417" s="43" t="n">
        <v>46125</v>
      </c>
      <c r="F417" s="26" t="inlineStr">
        <is>
          <t>Sunil CR</t>
        </is>
      </c>
      <c r="G417" s="44" t="inlineStr">
        <is>
          <t>No</t>
        </is>
      </c>
      <c r="H417" s="26" t="inlineStr">
        <is>
          <t>No</t>
        </is>
      </c>
      <c r="I417" s="44" t="inlineStr">
        <is>
          <t>Not Available</t>
        </is>
      </c>
      <c r="J417" s="26" t="inlineStr">
        <is>
          <t>No</t>
        </is>
      </c>
      <c r="K417" s="27" t="n"/>
      <c r="L417" s="28" t="inlineStr">
        <is>
          <t>Yes</t>
        </is>
      </c>
      <c r="M417" s="29">
        <f>IF(E417="","",IF(H417="Yes","❌ Disc",IF(G417="No","⚠ Missing",IF(J417="Yes","✓ OK","⚠ Check"))))</f>
        <v/>
      </c>
      <c r="N417" s="43" t="n">
        <v>46196</v>
      </c>
      <c r="O417" s="26" t="inlineStr">
        <is>
          <t>Sunil CR</t>
        </is>
      </c>
      <c r="P417" s="44" t="inlineStr">
        <is>
          <t>No</t>
        </is>
      </c>
      <c r="Q417" s="26" t="inlineStr">
        <is>
          <t>No</t>
        </is>
      </c>
      <c r="R417" s="44" t="inlineStr">
        <is>
          <t>Not Available</t>
        </is>
      </c>
      <c r="S417" s="26" t="inlineStr">
        <is>
          <t>No</t>
        </is>
      </c>
      <c r="T417" s="27" t="n"/>
      <c r="U417" s="28" t="inlineStr">
        <is>
          <t>Yes</t>
        </is>
      </c>
      <c r="V417" s="29">
        <f>IF(N417="","",IF(Q417="Yes","❌ Disc",IF(P417="No","⚠ Missing",IF(S417="Yes","✓ OK","⚠ Check"))))</f>
        <v/>
      </c>
      <c r="W417" s="65" t="n">
        <v>46248</v>
      </c>
      <c r="X417" s="30" t="inlineStr">
        <is>
          <t>Sunil CR</t>
        </is>
      </c>
      <c r="Y417" s="30" t="inlineStr">
        <is>
          <t>No</t>
        </is>
      </c>
      <c r="Z417" s="30" t="n"/>
      <c r="AA417" s="30" t="inlineStr">
        <is>
          <t>Not Available</t>
        </is>
      </c>
      <c r="AB417" s="30" t="inlineStr">
        <is>
          <t>No</t>
        </is>
      </c>
      <c r="AC417" s="27" t="n"/>
      <c r="AD417" s="31" t="inlineStr">
        <is>
          <t>Yes</t>
        </is>
      </c>
      <c r="AE417" s="32">
        <f>IF(W417="","",IF(Z417="Yes","❌ Disc",IF(Y417="No","⚠ Missing",IF(AB417="Yes","✓ OK","⚠ Check"))))</f>
        <v/>
      </c>
      <c r="AF417" s="33" t="n"/>
      <c r="AG417" s="33" t="n"/>
      <c r="AH417" s="33" t="n"/>
      <c r="AI417" s="33" t="n"/>
      <c r="AJ417" s="33" t="n"/>
      <c r="AK417" s="33" t="n"/>
      <c r="AL417" s="27" t="n"/>
      <c r="AM417" s="34" t="n"/>
      <c r="AN417" s="35">
        <f>IF(AF417="","",IF(AI417="Yes","❌ Disc",IF(AH417="No","⚠ Missing",IF(AK417="Yes","✓ OK","⚠ Check"))))</f>
        <v/>
      </c>
      <c r="AO417" s="36" t="n"/>
      <c r="AP417" s="36" t="n"/>
      <c r="AQ417" s="36" t="n"/>
      <c r="AR417" s="36" t="n"/>
      <c r="AS417" s="36" t="n"/>
      <c r="AT417" s="36" t="n"/>
      <c r="AU417" s="27" t="n"/>
      <c r="AV417" s="37" t="n"/>
      <c r="AW417" s="38">
        <f>IF(AO417="","",IF(AR417="Yes","❌ Disc",IF(AQ417="No","⚠ Missing",IF(AT417="Yes","✓ OK","⚠ Check"))))</f>
        <v/>
      </c>
    </row>
    <row r="418" ht="18" customHeight="1" s="46">
      <c r="A418" s="39" t="n">
        <v>414</v>
      </c>
      <c r="B418" s="40" t="inlineStr">
        <is>
          <t>HWSS N38 CP</t>
        </is>
      </c>
      <c r="C418" s="41" t="inlineStr">
        <is>
          <t>Merixo CP N38 Knob Handle</t>
        </is>
      </c>
      <c r="D418" s="39" t="inlineStr">
        <is>
          <t>Merixo</t>
        </is>
      </c>
      <c r="E418" s="43" t="n">
        <v>46125</v>
      </c>
      <c r="F418" s="26" t="inlineStr">
        <is>
          <t>Sunil CR</t>
        </is>
      </c>
      <c r="G418" s="44" t="inlineStr">
        <is>
          <t>No</t>
        </is>
      </c>
      <c r="H418" s="26" t="inlineStr">
        <is>
          <t>No</t>
        </is>
      </c>
      <c r="I418" s="44" t="inlineStr">
        <is>
          <t>Not Available</t>
        </is>
      </c>
      <c r="J418" s="26" t="inlineStr">
        <is>
          <t>No</t>
        </is>
      </c>
      <c r="K418" s="27" t="n"/>
      <c r="L418" s="28" t="inlineStr">
        <is>
          <t>Yes</t>
        </is>
      </c>
      <c r="M418" s="29">
        <f>IF(E418="","",IF(H418="Yes","❌ Disc",IF(G418="No","⚠ Missing",IF(J418="Yes","✓ OK","⚠ Check"))))</f>
        <v/>
      </c>
      <c r="N418" s="43" t="n">
        <v>46196</v>
      </c>
      <c r="O418" s="26" t="inlineStr">
        <is>
          <t>Sunil CR</t>
        </is>
      </c>
      <c r="P418" s="44" t="inlineStr">
        <is>
          <t>No</t>
        </is>
      </c>
      <c r="Q418" s="26" t="inlineStr">
        <is>
          <t>No</t>
        </is>
      </c>
      <c r="R418" s="44" t="inlineStr">
        <is>
          <t>Not Available</t>
        </is>
      </c>
      <c r="S418" s="26" t="inlineStr">
        <is>
          <t>No</t>
        </is>
      </c>
      <c r="T418" s="27" t="n"/>
      <c r="U418" s="28" t="inlineStr">
        <is>
          <t>Yes</t>
        </is>
      </c>
      <c r="V418" s="29">
        <f>IF(N418="","",IF(Q418="Yes","❌ Disc",IF(P418="No","⚠ Missing",IF(S418="Yes","✓ OK","⚠ Check"))))</f>
        <v/>
      </c>
      <c r="W418" s="65" t="n">
        <v>46248</v>
      </c>
      <c r="X418" s="30" t="inlineStr">
        <is>
          <t>Sunil CR</t>
        </is>
      </c>
      <c r="Y418" s="30" t="inlineStr">
        <is>
          <t>No</t>
        </is>
      </c>
      <c r="Z418" s="30" t="n"/>
      <c r="AA418" s="30" t="inlineStr">
        <is>
          <t>Not Available</t>
        </is>
      </c>
      <c r="AB418" s="30" t="inlineStr">
        <is>
          <t>No</t>
        </is>
      </c>
      <c r="AC418" s="27" t="n"/>
      <c r="AD418" s="31" t="inlineStr">
        <is>
          <t>Yes</t>
        </is>
      </c>
      <c r="AE418" s="32">
        <f>IF(W418="","",IF(Z418="Yes","❌ Disc",IF(Y418="No","⚠ Missing",IF(AB418="Yes","✓ OK","⚠ Check"))))</f>
        <v/>
      </c>
      <c r="AF418" s="33" t="n"/>
      <c r="AG418" s="33" t="n"/>
      <c r="AH418" s="33" t="n"/>
      <c r="AI418" s="33" t="n"/>
      <c r="AJ418" s="33" t="n"/>
      <c r="AK418" s="33" t="n"/>
      <c r="AL418" s="27" t="n"/>
      <c r="AM418" s="34" t="n"/>
      <c r="AN418" s="35">
        <f>IF(AF418="","",IF(AI418="Yes","❌ Disc",IF(AH418="No","⚠ Missing",IF(AK418="Yes","✓ OK","⚠ Check"))))</f>
        <v/>
      </c>
      <c r="AO418" s="36" t="n"/>
      <c r="AP418" s="36" t="n"/>
      <c r="AQ418" s="36" t="n"/>
      <c r="AR418" s="36" t="n"/>
      <c r="AS418" s="36" t="n"/>
      <c r="AT418" s="36" t="n"/>
      <c r="AU418" s="27" t="n"/>
      <c r="AV418" s="37" t="n"/>
      <c r="AW418" s="38">
        <f>IF(AO418="","",IF(AR418="Yes","❌ Disc",IF(AQ418="No","⚠ Missing",IF(AT418="Yes","✓ OK","⚠ Check"))))</f>
        <v/>
      </c>
    </row>
    <row r="419" ht="18" customHeight="1" s="46">
      <c r="A419" s="23" t="n">
        <v>415</v>
      </c>
      <c r="B419" s="24" t="inlineStr">
        <is>
          <t>HWSS F37 SS</t>
        </is>
      </c>
      <c r="C419" s="25" t="inlineStr">
        <is>
          <t>Merixo SS F37 Folding Handle</t>
        </is>
      </c>
      <c r="D419" s="23" t="inlineStr">
        <is>
          <t>Merixo</t>
        </is>
      </c>
      <c r="E419" s="43" t="n">
        <v>46125</v>
      </c>
      <c r="F419" s="26" t="inlineStr">
        <is>
          <t>Sunil CR</t>
        </is>
      </c>
      <c r="G419" s="44" t="inlineStr">
        <is>
          <t>No</t>
        </is>
      </c>
      <c r="H419" s="26" t="inlineStr">
        <is>
          <t>No</t>
        </is>
      </c>
      <c r="I419" s="44" t="inlineStr">
        <is>
          <t>Not Available</t>
        </is>
      </c>
      <c r="J419" s="26" t="inlineStr">
        <is>
          <t>No</t>
        </is>
      </c>
      <c r="K419" s="27" t="n"/>
      <c r="L419" s="28" t="inlineStr">
        <is>
          <t>Yes</t>
        </is>
      </c>
      <c r="M419" s="29">
        <f>IF(E419="","",IF(H419="Yes","❌ Disc",IF(G419="No","⚠ Missing",IF(J419="Yes","✓ OK","⚠ Check"))))</f>
        <v/>
      </c>
      <c r="N419" s="43" t="n">
        <v>46196</v>
      </c>
      <c r="O419" s="26" t="inlineStr">
        <is>
          <t>Sunil CR</t>
        </is>
      </c>
      <c r="P419" s="44" t="inlineStr">
        <is>
          <t>No</t>
        </is>
      </c>
      <c r="Q419" s="26" t="inlineStr">
        <is>
          <t>No</t>
        </is>
      </c>
      <c r="R419" s="44" t="inlineStr">
        <is>
          <t>Not Available</t>
        </is>
      </c>
      <c r="S419" s="26" t="inlineStr">
        <is>
          <t>No</t>
        </is>
      </c>
      <c r="T419" s="27" t="n"/>
      <c r="U419" s="28" t="inlineStr">
        <is>
          <t>Yes</t>
        </is>
      </c>
      <c r="V419" s="29">
        <f>IF(N419="","",IF(Q419="Yes","❌ Disc",IF(P419="No","⚠ Missing",IF(S419="Yes","✓ OK","⚠ Check"))))</f>
        <v/>
      </c>
      <c r="W419" s="65" t="n">
        <v>46248</v>
      </c>
      <c r="X419" s="30" t="inlineStr">
        <is>
          <t>Sunil CR</t>
        </is>
      </c>
      <c r="Y419" s="30" t="inlineStr">
        <is>
          <t>No</t>
        </is>
      </c>
      <c r="Z419" s="30" t="n"/>
      <c r="AA419" s="30" t="inlineStr">
        <is>
          <t>Not Available</t>
        </is>
      </c>
      <c r="AB419" s="30" t="inlineStr">
        <is>
          <t>No</t>
        </is>
      </c>
      <c r="AC419" s="27" t="n"/>
      <c r="AD419" s="31" t="inlineStr">
        <is>
          <t>Yes</t>
        </is>
      </c>
      <c r="AE419" s="32">
        <f>IF(W419="","",IF(Z419="Yes","❌ Disc",IF(Y419="No","⚠ Missing",IF(AB419="Yes","✓ OK","⚠ Check"))))</f>
        <v/>
      </c>
      <c r="AF419" s="33" t="n"/>
      <c r="AG419" s="33" t="n"/>
      <c r="AH419" s="33" t="n"/>
      <c r="AI419" s="33" t="n"/>
      <c r="AJ419" s="33" t="n"/>
      <c r="AK419" s="33" t="n"/>
      <c r="AL419" s="27" t="n"/>
      <c r="AM419" s="34" t="n"/>
      <c r="AN419" s="35">
        <f>IF(AF419="","",IF(AI419="Yes","❌ Disc",IF(AH419="No","⚠ Missing",IF(AK419="Yes","✓ OK","⚠ Check"))))</f>
        <v/>
      </c>
      <c r="AO419" s="36" t="n"/>
      <c r="AP419" s="36" t="n"/>
      <c r="AQ419" s="36" t="n"/>
      <c r="AR419" s="36" t="n"/>
      <c r="AS419" s="36" t="n"/>
      <c r="AT419" s="36" t="n"/>
      <c r="AU419" s="27" t="n"/>
      <c r="AV419" s="37" t="n"/>
      <c r="AW419" s="38">
        <f>IF(AO419="","",IF(AR419="Yes","❌ Disc",IF(AQ419="No","⚠ Missing",IF(AT419="Yes","✓ OK","⚠ Check"))))</f>
        <v/>
      </c>
    </row>
    <row r="420" ht="18" customHeight="1" s="46">
      <c r="A420" s="39" t="n">
        <v>416</v>
      </c>
      <c r="B420" s="40" t="inlineStr">
        <is>
          <t>HWSS N74 SS</t>
        </is>
      </c>
      <c r="C420" s="41" t="inlineStr">
        <is>
          <t>Merixo SS N74 Knob Handle</t>
        </is>
      </c>
      <c r="D420" s="39" t="inlineStr">
        <is>
          <t>Merixo</t>
        </is>
      </c>
      <c r="E420" s="43" t="n">
        <v>46125</v>
      </c>
      <c r="F420" s="26" t="inlineStr">
        <is>
          <t>Sunil CR</t>
        </is>
      </c>
      <c r="G420" s="44" t="inlineStr">
        <is>
          <t>No</t>
        </is>
      </c>
      <c r="H420" s="26" t="inlineStr">
        <is>
          <t>No</t>
        </is>
      </c>
      <c r="I420" s="44" t="inlineStr">
        <is>
          <t>Not Available</t>
        </is>
      </c>
      <c r="J420" s="26" t="inlineStr">
        <is>
          <t>No</t>
        </is>
      </c>
      <c r="K420" s="27" t="n"/>
      <c r="L420" s="28" t="inlineStr">
        <is>
          <t>Yes</t>
        </is>
      </c>
      <c r="M420" s="29">
        <f>IF(E420="","",IF(H420="Yes","❌ Disc",IF(G420="No","⚠ Missing",IF(J420="Yes","✓ OK","⚠ Check"))))</f>
        <v/>
      </c>
      <c r="N420" s="43" t="n">
        <v>46196</v>
      </c>
      <c r="O420" s="26" t="inlineStr">
        <is>
          <t>Sunil CR</t>
        </is>
      </c>
      <c r="P420" s="44" t="inlineStr">
        <is>
          <t>No</t>
        </is>
      </c>
      <c r="Q420" s="26" t="inlineStr">
        <is>
          <t>No</t>
        </is>
      </c>
      <c r="R420" s="44" t="inlineStr">
        <is>
          <t>Not Available</t>
        </is>
      </c>
      <c r="S420" s="26" t="inlineStr">
        <is>
          <t>No</t>
        </is>
      </c>
      <c r="T420" s="27" t="n"/>
      <c r="U420" s="28" t="inlineStr">
        <is>
          <t>Yes</t>
        </is>
      </c>
      <c r="V420" s="29">
        <f>IF(N420="","",IF(Q420="Yes","❌ Disc",IF(P420="No","⚠ Missing",IF(S420="Yes","✓ OK","⚠ Check"))))</f>
        <v/>
      </c>
      <c r="W420" s="65" t="n">
        <v>46248</v>
      </c>
      <c r="X420" s="30" t="inlineStr">
        <is>
          <t>Sunil CR</t>
        </is>
      </c>
      <c r="Y420" s="30" t="inlineStr">
        <is>
          <t>No</t>
        </is>
      </c>
      <c r="Z420" s="30" t="n"/>
      <c r="AA420" s="30" t="inlineStr">
        <is>
          <t>Not Available</t>
        </is>
      </c>
      <c r="AB420" s="30" t="inlineStr">
        <is>
          <t>No</t>
        </is>
      </c>
      <c r="AC420" s="27" t="n"/>
      <c r="AD420" s="31" t="inlineStr">
        <is>
          <t>Yes</t>
        </is>
      </c>
      <c r="AE420" s="32">
        <f>IF(W420="","",IF(Z420="Yes","❌ Disc",IF(Y420="No","⚠ Missing",IF(AB420="Yes","✓ OK","⚠ Check"))))</f>
        <v/>
      </c>
      <c r="AF420" s="33" t="n"/>
      <c r="AG420" s="33" t="n"/>
      <c r="AH420" s="33" t="n"/>
      <c r="AI420" s="33" t="n"/>
      <c r="AJ420" s="33" t="n"/>
      <c r="AK420" s="33" t="n"/>
      <c r="AL420" s="27" t="n"/>
      <c r="AM420" s="34" t="n"/>
      <c r="AN420" s="35">
        <f>IF(AF420="","",IF(AI420="Yes","❌ Disc",IF(AH420="No","⚠ Missing",IF(AK420="Yes","✓ OK","⚠ Check"))))</f>
        <v/>
      </c>
      <c r="AO420" s="36" t="n"/>
      <c r="AP420" s="36" t="n"/>
      <c r="AQ420" s="36" t="n"/>
      <c r="AR420" s="36" t="n"/>
      <c r="AS420" s="36" t="n"/>
      <c r="AT420" s="36" t="n"/>
      <c r="AU420" s="27" t="n"/>
      <c r="AV420" s="37" t="n"/>
      <c r="AW420" s="38">
        <f>IF(AO420="","",IF(AR420="Yes","❌ Disc",IF(AQ420="No","⚠ Missing",IF(AT420="Yes","✓ OK","⚠ Check"))))</f>
        <v/>
      </c>
    </row>
    <row r="421" ht="18" customHeight="1" s="46">
      <c r="A421" s="23" t="n">
        <v>417</v>
      </c>
      <c r="B421" s="24" t="inlineStr">
        <is>
          <t>BD-HND-2023-0025</t>
        </is>
      </c>
      <c r="C421" s="25" t="inlineStr">
        <is>
          <t>Spacewood - Handle EP 01 - Aluminium</t>
        </is>
      </c>
      <c r="D421" s="23" t="inlineStr">
        <is>
          <t>Spacewood</t>
        </is>
      </c>
      <c r="E421" s="43" t="n">
        <v>46125</v>
      </c>
      <c r="F421" s="26" t="inlineStr">
        <is>
          <t>Sunil CR</t>
        </is>
      </c>
      <c r="G421" s="44" t="inlineStr">
        <is>
          <t>Yes</t>
        </is>
      </c>
      <c r="H421" s="26" t="inlineStr">
        <is>
          <t>No</t>
        </is>
      </c>
      <c r="I421" s="44" t="inlineStr">
        <is>
          <t>Good finish</t>
        </is>
      </c>
      <c r="J421" s="26" t="inlineStr">
        <is>
          <t>Yes</t>
        </is>
      </c>
      <c r="K421" s="27" t="n"/>
      <c r="L421" s="28" t="inlineStr">
        <is>
          <t>No</t>
        </is>
      </c>
      <c r="M421" s="29">
        <f>IF(E421="","",IF(H421="Yes","❌ Disc",IF(G421="No","⚠ Missing",IF(J421="Yes","✓ OK","⚠ Check"))))</f>
        <v/>
      </c>
      <c r="N421" s="43" t="n">
        <v>46196</v>
      </c>
      <c r="O421" s="26" t="inlineStr">
        <is>
          <t>Sunil CR</t>
        </is>
      </c>
      <c r="P421" s="44" t="inlineStr">
        <is>
          <t>Yes</t>
        </is>
      </c>
      <c r="Q421" s="26" t="inlineStr">
        <is>
          <t>No</t>
        </is>
      </c>
      <c r="R421" s="44" t="inlineStr">
        <is>
          <t>Good finish</t>
        </is>
      </c>
      <c r="S421" s="26" t="inlineStr">
        <is>
          <t>Yes</t>
        </is>
      </c>
      <c r="T421" s="27" t="n"/>
      <c r="U421" s="28" t="inlineStr">
        <is>
          <t>No</t>
        </is>
      </c>
      <c r="V421" s="29">
        <f>IF(N421="","",IF(Q421="Yes","❌ Disc",IF(P421="No","⚠ Missing",IF(S421="Yes","✓ OK","⚠ Check"))))</f>
        <v/>
      </c>
      <c r="W421" s="65" t="n">
        <v>46248</v>
      </c>
      <c r="X421" s="30" t="inlineStr">
        <is>
          <t>Sunil CR</t>
        </is>
      </c>
      <c r="Y421" s="30" t="inlineStr">
        <is>
          <t>Yes</t>
        </is>
      </c>
      <c r="Z421" s="30" t="n"/>
      <c r="AA421" s="30" t="inlineStr">
        <is>
          <t>Good finish</t>
        </is>
      </c>
      <c r="AB421" s="30" t="inlineStr">
        <is>
          <t>Yes</t>
        </is>
      </c>
      <c r="AC421" s="27" t="n"/>
      <c r="AD421" s="31" t="inlineStr">
        <is>
          <t>No</t>
        </is>
      </c>
      <c r="AE421" s="32">
        <f>IF(W421="","",IF(Z421="Yes","❌ Disc",IF(Y421="No","⚠ Missing",IF(AB421="Yes","✓ OK","⚠ Check"))))</f>
        <v/>
      </c>
      <c r="AF421" s="33" t="n"/>
      <c r="AG421" s="33" t="n"/>
      <c r="AH421" s="33" t="n"/>
      <c r="AI421" s="33" t="n"/>
      <c r="AJ421" s="33" t="n"/>
      <c r="AK421" s="33" t="n"/>
      <c r="AL421" s="27" t="n"/>
      <c r="AM421" s="34" t="n"/>
      <c r="AN421" s="35">
        <f>IF(AF421="","",IF(AI421="Yes","❌ Disc",IF(AH421="No","⚠ Missing",IF(AK421="Yes","✓ OK","⚠ Check"))))</f>
        <v/>
      </c>
      <c r="AO421" s="36" t="n"/>
      <c r="AP421" s="36" t="n"/>
      <c r="AQ421" s="36" t="n"/>
      <c r="AR421" s="36" t="n"/>
      <c r="AS421" s="36" t="n"/>
      <c r="AT421" s="36" t="n"/>
      <c r="AU421" s="27" t="n"/>
      <c r="AV421" s="37" t="n"/>
      <c r="AW421" s="38">
        <f>IF(AO421="","",IF(AR421="Yes","❌ Disc",IF(AQ421="No","⚠ Missing",IF(AT421="Yes","✓ OK","⚠ Check"))))</f>
        <v/>
      </c>
    </row>
    <row r="422" ht="18" customHeight="1" s="46">
      <c r="A422" s="39" t="n">
        <v>418</v>
      </c>
      <c r="B422" s="40" t="inlineStr">
        <is>
          <t>BD-HND-2023-0027</t>
        </is>
      </c>
      <c r="C422" s="41" t="inlineStr">
        <is>
          <t>Spacewood - Handle EP 01 - Black Powder Coated</t>
        </is>
      </c>
      <c r="D422" s="39" t="inlineStr">
        <is>
          <t>Spacewood</t>
        </is>
      </c>
      <c r="E422" s="43" t="n">
        <v>46125</v>
      </c>
      <c r="F422" s="26" t="inlineStr">
        <is>
          <t>Sunil CR</t>
        </is>
      </c>
      <c r="G422" s="44" t="inlineStr">
        <is>
          <t>Yes</t>
        </is>
      </c>
      <c r="H422" s="26" t="inlineStr">
        <is>
          <t>No</t>
        </is>
      </c>
      <c r="I422" s="44" t="inlineStr">
        <is>
          <t>Good finish</t>
        </is>
      </c>
      <c r="J422" s="26" t="inlineStr">
        <is>
          <t>Yes</t>
        </is>
      </c>
      <c r="K422" s="27" t="n"/>
      <c r="L422" s="28" t="inlineStr">
        <is>
          <t>No</t>
        </is>
      </c>
      <c r="M422" s="29">
        <f>IF(E422="","",IF(H422="Yes","❌ Disc",IF(G422="No","⚠ Missing",IF(J422="Yes","✓ OK","⚠ Check"))))</f>
        <v/>
      </c>
      <c r="N422" s="43" t="n">
        <v>46196</v>
      </c>
      <c r="O422" s="26" t="inlineStr">
        <is>
          <t>Sunil CR</t>
        </is>
      </c>
      <c r="P422" s="44" t="inlineStr">
        <is>
          <t>Yes</t>
        </is>
      </c>
      <c r="Q422" s="26" t="inlineStr">
        <is>
          <t>No</t>
        </is>
      </c>
      <c r="R422" s="44" t="inlineStr">
        <is>
          <t>Good finish</t>
        </is>
      </c>
      <c r="S422" s="26" t="inlineStr">
        <is>
          <t>Yes</t>
        </is>
      </c>
      <c r="T422" s="27" t="n"/>
      <c r="U422" s="28" t="inlineStr">
        <is>
          <t>No</t>
        </is>
      </c>
      <c r="V422" s="29">
        <f>IF(N422="","",IF(Q422="Yes","❌ Disc",IF(P422="No","⚠ Missing",IF(S422="Yes","✓ OK","⚠ Check"))))</f>
        <v/>
      </c>
      <c r="W422" s="65" t="n">
        <v>46248</v>
      </c>
      <c r="X422" s="30" t="inlineStr">
        <is>
          <t>Sunil CR</t>
        </is>
      </c>
      <c r="Y422" s="30" t="inlineStr">
        <is>
          <t>No</t>
        </is>
      </c>
      <c r="Z422" s="30" t="inlineStr">
        <is>
          <t>Yes</t>
        </is>
      </c>
      <c r="AA422" s="30" t="inlineStr">
        <is>
          <t>Discontinued</t>
        </is>
      </c>
      <c r="AB422" s="30" t="inlineStr">
        <is>
          <t>No</t>
        </is>
      </c>
      <c r="AC422" s="27" t="n"/>
      <c r="AD422" s="31" t="inlineStr">
        <is>
          <t>No</t>
        </is>
      </c>
      <c r="AE422" s="32">
        <f>IF(W422="","",IF(Z422="Yes","❌ Disc",IF(Y422="No","⚠ Missing",IF(AB422="Yes","✓ OK","⚠ Check"))))</f>
        <v/>
      </c>
      <c r="AF422" s="33" t="n"/>
      <c r="AG422" s="33" t="n"/>
      <c r="AH422" s="33" t="n"/>
      <c r="AI422" s="33" t="n"/>
      <c r="AJ422" s="33" t="n"/>
      <c r="AK422" s="33" t="n"/>
      <c r="AL422" s="27" t="n"/>
      <c r="AM422" s="34" t="n"/>
      <c r="AN422" s="35">
        <f>IF(AF422="","",IF(AI422="Yes","❌ Disc",IF(AH422="No","⚠ Missing",IF(AK422="Yes","✓ OK","⚠ Check"))))</f>
        <v/>
      </c>
      <c r="AO422" s="36" t="n"/>
      <c r="AP422" s="36" t="n"/>
      <c r="AQ422" s="36" t="n"/>
      <c r="AR422" s="36" t="n"/>
      <c r="AS422" s="36" t="n"/>
      <c r="AT422" s="36" t="n"/>
      <c r="AU422" s="27" t="n"/>
      <c r="AV422" s="37" t="n"/>
      <c r="AW422" s="38">
        <f>IF(AO422="","",IF(AR422="Yes","❌ Disc",IF(AQ422="No","⚠ Missing",IF(AT422="Yes","✓ OK","⚠ Check"))))</f>
        <v/>
      </c>
    </row>
    <row r="423" ht="18" customHeight="1" s="46">
      <c r="A423" s="23" t="n">
        <v>419</v>
      </c>
      <c r="B423" s="24" t="inlineStr">
        <is>
          <t>BD-HND-2023-0026</t>
        </is>
      </c>
      <c r="C423" s="25" t="inlineStr">
        <is>
          <t>Spacewood - Handle EP 01 - Chrome</t>
        </is>
      </c>
      <c r="D423" s="23" t="inlineStr">
        <is>
          <t>Spacewood</t>
        </is>
      </c>
      <c r="E423" s="43" t="n">
        <v>46125</v>
      </c>
      <c r="F423" s="26" t="inlineStr">
        <is>
          <t>Sunil CR</t>
        </is>
      </c>
      <c r="G423" s="44" t="inlineStr">
        <is>
          <t>Yes</t>
        </is>
      </c>
      <c r="H423" s="26" t="inlineStr">
        <is>
          <t>No</t>
        </is>
      </c>
      <c r="I423" s="44" t="inlineStr">
        <is>
          <t>Good finish</t>
        </is>
      </c>
      <c r="J423" s="26" t="inlineStr">
        <is>
          <t>Yes</t>
        </is>
      </c>
      <c r="K423" s="27" t="n"/>
      <c r="L423" s="28" t="inlineStr">
        <is>
          <t>No</t>
        </is>
      </c>
      <c r="M423" s="29">
        <f>IF(E423="","",IF(H423="Yes","❌ Disc",IF(G423="No","⚠ Missing",IF(J423="Yes","✓ OK","⚠ Check"))))</f>
        <v/>
      </c>
      <c r="N423" s="43" t="n">
        <v>46196</v>
      </c>
      <c r="O423" s="26" t="inlineStr">
        <is>
          <t>Sunil CR</t>
        </is>
      </c>
      <c r="P423" s="44" t="inlineStr">
        <is>
          <t>Yes</t>
        </is>
      </c>
      <c r="Q423" s="26" t="inlineStr">
        <is>
          <t>No</t>
        </is>
      </c>
      <c r="R423" s="44" t="inlineStr">
        <is>
          <t>Good finish</t>
        </is>
      </c>
      <c r="S423" s="26" t="inlineStr">
        <is>
          <t>Yes</t>
        </is>
      </c>
      <c r="T423" s="27" t="n"/>
      <c r="U423" s="28" t="inlineStr">
        <is>
          <t>No</t>
        </is>
      </c>
      <c r="V423" s="29">
        <f>IF(N423="","",IF(Q423="Yes","❌ Disc",IF(P423="No","⚠ Missing",IF(S423="Yes","✓ OK","⚠ Check"))))</f>
        <v/>
      </c>
      <c r="W423" s="65" t="n">
        <v>46248</v>
      </c>
      <c r="X423" s="30" t="inlineStr">
        <is>
          <t>Sunil CR</t>
        </is>
      </c>
      <c r="Y423" s="30" t="inlineStr">
        <is>
          <t>Yes</t>
        </is>
      </c>
      <c r="Z423" s="30" t="n"/>
      <c r="AA423" s="30" t="inlineStr">
        <is>
          <t>Good finish</t>
        </is>
      </c>
      <c r="AB423" s="30" t="inlineStr">
        <is>
          <t>Yes</t>
        </is>
      </c>
      <c r="AC423" s="27" t="n"/>
      <c r="AD423" s="31" t="inlineStr">
        <is>
          <t>No</t>
        </is>
      </c>
      <c r="AE423" s="32">
        <f>IF(W423="","",IF(Z423="Yes","❌ Disc",IF(Y423="No","⚠ Missing",IF(AB423="Yes","✓ OK","⚠ Check"))))</f>
        <v/>
      </c>
      <c r="AF423" s="33" t="n"/>
      <c r="AG423" s="33" t="n"/>
      <c r="AH423" s="33" t="n"/>
      <c r="AI423" s="33" t="n"/>
      <c r="AJ423" s="33" t="n"/>
      <c r="AK423" s="33" t="n"/>
      <c r="AL423" s="27" t="n"/>
      <c r="AM423" s="34" t="n"/>
      <c r="AN423" s="35">
        <f>IF(AF423="","",IF(AI423="Yes","❌ Disc",IF(AH423="No","⚠ Missing",IF(AK423="Yes","✓ OK","⚠ Check"))))</f>
        <v/>
      </c>
      <c r="AO423" s="36" t="n"/>
      <c r="AP423" s="36" t="n"/>
      <c r="AQ423" s="36" t="n"/>
      <c r="AR423" s="36" t="n"/>
      <c r="AS423" s="36" t="n"/>
      <c r="AT423" s="36" t="n"/>
      <c r="AU423" s="27" t="n"/>
      <c r="AV423" s="37" t="n"/>
      <c r="AW423" s="38">
        <f>IF(AO423="","",IF(AR423="Yes","❌ Disc",IF(AQ423="No","⚠ Missing",IF(AT423="Yes","✓ OK","⚠ Check"))))</f>
        <v/>
      </c>
    </row>
    <row r="424" ht="18" customHeight="1" s="46">
      <c r="A424" s="39" t="n">
        <v>420</v>
      </c>
      <c r="B424" s="40" t="inlineStr">
        <is>
          <t>BD-HND-2023-0007</t>
        </is>
      </c>
      <c r="C424" s="41" t="inlineStr">
        <is>
          <t>Spacewood - Handle H33 - Anodized Black - 297mm</t>
        </is>
      </c>
      <c r="D424" s="39" t="inlineStr">
        <is>
          <t>Spacewood</t>
        </is>
      </c>
      <c r="E424" s="43" t="n">
        <v>46125</v>
      </c>
      <c r="F424" s="26" t="inlineStr">
        <is>
          <t>Sunil CR</t>
        </is>
      </c>
      <c r="G424" s="44" t="inlineStr">
        <is>
          <t>Yes</t>
        </is>
      </c>
      <c r="H424" s="26" t="inlineStr">
        <is>
          <t>No</t>
        </is>
      </c>
      <c r="I424" s="44" t="inlineStr">
        <is>
          <t>Good finish</t>
        </is>
      </c>
      <c r="J424" s="26" t="inlineStr">
        <is>
          <t>Yes</t>
        </is>
      </c>
      <c r="K424" s="27" t="n"/>
      <c r="L424" s="28" t="inlineStr">
        <is>
          <t>No</t>
        </is>
      </c>
      <c r="M424" s="29">
        <f>IF(E424="","",IF(H424="Yes","❌ Disc",IF(G424="No","⚠ Missing",IF(J424="Yes","✓ OK","⚠ Check"))))</f>
        <v/>
      </c>
      <c r="N424" s="43" t="n">
        <v>46196</v>
      </c>
      <c r="O424" s="26" t="inlineStr">
        <is>
          <t>Sunil CR</t>
        </is>
      </c>
      <c r="P424" s="44" t="inlineStr">
        <is>
          <t>Yes</t>
        </is>
      </c>
      <c r="Q424" s="26" t="inlineStr">
        <is>
          <t>No</t>
        </is>
      </c>
      <c r="R424" s="44" t="inlineStr">
        <is>
          <t>Good finish</t>
        </is>
      </c>
      <c r="S424" s="26" t="inlineStr">
        <is>
          <t>Yes</t>
        </is>
      </c>
      <c r="T424" s="27" t="n"/>
      <c r="U424" s="28" t="inlineStr">
        <is>
          <t>No</t>
        </is>
      </c>
      <c r="V424" s="29">
        <f>IF(N424="","",IF(Q424="Yes","❌ Disc",IF(P424="No","⚠ Missing",IF(S424="Yes","✓ OK","⚠ Check"))))</f>
        <v/>
      </c>
      <c r="W424" s="65" t="n">
        <v>46248</v>
      </c>
      <c r="X424" s="30" t="inlineStr">
        <is>
          <t>Sunil CR</t>
        </is>
      </c>
      <c r="Y424" s="30" t="inlineStr">
        <is>
          <t>Yes</t>
        </is>
      </c>
      <c r="Z424" s="30" t="n"/>
      <c r="AA424" s="30" t="inlineStr">
        <is>
          <t>Good finish</t>
        </is>
      </c>
      <c r="AB424" s="30" t="inlineStr">
        <is>
          <t>Yes</t>
        </is>
      </c>
      <c r="AC424" s="27" t="n"/>
      <c r="AD424" s="31" t="inlineStr">
        <is>
          <t>No</t>
        </is>
      </c>
      <c r="AE424" s="32">
        <f>IF(W424="","",IF(Z424="Yes","❌ Disc",IF(Y424="No","⚠ Missing",IF(AB424="Yes","✓ OK","⚠ Check"))))</f>
        <v/>
      </c>
      <c r="AF424" s="33" t="n"/>
      <c r="AG424" s="33" t="n"/>
      <c r="AH424" s="33" t="n"/>
      <c r="AI424" s="33" t="n"/>
      <c r="AJ424" s="33" t="n"/>
      <c r="AK424" s="33" t="n"/>
      <c r="AL424" s="27" t="n"/>
      <c r="AM424" s="34" t="n"/>
      <c r="AN424" s="35">
        <f>IF(AF424="","",IF(AI424="Yes","❌ Disc",IF(AH424="No","⚠ Missing",IF(AK424="Yes","✓ OK","⚠ Check"))))</f>
        <v/>
      </c>
      <c r="AO424" s="36" t="n"/>
      <c r="AP424" s="36" t="n"/>
      <c r="AQ424" s="36" t="n"/>
      <c r="AR424" s="36" t="n"/>
      <c r="AS424" s="36" t="n"/>
      <c r="AT424" s="36" t="n"/>
      <c r="AU424" s="27" t="n"/>
      <c r="AV424" s="37" t="n"/>
      <c r="AW424" s="38">
        <f>IF(AO424="","",IF(AR424="Yes","❌ Disc",IF(AQ424="No","⚠ Missing",IF(AT424="Yes","✓ OK","⚠ Check"))))</f>
        <v/>
      </c>
    </row>
    <row r="425" ht="18" customHeight="1" s="46">
      <c r="A425" s="23" t="n">
        <v>421</v>
      </c>
      <c r="B425" s="24" t="inlineStr">
        <is>
          <t>BD-HND-2023-0008</t>
        </is>
      </c>
      <c r="C425" s="25" t="inlineStr">
        <is>
          <t>Spacewood - Handle H33 - Anodized Black - 447mm</t>
        </is>
      </c>
      <c r="D425" s="23" t="inlineStr">
        <is>
          <t>Spacewood</t>
        </is>
      </c>
      <c r="E425" s="43" t="n">
        <v>46125</v>
      </c>
      <c r="F425" s="26" t="inlineStr">
        <is>
          <t>Sunil CR</t>
        </is>
      </c>
      <c r="G425" s="44" t="inlineStr">
        <is>
          <t>Represented by Sample</t>
        </is>
      </c>
      <c r="H425" s="26" t="inlineStr">
        <is>
          <t>No</t>
        </is>
      </c>
      <c r="I425" s="44" t="inlineStr">
        <is>
          <t>Represented by Sample</t>
        </is>
      </c>
      <c r="J425" s="26" t="inlineStr">
        <is>
          <t>Yes</t>
        </is>
      </c>
      <c r="K425" s="27" t="n"/>
      <c r="L425" s="28" t="inlineStr">
        <is>
          <t>No</t>
        </is>
      </c>
      <c r="M425" s="29">
        <f>IF(E425="","",IF(H425="Yes","❌ Disc",IF(G425="No","⚠ Missing",IF(J425="Yes","✓ OK","⚠ Check"))))</f>
        <v/>
      </c>
      <c r="N425" s="43" t="n">
        <v>46196</v>
      </c>
      <c r="O425" s="26" t="inlineStr">
        <is>
          <t>Sunil CR</t>
        </is>
      </c>
      <c r="P425" s="44" t="inlineStr">
        <is>
          <t>Represented by Sample</t>
        </is>
      </c>
      <c r="Q425" s="26" t="inlineStr">
        <is>
          <t>No</t>
        </is>
      </c>
      <c r="R425" s="44" t="inlineStr">
        <is>
          <t>Represented by Sample</t>
        </is>
      </c>
      <c r="S425" s="26" t="inlineStr">
        <is>
          <t>Yes</t>
        </is>
      </c>
      <c r="T425" s="27" t="n"/>
      <c r="U425" s="28" t="inlineStr">
        <is>
          <t>No</t>
        </is>
      </c>
      <c r="V425" s="29">
        <f>IF(N425="","",IF(Q425="Yes","❌ Disc",IF(P425="No","⚠ Missing",IF(S425="Yes","✓ OK","⚠ Check"))))</f>
        <v/>
      </c>
      <c r="W425" s="65" t="n">
        <v>46248</v>
      </c>
      <c r="X425" s="30" t="inlineStr">
        <is>
          <t>Sunil CR</t>
        </is>
      </c>
      <c r="Y425" s="30" t="inlineStr">
        <is>
          <t>Represented by Sample</t>
        </is>
      </c>
      <c r="Z425" s="30" t="n"/>
      <c r="AA425" s="30" t="inlineStr">
        <is>
          <t>Represented by Sample</t>
        </is>
      </c>
      <c r="AB425" s="30" t="inlineStr">
        <is>
          <t>Yes</t>
        </is>
      </c>
      <c r="AC425" s="27" t="n"/>
      <c r="AD425" s="31" t="inlineStr">
        <is>
          <t>No</t>
        </is>
      </c>
      <c r="AE425" s="32">
        <f>IF(W425="","",IF(Z425="Yes","❌ Disc",IF(Y425="No","⚠ Missing",IF(AB425="Yes","✓ OK","⚠ Check"))))</f>
        <v/>
      </c>
      <c r="AF425" s="33" t="n"/>
      <c r="AG425" s="33" t="n"/>
      <c r="AH425" s="33" t="n"/>
      <c r="AI425" s="33" t="n"/>
      <c r="AJ425" s="33" t="n"/>
      <c r="AK425" s="33" t="n"/>
      <c r="AL425" s="27" t="n"/>
      <c r="AM425" s="34" t="n"/>
      <c r="AN425" s="35">
        <f>IF(AF425="","",IF(AI425="Yes","❌ Disc",IF(AH425="No","⚠ Missing",IF(AK425="Yes","✓ OK","⚠ Check"))))</f>
        <v/>
      </c>
      <c r="AO425" s="36" t="n"/>
      <c r="AP425" s="36" t="n"/>
      <c r="AQ425" s="36" t="n"/>
      <c r="AR425" s="36" t="n"/>
      <c r="AS425" s="36" t="n"/>
      <c r="AT425" s="36" t="n"/>
      <c r="AU425" s="27" t="n"/>
      <c r="AV425" s="37" t="n"/>
      <c r="AW425" s="38">
        <f>IF(AO425="","",IF(AR425="Yes","❌ Disc",IF(AQ425="No","⚠ Missing",IF(AT425="Yes","✓ OK","⚠ Check"))))</f>
        <v/>
      </c>
    </row>
    <row r="426" ht="18" customHeight="1" s="46">
      <c r="A426" s="39" t="n">
        <v>422</v>
      </c>
      <c r="B426" s="40" t="inlineStr">
        <is>
          <t>BD-HND-2023-0009</t>
        </is>
      </c>
      <c r="C426" s="41" t="inlineStr">
        <is>
          <t>Spacewood - Handle H33 - Anodized Black - 497mm</t>
        </is>
      </c>
      <c r="D426" s="39" t="inlineStr">
        <is>
          <t>Spacewood</t>
        </is>
      </c>
      <c r="E426" s="43" t="n">
        <v>46125</v>
      </c>
      <c r="F426" s="26" t="inlineStr">
        <is>
          <t>Sunil CR</t>
        </is>
      </c>
      <c r="G426" s="44" t="inlineStr">
        <is>
          <t>Represented by Sample</t>
        </is>
      </c>
      <c r="H426" s="26" t="inlineStr">
        <is>
          <t>No</t>
        </is>
      </c>
      <c r="I426" s="44" t="inlineStr">
        <is>
          <t>Represented by Sample</t>
        </is>
      </c>
      <c r="J426" s="26" t="inlineStr">
        <is>
          <t>Yes</t>
        </is>
      </c>
      <c r="K426" s="27" t="n"/>
      <c r="L426" s="28" t="inlineStr">
        <is>
          <t>No</t>
        </is>
      </c>
      <c r="M426" s="29">
        <f>IF(E426="","",IF(H426="Yes","❌ Disc",IF(G426="No","⚠ Missing",IF(J426="Yes","✓ OK","⚠ Check"))))</f>
        <v/>
      </c>
      <c r="N426" s="43" t="n">
        <v>46196</v>
      </c>
      <c r="O426" s="26" t="inlineStr">
        <is>
          <t>Sunil CR</t>
        </is>
      </c>
      <c r="P426" s="44" t="inlineStr">
        <is>
          <t>Represented by Sample</t>
        </is>
      </c>
      <c r="Q426" s="26" t="inlineStr">
        <is>
          <t>No</t>
        </is>
      </c>
      <c r="R426" s="44" t="inlineStr">
        <is>
          <t>Represented by Sample</t>
        </is>
      </c>
      <c r="S426" s="26" t="inlineStr">
        <is>
          <t>Yes</t>
        </is>
      </c>
      <c r="T426" s="27" t="n"/>
      <c r="U426" s="28" t="inlineStr">
        <is>
          <t>No</t>
        </is>
      </c>
      <c r="V426" s="29">
        <f>IF(N426="","",IF(Q426="Yes","❌ Disc",IF(P426="No","⚠ Missing",IF(S426="Yes","✓ OK","⚠ Check"))))</f>
        <v/>
      </c>
      <c r="W426" s="65" t="n">
        <v>46248</v>
      </c>
      <c r="X426" s="30" t="inlineStr">
        <is>
          <t>Sunil CR</t>
        </is>
      </c>
      <c r="Y426" s="30" t="inlineStr">
        <is>
          <t>Represented by Sample</t>
        </is>
      </c>
      <c r="Z426" s="30" t="n"/>
      <c r="AA426" s="30" t="inlineStr">
        <is>
          <t>Represented by Sample</t>
        </is>
      </c>
      <c r="AB426" s="30" t="inlineStr">
        <is>
          <t>Yes</t>
        </is>
      </c>
      <c r="AC426" s="27" t="n"/>
      <c r="AD426" s="31" t="inlineStr">
        <is>
          <t>No</t>
        </is>
      </c>
      <c r="AE426" s="32">
        <f>IF(W426="","",IF(Z426="Yes","❌ Disc",IF(Y426="No","⚠ Missing",IF(AB426="Yes","✓ OK","⚠ Check"))))</f>
        <v/>
      </c>
      <c r="AF426" s="33" t="n"/>
      <c r="AG426" s="33" t="n"/>
      <c r="AH426" s="33" t="n"/>
      <c r="AI426" s="33" t="n"/>
      <c r="AJ426" s="33" t="n"/>
      <c r="AK426" s="33" t="n"/>
      <c r="AL426" s="27" t="n"/>
      <c r="AM426" s="34" t="n"/>
      <c r="AN426" s="35">
        <f>IF(AF426="","",IF(AI426="Yes","❌ Disc",IF(AH426="No","⚠ Missing",IF(AK426="Yes","✓ OK","⚠ Check"))))</f>
        <v/>
      </c>
      <c r="AO426" s="36" t="n"/>
      <c r="AP426" s="36" t="n"/>
      <c r="AQ426" s="36" t="n"/>
      <c r="AR426" s="36" t="n"/>
      <c r="AS426" s="36" t="n"/>
      <c r="AT426" s="36" t="n"/>
      <c r="AU426" s="27" t="n"/>
      <c r="AV426" s="37" t="n"/>
      <c r="AW426" s="38">
        <f>IF(AO426="","",IF(AR426="Yes","❌ Disc",IF(AQ426="No","⚠ Missing",IF(AT426="Yes","✓ OK","⚠ Check"))))</f>
        <v/>
      </c>
    </row>
    <row r="427" ht="18" customHeight="1" s="46">
      <c r="A427" s="23" t="n">
        <v>423</v>
      </c>
      <c r="B427" s="24" t="inlineStr">
        <is>
          <t>BD-HND-2023-0010</t>
        </is>
      </c>
      <c r="C427" s="25" t="inlineStr">
        <is>
          <t>Spacewood - Handle H33 - Anodized Black - 597mm</t>
        </is>
      </c>
      <c r="D427" s="23" t="inlineStr">
        <is>
          <t>Spacewood</t>
        </is>
      </c>
      <c r="E427" s="43" t="n">
        <v>46125</v>
      </c>
      <c r="F427" s="26" t="inlineStr">
        <is>
          <t>Sunil CR</t>
        </is>
      </c>
      <c r="G427" s="44" t="inlineStr">
        <is>
          <t>Represented by Sample</t>
        </is>
      </c>
      <c r="H427" s="26" t="inlineStr">
        <is>
          <t>No</t>
        </is>
      </c>
      <c r="I427" s="44" t="inlineStr">
        <is>
          <t>Represented by Sample</t>
        </is>
      </c>
      <c r="J427" s="26" t="inlineStr">
        <is>
          <t>Yes</t>
        </is>
      </c>
      <c r="K427" s="27" t="n"/>
      <c r="L427" s="28" t="inlineStr">
        <is>
          <t>No</t>
        </is>
      </c>
      <c r="M427" s="29">
        <f>IF(E427="","",IF(H427="Yes","❌ Disc",IF(G427="No","⚠ Missing",IF(J427="Yes","✓ OK","⚠ Check"))))</f>
        <v/>
      </c>
      <c r="N427" s="43" t="n">
        <v>46196</v>
      </c>
      <c r="O427" s="26" t="inlineStr">
        <is>
          <t>Sunil CR</t>
        </is>
      </c>
      <c r="P427" s="44" t="inlineStr">
        <is>
          <t>Represented by Sample</t>
        </is>
      </c>
      <c r="Q427" s="26" t="inlineStr">
        <is>
          <t>No</t>
        </is>
      </c>
      <c r="R427" s="44" t="inlineStr">
        <is>
          <t>Represented by Sample</t>
        </is>
      </c>
      <c r="S427" s="26" t="inlineStr">
        <is>
          <t>Yes</t>
        </is>
      </c>
      <c r="T427" s="27" t="n"/>
      <c r="U427" s="28" t="inlineStr">
        <is>
          <t>No</t>
        </is>
      </c>
      <c r="V427" s="29">
        <f>IF(N427="","",IF(Q427="Yes","❌ Disc",IF(P427="No","⚠ Missing",IF(S427="Yes","✓ OK","⚠ Check"))))</f>
        <v/>
      </c>
      <c r="W427" s="65" t="n">
        <v>46248</v>
      </c>
      <c r="X427" s="30" t="inlineStr">
        <is>
          <t>Sunil CR</t>
        </is>
      </c>
      <c r="Y427" s="30" t="inlineStr">
        <is>
          <t>Represented by Sample</t>
        </is>
      </c>
      <c r="Z427" s="30" t="n"/>
      <c r="AA427" s="30" t="inlineStr">
        <is>
          <t>Represented by Sample</t>
        </is>
      </c>
      <c r="AB427" s="30" t="inlineStr">
        <is>
          <t>Yes</t>
        </is>
      </c>
      <c r="AC427" s="27" t="n"/>
      <c r="AD427" s="31" t="inlineStr">
        <is>
          <t>No</t>
        </is>
      </c>
      <c r="AE427" s="32">
        <f>IF(W427="","",IF(Z427="Yes","❌ Disc",IF(Y427="No","⚠ Missing",IF(AB427="Yes","✓ OK","⚠ Check"))))</f>
        <v/>
      </c>
      <c r="AF427" s="33" t="n"/>
      <c r="AG427" s="33" t="n"/>
      <c r="AH427" s="33" t="n"/>
      <c r="AI427" s="33" t="n"/>
      <c r="AJ427" s="33" t="n"/>
      <c r="AK427" s="33" t="n"/>
      <c r="AL427" s="27" t="n"/>
      <c r="AM427" s="34" t="n"/>
      <c r="AN427" s="35">
        <f>IF(AF427="","",IF(AI427="Yes","❌ Disc",IF(AH427="No","⚠ Missing",IF(AK427="Yes","✓ OK","⚠ Check"))))</f>
        <v/>
      </c>
      <c r="AO427" s="36" t="n"/>
      <c r="AP427" s="36" t="n"/>
      <c r="AQ427" s="36" t="n"/>
      <c r="AR427" s="36" t="n"/>
      <c r="AS427" s="36" t="n"/>
      <c r="AT427" s="36" t="n"/>
      <c r="AU427" s="27" t="n"/>
      <c r="AV427" s="37" t="n"/>
      <c r="AW427" s="38">
        <f>IF(AO427="","",IF(AR427="Yes","❌ Disc",IF(AQ427="No","⚠ Missing",IF(AT427="Yes","✓ OK","⚠ Check"))))</f>
        <v/>
      </c>
    </row>
    <row r="428" ht="18" customHeight="1" s="46">
      <c r="A428" s="39" t="n">
        <v>424</v>
      </c>
      <c r="B428" s="40" t="inlineStr">
        <is>
          <t>BD-HND-2023-0011</t>
        </is>
      </c>
      <c r="C428" s="41" t="inlineStr">
        <is>
          <t>Spacewood - Handle H33 - Anodized Black - 797mm</t>
        </is>
      </c>
      <c r="D428" s="39" t="inlineStr">
        <is>
          <t>Spacewood</t>
        </is>
      </c>
      <c r="E428" s="43" t="n">
        <v>46125</v>
      </c>
      <c r="F428" s="26" t="inlineStr">
        <is>
          <t>Sunil CR</t>
        </is>
      </c>
      <c r="G428" s="44" t="inlineStr">
        <is>
          <t>Represented by Sample</t>
        </is>
      </c>
      <c r="H428" s="26" t="inlineStr">
        <is>
          <t>No</t>
        </is>
      </c>
      <c r="I428" s="44" t="inlineStr">
        <is>
          <t>Represented by Sample</t>
        </is>
      </c>
      <c r="J428" s="26" t="inlineStr">
        <is>
          <t>Yes</t>
        </is>
      </c>
      <c r="K428" s="27" t="n"/>
      <c r="L428" s="28" t="inlineStr">
        <is>
          <t>No</t>
        </is>
      </c>
      <c r="M428" s="29">
        <f>IF(E428="","",IF(H428="Yes","❌ Disc",IF(G428="No","⚠ Missing",IF(J428="Yes","✓ OK","⚠ Check"))))</f>
        <v/>
      </c>
      <c r="N428" s="43" t="n">
        <v>46196</v>
      </c>
      <c r="O428" s="26" t="inlineStr">
        <is>
          <t>Sunil CR</t>
        </is>
      </c>
      <c r="P428" s="44" t="inlineStr">
        <is>
          <t>Represented by Sample</t>
        </is>
      </c>
      <c r="Q428" s="26" t="inlineStr">
        <is>
          <t>No</t>
        </is>
      </c>
      <c r="R428" s="44" t="inlineStr">
        <is>
          <t>Represented by Sample</t>
        </is>
      </c>
      <c r="S428" s="26" t="inlineStr">
        <is>
          <t>Yes</t>
        </is>
      </c>
      <c r="T428" s="27" t="n"/>
      <c r="U428" s="28" t="inlineStr">
        <is>
          <t>No</t>
        </is>
      </c>
      <c r="V428" s="29">
        <f>IF(N428="","",IF(Q428="Yes","❌ Disc",IF(P428="No","⚠ Missing",IF(S428="Yes","✓ OK","⚠ Check"))))</f>
        <v/>
      </c>
      <c r="W428" s="65" t="n">
        <v>46248</v>
      </c>
      <c r="X428" s="30" t="inlineStr">
        <is>
          <t>Sunil CR</t>
        </is>
      </c>
      <c r="Y428" s="30" t="inlineStr">
        <is>
          <t>Represented by Sample</t>
        </is>
      </c>
      <c r="Z428" s="30" t="n"/>
      <c r="AA428" s="30" t="inlineStr">
        <is>
          <t>Represented by Sample</t>
        </is>
      </c>
      <c r="AB428" s="30" t="inlineStr">
        <is>
          <t>Yes</t>
        </is>
      </c>
      <c r="AC428" s="27" t="n"/>
      <c r="AD428" s="31" t="inlineStr">
        <is>
          <t>No</t>
        </is>
      </c>
      <c r="AE428" s="32">
        <f>IF(W428="","",IF(Z428="Yes","❌ Disc",IF(Y428="No","⚠ Missing",IF(AB428="Yes","✓ OK","⚠ Check"))))</f>
        <v/>
      </c>
      <c r="AF428" s="33" t="n"/>
      <c r="AG428" s="33" t="n"/>
      <c r="AH428" s="33" t="n"/>
      <c r="AI428" s="33" t="n"/>
      <c r="AJ428" s="33" t="n"/>
      <c r="AK428" s="33" t="n"/>
      <c r="AL428" s="27" t="n"/>
      <c r="AM428" s="34" t="n"/>
      <c r="AN428" s="35">
        <f>IF(AF428="","",IF(AI428="Yes","❌ Disc",IF(AH428="No","⚠ Missing",IF(AK428="Yes","✓ OK","⚠ Check"))))</f>
        <v/>
      </c>
      <c r="AO428" s="36" t="n"/>
      <c r="AP428" s="36" t="n"/>
      <c r="AQ428" s="36" t="n"/>
      <c r="AR428" s="36" t="n"/>
      <c r="AS428" s="36" t="n"/>
      <c r="AT428" s="36" t="n"/>
      <c r="AU428" s="27" t="n"/>
      <c r="AV428" s="37" t="n"/>
      <c r="AW428" s="38">
        <f>IF(AO428="","",IF(AR428="Yes","❌ Disc",IF(AQ428="No","⚠ Missing",IF(AT428="Yes","✓ OK","⚠ Check"))))</f>
        <v/>
      </c>
    </row>
    <row r="429" ht="18" customHeight="1" s="46">
      <c r="A429" s="23" t="n">
        <v>425</v>
      </c>
      <c r="B429" s="24" t="inlineStr">
        <is>
          <t>BD-HND-2023-0012</t>
        </is>
      </c>
      <c r="C429" s="25" t="inlineStr">
        <is>
          <t>Spacewood - Handle H33 - Anodized Black - 897mm</t>
        </is>
      </c>
      <c r="D429" s="23" t="inlineStr">
        <is>
          <t>Spacewood</t>
        </is>
      </c>
      <c r="E429" s="43" t="n">
        <v>46125</v>
      </c>
      <c r="F429" s="26" t="inlineStr">
        <is>
          <t>Sunil CR</t>
        </is>
      </c>
      <c r="G429" s="44" t="inlineStr">
        <is>
          <t>Represented by Sample</t>
        </is>
      </c>
      <c r="H429" s="26" t="inlineStr">
        <is>
          <t>No</t>
        </is>
      </c>
      <c r="I429" s="44" t="inlineStr">
        <is>
          <t>Represented by Sample</t>
        </is>
      </c>
      <c r="J429" s="26" t="inlineStr">
        <is>
          <t>Yes</t>
        </is>
      </c>
      <c r="K429" s="27" t="n"/>
      <c r="L429" s="28" t="inlineStr">
        <is>
          <t>No</t>
        </is>
      </c>
      <c r="M429" s="29">
        <f>IF(E429="","",IF(H429="Yes","❌ Disc",IF(G429="No","⚠ Missing",IF(J429="Yes","✓ OK","⚠ Check"))))</f>
        <v/>
      </c>
      <c r="N429" s="43" t="n">
        <v>46196</v>
      </c>
      <c r="O429" s="26" t="inlineStr">
        <is>
          <t>Sunil CR</t>
        </is>
      </c>
      <c r="P429" s="44" t="inlineStr">
        <is>
          <t>Represented by Sample</t>
        </is>
      </c>
      <c r="Q429" s="26" t="inlineStr">
        <is>
          <t>No</t>
        </is>
      </c>
      <c r="R429" s="44" t="inlineStr">
        <is>
          <t>Represented by Sample</t>
        </is>
      </c>
      <c r="S429" s="26" t="inlineStr">
        <is>
          <t>Yes</t>
        </is>
      </c>
      <c r="T429" s="27" t="n"/>
      <c r="U429" s="28" t="inlineStr">
        <is>
          <t>No</t>
        </is>
      </c>
      <c r="V429" s="29">
        <f>IF(N429="","",IF(Q429="Yes","❌ Disc",IF(P429="No","⚠ Missing",IF(S429="Yes","✓ OK","⚠ Check"))))</f>
        <v/>
      </c>
      <c r="W429" s="65" t="n">
        <v>46248</v>
      </c>
      <c r="X429" s="30" t="inlineStr">
        <is>
          <t>Sunil CR</t>
        </is>
      </c>
      <c r="Y429" s="30" t="inlineStr">
        <is>
          <t>Represented by Sample</t>
        </is>
      </c>
      <c r="Z429" s="30" t="n"/>
      <c r="AA429" s="30" t="inlineStr">
        <is>
          <t>Represented by Sample</t>
        </is>
      </c>
      <c r="AB429" s="30" t="inlineStr">
        <is>
          <t>Yes</t>
        </is>
      </c>
      <c r="AC429" s="27" t="n"/>
      <c r="AD429" s="31" t="inlineStr">
        <is>
          <t>No</t>
        </is>
      </c>
      <c r="AE429" s="32">
        <f>IF(W429="","",IF(Z429="Yes","❌ Disc",IF(Y429="No","⚠ Missing",IF(AB429="Yes","✓ OK","⚠ Check"))))</f>
        <v/>
      </c>
      <c r="AF429" s="33" t="n"/>
      <c r="AG429" s="33" t="n"/>
      <c r="AH429" s="33" t="n"/>
      <c r="AI429" s="33" t="n"/>
      <c r="AJ429" s="33" t="n"/>
      <c r="AK429" s="33" t="n"/>
      <c r="AL429" s="27" t="n"/>
      <c r="AM429" s="34" t="n"/>
      <c r="AN429" s="35">
        <f>IF(AF429="","",IF(AI429="Yes","❌ Disc",IF(AH429="No","⚠ Missing",IF(AK429="Yes","✓ OK","⚠ Check"))))</f>
        <v/>
      </c>
      <c r="AO429" s="36" t="n"/>
      <c r="AP429" s="36" t="n"/>
      <c r="AQ429" s="36" t="n"/>
      <c r="AR429" s="36" t="n"/>
      <c r="AS429" s="36" t="n"/>
      <c r="AT429" s="36" t="n"/>
      <c r="AU429" s="27" t="n"/>
      <c r="AV429" s="37" t="n"/>
      <c r="AW429" s="38">
        <f>IF(AO429="","",IF(AR429="Yes","❌ Disc",IF(AQ429="No","⚠ Missing",IF(AT429="Yes","✓ OK","⚠ Check"))))</f>
        <v/>
      </c>
    </row>
    <row r="430" ht="18" customHeight="1" s="46">
      <c r="A430" s="39" t="n">
        <v>426</v>
      </c>
      <c r="B430" s="40" t="inlineStr">
        <is>
          <t>BD-HND-2023-0001</t>
        </is>
      </c>
      <c r="C430" s="41" t="inlineStr">
        <is>
          <t>Spacewood - Handle H33 - Chrome - 297mm</t>
        </is>
      </c>
      <c r="D430" s="39" t="inlineStr">
        <is>
          <t>Spacewood</t>
        </is>
      </c>
      <c r="E430" s="43" t="n">
        <v>46125</v>
      </c>
      <c r="F430" s="26" t="inlineStr">
        <is>
          <t>Sunil CR</t>
        </is>
      </c>
      <c r="G430" s="44" t="inlineStr">
        <is>
          <t>Yes</t>
        </is>
      </c>
      <c r="H430" s="26" t="inlineStr">
        <is>
          <t>No</t>
        </is>
      </c>
      <c r="I430" s="44" t="inlineStr">
        <is>
          <t>Good finish</t>
        </is>
      </c>
      <c r="J430" s="26" t="inlineStr">
        <is>
          <t>Yes</t>
        </is>
      </c>
      <c r="K430" s="27" t="n"/>
      <c r="L430" s="28" t="inlineStr">
        <is>
          <t>No</t>
        </is>
      </c>
      <c r="M430" s="29">
        <f>IF(E430="","",IF(H430="Yes","❌ Disc",IF(G430="No","⚠ Missing",IF(J430="Yes","✓ OK","⚠ Check"))))</f>
        <v/>
      </c>
      <c r="N430" s="43" t="n">
        <v>46196</v>
      </c>
      <c r="O430" s="26" t="inlineStr">
        <is>
          <t>Sunil CR</t>
        </is>
      </c>
      <c r="P430" s="44" t="inlineStr">
        <is>
          <t>Yes</t>
        </is>
      </c>
      <c r="Q430" s="26" t="inlineStr">
        <is>
          <t>No</t>
        </is>
      </c>
      <c r="R430" s="44" t="inlineStr">
        <is>
          <t>Good finish</t>
        </is>
      </c>
      <c r="S430" s="26" t="inlineStr">
        <is>
          <t>Yes</t>
        </is>
      </c>
      <c r="T430" s="27" t="n"/>
      <c r="U430" s="28" t="inlineStr">
        <is>
          <t>No</t>
        </is>
      </c>
      <c r="V430" s="29">
        <f>IF(N430="","",IF(Q430="Yes","❌ Disc",IF(P430="No","⚠ Missing",IF(S430="Yes","✓ OK","⚠ Check"))))</f>
        <v/>
      </c>
      <c r="W430" s="65" t="n">
        <v>46248</v>
      </c>
      <c r="X430" s="30" t="inlineStr">
        <is>
          <t>Sunil CR</t>
        </is>
      </c>
      <c r="Y430" s="30" t="inlineStr">
        <is>
          <t>Yes</t>
        </is>
      </c>
      <c r="Z430" s="30" t="n"/>
      <c r="AA430" s="30" t="inlineStr">
        <is>
          <t>Good finish</t>
        </is>
      </c>
      <c r="AB430" s="30" t="inlineStr">
        <is>
          <t>Yes</t>
        </is>
      </c>
      <c r="AC430" s="27" t="n"/>
      <c r="AD430" s="31" t="inlineStr">
        <is>
          <t>No</t>
        </is>
      </c>
      <c r="AE430" s="32">
        <f>IF(W430="","",IF(Z430="Yes","❌ Disc",IF(Y430="No","⚠ Missing",IF(AB430="Yes","✓ OK","⚠ Check"))))</f>
        <v/>
      </c>
      <c r="AF430" s="33" t="n"/>
      <c r="AG430" s="33" t="n"/>
      <c r="AH430" s="33" t="n"/>
      <c r="AI430" s="33" t="n"/>
      <c r="AJ430" s="33" t="n"/>
      <c r="AK430" s="33" t="n"/>
      <c r="AL430" s="27" t="n"/>
      <c r="AM430" s="34" t="n"/>
      <c r="AN430" s="35">
        <f>IF(AF430="","",IF(AI430="Yes","❌ Disc",IF(AH430="No","⚠ Missing",IF(AK430="Yes","✓ OK","⚠ Check"))))</f>
        <v/>
      </c>
      <c r="AO430" s="36" t="n"/>
      <c r="AP430" s="36" t="n"/>
      <c r="AQ430" s="36" t="n"/>
      <c r="AR430" s="36" t="n"/>
      <c r="AS430" s="36" t="n"/>
      <c r="AT430" s="36" t="n"/>
      <c r="AU430" s="27" t="n"/>
      <c r="AV430" s="37" t="n"/>
      <c r="AW430" s="38">
        <f>IF(AO430="","",IF(AR430="Yes","❌ Disc",IF(AQ430="No","⚠ Missing",IF(AT430="Yes","✓ OK","⚠ Check"))))</f>
        <v/>
      </c>
    </row>
    <row r="431" ht="18" customHeight="1" s="46">
      <c r="A431" s="23" t="n">
        <v>427</v>
      </c>
      <c r="B431" s="24" t="inlineStr">
        <is>
          <t>BD-HND-2023-0002</t>
        </is>
      </c>
      <c r="C431" s="25" t="inlineStr">
        <is>
          <t>Spacewood - Handle H33 - Chrome - 447mm</t>
        </is>
      </c>
      <c r="D431" s="23" t="inlineStr">
        <is>
          <t>Spacewood</t>
        </is>
      </c>
      <c r="E431" s="43" t="n">
        <v>46125</v>
      </c>
      <c r="F431" s="26" t="inlineStr">
        <is>
          <t>Sunil CR</t>
        </is>
      </c>
      <c r="G431" s="44" t="inlineStr">
        <is>
          <t>Represented by Sample</t>
        </is>
      </c>
      <c r="H431" s="26" t="inlineStr">
        <is>
          <t>No</t>
        </is>
      </c>
      <c r="I431" s="44" t="inlineStr">
        <is>
          <t>Represented by Sample</t>
        </is>
      </c>
      <c r="J431" s="26" t="inlineStr">
        <is>
          <t>Yes</t>
        </is>
      </c>
      <c r="K431" s="27" t="n"/>
      <c r="L431" s="28" t="inlineStr">
        <is>
          <t>No</t>
        </is>
      </c>
      <c r="M431" s="29">
        <f>IF(E431="","",IF(H431="Yes","❌ Disc",IF(G431="No","⚠ Missing",IF(J431="Yes","✓ OK","⚠ Check"))))</f>
        <v/>
      </c>
      <c r="N431" s="43" t="n">
        <v>46196</v>
      </c>
      <c r="O431" s="26" t="inlineStr">
        <is>
          <t>Sunil CR</t>
        </is>
      </c>
      <c r="P431" s="44" t="inlineStr">
        <is>
          <t>Represented by Sample</t>
        </is>
      </c>
      <c r="Q431" s="26" t="inlineStr">
        <is>
          <t>No</t>
        </is>
      </c>
      <c r="R431" s="44" t="inlineStr">
        <is>
          <t>Represented by Sample</t>
        </is>
      </c>
      <c r="S431" s="26" t="inlineStr">
        <is>
          <t>Yes</t>
        </is>
      </c>
      <c r="T431" s="27" t="n"/>
      <c r="U431" s="28" t="inlineStr">
        <is>
          <t>No</t>
        </is>
      </c>
      <c r="V431" s="29">
        <f>IF(N431="","",IF(Q431="Yes","❌ Disc",IF(P431="No","⚠ Missing",IF(S431="Yes","✓ OK","⚠ Check"))))</f>
        <v/>
      </c>
      <c r="W431" s="65" t="n">
        <v>46248</v>
      </c>
      <c r="X431" s="30" t="inlineStr">
        <is>
          <t>Sunil CR</t>
        </is>
      </c>
      <c r="Y431" s="30" t="inlineStr">
        <is>
          <t>Represented by Sample</t>
        </is>
      </c>
      <c r="Z431" s="30" t="n"/>
      <c r="AA431" s="30" t="inlineStr">
        <is>
          <t>Represented by Sample</t>
        </is>
      </c>
      <c r="AB431" s="30" t="inlineStr">
        <is>
          <t>Yes</t>
        </is>
      </c>
      <c r="AC431" s="27" t="n"/>
      <c r="AD431" s="31" t="inlineStr">
        <is>
          <t>No</t>
        </is>
      </c>
      <c r="AE431" s="32">
        <f>IF(W431="","",IF(Z431="Yes","❌ Disc",IF(Y431="No","⚠ Missing",IF(AB431="Yes","✓ OK","⚠ Check"))))</f>
        <v/>
      </c>
      <c r="AF431" s="33" t="n"/>
      <c r="AG431" s="33" t="n"/>
      <c r="AH431" s="33" t="n"/>
      <c r="AI431" s="33" t="n"/>
      <c r="AJ431" s="33" t="n"/>
      <c r="AK431" s="33" t="n"/>
      <c r="AL431" s="27" t="n"/>
      <c r="AM431" s="34" t="n"/>
      <c r="AN431" s="35">
        <f>IF(AF431="","",IF(AI431="Yes","❌ Disc",IF(AH431="No","⚠ Missing",IF(AK431="Yes","✓ OK","⚠ Check"))))</f>
        <v/>
      </c>
      <c r="AO431" s="36" t="n"/>
      <c r="AP431" s="36" t="n"/>
      <c r="AQ431" s="36" t="n"/>
      <c r="AR431" s="36" t="n"/>
      <c r="AS431" s="36" t="n"/>
      <c r="AT431" s="36" t="n"/>
      <c r="AU431" s="27" t="n"/>
      <c r="AV431" s="37" t="n"/>
      <c r="AW431" s="38">
        <f>IF(AO431="","",IF(AR431="Yes","❌ Disc",IF(AQ431="No","⚠ Missing",IF(AT431="Yes","✓ OK","⚠ Check"))))</f>
        <v/>
      </c>
    </row>
    <row r="432" ht="18" customHeight="1" s="46">
      <c r="A432" s="39" t="n">
        <v>428</v>
      </c>
      <c r="B432" s="40" t="inlineStr">
        <is>
          <t>BD-HND-2023-0003</t>
        </is>
      </c>
      <c r="C432" s="41" t="inlineStr">
        <is>
          <t>Spacewood - Handle H33 - Chrome - 497mm</t>
        </is>
      </c>
      <c r="D432" s="39" t="inlineStr">
        <is>
          <t>Spacewood</t>
        </is>
      </c>
      <c r="E432" s="43" t="n">
        <v>46125</v>
      </c>
      <c r="F432" s="26" t="inlineStr">
        <is>
          <t>Sunil CR</t>
        </is>
      </c>
      <c r="G432" s="44" t="inlineStr">
        <is>
          <t>Represented by Sample</t>
        </is>
      </c>
      <c r="H432" s="26" t="inlineStr">
        <is>
          <t>No</t>
        </is>
      </c>
      <c r="I432" s="44" t="inlineStr">
        <is>
          <t>Represented by Sample</t>
        </is>
      </c>
      <c r="J432" s="26" t="inlineStr">
        <is>
          <t>Yes</t>
        </is>
      </c>
      <c r="K432" s="27" t="n"/>
      <c r="L432" s="28" t="inlineStr">
        <is>
          <t>No</t>
        </is>
      </c>
      <c r="M432" s="29">
        <f>IF(E432="","",IF(H432="Yes","❌ Disc",IF(G432="No","⚠ Missing",IF(J432="Yes","✓ OK","⚠ Check"))))</f>
        <v/>
      </c>
      <c r="N432" s="43" t="n">
        <v>46196</v>
      </c>
      <c r="O432" s="26" t="inlineStr">
        <is>
          <t>Sunil CR</t>
        </is>
      </c>
      <c r="P432" s="44" t="inlineStr">
        <is>
          <t>Represented by Sample</t>
        </is>
      </c>
      <c r="Q432" s="26" t="inlineStr">
        <is>
          <t>No</t>
        </is>
      </c>
      <c r="R432" s="44" t="inlineStr">
        <is>
          <t>Represented by Sample</t>
        </is>
      </c>
      <c r="S432" s="26" t="inlineStr">
        <is>
          <t>Yes</t>
        </is>
      </c>
      <c r="T432" s="27" t="n"/>
      <c r="U432" s="28" t="inlineStr">
        <is>
          <t>No</t>
        </is>
      </c>
      <c r="V432" s="29">
        <f>IF(N432="","",IF(Q432="Yes","❌ Disc",IF(P432="No","⚠ Missing",IF(S432="Yes","✓ OK","⚠ Check"))))</f>
        <v/>
      </c>
      <c r="W432" s="65" t="n">
        <v>46248</v>
      </c>
      <c r="X432" s="30" t="inlineStr">
        <is>
          <t>Sunil CR</t>
        </is>
      </c>
      <c r="Y432" s="30" t="inlineStr">
        <is>
          <t>Represented by Sample</t>
        </is>
      </c>
      <c r="Z432" s="30" t="n"/>
      <c r="AA432" s="30" t="inlineStr">
        <is>
          <t>Represented by Sample</t>
        </is>
      </c>
      <c r="AB432" s="30" t="inlineStr">
        <is>
          <t>Yes</t>
        </is>
      </c>
      <c r="AC432" s="27" t="n"/>
      <c r="AD432" s="31" t="inlineStr">
        <is>
          <t>No</t>
        </is>
      </c>
      <c r="AE432" s="32">
        <f>IF(W432="","",IF(Z432="Yes","❌ Disc",IF(Y432="No","⚠ Missing",IF(AB432="Yes","✓ OK","⚠ Check"))))</f>
        <v/>
      </c>
      <c r="AF432" s="33" t="n"/>
      <c r="AG432" s="33" t="n"/>
      <c r="AH432" s="33" t="n"/>
      <c r="AI432" s="33" t="n"/>
      <c r="AJ432" s="33" t="n"/>
      <c r="AK432" s="33" t="n"/>
      <c r="AL432" s="27" t="n"/>
      <c r="AM432" s="34" t="n"/>
      <c r="AN432" s="35">
        <f>IF(AF432="","",IF(AI432="Yes","❌ Disc",IF(AH432="No","⚠ Missing",IF(AK432="Yes","✓ OK","⚠ Check"))))</f>
        <v/>
      </c>
      <c r="AO432" s="36" t="n"/>
      <c r="AP432" s="36" t="n"/>
      <c r="AQ432" s="36" t="n"/>
      <c r="AR432" s="36" t="n"/>
      <c r="AS432" s="36" t="n"/>
      <c r="AT432" s="36" t="n"/>
      <c r="AU432" s="27" t="n"/>
      <c r="AV432" s="37" t="n"/>
      <c r="AW432" s="38">
        <f>IF(AO432="","",IF(AR432="Yes","❌ Disc",IF(AQ432="No","⚠ Missing",IF(AT432="Yes","✓ OK","⚠ Check"))))</f>
        <v/>
      </c>
    </row>
    <row r="433" ht="18" customHeight="1" s="46">
      <c r="A433" s="23" t="n">
        <v>429</v>
      </c>
      <c r="B433" s="24" t="inlineStr">
        <is>
          <t>BD-HND-2023-0004</t>
        </is>
      </c>
      <c r="C433" s="25" t="inlineStr">
        <is>
          <t>Spacewood - Handle H33 - Chrome - 597mm</t>
        </is>
      </c>
      <c r="D433" s="23" t="inlineStr">
        <is>
          <t>Spacewood</t>
        </is>
      </c>
      <c r="E433" s="43" t="n">
        <v>46125</v>
      </c>
      <c r="F433" s="26" t="inlineStr">
        <is>
          <t>Sunil CR</t>
        </is>
      </c>
      <c r="G433" s="44" t="inlineStr">
        <is>
          <t>Represented by Sample</t>
        </is>
      </c>
      <c r="H433" s="26" t="inlineStr">
        <is>
          <t>No</t>
        </is>
      </c>
      <c r="I433" s="44" t="inlineStr">
        <is>
          <t>Represented by Sample</t>
        </is>
      </c>
      <c r="J433" s="26" t="inlineStr">
        <is>
          <t>Yes</t>
        </is>
      </c>
      <c r="K433" s="27" t="n"/>
      <c r="L433" s="28" t="inlineStr">
        <is>
          <t>No</t>
        </is>
      </c>
      <c r="M433" s="29">
        <f>IF(E433="","",IF(H433="Yes","❌ Disc",IF(G433="No","⚠ Missing",IF(J433="Yes","✓ OK","⚠ Check"))))</f>
        <v/>
      </c>
      <c r="N433" s="43" t="n">
        <v>46196</v>
      </c>
      <c r="O433" s="26" t="inlineStr">
        <is>
          <t>Sunil CR</t>
        </is>
      </c>
      <c r="P433" s="44" t="inlineStr">
        <is>
          <t>Represented by Sample</t>
        </is>
      </c>
      <c r="Q433" s="26" t="inlineStr">
        <is>
          <t>No</t>
        </is>
      </c>
      <c r="R433" s="44" t="inlineStr">
        <is>
          <t>Represented by Sample</t>
        </is>
      </c>
      <c r="S433" s="26" t="inlineStr">
        <is>
          <t>Yes</t>
        </is>
      </c>
      <c r="T433" s="27" t="n"/>
      <c r="U433" s="28" t="inlineStr">
        <is>
          <t>No</t>
        </is>
      </c>
      <c r="V433" s="29">
        <f>IF(N433="","",IF(Q433="Yes","❌ Disc",IF(P433="No","⚠ Missing",IF(S433="Yes","✓ OK","⚠ Check"))))</f>
        <v/>
      </c>
      <c r="W433" s="65" t="n">
        <v>46248</v>
      </c>
      <c r="X433" s="30" t="inlineStr">
        <is>
          <t>Sunil CR</t>
        </is>
      </c>
      <c r="Y433" s="30" t="inlineStr">
        <is>
          <t>Represented by Sample</t>
        </is>
      </c>
      <c r="Z433" s="30" t="n"/>
      <c r="AA433" s="30" t="inlineStr">
        <is>
          <t>Represented by Sample</t>
        </is>
      </c>
      <c r="AB433" s="30" t="inlineStr">
        <is>
          <t>Yes</t>
        </is>
      </c>
      <c r="AC433" s="27" t="n"/>
      <c r="AD433" s="31" t="inlineStr">
        <is>
          <t>No</t>
        </is>
      </c>
      <c r="AE433" s="32">
        <f>IF(W433="","",IF(Z433="Yes","❌ Disc",IF(Y433="No","⚠ Missing",IF(AB433="Yes","✓ OK","⚠ Check"))))</f>
        <v/>
      </c>
      <c r="AF433" s="33" t="n"/>
      <c r="AG433" s="33" t="n"/>
      <c r="AH433" s="33" t="n"/>
      <c r="AI433" s="33" t="n"/>
      <c r="AJ433" s="33" t="n"/>
      <c r="AK433" s="33" t="n"/>
      <c r="AL433" s="27" t="n"/>
      <c r="AM433" s="34" t="n"/>
      <c r="AN433" s="35">
        <f>IF(AF433="","",IF(AI433="Yes","❌ Disc",IF(AH433="No","⚠ Missing",IF(AK433="Yes","✓ OK","⚠ Check"))))</f>
        <v/>
      </c>
      <c r="AO433" s="36" t="n"/>
      <c r="AP433" s="36" t="n"/>
      <c r="AQ433" s="36" t="n"/>
      <c r="AR433" s="36" t="n"/>
      <c r="AS433" s="36" t="n"/>
      <c r="AT433" s="36" t="n"/>
      <c r="AU433" s="27" t="n"/>
      <c r="AV433" s="37" t="n"/>
      <c r="AW433" s="38">
        <f>IF(AO433="","",IF(AR433="Yes","❌ Disc",IF(AQ433="No","⚠ Missing",IF(AT433="Yes","✓ OK","⚠ Check"))))</f>
        <v/>
      </c>
    </row>
    <row r="434" ht="18" customHeight="1" s="46">
      <c r="A434" s="39" t="n">
        <v>430</v>
      </c>
      <c r="B434" s="40" t="inlineStr">
        <is>
          <t>BD-HND-2023-0005</t>
        </is>
      </c>
      <c r="C434" s="41" t="inlineStr">
        <is>
          <t>Spacewood - Handle H33 - Chrome - 797mm</t>
        </is>
      </c>
      <c r="D434" s="39" t="inlineStr">
        <is>
          <t>Spacewood</t>
        </is>
      </c>
      <c r="E434" s="43" t="n">
        <v>46125</v>
      </c>
      <c r="F434" s="26" t="inlineStr">
        <is>
          <t>Sunil CR</t>
        </is>
      </c>
      <c r="G434" s="44" t="inlineStr">
        <is>
          <t>Represented by Sample</t>
        </is>
      </c>
      <c r="H434" s="26" t="inlineStr">
        <is>
          <t>No</t>
        </is>
      </c>
      <c r="I434" s="44" t="inlineStr">
        <is>
          <t>Represented by Sample</t>
        </is>
      </c>
      <c r="J434" s="26" t="inlineStr">
        <is>
          <t>Yes</t>
        </is>
      </c>
      <c r="K434" s="27" t="n"/>
      <c r="L434" s="28" t="inlineStr">
        <is>
          <t>No</t>
        </is>
      </c>
      <c r="M434" s="29">
        <f>IF(E434="","",IF(H434="Yes","❌ Disc",IF(G434="No","⚠ Missing",IF(J434="Yes","✓ OK","⚠ Check"))))</f>
        <v/>
      </c>
      <c r="N434" s="43" t="n">
        <v>46196</v>
      </c>
      <c r="O434" s="26" t="inlineStr">
        <is>
          <t>Sunil CR</t>
        </is>
      </c>
      <c r="P434" s="44" t="inlineStr">
        <is>
          <t>Represented by Sample</t>
        </is>
      </c>
      <c r="Q434" s="26" t="inlineStr">
        <is>
          <t>No</t>
        </is>
      </c>
      <c r="R434" s="44" t="inlineStr">
        <is>
          <t>Represented by Sample</t>
        </is>
      </c>
      <c r="S434" s="26" t="inlineStr">
        <is>
          <t>Yes</t>
        </is>
      </c>
      <c r="T434" s="27" t="n"/>
      <c r="U434" s="28" t="inlineStr">
        <is>
          <t>No</t>
        </is>
      </c>
      <c r="V434" s="29">
        <f>IF(N434="","",IF(Q434="Yes","❌ Disc",IF(P434="No","⚠ Missing",IF(S434="Yes","✓ OK","⚠ Check"))))</f>
        <v/>
      </c>
      <c r="W434" s="65" t="n">
        <v>46248</v>
      </c>
      <c r="X434" s="30" t="inlineStr">
        <is>
          <t>Sunil CR</t>
        </is>
      </c>
      <c r="Y434" s="30" t="inlineStr">
        <is>
          <t>Represented by Sample</t>
        </is>
      </c>
      <c r="Z434" s="30" t="n"/>
      <c r="AA434" s="30" t="inlineStr">
        <is>
          <t>Represented by Sample</t>
        </is>
      </c>
      <c r="AB434" s="30" t="inlineStr">
        <is>
          <t>Yes</t>
        </is>
      </c>
      <c r="AC434" s="27" t="n"/>
      <c r="AD434" s="31" t="inlineStr">
        <is>
          <t>No</t>
        </is>
      </c>
      <c r="AE434" s="32">
        <f>IF(W434="","",IF(Z434="Yes","❌ Disc",IF(Y434="No","⚠ Missing",IF(AB434="Yes","✓ OK","⚠ Check"))))</f>
        <v/>
      </c>
      <c r="AF434" s="33" t="n"/>
      <c r="AG434" s="33" t="n"/>
      <c r="AH434" s="33" t="n"/>
      <c r="AI434" s="33" t="n"/>
      <c r="AJ434" s="33" t="n"/>
      <c r="AK434" s="33" t="n"/>
      <c r="AL434" s="27" t="n"/>
      <c r="AM434" s="34" t="n"/>
      <c r="AN434" s="35">
        <f>IF(AF434="","",IF(AI434="Yes","❌ Disc",IF(AH434="No","⚠ Missing",IF(AK434="Yes","✓ OK","⚠ Check"))))</f>
        <v/>
      </c>
      <c r="AO434" s="36" t="n"/>
      <c r="AP434" s="36" t="n"/>
      <c r="AQ434" s="36" t="n"/>
      <c r="AR434" s="36" t="n"/>
      <c r="AS434" s="36" t="n"/>
      <c r="AT434" s="36" t="n"/>
      <c r="AU434" s="27" t="n"/>
      <c r="AV434" s="37" t="n"/>
      <c r="AW434" s="38">
        <f>IF(AO434="","",IF(AR434="Yes","❌ Disc",IF(AQ434="No","⚠ Missing",IF(AT434="Yes","✓ OK","⚠ Check"))))</f>
        <v/>
      </c>
    </row>
    <row r="435" ht="18" customHeight="1" s="46">
      <c r="A435" s="23" t="n">
        <v>431</v>
      </c>
      <c r="B435" s="24" t="inlineStr">
        <is>
          <t>BD-HND-2023-0006</t>
        </is>
      </c>
      <c r="C435" s="25" t="inlineStr">
        <is>
          <t>Spacewood - Handle H33 - Chrome - 897mm</t>
        </is>
      </c>
      <c r="D435" s="23" t="inlineStr">
        <is>
          <t>Spacewood</t>
        </is>
      </c>
      <c r="E435" s="43" t="n">
        <v>46125</v>
      </c>
      <c r="F435" s="26" t="inlineStr">
        <is>
          <t>Sunil CR</t>
        </is>
      </c>
      <c r="G435" s="44" t="inlineStr">
        <is>
          <t>Represented by Sample</t>
        </is>
      </c>
      <c r="H435" s="26" t="inlineStr">
        <is>
          <t>No</t>
        </is>
      </c>
      <c r="I435" s="44" t="inlineStr">
        <is>
          <t>Represented by Sample</t>
        </is>
      </c>
      <c r="J435" s="26" t="inlineStr">
        <is>
          <t>Yes</t>
        </is>
      </c>
      <c r="K435" s="27" t="n"/>
      <c r="L435" s="28" t="inlineStr">
        <is>
          <t>No</t>
        </is>
      </c>
      <c r="M435" s="29">
        <f>IF(E435="","",IF(H435="Yes","❌ Disc",IF(G435="No","⚠ Missing",IF(J435="Yes","✓ OK","⚠ Check"))))</f>
        <v/>
      </c>
      <c r="N435" s="43" t="n">
        <v>46196</v>
      </c>
      <c r="O435" s="26" t="inlineStr">
        <is>
          <t>Sunil CR</t>
        </is>
      </c>
      <c r="P435" s="44" t="inlineStr">
        <is>
          <t>Represented by Sample</t>
        </is>
      </c>
      <c r="Q435" s="26" t="inlineStr">
        <is>
          <t>No</t>
        </is>
      </c>
      <c r="R435" s="44" t="inlineStr">
        <is>
          <t>Represented by Sample</t>
        </is>
      </c>
      <c r="S435" s="26" t="inlineStr">
        <is>
          <t>Yes</t>
        </is>
      </c>
      <c r="T435" s="27" t="n"/>
      <c r="U435" s="28" t="inlineStr">
        <is>
          <t>No</t>
        </is>
      </c>
      <c r="V435" s="29">
        <f>IF(N435="","",IF(Q435="Yes","❌ Disc",IF(P435="No","⚠ Missing",IF(S435="Yes","✓ OK","⚠ Check"))))</f>
        <v/>
      </c>
      <c r="W435" s="65" t="n">
        <v>46248</v>
      </c>
      <c r="X435" s="30" t="inlineStr">
        <is>
          <t>Sunil CR</t>
        </is>
      </c>
      <c r="Y435" s="30" t="inlineStr">
        <is>
          <t>Represented by Sample</t>
        </is>
      </c>
      <c r="Z435" s="30" t="n"/>
      <c r="AA435" s="30" t="inlineStr">
        <is>
          <t>Represented by Sample</t>
        </is>
      </c>
      <c r="AB435" s="30" t="inlineStr">
        <is>
          <t>Yes</t>
        </is>
      </c>
      <c r="AC435" s="27" t="n"/>
      <c r="AD435" s="31" t="inlineStr">
        <is>
          <t>No</t>
        </is>
      </c>
      <c r="AE435" s="32">
        <f>IF(W435="","",IF(Z435="Yes","❌ Disc",IF(Y435="No","⚠ Missing",IF(AB435="Yes","✓ OK","⚠ Check"))))</f>
        <v/>
      </c>
      <c r="AF435" s="33" t="n"/>
      <c r="AG435" s="33" t="n"/>
      <c r="AH435" s="33" t="n"/>
      <c r="AI435" s="33" t="n"/>
      <c r="AJ435" s="33" t="n"/>
      <c r="AK435" s="33" t="n"/>
      <c r="AL435" s="27" t="n"/>
      <c r="AM435" s="34" t="n"/>
      <c r="AN435" s="35">
        <f>IF(AF435="","",IF(AI435="Yes","❌ Disc",IF(AH435="No","⚠ Missing",IF(AK435="Yes","✓ OK","⚠ Check"))))</f>
        <v/>
      </c>
      <c r="AO435" s="36" t="n"/>
      <c r="AP435" s="36" t="n"/>
      <c r="AQ435" s="36" t="n"/>
      <c r="AR435" s="36" t="n"/>
      <c r="AS435" s="36" t="n"/>
      <c r="AT435" s="36" t="n"/>
      <c r="AU435" s="27" t="n"/>
      <c r="AV435" s="37" t="n"/>
      <c r="AW435" s="38">
        <f>IF(AO435="","",IF(AR435="Yes","❌ Disc",IF(AQ435="No","⚠ Missing",IF(AT435="Yes","✓ OK","⚠ Check"))))</f>
        <v/>
      </c>
    </row>
    <row r="436" ht="18" customHeight="1" s="46">
      <c r="A436" s="39" t="n">
        <v>432</v>
      </c>
      <c r="B436" s="40" t="inlineStr">
        <is>
          <t>BD-HNA-2023-0245</t>
        </is>
      </c>
      <c r="C436" s="41" t="inlineStr">
        <is>
          <t>Spacewood - Handle H33 Anodized Black 197mm</t>
        </is>
      </c>
      <c r="D436" s="39" t="inlineStr">
        <is>
          <t>Spacewood</t>
        </is>
      </c>
      <c r="E436" s="43" t="n">
        <v>46125</v>
      </c>
      <c r="F436" s="26" t="inlineStr">
        <is>
          <t>Sunil CR</t>
        </is>
      </c>
      <c r="G436" s="44" t="inlineStr">
        <is>
          <t>Represented by Sample</t>
        </is>
      </c>
      <c r="H436" s="26" t="inlineStr">
        <is>
          <t>No</t>
        </is>
      </c>
      <c r="I436" s="44" t="inlineStr">
        <is>
          <t>Represented by Sample</t>
        </is>
      </c>
      <c r="J436" s="26" t="inlineStr">
        <is>
          <t>Yes</t>
        </is>
      </c>
      <c r="K436" s="27" t="n"/>
      <c r="L436" s="28" t="inlineStr">
        <is>
          <t>No</t>
        </is>
      </c>
      <c r="M436" s="29">
        <f>IF(E436="","",IF(H436="Yes","❌ Disc",IF(G436="No","⚠ Missing",IF(J436="Yes","✓ OK","⚠ Check"))))</f>
        <v/>
      </c>
      <c r="N436" s="43" t="n">
        <v>46196</v>
      </c>
      <c r="O436" s="26" t="inlineStr">
        <is>
          <t>Sunil CR</t>
        </is>
      </c>
      <c r="P436" s="44" t="inlineStr">
        <is>
          <t>Represented by Sample</t>
        </is>
      </c>
      <c r="Q436" s="26" t="inlineStr">
        <is>
          <t>No</t>
        </is>
      </c>
      <c r="R436" s="44" t="inlineStr">
        <is>
          <t>Represented by Sample</t>
        </is>
      </c>
      <c r="S436" s="26" t="inlineStr">
        <is>
          <t>Yes</t>
        </is>
      </c>
      <c r="T436" s="27" t="n"/>
      <c r="U436" s="28" t="inlineStr">
        <is>
          <t>No</t>
        </is>
      </c>
      <c r="V436" s="29">
        <f>IF(N436="","",IF(Q436="Yes","❌ Disc",IF(P436="No","⚠ Missing",IF(S436="Yes","✓ OK","⚠ Check"))))</f>
        <v/>
      </c>
      <c r="W436" s="65" t="n">
        <v>46248</v>
      </c>
      <c r="X436" s="30" t="inlineStr">
        <is>
          <t>Sunil CR</t>
        </is>
      </c>
      <c r="Y436" s="30" t="inlineStr">
        <is>
          <t>Represented by Sample</t>
        </is>
      </c>
      <c r="Z436" s="30" t="n"/>
      <c r="AA436" s="30" t="inlineStr">
        <is>
          <t>Represented by Sample</t>
        </is>
      </c>
      <c r="AB436" s="30" t="inlineStr">
        <is>
          <t>Yes</t>
        </is>
      </c>
      <c r="AC436" s="27" t="n"/>
      <c r="AD436" s="31" t="inlineStr">
        <is>
          <t>No</t>
        </is>
      </c>
      <c r="AE436" s="32">
        <f>IF(W436="","",IF(Z436="Yes","❌ Disc",IF(Y436="No","⚠ Missing",IF(AB436="Yes","✓ OK","⚠ Check"))))</f>
        <v/>
      </c>
      <c r="AF436" s="33" t="n"/>
      <c r="AG436" s="33" t="n"/>
      <c r="AH436" s="33" t="n"/>
      <c r="AI436" s="33" t="n"/>
      <c r="AJ436" s="33" t="n"/>
      <c r="AK436" s="33" t="n"/>
      <c r="AL436" s="27" t="n"/>
      <c r="AM436" s="34" t="n"/>
      <c r="AN436" s="35">
        <f>IF(AF436="","",IF(AI436="Yes","❌ Disc",IF(AH436="No","⚠ Missing",IF(AK436="Yes","✓ OK","⚠ Check"))))</f>
        <v/>
      </c>
      <c r="AO436" s="36" t="n"/>
      <c r="AP436" s="36" t="n"/>
      <c r="AQ436" s="36" t="n"/>
      <c r="AR436" s="36" t="n"/>
      <c r="AS436" s="36" t="n"/>
      <c r="AT436" s="36" t="n"/>
      <c r="AU436" s="27" t="n"/>
      <c r="AV436" s="37" t="n"/>
      <c r="AW436" s="38">
        <f>IF(AO436="","",IF(AR436="Yes","❌ Disc",IF(AQ436="No","⚠ Missing",IF(AT436="Yes","✓ OK","⚠ Check"))))</f>
        <v/>
      </c>
    </row>
    <row r="437" ht="18" customHeight="1" s="46">
      <c r="A437" s="23" t="n">
        <v>433</v>
      </c>
      <c r="B437" s="24" t="inlineStr">
        <is>
          <t>BD-HNA-2023-0244</t>
        </is>
      </c>
      <c r="C437" s="25" t="inlineStr">
        <is>
          <t>Spacewood - Handle H33 Chrome 197mm</t>
        </is>
      </c>
      <c r="D437" s="23" t="inlineStr">
        <is>
          <t>Spacewood</t>
        </is>
      </c>
      <c r="E437" s="43" t="n">
        <v>46125</v>
      </c>
      <c r="F437" s="26" t="inlineStr">
        <is>
          <t>Sunil CR</t>
        </is>
      </c>
      <c r="G437" s="44" t="inlineStr">
        <is>
          <t>Represented by Sample</t>
        </is>
      </c>
      <c r="H437" s="26" t="inlineStr">
        <is>
          <t>No</t>
        </is>
      </c>
      <c r="I437" s="44" t="inlineStr">
        <is>
          <t>Represented by Sample</t>
        </is>
      </c>
      <c r="J437" s="26" t="inlineStr">
        <is>
          <t>Yes</t>
        </is>
      </c>
      <c r="K437" s="27" t="n"/>
      <c r="L437" s="28" t="inlineStr">
        <is>
          <t>No</t>
        </is>
      </c>
      <c r="M437" s="29">
        <f>IF(E437="","",IF(H437="Yes","❌ Disc",IF(G437="No","⚠ Missing",IF(J437="Yes","✓ OK","⚠ Check"))))</f>
        <v/>
      </c>
      <c r="N437" s="43" t="n">
        <v>46196</v>
      </c>
      <c r="O437" s="26" t="inlineStr">
        <is>
          <t>Sunil CR</t>
        </is>
      </c>
      <c r="P437" s="44" t="inlineStr">
        <is>
          <t>Represented by Sample</t>
        </is>
      </c>
      <c r="Q437" s="26" t="inlineStr">
        <is>
          <t>No</t>
        </is>
      </c>
      <c r="R437" s="44" t="inlineStr">
        <is>
          <t>Represented by Sample</t>
        </is>
      </c>
      <c r="S437" s="26" t="inlineStr">
        <is>
          <t>Yes</t>
        </is>
      </c>
      <c r="T437" s="27" t="n"/>
      <c r="U437" s="28" t="inlineStr">
        <is>
          <t>No</t>
        </is>
      </c>
      <c r="V437" s="29">
        <f>IF(N437="","",IF(Q437="Yes","❌ Disc",IF(P437="No","⚠ Missing",IF(S437="Yes","✓ OK","⚠ Check"))))</f>
        <v/>
      </c>
      <c r="W437" s="65" t="n">
        <v>46248</v>
      </c>
      <c r="X437" s="30" t="inlineStr">
        <is>
          <t>Sunil CR</t>
        </is>
      </c>
      <c r="Y437" s="30" t="inlineStr">
        <is>
          <t>Represented by Sample</t>
        </is>
      </c>
      <c r="Z437" s="30" t="n"/>
      <c r="AA437" s="30" t="inlineStr">
        <is>
          <t>Represented by Sample</t>
        </is>
      </c>
      <c r="AB437" s="30" t="inlineStr">
        <is>
          <t>Yes</t>
        </is>
      </c>
      <c r="AC437" s="27" t="n"/>
      <c r="AD437" s="31" t="inlineStr">
        <is>
          <t>No</t>
        </is>
      </c>
      <c r="AE437" s="32">
        <f>IF(W437="","",IF(Z437="Yes","❌ Disc",IF(Y437="No","⚠ Missing",IF(AB437="Yes","✓ OK","⚠ Check"))))</f>
        <v/>
      </c>
      <c r="AF437" s="33" t="n"/>
      <c r="AG437" s="33" t="n"/>
      <c r="AH437" s="33" t="n"/>
      <c r="AI437" s="33" t="n"/>
      <c r="AJ437" s="33" t="n"/>
      <c r="AK437" s="33" t="n"/>
      <c r="AL437" s="27" t="n"/>
      <c r="AM437" s="34" t="n"/>
      <c r="AN437" s="35">
        <f>IF(AF437="","",IF(AI437="Yes","❌ Disc",IF(AH437="No","⚠ Missing",IF(AK437="Yes","✓ OK","⚠ Check"))))</f>
        <v/>
      </c>
      <c r="AO437" s="36" t="n"/>
      <c r="AP437" s="36" t="n"/>
      <c r="AQ437" s="36" t="n"/>
      <c r="AR437" s="36" t="n"/>
      <c r="AS437" s="36" t="n"/>
      <c r="AT437" s="36" t="n"/>
      <c r="AU437" s="27" t="n"/>
      <c r="AV437" s="37" t="n"/>
      <c r="AW437" s="38">
        <f>IF(AO437="","",IF(AR437="Yes","❌ Disc",IF(AQ437="No","⚠ Missing",IF(AT437="Yes","✓ OK","⚠ Check"))))</f>
        <v/>
      </c>
    </row>
    <row r="438" ht="18" customHeight="1" s="46">
      <c r="A438" s="39" t="n">
        <v>434</v>
      </c>
      <c r="B438" s="40" t="inlineStr">
        <is>
          <t>BD-HND-2023-0019</t>
        </is>
      </c>
      <c r="C438" s="41" t="inlineStr">
        <is>
          <t>Spacewood - Handle H380 - Anodized Black - 297mm</t>
        </is>
      </c>
      <c r="D438" s="39" t="inlineStr">
        <is>
          <t>Spacewood</t>
        </is>
      </c>
      <c r="E438" s="43" t="n">
        <v>46125</v>
      </c>
      <c r="F438" s="26" t="inlineStr">
        <is>
          <t>Sunil CR</t>
        </is>
      </c>
      <c r="G438" s="44" t="inlineStr">
        <is>
          <t>Yes</t>
        </is>
      </c>
      <c r="H438" s="26" t="inlineStr">
        <is>
          <t>No</t>
        </is>
      </c>
      <c r="I438" s="44" t="inlineStr">
        <is>
          <t>Good finish</t>
        </is>
      </c>
      <c r="J438" s="26" t="inlineStr">
        <is>
          <t>Yes</t>
        </is>
      </c>
      <c r="K438" s="27" t="n"/>
      <c r="L438" s="28" t="inlineStr">
        <is>
          <t>No</t>
        </is>
      </c>
      <c r="M438" s="29">
        <f>IF(E438="","",IF(H438="Yes","❌ Disc",IF(G438="No","⚠ Missing",IF(J438="Yes","✓ OK","⚠ Check"))))</f>
        <v/>
      </c>
      <c r="N438" s="43" t="n">
        <v>46196</v>
      </c>
      <c r="O438" s="26" t="inlineStr">
        <is>
          <t>Sunil CR</t>
        </is>
      </c>
      <c r="P438" s="44" t="inlineStr">
        <is>
          <t>Yes</t>
        </is>
      </c>
      <c r="Q438" s="26" t="inlineStr">
        <is>
          <t>No</t>
        </is>
      </c>
      <c r="R438" s="44" t="inlineStr">
        <is>
          <t>Good finish</t>
        </is>
      </c>
      <c r="S438" s="26" t="inlineStr">
        <is>
          <t>Yes</t>
        </is>
      </c>
      <c r="T438" s="27" t="n"/>
      <c r="U438" s="28" t="inlineStr">
        <is>
          <t>No</t>
        </is>
      </c>
      <c r="V438" s="29">
        <f>IF(N438="","",IF(Q438="Yes","❌ Disc",IF(P438="No","⚠ Missing",IF(S438="Yes","✓ OK","⚠ Check"))))</f>
        <v/>
      </c>
      <c r="W438" s="65" t="n">
        <v>46248</v>
      </c>
      <c r="X438" s="30" t="inlineStr">
        <is>
          <t>Sunil CR</t>
        </is>
      </c>
      <c r="Y438" s="30" t="inlineStr">
        <is>
          <t>Yes</t>
        </is>
      </c>
      <c r="Z438" s="30" t="n"/>
      <c r="AA438" s="30" t="inlineStr">
        <is>
          <t>Good finish</t>
        </is>
      </c>
      <c r="AB438" s="30" t="inlineStr">
        <is>
          <t>Yes</t>
        </is>
      </c>
      <c r="AC438" s="27" t="n"/>
      <c r="AD438" s="31" t="inlineStr">
        <is>
          <t>No</t>
        </is>
      </c>
      <c r="AE438" s="32">
        <f>IF(W438="","",IF(Z438="Yes","❌ Disc",IF(Y438="No","⚠ Missing",IF(AB438="Yes","✓ OK","⚠ Check"))))</f>
        <v/>
      </c>
      <c r="AF438" s="33" t="n"/>
      <c r="AG438" s="33" t="n"/>
      <c r="AH438" s="33" t="n"/>
      <c r="AI438" s="33" t="n"/>
      <c r="AJ438" s="33" t="n"/>
      <c r="AK438" s="33" t="n"/>
      <c r="AL438" s="27" t="n"/>
      <c r="AM438" s="34" t="n"/>
      <c r="AN438" s="35">
        <f>IF(AF438="","",IF(AI438="Yes","❌ Disc",IF(AH438="No","⚠ Missing",IF(AK438="Yes","✓ OK","⚠ Check"))))</f>
        <v/>
      </c>
      <c r="AO438" s="36" t="n"/>
      <c r="AP438" s="36" t="n"/>
      <c r="AQ438" s="36" t="n"/>
      <c r="AR438" s="36" t="n"/>
      <c r="AS438" s="36" t="n"/>
      <c r="AT438" s="36" t="n"/>
      <c r="AU438" s="27" t="n"/>
      <c r="AV438" s="37" t="n"/>
      <c r="AW438" s="38">
        <f>IF(AO438="","",IF(AR438="Yes","❌ Disc",IF(AQ438="No","⚠ Missing",IF(AT438="Yes","✓ OK","⚠ Check"))))</f>
        <v/>
      </c>
    </row>
    <row r="439" ht="18" customHeight="1" s="46">
      <c r="A439" s="23" t="n">
        <v>435</v>
      </c>
      <c r="B439" s="24" t="inlineStr">
        <is>
          <t>BD-HND-2023-0020</t>
        </is>
      </c>
      <c r="C439" s="25" t="inlineStr">
        <is>
          <t>Spacewood - Handle H380 - Anodized Black - 447mm</t>
        </is>
      </c>
      <c r="D439" s="23" t="inlineStr">
        <is>
          <t>Spacewood</t>
        </is>
      </c>
      <c r="E439" s="43" t="n">
        <v>46125</v>
      </c>
      <c r="F439" s="26" t="inlineStr">
        <is>
          <t>Sunil CR</t>
        </is>
      </c>
      <c r="G439" s="44" t="inlineStr">
        <is>
          <t>Represented by Sample</t>
        </is>
      </c>
      <c r="H439" s="26" t="inlineStr">
        <is>
          <t>No</t>
        </is>
      </c>
      <c r="I439" s="44" t="inlineStr">
        <is>
          <t>Represented by Sample</t>
        </is>
      </c>
      <c r="J439" s="26" t="inlineStr">
        <is>
          <t>Yes</t>
        </is>
      </c>
      <c r="K439" s="27" t="n"/>
      <c r="L439" s="28" t="inlineStr">
        <is>
          <t>No</t>
        </is>
      </c>
      <c r="M439" s="29">
        <f>IF(E439="","",IF(H439="Yes","❌ Disc",IF(G439="No","⚠ Missing",IF(J439="Yes","✓ OK","⚠ Check"))))</f>
        <v/>
      </c>
      <c r="N439" s="43" t="n">
        <v>46196</v>
      </c>
      <c r="O439" s="26" t="inlineStr">
        <is>
          <t>Sunil CR</t>
        </is>
      </c>
      <c r="P439" s="44" t="inlineStr">
        <is>
          <t>Represented by Sample</t>
        </is>
      </c>
      <c r="Q439" s="26" t="inlineStr">
        <is>
          <t>No</t>
        </is>
      </c>
      <c r="R439" s="44" t="inlineStr">
        <is>
          <t>Represented by Sample</t>
        </is>
      </c>
      <c r="S439" s="26" t="inlineStr">
        <is>
          <t>Yes</t>
        </is>
      </c>
      <c r="T439" s="27" t="n"/>
      <c r="U439" s="28" t="inlineStr">
        <is>
          <t>No</t>
        </is>
      </c>
      <c r="V439" s="29">
        <f>IF(N439="","",IF(Q439="Yes","❌ Disc",IF(P439="No","⚠ Missing",IF(S439="Yes","✓ OK","⚠ Check"))))</f>
        <v/>
      </c>
      <c r="W439" s="65" t="n">
        <v>46248</v>
      </c>
      <c r="X439" s="30" t="inlineStr">
        <is>
          <t>Sunil CR</t>
        </is>
      </c>
      <c r="Y439" s="30" t="inlineStr">
        <is>
          <t>Represented by Sample</t>
        </is>
      </c>
      <c r="Z439" s="30" t="n"/>
      <c r="AA439" s="30" t="inlineStr">
        <is>
          <t>Represented by Sample</t>
        </is>
      </c>
      <c r="AB439" s="30" t="inlineStr">
        <is>
          <t>Yes</t>
        </is>
      </c>
      <c r="AC439" s="27" t="n"/>
      <c r="AD439" s="31" t="inlineStr">
        <is>
          <t>No</t>
        </is>
      </c>
      <c r="AE439" s="32">
        <f>IF(W439="","",IF(Z439="Yes","❌ Disc",IF(Y439="No","⚠ Missing",IF(AB439="Yes","✓ OK","⚠ Check"))))</f>
        <v/>
      </c>
      <c r="AF439" s="33" t="n"/>
      <c r="AG439" s="33" t="n"/>
      <c r="AH439" s="33" t="n"/>
      <c r="AI439" s="33" t="n"/>
      <c r="AJ439" s="33" t="n"/>
      <c r="AK439" s="33" t="n"/>
      <c r="AL439" s="27" t="n"/>
      <c r="AM439" s="34" t="n"/>
      <c r="AN439" s="35">
        <f>IF(AF439="","",IF(AI439="Yes","❌ Disc",IF(AH439="No","⚠ Missing",IF(AK439="Yes","✓ OK","⚠ Check"))))</f>
        <v/>
      </c>
      <c r="AO439" s="36" t="n"/>
      <c r="AP439" s="36" t="n"/>
      <c r="AQ439" s="36" t="n"/>
      <c r="AR439" s="36" t="n"/>
      <c r="AS439" s="36" t="n"/>
      <c r="AT439" s="36" t="n"/>
      <c r="AU439" s="27" t="n"/>
      <c r="AV439" s="37" t="n"/>
      <c r="AW439" s="38">
        <f>IF(AO439="","",IF(AR439="Yes","❌ Disc",IF(AQ439="No","⚠ Missing",IF(AT439="Yes","✓ OK","⚠ Check"))))</f>
        <v/>
      </c>
    </row>
    <row r="440" ht="18" customHeight="1" s="46">
      <c r="A440" s="39" t="n">
        <v>436</v>
      </c>
      <c r="B440" s="40" t="inlineStr">
        <is>
          <t>BD-HND-2023-0021</t>
        </is>
      </c>
      <c r="C440" s="41" t="inlineStr">
        <is>
          <t>Spacewood - Handle H380 - Anodized Black - 497mm</t>
        </is>
      </c>
      <c r="D440" s="39" t="inlineStr">
        <is>
          <t>Spacewood</t>
        </is>
      </c>
      <c r="E440" s="43" t="n">
        <v>46125</v>
      </c>
      <c r="F440" s="26" t="inlineStr">
        <is>
          <t>Sunil CR</t>
        </is>
      </c>
      <c r="G440" s="44" t="inlineStr">
        <is>
          <t>Represented by Sample</t>
        </is>
      </c>
      <c r="H440" s="26" t="inlineStr">
        <is>
          <t>No</t>
        </is>
      </c>
      <c r="I440" s="44" t="inlineStr">
        <is>
          <t>Represented by Sample</t>
        </is>
      </c>
      <c r="J440" s="26" t="inlineStr">
        <is>
          <t>Yes</t>
        </is>
      </c>
      <c r="K440" s="27" t="n"/>
      <c r="L440" s="28" t="inlineStr">
        <is>
          <t>No</t>
        </is>
      </c>
      <c r="M440" s="29">
        <f>IF(E440="","",IF(H440="Yes","❌ Disc",IF(G440="No","⚠ Missing",IF(J440="Yes","✓ OK","⚠ Check"))))</f>
        <v/>
      </c>
      <c r="N440" s="43" t="n">
        <v>46196</v>
      </c>
      <c r="O440" s="26" t="inlineStr">
        <is>
          <t>Sunil CR</t>
        </is>
      </c>
      <c r="P440" s="44" t="inlineStr">
        <is>
          <t>Represented by Sample</t>
        </is>
      </c>
      <c r="Q440" s="26" t="inlineStr">
        <is>
          <t>No</t>
        </is>
      </c>
      <c r="R440" s="44" t="inlineStr">
        <is>
          <t>Represented by Sample</t>
        </is>
      </c>
      <c r="S440" s="26" t="inlineStr">
        <is>
          <t>Yes</t>
        </is>
      </c>
      <c r="T440" s="27" t="n"/>
      <c r="U440" s="28" t="inlineStr">
        <is>
          <t>No</t>
        </is>
      </c>
      <c r="V440" s="29">
        <f>IF(N440="","",IF(Q440="Yes","❌ Disc",IF(P440="No","⚠ Missing",IF(S440="Yes","✓ OK","⚠ Check"))))</f>
        <v/>
      </c>
      <c r="W440" s="65" t="n">
        <v>46248</v>
      </c>
      <c r="X440" s="30" t="inlineStr">
        <is>
          <t>Sunil CR</t>
        </is>
      </c>
      <c r="Y440" s="30" t="inlineStr">
        <is>
          <t>No</t>
        </is>
      </c>
      <c r="Z440" s="30" t="inlineStr">
        <is>
          <t>Yes</t>
        </is>
      </c>
      <c r="AA440" s="30" t="inlineStr">
        <is>
          <t>Discontinued</t>
        </is>
      </c>
      <c r="AB440" s="30" t="inlineStr">
        <is>
          <t>No</t>
        </is>
      </c>
      <c r="AC440" s="27" t="n"/>
      <c r="AD440" s="31" t="inlineStr">
        <is>
          <t>No</t>
        </is>
      </c>
      <c r="AE440" s="32">
        <f>IF(W440="","",IF(Z440="Yes","❌ Disc",IF(Y440="No","⚠ Missing",IF(AB440="Yes","✓ OK","⚠ Check"))))</f>
        <v/>
      </c>
      <c r="AF440" s="33" t="n"/>
      <c r="AG440" s="33" t="n"/>
      <c r="AH440" s="33" t="n"/>
      <c r="AI440" s="33" t="n"/>
      <c r="AJ440" s="33" t="n"/>
      <c r="AK440" s="33" t="n"/>
      <c r="AL440" s="27" t="n"/>
      <c r="AM440" s="34" t="n"/>
      <c r="AN440" s="35">
        <f>IF(AF440="","",IF(AI440="Yes","❌ Disc",IF(AH440="No","⚠ Missing",IF(AK440="Yes","✓ OK","⚠ Check"))))</f>
        <v/>
      </c>
      <c r="AO440" s="36" t="n"/>
      <c r="AP440" s="36" t="n"/>
      <c r="AQ440" s="36" t="n"/>
      <c r="AR440" s="36" t="n"/>
      <c r="AS440" s="36" t="n"/>
      <c r="AT440" s="36" t="n"/>
      <c r="AU440" s="27" t="n"/>
      <c r="AV440" s="37" t="n"/>
      <c r="AW440" s="38">
        <f>IF(AO440="","",IF(AR440="Yes","❌ Disc",IF(AQ440="No","⚠ Missing",IF(AT440="Yes","✓ OK","⚠ Check"))))</f>
        <v/>
      </c>
    </row>
    <row r="441" ht="18" customHeight="1" s="46">
      <c r="A441" s="23" t="n">
        <v>437</v>
      </c>
      <c r="B441" s="24" t="inlineStr">
        <is>
          <t>BD-HND-2023-0022</t>
        </is>
      </c>
      <c r="C441" s="25" t="inlineStr">
        <is>
          <t>Spacewood - Handle H380 - Anodized Black - 597mm</t>
        </is>
      </c>
      <c r="D441" s="23" t="inlineStr">
        <is>
          <t>Spacewood</t>
        </is>
      </c>
      <c r="E441" s="43" t="n">
        <v>46125</v>
      </c>
      <c r="F441" s="26" t="inlineStr">
        <is>
          <t>Sunil CR</t>
        </is>
      </c>
      <c r="G441" s="44" t="inlineStr">
        <is>
          <t>Represented by Sample</t>
        </is>
      </c>
      <c r="H441" s="26" t="inlineStr">
        <is>
          <t>No</t>
        </is>
      </c>
      <c r="I441" s="44" t="inlineStr">
        <is>
          <t>Represented by Sample</t>
        </is>
      </c>
      <c r="J441" s="26" t="inlineStr">
        <is>
          <t>Yes</t>
        </is>
      </c>
      <c r="K441" s="27" t="n"/>
      <c r="L441" s="28" t="inlineStr">
        <is>
          <t>No</t>
        </is>
      </c>
      <c r="M441" s="29">
        <f>IF(E441="","",IF(H441="Yes","❌ Disc",IF(G441="No","⚠ Missing",IF(J441="Yes","✓ OK","⚠ Check"))))</f>
        <v/>
      </c>
      <c r="N441" s="43" t="n">
        <v>46196</v>
      </c>
      <c r="O441" s="26" t="inlineStr">
        <is>
          <t>Sunil CR</t>
        </is>
      </c>
      <c r="P441" s="44" t="inlineStr">
        <is>
          <t>Represented by Sample</t>
        </is>
      </c>
      <c r="Q441" s="26" t="inlineStr">
        <is>
          <t>No</t>
        </is>
      </c>
      <c r="R441" s="44" t="inlineStr">
        <is>
          <t>Represented by Sample</t>
        </is>
      </c>
      <c r="S441" s="26" t="inlineStr">
        <is>
          <t>Yes</t>
        </is>
      </c>
      <c r="T441" s="27" t="n"/>
      <c r="U441" s="28" t="inlineStr">
        <is>
          <t>No</t>
        </is>
      </c>
      <c r="V441" s="29">
        <f>IF(N441="","",IF(Q441="Yes","❌ Disc",IF(P441="No","⚠ Missing",IF(S441="Yes","✓ OK","⚠ Check"))))</f>
        <v/>
      </c>
      <c r="W441" s="65" t="n">
        <v>46248</v>
      </c>
      <c r="X441" s="30" t="inlineStr">
        <is>
          <t>Sunil CR</t>
        </is>
      </c>
      <c r="Y441" s="30" t="inlineStr">
        <is>
          <t>Represented by Sample</t>
        </is>
      </c>
      <c r="Z441" s="30" t="n"/>
      <c r="AA441" s="30" t="inlineStr">
        <is>
          <t>Represented by Sample</t>
        </is>
      </c>
      <c r="AB441" s="30" t="inlineStr">
        <is>
          <t>Yes</t>
        </is>
      </c>
      <c r="AC441" s="27" t="n"/>
      <c r="AD441" s="31" t="inlineStr">
        <is>
          <t>No</t>
        </is>
      </c>
      <c r="AE441" s="32">
        <f>IF(W441="","",IF(Z441="Yes","❌ Disc",IF(Y441="No","⚠ Missing",IF(AB441="Yes","✓ OK","⚠ Check"))))</f>
        <v/>
      </c>
      <c r="AF441" s="33" t="n"/>
      <c r="AG441" s="33" t="n"/>
      <c r="AH441" s="33" t="n"/>
      <c r="AI441" s="33" t="n"/>
      <c r="AJ441" s="33" t="n"/>
      <c r="AK441" s="33" t="n"/>
      <c r="AL441" s="27" t="n"/>
      <c r="AM441" s="34" t="n"/>
      <c r="AN441" s="35">
        <f>IF(AF441="","",IF(AI441="Yes","❌ Disc",IF(AH441="No","⚠ Missing",IF(AK441="Yes","✓ OK","⚠ Check"))))</f>
        <v/>
      </c>
      <c r="AO441" s="36" t="n"/>
      <c r="AP441" s="36" t="n"/>
      <c r="AQ441" s="36" t="n"/>
      <c r="AR441" s="36" t="n"/>
      <c r="AS441" s="36" t="n"/>
      <c r="AT441" s="36" t="n"/>
      <c r="AU441" s="27" t="n"/>
      <c r="AV441" s="37" t="n"/>
      <c r="AW441" s="38">
        <f>IF(AO441="","",IF(AR441="Yes","❌ Disc",IF(AQ441="No","⚠ Missing",IF(AT441="Yes","✓ OK","⚠ Check"))))</f>
        <v/>
      </c>
    </row>
    <row r="442" ht="18" customHeight="1" s="46">
      <c r="A442" s="39" t="n">
        <v>438</v>
      </c>
      <c r="B442" s="40" t="inlineStr">
        <is>
          <t>BD-HND-2023-0023</t>
        </is>
      </c>
      <c r="C442" s="41" t="inlineStr">
        <is>
          <t>Spacewood - Handle H380 - Anodized Black - 797mm</t>
        </is>
      </c>
      <c r="D442" s="39" t="inlineStr">
        <is>
          <t>Spacewood</t>
        </is>
      </c>
      <c r="E442" s="43" t="n">
        <v>46125</v>
      </c>
      <c r="F442" s="26" t="inlineStr">
        <is>
          <t>Sunil CR</t>
        </is>
      </c>
      <c r="G442" s="44" t="inlineStr">
        <is>
          <t>Represented by Sample</t>
        </is>
      </c>
      <c r="H442" s="26" t="inlineStr">
        <is>
          <t>No</t>
        </is>
      </c>
      <c r="I442" s="44" t="inlineStr">
        <is>
          <t>Represented by Sample</t>
        </is>
      </c>
      <c r="J442" s="26" t="inlineStr">
        <is>
          <t>Yes</t>
        </is>
      </c>
      <c r="K442" s="27" t="n"/>
      <c r="L442" s="28" t="inlineStr">
        <is>
          <t>No</t>
        </is>
      </c>
      <c r="M442" s="29">
        <f>IF(E442="","",IF(H442="Yes","❌ Disc",IF(G442="No","⚠ Missing",IF(J442="Yes","✓ OK","⚠ Check"))))</f>
        <v/>
      </c>
      <c r="N442" s="43" t="n">
        <v>46196</v>
      </c>
      <c r="O442" s="26" t="inlineStr">
        <is>
          <t>Sunil CR</t>
        </is>
      </c>
      <c r="P442" s="44" t="inlineStr">
        <is>
          <t>Represented by Sample</t>
        </is>
      </c>
      <c r="Q442" s="26" t="inlineStr">
        <is>
          <t>No</t>
        </is>
      </c>
      <c r="R442" s="44" t="inlineStr">
        <is>
          <t>Represented by Sample</t>
        </is>
      </c>
      <c r="S442" s="26" t="inlineStr">
        <is>
          <t>Yes</t>
        </is>
      </c>
      <c r="T442" s="27" t="n"/>
      <c r="U442" s="28" t="inlineStr">
        <is>
          <t>No</t>
        </is>
      </c>
      <c r="V442" s="29">
        <f>IF(N442="","",IF(Q442="Yes","❌ Disc",IF(P442="No","⚠ Missing",IF(S442="Yes","✓ OK","⚠ Check"))))</f>
        <v/>
      </c>
      <c r="W442" s="65" t="n">
        <v>46248</v>
      </c>
      <c r="X442" s="30" t="inlineStr">
        <is>
          <t>Sunil CR</t>
        </is>
      </c>
      <c r="Y442" s="30" t="inlineStr">
        <is>
          <t>Represented by Sample</t>
        </is>
      </c>
      <c r="Z442" s="30" t="n"/>
      <c r="AA442" s="30" t="inlineStr">
        <is>
          <t>Represented by Sample</t>
        </is>
      </c>
      <c r="AB442" s="30" t="inlineStr">
        <is>
          <t>Yes</t>
        </is>
      </c>
      <c r="AC442" s="27" t="n"/>
      <c r="AD442" s="31" t="inlineStr">
        <is>
          <t>No</t>
        </is>
      </c>
      <c r="AE442" s="32">
        <f>IF(W442="","",IF(Z442="Yes","❌ Disc",IF(Y442="No","⚠ Missing",IF(AB442="Yes","✓ OK","⚠ Check"))))</f>
        <v/>
      </c>
      <c r="AF442" s="33" t="n"/>
      <c r="AG442" s="33" t="n"/>
      <c r="AH442" s="33" t="n"/>
      <c r="AI442" s="33" t="n"/>
      <c r="AJ442" s="33" t="n"/>
      <c r="AK442" s="33" t="n"/>
      <c r="AL442" s="27" t="n"/>
      <c r="AM442" s="34" t="n"/>
      <c r="AN442" s="35">
        <f>IF(AF442="","",IF(AI442="Yes","❌ Disc",IF(AH442="No","⚠ Missing",IF(AK442="Yes","✓ OK","⚠ Check"))))</f>
        <v/>
      </c>
      <c r="AO442" s="36" t="n"/>
      <c r="AP442" s="36" t="n"/>
      <c r="AQ442" s="36" t="n"/>
      <c r="AR442" s="36" t="n"/>
      <c r="AS442" s="36" t="n"/>
      <c r="AT442" s="36" t="n"/>
      <c r="AU442" s="27" t="n"/>
      <c r="AV442" s="37" t="n"/>
      <c r="AW442" s="38">
        <f>IF(AO442="","",IF(AR442="Yes","❌ Disc",IF(AQ442="No","⚠ Missing",IF(AT442="Yes","✓ OK","⚠ Check"))))</f>
        <v/>
      </c>
    </row>
    <row r="443" ht="18" customHeight="1" s="46">
      <c r="A443" s="23" t="n">
        <v>439</v>
      </c>
      <c r="B443" s="24" t="inlineStr">
        <is>
          <t>BD-HND-2023-0024</t>
        </is>
      </c>
      <c r="C443" s="25" t="inlineStr">
        <is>
          <t>Spacewood - Handle H380 - Anodized Black - 897mm</t>
        </is>
      </c>
      <c r="D443" s="23" t="inlineStr">
        <is>
          <t>Spacewood</t>
        </is>
      </c>
      <c r="E443" s="43" t="n">
        <v>46125</v>
      </c>
      <c r="F443" s="26" t="inlineStr">
        <is>
          <t>Sunil CR</t>
        </is>
      </c>
      <c r="G443" s="44" t="inlineStr">
        <is>
          <t>Represented by Sample</t>
        </is>
      </c>
      <c r="H443" s="26" t="inlineStr">
        <is>
          <t>No</t>
        </is>
      </c>
      <c r="I443" s="44" t="inlineStr">
        <is>
          <t>Represented by Sample</t>
        </is>
      </c>
      <c r="J443" s="26" t="inlineStr">
        <is>
          <t>Yes</t>
        </is>
      </c>
      <c r="K443" s="27" t="n"/>
      <c r="L443" s="28" t="inlineStr">
        <is>
          <t>No</t>
        </is>
      </c>
      <c r="M443" s="29">
        <f>IF(E443="","",IF(H443="Yes","❌ Disc",IF(G443="No","⚠ Missing",IF(J443="Yes","✓ OK","⚠ Check"))))</f>
        <v/>
      </c>
      <c r="N443" s="43" t="n">
        <v>46196</v>
      </c>
      <c r="O443" s="26" t="inlineStr">
        <is>
          <t>Sunil CR</t>
        </is>
      </c>
      <c r="P443" s="44" t="inlineStr">
        <is>
          <t>Represented by Sample</t>
        </is>
      </c>
      <c r="Q443" s="26" t="inlineStr">
        <is>
          <t>No</t>
        </is>
      </c>
      <c r="R443" s="44" t="inlineStr">
        <is>
          <t>Represented by Sample</t>
        </is>
      </c>
      <c r="S443" s="26" t="inlineStr">
        <is>
          <t>Yes</t>
        </is>
      </c>
      <c r="T443" s="27" t="n"/>
      <c r="U443" s="28" t="inlineStr">
        <is>
          <t>No</t>
        </is>
      </c>
      <c r="V443" s="29">
        <f>IF(N443="","",IF(Q443="Yes","❌ Disc",IF(P443="No","⚠ Missing",IF(S443="Yes","✓ OK","⚠ Check"))))</f>
        <v/>
      </c>
      <c r="W443" s="65" t="n">
        <v>46248</v>
      </c>
      <c r="X443" s="30" t="inlineStr">
        <is>
          <t>Sunil CR</t>
        </is>
      </c>
      <c r="Y443" s="30" t="inlineStr">
        <is>
          <t>Represented by Sample</t>
        </is>
      </c>
      <c r="Z443" s="30" t="n"/>
      <c r="AA443" s="30" t="inlineStr">
        <is>
          <t>Represented by Sample</t>
        </is>
      </c>
      <c r="AB443" s="30" t="inlineStr">
        <is>
          <t>Yes</t>
        </is>
      </c>
      <c r="AC443" s="27" t="n"/>
      <c r="AD443" s="31" t="inlineStr">
        <is>
          <t>No</t>
        </is>
      </c>
      <c r="AE443" s="32">
        <f>IF(W443="","",IF(Z443="Yes","❌ Disc",IF(Y443="No","⚠ Missing",IF(AB443="Yes","✓ OK","⚠ Check"))))</f>
        <v/>
      </c>
      <c r="AF443" s="33" t="n"/>
      <c r="AG443" s="33" t="n"/>
      <c r="AH443" s="33" t="n"/>
      <c r="AI443" s="33" t="n"/>
      <c r="AJ443" s="33" t="n"/>
      <c r="AK443" s="33" t="n"/>
      <c r="AL443" s="27" t="n"/>
      <c r="AM443" s="34" t="n"/>
      <c r="AN443" s="35">
        <f>IF(AF443="","",IF(AI443="Yes","❌ Disc",IF(AH443="No","⚠ Missing",IF(AK443="Yes","✓ OK","⚠ Check"))))</f>
        <v/>
      </c>
      <c r="AO443" s="36" t="n"/>
      <c r="AP443" s="36" t="n"/>
      <c r="AQ443" s="36" t="n"/>
      <c r="AR443" s="36" t="n"/>
      <c r="AS443" s="36" t="n"/>
      <c r="AT443" s="36" t="n"/>
      <c r="AU443" s="27" t="n"/>
      <c r="AV443" s="37" t="n"/>
      <c r="AW443" s="38">
        <f>IF(AO443="","",IF(AR443="Yes","❌ Disc",IF(AQ443="No","⚠ Missing",IF(AT443="Yes","✓ OK","⚠ Check"))))</f>
        <v/>
      </c>
    </row>
    <row r="444" ht="18" customHeight="1" s="46">
      <c r="A444" s="39" t="n">
        <v>440</v>
      </c>
      <c r="B444" s="40" t="inlineStr">
        <is>
          <t>BD-HND-2023-0013</t>
        </is>
      </c>
      <c r="C444" s="41" t="inlineStr">
        <is>
          <t>Spacewood - Handle H380 - Stainless Steel - 297mm</t>
        </is>
      </c>
      <c r="D444" s="39" t="inlineStr">
        <is>
          <t>Spacewood</t>
        </is>
      </c>
      <c r="E444" s="43" t="n">
        <v>46125</v>
      </c>
      <c r="F444" s="26" t="inlineStr">
        <is>
          <t>Sunil CR</t>
        </is>
      </c>
      <c r="G444" s="44" t="inlineStr">
        <is>
          <t>Yes</t>
        </is>
      </c>
      <c r="H444" s="26" t="inlineStr">
        <is>
          <t>No</t>
        </is>
      </c>
      <c r="I444" s="44" t="inlineStr">
        <is>
          <t>Good finish</t>
        </is>
      </c>
      <c r="J444" s="26" t="inlineStr">
        <is>
          <t>Yes</t>
        </is>
      </c>
      <c r="K444" s="27" t="n"/>
      <c r="L444" s="28" t="inlineStr">
        <is>
          <t>No</t>
        </is>
      </c>
      <c r="M444" s="29">
        <f>IF(E444="","",IF(H444="Yes","❌ Disc",IF(G444="No","⚠ Missing",IF(J444="Yes","✓ OK","⚠ Check"))))</f>
        <v/>
      </c>
      <c r="N444" s="43" t="n">
        <v>46196</v>
      </c>
      <c r="O444" s="26" t="inlineStr">
        <is>
          <t>Sunil CR</t>
        </is>
      </c>
      <c r="P444" s="44" t="inlineStr">
        <is>
          <t>Yes</t>
        </is>
      </c>
      <c r="Q444" s="26" t="inlineStr">
        <is>
          <t>No</t>
        </is>
      </c>
      <c r="R444" s="44" t="inlineStr">
        <is>
          <t>Good finish</t>
        </is>
      </c>
      <c r="S444" s="26" t="inlineStr">
        <is>
          <t>Yes</t>
        </is>
      </c>
      <c r="T444" s="27" t="n"/>
      <c r="U444" s="28" t="inlineStr">
        <is>
          <t>No</t>
        </is>
      </c>
      <c r="V444" s="29">
        <f>IF(N444="","",IF(Q444="Yes","❌ Disc",IF(P444="No","⚠ Missing",IF(S444="Yes","✓ OK","⚠ Check"))))</f>
        <v/>
      </c>
      <c r="W444" s="65" t="n">
        <v>46248</v>
      </c>
      <c r="X444" s="30" t="inlineStr">
        <is>
          <t>Sunil CR</t>
        </is>
      </c>
      <c r="Y444" s="30" t="inlineStr">
        <is>
          <t>Yes</t>
        </is>
      </c>
      <c r="Z444" s="30" t="n"/>
      <c r="AA444" s="30" t="inlineStr">
        <is>
          <t>Good finish</t>
        </is>
      </c>
      <c r="AB444" s="30" t="inlineStr">
        <is>
          <t>Yes</t>
        </is>
      </c>
      <c r="AC444" s="27" t="n"/>
      <c r="AD444" s="31" t="inlineStr">
        <is>
          <t>No</t>
        </is>
      </c>
      <c r="AE444" s="32">
        <f>IF(W444="","",IF(Z444="Yes","❌ Disc",IF(Y444="No","⚠ Missing",IF(AB444="Yes","✓ OK","⚠ Check"))))</f>
        <v/>
      </c>
      <c r="AF444" s="33" t="n"/>
      <c r="AG444" s="33" t="n"/>
      <c r="AH444" s="33" t="n"/>
      <c r="AI444" s="33" t="n"/>
      <c r="AJ444" s="33" t="n"/>
      <c r="AK444" s="33" t="n"/>
      <c r="AL444" s="27" t="n"/>
      <c r="AM444" s="34" t="n"/>
      <c r="AN444" s="35">
        <f>IF(AF444="","",IF(AI444="Yes","❌ Disc",IF(AH444="No","⚠ Missing",IF(AK444="Yes","✓ OK","⚠ Check"))))</f>
        <v/>
      </c>
      <c r="AO444" s="36" t="n"/>
      <c r="AP444" s="36" t="n"/>
      <c r="AQ444" s="36" t="n"/>
      <c r="AR444" s="36" t="n"/>
      <c r="AS444" s="36" t="n"/>
      <c r="AT444" s="36" t="n"/>
      <c r="AU444" s="27" t="n"/>
      <c r="AV444" s="37" t="n"/>
      <c r="AW444" s="38">
        <f>IF(AO444="","",IF(AR444="Yes","❌ Disc",IF(AQ444="No","⚠ Missing",IF(AT444="Yes","✓ OK","⚠ Check"))))</f>
        <v/>
      </c>
    </row>
    <row r="445" ht="18" customHeight="1" s="46">
      <c r="A445" s="23" t="n">
        <v>441</v>
      </c>
      <c r="B445" s="24" t="inlineStr">
        <is>
          <t>BD-HND-2023-0014</t>
        </is>
      </c>
      <c r="C445" s="25" t="inlineStr">
        <is>
          <t>Spacewood - Handle H380 - Stainless Steel - 447mm</t>
        </is>
      </c>
      <c r="D445" s="23" t="inlineStr">
        <is>
          <t>Spacewood</t>
        </is>
      </c>
      <c r="E445" s="43" t="n">
        <v>46125</v>
      </c>
      <c r="F445" s="26" t="inlineStr">
        <is>
          <t>Sunil CR</t>
        </is>
      </c>
      <c r="G445" s="44" t="inlineStr">
        <is>
          <t>Represented by Sample</t>
        </is>
      </c>
      <c r="H445" s="26" t="inlineStr">
        <is>
          <t>No</t>
        </is>
      </c>
      <c r="I445" s="44" t="inlineStr">
        <is>
          <t>Represented by Sample</t>
        </is>
      </c>
      <c r="J445" s="26" t="inlineStr">
        <is>
          <t>Yes</t>
        </is>
      </c>
      <c r="K445" s="27" t="n"/>
      <c r="L445" s="28" t="inlineStr">
        <is>
          <t>No</t>
        </is>
      </c>
      <c r="M445" s="29">
        <f>IF(E445="","",IF(H445="Yes","❌ Disc",IF(G445="No","⚠ Missing",IF(J445="Yes","✓ OK","⚠ Check"))))</f>
        <v/>
      </c>
      <c r="N445" s="43" t="n">
        <v>46196</v>
      </c>
      <c r="O445" s="26" t="inlineStr">
        <is>
          <t>Sunil CR</t>
        </is>
      </c>
      <c r="P445" s="44" t="inlineStr">
        <is>
          <t>Represented by Sample</t>
        </is>
      </c>
      <c r="Q445" s="26" t="inlineStr">
        <is>
          <t>No</t>
        </is>
      </c>
      <c r="R445" s="44" t="inlineStr">
        <is>
          <t>Represented by Sample</t>
        </is>
      </c>
      <c r="S445" s="26" t="inlineStr">
        <is>
          <t>Yes</t>
        </is>
      </c>
      <c r="T445" s="27" t="n"/>
      <c r="U445" s="28" t="inlineStr">
        <is>
          <t>No</t>
        </is>
      </c>
      <c r="V445" s="29">
        <f>IF(N445="","",IF(Q445="Yes","❌ Disc",IF(P445="No","⚠ Missing",IF(S445="Yes","✓ OK","⚠ Check"))))</f>
        <v/>
      </c>
      <c r="W445" s="65" t="n">
        <v>46248</v>
      </c>
      <c r="X445" s="30" t="inlineStr">
        <is>
          <t>Sunil CR</t>
        </is>
      </c>
      <c r="Y445" s="30" t="inlineStr">
        <is>
          <t>Represented by Sample</t>
        </is>
      </c>
      <c r="Z445" s="30" t="n"/>
      <c r="AA445" s="30" t="inlineStr">
        <is>
          <t>Represented by Sample</t>
        </is>
      </c>
      <c r="AB445" s="30" t="inlineStr">
        <is>
          <t>Yes</t>
        </is>
      </c>
      <c r="AC445" s="27" t="n"/>
      <c r="AD445" s="31" t="inlineStr">
        <is>
          <t>No</t>
        </is>
      </c>
      <c r="AE445" s="32">
        <f>IF(W445="","",IF(Z445="Yes","❌ Disc",IF(Y445="No","⚠ Missing",IF(AB445="Yes","✓ OK","⚠ Check"))))</f>
        <v/>
      </c>
      <c r="AF445" s="33" t="n"/>
      <c r="AG445" s="33" t="n"/>
      <c r="AH445" s="33" t="n"/>
      <c r="AI445" s="33" t="n"/>
      <c r="AJ445" s="33" t="n"/>
      <c r="AK445" s="33" t="n"/>
      <c r="AL445" s="27" t="n"/>
      <c r="AM445" s="34" t="n"/>
      <c r="AN445" s="35">
        <f>IF(AF445="","",IF(AI445="Yes","❌ Disc",IF(AH445="No","⚠ Missing",IF(AK445="Yes","✓ OK","⚠ Check"))))</f>
        <v/>
      </c>
      <c r="AO445" s="36" t="n"/>
      <c r="AP445" s="36" t="n"/>
      <c r="AQ445" s="36" t="n"/>
      <c r="AR445" s="36" t="n"/>
      <c r="AS445" s="36" t="n"/>
      <c r="AT445" s="36" t="n"/>
      <c r="AU445" s="27" t="n"/>
      <c r="AV445" s="37" t="n"/>
      <c r="AW445" s="38">
        <f>IF(AO445="","",IF(AR445="Yes","❌ Disc",IF(AQ445="No","⚠ Missing",IF(AT445="Yes","✓ OK","⚠ Check"))))</f>
        <v/>
      </c>
    </row>
    <row r="446" ht="18" customHeight="1" s="46">
      <c r="A446" s="39" t="n">
        <v>442</v>
      </c>
      <c r="B446" s="40" t="inlineStr">
        <is>
          <t>BD-HND-2023-0015</t>
        </is>
      </c>
      <c r="C446" s="41" t="inlineStr">
        <is>
          <t>Spacewood - Handle H380 - Stainless Steel - 497mm</t>
        </is>
      </c>
      <c r="D446" s="39" t="inlineStr">
        <is>
          <t>Spacewood</t>
        </is>
      </c>
      <c r="E446" s="43" t="n">
        <v>46125</v>
      </c>
      <c r="F446" s="26" t="inlineStr">
        <is>
          <t>Sunil CR</t>
        </is>
      </c>
      <c r="G446" s="44" t="inlineStr">
        <is>
          <t>Represented by Sample</t>
        </is>
      </c>
      <c r="H446" s="26" t="inlineStr">
        <is>
          <t>No</t>
        </is>
      </c>
      <c r="I446" s="44" t="inlineStr">
        <is>
          <t>Represented by Sample</t>
        </is>
      </c>
      <c r="J446" s="26" t="inlineStr">
        <is>
          <t>Yes</t>
        </is>
      </c>
      <c r="K446" s="27" t="n"/>
      <c r="L446" s="28" t="inlineStr">
        <is>
          <t>No</t>
        </is>
      </c>
      <c r="M446" s="29">
        <f>IF(E446="","",IF(H446="Yes","❌ Disc",IF(G446="No","⚠ Missing",IF(J446="Yes","✓ OK","⚠ Check"))))</f>
        <v/>
      </c>
      <c r="N446" s="43" t="n">
        <v>46196</v>
      </c>
      <c r="O446" s="26" t="inlineStr">
        <is>
          <t>Sunil CR</t>
        </is>
      </c>
      <c r="P446" s="44" t="inlineStr">
        <is>
          <t>Represented by Sample</t>
        </is>
      </c>
      <c r="Q446" s="26" t="inlineStr">
        <is>
          <t>No</t>
        </is>
      </c>
      <c r="R446" s="44" t="inlineStr">
        <is>
          <t>Represented by Sample</t>
        </is>
      </c>
      <c r="S446" s="26" t="inlineStr">
        <is>
          <t>Yes</t>
        </is>
      </c>
      <c r="T446" s="27" t="n"/>
      <c r="U446" s="28" t="inlineStr">
        <is>
          <t>No</t>
        </is>
      </c>
      <c r="V446" s="29">
        <f>IF(N446="","",IF(Q446="Yes","❌ Disc",IF(P446="No","⚠ Missing",IF(S446="Yes","✓ OK","⚠ Check"))))</f>
        <v/>
      </c>
      <c r="W446" s="65" t="n">
        <v>46248</v>
      </c>
      <c r="X446" s="30" t="inlineStr">
        <is>
          <t>Sunil CR</t>
        </is>
      </c>
      <c r="Y446" s="30" t="inlineStr">
        <is>
          <t>Represented by Sample</t>
        </is>
      </c>
      <c r="Z446" s="30" t="n"/>
      <c r="AA446" s="30" t="inlineStr">
        <is>
          <t>Represented by Sample</t>
        </is>
      </c>
      <c r="AB446" s="30" t="inlineStr">
        <is>
          <t>Yes</t>
        </is>
      </c>
      <c r="AC446" s="27" t="n"/>
      <c r="AD446" s="31" t="inlineStr">
        <is>
          <t>No</t>
        </is>
      </c>
      <c r="AE446" s="32">
        <f>IF(W446="","",IF(Z446="Yes","❌ Disc",IF(Y446="No","⚠ Missing",IF(AB446="Yes","✓ OK","⚠ Check"))))</f>
        <v/>
      </c>
      <c r="AF446" s="33" t="n"/>
      <c r="AG446" s="33" t="n"/>
      <c r="AH446" s="33" t="n"/>
      <c r="AI446" s="33" t="n"/>
      <c r="AJ446" s="33" t="n"/>
      <c r="AK446" s="33" t="n"/>
      <c r="AL446" s="27" t="n"/>
      <c r="AM446" s="34" t="n"/>
      <c r="AN446" s="35">
        <f>IF(AF446="","",IF(AI446="Yes","❌ Disc",IF(AH446="No","⚠ Missing",IF(AK446="Yes","✓ OK","⚠ Check"))))</f>
        <v/>
      </c>
      <c r="AO446" s="36" t="n"/>
      <c r="AP446" s="36" t="n"/>
      <c r="AQ446" s="36" t="n"/>
      <c r="AR446" s="36" t="n"/>
      <c r="AS446" s="36" t="n"/>
      <c r="AT446" s="36" t="n"/>
      <c r="AU446" s="27" t="n"/>
      <c r="AV446" s="37" t="n"/>
      <c r="AW446" s="38">
        <f>IF(AO446="","",IF(AR446="Yes","❌ Disc",IF(AQ446="No","⚠ Missing",IF(AT446="Yes","✓ OK","⚠ Check"))))</f>
        <v/>
      </c>
    </row>
    <row r="447" ht="18" customHeight="1" s="46">
      <c r="A447" s="23" t="n">
        <v>443</v>
      </c>
      <c r="B447" s="24" t="inlineStr">
        <is>
          <t>BD-HND-2023-0016</t>
        </is>
      </c>
      <c r="C447" s="25" t="inlineStr">
        <is>
          <t>Spacewood - Handle H380 - Stainless Steel - 597mm</t>
        </is>
      </c>
      <c r="D447" s="23" t="inlineStr">
        <is>
          <t>Spacewood</t>
        </is>
      </c>
      <c r="E447" s="43" t="n">
        <v>46125</v>
      </c>
      <c r="F447" s="26" t="inlineStr">
        <is>
          <t>Sunil CR</t>
        </is>
      </c>
      <c r="G447" s="44" t="inlineStr">
        <is>
          <t>Represented by Sample</t>
        </is>
      </c>
      <c r="H447" s="26" t="inlineStr">
        <is>
          <t>No</t>
        </is>
      </c>
      <c r="I447" s="44" t="inlineStr">
        <is>
          <t>Represented by Sample</t>
        </is>
      </c>
      <c r="J447" s="26" t="inlineStr">
        <is>
          <t>Yes</t>
        </is>
      </c>
      <c r="K447" s="27" t="n"/>
      <c r="L447" s="28" t="inlineStr">
        <is>
          <t>No</t>
        </is>
      </c>
      <c r="M447" s="29">
        <f>IF(E447="","",IF(H447="Yes","❌ Disc",IF(G447="No","⚠ Missing",IF(J447="Yes","✓ OK","⚠ Check"))))</f>
        <v/>
      </c>
      <c r="N447" s="43" t="n">
        <v>46196</v>
      </c>
      <c r="O447" s="26" t="inlineStr">
        <is>
          <t>Sunil CR</t>
        </is>
      </c>
      <c r="P447" s="44" t="inlineStr">
        <is>
          <t>Represented by Sample</t>
        </is>
      </c>
      <c r="Q447" s="26" t="inlineStr">
        <is>
          <t>No</t>
        </is>
      </c>
      <c r="R447" s="44" t="inlineStr">
        <is>
          <t>Represented by Sample</t>
        </is>
      </c>
      <c r="S447" s="26" t="inlineStr">
        <is>
          <t>Yes</t>
        </is>
      </c>
      <c r="T447" s="27" t="n"/>
      <c r="U447" s="28" t="inlineStr">
        <is>
          <t>No</t>
        </is>
      </c>
      <c r="V447" s="29">
        <f>IF(N447="","",IF(Q447="Yes","❌ Disc",IF(P447="No","⚠ Missing",IF(S447="Yes","✓ OK","⚠ Check"))))</f>
        <v/>
      </c>
      <c r="W447" s="65" t="n">
        <v>46248</v>
      </c>
      <c r="X447" s="30" t="inlineStr">
        <is>
          <t>Sunil CR</t>
        </is>
      </c>
      <c r="Y447" s="30" t="inlineStr">
        <is>
          <t>Represented by Sample</t>
        </is>
      </c>
      <c r="Z447" s="30" t="n"/>
      <c r="AA447" s="30" t="inlineStr">
        <is>
          <t>Represented by Sample</t>
        </is>
      </c>
      <c r="AB447" s="30" t="inlineStr">
        <is>
          <t>Yes</t>
        </is>
      </c>
      <c r="AC447" s="27" t="n"/>
      <c r="AD447" s="31" t="inlineStr">
        <is>
          <t>No</t>
        </is>
      </c>
      <c r="AE447" s="32">
        <f>IF(W447="","",IF(Z447="Yes","❌ Disc",IF(Y447="No","⚠ Missing",IF(AB447="Yes","✓ OK","⚠ Check"))))</f>
        <v/>
      </c>
      <c r="AF447" s="33" t="n"/>
      <c r="AG447" s="33" t="n"/>
      <c r="AH447" s="33" t="n"/>
      <c r="AI447" s="33" t="n"/>
      <c r="AJ447" s="33" t="n"/>
      <c r="AK447" s="33" t="n"/>
      <c r="AL447" s="27" t="n"/>
      <c r="AM447" s="34" t="n"/>
      <c r="AN447" s="35">
        <f>IF(AF447="","",IF(AI447="Yes","❌ Disc",IF(AH447="No","⚠ Missing",IF(AK447="Yes","✓ OK","⚠ Check"))))</f>
        <v/>
      </c>
      <c r="AO447" s="36" t="n"/>
      <c r="AP447" s="36" t="n"/>
      <c r="AQ447" s="36" t="n"/>
      <c r="AR447" s="36" t="n"/>
      <c r="AS447" s="36" t="n"/>
      <c r="AT447" s="36" t="n"/>
      <c r="AU447" s="27" t="n"/>
      <c r="AV447" s="37" t="n"/>
      <c r="AW447" s="38">
        <f>IF(AO447="","",IF(AR447="Yes","❌ Disc",IF(AQ447="No","⚠ Missing",IF(AT447="Yes","✓ OK","⚠ Check"))))</f>
        <v/>
      </c>
    </row>
    <row r="448" ht="18" customHeight="1" s="46">
      <c r="A448" s="39" t="n">
        <v>444</v>
      </c>
      <c r="B448" s="40" t="inlineStr">
        <is>
          <t>BD-HND-2023-0017</t>
        </is>
      </c>
      <c r="C448" s="41" t="inlineStr">
        <is>
          <t>Spacewood - Handle H380 - Stainless Steel - 797mm</t>
        </is>
      </c>
      <c r="D448" s="39" t="inlineStr">
        <is>
          <t>Spacewood</t>
        </is>
      </c>
      <c r="E448" s="43" t="n">
        <v>46125</v>
      </c>
      <c r="F448" s="26" t="inlineStr">
        <is>
          <t>Sunil CR</t>
        </is>
      </c>
      <c r="G448" s="44" t="inlineStr">
        <is>
          <t>Represented by Sample</t>
        </is>
      </c>
      <c r="H448" s="26" t="inlineStr">
        <is>
          <t>No</t>
        </is>
      </c>
      <c r="I448" s="44" t="inlineStr">
        <is>
          <t>Represented by Sample</t>
        </is>
      </c>
      <c r="J448" s="26" t="inlineStr">
        <is>
          <t>Yes</t>
        </is>
      </c>
      <c r="K448" s="27" t="n"/>
      <c r="L448" s="28" t="inlineStr">
        <is>
          <t>No</t>
        </is>
      </c>
      <c r="M448" s="29">
        <f>IF(E448="","",IF(H448="Yes","❌ Disc",IF(G448="No","⚠ Missing",IF(J448="Yes","✓ OK","⚠ Check"))))</f>
        <v/>
      </c>
      <c r="N448" s="43" t="n">
        <v>46196</v>
      </c>
      <c r="O448" s="26" t="inlineStr">
        <is>
          <t>Sunil CR</t>
        </is>
      </c>
      <c r="P448" s="44" t="inlineStr">
        <is>
          <t>Represented by Sample</t>
        </is>
      </c>
      <c r="Q448" s="26" t="inlineStr">
        <is>
          <t>No</t>
        </is>
      </c>
      <c r="R448" s="44" t="inlineStr">
        <is>
          <t>Represented by Sample</t>
        </is>
      </c>
      <c r="S448" s="26" t="inlineStr">
        <is>
          <t>Yes</t>
        </is>
      </c>
      <c r="T448" s="27" t="n"/>
      <c r="U448" s="28" t="inlineStr">
        <is>
          <t>No</t>
        </is>
      </c>
      <c r="V448" s="29">
        <f>IF(N448="","",IF(Q448="Yes","❌ Disc",IF(P448="No","⚠ Missing",IF(S448="Yes","✓ OK","⚠ Check"))))</f>
        <v/>
      </c>
      <c r="W448" s="65" t="n">
        <v>46248</v>
      </c>
      <c r="X448" s="30" t="inlineStr">
        <is>
          <t>Sunil CR</t>
        </is>
      </c>
      <c r="Y448" s="30" t="inlineStr">
        <is>
          <t>Represented by Sample</t>
        </is>
      </c>
      <c r="Z448" s="30" t="n"/>
      <c r="AA448" s="30" t="inlineStr">
        <is>
          <t>Represented by Sample</t>
        </is>
      </c>
      <c r="AB448" s="30" t="inlineStr">
        <is>
          <t>Yes</t>
        </is>
      </c>
      <c r="AC448" s="27" t="n"/>
      <c r="AD448" s="31" t="inlineStr">
        <is>
          <t>No</t>
        </is>
      </c>
      <c r="AE448" s="32">
        <f>IF(W448="","",IF(Z448="Yes","❌ Disc",IF(Y448="No","⚠ Missing",IF(AB448="Yes","✓ OK","⚠ Check"))))</f>
        <v/>
      </c>
      <c r="AF448" s="33" t="n"/>
      <c r="AG448" s="33" t="n"/>
      <c r="AH448" s="33" t="n"/>
      <c r="AI448" s="33" t="n"/>
      <c r="AJ448" s="33" t="n"/>
      <c r="AK448" s="33" t="n"/>
      <c r="AL448" s="27" t="n"/>
      <c r="AM448" s="34" t="n"/>
      <c r="AN448" s="35">
        <f>IF(AF448="","",IF(AI448="Yes","❌ Disc",IF(AH448="No","⚠ Missing",IF(AK448="Yes","✓ OK","⚠ Check"))))</f>
        <v/>
      </c>
      <c r="AO448" s="36" t="n"/>
      <c r="AP448" s="36" t="n"/>
      <c r="AQ448" s="36" t="n"/>
      <c r="AR448" s="36" t="n"/>
      <c r="AS448" s="36" t="n"/>
      <c r="AT448" s="36" t="n"/>
      <c r="AU448" s="27" t="n"/>
      <c r="AV448" s="37" t="n"/>
      <c r="AW448" s="38">
        <f>IF(AO448="","",IF(AR448="Yes","❌ Disc",IF(AQ448="No","⚠ Missing",IF(AT448="Yes","✓ OK","⚠ Check"))))</f>
        <v/>
      </c>
    </row>
    <row r="449" ht="18" customHeight="1" s="46">
      <c r="A449" s="23" t="n">
        <v>445</v>
      </c>
      <c r="B449" s="24" t="inlineStr">
        <is>
          <t>BD-HND-2023-0018</t>
        </is>
      </c>
      <c r="C449" s="25" t="inlineStr">
        <is>
          <t>Spacewood - Handle H380 - Stainless Steel - 897mm</t>
        </is>
      </c>
      <c r="D449" s="23" t="inlineStr">
        <is>
          <t>Spacewood</t>
        </is>
      </c>
      <c r="E449" s="43" t="n">
        <v>46125</v>
      </c>
      <c r="F449" s="26" t="inlineStr">
        <is>
          <t>Sunil CR</t>
        </is>
      </c>
      <c r="G449" s="44" t="inlineStr">
        <is>
          <t>Represented by Sample</t>
        </is>
      </c>
      <c r="H449" s="26" t="inlineStr">
        <is>
          <t>No</t>
        </is>
      </c>
      <c r="I449" s="44" t="inlineStr">
        <is>
          <t>Represented by Sample</t>
        </is>
      </c>
      <c r="J449" s="26" t="inlineStr">
        <is>
          <t>Yes</t>
        </is>
      </c>
      <c r="K449" s="27" t="n"/>
      <c r="L449" s="28" t="inlineStr">
        <is>
          <t>No</t>
        </is>
      </c>
      <c r="M449" s="29">
        <f>IF(E449="","",IF(H449="Yes","❌ Disc",IF(G449="No","⚠ Missing",IF(J449="Yes","✓ OK","⚠ Check"))))</f>
        <v/>
      </c>
      <c r="N449" s="43" t="n">
        <v>46196</v>
      </c>
      <c r="O449" s="26" t="inlineStr">
        <is>
          <t>Sunil CR</t>
        </is>
      </c>
      <c r="P449" s="44" t="inlineStr">
        <is>
          <t>Represented by Sample</t>
        </is>
      </c>
      <c r="Q449" s="26" t="inlineStr">
        <is>
          <t>No</t>
        </is>
      </c>
      <c r="R449" s="44" t="inlineStr">
        <is>
          <t>Represented by Sample</t>
        </is>
      </c>
      <c r="S449" s="26" t="inlineStr">
        <is>
          <t>Yes</t>
        </is>
      </c>
      <c r="T449" s="27" t="n"/>
      <c r="U449" s="28" t="inlineStr">
        <is>
          <t>No</t>
        </is>
      </c>
      <c r="V449" s="29">
        <f>IF(N449="","",IF(Q449="Yes","❌ Disc",IF(P449="No","⚠ Missing",IF(S449="Yes","✓ OK","⚠ Check"))))</f>
        <v/>
      </c>
      <c r="W449" s="65" t="n">
        <v>46248</v>
      </c>
      <c r="X449" s="30" t="inlineStr">
        <is>
          <t>Sunil CR</t>
        </is>
      </c>
      <c r="Y449" s="30" t="inlineStr">
        <is>
          <t>Represented by Sample</t>
        </is>
      </c>
      <c r="Z449" s="30" t="n"/>
      <c r="AA449" s="30" t="inlineStr">
        <is>
          <t>Represented by Sample</t>
        </is>
      </c>
      <c r="AB449" s="30" t="inlineStr">
        <is>
          <t>Yes</t>
        </is>
      </c>
      <c r="AC449" s="27" t="n"/>
      <c r="AD449" s="31" t="inlineStr">
        <is>
          <t>No</t>
        </is>
      </c>
      <c r="AE449" s="32">
        <f>IF(W449="","",IF(Z449="Yes","❌ Disc",IF(Y449="No","⚠ Missing",IF(AB449="Yes","✓ OK","⚠ Check"))))</f>
        <v/>
      </c>
      <c r="AF449" s="33" t="n"/>
      <c r="AG449" s="33" t="n"/>
      <c r="AH449" s="33" t="n"/>
      <c r="AI449" s="33" t="n"/>
      <c r="AJ449" s="33" t="n"/>
      <c r="AK449" s="33" t="n"/>
      <c r="AL449" s="27" t="n"/>
      <c r="AM449" s="34" t="n"/>
      <c r="AN449" s="35">
        <f>IF(AF449="","",IF(AI449="Yes","❌ Disc",IF(AH449="No","⚠ Missing",IF(AK449="Yes","✓ OK","⚠ Check"))))</f>
        <v/>
      </c>
      <c r="AO449" s="36" t="n"/>
      <c r="AP449" s="36" t="n"/>
      <c r="AQ449" s="36" t="n"/>
      <c r="AR449" s="36" t="n"/>
      <c r="AS449" s="36" t="n"/>
      <c r="AT449" s="36" t="n"/>
      <c r="AU449" s="27" t="n"/>
      <c r="AV449" s="37" t="n"/>
      <c r="AW449" s="38">
        <f>IF(AO449="","",IF(AR449="Yes","❌ Disc",IF(AQ449="No","⚠ Missing",IF(AT449="Yes","✓ OK","⚠ Check"))))</f>
        <v/>
      </c>
    </row>
    <row r="450" ht="18" customHeight="1" s="46">
      <c r="A450" s="39" t="n">
        <v>446</v>
      </c>
      <c r="B450" s="40" t="inlineStr">
        <is>
          <t>BD-HNA-2023-0247</t>
        </is>
      </c>
      <c r="C450" s="41" t="inlineStr">
        <is>
          <t>Spacewood - Handle H380 Anodized Black 197mm</t>
        </is>
      </c>
      <c r="D450" s="39" t="inlineStr">
        <is>
          <t>Spacewood</t>
        </is>
      </c>
      <c r="E450" s="43" t="n">
        <v>46125</v>
      </c>
      <c r="F450" s="26" t="inlineStr">
        <is>
          <t>Sunil CR</t>
        </is>
      </c>
      <c r="G450" s="44" t="inlineStr">
        <is>
          <t>Represented by Sample</t>
        </is>
      </c>
      <c r="H450" s="26" t="inlineStr">
        <is>
          <t>No</t>
        </is>
      </c>
      <c r="I450" s="44" t="inlineStr">
        <is>
          <t>Represented by Sample</t>
        </is>
      </c>
      <c r="J450" s="26" t="inlineStr">
        <is>
          <t>Yes</t>
        </is>
      </c>
      <c r="K450" s="27" t="n"/>
      <c r="L450" s="28" t="inlineStr">
        <is>
          <t>No</t>
        </is>
      </c>
      <c r="M450" s="29">
        <f>IF(E450="","",IF(H450="Yes","❌ Disc",IF(G450="No","⚠ Missing",IF(J450="Yes","✓ OK","⚠ Check"))))</f>
        <v/>
      </c>
      <c r="N450" s="43" t="n">
        <v>46196</v>
      </c>
      <c r="O450" s="26" t="inlineStr">
        <is>
          <t>Sunil CR</t>
        </is>
      </c>
      <c r="P450" s="44" t="inlineStr">
        <is>
          <t>Represented by Sample</t>
        </is>
      </c>
      <c r="Q450" s="26" t="inlineStr">
        <is>
          <t>No</t>
        </is>
      </c>
      <c r="R450" s="44" t="inlineStr">
        <is>
          <t>Represented by Sample</t>
        </is>
      </c>
      <c r="S450" s="26" t="inlineStr">
        <is>
          <t>Yes</t>
        </is>
      </c>
      <c r="T450" s="27" t="n"/>
      <c r="U450" s="28" t="inlineStr">
        <is>
          <t>No</t>
        </is>
      </c>
      <c r="V450" s="29">
        <f>IF(N450="","",IF(Q450="Yes","❌ Disc",IF(P450="No","⚠ Missing",IF(S450="Yes","✓ OK","⚠ Check"))))</f>
        <v/>
      </c>
      <c r="W450" s="65" t="n">
        <v>46248</v>
      </c>
      <c r="X450" s="30" t="inlineStr">
        <is>
          <t>Sunil CR</t>
        </is>
      </c>
      <c r="Y450" s="30" t="inlineStr">
        <is>
          <t>Represented by Sample</t>
        </is>
      </c>
      <c r="Z450" s="30" t="n"/>
      <c r="AA450" s="30" t="inlineStr">
        <is>
          <t>Represented by Sample</t>
        </is>
      </c>
      <c r="AB450" s="30" t="inlineStr">
        <is>
          <t>Yes</t>
        </is>
      </c>
      <c r="AC450" s="27" t="n"/>
      <c r="AD450" s="31" t="inlineStr">
        <is>
          <t>No</t>
        </is>
      </c>
      <c r="AE450" s="32">
        <f>IF(W450="","",IF(Z450="Yes","❌ Disc",IF(Y450="No","⚠ Missing",IF(AB450="Yes","✓ OK","⚠ Check"))))</f>
        <v/>
      </c>
      <c r="AF450" s="33" t="n"/>
      <c r="AG450" s="33" t="n"/>
      <c r="AH450" s="33" t="n"/>
      <c r="AI450" s="33" t="n"/>
      <c r="AJ450" s="33" t="n"/>
      <c r="AK450" s="33" t="n"/>
      <c r="AL450" s="27" t="n"/>
      <c r="AM450" s="34" t="n"/>
      <c r="AN450" s="35">
        <f>IF(AF450="","",IF(AI450="Yes","❌ Disc",IF(AH450="No","⚠ Missing",IF(AK450="Yes","✓ OK","⚠ Check"))))</f>
        <v/>
      </c>
      <c r="AO450" s="36" t="n"/>
      <c r="AP450" s="36" t="n"/>
      <c r="AQ450" s="36" t="n"/>
      <c r="AR450" s="36" t="n"/>
      <c r="AS450" s="36" t="n"/>
      <c r="AT450" s="36" t="n"/>
      <c r="AU450" s="27" t="n"/>
      <c r="AV450" s="37" t="n"/>
      <c r="AW450" s="38">
        <f>IF(AO450="","",IF(AR450="Yes","❌ Disc",IF(AQ450="No","⚠ Missing",IF(AT450="Yes","✓ OK","⚠ Check"))))</f>
        <v/>
      </c>
    </row>
    <row r="451" ht="18" customHeight="1" s="46">
      <c r="A451" s="23" t="n">
        <v>447</v>
      </c>
      <c r="B451" s="24" t="inlineStr">
        <is>
          <t>BD-HNA-2023-0246</t>
        </is>
      </c>
      <c r="C451" s="25" t="inlineStr">
        <is>
          <t>Spacewood - Handle H380 Stainless Steel 197mm</t>
        </is>
      </c>
      <c r="D451" s="23" t="inlineStr">
        <is>
          <t>Spacewood</t>
        </is>
      </c>
      <c r="E451" s="43" t="n">
        <v>46125</v>
      </c>
      <c r="F451" s="26" t="inlineStr">
        <is>
          <t>Sunil CR</t>
        </is>
      </c>
      <c r="G451" s="44" t="inlineStr">
        <is>
          <t>Represented by Sample</t>
        </is>
      </c>
      <c r="H451" s="26" t="inlineStr">
        <is>
          <t>No</t>
        </is>
      </c>
      <c r="I451" s="44" t="inlineStr">
        <is>
          <t>Represented by Sample</t>
        </is>
      </c>
      <c r="J451" s="26" t="inlineStr">
        <is>
          <t>Yes</t>
        </is>
      </c>
      <c r="K451" s="27" t="n"/>
      <c r="L451" s="28" t="inlineStr">
        <is>
          <t>No</t>
        </is>
      </c>
      <c r="M451" s="29">
        <f>IF(E451="","",IF(H451="Yes","❌ Disc",IF(G451="No","⚠ Missing",IF(J451="Yes","✓ OK","⚠ Check"))))</f>
        <v/>
      </c>
      <c r="N451" s="43" t="n">
        <v>46196</v>
      </c>
      <c r="O451" s="26" t="inlineStr">
        <is>
          <t>Sunil CR</t>
        </is>
      </c>
      <c r="P451" s="44" t="inlineStr">
        <is>
          <t>Represented by Sample</t>
        </is>
      </c>
      <c r="Q451" s="26" t="inlineStr">
        <is>
          <t>No</t>
        </is>
      </c>
      <c r="R451" s="44" t="inlineStr">
        <is>
          <t>Represented by Sample</t>
        </is>
      </c>
      <c r="S451" s="26" t="inlineStr">
        <is>
          <t>Yes</t>
        </is>
      </c>
      <c r="T451" s="27" t="n"/>
      <c r="U451" s="28" t="inlineStr">
        <is>
          <t>No</t>
        </is>
      </c>
      <c r="V451" s="29">
        <f>IF(N451="","",IF(Q451="Yes","❌ Disc",IF(P451="No","⚠ Missing",IF(S451="Yes","✓ OK","⚠ Check"))))</f>
        <v/>
      </c>
      <c r="W451" s="65" t="n">
        <v>46248</v>
      </c>
      <c r="X451" s="30" t="inlineStr">
        <is>
          <t>Sunil CR</t>
        </is>
      </c>
      <c r="Y451" s="30" t="inlineStr">
        <is>
          <t>Represented by Sample</t>
        </is>
      </c>
      <c r="Z451" s="30" t="n"/>
      <c r="AA451" s="30" t="inlineStr">
        <is>
          <t>Represented by Sample</t>
        </is>
      </c>
      <c r="AB451" s="30" t="inlineStr">
        <is>
          <t>Yes</t>
        </is>
      </c>
      <c r="AC451" s="27" t="n"/>
      <c r="AD451" s="31" t="inlineStr">
        <is>
          <t>No</t>
        </is>
      </c>
      <c r="AE451" s="32">
        <f>IF(W451="","",IF(Z451="Yes","❌ Disc",IF(Y451="No","⚠ Missing",IF(AB451="Yes","✓ OK","⚠ Check"))))</f>
        <v/>
      </c>
      <c r="AF451" s="33" t="n"/>
      <c r="AG451" s="33" t="n"/>
      <c r="AH451" s="33" t="n"/>
      <c r="AI451" s="33" t="n"/>
      <c r="AJ451" s="33" t="n"/>
      <c r="AK451" s="33" t="n"/>
      <c r="AL451" s="27" t="n"/>
      <c r="AM451" s="34" t="n"/>
      <c r="AN451" s="35">
        <f>IF(AF451="","",IF(AI451="Yes","❌ Disc",IF(AH451="No","⚠ Missing",IF(AK451="Yes","✓ OK","⚠ Check"))))</f>
        <v/>
      </c>
      <c r="AO451" s="36" t="n"/>
      <c r="AP451" s="36" t="n"/>
      <c r="AQ451" s="36" t="n"/>
      <c r="AR451" s="36" t="n"/>
      <c r="AS451" s="36" t="n"/>
      <c r="AT451" s="36" t="n"/>
      <c r="AU451" s="27" t="n"/>
      <c r="AV451" s="37" t="n"/>
      <c r="AW451" s="38">
        <f>IF(AO451="","",IF(AR451="Yes","❌ Disc",IF(AQ451="No","⚠ Missing",IF(AT451="Yes","✓ OK","⚠ Check"))))</f>
        <v/>
      </c>
    </row>
    <row r="452" ht="18" customHeight="1" s="46">
      <c r="A452" s="39" t="n">
        <v>448</v>
      </c>
      <c r="B452" s="40" t="inlineStr">
        <is>
          <t>BD-HND-2023-0151</t>
        </is>
      </c>
      <c r="C452" s="41" t="inlineStr">
        <is>
          <t>Bonito Designer Handles - Concealed Handles Kadi-1 Alloy/Black</t>
        </is>
      </c>
      <c r="D452" s="39" t="inlineStr">
        <is>
          <t>SUJIN</t>
        </is>
      </c>
      <c r="E452" s="43" t="n">
        <v>46125</v>
      </c>
      <c r="F452" s="26" t="inlineStr">
        <is>
          <t>Sunil CR</t>
        </is>
      </c>
      <c r="G452" s="44" t="inlineStr">
        <is>
          <t>No</t>
        </is>
      </c>
      <c r="H452" s="26" t="inlineStr">
        <is>
          <t>No</t>
        </is>
      </c>
      <c r="I452" s="44" t="inlineStr">
        <is>
          <t>Not Available</t>
        </is>
      </c>
      <c r="J452" s="26" t="inlineStr">
        <is>
          <t>No</t>
        </is>
      </c>
      <c r="K452" s="27" t="n"/>
      <c r="L452" s="28" t="inlineStr">
        <is>
          <t>Yes</t>
        </is>
      </c>
      <c r="M452" s="29">
        <f>IF(E452="","",IF(H452="Yes","❌ Disc",IF(G452="No","⚠ Missing",IF(J452="Yes","✓ OK","⚠ Check"))))</f>
        <v/>
      </c>
      <c r="N452" s="43" t="n">
        <v>46196</v>
      </c>
      <c r="O452" s="26" t="inlineStr">
        <is>
          <t>Sunil CR</t>
        </is>
      </c>
      <c r="P452" s="44" t="inlineStr">
        <is>
          <t>No</t>
        </is>
      </c>
      <c r="Q452" s="26" t="inlineStr">
        <is>
          <t>No</t>
        </is>
      </c>
      <c r="R452" s="44" t="inlineStr">
        <is>
          <t>Not Available</t>
        </is>
      </c>
      <c r="S452" s="26" t="inlineStr">
        <is>
          <t>No</t>
        </is>
      </c>
      <c r="T452" s="27" t="n"/>
      <c r="U452" s="28" t="inlineStr">
        <is>
          <t>Yes</t>
        </is>
      </c>
      <c r="V452" s="29">
        <f>IF(N452="","",IF(Q452="Yes","❌ Disc",IF(P452="No","⚠ Missing",IF(S452="Yes","✓ OK","⚠ Check"))))</f>
        <v/>
      </c>
      <c r="W452" s="65" t="n">
        <v>46248</v>
      </c>
      <c r="X452" s="30" t="inlineStr">
        <is>
          <t>Sunil CR</t>
        </is>
      </c>
      <c r="Y452" s="30" t="inlineStr">
        <is>
          <t>No</t>
        </is>
      </c>
      <c r="Z452" s="30" t="n"/>
      <c r="AA452" s="30" t="inlineStr">
        <is>
          <t>Not Available</t>
        </is>
      </c>
      <c r="AB452" s="30" t="inlineStr">
        <is>
          <t>No</t>
        </is>
      </c>
      <c r="AC452" s="27" t="n"/>
      <c r="AD452" s="31" t="inlineStr">
        <is>
          <t>Yes</t>
        </is>
      </c>
      <c r="AE452" s="32">
        <f>IF(W452="","",IF(Z452="Yes","❌ Disc",IF(Y452="No","⚠ Missing",IF(AB452="Yes","✓ OK","⚠ Check"))))</f>
        <v/>
      </c>
      <c r="AF452" s="33" t="n"/>
      <c r="AG452" s="33" t="n"/>
      <c r="AH452" s="33" t="n"/>
      <c r="AI452" s="33" t="n"/>
      <c r="AJ452" s="33" t="n"/>
      <c r="AK452" s="33" t="n"/>
      <c r="AL452" s="27" t="n"/>
      <c r="AM452" s="34" t="n"/>
      <c r="AN452" s="35">
        <f>IF(AF452="","",IF(AI452="Yes","❌ Disc",IF(AH452="No","⚠ Missing",IF(AK452="Yes","✓ OK","⚠ Check"))))</f>
        <v/>
      </c>
      <c r="AO452" s="36" t="n"/>
      <c r="AP452" s="36" t="n"/>
      <c r="AQ452" s="36" t="n"/>
      <c r="AR452" s="36" t="n"/>
      <c r="AS452" s="36" t="n"/>
      <c r="AT452" s="36" t="n"/>
      <c r="AU452" s="27" t="n"/>
      <c r="AV452" s="37" t="n"/>
      <c r="AW452" s="38">
        <f>IF(AO452="","",IF(AR452="Yes","❌ Disc",IF(AQ452="No","⚠ Missing",IF(AT452="Yes","✓ OK","⚠ Check"))))</f>
        <v/>
      </c>
    </row>
    <row r="453" ht="18" customHeight="1" s="46">
      <c r="A453" s="23" t="n">
        <v>449</v>
      </c>
      <c r="B453" s="24" t="inlineStr">
        <is>
          <t>BD-HND-2023-0150</t>
        </is>
      </c>
      <c r="C453" s="25" t="inlineStr">
        <is>
          <t>Bonito Designer Handles - Concealed Handles Kadi-1 B/A</t>
        </is>
      </c>
      <c r="D453" s="23" t="inlineStr">
        <is>
          <t>SUJIN</t>
        </is>
      </c>
      <c r="E453" s="43" t="n">
        <v>46125</v>
      </c>
      <c r="F453" s="26" t="inlineStr">
        <is>
          <t>Sunil CR</t>
        </is>
      </c>
      <c r="G453" s="44" t="inlineStr">
        <is>
          <t>No</t>
        </is>
      </c>
      <c r="H453" s="26" t="inlineStr">
        <is>
          <t>No</t>
        </is>
      </c>
      <c r="I453" s="44" t="inlineStr">
        <is>
          <t>Not Available</t>
        </is>
      </c>
      <c r="J453" s="26" t="inlineStr">
        <is>
          <t>No</t>
        </is>
      </c>
      <c r="K453" s="27" t="n"/>
      <c r="L453" s="28" t="inlineStr">
        <is>
          <t>Yes</t>
        </is>
      </c>
      <c r="M453" s="29">
        <f>IF(E453="","",IF(H453="Yes","❌ Disc",IF(G453="No","⚠ Missing",IF(J453="Yes","✓ OK","⚠ Check"))))</f>
        <v/>
      </c>
      <c r="N453" s="43" t="n">
        <v>46196</v>
      </c>
      <c r="O453" s="26" t="inlineStr">
        <is>
          <t>Sunil CR</t>
        </is>
      </c>
      <c r="P453" s="44" t="inlineStr">
        <is>
          <t>No</t>
        </is>
      </c>
      <c r="Q453" s="26" t="inlineStr">
        <is>
          <t>No</t>
        </is>
      </c>
      <c r="R453" s="44" t="inlineStr">
        <is>
          <t>Not Available</t>
        </is>
      </c>
      <c r="S453" s="26" t="inlineStr">
        <is>
          <t>No</t>
        </is>
      </c>
      <c r="T453" s="27" t="n"/>
      <c r="U453" s="28" t="inlineStr">
        <is>
          <t>Yes</t>
        </is>
      </c>
      <c r="V453" s="29">
        <f>IF(N453="","",IF(Q453="Yes","❌ Disc",IF(P453="No","⚠ Missing",IF(S453="Yes","✓ OK","⚠ Check"))))</f>
        <v/>
      </c>
      <c r="W453" s="65" t="n">
        <v>46248</v>
      </c>
      <c r="X453" s="30" t="inlineStr">
        <is>
          <t>Sunil CR</t>
        </is>
      </c>
      <c r="Y453" s="30" t="inlineStr">
        <is>
          <t>No</t>
        </is>
      </c>
      <c r="Z453" s="30" t="n"/>
      <c r="AA453" s="30" t="inlineStr">
        <is>
          <t>Not Available</t>
        </is>
      </c>
      <c r="AB453" s="30" t="inlineStr">
        <is>
          <t>No</t>
        </is>
      </c>
      <c r="AC453" s="27" t="n"/>
      <c r="AD453" s="31" t="inlineStr">
        <is>
          <t>Yes</t>
        </is>
      </c>
      <c r="AE453" s="32">
        <f>IF(W453="","",IF(Z453="Yes","❌ Disc",IF(Y453="No","⚠ Missing",IF(AB453="Yes","✓ OK","⚠ Check"))))</f>
        <v/>
      </c>
      <c r="AF453" s="33" t="n"/>
      <c r="AG453" s="33" t="n"/>
      <c r="AH453" s="33" t="n"/>
      <c r="AI453" s="33" t="n"/>
      <c r="AJ453" s="33" t="n"/>
      <c r="AK453" s="33" t="n"/>
      <c r="AL453" s="27" t="n"/>
      <c r="AM453" s="34" t="n"/>
      <c r="AN453" s="35">
        <f>IF(AF453="","",IF(AI453="Yes","❌ Disc",IF(AH453="No","⚠ Missing",IF(AK453="Yes","✓ OK","⚠ Check"))))</f>
        <v/>
      </c>
      <c r="AO453" s="36" t="n"/>
      <c r="AP453" s="36" t="n"/>
      <c r="AQ453" s="36" t="n"/>
      <c r="AR453" s="36" t="n"/>
      <c r="AS453" s="36" t="n"/>
      <c r="AT453" s="36" t="n"/>
      <c r="AU453" s="27" t="n"/>
      <c r="AV453" s="37" t="n"/>
      <c r="AW453" s="38">
        <f>IF(AO453="","",IF(AR453="Yes","❌ Disc",IF(AQ453="No","⚠ Missing",IF(AT453="Yes","✓ OK","⚠ Check"))))</f>
        <v/>
      </c>
    </row>
    <row r="454" ht="18" customHeight="1" s="46">
      <c r="A454" s="39" t="n">
        <v>450</v>
      </c>
      <c r="B454" s="40" t="inlineStr">
        <is>
          <t>BD-HND-2023-0147</t>
        </is>
      </c>
      <c r="C454" s="41" t="inlineStr">
        <is>
          <t>Bonito Designer Handles - Concealed Handles Kadi-1 Black/TT</t>
        </is>
      </c>
      <c r="D454" s="39" t="inlineStr">
        <is>
          <t>SUJIN</t>
        </is>
      </c>
      <c r="E454" s="43" t="n">
        <v>46125</v>
      </c>
      <c r="F454" s="26" t="inlineStr">
        <is>
          <t>Sunil CR</t>
        </is>
      </c>
      <c r="G454" s="44" t="inlineStr">
        <is>
          <t>No</t>
        </is>
      </c>
      <c r="H454" s="26" t="inlineStr">
        <is>
          <t>No</t>
        </is>
      </c>
      <c r="I454" s="44" t="inlineStr">
        <is>
          <t>Not Available</t>
        </is>
      </c>
      <c r="J454" s="26" t="inlineStr">
        <is>
          <t>No</t>
        </is>
      </c>
      <c r="K454" s="27" t="n"/>
      <c r="L454" s="28" t="inlineStr">
        <is>
          <t>Yes</t>
        </is>
      </c>
      <c r="M454" s="29">
        <f>IF(E454="","",IF(H454="Yes","❌ Disc",IF(G454="No","⚠ Missing",IF(J454="Yes","✓ OK","⚠ Check"))))</f>
        <v/>
      </c>
      <c r="N454" s="43" t="n">
        <v>46196</v>
      </c>
      <c r="O454" s="26" t="inlineStr">
        <is>
          <t>Sunil CR</t>
        </is>
      </c>
      <c r="P454" s="44" t="inlineStr">
        <is>
          <t>No</t>
        </is>
      </c>
      <c r="Q454" s="26" t="inlineStr">
        <is>
          <t>No</t>
        </is>
      </c>
      <c r="R454" s="44" t="inlineStr">
        <is>
          <t>Not Available</t>
        </is>
      </c>
      <c r="S454" s="26" t="inlineStr">
        <is>
          <t>No</t>
        </is>
      </c>
      <c r="T454" s="27" t="n"/>
      <c r="U454" s="28" t="inlineStr">
        <is>
          <t>Yes</t>
        </is>
      </c>
      <c r="V454" s="29">
        <f>IF(N454="","",IF(Q454="Yes","❌ Disc",IF(P454="No","⚠ Missing",IF(S454="Yes","✓ OK","⚠ Check"))))</f>
        <v/>
      </c>
      <c r="W454" s="65" t="n">
        <v>46248</v>
      </c>
      <c r="X454" s="30" t="inlineStr">
        <is>
          <t>Sunil CR</t>
        </is>
      </c>
      <c r="Y454" s="30" t="inlineStr">
        <is>
          <t>No</t>
        </is>
      </c>
      <c r="Z454" s="30" t="n"/>
      <c r="AA454" s="30" t="inlineStr">
        <is>
          <t>Not Available</t>
        </is>
      </c>
      <c r="AB454" s="30" t="inlineStr">
        <is>
          <t>No</t>
        </is>
      </c>
      <c r="AC454" s="27" t="n"/>
      <c r="AD454" s="31" t="inlineStr">
        <is>
          <t>Yes</t>
        </is>
      </c>
      <c r="AE454" s="32">
        <f>IF(W454="","",IF(Z454="Yes","❌ Disc",IF(Y454="No","⚠ Missing",IF(AB454="Yes","✓ OK","⚠ Check"))))</f>
        <v/>
      </c>
      <c r="AF454" s="33" t="n"/>
      <c r="AG454" s="33" t="n"/>
      <c r="AH454" s="33" t="n"/>
      <c r="AI454" s="33" t="n"/>
      <c r="AJ454" s="33" t="n"/>
      <c r="AK454" s="33" t="n"/>
      <c r="AL454" s="27" t="n"/>
      <c r="AM454" s="34" t="n"/>
      <c r="AN454" s="35">
        <f>IF(AF454="","",IF(AI454="Yes","❌ Disc",IF(AH454="No","⚠ Missing",IF(AK454="Yes","✓ OK","⚠ Check"))))</f>
        <v/>
      </c>
      <c r="AO454" s="36" t="n"/>
      <c r="AP454" s="36" t="n"/>
      <c r="AQ454" s="36" t="n"/>
      <c r="AR454" s="36" t="n"/>
      <c r="AS454" s="36" t="n"/>
      <c r="AT454" s="36" t="n"/>
      <c r="AU454" s="27" t="n"/>
      <c r="AV454" s="37" t="n"/>
      <c r="AW454" s="38">
        <f>IF(AO454="","",IF(AR454="Yes","❌ Disc",IF(AQ454="No","⚠ Missing",IF(AT454="Yes","✓ OK","⚠ Check"))))</f>
        <v/>
      </c>
    </row>
    <row r="455" ht="18" customHeight="1" s="46">
      <c r="A455" s="23" t="n">
        <v>451</v>
      </c>
      <c r="B455" s="24" t="inlineStr">
        <is>
          <t>BD-HND-2023-0149</t>
        </is>
      </c>
      <c r="C455" s="25" t="inlineStr">
        <is>
          <t>Bonito Designer Handles - Concealed Handles Kadi-1 Cubic/CP</t>
        </is>
      </c>
      <c r="D455" s="23" t="inlineStr">
        <is>
          <t>SUJIN</t>
        </is>
      </c>
      <c r="E455" s="43" t="n">
        <v>46125</v>
      </c>
      <c r="F455" s="26" t="inlineStr">
        <is>
          <t>Sunil CR</t>
        </is>
      </c>
      <c r="G455" s="44" t="inlineStr">
        <is>
          <t>No</t>
        </is>
      </c>
      <c r="H455" s="26" t="inlineStr">
        <is>
          <t>No</t>
        </is>
      </c>
      <c r="I455" s="44" t="inlineStr">
        <is>
          <t>Not Available</t>
        </is>
      </c>
      <c r="J455" s="26" t="inlineStr">
        <is>
          <t>No</t>
        </is>
      </c>
      <c r="K455" s="27" t="n"/>
      <c r="L455" s="28" t="inlineStr">
        <is>
          <t>Yes</t>
        </is>
      </c>
      <c r="M455" s="29">
        <f>IF(E455="","",IF(H455="Yes","❌ Disc",IF(G455="No","⚠ Missing",IF(J455="Yes","✓ OK","⚠ Check"))))</f>
        <v/>
      </c>
      <c r="N455" s="43" t="n">
        <v>46196</v>
      </c>
      <c r="O455" s="26" t="inlineStr">
        <is>
          <t>Sunil CR</t>
        </is>
      </c>
      <c r="P455" s="44" t="inlineStr">
        <is>
          <t>No</t>
        </is>
      </c>
      <c r="Q455" s="26" t="inlineStr">
        <is>
          <t>No</t>
        </is>
      </c>
      <c r="R455" s="44" t="inlineStr">
        <is>
          <t>Not Available</t>
        </is>
      </c>
      <c r="S455" s="26" t="inlineStr">
        <is>
          <t>No</t>
        </is>
      </c>
      <c r="T455" s="27" t="n"/>
      <c r="U455" s="28" t="inlineStr">
        <is>
          <t>Yes</t>
        </is>
      </c>
      <c r="V455" s="29">
        <f>IF(N455="","",IF(Q455="Yes","❌ Disc",IF(P455="No","⚠ Missing",IF(S455="Yes","✓ OK","⚠ Check"))))</f>
        <v/>
      </c>
      <c r="W455" s="65" t="n">
        <v>46248</v>
      </c>
      <c r="X455" s="30" t="inlineStr">
        <is>
          <t>Sunil CR</t>
        </is>
      </c>
      <c r="Y455" s="30" t="inlineStr">
        <is>
          <t>No</t>
        </is>
      </c>
      <c r="Z455" s="30" t="n"/>
      <c r="AA455" s="30" t="inlineStr">
        <is>
          <t>Not Available</t>
        </is>
      </c>
      <c r="AB455" s="30" t="inlineStr">
        <is>
          <t>No</t>
        </is>
      </c>
      <c r="AC455" s="27" t="n"/>
      <c r="AD455" s="31" t="inlineStr">
        <is>
          <t>Yes</t>
        </is>
      </c>
      <c r="AE455" s="32">
        <f>IF(W455="","",IF(Z455="Yes","❌ Disc",IF(Y455="No","⚠ Missing",IF(AB455="Yes","✓ OK","⚠ Check"))))</f>
        <v/>
      </c>
      <c r="AF455" s="33" t="n"/>
      <c r="AG455" s="33" t="n"/>
      <c r="AH455" s="33" t="n"/>
      <c r="AI455" s="33" t="n"/>
      <c r="AJ455" s="33" t="n"/>
      <c r="AK455" s="33" t="n"/>
      <c r="AL455" s="27" t="n"/>
      <c r="AM455" s="34" t="n"/>
      <c r="AN455" s="35">
        <f>IF(AF455="","",IF(AI455="Yes","❌ Disc",IF(AH455="No","⚠ Missing",IF(AK455="Yes","✓ OK","⚠ Check"))))</f>
        <v/>
      </c>
      <c r="AO455" s="36" t="n"/>
      <c r="AP455" s="36" t="n"/>
      <c r="AQ455" s="36" t="n"/>
      <c r="AR455" s="36" t="n"/>
      <c r="AS455" s="36" t="n"/>
      <c r="AT455" s="36" t="n"/>
      <c r="AU455" s="27" t="n"/>
      <c r="AV455" s="37" t="n"/>
      <c r="AW455" s="38">
        <f>IF(AO455="","",IF(AR455="Yes","❌ Disc",IF(AQ455="No","⚠ Missing",IF(AT455="Yes","✓ OK","⚠ Check"))))</f>
        <v/>
      </c>
    </row>
    <row r="456" ht="18" customHeight="1" s="46">
      <c r="A456" s="39" t="n">
        <v>452</v>
      </c>
      <c r="B456" s="40" t="inlineStr">
        <is>
          <t>BD-HND-2023-0152</t>
        </is>
      </c>
      <c r="C456" s="41" t="inlineStr">
        <is>
          <t>Bonito Designer Handles - Concealed Handles Kadi-1 Matt/Black</t>
        </is>
      </c>
      <c r="D456" s="39" t="inlineStr">
        <is>
          <t>SUJIN</t>
        </is>
      </c>
      <c r="E456" s="43" t="n">
        <v>46125</v>
      </c>
      <c r="F456" s="26" t="inlineStr">
        <is>
          <t>Sunil CR</t>
        </is>
      </c>
      <c r="G456" s="44" t="inlineStr">
        <is>
          <t>No</t>
        </is>
      </c>
      <c r="H456" s="26" t="inlineStr">
        <is>
          <t>No</t>
        </is>
      </c>
      <c r="I456" s="44" t="inlineStr">
        <is>
          <t>Not Available</t>
        </is>
      </c>
      <c r="J456" s="26" t="inlineStr">
        <is>
          <t>No</t>
        </is>
      </c>
      <c r="K456" s="27" t="n"/>
      <c r="L456" s="28" t="inlineStr">
        <is>
          <t>Yes</t>
        </is>
      </c>
      <c r="M456" s="29">
        <f>IF(E456="","",IF(H456="Yes","❌ Disc",IF(G456="No","⚠ Missing",IF(J456="Yes","✓ OK","⚠ Check"))))</f>
        <v/>
      </c>
      <c r="N456" s="43" t="n">
        <v>46196</v>
      </c>
      <c r="O456" s="26" t="inlineStr">
        <is>
          <t>Sunil CR</t>
        </is>
      </c>
      <c r="P456" s="44" t="inlineStr">
        <is>
          <t>No</t>
        </is>
      </c>
      <c r="Q456" s="26" t="inlineStr">
        <is>
          <t>No</t>
        </is>
      </c>
      <c r="R456" s="44" t="inlineStr">
        <is>
          <t>Not Available</t>
        </is>
      </c>
      <c r="S456" s="26" t="inlineStr">
        <is>
          <t>No</t>
        </is>
      </c>
      <c r="T456" s="27" t="n"/>
      <c r="U456" s="28" t="inlineStr">
        <is>
          <t>Yes</t>
        </is>
      </c>
      <c r="V456" s="29">
        <f>IF(N456="","",IF(Q456="Yes","❌ Disc",IF(P456="No","⚠ Missing",IF(S456="Yes","✓ OK","⚠ Check"))))</f>
        <v/>
      </c>
      <c r="W456" s="65" t="n">
        <v>46248</v>
      </c>
      <c r="X456" s="30" t="inlineStr">
        <is>
          <t>Sunil CR</t>
        </is>
      </c>
      <c r="Y456" s="30" t="inlineStr">
        <is>
          <t>No</t>
        </is>
      </c>
      <c r="Z456" s="30" t="n"/>
      <c r="AA456" s="30" t="inlineStr">
        <is>
          <t>Not Available</t>
        </is>
      </c>
      <c r="AB456" s="30" t="inlineStr">
        <is>
          <t>No</t>
        </is>
      </c>
      <c r="AC456" s="27" t="n"/>
      <c r="AD456" s="31" t="inlineStr">
        <is>
          <t>Yes</t>
        </is>
      </c>
      <c r="AE456" s="32">
        <f>IF(W456="","",IF(Z456="Yes","❌ Disc",IF(Y456="No","⚠ Missing",IF(AB456="Yes","✓ OK","⚠ Check"))))</f>
        <v/>
      </c>
      <c r="AF456" s="33" t="n"/>
      <c r="AG456" s="33" t="n"/>
      <c r="AH456" s="33" t="n"/>
      <c r="AI456" s="33" t="n"/>
      <c r="AJ456" s="33" t="n"/>
      <c r="AK456" s="33" t="n"/>
      <c r="AL456" s="27" t="n"/>
      <c r="AM456" s="34" t="n"/>
      <c r="AN456" s="35">
        <f>IF(AF456="","",IF(AI456="Yes","❌ Disc",IF(AH456="No","⚠ Missing",IF(AK456="Yes","✓ OK","⚠ Check"))))</f>
        <v/>
      </c>
      <c r="AO456" s="36" t="n"/>
      <c r="AP456" s="36" t="n"/>
      <c r="AQ456" s="36" t="n"/>
      <c r="AR456" s="36" t="n"/>
      <c r="AS456" s="36" t="n"/>
      <c r="AT456" s="36" t="n"/>
      <c r="AU456" s="27" t="n"/>
      <c r="AV456" s="37" t="n"/>
      <c r="AW456" s="38">
        <f>IF(AO456="","",IF(AR456="Yes","❌ Disc",IF(AQ456="No","⚠ Missing",IF(AT456="Yes","✓ OK","⚠ Check"))))</f>
        <v/>
      </c>
    </row>
    <row r="457" ht="18" customHeight="1" s="46">
      <c r="A457" s="23" t="n">
        <v>453</v>
      </c>
      <c r="B457" s="24" t="inlineStr">
        <is>
          <t>BD-HND-2023-0148</t>
        </is>
      </c>
      <c r="C457" s="25" t="inlineStr">
        <is>
          <t>Bonito Designer Handles - Concealed Handles Kadi-1 Rose/TT</t>
        </is>
      </c>
      <c r="D457" s="23" t="inlineStr">
        <is>
          <t>SUJIN</t>
        </is>
      </c>
      <c r="E457" s="43" t="n">
        <v>46125</v>
      </c>
      <c r="F457" s="26" t="inlineStr">
        <is>
          <t>Sunil CR</t>
        </is>
      </c>
      <c r="G457" s="44" t="inlineStr">
        <is>
          <t>No</t>
        </is>
      </c>
      <c r="H457" s="26" t="inlineStr">
        <is>
          <t>No</t>
        </is>
      </c>
      <c r="I457" s="44" t="inlineStr">
        <is>
          <t>Not Available</t>
        </is>
      </c>
      <c r="J457" s="26" t="inlineStr">
        <is>
          <t>No</t>
        </is>
      </c>
      <c r="K457" s="27" t="n"/>
      <c r="L457" s="28" t="inlineStr">
        <is>
          <t>Yes</t>
        </is>
      </c>
      <c r="M457" s="29">
        <f>IF(E457="","",IF(H457="Yes","❌ Disc",IF(G457="No","⚠ Missing",IF(J457="Yes","✓ OK","⚠ Check"))))</f>
        <v/>
      </c>
      <c r="N457" s="43" t="n">
        <v>46196</v>
      </c>
      <c r="O457" s="26" t="inlineStr">
        <is>
          <t>Sunil CR</t>
        </is>
      </c>
      <c r="P457" s="44" t="inlineStr">
        <is>
          <t>No</t>
        </is>
      </c>
      <c r="Q457" s="26" t="inlineStr">
        <is>
          <t>No</t>
        </is>
      </c>
      <c r="R457" s="44" t="inlineStr">
        <is>
          <t>Not Available</t>
        </is>
      </c>
      <c r="S457" s="26" t="inlineStr">
        <is>
          <t>No</t>
        </is>
      </c>
      <c r="T457" s="27" t="n"/>
      <c r="U457" s="28" t="inlineStr">
        <is>
          <t>Yes</t>
        </is>
      </c>
      <c r="V457" s="29">
        <f>IF(N457="","",IF(Q457="Yes","❌ Disc",IF(P457="No","⚠ Missing",IF(S457="Yes","✓ OK","⚠ Check"))))</f>
        <v/>
      </c>
      <c r="W457" s="65" t="n">
        <v>46248</v>
      </c>
      <c r="X457" s="30" t="inlineStr">
        <is>
          <t>Sunil CR</t>
        </is>
      </c>
      <c r="Y457" s="30" t="inlineStr">
        <is>
          <t>No</t>
        </is>
      </c>
      <c r="Z457" s="30" t="n"/>
      <c r="AA457" s="30" t="inlineStr">
        <is>
          <t>Not Available</t>
        </is>
      </c>
      <c r="AB457" s="30" t="inlineStr">
        <is>
          <t>No</t>
        </is>
      </c>
      <c r="AC457" s="27" t="n"/>
      <c r="AD457" s="31" t="inlineStr">
        <is>
          <t>Yes</t>
        </is>
      </c>
      <c r="AE457" s="32">
        <f>IF(W457="","",IF(Z457="Yes","❌ Disc",IF(Y457="No","⚠ Missing",IF(AB457="Yes","✓ OK","⚠ Check"))))</f>
        <v/>
      </c>
      <c r="AF457" s="33" t="n"/>
      <c r="AG457" s="33" t="n"/>
      <c r="AH457" s="33" t="n"/>
      <c r="AI457" s="33" t="n"/>
      <c r="AJ457" s="33" t="n"/>
      <c r="AK457" s="33" t="n"/>
      <c r="AL457" s="27" t="n"/>
      <c r="AM457" s="34" t="n"/>
      <c r="AN457" s="35">
        <f>IF(AF457="","",IF(AI457="Yes","❌ Disc",IF(AH457="No","⚠ Missing",IF(AK457="Yes","✓ OK","⚠ Check"))))</f>
        <v/>
      </c>
      <c r="AO457" s="36" t="n"/>
      <c r="AP457" s="36" t="n"/>
      <c r="AQ457" s="36" t="n"/>
      <c r="AR457" s="36" t="n"/>
      <c r="AS457" s="36" t="n"/>
      <c r="AT457" s="36" t="n"/>
      <c r="AU457" s="27" t="n"/>
      <c r="AV457" s="37" t="n"/>
      <c r="AW457" s="38">
        <f>IF(AO457="","",IF(AR457="Yes","❌ Disc",IF(AQ457="No","⚠ Missing",IF(AT457="Yes","✓ OK","⚠ Check"))))</f>
        <v/>
      </c>
    </row>
    <row r="458" ht="18" customHeight="1" s="46">
      <c r="A458" s="39" t="n">
        <v>454</v>
      </c>
      <c r="B458" s="40" t="inlineStr">
        <is>
          <t>BD-HND-2023-0146</t>
        </is>
      </c>
      <c r="C458" s="41" t="inlineStr">
        <is>
          <t>Bonito Designer Handles - Concealed Handles Kadi-1 Satin/CP</t>
        </is>
      </c>
      <c r="D458" s="39" t="inlineStr">
        <is>
          <t>SUJIN</t>
        </is>
      </c>
      <c r="E458" s="43" t="n">
        <v>46125</v>
      </c>
      <c r="F458" s="26" t="inlineStr">
        <is>
          <t>Sunil CR</t>
        </is>
      </c>
      <c r="G458" s="44" t="inlineStr">
        <is>
          <t>No</t>
        </is>
      </c>
      <c r="H458" s="26" t="inlineStr">
        <is>
          <t>No</t>
        </is>
      </c>
      <c r="I458" s="44" t="inlineStr">
        <is>
          <t>Not Available</t>
        </is>
      </c>
      <c r="J458" s="26" t="inlineStr">
        <is>
          <t>No</t>
        </is>
      </c>
      <c r="K458" s="27" t="n"/>
      <c r="L458" s="28" t="inlineStr">
        <is>
          <t>Yes</t>
        </is>
      </c>
      <c r="M458" s="29">
        <f>IF(E458="","",IF(H458="Yes","❌ Disc",IF(G458="No","⚠ Missing",IF(J458="Yes","✓ OK","⚠ Check"))))</f>
        <v/>
      </c>
      <c r="N458" s="43" t="n">
        <v>46196</v>
      </c>
      <c r="O458" s="26" t="inlineStr">
        <is>
          <t>Sunil CR</t>
        </is>
      </c>
      <c r="P458" s="44" t="inlineStr">
        <is>
          <t>No</t>
        </is>
      </c>
      <c r="Q458" s="26" t="inlineStr">
        <is>
          <t>No</t>
        </is>
      </c>
      <c r="R458" s="44" t="inlineStr">
        <is>
          <t>Not Available</t>
        </is>
      </c>
      <c r="S458" s="26" t="inlineStr">
        <is>
          <t>No</t>
        </is>
      </c>
      <c r="T458" s="27" t="n"/>
      <c r="U458" s="28" t="inlineStr">
        <is>
          <t>Yes</t>
        </is>
      </c>
      <c r="V458" s="29">
        <f>IF(N458="","",IF(Q458="Yes","❌ Disc",IF(P458="No","⚠ Missing",IF(S458="Yes","✓ OK","⚠ Check"))))</f>
        <v/>
      </c>
      <c r="W458" s="65" t="n">
        <v>46248</v>
      </c>
      <c r="X458" s="30" t="inlineStr">
        <is>
          <t>Sunil CR</t>
        </is>
      </c>
      <c r="Y458" s="30" t="inlineStr">
        <is>
          <t>No</t>
        </is>
      </c>
      <c r="Z458" s="30" t="n"/>
      <c r="AA458" s="30" t="inlineStr">
        <is>
          <t>Not Available</t>
        </is>
      </c>
      <c r="AB458" s="30" t="inlineStr">
        <is>
          <t>No</t>
        </is>
      </c>
      <c r="AC458" s="27" t="n"/>
      <c r="AD458" s="31" t="inlineStr">
        <is>
          <t>Yes</t>
        </is>
      </c>
      <c r="AE458" s="32">
        <f>IF(W458="","",IF(Z458="Yes","❌ Disc",IF(Y458="No","⚠ Missing",IF(AB458="Yes","✓ OK","⚠ Check"))))</f>
        <v/>
      </c>
      <c r="AF458" s="33" t="n"/>
      <c r="AG458" s="33" t="n"/>
      <c r="AH458" s="33" t="n"/>
      <c r="AI458" s="33" t="n"/>
      <c r="AJ458" s="33" t="n"/>
      <c r="AK458" s="33" t="n"/>
      <c r="AL458" s="27" t="n"/>
      <c r="AM458" s="34" t="n"/>
      <c r="AN458" s="35">
        <f>IF(AF458="","",IF(AI458="Yes","❌ Disc",IF(AH458="No","⚠ Missing",IF(AK458="Yes","✓ OK","⚠ Check"))))</f>
        <v/>
      </c>
      <c r="AO458" s="36" t="n"/>
      <c r="AP458" s="36" t="n"/>
      <c r="AQ458" s="36" t="n"/>
      <c r="AR458" s="36" t="n"/>
      <c r="AS458" s="36" t="n"/>
      <c r="AT458" s="36" t="n"/>
      <c r="AU458" s="27" t="n"/>
      <c r="AV458" s="37" t="n"/>
      <c r="AW458" s="38">
        <f>IF(AO458="","",IF(AR458="Yes","❌ Disc",IF(AQ458="No","⚠ Missing",IF(AT458="Yes","✓ OK","⚠ Check"))))</f>
        <v/>
      </c>
    </row>
    <row r="459" ht="18" customHeight="1" s="46">
      <c r="A459" s="23" t="n">
        <v>455</v>
      </c>
      <c r="B459" s="24" t="inlineStr">
        <is>
          <t>BD-HND-2023-0158</t>
        </is>
      </c>
      <c r="C459" s="25" t="inlineStr">
        <is>
          <t>Bonito Designer Handles - Concealed Handles Kadi-3 Alloy/Black</t>
        </is>
      </c>
      <c r="D459" s="23" t="inlineStr">
        <is>
          <t>SUJIN</t>
        </is>
      </c>
      <c r="E459" s="43" t="n">
        <v>46125</v>
      </c>
      <c r="F459" s="26" t="inlineStr">
        <is>
          <t>Sunil CR</t>
        </is>
      </c>
      <c r="G459" s="44" t="inlineStr">
        <is>
          <t>No</t>
        </is>
      </c>
      <c r="H459" s="26" t="inlineStr">
        <is>
          <t>No</t>
        </is>
      </c>
      <c r="I459" s="44" t="inlineStr">
        <is>
          <t>Not Available</t>
        </is>
      </c>
      <c r="J459" s="26" t="inlineStr">
        <is>
          <t>No</t>
        </is>
      </c>
      <c r="K459" s="27" t="n"/>
      <c r="L459" s="28" t="inlineStr">
        <is>
          <t>Yes</t>
        </is>
      </c>
      <c r="M459" s="29">
        <f>IF(E459="","",IF(H459="Yes","❌ Disc",IF(G459="No","⚠ Missing",IF(J459="Yes","✓ OK","⚠ Check"))))</f>
        <v/>
      </c>
      <c r="N459" s="43" t="n">
        <v>46196</v>
      </c>
      <c r="O459" s="26" t="inlineStr">
        <is>
          <t>Sunil CR</t>
        </is>
      </c>
      <c r="P459" s="44" t="inlineStr">
        <is>
          <t>No</t>
        </is>
      </c>
      <c r="Q459" s="26" t="inlineStr">
        <is>
          <t>No</t>
        </is>
      </c>
      <c r="R459" s="44" t="inlineStr">
        <is>
          <t>Not Available</t>
        </is>
      </c>
      <c r="S459" s="26" t="inlineStr">
        <is>
          <t>No</t>
        </is>
      </c>
      <c r="T459" s="27" t="n"/>
      <c r="U459" s="28" t="inlineStr">
        <is>
          <t>Yes</t>
        </is>
      </c>
      <c r="V459" s="29">
        <f>IF(N459="","",IF(Q459="Yes","❌ Disc",IF(P459="No","⚠ Missing",IF(S459="Yes","✓ OK","⚠ Check"))))</f>
        <v/>
      </c>
      <c r="W459" s="65" t="n">
        <v>46248</v>
      </c>
      <c r="X459" s="30" t="inlineStr">
        <is>
          <t>Sunil CR</t>
        </is>
      </c>
      <c r="Y459" s="30" t="inlineStr">
        <is>
          <t>No</t>
        </is>
      </c>
      <c r="Z459" s="30" t="n"/>
      <c r="AA459" s="30" t="inlineStr">
        <is>
          <t>Not Available</t>
        </is>
      </c>
      <c r="AB459" s="30" t="inlineStr">
        <is>
          <t>No</t>
        </is>
      </c>
      <c r="AC459" s="27" t="n"/>
      <c r="AD459" s="31" t="inlineStr">
        <is>
          <t>Yes</t>
        </is>
      </c>
      <c r="AE459" s="32">
        <f>IF(W459="","",IF(Z459="Yes","❌ Disc",IF(Y459="No","⚠ Missing",IF(AB459="Yes","✓ OK","⚠ Check"))))</f>
        <v/>
      </c>
      <c r="AF459" s="33" t="n"/>
      <c r="AG459" s="33" t="n"/>
      <c r="AH459" s="33" t="n"/>
      <c r="AI459" s="33" t="n"/>
      <c r="AJ459" s="33" t="n"/>
      <c r="AK459" s="33" t="n"/>
      <c r="AL459" s="27" t="n"/>
      <c r="AM459" s="34" t="n"/>
      <c r="AN459" s="35">
        <f>IF(AF459="","",IF(AI459="Yes","❌ Disc",IF(AH459="No","⚠ Missing",IF(AK459="Yes","✓ OK","⚠ Check"))))</f>
        <v/>
      </c>
      <c r="AO459" s="36" t="n"/>
      <c r="AP459" s="36" t="n"/>
      <c r="AQ459" s="36" t="n"/>
      <c r="AR459" s="36" t="n"/>
      <c r="AS459" s="36" t="n"/>
      <c r="AT459" s="36" t="n"/>
      <c r="AU459" s="27" t="n"/>
      <c r="AV459" s="37" t="n"/>
      <c r="AW459" s="38">
        <f>IF(AO459="","",IF(AR459="Yes","❌ Disc",IF(AQ459="No","⚠ Missing",IF(AT459="Yes","✓ OK","⚠ Check"))))</f>
        <v/>
      </c>
    </row>
    <row r="460" ht="18" customHeight="1" s="46">
      <c r="A460" s="39" t="n">
        <v>456</v>
      </c>
      <c r="B460" s="40" t="inlineStr">
        <is>
          <t>BD-HND-2023-0157</t>
        </is>
      </c>
      <c r="C460" s="41" t="inlineStr">
        <is>
          <t>Bonito Designer Handles - Concealed Handles Kadi-3 B/A</t>
        </is>
      </c>
      <c r="D460" s="39" t="inlineStr">
        <is>
          <t>SUJIN</t>
        </is>
      </c>
      <c r="E460" s="43" t="n">
        <v>46125</v>
      </c>
      <c r="F460" s="26" t="inlineStr">
        <is>
          <t>Sunil CR</t>
        </is>
      </c>
      <c r="G460" s="44" t="inlineStr">
        <is>
          <t>No</t>
        </is>
      </c>
      <c r="H460" s="26" t="inlineStr">
        <is>
          <t>No</t>
        </is>
      </c>
      <c r="I460" s="44" t="inlineStr">
        <is>
          <t>Not Available</t>
        </is>
      </c>
      <c r="J460" s="26" t="inlineStr">
        <is>
          <t>No</t>
        </is>
      </c>
      <c r="K460" s="27" t="n"/>
      <c r="L460" s="28" t="inlineStr">
        <is>
          <t>Yes</t>
        </is>
      </c>
      <c r="M460" s="29">
        <f>IF(E460="","",IF(H460="Yes","❌ Disc",IF(G460="No","⚠ Missing",IF(J460="Yes","✓ OK","⚠ Check"))))</f>
        <v/>
      </c>
      <c r="N460" s="43" t="n">
        <v>46196</v>
      </c>
      <c r="O460" s="26" t="inlineStr">
        <is>
          <t>Sunil CR</t>
        </is>
      </c>
      <c r="P460" s="44" t="inlineStr">
        <is>
          <t>No</t>
        </is>
      </c>
      <c r="Q460" s="26" t="inlineStr">
        <is>
          <t>No</t>
        </is>
      </c>
      <c r="R460" s="44" t="inlineStr">
        <is>
          <t>Not Available</t>
        </is>
      </c>
      <c r="S460" s="26" t="inlineStr">
        <is>
          <t>No</t>
        </is>
      </c>
      <c r="T460" s="27" t="n"/>
      <c r="U460" s="28" t="inlineStr">
        <is>
          <t>Yes</t>
        </is>
      </c>
      <c r="V460" s="29">
        <f>IF(N460="","",IF(Q460="Yes","❌ Disc",IF(P460="No","⚠ Missing",IF(S460="Yes","✓ OK","⚠ Check"))))</f>
        <v/>
      </c>
      <c r="W460" s="65" t="n">
        <v>46248</v>
      </c>
      <c r="X460" s="30" t="inlineStr">
        <is>
          <t>Sunil CR</t>
        </is>
      </c>
      <c r="Y460" s="30" t="inlineStr">
        <is>
          <t>No</t>
        </is>
      </c>
      <c r="Z460" s="30" t="n"/>
      <c r="AA460" s="30" t="inlineStr">
        <is>
          <t>Not Available</t>
        </is>
      </c>
      <c r="AB460" s="30" t="inlineStr">
        <is>
          <t>No</t>
        </is>
      </c>
      <c r="AC460" s="27" t="n"/>
      <c r="AD460" s="31" t="inlineStr">
        <is>
          <t>Yes</t>
        </is>
      </c>
      <c r="AE460" s="32">
        <f>IF(W460="","",IF(Z460="Yes","❌ Disc",IF(Y460="No","⚠ Missing",IF(AB460="Yes","✓ OK","⚠ Check"))))</f>
        <v/>
      </c>
      <c r="AF460" s="33" t="n"/>
      <c r="AG460" s="33" t="n"/>
      <c r="AH460" s="33" t="n"/>
      <c r="AI460" s="33" t="n"/>
      <c r="AJ460" s="33" t="n"/>
      <c r="AK460" s="33" t="n"/>
      <c r="AL460" s="27" t="n"/>
      <c r="AM460" s="34" t="n"/>
      <c r="AN460" s="35">
        <f>IF(AF460="","",IF(AI460="Yes","❌ Disc",IF(AH460="No","⚠ Missing",IF(AK460="Yes","✓ OK","⚠ Check"))))</f>
        <v/>
      </c>
      <c r="AO460" s="36" t="n"/>
      <c r="AP460" s="36" t="n"/>
      <c r="AQ460" s="36" t="n"/>
      <c r="AR460" s="36" t="n"/>
      <c r="AS460" s="36" t="n"/>
      <c r="AT460" s="36" t="n"/>
      <c r="AU460" s="27" t="n"/>
      <c r="AV460" s="37" t="n"/>
      <c r="AW460" s="38">
        <f>IF(AO460="","",IF(AR460="Yes","❌ Disc",IF(AQ460="No","⚠ Missing",IF(AT460="Yes","✓ OK","⚠ Check"))))</f>
        <v/>
      </c>
    </row>
    <row r="461" ht="18" customHeight="1" s="46">
      <c r="A461" s="23" t="n">
        <v>457</v>
      </c>
      <c r="B461" s="24" t="inlineStr">
        <is>
          <t>BD-HND-2023-0154</t>
        </is>
      </c>
      <c r="C461" s="25" t="inlineStr">
        <is>
          <t>Bonito Designer Handles - Concealed Handles Kadi-3 Black/TT</t>
        </is>
      </c>
      <c r="D461" s="23" t="inlineStr">
        <is>
          <t>SUJIN</t>
        </is>
      </c>
      <c r="E461" s="43" t="n">
        <v>46125</v>
      </c>
      <c r="F461" s="26" t="inlineStr">
        <is>
          <t>Sunil CR</t>
        </is>
      </c>
      <c r="G461" s="44" t="inlineStr">
        <is>
          <t>No</t>
        </is>
      </c>
      <c r="H461" s="26" t="inlineStr">
        <is>
          <t>No</t>
        </is>
      </c>
      <c r="I461" s="44" t="inlineStr">
        <is>
          <t>Not Available</t>
        </is>
      </c>
      <c r="J461" s="26" t="inlineStr">
        <is>
          <t>No</t>
        </is>
      </c>
      <c r="K461" s="27" t="n"/>
      <c r="L461" s="28" t="inlineStr">
        <is>
          <t>Yes</t>
        </is>
      </c>
      <c r="M461" s="29">
        <f>IF(E461="","",IF(H461="Yes","❌ Disc",IF(G461="No","⚠ Missing",IF(J461="Yes","✓ OK","⚠ Check"))))</f>
        <v/>
      </c>
      <c r="N461" s="43" t="n">
        <v>46196</v>
      </c>
      <c r="O461" s="26" t="inlineStr">
        <is>
          <t>Sunil CR</t>
        </is>
      </c>
      <c r="P461" s="44" t="inlineStr">
        <is>
          <t>No</t>
        </is>
      </c>
      <c r="Q461" s="26" t="inlineStr">
        <is>
          <t>No</t>
        </is>
      </c>
      <c r="R461" s="44" t="inlineStr">
        <is>
          <t>Not Available</t>
        </is>
      </c>
      <c r="S461" s="26" t="inlineStr">
        <is>
          <t>No</t>
        </is>
      </c>
      <c r="T461" s="27" t="n"/>
      <c r="U461" s="28" t="inlineStr">
        <is>
          <t>Yes</t>
        </is>
      </c>
      <c r="V461" s="29">
        <f>IF(N461="","",IF(Q461="Yes","❌ Disc",IF(P461="No","⚠ Missing",IF(S461="Yes","✓ OK","⚠ Check"))))</f>
        <v/>
      </c>
      <c r="W461" s="65" t="n">
        <v>46248</v>
      </c>
      <c r="X461" s="30" t="inlineStr">
        <is>
          <t>Sunil CR</t>
        </is>
      </c>
      <c r="Y461" s="30" t="inlineStr">
        <is>
          <t>No</t>
        </is>
      </c>
      <c r="Z461" s="30" t="n"/>
      <c r="AA461" s="30" t="inlineStr">
        <is>
          <t>Not Available</t>
        </is>
      </c>
      <c r="AB461" s="30" t="inlineStr">
        <is>
          <t>No</t>
        </is>
      </c>
      <c r="AC461" s="27" t="n"/>
      <c r="AD461" s="31" t="inlineStr">
        <is>
          <t>Yes</t>
        </is>
      </c>
      <c r="AE461" s="32">
        <f>IF(W461="","",IF(Z461="Yes","❌ Disc",IF(Y461="No","⚠ Missing",IF(AB461="Yes","✓ OK","⚠ Check"))))</f>
        <v/>
      </c>
      <c r="AF461" s="33" t="n"/>
      <c r="AG461" s="33" t="n"/>
      <c r="AH461" s="33" t="n"/>
      <c r="AI461" s="33" t="n"/>
      <c r="AJ461" s="33" t="n"/>
      <c r="AK461" s="33" t="n"/>
      <c r="AL461" s="27" t="n"/>
      <c r="AM461" s="34" t="n"/>
      <c r="AN461" s="35">
        <f>IF(AF461="","",IF(AI461="Yes","❌ Disc",IF(AH461="No","⚠ Missing",IF(AK461="Yes","✓ OK","⚠ Check"))))</f>
        <v/>
      </c>
      <c r="AO461" s="36" t="n"/>
      <c r="AP461" s="36" t="n"/>
      <c r="AQ461" s="36" t="n"/>
      <c r="AR461" s="36" t="n"/>
      <c r="AS461" s="36" t="n"/>
      <c r="AT461" s="36" t="n"/>
      <c r="AU461" s="27" t="n"/>
      <c r="AV461" s="37" t="n"/>
      <c r="AW461" s="38">
        <f>IF(AO461="","",IF(AR461="Yes","❌ Disc",IF(AQ461="No","⚠ Missing",IF(AT461="Yes","✓ OK","⚠ Check"))))</f>
        <v/>
      </c>
    </row>
    <row r="462" ht="18" customHeight="1" s="46">
      <c r="A462" s="39" t="n">
        <v>458</v>
      </c>
      <c r="B462" s="40" t="inlineStr">
        <is>
          <t>BD-HND-2023-0156</t>
        </is>
      </c>
      <c r="C462" s="41" t="inlineStr">
        <is>
          <t>Bonito Designer Handles - Concealed Handles Kadi-3 Cubic/CP</t>
        </is>
      </c>
      <c r="D462" s="39" t="inlineStr">
        <is>
          <t>SUJIN</t>
        </is>
      </c>
      <c r="E462" s="43" t="n">
        <v>46125</v>
      </c>
      <c r="F462" s="26" t="inlineStr">
        <is>
          <t>Sunil CR</t>
        </is>
      </c>
      <c r="G462" s="44" t="inlineStr">
        <is>
          <t>No</t>
        </is>
      </c>
      <c r="H462" s="26" t="inlineStr">
        <is>
          <t>No</t>
        </is>
      </c>
      <c r="I462" s="44" t="inlineStr">
        <is>
          <t>Not Available</t>
        </is>
      </c>
      <c r="J462" s="26" t="inlineStr">
        <is>
          <t>No</t>
        </is>
      </c>
      <c r="K462" s="27" t="n"/>
      <c r="L462" s="28" t="inlineStr">
        <is>
          <t>Yes</t>
        </is>
      </c>
      <c r="M462" s="29">
        <f>IF(E462="","",IF(H462="Yes","❌ Disc",IF(G462="No","⚠ Missing",IF(J462="Yes","✓ OK","⚠ Check"))))</f>
        <v/>
      </c>
      <c r="N462" s="43" t="n">
        <v>46196</v>
      </c>
      <c r="O462" s="26" t="inlineStr">
        <is>
          <t>Sunil CR</t>
        </is>
      </c>
      <c r="P462" s="44" t="inlineStr">
        <is>
          <t>No</t>
        </is>
      </c>
      <c r="Q462" s="26" t="inlineStr">
        <is>
          <t>No</t>
        </is>
      </c>
      <c r="R462" s="44" t="inlineStr">
        <is>
          <t>Not Available</t>
        </is>
      </c>
      <c r="S462" s="26" t="inlineStr">
        <is>
          <t>No</t>
        </is>
      </c>
      <c r="T462" s="27" t="n"/>
      <c r="U462" s="28" t="inlineStr">
        <is>
          <t>Yes</t>
        </is>
      </c>
      <c r="V462" s="29">
        <f>IF(N462="","",IF(Q462="Yes","❌ Disc",IF(P462="No","⚠ Missing",IF(S462="Yes","✓ OK","⚠ Check"))))</f>
        <v/>
      </c>
      <c r="W462" s="65" t="n">
        <v>46248</v>
      </c>
      <c r="X462" s="30" t="inlineStr">
        <is>
          <t>Sunil CR</t>
        </is>
      </c>
      <c r="Y462" s="30" t="inlineStr">
        <is>
          <t>No</t>
        </is>
      </c>
      <c r="Z462" s="30" t="n"/>
      <c r="AA462" s="30" t="inlineStr">
        <is>
          <t>Not Available</t>
        </is>
      </c>
      <c r="AB462" s="30" t="inlineStr">
        <is>
          <t>No</t>
        </is>
      </c>
      <c r="AC462" s="27" t="n"/>
      <c r="AD462" s="31" t="inlineStr">
        <is>
          <t>Yes</t>
        </is>
      </c>
      <c r="AE462" s="32">
        <f>IF(W462="","",IF(Z462="Yes","❌ Disc",IF(Y462="No","⚠ Missing",IF(AB462="Yes","✓ OK","⚠ Check"))))</f>
        <v/>
      </c>
      <c r="AF462" s="33" t="n"/>
      <c r="AG462" s="33" t="n"/>
      <c r="AH462" s="33" t="n"/>
      <c r="AI462" s="33" t="n"/>
      <c r="AJ462" s="33" t="n"/>
      <c r="AK462" s="33" t="n"/>
      <c r="AL462" s="27" t="n"/>
      <c r="AM462" s="34" t="n"/>
      <c r="AN462" s="35">
        <f>IF(AF462="","",IF(AI462="Yes","❌ Disc",IF(AH462="No","⚠ Missing",IF(AK462="Yes","✓ OK","⚠ Check"))))</f>
        <v/>
      </c>
      <c r="AO462" s="36" t="n"/>
      <c r="AP462" s="36" t="n"/>
      <c r="AQ462" s="36" t="n"/>
      <c r="AR462" s="36" t="n"/>
      <c r="AS462" s="36" t="n"/>
      <c r="AT462" s="36" t="n"/>
      <c r="AU462" s="27" t="n"/>
      <c r="AV462" s="37" t="n"/>
      <c r="AW462" s="38">
        <f>IF(AO462="","",IF(AR462="Yes","❌ Disc",IF(AQ462="No","⚠ Missing",IF(AT462="Yes","✓ OK","⚠ Check"))))</f>
        <v/>
      </c>
    </row>
    <row r="463" ht="18" customHeight="1" s="46">
      <c r="A463" s="23" t="n">
        <v>459</v>
      </c>
      <c r="B463" s="24" t="inlineStr">
        <is>
          <t>BD-HND-2023-0159</t>
        </is>
      </c>
      <c r="C463" s="25" t="inlineStr">
        <is>
          <t>Bonito Designer Handles - Concealed Handles Kadi-3 Matt/Black</t>
        </is>
      </c>
      <c r="D463" s="23" t="inlineStr">
        <is>
          <t>SUJIN</t>
        </is>
      </c>
      <c r="E463" s="43" t="n">
        <v>46125</v>
      </c>
      <c r="F463" s="26" t="inlineStr">
        <is>
          <t>Sunil CR</t>
        </is>
      </c>
      <c r="G463" s="44" t="inlineStr">
        <is>
          <t>No</t>
        </is>
      </c>
      <c r="H463" s="26" t="inlineStr">
        <is>
          <t>No</t>
        </is>
      </c>
      <c r="I463" s="44" t="inlineStr">
        <is>
          <t>Not Available</t>
        </is>
      </c>
      <c r="J463" s="26" t="inlineStr">
        <is>
          <t>No</t>
        </is>
      </c>
      <c r="K463" s="27" t="n"/>
      <c r="L463" s="28" t="inlineStr">
        <is>
          <t>Yes</t>
        </is>
      </c>
      <c r="M463" s="29">
        <f>IF(E463="","",IF(H463="Yes","❌ Disc",IF(G463="No","⚠ Missing",IF(J463="Yes","✓ OK","⚠ Check"))))</f>
        <v/>
      </c>
      <c r="N463" s="43" t="n">
        <v>46196</v>
      </c>
      <c r="O463" s="26" t="inlineStr">
        <is>
          <t>Sunil CR</t>
        </is>
      </c>
      <c r="P463" s="44" t="inlineStr">
        <is>
          <t>No</t>
        </is>
      </c>
      <c r="Q463" s="26" t="inlineStr">
        <is>
          <t>No</t>
        </is>
      </c>
      <c r="R463" s="44" t="inlineStr">
        <is>
          <t>Not Available</t>
        </is>
      </c>
      <c r="S463" s="26" t="inlineStr">
        <is>
          <t>No</t>
        </is>
      </c>
      <c r="T463" s="27" t="n"/>
      <c r="U463" s="28" t="inlineStr">
        <is>
          <t>Yes</t>
        </is>
      </c>
      <c r="V463" s="29">
        <f>IF(N463="","",IF(Q463="Yes","❌ Disc",IF(P463="No","⚠ Missing",IF(S463="Yes","✓ OK","⚠ Check"))))</f>
        <v/>
      </c>
      <c r="W463" s="65" t="n">
        <v>46248</v>
      </c>
      <c r="X463" s="30" t="inlineStr">
        <is>
          <t>Sunil CR</t>
        </is>
      </c>
      <c r="Y463" s="30" t="inlineStr">
        <is>
          <t>No</t>
        </is>
      </c>
      <c r="Z463" s="30" t="n"/>
      <c r="AA463" s="30" t="inlineStr">
        <is>
          <t>Not Available</t>
        </is>
      </c>
      <c r="AB463" s="30" t="inlineStr">
        <is>
          <t>No</t>
        </is>
      </c>
      <c r="AC463" s="27" t="n"/>
      <c r="AD463" s="31" t="inlineStr">
        <is>
          <t>Yes</t>
        </is>
      </c>
      <c r="AE463" s="32">
        <f>IF(W463="","",IF(Z463="Yes","❌ Disc",IF(Y463="No","⚠ Missing",IF(AB463="Yes","✓ OK","⚠ Check"))))</f>
        <v/>
      </c>
      <c r="AF463" s="33" t="n"/>
      <c r="AG463" s="33" t="n"/>
      <c r="AH463" s="33" t="n"/>
      <c r="AI463" s="33" t="n"/>
      <c r="AJ463" s="33" t="n"/>
      <c r="AK463" s="33" t="n"/>
      <c r="AL463" s="27" t="n"/>
      <c r="AM463" s="34" t="n"/>
      <c r="AN463" s="35">
        <f>IF(AF463="","",IF(AI463="Yes","❌ Disc",IF(AH463="No","⚠ Missing",IF(AK463="Yes","✓ OK","⚠ Check"))))</f>
        <v/>
      </c>
      <c r="AO463" s="36" t="n"/>
      <c r="AP463" s="36" t="n"/>
      <c r="AQ463" s="36" t="n"/>
      <c r="AR463" s="36" t="n"/>
      <c r="AS463" s="36" t="n"/>
      <c r="AT463" s="36" t="n"/>
      <c r="AU463" s="27" t="n"/>
      <c r="AV463" s="37" t="n"/>
      <c r="AW463" s="38">
        <f>IF(AO463="","",IF(AR463="Yes","❌ Disc",IF(AQ463="No","⚠ Missing",IF(AT463="Yes","✓ OK","⚠ Check"))))</f>
        <v/>
      </c>
    </row>
    <row r="464" ht="18" customHeight="1" s="46">
      <c r="A464" s="39" t="n">
        <v>460</v>
      </c>
      <c r="B464" s="40" t="inlineStr">
        <is>
          <t>BD-HND-2023-0155</t>
        </is>
      </c>
      <c r="C464" s="41" t="inlineStr">
        <is>
          <t>Bonito Designer Handles - Concealed Handles Kadi-3 Rose/TT</t>
        </is>
      </c>
      <c r="D464" s="39" t="inlineStr">
        <is>
          <t>SUJIN</t>
        </is>
      </c>
      <c r="E464" s="43" t="n">
        <v>46125</v>
      </c>
      <c r="F464" s="26" t="inlineStr">
        <is>
          <t>Sunil CR</t>
        </is>
      </c>
      <c r="G464" s="44" t="inlineStr">
        <is>
          <t>No</t>
        </is>
      </c>
      <c r="H464" s="26" t="inlineStr">
        <is>
          <t>No</t>
        </is>
      </c>
      <c r="I464" s="44" t="inlineStr">
        <is>
          <t>Not Available</t>
        </is>
      </c>
      <c r="J464" s="26" t="inlineStr">
        <is>
          <t>No</t>
        </is>
      </c>
      <c r="K464" s="27" t="n"/>
      <c r="L464" s="28" t="inlineStr">
        <is>
          <t>Yes</t>
        </is>
      </c>
      <c r="M464" s="29">
        <f>IF(E464="","",IF(H464="Yes","❌ Disc",IF(G464="No","⚠ Missing",IF(J464="Yes","✓ OK","⚠ Check"))))</f>
        <v/>
      </c>
      <c r="N464" s="43" t="n">
        <v>46196</v>
      </c>
      <c r="O464" s="26" t="inlineStr">
        <is>
          <t>Sunil CR</t>
        </is>
      </c>
      <c r="P464" s="44" t="inlineStr">
        <is>
          <t>No</t>
        </is>
      </c>
      <c r="Q464" s="26" t="inlineStr">
        <is>
          <t>No</t>
        </is>
      </c>
      <c r="R464" s="44" t="inlineStr">
        <is>
          <t>Not Available</t>
        </is>
      </c>
      <c r="S464" s="26" t="inlineStr">
        <is>
          <t>No</t>
        </is>
      </c>
      <c r="T464" s="27" t="n"/>
      <c r="U464" s="28" t="inlineStr">
        <is>
          <t>Yes</t>
        </is>
      </c>
      <c r="V464" s="29">
        <f>IF(N464="","",IF(Q464="Yes","❌ Disc",IF(P464="No","⚠ Missing",IF(S464="Yes","✓ OK","⚠ Check"))))</f>
        <v/>
      </c>
      <c r="W464" s="65" t="n">
        <v>46248</v>
      </c>
      <c r="X464" s="30" t="inlineStr">
        <is>
          <t>Sunil CR</t>
        </is>
      </c>
      <c r="Y464" s="30" t="inlineStr">
        <is>
          <t>No</t>
        </is>
      </c>
      <c r="Z464" s="30" t="n"/>
      <c r="AA464" s="30" t="inlineStr">
        <is>
          <t>Not Available</t>
        </is>
      </c>
      <c r="AB464" s="30" t="inlineStr">
        <is>
          <t>No</t>
        </is>
      </c>
      <c r="AC464" s="27" t="n"/>
      <c r="AD464" s="31" t="inlineStr">
        <is>
          <t>Yes</t>
        </is>
      </c>
      <c r="AE464" s="32">
        <f>IF(W464="","",IF(Z464="Yes","❌ Disc",IF(Y464="No","⚠ Missing",IF(AB464="Yes","✓ OK","⚠ Check"))))</f>
        <v/>
      </c>
      <c r="AF464" s="33" t="n"/>
      <c r="AG464" s="33" t="n"/>
      <c r="AH464" s="33" t="n"/>
      <c r="AI464" s="33" t="n"/>
      <c r="AJ464" s="33" t="n"/>
      <c r="AK464" s="33" t="n"/>
      <c r="AL464" s="27" t="n"/>
      <c r="AM464" s="34" t="n"/>
      <c r="AN464" s="35">
        <f>IF(AF464="","",IF(AI464="Yes","❌ Disc",IF(AH464="No","⚠ Missing",IF(AK464="Yes","✓ OK","⚠ Check"))))</f>
        <v/>
      </c>
      <c r="AO464" s="36" t="n"/>
      <c r="AP464" s="36" t="n"/>
      <c r="AQ464" s="36" t="n"/>
      <c r="AR464" s="36" t="n"/>
      <c r="AS464" s="36" t="n"/>
      <c r="AT464" s="36" t="n"/>
      <c r="AU464" s="27" t="n"/>
      <c r="AV464" s="37" t="n"/>
      <c r="AW464" s="38">
        <f>IF(AO464="","",IF(AR464="Yes","❌ Disc",IF(AQ464="No","⚠ Missing",IF(AT464="Yes","✓ OK","⚠ Check"))))</f>
        <v/>
      </c>
    </row>
    <row r="465" ht="18" customHeight="1" s="46">
      <c r="A465" s="23" t="n">
        <v>461</v>
      </c>
      <c r="B465" s="24" t="inlineStr">
        <is>
          <t>BD-HND-2023-0153</t>
        </is>
      </c>
      <c r="C465" s="25" t="inlineStr">
        <is>
          <t>Bonito Designer Handles - Concealed Handles Kadi-3 Satin/CP</t>
        </is>
      </c>
      <c r="D465" s="23" t="inlineStr">
        <is>
          <t>SUJIN</t>
        </is>
      </c>
      <c r="E465" s="43" t="n">
        <v>46125</v>
      </c>
      <c r="F465" s="26" t="inlineStr">
        <is>
          <t>Sunil CR</t>
        </is>
      </c>
      <c r="G465" s="44" t="inlineStr">
        <is>
          <t>No</t>
        </is>
      </c>
      <c r="H465" s="26" t="inlineStr">
        <is>
          <t>No</t>
        </is>
      </c>
      <c r="I465" s="44" t="inlineStr">
        <is>
          <t>Not Available</t>
        </is>
      </c>
      <c r="J465" s="26" t="inlineStr">
        <is>
          <t>No</t>
        </is>
      </c>
      <c r="K465" s="27" t="n"/>
      <c r="L465" s="28" t="inlineStr">
        <is>
          <t>Yes</t>
        </is>
      </c>
      <c r="M465" s="29">
        <f>IF(E465="","",IF(H465="Yes","❌ Disc",IF(G465="No","⚠ Missing",IF(J465="Yes","✓ OK","⚠ Check"))))</f>
        <v/>
      </c>
      <c r="N465" s="43" t="n">
        <v>46196</v>
      </c>
      <c r="O465" s="26" t="inlineStr">
        <is>
          <t>Sunil CR</t>
        </is>
      </c>
      <c r="P465" s="44" t="inlineStr">
        <is>
          <t>No</t>
        </is>
      </c>
      <c r="Q465" s="26" t="inlineStr">
        <is>
          <t>No</t>
        </is>
      </c>
      <c r="R465" s="44" t="inlineStr">
        <is>
          <t>Not Available</t>
        </is>
      </c>
      <c r="S465" s="26" t="inlineStr">
        <is>
          <t>No</t>
        </is>
      </c>
      <c r="T465" s="27" t="n"/>
      <c r="U465" s="28" t="inlineStr">
        <is>
          <t>Yes</t>
        </is>
      </c>
      <c r="V465" s="29">
        <f>IF(N465="","",IF(Q465="Yes","❌ Disc",IF(P465="No","⚠ Missing",IF(S465="Yes","✓ OK","⚠ Check"))))</f>
        <v/>
      </c>
      <c r="W465" s="65" t="n">
        <v>46248</v>
      </c>
      <c r="X465" s="30" t="inlineStr">
        <is>
          <t>Sunil CR</t>
        </is>
      </c>
      <c r="Y465" s="30" t="inlineStr">
        <is>
          <t>No</t>
        </is>
      </c>
      <c r="Z465" s="30" t="n"/>
      <c r="AA465" s="30" t="inlineStr">
        <is>
          <t>Not Available</t>
        </is>
      </c>
      <c r="AB465" s="30" t="inlineStr">
        <is>
          <t>No</t>
        </is>
      </c>
      <c r="AC465" s="27" t="n"/>
      <c r="AD465" s="31" t="inlineStr">
        <is>
          <t>Yes</t>
        </is>
      </c>
      <c r="AE465" s="32">
        <f>IF(W465="","",IF(Z465="Yes","❌ Disc",IF(Y465="No","⚠ Missing",IF(AB465="Yes","✓ OK","⚠ Check"))))</f>
        <v/>
      </c>
      <c r="AF465" s="33" t="n"/>
      <c r="AG465" s="33" t="n"/>
      <c r="AH465" s="33" t="n"/>
      <c r="AI465" s="33" t="n"/>
      <c r="AJ465" s="33" t="n"/>
      <c r="AK465" s="33" t="n"/>
      <c r="AL465" s="27" t="n"/>
      <c r="AM465" s="34" t="n"/>
      <c r="AN465" s="35">
        <f>IF(AF465="","",IF(AI465="Yes","❌ Disc",IF(AH465="No","⚠ Missing",IF(AK465="Yes","✓ OK","⚠ Check"))))</f>
        <v/>
      </c>
      <c r="AO465" s="36" t="n"/>
      <c r="AP465" s="36" t="n"/>
      <c r="AQ465" s="36" t="n"/>
      <c r="AR465" s="36" t="n"/>
      <c r="AS465" s="36" t="n"/>
      <c r="AT465" s="36" t="n"/>
      <c r="AU465" s="27" t="n"/>
      <c r="AV465" s="37" t="n"/>
      <c r="AW465" s="38">
        <f>IF(AO465="","",IF(AR465="Yes","❌ Disc",IF(AQ465="No","⚠ Missing",IF(AT465="Yes","✓ OK","⚠ Check"))))</f>
        <v/>
      </c>
    </row>
    <row r="466" ht="18" customHeight="1" s="46">
      <c r="A466" s="39" t="n">
        <v>462</v>
      </c>
      <c r="B466" s="40" t="inlineStr">
        <is>
          <t>BD-HND-2023-0165</t>
        </is>
      </c>
      <c r="C466" s="41" t="inlineStr">
        <is>
          <t>Bonito Designer Handles - Concealed Handles Kadi-4 Alloy/Black</t>
        </is>
      </c>
      <c r="D466" s="39" t="inlineStr">
        <is>
          <t>SUJIN</t>
        </is>
      </c>
      <c r="E466" s="43" t="n">
        <v>46125</v>
      </c>
      <c r="F466" s="26" t="inlineStr">
        <is>
          <t>Sunil CR</t>
        </is>
      </c>
      <c r="G466" s="44" t="inlineStr">
        <is>
          <t>No</t>
        </is>
      </c>
      <c r="H466" s="26" t="inlineStr">
        <is>
          <t>No</t>
        </is>
      </c>
      <c r="I466" s="44" t="inlineStr">
        <is>
          <t>Not Available</t>
        </is>
      </c>
      <c r="J466" s="26" t="inlineStr">
        <is>
          <t>No</t>
        </is>
      </c>
      <c r="K466" s="27" t="n"/>
      <c r="L466" s="28" t="inlineStr">
        <is>
          <t>Yes</t>
        </is>
      </c>
      <c r="M466" s="29">
        <f>IF(E466="","",IF(H466="Yes","❌ Disc",IF(G466="No","⚠ Missing",IF(J466="Yes","✓ OK","⚠ Check"))))</f>
        <v/>
      </c>
      <c r="N466" s="43" t="n">
        <v>46196</v>
      </c>
      <c r="O466" s="26" t="inlineStr">
        <is>
          <t>Sunil CR</t>
        </is>
      </c>
      <c r="P466" s="44" t="inlineStr">
        <is>
          <t>No</t>
        </is>
      </c>
      <c r="Q466" s="26" t="inlineStr">
        <is>
          <t>No</t>
        </is>
      </c>
      <c r="R466" s="44" t="inlineStr">
        <is>
          <t>Not Available</t>
        </is>
      </c>
      <c r="S466" s="26" t="inlineStr">
        <is>
          <t>No</t>
        </is>
      </c>
      <c r="T466" s="27" t="n"/>
      <c r="U466" s="28" t="inlineStr">
        <is>
          <t>Yes</t>
        </is>
      </c>
      <c r="V466" s="29">
        <f>IF(N466="","",IF(Q466="Yes","❌ Disc",IF(P466="No","⚠ Missing",IF(S466="Yes","✓ OK","⚠ Check"))))</f>
        <v/>
      </c>
      <c r="W466" s="65" t="n">
        <v>46248</v>
      </c>
      <c r="X466" s="30" t="inlineStr">
        <is>
          <t>Sunil CR</t>
        </is>
      </c>
      <c r="Y466" s="30" t="inlineStr">
        <is>
          <t>No</t>
        </is>
      </c>
      <c r="Z466" s="30" t="n"/>
      <c r="AA466" s="30" t="inlineStr">
        <is>
          <t>Not Available</t>
        </is>
      </c>
      <c r="AB466" s="30" t="inlineStr">
        <is>
          <t>No</t>
        </is>
      </c>
      <c r="AC466" s="27" t="n"/>
      <c r="AD466" s="31" t="inlineStr">
        <is>
          <t>Yes</t>
        </is>
      </c>
      <c r="AE466" s="32">
        <f>IF(W466="","",IF(Z466="Yes","❌ Disc",IF(Y466="No","⚠ Missing",IF(AB466="Yes","✓ OK","⚠ Check"))))</f>
        <v/>
      </c>
      <c r="AF466" s="33" t="n"/>
      <c r="AG466" s="33" t="n"/>
      <c r="AH466" s="33" t="n"/>
      <c r="AI466" s="33" t="n"/>
      <c r="AJ466" s="33" t="n"/>
      <c r="AK466" s="33" t="n"/>
      <c r="AL466" s="27" t="n"/>
      <c r="AM466" s="34" t="n"/>
      <c r="AN466" s="35">
        <f>IF(AF466="","",IF(AI466="Yes","❌ Disc",IF(AH466="No","⚠ Missing",IF(AK466="Yes","✓ OK","⚠ Check"))))</f>
        <v/>
      </c>
      <c r="AO466" s="36" t="n"/>
      <c r="AP466" s="36" t="n"/>
      <c r="AQ466" s="36" t="n"/>
      <c r="AR466" s="36" t="n"/>
      <c r="AS466" s="36" t="n"/>
      <c r="AT466" s="36" t="n"/>
      <c r="AU466" s="27" t="n"/>
      <c r="AV466" s="37" t="n"/>
      <c r="AW466" s="38">
        <f>IF(AO466="","",IF(AR466="Yes","❌ Disc",IF(AQ466="No","⚠ Missing",IF(AT466="Yes","✓ OK","⚠ Check"))))</f>
        <v/>
      </c>
    </row>
    <row r="467" ht="18" customHeight="1" s="46">
      <c r="A467" s="23" t="n">
        <v>463</v>
      </c>
      <c r="B467" s="24" t="inlineStr">
        <is>
          <t>BD-HND-2023-0164</t>
        </is>
      </c>
      <c r="C467" s="25" t="inlineStr">
        <is>
          <t>Bonito Designer Handles - Concealed Handles Kadi-4 B/A</t>
        </is>
      </c>
      <c r="D467" s="23" t="inlineStr">
        <is>
          <t>SUJIN</t>
        </is>
      </c>
      <c r="E467" s="43" t="n">
        <v>46125</v>
      </c>
      <c r="F467" s="26" t="inlineStr">
        <is>
          <t>Sunil CR</t>
        </is>
      </c>
      <c r="G467" s="44" t="inlineStr">
        <is>
          <t>No</t>
        </is>
      </c>
      <c r="H467" s="26" t="inlineStr">
        <is>
          <t>No</t>
        </is>
      </c>
      <c r="I467" s="44" t="inlineStr">
        <is>
          <t>Not Available</t>
        </is>
      </c>
      <c r="J467" s="26" t="inlineStr">
        <is>
          <t>No</t>
        </is>
      </c>
      <c r="K467" s="27" t="n"/>
      <c r="L467" s="28" t="inlineStr">
        <is>
          <t>Yes</t>
        </is>
      </c>
      <c r="M467" s="29">
        <f>IF(E467="","",IF(H467="Yes","❌ Disc",IF(G467="No","⚠ Missing",IF(J467="Yes","✓ OK","⚠ Check"))))</f>
        <v/>
      </c>
      <c r="N467" s="43" t="n">
        <v>46196</v>
      </c>
      <c r="O467" s="26" t="inlineStr">
        <is>
          <t>Sunil CR</t>
        </is>
      </c>
      <c r="P467" s="44" t="inlineStr">
        <is>
          <t>No</t>
        </is>
      </c>
      <c r="Q467" s="26" t="inlineStr">
        <is>
          <t>No</t>
        </is>
      </c>
      <c r="R467" s="44" t="inlineStr">
        <is>
          <t>Not Available</t>
        </is>
      </c>
      <c r="S467" s="26" t="inlineStr">
        <is>
          <t>No</t>
        </is>
      </c>
      <c r="T467" s="27" t="n"/>
      <c r="U467" s="28" t="inlineStr">
        <is>
          <t>Yes</t>
        </is>
      </c>
      <c r="V467" s="29">
        <f>IF(N467="","",IF(Q467="Yes","❌ Disc",IF(P467="No","⚠ Missing",IF(S467="Yes","✓ OK","⚠ Check"))))</f>
        <v/>
      </c>
      <c r="W467" s="65" t="n">
        <v>46248</v>
      </c>
      <c r="X467" s="30" t="inlineStr">
        <is>
          <t>Sunil CR</t>
        </is>
      </c>
      <c r="Y467" s="30" t="inlineStr">
        <is>
          <t>No</t>
        </is>
      </c>
      <c r="Z467" s="30" t="n"/>
      <c r="AA467" s="30" t="inlineStr">
        <is>
          <t>Not Available</t>
        </is>
      </c>
      <c r="AB467" s="30" t="inlineStr">
        <is>
          <t>No</t>
        </is>
      </c>
      <c r="AC467" s="27" t="n"/>
      <c r="AD467" s="31" t="inlineStr">
        <is>
          <t>Yes</t>
        </is>
      </c>
      <c r="AE467" s="32">
        <f>IF(W467="","",IF(Z467="Yes","❌ Disc",IF(Y467="No","⚠ Missing",IF(AB467="Yes","✓ OK","⚠ Check"))))</f>
        <v/>
      </c>
      <c r="AF467" s="33" t="n"/>
      <c r="AG467" s="33" t="n"/>
      <c r="AH467" s="33" t="n"/>
      <c r="AI467" s="33" t="n"/>
      <c r="AJ467" s="33" t="n"/>
      <c r="AK467" s="33" t="n"/>
      <c r="AL467" s="27" t="n"/>
      <c r="AM467" s="34" t="n"/>
      <c r="AN467" s="35">
        <f>IF(AF467="","",IF(AI467="Yes","❌ Disc",IF(AH467="No","⚠ Missing",IF(AK467="Yes","✓ OK","⚠ Check"))))</f>
        <v/>
      </c>
      <c r="AO467" s="36" t="n"/>
      <c r="AP467" s="36" t="n"/>
      <c r="AQ467" s="36" t="n"/>
      <c r="AR467" s="36" t="n"/>
      <c r="AS467" s="36" t="n"/>
      <c r="AT467" s="36" t="n"/>
      <c r="AU467" s="27" t="n"/>
      <c r="AV467" s="37" t="n"/>
      <c r="AW467" s="38">
        <f>IF(AO467="","",IF(AR467="Yes","❌ Disc",IF(AQ467="No","⚠ Missing",IF(AT467="Yes","✓ OK","⚠ Check"))))</f>
        <v/>
      </c>
    </row>
    <row r="468" ht="18" customHeight="1" s="46">
      <c r="A468" s="39" t="n">
        <v>464</v>
      </c>
      <c r="B468" s="40" t="inlineStr">
        <is>
          <t>BD-HND-2023-0162</t>
        </is>
      </c>
      <c r="C468" s="41" t="inlineStr">
        <is>
          <t>Bonito Designer Handles - Concealed Handles Kadi-4 Black/TT</t>
        </is>
      </c>
      <c r="D468" s="39" t="inlineStr">
        <is>
          <t>SUJIN</t>
        </is>
      </c>
      <c r="E468" s="43" t="n">
        <v>46125</v>
      </c>
      <c r="F468" s="26" t="inlineStr">
        <is>
          <t>Sunil CR</t>
        </is>
      </c>
      <c r="G468" s="44" t="inlineStr">
        <is>
          <t>No</t>
        </is>
      </c>
      <c r="H468" s="26" t="inlineStr">
        <is>
          <t>No</t>
        </is>
      </c>
      <c r="I468" s="44" t="inlineStr">
        <is>
          <t>Not Available</t>
        </is>
      </c>
      <c r="J468" s="26" t="inlineStr">
        <is>
          <t>No</t>
        </is>
      </c>
      <c r="K468" s="27" t="n"/>
      <c r="L468" s="28" t="inlineStr">
        <is>
          <t>Yes</t>
        </is>
      </c>
      <c r="M468" s="29">
        <f>IF(E468="","",IF(H468="Yes","❌ Disc",IF(G468="No","⚠ Missing",IF(J468="Yes","✓ OK","⚠ Check"))))</f>
        <v/>
      </c>
      <c r="N468" s="43" t="n">
        <v>46196</v>
      </c>
      <c r="O468" s="26" t="inlineStr">
        <is>
          <t>Sunil CR</t>
        </is>
      </c>
      <c r="P468" s="44" t="inlineStr">
        <is>
          <t>No</t>
        </is>
      </c>
      <c r="Q468" s="26" t="inlineStr">
        <is>
          <t>No</t>
        </is>
      </c>
      <c r="R468" s="44" t="inlineStr">
        <is>
          <t>Not Available</t>
        </is>
      </c>
      <c r="S468" s="26" t="inlineStr">
        <is>
          <t>No</t>
        </is>
      </c>
      <c r="T468" s="27" t="n"/>
      <c r="U468" s="28" t="inlineStr">
        <is>
          <t>Yes</t>
        </is>
      </c>
      <c r="V468" s="29">
        <f>IF(N468="","",IF(Q468="Yes","❌ Disc",IF(P468="No","⚠ Missing",IF(S468="Yes","✓ OK","⚠ Check"))))</f>
        <v/>
      </c>
      <c r="W468" s="65" t="n">
        <v>46248</v>
      </c>
      <c r="X468" s="30" t="inlineStr">
        <is>
          <t>Sunil CR</t>
        </is>
      </c>
      <c r="Y468" s="30" t="inlineStr">
        <is>
          <t>No</t>
        </is>
      </c>
      <c r="Z468" s="30" t="n"/>
      <c r="AA468" s="30" t="inlineStr">
        <is>
          <t>Not Available</t>
        </is>
      </c>
      <c r="AB468" s="30" t="inlineStr">
        <is>
          <t>No</t>
        </is>
      </c>
      <c r="AC468" s="27" t="n"/>
      <c r="AD468" s="31" t="inlineStr">
        <is>
          <t>Yes</t>
        </is>
      </c>
      <c r="AE468" s="32">
        <f>IF(W468="","",IF(Z468="Yes","❌ Disc",IF(Y468="No","⚠ Missing",IF(AB468="Yes","✓ OK","⚠ Check"))))</f>
        <v/>
      </c>
      <c r="AF468" s="33" t="n"/>
      <c r="AG468" s="33" t="n"/>
      <c r="AH468" s="33" t="n"/>
      <c r="AI468" s="33" t="n"/>
      <c r="AJ468" s="33" t="n"/>
      <c r="AK468" s="33" t="n"/>
      <c r="AL468" s="27" t="n"/>
      <c r="AM468" s="34" t="n"/>
      <c r="AN468" s="35">
        <f>IF(AF468="","",IF(AI468="Yes","❌ Disc",IF(AH468="No","⚠ Missing",IF(AK468="Yes","✓ OK","⚠ Check"))))</f>
        <v/>
      </c>
      <c r="AO468" s="36" t="n"/>
      <c r="AP468" s="36" t="n"/>
      <c r="AQ468" s="36" t="n"/>
      <c r="AR468" s="36" t="n"/>
      <c r="AS468" s="36" t="n"/>
      <c r="AT468" s="36" t="n"/>
      <c r="AU468" s="27" t="n"/>
      <c r="AV468" s="37" t="n"/>
      <c r="AW468" s="38">
        <f>IF(AO468="","",IF(AR468="Yes","❌ Disc",IF(AQ468="No","⚠ Missing",IF(AT468="Yes","✓ OK","⚠ Check"))))</f>
        <v/>
      </c>
    </row>
    <row r="469" ht="18" customHeight="1" s="46">
      <c r="A469" s="23" t="n">
        <v>465</v>
      </c>
      <c r="B469" s="24" t="inlineStr">
        <is>
          <t>BD-HND-2023-0166</t>
        </is>
      </c>
      <c r="C469" s="25" t="inlineStr">
        <is>
          <t>Bonito Designer Handles - Concealed Handles Kadi-4 Matt/Black</t>
        </is>
      </c>
      <c r="D469" s="23" t="inlineStr">
        <is>
          <t>SUJIN</t>
        </is>
      </c>
      <c r="E469" s="43" t="n">
        <v>46125</v>
      </c>
      <c r="F469" s="26" t="inlineStr">
        <is>
          <t>Sunil CR</t>
        </is>
      </c>
      <c r="G469" s="44" t="inlineStr">
        <is>
          <t>No</t>
        </is>
      </c>
      <c r="H469" s="26" t="inlineStr">
        <is>
          <t>No</t>
        </is>
      </c>
      <c r="I469" s="44" t="inlineStr">
        <is>
          <t>Not Available</t>
        </is>
      </c>
      <c r="J469" s="26" t="inlineStr">
        <is>
          <t>No</t>
        </is>
      </c>
      <c r="K469" s="27" t="n"/>
      <c r="L469" s="28" t="inlineStr">
        <is>
          <t>Yes</t>
        </is>
      </c>
      <c r="M469" s="29">
        <f>IF(E469="","",IF(H469="Yes","❌ Disc",IF(G469="No","⚠ Missing",IF(J469="Yes","✓ OK","⚠ Check"))))</f>
        <v/>
      </c>
      <c r="N469" s="43" t="n">
        <v>46196</v>
      </c>
      <c r="O469" s="26" t="inlineStr">
        <is>
          <t>Sunil CR</t>
        </is>
      </c>
      <c r="P469" s="44" t="inlineStr">
        <is>
          <t>No</t>
        </is>
      </c>
      <c r="Q469" s="26" t="inlineStr">
        <is>
          <t>No</t>
        </is>
      </c>
      <c r="R469" s="44" t="inlineStr">
        <is>
          <t>Not Available</t>
        </is>
      </c>
      <c r="S469" s="26" t="inlineStr">
        <is>
          <t>No</t>
        </is>
      </c>
      <c r="T469" s="27" t="n"/>
      <c r="U469" s="28" t="inlineStr">
        <is>
          <t>Yes</t>
        </is>
      </c>
      <c r="V469" s="29">
        <f>IF(N469="","",IF(Q469="Yes","❌ Disc",IF(P469="No","⚠ Missing",IF(S469="Yes","✓ OK","⚠ Check"))))</f>
        <v/>
      </c>
      <c r="W469" s="65" t="n">
        <v>46248</v>
      </c>
      <c r="X469" s="30" t="inlineStr">
        <is>
          <t>Sunil CR</t>
        </is>
      </c>
      <c r="Y469" s="30" t="inlineStr">
        <is>
          <t>No</t>
        </is>
      </c>
      <c r="Z469" s="30" t="n"/>
      <c r="AA469" s="30" t="inlineStr">
        <is>
          <t>Not Available</t>
        </is>
      </c>
      <c r="AB469" s="30" t="inlineStr">
        <is>
          <t>No</t>
        </is>
      </c>
      <c r="AC469" s="27" t="n"/>
      <c r="AD469" s="31" t="inlineStr">
        <is>
          <t>Yes</t>
        </is>
      </c>
      <c r="AE469" s="32">
        <f>IF(W469="","",IF(Z469="Yes","❌ Disc",IF(Y469="No","⚠ Missing",IF(AB469="Yes","✓ OK","⚠ Check"))))</f>
        <v/>
      </c>
      <c r="AF469" s="33" t="n"/>
      <c r="AG469" s="33" t="n"/>
      <c r="AH469" s="33" t="n"/>
      <c r="AI469" s="33" t="n"/>
      <c r="AJ469" s="33" t="n"/>
      <c r="AK469" s="33" t="n"/>
      <c r="AL469" s="27" t="n"/>
      <c r="AM469" s="34" t="n"/>
      <c r="AN469" s="35">
        <f>IF(AF469="","",IF(AI469="Yes","❌ Disc",IF(AH469="No","⚠ Missing",IF(AK469="Yes","✓ OK","⚠ Check"))))</f>
        <v/>
      </c>
      <c r="AO469" s="36" t="n"/>
      <c r="AP469" s="36" t="n"/>
      <c r="AQ469" s="36" t="n"/>
      <c r="AR469" s="36" t="n"/>
      <c r="AS469" s="36" t="n"/>
      <c r="AT469" s="36" t="n"/>
      <c r="AU469" s="27" t="n"/>
      <c r="AV469" s="37" t="n"/>
      <c r="AW469" s="38">
        <f>IF(AO469="","",IF(AR469="Yes","❌ Disc",IF(AQ469="No","⚠ Missing",IF(AT469="Yes","✓ OK","⚠ Check"))))</f>
        <v/>
      </c>
    </row>
    <row r="470" ht="18" customHeight="1" s="46">
      <c r="A470" s="39" t="n">
        <v>466</v>
      </c>
      <c r="B470" s="40" t="inlineStr">
        <is>
          <t>BD-HND-2023-0163</t>
        </is>
      </c>
      <c r="C470" s="41" t="inlineStr">
        <is>
          <t>Bonito Designer Handles - Concealed Handles Kadi-4 Rose/TT</t>
        </is>
      </c>
      <c r="D470" s="39" t="inlineStr">
        <is>
          <t>SUJIN</t>
        </is>
      </c>
      <c r="E470" s="43" t="n">
        <v>46125</v>
      </c>
      <c r="F470" s="26" t="inlineStr">
        <is>
          <t>Sunil CR</t>
        </is>
      </c>
      <c r="G470" s="44" t="inlineStr">
        <is>
          <t>No</t>
        </is>
      </c>
      <c r="H470" s="26" t="inlineStr">
        <is>
          <t>No</t>
        </is>
      </c>
      <c r="I470" s="44" t="inlineStr">
        <is>
          <t>Not Available</t>
        </is>
      </c>
      <c r="J470" s="26" t="inlineStr">
        <is>
          <t>No</t>
        </is>
      </c>
      <c r="K470" s="27" t="n"/>
      <c r="L470" s="28" t="inlineStr">
        <is>
          <t>Yes</t>
        </is>
      </c>
      <c r="M470" s="29">
        <f>IF(E470="","",IF(H470="Yes","❌ Disc",IF(G470="No","⚠ Missing",IF(J470="Yes","✓ OK","⚠ Check"))))</f>
        <v/>
      </c>
      <c r="N470" s="43" t="n">
        <v>46196</v>
      </c>
      <c r="O470" s="26" t="inlineStr">
        <is>
          <t>Sunil CR</t>
        </is>
      </c>
      <c r="P470" s="44" t="inlineStr">
        <is>
          <t>No</t>
        </is>
      </c>
      <c r="Q470" s="26" t="inlineStr">
        <is>
          <t>No</t>
        </is>
      </c>
      <c r="R470" s="44" t="inlineStr">
        <is>
          <t>Not Available</t>
        </is>
      </c>
      <c r="S470" s="26" t="inlineStr">
        <is>
          <t>No</t>
        </is>
      </c>
      <c r="T470" s="27" t="n"/>
      <c r="U470" s="28" t="inlineStr">
        <is>
          <t>Yes</t>
        </is>
      </c>
      <c r="V470" s="29">
        <f>IF(N470="","",IF(Q470="Yes","❌ Disc",IF(P470="No","⚠ Missing",IF(S470="Yes","✓ OK","⚠ Check"))))</f>
        <v/>
      </c>
      <c r="W470" s="65" t="n">
        <v>46248</v>
      </c>
      <c r="X470" s="30" t="inlineStr">
        <is>
          <t>Sunil CR</t>
        </is>
      </c>
      <c r="Y470" s="30" t="inlineStr">
        <is>
          <t>No</t>
        </is>
      </c>
      <c r="Z470" s="30" t="n"/>
      <c r="AA470" s="30" t="inlineStr">
        <is>
          <t>Not Available</t>
        </is>
      </c>
      <c r="AB470" s="30" t="inlineStr">
        <is>
          <t>No</t>
        </is>
      </c>
      <c r="AC470" s="27" t="n"/>
      <c r="AD470" s="31" t="inlineStr">
        <is>
          <t>Yes</t>
        </is>
      </c>
      <c r="AE470" s="32">
        <f>IF(W470="","",IF(Z470="Yes","❌ Disc",IF(Y470="No","⚠ Missing",IF(AB470="Yes","✓ OK","⚠ Check"))))</f>
        <v/>
      </c>
      <c r="AF470" s="33" t="n"/>
      <c r="AG470" s="33" t="n"/>
      <c r="AH470" s="33" t="n"/>
      <c r="AI470" s="33" t="n"/>
      <c r="AJ470" s="33" t="n"/>
      <c r="AK470" s="33" t="n"/>
      <c r="AL470" s="27" t="n"/>
      <c r="AM470" s="34" t="n"/>
      <c r="AN470" s="35">
        <f>IF(AF470="","",IF(AI470="Yes","❌ Disc",IF(AH470="No","⚠ Missing",IF(AK470="Yes","✓ OK","⚠ Check"))))</f>
        <v/>
      </c>
      <c r="AO470" s="36" t="n"/>
      <c r="AP470" s="36" t="n"/>
      <c r="AQ470" s="36" t="n"/>
      <c r="AR470" s="36" t="n"/>
      <c r="AS470" s="36" t="n"/>
      <c r="AT470" s="36" t="n"/>
      <c r="AU470" s="27" t="n"/>
      <c r="AV470" s="37" t="n"/>
      <c r="AW470" s="38">
        <f>IF(AO470="","",IF(AR470="Yes","❌ Disc",IF(AQ470="No","⚠ Missing",IF(AT470="Yes","✓ OK","⚠ Check"))))</f>
        <v/>
      </c>
    </row>
    <row r="471" ht="18" customHeight="1" s="46">
      <c r="A471" s="23" t="n">
        <v>467</v>
      </c>
      <c r="B471" s="24" t="inlineStr">
        <is>
          <t>BD-HND-2023-0161</t>
        </is>
      </c>
      <c r="C471" s="25" t="inlineStr">
        <is>
          <t>Bonito Designer Handles - Concealed Handles Kadi-4 Satin/CP</t>
        </is>
      </c>
      <c r="D471" s="23" t="inlineStr">
        <is>
          <t>SUJIN</t>
        </is>
      </c>
      <c r="E471" s="43" t="n">
        <v>46125</v>
      </c>
      <c r="F471" s="26" t="inlineStr">
        <is>
          <t>Sunil CR</t>
        </is>
      </c>
      <c r="G471" s="44" t="inlineStr">
        <is>
          <t>No</t>
        </is>
      </c>
      <c r="H471" s="26" t="inlineStr">
        <is>
          <t>No</t>
        </is>
      </c>
      <c r="I471" s="44" t="inlineStr">
        <is>
          <t>Not Available</t>
        </is>
      </c>
      <c r="J471" s="26" t="inlineStr">
        <is>
          <t>No</t>
        </is>
      </c>
      <c r="K471" s="27" t="n"/>
      <c r="L471" s="28" t="inlineStr">
        <is>
          <t>Yes</t>
        </is>
      </c>
      <c r="M471" s="29">
        <f>IF(E471="","",IF(H471="Yes","❌ Disc",IF(G471="No","⚠ Missing",IF(J471="Yes","✓ OK","⚠ Check"))))</f>
        <v/>
      </c>
      <c r="N471" s="43" t="n">
        <v>46196</v>
      </c>
      <c r="O471" s="26" t="inlineStr">
        <is>
          <t>Sunil CR</t>
        </is>
      </c>
      <c r="P471" s="44" t="inlineStr">
        <is>
          <t>No</t>
        </is>
      </c>
      <c r="Q471" s="26" t="inlineStr">
        <is>
          <t>No</t>
        </is>
      </c>
      <c r="R471" s="44" t="inlineStr">
        <is>
          <t>Not Available</t>
        </is>
      </c>
      <c r="S471" s="26" t="inlineStr">
        <is>
          <t>No</t>
        </is>
      </c>
      <c r="T471" s="27" t="n"/>
      <c r="U471" s="28" t="inlineStr">
        <is>
          <t>Yes</t>
        </is>
      </c>
      <c r="V471" s="29">
        <f>IF(N471="","",IF(Q471="Yes","❌ Disc",IF(P471="No","⚠ Missing",IF(S471="Yes","✓ OK","⚠ Check"))))</f>
        <v/>
      </c>
      <c r="W471" s="65" t="n">
        <v>46248</v>
      </c>
      <c r="X471" s="30" t="inlineStr">
        <is>
          <t>Sunil CR</t>
        </is>
      </c>
      <c r="Y471" s="30" t="inlineStr">
        <is>
          <t>No</t>
        </is>
      </c>
      <c r="Z471" s="30" t="n"/>
      <c r="AA471" s="30" t="inlineStr">
        <is>
          <t>Not Available</t>
        </is>
      </c>
      <c r="AB471" s="30" t="inlineStr">
        <is>
          <t>No</t>
        </is>
      </c>
      <c r="AC471" s="27" t="n"/>
      <c r="AD471" s="31" t="inlineStr">
        <is>
          <t>Yes</t>
        </is>
      </c>
      <c r="AE471" s="32">
        <f>IF(W471="","",IF(Z471="Yes","❌ Disc",IF(Y471="No","⚠ Missing",IF(AB471="Yes","✓ OK","⚠ Check"))))</f>
        <v/>
      </c>
      <c r="AF471" s="33" t="n"/>
      <c r="AG471" s="33" t="n"/>
      <c r="AH471" s="33" t="n"/>
      <c r="AI471" s="33" t="n"/>
      <c r="AJ471" s="33" t="n"/>
      <c r="AK471" s="33" t="n"/>
      <c r="AL471" s="27" t="n"/>
      <c r="AM471" s="34" t="n"/>
      <c r="AN471" s="35">
        <f>IF(AF471="","",IF(AI471="Yes","❌ Disc",IF(AH471="No","⚠ Missing",IF(AK471="Yes","✓ OK","⚠ Check"))))</f>
        <v/>
      </c>
      <c r="AO471" s="36" t="n"/>
      <c r="AP471" s="36" t="n"/>
      <c r="AQ471" s="36" t="n"/>
      <c r="AR471" s="36" t="n"/>
      <c r="AS471" s="36" t="n"/>
      <c r="AT471" s="36" t="n"/>
      <c r="AU471" s="27" t="n"/>
      <c r="AV471" s="37" t="n"/>
      <c r="AW471" s="38">
        <f>IF(AO471="","",IF(AR471="Yes","❌ Disc",IF(AQ471="No","⚠ Missing",IF(AT471="Yes","✓ OK","⚠ Check"))))</f>
        <v/>
      </c>
    </row>
    <row r="472" ht="18" customHeight="1" s="46">
      <c r="A472" s="39" t="n">
        <v>468</v>
      </c>
      <c r="B472" s="40" t="inlineStr">
        <is>
          <t>HWSUHCSI203BA160</t>
        </is>
      </c>
      <c r="C472" s="41" t="inlineStr">
        <is>
          <t>Sujin Antique Brass B/A SI-203 Cabinet Handle 160mm</t>
        </is>
      </c>
      <c r="D472" s="39" t="inlineStr">
        <is>
          <t>SUJIN</t>
        </is>
      </c>
      <c r="E472" s="43" t="n">
        <v>46125</v>
      </c>
      <c r="F472" s="26" t="inlineStr">
        <is>
          <t>Sunil CR</t>
        </is>
      </c>
      <c r="G472" s="44" t="inlineStr">
        <is>
          <t>Yes</t>
        </is>
      </c>
      <c r="H472" s="26" t="inlineStr">
        <is>
          <t>No</t>
        </is>
      </c>
      <c r="I472" s="44" t="inlineStr">
        <is>
          <t>Good finish</t>
        </is>
      </c>
      <c r="J472" s="26" t="inlineStr">
        <is>
          <t>Yes</t>
        </is>
      </c>
      <c r="K472" s="27" t="n"/>
      <c r="L472" s="28" t="inlineStr">
        <is>
          <t>No</t>
        </is>
      </c>
      <c r="M472" s="29">
        <f>IF(E472="","",IF(H472="Yes","❌ Disc",IF(G472="No","⚠ Missing",IF(J472="Yes","✓ OK","⚠ Check"))))</f>
        <v/>
      </c>
      <c r="N472" s="43" t="n">
        <v>46196</v>
      </c>
      <c r="O472" s="26" t="inlineStr">
        <is>
          <t>Sunil CR</t>
        </is>
      </c>
      <c r="P472" s="44" t="inlineStr">
        <is>
          <t>Yes</t>
        </is>
      </c>
      <c r="Q472" s="26" t="inlineStr">
        <is>
          <t>No</t>
        </is>
      </c>
      <c r="R472" s="44" t="inlineStr">
        <is>
          <t>Good finish</t>
        </is>
      </c>
      <c r="S472" s="26" t="inlineStr">
        <is>
          <t>Yes</t>
        </is>
      </c>
      <c r="T472" s="27" t="n"/>
      <c r="U472" s="28" t="inlineStr">
        <is>
          <t>No</t>
        </is>
      </c>
      <c r="V472" s="29">
        <f>IF(N472="","",IF(Q472="Yes","❌ Disc",IF(P472="No","⚠ Missing",IF(S472="Yes","✓ OK","⚠ Check"))))</f>
        <v/>
      </c>
      <c r="W472" s="65" t="n">
        <v>46248</v>
      </c>
      <c r="X472" s="30" t="inlineStr">
        <is>
          <t>Sunil CR</t>
        </is>
      </c>
      <c r="Y472" s="30" t="inlineStr">
        <is>
          <t>Yes</t>
        </is>
      </c>
      <c r="Z472" s="30" t="n"/>
      <c r="AA472" s="30" t="inlineStr">
        <is>
          <t>Good finish</t>
        </is>
      </c>
      <c r="AB472" s="30" t="inlineStr">
        <is>
          <t>Yes</t>
        </is>
      </c>
      <c r="AC472" s="27" t="n"/>
      <c r="AD472" s="31" t="inlineStr">
        <is>
          <t>No</t>
        </is>
      </c>
      <c r="AE472" s="32">
        <f>IF(W472="","",IF(Z472="Yes","❌ Disc",IF(Y472="No","⚠ Missing",IF(AB472="Yes","✓ OK","⚠ Check"))))</f>
        <v/>
      </c>
      <c r="AF472" s="33" t="n"/>
      <c r="AG472" s="33" t="n"/>
      <c r="AH472" s="33" t="n"/>
      <c r="AI472" s="33" t="n"/>
      <c r="AJ472" s="33" t="n"/>
      <c r="AK472" s="33" t="n"/>
      <c r="AL472" s="27" t="n"/>
      <c r="AM472" s="34" t="n"/>
      <c r="AN472" s="35">
        <f>IF(AF472="","",IF(AI472="Yes","❌ Disc",IF(AH472="No","⚠ Missing",IF(AK472="Yes","✓ OK","⚠ Check"))))</f>
        <v/>
      </c>
      <c r="AO472" s="36" t="n"/>
      <c r="AP472" s="36" t="n"/>
      <c r="AQ472" s="36" t="n"/>
      <c r="AR472" s="36" t="n"/>
      <c r="AS472" s="36" t="n"/>
      <c r="AT472" s="36" t="n"/>
      <c r="AU472" s="27" t="n"/>
      <c r="AV472" s="37" t="n"/>
      <c r="AW472" s="38">
        <f>IF(AO472="","",IF(AR472="Yes","❌ Disc",IF(AQ472="No","⚠ Missing",IF(AT472="Yes","✓ OK","⚠ Check"))))</f>
        <v/>
      </c>
    </row>
    <row r="473" ht="18" customHeight="1" s="46">
      <c r="A473" s="23" t="n">
        <v>469</v>
      </c>
      <c r="B473" s="24" t="inlineStr">
        <is>
          <t>HWSUHCSI203BA224</t>
        </is>
      </c>
      <c r="C473" s="25" t="inlineStr">
        <is>
          <t>Sujin Antique Brass B/A SI-203 Cabinet Handle 224mm</t>
        </is>
      </c>
      <c r="D473" s="23" t="inlineStr">
        <is>
          <t>SUJIN</t>
        </is>
      </c>
      <c r="E473" s="43" t="n">
        <v>46125</v>
      </c>
      <c r="F473" s="26" t="inlineStr">
        <is>
          <t>Sunil CR</t>
        </is>
      </c>
      <c r="G473" s="44" t="inlineStr">
        <is>
          <t>Represented by Sample</t>
        </is>
      </c>
      <c r="H473" s="26" t="inlineStr">
        <is>
          <t>No</t>
        </is>
      </c>
      <c r="I473" s="44" t="inlineStr">
        <is>
          <t>Represented by Sample</t>
        </is>
      </c>
      <c r="J473" s="26" t="inlineStr">
        <is>
          <t>Yes</t>
        </is>
      </c>
      <c r="K473" s="27" t="n"/>
      <c r="L473" s="28" t="inlineStr">
        <is>
          <t>No</t>
        </is>
      </c>
      <c r="M473" s="29">
        <f>IF(E473="","",IF(H473="Yes","❌ Disc",IF(G473="No","⚠ Missing",IF(J473="Yes","✓ OK","⚠ Check"))))</f>
        <v/>
      </c>
      <c r="N473" s="43" t="n">
        <v>46196</v>
      </c>
      <c r="O473" s="26" t="inlineStr">
        <is>
          <t>Sunil CR</t>
        </is>
      </c>
      <c r="P473" s="44" t="inlineStr">
        <is>
          <t>Represented by Sample</t>
        </is>
      </c>
      <c r="Q473" s="26" t="inlineStr">
        <is>
          <t>No</t>
        </is>
      </c>
      <c r="R473" s="44" t="inlineStr">
        <is>
          <t>Represented by Sample</t>
        </is>
      </c>
      <c r="S473" s="26" t="inlineStr">
        <is>
          <t>Yes</t>
        </is>
      </c>
      <c r="T473" s="27" t="n"/>
      <c r="U473" s="28" t="inlineStr">
        <is>
          <t>No</t>
        </is>
      </c>
      <c r="V473" s="29">
        <f>IF(N473="","",IF(Q473="Yes","❌ Disc",IF(P473="No","⚠ Missing",IF(S473="Yes","✓ OK","⚠ Check"))))</f>
        <v/>
      </c>
      <c r="W473" s="65" t="n">
        <v>46248</v>
      </c>
      <c r="X473" s="30" t="inlineStr">
        <is>
          <t>Sunil CR</t>
        </is>
      </c>
      <c r="Y473" s="30" t="inlineStr">
        <is>
          <t>Represented by Sample</t>
        </is>
      </c>
      <c r="Z473" s="30" t="n"/>
      <c r="AA473" s="30" t="inlineStr">
        <is>
          <t>Represented by Sample</t>
        </is>
      </c>
      <c r="AB473" s="30" t="inlineStr">
        <is>
          <t>Yes</t>
        </is>
      </c>
      <c r="AC473" s="27" t="n"/>
      <c r="AD473" s="31" t="inlineStr">
        <is>
          <t>No</t>
        </is>
      </c>
      <c r="AE473" s="32">
        <f>IF(W473="","",IF(Z473="Yes","❌ Disc",IF(Y473="No","⚠ Missing",IF(AB473="Yes","✓ OK","⚠ Check"))))</f>
        <v/>
      </c>
      <c r="AF473" s="33" t="n"/>
      <c r="AG473" s="33" t="n"/>
      <c r="AH473" s="33" t="n"/>
      <c r="AI473" s="33" t="n"/>
      <c r="AJ473" s="33" t="n"/>
      <c r="AK473" s="33" t="n"/>
      <c r="AL473" s="27" t="n"/>
      <c r="AM473" s="34" t="n"/>
      <c r="AN473" s="35">
        <f>IF(AF473="","",IF(AI473="Yes","❌ Disc",IF(AH473="No","⚠ Missing",IF(AK473="Yes","✓ OK","⚠ Check"))))</f>
        <v/>
      </c>
      <c r="AO473" s="36" t="n"/>
      <c r="AP473" s="36" t="n"/>
      <c r="AQ473" s="36" t="n"/>
      <c r="AR473" s="36" t="n"/>
      <c r="AS473" s="36" t="n"/>
      <c r="AT473" s="36" t="n"/>
      <c r="AU473" s="27" t="n"/>
      <c r="AV473" s="37" t="n"/>
      <c r="AW473" s="38">
        <f>IF(AO473="","",IF(AR473="Yes","❌ Disc",IF(AQ473="No","⚠ Missing",IF(AT473="Yes","✓ OK","⚠ Check"))))</f>
        <v/>
      </c>
    </row>
    <row r="474" ht="18" customHeight="1" s="46">
      <c r="A474" s="39" t="n">
        <v>470</v>
      </c>
      <c r="B474" s="40" t="inlineStr">
        <is>
          <t>HWSUHCSI203BA288</t>
        </is>
      </c>
      <c r="C474" s="41" t="inlineStr">
        <is>
          <t>Sujin Antique Brass B/A SI-203 Cabinet Handle 288mm</t>
        </is>
      </c>
      <c r="D474" s="39" t="inlineStr">
        <is>
          <t>SUJIN</t>
        </is>
      </c>
      <c r="E474" s="43" t="n">
        <v>46125</v>
      </c>
      <c r="F474" s="26" t="inlineStr">
        <is>
          <t>Sunil CR</t>
        </is>
      </c>
      <c r="G474" s="44" t="inlineStr">
        <is>
          <t>Represented by Sample</t>
        </is>
      </c>
      <c r="H474" s="26" t="inlineStr">
        <is>
          <t>No</t>
        </is>
      </c>
      <c r="I474" s="44" t="inlineStr">
        <is>
          <t>Represented by Sample</t>
        </is>
      </c>
      <c r="J474" s="26" t="inlineStr">
        <is>
          <t>Yes</t>
        </is>
      </c>
      <c r="K474" s="27" t="n"/>
      <c r="L474" s="28" t="inlineStr">
        <is>
          <t>No</t>
        </is>
      </c>
      <c r="M474" s="29">
        <f>IF(E474="","",IF(H474="Yes","❌ Disc",IF(G474="No","⚠ Missing",IF(J474="Yes","✓ OK","⚠ Check"))))</f>
        <v/>
      </c>
      <c r="N474" s="43" t="n">
        <v>46196</v>
      </c>
      <c r="O474" s="26" t="inlineStr">
        <is>
          <t>Sunil CR</t>
        </is>
      </c>
      <c r="P474" s="44" t="inlineStr">
        <is>
          <t>Represented by Sample</t>
        </is>
      </c>
      <c r="Q474" s="26" t="inlineStr">
        <is>
          <t>No</t>
        </is>
      </c>
      <c r="R474" s="44" t="inlineStr">
        <is>
          <t>Represented by Sample</t>
        </is>
      </c>
      <c r="S474" s="26" t="inlineStr">
        <is>
          <t>Yes</t>
        </is>
      </c>
      <c r="T474" s="27" t="n"/>
      <c r="U474" s="28" t="inlineStr">
        <is>
          <t>No</t>
        </is>
      </c>
      <c r="V474" s="29">
        <f>IF(N474="","",IF(Q474="Yes","❌ Disc",IF(P474="No","⚠ Missing",IF(S474="Yes","✓ OK","⚠ Check"))))</f>
        <v/>
      </c>
      <c r="W474" s="65" t="n">
        <v>46248</v>
      </c>
      <c r="X474" s="30" t="inlineStr">
        <is>
          <t>Sunil CR</t>
        </is>
      </c>
      <c r="Y474" s="30" t="inlineStr">
        <is>
          <t>Represented by Sample</t>
        </is>
      </c>
      <c r="Z474" s="30" t="n"/>
      <c r="AA474" s="30" t="inlineStr">
        <is>
          <t>Represented by Sample</t>
        </is>
      </c>
      <c r="AB474" s="30" t="inlineStr">
        <is>
          <t>Yes</t>
        </is>
      </c>
      <c r="AC474" s="27" t="n"/>
      <c r="AD474" s="31" t="inlineStr">
        <is>
          <t>No</t>
        </is>
      </c>
      <c r="AE474" s="32">
        <f>IF(W474="","",IF(Z474="Yes","❌ Disc",IF(Y474="No","⚠ Missing",IF(AB474="Yes","✓ OK","⚠ Check"))))</f>
        <v/>
      </c>
      <c r="AF474" s="33" t="n"/>
      <c r="AG474" s="33" t="n"/>
      <c r="AH474" s="33" t="n"/>
      <c r="AI474" s="33" t="n"/>
      <c r="AJ474" s="33" t="n"/>
      <c r="AK474" s="33" t="n"/>
      <c r="AL474" s="27" t="n"/>
      <c r="AM474" s="34" t="n"/>
      <c r="AN474" s="35">
        <f>IF(AF474="","",IF(AI474="Yes","❌ Disc",IF(AH474="No","⚠ Missing",IF(AK474="Yes","✓ OK","⚠ Check"))))</f>
        <v/>
      </c>
      <c r="AO474" s="36" t="n"/>
      <c r="AP474" s="36" t="n"/>
      <c r="AQ474" s="36" t="n"/>
      <c r="AR474" s="36" t="n"/>
      <c r="AS474" s="36" t="n"/>
      <c r="AT474" s="36" t="n"/>
      <c r="AU474" s="27" t="n"/>
      <c r="AV474" s="37" t="n"/>
      <c r="AW474" s="38">
        <f>IF(AO474="","",IF(AR474="Yes","❌ Disc",IF(AQ474="No","⚠ Missing",IF(AT474="Yes","✓ OK","⚠ Check"))))</f>
        <v/>
      </c>
    </row>
    <row r="475" ht="18" customHeight="1" s="46">
      <c r="A475" s="23" t="n">
        <v>471</v>
      </c>
      <c r="B475" s="24" t="inlineStr">
        <is>
          <t>HWSUHCSI203BA96</t>
        </is>
      </c>
      <c r="C475" s="25" t="inlineStr">
        <is>
          <t>Sujin Antique Brass B/A SI-203 Cabinet Handle 96mm</t>
        </is>
      </c>
      <c r="D475" s="23" t="inlineStr">
        <is>
          <t>SUJIN</t>
        </is>
      </c>
      <c r="E475" s="43" t="n">
        <v>46125</v>
      </c>
      <c r="F475" s="26" t="inlineStr">
        <is>
          <t>Sunil CR</t>
        </is>
      </c>
      <c r="G475" s="44" t="inlineStr">
        <is>
          <t>Represented by Sample</t>
        </is>
      </c>
      <c r="H475" s="26" t="inlineStr">
        <is>
          <t>No</t>
        </is>
      </c>
      <c r="I475" s="44" t="inlineStr">
        <is>
          <t>Represented by Sample</t>
        </is>
      </c>
      <c r="J475" s="26" t="inlineStr">
        <is>
          <t>Yes</t>
        </is>
      </c>
      <c r="K475" s="27" t="n"/>
      <c r="L475" s="28" t="inlineStr">
        <is>
          <t>No</t>
        </is>
      </c>
      <c r="M475" s="29">
        <f>IF(E475="","",IF(H475="Yes","❌ Disc",IF(G475="No","⚠ Missing",IF(J475="Yes","✓ OK","⚠ Check"))))</f>
        <v/>
      </c>
      <c r="N475" s="43" t="n">
        <v>46196</v>
      </c>
      <c r="O475" s="26" t="inlineStr">
        <is>
          <t>Sunil CR</t>
        </is>
      </c>
      <c r="P475" s="44" t="inlineStr">
        <is>
          <t>Represented by Sample</t>
        </is>
      </c>
      <c r="Q475" s="26" t="inlineStr">
        <is>
          <t>No</t>
        </is>
      </c>
      <c r="R475" s="44" t="inlineStr">
        <is>
          <t>Represented by Sample</t>
        </is>
      </c>
      <c r="S475" s="26" t="inlineStr">
        <is>
          <t>Yes</t>
        </is>
      </c>
      <c r="T475" s="27" t="n"/>
      <c r="U475" s="28" t="inlineStr">
        <is>
          <t>No</t>
        </is>
      </c>
      <c r="V475" s="29">
        <f>IF(N475="","",IF(Q475="Yes","❌ Disc",IF(P475="No","⚠ Missing",IF(S475="Yes","✓ OK","⚠ Check"))))</f>
        <v/>
      </c>
      <c r="W475" s="65" t="n">
        <v>46248</v>
      </c>
      <c r="X475" s="30" t="inlineStr">
        <is>
          <t>Sunil CR</t>
        </is>
      </c>
      <c r="Y475" s="30" t="inlineStr">
        <is>
          <t>Represented by Sample</t>
        </is>
      </c>
      <c r="Z475" s="30" t="n"/>
      <c r="AA475" s="30" t="inlineStr">
        <is>
          <t>Represented by Sample</t>
        </is>
      </c>
      <c r="AB475" s="30" t="inlineStr">
        <is>
          <t>Yes</t>
        </is>
      </c>
      <c r="AC475" s="27" t="n"/>
      <c r="AD475" s="31" t="inlineStr">
        <is>
          <t>No</t>
        </is>
      </c>
      <c r="AE475" s="32">
        <f>IF(W475="","",IF(Z475="Yes","❌ Disc",IF(Y475="No","⚠ Missing",IF(AB475="Yes","✓ OK","⚠ Check"))))</f>
        <v/>
      </c>
      <c r="AF475" s="33" t="n"/>
      <c r="AG475" s="33" t="n"/>
      <c r="AH475" s="33" t="n"/>
      <c r="AI475" s="33" t="n"/>
      <c r="AJ475" s="33" t="n"/>
      <c r="AK475" s="33" t="n"/>
      <c r="AL475" s="27" t="n"/>
      <c r="AM475" s="34" t="n"/>
      <c r="AN475" s="35">
        <f>IF(AF475="","",IF(AI475="Yes","❌ Disc",IF(AH475="No","⚠ Missing",IF(AK475="Yes","✓ OK","⚠ Check"))))</f>
        <v/>
      </c>
      <c r="AO475" s="36" t="n"/>
      <c r="AP475" s="36" t="n"/>
      <c r="AQ475" s="36" t="n"/>
      <c r="AR475" s="36" t="n"/>
      <c r="AS475" s="36" t="n"/>
      <c r="AT475" s="36" t="n"/>
      <c r="AU475" s="27" t="n"/>
      <c r="AV475" s="37" t="n"/>
      <c r="AW475" s="38">
        <f>IF(AO475="","",IF(AR475="Yes","❌ Disc",IF(AQ475="No","⚠ Missing",IF(AT475="Yes","✓ OK","⚠ Check"))))</f>
        <v/>
      </c>
    </row>
    <row r="476" ht="18" customHeight="1" s="46">
      <c r="A476" s="39" t="n">
        <v>472</v>
      </c>
      <c r="B476" s="40" t="inlineStr">
        <is>
          <t>HWSUHC1ASS160</t>
        </is>
      </c>
      <c r="C476" s="41" t="inlineStr">
        <is>
          <t>Sujin Antique Stainless Steel ASS C-1 Concealed Handle 160mm</t>
        </is>
      </c>
      <c r="D476" s="39" t="inlineStr">
        <is>
          <t>SUJIN</t>
        </is>
      </c>
      <c r="E476" s="43" t="n">
        <v>46125</v>
      </c>
      <c r="F476" s="26" t="inlineStr">
        <is>
          <t>Sunil CR</t>
        </is>
      </c>
      <c r="G476" s="44" t="inlineStr">
        <is>
          <t>Yes</t>
        </is>
      </c>
      <c r="H476" s="26" t="inlineStr">
        <is>
          <t>No</t>
        </is>
      </c>
      <c r="I476" s="44" t="inlineStr">
        <is>
          <t>Good finish</t>
        </is>
      </c>
      <c r="J476" s="26" t="inlineStr">
        <is>
          <t>Yes</t>
        </is>
      </c>
      <c r="K476" s="27" t="n"/>
      <c r="L476" s="28" t="inlineStr">
        <is>
          <t>No</t>
        </is>
      </c>
      <c r="M476" s="29">
        <f>IF(E476="","",IF(H476="Yes","❌ Disc",IF(G476="No","⚠ Missing",IF(J476="Yes","✓ OK","⚠ Check"))))</f>
        <v/>
      </c>
      <c r="N476" s="43" t="n">
        <v>46196</v>
      </c>
      <c r="O476" s="26" t="inlineStr">
        <is>
          <t>Sunil CR</t>
        </is>
      </c>
      <c r="P476" s="44" t="inlineStr">
        <is>
          <t>Yes</t>
        </is>
      </c>
      <c r="Q476" s="26" t="inlineStr">
        <is>
          <t>No</t>
        </is>
      </c>
      <c r="R476" s="44" t="inlineStr">
        <is>
          <t>Good finish</t>
        </is>
      </c>
      <c r="S476" s="26" t="inlineStr">
        <is>
          <t>Yes</t>
        </is>
      </c>
      <c r="T476" s="27" t="n"/>
      <c r="U476" s="28" t="inlineStr">
        <is>
          <t>No</t>
        </is>
      </c>
      <c r="V476" s="29">
        <f>IF(N476="","",IF(Q476="Yes","❌ Disc",IF(P476="No","⚠ Missing",IF(S476="Yes","✓ OK","⚠ Check"))))</f>
        <v/>
      </c>
      <c r="W476" s="65" t="n">
        <v>46248</v>
      </c>
      <c r="X476" s="30" t="inlineStr">
        <is>
          <t>Sunil CR</t>
        </is>
      </c>
      <c r="Y476" s="30" t="inlineStr">
        <is>
          <t>Yes</t>
        </is>
      </c>
      <c r="Z476" s="30" t="n"/>
      <c r="AA476" s="30" t="inlineStr">
        <is>
          <t>Good finish</t>
        </is>
      </c>
      <c r="AB476" s="30" t="inlineStr">
        <is>
          <t>Yes</t>
        </is>
      </c>
      <c r="AC476" s="27" t="n"/>
      <c r="AD476" s="31" t="inlineStr">
        <is>
          <t>No</t>
        </is>
      </c>
      <c r="AE476" s="32">
        <f>IF(W476="","",IF(Z476="Yes","❌ Disc",IF(Y476="No","⚠ Missing",IF(AB476="Yes","✓ OK","⚠ Check"))))</f>
        <v/>
      </c>
      <c r="AF476" s="33" t="n"/>
      <c r="AG476" s="33" t="n"/>
      <c r="AH476" s="33" t="n"/>
      <c r="AI476" s="33" t="n"/>
      <c r="AJ476" s="33" t="n"/>
      <c r="AK476" s="33" t="n"/>
      <c r="AL476" s="27" t="n"/>
      <c r="AM476" s="34" t="n"/>
      <c r="AN476" s="35">
        <f>IF(AF476="","",IF(AI476="Yes","❌ Disc",IF(AH476="No","⚠ Missing",IF(AK476="Yes","✓ OK","⚠ Check"))))</f>
        <v/>
      </c>
      <c r="AO476" s="36" t="n"/>
      <c r="AP476" s="36" t="n"/>
      <c r="AQ476" s="36" t="n"/>
      <c r="AR476" s="36" t="n"/>
      <c r="AS476" s="36" t="n"/>
      <c r="AT476" s="36" t="n"/>
      <c r="AU476" s="27" t="n"/>
      <c r="AV476" s="37" t="n"/>
      <c r="AW476" s="38">
        <f>IF(AO476="","",IF(AR476="Yes","❌ Disc",IF(AQ476="No","⚠ Missing",IF(AT476="Yes","✓ OK","⚠ Check"))))</f>
        <v/>
      </c>
    </row>
    <row r="477" ht="18" customHeight="1" s="46">
      <c r="A477" s="23" t="n">
        <v>473</v>
      </c>
      <c r="B477" s="24" t="inlineStr">
        <is>
          <t>HWSUHC1ASS224</t>
        </is>
      </c>
      <c r="C477" s="25" t="inlineStr">
        <is>
          <t>Sujin Antique Stainless Steel ASS C-1 Concealed Handle 224mm</t>
        </is>
      </c>
      <c r="D477" s="23" t="inlineStr">
        <is>
          <t>SUJIN</t>
        </is>
      </c>
      <c r="E477" s="43" t="n">
        <v>46125</v>
      </c>
      <c r="F477" s="26" t="inlineStr">
        <is>
          <t>Sunil CR</t>
        </is>
      </c>
      <c r="G477" s="44" t="inlineStr">
        <is>
          <t>Represented by Sample</t>
        </is>
      </c>
      <c r="H477" s="26" t="inlineStr">
        <is>
          <t>No</t>
        </is>
      </c>
      <c r="I477" s="44" t="inlineStr">
        <is>
          <t>Represented by Sample</t>
        </is>
      </c>
      <c r="J477" s="26" t="inlineStr">
        <is>
          <t>Yes</t>
        </is>
      </c>
      <c r="K477" s="27" t="n"/>
      <c r="L477" s="28" t="inlineStr">
        <is>
          <t>No</t>
        </is>
      </c>
      <c r="M477" s="29">
        <f>IF(E477="","",IF(H477="Yes","❌ Disc",IF(G477="No","⚠ Missing",IF(J477="Yes","✓ OK","⚠ Check"))))</f>
        <v/>
      </c>
      <c r="N477" s="43" t="n">
        <v>46196</v>
      </c>
      <c r="O477" s="26" t="inlineStr">
        <is>
          <t>Sunil CR</t>
        </is>
      </c>
      <c r="P477" s="44" t="inlineStr">
        <is>
          <t>Represented by Sample</t>
        </is>
      </c>
      <c r="Q477" s="26" t="inlineStr">
        <is>
          <t>No</t>
        </is>
      </c>
      <c r="R477" s="44" t="inlineStr">
        <is>
          <t>Represented by Sample</t>
        </is>
      </c>
      <c r="S477" s="26" t="inlineStr">
        <is>
          <t>Yes</t>
        </is>
      </c>
      <c r="T477" s="27" t="n"/>
      <c r="U477" s="28" t="inlineStr">
        <is>
          <t>No</t>
        </is>
      </c>
      <c r="V477" s="29">
        <f>IF(N477="","",IF(Q477="Yes","❌ Disc",IF(P477="No","⚠ Missing",IF(S477="Yes","✓ OK","⚠ Check"))))</f>
        <v/>
      </c>
      <c r="W477" s="65" t="n">
        <v>46248</v>
      </c>
      <c r="X477" s="30" t="inlineStr">
        <is>
          <t>Sunil CR</t>
        </is>
      </c>
      <c r="Y477" s="30" t="inlineStr">
        <is>
          <t>Represented by Sample</t>
        </is>
      </c>
      <c r="Z477" s="30" t="n"/>
      <c r="AA477" s="30" t="inlineStr">
        <is>
          <t>Represented by Sample</t>
        </is>
      </c>
      <c r="AB477" s="30" t="inlineStr">
        <is>
          <t>Yes</t>
        </is>
      </c>
      <c r="AC477" s="27" t="n"/>
      <c r="AD477" s="31" t="inlineStr">
        <is>
          <t>No</t>
        </is>
      </c>
      <c r="AE477" s="32">
        <f>IF(W477="","",IF(Z477="Yes","❌ Disc",IF(Y477="No","⚠ Missing",IF(AB477="Yes","✓ OK","⚠ Check"))))</f>
        <v/>
      </c>
      <c r="AF477" s="33" t="n"/>
      <c r="AG477" s="33" t="n"/>
      <c r="AH477" s="33" t="n"/>
      <c r="AI477" s="33" t="n"/>
      <c r="AJ477" s="33" t="n"/>
      <c r="AK477" s="33" t="n"/>
      <c r="AL477" s="27" t="n"/>
      <c r="AM477" s="34" t="n"/>
      <c r="AN477" s="35">
        <f>IF(AF477="","",IF(AI477="Yes","❌ Disc",IF(AH477="No","⚠ Missing",IF(AK477="Yes","✓ OK","⚠ Check"))))</f>
        <v/>
      </c>
      <c r="AO477" s="36" t="n"/>
      <c r="AP477" s="36" t="n"/>
      <c r="AQ477" s="36" t="n"/>
      <c r="AR477" s="36" t="n"/>
      <c r="AS477" s="36" t="n"/>
      <c r="AT477" s="36" t="n"/>
      <c r="AU477" s="27" t="n"/>
      <c r="AV477" s="37" t="n"/>
      <c r="AW477" s="38">
        <f>IF(AO477="","",IF(AR477="Yes","❌ Disc",IF(AQ477="No","⚠ Missing",IF(AT477="Yes","✓ OK","⚠ Check"))))</f>
        <v/>
      </c>
    </row>
    <row r="478" ht="18" customHeight="1" s="46">
      <c r="A478" s="39" t="n">
        <v>474</v>
      </c>
      <c r="B478" s="40" t="inlineStr">
        <is>
          <t>HWSUHC1ASS288</t>
        </is>
      </c>
      <c r="C478" s="41" t="inlineStr">
        <is>
          <t>Sujin Antique Stainless Steel ASS C-1 Concealed Handle 288mm</t>
        </is>
      </c>
      <c r="D478" s="39" t="inlineStr">
        <is>
          <t>SUJIN</t>
        </is>
      </c>
      <c r="E478" s="43" t="n">
        <v>46125</v>
      </c>
      <c r="F478" s="26" t="inlineStr">
        <is>
          <t>Sunil CR</t>
        </is>
      </c>
      <c r="G478" s="44" t="inlineStr">
        <is>
          <t>Represented by Sample</t>
        </is>
      </c>
      <c r="H478" s="26" t="inlineStr">
        <is>
          <t>No</t>
        </is>
      </c>
      <c r="I478" s="44" t="inlineStr">
        <is>
          <t>Represented by Sample</t>
        </is>
      </c>
      <c r="J478" s="26" t="inlineStr">
        <is>
          <t>Yes</t>
        </is>
      </c>
      <c r="K478" s="27" t="n"/>
      <c r="L478" s="28" t="inlineStr">
        <is>
          <t>No</t>
        </is>
      </c>
      <c r="M478" s="29">
        <f>IF(E478="","",IF(H478="Yes","❌ Disc",IF(G478="No","⚠ Missing",IF(J478="Yes","✓ OK","⚠ Check"))))</f>
        <v/>
      </c>
      <c r="N478" s="43" t="n">
        <v>46196</v>
      </c>
      <c r="O478" s="26" t="inlineStr">
        <is>
          <t>Sunil CR</t>
        </is>
      </c>
      <c r="P478" s="44" t="inlineStr">
        <is>
          <t>Represented by Sample</t>
        </is>
      </c>
      <c r="Q478" s="26" t="inlineStr">
        <is>
          <t>No</t>
        </is>
      </c>
      <c r="R478" s="44" t="inlineStr">
        <is>
          <t>Represented by Sample</t>
        </is>
      </c>
      <c r="S478" s="26" t="inlineStr">
        <is>
          <t>Yes</t>
        </is>
      </c>
      <c r="T478" s="27" t="n"/>
      <c r="U478" s="28" t="inlineStr">
        <is>
          <t>No</t>
        </is>
      </c>
      <c r="V478" s="29">
        <f>IF(N478="","",IF(Q478="Yes","❌ Disc",IF(P478="No","⚠ Missing",IF(S478="Yes","✓ OK","⚠ Check"))))</f>
        <v/>
      </c>
      <c r="W478" s="65" t="n">
        <v>46248</v>
      </c>
      <c r="X478" s="30" t="inlineStr">
        <is>
          <t>Sunil CR</t>
        </is>
      </c>
      <c r="Y478" s="30" t="inlineStr">
        <is>
          <t>Represented by Sample</t>
        </is>
      </c>
      <c r="Z478" s="30" t="n"/>
      <c r="AA478" s="30" t="inlineStr">
        <is>
          <t>Represented by Sample</t>
        </is>
      </c>
      <c r="AB478" s="30" t="inlineStr">
        <is>
          <t>Yes</t>
        </is>
      </c>
      <c r="AC478" s="27" t="n"/>
      <c r="AD478" s="31" t="inlineStr">
        <is>
          <t>No</t>
        </is>
      </c>
      <c r="AE478" s="32">
        <f>IF(W478="","",IF(Z478="Yes","❌ Disc",IF(Y478="No","⚠ Missing",IF(AB478="Yes","✓ OK","⚠ Check"))))</f>
        <v/>
      </c>
      <c r="AF478" s="33" t="n"/>
      <c r="AG478" s="33" t="n"/>
      <c r="AH478" s="33" t="n"/>
      <c r="AI478" s="33" t="n"/>
      <c r="AJ478" s="33" t="n"/>
      <c r="AK478" s="33" t="n"/>
      <c r="AL478" s="27" t="n"/>
      <c r="AM478" s="34" t="n"/>
      <c r="AN478" s="35">
        <f>IF(AF478="","",IF(AI478="Yes","❌ Disc",IF(AH478="No","⚠ Missing",IF(AK478="Yes","✓ OK","⚠ Check"))))</f>
        <v/>
      </c>
      <c r="AO478" s="36" t="n"/>
      <c r="AP478" s="36" t="n"/>
      <c r="AQ478" s="36" t="n"/>
      <c r="AR478" s="36" t="n"/>
      <c r="AS478" s="36" t="n"/>
      <c r="AT478" s="36" t="n"/>
      <c r="AU478" s="27" t="n"/>
      <c r="AV478" s="37" t="n"/>
      <c r="AW478" s="38">
        <f>IF(AO478="","",IF(AR478="Yes","❌ Disc",IF(AQ478="No","⚠ Missing",IF(AT478="Yes","✓ OK","⚠ Check"))))</f>
        <v/>
      </c>
    </row>
    <row r="479" ht="18" customHeight="1" s="46">
      <c r="A479" s="23" t="n">
        <v>475</v>
      </c>
      <c r="B479" s="24" t="inlineStr">
        <is>
          <t>HWSUHC1ASS448</t>
        </is>
      </c>
      <c r="C479" s="25" t="inlineStr">
        <is>
          <t>Sujin Antique Stainless Steel ASS C-1 Concealed Handle 448mm</t>
        </is>
      </c>
      <c r="D479" s="23" t="inlineStr">
        <is>
          <t>SUJIN</t>
        </is>
      </c>
      <c r="E479" s="43" t="n">
        <v>46125</v>
      </c>
      <c r="F479" s="26" t="inlineStr">
        <is>
          <t>Sunil CR</t>
        </is>
      </c>
      <c r="G479" s="44" t="inlineStr">
        <is>
          <t>Represented by Sample</t>
        </is>
      </c>
      <c r="H479" s="26" t="inlineStr">
        <is>
          <t>No</t>
        </is>
      </c>
      <c r="I479" s="44" t="inlineStr">
        <is>
          <t>Represented by Sample</t>
        </is>
      </c>
      <c r="J479" s="26" t="inlineStr">
        <is>
          <t>Yes</t>
        </is>
      </c>
      <c r="K479" s="27" t="n"/>
      <c r="L479" s="28" t="inlineStr">
        <is>
          <t>No</t>
        </is>
      </c>
      <c r="M479" s="29">
        <f>IF(E479="","",IF(H479="Yes","❌ Disc",IF(G479="No","⚠ Missing",IF(J479="Yes","✓ OK","⚠ Check"))))</f>
        <v/>
      </c>
      <c r="N479" s="43" t="n">
        <v>46196</v>
      </c>
      <c r="O479" s="26" t="inlineStr">
        <is>
          <t>Sunil CR</t>
        </is>
      </c>
      <c r="P479" s="44" t="inlineStr">
        <is>
          <t>Represented by Sample</t>
        </is>
      </c>
      <c r="Q479" s="26" t="inlineStr">
        <is>
          <t>No</t>
        </is>
      </c>
      <c r="R479" s="44" t="inlineStr">
        <is>
          <t>Represented by Sample</t>
        </is>
      </c>
      <c r="S479" s="26" t="inlineStr">
        <is>
          <t>Yes</t>
        </is>
      </c>
      <c r="T479" s="27" t="n"/>
      <c r="U479" s="28" t="inlineStr">
        <is>
          <t>No</t>
        </is>
      </c>
      <c r="V479" s="29">
        <f>IF(N479="","",IF(Q479="Yes","❌ Disc",IF(P479="No","⚠ Missing",IF(S479="Yes","✓ OK","⚠ Check"))))</f>
        <v/>
      </c>
      <c r="W479" s="65" t="n">
        <v>46248</v>
      </c>
      <c r="X479" s="30" t="inlineStr">
        <is>
          <t>Sunil CR</t>
        </is>
      </c>
      <c r="Y479" s="30" t="inlineStr">
        <is>
          <t>Represented by Sample</t>
        </is>
      </c>
      <c r="Z479" s="30" t="n"/>
      <c r="AA479" s="30" t="inlineStr">
        <is>
          <t>Represented by Sample</t>
        </is>
      </c>
      <c r="AB479" s="30" t="inlineStr">
        <is>
          <t>Yes</t>
        </is>
      </c>
      <c r="AC479" s="27" t="n"/>
      <c r="AD479" s="31" t="inlineStr">
        <is>
          <t>No</t>
        </is>
      </c>
      <c r="AE479" s="32">
        <f>IF(W479="","",IF(Z479="Yes","❌ Disc",IF(Y479="No","⚠ Missing",IF(AB479="Yes","✓ OK","⚠ Check"))))</f>
        <v/>
      </c>
      <c r="AF479" s="33" t="n"/>
      <c r="AG479" s="33" t="n"/>
      <c r="AH479" s="33" t="n"/>
      <c r="AI479" s="33" t="n"/>
      <c r="AJ479" s="33" t="n"/>
      <c r="AK479" s="33" t="n"/>
      <c r="AL479" s="27" t="n"/>
      <c r="AM479" s="34" t="n"/>
      <c r="AN479" s="35">
        <f>IF(AF479="","",IF(AI479="Yes","❌ Disc",IF(AH479="No","⚠ Missing",IF(AK479="Yes","✓ OK","⚠ Check"))))</f>
        <v/>
      </c>
      <c r="AO479" s="36" t="n"/>
      <c r="AP479" s="36" t="n"/>
      <c r="AQ479" s="36" t="n"/>
      <c r="AR479" s="36" t="n"/>
      <c r="AS479" s="36" t="n"/>
      <c r="AT479" s="36" t="n"/>
      <c r="AU479" s="27" t="n"/>
      <c r="AV479" s="37" t="n"/>
      <c r="AW479" s="38">
        <f>IF(AO479="","",IF(AR479="Yes","❌ Disc",IF(AQ479="No","⚠ Missing",IF(AT479="Yes","✓ OK","⚠ Check"))))</f>
        <v/>
      </c>
    </row>
    <row r="480" ht="18" customHeight="1" s="46">
      <c r="A480" s="39" t="n">
        <v>476</v>
      </c>
      <c r="B480" s="40" t="inlineStr">
        <is>
          <t>HWSUHC1ASS576</t>
        </is>
      </c>
      <c r="C480" s="41" t="inlineStr">
        <is>
          <t>Sujin Antique Stainless Steel ASS C-1 Concealed Handle 576mm</t>
        </is>
      </c>
      <c r="D480" s="39" t="inlineStr">
        <is>
          <t>SUJIN</t>
        </is>
      </c>
      <c r="E480" s="43" t="n">
        <v>46125</v>
      </c>
      <c r="F480" s="26" t="inlineStr">
        <is>
          <t>Sunil CR</t>
        </is>
      </c>
      <c r="G480" s="44" t="inlineStr">
        <is>
          <t>Represented by Sample</t>
        </is>
      </c>
      <c r="H480" s="26" t="inlineStr">
        <is>
          <t>No</t>
        </is>
      </c>
      <c r="I480" s="44" t="inlineStr">
        <is>
          <t>Represented by Sample</t>
        </is>
      </c>
      <c r="J480" s="26" t="inlineStr">
        <is>
          <t>Yes</t>
        </is>
      </c>
      <c r="K480" s="27" t="n"/>
      <c r="L480" s="28" t="inlineStr">
        <is>
          <t>No</t>
        </is>
      </c>
      <c r="M480" s="29">
        <f>IF(E480="","",IF(H480="Yes","❌ Disc",IF(G480="No","⚠ Missing",IF(J480="Yes","✓ OK","⚠ Check"))))</f>
        <v/>
      </c>
      <c r="N480" s="43" t="n">
        <v>46196</v>
      </c>
      <c r="O480" s="26" t="inlineStr">
        <is>
          <t>Sunil CR</t>
        </is>
      </c>
      <c r="P480" s="44" t="inlineStr">
        <is>
          <t>Represented by Sample</t>
        </is>
      </c>
      <c r="Q480" s="26" t="inlineStr">
        <is>
          <t>No</t>
        </is>
      </c>
      <c r="R480" s="44" t="inlineStr">
        <is>
          <t>Represented by Sample</t>
        </is>
      </c>
      <c r="S480" s="26" t="inlineStr">
        <is>
          <t>Yes</t>
        </is>
      </c>
      <c r="T480" s="27" t="n"/>
      <c r="U480" s="28" t="inlineStr">
        <is>
          <t>No</t>
        </is>
      </c>
      <c r="V480" s="29">
        <f>IF(N480="","",IF(Q480="Yes","❌ Disc",IF(P480="No","⚠ Missing",IF(S480="Yes","✓ OK","⚠ Check"))))</f>
        <v/>
      </c>
      <c r="W480" s="65" t="n">
        <v>46248</v>
      </c>
      <c r="X480" s="30" t="inlineStr">
        <is>
          <t>Sunil CR</t>
        </is>
      </c>
      <c r="Y480" s="30" t="inlineStr">
        <is>
          <t>Represented by Sample</t>
        </is>
      </c>
      <c r="Z480" s="30" t="n"/>
      <c r="AA480" s="30" t="inlineStr">
        <is>
          <t>Represented by Sample</t>
        </is>
      </c>
      <c r="AB480" s="30" t="inlineStr">
        <is>
          <t>Yes</t>
        </is>
      </c>
      <c r="AC480" s="27" t="n"/>
      <c r="AD480" s="31" t="inlineStr">
        <is>
          <t>No</t>
        </is>
      </c>
      <c r="AE480" s="32">
        <f>IF(W480="","",IF(Z480="Yes","❌ Disc",IF(Y480="No","⚠ Missing",IF(AB480="Yes","✓ OK","⚠ Check"))))</f>
        <v/>
      </c>
      <c r="AF480" s="33" t="n"/>
      <c r="AG480" s="33" t="n"/>
      <c r="AH480" s="33" t="n"/>
      <c r="AI480" s="33" t="n"/>
      <c r="AJ480" s="33" t="n"/>
      <c r="AK480" s="33" t="n"/>
      <c r="AL480" s="27" t="n"/>
      <c r="AM480" s="34" t="n"/>
      <c r="AN480" s="35">
        <f>IF(AF480="","",IF(AI480="Yes","❌ Disc",IF(AH480="No","⚠ Missing",IF(AK480="Yes","✓ OK","⚠ Check"))))</f>
        <v/>
      </c>
      <c r="AO480" s="36" t="n"/>
      <c r="AP480" s="36" t="n"/>
      <c r="AQ480" s="36" t="n"/>
      <c r="AR480" s="36" t="n"/>
      <c r="AS480" s="36" t="n"/>
      <c r="AT480" s="36" t="n"/>
      <c r="AU480" s="27" t="n"/>
      <c r="AV480" s="37" t="n"/>
      <c r="AW480" s="38">
        <f>IF(AO480="","",IF(AR480="Yes","❌ Disc",IF(AQ480="No","⚠ Missing",IF(AT480="Yes","✓ OK","⚠ Check"))))</f>
        <v/>
      </c>
    </row>
    <row r="481" ht="18" customHeight="1" s="46">
      <c r="A481" s="23" t="n">
        <v>477</v>
      </c>
      <c r="B481" s="24" t="inlineStr">
        <is>
          <t>HWSUHC1ASS96</t>
        </is>
      </c>
      <c r="C481" s="25" t="inlineStr">
        <is>
          <t>Sujin Antique Stainless Steel ASS C-1 Concealed Handle 96mm</t>
        </is>
      </c>
      <c r="D481" s="23" t="inlineStr">
        <is>
          <t>SUJIN</t>
        </is>
      </c>
      <c r="E481" s="43" t="n">
        <v>46125</v>
      </c>
      <c r="F481" s="26" t="inlineStr">
        <is>
          <t>Sunil CR</t>
        </is>
      </c>
      <c r="G481" s="44" t="inlineStr">
        <is>
          <t>Represented by Sample</t>
        </is>
      </c>
      <c r="H481" s="26" t="inlineStr">
        <is>
          <t>No</t>
        </is>
      </c>
      <c r="I481" s="44" t="inlineStr">
        <is>
          <t>Represented by Sample</t>
        </is>
      </c>
      <c r="J481" s="26" t="inlineStr">
        <is>
          <t>Yes</t>
        </is>
      </c>
      <c r="K481" s="27" t="n"/>
      <c r="L481" s="28" t="inlineStr">
        <is>
          <t>No</t>
        </is>
      </c>
      <c r="M481" s="29">
        <f>IF(E481="","",IF(H481="Yes","❌ Disc",IF(G481="No","⚠ Missing",IF(J481="Yes","✓ OK","⚠ Check"))))</f>
        <v/>
      </c>
      <c r="N481" s="43" t="n">
        <v>46196</v>
      </c>
      <c r="O481" s="26" t="inlineStr">
        <is>
          <t>Sunil CR</t>
        </is>
      </c>
      <c r="P481" s="44" t="inlineStr">
        <is>
          <t>Represented by Sample</t>
        </is>
      </c>
      <c r="Q481" s="26" t="inlineStr">
        <is>
          <t>No</t>
        </is>
      </c>
      <c r="R481" s="44" t="inlineStr">
        <is>
          <t>Represented by Sample</t>
        </is>
      </c>
      <c r="S481" s="26" t="inlineStr">
        <is>
          <t>Yes</t>
        </is>
      </c>
      <c r="T481" s="27" t="n"/>
      <c r="U481" s="28" t="inlineStr">
        <is>
          <t>No</t>
        </is>
      </c>
      <c r="V481" s="29">
        <f>IF(N481="","",IF(Q481="Yes","❌ Disc",IF(P481="No","⚠ Missing",IF(S481="Yes","✓ OK","⚠ Check"))))</f>
        <v/>
      </c>
      <c r="W481" s="65" t="n">
        <v>46248</v>
      </c>
      <c r="X481" s="30" t="inlineStr">
        <is>
          <t>Sunil CR</t>
        </is>
      </c>
      <c r="Y481" s="30" t="inlineStr">
        <is>
          <t>Represented by Sample</t>
        </is>
      </c>
      <c r="Z481" s="30" t="n"/>
      <c r="AA481" s="30" t="inlineStr">
        <is>
          <t>Represented by Sample</t>
        </is>
      </c>
      <c r="AB481" s="30" t="inlineStr">
        <is>
          <t>Yes</t>
        </is>
      </c>
      <c r="AC481" s="27" t="n"/>
      <c r="AD481" s="31" t="inlineStr">
        <is>
          <t>No</t>
        </is>
      </c>
      <c r="AE481" s="32">
        <f>IF(W481="","",IF(Z481="Yes","❌ Disc",IF(Y481="No","⚠ Missing",IF(AB481="Yes","✓ OK","⚠ Check"))))</f>
        <v/>
      </c>
      <c r="AF481" s="33" t="n"/>
      <c r="AG481" s="33" t="n"/>
      <c r="AH481" s="33" t="n"/>
      <c r="AI481" s="33" t="n"/>
      <c r="AJ481" s="33" t="n"/>
      <c r="AK481" s="33" t="n"/>
      <c r="AL481" s="27" t="n"/>
      <c r="AM481" s="34" t="n"/>
      <c r="AN481" s="35">
        <f>IF(AF481="","",IF(AI481="Yes","❌ Disc",IF(AH481="No","⚠ Missing",IF(AK481="Yes","✓ OK","⚠ Check"))))</f>
        <v/>
      </c>
      <c r="AO481" s="36" t="n"/>
      <c r="AP481" s="36" t="n"/>
      <c r="AQ481" s="36" t="n"/>
      <c r="AR481" s="36" t="n"/>
      <c r="AS481" s="36" t="n"/>
      <c r="AT481" s="36" t="n"/>
      <c r="AU481" s="27" t="n"/>
      <c r="AV481" s="37" t="n"/>
      <c r="AW481" s="38">
        <f>IF(AO481="","",IF(AR481="Yes","❌ Disc",IF(AQ481="No","⚠ Missing",IF(AT481="Yes","✓ OK","⚠ Check"))))</f>
        <v/>
      </c>
    </row>
    <row r="482" ht="18" customHeight="1" s="46">
      <c r="A482" s="39" t="n">
        <v>478</v>
      </c>
      <c r="B482" s="40" t="inlineStr">
        <is>
          <t>HWSUHCSI072ASS160</t>
        </is>
      </c>
      <c r="C482" s="41" t="inlineStr">
        <is>
          <t>Sujin Antique Stainless Steel ASS SI-072 Cabinet Handle 160mm</t>
        </is>
      </c>
      <c r="D482" s="39" t="inlineStr">
        <is>
          <t>SUJIN</t>
        </is>
      </c>
      <c r="E482" s="43" t="n">
        <v>46125</v>
      </c>
      <c r="F482" s="26" t="inlineStr">
        <is>
          <t>Sunil CR</t>
        </is>
      </c>
      <c r="G482" s="44" t="inlineStr">
        <is>
          <t>Represented by Sample</t>
        </is>
      </c>
      <c r="H482" s="26" t="inlineStr">
        <is>
          <t>No</t>
        </is>
      </c>
      <c r="I482" s="44" t="inlineStr">
        <is>
          <t>Represented by Sample</t>
        </is>
      </c>
      <c r="J482" s="26" t="inlineStr">
        <is>
          <t>Yes</t>
        </is>
      </c>
      <c r="K482" s="27" t="n"/>
      <c r="L482" s="28" t="inlineStr">
        <is>
          <t>No</t>
        </is>
      </c>
      <c r="M482" s="29">
        <f>IF(E482="","",IF(H482="Yes","❌ Disc",IF(G482="No","⚠ Missing",IF(J482="Yes","✓ OK","⚠ Check"))))</f>
        <v/>
      </c>
      <c r="N482" s="43" t="n">
        <v>46196</v>
      </c>
      <c r="O482" s="26" t="inlineStr">
        <is>
          <t>Sunil CR</t>
        </is>
      </c>
      <c r="P482" s="44" t="inlineStr">
        <is>
          <t>Represented by Sample</t>
        </is>
      </c>
      <c r="Q482" s="26" t="inlineStr">
        <is>
          <t>No</t>
        </is>
      </c>
      <c r="R482" s="44" t="inlineStr">
        <is>
          <t>Represented by Sample</t>
        </is>
      </c>
      <c r="S482" s="26" t="inlineStr">
        <is>
          <t>Yes</t>
        </is>
      </c>
      <c r="T482" s="27" t="n"/>
      <c r="U482" s="28" t="inlineStr">
        <is>
          <t>No</t>
        </is>
      </c>
      <c r="V482" s="29">
        <f>IF(N482="","",IF(Q482="Yes","❌ Disc",IF(P482="No","⚠ Missing",IF(S482="Yes","✓ OK","⚠ Check"))))</f>
        <v/>
      </c>
      <c r="W482" s="65" t="n">
        <v>46248</v>
      </c>
      <c r="X482" s="30" t="inlineStr">
        <is>
          <t>Sunil CR</t>
        </is>
      </c>
      <c r="Y482" s="30" t="inlineStr">
        <is>
          <t>Represented by Sample</t>
        </is>
      </c>
      <c r="Z482" s="30" t="n"/>
      <c r="AA482" s="30" t="inlineStr">
        <is>
          <t>Represented by Sample</t>
        </is>
      </c>
      <c r="AB482" s="30" t="inlineStr">
        <is>
          <t>Yes</t>
        </is>
      </c>
      <c r="AC482" s="27" t="n"/>
      <c r="AD482" s="31" t="inlineStr">
        <is>
          <t>No</t>
        </is>
      </c>
      <c r="AE482" s="32">
        <f>IF(W482="","",IF(Z482="Yes","❌ Disc",IF(Y482="No","⚠ Missing",IF(AB482="Yes","✓ OK","⚠ Check"))))</f>
        <v/>
      </c>
      <c r="AF482" s="33" t="n"/>
      <c r="AG482" s="33" t="n"/>
      <c r="AH482" s="33" t="n"/>
      <c r="AI482" s="33" t="n"/>
      <c r="AJ482" s="33" t="n"/>
      <c r="AK482" s="33" t="n"/>
      <c r="AL482" s="27" t="n"/>
      <c r="AM482" s="34" t="n"/>
      <c r="AN482" s="35">
        <f>IF(AF482="","",IF(AI482="Yes","❌ Disc",IF(AH482="No","⚠ Missing",IF(AK482="Yes","✓ OK","⚠ Check"))))</f>
        <v/>
      </c>
      <c r="AO482" s="36" t="n"/>
      <c r="AP482" s="36" t="n"/>
      <c r="AQ482" s="36" t="n"/>
      <c r="AR482" s="36" t="n"/>
      <c r="AS482" s="36" t="n"/>
      <c r="AT482" s="36" t="n"/>
      <c r="AU482" s="27" t="n"/>
      <c r="AV482" s="37" t="n"/>
      <c r="AW482" s="38">
        <f>IF(AO482="","",IF(AR482="Yes","❌ Disc",IF(AQ482="No","⚠ Missing",IF(AT482="Yes","✓ OK","⚠ Check"))))</f>
        <v/>
      </c>
    </row>
    <row r="483" ht="18" customHeight="1" s="46">
      <c r="A483" s="23" t="n">
        <v>479</v>
      </c>
      <c r="B483" s="24" t="inlineStr">
        <is>
          <t>HWSUHCSI072ASS224</t>
        </is>
      </c>
      <c r="C483" s="25" t="inlineStr">
        <is>
          <t>Sujin Antique Stainless Steel ASS SI-072 Cabinet Handle 224mm</t>
        </is>
      </c>
      <c r="D483" s="23" t="inlineStr">
        <is>
          <t>SUJIN</t>
        </is>
      </c>
      <c r="E483" s="43" t="n">
        <v>46125</v>
      </c>
      <c r="F483" s="26" t="inlineStr">
        <is>
          <t>Sunil CR</t>
        </is>
      </c>
      <c r="G483" s="44" t="inlineStr">
        <is>
          <t>Yes</t>
        </is>
      </c>
      <c r="H483" s="26" t="inlineStr">
        <is>
          <t>No</t>
        </is>
      </c>
      <c r="I483" s="44" t="inlineStr">
        <is>
          <t>Good finish</t>
        </is>
      </c>
      <c r="J483" s="26" t="inlineStr">
        <is>
          <t>Yes</t>
        </is>
      </c>
      <c r="K483" s="27" t="n"/>
      <c r="L483" s="28" t="inlineStr">
        <is>
          <t>No</t>
        </is>
      </c>
      <c r="M483" s="29">
        <f>IF(E483="","",IF(H483="Yes","❌ Disc",IF(G483="No","⚠ Missing",IF(J483="Yes","✓ OK","⚠ Check"))))</f>
        <v/>
      </c>
      <c r="N483" s="43" t="n">
        <v>46196</v>
      </c>
      <c r="O483" s="26" t="inlineStr">
        <is>
          <t>Sunil CR</t>
        </is>
      </c>
      <c r="P483" s="44" t="inlineStr">
        <is>
          <t>Yes</t>
        </is>
      </c>
      <c r="Q483" s="26" t="inlineStr">
        <is>
          <t>No</t>
        </is>
      </c>
      <c r="R483" s="44" t="inlineStr">
        <is>
          <t>Good finish</t>
        </is>
      </c>
      <c r="S483" s="26" t="inlineStr">
        <is>
          <t>Yes</t>
        </is>
      </c>
      <c r="T483" s="27" t="n"/>
      <c r="U483" s="28" t="inlineStr">
        <is>
          <t>No</t>
        </is>
      </c>
      <c r="V483" s="29">
        <f>IF(N483="","",IF(Q483="Yes","❌ Disc",IF(P483="No","⚠ Missing",IF(S483="Yes","✓ OK","⚠ Check"))))</f>
        <v/>
      </c>
      <c r="W483" s="65" t="n">
        <v>46248</v>
      </c>
      <c r="X483" s="30" t="inlineStr">
        <is>
          <t>Sunil CR</t>
        </is>
      </c>
      <c r="Y483" s="30" t="inlineStr">
        <is>
          <t>Yes</t>
        </is>
      </c>
      <c r="Z483" s="30" t="n"/>
      <c r="AA483" s="30" t="inlineStr">
        <is>
          <t>Good finish</t>
        </is>
      </c>
      <c r="AB483" s="30" t="inlineStr">
        <is>
          <t>Yes</t>
        </is>
      </c>
      <c r="AC483" s="27" t="n"/>
      <c r="AD483" s="31" t="inlineStr">
        <is>
          <t>No</t>
        </is>
      </c>
      <c r="AE483" s="32">
        <f>IF(W483="","",IF(Z483="Yes","❌ Disc",IF(Y483="No","⚠ Missing",IF(AB483="Yes","✓ OK","⚠ Check"))))</f>
        <v/>
      </c>
      <c r="AF483" s="33" t="n"/>
      <c r="AG483" s="33" t="n"/>
      <c r="AH483" s="33" t="n"/>
      <c r="AI483" s="33" t="n"/>
      <c r="AJ483" s="33" t="n"/>
      <c r="AK483" s="33" t="n"/>
      <c r="AL483" s="27" t="n"/>
      <c r="AM483" s="34" t="n"/>
      <c r="AN483" s="35">
        <f>IF(AF483="","",IF(AI483="Yes","❌ Disc",IF(AH483="No","⚠ Missing",IF(AK483="Yes","✓ OK","⚠ Check"))))</f>
        <v/>
      </c>
      <c r="AO483" s="36" t="n"/>
      <c r="AP483" s="36" t="n"/>
      <c r="AQ483" s="36" t="n"/>
      <c r="AR483" s="36" t="n"/>
      <c r="AS483" s="36" t="n"/>
      <c r="AT483" s="36" t="n"/>
      <c r="AU483" s="27" t="n"/>
      <c r="AV483" s="37" t="n"/>
      <c r="AW483" s="38">
        <f>IF(AO483="","",IF(AR483="Yes","❌ Disc",IF(AQ483="No","⚠ Missing",IF(AT483="Yes","✓ OK","⚠ Check"))))</f>
        <v/>
      </c>
    </row>
    <row r="484" ht="18" customHeight="1" s="46">
      <c r="A484" s="39" t="n">
        <v>480</v>
      </c>
      <c r="B484" s="40" t="inlineStr">
        <is>
          <t>HWSUHCSI072ASS288</t>
        </is>
      </c>
      <c r="C484" s="41" t="inlineStr">
        <is>
          <t>Sujin Antique Stainless Steel ASS SI-072 Cabinet Handle 288mm</t>
        </is>
      </c>
      <c r="D484" s="39" t="inlineStr">
        <is>
          <t>SUJIN</t>
        </is>
      </c>
      <c r="E484" s="43" t="n">
        <v>46125</v>
      </c>
      <c r="F484" s="26" t="inlineStr">
        <is>
          <t>Sunil CR</t>
        </is>
      </c>
      <c r="G484" s="44" t="inlineStr">
        <is>
          <t>Represented by Sample</t>
        </is>
      </c>
      <c r="H484" s="26" t="inlineStr">
        <is>
          <t>No</t>
        </is>
      </c>
      <c r="I484" s="44" t="inlineStr">
        <is>
          <t>Represented by Sample</t>
        </is>
      </c>
      <c r="J484" s="26" t="inlineStr">
        <is>
          <t>Yes</t>
        </is>
      </c>
      <c r="K484" s="27" t="n"/>
      <c r="L484" s="28" t="inlineStr">
        <is>
          <t>No</t>
        </is>
      </c>
      <c r="M484" s="29">
        <f>IF(E484="","",IF(H484="Yes","❌ Disc",IF(G484="No","⚠ Missing",IF(J484="Yes","✓ OK","⚠ Check"))))</f>
        <v/>
      </c>
      <c r="N484" s="43" t="n">
        <v>46196</v>
      </c>
      <c r="O484" s="26" t="inlineStr">
        <is>
          <t>Sunil CR</t>
        </is>
      </c>
      <c r="P484" s="44" t="inlineStr">
        <is>
          <t>Represented by Sample</t>
        </is>
      </c>
      <c r="Q484" s="26" t="inlineStr">
        <is>
          <t>No</t>
        </is>
      </c>
      <c r="R484" s="44" t="inlineStr">
        <is>
          <t>Represented by Sample</t>
        </is>
      </c>
      <c r="S484" s="26" t="inlineStr">
        <is>
          <t>Yes</t>
        </is>
      </c>
      <c r="T484" s="27" t="n"/>
      <c r="U484" s="28" t="inlineStr">
        <is>
          <t>No</t>
        </is>
      </c>
      <c r="V484" s="29">
        <f>IF(N484="","",IF(Q484="Yes","❌ Disc",IF(P484="No","⚠ Missing",IF(S484="Yes","✓ OK","⚠ Check"))))</f>
        <v/>
      </c>
      <c r="W484" s="65" t="n">
        <v>46248</v>
      </c>
      <c r="X484" s="30" t="inlineStr">
        <is>
          <t>Sunil CR</t>
        </is>
      </c>
      <c r="Y484" s="30" t="inlineStr">
        <is>
          <t>Represented by Sample</t>
        </is>
      </c>
      <c r="Z484" s="30" t="n"/>
      <c r="AA484" s="30" t="inlineStr">
        <is>
          <t>Represented by Sample</t>
        </is>
      </c>
      <c r="AB484" s="30" t="inlineStr">
        <is>
          <t>Yes</t>
        </is>
      </c>
      <c r="AC484" s="27" t="n"/>
      <c r="AD484" s="31" t="inlineStr">
        <is>
          <t>No</t>
        </is>
      </c>
      <c r="AE484" s="32">
        <f>IF(W484="","",IF(Z484="Yes","❌ Disc",IF(Y484="No","⚠ Missing",IF(AB484="Yes","✓ OK","⚠ Check"))))</f>
        <v/>
      </c>
      <c r="AF484" s="33" t="n"/>
      <c r="AG484" s="33" t="n"/>
      <c r="AH484" s="33" t="n"/>
      <c r="AI484" s="33" t="n"/>
      <c r="AJ484" s="33" t="n"/>
      <c r="AK484" s="33" t="n"/>
      <c r="AL484" s="27" t="n"/>
      <c r="AM484" s="34" t="n"/>
      <c r="AN484" s="35">
        <f>IF(AF484="","",IF(AI484="Yes","❌ Disc",IF(AH484="No","⚠ Missing",IF(AK484="Yes","✓ OK","⚠ Check"))))</f>
        <v/>
      </c>
      <c r="AO484" s="36" t="n"/>
      <c r="AP484" s="36" t="n"/>
      <c r="AQ484" s="36" t="n"/>
      <c r="AR484" s="36" t="n"/>
      <c r="AS484" s="36" t="n"/>
      <c r="AT484" s="36" t="n"/>
      <c r="AU484" s="27" t="n"/>
      <c r="AV484" s="37" t="n"/>
      <c r="AW484" s="38">
        <f>IF(AO484="","",IF(AR484="Yes","❌ Disc",IF(AQ484="No","⚠ Missing",IF(AT484="Yes","✓ OK","⚠ Check"))))</f>
        <v/>
      </c>
    </row>
    <row r="485" ht="18" customHeight="1" s="46">
      <c r="A485" s="23" t="n">
        <v>481</v>
      </c>
      <c r="B485" s="24" t="inlineStr">
        <is>
          <t>HWSUHCSI072ASS448</t>
        </is>
      </c>
      <c r="C485" s="25" t="inlineStr">
        <is>
          <t>Sujin Antique Stainless Steel ASS SI-072 Cabinet Handle 448mm</t>
        </is>
      </c>
      <c r="D485" s="23" t="inlineStr">
        <is>
          <t>SUJIN</t>
        </is>
      </c>
      <c r="E485" s="43" t="n">
        <v>46125</v>
      </c>
      <c r="F485" s="26" t="inlineStr">
        <is>
          <t>Sunil CR</t>
        </is>
      </c>
      <c r="G485" s="44" t="inlineStr">
        <is>
          <t>Represented by Sample</t>
        </is>
      </c>
      <c r="H485" s="26" t="inlineStr">
        <is>
          <t>No</t>
        </is>
      </c>
      <c r="I485" s="44" t="inlineStr">
        <is>
          <t>Represented by Sample</t>
        </is>
      </c>
      <c r="J485" s="26" t="inlineStr">
        <is>
          <t>Yes</t>
        </is>
      </c>
      <c r="K485" s="27" t="n"/>
      <c r="L485" s="28" t="inlineStr">
        <is>
          <t>No</t>
        </is>
      </c>
      <c r="M485" s="29">
        <f>IF(E485="","",IF(H485="Yes","❌ Disc",IF(G485="No","⚠ Missing",IF(J485="Yes","✓ OK","⚠ Check"))))</f>
        <v/>
      </c>
      <c r="N485" s="43" t="n">
        <v>46196</v>
      </c>
      <c r="O485" s="26" t="inlineStr">
        <is>
          <t>Sunil CR</t>
        </is>
      </c>
      <c r="P485" s="44" t="inlineStr">
        <is>
          <t>Represented by Sample</t>
        </is>
      </c>
      <c r="Q485" s="26" t="inlineStr">
        <is>
          <t>No</t>
        </is>
      </c>
      <c r="R485" s="44" t="inlineStr">
        <is>
          <t>Represented by Sample</t>
        </is>
      </c>
      <c r="S485" s="26" t="inlineStr">
        <is>
          <t>Yes</t>
        </is>
      </c>
      <c r="T485" s="27" t="n"/>
      <c r="U485" s="28" t="inlineStr">
        <is>
          <t>No</t>
        </is>
      </c>
      <c r="V485" s="29">
        <f>IF(N485="","",IF(Q485="Yes","❌ Disc",IF(P485="No","⚠ Missing",IF(S485="Yes","✓ OK","⚠ Check"))))</f>
        <v/>
      </c>
      <c r="W485" s="65" t="n">
        <v>46248</v>
      </c>
      <c r="X485" s="30" t="inlineStr">
        <is>
          <t>Sunil CR</t>
        </is>
      </c>
      <c r="Y485" s="30" t="inlineStr">
        <is>
          <t>Represented by Sample</t>
        </is>
      </c>
      <c r="Z485" s="30" t="n"/>
      <c r="AA485" s="30" t="inlineStr">
        <is>
          <t>Represented by Sample</t>
        </is>
      </c>
      <c r="AB485" s="30" t="inlineStr">
        <is>
          <t>Yes</t>
        </is>
      </c>
      <c r="AC485" s="27" t="n"/>
      <c r="AD485" s="31" t="inlineStr">
        <is>
          <t>No</t>
        </is>
      </c>
      <c r="AE485" s="32">
        <f>IF(W485="","",IF(Z485="Yes","❌ Disc",IF(Y485="No","⚠ Missing",IF(AB485="Yes","✓ OK","⚠ Check"))))</f>
        <v/>
      </c>
      <c r="AF485" s="33" t="n"/>
      <c r="AG485" s="33" t="n"/>
      <c r="AH485" s="33" t="n"/>
      <c r="AI485" s="33" t="n"/>
      <c r="AJ485" s="33" t="n"/>
      <c r="AK485" s="33" t="n"/>
      <c r="AL485" s="27" t="n"/>
      <c r="AM485" s="34" t="n"/>
      <c r="AN485" s="35">
        <f>IF(AF485="","",IF(AI485="Yes","❌ Disc",IF(AH485="No","⚠ Missing",IF(AK485="Yes","✓ OK","⚠ Check"))))</f>
        <v/>
      </c>
      <c r="AO485" s="36" t="n"/>
      <c r="AP485" s="36" t="n"/>
      <c r="AQ485" s="36" t="n"/>
      <c r="AR485" s="36" t="n"/>
      <c r="AS485" s="36" t="n"/>
      <c r="AT485" s="36" t="n"/>
      <c r="AU485" s="27" t="n"/>
      <c r="AV485" s="37" t="n"/>
      <c r="AW485" s="38">
        <f>IF(AO485="","",IF(AR485="Yes","❌ Disc",IF(AQ485="No","⚠ Missing",IF(AT485="Yes","✓ OK","⚠ Check"))))</f>
        <v/>
      </c>
    </row>
    <row r="486" ht="18" customHeight="1" s="46">
      <c r="A486" s="39" t="n">
        <v>482</v>
      </c>
      <c r="B486" s="40" t="inlineStr">
        <is>
          <t>HWSUHCSI072ASS576</t>
        </is>
      </c>
      <c r="C486" s="41" t="inlineStr">
        <is>
          <t>Sujin Antique Stainless Steel ASS SI-072 Cabinet Handle 576mm</t>
        </is>
      </c>
      <c r="D486" s="39" t="inlineStr">
        <is>
          <t>SUJIN</t>
        </is>
      </c>
      <c r="E486" s="43" t="n">
        <v>46125</v>
      </c>
      <c r="F486" s="26" t="inlineStr">
        <is>
          <t>Sunil CR</t>
        </is>
      </c>
      <c r="G486" s="44" t="inlineStr">
        <is>
          <t>Represented by Sample</t>
        </is>
      </c>
      <c r="H486" s="26" t="inlineStr">
        <is>
          <t>No</t>
        </is>
      </c>
      <c r="I486" s="44" t="inlineStr">
        <is>
          <t>Represented by Sample</t>
        </is>
      </c>
      <c r="J486" s="26" t="inlineStr">
        <is>
          <t>Yes</t>
        </is>
      </c>
      <c r="K486" s="27" t="n"/>
      <c r="L486" s="28" t="inlineStr">
        <is>
          <t>No</t>
        </is>
      </c>
      <c r="M486" s="29">
        <f>IF(E486="","",IF(H486="Yes","❌ Disc",IF(G486="No","⚠ Missing",IF(J486="Yes","✓ OK","⚠ Check"))))</f>
        <v/>
      </c>
      <c r="N486" s="43" t="n">
        <v>46196</v>
      </c>
      <c r="O486" s="26" t="inlineStr">
        <is>
          <t>Sunil CR</t>
        </is>
      </c>
      <c r="P486" s="44" t="inlineStr">
        <is>
          <t>Represented by Sample</t>
        </is>
      </c>
      <c r="Q486" s="26" t="inlineStr">
        <is>
          <t>No</t>
        </is>
      </c>
      <c r="R486" s="44" t="inlineStr">
        <is>
          <t>Represented by Sample</t>
        </is>
      </c>
      <c r="S486" s="26" t="inlineStr">
        <is>
          <t>Yes</t>
        </is>
      </c>
      <c r="T486" s="27" t="n"/>
      <c r="U486" s="28" t="inlineStr">
        <is>
          <t>No</t>
        </is>
      </c>
      <c r="V486" s="29">
        <f>IF(N486="","",IF(Q486="Yes","❌ Disc",IF(P486="No","⚠ Missing",IF(S486="Yes","✓ OK","⚠ Check"))))</f>
        <v/>
      </c>
      <c r="W486" s="65" t="n">
        <v>46248</v>
      </c>
      <c r="X486" s="30" t="inlineStr">
        <is>
          <t>Sunil CR</t>
        </is>
      </c>
      <c r="Y486" s="30" t="inlineStr">
        <is>
          <t>Represented by Sample</t>
        </is>
      </c>
      <c r="Z486" s="30" t="n"/>
      <c r="AA486" s="30" t="inlineStr">
        <is>
          <t>Represented by Sample</t>
        </is>
      </c>
      <c r="AB486" s="30" t="inlineStr">
        <is>
          <t>Yes</t>
        </is>
      </c>
      <c r="AC486" s="27" t="n"/>
      <c r="AD486" s="31" t="inlineStr">
        <is>
          <t>No</t>
        </is>
      </c>
      <c r="AE486" s="32">
        <f>IF(W486="","",IF(Z486="Yes","❌ Disc",IF(Y486="No","⚠ Missing",IF(AB486="Yes","✓ OK","⚠ Check"))))</f>
        <v/>
      </c>
      <c r="AF486" s="33" t="n"/>
      <c r="AG486" s="33" t="n"/>
      <c r="AH486" s="33" t="n"/>
      <c r="AI486" s="33" t="n"/>
      <c r="AJ486" s="33" t="n"/>
      <c r="AK486" s="33" t="n"/>
      <c r="AL486" s="27" t="n"/>
      <c r="AM486" s="34" t="n"/>
      <c r="AN486" s="35">
        <f>IF(AF486="","",IF(AI486="Yes","❌ Disc",IF(AH486="No","⚠ Missing",IF(AK486="Yes","✓ OK","⚠ Check"))))</f>
        <v/>
      </c>
      <c r="AO486" s="36" t="n"/>
      <c r="AP486" s="36" t="n"/>
      <c r="AQ486" s="36" t="n"/>
      <c r="AR486" s="36" t="n"/>
      <c r="AS486" s="36" t="n"/>
      <c r="AT486" s="36" t="n"/>
      <c r="AU486" s="27" t="n"/>
      <c r="AV486" s="37" t="n"/>
      <c r="AW486" s="38">
        <f>IF(AO486="","",IF(AR486="Yes","❌ Disc",IF(AQ486="No","⚠ Missing",IF(AT486="Yes","✓ OK","⚠ Check"))))</f>
        <v/>
      </c>
    </row>
    <row r="487" ht="18" customHeight="1" s="46">
      <c r="A487" s="23" t="n">
        <v>483</v>
      </c>
      <c r="B487" s="24" t="inlineStr">
        <is>
          <t>HWSUHCSI072ASS896</t>
        </is>
      </c>
      <c r="C487" s="25" t="inlineStr">
        <is>
          <t>Sujin Antique Stainless Steel ASS SI-072 Cabinet Handle 896mm</t>
        </is>
      </c>
      <c r="D487" s="23" t="inlineStr">
        <is>
          <t>SUJIN</t>
        </is>
      </c>
      <c r="E487" s="43" t="n">
        <v>46125</v>
      </c>
      <c r="F487" s="26" t="inlineStr">
        <is>
          <t>Sunil CR</t>
        </is>
      </c>
      <c r="G487" s="44" t="inlineStr">
        <is>
          <t>Represented by Sample</t>
        </is>
      </c>
      <c r="H487" s="26" t="inlineStr">
        <is>
          <t>No</t>
        </is>
      </c>
      <c r="I487" s="44" t="inlineStr">
        <is>
          <t>Represented by Sample</t>
        </is>
      </c>
      <c r="J487" s="26" t="inlineStr">
        <is>
          <t>Yes</t>
        </is>
      </c>
      <c r="K487" s="27" t="n"/>
      <c r="L487" s="28" t="inlineStr">
        <is>
          <t>No</t>
        </is>
      </c>
      <c r="M487" s="29">
        <f>IF(E487="","",IF(H487="Yes","❌ Disc",IF(G487="No","⚠ Missing",IF(J487="Yes","✓ OK","⚠ Check"))))</f>
        <v/>
      </c>
      <c r="N487" s="43" t="n">
        <v>46196</v>
      </c>
      <c r="O487" s="26" t="inlineStr">
        <is>
          <t>Sunil CR</t>
        </is>
      </c>
      <c r="P487" s="44" t="inlineStr">
        <is>
          <t>Represented by Sample</t>
        </is>
      </c>
      <c r="Q487" s="26" t="inlineStr">
        <is>
          <t>No</t>
        </is>
      </c>
      <c r="R487" s="44" t="inlineStr">
        <is>
          <t>Represented by Sample</t>
        </is>
      </c>
      <c r="S487" s="26" t="inlineStr">
        <is>
          <t>Yes</t>
        </is>
      </c>
      <c r="T487" s="27" t="n"/>
      <c r="U487" s="28" t="inlineStr">
        <is>
          <t>No</t>
        </is>
      </c>
      <c r="V487" s="29">
        <f>IF(N487="","",IF(Q487="Yes","❌ Disc",IF(P487="No","⚠ Missing",IF(S487="Yes","✓ OK","⚠ Check"))))</f>
        <v/>
      </c>
      <c r="W487" s="65" t="n">
        <v>46248</v>
      </c>
      <c r="X487" s="30" t="inlineStr">
        <is>
          <t>Sunil CR</t>
        </is>
      </c>
      <c r="Y487" s="30" t="inlineStr">
        <is>
          <t>Represented by Sample</t>
        </is>
      </c>
      <c r="Z487" s="30" t="n"/>
      <c r="AA487" s="30" t="inlineStr">
        <is>
          <t>Represented by Sample</t>
        </is>
      </c>
      <c r="AB487" s="30" t="inlineStr">
        <is>
          <t>Yes</t>
        </is>
      </c>
      <c r="AC487" s="27" t="n"/>
      <c r="AD487" s="31" t="inlineStr">
        <is>
          <t>No</t>
        </is>
      </c>
      <c r="AE487" s="32">
        <f>IF(W487="","",IF(Z487="Yes","❌ Disc",IF(Y487="No","⚠ Missing",IF(AB487="Yes","✓ OK","⚠ Check"))))</f>
        <v/>
      </c>
      <c r="AF487" s="33" t="n"/>
      <c r="AG487" s="33" t="n"/>
      <c r="AH487" s="33" t="n"/>
      <c r="AI487" s="33" t="n"/>
      <c r="AJ487" s="33" t="n"/>
      <c r="AK487" s="33" t="n"/>
      <c r="AL487" s="27" t="n"/>
      <c r="AM487" s="34" t="n"/>
      <c r="AN487" s="35">
        <f>IF(AF487="","",IF(AI487="Yes","❌ Disc",IF(AH487="No","⚠ Missing",IF(AK487="Yes","✓ OK","⚠ Check"))))</f>
        <v/>
      </c>
      <c r="AO487" s="36" t="n"/>
      <c r="AP487" s="36" t="n"/>
      <c r="AQ487" s="36" t="n"/>
      <c r="AR487" s="36" t="n"/>
      <c r="AS487" s="36" t="n"/>
      <c r="AT487" s="36" t="n"/>
      <c r="AU487" s="27" t="n"/>
      <c r="AV487" s="37" t="n"/>
      <c r="AW487" s="38">
        <f>IF(AO487="","",IF(AR487="Yes","❌ Disc",IF(AQ487="No","⚠ Missing",IF(AT487="Yes","✓ OK","⚠ Check"))))</f>
        <v/>
      </c>
    </row>
    <row r="488" ht="18" customHeight="1" s="46">
      <c r="A488" s="39" t="n">
        <v>484</v>
      </c>
      <c r="B488" s="40" t="inlineStr">
        <is>
          <t>HWSUHCSI072ASS96</t>
        </is>
      </c>
      <c r="C488" s="41" t="inlineStr">
        <is>
          <t>Sujin Antique Stainless Steel ASS SI-072 Cabinet Handle 96mm</t>
        </is>
      </c>
      <c r="D488" s="39" t="inlineStr">
        <is>
          <t>SUJIN</t>
        </is>
      </c>
      <c r="E488" s="43" t="n">
        <v>46125</v>
      </c>
      <c r="F488" s="26" t="inlineStr">
        <is>
          <t>Sunil CR</t>
        </is>
      </c>
      <c r="G488" s="44" t="inlineStr">
        <is>
          <t>Represented by Sample</t>
        </is>
      </c>
      <c r="H488" s="26" t="inlineStr">
        <is>
          <t>No</t>
        </is>
      </c>
      <c r="I488" s="44" t="inlineStr">
        <is>
          <t>Represented by Sample</t>
        </is>
      </c>
      <c r="J488" s="26" t="inlineStr">
        <is>
          <t>Yes</t>
        </is>
      </c>
      <c r="K488" s="27" t="n"/>
      <c r="L488" s="28" t="inlineStr">
        <is>
          <t>No</t>
        </is>
      </c>
      <c r="M488" s="29">
        <f>IF(E488="","",IF(H488="Yes","❌ Disc",IF(G488="No","⚠ Missing",IF(J488="Yes","✓ OK","⚠ Check"))))</f>
        <v/>
      </c>
      <c r="N488" s="43" t="n">
        <v>46196</v>
      </c>
      <c r="O488" s="26" t="inlineStr">
        <is>
          <t>Sunil CR</t>
        </is>
      </c>
      <c r="P488" s="44" t="inlineStr">
        <is>
          <t>Represented by Sample</t>
        </is>
      </c>
      <c r="Q488" s="26" t="inlineStr">
        <is>
          <t>No</t>
        </is>
      </c>
      <c r="R488" s="44" t="inlineStr">
        <is>
          <t>Represented by Sample</t>
        </is>
      </c>
      <c r="S488" s="26" t="inlineStr">
        <is>
          <t>Yes</t>
        </is>
      </c>
      <c r="T488" s="27" t="n"/>
      <c r="U488" s="28" t="inlineStr">
        <is>
          <t>No</t>
        </is>
      </c>
      <c r="V488" s="29">
        <f>IF(N488="","",IF(Q488="Yes","❌ Disc",IF(P488="No","⚠ Missing",IF(S488="Yes","✓ OK","⚠ Check"))))</f>
        <v/>
      </c>
      <c r="W488" s="65" t="n">
        <v>46248</v>
      </c>
      <c r="X488" s="30" t="inlineStr">
        <is>
          <t>Sunil CR</t>
        </is>
      </c>
      <c r="Y488" s="30" t="inlineStr">
        <is>
          <t>Represented by Sample</t>
        </is>
      </c>
      <c r="Z488" s="30" t="n"/>
      <c r="AA488" s="30" t="inlineStr">
        <is>
          <t>Represented by Sample</t>
        </is>
      </c>
      <c r="AB488" s="30" t="inlineStr">
        <is>
          <t>Yes</t>
        </is>
      </c>
      <c r="AC488" s="27" t="n"/>
      <c r="AD488" s="31" t="inlineStr">
        <is>
          <t>No</t>
        </is>
      </c>
      <c r="AE488" s="32">
        <f>IF(W488="","",IF(Z488="Yes","❌ Disc",IF(Y488="No","⚠ Missing",IF(AB488="Yes","✓ OK","⚠ Check"))))</f>
        <v/>
      </c>
      <c r="AF488" s="33" t="n"/>
      <c r="AG488" s="33" t="n"/>
      <c r="AH488" s="33" t="n"/>
      <c r="AI488" s="33" t="n"/>
      <c r="AJ488" s="33" t="n"/>
      <c r="AK488" s="33" t="n"/>
      <c r="AL488" s="27" t="n"/>
      <c r="AM488" s="34" t="n"/>
      <c r="AN488" s="35">
        <f>IF(AF488="","",IF(AI488="Yes","❌ Disc",IF(AH488="No","⚠ Missing",IF(AK488="Yes","✓ OK","⚠ Check"))))</f>
        <v/>
      </c>
      <c r="AO488" s="36" t="n"/>
      <c r="AP488" s="36" t="n"/>
      <c r="AQ488" s="36" t="n"/>
      <c r="AR488" s="36" t="n"/>
      <c r="AS488" s="36" t="n"/>
      <c r="AT488" s="36" t="n"/>
      <c r="AU488" s="27" t="n"/>
      <c r="AV488" s="37" t="n"/>
      <c r="AW488" s="38">
        <f>IF(AO488="","",IF(AR488="Yes","❌ Disc",IF(AQ488="No","⚠ Missing",IF(AT488="Yes","✓ OK","⚠ Check"))))</f>
        <v/>
      </c>
    </row>
    <row r="489" ht="18" customHeight="1" s="46">
      <c r="A489" s="23" t="n">
        <v>485</v>
      </c>
      <c r="B489" s="24" t="inlineStr">
        <is>
          <t>HWSUHCSGH1019ASS200</t>
        </is>
      </c>
      <c r="C489" s="25" t="inlineStr">
        <is>
          <t>Sujin ASS SGH-1019 Cabinet Handle 200mm</t>
        </is>
      </c>
      <c r="D489" s="23" t="inlineStr">
        <is>
          <t>SUJIN</t>
        </is>
      </c>
      <c r="E489" s="43" t="n">
        <v>46125</v>
      </c>
      <c r="F489" s="26" t="inlineStr">
        <is>
          <t>Sunil CR</t>
        </is>
      </c>
      <c r="G489" s="44" t="inlineStr">
        <is>
          <t>Represented by Sample</t>
        </is>
      </c>
      <c r="H489" s="26" t="inlineStr">
        <is>
          <t>No</t>
        </is>
      </c>
      <c r="I489" s="44" t="inlineStr">
        <is>
          <t>Represented by Sample</t>
        </is>
      </c>
      <c r="J489" s="26" t="inlineStr">
        <is>
          <t>Yes</t>
        </is>
      </c>
      <c r="K489" s="27" t="n"/>
      <c r="L489" s="28" t="inlineStr">
        <is>
          <t>No</t>
        </is>
      </c>
      <c r="M489" s="29">
        <f>IF(E489="","",IF(H489="Yes","❌ Disc",IF(G489="No","⚠ Missing",IF(J489="Yes","✓ OK","⚠ Check"))))</f>
        <v/>
      </c>
      <c r="N489" s="43" t="n">
        <v>46196</v>
      </c>
      <c r="O489" s="26" t="inlineStr">
        <is>
          <t>Sunil CR</t>
        </is>
      </c>
      <c r="P489" s="44" t="inlineStr">
        <is>
          <t>Represented by Sample</t>
        </is>
      </c>
      <c r="Q489" s="26" t="inlineStr">
        <is>
          <t>No</t>
        </is>
      </c>
      <c r="R489" s="44" t="inlineStr">
        <is>
          <t>Represented by Sample</t>
        </is>
      </c>
      <c r="S489" s="26" t="inlineStr">
        <is>
          <t>Yes</t>
        </is>
      </c>
      <c r="T489" s="27" t="n"/>
      <c r="U489" s="28" t="inlineStr">
        <is>
          <t>No</t>
        </is>
      </c>
      <c r="V489" s="29">
        <f>IF(N489="","",IF(Q489="Yes","❌ Disc",IF(P489="No","⚠ Missing",IF(S489="Yes","✓ OK","⚠ Check"))))</f>
        <v/>
      </c>
      <c r="W489" s="65" t="n">
        <v>46248</v>
      </c>
      <c r="X489" s="30" t="inlineStr">
        <is>
          <t>Sunil CR</t>
        </is>
      </c>
      <c r="Y489" s="30" t="inlineStr">
        <is>
          <t>Represented by Sample</t>
        </is>
      </c>
      <c r="Z489" s="30" t="n"/>
      <c r="AA489" s="30" t="inlineStr">
        <is>
          <t>Represented by Sample</t>
        </is>
      </c>
      <c r="AB489" s="30" t="inlineStr">
        <is>
          <t>Yes</t>
        </is>
      </c>
      <c r="AC489" s="27" t="n"/>
      <c r="AD489" s="31" t="inlineStr">
        <is>
          <t>No</t>
        </is>
      </c>
      <c r="AE489" s="32">
        <f>IF(W489="","",IF(Z489="Yes","❌ Disc",IF(Y489="No","⚠ Missing",IF(AB489="Yes","✓ OK","⚠ Check"))))</f>
        <v/>
      </c>
      <c r="AF489" s="33" t="n"/>
      <c r="AG489" s="33" t="n"/>
      <c r="AH489" s="33" t="n"/>
      <c r="AI489" s="33" t="n"/>
      <c r="AJ489" s="33" t="n"/>
      <c r="AK489" s="33" t="n"/>
      <c r="AL489" s="27" t="n"/>
      <c r="AM489" s="34" t="n"/>
      <c r="AN489" s="35">
        <f>IF(AF489="","",IF(AI489="Yes","❌ Disc",IF(AH489="No","⚠ Missing",IF(AK489="Yes","✓ OK","⚠ Check"))))</f>
        <v/>
      </c>
      <c r="AO489" s="36" t="n"/>
      <c r="AP489" s="36" t="n"/>
      <c r="AQ489" s="36" t="n"/>
      <c r="AR489" s="36" t="n"/>
      <c r="AS489" s="36" t="n"/>
      <c r="AT489" s="36" t="n"/>
      <c r="AU489" s="27" t="n"/>
      <c r="AV489" s="37" t="n"/>
      <c r="AW489" s="38">
        <f>IF(AO489="","",IF(AR489="Yes","❌ Disc",IF(AQ489="No","⚠ Missing",IF(AT489="Yes","✓ OK","⚠ Check"))))</f>
        <v/>
      </c>
    </row>
    <row r="490" ht="18" customHeight="1" s="46">
      <c r="A490" s="39" t="n">
        <v>486</v>
      </c>
      <c r="B490" s="40" t="inlineStr">
        <is>
          <t>HWSUHCSGH1019ASS300</t>
        </is>
      </c>
      <c r="C490" s="41" t="inlineStr">
        <is>
          <t>Sujin ASS SGH-1019 Cabinet Handle 300mm</t>
        </is>
      </c>
      <c r="D490" s="39" t="inlineStr">
        <is>
          <t>SUJIN</t>
        </is>
      </c>
      <c r="E490" s="43" t="n">
        <v>46125</v>
      </c>
      <c r="F490" s="26" t="inlineStr">
        <is>
          <t>Sunil CR</t>
        </is>
      </c>
      <c r="G490" s="44" t="inlineStr">
        <is>
          <t>Represented by Sample</t>
        </is>
      </c>
      <c r="H490" s="26" t="inlineStr">
        <is>
          <t>No</t>
        </is>
      </c>
      <c r="I490" s="44" t="inlineStr">
        <is>
          <t>Represented by Sample</t>
        </is>
      </c>
      <c r="J490" s="26" t="inlineStr">
        <is>
          <t>Yes</t>
        </is>
      </c>
      <c r="K490" s="27" t="n"/>
      <c r="L490" s="28" t="inlineStr">
        <is>
          <t>No</t>
        </is>
      </c>
      <c r="M490" s="29">
        <f>IF(E490="","",IF(H490="Yes","❌ Disc",IF(G490="No","⚠ Missing",IF(J490="Yes","✓ OK","⚠ Check"))))</f>
        <v/>
      </c>
      <c r="N490" s="43" t="n">
        <v>46196</v>
      </c>
      <c r="O490" s="26" t="inlineStr">
        <is>
          <t>Sunil CR</t>
        </is>
      </c>
      <c r="P490" s="44" t="inlineStr">
        <is>
          <t>Represented by Sample</t>
        </is>
      </c>
      <c r="Q490" s="26" t="inlineStr">
        <is>
          <t>No</t>
        </is>
      </c>
      <c r="R490" s="44" t="inlineStr">
        <is>
          <t>Represented by Sample</t>
        </is>
      </c>
      <c r="S490" s="26" t="inlineStr">
        <is>
          <t>Yes</t>
        </is>
      </c>
      <c r="T490" s="27" t="n"/>
      <c r="U490" s="28" t="inlineStr">
        <is>
          <t>No</t>
        </is>
      </c>
      <c r="V490" s="29">
        <f>IF(N490="","",IF(Q490="Yes","❌ Disc",IF(P490="No","⚠ Missing",IF(S490="Yes","✓ OK","⚠ Check"))))</f>
        <v/>
      </c>
      <c r="W490" s="65" t="n">
        <v>46248</v>
      </c>
      <c r="X490" s="30" t="inlineStr">
        <is>
          <t>Sunil CR</t>
        </is>
      </c>
      <c r="Y490" s="30" t="inlineStr">
        <is>
          <t>Represented by Sample</t>
        </is>
      </c>
      <c r="Z490" s="30" t="n"/>
      <c r="AA490" s="30" t="inlineStr">
        <is>
          <t>Represented by Sample</t>
        </is>
      </c>
      <c r="AB490" s="30" t="inlineStr">
        <is>
          <t>Yes</t>
        </is>
      </c>
      <c r="AC490" s="27" t="n"/>
      <c r="AD490" s="31" t="inlineStr">
        <is>
          <t>No</t>
        </is>
      </c>
      <c r="AE490" s="32">
        <f>IF(W490="","",IF(Z490="Yes","❌ Disc",IF(Y490="No","⚠ Missing",IF(AB490="Yes","✓ OK","⚠ Check"))))</f>
        <v/>
      </c>
      <c r="AF490" s="33" t="n"/>
      <c r="AG490" s="33" t="n"/>
      <c r="AH490" s="33" t="n"/>
      <c r="AI490" s="33" t="n"/>
      <c r="AJ490" s="33" t="n"/>
      <c r="AK490" s="33" t="n"/>
      <c r="AL490" s="27" t="n"/>
      <c r="AM490" s="34" t="n"/>
      <c r="AN490" s="35">
        <f>IF(AF490="","",IF(AI490="Yes","❌ Disc",IF(AH490="No","⚠ Missing",IF(AK490="Yes","✓ OK","⚠ Check"))))</f>
        <v/>
      </c>
      <c r="AO490" s="36" t="n"/>
      <c r="AP490" s="36" t="n"/>
      <c r="AQ490" s="36" t="n"/>
      <c r="AR490" s="36" t="n"/>
      <c r="AS490" s="36" t="n"/>
      <c r="AT490" s="36" t="n"/>
      <c r="AU490" s="27" t="n"/>
      <c r="AV490" s="37" t="n"/>
      <c r="AW490" s="38">
        <f>IF(AO490="","",IF(AR490="Yes","❌ Disc",IF(AQ490="No","⚠ Missing",IF(AT490="Yes","✓ OK","⚠ Check"))))</f>
        <v/>
      </c>
    </row>
    <row r="491" ht="18" customHeight="1" s="46">
      <c r="A491" s="23" t="n">
        <v>487</v>
      </c>
      <c r="B491" s="24" t="inlineStr">
        <is>
          <t>HWSUHCSGH1019ASS450</t>
        </is>
      </c>
      <c r="C491" s="25" t="inlineStr">
        <is>
          <t>Sujin ASS SGH-1019 Cabinet Handle 450mm</t>
        </is>
      </c>
      <c r="D491" s="23" t="inlineStr">
        <is>
          <t>SUJIN</t>
        </is>
      </c>
      <c r="E491" s="43" t="n">
        <v>46125</v>
      </c>
      <c r="F491" s="26" t="inlineStr">
        <is>
          <t>Sunil CR</t>
        </is>
      </c>
      <c r="G491" s="44" t="inlineStr">
        <is>
          <t>Yes</t>
        </is>
      </c>
      <c r="H491" s="26" t="inlineStr">
        <is>
          <t>No</t>
        </is>
      </c>
      <c r="I491" s="44" t="inlineStr">
        <is>
          <t>Good finish</t>
        </is>
      </c>
      <c r="J491" s="26" t="inlineStr">
        <is>
          <t>Yes</t>
        </is>
      </c>
      <c r="K491" s="27" t="n"/>
      <c r="L491" s="28" t="inlineStr">
        <is>
          <t>No</t>
        </is>
      </c>
      <c r="M491" s="29">
        <f>IF(E491="","",IF(H491="Yes","❌ Disc",IF(G491="No","⚠ Missing",IF(J491="Yes","✓ OK","⚠ Check"))))</f>
        <v/>
      </c>
      <c r="N491" s="43" t="n">
        <v>46196</v>
      </c>
      <c r="O491" s="26" t="inlineStr">
        <is>
          <t>Sunil CR</t>
        </is>
      </c>
      <c r="P491" s="44" t="inlineStr">
        <is>
          <t>Yes</t>
        </is>
      </c>
      <c r="Q491" s="26" t="inlineStr">
        <is>
          <t>No</t>
        </is>
      </c>
      <c r="R491" s="44" t="inlineStr">
        <is>
          <t>Good finish</t>
        </is>
      </c>
      <c r="S491" s="26" t="inlineStr">
        <is>
          <t>Yes</t>
        </is>
      </c>
      <c r="T491" s="27" t="n"/>
      <c r="U491" s="28" t="inlineStr">
        <is>
          <t>No</t>
        </is>
      </c>
      <c r="V491" s="29">
        <f>IF(N491="","",IF(Q491="Yes","❌ Disc",IF(P491="No","⚠ Missing",IF(S491="Yes","✓ OK","⚠ Check"))))</f>
        <v/>
      </c>
      <c r="W491" s="65" t="n">
        <v>46248</v>
      </c>
      <c r="X491" s="30" t="inlineStr">
        <is>
          <t>Sunil CR</t>
        </is>
      </c>
      <c r="Y491" s="30" t="inlineStr">
        <is>
          <t>Yes</t>
        </is>
      </c>
      <c r="Z491" s="30" t="n"/>
      <c r="AA491" s="30" t="inlineStr">
        <is>
          <t>Good finish</t>
        </is>
      </c>
      <c r="AB491" s="30" t="inlineStr">
        <is>
          <t>Yes</t>
        </is>
      </c>
      <c r="AC491" s="27" t="n"/>
      <c r="AD491" s="31" t="inlineStr">
        <is>
          <t>No</t>
        </is>
      </c>
      <c r="AE491" s="32">
        <f>IF(W491="","",IF(Z491="Yes","❌ Disc",IF(Y491="No","⚠ Missing",IF(AB491="Yes","✓ OK","⚠ Check"))))</f>
        <v/>
      </c>
      <c r="AF491" s="33" t="n"/>
      <c r="AG491" s="33" t="n"/>
      <c r="AH491" s="33" t="n"/>
      <c r="AI491" s="33" t="n"/>
      <c r="AJ491" s="33" t="n"/>
      <c r="AK491" s="33" t="n"/>
      <c r="AL491" s="27" t="n"/>
      <c r="AM491" s="34" t="n"/>
      <c r="AN491" s="35">
        <f>IF(AF491="","",IF(AI491="Yes","❌ Disc",IF(AH491="No","⚠ Missing",IF(AK491="Yes","✓ OK","⚠ Check"))))</f>
        <v/>
      </c>
      <c r="AO491" s="36" t="n"/>
      <c r="AP491" s="36" t="n"/>
      <c r="AQ491" s="36" t="n"/>
      <c r="AR491" s="36" t="n"/>
      <c r="AS491" s="36" t="n"/>
      <c r="AT491" s="36" t="n"/>
      <c r="AU491" s="27" t="n"/>
      <c r="AV491" s="37" t="n"/>
      <c r="AW491" s="38">
        <f>IF(AO491="","",IF(AR491="Yes","❌ Disc",IF(AQ491="No","⚠ Missing",IF(AT491="Yes","✓ OK","⚠ Check"))))</f>
        <v/>
      </c>
    </row>
    <row r="492" ht="18" customHeight="1" s="46">
      <c r="A492" s="39" t="n">
        <v>488</v>
      </c>
      <c r="B492" s="40" t="inlineStr">
        <is>
          <t>HWSUHCSGH1019ASS600</t>
        </is>
      </c>
      <c r="C492" s="41" t="inlineStr">
        <is>
          <t>Sujin ASS SGH-1019 Cabinet Handle 600mm</t>
        </is>
      </c>
      <c r="D492" s="39" t="inlineStr">
        <is>
          <t>SUJIN</t>
        </is>
      </c>
      <c r="E492" s="43" t="n">
        <v>46125</v>
      </c>
      <c r="F492" s="26" t="inlineStr">
        <is>
          <t>Sunil CR</t>
        </is>
      </c>
      <c r="G492" s="44" t="inlineStr">
        <is>
          <t>Represented by Sample</t>
        </is>
      </c>
      <c r="H492" s="26" t="inlineStr">
        <is>
          <t>No</t>
        </is>
      </c>
      <c r="I492" s="44" t="inlineStr">
        <is>
          <t>Represented by Sample</t>
        </is>
      </c>
      <c r="J492" s="26" t="inlineStr">
        <is>
          <t>Yes</t>
        </is>
      </c>
      <c r="K492" s="27" t="n"/>
      <c r="L492" s="28" t="inlineStr">
        <is>
          <t>No</t>
        </is>
      </c>
      <c r="M492" s="29">
        <f>IF(E492="","",IF(H492="Yes","❌ Disc",IF(G492="No","⚠ Missing",IF(J492="Yes","✓ OK","⚠ Check"))))</f>
        <v/>
      </c>
      <c r="N492" s="43" t="n">
        <v>46196</v>
      </c>
      <c r="O492" s="26" t="inlineStr">
        <is>
          <t>Sunil CR</t>
        </is>
      </c>
      <c r="P492" s="44" t="inlineStr">
        <is>
          <t>Represented by Sample</t>
        </is>
      </c>
      <c r="Q492" s="26" t="inlineStr">
        <is>
          <t>No</t>
        </is>
      </c>
      <c r="R492" s="44" t="inlineStr">
        <is>
          <t>Represented by Sample</t>
        </is>
      </c>
      <c r="S492" s="26" t="inlineStr">
        <is>
          <t>Yes</t>
        </is>
      </c>
      <c r="T492" s="27" t="n"/>
      <c r="U492" s="28" t="inlineStr">
        <is>
          <t>No</t>
        </is>
      </c>
      <c r="V492" s="29">
        <f>IF(N492="","",IF(Q492="Yes","❌ Disc",IF(P492="No","⚠ Missing",IF(S492="Yes","✓ OK","⚠ Check"))))</f>
        <v/>
      </c>
      <c r="W492" s="65" t="n">
        <v>46248</v>
      </c>
      <c r="X492" s="30" t="inlineStr">
        <is>
          <t>Sunil CR</t>
        </is>
      </c>
      <c r="Y492" s="30" t="inlineStr">
        <is>
          <t>Represented by Sample</t>
        </is>
      </c>
      <c r="Z492" s="30" t="n"/>
      <c r="AA492" s="30" t="inlineStr">
        <is>
          <t>Represented by Sample</t>
        </is>
      </c>
      <c r="AB492" s="30" t="inlineStr">
        <is>
          <t>Yes</t>
        </is>
      </c>
      <c r="AC492" s="27" t="n"/>
      <c r="AD492" s="31" t="inlineStr">
        <is>
          <t>No</t>
        </is>
      </c>
      <c r="AE492" s="32">
        <f>IF(W492="","",IF(Z492="Yes","❌ Disc",IF(Y492="No","⚠ Missing",IF(AB492="Yes","✓ OK","⚠ Check"))))</f>
        <v/>
      </c>
      <c r="AF492" s="33" t="n"/>
      <c r="AG492" s="33" t="n"/>
      <c r="AH492" s="33" t="n"/>
      <c r="AI492" s="33" t="n"/>
      <c r="AJ492" s="33" t="n"/>
      <c r="AK492" s="33" t="n"/>
      <c r="AL492" s="27" t="n"/>
      <c r="AM492" s="34" t="n"/>
      <c r="AN492" s="35">
        <f>IF(AF492="","",IF(AI492="Yes","❌ Disc",IF(AH492="No","⚠ Missing",IF(AK492="Yes","✓ OK","⚠ Check"))))</f>
        <v/>
      </c>
      <c r="AO492" s="36" t="n"/>
      <c r="AP492" s="36" t="n"/>
      <c r="AQ492" s="36" t="n"/>
      <c r="AR492" s="36" t="n"/>
      <c r="AS492" s="36" t="n"/>
      <c r="AT492" s="36" t="n"/>
      <c r="AU492" s="27" t="n"/>
      <c r="AV492" s="37" t="n"/>
      <c r="AW492" s="38">
        <f>IF(AO492="","",IF(AR492="Yes","❌ Disc",IF(AQ492="No","⚠ Missing",IF(AT492="Yes","✓ OK","⚠ Check"))))</f>
        <v/>
      </c>
    </row>
    <row r="493" ht="18" customHeight="1" s="46">
      <c r="A493" s="23" t="n">
        <v>489</v>
      </c>
      <c r="B493" s="24" t="inlineStr">
        <is>
          <t>HWSUHP1BL197</t>
        </is>
      </c>
      <c r="C493" s="25" t="inlineStr">
        <is>
          <t>Sujin Black BL P-1 Profile Handle 197mm</t>
        </is>
      </c>
      <c r="D493" s="23" t="inlineStr">
        <is>
          <t>SUJIN</t>
        </is>
      </c>
      <c r="E493" s="43" t="n">
        <v>46125</v>
      </c>
      <c r="F493" s="26" t="inlineStr">
        <is>
          <t>Sunil CR</t>
        </is>
      </c>
      <c r="G493" s="44" t="inlineStr">
        <is>
          <t>Represented by Sample</t>
        </is>
      </c>
      <c r="H493" s="26" t="inlineStr">
        <is>
          <t>No</t>
        </is>
      </c>
      <c r="I493" s="44" t="inlineStr">
        <is>
          <t>Represented by Sample</t>
        </is>
      </c>
      <c r="J493" s="26" t="inlineStr">
        <is>
          <t>Yes</t>
        </is>
      </c>
      <c r="K493" s="27" t="n"/>
      <c r="L493" s="28" t="inlineStr">
        <is>
          <t>No</t>
        </is>
      </c>
      <c r="M493" s="29">
        <f>IF(E493="","",IF(H493="Yes","❌ Disc",IF(G493="No","⚠ Missing",IF(J493="Yes","✓ OK","⚠ Check"))))</f>
        <v/>
      </c>
      <c r="N493" s="43" t="n">
        <v>46196</v>
      </c>
      <c r="O493" s="26" t="inlineStr">
        <is>
          <t>Sunil CR</t>
        </is>
      </c>
      <c r="P493" s="44" t="inlineStr">
        <is>
          <t>Represented by Sample</t>
        </is>
      </c>
      <c r="Q493" s="26" t="inlineStr">
        <is>
          <t>No</t>
        </is>
      </c>
      <c r="R493" s="44" t="inlineStr">
        <is>
          <t>Represented by Sample</t>
        </is>
      </c>
      <c r="S493" s="26" t="inlineStr">
        <is>
          <t>Yes</t>
        </is>
      </c>
      <c r="T493" s="27" t="n"/>
      <c r="U493" s="28" t="inlineStr">
        <is>
          <t>No</t>
        </is>
      </c>
      <c r="V493" s="29">
        <f>IF(N493="","",IF(Q493="Yes","❌ Disc",IF(P493="No","⚠ Missing",IF(S493="Yes","✓ OK","⚠ Check"))))</f>
        <v/>
      </c>
      <c r="W493" s="65" t="n">
        <v>46248</v>
      </c>
      <c r="X493" s="30" t="inlineStr">
        <is>
          <t>Sunil CR</t>
        </is>
      </c>
      <c r="Y493" s="30" t="inlineStr">
        <is>
          <t>Represented by Sample</t>
        </is>
      </c>
      <c r="Z493" s="30" t="n"/>
      <c r="AA493" s="30" t="inlineStr">
        <is>
          <t>Represented by Sample</t>
        </is>
      </c>
      <c r="AB493" s="30" t="inlineStr">
        <is>
          <t>Yes</t>
        </is>
      </c>
      <c r="AC493" s="27" t="n"/>
      <c r="AD493" s="31" t="inlineStr">
        <is>
          <t>No</t>
        </is>
      </c>
      <c r="AE493" s="32">
        <f>IF(W493="","",IF(Z493="Yes","❌ Disc",IF(Y493="No","⚠ Missing",IF(AB493="Yes","✓ OK","⚠ Check"))))</f>
        <v/>
      </c>
      <c r="AF493" s="33" t="n"/>
      <c r="AG493" s="33" t="n"/>
      <c r="AH493" s="33" t="n"/>
      <c r="AI493" s="33" t="n"/>
      <c r="AJ493" s="33" t="n"/>
      <c r="AK493" s="33" t="n"/>
      <c r="AL493" s="27" t="n"/>
      <c r="AM493" s="34" t="n"/>
      <c r="AN493" s="35">
        <f>IF(AF493="","",IF(AI493="Yes","❌ Disc",IF(AH493="No","⚠ Missing",IF(AK493="Yes","✓ OK","⚠ Check"))))</f>
        <v/>
      </c>
      <c r="AO493" s="36" t="n"/>
      <c r="AP493" s="36" t="n"/>
      <c r="AQ493" s="36" t="n"/>
      <c r="AR493" s="36" t="n"/>
      <c r="AS493" s="36" t="n"/>
      <c r="AT493" s="36" t="n"/>
      <c r="AU493" s="27" t="n"/>
      <c r="AV493" s="37" t="n"/>
      <c r="AW493" s="38">
        <f>IF(AO493="","",IF(AR493="Yes","❌ Disc",IF(AQ493="No","⚠ Missing",IF(AT493="Yes","✓ OK","⚠ Check"))))</f>
        <v/>
      </c>
    </row>
    <row r="494" ht="18" customHeight="1" s="46">
      <c r="A494" s="39" t="n">
        <v>490</v>
      </c>
      <c r="B494" s="40" t="inlineStr">
        <is>
          <t>HWSUHP1BL247</t>
        </is>
      </c>
      <c r="C494" s="41" t="inlineStr">
        <is>
          <t>Sujin Black BL P-1 Profile Handle 247mm</t>
        </is>
      </c>
      <c r="D494" s="39" t="inlineStr">
        <is>
          <t>SUJIN</t>
        </is>
      </c>
      <c r="E494" s="43" t="n">
        <v>46125</v>
      </c>
      <c r="F494" s="26" t="inlineStr">
        <is>
          <t>Sunil CR</t>
        </is>
      </c>
      <c r="G494" s="44" t="inlineStr">
        <is>
          <t>Represented by Sample</t>
        </is>
      </c>
      <c r="H494" s="26" t="inlineStr">
        <is>
          <t>No</t>
        </is>
      </c>
      <c r="I494" s="44" t="inlineStr">
        <is>
          <t>Represented by Sample</t>
        </is>
      </c>
      <c r="J494" s="26" t="inlineStr">
        <is>
          <t>Yes</t>
        </is>
      </c>
      <c r="K494" s="27" t="n"/>
      <c r="L494" s="28" t="inlineStr">
        <is>
          <t>No</t>
        </is>
      </c>
      <c r="M494" s="29">
        <f>IF(E494="","",IF(H494="Yes","❌ Disc",IF(G494="No","⚠ Missing",IF(J494="Yes","✓ OK","⚠ Check"))))</f>
        <v/>
      </c>
      <c r="N494" s="43" t="n">
        <v>46196</v>
      </c>
      <c r="O494" s="26" t="inlineStr">
        <is>
          <t>Sunil CR</t>
        </is>
      </c>
      <c r="P494" s="44" t="inlineStr">
        <is>
          <t>Represented by Sample</t>
        </is>
      </c>
      <c r="Q494" s="26" t="inlineStr">
        <is>
          <t>No</t>
        </is>
      </c>
      <c r="R494" s="44" t="inlineStr">
        <is>
          <t>Represented by Sample</t>
        </is>
      </c>
      <c r="S494" s="26" t="inlineStr">
        <is>
          <t>Yes</t>
        </is>
      </c>
      <c r="T494" s="27" t="n"/>
      <c r="U494" s="28" t="inlineStr">
        <is>
          <t>No</t>
        </is>
      </c>
      <c r="V494" s="29">
        <f>IF(N494="","",IF(Q494="Yes","❌ Disc",IF(P494="No","⚠ Missing",IF(S494="Yes","✓ OK","⚠ Check"))))</f>
        <v/>
      </c>
      <c r="W494" s="65" t="n">
        <v>46248</v>
      </c>
      <c r="X494" s="30" t="inlineStr">
        <is>
          <t>Sunil CR</t>
        </is>
      </c>
      <c r="Y494" s="30" t="inlineStr">
        <is>
          <t>Represented by Sample</t>
        </is>
      </c>
      <c r="Z494" s="30" t="n"/>
      <c r="AA494" s="30" t="inlineStr">
        <is>
          <t>Represented by Sample</t>
        </is>
      </c>
      <c r="AB494" s="30" t="inlineStr">
        <is>
          <t>Yes</t>
        </is>
      </c>
      <c r="AC494" s="27" t="n"/>
      <c r="AD494" s="31" t="inlineStr">
        <is>
          <t>No</t>
        </is>
      </c>
      <c r="AE494" s="32">
        <f>IF(W494="","",IF(Z494="Yes","❌ Disc",IF(Y494="No","⚠ Missing",IF(AB494="Yes","✓ OK","⚠ Check"))))</f>
        <v/>
      </c>
      <c r="AF494" s="33" t="n"/>
      <c r="AG494" s="33" t="n"/>
      <c r="AH494" s="33" t="n"/>
      <c r="AI494" s="33" t="n"/>
      <c r="AJ494" s="33" t="n"/>
      <c r="AK494" s="33" t="n"/>
      <c r="AL494" s="27" t="n"/>
      <c r="AM494" s="34" t="n"/>
      <c r="AN494" s="35">
        <f>IF(AF494="","",IF(AI494="Yes","❌ Disc",IF(AH494="No","⚠ Missing",IF(AK494="Yes","✓ OK","⚠ Check"))))</f>
        <v/>
      </c>
      <c r="AO494" s="36" t="n"/>
      <c r="AP494" s="36" t="n"/>
      <c r="AQ494" s="36" t="n"/>
      <c r="AR494" s="36" t="n"/>
      <c r="AS494" s="36" t="n"/>
      <c r="AT494" s="36" t="n"/>
      <c r="AU494" s="27" t="n"/>
      <c r="AV494" s="37" t="n"/>
      <c r="AW494" s="38">
        <f>IF(AO494="","",IF(AR494="Yes","❌ Disc",IF(AQ494="No","⚠ Missing",IF(AT494="Yes","✓ OK","⚠ Check"))))</f>
        <v/>
      </c>
    </row>
    <row r="495" ht="18" customHeight="1" s="46">
      <c r="A495" s="23" t="n">
        <v>491</v>
      </c>
      <c r="B495" s="24" t="inlineStr">
        <is>
          <t>HWSUHP1BL297</t>
        </is>
      </c>
      <c r="C495" s="25" t="inlineStr">
        <is>
          <t>Sujin Black BL P-1 Profile Handle 297mm</t>
        </is>
      </c>
      <c r="D495" s="23" t="inlineStr">
        <is>
          <t>SUJIN</t>
        </is>
      </c>
      <c r="E495" s="43" t="n">
        <v>46125</v>
      </c>
      <c r="F495" s="26" t="inlineStr">
        <is>
          <t>Sunil CR</t>
        </is>
      </c>
      <c r="G495" s="44" t="inlineStr">
        <is>
          <t>Represented by Sample</t>
        </is>
      </c>
      <c r="H495" s="26" t="inlineStr">
        <is>
          <t>No</t>
        </is>
      </c>
      <c r="I495" s="44" t="inlineStr">
        <is>
          <t>Represented by Sample</t>
        </is>
      </c>
      <c r="J495" s="26" t="inlineStr">
        <is>
          <t>Yes</t>
        </is>
      </c>
      <c r="K495" s="27" t="n"/>
      <c r="L495" s="28" t="inlineStr">
        <is>
          <t>No</t>
        </is>
      </c>
      <c r="M495" s="29">
        <f>IF(E495="","",IF(H495="Yes","❌ Disc",IF(G495="No","⚠ Missing",IF(J495="Yes","✓ OK","⚠ Check"))))</f>
        <v/>
      </c>
      <c r="N495" s="43" t="n">
        <v>46196</v>
      </c>
      <c r="O495" s="26" t="inlineStr">
        <is>
          <t>Sunil CR</t>
        </is>
      </c>
      <c r="P495" s="44" t="inlineStr">
        <is>
          <t>Represented by Sample</t>
        </is>
      </c>
      <c r="Q495" s="26" t="inlineStr">
        <is>
          <t>No</t>
        </is>
      </c>
      <c r="R495" s="44" t="inlineStr">
        <is>
          <t>Represented by Sample</t>
        </is>
      </c>
      <c r="S495" s="26" t="inlineStr">
        <is>
          <t>Yes</t>
        </is>
      </c>
      <c r="T495" s="27" t="n"/>
      <c r="U495" s="28" t="inlineStr">
        <is>
          <t>No</t>
        </is>
      </c>
      <c r="V495" s="29">
        <f>IF(N495="","",IF(Q495="Yes","❌ Disc",IF(P495="No","⚠ Missing",IF(S495="Yes","✓ OK","⚠ Check"))))</f>
        <v/>
      </c>
      <c r="W495" s="65" t="n">
        <v>46248</v>
      </c>
      <c r="X495" s="30" t="inlineStr">
        <is>
          <t>Sunil CR</t>
        </is>
      </c>
      <c r="Y495" s="30" t="inlineStr">
        <is>
          <t>Represented by Sample</t>
        </is>
      </c>
      <c r="Z495" s="30" t="n"/>
      <c r="AA495" s="30" t="inlineStr">
        <is>
          <t>Represented by Sample</t>
        </is>
      </c>
      <c r="AB495" s="30" t="inlineStr">
        <is>
          <t>Yes</t>
        </is>
      </c>
      <c r="AC495" s="27" t="n"/>
      <c r="AD495" s="31" t="inlineStr">
        <is>
          <t>No</t>
        </is>
      </c>
      <c r="AE495" s="32">
        <f>IF(W495="","",IF(Z495="Yes","❌ Disc",IF(Y495="No","⚠ Missing",IF(AB495="Yes","✓ OK","⚠ Check"))))</f>
        <v/>
      </c>
      <c r="AF495" s="33" t="n"/>
      <c r="AG495" s="33" t="n"/>
      <c r="AH495" s="33" t="n"/>
      <c r="AI495" s="33" t="n"/>
      <c r="AJ495" s="33" t="n"/>
      <c r="AK495" s="33" t="n"/>
      <c r="AL495" s="27" t="n"/>
      <c r="AM495" s="34" t="n"/>
      <c r="AN495" s="35">
        <f>IF(AF495="","",IF(AI495="Yes","❌ Disc",IF(AH495="No","⚠ Missing",IF(AK495="Yes","✓ OK","⚠ Check"))))</f>
        <v/>
      </c>
      <c r="AO495" s="36" t="n"/>
      <c r="AP495" s="36" t="n"/>
      <c r="AQ495" s="36" t="n"/>
      <c r="AR495" s="36" t="n"/>
      <c r="AS495" s="36" t="n"/>
      <c r="AT495" s="36" t="n"/>
      <c r="AU495" s="27" t="n"/>
      <c r="AV495" s="37" t="n"/>
      <c r="AW495" s="38">
        <f>IF(AO495="","",IF(AR495="Yes","❌ Disc",IF(AQ495="No","⚠ Missing",IF(AT495="Yes","✓ OK","⚠ Check"))))</f>
        <v/>
      </c>
    </row>
    <row r="496" ht="18" customHeight="1" s="46">
      <c r="A496" s="39" t="n">
        <v>492</v>
      </c>
      <c r="B496" s="40" t="inlineStr">
        <is>
          <t>HWSUHP1BL347</t>
        </is>
      </c>
      <c r="C496" s="41" t="inlineStr">
        <is>
          <t>Sujin Black BL P-1 Profile Handle 347mm</t>
        </is>
      </c>
      <c r="D496" s="39" t="inlineStr">
        <is>
          <t>SUJIN</t>
        </is>
      </c>
      <c r="E496" s="43" t="n">
        <v>46125</v>
      </c>
      <c r="F496" s="26" t="inlineStr">
        <is>
          <t>Sunil CR</t>
        </is>
      </c>
      <c r="G496" s="44" t="inlineStr">
        <is>
          <t>Represented by Sample</t>
        </is>
      </c>
      <c r="H496" s="26" t="inlineStr">
        <is>
          <t>No</t>
        </is>
      </c>
      <c r="I496" s="44" t="inlineStr">
        <is>
          <t>Represented by Sample</t>
        </is>
      </c>
      <c r="J496" s="26" t="inlineStr">
        <is>
          <t>Yes</t>
        </is>
      </c>
      <c r="K496" s="27" t="n"/>
      <c r="L496" s="28" t="inlineStr">
        <is>
          <t>No</t>
        </is>
      </c>
      <c r="M496" s="29">
        <f>IF(E496="","",IF(H496="Yes","❌ Disc",IF(G496="No","⚠ Missing",IF(J496="Yes","✓ OK","⚠ Check"))))</f>
        <v/>
      </c>
      <c r="N496" s="43" t="n">
        <v>46196</v>
      </c>
      <c r="O496" s="26" t="inlineStr">
        <is>
          <t>Sunil CR</t>
        </is>
      </c>
      <c r="P496" s="44" t="inlineStr">
        <is>
          <t>Represented by Sample</t>
        </is>
      </c>
      <c r="Q496" s="26" t="inlineStr">
        <is>
          <t>No</t>
        </is>
      </c>
      <c r="R496" s="44" t="inlineStr">
        <is>
          <t>Represented by Sample</t>
        </is>
      </c>
      <c r="S496" s="26" t="inlineStr">
        <is>
          <t>Yes</t>
        </is>
      </c>
      <c r="T496" s="27" t="n"/>
      <c r="U496" s="28" t="inlineStr">
        <is>
          <t>No</t>
        </is>
      </c>
      <c r="V496" s="29">
        <f>IF(N496="","",IF(Q496="Yes","❌ Disc",IF(P496="No","⚠ Missing",IF(S496="Yes","✓ OK","⚠ Check"))))</f>
        <v/>
      </c>
      <c r="W496" s="65" t="n">
        <v>46248</v>
      </c>
      <c r="X496" s="30" t="inlineStr">
        <is>
          <t>Sunil CR</t>
        </is>
      </c>
      <c r="Y496" s="30" t="inlineStr">
        <is>
          <t>Represented by Sample</t>
        </is>
      </c>
      <c r="Z496" s="30" t="n"/>
      <c r="AA496" s="30" t="inlineStr">
        <is>
          <t>Represented by Sample</t>
        </is>
      </c>
      <c r="AB496" s="30" t="inlineStr">
        <is>
          <t>Yes</t>
        </is>
      </c>
      <c r="AC496" s="27" t="n"/>
      <c r="AD496" s="31" t="inlineStr">
        <is>
          <t>No</t>
        </is>
      </c>
      <c r="AE496" s="32">
        <f>IF(W496="","",IF(Z496="Yes","❌ Disc",IF(Y496="No","⚠ Missing",IF(AB496="Yes","✓ OK","⚠ Check"))))</f>
        <v/>
      </c>
      <c r="AF496" s="33" t="n"/>
      <c r="AG496" s="33" t="n"/>
      <c r="AH496" s="33" t="n"/>
      <c r="AI496" s="33" t="n"/>
      <c r="AJ496" s="33" t="n"/>
      <c r="AK496" s="33" t="n"/>
      <c r="AL496" s="27" t="n"/>
      <c r="AM496" s="34" t="n"/>
      <c r="AN496" s="35">
        <f>IF(AF496="","",IF(AI496="Yes","❌ Disc",IF(AH496="No","⚠ Missing",IF(AK496="Yes","✓ OK","⚠ Check"))))</f>
        <v/>
      </c>
      <c r="AO496" s="36" t="n"/>
      <c r="AP496" s="36" t="n"/>
      <c r="AQ496" s="36" t="n"/>
      <c r="AR496" s="36" t="n"/>
      <c r="AS496" s="36" t="n"/>
      <c r="AT496" s="36" t="n"/>
      <c r="AU496" s="27" t="n"/>
      <c r="AV496" s="37" t="n"/>
      <c r="AW496" s="38">
        <f>IF(AO496="","",IF(AR496="Yes","❌ Disc",IF(AQ496="No","⚠ Missing",IF(AT496="Yes","✓ OK","⚠ Check"))))</f>
        <v/>
      </c>
    </row>
    <row r="497" ht="18" customHeight="1" s="46">
      <c r="A497" s="23" t="n">
        <v>493</v>
      </c>
      <c r="B497" s="24" t="inlineStr">
        <is>
          <t>HWSUHP1BL397</t>
        </is>
      </c>
      <c r="C497" s="25" t="inlineStr">
        <is>
          <t>Sujin Black BL P-1 Profile Handle 397mm</t>
        </is>
      </c>
      <c r="D497" s="23" t="inlineStr">
        <is>
          <t>SUJIN</t>
        </is>
      </c>
      <c r="E497" s="43" t="n">
        <v>46125</v>
      </c>
      <c r="F497" s="26" t="inlineStr">
        <is>
          <t>Sunil CR</t>
        </is>
      </c>
      <c r="G497" s="44" t="inlineStr">
        <is>
          <t>Represented by Sample</t>
        </is>
      </c>
      <c r="H497" s="26" t="inlineStr">
        <is>
          <t>No</t>
        </is>
      </c>
      <c r="I497" s="44" t="inlineStr">
        <is>
          <t>Represented by Sample</t>
        </is>
      </c>
      <c r="J497" s="26" t="inlineStr">
        <is>
          <t>Yes</t>
        </is>
      </c>
      <c r="K497" s="27" t="n"/>
      <c r="L497" s="28" t="inlineStr">
        <is>
          <t>No</t>
        </is>
      </c>
      <c r="M497" s="29">
        <f>IF(E497="","",IF(H497="Yes","❌ Disc",IF(G497="No","⚠ Missing",IF(J497="Yes","✓ OK","⚠ Check"))))</f>
        <v/>
      </c>
      <c r="N497" s="43" t="n">
        <v>46196</v>
      </c>
      <c r="O497" s="26" t="inlineStr">
        <is>
          <t>Sunil CR</t>
        </is>
      </c>
      <c r="P497" s="44" t="inlineStr">
        <is>
          <t>Represented by Sample</t>
        </is>
      </c>
      <c r="Q497" s="26" t="inlineStr">
        <is>
          <t>No</t>
        </is>
      </c>
      <c r="R497" s="44" t="inlineStr">
        <is>
          <t>Represented by Sample</t>
        </is>
      </c>
      <c r="S497" s="26" t="inlineStr">
        <is>
          <t>Yes</t>
        </is>
      </c>
      <c r="T497" s="27" t="n"/>
      <c r="U497" s="28" t="inlineStr">
        <is>
          <t>No</t>
        </is>
      </c>
      <c r="V497" s="29">
        <f>IF(N497="","",IF(Q497="Yes","❌ Disc",IF(P497="No","⚠ Missing",IF(S497="Yes","✓ OK","⚠ Check"))))</f>
        <v/>
      </c>
      <c r="W497" s="65" t="n">
        <v>46248</v>
      </c>
      <c r="X497" s="30" t="inlineStr">
        <is>
          <t>Sunil CR</t>
        </is>
      </c>
      <c r="Y497" s="30" t="inlineStr">
        <is>
          <t>Represented by Sample</t>
        </is>
      </c>
      <c r="Z497" s="30" t="n"/>
      <c r="AA497" s="30" t="inlineStr">
        <is>
          <t>Represented by Sample</t>
        </is>
      </c>
      <c r="AB497" s="30" t="inlineStr">
        <is>
          <t>Yes</t>
        </is>
      </c>
      <c r="AC497" s="27" t="n"/>
      <c r="AD497" s="31" t="inlineStr">
        <is>
          <t>No</t>
        </is>
      </c>
      <c r="AE497" s="32">
        <f>IF(W497="","",IF(Z497="Yes","❌ Disc",IF(Y497="No","⚠ Missing",IF(AB497="Yes","✓ OK","⚠ Check"))))</f>
        <v/>
      </c>
      <c r="AF497" s="33" t="n"/>
      <c r="AG497" s="33" t="n"/>
      <c r="AH497" s="33" t="n"/>
      <c r="AI497" s="33" t="n"/>
      <c r="AJ497" s="33" t="n"/>
      <c r="AK497" s="33" t="n"/>
      <c r="AL497" s="27" t="n"/>
      <c r="AM497" s="34" t="n"/>
      <c r="AN497" s="35">
        <f>IF(AF497="","",IF(AI497="Yes","❌ Disc",IF(AH497="No","⚠ Missing",IF(AK497="Yes","✓ OK","⚠ Check"))))</f>
        <v/>
      </c>
      <c r="AO497" s="36" t="n"/>
      <c r="AP497" s="36" t="n"/>
      <c r="AQ497" s="36" t="n"/>
      <c r="AR497" s="36" t="n"/>
      <c r="AS497" s="36" t="n"/>
      <c r="AT497" s="36" t="n"/>
      <c r="AU497" s="27" t="n"/>
      <c r="AV497" s="37" t="n"/>
      <c r="AW497" s="38">
        <f>IF(AO497="","",IF(AR497="Yes","❌ Disc",IF(AQ497="No","⚠ Missing",IF(AT497="Yes","✓ OK","⚠ Check"))))</f>
        <v/>
      </c>
    </row>
    <row r="498" ht="18" customHeight="1" s="46">
      <c r="A498" s="39" t="n">
        <v>494</v>
      </c>
      <c r="B498" s="40" t="inlineStr">
        <is>
          <t>HWSUHP1BL447</t>
        </is>
      </c>
      <c r="C498" s="41" t="inlineStr">
        <is>
          <t>Sujin Black BL P-1 Profile Handle 447mm</t>
        </is>
      </c>
      <c r="D498" s="39" t="inlineStr">
        <is>
          <t>SUJIN</t>
        </is>
      </c>
      <c r="E498" s="43" t="n">
        <v>46125</v>
      </c>
      <c r="F498" s="26" t="inlineStr">
        <is>
          <t>Sunil CR</t>
        </is>
      </c>
      <c r="G498" s="44" t="inlineStr">
        <is>
          <t>Represented by Sample</t>
        </is>
      </c>
      <c r="H498" s="26" t="inlineStr">
        <is>
          <t>No</t>
        </is>
      </c>
      <c r="I498" s="44" t="inlineStr">
        <is>
          <t>Represented by Sample</t>
        </is>
      </c>
      <c r="J498" s="26" t="inlineStr">
        <is>
          <t>Yes</t>
        </is>
      </c>
      <c r="K498" s="27" t="n"/>
      <c r="L498" s="28" t="inlineStr">
        <is>
          <t>No</t>
        </is>
      </c>
      <c r="M498" s="29">
        <f>IF(E498="","",IF(H498="Yes","❌ Disc",IF(G498="No","⚠ Missing",IF(J498="Yes","✓ OK","⚠ Check"))))</f>
        <v/>
      </c>
      <c r="N498" s="43" t="n">
        <v>46196</v>
      </c>
      <c r="O498" s="26" t="inlineStr">
        <is>
          <t>Sunil CR</t>
        </is>
      </c>
      <c r="P498" s="44" t="inlineStr">
        <is>
          <t>Represented by Sample</t>
        </is>
      </c>
      <c r="Q498" s="26" t="inlineStr">
        <is>
          <t>No</t>
        </is>
      </c>
      <c r="R498" s="44" t="inlineStr">
        <is>
          <t>Represented by Sample</t>
        </is>
      </c>
      <c r="S498" s="26" t="inlineStr">
        <is>
          <t>Yes</t>
        </is>
      </c>
      <c r="T498" s="27" t="n"/>
      <c r="U498" s="28" t="inlineStr">
        <is>
          <t>No</t>
        </is>
      </c>
      <c r="V498" s="29">
        <f>IF(N498="","",IF(Q498="Yes","❌ Disc",IF(P498="No","⚠ Missing",IF(S498="Yes","✓ OK","⚠ Check"))))</f>
        <v/>
      </c>
      <c r="W498" s="65" t="n">
        <v>46248</v>
      </c>
      <c r="X498" s="30" t="inlineStr">
        <is>
          <t>Sunil CR</t>
        </is>
      </c>
      <c r="Y498" s="30" t="inlineStr">
        <is>
          <t>Represented by Sample</t>
        </is>
      </c>
      <c r="Z498" s="30" t="n"/>
      <c r="AA498" s="30" t="inlineStr">
        <is>
          <t>Represented by Sample</t>
        </is>
      </c>
      <c r="AB498" s="30" t="inlineStr">
        <is>
          <t>Yes</t>
        </is>
      </c>
      <c r="AC498" s="27" t="n"/>
      <c r="AD498" s="31" t="inlineStr">
        <is>
          <t>No</t>
        </is>
      </c>
      <c r="AE498" s="32">
        <f>IF(W498="","",IF(Z498="Yes","❌ Disc",IF(Y498="No","⚠ Missing",IF(AB498="Yes","✓ OK","⚠ Check"))))</f>
        <v/>
      </c>
      <c r="AF498" s="33" t="n"/>
      <c r="AG498" s="33" t="n"/>
      <c r="AH498" s="33" t="n"/>
      <c r="AI498" s="33" t="n"/>
      <c r="AJ498" s="33" t="n"/>
      <c r="AK498" s="33" t="n"/>
      <c r="AL498" s="27" t="n"/>
      <c r="AM498" s="34" t="n"/>
      <c r="AN498" s="35">
        <f>IF(AF498="","",IF(AI498="Yes","❌ Disc",IF(AH498="No","⚠ Missing",IF(AK498="Yes","✓ OK","⚠ Check"))))</f>
        <v/>
      </c>
      <c r="AO498" s="36" t="n"/>
      <c r="AP498" s="36" t="n"/>
      <c r="AQ498" s="36" t="n"/>
      <c r="AR498" s="36" t="n"/>
      <c r="AS498" s="36" t="n"/>
      <c r="AT498" s="36" t="n"/>
      <c r="AU498" s="27" t="n"/>
      <c r="AV498" s="37" t="n"/>
      <c r="AW498" s="38">
        <f>IF(AO498="","",IF(AR498="Yes","❌ Disc",IF(AQ498="No","⚠ Missing",IF(AT498="Yes","✓ OK","⚠ Check"))))</f>
        <v/>
      </c>
    </row>
    <row r="499" ht="18" customHeight="1" s="46">
      <c r="A499" s="23" t="n">
        <v>495</v>
      </c>
      <c r="B499" s="24" t="inlineStr">
        <is>
          <t>HWSUHP1BL497</t>
        </is>
      </c>
      <c r="C499" s="25" t="inlineStr">
        <is>
          <t>Sujin Black BL P-1 Profile Handle 497mm</t>
        </is>
      </c>
      <c r="D499" s="23" t="inlineStr">
        <is>
          <t>SUJIN</t>
        </is>
      </c>
      <c r="E499" s="43" t="n">
        <v>46125</v>
      </c>
      <c r="F499" s="26" t="inlineStr">
        <is>
          <t>Sunil CR</t>
        </is>
      </c>
      <c r="G499" s="44" t="inlineStr">
        <is>
          <t>Represented by Sample</t>
        </is>
      </c>
      <c r="H499" s="26" t="inlineStr">
        <is>
          <t>No</t>
        </is>
      </c>
      <c r="I499" s="44" t="inlineStr">
        <is>
          <t>Represented by Sample</t>
        </is>
      </c>
      <c r="J499" s="26" t="inlineStr">
        <is>
          <t>Yes</t>
        </is>
      </c>
      <c r="K499" s="27" t="n"/>
      <c r="L499" s="28" t="inlineStr">
        <is>
          <t>No</t>
        </is>
      </c>
      <c r="M499" s="29">
        <f>IF(E499="","",IF(H499="Yes","❌ Disc",IF(G499="No","⚠ Missing",IF(J499="Yes","✓ OK","⚠ Check"))))</f>
        <v/>
      </c>
      <c r="N499" s="43" t="n">
        <v>46196</v>
      </c>
      <c r="O499" s="26" t="inlineStr">
        <is>
          <t>Sunil CR</t>
        </is>
      </c>
      <c r="P499" s="44" t="inlineStr">
        <is>
          <t>Represented by Sample</t>
        </is>
      </c>
      <c r="Q499" s="26" t="inlineStr">
        <is>
          <t>No</t>
        </is>
      </c>
      <c r="R499" s="44" t="inlineStr">
        <is>
          <t>Represented by Sample</t>
        </is>
      </c>
      <c r="S499" s="26" t="inlineStr">
        <is>
          <t>Yes</t>
        </is>
      </c>
      <c r="T499" s="27" t="n"/>
      <c r="U499" s="28" t="inlineStr">
        <is>
          <t>No</t>
        </is>
      </c>
      <c r="V499" s="29">
        <f>IF(N499="","",IF(Q499="Yes","❌ Disc",IF(P499="No","⚠ Missing",IF(S499="Yes","✓ OK","⚠ Check"))))</f>
        <v/>
      </c>
      <c r="W499" s="65" t="n">
        <v>46248</v>
      </c>
      <c r="X499" s="30" t="inlineStr">
        <is>
          <t>Sunil CR</t>
        </is>
      </c>
      <c r="Y499" s="30" t="inlineStr">
        <is>
          <t>Represented by Sample</t>
        </is>
      </c>
      <c r="Z499" s="30" t="n"/>
      <c r="AA499" s="30" t="inlineStr">
        <is>
          <t>Represented by Sample</t>
        </is>
      </c>
      <c r="AB499" s="30" t="inlineStr">
        <is>
          <t>Yes</t>
        </is>
      </c>
      <c r="AC499" s="27" t="n"/>
      <c r="AD499" s="31" t="inlineStr">
        <is>
          <t>No</t>
        </is>
      </c>
      <c r="AE499" s="32">
        <f>IF(W499="","",IF(Z499="Yes","❌ Disc",IF(Y499="No","⚠ Missing",IF(AB499="Yes","✓ OK","⚠ Check"))))</f>
        <v/>
      </c>
      <c r="AF499" s="33" t="n"/>
      <c r="AG499" s="33" t="n"/>
      <c r="AH499" s="33" t="n"/>
      <c r="AI499" s="33" t="n"/>
      <c r="AJ499" s="33" t="n"/>
      <c r="AK499" s="33" t="n"/>
      <c r="AL499" s="27" t="n"/>
      <c r="AM499" s="34" t="n"/>
      <c r="AN499" s="35">
        <f>IF(AF499="","",IF(AI499="Yes","❌ Disc",IF(AH499="No","⚠ Missing",IF(AK499="Yes","✓ OK","⚠ Check"))))</f>
        <v/>
      </c>
      <c r="AO499" s="36" t="n"/>
      <c r="AP499" s="36" t="n"/>
      <c r="AQ499" s="36" t="n"/>
      <c r="AR499" s="36" t="n"/>
      <c r="AS499" s="36" t="n"/>
      <c r="AT499" s="36" t="n"/>
      <c r="AU499" s="27" t="n"/>
      <c r="AV499" s="37" t="n"/>
      <c r="AW499" s="38">
        <f>IF(AO499="","",IF(AR499="Yes","❌ Disc",IF(AQ499="No","⚠ Missing",IF(AT499="Yes","✓ OK","⚠ Check"))))</f>
        <v/>
      </c>
    </row>
    <row r="500" ht="18" customHeight="1" s="46">
      <c r="A500" s="39" t="n">
        <v>496</v>
      </c>
      <c r="B500" s="40" t="inlineStr">
        <is>
          <t>HWSUHP1BL547</t>
        </is>
      </c>
      <c r="C500" s="41" t="inlineStr">
        <is>
          <t>Sujin Black BL P-1 Profile Handle 547mm</t>
        </is>
      </c>
      <c r="D500" s="39" t="inlineStr">
        <is>
          <t>SUJIN</t>
        </is>
      </c>
      <c r="E500" s="43" t="n">
        <v>46125</v>
      </c>
      <c r="F500" s="26" t="inlineStr">
        <is>
          <t>Sunil CR</t>
        </is>
      </c>
      <c r="G500" s="44" t="inlineStr">
        <is>
          <t>Represented by Sample</t>
        </is>
      </c>
      <c r="H500" s="26" t="inlineStr">
        <is>
          <t>No</t>
        </is>
      </c>
      <c r="I500" s="44" t="inlineStr">
        <is>
          <t>Represented by Sample</t>
        </is>
      </c>
      <c r="J500" s="26" t="inlineStr">
        <is>
          <t>Yes</t>
        </is>
      </c>
      <c r="K500" s="27" t="n"/>
      <c r="L500" s="28" t="inlineStr">
        <is>
          <t>No</t>
        </is>
      </c>
      <c r="M500" s="29">
        <f>IF(E500="","",IF(H500="Yes","❌ Disc",IF(G500="No","⚠ Missing",IF(J500="Yes","✓ OK","⚠ Check"))))</f>
        <v/>
      </c>
      <c r="N500" s="43" t="n">
        <v>46196</v>
      </c>
      <c r="O500" s="26" t="inlineStr">
        <is>
          <t>Sunil CR</t>
        </is>
      </c>
      <c r="P500" s="44" t="inlineStr">
        <is>
          <t>Represented by Sample</t>
        </is>
      </c>
      <c r="Q500" s="26" t="inlineStr">
        <is>
          <t>No</t>
        </is>
      </c>
      <c r="R500" s="44" t="inlineStr">
        <is>
          <t>Represented by Sample</t>
        </is>
      </c>
      <c r="S500" s="26" t="inlineStr">
        <is>
          <t>Yes</t>
        </is>
      </c>
      <c r="T500" s="27" t="n"/>
      <c r="U500" s="28" t="inlineStr">
        <is>
          <t>No</t>
        </is>
      </c>
      <c r="V500" s="29">
        <f>IF(N500="","",IF(Q500="Yes","❌ Disc",IF(P500="No","⚠ Missing",IF(S500="Yes","✓ OK","⚠ Check"))))</f>
        <v/>
      </c>
      <c r="W500" s="65" t="n">
        <v>46248</v>
      </c>
      <c r="X500" s="30" t="inlineStr">
        <is>
          <t>Sunil CR</t>
        </is>
      </c>
      <c r="Y500" s="30" t="inlineStr">
        <is>
          <t>Represented by Sample</t>
        </is>
      </c>
      <c r="Z500" s="30" t="n"/>
      <c r="AA500" s="30" t="inlineStr">
        <is>
          <t>Represented by Sample</t>
        </is>
      </c>
      <c r="AB500" s="30" t="inlineStr">
        <is>
          <t>Yes</t>
        </is>
      </c>
      <c r="AC500" s="27" t="n"/>
      <c r="AD500" s="31" t="inlineStr">
        <is>
          <t>No</t>
        </is>
      </c>
      <c r="AE500" s="32">
        <f>IF(W500="","",IF(Z500="Yes","❌ Disc",IF(Y500="No","⚠ Missing",IF(AB500="Yes","✓ OK","⚠ Check"))))</f>
        <v/>
      </c>
      <c r="AF500" s="33" t="n"/>
      <c r="AG500" s="33" t="n"/>
      <c r="AH500" s="33" t="n"/>
      <c r="AI500" s="33" t="n"/>
      <c r="AJ500" s="33" t="n"/>
      <c r="AK500" s="33" t="n"/>
      <c r="AL500" s="27" t="n"/>
      <c r="AM500" s="34" t="n"/>
      <c r="AN500" s="35">
        <f>IF(AF500="","",IF(AI500="Yes","❌ Disc",IF(AH500="No","⚠ Missing",IF(AK500="Yes","✓ OK","⚠ Check"))))</f>
        <v/>
      </c>
      <c r="AO500" s="36" t="n"/>
      <c r="AP500" s="36" t="n"/>
      <c r="AQ500" s="36" t="n"/>
      <c r="AR500" s="36" t="n"/>
      <c r="AS500" s="36" t="n"/>
      <c r="AT500" s="36" t="n"/>
      <c r="AU500" s="27" t="n"/>
      <c r="AV500" s="37" t="n"/>
      <c r="AW500" s="38">
        <f>IF(AO500="","",IF(AR500="Yes","❌ Disc",IF(AQ500="No","⚠ Missing",IF(AT500="Yes","✓ OK","⚠ Check"))))</f>
        <v/>
      </c>
    </row>
    <row r="501" ht="18" customHeight="1" s="46">
      <c r="A501" s="23" t="n">
        <v>497</v>
      </c>
      <c r="B501" s="24" t="inlineStr">
        <is>
          <t>HWSUHP1BL597</t>
        </is>
      </c>
      <c r="C501" s="25" t="inlineStr">
        <is>
          <t>Sujin Black BL P-1 Profile Handle 597mm</t>
        </is>
      </c>
      <c r="D501" s="23" t="inlineStr">
        <is>
          <t>SUJIN</t>
        </is>
      </c>
      <c r="E501" s="43" t="n">
        <v>46125</v>
      </c>
      <c r="F501" s="26" t="inlineStr">
        <is>
          <t>Sunil CR</t>
        </is>
      </c>
      <c r="G501" s="44" t="inlineStr">
        <is>
          <t>Yes</t>
        </is>
      </c>
      <c r="H501" s="26" t="inlineStr">
        <is>
          <t>No</t>
        </is>
      </c>
      <c r="I501" s="44" t="inlineStr">
        <is>
          <t>Good finish</t>
        </is>
      </c>
      <c r="J501" s="26" t="inlineStr">
        <is>
          <t>Yes</t>
        </is>
      </c>
      <c r="K501" s="27" t="n"/>
      <c r="L501" s="28" t="inlineStr">
        <is>
          <t>No</t>
        </is>
      </c>
      <c r="M501" s="29">
        <f>IF(E501="","",IF(H501="Yes","❌ Disc",IF(G501="No","⚠ Missing",IF(J501="Yes","✓ OK","⚠ Check"))))</f>
        <v/>
      </c>
      <c r="N501" s="43" t="n">
        <v>46196</v>
      </c>
      <c r="O501" s="26" t="inlineStr">
        <is>
          <t>Sunil CR</t>
        </is>
      </c>
      <c r="P501" s="44" t="inlineStr">
        <is>
          <t>Yes</t>
        </is>
      </c>
      <c r="Q501" s="26" t="inlineStr">
        <is>
          <t>No</t>
        </is>
      </c>
      <c r="R501" s="44" t="inlineStr">
        <is>
          <t>Good finish</t>
        </is>
      </c>
      <c r="S501" s="26" t="inlineStr">
        <is>
          <t>Yes</t>
        </is>
      </c>
      <c r="T501" s="27" t="n"/>
      <c r="U501" s="28" t="inlineStr">
        <is>
          <t>No</t>
        </is>
      </c>
      <c r="V501" s="29">
        <f>IF(N501="","",IF(Q501="Yes","❌ Disc",IF(P501="No","⚠ Missing",IF(S501="Yes","✓ OK","⚠ Check"))))</f>
        <v/>
      </c>
      <c r="W501" s="65" t="n">
        <v>46248</v>
      </c>
      <c r="X501" s="30" t="inlineStr">
        <is>
          <t>Sunil CR</t>
        </is>
      </c>
      <c r="Y501" s="30" t="inlineStr">
        <is>
          <t>Yes</t>
        </is>
      </c>
      <c r="Z501" s="30" t="n"/>
      <c r="AA501" s="30" t="inlineStr">
        <is>
          <t>Good finish</t>
        </is>
      </c>
      <c r="AB501" s="30" t="inlineStr">
        <is>
          <t>Yes</t>
        </is>
      </c>
      <c r="AC501" s="27" t="n"/>
      <c r="AD501" s="31" t="inlineStr">
        <is>
          <t>No</t>
        </is>
      </c>
      <c r="AE501" s="32">
        <f>IF(W501="","",IF(Z501="Yes","❌ Disc",IF(Y501="No","⚠ Missing",IF(AB501="Yes","✓ OK","⚠ Check"))))</f>
        <v/>
      </c>
      <c r="AF501" s="33" t="n"/>
      <c r="AG501" s="33" t="n"/>
      <c r="AH501" s="33" t="n"/>
      <c r="AI501" s="33" t="n"/>
      <c r="AJ501" s="33" t="n"/>
      <c r="AK501" s="33" t="n"/>
      <c r="AL501" s="27" t="n"/>
      <c r="AM501" s="34" t="n"/>
      <c r="AN501" s="35">
        <f>IF(AF501="","",IF(AI501="Yes","❌ Disc",IF(AH501="No","⚠ Missing",IF(AK501="Yes","✓ OK","⚠ Check"))))</f>
        <v/>
      </c>
      <c r="AO501" s="36" t="n"/>
      <c r="AP501" s="36" t="n"/>
      <c r="AQ501" s="36" t="n"/>
      <c r="AR501" s="36" t="n"/>
      <c r="AS501" s="36" t="n"/>
      <c r="AT501" s="36" t="n"/>
      <c r="AU501" s="27" t="n"/>
      <c r="AV501" s="37" t="n"/>
      <c r="AW501" s="38">
        <f>IF(AO501="","",IF(AR501="Yes","❌ Disc",IF(AQ501="No","⚠ Missing",IF(AT501="Yes","✓ OK","⚠ Check"))))</f>
        <v/>
      </c>
    </row>
    <row r="502" ht="18" customHeight="1" s="46">
      <c r="A502" s="39" t="n">
        <v>498</v>
      </c>
      <c r="B502" s="40" t="inlineStr">
        <is>
          <t>HWSUHP1BL897</t>
        </is>
      </c>
      <c r="C502" s="41" t="inlineStr">
        <is>
          <t>Sujin Black BL P-1 Profile Handle 897mm</t>
        </is>
      </c>
      <c r="D502" s="39" t="inlineStr">
        <is>
          <t>SUJIN</t>
        </is>
      </c>
      <c r="E502" s="43" t="n">
        <v>46125</v>
      </c>
      <c r="F502" s="26" t="inlineStr">
        <is>
          <t>Sunil CR</t>
        </is>
      </c>
      <c r="G502" s="44" t="inlineStr">
        <is>
          <t>Represented by Sample</t>
        </is>
      </c>
      <c r="H502" s="26" t="inlineStr">
        <is>
          <t>No</t>
        </is>
      </c>
      <c r="I502" s="44" t="inlineStr">
        <is>
          <t>Represented by Sample</t>
        </is>
      </c>
      <c r="J502" s="26" t="inlineStr">
        <is>
          <t>Yes</t>
        </is>
      </c>
      <c r="K502" s="27" t="n"/>
      <c r="L502" s="28" t="inlineStr">
        <is>
          <t>No</t>
        </is>
      </c>
      <c r="M502" s="29">
        <f>IF(E502="","",IF(H502="Yes","❌ Disc",IF(G502="No","⚠ Missing",IF(J502="Yes","✓ OK","⚠ Check"))))</f>
        <v/>
      </c>
      <c r="N502" s="43" t="n">
        <v>46196</v>
      </c>
      <c r="O502" s="26" t="inlineStr">
        <is>
          <t>Sunil CR</t>
        </is>
      </c>
      <c r="P502" s="44" t="inlineStr">
        <is>
          <t>Represented by Sample</t>
        </is>
      </c>
      <c r="Q502" s="26" t="inlineStr">
        <is>
          <t>No</t>
        </is>
      </c>
      <c r="R502" s="44" t="inlineStr">
        <is>
          <t>Represented by Sample</t>
        </is>
      </c>
      <c r="S502" s="26" t="inlineStr">
        <is>
          <t>Yes</t>
        </is>
      </c>
      <c r="T502" s="27" t="n"/>
      <c r="U502" s="28" t="inlineStr">
        <is>
          <t>No</t>
        </is>
      </c>
      <c r="V502" s="29">
        <f>IF(N502="","",IF(Q502="Yes","❌ Disc",IF(P502="No","⚠ Missing",IF(S502="Yes","✓ OK","⚠ Check"))))</f>
        <v/>
      </c>
      <c r="W502" s="65" t="n">
        <v>46248</v>
      </c>
      <c r="X502" s="30" t="inlineStr">
        <is>
          <t>Sunil CR</t>
        </is>
      </c>
      <c r="Y502" s="30" t="inlineStr">
        <is>
          <t>Represented by Sample</t>
        </is>
      </c>
      <c r="Z502" s="30" t="n"/>
      <c r="AA502" s="30" t="inlineStr">
        <is>
          <t>Represented by Sample</t>
        </is>
      </c>
      <c r="AB502" s="30" t="inlineStr">
        <is>
          <t>Yes</t>
        </is>
      </c>
      <c r="AC502" s="27" t="n"/>
      <c r="AD502" s="31" t="inlineStr">
        <is>
          <t>No</t>
        </is>
      </c>
      <c r="AE502" s="32">
        <f>IF(W502="","",IF(Z502="Yes","❌ Disc",IF(Y502="No","⚠ Missing",IF(AB502="Yes","✓ OK","⚠ Check"))))</f>
        <v/>
      </c>
      <c r="AF502" s="33" t="n"/>
      <c r="AG502" s="33" t="n"/>
      <c r="AH502" s="33" t="n"/>
      <c r="AI502" s="33" t="n"/>
      <c r="AJ502" s="33" t="n"/>
      <c r="AK502" s="33" t="n"/>
      <c r="AL502" s="27" t="n"/>
      <c r="AM502" s="34" t="n"/>
      <c r="AN502" s="35">
        <f>IF(AF502="","",IF(AI502="Yes","❌ Disc",IF(AH502="No","⚠ Missing",IF(AK502="Yes","✓ OK","⚠ Check"))))</f>
        <v/>
      </c>
      <c r="AO502" s="36" t="n"/>
      <c r="AP502" s="36" t="n"/>
      <c r="AQ502" s="36" t="n"/>
      <c r="AR502" s="36" t="n"/>
      <c r="AS502" s="36" t="n"/>
      <c r="AT502" s="36" t="n"/>
      <c r="AU502" s="27" t="n"/>
      <c r="AV502" s="37" t="n"/>
      <c r="AW502" s="38">
        <f>IF(AO502="","",IF(AR502="Yes","❌ Disc",IF(AQ502="No","⚠ Missing",IF(AT502="Yes","✓ OK","⚠ Check"))))</f>
        <v/>
      </c>
    </row>
    <row r="503" ht="18" customHeight="1" s="46">
      <c r="A503" s="23" t="n">
        <v>499</v>
      </c>
      <c r="B503" s="24" t="inlineStr">
        <is>
          <t>HWSUHCSI201PD160</t>
        </is>
      </c>
      <c r="C503" s="25" t="inlineStr">
        <is>
          <t>Sujin PVD Gold PD SI-201 Cabinet Handle 160mm</t>
        </is>
      </c>
      <c r="D503" s="23" t="inlineStr">
        <is>
          <t>SUJIN</t>
        </is>
      </c>
      <c r="E503" s="43" t="n">
        <v>46125</v>
      </c>
      <c r="F503" s="26" t="inlineStr">
        <is>
          <t>Sunil CR</t>
        </is>
      </c>
      <c r="G503" s="44" t="inlineStr">
        <is>
          <t>Yes</t>
        </is>
      </c>
      <c r="H503" s="26" t="inlineStr">
        <is>
          <t>No</t>
        </is>
      </c>
      <c r="I503" s="44" t="inlineStr">
        <is>
          <t>Good finish</t>
        </is>
      </c>
      <c r="J503" s="26" t="inlineStr">
        <is>
          <t>Yes</t>
        </is>
      </c>
      <c r="K503" s="27" t="n"/>
      <c r="L503" s="28" t="inlineStr">
        <is>
          <t>No</t>
        </is>
      </c>
      <c r="M503" s="29">
        <f>IF(E503="","",IF(H503="Yes","❌ Disc",IF(G503="No","⚠ Missing",IF(J503="Yes","✓ OK","⚠ Check"))))</f>
        <v/>
      </c>
      <c r="N503" s="43" t="n">
        <v>46196</v>
      </c>
      <c r="O503" s="26" t="inlineStr">
        <is>
          <t>Sunil CR</t>
        </is>
      </c>
      <c r="P503" s="44" t="inlineStr">
        <is>
          <t>Yes</t>
        </is>
      </c>
      <c r="Q503" s="26" t="inlineStr">
        <is>
          <t>No</t>
        </is>
      </c>
      <c r="R503" s="44" t="inlineStr">
        <is>
          <t>Good finish</t>
        </is>
      </c>
      <c r="S503" s="26" t="inlineStr">
        <is>
          <t>Yes</t>
        </is>
      </c>
      <c r="T503" s="27" t="n"/>
      <c r="U503" s="28" t="inlineStr">
        <is>
          <t>No</t>
        </is>
      </c>
      <c r="V503" s="29">
        <f>IF(N503="","",IF(Q503="Yes","❌ Disc",IF(P503="No","⚠ Missing",IF(S503="Yes","✓ OK","⚠ Check"))))</f>
        <v/>
      </c>
      <c r="W503" s="65" t="n">
        <v>46248</v>
      </c>
      <c r="X503" s="30" t="inlineStr">
        <is>
          <t>Sunil CR</t>
        </is>
      </c>
      <c r="Y503" s="30" t="inlineStr">
        <is>
          <t>Yes</t>
        </is>
      </c>
      <c r="Z503" s="30" t="n"/>
      <c r="AA503" s="30" t="inlineStr">
        <is>
          <t>Good finish</t>
        </is>
      </c>
      <c r="AB503" s="30" t="inlineStr">
        <is>
          <t>Yes</t>
        </is>
      </c>
      <c r="AC503" s="27" t="n"/>
      <c r="AD503" s="31" t="inlineStr">
        <is>
          <t>No</t>
        </is>
      </c>
      <c r="AE503" s="32">
        <f>IF(W503="","",IF(Z503="Yes","❌ Disc",IF(Y503="No","⚠ Missing",IF(AB503="Yes","✓ OK","⚠ Check"))))</f>
        <v/>
      </c>
      <c r="AF503" s="33" t="n"/>
      <c r="AG503" s="33" t="n"/>
      <c r="AH503" s="33" t="n"/>
      <c r="AI503" s="33" t="n"/>
      <c r="AJ503" s="33" t="n"/>
      <c r="AK503" s="33" t="n"/>
      <c r="AL503" s="27" t="n"/>
      <c r="AM503" s="34" t="n"/>
      <c r="AN503" s="35">
        <f>IF(AF503="","",IF(AI503="Yes","❌ Disc",IF(AH503="No","⚠ Missing",IF(AK503="Yes","✓ OK","⚠ Check"))))</f>
        <v/>
      </c>
      <c r="AO503" s="36" t="n"/>
      <c r="AP503" s="36" t="n"/>
      <c r="AQ503" s="36" t="n"/>
      <c r="AR503" s="36" t="n"/>
      <c r="AS503" s="36" t="n"/>
      <c r="AT503" s="36" t="n"/>
      <c r="AU503" s="27" t="n"/>
      <c r="AV503" s="37" t="n"/>
      <c r="AW503" s="38">
        <f>IF(AO503="","",IF(AR503="Yes","❌ Disc",IF(AQ503="No","⚠ Missing",IF(AT503="Yes","✓ OK","⚠ Check"))))</f>
        <v/>
      </c>
    </row>
    <row r="504" ht="18" customHeight="1" s="46">
      <c r="A504" s="39" t="n">
        <v>500</v>
      </c>
      <c r="B504" s="40" t="inlineStr">
        <is>
          <t>HWSUHCSI201PD224</t>
        </is>
      </c>
      <c r="C504" s="41" t="inlineStr">
        <is>
          <t>Sujin PVD Gold PD SI-201 Cabinet Handle 224mm</t>
        </is>
      </c>
      <c r="D504" s="39" t="inlineStr">
        <is>
          <t>SUJIN</t>
        </is>
      </c>
      <c r="E504" s="43" t="n">
        <v>46125</v>
      </c>
      <c r="F504" s="26" t="inlineStr">
        <is>
          <t>Sunil CR</t>
        </is>
      </c>
      <c r="G504" s="44" t="inlineStr">
        <is>
          <t>Represented by Sample</t>
        </is>
      </c>
      <c r="H504" s="26" t="inlineStr">
        <is>
          <t>No</t>
        </is>
      </c>
      <c r="I504" s="44" t="inlineStr">
        <is>
          <t>Represented by Sample</t>
        </is>
      </c>
      <c r="J504" s="26" t="inlineStr">
        <is>
          <t>Yes</t>
        </is>
      </c>
      <c r="K504" s="27" t="n"/>
      <c r="L504" s="28" t="inlineStr">
        <is>
          <t>No</t>
        </is>
      </c>
      <c r="M504" s="29">
        <f>IF(E504="","",IF(H504="Yes","❌ Disc",IF(G504="No","⚠ Missing",IF(J504="Yes","✓ OK","⚠ Check"))))</f>
        <v/>
      </c>
      <c r="N504" s="43" t="n">
        <v>46196</v>
      </c>
      <c r="O504" s="26" t="inlineStr">
        <is>
          <t>Sunil CR</t>
        </is>
      </c>
      <c r="P504" s="44" t="inlineStr">
        <is>
          <t>Represented by Sample</t>
        </is>
      </c>
      <c r="Q504" s="26" t="inlineStr">
        <is>
          <t>No</t>
        </is>
      </c>
      <c r="R504" s="44" t="inlineStr">
        <is>
          <t>Represented by Sample</t>
        </is>
      </c>
      <c r="S504" s="26" t="inlineStr">
        <is>
          <t>Yes</t>
        </is>
      </c>
      <c r="T504" s="27" t="n"/>
      <c r="U504" s="28" t="inlineStr">
        <is>
          <t>No</t>
        </is>
      </c>
      <c r="V504" s="29">
        <f>IF(N504="","",IF(Q504="Yes","❌ Disc",IF(P504="No","⚠ Missing",IF(S504="Yes","✓ OK","⚠ Check"))))</f>
        <v/>
      </c>
      <c r="W504" s="65" t="n">
        <v>46248</v>
      </c>
      <c r="X504" s="30" t="inlineStr">
        <is>
          <t>Sunil CR</t>
        </is>
      </c>
      <c r="Y504" s="30" t="inlineStr">
        <is>
          <t>Represented by Sample</t>
        </is>
      </c>
      <c r="Z504" s="30" t="n"/>
      <c r="AA504" s="30" t="inlineStr">
        <is>
          <t>Represented by Sample</t>
        </is>
      </c>
      <c r="AB504" s="30" t="inlineStr">
        <is>
          <t>Yes</t>
        </is>
      </c>
      <c r="AC504" s="27" t="n"/>
      <c r="AD504" s="31" t="inlineStr">
        <is>
          <t>No</t>
        </is>
      </c>
      <c r="AE504" s="32">
        <f>IF(W504="","",IF(Z504="Yes","❌ Disc",IF(Y504="No","⚠ Missing",IF(AB504="Yes","✓ OK","⚠ Check"))))</f>
        <v/>
      </c>
      <c r="AF504" s="33" t="n"/>
      <c r="AG504" s="33" t="n"/>
      <c r="AH504" s="33" t="n"/>
      <c r="AI504" s="33" t="n"/>
      <c r="AJ504" s="33" t="n"/>
      <c r="AK504" s="33" t="n"/>
      <c r="AL504" s="27" t="n"/>
      <c r="AM504" s="34" t="n"/>
      <c r="AN504" s="35">
        <f>IF(AF504="","",IF(AI504="Yes","❌ Disc",IF(AH504="No","⚠ Missing",IF(AK504="Yes","✓ OK","⚠ Check"))))</f>
        <v/>
      </c>
      <c r="AO504" s="36" t="n"/>
      <c r="AP504" s="36" t="n"/>
      <c r="AQ504" s="36" t="n"/>
      <c r="AR504" s="36" t="n"/>
      <c r="AS504" s="36" t="n"/>
      <c r="AT504" s="36" t="n"/>
      <c r="AU504" s="27" t="n"/>
      <c r="AV504" s="37" t="n"/>
      <c r="AW504" s="38">
        <f>IF(AO504="","",IF(AR504="Yes","❌ Disc",IF(AQ504="No","⚠ Missing",IF(AT504="Yes","✓ OK","⚠ Check"))))</f>
        <v/>
      </c>
    </row>
    <row r="505" ht="18" customHeight="1" s="46">
      <c r="A505" s="23" t="n">
        <v>501</v>
      </c>
      <c r="B505" s="24" t="inlineStr">
        <is>
          <t>HWSUHCSI201PD288</t>
        </is>
      </c>
      <c r="C505" s="25" t="inlineStr">
        <is>
          <t>Sujin PVD Gold PD SI-201 Cabinet Handle 288mm</t>
        </is>
      </c>
      <c r="D505" s="23" t="inlineStr">
        <is>
          <t>SUJIN</t>
        </is>
      </c>
      <c r="E505" s="43" t="n">
        <v>46125</v>
      </c>
      <c r="F505" s="26" t="inlineStr">
        <is>
          <t>Sunil CR</t>
        </is>
      </c>
      <c r="G505" s="44" t="inlineStr">
        <is>
          <t>Represented by Sample</t>
        </is>
      </c>
      <c r="H505" s="26" t="inlineStr">
        <is>
          <t>No</t>
        </is>
      </c>
      <c r="I505" s="44" t="inlineStr">
        <is>
          <t>Represented by Sample</t>
        </is>
      </c>
      <c r="J505" s="26" t="inlineStr">
        <is>
          <t>Yes</t>
        </is>
      </c>
      <c r="K505" s="27" t="n"/>
      <c r="L505" s="28" t="inlineStr">
        <is>
          <t>No</t>
        </is>
      </c>
      <c r="M505" s="29">
        <f>IF(E505="","",IF(H505="Yes","❌ Disc",IF(G505="No","⚠ Missing",IF(J505="Yes","✓ OK","⚠ Check"))))</f>
        <v/>
      </c>
      <c r="N505" s="43" t="n">
        <v>46196</v>
      </c>
      <c r="O505" s="26" t="inlineStr">
        <is>
          <t>Sunil CR</t>
        </is>
      </c>
      <c r="P505" s="44" t="inlineStr">
        <is>
          <t>Represented by Sample</t>
        </is>
      </c>
      <c r="Q505" s="26" t="inlineStr">
        <is>
          <t>No</t>
        </is>
      </c>
      <c r="R505" s="44" t="inlineStr">
        <is>
          <t>Represented by Sample</t>
        </is>
      </c>
      <c r="S505" s="26" t="inlineStr">
        <is>
          <t>Yes</t>
        </is>
      </c>
      <c r="T505" s="27" t="n"/>
      <c r="U505" s="28" t="inlineStr">
        <is>
          <t>No</t>
        </is>
      </c>
      <c r="V505" s="29">
        <f>IF(N505="","",IF(Q505="Yes","❌ Disc",IF(P505="No","⚠ Missing",IF(S505="Yes","✓ OK","⚠ Check"))))</f>
        <v/>
      </c>
      <c r="W505" s="65" t="n">
        <v>46248</v>
      </c>
      <c r="X505" s="30" t="inlineStr">
        <is>
          <t>Sunil CR</t>
        </is>
      </c>
      <c r="Y505" s="30" t="inlineStr">
        <is>
          <t>Represented by Sample</t>
        </is>
      </c>
      <c r="Z505" s="30" t="n"/>
      <c r="AA505" s="30" t="inlineStr">
        <is>
          <t>Represented by Sample</t>
        </is>
      </c>
      <c r="AB505" s="30" t="inlineStr">
        <is>
          <t>Yes</t>
        </is>
      </c>
      <c r="AC505" s="27" t="n"/>
      <c r="AD505" s="31" t="inlineStr">
        <is>
          <t>No</t>
        </is>
      </c>
      <c r="AE505" s="32">
        <f>IF(W505="","",IF(Z505="Yes","❌ Disc",IF(Y505="No","⚠ Missing",IF(AB505="Yes","✓ OK","⚠ Check"))))</f>
        <v/>
      </c>
      <c r="AF505" s="33" t="n"/>
      <c r="AG505" s="33" t="n"/>
      <c r="AH505" s="33" t="n"/>
      <c r="AI505" s="33" t="n"/>
      <c r="AJ505" s="33" t="n"/>
      <c r="AK505" s="33" t="n"/>
      <c r="AL505" s="27" t="n"/>
      <c r="AM505" s="34" t="n"/>
      <c r="AN505" s="35">
        <f>IF(AF505="","",IF(AI505="Yes","❌ Disc",IF(AH505="No","⚠ Missing",IF(AK505="Yes","✓ OK","⚠ Check"))))</f>
        <v/>
      </c>
      <c r="AO505" s="36" t="n"/>
      <c r="AP505" s="36" t="n"/>
      <c r="AQ505" s="36" t="n"/>
      <c r="AR505" s="36" t="n"/>
      <c r="AS505" s="36" t="n"/>
      <c r="AT505" s="36" t="n"/>
      <c r="AU505" s="27" t="n"/>
      <c r="AV505" s="37" t="n"/>
      <c r="AW505" s="38">
        <f>IF(AO505="","",IF(AR505="Yes","❌ Disc",IF(AQ505="No","⚠ Missing",IF(AT505="Yes","✓ OK","⚠ Check"))))</f>
        <v/>
      </c>
    </row>
    <row r="506" ht="18" customHeight="1" s="46">
      <c r="A506" s="39" t="n">
        <v>502</v>
      </c>
      <c r="B506" s="40" t="inlineStr">
        <is>
          <t>HWSUHCSI201PD96</t>
        </is>
      </c>
      <c r="C506" s="41" t="inlineStr">
        <is>
          <t>Sujin PVD Gold PD SI-201 Cabinet Handle 96mm</t>
        </is>
      </c>
      <c r="D506" s="39" t="inlineStr">
        <is>
          <t>SUJIN</t>
        </is>
      </c>
      <c r="E506" s="43" t="n">
        <v>46125</v>
      </c>
      <c r="F506" s="26" t="inlineStr">
        <is>
          <t>Sunil CR</t>
        </is>
      </c>
      <c r="G506" s="44" t="inlineStr">
        <is>
          <t>Represented by Sample</t>
        </is>
      </c>
      <c r="H506" s="26" t="inlineStr">
        <is>
          <t>No</t>
        </is>
      </c>
      <c r="I506" s="44" t="inlineStr">
        <is>
          <t>Represented by Sample</t>
        </is>
      </c>
      <c r="J506" s="26" t="inlineStr">
        <is>
          <t>Yes</t>
        </is>
      </c>
      <c r="K506" s="27" t="n"/>
      <c r="L506" s="28" t="inlineStr">
        <is>
          <t>No</t>
        </is>
      </c>
      <c r="M506" s="29">
        <f>IF(E506="","",IF(H506="Yes","❌ Disc",IF(G506="No","⚠ Missing",IF(J506="Yes","✓ OK","⚠ Check"))))</f>
        <v/>
      </c>
      <c r="N506" s="43" t="n">
        <v>46196</v>
      </c>
      <c r="O506" s="26" t="inlineStr">
        <is>
          <t>Sunil CR</t>
        </is>
      </c>
      <c r="P506" s="44" t="inlineStr">
        <is>
          <t>Represented by Sample</t>
        </is>
      </c>
      <c r="Q506" s="26" t="inlineStr">
        <is>
          <t>No</t>
        </is>
      </c>
      <c r="R506" s="44" t="inlineStr">
        <is>
          <t>Represented by Sample</t>
        </is>
      </c>
      <c r="S506" s="26" t="inlineStr">
        <is>
          <t>Yes</t>
        </is>
      </c>
      <c r="T506" s="27" t="n"/>
      <c r="U506" s="28" t="inlineStr">
        <is>
          <t>No</t>
        </is>
      </c>
      <c r="V506" s="29">
        <f>IF(N506="","",IF(Q506="Yes","❌ Disc",IF(P506="No","⚠ Missing",IF(S506="Yes","✓ OK","⚠ Check"))))</f>
        <v/>
      </c>
      <c r="W506" s="65" t="n">
        <v>46248</v>
      </c>
      <c r="X506" s="30" t="inlineStr">
        <is>
          <t>Sunil CR</t>
        </is>
      </c>
      <c r="Y506" s="30" t="inlineStr">
        <is>
          <t>Represented by Sample</t>
        </is>
      </c>
      <c r="Z506" s="30" t="n"/>
      <c r="AA506" s="30" t="inlineStr">
        <is>
          <t>Represented by Sample</t>
        </is>
      </c>
      <c r="AB506" s="30" t="inlineStr">
        <is>
          <t>Yes</t>
        </is>
      </c>
      <c r="AC506" s="27" t="n"/>
      <c r="AD506" s="31" t="inlineStr">
        <is>
          <t>No</t>
        </is>
      </c>
      <c r="AE506" s="32">
        <f>IF(W506="","",IF(Z506="Yes","❌ Disc",IF(Y506="No","⚠ Missing",IF(AB506="Yes","✓ OK","⚠ Check"))))</f>
        <v/>
      </c>
      <c r="AF506" s="33" t="n"/>
      <c r="AG506" s="33" t="n"/>
      <c r="AH506" s="33" t="n"/>
      <c r="AI506" s="33" t="n"/>
      <c r="AJ506" s="33" t="n"/>
      <c r="AK506" s="33" t="n"/>
      <c r="AL506" s="27" t="n"/>
      <c r="AM506" s="34" t="n"/>
      <c r="AN506" s="35">
        <f>IF(AF506="","",IF(AI506="Yes","❌ Disc",IF(AH506="No","⚠ Missing",IF(AK506="Yes","✓ OK","⚠ Check"))))</f>
        <v/>
      </c>
      <c r="AO506" s="36" t="n"/>
      <c r="AP506" s="36" t="n"/>
      <c r="AQ506" s="36" t="n"/>
      <c r="AR506" s="36" t="n"/>
      <c r="AS506" s="36" t="n"/>
      <c r="AT506" s="36" t="n"/>
      <c r="AU506" s="27" t="n"/>
      <c r="AV506" s="37" t="n"/>
      <c r="AW506" s="38">
        <f>IF(AO506="","",IF(AR506="Yes","❌ Disc",IF(AQ506="No","⚠ Missing",IF(AT506="Yes","✓ OK","⚠ Check"))))</f>
        <v/>
      </c>
    </row>
    <row r="507" ht="18" customHeight="1" s="46">
      <c r="A507" s="23" t="n">
        <v>503</v>
      </c>
      <c r="B507" s="24" t="inlineStr">
        <is>
          <t>HWSUHP2BL197</t>
        </is>
      </c>
      <c r="C507" s="25" t="inlineStr">
        <is>
          <t>Sujin Stainless Black BL P-2 Profile Handle 197mm</t>
        </is>
      </c>
      <c r="D507" s="23" t="inlineStr">
        <is>
          <t>SUJIN</t>
        </is>
      </c>
      <c r="E507" s="43" t="n">
        <v>46125</v>
      </c>
      <c r="F507" s="26" t="inlineStr">
        <is>
          <t>Sunil CR</t>
        </is>
      </c>
      <c r="G507" s="44" t="inlineStr">
        <is>
          <t>Represented by Sample</t>
        </is>
      </c>
      <c r="H507" s="26" t="inlineStr">
        <is>
          <t>No</t>
        </is>
      </c>
      <c r="I507" s="44" t="inlineStr">
        <is>
          <t>Represented by Sample</t>
        </is>
      </c>
      <c r="J507" s="26" t="inlineStr">
        <is>
          <t>Yes</t>
        </is>
      </c>
      <c r="K507" s="27" t="n"/>
      <c r="L507" s="28" t="inlineStr">
        <is>
          <t>No</t>
        </is>
      </c>
      <c r="M507" s="29">
        <f>IF(E507="","",IF(H507="Yes","❌ Disc",IF(G507="No","⚠ Missing",IF(J507="Yes","✓ OK","⚠ Check"))))</f>
        <v/>
      </c>
      <c r="N507" s="43" t="n">
        <v>46196</v>
      </c>
      <c r="O507" s="26" t="inlineStr">
        <is>
          <t>Sunil CR</t>
        </is>
      </c>
      <c r="P507" s="44" t="inlineStr">
        <is>
          <t>Represented by Sample</t>
        </is>
      </c>
      <c r="Q507" s="26" t="inlineStr">
        <is>
          <t>No</t>
        </is>
      </c>
      <c r="R507" s="44" t="inlineStr">
        <is>
          <t>Represented by Sample</t>
        </is>
      </c>
      <c r="S507" s="26" t="inlineStr">
        <is>
          <t>Yes</t>
        </is>
      </c>
      <c r="T507" s="27" t="n"/>
      <c r="U507" s="28" t="inlineStr">
        <is>
          <t>No</t>
        </is>
      </c>
      <c r="V507" s="29">
        <f>IF(N507="","",IF(Q507="Yes","❌ Disc",IF(P507="No","⚠ Missing",IF(S507="Yes","✓ OK","⚠ Check"))))</f>
        <v/>
      </c>
      <c r="W507" s="65" t="n">
        <v>46248</v>
      </c>
      <c r="X507" s="30" t="inlineStr">
        <is>
          <t>Sunil CR</t>
        </is>
      </c>
      <c r="Y507" s="30" t="inlineStr">
        <is>
          <t>Represented by Sample</t>
        </is>
      </c>
      <c r="Z507" s="30" t="n"/>
      <c r="AA507" s="30" t="inlineStr">
        <is>
          <t>Represented by Sample</t>
        </is>
      </c>
      <c r="AB507" s="30" t="inlineStr">
        <is>
          <t>Yes</t>
        </is>
      </c>
      <c r="AC507" s="27" t="n"/>
      <c r="AD507" s="31" t="inlineStr">
        <is>
          <t>No</t>
        </is>
      </c>
      <c r="AE507" s="32">
        <f>IF(W507="","",IF(Z507="Yes","❌ Disc",IF(Y507="No","⚠ Missing",IF(AB507="Yes","✓ OK","⚠ Check"))))</f>
        <v/>
      </c>
      <c r="AF507" s="33" t="n"/>
      <c r="AG507" s="33" t="n"/>
      <c r="AH507" s="33" t="n"/>
      <c r="AI507" s="33" t="n"/>
      <c r="AJ507" s="33" t="n"/>
      <c r="AK507" s="33" t="n"/>
      <c r="AL507" s="27" t="n"/>
      <c r="AM507" s="34" t="n"/>
      <c r="AN507" s="35">
        <f>IF(AF507="","",IF(AI507="Yes","❌ Disc",IF(AH507="No","⚠ Missing",IF(AK507="Yes","✓ OK","⚠ Check"))))</f>
        <v/>
      </c>
      <c r="AO507" s="36" t="n"/>
      <c r="AP507" s="36" t="n"/>
      <c r="AQ507" s="36" t="n"/>
      <c r="AR507" s="36" t="n"/>
      <c r="AS507" s="36" t="n"/>
      <c r="AT507" s="36" t="n"/>
      <c r="AU507" s="27" t="n"/>
      <c r="AV507" s="37" t="n"/>
      <c r="AW507" s="38">
        <f>IF(AO507="","",IF(AR507="Yes","❌ Disc",IF(AQ507="No","⚠ Missing",IF(AT507="Yes","✓ OK","⚠ Check"))))</f>
        <v/>
      </c>
    </row>
    <row r="508" ht="18" customHeight="1" s="46">
      <c r="A508" s="39" t="n">
        <v>504</v>
      </c>
      <c r="B508" s="40" t="inlineStr">
        <is>
          <t>HWSUHP2BL247</t>
        </is>
      </c>
      <c r="C508" s="41" t="inlineStr">
        <is>
          <t>Sujin Stainless Black BL P-2 Profile Handle 247mm</t>
        </is>
      </c>
      <c r="D508" s="39" t="inlineStr">
        <is>
          <t>SUJIN</t>
        </is>
      </c>
      <c r="E508" s="43" t="n">
        <v>46125</v>
      </c>
      <c r="F508" s="26" t="inlineStr">
        <is>
          <t>Sunil CR</t>
        </is>
      </c>
      <c r="G508" s="44" t="inlineStr">
        <is>
          <t>Represented by Sample</t>
        </is>
      </c>
      <c r="H508" s="26" t="inlineStr">
        <is>
          <t>No</t>
        </is>
      </c>
      <c r="I508" s="44" t="inlineStr">
        <is>
          <t>Represented by Sample</t>
        </is>
      </c>
      <c r="J508" s="26" t="inlineStr">
        <is>
          <t>Yes</t>
        </is>
      </c>
      <c r="K508" s="27" t="n"/>
      <c r="L508" s="28" t="inlineStr">
        <is>
          <t>No</t>
        </is>
      </c>
      <c r="M508" s="29">
        <f>IF(E508="","",IF(H508="Yes","❌ Disc",IF(G508="No","⚠ Missing",IF(J508="Yes","✓ OK","⚠ Check"))))</f>
        <v/>
      </c>
      <c r="N508" s="43" t="n">
        <v>46196</v>
      </c>
      <c r="O508" s="26" t="inlineStr">
        <is>
          <t>Sunil CR</t>
        </is>
      </c>
      <c r="P508" s="44" t="inlineStr">
        <is>
          <t>Represented by Sample</t>
        </is>
      </c>
      <c r="Q508" s="26" t="inlineStr">
        <is>
          <t>No</t>
        </is>
      </c>
      <c r="R508" s="44" t="inlineStr">
        <is>
          <t>Represented by Sample</t>
        </is>
      </c>
      <c r="S508" s="26" t="inlineStr">
        <is>
          <t>Yes</t>
        </is>
      </c>
      <c r="T508" s="27" t="n"/>
      <c r="U508" s="28" t="inlineStr">
        <is>
          <t>No</t>
        </is>
      </c>
      <c r="V508" s="29">
        <f>IF(N508="","",IF(Q508="Yes","❌ Disc",IF(P508="No","⚠ Missing",IF(S508="Yes","✓ OK","⚠ Check"))))</f>
        <v/>
      </c>
      <c r="W508" s="65" t="n">
        <v>46248</v>
      </c>
      <c r="X508" s="30" t="inlineStr">
        <is>
          <t>Sunil CR</t>
        </is>
      </c>
      <c r="Y508" s="30" t="inlineStr">
        <is>
          <t>Represented by Sample</t>
        </is>
      </c>
      <c r="Z508" s="30" t="n"/>
      <c r="AA508" s="30" t="inlineStr">
        <is>
          <t>Represented by Sample</t>
        </is>
      </c>
      <c r="AB508" s="30" t="inlineStr">
        <is>
          <t>Yes</t>
        </is>
      </c>
      <c r="AC508" s="27" t="n"/>
      <c r="AD508" s="31" t="inlineStr">
        <is>
          <t>No</t>
        </is>
      </c>
      <c r="AE508" s="32">
        <f>IF(W508="","",IF(Z508="Yes","❌ Disc",IF(Y508="No","⚠ Missing",IF(AB508="Yes","✓ OK","⚠ Check"))))</f>
        <v/>
      </c>
      <c r="AF508" s="33" t="n"/>
      <c r="AG508" s="33" t="n"/>
      <c r="AH508" s="33" t="n"/>
      <c r="AI508" s="33" t="n"/>
      <c r="AJ508" s="33" t="n"/>
      <c r="AK508" s="33" t="n"/>
      <c r="AL508" s="27" t="n"/>
      <c r="AM508" s="34" t="n"/>
      <c r="AN508" s="35">
        <f>IF(AF508="","",IF(AI508="Yes","❌ Disc",IF(AH508="No","⚠ Missing",IF(AK508="Yes","✓ OK","⚠ Check"))))</f>
        <v/>
      </c>
      <c r="AO508" s="36" t="n"/>
      <c r="AP508" s="36" t="n"/>
      <c r="AQ508" s="36" t="n"/>
      <c r="AR508" s="36" t="n"/>
      <c r="AS508" s="36" t="n"/>
      <c r="AT508" s="36" t="n"/>
      <c r="AU508" s="27" t="n"/>
      <c r="AV508" s="37" t="n"/>
      <c r="AW508" s="38">
        <f>IF(AO508="","",IF(AR508="Yes","❌ Disc",IF(AQ508="No","⚠ Missing",IF(AT508="Yes","✓ OK","⚠ Check"))))</f>
        <v/>
      </c>
    </row>
    <row r="509" ht="18" customHeight="1" s="46">
      <c r="A509" s="23" t="n">
        <v>505</v>
      </c>
      <c r="B509" s="24" t="inlineStr">
        <is>
          <t>HWSUHP2BL297</t>
        </is>
      </c>
      <c r="C509" s="25" t="inlineStr">
        <is>
          <t>Sujin Stainless Black BL P-2 Profile Handle 297mm</t>
        </is>
      </c>
      <c r="D509" s="23" t="inlineStr">
        <is>
          <t>SUJIN</t>
        </is>
      </c>
      <c r="E509" s="43" t="n">
        <v>46125</v>
      </c>
      <c r="F509" s="26" t="inlineStr">
        <is>
          <t>Sunil CR</t>
        </is>
      </c>
      <c r="G509" s="44" t="inlineStr">
        <is>
          <t>Represented by Sample</t>
        </is>
      </c>
      <c r="H509" s="26" t="inlineStr">
        <is>
          <t>No</t>
        </is>
      </c>
      <c r="I509" s="44" t="inlineStr">
        <is>
          <t>Represented by Sample</t>
        </is>
      </c>
      <c r="J509" s="26" t="inlineStr">
        <is>
          <t>Yes</t>
        </is>
      </c>
      <c r="K509" s="27" t="n"/>
      <c r="L509" s="28" t="inlineStr">
        <is>
          <t>No</t>
        </is>
      </c>
      <c r="M509" s="29">
        <f>IF(E509="","",IF(H509="Yes","❌ Disc",IF(G509="No","⚠ Missing",IF(J509="Yes","✓ OK","⚠ Check"))))</f>
        <v/>
      </c>
      <c r="N509" s="43" t="n">
        <v>46196</v>
      </c>
      <c r="O509" s="26" t="inlineStr">
        <is>
          <t>Sunil CR</t>
        </is>
      </c>
      <c r="P509" s="44" t="inlineStr">
        <is>
          <t>Represented by Sample</t>
        </is>
      </c>
      <c r="Q509" s="26" t="inlineStr">
        <is>
          <t>No</t>
        </is>
      </c>
      <c r="R509" s="44" t="inlineStr">
        <is>
          <t>Represented by Sample</t>
        </is>
      </c>
      <c r="S509" s="26" t="inlineStr">
        <is>
          <t>Yes</t>
        </is>
      </c>
      <c r="T509" s="27" t="n"/>
      <c r="U509" s="28" t="inlineStr">
        <is>
          <t>No</t>
        </is>
      </c>
      <c r="V509" s="29">
        <f>IF(N509="","",IF(Q509="Yes","❌ Disc",IF(P509="No","⚠ Missing",IF(S509="Yes","✓ OK","⚠ Check"))))</f>
        <v/>
      </c>
      <c r="W509" s="65" t="n">
        <v>46248</v>
      </c>
      <c r="X509" s="30" t="inlineStr">
        <is>
          <t>Sunil CR</t>
        </is>
      </c>
      <c r="Y509" s="30" t="inlineStr">
        <is>
          <t>Represented by Sample</t>
        </is>
      </c>
      <c r="Z509" s="30" t="n"/>
      <c r="AA509" s="30" t="inlineStr">
        <is>
          <t>Represented by Sample</t>
        </is>
      </c>
      <c r="AB509" s="30" t="inlineStr">
        <is>
          <t>Yes</t>
        </is>
      </c>
      <c r="AC509" s="27" t="n"/>
      <c r="AD509" s="31" t="inlineStr">
        <is>
          <t>No</t>
        </is>
      </c>
      <c r="AE509" s="32">
        <f>IF(W509="","",IF(Z509="Yes","❌ Disc",IF(Y509="No","⚠ Missing",IF(AB509="Yes","✓ OK","⚠ Check"))))</f>
        <v/>
      </c>
      <c r="AF509" s="33" t="n"/>
      <c r="AG509" s="33" t="n"/>
      <c r="AH509" s="33" t="n"/>
      <c r="AI509" s="33" t="n"/>
      <c r="AJ509" s="33" t="n"/>
      <c r="AK509" s="33" t="n"/>
      <c r="AL509" s="27" t="n"/>
      <c r="AM509" s="34" t="n"/>
      <c r="AN509" s="35">
        <f>IF(AF509="","",IF(AI509="Yes","❌ Disc",IF(AH509="No","⚠ Missing",IF(AK509="Yes","✓ OK","⚠ Check"))))</f>
        <v/>
      </c>
      <c r="AO509" s="36" t="n"/>
      <c r="AP509" s="36" t="n"/>
      <c r="AQ509" s="36" t="n"/>
      <c r="AR509" s="36" t="n"/>
      <c r="AS509" s="36" t="n"/>
      <c r="AT509" s="36" t="n"/>
      <c r="AU509" s="27" t="n"/>
      <c r="AV509" s="37" t="n"/>
      <c r="AW509" s="38">
        <f>IF(AO509="","",IF(AR509="Yes","❌ Disc",IF(AQ509="No","⚠ Missing",IF(AT509="Yes","✓ OK","⚠ Check"))))</f>
        <v/>
      </c>
    </row>
    <row r="510" ht="18" customHeight="1" s="46">
      <c r="A510" s="39" t="n">
        <v>506</v>
      </c>
      <c r="B510" s="40" t="inlineStr">
        <is>
          <t>HWSUHP2BL347</t>
        </is>
      </c>
      <c r="C510" s="41" t="inlineStr">
        <is>
          <t>Sujin Stainless Black BL P-2 Profile Handle 347mm</t>
        </is>
      </c>
      <c r="D510" s="39" t="inlineStr">
        <is>
          <t>SUJIN</t>
        </is>
      </c>
      <c r="E510" s="43" t="n">
        <v>46125</v>
      </c>
      <c r="F510" s="26" t="inlineStr">
        <is>
          <t>Sunil CR</t>
        </is>
      </c>
      <c r="G510" s="44" t="inlineStr">
        <is>
          <t>Represented by Sample</t>
        </is>
      </c>
      <c r="H510" s="26" t="inlineStr">
        <is>
          <t>No</t>
        </is>
      </c>
      <c r="I510" s="44" t="inlineStr">
        <is>
          <t>Represented by Sample</t>
        </is>
      </c>
      <c r="J510" s="26" t="inlineStr">
        <is>
          <t>Yes</t>
        </is>
      </c>
      <c r="K510" s="27" t="n"/>
      <c r="L510" s="28" t="inlineStr">
        <is>
          <t>No</t>
        </is>
      </c>
      <c r="M510" s="29">
        <f>IF(E510="","",IF(H510="Yes","❌ Disc",IF(G510="No","⚠ Missing",IF(J510="Yes","✓ OK","⚠ Check"))))</f>
        <v/>
      </c>
      <c r="N510" s="43" t="n">
        <v>46196</v>
      </c>
      <c r="O510" s="26" t="inlineStr">
        <is>
          <t>Sunil CR</t>
        </is>
      </c>
      <c r="P510" s="44" t="inlineStr">
        <is>
          <t>Represented by Sample</t>
        </is>
      </c>
      <c r="Q510" s="26" t="inlineStr">
        <is>
          <t>No</t>
        </is>
      </c>
      <c r="R510" s="44" t="inlineStr">
        <is>
          <t>Represented by Sample</t>
        </is>
      </c>
      <c r="S510" s="26" t="inlineStr">
        <is>
          <t>Yes</t>
        </is>
      </c>
      <c r="T510" s="27" t="n"/>
      <c r="U510" s="28" t="inlineStr">
        <is>
          <t>No</t>
        </is>
      </c>
      <c r="V510" s="29">
        <f>IF(N510="","",IF(Q510="Yes","❌ Disc",IF(P510="No","⚠ Missing",IF(S510="Yes","✓ OK","⚠ Check"))))</f>
        <v/>
      </c>
      <c r="W510" s="65" t="n">
        <v>46248</v>
      </c>
      <c r="X510" s="30" t="inlineStr">
        <is>
          <t>Sunil CR</t>
        </is>
      </c>
      <c r="Y510" s="30" t="inlineStr">
        <is>
          <t>Represented by Sample</t>
        </is>
      </c>
      <c r="Z510" s="30" t="n"/>
      <c r="AA510" s="30" t="inlineStr">
        <is>
          <t>Represented by Sample</t>
        </is>
      </c>
      <c r="AB510" s="30" t="inlineStr">
        <is>
          <t>Yes</t>
        </is>
      </c>
      <c r="AC510" s="27" t="n"/>
      <c r="AD510" s="31" t="inlineStr">
        <is>
          <t>No</t>
        </is>
      </c>
      <c r="AE510" s="32">
        <f>IF(W510="","",IF(Z510="Yes","❌ Disc",IF(Y510="No","⚠ Missing",IF(AB510="Yes","✓ OK","⚠ Check"))))</f>
        <v/>
      </c>
      <c r="AF510" s="33" t="n"/>
      <c r="AG510" s="33" t="n"/>
      <c r="AH510" s="33" t="n"/>
      <c r="AI510" s="33" t="n"/>
      <c r="AJ510" s="33" t="n"/>
      <c r="AK510" s="33" t="n"/>
      <c r="AL510" s="27" t="n"/>
      <c r="AM510" s="34" t="n"/>
      <c r="AN510" s="35">
        <f>IF(AF510="","",IF(AI510="Yes","❌ Disc",IF(AH510="No","⚠ Missing",IF(AK510="Yes","✓ OK","⚠ Check"))))</f>
        <v/>
      </c>
      <c r="AO510" s="36" t="n"/>
      <c r="AP510" s="36" t="n"/>
      <c r="AQ510" s="36" t="n"/>
      <c r="AR510" s="36" t="n"/>
      <c r="AS510" s="36" t="n"/>
      <c r="AT510" s="36" t="n"/>
      <c r="AU510" s="27" t="n"/>
      <c r="AV510" s="37" t="n"/>
      <c r="AW510" s="38">
        <f>IF(AO510="","",IF(AR510="Yes","❌ Disc",IF(AQ510="No","⚠ Missing",IF(AT510="Yes","✓ OK","⚠ Check"))))</f>
        <v/>
      </c>
    </row>
    <row r="511" ht="18" customHeight="1" s="46">
      <c r="A511" s="23" t="n">
        <v>507</v>
      </c>
      <c r="B511" s="24" t="inlineStr">
        <is>
          <t>HWSUHP2BL397</t>
        </is>
      </c>
      <c r="C511" s="25" t="inlineStr">
        <is>
          <t>Sujin Stainless Black BL P-2 Profile Handle 397mm</t>
        </is>
      </c>
      <c r="D511" s="23" t="inlineStr">
        <is>
          <t>SUJIN</t>
        </is>
      </c>
      <c r="E511" s="43" t="n">
        <v>46125</v>
      </c>
      <c r="F511" s="26" t="inlineStr">
        <is>
          <t>Sunil CR</t>
        </is>
      </c>
      <c r="G511" s="44" t="inlineStr">
        <is>
          <t>Represented by Sample</t>
        </is>
      </c>
      <c r="H511" s="26" t="inlineStr">
        <is>
          <t>No</t>
        </is>
      </c>
      <c r="I511" s="44" t="inlineStr">
        <is>
          <t>Represented by Sample</t>
        </is>
      </c>
      <c r="J511" s="26" t="inlineStr">
        <is>
          <t>Yes</t>
        </is>
      </c>
      <c r="K511" s="27" t="n"/>
      <c r="L511" s="28" t="inlineStr">
        <is>
          <t>No</t>
        </is>
      </c>
      <c r="M511" s="29">
        <f>IF(E511="","",IF(H511="Yes","❌ Disc",IF(G511="No","⚠ Missing",IF(J511="Yes","✓ OK","⚠ Check"))))</f>
        <v/>
      </c>
      <c r="N511" s="43" t="n">
        <v>46196</v>
      </c>
      <c r="O511" s="26" t="inlineStr">
        <is>
          <t>Sunil CR</t>
        </is>
      </c>
      <c r="P511" s="44" t="inlineStr">
        <is>
          <t>Represented by Sample</t>
        </is>
      </c>
      <c r="Q511" s="26" t="inlineStr">
        <is>
          <t>No</t>
        </is>
      </c>
      <c r="R511" s="44" t="inlineStr">
        <is>
          <t>Represented by Sample</t>
        </is>
      </c>
      <c r="S511" s="26" t="inlineStr">
        <is>
          <t>Yes</t>
        </is>
      </c>
      <c r="T511" s="27" t="n"/>
      <c r="U511" s="28" t="inlineStr">
        <is>
          <t>No</t>
        </is>
      </c>
      <c r="V511" s="29">
        <f>IF(N511="","",IF(Q511="Yes","❌ Disc",IF(P511="No","⚠ Missing",IF(S511="Yes","✓ OK","⚠ Check"))))</f>
        <v/>
      </c>
      <c r="W511" s="65" t="n">
        <v>46248</v>
      </c>
      <c r="X511" s="30" t="inlineStr">
        <is>
          <t>Sunil CR</t>
        </is>
      </c>
      <c r="Y511" s="30" t="inlineStr">
        <is>
          <t>Represented by Sample</t>
        </is>
      </c>
      <c r="Z511" s="30" t="n"/>
      <c r="AA511" s="30" t="inlineStr">
        <is>
          <t>Represented by Sample</t>
        </is>
      </c>
      <c r="AB511" s="30" t="inlineStr">
        <is>
          <t>Yes</t>
        </is>
      </c>
      <c r="AC511" s="27" t="n"/>
      <c r="AD511" s="31" t="inlineStr">
        <is>
          <t>No</t>
        </is>
      </c>
      <c r="AE511" s="32">
        <f>IF(W511="","",IF(Z511="Yes","❌ Disc",IF(Y511="No","⚠ Missing",IF(AB511="Yes","✓ OK","⚠ Check"))))</f>
        <v/>
      </c>
      <c r="AF511" s="33" t="n"/>
      <c r="AG511" s="33" t="n"/>
      <c r="AH511" s="33" t="n"/>
      <c r="AI511" s="33" t="n"/>
      <c r="AJ511" s="33" t="n"/>
      <c r="AK511" s="33" t="n"/>
      <c r="AL511" s="27" t="n"/>
      <c r="AM511" s="34" t="n"/>
      <c r="AN511" s="35">
        <f>IF(AF511="","",IF(AI511="Yes","❌ Disc",IF(AH511="No","⚠ Missing",IF(AK511="Yes","✓ OK","⚠ Check"))))</f>
        <v/>
      </c>
      <c r="AO511" s="36" t="n"/>
      <c r="AP511" s="36" t="n"/>
      <c r="AQ511" s="36" t="n"/>
      <c r="AR511" s="36" t="n"/>
      <c r="AS511" s="36" t="n"/>
      <c r="AT511" s="36" t="n"/>
      <c r="AU511" s="27" t="n"/>
      <c r="AV511" s="37" t="n"/>
      <c r="AW511" s="38">
        <f>IF(AO511="","",IF(AR511="Yes","❌ Disc",IF(AQ511="No","⚠ Missing",IF(AT511="Yes","✓ OK","⚠ Check"))))</f>
        <v/>
      </c>
    </row>
    <row r="512" ht="18" customHeight="1" s="46">
      <c r="A512" s="39" t="n">
        <v>508</v>
      </c>
      <c r="B512" s="40" t="inlineStr">
        <is>
          <t>HWSUHP2BL447</t>
        </is>
      </c>
      <c r="C512" s="41" t="inlineStr">
        <is>
          <t>Sujin Stainless Black BL P-2 Profile Handle 447mm</t>
        </is>
      </c>
      <c r="D512" s="39" t="inlineStr">
        <is>
          <t>SUJIN</t>
        </is>
      </c>
      <c r="E512" s="43" t="n">
        <v>46125</v>
      </c>
      <c r="F512" s="26" t="inlineStr">
        <is>
          <t>Sunil CR</t>
        </is>
      </c>
      <c r="G512" s="44" t="inlineStr">
        <is>
          <t>Yes</t>
        </is>
      </c>
      <c r="H512" s="26" t="inlineStr">
        <is>
          <t>No</t>
        </is>
      </c>
      <c r="I512" s="44" t="inlineStr">
        <is>
          <t>Good finish</t>
        </is>
      </c>
      <c r="J512" s="26" t="inlineStr">
        <is>
          <t>Yes</t>
        </is>
      </c>
      <c r="K512" s="27" t="n"/>
      <c r="L512" s="28" t="inlineStr">
        <is>
          <t>No</t>
        </is>
      </c>
      <c r="M512" s="29">
        <f>IF(E512="","",IF(H512="Yes","❌ Disc",IF(G512="No","⚠ Missing",IF(J512="Yes","✓ OK","⚠ Check"))))</f>
        <v/>
      </c>
      <c r="N512" s="43" t="n">
        <v>46196</v>
      </c>
      <c r="O512" s="26" t="inlineStr">
        <is>
          <t>Sunil CR</t>
        </is>
      </c>
      <c r="P512" s="44" t="inlineStr">
        <is>
          <t>Yes</t>
        </is>
      </c>
      <c r="Q512" s="26" t="inlineStr">
        <is>
          <t>No</t>
        </is>
      </c>
      <c r="R512" s="44" t="inlineStr">
        <is>
          <t>Good finish</t>
        </is>
      </c>
      <c r="S512" s="26" t="inlineStr">
        <is>
          <t>Yes</t>
        </is>
      </c>
      <c r="T512" s="27" t="n"/>
      <c r="U512" s="28" t="inlineStr">
        <is>
          <t>No</t>
        </is>
      </c>
      <c r="V512" s="29">
        <f>IF(N512="","",IF(Q512="Yes","❌ Disc",IF(P512="No","⚠ Missing",IF(S512="Yes","✓ OK","⚠ Check"))))</f>
        <v/>
      </c>
      <c r="W512" s="65" t="n">
        <v>46248</v>
      </c>
      <c r="X512" s="30" t="inlineStr">
        <is>
          <t>Sunil CR</t>
        </is>
      </c>
      <c r="Y512" s="30" t="inlineStr">
        <is>
          <t>Yes</t>
        </is>
      </c>
      <c r="Z512" s="30" t="n"/>
      <c r="AA512" s="30" t="inlineStr">
        <is>
          <t>Good finish</t>
        </is>
      </c>
      <c r="AB512" s="30" t="inlineStr">
        <is>
          <t>Yes</t>
        </is>
      </c>
      <c r="AC512" s="27" t="n"/>
      <c r="AD512" s="31" t="inlineStr">
        <is>
          <t>No</t>
        </is>
      </c>
      <c r="AE512" s="32">
        <f>IF(W512="","",IF(Z512="Yes","❌ Disc",IF(Y512="No","⚠ Missing",IF(AB512="Yes","✓ OK","⚠ Check"))))</f>
        <v/>
      </c>
      <c r="AF512" s="33" t="n"/>
      <c r="AG512" s="33" t="n"/>
      <c r="AH512" s="33" t="n"/>
      <c r="AI512" s="33" t="n"/>
      <c r="AJ512" s="33" t="n"/>
      <c r="AK512" s="33" t="n"/>
      <c r="AL512" s="27" t="n"/>
      <c r="AM512" s="34" t="n"/>
      <c r="AN512" s="35">
        <f>IF(AF512="","",IF(AI512="Yes","❌ Disc",IF(AH512="No","⚠ Missing",IF(AK512="Yes","✓ OK","⚠ Check"))))</f>
        <v/>
      </c>
      <c r="AO512" s="36" t="n"/>
      <c r="AP512" s="36" t="n"/>
      <c r="AQ512" s="36" t="n"/>
      <c r="AR512" s="36" t="n"/>
      <c r="AS512" s="36" t="n"/>
      <c r="AT512" s="36" t="n"/>
      <c r="AU512" s="27" t="n"/>
      <c r="AV512" s="37" t="n"/>
      <c r="AW512" s="38">
        <f>IF(AO512="","",IF(AR512="Yes","❌ Disc",IF(AQ512="No","⚠ Missing",IF(AT512="Yes","✓ OK","⚠ Check"))))</f>
        <v/>
      </c>
    </row>
    <row r="513" ht="18" customHeight="1" s="46">
      <c r="A513" s="23" t="n">
        <v>509</v>
      </c>
      <c r="B513" s="24" t="inlineStr">
        <is>
          <t>HWSUHP2BL497</t>
        </is>
      </c>
      <c r="C513" s="25" t="inlineStr">
        <is>
          <t>Sujin Stainless Black BL P-2 Profile Handle 497mm</t>
        </is>
      </c>
      <c r="D513" s="23" t="inlineStr">
        <is>
          <t>SUJIN</t>
        </is>
      </c>
      <c r="E513" s="43" t="n">
        <v>46125</v>
      </c>
      <c r="F513" s="26" t="inlineStr">
        <is>
          <t>Sunil CR</t>
        </is>
      </c>
      <c r="G513" s="44" t="inlineStr">
        <is>
          <t>Represented by Sample</t>
        </is>
      </c>
      <c r="H513" s="26" t="inlineStr">
        <is>
          <t>No</t>
        </is>
      </c>
      <c r="I513" s="44" t="inlineStr">
        <is>
          <t>Represented by Sample</t>
        </is>
      </c>
      <c r="J513" s="26" t="inlineStr">
        <is>
          <t>Yes</t>
        </is>
      </c>
      <c r="K513" s="27" t="n"/>
      <c r="L513" s="28" t="inlineStr">
        <is>
          <t>No</t>
        </is>
      </c>
      <c r="M513" s="29">
        <f>IF(E513="","",IF(H513="Yes","❌ Disc",IF(G513="No","⚠ Missing",IF(J513="Yes","✓ OK","⚠ Check"))))</f>
        <v/>
      </c>
      <c r="N513" s="43" t="n">
        <v>46196</v>
      </c>
      <c r="O513" s="26" t="inlineStr">
        <is>
          <t>Sunil CR</t>
        </is>
      </c>
      <c r="P513" s="44" t="inlineStr">
        <is>
          <t>Represented by Sample</t>
        </is>
      </c>
      <c r="Q513" s="26" t="inlineStr">
        <is>
          <t>No</t>
        </is>
      </c>
      <c r="R513" s="44" t="inlineStr">
        <is>
          <t>Represented by Sample</t>
        </is>
      </c>
      <c r="S513" s="26" t="inlineStr">
        <is>
          <t>Yes</t>
        </is>
      </c>
      <c r="T513" s="27" t="n"/>
      <c r="U513" s="28" t="inlineStr">
        <is>
          <t>No</t>
        </is>
      </c>
      <c r="V513" s="29">
        <f>IF(N513="","",IF(Q513="Yes","❌ Disc",IF(P513="No","⚠ Missing",IF(S513="Yes","✓ OK","⚠ Check"))))</f>
        <v/>
      </c>
      <c r="W513" s="65" t="n">
        <v>46248</v>
      </c>
      <c r="X513" s="30" t="inlineStr">
        <is>
          <t>Sunil CR</t>
        </is>
      </c>
      <c r="Y513" s="30" t="inlineStr">
        <is>
          <t>Represented by Sample</t>
        </is>
      </c>
      <c r="Z513" s="30" t="n"/>
      <c r="AA513" s="30" t="inlineStr">
        <is>
          <t>Represented by Sample</t>
        </is>
      </c>
      <c r="AB513" s="30" t="inlineStr">
        <is>
          <t>Yes</t>
        </is>
      </c>
      <c r="AC513" s="27" t="n"/>
      <c r="AD513" s="31" t="inlineStr">
        <is>
          <t>No</t>
        </is>
      </c>
      <c r="AE513" s="32">
        <f>IF(W513="","",IF(Z513="Yes","❌ Disc",IF(Y513="No","⚠ Missing",IF(AB513="Yes","✓ OK","⚠ Check"))))</f>
        <v/>
      </c>
      <c r="AF513" s="33" t="n"/>
      <c r="AG513" s="33" t="n"/>
      <c r="AH513" s="33" t="n"/>
      <c r="AI513" s="33" t="n"/>
      <c r="AJ513" s="33" t="n"/>
      <c r="AK513" s="33" t="n"/>
      <c r="AL513" s="27" t="n"/>
      <c r="AM513" s="34" t="n"/>
      <c r="AN513" s="35">
        <f>IF(AF513="","",IF(AI513="Yes","❌ Disc",IF(AH513="No","⚠ Missing",IF(AK513="Yes","✓ OK","⚠ Check"))))</f>
        <v/>
      </c>
      <c r="AO513" s="36" t="n"/>
      <c r="AP513" s="36" t="n"/>
      <c r="AQ513" s="36" t="n"/>
      <c r="AR513" s="36" t="n"/>
      <c r="AS513" s="36" t="n"/>
      <c r="AT513" s="36" t="n"/>
      <c r="AU513" s="27" t="n"/>
      <c r="AV513" s="37" t="n"/>
      <c r="AW513" s="38">
        <f>IF(AO513="","",IF(AR513="Yes","❌ Disc",IF(AQ513="No","⚠ Missing",IF(AT513="Yes","✓ OK","⚠ Check"))))</f>
        <v/>
      </c>
    </row>
    <row r="514" ht="18" customHeight="1" s="46">
      <c r="A514" s="39" t="n">
        <v>510</v>
      </c>
      <c r="B514" s="40" t="inlineStr">
        <is>
          <t>HWSUHP2BL547</t>
        </is>
      </c>
      <c r="C514" s="41" t="inlineStr">
        <is>
          <t>Sujin Stainless Black BL P-2 Profile Handle 547mm</t>
        </is>
      </c>
      <c r="D514" s="39" t="inlineStr">
        <is>
          <t>SUJIN</t>
        </is>
      </c>
      <c r="E514" s="43" t="n">
        <v>46125</v>
      </c>
      <c r="F514" s="26" t="inlineStr">
        <is>
          <t>Sunil CR</t>
        </is>
      </c>
      <c r="G514" s="44" t="inlineStr">
        <is>
          <t>Represented by Sample</t>
        </is>
      </c>
      <c r="H514" s="26" t="inlineStr">
        <is>
          <t>No</t>
        </is>
      </c>
      <c r="I514" s="44" t="inlineStr">
        <is>
          <t>Represented by Sample</t>
        </is>
      </c>
      <c r="J514" s="26" t="inlineStr">
        <is>
          <t>Yes</t>
        </is>
      </c>
      <c r="K514" s="27" t="n"/>
      <c r="L514" s="28" t="inlineStr">
        <is>
          <t>No</t>
        </is>
      </c>
      <c r="M514" s="29">
        <f>IF(E514="","",IF(H514="Yes","❌ Disc",IF(G514="No","⚠ Missing",IF(J514="Yes","✓ OK","⚠ Check"))))</f>
        <v/>
      </c>
      <c r="N514" s="43" t="n">
        <v>46196</v>
      </c>
      <c r="O514" s="26" t="inlineStr">
        <is>
          <t>Sunil CR</t>
        </is>
      </c>
      <c r="P514" s="44" t="inlineStr">
        <is>
          <t>Represented by Sample</t>
        </is>
      </c>
      <c r="Q514" s="26" t="inlineStr">
        <is>
          <t>No</t>
        </is>
      </c>
      <c r="R514" s="44" t="inlineStr">
        <is>
          <t>Represented by Sample</t>
        </is>
      </c>
      <c r="S514" s="26" t="inlineStr">
        <is>
          <t>Yes</t>
        </is>
      </c>
      <c r="T514" s="27" t="n"/>
      <c r="U514" s="28" t="inlineStr">
        <is>
          <t>No</t>
        </is>
      </c>
      <c r="V514" s="29">
        <f>IF(N514="","",IF(Q514="Yes","❌ Disc",IF(P514="No","⚠ Missing",IF(S514="Yes","✓ OK","⚠ Check"))))</f>
        <v/>
      </c>
      <c r="W514" s="65" t="n">
        <v>46248</v>
      </c>
      <c r="X514" s="30" t="inlineStr">
        <is>
          <t>Sunil CR</t>
        </is>
      </c>
      <c r="Y514" s="30" t="inlineStr">
        <is>
          <t>Represented by Sample</t>
        </is>
      </c>
      <c r="Z514" s="30" t="n"/>
      <c r="AA514" s="30" t="inlineStr">
        <is>
          <t>Represented by Sample</t>
        </is>
      </c>
      <c r="AB514" s="30" t="inlineStr">
        <is>
          <t>Yes</t>
        </is>
      </c>
      <c r="AC514" s="27" t="n"/>
      <c r="AD514" s="31" t="inlineStr">
        <is>
          <t>No</t>
        </is>
      </c>
      <c r="AE514" s="32">
        <f>IF(W514="","",IF(Z514="Yes","❌ Disc",IF(Y514="No","⚠ Missing",IF(AB514="Yes","✓ OK","⚠ Check"))))</f>
        <v/>
      </c>
      <c r="AF514" s="33" t="n"/>
      <c r="AG514" s="33" t="n"/>
      <c r="AH514" s="33" t="n"/>
      <c r="AI514" s="33" t="n"/>
      <c r="AJ514" s="33" t="n"/>
      <c r="AK514" s="33" t="n"/>
      <c r="AL514" s="27" t="n"/>
      <c r="AM514" s="34" t="n"/>
      <c r="AN514" s="35">
        <f>IF(AF514="","",IF(AI514="Yes","❌ Disc",IF(AH514="No","⚠ Missing",IF(AK514="Yes","✓ OK","⚠ Check"))))</f>
        <v/>
      </c>
      <c r="AO514" s="36" t="n"/>
      <c r="AP514" s="36" t="n"/>
      <c r="AQ514" s="36" t="n"/>
      <c r="AR514" s="36" t="n"/>
      <c r="AS514" s="36" t="n"/>
      <c r="AT514" s="36" t="n"/>
      <c r="AU514" s="27" t="n"/>
      <c r="AV514" s="37" t="n"/>
      <c r="AW514" s="38">
        <f>IF(AO514="","",IF(AR514="Yes","❌ Disc",IF(AQ514="No","⚠ Missing",IF(AT514="Yes","✓ OK","⚠ Check"))))</f>
        <v/>
      </c>
    </row>
    <row r="515" ht="18" customHeight="1" s="46">
      <c r="A515" s="23" t="n">
        <v>511</v>
      </c>
      <c r="B515" s="24" t="inlineStr">
        <is>
          <t>HWSUHP2BL597</t>
        </is>
      </c>
      <c r="C515" s="25" t="inlineStr">
        <is>
          <t>Sujin Stainless Black BL P-2 Profile Handle 597mm</t>
        </is>
      </c>
      <c r="D515" s="23" t="inlineStr">
        <is>
          <t>SUJIN</t>
        </is>
      </c>
      <c r="E515" s="43" t="n">
        <v>46125</v>
      </c>
      <c r="F515" s="26" t="inlineStr">
        <is>
          <t>Sunil CR</t>
        </is>
      </c>
      <c r="G515" s="44" t="inlineStr">
        <is>
          <t>Represented by Sample</t>
        </is>
      </c>
      <c r="H515" s="26" t="inlineStr">
        <is>
          <t>No</t>
        </is>
      </c>
      <c r="I515" s="44" t="inlineStr">
        <is>
          <t>Represented by Sample</t>
        </is>
      </c>
      <c r="J515" s="26" t="inlineStr">
        <is>
          <t>Yes</t>
        </is>
      </c>
      <c r="K515" s="27" t="n"/>
      <c r="L515" s="28" t="inlineStr">
        <is>
          <t>No</t>
        </is>
      </c>
      <c r="M515" s="29">
        <f>IF(E515="","",IF(H515="Yes","❌ Disc",IF(G515="No","⚠ Missing",IF(J515="Yes","✓ OK","⚠ Check"))))</f>
        <v/>
      </c>
      <c r="N515" s="43" t="n">
        <v>46196</v>
      </c>
      <c r="O515" s="26" t="inlineStr">
        <is>
          <t>Sunil CR</t>
        </is>
      </c>
      <c r="P515" s="44" t="inlineStr">
        <is>
          <t>Represented by Sample</t>
        </is>
      </c>
      <c r="Q515" s="26" t="inlineStr">
        <is>
          <t>No</t>
        </is>
      </c>
      <c r="R515" s="44" t="inlineStr">
        <is>
          <t>Represented by Sample</t>
        </is>
      </c>
      <c r="S515" s="26" t="inlineStr">
        <is>
          <t>Yes</t>
        </is>
      </c>
      <c r="T515" s="27" t="n"/>
      <c r="U515" s="28" t="inlineStr">
        <is>
          <t>No</t>
        </is>
      </c>
      <c r="V515" s="29">
        <f>IF(N515="","",IF(Q515="Yes","❌ Disc",IF(P515="No","⚠ Missing",IF(S515="Yes","✓ OK","⚠ Check"))))</f>
        <v/>
      </c>
      <c r="W515" s="65" t="n">
        <v>46248</v>
      </c>
      <c r="X515" s="30" t="inlineStr">
        <is>
          <t>Sunil CR</t>
        </is>
      </c>
      <c r="Y515" s="30" t="inlineStr">
        <is>
          <t>Represented by Sample</t>
        </is>
      </c>
      <c r="Z515" s="30" t="n"/>
      <c r="AA515" s="30" t="inlineStr">
        <is>
          <t>Represented by Sample</t>
        </is>
      </c>
      <c r="AB515" s="30" t="inlineStr">
        <is>
          <t>Yes</t>
        </is>
      </c>
      <c r="AC515" s="27" t="n"/>
      <c r="AD515" s="31" t="inlineStr">
        <is>
          <t>No</t>
        </is>
      </c>
      <c r="AE515" s="32">
        <f>IF(W515="","",IF(Z515="Yes","❌ Disc",IF(Y515="No","⚠ Missing",IF(AB515="Yes","✓ OK","⚠ Check"))))</f>
        <v/>
      </c>
      <c r="AF515" s="33" t="n"/>
      <c r="AG515" s="33" t="n"/>
      <c r="AH515" s="33" t="n"/>
      <c r="AI515" s="33" t="n"/>
      <c r="AJ515" s="33" t="n"/>
      <c r="AK515" s="33" t="n"/>
      <c r="AL515" s="27" t="n"/>
      <c r="AM515" s="34" t="n"/>
      <c r="AN515" s="35">
        <f>IF(AF515="","",IF(AI515="Yes","❌ Disc",IF(AH515="No","⚠ Missing",IF(AK515="Yes","✓ OK","⚠ Check"))))</f>
        <v/>
      </c>
      <c r="AO515" s="36" t="n"/>
      <c r="AP515" s="36" t="n"/>
      <c r="AQ515" s="36" t="n"/>
      <c r="AR515" s="36" t="n"/>
      <c r="AS515" s="36" t="n"/>
      <c r="AT515" s="36" t="n"/>
      <c r="AU515" s="27" t="n"/>
      <c r="AV515" s="37" t="n"/>
      <c r="AW515" s="38">
        <f>IF(AO515="","",IF(AR515="Yes","❌ Disc",IF(AQ515="No","⚠ Missing",IF(AT515="Yes","✓ OK","⚠ Check"))))</f>
        <v/>
      </c>
    </row>
    <row r="516" ht="18" customHeight="1" s="46">
      <c r="A516" s="39" t="n">
        <v>512</v>
      </c>
      <c r="B516" s="40" t="inlineStr">
        <is>
          <t>HWSUHP2BL897</t>
        </is>
      </c>
      <c r="C516" s="41" t="inlineStr">
        <is>
          <t>Sujin Stainless Black BL P-2 Profile Handle 897mm</t>
        </is>
      </c>
      <c r="D516" s="39" t="inlineStr">
        <is>
          <t>SUJIN</t>
        </is>
      </c>
      <c r="E516" s="43" t="n">
        <v>46125</v>
      </c>
      <c r="F516" s="26" t="inlineStr">
        <is>
          <t>Sunil CR</t>
        </is>
      </c>
      <c r="G516" s="44" t="inlineStr">
        <is>
          <t>Represented by Sample</t>
        </is>
      </c>
      <c r="H516" s="26" t="inlineStr">
        <is>
          <t>No</t>
        </is>
      </c>
      <c r="I516" s="44" t="inlineStr">
        <is>
          <t>Represented by Sample</t>
        </is>
      </c>
      <c r="J516" s="26" t="inlineStr">
        <is>
          <t>Yes</t>
        </is>
      </c>
      <c r="K516" s="27" t="n"/>
      <c r="L516" s="28" t="inlineStr">
        <is>
          <t>No</t>
        </is>
      </c>
      <c r="M516" s="29">
        <f>IF(E516="","",IF(H516="Yes","❌ Disc",IF(G516="No","⚠ Missing",IF(J516="Yes","✓ OK","⚠ Check"))))</f>
        <v/>
      </c>
      <c r="N516" s="43" t="n">
        <v>46196</v>
      </c>
      <c r="O516" s="26" t="inlineStr">
        <is>
          <t>Sunil CR</t>
        </is>
      </c>
      <c r="P516" s="44" t="inlineStr">
        <is>
          <t>Represented by Sample</t>
        </is>
      </c>
      <c r="Q516" s="26" t="inlineStr">
        <is>
          <t>No</t>
        </is>
      </c>
      <c r="R516" s="44" t="inlineStr">
        <is>
          <t>Represented by Sample</t>
        </is>
      </c>
      <c r="S516" s="26" t="inlineStr">
        <is>
          <t>Yes</t>
        </is>
      </c>
      <c r="T516" s="27" t="n"/>
      <c r="U516" s="28" t="inlineStr">
        <is>
          <t>No</t>
        </is>
      </c>
      <c r="V516" s="29">
        <f>IF(N516="","",IF(Q516="Yes","❌ Disc",IF(P516="No","⚠ Missing",IF(S516="Yes","✓ OK","⚠ Check"))))</f>
        <v/>
      </c>
      <c r="W516" s="65" t="n">
        <v>46248</v>
      </c>
      <c r="X516" s="30" t="inlineStr">
        <is>
          <t>Sunil CR</t>
        </is>
      </c>
      <c r="Y516" s="30" t="inlineStr">
        <is>
          <t>Represented by Sample</t>
        </is>
      </c>
      <c r="Z516" s="30" t="n"/>
      <c r="AA516" s="30" t="inlineStr">
        <is>
          <t>Represented by Sample</t>
        </is>
      </c>
      <c r="AB516" s="30" t="inlineStr">
        <is>
          <t>Yes</t>
        </is>
      </c>
      <c r="AC516" s="27" t="n"/>
      <c r="AD516" s="31" t="inlineStr">
        <is>
          <t>No</t>
        </is>
      </c>
      <c r="AE516" s="32">
        <f>IF(W516="","",IF(Z516="Yes","❌ Disc",IF(Y516="No","⚠ Missing",IF(AB516="Yes","✓ OK","⚠ Check"))))</f>
        <v/>
      </c>
      <c r="AF516" s="33" t="n"/>
      <c r="AG516" s="33" t="n"/>
      <c r="AH516" s="33" t="n"/>
      <c r="AI516" s="33" t="n"/>
      <c r="AJ516" s="33" t="n"/>
      <c r="AK516" s="33" t="n"/>
      <c r="AL516" s="27" t="n"/>
      <c r="AM516" s="34" t="n"/>
      <c r="AN516" s="35">
        <f>IF(AF516="","",IF(AI516="Yes","❌ Disc",IF(AH516="No","⚠ Missing",IF(AK516="Yes","✓ OK","⚠ Check"))))</f>
        <v/>
      </c>
      <c r="AO516" s="36" t="n"/>
      <c r="AP516" s="36" t="n"/>
      <c r="AQ516" s="36" t="n"/>
      <c r="AR516" s="36" t="n"/>
      <c r="AS516" s="36" t="n"/>
      <c r="AT516" s="36" t="n"/>
      <c r="AU516" s="27" t="n"/>
      <c r="AV516" s="37" t="n"/>
      <c r="AW516" s="38">
        <f>IF(AO516="","",IF(AR516="Yes","❌ Disc",IF(AQ516="No","⚠ Missing",IF(AT516="Yes","✓ OK","⚠ Check"))))</f>
        <v/>
      </c>
    </row>
  </sheetData>
  <autoFilter ref="A4:AW516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priority="15" dxfId="87">
      <formula>G5="Yes"</formula>
    </cfRule>
    <cfRule type="expression" priority="16" dxfId="86">
      <formula>G5="No"</formula>
    </cfRule>
    <cfRule type="expression" priority="17" dxfId="83">
      <formula>MOD(ROW(),2)=0</formula>
    </cfRule>
  </conditionalFormatting>
  <conditionalFormatting sqref="H5:H516">
    <cfRule type="expression" priority="18" dxfId="1">
      <formula>H5="Yes"</formula>
    </cfRule>
  </conditionalFormatting>
  <conditionalFormatting sqref="I5:I516">
    <cfRule type="expression" priority="14" dxfId="83">
      <formula>MOD(ROW(),2)=0</formula>
    </cfRule>
  </conditionalFormatting>
  <conditionalFormatting sqref="J5:J516">
    <cfRule type="expression" priority="19" dxfId="3">
      <formula>J5="Yes"</formula>
    </cfRule>
    <cfRule type="expression" priority="20" dxfId="1">
      <formula>J5="No"</formula>
    </cfRule>
  </conditionalFormatting>
  <conditionalFormatting sqref="A5:F516 H5:H516 J5:L5 J7:L52 J54:L211 J213:L300 J302:L516">
    <cfRule type="expression" priority="21" dxfId="27">
      <formula>MOD(ROW(),2)=0</formula>
    </cfRule>
  </conditionalFormatting>
  <conditionalFormatting sqref="M5:M516">
    <cfRule type="expression" priority="22" dxfId="3">
      <formula>M5="✓ OK"</formula>
    </cfRule>
    <cfRule type="expression" priority="23" dxfId="1">
      <formula>M5="❌ Disc"</formula>
    </cfRule>
    <cfRule type="expression" priority="24" dxfId="1">
      <formula>M5="⚠ Missing"</formula>
    </cfRule>
    <cfRule type="expression" priority="25" dxfId="0">
      <formula>M5="⚠ Check"</formula>
    </cfRule>
  </conditionalFormatting>
  <conditionalFormatting sqref="N5:O516">
    <cfRule type="expression" priority="1" dxfId="27">
      <formula>MOD(ROW(),2)=0</formula>
    </cfRule>
  </conditionalFormatting>
  <conditionalFormatting sqref="P5:P516">
    <cfRule type="expression" priority="3" dxfId="87">
      <formula>P5="Yes"</formula>
    </cfRule>
    <cfRule type="expression" priority="4" dxfId="86">
      <formula>P5="No"</formula>
    </cfRule>
    <cfRule type="expression" priority="5" dxfId="83">
      <formula>MOD(ROW(),2)=0</formula>
    </cfRule>
  </conditionalFormatting>
  <conditionalFormatting sqref="Q5:Q516">
    <cfRule type="expression" priority="6" dxfId="1">
      <formula>Q5="Yes"</formula>
    </cfRule>
  </conditionalFormatting>
  <conditionalFormatting sqref="R5:R516">
    <cfRule type="expression" priority="2" dxfId="83">
      <formula>MOD(ROW(),2)=0</formula>
    </cfRule>
  </conditionalFormatting>
  <conditionalFormatting sqref="S5:S516">
    <cfRule type="expression" priority="7" dxfId="3">
      <formula>S5="Yes"</formula>
    </cfRule>
    <cfRule type="expression" priority="8" dxfId="1">
      <formula>S5="No"</formula>
    </cfRule>
  </conditionalFormatting>
  <conditionalFormatting sqref="Q5:Q516 S5:U5 S7:U52 S54:U211 S213:U300 S302:U516">
    <cfRule type="expression" priority="9" dxfId="27">
      <formula>MOD(ROW(),2)=0</formula>
    </cfRule>
  </conditionalFormatting>
  <conditionalFormatting sqref="V5:V516">
    <cfRule type="expression" priority="10" dxfId="3">
      <formula>V5="✓ OK"</formula>
    </cfRule>
    <cfRule type="expression" priority="11" dxfId="1">
      <formula>V5="❌ Disc"</formula>
    </cfRule>
    <cfRule type="expression" priority="12" dxfId="1">
      <formula>V5="⚠ Missing"</formula>
    </cfRule>
    <cfRule type="expression" priority="13" dxfId="0">
      <formula>V5="⚠ Check"</formula>
    </cfRule>
  </conditionalFormatting>
  <conditionalFormatting sqref="J6:M6 J53:M53 J212:M212 J301:M301 M5 M7:M52 M54:M211 M213:M300 M302:M516 S6:V6 S53:V53 S212:V212 S301:V301 V5 V7:V52 V54:V211 V213:V300 V302:V516 W5:AW516">
    <cfRule type="expression" priority="67" dxfId="27">
      <formula>MOD(ROW(),2)=0</formula>
    </cfRule>
  </conditionalFormatting>
  <conditionalFormatting sqref="Y5:Y516">
    <cfRule type="expression" priority="44" dxfId="3">
      <formula>Y5="Yes"</formula>
    </cfRule>
    <cfRule type="expression" priority="45" dxfId="1">
      <formula>Y5="No"</formula>
    </cfRule>
  </conditionalFormatting>
  <conditionalFormatting sqref="Z5:Z516">
    <cfRule type="expression" priority="46" dxfId="1">
      <formula>Z5="Yes"</formula>
    </cfRule>
  </conditionalFormatting>
  <conditionalFormatting sqref="AB5:AB516">
    <cfRule type="expression" priority="48" dxfId="1">
      <formula>AB5="No"</formula>
    </cfRule>
    <cfRule type="expression" priority="47" dxfId="3">
      <formula>AB5="Yes"</formula>
    </cfRule>
  </conditionalFormatting>
  <conditionalFormatting sqref="AE5:AE516">
    <cfRule type="expression" priority="43" dxfId="0">
      <formula>AE5="⚠ Check"</formula>
    </cfRule>
    <cfRule type="expression" priority="41" dxfId="1">
      <formula>AE5="❌ Disc"</formula>
    </cfRule>
    <cfRule type="expression" priority="40" dxfId="3">
      <formula>AE5="✓ OK"</formula>
    </cfRule>
    <cfRule type="expression" priority="42" dxfId="1">
      <formula>AE5="⚠ Missing"</formula>
    </cfRule>
  </conditionalFormatting>
  <conditionalFormatting sqref="AH5:AH516">
    <cfRule type="expression" priority="53" dxfId="3">
      <formula>AH5="Yes"</formula>
    </cfRule>
    <cfRule type="expression" priority="54" dxfId="1">
      <formula>AH5="No"</formula>
    </cfRule>
  </conditionalFormatting>
  <conditionalFormatting sqref="AI5:AI516">
    <cfRule type="expression" priority="55" dxfId="1">
      <formula>AI5="Yes"</formula>
    </cfRule>
  </conditionalFormatting>
  <conditionalFormatting sqref="AK5:AK516">
    <cfRule type="expression" priority="56" dxfId="3">
      <formula>AK5="Yes"</formula>
    </cfRule>
    <cfRule type="expression" priority="57" dxfId="1">
      <formula>AK5="No"</formula>
    </cfRule>
  </conditionalFormatting>
  <conditionalFormatting sqref="AN5:AN516">
    <cfRule type="expression" priority="49" dxfId="3">
      <formula>AN5="✓ OK"</formula>
    </cfRule>
    <cfRule type="expression" priority="50" dxfId="1">
      <formula>AN5="❌ Disc"</formula>
    </cfRule>
    <cfRule type="expression" priority="51" dxfId="1">
      <formula>AN5="⚠ Missing"</formula>
    </cfRule>
    <cfRule type="expression" priority="52" dxfId="0">
      <formula>AN5="⚠ Check"</formula>
    </cfRule>
  </conditionalFormatting>
  <conditionalFormatting sqref="AQ5:AQ516">
    <cfRule type="expression" priority="62" dxfId="3">
      <formula>AQ5="Yes"</formula>
    </cfRule>
    <cfRule type="expression" priority="63" dxfId="1">
      <formula>AQ5="No"</formula>
    </cfRule>
  </conditionalFormatting>
  <conditionalFormatting sqref="AR5:AR516">
    <cfRule type="expression" priority="64" dxfId="1">
      <formula>AR5="Yes"</formula>
    </cfRule>
  </conditionalFormatting>
  <conditionalFormatting sqref="AT5:AT516">
    <cfRule type="expression" priority="65" dxfId="3">
      <formula>AT5="Yes"</formula>
    </cfRule>
    <cfRule type="expression" priority="66" dxfId="1">
      <formula>AT5="No"</formula>
    </cfRule>
  </conditionalFormatting>
  <conditionalFormatting sqref="AW5:AW516">
    <cfRule type="expression" priority="58" dxfId="3">
      <formula>AW5="✓ OK"</formula>
    </cfRule>
    <cfRule type="expression" priority="59" dxfId="1">
      <formula>AW5="❌ Disc"</formula>
    </cfRule>
    <cfRule type="expression" priority="60" dxfId="1">
      <formula>AW5="⚠ Missing"</formula>
    </cfRule>
    <cfRule type="expression" priority="61" dxfId="0">
      <formula>AW5="⚠ Check"</formula>
    </cfRule>
  </conditionalFormatting>
  <dataValidations count="4">
    <dataValidation sqref="H5:H516 J5:J516 Q5:Q516 S5:S516 Y5:Z516 AB5:AB516 AH5:AI516 AK5:AK516 AQ5:AR516 AT5:AT516" showDropDown="0" showInputMessage="0" showErrorMessage="0" allowBlank="1" type="list">
      <formula1>"Yes,No"</formula1>
    </dataValidation>
    <dataValidation sqref="AA5:AA516 AJ5:AJ516 AS5:AS516" showDropDown="0" showInputMessage="0" showErrorMessage="0" allowBlank="1" type="list">
      <formula1>"Good finish,Minor defect,Major defect,Discontinued,Not Available"</formula1>
    </dataValidation>
    <dataValidation sqref="I5:I516 R5:R516" showDropDown="0" showInputMessage="0" showErrorMessage="0" allowBlank="1" type="list">
      <formula1>"Represented by Sample,Good finish,Minor defect,Major defect,Discontinued,Not Available"</formula1>
    </dataValidation>
    <dataValidation sqref="G5:G516 P5:P516" showDropDown="0" showInputMessage="0" showErrorMessage="0" allowBlank="1" type="list">
      <formula1>"Yes,No,Represented by Sample"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0"/>
    <outlinePr summaryBelow="1" summaryRight="1"/>
    <pageSetUpPr/>
  </sheetPr>
  <dimension ref="A1:AW292"/>
  <sheetViews>
    <sheetView tabSelected="1" workbookViewId="0">
      <pane xSplit="4" ySplit="4" topLeftCell="E5" activePane="bottomRight" state="frozen"/>
      <selection pane="topRight" activeCell="AU16" sqref="AU16"/>
      <selection pane="bottomLeft" activeCell="AU16" sqref="AU16"/>
      <selection pane="bottomRight" activeCell="D4" sqref="D4"/>
    </sheetView>
  </sheetViews>
  <sheetFormatPr baseColWidth="8" defaultRowHeight="14.4"/>
  <cols>
    <col width="4" customWidth="1" style="46" min="1" max="1"/>
    <col width="16" customWidth="1" style="46" min="2" max="2"/>
    <col width="36" customWidth="1" style="46" min="3" max="3"/>
    <col width="14" customWidth="1" style="46" min="4" max="4"/>
    <col width="13" customWidth="1" style="46" min="5" max="6"/>
    <col width="10" customWidth="1" style="46" min="7" max="7"/>
    <col width="13" customWidth="1" style="46" min="8" max="8"/>
    <col width="16" customWidth="1" style="46" min="9" max="9"/>
    <col width="12" customWidth="1" style="46" min="10" max="10"/>
    <col width="30" customWidth="1" style="46" min="11" max="11"/>
    <col width="20" customWidth="1" style="46" min="12" max="12"/>
    <col width="11" customWidth="1" style="46" min="13" max="13"/>
    <col width="13" customWidth="1" style="46" min="14" max="15"/>
    <col width="10" customWidth="1" style="46" min="16" max="16"/>
    <col width="13" customWidth="1" style="46" min="17" max="17"/>
    <col width="16" customWidth="1" style="46" min="18" max="18"/>
    <col width="12" customWidth="1" style="46" min="19" max="19"/>
    <col width="30" customWidth="1" style="46" min="20" max="20"/>
    <col width="20" customWidth="1" style="46" min="21" max="21"/>
    <col width="11" customWidth="1" style="46" min="22" max="22"/>
    <col width="13" customWidth="1" style="46" min="23" max="24"/>
    <col width="10" customWidth="1" style="46" min="25" max="25"/>
    <col width="13" customWidth="1" style="46" min="26" max="26"/>
    <col width="16" customWidth="1" style="46" min="27" max="27"/>
    <col width="12" customWidth="1" style="46" min="28" max="28"/>
    <col width="30" customWidth="1" style="46" min="29" max="29"/>
    <col width="20" customWidth="1" style="46" min="30" max="30"/>
    <col width="11" customWidth="1" style="46" min="31" max="31"/>
    <col width="13" customWidth="1" style="46" min="32" max="33"/>
    <col width="10" customWidth="1" style="46" min="34" max="34"/>
    <col width="13" customWidth="1" style="46" min="35" max="35"/>
    <col width="16" customWidth="1" style="46" min="36" max="36"/>
    <col width="12" customWidth="1" style="46" min="37" max="37"/>
    <col width="30" customWidth="1" style="46" min="38" max="38"/>
    <col width="20" customWidth="1" style="46" min="39" max="39"/>
    <col width="11" customWidth="1" style="46" min="40" max="40"/>
    <col width="13" customWidth="1" style="46" min="41" max="42"/>
    <col width="10" customWidth="1" style="46" min="43" max="43"/>
    <col width="13" customWidth="1" style="46" min="44" max="44"/>
    <col width="16" customWidth="1" style="46" min="45" max="45"/>
    <col width="12" customWidth="1" style="46" min="46" max="46"/>
    <col width="30" customWidth="1" style="46" min="47" max="47"/>
    <col width="20" customWidth="1" style="46" min="48" max="48"/>
    <col width="11" customWidth="1" style="46" min="49" max="49"/>
  </cols>
  <sheetData>
    <row r="1" ht="25.95" customHeight="1" s="46">
      <c r="A1" s="45" t="inlineStr">
        <is>
          <t>📋  HRBR EC  —  FABRIC  |  Multi-Round Audit Tracker</t>
        </is>
      </c>
    </row>
    <row r="2" ht="15" customHeight="1" s="46">
      <c r="A2" s="49" t="inlineStr">
        <is>
          <t>➤  Fill AUDIT DATE &amp; AUDITOR first in each block  |  Yellow = Comments  |  Status auto-updates  |  Next audit → use next block</t>
        </is>
      </c>
    </row>
    <row r="3" ht="19.95" customHeight="1" s="46">
      <c r="A3" s="22" t="n"/>
      <c r="B3" s="22" t="n"/>
      <c r="C3" s="22" t="n"/>
      <c r="D3" s="22" t="n"/>
      <c r="E3" s="50" t="inlineStr">
        <is>
          <t xml:space="preserve">  AUDIT 1</t>
        </is>
      </c>
      <c r="F3" s="63" t="n"/>
      <c r="G3" s="63" t="n"/>
      <c r="H3" s="63" t="n"/>
      <c r="I3" s="63" t="n"/>
      <c r="J3" s="63" t="n"/>
      <c r="K3" s="63" t="n"/>
      <c r="L3" s="63" t="n"/>
      <c r="M3" s="64" t="n"/>
      <c r="N3" s="52" t="inlineStr">
        <is>
          <t xml:space="preserve">  AUDIT 2</t>
        </is>
      </c>
      <c r="O3" s="63" t="n"/>
      <c r="P3" s="63" t="n"/>
      <c r="Q3" s="63" t="n"/>
      <c r="R3" s="63" t="n"/>
      <c r="S3" s="63" t="n"/>
      <c r="T3" s="63" t="n"/>
      <c r="U3" s="63" t="n"/>
      <c r="V3" s="64" t="n"/>
      <c r="W3" s="48" t="inlineStr">
        <is>
          <t xml:space="preserve">  AUDIT 3</t>
        </is>
      </c>
      <c r="X3" s="63" t="n"/>
      <c r="Y3" s="63" t="n"/>
      <c r="Z3" s="63" t="n"/>
      <c r="AA3" s="63" t="n"/>
      <c r="AB3" s="63" t="n"/>
      <c r="AC3" s="63" t="n"/>
      <c r="AD3" s="63" t="n"/>
      <c r="AE3" s="64" t="n"/>
      <c r="AF3" s="51" t="inlineStr">
        <is>
          <t xml:space="preserve">  AUDIT 4</t>
        </is>
      </c>
      <c r="AG3" s="63" t="n"/>
      <c r="AH3" s="63" t="n"/>
      <c r="AI3" s="63" t="n"/>
      <c r="AJ3" s="63" t="n"/>
      <c r="AK3" s="63" t="n"/>
      <c r="AL3" s="63" t="n"/>
      <c r="AM3" s="63" t="n"/>
      <c r="AN3" s="64" t="n"/>
      <c r="AO3" s="47" t="inlineStr">
        <is>
          <t xml:space="preserve">  AUDIT 5</t>
        </is>
      </c>
      <c r="AP3" s="63" t="n"/>
      <c r="AQ3" s="63" t="n"/>
      <c r="AR3" s="63" t="n"/>
      <c r="AS3" s="63" t="n"/>
      <c r="AT3" s="63" t="n"/>
      <c r="AU3" s="63" t="n"/>
      <c r="AV3" s="63" t="n"/>
      <c r="AW3" s="64" t="n"/>
    </row>
    <row r="4" ht="36" customHeight="1" s="46">
      <c r="A4" s="2" t="inlineStr">
        <is>
          <t>#</t>
        </is>
      </c>
      <c r="B4" s="2" t="inlineStr">
        <is>
          <t>ERP Code</t>
        </is>
      </c>
      <c r="C4" s="2" t="inlineStr">
        <is>
          <t>Material / Studio Name</t>
        </is>
      </c>
      <c r="D4" s="2" t="inlineStr">
        <is>
          <t>Brand</t>
        </is>
      </c>
      <c r="E4" s="3" t="inlineStr">
        <is>
          <t>Audit Date</t>
        </is>
      </c>
      <c r="F4" s="3" t="inlineStr">
        <is>
          <t>Auditor</t>
        </is>
      </c>
      <c r="G4" s="3" t="inlineStr">
        <is>
          <t>Sample
in EC?</t>
        </is>
      </c>
      <c r="H4" s="3" t="inlineStr">
        <is>
          <t>Discontinued
by Vendor?</t>
        </is>
      </c>
      <c r="I4" s="3" t="inlineStr">
        <is>
          <t>Visual
Condition</t>
        </is>
      </c>
      <c r="J4" s="3" t="inlineStr">
        <is>
          <t>Conformance
(Yes/No)</t>
        </is>
      </c>
      <c r="K4" s="3" t="inlineStr">
        <is>
          <t>COMMENTS / REMARKS</t>
        </is>
      </c>
      <c r="L4" s="3" t="inlineStr">
        <is>
          <t>Follow-Up Action</t>
        </is>
      </c>
      <c r="M4" s="3" t="inlineStr">
        <is>
          <t>Status</t>
        </is>
      </c>
      <c r="N4" s="4" t="inlineStr">
        <is>
          <t>Audit Date</t>
        </is>
      </c>
      <c r="O4" s="4" t="inlineStr">
        <is>
          <t>Auditor</t>
        </is>
      </c>
      <c r="P4" s="4" t="inlineStr">
        <is>
          <t>Sample
in EC?</t>
        </is>
      </c>
      <c r="Q4" s="4" t="inlineStr">
        <is>
          <t>Discontinued
by Vendor?</t>
        </is>
      </c>
      <c r="R4" s="4" t="inlineStr">
        <is>
          <t>Visual
Condition</t>
        </is>
      </c>
      <c r="S4" s="4" t="inlineStr">
        <is>
          <t>Conformance
(Yes/No)</t>
        </is>
      </c>
      <c r="T4" s="4" t="inlineStr">
        <is>
          <t>COMMENTS / REMARKS</t>
        </is>
      </c>
      <c r="U4" s="4" t="inlineStr">
        <is>
          <t>Follow-Up Action</t>
        </is>
      </c>
      <c r="V4" s="4" t="inlineStr">
        <is>
          <t>Status</t>
        </is>
      </c>
      <c r="W4" s="5" t="inlineStr">
        <is>
          <t>Audit Date</t>
        </is>
      </c>
      <c r="X4" s="5" t="inlineStr">
        <is>
          <t>Auditor</t>
        </is>
      </c>
      <c r="Y4" s="5" t="inlineStr">
        <is>
          <t>Sample
in EC?</t>
        </is>
      </c>
      <c r="Z4" s="5" t="inlineStr">
        <is>
          <t>Discontinued
by Vendor?</t>
        </is>
      </c>
      <c r="AA4" s="5" t="inlineStr">
        <is>
          <t>Visual
Condition</t>
        </is>
      </c>
      <c r="AB4" s="5" t="inlineStr">
        <is>
          <t>Conformance
(Yes/No)</t>
        </is>
      </c>
      <c r="AC4" s="5" t="inlineStr">
        <is>
          <t>COMMENTS / REMARKS</t>
        </is>
      </c>
      <c r="AD4" s="5" t="inlineStr">
        <is>
          <t>Follow-Up Action</t>
        </is>
      </c>
      <c r="AE4" s="5" t="inlineStr">
        <is>
          <t>Status</t>
        </is>
      </c>
      <c r="AF4" s="6" t="inlineStr">
        <is>
          <t>Audit Date</t>
        </is>
      </c>
      <c r="AG4" s="6" t="inlineStr">
        <is>
          <t>Auditor</t>
        </is>
      </c>
      <c r="AH4" s="6" t="inlineStr">
        <is>
          <t>Sample
in EC?</t>
        </is>
      </c>
      <c r="AI4" s="6" t="inlineStr">
        <is>
          <t>Discontinued
by Vendor?</t>
        </is>
      </c>
      <c r="AJ4" s="6" t="inlineStr">
        <is>
          <t>Visual
Condition</t>
        </is>
      </c>
      <c r="AK4" s="6" t="inlineStr">
        <is>
          <t>Conformance
(Yes/No)</t>
        </is>
      </c>
      <c r="AL4" s="6" t="inlineStr">
        <is>
          <t>COMMENTS / REMARKS</t>
        </is>
      </c>
      <c r="AM4" s="6" t="inlineStr">
        <is>
          <t>Follow-Up Action</t>
        </is>
      </c>
      <c r="AN4" s="6" t="inlineStr">
        <is>
          <t>Status</t>
        </is>
      </c>
      <c r="AO4" s="7" t="inlineStr">
        <is>
          <t>Audit Date</t>
        </is>
      </c>
      <c r="AP4" s="7" t="inlineStr">
        <is>
          <t>Auditor</t>
        </is>
      </c>
      <c r="AQ4" s="7" t="inlineStr">
        <is>
          <t>Sample
in EC?</t>
        </is>
      </c>
      <c r="AR4" s="7" t="inlineStr">
        <is>
          <t>Discontinued
by Vendor?</t>
        </is>
      </c>
      <c r="AS4" s="7" t="inlineStr">
        <is>
          <t>Visual
Condition</t>
        </is>
      </c>
      <c r="AT4" s="7" t="inlineStr">
        <is>
          <t>Conformance
(Yes/No)</t>
        </is>
      </c>
      <c r="AU4" s="7" t="inlineStr">
        <is>
          <t>COMMENTS / REMARKS</t>
        </is>
      </c>
      <c r="AV4" s="7" t="inlineStr">
        <is>
          <t>Follow-Up Action</t>
        </is>
      </c>
      <c r="AW4" s="7" t="inlineStr">
        <is>
          <t>Status</t>
        </is>
      </c>
    </row>
    <row r="5" ht="18" customHeight="1" s="46">
      <c r="A5" s="23" t="n">
        <v>1</v>
      </c>
      <c r="B5" s="24" t="inlineStr">
        <is>
          <t>Amber Red Fabric_S49</t>
        </is>
      </c>
      <c r="C5" s="25" t="inlineStr">
        <is>
          <t>Bonito SCB - Fabric Swatches - Amber Red Fabric</t>
        </is>
      </c>
      <c r="D5" s="23" t="inlineStr">
        <is>
          <t>Aadeshwar</t>
        </is>
      </c>
      <c r="E5" s="43" t="n">
        <v>46125</v>
      </c>
      <c r="F5" s="26" t="inlineStr">
        <is>
          <t>Sunil CR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Good finish</t>
        </is>
      </c>
      <c r="J5" s="26" t="inlineStr">
        <is>
          <t>Yes</t>
        </is>
      </c>
      <c r="K5" s="27" t="n"/>
      <c r="L5" s="28" t="inlineStr">
        <is>
          <t>No</t>
        </is>
      </c>
      <c r="M5" s="29">
        <f>IF(E5="","",IF(H5="Yes","❌ Disc",IF(G5="No","⚠ Missing",IF(J5="Yes","✓ OK","⚠ Check"))))</f>
        <v/>
      </c>
      <c r="N5" s="43" t="n">
        <v>46139</v>
      </c>
      <c r="O5" s="26" t="inlineStr">
        <is>
          <t>Sunil CR</t>
        </is>
      </c>
      <c r="P5" s="26" t="inlineStr">
        <is>
          <t>Yes</t>
        </is>
      </c>
      <c r="Q5" s="26" t="inlineStr">
        <is>
          <t>No</t>
        </is>
      </c>
      <c r="R5" s="26" t="inlineStr">
        <is>
          <t>Good finish</t>
        </is>
      </c>
      <c r="S5" s="26" t="inlineStr">
        <is>
          <t>Yes</t>
        </is>
      </c>
      <c r="T5" s="27" t="n"/>
      <c r="U5" s="28" t="inlineStr">
        <is>
          <t>No</t>
        </is>
      </c>
      <c r="V5" s="29">
        <f>IF(N5="","",IF(Q5="Yes","❌ Disc",IF(P5="No","⚠ Missing",IF(S5="Yes","✓ OK","⚠ Check"))))</f>
        <v/>
      </c>
      <c r="W5" s="65" t="n">
        <v>46248</v>
      </c>
      <c r="X5" s="30" t="inlineStr">
        <is>
          <t>Sunil CR</t>
        </is>
      </c>
      <c r="Y5" s="30" t="inlineStr">
        <is>
          <t>Yes</t>
        </is>
      </c>
      <c r="Z5" s="30" t="n"/>
      <c r="AA5" s="30" t="inlineStr">
        <is>
          <t>Good finish</t>
        </is>
      </c>
      <c r="AB5" s="30" t="inlineStr">
        <is>
          <t>Yes</t>
        </is>
      </c>
      <c r="AC5" s="27" t="n"/>
      <c r="AD5" s="31" t="inlineStr">
        <is>
          <t>No</t>
        </is>
      </c>
      <c r="AE5" s="32">
        <f>IF(W5="","",IF(Z5="Yes","❌ Disc",IF(Y5="No","⚠ Missing",IF(AB5="Yes","✓ OK","⚠ Check"))))</f>
        <v/>
      </c>
      <c r="AF5" s="33" t="n"/>
      <c r="AG5" s="33" t="n"/>
      <c r="AH5" s="33" t="n"/>
      <c r="AI5" s="33" t="n"/>
      <c r="AJ5" s="33" t="n"/>
      <c r="AK5" s="33" t="n"/>
      <c r="AL5" s="27" t="n"/>
      <c r="AM5" s="34" t="n"/>
      <c r="AN5" s="35">
        <f>IF(AF5="","",IF(AI5="Yes","❌ Disc",IF(AH5="No","⚠ Missing",IF(AK5="Yes","✓ OK","⚠ Check"))))</f>
        <v/>
      </c>
      <c r="AO5" s="36" t="n"/>
      <c r="AP5" s="36" t="n"/>
      <c r="AQ5" s="36" t="n"/>
      <c r="AR5" s="36" t="n"/>
      <c r="AS5" s="36" t="n"/>
      <c r="AT5" s="36" t="n"/>
      <c r="AU5" s="27" t="n"/>
      <c r="AV5" s="37" t="n"/>
      <c r="AW5" s="38">
        <f>IF(AO5="","",IF(AR5="Yes","❌ Disc",IF(AQ5="No","⚠ Missing",IF(AT5="Yes","✓ OK","⚠ Check"))))</f>
        <v/>
      </c>
    </row>
    <row r="6" ht="18" customHeight="1" s="46">
      <c r="A6" s="39" t="n">
        <v>2</v>
      </c>
      <c r="B6" s="40" t="inlineStr">
        <is>
          <t>Ash Grey Fabric_S40</t>
        </is>
      </c>
      <c r="C6" s="41" t="inlineStr">
        <is>
          <t>Bonito SCB - Fabric Swatches - Ash Grey Fabric</t>
        </is>
      </c>
      <c r="D6" s="39" t="inlineStr">
        <is>
          <t>Aadeshwar</t>
        </is>
      </c>
      <c r="E6" s="43" t="n">
        <v>46125</v>
      </c>
      <c r="F6" s="26" t="inlineStr">
        <is>
          <t>Sunil CR</t>
        </is>
      </c>
      <c r="G6" s="26" t="inlineStr">
        <is>
          <t>Yes</t>
        </is>
      </c>
      <c r="H6" s="26" t="inlineStr">
        <is>
          <t>No</t>
        </is>
      </c>
      <c r="I6" s="26" t="inlineStr">
        <is>
          <t>Good finish</t>
        </is>
      </c>
      <c r="J6" s="26" t="inlineStr">
        <is>
          <t>Yes</t>
        </is>
      </c>
      <c r="K6" s="27" t="n"/>
      <c r="L6" s="28" t="inlineStr">
        <is>
          <t>No</t>
        </is>
      </c>
      <c r="M6" s="29">
        <f>IF(E6="","",IF(H6="Yes","❌ Disc",IF(G6="No","⚠ Missing",IF(J6="Yes","✓ OK","⚠ Check"))))</f>
        <v/>
      </c>
      <c r="N6" s="43" t="n">
        <v>46139</v>
      </c>
      <c r="O6" s="26" t="inlineStr">
        <is>
          <t>Sunil CR</t>
        </is>
      </c>
      <c r="P6" s="26" t="inlineStr">
        <is>
          <t>Yes</t>
        </is>
      </c>
      <c r="Q6" s="26" t="inlineStr">
        <is>
          <t>No</t>
        </is>
      </c>
      <c r="R6" s="26" t="inlineStr">
        <is>
          <t>Good finish</t>
        </is>
      </c>
      <c r="S6" s="26" t="inlineStr">
        <is>
          <t>Yes</t>
        </is>
      </c>
      <c r="T6" s="27" t="n"/>
      <c r="U6" s="28" t="inlineStr">
        <is>
          <t>No</t>
        </is>
      </c>
      <c r="V6" s="29">
        <f>IF(N6="","",IF(Q6="Yes","❌ Disc",IF(P6="No","⚠ Missing",IF(S6="Yes","✓ OK","⚠ Check"))))</f>
        <v/>
      </c>
      <c r="W6" s="65" t="n">
        <v>46248</v>
      </c>
      <c r="X6" s="30" t="inlineStr">
        <is>
          <t>Sunil CR</t>
        </is>
      </c>
      <c r="Y6" s="30" t="inlineStr">
        <is>
          <t>Yes</t>
        </is>
      </c>
      <c r="Z6" s="30" t="n"/>
      <c r="AA6" s="30" t="inlineStr">
        <is>
          <t>Good finish</t>
        </is>
      </c>
      <c r="AB6" s="30" t="inlineStr">
        <is>
          <t>Yes</t>
        </is>
      </c>
      <c r="AC6" s="27" t="n"/>
      <c r="AD6" s="31" t="inlineStr">
        <is>
          <t>No</t>
        </is>
      </c>
      <c r="AE6" s="32">
        <f>IF(W6="","",IF(Z6="Yes","❌ Disc",IF(Y6="No","⚠ Missing",IF(AB6="Yes","✓ OK","⚠ Check"))))</f>
        <v/>
      </c>
      <c r="AF6" s="33" t="n"/>
      <c r="AG6" s="33" t="n"/>
      <c r="AH6" s="33" t="n"/>
      <c r="AI6" s="33" t="n"/>
      <c r="AJ6" s="33" t="n"/>
      <c r="AK6" s="33" t="n"/>
      <c r="AL6" s="27" t="n"/>
      <c r="AM6" s="34" t="n"/>
      <c r="AN6" s="35">
        <f>IF(AF6="","",IF(AI6="Yes","❌ Disc",IF(AH6="No","⚠ Missing",IF(AK6="Yes","✓ OK","⚠ Check"))))</f>
        <v/>
      </c>
      <c r="AO6" s="36" t="n"/>
      <c r="AP6" s="36" t="n"/>
      <c r="AQ6" s="36" t="n"/>
      <c r="AR6" s="36" t="n"/>
      <c r="AS6" s="36" t="n"/>
      <c r="AT6" s="36" t="n"/>
      <c r="AU6" s="27" t="n"/>
      <c r="AV6" s="37" t="n"/>
      <c r="AW6" s="38">
        <f>IF(AO6="","",IF(AR6="Yes","❌ Disc",IF(AQ6="No","⚠ Missing",IF(AT6="Yes","✓ OK","⚠ Check"))))</f>
        <v/>
      </c>
    </row>
    <row r="7" ht="18" customHeight="1" s="46">
      <c r="A7" s="23" t="n">
        <v>3</v>
      </c>
      <c r="B7" s="24" t="inlineStr">
        <is>
          <t>Baby Pink Velvet_S12</t>
        </is>
      </c>
      <c r="C7" s="25" t="inlineStr">
        <is>
          <t>Bonito SCB - Fabric Swatches - Baby Pink Velvet</t>
        </is>
      </c>
      <c r="D7" s="23" t="inlineStr">
        <is>
          <t>Aadeshwar</t>
        </is>
      </c>
      <c r="E7" s="43" t="n">
        <v>46125</v>
      </c>
      <c r="F7" s="26" t="inlineStr">
        <is>
          <t>Sunil CR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Good finish</t>
        </is>
      </c>
      <c r="J7" s="26" t="inlineStr">
        <is>
          <t>Yes</t>
        </is>
      </c>
      <c r="K7" s="27" t="n"/>
      <c r="L7" s="28" t="inlineStr">
        <is>
          <t>No</t>
        </is>
      </c>
      <c r="M7" s="29">
        <f>IF(E7="","",IF(H7="Yes","❌ Disc",IF(G7="No","⚠ Missing",IF(J7="Yes","✓ OK","⚠ Check"))))</f>
        <v/>
      </c>
      <c r="N7" s="43" t="n">
        <v>46139</v>
      </c>
      <c r="O7" s="26" t="inlineStr">
        <is>
          <t>Sunil CR</t>
        </is>
      </c>
      <c r="P7" s="26" t="inlineStr">
        <is>
          <t>Yes</t>
        </is>
      </c>
      <c r="Q7" s="26" t="inlineStr">
        <is>
          <t>No</t>
        </is>
      </c>
      <c r="R7" s="26" t="inlineStr">
        <is>
          <t>Good finish</t>
        </is>
      </c>
      <c r="S7" s="26" t="inlineStr">
        <is>
          <t>Yes</t>
        </is>
      </c>
      <c r="T7" s="27" t="n"/>
      <c r="U7" s="28" t="inlineStr">
        <is>
          <t>No</t>
        </is>
      </c>
      <c r="V7" s="29">
        <f>IF(N7="","",IF(Q7="Yes","❌ Disc",IF(P7="No","⚠ Missing",IF(S7="Yes","✓ OK","⚠ Check"))))</f>
        <v/>
      </c>
      <c r="W7" s="65" t="n">
        <v>46248</v>
      </c>
      <c r="X7" s="30" t="inlineStr">
        <is>
          <t>Sunil CR</t>
        </is>
      </c>
      <c r="Y7" s="30" t="inlineStr">
        <is>
          <t>Yes</t>
        </is>
      </c>
      <c r="Z7" s="30" t="n"/>
      <c r="AA7" s="30" t="inlineStr">
        <is>
          <t>Good finish</t>
        </is>
      </c>
      <c r="AB7" s="30" t="inlineStr">
        <is>
          <t>Yes</t>
        </is>
      </c>
      <c r="AC7" s="27" t="n"/>
      <c r="AD7" s="31" t="inlineStr">
        <is>
          <t>No</t>
        </is>
      </c>
      <c r="AE7" s="32">
        <f>IF(W7="","",IF(Z7="Yes","❌ Disc",IF(Y7="No","⚠ Missing",IF(AB7="Yes","✓ OK","⚠ Check"))))</f>
        <v/>
      </c>
      <c r="AF7" s="33" t="n"/>
      <c r="AG7" s="33" t="n"/>
      <c r="AH7" s="33" t="n"/>
      <c r="AI7" s="33" t="n"/>
      <c r="AJ7" s="33" t="n"/>
      <c r="AK7" s="33" t="n"/>
      <c r="AL7" s="27" t="n"/>
      <c r="AM7" s="34" t="n"/>
      <c r="AN7" s="35">
        <f>IF(AF7="","",IF(AI7="Yes","❌ Disc",IF(AH7="No","⚠ Missing",IF(AK7="Yes","✓ OK","⚠ Check"))))</f>
        <v/>
      </c>
      <c r="AO7" s="36" t="n"/>
      <c r="AP7" s="36" t="n"/>
      <c r="AQ7" s="36" t="n"/>
      <c r="AR7" s="36" t="n"/>
      <c r="AS7" s="36" t="n"/>
      <c r="AT7" s="36" t="n"/>
      <c r="AU7" s="27" t="n"/>
      <c r="AV7" s="37" t="n"/>
      <c r="AW7" s="38">
        <f>IF(AO7="","",IF(AR7="Yes","❌ Disc",IF(AQ7="No","⚠ Missing",IF(AT7="Yes","✓ OK","⚠ Check"))))</f>
        <v/>
      </c>
    </row>
    <row r="8" ht="18" customHeight="1" s="46">
      <c r="A8" s="39" t="n">
        <v>4</v>
      </c>
      <c r="B8" s="40" t="inlineStr">
        <is>
          <t>Beige Fabric_S30</t>
        </is>
      </c>
      <c r="C8" s="41" t="inlineStr">
        <is>
          <t>Bonito SCB - Fabric Swatches - Beige Fabric</t>
        </is>
      </c>
      <c r="D8" s="39" t="inlineStr">
        <is>
          <t>Aadeshwar</t>
        </is>
      </c>
      <c r="E8" s="43" t="n">
        <v>46125</v>
      </c>
      <c r="F8" s="26" t="inlineStr">
        <is>
          <t>Sunil CR</t>
        </is>
      </c>
      <c r="G8" s="26" t="inlineStr">
        <is>
          <t>Yes</t>
        </is>
      </c>
      <c r="H8" s="26" t="inlineStr">
        <is>
          <t>No</t>
        </is>
      </c>
      <c r="I8" s="26" t="inlineStr">
        <is>
          <t>Good finish</t>
        </is>
      </c>
      <c r="J8" s="26" t="inlineStr">
        <is>
          <t>Yes</t>
        </is>
      </c>
      <c r="K8" s="27" t="n"/>
      <c r="L8" s="28" t="inlineStr">
        <is>
          <t>No</t>
        </is>
      </c>
      <c r="M8" s="29">
        <f>IF(E8="","",IF(H8="Yes","❌ Disc",IF(G8="No","⚠ Missing",IF(J8="Yes","✓ OK","⚠ Check"))))</f>
        <v/>
      </c>
      <c r="N8" s="43" t="n">
        <v>46139</v>
      </c>
      <c r="O8" s="26" t="inlineStr">
        <is>
          <t>Sunil CR</t>
        </is>
      </c>
      <c r="P8" s="26" t="inlineStr">
        <is>
          <t>Yes</t>
        </is>
      </c>
      <c r="Q8" s="26" t="inlineStr">
        <is>
          <t>No</t>
        </is>
      </c>
      <c r="R8" s="26" t="inlineStr">
        <is>
          <t>Good finish</t>
        </is>
      </c>
      <c r="S8" s="26" t="inlineStr">
        <is>
          <t>Yes</t>
        </is>
      </c>
      <c r="T8" s="27" t="n"/>
      <c r="U8" s="28" t="inlineStr">
        <is>
          <t>No</t>
        </is>
      </c>
      <c r="V8" s="29">
        <f>IF(N8="","",IF(Q8="Yes","❌ Disc",IF(P8="No","⚠ Missing",IF(S8="Yes","✓ OK","⚠ Check"))))</f>
        <v/>
      </c>
      <c r="W8" s="65" t="n">
        <v>46248</v>
      </c>
      <c r="X8" s="30" t="inlineStr">
        <is>
          <t>Sunil CR</t>
        </is>
      </c>
      <c r="Y8" s="30" t="inlineStr">
        <is>
          <t>Yes</t>
        </is>
      </c>
      <c r="Z8" s="30" t="n"/>
      <c r="AA8" s="30" t="inlineStr">
        <is>
          <t>Good finish</t>
        </is>
      </c>
      <c r="AB8" s="30" t="inlineStr">
        <is>
          <t>Yes</t>
        </is>
      </c>
      <c r="AC8" s="27" t="n"/>
      <c r="AD8" s="31" t="inlineStr">
        <is>
          <t>No</t>
        </is>
      </c>
      <c r="AE8" s="32">
        <f>IF(W8="","",IF(Z8="Yes","❌ Disc",IF(Y8="No","⚠ Missing",IF(AB8="Yes","✓ OK","⚠ Check"))))</f>
        <v/>
      </c>
      <c r="AF8" s="33" t="n"/>
      <c r="AG8" s="33" t="n"/>
      <c r="AH8" s="33" t="n"/>
      <c r="AI8" s="33" t="n"/>
      <c r="AJ8" s="33" t="n"/>
      <c r="AK8" s="33" t="n"/>
      <c r="AL8" s="27" t="n"/>
      <c r="AM8" s="34" t="n"/>
      <c r="AN8" s="35">
        <f>IF(AF8="","",IF(AI8="Yes","❌ Disc",IF(AH8="No","⚠ Missing",IF(AK8="Yes","✓ OK","⚠ Check"))))</f>
        <v/>
      </c>
      <c r="AO8" s="36" t="n"/>
      <c r="AP8" s="36" t="n"/>
      <c r="AQ8" s="36" t="n"/>
      <c r="AR8" s="36" t="n"/>
      <c r="AS8" s="36" t="n"/>
      <c r="AT8" s="36" t="n"/>
      <c r="AU8" s="27" t="n"/>
      <c r="AV8" s="37" t="n"/>
      <c r="AW8" s="38">
        <f>IF(AO8="","",IF(AR8="Yes","❌ Disc",IF(AQ8="No","⚠ Missing",IF(AT8="Yes","✓ OK","⚠ Check"))))</f>
        <v/>
      </c>
    </row>
    <row r="9" ht="18" customHeight="1" s="46">
      <c r="A9" s="23" t="n">
        <v>5</v>
      </c>
      <c r="B9" s="24" t="inlineStr">
        <is>
          <t>Beige-1 Velvet_S20</t>
        </is>
      </c>
      <c r="C9" s="25" t="inlineStr">
        <is>
          <t>Bonito SCB - Fabric Swatches - Beige-1 Velvet</t>
        </is>
      </c>
      <c r="D9" s="23" t="inlineStr">
        <is>
          <t>Aadeshwar</t>
        </is>
      </c>
      <c r="E9" s="43" t="n">
        <v>46125</v>
      </c>
      <c r="F9" s="26" t="inlineStr">
        <is>
          <t>Sunil CR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Good finish</t>
        </is>
      </c>
      <c r="J9" s="26" t="inlineStr">
        <is>
          <t>Yes</t>
        </is>
      </c>
      <c r="K9" s="27" t="n"/>
      <c r="L9" s="28" t="inlineStr">
        <is>
          <t>No</t>
        </is>
      </c>
      <c r="M9" s="29">
        <f>IF(E9="","",IF(H9="Yes","❌ Disc",IF(G9="No","⚠ Missing",IF(J9="Yes","✓ OK","⚠ Check"))))</f>
        <v/>
      </c>
      <c r="N9" s="43" t="n">
        <v>46139</v>
      </c>
      <c r="O9" s="26" t="inlineStr">
        <is>
          <t>Sunil CR</t>
        </is>
      </c>
      <c r="P9" s="26" t="inlineStr">
        <is>
          <t>Yes</t>
        </is>
      </c>
      <c r="Q9" s="26" t="inlineStr">
        <is>
          <t>No</t>
        </is>
      </c>
      <c r="R9" s="26" t="inlineStr">
        <is>
          <t>Good finish</t>
        </is>
      </c>
      <c r="S9" s="26" t="inlineStr">
        <is>
          <t>Yes</t>
        </is>
      </c>
      <c r="T9" s="27" t="n"/>
      <c r="U9" s="28" t="inlineStr">
        <is>
          <t>No</t>
        </is>
      </c>
      <c r="V9" s="29">
        <f>IF(N9="","",IF(Q9="Yes","❌ Disc",IF(P9="No","⚠ Missing",IF(S9="Yes","✓ OK","⚠ Check"))))</f>
        <v/>
      </c>
      <c r="W9" s="65" t="n">
        <v>46248</v>
      </c>
      <c r="X9" s="30" t="inlineStr">
        <is>
          <t>Sunil CR</t>
        </is>
      </c>
      <c r="Y9" s="30" t="inlineStr">
        <is>
          <t>Yes</t>
        </is>
      </c>
      <c r="Z9" s="30" t="n"/>
      <c r="AA9" s="30" t="inlineStr">
        <is>
          <t>Good finish</t>
        </is>
      </c>
      <c r="AB9" s="30" t="inlineStr">
        <is>
          <t>Yes</t>
        </is>
      </c>
      <c r="AC9" s="27" t="n"/>
      <c r="AD9" s="31" t="inlineStr">
        <is>
          <t>No</t>
        </is>
      </c>
      <c r="AE9" s="32">
        <f>IF(W9="","",IF(Z9="Yes","❌ Disc",IF(Y9="No","⚠ Missing",IF(AB9="Yes","✓ OK","⚠ Check"))))</f>
        <v/>
      </c>
      <c r="AF9" s="33" t="n"/>
      <c r="AG9" s="33" t="n"/>
      <c r="AH9" s="33" t="n"/>
      <c r="AI9" s="33" t="n"/>
      <c r="AJ9" s="33" t="n"/>
      <c r="AK9" s="33" t="n"/>
      <c r="AL9" s="27" t="n"/>
      <c r="AM9" s="34" t="n"/>
      <c r="AN9" s="35">
        <f>IF(AF9="","",IF(AI9="Yes","❌ Disc",IF(AH9="No","⚠ Missing",IF(AK9="Yes","✓ OK","⚠ Check"))))</f>
        <v/>
      </c>
      <c r="AO9" s="36" t="n"/>
      <c r="AP9" s="36" t="n"/>
      <c r="AQ9" s="36" t="n"/>
      <c r="AR9" s="36" t="n"/>
      <c r="AS9" s="36" t="n"/>
      <c r="AT9" s="36" t="n"/>
      <c r="AU9" s="27" t="n"/>
      <c r="AV9" s="37" t="n"/>
      <c r="AW9" s="38">
        <f>IF(AO9="","",IF(AR9="Yes","❌ Disc",IF(AQ9="No","⚠ Missing",IF(AT9="Yes","✓ OK","⚠ Check"))))</f>
        <v/>
      </c>
    </row>
    <row r="10" ht="18" customHeight="1" s="46">
      <c r="A10" s="39" t="n">
        <v>6</v>
      </c>
      <c r="B10" s="40" t="inlineStr">
        <is>
          <t>Beige-2 Velvet_S21</t>
        </is>
      </c>
      <c r="C10" s="41" t="inlineStr">
        <is>
          <t>Bonito SCB - Fabric Swatches - Beige-2 Velvet</t>
        </is>
      </c>
      <c r="D10" s="39" t="inlineStr">
        <is>
          <t>Aadeshwar</t>
        </is>
      </c>
      <c r="E10" s="43" t="n">
        <v>46125</v>
      </c>
      <c r="F10" s="26" t="inlineStr">
        <is>
          <t>Sunil CR</t>
        </is>
      </c>
      <c r="G10" s="26" t="inlineStr">
        <is>
          <t>Yes</t>
        </is>
      </c>
      <c r="H10" s="26" t="inlineStr">
        <is>
          <t>No</t>
        </is>
      </c>
      <c r="I10" s="26" t="inlineStr">
        <is>
          <t>Good finish</t>
        </is>
      </c>
      <c r="J10" s="26" t="inlineStr">
        <is>
          <t>Yes</t>
        </is>
      </c>
      <c r="K10" s="27" t="n"/>
      <c r="L10" s="28" t="inlineStr">
        <is>
          <t>No</t>
        </is>
      </c>
      <c r="M10" s="29">
        <f>IF(E10="","",IF(H10="Yes","❌ Disc",IF(G10="No","⚠ Missing",IF(J10="Yes","✓ OK","⚠ Check"))))</f>
        <v/>
      </c>
      <c r="N10" s="43" t="n">
        <v>46139</v>
      </c>
      <c r="O10" s="26" t="inlineStr">
        <is>
          <t>Sunil CR</t>
        </is>
      </c>
      <c r="P10" s="26" t="inlineStr">
        <is>
          <t>Yes</t>
        </is>
      </c>
      <c r="Q10" s="26" t="inlineStr">
        <is>
          <t>No</t>
        </is>
      </c>
      <c r="R10" s="26" t="inlineStr">
        <is>
          <t>Good finish</t>
        </is>
      </c>
      <c r="S10" s="26" t="inlineStr">
        <is>
          <t>Yes</t>
        </is>
      </c>
      <c r="T10" s="27" t="n"/>
      <c r="U10" s="28" t="inlineStr">
        <is>
          <t>No</t>
        </is>
      </c>
      <c r="V10" s="29">
        <f>IF(N10="","",IF(Q10="Yes","❌ Disc",IF(P10="No","⚠ Missing",IF(S10="Yes","✓ OK","⚠ Check"))))</f>
        <v/>
      </c>
      <c r="W10" s="65" t="n">
        <v>46248</v>
      </c>
      <c r="X10" s="30" t="inlineStr">
        <is>
          <t>Sunil CR</t>
        </is>
      </c>
      <c r="Y10" s="30" t="inlineStr">
        <is>
          <t>Yes</t>
        </is>
      </c>
      <c r="Z10" s="30" t="n"/>
      <c r="AA10" s="30" t="inlineStr">
        <is>
          <t>Good finish</t>
        </is>
      </c>
      <c r="AB10" s="30" t="inlineStr">
        <is>
          <t>Yes</t>
        </is>
      </c>
      <c r="AC10" s="27" t="n"/>
      <c r="AD10" s="31" t="inlineStr">
        <is>
          <t>No</t>
        </is>
      </c>
      <c r="AE10" s="32">
        <f>IF(W10="","",IF(Z10="Yes","❌ Disc",IF(Y10="No","⚠ Missing",IF(AB10="Yes","✓ OK","⚠ Check"))))</f>
        <v/>
      </c>
      <c r="AF10" s="33" t="n"/>
      <c r="AG10" s="33" t="n"/>
      <c r="AH10" s="33" t="n"/>
      <c r="AI10" s="33" t="n"/>
      <c r="AJ10" s="33" t="n"/>
      <c r="AK10" s="33" t="n"/>
      <c r="AL10" s="27" t="n"/>
      <c r="AM10" s="34" t="n"/>
      <c r="AN10" s="35">
        <f>IF(AF10="","",IF(AI10="Yes","❌ Disc",IF(AH10="No","⚠ Missing",IF(AK10="Yes","✓ OK","⚠ Check"))))</f>
        <v/>
      </c>
      <c r="AO10" s="36" t="n"/>
      <c r="AP10" s="36" t="n"/>
      <c r="AQ10" s="36" t="n"/>
      <c r="AR10" s="36" t="n"/>
      <c r="AS10" s="36" t="n"/>
      <c r="AT10" s="36" t="n"/>
      <c r="AU10" s="27" t="n"/>
      <c r="AV10" s="37" t="n"/>
      <c r="AW10" s="38">
        <f>IF(AO10="","",IF(AR10="Yes","❌ Disc",IF(AQ10="No","⚠ Missing",IF(AT10="Yes","✓ OK","⚠ Check"))))</f>
        <v/>
      </c>
    </row>
    <row r="11" ht="18" customHeight="1" s="46">
      <c r="A11" s="23" t="n">
        <v>7</v>
      </c>
      <c r="B11" s="24" t="inlineStr">
        <is>
          <t>Berry Red Velvet_S13</t>
        </is>
      </c>
      <c r="C11" s="25" t="inlineStr">
        <is>
          <t>Bonito SCB - Fabric Swatches - Berry Red Velvet</t>
        </is>
      </c>
      <c r="D11" s="23" t="inlineStr">
        <is>
          <t>Aadeshwar</t>
        </is>
      </c>
      <c r="E11" s="43" t="n">
        <v>46125</v>
      </c>
      <c r="F11" s="26" t="inlineStr">
        <is>
          <t>Sunil CR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Good finish</t>
        </is>
      </c>
      <c r="J11" s="26" t="inlineStr">
        <is>
          <t>Yes</t>
        </is>
      </c>
      <c r="K11" s="27" t="n"/>
      <c r="L11" s="28" t="inlineStr">
        <is>
          <t>No</t>
        </is>
      </c>
      <c r="M11" s="29">
        <f>IF(E11="","",IF(H11="Yes","❌ Disc",IF(G11="No","⚠ Missing",IF(J11="Yes","✓ OK","⚠ Check"))))</f>
        <v/>
      </c>
      <c r="N11" s="43" t="n">
        <v>46139</v>
      </c>
      <c r="O11" s="26" t="inlineStr">
        <is>
          <t>Sunil CR</t>
        </is>
      </c>
      <c r="P11" s="26" t="inlineStr">
        <is>
          <t>Yes</t>
        </is>
      </c>
      <c r="Q11" s="26" t="inlineStr">
        <is>
          <t>No</t>
        </is>
      </c>
      <c r="R11" s="26" t="inlineStr">
        <is>
          <t>Good finish</t>
        </is>
      </c>
      <c r="S11" s="26" t="inlineStr">
        <is>
          <t>Yes</t>
        </is>
      </c>
      <c r="T11" s="27" t="n"/>
      <c r="U11" s="28" t="inlineStr">
        <is>
          <t>No</t>
        </is>
      </c>
      <c r="V11" s="29">
        <f>IF(N11="","",IF(Q11="Yes","❌ Disc",IF(P11="No","⚠ Missing",IF(S11="Yes","✓ OK","⚠ Check"))))</f>
        <v/>
      </c>
      <c r="W11" s="65" t="n">
        <v>46248</v>
      </c>
      <c r="X11" s="30" t="inlineStr">
        <is>
          <t>Sunil CR</t>
        </is>
      </c>
      <c r="Y11" s="30" t="inlineStr">
        <is>
          <t>Yes</t>
        </is>
      </c>
      <c r="Z11" s="30" t="n"/>
      <c r="AA11" s="30" t="inlineStr">
        <is>
          <t>Good finish</t>
        </is>
      </c>
      <c r="AB11" s="30" t="inlineStr">
        <is>
          <t>Yes</t>
        </is>
      </c>
      <c r="AC11" s="27" t="n"/>
      <c r="AD11" s="31" t="inlineStr">
        <is>
          <t>No</t>
        </is>
      </c>
      <c r="AE11" s="32">
        <f>IF(W11="","",IF(Z11="Yes","❌ Disc",IF(Y11="No","⚠ Missing",IF(AB11="Yes","✓ OK","⚠ Check"))))</f>
        <v/>
      </c>
      <c r="AF11" s="33" t="n"/>
      <c r="AG11" s="33" t="n"/>
      <c r="AH11" s="33" t="n"/>
      <c r="AI11" s="33" t="n"/>
      <c r="AJ11" s="33" t="n"/>
      <c r="AK11" s="33" t="n"/>
      <c r="AL11" s="27" t="n"/>
      <c r="AM11" s="34" t="n"/>
      <c r="AN11" s="35">
        <f>IF(AF11="","",IF(AI11="Yes","❌ Disc",IF(AH11="No","⚠ Missing",IF(AK11="Yes","✓ OK","⚠ Check"))))</f>
        <v/>
      </c>
      <c r="AO11" s="36" t="n"/>
      <c r="AP11" s="36" t="n"/>
      <c r="AQ11" s="36" t="n"/>
      <c r="AR11" s="36" t="n"/>
      <c r="AS11" s="36" t="n"/>
      <c r="AT11" s="36" t="n"/>
      <c r="AU11" s="27" t="n"/>
      <c r="AV11" s="37" t="n"/>
      <c r="AW11" s="38">
        <f>IF(AO11="","",IF(AR11="Yes","❌ Disc",IF(AQ11="No","⚠ Missing",IF(AT11="Yes","✓ OK","⚠ Check"))))</f>
        <v/>
      </c>
    </row>
    <row r="12" ht="18" customHeight="1" s="46">
      <c r="A12" s="39" t="n">
        <v>8</v>
      </c>
      <c r="B12" s="40" t="inlineStr">
        <is>
          <t>Blush Pink Fabric_S47</t>
        </is>
      </c>
      <c r="C12" s="41" t="inlineStr">
        <is>
          <t>Bonito SCB - Fabric Swatches - Blush Pink Fabric</t>
        </is>
      </c>
      <c r="D12" s="39" t="inlineStr">
        <is>
          <t>Aadeshwar</t>
        </is>
      </c>
      <c r="E12" s="43" t="n">
        <v>46125</v>
      </c>
      <c r="F12" s="26" t="inlineStr">
        <is>
          <t>Sunil CR</t>
        </is>
      </c>
      <c r="G12" s="26" t="inlineStr">
        <is>
          <t>Yes</t>
        </is>
      </c>
      <c r="H12" s="26" t="inlineStr">
        <is>
          <t>No</t>
        </is>
      </c>
      <c r="I12" s="26" t="inlineStr">
        <is>
          <t>Good finish</t>
        </is>
      </c>
      <c r="J12" s="26" t="inlineStr">
        <is>
          <t>Yes</t>
        </is>
      </c>
      <c r="K12" s="27" t="n"/>
      <c r="L12" s="28" t="inlineStr">
        <is>
          <t>No</t>
        </is>
      </c>
      <c r="M12" s="29">
        <f>IF(E12="","",IF(H12="Yes","❌ Disc",IF(G12="No","⚠ Missing",IF(J12="Yes","✓ OK","⚠ Check"))))</f>
        <v/>
      </c>
      <c r="N12" s="43" t="n">
        <v>46139</v>
      </c>
      <c r="O12" s="26" t="inlineStr">
        <is>
          <t>Sunil CR</t>
        </is>
      </c>
      <c r="P12" s="26" t="inlineStr">
        <is>
          <t>Yes</t>
        </is>
      </c>
      <c r="Q12" s="26" t="inlineStr">
        <is>
          <t>No</t>
        </is>
      </c>
      <c r="R12" s="26" t="inlineStr">
        <is>
          <t>Good finish</t>
        </is>
      </c>
      <c r="S12" s="26" t="inlineStr">
        <is>
          <t>Yes</t>
        </is>
      </c>
      <c r="T12" s="27" t="n"/>
      <c r="U12" s="28" t="inlineStr">
        <is>
          <t>No</t>
        </is>
      </c>
      <c r="V12" s="29">
        <f>IF(N12="","",IF(Q12="Yes","❌ Disc",IF(P12="No","⚠ Missing",IF(S12="Yes","✓ OK","⚠ Check"))))</f>
        <v/>
      </c>
      <c r="W12" s="65" t="n">
        <v>46248</v>
      </c>
      <c r="X12" s="30" t="inlineStr">
        <is>
          <t>Sunil CR</t>
        </is>
      </c>
      <c r="Y12" s="30" t="inlineStr">
        <is>
          <t>Yes</t>
        </is>
      </c>
      <c r="Z12" s="30" t="n"/>
      <c r="AA12" s="30" t="inlineStr">
        <is>
          <t>Good finish</t>
        </is>
      </c>
      <c r="AB12" s="30" t="inlineStr">
        <is>
          <t>Yes</t>
        </is>
      </c>
      <c r="AC12" s="27" t="n"/>
      <c r="AD12" s="31" t="inlineStr">
        <is>
          <t>No</t>
        </is>
      </c>
      <c r="AE12" s="32">
        <f>IF(W12="","",IF(Z12="Yes","❌ Disc",IF(Y12="No","⚠ Missing",IF(AB12="Yes","✓ OK","⚠ Check"))))</f>
        <v/>
      </c>
      <c r="AF12" s="33" t="n"/>
      <c r="AG12" s="33" t="n"/>
      <c r="AH12" s="33" t="n"/>
      <c r="AI12" s="33" t="n"/>
      <c r="AJ12" s="33" t="n"/>
      <c r="AK12" s="33" t="n"/>
      <c r="AL12" s="27" t="n"/>
      <c r="AM12" s="34" t="n"/>
      <c r="AN12" s="35">
        <f>IF(AF12="","",IF(AI12="Yes","❌ Disc",IF(AH12="No","⚠ Missing",IF(AK12="Yes","✓ OK","⚠ Check"))))</f>
        <v/>
      </c>
      <c r="AO12" s="36" t="n"/>
      <c r="AP12" s="36" t="n"/>
      <c r="AQ12" s="36" t="n"/>
      <c r="AR12" s="36" t="n"/>
      <c r="AS12" s="36" t="n"/>
      <c r="AT12" s="36" t="n"/>
      <c r="AU12" s="27" t="n"/>
      <c r="AV12" s="37" t="n"/>
      <c r="AW12" s="38">
        <f>IF(AO12="","",IF(AR12="Yes","❌ Disc",IF(AQ12="No","⚠ Missing",IF(AT12="Yes","✓ OK","⚠ Check"))))</f>
        <v/>
      </c>
    </row>
    <row r="13" ht="18" customHeight="1" s="46">
      <c r="A13" s="23" t="n">
        <v>9</v>
      </c>
      <c r="B13" s="24" t="inlineStr">
        <is>
          <t>Blush Pink Velvet_S11</t>
        </is>
      </c>
      <c r="C13" s="25" t="inlineStr">
        <is>
          <t>Bonito SCB - Fabric Swatches - Blush Pink Velvet</t>
        </is>
      </c>
      <c r="D13" s="23" t="inlineStr">
        <is>
          <t>Aadeshwar</t>
        </is>
      </c>
      <c r="E13" s="43" t="n">
        <v>46125</v>
      </c>
      <c r="F13" s="26" t="inlineStr">
        <is>
          <t>Sunil CR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Good finish</t>
        </is>
      </c>
      <c r="J13" s="26" t="inlineStr">
        <is>
          <t>Yes</t>
        </is>
      </c>
      <c r="K13" s="27" t="n"/>
      <c r="L13" s="28" t="inlineStr">
        <is>
          <t>No</t>
        </is>
      </c>
      <c r="M13" s="29">
        <f>IF(E13="","",IF(H13="Yes","❌ Disc",IF(G13="No","⚠ Missing",IF(J13="Yes","✓ OK","⚠ Check"))))</f>
        <v/>
      </c>
      <c r="N13" s="43" t="n">
        <v>46139</v>
      </c>
      <c r="O13" s="26" t="inlineStr">
        <is>
          <t>Sunil CR</t>
        </is>
      </c>
      <c r="P13" s="26" t="inlineStr">
        <is>
          <t>Yes</t>
        </is>
      </c>
      <c r="Q13" s="26" t="inlineStr">
        <is>
          <t>No</t>
        </is>
      </c>
      <c r="R13" s="26" t="inlineStr">
        <is>
          <t>Good finish</t>
        </is>
      </c>
      <c r="S13" s="26" t="inlineStr">
        <is>
          <t>Yes</t>
        </is>
      </c>
      <c r="T13" s="27" t="n"/>
      <c r="U13" s="28" t="inlineStr">
        <is>
          <t>No</t>
        </is>
      </c>
      <c r="V13" s="29">
        <f>IF(N13="","",IF(Q13="Yes","❌ Disc",IF(P13="No","⚠ Missing",IF(S13="Yes","✓ OK","⚠ Check"))))</f>
        <v/>
      </c>
      <c r="W13" s="65" t="n">
        <v>46248</v>
      </c>
      <c r="X13" s="30" t="inlineStr">
        <is>
          <t>Sunil CR</t>
        </is>
      </c>
      <c r="Y13" s="30" t="inlineStr">
        <is>
          <t>Yes</t>
        </is>
      </c>
      <c r="Z13" s="30" t="n"/>
      <c r="AA13" s="30" t="inlineStr">
        <is>
          <t>Good finish</t>
        </is>
      </c>
      <c r="AB13" s="30" t="inlineStr">
        <is>
          <t>Yes</t>
        </is>
      </c>
      <c r="AC13" s="27" t="n"/>
      <c r="AD13" s="31" t="inlineStr">
        <is>
          <t>No</t>
        </is>
      </c>
      <c r="AE13" s="32">
        <f>IF(W13="","",IF(Z13="Yes","❌ Disc",IF(Y13="No","⚠ Missing",IF(AB13="Yes","✓ OK","⚠ Check"))))</f>
        <v/>
      </c>
      <c r="AF13" s="33" t="n"/>
      <c r="AG13" s="33" t="n"/>
      <c r="AH13" s="33" t="n"/>
      <c r="AI13" s="33" t="n"/>
      <c r="AJ13" s="33" t="n"/>
      <c r="AK13" s="33" t="n"/>
      <c r="AL13" s="27" t="n"/>
      <c r="AM13" s="34" t="n"/>
      <c r="AN13" s="35">
        <f>IF(AF13="","",IF(AI13="Yes","❌ Disc",IF(AH13="No","⚠ Missing",IF(AK13="Yes","✓ OK","⚠ Check"))))</f>
        <v/>
      </c>
      <c r="AO13" s="36" t="n"/>
      <c r="AP13" s="36" t="n"/>
      <c r="AQ13" s="36" t="n"/>
      <c r="AR13" s="36" t="n"/>
      <c r="AS13" s="36" t="n"/>
      <c r="AT13" s="36" t="n"/>
      <c r="AU13" s="27" t="n"/>
      <c r="AV13" s="37" t="n"/>
      <c r="AW13" s="38">
        <f>IF(AO13="","",IF(AR13="Yes","❌ Disc",IF(AQ13="No","⚠ Missing",IF(AT13="Yes","✓ OK","⚠ Check"))))</f>
        <v/>
      </c>
    </row>
    <row r="14" ht="18" customHeight="1" s="46">
      <c r="A14" s="39" t="n">
        <v>10</v>
      </c>
      <c r="B14" s="40" t="inlineStr">
        <is>
          <t>Brown Velvet_S19</t>
        </is>
      </c>
      <c r="C14" s="41" t="inlineStr">
        <is>
          <t>Bonito SCB - Fabric Swatches - Brown Velvet</t>
        </is>
      </c>
      <c r="D14" s="39" t="inlineStr">
        <is>
          <t>Aadeshwar</t>
        </is>
      </c>
      <c r="E14" s="43" t="n">
        <v>46125</v>
      </c>
      <c r="F14" s="26" t="inlineStr">
        <is>
          <t>Sunil CR</t>
        </is>
      </c>
      <c r="G14" s="26" t="inlineStr">
        <is>
          <t>Yes</t>
        </is>
      </c>
      <c r="H14" s="26" t="inlineStr">
        <is>
          <t>No</t>
        </is>
      </c>
      <c r="I14" s="26" t="inlineStr">
        <is>
          <t>Good finish</t>
        </is>
      </c>
      <c r="J14" s="26" t="inlineStr">
        <is>
          <t>Yes</t>
        </is>
      </c>
      <c r="K14" s="27" t="n"/>
      <c r="L14" s="28" t="inlineStr">
        <is>
          <t>No</t>
        </is>
      </c>
      <c r="M14" s="29">
        <f>IF(E14="","",IF(H14="Yes","❌ Disc",IF(G14="No","⚠ Missing",IF(J14="Yes","✓ OK","⚠ Check"))))</f>
        <v/>
      </c>
      <c r="N14" s="43" t="n">
        <v>46139</v>
      </c>
      <c r="O14" s="26" t="inlineStr">
        <is>
          <t>Sunil CR</t>
        </is>
      </c>
      <c r="P14" s="26" t="inlineStr">
        <is>
          <t>Yes</t>
        </is>
      </c>
      <c r="Q14" s="26" t="inlineStr">
        <is>
          <t>No</t>
        </is>
      </c>
      <c r="R14" s="26" t="inlineStr">
        <is>
          <t>Good finish</t>
        </is>
      </c>
      <c r="S14" s="26" t="inlineStr">
        <is>
          <t>Yes</t>
        </is>
      </c>
      <c r="T14" s="27" t="n"/>
      <c r="U14" s="28" t="inlineStr">
        <is>
          <t>No</t>
        </is>
      </c>
      <c r="V14" s="29">
        <f>IF(N14="","",IF(Q14="Yes","❌ Disc",IF(P14="No","⚠ Missing",IF(S14="Yes","✓ OK","⚠ Check"))))</f>
        <v/>
      </c>
      <c r="W14" s="65" t="n">
        <v>46248</v>
      </c>
      <c r="X14" s="30" t="inlineStr">
        <is>
          <t>Sunil CR</t>
        </is>
      </c>
      <c r="Y14" s="30" t="inlineStr">
        <is>
          <t>Yes</t>
        </is>
      </c>
      <c r="Z14" s="30" t="n"/>
      <c r="AA14" s="30" t="inlineStr">
        <is>
          <t>Good finish</t>
        </is>
      </c>
      <c r="AB14" s="30" t="inlineStr">
        <is>
          <t>Yes</t>
        </is>
      </c>
      <c r="AC14" s="27" t="n"/>
      <c r="AD14" s="31" t="inlineStr">
        <is>
          <t>No</t>
        </is>
      </c>
      <c r="AE14" s="32">
        <f>IF(W14="","",IF(Z14="Yes","❌ Disc",IF(Y14="No","⚠ Missing",IF(AB14="Yes","✓ OK","⚠ Check"))))</f>
        <v/>
      </c>
      <c r="AF14" s="33" t="n"/>
      <c r="AG14" s="33" t="n"/>
      <c r="AH14" s="33" t="n"/>
      <c r="AI14" s="33" t="n"/>
      <c r="AJ14" s="33" t="n"/>
      <c r="AK14" s="33" t="n"/>
      <c r="AL14" s="27" t="n"/>
      <c r="AM14" s="34" t="n"/>
      <c r="AN14" s="35">
        <f>IF(AF14="","",IF(AI14="Yes","❌ Disc",IF(AH14="No","⚠ Missing",IF(AK14="Yes","✓ OK","⚠ Check"))))</f>
        <v/>
      </c>
      <c r="AO14" s="36" t="n"/>
      <c r="AP14" s="36" t="n"/>
      <c r="AQ14" s="36" t="n"/>
      <c r="AR14" s="36" t="n"/>
      <c r="AS14" s="36" t="n"/>
      <c r="AT14" s="36" t="n"/>
      <c r="AU14" s="27" t="n"/>
      <c r="AV14" s="37" t="n"/>
      <c r="AW14" s="38">
        <f>IF(AO14="","",IF(AR14="Yes","❌ Disc",IF(AQ14="No","⚠ Missing",IF(AT14="Yes","✓ OK","⚠ Check"))))</f>
        <v/>
      </c>
    </row>
    <row r="15" ht="18" customHeight="1" s="46">
      <c r="A15" s="23" t="n">
        <v>11</v>
      </c>
      <c r="B15" s="24" t="inlineStr">
        <is>
          <t>Camel Yellow Fabric_S45</t>
        </is>
      </c>
      <c r="C15" s="25" t="inlineStr">
        <is>
          <t>Bonito SCB - Fabric Swatches - Camel Yellow Fabric</t>
        </is>
      </c>
      <c r="D15" s="23" t="inlineStr">
        <is>
          <t>Aadeshwar</t>
        </is>
      </c>
      <c r="E15" s="43" t="n">
        <v>46125</v>
      </c>
      <c r="F15" s="26" t="inlineStr">
        <is>
          <t>Sunil CR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Good finish</t>
        </is>
      </c>
      <c r="J15" s="26" t="inlineStr">
        <is>
          <t>Yes</t>
        </is>
      </c>
      <c r="K15" s="27" t="n"/>
      <c r="L15" s="28" t="inlineStr">
        <is>
          <t>No</t>
        </is>
      </c>
      <c r="M15" s="29">
        <f>IF(E15="","",IF(H15="Yes","❌ Disc",IF(G15="No","⚠ Missing",IF(J15="Yes","✓ OK","⚠ Check"))))</f>
        <v/>
      </c>
      <c r="N15" s="43" t="n">
        <v>46139</v>
      </c>
      <c r="O15" s="26" t="inlineStr">
        <is>
          <t>Sunil CR</t>
        </is>
      </c>
      <c r="P15" s="26" t="inlineStr">
        <is>
          <t>Yes</t>
        </is>
      </c>
      <c r="Q15" s="26" t="inlineStr">
        <is>
          <t>No</t>
        </is>
      </c>
      <c r="R15" s="26" t="inlineStr">
        <is>
          <t>Good finish</t>
        </is>
      </c>
      <c r="S15" s="26" t="inlineStr">
        <is>
          <t>Yes</t>
        </is>
      </c>
      <c r="T15" s="27" t="n"/>
      <c r="U15" s="28" t="inlineStr">
        <is>
          <t>No</t>
        </is>
      </c>
      <c r="V15" s="29">
        <f>IF(N15="","",IF(Q15="Yes","❌ Disc",IF(P15="No","⚠ Missing",IF(S15="Yes","✓ OK","⚠ Check"))))</f>
        <v/>
      </c>
      <c r="W15" s="65" t="n">
        <v>46248</v>
      </c>
      <c r="X15" s="30" t="inlineStr">
        <is>
          <t>Sunil CR</t>
        </is>
      </c>
      <c r="Y15" s="30" t="inlineStr">
        <is>
          <t>Yes</t>
        </is>
      </c>
      <c r="Z15" s="30" t="n"/>
      <c r="AA15" s="30" t="inlineStr">
        <is>
          <t>Good finish</t>
        </is>
      </c>
      <c r="AB15" s="30" t="inlineStr">
        <is>
          <t>Yes</t>
        </is>
      </c>
      <c r="AC15" s="27" t="n"/>
      <c r="AD15" s="31" t="inlineStr">
        <is>
          <t>No</t>
        </is>
      </c>
      <c r="AE15" s="32">
        <f>IF(W15="","",IF(Z15="Yes","❌ Disc",IF(Y15="No","⚠ Missing",IF(AB15="Yes","✓ OK","⚠ Check"))))</f>
        <v/>
      </c>
      <c r="AF15" s="33" t="n"/>
      <c r="AG15" s="33" t="n"/>
      <c r="AH15" s="33" t="n"/>
      <c r="AI15" s="33" t="n"/>
      <c r="AJ15" s="33" t="n"/>
      <c r="AK15" s="33" t="n"/>
      <c r="AL15" s="27" t="n"/>
      <c r="AM15" s="34" t="n"/>
      <c r="AN15" s="35">
        <f>IF(AF15="","",IF(AI15="Yes","❌ Disc",IF(AH15="No","⚠ Missing",IF(AK15="Yes","✓ OK","⚠ Check"))))</f>
        <v/>
      </c>
      <c r="AO15" s="36" t="n"/>
      <c r="AP15" s="36" t="n"/>
      <c r="AQ15" s="36" t="n"/>
      <c r="AR15" s="36" t="n"/>
      <c r="AS15" s="36" t="n"/>
      <c r="AT15" s="36" t="n"/>
      <c r="AU15" s="27" t="n"/>
      <c r="AV15" s="37" t="n"/>
      <c r="AW15" s="38">
        <f>IF(AO15="","",IF(AR15="Yes","❌ Disc",IF(AQ15="No","⚠ Missing",IF(AT15="Yes","✓ OK","⚠ Check"))))</f>
        <v/>
      </c>
    </row>
    <row r="16" ht="18" customHeight="1" s="46">
      <c r="A16" s="39" t="n">
        <v>12</v>
      </c>
      <c r="B16" s="40" t="inlineStr">
        <is>
          <t>Camel Yellow Velvet_S8</t>
        </is>
      </c>
      <c r="C16" s="41" t="inlineStr">
        <is>
          <t>Bonito SCB - Fabric Swatches - Camel Yellow Velvet</t>
        </is>
      </c>
      <c r="D16" s="39" t="inlineStr">
        <is>
          <t>Aadeshwar</t>
        </is>
      </c>
      <c r="E16" s="43" t="n">
        <v>46125</v>
      </c>
      <c r="F16" s="26" t="inlineStr">
        <is>
          <t>Sunil CR</t>
        </is>
      </c>
      <c r="G16" s="26" t="inlineStr">
        <is>
          <t>Yes</t>
        </is>
      </c>
      <c r="H16" s="26" t="inlineStr">
        <is>
          <t>No</t>
        </is>
      </c>
      <c r="I16" s="26" t="inlineStr">
        <is>
          <t>Good finish</t>
        </is>
      </c>
      <c r="J16" s="26" t="inlineStr">
        <is>
          <t>Yes</t>
        </is>
      </c>
      <c r="K16" s="27" t="n"/>
      <c r="L16" s="28" t="inlineStr">
        <is>
          <t>No</t>
        </is>
      </c>
      <c r="M16" s="29">
        <f>IF(E16="","",IF(H16="Yes","❌ Disc",IF(G16="No","⚠ Missing",IF(J16="Yes","✓ OK","⚠ Check"))))</f>
        <v/>
      </c>
      <c r="N16" s="43" t="n">
        <v>46139</v>
      </c>
      <c r="O16" s="26" t="inlineStr">
        <is>
          <t>Sunil CR</t>
        </is>
      </c>
      <c r="P16" s="26" t="inlineStr">
        <is>
          <t>Yes</t>
        </is>
      </c>
      <c r="Q16" s="26" t="inlineStr">
        <is>
          <t>No</t>
        </is>
      </c>
      <c r="R16" s="26" t="inlineStr">
        <is>
          <t>Good finish</t>
        </is>
      </c>
      <c r="S16" s="26" t="inlineStr">
        <is>
          <t>Yes</t>
        </is>
      </c>
      <c r="T16" s="27" t="n"/>
      <c r="U16" s="28" t="inlineStr">
        <is>
          <t>No</t>
        </is>
      </c>
      <c r="V16" s="29">
        <f>IF(N16="","",IF(Q16="Yes","❌ Disc",IF(P16="No","⚠ Missing",IF(S16="Yes","✓ OK","⚠ Check"))))</f>
        <v/>
      </c>
      <c r="W16" s="65" t="n">
        <v>46248</v>
      </c>
      <c r="X16" s="30" t="inlineStr">
        <is>
          <t>Sunil CR</t>
        </is>
      </c>
      <c r="Y16" s="30" t="inlineStr">
        <is>
          <t>Yes</t>
        </is>
      </c>
      <c r="Z16" s="30" t="n"/>
      <c r="AA16" s="30" t="inlineStr">
        <is>
          <t>Good finish</t>
        </is>
      </c>
      <c r="AB16" s="30" t="inlineStr">
        <is>
          <t>Yes</t>
        </is>
      </c>
      <c r="AC16" s="27" t="n"/>
      <c r="AD16" s="31" t="inlineStr">
        <is>
          <t>No</t>
        </is>
      </c>
      <c r="AE16" s="32">
        <f>IF(W16="","",IF(Z16="Yes","❌ Disc",IF(Y16="No","⚠ Missing",IF(AB16="Yes","✓ OK","⚠ Check"))))</f>
        <v/>
      </c>
      <c r="AF16" s="33" t="n"/>
      <c r="AG16" s="33" t="n"/>
      <c r="AH16" s="33" t="n"/>
      <c r="AI16" s="33" t="n"/>
      <c r="AJ16" s="33" t="n"/>
      <c r="AK16" s="33" t="n"/>
      <c r="AL16" s="27" t="n"/>
      <c r="AM16" s="34" t="n"/>
      <c r="AN16" s="35">
        <f>IF(AF16="","",IF(AI16="Yes","❌ Disc",IF(AH16="No","⚠ Missing",IF(AK16="Yes","✓ OK","⚠ Check"))))</f>
        <v/>
      </c>
      <c r="AO16" s="36" t="n"/>
      <c r="AP16" s="36" t="n"/>
      <c r="AQ16" s="36" t="n"/>
      <c r="AR16" s="36" t="n"/>
      <c r="AS16" s="36" t="n"/>
      <c r="AT16" s="36" t="n"/>
      <c r="AU16" s="27" t="n"/>
      <c r="AV16" s="37" t="n"/>
      <c r="AW16" s="38">
        <f>IF(AO16="","",IF(AR16="Yes","❌ Disc",IF(AQ16="No","⚠ Missing",IF(AT16="Yes","✓ OK","⚠ Check"))))</f>
        <v/>
      </c>
    </row>
    <row r="17" ht="18" customHeight="1" s="46">
      <c r="A17" s="23" t="n">
        <v>13</v>
      </c>
      <c r="B17" s="24" t="inlineStr">
        <is>
          <t>Charcoal Grey Fabric_S40A</t>
        </is>
      </c>
      <c r="C17" s="25" t="inlineStr">
        <is>
          <t>Bonito SCB - Fabric Swatches - Charcoal Grey Fabric</t>
        </is>
      </c>
      <c r="D17" s="23" t="inlineStr">
        <is>
          <t>Aadeshwar</t>
        </is>
      </c>
      <c r="E17" s="43" t="n">
        <v>46125</v>
      </c>
      <c r="F17" s="26" t="inlineStr">
        <is>
          <t>Sunil CR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Good finish</t>
        </is>
      </c>
      <c r="J17" s="26" t="inlineStr">
        <is>
          <t>Yes</t>
        </is>
      </c>
      <c r="K17" s="27" t="n"/>
      <c r="L17" s="28" t="inlineStr">
        <is>
          <t>No</t>
        </is>
      </c>
      <c r="M17" s="29">
        <f>IF(E17="","",IF(H17="Yes","❌ Disc",IF(G17="No","⚠ Missing",IF(J17="Yes","✓ OK","⚠ Check"))))</f>
        <v/>
      </c>
      <c r="N17" s="43" t="n">
        <v>46139</v>
      </c>
      <c r="O17" s="26" t="inlineStr">
        <is>
          <t>Sunil CR</t>
        </is>
      </c>
      <c r="P17" s="26" t="inlineStr">
        <is>
          <t>Yes</t>
        </is>
      </c>
      <c r="Q17" s="26" t="inlineStr">
        <is>
          <t>No</t>
        </is>
      </c>
      <c r="R17" s="26" t="inlineStr">
        <is>
          <t>Good finish</t>
        </is>
      </c>
      <c r="S17" s="26" t="inlineStr">
        <is>
          <t>Yes</t>
        </is>
      </c>
      <c r="T17" s="27" t="n"/>
      <c r="U17" s="28" t="inlineStr">
        <is>
          <t>No</t>
        </is>
      </c>
      <c r="V17" s="29">
        <f>IF(N17="","",IF(Q17="Yes","❌ Disc",IF(P17="No","⚠ Missing",IF(S17="Yes","✓ OK","⚠ Check"))))</f>
        <v/>
      </c>
      <c r="W17" s="65" t="n">
        <v>46248</v>
      </c>
      <c r="X17" s="30" t="inlineStr">
        <is>
          <t>Sunil CR</t>
        </is>
      </c>
      <c r="Y17" s="30" t="inlineStr">
        <is>
          <t>Yes</t>
        </is>
      </c>
      <c r="Z17" s="30" t="n"/>
      <c r="AA17" s="30" t="inlineStr">
        <is>
          <t>Good finish</t>
        </is>
      </c>
      <c r="AB17" s="30" t="inlineStr">
        <is>
          <t>Yes</t>
        </is>
      </c>
      <c r="AC17" s="27" t="n"/>
      <c r="AD17" s="31" t="inlineStr">
        <is>
          <t>No</t>
        </is>
      </c>
      <c r="AE17" s="32">
        <f>IF(W17="","",IF(Z17="Yes","❌ Disc",IF(Y17="No","⚠ Missing",IF(AB17="Yes","✓ OK","⚠ Check"))))</f>
        <v/>
      </c>
      <c r="AF17" s="33" t="n"/>
      <c r="AG17" s="33" t="n"/>
      <c r="AH17" s="33" t="n"/>
      <c r="AI17" s="33" t="n"/>
      <c r="AJ17" s="33" t="n"/>
      <c r="AK17" s="33" t="n"/>
      <c r="AL17" s="27" t="n"/>
      <c r="AM17" s="34" t="n"/>
      <c r="AN17" s="35">
        <f>IF(AF17="","",IF(AI17="Yes","❌ Disc",IF(AH17="No","⚠ Missing",IF(AK17="Yes","✓ OK","⚠ Check"))))</f>
        <v/>
      </c>
      <c r="AO17" s="36" t="n"/>
      <c r="AP17" s="36" t="n"/>
      <c r="AQ17" s="36" t="n"/>
      <c r="AR17" s="36" t="n"/>
      <c r="AS17" s="36" t="n"/>
      <c r="AT17" s="36" t="n"/>
      <c r="AU17" s="27" t="n"/>
      <c r="AV17" s="37" t="n"/>
      <c r="AW17" s="38">
        <f>IF(AO17="","",IF(AR17="Yes","❌ Disc",IF(AQ17="No","⚠ Missing",IF(AT17="Yes","✓ OK","⚠ Check"))))</f>
        <v/>
      </c>
    </row>
    <row r="18" ht="18" customHeight="1" s="46">
      <c r="A18" s="39" t="n">
        <v>14</v>
      </c>
      <c r="B18" s="40" t="inlineStr">
        <is>
          <t>Charcoal Grey Velvet_S18</t>
        </is>
      </c>
      <c r="C18" s="41" t="inlineStr">
        <is>
          <t>Bonito SCB - Fabric Swatches - Charcoal Grey Velvet</t>
        </is>
      </c>
      <c r="D18" s="39" t="inlineStr">
        <is>
          <t>Aadeshwar</t>
        </is>
      </c>
      <c r="E18" s="43" t="n">
        <v>46125</v>
      </c>
      <c r="F18" s="26" t="inlineStr">
        <is>
          <t>Sunil CR</t>
        </is>
      </c>
      <c r="G18" s="26" t="inlineStr">
        <is>
          <t>Yes</t>
        </is>
      </c>
      <c r="H18" s="26" t="inlineStr">
        <is>
          <t>No</t>
        </is>
      </c>
      <c r="I18" s="26" t="inlineStr">
        <is>
          <t>Good finish</t>
        </is>
      </c>
      <c r="J18" s="26" t="inlineStr">
        <is>
          <t>Yes</t>
        </is>
      </c>
      <c r="K18" s="27" t="n"/>
      <c r="L18" s="28" t="inlineStr">
        <is>
          <t>No</t>
        </is>
      </c>
      <c r="M18" s="29">
        <f>IF(E18="","",IF(H18="Yes","❌ Disc",IF(G18="No","⚠ Missing",IF(J18="Yes","✓ OK","⚠ Check"))))</f>
        <v/>
      </c>
      <c r="N18" s="43" t="n">
        <v>46139</v>
      </c>
      <c r="O18" s="26" t="inlineStr">
        <is>
          <t>Sunil CR</t>
        </is>
      </c>
      <c r="P18" s="26" t="inlineStr">
        <is>
          <t>Yes</t>
        </is>
      </c>
      <c r="Q18" s="26" t="inlineStr">
        <is>
          <t>No</t>
        </is>
      </c>
      <c r="R18" s="26" t="inlineStr">
        <is>
          <t>Good finish</t>
        </is>
      </c>
      <c r="S18" s="26" t="inlineStr">
        <is>
          <t>Yes</t>
        </is>
      </c>
      <c r="T18" s="27" t="n"/>
      <c r="U18" s="28" t="inlineStr">
        <is>
          <t>No</t>
        </is>
      </c>
      <c r="V18" s="29">
        <f>IF(N18="","",IF(Q18="Yes","❌ Disc",IF(P18="No","⚠ Missing",IF(S18="Yes","✓ OK","⚠ Check"))))</f>
        <v/>
      </c>
      <c r="W18" s="65" t="n">
        <v>46248</v>
      </c>
      <c r="X18" s="30" t="inlineStr">
        <is>
          <t>Sunil CR</t>
        </is>
      </c>
      <c r="Y18" s="30" t="inlineStr">
        <is>
          <t>Yes</t>
        </is>
      </c>
      <c r="Z18" s="30" t="n"/>
      <c r="AA18" s="30" t="inlineStr">
        <is>
          <t>Good finish</t>
        </is>
      </c>
      <c r="AB18" s="30" t="inlineStr">
        <is>
          <t>Yes</t>
        </is>
      </c>
      <c r="AC18" s="27" t="n"/>
      <c r="AD18" s="31" t="inlineStr">
        <is>
          <t>No</t>
        </is>
      </c>
      <c r="AE18" s="32">
        <f>IF(W18="","",IF(Z18="Yes","❌ Disc",IF(Y18="No","⚠ Missing",IF(AB18="Yes","✓ OK","⚠ Check"))))</f>
        <v/>
      </c>
      <c r="AF18" s="33" t="n"/>
      <c r="AG18" s="33" t="n"/>
      <c r="AH18" s="33" t="n"/>
      <c r="AI18" s="33" t="n"/>
      <c r="AJ18" s="33" t="n"/>
      <c r="AK18" s="33" t="n"/>
      <c r="AL18" s="27" t="n"/>
      <c r="AM18" s="34" t="n"/>
      <c r="AN18" s="35">
        <f>IF(AF18="","",IF(AI18="Yes","❌ Disc",IF(AH18="No","⚠ Missing",IF(AK18="Yes","✓ OK","⚠ Check"))))</f>
        <v/>
      </c>
      <c r="AO18" s="36" t="n"/>
      <c r="AP18" s="36" t="n"/>
      <c r="AQ18" s="36" t="n"/>
      <c r="AR18" s="36" t="n"/>
      <c r="AS18" s="36" t="n"/>
      <c r="AT18" s="36" t="n"/>
      <c r="AU18" s="27" t="n"/>
      <c r="AV18" s="37" t="n"/>
      <c r="AW18" s="38">
        <f>IF(AO18="","",IF(AR18="Yes","❌ Disc",IF(AQ18="No","⚠ Missing",IF(AT18="Yes","✓ OK","⚠ Check"))))</f>
        <v/>
      </c>
    </row>
    <row r="19" ht="18" customHeight="1" s="46">
      <c r="A19" s="23" t="n">
        <v>15</v>
      </c>
      <c r="B19" s="24" t="inlineStr">
        <is>
          <t>Chestnut Brown Fabric_S51</t>
        </is>
      </c>
      <c r="C19" s="25" t="inlineStr">
        <is>
          <t>Bonito SCB - Fabric Swatches - Chestnut Brown Fabric</t>
        </is>
      </c>
      <c r="D19" s="23" t="inlineStr">
        <is>
          <t>Aadeshwar</t>
        </is>
      </c>
      <c r="E19" s="43" t="n">
        <v>46125</v>
      </c>
      <c r="F19" s="26" t="inlineStr">
        <is>
          <t>Sunil CR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Good finish</t>
        </is>
      </c>
      <c r="J19" s="26" t="inlineStr">
        <is>
          <t>Yes</t>
        </is>
      </c>
      <c r="K19" s="27" t="n"/>
      <c r="L19" s="28" t="inlineStr">
        <is>
          <t>No</t>
        </is>
      </c>
      <c r="M19" s="29">
        <f>IF(E19="","",IF(H19="Yes","❌ Disc",IF(G19="No","⚠ Missing",IF(J19="Yes","✓ OK","⚠ Check"))))</f>
        <v/>
      </c>
      <c r="N19" s="43" t="n">
        <v>46139</v>
      </c>
      <c r="O19" s="26" t="inlineStr">
        <is>
          <t>Sunil CR</t>
        </is>
      </c>
      <c r="P19" s="26" t="inlineStr">
        <is>
          <t>Yes</t>
        </is>
      </c>
      <c r="Q19" s="26" t="inlineStr">
        <is>
          <t>No</t>
        </is>
      </c>
      <c r="R19" s="26" t="inlineStr">
        <is>
          <t>Good finish</t>
        </is>
      </c>
      <c r="S19" s="26" t="inlineStr">
        <is>
          <t>Yes</t>
        </is>
      </c>
      <c r="T19" s="27" t="n"/>
      <c r="U19" s="28" t="inlineStr">
        <is>
          <t>No</t>
        </is>
      </c>
      <c r="V19" s="29">
        <f>IF(N19="","",IF(Q19="Yes","❌ Disc",IF(P19="No","⚠ Missing",IF(S19="Yes","✓ OK","⚠ Check"))))</f>
        <v/>
      </c>
      <c r="W19" s="65" t="n">
        <v>46248</v>
      </c>
      <c r="X19" s="30" t="inlineStr">
        <is>
          <t>Sunil CR</t>
        </is>
      </c>
      <c r="Y19" s="30" t="inlineStr">
        <is>
          <t>Yes</t>
        </is>
      </c>
      <c r="Z19" s="30" t="n"/>
      <c r="AA19" s="30" t="inlineStr">
        <is>
          <t>Good finish</t>
        </is>
      </c>
      <c r="AB19" s="30" t="inlineStr">
        <is>
          <t>Yes</t>
        </is>
      </c>
      <c r="AC19" s="27" t="n"/>
      <c r="AD19" s="31" t="inlineStr">
        <is>
          <t>No</t>
        </is>
      </c>
      <c r="AE19" s="32">
        <f>IF(W19="","",IF(Z19="Yes","❌ Disc",IF(Y19="No","⚠ Missing",IF(AB19="Yes","✓ OK","⚠ Check"))))</f>
        <v/>
      </c>
      <c r="AF19" s="33" t="n"/>
      <c r="AG19" s="33" t="n"/>
      <c r="AH19" s="33" t="n"/>
      <c r="AI19" s="33" t="n"/>
      <c r="AJ19" s="33" t="n"/>
      <c r="AK19" s="33" t="n"/>
      <c r="AL19" s="27" t="n"/>
      <c r="AM19" s="34" t="n"/>
      <c r="AN19" s="35">
        <f>IF(AF19="","",IF(AI19="Yes","❌ Disc",IF(AH19="No","⚠ Missing",IF(AK19="Yes","✓ OK","⚠ Check"))))</f>
        <v/>
      </c>
      <c r="AO19" s="36" t="n"/>
      <c r="AP19" s="36" t="n"/>
      <c r="AQ19" s="36" t="n"/>
      <c r="AR19" s="36" t="n"/>
      <c r="AS19" s="36" t="n"/>
      <c r="AT19" s="36" t="n"/>
      <c r="AU19" s="27" t="n"/>
      <c r="AV19" s="37" t="n"/>
      <c r="AW19" s="38">
        <f>IF(AO19="","",IF(AR19="Yes","❌ Disc",IF(AQ19="No","⚠ Missing",IF(AT19="Yes","✓ OK","⚠ Check"))))</f>
        <v/>
      </c>
    </row>
    <row r="20" ht="18" customHeight="1" s="46">
      <c r="A20" s="39" t="n">
        <v>16</v>
      </c>
      <c r="B20" s="40" t="inlineStr">
        <is>
          <t>Cotton Candy Pink Velvet_S11A</t>
        </is>
      </c>
      <c r="C20" s="41" t="inlineStr">
        <is>
          <t>Bonito SCB - Fabric Swatches - Cotton Candy Pink Velvet</t>
        </is>
      </c>
      <c r="D20" s="39" t="inlineStr">
        <is>
          <t>Aadeshwar</t>
        </is>
      </c>
      <c r="E20" s="43" t="n">
        <v>46125</v>
      </c>
      <c r="F20" s="26" t="inlineStr">
        <is>
          <t>Sunil CR</t>
        </is>
      </c>
      <c r="G20" s="26" t="inlineStr">
        <is>
          <t>Yes</t>
        </is>
      </c>
      <c r="H20" s="26" t="inlineStr">
        <is>
          <t>No</t>
        </is>
      </c>
      <c r="I20" s="26" t="inlineStr">
        <is>
          <t>Good finish</t>
        </is>
      </c>
      <c r="J20" s="26" t="inlineStr">
        <is>
          <t>Yes</t>
        </is>
      </c>
      <c r="K20" s="27" t="n"/>
      <c r="L20" s="28" t="inlineStr">
        <is>
          <t>No</t>
        </is>
      </c>
      <c r="M20" s="29">
        <f>IF(E20="","",IF(H20="Yes","❌ Disc",IF(G20="No","⚠ Missing",IF(J20="Yes","✓ OK","⚠ Check"))))</f>
        <v/>
      </c>
      <c r="N20" s="43" t="n">
        <v>46139</v>
      </c>
      <c r="O20" s="26" t="inlineStr">
        <is>
          <t>Sunil CR</t>
        </is>
      </c>
      <c r="P20" s="26" t="inlineStr">
        <is>
          <t>Yes</t>
        </is>
      </c>
      <c r="Q20" s="26" t="inlineStr">
        <is>
          <t>No</t>
        </is>
      </c>
      <c r="R20" s="26" t="inlineStr">
        <is>
          <t>Good finish</t>
        </is>
      </c>
      <c r="S20" s="26" t="inlineStr">
        <is>
          <t>Yes</t>
        </is>
      </c>
      <c r="T20" s="27" t="n"/>
      <c r="U20" s="28" t="inlineStr">
        <is>
          <t>No</t>
        </is>
      </c>
      <c r="V20" s="29">
        <f>IF(N20="","",IF(Q20="Yes","❌ Disc",IF(P20="No","⚠ Missing",IF(S20="Yes","✓ OK","⚠ Check"))))</f>
        <v/>
      </c>
      <c r="W20" s="65" t="n">
        <v>46248</v>
      </c>
      <c r="X20" s="30" t="inlineStr">
        <is>
          <t>Sunil CR</t>
        </is>
      </c>
      <c r="Y20" s="30" t="inlineStr">
        <is>
          <t>Yes</t>
        </is>
      </c>
      <c r="Z20" s="30" t="n"/>
      <c r="AA20" s="30" t="inlineStr">
        <is>
          <t>Good finish</t>
        </is>
      </c>
      <c r="AB20" s="30" t="inlineStr">
        <is>
          <t>Yes</t>
        </is>
      </c>
      <c r="AC20" s="27" t="n"/>
      <c r="AD20" s="31" t="inlineStr">
        <is>
          <t>No</t>
        </is>
      </c>
      <c r="AE20" s="32">
        <f>IF(W20="","",IF(Z20="Yes","❌ Disc",IF(Y20="No","⚠ Missing",IF(AB20="Yes","✓ OK","⚠ Check"))))</f>
        <v/>
      </c>
      <c r="AF20" s="33" t="n"/>
      <c r="AG20" s="33" t="n"/>
      <c r="AH20" s="33" t="n"/>
      <c r="AI20" s="33" t="n"/>
      <c r="AJ20" s="33" t="n"/>
      <c r="AK20" s="33" t="n"/>
      <c r="AL20" s="27" t="n"/>
      <c r="AM20" s="34" t="n"/>
      <c r="AN20" s="35">
        <f>IF(AF20="","",IF(AI20="Yes","❌ Disc",IF(AH20="No","⚠ Missing",IF(AK20="Yes","✓ OK","⚠ Check"))))</f>
        <v/>
      </c>
      <c r="AO20" s="36" t="n"/>
      <c r="AP20" s="36" t="n"/>
      <c r="AQ20" s="36" t="n"/>
      <c r="AR20" s="36" t="n"/>
      <c r="AS20" s="36" t="n"/>
      <c r="AT20" s="36" t="n"/>
      <c r="AU20" s="27" t="n"/>
      <c r="AV20" s="37" t="n"/>
      <c r="AW20" s="38">
        <f>IF(AO20="","",IF(AR20="Yes","❌ Disc",IF(AQ20="No","⚠ Missing",IF(AT20="Yes","✓ OK","⚠ Check"))))</f>
        <v/>
      </c>
    </row>
    <row r="21" ht="18" customHeight="1" s="46">
      <c r="A21" s="23" t="n">
        <v>17</v>
      </c>
      <c r="B21" s="24" t="inlineStr">
        <is>
          <t>Cream-1 Velvet_S22</t>
        </is>
      </c>
      <c r="C21" s="25" t="inlineStr">
        <is>
          <t>Bonito SCB - Fabric Swatches - Cream-1 Velvet</t>
        </is>
      </c>
      <c r="D21" s="23" t="inlineStr">
        <is>
          <t>Aadeshwar</t>
        </is>
      </c>
      <c r="E21" s="43" t="n">
        <v>46125</v>
      </c>
      <c r="F21" s="26" t="inlineStr">
        <is>
          <t>Sunil CR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Good finish</t>
        </is>
      </c>
      <c r="J21" s="26" t="inlineStr">
        <is>
          <t>Yes</t>
        </is>
      </c>
      <c r="K21" s="27" t="n"/>
      <c r="L21" s="28" t="inlineStr">
        <is>
          <t>No</t>
        </is>
      </c>
      <c r="M21" s="29">
        <f>IF(E21="","",IF(H21="Yes","❌ Disc",IF(G21="No","⚠ Missing",IF(J21="Yes","✓ OK","⚠ Check"))))</f>
        <v/>
      </c>
      <c r="N21" s="43" t="n">
        <v>46139</v>
      </c>
      <c r="O21" s="26" t="inlineStr">
        <is>
          <t>Sunil CR</t>
        </is>
      </c>
      <c r="P21" s="26" t="inlineStr">
        <is>
          <t>Yes</t>
        </is>
      </c>
      <c r="Q21" s="26" t="inlineStr">
        <is>
          <t>No</t>
        </is>
      </c>
      <c r="R21" s="26" t="inlineStr">
        <is>
          <t>Good finish</t>
        </is>
      </c>
      <c r="S21" s="26" t="inlineStr">
        <is>
          <t>Yes</t>
        </is>
      </c>
      <c r="T21" s="27" t="n"/>
      <c r="U21" s="28" t="inlineStr">
        <is>
          <t>No</t>
        </is>
      </c>
      <c r="V21" s="29">
        <f>IF(N21="","",IF(Q21="Yes","❌ Disc",IF(P21="No","⚠ Missing",IF(S21="Yes","✓ OK","⚠ Check"))))</f>
        <v/>
      </c>
      <c r="W21" s="65" t="n">
        <v>46248</v>
      </c>
      <c r="X21" s="30" t="inlineStr">
        <is>
          <t>Sunil CR</t>
        </is>
      </c>
      <c r="Y21" s="30" t="inlineStr">
        <is>
          <t>Yes</t>
        </is>
      </c>
      <c r="Z21" s="30" t="n"/>
      <c r="AA21" s="30" t="inlineStr">
        <is>
          <t>Good finish</t>
        </is>
      </c>
      <c r="AB21" s="30" t="inlineStr">
        <is>
          <t>Yes</t>
        </is>
      </c>
      <c r="AC21" s="27" t="n"/>
      <c r="AD21" s="31" t="inlineStr">
        <is>
          <t>No</t>
        </is>
      </c>
      <c r="AE21" s="32">
        <f>IF(W21="","",IF(Z21="Yes","❌ Disc",IF(Y21="No","⚠ Missing",IF(AB21="Yes","✓ OK","⚠ Check"))))</f>
        <v/>
      </c>
      <c r="AF21" s="33" t="n"/>
      <c r="AG21" s="33" t="n"/>
      <c r="AH21" s="33" t="n"/>
      <c r="AI21" s="33" t="n"/>
      <c r="AJ21" s="33" t="n"/>
      <c r="AK21" s="33" t="n"/>
      <c r="AL21" s="27" t="n"/>
      <c r="AM21" s="34" t="n"/>
      <c r="AN21" s="35">
        <f>IF(AF21="","",IF(AI21="Yes","❌ Disc",IF(AH21="No","⚠ Missing",IF(AK21="Yes","✓ OK","⚠ Check"))))</f>
        <v/>
      </c>
      <c r="AO21" s="36" t="n"/>
      <c r="AP21" s="36" t="n"/>
      <c r="AQ21" s="36" t="n"/>
      <c r="AR21" s="36" t="n"/>
      <c r="AS21" s="36" t="n"/>
      <c r="AT21" s="36" t="n"/>
      <c r="AU21" s="27" t="n"/>
      <c r="AV21" s="37" t="n"/>
      <c r="AW21" s="38">
        <f>IF(AO21="","",IF(AR21="Yes","❌ Disc",IF(AQ21="No","⚠ Missing",IF(AT21="Yes","✓ OK","⚠ Check"))))</f>
        <v/>
      </c>
    </row>
    <row r="22" ht="18" customHeight="1" s="46">
      <c r="A22" s="39" t="n">
        <v>18</v>
      </c>
      <c r="B22" s="40" t="inlineStr">
        <is>
          <t>Cream-2 Velvet_S23</t>
        </is>
      </c>
      <c r="C22" s="41" t="inlineStr">
        <is>
          <t>Bonito SCB - Fabric Swatches - Cream-2 Velvet</t>
        </is>
      </c>
      <c r="D22" s="39" t="inlineStr">
        <is>
          <t>Aadeshwar</t>
        </is>
      </c>
      <c r="E22" s="43" t="n">
        <v>46125</v>
      </c>
      <c r="F22" s="26" t="inlineStr">
        <is>
          <t>Sunil CR</t>
        </is>
      </c>
      <c r="G22" s="26" t="inlineStr">
        <is>
          <t>Yes</t>
        </is>
      </c>
      <c r="H22" s="26" t="inlineStr">
        <is>
          <t>No</t>
        </is>
      </c>
      <c r="I22" s="26" t="inlineStr">
        <is>
          <t>Good finish</t>
        </is>
      </c>
      <c r="J22" s="26" t="inlineStr">
        <is>
          <t>Yes</t>
        </is>
      </c>
      <c r="K22" s="27" t="n"/>
      <c r="L22" s="28" t="inlineStr">
        <is>
          <t>No</t>
        </is>
      </c>
      <c r="M22" s="29">
        <f>IF(E22="","",IF(H22="Yes","❌ Disc",IF(G22="No","⚠ Missing",IF(J22="Yes","✓ OK","⚠ Check"))))</f>
        <v/>
      </c>
      <c r="N22" s="43" t="n">
        <v>46139</v>
      </c>
      <c r="O22" s="26" t="inlineStr">
        <is>
          <t>Sunil CR</t>
        </is>
      </c>
      <c r="P22" s="26" t="inlineStr">
        <is>
          <t>Yes</t>
        </is>
      </c>
      <c r="Q22" s="26" t="inlineStr">
        <is>
          <t>No</t>
        </is>
      </c>
      <c r="R22" s="26" t="inlineStr">
        <is>
          <t>Good finish</t>
        </is>
      </c>
      <c r="S22" s="26" t="inlineStr">
        <is>
          <t>Yes</t>
        </is>
      </c>
      <c r="T22" s="27" t="n"/>
      <c r="U22" s="28" t="inlineStr">
        <is>
          <t>No</t>
        </is>
      </c>
      <c r="V22" s="29">
        <f>IF(N22="","",IF(Q22="Yes","❌ Disc",IF(P22="No","⚠ Missing",IF(S22="Yes","✓ OK","⚠ Check"))))</f>
        <v/>
      </c>
      <c r="W22" s="65" t="n">
        <v>46248</v>
      </c>
      <c r="X22" s="30" t="inlineStr">
        <is>
          <t>Sunil CR</t>
        </is>
      </c>
      <c r="Y22" s="30" t="inlineStr">
        <is>
          <t>Yes</t>
        </is>
      </c>
      <c r="Z22" s="30" t="n"/>
      <c r="AA22" s="30" t="inlineStr">
        <is>
          <t>Good finish</t>
        </is>
      </c>
      <c r="AB22" s="30" t="inlineStr">
        <is>
          <t>Yes</t>
        </is>
      </c>
      <c r="AC22" s="27" t="n"/>
      <c r="AD22" s="31" t="inlineStr">
        <is>
          <t>No</t>
        </is>
      </c>
      <c r="AE22" s="32">
        <f>IF(W22="","",IF(Z22="Yes","❌ Disc",IF(Y22="No","⚠ Missing",IF(AB22="Yes","✓ OK","⚠ Check"))))</f>
        <v/>
      </c>
      <c r="AF22" s="33" t="n"/>
      <c r="AG22" s="33" t="n"/>
      <c r="AH22" s="33" t="n"/>
      <c r="AI22" s="33" t="n"/>
      <c r="AJ22" s="33" t="n"/>
      <c r="AK22" s="33" t="n"/>
      <c r="AL22" s="27" t="n"/>
      <c r="AM22" s="34" t="n"/>
      <c r="AN22" s="35">
        <f>IF(AF22="","",IF(AI22="Yes","❌ Disc",IF(AH22="No","⚠ Missing",IF(AK22="Yes","✓ OK","⚠ Check"))))</f>
        <v/>
      </c>
      <c r="AO22" s="36" t="n"/>
      <c r="AP22" s="36" t="n"/>
      <c r="AQ22" s="36" t="n"/>
      <c r="AR22" s="36" t="n"/>
      <c r="AS22" s="36" t="n"/>
      <c r="AT22" s="36" t="n"/>
      <c r="AU22" s="27" t="n"/>
      <c r="AV22" s="37" t="n"/>
      <c r="AW22" s="38">
        <f>IF(AO22="","",IF(AR22="Yes","❌ Disc",IF(AQ22="No","⚠ Missing",IF(AT22="Yes","✓ OK","⚠ Check"))))</f>
        <v/>
      </c>
    </row>
    <row r="23" ht="18" customHeight="1" s="46">
      <c r="A23" s="23" t="n">
        <v>19</v>
      </c>
      <c r="B23" s="24" t="inlineStr">
        <is>
          <t>Denim Blue Fabric_S34</t>
        </is>
      </c>
      <c r="C23" s="25" t="inlineStr">
        <is>
          <t>Bonito SCB - Fabric Swatches - Denim Blue Fabric</t>
        </is>
      </c>
      <c r="D23" s="23" t="inlineStr">
        <is>
          <t>Aadeshwar</t>
        </is>
      </c>
      <c r="E23" s="43" t="n">
        <v>46125</v>
      </c>
      <c r="F23" s="26" t="inlineStr">
        <is>
          <t>Sunil CR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Good finish</t>
        </is>
      </c>
      <c r="J23" s="26" t="inlineStr">
        <is>
          <t>Yes</t>
        </is>
      </c>
      <c r="K23" s="27" t="n"/>
      <c r="L23" s="28" t="inlineStr">
        <is>
          <t>No</t>
        </is>
      </c>
      <c r="M23" s="29">
        <f>IF(E23="","",IF(H23="Yes","❌ Disc",IF(G23="No","⚠ Missing",IF(J23="Yes","✓ OK","⚠ Check"))))</f>
        <v/>
      </c>
      <c r="N23" s="43" t="n">
        <v>46139</v>
      </c>
      <c r="O23" s="26" t="inlineStr">
        <is>
          <t>Sunil CR</t>
        </is>
      </c>
      <c r="P23" s="26" t="inlineStr">
        <is>
          <t>Yes</t>
        </is>
      </c>
      <c r="Q23" s="26" t="inlineStr">
        <is>
          <t>No</t>
        </is>
      </c>
      <c r="R23" s="26" t="inlineStr">
        <is>
          <t>Good finish</t>
        </is>
      </c>
      <c r="S23" s="26" t="inlineStr">
        <is>
          <t>Yes</t>
        </is>
      </c>
      <c r="T23" s="27" t="n"/>
      <c r="U23" s="28" t="inlineStr">
        <is>
          <t>No</t>
        </is>
      </c>
      <c r="V23" s="29">
        <f>IF(N23="","",IF(Q23="Yes","❌ Disc",IF(P23="No","⚠ Missing",IF(S23="Yes","✓ OK","⚠ Check"))))</f>
        <v/>
      </c>
      <c r="W23" s="65" t="n">
        <v>46248</v>
      </c>
      <c r="X23" s="30" t="inlineStr">
        <is>
          <t>Sunil CR</t>
        </is>
      </c>
      <c r="Y23" s="30" t="inlineStr">
        <is>
          <t>Yes</t>
        </is>
      </c>
      <c r="Z23" s="30" t="n"/>
      <c r="AA23" s="30" t="inlineStr">
        <is>
          <t>Good finish</t>
        </is>
      </c>
      <c r="AB23" s="30" t="inlineStr">
        <is>
          <t>Yes</t>
        </is>
      </c>
      <c r="AC23" s="27" t="n"/>
      <c r="AD23" s="31" t="inlineStr">
        <is>
          <t>No</t>
        </is>
      </c>
      <c r="AE23" s="32">
        <f>IF(W23="","",IF(Z23="Yes","❌ Disc",IF(Y23="No","⚠ Missing",IF(AB23="Yes","✓ OK","⚠ Check"))))</f>
        <v/>
      </c>
      <c r="AF23" s="33" t="n"/>
      <c r="AG23" s="33" t="n"/>
      <c r="AH23" s="33" t="n"/>
      <c r="AI23" s="33" t="n"/>
      <c r="AJ23" s="33" t="n"/>
      <c r="AK23" s="33" t="n"/>
      <c r="AL23" s="27" t="n"/>
      <c r="AM23" s="34" t="n"/>
      <c r="AN23" s="35">
        <f>IF(AF23="","",IF(AI23="Yes","❌ Disc",IF(AH23="No","⚠ Missing",IF(AK23="Yes","✓ OK","⚠ Check"))))</f>
        <v/>
      </c>
      <c r="AO23" s="36" t="n"/>
      <c r="AP23" s="36" t="n"/>
      <c r="AQ23" s="36" t="n"/>
      <c r="AR23" s="36" t="n"/>
      <c r="AS23" s="36" t="n"/>
      <c r="AT23" s="36" t="n"/>
      <c r="AU23" s="27" t="n"/>
      <c r="AV23" s="37" t="n"/>
      <c r="AW23" s="38">
        <f>IF(AO23="","",IF(AR23="Yes","❌ Disc",IF(AQ23="No","⚠ Missing",IF(AT23="Yes","✓ OK","⚠ Check"))))</f>
        <v/>
      </c>
    </row>
    <row r="24" ht="18" customHeight="1" s="46">
      <c r="A24" s="39" t="n">
        <v>20</v>
      </c>
      <c r="B24" s="40" t="inlineStr">
        <is>
          <t>Emerald Green Velvet_S5</t>
        </is>
      </c>
      <c r="C24" s="41" t="inlineStr">
        <is>
          <t>Bonito SCB - Fabric Swatches - Emerald Green Velvet</t>
        </is>
      </c>
      <c r="D24" s="39" t="inlineStr">
        <is>
          <t>Aadeshwar</t>
        </is>
      </c>
      <c r="E24" s="43" t="n">
        <v>46125</v>
      </c>
      <c r="F24" s="26" t="inlineStr">
        <is>
          <t>Sunil CR</t>
        </is>
      </c>
      <c r="G24" s="26" t="inlineStr">
        <is>
          <t>Yes</t>
        </is>
      </c>
      <c r="H24" s="26" t="inlineStr">
        <is>
          <t>No</t>
        </is>
      </c>
      <c r="I24" s="26" t="inlineStr">
        <is>
          <t>Good finish</t>
        </is>
      </c>
      <c r="J24" s="26" t="inlineStr">
        <is>
          <t>Yes</t>
        </is>
      </c>
      <c r="K24" s="27" t="n"/>
      <c r="L24" s="28" t="inlineStr">
        <is>
          <t>No</t>
        </is>
      </c>
      <c r="M24" s="29">
        <f>IF(E24="","",IF(H24="Yes","❌ Disc",IF(G24="No","⚠ Missing",IF(J24="Yes","✓ OK","⚠ Check"))))</f>
        <v/>
      </c>
      <c r="N24" s="43" t="n">
        <v>46139</v>
      </c>
      <c r="O24" s="26" t="inlineStr">
        <is>
          <t>Sunil CR</t>
        </is>
      </c>
      <c r="P24" s="26" t="inlineStr">
        <is>
          <t>Yes</t>
        </is>
      </c>
      <c r="Q24" s="26" t="inlineStr">
        <is>
          <t>No</t>
        </is>
      </c>
      <c r="R24" s="26" t="inlineStr">
        <is>
          <t>Good finish</t>
        </is>
      </c>
      <c r="S24" s="26" t="inlineStr">
        <is>
          <t>Yes</t>
        </is>
      </c>
      <c r="T24" s="27" t="n"/>
      <c r="U24" s="28" t="inlineStr">
        <is>
          <t>No</t>
        </is>
      </c>
      <c r="V24" s="29">
        <f>IF(N24="","",IF(Q24="Yes","❌ Disc",IF(P24="No","⚠ Missing",IF(S24="Yes","✓ OK","⚠ Check"))))</f>
        <v/>
      </c>
      <c r="W24" s="65" t="n">
        <v>46248</v>
      </c>
      <c r="X24" s="30" t="inlineStr">
        <is>
          <t>Sunil CR</t>
        </is>
      </c>
      <c r="Y24" s="30" t="inlineStr">
        <is>
          <t>Yes</t>
        </is>
      </c>
      <c r="Z24" s="30" t="n"/>
      <c r="AA24" s="30" t="inlineStr">
        <is>
          <t>Good finish</t>
        </is>
      </c>
      <c r="AB24" s="30" t="inlineStr">
        <is>
          <t>Yes</t>
        </is>
      </c>
      <c r="AC24" s="27" t="n"/>
      <c r="AD24" s="31" t="inlineStr">
        <is>
          <t>No</t>
        </is>
      </c>
      <c r="AE24" s="32">
        <f>IF(W24="","",IF(Z24="Yes","❌ Disc",IF(Y24="No","⚠ Missing",IF(AB24="Yes","✓ OK","⚠ Check"))))</f>
        <v/>
      </c>
      <c r="AF24" s="33" t="n"/>
      <c r="AG24" s="33" t="n"/>
      <c r="AH24" s="33" t="n"/>
      <c r="AI24" s="33" t="n"/>
      <c r="AJ24" s="33" t="n"/>
      <c r="AK24" s="33" t="n"/>
      <c r="AL24" s="27" t="n"/>
      <c r="AM24" s="34" t="n"/>
      <c r="AN24" s="35">
        <f>IF(AF24="","",IF(AI24="Yes","❌ Disc",IF(AH24="No","⚠ Missing",IF(AK24="Yes","✓ OK","⚠ Check"))))</f>
        <v/>
      </c>
      <c r="AO24" s="36" t="n"/>
      <c r="AP24" s="36" t="n"/>
      <c r="AQ24" s="36" t="n"/>
      <c r="AR24" s="36" t="n"/>
      <c r="AS24" s="36" t="n"/>
      <c r="AT24" s="36" t="n"/>
      <c r="AU24" s="27" t="n"/>
      <c r="AV24" s="37" t="n"/>
      <c r="AW24" s="38">
        <f>IF(AO24="","",IF(AR24="Yes","❌ Disc",IF(AQ24="No","⚠ Missing",IF(AT24="Yes","✓ OK","⚠ Check"))))</f>
        <v/>
      </c>
    </row>
    <row r="25" ht="18" customHeight="1" s="46">
      <c r="A25" s="23" t="n">
        <v>21</v>
      </c>
      <c r="B25" s="24" t="inlineStr">
        <is>
          <t>Fog Grey Velvet_S10A</t>
        </is>
      </c>
      <c r="C25" s="25" t="inlineStr">
        <is>
          <t>Bonito SCB - Fabric Swatches - Fog Grey Velvet</t>
        </is>
      </c>
      <c r="D25" s="23" t="inlineStr">
        <is>
          <t>Aadeshwar</t>
        </is>
      </c>
      <c r="E25" s="43" t="n">
        <v>46125</v>
      </c>
      <c r="F25" s="26" t="inlineStr">
        <is>
          <t>Sunil CR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Good finish</t>
        </is>
      </c>
      <c r="J25" s="26" t="inlineStr">
        <is>
          <t>Yes</t>
        </is>
      </c>
      <c r="K25" s="27" t="n"/>
      <c r="L25" s="28" t="inlineStr">
        <is>
          <t>No</t>
        </is>
      </c>
      <c r="M25" s="29">
        <f>IF(E25="","",IF(H25="Yes","❌ Disc",IF(G25="No","⚠ Missing",IF(J25="Yes","✓ OK","⚠ Check"))))</f>
        <v/>
      </c>
      <c r="N25" s="43" t="n">
        <v>46139</v>
      </c>
      <c r="O25" s="26" t="inlineStr">
        <is>
          <t>Sunil CR</t>
        </is>
      </c>
      <c r="P25" s="26" t="inlineStr">
        <is>
          <t>Yes</t>
        </is>
      </c>
      <c r="Q25" s="26" t="inlineStr">
        <is>
          <t>No</t>
        </is>
      </c>
      <c r="R25" s="26" t="inlineStr">
        <is>
          <t>Good finish</t>
        </is>
      </c>
      <c r="S25" s="26" t="inlineStr">
        <is>
          <t>Yes</t>
        </is>
      </c>
      <c r="T25" s="27" t="n"/>
      <c r="U25" s="28" t="inlineStr">
        <is>
          <t>No</t>
        </is>
      </c>
      <c r="V25" s="29">
        <f>IF(N25="","",IF(Q25="Yes","❌ Disc",IF(P25="No","⚠ Missing",IF(S25="Yes","✓ OK","⚠ Check"))))</f>
        <v/>
      </c>
      <c r="W25" s="65" t="n">
        <v>46248</v>
      </c>
      <c r="X25" s="30" t="inlineStr">
        <is>
          <t>Sunil CR</t>
        </is>
      </c>
      <c r="Y25" s="30" t="inlineStr">
        <is>
          <t>Yes</t>
        </is>
      </c>
      <c r="Z25" s="30" t="n"/>
      <c r="AA25" s="30" t="inlineStr">
        <is>
          <t>Good finish</t>
        </is>
      </c>
      <c r="AB25" s="30" t="inlineStr">
        <is>
          <t>Yes</t>
        </is>
      </c>
      <c r="AC25" s="27" t="n"/>
      <c r="AD25" s="31" t="inlineStr">
        <is>
          <t>No</t>
        </is>
      </c>
      <c r="AE25" s="32">
        <f>IF(W25="","",IF(Z25="Yes","❌ Disc",IF(Y25="No","⚠ Missing",IF(AB25="Yes","✓ OK","⚠ Check"))))</f>
        <v/>
      </c>
      <c r="AF25" s="33" t="n"/>
      <c r="AG25" s="33" t="n"/>
      <c r="AH25" s="33" t="n"/>
      <c r="AI25" s="33" t="n"/>
      <c r="AJ25" s="33" t="n"/>
      <c r="AK25" s="33" t="n"/>
      <c r="AL25" s="27" t="n"/>
      <c r="AM25" s="34" t="n"/>
      <c r="AN25" s="35">
        <f>IF(AF25="","",IF(AI25="Yes","❌ Disc",IF(AH25="No","⚠ Missing",IF(AK25="Yes","✓ OK","⚠ Check"))))</f>
        <v/>
      </c>
      <c r="AO25" s="36" t="n"/>
      <c r="AP25" s="36" t="n"/>
      <c r="AQ25" s="36" t="n"/>
      <c r="AR25" s="36" t="n"/>
      <c r="AS25" s="36" t="n"/>
      <c r="AT25" s="36" t="n"/>
      <c r="AU25" s="27" t="n"/>
      <c r="AV25" s="37" t="n"/>
      <c r="AW25" s="38">
        <f>IF(AO25="","",IF(AR25="Yes","❌ Disc",IF(AQ25="No","⚠ Missing",IF(AT25="Yes","✓ OK","⚠ Check"))))</f>
        <v/>
      </c>
    </row>
    <row r="26" ht="18" customHeight="1" s="46">
      <c r="A26" s="39" t="n">
        <v>22</v>
      </c>
      <c r="B26" s="40" t="inlineStr">
        <is>
          <t>Forest Green Velvet_S4</t>
        </is>
      </c>
      <c r="C26" s="41" t="inlineStr">
        <is>
          <t>Bonito SCB - Fabric Swatches - Forest Green Velvet</t>
        </is>
      </c>
      <c r="D26" s="39" t="inlineStr">
        <is>
          <t>Aadeshwar</t>
        </is>
      </c>
      <c r="E26" s="43" t="n">
        <v>46125</v>
      </c>
      <c r="F26" s="26" t="inlineStr">
        <is>
          <t>Sunil CR</t>
        </is>
      </c>
      <c r="G26" s="26" t="inlineStr">
        <is>
          <t>Yes</t>
        </is>
      </c>
      <c r="H26" s="26" t="inlineStr">
        <is>
          <t>No</t>
        </is>
      </c>
      <c r="I26" s="26" t="inlineStr">
        <is>
          <t>Good finish</t>
        </is>
      </c>
      <c r="J26" s="26" t="inlineStr">
        <is>
          <t>Yes</t>
        </is>
      </c>
      <c r="K26" s="27" t="n"/>
      <c r="L26" s="28" t="inlineStr">
        <is>
          <t>No</t>
        </is>
      </c>
      <c r="M26" s="29">
        <f>IF(E26="","",IF(H26="Yes","❌ Disc",IF(G26="No","⚠ Missing",IF(J26="Yes","✓ OK","⚠ Check"))))</f>
        <v/>
      </c>
      <c r="N26" s="43" t="n">
        <v>46139</v>
      </c>
      <c r="O26" s="26" t="inlineStr">
        <is>
          <t>Sunil CR</t>
        </is>
      </c>
      <c r="P26" s="26" t="inlineStr">
        <is>
          <t>Yes</t>
        </is>
      </c>
      <c r="Q26" s="26" t="inlineStr">
        <is>
          <t>No</t>
        </is>
      </c>
      <c r="R26" s="26" t="inlineStr">
        <is>
          <t>Good finish</t>
        </is>
      </c>
      <c r="S26" s="26" t="inlineStr">
        <is>
          <t>Yes</t>
        </is>
      </c>
      <c r="T26" s="27" t="n"/>
      <c r="U26" s="28" t="inlineStr">
        <is>
          <t>No</t>
        </is>
      </c>
      <c r="V26" s="29">
        <f>IF(N26="","",IF(Q26="Yes","❌ Disc",IF(P26="No","⚠ Missing",IF(S26="Yes","✓ OK","⚠ Check"))))</f>
        <v/>
      </c>
      <c r="W26" s="65" t="n">
        <v>46248</v>
      </c>
      <c r="X26" s="30" t="inlineStr">
        <is>
          <t>Sunil CR</t>
        </is>
      </c>
      <c r="Y26" s="30" t="inlineStr">
        <is>
          <t>Yes</t>
        </is>
      </c>
      <c r="Z26" s="30" t="n"/>
      <c r="AA26" s="30" t="inlineStr">
        <is>
          <t>Good finish</t>
        </is>
      </c>
      <c r="AB26" s="30" t="inlineStr">
        <is>
          <t>Yes</t>
        </is>
      </c>
      <c r="AC26" s="27" t="n"/>
      <c r="AD26" s="31" t="inlineStr">
        <is>
          <t>No</t>
        </is>
      </c>
      <c r="AE26" s="32">
        <f>IF(W26="","",IF(Z26="Yes","❌ Disc",IF(Y26="No","⚠ Missing",IF(AB26="Yes","✓ OK","⚠ Check"))))</f>
        <v/>
      </c>
      <c r="AF26" s="33" t="n"/>
      <c r="AG26" s="33" t="n"/>
      <c r="AH26" s="33" t="n"/>
      <c r="AI26" s="33" t="n"/>
      <c r="AJ26" s="33" t="n"/>
      <c r="AK26" s="33" t="n"/>
      <c r="AL26" s="27" t="n"/>
      <c r="AM26" s="34" t="n"/>
      <c r="AN26" s="35">
        <f>IF(AF26="","",IF(AI26="Yes","❌ Disc",IF(AH26="No","⚠ Missing",IF(AK26="Yes","✓ OK","⚠ Check"))))</f>
        <v/>
      </c>
      <c r="AO26" s="36" t="n"/>
      <c r="AP26" s="36" t="n"/>
      <c r="AQ26" s="36" t="n"/>
      <c r="AR26" s="36" t="n"/>
      <c r="AS26" s="36" t="n"/>
      <c r="AT26" s="36" t="n"/>
      <c r="AU26" s="27" t="n"/>
      <c r="AV26" s="37" t="n"/>
      <c r="AW26" s="38">
        <f>IF(AO26="","",IF(AR26="Yes","❌ Disc",IF(AQ26="No","⚠ Missing",IF(AT26="Yes","✓ OK","⚠ Check"))))</f>
        <v/>
      </c>
    </row>
    <row r="27" ht="18" customHeight="1" s="46">
      <c r="A27" s="23" t="n">
        <v>23</v>
      </c>
      <c r="B27" s="24" t="inlineStr">
        <is>
          <t>Fossil Grey Velvet_S10</t>
        </is>
      </c>
      <c r="C27" s="25" t="inlineStr">
        <is>
          <t>Bonito SCB - Fabric Swatches - Fossil Grey Velvet</t>
        </is>
      </c>
      <c r="D27" s="23" t="inlineStr">
        <is>
          <t>Aadeshwar</t>
        </is>
      </c>
      <c r="E27" s="43" t="n">
        <v>46125</v>
      </c>
      <c r="F27" s="26" t="inlineStr">
        <is>
          <t>Sunil CR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Good finish</t>
        </is>
      </c>
      <c r="J27" s="26" t="inlineStr">
        <is>
          <t>Yes</t>
        </is>
      </c>
      <c r="K27" s="27" t="n"/>
      <c r="L27" s="28" t="inlineStr">
        <is>
          <t>No</t>
        </is>
      </c>
      <c r="M27" s="29">
        <f>IF(E27="","",IF(H27="Yes","❌ Disc",IF(G27="No","⚠ Missing",IF(J27="Yes","✓ OK","⚠ Check"))))</f>
        <v/>
      </c>
      <c r="N27" s="43" t="n">
        <v>46139</v>
      </c>
      <c r="O27" s="26" t="inlineStr">
        <is>
          <t>Sunil CR</t>
        </is>
      </c>
      <c r="P27" s="26" t="inlineStr">
        <is>
          <t>Yes</t>
        </is>
      </c>
      <c r="Q27" s="26" t="inlineStr">
        <is>
          <t>No</t>
        </is>
      </c>
      <c r="R27" s="26" t="inlineStr">
        <is>
          <t>Good finish</t>
        </is>
      </c>
      <c r="S27" s="26" t="inlineStr">
        <is>
          <t>Yes</t>
        </is>
      </c>
      <c r="T27" s="27" t="n"/>
      <c r="U27" s="28" t="inlineStr">
        <is>
          <t>No</t>
        </is>
      </c>
      <c r="V27" s="29">
        <f>IF(N27="","",IF(Q27="Yes","❌ Disc",IF(P27="No","⚠ Missing",IF(S27="Yes","✓ OK","⚠ Check"))))</f>
        <v/>
      </c>
      <c r="W27" s="65" t="n">
        <v>46248</v>
      </c>
      <c r="X27" s="30" t="inlineStr">
        <is>
          <t>Sunil CR</t>
        </is>
      </c>
      <c r="Y27" s="30" t="inlineStr">
        <is>
          <t>Yes</t>
        </is>
      </c>
      <c r="Z27" s="30" t="n"/>
      <c r="AA27" s="30" t="inlineStr">
        <is>
          <t>Good finish</t>
        </is>
      </c>
      <c r="AB27" s="30" t="inlineStr">
        <is>
          <t>Yes</t>
        </is>
      </c>
      <c r="AC27" s="27" t="n"/>
      <c r="AD27" s="31" t="inlineStr">
        <is>
          <t>No</t>
        </is>
      </c>
      <c r="AE27" s="32">
        <f>IF(W27="","",IF(Z27="Yes","❌ Disc",IF(Y27="No","⚠ Missing",IF(AB27="Yes","✓ OK","⚠ Check"))))</f>
        <v/>
      </c>
      <c r="AF27" s="33" t="n"/>
      <c r="AG27" s="33" t="n"/>
      <c r="AH27" s="33" t="n"/>
      <c r="AI27" s="33" t="n"/>
      <c r="AJ27" s="33" t="n"/>
      <c r="AK27" s="33" t="n"/>
      <c r="AL27" s="27" t="n"/>
      <c r="AM27" s="34" t="n"/>
      <c r="AN27" s="35">
        <f>IF(AF27="","",IF(AI27="Yes","❌ Disc",IF(AH27="No","⚠ Missing",IF(AK27="Yes","✓ OK","⚠ Check"))))</f>
        <v/>
      </c>
      <c r="AO27" s="36" t="n"/>
      <c r="AP27" s="36" t="n"/>
      <c r="AQ27" s="36" t="n"/>
      <c r="AR27" s="36" t="n"/>
      <c r="AS27" s="36" t="n"/>
      <c r="AT27" s="36" t="n"/>
      <c r="AU27" s="27" t="n"/>
      <c r="AV27" s="37" t="n"/>
      <c r="AW27" s="38">
        <f>IF(AO27="","",IF(AR27="Yes","❌ Disc",IF(AQ27="No","⚠ Missing",IF(AT27="Yes","✓ OK","⚠ Check"))))</f>
        <v/>
      </c>
    </row>
    <row r="28" ht="18" customHeight="1" s="46">
      <c r="A28" s="39" t="n">
        <v>24</v>
      </c>
      <c r="B28" s="40" t="inlineStr">
        <is>
          <t>Garnet Red Fabric_S48</t>
        </is>
      </c>
      <c r="C28" s="41" t="inlineStr">
        <is>
          <t>Bonito SCB - Fabric Swatches - Garnet Red Fabric</t>
        </is>
      </c>
      <c r="D28" s="39" t="inlineStr">
        <is>
          <t>Aadeshwar</t>
        </is>
      </c>
      <c r="E28" s="43" t="n">
        <v>46125</v>
      </c>
      <c r="F28" s="26" t="inlineStr">
        <is>
          <t>Sunil CR</t>
        </is>
      </c>
      <c r="G28" s="26" t="inlineStr">
        <is>
          <t>Yes</t>
        </is>
      </c>
      <c r="H28" s="26" t="inlineStr">
        <is>
          <t>No</t>
        </is>
      </c>
      <c r="I28" s="26" t="inlineStr">
        <is>
          <t>Good finish</t>
        </is>
      </c>
      <c r="J28" s="26" t="inlineStr">
        <is>
          <t>Yes</t>
        </is>
      </c>
      <c r="K28" s="27" t="n"/>
      <c r="L28" s="28" t="inlineStr">
        <is>
          <t>No</t>
        </is>
      </c>
      <c r="M28" s="29">
        <f>IF(E28="","",IF(H28="Yes","❌ Disc",IF(G28="No","⚠ Missing",IF(J28="Yes","✓ OK","⚠ Check"))))</f>
        <v/>
      </c>
      <c r="N28" s="43" t="n">
        <v>46139</v>
      </c>
      <c r="O28" s="26" t="inlineStr">
        <is>
          <t>Sunil CR</t>
        </is>
      </c>
      <c r="P28" s="26" t="inlineStr">
        <is>
          <t>Yes</t>
        </is>
      </c>
      <c r="Q28" s="26" t="inlineStr">
        <is>
          <t>No</t>
        </is>
      </c>
      <c r="R28" s="26" t="inlineStr">
        <is>
          <t>Good finish</t>
        </is>
      </c>
      <c r="S28" s="26" t="inlineStr">
        <is>
          <t>Yes</t>
        </is>
      </c>
      <c r="T28" s="27" t="n"/>
      <c r="U28" s="28" t="inlineStr">
        <is>
          <t>No</t>
        </is>
      </c>
      <c r="V28" s="29">
        <f>IF(N28="","",IF(Q28="Yes","❌ Disc",IF(P28="No","⚠ Missing",IF(S28="Yes","✓ OK","⚠ Check"))))</f>
        <v/>
      </c>
      <c r="W28" s="65" t="n">
        <v>46248</v>
      </c>
      <c r="X28" s="30" t="inlineStr">
        <is>
          <t>Sunil CR</t>
        </is>
      </c>
      <c r="Y28" s="30" t="inlineStr">
        <is>
          <t>Yes</t>
        </is>
      </c>
      <c r="Z28" s="30" t="n"/>
      <c r="AA28" s="30" t="inlineStr">
        <is>
          <t>Good finish</t>
        </is>
      </c>
      <c r="AB28" s="30" t="inlineStr">
        <is>
          <t>Yes</t>
        </is>
      </c>
      <c r="AC28" s="27" t="n"/>
      <c r="AD28" s="31" t="inlineStr">
        <is>
          <t>No</t>
        </is>
      </c>
      <c r="AE28" s="32">
        <f>IF(W28="","",IF(Z28="Yes","❌ Disc",IF(Y28="No","⚠ Missing",IF(AB28="Yes","✓ OK","⚠ Check"))))</f>
        <v/>
      </c>
      <c r="AF28" s="33" t="n"/>
      <c r="AG28" s="33" t="n"/>
      <c r="AH28" s="33" t="n"/>
      <c r="AI28" s="33" t="n"/>
      <c r="AJ28" s="33" t="n"/>
      <c r="AK28" s="33" t="n"/>
      <c r="AL28" s="27" t="n"/>
      <c r="AM28" s="34" t="n"/>
      <c r="AN28" s="35">
        <f>IF(AF28="","",IF(AI28="Yes","❌ Disc",IF(AH28="No","⚠ Missing",IF(AK28="Yes","✓ OK","⚠ Check"))))</f>
        <v/>
      </c>
      <c r="AO28" s="36" t="n"/>
      <c r="AP28" s="36" t="n"/>
      <c r="AQ28" s="36" t="n"/>
      <c r="AR28" s="36" t="n"/>
      <c r="AS28" s="36" t="n"/>
      <c r="AT28" s="36" t="n"/>
      <c r="AU28" s="27" t="n"/>
      <c r="AV28" s="37" t="n"/>
      <c r="AW28" s="38">
        <f>IF(AO28="","",IF(AR28="Yes","❌ Disc",IF(AQ28="No","⚠ Missing",IF(AT28="Yes","✓ OK","⚠ Check"))))</f>
        <v/>
      </c>
    </row>
    <row r="29" ht="18" customHeight="1" s="46">
      <c r="A29" s="23" t="n">
        <v>25</v>
      </c>
      <c r="B29" s="24" t="inlineStr">
        <is>
          <t>Ice Blue Fabric_S33</t>
        </is>
      </c>
      <c r="C29" s="25" t="inlineStr">
        <is>
          <t>Bonito SCB - Fabric Swatches - Ice Blue Fabric</t>
        </is>
      </c>
      <c r="D29" s="23" t="inlineStr">
        <is>
          <t>Aadeshwar</t>
        </is>
      </c>
      <c r="E29" s="43" t="n">
        <v>46125</v>
      </c>
      <c r="F29" s="26" t="inlineStr">
        <is>
          <t>Sunil CR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Good finish</t>
        </is>
      </c>
      <c r="J29" s="26" t="inlineStr">
        <is>
          <t>Yes</t>
        </is>
      </c>
      <c r="K29" s="27" t="n"/>
      <c r="L29" s="28" t="inlineStr">
        <is>
          <t>No</t>
        </is>
      </c>
      <c r="M29" s="29">
        <f>IF(E29="","",IF(H29="Yes","❌ Disc",IF(G29="No","⚠ Missing",IF(J29="Yes","✓ OK","⚠ Check"))))</f>
        <v/>
      </c>
      <c r="N29" s="43" t="n">
        <v>46139</v>
      </c>
      <c r="O29" s="26" t="inlineStr">
        <is>
          <t>Sunil CR</t>
        </is>
      </c>
      <c r="P29" s="26" t="inlineStr">
        <is>
          <t>Yes</t>
        </is>
      </c>
      <c r="Q29" s="26" t="inlineStr">
        <is>
          <t>No</t>
        </is>
      </c>
      <c r="R29" s="26" t="inlineStr">
        <is>
          <t>Good finish</t>
        </is>
      </c>
      <c r="S29" s="26" t="inlineStr">
        <is>
          <t>Yes</t>
        </is>
      </c>
      <c r="T29" s="27" t="n"/>
      <c r="U29" s="28" t="inlineStr">
        <is>
          <t>No</t>
        </is>
      </c>
      <c r="V29" s="29">
        <f>IF(N29="","",IF(Q29="Yes","❌ Disc",IF(P29="No","⚠ Missing",IF(S29="Yes","✓ OK","⚠ Check"))))</f>
        <v/>
      </c>
      <c r="W29" s="65" t="n">
        <v>46248</v>
      </c>
      <c r="X29" s="30" t="inlineStr">
        <is>
          <t>Sunil CR</t>
        </is>
      </c>
      <c r="Y29" s="30" t="inlineStr">
        <is>
          <t>Yes</t>
        </is>
      </c>
      <c r="Z29" s="30" t="n"/>
      <c r="AA29" s="30" t="inlineStr">
        <is>
          <t>Good finish</t>
        </is>
      </c>
      <c r="AB29" s="30" t="inlineStr">
        <is>
          <t>Yes</t>
        </is>
      </c>
      <c r="AC29" s="27" t="n"/>
      <c r="AD29" s="31" t="inlineStr">
        <is>
          <t>No</t>
        </is>
      </c>
      <c r="AE29" s="32">
        <f>IF(W29="","",IF(Z29="Yes","❌ Disc",IF(Y29="No","⚠ Missing",IF(AB29="Yes","✓ OK","⚠ Check"))))</f>
        <v/>
      </c>
      <c r="AF29" s="33" t="n"/>
      <c r="AG29" s="33" t="n"/>
      <c r="AH29" s="33" t="n"/>
      <c r="AI29" s="33" t="n"/>
      <c r="AJ29" s="33" t="n"/>
      <c r="AK29" s="33" t="n"/>
      <c r="AL29" s="27" t="n"/>
      <c r="AM29" s="34" t="n"/>
      <c r="AN29" s="35">
        <f>IF(AF29="","",IF(AI29="Yes","❌ Disc",IF(AH29="No","⚠ Missing",IF(AK29="Yes","✓ OK","⚠ Check"))))</f>
        <v/>
      </c>
      <c r="AO29" s="36" t="n"/>
      <c r="AP29" s="36" t="n"/>
      <c r="AQ29" s="36" t="n"/>
      <c r="AR29" s="36" t="n"/>
      <c r="AS29" s="36" t="n"/>
      <c r="AT29" s="36" t="n"/>
      <c r="AU29" s="27" t="n"/>
      <c r="AV29" s="37" t="n"/>
      <c r="AW29" s="38">
        <f>IF(AO29="","",IF(AR29="Yes","❌ Disc",IF(AQ29="No","⚠ Missing",IF(AT29="Yes","✓ OK","⚠ Check"))))</f>
        <v/>
      </c>
    </row>
    <row r="30" ht="18" customHeight="1" s="46">
      <c r="A30" s="39" t="n">
        <v>26</v>
      </c>
      <c r="B30" s="40" t="inlineStr">
        <is>
          <t>Light Gold Velvet_S24</t>
        </is>
      </c>
      <c r="C30" s="41" t="inlineStr">
        <is>
          <t>Bonito SCB - Fabric Swatches - Light Gold Velvet</t>
        </is>
      </c>
      <c r="D30" s="39" t="inlineStr">
        <is>
          <t>Aadeshwar</t>
        </is>
      </c>
      <c r="E30" s="43" t="n">
        <v>46125</v>
      </c>
      <c r="F30" s="26" t="inlineStr">
        <is>
          <t>Sunil CR</t>
        </is>
      </c>
      <c r="G30" s="26" t="inlineStr">
        <is>
          <t>Yes</t>
        </is>
      </c>
      <c r="H30" s="26" t="inlineStr">
        <is>
          <t>No</t>
        </is>
      </c>
      <c r="I30" s="26" t="inlineStr">
        <is>
          <t>Good finish</t>
        </is>
      </c>
      <c r="J30" s="26" t="inlineStr">
        <is>
          <t>Yes</t>
        </is>
      </c>
      <c r="K30" s="27" t="n"/>
      <c r="L30" s="28" t="inlineStr">
        <is>
          <t>No</t>
        </is>
      </c>
      <c r="M30" s="29">
        <f>IF(E30="","",IF(H30="Yes","❌ Disc",IF(G30="No","⚠ Missing",IF(J30="Yes","✓ OK","⚠ Check"))))</f>
        <v/>
      </c>
      <c r="N30" s="43" t="n">
        <v>46139</v>
      </c>
      <c r="O30" s="26" t="inlineStr">
        <is>
          <t>Sunil CR</t>
        </is>
      </c>
      <c r="P30" s="26" t="inlineStr">
        <is>
          <t>Yes</t>
        </is>
      </c>
      <c r="Q30" s="26" t="inlineStr">
        <is>
          <t>No</t>
        </is>
      </c>
      <c r="R30" s="26" t="inlineStr">
        <is>
          <t>Good finish</t>
        </is>
      </c>
      <c r="S30" s="26" t="inlineStr">
        <is>
          <t>Yes</t>
        </is>
      </c>
      <c r="T30" s="27" t="n"/>
      <c r="U30" s="28" t="inlineStr">
        <is>
          <t>No</t>
        </is>
      </c>
      <c r="V30" s="29">
        <f>IF(N30="","",IF(Q30="Yes","❌ Disc",IF(P30="No","⚠ Missing",IF(S30="Yes","✓ OK","⚠ Check"))))</f>
        <v/>
      </c>
      <c r="W30" s="65" t="n">
        <v>46248</v>
      </c>
      <c r="X30" s="30" t="inlineStr">
        <is>
          <t>Sunil CR</t>
        </is>
      </c>
      <c r="Y30" s="30" t="inlineStr">
        <is>
          <t>Yes</t>
        </is>
      </c>
      <c r="Z30" s="30" t="n"/>
      <c r="AA30" s="30" t="inlineStr">
        <is>
          <t>Good finish</t>
        </is>
      </c>
      <c r="AB30" s="30" t="inlineStr">
        <is>
          <t>Yes</t>
        </is>
      </c>
      <c r="AC30" s="27" t="n"/>
      <c r="AD30" s="31" t="inlineStr">
        <is>
          <t>No</t>
        </is>
      </c>
      <c r="AE30" s="32">
        <f>IF(W30="","",IF(Z30="Yes","❌ Disc",IF(Y30="No","⚠ Missing",IF(AB30="Yes","✓ OK","⚠ Check"))))</f>
        <v/>
      </c>
      <c r="AF30" s="33" t="n"/>
      <c r="AG30" s="33" t="n"/>
      <c r="AH30" s="33" t="n"/>
      <c r="AI30" s="33" t="n"/>
      <c r="AJ30" s="33" t="n"/>
      <c r="AK30" s="33" t="n"/>
      <c r="AL30" s="27" t="n"/>
      <c r="AM30" s="34" t="n"/>
      <c r="AN30" s="35">
        <f>IF(AF30="","",IF(AI30="Yes","❌ Disc",IF(AH30="No","⚠ Missing",IF(AK30="Yes","✓ OK","⚠ Check"))))</f>
        <v/>
      </c>
      <c r="AO30" s="36" t="n"/>
      <c r="AP30" s="36" t="n"/>
      <c r="AQ30" s="36" t="n"/>
      <c r="AR30" s="36" t="n"/>
      <c r="AS30" s="36" t="n"/>
      <c r="AT30" s="36" t="n"/>
      <c r="AU30" s="27" t="n"/>
      <c r="AV30" s="37" t="n"/>
      <c r="AW30" s="38">
        <f>IF(AO30="","",IF(AR30="Yes","❌ Disc",IF(AQ30="No","⚠ Missing",IF(AT30="Yes","✓ OK","⚠ Check"))))</f>
        <v/>
      </c>
    </row>
    <row r="31" ht="18" customHeight="1" s="46">
      <c r="A31" s="23" t="n">
        <v>27</v>
      </c>
      <c r="B31" s="24" t="inlineStr">
        <is>
          <t>Military Green Velvet_S17</t>
        </is>
      </c>
      <c r="C31" s="25" t="inlineStr">
        <is>
          <t>Bonito SCB - Fabric Swatches - Military Green Velvet</t>
        </is>
      </c>
      <c r="D31" s="23" t="inlineStr">
        <is>
          <t>Aadeshwar</t>
        </is>
      </c>
      <c r="E31" s="43" t="n">
        <v>46125</v>
      </c>
      <c r="F31" s="26" t="inlineStr">
        <is>
          <t>Sunil CR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Good finish</t>
        </is>
      </c>
      <c r="J31" s="26" t="inlineStr">
        <is>
          <t>Yes</t>
        </is>
      </c>
      <c r="K31" s="27" t="n"/>
      <c r="L31" s="28" t="inlineStr">
        <is>
          <t>No</t>
        </is>
      </c>
      <c r="M31" s="29">
        <f>IF(E31="","",IF(H31="Yes","❌ Disc",IF(G31="No","⚠ Missing",IF(J31="Yes","✓ OK","⚠ Check"))))</f>
        <v/>
      </c>
      <c r="N31" s="43" t="n">
        <v>46139</v>
      </c>
      <c r="O31" s="26" t="inlineStr">
        <is>
          <t>Sunil CR</t>
        </is>
      </c>
      <c r="P31" s="26" t="inlineStr">
        <is>
          <t>Yes</t>
        </is>
      </c>
      <c r="Q31" s="26" t="inlineStr">
        <is>
          <t>No</t>
        </is>
      </c>
      <c r="R31" s="26" t="inlineStr">
        <is>
          <t>Good finish</t>
        </is>
      </c>
      <c r="S31" s="26" t="inlineStr">
        <is>
          <t>Yes</t>
        </is>
      </c>
      <c r="T31" s="27" t="n"/>
      <c r="U31" s="28" t="inlineStr">
        <is>
          <t>No</t>
        </is>
      </c>
      <c r="V31" s="29">
        <f>IF(N31="","",IF(Q31="Yes","❌ Disc",IF(P31="No","⚠ Missing",IF(S31="Yes","✓ OK","⚠ Check"))))</f>
        <v/>
      </c>
      <c r="W31" s="65" t="n">
        <v>46248</v>
      </c>
      <c r="X31" s="30" t="inlineStr">
        <is>
          <t>Sunil CR</t>
        </is>
      </c>
      <c r="Y31" s="30" t="inlineStr">
        <is>
          <t>Yes</t>
        </is>
      </c>
      <c r="Z31" s="30" t="n"/>
      <c r="AA31" s="30" t="inlineStr">
        <is>
          <t>Good finish</t>
        </is>
      </c>
      <c r="AB31" s="30" t="inlineStr">
        <is>
          <t>Yes</t>
        </is>
      </c>
      <c r="AC31" s="27" t="n"/>
      <c r="AD31" s="31" t="inlineStr">
        <is>
          <t>No</t>
        </is>
      </c>
      <c r="AE31" s="32">
        <f>IF(W31="","",IF(Z31="Yes","❌ Disc",IF(Y31="No","⚠ Missing",IF(AB31="Yes","✓ OK","⚠ Check"))))</f>
        <v/>
      </c>
      <c r="AF31" s="33" t="n"/>
      <c r="AG31" s="33" t="n"/>
      <c r="AH31" s="33" t="n"/>
      <c r="AI31" s="33" t="n"/>
      <c r="AJ31" s="33" t="n"/>
      <c r="AK31" s="33" t="n"/>
      <c r="AL31" s="27" t="n"/>
      <c r="AM31" s="34" t="n"/>
      <c r="AN31" s="35">
        <f>IF(AF31="","",IF(AI31="Yes","❌ Disc",IF(AH31="No","⚠ Missing",IF(AK31="Yes","✓ OK","⚠ Check"))))</f>
        <v/>
      </c>
      <c r="AO31" s="36" t="n"/>
      <c r="AP31" s="36" t="n"/>
      <c r="AQ31" s="36" t="n"/>
      <c r="AR31" s="36" t="n"/>
      <c r="AS31" s="36" t="n"/>
      <c r="AT31" s="36" t="n"/>
      <c r="AU31" s="27" t="n"/>
      <c r="AV31" s="37" t="n"/>
      <c r="AW31" s="38">
        <f>IF(AO31="","",IF(AR31="Yes","❌ Disc",IF(AQ31="No","⚠ Missing",IF(AT31="Yes","✓ OK","⚠ Check"))))</f>
        <v/>
      </c>
    </row>
    <row r="32" ht="18" customHeight="1" s="46">
      <c r="A32" s="39" t="n">
        <v>28</v>
      </c>
      <c r="B32" s="40" t="inlineStr">
        <is>
          <t>Mint Green Fabric_S42</t>
        </is>
      </c>
      <c r="C32" s="41" t="inlineStr">
        <is>
          <t>Bonito SCB - Fabric Swatches - Mint Green Fabric</t>
        </is>
      </c>
      <c r="D32" s="39" t="inlineStr">
        <is>
          <t>Aadeshwar</t>
        </is>
      </c>
      <c r="E32" s="43" t="n">
        <v>46125</v>
      </c>
      <c r="F32" s="26" t="inlineStr">
        <is>
          <t>Sunil CR</t>
        </is>
      </c>
      <c r="G32" s="26" t="inlineStr">
        <is>
          <t>Yes</t>
        </is>
      </c>
      <c r="H32" s="26" t="inlineStr">
        <is>
          <t>No</t>
        </is>
      </c>
      <c r="I32" s="26" t="inlineStr">
        <is>
          <t>Good finish</t>
        </is>
      </c>
      <c r="J32" s="26" t="inlineStr">
        <is>
          <t>Yes</t>
        </is>
      </c>
      <c r="K32" s="27" t="n"/>
      <c r="L32" s="28" t="inlineStr">
        <is>
          <t>No</t>
        </is>
      </c>
      <c r="M32" s="29">
        <f>IF(E32="","",IF(H32="Yes","❌ Disc",IF(G32="No","⚠ Missing",IF(J32="Yes","✓ OK","⚠ Check"))))</f>
        <v/>
      </c>
      <c r="N32" s="43" t="n">
        <v>46139</v>
      </c>
      <c r="O32" s="26" t="inlineStr">
        <is>
          <t>Sunil CR</t>
        </is>
      </c>
      <c r="P32" s="26" t="inlineStr">
        <is>
          <t>Yes</t>
        </is>
      </c>
      <c r="Q32" s="26" t="inlineStr">
        <is>
          <t>No</t>
        </is>
      </c>
      <c r="R32" s="26" t="inlineStr">
        <is>
          <t>Good finish</t>
        </is>
      </c>
      <c r="S32" s="26" t="inlineStr">
        <is>
          <t>Yes</t>
        </is>
      </c>
      <c r="T32" s="27" t="n"/>
      <c r="U32" s="28" t="inlineStr">
        <is>
          <t>No</t>
        </is>
      </c>
      <c r="V32" s="29">
        <f>IF(N32="","",IF(Q32="Yes","❌ Disc",IF(P32="No","⚠ Missing",IF(S32="Yes","✓ OK","⚠ Check"))))</f>
        <v/>
      </c>
      <c r="W32" s="65" t="n">
        <v>46248</v>
      </c>
      <c r="X32" s="30" t="inlineStr">
        <is>
          <t>Sunil CR</t>
        </is>
      </c>
      <c r="Y32" s="30" t="inlineStr">
        <is>
          <t>Yes</t>
        </is>
      </c>
      <c r="Z32" s="30" t="n"/>
      <c r="AA32" s="30" t="inlineStr">
        <is>
          <t>Good finish</t>
        </is>
      </c>
      <c r="AB32" s="30" t="inlineStr">
        <is>
          <t>Yes</t>
        </is>
      </c>
      <c r="AC32" s="27" t="n"/>
      <c r="AD32" s="31" t="inlineStr">
        <is>
          <t>No</t>
        </is>
      </c>
      <c r="AE32" s="32">
        <f>IF(W32="","",IF(Z32="Yes","❌ Disc",IF(Y32="No","⚠ Missing",IF(AB32="Yes","✓ OK","⚠ Check"))))</f>
        <v/>
      </c>
      <c r="AF32" s="33" t="n"/>
      <c r="AG32" s="33" t="n"/>
      <c r="AH32" s="33" t="n"/>
      <c r="AI32" s="33" t="n"/>
      <c r="AJ32" s="33" t="n"/>
      <c r="AK32" s="33" t="n"/>
      <c r="AL32" s="27" t="n"/>
      <c r="AM32" s="34" t="n"/>
      <c r="AN32" s="35">
        <f>IF(AF32="","",IF(AI32="Yes","❌ Disc",IF(AH32="No","⚠ Missing",IF(AK32="Yes","✓ OK","⚠ Check"))))</f>
        <v/>
      </c>
      <c r="AO32" s="36" t="n"/>
      <c r="AP32" s="36" t="n"/>
      <c r="AQ32" s="36" t="n"/>
      <c r="AR32" s="36" t="n"/>
      <c r="AS32" s="36" t="n"/>
      <c r="AT32" s="36" t="n"/>
      <c r="AU32" s="27" t="n"/>
      <c r="AV32" s="37" t="n"/>
      <c r="AW32" s="38">
        <f>IF(AO32="","",IF(AR32="Yes","❌ Disc",IF(AQ32="No","⚠ Missing",IF(AT32="Yes","✓ OK","⚠ Check"))))</f>
        <v/>
      </c>
    </row>
    <row r="33" ht="18" customHeight="1" s="46">
      <c r="A33" s="23" t="n">
        <v>29</v>
      </c>
      <c r="B33" s="24" t="inlineStr">
        <is>
          <t>Mint Green-1 Velvet_S3</t>
        </is>
      </c>
      <c r="C33" s="25" t="inlineStr">
        <is>
          <t>Bonito SCB - Fabric Swatches - Mint Green-1 Velvet</t>
        </is>
      </c>
      <c r="D33" s="23" t="inlineStr">
        <is>
          <t>Aadeshwar</t>
        </is>
      </c>
      <c r="E33" s="43" t="n">
        <v>46125</v>
      </c>
      <c r="F33" s="26" t="inlineStr">
        <is>
          <t>Sunil CR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Good finish</t>
        </is>
      </c>
      <c r="J33" s="26" t="inlineStr">
        <is>
          <t>Yes</t>
        </is>
      </c>
      <c r="K33" s="27" t="n"/>
      <c r="L33" s="28" t="inlineStr">
        <is>
          <t>No</t>
        </is>
      </c>
      <c r="M33" s="29">
        <f>IF(E33="","",IF(H33="Yes","❌ Disc",IF(G33="No","⚠ Missing",IF(J33="Yes","✓ OK","⚠ Check"))))</f>
        <v/>
      </c>
      <c r="N33" s="43" t="n">
        <v>46139</v>
      </c>
      <c r="O33" s="26" t="inlineStr">
        <is>
          <t>Sunil CR</t>
        </is>
      </c>
      <c r="P33" s="26" t="inlineStr">
        <is>
          <t>Yes</t>
        </is>
      </c>
      <c r="Q33" s="26" t="inlineStr">
        <is>
          <t>No</t>
        </is>
      </c>
      <c r="R33" s="26" t="inlineStr">
        <is>
          <t>Good finish</t>
        </is>
      </c>
      <c r="S33" s="26" t="inlineStr">
        <is>
          <t>Yes</t>
        </is>
      </c>
      <c r="T33" s="27" t="n"/>
      <c r="U33" s="28" t="inlineStr">
        <is>
          <t>No</t>
        </is>
      </c>
      <c r="V33" s="29">
        <f>IF(N33="","",IF(Q33="Yes","❌ Disc",IF(P33="No","⚠ Missing",IF(S33="Yes","✓ OK","⚠ Check"))))</f>
        <v/>
      </c>
      <c r="W33" s="65" t="n">
        <v>46248</v>
      </c>
      <c r="X33" s="30" t="inlineStr">
        <is>
          <t>Sunil CR</t>
        </is>
      </c>
      <c r="Y33" s="30" t="inlineStr">
        <is>
          <t>Yes</t>
        </is>
      </c>
      <c r="Z33" s="30" t="n"/>
      <c r="AA33" s="30" t="inlineStr">
        <is>
          <t>Good finish</t>
        </is>
      </c>
      <c r="AB33" s="30" t="inlineStr">
        <is>
          <t>Yes</t>
        </is>
      </c>
      <c r="AC33" s="27" t="n"/>
      <c r="AD33" s="31" t="inlineStr">
        <is>
          <t>No</t>
        </is>
      </c>
      <c r="AE33" s="32">
        <f>IF(W33="","",IF(Z33="Yes","❌ Disc",IF(Y33="No","⚠ Missing",IF(AB33="Yes","✓ OK","⚠ Check"))))</f>
        <v/>
      </c>
      <c r="AF33" s="33" t="n"/>
      <c r="AG33" s="33" t="n"/>
      <c r="AH33" s="33" t="n"/>
      <c r="AI33" s="33" t="n"/>
      <c r="AJ33" s="33" t="n"/>
      <c r="AK33" s="33" t="n"/>
      <c r="AL33" s="27" t="n"/>
      <c r="AM33" s="34" t="n"/>
      <c r="AN33" s="35">
        <f>IF(AF33="","",IF(AI33="Yes","❌ Disc",IF(AH33="No","⚠ Missing",IF(AK33="Yes","✓ OK","⚠ Check"))))</f>
        <v/>
      </c>
      <c r="AO33" s="36" t="n"/>
      <c r="AP33" s="36" t="n"/>
      <c r="AQ33" s="36" t="n"/>
      <c r="AR33" s="36" t="n"/>
      <c r="AS33" s="36" t="n"/>
      <c r="AT33" s="36" t="n"/>
      <c r="AU33" s="27" t="n"/>
      <c r="AV33" s="37" t="n"/>
      <c r="AW33" s="38">
        <f>IF(AO33="","",IF(AR33="Yes","❌ Disc",IF(AQ33="No","⚠ Missing",IF(AT33="Yes","✓ OK","⚠ Check"))))</f>
        <v/>
      </c>
    </row>
    <row r="34" ht="18" customHeight="1" s="46">
      <c r="A34" s="39" t="n">
        <v>30</v>
      </c>
      <c r="B34" s="40" t="inlineStr">
        <is>
          <t>Mint Green-2 Velvet_S16</t>
        </is>
      </c>
      <c r="C34" s="41" t="inlineStr">
        <is>
          <t>Bonito SCB - Fabric Swatches - Mint Green-2 Velvet</t>
        </is>
      </c>
      <c r="D34" s="39" t="inlineStr">
        <is>
          <t>Aadeshwar</t>
        </is>
      </c>
      <c r="E34" s="43" t="n">
        <v>46125</v>
      </c>
      <c r="F34" s="26" t="inlineStr">
        <is>
          <t>Sunil CR</t>
        </is>
      </c>
      <c r="G34" s="26" t="inlineStr">
        <is>
          <t>Yes</t>
        </is>
      </c>
      <c r="H34" s="26" t="inlineStr">
        <is>
          <t>No</t>
        </is>
      </c>
      <c r="I34" s="26" t="inlineStr">
        <is>
          <t>Good finish</t>
        </is>
      </c>
      <c r="J34" s="26" t="inlineStr">
        <is>
          <t>Yes</t>
        </is>
      </c>
      <c r="K34" s="27" t="n"/>
      <c r="L34" s="28" t="inlineStr">
        <is>
          <t>No</t>
        </is>
      </c>
      <c r="M34" s="29">
        <f>IF(E34="","",IF(H34="Yes","❌ Disc",IF(G34="No","⚠ Missing",IF(J34="Yes","✓ OK","⚠ Check"))))</f>
        <v/>
      </c>
      <c r="N34" s="43" t="n">
        <v>46139</v>
      </c>
      <c r="O34" s="26" t="inlineStr">
        <is>
          <t>Sunil CR</t>
        </is>
      </c>
      <c r="P34" s="26" t="inlineStr">
        <is>
          <t>Yes</t>
        </is>
      </c>
      <c r="Q34" s="26" t="inlineStr">
        <is>
          <t>No</t>
        </is>
      </c>
      <c r="R34" s="26" t="inlineStr">
        <is>
          <t>Good finish</t>
        </is>
      </c>
      <c r="S34" s="26" t="inlineStr">
        <is>
          <t>Yes</t>
        </is>
      </c>
      <c r="T34" s="27" t="n"/>
      <c r="U34" s="28" t="inlineStr">
        <is>
          <t>No</t>
        </is>
      </c>
      <c r="V34" s="29">
        <f>IF(N34="","",IF(Q34="Yes","❌ Disc",IF(P34="No","⚠ Missing",IF(S34="Yes","✓ OK","⚠ Check"))))</f>
        <v/>
      </c>
      <c r="W34" s="65" t="n">
        <v>46248</v>
      </c>
      <c r="X34" s="30" t="inlineStr">
        <is>
          <t>Sunil CR</t>
        </is>
      </c>
      <c r="Y34" s="30" t="inlineStr">
        <is>
          <t>Yes</t>
        </is>
      </c>
      <c r="Z34" s="30" t="n"/>
      <c r="AA34" s="30" t="inlineStr">
        <is>
          <t>Good finish</t>
        </is>
      </c>
      <c r="AB34" s="30" t="inlineStr">
        <is>
          <t>Yes</t>
        </is>
      </c>
      <c r="AC34" s="27" t="n"/>
      <c r="AD34" s="31" t="inlineStr">
        <is>
          <t>No</t>
        </is>
      </c>
      <c r="AE34" s="32">
        <f>IF(W34="","",IF(Z34="Yes","❌ Disc",IF(Y34="No","⚠ Missing",IF(AB34="Yes","✓ OK","⚠ Check"))))</f>
        <v/>
      </c>
      <c r="AF34" s="33" t="n"/>
      <c r="AG34" s="33" t="n"/>
      <c r="AH34" s="33" t="n"/>
      <c r="AI34" s="33" t="n"/>
      <c r="AJ34" s="33" t="n"/>
      <c r="AK34" s="33" t="n"/>
      <c r="AL34" s="27" t="n"/>
      <c r="AM34" s="34" t="n"/>
      <c r="AN34" s="35">
        <f>IF(AF34="","",IF(AI34="Yes","❌ Disc",IF(AH34="No","⚠ Missing",IF(AK34="Yes","✓ OK","⚠ Check"))))</f>
        <v/>
      </c>
      <c r="AO34" s="36" t="n"/>
      <c r="AP34" s="36" t="n"/>
      <c r="AQ34" s="36" t="n"/>
      <c r="AR34" s="36" t="n"/>
      <c r="AS34" s="36" t="n"/>
      <c r="AT34" s="36" t="n"/>
      <c r="AU34" s="27" t="n"/>
      <c r="AV34" s="37" t="n"/>
      <c r="AW34" s="38">
        <f>IF(AO34="","",IF(AR34="Yes","❌ Disc",IF(AQ34="No","⚠ Missing",IF(AT34="Yes","✓ OK","⚠ Check"))))</f>
        <v/>
      </c>
    </row>
    <row r="35" ht="18" customHeight="1" s="46">
      <c r="A35" s="23" t="n">
        <v>31</v>
      </c>
      <c r="B35" s="24" t="inlineStr">
        <is>
          <t>Moss Green Velvet_S2A</t>
        </is>
      </c>
      <c r="C35" s="25" t="inlineStr">
        <is>
          <t>Bonito SCB - Fabric Swatches - Moss Green Velvet</t>
        </is>
      </c>
      <c r="D35" s="23" t="inlineStr">
        <is>
          <t>Aadeshwar</t>
        </is>
      </c>
      <c r="E35" s="43" t="n">
        <v>46125</v>
      </c>
      <c r="F35" s="26" t="inlineStr">
        <is>
          <t>Sunil CR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Good finish</t>
        </is>
      </c>
      <c r="J35" s="26" t="inlineStr">
        <is>
          <t>Yes</t>
        </is>
      </c>
      <c r="K35" s="27" t="n"/>
      <c r="L35" s="28" t="inlineStr">
        <is>
          <t>No</t>
        </is>
      </c>
      <c r="M35" s="29">
        <f>IF(E35="","",IF(H35="Yes","❌ Disc",IF(G35="No","⚠ Missing",IF(J35="Yes","✓ OK","⚠ Check"))))</f>
        <v/>
      </c>
      <c r="N35" s="43" t="n">
        <v>46139</v>
      </c>
      <c r="O35" s="26" t="inlineStr">
        <is>
          <t>Sunil CR</t>
        </is>
      </c>
      <c r="P35" s="26" t="inlineStr">
        <is>
          <t>Yes</t>
        </is>
      </c>
      <c r="Q35" s="26" t="inlineStr">
        <is>
          <t>No</t>
        </is>
      </c>
      <c r="R35" s="26" t="inlineStr">
        <is>
          <t>Good finish</t>
        </is>
      </c>
      <c r="S35" s="26" t="inlineStr">
        <is>
          <t>Yes</t>
        </is>
      </c>
      <c r="T35" s="27" t="n"/>
      <c r="U35" s="28" t="inlineStr">
        <is>
          <t>No</t>
        </is>
      </c>
      <c r="V35" s="29">
        <f>IF(N35="","",IF(Q35="Yes","❌ Disc",IF(P35="No","⚠ Missing",IF(S35="Yes","✓ OK","⚠ Check"))))</f>
        <v/>
      </c>
      <c r="W35" s="65" t="n">
        <v>46248</v>
      </c>
      <c r="X35" s="30" t="inlineStr">
        <is>
          <t>Sunil CR</t>
        </is>
      </c>
      <c r="Y35" s="30" t="inlineStr">
        <is>
          <t>Yes</t>
        </is>
      </c>
      <c r="Z35" s="30" t="n"/>
      <c r="AA35" s="30" t="inlineStr">
        <is>
          <t>Good finish</t>
        </is>
      </c>
      <c r="AB35" s="30" t="inlineStr">
        <is>
          <t>Yes</t>
        </is>
      </c>
      <c r="AC35" s="27" t="n"/>
      <c r="AD35" s="31" t="inlineStr">
        <is>
          <t>No</t>
        </is>
      </c>
      <c r="AE35" s="32">
        <f>IF(W35="","",IF(Z35="Yes","❌ Disc",IF(Y35="No","⚠ Missing",IF(AB35="Yes","✓ OK","⚠ Check"))))</f>
        <v/>
      </c>
      <c r="AF35" s="33" t="n"/>
      <c r="AG35" s="33" t="n"/>
      <c r="AH35" s="33" t="n"/>
      <c r="AI35" s="33" t="n"/>
      <c r="AJ35" s="33" t="n"/>
      <c r="AK35" s="33" t="n"/>
      <c r="AL35" s="27" t="n"/>
      <c r="AM35" s="34" t="n"/>
      <c r="AN35" s="35">
        <f>IF(AF35="","",IF(AI35="Yes","❌ Disc",IF(AH35="No","⚠ Missing",IF(AK35="Yes","✓ OK","⚠ Check"))))</f>
        <v/>
      </c>
      <c r="AO35" s="36" t="n"/>
      <c r="AP35" s="36" t="n"/>
      <c r="AQ35" s="36" t="n"/>
      <c r="AR35" s="36" t="n"/>
      <c r="AS35" s="36" t="n"/>
      <c r="AT35" s="36" t="n"/>
      <c r="AU35" s="27" t="n"/>
      <c r="AV35" s="37" t="n"/>
      <c r="AW35" s="38">
        <f>IF(AO35="","",IF(AR35="Yes","❌ Disc",IF(AQ35="No","⚠ Missing",IF(AT35="Yes","✓ OK","⚠ Check"))))</f>
        <v/>
      </c>
    </row>
    <row r="36" ht="18" customHeight="1" s="46">
      <c r="A36" s="39" t="n">
        <v>32</v>
      </c>
      <c r="B36" s="40" t="inlineStr">
        <is>
          <t>Mulberry Velvet_S6</t>
        </is>
      </c>
      <c r="C36" s="41" t="inlineStr">
        <is>
          <t>Bonito SCB - Fabric Swatches - Mulberry Velvet</t>
        </is>
      </c>
      <c r="D36" s="39" t="inlineStr">
        <is>
          <t>Aadeshwar</t>
        </is>
      </c>
      <c r="E36" s="43" t="n">
        <v>46125</v>
      </c>
      <c r="F36" s="26" t="inlineStr">
        <is>
          <t>Sunil CR</t>
        </is>
      </c>
      <c r="G36" s="26" t="inlineStr">
        <is>
          <t>Yes</t>
        </is>
      </c>
      <c r="H36" s="26" t="inlineStr">
        <is>
          <t>No</t>
        </is>
      </c>
      <c r="I36" s="26" t="inlineStr">
        <is>
          <t>Good finish</t>
        </is>
      </c>
      <c r="J36" s="26" t="inlineStr">
        <is>
          <t>Yes</t>
        </is>
      </c>
      <c r="K36" s="27" t="n"/>
      <c r="L36" s="28" t="inlineStr">
        <is>
          <t>No</t>
        </is>
      </c>
      <c r="M36" s="29">
        <f>IF(E36="","",IF(H36="Yes","❌ Disc",IF(G36="No","⚠ Missing",IF(J36="Yes","✓ OK","⚠ Check"))))</f>
        <v/>
      </c>
      <c r="N36" s="43" t="n">
        <v>46139</v>
      </c>
      <c r="O36" s="26" t="inlineStr">
        <is>
          <t>Sunil CR</t>
        </is>
      </c>
      <c r="P36" s="26" t="inlineStr">
        <is>
          <t>Yes</t>
        </is>
      </c>
      <c r="Q36" s="26" t="inlineStr">
        <is>
          <t>No</t>
        </is>
      </c>
      <c r="R36" s="26" t="inlineStr">
        <is>
          <t>Good finish</t>
        </is>
      </c>
      <c r="S36" s="26" t="inlineStr">
        <is>
          <t>Yes</t>
        </is>
      </c>
      <c r="T36" s="27" t="n"/>
      <c r="U36" s="28" t="inlineStr">
        <is>
          <t>No</t>
        </is>
      </c>
      <c r="V36" s="29">
        <f>IF(N36="","",IF(Q36="Yes","❌ Disc",IF(P36="No","⚠ Missing",IF(S36="Yes","✓ OK","⚠ Check"))))</f>
        <v/>
      </c>
      <c r="W36" s="65" t="n">
        <v>46248</v>
      </c>
      <c r="X36" s="30" t="inlineStr">
        <is>
          <t>Sunil CR</t>
        </is>
      </c>
      <c r="Y36" s="30" t="inlineStr">
        <is>
          <t>Yes</t>
        </is>
      </c>
      <c r="Z36" s="30" t="n"/>
      <c r="AA36" s="30" t="inlineStr">
        <is>
          <t>Good finish</t>
        </is>
      </c>
      <c r="AB36" s="30" t="inlineStr">
        <is>
          <t>Yes</t>
        </is>
      </c>
      <c r="AC36" s="27" t="n"/>
      <c r="AD36" s="31" t="inlineStr">
        <is>
          <t>No</t>
        </is>
      </c>
      <c r="AE36" s="32">
        <f>IF(W36="","",IF(Z36="Yes","❌ Disc",IF(Y36="No","⚠ Missing",IF(AB36="Yes","✓ OK","⚠ Check"))))</f>
        <v/>
      </c>
      <c r="AF36" s="33" t="n"/>
      <c r="AG36" s="33" t="n"/>
      <c r="AH36" s="33" t="n"/>
      <c r="AI36" s="33" t="n"/>
      <c r="AJ36" s="33" t="n"/>
      <c r="AK36" s="33" t="n"/>
      <c r="AL36" s="27" t="n"/>
      <c r="AM36" s="34" t="n"/>
      <c r="AN36" s="35">
        <f>IF(AF36="","",IF(AI36="Yes","❌ Disc",IF(AH36="No","⚠ Missing",IF(AK36="Yes","✓ OK","⚠ Check"))))</f>
        <v/>
      </c>
      <c r="AO36" s="36" t="n"/>
      <c r="AP36" s="36" t="n"/>
      <c r="AQ36" s="36" t="n"/>
      <c r="AR36" s="36" t="n"/>
      <c r="AS36" s="36" t="n"/>
      <c r="AT36" s="36" t="n"/>
      <c r="AU36" s="27" t="n"/>
      <c r="AV36" s="37" t="n"/>
      <c r="AW36" s="38">
        <f>IF(AO36="","",IF(AR36="Yes","❌ Disc",IF(AQ36="No","⚠ Missing",IF(AT36="Yes","✓ OK","⚠ Check"))))</f>
        <v/>
      </c>
    </row>
    <row r="37" ht="18" customHeight="1" s="46">
      <c r="A37" s="23" t="n">
        <v>33</v>
      </c>
      <c r="B37" s="24" t="inlineStr">
        <is>
          <t>Mustard Green Fabric_S44</t>
        </is>
      </c>
      <c r="C37" s="25" t="inlineStr">
        <is>
          <t>Bonito SCB - Fabric Swatches - Mustard Green Fabric</t>
        </is>
      </c>
      <c r="D37" s="23" t="inlineStr">
        <is>
          <t>Aadeshwar</t>
        </is>
      </c>
      <c r="E37" s="43" t="n">
        <v>46125</v>
      </c>
      <c r="F37" s="26" t="inlineStr">
        <is>
          <t>Sunil CR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Good finish</t>
        </is>
      </c>
      <c r="J37" s="26" t="inlineStr">
        <is>
          <t>Yes</t>
        </is>
      </c>
      <c r="K37" s="27" t="n"/>
      <c r="L37" s="28" t="inlineStr">
        <is>
          <t>No</t>
        </is>
      </c>
      <c r="M37" s="29">
        <f>IF(E37="","",IF(H37="Yes","❌ Disc",IF(G37="No","⚠ Missing",IF(J37="Yes","✓ OK","⚠ Check"))))</f>
        <v/>
      </c>
      <c r="N37" s="43" t="n">
        <v>46139</v>
      </c>
      <c r="O37" s="26" t="inlineStr">
        <is>
          <t>Sunil CR</t>
        </is>
      </c>
      <c r="P37" s="26" t="inlineStr">
        <is>
          <t>Yes</t>
        </is>
      </c>
      <c r="Q37" s="26" t="inlineStr">
        <is>
          <t>No</t>
        </is>
      </c>
      <c r="R37" s="26" t="inlineStr">
        <is>
          <t>Good finish</t>
        </is>
      </c>
      <c r="S37" s="26" t="inlineStr">
        <is>
          <t>Yes</t>
        </is>
      </c>
      <c r="T37" s="27" t="n"/>
      <c r="U37" s="28" t="inlineStr">
        <is>
          <t>No</t>
        </is>
      </c>
      <c r="V37" s="29">
        <f>IF(N37="","",IF(Q37="Yes","❌ Disc",IF(P37="No","⚠ Missing",IF(S37="Yes","✓ OK","⚠ Check"))))</f>
        <v/>
      </c>
      <c r="W37" s="65" t="n">
        <v>46248</v>
      </c>
      <c r="X37" s="30" t="inlineStr">
        <is>
          <t>Sunil CR</t>
        </is>
      </c>
      <c r="Y37" s="30" t="inlineStr">
        <is>
          <t>Yes</t>
        </is>
      </c>
      <c r="Z37" s="30" t="n"/>
      <c r="AA37" s="30" t="inlineStr">
        <is>
          <t>Good finish</t>
        </is>
      </c>
      <c r="AB37" s="30" t="inlineStr">
        <is>
          <t>Yes</t>
        </is>
      </c>
      <c r="AC37" s="27" t="n"/>
      <c r="AD37" s="31" t="inlineStr">
        <is>
          <t>No</t>
        </is>
      </c>
      <c r="AE37" s="32">
        <f>IF(W37="","",IF(Z37="Yes","❌ Disc",IF(Y37="No","⚠ Missing",IF(AB37="Yes","✓ OK","⚠ Check"))))</f>
        <v/>
      </c>
      <c r="AF37" s="33" t="n"/>
      <c r="AG37" s="33" t="n"/>
      <c r="AH37" s="33" t="n"/>
      <c r="AI37" s="33" t="n"/>
      <c r="AJ37" s="33" t="n"/>
      <c r="AK37" s="33" t="n"/>
      <c r="AL37" s="27" t="n"/>
      <c r="AM37" s="34" t="n"/>
      <c r="AN37" s="35">
        <f>IF(AF37="","",IF(AI37="Yes","❌ Disc",IF(AH37="No","⚠ Missing",IF(AK37="Yes","✓ OK","⚠ Check"))))</f>
        <v/>
      </c>
      <c r="AO37" s="36" t="n"/>
      <c r="AP37" s="36" t="n"/>
      <c r="AQ37" s="36" t="n"/>
      <c r="AR37" s="36" t="n"/>
      <c r="AS37" s="36" t="n"/>
      <c r="AT37" s="36" t="n"/>
      <c r="AU37" s="27" t="n"/>
      <c r="AV37" s="37" t="n"/>
      <c r="AW37" s="38">
        <f>IF(AO37="","",IF(AR37="Yes","❌ Disc",IF(AQ37="No","⚠ Missing",IF(AT37="Yes","✓ OK","⚠ Check"))))</f>
        <v/>
      </c>
    </row>
    <row r="38" ht="18" customHeight="1" s="46">
      <c r="A38" s="39" t="n">
        <v>34</v>
      </c>
      <c r="B38" s="40" t="inlineStr">
        <is>
          <t>Mustard Yellow Velvet_S9</t>
        </is>
      </c>
      <c r="C38" s="41" t="inlineStr">
        <is>
          <t>Bonito SCB - Fabric Swatches - Mustard Yellow Velvet</t>
        </is>
      </c>
      <c r="D38" s="39" t="inlineStr">
        <is>
          <t>Aadeshwar</t>
        </is>
      </c>
      <c r="E38" s="43" t="n">
        <v>46125</v>
      </c>
      <c r="F38" s="26" t="inlineStr">
        <is>
          <t>Sunil CR</t>
        </is>
      </c>
      <c r="G38" s="26" t="inlineStr">
        <is>
          <t>Yes</t>
        </is>
      </c>
      <c r="H38" s="26" t="inlineStr">
        <is>
          <t>No</t>
        </is>
      </c>
      <c r="I38" s="26" t="inlineStr">
        <is>
          <t>Good finish</t>
        </is>
      </c>
      <c r="J38" s="26" t="inlineStr">
        <is>
          <t>Yes</t>
        </is>
      </c>
      <c r="K38" s="27" t="n"/>
      <c r="L38" s="28" t="inlineStr">
        <is>
          <t>No</t>
        </is>
      </c>
      <c r="M38" s="29">
        <f>IF(E38="","",IF(H38="Yes","❌ Disc",IF(G38="No","⚠ Missing",IF(J38="Yes","✓ OK","⚠ Check"))))</f>
        <v/>
      </c>
      <c r="N38" s="43" t="n">
        <v>46139</v>
      </c>
      <c r="O38" s="26" t="inlineStr">
        <is>
          <t>Sunil CR</t>
        </is>
      </c>
      <c r="P38" s="26" t="inlineStr">
        <is>
          <t>Yes</t>
        </is>
      </c>
      <c r="Q38" s="26" t="inlineStr">
        <is>
          <t>No</t>
        </is>
      </c>
      <c r="R38" s="26" t="inlineStr">
        <is>
          <t>Good finish</t>
        </is>
      </c>
      <c r="S38" s="26" t="inlineStr">
        <is>
          <t>Yes</t>
        </is>
      </c>
      <c r="T38" s="27" t="n"/>
      <c r="U38" s="28" t="inlineStr">
        <is>
          <t>No</t>
        </is>
      </c>
      <c r="V38" s="29">
        <f>IF(N38="","",IF(Q38="Yes","❌ Disc",IF(P38="No","⚠ Missing",IF(S38="Yes","✓ OK","⚠ Check"))))</f>
        <v/>
      </c>
      <c r="W38" s="65" t="n">
        <v>46248</v>
      </c>
      <c r="X38" s="30" t="inlineStr">
        <is>
          <t>Sunil CR</t>
        </is>
      </c>
      <c r="Y38" s="30" t="inlineStr">
        <is>
          <t>Yes</t>
        </is>
      </c>
      <c r="Z38" s="30" t="n"/>
      <c r="AA38" s="30" t="inlineStr">
        <is>
          <t>Good finish</t>
        </is>
      </c>
      <c r="AB38" s="30" t="inlineStr">
        <is>
          <t>Yes</t>
        </is>
      </c>
      <c r="AC38" s="27" t="n"/>
      <c r="AD38" s="31" t="inlineStr">
        <is>
          <t>No</t>
        </is>
      </c>
      <c r="AE38" s="32">
        <f>IF(W38="","",IF(Z38="Yes","❌ Disc",IF(Y38="No","⚠ Missing",IF(AB38="Yes","✓ OK","⚠ Check"))))</f>
        <v/>
      </c>
      <c r="AF38" s="33" t="n"/>
      <c r="AG38" s="33" t="n"/>
      <c r="AH38" s="33" t="n"/>
      <c r="AI38" s="33" t="n"/>
      <c r="AJ38" s="33" t="n"/>
      <c r="AK38" s="33" t="n"/>
      <c r="AL38" s="27" t="n"/>
      <c r="AM38" s="34" t="n"/>
      <c r="AN38" s="35">
        <f>IF(AF38="","",IF(AI38="Yes","❌ Disc",IF(AH38="No","⚠ Missing",IF(AK38="Yes","✓ OK","⚠ Check"))))</f>
        <v/>
      </c>
      <c r="AO38" s="36" t="n"/>
      <c r="AP38" s="36" t="n"/>
      <c r="AQ38" s="36" t="n"/>
      <c r="AR38" s="36" t="n"/>
      <c r="AS38" s="36" t="n"/>
      <c r="AT38" s="36" t="n"/>
      <c r="AU38" s="27" t="n"/>
      <c r="AV38" s="37" t="n"/>
      <c r="AW38" s="38">
        <f>IF(AO38="","",IF(AR38="Yes","❌ Disc",IF(AQ38="No","⚠ Missing",IF(AT38="Yes","✓ OK","⚠ Check"))))</f>
        <v/>
      </c>
    </row>
    <row r="39" ht="18" customHeight="1" s="46">
      <c r="A39" s="23" t="n">
        <v>35</v>
      </c>
      <c r="B39" s="24" t="inlineStr">
        <is>
          <t>Navy Blue Fabric_S35</t>
        </is>
      </c>
      <c r="C39" s="25" t="inlineStr">
        <is>
          <t>Bonito SCB - Fabric Swatches - Navy Blue Fabric</t>
        </is>
      </c>
      <c r="D39" s="23" t="inlineStr">
        <is>
          <t>Aadeshwar</t>
        </is>
      </c>
      <c r="E39" s="43" t="n">
        <v>46125</v>
      </c>
      <c r="F39" s="26" t="inlineStr">
        <is>
          <t>Sunil CR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Good finish</t>
        </is>
      </c>
      <c r="J39" s="26" t="inlineStr">
        <is>
          <t>Yes</t>
        </is>
      </c>
      <c r="K39" s="27" t="n"/>
      <c r="L39" s="28" t="inlineStr">
        <is>
          <t>No</t>
        </is>
      </c>
      <c r="M39" s="29">
        <f>IF(E39="","",IF(H39="Yes","❌ Disc",IF(G39="No","⚠ Missing",IF(J39="Yes","✓ OK","⚠ Check"))))</f>
        <v/>
      </c>
      <c r="N39" s="43" t="n">
        <v>46139</v>
      </c>
      <c r="O39" s="26" t="inlineStr">
        <is>
          <t>Sunil CR</t>
        </is>
      </c>
      <c r="P39" s="26" t="inlineStr">
        <is>
          <t>Yes</t>
        </is>
      </c>
      <c r="Q39" s="26" t="inlineStr">
        <is>
          <t>No</t>
        </is>
      </c>
      <c r="R39" s="26" t="inlineStr">
        <is>
          <t>Good finish</t>
        </is>
      </c>
      <c r="S39" s="26" t="inlineStr">
        <is>
          <t>Yes</t>
        </is>
      </c>
      <c r="T39" s="27" t="n"/>
      <c r="U39" s="28" t="inlineStr">
        <is>
          <t>No</t>
        </is>
      </c>
      <c r="V39" s="29">
        <f>IF(N39="","",IF(Q39="Yes","❌ Disc",IF(P39="No","⚠ Missing",IF(S39="Yes","✓ OK","⚠ Check"))))</f>
        <v/>
      </c>
      <c r="W39" s="65" t="n">
        <v>46248</v>
      </c>
      <c r="X39" s="30" t="inlineStr">
        <is>
          <t>Sunil CR</t>
        </is>
      </c>
      <c r="Y39" s="30" t="inlineStr">
        <is>
          <t>Yes</t>
        </is>
      </c>
      <c r="Z39" s="30" t="n"/>
      <c r="AA39" s="30" t="inlineStr">
        <is>
          <t>Good finish</t>
        </is>
      </c>
      <c r="AB39" s="30" t="inlineStr">
        <is>
          <t>Yes</t>
        </is>
      </c>
      <c r="AC39" s="27" t="n"/>
      <c r="AD39" s="31" t="inlineStr">
        <is>
          <t>No</t>
        </is>
      </c>
      <c r="AE39" s="32">
        <f>IF(W39="","",IF(Z39="Yes","❌ Disc",IF(Y39="No","⚠ Missing",IF(AB39="Yes","✓ OK","⚠ Check"))))</f>
        <v/>
      </c>
      <c r="AF39" s="33" t="n"/>
      <c r="AG39" s="33" t="n"/>
      <c r="AH39" s="33" t="n"/>
      <c r="AI39" s="33" t="n"/>
      <c r="AJ39" s="33" t="n"/>
      <c r="AK39" s="33" t="n"/>
      <c r="AL39" s="27" t="n"/>
      <c r="AM39" s="34" t="n"/>
      <c r="AN39" s="35">
        <f>IF(AF39="","",IF(AI39="Yes","❌ Disc",IF(AH39="No","⚠ Missing",IF(AK39="Yes","✓ OK","⚠ Check"))))</f>
        <v/>
      </c>
      <c r="AO39" s="36" t="n"/>
      <c r="AP39" s="36" t="n"/>
      <c r="AQ39" s="36" t="n"/>
      <c r="AR39" s="36" t="n"/>
      <c r="AS39" s="36" t="n"/>
      <c r="AT39" s="36" t="n"/>
      <c r="AU39" s="27" t="n"/>
      <c r="AV39" s="37" t="n"/>
      <c r="AW39" s="38">
        <f>IF(AO39="","",IF(AR39="Yes","❌ Disc",IF(AQ39="No","⚠ Missing",IF(AT39="Yes","✓ OK","⚠ Check"))))</f>
        <v/>
      </c>
    </row>
    <row r="40" ht="18" customHeight="1" s="46">
      <c r="A40" s="39" t="n">
        <v>36</v>
      </c>
      <c r="B40" s="40" t="inlineStr">
        <is>
          <t>Olive Green Fabric_S43</t>
        </is>
      </c>
      <c r="C40" s="41" t="inlineStr">
        <is>
          <t>Bonito SCB - Fabric Swatches - Olive Green Fabric</t>
        </is>
      </c>
      <c r="D40" s="39" t="inlineStr">
        <is>
          <t>Aadeshwar</t>
        </is>
      </c>
      <c r="E40" s="43" t="n">
        <v>46125</v>
      </c>
      <c r="F40" s="26" t="inlineStr">
        <is>
          <t>Sunil CR</t>
        </is>
      </c>
      <c r="G40" s="26" t="inlineStr">
        <is>
          <t>Yes</t>
        </is>
      </c>
      <c r="H40" s="26" t="inlineStr">
        <is>
          <t>No</t>
        </is>
      </c>
      <c r="I40" s="26" t="inlineStr">
        <is>
          <t>Good finish</t>
        </is>
      </c>
      <c r="J40" s="26" t="inlineStr">
        <is>
          <t>Yes</t>
        </is>
      </c>
      <c r="K40" s="27" t="n"/>
      <c r="L40" s="28" t="inlineStr">
        <is>
          <t>No</t>
        </is>
      </c>
      <c r="M40" s="29">
        <f>IF(E40="","",IF(H40="Yes","❌ Disc",IF(G40="No","⚠ Missing",IF(J40="Yes","✓ OK","⚠ Check"))))</f>
        <v/>
      </c>
      <c r="N40" s="43" t="n">
        <v>46139</v>
      </c>
      <c r="O40" s="26" t="inlineStr">
        <is>
          <t>Sunil CR</t>
        </is>
      </c>
      <c r="P40" s="26" t="inlineStr">
        <is>
          <t>Yes</t>
        </is>
      </c>
      <c r="Q40" s="26" t="inlineStr">
        <is>
          <t>No</t>
        </is>
      </c>
      <c r="R40" s="26" t="inlineStr">
        <is>
          <t>Good finish</t>
        </is>
      </c>
      <c r="S40" s="26" t="inlineStr">
        <is>
          <t>Yes</t>
        </is>
      </c>
      <c r="T40" s="27" t="n"/>
      <c r="U40" s="28" t="inlineStr">
        <is>
          <t>No</t>
        </is>
      </c>
      <c r="V40" s="29">
        <f>IF(N40="","",IF(Q40="Yes","❌ Disc",IF(P40="No","⚠ Missing",IF(S40="Yes","✓ OK","⚠ Check"))))</f>
        <v/>
      </c>
      <c r="W40" s="65" t="n">
        <v>46248</v>
      </c>
      <c r="X40" s="30" t="inlineStr">
        <is>
          <t>Sunil CR</t>
        </is>
      </c>
      <c r="Y40" s="30" t="inlineStr">
        <is>
          <t>Yes</t>
        </is>
      </c>
      <c r="Z40" s="30" t="n"/>
      <c r="AA40" s="30" t="inlineStr">
        <is>
          <t>Good finish</t>
        </is>
      </c>
      <c r="AB40" s="30" t="inlineStr">
        <is>
          <t>Yes</t>
        </is>
      </c>
      <c r="AC40" s="27" t="n"/>
      <c r="AD40" s="31" t="inlineStr">
        <is>
          <t>No</t>
        </is>
      </c>
      <c r="AE40" s="32">
        <f>IF(W40="","",IF(Z40="Yes","❌ Disc",IF(Y40="No","⚠ Missing",IF(AB40="Yes","✓ OK","⚠ Check"))))</f>
        <v/>
      </c>
      <c r="AF40" s="33" t="n"/>
      <c r="AG40" s="33" t="n"/>
      <c r="AH40" s="33" t="n"/>
      <c r="AI40" s="33" t="n"/>
      <c r="AJ40" s="33" t="n"/>
      <c r="AK40" s="33" t="n"/>
      <c r="AL40" s="27" t="n"/>
      <c r="AM40" s="34" t="n"/>
      <c r="AN40" s="35">
        <f>IF(AF40="","",IF(AI40="Yes","❌ Disc",IF(AH40="No","⚠ Missing",IF(AK40="Yes","✓ OK","⚠ Check"))))</f>
        <v/>
      </c>
      <c r="AO40" s="36" t="n"/>
      <c r="AP40" s="36" t="n"/>
      <c r="AQ40" s="36" t="n"/>
      <c r="AR40" s="36" t="n"/>
      <c r="AS40" s="36" t="n"/>
      <c r="AT40" s="36" t="n"/>
      <c r="AU40" s="27" t="n"/>
      <c r="AV40" s="37" t="n"/>
      <c r="AW40" s="38">
        <f>IF(AO40="","",IF(AR40="Yes","❌ Disc",IF(AQ40="No","⚠ Missing",IF(AT40="Yes","✓ OK","⚠ Check"))))</f>
        <v/>
      </c>
    </row>
    <row r="41" ht="18" customHeight="1" s="46">
      <c r="A41" s="23" t="n">
        <v>37</v>
      </c>
      <c r="B41" s="24" t="inlineStr">
        <is>
          <t>Olive Green Velvet_S2</t>
        </is>
      </c>
      <c r="C41" s="25" t="inlineStr">
        <is>
          <t>Bonito SCB - Fabric Swatches - Olive Green Velvet</t>
        </is>
      </c>
      <c r="D41" s="23" t="inlineStr">
        <is>
          <t>Aadeshwar</t>
        </is>
      </c>
      <c r="E41" s="43" t="n">
        <v>46125</v>
      </c>
      <c r="F41" s="26" t="inlineStr">
        <is>
          <t>Sunil CR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Good finish</t>
        </is>
      </c>
      <c r="J41" s="26" t="inlineStr">
        <is>
          <t>Yes</t>
        </is>
      </c>
      <c r="K41" s="27" t="n"/>
      <c r="L41" s="28" t="inlineStr">
        <is>
          <t>No</t>
        </is>
      </c>
      <c r="M41" s="29">
        <f>IF(E41="","",IF(H41="Yes","❌ Disc",IF(G41="No","⚠ Missing",IF(J41="Yes","✓ OK","⚠ Check"))))</f>
        <v/>
      </c>
      <c r="N41" s="43" t="n">
        <v>46139</v>
      </c>
      <c r="O41" s="26" t="inlineStr">
        <is>
          <t>Sunil CR</t>
        </is>
      </c>
      <c r="P41" s="26" t="inlineStr">
        <is>
          <t>Yes</t>
        </is>
      </c>
      <c r="Q41" s="26" t="inlineStr">
        <is>
          <t>No</t>
        </is>
      </c>
      <c r="R41" s="26" t="inlineStr">
        <is>
          <t>Good finish</t>
        </is>
      </c>
      <c r="S41" s="26" t="inlineStr">
        <is>
          <t>Yes</t>
        </is>
      </c>
      <c r="T41" s="27" t="n"/>
      <c r="U41" s="28" t="inlineStr">
        <is>
          <t>No</t>
        </is>
      </c>
      <c r="V41" s="29">
        <f>IF(N41="","",IF(Q41="Yes","❌ Disc",IF(P41="No","⚠ Missing",IF(S41="Yes","✓ OK","⚠ Check"))))</f>
        <v/>
      </c>
      <c r="W41" s="65" t="n">
        <v>46248</v>
      </c>
      <c r="X41" s="30" t="inlineStr">
        <is>
          <t>Sunil CR</t>
        </is>
      </c>
      <c r="Y41" s="30" t="inlineStr">
        <is>
          <t>Yes</t>
        </is>
      </c>
      <c r="Z41" s="30" t="n"/>
      <c r="AA41" s="30" t="inlineStr">
        <is>
          <t>Good finish</t>
        </is>
      </c>
      <c r="AB41" s="30" t="inlineStr">
        <is>
          <t>Yes</t>
        </is>
      </c>
      <c r="AC41" s="27" t="n"/>
      <c r="AD41" s="31" t="inlineStr">
        <is>
          <t>No</t>
        </is>
      </c>
      <c r="AE41" s="32">
        <f>IF(W41="","",IF(Z41="Yes","❌ Disc",IF(Y41="No","⚠ Missing",IF(AB41="Yes","✓ OK","⚠ Check"))))</f>
        <v/>
      </c>
      <c r="AF41" s="33" t="n"/>
      <c r="AG41" s="33" t="n"/>
      <c r="AH41" s="33" t="n"/>
      <c r="AI41" s="33" t="n"/>
      <c r="AJ41" s="33" t="n"/>
      <c r="AK41" s="33" t="n"/>
      <c r="AL41" s="27" t="n"/>
      <c r="AM41" s="34" t="n"/>
      <c r="AN41" s="35">
        <f>IF(AF41="","",IF(AI41="Yes","❌ Disc",IF(AH41="No","⚠ Missing",IF(AK41="Yes","✓ OK","⚠ Check"))))</f>
        <v/>
      </c>
      <c r="AO41" s="36" t="n"/>
      <c r="AP41" s="36" t="n"/>
      <c r="AQ41" s="36" t="n"/>
      <c r="AR41" s="36" t="n"/>
      <c r="AS41" s="36" t="n"/>
      <c r="AT41" s="36" t="n"/>
      <c r="AU41" s="27" t="n"/>
      <c r="AV41" s="37" t="n"/>
      <c r="AW41" s="38">
        <f>IF(AO41="","",IF(AR41="Yes","❌ Disc",IF(AQ41="No","⚠ Missing",IF(AT41="Yes","✓ OK","⚠ Check"))))</f>
        <v/>
      </c>
    </row>
    <row r="42" ht="18" customHeight="1" s="46">
      <c r="A42" s="39" t="n">
        <v>38</v>
      </c>
      <c r="B42" s="40" t="inlineStr">
        <is>
          <t>Pibe Green Fabric_S41</t>
        </is>
      </c>
      <c r="C42" s="41" t="inlineStr">
        <is>
          <t>Bonito SCB - Fabric Swatches - Pibe Green Fabric</t>
        </is>
      </c>
      <c r="D42" s="39" t="inlineStr">
        <is>
          <t>Aadeshwar</t>
        </is>
      </c>
      <c r="E42" s="43" t="n">
        <v>46125</v>
      </c>
      <c r="F42" s="26" t="inlineStr">
        <is>
          <t>Sunil CR</t>
        </is>
      </c>
      <c r="G42" s="26" t="inlineStr">
        <is>
          <t>Yes</t>
        </is>
      </c>
      <c r="H42" s="26" t="inlineStr">
        <is>
          <t>No</t>
        </is>
      </c>
      <c r="I42" s="26" t="inlineStr">
        <is>
          <t>Good finish</t>
        </is>
      </c>
      <c r="J42" s="26" t="inlineStr">
        <is>
          <t>Yes</t>
        </is>
      </c>
      <c r="K42" s="27" t="n"/>
      <c r="L42" s="28" t="inlineStr">
        <is>
          <t>No</t>
        </is>
      </c>
      <c r="M42" s="29">
        <f>IF(E42="","",IF(H42="Yes","❌ Disc",IF(G42="No","⚠ Missing",IF(J42="Yes","✓ OK","⚠ Check"))))</f>
        <v/>
      </c>
      <c r="N42" s="43" t="n">
        <v>46139</v>
      </c>
      <c r="O42" s="26" t="inlineStr">
        <is>
          <t>Sunil CR</t>
        </is>
      </c>
      <c r="P42" s="26" t="inlineStr">
        <is>
          <t>Yes</t>
        </is>
      </c>
      <c r="Q42" s="26" t="inlineStr">
        <is>
          <t>No</t>
        </is>
      </c>
      <c r="R42" s="26" t="inlineStr">
        <is>
          <t>Good finish</t>
        </is>
      </c>
      <c r="S42" s="26" t="inlineStr">
        <is>
          <t>Yes</t>
        </is>
      </c>
      <c r="T42" s="27" t="n"/>
      <c r="U42" s="28" t="inlineStr">
        <is>
          <t>No</t>
        </is>
      </c>
      <c r="V42" s="29">
        <f>IF(N42="","",IF(Q42="Yes","❌ Disc",IF(P42="No","⚠ Missing",IF(S42="Yes","✓ OK","⚠ Check"))))</f>
        <v/>
      </c>
      <c r="W42" s="65" t="n">
        <v>46248</v>
      </c>
      <c r="X42" s="30" t="inlineStr">
        <is>
          <t>Sunil CR</t>
        </is>
      </c>
      <c r="Y42" s="30" t="inlineStr">
        <is>
          <t>Yes</t>
        </is>
      </c>
      <c r="Z42" s="30" t="n"/>
      <c r="AA42" s="30" t="inlineStr">
        <is>
          <t>Good finish</t>
        </is>
      </c>
      <c r="AB42" s="30" t="inlineStr">
        <is>
          <t>Yes</t>
        </is>
      </c>
      <c r="AC42" s="27" t="n"/>
      <c r="AD42" s="31" t="inlineStr">
        <is>
          <t>No</t>
        </is>
      </c>
      <c r="AE42" s="32">
        <f>IF(W42="","",IF(Z42="Yes","❌ Disc",IF(Y42="No","⚠ Missing",IF(AB42="Yes","✓ OK","⚠ Check"))))</f>
        <v/>
      </c>
      <c r="AF42" s="33" t="n"/>
      <c r="AG42" s="33" t="n"/>
      <c r="AH42" s="33" t="n"/>
      <c r="AI42" s="33" t="n"/>
      <c r="AJ42" s="33" t="n"/>
      <c r="AK42" s="33" t="n"/>
      <c r="AL42" s="27" t="n"/>
      <c r="AM42" s="34" t="n"/>
      <c r="AN42" s="35">
        <f>IF(AF42="","",IF(AI42="Yes","❌ Disc",IF(AH42="No","⚠ Missing",IF(AK42="Yes","✓ OK","⚠ Check"))))</f>
        <v/>
      </c>
      <c r="AO42" s="36" t="n"/>
      <c r="AP42" s="36" t="n"/>
      <c r="AQ42" s="36" t="n"/>
      <c r="AR42" s="36" t="n"/>
      <c r="AS42" s="36" t="n"/>
      <c r="AT42" s="36" t="n"/>
      <c r="AU42" s="27" t="n"/>
      <c r="AV42" s="37" t="n"/>
      <c r="AW42" s="38">
        <f>IF(AO42="","",IF(AR42="Yes","❌ Disc",IF(AQ42="No","⚠ Missing",IF(AT42="Yes","✓ OK","⚠ Check"))))</f>
        <v/>
      </c>
    </row>
    <row r="43" ht="18" customHeight="1" s="46">
      <c r="A43" s="23" t="n">
        <v>39</v>
      </c>
      <c r="B43" s="24" t="inlineStr">
        <is>
          <t>Powder Blue Velvet_7A</t>
        </is>
      </c>
      <c r="C43" s="25" t="inlineStr">
        <is>
          <t>Bonito SCB - Fabric Swatches - Powder Blue Velvet</t>
        </is>
      </c>
      <c r="D43" s="23" t="inlineStr">
        <is>
          <t>Aadeshwar</t>
        </is>
      </c>
      <c r="E43" s="43" t="n">
        <v>46125</v>
      </c>
      <c r="F43" s="26" t="inlineStr">
        <is>
          <t>Sunil CR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Good finish</t>
        </is>
      </c>
      <c r="J43" s="26" t="inlineStr">
        <is>
          <t>Yes</t>
        </is>
      </c>
      <c r="K43" s="27" t="n"/>
      <c r="L43" s="28" t="inlineStr">
        <is>
          <t>No</t>
        </is>
      </c>
      <c r="M43" s="29">
        <f>IF(E43="","",IF(H43="Yes","❌ Disc",IF(G43="No","⚠ Missing",IF(J43="Yes","✓ OK","⚠ Check"))))</f>
        <v/>
      </c>
      <c r="N43" s="43" t="n">
        <v>46139</v>
      </c>
      <c r="O43" s="26" t="inlineStr">
        <is>
          <t>Sunil CR</t>
        </is>
      </c>
      <c r="P43" s="26" t="inlineStr">
        <is>
          <t>Yes</t>
        </is>
      </c>
      <c r="Q43" s="26" t="inlineStr">
        <is>
          <t>No</t>
        </is>
      </c>
      <c r="R43" s="26" t="inlineStr">
        <is>
          <t>Good finish</t>
        </is>
      </c>
      <c r="S43" s="26" t="inlineStr">
        <is>
          <t>Yes</t>
        </is>
      </c>
      <c r="T43" s="27" t="n"/>
      <c r="U43" s="28" t="inlineStr">
        <is>
          <t>No</t>
        </is>
      </c>
      <c r="V43" s="29">
        <f>IF(N43="","",IF(Q43="Yes","❌ Disc",IF(P43="No","⚠ Missing",IF(S43="Yes","✓ OK","⚠ Check"))))</f>
        <v/>
      </c>
      <c r="W43" s="65" t="n">
        <v>46248</v>
      </c>
      <c r="X43" s="30" t="inlineStr">
        <is>
          <t>Sunil CR</t>
        </is>
      </c>
      <c r="Y43" s="30" t="inlineStr">
        <is>
          <t>Yes</t>
        </is>
      </c>
      <c r="Z43" s="30" t="n"/>
      <c r="AA43" s="30" t="inlineStr">
        <is>
          <t>Good finish</t>
        </is>
      </c>
      <c r="AB43" s="30" t="inlineStr">
        <is>
          <t>Yes</t>
        </is>
      </c>
      <c r="AC43" s="27" t="n"/>
      <c r="AD43" s="31" t="inlineStr">
        <is>
          <t>No</t>
        </is>
      </c>
      <c r="AE43" s="32">
        <f>IF(W43="","",IF(Z43="Yes","❌ Disc",IF(Y43="No","⚠ Missing",IF(AB43="Yes","✓ OK","⚠ Check"))))</f>
        <v/>
      </c>
      <c r="AF43" s="33" t="n"/>
      <c r="AG43" s="33" t="n"/>
      <c r="AH43" s="33" t="n"/>
      <c r="AI43" s="33" t="n"/>
      <c r="AJ43" s="33" t="n"/>
      <c r="AK43" s="33" t="n"/>
      <c r="AL43" s="27" t="n"/>
      <c r="AM43" s="34" t="n"/>
      <c r="AN43" s="35">
        <f>IF(AF43="","",IF(AI43="Yes","❌ Disc",IF(AH43="No","⚠ Missing",IF(AK43="Yes","✓ OK","⚠ Check"))))</f>
        <v/>
      </c>
      <c r="AO43" s="36" t="n"/>
      <c r="AP43" s="36" t="n"/>
      <c r="AQ43" s="36" t="n"/>
      <c r="AR43" s="36" t="n"/>
      <c r="AS43" s="36" t="n"/>
      <c r="AT43" s="36" t="n"/>
      <c r="AU43" s="27" t="n"/>
      <c r="AV43" s="37" t="n"/>
      <c r="AW43" s="38">
        <f>IF(AO43="","",IF(AR43="Yes","❌ Disc",IF(AQ43="No","⚠ Missing",IF(AT43="Yes","✓ OK","⚠ Check"))))</f>
        <v/>
      </c>
    </row>
    <row r="44" ht="18" customHeight="1" s="46">
      <c r="A44" s="39" t="n">
        <v>40</v>
      </c>
      <c r="B44" s="40" t="inlineStr">
        <is>
          <t>Royal Blue Velvet_S7</t>
        </is>
      </c>
      <c r="C44" s="41" t="inlineStr">
        <is>
          <t>Bonito SCB - Fabric Swatches - Royal Blue Velvet</t>
        </is>
      </c>
      <c r="D44" s="39" t="inlineStr">
        <is>
          <t>Aadeshwar</t>
        </is>
      </c>
      <c r="E44" s="43" t="n">
        <v>46125</v>
      </c>
      <c r="F44" s="26" t="inlineStr">
        <is>
          <t>Sunil CR</t>
        </is>
      </c>
      <c r="G44" s="26" t="inlineStr">
        <is>
          <t>Yes</t>
        </is>
      </c>
      <c r="H44" s="26" t="inlineStr">
        <is>
          <t>No</t>
        </is>
      </c>
      <c r="I44" s="26" t="inlineStr">
        <is>
          <t>Good finish</t>
        </is>
      </c>
      <c r="J44" s="26" t="inlineStr">
        <is>
          <t>Yes</t>
        </is>
      </c>
      <c r="K44" s="27" t="n"/>
      <c r="L44" s="28" t="inlineStr">
        <is>
          <t>No</t>
        </is>
      </c>
      <c r="M44" s="29">
        <f>IF(E44="","",IF(H44="Yes","❌ Disc",IF(G44="No","⚠ Missing",IF(J44="Yes","✓ OK","⚠ Check"))))</f>
        <v/>
      </c>
      <c r="N44" s="43" t="n">
        <v>46139</v>
      </c>
      <c r="O44" s="26" t="inlineStr">
        <is>
          <t>Sunil CR</t>
        </is>
      </c>
      <c r="P44" s="26" t="inlineStr">
        <is>
          <t>Yes</t>
        </is>
      </c>
      <c r="Q44" s="26" t="inlineStr">
        <is>
          <t>No</t>
        </is>
      </c>
      <c r="R44" s="26" t="inlineStr">
        <is>
          <t>Good finish</t>
        </is>
      </c>
      <c r="S44" s="26" t="inlineStr">
        <is>
          <t>Yes</t>
        </is>
      </c>
      <c r="T44" s="27" t="n"/>
      <c r="U44" s="28" t="inlineStr">
        <is>
          <t>No</t>
        </is>
      </c>
      <c r="V44" s="29">
        <f>IF(N44="","",IF(Q44="Yes","❌ Disc",IF(P44="No","⚠ Missing",IF(S44="Yes","✓ OK","⚠ Check"))))</f>
        <v/>
      </c>
      <c r="W44" s="65" t="n">
        <v>46248</v>
      </c>
      <c r="X44" s="30" t="inlineStr">
        <is>
          <t>Sunil CR</t>
        </is>
      </c>
      <c r="Y44" s="30" t="inlineStr">
        <is>
          <t>Yes</t>
        </is>
      </c>
      <c r="Z44" s="30" t="n"/>
      <c r="AA44" s="30" t="inlineStr">
        <is>
          <t>Good finish</t>
        </is>
      </c>
      <c r="AB44" s="30" t="inlineStr">
        <is>
          <t>Yes</t>
        </is>
      </c>
      <c r="AC44" s="27" t="n"/>
      <c r="AD44" s="31" t="inlineStr">
        <is>
          <t>No</t>
        </is>
      </c>
      <c r="AE44" s="32">
        <f>IF(W44="","",IF(Z44="Yes","❌ Disc",IF(Y44="No","⚠ Missing",IF(AB44="Yes","✓ OK","⚠ Check"))))</f>
        <v/>
      </c>
      <c r="AF44" s="33" t="n"/>
      <c r="AG44" s="33" t="n"/>
      <c r="AH44" s="33" t="n"/>
      <c r="AI44" s="33" t="n"/>
      <c r="AJ44" s="33" t="n"/>
      <c r="AK44" s="33" t="n"/>
      <c r="AL44" s="27" t="n"/>
      <c r="AM44" s="34" t="n"/>
      <c r="AN44" s="35">
        <f>IF(AF44="","",IF(AI44="Yes","❌ Disc",IF(AH44="No","⚠ Missing",IF(AK44="Yes","✓ OK","⚠ Check"))))</f>
        <v/>
      </c>
      <c r="AO44" s="36" t="n"/>
      <c r="AP44" s="36" t="n"/>
      <c r="AQ44" s="36" t="n"/>
      <c r="AR44" s="36" t="n"/>
      <c r="AS44" s="36" t="n"/>
      <c r="AT44" s="36" t="n"/>
      <c r="AU44" s="27" t="n"/>
      <c r="AV44" s="37" t="n"/>
      <c r="AW44" s="38">
        <f>IF(AO44="","",IF(AR44="Yes","❌ Disc",IF(AQ44="No","⚠ Missing",IF(AT44="Yes","✓ OK","⚠ Check"))))</f>
        <v/>
      </c>
    </row>
    <row r="45" ht="18" customHeight="1" s="46">
      <c r="A45" s="23" t="n">
        <v>41</v>
      </c>
      <c r="B45" s="24" t="inlineStr">
        <is>
          <t>Rust Fabric_S46</t>
        </is>
      </c>
      <c r="C45" s="25" t="inlineStr">
        <is>
          <t>Bonito SCB - Fabric Swatches - Rust Fabric</t>
        </is>
      </c>
      <c r="D45" s="23" t="inlineStr">
        <is>
          <t>Aadeshwar</t>
        </is>
      </c>
      <c r="E45" s="43" t="n">
        <v>46125</v>
      </c>
      <c r="F45" s="26" t="inlineStr">
        <is>
          <t>Sunil CR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Good finish</t>
        </is>
      </c>
      <c r="J45" s="26" t="inlineStr">
        <is>
          <t>Yes</t>
        </is>
      </c>
      <c r="K45" s="27" t="n"/>
      <c r="L45" s="28" t="inlineStr">
        <is>
          <t>No</t>
        </is>
      </c>
      <c r="M45" s="29">
        <f>IF(E45="","",IF(H45="Yes","❌ Disc",IF(G45="No","⚠ Missing",IF(J45="Yes","✓ OK","⚠ Check"))))</f>
        <v/>
      </c>
      <c r="N45" s="43" t="n">
        <v>46139</v>
      </c>
      <c r="O45" s="26" t="inlineStr">
        <is>
          <t>Sunil CR</t>
        </is>
      </c>
      <c r="P45" s="26" t="inlineStr">
        <is>
          <t>Yes</t>
        </is>
      </c>
      <c r="Q45" s="26" t="inlineStr">
        <is>
          <t>No</t>
        </is>
      </c>
      <c r="R45" s="26" t="inlineStr">
        <is>
          <t>Good finish</t>
        </is>
      </c>
      <c r="S45" s="26" t="inlineStr">
        <is>
          <t>Yes</t>
        </is>
      </c>
      <c r="T45" s="27" t="n"/>
      <c r="U45" s="28" t="inlineStr">
        <is>
          <t>No</t>
        </is>
      </c>
      <c r="V45" s="29">
        <f>IF(N45="","",IF(Q45="Yes","❌ Disc",IF(P45="No","⚠ Missing",IF(S45="Yes","✓ OK","⚠ Check"))))</f>
        <v/>
      </c>
      <c r="W45" s="65" t="n">
        <v>46248</v>
      </c>
      <c r="X45" s="30" t="inlineStr">
        <is>
          <t>Sunil CR</t>
        </is>
      </c>
      <c r="Y45" s="30" t="inlineStr">
        <is>
          <t>Yes</t>
        </is>
      </c>
      <c r="Z45" s="30" t="n"/>
      <c r="AA45" s="30" t="inlineStr">
        <is>
          <t>Good finish</t>
        </is>
      </c>
      <c r="AB45" s="30" t="inlineStr">
        <is>
          <t>Yes</t>
        </is>
      </c>
      <c r="AC45" s="27" t="n"/>
      <c r="AD45" s="31" t="inlineStr">
        <is>
          <t>No</t>
        </is>
      </c>
      <c r="AE45" s="32">
        <f>IF(W45="","",IF(Z45="Yes","❌ Disc",IF(Y45="No","⚠ Missing",IF(AB45="Yes","✓ OK","⚠ Check"))))</f>
        <v/>
      </c>
      <c r="AF45" s="33" t="n"/>
      <c r="AG45" s="33" t="n"/>
      <c r="AH45" s="33" t="n"/>
      <c r="AI45" s="33" t="n"/>
      <c r="AJ45" s="33" t="n"/>
      <c r="AK45" s="33" t="n"/>
      <c r="AL45" s="27" t="n"/>
      <c r="AM45" s="34" t="n"/>
      <c r="AN45" s="35">
        <f>IF(AF45="","",IF(AI45="Yes","❌ Disc",IF(AH45="No","⚠ Missing",IF(AK45="Yes","✓ OK","⚠ Check"))))</f>
        <v/>
      </c>
      <c r="AO45" s="36" t="n"/>
      <c r="AP45" s="36" t="n"/>
      <c r="AQ45" s="36" t="n"/>
      <c r="AR45" s="36" t="n"/>
      <c r="AS45" s="36" t="n"/>
      <c r="AT45" s="36" t="n"/>
      <c r="AU45" s="27" t="n"/>
      <c r="AV45" s="37" t="n"/>
      <c r="AW45" s="38">
        <f>IF(AO45="","",IF(AR45="Yes","❌ Disc",IF(AQ45="No","⚠ Missing",IF(AT45="Yes","✓ OK","⚠ Check"))))</f>
        <v/>
      </c>
    </row>
    <row r="46" ht="18" customHeight="1" s="46">
      <c r="A46" s="39" t="n">
        <v>42</v>
      </c>
      <c r="B46" s="40" t="inlineStr">
        <is>
          <t>Rust Velvet_S14A</t>
        </is>
      </c>
      <c r="C46" s="41" t="inlineStr">
        <is>
          <t>Bonito SCB - Fabric Swatches - Rust Velvet</t>
        </is>
      </c>
      <c r="D46" s="39" t="inlineStr">
        <is>
          <t>Aadeshwar</t>
        </is>
      </c>
      <c r="E46" s="43" t="n">
        <v>46125</v>
      </c>
      <c r="F46" s="26" t="inlineStr">
        <is>
          <t>Sunil CR</t>
        </is>
      </c>
      <c r="G46" s="26" t="inlineStr">
        <is>
          <t>Yes</t>
        </is>
      </c>
      <c r="H46" s="26" t="inlineStr">
        <is>
          <t>No</t>
        </is>
      </c>
      <c r="I46" s="26" t="inlineStr">
        <is>
          <t>Good finish</t>
        </is>
      </c>
      <c r="J46" s="26" t="inlineStr">
        <is>
          <t>Yes</t>
        </is>
      </c>
      <c r="K46" s="27" t="n"/>
      <c r="L46" s="28" t="inlineStr">
        <is>
          <t>No</t>
        </is>
      </c>
      <c r="M46" s="29">
        <f>IF(E46="","",IF(H46="Yes","❌ Disc",IF(G46="No","⚠ Missing",IF(J46="Yes","✓ OK","⚠ Check"))))</f>
        <v/>
      </c>
      <c r="N46" s="43" t="n">
        <v>46139</v>
      </c>
      <c r="O46" s="26" t="inlineStr">
        <is>
          <t>Sunil CR</t>
        </is>
      </c>
      <c r="P46" s="26" t="inlineStr">
        <is>
          <t>Yes</t>
        </is>
      </c>
      <c r="Q46" s="26" t="inlineStr">
        <is>
          <t>No</t>
        </is>
      </c>
      <c r="R46" s="26" t="inlineStr">
        <is>
          <t>Good finish</t>
        </is>
      </c>
      <c r="S46" s="26" t="inlineStr">
        <is>
          <t>Yes</t>
        </is>
      </c>
      <c r="T46" s="27" t="n"/>
      <c r="U46" s="28" t="inlineStr">
        <is>
          <t>No</t>
        </is>
      </c>
      <c r="V46" s="29">
        <f>IF(N46="","",IF(Q46="Yes","❌ Disc",IF(P46="No","⚠ Missing",IF(S46="Yes","✓ OK","⚠ Check"))))</f>
        <v/>
      </c>
      <c r="W46" s="65" t="n">
        <v>46248</v>
      </c>
      <c r="X46" s="30" t="inlineStr">
        <is>
          <t>Sunil CR</t>
        </is>
      </c>
      <c r="Y46" s="30" t="inlineStr">
        <is>
          <t>Yes</t>
        </is>
      </c>
      <c r="Z46" s="30" t="n"/>
      <c r="AA46" s="30" t="inlineStr">
        <is>
          <t>Good finish</t>
        </is>
      </c>
      <c r="AB46" s="30" t="inlineStr">
        <is>
          <t>Yes</t>
        </is>
      </c>
      <c r="AC46" s="27" t="n"/>
      <c r="AD46" s="31" t="inlineStr">
        <is>
          <t>No</t>
        </is>
      </c>
      <c r="AE46" s="32">
        <f>IF(W46="","",IF(Z46="Yes","❌ Disc",IF(Y46="No","⚠ Missing",IF(AB46="Yes","✓ OK","⚠ Check"))))</f>
        <v/>
      </c>
      <c r="AF46" s="33" t="n"/>
      <c r="AG46" s="33" t="n"/>
      <c r="AH46" s="33" t="n"/>
      <c r="AI46" s="33" t="n"/>
      <c r="AJ46" s="33" t="n"/>
      <c r="AK46" s="33" t="n"/>
      <c r="AL46" s="27" t="n"/>
      <c r="AM46" s="34" t="n"/>
      <c r="AN46" s="35">
        <f>IF(AF46="","",IF(AI46="Yes","❌ Disc",IF(AH46="No","⚠ Missing",IF(AK46="Yes","✓ OK","⚠ Check"))))</f>
        <v/>
      </c>
      <c r="AO46" s="36" t="n"/>
      <c r="AP46" s="36" t="n"/>
      <c r="AQ46" s="36" t="n"/>
      <c r="AR46" s="36" t="n"/>
      <c r="AS46" s="36" t="n"/>
      <c r="AT46" s="36" t="n"/>
      <c r="AU46" s="27" t="n"/>
      <c r="AV46" s="37" t="n"/>
      <c r="AW46" s="38">
        <f>IF(AO46="","",IF(AR46="Yes","❌ Disc",IF(AQ46="No","⚠ Missing",IF(AT46="Yes","✓ OK","⚠ Check"))))</f>
        <v/>
      </c>
    </row>
    <row r="47" ht="18" customHeight="1" s="46">
      <c r="A47" s="23" t="n">
        <v>43</v>
      </c>
      <c r="B47" s="24" t="inlineStr">
        <is>
          <t>Sandy Brown-1 Fabric_S31</t>
        </is>
      </c>
      <c r="C47" s="25" t="inlineStr">
        <is>
          <t>Bonito SCB - Fabric Swatches - Sandy Brown-1 Fabric</t>
        </is>
      </c>
      <c r="D47" s="23" t="inlineStr">
        <is>
          <t>Aadeshwar</t>
        </is>
      </c>
      <c r="E47" s="43" t="n">
        <v>46125</v>
      </c>
      <c r="F47" s="26" t="inlineStr">
        <is>
          <t>Sunil CR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Good finish</t>
        </is>
      </c>
      <c r="J47" s="26" t="inlineStr">
        <is>
          <t>Yes</t>
        </is>
      </c>
      <c r="K47" s="27" t="n"/>
      <c r="L47" s="28" t="inlineStr">
        <is>
          <t>No</t>
        </is>
      </c>
      <c r="M47" s="29">
        <f>IF(E47="","",IF(H47="Yes","❌ Disc",IF(G47="No","⚠ Missing",IF(J47="Yes","✓ OK","⚠ Check"))))</f>
        <v/>
      </c>
      <c r="N47" s="43" t="n">
        <v>46139</v>
      </c>
      <c r="O47" s="26" t="inlineStr">
        <is>
          <t>Sunil CR</t>
        </is>
      </c>
      <c r="P47" s="26" t="inlineStr">
        <is>
          <t>Yes</t>
        </is>
      </c>
      <c r="Q47" s="26" t="inlineStr">
        <is>
          <t>No</t>
        </is>
      </c>
      <c r="R47" s="26" t="inlineStr">
        <is>
          <t>Good finish</t>
        </is>
      </c>
      <c r="S47" s="26" t="inlineStr">
        <is>
          <t>Yes</t>
        </is>
      </c>
      <c r="T47" s="27" t="n"/>
      <c r="U47" s="28" t="inlineStr">
        <is>
          <t>No</t>
        </is>
      </c>
      <c r="V47" s="29">
        <f>IF(N47="","",IF(Q47="Yes","❌ Disc",IF(P47="No","⚠ Missing",IF(S47="Yes","✓ OK","⚠ Check"))))</f>
        <v/>
      </c>
      <c r="W47" s="65" t="n">
        <v>46248</v>
      </c>
      <c r="X47" s="30" t="inlineStr">
        <is>
          <t>Sunil CR</t>
        </is>
      </c>
      <c r="Y47" s="30" t="inlineStr">
        <is>
          <t>Yes</t>
        </is>
      </c>
      <c r="Z47" s="30" t="n"/>
      <c r="AA47" s="30" t="inlineStr">
        <is>
          <t>Good finish</t>
        </is>
      </c>
      <c r="AB47" s="30" t="inlineStr">
        <is>
          <t>Yes</t>
        </is>
      </c>
      <c r="AC47" s="27" t="n"/>
      <c r="AD47" s="31" t="inlineStr">
        <is>
          <t>No</t>
        </is>
      </c>
      <c r="AE47" s="32">
        <f>IF(W47="","",IF(Z47="Yes","❌ Disc",IF(Y47="No","⚠ Missing",IF(AB47="Yes","✓ OK","⚠ Check"))))</f>
        <v/>
      </c>
      <c r="AF47" s="33" t="n"/>
      <c r="AG47" s="33" t="n"/>
      <c r="AH47" s="33" t="n"/>
      <c r="AI47" s="33" t="n"/>
      <c r="AJ47" s="33" t="n"/>
      <c r="AK47" s="33" t="n"/>
      <c r="AL47" s="27" t="n"/>
      <c r="AM47" s="34" t="n"/>
      <c r="AN47" s="35">
        <f>IF(AF47="","",IF(AI47="Yes","❌ Disc",IF(AH47="No","⚠ Missing",IF(AK47="Yes","✓ OK","⚠ Check"))))</f>
        <v/>
      </c>
      <c r="AO47" s="36" t="n"/>
      <c r="AP47" s="36" t="n"/>
      <c r="AQ47" s="36" t="n"/>
      <c r="AR47" s="36" t="n"/>
      <c r="AS47" s="36" t="n"/>
      <c r="AT47" s="36" t="n"/>
      <c r="AU47" s="27" t="n"/>
      <c r="AV47" s="37" t="n"/>
      <c r="AW47" s="38">
        <f>IF(AO47="","",IF(AR47="Yes","❌ Disc",IF(AQ47="No","⚠ Missing",IF(AT47="Yes","✓ OK","⚠ Check"))))</f>
        <v/>
      </c>
    </row>
    <row r="48" ht="18" customHeight="1" s="46">
      <c r="A48" s="39" t="n">
        <v>44</v>
      </c>
      <c r="B48" s="40" t="inlineStr">
        <is>
          <t>Sandy Brown-2 Fabric_S32</t>
        </is>
      </c>
      <c r="C48" s="41" t="inlineStr">
        <is>
          <t>Bonito SCB - Fabric Swatches - Sandy Brown-2 Fabric</t>
        </is>
      </c>
      <c r="D48" s="39" t="inlineStr">
        <is>
          <t>Aadeshwar</t>
        </is>
      </c>
      <c r="E48" s="43" t="n">
        <v>46125</v>
      </c>
      <c r="F48" s="26" t="inlineStr">
        <is>
          <t>Sunil CR</t>
        </is>
      </c>
      <c r="G48" s="26" t="inlineStr">
        <is>
          <t>Yes</t>
        </is>
      </c>
      <c r="H48" s="26" t="inlineStr">
        <is>
          <t>No</t>
        </is>
      </c>
      <c r="I48" s="26" t="inlineStr">
        <is>
          <t>Good finish</t>
        </is>
      </c>
      <c r="J48" s="26" t="inlineStr">
        <is>
          <t>Yes</t>
        </is>
      </c>
      <c r="K48" s="27" t="n"/>
      <c r="L48" s="28" t="inlineStr">
        <is>
          <t>No</t>
        </is>
      </c>
      <c r="M48" s="29">
        <f>IF(E48="","",IF(H48="Yes","❌ Disc",IF(G48="No","⚠ Missing",IF(J48="Yes","✓ OK","⚠ Check"))))</f>
        <v/>
      </c>
      <c r="N48" s="43" t="n">
        <v>46139</v>
      </c>
      <c r="O48" s="26" t="inlineStr">
        <is>
          <t>Sunil CR</t>
        </is>
      </c>
      <c r="P48" s="26" t="inlineStr">
        <is>
          <t>Yes</t>
        </is>
      </c>
      <c r="Q48" s="26" t="inlineStr">
        <is>
          <t>No</t>
        </is>
      </c>
      <c r="R48" s="26" t="inlineStr">
        <is>
          <t>Good finish</t>
        </is>
      </c>
      <c r="S48" s="26" t="inlineStr">
        <is>
          <t>Yes</t>
        </is>
      </c>
      <c r="T48" s="27" t="n"/>
      <c r="U48" s="28" t="inlineStr">
        <is>
          <t>No</t>
        </is>
      </c>
      <c r="V48" s="29">
        <f>IF(N48="","",IF(Q48="Yes","❌ Disc",IF(P48="No","⚠ Missing",IF(S48="Yes","✓ OK","⚠ Check"))))</f>
        <v/>
      </c>
      <c r="W48" s="65" t="n">
        <v>46248</v>
      </c>
      <c r="X48" s="30" t="inlineStr">
        <is>
          <t>Sunil CR</t>
        </is>
      </c>
      <c r="Y48" s="30" t="inlineStr">
        <is>
          <t>Yes</t>
        </is>
      </c>
      <c r="Z48" s="30" t="n"/>
      <c r="AA48" s="30" t="inlineStr">
        <is>
          <t>Good finish</t>
        </is>
      </c>
      <c r="AB48" s="30" t="inlineStr">
        <is>
          <t>Yes</t>
        </is>
      </c>
      <c r="AC48" s="27" t="n"/>
      <c r="AD48" s="31" t="inlineStr">
        <is>
          <t>No</t>
        </is>
      </c>
      <c r="AE48" s="32">
        <f>IF(W48="","",IF(Z48="Yes","❌ Disc",IF(Y48="No","⚠ Missing",IF(AB48="Yes","✓ OK","⚠ Check"))))</f>
        <v/>
      </c>
      <c r="AF48" s="33" t="n"/>
      <c r="AG48" s="33" t="n"/>
      <c r="AH48" s="33" t="n"/>
      <c r="AI48" s="33" t="n"/>
      <c r="AJ48" s="33" t="n"/>
      <c r="AK48" s="33" t="n"/>
      <c r="AL48" s="27" t="n"/>
      <c r="AM48" s="34" t="n"/>
      <c r="AN48" s="35">
        <f>IF(AF48="","",IF(AI48="Yes","❌ Disc",IF(AH48="No","⚠ Missing",IF(AK48="Yes","✓ OK","⚠ Check"))))</f>
        <v/>
      </c>
      <c r="AO48" s="36" t="n"/>
      <c r="AP48" s="36" t="n"/>
      <c r="AQ48" s="36" t="n"/>
      <c r="AR48" s="36" t="n"/>
      <c r="AS48" s="36" t="n"/>
      <c r="AT48" s="36" t="n"/>
      <c r="AU48" s="27" t="n"/>
      <c r="AV48" s="37" t="n"/>
      <c r="AW48" s="38">
        <f>IF(AO48="","",IF(AR48="Yes","❌ Disc",IF(AQ48="No","⚠ Missing",IF(AT48="Yes","✓ OK","⚠ Check"))))</f>
        <v/>
      </c>
    </row>
    <row r="49" ht="18" customHeight="1" s="46">
      <c r="A49" s="23" t="n">
        <v>45</v>
      </c>
      <c r="B49" s="24" t="inlineStr">
        <is>
          <t>Sea Blue Fabric_S37</t>
        </is>
      </c>
      <c r="C49" s="25" t="inlineStr">
        <is>
          <t>Bonito SCB - Fabric Swatches - Sea Blue Fabric</t>
        </is>
      </c>
      <c r="D49" s="23" t="inlineStr">
        <is>
          <t>Aadeshwar</t>
        </is>
      </c>
      <c r="E49" s="43" t="n">
        <v>46125</v>
      </c>
      <c r="F49" s="26" t="inlineStr">
        <is>
          <t>Sunil CR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Good finish</t>
        </is>
      </c>
      <c r="J49" s="26" t="inlineStr">
        <is>
          <t>Yes</t>
        </is>
      </c>
      <c r="K49" s="27" t="n"/>
      <c r="L49" s="28" t="inlineStr">
        <is>
          <t>No</t>
        </is>
      </c>
      <c r="M49" s="29">
        <f>IF(E49="","",IF(H49="Yes","❌ Disc",IF(G49="No","⚠ Missing",IF(J49="Yes","✓ OK","⚠ Check"))))</f>
        <v/>
      </c>
      <c r="N49" s="43" t="n">
        <v>46139</v>
      </c>
      <c r="O49" s="26" t="inlineStr">
        <is>
          <t>Sunil CR</t>
        </is>
      </c>
      <c r="P49" s="26" t="inlineStr">
        <is>
          <t>Yes</t>
        </is>
      </c>
      <c r="Q49" s="26" t="inlineStr">
        <is>
          <t>No</t>
        </is>
      </c>
      <c r="R49" s="26" t="inlineStr">
        <is>
          <t>Good finish</t>
        </is>
      </c>
      <c r="S49" s="26" t="inlineStr">
        <is>
          <t>Yes</t>
        </is>
      </c>
      <c r="T49" s="27" t="n"/>
      <c r="U49" s="28" t="inlineStr">
        <is>
          <t>No</t>
        </is>
      </c>
      <c r="V49" s="29">
        <f>IF(N49="","",IF(Q49="Yes","❌ Disc",IF(P49="No","⚠ Missing",IF(S49="Yes","✓ OK","⚠ Check"))))</f>
        <v/>
      </c>
      <c r="W49" s="65" t="n">
        <v>46248</v>
      </c>
      <c r="X49" s="30" t="inlineStr">
        <is>
          <t>Sunil CR</t>
        </is>
      </c>
      <c r="Y49" s="30" t="inlineStr">
        <is>
          <t>Yes</t>
        </is>
      </c>
      <c r="Z49" s="30" t="n"/>
      <c r="AA49" s="30" t="inlineStr">
        <is>
          <t>Good finish</t>
        </is>
      </c>
      <c r="AB49" s="30" t="inlineStr">
        <is>
          <t>Yes</t>
        </is>
      </c>
      <c r="AC49" s="27" t="n"/>
      <c r="AD49" s="31" t="inlineStr">
        <is>
          <t>No</t>
        </is>
      </c>
      <c r="AE49" s="32">
        <f>IF(W49="","",IF(Z49="Yes","❌ Disc",IF(Y49="No","⚠ Missing",IF(AB49="Yes","✓ OK","⚠ Check"))))</f>
        <v/>
      </c>
      <c r="AF49" s="33" t="n"/>
      <c r="AG49" s="33" t="n"/>
      <c r="AH49" s="33" t="n"/>
      <c r="AI49" s="33" t="n"/>
      <c r="AJ49" s="33" t="n"/>
      <c r="AK49" s="33" t="n"/>
      <c r="AL49" s="27" t="n"/>
      <c r="AM49" s="34" t="n"/>
      <c r="AN49" s="35">
        <f>IF(AF49="","",IF(AI49="Yes","❌ Disc",IF(AH49="No","⚠ Missing",IF(AK49="Yes","✓ OK","⚠ Check"))))</f>
        <v/>
      </c>
      <c r="AO49" s="36" t="n"/>
      <c r="AP49" s="36" t="n"/>
      <c r="AQ49" s="36" t="n"/>
      <c r="AR49" s="36" t="n"/>
      <c r="AS49" s="36" t="n"/>
      <c r="AT49" s="36" t="n"/>
      <c r="AU49" s="27" t="n"/>
      <c r="AV49" s="37" t="n"/>
      <c r="AW49" s="38">
        <f>IF(AO49="","",IF(AR49="Yes","❌ Disc",IF(AQ49="No","⚠ Missing",IF(AT49="Yes","✓ OK","⚠ Check"))))</f>
        <v/>
      </c>
    </row>
    <row r="50" ht="18" customHeight="1" s="46">
      <c r="A50" s="39" t="n">
        <v>46</v>
      </c>
      <c r="B50" s="40" t="inlineStr">
        <is>
          <t>Sky Blue Velvet_S15</t>
        </is>
      </c>
      <c r="C50" s="41" t="inlineStr">
        <is>
          <t>Bonito SCB - Fabric Swatches - Sky Blue Velvet</t>
        </is>
      </c>
      <c r="D50" s="39" t="inlineStr">
        <is>
          <t>Aadeshwar</t>
        </is>
      </c>
      <c r="E50" s="43" t="n">
        <v>46125</v>
      </c>
      <c r="F50" s="26" t="inlineStr">
        <is>
          <t>Sunil CR</t>
        </is>
      </c>
      <c r="G50" s="26" t="inlineStr">
        <is>
          <t>Yes</t>
        </is>
      </c>
      <c r="H50" s="26" t="inlineStr">
        <is>
          <t>No</t>
        </is>
      </c>
      <c r="I50" s="26" t="inlineStr">
        <is>
          <t>Good finish</t>
        </is>
      </c>
      <c r="J50" s="26" t="inlineStr">
        <is>
          <t>Yes</t>
        </is>
      </c>
      <c r="K50" s="27" t="n"/>
      <c r="L50" s="28" t="inlineStr">
        <is>
          <t>No</t>
        </is>
      </c>
      <c r="M50" s="29">
        <f>IF(E50="","",IF(H50="Yes","❌ Disc",IF(G50="No","⚠ Missing",IF(J50="Yes","✓ OK","⚠ Check"))))</f>
        <v/>
      </c>
      <c r="N50" s="43" t="n">
        <v>46139</v>
      </c>
      <c r="O50" s="26" t="inlineStr">
        <is>
          <t>Sunil CR</t>
        </is>
      </c>
      <c r="P50" s="26" t="inlineStr">
        <is>
          <t>Yes</t>
        </is>
      </c>
      <c r="Q50" s="26" t="inlineStr">
        <is>
          <t>No</t>
        </is>
      </c>
      <c r="R50" s="26" t="inlineStr">
        <is>
          <t>Good finish</t>
        </is>
      </c>
      <c r="S50" s="26" t="inlineStr">
        <is>
          <t>Yes</t>
        </is>
      </c>
      <c r="T50" s="27" t="n"/>
      <c r="U50" s="28" t="inlineStr">
        <is>
          <t>No</t>
        </is>
      </c>
      <c r="V50" s="29">
        <f>IF(N50="","",IF(Q50="Yes","❌ Disc",IF(P50="No","⚠ Missing",IF(S50="Yes","✓ OK","⚠ Check"))))</f>
        <v/>
      </c>
      <c r="W50" s="65" t="n">
        <v>46248</v>
      </c>
      <c r="X50" s="30" t="inlineStr">
        <is>
          <t>Sunil CR</t>
        </is>
      </c>
      <c r="Y50" s="30" t="inlineStr">
        <is>
          <t>Yes</t>
        </is>
      </c>
      <c r="Z50" s="30" t="n"/>
      <c r="AA50" s="30" t="inlineStr">
        <is>
          <t>Good finish</t>
        </is>
      </c>
      <c r="AB50" s="30" t="inlineStr">
        <is>
          <t>Yes</t>
        </is>
      </c>
      <c r="AC50" s="27" t="n"/>
      <c r="AD50" s="31" t="inlineStr">
        <is>
          <t>No</t>
        </is>
      </c>
      <c r="AE50" s="32">
        <f>IF(W50="","",IF(Z50="Yes","❌ Disc",IF(Y50="No","⚠ Missing",IF(AB50="Yes","✓ OK","⚠ Check"))))</f>
        <v/>
      </c>
      <c r="AF50" s="33" t="n"/>
      <c r="AG50" s="33" t="n"/>
      <c r="AH50" s="33" t="n"/>
      <c r="AI50" s="33" t="n"/>
      <c r="AJ50" s="33" t="n"/>
      <c r="AK50" s="33" t="n"/>
      <c r="AL50" s="27" t="n"/>
      <c r="AM50" s="34" t="n"/>
      <c r="AN50" s="35">
        <f>IF(AF50="","",IF(AI50="Yes","❌ Disc",IF(AH50="No","⚠ Missing",IF(AK50="Yes","✓ OK","⚠ Check"))))</f>
        <v/>
      </c>
      <c r="AO50" s="36" t="n"/>
      <c r="AP50" s="36" t="n"/>
      <c r="AQ50" s="36" t="n"/>
      <c r="AR50" s="36" t="n"/>
      <c r="AS50" s="36" t="n"/>
      <c r="AT50" s="36" t="n"/>
      <c r="AU50" s="27" t="n"/>
      <c r="AV50" s="37" t="n"/>
      <c r="AW50" s="38">
        <f>IF(AO50="","",IF(AR50="Yes","❌ Disc",IF(AQ50="No","⚠ Missing",IF(AT50="Yes","✓ OK","⚠ Check"))))</f>
        <v/>
      </c>
    </row>
    <row r="51" ht="18" customHeight="1" s="46">
      <c r="A51" s="23" t="n">
        <v>47</v>
      </c>
      <c r="B51" s="24" t="inlineStr">
        <is>
          <t>Slate Grey Fabric_S38</t>
        </is>
      </c>
      <c r="C51" s="25" t="inlineStr">
        <is>
          <t>Bonito SCB - Fabric Swatches - Slate Grey Fabric</t>
        </is>
      </c>
      <c r="D51" s="23" t="inlineStr">
        <is>
          <t>Aadeshwar</t>
        </is>
      </c>
      <c r="E51" s="43" t="n">
        <v>46125</v>
      </c>
      <c r="F51" s="26" t="inlineStr">
        <is>
          <t>Sunil CR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Good finish</t>
        </is>
      </c>
      <c r="J51" s="26" t="inlineStr">
        <is>
          <t>Yes</t>
        </is>
      </c>
      <c r="K51" s="27" t="n"/>
      <c r="L51" s="28" t="inlineStr">
        <is>
          <t>No</t>
        </is>
      </c>
      <c r="M51" s="29">
        <f>IF(E51="","",IF(H51="Yes","❌ Disc",IF(G51="No","⚠ Missing",IF(J51="Yes","✓ OK","⚠ Check"))))</f>
        <v/>
      </c>
      <c r="N51" s="43" t="n">
        <v>46139</v>
      </c>
      <c r="O51" s="26" t="inlineStr">
        <is>
          <t>Sunil CR</t>
        </is>
      </c>
      <c r="P51" s="26" t="inlineStr">
        <is>
          <t>Yes</t>
        </is>
      </c>
      <c r="Q51" s="26" t="inlineStr">
        <is>
          <t>No</t>
        </is>
      </c>
      <c r="R51" s="26" t="inlineStr">
        <is>
          <t>Good finish</t>
        </is>
      </c>
      <c r="S51" s="26" t="inlineStr">
        <is>
          <t>Yes</t>
        </is>
      </c>
      <c r="T51" s="27" t="n"/>
      <c r="U51" s="28" t="inlineStr">
        <is>
          <t>No</t>
        </is>
      </c>
      <c r="V51" s="29">
        <f>IF(N51="","",IF(Q51="Yes","❌ Disc",IF(P51="No","⚠ Missing",IF(S51="Yes","✓ OK","⚠ Check"))))</f>
        <v/>
      </c>
      <c r="W51" s="65" t="n">
        <v>46248</v>
      </c>
      <c r="X51" s="30" t="inlineStr">
        <is>
          <t>Sunil CR</t>
        </is>
      </c>
      <c r="Y51" s="30" t="inlineStr">
        <is>
          <t>Yes</t>
        </is>
      </c>
      <c r="Z51" s="30" t="n"/>
      <c r="AA51" s="30" t="inlineStr">
        <is>
          <t>Good finish</t>
        </is>
      </c>
      <c r="AB51" s="30" t="inlineStr">
        <is>
          <t>Yes</t>
        </is>
      </c>
      <c r="AC51" s="27" t="n"/>
      <c r="AD51" s="31" t="inlineStr">
        <is>
          <t>No</t>
        </is>
      </c>
      <c r="AE51" s="32">
        <f>IF(W51="","",IF(Z51="Yes","❌ Disc",IF(Y51="No","⚠ Missing",IF(AB51="Yes","✓ OK","⚠ Check"))))</f>
        <v/>
      </c>
      <c r="AF51" s="33" t="n"/>
      <c r="AG51" s="33" t="n"/>
      <c r="AH51" s="33" t="n"/>
      <c r="AI51" s="33" t="n"/>
      <c r="AJ51" s="33" t="n"/>
      <c r="AK51" s="33" t="n"/>
      <c r="AL51" s="27" t="n"/>
      <c r="AM51" s="34" t="n"/>
      <c r="AN51" s="35">
        <f>IF(AF51="","",IF(AI51="Yes","❌ Disc",IF(AH51="No","⚠ Missing",IF(AK51="Yes","✓ OK","⚠ Check"))))</f>
        <v/>
      </c>
      <c r="AO51" s="36" t="n"/>
      <c r="AP51" s="36" t="n"/>
      <c r="AQ51" s="36" t="n"/>
      <c r="AR51" s="36" t="n"/>
      <c r="AS51" s="36" t="n"/>
      <c r="AT51" s="36" t="n"/>
      <c r="AU51" s="27" t="n"/>
      <c r="AV51" s="37" t="n"/>
      <c r="AW51" s="38">
        <f>IF(AO51="","",IF(AR51="Yes","❌ Disc",IF(AQ51="No","⚠ Missing",IF(AT51="Yes","✓ OK","⚠ Check"))))</f>
        <v/>
      </c>
    </row>
    <row r="52" ht="18" customHeight="1" s="46">
      <c r="A52" s="39" t="n">
        <v>48</v>
      </c>
      <c r="B52" s="40" t="inlineStr">
        <is>
          <t>Spruce Blue Fabric_S36</t>
        </is>
      </c>
      <c r="C52" s="41" t="inlineStr">
        <is>
          <t>Bonito SCB - Fabric Swatches - Spruce Blue Fabric</t>
        </is>
      </c>
      <c r="D52" s="39" t="inlineStr">
        <is>
          <t>Aadeshwar</t>
        </is>
      </c>
      <c r="E52" s="43" t="n">
        <v>46125</v>
      </c>
      <c r="F52" s="26" t="inlineStr">
        <is>
          <t>Sunil CR</t>
        </is>
      </c>
      <c r="G52" s="26" t="inlineStr">
        <is>
          <t>Yes</t>
        </is>
      </c>
      <c r="H52" s="26" t="inlineStr">
        <is>
          <t>No</t>
        </is>
      </c>
      <c r="I52" s="26" t="inlineStr">
        <is>
          <t>Good finish</t>
        </is>
      </c>
      <c r="J52" s="26" t="inlineStr">
        <is>
          <t>Yes</t>
        </is>
      </c>
      <c r="K52" s="27" t="n"/>
      <c r="L52" s="28" t="inlineStr">
        <is>
          <t>No</t>
        </is>
      </c>
      <c r="M52" s="29">
        <f>IF(E52="","",IF(H52="Yes","❌ Disc",IF(G52="No","⚠ Missing",IF(J52="Yes","✓ OK","⚠ Check"))))</f>
        <v/>
      </c>
      <c r="N52" s="43" t="n">
        <v>46139</v>
      </c>
      <c r="O52" s="26" t="inlineStr">
        <is>
          <t>Sunil CR</t>
        </is>
      </c>
      <c r="P52" s="26" t="inlineStr">
        <is>
          <t>Yes</t>
        </is>
      </c>
      <c r="Q52" s="26" t="inlineStr">
        <is>
          <t>No</t>
        </is>
      </c>
      <c r="R52" s="26" t="inlineStr">
        <is>
          <t>Good finish</t>
        </is>
      </c>
      <c r="S52" s="26" t="inlineStr">
        <is>
          <t>Yes</t>
        </is>
      </c>
      <c r="T52" s="27" t="n"/>
      <c r="U52" s="28" t="inlineStr">
        <is>
          <t>No</t>
        </is>
      </c>
      <c r="V52" s="29">
        <f>IF(N52="","",IF(Q52="Yes","❌ Disc",IF(P52="No","⚠ Missing",IF(S52="Yes","✓ OK","⚠ Check"))))</f>
        <v/>
      </c>
      <c r="W52" s="65" t="n">
        <v>46248</v>
      </c>
      <c r="X52" s="30" t="inlineStr">
        <is>
          <t>Sunil CR</t>
        </is>
      </c>
      <c r="Y52" s="30" t="inlineStr">
        <is>
          <t>Yes</t>
        </is>
      </c>
      <c r="Z52" s="30" t="n"/>
      <c r="AA52" s="30" t="inlineStr">
        <is>
          <t>Good finish</t>
        </is>
      </c>
      <c r="AB52" s="30" t="inlineStr">
        <is>
          <t>Yes</t>
        </is>
      </c>
      <c r="AC52" s="27" t="n"/>
      <c r="AD52" s="31" t="inlineStr">
        <is>
          <t>No</t>
        </is>
      </c>
      <c r="AE52" s="32">
        <f>IF(W52="","",IF(Z52="Yes","❌ Disc",IF(Y52="No","⚠ Missing",IF(AB52="Yes","✓ OK","⚠ Check"))))</f>
        <v/>
      </c>
      <c r="AF52" s="33" t="n"/>
      <c r="AG52" s="33" t="n"/>
      <c r="AH52" s="33" t="n"/>
      <c r="AI52" s="33" t="n"/>
      <c r="AJ52" s="33" t="n"/>
      <c r="AK52" s="33" t="n"/>
      <c r="AL52" s="27" t="n"/>
      <c r="AM52" s="34" t="n"/>
      <c r="AN52" s="35">
        <f>IF(AF52="","",IF(AI52="Yes","❌ Disc",IF(AH52="No","⚠ Missing",IF(AK52="Yes","✓ OK","⚠ Check"))))</f>
        <v/>
      </c>
      <c r="AO52" s="36" t="n"/>
      <c r="AP52" s="36" t="n"/>
      <c r="AQ52" s="36" t="n"/>
      <c r="AR52" s="36" t="n"/>
      <c r="AS52" s="36" t="n"/>
      <c r="AT52" s="36" t="n"/>
      <c r="AU52" s="27" t="n"/>
      <c r="AV52" s="37" t="n"/>
      <c r="AW52" s="38">
        <f>IF(AO52="","",IF(AR52="Yes","❌ Disc",IF(AQ52="No","⚠ Missing",IF(AT52="Yes","✓ OK","⚠ Check"))))</f>
        <v/>
      </c>
    </row>
    <row r="53" ht="18" customHeight="1" s="46">
      <c r="A53" s="23" t="n">
        <v>49</v>
      </c>
      <c r="B53" s="24" t="inlineStr">
        <is>
          <t>Steel Grey Fabric_S39</t>
        </is>
      </c>
      <c r="C53" s="25" t="inlineStr">
        <is>
          <t>Bonito SCB - Fabric Swatches - Steel Grey Fabric</t>
        </is>
      </c>
      <c r="D53" s="23" t="inlineStr">
        <is>
          <t>Aadeshwar</t>
        </is>
      </c>
      <c r="E53" s="43" t="n">
        <v>46125</v>
      </c>
      <c r="F53" s="26" t="inlineStr">
        <is>
          <t>Sunil CR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Good finish</t>
        </is>
      </c>
      <c r="J53" s="26" t="inlineStr">
        <is>
          <t>Yes</t>
        </is>
      </c>
      <c r="K53" s="27" t="n"/>
      <c r="L53" s="28" t="inlineStr">
        <is>
          <t>No</t>
        </is>
      </c>
      <c r="M53" s="29">
        <f>IF(E53="","",IF(H53="Yes","❌ Disc",IF(G53="No","⚠ Missing",IF(J53="Yes","✓ OK","⚠ Check"))))</f>
        <v/>
      </c>
      <c r="N53" s="43" t="n">
        <v>46139</v>
      </c>
      <c r="O53" s="26" t="inlineStr">
        <is>
          <t>Sunil CR</t>
        </is>
      </c>
      <c r="P53" s="26" t="inlineStr">
        <is>
          <t>Yes</t>
        </is>
      </c>
      <c r="Q53" s="26" t="inlineStr">
        <is>
          <t>No</t>
        </is>
      </c>
      <c r="R53" s="26" t="inlineStr">
        <is>
          <t>Good finish</t>
        </is>
      </c>
      <c r="S53" s="26" t="inlineStr">
        <is>
          <t>Yes</t>
        </is>
      </c>
      <c r="T53" s="27" t="n"/>
      <c r="U53" s="28" t="inlineStr">
        <is>
          <t>No</t>
        </is>
      </c>
      <c r="V53" s="29">
        <f>IF(N53="","",IF(Q53="Yes","❌ Disc",IF(P53="No","⚠ Missing",IF(S53="Yes","✓ OK","⚠ Check"))))</f>
        <v/>
      </c>
      <c r="W53" s="65" t="n">
        <v>46248</v>
      </c>
      <c r="X53" s="30" t="inlineStr">
        <is>
          <t>Sunil CR</t>
        </is>
      </c>
      <c r="Y53" s="30" t="inlineStr">
        <is>
          <t>Yes</t>
        </is>
      </c>
      <c r="Z53" s="30" t="n"/>
      <c r="AA53" s="30" t="inlineStr">
        <is>
          <t>Good finish</t>
        </is>
      </c>
      <c r="AB53" s="30" t="inlineStr">
        <is>
          <t>Yes</t>
        </is>
      </c>
      <c r="AC53" s="27" t="n"/>
      <c r="AD53" s="31" t="inlineStr">
        <is>
          <t>No</t>
        </is>
      </c>
      <c r="AE53" s="32">
        <f>IF(W53="","",IF(Z53="Yes","❌ Disc",IF(Y53="No","⚠ Missing",IF(AB53="Yes","✓ OK","⚠ Check"))))</f>
        <v/>
      </c>
      <c r="AF53" s="33" t="n"/>
      <c r="AG53" s="33" t="n"/>
      <c r="AH53" s="33" t="n"/>
      <c r="AI53" s="33" t="n"/>
      <c r="AJ53" s="33" t="n"/>
      <c r="AK53" s="33" t="n"/>
      <c r="AL53" s="27" t="n"/>
      <c r="AM53" s="34" t="n"/>
      <c r="AN53" s="35">
        <f>IF(AF53="","",IF(AI53="Yes","❌ Disc",IF(AH53="No","⚠ Missing",IF(AK53="Yes","✓ OK","⚠ Check"))))</f>
        <v/>
      </c>
      <c r="AO53" s="36" t="n"/>
      <c r="AP53" s="36" t="n"/>
      <c r="AQ53" s="36" t="n"/>
      <c r="AR53" s="36" t="n"/>
      <c r="AS53" s="36" t="n"/>
      <c r="AT53" s="36" t="n"/>
      <c r="AU53" s="27" t="n"/>
      <c r="AV53" s="37" t="n"/>
      <c r="AW53" s="38">
        <f>IF(AO53="","",IF(AR53="Yes","❌ Disc",IF(AQ53="No","⚠ Missing",IF(AT53="Yes","✓ OK","⚠ Check"))))</f>
        <v/>
      </c>
    </row>
    <row r="54" ht="18" customHeight="1" s="46">
      <c r="A54" s="39" t="n">
        <v>50</v>
      </c>
      <c r="B54" s="40" t="inlineStr">
        <is>
          <t>Teal Blue Velvet_S1</t>
        </is>
      </c>
      <c r="C54" s="41" t="inlineStr">
        <is>
          <t>Bonito SCB - Fabric Swatches - Teal Blue Velvet</t>
        </is>
      </c>
      <c r="D54" s="39" t="inlineStr">
        <is>
          <t>Aadeshwar</t>
        </is>
      </c>
      <c r="E54" s="43" t="n">
        <v>46125</v>
      </c>
      <c r="F54" s="26" t="inlineStr">
        <is>
          <t>Sunil CR</t>
        </is>
      </c>
      <c r="G54" s="26" t="inlineStr">
        <is>
          <t>Yes</t>
        </is>
      </c>
      <c r="H54" s="26" t="inlineStr">
        <is>
          <t>No</t>
        </is>
      </c>
      <c r="I54" s="26" t="inlineStr">
        <is>
          <t>Good finish</t>
        </is>
      </c>
      <c r="J54" s="26" t="inlineStr">
        <is>
          <t>Yes</t>
        </is>
      </c>
      <c r="K54" s="27" t="n"/>
      <c r="L54" s="28" t="inlineStr">
        <is>
          <t>No</t>
        </is>
      </c>
      <c r="M54" s="29">
        <f>IF(E54="","",IF(H54="Yes","❌ Disc",IF(G54="No","⚠ Missing",IF(J54="Yes","✓ OK","⚠ Check"))))</f>
        <v/>
      </c>
      <c r="N54" s="43" t="n">
        <v>46139</v>
      </c>
      <c r="O54" s="26" t="inlineStr">
        <is>
          <t>Sunil CR</t>
        </is>
      </c>
      <c r="P54" s="26" t="inlineStr">
        <is>
          <t>Yes</t>
        </is>
      </c>
      <c r="Q54" s="26" t="inlineStr">
        <is>
          <t>No</t>
        </is>
      </c>
      <c r="R54" s="26" t="inlineStr">
        <is>
          <t>Good finish</t>
        </is>
      </c>
      <c r="S54" s="26" t="inlineStr">
        <is>
          <t>Yes</t>
        </is>
      </c>
      <c r="T54" s="27" t="n"/>
      <c r="U54" s="28" t="inlineStr">
        <is>
          <t>No</t>
        </is>
      </c>
      <c r="V54" s="29">
        <f>IF(N54="","",IF(Q54="Yes","❌ Disc",IF(P54="No","⚠ Missing",IF(S54="Yes","✓ OK","⚠ Check"))))</f>
        <v/>
      </c>
      <c r="W54" s="65" t="n">
        <v>46248</v>
      </c>
      <c r="X54" s="30" t="inlineStr">
        <is>
          <t>Sunil CR</t>
        </is>
      </c>
      <c r="Y54" s="30" t="inlineStr">
        <is>
          <t>Yes</t>
        </is>
      </c>
      <c r="Z54" s="30" t="n"/>
      <c r="AA54" s="30" t="inlineStr">
        <is>
          <t>Good finish</t>
        </is>
      </c>
      <c r="AB54" s="30" t="inlineStr">
        <is>
          <t>Yes</t>
        </is>
      </c>
      <c r="AC54" s="27" t="n"/>
      <c r="AD54" s="31" t="inlineStr">
        <is>
          <t>No</t>
        </is>
      </c>
      <c r="AE54" s="32">
        <f>IF(W54="","",IF(Z54="Yes","❌ Disc",IF(Y54="No","⚠ Missing",IF(AB54="Yes","✓ OK","⚠ Check"))))</f>
        <v/>
      </c>
      <c r="AF54" s="33" t="n"/>
      <c r="AG54" s="33" t="n"/>
      <c r="AH54" s="33" t="n"/>
      <c r="AI54" s="33" t="n"/>
      <c r="AJ54" s="33" t="n"/>
      <c r="AK54" s="33" t="n"/>
      <c r="AL54" s="27" t="n"/>
      <c r="AM54" s="34" t="n"/>
      <c r="AN54" s="35">
        <f>IF(AF54="","",IF(AI54="Yes","❌ Disc",IF(AH54="No","⚠ Missing",IF(AK54="Yes","✓ OK","⚠ Check"))))</f>
        <v/>
      </c>
      <c r="AO54" s="36" t="n"/>
      <c r="AP54" s="36" t="n"/>
      <c r="AQ54" s="36" t="n"/>
      <c r="AR54" s="36" t="n"/>
      <c r="AS54" s="36" t="n"/>
      <c r="AT54" s="36" t="n"/>
      <c r="AU54" s="27" t="n"/>
      <c r="AV54" s="37" t="n"/>
      <c r="AW54" s="38">
        <f>IF(AO54="","",IF(AR54="Yes","❌ Disc",IF(AQ54="No","⚠ Missing",IF(AT54="Yes","✓ OK","⚠ Check"))))</f>
        <v/>
      </c>
    </row>
    <row r="55" ht="18" customHeight="1" s="46">
      <c r="A55" s="23" t="n">
        <v>51</v>
      </c>
      <c r="B55" s="24" t="inlineStr">
        <is>
          <t>Textured Fawn Velvet_S25</t>
        </is>
      </c>
      <c r="C55" s="25" t="inlineStr">
        <is>
          <t>Bonito SCB - Fabric Swatches - Textured Fawn Velvet</t>
        </is>
      </c>
      <c r="D55" s="23" t="inlineStr">
        <is>
          <t>Aadeshwar</t>
        </is>
      </c>
      <c r="E55" s="43" t="n">
        <v>46125</v>
      </c>
      <c r="F55" s="26" t="inlineStr">
        <is>
          <t>Sunil CR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Good finish</t>
        </is>
      </c>
      <c r="J55" s="26" t="inlineStr">
        <is>
          <t>Yes</t>
        </is>
      </c>
      <c r="K55" s="27" t="n"/>
      <c r="L55" s="28" t="inlineStr">
        <is>
          <t>No</t>
        </is>
      </c>
      <c r="M55" s="29">
        <f>IF(E55="","",IF(H55="Yes","❌ Disc",IF(G55="No","⚠ Missing",IF(J55="Yes","✓ OK","⚠ Check"))))</f>
        <v/>
      </c>
      <c r="N55" s="43" t="n">
        <v>46139</v>
      </c>
      <c r="O55" s="26" t="inlineStr">
        <is>
          <t>Sunil CR</t>
        </is>
      </c>
      <c r="P55" s="26" t="inlineStr">
        <is>
          <t>Yes</t>
        </is>
      </c>
      <c r="Q55" s="26" t="inlineStr">
        <is>
          <t>No</t>
        </is>
      </c>
      <c r="R55" s="26" t="inlineStr">
        <is>
          <t>Good finish</t>
        </is>
      </c>
      <c r="S55" s="26" t="inlineStr">
        <is>
          <t>Yes</t>
        </is>
      </c>
      <c r="T55" s="27" t="n"/>
      <c r="U55" s="28" t="inlineStr">
        <is>
          <t>No</t>
        </is>
      </c>
      <c r="V55" s="29">
        <f>IF(N55="","",IF(Q55="Yes","❌ Disc",IF(P55="No","⚠ Missing",IF(S55="Yes","✓ OK","⚠ Check"))))</f>
        <v/>
      </c>
      <c r="W55" s="65" t="n">
        <v>46248</v>
      </c>
      <c r="X55" s="30" t="inlineStr">
        <is>
          <t>Sunil CR</t>
        </is>
      </c>
      <c r="Y55" s="30" t="inlineStr">
        <is>
          <t>Yes</t>
        </is>
      </c>
      <c r="Z55" s="30" t="n"/>
      <c r="AA55" s="30" t="inlineStr">
        <is>
          <t>Good finish</t>
        </is>
      </c>
      <c r="AB55" s="30" t="inlineStr">
        <is>
          <t>Yes</t>
        </is>
      </c>
      <c r="AC55" s="27" t="n"/>
      <c r="AD55" s="31" t="inlineStr">
        <is>
          <t>No</t>
        </is>
      </c>
      <c r="AE55" s="32">
        <f>IF(W55="","",IF(Z55="Yes","❌ Disc",IF(Y55="No","⚠ Missing",IF(AB55="Yes","✓ OK","⚠ Check"))))</f>
        <v/>
      </c>
      <c r="AF55" s="33" t="n"/>
      <c r="AG55" s="33" t="n"/>
      <c r="AH55" s="33" t="n"/>
      <c r="AI55" s="33" t="n"/>
      <c r="AJ55" s="33" t="n"/>
      <c r="AK55" s="33" t="n"/>
      <c r="AL55" s="27" t="n"/>
      <c r="AM55" s="34" t="n"/>
      <c r="AN55" s="35">
        <f>IF(AF55="","",IF(AI55="Yes","❌ Disc",IF(AH55="No","⚠ Missing",IF(AK55="Yes","✓ OK","⚠ Check"))))</f>
        <v/>
      </c>
      <c r="AO55" s="36" t="n"/>
      <c r="AP55" s="36" t="n"/>
      <c r="AQ55" s="36" t="n"/>
      <c r="AR55" s="36" t="n"/>
      <c r="AS55" s="36" t="n"/>
      <c r="AT55" s="36" t="n"/>
      <c r="AU55" s="27" t="n"/>
      <c r="AV55" s="37" t="n"/>
      <c r="AW55" s="38">
        <f>IF(AO55="","",IF(AR55="Yes","❌ Disc",IF(AQ55="No","⚠ Missing",IF(AT55="Yes","✓ OK","⚠ Check"))))</f>
        <v/>
      </c>
    </row>
    <row r="56" ht="18" customHeight="1" s="46">
      <c r="A56" s="39" t="n">
        <v>52</v>
      </c>
      <c r="B56" s="40" t="inlineStr">
        <is>
          <t>Textured Suede Velvet_S26</t>
        </is>
      </c>
      <c r="C56" s="41" t="inlineStr">
        <is>
          <t>Bonito SCB - Fabric Swatches - Textured Suede Velvet</t>
        </is>
      </c>
      <c r="D56" s="39" t="inlineStr">
        <is>
          <t>Aadeshwar</t>
        </is>
      </c>
      <c r="E56" s="43" t="n">
        <v>46125</v>
      </c>
      <c r="F56" s="26" t="inlineStr">
        <is>
          <t>Sunil CR</t>
        </is>
      </c>
      <c r="G56" s="26" t="inlineStr">
        <is>
          <t>Yes</t>
        </is>
      </c>
      <c r="H56" s="26" t="inlineStr">
        <is>
          <t>No</t>
        </is>
      </c>
      <c r="I56" s="26" t="inlineStr">
        <is>
          <t>Good finish</t>
        </is>
      </c>
      <c r="J56" s="26" t="inlineStr">
        <is>
          <t>Yes</t>
        </is>
      </c>
      <c r="K56" s="27" t="n"/>
      <c r="L56" s="28" t="inlineStr">
        <is>
          <t>No</t>
        </is>
      </c>
      <c r="M56" s="29">
        <f>IF(E56="","",IF(H56="Yes","❌ Disc",IF(G56="No","⚠ Missing",IF(J56="Yes","✓ OK","⚠ Check"))))</f>
        <v/>
      </c>
      <c r="N56" s="43" t="n">
        <v>46139</v>
      </c>
      <c r="O56" s="26" t="inlineStr">
        <is>
          <t>Sunil CR</t>
        </is>
      </c>
      <c r="P56" s="26" t="inlineStr">
        <is>
          <t>Yes</t>
        </is>
      </c>
      <c r="Q56" s="26" t="inlineStr">
        <is>
          <t>No</t>
        </is>
      </c>
      <c r="R56" s="26" t="inlineStr">
        <is>
          <t>Good finish</t>
        </is>
      </c>
      <c r="S56" s="26" t="inlineStr">
        <is>
          <t>Yes</t>
        </is>
      </c>
      <c r="T56" s="27" t="n"/>
      <c r="U56" s="28" t="inlineStr">
        <is>
          <t>No</t>
        </is>
      </c>
      <c r="V56" s="29">
        <f>IF(N56="","",IF(Q56="Yes","❌ Disc",IF(P56="No","⚠ Missing",IF(S56="Yes","✓ OK","⚠ Check"))))</f>
        <v/>
      </c>
      <c r="W56" s="65" t="n">
        <v>46248</v>
      </c>
      <c r="X56" s="30" t="inlineStr">
        <is>
          <t>Sunil CR</t>
        </is>
      </c>
      <c r="Y56" s="30" t="inlineStr">
        <is>
          <t>Yes</t>
        </is>
      </c>
      <c r="Z56" s="30" t="n"/>
      <c r="AA56" s="30" t="inlineStr">
        <is>
          <t>Good finish</t>
        </is>
      </c>
      <c r="AB56" s="30" t="inlineStr">
        <is>
          <t>Yes</t>
        </is>
      </c>
      <c r="AC56" s="27" t="n"/>
      <c r="AD56" s="31" t="inlineStr">
        <is>
          <t>No</t>
        </is>
      </c>
      <c r="AE56" s="32">
        <f>IF(W56="","",IF(Z56="Yes","❌ Disc",IF(Y56="No","⚠ Missing",IF(AB56="Yes","✓ OK","⚠ Check"))))</f>
        <v/>
      </c>
      <c r="AF56" s="33" t="n"/>
      <c r="AG56" s="33" t="n"/>
      <c r="AH56" s="33" t="n"/>
      <c r="AI56" s="33" t="n"/>
      <c r="AJ56" s="33" t="n"/>
      <c r="AK56" s="33" t="n"/>
      <c r="AL56" s="27" t="n"/>
      <c r="AM56" s="34" t="n"/>
      <c r="AN56" s="35">
        <f>IF(AF56="","",IF(AI56="Yes","❌ Disc",IF(AH56="No","⚠ Missing",IF(AK56="Yes","✓ OK","⚠ Check"))))</f>
        <v/>
      </c>
      <c r="AO56" s="36" t="n"/>
      <c r="AP56" s="36" t="n"/>
      <c r="AQ56" s="36" t="n"/>
      <c r="AR56" s="36" t="n"/>
      <c r="AS56" s="36" t="n"/>
      <c r="AT56" s="36" t="n"/>
      <c r="AU56" s="27" t="n"/>
      <c r="AV56" s="37" t="n"/>
      <c r="AW56" s="38">
        <f>IF(AO56="","",IF(AR56="Yes","❌ Disc",IF(AQ56="No","⚠ Missing",IF(AT56="Yes","✓ OK","⚠ Check"))))</f>
        <v/>
      </c>
    </row>
    <row r="57" ht="18" customHeight="1" s="46">
      <c r="A57" s="23" t="n">
        <v>53</v>
      </c>
      <c r="B57" s="24" t="inlineStr">
        <is>
          <t>Wine Red Velvet_S14</t>
        </is>
      </c>
      <c r="C57" s="25" t="inlineStr">
        <is>
          <t>Bonito SCB - Fabric Swatches - Wine Red Velvet</t>
        </is>
      </c>
      <c r="D57" s="23" t="inlineStr">
        <is>
          <t>Aadeshwar</t>
        </is>
      </c>
      <c r="E57" s="43" t="n">
        <v>46125</v>
      </c>
      <c r="F57" s="26" t="inlineStr">
        <is>
          <t>Sunil CR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Good finish</t>
        </is>
      </c>
      <c r="J57" s="26" t="inlineStr">
        <is>
          <t>Yes</t>
        </is>
      </c>
      <c r="K57" s="27" t="n"/>
      <c r="L57" s="28" t="inlineStr">
        <is>
          <t>No</t>
        </is>
      </c>
      <c r="M57" s="29">
        <f>IF(E57="","",IF(H57="Yes","❌ Disc",IF(G57="No","⚠ Missing",IF(J57="Yes","✓ OK","⚠ Check"))))</f>
        <v/>
      </c>
      <c r="N57" s="43" t="n">
        <v>46139</v>
      </c>
      <c r="O57" s="26" t="inlineStr">
        <is>
          <t>Sunil CR</t>
        </is>
      </c>
      <c r="P57" s="26" t="inlineStr">
        <is>
          <t>Yes</t>
        </is>
      </c>
      <c r="Q57" s="26" t="inlineStr">
        <is>
          <t>No</t>
        </is>
      </c>
      <c r="R57" s="26" t="inlineStr">
        <is>
          <t>Good finish</t>
        </is>
      </c>
      <c r="S57" s="26" t="inlineStr">
        <is>
          <t>Yes</t>
        </is>
      </c>
      <c r="T57" s="27" t="n"/>
      <c r="U57" s="28" t="inlineStr">
        <is>
          <t>No</t>
        </is>
      </c>
      <c r="V57" s="29">
        <f>IF(N57="","",IF(Q57="Yes","❌ Disc",IF(P57="No","⚠ Missing",IF(S57="Yes","✓ OK","⚠ Check"))))</f>
        <v/>
      </c>
      <c r="W57" s="65" t="n">
        <v>46248</v>
      </c>
      <c r="X57" s="30" t="inlineStr">
        <is>
          <t>Sunil CR</t>
        </is>
      </c>
      <c r="Y57" s="30" t="inlineStr">
        <is>
          <t>Yes</t>
        </is>
      </c>
      <c r="Z57" s="30" t="n"/>
      <c r="AA57" s="30" t="inlineStr">
        <is>
          <t>Good finish</t>
        </is>
      </c>
      <c r="AB57" s="30" t="inlineStr">
        <is>
          <t>Yes</t>
        </is>
      </c>
      <c r="AC57" s="27" t="n"/>
      <c r="AD57" s="31" t="inlineStr">
        <is>
          <t>No</t>
        </is>
      </c>
      <c r="AE57" s="32">
        <f>IF(W57="","",IF(Z57="Yes","❌ Disc",IF(Y57="No","⚠ Missing",IF(AB57="Yes","✓ OK","⚠ Check"))))</f>
        <v/>
      </c>
      <c r="AF57" s="33" t="n"/>
      <c r="AG57" s="33" t="n"/>
      <c r="AH57" s="33" t="n"/>
      <c r="AI57" s="33" t="n"/>
      <c r="AJ57" s="33" t="n"/>
      <c r="AK57" s="33" t="n"/>
      <c r="AL57" s="27" t="n"/>
      <c r="AM57" s="34" t="n"/>
      <c r="AN57" s="35">
        <f>IF(AF57="","",IF(AI57="Yes","❌ Disc",IF(AH57="No","⚠ Missing",IF(AK57="Yes","✓ OK","⚠ Check"))))</f>
        <v/>
      </c>
      <c r="AO57" s="36" t="n"/>
      <c r="AP57" s="36" t="n"/>
      <c r="AQ57" s="36" t="n"/>
      <c r="AR57" s="36" t="n"/>
      <c r="AS57" s="36" t="n"/>
      <c r="AT57" s="36" t="n"/>
      <c r="AU57" s="27" t="n"/>
      <c r="AV57" s="37" t="n"/>
      <c r="AW57" s="38">
        <f>IF(AO57="","",IF(AR57="Yes","❌ Disc",IF(AQ57="No","⚠ Missing",IF(AT57="Yes","✓ OK","⚠ Check"))))</f>
        <v/>
      </c>
    </row>
    <row r="58" ht="18" customHeight="1" s="46">
      <c r="A58" s="39" t="n">
        <v>54</v>
      </c>
      <c r="B58" s="40" t="inlineStr">
        <is>
          <t>Apple Green -138</t>
        </is>
      </c>
      <c r="C58" s="41" t="inlineStr">
        <is>
          <t>Febonic Fabric - Buckle - Apple Green -138</t>
        </is>
      </c>
      <c r="D58" s="39" t="inlineStr">
        <is>
          <t>Febonic</t>
        </is>
      </c>
      <c r="E58" s="43" t="n">
        <v>46125</v>
      </c>
      <c r="F58" s="26" t="inlineStr">
        <is>
          <t>Sunil CR</t>
        </is>
      </c>
      <c r="G58" s="26" t="inlineStr">
        <is>
          <t>Yes</t>
        </is>
      </c>
      <c r="H58" s="26" t="inlineStr">
        <is>
          <t>No</t>
        </is>
      </c>
      <c r="I58" s="26" t="inlineStr">
        <is>
          <t>Good finish</t>
        </is>
      </c>
      <c r="J58" s="26" t="inlineStr">
        <is>
          <t>Yes</t>
        </is>
      </c>
      <c r="K58" s="27" t="n"/>
      <c r="L58" s="28" t="inlineStr">
        <is>
          <t>No</t>
        </is>
      </c>
      <c r="M58" s="29">
        <f>IF(E58="","",IF(H58="Yes","❌ Disc",IF(G58="No","⚠ Missing",IF(J58="Yes","✓ OK","⚠ Check"))))</f>
        <v/>
      </c>
      <c r="N58" s="43" t="n">
        <v>46139</v>
      </c>
      <c r="O58" s="26" t="inlineStr">
        <is>
          <t>Sunil CR</t>
        </is>
      </c>
      <c r="P58" s="26" t="inlineStr">
        <is>
          <t>No</t>
        </is>
      </c>
      <c r="Q58" s="26" t="inlineStr">
        <is>
          <t>Yes</t>
        </is>
      </c>
      <c r="R58" s="26" t="inlineStr">
        <is>
          <t>Discontinued</t>
        </is>
      </c>
      <c r="S58" s="26" t="inlineStr">
        <is>
          <t>No</t>
        </is>
      </c>
      <c r="T58" s="27" t="n"/>
      <c r="U58" s="28" t="inlineStr">
        <is>
          <t>No</t>
        </is>
      </c>
      <c r="V58" s="29">
        <f>IF(N58="","",IF(Q58="Yes","❌ Disc",IF(P58="No","⚠ Missing",IF(S58="Yes","✓ OK","⚠ Check"))))</f>
        <v/>
      </c>
      <c r="W58" s="65" t="n">
        <v>46248</v>
      </c>
      <c r="X58" s="30" t="inlineStr">
        <is>
          <t>Sunil CR</t>
        </is>
      </c>
      <c r="Y58" s="30" t="inlineStr">
        <is>
          <t>No</t>
        </is>
      </c>
      <c r="Z58" s="30" t="n"/>
      <c r="AA58" s="30" t="inlineStr">
        <is>
          <t>Discontinued</t>
        </is>
      </c>
      <c r="AB58" s="30" t="inlineStr">
        <is>
          <t>No</t>
        </is>
      </c>
      <c r="AC58" s="27" t="n"/>
      <c r="AD58" s="31" t="inlineStr">
        <is>
          <t>No</t>
        </is>
      </c>
      <c r="AE58" s="32">
        <f>IF(W58="","",IF(Z58="Yes","❌ Disc",IF(Y58="No","⚠ Missing",IF(AB58="Yes","✓ OK","⚠ Check"))))</f>
        <v/>
      </c>
      <c r="AF58" s="33" t="n"/>
      <c r="AG58" s="33" t="n"/>
      <c r="AH58" s="33" t="n"/>
      <c r="AI58" s="33" t="n"/>
      <c r="AJ58" s="33" t="n"/>
      <c r="AK58" s="33" t="n"/>
      <c r="AL58" s="27" t="n"/>
      <c r="AM58" s="34" t="n"/>
      <c r="AN58" s="35">
        <f>IF(AF58="","",IF(AI58="Yes","❌ Disc",IF(AH58="No","⚠ Missing",IF(AK58="Yes","✓ OK","⚠ Check"))))</f>
        <v/>
      </c>
      <c r="AO58" s="36" t="n"/>
      <c r="AP58" s="36" t="n"/>
      <c r="AQ58" s="36" t="n"/>
      <c r="AR58" s="36" t="n"/>
      <c r="AS58" s="36" t="n"/>
      <c r="AT58" s="36" t="n"/>
      <c r="AU58" s="27" t="n"/>
      <c r="AV58" s="37" t="n"/>
      <c r="AW58" s="38">
        <f>IF(AO58="","",IF(AR58="Yes","❌ Disc",IF(AQ58="No","⚠ Missing",IF(AT58="Yes","✓ OK","⚠ Check"))))</f>
        <v/>
      </c>
    </row>
    <row r="59" ht="18" customHeight="1" s="46">
      <c r="A59" s="23" t="n">
        <v>55</v>
      </c>
      <c r="B59" s="24" t="inlineStr">
        <is>
          <t>Bark Green -118</t>
        </is>
      </c>
      <c r="C59" s="25" t="inlineStr">
        <is>
          <t>Febonic Fabric - Buckle - Bark Green -118</t>
        </is>
      </c>
      <c r="D59" s="23" t="inlineStr">
        <is>
          <t>Febonic</t>
        </is>
      </c>
      <c r="E59" s="43" t="n">
        <v>46125</v>
      </c>
      <c r="F59" s="26" t="inlineStr">
        <is>
          <t>Sunil CR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Good finish</t>
        </is>
      </c>
      <c r="J59" s="26" t="inlineStr">
        <is>
          <t>Yes</t>
        </is>
      </c>
      <c r="K59" s="27" t="n"/>
      <c r="L59" s="28" t="inlineStr">
        <is>
          <t>No</t>
        </is>
      </c>
      <c r="M59" s="29">
        <f>IF(E59="","",IF(H59="Yes","❌ Disc",IF(G59="No","⚠ Missing",IF(J59="Yes","✓ OK","⚠ Check"))))</f>
        <v/>
      </c>
      <c r="N59" s="43" t="n">
        <v>46139</v>
      </c>
      <c r="O59" s="26" t="inlineStr">
        <is>
          <t>Sunil CR</t>
        </is>
      </c>
      <c r="P59" s="26" t="inlineStr">
        <is>
          <t>No</t>
        </is>
      </c>
      <c r="Q59" s="26" t="inlineStr">
        <is>
          <t>Yes</t>
        </is>
      </c>
      <c r="R59" s="26" t="inlineStr">
        <is>
          <t>Discontinued</t>
        </is>
      </c>
      <c r="S59" s="26" t="inlineStr">
        <is>
          <t>No</t>
        </is>
      </c>
      <c r="T59" s="27" t="n"/>
      <c r="U59" s="28" t="inlineStr">
        <is>
          <t>No</t>
        </is>
      </c>
      <c r="V59" s="29">
        <f>IF(N59="","",IF(Q59="Yes","❌ Disc",IF(P59="No","⚠ Missing",IF(S59="Yes","✓ OK","⚠ Check"))))</f>
        <v/>
      </c>
      <c r="W59" s="65" t="n">
        <v>46248</v>
      </c>
      <c r="X59" s="30" t="inlineStr">
        <is>
          <t>Sunil CR</t>
        </is>
      </c>
      <c r="Y59" s="30" t="inlineStr">
        <is>
          <t>No</t>
        </is>
      </c>
      <c r="Z59" s="30" t="n"/>
      <c r="AA59" s="30" t="inlineStr">
        <is>
          <t>Discontinued</t>
        </is>
      </c>
      <c r="AB59" s="30" t="inlineStr">
        <is>
          <t>No</t>
        </is>
      </c>
      <c r="AC59" s="27" t="n"/>
      <c r="AD59" s="31" t="inlineStr">
        <is>
          <t>No</t>
        </is>
      </c>
      <c r="AE59" s="32">
        <f>IF(W59="","",IF(Z59="Yes","❌ Disc",IF(Y59="No","⚠ Missing",IF(AB59="Yes","✓ OK","⚠ Check"))))</f>
        <v/>
      </c>
      <c r="AF59" s="33" t="n"/>
      <c r="AG59" s="33" t="n"/>
      <c r="AH59" s="33" t="n"/>
      <c r="AI59" s="33" t="n"/>
      <c r="AJ59" s="33" t="n"/>
      <c r="AK59" s="33" t="n"/>
      <c r="AL59" s="27" t="n"/>
      <c r="AM59" s="34" t="n"/>
      <c r="AN59" s="35">
        <f>IF(AF59="","",IF(AI59="Yes","❌ Disc",IF(AH59="No","⚠ Missing",IF(AK59="Yes","✓ OK","⚠ Check"))))</f>
        <v/>
      </c>
      <c r="AO59" s="36" t="n"/>
      <c r="AP59" s="36" t="n"/>
      <c r="AQ59" s="36" t="n"/>
      <c r="AR59" s="36" t="n"/>
      <c r="AS59" s="36" t="n"/>
      <c r="AT59" s="36" t="n"/>
      <c r="AU59" s="27" t="n"/>
      <c r="AV59" s="37" t="n"/>
      <c r="AW59" s="38">
        <f>IF(AO59="","",IF(AR59="Yes","❌ Disc",IF(AQ59="No","⚠ Missing",IF(AT59="Yes","✓ OK","⚠ Check"))))</f>
        <v/>
      </c>
    </row>
    <row r="60" ht="18" customHeight="1" s="46">
      <c r="A60" s="39" t="n">
        <v>56</v>
      </c>
      <c r="B60" s="40" t="inlineStr">
        <is>
          <t>Candy Red -119</t>
        </is>
      </c>
      <c r="C60" s="41" t="inlineStr">
        <is>
          <t>Febonic Fabric - Buckle - Candy Red -119</t>
        </is>
      </c>
      <c r="D60" s="39" t="inlineStr">
        <is>
          <t>Febonic</t>
        </is>
      </c>
      <c r="E60" s="43" t="n">
        <v>46125</v>
      </c>
      <c r="F60" s="26" t="inlineStr">
        <is>
          <t>Sunil CR</t>
        </is>
      </c>
      <c r="G60" s="26" t="inlineStr">
        <is>
          <t>Yes</t>
        </is>
      </c>
      <c r="H60" s="26" t="inlineStr">
        <is>
          <t>No</t>
        </is>
      </c>
      <c r="I60" s="26" t="inlineStr">
        <is>
          <t>Good finish</t>
        </is>
      </c>
      <c r="J60" s="26" t="inlineStr">
        <is>
          <t>Yes</t>
        </is>
      </c>
      <c r="K60" s="27" t="n"/>
      <c r="L60" s="28" t="inlineStr">
        <is>
          <t>No</t>
        </is>
      </c>
      <c r="M60" s="29">
        <f>IF(E60="","",IF(H60="Yes","❌ Disc",IF(G60="No","⚠ Missing",IF(J60="Yes","✓ OK","⚠ Check"))))</f>
        <v/>
      </c>
      <c r="N60" s="43" t="n">
        <v>46139</v>
      </c>
      <c r="O60" s="26" t="inlineStr">
        <is>
          <t>Sunil CR</t>
        </is>
      </c>
      <c r="P60" s="26" t="inlineStr">
        <is>
          <t>No</t>
        </is>
      </c>
      <c r="Q60" s="26" t="inlineStr">
        <is>
          <t>Yes</t>
        </is>
      </c>
      <c r="R60" s="26" t="inlineStr">
        <is>
          <t>Discontinued</t>
        </is>
      </c>
      <c r="S60" s="26" t="inlineStr">
        <is>
          <t>No</t>
        </is>
      </c>
      <c r="T60" s="27" t="n"/>
      <c r="U60" s="28" t="inlineStr">
        <is>
          <t>No</t>
        </is>
      </c>
      <c r="V60" s="29">
        <f>IF(N60="","",IF(Q60="Yes","❌ Disc",IF(P60="No","⚠ Missing",IF(S60="Yes","✓ OK","⚠ Check"))))</f>
        <v/>
      </c>
      <c r="W60" s="65" t="n">
        <v>46248</v>
      </c>
      <c r="X60" s="30" t="inlineStr">
        <is>
          <t>Sunil CR</t>
        </is>
      </c>
      <c r="Y60" s="30" t="inlineStr">
        <is>
          <t>No</t>
        </is>
      </c>
      <c r="Z60" s="30" t="n"/>
      <c r="AA60" s="30" t="inlineStr">
        <is>
          <t>Discontinued</t>
        </is>
      </c>
      <c r="AB60" s="30" t="inlineStr">
        <is>
          <t>No</t>
        </is>
      </c>
      <c r="AC60" s="27" t="n"/>
      <c r="AD60" s="31" t="inlineStr">
        <is>
          <t>No</t>
        </is>
      </c>
      <c r="AE60" s="32">
        <f>IF(W60="","",IF(Z60="Yes","❌ Disc",IF(Y60="No","⚠ Missing",IF(AB60="Yes","✓ OK","⚠ Check"))))</f>
        <v/>
      </c>
      <c r="AF60" s="33" t="n"/>
      <c r="AG60" s="33" t="n"/>
      <c r="AH60" s="33" t="n"/>
      <c r="AI60" s="33" t="n"/>
      <c r="AJ60" s="33" t="n"/>
      <c r="AK60" s="33" t="n"/>
      <c r="AL60" s="27" t="n"/>
      <c r="AM60" s="34" t="n"/>
      <c r="AN60" s="35">
        <f>IF(AF60="","",IF(AI60="Yes","❌ Disc",IF(AH60="No","⚠ Missing",IF(AK60="Yes","✓ OK","⚠ Check"))))</f>
        <v/>
      </c>
      <c r="AO60" s="36" t="n"/>
      <c r="AP60" s="36" t="n"/>
      <c r="AQ60" s="36" t="n"/>
      <c r="AR60" s="36" t="n"/>
      <c r="AS60" s="36" t="n"/>
      <c r="AT60" s="36" t="n"/>
      <c r="AU60" s="27" t="n"/>
      <c r="AV60" s="37" t="n"/>
      <c r="AW60" s="38">
        <f>IF(AO60="","",IF(AR60="Yes","❌ Disc",IF(AQ60="No","⚠ Missing",IF(AT60="Yes","✓ OK","⚠ Check"))))</f>
        <v/>
      </c>
    </row>
    <row r="61" ht="18" customHeight="1" s="46">
      <c r="A61" s="23" t="n">
        <v>57</v>
      </c>
      <c r="B61" s="24" t="inlineStr">
        <is>
          <t>Classic Blue -111</t>
        </is>
      </c>
      <c r="C61" s="25" t="inlineStr">
        <is>
          <t>Febonic Fabric - Buckle - Classic Blue -111</t>
        </is>
      </c>
      <c r="D61" s="23" t="inlineStr">
        <is>
          <t>Febonic</t>
        </is>
      </c>
      <c r="E61" s="43" t="n">
        <v>46125</v>
      </c>
      <c r="F61" s="26" t="inlineStr">
        <is>
          <t>Sunil CR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Good finish</t>
        </is>
      </c>
      <c r="J61" s="26" t="inlineStr">
        <is>
          <t>Yes</t>
        </is>
      </c>
      <c r="K61" s="27" t="n"/>
      <c r="L61" s="28" t="inlineStr">
        <is>
          <t>No</t>
        </is>
      </c>
      <c r="M61" s="29">
        <f>IF(E61="","",IF(H61="Yes","❌ Disc",IF(G61="No","⚠ Missing",IF(J61="Yes","✓ OK","⚠ Check"))))</f>
        <v/>
      </c>
      <c r="N61" s="43" t="n">
        <v>46139</v>
      </c>
      <c r="O61" s="26" t="inlineStr">
        <is>
          <t>Sunil CR</t>
        </is>
      </c>
      <c r="P61" s="26" t="inlineStr">
        <is>
          <t>No</t>
        </is>
      </c>
      <c r="Q61" s="26" t="inlineStr">
        <is>
          <t>Yes</t>
        </is>
      </c>
      <c r="R61" s="26" t="inlineStr">
        <is>
          <t>Discontinued</t>
        </is>
      </c>
      <c r="S61" s="26" t="inlineStr">
        <is>
          <t>No</t>
        </is>
      </c>
      <c r="T61" s="27" t="n"/>
      <c r="U61" s="28" t="inlineStr">
        <is>
          <t>No</t>
        </is>
      </c>
      <c r="V61" s="29">
        <f>IF(N61="","",IF(Q61="Yes","❌ Disc",IF(P61="No","⚠ Missing",IF(S61="Yes","✓ OK","⚠ Check"))))</f>
        <v/>
      </c>
      <c r="W61" s="65" t="n">
        <v>46248</v>
      </c>
      <c r="X61" s="30" t="inlineStr">
        <is>
          <t>Sunil CR</t>
        </is>
      </c>
      <c r="Y61" s="30" t="inlineStr">
        <is>
          <t>No</t>
        </is>
      </c>
      <c r="Z61" s="30" t="n"/>
      <c r="AA61" s="30" t="inlineStr">
        <is>
          <t>Discontinued</t>
        </is>
      </c>
      <c r="AB61" s="30" t="inlineStr">
        <is>
          <t>No</t>
        </is>
      </c>
      <c r="AC61" s="27" t="n"/>
      <c r="AD61" s="31" t="inlineStr">
        <is>
          <t>No</t>
        </is>
      </c>
      <c r="AE61" s="32">
        <f>IF(W61="","",IF(Z61="Yes","❌ Disc",IF(Y61="No","⚠ Missing",IF(AB61="Yes","✓ OK","⚠ Check"))))</f>
        <v/>
      </c>
      <c r="AF61" s="33" t="n"/>
      <c r="AG61" s="33" t="n"/>
      <c r="AH61" s="33" t="n"/>
      <c r="AI61" s="33" t="n"/>
      <c r="AJ61" s="33" t="n"/>
      <c r="AK61" s="33" t="n"/>
      <c r="AL61" s="27" t="n"/>
      <c r="AM61" s="34" t="n"/>
      <c r="AN61" s="35">
        <f>IF(AF61="","",IF(AI61="Yes","❌ Disc",IF(AH61="No","⚠ Missing",IF(AK61="Yes","✓ OK","⚠ Check"))))</f>
        <v/>
      </c>
      <c r="AO61" s="36" t="n"/>
      <c r="AP61" s="36" t="n"/>
      <c r="AQ61" s="36" t="n"/>
      <c r="AR61" s="36" t="n"/>
      <c r="AS61" s="36" t="n"/>
      <c r="AT61" s="36" t="n"/>
      <c r="AU61" s="27" t="n"/>
      <c r="AV61" s="37" t="n"/>
      <c r="AW61" s="38">
        <f>IF(AO61="","",IF(AR61="Yes","❌ Disc",IF(AQ61="No","⚠ Missing",IF(AT61="Yes","✓ OK","⚠ Check"))))</f>
        <v/>
      </c>
    </row>
    <row r="62" ht="18" customHeight="1" s="46">
      <c r="A62" s="39" t="n">
        <v>58</v>
      </c>
      <c r="B62" s="40" t="inlineStr">
        <is>
          <t>Daisy Yellow-107</t>
        </is>
      </c>
      <c r="C62" s="41" t="inlineStr">
        <is>
          <t>Febonic Fabric - Buckle - Daisy Yellow-107</t>
        </is>
      </c>
      <c r="D62" s="39" t="inlineStr">
        <is>
          <t>Febonic</t>
        </is>
      </c>
      <c r="E62" s="43" t="n">
        <v>46125</v>
      </c>
      <c r="F62" s="26" t="inlineStr">
        <is>
          <t>Sunil CR</t>
        </is>
      </c>
      <c r="G62" s="26" t="inlineStr">
        <is>
          <t>Yes</t>
        </is>
      </c>
      <c r="H62" s="26" t="inlineStr">
        <is>
          <t>No</t>
        </is>
      </c>
      <c r="I62" s="26" t="inlineStr">
        <is>
          <t>Good finish</t>
        </is>
      </c>
      <c r="J62" s="26" t="inlineStr">
        <is>
          <t>Yes</t>
        </is>
      </c>
      <c r="K62" s="27" t="n"/>
      <c r="L62" s="28" t="inlineStr">
        <is>
          <t>No</t>
        </is>
      </c>
      <c r="M62" s="29">
        <f>IF(E62="","",IF(H62="Yes","❌ Disc",IF(G62="No","⚠ Missing",IF(J62="Yes","✓ OK","⚠ Check"))))</f>
        <v/>
      </c>
      <c r="N62" s="43" t="n">
        <v>46139</v>
      </c>
      <c r="O62" s="26" t="inlineStr">
        <is>
          <t>Sunil CR</t>
        </is>
      </c>
      <c r="P62" s="26" t="inlineStr">
        <is>
          <t>No</t>
        </is>
      </c>
      <c r="Q62" s="26" t="inlineStr">
        <is>
          <t>Yes</t>
        </is>
      </c>
      <c r="R62" s="26" t="inlineStr">
        <is>
          <t>Discontinued</t>
        </is>
      </c>
      <c r="S62" s="26" t="inlineStr">
        <is>
          <t>No</t>
        </is>
      </c>
      <c r="T62" s="27" t="n"/>
      <c r="U62" s="28" t="inlineStr">
        <is>
          <t>No</t>
        </is>
      </c>
      <c r="V62" s="29">
        <f>IF(N62="","",IF(Q62="Yes","❌ Disc",IF(P62="No","⚠ Missing",IF(S62="Yes","✓ OK","⚠ Check"))))</f>
        <v/>
      </c>
      <c r="W62" s="65" t="n">
        <v>46248</v>
      </c>
      <c r="X62" s="30" t="inlineStr">
        <is>
          <t>Sunil CR</t>
        </is>
      </c>
      <c r="Y62" s="30" t="inlineStr">
        <is>
          <t>No</t>
        </is>
      </c>
      <c r="Z62" s="30" t="n"/>
      <c r="AA62" s="30" t="inlineStr">
        <is>
          <t>Discontinued</t>
        </is>
      </c>
      <c r="AB62" s="30" t="inlineStr">
        <is>
          <t>No</t>
        </is>
      </c>
      <c r="AC62" s="27" t="n"/>
      <c r="AD62" s="31" t="inlineStr">
        <is>
          <t>No</t>
        </is>
      </c>
      <c r="AE62" s="32">
        <f>IF(W62="","",IF(Z62="Yes","❌ Disc",IF(Y62="No","⚠ Missing",IF(AB62="Yes","✓ OK","⚠ Check"))))</f>
        <v/>
      </c>
      <c r="AF62" s="33" t="n"/>
      <c r="AG62" s="33" t="n"/>
      <c r="AH62" s="33" t="n"/>
      <c r="AI62" s="33" t="n"/>
      <c r="AJ62" s="33" t="n"/>
      <c r="AK62" s="33" t="n"/>
      <c r="AL62" s="27" t="n"/>
      <c r="AM62" s="34" t="n"/>
      <c r="AN62" s="35">
        <f>IF(AF62="","",IF(AI62="Yes","❌ Disc",IF(AH62="No","⚠ Missing",IF(AK62="Yes","✓ OK","⚠ Check"))))</f>
        <v/>
      </c>
      <c r="AO62" s="36" t="n"/>
      <c r="AP62" s="36" t="n"/>
      <c r="AQ62" s="36" t="n"/>
      <c r="AR62" s="36" t="n"/>
      <c r="AS62" s="36" t="n"/>
      <c r="AT62" s="36" t="n"/>
      <c r="AU62" s="27" t="n"/>
      <c r="AV62" s="37" t="n"/>
      <c r="AW62" s="38">
        <f>IF(AO62="","",IF(AR62="Yes","❌ Disc",IF(AQ62="No","⚠ Missing",IF(AT62="Yes","✓ OK","⚠ Check"))))</f>
        <v/>
      </c>
    </row>
    <row r="63" ht="18" customHeight="1" s="46">
      <c r="A63" s="23" t="n">
        <v>59</v>
      </c>
      <c r="B63" s="24" t="inlineStr">
        <is>
          <t>Fog Grey -102</t>
        </is>
      </c>
      <c r="C63" s="25" t="inlineStr">
        <is>
          <t>Febonic Fabric - Buckle - Fog Grey -102</t>
        </is>
      </c>
      <c r="D63" s="23" t="inlineStr">
        <is>
          <t>Febonic</t>
        </is>
      </c>
      <c r="E63" s="43" t="n">
        <v>46125</v>
      </c>
      <c r="F63" s="26" t="inlineStr">
        <is>
          <t>Sunil CR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Good finish</t>
        </is>
      </c>
      <c r="J63" s="26" t="inlineStr">
        <is>
          <t>Yes</t>
        </is>
      </c>
      <c r="K63" s="27" t="n"/>
      <c r="L63" s="28" t="inlineStr">
        <is>
          <t>No</t>
        </is>
      </c>
      <c r="M63" s="29">
        <f>IF(E63="","",IF(H63="Yes","❌ Disc",IF(G63="No","⚠ Missing",IF(J63="Yes","✓ OK","⚠ Check"))))</f>
        <v/>
      </c>
      <c r="N63" s="43" t="n">
        <v>46139</v>
      </c>
      <c r="O63" s="26" t="inlineStr">
        <is>
          <t>Sunil CR</t>
        </is>
      </c>
      <c r="P63" s="26" t="inlineStr">
        <is>
          <t>No</t>
        </is>
      </c>
      <c r="Q63" s="26" t="inlineStr">
        <is>
          <t>Yes</t>
        </is>
      </c>
      <c r="R63" s="26" t="inlineStr">
        <is>
          <t>Discontinued</t>
        </is>
      </c>
      <c r="S63" s="26" t="inlineStr">
        <is>
          <t>No</t>
        </is>
      </c>
      <c r="T63" s="27" t="n"/>
      <c r="U63" s="28" t="inlineStr">
        <is>
          <t>No</t>
        </is>
      </c>
      <c r="V63" s="29">
        <f>IF(N63="","",IF(Q63="Yes","❌ Disc",IF(P63="No","⚠ Missing",IF(S63="Yes","✓ OK","⚠ Check"))))</f>
        <v/>
      </c>
      <c r="W63" s="65" t="n">
        <v>46248</v>
      </c>
      <c r="X63" s="30" t="inlineStr">
        <is>
          <t>Sunil CR</t>
        </is>
      </c>
      <c r="Y63" s="30" t="inlineStr">
        <is>
          <t>No</t>
        </is>
      </c>
      <c r="Z63" s="30" t="n"/>
      <c r="AA63" s="30" t="inlineStr">
        <is>
          <t>Discontinued</t>
        </is>
      </c>
      <c r="AB63" s="30" t="inlineStr">
        <is>
          <t>No</t>
        </is>
      </c>
      <c r="AC63" s="27" t="n"/>
      <c r="AD63" s="31" t="inlineStr">
        <is>
          <t>No</t>
        </is>
      </c>
      <c r="AE63" s="32">
        <f>IF(W63="","",IF(Z63="Yes","❌ Disc",IF(Y63="No","⚠ Missing",IF(AB63="Yes","✓ OK","⚠ Check"))))</f>
        <v/>
      </c>
      <c r="AF63" s="33" t="n"/>
      <c r="AG63" s="33" t="n"/>
      <c r="AH63" s="33" t="n"/>
      <c r="AI63" s="33" t="n"/>
      <c r="AJ63" s="33" t="n"/>
      <c r="AK63" s="33" t="n"/>
      <c r="AL63" s="27" t="n"/>
      <c r="AM63" s="34" t="n"/>
      <c r="AN63" s="35">
        <f>IF(AF63="","",IF(AI63="Yes","❌ Disc",IF(AH63="No","⚠ Missing",IF(AK63="Yes","✓ OK","⚠ Check"))))</f>
        <v/>
      </c>
      <c r="AO63" s="36" t="n"/>
      <c r="AP63" s="36" t="n"/>
      <c r="AQ63" s="36" t="n"/>
      <c r="AR63" s="36" t="n"/>
      <c r="AS63" s="36" t="n"/>
      <c r="AT63" s="36" t="n"/>
      <c r="AU63" s="27" t="n"/>
      <c r="AV63" s="37" t="n"/>
      <c r="AW63" s="38">
        <f>IF(AO63="","",IF(AR63="Yes","❌ Disc",IF(AQ63="No","⚠ Missing",IF(AT63="Yes","✓ OK","⚠ Check"))))</f>
        <v/>
      </c>
    </row>
    <row r="64" ht="18" customHeight="1" s="46">
      <c r="A64" s="39" t="n">
        <v>60</v>
      </c>
      <c r="B64" s="40" t="inlineStr">
        <is>
          <t>Hunter Green -108</t>
        </is>
      </c>
      <c r="C64" s="41" t="inlineStr">
        <is>
          <t>Febonic Fabric - Buckle - Hunter Green -108</t>
        </is>
      </c>
      <c r="D64" s="39" t="inlineStr">
        <is>
          <t>Febonic</t>
        </is>
      </c>
      <c r="E64" s="43" t="n">
        <v>46125</v>
      </c>
      <c r="F64" s="26" t="inlineStr">
        <is>
          <t>Sunil CR</t>
        </is>
      </c>
      <c r="G64" s="26" t="inlineStr">
        <is>
          <t>Yes</t>
        </is>
      </c>
      <c r="H64" s="26" t="inlineStr">
        <is>
          <t>No</t>
        </is>
      </c>
      <c r="I64" s="26" t="inlineStr">
        <is>
          <t>Good finish</t>
        </is>
      </c>
      <c r="J64" s="26" t="inlineStr">
        <is>
          <t>Yes</t>
        </is>
      </c>
      <c r="K64" s="27" t="n"/>
      <c r="L64" s="28" t="inlineStr">
        <is>
          <t>No</t>
        </is>
      </c>
      <c r="M64" s="29">
        <f>IF(E64="","",IF(H64="Yes","❌ Disc",IF(G64="No","⚠ Missing",IF(J64="Yes","✓ OK","⚠ Check"))))</f>
        <v/>
      </c>
      <c r="N64" s="43" t="n">
        <v>46139</v>
      </c>
      <c r="O64" s="26" t="inlineStr">
        <is>
          <t>Sunil CR</t>
        </is>
      </c>
      <c r="P64" s="26" t="inlineStr">
        <is>
          <t>No</t>
        </is>
      </c>
      <c r="Q64" s="26" t="inlineStr">
        <is>
          <t>Yes</t>
        </is>
      </c>
      <c r="R64" s="26" t="inlineStr">
        <is>
          <t>Discontinued</t>
        </is>
      </c>
      <c r="S64" s="26" t="inlineStr">
        <is>
          <t>No</t>
        </is>
      </c>
      <c r="T64" s="27" t="n"/>
      <c r="U64" s="28" t="inlineStr">
        <is>
          <t>No</t>
        </is>
      </c>
      <c r="V64" s="29">
        <f>IF(N64="","",IF(Q64="Yes","❌ Disc",IF(P64="No","⚠ Missing",IF(S64="Yes","✓ OK","⚠ Check"))))</f>
        <v/>
      </c>
      <c r="W64" s="65" t="n">
        <v>46248</v>
      </c>
      <c r="X64" s="30" t="inlineStr">
        <is>
          <t>Sunil CR</t>
        </is>
      </c>
      <c r="Y64" s="30" t="inlineStr">
        <is>
          <t>No</t>
        </is>
      </c>
      <c r="Z64" s="30" t="n"/>
      <c r="AA64" s="30" t="inlineStr">
        <is>
          <t>Discontinued</t>
        </is>
      </c>
      <c r="AB64" s="30" t="inlineStr">
        <is>
          <t>No</t>
        </is>
      </c>
      <c r="AC64" s="27" t="n"/>
      <c r="AD64" s="31" t="inlineStr">
        <is>
          <t>No</t>
        </is>
      </c>
      <c r="AE64" s="32">
        <f>IF(W64="","",IF(Z64="Yes","❌ Disc",IF(Y64="No","⚠ Missing",IF(AB64="Yes","✓ OK","⚠ Check"))))</f>
        <v/>
      </c>
      <c r="AF64" s="33" t="n"/>
      <c r="AG64" s="33" t="n"/>
      <c r="AH64" s="33" t="n"/>
      <c r="AI64" s="33" t="n"/>
      <c r="AJ64" s="33" t="n"/>
      <c r="AK64" s="33" t="n"/>
      <c r="AL64" s="27" t="n"/>
      <c r="AM64" s="34" t="n"/>
      <c r="AN64" s="35">
        <f>IF(AF64="","",IF(AI64="Yes","❌ Disc",IF(AH64="No","⚠ Missing",IF(AK64="Yes","✓ OK","⚠ Check"))))</f>
        <v/>
      </c>
      <c r="AO64" s="36" t="n"/>
      <c r="AP64" s="36" t="n"/>
      <c r="AQ64" s="36" t="n"/>
      <c r="AR64" s="36" t="n"/>
      <c r="AS64" s="36" t="n"/>
      <c r="AT64" s="36" t="n"/>
      <c r="AU64" s="27" t="n"/>
      <c r="AV64" s="37" t="n"/>
      <c r="AW64" s="38">
        <f>IF(AO64="","",IF(AR64="Yes","❌ Disc",IF(AQ64="No","⚠ Missing",IF(AT64="Yes","✓ OK","⚠ Check"))))</f>
        <v/>
      </c>
    </row>
    <row r="65" ht="18" customHeight="1" s="46">
      <c r="A65" s="23" t="n">
        <v>61</v>
      </c>
      <c r="B65" s="24" t="inlineStr">
        <is>
          <t>Lava Grey -132</t>
        </is>
      </c>
      <c r="C65" s="25" t="inlineStr">
        <is>
          <t>Febonic Fabric - Buckle - Lava Grey -132</t>
        </is>
      </c>
      <c r="D65" s="23" t="inlineStr">
        <is>
          <t>Febonic</t>
        </is>
      </c>
      <c r="E65" s="43" t="n">
        <v>46125</v>
      </c>
      <c r="F65" s="26" t="inlineStr">
        <is>
          <t>Sunil CR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Good finish</t>
        </is>
      </c>
      <c r="J65" s="26" t="inlineStr">
        <is>
          <t>Yes</t>
        </is>
      </c>
      <c r="K65" s="27" t="n"/>
      <c r="L65" s="28" t="inlineStr">
        <is>
          <t>No</t>
        </is>
      </c>
      <c r="M65" s="29">
        <f>IF(E65="","",IF(H65="Yes","❌ Disc",IF(G65="No","⚠ Missing",IF(J65="Yes","✓ OK","⚠ Check"))))</f>
        <v/>
      </c>
      <c r="N65" s="43" t="n">
        <v>46139</v>
      </c>
      <c r="O65" s="26" t="inlineStr">
        <is>
          <t>Sunil CR</t>
        </is>
      </c>
      <c r="P65" s="26" t="inlineStr">
        <is>
          <t>No</t>
        </is>
      </c>
      <c r="Q65" s="26" t="inlineStr">
        <is>
          <t>Yes</t>
        </is>
      </c>
      <c r="R65" s="26" t="inlineStr">
        <is>
          <t>Discontinued</t>
        </is>
      </c>
      <c r="S65" s="26" t="inlineStr">
        <is>
          <t>No</t>
        </is>
      </c>
      <c r="T65" s="27" t="n"/>
      <c r="U65" s="28" t="inlineStr">
        <is>
          <t>No</t>
        </is>
      </c>
      <c r="V65" s="29">
        <f>IF(N65="","",IF(Q65="Yes","❌ Disc",IF(P65="No","⚠ Missing",IF(S65="Yes","✓ OK","⚠ Check"))))</f>
        <v/>
      </c>
      <c r="W65" s="65" t="n">
        <v>46248</v>
      </c>
      <c r="X65" s="30" t="inlineStr">
        <is>
          <t>Sunil CR</t>
        </is>
      </c>
      <c r="Y65" s="30" t="inlineStr">
        <is>
          <t>No</t>
        </is>
      </c>
      <c r="Z65" s="30" t="n"/>
      <c r="AA65" s="30" t="inlineStr">
        <is>
          <t>Discontinued</t>
        </is>
      </c>
      <c r="AB65" s="30" t="inlineStr">
        <is>
          <t>No</t>
        </is>
      </c>
      <c r="AC65" s="27" t="n"/>
      <c r="AD65" s="31" t="inlineStr">
        <is>
          <t>No</t>
        </is>
      </c>
      <c r="AE65" s="32">
        <f>IF(W65="","",IF(Z65="Yes","❌ Disc",IF(Y65="No","⚠ Missing",IF(AB65="Yes","✓ OK","⚠ Check"))))</f>
        <v/>
      </c>
      <c r="AF65" s="33" t="n"/>
      <c r="AG65" s="33" t="n"/>
      <c r="AH65" s="33" t="n"/>
      <c r="AI65" s="33" t="n"/>
      <c r="AJ65" s="33" t="n"/>
      <c r="AK65" s="33" t="n"/>
      <c r="AL65" s="27" t="n"/>
      <c r="AM65" s="34" t="n"/>
      <c r="AN65" s="35">
        <f>IF(AF65="","",IF(AI65="Yes","❌ Disc",IF(AH65="No","⚠ Missing",IF(AK65="Yes","✓ OK","⚠ Check"))))</f>
        <v/>
      </c>
      <c r="AO65" s="36" t="n"/>
      <c r="AP65" s="36" t="n"/>
      <c r="AQ65" s="36" t="n"/>
      <c r="AR65" s="36" t="n"/>
      <c r="AS65" s="36" t="n"/>
      <c r="AT65" s="36" t="n"/>
      <c r="AU65" s="27" t="n"/>
      <c r="AV65" s="37" t="n"/>
      <c r="AW65" s="38">
        <f>IF(AO65="","",IF(AR65="Yes","❌ Disc",IF(AQ65="No","⚠ Missing",IF(AT65="Yes","✓ OK","⚠ Check"))))</f>
        <v/>
      </c>
    </row>
    <row r="66" ht="18" customHeight="1" s="46">
      <c r="A66" s="39" t="n">
        <v>62</v>
      </c>
      <c r="B66" s="40" t="inlineStr">
        <is>
          <t>Light Orange -137</t>
        </is>
      </c>
      <c r="C66" s="41" t="inlineStr">
        <is>
          <t>Febonic Fabric - Buckle - Light Orange -137</t>
        </is>
      </c>
      <c r="D66" s="39" t="inlineStr">
        <is>
          <t>Febonic</t>
        </is>
      </c>
      <c r="E66" s="43" t="n">
        <v>46125</v>
      </c>
      <c r="F66" s="26" t="inlineStr">
        <is>
          <t>Sunil CR</t>
        </is>
      </c>
      <c r="G66" s="26" t="inlineStr">
        <is>
          <t>Yes</t>
        </is>
      </c>
      <c r="H66" s="26" t="inlineStr">
        <is>
          <t>No</t>
        </is>
      </c>
      <c r="I66" s="26" t="inlineStr">
        <is>
          <t>Good finish</t>
        </is>
      </c>
      <c r="J66" s="26" t="inlineStr">
        <is>
          <t>Yes</t>
        </is>
      </c>
      <c r="K66" s="27" t="n"/>
      <c r="L66" s="28" t="inlineStr">
        <is>
          <t>No</t>
        </is>
      </c>
      <c r="M66" s="29">
        <f>IF(E66="","",IF(H66="Yes","❌ Disc",IF(G66="No","⚠ Missing",IF(J66="Yes","✓ OK","⚠ Check"))))</f>
        <v/>
      </c>
      <c r="N66" s="43" t="n">
        <v>46139</v>
      </c>
      <c r="O66" s="26" t="inlineStr">
        <is>
          <t>Sunil CR</t>
        </is>
      </c>
      <c r="P66" s="26" t="inlineStr">
        <is>
          <t>No</t>
        </is>
      </c>
      <c r="Q66" s="26" t="inlineStr">
        <is>
          <t>Yes</t>
        </is>
      </c>
      <c r="R66" s="26" t="inlineStr">
        <is>
          <t>Discontinued</t>
        </is>
      </c>
      <c r="S66" s="26" t="inlineStr">
        <is>
          <t>No</t>
        </is>
      </c>
      <c r="T66" s="27" t="n"/>
      <c r="U66" s="28" t="inlineStr">
        <is>
          <t>No</t>
        </is>
      </c>
      <c r="V66" s="29">
        <f>IF(N66="","",IF(Q66="Yes","❌ Disc",IF(P66="No","⚠ Missing",IF(S66="Yes","✓ OK","⚠ Check"))))</f>
        <v/>
      </c>
      <c r="W66" s="65" t="n">
        <v>46248</v>
      </c>
      <c r="X66" s="30" t="inlineStr">
        <is>
          <t>Sunil CR</t>
        </is>
      </c>
      <c r="Y66" s="30" t="inlineStr">
        <is>
          <t>No</t>
        </is>
      </c>
      <c r="Z66" s="30" t="n"/>
      <c r="AA66" s="30" t="inlineStr">
        <is>
          <t>Discontinued</t>
        </is>
      </c>
      <c r="AB66" s="30" t="inlineStr">
        <is>
          <t>No</t>
        </is>
      </c>
      <c r="AC66" s="27" t="n"/>
      <c r="AD66" s="31" t="inlineStr">
        <is>
          <t>No</t>
        </is>
      </c>
      <c r="AE66" s="32">
        <f>IF(W66="","",IF(Z66="Yes","❌ Disc",IF(Y66="No","⚠ Missing",IF(AB66="Yes","✓ OK","⚠ Check"))))</f>
        <v/>
      </c>
      <c r="AF66" s="33" t="n"/>
      <c r="AG66" s="33" t="n"/>
      <c r="AH66" s="33" t="n"/>
      <c r="AI66" s="33" t="n"/>
      <c r="AJ66" s="33" t="n"/>
      <c r="AK66" s="33" t="n"/>
      <c r="AL66" s="27" t="n"/>
      <c r="AM66" s="34" t="n"/>
      <c r="AN66" s="35">
        <f>IF(AF66="","",IF(AI66="Yes","❌ Disc",IF(AH66="No","⚠ Missing",IF(AK66="Yes","✓ OK","⚠ Check"))))</f>
        <v/>
      </c>
      <c r="AO66" s="36" t="n"/>
      <c r="AP66" s="36" t="n"/>
      <c r="AQ66" s="36" t="n"/>
      <c r="AR66" s="36" t="n"/>
      <c r="AS66" s="36" t="n"/>
      <c r="AT66" s="36" t="n"/>
      <c r="AU66" s="27" t="n"/>
      <c r="AV66" s="37" t="n"/>
      <c r="AW66" s="38">
        <f>IF(AO66="","",IF(AR66="Yes","❌ Disc",IF(AQ66="No","⚠ Missing",IF(AT66="Yes","✓ OK","⚠ Check"))))</f>
        <v/>
      </c>
    </row>
    <row r="67" ht="18" customHeight="1" s="46">
      <c r="A67" s="23" t="n">
        <v>63</v>
      </c>
      <c r="B67" s="24" t="inlineStr">
        <is>
          <t>Macy Grey - 131</t>
        </is>
      </c>
      <c r="C67" s="25" t="inlineStr">
        <is>
          <t>Febonic Fabric - Buckle - Macy Grey - 131</t>
        </is>
      </c>
      <c r="D67" s="23" t="inlineStr">
        <is>
          <t>Febonic</t>
        </is>
      </c>
      <c r="E67" s="43" t="n">
        <v>46125</v>
      </c>
      <c r="F67" s="26" t="inlineStr">
        <is>
          <t>Sunil CR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Good finish</t>
        </is>
      </c>
      <c r="J67" s="26" t="inlineStr">
        <is>
          <t>Yes</t>
        </is>
      </c>
      <c r="K67" s="27" t="n"/>
      <c r="L67" s="28" t="inlineStr">
        <is>
          <t>No</t>
        </is>
      </c>
      <c r="M67" s="29">
        <f>IF(E67="","",IF(H67="Yes","❌ Disc",IF(G67="No","⚠ Missing",IF(J67="Yes","✓ OK","⚠ Check"))))</f>
        <v/>
      </c>
      <c r="N67" s="43" t="n">
        <v>46139</v>
      </c>
      <c r="O67" s="26" t="inlineStr">
        <is>
          <t>Sunil CR</t>
        </is>
      </c>
      <c r="P67" s="26" t="inlineStr">
        <is>
          <t>No</t>
        </is>
      </c>
      <c r="Q67" s="26" t="inlineStr">
        <is>
          <t>Yes</t>
        </is>
      </c>
      <c r="R67" s="26" t="inlineStr">
        <is>
          <t>Discontinued</t>
        </is>
      </c>
      <c r="S67" s="26" t="inlineStr">
        <is>
          <t>No</t>
        </is>
      </c>
      <c r="T67" s="27" t="n"/>
      <c r="U67" s="28" t="inlineStr">
        <is>
          <t>No</t>
        </is>
      </c>
      <c r="V67" s="29">
        <f>IF(N67="","",IF(Q67="Yes","❌ Disc",IF(P67="No","⚠ Missing",IF(S67="Yes","✓ OK","⚠ Check"))))</f>
        <v/>
      </c>
      <c r="W67" s="65" t="n">
        <v>46248</v>
      </c>
      <c r="X67" s="30" t="inlineStr">
        <is>
          <t>Sunil CR</t>
        </is>
      </c>
      <c r="Y67" s="30" t="inlineStr">
        <is>
          <t>No</t>
        </is>
      </c>
      <c r="Z67" s="30" t="n"/>
      <c r="AA67" s="30" t="inlineStr">
        <is>
          <t>Discontinued</t>
        </is>
      </c>
      <c r="AB67" s="30" t="inlineStr">
        <is>
          <t>No</t>
        </is>
      </c>
      <c r="AC67" s="27" t="n"/>
      <c r="AD67" s="31" t="inlineStr">
        <is>
          <t>No</t>
        </is>
      </c>
      <c r="AE67" s="32">
        <f>IF(W67="","",IF(Z67="Yes","❌ Disc",IF(Y67="No","⚠ Missing",IF(AB67="Yes","✓ OK","⚠ Check"))))</f>
        <v/>
      </c>
      <c r="AF67" s="33" t="n"/>
      <c r="AG67" s="33" t="n"/>
      <c r="AH67" s="33" t="n"/>
      <c r="AI67" s="33" t="n"/>
      <c r="AJ67" s="33" t="n"/>
      <c r="AK67" s="33" t="n"/>
      <c r="AL67" s="27" t="n"/>
      <c r="AM67" s="34" t="n"/>
      <c r="AN67" s="35">
        <f>IF(AF67="","",IF(AI67="Yes","❌ Disc",IF(AH67="No","⚠ Missing",IF(AK67="Yes","✓ OK","⚠ Check"))))</f>
        <v/>
      </c>
      <c r="AO67" s="36" t="n"/>
      <c r="AP67" s="36" t="n"/>
      <c r="AQ67" s="36" t="n"/>
      <c r="AR67" s="36" t="n"/>
      <c r="AS67" s="36" t="n"/>
      <c r="AT67" s="36" t="n"/>
      <c r="AU67" s="27" t="n"/>
      <c r="AV67" s="37" t="n"/>
      <c r="AW67" s="38">
        <f>IF(AO67="","",IF(AR67="Yes","❌ Disc",IF(AQ67="No","⚠ Missing",IF(AT67="Yes","✓ OK","⚠ Check"))))</f>
        <v/>
      </c>
    </row>
    <row r="68" ht="18" customHeight="1" s="46">
      <c r="A68" s="39" t="n">
        <v>64</v>
      </c>
      <c r="B68" s="40" t="inlineStr">
        <is>
          <t>Moon Grey -117</t>
        </is>
      </c>
      <c r="C68" s="41" t="inlineStr">
        <is>
          <t>Febonic Fabric - Buckle - Moon Grey -117</t>
        </is>
      </c>
      <c r="D68" s="39" t="inlineStr">
        <is>
          <t>Febonic</t>
        </is>
      </c>
      <c r="E68" s="43" t="n">
        <v>46125</v>
      </c>
      <c r="F68" s="26" t="inlineStr">
        <is>
          <t>Sunil CR</t>
        </is>
      </c>
      <c r="G68" s="26" t="inlineStr">
        <is>
          <t>Yes</t>
        </is>
      </c>
      <c r="H68" s="26" t="inlineStr">
        <is>
          <t>No</t>
        </is>
      </c>
      <c r="I68" s="26" t="inlineStr">
        <is>
          <t>Good finish</t>
        </is>
      </c>
      <c r="J68" s="26" t="inlineStr">
        <is>
          <t>Yes</t>
        </is>
      </c>
      <c r="K68" s="27" t="n"/>
      <c r="L68" s="28" t="inlineStr">
        <is>
          <t>No</t>
        </is>
      </c>
      <c r="M68" s="29">
        <f>IF(E68="","",IF(H68="Yes","❌ Disc",IF(G68="No","⚠ Missing",IF(J68="Yes","✓ OK","⚠ Check"))))</f>
        <v/>
      </c>
      <c r="N68" s="43" t="n">
        <v>46139</v>
      </c>
      <c r="O68" s="26" t="inlineStr">
        <is>
          <t>Sunil CR</t>
        </is>
      </c>
      <c r="P68" s="26" t="inlineStr">
        <is>
          <t>No</t>
        </is>
      </c>
      <c r="Q68" s="26" t="inlineStr">
        <is>
          <t>Yes</t>
        </is>
      </c>
      <c r="R68" s="26" t="inlineStr">
        <is>
          <t>Discontinued</t>
        </is>
      </c>
      <c r="S68" s="26" t="inlineStr">
        <is>
          <t>No</t>
        </is>
      </c>
      <c r="T68" s="27" t="n"/>
      <c r="U68" s="28" t="inlineStr">
        <is>
          <t>No</t>
        </is>
      </c>
      <c r="V68" s="29">
        <f>IF(N68="","",IF(Q68="Yes","❌ Disc",IF(P68="No","⚠ Missing",IF(S68="Yes","✓ OK","⚠ Check"))))</f>
        <v/>
      </c>
      <c r="W68" s="65" t="n">
        <v>46248</v>
      </c>
      <c r="X68" s="30" t="inlineStr">
        <is>
          <t>Sunil CR</t>
        </is>
      </c>
      <c r="Y68" s="30" t="inlineStr">
        <is>
          <t>No</t>
        </is>
      </c>
      <c r="Z68" s="30" t="n"/>
      <c r="AA68" s="30" t="inlineStr">
        <is>
          <t>Discontinued</t>
        </is>
      </c>
      <c r="AB68" s="30" t="inlineStr">
        <is>
          <t>No</t>
        </is>
      </c>
      <c r="AC68" s="27" t="n"/>
      <c r="AD68" s="31" t="inlineStr">
        <is>
          <t>No</t>
        </is>
      </c>
      <c r="AE68" s="32">
        <f>IF(W68="","",IF(Z68="Yes","❌ Disc",IF(Y68="No","⚠ Missing",IF(AB68="Yes","✓ OK","⚠ Check"))))</f>
        <v/>
      </c>
      <c r="AF68" s="33" t="n"/>
      <c r="AG68" s="33" t="n"/>
      <c r="AH68" s="33" t="n"/>
      <c r="AI68" s="33" t="n"/>
      <c r="AJ68" s="33" t="n"/>
      <c r="AK68" s="33" t="n"/>
      <c r="AL68" s="27" t="n"/>
      <c r="AM68" s="34" t="n"/>
      <c r="AN68" s="35">
        <f>IF(AF68="","",IF(AI68="Yes","❌ Disc",IF(AH68="No","⚠ Missing",IF(AK68="Yes","✓ OK","⚠ Check"))))</f>
        <v/>
      </c>
      <c r="AO68" s="36" t="n"/>
      <c r="AP68" s="36" t="n"/>
      <c r="AQ68" s="36" t="n"/>
      <c r="AR68" s="36" t="n"/>
      <c r="AS68" s="36" t="n"/>
      <c r="AT68" s="36" t="n"/>
      <c r="AU68" s="27" t="n"/>
      <c r="AV68" s="37" t="n"/>
      <c r="AW68" s="38">
        <f>IF(AO68="","",IF(AR68="Yes","❌ Disc",IF(AQ68="No","⚠ Missing",IF(AT68="Yes","✓ OK","⚠ Check"))))</f>
        <v/>
      </c>
    </row>
    <row r="69" ht="18" customHeight="1" s="46">
      <c r="A69" s="23" t="n">
        <v>65</v>
      </c>
      <c r="B69" s="24" t="inlineStr">
        <is>
          <t>Mushroom Beige -133</t>
        </is>
      </c>
      <c r="C69" s="25" t="inlineStr">
        <is>
          <t>Febonic Fabric - Buckle - Mushroom Beige -133</t>
        </is>
      </c>
      <c r="D69" s="23" t="inlineStr">
        <is>
          <t>Febonic</t>
        </is>
      </c>
      <c r="E69" s="43" t="n">
        <v>46125</v>
      </c>
      <c r="F69" s="26" t="inlineStr">
        <is>
          <t>Sunil CR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Good finish</t>
        </is>
      </c>
      <c r="J69" s="26" t="inlineStr">
        <is>
          <t>Yes</t>
        </is>
      </c>
      <c r="K69" s="27" t="n"/>
      <c r="L69" s="28" t="inlineStr">
        <is>
          <t>No</t>
        </is>
      </c>
      <c r="M69" s="29">
        <f>IF(E69="","",IF(H69="Yes","❌ Disc",IF(G69="No","⚠ Missing",IF(J69="Yes","✓ OK","⚠ Check"))))</f>
        <v/>
      </c>
      <c r="N69" s="43" t="n">
        <v>46139</v>
      </c>
      <c r="O69" s="26" t="inlineStr">
        <is>
          <t>Sunil CR</t>
        </is>
      </c>
      <c r="P69" s="26" t="inlineStr">
        <is>
          <t>No</t>
        </is>
      </c>
      <c r="Q69" s="26" t="inlineStr">
        <is>
          <t>Yes</t>
        </is>
      </c>
      <c r="R69" s="26" t="inlineStr">
        <is>
          <t>Discontinued</t>
        </is>
      </c>
      <c r="S69" s="26" t="inlineStr">
        <is>
          <t>No</t>
        </is>
      </c>
      <c r="T69" s="27" t="n"/>
      <c r="U69" s="28" t="inlineStr">
        <is>
          <t>No</t>
        </is>
      </c>
      <c r="V69" s="29">
        <f>IF(N69="","",IF(Q69="Yes","❌ Disc",IF(P69="No","⚠ Missing",IF(S69="Yes","✓ OK","⚠ Check"))))</f>
        <v/>
      </c>
      <c r="W69" s="65" t="n">
        <v>46248</v>
      </c>
      <c r="X69" s="30" t="inlineStr">
        <is>
          <t>Sunil CR</t>
        </is>
      </c>
      <c r="Y69" s="30" t="inlineStr">
        <is>
          <t>No</t>
        </is>
      </c>
      <c r="Z69" s="30" t="n"/>
      <c r="AA69" s="30" t="inlineStr">
        <is>
          <t>Discontinued</t>
        </is>
      </c>
      <c r="AB69" s="30" t="inlineStr">
        <is>
          <t>No</t>
        </is>
      </c>
      <c r="AC69" s="27" t="n"/>
      <c r="AD69" s="31" t="inlineStr">
        <is>
          <t>No</t>
        </is>
      </c>
      <c r="AE69" s="32">
        <f>IF(W69="","",IF(Z69="Yes","❌ Disc",IF(Y69="No","⚠ Missing",IF(AB69="Yes","✓ OK","⚠ Check"))))</f>
        <v/>
      </c>
      <c r="AF69" s="33" t="n"/>
      <c r="AG69" s="33" t="n"/>
      <c r="AH69" s="33" t="n"/>
      <c r="AI69" s="33" t="n"/>
      <c r="AJ69" s="33" t="n"/>
      <c r="AK69" s="33" t="n"/>
      <c r="AL69" s="27" t="n"/>
      <c r="AM69" s="34" t="n"/>
      <c r="AN69" s="35">
        <f>IF(AF69="","",IF(AI69="Yes","❌ Disc",IF(AH69="No","⚠ Missing",IF(AK69="Yes","✓ OK","⚠ Check"))))</f>
        <v/>
      </c>
      <c r="AO69" s="36" t="n"/>
      <c r="AP69" s="36" t="n"/>
      <c r="AQ69" s="36" t="n"/>
      <c r="AR69" s="36" t="n"/>
      <c r="AS69" s="36" t="n"/>
      <c r="AT69" s="36" t="n"/>
      <c r="AU69" s="27" t="n"/>
      <c r="AV69" s="37" t="n"/>
      <c r="AW69" s="38">
        <f>IF(AO69="","",IF(AR69="Yes","❌ Disc",IF(AQ69="No","⚠ Missing",IF(AT69="Yes","✓ OK","⚠ Check"))))</f>
        <v/>
      </c>
    </row>
    <row r="70" ht="18" customHeight="1" s="46">
      <c r="A70" s="39" t="n">
        <v>66</v>
      </c>
      <c r="B70" s="40" t="inlineStr">
        <is>
          <t>Ocean Blue -126</t>
        </is>
      </c>
      <c r="C70" s="41" t="inlineStr">
        <is>
          <t>Febonic Fabric - Buckle - Ocean Blue -126</t>
        </is>
      </c>
      <c r="D70" s="39" t="inlineStr">
        <is>
          <t>Febonic</t>
        </is>
      </c>
      <c r="E70" s="43" t="n">
        <v>46125</v>
      </c>
      <c r="F70" s="26" t="inlineStr">
        <is>
          <t>Sunil CR</t>
        </is>
      </c>
      <c r="G70" s="26" t="inlineStr">
        <is>
          <t>Yes</t>
        </is>
      </c>
      <c r="H70" s="26" t="inlineStr">
        <is>
          <t>No</t>
        </is>
      </c>
      <c r="I70" s="26" t="inlineStr">
        <is>
          <t>Good finish</t>
        </is>
      </c>
      <c r="J70" s="26" t="inlineStr">
        <is>
          <t>Yes</t>
        </is>
      </c>
      <c r="K70" s="27" t="n"/>
      <c r="L70" s="28" t="inlineStr">
        <is>
          <t>No</t>
        </is>
      </c>
      <c r="M70" s="29">
        <f>IF(E70="","",IF(H70="Yes","❌ Disc",IF(G70="No","⚠ Missing",IF(J70="Yes","✓ OK","⚠ Check"))))</f>
        <v/>
      </c>
      <c r="N70" s="43" t="n">
        <v>46139</v>
      </c>
      <c r="O70" s="26" t="inlineStr">
        <is>
          <t>Sunil CR</t>
        </is>
      </c>
      <c r="P70" s="26" t="inlineStr">
        <is>
          <t>No</t>
        </is>
      </c>
      <c r="Q70" s="26" t="inlineStr">
        <is>
          <t>Yes</t>
        </is>
      </c>
      <c r="R70" s="26" t="inlineStr">
        <is>
          <t>Discontinued</t>
        </is>
      </c>
      <c r="S70" s="26" t="inlineStr">
        <is>
          <t>No</t>
        </is>
      </c>
      <c r="T70" s="27" t="n"/>
      <c r="U70" s="28" t="inlineStr">
        <is>
          <t>No</t>
        </is>
      </c>
      <c r="V70" s="29">
        <f>IF(N70="","",IF(Q70="Yes","❌ Disc",IF(P70="No","⚠ Missing",IF(S70="Yes","✓ OK","⚠ Check"))))</f>
        <v/>
      </c>
      <c r="W70" s="65" t="n">
        <v>46248</v>
      </c>
      <c r="X70" s="30" t="inlineStr">
        <is>
          <t>Sunil CR</t>
        </is>
      </c>
      <c r="Y70" s="30" t="inlineStr">
        <is>
          <t>No</t>
        </is>
      </c>
      <c r="Z70" s="30" t="n"/>
      <c r="AA70" s="30" t="inlineStr">
        <is>
          <t>Discontinued</t>
        </is>
      </c>
      <c r="AB70" s="30" t="inlineStr">
        <is>
          <t>No</t>
        </is>
      </c>
      <c r="AC70" s="27" t="n"/>
      <c r="AD70" s="31" t="inlineStr">
        <is>
          <t>No</t>
        </is>
      </c>
      <c r="AE70" s="32">
        <f>IF(W70="","",IF(Z70="Yes","❌ Disc",IF(Y70="No","⚠ Missing",IF(AB70="Yes","✓ OK","⚠ Check"))))</f>
        <v/>
      </c>
      <c r="AF70" s="33" t="n"/>
      <c r="AG70" s="33" t="n"/>
      <c r="AH70" s="33" t="n"/>
      <c r="AI70" s="33" t="n"/>
      <c r="AJ70" s="33" t="n"/>
      <c r="AK70" s="33" t="n"/>
      <c r="AL70" s="27" t="n"/>
      <c r="AM70" s="34" t="n"/>
      <c r="AN70" s="35">
        <f>IF(AF70="","",IF(AI70="Yes","❌ Disc",IF(AH70="No","⚠ Missing",IF(AK70="Yes","✓ OK","⚠ Check"))))</f>
        <v/>
      </c>
      <c r="AO70" s="36" t="n"/>
      <c r="AP70" s="36" t="n"/>
      <c r="AQ70" s="36" t="n"/>
      <c r="AR70" s="36" t="n"/>
      <c r="AS70" s="36" t="n"/>
      <c r="AT70" s="36" t="n"/>
      <c r="AU70" s="27" t="n"/>
      <c r="AV70" s="37" t="n"/>
      <c r="AW70" s="38">
        <f>IF(AO70="","",IF(AR70="Yes","❌ Disc",IF(AQ70="No","⚠ Missing",IF(AT70="Yes","✓ OK","⚠ Check"))))</f>
        <v/>
      </c>
    </row>
    <row r="71" ht="18" customHeight="1" s="46">
      <c r="A71" s="23" t="n">
        <v>67</v>
      </c>
      <c r="B71" s="24" t="inlineStr">
        <is>
          <t>Rose Pink -114</t>
        </is>
      </c>
      <c r="C71" s="25" t="inlineStr">
        <is>
          <t>Febonic Fabric - Buckle - Rose Pink -114</t>
        </is>
      </c>
      <c r="D71" s="23" t="inlineStr">
        <is>
          <t>Febonic</t>
        </is>
      </c>
      <c r="E71" s="43" t="n">
        <v>46125</v>
      </c>
      <c r="F71" s="26" t="inlineStr">
        <is>
          <t>Sunil CR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Good finish</t>
        </is>
      </c>
      <c r="J71" s="26" t="inlineStr">
        <is>
          <t>Yes</t>
        </is>
      </c>
      <c r="K71" s="27" t="n"/>
      <c r="L71" s="28" t="inlineStr">
        <is>
          <t>No</t>
        </is>
      </c>
      <c r="M71" s="29">
        <f>IF(E71="","",IF(H71="Yes","❌ Disc",IF(G71="No","⚠ Missing",IF(J71="Yes","✓ OK","⚠ Check"))))</f>
        <v/>
      </c>
      <c r="N71" s="43" t="n">
        <v>46139</v>
      </c>
      <c r="O71" s="26" t="inlineStr">
        <is>
          <t>Sunil CR</t>
        </is>
      </c>
      <c r="P71" s="26" t="inlineStr">
        <is>
          <t>No</t>
        </is>
      </c>
      <c r="Q71" s="26" t="inlineStr">
        <is>
          <t>Yes</t>
        </is>
      </c>
      <c r="R71" s="26" t="inlineStr">
        <is>
          <t>Discontinued</t>
        </is>
      </c>
      <c r="S71" s="26" t="inlineStr">
        <is>
          <t>No</t>
        </is>
      </c>
      <c r="T71" s="27" t="n"/>
      <c r="U71" s="28" t="inlineStr">
        <is>
          <t>No</t>
        </is>
      </c>
      <c r="V71" s="29">
        <f>IF(N71="","",IF(Q71="Yes","❌ Disc",IF(P71="No","⚠ Missing",IF(S71="Yes","✓ OK","⚠ Check"))))</f>
        <v/>
      </c>
      <c r="W71" s="65" t="n">
        <v>46248</v>
      </c>
      <c r="X71" s="30" t="inlineStr">
        <is>
          <t>Sunil CR</t>
        </is>
      </c>
      <c r="Y71" s="30" t="inlineStr">
        <is>
          <t>No</t>
        </is>
      </c>
      <c r="Z71" s="30" t="n"/>
      <c r="AA71" s="30" t="inlineStr">
        <is>
          <t>Discontinued</t>
        </is>
      </c>
      <c r="AB71" s="30" t="inlineStr">
        <is>
          <t>No</t>
        </is>
      </c>
      <c r="AC71" s="27" t="n"/>
      <c r="AD71" s="31" t="inlineStr">
        <is>
          <t>No</t>
        </is>
      </c>
      <c r="AE71" s="32">
        <f>IF(W71="","",IF(Z71="Yes","❌ Disc",IF(Y71="No","⚠ Missing",IF(AB71="Yes","✓ OK","⚠ Check"))))</f>
        <v/>
      </c>
      <c r="AF71" s="33" t="n"/>
      <c r="AG71" s="33" t="n"/>
      <c r="AH71" s="33" t="n"/>
      <c r="AI71" s="33" t="n"/>
      <c r="AJ71" s="33" t="n"/>
      <c r="AK71" s="33" t="n"/>
      <c r="AL71" s="27" t="n"/>
      <c r="AM71" s="34" t="n"/>
      <c r="AN71" s="35">
        <f>IF(AF71="","",IF(AI71="Yes","❌ Disc",IF(AH71="No","⚠ Missing",IF(AK71="Yes","✓ OK","⚠ Check"))))</f>
        <v/>
      </c>
      <c r="AO71" s="36" t="n"/>
      <c r="AP71" s="36" t="n"/>
      <c r="AQ71" s="36" t="n"/>
      <c r="AR71" s="36" t="n"/>
      <c r="AS71" s="36" t="n"/>
      <c r="AT71" s="36" t="n"/>
      <c r="AU71" s="27" t="n"/>
      <c r="AV71" s="37" t="n"/>
      <c r="AW71" s="38">
        <f>IF(AO71="","",IF(AR71="Yes","❌ Disc",IF(AQ71="No","⚠ Missing",IF(AT71="Yes","✓ OK","⚠ Check"))))</f>
        <v/>
      </c>
    </row>
    <row r="72" ht="18" customHeight="1" s="46">
      <c r="A72" s="39" t="n">
        <v>68</v>
      </c>
      <c r="B72" s="40" t="inlineStr">
        <is>
          <t>Rust Orange -103</t>
        </is>
      </c>
      <c r="C72" s="41" t="inlineStr">
        <is>
          <t>Febonic Fabric - Buckle - Rust Orange -103</t>
        </is>
      </c>
      <c r="D72" s="39" t="inlineStr">
        <is>
          <t>Febonic</t>
        </is>
      </c>
      <c r="E72" s="43" t="n">
        <v>46125</v>
      </c>
      <c r="F72" s="26" t="inlineStr">
        <is>
          <t>Sunil CR</t>
        </is>
      </c>
      <c r="G72" s="26" t="inlineStr">
        <is>
          <t>Yes</t>
        </is>
      </c>
      <c r="H72" s="26" t="inlineStr">
        <is>
          <t>No</t>
        </is>
      </c>
      <c r="I72" s="26" t="inlineStr">
        <is>
          <t>Good finish</t>
        </is>
      </c>
      <c r="J72" s="26" t="inlineStr">
        <is>
          <t>Yes</t>
        </is>
      </c>
      <c r="K72" s="27" t="n"/>
      <c r="L72" s="28" t="inlineStr">
        <is>
          <t>No</t>
        </is>
      </c>
      <c r="M72" s="29">
        <f>IF(E72="","",IF(H72="Yes","❌ Disc",IF(G72="No","⚠ Missing",IF(J72="Yes","✓ OK","⚠ Check"))))</f>
        <v/>
      </c>
      <c r="N72" s="43" t="n">
        <v>46139</v>
      </c>
      <c r="O72" s="26" t="inlineStr">
        <is>
          <t>Sunil CR</t>
        </is>
      </c>
      <c r="P72" s="26" t="inlineStr">
        <is>
          <t>No</t>
        </is>
      </c>
      <c r="Q72" s="26" t="inlineStr">
        <is>
          <t>Yes</t>
        </is>
      </c>
      <c r="R72" s="26" t="inlineStr">
        <is>
          <t>Discontinued</t>
        </is>
      </c>
      <c r="S72" s="26" t="inlineStr">
        <is>
          <t>No</t>
        </is>
      </c>
      <c r="T72" s="27" t="n"/>
      <c r="U72" s="28" t="inlineStr">
        <is>
          <t>No</t>
        </is>
      </c>
      <c r="V72" s="29">
        <f>IF(N72="","",IF(Q72="Yes","❌ Disc",IF(P72="No","⚠ Missing",IF(S72="Yes","✓ OK","⚠ Check"))))</f>
        <v/>
      </c>
      <c r="W72" s="65" t="n">
        <v>46248</v>
      </c>
      <c r="X72" s="30" t="inlineStr">
        <is>
          <t>Sunil CR</t>
        </is>
      </c>
      <c r="Y72" s="30" t="inlineStr">
        <is>
          <t>No</t>
        </is>
      </c>
      <c r="Z72" s="30" t="n"/>
      <c r="AA72" s="30" t="inlineStr">
        <is>
          <t>Discontinued</t>
        </is>
      </c>
      <c r="AB72" s="30" t="inlineStr">
        <is>
          <t>No</t>
        </is>
      </c>
      <c r="AC72" s="27" t="n"/>
      <c r="AD72" s="31" t="inlineStr">
        <is>
          <t>No</t>
        </is>
      </c>
      <c r="AE72" s="32">
        <f>IF(W72="","",IF(Z72="Yes","❌ Disc",IF(Y72="No","⚠ Missing",IF(AB72="Yes","✓ OK","⚠ Check"))))</f>
        <v/>
      </c>
      <c r="AF72" s="33" t="n"/>
      <c r="AG72" s="33" t="n"/>
      <c r="AH72" s="33" t="n"/>
      <c r="AI72" s="33" t="n"/>
      <c r="AJ72" s="33" t="n"/>
      <c r="AK72" s="33" t="n"/>
      <c r="AL72" s="27" t="n"/>
      <c r="AM72" s="34" t="n"/>
      <c r="AN72" s="35">
        <f>IF(AF72="","",IF(AI72="Yes","❌ Disc",IF(AH72="No","⚠ Missing",IF(AK72="Yes","✓ OK","⚠ Check"))))</f>
        <v/>
      </c>
      <c r="AO72" s="36" t="n"/>
      <c r="AP72" s="36" t="n"/>
      <c r="AQ72" s="36" t="n"/>
      <c r="AR72" s="36" t="n"/>
      <c r="AS72" s="36" t="n"/>
      <c r="AT72" s="36" t="n"/>
      <c r="AU72" s="27" t="n"/>
      <c r="AV72" s="37" t="n"/>
      <c r="AW72" s="38">
        <f>IF(AO72="","",IF(AR72="Yes","❌ Disc",IF(AQ72="No","⚠ Missing",IF(AT72="Yes","✓ OK","⚠ Check"))))</f>
        <v/>
      </c>
    </row>
    <row r="73" ht="18" customHeight="1" s="46">
      <c r="A73" s="23" t="n">
        <v>69</v>
      </c>
      <c r="B73" s="24" t="inlineStr">
        <is>
          <t>Shadow Grey -115</t>
        </is>
      </c>
      <c r="C73" s="25" t="inlineStr">
        <is>
          <t>Febonic Fabric - Buckle - Shadow Grey -115</t>
        </is>
      </c>
      <c r="D73" s="23" t="inlineStr">
        <is>
          <t>Febonic</t>
        </is>
      </c>
      <c r="E73" s="43" t="n">
        <v>46125</v>
      </c>
      <c r="F73" s="26" t="inlineStr">
        <is>
          <t>Sunil CR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Good finish</t>
        </is>
      </c>
      <c r="J73" s="26" t="inlineStr">
        <is>
          <t>Yes</t>
        </is>
      </c>
      <c r="K73" s="27" t="n"/>
      <c r="L73" s="28" t="inlineStr">
        <is>
          <t>No</t>
        </is>
      </c>
      <c r="M73" s="29">
        <f>IF(E73="","",IF(H73="Yes","❌ Disc",IF(G73="No","⚠ Missing",IF(J73="Yes","✓ OK","⚠ Check"))))</f>
        <v/>
      </c>
      <c r="N73" s="43" t="n">
        <v>46139</v>
      </c>
      <c r="O73" s="26" t="inlineStr">
        <is>
          <t>Sunil CR</t>
        </is>
      </c>
      <c r="P73" s="26" t="inlineStr">
        <is>
          <t>No</t>
        </is>
      </c>
      <c r="Q73" s="26" t="inlineStr">
        <is>
          <t>Yes</t>
        </is>
      </c>
      <c r="R73" s="26" t="inlineStr">
        <is>
          <t>Discontinued</t>
        </is>
      </c>
      <c r="S73" s="26" t="inlineStr">
        <is>
          <t>No</t>
        </is>
      </c>
      <c r="T73" s="27" t="n"/>
      <c r="U73" s="28" t="inlineStr">
        <is>
          <t>No</t>
        </is>
      </c>
      <c r="V73" s="29">
        <f>IF(N73="","",IF(Q73="Yes","❌ Disc",IF(P73="No","⚠ Missing",IF(S73="Yes","✓ OK","⚠ Check"))))</f>
        <v/>
      </c>
      <c r="W73" s="65" t="n">
        <v>46248</v>
      </c>
      <c r="X73" s="30" t="inlineStr">
        <is>
          <t>Sunil CR</t>
        </is>
      </c>
      <c r="Y73" s="30" t="inlineStr">
        <is>
          <t>No</t>
        </is>
      </c>
      <c r="Z73" s="30" t="n"/>
      <c r="AA73" s="30" t="inlineStr">
        <is>
          <t>Discontinued</t>
        </is>
      </c>
      <c r="AB73" s="30" t="inlineStr">
        <is>
          <t>No</t>
        </is>
      </c>
      <c r="AC73" s="27" t="n"/>
      <c r="AD73" s="31" t="inlineStr">
        <is>
          <t>No</t>
        </is>
      </c>
      <c r="AE73" s="32">
        <f>IF(W73="","",IF(Z73="Yes","❌ Disc",IF(Y73="No","⚠ Missing",IF(AB73="Yes","✓ OK","⚠ Check"))))</f>
        <v/>
      </c>
      <c r="AF73" s="33" t="n"/>
      <c r="AG73" s="33" t="n"/>
      <c r="AH73" s="33" t="n"/>
      <c r="AI73" s="33" t="n"/>
      <c r="AJ73" s="33" t="n"/>
      <c r="AK73" s="33" t="n"/>
      <c r="AL73" s="27" t="n"/>
      <c r="AM73" s="34" t="n"/>
      <c r="AN73" s="35">
        <f>IF(AF73="","",IF(AI73="Yes","❌ Disc",IF(AH73="No","⚠ Missing",IF(AK73="Yes","✓ OK","⚠ Check"))))</f>
        <v/>
      </c>
      <c r="AO73" s="36" t="n"/>
      <c r="AP73" s="36" t="n"/>
      <c r="AQ73" s="36" t="n"/>
      <c r="AR73" s="36" t="n"/>
      <c r="AS73" s="36" t="n"/>
      <c r="AT73" s="36" t="n"/>
      <c r="AU73" s="27" t="n"/>
      <c r="AV73" s="37" t="n"/>
      <c r="AW73" s="38">
        <f>IF(AO73="","",IF(AR73="Yes","❌ Disc",IF(AQ73="No","⚠ Missing",IF(AT73="Yes","✓ OK","⚠ Check"))))</f>
        <v/>
      </c>
    </row>
    <row r="74" ht="18" customHeight="1" s="46">
      <c r="A74" s="39" t="n">
        <v>70</v>
      </c>
      <c r="B74" s="40" t="inlineStr">
        <is>
          <t>Shell White -104</t>
        </is>
      </c>
      <c r="C74" s="41" t="inlineStr">
        <is>
          <t>Febonic Fabric - Buckle - Shell White -104</t>
        </is>
      </c>
      <c r="D74" s="39" t="inlineStr">
        <is>
          <t>Febonic</t>
        </is>
      </c>
      <c r="E74" s="43" t="n">
        <v>46125</v>
      </c>
      <c r="F74" s="26" t="inlineStr">
        <is>
          <t>Sunil CR</t>
        </is>
      </c>
      <c r="G74" s="26" t="inlineStr">
        <is>
          <t>Yes</t>
        </is>
      </c>
      <c r="H74" s="26" t="inlineStr">
        <is>
          <t>No</t>
        </is>
      </c>
      <c r="I74" s="26" t="inlineStr">
        <is>
          <t>Good finish</t>
        </is>
      </c>
      <c r="J74" s="26" t="inlineStr">
        <is>
          <t>Yes</t>
        </is>
      </c>
      <c r="K74" s="27" t="n"/>
      <c r="L74" s="28" t="inlineStr">
        <is>
          <t>No</t>
        </is>
      </c>
      <c r="M74" s="29">
        <f>IF(E74="","",IF(H74="Yes","❌ Disc",IF(G74="No","⚠ Missing",IF(J74="Yes","✓ OK","⚠ Check"))))</f>
        <v/>
      </c>
      <c r="N74" s="43" t="n">
        <v>46139</v>
      </c>
      <c r="O74" s="26" t="inlineStr">
        <is>
          <t>Sunil CR</t>
        </is>
      </c>
      <c r="P74" s="26" t="inlineStr">
        <is>
          <t>No</t>
        </is>
      </c>
      <c r="Q74" s="26" t="inlineStr">
        <is>
          <t>Yes</t>
        </is>
      </c>
      <c r="R74" s="26" t="inlineStr">
        <is>
          <t>Discontinued</t>
        </is>
      </c>
      <c r="S74" s="26" t="inlineStr">
        <is>
          <t>No</t>
        </is>
      </c>
      <c r="T74" s="27" t="n"/>
      <c r="U74" s="28" t="inlineStr">
        <is>
          <t>No</t>
        </is>
      </c>
      <c r="V74" s="29">
        <f>IF(N74="","",IF(Q74="Yes","❌ Disc",IF(P74="No","⚠ Missing",IF(S74="Yes","✓ OK","⚠ Check"))))</f>
        <v/>
      </c>
      <c r="W74" s="65" t="n">
        <v>46248</v>
      </c>
      <c r="X74" s="30" t="inlineStr">
        <is>
          <t>Sunil CR</t>
        </is>
      </c>
      <c r="Y74" s="30" t="inlineStr">
        <is>
          <t>No</t>
        </is>
      </c>
      <c r="Z74" s="30" t="n"/>
      <c r="AA74" s="30" t="inlineStr">
        <is>
          <t>Discontinued</t>
        </is>
      </c>
      <c r="AB74" s="30" t="inlineStr">
        <is>
          <t>No</t>
        </is>
      </c>
      <c r="AC74" s="27" t="n"/>
      <c r="AD74" s="31" t="inlineStr">
        <is>
          <t>No</t>
        </is>
      </c>
      <c r="AE74" s="32">
        <f>IF(W74="","",IF(Z74="Yes","❌ Disc",IF(Y74="No","⚠ Missing",IF(AB74="Yes","✓ OK","⚠ Check"))))</f>
        <v/>
      </c>
      <c r="AF74" s="33" t="n"/>
      <c r="AG74" s="33" t="n"/>
      <c r="AH74" s="33" t="n"/>
      <c r="AI74" s="33" t="n"/>
      <c r="AJ74" s="33" t="n"/>
      <c r="AK74" s="33" t="n"/>
      <c r="AL74" s="27" t="n"/>
      <c r="AM74" s="34" t="n"/>
      <c r="AN74" s="35">
        <f>IF(AF74="","",IF(AI74="Yes","❌ Disc",IF(AH74="No","⚠ Missing",IF(AK74="Yes","✓ OK","⚠ Check"))))</f>
        <v/>
      </c>
      <c r="AO74" s="36" t="n"/>
      <c r="AP74" s="36" t="n"/>
      <c r="AQ74" s="36" t="n"/>
      <c r="AR74" s="36" t="n"/>
      <c r="AS74" s="36" t="n"/>
      <c r="AT74" s="36" t="n"/>
      <c r="AU74" s="27" t="n"/>
      <c r="AV74" s="37" t="n"/>
      <c r="AW74" s="38">
        <f>IF(AO74="","",IF(AR74="Yes","❌ Disc",IF(AQ74="No","⚠ Missing",IF(AT74="Yes","✓ OK","⚠ Check"))))</f>
        <v/>
      </c>
    </row>
    <row r="75" ht="18" customHeight="1" s="46">
      <c r="A75" s="23" t="n">
        <v>71</v>
      </c>
      <c r="B75" s="24" t="inlineStr">
        <is>
          <t>Stormy Blue -139</t>
        </is>
      </c>
      <c r="C75" s="25" t="inlineStr">
        <is>
          <t>Febonic Fabric - Buckle - Stormy Blue -139</t>
        </is>
      </c>
      <c r="D75" s="23" t="inlineStr">
        <is>
          <t>Febonic</t>
        </is>
      </c>
      <c r="E75" s="43" t="n">
        <v>46125</v>
      </c>
      <c r="F75" s="26" t="inlineStr">
        <is>
          <t>Sunil CR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Good finish</t>
        </is>
      </c>
      <c r="J75" s="26" t="inlineStr">
        <is>
          <t>Yes</t>
        </is>
      </c>
      <c r="K75" s="27" t="n"/>
      <c r="L75" s="28" t="inlineStr">
        <is>
          <t>No</t>
        </is>
      </c>
      <c r="M75" s="29">
        <f>IF(E75="","",IF(H75="Yes","❌ Disc",IF(G75="No","⚠ Missing",IF(J75="Yes","✓ OK","⚠ Check"))))</f>
        <v/>
      </c>
      <c r="N75" s="43" t="n">
        <v>46139</v>
      </c>
      <c r="O75" s="26" t="inlineStr">
        <is>
          <t>Sunil CR</t>
        </is>
      </c>
      <c r="P75" s="26" t="inlineStr">
        <is>
          <t>No</t>
        </is>
      </c>
      <c r="Q75" s="26" t="inlineStr">
        <is>
          <t>Yes</t>
        </is>
      </c>
      <c r="R75" s="26" t="inlineStr">
        <is>
          <t>Discontinued</t>
        </is>
      </c>
      <c r="S75" s="26" t="inlineStr">
        <is>
          <t>No</t>
        </is>
      </c>
      <c r="T75" s="27" t="n"/>
      <c r="U75" s="28" t="inlineStr">
        <is>
          <t>No</t>
        </is>
      </c>
      <c r="V75" s="29">
        <f>IF(N75="","",IF(Q75="Yes","❌ Disc",IF(P75="No","⚠ Missing",IF(S75="Yes","✓ OK","⚠ Check"))))</f>
        <v/>
      </c>
      <c r="W75" s="65" t="n">
        <v>46248</v>
      </c>
      <c r="X75" s="30" t="inlineStr">
        <is>
          <t>Sunil CR</t>
        </is>
      </c>
      <c r="Y75" s="30" t="inlineStr">
        <is>
          <t>No</t>
        </is>
      </c>
      <c r="Z75" s="30" t="n"/>
      <c r="AA75" s="30" t="inlineStr">
        <is>
          <t>Discontinued</t>
        </is>
      </c>
      <c r="AB75" s="30" t="inlineStr">
        <is>
          <t>No</t>
        </is>
      </c>
      <c r="AC75" s="27" t="n"/>
      <c r="AD75" s="31" t="inlineStr">
        <is>
          <t>No</t>
        </is>
      </c>
      <c r="AE75" s="32">
        <f>IF(W75="","",IF(Z75="Yes","❌ Disc",IF(Y75="No","⚠ Missing",IF(AB75="Yes","✓ OK","⚠ Check"))))</f>
        <v/>
      </c>
      <c r="AF75" s="33" t="n"/>
      <c r="AG75" s="33" t="n"/>
      <c r="AH75" s="33" t="n"/>
      <c r="AI75" s="33" t="n"/>
      <c r="AJ75" s="33" t="n"/>
      <c r="AK75" s="33" t="n"/>
      <c r="AL75" s="27" t="n"/>
      <c r="AM75" s="34" t="n"/>
      <c r="AN75" s="35">
        <f>IF(AF75="","",IF(AI75="Yes","❌ Disc",IF(AH75="No","⚠ Missing",IF(AK75="Yes","✓ OK","⚠ Check"))))</f>
        <v/>
      </c>
      <c r="AO75" s="36" t="n"/>
      <c r="AP75" s="36" t="n"/>
      <c r="AQ75" s="36" t="n"/>
      <c r="AR75" s="36" t="n"/>
      <c r="AS75" s="36" t="n"/>
      <c r="AT75" s="36" t="n"/>
      <c r="AU75" s="27" t="n"/>
      <c r="AV75" s="37" t="n"/>
      <c r="AW75" s="38">
        <f>IF(AO75="","",IF(AR75="Yes","❌ Disc",IF(AQ75="No","⚠ Missing",IF(AT75="Yes","✓ OK","⚠ Check"))))</f>
        <v/>
      </c>
    </row>
    <row r="76" ht="18" customHeight="1" s="46">
      <c r="A76" s="39" t="n">
        <v>72</v>
      </c>
      <c r="B76" s="40" t="inlineStr">
        <is>
          <t>Truffle Brown -106</t>
        </is>
      </c>
      <c r="C76" s="41" t="inlineStr">
        <is>
          <t>Febonic Fabric - Buckle - Truffle Brown -106</t>
        </is>
      </c>
      <c r="D76" s="39" t="inlineStr">
        <is>
          <t>Febonic</t>
        </is>
      </c>
      <c r="E76" s="43" t="n">
        <v>46125</v>
      </c>
      <c r="F76" s="26" t="inlineStr">
        <is>
          <t>Sunil CR</t>
        </is>
      </c>
      <c r="G76" s="26" t="inlineStr">
        <is>
          <t>Yes</t>
        </is>
      </c>
      <c r="H76" s="26" t="inlineStr">
        <is>
          <t>No</t>
        </is>
      </c>
      <c r="I76" s="26" t="inlineStr">
        <is>
          <t>Good finish</t>
        </is>
      </c>
      <c r="J76" s="26" t="inlineStr">
        <is>
          <t>Yes</t>
        </is>
      </c>
      <c r="K76" s="27" t="n"/>
      <c r="L76" s="28" t="inlineStr">
        <is>
          <t>No</t>
        </is>
      </c>
      <c r="M76" s="29">
        <f>IF(E76="","",IF(H76="Yes","❌ Disc",IF(G76="No","⚠ Missing",IF(J76="Yes","✓ OK","⚠ Check"))))</f>
        <v/>
      </c>
      <c r="N76" s="43" t="n">
        <v>46139</v>
      </c>
      <c r="O76" s="26" t="inlineStr">
        <is>
          <t>Sunil CR</t>
        </is>
      </c>
      <c r="P76" s="26" t="inlineStr">
        <is>
          <t>No</t>
        </is>
      </c>
      <c r="Q76" s="26" t="inlineStr">
        <is>
          <t>Yes</t>
        </is>
      </c>
      <c r="R76" s="26" t="inlineStr">
        <is>
          <t>Discontinued</t>
        </is>
      </c>
      <c r="S76" s="26" t="inlineStr">
        <is>
          <t>No</t>
        </is>
      </c>
      <c r="T76" s="27" t="n"/>
      <c r="U76" s="28" t="inlineStr">
        <is>
          <t>No</t>
        </is>
      </c>
      <c r="V76" s="29">
        <f>IF(N76="","",IF(Q76="Yes","❌ Disc",IF(P76="No","⚠ Missing",IF(S76="Yes","✓ OK","⚠ Check"))))</f>
        <v/>
      </c>
      <c r="W76" s="65" t="n">
        <v>46248</v>
      </c>
      <c r="X76" s="30" t="inlineStr">
        <is>
          <t>Sunil CR</t>
        </is>
      </c>
      <c r="Y76" s="30" t="inlineStr">
        <is>
          <t>No</t>
        </is>
      </c>
      <c r="Z76" s="30" t="n"/>
      <c r="AA76" s="30" t="inlineStr">
        <is>
          <t>Discontinued</t>
        </is>
      </c>
      <c r="AB76" s="30" t="inlineStr">
        <is>
          <t>No</t>
        </is>
      </c>
      <c r="AC76" s="27" t="n"/>
      <c r="AD76" s="31" t="inlineStr">
        <is>
          <t>No</t>
        </is>
      </c>
      <c r="AE76" s="32">
        <f>IF(W76="","",IF(Z76="Yes","❌ Disc",IF(Y76="No","⚠ Missing",IF(AB76="Yes","✓ OK","⚠ Check"))))</f>
        <v/>
      </c>
      <c r="AF76" s="33" t="n"/>
      <c r="AG76" s="33" t="n"/>
      <c r="AH76" s="33" t="n"/>
      <c r="AI76" s="33" t="n"/>
      <c r="AJ76" s="33" t="n"/>
      <c r="AK76" s="33" t="n"/>
      <c r="AL76" s="27" t="n"/>
      <c r="AM76" s="34" t="n"/>
      <c r="AN76" s="35">
        <f>IF(AF76="","",IF(AI76="Yes","❌ Disc",IF(AH76="No","⚠ Missing",IF(AK76="Yes","✓ OK","⚠ Check"))))</f>
        <v/>
      </c>
      <c r="AO76" s="36" t="n"/>
      <c r="AP76" s="36" t="n"/>
      <c r="AQ76" s="36" t="n"/>
      <c r="AR76" s="36" t="n"/>
      <c r="AS76" s="36" t="n"/>
      <c r="AT76" s="36" t="n"/>
      <c r="AU76" s="27" t="n"/>
      <c r="AV76" s="37" t="n"/>
      <c r="AW76" s="38">
        <f>IF(AO76="","",IF(AR76="Yes","❌ Disc",IF(AQ76="No","⚠ Missing",IF(AT76="Yes","✓ OK","⚠ Check"))))</f>
        <v/>
      </c>
    </row>
    <row r="77" ht="18" customHeight="1" s="46">
      <c r="A77" s="23" t="n">
        <v>73</v>
      </c>
      <c r="B77" s="24" t="inlineStr">
        <is>
          <t>Arabian Green - 126</t>
        </is>
      </c>
      <c r="C77" s="25" t="inlineStr">
        <is>
          <t>Febonic Fabric - Velvet - Arabian Green - 126</t>
        </is>
      </c>
      <c r="D77" s="23" t="inlineStr">
        <is>
          <t>Febonic</t>
        </is>
      </c>
      <c r="E77" s="43" t="n">
        <v>46125</v>
      </c>
      <c r="F77" s="26" t="inlineStr">
        <is>
          <t>Sunil CR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Good finish</t>
        </is>
      </c>
      <c r="J77" s="26" t="inlineStr">
        <is>
          <t>Yes</t>
        </is>
      </c>
      <c r="K77" s="27" t="n"/>
      <c r="L77" s="28" t="inlineStr">
        <is>
          <t>No</t>
        </is>
      </c>
      <c r="M77" s="29">
        <f>IF(E77="","",IF(H77="Yes","❌ Disc",IF(G77="No","⚠ Missing",IF(J77="Yes","✓ OK","⚠ Check"))))</f>
        <v/>
      </c>
      <c r="N77" s="43" t="n">
        <v>46139</v>
      </c>
      <c r="O77" s="26" t="inlineStr">
        <is>
          <t>Sunil CR</t>
        </is>
      </c>
      <c r="P77" s="26" t="inlineStr">
        <is>
          <t>No</t>
        </is>
      </c>
      <c r="Q77" s="26" t="inlineStr">
        <is>
          <t>Yes</t>
        </is>
      </c>
      <c r="R77" s="26" t="inlineStr">
        <is>
          <t>Discontinued</t>
        </is>
      </c>
      <c r="S77" s="26" t="inlineStr">
        <is>
          <t>No</t>
        </is>
      </c>
      <c r="T77" s="27" t="n"/>
      <c r="U77" s="28" t="inlineStr">
        <is>
          <t>No</t>
        </is>
      </c>
      <c r="V77" s="29">
        <f>IF(N77="","",IF(Q77="Yes","❌ Disc",IF(P77="No","⚠ Missing",IF(S77="Yes","✓ OK","⚠ Check"))))</f>
        <v/>
      </c>
      <c r="W77" s="65" t="n">
        <v>46248</v>
      </c>
      <c r="X77" s="30" t="inlineStr">
        <is>
          <t>Sunil CR</t>
        </is>
      </c>
      <c r="Y77" s="30" t="inlineStr">
        <is>
          <t>No</t>
        </is>
      </c>
      <c r="Z77" s="30" t="n"/>
      <c r="AA77" s="30" t="inlineStr">
        <is>
          <t>Discontinued</t>
        </is>
      </c>
      <c r="AB77" s="30" t="inlineStr">
        <is>
          <t>No</t>
        </is>
      </c>
      <c r="AC77" s="27" t="n"/>
      <c r="AD77" s="31" t="inlineStr">
        <is>
          <t>No</t>
        </is>
      </c>
      <c r="AE77" s="32">
        <f>IF(W77="","",IF(Z77="Yes","❌ Disc",IF(Y77="No","⚠ Missing",IF(AB77="Yes","✓ OK","⚠ Check"))))</f>
        <v/>
      </c>
      <c r="AF77" s="33" t="n"/>
      <c r="AG77" s="33" t="n"/>
      <c r="AH77" s="33" t="n"/>
      <c r="AI77" s="33" t="n"/>
      <c r="AJ77" s="33" t="n"/>
      <c r="AK77" s="33" t="n"/>
      <c r="AL77" s="27" t="n"/>
      <c r="AM77" s="34" t="n"/>
      <c r="AN77" s="35">
        <f>IF(AF77="","",IF(AI77="Yes","❌ Disc",IF(AH77="No","⚠ Missing",IF(AK77="Yes","✓ OK","⚠ Check"))))</f>
        <v/>
      </c>
      <c r="AO77" s="36" t="n"/>
      <c r="AP77" s="36" t="n"/>
      <c r="AQ77" s="36" t="n"/>
      <c r="AR77" s="36" t="n"/>
      <c r="AS77" s="36" t="n"/>
      <c r="AT77" s="36" t="n"/>
      <c r="AU77" s="27" t="n"/>
      <c r="AV77" s="37" t="n"/>
      <c r="AW77" s="38">
        <f>IF(AO77="","",IF(AR77="Yes","❌ Disc",IF(AQ77="No","⚠ Missing",IF(AT77="Yes","✓ OK","⚠ Check"))))</f>
        <v/>
      </c>
    </row>
    <row r="78" ht="18" customHeight="1" s="46">
      <c r="A78" s="39" t="n">
        <v>74</v>
      </c>
      <c r="B78" s="40" t="inlineStr">
        <is>
          <t>Azura Blue -111</t>
        </is>
      </c>
      <c r="C78" s="41" t="inlineStr">
        <is>
          <t>Febonic Fabric - Velvet - Azura Blue -111</t>
        </is>
      </c>
      <c r="D78" s="39" t="inlineStr">
        <is>
          <t>Febonic</t>
        </is>
      </c>
      <c r="E78" s="43" t="n">
        <v>46125</v>
      </c>
      <c r="F78" s="26" t="inlineStr">
        <is>
          <t>Sunil CR</t>
        </is>
      </c>
      <c r="G78" s="26" t="inlineStr">
        <is>
          <t>Yes</t>
        </is>
      </c>
      <c r="H78" s="26" t="inlineStr">
        <is>
          <t>No</t>
        </is>
      </c>
      <c r="I78" s="26" t="inlineStr">
        <is>
          <t>Good finish</t>
        </is>
      </c>
      <c r="J78" s="26" t="inlineStr">
        <is>
          <t>Yes</t>
        </is>
      </c>
      <c r="K78" s="27" t="n"/>
      <c r="L78" s="28" t="inlineStr">
        <is>
          <t>No</t>
        </is>
      </c>
      <c r="M78" s="29">
        <f>IF(E78="","",IF(H78="Yes","❌ Disc",IF(G78="No","⚠ Missing",IF(J78="Yes","✓ OK","⚠ Check"))))</f>
        <v/>
      </c>
      <c r="N78" s="43" t="n">
        <v>46139</v>
      </c>
      <c r="O78" s="26" t="inlineStr">
        <is>
          <t>Sunil CR</t>
        </is>
      </c>
      <c r="P78" s="26" t="inlineStr">
        <is>
          <t>No</t>
        </is>
      </c>
      <c r="Q78" s="26" t="inlineStr">
        <is>
          <t>Yes</t>
        </is>
      </c>
      <c r="R78" s="26" t="inlineStr">
        <is>
          <t>Discontinued</t>
        </is>
      </c>
      <c r="S78" s="26" t="inlineStr">
        <is>
          <t>No</t>
        </is>
      </c>
      <c r="T78" s="27" t="n"/>
      <c r="U78" s="28" t="inlineStr">
        <is>
          <t>No</t>
        </is>
      </c>
      <c r="V78" s="29">
        <f>IF(N78="","",IF(Q78="Yes","❌ Disc",IF(P78="No","⚠ Missing",IF(S78="Yes","✓ OK","⚠ Check"))))</f>
        <v/>
      </c>
      <c r="W78" s="65" t="n">
        <v>46248</v>
      </c>
      <c r="X78" s="30" t="inlineStr">
        <is>
          <t>Sunil CR</t>
        </is>
      </c>
      <c r="Y78" s="30" t="inlineStr">
        <is>
          <t>No</t>
        </is>
      </c>
      <c r="Z78" s="30" t="n"/>
      <c r="AA78" s="30" t="inlineStr">
        <is>
          <t>Discontinued</t>
        </is>
      </c>
      <c r="AB78" s="30" t="inlineStr">
        <is>
          <t>No</t>
        </is>
      </c>
      <c r="AC78" s="27" t="n"/>
      <c r="AD78" s="31" t="inlineStr">
        <is>
          <t>No</t>
        </is>
      </c>
      <c r="AE78" s="32">
        <f>IF(W78="","",IF(Z78="Yes","❌ Disc",IF(Y78="No","⚠ Missing",IF(AB78="Yes","✓ OK","⚠ Check"))))</f>
        <v/>
      </c>
      <c r="AF78" s="33" t="n"/>
      <c r="AG78" s="33" t="n"/>
      <c r="AH78" s="33" t="n"/>
      <c r="AI78" s="33" t="n"/>
      <c r="AJ78" s="33" t="n"/>
      <c r="AK78" s="33" t="n"/>
      <c r="AL78" s="27" t="n"/>
      <c r="AM78" s="34" t="n"/>
      <c r="AN78" s="35">
        <f>IF(AF78="","",IF(AI78="Yes","❌ Disc",IF(AH78="No","⚠ Missing",IF(AK78="Yes","✓ OK","⚠ Check"))))</f>
        <v/>
      </c>
      <c r="AO78" s="36" t="n"/>
      <c r="AP78" s="36" t="n"/>
      <c r="AQ78" s="36" t="n"/>
      <c r="AR78" s="36" t="n"/>
      <c r="AS78" s="36" t="n"/>
      <c r="AT78" s="36" t="n"/>
      <c r="AU78" s="27" t="n"/>
      <c r="AV78" s="37" t="n"/>
      <c r="AW78" s="38">
        <f>IF(AO78="","",IF(AR78="Yes","❌ Disc",IF(AQ78="No","⚠ Missing",IF(AT78="Yes","✓ OK","⚠ Check"))))</f>
        <v/>
      </c>
    </row>
    <row r="79" ht="18" customHeight="1" s="46">
      <c r="A79" s="23" t="n">
        <v>75</v>
      </c>
      <c r="B79" s="24" t="inlineStr">
        <is>
          <t>Barmunda Aqua - 139</t>
        </is>
      </c>
      <c r="C79" s="25" t="inlineStr">
        <is>
          <t>Febonic Fabric - Velvet - Barmunda Aqua - 139</t>
        </is>
      </c>
      <c r="D79" s="23" t="inlineStr">
        <is>
          <t>Febonic</t>
        </is>
      </c>
      <c r="E79" s="43" t="n">
        <v>46125</v>
      </c>
      <c r="F79" s="26" t="inlineStr">
        <is>
          <t>Sunil CR</t>
        </is>
      </c>
      <c r="G79" s="26" t="inlineStr">
        <is>
          <t>Yes</t>
        </is>
      </c>
      <c r="H79" s="26" t="inlineStr">
        <is>
          <t>No</t>
        </is>
      </c>
      <c r="I79" s="26" t="inlineStr">
        <is>
          <t>Good finish</t>
        </is>
      </c>
      <c r="J79" s="26" t="inlineStr">
        <is>
          <t>Yes</t>
        </is>
      </c>
      <c r="K79" s="27" t="n"/>
      <c r="L79" s="28" t="inlineStr">
        <is>
          <t>No</t>
        </is>
      </c>
      <c r="M79" s="29">
        <f>IF(E79="","",IF(H79="Yes","❌ Disc",IF(G79="No","⚠ Missing",IF(J79="Yes","✓ OK","⚠ Check"))))</f>
        <v/>
      </c>
      <c r="N79" s="43" t="n">
        <v>46139</v>
      </c>
      <c r="O79" s="26" t="inlineStr">
        <is>
          <t>Sunil CR</t>
        </is>
      </c>
      <c r="P79" s="26" t="inlineStr">
        <is>
          <t>No</t>
        </is>
      </c>
      <c r="Q79" s="26" t="inlineStr">
        <is>
          <t>Yes</t>
        </is>
      </c>
      <c r="R79" s="26" t="inlineStr">
        <is>
          <t>Discontinued</t>
        </is>
      </c>
      <c r="S79" s="26" t="inlineStr">
        <is>
          <t>No</t>
        </is>
      </c>
      <c r="T79" s="27" t="n"/>
      <c r="U79" s="28" t="inlineStr">
        <is>
          <t>No</t>
        </is>
      </c>
      <c r="V79" s="29">
        <f>IF(N79="","",IF(Q79="Yes","❌ Disc",IF(P79="No","⚠ Missing",IF(S79="Yes","✓ OK","⚠ Check"))))</f>
        <v/>
      </c>
      <c r="W79" s="65" t="n">
        <v>46248</v>
      </c>
      <c r="X79" s="30" t="inlineStr">
        <is>
          <t>Sunil CR</t>
        </is>
      </c>
      <c r="Y79" s="30" t="inlineStr">
        <is>
          <t>No</t>
        </is>
      </c>
      <c r="Z79" s="30" t="n"/>
      <c r="AA79" s="30" t="inlineStr">
        <is>
          <t>Discontinued</t>
        </is>
      </c>
      <c r="AB79" s="30" t="inlineStr">
        <is>
          <t>No</t>
        </is>
      </c>
      <c r="AC79" s="27" t="n"/>
      <c r="AD79" s="31" t="inlineStr">
        <is>
          <t>No</t>
        </is>
      </c>
      <c r="AE79" s="32">
        <f>IF(W79="","",IF(Z79="Yes","❌ Disc",IF(Y79="No","⚠ Missing",IF(AB79="Yes","✓ OK","⚠ Check"))))</f>
        <v/>
      </c>
      <c r="AF79" s="33" t="n"/>
      <c r="AG79" s="33" t="n"/>
      <c r="AH79" s="33" t="n"/>
      <c r="AI79" s="33" t="n"/>
      <c r="AJ79" s="33" t="n"/>
      <c r="AK79" s="33" t="n"/>
      <c r="AL79" s="27" t="n"/>
      <c r="AM79" s="34" t="n"/>
      <c r="AN79" s="35">
        <f>IF(AF79="","",IF(AI79="Yes","❌ Disc",IF(AH79="No","⚠ Missing",IF(AK79="Yes","✓ OK","⚠ Check"))))</f>
        <v/>
      </c>
      <c r="AO79" s="36" t="n"/>
      <c r="AP79" s="36" t="n"/>
      <c r="AQ79" s="36" t="n"/>
      <c r="AR79" s="36" t="n"/>
      <c r="AS79" s="36" t="n"/>
      <c r="AT79" s="36" t="n"/>
      <c r="AU79" s="27" t="n"/>
      <c r="AV79" s="37" t="n"/>
      <c r="AW79" s="38">
        <f>IF(AO79="","",IF(AR79="Yes","❌ Disc",IF(AQ79="No","⚠ Missing",IF(AT79="Yes","✓ OK","⚠ Check"))))</f>
        <v/>
      </c>
    </row>
    <row r="80" ht="18" customHeight="1" s="46">
      <c r="A80" s="39" t="n">
        <v>76</v>
      </c>
      <c r="B80" s="40" t="inlineStr">
        <is>
          <t>Blush Pink - 114</t>
        </is>
      </c>
      <c r="C80" s="41" t="inlineStr">
        <is>
          <t>Febonic Fabric - Velvet - Blush Pink - 114</t>
        </is>
      </c>
      <c r="D80" s="39" t="inlineStr">
        <is>
          <t>Febonic</t>
        </is>
      </c>
      <c r="E80" s="43" t="n">
        <v>46125</v>
      </c>
      <c r="F80" s="26" t="inlineStr">
        <is>
          <t>Sunil CR</t>
        </is>
      </c>
      <c r="G80" s="26" t="inlineStr">
        <is>
          <t>Yes</t>
        </is>
      </c>
      <c r="H80" s="26" t="inlineStr">
        <is>
          <t>No</t>
        </is>
      </c>
      <c r="I80" s="26" t="inlineStr">
        <is>
          <t>Good finish</t>
        </is>
      </c>
      <c r="J80" s="26" t="inlineStr">
        <is>
          <t>Yes</t>
        </is>
      </c>
      <c r="K80" s="27" t="n"/>
      <c r="L80" s="28" t="inlineStr">
        <is>
          <t>No</t>
        </is>
      </c>
      <c r="M80" s="29">
        <f>IF(E80="","",IF(H80="Yes","❌ Disc",IF(G80="No","⚠ Missing",IF(J80="Yes","✓ OK","⚠ Check"))))</f>
        <v/>
      </c>
      <c r="N80" s="43" t="n">
        <v>46139</v>
      </c>
      <c r="O80" s="26" t="inlineStr">
        <is>
          <t>Sunil CR</t>
        </is>
      </c>
      <c r="P80" s="26" t="inlineStr">
        <is>
          <t>No</t>
        </is>
      </c>
      <c r="Q80" s="26" t="inlineStr">
        <is>
          <t>Yes</t>
        </is>
      </c>
      <c r="R80" s="26" t="inlineStr">
        <is>
          <t>Discontinued</t>
        </is>
      </c>
      <c r="S80" s="26" t="inlineStr">
        <is>
          <t>No</t>
        </is>
      </c>
      <c r="T80" s="27" t="n"/>
      <c r="U80" s="28" t="inlineStr">
        <is>
          <t>No</t>
        </is>
      </c>
      <c r="V80" s="29">
        <f>IF(N80="","",IF(Q80="Yes","❌ Disc",IF(P80="No","⚠ Missing",IF(S80="Yes","✓ OK","⚠ Check"))))</f>
        <v/>
      </c>
      <c r="W80" s="65" t="n">
        <v>46248</v>
      </c>
      <c r="X80" s="30" t="inlineStr">
        <is>
          <t>Sunil CR</t>
        </is>
      </c>
      <c r="Y80" s="30" t="inlineStr">
        <is>
          <t>No</t>
        </is>
      </c>
      <c r="Z80" s="30" t="n"/>
      <c r="AA80" s="30" t="inlineStr">
        <is>
          <t>Discontinued</t>
        </is>
      </c>
      <c r="AB80" s="30" t="inlineStr">
        <is>
          <t>No</t>
        </is>
      </c>
      <c r="AC80" s="27" t="n"/>
      <c r="AD80" s="31" t="inlineStr">
        <is>
          <t>No</t>
        </is>
      </c>
      <c r="AE80" s="32">
        <f>IF(W80="","",IF(Z80="Yes","❌ Disc",IF(Y80="No","⚠ Missing",IF(AB80="Yes","✓ OK","⚠ Check"))))</f>
        <v/>
      </c>
      <c r="AF80" s="33" t="n"/>
      <c r="AG80" s="33" t="n"/>
      <c r="AH80" s="33" t="n"/>
      <c r="AI80" s="33" t="n"/>
      <c r="AJ80" s="33" t="n"/>
      <c r="AK80" s="33" t="n"/>
      <c r="AL80" s="27" t="n"/>
      <c r="AM80" s="34" t="n"/>
      <c r="AN80" s="35">
        <f>IF(AF80="","",IF(AI80="Yes","❌ Disc",IF(AH80="No","⚠ Missing",IF(AK80="Yes","✓ OK","⚠ Check"))))</f>
        <v/>
      </c>
      <c r="AO80" s="36" t="n"/>
      <c r="AP80" s="36" t="n"/>
      <c r="AQ80" s="36" t="n"/>
      <c r="AR80" s="36" t="n"/>
      <c r="AS80" s="36" t="n"/>
      <c r="AT80" s="36" t="n"/>
      <c r="AU80" s="27" t="n"/>
      <c r="AV80" s="37" t="n"/>
      <c r="AW80" s="38">
        <f>IF(AO80="","",IF(AR80="Yes","❌ Disc",IF(AQ80="No","⚠ Missing",IF(AT80="Yes","✓ OK","⚠ Check"))))</f>
        <v/>
      </c>
    </row>
    <row r="81" ht="18" customHeight="1" s="46">
      <c r="A81" s="23" t="n">
        <v>77</v>
      </c>
      <c r="B81" s="24" t="inlineStr">
        <is>
          <t>Bone Grey - 102</t>
        </is>
      </c>
      <c r="C81" s="25" t="inlineStr">
        <is>
          <t>Febonic Fabric - Velvet - Bone Grey - 102</t>
        </is>
      </c>
      <c r="D81" s="23" t="inlineStr">
        <is>
          <t>Febonic</t>
        </is>
      </c>
      <c r="E81" s="43" t="n">
        <v>46125</v>
      </c>
      <c r="F81" s="26" t="inlineStr">
        <is>
          <t>Sunil CR</t>
        </is>
      </c>
      <c r="G81" s="26" t="inlineStr">
        <is>
          <t>Yes</t>
        </is>
      </c>
      <c r="H81" s="26" t="inlineStr">
        <is>
          <t>No</t>
        </is>
      </c>
      <c r="I81" s="26" t="inlineStr">
        <is>
          <t>Good finish</t>
        </is>
      </c>
      <c r="J81" s="26" t="inlineStr">
        <is>
          <t>Yes</t>
        </is>
      </c>
      <c r="K81" s="27" t="n"/>
      <c r="L81" s="28" t="inlineStr">
        <is>
          <t>No</t>
        </is>
      </c>
      <c r="M81" s="29">
        <f>IF(E81="","",IF(H81="Yes","❌ Disc",IF(G81="No","⚠ Missing",IF(J81="Yes","✓ OK","⚠ Check"))))</f>
        <v/>
      </c>
      <c r="N81" s="43" t="n">
        <v>46139</v>
      </c>
      <c r="O81" s="26" t="inlineStr">
        <is>
          <t>Sunil CR</t>
        </is>
      </c>
      <c r="P81" s="26" t="inlineStr">
        <is>
          <t>No</t>
        </is>
      </c>
      <c r="Q81" s="26" t="inlineStr">
        <is>
          <t>Yes</t>
        </is>
      </c>
      <c r="R81" s="26" t="inlineStr">
        <is>
          <t>Discontinued</t>
        </is>
      </c>
      <c r="S81" s="26" t="inlineStr">
        <is>
          <t>No</t>
        </is>
      </c>
      <c r="T81" s="27" t="n"/>
      <c r="U81" s="28" t="inlineStr">
        <is>
          <t>No</t>
        </is>
      </c>
      <c r="V81" s="29">
        <f>IF(N81="","",IF(Q81="Yes","❌ Disc",IF(P81="No","⚠ Missing",IF(S81="Yes","✓ OK","⚠ Check"))))</f>
        <v/>
      </c>
      <c r="W81" s="65" t="n">
        <v>46248</v>
      </c>
      <c r="X81" s="30" t="inlineStr">
        <is>
          <t>Sunil CR</t>
        </is>
      </c>
      <c r="Y81" s="30" t="inlineStr">
        <is>
          <t>No</t>
        </is>
      </c>
      <c r="Z81" s="30" t="n"/>
      <c r="AA81" s="30" t="inlineStr">
        <is>
          <t>Discontinued</t>
        </is>
      </c>
      <c r="AB81" s="30" t="inlineStr">
        <is>
          <t>No</t>
        </is>
      </c>
      <c r="AC81" s="27" t="n"/>
      <c r="AD81" s="31" t="inlineStr">
        <is>
          <t>No</t>
        </is>
      </c>
      <c r="AE81" s="32">
        <f>IF(W81="","",IF(Z81="Yes","❌ Disc",IF(Y81="No","⚠ Missing",IF(AB81="Yes","✓ OK","⚠ Check"))))</f>
        <v/>
      </c>
      <c r="AF81" s="33" t="n"/>
      <c r="AG81" s="33" t="n"/>
      <c r="AH81" s="33" t="n"/>
      <c r="AI81" s="33" t="n"/>
      <c r="AJ81" s="33" t="n"/>
      <c r="AK81" s="33" t="n"/>
      <c r="AL81" s="27" t="n"/>
      <c r="AM81" s="34" t="n"/>
      <c r="AN81" s="35">
        <f>IF(AF81="","",IF(AI81="Yes","❌ Disc",IF(AH81="No","⚠ Missing",IF(AK81="Yes","✓ OK","⚠ Check"))))</f>
        <v/>
      </c>
      <c r="AO81" s="36" t="n"/>
      <c r="AP81" s="36" t="n"/>
      <c r="AQ81" s="36" t="n"/>
      <c r="AR81" s="36" t="n"/>
      <c r="AS81" s="36" t="n"/>
      <c r="AT81" s="36" t="n"/>
      <c r="AU81" s="27" t="n"/>
      <c r="AV81" s="37" t="n"/>
      <c r="AW81" s="38">
        <f>IF(AO81="","",IF(AR81="Yes","❌ Disc",IF(AQ81="No","⚠ Missing",IF(AT81="Yes","✓ OK","⚠ Check"))))</f>
        <v/>
      </c>
    </row>
    <row r="82" ht="18" customHeight="1" s="46">
      <c r="A82" s="39" t="n">
        <v>78</v>
      </c>
      <c r="B82" s="40" t="inlineStr">
        <is>
          <t>Camel Beige - 110</t>
        </is>
      </c>
      <c r="C82" s="41" t="inlineStr">
        <is>
          <t>Febonic Fabric - Velvet - Camel Beige - 110</t>
        </is>
      </c>
      <c r="D82" s="39" t="inlineStr">
        <is>
          <t>Febonic</t>
        </is>
      </c>
      <c r="E82" s="43" t="n">
        <v>46125</v>
      </c>
      <c r="F82" s="26" t="inlineStr">
        <is>
          <t>Sunil CR</t>
        </is>
      </c>
      <c r="G82" s="26" t="inlineStr">
        <is>
          <t>Yes</t>
        </is>
      </c>
      <c r="H82" s="26" t="inlineStr">
        <is>
          <t>No</t>
        </is>
      </c>
      <c r="I82" s="26" t="inlineStr">
        <is>
          <t>Good finish</t>
        </is>
      </c>
      <c r="J82" s="26" t="inlineStr">
        <is>
          <t>Yes</t>
        </is>
      </c>
      <c r="K82" s="27" t="n"/>
      <c r="L82" s="28" t="inlineStr">
        <is>
          <t>No</t>
        </is>
      </c>
      <c r="M82" s="29">
        <f>IF(E82="","",IF(H82="Yes","❌ Disc",IF(G82="No","⚠ Missing",IF(J82="Yes","✓ OK","⚠ Check"))))</f>
        <v/>
      </c>
      <c r="N82" s="43" t="n">
        <v>46139</v>
      </c>
      <c r="O82" s="26" t="inlineStr">
        <is>
          <t>Sunil CR</t>
        </is>
      </c>
      <c r="P82" s="26" t="inlineStr">
        <is>
          <t>No</t>
        </is>
      </c>
      <c r="Q82" s="26" t="inlineStr">
        <is>
          <t>Yes</t>
        </is>
      </c>
      <c r="R82" s="26" t="inlineStr">
        <is>
          <t>Discontinued</t>
        </is>
      </c>
      <c r="S82" s="26" t="inlineStr">
        <is>
          <t>No</t>
        </is>
      </c>
      <c r="T82" s="27" t="n"/>
      <c r="U82" s="28" t="inlineStr">
        <is>
          <t>No</t>
        </is>
      </c>
      <c r="V82" s="29">
        <f>IF(N82="","",IF(Q82="Yes","❌ Disc",IF(P82="No","⚠ Missing",IF(S82="Yes","✓ OK","⚠ Check"))))</f>
        <v/>
      </c>
      <c r="W82" s="65" t="n">
        <v>46248</v>
      </c>
      <c r="X82" s="30" t="inlineStr">
        <is>
          <t>Sunil CR</t>
        </is>
      </c>
      <c r="Y82" s="30" t="inlineStr">
        <is>
          <t>No</t>
        </is>
      </c>
      <c r="Z82" s="30" t="n"/>
      <c r="AA82" s="30" t="inlineStr">
        <is>
          <t>Discontinued</t>
        </is>
      </c>
      <c r="AB82" s="30" t="inlineStr">
        <is>
          <t>No</t>
        </is>
      </c>
      <c r="AC82" s="27" t="n"/>
      <c r="AD82" s="31" t="inlineStr">
        <is>
          <t>No</t>
        </is>
      </c>
      <c r="AE82" s="32">
        <f>IF(W82="","",IF(Z82="Yes","❌ Disc",IF(Y82="No","⚠ Missing",IF(AB82="Yes","✓ OK","⚠ Check"))))</f>
        <v/>
      </c>
      <c r="AF82" s="33" t="n"/>
      <c r="AG82" s="33" t="n"/>
      <c r="AH82" s="33" t="n"/>
      <c r="AI82" s="33" t="n"/>
      <c r="AJ82" s="33" t="n"/>
      <c r="AK82" s="33" t="n"/>
      <c r="AL82" s="27" t="n"/>
      <c r="AM82" s="34" t="n"/>
      <c r="AN82" s="35">
        <f>IF(AF82="","",IF(AI82="Yes","❌ Disc",IF(AH82="No","⚠ Missing",IF(AK82="Yes","✓ OK","⚠ Check"))))</f>
        <v/>
      </c>
      <c r="AO82" s="36" t="n"/>
      <c r="AP82" s="36" t="n"/>
      <c r="AQ82" s="36" t="n"/>
      <c r="AR82" s="36" t="n"/>
      <c r="AS82" s="36" t="n"/>
      <c r="AT82" s="36" t="n"/>
      <c r="AU82" s="27" t="n"/>
      <c r="AV82" s="37" t="n"/>
      <c r="AW82" s="38">
        <f>IF(AO82="","",IF(AR82="Yes","❌ Disc",IF(AQ82="No","⚠ Missing",IF(AT82="Yes","✓ OK","⚠ Check"))))</f>
        <v/>
      </c>
    </row>
    <row r="83" ht="18" customHeight="1" s="46">
      <c r="A83" s="23" t="n">
        <v>79</v>
      </c>
      <c r="B83" s="24" t="inlineStr">
        <is>
          <t>Concrete Grey - 156</t>
        </is>
      </c>
      <c r="C83" s="25" t="inlineStr">
        <is>
          <t>Febonic Fabric - Velvet - Concrete Grey - 156</t>
        </is>
      </c>
      <c r="D83" s="23" t="inlineStr">
        <is>
          <t>Febonic</t>
        </is>
      </c>
      <c r="E83" s="43" t="n">
        <v>46125</v>
      </c>
      <c r="F83" s="26" t="inlineStr">
        <is>
          <t>Sunil CR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Good finish</t>
        </is>
      </c>
      <c r="J83" s="26" t="inlineStr">
        <is>
          <t>Yes</t>
        </is>
      </c>
      <c r="K83" s="27" t="n"/>
      <c r="L83" s="28" t="inlineStr">
        <is>
          <t>No</t>
        </is>
      </c>
      <c r="M83" s="29">
        <f>IF(E83="","",IF(H83="Yes","❌ Disc",IF(G83="No","⚠ Missing",IF(J83="Yes","✓ OK","⚠ Check"))))</f>
        <v/>
      </c>
      <c r="N83" s="43" t="n">
        <v>46139</v>
      </c>
      <c r="O83" s="26" t="inlineStr">
        <is>
          <t>Sunil CR</t>
        </is>
      </c>
      <c r="P83" s="26" t="inlineStr">
        <is>
          <t>No</t>
        </is>
      </c>
      <c r="Q83" s="26" t="inlineStr">
        <is>
          <t>Yes</t>
        </is>
      </c>
      <c r="R83" s="26" t="inlineStr">
        <is>
          <t>Discontinued</t>
        </is>
      </c>
      <c r="S83" s="26" t="inlineStr">
        <is>
          <t>No</t>
        </is>
      </c>
      <c r="T83" s="27" t="n"/>
      <c r="U83" s="28" t="inlineStr">
        <is>
          <t>No</t>
        </is>
      </c>
      <c r="V83" s="29">
        <f>IF(N83="","",IF(Q83="Yes","❌ Disc",IF(P83="No","⚠ Missing",IF(S83="Yes","✓ OK","⚠ Check"))))</f>
        <v/>
      </c>
      <c r="W83" s="65" t="n">
        <v>46248</v>
      </c>
      <c r="X83" s="30" t="inlineStr">
        <is>
          <t>Sunil CR</t>
        </is>
      </c>
      <c r="Y83" s="30" t="inlineStr">
        <is>
          <t>No</t>
        </is>
      </c>
      <c r="Z83" s="30" t="n"/>
      <c r="AA83" s="30" t="inlineStr">
        <is>
          <t>Discontinued</t>
        </is>
      </c>
      <c r="AB83" s="30" t="inlineStr">
        <is>
          <t>No</t>
        </is>
      </c>
      <c r="AC83" s="27" t="n"/>
      <c r="AD83" s="31" t="inlineStr">
        <is>
          <t>No</t>
        </is>
      </c>
      <c r="AE83" s="32">
        <f>IF(W83="","",IF(Z83="Yes","❌ Disc",IF(Y83="No","⚠ Missing",IF(AB83="Yes","✓ OK","⚠ Check"))))</f>
        <v/>
      </c>
      <c r="AF83" s="33" t="n"/>
      <c r="AG83" s="33" t="n"/>
      <c r="AH83" s="33" t="n"/>
      <c r="AI83" s="33" t="n"/>
      <c r="AJ83" s="33" t="n"/>
      <c r="AK83" s="33" t="n"/>
      <c r="AL83" s="27" t="n"/>
      <c r="AM83" s="34" t="n"/>
      <c r="AN83" s="35">
        <f>IF(AF83="","",IF(AI83="Yes","❌ Disc",IF(AH83="No","⚠ Missing",IF(AK83="Yes","✓ OK","⚠ Check"))))</f>
        <v/>
      </c>
      <c r="AO83" s="36" t="n"/>
      <c r="AP83" s="36" t="n"/>
      <c r="AQ83" s="36" t="n"/>
      <c r="AR83" s="36" t="n"/>
      <c r="AS83" s="36" t="n"/>
      <c r="AT83" s="36" t="n"/>
      <c r="AU83" s="27" t="n"/>
      <c r="AV83" s="37" t="n"/>
      <c r="AW83" s="38">
        <f>IF(AO83="","",IF(AR83="Yes","❌ Disc",IF(AQ83="No","⚠ Missing",IF(AT83="Yes","✓ OK","⚠ Check"))))</f>
        <v/>
      </c>
    </row>
    <row r="84" ht="18" customHeight="1" s="46">
      <c r="A84" s="39" t="n">
        <v>80</v>
      </c>
      <c r="B84" s="40" t="inlineStr">
        <is>
          <t>Cream Beige - 133</t>
        </is>
      </c>
      <c r="C84" s="41" t="inlineStr">
        <is>
          <t>Febonic Fabric - Velvet - Cream Beige - 133</t>
        </is>
      </c>
      <c r="D84" s="39" t="inlineStr">
        <is>
          <t>Febonic</t>
        </is>
      </c>
      <c r="E84" s="43" t="n">
        <v>46125</v>
      </c>
      <c r="F84" s="26" t="inlineStr">
        <is>
          <t>Sunil CR</t>
        </is>
      </c>
      <c r="G84" s="26" t="inlineStr">
        <is>
          <t>Yes</t>
        </is>
      </c>
      <c r="H84" s="26" t="inlineStr">
        <is>
          <t>No</t>
        </is>
      </c>
      <c r="I84" s="26" t="inlineStr">
        <is>
          <t>Good finish</t>
        </is>
      </c>
      <c r="J84" s="26" t="inlineStr">
        <is>
          <t>Yes</t>
        </is>
      </c>
      <c r="K84" s="27" t="n"/>
      <c r="L84" s="28" t="inlineStr">
        <is>
          <t>No</t>
        </is>
      </c>
      <c r="M84" s="29">
        <f>IF(E84="","",IF(H84="Yes","❌ Disc",IF(G84="No","⚠ Missing",IF(J84="Yes","✓ OK","⚠ Check"))))</f>
        <v/>
      </c>
      <c r="N84" s="43" t="n">
        <v>46139</v>
      </c>
      <c r="O84" s="26" t="inlineStr">
        <is>
          <t>Sunil CR</t>
        </is>
      </c>
      <c r="P84" s="26" t="inlineStr">
        <is>
          <t>No</t>
        </is>
      </c>
      <c r="Q84" s="26" t="inlineStr">
        <is>
          <t>Yes</t>
        </is>
      </c>
      <c r="R84" s="26" t="inlineStr">
        <is>
          <t>Discontinued</t>
        </is>
      </c>
      <c r="S84" s="26" t="inlineStr">
        <is>
          <t>No</t>
        </is>
      </c>
      <c r="T84" s="27" t="n"/>
      <c r="U84" s="28" t="inlineStr">
        <is>
          <t>No</t>
        </is>
      </c>
      <c r="V84" s="29">
        <f>IF(N84="","",IF(Q84="Yes","❌ Disc",IF(P84="No","⚠ Missing",IF(S84="Yes","✓ OK","⚠ Check"))))</f>
        <v/>
      </c>
      <c r="W84" s="65" t="n">
        <v>46248</v>
      </c>
      <c r="X84" s="30" t="inlineStr">
        <is>
          <t>Sunil CR</t>
        </is>
      </c>
      <c r="Y84" s="30" t="inlineStr">
        <is>
          <t>No</t>
        </is>
      </c>
      <c r="Z84" s="30" t="n"/>
      <c r="AA84" s="30" t="inlineStr">
        <is>
          <t>Discontinued</t>
        </is>
      </c>
      <c r="AB84" s="30" t="inlineStr">
        <is>
          <t>No</t>
        </is>
      </c>
      <c r="AC84" s="27" t="n"/>
      <c r="AD84" s="31" t="inlineStr">
        <is>
          <t>No</t>
        </is>
      </c>
      <c r="AE84" s="32">
        <f>IF(W84="","",IF(Z84="Yes","❌ Disc",IF(Y84="No","⚠ Missing",IF(AB84="Yes","✓ OK","⚠ Check"))))</f>
        <v/>
      </c>
      <c r="AF84" s="33" t="n"/>
      <c r="AG84" s="33" t="n"/>
      <c r="AH84" s="33" t="n"/>
      <c r="AI84" s="33" t="n"/>
      <c r="AJ84" s="33" t="n"/>
      <c r="AK84" s="33" t="n"/>
      <c r="AL84" s="27" t="n"/>
      <c r="AM84" s="34" t="n"/>
      <c r="AN84" s="35">
        <f>IF(AF84="","",IF(AI84="Yes","❌ Disc",IF(AH84="No","⚠ Missing",IF(AK84="Yes","✓ OK","⚠ Check"))))</f>
        <v/>
      </c>
      <c r="AO84" s="36" t="n"/>
      <c r="AP84" s="36" t="n"/>
      <c r="AQ84" s="36" t="n"/>
      <c r="AR84" s="36" t="n"/>
      <c r="AS84" s="36" t="n"/>
      <c r="AT84" s="36" t="n"/>
      <c r="AU84" s="27" t="n"/>
      <c r="AV84" s="37" t="n"/>
      <c r="AW84" s="38">
        <f>IF(AO84="","",IF(AR84="Yes","❌ Disc",IF(AQ84="No","⚠ Missing",IF(AT84="Yes","✓ OK","⚠ Check"))))</f>
        <v/>
      </c>
    </row>
    <row r="85" ht="18" customHeight="1" s="46">
      <c r="A85" s="23" t="n">
        <v>81</v>
      </c>
      <c r="B85" s="24" t="inlineStr">
        <is>
          <t>Davy Grey - 132</t>
        </is>
      </c>
      <c r="C85" s="25" t="inlineStr">
        <is>
          <t>Febonic Fabric - Velvet - Davy Grey - 132</t>
        </is>
      </c>
      <c r="D85" s="23" t="inlineStr">
        <is>
          <t>Febonic</t>
        </is>
      </c>
      <c r="E85" s="43" t="n">
        <v>46125</v>
      </c>
      <c r="F85" s="26" t="inlineStr">
        <is>
          <t>Sunil CR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Good finish</t>
        </is>
      </c>
      <c r="J85" s="26" t="inlineStr">
        <is>
          <t>Yes</t>
        </is>
      </c>
      <c r="K85" s="27" t="n"/>
      <c r="L85" s="28" t="inlineStr">
        <is>
          <t>No</t>
        </is>
      </c>
      <c r="M85" s="29">
        <f>IF(E85="","",IF(H85="Yes","❌ Disc",IF(G85="No","⚠ Missing",IF(J85="Yes","✓ OK","⚠ Check"))))</f>
        <v/>
      </c>
      <c r="N85" s="43" t="n">
        <v>46139</v>
      </c>
      <c r="O85" s="26" t="inlineStr">
        <is>
          <t>Sunil CR</t>
        </is>
      </c>
      <c r="P85" s="26" t="inlineStr">
        <is>
          <t>No</t>
        </is>
      </c>
      <c r="Q85" s="26" t="inlineStr">
        <is>
          <t>Yes</t>
        </is>
      </c>
      <c r="R85" s="26" t="inlineStr">
        <is>
          <t>Discontinued</t>
        </is>
      </c>
      <c r="S85" s="26" t="inlineStr">
        <is>
          <t>No</t>
        </is>
      </c>
      <c r="T85" s="27" t="n"/>
      <c r="U85" s="28" t="inlineStr">
        <is>
          <t>No</t>
        </is>
      </c>
      <c r="V85" s="29">
        <f>IF(N85="","",IF(Q85="Yes","❌ Disc",IF(P85="No","⚠ Missing",IF(S85="Yes","✓ OK","⚠ Check"))))</f>
        <v/>
      </c>
      <c r="W85" s="65" t="n">
        <v>46248</v>
      </c>
      <c r="X85" s="30" t="inlineStr">
        <is>
          <t>Sunil CR</t>
        </is>
      </c>
      <c r="Y85" s="30" t="inlineStr">
        <is>
          <t>No</t>
        </is>
      </c>
      <c r="Z85" s="30" t="n"/>
      <c r="AA85" s="30" t="inlineStr">
        <is>
          <t>Discontinued</t>
        </is>
      </c>
      <c r="AB85" s="30" t="inlineStr">
        <is>
          <t>No</t>
        </is>
      </c>
      <c r="AC85" s="27" t="n"/>
      <c r="AD85" s="31" t="inlineStr">
        <is>
          <t>No</t>
        </is>
      </c>
      <c r="AE85" s="32">
        <f>IF(W85="","",IF(Z85="Yes","❌ Disc",IF(Y85="No","⚠ Missing",IF(AB85="Yes","✓ OK","⚠ Check"))))</f>
        <v/>
      </c>
      <c r="AF85" s="33" t="n"/>
      <c r="AG85" s="33" t="n"/>
      <c r="AH85" s="33" t="n"/>
      <c r="AI85" s="33" t="n"/>
      <c r="AJ85" s="33" t="n"/>
      <c r="AK85" s="33" t="n"/>
      <c r="AL85" s="27" t="n"/>
      <c r="AM85" s="34" t="n"/>
      <c r="AN85" s="35">
        <f>IF(AF85="","",IF(AI85="Yes","❌ Disc",IF(AH85="No","⚠ Missing",IF(AK85="Yes","✓ OK","⚠ Check"))))</f>
        <v/>
      </c>
      <c r="AO85" s="36" t="n"/>
      <c r="AP85" s="36" t="n"/>
      <c r="AQ85" s="36" t="n"/>
      <c r="AR85" s="36" t="n"/>
      <c r="AS85" s="36" t="n"/>
      <c r="AT85" s="36" t="n"/>
      <c r="AU85" s="27" t="n"/>
      <c r="AV85" s="37" t="n"/>
      <c r="AW85" s="38">
        <f>IF(AO85="","",IF(AR85="Yes","❌ Disc",IF(AQ85="No","⚠ Missing",IF(AT85="Yes","✓ OK","⚠ Check"))))</f>
        <v/>
      </c>
    </row>
    <row r="86" ht="18" customHeight="1" s="46">
      <c r="A86" s="39" t="n">
        <v>82</v>
      </c>
      <c r="B86" s="40" t="inlineStr">
        <is>
          <t>Echo Grey - 131</t>
        </is>
      </c>
      <c r="C86" s="41" t="inlineStr">
        <is>
          <t>Febonic Fabric - Velvet - Echo Grey - 131</t>
        </is>
      </c>
      <c r="D86" s="39" t="inlineStr">
        <is>
          <t>Febonic</t>
        </is>
      </c>
      <c r="E86" s="43" t="n">
        <v>46125</v>
      </c>
      <c r="F86" s="26" t="inlineStr">
        <is>
          <t>Sunil CR</t>
        </is>
      </c>
      <c r="G86" s="26" t="inlineStr">
        <is>
          <t>Yes</t>
        </is>
      </c>
      <c r="H86" s="26" t="inlineStr">
        <is>
          <t>No</t>
        </is>
      </c>
      <c r="I86" s="26" t="inlineStr">
        <is>
          <t>Good finish</t>
        </is>
      </c>
      <c r="J86" s="26" t="inlineStr">
        <is>
          <t>Yes</t>
        </is>
      </c>
      <c r="K86" s="27" t="n"/>
      <c r="L86" s="28" t="inlineStr">
        <is>
          <t>No</t>
        </is>
      </c>
      <c r="M86" s="29">
        <f>IF(E86="","",IF(H86="Yes","❌ Disc",IF(G86="No","⚠ Missing",IF(J86="Yes","✓ OK","⚠ Check"))))</f>
        <v/>
      </c>
      <c r="N86" s="43" t="n">
        <v>46139</v>
      </c>
      <c r="O86" s="26" t="inlineStr">
        <is>
          <t>Sunil CR</t>
        </is>
      </c>
      <c r="P86" s="26" t="inlineStr">
        <is>
          <t>No</t>
        </is>
      </c>
      <c r="Q86" s="26" t="inlineStr">
        <is>
          <t>Yes</t>
        </is>
      </c>
      <c r="R86" s="26" t="inlineStr">
        <is>
          <t>Discontinued</t>
        </is>
      </c>
      <c r="S86" s="26" t="inlineStr">
        <is>
          <t>No</t>
        </is>
      </c>
      <c r="T86" s="27" t="n"/>
      <c r="U86" s="28" t="inlineStr">
        <is>
          <t>No</t>
        </is>
      </c>
      <c r="V86" s="29">
        <f>IF(N86="","",IF(Q86="Yes","❌ Disc",IF(P86="No","⚠ Missing",IF(S86="Yes","✓ OK","⚠ Check"))))</f>
        <v/>
      </c>
      <c r="W86" s="65" t="n">
        <v>46248</v>
      </c>
      <c r="X86" s="30" t="inlineStr">
        <is>
          <t>Sunil CR</t>
        </is>
      </c>
      <c r="Y86" s="30" t="inlineStr">
        <is>
          <t>No</t>
        </is>
      </c>
      <c r="Z86" s="30" t="n"/>
      <c r="AA86" s="30" t="inlineStr">
        <is>
          <t>Discontinued</t>
        </is>
      </c>
      <c r="AB86" s="30" t="inlineStr">
        <is>
          <t>No</t>
        </is>
      </c>
      <c r="AC86" s="27" t="n"/>
      <c r="AD86" s="31" t="inlineStr">
        <is>
          <t>No</t>
        </is>
      </c>
      <c r="AE86" s="32">
        <f>IF(W86="","",IF(Z86="Yes","❌ Disc",IF(Y86="No","⚠ Missing",IF(AB86="Yes","✓ OK","⚠ Check"))))</f>
        <v/>
      </c>
      <c r="AF86" s="33" t="n"/>
      <c r="AG86" s="33" t="n"/>
      <c r="AH86" s="33" t="n"/>
      <c r="AI86" s="33" t="n"/>
      <c r="AJ86" s="33" t="n"/>
      <c r="AK86" s="33" t="n"/>
      <c r="AL86" s="27" t="n"/>
      <c r="AM86" s="34" t="n"/>
      <c r="AN86" s="35">
        <f>IF(AF86="","",IF(AI86="Yes","❌ Disc",IF(AH86="No","⚠ Missing",IF(AK86="Yes","✓ OK","⚠ Check"))))</f>
        <v/>
      </c>
      <c r="AO86" s="36" t="n"/>
      <c r="AP86" s="36" t="n"/>
      <c r="AQ86" s="36" t="n"/>
      <c r="AR86" s="36" t="n"/>
      <c r="AS86" s="36" t="n"/>
      <c r="AT86" s="36" t="n"/>
      <c r="AU86" s="27" t="n"/>
      <c r="AV86" s="37" t="n"/>
      <c r="AW86" s="38">
        <f>IF(AO86="","",IF(AR86="Yes","❌ Disc",IF(AQ86="No","⚠ Missing",IF(AT86="Yes","✓ OK","⚠ Check"))))</f>
        <v/>
      </c>
    </row>
    <row r="87" ht="18" customHeight="1" s="46">
      <c r="A87" s="23" t="n">
        <v>83</v>
      </c>
      <c r="B87" s="24" t="inlineStr">
        <is>
          <t>Forest Green - 128</t>
        </is>
      </c>
      <c r="C87" s="25" t="inlineStr">
        <is>
          <t>Febonic Fabric - Velvet - Forest Green - 128</t>
        </is>
      </c>
      <c r="D87" s="23" t="inlineStr">
        <is>
          <t>Febonic</t>
        </is>
      </c>
      <c r="E87" s="43" t="n">
        <v>46125</v>
      </c>
      <c r="F87" s="26" t="inlineStr">
        <is>
          <t>Sunil CR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Good finish</t>
        </is>
      </c>
      <c r="J87" s="26" t="inlineStr">
        <is>
          <t>Yes</t>
        </is>
      </c>
      <c r="K87" s="27" t="n"/>
      <c r="L87" s="28" t="inlineStr">
        <is>
          <t>No</t>
        </is>
      </c>
      <c r="M87" s="29">
        <f>IF(E87="","",IF(H87="Yes","❌ Disc",IF(G87="No","⚠ Missing",IF(J87="Yes","✓ OK","⚠ Check"))))</f>
        <v/>
      </c>
      <c r="N87" s="43" t="n">
        <v>46139</v>
      </c>
      <c r="O87" s="26" t="inlineStr">
        <is>
          <t>Sunil CR</t>
        </is>
      </c>
      <c r="P87" s="26" t="inlineStr">
        <is>
          <t>No</t>
        </is>
      </c>
      <c r="Q87" s="26" t="inlineStr">
        <is>
          <t>Yes</t>
        </is>
      </c>
      <c r="R87" s="26" t="inlineStr">
        <is>
          <t>Discontinued</t>
        </is>
      </c>
      <c r="S87" s="26" t="inlineStr">
        <is>
          <t>No</t>
        </is>
      </c>
      <c r="T87" s="27" t="n"/>
      <c r="U87" s="28" t="inlineStr">
        <is>
          <t>No</t>
        </is>
      </c>
      <c r="V87" s="29">
        <f>IF(N87="","",IF(Q87="Yes","❌ Disc",IF(P87="No","⚠ Missing",IF(S87="Yes","✓ OK","⚠ Check"))))</f>
        <v/>
      </c>
      <c r="W87" s="65" t="n">
        <v>46248</v>
      </c>
      <c r="X87" s="30" t="inlineStr">
        <is>
          <t>Sunil CR</t>
        </is>
      </c>
      <c r="Y87" s="30" t="inlineStr">
        <is>
          <t>No</t>
        </is>
      </c>
      <c r="Z87" s="30" t="n"/>
      <c r="AA87" s="30" t="inlineStr">
        <is>
          <t>Discontinued</t>
        </is>
      </c>
      <c r="AB87" s="30" t="inlineStr">
        <is>
          <t>No</t>
        </is>
      </c>
      <c r="AC87" s="27" t="n"/>
      <c r="AD87" s="31" t="inlineStr">
        <is>
          <t>No</t>
        </is>
      </c>
      <c r="AE87" s="32">
        <f>IF(W87="","",IF(Z87="Yes","❌ Disc",IF(Y87="No","⚠ Missing",IF(AB87="Yes","✓ OK","⚠ Check"))))</f>
        <v/>
      </c>
      <c r="AF87" s="33" t="n"/>
      <c r="AG87" s="33" t="n"/>
      <c r="AH87" s="33" t="n"/>
      <c r="AI87" s="33" t="n"/>
      <c r="AJ87" s="33" t="n"/>
      <c r="AK87" s="33" t="n"/>
      <c r="AL87" s="27" t="n"/>
      <c r="AM87" s="34" t="n"/>
      <c r="AN87" s="35">
        <f>IF(AF87="","",IF(AI87="Yes","❌ Disc",IF(AH87="No","⚠ Missing",IF(AK87="Yes","✓ OK","⚠ Check"))))</f>
        <v/>
      </c>
      <c r="AO87" s="36" t="n"/>
      <c r="AP87" s="36" t="n"/>
      <c r="AQ87" s="36" t="n"/>
      <c r="AR87" s="36" t="n"/>
      <c r="AS87" s="36" t="n"/>
      <c r="AT87" s="36" t="n"/>
      <c r="AU87" s="27" t="n"/>
      <c r="AV87" s="37" t="n"/>
      <c r="AW87" s="38">
        <f>IF(AO87="","",IF(AR87="Yes","❌ Disc",IF(AQ87="No","⚠ Missing",IF(AT87="Yes","✓ OK","⚠ Check"))))</f>
        <v/>
      </c>
    </row>
    <row r="88" ht="18" customHeight="1" s="46">
      <c r="A88" s="39" t="n">
        <v>84</v>
      </c>
      <c r="B88" s="40" t="inlineStr">
        <is>
          <t>Imperial Blue</t>
        </is>
      </c>
      <c r="C88" s="41" t="inlineStr">
        <is>
          <t>Febonic Fabric - Velvet - Imperial Blue</t>
        </is>
      </c>
      <c r="D88" s="39" t="inlineStr">
        <is>
          <t>Febonic</t>
        </is>
      </c>
      <c r="E88" s="43" t="n">
        <v>46125</v>
      </c>
      <c r="F88" s="26" t="inlineStr">
        <is>
          <t>Sunil CR</t>
        </is>
      </c>
      <c r="G88" s="26" t="inlineStr">
        <is>
          <t>Yes</t>
        </is>
      </c>
      <c r="H88" s="26" t="inlineStr">
        <is>
          <t>No</t>
        </is>
      </c>
      <c r="I88" s="26" t="inlineStr">
        <is>
          <t>Good finish</t>
        </is>
      </c>
      <c r="J88" s="26" t="inlineStr">
        <is>
          <t>Yes</t>
        </is>
      </c>
      <c r="K88" s="27" t="n"/>
      <c r="L88" s="28" t="inlineStr">
        <is>
          <t>No</t>
        </is>
      </c>
      <c r="M88" s="29">
        <f>IF(E88="","",IF(H88="Yes","❌ Disc",IF(G88="No","⚠ Missing",IF(J88="Yes","✓ OK","⚠ Check"))))</f>
        <v/>
      </c>
      <c r="N88" s="43" t="n">
        <v>46139</v>
      </c>
      <c r="O88" s="26" t="inlineStr">
        <is>
          <t>Sunil CR</t>
        </is>
      </c>
      <c r="P88" s="26" t="inlineStr">
        <is>
          <t>No</t>
        </is>
      </c>
      <c r="Q88" s="26" t="inlineStr">
        <is>
          <t>Yes</t>
        </is>
      </c>
      <c r="R88" s="26" t="inlineStr">
        <is>
          <t>Discontinued</t>
        </is>
      </c>
      <c r="S88" s="26" t="inlineStr">
        <is>
          <t>No</t>
        </is>
      </c>
      <c r="T88" s="27" t="n"/>
      <c r="U88" s="28" t="inlineStr">
        <is>
          <t>No</t>
        </is>
      </c>
      <c r="V88" s="29">
        <f>IF(N88="","",IF(Q88="Yes","❌ Disc",IF(P88="No","⚠ Missing",IF(S88="Yes","✓ OK","⚠ Check"))))</f>
        <v/>
      </c>
      <c r="W88" s="65" t="n">
        <v>46248</v>
      </c>
      <c r="X88" s="30" t="inlineStr">
        <is>
          <t>Sunil CR</t>
        </is>
      </c>
      <c r="Y88" s="30" t="inlineStr">
        <is>
          <t>No</t>
        </is>
      </c>
      <c r="Z88" s="30" t="n"/>
      <c r="AA88" s="30" t="inlineStr">
        <is>
          <t>Discontinued</t>
        </is>
      </c>
      <c r="AB88" s="30" t="inlineStr">
        <is>
          <t>No</t>
        </is>
      </c>
      <c r="AC88" s="27" t="n"/>
      <c r="AD88" s="31" t="inlineStr">
        <is>
          <t>No</t>
        </is>
      </c>
      <c r="AE88" s="32">
        <f>IF(W88="","",IF(Z88="Yes","❌ Disc",IF(Y88="No","⚠ Missing",IF(AB88="Yes","✓ OK","⚠ Check"))))</f>
        <v/>
      </c>
      <c r="AF88" s="33" t="n"/>
      <c r="AG88" s="33" t="n"/>
      <c r="AH88" s="33" t="n"/>
      <c r="AI88" s="33" t="n"/>
      <c r="AJ88" s="33" t="n"/>
      <c r="AK88" s="33" t="n"/>
      <c r="AL88" s="27" t="n"/>
      <c r="AM88" s="34" t="n"/>
      <c r="AN88" s="35">
        <f>IF(AF88="","",IF(AI88="Yes","❌ Disc",IF(AH88="No","⚠ Missing",IF(AK88="Yes","✓ OK","⚠ Check"))))</f>
        <v/>
      </c>
      <c r="AO88" s="36" t="n"/>
      <c r="AP88" s="36" t="n"/>
      <c r="AQ88" s="36" t="n"/>
      <c r="AR88" s="36" t="n"/>
      <c r="AS88" s="36" t="n"/>
      <c r="AT88" s="36" t="n"/>
      <c r="AU88" s="27" t="n"/>
      <c r="AV88" s="37" t="n"/>
      <c r="AW88" s="38">
        <f>IF(AO88="","",IF(AR88="Yes","❌ Disc",IF(AQ88="No","⚠ Missing",IF(AT88="Yes","✓ OK","⚠ Check"))))</f>
        <v/>
      </c>
    </row>
    <row r="89" ht="18" customHeight="1" s="46">
      <c r="A89" s="23" t="n">
        <v>85</v>
      </c>
      <c r="B89" s="24" t="inlineStr">
        <is>
          <t>Light Grey - 117</t>
        </is>
      </c>
      <c r="C89" s="25" t="inlineStr">
        <is>
          <t>Febonic Fabric - Velvet - Light Grey - 117</t>
        </is>
      </c>
      <c r="D89" s="23" t="inlineStr">
        <is>
          <t>Febonic</t>
        </is>
      </c>
      <c r="E89" s="43" t="n">
        <v>46125</v>
      </c>
      <c r="F89" s="26" t="inlineStr">
        <is>
          <t>Sunil CR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Good finish</t>
        </is>
      </c>
      <c r="J89" s="26" t="inlineStr">
        <is>
          <t>Yes</t>
        </is>
      </c>
      <c r="K89" s="27" t="n"/>
      <c r="L89" s="28" t="inlineStr">
        <is>
          <t>No</t>
        </is>
      </c>
      <c r="M89" s="29">
        <f>IF(E89="","",IF(H89="Yes","❌ Disc",IF(G89="No","⚠ Missing",IF(J89="Yes","✓ OK","⚠ Check"))))</f>
        <v/>
      </c>
      <c r="N89" s="43" t="n">
        <v>46139</v>
      </c>
      <c r="O89" s="26" t="inlineStr">
        <is>
          <t>Sunil CR</t>
        </is>
      </c>
      <c r="P89" s="26" t="inlineStr">
        <is>
          <t>No</t>
        </is>
      </c>
      <c r="Q89" s="26" t="inlineStr">
        <is>
          <t>Yes</t>
        </is>
      </c>
      <c r="R89" s="26" t="inlineStr">
        <is>
          <t>Discontinued</t>
        </is>
      </c>
      <c r="S89" s="26" t="inlineStr">
        <is>
          <t>No</t>
        </is>
      </c>
      <c r="T89" s="27" t="n"/>
      <c r="U89" s="28" t="inlineStr">
        <is>
          <t>No</t>
        </is>
      </c>
      <c r="V89" s="29">
        <f>IF(N89="","",IF(Q89="Yes","❌ Disc",IF(P89="No","⚠ Missing",IF(S89="Yes","✓ OK","⚠ Check"))))</f>
        <v/>
      </c>
      <c r="W89" s="65" t="n">
        <v>46248</v>
      </c>
      <c r="X89" s="30" t="inlineStr">
        <is>
          <t>Sunil CR</t>
        </is>
      </c>
      <c r="Y89" s="30" t="inlineStr">
        <is>
          <t>No</t>
        </is>
      </c>
      <c r="Z89" s="30" t="n"/>
      <c r="AA89" s="30" t="inlineStr">
        <is>
          <t>Discontinued</t>
        </is>
      </c>
      <c r="AB89" s="30" t="inlineStr">
        <is>
          <t>No</t>
        </is>
      </c>
      <c r="AC89" s="27" t="n"/>
      <c r="AD89" s="31" t="inlineStr">
        <is>
          <t>No</t>
        </is>
      </c>
      <c r="AE89" s="32">
        <f>IF(W89="","",IF(Z89="Yes","❌ Disc",IF(Y89="No","⚠ Missing",IF(AB89="Yes","✓ OK","⚠ Check"))))</f>
        <v/>
      </c>
      <c r="AF89" s="33" t="n"/>
      <c r="AG89" s="33" t="n"/>
      <c r="AH89" s="33" t="n"/>
      <c r="AI89" s="33" t="n"/>
      <c r="AJ89" s="33" t="n"/>
      <c r="AK89" s="33" t="n"/>
      <c r="AL89" s="27" t="n"/>
      <c r="AM89" s="34" t="n"/>
      <c r="AN89" s="35">
        <f>IF(AF89="","",IF(AI89="Yes","❌ Disc",IF(AH89="No","⚠ Missing",IF(AK89="Yes","✓ OK","⚠ Check"))))</f>
        <v/>
      </c>
      <c r="AO89" s="36" t="n"/>
      <c r="AP89" s="36" t="n"/>
      <c r="AQ89" s="36" t="n"/>
      <c r="AR89" s="36" t="n"/>
      <c r="AS89" s="36" t="n"/>
      <c r="AT89" s="36" t="n"/>
      <c r="AU89" s="27" t="n"/>
      <c r="AV89" s="37" t="n"/>
      <c r="AW89" s="38">
        <f>IF(AO89="","",IF(AR89="Yes","❌ Disc",IF(AQ89="No","⚠ Missing",IF(AT89="Yes","✓ OK","⚠ Check"))))</f>
        <v/>
      </c>
    </row>
    <row r="90" ht="18" customHeight="1" s="46">
      <c r="A90" s="39" t="n">
        <v>86</v>
      </c>
      <c r="B90" s="40" t="inlineStr">
        <is>
          <t>Mocha Brown - 134</t>
        </is>
      </c>
      <c r="C90" s="41" t="inlineStr">
        <is>
          <t>Febonic Fabric - Velvet - Mocha Brown - 134</t>
        </is>
      </c>
      <c r="D90" s="39" t="inlineStr">
        <is>
          <t>Febonic</t>
        </is>
      </c>
      <c r="E90" s="43" t="n">
        <v>46125</v>
      </c>
      <c r="F90" s="26" t="inlineStr">
        <is>
          <t>Sunil CR</t>
        </is>
      </c>
      <c r="G90" s="26" t="inlineStr">
        <is>
          <t>Yes</t>
        </is>
      </c>
      <c r="H90" s="26" t="inlineStr">
        <is>
          <t>No</t>
        </is>
      </c>
      <c r="I90" s="26" t="inlineStr">
        <is>
          <t>Good finish</t>
        </is>
      </c>
      <c r="J90" s="26" t="inlineStr">
        <is>
          <t>Yes</t>
        </is>
      </c>
      <c r="K90" s="27" t="n"/>
      <c r="L90" s="28" t="inlineStr">
        <is>
          <t>No</t>
        </is>
      </c>
      <c r="M90" s="29">
        <f>IF(E90="","",IF(H90="Yes","❌ Disc",IF(G90="No","⚠ Missing",IF(J90="Yes","✓ OK","⚠ Check"))))</f>
        <v/>
      </c>
      <c r="N90" s="43" t="n">
        <v>46139</v>
      </c>
      <c r="O90" s="26" t="inlineStr">
        <is>
          <t>Sunil CR</t>
        </is>
      </c>
      <c r="P90" s="26" t="inlineStr">
        <is>
          <t>No</t>
        </is>
      </c>
      <c r="Q90" s="26" t="inlineStr">
        <is>
          <t>Yes</t>
        </is>
      </c>
      <c r="R90" s="26" t="inlineStr">
        <is>
          <t>Discontinued</t>
        </is>
      </c>
      <c r="S90" s="26" t="inlineStr">
        <is>
          <t>No</t>
        </is>
      </c>
      <c r="T90" s="27" t="n"/>
      <c r="U90" s="28" t="inlineStr">
        <is>
          <t>No</t>
        </is>
      </c>
      <c r="V90" s="29">
        <f>IF(N90="","",IF(Q90="Yes","❌ Disc",IF(P90="No","⚠ Missing",IF(S90="Yes","✓ OK","⚠ Check"))))</f>
        <v/>
      </c>
      <c r="W90" s="65" t="n">
        <v>46248</v>
      </c>
      <c r="X90" s="30" t="inlineStr">
        <is>
          <t>Sunil CR</t>
        </is>
      </c>
      <c r="Y90" s="30" t="inlineStr">
        <is>
          <t>No</t>
        </is>
      </c>
      <c r="Z90" s="30" t="n"/>
      <c r="AA90" s="30" t="inlineStr">
        <is>
          <t>Discontinued</t>
        </is>
      </c>
      <c r="AB90" s="30" t="inlineStr">
        <is>
          <t>No</t>
        </is>
      </c>
      <c r="AC90" s="27" t="n"/>
      <c r="AD90" s="31" t="inlineStr">
        <is>
          <t>No</t>
        </is>
      </c>
      <c r="AE90" s="32">
        <f>IF(W90="","",IF(Z90="Yes","❌ Disc",IF(Y90="No","⚠ Missing",IF(AB90="Yes","✓ OK","⚠ Check"))))</f>
        <v/>
      </c>
      <c r="AF90" s="33" t="n"/>
      <c r="AG90" s="33" t="n"/>
      <c r="AH90" s="33" t="n"/>
      <c r="AI90" s="33" t="n"/>
      <c r="AJ90" s="33" t="n"/>
      <c r="AK90" s="33" t="n"/>
      <c r="AL90" s="27" t="n"/>
      <c r="AM90" s="34" t="n"/>
      <c r="AN90" s="35">
        <f>IF(AF90="","",IF(AI90="Yes","❌ Disc",IF(AH90="No","⚠ Missing",IF(AK90="Yes","✓ OK","⚠ Check"))))</f>
        <v/>
      </c>
      <c r="AO90" s="36" t="n"/>
      <c r="AP90" s="36" t="n"/>
      <c r="AQ90" s="36" t="n"/>
      <c r="AR90" s="36" t="n"/>
      <c r="AS90" s="36" t="n"/>
      <c r="AT90" s="36" t="n"/>
      <c r="AU90" s="27" t="n"/>
      <c r="AV90" s="37" t="n"/>
      <c r="AW90" s="38">
        <f>IF(AO90="","",IF(AR90="Yes","❌ Disc",IF(AQ90="No","⚠ Missing",IF(AT90="Yes","✓ OK","⚠ Check"))))</f>
        <v/>
      </c>
    </row>
    <row r="91" ht="18" customHeight="1" s="46">
      <c r="A91" s="23" t="n">
        <v>87</v>
      </c>
      <c r="B91" s="24" t="inlineStr">
        <is>
          <t>Mocha Mouse - 116</t>
        </is>
      </c>
      <c r="C91" s="25" t="inlineStr">
        <is>
          <t>Febonic Fabric - Velvet - Mocha Mouse - 116</t>
        </is>
      </c>
      <c r="D91" s="23" t="inlineStr">
        <is>
          <t>Febonic</t>
        </is>
      </c>
      <c r="E91" s="43" t="n">
        <v>46125</v>
      </c>
      <c r="F91" s="26" t="inlineStr">
        <is>
          <t>Sunil CR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Good finish</t>
        </is>
      </c>
      <c r="J91" s="26" t="inlineStr">
        <is>
          <t>Yes</t>
        </is>
      </c>
      <c r="K91" s="27" t="n"/>
      <c r="L91" s="28" t="inlineStr">
        <is>
          <t>No</t>
        </is>
      </c>
      <c r="M91" s="29">
        <f>IF(E91="","",IF(H91="Yes","❌ Disc",IF(G91="No","⚠ Missing",IF(J91="Yes","✓ OK","⚠ Check"))))</f>
        <v/>
      </c>
      <c r="N91" s="43" t="n">
        <v>46139</v>
      </c>
      <c r="O91" s="26" t="inlineStr">
        <is>
          <t>Sunil CR</t>
        </is>
      </c>
      <c r="P91" s="26" t="inlineStr">
        <is>
          <t>No</t>
        </is>
      </c>
      <c r="Q91" s="26" t="inlineStr">
        <is>
          <t>Yes</t>
        </is>
      </c>
      <c r="R91" s="26" t="inlineStr">
        <is>
          <t>Discontinued</t>
        </is>
      </c>
      <c r="S91" s="26" t="inlineStr">
        <is>
          <t>No</t>
        </is>
      </c>
      <c r="T91" s="27" t="n"/>
      <c r="U91" s="28" t="inlineStr">
        <is>
          <t>No</t>
        </is>
      </c>
      <c r="V91" s="29">
        <f>IF(N91="","",IF(Q91="Yes","❌ Disc",IF(P91="No","⚠ Missing",IF(S91="Yes","✓ OK","⚠ Check"))))</f>
        <v/>
      </c>
      <c r="W91" s="65" t="n">
        <v>46248</v>
      </c>
      <c r="X91" s="30" t="inlineStr">
        <is>
          <t>Sunil CR</t>
        </is>
      </c>
      <c r="Y91" s="30" t="inlineStr">
        <is>
          <t>No</t>
        </is>
      </c>
      <c r="Z91" s="30" t="n"/>
      <c r="AA91" s="30" t="inlineStr">
        <is>
          <t>Discontinued</t>
        </is>
      </c>
      <c r="AB91" s="30" t="inlineStr">
        <is>
          <t>No</t>
        </is>
      </c>
      <c r="AC91" s="27" t="n"/>
      <c r="AD91" s="31" t="inlineStr">
        <is>
          <t>No</t>
        </is>
      </c>
      <c r="AE91" s="32">
        <f>IF(W91="","",IF(Z91="Yes","❌ Disc",IF(Y91="No","⚠ Missing",IF(AB91="Yes","✓ OK","⚠ Check"))))</f>
        <v/>
      </c>
      <c r="AF91" s="33" t="n"/>
      <c r="AG91" s="33" t="n"/>
      <c r="AH91" s="33" t="n"/>
      <c r="AI91" s="33" t="n"/>
      <c r="AJ91" s="33" t="n"/>
      <c r="AK91" s="33" t="n"/>
      <c r="AL91" s="27" t="n"/>
      <c r="AM91" s="34" t="n"/>
      <c r="AN91" s="35">
        <f>IF(AF91="","",IF(AI91="Yes","❌ Disc",IF(AH91="No","⚠ Missing",IF(AK91="Yes","✓ OK","⚠ Check"))))</f>
        <v/>
      </c>
      <c r="AO91" s="36" t="n"/>
      <c r="AP91" s="36" t="n"/>
      <c r="AQ91" s="36" t="n"/>
      <c r="AR91" s="36" t="n"/>
      <c r="AS91" s="36" t="n"/>
      <c r="AT91" s="36" t="n"/>
      <c r="AU91" s="27" t="n"/>
      <c r="AV91" s="37" t="n"/>
      <c r="AW91" s="38">
        <f>IF(AO91="","",IF(AR91="Yes","❌ Disc",IF(AQ91="No","⚠ Missing",IF(AT91="Yes","✓ OK","⚠ Check"))))</f>
        <v/>
      </c>
    </row>
    <row r="92" ht="18" customHeight="1" s="46">
      <c r="A92" s="39" t="n">
        <v>88</v>
      </c>
      <c r="B92" s="40" t="inlineStr">
        <is>
          <t>Oxford Blue - 109</t>
        </is>
      </c>
      <c r="C92" s="41" t="inlineStr">
        <is>
          <t>Febonic Fabric - Velvet - Oxford Blue - 109</t>
        </is>
      </c>
      <c r="D92" s="39" t="inlineStr">
        <is>
          <t>Febonic</t>
        </is>
      </c>
      <c r="E92" s="43" t="n">
        <v>46125</v>
      </c>
      <c r="F92" s="26" t="inlineStr">
        <is>
          <t>Sunil CR</t>
        </is>
      </c>
      <c r="G92" s="26" t="inlineStr">
        <is>
          <t>Yes</t>
        </is>
      </c>
      <c r="H92" s="26" t="inlineStr">
        <is>
          <t>No</t>
        </is>
      </c>
      <c r="I92" s="26" t="inlineStr">
        <is>
          <t>Good finish</t>
        </is>
      </c>
      <c r="J92" s="26" t="inlineStr">
        <is>
          <t>Yes</t>
        </is>
      </c>
      <c r="K92" s="27" t="n"/>
      <c r="L92" s="28" t="inlineStr">
        <is>
          <t>No</t>
        </is>
      </c>
      <c r="M92" s="29">
        <f>IF(E92="","",IF(H92="Yes","❌ Disc",IF(G92="No","⚠ Missing",IF(J92="Yes","✓ OK","⚠ Check"))))</f>
        <v/>
      </c>
      <c r="N92" s="43" t="n">
        <v>46139</v>
      </c>
      <c r="O92" s="26" t="inlineStr">
        <is>
          <t>Sunil CR</t>
        </is>
      </c>
      <c r="P92" s="26" t="inlineStr">
        <is>
          <t>No</t>
        </is>
      </c>
      <c r="Q92" s="26" t="inlineStr">
        <is>
          <t>Yes</t>
        </is>
      </c>
      <c r="R92" s="26" t="inlineStr">
        <is>
          <t>Discontinued</t>
        </is>
      </c>
      <c r="S92" s="26" t="inlineStr">
        <is>
          <t>No</t>
        </is>
      </c>
      <c r="T92" s="27" t="n"/>
      <c r="U92" s="28" t="inlineStr">
        <is>
          <t>No</t>
        </is>
      </c>
      <c r="V92" s="29">
        <f>IF(N92="","",IF(Q92="Yes","❌ Disc",IF(P92="No","⚠ Missing",IF(S92="Yes","✓ OK","⚠ Check"))))</f>
        <v/>
      </c>
      <c r="W92" s="65" t="n">
        <v>46248</v>
      </c>
      <c r="X92" s="30" t="inlineStr">
        <is>
          <t>Sunil CR</t>
        </is>
      </c>
      <c r="Y92" s="30" t="inlineStr">
        <is>
          <t>No</t>
        </is>
      </c>
      <c r="Z92" s="30" t="n"/>
      <c r="AA92" s="30" t="inlineStr">
        <is>
          <t>Discontinued</t>
        </is>
      </c>
      <c r="AB92" s="30" t="inlineStr">
        <is>
          <t>No</t>
        </is>
      </c>
      <c r="AC92" s="27" t="n"/>
      <c r="AD92" s="31" t="inlineStr">
        <is>
          <t>No</t>
        </is>
      </c>
      <c r="AE92" s="32">
        <f>IF(W92="","",IF(Z92="Yes","❌ Disc",IF(Y92="No","⚠ Missing",IF(AB92="Yes","✓ OK","⚠ Check"))))</f>
        <v/>
      </c>
      <c r="AF92" s="33" t="n"/>
      <c r="AG92" s="33" t="n"/>
      <c r="AH92" s="33" t="n"/>
      <c r="AI92" s="33" t="n"/>
      <c r="AJ92" s="33" t="n"/>
      <c r="AK92" s="33" t="n"/>
      <c r="AL92" s="27" t="n"/>
      <c r="AM92" s="34" t="n"/>
      <c r="AN92" s="35">
        <f>IF(AF92="","",IF(AI92="Yes","❌ Disc",IF(AH92="No","⚠ Missing",IF(AK92="Yes","✓ OK","⚠ Check"))))</f>
        <v/>
      </c>
      <c r="AO92" s="36" t="n"/>
      <c r="AP92" s="36" t="n"/>
      <c r="AQ92" s="36" t="n"/>
      <c r="AR92" s="36" t="n"/>
      <c r="AS92" s="36" t="n"/>
      <c r="AT92" s="36" t="n"/>
      <c r="AU92" s="27" t="n"/>
      <c r="AV92" s="37" t="n"/>
      <c r="AW92" s="38">
        <f>IF(AO92="","",IF(AR92="Yes","❌ Disc",IF(AQ92="No","⚠ Missing",IF(AT92="Yes","✓ OK","⚠ Check"))))</f>
        <v/>
      </c>
    </row>
    <row r="93" ht="18" customHeight="1" s="46">
      <c r="A93" s="23" t="n">
        <v>89</v>
      </c>
      <c r="B93" s="24" t="inlineStr">
        <is>
          <t>Rose Pink - 161</t>
        </is>
      </c>
      <c r="C93" s="25" t="inlineStr">
        <is>
          <t>Febonic Fabric - Velvet - Rose Pink - 161</t>
        </is>
      </c>
      <c r="D93" s="23" t="inlineStr">
        <is>
          <t>Febonic</t>
        </is>
      </c>
      <c r="E93" s="43" t="n">
        <v>46125</v>
      </c>
      <c r="F93" s="26" t="inlineStr">
        <is>
          <t>Sunil CR</t>
        </is>
      </c>
      <c r="G93" s="26" t="inlineStr">
        <is>
          <t>Yes</t>
        </is>
      </c>
      <c r="H93" s="26" t="inlineStr">
        <is>
          <t>No</t>
        </is>
      </c>
      <c r="I93" s="26" t="inlineStr">
        <is>
          <t>Good finish</t>
        </is>
      </c>
      <c r="J93" s="26" t="inlineStr">
        <is>
          <t>Yes</t>
        </is>
      </c>
      <c r="K93" s="27" t="n"/>
      <c r="L93" s="28" t="inlineStr">
        <is>
          <t>No</t>
        </is>
      </c>
      <c r="M93" s="29">
        <f>IF(E93="","",IF(H93="Yes","❌ Disc",IF(G93="No","⚠ Missing",IF(J93="Yes","✓ OK","⚠ Check"))))</f>
        <v/>
      </c>
      <c r="N93" s="43" t="n">
        <v>46139</v>
      </c>
      <c r="O93" s="26" t="inlineStr">
        <is>
          <t>Sunil CR</t>
        </is>
      </c>
      <c r="P93" s="26" t="inlineStr">
        <is>
          <t>No</t>
        </is>
      </c>
      <c r="Q93" s="26" t="inlineStr">
        <is>
          <t>Yes</t>
        </is>
      </c>
      <c r="R93" s="26" t="inlineStr">
        <is>
          <t>Discontinued</t>
        </is>
      </c>
      <c r="S93" s="26" t="inlineStr">
        <is>
          <t>No</t>
        </is>
      </c>
      <c r="T93" s="27" t="n"/>
      <c r="U93" s="28" t="inlineStr">
        <is>
          <t>No</t>
        </is>
      </c>
      <c r="V93" s="29">
        <f>IF(N93="","",IF(Q93="Yes","❌ Disc",IF(P93="No","⚠ Missing",IF(S93="Yes","✓ OK","⚠ Check"))))</f>
        <v/>
      </c>
      <c r="W93" s="65" t="n">
        <v>46248</v>
      </c>
      <c r="X93" s="30" t="inlineStr">
        <is>
          <t>Sunil CR</t>
        </is>
      </c>
      <c r="Y93" s="30" t="inlineStr">
        <is>
          <t>No</t>
        </is>
      </c>
      <c r="Z93" s="30" t="n"/>
      <c r="AA93" s="30" t="inlineStr">
        <is>
          <t>Discontinued</t>
        </is>
      </c>
      <c r="AB93" s="30" t="inlineStr">
        <is>
          <t>No</t>
        </is>
      </c>
      <c r="AC93" s="27" t="n"/>
      <c r="AD93" s="31" t="inlineStr">
        <is>
          <t>No</t>
        </is>
      </c>
      <c r="AE93" s="32">
        <f>IF(W93="","",IF(Z93="Yes","❌ Disc",IF(Y93="No","⚠ Missing",IF(AB93="Yes","✓ OK","⚠ Check"))))</f>
        <v/>
      </c>
      <c r="AF93" s="33" t="n"/>
      <c r="AG93" s="33" t="n"/>
      <c r="AH93" s="33" t="n"/>
      <c r="AI93" s="33" t="n"/>
      <c r="AJ93" s="33" t="n"/>
      <c r="AK93" s="33" t="n"/>
      <c r="AL93" s="27" t="n"/>
      <c r="AM93" s="34" t="n"/>
      <c r="AN93" s="35">
        <f>IF(AF93="","",IF(AI93="Yes","❌ Disc",IF(AH93="No","⚠ Missing",IF(AK93="Yes","✓ OK","⚠ Check"))))</f>
        <v/>
      </c>
      <c r="AO93" s="36" t="n"/>
      <c r="AP93" s="36" t="n"/>
      <c r="AQ93" s="36" t="n"/>
      <c r="AR93" s="36" t="n"/>
      <c r="AS93" s="36" t="n"/>
      <c r="AT93" s="36" t="n"/>
      <c r="AU93" s="27" t="n"/>
      <c r="AV93" s="37" t="n"/>
      <c r="AW93" s="38">
        <f>IF(AO93="","",IF(AR93="Yes","❌ Disc",IF(AQ93="No","⚠ Missing",IF(AT93="Yes","✓ OK","⚠ Check"))))</f>
        <v/>
      </c>
    </row>
    <row r="94" ht="18" customHeight="1" s="46">
      <c r="A94" s="39" t="n">
        <v>90</v>
      </c>
      <c r="B94" s="40" t="inlineStr">
        <is>
          <t>Shade Brown - 127</t>
        </is>
      </c>
      <c r="C94" s="41" t="inlineStr">
        <is>
          <t>Febonic Fabric - Velvet - Shade Brown - 127</t>
        </is>
      </c>
      <c r="D94" s="39" t="inlineStr">
        <is>
          <t>Febonic</t>
        </is>
      </c>
      <c r="E94" s="43" t="n">
        <v>46125</v>
      </c>
      <c r="F94" s="26" t="inlineStr">
        <is>
          <t>Sunil CR</t>
        </is>
      </c>
      <c r="G94" s="26" t="inlineStr">
        <is>
          <t>Yes</t>
        </is>
      </c>
      <c r="H94" s="26" t="inlineStr">
        <is>
          <t>No</t>
        </is>
      </c>
      <c r="I94" s="26" t="inlineStr">
        <is>
          <t>Good finish</t>
        </is>
      </c>
      <c r="J94" s="26" t="inlineStr">
        <is>
          <t>Yes</t>
        </is>
      </c>
      <c r="K94" s="27" t="n"/>
      <c r="L94" s="28" t="inlineStr">
        <is>
          <t>No</t>
        </is>
      </c>
      <c r="M94" s="29">
        <f>IF(E94="","",IF(H94="Yes","❌ Disc",IF(G94="No","⚠ Missing",IF(J94="Yes","✓ OK","⚠ Check"))))</f>
        <v/>
      </c>
      <c r="N94" s="43" t="n">
        <v>46139</v>
      </c>
      <c r="O94" s="26" t="inlineStr">
        <is>
          <t>Sunil CR</t>
        </is>
      </c>
      <c r="P94" s="26" t="inlineStr">
        <is>
          <t>No</t>
        </is>
      </c>
      <c r="Q94" s="26" t="inlineStr">
        <is>
          <t>Yes</t>
        </is>
      </c>
      <c r="R94" s="26" t="inlineStr">
        <is>
          <t>Discontinued</t>
        </is>
      </c>
      <c r="S94" s="26" t="inlineStr">
        <is>
          <t>No</t>
        </is>
      </c>
      <c r="T94" s="27" t="n"/>
      <c r="U94" s="28" t="inlineStr">
        <is>
          <t>No</t>
        </is>
      </c>
      <c r="V94" s="29">
        <f>IF(N94="","",IF(Q94="Yes","❌ Disc",IF(P94="No","⚠ Missing",IF(S94="Yes","✓ OK","⚠ Check"))))</f>
        <v/>
      </c>
      <c r="W94" s="65" t="n">
        <v>46248</v>
      </c>
      <c r="X94" s="30" t="inlineStr">
        <is>
          <t>Sunil CR</t>
        </is>
      </c>
      <c r="Y94" s="30" t="inlineStr">
        <is>
          <t>No</t>
        </is>
      </c>
      <c r="Z94" s="30" t="n"/>
      <c r="AA94" s="30" t="inlineStr">
        <is>
          <t>Discontinued</t>
        </is>
      </c>
      <c r="AB94" s="30" t="inlineStr">
        <is>
          <t>No</t>
        </is>
      </c>
      <c r="AC94" s="27" t="n"/>
      <c r="AD94" s="31" t="inlineStr">
        <is>
          <t>No</t>
        </is>
      </c>
      <c r="AE94" s="32">
        <f>IF(W94="","",IF(Z94="Yes","❌ Disc",IF(Y94="No","⚠ Missing",IF(AB94="Yes","✓ OK","⚠ Check"))))</f>
        <v/>
      </c>
      <c r="AF94" s="33" t="n"/>
      <c r="AG94" s="33" t="n"/>
      <c r="AH94" s="33" t="n"/>
      <c r="AI94" s="33" t="n"/>
      <c r="AJ94" s="33" t="n"/>
      <c r="AK94" s="33" t="n"/>
      <c r="AL94" s="27" t="n"/>
      <c r="AM94" s="34" t="n"/>
      <c r="AN94" s="35">
        <f>IF(AF94="","",IF(AI94="Yes","❌ Disc",IF(AH94="No","⚠ Missing",IF(AK94="Yes","✓ OK","⚠ Check"))))</f>
        <v/>
      </c>
      <c r="AO94" s="36" t="n"/>
      <c r="AP94" s="36" t="n"/>
      <c r="AQ94" s="36" t="n"/>
      <c r="AR94" s="36" t="n"/>
      <c r="AS94" s="36" t="n"/>
      <c r="AT94" s="36" t="n"/>
      <c r="AU94" s="27" t="n"/>
      <c r="AV94" s="37" t="n"/>
      <c r="AW94" s="38">
        <f>IF(AO94="","",IF(AR94="Yes","❌ Disc",IF(AQ94="No","⚠ Missing",IF(AT94="Yes","✓ OK","⚠ Check"))))</f>
        <v/>
      </c>
    </row>
    <row r="95" ht="18" customHeight="1" s="46">
      <c r="A95" s="23" t="n">
        <v>91</v>
      </c>
      <c r="B95" s="24" t="inlineStr">
        <is>
          <t>Turmeric Yellow - 147</t>
        </is>
      </c>
      <c r="C95" s="25" t="inlineStr">
        <is>
          <t>Febonic Fabric - Velvet - Turmeric Yellow - 147</t>
        </is>
      </c>
      <c r="D95" s="23" t="inlineStr">
        <is>
          <t>Febonic</t>
        </is>
      </c>
      <c r="E95" s="43" t="n">
        <v>46125</v>
      </c>
      <c r="F95" s="26" t="inlineStr">
        <is>
          <t>Sunil CR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Good finish</t>
        </is>
      </c>
      <c r="J95" s="26" t="inlineStr">
        <is>
          <t>Yes</t>
        </is>
      </c>
      <c r="K95" s="27" t="n"/>
      <c r="L95" s="28" t="inlineStr">
        <is>
          <t>No</t>
        </is>
      </c>
      <c r="M95" s="29">
        <f>IF(E95="","",IF(H95="Yes","❌ Disc",IF(G95="No","⚠ Missing",IF(J95="Yes","✓ OK","⚠ Check"))))</f>
        <v/>
      </c>
      <c r="N95" s="43" t="n">
        <v>46139</v>
      </c>
      <c r="O95" s="26" t="inlineStr">
        <is>
          <t>Sunil CR</t>
        </is>
      </c>
      <c r="P95" s="26" t="inlineStr">
        <is>
          <t>No</t>
        </is>
      </c>
      <c r="Q95" s="26" t="inlineStr">
        <is>
          <t>Yes</t>
        </is>
      </c>
      <c r="R95" s="26" t="inlineStr">
        <is>
          <t>Discontinued</t>
        </is>
      </c>
      <c r="S95" s="26" t="inlineStr">
        <is>
          <t>No</t>
        </is>
      </c>
      <c r="T95" s="27" t="n"/>
      <c r="U95" s="28" t="inlineStr">
        <is>
          <t>No</t>
        </is>
      </c>
      <c r="V95" s="29">
        <f>IF(N95="","",IF(Q95="Yes","❌ Disc",IF(P95="No","⚠ Missing",IF(S95="Yes","✓ OK","⚠ Check"))))</f>
        <v/>
      </c>
      <c r="W95" s="65" t="n">
        <v>46248</v>
      </c>
      <c r="X95" s="30" t="inlineStr">
        <is>
          <t>Sunil CR</t>
        </is>
      </c>
      <c r="Y95" s="30" t="inlineStr">
        <is>
          <t>No</t>
        </is>
      </c>
      <c r="Z95" s="30" t="n"/>
      <c r="AA95" s="30" t="inlineStr">
        <is>
          <t>Discontinued</t>
        </is>
      </c>
      <c r="AB95" s="30" t="inlineStr">
        <is>
          <t>No</t>
        </is>
      </c>
      <c r="AC95" s="27" t="n"/>
      <c r="AD95" s="31" t="inlineStr">
        <is>
          <t>No</t>
        </is>
      </c>
      <c r="AE95" s="32">
        <f>IF(W95="","",IF(Z95="Yes","❌ Disc",IF(Y95="No","⚠ Missing",IF(AB95="Yes","✓ OK","⚠ Check"))))</f>
        <v/>
      </c>
      <c r="AF95" s="33" t="n"/>
      <c r="AG95" s="33" t="n"/>
      <c r="AH95" s="33" t="n"/>
      <c r="AI95" s="33" t="n"/>
      <c r="AJ95" s="33" t="n"/>
      <c r="AK95" s="33" t="n"/>
      <c r="AL95" s="27" t="n"/>
      <c r="AM95" s="34" t="n"/>
      <c r="AN95" s="35">
        <f>IF(AF95="","",IF(AI95="Yes","❌ Disc",IF(AH95="No","⚠ Missing",IF(AK95="Yes","✓ OK","⚠ Check"))))</f>
        <v/>
      </c>
      <c r="AO95" s="36" t="n"/>
      <c r="AP95" s="36" t="n"/>
      <c r="AQ95" s="36" t="n"/>
      <c r="AR95" s="36" t="n"/>
      <c r="AS95" s="36" t="n"/>
      <c r="AT95" s="36" t="n"/>
      <c r="AU95" s="27" t="n"/>
      <c r="AV95" s="37" t="n"/>
      <c r="AW95" s="38">
        <f>IF(AO95="","",IF(AR95="Yes","❌ Disc",IF(AQ95="No","⚠ Missing",IF(AT95="Yes","✓ OK","⚠ Check"))))</f>
        <v/>
      </c>
    </row>
    <row r="96" ht="18" customHeight="1" s="46">
      <c r="A96" s="39" t="n">
        <v>92</v>
      </c>
      <c r="B96" s="40" t="inlineStr">
        <is>
          <t>Warm White - 104</t>
        </is>
      </c>
      <c r="C96" s="41" t="inlineStr">
        <is>
          <t>Febonic Fabric - Velvet - Warm White - 104</t>
        </is>
      </c>
      <c r="D96" s="39" t="inlineStr">
        <is>
          <t>Febonic</t>
        </is>
      </c>
      <c r="E96" s="43" t="n">
        <v>46125</v>
      </c>
      <c r="F96" s="26" t="inlineStr">
        <is>
          <t>Sunil CR</t>
        </is>
      </c>
      <c r="G96" s="26" t="inlineStr">
        <is>
          <t>Yes</t>
        </is>
      </c>
      <c r="H96" s="26" t="inlineStr">
        <is>
          <t>No</t>
        </is>
      </c>
      <c r="I96" s="26" t="inlineStr">
        <is>
          <t>Good finish</t>
        </is>
      </c>
      <c r="J96" s="26" t="inlineStr">
        <is>
          <t>Yes</t>
        </is>
      </c>
      <c r="K96" s="27" t="n"/>
      <c r="L96" s="28" t="inlineStr">
        <is>
          <t>No</t>
        </is>
      </c>
      <c r="M96" s="29">
        <f>IF(E96="","",IF(H96="Yes","❌ Disc",IF(G96="No","⚠ Missing",IF(J96="Yes","✓ OK","⚠ Check"))))</f>
        <v/>
      </c>
      <c r="N96" s="43" t="n">
        <v>46139</v>
      </c>
      <c r="O96" s="26" t="inlineStr">
        <is>
          <t>Sunil CR</t>
        </is>
      </c>
      <c r="P96" s="26" t="inlineStr">
        <is>
          <t>No</t>
        </is>
      </c>
      <c r="Q96" s="26" t="inlineStr">
        <is>
          <t>Yes</t>
        </is>
      </c>
      <c r="R96" s="26" t="inlineStr">
        <is>
          <t>Discontinued</t>
        </is>
      </c>
      <c r="S96" s="26" t="inlineStr">
        <is>
          <t>No</t>
        </is>
      </c>
      <c r="T96" s="27" t="n"/>
      <c r="U96" s="28" t="inlineStr">
        <is>
          <t>No</t>
        </is>
      </c>
      <c r="V96" s="29">
        <f>IF(N96="","",IF(Q96="Yes","❌ Disc",IF(P96="No","⚠ Missing",IF(S96="Yes","✓ OK","⚠ Check"))))</f>
        <v/>
      </c>
      <c r="W96" s="65" t="n">
        <v>46248</v>
      </c>
      <c r="X96" s="30" t="inlineStr">
        <is>
          <t>Sunil CR</t>
        </is>
      </c>
      <c r="Y96" s="30" t="inlineStr">
        <is>
          <t>No</t>
        </is>
      </c>
      <c r="Z96" s="30" t="n"/>
      <c r="AA96" s="30" t="inlineStr">
        <is>
          <t>Discontinued</t>
        </is>
      </c>
      <c r="AB96" s="30" t="inlineStr">
        <is>
          <t>No</t>
        </is>
      </c>
      <c r="AC96" s="27" t="n"/>
      <c r="AD96" s="31" t="inlineStr">
        <is>
          <t>No</t>
        </is>
      </c>
      <c r="AE96" s="32">
        <f>IF(W96="","",IF(Z96="Yes","❌ Disc",IF(Y96="No","⚠ Missing",IF(AB96="Yes","✓ OK","⚠ Check"))))</f>
        <v/>
      </c>
      <c r="AF96" s="33" t="n"/>
      <c r="AG96" s="33" t="n"/>
      <c r="AH96" s="33" t="n"/>
      <c r="AI96" s="33" t="n"/>
      <c r="AJ96" s="33" t="n"/>
      <c r="AK96" s="33" t="n"/>
      <c r="AL96" s="27" t="n"/>
      <c r="AM96" s="34" t="n"/>
      <c r="AN96" s="35">
        <f>IF(AF96="","",IF(AI96="Yes","❌ Disc",IF(AH96="No","⚠ Missing",IF(AK96="Yes","✓ OK","⚠ Check"))))</f>
        <v/>
      </c>
      <c r="AO96" s="36" t="n"/>
      <c r="AP96" s="36" t="n"/>
      <c r="AQ96" s="36" t="n"/>
      <c r="AR96" s="36" t="n"/>
      <c r="AS96" s="36" t="n"/>
      <c r="AT96" s="36" t="n"/>
      <c r="AU96" s="27" t="n"/>
      <c r="AV96" s="37" t="n"/>
      <c r="AW96" s="38">
        <f>IF(AO96="","",IF(AR96="Yes","❌ Disc",IF(AQ96="No","⚠ Missing",IF(AT96="Yes","✓ OK","⚠ Check"))))</f>
        <v/>
      </c>
    </row>
    <row r="97" ht="18" customHeight="1" s="46">
      <c r="A97" s="23" t="n">
        <v>93</v>
      </c>
      <c r="B97" s="24" t="inlineStr">
        <is>
          <t>Yam Orange - 137</t>
        </is>
      </c>
      <c r="C97" s="25" t="inlineStr">
        <is>
          <t>Febonic Fabric - Velvet - Yam Orange - 137</t>
        </is>
      </c>
      <c r="D97" s="23" t="inlineStr">
        <is>
          <t>Febonic</t>
        </is>
      </c>
      <c r="E97" s="43" t="n">
        <v>46125</v>
      </c>
      <c r="F97" s="26" t="inlineStr">
        <is>
          <t>Sunil CR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Good finish</t>
        </is>
      </c>
      <c r="J97" s="26" t="inlineStr">
        <is>
          <t>Yes</t>
        </is>
      </c>
      <c r="K97" s="27" t="n"/>
      <c r="L97" s="28" t="inlineStr">
        <is>
          <t>No</t>
        </is>
      </c>
      <c r="M97" s="29">
        <f>IF(E97="","",IF(H97="Yes","❌ Disc",IF(G97="No","⚠ Missing",IF(J97="Yes","✓ OK","⚠ Check"))))</f>
        <v/>
      </c>
      <c r="N97" s="43" t="n">
        <v>46139</v>
      </c>
      <c r="O97" s="26" t="inlineStr">
        <is>
          <t>Sunil CR</t>
        </is>
      </c>
      <c r="P97" s="26" t="inlineStr">
        <is>
          <t>No</t>
        </is>
      </c>
      <c r="Q97" s="26" t="inlineStr">
        <is>
          <t>Yes</t>
        </is>
      </c>
      <c r="R97" s="26" t="inlineStr">
        <is>
          <t>Discontinued</t>
        </is>
      </c>
      <c r="S97" s="26" t="inlineStr">
        <is>
          <t>No</t>
        </is>
      </c>
      <c r="T97" s="27" t="n"/>
      <c r="U97" s="28" t="inlineStr">
        <is>
          <t>No</t>
        </is>
      </c>
      <c r="V97" s="29">
        <f>IF(N97="","",IF(Q97="Yes","❌ Disc",IF(P97="No","⚠ Missing",IF(S97="Yes","✓ OK","⚠ Check"))))</f>
        <v/>
      </c>
      <c r="W97" s="65" t="n">
        <v>46248</v>
      </c>
      <c r="X97" s="30" t="inlineStr">
        <is>
          <t>Sunil CR</t>
        </is>
      </c>
      <c r="Y97" s="30" t="inlineStr">
        <is>
          <t>No</t>
        </is>
      </c>
      <c r="Z97" s="30" t="n"/>
      <c r="AA97" s="30" t="inlineStr">
        <is>
          <t>Discontinued</t>
        </is>
      </c>
      <c r="AB97" s="30" t="inlineStr">
        <is>
          <t>No</t>
        </is>
      </c>
      <c r="AC97" s="27" t="n"/>
      <c r="AD97" s="31" t="inlineStr">
        <is>
          <t>No</t>
        </is>
      </c>
      <c r="AE97" s="32">
        <f>IF(W97="","",IF(Z97="Yes","❌ Disc",IF(Y97="No","⚠ Missing",IF(AB97="Yes","✓ OK","⚠ Check"))))</f>
        <v/>
      </c>
      <c r="AF97" s="33" t="n"/>
      <c r="AG97" s="33" t="n"/>
      <c r="AH97" s="33" t="n"/>
      <c r="AI97" s="33" t="n"/>
      <c r="AJ97" s="33" t="n"/>
      <c r="AK97" s="33" t="n"/>
      <c r="AL97" s="27" t="n"/>
      <c r="AM97" s="34" t="n"/>
      <c r="AN97" s="35">
        <f>IF(AF97="","",IF(AI97="Yes","❌ Disc",IF(AH97="No","⚠ Missing",IF(AK97="Yes","✓ OK","⚠ Check"))))</f>
        <v/>
      </c>
      <c r="AO97" s="36" t="n"/>
      <c r="AP97" s="36" t="n"/>
      <c r="AQ97" s="36" t="n"/>
      <c r="AR97" s="36" t="n"/>
      <c r="AS97" s="36" t="n"/>
      <c r="AT97" s="36" t="n"/>
      <c r="AU97" s="27" t="n"/>
      <c r="AV97" s="37" t="n"/>
      <c r="AW97" s="38">
        <f>IF(AO97="","",IF(AR97="Yes","❌ Disc",IF(AQ97="No","⚠ Missing",IF(AT97="Yes","✓ OK","⚠ Check"))))</f>
        <v/>
      </c>
    </row>
    <row r="98" ht="18" customHeight="1" s="46">
      <c r="A98" s="39" t="n">
        <v>94</v>
      </c>
      <c r="B98" s="40" t="inlineStr">
        <is>
          <t>Aria_701</t>
        </is>
      </c>
      <c r="C98" s="41" t="inlineStr">
        <is>
          <t>Sarom - Aria Fabric(Platinum) - Aria_701</t>
        </is>
      </c>
      <c r="D98" s="39" t="inlineStr">
        <is>
          <t>Sarom</t>
        </is>
      </c>
      <c r="E98" s="43" t="n">
        <v>46125</v>
      </c>
      <c r="F98" s="26" t="inlineStr">
        <is>
          <t>Sunil CR</t>
        </is>
      </c>
      <c r="G98" s="26" t="inlineStr">
        <is>
          <t>Yes</t>
        </is>
      </c>
      <c r="H98" s="26" t="inlineStr">
        <is>
          <t>No</t>
        </is>
      </c>
      <c r="I98" s="26" t="inlineStr">
        <is>
          <t>Good finish</t>
        </is>
      </c>
      <c r="J98" s="26" t="inlineStr">
        <is>
          <t>Yes</t>
        </is>
      </c>
      <c r="K98" s="27" t="n"/>
      <c r="L98" s="28" t="inlineStr">
        <is>
          <t>No</t>
        </is>
      </c>
      <c r="M98" s="29">
        <f>IF(E98="","",IF(H98="Yes","❌ Disc",IF(G98="No","⚠ Missing",IF(J98="Yes","✓ OK","⚠ Check"))))</f>
        <v/>
      </c>
      <c r="N98" s="43" t="n">
        <v>46139</v>
      </c>
      <c r="O98" s="26" t="inlineStr">
        <is>
          <t>Sunil CR</t>
        </is>
      </c>
      <c r="P98" s="26" t="inlineStr">
        <is>
          <t>Yes</t>
        </is>
      </c>
      <c r="Q98" s="26" t="inlineStr">
        <is>
          <t>No</t>
        </is>
      </c>
      <c r="R98" s="26" t="inlineStr">
        <is>
          <t>Good finish</t>
        </is>
      </c>
      <c r="S98" s="26" t="inlineStr">
        <is>
          <t>Yes</t>
        </is>
      </c>
      <c r="T98" s="27" t="n"/>
      <c r="U98" s="28" t="inlineStr">
        <is>
          <t>No</t>
        </is>
      </c>
      <c r="V98" s="29">
        <f>IF(N98="","",IF(Q98="Yes","❌ Disc",IF(P98="No","⚠ Missing",IF(S98="Yes","✓ OK","⚠ Check"))))</f>
        <v/>
      </c>
      <c r="W98" s="65" t="n">
        <v>46248</v>
      </c>
      <c r="X98" s="30" t="inlineStr">
        <is>
          <t>Sunil CR</t>
        </is>
      </c>
      <c r="Y98" s="30" t="inlineStr">
        <is>
          <t>Yes</t>
        </is>
      </c>
      <c r="Z98" s="30" t="n"/>
      <c r="AA98" s="30" t="inlineStr">
        <is>
          <t>Good finish</t>
        </is>
      </c>
      <c r="AB98" s="30" t="inlineStr">
        <is>
          <t>Yes</t>
        </is>
      </c>
      <c r="AC98" s="27" t="n"/>
      <c r="AD98" s="31" t="inlineStr">
        <is>
          <t>No</t>
        </is>
      </c>
      <c r="AE98" s="32">
        <f>IF(W98="","",IF(Z98="Yes","❌ Disc",IF(Y98="No","⚠ Missing",IF(AB98="Yes","✓ OK","⚠ Check"))))</f>
        <v/>
      </c>
      <c r="AF98" s="33" t="n"/>
      <c r="AG98" s="33" t="n"/>
      <c r="AH98" s="33" t="n"/>
      <c r="AI98" s="33" t="n"/>
      <c r="AJ98" s="33" t="n"/>
      <c r="AK98" s="33" t="n"/>
      <c r="AL98" s="27" t="n"/>
      <c r="AM98" s="34" t="n"/>
      <c r="AN98" s="35">
        <f>IF(AF98="","",IF(AI98="Yes","❌ Disc",IF(AH98="No","⚠ Missing",IF(AK98="Yes","✓ OK","⚠ Check"))))</f>
        <v/>
      </c>
      <c r="AO98" s="36" t="n"/>
      <c r="AP98" s="36" t="n"/>
      <c r="AQ98" s="36" t="n"/>
      <c r="AR98" s="36" t="n"/>
      <c r="AS98" s="36" t="n"/>
      <c r="AT98" s="36" t="n"/>
      <c r="AU98" s="27" t="n"/>
      <c r="AV98" s="37" t="n"/>
      <c r="AW98" s="38">
        <f>IF(AO98="","",IF(AR98="Yes","❌ Disc",IF(AQ98="No","⚠ Missing",IF(AT98="Yes","✓ OK","⚠ Check"))))</f>
        <v/>
      </c>
    </row>
    <row r="99" ht="18" customHeight="1" s="46">
      <c r="A99" s="23" t="n">
        <v>95</v>
      </c>
      <c r="B99" s="24" t="inlineStr">
        <is>
          <t>Aria_702</t>
        </is>
      </c>
      <c r="C99" s="25" t="inlineStr">
        <is>
          <t>Sarom - Aria Fabric(Platinum) - Aria_702</t>
        </is>
      </c>
      <c r="D99" s="23" t="inlineStr">
        <is>
          <t>Sarom</t>
        </is>
      </c>
      <c r="E99" s="43" t="n">
        <v>46125</v>
      </c>
      <c r="F99" s="26" t="inlineStr">
        <is>
          <t>Sunil CR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Good finish</t>
        </is>
      </c>
      <c r="J99" s="26" t="inlineStr">
        <is>
          <t>Yes</t>
        </is>
      </c>
      <c r="K99" s="27" t="n"/>
      <c r="L99" s="28" t="inlineStr">
        <is>
          <t>No</t>
        </is>
      </c>
      <c r="M99" s="29">
        <f>IF(E99="","",IF(H99="Yes","❌ Disc",IF(G99="No","⚠ Missing",IF(J99="Yes","✓ OK","⚠ Check"))))</f>
        <v/>
      </c>
      <c r="N99" s="43" t="n">
        <v>46139</v>
      </c>
      <c r="O99" s="26" t="inlineStr">
        <is>
          <t>Sunil CR</t>
        </is>
      </c>
      <c r="P99" s="26" t="inlineStr">
        <is>
          <t>Yes</t>
        </is>
      </c>
      <c r="Q99" s="26" t="inlineStr">
        <is>
          <t>No</t>
        </is>
      </c>
      <c r="R99" s="26" t="inlineStr">
        <is>
          <t>Good finish</t>
        </is>
      </c>
      <c r="S99" s="26" t="inlineStr">
        <is>
          <t>Yes</t>
        </is>
      </c>
      <c r="T99" s="27" t="n"/>
      <c r="U99" s="28" t="inlineStr">
        <is>
          <t>No</t>
        </is>
      </c>
      <c r="V99" s="29">
        <f>IF(N99="","",IF(Q99="Yes","❌ Disc",IF(P99="No","⚠ Missing",IF(S99="Yes","✓ OK","⚠ Check"))))</f>
        <v/>
      </c>
      <c r="W99" s="65" t="n">
        <v>46248</v>
      </c>
      <c r="X99" s="30" t="inlineStr">
        <is>
          <t>Sunil CR</t>
        </is>
      </c>
      <c r="Y99" s="30" t="inlineStr">
        <is>
          <t>Yes</t>
        </is>
      </c>
      <c r="Z99" s="30" t="n"/>
      <c r="AA99" s="30" t="inlineStr">
        <is>
          <t>Good finish</t>
        </is>
      </c>
      <c r="AB99" s="30" t="inlineStr">
        <is>
          <t>Yes</t>
        </is>
      </c>
      <c r="AC99" s="27" t="n"/>
      <c r="AD99" s="31" t="inlineStr">
        <is>
          <t>No</t>
        </is>
      </c>
      <c r="AE99" s="32">
        <f>IF(W99="","",IF(Z99="Yes","❌ Disc",IF(Y99="No","⚠ Missing",IF(AB99="Yes","✓ OK","⚠ Check"))))</f>
        <v/>
      </c>
      <c r="AF99" s="33" t="n"/>
      <c r="AG99" s="33" t="n"/>
      <c r="AH99" s="33" t="n"/>
      <c r="AI99" s="33" t="n"/>
      <c r="AJ99" s="33" t="n"/>
      <c r="AK99" s="33" t="n"/>
      <c r="AL99" s="27" t="n"/>
      <c r="AM99" s="34" t="n"/>
      <c r="AN99" s="35">
        <f>IF(AF99="","",IF(AI99="Yes","❌ Disc",IF(AH99="No","⚠ Missing",IF(AK99="Yes","✓ OK","⚠ Check"))))</f>
        <v/>
      </c>
      <c r="AO99" s="36" t="n"/>
      <c r="AP99" s="36" t="n"/>
      <c r="AQ99" s="36" t="n"/>
      <c r="AR99" s="36" t="n"/>
      <c r="AS99" s="36" t="n"/>
      <c r="AT99" s="36" t="n"/>
      <c r="AU99" s="27" t="n"/>
      <c r="AV99" s="37" t="n"/>
      <c r="AW99" s="38">
        <f>IF(AO99="","",IF(AR99="Yes","❌ Disc",IF(AQ99="No","⚠ Missing",IF(AT99="Yes","✓ OK","⚠ Check"))))</f>
        <v/>
      </c>
    </row>
    <row r="100" ht="18" customHeight="1" s="46">
      <c r="A100" s="39" t="n">
        <v>96</v>
      </c>
      <c r="B100" s="40" t="inlineStr">
        <is>
          <t>Aria_703</t>
        </is>
      </c>
      <c r="C100" s="41" t="inlineStr">
        <is>
          <t>Sarom - Aria Fabric(Platinum) - Aria_703</t>
        </is>
      </c>
      <c r="D100" s="39" t="inlineStr">
        <is>
          <t>Sarom</t>
        </is>
      </c>
      <c r="E100" s="43" t="n">
        <v>46125</v>
      </c>
      <c r="F100" s="26" t="inlineStr">
        <is>
          <t>Sunil CR</t>
        </is>
      </c>
      <c r="G100" s="26" t="inlineStr">
        <is>
          <t>Yes</t>
        </is>
      </c>
      <c r="H100" s="26" t="inlineStr">
        <is>
          <t>No</t>
        </is>
      </c>
      <c r="I100" s="26" t="inlineStr">
        <is>
          <t>Good finish</t>
        </is>
      </c>
      <c r="J100" s="26" t="inlineStr">
        <is>
          <t>Yes</t>
        </is>
      </c>
      <c r="K100" s="27" t="n"/>
      <c r="L100" s="28" t="inlineStr">
        <is>
          <t>No</t>
        </is>
      </c>
      <c r="M100" s="29">
        <f>IF(E100="","",IF(H100="Yes","❌ Disc",IF(G100="No","⚠ Missing",IF(J100="Yes","✓ OK","⚠ Check"))))</f>
        <v/>
      </c>
      <c r="N100" s="43" t="n">
        <v>46139</v>
      </c>
      <c r="O100" s="26" t="inlineStr">
        <is>
          <t>Sunil CR</t>
        </is>
      </c>
      <c r="P100" s="26" t="inlineStr">
        <is>
          <t>Yes</t>
        </is>
      </c>
      <c r="Q100" s="26" t="inlineStr">
        <is>
          <t>No</t>
        </is>
      </c>
      <c r="R100" s="26" t="inlineStr">
        <is>
          <t>Good finish</t>
        </is>
      </c>
      <c r="S100" s="26" t="inlineStr">
        <is>
          <t>Yes</t>
        </is>
      </c>
      <c r="T100" s="27" t="n"/>
      <c r="U100" s="28" t="inlineStr">
        <is>
          <t>No</t>
        </is>
      </c>
      <c r="V100" s="29">
        <f>IF(N100="","",IF(Q100="Yes","❌ Disc",IF(P100="No","⚠ Missing",IF(S100="Yes","✓ OK","⚠ Check"))))</f>
        <v/>
      </c>
      <c r="W100" s="65" t="n">
        <v>46248</v>
      </c>
      <c r="X100" s="30" t="inlineStr">
        <is>
          <t>Sunil CR</t>
        </is>
      </c>
      <c r="Y100" s="30" t="inlineStr">
        <is>
          <t>Yes</t>
        </is>
      </c>
      <c r="Z100" s="30" t="n"/>
      <c r="AA100" s="30" t="inlineStr">
        <is>
          <t>Good finish</t>
        </is>
      </c>
      <c r="AB100" s="30" t="inlineStr">
        <is>
          <t>Yes</t>
        </is>
      </c>
      <c r="AC100" s="27" t="n"/>
      <c r="AD100" s="31" t="inlineStr">
        <is>
          <t>No</t>
        </is>
      </c>
      <c r="AE100" s="32">
        <f>IF(W100="","",IF(Z100="Yes","❌ Disc",IF(Y100="No","⚠ Missing",IF(AB100="Yes","✓ OK","⚠ Check"))))</f>
        <v/>
      </c>
      <c r="AF100" s="33" t="n"/>
      <c r="AG100" s="33" t="n"/>
      <c r="AH100" s="33" t="n"/>
      <c r="AI100" s="33" t="n"/>
      <c r="AJ100" s="33" t="n"/>
      <c r="AK100" s="33" t="n"/>
      <c r="AL100" s="27" t="n"/>
      <c r="AM100" s="34" t="n"/>
      <c r="AN100" s="35">
        <f>IF(AF100="","",IF(AI100="Yes","❌ Disc",IF(AH100="No","⚠ Missing",IF(AK100="Yes","✓ OK","⚠ Check"))))</f>
        <v/>
      </c>
      <c r="AO100" s="36" t="n"/>
      <c r="AP100" s="36" t="n"/>
      <c r="AQ100" s="36" t="n"/>
      <c r="AR100" s="36" t="n"/>
      <c r="AS100" s="36" t="n"/>
      <c r="AT100" s="36" t="n"/>
      <c r="AU100" s="27" t="n"/>
      <c r="AV100" s="37" t="n"/>
      <c r="AW100" s="38">
        <f>IF(AO100="","",IF(AR100="Yes","❌ Disc",IF(AQ100="No","⚠ Missing",IF(AT100="Yes","✓ OK","⚠ Check"))))</f>
        <v/>
      </c>
    </row>
    <row r="101" ht="18" customHeight="1" s="46">
      <c r="A101" s="23" t="n">
        <v>97</v>
      </c>
      <c r="B101" s="24" t="inlineStr">
        <is>
          <t>Aria_704</t>
        </is>
      </c>
      <c r="C101" s="25" t="inlineStr">
        <is>
          <t>Sarom - Aria Fabric(Platinum) - Aria_704</t>
        </is>
      </c>
      <c r="D101" s="23" t="inlineStr">
        <is>
          <t>Sarom</t>
        </is>
      </c>
      <c r="E101" s="43" t="n">
        <v>46125</v>
      </c>
      <c r="F101" s="26" t="inlineStr">
        <is>
          <t>Sunil CR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Good finish</t>
        </is>
      </c>
      <c r="J101" s="26" t="inlineStr">
        <is>
          <t>Yes</t>
        </is>
      </c>
      <c r="K101" s="27" t="n"/>
      <c r="L101" s="28" t="inlineStr">
        <is>
          <t>No</t>
        </is>
      </c>
      <c r="M101" s="29">
        <f>IF(E101="","",IF(H101="Yes","❌ Disc",IF(G101="No","⚠ Missing",IF(J101="Yes","✓ OK","⚠ Check"))))</f>
        <v/>
      </c>
      <c r="N101" s="43" t="n">
        <v>46139</v>
      </c>
      <c r="O101" s="26" t="inlineStr">
        <is>
          <t>Sunil CR</t>
        </is>
      </c>
      <c r="P101" s="26" t="inlineStr">
        <is>
          <t>Yes</t>
        </is>
      </c>
      <c r="Q101" s="26" t="inlineStr">
        <is>
          <t>No</t>
        </is>
      </c>
      <c r="R101" s="26" t="inlineStr">
        <is>
          <t>Good finish</t>
        </is>
      </c>
      <c r="S101" s="26" t="inlineStr">
        <is>
          <t>Yes</t>
        </is>
      </c>
      <c r="T101" s="27" t="n"/>
      <c r="U101" s="28" t="inlineStr">
        <is>
          <t>No</t>
        </is>
      </c>
      <c r="V101" s="29">
        <f>IF(N101="","",IF(Q101="Yes","❌ Disc",IF(P101="No","⚠ Missing",IF(S101="Yes","✓ OK","⚠ Check"))))</f>
        <v/>
      </c>
      <c r="W101" s="65" t="n">
        <v>46248</v>
      </c>
      <c r="X101" s="30" t="inlineStr">
        <is>
          <t>Sunil CR</t>
        </is>
      </c>
      <c r="Y101" s="30" t="inlineStr">
        <is>
          <t>Yes</t>
        </is>
      </c>
      <c r="Z101" s="30" t="n"/>
      <c r="AA101" s="30" t="inlineStr">
        <is>
          <t>Good finish</t>
        </is>
      </c>
      <c r="AB101" s="30" t="inlineStr">
        <is>
          <t>Yes</t>
        </is>
      </c>
      <c r="AC101" s="27" t="n"/>
      <c r="AD101" s="31" t="inlineStr">
        <is>
          <t>No</t>
        </is>
      </c>
      <c r="AE101" s="32">
        <f>IF(W101="","",IF(Z101="Yes","❌ Disc",IF(Y101="No","⚠ Missing",IF(AB101="Yes","✓ OK","⚠ Check"))))</f>
        <v/>
      </c>
      <c r="AF101" s="33" t="n"/>
      <c r="AG101" s="33" t="n"/>
      <c r="AH101" s="33" t="n"/>
      <c r="AI101" s="33" t="n"/>
      <c r="AJ101" s="33" t="n"/>
      <c r="AK101" s="33" t="n"/>
      <c r="AL101" s="27" t="n"/>
      <c r="AM101" s="34" t="n"/>
      <c r="AN101" s="35">
        <f>IF(AF101="","",IF(AI101="Yes","❌ Disc",IF(AH101="No","⚠ Missing",IF(AK101="Yes","✓ OK","⚠ Check"))))</f>
        <v/>
      </c>
      <c r="AO101" s="36" t="n"/>
      <c r="AP101" s="36" t="n"/>
      <c r="AQ101" s="36" t="n"/>
      <c r="AR101" s="36" t="n"/>
      <c r="AS101" s="36" t="n"/>
      <c r="AT101" s="36" t="n"/>
      <c r="AU101" s="27" t="n"/>
      <c r="AV101" s="37" t="n"/>
      <c r="AW101" s="38">
        <f>IF(AO101="","",IF(AR101="Yes","❌ Disc",IF(AQ101="No","⚠ Missing",IF(AT101="Yes","✓ OK","⚠ Check"))))</f>
        <v/>
      </c>
    </row>
    <row r="102" ht="18" customHeight="1" s="46">
      <c r="A102" s="39" t="n">
        <v>98</v>
      </c>
      <c r="B102" s="40" t="inlineStr">
        <is>
          <t>Aria_705</t>
        </is>
      </c>
      <c r="C102" s="41" t="inlineStr">
        <is>
          <t>Sarom - Aria Fabric(Platinum) - Aria_705</t>
        </is>
      </c>
      <c r="D102" s="39" t="inlineStr">
        <is>
          <t>Sarom</t>
        </is>
      </c>
      <c r="E102" s="43" t="n">
        <v>46125</v>
      </c>
      <c r="F102" s="26" t="inlineStr">
        <is>
          <t>Sunil CR</t>
        </is>
      </c>
      <c r="G102" s="26" t="inlineStr">
        <is>
          <t>Yes</t>
        </is>
      </c>
      <c r="H102" s="26" t="inlineStr">
        <is>
          <t>No</t>
        </is>
      </c>
      <c r="I102" s="26" t="inlineStr">
        <is>
          <t>Good finish</t>
        </is>
      </c>
      <c r="J102" s="26" t="inlineStr">
        <is>
          <t>Yes</t>
        </is>
      </c>
      <c r="K102" s="27" t="n"/>
      <c r="L102" s="28" t="inlineStr">
        <is>
          <t>No</t>
        </is>
      </c>
      <c r="M102" s="29">
        <f>IF(E102="","",IF(H102="Yes","❌ Disc",IF(G102="No","⚠ Missing",IF(J102="Yes","✓ OK","⚠ Check"))))</f>
        <v/>
      </c>
      <c r="N102" s="43" t="n">
        <v>46139</v>
      </c>
      <c r="O102" s="26" t="inlineStr">
        <is>
          <t>Sunil CR</t>
        </is>
      </c>
      <c r="P102" s="26" t="inlineStr">
        <is>
          <t>Yes</t>
        </is>
      </c>
      <c r="Q102" s="26" t="inlineStr">
        <is>
          <t>No</t>
        </is>
      </c>
      <c r="R102" s="26" t="inlineStr">
        <is>
          <t>Good finish</t>
        </is>
      </c>
      <c r="S102" s="26" t="inlineStr">
        <is>
          <t>Yes</t>
        </is>
      </c>
      <c r="T102" s="27" t="n"/>
      <c r="U102" s="28" t="inlineStr">
        <is>
          <t>No</t>
        </is>
      </c>
      <c r="V102" s="29">
        <f>IF(N102="","",IF(Q102="Yes","❌ Disc",IF(P102="No","⚠ Missing",IF(S102="Yes","✓ OK","⚠ Check"))))</f>
        <v/>
      </c>
      <c r="W102" s="65" t="n">
        <v>46248</v>
      </c>
      <c r="X102" s="30" t="inlineStr">
        <is>
          <t>Sunil CR</t>
        </is>
      </c>
      <c r="Y102" s="30" t="inlineStr">
        <is>
          <t>Yes</t>
        </is>
      </c>
      <c r="Z102" s="30" t="n"/>
      <c r="AA102" s="30" t="inlineStr">
        <is>
          <t>Good finish</t>
        </is>
      </c>
      <c r="AB102" s="30" t="inlineStr">
        <is>
          <t>Yes</t>
        </is>
      </c>
      <c r="AC102" s="27" t="n"/>
      <c r="AD102" s="31" t="inlineStr">
        <is>
          <t>No</t>
        </is>
      </c>
      <c r="AE102" s="32">
        <f>IF(W102="","",IF(Z102="Yes","❌ Disc",IF(Y102="No","⚠ Missing",IF(AB102="Yes","✓ OK","⚠ Check"))))</f>
        <v/>
      </c>
      <c r="AF102" s="33" t="n"/>
      <c r="AG102" s="33" t="n"/>
      <c r="AH102" s="33" t="n"/>
      <c r="AI102" s="33" t="n"/>
      <c r="AJ102" s="33" t="n"/>
      <c r="AK102" s="33" t="n"/>
      <c r="AL102" s="27" t="n"/>
      <c r="AM102" s="34" t="n"/>
      <c r="AN102" s="35">
        <f>IF(AF102="","",IF(AI102="Yes","❌ Disc",IF(AH102="No","⚠ Missing",IF(AK102="Yes","✓ OK","⚠ Check"))))</f>
        <v/>
      </c>
      <c r="AO102" s="36" t="n"/>
      <c r="AP102" s="36" t="n"/>
      <c r="AQ102" s="36" t="n"/>
      <c r="AR102" s="36" t="n"/>
      <c r="AS102" s="36" t="n"/>
      <c r="AT102" s="36" t="n"/>
      <c r="AU102" s="27" t="n"/>
      <c r="AV102" s="37" t="n"/>
      <c r="AW102" s="38">
        <f>IF(AO102="","",IF(AR102="Yes","❌ Disc",IF(AQ102="No","⚠ Missing",IF(AT102="Yes","✓ OK","⚠ Check"))))</f>
        <v/>
      </c>
    </row>
    <row r="103" ht="18" customHeight="1" s="46">
      <c r="A103" s="23" t="n">
        <v>99</v>
      </c>
      <c r="B103" s="24" t="inlineStr">
        <is>
          <t>Aria_706</t>
        </is>
      </c>
      <c r="C103" s="25" t="inlineStr">
        <is>
          <t>Sarom - Aria Fabric(Platinum) - Aria_706</t>
        </is>
      </c>
      <c r="D103" s="23" t="inlineStr">
        <is>
          <t>Sarom</t>
        </is>
      </c>
      <c r="E103" s="43" t="n">
        <v>46125</v>
      </c>
      <c r="F103" s="26" t="inlineStr">
        <is>
          <t>Sunil CR</t>
        </is>
      </c>
      <c r="G103" s="26" t="inlineStr">
        <is>
          <t>Yes</t>
        </is>
      </c>
      <c r="H103" s="26" t="inlineStr">
        <is>
          <t>No</t>
        </is>
      </c>
      <c r="I103" s="26" t="inlineStr">
        <is>
          <t>Good finish</t>
        </is>
      </c>
      <c r="J103" s="26" t="inlineStr">
        <is>
          <t>Yes</t>
        </is>
      </c>
      <c r="K103" s="27" t="n"/>
      <c r="L103" s="28" t="inlineStr">
        <is>
          <t>No</t>
        </is>
      </c>
      <c r="M103" s="29">
        <f>IF(E103="","",IF(H103="Yes","❌ Disc",IF(G103="No","⚠ Missing",IF(J103="Yes","✓ OK","⚠ Check"))))</f>
        <v/>
      </c>
      <c r="N103" s="43" t="n">
        <v>46139</v>
      </c>
      <c r="O103" s="26" t="inlineStr">
        <is>
          <t>Sunil CR</t>
        </is>
      </c>
      <c r="P103" s="26" t="inlineStr">
        <is>
          <t>Yes</t>
        </is>
      </c>
      <c r="Q103" s="26" t="inlineStr">
        <is>
          <t>No</t>
        </is>
      </c>
      <c r="R103" s="26" t="inlineStr">
        <is>
          <t>Good finish</t>
        </is>
      </c>
      <c r="S103" s="26" t="inlineStr">
        <is>
          <t>Yes</t>
        </is>
      </c>
      <c r="T103" s="27" t="n"/>
      <c r="U103" s="28" t="inlineStr">
        <is>
          <t>No</t>
        </is>
      </c>
      <c r="V103" s="29">
        <f>IF(N103="","",IF(Q103="Yes","❌ Disc",IF(P103="No","⚠ Missing",IF(S103="Yes","✓ OK","⚠ Check"))))</f>
        <v/>
      </c>
      <c r="W103" s="65" t="n">
        <v>46248</v>
      </c>
      <c r="X103" s="30" t="inlineStr">
        <is>
          <t>Sunil CR</t>
        </is>
      </c>
      <c r="Y103" s="30" t="inlineStr">
        <is>
          <t>Yes</t>
        </is>
      </c>
      <c r="Z103" s="30" t="n"/>
      <c r="AA103" s="30" t="inlineStr">
        <is>
          <t>Good finish</t>
        </is>
      </c>
      <c r="AB103" s="30" t="inlineStr">
        <is>
          <t>Yes</t>
        </is>
      </c>
      <c r="AC103" s="27" t="n"/>
      <c r="AD103" s="31" t="inlineStr">
        <is>
          <t>No</t>
        </is>
      </c>
      <c r="AE103" s="32">
        <f>IF(W103="","",IF(Z103="Yes","❌ Disc",IF(Y103="No","⚠ Missing",IF(AB103="Yes","✓ OK","⚠ Check"))))</f>
        <v/>
      </c>
      <c r="AF103" s="33" t="n"/>
      <c r="AG103" s="33" t="n"/>
      <c r="AH103" s="33" t="n"/>
      <c r="AI103" s="33" t="n"/>
      <c r="AJ103" s="33" t="n"/>
      <c r="AK103" s="33" t="n"/>
      <c r="AL103" s="27" t="n"/>
      <c r="AM103" s="34" t="n"/>
      <c r="AN103" s="35">
        <f>IF(AF103="","",IF(AI103="Yes","❌ Disc",IF(AH103="No","⚠ Missing",IF(AK103="Yes","✓ OK","⚠ Check"))))</f>
        <v/>
      </c>
      <c r="AO103" s="36" t="n"/>
      <c r="AP103" s="36" t="n"/>
      <c r="AQ103" s="36" t="n"/>
      <c r="AR103" s="36" t="n"/>
      <c r="AS103" s="36" t="n"/>
      <c r="AT103" s="36" t="n"/>
      <c r="AU103" s="27" t="n"/>
      <c r="AV103" s="37" t="n"/>
      <c r="AW103" s="38">
        <f>IF(AO103="","",IF(AR103="Yes","❌ Disc",IF(AQ103="No","⚠ Missing",IF(AT103="Yes","✓ OK","⚠ Check"))))</f>
        <v/>
      </c>
    </row>
    <row r="104" ht="18" customHeight="1" s="46">
      <c r="A104" s="39" t="n">
        <v>100</v>
      </c>
      <c r="B104" s="40" t="inlineStr">
        <is>
          <t>Aria_707</t>
        </is>
      </c>
      <c r="C104" s="41" t="inlineStr">
        <is>
          <t>Sarom - Aria Fabric(Platinum) - Aria_707</t>
        </is>
      </c>
      <c r="D104" s="39" t="inlineStr">
        <is>
          <t>Sarom</t>
        </is>
      </c>
      <c r="E104" s="43" t="n">
        <v>46125</v>
      </c>
      <c r="F104" s="26" t="inlineStr">
        <is>
          <t>Sunil CR</t>
        </is>
      </c>
      <c r="G104" s="26" t="inlineStr">
        <is>
          <t>Yes</t>
        </is>
      </c>
      <c r="H104" s="26" t="inlineStr">
        <is>
          <t>No</t>
        </is>
      </c>
      <c r="I104" s="26" t="inlineStr">
        <is>
          <t>Good finish</t>
        </is>
      </c>
      <c r="J104" s="26" t="inlineStr">
        <is>
          <t>Yes</t>
        </is>
      </c>
      <c r="K104" s="27" t="n"/>
      <c r="L104" s="28" t="inlineStr">
        <is>
          <t>No</t>
        </is>
      </c>
      <c r="M104" s="29">
        <f>IF(E104="","",IF(H104="Yes","❌ Disc",IF(G104="No","⚠ Missing",IF(J104="Yes","✓ OK","⚠ Check"))))</f>
        <v/>
      </c>
      <c r="N104" s="43" t="n">
        <v>46139</v>
      </c>
      <c r="O104" s="26" t="inlineStr">
        <is>
          <t>Sunil CR</t>
        </is>
      </c>
      <c r="P104" s="26" t="inlineStr">
        <is>
          <t>Yes</t>
        </is>
      </c>
      <c r="Q104" s="26" t="inlineStr">
        <is>
          <t>No</t>
        </is>
      </c>
      <c r="R104" s="26" t="inlineStr">
        <is>
          <t>Good finish</t>
        </is>
      </c>
      <c r="S104" s="26" t="inlineStr">
        <is>
          <t>Yes</t>
        </is>
      </c>
      <c r="T104" s="27" t="n"/>
      <c r="U104" s="28" t="inlineStr">
        <is>
          <t>No</t>
        </is>
      </c>
      <c r="V104" s="29">
        <f>IF(N104="","",IF(Q104="Yes","❌ Disc",IF(P104="No","⚠ Missing",IF(S104="Yes","✓ OK","⚠ Check"))))</f>
        <v/>
      </c>
      <c r="W104" s="65" t="n">
        <v>46248</v>
      </c>
      <c r="X104" s="30" t="inlineStr">
        <is>
          <t>Sunil CR</t>
        </is>
      </c>
      <c r="Y104" s="30" t="inlineStr">
        <is>
          <t>Yes</t>
        </is>
      </c>
      <c r="Z104" s="30" t="n"/>
      <c r="AA104" s="30" t="inlineStr">
        <is>
          <t>Good finish</t>
        </is>
      </c>
      <c r="AB104" s="30" t="inlineStr">
        <is>
          <t>Yes</t>
        </is>
      </c>
      <c r="AC104" s="27" t="n"/>
      <c r="AD104" s="31" t="inlineStr">
        <is>
          <t>No</t>
        </is>
      </c>
      <c r="AE104" s="32">
        <f>IF(W104="","",IF(Z104="Yes","❌ Disc",IF(Y104="No","⚠ Missing",IF(AB104="Yes","✓ OK","⚠ Check"))))</f>
        <v/>
      </c>
      <c r="AF104" s="33" t="n"/>
      <c r="AG104" s="33" t="n"/>
      <c r="AH104" s="33" t="n"/>
      <c r="AI104" s="33" t="n"/>
      <c r="AJ104" s="33" t="n"/>
      <c r="AK104" s="33" t="n"/>
      <c r="AL104" s="27" t="n"/>
      <c r="AM104" s="34" t="n"/>
      <c r="AN104" s="35">
        <f>IF(AF104="","",IF(AI104="Yes","❌ Disc",IF(AH104="No","⚠ Missing",IF(AK104="Yes","✓ OK","⚠ Check"))))</f>
        <v/>
      </c>
      <c r="AO104" s="36" t="n"/>
      <c r="AP104" s="36" t="n"/>
      <c r="AQ104" s="36" t="n"/>
      <c r="AR104" s="36" t="n"/>
      <c r="AS104" s="36" t="n"/>
      <c r="AT104" s="36" t="n"/>
      <c r="AU104" s="27" t="n"/>
      <c r="AV104" s="37" t="n"/>
      <c r="AW104" s="38">
        <f>IF(AO104="","",IF(AR104="Yes","❌ Disc",IF(AQ104="No","⚠ Missing",IF(AT104="Yes","✓ OK","⚠ Check"))))</f>
        <v/>
      </c>
    </row>
    <row r="105" ht="18" customHeight="1" s="46">
      <c r="A105" s="23" t="n">
        <v>101</v>
      </c>
      <c r="B105" s="24" t="inlineStr">
        <is>
          <t>Aria_708</t>
        </is>
      </c>
      <c r="C105" s="25" t="inlineStr">
        <is>
          <t>Sarom - Aria Fabric(Platinum) - Aria_708</t>
        </is>
      </c>
      <c r="D105" s="23" t="inlineStr">
        <is>
          <t>Sarom</t>
        </is>
      </c>
      <c r="E105" s="43" t="n">
        <v>46125</v>
      </c>
      <c r="F105" s="26" t="inlineStr">
        <is>
          <t>Sunil CR</t>
        </is>
      </c>
      <c r="G105" s="26" t="inlineStr">
        <is>
          <t>Yes</t>
        </is>
      </c>
      <c r="H105" s="26" t="inlineStr">
        <is>
          <t>No</t>
        </is>
      </c>
      <c r="I105" s="26" t="inlineStr">
        <is>
          <t>Good finish</t>
        </is>
      </c>
      <c r="J105" s="26" t="inlineStr">
        <is>
          <t>Yes</t>
        </is>
      </c>
      <c r="K105" s="27" t="n"/>
      <c r="L105" s="28" t="inlineStr">
        <is>
          <t>No</t>
        </is>
      </c>
      <c r="M105" s="29">
        <f>IF(E105="","",IF(H105="Yes","❌ Disc",IF(G105="No","⚠ Missing",IF(J105="Yes","✓ OK","⚠ Check"))))</f>
        <v/>
      </c>
      <c r="N105" s="43" t="n">
        <v>46139</v>
      </c>
      <c r="O105" s="26" t="inlineStr">
        <is>
          <t>Sunil CR</t>
        </is>
      </c>
      <c r="P105" s="26" t="inlineStr">
        <is>
          <t>Yes</t>
        </is>
      </c>
      <c r="Q105" s="26" t="inlineStr">
        <is>
          <t>No</t>
        </is>
      </c>
      <c r="R105" s="26" t="inlineStr">
        <is>
          <t>Good finish</t>
        </is>
      </c>
      <c r="S105" s="26" t="inlineStr">
        <is>
          <t>Yes</t>
        </is>
      </c>
      <c r="T105" s="27" t="n"/>
      <c r="U105" s="28" t="inlineStr">
        <is>
          <t>No</t>
        </is>
      </c>
      <c r="V105" s="29">
        <f>IF(N105="","",IF(Q105="Yes","❌ Disc",IF(P105="No","⚠ Missing",IF(S105="Yes","✓ OK","⚠ Check"))))</f>
        <v/>
      </c>
      <c r="W105" s="65" t="n">
        <v>46248</v>
      </c>
      <c r="X105" s="30" t="inlineStr">
        <is>
          <t>Sunil CR</t>
        </is>
      </c>
      <c r="Y105" s="30" t="inlineStr">
        <is>
          <t>Yes</t>
        </is>
      </c>
      <c r="Z105" s="30" t="n"/>
      <c r="AA105" s="30" t="inlineStr">
        <is>
          <t>Good finish</t>
        </is>
      </c>
      <c r="AB105" s="30" t="inlineStr">
        <is>
          <t>Yes</t>
        </is>
      </c>
      <c r="AC105" s="27" t="n"/>
      <c r="AD105" s="31" t="inlineStr">
        <is>
          <t>No</t>
        </is>
      </c>
      <c r="AE105" s="32">
        <f>IF(W105="","",IF(Z105="Yes","❌ Disc",IF(Y105="No","⚠ Missing",IF(AB105="Yes","✓ OK","⚠ Check"))))</f>
        <v/>
      </c>
      <c r="AF105" s="33" t="n"/>
      <c r="AG105" s="33" t="n"/>
      <c r="AH105" s="33" t="n"/>
      <c r="AI105" s="33" t="n"/>
      <c r="AJ105" s="33" t="n"/>
      <c r="AK105" s="33" t="n"/>
      <c r="AL105" s="27" t="n"/>
      <c r="AM105" s="34" t="n"/>
      <c r="AN105" s="35">
        <f>IF(AF105="","",IF(AI105="Yes","❌ Disc",IF(AH105="No","⚠ Missing",IF(AK105="Yes","✓ OK","⚠ Check"))))</f>
        <v/>
      </c>
      <c r="AO105" s="36" t="n"/>
      <c r="AP105" s="36" t="n"/>
      <c r="AQ105" s="36" t="n"/>
      <c r="AR105" s="36" t="n"/>
      <c r="AS105" s="36" t="n"/>
      <c r="AT105" s="36" t="n"/>
      <c r="AU105" s="27" t="n"/>
      <c r="AV105" s="37" t="n"/>
      <c r="AW105" s="38">
        <f>IF(AO105="","",IF(AR105="Yes","❌ Disc",IF(AQ105="No","⚠ Missing",IF(AT105="Yes","✓ OK","⚠ Check"))))</f>
        <v/>
      </c>
    </row>
    <row r="106" ht="18" customHeight="1" s="46">
      <c r="A106" s="39" t="n">
        <v>102</v>
      </c>
      <c r="B106" s="40" t="inlineStr">
        <is>
          <t>Aria_709</t>
        </is>
      </c>
      <c r="C106" s="41" t="inlineStr">
        <is>
          <t>Sarom - Aria Fabric(Platinum) - Aria_709</t>
        </is>
      </c>
      <c r="D106" s="39" t="inlineStr">
        <is>
          <t>Sarom</t>
        </is>
      </c>
      <c r="E106" s="43" t="n">
        <v>46125</v>
      </c>
      <c r="F106" s="26" t="inlineStr">
        <is>
          <t>Sunil CR</t>
        </is>
      </c>
      <c r="G106" s="26" t="inlineStr">
        <is>
          <t>Yes</t>
        </is>
      </c>
      <c r="H106" s="26" t="inlineStr">
        <is>
          <t>No</t>
        </is>
      </c>
      <c r="I106" s="26" t="inlineStr">
        <is>
          <t>Good finish</t>
        </is>
      </c>
      <c r="J106" s="26" t="inlineStr">
        <is>
          <t>Yes</t>
        </is>
      </c>
      <c r="K106" s="27" t="n"/>
      <c r="L106" s="28" t="inlineStr">
        <is>
          <t>No</t>
        </is>
      </c>
      <c r="M106" s="29">
        <f>IF(E106="","",IF(H106="Yes","❌ Disc",IF(G106="No","⚠ Missing",IF(J106="Yes","✓ OK","⚠ Check"))))</f>
        <v/>
      </c>
      <c r="N106" s="43" t="n">
        <v>46139</v>
      </c>
      <c r="O106" s="26" t="inlineStr">
        <is>
          <t>Sunil CR</t>
        </is>
      </c>
      <c r="P106" s="26" t="inlineStr">
        <is>
          <t>Yes</t>
        </is>
      </c>
      <c r="Q106" s="26" t="inlineStr">
        <is>
          <t>No</t>
        </is>
      </c>
      <c r="R106" s="26" t="inlineStr">
        <is>
          <t>Good finish</t>
        </is>
      </c>
      <c r="S106" s="26" t="inlineStr">
        <is>
          <t>Yes</t>
        </is>
      </c>
      <c r="T106" s="27" t="n"/>
      <c r="U106" s="28" t="inlineStr">
        <is>
          <t>No</t>
        </is>
      </c>
      <c r="V106" s="29">
        <f>IF(N106="","",IF(Q106="Yes","❌ Disc",IF(P106="No","⚠ Missing",IF(S106="Yes","✓ OK","⚠ Check"))))</f>
        <v/>
      </c>
      <c r="W106" s="65" t="n">
        <v>46248</v>
      </c>
      <c r="X106" s="30" t="inlineStr">
        <is>
          <t>Sunil CR</t>
        </is>
      </c>
      <c r="Y106" s="30" t="inlineStr">
        <is>
          <t>Yes</t>
        </is>
      </c>
      <c r="Z106" s="30" t="n"/>
      <c r="AA106" s="30" t="inlineStr">
        <is>
          <t>Good finish</t>
        </is>
      </c>
      <c r="AB106" s="30" t="inlineStr">
        <is>
          <t>Yes</t>
        </is>
      </c>
      <c r="AC106" s="27" t="n"/>
      <c r="AD106" s="31" t="inlineStr">
        <is>
          <t>No</t>
        </is>
      </c>
      <c r="AE106" s="32">
        <f>IF(W106="","",IF(Z106="Yes","❌ Disc",IF(Y106="No","⚠ Missing",IF(AB106="Yes","✓ OK","⚠ Check"))))</f>
        <v/>
      </c>
      <c r="AF106" s="33" t="n"/>
      <c r="AG106" s="33" t="n"/>
      <c r="AH106" s="33" t="n"/>
      <c r="AI106" s="33" t="n"/>
      <c r="AJ106" s="33" t="n"/>
      <c r="AK106" s="33" t="n"/>
      <c r="AL106" s="27" t="n"/>
      <c r="AM106" s="34" t="n"/>
      <c r="AN106" s="35">
        <f>IF(AF106="","",IF(AI106="Yes","❌ Disc",IF(AH106="No","⚠ Missing",IF(AK106="Yes","✓ OK","⚠ Check"))))</f>
        <v/>
      </c>
      <c r="AO106" s="36" t="n"/>
      <c r="AP106" s="36" t="n"/>
      <c r="AQ106" s="36" t="n"/>
      <c r="AR106" s="36" t="n"/>
      <c r="AS106" s="36" t="n"/>
      <c r="AT106" s="36" t="n"/>
      <c r="AU106" s="27" t="n"/>
      <c r="AV106" s="37" t="n"/>
      <c r="AW106" s="38">
        <f>IF(AO106="","",IF(AR106="Yes","❌ Disc",IF(AQ106="No","⚠ Missing",IF(AT106="Yes","✓ OK","⚠ Check"))))</f>
        <v/>
      </c>
    </row>
    <row r="107" ht="18" customHeight="1" s="46">
      <c r="A107" s="23" t="n">
        <v>103</v>
      </c>
      <c r="B107" s="24" t="inlineStr">
        <is>
          <t>Aria_710</t>
        </is>
      </c>
      <c r="C107" s="25" t="inlineStr">
        <is>
          <t>Sarom - Aria Fabric(Platinum) - Aria_710</t>
        </is>
      </c>
      <c r="D107" s="23" t="inlineStr">
        <is>
          <t>Sarom</t>
        </is>
      </c>
      <c r="E107" s="43" t="n">
        <v>46125</v>
      </c>
      <c r="F107" s="26" t="inlineStr">
        <is>
          <t>Sunil CR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Good finish</t>
        </is>
      </c>
      <c r="J107" s="26" t="inlineStr">
        <is>
          <t>Yes</t>
        </is>
      </c>
      <c r="K107" s="27" t="n"/>
      <c r="L107" s="28" t="inlineStr">
        <is>
          <t>No</t>
        </is>
      </c>
      <c r="M107" s="29">
        <f>IF(E107="","",IF(H107="Yes","❌ Disc",IF(G107="No","⚠ Missing",IF(J107="Yes","✓ OK","⚠ Check"))))</f>
        <v/>
      </c>
      <c r="N107" s="43" t="n">
        <v>46139</v>
      </c>
      <c r="O107" s="26" t="inlineStr">
        <is>
          <t>Sunil CR</t>
        </is>
      </c>
      <c r="P107" s="26" t="inlineStr">
        <is>
          <t>Yes</t>
        </is>
      </c>
      <c r="Q107" s="26" t="inlineStr">
        <is>
          <t>No</t>
        </is>
      </c>
      <c r="R107" s="26" t="inlineStr">
        <is>
          <t>Good finish</t>
        </is>
      </c>
      <c r="S107" s="26" t="inlineStr">
        <is>
          <t>Yes</t>
        </is>
      </c>
      <c r="T107" s="27" t="n"/>
      <c r="U107" s="28" t="inlineStr">
        <is>
          <t>No</t>
        </is>
      </c>
      <c r="V107" s="29">
        <f>IF(N107="","",IF(Q107="Yes","❌ Disc",IF(P107="No","⚠ Missing",IF(S107="Yes","✓ OK","⚠ Check"))))</f>
        <v/>
      </c>
      <c r="W107" s="65" t="n">
        <v>46248</v>
      </c>
      <c r="X107" s="30" t="inlineStr">
        <is>
          <t>Sunil CR</t>
        </is>
      </c>
      <c r="Y107" s="30" t="inlineStr">
        <is>
          <t>Yes</t>
        </is>
      </c>
      <c r="Z107" s="30" t="n"/>
      <c r="AA107" s="30" t="inlineStr">
        <is>
          <t>Good finish</t>
        </is>
      </c>
      <c r="AB107" s="30" t="inlineStr">
        <is>
          <t>Yes</t>
        </is>
      </c>
      <c r="AC107" s="27" t="n"/>
      <c r="AD107" s="31" t="inlineStr">
        <is>
          <t>No</t>
        </is>
      </c>
      <c r="AE107" s="32">
        <f>IF(W107="","",IF(Z107="Yes","❌ Disc",IF(Y107="No","⚠ Missing",IF(AB107="Yes","✓ OK","⚠ Check"))))</f>
        <v/>
      </c>
      <c r="AF107" s="33" t="n"/>
      <c r="AG107" s="33" t="n"/>
      <c r="AH107" s="33" t="n"/>
      <c r="AI107" s="33" t="n"/>
      <c r="AJ107" s="33" t="n"/>
      <c r="AK107" s="33" t="n"/>
      <c r="AL107" s="27" t="n"/>
      <c r="AM107" s="34" t="n"/>
      <c r="AN107" s="35">
        <f>IF(AF107="","",IF(AI107="Yes","❌ Disc",IF(AH107="No","⚠ Missing",IF(AK107="Yes","✓ OK","⚠ Check"))))</f>
        <v/>
      </c>
      <c r="AO107" s="36" t="n"/>
      <c r="AP107" s="36" t="n"/>
      <c r="AQ107" s="36" t="n"/>
      <c r="AR107" s="36" t="n"/>
      <c r="AS107" s="36" t="n"/>
      <c r="AT107" s="36" t="n"/>
      <c r="AU107" s="27" t="n"/>
      <c r="AV107" s="37" t="n"/>
      <c r="AW107" s="38">
        <f>IF(AO107="","",IF(AR107="Yes","❌ Disc",IF(AQ107="No","⚠ Missing",IF(AT107="Yes","✓ OK","⚠ Check"))))</f>
        <v/>
      </c>
    </row>
    <row r="108" ht="18" customHeight="1" s="46">
      <c r="A108" s="39" t="n">
        <v>104</v>
      </c>
      <c r="B108" s="40" t="inlineStr">
        <is>
          <t>Aria_711</t>
        </is>
      </c>
      <c r="C108" s="41" t="inlineStr">
        <is>
          <t>Sarom - Aria Fabric(Platinum) - Aria_711</t>
        </is>
      </c>
      <c r="D108" s="39" t="inlineStr">
        <is>
          <t>Sarom</t>
        </is>
      </c>
      <c r="E108" s="43" t="n">
        <v>46125</v>
      </c>
      <c r="F108" s="26" t="inlineStr">
        <is>
          <t>Sunil CR</t>
        </is>
      </c>
      <c r="G108" s="26" t="inlineStr">
        <is>
          <t>Yes</t>
        </is>
      </c>
      <c r="H108" s="26" t="inlineStr">
        <is>
          <t>No</t>
        </is>
      </c>
      <c r="I108" s="26" t="inlineStr">
        <is>
          <t>Good finish</t>
        </is>
      </c>
      <c r="J108" s="26" t="inlineStr">
        <is>
          <t>Yes</t>
        </is>
      </c>
      <c r="K108" s="27" t="n"/>
      <c r="L108" s="28" t="inlineStr">
        <is>
          <t>No</t>
        </is>
      </c>
      <c r="M108" s="29">
        <f>IF(E108="","",IF(H108="Yes","❌ Disc",IF(G108="No","⚠ Missing",IF(J108="Yes","✓ OK","⚠ Check"))))</f>
        <v/>
      </c>
      <c r="N108" s="43" t="n">
        <v>46139</v>
      </c>
      <c r="O108" s="26" t="inlineStr">
        <is>
          <t>Sunil CR</t>
        </is>
      </c>
      <c r="P108" s="26" t="inlineStr">
        <is>
          <t>Yes</t>
        </is>
      </c>
      <c r="Q108" s="26" t="inlineStr">
        <is>
          <t>No</t>
        </is>
      </c>
      <c r="R108" s="26" t="inlineStr">
        <is>
          <t>Good finish</t>
        </is>
      </c>
      <c r="S108" s="26" t="inlineStr">
        <is>
          <t>Yes</t>
        </is>
      </c>
      <c r="T108" s="27" t="n"/>
      <c r="U108" s="28" t="inlineStr">
        <is>
          <t>No</t>
        </is>
      </c>
      <c r="V108" s="29">
        <f>IF(N108="","",IF(Q108="Yes","❌ Disc",IF(P108="No","⚠ Missing",IF(S108="Yes","✓ OK","⚠ Check"))))</f>
        <v/>
      </c>
      <c r="W108" s="65" t="n">
        <v>46248</v>
      </c>
      <c r="X108" s="30" t="inlineStr">
        <is>
          <t>Sunil CR</t>
        </is>
      </c>
      <c r="Y108" s="30" t="inlineStr">
        <is>
          <t>Yes</t>
        </is>
      </c>
      <c r="Z108" s="30" t="n"/>
      <c r="AA108" s="30" t="inlineStr">
        <is>
          <t>Good finish</t>
        </is>
      </c>
      <c r="AB108" s="30" t="inlineStr">
        <is>
          <t>Yes</t>
        </is>
      </c>
      <c r="AC108" s="27" t="n"/>
      <c r="AD108" s="31" t="inlineStr">
        <is>
          <t>No</t>
        </is>
      </c>
      <c r="AE108" s="32">
        <f>IF(W108="","",IF(Z108="Yes","❌ Disc",IF(Y108="No","⚠ Missing",IF(AB108="Yes","✓ OK","⚠ Check"))))</f>
        <v/>
      </c>
      <c r="AF108" s="33" t="n"/>
      <c r="AG108" s="33" t="n"/>
      <c r="AH108" s="33" t="n"/>
      <c r="AI108" s="33" t="n"/>
      <c r="AJ108" s="33" t="n"/>
      <c r="AK108" s="33" t="n"/>
      <c r="AL108" s="27" t="n"/>
      <c r="AM108" s="34" t="n"/>
      <c r="AN108" s="35">
        <f>IF(AF108="","",IF(AI108="Yes","❌ Disc",IF(AH108="No","⚠ Missing",IF(AK108="Yes","✓ OK","⚠ Check"))))</f>
        <v/>
      </c>
      <c r="AO108" s="36" t="n"/>
      <c r="AP108" s="36" t="n"/>
      <c r="AQ108" s="36" t="n"/>
      <c r="AR108" s="36" t="n"/>
      <c r="AS108" s="36" t="n"/>
      <c r="AT108" s="36" t="n"/>
      <c r="AU108" s="27" t="n"/>
      <c r="AV108" s="37" t="n"/>
      <c r="AW108" s="38">
        <f>IF(AO108="","",IF(AR108="Yes","❌ Disc",IF(AQ108="No","⚠ Missing",IF(AT108="Yes","✓ OK","⚠ Check"))))</f>
        <v/>
      </c>
    </row>
    <row r="109" ht="18" customHeight="1" s="46">
      <c r="A109" s="23" t="n">
        <v>105</v>
      </c>
      <c r="B109" s="24" t="inlineStr">
        <is>
          <t>Aria_712</t>
        </is>
      </c>
      <c r="C109" s="25" t="inlineStr">
        <is>
          <t>Sarom - Aria Fabric(Platinum) - Aria_712</t>
        </is>
      </c>
      <c r="D109" s="23" t="inlineStr">
        <is>
          <t>Sarom</t>
        </is>
      </c>
      <c r="E109" s="43" t="n">
        <v>46125</v>
      </c>
      <c r="F109" s="26" t="inlineStr">
        <is>
          <t>Sunil CR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Good finish</t>
        </is>
      </c>
      <c r="J109" s="26" t="inlineStr">
        <is>
          <t>Yes</t>
        </is>
      </c>
      <c r="K109" s="27" t="n"/>
      <c r="L109" s="28" t="inlineStr">
        <is>
          <t>No</t>
        </is>
      </c>
      <c r="M109" s="29">
        <f>IF(E109="","",IF(H109="Yes","❌ Disc",IF(G109="No","⚠ Missing",IF(J109="Yes","✓ OK","⚠ Check"))))</f>
        <v/>
      </c>
      <c r="N109" s="43" t="n">
        <v>46139</v>
      </c>
      <c r="O109" s="26" t="inlineStr">
        <is>
          <t>Sunil CR</t>
        </is>
      </c>
      <c r="P109" s="26" t="inlineStr">
        <is>
          <t>Yes</t>
        </is>
      </c>
      <c r="Q109" s="26" t="inlineStr">
        <is>
          <t>No</t>
        </is>
      </c>
      <c r="R109" s="26" t="inlineStr">
        <is>
          <t>Good finish</t>
        </is>
      </c>
      <c r="S109" s="26" t="inlineStr">
        <is>
          <t>Yes</t>
        </is>
      </c>
      <c r="T109" s="27" t="n"/>
      <c r="U109" s="28" t="inlineStr">
        <is>
          <t>No</t>
        </is>
      </c>
      <c r="V109" s="29">
        <f>IF(N109="","",IF(Q109="Yes","❌ Disc",IF(P109="No","⚠ Missing",IF(S109="Yes","✓ OK","⚠ Check"))))</f>
        <v/>
      </c>
      <c r="W109" s="65" t="n">
        <v>46248</v>
      </c>
      <c r="X109" s="30" t="inlineStr">
        <is>
          <t>Sunil CR</t>
        </is>
      </c>
      <c r="Y109" s="30" t="inlineStr">
        <is>
          <t>Yes</t>
        </is>
      </c>
      <c r="Z109" s="30" t="n"/>
      <c r="AA109" s="30" t="inlineStr">
        <is>
          <t>Good finish</t>
        </is>
      </c>
      <c r="AB109" s="30" t="inlineStr">
        <is>
          <t>Yes</t>
        </is>
      </c>
      <c r="AC109" s="27" t="n"/>
      <c r="AD109" s="31" t="inlineStr">
        <is>
          <t>No</t>
        </is>
      </c>
      <c r="AE109" s="32">
        <f>IF(W109="","",IF(Z109="Yes","❌ Disc",IF(Y109="No","⚠ Missing",IF(AB109="Yes","✓ OK","⚠ Check"))))</f>
        <v/>
      </c>
      <c r="AF109" s="33" t="n"/>
      <c r="AG109" s="33" t="n"/>
      <c r="AH109" s="33" t="n"/>
      <c r="AI109" s="33" t="n"/>
      <c r="AJ109" s="33" t="n"/>
      <c r="AK109" s="33" t="n"/>
      <c r="AL109" s="27" t="n"/>
      <c r="AM109" s="34" t="n"/>
      <c r="AN109" s="35">
        <f>IF(AF109="","",IF(AI109="Yes","❌ Disc",IF(AH109="No","⚠ Missing",IF(AK109="Yes","✓ OK","⚠ Check"))))</f>
        <v/>
      </c>
      <c r="AO109" s="36" t="n"/>
      <c r="AP109" s="36" t="n"/>
      <c r="AQ109" s="36" t="n"/>
      <c r="AR109" s="36" t="n"/>
      <c r="AS109" s="36" t="n"/>
      <c r="AT109" s="36" t="n"/>
      <c r="AU109" s="27" t="n"/>
      <c r="AV109" s="37" t="n"/>
      <c r="AW109" s="38">
        <f>IF(AO109="","",IF(AR109="Yes","❌ Disc",IF(AQ109="No","⚠ Missing",IF(AT109="Yes","✓ OK","⚠ Check"))))</f>
        <v/>
      </c>
    </row>
    <row r="110" ht="18" customHeight="1" s="46">
      <c r="A110" s="39" t="n">
        <v>106</v>
      </c>
      <c r="B110" s="40" t="inlineStr">
        <is>
          <t>Aria_713</t>
        </is>
      </c>
      <c r="C110" s="41" t="inlineStr">
        <is>
          <t>Sarom - Aria Fabric(Platinum) - Aria_713</t>
        </is>
      </c>
      <c r="D110" s="39" t="inlineStr">
        <is>
          <t>Sarom</t>
        </is>
      </c>
      <c r="E110" s="43" t="n">
        <v>46125</v>
      </c>
      <c r="F110" s="26" t="inlineStr">
        <is>
          <t>Sunil CR</t>
        </is>
      </c>
      <c r="G110" s="26" t="inlineStr">
        <is>
          <t>Yes</t>
        </is>
      </c>
      <c r="H110" s="26" t="inlineStr">
        <is>
          <t>No</t>
        </is>
      </c>
      <c r="I110" s="26" t="inlineStr">
        <is>
          <t>Good finish</t>
        </is>
      </c>
      <c r="J110" s="26" t="inlineStr">
        <is>
          <t>Yes</t>
        </is>
      </c>
      <c r="K110" s="27" t="n"/>
      <c r="L110" s="28" t="inlineStr">
        <is>
          <t>No</t>
        </is>
      </c>
      <c r="M110" s="29">
        <f>IF(E110="","",IF(H110="Yes","❌ Disc",IF(G110="No","⚠ Missing",IF(J110="Yes","✓ OK","⚠ Check"))))</f>
        <v/>
      </c>
      <c r="N110" s="43" t="n">
        <v>46139</v>
      </c>
      <c r="O110" s="26" t="inlineStr">
        <is>
          <t>Sunil CR</t>
        </is>
      </c>
      <c r="P110" s="26" t="inlineStr">
        <is>
          <t>Yes</t>
        </is>
      </c>
      <c r="Q110" s="26" t="inlineStr">
        <is>
          <t>No</t>
        </is>
      </c>
      <c r="R110" s="26" t="inlineStr">
        <is>
          <t>Good finish</t>
        </is>
      </c>
      <c r="S110" s="26" t="inlineStr">
        <is>
          <t>Yes</t>
        </is>
      </c>
      <c r="T110" s="27" t="n"/>
      <c r="U110" s="28" t="inlineStr">
        <is>
          <t>No</t>
        </is>
      </c>
      <c r="V110" s="29">
        <f>IF(N110="","",IF(Q110="Yes","❌ Disc",IF(P110="No","⚠ Missing",IF(S110="Yes","✓ OK","⚠ Check"))))</f>
        <v/>
      </c>
      <c r="W110" s="65" t="n">
        <v>46248</v>
      </c>
      <c r="X110" s="30" t="inlineStr">
        <is>
          <t>Sunil CR</t>
        </is>
      </c>
      <c r="Y110" s="30" t="inlineStr">
        <is>
          <t>Yes</t>
        </is>
      </c>
      <c r="Z110" s="30" t="n"/>
      <c r="AA110" s="30" t="inlineStr">
        <is>
          <t>Good finish</t>
        </is>
      </c>
      <c r="AB110" s="30" t="inlineStr">
        <is>
          <t>Yes</t>
        </is>
      </c>
      <c r="AC110" s="27" t="n"/>
      <c r="AD110" s="31" t="inlineStr">
        <is>
          <t>No</t>
        </is>
      </c>
      <c r="AE110" s="32">
        <f>IF(W110="","",IF(Z110="Yes","❌ Disc",IF(Y110="No","⚠ Missing",IF(AB110="Yes","✓ OK","⚠ Check"))))</f>
        <v/>
      </c>
      <c r="AF110" s="33" t="n"/>
      <c r="AG110" s="33" t="n"/>
      <c r="AH110" s="33" t="n"/>
      <c r="AI110" s="33" t="n"/>
      <c r="AJ110" s="33" t="n"/>
      <c r="AK110" s="33" t="n"/>
      <c r="AL110" s="27" t="n"/>
      <c r="AM110" s="34" t="n"/>
      <c r="AN110" s="35">
        <f>IF(AF110="","",IF(AI110="Yes","❌ Disc",IF(AH110="No","⚠ Missing",IF(AK110="Yes","✓ OK","⚠ Check"))))</f>
        <v/>
      </c>
      <c r="AO110" s="36" t="n"/>
      <c r="AP110" s="36" t="n"/>
      <c r="AQ110" s="36" t="n"/>
      <c r="AR110" s="36" t="n"/>
      <c r="AS110" s="36" t="n"/>
      <c r="AT110" s="36" t="n"/>
      <c r="AU110" s="27" t="n"/>
      <c r="AV110" s="37" t="n"/>
      <c r="AW110" s="38">
        <f>IF(AO110="","",IF(AR110="Yes","❌ Disc",IF(AQ110="No","⚠ Missing",IF(AT110="Yes","✓ OK","⚠ Check"))))</f>
        <v/>
      </c>
    </row>
    <row r="111" ht="18" customHeight="1" s="46">
      <c r="A111" s="23" t="n">
        <v>107</v>
      </c>
      <c r="B111" s="24" t="inlineStr">
        <is>
          <t>Aria_714</t>
        </is>
      </c>
      <c r="C111" s="25" t="inlineStr">
        <is>
          <t>Sarom - Aria Fabric(Platinum) - Aria_714</t>
        </is>
      </c>
      <c r="D111" s="23" t="inlineStr">
        <is>
          <t>Sarom</t>
        </is>
      </c>
      <c r="E111" s="43" t="n">
        <v>46125</v>
      </c>
      <c r="F111" s="26" t="inlineStr">
        <is>
          <t>Sunil CR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Good finish</t>
        </is>
      </c>
      <c r="J111" s="26" t="inlineStr">
        <is>
          <t>Yes</t>
        </is>
      </c>
      <c r="K111" s="27" t="n"/>
      <c r="L111" s="28" t="inlineStr">
        <is>
          <t>No</t>
        </is>
      </c>
      <c r="M111" s="29">
        <f>IF(E111="","",IF(H111="Yes","❌ Disc",IF(G111="No","⚠ Missing",IF(J111="Yes","✓ OK","⚠ Check"))))</f>
        <v/>
      </c>
      <c r="N111" s="43" t="n">
        <v>46139</v>
      </c>
      <c r="O111" s="26" t="inlineStr">
        <is>
          <t>Sunil CR</t>
        </is>
      </c>
      <c r="P111" s="26" t="inlineStr">
        <is>
          <t>Yes</t>
        </is>
      </c>
      <c r="Q111" s="26" t="inlineStr">
        <is>
          <t>No</t>
        </is>
      </c>
      <c r="R111" s="26" t="inlineStr">
        <is>
          <t>Good finish</t>
        </is>
      </c>
      <c r="S111" s="26" t="inlineStr">
        <is>
          <t>Yes</t>
        </is>
      </c>
      <c r="T111" s="27" t="n"/>
      <c r="U111" s="28" t="inlineStr">
        <is>
          <t>No</t>
        </is>
      </c>
      <c r="V111" s="29">
        <f>IF(N111="","",IF(Q111="Yes","❌ Disc",IF(P111="No","⚠ Missing",IF(S111="Yes","✓ OK","⚠ Check"))))</f>
        <v/>
      </c>
      <c r="W111" s="65" t="n">
        <v>46248</v>
      </c>
      <c r="X111" s="30" t="inlineStr">
        <is>
          <t>Sunil CR</t>
        </is>
      </c>
      <c r="Y111" s="30" t="inlineStr">
        <is>
          <t>Yes</t>
        </is>
      </c>
      <c r="Z111" s="30" t="n"/>
      <c r="AA111" s="30" t="inlineStr">
        <is>
          <t>Good finish</t>
        </is>
      </c>
      <c r="AB111" s="30" t="inlineStr">
        <is>
          <t>Yes</t>
        </is>
      </c>
      <c r="AC111" s="27" t="n"/>
      <c r="AD111" s="31" t="inlineStr">
        <is>
          <t>No</t>
        </is>
      </c>
      <c r="AE111" s="32">
        <f>IF(W111="","",IF(Z111="Yes","❌ Disc",IF(Y111="No","⚠ Missing",IF(AB111="Yes","✓ OK","⚠ Check"))))</f>
        <v/>
      </c>
      <c r="AF111" s="33" t="n"/>
      <c r="AG111" s="33" t="n"/>
      <c r="AH111" s="33" t="n"/>
      <c r="AI111" s="33" t="n"/>
      <c r="AJ111" s="33" t="n"/>
      <c r="AK111" s="33" t="n"/>
      <c r="AL111" s="27" t="n"/>
      <c r="AM111" s="34" t="n"/>
      <c r="AN111" s="35">
        <f>IF(AF111="","",IF(AI111="Yes","❌ Disc",IF(AH111="No","⚠ Missing",IF(AK111="Yes","✓ OK","⚠ Check"))))</f>
        <v/>
      </c>
      <c r="AO111" s="36" t="n"/>
      <c r="AP111" s="36" t="n"/>
      <c r="AQ111" s="36" t="n"/>
      <c r="AR111" s="36" t="n"/>
      <c r="AS111" s="36" t="n"/>
      <c r="AT111" s="36" t="n"/>
      <c r="AU111" s="27" t="n"/>
      <c r="AV111" s="37" t="n"/>
      <c r="AW111" s="38">
        <f>IF(AO111="","",IF(AR111="Yes","❌ Disc",IF(AQ111="No","⚠ Missing",IF(AT111="Yes","✓ OK","⚠ Check"))))</f>
        <v/>
      </c>
    </row>
    <row r="112" ht="18" customHeight="1" s="46">
      <c r="A112" s="39" t="n">
        <v>108</v>
      </c>
      <c r="B112" s="40" t="inlineStr">
        <is>
          <t>Aria_715</t>
        </is>
      </c>
      <c r="C112" s="41" t="inlineStr">
        <is>
          <t>Sarom - Aria Fabric(Platinum) - Aria_715</t>
        </is>
      </c>
      <c r="D112" s="39" t="inlineStr">
        <is>
          <t>Sarom</t>
        </is>
      </c>
      <c r="E112" s="43" t="n">
        <v>46125</v>
      </c>
      <c r="F112" s="26" t="inlineStr">
        <is>
          <t>Sunil CR</t>
        </is>
      </c>
      <c r="G112" s="26" t="inlineStr">
        <is>
          <t>Yes</t>
        </is>
      </c>
      <c r="H112" s="26" t="inlineStr">
        <is>
          <t>No</t>
        </is>
      </c>
      <c r="I112" s="26" t="inlineStr">
        <is>
          <t>Good finish</t>
        </is>
      </c>
      <c r="J112" s="26" t="inlineStr">
        <is>
          <t>Yes</t>
        </is>
      </c>
      <c r="K112" s="27" t="n"/>
      <c r="L112" s="28" t="inlineStr">
        <is>
          <t>No</t>
        </is>
      </c>
      <c r="M112" s="29">
        <f>IF(E112="","",IF(H112="Yes","❌ Disc",IF(G112="No","⚠ Missing",IF(J112="Yes","✓ OK","⚠ Check"))))</f>
        <v/>
      </c>
      <c r="N112" s="43" t="n">
        <v>46139</v>
      </c>
      <c r="O112" s="26" t="inlineStr">
        <is>
          <t>Sunil CR</t>
        </is>
      </c>
      <c r="P112" s="26" t="inlineStr">
        <is>
          <t>Yes</t>
        </is>
      </c>
      <c r="Q112" s="26" t="inlineStr">
        <is>
          <t>No</t>
        </is>
      </c>
      <c r="R112" s="26" t="inlineStr">
        <is>
          <t>Good finish</t>
        </is>
      </c>
      <c r="S112" s="26" t="inlineStr">
        <is>
          <t>Yes</t>
        </is>
      </c>
      <c r="T112" s="27" t="n"/>
      <c r="U112" s="28" t="inlineStr">
        <is>
          <t>No</t>
        </is>
      </c>
      <c r="V112" s="29">
        <f>IF(N112="","",IF(Q112="Yes","❌ Disc",IF(P112="No","⚠ Missing",IF(S112="Yes","✓ OK","⚠ Check"))))</f>
        <v/>
      </c>
      <c r="W112" s="65" t="n">
        <v>46248</v>
      </c>
      <c r="X112" s="30" t="inlineStr">
        <is>
          <t>Sunil CR</t>
        </is>
      </c>
      <c r="Y112" s="30" t="inlineStr">
        <is>
          <t>Yes</t>
        </is>
      </c>
      <c r="Z112" s="30" t="n"/>
      <c r="AA112" s="30" t="inlineStr">
        <is>
          <t>Good finish</t>
        </is>
      </c>
      <c r="AB112" s="30" t="inlineStr">
        <is>
          <t>Yes</t>
        </is>
      </c>
      <c r="AC112" s="27" t="n"/>
      <c r="AD112" s="31" t="inlineStr">
        <is>
          <t>No</t>
        </is>
      </c>
      <c r="AE112" s="32">
        <f>IF(W112="","",IF(Z112="Yes","❌ Disc",IF(Y112="No","⚠ Missing",IF(AB112="Yes","✓ OK","⚠ Check"))))</f>
        <v/>
      </c>
      <c r="AF112" s="33" t="n"/>
      <c r="AG112" s="33" t="n"/>
      <c r="AH112" s="33" t="n"/>
      <c r="AI112" s="33" t="n"/>
      <c r="AJ112" s="33" t="n"/>
      <c r="AK112" s="33" t="n"/>
      <c r="AL112" s="27" t="n"/>
      <c r="AM112" s="34" t="n"/>
      <c r="AN112" s="35">
        <f>IF(AF112="","",IF(AI112="Yes","❌ Disc",IF(AH112="No","⚠ Missing",IF(AK112="Yes","✓ OK","⚠ Check"))))</f>
        <v/>
      </c>
      <c r="AO112" s="36" t="n"/>
      <c r="AP112" s="36" t="n"/>
      <c r="AQ112" s="36" t="n"/>
      <c r="AR112" s="36" t="n"/>
      <c r="AS112" s="36" t="n"/>
      <c r="AT112" s="36" t="n"/>
      <c r="AU112" s="27" t="n"/>
      <c r="AV112" s="37" t="n"/>
      <c r="AW112" s="38">
        <f>IF(AO112="","",IF(AR112="Yes","❌ Disc",IF(AQ112="No","⚠ Missing",IF(AT112="Yes","✓ OK","⚠ Check"))))</f>
        <v/>
      </c>
    </row>
    <row r="113" ht="18" customHeight="1" s="46">
      <c r="A113" s="23" t="n">
        <v>109</v>
      </c>
      <c r="B113" s="24" t="inlineStr">
        <is>
          <t>Aria_716</t>
        </is>
      </c>
      <c r="C113" s="25" t="inlineStr">
        <is>
          <t>Sarom - Aria Fabric(Platinum) - Aria_716</t>
        </is>
      </c>
      <c r="D113" s="23" t="inlineStr">
        <is>
          <t>Sarom</t>
        </is>
      </c>
      <c r="E113" s="43" t="n">
        <v>46125</v>
      </c>
      <c r="F113" s="26" t="inlineStr">
        <is>
          <t>Sunil CR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Good finish</t>
        </is>
      </c>
      <c r="J113" s="26" t="inlineStr">
        <is>
          <t>Yes</t>
        </is>
      </c>
      <c r="K113" s="27" t="n"/>
      <c r="L113" s="28" t="inlineStr">
        <is>
          <t>No</t>
        </is>
      </c>
      <c r="M113" s="29">
        <f>IF(E113="","",IF(H113="Yes","❌ Disc",IF(G113="No","⚠ Missing",IF(J113="Yes","✓ OK","⚠ Check"))))</f>
        <v/>
      </c>
      <c r="N113" s="43" t="n">
        <v>46139</v>
      </c>
      <c r="O113" s="26" t="inlineStr">
        <is>
          <t>Sunil CR</t>
        </is>
      </c>
      <c r="P113" s="26" t="inlineStr">
        <is>
          <t>Yes</t>
        </is>
      </c>
      <c r="Q113" s="26" t="inlineStr">
        <is>
          <t>No</t>
        </is>
      </c>
      <c r="R113" s="26" t="inlineStr">
        <is>
          <t>Good finish</t>
        </is>
      </c>
      <c r="S113" s="26" t="inlineStr">
        <is>
          <t>Yes</t>
        </is>
      </c>
      <c r="T113" s="27" t="n"/>
      <c r="U113" s="28" t="inlineStr">
        <is>
          <t>No</t>
        </is>
      </c>
      <c r="V113" s="29">
        <f>IF(N113="","",IF(Q113="Yes","❌ Disc",IF(P113="No","⚠ Missing",IF(S113="Yes","✓ OK","⚠ Check"))))</f>
        <v/>
      </c>
      <c r="W113" s="65" t="n">
        <v>46248</v>
      </c>
      <c r="X113" s="30" t="inlineStr">
        <is>
          <t>Sunil CR</t>
        </is>
      </c>
      <c r="Y113" s="30" t="inlineStr">
        <is>
          <t>Yes</t>
        </is>
      </c>
      <c r="Z113" s="30" t="n"/>
      <c r="AA113" s="30" t="inlineStr">
        <is>
          <t>Good finish</t>
        </is>
      </c>
      <c r="AB113" s="30" t="inlineStr">
        <is>
          <t>Yes</t>
        </is>
      </c>
      <c r="AC113" s="27" t="n"/>
      <c r="AD113" s="31" t="inlineStr">
        <is>
          <t>No</t>
        </is>
      </c>
      <c r="AE113" s="32">
        <f>IF(W113="","",IF(Z113="Yes","❌ Disc",IF(Y113="No","⚠ Missing",IF(AB113="Yes","✓ OK","⚠ Check"))))</f>
        <v/>
      </c>
      <c r="AF113" s="33" t="n"/>
      <c r="AG113" s="33" t="n"/>
      <c r="AH113" s="33" t="n"/>
      <c r="AI113" s="33" t="n"/>
      <c r="AJ113" s="33" t="n"/>
      <c r="AK113" s="33" t="n"/>
      <c r="AL113" s="27" t="n"/>
      <c r="AM113" s="34" t="n"/>
      <c r="AN113" s="35">
        <f>IF(AF113="","",IF(AI113="Yes","❌ Disc",IF(AH113="No","⚠ Missing",IF(AK113="Yes","✓ OK","⚠ Check"))))</f>
        <v/>
      </c>
      <c r="AO113" s="36" t="n"/>
      <c r="AP113" s="36" t="n"/>
      <c r="AQ113" s="36" t="n"/>
      <c r="AR113" s="36" t="n"/>
      <c r="AS113" s="36" t="n"/>
      <c r="AT113" s="36" t="n"/>
      <c r="AU113" s="27" t="n"/>
      <c r="AV113" s="37" t="n"/>
      <c r="AW113" s="38">
        <f>IF(AO113="","",IF(AR113="Yes","❌ Disc",IF(AQ113="No","⚠ Missing",IF(AT113="Yes","✓ OK","⚠ Check"))))</f>
        <v/>
      </c>
    </row>
    <row r="114" ht="18" customHeight="1" s="46">
      <c r="A114" s="39" t="n">
        <v>110</v>
      </c>
      <c r="B114" s="40" t="inlineStr">
        <is>
          <t>Aria_717</t>
        </is>
      </c>
      <c r="C114" s="41" t="inlineStr">
        <is>
          <t>Sarom - Aria Fabric(Platinum) - Aria_717</t>
        </is>
      </c>
      <c r="D114" s="39" t="inlineStr">
        <is>
          <t>Sarom</t>
        </is>
      </c>
      <c r="E114" s="43" t="n">
        <v>46125</v>
      </c>
      <c r="F114" s="26" t="inlineStr">
        <is>
          <t>Sunil CR</t>
        </is>
      </c>
      <c r="G114" s="26" t="inlineStr">
        <is>
          <t>Yes</t>
        </is>
      </c>
      <c r="H114" s="26" t="inlineStr">
        <is>
          <t>No</t>
        </is>
      </c>
      <c r="I114" s="26" t="inlineStr">
        <is>
          <t>Good finish</t>
        </is>
      </c>
      <c r="J114" s="26" t="inlineStr">
        <is>
          <t>Yes</t>
        </is>
      </c>
      <c r="K114" s="27" t="n"/>
      <c r="L114" s="28" t="inlineStr">
        <is>
          <t>No</t>
        </is>
      </c>
      <c r="M114" s="29">
        <f>IF(E114="","",IF(H114="Yes","❌ Disc",IF(G114="No","⚠ Missing",IF(J114="Yes","✓ OK","⚠ Check"))))</f>
        <v/>
      </c>
      <c r="N114" s="43" t="n">
        <v>46139</v>
      </c>
      <c r="O114" s="26" t="inlineStr">
        <is>
          <t>Sunil CR</t>
        </is>
      </c>
      <c r="P114" s="26" t="inlineStr">
        <is>
          <t>Yes</t>
        </is>
      </c>
      <c r="Q114" s="26" t="inlineStr">
        <is>
          <t>No</t>
        </is>
      </c>
      <c r="R114" s="26" t="inlineStr">
        <is>
          <t>Good finish</t>
        </is>
      </c>
      <c r="S114" s="26" t="inlineStr">
        <is>
          <t>Yes</t>
        </is>
      </c>
      <c r="T114" s="27" t="n"/>
      <c r="U114" s="28" t="inlineStr">
        <is>
          <t>No</t>
        </is>
      </c>
      <c r="V114" s="29">
        <f>IF(N114="","",IF(Q114="Yes","❌ Disc",IF(P114="No","⚠ Missing",IF(S114="Yes","✓ OK","⚠ Check"))))</f>
        <v/>
      </c>
      <c r="W114" s="65" t="n">
        <v>46248</v>
      </c>
      <c r="X114" s="30" t="inlineStr">
        <is>
          <t>Sunil CR</t>
        </is>
      </c>
      <c r="Y114" s="30" t="inlineStr">
        <is>
          <t>Yes</t>
        </is>
      </c>
      <c r="Z114" s="30" t="n"/>
      <c r="AA114" s="30" t="inlineStr">
        <is>
          <t>Good finish</t>
        </is>
      </c>
      <c r="AB114" s="30" t="inlineStr">
        <is>
          <t>Yes</t>
        </is>
      </c>
      <c r="AC114" s="27" t="n"/>
      <c r="AD114" s="31" t="inlineStr">
        <is>
          <t>No</t>
        </is>
      </c>
      <c r="AE114" s="32">
        <f>IF(W114="","",IF(Z114="Yes","❌ Disc",IF(Y114="No","⚠ Missing",IF(AB114="Yes","✓ OK","⚠ Check"))))</f>
        <v/>
      </c>
      <c r="AF114" s="33" t="n"/>
      <c r="AG114" s="33" t="n"/>
      <c r="AH114" s="33" t="n"/>
      <c r="AI114" s="33" t="n"/>
      <c r="AJ114" s="33" t="n"/>
      <c r="AK114" s="33" t="n"/>
      <c r="AL114" s="27" t="n"/>
      <c r="AM114" s="34" t="n"/>
      <c r="AN114" s="35">
        <f>IF(AF114="","",IF(AI114="Yes","❌ Disc",IF(AH114="No","⚠ Missing",IF(AK114="Yes","✓ OK","⚠ Check"))))</f>
        <v/>
      </c>
      <c r="AO114" s="36" t="n"/>
      <c r="AP114" s="36" t="n"/>
      <c r="AQ114" s="36" t="n"/>
      <c r="AR114" s="36" t="n"/>
      <c r="AS114" s="36" t="n"/>
      <c r="AT114" s="36" t="n"/>
      <c r="AU114" s="27" t="n"/>
      <c r="AV114" s="37" t="n"/>
      <c r="AW114" s="38">
        <f>IF(AO114="","",IF(AR114="Yes","❌ Disc",IF(AQ114="No","⚠ Missing",IF(AT114="Yes","✓ OK","⚠ Check"))))</f>
        <v/>
      </c>
    </row>
    <row r="115" ht="18" customHeight="1" s="46">
      <c r="A115" s="23" t="n">
        <v>111</v>
      </c>
      <c r="B115" s="24" t="inlineStr">
        <is>
          <t>Aria_718</t>
        </is>
      </c>
      <c r="C115" s="25" t="inlineStr">
        <is>
          <t>Sarom - Aria Fabric(Platinum) - Aria_718</t>
        </is>
      </c>
      <c r="D115" s="23" t="inlineStr">
        <is>
          <t>Sarom</t>
        </is>
      </c>
      <c r="E115" s="43" t="n">
        <v>46125</v>
      </c>
      <c r="F115" s="26" t="inlineStr">
        <is>
          <t>Sunil CR</t>
        </is>
      </c>
      <c r="G115" s="26" t="inlineStr">
        <is>
          <t>Yes</t>
        </is>
      </c>
      <c r="H115" s="26" t="inlineStr">
        <is>
          <t>No</t>
        </is>
      </c>
      <c r="I115" s="26" t="inlineStr">
        <is>
          <t>Good finish</t>
        </is>
      </c>
      <c r="J115" s="26" t="inlineStr">
        <is>
          <t>Yes</t>
        </is>
      </c>
      <c r="K115" s="27" t="n"/>
      <c r="L115" s="28" t="inlineStr">
        <is>
          <t>No</t>
        </is>
      </c>
      <c r="M115" s="29">
        <f>IF(E115="","",IF(H115="Yes","❌ Disc",IF(G115="No","⚠ Missing",IF(J115="Yes","✓ OK","⚠ Check"))))</f>
        <v/>
      </c>
      <c r="N115" s="43" t="n">
        <v>46139</v>
      </c>
      <c r="O115" s="26" t="inlineStr">
        <is>
          <t>Sunil CR</t>
        </is>
      </c>
      <c r="P115" s="26" t="inlineStr">
        <is>
          <t>Yes</t>
        </is>
      </c>
      <c r="Q115" s="26" t="inlineStr">
        <is>
          <t>No</t>
        </is>
      </c>
      <c r="R115" s="26" t="inlineStr">
        <is>
          <t>Good finish</t>
        </is>
      </c>
      <c r="S115" s="26" t="inlineStr">
        <is>
          <t>Yes</t>
        </is>
      </c>
      <c r="T115" s="27" t="n"/>
      <c r="U115" s="28" t="inlineStr">
        <is>
          <t>No</t>
        </is>
      </c>
      <c r="V115" s="29">
        <f>IF(N115="","",IF(Q115="Yes","❌ Disc",IF(P115="No","⚠ Missing",IF(S115="Yes","✓ OK","⚠ Check"))))</f>
        <v/>
      </c>
      <c r="W115" s="65" t="n">
        <v>46248</v>
      </c>
      <c r="X115" s="30" t="inlineStr">
        <is>
          <t>Sunil CR</t>
        </is>
      </c>
      <c r="Y115" s="30" t="inlineStr">
        <is>
          <t>Yes</t>
        </is>
      </c>
      <c r="Z115" s="30" t="n"/>
      <c r="AA115" s="30" t="inlineStr">
        <is>
          <t>Good finish</t>
        </is>
      </c>
      <c r="AB115" s="30" t="inlineStr">
        <is>
          <t>Yes</t>
        </is>
      </c>
      <c r="AC115" s="27" t="n"/>
      <c r="AD115" s="31" t="inlineStr">
        <is>
          <t>No</t>
        </is>
      </c>
      <c r="AE115" s="32">
        <f>IF(W115="","",IF(Z115="Yes","❌ Disc",IF(Y115="No","⚠ Missing",IF(AB115="Yes","✓ OK","⚠ Check"))))</f>
        <v/>
      </c>
      <c r="AF115" s="33" t="n"/>
      <c r="AG115" s="33" t="n"/>
      <c r="AH115" s="33" t="n"/>
      <c r="AI115" s="33" t="n"/>
      <c r="AJ115" s="33" t="n"/>
      <c r="AK115" s="33" t="n"/>
      <c r="AL115" s="27" t="n"/>
      <c r="AM115" s="34" t="n"/>
      <c r="AN115" s="35">
        <f>IF(AF115="","",IF(AI115="Yes","❌ Disc",IF(AH115="No","⚠ Missing",IF(AK115="Yes","✓ OK","⚠ Check"))))</f>
        <v/>
      </c>
      <c r="AO115" s="36" t="n"/>
      <c r="AP115" s="36" t="n"/>
      <c r="AQ115" s="36" t="n"/>
      <c r="AR115" s="36" t="n"/>
      <c r="AS115" s="36" t="n"/>
      <c r="AT115" s="36" t="n"/>
      <c r="AU115" s="27" t="n"/>
      <c r="AV115" s="37" t="n"/>
      <c r="AW115" s="38">
        <f>IF(AO115="","",IF(AR115="Yes","❌ Disc",IF(AQ115="No","⚠ Missing",IF(AT115="Yes","✓ OK","⚠ Check"))))</f>
        <v/>
      </c>
    </row>
    <row r="116" ht="18" customHeight="1" s="46">
      <c r="A116" s="39" t="n">
        <v>112</v>
      </c>
      <c r="B116" s="40" t="inlineStr">
        <is>
          <t>Asaba_701</t>
        </is>
      </c>
      <c r="C116" s="41" t="inlineStr">
        <is>
          <t>Sarom - Asaba Fabric(Diamond) - Asaba_701</t>
        </is>
      </c>
      <c r="D116" s="39" t="inlineStr">
        <is>
          <t>Sarom</t>
        </is>
      </c>
      <c r="E116" s="43" t="n">
        <v>46125</v>
      </c>
      <c r="F116" s="26" t="inlineStr">
        <is>
          <t>Sunil CR</t>
        </is>
      </c>
      <c r="G116" s="26" t="inlineStr">
        <is>
          <t>Yes</t>
        </is>
      </c>
      <c r="H116" s="26" t="inlineStr">
        <is>
          <t>No</t>
        </is>
      </c>
      <c r="I116" s="26" t="inlineStr">
        <is>
          <t>Good finish</t>
        </is>
      </c>
      <c r="J116" s="26" t="inlineStr">
        <is>
          <t>Yes</t>
        </is>
      </c>
      <c r="K116" s="27" t="n"/>
      <c r="L116" s="28" t="inlineStr">
        <is>
          <t>No</t>
        </is>
      </c>
      <c r="M116" s="29">
        <f>IF(E116="","",IF(H116="Yes","❌ Disc",IF(G116="No","⚠ Missing",IF(J116="Yes","✓ OK","⚠ Check"))))</f>
        <v/>
      </c>
      <c r="N116" s="43" t="n">
        <v>46139</v>
      </c>
      <c r="O116" s="26" t="inlineStr">
        <is>
          <t>Sunil CR</t>
        </is>
      </c>
      <c r="P116" s="26" t="inlineStr">
        <is>
          <t>Yes</t>
        </is>
      </c>
      <c r="Q116" s="26" t="inlineStr">
        <is>
          <t>No</t>
        </is>
      </c>
      <c r="R116" s="26" t="inlineStr">
        <is>
          <t>Good finish</t>
        </is>
      </c>
      <c r="S116" s="26" t="inlineStr">
        <is>
          <t>Yes</t>
        </is>
      </c>
      <c r="T116" s="27" t="n"/>
      <c r="U116" s="28" t="inlineStr">
        <is>
          <t>No</t>
        </is>
      </c>
      <c r="V116" s="29">
        <f>IF(N116="","",IF(Q116="Yes","❌ Disc",IF(P116="No","⚠ Missing",IF(S116="Yes","✓ OK","⚠ Check"))))</f>
        <v/>
      </c>
      <c r="W116" s="65" t="n">
        <v>46248</v>
      </c>
      <c r="X116" s="30" t="inlineStr">
        <is>
          <t>Sunil CR</t>
        </is>
      </c>
      <c r="Y116" s="30" t="inlineStr">
        <is>
          <t>Yes</t>
        </is>
      </c>
      <c r="Z116" s="30" t="n"/>
      <c r="AA116" s="30" t="inlineStr">
        <is>
          <t>Good finish</t>
        </is>
      </c>
      <c r="AB116" s="30" t="inlineStr">
        <is>
          <t>Yes</t>
        </is>
      </c>
      <c r="AC116" s="27" t="n"/>
      <c r="AD116" s="31" t="inlineStr">
        <is>
          <t>No</t>
        </is>
      </c>
      <c r="AE116" s="32">
        <f>IF(W116="","",IF(Z116="Yes","❌ Disc",IF(Y116="No","⚠ Missing",IF(AB116="Yes","✓ OK","⚠ Check"))))</f>
        <v/>
      </c>
      <c r="AF116" s="33" t="n"/>
      <c r="AG116" s="33" t="n"/>
      <c r="AH116" s="33" t="n"/>
      <c r="AI116" s="33" t="n"/>
      <c r="AJ116" s="33" t="n"/>
      <c r="AK116" s="33" t="n"/>
      <c r="AL116" s="27" t="n"/>
      <c r="AM116" s="34" t="n"/>
      <c r="AN116" s="35">
        <f>IF(AF116="","",IF(AI116="Yes","❌ Disc",IF(AH116="No","⚠ Missing",IF(AK116="Yes","✓ OK","⚠ Check"))))</f>
        <v/>
      </c>
      <c r="AO116" s="36" t="n"/>
      <c r="AP116" s="36" t="n"/>
      <c r="AQ116" s="36" t="n"/>
      <c r="AR116" s="36" t="n"/>
      <c r="AS116" s="36" t="n"/>
      <c r="AT116" s="36" t="n"/>
      <c r="AU116" s="27" t="n"/>
      <c r="AV116" s="37" t="n"/>
      <c r="AW116" s="38">
        <f>IF(AO116="","",IF(AR116="Yes","❌ Disc",IF(AQ116="No","⚠ Missing",IF(AT116="Yes","✓ OK","⚠ Check"))))</f>
        <v/>
      </c>
    </row>
    <row r="117" ht="18" customHeight="1" s="46">
      <c r="A117" s="23" t="n">
        <v>113</v>
      </c>
      <c r="B117" s="24" t="inlineStr">
        <is>
          <t>Asaba_702</t>
        </is>
      </c>
      <c r="C117" s="25" t="inlineStr">
        <is>
          <t>Sarom - Asaba Fabric(Diamond) - Asaba_702</t>
        </is>
      </c>
      <c r="D117" s="23" t="inlineStr">
        <is>
          <t>Sarom</t>
        </is>
      </c>
      <c r="E117" s="43" t="n">
        <v>46125</v>
      </c>
      <c r="F117" s="26" t="inlineStr">
        <is>
          <t>Sunil CR</t>
        </is>
      </c>
      <c r="G117" s="26" t="inlineStr">
        <is>
          <t>Yes</t>
        </is>
      </c>
      <c r="H117" s="26" t="inlineStr">
        <is>
          <t>No</t>
        </is>
      </c>
      <c r="I117" s="26" t="inlineStr">
        <is>
          <t>Good finish</t>
        </is>
      </c>
      <c r="J117" s="26" t="inlineStr">
        <is>
          <t>Yes</t>
        </is>
      </c>
      <c r="K117" s="27" t="n"/>
      <c r="L117" s="28" t="inlineStr">
        <is>
          <t>No</t>
        </is>
      </c>
      <c r="M117" s="29">
        <f>IF(E117="","",IF(H117="Yes","❌ Disc",IF(G117="No","⚠ Missing",IF(J117="Yes","✓ OK","⚠ Check"))))</f>
        <v/>
      </c>
      <c r="N117" s="43" t="n">
        <v>46139</v>
      </c>
      <c r="O117" s="26" t="inlineStr">
        <is>
          <t>Sunil CR</t>
        </is>
      </c>
      <c r="P117" s="26" t="inlineStr">
        <is>
          <t>Yes</t>
        </is>
      </c>
      <c r="Q117" s="26" t="inlineStr">
        <is>
          <t>No</t>
        </is>
      </c>
      <c r="R117" s="26" t="inlineStr">
        <is>
          <t>Good finish</t>
        </is>
      </c>
      <c r="S117" s="26" t="inlineStr">
        <is>
          <t>Yes</t>
        </is>
      </c>
      <c r="T117" s="27" t="n"/>
      <c r="U117" s="28" t="inlineStr">
        <is>
          <t>No</t>
        </is>
      </c>
      <c r="V117" s="29">
        <f>IF(N117="","",IF(Q117="Yes","❌ Disc",IF(P117="No","⚠ Missing",IF(S117="Yes","✓ OK","⚠ Check"))))</f>
        <v/>
      </c>
      <c r="W117" s="65" t="n">
        <v>46248</v>
      </c>
      <c r="X117" s="30" t="inlineStr">
        <is>
          <t>Sunil CR</t>
        </is>
      </c>
      <c r="Y117" s="30" t="inlineStr">
        <is>
          <t>Yes</t>
        </is>
      </c>
      <c r="Z117" s="30" t="n"/>
      <c r="AA117" s="30" t="inlineStr">
        <is>
          <t>Good finish</t>
        </is>
      </c>
      <c r="AB117" s="30" t="inlineStr">
        <is>
          <t>Yes</t>
        </is>
      </c>
      <c r="AC117" s="27" t="n"/>
      <c r="AD117" s="31" t="inlineStr">
        <is>
          <t>No</t>
        </is>
      </c>
      <c r="AE117" s="32">
        <f>IF(W117="","",IF(Z117="Yes","❌ Disc",IF(Y117="No","⚠ Missing",IF(AB117="Yes","✓ OK","⚠ Check"))))</f>
        <v/>
      </c>
      <c r="AF117" s="33" t="n"/>
      <c r="AG117" s="33" t="n"/>
      <c r="AH117" s="33" t="n"/>
      <c r="AI117" s="33" t="n"/>
      <c r="AJ117" s="33" t="n"/>
      <c r="AK117" s="33" t="n"/>
      <c r="AL117" s="27" t="n"/>
      <c r="AM117" s="34" t="n"/>
      <c r="AN117" s="35">
        <f>IF(AF117="","",IF(AI117="Yes","❌ Disc",IF(AH117="No","⚠ Missing",IF(AK117="Yes","✓ OK","⚠ Check"))))</f>
        <v/>
      </c>
      <c r="AO117" s="36" t="n"/>
      <c r="AP117" s="36" t="n"/>
      <c r="AQ117" s="36" t="n"/>
      <c r="AR117" s="36" t="n"/>
      <c r="AS117" s="36" t="n"/>
      <c r="AT117" s="36" t="n"/>
      <c r="AU117" s="27" t="n"/>
      <c r="AV117" s="37" t="n"/>
      <c r="AW117" s="38">
        <f>IF(AO117="","",IF(AR117="Yes","❌ Disc",IF(AQ117="No","⚠ Missing",IF(AT117="Yes","✓ OK","⚠ Check"))))</f>
        <v/>
      </c>
    </row>
    <row r="118" ht="18" customHeight="1" s="46">
      <c r="A118" s="39" t="n">
        <v>114</v>
      </c>
      <c r="B118" s="40" t="inlineStr">
        <is>
          <t>Asaba_703</t>
        </is>
      </c>
      <c r="C118" s="41" t="inlineStr">
        <is>
          <t>Sarom - Asaba Fabric(Diamond) - Asaba_703</t>
        </is>
      </c>
      <c r="D118" s="39" t="inlineStr">
        <is>
          <t>Sarom</t>
        </is>
      </c>
      <c r="E118" s="43" t="n">
        <v>46125</v>
      </c>
      <c r="F118" s="26" t="inlineStr">
        <is>
          <t>Sunil CR</t>
        </is>
      </c>
      <c r="G118" s="26" t="inlineStr">
        <is>
          <t>Yes</t>
        </is>
      </c>
      <c r="H118" s="26" t="inlineStr">
        <is>
          <t>No</t>
        </is>
      </c>
      <c r="I118" s="26" t="inlineStr">
        <is>
          <t>Good finish</t>
        </is>
      </c>
      <c r="J118" s="26" t="inlineStr">
        <is>
          <t>Yes</t>
        </is>
      </c>
      <c r="K118" s="27" t="n"/>
      <c r="L118" s="28" t="inlineStr">
        <is>
          <t>No</t>
        </is>
      </c>
      <c r="M118" s="29">
        <f>IF(E118="","",IF(H118="Yes","❌ Disc",IF(G118="No","⚠ Missing",IF(J118="Yes","✓ OK","⚠ Check"))))</f>
        <v/>
      </c>
      <c r="N118" s="43" t="n">
        <v>46139</v>
      </c>
      <c r="O118" s="26" t="inlineStr">
        <is>
          <t>Sunil CR</t>
        </is>
      </c>
      <c r="P118" s="26" t="inlineStr">
        <is>
          <t>Yes</t>
        </is>
      </c>
      <c r="Q118" s="26" t="inlineStr">
        <is>
          <t>No</t>
        </is>
      </c>
      <c r="R118" s="26" t="inlineStr">
        <is>
          <t>Good finish</t>
        </is>
      </c>
      <c r="S118" s="26" t="inlineStr">
        <is>
          <t>Yes</t>
        </is>
      </c>
      <c r="T118" s="27" t="n"/>
      <c r="U118" s="28" t="inlineStr">
        <is>
          <t>No</t>
        </is>
      </c>
      <c r="V118" s="29">
        <f>IF(N118="","",IF(Q118="Yes","❌ Disc",IF(P118="No","⚠ Missing",IF(S118="Yes","✓ OK","⚠ Check"))))</f>
        <v/>
      </c>
      <c r="W118" s="65" t="n">
        <v>46248</v>
      </c>
      <c r="X118" s="30" t="inlineStr">
        <is>
          <t>Sunil CR</t>
        </is>
      </c>
      <c r="Y118" s="30" t="inlineStr">
        <is>
          <t>Yes</t>
        </is>
      </c>
      <c r="Z118" s="30" t="n"/>
      <c r="AA118" s="30" t="inlineStr">
        <is>
          <t>Good finish</t>
        </is>
      </c>
      <c r="AB118" s="30" t="inlineStr">
        <is>
          <t>Yes</t>
        </is>
      </c>
      <c r="AC118" s="27" t="n"/>
      <c r="AD118" s="31" t="inlineStr">
        <is>
          <t>No</t>
        </is>
      </c>
      <c r="AE118" s="32">
        <f>IF(W118="","",IF(Z118="Yes","❌ Disc",IF(Y118="No","⚠ Missing",IF(AB118="Yes","✓ OK","⚠ Check"))))</f>
        <v/>
      </c>
      <c r="AF118" s="33" t="n"/>
      <c r="AG118" s="33" t="n"/>
      <c r="AH118" s="33" t="n"/>
      <c r="AI118" s="33" t="n"/>
      <c r="AJ118" s="33" t="n"/>
      <c r="AK118" s="33" t="n"/>
      <c r="AL118" s="27" t="n"/>
      <c r="AM118" s="34" t="n"/>
      <c r="AN118" s="35">
        <f>IF(AF118="","",IF(AI118="Yes","❌ Disc",IF(AH118="No","⚠ Missing",IF(AK118="Yes","✓ OK","⚠ Check"))))</f>
        <v/>
      </c>
      <c r="AO118" s="36" t="n"/>
      <c r="AP118" s="36" t="n"/>
      <c r="AQ118" s="36" t="n"/>
      <c r="AR118" s="36" t="n"/>
      <c r="AS118" s="36" t="n"/>
      <c r="AT118" s="36" t="n"/>
      <c r="AU118" s="27" t="n"/>
      <c r="AV118" s="37" t="n"/>
      <c r="AW118" s="38">
        <f>IF(AO118="","",IF(AR118="Yes","❌ Disc",IF(AQ118="No","⚠ Missing",IF(AT118="Yes","✓ OK","⚠ Check"))))</f>
        <v/>
      </c>
    </row>
    <row r="119" ht="18" customHeight="1" s="46">
      <c r="A119" s="23" t="n">
        <v>115</v>
      </c>
      <c r="B119" s="24" t="inlineStr">
        <is>
          <t>Asaba_704</t>
        </is>
      </c>
      <c r="C119" s="25" t="inlineStr">
        <is>
          <t>Sarom - Asaba Fabric(Diamond) - Asaba_704</t>
        </is>
      </c>
      <c r="D119" s="23" t="inlineStr">
        <is>
          <t>Sarom</t>
        </is>
      </c>
      <c r="E119" s="43" t="n">
        <v>46125</v>
      </c>
      <c r="F119" s="26" t="inlineStr">
        <is>
          <t>Sunil CR</t>
        </is>
      </c>
      <c r="G119" s="26" t="inlineStr">
        <is>
          <t>Yes</t>
        </is>
      </c>
      <c r="H119" s="26" t="inlineStr">
        <is>
          <t>No</t>
        </is>
      </c>
      <c r="I119" s="26" t="inlineStr">
        <is>
          <t>Good finish</t>
        </is>
      </c>
      <c r="J119" s="26" t="inlineStr">
        <is>
          <t>Yes</t>
        </is>
      </c>
      <c r="K119" s="27" t="n"/>
      <c r="L119" s="28" t="inlineStr">
        <is>
          <t>No</t>
        </is>
      </c>
      <c r="M119" s="29">
        <f>IF(E119="","",IF(H119="Yes","❌ Disc",IF(G119="No","⚠ Missing",IF(J119="Yes","✓ OK","⚠ Check"))))</f>
        <v/>
      </c>
      <c r="N119" s="43" t="n">
        <v>46139</v>
      </c>
      <c r="O119" s="26" t="inlineStr">
        <is>
          <t>Sunil CR</t>
        </is>
      </c>
      <c r="P119" s="26" t="inlineStr">
        <is>
          <t>Yes</t>
        </is>
      </c>
      <c r="Q119" s="26" t="inlineStr">
        <is>
          <t>No</t>
        </is>
      </c>
      <c r="R119" s="26" t="inlineStr">
        <is>
          <t>Good finish</t>
        </is>
      </c>
      <c r="S119" s="26" t="inlineStr">
        <is>
          <t>Yes</t>
        </is>
      </c>
      <c r="T119" s="27" t="n"/>
      <c r="U119" s="28" t="inlineStr">
        <is>
          <t>No</t>
        </is>
      </c>
      <c r="V119" s="29">
        <f>IF(N119="","",IF(Q119="Yes","❌ Disc",IF(P119="No","⚠ Missing",IF(S119="Yes","✓ OK","⚠ Check"))))</f>
        <v/>
      </c>
      <c r="W119" s="65" t="n">
        <v>46248</v>
      </c>
      <c r="X119" s="30" t="inlineStr">
        <is>
          <t>Sunil CR</t>
        </is>
      </c>
      <c r="Y119" s="30" t="inlineStr">
        <is>
          <t>Yes</t>
        </is>
      </c>
      <c r="Z119" s="30" t="n"/>
      <c r="AA119" s="30" t="inlineStr">
        <is>
          <t>Good finish</t>
        </is>
      </c>
      <c r="AB119" s="30" t="inlineStr">
        <is>
          <t>Yes</t>
        </is>
      </c>
      <c r="AC119" s="27" t="n"/>
      <c r="AD119" s="31" t="inlineStr">
        <is>
          <t>No</t>
        </is>
      </c>
      <c r="AE119" s="32">
        <f>IF(W119="","",IF(Z119="Yes","❌ Disc",IF(Y119="No","⚠ Missing",IF(AB119="Yes","✓ OK","⚠ Check"))))</f>
        <v/>
      </c>
      <c r="AF119" s="33" t="n"/>
      <c r="AG119" s="33" t="n"/>
      <c r="AH119" s="33" t="n"/>
      <c r="AI119" s="33" t="n"/>
      <c r="AJ119" s="33" t="n"/>
      <c r="AK119" s="33" t="n"/>
      <c r="AL119" s="27" t="n"/>
      <c r="AM119" s="34" t="n"/>
      <c r="AN119" s="35">
        <f>IF(AF119="","",IF(AI119="Yes","❌ Disc",IF(AH119="No","⚠ Missing",IF(AK119="Yes","✓ OK","⚠ Check"))))</f>
        <v/>
      </c>
      <c r="AO119" s="36" t="n"/>
      <c r="AP119" s="36" t="n"/>
      <c r="AQ119" s="36" t="n"/>
      <c r="AR119" s="36" t="n"/>
      <c r="AS119" s="36" t="n"/>
      <c r="AT119" s="36" t="n"/>
      <c r="AU119" s="27" t="n"/>
      <c r="AV119" s="37" t="n"/>
      <c r="AW119" s="38">
        <f>IF(AO119="","",IF(AR119="Yes","❌ Disc",IF(AQ119="No","⚠ Missing",IF(AT119="Yes","✓ OK","⚠ Check"))))</f>
        <v/>
      </c>
    </row>
    <row r="120" ht="18" customHeight="1" s="46">
      <c r="A120" s="39" t="n">
        <v>116</v>
      </c>
      <c r="B120" s="40" t="inlineStr">
        <is>
          <t>Asaba_705</t>
        </is>
      </c>
      <c r="C120" s="41" t="inlineStr">
        <is>
          <t>Sarom - Asaba Fabric(Diamond) - Asaba_705</t>
        </is>
      </c>
      <c r="D120" s="39" t="inlineStr">
        <is>
          <t>Sarom</t>
        </is>
      </c>
      <c r="E120" s="43" t="n">
        <v>46125</v>
      </c>
      <c r="F120" s="26" t="inlineStr">
        <is>
          <t>Sunil CR</t>
        </is>
      </c>
      <c r="G120" s="26" t="inlineStr">
        <is>
          <t>Yes</t>
        </is>
      </c>
      <c r="H120" s="26" t="inlineStr">
        <is>
          <t>No</t>
        </is>
      </c>
      <c r="I120" s="26" t="inlineStr">
        <is>
          <t>Good finish</t>
        </is>
      </c>
      <c r="J120" s="26" t="inlineStr">
        <is>
          <t>Yes</t>
        </is>
      </c>
      <c r="K120" s="27" t="n"/>
      <c r="L120" s="28" t="inlineStr">
        <is>
          <t>No</t>
        </is>
      </c>
      <c r="M120" s="29">
        <f>IF(E120="","",IF(H120="Yes","❌ Disc",IF(G120="No","⚠ Missing",IF(J120="Yes","✓ OK","⚠ Check"))))</f>
        <v/>
      </c>
      <c r="N120" s="43" t="n">
        <v>46139</v>
      </c>
      <c r="O120" s="26" t="inlineStr">
        <is>
          <t>Sunil CR</t>
        </is>
      </c>
      <c r="P120" s="26" t="inlineStr">
        <is>
          <t>Yes</t>
        </is>
      </c>
      <c r="Q120" s="26" t="inlineStr">
        <is>
          <t>No</t>
        </is>
      </c>
      <c r="R120" s="26" t="inlineStr">
        <is>
          <t>Good finish</t>
        </is>
      </c>
      <c r="S120" s="26" t="inlineStr">
        <is>
          <t>Yes</t>
        </is>
      </c>
      <c r="T120" s="27" t="n"/>
      <c r="U120" s="28" t="inlineStr">
        <is>
          <t>No</t>
        </is>
      </c>
      <c r="V120" s="29">
        <f>IF(N120="","",IF(Q120="Yes","❌ Disc",IF(P120="No","⚠ Missing",IF(S120="Yes","✓ OK","⚠ Check"))))</f>
        <v/>
      </c>
      <c r="W120" s="65" t="n">
        <v>46248</v>
      </c>
      <c r="X120" s="30" t="inlineStr">
        <is>
          <t>Sunil CR</t>
        </is>
      </c>
      <c r="Y120" s="30" t="inlineStr">
        <is>
          <t>Yes</t>
        </is>
      </c>
      <c r="Z120" s="30" t="n"/>
      <c r="AA120" s="30" t="inlineStr">
        <is>
          <t>Good finish</t>
        </is>
      </c>
      <c r="AB120" s="30" t="inlineStr">
        <is>
          <t>Yes</t>
        </is>
      </c>
      <c r="AC120" s="27" t="n"/>
      <c r="AD120" s="31" t="inlineStr">
        <is>
          <t>No</t>
        </is>
      </c>
      <c r="AE120" s="32">
        <f>IF(W120="","",IF(Z120="Yes","❌ Disc",IF(Y120="No","⚠ Missing",IF(AB120="Yes","✓ OK","⚠ Check"))))</f>
        <v/>
      </c>
      <c r="AF120" s="33" t="n"/>
      <c r="AG120" s="33" t="n"/>
      <c r="AH120" s="33" t="n"/>
      <c r="AI120" s="33" t="n"/>
      <c r="AJ120" s="33" t="n"/>
      <c r="AK120" s="33" t="n"/>
      <c r="AL120" s="27" t="n"/>
      <c r="AM120" s="34" t="n"/>
      <c r="AN120" s="35">
        <f>IF(AF120="","",IF(AI120="Yes","❌ Disc",IF(AH120="No","⚠ Missing",IF(AK120="Yes","✓ OK","⚠ Check"))))</f>
        <v/>
      </c>
      <c r="AO120" s="36" t="n"/>
      <c r="AP120" s="36" t="n"/>
      <c r="AQ120" s="36" t="n"/>
      <c r="AR120" s="36" t="n"/>
      <c r="AS120" s="36" t="n"/>
      <c r="AT120" s="36" t="n"/>
      <c r="AU120" s="27" t="n"/>
      <c r="AV120" s="37" t="n"/>
      <c r="AW120" s="38">
        <f>IF(AO120="","",IF(AR120="Yes","❌ Disc",IF(AQ120="No","⚠ Missing",IF(AT120="Yes","✓ OK","⚠ Check"))))</f>
        <v/>
      </c>
    </row>
    <row r="121" ht="18" customHeight="1" s="46">
      <c r="A121" s="23" t="n">
        <v>117</v>
      </c>
      <c r="B121" s="24" t="inlineStr">
        <is>
          <t>Asaba_706</t>
        </is>
      </c>
      <c r="C121" s="25" t="inlineStr">
        <is>
          <t>Sarom - Asaba Fabric(Diamond) - Asaba_706</t>
        </is>
      </c>
      <c r="D121" s="23" t="inlineStr">
        <is>
          <t>Sarom</t>
        </is>
      </c>
      <c r="E121" s="43" t="n">
        <v>46125</v>
      </c>
      <c r="F121" s="26" t="inlineStr">
        <is>
          <t>Sunil CR</t>
        </is>
      </c>
      <c r="G121" s="26" t="inlineStr">
        <is>
          <t>Yes</t>
        </is>
      </c>
      <c r="H121" s="26" t="inlineStr">
        <is>
          <t>No</t>
        </is>
      </c>
      <c r="I121" s="26" t="inlineStr">
        <is>
          <t>Good finish</t>
        </is>
      </c>
      <c r="J121" s="26" t="inlineStr">
        <is>
          <t>Yes</t>
        </is>
      </c>
      <c r="K121" s="27" t="n"/>
      <c r="L121" s="28" t="inlineStr">
        <is>
          <t>No</t>
        </is>
      </c>
      <c r="M121" s="29">
        <f>IF(E121="","",IF(H121="Yes","❌ Disc",IF(G121="No","⚠ Missing",IF(J121="Yes","✓ OK","⚠ Check"))))</f>
        <v/>
      </c>
      <c r="N121" s="43" t="n">
        <v>46139</v>
      </c>
      <c r="O121" s="26" t="inlineStr">
        <is>
          <t>Sunil CR</t>
        </is>
      </c>
      <c r="P121" s="26" t="inlineStr">
        <is>
          <t>Yes</t>
        </is>
      </c>
      <c r="Q121" s="26" t="inlineStr">
        <is>
          <t>No</t>
        </is>
      </c>
      <c r="R121" s="26" t="inlineStr">
        <is>
          <t>Good finish</t>
        </is>
      </c>
      <c r="S121" s="26" t="inlineStr">
        <is>
          <t>Yes</t>
        </is>
      </c>
      <c r="T121" s="27" t="n"/>
      <c r="U121" s="28" t="inlineStr">
        <is>
          <t>No</t>
        </is>
      </c>
      <c r="V121" s="29">
        <f>IF(N121="","",IF(Q121="Yes","❌ Disc",IF(P121="No","⚠ Missing",IF(S121="Yes","✓ OK","⚠ Check"))))</f>
        <v/>
      </c>
      <c r="W121" s="65" t="n">
        <v>46248</v>
      </c>
      <c r="X121" s="30" t="inlineStr">
        <is>
          <t>Sunil CR</t>
        </is>
      </c>
      <c r="Y121" s="30" t="inlineStr">
        <is>
          <t>Yes</t>
        </is>
      </c>
      <c r="Z121" s="30" t="n"/>
      <c r="AA121" s="30" t="inlineStr">
        <is>
          <t>Good finish</t>
        </is>
      </c>
      <c r="AB121" s="30" t="inlineStr">
        <is>
          <t>Yes</t>
        </is>
      </c>
      <c r="AC121" s="27" t="n"/>
      <c r="AD121" s="31" t="inlineStr">
        <is>
          <t>No</t>
        </is>
      </c>
      <c r="AE121" s="32">
        <f>IF(W121="","",IF(Z121="Yes","❌ Disc",IF(Y121="No","⚠ Missing",IF(AB121="Yes","✓ OK","⚠ Check"))))</f>
        <v/>
      </c>
      <c r="AF121" s="33" t="n"/>
      <c r="AG121" s="33" t="n"/>
      <c r="AH121" s="33" t="n"/>
      <c r="AI121" s="33" t="n"/>
      <c r="AJ121" s="33" t="n"/>
      <c r="AK121" s="33" t="n"/>
      <c r="AL121" s="27" t="n"/>
      <c r="AM121" s="34" t="n"/>
      <c r="AN121" s="35">
        <f>IF(AF121="","",IF(AI121="Yes","❌ Disc",IF(AH121="No","⚠ Missing",IF(AK121="Yes","✓ OK","⚠ Check"))))</f>
        <v/>
      </c>
      <c r="AO121" s="36" t="n"/>
      <c r="AP121" s="36" t="n"/>
      <c r="AQ121" s="36" t="n"/>
      <c r="AR121" s="36" t="n"/>
      <c r="AS121" s="36" t="n"/>
      <c r="AT121" s="36" t="n"/>
      <c r="AU121" s="27" t="n"/>
      <c r="AV121" s="37" t="n"/>
      <c r="AW121" s="38">
        <f>IF(AO121="","",IF(AR121="Yes","❌ Disc",IF(AQ121="No","⚠ Missing",IF(AT121="Yes","✓ OK","⚠ Check"))))</f>
        <v/>
      </c>
    </row>
    <row r="122" ht="18" customHeight="1" s="46">
      <c r="A122" s="39" t="n">
        <v>118</v>
      </c>
      <c r="B122" s="40" t="inlineStr">
        <is>
          <t>Asaba_707</t>
        </is>
      </c>
      <c r="C122" s="41" t="inlineStr">
        <is>
          <t>Sarom - Asaba Fabric(Diamond) - Asaba_707</t>
        </is>
      </c>
      <c r="D122" s="39" t="inlineStr">
        <is>
          <t>Sarom</t>
        </is>
      </c>
      <c r="E122" s="43" t="n">
        <v>46125</v>
      </c>
      <c r="F122" s="26" t="inlineStr">
        <is>
          <t>Sunil CR</t>
        </is>
      </c>
      <c r="G122" s="26" t="inlineStr">
        <is>
          <t>Yes</t>
        </is>
      </c>
      <c r="H122" s="26" t="inlineStr">
        <is>
          <t>No</t>
        </is>
      </c>
      <c r="I122" s="26" t="inlineStr">
        <is>
          <t>Good finish</t>
        </is>
      </c>
      <c r="J122" s="26" t="inlineStr">
        <is>
          <t>Yes</t>
        </is>
      </c>
      <c r="K122" s="27" t="n"/>
      <c r="L122" s="28" t="inlineStr">
        <is>
          <t>No</t>
        </is>
      </c>
      <c r="M122" s="29">
        <f>IF(E122="","",IF(H122="Yes","❌ Disc",IF(G122="No","⚠ Missing",IF(J122="Yes","✓ OK","⚠ Check"))))</f>
        <v/>
      </c>
      <c r="N122" s="43" t="n">
        <v>46139</v>
      </c>
      <c r="O122" s="26" t="inlineStr">
        <is>
          <t>Sunil CR</t>
        </is>
      </c>
      <c r="P122" s="26" t="inlineStr">
        <is>
          <t>Yes</t>
        </is>
      </c>
      <c r="Q122" s="26" t="inlineStr">
        <is>
          <t>No</t>
        </is>
      </c>
      <c r="R122" s="26" t="inlineStr">
        <is>
          <t>Good finish</t>
        </is>
      </c>
      <c r="S122" s="26" t="inlineStr">
        <is>
          <t>Yes</t>
        </is>
      </c>
      <c r="T122" s="27" t="n"/>
      <c r="U122" s="28" t="inlineStr">
        <is>
          <t>No</t>
        </is>
      </c>
      <c r="V122" s="29">
        <f>IF(N122="","",IF(Q122="Yes","❌ Disc",IF(P122="No","⚠ Missing",IF(S122="Yes","✓ OK","⚠ Check"))))</f>
        <v/>
      </c>
      <c r="W122" s="65" t="n">
        <v>46248</v>
      </c>
      <c r="X122" s="30" t="inlineStr">
        <is>
          <t>Sunil CR</t>
        </is>
      </c>
      <c r="Y122" s="30" t="inlineStr">
        <is>
          <t>Yes</t>
        </is>
      </c>
      <c r="Z122" s="30" t="n"/>
      <c r="AA122" s="30" t="inlineStr">
        <is>
          <t>Good finish</t>
        </is>
      </c>
      <c r="AB122" s="30" t="inlineStr">
        <is>
          <t>Yes</t>
        </is>
      </c>
      <c r="AC122" s="27" t="n"/>
      <c r="AD122" s="31" t="inlineStr">
        <is>
          <t>No</t>
        </is>
      </c>
      <c r="AE122" s="32">
        <f>IF(W122="","",IF(Z122="Yes","❌ Disc",IF(Y122="No","⚠ Missing",IF(AB122="Yes","✓ OK","⚠ Check"))))</f>
        <v/>
      </c>
      <c r="AF122" s="33" t="n"/>
      <c r="AG122" s="33" t="n"/>
      <c r="AH122" s="33" t="n"/>
      <c r="AI122" s="33" t="n"/>
      <c r="AJ122" s="33" t="n"/>
      <c r="AK122" s="33" t="n"/>
      <c r="AL122" s="27" t="n"/>
      <c r="AM122" s="34" t="n"/>
      <c r="AN122" s="35">
        <f>IF(AF122="","",IF(AI122="Yes","❌ Disc",IF(AH122="No","⚠ Missing",IF(AK122="Yes","✓ OK","⚠ Check"))))</f>
        <v/>
      </c>
      <c r="AO122" s="36" t="n"/>
      <c r="AP122" s="36" t="n"/>
      <c r="AQ122" s="36" t="n"/>
      <c r="AR122" s="36" t="n"/>
      <c r="AS122" s="36" t="n"/>
      <c r="AT122" s="36" t="n"/>
      <c r="AU122" s="27" t="n"/>
      <c r="AV122" s="37" t="n"/>
      <c r="AW122" s="38">
        <f>IF(AO122="","",IF(AR122="Yes","❌ Disc",IF(AQ122="No","⚠ Missing",IF(AT122="Yes","✓ OK","⚠ Check"))))</f>
        <v/>
      </c>
    </row>
    <row r="123" ht="18" customHeight="1" s="46">
      <c r="A123" s="23" t="n">
        <v>119</v>
      </c>
      <c r="B123" s="24" t="inlineStr">
        <is>
          <t>Asaba_708</t>
        </is>
      </c>
      <c r="C123" s="25" t="inlineStr">
        <is>
          <t>Sarom - Asaba Fabric(Diamond) - Asaba_708</t>
        </is>
      </c>
      <c r="D123" s="23" t="inlineStr">
        <is>
          <t>Sarom</t>
        </is>
      </c>
      <c r="E123" s="43" t="n">
        <v>46125</v>
      </c>
      <c r="F123" s="26" t="inlineStr">
        <is>
          <t>Sunil CR</t>
        </is>
      </c>
      <c r="G123" s="26" t="inlineStr">
        <is>
          <t>Yes</t>
        </is>
      </c>
      <c r="H123" s="26" t="inlineStr">
        <is>
          <t>No</t>
        </is>
      </c>
      <c r="I123" s="26" t="inlineStr">
        <is>
          <t>Good finish</t>
        </is>
      </c>
      <c r="J123" s="26" t="inlineStr">
        <is>
          <t>Yes</t>
        </is>
      </c>
      <c r="K123" s="27" t="n"/>
      <c r="L123" s="28" t="inlineStr">
        <is>
          <t>No</t>
        </is>
      </c>
      <c r="M123" s="29">
        <f>IF(E123="","",IF(H123="Yes","❌ Disc",IF(G123="No","⚠ Missing",IF(J123="Yes","✓ OK","⚠ Check"))))</f>
        <v/>
      </c>
      <c r="N123" s="43" t="n">
        <v>46139</v>
      </c>
      <c r="O123" s="26" t="inlineStr">
        <is>
          <t>Sunil CR</t>
        </is>
      </c>
      <c r="P123" s="26" t="inlineStr">
        <is>
          <t>Yes</t>
        </is>
      </c>
      <c r="Q123" s="26" t="inlineStr">
        <is>
          <t>No</t>
        </is>
      </c>
      <c r="R123" s="26" t="inlineStr">
        <is>
          <t>Good finish</t>
        </is>
      </c>
      <c r="S123" s="26" t="inlineStr">
        <is>
          <t>Yes</t>
        </is>
      </c>
      <c r="T123" s="27" t="n"/>
      <c r="U123" s="28" t="inlineStr">
        <is>
          <t>No</t>
        </is>
      </c>
      <c r="V123" s="29">
        <f>IF(N123="","",IF(Q123="Yes","❌ Disc",IF(P123="No","⚠ Missing",IF(S123="Yes","✓ OK","⚠ Check"))))</f>
        <v/>
      </c>
      <c r="W123" s="65" t="n">
        <v>46248</v>
      </c>
      <c r="X123" s="30" t="inlineStr">
        <is>
          <t>Sunil CR</t>
        </is>
      </c>
      <c r="Y123" s="30" t="inlineStr">
        <is>
          <t>Yes</t>
        </is>
      </c>
      <c r="Z123" s="30" t="n"/>
      <c r="AA123" s="30" t="inlineStr">
        <is>
          <t>Good finish</t>
        </is>
      </c>
      <c r="AB123" s="30" t="inlineStr">
        <is>
          <t>Yes</t>
        </is>
      </c>
      <c r="AC123" s="27" t="n"/>
      <c r="AD123" s="31" t="inlineStr">
        <is>
          <t>No</t>
        </is>
      </c>
      <c r="AE123" s="32">
        <f>IF(W123="","",IF(Z123="Yes","❌ Disc",IF(Y123="No","⚠ Missing",IF(AB123="Yes","✓ OK","⚠ Check"))))</f>
        <v/>
      </c>
      <c r="AF123" s="33" t="n"/>
      <c r="AG123" s="33" t="n"/>
      <c r="AH123" s="33" t="n"/>
      <c r="AI123" s="33" t="n"/>
      <c r="AJ123" s="33" t="n"/>
      <c r="AK123" s="33" t="n"/>
      <c r="AL123" s="27" t="n"/>
      <c r="AM123" s="34" t="n"/>
      <c r="AN123" s="35">
        <f>IF(AF123="","",IF(AI123="Yes","❌ Disc",IF(AH123="No","⚠ Missing",IF(AK123="Yes","✓ OK","⚠ Check"))))</f>
        <v/>
      </c>
      <c r="AO123" s="36" t="n"/>
      <c r="AP123" s="36" t="n"/>
      <c r="AQ123" s="36" t="n"/>
      <c r="AR123" s="36" t="n"/>
      <c r="AS123" s="36" t="n"/>
      <c r="AT123" s="36" t="n"/>
      <c r="AU123" s="27" t="n"/>
      <c r="AV123" s="37" t="n"/>
      <c r="AW123" s="38">
        <f>IF(AO123="","",IF(AR123="Yes","❌ Disc",IF(AQ123="No","⚠ Missing",IF(AT123="Yes","✓ OK","⚠ Check"))))</f>
        <v/>
      </c>
    </row>
    <row r="124" ht="18" customHeight="1" s="46">
      <c r="A124" s="39" t="n">
        <v>120</v>
      </c>
      <c r="B124" s="40" t="inlineStr">
        <is>
          <t>Asaba_709</t>
        </is>
      </c>
      <c r="C124" s="41" t="inlineStr">
        <is>
          <t>Sarom - Asaba Fabric(Diamond) - Asaba_709</t>
        </is>
      </c>
      <c r="D124" s="39" t="inlineStr">
        <is>
          <t>Sarom</t>
        </is>
      </c>
      <c r="E124" s="43" t="n">
        <v>46125</v>
      </c>
      <c r="F124" s="26" t="inlineStr">
        <is>
          <t>Sunil CR</t>
        </is>
      </c>
      <c r="G124" s="26" t="inlineStr">
        <is>
          <t>Yes</t>
        </is>
      </c>
      <c r="H124" s="26" t="inlineStr">
        <is>
          <t>No</t>
        </is>
      </c>
      <c r="I124" s="26" t="inlineStr">
        <is>
          <t>Good finish</t>
        </is>
      </c>
      <c r="J124" s="26" t="inlineStr">
        <is>
          <t>Yes</t>
        </is>
      </c>
      <c r="K124" s="27" t="n"/>
      <c r="L124" s="28" t="inlineStr">
        <is>
          <t>No</t>
        </is>
      </c>
      <c r="M124" s="29">
        <f>IF(E124="","",IF(H124="Yes","❌ Disc",IF(G124="No","⚠ Missing",IF(J124="Yes","✓ OK","⚠ Check"))))</f>
        <v/>
      </c>
      <c r="N124" s="43" t="n">
        <v>46139</v>
      </c>
      <c r="O124" s="26" t="inlineStr">
        <is>
          <t>Sunil CR</t>
        </is>
      </c>
      <c r="P124" s="26" t="inlineStr">
        <is>
          <t>Yes</t>
        </is>
      </c>
      <c r="Q124" s="26" t="inlineStr">
        <is>
          <t>No</t>
        </is>
      </c>
      <c r="R124" s="26" t="inlineStr">
        <is>
          <t>Good finish</t>
        </is>
      </c>
      <c r="S124" s="26" t="inlineStr">
        <is>
          <t>Yes</t>
        </is>
      </c>
      <c r="T124" s="27" t="n"/>
      <c r="U124" s="28" t="inlineStr">
        <is>
          <t>No</t>
        </is>
      </c>
      <c r="V124" s="29">
        <f>IF(N124="","",IF(Q124="Yes","❌ Disc",IF(P124="No","⚠ Missing",IF(S124="Yes","✓ OK","⚠ Check"))))</f>
        <v/>
      </c>
      <c r="W124" s="65" t="n">
        <v>46248</v>
      </c>
      <c r="X124" s="30" t="inlineStr">
        <is>
          <t>Sunil CR</t>
        </is>
      </c>
      <c r="Y124" s="30" t="inlineStr">
        <is>
          <t>Yes</t>
        </is>
      </c>
      <c r="Z124" s="30" t="n"/>
      <c r="AA124" s="30" t="inlineStr">
        <is>
          <t>Good finish</t>
        </is>
      </c>
      <c r="AB124" s="30" t="inlineStr">
        <is>
          <t>Yes</t>
        </is>
      </c>
      <c r="AC124" s="27" t="n"/>
      <c r="AD124" s="31" t="inlineStr">
        <is>
          <t>No</t>
        </is>
      </c>
      <c r="AE124" s="32">
        <f>IF(W124="","",IF(Z124="Yes","❌ Disc",IF(Y124="No","⚠ Missing",IF(AB124="Yes","✓ OK","⚠ Check"))))</f>
        <v/>
      </c>
      <c r="AF124" s="33" t="n"/>
      <c r="AG124" s="33" t="n"/>
      <c r="AH124" s="33" t="n"/>
      <c r="AI124" s="33" t="n"/>
      <c r="AJ124" s="33" t="n"/>
      <c r="AK124" s="33" t="n"/>
      <c r="AL124" s="27" t="n"/>
      <c r="AM124" s="34" t="n"/>
      <c r="AN124" s="35">
        <f>IF(AF124="","",IF(AI124="Yes","❌ Disc",IF(AH124="No","⚠ Missing",IF(AK124="Yes","✓ OK","⚠ Check"))))</f>
        <v/>
      </c>
      <c r="AO124" s="36" t="n"/>
      <c r="AP124" s="36" t="n"/>
      <c r="AQ124" s="36" t="n"/>
      <c r="AR124" s="36" t="n"/>
      <c r="AS124" s="36" t="n"/>
      <c r="AT124" s="36" t="n"/>
      <c r="AU124" s="27" t="n"/>
      <c r="AV124" s="37" t="n"/>
      <c r="AW124" s="38">
        <f>IF(AO124="","",IF(AR124="Yes","❌ Disc",IF(AQ124="No","⚠ Missing",IF(AT124="Yes","✓ OK","⚠ Check"))))</f>
        <v/>
      </c>
    </row>
    <row r="125" ht="18" customHeight="1" s="46">
      <c r="A125" s="23" t="n">
        <v>121</v>
      </c>
      <c r="B125" s="24" t="inlineStr">
        <is>
          <t>Asaba_711</t>
        </is>
      </c>
      <c r="C125" s="25" t="inlineStr">
        <is>
          <t>Sarom - Asaba Fabric(Diamond) - Asaba_711</t>
        </is>
      </c>
      <c r="D125" s="23" t="inlineStr">
        <is>
          <t>Sarom</t>
        </is>
      </c>
      <c r="E125" s="43" t="n">
        <v>46125</v>
      </c>
      <c r="F125" s="26" t="inlineStr">
        <is>
          <t>Sunil CR</t>
        </is>
      </c>
      <c r="G125" s="26" t="inlineStr">
        <is>
          <t>Yes</t>
        </is>
      </c>
      <c r="H125" s="26" t="inlineStr">
        <is>
          <t>No</t>
        </is>
      </c>
      <c r="I125" s="26" t="inlineStr">
        <is>
          <t>Good finish</t>
        </is>
      </c>
      <c r="J125" s="26" t="inlineStr">
        <is>
          <t>Yes</t>
        </is>
      </c>
      <c r="K125" s="27" t="n"/>
      <c r="L125" s="28" t="inlineStr">
        <is>
          <t>No</t>
        </is>
      </c>
      <c r="M125" s="29">
        <f>IF(E125="","",IF(H125="Yes","❌ Disc",IF(G125="No","⚠ Missing",IF(J125="Yes","✓ OK","⚠ Check"))))</f>
        <v/>
      </c>
      <c r="N125" s="43" t="n">
        <v>46139</v>
      </c>
      <c r="O125" s="26" t="inlineStr">
        <is>
          <t>Sunil CR</t>
        </is>
      </c>
      <c r="P125" s="26" t="inlineStr">
        <is>
          <t>Yes</t>
        </is>
      </c>
      <c r="Q125" s="26" t="inlineStr">
        <is>
          <t>No</t>
        </is>
      </c>
      <c r="R125" s="26" t="inlineStr">
        <is>
          <t>Good finish</t>
        </is>
      </c>
      <c r="S125" s="26" t="inlineStr">
        <is>
          <t>Yes</t>
        </is>
      </c>
      <c r="T125" s="27" t="n"/>
      <c r="U125" s="28" t="inlineStr">
        <is>
          <t>No</t>
        </is>
      </c>
      <c r="V125" s="29">
        <f>IF(N125="","",IF(Q125="Yes","❌ Disc",IF(P125="No","⚠ Missing",IF(S125="Yes","✓ OK","⚠ Check"))))</f>
        <v/>
      </c>
      <c r="W125" s="65" t="n">
        <v>46248</v>
      </c>
      <c r="X125" s="30" t="inlineStr">
        <is>
          <t>Sunil CR</t>
        </is>
      </c>
      <c r="Y125" s="30" t="inlineStr">
        <is>
          <t>Yes</t>
        </is>
      </c>
      <c r="Z125" s="30" t="n"/>
      <c r="AA125" s="30" t="inlineStr">
        <is>
          <t>Good finish</t>
        </is>
      </c>
      <c r="AB125" s="30" t="inlineStr">
        <is>
          <t>Yes</t>
        </is>
      </c>
      <c r="AC125" s="27" t="n"/>
      <c r="AD125" s="31" t="inlineStr">
        <is>
          <t>No</t>
        </is>
      </c>
      <c r="AE125" s="32">
        <f>IF(W125="","",IF(Z125="Yes","❌ Disc",IF(Y125="No","⚠ Missing",IF(AB125="Yes","✓ OK","⚠ Check"))))</f>
        <v/>
      </c>
      <c r="AF125" s="33" t="n"/>
      <c r="AG125" s="33" t="n"/>
      <c r="AH125" s="33" t="n"/>
      <c r="AI125" s="33" t="n"/>
      <c r="AJ125" s="33" t="n"/>
      <c r="AK125" s="33" t="n"/>
      <c r="AL125" s="27" t="n"/>
      <c r="AM125" s="34" t="n"/>
      <c r="AN125" s="35">
        <f>IF(AF125="","",IF(AI125="Yes","❌ Disc",IF(AH125="No","⚠ Missing",IF(AK125="Yes","✓ OK","⚠ Check"))))</f>
        <v/>
      </c>
      <c r="AO125" s="36" t="n"/>
      <c r="AP125" s="36" t="n"/>
      <c r="AQ125" s="36" t="n"/>
      <c r="AR125" s="36" t="n"/>
      <c r="AS125" s="36" t="n"/>
      <c r="AT125" s="36" t="n"/>
      <c r="AU125" s="27" t="n"/>
      <c r="AV125" s="37" t="n"/>
      <c r="AW125" s="38">
        <f>IF(AO125="","",IF(AR125="Yes","❌ Disc",IF(AQ125="No","⚠ Missing",IF(AT125="Yes","✓ OK","⚠ Check"))))</f>
        <v/>
      </c>
    </row>
    <row r="126" ht="18" customHeight="1" s="46">
      <c r="A126" s="39" t="n">
        <v>122</v>
      </c>
      <c r="B126" s="40" t="inlineStr">
        <is>
          <t>Asaba_712</t>
        </is>
      </c>
      <c r="C126" s="41" t="inlineStr">
        <is>
          <t>Sarom - Asaba Fabric(Diamond) - Asaba_712</t>
        </is>
      </c>
      <c r="D126" s="39" t="inlineStr">
        <is>
          <t>Sarom</t>
        </is>
      </c>
      <c r="E126" s="43" t="n">
        <v>46125</v>
      </c>
      <c r="F126" s="26" t="inlineStr">
        <is>
          <t>Sunil CR</t>
        </is>
      </c>
      <c r="G126" s="26" t="inlineStr">
        <is>
          <t>Yes</t>
        </is>
      </c>
      <c r="H126" s="26" t="inlineStr">
        <is>
          <t>No</t>
        </is>
      </c>
      <c r="I126" s="26" t="inlineStr">
        <is>
          <t>Good finish</t>
        </is>
      </c>
      <c r="J126" s="26" t="inlineStr">
        <is>
          <t>Yes</t>
        </is>
      </c>
      <c r="K126" s="27" t="n"/>
      <c r="L126" s="28" t="inlineStr">
        <is>
          <t>No</t>
        </is>
      </c>
      <c r="M126" s="29">
        <f>IF(E126="","",IF(H126="Yes","❌ Disc",IF(G126="No","⚠ Missing",IF(J126="Yes","✓ OK","⚠ Check"))))</f>
        <v/>
      </c>
      <c r="N126" s="43" t="n">
        <v>46139</v>
      </c>
      <c r="O126" s="26" t="inlineStr">
        <is>
          <t>Sunil CR</t>
        </is>
      </c>
      <c r="P126" s="26" t="inlineStr">
        <is>
          <t>Yes</t>
        </is>
      </c>
      <c r="Q126" s="26" t="inlineStr">
        <is>
          <t>No</t>
        </is>
      </c>
      <c r="R126" s="26" t="inlineStr">
        <is>
          <t>Good finish</t>
        </is>
      </c>
      <c r="S126" s="26" t="inlineStr">
        <is>
          <t>Yes</t>
        </is>
      </c>
      <c r="T126" s="27" t="n"/>
      <c r="U126" s="28" t="inlineStr">
        <is>
          <t>No</t>
        </is>
      </c>
      <c r="V126" s="29">
        <f>IF(N126="","",IF(Q126="Yes","❌ Disc",IF(P126="No","⚠ Missing",IF(S126="Yes","✓ OK","⚠ Check"))))</f>
        <v/>
      </c>
      <c r="W126" s="65" t="n">
        <v>46248</v>
      </c>
      <c r="X126" s="30" t="inlineStr">
        <is>
          <t>Sunil CR</t>
        </is>
      </c>
      <c r="Y126" s="30" t="inlineStr">
        <is>
          <t>Yes</t>
        </is>
      </c>
      <c r="Z126" s="30" t="n"/>
      <c r="AA126" s="30" t="inlineStr">
        <is>
          <t>Good finish</t>
        </is>
      </c>
      <c r="AB126" s="30" t="inlineStr">
        <is>
          <t>Yes</t>
        </is>
      </c>
      <c r="AC126" s="27" t="n"/>
      <c r="AD126" s="31" t="inlineStr">
        <is>
          <t>No</t>
        </is>
      </c>
      <c r="AE126" s="32">
        <f>IF(W126="","",IF(Z126="Yes","❌ Disc",IF(Y126="No","⚠ Missing",IF(AB126="Yes","✓ OK","⚠ Check"))))</f>
        <v/>
      </c>
      <c r="AF126" s="33" t="n"/>
      <c r="AG126" s="33" t="n"/>
      <c r="AH126" s="33" t="n"/>
      <c r="AI126" s="33" t="n"/>
      <c r="AJ126" s="33" t="n"/>
      <c r="AK126" s="33" t="n"/>
      <c r="AL126" s="27" t="n"/>
      <c r="AM126" s="34" t="n"/>
      <c r="AN126" s="35">
        <f>IF(AF126="","",IF(AI126="Yes","❌ Disc",IF(AH126="No","⚠ Missing",IF(AK126="Yes","✓ OK","⚠ Check"))))</f>
        <v/>
      </c>
      <c r="AO126" s="36" t="n"/>
      <c r="AP126" s="36" t="n"/>
      <c r="AQ126" s="36" t="n"/>
      <c r="AR126" s="36" t="n"/>
      <c r="AS126" s="36" t="n"/>
      <c r="AT126" s="36" t="n"/>
      <c r="AU126" s="27" t="n"/>
      <c r="AV126" s="37" t="n"/>
      <c r="AW126" s="38">
        <f>IF(AO126="","",IF(AR126="Yes","❌ Disc",IF(AQ126="No","⚠ Missing",IF(AT126="Yes","✓ OK","⚠ Check"))))</f>
        <v/>
      </c>
    </row>
    <row r="127" ht="18" customHeight="1" s="46">
      <c r="A127" s="23" t="n">
        <v>123</v>
      </c>
      <c r="B127" s="24" t="inlineStr">
        <is>
          <t>Asaba_713</t>
        </is>
      </c>
      <c r="C127" s="25" t="inlineStr">
        <is>
          <t>Sarom - Asaba Fabric(Diamond) - Asaba_713</t>
        </is>
      </c>
      <c r="D127" s="23" t="inlineStr">
        <is>
          <t>Sarom</t>
        </is>
      </c>
      <c r="E127" s="43" t="n">
        <v>46125</v>
      </c>
      <c r="F127" s="26" t="inlineStr">
        <is>
          <t>Sunil CR</t>
        </is>
      </c>
      <c r="G127" s="26" t="inlineStr">
        <is>
          <t>Yes</t>
        </is>
      </c>
      <c r="H127" s="26" t="inlineStr">
        <is>
          <t>No</t>
        </is>
      </c>
      <c r="I127" s="26" t="inlineStr">
        <is>
          <t>Good finish</t>
        </is>
      </c>
      <c r="J127" s="26" t="inlineStr">
        <is>
          <t>Yes</t>
        </is>
      </c>
      <c r="K127" s="27" t="n"/>
      <c r="L127" s="28" t="inlineStr">
        <is>
          <t>No</t>
        </is>
      </c>
      <c r="M127" s="29">
        <f>IF(E127="","",IF(H127="Yes","❌ Disc",IF(G127="No","⚠ Missing",IF(J127="Yes","✓ OK","⚠ Check"))))</f>
        <v/>
      </c>
      <c r="N127" s="43" t="n">
        <v>46139</v>
      </c>
      <c r="O127" s="26" t="inlineStr">
        <is>
          <t>Sunil CR</t>
        </is>
      </c>
      <c r="P127" s="26" t="inlineStr">
        <is>
          <t>Yes</t>
        </is>
      </c>
      <c r="Q127" s="26" t="inlineStr">
        <is>
          <t>No</t>
        </is>
      </c>
      <c r="R127" s="26" t="inlineStr">
        <is>
          <t>Good finish</t>
        </is>
      </c>
      <c r="S127" s="26" t="inlineStr">
        <is>
          <t>Yes</t>
        </is>
      </c>
      <c r="T127" s="27" t="n"/>
      <c r="U127" s="28" t="inlineStr">
        <is>
          <t>No</t>
        </is>
      </c>
      <c r="V127" s="29">
        <f>IF(N127="","",IF(Q127="Yes","❌ Disc",IF(P127="No","⚠ Missing",IF(S127="Yes","✓ OK","⚠ Check"))))</f>
        <v/>
      </c>
      <c r="W127" s="65" t="n">
        <v>46248</v>
      </c>
      <c r="X127" s="30" t="inlineStr">
        <is>
          <t>Sunil CR</t>
        </is>
      </c>
      <c r="Y127" s="30" t="inlineStr">
        <is>
          <t>Yes</t>
        </is>
      </c>
      <c r="Z127" s="30" t="n"/>
      <c r="AA127" s="30" t="inlineStr">
        <is>
          <t>Good finish</t>
        </is>
      </c>
      <c r="AB127" s="30" t="inlineStr">
        <is>
          <t>Yes</t>
        </is>
      </c>
      <c r="AC127" s="27" t="n"/>
      <c r="AD127" s="31" t="inlineStr">
        <is>
          <t>No</t>
        </is>
      </c>
      <c r="AE127" s="32">
        <f>IF(W127="","",IF(Z127="Yes","❌ Disc",IF(Y127="No","⚠ Missing",IF(AB127="Yes","✓ OK","⚠ Check"))))</f>
        <v/>
      </c>
      <c r="AF127" s="33" t="n"/>
      <c r="AG127" s="33" t="n"/>
      <c r="AH127" s="33" t="n"/>
      <c r="AI127" s="33" t="n"/>
      <c r="AJ127" s="33" t="n"/>
      <c r="AK127" s="33" t="n"/>
      <c r="AL127" s="27" t="n"/>
      <c r="AM127" s="34" t="n"/>
      <c r="AN127" s="35">
        <f>IF(AF127="","",IF(AI127="Yes","❌ Disc",IF(AH127="No","⚠ Missing",IF(AK127="Yes","✓ OK","⚠ Check"))))</f>
        <v/>
      </c>
      <c r="AO127" s="36" t="n"/>
      <c r="AP127" s="36" t="n"/>
      <c r="AQ127" s="36" t="n"/>
      <c r="AR127" s="36" t="n"/>
      <c r="AS127" s="36" t="n"/>
      <c r="AT127" s="36" t="n"/>
      <c r="AU127" s="27" t="n"/>
      <c r="AV127" s="37" t="n"/>
      <c r="AW127" s="38">
        <f>IF(AO127="","",IF(AR127="Yes","❌ Disc",IF(AQ127="No","⚠ Missing",IF(AT127="Yes","✓ OK","⚠ Check"))))</f>
        <v/>
      </c>
    </row>
    <row r="128" ht="18" customHeight="1" s="46">
      <c r="A128" s="39" t="n">
        <v>124</v>
      </c>
      <c r="B128" s="40" t="inlineStr">
        <is>
          <t>Asaba_714</t>
        </is>
      </c>
      <c r="C128" s="41" t="inlineStr">
        <is>
          <t>Sarom - Asaba Fabric(Diamond) - Asaba_714</t>
        </is>
      </c>
      <c r="D128" s="39" t="inlineStr">
        <is>
          <t>Sarom</t>
        </is>
      </c>
      <c r="E128" s="43" t="n">
        <v>46125</v>
      </c>
      <c r="F128" s="26" t="inlineStr">
        <is>
          <t>Sunil CR</t>
        </is>
      </c>
      <c r="G128" s="26" t="inlineStr">
        <is>
          <t>Yes</t>
        </is>
      </c>
      <c r="H128" s="26" t="inlineStr">
        <is>
          <t>No</t>
        </is>
      </c>
      <c r="I128" s="26" t="inlineStr">
        <is>
          <t>Good finish</t>
        </is>
      </c>
      <c r="J128" s="26" t="inlineStr">
        <is>
          <t>Yes</t>
        </is>
      </c>
      <c r="K128" s="27" t="n"/>
      <c r="L128" s="28" t="inlineStr">
        <is>
          <t>No</t>
        </is>
      </c>
      <c r="M128" s="29">
        <f>IF(E128="","",IF(H128="Yes","❌ Disc",IF(G128="No","⚠ Missing",IF(J128="Yes","✓ OK","⚠ Check"))))</f>
        <v/>
      </c>
      <c r="N128" s="43" t="n">
        <v>46139</v>
      </c>
      <c r="O128" s="26" t="inlineStr">
        <is>
          <t>Sunil CR</t>
        </is>
      </c>
      <c r="P128" s="26" t="inlineStr">
        <is>
          <t>Yes</t>
        </is>
      </c>
      <c r="Q128" s="26" t="inlineStr">
        <is>
          <t>No</t>
        </is>
      </c>
      <c r="R128" s="26" t="inlineStr">
        <is>
          <t>Good finish</t>
        </is>
      </c>
      <c r="S128" s="26" t="inlineStr">
        <is>
          <t>Yes</t>
        </is>
      </c>
      <c r="T128" s="27" t="n"/>
      <c r="U128" s="28" t="inlineStr">
        <is>
          <t>No</t>
        </is>
      </c>
      <c r="V128" s="29">
        <f>IF(N128="","",IF(Q128="Yes","❌ Disc",IF(P128="No","⚠ Missing",IF(S128="Yes","✓ OK","⚠ Check"))))</f>
        <v/>
      </c>
      <c r="W128" s="65" t="n">
        <v>46248</v>
      </c>
      <c r="X128" s="30" t="inlineStr">
        <is>
          <t>Sunil CR</t>
        </is>
      </c>
      <c r="Y128" s="30" t="inlineStr">
        <is>
          <t>Yes</t>
        </is>
      </c>
      <c r="Z128" s="30" t="n"/>
      <c r="AA128" s="30" t="inlineStr">
        <is>
          <t>Good finish</t>
        </is>
      </c>
      <c r="AB128" s="30" t="inlineStr">
        <is>
          <t>Yes</t>
        </is>
      </c>
      <c r="AC128" s="27" t="n"/>
      <c r="AD128" s="31" t="inlineStr">
        <is>
          <t>No</t>
        </is>
      </c>
      <c r="AE128" s="32">
        <f>IF(W128="","",IF(Z128="Yes","❌ Disc",IF(Y128="No","⚠ Missing",IF(AB128="Yes","✓ OK","⚠ Check"))))</f>
        <v/>
      </c>
      <c r="AF128" s="33" t="n"/>
      <c r="AG128" s="33" t="n"/>
      <c r="AH128" s="33" t="n"/>
      <c r="AI128" s="33" t="n"/>
      <c r="AJ128" s="33" t="n"/>
      <c r="AK128" s="33" t="n"/>
      <c r="AL128" s="27" t="n"/>
      <c r="AM128" s="34" t="n"/>
      <c r="AN128" s="35">
        <f>IF(AF128="","",IF(AI128="Yes","❌ Disc",IF(AH128="No","⚠ Missing",IF(AK128="Yes","✓ OK","⚠ Check"))))</f>
        <v/>
      </c>
      <c r="AO128" s="36" t="n"/>
      <c r="AP128" s="36" t="n"/>
      <c r="AQ128" s="36" t="n"/>
      <c r="AR128" s="36" t="n"/>
      <c r="AS128" s="36" t="n"/>
      <c r="AT128" s="36" t="n"/>
      <c r="AU128" s="27" t="n"/>
      <c r="AV128" s="37" t="n"/>
      <c r="AW128" s="38">
        <f>IF(AO128="","",IF(AR128="Yes","❌ Disc",IF(AQ128="No","⚠ Missing",IF(AT128="Yes","✓ OK","⚠ Check"))))</f>
        <v/>
      </c>
    </row>
    <row r="129" ht="18" customHeight="1" s="46">
      <c r="A129" s="23" t="n">
        <v>125</v>
      </c>
      <c r="B129" s="24" t="inlineStr">
        <is>
          <t>Asaba_715</t>
        </is>
      </c>
      <c r="C129" s="25" t="inlineStr">
        <is>
          <t>Sarom - Asaba Fabric(Diamond) - Asaba_715</t>
        </is>
      </c>
      <c r="D129" s="23" t="inlineStr">
        <is>
          <t>Sarom</t>
        </is>
      </c>
      <c r="E129" s="43" t="n">
        <v>46125</v>
      </c>
      <c r="F129" s="26" t="inlineStr">
        <is>
          <t>Sunil CR</t>
        </is>
      </c>
      <c r="G129" s="26" t="inlineStr">
        <is>
          <t>Yes</t>
        </is>
      </c>
      <c r="H129" s="26" t="inlineStr">
        <is>
          <t>No</t>
        </is>
      </c>
      <c r="I129" s="26" t="inlineStr">
        <is>
          <t>Good finish</t>
        </is>
      </c>
      <c r="J129" s="26" t="inlineStr">
        <is>
          <t>Yes</t>
        </is>
      </c>
      <c r="K129" s="27" t="n"/>
      <c r="L129" s="28" t="inlineStr">
        <is>
          <t>No</t>
        </is>
      </c>
      <c r="M129" s="29">
        <f>IF(E129="","",IF(H129="Yes","❌ Disc",IF(G129="No","⚠ Missing",IF(J129="Yes","✓ OK","⚠ Check"))))</f>
        <v/>
      </c>
      <c r="N129" s="43" t="n">
        <v>46139</v>
      </c>
      <c r="O129" s="26" t="inlineStr">
        <is>
          <t>Sunil CR</t>
        </is>
      </c>
      <c r="P129" s="26" t="inlineStr">
        <is>
          <t>Yes</t>
        </is>
      </c>
      <c r="Q129" s="26" t="inlineStr">
        <is>
          <t>No</t>
        </is>
      </c>
      <c r="R129" s="26" t="inlineStr">
        <is>
          <t>Good finish</t>
        </is>
      </c>
      <c r="S129" s="26" t="inlineStr">
        <is>
          <t>Yes</t>
        </is>
      </c>
      <c r="T129" s="27" t="n"/>
      <c r="U129" s="28" t="inlineStr">
        <is>
          <t>No</t>
        </is>
      </c>
      <c r="V129" s="29">
        <f>IF(N129="","",IF(Q129="Yes","❌ Disc",IF(P129="No","⚠ Missing",IF(S129="Yes","✓ OK","⚠ Check"))))</f>
        <v/>
      </c>
      <c r="W129" s="65" t="n">
        <v>46248</v>
      </c>
      <c r="X129" s="30" t="inlineStr">
        <is>
          <t>Sunil CR</t>
        </is>
      </c>
      <c r="Y129" s="30" t="inlineStr">
        <is>
          <t>Yes</t>
        </is>
      </c>
      <c r="Z129" s="30" t="n"/>
      <c r="AA129" s="30" t="inlineStr">
        <is>
          <t>Good finish</t>
        </is>
      </c>
      <c r="AB129" s="30" t="inlineStr">
        <is>
          <t>Yes</t>
        </is>
      </c>
      <c r="AC129" s="27" t="n"/>
      <c r="AD129" s="31" t="inlineStr">
        <is>
          <t>No</t>
        </is>
      </c>
      <c r="AE129" s="32">
        <f>IF(W129="","",IF(Z129="Yes","❌ Disc",IF(Y129="No","⚠ Missing",IF(AB129="Yes","✓ OK","⚠ Check"))))</f>
        <v/>
      </c>
      <c r="AF129" s="33" t="n"/>
      <c r="AG129" s="33" t="n"/>
      <c r="AH129" s="33" t="n"/>
      <c r="AI129" s="33" t="n"/>
      <c r="AJ129" s="33" t="n"/>
      <c r="AK129" s="33" t="n"/>
      <c r="AL129" s="27" t="n"/>
      <c r="AM129" s="34" t="n"/>
      <c r="AN129" s="35">
        <f>IF(AF129="","",IF(AI129="Yes","❌ Disc",IF(AH129="No","⚠ Missing",IF(AK129="Yes","✓ OK","⚠ Check"))))</f>
        <v/>
      </c>
      <c r="AO129" s="36" t="n"/>
      <c r="AP129" s="36" t="n"/>
      <c r="AQ129" s="36" t="n"/>
      <c r="AR129" s="36" t="n"/>
      <c r="AS129" s="36" t="n"/>
      <c r="AT129" s="36" t="n"/>
      <c r="AU129" s="27" t="n"/>
      <c r="AV129" s="37" t="n"/>
      <c r="AW129" s="38">
        <f>IF(AO129="","",IF(AR129="Yes","❌ Disc",IF(AQ129="No","⚠ Missing",IF(AT129="Yes","✓ OK","⚠ Check"))))</f>
        <v/>
      </c>
    </row>
    <row r="130" ht="18" customHeight="1" s="46">
      <c r="A130" s="39" t="n">
        <v>126</v>
      </c>
      <c r="B130" s="40" t="inlineStr">
        <is>
          <t>Asaba_716</t>
        </is>
      </c>
      <c r="C130" s="41" t="inlineStr">
        <is>
          <t>Sarom - Asaba Fabric(Diamond) - Asaba_716</t>
        </is>
      </c>
      <c r="D130" s="39" t="inlineStr">
        <is>
          <t>Sarom</t>
        </is>
      </c>
      <c r="E130" s="43" t="n">
        <v>46125</v>
      </c>
      <c r="F130" s="26" t="inlineStr">
        <is>
          <t>Sunil CR</t>
        </is>
      </c>
      <c r="G130" s="26" t="inlineStr">
        <is>
          <t>Yes</t>
        </is>
      </c>
      <c r="H130" s="26" t="inlineStr">
        <is>
          <t>No</t>
        </is>
      </c>
      <c r="I130" s="26" t="inlineStr">
        <is>
          <t>Good finish</t>
        </is>
      </c>
      <c r="J130" s="26" t="inlineStr">
        <is>
          <t>Yes</t>
        </is>
      </c>
      <c r="K130" s="27" t="n"/>
      <c r="L130" s="28" t="inlineStr">
        <is>
          <t>No</t>
        </is>
      </c>
      <c r="M130" s="29">
        <f>IF(E130="","",IF(H130="Yes","❌ Disc",IF(G130="No","⚠ Missing",IF(J130="Yes","✓ OK","⚠ Check"))))</f>
        <v/>
      </c>
      <c r="N130" s="43" t="n">
        <v>46139</v>
      </c>
      <c r="O130" s="26" t="inlineStr">
        <is>
          <t>Sunil CR</t>
        </is>
      </c>
      <c r="P130" s="26" t="inlineStr">
        <is>
          <t>Yes</t>
        </is>
      </c>
      <c r="Q130" s="26" t="inlineStr">
        <is>
          <t>No</t>
        </is>
      </c>
      <c r="R130" s="26" t="inlineStr">
        <is>
          <t>Good finish</t>
        </is>
      </c>
      <c r="S130" s="26" t="inlineStr">
        <is>
          <t>Yes</t>
        </is>
      </c>
      <c r="T130" s="27" t="n"/>
      <c r="U130" s="28" t="inlineStr">
        <is>
          <t>No</t>
        </is>
      </c>
      <c r="V130" s="29">
        <f>IF(N130="","",IF(Q130="Yes","❌ Disc",IF(P130="No","⚠ Missing",IF(S130="Yes","✓ OK","⚠ Check"))))</f>
        <v/>
      </c>
      <c r="W130" s="65" t="n">
        <v>46248</v>
      </c>
      <c r="X130" s="30" t="inlineStr">
        <is>
          <t>Sunil CR</t>
        </is>
      </c>
      <c r="Y130" s="30" t="inlineStr">
        <is>
          <t>Yes</t>
        </is>
      </c>
      <c r="Z130" s="30" t="n"/>
      <c r="AA130" s="30" t="inlineStr">
        <is>
          <t>Good finish</t>
        </is>
      </c>
      <c r="AB130" s="30" t="inlineStr">
        <is>
          <t>Yes</t>
        </is>
      </c>
      <c r="AC130" s="27" t="n"/>
      <c r="AD130" s="31" t="inlineStr">
        <is>
          <t>No</t>
        </is>
      </c>
      <c r="AE130" s="32">
        <f>IF(W130="","",IF(Z130="Yes","❌ Disc",IF(Y130="No","⚠ Missing",IF(AB130="Yes","✓ OK","⚠ Check"))))</f>
        <v/>
      </c>
      <c r="AF130" s="33" t="n"/>
      <c r="AG130" s="33" t="n"/>
      <c r="AH130" s="33" t="n"/>
      <c r="AI130" s="33" t="n"/>
      <c r="AJ130" s="33" t="n"/>
      <c r="AK130" s="33" t="n"/>
      <c r="AL130" s="27" t="n"/>
      <c r="AM130" s="34" t="n"/>
      <c r="AN130" s="35">
        <f>IF(AF130="","",IF(AI130="Yes","❌ Disc",IF(AH130="No","⚠ Missing",IF(AK130="Yes","✓ OK","⚠ Check"))))</f>
        <v/>
      </c>
      <c r="AO130" s="36" t="n"/>
      <c r="AP130" s="36" t="n"/>
      <c r="AQ130" s="36" t="n"/>
      <c r="AR130" s="36" t="n"/>
      <c r="AS130" s="36" t="n"/>
      <c r="AT130" s="36" t="n"/>
      <c r="AU130" s="27" t="n"/>
      <c r="AV130" s="37" t="n"/>
      <c r="AW130" s="38">
        <f>IF(AO130="","",IF(AR130="Yes","❌ Disc",IF(AQ130="No","⚠ Missing",IF(AT130="Yes","✓ OK","⚠ Check"))))</f>
        <v/>
      </c>
    </row>
    <row r="131" ht="18" customHeight="1" s="46">
      <c r="A131" s="23" t="n">
        <v>127</v>
      </c>
      <c r="B131" s="24" t="inlineStr">
        <is>
          <t>Asaba_717</t>
        </is>
      </c>
      <c r="C131" s="25" t="inlineStr">
        <is>
          <t>Sarom - Asaba Fabric(Diamond) - Asaba_717</t>
        </is>
      </c>
      <c r="D131" s="23" t="inlineStr">
        <is>
          <t>Sarom</t>
        </is>
      </c>
      <c r="E131" s="43" t="n">
        <v>46125</v>
      </c>
      <c r="F131" s="26" t="inlineStr">
        <is>
          <t>Sunil CR</t>
        </is>
      </c>
      <c r="G131" s="26" t="inlineStr">
        <is>
          <t>Yes</t>
        </is>
      </c>
      <c r="H131" s="26" t="inlineStr">
        <is>
          <t>No</t>
        </is>
      </c>
      <c r="I131" s="26" t="inlineStr">
        <is>
          <t>Good finish</t>
        </is>
      </c>
      <c r="J131" s="26" t="inlineStr">
        <is>
          <t>Yes</t>
        </is>
      </c>
      <c r="K131" s="27" t="n"/>
      <c r="L131" s="28" t="inlineStr">
        <is>
          <t>No</t>
        </is>
      </c>
      <c r="M131" s="29">
        <f>IF(E131="","",IF(H131="Yes","❌ Disc",IF(G131="No","⚠ Missing",IF(J131="Yes","✓ OK","⚠ Check"))))</f>
        <v/>
      </c>
      <c r="N131" s="43" t="n">
        <v>46139</v>
      </c>
      <c r="O131" s="26" t="inlineStr">
        <is>
          <t>Sunil CR</t>
        </is>
      </c>
      <c r="P131" s="26" t="inlineStr">
        <is>
          <t>Yes</t>
        </is>
      </c>
      <c r="Q131" s="26" t="inlineStr">
        <is>
          <t>No</t>
        </is>
      </c>
      <c r="R131" s="26" t="inlineStr">
        <is>
          <t>Good finish</t>
        </is>
      </c>
      <c r="S131" s="26" t="inlineStr">
        <is>
          <t>Yes</t>
        </is>
      </c>
      <c r="T131" s="27" t="n"/>
      <c r="U131" s="28" t="inlineStr">
        <is>
          <t>No</t>
        </is>
      </c>
      <c r="V131" s="29">
        <f>IF(N131="","",IF(Q131="Yes","❌ Disc",IF(P131="No","⚠ Missing",IF(S131="Yes","✓ OK","⚠ Check"))))</f>
        <v/>
      </c>
      <c r="W131" s="65" t="n">
        <v>46248</v>
      </c>
      <c r="X131" s="30" t="inlineStr">
        <is>
          <t>Sunil CR</t>
        </is>
      </c>
      <c r="Y131" s="30" t="inlineStr">
        <is>
          <t>Yes</t>
        </is>
      </c>
      <c r="Z131" s="30" t="n"/>
      <c r="AA131" s="30" t="inlineStr">
        <is>
          <t>Good finish</t>
        </is>
      </c>
      <c r="AB131" s="30" t="inlineStr">
        <is>
          <t>Yes</t>
        </is>
      </c>
      <c r="AC131" s="27" t="n"/>
      <c r="AD131" s="31" t="inlineStr">
        <is>
          <t>No</t>
        </is>
      </c>
      <c r="AE131" s="32">
        <f>IF(W131="","",IF(Z131="Yes","❌ Disc",IF(Y131="No","⚠ Missing",IF(AB131="Yes","✓ OK","⚠ Check"))))</f>
        <v/>
      </c>
      <c r="AF131" s="33" t="n"/>
      <c r="AG131" s="33" t="n"/>
      <c r="AH131" s="33" t="n"/>
      <c r="AI131" s="33" t="n"/>
      <c r="AJ131" s="33" t="n"/>
      <c r="AK131" s="33" t="n"/>
      <c r="AL131" s="27" t="n"/>
      <c r="AM131" s="34" t="n"/>
      <c r="AN131" s="35">
        <f>IF(AF131="","",IF(AI131="Yes","❌ Disc",IF(AH131="No","⚠ Missing",IF(AK131="Yes","✓ OK","⚠ Check"))))</f>
        <v/>
      </c>
      <c r="AO131" s="36" t="n"/>
      <c r="AP131" s="36" t="n"/>
      <c r="AQ131" s="36" t="n"/>
      <c r="AR131" s="36" t="n"/>
      <c r="AS131" s="36" t="n"/>
      <c r="AT131" s="36" t="n"/>
      <c r="AU131" s="27" t="n"/>
      <c r="AV131" s="37" t="n"/>
      <c r="AW131" s="38">
        <f>IF(AO131="","",IF(AR131="Yes","❌ Disc",IF(AQ131="No","⚠ Missing",IF(AT131="Yes","✓ OK","⚠ Check"))))</f>
        <v/>
      </c>
    </row>
    <row r="132" ht="18" customHeight="1" s="46">
      <c r="A132" s="39" t="n">
        <v>128</v>
      </c>
      <c r="B132" s="40" t="inlineStr">
        <is>
          <t>Asaba_718</t>
        </is>
      </c>
      <c r="C132" s="41" t="inlineStr">
        <is>
          <t>Sarom - Asaba Fabric(Diamond) - Asaba_718</t>
        </is>
      </c>
      <c r="D132" s="39" t="inlineStr">
        <is>
          <t>Sarom</t>
        </is>
      </c>
      <c r="E132" s="43" t="n">
        <v>46125</v>
      </c>
      <c r="F132" s="26" t="inlineStr">
        <is>
          <t>Sunil CR</t>
        </is>
      </c>
      <c r="G132" s="26" t="inlineStr">
        <is>
          <t>Yes</t>
        </is>
      </c>
      <c r="H132" s="26" t="inlineStr">
        <is>
          <t>No</t>
        </is>
      </c>
      <c r="I132" s="26" t="inlineStr">
        <is>
          <t>Good finish</t>
        </is>
      </c>
      <c r="J132" s="26" t="inlineStr">
        <is>
          <t>Yes</t>
        </is>
      </c>
      <c r="K132" s="27" t="n"/>
      <c r="L132" s="28" t="inlineStr">
        <is>
          <t>No</t>
        </is>
      </c>
      <c r="M132" s="29">
        <f>IF(E132="","",IF(H132="Yes","❌ Disc",IF(G132="No","⚠ Missing",IF(J132="Yes","✓ OK","⚠ Check"))))</f>
        <v/>
      </c>
      <c r="N132" s="43" t="n">
        <v>46139</v>
      </c>
      <c r="O132" s="26" t="inlineStr">
        <is>
          <t>Sunil CR</t>
        </is>
      </c>
      <c r="P132" s="26" t="inlineStr">
        <is>
          <t>Yes</t>
        </is>
      </c>
      <c r="Q132" s="26" t="inlineStr">
        <is>
          <t>No</t>
        </is>
      </c>
      <c r="R132" s="26" t="inlineStr">
        <is>
          <t>Good finish</t>
        </is>
      </c>
      <c r="S132" s="26" t="inlineStr">
        <is>
          <t>Yes</t>
        </is>
      </c>
      <c r="T132" s="27" t="n"/>
      <c r="U132" s="28" t="inlineStr">
        <is>
          <t>No</t>
        </is>
      </c>
      <c r="V132" s="29">
        <f>IF(N132="","",IF(Q132="Yes","❌ Disc",IF(P132="No","⚠ Missing",IF(S132="Yes","✓ OK","⚠ Check"))))</f>
        <v/>
      </c>
      <c r="W132" s="65" t="n">
        <v>46248</v>
      </c>
      <c r="X132" s="30" t="inlineStr">
        <is>
          <t>Sunil CR</t>
        </is>
      </c>
      <c r="Y132" s="30" t="inlineStr">
        <is>
          <t>Yes</t>
        </is>
      </c>
      <c r="Z132" s="30" t="n"/>
      <c r="AA132" s="30" t="inlineStr">
        <is>
          <t>Good finish</t>
        </is>
      </c>
      <c r="AB132" s="30" t="inlineStr">
        <is>
          <t>Yes</t>
        </is>
      </c>
      <c r="AC132" s="27" t="n"/>
      <c r="AD132" s="31" t="inlineStr">
        <is>
          <t>No</t>
        </is>
      </c>
      <c r="AE132" s="32">
        <f>IF(W132="","",IF(Z132="Yes","❌ Disc",IF(Y132="No","⚠ Missing",IF(AB132="Yes","✓ OK","⚠ Check"))))</f>
        <v/>
      </c>
      <c r="AF132" s="33" t="n"/>
      <c r="AG132" s="33" t="n"/>
      <c r="AH132" s="33" t="n"/>
      <c r="AI132" s="33" t="n"/>
      <c r="AJ132" s="33" t="n"/>
      <c r="AK132" s="33" t="n"/>
      <c r="AL132" s="27" t="n"/>
      <c r="AM132" s="34" t="n"/>
      <c r="AN132" s="35">
        <f>IF(AF132="","",IF(AI132="Yes","❌ Disc",IF(AH132="No","⚠ Missing",IF(AK132="Yes","✓ OK","⚠ Check"))))</f>
        <v/>
      </c>
      <c r="AO132" s="36" t="n"/>
      <c r="AP132" s="36" t="n"/>
      <c r="AQ132" s="36" t="n"/>
      <c r="AR132" s="36" t="n"/>
      <c r="AS132" s="36" t="n"/>
      <c r="AT132" s="36" t="n"/>
      <c r="AU132" s="27" t="n"/>
      <c r="AV132" s="37" t="n"/>
      <c r="AW132" s="38">
        <f>IF(AO132="","",IF(AR132="Yes","❌ Disc",IF(AQ132="No","⚠ Missing",IF(AT132="Yes","✓ OK","⚠ Check"))))</f>
        <v/>
      </c>
    </row>
    <row r="133" ht="18" customHeight="1" s="46">
      <c r="A133" s="23" t="n">
        <v>129</v>
      </c>
      <c r="B133" s="24" t="inlineStr">
        <is>
          <t>Asaba_719</t>
        </is>
      </c>
      <c r="C133" s="25" t="inlineStr">
        <is>
          <t>Sarom - Asaba Fabric(Diamond) - Asaba_719</t>
        </is>
      </c>
      <c r="D133" s="23" t="inlineStr">
        <is>
          <t>Sarom</t>
        </is>
      </c>
      <c r="E133" s="43" t="n">
        <v>46125</v>
      </c>
      <c r="F133" s="26" t="inlineStr">
        <is>
          <t>Sunil CR</t>
        </is>
      </c>
      <c r="G133" s="26" t="inlineStr">
        <is>
          <t>Yes</t>
        </is>
      </c>
      <c r="H133" s="26" t="inlineStr">
        <is>
          <t>No</t>
        </is>
      </c>
      <c r="I133" s="26" t="inlineStr">
        <is>
          <t>Good finish</t>
        </is>
      </c>
      <c r="J133" s="26" t="inlineStr">
        <is>
          <t>Yes</t>
        </is>
      </c>
      <c r="K133" s="27" t="n"/>
      <c r="L133" s="28" t="inlineStr">
        <is>
          <t>No</t>
        </is>
      </c>
      <c r="M133" s="29">
        <f>IF(E133="","",IF(H133="Yes","❌ Disc",IF(G133="No","⚠ Missing",IF(J133="Yes","✓ OK","⚠ Check"))))</f>
        <v/>
      </c>
      <c r="N133" s="43" t="n">
        <v>46139</v>
      </c>
      <c r="O133" s="26" t="inlineStr">
        <is>
          <t>Sunil CR</t>
        </is>
      </c>
      <c r="P133" s="26" t="inlineStr">
        <is>
          <t>Yes</t>
        </is>
      </c>
      <c r="Q133" s="26" t="inlineStr">
        <is>
          <t>No</t>
        </is>
      </c>
      <c r="R133" s="26" t="inlineStr">
        <is>
          <t>Good finish</t>
        </is>
      </c>
      <c r="S133" s="26" t="inlineStr">
        <is>
          <t>Yes</t>
        </is>
      </c>
      <c r="T133" s="27" t="n"/>
      <c r="U133" s="28" t="inlineStr">
        <is>
          <t>No</t>
        </is>
      </c>
      <c r="V133" s="29">
        <f>IF(N133="","",IF(Q133="Yes","❌ Disc",IF(P133="No","⚠ Missing",IF(S133="Yes","✓ OK","⚠ Check"))))</f>
        <v/>
      </c>
      <c r="W133" s="65" t="n">
        <v>46248</v>
      </c>
      <c r="X133" s="30" t="inlineStr">
        <is>
          <t>Sunil CR</t>
        </is>
      </c>
      <c r="Y133" s="30" t="inlineStr">
        <is>
          <t>Yes</t>
        </is>
      </c>
      <c r="Z133" s="30" t="n"/>
      <c r="AA133" s="30" t="inlineStr">
        <is>
          <t>Good finish</t>
        </is>
      </c>
      <c r="AB133" s="30" t="inlineStr">
        <is>
          <t>Yes</t>
        </is>
      </c>
      <c r="AC133" s="27" t="n"/>
      <c r="AD133" s="31" t="inlineStr">
        <is>
          <t>No</t>
        </is>
      </c>
      <c r="AE133" s="32">
        <f>IF(W133="","",IF(Z133="Yes","❌ Disc",IF(Y133="No","⚠ Missing",IF(AB133="Yes","✓ OK","⚠ Check"))))</f>
        <v/>
      </c>
      <c r="AF133" s="33" t="n"/>
      <c r="AG133" s="33" t="n"/>
      <c r="AH133" s="33" t="n"/>
      <c r="AI133" s="33" t="n"/>
      <c r="AJ133" s="33" t="n"/>
      <c r="AK133" s="33" t="n"/>
      <c r="AL133" s="27" t="n"/>
      <c r="AM133" s="34" t="n"/>
      <c r="AN133" s="35">
        <f>IF(AF133="","",IF(AI133="Yes","❌ Disc",IF(AH133="No","⚠ Missing",IF(AK133="Yes","✓ OK","⚠ Check"))))</f>
        <v/>
      </c>
      <c r="AO133" s="36" t="n"/>
      <c r="AP133" s="36" t="n"/>
      <c r="AQ133" s="36" t="n"/>
      <c r="AR133" s="36" t="n"/>
      <c r="AS133" s="36" t="n"/>
      <c r="AT133" s="36" t="n"/>
      <c r="AU133" s="27" t="n"/>
      <c r="AV133" s="37" t="n"/>
      <c r="AW133" s="38">
        <f>IF(AO133="","",IF(AR133="Yes","❌ Disc",IF(AQ133="No","⚠ Missing",IF(AT133="Yes","✓ OK","⚠ Check"))))</f>
        <v/>
      </c>
    </row>
    <row r="134" ht="18" customHeight="1" s="46">
      <c r="A134" s="39" t="n">
        <v>130</v>
      </c>
      <c r="B134" s="40" t="inlineStr">
        <is>
          <t>Asaba_720</t>
        </is>
      </c>
      <c r="C134" s="41" t="inlineStr">
        <is>
          <t>Sarom - Asaba Fabric(Diamond) - Asaba_720</t>
        </is>
      </c>
      <c r="D134" s="39" t="inlineStr">
        <is>
          <t>Sarom</t>
        </is>
      </c>
      <c r="E134" s="43" t="n">
        <v>46125</v>
      </c>
      <c r="F134" s="26" t="inlineStr">
        <is>
          <t>Sunil CR</t>
        </is>
      </c>
      <c r="G134" s="26" t="inlineStr">
        <is>
          <t>Yes</t>
        </is>
      </c>
      <c r="H134" s="26" t="inlineStr">
        <is>
          <t>No</t>
        </is>
      </c>
      <c r="I134" s="26" t="inlineStr">
        <is>
          <t>Good finish</t>
        </is>
      </c>
      <c r="J134" s="26" t="inlineStr">
        <is>
          <t>Yes</t>
        </is>
      </c>
      <c r="K134" s="27" t="n"/>
      <c r="L134" s="28" t="inlineStr">
        <is>
          <t>No</t>
        </is>
      </c>
      <c r="M134" s="29">
        <f>IF(E134="","",IF(H134="Yes","❌ Disc",IF(G134="No","⚠ Missing",IF(J134="Yes","✓ OK","⚠ Check"))))</f>
        <v/>
      </c>
      <c r="N134" s="43" t="n">
        <v>46139</v>
      </c>
      <c r="O134" s="26" t="inlineStr">
        <is>
          <t>Sunil CR</t>
        </is>
      </c>
      <c r="P134" s="26" t="inlineStr">
        <is>
          <t>Yes</t>
        </is>
      </c>
      <c r="Q134" s="26" t="inlineStr">
        <is>
          <t>No</t>
        </is>
      </c>
      <c r="R134" s="26" t="inlineStr">
        <is>
          <t>Good finish</t>
        </is>
      </c>
      <c r="S134" s="26" t="inlineStr">
        <is>
          <t>Yes</t>
        </is>
      </c>
      <c r="T134" s="27" t="n"/>
      <c r="U134" s="28" t="inlineStr">
        <is>
          <t>No</t>
        </is>
      </c>
      <c r="V134" s="29">
        <f>IF(N134="","",IF(Q134="Yes","❌ Disc",IF(P134="No","⚠ Missing",IF(S134="Yes","✓ OK","⚠ Check"))))</f>
        <v/>
      </c>
      <c r="W134" s="65" t="n">
        <v>46248</v>
      </c>
      <c r="X134" s="30" t="inlineStr">
        <is>
          <t>Sunil CR</t>
        </is>
      </c>
      <c r="Y134" s="30" t="inlineStr">
        <is>
          <t>Yes</t>
        </is>
      </c>
      <c r="Z134" s="30" t="n"/>
      <c r="AA134" s="30" t="inlineStr">
        <is>
          <t>Good finish</t>
        </is>
      </c>
      <c r="AB134" s="30" t="inlineStr">
        <is>
          <t>Yes</t>
        </is>
      </c>
      <c r="AC134" s="27" t="n"/>
      <c r="AD134" s="31" t="inlineStr">
        <is>
          <t>No</t>
        </is>
      </c>
      <c r="AE134" s="32">
        <f>IF(W134="","",IF(Z134="Yes","❌ Disc",IF(Y134="No","⚠ Missing",IF(AB134="Yes","✓ OK","⚠ Check"))))</f>
        <v/>
      </c>
      <c r="AF134" s="33" t="n"/>
      <c r="AG134" s="33" t="n"/>
      <c r="AH134" s="33" t="n"/>
      <c r="AI134" s="33" t="n"/>
      <c r="AJ134" s="33" t="n"/>
      <c r="AK134" s="33" t="n"/>
      <c r="AL134" s="27" t="n"/>
      <c r="AM134" s="34" t="n"/>
      <c r="AN134" s="35">
        <f>IF(AF134="","",IF(AI134="Yes","❌ Disc",IF(AH134="No","⚠ Missing",IF(AK134="Yes","✓ OK","⚠ Check"))))</f>
        <v/>
      </c>
      <c r="AO134" s="36" t="n"/>
      <c r="AP134" s="36" t="n"/>
      <c r="AQ134" s="36" t="n"/>
      <c r="AR134" s="36" t="n"/>
      <c r="AS134" s="36" t="n"/>
      <c r="AT134" s="36" t="n"/>
      <c r="AU134" s="27" t="n"/>
      <c r="AV134" s="37" t="n"/>
      <c r="AW134" s="38">
        <f>IF(AO134="","",IF(AR134="Yes","❌ Disc",IF(AQ134="No","⚠ Missing",IF(AT134="Yes","✓ OK","⚠ Check"))))</f>
        <v/>
      </c>
    </row>
    <row r="135" ht="18" customHeight="1" s="46">
      <c r="A135" s="23" t="n">
        <v>131</v>
      </c>
      <c r="B135" s="24" t="inlineStr">
        <is>
          <t>Asaba_721</t>
        </is>
      </c>
      <c r="C135" s="25" t="inlineStr">
        <is>
          <t>Sarom - Asaba Fabric(Diamond) - Asaba_721</t>
        </is>
      </c>
      <c r="D135" s="23" t="inlineStr">
        <is>
          <t>Sarom</t>
        </is>
      </c>
      <c r="E135" s="43" t="n">
        <v>46125</v>
      </c>
      <c r="F135" s="26" t="inlineStr">
        <is>
          <t>Sunil CR</t>
        </is>
      </c>
      <c r="G135" s="26" t="inlineStr">
        <is>
          <t>Yes</t>
        </is>
      </c>
      <c r="H135" s="26" t="inlineStr">
        <is>
          <t>No</t>
        </is>
      </c>
      <c r="I135" s="26" t="inlineStr">
        <is>
          <t>Good finish</t>
        </is>
      </c>
      <c r="J135" s="26" t="inlineStr">
        <is>
          <t>Yes</t>
        </is>
      </c>
      <c r="K135" s="27" t="n"/>
      <c r="L135" s="28" t="inlineStr">
        <is>
          <t>No</t>
        </is>
      </c>
      <c r="M135" s="29">
        <f>IF(E135="","",IF(H135="Yes","❌ Disc",IF(G135="No","⚠ Missing",IF(J135="Yes","✓ OK","⚠ Check"))))</f>
        <v/>
      </c>
      <c r="N135" s="43" t="n">
        <v>46139</v>
      </c>
      <c r="O135" s="26" t="inlineStr">
        <is>
          <t>Sunil CR</t>
        </is>
      </c>
      <c r="P135" s="26" t="inlineStr">
        <is>
          <t>Yes</t>
        </is>
      </c>
      <c r="Q135" s="26" t="inlineStr">
        <is>
          <t>No</t>
        </is>
      </c>
      <c r="R135" s="26" t="inlineStr">
        <is>
          <t>Good finish</t>
        </is>
      </c>
      <c r="S135" s="26" t="inlineStr">
        <is>
          <t>Yes</t>
        </is>
      </c>
      <c r="T135" s="27" t="n"/>
      <c r="U135" s="28" t="inlineStr">
        <is>
          <t>No</t>
        </is>
      </c>
      <c r="V135" s="29">
        <f>IF(N135="","",IF(Q135="Yes","❌ Disc",IF(P135="No","⚠ Missing",IF(S135="Yes","✓ OK","⚠ Check"))))</f>
        <v/>
      </c>
      <c r="W135" s="65" t="n">
        <v>46248</v>
      </c>
      <c r="X135" s="30" t="inlineStr">
        <is>
          <t>Sunil CR</t>
        </is>
      </c>
      <c r="Y135" s="30" t="inlineStr">
        <is>
          <t>Yes</t>
        </is>
      </c>
      <c r="Z135" s="30" t="n"/>
      <c r="AA135" s="30" t="inlineStr">
        <is>
          <t>Good finish</t>
        </is>
      </c>
      <c r="AB135" s="30" t="inlineStr">
        <is>
          <t>Yes</t>
        </is>
      </c>
      <c r="AC135" s="27" t="n"/>
      <c r="AD135" s="31" t="inlineStr">
        <is>
          <t>No</t>
        </is>
      </c>
      <c r="AE135" s="32">
        <f>IF(W135="","",IF(Z135="Yes","❌ Disc",IF(Y135="No","⚠ Missing",IF(AB135="Yes","✓ OK","⚠ Check"))))</f>
        <v/>
      </c>
      <c r="AF135" s="33" t="n"/>
      <c r="AG135" s="33" t="n"/>
      <c r="AH135" s="33" t="n"/>
      <c r="AI135" s="33" t="n"/>
      <c r="AJ135" s="33" t="n"/>
      <c r="AK135" s="33" t="n"/>
      <c r="AL135" s="27" t="n"/>
      <c r="AM135" s="34" t="n"/>
      <c r="AN135" s="35">
        <f>IF(AF135="","",IF(AI135="Yes","❌ Disc",IF(AH135="No","⚠ Missing",IF(AK135="Yes","✓ OK","⚠ Check"))))</f>
        <v/>
      </c>
      <c r="AO135" s="36" t="n"/>
      <c r="AP135" s="36" t="n"/>
      <c r="AQ135" s="36" t="n"/>
      <c r="AR135" s="36" t="n"/>
      <c r="AS135" s="36" t="n"/>
      <c r="AT135" s="36" t="n"/>
      <c r="AU135" s="27" t="n"/>
      <c r="AV135" s="37" t="n"/>
      <c r="AW135" s="38">
        <f>IF(AO135="","",IF(AR135="Yes","❌ Disc",IF(AQ135="No","⚠ Missing",IF(AT135="Yes","✓ OK","⚠ Check"))))</f>
        <v/>
      </c>
    </row>
    <row r="136" ht="18" customHeight="1" s="46">
      <c r="A136" s="39" t="n">
        <v>132</v>
      </c>
      <c r="B136" s="40" t="inlineStr">
        <is>
          <t>Asaba_722</t>
        </is>
      </c>
      <c r="C136" s="41" t="inlineStr">
        <is>
          <t>Sarom - Asaba Fabric(Diamond) - Asaba_722</t>
        </is>
      </c>
      <c r="D136" s="39" t="inlineStr">
        <is>
          <t>Sarom</t>
        </is>
      </c>
      <c r="E136" s="43" t="n">
        <v>46125</v>
      </c>
      <c r="F136" s="26" t="inlineStr">
        <is>
          <t>Sunil CR</t>
        </is>
      </c>
      <c r="G136" s="26" t="inlineStr">
        <is>
          <t>Yes</t>
        </is>
      </c>
      <c r="H136" s="26" t="inlineStr">
        <is>
          <t>No</t>
        </is>
      </c>
      <c r="I136" s="26" t="inlineStr">
        <is>
          <t>Good finish</t>
        </is>
      </c>
      <c r="J136" s="26" t="inlineStr">
        <is>
          <t>Yes</t>
        </is>
      </c>
      <c r="K136" s="27" t="n"/>
      <c r="L136" s="28" t="inlineStr">
        <is>
          <t>No</t>
        </is>
      </c>
      <c r="M136" s="29">
        <f>IF(E136="","",IF(H136="Yes","❌ Disc",IF(G136="No","⚠ Missing",IF(J136="Yes","✓ OK","⚠ Check"))))</f>
        <v/>
      </c>
      <c r="N136" s="43" t="n">
        <v>46139</v>
      </c>
      <c r="O136" s="26" t="inlineStr">
        <is>
          <t>Sunil CR</t>
        </is>
      </c>
      <c r="P136" s="26" t="inlineStr">
        <is>
          <t>Yes</t>
        </is>
      </c>
      <c r="Q136" s="26" t="inlineStr">
        <is>
          <t>No</t>
        </is>
      </c>
      <c r="R136" s="26" t="inlineStr">
        <is>
          <t>Good finish</t>
        </is>
      </c>
      <c r="S136" s="26" t="inlineStr">
        <is>
          <t>Yes</t>
        </is>
      </c>
      <c r="T136" s="27" t="n"/>
      <c r="U136" s="28" t="inlineStr">
        <is>
          <t>No</t>
        </is>
      </c>
      <c r="V136" s="29">
        <f>IF(N136="","",IF(Q136="Yes","❌ Disc",IF(P136="No","⚠ Missing",IF(S136="Yes","✓ OK","⚠ Check"))))</f>
        <v/>
      </c>
      <c r="W136" s="65" t="n">
        <v>46248</v>
      </c>
      <c r="X136" s="30" t="inlineStr">
        <is>
          <t>Sunil CR</t>
        </is>
      </c>
      <c r="Y136" s="30" t="inlineStr">
        <is>
          <t>Yes</t>
        </is>
      </c>
      <c r="Z136" s="30" t="n"/>
      <c r="AA136" s="30" t="inlineStr">
        <is>
          <t>Good finish</t>
        </is>
      </c>
      <c r="AB136" s="30" t="inlineStr">
        <is>
          <t>Yes</t>
        </is>
      </c>
      <c r="AC136" s="27" t="n"/>
      <c r="AD136" s="31" t="inlineStr">
        <is>
          <t>No</t>
        </is>
      </c>
      <c r="AE136" s="32">
        <f>IF(W136="","",IF(Z136="Yes","❌ Disc",IF(Y136="No","⚠ Missing",IF(AB136="Yes","✓ OK","⚠ Check"))))</f>
        <v/>
      </c>
      <c r="AF136" s="33" t="n"/>
      <c r="AG136" s="33" t="n"/>
      <c r="AH136" s="33" t="n"/>
      <c r="AI136" s="33" t="n"/>
      <c r="AJ136" s="33" t="n"/>
      <c r="AK136" s="33" t="n"/>
      <c r="AL136" s="27" t="n"/>
      <c r="AM136" s="34" t="n"/>
      <c r="AN136" s="35">
        <f>IF(AF136="","",IF(AI136="Yes","❌ Disc",IF(AH136="No","⚠ Missing",IF(AK136="Yes","✓ OK","⚠ Check"))))</f>
        <v/>
      </c>
      <c r="AO136" s="36" t="n"/>
      <c r="AP136" s="36" t="n"/>
      <c r="AQ136" s="36" t="n"/>
      <c r="AR136" s="36" t="n"/>
      <c r="AS136" s="36" t="n"/>
      <c r="AT136" s="36" t="n"/>
      <c r="AU136" s="27" t="n"/>
      <c r="AV136" s="37" t="n"/>
      <c r="AW136" s="38">
        <f>IF(AO136="","",IF(AR136="Yes","❌ Disc",IF(AQ136="No","⚠ Missing",IF(AT136="Yes","✓ OK","⚠ Check"))))</f>
        <v/>
      </c>
    </row>
    <row r="137" ht="18" customHeight="1" s="46">
      <c r="A137" s="23" t="n">
        <v>133</v>
      </c>
      <c r="B137" s="24" t="inlineStr">
        <is>
          <t>Asaba_723</t>
        </is>
      </c>
      <c r="C137" s="25" t="inlineStr">
        <is>
          <t>Sarom - Asaba Fabric(Diamond) - Asaba_723</t>
        </is>
      </c>
      <c r="D137" s="23" t="inlineStr">
        <is>
          <t>Sarom</t>
        </is>
      </c>
      <c r="E137" s="43" t="n">
        <v>46125</v>
      </c>
      <c r="F137" s="26" t="inlineStr">
        <is>
          <t>Sunil CR</t>
        </is>
      </c>
      <c r="G137" s="26" t="inlineStr">
        <is>
          <t>Yes</t>
        </is>
      </c>
      <c r="H137" s="26" t="inlineStr">
        <is>
          <t>No</t>
        </is>
      </c>
      <c r="I137" s="26" t="inlineStr">
        <is>
          <t>Good finish</t>
        </is>
      </c>
      <c r="J137" s="26" t="inlineStr">
        <is>
          <t>Yes</t>
        </is>
      </c>
      <c r="K137" s="27" t="n"/>
      <c r="L137" s="28" t="inlineStr">
        <is>
          <t>No</t>
        </is>
      </c>
      <c r="M137" s="29">
        <f>IF(E137="","",IF(H137="Yes","❌ Disc",IF(G137="No","⚠ Missing",IF(J137="Yes","✓ OK","⚠ Check"))))</f>
        <v/>
      </c>
      <c r="N137" s="43" t="n">
        <v>46139</v>
      </c>
      <c r="O137" s="26" t="inlineStr">
        <is>
          <t>Sunil CR</t>
        </is>
      </c>
      <c r="P137" s="26" t="inlineStr">
        <is>
          <t>Yes</t>
        </is>
      </c>
      <c r="Q137" s="26" t="inlineStr">
        <is>
          <t>No</t>
        </is>
      </c>
      <c r="R137" s="26" t="inlineStr">
        <is>
          <t>Good finish</t>
        </is>
      </c>
      <c r="S137" s="26" t="inlineStr">
        <is>
          <t>Yes</t>
        </is>
      </c>
      <c r="T137" s="27" t="n"/>
      <c r="U137" s="28" t="inlineStr">
        <is>
          <t>No</t>
        </is>
      </c>
      <c r="V137" s="29">
        <f>IF(N137="","",IF(Q137="Yes","❌ Disc",IF(P137="No","⚠ Missing",IF(S137="Yes","✓ OK","⚠ Check"))))</f>
        <v/>
      </c>
      <c r="W137" s="65" t="n">
        <v>46248</v>
      </c>
      <c r="X137" s="30" t="inlineStr">
        <is>
          <t>Sunil CR</t>
        </is>
      </c>
      <c r="Y137" s="30" t="inlineStr">
        <is>
          <t>Yes</t>
        </is>
      </c>
      <c r="Z137" s="30" t="n"/>
      <c r="AA137" s="30" t="inlineStr">
        <is>
          <t>Good finish</t>
        </is>
      </c>
      <c r="AB137" s="30" t="inlineStr">
        <is>
          <t>Yes</t>
        </is>
      </c>
      <c r="AC137" s="27" t="n"/>
      <c r="AD137" s="31" t="inlineStr">
        <is>
          <t>No</t>
        </is>
      </c>
      <c r="AE137" s="32">
        <f>IF(W137="","",IF(Z137="Yes","❌ Disc",IF(Y137="No","⚠ Missing",IF(AB137="Yes","✓ OK","⚠ Check"))))</f>
        <v/>
      </c>
      <c r="AF137" s="33" t="n"/>
      <c r="AG137" s="33" t="n"/>
      <c r="AH137" s="33" t="n"/>
      <c r="AI137" s="33" t="n"/>
      <c r="AJ137" s="33" t="n"/>
      <c r="AK137" s="33" t="n"/>
      <c r="AL137" s="27" t="n"/>
      <c r="AM137" s="34" t="n"/>
      <c r="AN137" s="35">
        <f>IF(AF137="","",IF(AI137="Yes","❌ Disc",IF(AH137="No","⚠ Missing",IF(AK137="Yes","✓ OK","⚠ Check"))))</f>
        <v/>
      </c>
      <c r="AO137" s="36" t="n"/>
      <c r="AP137" s="36" t="n"/>
      <c r="AQ137" s="36" t="n"/>
      <c r="AR137" s="36" t="n"/>
      <c r="AS137" s="36" t="n"/>
      <c r="AT137" s="36" t="n"/>
      <c r="AU137" s="27" t="n"/>
      <c r="AV137" s="37" t="n"/>
      <c r="AW137" s="38">
        <f>IF(AO137="","",IF(AR137="Yes","❌ Disc",IF(AQ137="No","⚠ Missing",IF(AT137="Yes","✓ OK","⚠ Check"))))</f>
        <v/>
      </c>
    </row>
    <row r="138" ht="18" customHeight="1" s="46">
      <c r="A138" s="39" t="n">
        <v>134</v>
      </c>
      <c r="B138" s="40" t="inlineStr">
        <is>
          <t>Asaba_724</t>
        </is>
      </c>
      <c r="C138" s="41" t="inlineStr">
        <is>
          <t>Sarom - Asaba Fabric(Diamond) - Asaba_724</t>
        </is>
      </c>
      <c r="D138" s="39" t="inlineStr">
        <is>
          <t>Sarom</t>
        </is>
      </c>
      <c r="E138" s="43" t="n">
        <v>46125</v>
      </c>
      <c r="F138" s="26" t="inlineStr">
        <is>
          <t>Sunil CR</t>
        </is>
      </c>
      <c r="G138" s="26" t="inlineStr">
        <is>
          <t>Yes</t>
        </is>
      </c>
      <c r="H138" s="26" t="inlineStr">
        <is>
          <t>No</t>
        </is>
      </c>
      <c r="I138" s="26" t="inlineStr">
        <is>
          <t>Good finish</t>
        </is>
      </c>
      <c r="J138" s="26" t="inlineStr">
        <is>
          <t>Yes</t>
        </is>
      </c>
      <c r="K138" s="27" t="n"/>
      <c r="L138" s="28" t="inlineStr">
        <is>
          <t>No</t>
        </is>
      </c>
      <c r="M138" s="29">
        <f>IF(E138="","",IF(H138="Yes","❌ Disc",IF(G138="No","⚠ Missing",IF(J138="Yes","✓ OK","⚠ Check"))))</f>
        <v/>
      </c>
      <c r="N138" s="43" t="n">
        <v>46139</v>
      </c>
      <c r="O138" s="26" t="inlineStr">
        <is>
          <t>Sunil CR</t>
        </is>
      </c>
      <c r="P138" s="26" t="inlineStr">
        <is>
          <t>Yes</t>
        </is>
      </c>
      <c r="Q138" s="26" t="inlineStr">
        <is>
          <t>No</t>
        </is>
      </c>
      <c r="R138" s="26" t="inlineStr">
        <is>
          <t>Good finish</t>
        </is>
      </c>
      <c r="S138" s="26" t="inlineStr">
        <is>
          <t>Yes</t>
        </is>
      </c>
      <c r="T138" s="27" t="n"/>
      <c r="U138" s="28" t="inlineStr">
        <is>
          <t>No</t>
        </is>
      </c>
      <c r="V138" s="29">
        <f>IF(N138="","",IF(Q138="Yes","❌ Disc",IF(P138="No","⚠ Missing",IF(S138="Yes","✓ OK","⚠ Check"))))</f>
        <v/>
      </c>
      <c r="W138" s="65" t="n">
        <v>46248</v>
      </c>
      <c r="X138" s="30" t="inlineStr">
        <is>
          <t>Sunil CR</t>
        </is>
      </c>
      <c r="Y138" s="30" t="inlineStr">
        <is>
          <t>Yes</t>
        </is>
      </c>
      <c r="Z138" s="30" t="n"/>
      <c r="AA138" s="30" t="inlineStr">
        <is>
          <t>Good finish</t>
        </is>
      </c>
      <c r="AB138" s="30" t="inlineStr">
        <is>
          <t>Yes</t>
        </is>
      </c>
      <c r="AC138" s="27" t="n"/>
      <c r="AD138" s="31" t="inlineStr">
        <is>
          <t>No</t>
        </is>
      </c>
      <c r="AE138" s="32">
        <f>IF(W138="","",IF(Z138="Yes","❌ Disc",IF(Y138="No","⚠ Missing",IF(AB138="Yes","✓ OK","⚠ Check"))))</f>
        <v/>
      </c>
      <c r="AF138" s="33" t="n"/>
      <c r="AG138" s="33" t="n"/>
      <c r="AH138" s="33" t="n"/>
      <c r="AI138" s="33" t="n"/>
      <c r="AJ138" s="33" t="n"/>
      <c r="AK138" s="33" t="n"/>
      <c r="AL138" s="27" t="n"/>
      <c r="AM138" s="34" t="n"/>
      <c r="AN138" s="35">
        <f>IF(AF138="","",IF(AI138="Yes","❌ Disc",IF(AH138="No","⚠ Missing",IF(AK138="Yes","✓ OK","⚠ Check"))))</f>
        <v/>
      </c>
      <c r="AO138" s="36" t="n"/>
      <c r="AP138" s="36" t="n"/>
      <c r="AQ138" s="36" t="n"/>
      <c r="AR138" s="36" t="n"/>
      <c r="AS138" s="36" t="n"/>
      <c r="AT138" s="36" t="n"/>
      <c r="AU138" s="27" t="n"/>
      <c r="AV138" s="37" t="n"/>
      <c r="AW138" s="38">
        <f>IF(AO138="","",IF(AR138="Yes","❌ Disc",IF(AQ138="No","⚠ Missing",IF(AT138="Yes","✓ OK","⚠ Check"))))</f>
        <v/>
      </c>
    </row>
    <row r="139" ht="18" customHeight="1" s="46">
      <c r="A139" s="23" t="n">
        <v>135</v>
      </c>
      <c r="B139" s="24" t="inlineStr">
        <is>
          <t>Asaba_725</t>
        </is>
      </c>
      <c r="C139" s="25" t="inlineStr">
        <is>
          <t>Sarom - Asaba Fabric(Diamond) - Asaba_725</t>
        </is>
      </c>
      <c r="D139" s="23" t="inlineStr">
        <is>
          <t>Sarom</t>
        </is>
      </c>
      <c r="E139" s="43" t="n">
        <v>46125</v>
      </c>
      <c r="F139" s="26" t="inlineStr">
        <is>
          <t>Sunil CR</t>
        </is>
      </c>
      <c r="G139" s="26" t="inlineStr">
        <is>
          <t>Yes</t>
        </is>
      </c>
      <c r="H139" s="26" t="inlineStr">
        <is>
          <t>No</t>
        </is>
      </c>
      <c r="I139" s="26" t="inlineStr">
        <is>
          <t>Good finish</t>
        </is>
      </c>
      <c r="J139" s="26" t="inlineStr">
        <is>
          <t>Yes</t>
        </is>
      </c>
      <c r="K139" s="27" t="n"/>
      <c r="L139" s="28" t="inlineStr">
        <is>
          <t>No</t>
        </is>
      </c>
      <c r="M139" s="29">
        <f>IF(E139="","",IF(H139="Yes","❌ Disc",IF(G139="No","⚠ Missing",IF(J139="Yes","✓ OK","⚠ Check"))))</f>
        <v/>
      </c>
      <c r="N139" s="43" t="n">
        <v>46139</v>
      </c>
      <c r="O139" s="26" t="inlineStr">
        <is>
          <t>Sunil CR</t>
        </is>
      </c>
      <c r="P139" s="26" t="inlineStr">
        <is>
          <t>Yes</t>
        </is>
      </c>
      <c r="Q139" s="26" t="inlineStr">
        <is>
          <t>No</t>
        </is>
      </c>
      <c r="R139" s="26" t="inlineStr">
        <is>
          <t>Good finish</t>
        </is>
      </c>
      <c r="S139" s="26" t="inlineStr">
        <is>
          <t>Yes</t>
        </is>
      </c>
      <c r="T139" s="27" t="n"/>
      <c r="U139" s="28" t="inlineStr">
        <is>
          <t>No</t>
        </is>
      </c>
      <c r="V139" s="29">
        <f>IF(N139="","",IF(Q139="Yes","❌ Disc",IF(P139="No","⚠ Missing",IF(S139="Yes","✓ OK","⚠ Check"))))</f>
        <v/>
      </c>
      <c r="W139" s="65" t="n">
        <v>46248</v>
      </c>
      <c r="X139" s="30" t="inlineStr">
        <is>
          <t>Sunil CR</t>
        </is>
      </c>
      <c r="Y139" s="30" t="inlineStr">
        <is>
          <t>Yes</t>
        </is>
      </c>
      <c r="Z139" s="30" t="n"/>
      <c r="AA139" s="30" t="inlineStr">
        <is>
          <t>Good finish</t>
        </is>
      </c>
      <c r="AB139" s="30" t="inlineStr">
        <is>
          <t>Yes</t>
        </is>
      </c>
      <c r="AC139" s="27" t="n"/>
      <c r="AD139" s="31" t="inlineStr">
        <is>
          <t>No</t>
        </is>
      </c>
      <c r="AE139" s="32">
        <f>IF(W139="","",IF(Z139="Yes","❌ Disc",IF(Y139="No","⚠ Missing",IF(AB139="Yes","✓ OK","⚠ Check"))))</f>
        <v/>
      </c>
      <c r="AF139" s="33" t="n"/>
      <c r="AG139" s="33" t="n"/>
      <c r="AH139" s="33" t="n"/>
      <c r="AI139" s="33" t="n"/>
      <c r="AJ139" s="33" t="n"/>
      <c r="AK139" s="33" t="n"/>
      <c r="AL139" s="27" t="n"/>
      <c r="AM139" s="34" t="n"/>
      <c r="AN139" s="35">
        <f>IF(AF139="","",IF(AI139="Yes","❌ Disc",IF(AH139="No","⚠ Missing",IF(AK139="Yes","✓ OK","⚠ Check"))))</f>
        <v/>
      </c>
      <c r="AO139" s="36" t="n"/>
      <c r="AP139" s="36" t="n"/>
      <c r="AQ139" s="36" t="n"/>
      <c r="AR139" s="36" t="n"/>
      <c r="AS139" s="36" t="n"/>
      <c r="AT139" s="36" t="n"/>
      <c r="AU139" s="27" t="n"/>
      <c r="AV139" s="37" t="n"/>
      <c r="AW139" s="38">
        <f>IF(AO139="","",IF(AR139="Yes","❌ Disc",IF(AQ139="No","⚠ Missing",IF(AT139="Yes","✓ OK","⚠ Check"))))</f>
        <v/>
      </c>
    </row>
    <row r="140" ht="18" customHeight="1" s="46">
      <c r="A140" s="39" t="n">
        <v>136</v>
      </c>
      <c r="B140" s="40" t="inlineStr">
        <is>
          <t>Asaba_726</t>
        </is>
      </c>
      <c r="C140" s="41" t="inlineStr">
        <is>
          <t>Sarom - Asaba Fabric(Diamond) - Asaba_726</t>
        </is>
      </c>
      <c r="D140" s="39" t="inlineStr">
        <is>
          <t>Sarom</t>
        </is>
      </c>
      <c r="E140" s="43" t="n">
        <v>46125</v>
      </c>
      <c r="F140" s="26" t="inlineStr">
        <is>
          <t>Sunil CR</t>
        </is>
      </c>
      <c r="G140" s="26" t="inlineStr">
        <is>
          <t>Yes</t>
        </is>
      </c>
      <c r="H140" s="26" t="inlineStr">
        <is>
          <t>No</t>
        </is>
      </c>
      <c r="I140" s="26" t="inlineStr">
        <is>
          <t>Good finish</t>
        </is>
      </c>
      <c r="J140" s="26" t="inlineStr">
        <is>
          <t>Yes</t>
        </is>
      </c>
      <c r="K140" s="27" t="n"/>
      <c r="L140" s="28" t="inlineStr">
        <is>
          <t>No</t>
        </is>
      </c>
      <c r="M140" s="29">
        <f>IF(E140="","",IF(H140="Yes","❌ Disc",IF(G140="No","⚠ Missing",IF(J140="Yes","✓ OK","⚠ Check"))))</f>
        <v/>
      </c>
      <c r="N140" s="43" t="n">
        <v>46139</v>
      </c>
      <c r="O140" s="26" t="inlineStr">
        <is>
          <t>Sunil CR</t>
        </is>
      </c>
      <c r="P140" s="26" t="inlineStr">
        <is>
          <t>Yes</t>
        </is>
      </c>
      <c r="Q140" s="26" t="inlineStr">
        <is>
          <t>No</t>
        </is>
      </c>
      <c r="R140" s="26" t="inlineStr">
        <is>
          <t>Good finish</t>
        </is>
      </c>
      <c r="S140" s="26" t="inlineStr">
        <is>
          <t>Yes</t>
        </is>
      </c>
      <c r="T140" s="27" t="n"/>
      <c r="U140" s="28" t="inlineStr">
        <is>
          <t>No</t>
        </is>
      </c>
      <c r="V140" s="29">
        <f>IF(N140="","",IF(Q140="Yes","❌ Disc",IF(P140="No","⚠ Missing",IF(S140="Yes","✓ OK","⚠ Check"))))</f>
        <v/>
      </c>
      <c r="W140" s="65" t="n">
        <v>46248</v>
      </c>
      <c r="X140" s="30" t="inlineStr">
        <is>
          <t>Sunil CR</t>
        </is>
      </c>
      <c r="Y140" s="30" t="inlineStr">
        <is>
          <t>Yes</t>
        </is>
      </c>
      <c r="Z140" s="30" t="n"/>
      <c r="AA140" s="30" t="inlineStr">
        <is>
          <t>Good finish</t>
        </is>
      </c>
      <c r="AB140" s="30" t="inlineStr">
        <is>
          <t>Yes</t>
        </is>
      </c>
      <c r="AC140" s="27" t="n"/>
      <c r="AD140" s="31" t="inlineStr">
        <is>
          <t>No</t>
        </is>
      </c>
      <c r="AE140" s="32">
        <f>IF(W140="","",IF(Z140="Yes","❌ Disc",IF(Y140="No","⚠ Missing",IF(AB140="Yes","✓ OK","⚠ Check"))))</f>
        <v/>
      </c>
      <c r="AF140" s="33" t="n"/>
      <c r="AG140" s="33" t="n"/>
      <c r="AH140" s="33" t="n"/>
      <c r="AI140" s="33" t="n"/>
      <c r="AJ140" s="33" t="n"/>
      <c r="AK140" s="33" t="n"/>
      <c r="AL140" s="27" t="n"/>
      <c r="AM140" s="34" t="n"/>
      <c r="AN140" s="35">
        <f>IF(AF140="","",IF(AI140="Yes","❌ Disc",IF(AH140="No","⚠ Missing",IF(AK140="Yes","✓ OK","⚠ Check"))))</f>
        <v/>
      </c>
      <c r="AO140" s="36" t="n"/>
      <c r="AP140" s="36" t="n"/>
      <c r="AQ140" s="36" t="n"/>
      <c r="AR140" s="36" t="n"/>
      <c r="AS140" s="36" t="n"/>
      <c r="AT140" s="36" t="n"/>
      <c r="AU140" s="27" t="n"/>
      <c r="AV140" s="37" t="n"/>
      <c r="AW140" s="38">
        <f>IF(AO140="","",IF(AR140="Yes","❌ Disc",IF(AQ140="No","⚠ Missing",IF(AT140="Yes","✓ OK","⚠ Check"))))</f>
        <v/>
      </c>
    </row>
    <row r="141" ht="18" customHeight="1" s="46">
      <c r="A141" s="23" t="n">
        <v>137</v>
      </c>
      <c r="B141" s="24" t="inlineStr">
        <is>
          <t>Asaba_727</t>
        </is>
      </c>
      <c r="C141" s="25" t="inlineStr">
        <is>
          <t>Sarom - Asaba Fabric(Diamond) - Asaba_727</t>
        </is>
      </c>
      <c r="D141" s="23" t="inlineStr">
        <is>
          <t>Sarom</t>
        </is>
      </c>
      <c r="E141" s="43" t="n">
        <v>46125</v>
      </c>
      <c r="F141" s="26" t="inlineStr">
        <is>
          <t>Sunil CR</t>
        </is>
      </c>
      <c r="G141" s="26" t="inlineStr">
        <is>
          <t>Yes</t>
        </is>
      </c>
      <c r="H141" s="26" t="inlineStr">
        <is>
          <t>No</t>
        </is>
      </c>
      <c r="I141" s="26" t="inlineStr">
        <is>
          <t>Good finish</t>
        </is>
      </c>
      <c r="J141" s="26" t="inlineStr">
        <is>
          <t>Yes</t>
        </is>
      </c>
      <c r="K141" s="27" t="n"/>
      <c r="L141" s="28" t="inlineStr">
        <is>
          <t>No</t>
        </is>
      </c>
      <c r="M141" s="29">
        <f>IF(E141="","",IF(H141="Yes","❌ Disc",IF(G141="No","⚠ Missing",IF(J141="Yes","✓ OK","⚠ Check"))))</f>
        <v/>
      </c>
      <c r="N141" s="43" t="n">
        <v>46139</v>
      </c>
      <c r="O141" s="26" t="inlineStr">
        <is>
          <t>Sunil CR</t>
        </is>
      </c>
      <c r="P141" s="26" t="inlineStr">
        <is>
          <t>Yes</t>
        </is>
      </c>
      <c r="Q141" s="26" t="inlineStr">
        <is>
          <t>No</t>
        </is>
      </c>
      <c r="R141" s="26" t="inlineStr">
        <is>
          <t>Good finish</t>
        </is>
      </c>
      <c r="S141" s="26" t="inlineStr">
        <is>
          <t>Yes</t>
        </is>
      </c>
      <c r="T141" s="27" t="n"/>
      <c r="U141" s="28" t="inlineStr">
        <is>
          <t>No</t>
        </is>
      </c>
      <c r="V141" s="29">
        <f>IF(N141="","",IF(Q141="Yes","❌ Disc",IF(P141="No","⚠ Missing",IF(S141="Yes","✓ OK","⚠ Check"))))</f>
        <v/>
      </c>
      <c r="W141" s="65" t="n">
        <v>46248</v>
      </c>
      <c r="X141" s="30" t="inlineStr">
        <is>
          <t>Sunil CR</t>
        </is>
      </c>
      <c r="Y141" s="30" t="inlineStr">
        <is>
          <t>Yes</t>
        </is>
      </c>
      <c r="Z141" s="30" t="n"/>
      <c r="AA141" s="30" t="inlineStr">
        <is>
          <t>Good finish</t>
        </is>
      </c>
      <c r="AB141" s="30" t="inlineStr">
        <is>
          <t>Yes</t>
        </is>
      </c>
      <c r="AC141" s="27" t="n"/>
      <c r="AD141" s="31" t="inlineStr">
        <is>
          <t>No</t>
        </is>
      </c>
      <c r="AE141" s="32">
        <f>IF(W141="","",IF(Z141="Yes","❌ Disc",IF(Y141="No","⚠ Missing",IF(AB141="Yes","✓ OK","⚠ Check"))))</f>
        <v/>
      </c>
      <c r="AF141" s="33" t="n"/>
      <c r="AG141" s="33" t="n"/>
      <c r="AH141" s="33" t="n"/>
      <c r="AI141" s="33" t="n"/>
      <c r="AJ141" s="33" t="n"/>
      <c r="AK141" s="33" t="n"/>
      <c r="AL141" s="27" t="n"/>
      <c r="AM141" s="34" t="n"/>
      <c r="AN141" s="35">
        <f>IF(AF141="","",IF(AI141="Yes","❌ Disc",IF(AH141="No","⚠ Missing",IF(AK141="Yes","✓ OK","⚠ Check"))))</f>
        <v/>
      </c>
      <c r="AO141" s="36" t="n"/>
      <c r="AP141" s="36" t="n"/>
      <c r="AQ141" s="36" t="n"/>
      <c r="AR141" s="36" t="n"/>
      <c r="AS141" s="36" t="n"/>
      <c r="AT141" s="36" t="n"/>
      <c r="AU141" s="27" t="n"/>
      <c r="AV141" s="37" t="n"/>
      <c r="AW141" s="38">
        <f>IF(AO141="","",IF(AR141="Yes","❌ Disc",IF(AQ141="No","⚠ Missing",IF(AT141="Yes","✓ OK","⚠ Check"))))</f>
        <v/>
      </c>
    </row>
    <row r="142" ht="18" customHeight="1" s="46">
      <c r="A142" s="39" t="n">
        <v>138</v>
      </c>
      <c r="B142" s="40" t="inlineStr">
        <is>
          <t>Asaba_728</t>
        </is>
      </c>
      <c r="C142" s="41" t="inlineStr">
        <is>
          <t>Sarom - Asaba Fabric(Diamond) - Asaba_728</t>
        </is>
      </c>
      <c r="D142" s="39" t="inlineStr">
        <is>
          <t>Sarom</t>
        </is>
      </c>
      <c r="E142" s="43" t="n">
        <v>46125</v>
      </c>
      <c r="F142" s="26" t="inlineStr">
        <is>
          <t>Sunil CR</t>
        </is>
      </c>
      <c r="G142" s="26" t="inlineStr">
        <is>
          <t>Yes</t>
        </is>
      </c>
      <c r="H142" s="26" t="inlineStr">
        <is>
          <t>No</t>
        </is>
      </c>
      <c r="I142" s="26" t="inlineStr">
        <is>
          <t>Good finish</t>
        </is>
      </c>
      <c r="J142" s="26" t="inlineStr">
        <is>
          <t>Yes</t>
        </is>
      </c>
      <c r="K142" s="27" t="n"/>
      <c r="L142" s="28" t="inlineStr">
        <is>
          <t>No</t>
        </is>
      </c>
      <c r="M142" s="29">
        <f>IF(E142="","",IF(H142="Yes","❌ Disc",IF(G142="No","⚠ Missing",IF(J142="Yes","✓ OK","⚠ Check"))))</f>
        <v/>
      </c>
      <c r="N142" s="43" t="n">
        <v>46139</v>
      </c>
      <c r="O142" s="26" t="inlineStr">
        <is>
          <t>Sunil CR</t>
        </is>
      </c>
      <c r="P142" s="26" t="inlineStr">
        <is>
          <t>Yes</t>
        </is>
      </c>
      <c r="Q142" s="26" t="inlineStr">
        <is>
          <t>No</t>
        </is>
      </c>
      <c r="R142" s="26" t="inlineStr">
        <is>
          <t>Good finish</t>
        </is>
      </c>
      <c r="S142" s="26" t="inlineStr">
        <is>
          <t>Yes</t>
        </is>
      </c>
      <c r="T142" s="27" t="n"/>
      <c r="U142" s="28" t="inlineStr">
        <is>
          <t>No</t>
        </is>
      </c>
      <c r="V142" s="29">
        <f>IF(N142="","",IF(Q142="Yes","❌ Disc",IF(P142="No","⚠ Missing",IF(S142="Yes","✓ OK","⚠ Check"))))</f>
        <v/>
      </c>
      <c r="W142" s="65" t="n">
        <v>46248</v>
      </c>
      <c r="X142" s="30" t="inlineStr">
        <is>
          <t>Sunil CR</t>
        </is>
      </c>
      <c r="Y142" s="30" t="inlineStr">
        <is>
          <t>Yes</t>
        </is>
      </c>
      <c r="Z142" s="30" t="n"/>
      <c r="AA142" s="30" t="inlineStr">
        <is>
          <t>Good finish</t>
        </is>
      </c>
      <c r="AB142" s="30" t="inlineStr">
        <is>
          <t>Yes</t>
        </is>
      </c>
      <c r="AC142" s="27" t="n"/>
      <c r="AD142" s="31" t="inlineStr">
        <is>
          <t>No</t>
        </is>
      </c>
      <c r="AE142" s="32">
        <f>IF(W142="","",IF(Z142="Yes","❌ Disc",IF(Y142="No","⚠ Missing",IF(AB142="Yes","✓ OK","⚠ Check"))))</f>
        <v/>
      </c>
      <c r="AF142" s="33" t="n"/>
      <c r="AG142" s="33" t="n"/>
      <c r="AH142" s="33" t="n"/>
      <c r="AI142" s="33" t="n"/>
      <c r="AJ142" s="33" t="n"/>
      <c r="AK142" s="33" t="n"/>
      <c r="AL142" s="27" t="n"/>
      <c r="AM142" s="34" t="n"/>
      <c r="AN142" s="35">
        <f>IF(AF142="","",IF(AI142="Yes","❌ Disc",IF(AH142="No","⚠ Missing",IF(AK142="Yes","✓ OK","⚠ Check"))))</f>
        <v/>
      </c>
      <c r="AO142" s="36" t="n"/>
      <c r="AP142" s="36" t="n"/>
      <c r="AQ142" s="36" t="n"/>
      <c r="AR142" s="36" t="n"/>
      <c r="AS142" s="36" t="n"/>
      <c r="AT142" s="36" t="n"/>
      <c r="AU142" s="27" t="n"/>
      <c r="AV142" s="37" t="n"/>
      <c r="AW142" s="38">
        <f>IF(AO142="","",IF(AR142="Yes","❌ Disc",IF(AQ142="No","⚠ Missing",IF(AT142="Yes","✓ OK","⚠ Check"))))</f>
        <v/>
      </c>
    </row>
    <row r="143" ht="18" customHeight="1" s="46">
      <c r="A143" s="23" t="n">
        <v>139</v>
      </c>
      <c r="B143" s="24" t="inlineStr">
        <is>
          <t>Asaba_729</t>
        </is>
      </c>
      <c r="C143" s="25" t="inlineStr">
        <is>
          <t>Sarom - Asaba Fabric(Diamond) - Asaba_729</t>
        </is>
      </c>
      <c r="D143" s="23" t="inlineStr">
        <is>
          <t>Sarom</t>
        </is>
      </c>
      <c r="E143" s="43" t="n">
        <v>46125</v>
      </c>
      <c r="F143" s="26" t="inlineStr">
        <is>
          <t>Sunil CR</t>
        </is>
      </c>
      <c r="G143" s="26" t="inlineStr">
        <is>
          <t>Yes</t>
        </is>
      </c>
      <c r="H143" s="26" t="inlineStr">
        <is>
          <t>No</t>
        </is>
      </c>
      <c r="I143" s="26" t="inlineStr">
        <is>
          <t>Good finish</t>
        </is>
      </c>
      <c r="J143" s="26" t="inlineStr">
        <is>
          <t>Yes</t>
        </is>
      </c>
      <c r="K143" s="27" t="n"/>
      <c r="L143" s="28" t="inlineStr">
        <is>
          <t>No</t>
        </is>
      </c>
      <c r="M143" s="29">
        <f>IF(E143="","",IF(H143="Yes","❌ Disc",IF(G143="No","⚠ Missing",IF(J143="Yes","✓ OK","⚠ Check"))))</f>
        <v/>
      </c>
      <c r="N143" s="43" t="n">
        <v>46139</v>
      </c>
      <c r="O143" s="26" t="inlineStr">
        <is>
          <t>Sunil CR</t>
        </is>
      </c>
      <c r="P143" s="26" t="inlineStr">
        <is>
          <t>Yes</t>
        </is>
      </c>
      <c r="Q143" s="26" t="inlineStr">
        <is>
          <t>No</t>
        </is>
      </c>
      <c r="R143" s="26" t="inlineStr">
        <is>
          <t>Good finish</t>
        </is>
      </c>
      <c r="S143" s="26" t="inlineStr">
        <is>
          <t>Yes</t>
        </is>
      </c>
      <c r="T143" s="27" t="n"/>
      <c r="U143" s="28" t="inlineStr">
        <is>
          <t>No</t>
        </is>
      </c>
      <c r="V143" s="29">
        <f>IF(N143="","",IF(Q143="Yes","❌ Disc",IF(P143="No","⚠ Missing",IF(S143="Yes","✓ OK","⚠ Check"))))</f>
        <v/>
      </c>
      <c r="W143" s="65" t="n">
        <v>46248</v>
      </c>
      <c r="X143" s="30" t="inlineStr">
        <is>
          <t>Sunil CR</t>
        </is>
      </c>
      <c r="Y143" s="30" t="inlineStr">
        <is>
          <t>Yes</t>
        </is>
      </c>
      <c r="Z143" s="30" t="n"/>
      <c r="AA143" s="30" t="inlineStr">
        <is>
          <t>Good finish</t>
        </is>
      </c>
      <c r="AB143" s="30" t="inlineStr">
        <is>
          <t>Yes</t>
        </is>
      </c>
      <c r="AC143" s="27" t="n"/>
      <c r="AD143" s="31" t="inlineStr">
        <is>
          <t>No</t>
        </is>
      </c>
      <c r="AE143" s="32">
        <f>IF(W143="","",IF(Z143="Yes","❌ Disc",IF(Y143="No","⚠ Missing",IF(AB143="Yes","✓ OK","⚠ Check"))))</f>
        <v/>
      </c>
      <c r="AF143" s="33" t="n"/>
      <c r="AG143" s="33" t="n"/>
      <c r="AH143" s="33" t="n"/>
      <c r="AI143" s="33" t="n"/>
      <c r="AJ143" s="33" t="n"/>
      <c r="AK143" s="33" t="n"/>
      <c r="AL143" s="27" t="n"/>
      <c r="AM143" s="34" t="n"/>
      <c r="AN143" s="35">
        <f>IF(AF143="","",IF(AI143="Yes","❌ Disc",IF(AH143="No","⚠ Missing",IF(AK143="Yes","✓ OK","⚠ Check"))))</f>
        <v/>
      </c>
      <c r="AO143" s="36" t="n"/>
      <c r="AP143" s="36" t="n"/>
      <c r="AQ143" s="36" t="n"/>
      <c r="AR143" s="36" t="n"/>
      <c r="AS143" s="36" t="n"/>
      <c r="AT143" s="36" t="n"/>
      <c r="AU143" s="27" t="n"/>
      <c r="AV143" s="37" t="n"/>
      <c r="AW143" s="38">
        <f>IF(AO143="","",IF(AR143="Yes","❌ Disc",IF(AQ143="No","⚠ Missing",IF(AT143="Yes","✓ OK","⚠ Check"))))</f>
        <v/>
      </c>
    </row>
    <row r="144" ht="18" customHeight="1" s="46">
      <c r="A144" s="39" t="n">
        <v>140</v>
      </c>
      <c r="B144" s="40" t="inlineStr">
        <is>
          <t>Asaba_730</t>
        </is>
      </c>
      <c r="C144" s="41" t="inlineStr">
        <is>
          <t>Sarom - Asaba Fabric(Diamond) - Asaba_730</t>
        </is>
      </c>
      <c r="D144" s="39" t="inlineStr">
        <is>
          <t>Sarom</t>
        </is>
      </c>
      <c r="E144" s="43" t="n">
        <v>46125</v>
      </c>
      <c r="F144" s="26" t="inlineStr">
        <is>
          <t>Sunil CR</t>
        </is>
      </c>
      <c r="G144" s="26" t="inlineStr">
        <is>
          <t>Yes</t>
        </is>
      </c>
      <c r="H144" s="26" t="inlineStr">
        <is>
          <t>No</t>
        </is>
      </c>
      <c r="I144" s="26" t="inlineStr">
        <is>
          <t>Good finish</t>
        </is>
      </c>
      <c r="J144" s="26" t="inlineStr">
        <is>
          <t>Yes</t>
        </is>
      </c>
      <c r="K144" s="27" t="n"/>
      <c r="L144" s="28" t="inlineStr">
        <is>
          <t>No</t>
        </is>
      </c>
      <c r="M144" s="29">
        <f>IF(E144="","",IF(H144="Yes","❌ Disc",IF(G144="No","⚠ Missing",IF(J144="Yes","✓ OK","⚠ Check"))))</f>
        <v/>
      </c>
      <c r="N144" s="43" t="n">
        <v>46139</v>
      </c>
      <c r="O144" s="26" t="inlineStr">
        <is>
          <t>Sunil CR</t>
        </is>
      </c>
      <c r="P144" s="26" t="inlineStr">
        <is>
          <t>Yes</t>
        </is>
      </c>
      <c r="Q144" s="26" t="inlineStr">
        <is>
          <t>No</t>
        </is>
      </c>
      <c r="R144" s="26" t="inlineStr">
        <is>
          <t>Good finish</t>
        </is>
      </c>
      <c r="S144" s="26" t="inlineStr">
        <is>
          <t>Yes</t>
        </is>
      </c>
      <c r="T144" s="27" t="n"/>
      <c r="U144" s="28" t="inlineStr">
        <is>
          <t>No</t>
        </is>
      </c>
      <c r="V144" s="29">
        <f>IF(N144="","",IF(Q144="Yes","❌ Disc",IF(P144="No","⚠ Missing",IF(S144="Yes","✓ OK","⚠ Check"))))</f>
        <v/>
      </c>
      <c r="W144" s="65" t="n">
        <v>46248</v>
      </c>
      <c r="X144" s="30" t="inlineStr">
        <is>
          <t>Sunil CR</t>
        </is>
      </c>
      <c r="Y144" s="30" t="inlineStr">
        <is>
          <t>Yes</t>
        </is>
      </c>
      <c r="Z144" s="30" t="n"/>
      <c r="AA144" s="30" t="inlineStr">
        <is>
          <t>Good finish</t>
        </is>
      </c>
      <c r="AB144" s="30" t="inlineStr">
        <is>
          <t>Yes</t>
        </is>
      </c>
      <c r="AC144" s="27" t="n"/>
      <c r="AD144" s="31" t="inlineStr">
        <is>
          <t>No</t>
        </is>
      </c>
      <c r="AE144" s="32">
        <f>IF(W144="","",IF(Z144="Yes","❌ Disc",IF(Y144="No","⚠ Missing",IF(AB144="Yes","✓ OK","⚠ Check"))))</f>
        <v/>
      </c>
      <c r="AF144" s="33" t="n"/>
      <c r="AG144" s="33" t="n"/>
      <c r="AH144" s="33" t="n"/>
      <c r="AI144" s="33" t="n"/>
      <c r="AJ144" s="33" t="n"/>
      <c r="AK144" s="33" t="n"/>
      <c r="AL144" s="27" t="n"/>
      <c r="AM144" s="34" t="n"/>
      <c r="AN144" s="35">
        <f>IF(AF144="","",IF(AI144="Yes","❌ Disc",IF(AH144="No","⚠ Missing",IF(AK144="Yes","✓ OK","⚠ Check"))))</f>
        <v/>
      </c>
      <c r="AO144" s="36" t="n"/>
      <c r="AP144" s="36" t="n"/>
      <c r="AQ144" s="36" t="n"/>
      <c r="AR144" s="36" t="n"/>
      <c r="AS144" s="36" t="n"/>
      <c r="AT144" s="36" t="n"/>
      <c r="AU144" s="27" t="n"/>
      <c r="AV144" s="37" t="n"/>
      <c r="AW144" s="38">
        <f>IF(AO144="","",IF(AR144="Yes","❌ Disc",IF(AQ144="No","⚠ Missing",IF(AT144="Yes","✓ OK","⚠ Check"))))</f>
        <v/>
      </c>
    </row>
    <row r="145" ht="18" customHeight="1" s="46">
      <c r="A145" s="23" t="n">
        <v>141</v>
      </c>
      <c r="B145" s="24" t="inlineStr">
        <is>
          <t>Asaba_731</t>
        </is>
      </c>
      <c r="C145" s="25" t="inlineStr">
        <is>
          <t>Sarom - Asaba Fabric(Diamond) - Asaba_731</t>
        </is>
      </c>
      <c r="D145" s="23" t="inlineStr">
        <is>
          <t>Sarom</t>
        </is>
      </c>
      <c r="E145" s="43" t="n">
        <v>46125</v>
      </c>
      <c r="F145" s="26" t="inlineStr">
        <is>
          <t>Sunil CR</t>
        </is>
      </c>
      <c r="G145" s="26" t="inlineStr">
        <is>
          <t>Yes</t>
        </is>
      </c>
      <c r="H145" s="26" t="inlineStr">
        <is>
          <t>No</t>
        </is>
      </c>
      <c r="I145" s="26" t="inlineStr">
        <is>
          <t>Good finish</t>
        </is>
      </c>
      <c r="J145" s="26" t="inlineStr">
        <is>
          <t>Yes</t>
        </is>
      </c>
      <c r="K145" s="27" t="n"/>
      <c r="L145" s="28" t="inlineStr">
        <is>
          <t>No</t>
        </is>
      </c>
      <c r="M145" s="29">
        <f>IF(E145="","",IF(H145="Yes","❌ Disc",IF(G145="No","⚠ Missing",IF(J145="Yes","✓ OK","⚠ Check"))))</f>
        <v/>
      </c>
      <c r="N145" s="43" t="n">
        <v>46139</v>
      </c>
      <c r="O145" s="26" t="inlineStr">
        <is>
          <t>Sunil CR</t>
        </is>
      </c>
      <c r="P145" s="26" t="inlineStr">
        <is>
          <t>Yes</t>
        </is>
      </c>
      <c r="Q145" s="26" t="inlineStr">
        <is>
          <t>No</t>
        </is>
      </c>
      <c r="R145" s="26" t="inlineStr">
        <is>
          <t>Good finish</t>
        </is>
      </c>
      <c r="S145" s="26" t="inlineStr">
        <is>
          <t>Yes</t>
        </is>
      </c>
      <c r="T145" s="27" t="n"/>
      <c r="U145" s="28" t="inlineStr">
        <is>
          <t>No</t>
        </is>
      </c>
      <c r="V145" s="29">
        <f>IF(N145="","",IF(Q145="Yes","❌ Disc",IF(P145="No","⚠ Missing",IF(S145="Yes","✓ OK","⚠ Check"))))</f>
        <v/>
      </c>
      <c r="W145" s="65" t="n">
        <v>46248</v>
      </c>
      <c r="X145" s="30" t="inlineStr">
        <is>
          <t>Sunil CR</t>
        </is>
      </c>
      <c r="Y145" s="30" t="inlineStr">
        <is>
          <t>Yes</t>
        </is>
      </c>
      <c r="Z145" s="30" t="n"/>
      <c r="AA145" s="30" t="inlineStr">
        <is>
          <t>Good finish</t>
        </is>
      </c>
      <c r="AB145" s="30" t="inlineStr">
        <is>
          <t>Yes</t>
        </is>
      </c>
      <c r="AC145" s="27" t="n"/>
      <c r="AD145" s="31" t="inlineStr">
        <is>
          <t>No</t>
        </is>
      </c>
      <c r="AE145" s="32">
        <f>IF(W145="","",IF(Z145="Yes","❌ Disc",IF(Y145="No","⚠ Missing",IF(AB145="Yes","✓ OK","⚠ Check"))))</f>
        <v/>
      </c>
      <c r="AF145" s="33" t="n"/>
      <c r="AG145" s="33" t="n"/>
      <c r="AH145" s="33" t="n"/>
      <c r="AI145" s="33" t="n"/>
      <c r="AJ145" s="33" t="n"/>
      <c r="AK145" s="33" t="n"/>
      <c r="AL145" s="27" t="n"/>
      <c r="AM145" s="34" t="n"/>
      <c r="AN145" s="35">
        <f>IF(AF145="","",IF(AI145="Yes","❌ Disc",IF(AH145="No","⚠ Missing",IF(AK145="Yes","✓ OK","⚠ Check"))))</f>
        <v/>
      </c>
      <c r="AO145" s="36" t="n"/>
      <c r="AP145" s="36" t="n"/>
      <c r="AQ145" s="36" t="n"/>
      <c r="AR145" s="36" t="n"/>
      <c r="AS145" s="36" t="n"/>
      <c r="AT145" s="36" t="n"/>
      <c r="AU145" s="27" t="n"/>
      <c r="AV145" s="37" t="n"/>
      <c r="AW145" s="38">
        <f>IF(AO145="","",IF(AR145="Yes","❌ Disc",IF(AQ145="No","⚠ Missing",IF(AT145="Yes","✓ OK","⚠ Check"))))</f>
        <v/>
      </c>
    </row>
    <row r="146" ht="18" customHeight="1" s="46">
      <c r="A146" s="39" t="n">
        <v>142</v>
      </c>
      <c r="B146" s="40" t="inlineStr">
        <is>
          <t>Asaba_732</t>
        </is>
      </c>
      <c r="C146" s="41" t="inlineStr">
        <is>
          <t>Sarom - Asaba Fabric(Diamond) - Asaba_732</t>
        </is>
      </c>
      <c r="D146" s="39" t="inlineStr">
        <is>
          <t>Sarom</t>
        </is>
      </c>
      <c r="E146" s="43" t="n">
        <v>46125</v>
      </c>
      <c r="F146" s="26" t="inlineStr">
        <is>
          <t>Sunil CR</t>
        </is>
      </c>
      <c r="G146" s="26" t="inlineStr">
        <is>
          <t>Yes</t>
        </is>
      </c>
      <c r="H146" s="26" t="inlineStr">
        <is>
          <t>No</t>
        </is>
      </c>
      <c r="I146" s="26" t="inlineStr">
        <is>
          <t>Good finish</t>
        </is>
      </c>
      <c r="J146" s="26" t="inlineStr">
        <is>
          <t>Yes</t>
        </is>
      </c>
      <c r="K146" s="27" t="n"/>
      <c r="L146" s="28" t="inlineStr">
        <is>
          <t>No</t>
        </is>
      </c>
      <c r="M146" s="29">
        <f>IF(E146="","",IF(H146="Yes","❌ Disc",IF(G146="No","⚠ Missing",IF(J146="Yes","✓ OK","⚠ Check"))))</f>
        <v/>
      </c>
      <c r="N146" s="43" t="n">
        <v>46139</v>
      </c>
      <c r="O146" s="26" t="inlineStr">
        <is>
          <t>Sunil CR</t>
        </is>
      </c>
      <c r="P146" s="26" t="inlineStr">
        <is>
          <t>Yes</t>
        </is>
      </c>
      <c r="Q146" s="26" t="inlineStr">
        <is>
          <t>No</t>
        </is>
      </c>
      <c r="R146" s="26" t="inlineStr">
        <is>
          <t>Good finish</t>
        </is>
      </c>
      <c r="S146" s="26" t="inlineStr">
        <is>
          <t>Yes</t>
        </is>
      </c>
      <c r="T146" s="27" t="n"/>
      <c r="U146" s="28" t="inlineStr">
        <is>
          <t>No</t>
        </is>
      </c>
      <c r="V146" s="29">
        <f>IF(N146="","",IF(Q146="Yes","❌ Disc",IF(P146="No","⚠ Missing",IF(S146="Yes","✓ OK","⚠ Check"))))</f>
        <v/>
      </c>
      <c r="W146" s="65" t="n">
        <v>46248</v>
      </c>
      <c r="X146" s="30" t="inlineStr">
        <is>
          <t>Sunil CR</t>
        </is>
      </c>
      <c r="Y146" s="30" t="inlineStr">
        <is>
          <t>Yes</t>
        </is>
      </c>
      <c r="Z146" s="30" t="n"/>
      <c r="AA146" s="30" t="inlineStr">
        <is>
          <t>Good finish</t>
        </is>
      </c>
      <c r="AB146" s="30" t="inlineStr">
        <is>
          <t>Yes</t>
        </is>
      </c>
      <c r="AC146" s="27" t="n"/>
      <c r="AD146" s="31" t="inlineStr">
        <is>
          <t>No</t>
        </is>
      </c>
      <c r="AE146" s="32">
        <f>IF(W146="","",IF(Z146="Yes","❌ Disc",IF(Y146="No","⚠ Missing",IF(AB146="Yes","✓ OK","⚠ Check"))))</f>
        <v/>
      </c>
      <c r="AF146" s="33" t="n"/>
      <c r="AG146" s="33" t="n"/>
      <c r="AH146" s="33" t="n"/>
      <c r="AI146" s="33" t="n"/>
      <c r="AJ146" s="33" t="n"/>
      <c r="AK146" s="33" t="n"/>
      <c r="AL146" s="27" t="n"/>
      <c r="AM146" s="34" t="n"/>
      <c r="AN146" s="35">
        <f>IF(AF146="","",IF(AI146="Yes","❌ Disc",IF(AH146="No","⚠ Missing",IF(AK146="Yes","✓ OK","⚠ Check"))))</f>
        <v/>
      </c>
      <c r="AO146" s="36" t="n"/>
      <c r="AP146" s="36" t="n"/>
      <c r="AQ146" s="36" t="n"/>
      <c r="AR146" s="36" t="n"/>
      <c r="AS146" s="36" t="n"/>
      <c r="AT146" s="36" t="n"/>
      <c r="AU146" s="27" t="n"/>
      <c r="AV146" s="37" t="n"/>
      <c r="AW146" s="38">
        <f>IF(AO146="","",IF(AR146="Yes","❌ Disc",IF(AQ146="No","⚠ Missing",IF(AT146="Yes","✓ OK","⚠ Check"))))</f>
        <v/>
      </c>
    </row>
    <row r="147" ht="18" customHeight="1" s="46">
      <c r="A147" s="23" t="n">
        <v>143</v>
      </c>
      <c r="B147" s="24" t="inlineStr">
        <is>
          <t>Asaba_733</t>
        </is>
      </c>
      <c r="C147" s="25" t="inlineStr">
        <is>
          <t>Sarom - Asaba Fabric(Diamond) - Asaba_733</t>
        </is>
      </c>
      <c r="D147" s="23" t="inlineStr">
        <is>
          <t>Sarom</t>
        </is>
      </c>
      <c r="E147" s="43" t="n">
        <v>46125</v>
      </c>
      <c r="F147" s="26" t="inlineStr">
        <is>
          <t>Sunil CR</t>
        </is>
      </c>
      <c r="G147" s="26" t="inlineStr">
        <is>
          <t>Yes</t>
        </is>
      </c>
      <c r="H147" s="26" t="inlineStr">
        <is>
          <t>No</t>
        </is>
      </c>
      <c r="I147" s="26" t="inlineStr">
        <is>
          <t>Good finish</t>
        </is>
      </c>
      <c r="J147" s="26" t="inlineStr">
        <is>
          <t>Yes</t>
        </is>
      </c>
      <c r="K147" s="27" t="n"/>
      <c r="L147" s="28" t="inlineStr">
        <is>
          <t>No</t>
        </is>
      </c>
      <c r="M147" s="29">
        <f>IF(E147="","",IF(H147="Yes","❌ Disc",IF(G147="No","⚠ Missing",IF(J147="Yes","✓ OK","⚠ Check"))))</f>
        <v/>
      </c>
      <c r="N147" s="43" t="n">
        <v>46139</v>
      </c>
      <c r="O147" s="26" t="inlineStr">
        <is>
          <t>Sunil CR</t>
        </is>
      </c>
      <c r="P147" s="26" t="inlineStr">
        <is>
          <t>Yes</t>
        </is>
      </c>
      <c r="Q147" s="26" t="inlineStr">
        <is>
          <t>No</t>
        </is>
      </c>
      <c r="R147" s="26" t="inlineStr">
        <is>
          <t>Good finish</t>
        </is>
      </c>
      <c r="S147" s="26" t="inlineStr">
        <is>
          <t>Yes</t>
        </is>
      </c>
      <c r="T147" s="27" t="n"/>
      <c r="U147" s="28" t="inlineStr">
        <is>
          <t>No</t>
        </is>
      </c>
      <c r="V147" s="29">
        <f>IF(N147="","",IF(Q147="Yes","❌ Disc",IF(P147="No","⚠ Missing",IF(S147="Yes","✓ OK","⚠ Check"))))</f>
        <v/>
      </c>
      <c r="W147" s="65" t="n">
        <v>46248</v>
      </c>
      <c r="X147" s="30" t="inlineStr">
        <is>
          <t>Sunil CR</t>
        </is>
      </c>
      <c r="Y147" s="30" t="inlineStr">
        <is>
          <t>Yes</t>
        </is>
      </c>
      <c r="Z147" s="30" t="n"/>
      <c r="AA147" s="30" t="inlineStr">
        <is>
          <t>Good finish</t>
        </is>
      </c>
      <c r="AB147" s="30" t="inlineStr">
        <is>
          <t>Yes</t>
        </is>
      </c>
      <c r="AC147" s="27" t="n"/>
      <c r="AD147" s="31" t="inlineStr">
        <is>
          <t>No</t>
        </is>
      </c>
      <c r="AE147" s="32">
        <f>IF(W147="","",IF(Z147="Yes","❌ Disc",IF(Y147="No","⚠ Missing",IF(AB147="Yes","✓ OK","⚠ Check"))))</f>
        <v/>
      </c>
      <c r="AF147" s="33" t="n"/>
      <c r="AG147" s="33" t="n"/>
      <c r="AH147" s="33" t="n"/>
      <c r="AI147" s="33" t="n"/>
      <c r="AJ147" s="33" t="n"/>
      <c r="AK147" s="33" t="n"/>
      <c r="AL147" s="27" t="n"/>
      <c r="AM147" s="34" t="n"/>
      <c r="AN147" s="35">
        <f>IF(AF147="","",IF(AI147="Yes","❌ Disc",IF(AH147="No","⚠ Missing",IF(AK147="Yes","✓ OK","⚠ Check"))))</f>
        <v/>
      </c>
      <c r="AO147" s="36" t="n"/>
      <c r="AP147" s="36" t="n"/>
      <c r="AQ147" s="36" t="n"/>
      <c r="AR147" s="36" t="n"/>
      <c r="AS147" s="36" t="n"/>
      <c r="AT147" s="36" t="n"/>
      <c r="AU147" s="27" t="n"/>
      <c r="AV147" s="37" t="n"/>
      <c r="AW147" s="38">
        <f>IF(AO147="","",IF(AR147="Yes","❌ Disc",IF(AQ147="No","⚠ Missing",IF(AT147="Yes","✓ OK","⚠ Check"))))</f>
        <v/>
      </c>
    </row>
    <row r="148" ht="18" customHeight="1" s="46">
      <c r="A148" s="39" t="n">
        <v>144</v>
      </c>
      <c r="B148" s="40" t="inlineStr">
        <is>
          <t>Asaba_734</t>
        </is>
      </c>
      <c r="C148" s="41" t="inlineStr">
        <is>
          <t>Sarom - Asaba Fabric(Diamond) - Asaba_734</t>
        </is>
      </c>
      <c r="D148" s="39" t="inlineStr">
        <is>
          <t>Sarom</t>
        </is>
      </c>
      <c r="E148" s="43" t="n">
        <v>46125</v>
      </c>
      <c r="F148" s="26" t="inlineStr">
        <is>
          <t>Sunil CR</t>
        </is>
      </c>
      <c r="G148" s="26" t="inlineStr">
        <is>
          <t>Yes</t>
        </is>
      </c>
      <c r="H148" s="26" t="inlineStr">
        <is>
          <t>No</t>
        </is>
      </c>
      <c r="I148" s="26" t="inlineStr">
        <is>
          <t>Good finish</t>
        </is>
      </c>
      <c r="J148" s="26" t="inlineStr">
        <is>
          <t>Yes</t>
        </is>
      </c>
      <c r="K148" s="27" t="n"/>
      <c r="L148" s="28" t="inlineStr">
        <is>
          <t>No</t>
        </is>
      </c>
      <c r="M148" s="29">
        <f>IF(E148="","",IF(H148="Yes","❌ Disc",IF(G148="No","⚠ Missing",IF(J148="Yes","✓ OK","⚠ Check"))))</f>
        <v/>
      </c>
      <c r="N148" s="43" t="n">
        <v>46139</v>
      </c>
      <c r="O148" s="26" t="inlineStr">
        <is>
          <t>Sunil CR</t>
        </is>
      </c>
      <c r="P148" s="26" t="inlineStr">
        <is>
          <t>Yes</t>
        </is>
      </c>
      <c r="Q148" s="26" t="inlineStr">
        <is>
          <t>No</t>
        </is>
      </c>
      <c r="R148" s="26" t="inlineStr">
        <is>
          <t>Good finish</t>
        </is>
      </c>
      <c r="S148" s="26" t="inlineStr">
        <is>
          <t>Yes</t>
        </is>
      </c>
      <c r="T148" s="27" t="n"/>
      <c r="U148" s="28" t="inlineStr">
        <is>
          <t>No</t>
        </is>
      </c>
      <c r="V148" s="29">
        <f>IF(N148="","",IF(Q148="Yes","❌ Disc",IF(P148="No","⚠ Missing",IF(S148="Yes","✓ OK","⚠ Check"))))</f>
        <v/>
      </c>
      <c r="W148" s="65" t="n">
        <v>46248</v>
      </c>
      <c r="X148" s="30" t="inlineStr">
        <is>
          <t>Sunil CR</t>
        </is>
      </c>
      <c r="Y148" s="30" t="inlineStr">
        <is>
          <t>Yes</t>
        </is>
      </c>
      <c r="Z148" s="30" t="n"/>
      <c r="AA148" s="30" t="inlineStr">
        <is>
          <t>Good finish</t>
        </is>
      </c>
      <c r="AB148" s="30" t="inlineStr">
        <is>
          <t>Yes</t>
        </is>
      </c>
      <c r="AC148" s="27" t="n"/>
      <c r="AD148" s="31" t="inlineStr">
        <is>
          <t>No</t>
        </is>
      </c>
      <c r="AE148" s="32">
        <f>IF(W148="","",IF(Z148="Yes","❌ Disc",IF(Y148="No","⚠ Missing",IF(AB148="Yes","✓ OK","⚠ Check"))))</f>
        <v/>
      </c>
      <c r="AF148" s="33" t="n"/>
      <c r="AG148" s="33" t="n"/>
      <c r="AH148" s="33" t="n"/>
      <c r="AI148" s="33" t="n"/>
      <c r="AJ148" s="33" t="n"/>
      <c r="AK148" s="33" t="n"/>
      <c r="AL148" s="27" t="n"/>
      <c r="AM148" s="34" t="n"/>
      <c r="AN148" s="35">
        <f>IF(AF148="","",IF(AI148="Yes","❌ Disc",IF(AH148="No","⚠ Missing",IF(AK148="Yes","✓ OK","⚠ Check"))))</f>
        <v/>
      </c>
      <c r="AO148" s="36" t="n"/>
      <c r="AP148" s="36" t="n"/>
      <c r="AQ148" s="36" t="n"/>
      <c r="AR148" s="36" t="n"/>
      <c r="AS148" s="36" t="n"/>
      <c r="AT148" s="36" t="n"/>
      <c r="AU148" s="27" t="n"/>
      <c r="AV148" s="37" t="n"/>
      <c r="AW148" s="38">
        <f>IF(AO148="","",IF(AR148="Yes","❌ Disc",IF(AQ148="No","⚠ Missing",IF(AT148="Yes","✓ OK","⚠ Check"))))</f>
        <v/>
      </c>
    </row>
    <row r="149" ht="18" customHeight="1" s="46">
      <c r="A149" s="23" t="n">
        <v>145</v>
      </c>
      <c r="B149" s="24" t="inlineStr">
        <is>
          <t>Asaba_735</t>
        </is>
      </c>
      <c r="C149" s="25" t="inlineStr">
        <is>
          <t>Sarom - Asaba Fabric(Diamond) - Asaba_735</t>
        </is>
      </c>
      <c r="D149" s="23" t="inlineStr">
        <is>
          <t>Sarom</t>
        </is>
      </c>
      <c r="E149" s="43" t="n">
        <v>46125</v>
      </c>
      <c r="F149" s="26" t="inlineStr">
        <is>
          <t>Sunil CR</t>
        </is>
      </c>
      <c r="G149" s="26" t="inlineStr">
        <is>
          <t>Yes</t>
        </is>
      </c>
      <c r="H149" s="26" t="inlineStr">
        <is>
          <t>No</t>
        </is>
      </c>
      <c r="I149" s="26" t="inlineStr">
        <is>
          <t>Good finish</t>
        </is>
      </c>
      <c r="J149" s="26" t="inlineStr">
        <is>
          <t>Yes</t>
        </is>
      </c>
      <c r="K149" s="27" t="n"/>
      <c r="L149" s="28" t="inlineStr">
        <is>
          <t>No</t>
        </is>
      </c>
      <c r="M149" s="29">
        <f>IF(E149="","",IF(H149="Yes","❌ Disc",IF(G149="No","⚠ Missing",IF(J149="Yes","✓ OK","⚠ Check"))))</f>
        <v/>
      </c>
      <c r="N149" s="43" t="n">
        <v>46139</v>
      </c>
      <c r="O149" s="26" t="inlineStr">
        <is>
          <t>Sunil CR</t>
        </is>
      </c>
      <c r="P149" s="26" t="inlineStr">
        <is>
          <t>Yes</t>
        </is>
      </c>
      <c r="Q149" s="26" t="inlineStr">
        <is>
          <t>No</t>
        </is>
      </c>
      <c r="R149" s="26" t="inlineStr">
        <is>
          <t>Good finish</t>
        </is>
      </c>
      <c r="S149" s="26" t="inlineStr">
        <is>
          <t>Yes</t>
        </is>
      </c>
      <c r="T149" s="27" t="n"/>
      <c r="U149" s="28" t="inlineStr">
        <is>
          <t>No</t>
        </is>
      </c>
      <c r="V149" s="29">
        <f>IF(N149="","",IF(Q149="Yes","❌ Disc",IF(P149="No","⚠ Missing",IF(S149="Yes","✓ OK","⚠ Check"))))</f>
        <v/>
      </c>
      <c r="W149" s="65" t="n">
        <v>46248</v>
      </c>
      <c r="X149" s="30" t="inlineStr">
        <is>
          <t>Sunil CR</t>
        </is>
      </c>
      <c r="Y149" s="30" t="inlineStr">
        <is>
          <t>Yes</t>
        </is>
      </c>
      <c r="Z149" s="30" t="n"/>
      <c r="AA149" s="30" t="inlineStr">
        <is>
          <t>Good finish</t>
        </is>
      </c>
      <c r="AB149" s="30" t="inlineStr">
        <is>
          <t>Yes</t>
        </is>
      </c>
      <c r="AC149" s="27" t="n"/>
      <c r="AD149" s="31" t="inlineStr">
        <is>
          <t>No</t>
        </is>
      </c>
      <c r="AE149" s="32">
        <f>IF(W149="","",IF(Z149="Yes","❌ Disc",IF(Y149="No","⚠ Missing",IF(AB149="Yes","✓ OK","⚠ Check"))))</f>
        <v/>
      </c>
      <c r="AF149" s="33" t="n"/>
      <c r="AG149" s="33" t="n"/>
      <c r="AH149" s="33" t="n"/>
      <c r="AI149" s="33" t="n"/>
      <c r="AJ149" s="33" t="n"/>
      <c r="AK149" s="33" t="n"/>
      <c r="AL149" s="27" t="n"/>
      <c r="AM149" s="34" t="n"/>
      <c r="AN149" s="35">
        <f>IF(AF149="","",IF(AI149="Yes","❌ Disc",IF(AH149="No","⚠ Missing",IF(AK149="Yes","✓ OK","⚠ Check"))))</f>
        <v/>
      </c>
      <c r="AO149" s="36" t="n"/>
      <c r="AP149" s="36" t="n"/>
      <c r="AQ149" s="36" t="n"/>
      <c r="AR149" s="36" t="n"/>
      <c r="AS149" s="36" t="n"/>
      <c r="AT149" s="36" t="n"/>
      <c r="AU149" s="27" t="n"/>
      <c r="AV149" s="37" t="n"/>
      <c r="AW149" s="38">
        <f>IF(AO149="","",IF(AR149="Yes","❌ Disc",IF(AQ149="No","⚠ Missing",IF(AT149="Yes","✓ OK","⚠ Check"))))</f>
        <v/>
      </c>
    </row>
    <row r="150" ht="18" customHeight="1" s="46">
      <c r="A150" s="39" t="n">
        <v>146</v>
      </c>
      <c r="B150" s="40" t="inlineStr">
        <is>
          <t>Asaba_736</t>
        </is>
      </c>
      <c r="C150" s="41" t="inlineStr">
        <is>
          <t>Sarom - Asaba Fabric(Diamond) - Asaba_736</t>
        </is>
      </c>
      <c r="D150" s="39" t="inlineStr">
        <is>
          <t>Sarom</t>
        </is>
      </c>
      <c r="E150" s="43" t="n">
        <v>46125</v>
      </c>
      <c r="F150" s="26" t="inlineStr">
        <is>
          <t>Sunil CR</t>
        </is>
      </c>
      <c r="G150" s="26" t="inlineStr">
        <is>
          <t>Yes</t>
        </is>
      </c>
      <c r="H150" s="26" t="inlineStr">
        <is>
          <t>No</t>
        </is>
      </c>
      <c r="I150" s="26" t="inlineStr">
        <is>
          <t>Good finish</t>
        </is>
      </c>
      <c r="J150" s="26" t="inlineStr">
        <is>
          <t>Yes</t>
        </is>
      </c>
      <c r="K150" s="27" t="n"/>
      <c r="L150" s="28" t="inlineStr">
        <is>
          <t>No</t>
        </is>
      </c>
      <c r="M150" s="29">
        <f>IF(E150="","",IF(H150="Yes","❌ Disc",IF(G150="No","⚠ Missing",IF(J150="Yes","✓ OK","⚠ Check"))))</f>
        <v/>
      </c>
      <c r="N150" s="43" t="n">
        <v>46139</v>
      </c>
      <c r="O150" s="26" t="inlineStr">
        <is>
          <t>Sunil CR</t>
        </is>
      </c>
      <c r="P150" s="26" t="inlineStr">
        <is>
          <t>Yes</t>
        </is>
      </c>
      <c r="Q150" s="26" t="inlineStr">
        <is>
          <t>No</t>
        </is>
      </c>
      <c r="R150" s="26" t="inlineStr">
        <is>
          <t>Good finish</t>
        </is>
      </c>
      <c r="S150" s="26" t="inlineStr">
        <is>
          <t>Yes</t>
        </is>
      </c>
      <c r="T150" s="27" t="n"/>
      <c r="U150" s="28" t="inlineStr">
        <is>
          <t>No</t>
        </is>
      </c>
      <c r="V150" s="29">
        <f>IF(N150="","",IF(Q150="Yes","❌ Disc",IF(P150="No","⚠ Missing",IF(S150="Yes","✓ OK","⚠ Check"))))</f>
        <v/>
      </c>
      <c r="W150" s="65" t="n">
        <v>46248</v>
      </c>
      <c r="X150" s="30" t="inlineStr">
        <is>
          <t>Sunil CR</t>
        </is>
      </c>
      <c r="Y150" s="30" t="inlineStr">
        <is>
          <t>Yes</t>
        </is>
      </c>
      <c r="Z150" s="30" t="n"/>
      <c r="AA150" s="30" t="inlineStr">
        <is>
          <t>Good finish</t>
        </is>
      </c>
      <c r="AB150" s="30" t="inlineStr">
        <is>
          <t>Yes</t>
        </is>
      </c>
      <c r="AC150" s="27" t="n"/>
      <c r="AD150" s="31" t="inlineStr">
        <is>
          <t>No</t>
        </is>
      </c>
      <c r="AE150" s="32">
        <f>IF(W150="","",IF(Z150="Yes","❌ Disc",IF(Y150="No","⚠ Missing",IF(AB150="Yes","✓ OK","⚠ Check"))))</f>
        <v/>
      </c>
      <c r="AF150" s="33" t="n"/>
      <c r="AG150" s="33" t="n"/>
      <c r="AH150" s="33" t="n"/>
      <c r="AI150" s="33" t="n"/>
      <c r="AJ150" s="33" t="n"/>
      <c r="AK150" s="33" t="n"/>
      <c r="AL150" s="27" t="n"/>
      <c r="AM150" s="34" t="n"/>
      <c r="AN150" s="35">
        <f>IF(AF150="","",IF(AI150="Yes","❌ Disc",IF(AH150="No","⚠ Missing",IF(AK150="Yes","✓ OK","⚠ Check"))))</f>
        <v/>
      </c>
      <c r="AO150" s="36" t="n"/>
      <c r="AP150" s="36" t="n"/>
      <c r="AQ150" s="36" t="n"/>
      <c r="AR150" s="36" t="n"/>
      <c r="AS150" s="36" t="n"/>
      <c r="AT150" s="36" t="n"/>
      <c r="AU150" s="27" t="n"/>
      <c r="AV150" s="37" t="n"/>
      <c r="AW150" s="38">
        <f>IF(AO150="","",IF(AR150="Yes","❌ Disc",IF(AQ150="No","⚠ Missing",IF(AT150="Yes","✓ OK","⚠ Check"))))</f>
        <v/>
      </c>
    </row>
    <row r="151" ht="18" customHeight="1" s="46">
      <c r="A151" s="23" t="n">
        <v>147</v>
      </c>
      <c r="B151" s="24" t="inlineStr">
        <is>
          <t>Keiba_901</t>
        </is>
      </c>
      <c r="C151" s="25" t="inlineStr">
        <is>
          <t>Sarom - Keiba Fabric(Diamond) - Keiba_901</t>
        </is>
      </c>
      <c r="D151" s="23" t="inlineStr">
        <is>
          <t>Sarom</t>
        </is>
      </c>
      <c r="E151" s="43" t="n">
        <v>46125</v>
      </c>
      <c r="F151" s="26" t="inlineStr">
        <is>
          <t>Sunil CR</t>
        </is>
      </c>
      <c r="G151" s="26" t="inlineStr">
        <is>
          <t>Yes</t>
        </is>
      </c>
      <c r="H151" s="26" t="inlineStr">
        <is>
          <t>No</t>
        </is>
      </c>
      <c r="I151" s="26" t="inlineStr">
        <is>
          <t>Good finish</t>
        </is>
      </c>
      <c r="J151" s="26" t="inlineStr">
        <is>
          <t>Yes</t>
        </is>
      </c>
      <c r="K151" s="27" t="n"/>
      <c r="L151" s="28" t="inlineStr">
        <is>
          <t>No</t>
        </is>
      </c>
      <c r="M151" s="29">
        <f>IF(E151="","",IF(H151="Yes","❌ Disc",IF(G151="No","⚠ Missing",IF(J151="Yes","✓ OK","⚠ Check"))))</f>
        <v/>
      </c>
      <c r="N151" s="43" t="n">
        <v>46139</v>
      </c>
      <c r="O151" s="26" t="inlineStr">
        <is>
          <t>Sunil CR</t>
        </is>
      </c>
      <c r="P151" s="26" t="inlineStr">
        <is>
          <t>Yes</t>
        </is>
      </c>
      <c r="Q151" s="26" t="inlineStr">
        <is>
          <t>No</t>
        </is>
      </c>
      <c r="R151" s="26" t="inlineStr">
        <is>
          <t>Good finish</t>
        </is>
      </c>
      <c r="S151" s="26" t="inlineStr">
        <is>
          <t>Yes</t>
        </is>
      </c>
      <c r="T151" s="27" t="n"/>
      <c r="U151" s="28" t="inlineStr">
        <is>
          <t>No</t>
        </is>
      </c>
      <c r="V151" s="29">
        <f>IF(N151="","",IF(Q151="Yes","❌ Disc",IF(P151="No","⚠ Missing",IF(S151="Yes","✓ OK","⚠ Check"))))</f>
        <v/>
      </c>
      <c r="W151" s="65" t="n">
        <v>46248</v>
      </c>
      <c r="X151" s="30" t="inlineStr">
        <is>
          <t>Sunil CR</t>
        </is>
      </c>
      <c r="Y151" s="30" t="inlineStr">
        <is>
          <t>Yes</t>
        </is>
      </c>
      <c r="Z151" s="30" t="n"/>
      <c r="AA151" s="30" t="inlineStr">
        <is>
          <t>Good finish</t>
        </is>
      </c>
      <c r="AB151" s="30" t="inlineStr">
        <is>
          <t>Yes</t>
        </is>
      </c>
      <c r="AC151" s="27" t="n"/>
      <c r="AD151" s="31" t="inlineStr">
        <is>
          <t>No</t>
        </is>
      </c>
      <c r="AE151" s="32">
        <f>IF(W151="","",IF(Z151="Yes","❌ Disc",IF(Y151="No","⚠ Missing",IF(AB151="Yes","✓ OK","⚠ Check"))))</f>
        <v/>
      </c>
      <c r="AF151" s="33" t="n"/>
      <c r="AG151" s="33" t="n"/>
      <c r="AH151" s="33" t="n"/>
      <c r="AI151" s="33" t="n"/>
      <c r="AJ151" s="33" t="n"/>
      <c r="AK151" s="33" t="n"/>
      <c r="AL151" s="27" t="n"/>
      <c r="AM151" s="34" t="n"/>
      <c r="AN151" s="35">
        <f>IF(AF151="","",IF(AI151="Yes","❌ Disc",IF(AH151="No","⚠ Missing",IF(AK151="Yes","✓ OK","⚠ Check"))))</f>
        <v/>
      </c>
      <c r="AO151" s="36" t="n"/>
      <c r="AP151" s="36" t="n"/>
      <c r="AQ151" s="36" t="n"/>
      <c r="AR151" s="36" t="n"/>
      <c r="AS151" s="36" t="n"/>
      <c r="AT151" s="36" t="n"/>
      <c r="AU151" s="27" t="n"/>
      <c r="AV151" s="37" t="n"/>
      <c r="AW151" s="38">
        <f>IF(AO151="","",IF(AR151="Yes","❌ Disc",IF(AQ151="No","⚠ Missing",IF(AT151="Yes","✓ OK","⚠ Check"))))</f>
        <v/>
      </c>
    </row>
    <row r="152" ht="18" customHeight="1" s="46">
      <c r="A152" s="39" t="n">
        <v>148</v>
      </c>
      <c r="B152" s="40" t="inlineStr">
        <is>
          <t>Keiba_902</t>
        </is>
      </c>
      <c r="C152" s="41" t="inlineStr">
        <is>
          <t>Sarom - Keiba Fabric(Diamond) - Keiba_902</t>
        </is>
      </c>
      <c r="D152" s="39" t="inlineStr">
        <is>
          <t>Sarom</t>
        </is>
      </c>
      <c r="E152" s="43" t="n">
        <v>46125</v>
      </c>
      <c r="F152" s="26" t="inlineStr">
        <is>
          <t>Sunil CR</t>
        </is>
      </c>
      <c r="G152" s="26" t="inlineStr">
        <is>
          <t>Yes</t>
        </is>
      </c>
      <c r="H152" s="26" t="inlineStr">
        <is>
          <t>No</t>
        </is>
      </c>
      <c r="I152" s="26" t="inlineStr">
        <is>
          <t>Good finish</t>
        </is>
      </c>
      <c r="J152" s="26" t="inlineStr">
        <is>
          <t>Yes</t>
        </is>
      </c>
      <c r="K152" s="27" t="n"/>
      <c r="L152" s="28" t="inlineStr">
        <is>
          <t>No</t>
        </is>
      </c>
      <c r="M152" s="29">
        <f>IF(E152="","",IF(H152="Yes","❌ Disc",IF(G152="No","⚠ Missing",IF(J152="Yes","✓ OK","⚠ Check"))))</f>
        <v/>
      </c>
      <c r="N152" s="43" t="n">
        <v>46139</v>
      </c>
      <c r="O152" s="26" t="inlineStr">
        <is>
          <t>Sunil CR</t>
        </is>
      </c>
      <c r="P152" s="26" t="inlineStr">
        <is>
          <t>Yes</t>
        </is>
      </c>
      <c r="Q152" s="26" t="inlineStr">
        <is>
          <t>No</t>
        </is>
      </c>
      <c r="R152" s="26" t="inlineStr">
        <is>
          <t>Good finish</t>
        </is>
      </c>
      <c r="S152" s="26" t="inlineStr">
        <is>
          <t>Yes</t>
        </is>
      </c>
      <c r="T152" s="27" t="n"/>
      <c r="U152" s="28" t="inlineStr">
        <is>
          <t>No</t>
        </is>
      </c>
      <c r="V152" s="29">
        <f>IF(N152="","",IF(Q152="Yes","❌ Disc",IF(P152="No","⚠ Missing",IF(S152="Yes","✓ OK","⚠ Check"))))</f>
        <v/>
      </c>
      <c r="W152" s="65" t="n">
        <v>46248</v>
      </c>
      <c r="X152" s="30" t="inlineStr">
        <is>
          <t>Sunil CR</t>
        </is>
      </c>
      <c r="Y152" s="30" t="inlineStr">
        <is>
          <t>Yes</t>
        </is>
      </c>
      <c r="Z152" s="30" t="n"/>
      <c r="AA152" s="30" t="inlineStr">
        <is>
          <t>Good finish</t>
        </is>
      </c>
      <c r="AB152" s="30" t="inlineStr">
        <is>
          <t>Yes</t>
        </is>
      </c>
      <c r="AC152" s="27" t="n"/>
      <c r="AD152" s="31" t="inlineStr">
        <is>
          <t>No</t>
        </is>
      </c>
      <c r="AE152" s="32">
        <f>IF(W152="","",IF(Z152="Yes","❌ Disc",IF(Y152="No","⚠ Missing",IF(AB152="Yes","✓ OK","⚠ Check"))))</f>
        <v/>
      </c>
      <c r="AF152" s="33" t="n"/>
      <c r="AG152" s="33" t="n"/>
      <c r="AH152" s="33" t="n"/>
      <c r="AI152" s="33" t="n"/>
      <c r="AJ152" s="33" t="n"/>
      <c r="AK152" s="33" t="n"/>
      <c r="AL152" s="27" t="n"/>
      <c r="AM152" s="34" t="n"/>
      <c r="AN152" s="35">
        <f>IF(AF152="","",IF(AI152="Yes","❌ Disc",IF(AH152="No","⚠ Missing",IF(AK152="Yes","✓ OK","⚠ Check"))))</f>
        <v/>
      </c>
      <c r="AO152" s="36" t="n"/>
      <c r="AP152" s="36" t="n"/>
      <c r="AQ152" s="36" t="n"/>
      <c r="AR152" s="36" t="n"/>
      <c r="AS152" s="36" t="n"/>
      <c r="AT152" s="36" t="n"/>
      <c r="AU152" s="27" t="n"/>
      <c r="AV152" s="37" t="n"/>
      <c r="AW152" s="38">
        <f>IF(AO152="","",IF(AR152="Yes","❌ Disc",IF(AQ152="No","⚠ Missing",IF(AT152="Yes","✓ OK","⚠ Check"))))</f>
        <v/>
      </c>
    </row>
    <row r="153" ht="18" customHeight="1" s="46">
      <c r="A153" s="23" t="n">
        <v>149</v>
      </c>
      <c r="B153" s="24" t="inlineStr">
        <is>
          <t>Keiba_903</t>
        </is>
      </c>
      <c r="C153" s="25" t="inlineStr">
        <is>
          <t>Sarom - Keiba Fabric(Diamond) - Keiba_903</t>
        </is>
      </c>
      <c r="D153" s="23" t="inlineStr">
        <is>
          <t>Sarom</t>
        </is>
      </c>
      <c r="E153" s="43" t="n">
        <v>46125</v>
      </c>
      <c r="F153" s="26" t="inlineStr">
        <is>
          <t>Sunil CR</t>
        </is>
      </c>
      <c r="G153" s="26" t="inlineStr">
        <is>
          <t>Yes</t>
        </is>
      </c>
      <c r="H153" s="26" t="inlineStr">
        <is>
          <t>No</t>
        </is>
      </c>
      <c r="I153" s="26" t="inlineStr">
        <is>
          <t>Good finish</t>
        </is>
      </c>
      <c r="J153" s="26" t="inlineStr">
        <is>
          <t>Yes</t>
        </is>
      </c>
      <c r="K153" s="27" t="n"/>
      <c r="L153" s="28" t="inlineStr">
        <is>
          <t>No</t>
        </is>
      </c>
      <c r="M153" s="29">
        <f>IF(E153="","",IF(H153="Yes","❌ Disc",IF(G153="No","⚠ Missing",IF(J153="Yes","✓ OK","⚠ Check"))))</f>
        <v/>
      </c>
      <c r="N153" s="43" t="n">
        <v>46139</v>
      </c>
      <c r="O153" s="26" t="inlineStr">
        <is>
          <t>Sunil CR</t>
        </is>
      </c>
      <c r="P153" s="26" t="inlineStr">
        <is>
          <t>Yes</t>
        </is>
      </c>
      <c r="Q153" s="26" t="inlineStr">
        <is>
          <t>No</t>
        </is>
      </c>
      <c r="R153" s="26" t="inlineStr">
        <is>
          <t>Good finish</t>
        </is>
      </c>
      <c r="S153" s="26" t="inlineStr">
        <is>
          <t>Yes</t>
        </is>
      </c>
      <c r="T153" s="27" t="n"/>
      <c r="U153" s="28" t="inlineStr">
        <is>
          <t>No</t>
        </is>
      </c>
      <c r="V153" s="29">
        <f>IF(N153="","",IF(Q153="Yes","❌ Disc",IF(P153="No","⚠ Missing",IF(S153="Yes","✓ OK","⚠ Check"))))</f>
        <v/>
      </c>
      <c r="W153" s="65" t="n">
        <v>46248</v>
      </c>
      <c r="X153" s="30" t="inlineStr">
        <is>
          <t>Sunil CR</t>
        </is>
      </c>
      <c r="Y153" s="30" t="inlineStr">
        <is>
          <t>Yes</t>
        </is>
      </c>
      <c r="Z153" s="30" t="n"/>
      <c r="AA153" s="30" t="inlineStr">
        <is>
          <t>Good finish</t>
        </is>
      </c>
      <c r="AB153" s="30" t="inlineStr">
        <is>
          <t>Yes</t>
        </is>
      </c>
      <c r="AC153" s="27" t="n"/>
      <c r="AD153" s="31" t="inlineStr">
        <is>
          <t>No</t>
        </is>
      </c>
      <c r="AE153" s="32">
        <f>IF(W153="","",IF(Z153="Yes","❌ Disc",IF(Y153="No","⚠ Missing",IF(AB153="Yes","✓ OK","⚠ Check"))))</f>
        <v/>
      </c>
      <c r="AF153" s="33" t="n"/>
      <c r="AG153" s="33" t="n"/>
      <c r="AH153" s="33" t="n"/>
      <c r="AI153" s="33" t="n"/>
      <c r="AJ153" s="33" t="n"/>
      <c r="AK153" s="33" t="n"/>
      <c r="AL153" s="27" t="n"/>
      <c r="AM153" s="34" t="n"/>
      <c r="AN153" s="35">
        <f>IF(AF153="","",IF(AI153="Yes","❌ Disc",IF(AH153="No","⚠ Missing",IF(AK153="Yes","✓ OK","⚠ Check"))))</f>
        <v/>
      </c>
      <c r="AO153" s="36" t="n"/>
      <c r="AP153" s="36" t="n"/>
      <c r="AQ153" s="36" t="n"/>
      <c r="AR153" s="36" t="n"/>
      <c r="AS153" s="36" t="n"/>
      <c r="AT153" s="36" t="n"/>
      <c r="AU153" s="27" t="n"/>
      <c r="AV153" s="37" t="n"/>
      <c r="AW153" s="38">
        <f>IF(AO153="","",IF(AR153="Yes","❌ Disc",IF(AQ153="No","⚠ Missing",IF(AT153="Yes","✓ OK","⚠ Check"))))</f>
        <v/>
      </c>
    </row>
    <row r="154" ht="18" customHeight="1" s="46">
      <c r="A154" s="39" t="n">
        <v>150</v>
      </c>
      <c r="B154" s="40" t="inlineStr">
        <is>
          <t>Keiba_904</t>
        </is>
      </c>
      <c r="C154" s="41" t="inlineStr">
        <is>
          <t>Sarom - Keiba Fabric(Diamond) - Keiba_904</t>
        </is>
      </c>
      <c r="D154" s="39" t="inlineStr">
        <is>
          <t>Sarom</t>
        </is>
      </c>
      <c r="E154" s="43" t="n">
        <v>46125</v>
      </c>
      <c r="F154" s="26" t="inlineStr">
        <is>
          <t>Sunil CR</t>
        </is>
      </c>
      <c r="G154" s="26" t="inlineStr">
        <is>
          <t>Yes</t>
        </is>
      </c>
      <c r="H154" s="26" t="inlineStr">
        <is>
          <t>No</t>
        </is>
      </c>
      <c r="I154" s="26" t="inlineStr">
        <is>
          <t>Good finish</t>
        </is>
      </c>
      <c r="J154" s="26" t="inlineStr">
        <is>
          <t>Yes</t>
        </is>
      </c>
      <c r="K154" s="27" t="n"/>
      <c r="L154" s="28" t="inlineStr">
        <is>
          <t>No</t>
        </is>
      </c>
      <c r="M154" s="29">
        <f>IF(E154="","",IF(H154="Yes","❌ Disc",IF(G154="No","⚠ Missing",IF(J154="Yes","✓ OK","⚠ Check"))))</f>
        <v/>
      </c>
      <c r="N154" s="43" t="n">
        <v>46139</v>
      </c>
      <c r="O154" s="26" t="inlineStr">
        <is>
          <t>Sunil CR</t>
        </is>
      </c>
      <c r="P154" s="26" t="inlineStr">
        <is>
          <t>Yes</t>
        </is>
      </c>
      <c r="Q154" s="26" t="inlineStr">
        <is>
          <t>No</t>
        </is>
      </c>
      <c r="R154" s="26" t="inlineStr">
        <is>
          <t>Good finish</t>
        </is>
      </c>
      <c r="S154" s="26" t="inlineStr">
        <is>
          <t>Yes</t>
        </is>
      </c>
      <c r="T154" s="27" t="n"/>
      <c r="U154" s="28" t="inlineStr">
        <is>
          <t>No</t>
        </is>
      </c>
      <c r="V154" s="29">
        <f>IF(N154="","",IF(Q154="Yes","❌ Disc",IF(P154="No","⚠ Missing",IF(S154="Yes","✓ OK","⚠ Check"))))</f>
        <v/>
      </c>
      <c r="W154" s="65" t="n">
        <v>46248</v>
      </c>
      <c r="X154" s="30" t="inlineStr">
        <is>
          <t>Sunil CR</t>
        </is>
      </c>
      <c r="Y154" s="30" t="inlineStr">
        <is>
          <t>Yes</t>
        </is>
      </c>
      <c r="Z154" s="30" t="n"/>
      <c r="AA154" s="30" t="inlineStr">
        <is>
          <t>Good finish</t>
        </is>
      </c>
      <c r="AB154" s="30" t="inlineStr">
        <is>
          <t>Yes</t>
        </is>
      </c>
      <c r="AC154" s="27" t="n"/>
      <c r="AD154" s="31" t="inlineStr">
        <is>
          <t>No</t>
        </is>
      </c>
      <c r="AE154" s="32">
        <f>IF(W154="","",IF(Z154="Yes","❌ Disc",IF(Y154="No","⚠ Missing",IF(AB154="Yes","✓ OK","⚠ Check"))))</f>
        <v/>
      </c>
      <c r="AF154" s="33" t="n"/>
      <c r="AG154" s="33" t="n"/>
      <c r="AH154" s="33" t="n"/>
      <c r="AI154" s="33" t="n"/>
      <c r="AJ154" s="33" t="n"/>
      <c r="AK154" s="33" t="n"/>
      <c r="AL154" s="27" t="n"/>
      <c r="AM154" s="34" t="n"/>
      <c r="AN154" s="35">
        <f>IF(AF154="","",IF(AI154="Yes","❌ Disc",IF(AH154="No","⚠ Missing",IF(AK154="Yes","✓ OK","⚠ Check"))))</f>
        <v/>
      </c>
      <c r="AO154" s="36" t="n"/>
      <c r="AP154" s="36" t="n"/>
      <c r="AQ154" s="36" t="n"/>
      <c r="AR154" s="36" t="n"/>
      <c r="AS154" s="36" t="n"/>
      <c r="AT154" s="36" t="n"/>
      <c r="AU154" s="27" t="n"/>
      <c r="AV154" s="37" t="n"/>
      <c r="AW154" s="38">
        <f>IF(AO154="","",IF(AR154="Yes","❌ Disc",IF(AQ154="No","⚠ Missing",IF(AT154="Yes","✓ OK","⚠ Check"))))</f>
        <v/>
      </c>
    </row>
    <row r="155" ht="18" customHeight="1" s="46">
      <c r="A155" s="23" t="n">
        <v>151</v>
      </c>
      <c r="B155" s="24" t="inlineStr">
        <is>
          <t>Keiba_905</t>
        </is>
      </c>
      <c r="C155" s="25" t="inlineStr">
        <is>
          <t>Sarom - Keiba Fabric(Diamond) - Keiba_905</t>
        </is>
      </c>
      <c r="D155" s="23" t="inlineStr">
        <is>
          <t>Sarom</t>
        </is>
      </c>
      <c r="E155" s="43" t="n">
        <v>46125</v>
      </c>
      <c r="F155" s="26" t="inlineStr">
        <is>
          <t>Sunil CR</t>
        </is>
      </c>
      <c r="G155" s="26" t="inlineStr">
        <is>
          <t>Yes</t>
        </is>
      </c>
      <c r="H155" s="26" t="inlineStr">
        <is>
          <t>No</t>
        </is>
      </c>
      <c r="I155" s="26" t="inlineStr">
        <is>
          <t>Good finish</t>
        </is>
      </c>
      <c r="J155" s="26" t="inlineStr">
        <is>
          <t>Yes</t>
        </is>
      </c>
      <c r="K155" s="27" t="n"/>
      <c r="L155" s="28" t="inlineStr">
        <is>
          <t>No</t>
        </is>
      </c>
      <c r="M155" s="29">
        <f>IF(E155="","",IF(H155="Yes","❌ Disc",IF(G155="No","⚠ Missing",IF(J155="Yes","✓ OK","⚠ Check"))))</f>
        <v/>
      </c>
      <c r="N155" s="43" t="n">
        <v>46139</v>
      </c>
      <c r="O155" s="26" t="inlineStr">
        <is>
          <t>Sunil CR</t>
        </is>
      </c>
      <c r="P155" s="26" t="inlineStr">
        <is>
          <t>Yes</t>
        </is>
      </c>
      <c r="Q155" s="26" t="inlineStr">
        <is>
          <t>No</t>
        </is>
      </c>
      <c r="R155" s="26" t="inlineStr">
        <is>
          <t>Good finish</t>
        </is>
      </c>
      <c r="S155" s="26" t="inlineStr">
        <is>
          <t>Yes</t>
        </is>
      </c>
      <c r="T155" s="27" t="n"/>
      <c r="U155" s="28" t="inlineStr">
        <is>
          <t>No</t>
        </is>
      </c>
      <c r="V155" s="29">
        <f>IF(N155="","",IF(Q155="Yes","❌ Disc",IF(P155="No","⚠ Missing",IF(S155="Yes","✓ OK","⚠ Check"))))</f>
        <v/>
      </c>
      <c r="W155" s="65" t="n">
        <v>46248</v>
      </c>
      <c r="X155" s="30" t="inlineStr">
        <is>
          <t>Sunil CR</t>
        </is>
      </c>
      <c r="Y155" s="30" t="inlineStr">
        <is>
          <t>Yes</t>
        </is>
      </c>
      <c r="Z155" s="30" t="n"/>
      <c r="AA155" s="30" t="inlineStr">
        <is>
          <t>Good finish</t>
        </is>
      </c>
      <c r="AB155" s="30" t="inlineStr">
        <is>
          <t>Yes</t>
        </is>
      </c>
      <c r="AC155" s="27" t="n"/>
      <c r="AD155" s="31" t="inlineStr">
        <is>
          <t>No</t>
        </is>
      </c>
      <c r="AE155" s="32">
        <f>IF(W155="","",IF(Z155="Yes","❌ Disc",IF(Y155="No","⚠ Missing",IF(AB155="Yes","✓ OK","⚠ Check"))))</f>
        <v/>
      </c>
      <c r="AF155" s="33" t="n"/>
      <c r="AG155" s="33" t="n"/>
      <c r="AH155" s="33" t="n"/>
      <c r="AI155" s="33" t="n"/>
      <c r="AJ155" s="33" t="n"/>
      <c r="AK155" s="33" t="n"/>
      <c r="AL155" s="27" t="n"/>
      <c r="AM155" s="34" t="n"/>
      <c r="AN155" s="35">
        <f>IF(AF155="","",IF(AI155="Yes","❌ Disc",IF(AH155="No","⚠ Missing",IF(AK155="Yes","✓ OK","⚠ Check"))))</f>
        <v/>
      </c>
      <c r="AO155" s="36" t="n"/>
      <c r="AP155" s="36" t="n"/>
      <c r="AQ155" s="36" t="n"/>
      <c r="AR155" s="36" t="n"/>
      <c r="AS155" s="36" t="n"/>
      <c r="AT155" s="36" t="n"/>
      <c r="AU155" s="27" t="n"/>
      <c r="AV155" s="37" t="n"/>
      <c r="AW155" s="38">
        <f>IF(AO155="","",IF(AR155="Yes","❌ Disc",IF(AQ155="No","⚠ Missing",IF(AT155="Yes","✓ OK","⚠ Check"))))</f>
        <v/>
      </c>
    </row>
    <row r="156" ht="18" customHeight="1" s="46">
      <c r="A156" s="39" t="n">
        <v>152</v>
      </c>
      <c r="B156" s="40" t="inlineStr">
        <is>
          <t>Keiba_906</t>
        </is>
      </c>
      <c r="C156" s="41" t="inlineStr">
        <is>
          <t>Sarom - Keiba Fabric(Diamond) - Keiba_906</t>
        </is>
      </c>
      <c r="D156" s="39" t="inlineStr">
        <is>
          <t>Sarom</t>
        </is>
      </c>
      <c r="E156" s="43" t="n">
        <v>46125</v>
      </c>
      <c r="F156" s="26" t="inlineStr">
        <is>
          <t>Sunil CR</t>
        </is>
      </c>
      <c r="G156" s="26" t="inlineStr">
        <is>
          <t>Yes</t>
        </is>
      </c>
      <c r="H156" s="26" t="inlineStr">
        <is>
          <t>No</t>
        </is>
      </c>
      <c r="I156" s="26" t="inlineStr">
        <is>
          <t>Good finish</t>
        </is>
      </c>
      <c r="J156" s="26" t="inlineStr">
        <is>
          <t>Yes</t>
        </is>
      </c>
      <c r="K156" s="27" t="n"/>
      <c r="L156" s="28" t="inlineStr">
        <is>
          <t>No</t>
        </is>
      </c>
      <c r="M156" s="29">
        <f>IF(E156="","",IF(H156="Yes","❌ Disc",IF(G156="No","⚠ Missing",IF(J156="Yes","✓ OK","⚠ Check"))))</f>
        <v/>
      </c>
      <c r="N156" s="43" t="n">
        <v>46139</v>
      </c>
      <c r="O156" s="26" t="inlineStr">
        <is>
          <t>Sunil CR</t>
        </is>
      </c>
      <c r="P156" s="26" t="inlineStr">
        <is>
          <t>Yes</t>
        </is>
      </c>
      <c r="Q156" s="26" t="inlineStr">
        <is>
          <t>No</t>
        </is>
      </c>
      <c r="R156" s="26" t="inlineStr">
        <is>
          <t>Good finish</t>
        </is>
      </c>
      <c r="S156" s="26" t="inlineStr">
        <is>
          <t>Yes</t>
        </is>
      </c>
      <c r="T156" s="27" t="n"/>
      <c r="U156" s="28" t="inlineStr">
        <is>
          <t>No</t>
        </is>
      </c>
      <c r="V156" s="29">
        <f>IF(N156="","",IF(Q156="Yes","❌ Disc",IF(P156="No","⚠ Missing",IF(S156="Yes","✓ OK","⚠ Check"))))</f>
        <v/>
      </c>
      <c r="W156" s="65" t="n">
        <v>46248</v>
      </c>
      <c r="X156" s="30" t="inlineStr">
        <is>
          <t>Sunil CR</t>
        </is>
      </c>
      <c r="Y156" s="30" t="inlineStr">
        <is>
          <t>Yes</t>
        </is>
      </c>
      <c r="Z156" s="30" t="n"/>
      <c r="AA156" s="30" t="inlineStr">
        <is>
          <t>Good finish</t>
        </is>
      </c>
      <c r="AB156" s="30" t="inlineStr">
        <is>
          <t>Yes</t>
        </is>
      </c>
      <c r="AC156" s="27" t="n"/>
      <c r="AD156" s="31" t="inlineStr">
        <is>
          <t>No</t>
        </is>
      </c>
      <c r="AE156" s="32">
        <f>IF(W156="","",IF(Z156="Yes","❌ Disc",IF(Y156="No","⚠ Missing",IF(AB156="Yes","✓ OK","⚠ Check"))))</f>
        <v/>
      </c>
      <c r="AF156" s="33" t="n"/>
      <c r="AG156" s="33" t="n"/>
      <c r="AH156" s="33" t="n"/>
      <c r="AI156" s="33" t="n"/>
      <c r="AJ156" s="33" t="n"/>
      <c r="AK156" s="33" t="n"/>
      <c r="AL156" s="27" t="n"/>
      <c r="AM156" s="34" t="n"/>
      <c r="AN156" s="35">
        <f>IF(AF156="","",IF(AI156="Yes","❌ Disc",IF(AH156="No","⚠ Missing",IF(AK156="Yes","✓ OK","⚠ Check"))))</f>
        <v/>
      </c>
      <c r="AO156" s="36" t="n"/>
      <c r="AP156" s="36" t="n"/>
      <c r="AQ156" s="36" t="n"/>
      <c r="AR156" s="36" t="n"/>
      <c r="AS156" s="36" t="n"/>
      <c r="AT156" s="36" t="n"/>
      <c r="AU156" s="27" t="n"/>
      <c r="AV156" s="37" t="n"/>
      <c r="AW156" s="38">
        <f>IF(AO156="","",IF(AR156="Yes","❌ Disc",IF(AQ156="No","⚠ Missing",IF(AT156="Yes","✓ OK","⚠ Check"))))</f>
        <v/>
      </c>
    </row>
    <row r="157" ht="18" customHeight="1" s="46">
      <c r="A157" s="23" t="n">
        <v>153</v>
      </c>
      <c r="B157" s="24" t="inlineStr">
        <is>
          <t>Keiba_907</t>
        </is>
      </c>
      <c r="C157" s="25" t="inlineStr">
        <is>
          <t>Sarom - Keiba Fabric(Diamond) - Keiba_907</t>
        </is>
      </c>
      <c r="D157" s="23" t="inlineStr">
        <is>
          <t>Sarom</t>
        </is>
      </c>
      <c r="E157" s="43" t="n">
        <v>46125</v>
      </c>
      <c r="F157" s="26" t="inlineStr">
        <is>
          <t>Sunil CR</t>
        </is>
      </c>
      <c r="G157" s="26" t="inlineStr">
        <is>
          <t>Yes</t>
        </is>
      </c>
      <c r="H157" s="26" t="inlineStr">
        <is>
          <t>No</t>
        </is>
      </c>
      <c r="I157" s="26" t="inlineStr">
        <is>
          <t>Good finish</t>
        </is>
      </c>
      <c r="J157" s="26" t="inlineStr">
        <is>
          <t>Yes</t>
        </is>
      </c>
      <c r="K157" s="27" t="n"/>
      <c r="L157" s="28" t="inlineStr">
        <is>
          <t>No</t>
        </is>
      </c>
      <c r="M157" s="29">
        <f>IF(E157="","",IF(H157="Yes","❌ Disc",IF(G157="No","⚠ Missing",IF(J157="Yes","✓ OK","⚠ Check"))))</f>
        <v/>
      </c>
      <c r="N157" s="43" t="n">
        <v>46139</v>
      </c>
      <c r="O157" s="26" t="inlineStr">
        <is>
          <t>Sunil CR</t>
        </is>
      </c>
      <c r="P157" s="26" t="inlineStr">
        <is>
          <t>Yes</t>
        </is>
      </c>
      <c r="Q157" s="26" t="inlineStr">
        <is>
          <t>No</t>
        </is>
      </c>
      <c r="R157" s="26" t="inlineStr">
        <is>
          <t>Good finish</t>
        </is>
      </c>
      <c r="S157" s="26" t="inlineStr">
        <is>
          <t>Yes</t>
        </is>
      </c>
      <c r="T157" s="27" t="n"/>
      <c r="U157" s="28" t="inlineStr">
        <is>
          <t>No</t>
        </is>
      </c>
      <c r="V157" s="29">
        <f>IF(N157="","",IF(Q157="Yes","❌ Disc",IF(P157="No","⚠ Missing",IF(S157="Yes","✓ OK","⚠ Check"))))</f>
        <v/>
      </c>
      <c r="W157" s="65" t="n">
        <v>46248</v>
      </c>
      <c r="X157" s="30" t="inlineStr">
        <is>
          <t>Sunil CR</t>
        </is>
      </c>
      <c r="Y157" s="30" t="inlineStr">
        <is>
          <t>Yes</t>
        </is>
      </c>
      <c r="Z157" s="30" t="n"/>
      <c r="AA157" s="30" t="inlineStr">
        <is>
          <t>Good finish</t>
        </is>
      </c>
      <c r="AB157" s="30" t="inlineStr">
        <is>
          <t>Yes</t>
        </is>
      </c>
      <c r="AC157" s="27" t="n"/>
      <c r="AD157" s="31" t="inlineStr">
        <is>
          <t>No</t>
        </is>
      </c>
      <c r="AE157" s="32">
        <f>IF(W157="","",IF(Z157="Yes","❌ Disc",IF(Y157="No","⚠ Missing",IF(AB157="Yes","✓ OK","⚠ Check"))))</f>
        <v/>
      </c>
      <c r="AF157" s="33" t="n"/>
      <c r="AG157" s="33" t="n"/>
      <c r="AH157" s="33" t="n"/>
      <c r="AI157" s="33" t="n"/>
      <c r="AJ157" s="33" t="n"/>
      <c r="AK157" s="33" t="n"/>
      <c r="AL157" s="27" t="n"/>
      <c r="AM157" s="34" t="n"/>
      <c r="AN157" s="35">
        <f>IF(AF157="","",IF(AI157="Yes","❌ Disc",IF(AH157="No","⚠ Missing",IF(AK157="Yes","✓ OK","⚠ Check"))))</f>
        <v/>
      </c>
      <c r="AO157" s="36" t="n"/>
      <c r="AP157" s="36" t="n"/>
      <c r="AQ157" s="36" t="n"/>
      <c r="AR157" s="36" t="n"/>
      <c r="AS157" s="36" t="n"/>
      <c r="AT157" s="36" t="n"/>
      <c r="AU157" s="27" t="n"/>
      <c r="AV157" s="37" t="n"/>
      <c r="AW157" s="38">
        <f>IF(AO157="","",IF(AR157="Yes","❌ Disc",IF(AQ157="No","⚠ Missing",IF(AT157="Yes","✓ OK","⚠ Check"))))</f>
        <v/>
      </c>
    </row>
    <row r="158" ht="18" customHeight="1" s="46">
      <c r="A158" s="39" t="n">
        <v>154</v>
      </c>
      <c r="B158" s="40" t="inlineStr">
        <is>
          <t>Keiba_908</t>
        </is>
      </c>
      <c r="C158" s="41" t="inlineStr">
        <is>
          <t>Sarom - Keiba Fabric(Diamond) - Keiba_908</t>
        </is>
      </c>
      <c r="D158" s="39" t="inlineStr">
        <is>
          <t>Sarom</t>
        </is>
      </c>
      <c r="E158" s="43" t="n">
        <v>46125</v>
      </c>
      <c r="F158" s="26" t="inlineStr">
        <is>
          <t>Sunil CR</t>
        </is>
      </c>
      <c r="G158" s="26" t="inlineStr">
        <is>
          <t>Yes</t>
        </is>
      </c>
      <c r="H158" s="26" t="inlineStr">
        <is>
          <t>No</t>
        </is>
      </c>
      <c r="I158" s="26" t="inlineStr">
        <is>
          <t>Good finish</t>
        </is>
      </c>
      <c r="J158" s="26" t="inlineStr">
        <is>
          <t>Yes</t>
        </is>
      </c>
      <c r="K158" s="27" t="n"/>
      <c r="L158" s="28" t="inlineStr">
        <is>
          <t>No</t>
        </is>
      </c>
      <c r="M158" s="29">
        <f>IF(E158="","",IF(H158="Yes","❌ Disc",IF(G158="No","⚠ Missing",IF(J158="Yes","✓ OK","⚠ Check"))))</f>
        <v/>
      </c>
      <c r="N158" s="43" t="n">
        <v>46139</v>
      </c>
      <c r="O158" s="26" t="inlineStr">
        <is>
          <t>Sunil CR</t>
        </is>
      </c>
      <c r="P158" s="26" t="inlineStr">
        <is>
          <t>Yes</t>
        </is>
      </c>
      <c r="Q158" s="26" t="inlineStr">
        <is>
          <t>No</t>
        </is>
      </c>
      <c r="R158" s="26" t="inlineStr">
        <is>
          <t>Good finish</t>
        </is>
      </c>
      <c r="S158" s="26" t="inlineStr">
        <is>
          <t>Yes</t>
        </is>
      </c>
      <c r="T158" s="27" t="n"/>
      <c r="U158" s="28" t="inlineStr">
        <is>
          <t>No</t>
        </is>
      </c>
      <c r="V158" s="29">
        <f>IF(N158="","",IF(Q158="Yes","❌ Disc",IF(P158="No","⚠ Missing",IF(S158="Yes","✓ OK","⚠ Check"))))</f>
        <v/>
      </c>
      <c r="W158" s="65" t="n">
        <v>46248</v>
      </c>
      <c r="X158" s="30" t="inlineStr">
        <is>
          <t>Sunil CR</t>
        </is>
      </c>
      <c r="Y158" s="30" t="inlineStr">
        <is>
          <t>Yes</t>
        </is>
      </c>
      <c r="Z158" s="30" t="n"/>
      <c r="AA158" s="30" t="inlineStr">
        <is>
          <t>Good finish</t>
        </is>
      </c>
      <c r="AB158" s="30" t="inlineStr">
        <is>
          <t>Yes</t>
        </is>
      </c>
      <c r="AC158" s="27" t="n"/>
      <c r="AD158" s="31" t="inlineStr">
        <is>
          <t>No</t>
        </is>
      </c>
      <c r="AE158" s="32">
        <f>IF(W158="","",IF(Z158="Yes","❌ Disc",IF(Y158="No","⚠ Missing",IF(AB158="Yes","✓ OK","⚠ Check"))))</f>
        <v/>
      </c>
      <c r="AF158" s="33" t="n"/>
      <c r="AG158" s="33" t="n"/>
      <c r="AH158" s="33" t="n"/>
      <c r="AI158" s="33" t="n"/>
      <c r="AJ158" s="33" t="n"/>
      <c r="AK158" s="33" t="n"/>
      <c r="AL158" s="27" t="n"/>
      <c r="AM158" s="34" t="n"/>
      <c r="AN158" s="35">
        <f>IF(AF158="","",IF(AI158="Yes","❌ Disc",IF(AH158="No","⚠ Missing",IF(AK158="Yes","✓ OK","⚠ Check"))))</f>
        <v/>
      </c>
      <c r="AO158" s="36" t="n"/>
      <c r="AP158" s="36" t="n"/>
      <c r="AQ158" s="36" t="n"/>
      <c r="AR158" s="36" t="n"/>
      <c r="AS158" s="36" t="n"/>
      <c r="AT158" s="36" t="n"/>
      <c r="AU158" s="27" t="n"/>
      <c r="AV158" s="37" t="n"/>
      <c r="AW158" s="38">
        <f>IF(AO158="","",IF(AR158="Yes","❌ Disc",IF(AQ158="No","⚠ Missing",IF(AT158="Yes","✓ OK","⚠ Check"))))</f>
        <v/>
      </c>
    </row>
    <row r="159" ht="18" customHeight="1" s="46">
      <c r="A159" s="23" t="n">
        <v>155</v>
      </c>
      <c r="B159" s="24" t="inlineStr">
        <is>
          <t>Keiba_909</t>
        </is>
      </c>
      <c r="C159" s="25" t="inlineStr">
        <is>
          <t>Sarom - Keiba Fabric(Diamond) - Keiba_909</t>
        </is>
      </c>
      <c r="D159" s="23" t="inlineStr">
        <is>
          <t>Sarom</t>
        </is>
      </c>
      <c r="E159" s="43" t="n">
        <v>46125</v>
      </c>
      <c r="F159" s="26" t="inlineStr">
        <is>
          <t>Sunil CR</t>
        </is>
      </c>
      <c r="G159" s="26" t="inlineStr">
        <is>
          <t>Yes</t>
        </is>
      </c>
      <c r="H159" s="26" t="inlineStr">
        <is>
          <t>No</t>
        </is>
      </c>
      <c r="I159" s="26" t="inlineStr">
        <is>
          <t>Good finish</t>
        </is>
      </c>
      <c r="J159" s="26" t="inlineStr">
        <is>
          <t>Yes</t>
        </is>
      </c>
      <c r="K159" s="27" t="n"/>
      <c r="L159" s="28" t="inlineStr">
        <is>
          <t>No</t>
        </is>
      </c>
      <c r="M159" s="29">
        <f>IF(E159="","",IF(H159="Yes","❌ Disc",IF(G159="No","⚠ Missing",IF(J159="Yes","✓ OK","⚠ Check"))))</f>
        <v/>
      </c>
      <c r="N159" s="43" t="n">
        <v>46139</v>
      </c>
      <c r="O159" s="26" t="inlineStr">
        <is>
          <t>Sunil CR</t>
        </is>
      </c>
      <c r="P159" s="26" t="inlineStr">
        <is>
          <t>Yes</t>
        </is>
      </c>
      <c r="Q159" s="26" t="inlineStr">
        <is>
          <t>No</t>
        </is>
      </c>
      <c r="R159" s="26" t="inlineStr">
        <is>
          <t>Good finish</t>
        </is>
      </c>
      <c r="S159" s="26" t="inlineStr">
        <is>
          <t>Yes</t>
        </is>
      </c>
      <c r="T159" s="27" t="n"/>
      <c r="U159" s="28" t="inlineStr">
        <is>
          <t>No</t>
        </is>
      </c>
      <c r="V159" s="29">
        <f>IF(N159="","",IF(Q159="Yes","❌ Disc",IF(P159="No","⚠ Missing",IF(S159="Yes","✓ OK","⚠ Check"))))</f>
        <v/>
      </c>
      <c r="W159" s="65" t="n">
        <v>46248</v>
      </c>
      <c r="X159" s="30" t="inlineStr">
        <is>
          <t>Sunil CR</t>
        </is>
      </c>
      <c r="Y159" s="30" t="inlineStr">
        <is>
          <t>Yes</t>
        </is>
      </c>
      <c r="Z159" s="30" t="n"/>
      <c r="AA159" s="30" t="inlineStr">
        <is>
          <t>Good finish</t>
        </is>
      </c>
      <c r="AB159" s="30" t="inlineStr">
        <is>
          <t>Yes</t>
        </is>
      </c>
      <c r="AC159" s="27" t="n"/>
      <c r="AD159" s="31" t="inlineStr">
        <is>
          <t>No</t>
        </is>
      </c>
      <c r="AE159" s="32">
        <f>IF(W159="","",IF(Z159="Yes","❌ Disc",IF(Y159="No","⚠ Missing",IF(AB159="Yes","✓ OK","⚠ Check"))))</f>
        <v/>
      </c>
      <c r="AF159" s="33" t="n"/>
      <c r="AG159" s="33" t="n"/>
      <c r="AH159" s="33" t="n"/>
      <c r="AI159" s="33" t="n"/>
      <c r="AJ159" s="33" t="n"/>
      <c r="AK159" s="33" t="n"/>
      <c r="AL159" s="27" t="n"/>
      <c r="AM159" s="34" t="n"/>
      <c r="AN159" s="35">
        <f>IF(AF159="","",IF(AI159="Yes","❌ Disc",IF(AH159="No","⚠ Missing",IF(AK159="Yes","✓ OK","⚠ Check"))))</f>
        <v/>
      </c>
      <c r="AO159" s="36" t="n"/>
      <c r="AP159" s="36" t="n"/>
      <c r="AQ159" s="36" t="n"/>
      <c r="AR159" s="36" t="n"/>
      <c r="AS159" s="36" t="n"/>
      <c r="AT159" s="36" t="n"/>
      <c r="AU159" s="27" t="n"/>
      <c r="AV159" s="37" t="n"/>
      <c r="AW159" s="38">
        <f>IF(AO159="","",IF(AR159="Yes","❌ Disc",IF(AQ159="No","⚠ Missing",IF(AT159="Yes","✓ OK","⚠ Check"))))</f>
        <v/>
      </c>
    </row>
    <row r="160" ht="18" customHeight="1" s="46">
      <c r="A160" s="39" t="n">
        <v>156</v>
      </c>
      <c r="B160" s="40" t="inlineStr">
        <is>
          <t>Keiba_910</t>
        </is>
      </c>
      <c r="C160" s="41" t="inlineStr">
        <is>
          <t>Sarom - Keiba Fabric(Diamond) - Keiba_910</t>
        </is>
      </c>
      <c r="D160" s="39" t="inlineStr">
        <is>
          <t>Sarom</t>
        </is>
      </c>
      <c r="E160" s="43" t="n">
        <v>46125</v>
      </c>
      <c r="F160" s="26" t="inlineStr">
        <is>
          <t>Sunil CR</t>
        </is>
      </c>
      <c r="G160" s="26" t="inlineStr">
        <is>
          <t>Yes</t>
        </is>
      </c>
      <c r="H160" s="26" t="inlineStr">
        <is>
          <t>No</t>
        </is>
      </c>
      <c r="I160" s="26" t="inlineStr">
        <is>
          <t>Good finish</t>
        </is>
      </c>
      <c r="J160" s="26" t="inlineStr">
        <is>
          <t>Yes</t>
        </is>
      </c>
      <c r="K160" s="27" t="n"/>
      <c r="L160" s="28" t="inlineStr">
        <is>
          <t>No</t>
        </is>
      </c>
      <c r="M160" s="29">
        <f>IF(E160="","",IF(H160="Yes","❌ Disc",IF(G160="No","⚠ Missing",IF(J160="Yes","✓ OK","⚠ Check"))))</f>
        <v/>
      </c>
      <c r="N160" s="43" t="n">
        <v>46139</v>
      </c>
      <c r="O160" s="26" t="inlineStr">
        <is>
          <t>Sunil CR</t>
        </is>
      </c>
      <c r="P160" s="26" t="inlineStr">
        <is>
          <t>Yes</t>
        </is>
      </c>
      <c r="Q160" s="26" t="inlineStr">
        <is>
          <t>No</t>
        </is>
      </c>
      <c r="R160" s="26" t="inlineStr">
        <is>
          <t>Good finish</t>
        </is>
      </c>
      <c r="S160" s="26" t="inlineStr">
        <is>
          <t>Yes</t>
        </is>
      </c>
      <c r="T160" s="27" t="n"/>
      <c r="U160" s="28" t="inlineStr">
        <is>
          <t>No</t>
        </is>
      </c>
      <c r="V160" s="29">
        <f>IF(N160="","",IF(Q160="Yes","❌ Disc",IF(P160="No","⚠ Missing",IF(S160="Yes","✓ OK","⚠ Check"))))</f>
        <v/>
      </c>
      <c r="W160" s="65" t="n">
        <v>46248</v>
      </c>
      <c r="X160" s="30" t="inlineStr">
        <is>
          <t>Sunil CR</t>
        </is>
      </c>
      <c r="Y160" s="30" t="inlineStr">
        <is>
          <t>Yes</t>
        </is>
      </c>
      <c r="Z160" s="30" t="n"/>
      <c r="AA160" s="30" t="inlineStr">
        <is>
          <t>Good finish</t>
        </is>
      </c>
      <c r="AB160" s="30" t="inlineStr">
        <is>
          <t>Yes</t>
        </is>
      </c>
      <c r="AC160" s="27" t="n"/>
      <c r="AD160" s="31" t="inlineStr">
        <is>
          <t>No</t>
        </is>
      </c>
      <c r="AE160" s="32">
        <f>IF(W160="","",IF(Z160="Yes","❌ Disc",IF(Y160="No","⚠ Missing",IF(AB160="Yes","✓ OK","⚠ Check"))))</f>
        <v/>
      </c>
      <c r="AF160" s="33" t="n"/>
      <c r="AG160" s="33" t="n"/>
      <c r="AH160" s="33" t="n"/>
      <c r="AI160" s="33" t="n"/>
      <c r="AJ160" s="33" t="n"/>
      <c r="AK160" s="33" t="n"/>
      <c r="AL160" s="27" t="n"/>
      <c r="AM160" s="34" t="n"/>
      <c r="AN160" s="35">
        <f>IF(AF160="","",IF(AI160="Yes","❌ Disc",IF(AH160="No","⚠ Missing",IF(AK160="Yes","✓ OK","⚠ Check"))))</f>
        <v/>
      </c>
      <c r="AO160" s="36" t="n"/>
      <c r="AP160" s="36" t="n"/>
      <c r="AQ160" s="36" t="n"/>
      <c r="AR160" s="36" t="n"/>
      <c r="AS160" s="36" t="n"/>
      <c r="AT160" s="36" t="n"/>
      <c r="AU160" s="27" t="n"/>
      <c r="AV160" s="37" t="n"/>
      <c r="AW160" s="38">
        <f>IF(AO160="","",IF(AR160="Yes","❌ Disc",IF(AQ160="No","⚠ Missing",IF(AT160="Yes","✓ OK","⚠ Check"))))</f>
        <v/>
      </c>
    </row>
    <row r="161" ht="18" customHeight="1" s="46">
      <c r="A161" s="23" t="n">
        <v>157</v>
      </c>
      <c r="B161" s="24" t="inlineStr">
        <is>
          <t>Keiba_911</t>
        </is>
      </c>
      <c r="C161" s="25" t="inlineStr">
        <is>
          <t>Sarom - Keiba Fabric(Diamond) - Keiba_911</t>
        </is>
      </c>
      <c r="D161" s="23" t="inlineStr">
        <is>
          <t>Sarom</t>
        </is>
      </c>
      <c r="E161" s="43" t="n">
        <v>46125</v>
      </c>
      <c r="F161" s="26" t="inlineStr">
        <is>
          <t>Sunil CR</t>
        </is>
      </c>
      <c r="G161" s="26" t="inlineStr">
        <is>
          <t>Yes</t>
        </is>
      </c>
      <c r="H161" s="26" t="inlineStr">
        <is>
          <t>No</t>
        </is>
      </c>
      <c r="I161" s="26" t="inlineStr">
        <is>
          <t>Good finish</t>
        </is>
      </c>
      <c r="J161" s="26" t="inlineStr">
        <is>
          <t>Yes</t>
        </is>
      </c>
      <c r="K161" s="27" t="n"/>
      <c r="L161" s="28" t="inlineStr">
        <is>
          <t>No</t>
        </is>
      </c>
      <c r="M161" s="29">
        <f>IF(E161="","",IF(H161="Yes","❌ Disc",IF(G161="No","⚠ Missing",IF(J161="Yes","✓ OK","⚠ Check"))))</f>
        <v/>
      </c>
      <c r="N161" s="43" t="n">
        <v>46139</v>
      </c>
      <c r="O161" s="26" t="inlineStr">
        <is>
          <t>Sunil CR</t>
        </is>
      </c>
      <c r="P161" s="26" t="inlineStr">
        <is>
          <t>Yes</t>
        </is>
      </c>
      <c r="Q161" s="26" t="inlineStr">
        <is>
          <t>No</t>
        </is>
      </c>
      <c r="R161" s="26" t="inlineStr">
        <is>
          <t>Good finish</t>
        </is>
      </c>
      <c r="S161" s="26" t="inlineStr">
        <is>
          <t>Yes</t>
        </is>
      </c>
      <c r="T161" s="27" t="n"/>
      <c r="U161" s="28" t="inlineStr">
        <is>
          <t>No</t>
        </is>
      </c>
      <c r="V161" s="29">
        <f>IF(N161="","",IF(Q161="Yes","❌ Disc",IF(P161="No","⚠ Missing",IF(S161="Yes","✓ OK","⚠ Check"))))</f>
        <v/>
      </c>
      <c r="W161" s="65" t="n">
        <v>46248</v>
      </c>
      <c r="X161" s="30" t="inlineStr">
        <is>
          <t>Sunil CR</t>
        </is>
      </c>
      <c r="Y161" s="30" t="inlineStr">
        <is>
          <t>Yes</t>
        </is>
      </c>
      <c r="Z161" s="30" t="n"/>
      <c r="AA161" s="30" t="inlineStr">
        <is>
          <t>Good finish</t>
        </is>
      </c>
      <c r="AB161" s="30" t="inlineStr">
        <is>
          <t>Yes</t>
        </is>
      </c>
      <c r="AC161" s="27" t="n"/>
      <c r="AD161" s="31" t="inlineStr">
        <is>
          <t>No</t>
        </is>
      </c>
      <c r="AE161" s="32">
        <f>IF(W161="","",IF(Z161="Yes","❌ Disc",IF(Y161="No","⚠ Missing",IF(AB161="Yes","✓ OK","⚠ Check"))))</f>
        <v/>
      </c>
      <c r="AF161" s="33" t="n"/>
      <c r="AG161" s="33" t="n"/>
      <c r="AH161" s="33" t="n"/>
      <c r="AI161" s="33" t="n"/>
      <c r="AJ161" s="33" t="n"/>
      <c r="AK161" s="33" t="n"/>
      <c r="AL161" s="27" t="n"/>
      <c r="AM161" s="34" t="n"/>
      <c r="AN161" s="35">
        <f>IF(AF161="","",IF(AI161="Yes","❌ Disc",IF(AH161="No","⚠ Missing",IF(AK161="Yes","✓ OK","⚠ Check"))))</f>
        <v/>
      </c>
      <c r="AO161" s="36" t="n"/>
      <c r="AP161" s="36" t="n"/>
      <c r="AQ161" s="36" t="n"/>
      <c r="AR161" s="36" t="n"/>
      <c r="AS161" s="36" t="n"/>
      <c r="AT161" s="36" t="n"/>
      <c r="AU161" s="27" t="n"/>
      <c r="AV161" s="37" t="n"/>
      <c r="AW161" s="38">
        <f>IF(AO161="","",IF(AR161="Yes","❌ Disc",IF(AQ161="No","⚠ Missing",IF(AT161="Yes","✓ OK","⚠ Check"))))</f>
        <v/>
      </c>
    </row>
    <row r="162" ht="18" customHeight="1" s="46">
      <c r="A162" s="39" t="n">
        <v>158</v>
      </c>
      <c r="B162" s="40" t="inlineStr">
        <is>
          <t>Keiba_912</t>
        </is>
      </c>
      <c r="C162" s="41" t="inlineStr">
        <is>
          <t>Sarom - Keiba Fabric(Diamond) - Keiba_912</t>
        </is>
      </c>
      <c r="D162" s="39" t="inlineStr">
        <is>
          <t>Sarom</t>
        </is>
      </c>
      <c r="E162" s="43" t="n">
        <v>46125</v>
      </c>
      <c r="F162" s="26" t="inlineStr">
        <is>
          <t>Sunil CR</t>
        </is>
      </c>
      <c r="G162" s="26" t="inlineStr">
        <is>
          <t>Yes</t>
        </is>
      </c>
      <c r="H162" s="26" t="inlineStr">
        <is>
          <t>No</t>
        </is>
      </c>
      <c r="I162" s="26" t="inlineStr">
        <is>
          <t>Good finish</t>
        </is>
      </c>
      <c r="J162" s="26" t="inlineStr">
        <is>
          <t>Yes</t>
        </is>
      </c>
      <c r="K162" s="27" t="n"/>
      <c r="L162" s="28" t="inlineStr">
        <is>
          <t>No</t>
        </is>
      </c>
      <c r="M162" s="29">
        <f>IF(E162="","",IF(H162="Yes","❌ Disc",IF(G162="No","⚠ Missing",IF(J162="Yes","✓ OK","⚠ Check"))))</f>
        <v/>
      </c>
      <c r="N162" s="43" t="n">
        <v>46139</v>
      </c>
      <c r="O162" s="26" t="inlineStr">
        <is>
          <t>Sunil CR</t>
        </is>
      </c>
      <c r="P162" s="26" t="inlineStr">
        <is>
          <t>Yes</t>
        </is>
      </c>
      <c r="Q162" s="26" t="inlineStr">
        <is>
          <t>No</t>
        </is>
      </c>
      <c r="R162" s="26" t="inlineStr">
        <is>
          <t>Good finish</t>
        </is>
      </c>
      <c r="S162" s="26" t="inlineStr">
        <is>
          <t>Yes</t>
        </is>
      </c>
      <c r="T162" s="27" t="n"/>
      <c r="U162" s="28" t="inlineStr">
        <is>
          <t>No</t>
        </is>
      </c>
      <c r="V162" s="29">
        <f>IF(N162="","",IF(Q162="Yes","❌ Disc",IF(P162="No","⚠ Missing",IF(S162="Yes","✓ OK","⚠ Check"))))</f>
        <v/>
      </c>
      <c r="W162" s="65" t="n">
        <v>46248</v>
      </c>
      <c r="X162" s="30" t="inlineStr">
        <is>
          <t>Sunil CR</t>
        </is>
      </c>
      <c r="Y162" s="30" t="inlineStr">
        <is>
          <t>Yes</t>
        </is>
      </c>
      <c r="Z162" s="30" t="n"/>
      <c r="AA162" s="30" t="inlineStr">
        <is>
          <t>Good finish</t>
        </is>
      </c>
      <c r="AB162" s="30" t="inlineStr">
        <is>
          <t>Yes</t>
        </is>
      </c>
      <c r="AC162" s="27" t="n"/>
      <c r="AD162" s="31" t="inlineStr">
        <is>
          <t>No</t>
        </is>
      </c>
      <c r="AE162" s="32">
        <f>IF(W162="","",IF(Z162="Yes","❌ Disc",IF(Y162="No","⚠ Missing",IF(AB162="Yes","✓ OK","⚠ Check"))))</f>
        <v/>
      </c>
      <c r="AF162" s="33" t="n"/>
      <c r="AG162" s="33" t="n"/>
      <c r="AH162" s="33" t="n"/>
      <c r="AI162" s="33" t="n"/>
      <c r="AJ162" s="33" t="n"/>
      <c r="AK162" s="33" t="n"/>
      <c r="AL162" s="27" t="n"/>
      <c r="AM162" s="34" t="n"/>
      <c r="AN162" s="35">
        <f>IF(AF162="","",IF(AI162="Yes","❌ Disc",IF(AH162="No","⚠ Missing",IF(AK162="Yes","✓ OK","⚠ Check"))))</f>
        <v/>
      </c>
      <c r="AO162" s="36" t="n"/>
      <c r="AP162" s="36" t="n"/>
      <c r="AQ162" s="36" t="n"/>
      <c r="AR162" s="36" t="n"/>
      <c r="AS162" s="36" t="n"/>
      <c r="AT162" s="36" t="n"/>
      <c r="AU162" s="27" t="n"/>
      <c r="AV162" s="37" t="n"/>
      <c r="AW162" s="38">
        <f>IF(AO162="","",IF(AR162="Yes","❌ Disc",IF(AQ162="No","⚠ Missing",IF(AT162="Yes","✓ OK","⚠ Check"))))</f>
        <v/>
      </c>
    </row>
    <row r="163" ht="18" customHeight="1" s="46">
      <c r="A163" s="23" t="n">
        <v>159</v>
      </c>
      <c r="B163" s="24" t="inlineStr">
        <is>
          <t>Keiba_913</t>
        </is>
      </c>
      <c r="C163" s="25" t="inlineStr">
        <is>
          <t>Sarom - Keiba Fabric(Diamond) - Keiba_913</t>
        </is>
      </c>
      <c r="D163" s="23" t="inlineStr">
        <is>
          <t>Sarom</t>
        </is>
      </c>
      <c r="E163" s="43" t="n">
        <v>46125</v>
      </c>
      <c r="F163" s="26" t="inlineStr">
        <is>
          <t>Sunil CR</t>
        </is>
      </c>
      <c r="G163" s="26" t="inlineStr">
        <is>
          <t>Yes</t>
        </is>
      </c>
      <c r="H163" s="26" t="inlineStr">
        <is>
          <t>No</t>
        </is>
      </c>
      <c r="I163" s="26" t="inlineStr">
        <is>
          <t>Good finish</t>
        </is>
      </c>
      <c r="J163" s="26" t="inlineStr">
        <is>
          <t>Yes</t>
        </is>
      </c>
      <c r="K163" s="27" t="n"/>
      <c r="L163" s="28" t="inlineStr">
        <is>
          <t>No</t>
        </is>
      </c>
      <c r="M163" s="29">
        <f>IF(E163="","",IF(H163="Yes","❌ Disc",IF(G163="No","⚠ Missing",IF(J163="Yes","✓ OK","⚠ Check"))))</f>
        <v/>
      </c>
      <c r="N163" s="43" t="n">
        <v>46139</v>
      </c>
      <c r="O163" s="26" t="inlineStr">
        <is>
          <t>Sunil CR</t>
        </is>
      </c>
      <c r="P163" s="26" t="inlineStr">
        <is>
          <t>Yes</t>
        </is>
      </c>
      <c r="Q163" s="26" t="inlineStr">
        <is>
          <t>No</t>
        </is>
      </c>
      <c r="R163" s="26" t="inlineStr">
        <is>
          <t>Good finish</t>
        </is>
      </c>
      <c r="S163" s="26" t="inlineStr">
        <is>
          <t>Yes</t>
        </is>
      </c>
      <c r="T163" s="27" t="n"/>
      <c r="U163" s="28" t="inlineStr">
        <is>
          <t>No</t>
        </is>
      </c>
      <c r="V163" s="29">
        <f>IF(N163="","",IF(Q163="Yes","❌ Disc",IF(P163="No","⚠ Missing",IF(S163="Yes","✓ OK","⚠ Check"))))</f>
        <v/>
      </c>
      <c r="W163" s="65" t="n">
        <v>46248</v>
      </c>
      <c r="X163" s="30" t="inlineStr">
        <is>
          <t>Sunil CR</t>
        </is>
      </c>
      <c r="Y163" s="30" t="inlineStr">
        <is>
          <t>Yes</t>
        </is>
      </c>
      <c r="Z163" s="30" t="n"/>
      <c r="AA163" s="30" t="inlineStr">
        <is>
          <t>Good finish</t>
        </is>
      </c>
      <c r="AB163" s="30" t="inlineStr">
        <is>
          <t>Yes</t>
        </is>
      </c>
      <c r="AC163" s="27" t="n"/>
      <c r="AD163" s="31" t="inlineStr">
        <is>
          <t>No</t>
        </is>
      </c>
      <c r="AE163" s="32">
        <f>IF(W163="","",IF(Z163="Yes","❌ Disc",IF(Y163="No","⚠ Missing",IF(AB163="Yes","✓ OK","⚠ Check"))))</f>
        <v/>
      </c>
      <c r="AF163" s="33" t="n"/>
      <c r="AG163" s="33" t="n"/>
      <c r="AH163" s="33" t="n"/>
      <c r="AI163" s="33" t="n"/>
      <c r="AJ163" s="33" t="n"/>
      <c r="AK163" s="33" t="n"/>
      <c r="AL163" s="27" t="n"/>
      <c r="AM163" s="34" t="n"/>
      <c r="AN163" s="35">
        <f>IF(AF163="","",IF(AI163="Yes","❌ Disc",IF(AH163="No","⚠ Missing",IF(AK163="Yes","✓ OK","⚠ Check"))))</f>
        <v/>
      </c>
      <c r="AO163" s="36" t="n"/>
      <c r="AP163" s="36" t="n"/>
      <c r="AQ163" s="36" t="n"/>
      <c r="AR163" s="36" t="n"/>
      <c r="AS163" s="36" t="n"/>
      <c r="AT163" s="36" t="n"/>
      <c r="AU163" s="27" t="n"/>
      <c r="AV163" s="37" t="n"/>
      <c r="AW163" s="38">
        <f>IF(AO163="","",IF(AR163="Yes","❌ Disc",IF(AQ163="No","⚠ Missing",IF(AT163="Yes","✓ OK","⚠ Check"))))</f>
        <v/>
      </c>
    </row>
    <row r="164" ht="18" customHeight="1" s="46">
      <c r="A164" s="39" t="n">
        <v>160</v>
      </c>
      <c r="B164" s="40" t="inlineStr">
        <is>
          <t>Keiba_914</t>
        </is>
      </c>
      <c r="C164" s="41" t="inlineStr">
        <is>
          <t>Sarom - Keiba Fabric(Diamond) - Keiba_914</t>
        </is>
      </c>
      <c r="D164" s="39" t="inlineStr">
        <is>
          <t>Sarom</t>
        </is>
      </c>
      <c r="E164" s="43" t="n">
        <v>46125</v>
      </c>
      <c r="F164" s="26" t="inlineStr">
        <is>
          <t>Sunil CR</t>
        </is>
      </c>
      <c r="G164" s="26" t="inlineStr">
        <is>
          <t>Yes</t>
        </is>
      </c>
      <c r="H164" s="26" t="inlineStr">
        <is>
          <t>No</t>
        </is>
      </c>
      <c r="I164" s="26" t="inlineStr">
        <is>
          <t>Good finish</t>
        </is>
      </c>
      <c r="J164" s="26" t="inlineStr">
        <is>
          <t>Yes</t>
        </is>
      </c>
      <c r="K164" s="27" t="n"/>
      <c r="L164" s="28" t="inlineStr">
        <is>
          <t>No</t>
        </is>
      </c>
      <c r="M164" s="29">
        <f>IF(E164="","",IF(H164="Yes","❌ Disc",IF(G164="No","⚠ Missing",IF(J164="Yes","✓ OK","⚠ Check"))))</f>
        <v/>
      </c>
      <c r="N164" s="43" t="n">
        <v>46139</v>
      </c>
      <c r="O164" s="26" t="inlineStr">
        <is>
          <t>Sunil CR</t>
        </is>
      </c>
      <c r="P164" s="26" t="inlineStr">
        <is>
          <t>Yes</t>
        </is>
      </c>
      <c r="Q164" s="26" t="inlineStr">
        <is>
          <t>No</t>
        </is>
      </c>
      <c r="R164" s="26" t="inlineStr">
        <is>
          <t>Good finish</t>
        </is>
      </c>
      <c r="S164" s="26" t="inlineStr">
        <is>
          <t>Yes</t>
        </is>
      </c>
      <c r="T164" s="27" t="n"/>
      <c r="U164" s="28" t="inlineStr">
        <is>
          <t>No</t>
        </is>
      </c>
      <c r="V164" s="29">
        <f>IF(N164="","",IF(Q164="Yes","❌ Disc",IF(P164="No","⚠ Missing",IF(S164="Yes","✓ OK","⚠ Check"))))</f>
        <v/>
      </c>
      <c r="W164" s="65" t="n">
        <v>46248</v>
      </c>
      <c r="X164" s="30" t="inlineStr">
        <is>
          <t>Sunil CR</t>
        </is>
      </c>
      <c r="Y164" s="30" t="inlineStr">
        <is>
          <t>Yes</t>
        </is>
      </c>
      <c r="Z164" s="30" t="n"/>
      <c r="AA164" s="30" t="inlineStr">
        <is>
          <t>Good finish</t>
        </is>
      </c>
      <c r="AB164" s="30" t="inlineStr">
        <is>
          <t>Yes</t>
        </is>
      </c>
      <c r="AC164" s="27" t="n"/>
      <c r="AD164" s="31" t="inlineStr">
        <is>
          <t>No</t>
        </is>
      </c>
      <c r="AE164" s="32">
        <f>IF(W164="","",IF(Z164="Yes","❌ Disc",IF(Y164="No","⚠ Missing",IF(AB164="Yes","✓ OK","⚠ Check"))))</f>
        <v/>
      </c>
      <c r="AF164" s="33" t="n"/>
      <c r="AG164" s="33" t="n"/>
      <c r="AH164" s="33" t="n"/>
      <c r="AI164" s="33" t="n"/>
      <c r="AJ164" s="33" t="n"/>
      <c r="AK164" s="33" t="n"/>
      <c r="AL164" s="27" t="n"/>
      <c r="AM164" s="34" t="n"/>
      <c r="AN164" s="35">
        <f>IF(AF164="","",IF(AI164="Yes","❌ Disc",IF(AH164="No","⚠ Missing",IF(AK164="Yes","✓ OK","⚠ Check"))))</f>
        <v/>
      </c>
      <c r="AO164" s="36" t="n"/>
      <c r="AP164" s="36" t="n"/>
      <c r="AQ164" s="36" t="n"/>
      <c r="AR164" s="36" t="n"/>
      <c r="AS164" s="36" t="n"/>
      <c r="AT164" s="36" t="n"/>
      <c r="AU164" s="27" t="n"/>
      <c r="AV164" s="37" t="n"/>
      <c r="AW164" s="38">
        <f>IF(AO164="","",IF(AR164="Yes","❌ Disc",IF(AQ164="No","⚠ Missing",IF(AT164="Yes","✓ OK","⚠ Check"))))</f>
        <v/>
      </c>
    </row>
    <row r="165" ht="18" customHeight="1" s="46">
      <c r="A165" s="23" t="n">
        <v>161</v>
      </c>
      <c r="B165" s="24" t="inlineStr">
        <is>
          <t>Keiba_915</t>
        </is>
      </c>
      <c r="C165" s="25" t="inlineStr">
        <is>
          <t>Sarom - Keiba Fabric(Diamond) - Keiba_915</t>
        </is>
      </c>
      <c r="D165" s="23" t="inlineStr">
        <is>
          <t>Sarom</t>
        </is>
      </c>
      <c r="E165" s="43" t="n">
        <v>46125</v>
      </c>
      <c r="F165" s="26" t="inlineStr">
        <is>
          <t>Sunil CR</t>
        </is>
      </c>
      <c r="G165" s="26" t="inlineStr">
        <is>
          <t>Yes</t>
        </is>
      </c>
      <c r="H165" s="26" t="inlineStr">
        <is>
          <t>No</t>
        </is>
      </c>
      <c r="I165" s="26" t="inlineStr">
        <is>
          <t>Good finish</t>
        </is>
      </c>
      <c r="J165" s="26" t="inlineStr">
        <is>
          <t>Yes</t>
        </is>
      </c>
      <c r="K165" s="27" t="n"/>
      <c r="L165" s="28" t="inlineStr">
        <is>
          <t>No</t>
        </is>
      </c>
      <c r="M165" s="29">
        <f>IF(E165="","",IF(H165="Yes","❌ Disc",IF(G165="No","⚠ Missing",IF(J165="Yes","✓ OK","⚠ Check"))))</f>
        <v/>
      </c>
      <c r="N165" s="43" t="n">
        <v>46139</v>
      </c>
      <c r="O165" s="26" t="inlineStr">
        <is>
          <t>Sunil CR</t>
        </is>
      </c>
      <c r="P165" s="26" t="inlineStr">
        <is>
          <t>Yes</t>
        </is>
      </c>
      <c r="Q165" s="26" t="inlineStr">
        <is>
          <t>No</t>
        </is>
      </c>
      <c r="R165" s="26" t="inlineStr">
        <is>
          <t>Good finish</t>
        </is>
      </c>
      <c r="S165" s="26" t="inlineStr">
        <is>
          <t>Yes</t>
        </is>
      </c>
      <c r="T165" s="27" t="n"/>
      <c r="U165" s="28" t="inlineStr">
        <is>
          <t>No</t>
        </is>
      </c>
      <c r="V165" s="29">
        <f>IF(N165="","",IF(Q165="Yes","❌ Disc",IF(P165="No","⚠ Missing",IF(S165="Yes","✓ OK","⚠ Check"))))</f>
        <v/>
      </c>
      <c r="W165" s="65" t="n">
        <v>46248</v>
      </c>
      <c r="X165" s="30" t="inlineStr">
        <is>
          <t>Sunil CR</t>
        </is>
      </c>
      <c r="Y165" s="30" t="inlineStr">
        <is>
          <t>Yes</t>
        </is>
      </c>
      <c r="Z165" s="30" t="n"/>
      <c r="AA165" s="30" t="inlineStr">
        <is>
          <t>Good finish</t>
        </is>
      </c>
      <c r="AB165" s="30" t="inlineStr">
        <is>
          <t>Yes</t>
        </is>
      </c>
      <c r="AC165" s="27" t="n"/>
      <c r="AD165" s="31" t="inlineStr">
        <is>
          <t>No</t>
        </is>
      </c>
      <c r="AE165" s="32">
        <f>IF(W165="","",IF(Z165="Yes","❌ Disc",IF(Y165="No","⚠ Missing",IF(AB165="Yes","✓ OK","⚠ Check"))))</f>
        <v/>
      </c>
      <c r="AF165" s="33" t="n"/>
      <c r="AG165" s="33" t="n"/>
      <c r="AH165" s="33" t="n"/>
      <c r="AI165" s="33" t="n"/>
      <c r="AJ165" s="33" t="n"/>
      <c r="AK165" s="33" t="n"/>
      <c r="AL165" s="27" t="n"/>
      <c r="AM165" s="34" t="n"/>
      <c r="AN165" s="35">
        <f>IF(AF165="","",IF(AI165="Yes","❌ Disc",IF(AH165="No","⚠ Missing",IF(AK165="Yes","✓ OK","⚠ Check"))))</f>
        <v/>
      </c>
      <c r="AO165" s="36" t="n"/>
      <c r="AP165" s="36" t="n"/>
      <c r="AQ165" s="36" t="n"/>
      <c r="AR165" s="36" t="n"/>
      <c r="AS165" s="36" t="n"/>
      <c r="AT165" s="36" t="n"/>
      <c r="AU165" s="27" t="n"/>
      <c r="AV165" s="37" t="n"/>
      <c r="AW165" s="38">
        <f>IF(AO165="","",IF(AR165="Yes","❌ Disc",IF(AQ165="No","⚠ Missing",IF(AT165="Yes","✓ OK","⚠ Check"))))</f>
        <v/>
      </c>
    </row>
    <row r="166" ht="18" customHeight="1" s="46">
      <c r="A166" s="39" t="n">
        <v>162</v>
      </c>
      <c r="B166" s="40" t="inlineStr">
        <is>
          <t>Keiba_916</t>
        </is>
      </c>
      <c r="C166" s="41" t="inlineStr">
        <is>
          <t>Sarom - Keiba Fabric(Diamond) - Keiba_916</t>
        </is>
      </c>
      <c r="D166" s="39" t="inlineStr">
        <is>
          <t>Sarom</t>
        </is>
      </c>
      <c r="E166" s="43" t="n">
        <v>46125</v>
      </c>
      <c r="F166" s="26" t="inlineStr">
        <is>
          <t>Sunil CR</t>
        </is>
      </c>
      <c r="G166" s="26" t="inlineStr">
        <is>
          <t>Yes</t>
        </is>
      </c>
      <c r="H166" s="26" t="inlineStr">
        <is>
          <t>No</t>
        </is>
      </c>
      <c r="I166" s="26" t="inlineStr">
        <is>
          <t>Good finish</t>
        </is>
      </c>
      <c r="J166" s="26" t="inlineStr">
        <is>
          <t>Yes</t>
        </is>
      </c>
      <c r="K166" s="27" t="n"/>
      <c r="L166" s="28" t="inlineStr">
        <is>
          <t>No</t>
        </is>
      </c>
      <c r="M166" s="29">
        <f>IF(E166="","",IF(H166="Yes","❌ Disc",IF(G166="No","⚠ Missing",IF(J166="Yes","✓ OK","⚠ Check"))))</f>
        <v/>
      </c>
      <c r="N166" s="43" t="n">
        <v>46139</v>
      </c>
      <c r="O166" s="26" t="inlineStr">
        <is>
          <t>Sunil CR</t>
        </is>
      </c>
      <c r="P166" s="26" t="inlineStr">
        <is>
          <t>Yes</t>
        </is>
      </c>
      <c r="Q166" s="26" t="inlineStr">
        <is>
          <t>No</t>
        </is>
      </c>
      <c r="R166" s="26" t="inlineStr">
        <is>
          <t>Good finish</t>
        </is>
      </c>
      <c r="S166" s="26" t="inlineStr">
        <is>
          <t>Yes</t>
        </is>
      </c>
      <c r="T166" s="27" t="n"/>
      <c r="U166" s="28" t="inlineStr">
        <is>
          <t>No</t>
        </is>
      </c>
      <c r="V166" s="29">
        <f>IF(N166="","",IF(Q166="Yes","❌ Disc",IF(P166="No","⚠ Missing",IF(S166="Yes","✓ OK","⚠ Check"))))</f>
        <v/>
      </c>
      <c r="W166" s="65" t="n">
        <v>46248</v>
      </c>
      <c r="X166" s="30" t="inlineStr">
        <is>
          <t>Sunil CR</t>
        </is>
      </c>
      <c r="Y166" s="30" t="inlineStr">
        <is>
          <t>Yes</t>
        </is>
      </c>
      <c r="Z166" s="30" t="n"/>
      <c r="AA166" s="30" t="inlineStr">
        <is>
          <t>Good finish</t>
        </is>
      </c>
      <c r="AB166" s="30" t="inlineStr">
        <is>
          <t>Yes</t>
        </is>
      </c>
      <c r="AC166" s="27" t="n"/>
      <c r="AD166" s="31" t="inlineStr">
        <is>
          <t>No</t>
        </is>
      </c>
      <c r="AE166" s="32">
        <f>IF(W166="","",IF(Z166="Yes","❌ Disc",IF(Y166="No","⚠ Missing",IF(AB166="Yes","✓ OK","⚠ Check"))))</f>
        <v/>
      </c>
      <c r="AF166" s="33" t="n"/>
      <c r="AG166" s="33" t="n"/>
      <c r="AH166" s="33" t="n"/>
      <c r="AI166" s="33" t="n"/>
      <c r="AJ166" s="33" t="n"/>
      <c r="AK166" s="33" t="n"/>
      <c r="AL166" s="27" t="n"/>
      <c r="AM166" s="34" t="n"/>
      <c r="AN166" s="35">
        <f>IF(AF166="","",IF(AI166="Yes","❌ Disc",IF(AH166="No","⚠ Missing",IF(AK166="Yes","✓ OK","⚠ Check"))))</f>
        <v/>
      </c>
      <c r="AO166" s="36" t="n"/>
      <c r="AP166" s="36" t="n"/>
      <c r="AQ166" s="36" t="n"/>
      <c r="AR166" s="36" t="n"/>
      <c r="AS166" s="36" t="n"/>
      <c r="AT166" s="36" t="n"/>
      <c r="AU166" s="27" t="n"/>
      <c r="AV166" s="37" t="n"/>
      <c r="AW166" s="38">
        <f>IF(AO166="","",IF(AR166="Yes","❌ Disc",IF(AQ166="No","⚠ Missing",IF(AT166="Yes","✓ OK","⚠ Check"))))</f>
        <v/>
      </c>
    </row>
    <row r="167" ht="18" customHeight="1" s="46">
      <c r="A167" s="23" t="n">
        <v>163</v>
      </c>
      <c r="B167" s="24" t="inlineStr">
        <is>
          <t>Keiba_917</t>
        </is>
      </c>
      <c r="C167" s="25" t="inlineStr">
        <is>
          <t>Sarom - Keiba Fabric(Diamond) - Keiba_917</t>
        </is>
      </c>
      <c r="D167" s="23" t="inlineStr">
        <is>
          <t>Sarom</t>
        </is>
      </c>
      <c r="E167" s="43" t="n">
        <v>46125</v>
      </c>
      <c r="F167" s="26" t="inlineStr">
        <is>
          <t>Sunil CR</t>
        </is>
      </c>
      <c r="G167" s="26" t="inlineStr">
        <is>
          <t>Yes</t>
        </is>
      </c>
      <c r="H167" s="26" t="inlineStr">
        <is>
          <t>No</t>
        </is>
      </c>
      <c r="I167" s="26" t="inlineStr">
        <is>
          <t>Good finish</t>
        </is>
      </c>
      <c r="J167" s="26" t="inlineStr">
        <is>
          <t>Yes</t>
        </is>
      </c>
      <c r="K167" s="27" t="n"/>
      <c r="L167" s="28" t="inlineStr">
        <is>
          <t>No</t>
        </is>
      </c>
      <c r="M167" s="29">
        <f>IF(E167="","",IF(H167="Yes","❌ Disc",IF(G167="No","⚠ Missing",IF(J167="Yes","✓ OK","⚠ Check"))))</f>
        <v/>
      </c>
      <c r="N167" s="43" t="n">
        <v>46139</v>
      </c>
      <c r="O167" s="26" t="inlineStr">
        <is>
          <t>Sunil CR</t>
        </is>
      </c>
      <c r="P167" s="26" t="inlineStr">
        <is>
          <t>Yes</t>
        </is>
      </c>
      <c r="Q167" s="26" t="inlineStr">
        <is>
          <t>No</t>
        </is>
      </c>
      <c r="R167" s="26" t="inlineStr">
        <is>
          <t>Good finish</t>
        </is>
      </c>
      <c r="S167" s="26" t="inlineStr">
        <is>
          <t>Yes</t>
        </is>
      </c>
      <c r="T167" s="27" t="n"/>
      <c r="U167" s="28" t="inlineStr">
        <is>
          <t>No</t>
        </is>
      </c>
      <c r="V167" s="29">
        <f>IF(N167="","",IF(Q167="Yes","❌ Disc",IF(P167="No","⚠ Missing",IF(S167="Yes","✓ OK","⚠ Check"))))</f>
        <v/>
      </c>
      <c r="W167" s="65" t="n">
        <v>46248</v>
      </c>
      <c r="X167" s="30" t="inlineStr">
        <is>
          <t>Sunil CR</t>
        </is>
      </c>
      <c r="Y167" s="30" t="inlineStr">
        <is>
          <t>Yes</t>
        </is>
      </c>
      <c r="Z167" s="30" t="n"/>
      <c r="AA167" s="30" t="inlineStr">
        <is>
          <t>Good finish</t>
        </is>
      </c>
      <c r="AB167" s="30" t="inlineStr">
        <is>
          <t>Yes</t>
        </is>
      </c>
      <c r="AC167" s="27" t="n"/>
      <c r="AD167" s="31" t="inlineStr">
        <is>
          <t>No</t>
        </is>
      </c>
      <c r="AE167" s="32">
        <f>IF(W167="","",IF(Z167="Yes","❌ Disc",IF(Y167="No","⚠ Missing",IF(AB167="Yes","✓ OK","⚠ Check"))))</f>
        <v/>
      </c>
      <c r="AF167" s="33" t="n"/>
      <c r="AG167" s="33" t="n"/>
      <c r="AH167" s="33" t="n"/>
      <c r="AI167" s="33" t="n"/>
      <c r="AJ167" s="33" t="n"/>
      <c r="AK167" s="33" t="n"/>
      <c r="AL167" s="27" t="n"/>
      <c r="AM167" s="34" t="n"/>
      <c r="AN167" s="35">
        <f>IF(AF167="","",IF(AI167="Yes","❌ Disc",IF(AH167="No","⚠ Missing",IF(AK167="Yes","✓ OK","⚠ Check"))))</f>
        <v/>
      </c>
      <c r="AO167" s="36" t="n"/>
      <c r="AP167" s="36" t="n"/>
      <c r="AQ167" s="36" t="n"/>
      <c r="AR167" s="36" t="n"/>
      <c r="AS167" s="36" t="n"/>
      <c r="AT167" s="36" t="n"/>
      <c r="AU167" s="27" t="n"/>
      <c r="AV167" s="37" t="n"/>
      <c r="AW167" s="38">
        <f>IF(AO167="","",IF(AR167="Yes","❌ Disc",IF(AQ167="No","⚠ Missing",IF(AT167="Yes","✓ OK","⚠ Check"))))</f>
        <v/>
      </c>
    </row>
    <row r="168" ht="18" customHeight="1" s="46">
      <c r="A168" s="39" t="n">
        <v>164</v>
      </c>
      <c r="B168" s="40" t="inlineStr">
        <is>
          <t>Keiba_918</t>
        </is>
      </c>
      <c r="C168" s="41" t="inlineStr">
        <is>
          <t>Sarom - Keiba Fabric(Diamond) - Keiba_918</t>
        </is>
      </c>
      <c r="D168" s="39" t="inlineStr">
        <is>
          <t>Sarom</t>
        </is>
      </c>
      <c r="E168" s="43" t="n">
        <v>46125</v>
      </c>
      <c r="F168" s="26" t="inlineStr">
        <is>
          <t>Sunil CR</t>
        </is>
      </c>
      <c r="G168" s="26" t="inlineStr">
        <is>
          <t>Yes</t>
        </is>
      </c>
      <c r="H168" s="26" t="inlineStr">
        <is>
          <t>No</t>
        </is>
      </c>
      <c r="I168" s="26" t="inlineStr">
        <is>
          <t>Good finish</t>
        </is>
      </c>
      <c r="J168" s="26" t="inlineStr">
        <is>
          <t>Yes</t>
        </is>
      </c>
      <c r="K168" s="27" t="n"/>
      <c r="L168" s="28" t="inlineStr">
        <is>
          <t>No</t>
        </is>
      </c>
      <c r="M168" s="29">
        <f>IF(E168="","",IF(H168="Yes","❌ Disc",IF(G168="No","⚠ Missing",IF(J168="Yes","✓ OK","⚠ Check"))))</f>
        <v/>
      </c>
      <c r="N168" s="43" t="n">
        <v>46139</v>
      </c>
      <c r="O168" s="26" t="inlineStr">
        <is>
          <t>Sunil CR</t>
        </is>
      </c>
      <c r="P168" s="26" t="inlineStr">
        <is>
          <t>Yes</t>
        </is>
      </c>
      <c r="Q168" s="26" t="inlineStr">
        <is>
          <t>No</t>
        </is>
      </c>
      <c r="R168" s="26" t="inlineStr">
        <is>
          <t>Good finish</t>
        </is>
      </c>
      <c r="S168" s="26" t="inlineStr">
        <is>
          <t>Yes</t>
        </is>
      </c>
      <c r="T168" s="27" t="n"/>
      <c r="U168" s="28" t="inlineStr">
        <is>
          <t>No</t>
        </is>
      </c>
      <c r="V168" s="29">
        <f>IF(N168="","",IF(Q168="Yes","❌ Disc",IF(P168="No","⚠ Missing",IF(S168="Yes","✓ OK","⚠ Check"))))</f>
        <v/>
      </c>
      <c r="W168" s="65" t="n">
        <v>46248</v>
      </c>
      <c r="X168" s="30" t="inlineStr">
        <is>
          <t>Sunil CR</t>
        </is>
      </c>
      <c r="Y168" s="30" t="inlineStr">
        <is>
          <t>Yes</t>
        </is>
      </c>
      <c r="Z168" s="30" t="n"/>
      <c r="AA168" s="30" t="inlineStr">
        <is>
          <t>Good finish</t>
        </is>
      </c>
      <c r="AB168" s="30" t="inlineStr">
        <is>
          <t>Yes</t>
        </is>
      </c>
      <c r="AC168" s="27" t="n"/>
      <c r="AD168" s="31" t="inlineStr">
        <is>
          <t>No</t>
        </is>
      </c>
      <c r="AE168" s="32">
        <f>IF(W168="","",IF(Z168="Yes","❌ Disc",IF(Y168="No","⚠ Missing",IF(AB168="Yes","✓ OK","⚠ Check"))))</f>
        <v/>
      </c>
      <c r="AF168" s="33" t="n"/>
      <c r="AG168" s="33" t="n"/>
      <c r="AH168" s="33" t="n"/>
      <c r="AI168" s="33" t="n"/>
      <c r="AJ168" s="33" t="n"/>
      <c r="AK168" s="33" t="n"/>
      <c r="AL168" s="27" t="n"/>
      <c r="AM168" s="34" t="n"/>
      <c r="AN168" s="35">
        <f>IF(AF168="","",IF(AI168="Yes","❌ Disc",IF(AH168="No","⚠ Missing",IF(AK168="Yes","✓ OK","⚠ Check"))))</f>
        <v/>
      </c>
      <c r="AO168" s="36" t="n"/>
      <c r="AP168" s="36" t="n"/>
      <c r="AQ168" s="36" t="n"/>
      <c r="AR168" s="36" t="n"/>
      <c r="AS168" s="36" t="n"/>
      <c r="AT168" s="36" t="n"/>
      <c r="AU168" s="27" t="n"/>
      <c r="AV168" s="37" t="n"/>
      <c r="AW168" s="38">
        <f>IF(AO168="","",IF(AR168="Yes","❌ Disc",IF(AQ168="No","⚠ Missing",IF(AT168="Yes","✓ OK","⚠ Check"))))</f>
        <v/>
      </c>
    </row>
    <row r="169" ht="18" customHeight="1" s="46">
      <c r="A169" s="23" t="n">
        <v>165</v>
      </c>
      <c r="B169" s="24" t="inlineStr">
        <is>
          <t>Keiba_919</t>
        </is>
      </c>
      <c r="C169" s="25" t="inlineStr">
        <is>
          <t>Sarom - Keiba Fabric(Diamond) - Keiba_919</t>
        </is>
      </c>
      <c r="D169" s="23" t="inlineStr">
        <is>
          <t>Sarom</t>
        </is>
      </c>
      <c r="E169" s="43" t="n">
        <v>46125</v>
      </c>
      <c r="F169" s="26" t="inlineStr">
        <is>
          <t>Sunil CR</t>
        </is>
      </c>
      <c r="G169" s="26" t="inlineStr">
        <is>
          <t>Yes</t>
        </is>
      </c>
      <c r="H169" s="26" t="inlineStr">
        <is>
          <t>No</t>
        </is>
      </c>
      <c r="I169" s="26" t="inlineStr">
        <is>
          <t>Good finish</t>
        </is>
      </c>
      <c r="J169" s="26" t="inlineStr">
        <is>
          <t>Yes</t>
        </is>
      </c>
      <c r="K169" s="27" t="n"/>
      <c r="L169" s="28" t="inlineStr">
        <is>
          <t>No</t>
        </is>
      </c>
      <c r="M169" s="29">
        <f>IF(E169="","",IF(H169="Yes","❌ Disc",IF(G169="No","⚠ Missing",IF(J169="Yes","✓ OK","⚠ Check"))))</f>
        <v/>
      </c>
      <c r="N169" s="43" t="n">
        <v>46139</v>
      </c>
      <c r="O169" s="26" t="inlineStr">
        <is>
          <t>Sunil CR</t>
        </is>
      </c>
      <c r="P169" s="26" t="inlineStr">
        <is>
          <t>Yes</t>
        </is>
      </c>
      <c r="Q169" s="26" t="inlineStr">
        <is>
          <t>No</t>
        </is>
      </c>
      <c r="R169" s="26" t="inlineStr">
        <is>
          <t>Good finish</t>
        </is>
      </c>
      <c r="S169" s="26" t="inlineStr">
        <is>
          <t>Yes</t>
        </is>
      </c>
      <c r="T169" s="27" t="n"/>
      <c r="U169" s="28" t="inlineStr">
        <is>
          <t>No</t>
        </is>
      </c>
      <c r="V169" s="29">
        <f>IF(N169="","",IF(Q169="Yes","❌ Disc",IF(P169="No","⚠ Missing",IF(S169="Yes","✓ OK","⚠ Check"))))</f>
        <v/>
      </c>
      <c r="W169" s="65" t="n">
        <v>46248</v>
      </c>
      <c r="X169" s="30" t="inlineStr">
        <is>
          <t>Sunil CR</t>
        </is>
      </c>
      <c r="Y169" s="30" t="inlineStr">
        <is>
          <t>Yes</t>
        </is>
      </c>
      <c r="Z169" s="30" t="n"/>
      <c r="AA169" s="30" t="inlineStr">
        <is>
          <t>Good finish</t>
        </is>
      </c>
      <c r="AB169" s="30" t="inlineStr">
        <is>
          <t>Yes</t>
        </is>
      </c>
      <c r="AC169" s="27" t="n"/>
      <c r="AD169" s="31" t="inlineStr">
        <is>
          <t>No</t>
        </is>
      </c>
      <c r="AE169" s="32">
        <f>IF(W169="","",IF(Z169="Yes","❌ Disc",IF(Y169="No","⚠ Missing",IF(AB169="Yes","✓ OK","⚠ Check"))))</f>
        <v/>
      </c>
      <c r="AF169" s="33" t="n"/>
      <c r="AG169" s="33" t="n"/>
      <c r="AH169" s="33" t="n"/>
      <c r="AI169" s="33" t="n"/>
      <c r="AJ169" s="33" t="n"/>
      <c r="AK169" s="33" t="n"/>
      <c r="AL169" s="27" t="n"/>
      <c r="AM169" s="34" t="n"/>
      <c r="AN169" s="35">
        <f>IF(AF169="","",IF(AI169="Yes","❌ Disc",IF(AH169="No","⚠ Missing",IF(AK169="Yes","✓ OK","⚠ Check"))))</f>
        <v/>
      </c>
      <c r="AO169" s="36" t="n"/>
      <c r="AP169" s="36" t="n"/>
      <c r="AQ169" s="36" t="n"/>
      <c r="AR169" s="36" t="n"/>
      <c r="AS169" s="36" t="n"/>
      <c r="AT169" s="36" t="n"/>
      <c r="AU169" s="27" t="n"/>
      <c r="AV169" s="37" t="n"/>
      <c r="AW169" s="38">
        <f>IF(AO169="","",IF(AR169="Yes","❌ Disc",IF(AQ169="No","⚠ Missing",IF(AT169="Yes","✓ OK","⚠ Check"))))</f>
        <v/>
      </c>
    </row>
    <row r="170" ht="18" customHeight="1" s="46">
      <c r="A170" s="39" t="n">
        <v>166</v>
      </c>
      <c r="B170" s="40" t="inlineStr">
        <is>
          <t>Keiba_920</t>
        </is>
      </c>
      <c r="C170" s="41" t="inlineStr">
        <is>
          <t>Sarom - Keiba Fabric(Diamond) - Keiba_920</t>
        </is>
      </c>
      <c r="D170" s="39" t="inlineStr">
        <is>
          <t>Sarom</t>
        </is>
      </c>
      <c r="E170" s="43" t="n">
        <v>46125</v>
      </c>
      <c r="F170" s="26" t="inlineStr">
        <is>
          <t>Sunil CR</t>
        </is>
      </c>
      <c r="G170" s="26" t="inlineStr">
        <is>
          <t>Yes</t>
        </is>
      </c>
      <c r="H170" s="26" t="inlineStr">
        <is>
          <t>No</t>
        </is>
      </c>
      <c r="I170" s="26" t="inlineStr">
        <is>
          <t>Good finish</t>
        </is>
      </c>
      <c r="J170" s="26" t="inlineStr">
        <is>
          <t>Yes</t>
        </is>
      </c>
      <c r="K170" s="27" t="n"/>
      <c r="L170" s="28" t="inlineStr">
        <is>
          <t>No</t>
        </is>
      </c>
      <c r="M170" s="29">
        <f>IF(E170="","",IF(H170="Yes","❌ Disc",IF(G170="No","⚠ Missing",IF(J170="Yes","✓ OK","⚠ Check"))))</f>
        <v/>
      </c>
      <c r="N170" s="43" t="n">
        <v>46139</v>
      </c>
      <c r="O170" s="26" t="inlineStr">
        <is>
          <t>Sunil CR</t>
        </is>
      </c>
      <c r="P170" s="26" t="inlineStr">
        <is>
          <t>Yes</t>
        </is>
      </c>
      <c r="Q170" s="26" t="inlineStr">
        <is>
          <t>No</t>
        </is>
      </c>
      <c r="R170" s="26" t="inlineStr">
        <is>
          <t>Good finish</t>
        </is>
      </c>
      <c r="S170" s="26" t="inlineStr">
        <is>
          <t>Yes</t>
        </is>
      </c>
      <c r="T170" s="27" t="n"/>
      <c r="U170" s="28" t="inlineStr">
        <is>
          <t>No</t>
        </is>
      </c>
      <c r="V170" s="29">
        <f>IF(N170="","",IF(Q170="Yes","❌ Disc",IF(P170="No","⚠ Missing",IF(S170="Yes","✓ OK","⚠ Check"))))</f>
        <v/>
      </c>
      <c r="W170" s="65" t="n">
        <v>46248</v>
      </c>
      <c r="X170" s="30" t="inlineStr">
        <is>
          <t>Sunil CR</t>
        </is>
      </c>
      <c r="Y170" s="30" t="inlineStr">
        <is>
          <t>Yes</t>
        </is>
      </c>
      <c r="Z170" s="30" t="n"/>
      <c r="AA170" s="30" t="inlineStr">
        <is>
          <t>Good finish</t>
        </is>
      </c>
      <c r="AB170" s="30" t="inlineStr">
        <is>
          <t>Yes</t>
        </is>
      </c>
      <c r="AC170" s="27" t="n"/>
      <c r="AD170" s="31" t="inlineStr">
        <is>
          <t>No</t>
        </is>
      </c>
      <c r="AE170" s="32">
        <f>IF(W170="","",IF(Z170="Yes","❌ Disc",IF(Y170="No","⚠ Missing",IF(AB170="Yes","✓ OK","⚠ Check"))))</f>
        <v/>
      </c>
      <c r="AF170" s="33" t="n"/>
      <c r="AG170" s="33" t="n"/>
      <c r="AH170" s="33" t="n"/>
      <c r="AI170" s="33" t="n"/>
      <c r="AJ170" s="33" t="n"/>
      <c r="AK170" s="33" t="n"/>
      <c r="AL170" s="27" t="n"/>
      <c r="AM170" s="34" t="n"/>
      <c r="AN170" s="35">
        <f>IF(AF170="","",IF(AI170="Yes","❌ Disc",IF(AH170="No","⚠ Missing",IF(AK170="Yes","✓ OK","⚠ Check"))))</f>
        <v/>
      </c>
      <c r="AO170" s="36" t="n"/>
      <c r="AP170" s="36" t="n"/>
      <c r="AQ170" s="36" t="n"/>
      <c r="AR170" s="36" t="n"/>
      <c r="AS170" s="36" t="n"/>
      <c r="AT170" s="36" t="n"/>
      <c r="AU170" s="27" t="n"/>
      <c r="AV170" s="37" t="n"/>
      <c r="AW170" s="38">
        <f>IF(AO170="","",IF(AR170="Yes","❌ Disc",IF(AQ170="No","⚠ Missing",IF(AT170="Yes","✓ OK","⚠ Check"))))</f>
        <v/>
      </c>
    </row>
    <row r="171" ht="18" customHeight="1" s="46">
      <c r="A171" s="23" t="n">
        <v>167</v>
      </c>
      <c r="B171" s="24" t="inlineStr">
        <is>
          <t>Keiba_921</t>
        </is>
      </c>
      <c r="C171" s="25" t="inlineStr">
        <is>
          <t>Sarom - Keiba Fabric(Diamond) - Keiba_921</t>
        </is>
      </c>
      <c r="D171" s="23" t="inlineStr">
        <is>
          <t>Sarom</t>
        </is>
      </c>
      <c r="E171" s="43" t="n">
        <v>46125</v>
      </c>
      <c r="F171" s="26" t="inlineStr">
        <is>
          <t>Sunil CR</t>
        </is>
      </c>
      <c r="G171" s="26" t="inlineStr">
        <is>
          <t>Yes</t>
        </is>
      </c>
      <c r="H171" s="26" t="inlineStr">
        <is>
          <t>No</t>
        </is>
      </c>
      <c r="I171" s="26" t="inlineStr">
        <is>
          <t>Good finish</t>
        </is>
      </c>
      <c r="J171" s="26" t="inlineStr">
        <is>
          <t>Yes</t>
        </is>
      </c>
      <c r="K171" s="27" t="n"/>
      <c r="L171" s="28" t="inlineStr">
        <is>
          <t>No</t>
        </is>
      </c>
      <c r="M171" s="29">
        <f>IF(E171="","",IF(H171="Yes","❌ Disc",IF(G171="No","⚠ Missing",IF(J171="Yes","✓ OK","⚠ Check"))))</f>
        <v/>
      </c>
      <c r="N171" s="43" t="n">
        <v>46139</v>
      </c>
      <c r="O171" s="26" t="inlineStr">
        <is>
          <t>Sunil CR</t>
        </is>
      </c>
      <c r="P171" s="26" t="inlineStr">
        <is>
          <t>Yes</t>
        </is>
      </c>
      <c r="Q171" s="26" t="inlineStr">
        <is>
          <t>No</t>
        </is>
      </c>
      <c r="R171" s="26" t="inlineStr">
        <is>
          <t>Good finish</t>
        </is>
      </c>
      <c r="S171" s="26" t="inlineStr">
        <is>
          <t>Yes</t>
        </is>
      </c>
      <c r="T171" s="27" t="n"/>
      <c r="U171" s="28" t="inlineStr">
        <is>
          <t>No</t>
        </is>
      </c>
      <c r="V171" s="29">
        <f>IF(N171="","",IF(Q171="Yes","❌ Disc",IF(P171="No","⚠ Missing",IF(S171="Yes","✓ OK","⚠ Check"))))</f>
        <v/>
      </c>
      <c r="W171" s="65" t="n">
        <v>46248</v>
      </c>
      <c r="X171" s="30" t="inlineStr">
        <is>
          <t>Sunil CR</t>
        </is>
      </c>
      <c r="Y171" s="30" t="inlineStr">
        <is>
          <t>Yes</t>
        </is>
      </c>
      <c r="Z171" s="30" t="n"/>
      <c r="AA171" s="30" t="inlineStr">
        <is>
          <t>Good finish</t>
        </is>
      </c>
      <c r="AB171" s="30" t="inlineStr">
        <is>
          <t>Yes</t>
        </is>
      </c>
      <c r="AC171" s="27" t="n"/>
      <c r="AD171" s="31" t="inlineStr">
        <is>
          <t>No</t>
        </is>
      </c>
      <c r="AE171" s="32">
        <f>IF(W171="","",IF(Z171="Yes","❌ Disc",IF(Y171="No","⚠ Missing",IF(AB171="Yes","✓ OK","⚠ Check"))))</f>
        <v/>
      </c>
      <c r="AF171" s="33" t="n"/>
      <c r="AG171" s="33" t="n"/>
      <c r="AH171" s="33" t="n"/>
      <c r="AI171" s="33" t="n"/>
      <c r="AJ171" s="33" t="n"/>
      <c r="AK171" s="33" t="n"/>
      <c r="AL171" s="27" t="n"/>
      <c r="AM171" s="34" t="n"/>
      <c r="AN171" s="35">
        <f>IF(AF171="","",IF(AI171="Yes","❌ Disc",IF(AH171="No","⚠ Missing",IF(AK171="Yes","✓ OK","⚠ Check"))))</f>
        <v/>
      </c>
      <c r="AO171" s="36" t="n"/>
      <c r="AP171" s="36" t="n"/>
      <c r="AQ171" s="36" t="n"/>
      <c r="AR171" s="36" t="n"/>
      <c r="AS171" s="36" t="n"/>
      <c r="AT171" s="36" t="n"/>
      <c r="AU171" s="27" t="n"/>
      <c r="AV171" s="37" t="n"/>
      <c r="AW171" s="38">
        <f>IF(AO171="","",IF(AR171="Yes","❌ Disc",IF(AQ171="No","⚠ Missing",IF(AT171="Yes","✓ OK","⚠ Check"))))</f>
        <v/>
      </c>
    </row>
    <row r="172" ht="18" customHeight="1" s="46">
      <c r="A172" s="39" t="n">
        <v>168</v>
      </c>
      <c r="B172" s="40" t="inlineStr">
        <is>
          <t>Libra_701</t>
        </is>
      </c>
      <c r="C172" s="41" t="inlineStr">
        <is>
          <t>Sarom - Libra Fabric(Gold) - Libra_701</t>
        </is>
      </c>
      <c r="D172" s="39" t="inlineStr">
        <is>
          <t>Sarom</t>
        </is>
      </c>
      <c r="E172" s="43" t="n">
        <v>46125</v>
      </c>
      <c r="F172" s="26" t="inlineStr">
        <is>
          <t>Sunil CR</t>
        </is>
      </c>
      <c r="G172" s="26" t="inlineStr">
        <is>
          <t>Yes</t>
        </is>
      </c>
      <c r="H172" s="26" t="inlineStr">
        <is>
          <t>No</t>
        </is>
      </c>
      <c r="I172" s="26" t="inlineStr">
        <is>
          <t>Good finish</t>
        </is>
      </c>
      <c r="J172" s="26" t="inlineStr">
        <is>
          <t>Yes</t>
        </is>
      </c>
      <c r="K172" s="27" t="n"/>
      <c r="L172" s="28" t="inlineStr">
        <is>
          <t>No</t>
        </is>
      </c>
      <c r="M172" s="29">
        <f>IF(E172="","",IF(H172="Yes","❌ Disc",IF(G172="No","⚠ Missing",IF(J172="Yes","✓ OK","⚠ Check"))))</f>
        <v/>
      </c>
      <c r="N172" s="43" t="n">
        <v>46139</v>
      </c>
      <c r="O172" s="26" t="inlineStr">
        <is>
          <t>Sunil CR</t>
        </is>
      </c>
      <c r="P172" s="26" t="inlineStr">
        <is>
          <t>Yes</t>
        </is>
      </c>
      <c r="Q172" s="26" t="inlineStr">
        <is>
          <t>No</t>
        </is>
      </c>
      <c r="R172" s="26" t="inlineStr">
        <is>
          <t>Good finish</t>
        </is>
      </c>
      <c r="S172" s="26" t="inlineStr">
        <is>
          <t>Yes</t>
        </is>
      </c>
      <c r="T172" s="27" t="n"/>
      <c r="U172" s="28" t="inlineStr">
        <is>
          <t>No</t>
        </is>
      </c>
      <c r="V172" s="29">
        <f>IF(N172="","",IF(Q172="Yes","❌ Disc",IF(P172="No","⚠ Missing",IF(S172="Yes","✓ OK","⚠ Check"))))</f>
        <v/>
      </c>
      <c r="W172" s="65" t="n">
        <v>46248</v>
      </c>
      <c r="X172" s="30" t="inlineStr">
        <is>
          <t>Sunil CR</t>
        </is>
      </c>
      <c r="Y172" s="30" t="inlineStr">
        <is>
          <t>Yes</t>
        </is>
      </c>
      <c r="Z172" s="30" t="n"/>
      <c r="AA172" s="30" t="inlineStr">
        <is>
          <t>Good finish</t>
        </is>
      </c>
      <c r="AB172" s="30" t="inlineStr">
        <is>
          <t>Yes</t>
        </is>
      </c>
      <c r="AC172" s="27" t="n"/>
      <c r="AD172" s="31" t="inlineStr">
        <is>
          <t>No</t>
        </is>
      </c>
      <c r="AE172" s="32">
        <f>IF(W172="","",IF(Z172="Yes","❌ Disc",IF(Y172="No","⚠ Missing",IF(AB172="Yes","✓ OK","⚠ Check"))))</f>
        <v/>
      </c>
      <c r="AF172" s="33" t="n"/>
      <c r="AG172" s="33" t="n"/>
      <c r="AH172" s="33" t="n"/>
      <c r="AI172" s="33" t="n"/>
      <c r="AJ172" s="33" t="n"/>
      <c r="AK172" s="33" t="n"/>
      <c r="AL172" s="27" t="n"/>
      <c r="AM172" s="34" t="n"/>
      <c r="AN172" s="35">
        <f>IF(AF172="","",IF(AI172="Yes","❌ Disc",IF(AH172="No","⚠ Missing",IF(AK172="Yes","✓ OK","⚠ Check"))))</f>
        <v/>
      </c>
      <c r="AO172" s="36" t="n"/>
      <c r="AP172" s="36" t="n"/>
      <c r="AQ172" s="36" t="n"/>
      <c r="AR172" s="36" t="n"/>
      <c r="AS172" s="36" t="n"/>
      <c r="AT172" s="36" t="n"/>
      <c r="AU172" s="27" t="n"/>
      <c r="AV172" s="37" t="n"/>
      <c r="AW172" s="38">
        <f>IF(AO172="","",IF(AR172="Yes","❌ Disc",IF(AQ172="No","⚠ Missing",IF(AT172="Yes","✓ OK","⚠ Check"))))</f>
        <v/>
      </c>
    </row>
    <row r="173" ht="18" customHeight="1" s="46">
      <c r="A173" s="23" t="n">
        <v>169</v>
      </c>
      <c r="B173" s="24" t="inlineStr">
        <is>
          <t>Libra_702</t>
        </is>
      </c>
      <c r="C173" s="25" t="inlineStr">
        <is>
          <t>Sarom - Libra Fabric(Gold) - Libra_702</t>
        </is>
      </c>
      <c r="D173" s="23" t="inlineStr">
        <is>
          <t>Sarom</t>
        </is>
      </c>
      <c r="E173" s="43" t="n">
        <v>46125</v>
      </c>
      <c r="F173" s="26" t="inlineStr">
        <is>
          <t>Sunil CR</t>
        </is>
      </c>
      <c r="G173" s="26" t="inlineStr">
        <is>
          <t>Yes</t>
        </is>
      </c>
      <c r="H173" s="26" t="inlineStr">
        <is>
          <t>No</t>
        </is>
      </c>
      <c r="I173" s="26" t="inlineStr">
        <is>
          <t>Good finish</t>
        </is>
      </c>
      <c r="J173" s="26" t="inlineStr">
        <is>
          <t>Yes</t>
        </is>
      </c>
      <c r="K173" s="27" t="n"/>
      <c r="L173" s="28" t="inlineStr">
        <is>
          <t>No</t>
        </is>
      </c>
      <c r="M173" s="29">
        <f>IF(E173="","",IF(H173="Yes","❌ Disc",IF(G173="No","⚠ Missing",IF(J173="Yes","✓ OK","⚠ Check"))))</f>
        <v/>
      </c>
      <c r="N173" s="43" t="n">
        <v>46139</v>
      </c>
      <c r="O173" s="26" t="inlineStr">
        <is>
          <t>Sunil CR</t>
        </is>
      </c>
      <c r="P173" s="26" t="inlineStr">
        <is>
          <t>Yes</t>
        </is>
      </c>
      <c r="Q173" s="26" t="inlineStr">
        <is>
          <t>No</t>
        </is>
      </c>
      <c r="R173" s="26" t="inlineStr">
        <is>
          <t>Good finish</t>
        </is>
      </c>
      <c r="S173" s="26" t="inlineStr">
        <is>
          <t>Yes</t>
        </is>
      </c>
      <c r="T173" s="27" t="n"/>
      <c r="U173" s="28" t="inlineStr">
        <is>
          <t>No</t>
        </is>
      </c>
      <c r="V173" s="29">
        <f>IF(N173="","",IF(Q173="Yes","❌ Disc",IF(P173="No","⚠ Missing",IF(S173="Yes","✓ OK","⚠ Check"))))</f>
        <v/>
      </c>
      <c r="W173" s="65" t="n">
        <v>46248</v>
      </c>
      <c r="X173" s="30" t="inlineStr">
        <is>
          <t>Sunil CR</t>
        </is>
      </c>
      <c r="Y173" s="30" t="inlineStr">
        <is>
          <t>Yes</t>
        </is>
      </c>
      <c r="Z173" s="30" t="n"/>
      <c r="AA173" s="30" t="inlineStr">
        <is>
          <t>Good finish</t>
        </is>
      </c>
      <c r="AB173" s="30" t="inlineStr">
        <is>
          <t>Yes</t>
        </is>
      </c>
      <c r="AC173" s="27" t="n"/>
      <c r="AD173" s="31" t="inlineStr">
        <is>
          <t>No</t>
        </is>
      </c>
      <c r="AE173" s="32">
        <f>IF(W173="","",IF(Z173="Yes","❌ Disc",IF(Y173="No","⚠ Missing",IF(AB173="Yes","✓ OK","⚠ Check"))))</f>
        <v/>
      </c>
      <c r="AF173" s="33" t="n"/>
      <c r="AG173" s="33" t="n"/>
      <c r="AH173" s="33" t="n"/>
      <c r="AI173" s="33" t="n"/>
      <c r="AJ173" s="33" t="n"/>
      <c r="AK173" s="33" t="n"/>
      <c r="AL173" s="27" t="n"/>
      <c r="AM173" s="34" t="n"/>
      <c r="AN173" s="35">
        <f>IF(AF173="","",IF(AI173="Yes","❌ Disc",IF(AH173="No","⚠ Missing",IF(AK173="Yes","✓ OK","⚠ Check"))))</f>
        <v/>
      </c>
      <c r="AO173" s="36" t="n"/>
      <c r="AP173" s="36" t="n"/>
      <c r="AQ173" s="36" t="n"/>
      <c r="AR173" s="36" t="n"/>
      <c r="AS173" s="36" t="n"/>
      <c r="AT173" s="36" t="n"/>
      <c r="AU173" s="27" t="n"/>
      <c r="AV173" s="37" t="n"/>
      <c r="AW173" s="38">
        <f>IF(AO173="","",IF(AR173="Yes","❌ Disc",IF(AQ173="No","⚠ Missing",IF(AT173="Yes","✓ OK","⚠ Check"))))</f>
        <v/>
      </c>
    </row>
    <row r="174" ht="18" customHeight="1" s="46">
      <c r="A174" s="39" t="n">
        <v>170</v>
      </c>
      <c r="B174" s="40" t="inlineStr">
        <is>
          <t>Libra_703</t>
        </is>
      </c>
      <c r="C174" s="41" t="inlineStr">
        <is>
          <t>Sarom - Libra Fabric(Gold) - Libra_703</t>
        </is>
      </c>
      <c r="D174" s="39" t="inlineStr">
        <is>
          <t>Sarom</t>
        </is>
      </c>
      <c r="E174" s="43" t="n">
        <v>46125</v>
      </c>
      <c r="F174" s="26" t="inlineStr">
        <is>
          <t>Sunil CR</t>
        </is>
      </c>
      <c r="G174" s="26" t="inlineStr">
        <is>
          <t>Yes</t>
        </is>
      </c>
      <c r="H174" s="26" t="inlineStr">
        <is>
          <t>No</t>
        </is>
      </c>
      <c r="I174" s="26" t="inlineStr">
        <is>
          <t>Good finish</t>
        </is>
      </c>
      <c r="J174" s="26" t="inlineStr">
        <is>
          <t>Yes</t>
        </is>
      </c>
      <c r="K174" s="27" t="n"/>
      <c r="L174" s="28" t="inlineStr">
        <is>
          <t>No</t>
        </is>
      </c>
      <c r="M174" s="29">
        <f>IF(E174="","",IF(H174="Yes","❌ Disc",IF(G174="No","⚠ Missing",IF(J174="Yes","✓ OK","⚠ Check"))))</f>
        <v/>
      </c>
      <c r="N174" s="43" t="n">
        <v>46139</v>
      </c>
      <c r="O174" s="26" t="inlineStr">
        <is>
          <t>Sunil CR</t>
        </is>
      </c>
      <c r="P174" s="26" t="inlineStr">
        <is>
          <t>Yes</t>
        </is>
      </c>
      <c r="Q174" s="26" t="inlineStr">
        <is>
          <t>No</t>
        </is>
      </c>
      <c r="R174" s="26" t="inlineStr">
        <is>
          <t>Good finish</t>
        </is>
      </c>
      <c r="S174" s="26" t="inlineStr">
        <is>
          <t>Yes</t>
        </is>
      </c>
      <c r="T174" s="27" t="n"/>
      <c r="U174" s="28" t="inlineStr">
        <is>
          <t>No</t>
        </is>
      </c>
      <c r="V174" s="29">
        <f>IF(N174="","",IF(Q174="Yes","❌ Disc",IF(P174="No","⚠ Missing",IF(S174="Yes","✓ OK","⚠ Check"))))</f>
        <v/>
      </c>
      <c r="W174" s="65" t="n">
        <v>46248</v>
      </c>
      <c r="X174" s="30" t="inlineStr">
        <is>
          <t>Sunil CR</t>
        </is>
      </c>
      <c r="Y174" s="30" t="inlineStr">
        <is>
          <t>Yes</t>
        </is>
      </c>
      <c r="Z174" s="30" t="n"/>
      <c r="AA174" s="30" t="inlineStr">
        <is>
          <t>Good finish</t>
        </is>
      </c>
      <c r="AB174" s="30" t="inlineStr">
        <is>
          <t>Yes</t>
        </is>
      </c>
      <c r="AC174" s="27" t="n"/>
      <c r="AD174" s="31" t="inlineStr">
        <is>
          <t>No</t>
        </is>
      </c>
      <c r="AE174" s="32">
        <f>IF(W174="","",IF(Z174="Yes","❌ Disc",IF(Y174="No","⚠ Missing",IF(AB174="Yes","✓ OK","⚠ Check"))))</f>
        <v/>
      </c>
      <c r="AF174" s="33" t="n"/>
      <c r="AG174" s="33" t="n"/>
      <c r="AH174" s="33" t="n"/>
      <c r="AI174" s="33" t="n"/>
      <c r="AJ174" s="33" t="n"/>
      <c r="AK174" s="33" t="n"/>
      <c r="AL174" s="27" t="n"/>
      <c r="AM174" s="34" t="n"/>
      <c r="AN174" s="35">
        <f>IF(AF174="","",IF(AI174="Yes","❌ Disc",IF(AH174="No","⚠ Missing",IF(AK174="Yes","✓ OK","⚠ Check"))))</f>
        <v/>
      </c>
      <c r="AO174" s="36" t="n"/>
      <c r="AP174" s="36" t="n"/>
      <c r="AQ174" s="36" t="n"/>
      <c r="AR174" s="36" t="n"/>
      <c r="AS174" s="36" t="n"/>
      <c r="AT174" s="36" t="n"/>
      <c r="AU174" s="27" t="n"/>
      <c r="AV174" s="37" t="n"/>
      <c r="AW174" s="38">
        <f>IF(AO174="","",IF(AR174="Yes","❌ Disc",IF(AQ174="No","⚠ Missing",IF(AT174="Yes","✓ OK","⚠ Check"))))</f>
        <v/>
      </c>
    </row>
    <row r="175" ht="18" customHeight="1" s="46">
      <c r="A175" s="23" t="n">
        <v>171</v>
      </c>
      <c r="B175" s="24" t="inlineStr">
        <is>
          <t>Libra_704</t>
        </is>
      </c>
      <c r="C175" s="25" t="inlineStr">
        <is>
          <t>Sarom - Libra Fabric(Gold) - Libra_704</t>
        </is>
      </c>
      <c r="D175" s="23" t="inlineStr">
        <is>
          <t>Sarom</t>
        </is>
      </c>
      <c r="E175" s="43" t="n">
        <v>46125</v>
      </c>
      <c r="F175" s="26" t="inlineStr">
        <is>
          <t>Sunil CR</t>
        </is>
      </c>
      <c r="G175" s="26" t="inlineStr">
        <is>
          <t>Yes</t>
        </is>
      </c>
      <c r="H175" s="26" t="inlineStr">
        <is>
          <t>No</t>
        </is>
      </c>
      <c r="I175" s="26" t="inlineStr">
        <is>
          <t>Good finish</t>
        </is>
      </c>
      <c r="J175" s="26" t="inlineStr">
        <is>
          <t>Yes</t>
        </is>
      </c>
      <c r="K175" s="27" t="n"/>
      <c r="L175" s="28" t="inlineStr">
        <is>
          <t>No</t>
        </is>
      </c>
      <c r="M175" s="29">
        <f>IF(E175="","",IF(H175="Yes","❌ Disc",IF(G175="No","⚠ Missing",IF(J175="Yes","✓ OK","⚠ Check"))))</f>
        <v/>
      </c>
      <c r="N175" s="43" t="n">
        <v>46139</v>
      </c>
      <c r="O175" s="26" t="inlineStr">
        <is>
          <t>Sunil CR</t>
        </is>
      </c>
      <c r="P175" s="26" t="inlineStr">
        <is>
          <t>Yes</t>
        </is>
      </c>
      <c r="Q175" s="26" t="inlineStr">
        <is>
          <t>No</t>
        </is>
      </c>
      <c r="R175" s="26" t="inlineStr">
        <is>
          <t>Good finish</t>
        </is>
      </c>
      <c r="S175" s="26" t="inlineStr">
        <is>
          <t>Yes</t>
        </is>
      </c>
      <c r="T175" s="27" t="n"/>
      <c r="U175" s="28" t="inlineStr">
        <is>
          <t>No</t>
        </is>
      </c>
      <c r="V175" s="29">
        <f>IF(N175="","",IF(Q175="Yes","❌ Disc",IF(P175="No","⚠ Missing",IF(S175="Yes","✓ OK","⚠ Check"))))</f>
        <v/>
      </c>
      <c r="W175" s="65" t="n">
        <v>46248</v>
      </c>
      <c r="X175" s="30" t="inlineStr">
        <is>
          <t>Sunil CR</t>
        </is>
      </c>
      <c r="Y175" s="30" t="inlineStr">
        <is>
          <t>Yes</t>
        </is>
      </c>
      <c r="Z175" s="30" t="n"/>
      <c r="AA175" s="30" t="inlineStr">
        <is>
          <t>Good finish</t>
        </is>
      </c>
      <c r="AB175" s="30" t="inlineStr">
        <is>
          <t>Yes</t>
        </is>
      </c>
      <c r="AC175" s="27" t="n"/>
      <c r="AD175" s="31" t="inlineStr">
        <is>
          <t>No</t>
        </is>
      </c>
      <c r="AE175" s="32">
        <f>IF(W175="","",IF(Z175="Yes","❌ Disc",IF(Y175="No","⚠ Missing",IF(AB175="Yes","✓ OK","⚠ Check"))))</f>
        <v/>
      </c>
      <c r="AF175" s="33" t="n"/>
      <c r="AG175" s="33" t="n"/>
      <c r="AH175" s="33" t="n"/>
      <c r="AI175" s="33" t="n"/>
      <c r="AJ175" s="33" t="n"/>
      <c r="AK175" s="33" t="n"/>
      <c r="AL175" s="27" t="n"/>
      <c r="AM175" s="34" t="n"/>
      <c r="AN175" s="35">
        <f>IF(AF175="","",IF(AI175="Yes","❌ Disc",IF(AH175="No","⚠ Missing",IF(AK175="Yes","✓ OK","⚠ Check"))))</f>
        <v/>
      </c>
      <c r="AO175" s="36" t="n"/>
      <c r="AP175" s="36" t="n"/>
      <c r="AQ175" s="36" t="n"/>
      <c r="AR175" s="36" t="n"/>
      <c r="AS175" s="36" t="n"/>
      <c r="AT175" s="36" t="n"/>
      <c r="AU175" s="27" t="n"/>
      <c r="AV175" s="37" t="n"/>
      <c r="AW175" s="38">
        <f>IF(AO175="","",IF(AR175="Yes","❌ Disc",IF(AQ175="No","⚠ Missing",IF(AT175="Yes","✓ OK","⚠ Check"))))</f>
        <v/>
      </c>
    </row>
    <row r="176" ht="18" customHeight="1" s="46">
      <c r="A176" s="39" t="n">
        <v>172</v>
      </c>
      <c r="B176" s="40" t="inlineStr">
        <is>
          <t>Libra_705</t>
        </is>
      </c>
      <c r="C176" s="41" t="inlineStr">
        <is>
          <t>Sarom - Libra Fabric(Gold) - Libra_705</t>
        </is>
      </c>
      <c r="D176" s="39" t="inlineStr">
        <is>
          <t>Sarom</t>
        </is>
      </c>
      <c r="E176" s="43" t="n">
        <v>46125</v>
      </c>
      <c r="F176" s="26" t="inlineStr">
        <is>
          <t>Sunil CR</t>
        </is>
      </c>
      <c r="G176" s="26" t="inlineStr">
        <is>
          <t>Yes</t>
        </is>
      </c>
      <c r="H176" s="26" t="inlineStr">
        <is>
          <t>No</t>
        </is>
      </c>
      <c r="I176" s="26" t="inlineStr">
        <is>
          <t>Good finish</t>
        </is>
      </c>
      <c r="J176" s="26" t="inlineStr">
        <is>
          <t>Yes</t>
        </is>
      </c>
      <c r="K176" s="27" t="n"/>
      <c r="L176" s="28" t="inlineStr">
        <is>
          <t>No</t>
        </is>
      </c>
      <c r="M176" s="29">
        <f>IF(E176="","",IF(H176="Yes","❌ Disc",IF(G176="No","⚠ Missing",IF(J176="Yes","✓ OK","⚠ Check"))))</f>
        <v/>
      </c>
      <c r="N176" s="43" t="n">
        <v>46139</v>
      </c>
      <c r="O176" s="26" t="inlineStr">
        <is>
          <t>Sunil CR</t>
        </is>
      </c>
      <c r="P176" s="26" t="inlineStr">
        <is>
          <t>Yes</t>
        </is>
      </c>
      <c r="Q176" s="26" t="inlineStr">
        <is>
          <t>No</t>
        </is>
      </c>
      <c r="R176" s="26" t="inlineStr">
        <is>
          <t>Good finish</t>
        </is>
      </c>
      <c r="S176" s="26" t="inlineStr">
        <is>
          <t>Yes</t>
        </is>
      </c>
      <c r="T176" s="27" t="n"/>
      <c r="U176" s="28" t="inlineStr">
        <is>
          <t>No</t>
        </is>
      </c>
      <c r="V176" s="29">
        <f>IF(N176="","",IF(Q176="Yes","❌ Disc",IF(P176="No","⚠ Missing",IF(S176="Yes","✓ OK","⚠ Check"))))</f>
        <v/>
      </c>
      <c r="W176" s="65" t="n">
        <v>46248</v>
      </c>
      <c r="X176" s="30" t="inlineStr">
        <is>
          <t>Sunil CR</t>
        </is>
      </c>
      <c r="Y176" s="30" t="inlineStr">
        <is>
          <t>Yes</t>
        </is>
      </c>
      <c r="Z176" s="30" t="n"/>
      <c r="AA176" s="30" t="inlineStr">
        <is>
          <t>Good finish</t>
        </is>
      </c>
      <c r="AB176" s="30" t="inlineStr">
        <is>
          <t>Yes</t>
        </is>
      </c>
      <c r="AC176" s="27" t="n"/>
      <c r="AD176" s="31" t="inlineStr">
        <is>
          <t>No</t>
        </is>
      </c>
      <c r="AE176" s="32">
        <f>IF(W176="","",IF(Z176="Yes","❌ Disc",IF(Y176="No","⚠ Missing",IF(AB176="Yes","✓ OK","⚠ Check"))))</f>
        <v/>
      </c>
      <c r="AF176" s="33" t="n"/>
      <c r="AG176" s="33" t="n"/>
      <c r="AH176" s="33" t="n"/>
      <c r="AI176" s="33" t="n"/>
      <c r="AJ176" s="33" t="n"/>
      <c r="AK176" s="33" t="n"/>
      <c r="AL176" s="27" t="n"/>
      <c r="AM176" s="34" t="n"/>
      <c r="AN176" s="35">
        <f>IF(AF176="","",IF(AI176="Yes","❌ Disc",IF(AH176="No","⚠ Missing",IF(AK176="Yes","✓ OK","⚠ Check"))))</f>
        <v/>
      </c>
      <c r="AO176" s="36" t="n"/>
      <c r="AP176" s="36" t="n"/>
      <c r="AQ176" s="36" t="n"/>
      <c r="AR176" s="36" t="n"/>
      <c r="AS176" s="36" t="n"/>
      <c r="AT176" s="36" t="n"/>
      <c r="AU176" s="27" t="n"/>
      <c r="AV176" s="37" t="n"/>
      <c r="AW176" s="38">
        <f>IF(AO176="","",IF(AR176="Yes","❌ Disc",IF(AQ176="No","⚠ Missing",IF(AT176="Yes","✓ OK","⚠ Check"))))</f>
        <v/>
      </c>
    </row>
    <row r="177" ht="18" customHeight="1" s="46">
      <c r="A177" s="23" t="n">
        <v>173</v>
      </c>
      <c r="B177" s="24" t="inlineStr">
        <is>
          <t>Libra_706</t>
        </is>
      </c>
      <c r="C177" s="25" t="inlineStr">
        <is>
          <t>Sarom - Libra Fabric(Gold) - Libra_706</t>
        </is>
      </c>
      <c r="D177" s="23" t="inlineStr">
        <is>
          <t>Sarom</t>
        </is>
      </c>
      <c r="E177" s="43" t="n">
        <v>46125</v>
      </c>
      <c r="F177" s="26" t="inlineStr">
        <is>
          <t>Sunil CR</t>
        </is>
      </c>
      <c r="G177" s="26" t="inlineStr">
        <is>
          <t>Yes</t>
        </is>
      </c>
      <c r="H177" s="26" t="inlineStr">
        <is>
          <t>No</t>
        </is>
      </c>
      <c r="I177" s="26" t="inlineStr">
        <is>
          <t>Good finish</t>
        </is>
      </c>
      <c r="J177" s="26" t="inlineStr">
        <is>
          <t>Yes</t>
        </is>
      </c>
      <c r="K177" s="27" t="n"/>
      <c r="L177" s="28" t="inlineStr">
        <is>
          <t>No</t>
        </is>
      </c>
      <c r="M177" s="29">
        <f>IF(E177="","",IF(H177="Yes","❌ Disc",IF(G177="No","⚠ Missing",IF(J177="Yes","✓ OK","⚠ Check"))))</f>
        <v/>
      </c>
      <c r="N177" s="43" t="n">
        <v>46139</v>
      </c>
      <c r="O177" s="26" t="inlineStr">
        <is>
          <t>Sunil CR</t>
        </is>
      </c>
      <c r="P177" s="26" t="inlineStr">
        <is>
          <t>Yes</t>
        </is>
      </c>
      <c r="Q177" s="26" t="inlineStr">
        <is>
          <t>No</t>
        </is>
      </c>
      <c r="R177" s="26" t="inlineStr">
        <is>
          <t>Good finish</t>
        </is>
      </c>
      <c r="S177" s="26" t="inlineStr">
        <is>
          <t>Yes</t>
        </is>
      </c>
      <c r="T177" s="27" t="n"/>
      <c r="U177" s="28" t="inlineStr">
        <is>
          <t>No</t>
        </is>
      </c>
      <c r="V177" s="29">
        <f>IF(N177="","",IF(Q177="Yes","❌ Disc",IF(P177="No","⚠ Missing",IF(S177="Yes","✓ OK","⚠ Check"))))</f>
        <v/>
      </c>
      <c r="W177" s="65" t="n">
        <v>46248</v>
      </c>
      <c r="X177" s="30" t="inlineStr">
        <is>
          <t>Sunil CR</t>
        </is>
      </c>
      <c r="Y177" s="30" t="inlineStr">
        <is>
          <t>Yes</t>
        </is>
      </c>
      <c r="Z177" s="30" t="n"/>
      <c r="AA177" s="30" t="inlineStr">
        <is>
          <t>Good finish</t>
        </is>
      </c>
      <c r="AB177" s="30" t="inlineStr">
        <is>
          <t>Yes</t>
        </is>
      </c>
      <c r="AC177" s="27" t="n"/>
      <c r="AD177" s="31" t="inlineStr">
        <is>
          <t>No</t>
        </is>
      </c>
      <c r="AE177" s="32">
        <f>IF(W177="","",IF(Z177="Yes","❌ Disc",IF(Y177="No","⚠ Missing",IF(AB177="Yes","✓ OK","⚠ Check"))))</f>
        <v/>
      </c>
      <c r="AF177" s="33" t="n"/>
      <c r="AG177" s="33" t="n"/>
      <c r="AH177" s="33" t="n"/>
      <c r="AI177" s="33" t="n"/>
      <c r="AJ177" s="33" t="n"/>
      <c r="AK177" s="33" t="n"/>
      <c r="AL177" s="27" t="n"/>
      <c r="AM177" s="34" t="n"/>
      <c r="AN177" s="35">
        <f>IF(AF177="","",IF(AI177="Yes","❌ Disc",IF(AH177="No","⚠ Missing",IF(AK177="Yes","✓ OK","⚠ Check"))))</f>
        <v/>
      </c>
      <c r="AO177" s="36" t="n"/>
      <c r="AP177" s="36" t="n"/>
      <c r="AQ177" s="36" t="n"/>
      <c r="AR177" s="36" t="n"/>
      <c r="AS177" s="36" t="n"/>
      <c r="AT177" s="36" t="n"/>
      <c r="AU177" s="27" t="n"/>
      <c r="AV177" s="37" t="n"/>
      <c r="AW177" s="38">
        <f>IF(AO177="","",IF(AR177="Yes","❌ Disc",IF(AQ177="No","⚠ Missing",IF(AT177="Yes","✓ OK","⚠ Check"))))</f>
        <v/>
      </c>
    </row>
    <row r="178" ht="18" customHeight="1" s="46">
      <c r="A178" s="39" t="n">
        <v>174</v>
      </c>
      <c r="B178" s="40" t="inlineStr">
        <is>
          <t>Libra_707</t>
        </is>
      </c>
      <c r="C178" s="41" t="inlineStr">
        <is>
          <t>Sarom - Libra Fabric(Gold) - Libra_707</t>
        </is>
      </c>
      <c r="D178" s="39" t="inlineStr">
        <is>
          <t>Sarom</t>
        </is>
      </c>
      <c r="E178" s="43" t="n">
        <v>46125</v>
      </c>
      <c r="F178" s="26" t="inlineStr">
        <is>
          <t>Sunil CR</t>
        </is>
      </c>
      <c r="G178" s="26" t="inlineStr">
        <is>
          <t>Yes</t>
        </is>
      </c>
      <c r="H178" s="26" t="inlineStr">
        <is>
          <t>No</t>
        </is>
      </c>
      <c r="I178" s="26" t="inlineStr">
        <is>
          <t>Good finish</t>
        </is>
      </c>
      <c r="J178" s="26" t="inlineStr">
        <is>
          <t>Yes</t>
        </is>
      </c>
      <c r="K178" s="27" t="n"/>
      <c r="L178" s="28" t="inlineStr">
        <is>
          <t>No</t>
        </is>
      </c>
      <c r="M178" s="29">
        <f>IF(E178="","",IF(H178="Yes","❌ Disc",IF(G178="No","⚠ Missing",IF(J178="Yes","✓ OK","⚠ Check"))))</f>
        <v/>
      </c>
      <c r="N178" s="43" t="n">
        <v>46139</v>
      </c>
      <c r="O178" s="26" t="inlineStr">
        <is>
          <t>Sunil CR</t>
        </is>
      </c>
      <c r="P178" s="26" t="inlineStr">
        <is>
          <t>Yes</t>
        </is>
      </c>
      <c r="Q178" s="26" t="inlineStr">
        <is>
          <t>No</t>
        </is>
      </c>
      <c r="R178" s="26" t="inlineStr">
        <is>
          <t>Good finish</t>
        </is>
      </c>
      <c r="S178" s="26" t="inlineStr">
        <is>
          <t>Yes</t>
        </is>
      </c>
      <c r="T178" s="27" t="n"/>
      <c r="U178" s="28" t="inlineStr">
        <is>
          <t>No</t>
        </is>
      </c>
      <c r="V178" s="29">
        <f>IF(N178="","",IF(Q178="Yes","❌ Disc",IF(P178="No","⚠ Missing",IF(S178="Yes","✓ OK","⚠ Check"))))</f>
        <v/>
      </c>
      <c r="W178" s="65" t="n">
        <v>46248</v>
      </c>
      <c r="X178" s="30" t="inlineStr">
        <is>
          <t>Sunil CR</t>
        </is>
      </c>
      <c r="Y178" s="30" t="inlineStr">
        <is>
          <t>Yes</t>
        </is>
      </c>
      <c r="Z178" s="30" t="n"/>
      <c r="AA178" s="30" t="inlineStr">
        <is>
          <t>Good finish</t>
        </is>
      </c>
      <c r="AB178" s="30" t="inlineStr">
        <is>
          <t>Yes</t>
        </is>
      </c>
      <c r="AC178" s="27" t="n"/>
      <c r="AD178" s="31" t="inlineStr">
        <is>
          <t>No</t>
        </is>
      </c>
      <c r="AE178" s="32">
        <f>IF(W178="","",IF(Z178="Yes","❌ Disc",IF(Y178="No","⚠ Missing",IF(AB178="Yes","✓ OK","⚠ Check"))))</f>
        <v/>
      </c>
      <c r="AF178" s="33" t="n"/>
      <c r="AG178" s="33" t="n"/>
      <c r="AH178" s="33" t="n"/>
      <c r="AI178" s="33" t="n"/>
      <c r="AJ178" s="33" t="n"/>
      <c r="AK178" s="33" t="n"/>
      <c r="AL178" s="27" t="n"/>
      <c r="AM178" s="34" t="n"/>
      <c r="AN178" s="35">
        <f>IF(AF178="","",IF(AI178="Yes","❌ Disc",IF(AH178="No","⚠ Missing",IF(AK178="Yes","✓ OK","⚠ Check"))))</f>
        <v/>
      </c>
      <c r="AO178" s="36" t="n"/>
      <c r="AP178" s="36" t="n"/>
      <c r="AQ178" s="36" t="n"/>
      <c r="AR178" s="36" t="n"/>
      <c r="AS178" s="36" t="n"/>
      <c r="AT178" s="36" t="n"/>
      <c r="AU178" s="27" t="n"/>
      <c r="AV178" s="37" t="n"/>
      <c r="AW178" s="38">
        <f>IF(AO178="","",IF(AR178="Yes","❌ Disc",IF(AQ178="No","⚠ Missing",IF(AT178="Yes","✓ OK","⚠ Check"))))</f>
        <v/>
      </c>
    </row>
    <row r="179" ht="18" customHeight="1" s="46">
      <c r="A179" s="23" t="n">
        <v>175</v>
      </c>
      <c r="B179" s="24" t="inlineStr">
        <is>
          <t>Libra_708</t>
        </is>
      </c>
      <c r="C179" s="25" t="inlineStr">
        <is>
          <t>Sarom - Libra Fabric(Gold) - Libra_708</t>
        </is>
      </c>
      <c r="D179" s="23" t="inlineStr">
        <is>
          <t>Sarom</t>
        </is>
      </c>
      <c r="E179" s="43" t="n">
        <v>46125</v>
      </c>
      <c r="F179" s="26" t="inlineStr">
        <is>
          <t>Sunil CR</t>
        </is>
      </c>
      <c r="G179" s="26" t="inlineStr">
        <is>
          <t>Yes</t>
        </is>
      </c>
      <c r="H179" s="26" t="inlineStr">
        <is>
          <t>No</t>
        </is>
      </c>
      <c r="I179" s="26" t="inlineStr">
        <is>
          <t>Good finish</t>
        </is>
      </c>
      <c r="J179" s="26" t="inlineStr">
        <is>
          <t>Yes</t>
        </is>
      </c>
      <c r="K179" s="27" t="n"/>
      <c r="L179" s="28" t="inlineStr">
        <is>
          <t>No</t>
        </is>
      </c>
      <c r="M179" s="29">
        <f>IF(E179="","",IF(H179="Yes","❌ Disc",IF(G179="No","⚠ Missing",IF(J179="Yes","✓ OK","⚠ Check"))))</f>
        <v/>
      </c>
      <c r="N179" s="43" t="n">
        <v>46139</v>
      </c>
      <c r="O179" s="26" t="inlineStr">
        <is>
          <t>Sunil CR</t>
        </is>
      </c>
      <c r="P179" s="26" t="inlineStr">
        <is>
          <t>Yes</t>
        </is>
      </c>
      <c r="Q179" s="26" t="inlineStr">
        <is>
          <t>No</t>
        </is>
      </c>
      <c r="R179" s="26" t="inlineStr">
        <is>
          <t>Good finish</t>
        </is>
      </c>
      <c r="S179" s="26" t="inlineStr">
        <is>
          <t>Yes</t>
        </is>
      </c>
      <c r="T179" s="27" t="n"/>
      <c r="U179" s="28" t="inlineStr">
        <is>
          <t>No</t>
        </is>
      </c>
      <c r="V179" s="29">
        <f>IF(N179="","",IF(Q179="Yes","❌ Disc",IF(P179="No","⚠ Missing",IF(S179="Yes","✓ OK","⚠ Check"))))</f>
        <v/>
      </c>
      <c r="W179" s="65" t="n">
        <v>46248</v>
      </c>
      <c r="X179" s="30" t="inlineStr">
        <is>
          <t>Sunil CR</t>
        </is>
      </c>
      <c r="Y179" s="30" t="inlineStr">
        <is>
          <t>Yes</t>
        </is>
      </c>
      <c r="Z179" s="30" t="n"/>
      <c r="AA179" s="30" t="inlineStr">
        <is>
          <t>Good finish</t>
        </is>
      </c>
      <c r="AB179" s="30" t="inlineStr">
        <is>
          <t>Yes</t>
        </is>
      </c>
      <c r="AC179" s="27" t="n"/>
      <c r="AD179" s="31" t="inlineStr">
        <is>
          <t>No</t>
        </is>
      </c>
      <c r="AE179" s="32">
        <f>IF(W179="","",IF(Z179="Yes","❌ Disc",IF(Y179="No","⚠ Missing",IF(AB179="Yes","✓ OK","⚠ Check"))))</f>
        <v/>
      </c>
      <c r="AF179" s="33" t="n"/>
      <c r="AG179" s="33" t="n"/>
      <c r="AH179" s="33" t="n"/>
      <c r="AI179" s="33" t="n"/>
      <c r="AJ179" s="33" t="n"/>
      <c r="AK179" s="33" t="n"/>
      <c r="AL179" s="27" t="n"/>
      <c r="AM179" s="34" t="n"/>
      <c r="AN179" s="35">
        <f>IF(AF179="","",IF(AI179="Yes","❌ Disc",IF(AH179="No","⚠ Missing",IF(AK179="Yes","✓ OK","⚠ Check"))))</f>
        <v/>
      </c>
      <c r="AO179" s="36" t="n"/>
      <c r="AP179" s="36" t="n"/>
      <c r="AQ179" s="36" t="n"/>
      <c r="AR179" s="36" t="n"/>
      <c r="AS179" s="36" t="n"/>
      <c r="AT179" s="36" t="n"/>
      <c r="AU179" s="27" t="n"/>
      <c r="AV179" s="37" t="n"/>
      <c r="AW179" s="38">
        <f>IF(AO179="","",IF(AR179="Yes","❌ Disc",IF(AQ179="No","⚠ Missing",IF(AT179="Yes","✓ OK","⚠ Check"))))</f>
        <v/>
      </c>
    </row>
    <row r="180" ht="18" customHeight="1" s="46">
      <c r="A180" s="39" t="n">
        <v>176</v>
      </c>
      <c r="B180" s="40" t="inlineStr">
        <is>
          <t>Libra_709</t>
        </is>
      </c>
      <c r="C180" s="41" t="inlineStr">
        <is>
          <t>Sarom - Libra Fabric(Gold) - Libra_709</t>
        </is>
      </c>
      <c r="D180" s="39" t="inlineStr">
        <is>
          <t>Sarom</t>
        </is>
      </c>
      <c r="E180" s="43" t="n">
        <v>46125</v>
      </c>
      <c r="F180" s="26" t="inlineStr">
        <is>
          <t>Sunil CR</t>
        </is>
      </c>
      <c r="G180" s="26" t="inlineStr">
        <is>
          <t>Yes</t>
        </is>
      </c>
      <c r="H180" s="26" t="inlineStr">
        <is>
          <t>No</t>
        </is>
      </c>
      <c r="I180" s="26" t="inlineStr">
        <is>
          <t>Good finish</t>
        </is>
      </c>
      <c r="J180" s="26" t="inlineStr">
        <is>
          <t>Yes</t>
        </is>
      </c>
      <c r="K180" s="27" t="n"/>
      <c r="L180" s="28" t="inlineStr">
        <is>
          <t>No</t>
        </is>
      </c>
      <c r="M180" s="29">
        <f>IF(E180="","",IF(H180="Yes","❌ Disc",IF(G180="No","⚠ Missing",IF(J180="Yes","✓ OK","⚠ Check"))))</f>
        <v/>
      </c>
      <c r="N180" s="43" t="n">
        <v>46139</v>
      </c>
      <c r="O180" s="26" t="inlineStr">
        <is>
          <t>Sunil CR</t>
        </is>
      </c>
      <c r="P180" s="26" t="inlineStr">
        <is>
          <t>Yes</t>
        </is>
      </c>
      <c r="Q180" s="26" t="inlineStr">
        <is>
          <t>No</t>
        </is>
      </c>
      <c r="R180" s="26" t="inlineStr">
        <is>
          <t>Good finish</t>
        </is>
      </c>
      <c r="S180" s="26" t="inlineStr">
        <is>
          <t>Yes</t>
        </is>
      </c>
      <c r="T180" s="27" t="n"/>
      <c r="U180" s="28" t="inlineStr">
        <is>
          <t>No</t>
        </is>
      </c>
      <c r="V180" s="29">
        <f>IF(N180="","",IF(Q180="Yes","❌ Disc",IF(P180="No","⚠ Missing",IF(S180="Yes","✓ OK","⚠ Check"))))</f>
        <v/>
      </c>
      <c r="W180" s="65" t="n">
        <v>46248</v>
      </c>
      <c r="X180" s="30" t="inlineStr">
        <is>
          <t>Sunil CR</t>
        </is>
      </c>
      <c r="Y180" s="30" t="inlineStr">
        <is>
          <t>Yes</t>
        </is>
      </c>
      <c r="Z180" s="30" t="n"/>
      <c r="AA180" s="30" t="inlineStr">
        <is>
          <t>Good finish</t>
        </is>
      </c>
      <c r="AB180" s="30" t="inlineStr">
        <is>
          <t>Yes</t>
        </is>
      </c>
      <c r="AC180" s="27" t="n"/>
      <c r="AD180" s="31" t="inlineStr">
        <is>
          <t>No</t>
        </is>
      </c>
      <c r="AE180" s="32">
        <f>IF(W180="","",IF(Z180="Yes","❌ Disc",IF(Y180="No","⚠ Missing",IF(AB180="Yes","✓ OK","⚠ Check"))))</f>
        <v/>
      </c>
      <c r="AF180" s="33" t="n"/>
      <c r="AG180" s="33" t="n"/>
      <c r="AH180" s="33" t="n"/>
      <c r="AI180" s="33" t="n"/>
      <c r="AJ180" s="33" t="n"/>
      <c r="AK180" s="33" t="n"/>
      <c r="AL180" s="27" t="n"/>
      <c r="AM180" s="34" t="n"/>
      <c r="AN180" s="35">
        <f>IF(AF180="","",IF(AI180="Yes","❌ Disc",IF(AH180="No","⚠ Missing",IF(AK180="Yes","✓ OK","⚠ Check"))))</f>
        <v/>
      </c>
      <c r="AO180" s="36" t="n"/>
      <c r="AP180" s="36" t="n"/>
      <c r="AQ180" s="36" t="n"/>
      <c r="AR180" s="36" t="n"/>
      <c r="AS180" s="36" t="n"/>
      <c r="AT180" s="36" t="n"/>
      <c r="AU180" s="27" t="n"/>
      <c r="AV180" s="37" t="n"/>
      <c r="AW180" s="38">
        <f>IF(AO180="","",IF(AR180="Yes","❌ Disc",IF(AQ180="No","⚠ Missing",IF(AT180="Yes","✓ OK","⚠ Check"))))</f>
        <v/>
      </c>
    </row>
    <row r="181" ht="18" customHeight="1" s="46">
      <c r="A181" s="23" t="n">
        <v>177</v>
      </c>
      <c r="B181" s="24" t="inlineStr">
        <is>
          <t>Libra_710</t>
        </is>
      </c>
      <c r="C181" s="25" t="inlineStr">
        <is>
          <t>Sarom - Libra Fabric(Gold) - Libra_710</t>
        </is>
      </c>
      <c r="D181" s="23" t="inlineStr">
        <is>
          <t>Sarom</t>
        </is>
      </c>
      <c r="E181" s="43" t="n">
        <v>46125</v>
      </c>
      <c r="F181" s="26" t="inlineStr">
        <is>
          <t>Sunil CR</t>
        </is>
      </c>
      <c r="G181" s="26" t="inlineStr">
        <is>
          <t>Yes</t>
        </is>
      </c>
      <c r="H181" s="26" t="inlineStr">
        <is>
          <t>No</t>
        </is>
      </c>
      <c r="I181" s="26" t="inlineStr">
        <is>
          <t>Good finish</t>
        </is>
      </c>
      <c r="J181" s="26" t="inlineStr">
        <is>
          <t>Yes</t>
        </is>
      </c>
      <c r="K181" s="27" t="n"/>
      <c r="L181" s="28" t="inlineStr">
        <is>
          <t>No</t>
        </is>
      </c>
      <c r="M181" s="29">
        <f>IF(E181="","",IF(H181="Yes","❌ Disc",IF(G181="No","⚠ Missing",IF(J181="Yes","✓ OK","⚠ Check"))))</f>
        <v/>
      </c>
      <c r="N181" s="43" t="n">
        <v>46139</v>
      </c>
      <c r="O181" s="26" t="inlineStr">
        <is>
          <t>Sunil CR</t>
        </is>
      </c>
      <c r="P181" s="26" t="inlineStr">
        <is>
          <t>Yes</t>
        </is>
      </c>
      <c r="Q181" s="26" t="inlineStr">
        <is>
          <t>No</t>
        </is>
      </c>
      <c r="R181" s="26" t="inlineStr">
        <is>
          <t>Good finish</t>
        </is>
      </c>
      <c r="S181" s="26" t="inlineStr">
        <is>
          <t>Yes</t>
        </is>
      </c>
      <c r="T181" s="27" t="n"/>
      <c r="U181" s="28" t="inlineStr">
        <is>
          <t>No</t>
        </is>
      </c>
      <c r="V181" s="29">
        <f>IF(N181="","",IF(Q181="Yes","❌ Disc",IF(P181="No","⚠ Missing",IF(S181="Yes","✓ OK","⚠ Check"))))</f>
        <v/>
      </c>
      <c r="W181" s="65" t="n">
        <v>46248</v>
      </c>
      <c r="X181" s="30" t="inlineStr">
        <is>
          <t>Sunil CR</t>
        </is>
      </c>
      <c r="Y181" s="30" t="inlineStr">
        <is>
          <t>Yes</t>
        </is>
      </c>
      <c r="Z181" s="30" t="n"/>
      <c r="AA181" s="30" t="inlineStr">
        <is>
          <t>Good finish</t>
        </is>
      </c>
      <c r="AB181" s="30" t="inlineStr">
        <is>
          <t>Yes</t>
        </is>
      </c>
      <c r="AC181" s="27" t="n"/>
      <c r="AD181" s="31" t="inlineStr">
        <is>
          <t>No</t>
        </is>
      </c>
      <c r="AE181" s="32">
        <f>IF(W181="","",IF(Z181="Yes","❌ Disc",IF(Y181="No","⚠ Missing",IF(AB181="Yes","✓ OK","⚠ Check"))))</f>
        <v/>
      </c>
      <c r="AF181" s="33" t="n"/>
      <c r="AG181" s="33" t="n"/>
      <c r="AH181" s="33" t="n"/>
      <c r="AI181" s="33" t="n"/>
      <c r="AJ181" s="33" t="n"/>
      <c r="AK181" s="33" t="n"/>
      <c r="AL181" s="27" t="n"/>
      <c r="AM181" s="34" t="n"/>
      <c r="AN181" s="35">
        <f>IF(AF181="","",IF(AI181="Yes","❌ Disc",IF(AH181="No","⚠ Missing",IF(AK181="Yes","✓ OK","⚠ Check"))))</f>
        <v/>
      </c>
      <c r="AO181" s="36" t="n"/>
      <c r="AP181" s="36" t="n"/>
      <c r="AQ181" s="36" t="n"/>
      <c r="AR181" s="36" t="n"/>
      <c r="AS181" s="36" t="n"/>
      <c r="AT181" s="36" t="n"/>
      <c r="AU181" s="27" t="n"/>
      <c r="AV181" s="37" t="n"/>
      <c r="AW181" s="38">
        <f>IF(AO181="","",IF(AR181="Yes","❌ Disc",IF(AQ181="No","⚠ Missing",IF(AT181="Yes","✓ OK","⚠ Check"))))</f>
        <v/>
      </c>
    </row>
    <row r="182" ht="18" customHeight="1" s="46">
      <c r="A182" s="39" t="n">
        <v>178</v>
      </c>
      <c r="B182" s="40" t="inlineStr">
        <is>
          <t>Libra_711</t>
        </is>
      </c>
      <c r="C182" s="41" t="inlineStr">
        <is>
          <t>Sarom - Libra Fabric(Gold) - Libra_711</t>
        </is>
      </c>
      <c r="D182" s="39" t="inlineStr">
        <is>
          <t>Sarom</t>
        </is>
      </c>
      <c r="E182" s="43" t="n">
        <v>46125</v>
      </c>
      <c r="F182" s="26" t="inlineStr">
        <is>
          <t>Sunil CR</t>
        </is>
      </c>
      <c r="G182" s="26" t="inlineStr">
        <is>
          <t>Yes</t>
        </is>
      </c>
      <c r="H182" s="26" t="inlineStr">
        <is>
          <t>No</t>
        </is>
      </c>
      <c r="I182" s="26" t="inlineStr">
        <is>
          <t>Good finish</t>
        </is>
      </c>
      <c r="J182" s="26" t="inlineStr">
        <is>
          <t>Yes</t>
        </is>
      </c>
      <c r="K182" s="27" t="n"/>
      <c r="L182" s="28" t="inlineStr">
        <is>
          <t>No</t>
        </is>
      </c>
      <c r="M182" s="29">
        <f>IF(E182="","",IF(H182="Yes","❌ Disc",IF(G182="No","⚠ Missing",IF(J182="Yes","✓ OK","⚠ Check"))))</f>
        <v/>
      </c>
      <c r="N182" s="43" t="n">
        <v>46139</v>
      </c>
      <c r="O182" s="26" t="inlineStr">
        <is>
          <t>Sunil CR</t>
        </is>
      </c>
      <c r="P182" s="26" t="inlineStr">
        <is>
          <t>Yes</t>
        </is>
      </c>
      <c r="Q182" s="26" t="inlineStr">
        <is>
          <t>No</t>
        </is>
      </c>
      <c r="R182" s="26" t="inlineStr">
        <is>
          <t>Good finish</t>
        </is>
      </c>
      <c r="S182" s="26" t="inlineStr">
        <is>
          <t>Yes</t>
        </is>
      </c>
      <c r="T182" s="27" t="n"/>
      <c r="U182" s="28" t="inlineStr">
        <is>
          <t>No</t>
        </is>
      </c>
      <c r="V182" s="29">
        <f>IF(N182="","",IF(Q182="Yes","❌ Disc",IF(P182="No","⚠ Missing",IF(S182="Yes","✓ OK","⚠ Check"))))</f>
        <v/>
      </c>
      <c r="W182" s="65" t="n">
        <v>46248</v>
      </c>
      <c r="X182" s="30" t="inlineStr">
        <is>
          <t>Sunil CR</t>
        </is>
      </c>
      <c r="Y182" s="30" t="inlineStr">
        <is>
          <t>Yes</t>
        </is>
      </c>
      <c r="Z182" s="30" t="n"/>
      <c r="AA182" s="30" t="inlineStr">
        <is>
          <t>Good finish</t>
        </is>
      </c>
      <c r="AB182" s="30" t="inlineStr">
        <is>
          <t>Yes</t>
        </is>
      </c>
      <c r="AC182" s="27" t="n"/>
      <c r="AD182" s="31" t="inlineStr">
        <is>
          <t>No</t>
        </is>
      </c>
      <c r="AE182" s="32">
        <f>IF(W182="","",IF(Z182="Yes","❌ Disc",IF(Y182="No","⚠ Missing",IF(AB182="Yes","✓ OK","⚠ Check"))))</f>
        <v/>
      </c>
      <c r="AF182" s="33" t="n"/>
      <c r="AG182" s="33" t="n"/>
      <c r="AH182" s="33" t="n"/>
      <c r="AI182" s="33" t="n"/>
      <c r="AJ182" s="33" t="n"/>
      <c r="AK182" s="33" t="n"/>
      <c r="AL182" s="27" t="n"/>
      <c r="AM182" s="34" t="n"/>
      <c r="AN182" s="35">
        <f>IF(AF182="","",IF(AI182="Yes","❌ Disc",IF(AH182="No","⚠ Missing",IF(AK182="Yes","✓ OK","⚠ Check"))))</f>
        <v/>
      </c>
      <c r="AO182" s="36" t="n"/>
      <c r="AP182" s="36" t="n"/>
      <c r="AQ182" s="36" t="n"/>
      <c r="AR182" s="36" t="n"/>
      <c r="AS182" s="36" t="n"/>
      <c r="AT182" s="36" t="n"/>
      <c r="AU182" s="27" t="n"/>
      <c r="AV182" s="37" t="n"/>
      <c r="AW182" s="38">
        <f>IF(AO182="","",IF(AR182="Yes","❌ Disc",IF(AQ182="No","⚠ Missing",IF(AT182="Yes","✓ OK","⚠ Check"))))</f>
        <v/>
      </c>
    </row>
    <row r="183" ht="18" customHeight="1" s="46">
      <c r="A183" s="23" t="n">
        <v>179</v>
      </c>
      <c r="B183" s="24" t="inlineStr">
        <is>
          <t>Libra_712</t>
        </is>
      </c>
      <c r="C183" s="25" t="inlineStr">
        <is>
          <t>Sarom - Libra Fabric(Gold) - Libra_712</t>
        </is>
      </c>
      <c r="D183" s="23" t="inlineStr">
        <is>
          <t>Sarom</t>
        </is>
      </c>
      <c r="E183" s="43" t="n">
        <v>46125</v>
      </c>
      <c r="F183" s="26" t="inlineStr">
        <is>
          <t>Sunil CR</t>
        </is>
      </c>
      <c r="G183" s="26" t="inlineStr">
        <is>
          <t>Yes</t>
        </is>
      </c>
      <c r="H183" s="26" t="inlineStr">
        <is>
          <t>No</t>
        </is>
      </c>
      <c r="I183" s="26" t="inlineStr">
        <is>
          <t>Good finish</t>
        </is>
      </c>
      <c r="J183" s="26" t="inlineStr">
        <is>
          <t>Yes</t>
        </is>
      </c>
      <c r="K183" s="27" t="n"/>
      <c r="L183" s="28" t="inlineStr">
        <is>
          <t>No</t>
        </is>
      </c>
      <c r="M183" s="29">
        <f>IF(E183="","",IF(H183="Yes","❌ Disc",IF(G183="No","⚠ Missing",IF(J183="Yes","✓ OK","⚠ Check"))))</f>
        <v/>
      </c>
      <c r="N183" s="43" t="n">
        <v>46139</v>
      </c>
      <c r="O183" s="26" t="inlineStr">
        <is>
          <t>Sunil CR</t>
        </is>
      </c>
      <c r="P183" s="26" t="inlineStr">
        <is>
          <t>Yes</t>
        </is>
      </c>
      <c r="Q183" s="26" t="inlineStr">
        <is>
          <t>No</t>
        </is>
      </c>
      <c r="R183" s="26" t="inlineStr">
        <is>
          <t>Good finish</t>
        </is>
      </c>
      <c r="S183" s="26" t="inlineStr">
        <is>
          <t>Yes</t>
        </is>
      </c>
      <c r="T183" s="27" t="n"/>
      <c r="U183" s="28" t="inlineStr">
        <is>
          <t>No</t>
        </is>
      </c>
      <c r="V183" s="29">
        <f>IF(N183="","",IF(Q183="Yes","❌ Disc",IF(P183="No","⚠ Missing",IF(S183="Yes","✓ OK","⚠ Check"))))</f>
        <v/>
      </c>
      <c r="W183" s="65" t="n">
        <v>46248</v>
      </c>
      <c r="X183" s="30" t="inlineStr">
        <is>
          <t>Sunil CR</t>
        </is>
      </c>
      <c r="Y183" s="30" t="inlineStr">
        <is>
          <t>Yes</t>
        </is>
      </c>
      <c r="Z183" s="30" t="n"/>
      <c r="AA183" s="30" t="inlineStr">
        <is>
          <t>Good finish</t>
        </is>
      </c>
      <c r="AB183" s="30" t="inlineStr">
        <is>
          <t>Yes</t>
        </is>
      </c>
      <c r="AC183" s="27" t="n"/>
      <c r="AD183" s="31" t="inlineStr">
        <is>
          <t>No</t>
        </is>
      </c>
      <c r="AE183" s="32">
        <f>IF(W183="","",IF(Z183="Yes","❌ Disc",IF(Y183="No","⚠ Missing",IF(AB183="Yes","✓ OK","⚠ Check"))))</f>
        <v/>
      </c>
      <c r="AF183" s="33" t="n"/>
      <c r="AG183" s="33" t="n"/>
      <c r="AH183" s="33" t="n"/>
      <c r="AI183" s="33" t="n"/>
      <c r="AJ183" s="33" t="n"/>
      <c r="AK183" s="33" t="n"/>
      <c r="AL183" s="27" t="n"/>
      <c r="AM183" s="34" t="n"/>
      <c r="AN183" s="35">
        <f>IF(AF183="","",IF(AI183="Yes","❌ Disc",IF(AH183="No","⚠ Missing",IF(AK183="Yes","✓ OK","⚠ Check"))))</f>
        <v/>
      </c>
      <c r="AO183" s="36" t="n"/>
      <c r="AP183" s="36" t="n"/>
      <c r="AQ183" s="36" t="n"/>
      <c r="AR183" s="36" t="n"/>
      <c r="AS183" s="36" t="n"/>
      <c r="AT183" s="36" t="n"/>
      <c r="AU183" s="27" t="n"/>
      <c r="AV183" s="37" t="n"/>
      <c r="AW183" s="38">
        <f>IF(AO183="","",IF(AR183="Yes","❌ Disc",IF(AQ183="No","⚠ Missing",IF(AT183="Yes","✓ OK","⚠ Check"))))</f>
        <v/>
      </c>
    </row>
    <row r="184" ht="18" customHeight="1" s="46">
      <c r="A184" s="39" t="n">
        <v>180</v>
      </c>
      <c r="B184" s="40" t="inlineStr">
        <is>
          <t>Phantom_101</t>
        </is>
      </c>
      <c r="C184" s="41" t="inlineStr">
        <is>
          <t>Sarom - Phantom Fabric(Diamond) - Phantom_101</t>
        </is>
      </c>
      <c r="D184" s="39" t="inlineStr">
        <is>
          <t>Sarom</t>
        </is>
      </c>
      <c r="E184" s="43" t="n">
        <v>46125</v>
      </c>
      <c r="F184" s="26" t="inlineStr">
        <is>
          <t>Sunil CR</t>
        </is>
      </c>
      <c r="G184" s="26" t="inlineStr">
        <is>
          <t>Yes</t>
        </is>
      </c>
      <c r="H184" s="26" t="inlineStr">
        <is>
          <t>No</t>
        </is>
      </c>
      <c r="I184" s="26" t="inlineStr">
        <is>
          <t>Good finish</t>
        </is>
      </c>
      <c r="J184" s="26" t="inlineStr">
        <is>
          <t>Yes</t>
        </is>
      </c>
      <c r="K184" s="27" t="n"/>
      <c r="L184" s="28" t="inlineStr">
        <is>
          <t>No</t>
        </is>
      </c>
      <c r="M184" s="29">
        <f>IF(E184="","",IF(H184="Yes","❌ Disc",IF(G184="No","⚠ Missing",IF(J184="Yes","✓ OK","⚠ Check"))))</f>
        <v/>
      </c>
      <c r="N184" s="43" t="n">
        <v>46139</v>
      </c>
      <c r="O184" s="26" t="inlineStr">
        <is>
          <t>Sunil CR</t>
        </is>
      </c>
      <c r="P184" s="26" t="inlineStr">
        <is>
          <t>Yes</t>
        </is>
      </c>
      <c r="Q184" s="26" t="inlineStr">
        <is>
          <t>No</t>
        </is>
      </c>
      <c r="R184" s="26" t="inlineStr">
        <is>
          <t>Good finish</t>
        </is>
      </c>
      <c r="S184" s="26" t="inlineStr">
        <is>
          <t>Yes</t>
        </is>
      </c>
      <c r="T184" s="27" t="n"/>
      <c r="U184" s="28" t="inlineStr">
        <is>
          <t>No</t>
        </is>
      </c>
      <c r="V184" s="29">
        <f>IF(N184="","",IF(Q184="Yes","❌ Disc",IF(P184="No","⚠ Missing",IF(S184="Yes","✓ OK","⚠ Check"))))</f>
        <v/>
      </c>
      <c r="W184" s="65" t="n">
        <v>46248</v>
      </c>
      <c r="X184" s="30" t="inlineStr">
        <is>
          <t>Sunil CR</t>
        </is>
      </c>
      <c r="Y184" s="30" t="inlineStr">
        <is>
          <t>Yes</t>
        </is>
      </c>
      <c r="Z184" s="30" t="n"/>
      <c r="AA184" s="30" t="inlineStr">
        <is>
          <t>Good finish</t>
        </is>
      </c>
      <c r="AB184" s="30" t="inlineStr">
        <is>
          <t>Yes</t>
        </is>
      </c>
      <c r="AC184" s="27" t="n"/>
      <c r="AD184" s="31" t="inlineStr">
        <is>
          <t>No</t>
        </is>
      </c>
      <c r="AE184" s="32">
        <f>IF(W184="","",IF(Z184="Yes","❌ Disc",IF(Y184="No","⚠ Missing",IF(AB184="Yes","✓ OK","⚠ Check"))))</f>
        <v/>
      </c>
      <c r="AF184" s="33" t="n"/>
      <c r="AG184" s="33" t="n"/>
      <c r="AH184" s="33" t="n"/>
      <c r="AI184" s="33" t="n"/>
      <c r="AJ184" s="33" t="n"/>
      <c r="AK184" s="33" t="n"/>
      <c r="AL184" s="27" t="n"/>
      <c r="AM184" s="34" t="n"/>
      <c r="AN184" s="35">
        <f>IF(AF184="","",IF(AI184="Yes","❌ Disc",IF(AH184="No","⚠ Missing",IF(AK184="Yes","✓ OK","⚠ Check"))))</f>
        <v/>
      </c>
      <c r="AO184" s="36" t="n"/>
      <c r="AP184" s="36" t="n"/>
      <c r="AQ184" s="36" t="n"/>
      <c r="AR184" s="36" t="n"/>
      <c r="AS184" s="36" t="n"/>
      <c r="AT184" s="36" t="n"/>
      <c r="AU184" s="27" t="n"/>
      <c r="AV184" s="37" t="n"/>
      <c r="AW184" s="38">
        <f>IF(AO184="","",IF(AR184="Yes","❌ Disc",IF(AQ184="No","⚠ Missing",IF(AT184="Yes","✓ OK","⚠ Check"))))</f>
        <v/>
      </c>
    </row>
    <row r="185" ht="18" customHeight="1" s="46">
      <c r="A185" s="23" t="n">
        <v>181</v>
      </c>
      <c r="B185" s="24" t="inlineStr">
        <is>
          <t>Phantom_102</t>
        </is>
      </c>
      <c r="C185" s="25" t="inlineStr">
        <is>
          <t>Sarom - Phantom Fabric(Diamond) - Phantom_102</t>
        </is>
      </c>
      <c r="D185" s="23" t="inlineStr">
        <is>
          <t>Sarom</t>
        </is>
      </c>
      <c r="E185" s="43" t="n">
        <v>46125</v>
      </c>
      <c r="F185" s="26" t="inlineStr">
        <is>
          <t>Sunil CR</t>
        </is>
      </c>
      <c r="G185" s="26" t="inlineStr">
        <is>
          <t>Yes</t>
        </is>
      </c>
      <c r="H185" s="26" t="inlineStr">
        <is>
          <t>No</t>
        </is>
      </c>
      <c r="I185" s="26" t="inlineStr">
        <is>
          <t>Good finish</t>
        </is>
      </c>
      <c r="J185" s="26" t="inlineStr">
        <is>
          <t>Yes</t>
        </is>
      </c>
      <c r="K185" s="27" t="n"/>
      <c r="L185" s="28" t="inlineStr">
        <is>
          <t>No</t>
        </is>
      </c>
      <c r="M185" s="29">
        <f>IF(E185="","",IF(H185="Yes","❌ Disc",IF(G185="No","⚠ Missing",IF(J185="Yes","✓ OK","⚠ Check"))))</f>
        <v/>
      </c>
      <c r="N185" s="43" t="n">
        <v>46139</v>
      </c>
      <c r="O185" s="26" t="inlineStr">
        <is>
          <t>Sunil CR</t>
        </is>
      </c>
      <c r="P185" s="26" t="inlineStr">
        <is>
          <t>Yes</t>
        </is>
      </c>
      <c r="Q185" s="26" t="inlineStr">
        <is>
          <t>No</t>
        </is>
      </c>
      <c r="R185" s="26" t="inlineStr">
        <is>
          <t>Good finish</t>
        </is>
      </c>
      <c r="S185" s="26" t="inlineStr">
        <is>
          <t>Yes</t>
        </is>
      </c>
      <c r="T185" s="27" t="n"/>
      <c r="U185" s="28" t="inlineStr">
        <is>
          <t>No</t>
        </is>
      </c>
      <c r="V185" s="29">
        <f>IF(N185="","",IF(Q185="Yes","❌ Disc",IF(P185="No","⚠ Missing",IF(S185="Yes","✓ OK","⚠ Check"))))</f>
        <v/>
      </c>
      <c r="W185" s="65" t="n">
        <v>46248</v>
      </c>
      <c r="X185" s="30" t="inlineStr">
        <is>
          <t>Sunil CR</t>
        </is>
      </c>
      <c r="Y185" s="30" t="inlineStr">
        <is>
          <t>Yes</t>
        </is>
      </c>
      <c r="Z185" s="30" t="n"/>
      <c r="AA185" s="30" t="inlineStr">
        <is>
          <t>Good finish</t>
        </is>
      </c>
      <c r="AB185" s="30" t="inlineStr">
        <is>
          <t>Yes</t>
        </is>
      </c>
      <c r="AC185" s="27" t="n"/>
      <c r="AD185" s="31" t="inlineStr">
        <is>
          <t>No</t>
        </is>
      </c>
      <c r="AE185" s="32">
        <f>IF(W185="","",IF(Z185="Yes","❌ Disc",IF(Y185="No","⚠ Missing",IF(AB185="Yes","✓ OK","⚠ Check"))))</f>
        <v/>
      </c>
      <c r="AF185" s="33" t="n"/>
      <c r="AG185" s="33" t="n"/>
      <c r="AH185" s="33" t="n"/>
      <c r="AI185" s="33" t="n"/>
      <c r="AJ185" s="33" t="n"/>
      <c r="AK185" s="33" t="n"/>
      <c r="AL185" s="27" t="n"/>
      <c r="AM185" s="34" t="n"/>
      <c r="AN185" s="35">
        <f>IF(AF185="","",IF(AI185="Yes","❌ Disc",IF(AH185="No","⚠ Missing",IF(AK185="Yes","✓ OK","⚠ Check"))))</f>
        <v/>
      </c>
      <c r="AO185" s="36" t="n"/>
      <c r="AP185" s="36" t="n"/>
      <c r="AQ185" s="36" t="n"/>
      <c r="AR185" s="36" t="n"/>
      <c r="AS185" s="36" t="n"/>
      <c r="AT185" s="36" t="n"/>
      <c r="AU185" s="27" t="n"/>
      <c r="AV185" s="37" t="n"/>
      <c r="AW185" s="38">
        <f>IF(AO185="","",IF(AR185="Yes","❌ Disc",IF(AQ185="No","⚠ Missing",IF(AT185="Yes","✓ OK","⚠ Check"))))</f>
        <v/>
      </c>
    </row>
    <row r="186" ht="18" customHeight="1" s="46">
      <c r="A186" s="39" t="n">
        <v>182</v>
      </c>
      <c r="B186" s="40" t="inlineStr">
        <is>
          <t>Phantom_103</t>
        </is>
      </c>
      <c r="C186" s="41" t="inlineStr">
        <is>
          <t>Sarom - Phantom Fabric(Diamond) - Phantom_103</t>
        </is>
      </c>
      <c r="D186" s="39" t="inlineStr">
        <is>
          <t>Sarom</t>
        </is>
      </c>
      <c r="E186" s="43" t="n">
        <v>46125</v>
      </c>
      <c r="F186" s="26" t="inlineStr">
        <is>
          <t>Sunil CR</t>
        </is>
      </c>
      <c r="G186" s="26" t="inlineStr">
        <is>
          <t>Yes</t>
        </is>
      </c>
      <c r="H186" s="26" t="inlineStr">
        <is>
          <t>No</t>
        </is>
      </c>
      <c r="I186" s="26" t="inlineStr">
        <is>
          <t>Good finish</t>
        </is>
      </c>
      <c r="J186" s="26" t="inlineStr">
        <is>
          <t>Yes</t>
        </is>
      </c>
      <c r="K186" s="27" t="n"/>
      <c r="L186" s="28" t="inlineStr">
        <is>
          <t>No</t>
        </is>
      </c>
      <c r="M186" s="29">
        <f>IF(E186="","",IF(H186="Yes","❌ Disc",IF(G186="No","⚠ Missing",IF(J186="Yes","✓ OK","⚠ Check"))))</f>
        <v/>
      </c>
      <c r="N186" s="43" t="n">
        <v>46139</v>
      </c>
      <c r="O186" s="26" t="inlineStr">
        <is>
          <t>Sunil CR</t>
        </is>
      </c>
      <c r="P186" s="26" t="inlineStr">
        <is>
          <t>Yes</t>
        </is>
      </c>
      <c r="Q186" s="26" t="inlineStr">
        <is>
          <t>No</t>
        </is>
      </c>
      <c r="R186" s="26" t="inlineStr">
        <is>
          <t>Good finish</t>
        </is>
      </c>
      <c r="S186" s="26" t="inlineStr">
        <is>
          <t>Yes</t>
        </is>
      </c>
      <c r="T186" s="27" t="n"/>
      <c r="U186" s="28" t="inlineStr">
        <is>
          <t>No</t>
        </is>
      </c>
      <c r="V186" s="29">
        <f>IF(N186="","",IF(Q186="Yes","❌ Disc",IF(P186="No","⚠ Missing",IF(S186="Yes","✓ OK","⚠ Check"))))</f>
        <v/>
      </c>
      <c r="W186" s="65" t="n">
        <v>46248</v>
      </c>
      <c r="X186" s="30" t="inlineStr">
        <is>
          <t>Sunil CR</t>
        </is>
      </c>
      <c r="Y186" s="30" t="inlineStr">
        <is>
          <t>Yes</t>
        </is>
      </c>
      <c r="Z186" s="30" t="n"/>
      <c r="AA186" s="30" t="inlineStr">
        <is>
          <t>Good finish</t>
        </is>
      </c>
      <c r="AB186" s="30" t="inlineStr">
        <is>
          <t>Yes</t>
        </is>
      </c>
      <c r="AC186" s="27" t="n"/>
      <c r="AD186" s="31" t="inlineStr">
        <is>
          <t>No</t>
        </is>
      </c>
      <c r="AE186" s="32">
        <f>IF(W186="","",IF(Z186="Yes","❌ Disc",IF(Y186="No","⚠ Missing",IF(AB186="Yes","✓ OK","⚠ Check"))))</f>
        <v/>
      </c>
      <c r="AF186" s="33" t="n"/>
      <c r="AG186" s="33" t="n"/>
      <c r="AH186" s="33" t="n"/>
      <c r="AI186" s="33" t="n"/>
      <c r="AJ186" s="33" t="n"/>
      <c r="AK186" s="33" t="n"/>
      <c r="AL186" s="27" t="n"/>
      <c r="AM186" s="34" t="n"/>
      <c r="AN186" s="35">
        <f>IF(AF186="","",IF(AI186="Yes","❌ Disc",IF(AH186="No","⚠ Missing",IF(AK186="Yes","✓ OK","⚠ Check"))))</f>
        <v/>
      </c>
      <c r="AO186" s="36" t="n"/>
      <c r="AP186" s="36" t="n"/>
      <c r="AQ186" s="36" t="n"/>
      <c r="AR186" s="36" t="n"/>
      <c r="AS186" s="36" t="n"/>
      <c r="AT186" s="36" t="n"/>
      <c r="AU186" s="27" t="n"/>
      <c r="AV186" s="37" t="n"/>
      <c r="AW186" s="38">
        <f>IF(AO186="","",IF(AR186="Yes","❌ Disc",IF(AQ186="No","⚠ Missing",IF(AT186="Yes","✓ OK","⚠ Check"))))</f>
        <v/>
      </c>
    </row>
    <row r="187" ht="18" customHeight="1" s="46">
      <c r="A187" s="23" t="n">
        <v>183</v>
      </c>
      <c r="B187" s="24" t="inlineStr">
        <is>
          <t>Phantom_104</t>
        </is>
      </c>
      <c r="C187" s="25" t="inlineStr">
        <is>
          <t>Sarom - Phantom Fabric(Diamond) - Phantom_104</t>
        </is>
      </c>
      <c r="D187" s="23" t="inlineStr">
        <is>
          <t>Sarom</t>
        </is>
      </c>
      <c r="E187" s="43" t="n">
        <v>46125</v>
      </c>
      <c r="F187" s="26" t="inlineStr">
        <is>
          <t>Sunil CR</t>
        </is>
      </c>
      <c r="G187" s="26" t="inlineStr">
        <is>
          <t>Yes</t>
        </is>
      </c>
      <c r="H187" s="26" t="inlineStr">
        <is>
          <t>No</t>
        </is>
      </c>
      <c r="I187" s="26" t="inlineStr">
        <is>
          <t>Good finish</t>
        </is>
      </c>
      <c r="J187" s="26" t="inlineStr">
        <is>
          <t>Yes</t>
        </is>
      </c>
      <c r="K187" s="27" t="n"/>
      <c r="L187" s="28" t="inlineStr">
        <is>
          <t>No</t>
        </is>
      </c>
      <c r="M187" s="29">
        <f>IF(E187="","",IF(H187="Yes","❌ Disc",IF(G187="No","⚠ Missing",IF(J187="Yes","✓ OK","⚠ Check"))))</f>
        <v/>
      </c>
      <c r="N187" s="43" t="n">
        <v>46139</v>
      </c>
      <c r="O187" s="26" t="inlineStr">
        <is>
          <t>Sunil CR</t>
        </is>
      </c>
      <c r="P187" s="26" t="inlineStr">
        <is>
          <t>Yes</t>
        </is>
      </c>
      <c r="Q187" s="26" t="inlineStr">
        <is>
          <t>No</t>
        </is>
      </c>
      <c r="R187" s="26" t="inlineStr">
        <is>
          <t>Good finish</t>
        </is>
      </c>
      <c r="S187" s="26" t="inlineStr">
        <is>
          <t>Yes</t>
        </is>
      </c>
      <c r="T187" s="27" t="n"/>
      <c r="U187" s="28" t="inlineStr">
        <is>
          <t>No</t>
        </is>
      </c>
      <c r="V187" s="29">
        <f>IF(N187="","",IF(Q187="Yes","❌ Disc",IF(P187="No","⚠ Missing",IF(S187="Yes","✓ OK","⚠ Check"))))</f>
        <v/>
      </c>
      <c r="W187" s="65" t="n">
        <v>46248</v>
      </c>
      <c r="X187" s="30" t="inlineStr">
        <is>
          <t>Sunil CR</t>
        </is>
      </c>
      <c r="Y187" s="30" t="inlineStr">
        <is>
          <t>Yes</t>
        </is>
      </c>
      <c r="Z187" s="30" t="n"/>
      <c r="AA187" s="30" t="inlineStr">
        <is>
          <t>Good finish</t>
        </is>
      </c>
      <c r="AB187" s="30" t="inlineStr">
        <is>
          <t>Yes</t>
        </is>
      </c>
      <c r="AC187" s="27" t="n"/>
      <c r="AD187" s="31" t="inlineStr">
        <is>
          <t>No</t>
        </is>
      </c>
      <c r="AE187" s="32">
        <f>IF(W187="","",IF(Z187="Yes","❌ Disc",IF(Y187="No","⚠ Missing",IF(AB187="Yes","✓ OK","⚠ Check"))))</f>
        <v/>
      </c>
      <c r="AF187" s="33" t="n"/>
      <c r="AG187" s="33" t="n"/>
      <c r="AH187" s="33" t="n"/>
      <c r="AI187" s="33" t="n"/>
      <c r="AJ187" s="33" t="n"/>
      <c r="AK187" s="33" t="n"/>
      <c r="AL187" s="27" t="n"/>
      <c r="AM187" s="34" t="n"/>
      <c r="AN187" s="35">
        <f>IF(AF187="","",IF(AI187="Yes","❌ Disc",IF(AH187="No","⚠ Missing",IF(AK187="Yes","✓ OK","⚠ Check"))))</f>
        <v/>
      </c>
      <c r="AO187" s="36" t="n"/>
      <c r="AP187" s="36" t="n"/>
      <c r="AQ187" s="36" t="n"/>
      <c r="AR187" s="36" t="n"/>
      <c r="AS187" s="36" t="n"/>
      <c r="AT187" s="36" t="n"/>
      <c r="AU187" s="27" t="n"/>
      <c r="AV187" s="37" t="n"/>
      <c r="AW187" s="38">
        <f>IF(AO187="","",IF(AR187="Yes","❌ Disc",IF(AQ187="No","⚠ Missing",IF(AT187="Yes","✓ OK","⚠ Check"))))</f>
        <v/>
      </c>
    </row>
    <row r="188" ht="18" customHeight="1" s="46">
      <c r="A188" s="39" t="n">
        <v>184</v>
      </c>
      <c r="B188" s="40" t="inlineStr">
        <is>
          <t>Phantom_105</t>
        </is>
      </c>
      <c r="C188" s="41" t="inlineStr">
        <is>
          <t>Sarom - Phantom Fabric(Diamond) - Phantom_105</t>
        </is>
      </c>
      <c r="D188" s="39" t="inlineStr">
        <is>
          <t>Sarom</t>
        </is>
      </c>
      <c r="E188" s="43" t="n">
        <v>46125</v>
      </c>
      <c r="F188" s="26" t="inlineStr">
        <is>
          <t>Sunil CR</t>
        </is>
      </c>
      <c r="G188" s="26" t="inlineStr">
        <is>
          <t>Yes</t>
        </is>
      </c>
      <c r="H188" s="26" t="inlineStr">
        <is>
          <t>No</t>
        </is>
      </c>
      <c r="I188" s="26" t="inlineStr">
        <is>
          <t>Good finish</t>
        </is>
      </c>
      <c r="J188" s="26" t="inlineStr">
        <is>
          <t>Yes</t>
        </is>
      </c>
      <c r="K188" s="27" t="n"/>
      <c r="L188" s="28" t="inlineStr">
        <is>
          <t>No</t>
        </is>
      </c>
      <c r="M188" s="29">
        <f>IF(E188="","",IF(H188="Yes","❌ Disc",IF(G188="No","⚠ Missing",IF(J188="Yes","✓ OK","⚠ Check"))))</f>
        <v/>
      </c>
      <c r="N188" s="43" t="n">
        <v>46139</v>
      </c>
      <c r="O188" s="26" t="inlineStr">
        <is>
          <t>Sunil CR</t>
        </is>
      </c>
      <c r="P188" s="26" t="inlineStr">
        <is>
          <t>Yes</t>
        </is>
      </c>
      <c r="Q188" s="26" t="inlineStr">
        <is>
          <t>No</t>
        </is>
      </c>
      <c r="R188" s="26" t="inlineStr">
        <is>
          <t>Good finish</t>
        </is>
      </c>
      <c r="S188" s="26" t="inlineStr">
        <is>
          <t>Yes</t>
        </is>
      </c>
      <c r="T188" s="27" t="n"/>
      <c r="U188" s="28" t="inlineStr">
        <is>
          <t>No</t>
        </is>
      </c>
      <c r="V188" s="29">
        <f>IF(N188="","",IF(Q188="Yes","❌ Disc",IF(P188="No","⚠ Missing",IF(S188="Yes","✓ OK","⚠ Check"))))</f>
        <v/>
      </c>
      <c r="W188" s="65" t="n">
        <v>46248</v>
      </c>
      <c r="X188" s="30" t="inlineStr">
        <is>
          <t>Sunil CR</t>
        </is>
      </c>
      <c r="Y188" s="30" t="inlineStr">
        <is>
          <t>Yes</t>
        </is>
      </c>
      <c r="Z188" s="30" t="n"/>
      <c r="AA188" s="30" t="inlineStr">
        <is>
          <t>Good finish</t>
        </is>
      </c>
      <c r="AB188" s="30" t="inlineStr">
        <is>
          <t>Yes</t>
        </is>
      </c>
      <c r="AC188" s="27" t="n"/>
      <c r="AD188" s="31" t="inlineStr">
        <is>
          <t>No</t>
        </is>
      </c>
      <c r="AE188" s="32">
        <f>IF(W188="","",IF(Z188="Yes","❌ Disc",IF(Y188="No","⚠ Missing",IF(AB188="Yes","✓ OK","⚠ Check"))))</f>
        <v/>
      </c>
      <c r="AF188" s="33" t="n"/>
      <c r="AG188" s="33" t="n"/>
      <c r="AH188" s="33" t="n"/>
      <c r="AI188" s="33" t="n"/>
      <c r="AJ188" s="33" t="n"/>
      <c r="AK188" s="33" t="n"/>
      <c r="AL188" s="27" t="n"/>
      <c r="AM188" s="34" t="n"/>
      <c r="AN188" s="35">
        <f>IF(AF188="","",IF(AI188="Yes","❌ Disc",IF(AH188="No","⚠ Missing",IF(AK188="Yes","✓ OK","⚠ Check"))))</f>
        <v/>
      </c>
      <c r="AO188" s="36" t="n"/>
      <c r="AP188" s="36" t="n"/>
      <c r="AQ188" s="36" t="n"/>
      <c r="AR188" s="36" t="n"/>
      <c r="AS188" s="36" t="n"/>
      <c r="AT188" s="36" t="n"/>
      <c r="AU188" s="27" t="n"/>
      <c r="AV188" s="37" t="n"/>
      <c r="AW188" s="38">
        <f>IF(AO188="","",IF(AR188="Yes","❌ Disc",IF(AQ188="No","⚠ Missing",IF(AT188="Yes","✓ OK","⚠ Check"))))</f>
        <v/>
      </c>
    </row>
    <row r="189" ht="18" customHeight="1" s="46">
      <c r="A189" s="23" t="n">
        <v>185</v>
      </c>
      <c r="B189" s="24" t="inlineStr">
        <is>
          <t>Phantom_106</t>
        </is>
      </c>
      <c r="C189" s="25" t="inlineStr">
        <is>
          <t>Sarom - Phantom Fabric(Diamond) - Phantom_106</t>
        </is>
      </c>
      <c r="D189" s="23" t="inlineStr">
        <is>
          <t>Sarom</t>
        </is>
      </c>
      <c r="E189" s="43" t="n">
        <v>46125</v>
      </c>
      <c r="F189" s="26" t="inlineStr">
        <is>
          <t>Sunil CR</t>
        </is>
      </c>
      <c r="G189" s="26" t="inlineStr">
        <is>
          <t>Yes</t>
        </is>
      </c>
      <c r="H189" s="26" t="inlineStr">
        <is>
          <t>No</t>
        </is>
      </c>
      <c r="I189" s="26" t="inlineStr">
        <is>
          <t>Good finish</t>
        </is>
      </c>
      <c r="J189" s="26" t="inlineStr">
        <is>
          <t>Yes</t>
        </is>
      </c>
      <c r="K189" s="27" t="n"/>
      <c r="L189" s="28" t="inlineStr">
        <is>
          <t>No</t>
        </is>
      </c>
      <c r="M189" s="29">
        <f>IF(E189="","",IF(H189="Yes","❌ Disc",IF(G189="No","⚠ Missing",IF(J189="Yes","✓ OK","⚠ Check"))))</f>
        <v/>
      </c>
      <c r="N189" s="43" t="n">
        <v>46139</v>
      </c>
      <c r="O189" s="26" t="inlineStr">
        <is>
          <t>Sunil CR</t>
        </is>
      </c>
      <c r="P189" s="26" t="inlineStr">
        <is>
          <t>Yes</t>
        </is>
      </c>
      <c r="Q189" s="26" t="inlineStr">
        <is>
          <t>No</t>
        </is>
      </c>
      <c r="R189" s="26" t="inlineStr">
        <is>
          <t>Good finish</t>
        </is>
      </c>
      <c r="S189" s="26" t="inlineStr">
        <is>
          <t>Yes</t>
        </is>
      </c>
      <c r="T189" s="27" t="n"/>
      <c r="U189" s="28" t="inlineStr">
        <is>
          <t>No</t>
        </is>
      </c>
      <c r="V189" s="29">
        <f>IF(N189="","",IF(Q189="Yes","❌ Disc",IF(P189="No","⚠ Missing",IF(S189="Yes","✓ OK","⚠ Check"))))</f>
        <v/>
      </c>
      <c r="W189" s="65" t="n">
        <v>46248</v>
      </c>
      <c r="X189" s="30" t="inlineStr">
        <is>
          <t>Sunil CR</t>
        </is>
      </c>
      <c r="Y189" s="30" t="inlineStr">
        <is>
          <t>Yes</t>
        </is>
      </c>
      <c r="Z189" s="30" t="n"/>
      <c r="AA189" s="30" t="inlineStr">
        <is>
          <t>Good finish</t>
        </is>
      </c>
      <c r="AB189" s="30" t="inlineStr">
        <is>
          <t>Yes</t>
        </is>
      </c>
      <c r="AC189" s="27" t="n"/>
      <c r="AD189" s="31" t="inlineStr">
        <is>
          <t>No</t>
        </is>
      </c>
      <c r="AE189" s="32">
        <f>IF(W189="","",IF(Z189="Yes","❌ Disc",IF(Y189="No","⚠ Missing",IF(AB189="Yes","✓ OK","⚠ Check"))))</f>
        <v/>
      </c>
      <c r="AF189" s="33" t="n"/>
      <c r="AG189" s="33" t="n"/>
      <c r="AH189" s="33" t="n"/>
      <c r="AI189" s="33" t="n"/>
      <c r="AJ189" s="33" t="n"/>
      <c r="AK189" s="33" t="n"/>
      <c r="AL189" s="27" t="n"/>
      <c r="AM189" s="34" t="n"/>
      <c r="AN189" s="35">
        <f>IF(AF189="","",IF(AI189="Yes","❌ Disc",IF(AH189="No","⚠ Missing",IF(AK189="Yes","✓ OK","⚠ Check"))))</f>
        <v/>
      </c>
      <c r="AO189" s="36" t="n"/>
      <c r="AP189" s="36" t="n"/>
      <c r="AQ189" s="36" t="n"/>
      <c r="AR189" s="36" t="n"/>
      <c r="AS189" s="36" t="n"/>
      <c r="AT189" s="36" t="n"/>
      <c r="AU189" s="27" t="n"/>
      <c r="AV189" s="37" t="n"/>
      <c r="AW189" s="38">
        <f>IF(AO189="","",IF(AR189="Yes","❌ Disc",IF(AQ189="No","⚠ Missing",IF(AT189="Yes","✓ OK","⚠ Check"))))</f>
        <v/>
      </c>
    </row>
    <row r="190" ht="18" customHeight="1" s="46">
      <c r="A190" s="39" t="n">
        <v>186</v>
      </c>
      <c r="B190" s="40" t="inlineStr">
        <is>
          <t>Phantom_107</t>
        </is>
      </c>
      <c r="C190" s="41" t="inlineStr">
        <is>
          <t>Sarom - Phantom Fabric(Diamond) - Phantom_107</t>
        </is>
      </c>
      <c r="D190" s="39" t="inlineStr">
        <is>
          <t>Sarom</t>
        </is>
      </c>
      <c r="E190" s="43" t="n">
        <v>46125</v>
      </c>
      <c r="F190" s="26" t="inlineStr">
        <is>
          <t>Sunil CR</t>
        </is>
      </c>
      <c r="G190" s="26" t="inlineStr">
        <is>
          <t>Yes</t>
        </is>
      </c>
      <c r="H190" s="26" t="inlineStr">
        <is>
          <t>No</t>
        </is>
      </c>
      <c r="I190" s="26" t="inlineStr">
        <is>
          <t>Good finish</t>
        </is>
      </c>
      <c r="J190" s="26" t="inlineStr">
        <is>
          <t>Yes</t>
        </is>
      </c>
      <c r="K190" s="27" t="n"/>
      <c r="L190" s="28" t="inlineStr">
        <is>
          <t>No</t>
        </is>
      </c>
      <c r="M190" s="29">
        <f>IF(E190="","",IF(H190="Yes","❌ Disc",IF(G190="No","⚠ Missing",IF(J190="Yes","✓ OK","⚠ Check"))))</f>
        <v/>
      </c>
      <c r="N190" s="43" t="n">
        <v>46139</v>
      </c>
      <c r="O190" s="26" t="inlineStr">
        <is>
          <t>Sunil CR</t>
        </is>
      </c>
      <c r="P190" s="26" t="inlineStr">
        <is>
          <t>Yes</t>
        </is>
      </c>
      <c r="Q190" s="26" t="inlineStr">
        <is>
          <t>No</t>
        </is>
      </c>
      <c r="R190" s="26" t="inlineStr">
        <is>
          <t>Good finish</t>
        </is>
      </c>
      <c r="S190" s="26" t="inlineStr">
        <is>
          <t>Yes</t>
        </is>
      </c>
      <c r="T190" s="27" t="n"/>
      <c r="U190" s="28" t="inlineStr">
        <is>
          <t>No</t>
        </is>
      </c>
      <c r="V190" s="29">
        <f>IF(N190="","",IF(Q190="Yes","❌ Disc",IF(P190="No","⚠ Missing",IF(S190="Yes","✓ OK","⚠ Check"))))</f>
        <v/>
      </c>
      <c r="W190" s="65" t="n">
        <v>46248</v>
      </c>
      <c r="X190" s="30" t="inlineStr">
        <is>
          <t>Sunil CR</t>
        </is>
      </c>
      <c r="Y190" s="30" t="inlineStr">
        <is>
          <t>Yes</t>
        </is>
      </c>
      <c r="Z190" s="30" t="n"/>
      <c r="AA190" s="30" t="inlineStr">
        <is>
          <t>Good finish</t>
        </is>
      </c>
      <c r="AB190" s="30" t="inlineStr">
        <is>
          <t>Yes</t>
        </is>
      </c>
      <c r="AC190" s="27" t="n"/>
      <c r="AD190" s="31" t="inlineStr">
        <is>
          <t>No</t>
        </is>
      </c>
      <c r="AE190" s="32">
        <f>IF(W190="","",IF(Z190="Yes","❌ Disc",IF(Y190="No","⚠ Missing",IF(AB190="Yes","✓ OK","⚠ Check"))))</f>
        <v/>
      </c>
      <c r="AF190" s="33" t="n"/>
      <c r="AG190" s="33" t="n"/>
      <c r="AH190" s="33" t="n"/>
      <c r="AI190" s="33" t="n"/>
      <c r="AJ190" s="33" t="n"/>
      <c r="AK190" s="33" t="n"/>
      <c r="AL190" s="27" t="n"/>
      <c r="AM190" s="34" t="n"/>
      <c r="AN190" s="35">
        <f>IF(AF190="","",IF(AI190="Yes","❌ Disc",IF(AH190="No","⚠ Missing",IF(AK190="Yes","✓ OK","⚠ Check"))))</f>
        <v/>
      </c>
      <c r="AO190" s="36" t="n"/>
      <c r="AP190" s="36" t="n"/>
      <c r="AQ190" s="36" t="n"/>
      <c r="AR190" s="36" t="n"/>
      <c r="AS190" s="36" t="n"/>
      <c r="AT190" s="36" t="n"/>
      <c r="AU190" s="27" t="n"/>
      <c r="AV190" s="37" t="n"/>
      <c r="AW190" s="38">
        <f>IF(AO190="","",IF(AR190="Yes","❌ Disc",IF(AQ190="No","⚠ Missing",IF(AT190="Yes","✓ OK","⚠ Check"))))</f>
        <v/>
      </c>
    </row>
    <row r="191" ht="18" customHeight="1" s="46">
      <c r="A191" s="23" t="n">
        <v>187</v>
      </c>
      <c r="B191" s="24" t="inlineStr">
        <is>
          <t>Phantom_108</t>
        </is>
      </c>
      <c r="C191" s="25" t="inlineStr">
        <is>
          <t>Sarom - Phantom Fabric(Diamond) - Phantom_108</t>
        </is>
      </c>
      <c r="D191" s="23" t="inlineStr">
        <is>
          <t>Sarom</t>
        </is>
      </c>
      <c r="E191" s="43" t="n">
        <v>46125</v>
      </c>
      <c r="F191" s="26" t="inlineStr">
        <is>
          <t>Sunil CR</t>
        </is>
      </c>
      <c r="G191" s="26" t="inlineStr">
        <is>
          <t>Yes</t>
        </is>
      </c>
      <c r="H191" s="26" t="inlineStr">
        <is>
          <t>No</t>
        </is>
      </c>
      <c r="I191" s="26" t="inlineStr">
        <is>
          <t>Good finish</t>
        </is>
      </c>
      <c r="J191" s="26" t="inlineStr">
        <is>
          <t>Yes</t>
        </is>
      </c>
      <c r="K191" s="27" t="n"/>
      <c r="L191" s="28" t="inlineStr">
        <is>
          <t>No</t>
        </is>
      </c>
      <c r="M191" s="29">
        <f>IF(E191="","",IF(H191="Yes","❌ Disc",IF(G191="No","⚠ Missing",IF(J191="Yes","✓ OK","⚠ Check"))))</f>
        <v/>
      </c>
      <c r="N191" s="43" t="n">
        <v>46139</v>
      </c>
      <c r="O191" s="26" t="inlineStr">
        <is>
          <t>Sunil CR</t>
        </is>
      </c>
      <c r="P191" s="26" t="inlineStr">
        <is>
          <t>Yes</t>
        </is>
      </c>
      <c r="Q191" s="26" t="inlineStr">
        <is>
          <t>No</t>
        </is>
      </c>
      <c r="R191" s="26" t="inlineStr">
        <is>
          <t>Good finish</t>
        </is>
      </c>
      <c r="S191" s="26" t="inlineStr">
        <is>
          <t>Yes</t>
        </is>
      </c>
      <c r="T191" s="27" t="n"/>
      <c r="U191" s="28" t="inlineStr">
        <is>
          <t>No</t>
        </is>
      </c>
      <c r="V191" s="29">
        <f>IF(N191="","",IF(Q191="Yes","❌ Disc",IF(P191="No","⚠ Missing",IF(S191="Yes","✓ OK","⚠ Check"))))</f>
        <v/>
      </c>
      <c r="W191" s="65" t="n">
        <v>46248</v>
      </c>
      <c r="X191" s="30" t="inlineStr">
        <is>
          <t>Sunil CR</t>
        </is>
      </c>
      <c r="Y191" s="30" t="inlineStr">
        <is>
          <t>Yes</t>
        </is>
      </c>
      <c r="Z191" s="30" t="n"/>
      <c r="AA191" s="30" t="inlineStr">
        <is>
          <t>Good finish</t>
        </is>
      </c>
      <c r="AB191" s="30" t="inlineStr">
        <is>
          <t>Yes</t>
        </is>
      </c>
      <c r="AC191" s="27" t="n"/>
      <c r="AD191" s="31" t="inlineStr">
        <is>
          <t>No</t>
        </is>
      </c>
      <c r="AE191" s="32">
        <f>IF(W191="","",IF(Z191="Yes","❌ Disc",IF(Y191="No","⚠ Missing",IF(AB191="Yes","✓ OK","⚠ Check"))))</f>
        <v/>
      </c>
      <c r="AF191" s="33" t="n"/>
      <c r="AG191" s="33" t="n"/>
      <c r="AH191" s="33" t="n"/>
      <c r="AI191" s="33" t="n"/>
      <c r="AJ191" s="33" t="n"/>
      <c r="AK191" s="33" t="n"/>
      <c r="AL191" s="27" t="n"/>
      <c r="AM191" s="34" t="n"/>
      <c r="AN191" s="35">
        <f>IF(AF191="","",IF(AI191="Yes","❌ Disc",IF(AH191="No","⚠ Missing",IF(AK191="Yes","✓ OK","⚠ Check"))))</f>
        <v/>
      </c>
      <c r="AO191" s="36" t="n"/>
      <c r="AP191" s="36" t="n"/>
      <c r="AQ191" s="36" t="n"/>
      <c r="AR191" s="36" t="n"/>
      <c r="AS191" s="36" t="n"/>
      <c r="AT191" s="36" t="n"/>
      <c r="AU191" s="27" t="n"/>
      <c r="AV191" s="37" t="n"/>
      <c r="AW191" s="38">
        <f>IF(AO191="","",IF(AR191="Yes","❌ Disc",IF(AQ191="No","⚠ Missing",IF(AT191="Yes","✓ OK","⚠ Check"))))</f>
        <v/>
      </c>
    </row>
    <row r="192" ht="18" customHeight="1" s="46">
      <c r="A192" s="39" t="n">
        <v>188</v>
      </c>
      <c r="B192" s="40" t="inlineStr">
        <is>
          <t>Phantom_109</t>
        </is>
      </c>
      <c r="C192" s="41" t="inlineStr">
        <is>
          <t>Sarom - Phantom Fabric(Diamond) - Phantom_109</t>
        </is>
      </c>
      <c r="D192" s="39" t="inlineStr">
        <is>
          <t>Sarom</t>
        </is>
      </c>
      <c r="E192" s="43" t="n">
        <v>46125</v>
      </c>
      <c r="F192" s="26" t="inlineStr">
        <is>
          <t>Sunil CR</t>
        </is>
      </c>
      <c r="G192" s="26" t="inlineStr">
        <is>
          <t>Yes</t>
        </is>
      </c>
      <c r="H192" s="26" t="inlineStr">
        <is>
          <t>No</t>
        </is>
      </c>
      <c r="I192" s="26" t="inlineStr">
        <is>
          <t>Good finish</t>
        </is>
      </c>
      <c r="J192" s="26" t="inlineStr">
        <is>
          <t>Yes</t>
        </is>
      </c>
      <c r="K192" s="27" t="n"/>
      <c r="L192" s="28" t="inlineStr">
        <is>
          <t>No</t>
        </is>
      </c>
      <c r="M192" s="29">
        <f>IF(E192="","",IF(H192="Yes","❌ Disc",IF(G192="No","⚠ Missing",IF(J192="Yes","✓ OK","⚠ Check"))))</f>
        <v/>
      </c>
      <c r="N192" s="43" t="n">
        <v>46139</v>
      </c>
      <c r="O192" s="26" t="inlineStr">
        <is>
          <t>Sunil CR</t>
        </is>
      </c>
      <c r="P192" s="26" t="inlineStr">
        <is>
          <t>Yes</t>
        </is>
      </c>
      <c r="Q192" s="26" t="inlineStr">
        <is>
          <t>No</t>
        </is>
      </c>
      <c r="R192" s="26" t="inlineStr">
        <is>
          <t>Good finish</t>
        </is>
      </c>
      <c r="S192" s="26" t="inlineStr">
        <is>
          <t>Yes</t>
        </is>
      </c>
      <c r="T192" s="27" t="n"/>
      <c r="U192" s="28" t="inlineStr">
        <is>
          <t>No</t>
        </is>
      </c>
      <c r="V192" s="29">
        <f>IF(N192="","",IF(Q192="Yes","❌ Disc",IF(P192="No","⚠ Missing",IF(S192="Yes","✓ OK","⚠ Check"))))</f>
        <v/>
      </c>
      <c r="W192" s="65" t="n">
        <v>46248</v>
      </c>
      <c r="X192" s="30" t="inlineStr">
        <is>
          <t>Sunil CR</t>
        </is>
      </c>
      <c r="Y192" s="30" t="inlineStr">
        <is>
          <t>Yes</t>
        </is>
      </c>
      <c r="Z192" s="30" t="n"/>
      <c r="AA192" s="30" t="inlineStr">
        <is>
          <t>Good finish</t>
        </is>
      </c>
      <c r="AB192" s="30" t="inlineStr">
        <is>
          <t>Yes</t>
        </is>
      </c>
      <c r="AC192" s="27" t="n"/>
      <c r="AD192" s="31" t="inlineStr">
        <is>
          <t>No</t>
        </is>
      </c>
      <c r="AE192" s="32">
        <f>IF(W192="","",IF(Z192="Yes","❌ Disc",IF(Y192="No","⚠ Missing",IF(AB192="Yes","✓ OK","⚠ Check"))))</f>
        <v/>
      </c>
      <c r="AF192" s="33" t="n"/>
      <c r="AG192" s="33" t="n"/>
      <c r="AH192" s="33" t="n"/>
      <c r="AI192" s="33" t="n"/>
      <c r="AJ192" s="33" t="n"/>
      <c r="AK192" s="33" t="n"/>
      <c r="AL192" s="27" t="n"/>
      <c r="AM192" s="34" t="n"/>
      <c r="AN192" s="35">
        <f>IF(AF192="","",IF(AI192="Yes","❌ Disc",IF(AH192="No","⚠ Missing",IF(AK192="Yes","✓ OK","⚠ Check"))))</f>
        <v/>
      </c>
      <c r="AO192" s="36" t="n"/>
      <c r="AP192" s="36" t="n"/>
      <c r="AQ192" s="36" t="n"/>
      <c r="AR192" s="36" t="n"/>
      <c r="AS192" s="36" t="n"/>
      <c r="AT192" s="36" t="n"/>
      <c r="AU192" s="27" t="n"/>
      <c r="AV192" s="37" t="n"/>
      <c r="AW192" s="38">
        <f>IF(AO192="","",IF(AR192="Yes","❌ Disc",IF(AQ192="No","⚠ Missing",IF(AT192="Yes","✓ OK","⚠ Check"))))</f>
        <v/>
      </c>
    </row>
    <row r="193" ht="18" customHeight="1" s="46">
      <c r="A193" s="23" t="n">
        <v>189</v>
      </c>
      <c r="B193" s="24" t="inlineStr">
        <is>
          <t>Phantom_110</t>
        </is>
      </c>
      <c r="C193" s="25" t="inlineStr">
        <is>
          <t>Sarom - Phantom Fabric(Diamond) - Phantom_110</t>
        </is>
      </c>
      <c r="D193" s="23" t="inlineStr">
        <is>
          <t>Sarom</t>
        </is>
      </c>
      <c r="E193" s="43" t="n">
        <v>46125</v>
      </c>
      <c r="F193" s="26" t="inlineStr">
        <is>
          <t>Sunil CR</t>
        </is>
      </c>
      <c r="G193" s="26" t="inlineStr">
        <is>
          <t>Yes</t>
        </is>
      </c>
      <c r="H193" s="26" t="inlineStr">
        <is>
          <t>No</t>
        </is>
      </c>
      <c r="I193" s="26" t="inlineStr">
        <is>
          <t>Good finish</t>
        </is>
      </c>
      <c r="J193" s="26" t="inlineStr">
        <is>
          <t>Yes</t>
        </is>
      </c>
      <c r="K193" s="27" t="n"/>
      <c r="L193" s="28" t="inlineStr">
        <is>
          <t>No</t>
        </is>
      </c>
      <c r="M193" s="29">
        <f>IF(E193="","",IF(H193="Yes","❌ Disc",IF(G193="No","⚠ Missing",IF(J193="Yes","✓ OK","⚠ Check"))))</f>
        <v/>
      </c>
      <c r="N193" s="43" t="n">
        <v>46139</v>
      </c>
      <c r="O193" s="26" t="inlineStr">
        <is>
          <t>Sunil CR</t>
        </is>
      </c>
      <c r="P193" s="26" t="inlineStr">
        <is>
          <t>Yes</t>
        </is>
      </c>
      <c r="Q193" s="26" t="inlineStr">
        <is>
          <t>No</t>
        </is>
      </c>
      <c r="R193" s="26" t="inlineStr">
        <is>
          <t>Good finish</t>
        </is>
      </c>
      <c r="S193" s="26" t="inlineStr">
        <is>
          <t>Yes</t>
        </is>
      </c>
      <c r="T193" s="27" t="n"/>
      <c r="U193" s="28" t="inlineStr">
        <is>
          <t>No</t>
        </is>
      </c>
      <c r="V193" s="29">
        <f>IF(N193="","",IF(Q193="Yes","❌ Disc",IF(P193="No","⚠ Missing",IF(S193="Yes","✓ OK","⚠ Check"))))</f>
        <v/>
      </c>
      <c r="W193" s="65" t="n">
        <v>46248</v>
      </c>
      <c r="X193" s="30" t="inlineStr">
        <is>
          <t>Sunil CR</t>
        </is>
      </c>
      <c r="Y193" s="30" t="inlineStr">
        <is>
          <t>Yes</t>
        </is>
      </c>
      <c r="Z193" s="30" t="n"/>
      <c r="AA193" s="30" t="inlineStr">
        <is>
          <t>Good finish</t>
        </is>
      </c>
      <c r="AB193" s="30" t="inlineStr">
        <is>
          <t>Yes</t>
        </is>
      </c>
      <c r="AC193" s="27" t="n"/>
      <c r="AD193" s="31" t="inlineStr">
        <is>
          <t>No</t>
        </is>
      </c>
      <c r="AE193" s="32">
        <f>IF(W193="","",IF(Z193="Yes","❌ Disc",IF(Y193="No","⚠ Missing",IF(AB193="Yes","✓ OK","⚠ Check"))))</f>
        <v/>
      </c>
      <c r="AF193" s="33" t="n"/>
      <c r="AG193" s="33" t="n"/>
      <c r="AH193" s="33" t="n"/>
      <c r="AI193" s="33" t="n"/>
      <c r="AJ193" s="33" t="n"/>
      <c r="AK193" s="33" t="n"/>
      <c r="AL193" s="27" t="n"/>
      <c r="AM193" s="34" t="n"/>
      <c r="AN193" s="35">
        <f>IF(AF193="","",IF(AI193="Yes","❌ Disc",IF(AH193="No","⚠ Missing",IF(AK193="Yes","✓ OK","⚠ Check"))))</f>
        <v/>
      </c>
      <c r="AO193" s="36" t="n"/>
      <c r="AP193" s="36" t="n"/>
      <c r="AQ193" s="36" t="n"/>
      <c r="AR193" s="36" t="n"/>
      <c r="AS193" s="36" t="n"/>
      <c r="AT193" s="36" t="n"/>
      <c r="AU193" s="27" t="n"/>
      <c r="AV193" s="37" t="n"/>
      <c r="AW193" s="38">
        <f>IF(AO193="","",IF(AR193="Yes","❌ Disc",IF(AQ193="No","⚠ Missing",IF(AT193="Yes","✓ OK","⚠ Check"))))</f>
        <v/>
      </c>
    </row>
    <row r="194" ht="18" customHeight="1" s="46">
      <c r="A194" s="39" t="n">
        <v>190</v>
      </c>
      <c r="B194" s="40" t="inlineStr">
        <is>
          <t>Phantom_111</t>
        </is>
      </c>
      <c r="C194" s="41" t="inlineStr">
        <is>
          <t>Sarom - Phantom Fabric(Diamond) - Phantom_111</t>
        </is>
      </c>
      <c r="D194" s="39" t="inlineStr">
        <is>
          <t>Sarom</t>
        </is>
      </c>
      <c r="E194" s="43" t="n">
        <v>46125</v>
      </c>
      <c r="F194" s="26" t="inlineStr">
        <is>
          <t>Sunil CR</t>
        </is>
      </c>
      <c r="G194" s="26" t="inlineStr">
        <is>
          <t>Yes</t>
        </is>
      </c>
      <c r="H194" s="26" t="inlineStr">
        <is>
          <t>No</t>
        </is>
      </c>
      <c r="I194" s="26" t="inlineStr">
        <is>
          <t>Good finish</t>
        </is>
      </c>
      <c r="J194" s="26" t="inlineStr">
        <is>
          <t>Yes</t>
        </is>
      </c>
      <c r="K194" s="27" t="n"/>
      <c r="L194" s="28" t="inlineStr">
        <is>
          <t>No</t>
        </is>
      </c>
      <c r="M194" s="29">
        <f>IF(E194="","",IF(H194="Yes","❌ Disc",IF(G194="No","⚠ Missing",IF(J194="Yes","✓ OK","⚠ Check"))))</f>
        <v/>
      </c>
      <c r="N194" s="43" t="n">
        <v>46139</v>
      </c>
      <c r="O194" s="26" t="inlineStr">
        <is>
          <t>Sunil CR</t>
        </is>
      </c>
      <c r="P194" s="26" t="inlineStr">
        <is>
          <t>Yes</t>
        </is>
      </c>
      <c r="Q194" s="26" t="inlineStr">
        <is>
          <t>No</t>
        </is>
      </c>
      <c r="R194" s="26" t="inlineStr">
        <is>
          <t>Good finish</t>
        </is>
      </c>
      <c r="S194" s="26" t="inlineStr">
        <is>
          <t>Yes</t>
        </is>
      </c>
      <c r="T194" s="27" t="n"/>
      <c r="U194" s="28" t="inlineStr">
        <is>
          <t>No</t>
        </is>
      </c>
      <c r="V194" s="29">
        <f>IF(N194="","",IF(Q194="Yes","❌ Disc",IF(P194="No","⚠ Missing",IF(S194="Yes","✓ OK","⚠ Check"))))</f>
        <v/>
      </c>
      <c r="W194" s="65" t="n">
        <v>46248</v>
      </c>
      <c r="X194" s="30" t="inlineStr">
        <is>
          <t>Sunil CR</t>
        </is>
      </c>
      <c r="Y194" s="30" t="inlineStr">
        <is>
          <t>Yes</t>
        </is>
      </c>
      <c r="Z194" s="30" t="n"/>
      <c r="AA194" s="30" t="inlineStr">
        <is>
          <t>Good finish</t>
        </is>
      </c>
      <c r="AB194" s="30" t="inlineStr">
        <is>
          <t>Yes</t>
        </is>
      </c>
      <c r="AC194" s="27" t="n"/>
      <c r="AD194" s="31" t="inlineStr">
        <is>
          <t>No</t>
        </is>
      </c>
      <c r="AE194" s="32">
        <f>IF(W194="","",IF(Z194="Yes","❌ Disc",IF(Y194="No","⚠ Missing",IF(AB194="Yes","✓ OK","⚠ Check"))))</f>
        <v/>
      </c>
      <c r="AF194" s="33" t="n"/>
      <c r="AG194" s="33" t="n"/>
      <c r="AH194" s="33" t="n"/>
      <c r="AI194" s="33" t="n"/>
      <c r="AJ194" s="33" t="n"/>
      <c r="AK194" s="33" t="n"/>
      <c r="AL194" s="27" t="n"/>
      <c r="AM194" s="34" t="n"/>
      <c r="AN194" s="35">
        <f>IF(AF194="","",IF(AI194="Yes","❌ Disc",IF(AH194="No","⚠ Missing",IF(AK194="Yes","✓ OK","⚠ Check"))))</f>
        <v/>
      </c>
      <c r="AO194" s="36" t="n"/>
      <c r="AP194" s="36" t="n"/>
      <c r="AQ194" s="36" t="n"/>
      <c r="AR194" s="36" t="n"/>
      <c r="AS194" s="36" t="n"/>
      <c r="AT194" s="36" t="n"/>
      <c r="AU194" s="27" t="n"/>
      <c r="AV194" s="37" t="n"/>
      <c r="AW194" s="38">
        <f>IF(AO194="","",IF(AR194="Yes","❌ Disc",IF(AQ194="No","⚠ Missing",IF(AT194="Yes","✓ OK","⚠ Check"))))</f>
        <v/>
      </c>
    </row>
    <row r="195" ht="18" customHeight="1" s="46">
      <c r="A195" s="23" t="n">
        <v>191</v>
      </c>
      <c r="B195" s="24" t="inlineStr">
        <is>
          <t>Phantom_112</t>
        </is>
      </c>
      <c r="C195" s="25" t="inlineStr">
        <is>
          <t>Sarom - Phantom Fabric(Diamond) - Phantom_112</t>
        </is>
      </c>
      <c r="D195" s="23" t="inlineStr">
        <is>
          <t>Sarom</t>
        </is>
      </c>
      <c r="E195" s="43" t="n">
        <v>46125</v>
      </c>
      <c r="F195" s="26" t="inlineStr">
        <is>
          <t>Sunil CR</t>
        </is>
      </c>
      <c r="G195" s="26" t="inlineStr">
        <is>
          <t>Yes</t>
        </is>
      </c>
      <c r="H195" s="26" t="inlineStr">
        <is>
          <t>No</t>
        </is>
      </c>
      <c r="I195" s="26" t="inlineStr">
        <is>
          <t>Good finish</t>
        </is>
      </c>
      <c r="J195" s="26" t="inlineStr">
        <is>
          <t>Yes</t>
        </is>
      </c>
      <c r="K195" s="27" t="n"/>
      <c r="L195" s="28" t="inlineStr">
        <is>
          <t>No</t>
        </is>
      </c>
      <c r="M195" s="29">
        <f>IF(E195="","",IF(H195="Yes","❌ Disc",IF(G195="No","⚠ Missing",IF(J195="Yes","✓ OK","⚠ Check"))))</f>
        <v/>
      </c>
      <c r="N195" s="43" t="n">
        <v>46139</v>
      </c>
      <c r="O195" s="26" t="inlineStr">
        <is>
          <t>Sunil CR</t>
        </is>
      </c>
      <c r="P195" s="26" t="inlineStr">
        <is>
          <t>Yes</t>
        </is>
      </c>
      <c r="Q195" s="26" t="inlineStr">
        <is>
          <t>No</t>
        </is>
      </c>
      <c r="R195" s="26" t="inlineStr">
        <is>
          <t>Good finish</t>
        </is>
      </c>
      <c r="S195" s="26" t="inlineStr">
        <is>
          <t>Yes</t>
        </is>
      </c>
      <c r="T195" s="27" t="n"/>
      <c r="U195" s="28" t="inlineStr">
        <is>
          <t>No</t>
        </is>
      </c>
      <c r="V195" s="29">
        <f>IF(N195="","",IF(Q195="Yes","❌ Disc",IF(P195="No","⚠ Missing",IF(S195="Yes","✓ OK","⚠ Check"))))</f>
        <v/>
      </c>
      <c r="W195" s="65" t="n">
        <v>46248</v>
      </c>
      <c r="X195" s="30" t="inlineStr">
        <is>
          <t>Sunil CR</t>
        </is>
      </c>
      <c r="Y195" s="30" t="inlineStr">
        <is>
          <t>Yes</t>
        </is>
      </c>
      <c r="Z195" s="30" t="n"/>
      <c r="AA195" s="30" t="inlineStr">
        <is>
          <t>Good finish</t>
        </is>
      </c>
      <c r="AB195" s="30" t="inlineStr">
        <is>
          <t>Yes</t>
        </is>
      </c>
      <c r="AC195" s="27" t="n"/>
      <c r="AD195" s="31" t="inlineStr">
        <is>
          <t>No</t>
        </is>
      </c>
      <c r="AE195" s="32">
        <f>IF(W195="","",IF(Z195="Yes","❌ Disc",IF(Y195="No","⚠ Missing",IF(AB195="Yes","✓ OK","⚠ Check"))))</f>
        <v/>
      </c>
      <c r="AF195" s="33" t="n"/>
      <c r="AG195" s="33" t="n"/>
      <c r="AH195" s="33" t="n"/>
      <c r="AI195" s="33" t="n"/>
      <c r="AJ195" s="33" t="n"/>
      <c r="AK195" s="33" t="n"/>
      <c r="AL195" s="27" t="n"/>
      <c r="AM195" s="34" t="n"/>
      <c r="AN195" s="35">
        <f>IF(AF195="","",IF(AI195="Yes","❌ Disc",IF(AH195="No","⚠ Missing",IF(AK195="Yes","✓ OK","⚠ Check"))))</f>
        <v/>
      </c>
      <c r="AO195" s="36" t="n"/>
      <c r="AP195" s="36" t="n"/>
      <c r="AQ195" s="36" t="n"/>
      <c r="AR195" s="36" t="n"/>
      <c r="AS195" s="36" t="n"/>
      <c r="AT195" s="36" t="n"/>
      <c r="AU195" s="27" t="n"/>
      <c r="AV195" s="37" t="n"/>
      <c r="AW195" s="38">
        <f>IF(AO195="","",IF(AR195="Yes","❌ Disc",IF(AQ195="No","⚠ Missing",IF(AT195="Yes","✓ OK","⚠ Check"))))</f>
        <v/>
      </c>
    </row>
    <row r="196" ht="18" customHeight="1" s="46">
      <c r="A196" s="39" t="n">
        <v>192</v>
      </c>
      <c r="B196" s="40" t="inlineStr">
        <is>
          <t>Phantom_113</t>
        </is>
      </c>
      <c r="C196" s="41" t="inlineStr">
        <is>
          <t>Sarom - Phantom Fabric(Diamond) - Phantom_113</t>
        </is>
      </c>
      <c r="D196" s="39" t="inlineStr">
        <is>
          <t>Sarom</t>
        </is>
      </c>
      <c r="E196" s="43" t="n">
        <v>46125</v>
      </c>
      <c r="F196" s="26" t="inlineStr">
        <is>
          <t>Sunil CR</t>
        </is>
      </c>
      <c r="G196" s="26" t="inlineStr">
        <is>
          <t>Yes</t>
        </is>
      </c>
      <c r="H196" s="26" t="inlineStr">
        <is>
          <t>No</t>
        </is>
      </c>
      <c r="I196" s="26" t="inlineStr">
        <is>
          <t>Good finish</t>
        </is>
      </c>
      <c r="J196" s="26" t="inlineStr">
        <is>
          <t>Yes</t>
        </is>
      </c>
      <c r="K196" s="27" t="n"/>
      <c r="L196" s="28" t="inlineStr">
        <is>
          <t>No</t>
        </is>
      </c>
      <c r="M196" s="29">
        <f>IF(E196="","",IF(H196="Yes","❌ Disc",IF(G196="No","⚠ Missing",IF(J196="Yes","✓ OK","⚠ Check"))))</f>
        <v/>
      </c>
      <c r="N196" s="43" t="n">
        <v>46139</v>
      </c>
      <c r="O196" s="26" t="inlineStr">
        <is>
          <t>Sunil CR</t>
        </is>
      </c>
      <c r="P196" s="26" t="inlineStr">
        <is>
          <t>Yes</t>
        </is>
      </c>
      <c r="Q196" s="26" t="inlineStr">
        <is>
          <t>No</t>
        </is>
      </c>
      <c r="R196" s="26" t="inlineStr">
        <is>
          <t>Good finish</t>
        </is>
      </c>
      <c r="S196" s="26" t="inlineStr">
        <is>
          <t>Yes</t>
        </is>
      </c>
      <c r="T196" s="27" t="n"/>
      <c r="U196" s="28" t="inlineStr">
        <is>
          <t>No</t>
        </is>
      </c>
      <c r="V196" s="29">
        <f>IF(N196="","",IF(Q196="Yes","❌ Disc",IF(P196="No","⚠ Missing",IF(S196="Yes","✓ OK","⚠ Check"))))</f>
        <v/>
      </c>
      <c r="W196" s="65" t="n">
        <v>46248</v>
      </c>
      <c r="X196" s="30" t="inlineStr">
        <is>
          <t>Sunil CR</t>
        </is>
      </c>
      <c r="Y196" s="30" t="inlineStr">
        <is>
          <t>Yes</t>
        </is>
      </c>
      <c r="Z196" s="30" t="n"/>
      <c r="AA196" s="30" t="inlineStr">
        <is>
          <t>Good finish</t>
        </is>
      </c>
      <c r="AB196" s="30" t="inlineStr">
        <is>
          <t>Yes</t>
        </is>
      </c>
      <c r="AC196" s="27" t="n"/>
      <c r="AD196" s="31" t="inlineStr">
        <is>
          <t>No</t>
        </is>
      </c>
      <c r="AE196" s="32">
        <f>IF(W196="","",IF(Z196="Yes","❌ Disc",IF(Y196="No","⚠ Missing",IF(AB196="Yes","✓ OK","⚠ Check"))))</f>
        <v/>
      </c>
      <c r="AF196" s="33" t="n"/>
      <c r="AG196" s="33" t="n"/>
      <c r="AH196" s="33" t="n"/>
      <c r="AI196" s="33" t="n"/>
      <c r="AJ196" s="33" t="n"/>
      <c r="AK196" s="33" t="n"/>
      <c r="AL196" s="27" t="n"/>
      <c r="AM196" s="34" t="n"/>
      <c r="AN196" s="35">
        <f>IF(AF196="","",IF(AI196="Yes","❌ Disc",IF(AH196="No","⚠ Missing",IF(AK196="Yes","✓ OK","⚠ Check"))))</f>
        <v/>
      </c>
      <c r="AO196" s="36" t="n"/>
      <c r="AP196" s="36" t="n"/>
      <c r="AQ196" s="36" t="n"/>
      <c r="AR196" s="36" t="n"/>
      <c r="AS196" s="36" t="n"/>
      <c r="AT196" s="36" t="n"/>
      <c r="AU196" s="27" t="n"/>
      <c r="AV196" s="37" t="n"/>
      <c r="AW196" s="38">
        <f>IF(AO196="","",IF(AR196="Yes","❌ Disc",IF(AQ196="No","⚠ Missing",IF(AT196="Yes","✓ OK","⚠ Check"))))</f>
        <v/>
      </c>
    </row>
    <row r="197" ht="18" customHeight="1" s="46">
      <c r="A197" s="23" t="n">
        <v>193</v>
      </c>
      <c r="B197" s="24" t="inlineStr">
        <is>
          <t>Phantom_114</t>
        </is>
      </c>
      <c r="C197" s="25" t="inlineStr">
        <is>
          <t>Sarom - Phantom Fabric(Diamond) - Phantom_114</t>
        </is>
      </c>
      <c r="D197" s="23" t="inlineStr">
        <is>
          <t>Sarom</t>
        </is>
      </c>
      <c r="E197" s="43" t="n">
        <v>46125</v>
      </c>
      <c r="F197" s="26" t="inlineStr">
        <is>
          <t>Sunil CR</t>
        </is>
      </c>
      <c r="G197" s="26" t="inlineStr">
        <is>
          <t>Yes</t>
        </is>
      </c>
      <c r="H197" s="26" t="inlineStr">
        <is>
          <t>No</t>
        </is>
      </c>
      <c r="I197" s="26" t="inlineStr">
        <is>
          <t>Good finish</t>
        </is>
      </c>
      <c r="J197" s="26" t="inlineStr">
        <is>
          <t>Yes</t>
        </is>
      </c>
      <c r="K197" s="27" t="n"/>
      <c r="L197" s="28" t="inlineStr">
        <is>
          <t>No</t>
        </is>
      </c>
      <c r="M197" s="29">
        <f>IF(E197="","",IF(H197="Yes","❌ Disc",IF(G197="No","⚠ Missing",IF(J197="Yes","✓ OK","⚠ Check"))))</f>
        <v/>
      </c>
      <c r="N197" s="43" t="n">
        <v>46139</v>
      </c>
      <c r="O197" s="26" t="inlineStr">
        <is>
          <t>Sunil CR</t>
        </is>
      </c>
      <c r="P197" s="26" t="inlineStr">
        <is>
          <t>Yes</t>
        </is>
      </c>
      <c r="Q197" s="26" t="inlineStr">
        <is>
          <t>No</t>
        </is>
      </c>
      <c r="R197" s="26" t="inlineStr">
        <is>
          <t>Good finish</t>
        </is>
      </c>
      <c r="S197" s="26" t="inlineStr">
        <is>
          <t>Yes</t>
        </is>
      </c>
      <c r="T197" s="27" t="n"/>
      <c r="U197" s="28" t="inlineStr">
        <is>
          <t>No</t>
        </is>
      </c>
      <c r="V197" s="29">
        <f>IF(N197="","",IF(Q197="Yes","❌ Disc",IF(P197="No","⚠ Missing",IF(S197="Yes","✓ OK","⚠ Check"))))</f>
        <v/>
      </c>
      <c r="W197" s="65" t="n">
        <v>46248</v>
      </c>
      <c r="X197" s="30" t="inlineStr">
        <is>
          <t>Sunil CR</t>
        </is>
      </c>
      <c r="Y197" s="30" t="inlineStr">
        <is>
          <t>Yes</t>
        </is>
      </c>
      <c r="Z197" s="30" t="n"/>
      <c r="AA197" s="30" t="inlineStr">
        <is>
          <t>Good finish</t>
        </is>
      </c>
      <c r="AB197" s="30" t="inlineStr">
        <is>
          <t>Yes</t>
        </is>
      </c>
      <c r="AC197" s="27" t="n"/>
      <c r="AD197" s="31" t="inlineStr">
        <is>
          <t>No</t>
        </is>
      </c>
      <c r="AE197" s="32">
        <f>IF(W197="","",IF(Z197="Yes","❌ Disc",IF(Y197="No","⚠ Missing",IF(AB197="Yes","✓ OK","⚠ Check"))))</f>
        <v/>
      </c>
      <c r="AF197" s="33" t="n"/>
      <c r="AG197" s="33" t="n"/>
      <c r="AH197" s="33" t="n"/>
      <c r="AI197" s="33" t="n"/>
      <c r="AJ197" s="33" t="n"/>
      <c r="AK197" s="33" t="n"/>
      <c r="AL197" s="27" t="n"/>
      <c r="AM197" s="34" t="n"/>
      <c r="AN197" s="35">
        <f>IF(AF197="","",IF(AI197="Yes","❌ Disc",IF(AH197="No","⚠ Missing",IF(AK197="Yes","✓ OK","⚠ Check"))))</f>
        <v/>
      </c>
      <c r="AO197" s="36" t="n"/>
      <c r="AP197" s="36" t="n"/>
      <c r="AQ197" s="36" t="n"/>
      <c r="AR197" s="36" t="n"/>
      <c r="AS197" s="36" t="n"/>
      <c r="AT197" s="36" t="n"/>
      <c r="AU197" s="27" t="n"/>
      <c r="AV197" s="37" t="n"/>
      <c r="AW197" s="38">
        <f>IF(AO197="","",IF(AR197="Yes","❌ Disc",IF(AQ197="No","⚠ Missing",IF(AT197="Yes","✓ OK","⚠ Check"))))</f>
        <v/>
      </c>
    </row>
    <row r="198" ht="18" customHeight="1" s="46">
      <c r="A198" s="39" t="n">
        <v>194</v>
      </c>
      <c r="B198" s="40" t="inlineStr">
        <is>
          <t>Phantom_115</t>
        </is>
      </c>
      <c r="C198" s="41" t="inlineStr">
        <is>
          <t>Sarom - Phantom Fabric(Diamond) - Phantom_115</t>
        </is>
      </c>
      <c r="D198" s="39" t="inlineStr">
        <is>
          <t>Sarom</t>
        </is>
      </c>
      <c r="E198" s="43" t="n">
        <v>46125</v>
      </c>
      <c r="F198" s="26" t="inlineStr">
        <is>
          <t>Sunil CR</t>
        </is>
      </c>
      <c r="G198" s="26" t="inlineStr">
        <is>
          <t>Yes</t>
        </is>
      </c>
      <c r="H198" s="26" t="inlineStr">
        <is>
          <t>No</t>
        </is>
      </c>
      <c r="I198" s="26" t="inlineStr">
        <is>
          <t>Good finish</t>
        </is>
      </c>
      <c r="J198" s="26" t="inlineStr">
        <is>
          <t>Yes</t>
        </is>
      </c>
      <c r="K198" s="27" t="n"/>
      <c r="L198" s="28" t="inlineStr">
        <is>
          <t>No</t>
        </is>
      </c>
      <c r="M198" s="29">
        <f>IF(E198="","",IF(H198="Yes","❌ Disc",IF(G198="No","⚠ Missing",IF(J198="Yes","✓ OK","⚠ Check"))))</f>
        <v/>
      </c>
      <c r="N198" s="43" t="n">
        <v>46139</v>
      </c>
      <c r="O198" s="26" t="inlineStr">
        <is>
          <t>Sunil CR</t>
        </is>
      </c>
      <c r="P198" s="26" t="inlineStr">
        <is>
          <t>Yes</t>
        </is>
      </c>
      <c r="Q198" s="26" t="inlineStr">
        <is>
          <t>No</t>
        </is>
      </c>
      <c r="R198" s="26" t="inlineStr">
        <is>
          <t>Good finish</t>
        </is>
      </c>
      <c r="S198" s="26" t="inlineStr">
        <is>
          <t>Yes</t>
        </is>
      </c>
      <c r="T198" s="27" t="n"/>
      <c r="U198" s="28" t="inlineStr">
        <is>
          <t>No</t>
        </is>
      </c>
      <c r="V198" s="29">
        <f>IF(N198="","",IF(Q198="Yes","❌ Disc",IF(P198="No","⚠ Missing",IF(S198="Yes","✓ OK","⚠ Check"))))</f>
        <v/>
      </c>
      <c r="W198" s="65" t="n">
        <v>46248</v>
      </c>
      <c r="X198" s="30" t="inlineStr">
        <is>
          <t>Sunil CR</t>
        </is>
      </c>
      <c r="Y198" s="30" t="inlineStr">
        <is>
          <t>Yes</t>
        </is>
      </c>
      <c r="Z198" s="30" t="n"/>
      <c r="AA198" s="30" t="inlineStr">
        <is>
          <t>Good finish</t>
        </is>
      </c>
      <c r="AB198" s="30" t="inlineStr">
        <is>
          <t>Yes</t>
        </is>
      </c>
      <c r="AC198" s="27" t="n"/>
      <c r="AD198" s="31" t="inlineStr">
        <is>
          <t>No</t>
        </is>
      </c>
      <c r="AE198" s="32">
        <f>IF(W198="","",IF(Z198="Yes","❌ Disc",IF(Y198="No","⚠ Missing",IF(AB198="Yes","✓ OK","⚠ Check"))))</f>
        <v/>
      </c>
      <c r="AF198" s="33" t="n"/>
      <c r="AG198" s="33" t="n"/>
      <c r="AH198" s="33" t="n"/>
      <c r="AI198" s="33" t="n"/>
      <c r="AJ198" s="33" t="n"/>
      <c r="AK198" s="33" t="n"/>
      <c r="AL198" s="27" t="n"/>
      <c r="AM198" s="34" t="n"/>
      <c r="AN198" s="35">
        <f>IF(AF198="","",IF(AI198="Yes","❌ Disc",IF(AH198="No","⚠ Missing",IF(AK198="Yes","✓ OK","⚠ Check"))))</f>
        <v/>
      </c>
      <c r="AO198" s="36" t="n"/>
      <c r="AP198" s="36" t="n"/>
      <c r="AQ198" s="36" t="n"/>
      <c r="AR198" s="36" t="n"/>
      <c r="AS198" s="36" t="n"/>
      <c r="AT198" s="36" t="n"/>
      <c r="AU198" s="27" t="n"/>
      <c r="AV198" s="37" t="n"/>
      <c r="AW198" s="38">
        <f>IF(AO198="","",IF(AR198="Yes","❌ Disc",IF(AQ198="No","⚠ Missing",IF(AT198="Yes","✓ OK","⚠ Check"))))</f>
        <v/>
      </c>
    </row>
    <row r="199" ht="18" customHeight="1" s="46">
      <c r="A199" s="23" t="n">
        <v>195</v>
      </c>
      <c r="B199" s="24" t="inlineStr">
        <is>
          <t>Phantom_116</t>
        </is>
      </c>
      <c r="C199" s="25" t="inlineStr">
        <is>
          <t>Sarom - Phantom Fabric(Diamond) - Phantom_116</t>
        </is>
      </c>
      <c r="D199" s="23" t="inlineStr">
        <is>
          <t>Sarom</t>
        </is>
      </c>
      <c r="E199" s="43" t="n">
        <v>46125</v>
      </c>
      <c r="F199" s="26" t="inlineStr">
        <is>
          <t>Sunil CR</t>
        </is>
      </c>
      <c r="G199" s="26" t="inlineStr">
        <is>
          <t>Yes</t>
        </is>
      </c>
      <c r="H199" s="26" t="inlineStr">
        <is>
          <t>No</t>
        </is>
      </c>
      <c r="I199" s="26" t="inlineStr">
        <is>
          <t>Good finish</t>
        </is>
      </c>
      <c r="J199" s="26" t="inlineStr">
        <is>
          <t>Yes</t>
        </is>
      </c>
      <c r="K199" s="27" t="n"/>
      <c r="L199" s="28" t="inlineStr">
        <is>
          <t>No</t>
        </is>
      </c>
      <c r="M199" s="29">
        <f>IF(E199="","",IF(H199="Yes","❌ Disc",IF(G199="No","⚠ Missing",IF(J199="Yes","✓ OK","⚠ Check"))))</f>
        <v/>
      </c>
      <c r="N199" s="43" t="n">
        <v>46139</v>
      </c>
      <c r="O199" s="26" t="inlineStr">
        <is>
          <t>Sunil CR</t>
        </is>
      </c>
      <c r="P199" s="26" t="inlineStr">
        <is>
          <t>Yes</t>
        </is>
      </c>
      <c r="Q199" s="26" t="inlineStr">
        <is>
          <t>No</t>
        </is>
      </c>
      <c r="R199" s="26" t="inlineStr">
        <is>
          <t>Good finish</t>
        </is>
      </c>
      <c r="S199" s="26" t="inlineStr">
        <is>
          <t>Yes</t>
        </is>
      </c>
      <c r="T199" s="27" t="n"/>
      <c r="U199" s="28" t="inlineStr">
        <is>
          <t>No</t>
        </is>
      </c>
      <c r="V199" s="29">
        <f>IF(N199="","",IF(Q199="Yes","❌ Disc",IF(P199="No","⚠ Missing",IF(S199="Yes","✓ OK","⚠ Check"))))</f>
        <v/>
      </c>
      <c r="W199" s="65" t="n">
        <v>46248</v>
      </c>
      <c r="X199" s="30" t="inlineStr">
        <is>
          <t>Sunil CR</t>
        </is>
      </c>
      <c r="Y199" s="30" t="inlineStr">
        <is>
          <t>Yes</t>
        </is>
      </c>
      <c r="Z199" s="30" t="n"/>
      <c r="AA199" s="30" t="inlineStr">
        <is>
          <t>Good finish</t>
        </is>
      </c>
      <c r="AB199" s="30" t="inlineStr">
        <is>
          <t>Yes</t>
        </is>
      </c>
      <c r="AC199" s="27" t="n"/>
      <c r="AD199" s="31" t="inlineStr">
        <is>
          <t>No</t>
        </is>
      </c>
      <c r="AE199" s="32">
        <f>IF(W199="","",IF(Z199="Yes","❌ Disc",IF(Y199="No","⚠ Missing",IF(AB199="Yes","✓ OK","⚠ Check"))))</f>
        <v/>
      </c>
      <c r="AF199" s="33" t="n"/>
      <c r="AG199" s="33" t="n"/>
      <c r="AH199" s="33" t="n"/>
      <c r="AI199" s="33" t="n"/>
      <c r="AJ199" s="33" t="n"/>
      <c r="AK199" s="33" t="n"/>
      <c r="AL199" s="27" t="n"/>
      <c r="AM199" s="34" t="n"/>
      <c r="AN199" s="35">
        <f>IF(AF199="","",IF(AI199="Yes","❌ Disc",IF(AH199="No","⚠ Missing",IF(AK199="Yes","✓ OK","⚠ Check"))))</f>
        <v/>
      </c>
      <c r="AO199" s="36" t="n"/>
      <c r="AP199" s="36" t="n"/>
      <c r="AQ199" s="36" t="n"/>
      <c r="AR199" s="36" t="n"/>
      <c r="AS199" s="36" t="n"/>
      <c r="AT199" s="36" t="n"/>
      <c r="AU199" s="27" t="n"/>
      <c r="AV199" s="37" t="n"/>
      <c r="AW199" s="38">
        <f>IF(AO199="","",IF(AR199="Yes","❌ Disc",IF(AQ199="No","⚠ Missing",IF(AT199="Yes","✓ OK","⚠ Check"))))</f>
        <v/>
      </c>
    </row>
    <row r="200" ht="18" customHeight="1" s="46">
      <c r="A200" s="39" t="n">
        <v>196</v>
      </c>
      <c r="B200" s="40" t="inlineStr">
        <is>
          <t>Phantom_117</t>
        </is>
      </c>
      <c r="C200" s="41" t="inlineStr">
        <is>
          <t>Sarom - Phantom Fabric(Diamond) - Phantom_117</t>
        </is>
      </c>
      <c r="D200" s="39" t="inlineStr">
        <is>
          <t>Sarom</t>
        </is>
      </c>
      <c r="E200" s="43" t="n">
        <v>46125</v>
      </c>
      <c r="F200" s="26" t="inlineStr">
        <is>
          <t>Sunil CR</t>
        </is>
      </c>
      <c r="G200" s="26" t="inlineStr">
        <is>
          <t>Yes</t>
        </is>
      </c>
      <c r="H200" s="26" t="inlineStr">
        <is>
          <t>No</t>
        </is>
      </c>
      <c r="I200" s="26" t="inlineStr">
        <is>
          <t>Good finish</t>
        </is>
      </c>
      <c r="J200" s="26" t="inlineStr">
        <is>
          <t>Yes</t>
        </is>
      </c>
      <c r="K200" s="27" t="n"/>
      <c r="L200" s="28" t="inlineStr">
        <is>
          <t>No</t>
        </is>
      </c>
      <c r="M200" s="29">
        <f>IF(E200="","",IF(H200="Yes","❌ Disc",IF(G200="No","⚠ Missing",IF(J200="Yes","✓ OK","⚠ Check"))))</f>
        <v/>
      </c>
      <c r="N200" s="43" t="n">
        <v>46139</v>
      </c>
      <c r="O200" s="26" t="inlineStr">
        <is>
          <t>Sunil CR</t>
        </is>
      </c>
      <c r="P200" s="26" t="inlineStr">
        <is>
          <t>Yes</t>
        </is>
      </c>
      <c r="Q200" s="26" t="inlineStr">
        <is>
          <t>No</t>
        </is>
      </c>
      <c r="R200" s="26" t="inlineStr">
        <is>
          <t>Good finish</t>
        </is>
      </c>
      <c r="S200" s="26" t="inlineStr">
        <is>
          <t>Yes</t>
        </is>
      </c>
      <c r="T200" s="27" t="n"/>
      <c r="U200" s="28" t="inlineStr">
        <is>
          <t>No</t>
        </is>
      </c>
      <c r="V200" s="29">
        <f>IF(N200="","",IF(Q200="Yes","❌ Disc",IF(P200="No","⚠ Missing",IF(S200="Yes","✓ OK","⚠ Check"))))</f>
        <v/>
      </c>
      <c r="W200" s="65" t="n">
        <v>46248</v>
      </c>
      <c r="X200" s="30" t="inlineStr">
        <is>
          <t>Sunil CR</t>
        </is>
      </c>
      <c r="Y200" s="30" t="inlineStr">
        <is>
          <t>Yes</t>
        </is>
      </c>
      <c r="Z200" s="30" t="n"/>
      <c r="AA200" s="30" t="inlineStr">
        <is>
          <t>Good finish</t>
        </is>
      </c>
      <c r="AB200" s="30" t="inlineStr">
        <is>
          <t>Yes</t>
        </is>
      </c>
      <c r="AC200" s="27" t="n"/>
      <c r="AD200" s="31" t="inlineStr">
        <is>
          <t>No</t>
        </is>
      </c>
      <c r="AE200" s="32">
        <f>IF(W200="","",IF(Z200="Yes","❌ Disc",IF(Y200="No","⚠ Missing",IF(AB200="Yes","✓ OK","⚠ Check"))))</f>
        <v/>
      </c>
      <c r="AF200" s="33" t="n"/>
      <c r="AG200" s="33" t="n"/>
      <c r="AH200" s="33" t="n"/>
      <c r="AI200" s="33" t="n"/>
      <c r="AJ200" s="33" t="n"/>
      <c r="AK200" s="33" t="n"/>
      <c r="AL200" s="27" t="n"/>
      <c r="AM200" s="34" t="n"/>
      <c r="AN200" s="35">
        <f>IF(AF200="","",IF(AI200="Yes","❌ Disc",IF(AH200="No","⚠ Missing",IF(AK200="Yes","✓ OK","⚠ Check"))))</f>
        <v/>
      </c>
      <c r="AO200" s="36" t="n"/>
      <c r="AP200" s="36" t="n"/>
      <c r="AQ200" s="36" t="n"/>
      <c r="AR200" s="36" t="n"/>
      <c r="AS200" s="36" t="n"/>
      <c r="AT200" s="36" t="n"/>
      <c r="AU200" s="27" t="n"/>
      <c r="AV200" s="37" t="n"/>
      <c r="AW200" s="38">
        <f>IF(AO200="","",IF(AR200="Yes","❌ Disc",IF(AQ200="No","⚠ Missing",IF(AT200="Yes","✓ OK","⚠ Check"))))</f>
        <v/>
      </c>
    </row>
    <row r="201" ht="18" customHeight="1" s="46">
      <c r="A201" s="23" t="n">
        <v>197</v>
      </c>
      <c r="B201" s="24" t="inlineStr">
        <is>
          <t>Phantom_118</t>
        </is>
      </c>
      <c r="C201" s="25" t="inlineStr">
        <is>
          <t>Sarom - Phantom Fabric(Diamond) - Phantom_118</t>
        </is>
      </c>
      <c r="D201" s="23" t="inlineStr">
        <is>
          <t>Sarom</t>
        </is>
      </c>
      <c r="E201" s="43" t="n">
        <v>46125</v>
      </c>
      <c r="F201" s="26" t="inlineStr">
        <is>
          <t>Sunil CR</t>
        </is>
      </c>
      <c r="G201" s="26" t="inlineStr">
        <is>
          <t>Yes</t>
        </is>
      </c>
      <c r="H201" s="26" t="inlineStr">
        <is>
          <t>No</t>
        </is>
      </c>
      <c r="I201" s="26" t="inlineStr">
        <is>
          <t>Good finish</t>
        </is>
      </c>
      <c r="J201" s="26" t="inlineStr">
        <is>
          <t>Yes</t>
        </is>
      </c>
      <c r="K201" s="27" t="n"/>
      <c r="L201" s="28" t="inlineStr">
        <is>
          <t>No</t>
        </is>
      </c>
      <c r="M201" s="29">
        <f>IF(E201="","",IF(H201="Yes","❌ Disc",IF(G201="No","⚠ Missing",IF(J201="Yes","✓ OK","⚠ Check"))))</f>
        <v/>
      </c>
      <c r="N201" s="43" t="n">
        <v>46139</v>
      </c>
      <c r="O201" s="26" t="inlineStr">
        <is>
          <t>Sunil CR</t>
        </is>
      </c>
      <c r="P201" s="26" t="inlineStr">
        <is>
          <t>Yes</t>
        </is>
      </c>
      <c r="Q201" s="26" t="inlineStr">
        <is>
          <t>No</t>
        </is>
      </c>
      <c r="R201" s="26" t="inlineStr">
        <is>
          <t>Good finish</t>
        </is>
      </c>
      <c r="S201" s="26" t="inlineStr">
        <is>
          <t>Yes</t>
        </is>
      </c>
      <c r="T201" s="27" t="n"/>
      <c r="U201" s="28" t="inlineStr">
        <is>
          <t>No</t>
        </is>
      </c>
      <c r="V201" s="29">
        <f>IF(N201="","",IF(Q201="Yes","❌ Disc",IF(P201="No","⚠ Missing",IF(S201="Yes","✓ OK","⚠ Check"))))</f>
        <v/>
      </c>
      <c r="W201" s="65" t="n">
        <v>46248</v>
      </c>
      <c r="X201" s="30" t="inlineStr">
        <is>
          <t>Sunil CR</t>
        </is>
      </c>
      <c r="Y201" s="30" t="inlineStr">
        <is>
          <t>Yes</t>
        </is>
      </c>
      <c r="Z201" s="30" t="n"/>
      <c r="AA201" s="30" t="inlineStr">
        <is>
          <t>Good finish</t>
        </is>
      </c>
      <c r="AB201" s="30" t="inlineStr">
        <is>
          <t>Yes</t>
        </is>
      </c>
      <c r="AC201" s="27" t="n"/>
      <c r="AD201" s="31" t="inlineStr">
        <is>
          <t>No</t>
        </is>
      </c>
      <c r="AE201" s="32">
        <f>IF(W201="","",IF(Z201="Yes","❌ Disc",IF(Y201="No","⚠ Missing",IF(AB201="Yes","✓ OK","⚠ Check"))))</f>
        <v/>
      </c>
      <c r="AF201" s="33" t="n"/>
      <c r="AG201" s="33" t="n"/>
      <c r="AH201" s="33" t="n"/>
      <c r="AI201" s="33" t="n"/>
      <c r="AJ201" s="33" t="n"/>
      <c r="AK201" s="33" t="n"/>
      <c r="AL201" s="27" t="n"/>
      <c r="AM201" s="34" t="n"/>
      <c r="AN201" s="35">
        <f>IF(AF201="","",IF(AI201="Yes","❌ Disc",IF(AH201="No","⚠ Missing",IF(AK201="Yes","✓ OK","⚠ Check"))))</f>
        <v/>
      </c>
      <c r="AO201" s="36" t="n"/>
      <c r="AP201" s="36" t="n"/>
      <c r="AQ201" s="36" t="n"/>
      <c r="AR201" s="36" t="n"/>
      <c r="AS201" s="36" t="n"/>
      <c r="AT201" s="36" t="n"/>
      <c r="AU201" s="27" t="n"/>
      <c r="AV201" s="37" t="n"/>
      <c r="AW201" s="38">
        <f>IF(AO201="","",IF(AR201="Yes","❌ Disc",IF(AQ201="No","⚠ Missing",IF(AT201="Yes","✓ OK","⚠ Check"))))</f>
        <v/>
      </c>
    </row>
    <row r="202" ht="18" customHeight="1" s="46">
      <c r="A202" s="39" t="n">
        <v>198</v>
      </c>
      <c r="B202" s="40" t="inlineStr">
        <is>
          <t>Phantom_119</t>
        </is>
      </c>
      <c r="C202" s="41" t="inlineStr">
        <is>
          <t>Sarom - Phantom Fabric(Diamond) - Phantom_119</t>
        </is>
      </c>
      <c r="D202" s="39" t="inlineStr">
        <is>
          <t>Sarom</t>
        </is>
      </c>
      <c r="E202" s="43" t="n">
        <v>46125</v>
      </c>
      <c r="F202" s="26" t="inlineStr">
        <is>
          <t>Sunil CR</t>
        </is>
      </c>
      <c r="G202" s="26" t="inlineStr">
        <is>
          <t>Yes</t>
        </is>
      </c>
      <c r="H202" s="26" t="inlineStr">
        <is>
          <t>No</t>
        </is>
      </c>
      <c r="I202" s="26" t="inlineStr">
        <is>
          <t>Good finish</t>
        </is>
      </c>
      <c r="J202" s="26" t="inlineStr">
        <is>
          <t>Yes</t>
        </is>
      </c>
      <c r="K202" s="27" t="n"/>
      <c r="L202" s="28" t="inlineStr">
        <is>
          <t>No</t>
        </is>
      </c>
      <c r="M202" s="29">
        <f>IF(E202="","",IF(H202="Yes","❌ Disc",IF(G202="No","⚠ Missing",IF(J202="Yes","✓ OK","⚠ Check"))))</f>
        <v/>
      </c>
      <c r="N202" s="43" t="n">
        <v>46139</v>
      </c>
      <c r="O202" s="26" t="inlineStr">
        <is>
          <t>Sunil CR</t>
        </is>
      </c>
      <c r="P202" s="26" t="inlineStr">
        <is>
          <t>Yes</t>
        </is>
      </c>
      <c r="Q202" s="26" t="inlineStr">
        <is>
          <t>No</t>
        </is>
      </c>
      <c r="R202" s="26" t="inlineStr">
        <is>
          <t>Good finish</t>
        </is>
      </c>
      <c r="S202" s="26" t="inlineStr">
        <is>
          <t>Yes</t>
        </is>
      </c>
      <c r="T202" s="27" t="n"/>
      <c r="U202" s="28" t="inlineStr">
        <is>
          <t>No</t>
        </is>
      </c>
      <c r="V202" s="29">
        <f>IF(N202="","",IF(Q202="Yes","❌ Disc",IF(P202="No","⚠ Missing",IF(S202="Yes","✓ OK","⚠ Check"))))</f>
        <v/>
      </c>
      <c r="W202" s="65" t="n">
        <v>46248</v>
      </c>
      <c r="X202" s="30" t="inlineStr">
        <is>
          <t>Sunil CR</t>
        </is>
      </c>
      <c r="Y202" s="30" t="inlineStr">
        <is>
          <t>Yes</t>
        </is>
      </c>
      <c r="Z202" s="30" t="n"/>
      <c r="AA202" s="30" t="inlineStr">
        <is>
          <t>Good finish</t>
        </is>
      </c>
      <c r="AB202" s="30" t="inlineStr">
        <is>
          <t>Yes</t>
        </is>
      </c>
      <c r="AC202" s="27" t="n"/>
      <c r="AD202" s="31" t="inlineStr">
        <is>
          <t>No</t>
        </is>
      </c>
      <c r="AE202" s="32">
        <f>IF(W202="","",IF(Z202="Yes","❌ Disc",IF(Y202="No","⚠ Missing",IF(AB202="Yes","✓ OK","⚠ Check"))))</f>
        <v/>
      </c>
      <c r="AF202" s="33" t="n"/>
      <c r="AG202" s="33" t="n"/>
      <c r="AH202" s="33" t="n"/>
      <c r="AI202" s="33" t="n"/>
      <c r="AJ202" s="33" t="n"/>
      <c r="AK202" s="33" t="n"/>
      <c r="AL202" s="27" t="n"/>
      <c r="AM202" s="34" t="n"/>
      <c r="AN202" s="35">
        <f>IF(AF202="","",IF(AI202="Yes","❌ Disc",IF(AH202="No","⚠ Missing",IF(AK202="Yes","✓ OK","⚠ Check"))))</f>
        <v/>
      </c>
      <c r="AO202" s="36" t="n"/>
      <c r="AP202" s="36" t="n"/>
      <c r="AQ202" s="36" t="n"/>
      <c r="AR202" s="36" t="n"/>
      <c r="AS202" s="36" t="n"/>
      <c r="AT202" s="36" t="n"/>
      <c r="AU202" s="27" t="n"/>
      <c r="AV202" s="37" t="n"/>
      <c r="AW202" s="38">
        <f>IF(AO202="","",IF(AR202="Yes","❌ Disc",IF(AQ202="No","⚠ Missing",IF(AT202="Yes","✓ OK","⚠ Check"))))</f>
        <v/>
      </c>
    </row>
    <row r="203" ht="18" customHeight="1" s="46">
      <c r="A203" s="23" t="n">
        <v>199</v>
      </c>
      <c r="B203" s="24" t="inlineStr">
        <is>
          <t>Phantom_120</t>
        </is>
      </c>
      <c r="C203" s="25" t="inlineStr">
        <is>
          <t>Sarom - Phantom Fabric(Diamond) - Phantom_120</t>
        </is>
      </c>
      <c r="D203" s="23" t="inlineStr">
        <is>
          <t>Sarom</t>
        </is>
      </c>
      <c r="E203" s="43" t="n">
        <v>46125</v>
      </c>
      <c r="F203" s="26" t="inlineStr">
        <is>
          <t>Sunil CR</t>
        </is>
      </c>
      <c r="G203" s="26" t="inlineStr">
        <is>
          <t>Yes</t>
        </is>
      </c>
      <c r="H203" s="26" t="inlineStr">
        <is>
          <t>No</t>
        </is>
      </c>
      <c r="I203" s="26" t="inlineStr">
        <is>
          <t>Good finish</t>
        </is>
      </c>
      <c r="J203" s="26" t="inlineStr">
        <is>
          <t>Yes</t>
        </is>
      </c>
      <c r="K203" s="27" t="n"/>
      <c r="L203" s="28" t="inlineStr">
        <is>
          <t>No</t>
        </is>
      </c>
      <c r="M203" s="29">
        <f>IF(E203="","",IF(H203="Yes","❌ Disc",IF(G203="No","⚠ Missing",IF(J203="Yes","✓ OK","⚠ Check"))))</f>
        <v/>
      </c>
      <c r="N203" s="43" t="n">
        <v>46139</v>
      </c>
      <c r="O203" s="26" t="inlineStr">
        <is>
          <t>Sunil CR</t>
        </is>
      </c>
      <c r="P203" s="26" t="inlineStr">
        <is>
          <t>Yes</t>
        </is>
      </c>
      <c r="Q203" s="26" t="inlineStr">
        <is>
          <t>No</t>
        </is>
      </c>
      <c r="R203" s="26" t="inlineStr">
        <is>
          <t>Good finish</t>
        </is>
      </c>
      <c r="S203" s="26" t="inlineStr">
        <is>
          <t>Yes</t>
        </is>
      </c>
      <c r="T203" s="27" t="n"/>
      <c r="U203" s="28" t="inlineStr">
        <is>
          <t>No</t>
        </is>
      </c>
      <c r="V203" s="29">
        <f>IF(N203="","",IF(Q203="Yes","❌ Disc",IF(P203="No","⚠ Missing",IF(S203="Yes","✓ OK","⚠ Check"))))</f>
        <v/>
      </c>
      <c r="W203" s="65" t="n">
        <v>46248</v>
      </c>
      <c r="X203" s="30" t="inlineStr">
        <is>
          <t>Sunil CR</t>
        </is>
      </c>
      <c r="Y203" s="30" t="inlineStr">
        <is>
          <t>Yes</t>
        </is>
      </c>
      <c r="Z203" s="30" t="n"/>
      <c r="AA203" s="30" t="inlineStr">
        <is>
          <t>Good finish</t>
        </is>
      </c>
      <c r="AB203" s="30" t="inlineStr">
        <is>
          <t>Yes</t>
        </is>
      </c>
      <c r="AC203" s="27" t="n"/>
      <c r="AD203" s="31" t="inlineStr">
        <is>
          <t>No</t>
        </is>
      </c>
      <c r="AE203" s="32">
        <f>IF(W203="","",IF(Z203="Yes","❌ Disc",IF(Y203="No","⚠ Missing",IF(AB203="Yes","✓ OK","⚠ Check"))))</f>
        <v/>
      </c>
      <c r="AF203" s="33" t="n"/>
      <c r="AG203" s="33" t="n"/>
      <c r="AH203" s="33" t="n"/>
      <c r="AI203" s="33" t="n"/>
      <c r="AJ203" s="33" t="n"/>
      <c r="AK203" s="33" t="n"/>
      <c r="AL203" s="27" t="n"/>
      <c r="AM203" s="34" t="n"/>
      <c r="AN203" s="35">
        <f>IF(AF203="","",IF(AI203="Yes","❌ Disc",IF(AH203="No","⚠ Missing",IF(AK203="Yes","✓ OK","⚠ Check"))))</f>
        <v/>
      </c>
      <c r="AO203" s="36" t="n"/>
      <c r="AP203" s="36" t="n"/>
      <c r="AQ203" s="36" t="n"/>
      <c r="AR203" s="36" t="n"/>
      <c r="AS203" s="36" t="n"/>
      <c r="AT203" s="36" t="n"/>
      <c r="AU203" s="27" t="n"/>
      <c r="AV203" s="37" t="n"/>
      <c r="AW203" s="38">
        <f>IF(AO203="","",IF(AR203="Yes","❌ Disc",IF(AQ203="No","⚠ Missing",IF(AT203="Yes","✓ OK","⚠ Check"))))</f>
        <v/>
      </c>
    </row>
    <row r="204" ht="18" customHeight="1" s="46">
      <c r="A204" s="39" t="n">
        <v>200</v>
      </c>
      <c r="B204" s="40" t="inlineStr">
        <is>
          <t>Phantom_121</t>
        </is>
      </c>
      <c r="C204" s="41" t="inlineStr">
        <is>
          <t>Sarom - Phantom Fabric(Diamond) - Phantom_121</t>
        </is>
      </c>
      <c r="D204" s="39" t="inlineStr">
        <is>
          <t>Sarom</t>
        </is>
      </c>
      <c r="E204" s="43" t="n">
        <v>46125</v>
      </c>
      <c r="F204" s="26" t="inlineStr">
        <is>
          <t>Sunil CR</t>
        </is>
      </c>
      <c r="G204" s="26" t="inlineStr">
        <is>
          <t>Yes</t>
        </is>
      </c>
      <c r="H204" s="26" t="inlineStr">
        <is>
          <t>No</t>
        </is>
      </c>
      <c r="I204" s="26" t="inlineStr">
        <is>
          <t>Good finish</t>
        </is>
      </c>
      <c r="J204" s="26" t="inlineStr">
        <is>
          <t>Yes</t>
        </is>
      </c>
      <c r="K204" s="27" t="n"/>
      <c r="L204" s="28" t="inlineStr">
        <is>
          <t>No</t>
        </is>
      </c>
      <c r="M204" s="29">
        <f>IF(E204="","",IF(H204="Yes","❌ Disc",IF(G204="No","⚠ Missing",IF(J204="Yes","✓ OK","⚠ Check"))))</f>
        <v/>
      </c>
      <c r="N204" s="43" t="n">
        <v>46139</v>
      </c>
      <c r="O204" s="26" t="inlineStr">
        <is>
          <t>Sunil CR</t>
        </is>
      </c>
      <c r="P204" s="26" t="inlineStr">
        <is>
          <t>Yes</t>
        </is>
      </c>
      <c r="Q204" s="26" t="inlineStr">
        <is>
          <t>No</t>
        </is>
      </c>
      <c r="R204" s="26" t="inlineStr">
        <is>
          <t>Good finish</t>
        </is>
      </c>
      <c r="S204" s="26" t="inlineStr">
        <is>
          <t>Yes</t>
        </is>
      </c>
      <c r="T204" s="27" t="n"/>
      <c r="U204" s="28" t="inlineStr">
        <is>
          <t>No</t>
        </is>
      </c>
      <c r="V204" s="29">
        <f>IF(N204="","",IF(Q204="Yes","❌ Disc",IF(P204="No","⚠ Missing",IF(S204="Yes","✓ OK","⚠ Check"))))</f>
        <v/>
      </c>
      <c r="W204" s="65" t="n">
        <v>46248</v>
      </c>
      <c r="X204" s="30" t="inlineStr">
        <is>
          <t>Sunil CR</t>
        </is>
      </c>
      <c r="Y204" s="30" t="inlineStr">
        <is>
          <t>Yes</t>
        </is>
      </c>
      <c r="Z204" s="30" t="n"/>
      <c r="AA204" s="30" t="inlineStr">
        <is>
          <t>Good finish</t>
        </is>
      </c>
      <c r="AB204" s="30" t="inlineStr">
        <is>
          <t>Yes</t>
        </is>
      </c>
      <c r="AC204" s="27" t="n"/>
      <c r="AD204" s="31" t="inlineStr">
        <is>
          <t>No</t>
        </is>
      </c>
      <c r="AE204" s="32">
        <f>IF(W204="","",IF(Z204="Yes","❌ Disc",IF(Y204="No","⚠ Missing",IF(AB204="Yes","✓ OK","⚠ Check"))))</f>
        <v/>
      </c>
      <c r="AF204" s="33" t="n"/>
      <c r="AG204" s="33" t="n"/>
      <c r="AH204" s="33" t="n"/>
      <c r="AI204" s="33" t="n"/>
      <c r="AJ204" s="33" t="n"/>
      <c r="AK204" s="33" t="n"/>
      <c r="AL204" s="27" t="n"/>
      <c r="AM204" s="34" t="n"/>
      <c r="AN204" s="35">
        <f>IF(AF204="","",IF(AI204="Yes","❌ Disc",IF(AH204="No","⚠ Missing",IF(AK204="Yes","✓ OK","⚠ Check"))))</f>
        <v/>
      </c>
      <c r="AO204" s="36" t="n"/>
      <c r="AP204" s="36" t="n"/>
      <c r="AQ204" s="36" t="n"/>
      <c r="AR204" s="36" t="n"/>
      <c r="AS204" s="36" t="n"/>
      <c r="AT204" s="36" t="n"/>
      <c r="AU204" s="27" t="n"/>
      <c r="AV204" s="37" t="n"/>
      <c r="AW204" s="38">
        <f>IF(AO204="","",IF(AR204="Yes","❌ Disc",IF(AQ204="No","⚠ Missing",IF(AT204="Yes","✓ OK","⚠ Check"))))</f>
        <v/>
      </c>
    </row>
    <row r="205" ht="18" customHeight="1" s="46">
      <c r="A205" s="23" t="n">
        <v>201</v>
      </c>
      <c r="B205" s="24" t="inlineStr">
        <is>
          <t>Phantom_122</t>
        </is>
      </c>
      <c r="C205" s="25" t="inlineStr">
        <is>
          <t>Sarom - Phantom Fabric(Diamond) - Phantom_122</t>
        </is>
      </c>
      <c r="D205" s="23" t="inlineStr">
        <is>
          <t>Sarom</t>
        </is>
      </c>
      <c r="E205" s="43" t="n">
        <v>46125</v>
      </c>
      <c r="F205" s="26" t="inlineStr">
        <is>
          <t>Sunil CR</t>
        </is>
      </c>
      <c r="G205" s="26" t="inlineStr">
        <is>
          <t>Yes</t>
        </is>
      </c>
      <c r="H205" s="26" t="inlineStr">
        <is>
          <t>No</t>
        </is>
      </c>
      <c r="I205" s="26" t="inlineStr">
        <is>
          <t>Good finish</t>
        </is>
      </c>
      <c r="J205" s="26" t="inlineStr">
        <is>
          <t>Yes</t>
        </is>
      </c>
      <c r="K205" s="27" t="n"/>
      <c r="L205" s="28" t="inlineStr">
        <is>
          <t>No</t>
        </is>
      </c>
      <c r="M205" s="29">
        <f>IF(E205="","",IF(H205="Yes","❌ Disc",IF(G205="No","⚠ Missing",IF(J205="Yes","✓ OK","⚠ Check"))))</f>
        <v/>
      </c>
      <c r="N205" s="43" t="n">
        <v>46139</v>
      </c>
      <c r="O205" s="26" t="inlineStr">
        <is>
          <t>Sunil CR</t>
        </is>
      </c>
      <c r="P205" s="26" t="inlineStr">
        <is>
          <t>Yes</t>
        </is>
      </c>
      <c r="Q205" s="26" t="inlineStr">
        <is>
          <t>No</t>
        </is>
      </c>
      <c r="R205" s="26" t="inlineStr">
        <is>
          <t>Good finish</t>
        </is>
      </c>
      <c r="S205" s="26" t="inlineStr">
        <is>
          <t>Yes</t>
        </is>
      </c>
      <c r="T205" s="27" t="n"/>
      <c r="U205" s="28" t="inlineStr">
        <is>
          <t>No</t>
        </is>
      </c>
      <c r="V205" s="29">
        <f>IF(N205="","",IF(Q205="Yes","❌ Disc",IF(P205="No","⚠ Missing",IF(S205="Yes","✓ OK","⚠ Check"))))</f>
        <v/>
      </c>
      <c r="W205" s="65" t="n">
        <v>46248</v>
      </c>
      <c r="X205" s="30" t="inlineStr">
        <is>
          <t>Sunil CR</t>
        </is>
      </c>
      <c r="Y205" s="30" t="inlineStr">
        <is>
          <t>Yes</t>
        </is>
      </c>
      <c r="Z205" s="30" t="n"/>
      <c r="AA205" s="30" t="inlineStr">
        <is>
          <t>Good finish</t>
        </is>
      </c>
      <c r="AB205" s="30" t="inlineStr">
        <is>
          <t>Yes</t>
        </is>
      </c>
      <c r="AC205" s="27" t="n"/>
      <c r="AD205" s="31" t="inlineStr">
        <is>
          <t>No</t>
        </is>
      </c>
      <c r="AE205" s="32">
        <f>IF(W205="","",IF(Z205="Yes","❌ Disc",IF(Y205="No","⚠ Missing",IF(AB205="Yes","✓ OK","⚠ Check"))))</f>
        <v/>
      </c>
      <c r="AF205" s="33" t="n"/>
      <c r="AG205" s="33" t="n"/>
      <c r="AH205" s="33" t="n"/>
      <c r="AI205" s="33" t="n"/>
      <c r="AJ205" s="33" t="n"/>
      <c r="AK205" s="33" t="n"/>
      <c r="AL205" s="27" t="n"/>
      <c r="AM205" s="34" t="n"/>
      <c r="AN205" s="35">
        <f>IF(AF205="","",IF(AI205="Yes","❌ Disc",IF(AH205="No","⚠ Missing",IF(AK205="Yes","✓ OK","⚠ Check"))))</f>
        <v/>
      </c>
      <c r="AO205" s="36" t="n"/>
      <c r="AP205" s="36" t="n"/>
      <c r="AQ205" s="36" t="n"/>
      <c r="AR205" s="36" t="n"/>
      <c r="AS205" s="36" t="n"/>
      <c r="AT205" s="36" t="n"/>
      <c r="AU205" s="27" t="n"/>
      <c r="AV205" s="37" t="n"/>
      <c r="AW205" s="38">
        <f>IF(AO205="","",IF(AR205="Yes","❌ Disc",IF(AQ205="No","⚠ Missing",IF(AT205="Yes","✓ OK","⚠ Check"))))</f>
        <v/>
      </c>
    </row>
    <row r="206" ht="18" customHeight="1" s="46">
      <c r="A206" s="39" t="n">
        <v>202</v>
      </c>
      <c r="B206" s="40" t="inlineStr">
        <is>
          <t>Phantom_123</t>
        </is>
      </c>
      <c r="C206" s="41" t="inlineStr">
        <is>
          <t>Sarom - Phantom Fabric(Diamond) - Phantom_123</t>
        </is>
      </c>
      <c r="D206" s="39" t="inlineStr">
        <is>
          <t>Sarom</t>
        </is>
      </c>
      <c r="E206" s="43" t="n">
        <v>46125</v>
      </c>
      <c r="F206" s="26" t="inlineStr">
        <is>
          <t>Sunil CR</t>
        </is>
      </c>
      <c r="G206" s="26" t="inlineStr">
        <is>
          <t>Yes</t>
        </is>
      </c>
      <c r="H206" s="26" t="inlineStr">
        <is>
          <t>No</t>
        </is>
      </c>
      <c r="I206" s="26" t="inlineStr">
        <is>
          <t>Good finish</t>
        </is>
      </c>
      <c r="J206" s="26" t="inlineStr">
        <is>
          <t>Yes</t>
        </is>
      </c>
      <c r="K206" s="27" t="n"/>
      <c r="L206" s="28" t="inlineStr">
        <is>
          <t>No</t>
        </is>
      </c>
      <c r="M206" s="29">
        <f>IF(E206="","",IF(H206="Yes","❌ Disc",IF(G206="No","⚠ Missing",IF(J206="Yes","✓ OK","⚠ Check"))))</f>
        <v/>
      </c>
      <c r="N206" s="43" t="n">
        <v>46139</v>
      </c>
      <c r="O206" s="26" t="inlineStr">
        <is>
          <t>Sunil CR</t>
        </is>
      </c>
      <c r="P206" s="26" t="inlineStr">
        <is>
          <t>Yes</t>
        </is>
      </c>
      <c r="Q206" s="26" t="inlineStr">
        <is>
          <t>No</t>
        </is>
      </c>
      <c r="R206" s="26" t="inlineStr">
        <is>
          <t>Good finish</t>
        </is>
      </c>
      <c r="S206" s="26" t="inlineStr">
        <is>
          <t>Yes</t>
        </is>
      </c>
      <c r="T206" s="27" t="n"/>
      <c r="U206" s="28" t="inlineStr">
        <is>
          <t>No</t>
        </is>
      </c>
      <c r="V206" s="29">
        <f>IF(N206="","",IF(Q206="Yes","❌ Disc",IF(P206="No","⚠ Missing",IF(S206="Yes","✓ OK","⚠ Check"))))</f>
        <v/>
      </c>
      <c r="W206" s="65" t="n">
        <v>46248</v>
      </c>
      <c r="X206" s="30" t="inlineStr">
        <is>
          <t>Sunil CR</t>
        </is>
      </c>
      <c r="Y206" s="30" t="inlineStr">
        <is>
          <t>Yes</t>
        </is>
      </c>
      <c r="Z206" s="30" t="n"/>
      <c r="AA206" s="30" t="inlineStr">
        <is>
          <t>Good finish</t>
        </is>
      </c>
      <c r="AB206" s="30" t="inlineStr">
        <is>
          <t>Yes</t>
        </is>
      </c>
      <c r="AC206" s="27" t="n"/>
      <c r="AD206" s="31" t="inlineStr">
        <is>
          <t>No</t>
        </is>
      </c>
      <c r="AE206" s="32">
        <f>IF(W206="","",IF(Z206="Yes","❌ Disc",IF(Y206="No","⚠ Missing",IF(AB206="Yes","✓ OK","⚠ Check"))))</f>
        <v/>
      </c>
      <c r="AF206" s="33" t="n"/>
      <c r="AG206" s="33" t="n"/>
      <c r="AH206" s="33" t="n"/>
      <c r="AI206" s="33" t="n"/>
      <c r="AJ206" s="33" t="n"/>
      <c r="AK206" s="33" t="n"/>
      <c r="AL206" s="27" t="n"/>
      <c r="AM206" s="34" t="n"/>
      <c r="AN206" s="35">
        <f>IF(AF206="","",IF(AI206="Yes","❌ Disc",IF(AH206="No","⚠ Missing",IF(AK206="Yes","✓ OK","⚠ Check"))))</f>
        <v/>
      </c>
      <c r="AO206" s="36" t="n"/>
      <c r="AP206" s="36" t="n"/>
      <c r="AQ206" s="36" t="n"/>
      <c r="AR206" s="36" t="n"/>
      <c r="AS206" s="36" t="n"/>
      <c r="AT206" s="36" t="n"/>
      <c r="AU206" s="27" t="n"/>
      <c r="AV206" s="37" t="n"/>
      <c r="AW206" s="38">
        <f>IF(AO206="","",IF(AR206="Yes","❌ Disc",IF(AQ206="No","⚠ Missing",IF(AT206="Yes","✓ OK","⚠ Check"))))</f>
        <v/>
      </c>
    </row>
    <row r="207" ht="18" customHeight="1" s="46">
      <c r="A207" s="23" t="n">
        <v>203</v>
      </c>
      <c r="B207" s="24" t="inlineStr">
        <is>
          <t>Phantom_124</t>
        </is>
      </c>
      <c r="C207" s="25" t="inlineStr">
        <is>
          <t>Sarom - Phantom Fabric(Diamond) - Phantom_124</t>
        </is>
      </c>
      <c r="D207" s="23" t="inlineStr">
        <is>
          <t>Sarom</t>
        </is>
      </c>
      <c r="E207" s="43" t="n">
        <v>46125</v>
      </c>
      <c r="F207" s="26" t="inlineStr">
        <is>
          <t>Sunil CR</t>
        </is>
      </c>
      <c r="G207" s="26" t="inlineStr">
        <is>
          <t>Yes</t>
        </is>
      </c>
      <c r="H207" s="26" t="inlineStr">
        <is>
          <t>No</t>
        </is>
      </c>
      <c r="I207" s="26" t="inlineStr">
        <is>
          <t>Good finish</t>
        </is>
      </c>
      <c r="J207" s="26" t="inlineStr">
        <is>
          <t>Yes</t>
        </is>
      </c>
      <c r="K207" s="27" t="n"/>
      <c r="L207" s="28" t="inlineStr">
        <is>
          <t>No</t>
        </is>
      </c>
      <c r="M207" s="29">
        <f>IF(E207="","",IF(H207="Yes","❌ Disc",IF(G207="No","⚠ Missing",IF(J207="Yes","✓ OK","⚠ Check"))))</f>
        <v/>
      </c>
      <c r="N207" s="43" t="n">
        <v>46139</v>
      </c>
      <c r="O207" s="26" t="inlineStr">
        <is>
          <t>Sunil CR</t>
        </is>
      </c>
      <c r="P207" s="26" t="inlineStr">
        <is>
          <t>Yes</t>
        </is>
      </c>
      <c r="Q207" s="26" t="inlineStr">
        <is>
          <t>No</t>
        </is>
      </c>
      <c r="R207" s="26" t="inlineStr">
        <is>
          <t>Good finish</t>
        </is>
      </c>
      <c r="S207" s="26" t="inlineStr">
        <is>
          <t>Yes</t>
        </is>
      </c>
      <c r="T207" s="27" t="n"/>
      <c r="U207" s="28" t="inlineStr">
        <is>
          <t>No</t>
        </is>
      </c>
      <c r="V207" s="29">
        <f>IF(N207="","",IF(Q207="Yes","❌ Disc",IF(P207="No","⚠ Missing",IF(S207="Yes","✓ OK","⚠ Check"))))</f>
        <v/>
      </c>
      <c r="W207" s="65" t="n">
        <v>46248</v>
      </c>
      <c r="X207" s="30" t="inlineStr">
        <is>
          <t>Sunil CR</t>
        </is>
      </c>
      <c r="Y207" s="30" t="inlineStr">
        <is>
          <t>Yes</t>
        </is>
      </c>
      <c r="Z207" s="30" t="n"/>
      <c r="AA207" s="30" t="inlineStr">
        <is>
          <t>Good finish</t>
        </is>
      </c>
      <c r="AB207" s="30" t="inlineStr">
        <is>
          <t>Yes</t>
        </is>
      </c>
      <c r="AC207" s="27" t="n"/>
      <c r="AD207" s="31" t="inlineStr">
        <is>
          <t>No</t>
        </is>
      </c>
      <c r="AE207" s="32">
        <f>IF(W207="","",IF(Z207="Yes","❌ Disc",IF(Y207="No","⚠ Missing",IF(AB207="Yes","✓ OK","⚠ Check"))))</f>
        <v/>
      </c>
      <c r="AF207" s="33" t="n"/>
      <c r="AG207" s="33" t="n"/>
      <c r="AH207" s="33" t="n"/>
      <c r="AI207" s="33" t="n"/>
      <c r="AJ207" s="33" t="n"/>
      <c r="AK207" s="33" t="n"/>
      <c r="AL207" s="27" t="n"/>
      <c r="AM207" s="34" t="n"/>
      <c r="AN207" s="35">
        <f>IF(AF207="","",IF(AI207="Yes","❌ Disc",IF(AH207="No","⚠ Missing",IF(AK207="Yes","✓ OK","⚠ Check"))))</f>
        <v/>
      </c>
      <c r="AO207" s="36" t="n"/>
      <c r="AP207" s="36" t="n"/>
      <c r="AQ207" s="36" t="n"/>
      <c r="AR207" s="36" t="n"/>
      <c r="AS207" s="36" t="n"/>
      <c r="AT207" s="36" t="n"/>
      <c r="AU207" s="27" t="n"/>
      <c r="AV207" s="37" t="n"/>
      <c r="AW207" s="38">
        <f>IF(AO207="","",IF(AR207="Yes","❌ Disc",IF(AQ207="No","⚠ Missing",IF(AT207="Yes","✓ OK","⚠ Check"))))</f>
        <v/>
      </c>
    </row>
    <row r="208" ht="18" customHeight="1" s="46">
      <c r="A208" s="39" t="n">
        <v>204</v>
      </c>
      <c r="B208" s="40" t="inlineStr">
        <is>
          <t>Phantom_125</t>
        </is>
      </c>
      <c r="C208" s="41" t="inlineStr">
        <is>
          <t>Sarom - Phantom Fabric(Diamond) - Phantom_125</t>
        </is>
      </c>
      <c r="D208" s="39" t="inlineStr">
        <is>
          <t>Sarom</t>
        </is>
      </c>
      <c r="E208" s="43" t="n">
        <v>46125</v>
      </c>
      <c r="F208" s="26" t="inlineStr">
        <is>
          <t>Sunil CR</t>
        </is>
      </c>
      <c r="G208" s="26" t="inlineStr">
        <is>
          <t>Yes</t>
        </is>
      </c>
      <c r="H208" s="26" t="inlineStr">
        <is>
          <t>No</t>
        </is>
      </c>
      <c r="I208" s="26" t="inlineStr">
        <is>
          <t>Good finish</t>
        </is>
      </c>
      <c r="J208" s="26" t="inlineStr">
        <is>
          <t>Yes</t>
        </is>
      </c>
      <c r="K208" s="27" t="n"/>
      <c r="L208" s="28" t="inlineStr">
        <is>
          <t>No</t>
        </is>
      </c>
      <c r="M208" s="29">
        <f>IF(E208="","",IF(H208="Yes","❌ Disc",IF(G208="No","⚠ Missing",IF(J208="Yes","✓ OK","⚠ Check"))))</f>
        <v/>
      </c>
      <c r="N208" s="43" t="n">
        <v>46139</v>
      </c>
      <c r="O208" s="26" t="inlineStr">
        <is>
          <t>Sunil CR</t>
        </is>
      </c>
      <c r="P208" s="26" t="inlineStr">
        <is>
          <t>Yes</t>
        </is>
      </c>
      <c r="Q208" s="26" t="inlineStr">
        <is>
          <t>No</t>
        </is>
      </c>
      <c r="R208" s="26" t="inlineStr">
        <is>
          <t>Good finish</t>
        </is>
      </c>
      <c r="S208" s="26" t="inlineStr">
        <is>
          <t>Yes</t>
        </is>
      </c>
      <c r="T208" s="27" t="n"/>
      <c r="U208" s="28" t="inlineStr">
        <is>
          <t>No</t>
        </is>
      </c>
      <c r="V208" s="29">
        <f>IF(N208="","",IF(Q208="Yes","❌ Disc",IF(P208="No","⚠ Missing",IF(S208="Yes","✓ OK","⚠ Check"))))</f>
        <v/>
      </c>
      <c r="W208" s="65" t="n">
        <v>46248</v>
      </c>
      <c r="X208" s="30" t="inlineStr">
        <is>
          <t>Sunil CR</t>
        </is>
      </c>
      <c r="Y208" s="30" t="inlineStr">
        <is>
          <t>Yes</t>
        </is>
      </c>
      <c r="Z208" s="30" t="n"/>
      <c r="AA208" s="30" t="inlineStr">
        <is>
          <t>Good finish</t>
        </is>
      </c>
      <c r="AB208" s="30" t="inlineStr">
        <is>
          <t>Yes</t>
        </is>
      </c>
      <c r="AC208" s="27" t="n"/>
      <c r="AD208" s="31" t="inlineStr">
        <is>
          <t>No</t>
        </is>
      </c>
      <c r="AE208" s="32">
        <f>IF(W208="","",IF(Z208="Yes","❌ Disc",IF(Y208="No","⚠ Missing",IF(AB208="Yes","✓ OK","⚠ Check"))))</f>
        <v/>
      </c>
      <c r="AF208" s="33" t="n"/>
      <c r="AG208" s="33" t="n"/>
      <c r="AH208" s="33" t="n"/>
      <c r="AI208" s="33" t="n"/>
      <c r="AJ208" s="33" t="n"/>
      <c r="AK208" s="33" t="n"/>
      <c r="AL208" s="27" t="n"/>
      <c r="AM208" s="34" t="n"/>
      <c r="AN208" s="35">
        <f>IF(AF208="","",IF(AI208="Yes","❌ Disc",IF(AH208="No","⚠ Missing",IF(AK208="Yes","✓ OK","⚠ Check"))))</f>
        <v/>
      </c>
      <c r="AO208" s="36" t="n"/>
      <c r="AP208" s="36" t="n"/>
      <c r="AQ208" s="36" t="n"/>
      <c r="AR208" s="36" t="n"/>
      <c r="AS208" s="36" t="n"/>
      <c r="AT208" s="36" t="n"/>
      <c r="AU208" s="27" t="n"/>
      <c r="AV208" s="37" t="n"/>
      <c r="AW208" s="38">
        <f>IF(AO208="","",IF(AR208="Yes","❌ Disc",IF(AQ208="No","⚠ Missing",IF(AT208="Yes","✓ OK","⚠ Check"))))</f>
        <v/>
      </c>
    </row>
    <row r="209" ht="18" customHeight="1" s="46">
      <c r="A209" s="23" t="n">
        <v>205</v>
      </c>
      <c r="B209" s="24" t="inlineStr">
        <is>
          <t>Phantom_126</t>
        </is>
      </c>
      <c r="C209" s="25" t="inlineStr">
        <is>
          <t>Sarom - Phantom Fabric(Diamond) - Phantom_126</t>
        </is>
      </c>
      <c r="D209" s="23" t="inlineStr">
        <is>
          <t>Sarom</t>
        </is>
      </c>
      <c r="E209" s="43" t="n">
        <v>46125</v>
      </c>
      <c r="F209" s="26" t="inlineStr">
        <is>
          <t>Sunil CR</t>
        </is>
      </c>
      <c r="G209" s="26" t="inlineStr">
        <is>
          <t>Yes</t>
        </is>
      </c>
      <c r="H209" s="26" t="inlineStr">
        <is>
          <t>No</t>
        </is>
      </c>
      <c r="I209" s="26" t="inlineStr">
        <is>
          <t>Good finish</t>
        </is>
      </c>
      <c r="J209" s="26" t="inlineStr">
        <is>
          <t>Yes</t>
        </is>
      </c>
      <c r="K209" s="27" t="n"/>
      <c r="L209" s="28" t="inlineStr">
        <is>
          <t>No</t>
        </is>
      </c>
      <c r="M209" s="29">
        <f>IF(E209="","",IF(H209="Yes","❌ Disc",IF(G209="No","⚠ Missing",IF(J209="Yes","✓ OK","⚠ Check"))))</f>
        <v/>
      </c>
      <c r="N209" s="43" t="n">
        <v>46139</v>
      </c>
      <c r="O209" s="26" t="inlineStr">
        <is>
          <t>Sunil CR</t>
        </is>
      </c>
      <c r="P209" s="26" t="inlineStr">
        <is>
          <t>Yes</t>
        </is>
      </c>
      <c r="Q209" s="26" t="inlineStr">
        <is>
          <t>No</t>
        </is>
      </c>
      <c r="R209" s="26" t="inlineStr">
        <is>
          <t>Good finish</t>
        </is>
      </c>
      <c r="S209" s="26" t="inlineStr">
        <is>
          <t>Yes</t>
        </is>
      </c>
      <c r="T209" s="27" t="n"/>
      <c r="U209" s="28" t="inlineStr">
        <is>
          <t>No</t>
        </is>
      </c>
      <c r="V209" s="29">
        <f>IF(N209="","",IF(Q209="Yes","❌ Disc",IF(P209="No","⚠ Missing",IF(S209="Yes","✓ OK","⚠ Check"))))</f>
        <v/>
      </c>
      <c r="W209" s="65" t="n">
        <v>46248</v>
      </c>
      <c r="X209" s="30" t="inlineStr">
        <is>
          <t>Sunil CR</t>
        </is>
      </c>
      <c r="Y209" s="30" t="inlineStr">
        <is>
          <t>Yes</t>
        </is>
      </c>
      <c r="Z209" s="30" t="n"/>
      <c r="AA209" s="30" t="inlineStr">
        <is>
          <t>Good finish</t>
        </is>
      </c>
      <c r="AB209" s="30" t="inlineStr">
        <is>
          <t>Yes</t>
        </is>
      </c>
      <c r="AC209" s="27" t="n"/>
      <c r="AD209" s="31" t="inlineStr">
        <is>
          <t>No</t>
        </is>
      </c>
      <c r="AE209" s="32">
        <f>IF(W209="","",IF(Z209="Yes","❌ Disc",IF(Y209="No","⚠ Missing",IF(AB209="Yes","✓ OK","⚠ Check"))))</f>
        <v/>
      </c>
      <c r="AF209" s="33" t="n"/>
      <c r="AG209" s="33" t="n"/>
      <c r="AH209" s="33" t="n"/>
      <c r="AI209" s="33" t="n"/>
      <c r="AJ209" s="33" t="n"/>
      <c r="AK209" s="33" t="n"/>
      <c r="AL209" s="27" t="n"/>
      <c r="AM209" s="34" t="n"/>
      <c r="AN209" s="35">
        <f>IF(AF209="","",IF(AI209="Yes","❌ Disc",IF(AH209="No","⚠ Missing",IF(AK209="Yes","✓ OK","⚠ Check"))))</f>
        <v/>
      </c>
      <c r="AO209" s="36" t="n"/>
      <c r="AP209" s="36" t="n"/>
      <c r="AQ209" s="36" t="n"/>
      <c r="AR209" s="36" t="n"/>
      <c r="AS209" s="36" t="n"/>
      <c r="AT209" s="36" t="n"/>
      <c r="AU209" s="27" t="n"/>
      <c r="AV209" s="37" t="n"/>
      <c r="AW209" s="38">
        <f>IF(AO209="","",IF(AR209="Yes","❌ Disc",IF(AQ209="No","⚠ Missing",IF(AT209="Yes","✓ OK","⚠ Check"))))</f>
        <v/>
      </c>
    </row>
    <row r="210" ht="18" customHeight="1" s="46">
      <c r="A210" s="39" t="n">
        <v>206</v>
      </c>
      <c r="B210" s="40" t="inlineStr">
        <is>
          <t>Phantom_127</t>
        </is>
      </c>
      <c r="C210" s="41" t="inlineStr">
        <is>
          <t>Sarom - Phantom Fabric(Diamond) - Phantom_127</t>
        </is>
      </c>
      <c r="D210" s="39" t="inlineStr">
        <is>
          <t>Sarom</t>
        </is>
      </c>
      <c r="E210" s="43" t="n">
        <v>46125</v>
      </c>
      <c r="F210" s="26" t="inlineStr">
        <is>
          <t>Sunil CR</t>
        </is>
      </c>
      <c r="G210" s="26" t="inlineStr">
        <is>
          <t>Yes</t>
        </is>
      </c>
      <c r="H210" s="26" t="inlineStr">
        <is>
          <t>No</t>
        </is>
      </c>
      <c r="I210" s="26" t="inlineStr">
        <is>
          <t>Good finish</t>
        </is>
      </c>
      <c r="J210" s="26" t="inlineStr">
        <is>
          <t>Yes</t>
        </is>
      </c>
      <c r="K210" s="27" t="n"/>
      <c r="L210" s="28" t="inlineStr">
        <is>
          <t>No</t>
        </is>
      </c>
      <c r="M210" s="29">
        <f>IF(E210="","",IF(H210="Yes","❌ Disc",IF(G210="No","⚠ Missing",IF(J210="Yes","✓ OK","⚠ Check"))))</f>
        <v/>
      </c>
      <c r="N210" s="43" t="n">
        <v>46139</v>
      </c>
      <c r="O210" s="26" t="inlineStr">
        <is>
          <t>Sunil CR</t>
        </is>
      </c>
      <c r="P210" s="26" t="inlineStr">
        <is>
          <t>Yes</t>
        </is>
      </c>
      <c r="Q210" s="26" t="inlineStr">
        <is>
          <t>No</t>
        </is>
      </c>
      <c r="R210" s="26" t="inlineStr">
        <is>
          <t>Good finish</t>
        </is>
      </c>
      <c r="S210" s="26" t="inlineStr">
        <is>
          <t>Yes</t>
        </is>
      </c>
      <c r="T210" s="27" t="n"/>
      <c r="U210" s="28" t="inlineStr">
        <is>
          <t>No</t>
        </is>
      </c>
      <c r="V210" s="29">
        <f>IF(N210="","",IF(Q210="Yes","❌ Disc",IF(P210="No","⚠ Missing",IF(S210="Yes","✓ OK","⚠ Check"))))</f>
        <v/>
      </c>
      <c r="W210" s="65" t="n">
        <v>46248</v>
      </c>
      <c r="X210" s="30" t="inlineStr">
        <is>
          <t>Sunil CR</t>
        </is>
      </c>
      <c r="Y210" s="30" t="inlineStr">
        <is>
          <t>Yes</t>
        </is>
      </c>
      <c r="Z210" s="30" t="n"/>
      <c r="AA210" s="30" t="inlineStr">
        <is>
          <t>Good finish</t>
        </is>
      </c>
      <c r="AB210" s="30" t="inlineStr">
        <is>
          <t>Yes</t>
        </is>
      </c>
      <c r="AC210" s="27" t="n"/>
      <c r="AD210" s="31" t="inlineStr">
        <is>
          <t>No</t>
        </is>
      </c>
      <c r="AE210" s="32">
        <f>IF(W210="","",IF(Z210="Yes","❌ Disc",IF(Y210="No","⚠ Missing",IF(AB210="Yes","✓ OK","⚠ Check"))))</f>
        <v/>
      </c>
      <c r="AF210" s="33" t="n"/>
      <c r="AG210" s="33" t="n"/>
      <c r="AH210" s="33" t="n"/>
      <c r="AI210" s="33" t="n"/>
      <c r="AJ210" s="33" t="n"/>
      <c r="AK210" s="33" t="n"/>
      <c r="AL210" s="27" t="n"/>
      <c r="AM210" s="34" t="n"/>
      <c r="AN210" s="35">
        <f>IF(AF210="","",IF(AI210="Yes","❌ Disc",IF(AH210="No","⚠ Missing",IF(AK210="Yes","✓ OK","⚠ Check"))))</f>
        <v/>
      </c>
      <c r="AO210" s="36" t="n"/>
      <c r="AP210" s="36" t="n"/>
      <c r="AQ210" s="36" t="n"/>
      <c r="AR210" s="36" t="n"/>
      <c r="AS210" s="36" t="n"/>
      <c r="AT210" s="36" t="n"/>
      <c r="AU210" s="27" t="n"/>
      <c r="AV210" s="37" t="n"/>
      <c r="AW210" s="38">
        <f>IF(AO210="","",IF(AR210="Yes","❌ Disc",IF(AQ210="No","⚠ Missing",IF(AT210="Yes","✓ OK","⚠ Check"))))</f>
        <v/>
      </c>
    </row>
    <row r="211" ht="18" customHeight="1" s="46">
      <c r="A211" s="23" t="n">
        <v>207</v>
      </c>
      <c r="B211" s="24" t="inlineStr">
        <is>
          <t>Phantom_128</t>
        </is>
      </c>
      <c r="C211" s="25" t="inlineStr">
        <is>
          <t>Sarom - Phantom Fabric(Diamond) - Phantom_128</t>
        </is>
      </c>
      <c r="D211" s="23" t="inlineStr">
        <is>
          <t>Sarom</t>
        </is>
      </c>
      <c r="E211" s="43" t="n">
        <v>46125</v>
      </c>
      <c r="F211" s="26" t="inlineStr">
        <is>
          <t>Sunil CR</t>
        </is>
      </c>
      <c r="G211" s="26" t="inlineStr">
        <is>
          <t>Yes</t>
        </is>
      </c>
      <c r="H211" s="26" t="inlineStr">
        <is>
          <t>No</t>
        </is>
      </c>
      <c r="I211" s="26" t="inlineStr">
        <is>
          <t>Good finish</t>
        </is>
      </c>
      <c r="J211" s="26" t="inlineStr">
        <is>
          <t>Yes</t>
        </is>
      </c>
      <c r="K211" s="27" t="n"/>
      <c r="L211" s="28" t="inlineStr">
        <is>
          <t>No</t>
        </is>
      </c>
      <c r="M211" s="29">
        <f>IF(E211="","",IF(H211="Yes","❌ Disc",IF(G211="No","⚠ Missing",IF(J211="Yes","✓ OK","⚠ Check"))))</f>
        <v/>
      </c>
      <c r="N211" s="43" t="n">
        <v>46139</v>
      </c>
      <c r="O211" s="26" t="inlineStr">
        <is>
          <t>Sunil CR</t>
        </is>
      </c>
      <c r="P211" s="26" t="inlineStr">
        <is>
          <t>Yes</t>
        </is>
      </c>
      <c r="Q211" s="26" t="inlineStr">
        <is>
          <t>No</t>
        </is>
      </c>
      <c r="R211" s="26" t="inlineStr">
        <is>
          <t>Good finish</t>
        </is>
      </c>
      <c r="S211" s="26" t="inlineStr">
        <is>
          <t>Yes</t>
        </is>
      </c>
      <c r="T211" s="27" t="n"/>
      <c r="U211" s="28" t="inlineStr">
        <is>
          <t>No</t>
        </is>
      </c>
      <c r="V211" s="29">
        <f>IF(N211="","",IF(Q211="Yes","❌ Disc",IF(P211="No","⚠ Missing",IF(S211="Yes","✓ OK","⚠ Check"))))</f>
        <v/>
      </c>
      <c r="W211" s="65" t="n">
        <v>46248</v>
      </c>
      <c r="X211" s="30" t="inlineStr">
        <is>
          <t>Sunil CR</t>
        </is>
      </c>
      <c r="Y211" s="30" t="inlineStr">
        <is>
          <t>Yes</t>
        </is>
      </c>
      <c r="Z211" s="30" t="n"/>
      <c r="AA211" s="30" t="inlineStr">
        <is>
          <t>Good finish</t>
        </is>
      </c>
      <c r="AB211" s="30" t="inlineStr">
        <is>
          <t>Yes</t>
        </is>
      </c>
      <c r="AC211" s="27" t="n"/>
      <c r="AD211" s="31" t="inlineStr">
        <is>
          <t>No</t>
        </is>
      </c>
      <c r="AE211" s="32">
        <f>IF(W211="","",IF(Z211="Yes","❌ Disc",IF(Y211="No","⚠ Missing",IF(AB211="Yes","✓ OK","⚠ Check"))))</f>
        <v/>
      </c>
      <c r="AF211" s="33" t="n"/>
      <c r="AG211" s="33" t="n"/>
      <c r="AH211" s="33" t="n"/>
      <c r="AI211" s="33" t="n"/>
      <c r="AJ211" s="33" t="n"/>
      <c r="AK211" s="33" t="n"/>
      <c r="AL211" s="27" t="n"/>
      <c r="AM211" s="34" t="n"/>
      <c r="AN211" s="35">
        <f>IF(AF211="","",IF(AI211="Yes","❌ Disc",IF(AH211="No","⚠ Missing",IF(AK211="Yes","✓ OK","⚠ Check"))))</f>
        <v/>
      </c>
      <c r="AO211" s="36" t="n"/>
      <c r="AP211" s="36" t="n"/>
      <c r="AQ211" s="36" t="n"/>
      <c r="AR211" s="36" t="n"/>
      <c r="AS211" s="36" t="n"/>
      <c r="AT211" s="36" t="n"/>
      <c r="AU211" s="27" t="n"/>
      <c r="AV211" s="37" t="n"/>
      <c r="AW211" s="38">
        <f>IF(AO211="","",IF(AR211="Yes","❌ Disc",IF(AQ211="No","⚠ Missing",IF(AT211="Yes","✓ OK","⚠ Check"))))</f>
        <v/>
      </c>
    </row>
    <row r="212" ht="18" customHeight="1" s="46">
      <c r="A212" s="39" t="n">
        <v>208</v>
      </c>
      <c r="B212" s="40" t="inlineStr">
        <is>
          <t>Phantom_129</t>
        </is>
      </c>
      <c r="C212" s="41" t="inlineStr">
        <is>
          <t>Sarom - Phantom Fabric(Diamond) - Phantom_129</t>
        </is>
      </c>
      <c r="D212" s="39" t="inlineStr">
        <is>
          <t>Sarom</t>
        </is>
      </c>
      <c r="E212" s="43" t="n">
        <v>46125</v>
      </c>
      <c r="F212" s="26" t="inlineStr">
        <is>
          <t>Sunil CR</t>
        </is>
      </c>
      <c r="G212" s="26" t="inlineStr">
        <is>
          <t>Yes</t>
        </is>
      </c>
      <c r="H212" s="26" t="inlineStr">
        <is>
          <t>No</t>
        </is>
      </c>
      <c r="I212" s="26" t="inlineStr">
        <is>
          <t>Good finish</t>
        </is>
      </c>
      <c r="J212" s="26" t="inlineStr">
        <is>
          <t>Yes</t>
        </is>
      </c>
      <c r="K212" s="27" t="n"/>
      <c r="L212" s="28" t="inlineStr">
        <is>
          <t>No</t>
        </is>
      </c>
      <c r="M212" s="29">
        <f>IF(E212="","",IF(H212="Yes","❌ Disc",IF(G212="No","⚠ Missing",IF(J212="Yes","✓ OK","⚠ Check"))))</f>
        <v/>
      </c>
      <c r="N212" s="43" t="n">
        <v>46139</v>
      </c>
      <c r="O212" s="26" t="inlineStr">
        <is>
          <t>Sunil CR</t>
        </is>
      </c>
      <c r="P212" s="26" t="inlineStr">
        <is>
          <t>Yes</t>
        </is>
      </c>
      <c r="Q212" s="26" t="inlineStr">
        <is>
          <t>No</t>
        </is>
      </c>
      <c r="R212" s="26" t="inlineStr">
        <is>
          <t>Good finish</t>
        </is>
      </c>
      <c r="S212" s="26" t="inlineStr">
        <is>
          <t>Yes</t>
        </is>
      </c>
      <c r="T212" s="27" t="n"/>
      <c r="U212" s="28" t="inlineStr">
        <is>
          <t>No</t>
        </is>
      </c>
      <c r="V212" s="29">
        <f>IF(N212="","",IF(Q212="Yes","❌ Disc",IF(P212="No","⚠ Missing",IF(S212="Yes","✓ OK","⚠ Check"))))</f>
        <v/>
      </c>
      <c r="W212" s="65" t="n">
        <v>46248</v>
      </c>
      <c r="X212" s="30" t="inlineStr">
        <is>
          <t>Sunil CR</t>
        </is>
      </c>
      <c r="Y212" s="30" t="inlineStr">
        <is>
          <t>Yes</t>
        </is>
      </c>
      <c r="Z212" s="30" t="n"/>
      <c r="AA212" s="30" t="inlineStr">
        <is>
          <t>Good finish</t>
        </is>
      </c>
      <c r="AB212" s="30" t="inlineStr">
        <is>
          <t>Yes</t>
        </is>
      </c>
      <c r="AC212" s="27" t="n"/>
      <c r="AD212" s="31" t="inlineStr">
        <is>
          <t>No</t>
        </is>
      </c>
      <c r="AE212" s="32">
        <f>IF(W212="","",IF(Z212="Yes","❌ Disc",IF(Y212="No","⚠ Missing",IF(AB212="Yes","✓ OK","⚠ Check"))))</f>
        <v/>
      </c>
      <c r="AF212" s="33" t="n"/>
      <c r="AG212" s="33" t="n"/>
      <c r="AH212" s="33" t="n"/>
      <c r="AI212" s="33" t="n"/>
      <c r="AJ212" s="33" t="n"/>
      <c r="AK212" s="33" t="n"/>
      <c r="AL212" s="27" t="n"/>
      <c r="AM212" s="34" t="n"/>
      <c r="AN212" s="35">
        <f>IF(AF212="","",IF(AI212="Yes","❌ Disc",IF(AH212="No","⚠ Missing",IF(AK212="Yes","✓ OK","⚠ Check"))))</f>
        <v/>
      </c>
      <c r="AO212" s="36" t="n"/>
      <c r="AP212" s="36" t="n"/>
      <c r="AQ212" s="36" t="n"/>
      <c r="AR212" s="36" t="n"/>
      <c r="AS212" s="36" t="n"/>
      <c r="AT212" s="36" t="n"/>
      <c r="AU212" s="27" t="n"/>
      <c r="AV212" s="37" t="n"/>
      <c r="AW212" s="38">
        <f>IF(AO212="","",IF(AR212="Yes","❌ Disc",IF(AQ212="No","⚠ Missing",IF(AT212="Yes","✓ OK","⚠ Check"))))</f>
        <v/>
      </c>
    </row>
    <row r="213" ht="18" customHeight="1" s="46">
      <c r="A213" s="23" t="n">
        <v>209</v>
      </c>
      <c r="B213" s="24" t="inlineStr">
        <is>
          <t>Phantom_130</t>
        </is>
      </c>
      <c r="C213" s="25" t="inlineStr">
        <is>
          <t>Sarom - Phantom Fabric(Diamond) - Phantom_130</t>
        </is>
      </c>
      <c r="D213" s="23" t="inlineStr">
        <is>
          <t>Sarom</t>
        </is>
      </c>
      <c r="E213" s="43" t="n">
        <v>46125</v>
      </c>
      <c r="F213" s="26" t="inlineStr">
        <is>
          <t>Sunil CR</t>
        </is>
      </c>
      <c r="G213" s="26" t="inlineStr">
        <is>
          <t>Yes</t>
        </is>
      </c>
      <c r="H213" s="26" t="inlineStr">
        <is>
          <t>No</t>
        </is>
      </c>
      <c r="I213" s="26" t="inlineStr">
        <is>
          <t>Good finish</t>
        </is>
      </c>
      <c r="J213" s="26" t="inlineStr">
        <is>
          <t>Yes</t>
        </is>
      </c>
      <c r="K213" s="27" t="n"/>
      <c r="L213" s="28" t="inlineStr">
        <is>
          <t>No</t>
        </is>
      </c>
      <c r="M213" s="29">
        <f>IF(E213="","",IF(H213="Yes","❌ Disc",IF(G213="No","⚠ Missing",IF(J213="Yes","✓ OK","⚠ Check"))))</f>
        <v/>
      </c>
      <c r="N213" s="43" t="n">
        <v>46139</v>
      </c>
      <c r="O213" s="26" t="inlineStr">
        <is>
          <t>Sunil CR</t>
        </is>
      </c>
      <c r="P213" s="26" t="inlineStr">
        <is>
          <t>Yes</t>
        </is>
      </c>
      <c r="Q213" s="26" t="inlineStr">
        <is>
          <t>No</t>
        </is>
      </c>
      <c r="R213" s="26" t="inlineStr">
        <is>
          <t>Good finish</t>
        </is>
      </c>
      <c r="S213" s="26" t="inlineStr">
        <is>
          <t>Yes</t>
        </is>
      </c>
      <c r="T213" s="27" t="n"/>
      <c r="U213" s="28" t="inlineStr">
        <is>
          <t>No</t>
        </is>
      </c>
      <c r="V213" s="29">
        <f>IF(N213="","",IF(Q213="Yes","❌ Disc",IF(P213="No","⚠ Missing",IF(S213="Yes","✓ OK","⚠ Check"))))</f>
        <v/>
      </c>
      <c r="W213" s="65" t="n">
        <v>46248</v>
      </c>
      <c r="X213" s="30" t="inlineStr">
        <is>
          <t>Sunil CR</t>
        </is>
      </c>
      <c r="Y213" s="30" t="inlineStr">
        <is>
          <t>Yes</t>
        </is>
      </c>
      <c r="Z213" s="30" t="n"/>
      <c r="AA213" s="30" t="inlineStr">
        <is>
          <t>Good finish</t>
        </is>
      </c>
      <c r="AB213" s="30" t="inlineStr">
        <is>
          <t>Yes</t>
        </is>
      </c>
      <c r="AC213" s="27" t="n"/>
      <c r="AD213" s="31" t="inlineStr">
        <is>
          <t>No</t>
        </is>
      </c>
      <c r="AE213" s="32">
        <f>IF(W213="","",IF(Z213="Yes","❌ Disc",IF(Y213="No","⚠ Missing",IF(AB213="Yes","✓ OK","⚠ Check"))))</f>
        <v/>
      </c>
      <c r="AF213" s="33" t="n"/>
      <c r="AG213" s="33" t="n"/>
      <c r="AH213" s="33" t="n"/>
      <c r="AI213" s="33" t="n"/>
      <c r="AJ213" s="33" t="n"/>
      <c r="AK213" s="33" t="n"/>
      <c r="AL213" s="27" t="n"/>
      <c r="AM213" s="34" t="n"/>
      <c r="AN213" s="35">
        <f>IF(AF213="","",IF(AI213="Yes","❌ Disc",IF(AH213="No","⚠ Missing",IF(AK213="Yes","✓ OK","⚠ Check"))))</f>
        <v/>
      </c>
      <c r="AO213" s="36" t="n"/>
      <c r="AP213" s="36" t="n"/>
      <c r="AQ213" s="36" t="n"/>
      <c r="AR213" s="36" t="n"/>
      <c r="AS213" s="36" t="n"/>
      <c r="AT213" s="36" t="n"/>
      <c r="AU213" s="27" t="n"/>
      <c r="AV213" s="37" t="n"/>
      <c r="AW213" s="38">
        <f>IF(AO213="","",IF(AR213="Yes","❌ Disc",IF(AQ213="No","⚠ Missing",IF(AT213="Yes","✓ OK","⚠ Check"))))</f>
        <v/>
      </c>
    </row>
    <row r="214" ht="18" customHeight="1" s="46">
      <c r="A214" s="39" t="n">
        <v>210</v>
      </c>
      <c r="B214" s="40" t="inlineStr">
        <is>
          <t>Phantom_131</t>
        </is>
      </c>
      <c r="C214" s="41" t="inlineStr">
        <is>
          <t>Sarom - Phantom Fabric(Diamond) - Phantom_131</t>
        </is>
      </c>
      <c r="D214" s="39" t="inlineStr">
        <is>
          <t>Sarom</t>
        </is>
      </c>
      <c r="E214" s="43" t="n">
        <v>46125</v>
      </c>
      <c r="F214" s="26" t="inlineStr">
        <is>
          <t>Sunil CR</t>
        </is>
      </c>
      <c r="G214" s="26" t="inlineStr">
        <is>
          <t>Yes</t>
        </is>
      </c>
      <c r="H214" s="26" t="inlineStr">
        <is>
          <t>No</t>
        </is>
      </c>
      <c r="I214" s="26" t="inlineStr">
        <is>
          <t>Good finish</t>
        </is>
      </c>
      <c r="J214" s="26" t="inlineStr">
        <is>
          <t>Yes</t>
        </is>
      </c>
      <c r="K214" s="27" t="n"/>
      <c r="L214" s="28" t="inlineStr">
        <is>
          <t>No</t>
        </is>
      </c>
      <c r="M214" s="29">
        <f>IF(E214="","",IF(H214="Yes","❌ Disc",IF(G214="No","⚠ Missing",IF(J214="Yes","✓ OK","⚠ Check"))))</f>
        <v/>
      </c>
      <c r="N214" s="43" t="n">
        <v>46139</v>
      </c>
      <c r="O214" s="26" t="inlineStr">
        <is>
          <t>Sunil CR</t>
        </is>
      </c>
      <c r="P214" s="26" t="inlineStr">
        <is>
          <t>Yes</t>
        </is>
      </c>
      <c r="Q214" s="26" t="inlineStr">
        <is>
          <t>No</t>
        </is>
      </c>
      <c r="R214" s="26" t="inlineStr">
        <is>
          <t>Good finish</t>
        </is>
      </c>
      <c r="S214" s="26" t="inlineStr">
        <is>
          <t>Yes</t>
        </is>
      </c>
      <c r="T214" s="27" t="n"/>
      <c r="U214" s="28" t="inlineStr">
        <is>
          <t>No</t>
        </is>
      </c>
      <c r="V214" s="29">
        <f>IF(N214="","",IF(Q214="Yes","❌ Disc",IF(P214="No","⚠ Missing",IF(S214="Yes","✓ OK","⚠ Check"))))</f>
        <v/>
      </c>
      <c r="W214" s="65" t="n">
        <v>46248</v>
      </c>
      <c r="X214" s="30" t="inlineStr">
        <is>
          <t>Sunil CR</t>
        </is>
      </c>
      <c r="Y214" s="30" t="inlineStr">
        <is>
          <t>Yes</t>
        </is>
      </c>
      <c r="Z214" s="30" t="n"/>
      <c r="AA214" s="30" t="inlineStr">
        <is>
          <t>Good finish</t>
        </is>
      </c>
      <c r="AB214" s="30" t="inlineStr">
        <is>
          <t>Yes</t>
        </is>
      </c>
      <c r="AC214" s="27" t="n"/>
      <c r="AD214" s="31" t="inlineStr">
        <is>
          <t>No</t>
        </is>
      </c>
      <c r="AE214" s="32">
        <f>IF(W214="","",IF(Z214="Yes","❌ Disc",IF(Y214="No","⚠ Missing",IF(AB214="Yes","✓ OK","⚠ Check"))))</f>
        <v/>
      </c>
      <c r="AF214" s="33" t="n"/>
      <c r="AG214" s="33" t="n"/>
      <c r="AH214" s="33" t="n"/>
      <c r="AI214" s="33" t="n"/>
      <c r="AJ214" s="33" t="n"/>
      <c r="AK214" s="33" t="n"/>
      <c r="AL214" s="27" t="n"/>
      <c r="AM214" s="34" t="n"/>
      <c r="AN214" s="35">
        <f>IF(AF214="","",IF(AI214="Yes","❌ Disc",IF(AH214="No","⚠ Missing",IF(AK214="Yes","✓ OK","⚠ Check"))))</f>
        <v/>
      </c>
      <c r="AO214" s="36" t="n"/>
      <c r="AP214" s="36" t="n"/>
      <c r="AQ214" s="36" t="n"/>
      <c r="AR214" s="36" t="n"/>
      <c r="AS214" s="36" t="n"/>
      <c r="AT214" s="36" t="n"/>
      <c r="AU214" s="27" t="n"/>
      <c r="AV214" s="37" t="n"/>
      <c r="AW214" s="38">
        <f>IF(AO214="","",IF(AR214="Yes","❌ Disc",IF(AQ214="No","⚠ Missing",IF(AT214="Yes","✓ OK","⚠ Check"))))</f>
        <v/>
      </c>
    </row>
    <row r="215" ht="18" customHeight="1" s="46">
      <c r="A215" s="23" t="n">
        <v>211</v>
      </c>
      <c r="B215" s="24" t="inlineStr">
        <is>
          <t>Phantom_132</t>
        </is>
      </c>
      <c r="C215" s="25" t="inlineStr">
        <is>
          <t>Sarom - Phantom Fabric(Diamond) - Phantom_132</t>
        </is>
      </c>
      <c r="D215" s="23" t="inlineStr">
        <is>
          <t>Sarom</t>
        </is>
      </c>
      <c r="E215" s="43" t="n">
        <v>46125</v>
      </c>
      <c r="F215" s="26" t="inlineStr">
        <is>
          <t>Sunil CR</t>
        </is>
      </c>
      <c r="G215" s="26" t="inlineStr">
        <is>
          <t>Yes</t>
        </is>
      </c>
      <c r="H215" s="26" t="inlineStr">
        <is>
          <t>No</t>
        </is>
      </c>
      <c r="I215" s="26" t="inlineStr">
        <is>
          <t>Good finish</t>
        </is>
      </c>
      <c r="J215" s="26" t="inlineStr">
        <is>
          <t>Yes</t>
        </is>
      </c>
      <c r="K215" s="27" t="n"/>
      <c r="L215" s="28" t="inlineStr">
        <is>
          <t>No</t>
        </is>
      </c>
      <c r="M215" s="29">
        <f>IF(E215="","",IF(H215="Yes","❌ Disc",IF(G215="No","⚠ Missing",IF(J215="Yes","✓ OK","⚠ Check"))))</f>
        <v/>
      </c>
      <c r="N215" s="43" t="n">
        <v>46139</v>
      </c>
      <c r="O215" s="26" t="inlineStr">
        <is>
          <t>Sunil CR</t>
        </is>
      </c>
      <c r="P215" s="26" t="inlineStr">
        <is>
          <t>Yes</t>
        </is>
      </c>
      <c r="Q215" s="26" t="inlineStr">
        <is>
          <t>No</t>
        </is>
      </c>
      <c r="R215" s="26" t="inlineStr">
        <is>
          <t>Good finish</t>
        </is>
      </c>
      <c r="S215" s="26" t="inlineStr">
        <is>
          <t>Yes</t>
        </is>
      </c>
      <c r="T215" s="27" t="n"/>
      <c r="U215" s="28" t="inlineStr">
        <is>
          <t>No</t>
        </is>
      </c>
      <c r="V215" s="29">
        <f>IF(N215="","",IF(Q215="Yes","❌ Disc",IF(P215="No","⚠ Missing",IF(S215="Yes","✓ OK","⚠ Check"))))</f>
        <v/>
      </c>
      <c r="W215" s="65" t="n">
        <v>46248</v>
      </c>
      <c r="X215" s="30" t="inlineStr">
        <is>
          <t>Sunil CR</t>
        </is>
      </c>
      <c r="Y215" s="30" t="inlineStr">
        <is>
          <t>Yes</t>
        </is>
      </c>
      <c r="Z215" s="30" t="n"/>
      <c r="AA215" s="30" t="inlineStr">
        <is>
          <t>Good finish</t>
        </is>
      </c>
      <c r="AB215" s="30" t="inlineStr">
        <is>
          <t>Yes</t>
        </is>
      </c>
      <c r="AC215" s="27" t="n"/>
      <c r="AD215" s="31" t="inlineStr">
        <is>
          <t>No</t>
        </is>
      </c>
      <c r="AE215" s="32">
        <f>IF(W215="","",IF(Z215="Yes","❌ Disc",IF(Y215="No","⚠ Missing",IF(AB215="Yes","✓ OK","⚠ Check"))))</f>
        <v/>
      </c>
      <c r="AF215" s="33" t="n"/>
      <c r="AG215" s="33" t="n"/>
      <c r="AH215" s="33" t="n"/>
      <c r="AI215" s="33" t="n"/>
      <c r="AJ215" s="33" t="n"/>
      <c r="AK215" s="33" t="n"/>
      <c r="AL215" s="27" t="n"/>
      <c r="AM215" s="34" t="n"/>
      <c r="AN215" s="35">
        <f>IF(AF215="","",IF(AI215="Yes","❌ Disc",IF(AH215="No","⚠ Missing",IF(AK215="Yes","✓ OK","⚠ Check"))))</f>
        <v/>
      </c>
      <c r="AO215" s="36" t="n"/>
      <c r="AP215" s="36" t="n"/>
      <c r="AQ215" s="36" t="n"/>
      <c r="AR215" s="36" t="n"/>
      <c r="AS215" s="36" t="n"/>
      <c r="AT215" s="36" t="n"/>
      <c r="AU215" s="27" t="n"/>
      <c r="AV215" s="37" t="n"/>
      <c r="AW215" s="38">
        <f>IF(AO215="","",IF(AR215="Yes","❌ Disc",IF(AQ215="No","⚠ Missing",IF(AT215="Yes","✓ OK","⚠ Check"))))</f>
        <v/>
      </c>
    </row>
    <row r="216" ht="18" customHeight="1" s="46">
      <c r="A216" s="39" t="n">
        <v>212</v>
      </c>
      <c r="B216" s="40" t="inlineStr">
        <is>
          <t>Phantom_133</t>
        </is>
      </c>
      <c r="C216" s="41" t="inlineStr">
        <is>
          <t>Sarom - Phantom Fabric(Diamond) - Phantom_133</t>
        </is>
      </c>
      <c r="D216" s="39" t="inlineStr">
        <is>
          <t>Sarom</t>
        </is>
      </c>
      <c r="E216" s="43" t="n">
        <v>46125</v>
      </c>
      <c r="F216" s="26" t="inlineStr">
        <is>
          <t>Sunil CR</t>
        </is>
      </c>
      <c r="G216" s="26" t="inlineStr">
        <is>
          <t>Yes</t>
        </is>
      </c>
      <c r="H216" s="26" t="inlineStr">
        <is>
          <t>No</t>
        </is>
      </c>
      <c r="I216" s="26" t="inlineStr">
        <is>
          <t>Good finish</t>
        </is>
      </c>
      <c r="J216" s="26" t="inlineStr">
        <is>
          <t>Yes</t>
        </is>
      </c>
      <c r="K216" s="27" t="n"/>
      <c r="L216" s="28" t="inlineStr">
        <is>
          <t>No</t>
        </is>
      </c>
      <c r="M216" s="29">
        <f>IF(E216="","",IF(H216="Yes","❌ Disc",IF(G216="No","⚠ Missing",IF(J216="Yes","✓ OK","⚠ Check"))))</f>
        <v/>
      </c>
      <c r="N216" s="43" t="n">
        <v>46139</v>
      </c>
      <c r="O216" s="26" t="inlineStr">
        <is>
          <t>Sunil CR</t>
        </is>
      </c>
      <c r="P216" s="26" t="inlineStr">
        <is>
          <t>Yes</t>
        </is>
      </c>
      <c r="Q216" s="26" t="inlineStr">
        <is>
          <t>No</t>
        </is>
      </c>
      <c r="R216" s="26" t="inlineStr">
        <is>
          <t>Good finish</t>
        </is>
      </c>
      <c r="S216" s="26" t="inlineStr">
        <is>
          <t>Yes</t>
        </is>
      </c>
      <c r="T216" s="27" t="n"/>
      <c r="U216" s="28" t="inlineStr">
        <is>
          <t>No</t>
        </is>
      </c>
      <c r="V216" s="29">
        <f>IF(N216="","",IF(Q216="Yes","❌ Disc",IF(P216="No","⚠ Missing",IF(S216="Yes","✓ OK","⚠ Check"))))</f>
        <v/>
      </c>
      <c r="W216" s="65" t="n">
        <v>46248</v>
      </c>
      <c r="X216" s="30" t="inlineStr">
        <is>
          <t>Sunil CR</t>
        </is>
      </c>
      <c r="Y216" s="30" t="inlineStr">
        <is>
          <t>Yes</t>
        </is>
      </c>
      <c r="Z216" s="30" t="n"/>
      <c r="AA216" s="30" t="inlineStr">
        <is>
          <t>Good finish</t>
        </is>
      </c>
      <c r="AB216" s="30" t="inlineStr">
        <is>
          <t>Yes</t>
        </is>
      </c>
      <c r="AC216" s="27" t="n"/>
      <c r="AD216" s="31" t="inlineStr">
        <is>
          <t>No</t>
        </is>
      </c>
      <c r="AE216" s="32">
        <f>IF(W216="","",IF(Z216="Yes","❌ Disc",IF(Y216="No","⚠ Missing",IF(AB216="Yes","✓ OK","⚠ Check"))))</f>
        <v/>
      </c>
      <c r="AF216" s="33" t="n"/>
      <c r="AG216" s="33" t="n"/>
      <c r="AH216" s="33" t="n"/>
      <c r="AI216" s="33" t="n"/>
      <c r="AJ216" s="33" t="n"/>
      <c r="AK216" s="33" t="n"/>
      <c r="AL216" s="27" t="n"/>
      <c r="AM216" s="34" t="n"/>
      <c r="AN216" s="35">
        <f>IF(AF216="","",IF(AI216="Yes","❌ Disc",IF(AH216="No","⚠ Missing",IF(AK216="Yes","✓ OK","⚠ Check"))))</f>
        <v/>
      </c>
      <c r="AO216" s="36" t="n"/>
      <c r="AP216" s="36" t="n"/>
      <c r="AQ216" s="36" t="n"/>
      <c r="AR216" s="36" t="n"/>
      <c r="AS216" s="36" t="n"/>
      <c r="AT216" s="36" t="n"/>
      <c r="AU216" s="27" t="n"/>
      <c r="AV216" s="37" t="n"/>
      <c r="AW216" s="38">
        <f>IF(AO216="","",IF(AR216="Yes","❌ Disc",IF(AQ216="No","⚠ Missing",IF(AT216="Yes","✓ OK","⚠ Check"))))</f>
        <v/>
      </c>
    </row>
    <row r="217" ht="18" customHeight="1" s="46">
      <c r="A217" s="23" t="n">
        <v>213</v>
      </c>
      <c r="B217" s="24" t="inlineStr">
        <is>
          <t>Phantom_134</t>
        </is>
      </c>
      <c r="C217" s="25" t="inlineStr">
        <is>
          <t>Sarom - Phantom Fabric(Diamond) - Phantom_134</t>
        </is>
      </c>
      <c r="D217" s="23" t="inlineStr">
        <is>
          <t>Sarom</t>
        </is>
      </c>
      <c r="E217" s="43" t="n">
        <v>46125</v>
      </c>
      <c r="F217" s="26" t="inlineStr">
        <is>
          <t>Sunil CR</t>
        </is>
      </c>
      <c r="G217" s="26" t="inlineStr">
        <is>
          <t>Yes</t>
        </is>
      </c>
      <c r="H217" s="26" t="inlineStr">
        <is>
          <t>No</t>
        </is>
      </c>
      <c r="I217" s="26" t="inlineStr">
        <is>
          <t>Good finish</t>
        </is>
      </c>
      <c r="J217" s="26" t="inlineStr">
        <is>
          <t>Yes</t>
        </is>
      </c>
      <c r="K217" s="27" t="n"/>
      <c r="L217" s="28" t="inlineStr">
        <is>
          <t>No</t>
        </is>
      </c>
      <c r="M217" s="29">
        <f>IF(E217="","",IF(H217="Yes","❌ Disc",IF(G217="No","⚠ Missing",IF(J217="Yes","✓ OK","⚠ Check"))))</f>
        <v/>
      </c>
      <c r="N217" s="43" t="n">
        <v>46139</v>
      </c>
      <c r="O217" s="26" t="inlineStr">
        <is>
          <t>Sunil CR</t>
        </is>
      </c>
      <c r="P217" s="26" t="inlineStr">
        <is>
          <t>Yes</t>
        </is>
      </c>
      <c r="Q217" s="26" t="inlineStr">
        <is>
          <t>No</t>
        </is>
      </c>
      <c r="R217" s="26" t="inlineStr">
        <is>
          <t>Good finish</t>
        </is>
      </c>
      <c r="S217" s="26" t="inlineStr">
        <is>
          <t>Yes</t>
        </is>
      </c>
      <c r="T217" s="27" t="n"/>
      <c r="U217" s="28" t="inlineStr">
        <is>
          <t>No</t>
        </is>
      </c>
      <c r="V217" s="29">
        <f>IF(N217="","",IF(Q217="Yes","❌ Disc",IF(P217="No","⚠ Missing",IF(S217="Yes","✓ OK","⚠ Check"))))</f>
        <v/>
      </c>
      <c r="W217" s="65" t="n">
        <v>46248</v>
      </c>
      <c r="X217" s="30" t="inlineStr">
        <is>
          <t>Sunil CR</t>
        </is>
      </c>
      <c r="Y217" s="30" t="inlineStr">
        <is>
          <t>Yes</t>
        </is>
      </c>
      <c r="Z217" s="30" t="n"/>
      <c r="AA217" s="30" t="inlineStr">
        <is>
          <t>Good finish</t>
        </is>
      </c>
      <c r="AB217" s="30" t="inlineStr">
        <is>
          <t>Yes</t>
        </is>
      </c>
      <c r="AC217" s="27" t="n"/>
      <c r="AD217" s="31" t="inlineStr">
        <is>
          <t>No</t>
        </is>
      </c>
      <c r="AE217" s="32">
        <f>IF(W217="","",IF(Z217="Yes","❌ Disc",IF(Y217="No","⚠ Missing",IF(AB217="Yes","✓ OK","⚠ Check"))))</f>
        <v/>
      </c>
      <c r="AF217" s="33" t="n"/>
      <c r="AG217" s="33" t="n"/>
      <c r="AH217" s="33" t="n"/>
      <c r="AI217" s="33" t="n"/>
      <c r="AJ217" s="33" t="n"/>
      <c r="AK217" s="33" t="n"/>
      <c r="AL217" s="27" t="n"/>
      <c r="AM217" s="34" t="n"/>
      <c r="AN217" s="35">
        <f>IF(AF217="","",IF(AI217="Yes","❌ Disc",IF(AH217="No","⚠ Missing",IF(AK217="Yes","✓ OK","⚠ Check"))))</f>
        <v/>
      </c>
      <c r="AO217" s="36" t="n"/>
      <c r="AP217" s="36" t="n"/>
      <c r="AQ217" s="36" t="n"/>
      <c r="AR217" s="36" t="n"/>
      <c r="AS217" s="36" t="n"/>
      <c r="AT217" s="36" t="n"/>
      <c r="AU217" s="27" t="n"/>
      <c r="AV217" s="37" t="n"/>
      <c r="AW217" s="38">
        <f>IF(AO217="","",IF(AR217="Yes","❌ Disc",IF(AQ217="No","⚠ Missing",IF(AT217="Yes","✓ OK","⚠ Check"))))</f>
        <v/>
      </c>
    </row>
    <row r="218" ht="18" customHeight="1" s="46">
      <c r="A218" s="39" t="n">
        <v>214</v>
      </c>
      <c r="B218" s="40" t="inlineStr">
        <is>
          <t>Phantom_135</t>
        </is>
      </c>
      <c r="C218" s="41" t="inlineStr">
        <is>
          <t>Sarom - Phantom Fabric(Diamond) - Phantom_135</t>
        </is>
      </c>
      <c r="D218" s="39" t="inlineStr">
        <is>
          <t>Sarom</t>
        </is>
      </c>
      <c r="E218" s="43" t="n">
        <v>46125</v>
      </c>
      <c r="F218" s="26" t="inlineStr">
        <is>
          <t>Sunil CR</t>
        </is>
      </c>
      <c r="G218" s="26" t="inlineStr">
        <is>
          <t>Yes</t>
        </is>
      </c>
      <c r="H218" s="26" t="inlineStr">
        <is>
          <t>No</t>
        </is>
      </c>
      <c r="I218" s="26" t="inlineStr">
        <is>
          <t>Good finish</t>
        </is>
      </c>
      <c r="J218" s="26" t="inlineStr">
        <is>
          <t>Yes</t>
        </is>
      </c>
      <c r="K218" s="27" t="n"/>
      <c r="L218" s="28" t="inlineStr">
        <is>
          <t>No</t>
        </is>
      </c>
      <c r="M218" s="29">
        <f>IF(E218="","",IF(H218="Yes","❌ Disc",IF(G218="No","⚠ Missing",IF(J218="Yes","✓ OK","⚠ Check"))))</f>
        <v/>
      </c>
      <c r="N218" s="43" t="n">
        <v>46139</v>
      </c>
      <c r="O218" s="26" t="inlineStr">
        <is>
          <t>Sunil CR</t>
        </is>
      </c>
      <c r="P218" s="26" t="inlineStr">
        <is>
          <t>Yes</t>
        </is>
      </c>
      <c r="Q218" s="26" t="inlineStr">
        <is>
          <t>No</t>
        </is>
      </c>
      <c r="R218" s="26" t="inlineStr">
        <is>
          <t>Good finish</t>
        </is>
      </c>
      <c r="S218" s="26" t="inlineStr">
        <is>
          <t>Yes</t>
        </is>
      </c>
      <c r="T218" s="27" t="n"/>
      <c r="U218" s="28" t="inlineStr">
        <is>
          <t>No</t>
        </is>
      </c>
      <c r="V218" s="29">
        <f>IF(N218="","",IF(Q218="Yes","❌ Disc",IF(P218="No","⚠ Missing",IF(S218="Yes","✓ OK","⚠ Check"))))</f>
        <v/>
      </c>
      <c r="W218" s="65" t="n">
        <v>46248</v>
      </c>
      <c r="X218" s="30" t="inlineStr">
        <is>
          <t>Sunil CR</t>
        </is>
      </c>
      <c r="Y218" s="30" t="inlineStr">
        <is>
          <t>Yes</t>
        </is>
      </c>
      <c r="Z218" s="30" t="n"/>
      <c r="AA218" s="30" t="inlineStr">
        <is>
          <t>Good finish</t>
        </is>
      </c>
      <c r="AB218" s="30" t="inlineStr">
        <is>
          <t>Yes</t>
        </is>
      </c>
      <c r="AC218" s="27" t="n"/>
      <c r="AD218" s="31" t="inlineStr">
        <is>
          <t>No</t>
        </is>
      </c>
      <c r="AE218" s="32">
        <f>IF(W218="","",IF(Z218="Yes","❌ Disc",IF(Y218="No","⚠ Missing",IF(AB218="Yes","✓ OK","⚠ Check"))))</f>
        <v/>
      </c>
      <c r="AF218" s="33" t="n"/>
      <c r="AG218" s="33" t="n"/>
      <c r="AH218" s="33" t="n"/>
      <c r="AI218" s="33" t="n"/>
      <c r="AJ218" s="33" t="n"/>
      <c r="AK218" s="33" t="n"/>
      <c r="AL218" s="27" t="n"/>
      <c r="AM218" s="34" t="n"/>
      <c r="AN218" s="35">
        <f>IF(AF218="","",IF(AI218="Yes","❌ Disc",IF(AH218="No","⚠ Missing",IF(AK218="Yes","✓ OK","⚠ Check"))))</f>
        <v/>
      </c>
      <c r="AO218" s="36" t="n"/>
      <c r="AP218" s="36" t="n"/>
      <c r="AQ218" s="36" t="n"/>
      <c r="AR218" s="36" t="n"/>
      <c r="AS218" s="36" t="n"/>
      <c r="AT218" s="36" t="n"/>
      <c r="AU218" s="27" t="n"/>
      <c r="AV218" s="37" t="n"/>
      <c r="AW218" s="38">
        <f>IF(AO218="","",IF(AR218="Yes","❌ Disc",IF(AQ218="No","⚠ Missing",IF(AT218="Yes","✓ OK","⚠ Check"))))</f>
        <v/>
      </c>
    </row>
    <row r="219" ht="18" customHeight="1" s="46">
      <c r="A219" s="23" t="n">
        <v>215</v>
      </c>
      <c r="B219" s="24" t="inlineStr">
        <is>
          <t>Phantom_136</t>
        </is>
      </c>
      <c r="C219" s="25" t="inlineStr">
        <is>
          <t>Sarom - Phantom Fabric(Diamond) - Phantom_136</t>
        </is>
      </c>
      <c r="D219" s="23" t="inlineStr">
        <is>
          <t>Sarom</t>
        </is>
      </c>
      <c r="E219" s="43" t="n">
        <v>46125</v>
      </c>
      <c r="F219" s="26" t="inlineStr">
        <is>
          <t>Sunil CR</t>
        </is>
      </c>
      <c r="G219" s="26" t="inlineStr">
        <is>
          <t>Yes</t>
        </is>
      </c>
      <c r="H219" s="26" t="inlineStr">
        <is>
          <t>No</t>
        </is>
      </c>
      <c r="I219" s="26" t="inlineStr">
        <is>
          <t>Good finish</t>
        </is>
      </c>
      <c r="J219" s="26" t="inlineStr">
        <is>
          <t>Yes</t>
        </is>
      </c>
      <c r="K219" s="27" t="n"/>
      <c r="L219" s="28" t="inlineStr">
        <is>
          <t>No</t>
        </is>
      </c>
      <c r="M219" s="29">
        <f>IF(E219="","",IF(H219="Yes","❌ Disc",IF(G219="No","⚠ Missing",IF(J219="Yes","✓ OK","⚠ Check"))))</f>
        <v/>
      </c>
      <c r="N219" s="43" t="n">
        <v>46139</v>
      </c>
      <c r="O219" s="26" t="inlineStr">
        <is>
          <t>Sunil CR</t>
        </is>
      </c>
      <c r="P219" s="26" t="inlineStr">
        <is>
          <t>Yes</t>
        </is>
      </c>
      <c r="Q219" s="26" t="inlineStr">
        <is>
          <t>No</t>
        </is>
      </c>
      <c r="R219" s="26" t="inlineStr">
        <is>
          <t>Good finish</t>
        </is>
      </c>
      <c r="S219" s="26" t="inlineStr">
        <is>
          <t>Yes</t>
        </is>
      </c>
      <c r="T219" s="27" t="n"/>
      <c r="U219" s="28" t="inlineStr">
        <is>
          <t>No</t>
        </is>
      </c>
      <c r="V219" s="29">
        <f>IF(N219="","",IF(Q219="Yes","❌ Disc",IF(P219="No","⚠ Missing",IF(S219="Yes","✓ OK","⚠ Check"))))</f>
        <v/>
      </c>
      <c r="W219" s="65" t="n">
        <v>46248</v>
      </c>
      <c r="X219" s="30" t="inlineStr">
        <is>
          <t>Sunil CR</t>
        </is>
      </c>
      <c r="Y219" s="30" t="inlineStr">
        <is>
          <t>Yes</t>
        </is>
      </c>
      <c r="Z219" s="30" t="n"/>
      <c r="AA219" s="30" t="inlineStr">
        <is>
          <t>Good finish</t>
        </is>
      </c>
      <c r="AB219" s="30" t="inlineStr">
        <is>
          <t>Yes</t>
        </is>
      </c>
      <c r="AC219" s="27" t="n"/>
      <c r="AD219" s="31" t="inlineStr">
        <is>
          <t>No</t>
        </is>
      </c>
      <c r="AE219" s="32">
        <f>IF(W219="","",IF(Z219="Yes","❌ Disc",IF(Y219="No","⚠ Missing",IF(AB219="Yes","✓ OK","⚠ Check"))))</f>
        <v/>
      </c>
      <c r="AF219" s="33" t="n"/>
      <c r="AG219" s="33" t="n"/>
      <c r="AH219" s="33" t="n"/>
      <c r="AI219" s="33" t="n"/>
      <c r="AJ219" s="33" t="n"/>
      <c r="AK219" s="33" t="n"/>
      <c r="AL219" s="27" t="n"/>
      <c r="AM219" s="34" t="n"/>
      <c r="AN219" s="35">
        <f>IF(AF219="","",IF(AI219="Yes","❌ Disc",IF(AH219="No","⚠ Missing",IF(AK219="Yes","✓ OK","⚠ Check"))))</f>
        <v/>
      </c>
      <c r="AO219" s="36" t="n"/>
      <c r="AP219" s="36" t="n"/>
      <c r="AQ219" s="36" t="n"/>
      <c r="AR219" s="36" t="n"/>
      <c r="AS219" s="36" t="n"/>
      <c r="AT219" s="36" t="n"/>
      <c r="AU219" s="27" t="n"/>
      <c r="AV219" s="37" t="n"/>
      <c r="AW219" s="38">
        <f>IF(AO219="","",IF(AR219="Yes","❌ Disc",IF(AQ219="No","⚠ Missing",IF(AT219="Yes","✓ OK","⚠ Check"))))</f>
        <v/>
      </c>
    </row>
    <row r="220" ht="18" customHeight="1" s="46">
      <c r="A220" s="39" t="n">
        <v>216</v>
      </c>
      <c r="B220" s="40" t="inlineStr">
        <is>
          <t>Phantom_137</t>
        </is>
      </c>
      <c r="C220" s="41" t="inlineStr">
        <is>
          <t>Sarom - Phantom Fabric(Diamond) - Phantom_137</t>
        </is>
      </c>
      <c r="D220" s="39" t="inlineStr">
        <is>
          <t>Sarom</t>
        </is>
      </c>
      <c r="E220" s="43" t="n">
        <v>46125</v>
      </c>
      <c r="F220" s="26" t="inlineStr">
        <is>
          <t>Sunil CR</t>
        </is>
      </c>
      <c r="G220" s="26" t="inlineStr">
        <is>
          <t>Yes</t>
        </is>
      </c>
      <c r="H220" s="26" t="inlineStr">
        <is>
          <t>No</t>
        </is>
      </c>
      <c r="I220" s="26" t="inlineStr">
        <is>
          <t>Good finish</t>
        </is>
      </c>
      <c r="J220" s="26" t="inlineStr">
        <is>
          <t>Yes</t>
        </is>
      </c>
      <c r="K220" s="27" t="n"/>
      <c r="L220" s="28" t="inlineStr">
        <is>
          <t>No</t>
        </is>
      </c>
      <c r="M220" s="29">
        <f>IF(E220="","",IF(H220="Yes","❌ Disc",IF(G220="No","⚠ Missing",IF(J220="Yes","✓ OK","⚠ Check"))))</f>
        <v/>
      </c>
      <c r="N220" s="43" t="n">
        <v>46139</v>
      </c>
      <c r="O220" s="26" t="inlineStr">
        <is>
          <t>Sunil CR</t>
        </is>
      </c>
      <c r="P220" s="26" t="inlineStr">
        <is>
          <t>Yes</t>
        </is>
      </c>
      <c r="Q220" s="26" t="inlineStr">
        <is>
          <t>No</t>
        </is>
      </c>
      <c r="R220" s="26" t="inlineStr">
        <is>
          <t>Good finish</t>
        </is>
      </c>
      <c r="S220" s="26" t="inlineStr">
        <is>
          <t>Yes</t>
        </is>
      </c>
      <c r="T220" s="27" t="n"/>
      <c r="U220" s="28" t="inlineStr">
        <is>
          <t>No</t>
        </is>
      </c>
      <c r="V220" s="29">
        <f>IF(N220="","",IF(Q220="Yes","❌ Disc",IF(P220="No","⚠ Missing",IF(S220="Yes","✓ OK","⚠ Check"))))</f>
        <v/>
      </c>
      <c r="W220" s="65" t="n">
        <v>46248</v>
      </c>
      <c r="X220" s="30" t="inlineStr">
        <is>
          <t>Sunil CR</t>
        </is>
      </c>
      <c r="Y220" s="30" t="inlineStr">
        <is>
          <t>Yes</t>
        </is>
      </c>
      <c r="Z220" s="30" t="n"/>
      <c r="AA220" s="30" t="inlineStr">
        <is>
          <t>Good finish</t>
        </is>
      </c>
      <c r="AB220" s="30" t="inlineStr">
        <is>
          <t>Yes</t>
        </is>
      </c>
      <c r="AC220" s="27" t="n"/>
      <c r="AD220" s="31" t="inlineStr">
        <is>
          <t>No</t>
        </is>
      </c>
      <c r="AE220" s="32">
        <f>IF(W220="","",IF(Z220="Yes","❌ Disc",IF(Y220="No","⚠ Missing",IF(AB220="Yes","✓ OK","⚠ Check"))))</f>
        <v/>
      </c>
      <c r="AF220" s="33" t="n"/>
      <c r="AG220" s="33" t="n"/>
      <c r="AH220" s="33" t="n"/>
      <c r="AI220" s="33" t="n"/>
      <c r="AJ220" s="33" t="n"/>
      <c r="AK220" s="33" t="n"/>
      <c r="AL220" s="27" t="n"/>
      <c r="AM220" s="34" t="n"/>
      <c r="AN220" s="35">
        <f>IF(AF220="","",IF(AI220="Yes","❌ Disc",IF(AH220="No","⚠ Missing",IF(AK220="Yes","✓ OK","⚠ Check"))))</f>
        <v/>
      </c>
      <c r="AO220" s="36" t="n"/>
      <c r="AP220" s="36" t="n"/>
      <c r="AQ220" s="36" t="n"/>
      <c r="AR220" s="36" t="n"/>
      <c r="AS220" s="36" t="n"/>
      <c r="AT220" s="36" t="n"/>
      <c r="AU220" s="27" t="n"/>
      <c r="AV220" s="37" t="n"/>
      <c r="AW220" s="38">
        <f>IF(AO220="","",IF(AR220="Yes","❌ Disc",IF(AQ220="No","⚠ Missing",IF(AT220="Yes","✓ OK","⚠ Check"))))</f>
        <v/>
      </c>
    </row>
    <row r="221" ht="18" customHeight="1" s="46">
      <c r="A221" s="23" t="n">
        <v>217</v>
      </c>
      <c r="B221" s="24" t="inlineStr">
        <is>
          <t>Phantom_138</t>
        </is>
      </c>
      <c r="C221" s="25" t="inlineStr">
        <is>
          <t>Sarom - Phantom Fabric(Diamond) - Phantom_138</t>
        </is>
      </c>
      <c r="D221" s="23" t="inlineStr">
        <is>
          <t>Sarom</t>
        </is>
      </c>
      <c r="E221" s="43" t="n">
        <v>46125</v>
      </c>
      <c r="F221" s="26" t="inlineStr">
        <is>
          <t>Sunil CR</t>
        </is>
      </c>
      <c r="G221" s="26" t="inlineStr">
        <is>
          <t>Yes</t>
        </is>
      </c>
      <c r="H221" s="26" t="inlineStr">
        <is>
          <t>No</t>
        </is>
      </c>
      <c r="I221" s="26" t="inlineStr">
        <is>
          <t>Good finish</t>
        </is>
      </c>
      <c r="J221" s="26" t="inlineStr">
        <is>
          <t>Yes</t>
        </is>
      </c>
      <c r="K221" s="27" t="n"/>
      <c r="L221" s="28" t="inlineStr">
        <is>
          <t>No</t>
        </is>
      </c>
      <c r="M221" s="29">
        <f>IF(E221="","",IF(H221="Yes","❌ Disc",IF(G221="No","⚠ Missing",IF(J221="Yes","✓ OK","⚠ Check"))))</f>
        <v/>
      </c>
      <c r="N221" s="43" t="n">
        <v>46139</v>
      </c>
      <c r="O221" s="26" t="inlineStr">
        <is>
          <t>Sunil CR</t>
        </is>
      </c>
      <c r="P221" s="26" t="inlineStr">
        <is>
          <t>Yes</t>
        </is>
      </c>
      <c r="Q221" s="26" t="inlineStr">
        <is>
          <t>No</t>
        </is>
      </c>
      <c r="R221" s="26" t="inlineStr">
        <is>
          <t>Good finish</t>
        </is>
      </c>
      <c r="S221" s="26" t="inlineStr">
        <is>
          <t>Yes</t>
        </is>
      </c>
      <c r="T221" s="27" t="n"/>
      <c r="U221" s="28" t="inlineStr">
        <is>
          <t>No</t>
        </is>
      </c>
      <c r="V221" s="29">
        <f>IF(N221="","",IF(Q221="Yes","❌ Disc",IF(P221="No","⚠ Missing",IF(S221="Yes","✓ OK","⚠ Check"))))</f>
        <v/>
      </c>
      <c r="W221" s="65" t="n">
        <v>46248</v>
      </c>
      <c r="X221" s="30" t="inlineStr">
        <is>
          <t>Sunil CR</t>
        </is>
      </c>
      <c r="Y221" s="30" t="inlineStr">
        <is>
          <t>Yes</t>
        </is>
      </c>
      <c r="Z221" s="30" t="n"/>
      <c r="AA221" s="30" t="inlineStr">
        <is>
          <t>Good finish</t>
        </is>
      </c>
      <c r="AB221" s="30" t="inlineStr">
        <is>
          <t>Yes</t>
        </is>
      </c>
      <c r="AC221" s="27" t="n"/>
      <c r="AD221" s="31" t="inlineStr">
        <is>
          <t>No</t>
        </is>
      </c>
      <c r="AE221" s="32">
        <f>IF(W221="","",IF(Z221="Yes","❌ Disc",IF(Y221="No","⚠ Missing",IF(AB221="Yes","✓ OK","⚠ Check"))))</f>
        <v/>
      </c>
      <c r="AF221" s="33" t="n"/>
      <c r="AG221" s="33" t="n"/>
      <c r="AH221" s="33" t="n"/>
      <c r="AI221" s="33" t="n"/>
      <c r="AJ221" s="33" t="n"/>
      <c r="AK221" s="33" t="n"/>
      <c r="AL221" s="27" t="n"/>
      <c r="AM221" s="34" t="n"/>
      <c r="AN221" s="35">
        <f>IF(AF221="","",IF(AI221="Yes","❌ Disc",IF(AH221="No","⚠ Missing",IF(AK221="Yes","✓ OK","⚠ Check"))))</f>
        <v/>
      </c>
      <c r="AO221" s="36" t="n"/>
      <c r="AP221" s="36" t="n"/>
      <c r="AQ221" s="36" t="n"/>
      <c r="AR221" s="36" t="n"/>
      <c r="AS221" s="36" t="n"/>
      <c r="AT221" s="36" t="n"/>
      <c r="AU221" s="27" t="n"/>
      <c r="AV221" s="37" t="n"/>
      <c r="AW221" s="38">
        <f>IF(AO221="","",IF(AR221="Yes","❌ Disc",IF(AQ221="No","⚠ Missing",IF(AT221="Yes","✓ OK","⚠ Check"))))</f>
        <v/>
      </c>
    </row>
    <row r="222" ht="18" customHeight="1" s="46">
      <c r="A222" s="39" t="n">
        <v>218</v>
      </c>
      <c r="B222" s="40" t="inlineStr">
        <is>
          <t>Phantom_139</t>
        </is>
      </c>
      <c r="C222" s="41" t="inlineStr">
        <is>
          <t>Sarom - Phantom Fabric(Diamond) - Phantom_139</t>
        </is>
      </c>
      <c r="D222" s="39" t="inlineStr">
        <is>
          <t>Sarom</t>
        </is>
      </c>
      <c r="E222" s="43" t="n">
        <v>46125</v>
      </c>
      <c r="F222" s="26" t="inlineStr">
        <is>
          <t>Sunil CR</t>
        </is>
      </c>
      <c r="G222" s="26" t="inlineStr">
        <is>
          <t>Yes</t>
        </is>
      </c>
      <c r="H222" s="26" t="inlineStr">
        <is>
          <t>No</t>
        </is>
      </c>
      <c r="I222" s="26" t="inlineStr">
        <is>
          <t>Good finish</t>
        </is>
      </c>
      <c r="J222" s="26" t="inlineStr">
        <is>
          <t>Yes</t>
        </is>
      </c>
      <c r="K222" s="27" t="n"/>
      <c r="L222" s="28" t="inlineStr">
        <is>
          <t>No</t>
        </is>
      </c>
      <c r="M222" s="29">
        <f>IF(E222="","",IF(H222="Yes","❌ Disc",IF(G222="No","⚠ Missing",IF(J222="Yes","✓ OK","⚠ Check"))))</f>
        <v/>
      </c>
      <c r="N222" s="43" t="n">
        <v>46139</v>
      </c>
      <c r="O222" s="26" t="inlineStr">
        <is>
          <t>Sunil CR</t>
        </is>
      </c>
      <c r="P222" s="26" t="inlineStr">
        <is>
          <t>Yes</t>
        </is>
      </c>
      <c r="Q222" s="26" t="inlineStr">
        <is>
          <t>No</t>
        </is>
      </c>
      <c r="R222" s="26" t="inlineStr">
        <is>
          <t>Good finish</t>
        </is>
      </c>
      <c r="S222" s="26" t="inlineStr">
        <is>
          <t>Yes</t>
        </is>
      </c>
      <c r="T222" s="27" t="n"/>
      <c r="U222" s="28" t="inlineStr">
        <is>
          <t>No</t>
        </is>
      </c>
      <c r="V222" s="29">
        <f>IF(N222="","",IF(Q222="Yes","❌ Disc",IF(P222="No","⚠ Missing",IF(S222="Yes","✓ OK","⚠ Check"))))</f>
        <v/>
      </c>
      <c r="W222" s="65" t="n">
        <v>46248</v>
      </c>
      <c r="X222" s="30" t="inlineStr">
        <is>
          <t>Sunil CR</t>
        </is>
      </c>
      <c r="Y222" s="30" t="inlineStr">
        <is>
          <t>Yes</t>
        </is>
      </c>
      <c r="Z222" s="30" t="n"/>
      <c r="AA222" s="30" t="inlineStr">
        <is>
          <t>Good finish</t>
        </is>
      </c>
      <c r="AB222" s="30" t="inlineStr">
        <is>
          <t>Yes</t>
        </is>
      </c>
      <c r="AC222" s="27" t="n"/>
      <c r="AD222" s="31" t="inlineStr">
        <is>
          <t>No</t>
        </is>
      </c>
      <c r="AE222" s="32">
        <f>IF(W222="","",IF(Z222="Yes","❌ Disc",IF(Y222="No","⚠ Missing",IF(AB222="Yes","✓ OK","⚠ Check"))))</f>
        <v/>
      </c>
      <c r="AF222" s="33" t="n"/>
      <c r="AG222" s="33" t="n"/>
      <c r="AH222" s="33" t="n"/>
      <c r="AI222" s="33" t="n"/>
      <c r="AJ222" s="33" t="n"/>
      <c r="AK222" s="33" t="n"/>
      <c r="AL222" s="27" t="n"/>
      <c r="AM222" s="34" t="n"/>
      <c r="AN222" s="35">
        <f>IF(AF222="","",IF(AI222="Yes","❌ Disc",IF(AH222="No","⚠ Missing",IF(AK222="Yes","✓ OK","⚠ Check"))))</f>
        <v/>
      </c>
      <c r="AO222" s="36" t="n"/>
      <c r="AP222" s="36" t="n"/>
      <c r="AQ222" s="36" t="n"/>
      <c r="AR222" s="36" t="n"/>
      <c r="AS222" s="36" t="n"/>
      <c r="AT222" s="36" t="n"/>
      <c r="AU222" s="27" t="n"/>
      <c r="AV222" s="37" t="n"/>
      <c r="AW222" s="38">
        <f>IF(AO222="","",IF(AR222="Yes","❌ Disc",IF(AQ222="No","⚠ Missing",IF(AT222="Yes","✓ OK","⚠ Check"))))</f>
        <v/>
      </c>
    </row>
    <row r="223" ht="18" customHeight="1" s="46">
      <c r="A223" s="23" t="n">
        <v>219</v>
      </c>
      <c r="B223" s="24" t="inlineStr">
        <is>
          <t>Phantom_140</t>
        </is>
      </c>
      <c r="C223" s="25" t="inlineStr">
        <is>
          <t>Sarom - Phantom Fabric(Diamond) - Phantom_140</t>
        </is>
      </c>
      <c r="D223" s="23" t="inlineStr">
        <is>
          <t>Sarom</t>
        </is>
      </c>
      <c r="E223" s="43" t="n">
        <v>46125</v>
      </c>
      <c r="F223" s="26" t="inlineStr">
        <is>
          <t>Sunil CR</t>
        </is>
      </c>
      <c r="G223" s="26" t="inlineStr">
        <is>
          <t>Yes</t>
        </is>
      </c>
      <c r="H223" s="26" t="inlineStr">
        <is>
          <t>No</t>
        </is>
      </c>
      <c r="I223" s="26" t="inlineStr">
        <is>
          <t>Good finish</t>
        </is>
      </c>
      <c r="J223" s="26" t="inlineStr">
        <is>
          <t>Yes</t>
        </is>
      </c>
      <c r="K223" s="27" t="n"/>
      <c r="L223" s="28" t="inlineStr">
        <is>
          <t>No</t>
        </is>
      </c>
      <c r="M223" s="29">
        <f>IF(E223="","",IF(H223="Yes","❌ Disc",IF(G223="No","⚠ Missing",IF(J223="Yes","✓ OK","⚠ Check"))))</f>
        <v/>
      </c>
      <c r="N223" s="43" t="n">
        <v>46139</v>
      </c>
      <c r="O223" s="26" t="inlineStr">
        <is>
          <t>Sunil CR</t>
        </is>
      </c>
      <c r="P223" s="26" t="inlineStr">
        <is>
          <t>Yes</t>
        </is>
      </c>
      <c r="Q223" s="26" t="inlineStr">
        <is>
          <t>No</t>
        </is>
      </c>
      <c r="R223" s="26" t="inlineStr">
        <is>
          <t>Good finish</t>
        </is>
      </c>
      <c r="S223" s="26" t="inlineStr">
        <is>
          <t>Yes</t>
        </is>
      </c>
      <c r="T223" s="27" t="n"/>
      <c r="U223" s="28" t="inlineStr">
        <is>
          <t>No</t>
        </is>
      </c>
      <c r="V223" s="29">
        <f>IF(N223="","",IF(Q223="Yes","❌ Disc",IF(P223="No","⚠ Missing",IF(S223="Yes","✓ OK","⚠ Check"))))</f>
        <v/>
      </c>
      <c r="W223" s="65" t="n">
        <v>46248</v>
      </c>
      <c r="X223" s="30" t="inlineStr">
        <is>
          <t>Sunil CR</t>
        </is>
      </c>
      <c r="Y223" s="30" t="inlineStr">
        <is>
          <t>Yes</t>
        </is>
      </c>
      <c r="Z223" s="30" t="n"/>
      <c r="AA223" s="30" t="inlineStr">
        <is>
          <t>Good finish</t>
        </is>
      </c>
      <c r="AB223" s="30" t="inlineStr">
        <is>
          <t>Yes</t>
        </is>
      </c>
      <c r="AC223" s="27" t="n"/>
      <c r="AD223" s="31" t="inlineStr">
        <is>
          <t>No</t>
        </is>
      </c>
      <c r="AE223" s="32">
        <f>IF(W223="","",IF(Z223="Yes","❌ Disc",IF(Y223="No","⚠ Missing",IF(AB223="Yes","✓ OK","⚠ Check"))))</f>
        <v/>
      </c>
      <c r="AF223" s="33" t="n"/>
      <c r="AG223" s="33" t="n"/>
      <c r="AH223" s="33" t="n"/>
      <c r="AI223" s="33" t="n"/>
      <c r="AJ223" s="33" t="n"/>
      <c r="AK223" s="33" t="n"/>
      <c r="AL223" s="27" t="n"/>
      <c r="AM223" s="34" t="n"/>
      <c r="AN223" s="35">
        <f>IF(AF223="","",IF(AI223="Yes","❌ Disc",IF(AH223="No","⚠ Missing",IF(AK223="Yes","✓ OK","⚠ Check"))))</f>
        <v/>
      </c>
      <c r="AO223" s="36" t="n"/>
      <c r="AP223" s="36" t="n"/>
      <c r="AQ223" s="36" t="n"/>
      <c r="AR223" s="36" t="n"/>
      <c r="AS223" s="36" t="n"/>
      <c r="AT223" s="36" t="n"/>
      <c r="AU223" s="27" t="n"/>
      <c r="AV223" s="37" t="n"/>
      <c r="AW223" s="38">
        <f>IF(AO223="","",IF(AR223="Yes","❌ Disc",IF(AQ223="No","⚠ Missing",IF(AT223="Yes","✓ OK","⚠ Check"))))</f>
        <v/>
      </c>
    </row>
    <row r="224" ht="18" customHeight="1" s="46">
      <c r="A224" s="39" t="n">
        <v>220</v>
      </c>
      <c r="B224" s="40" t="inlineStr">
        <is>
          <t>Phantom_141</t>
        </is>
      </c>
      <c r="C224" s="41" t="inlineStr">
        <is>
          <t>Sarom - Phantom Fabric(Diamond) - Phantom_141</t>
        </is>
      </c>
      <c r="D224" s="39" t="inlineStr">
        <is>
          <t>Sarom</t>
        </is>
      </c>
      <c r="E224" s="43" t="n">
        <v>46125</v>
      </c>
      <c r="F224" s="26" t="inlineStr">
        <is>
          <t>Sunil CR</t>
        </is>
      </c>
      <c r="G224" s="26" t="inlineStr">
        <is>
          <t>Yes</t>
        </is>
      </c>
      <c r="H224" s="26" t="inlineStr">
        <is>
          <t>No</t>
        </is>
      </c>
      <c r="I224" s="26" t="inlineStr">
        <is>
          <t>Good finish</t>
        </is>
      </c>
      <c r="J224" s="26" t="inlineStr">
        <is>
          <t>Yes</t>
        </is>
      </c>
      <c r="K224" s="27" t="n"/>
      <c r="L224" s="28" t="inlineStr">
        <is>
          <t>No</t>
        </is>
      </c>
      <c r="M224" s="29">
        <f>IF(E224="","",IF(H224="Yes","❌ Disc",IF(G224="No","⚠ Missing",IF(J224="Yes","✓ OK","⚠ Check"))))</f>
        <v/>
      </c>
      <c r="N224" s="43" t="n">
        <v>46139</v>
      </c>
      <c r="O224" s="26" t="inlineStr">
        <is>
          <t>Sunil CR</t>
        </is>
      </c>
      <c r="P224" s="26" t="inlineStr">
        <is>
          <t>Yes</t>
        </is>
      </c>
      <c r="Q224" s="26" t="inlineStr">
        <is>
          <t>No</t>
        </is>
      </c>
      <c r="R224" s="26" t="inlineStr">
        <is>
          <t>Good finish</t>
        </is>
      </c>
      <c r="S224" s="26" t="inlineStr">
        <is>
          <t>Yes</t>
        </is>
      </c>
      <c r="T224" s="27" t="n"/>
      <c r="U224" s="28" t="inlineStr">
        <is>
          <t>No</t>
        </is>
      </c>
      <c r="V224" s="29">
        <f>IF(N224="","",IF(Q224="Yes","❌ Disc",IF(P224="No","⚠ Missing",IF(S224="Yes","✓ OK","⚠ Check"))))</f>
        <v/>
      </c>
      <c r="W224" s="65" t="n">
        <v>46248</v>
      </c>
      <c r="X224" s="30" t="inlineStr">
        <is>
          <t>Sunil CR</t>
        </is>
      </c>
      <c r="Y224" s="30" t="inlineStr">
        <is>
          <t>Yes</t>
        </is>
      </c>
      <c r="Z224" s="30" t="n"/>
      <c r="AA224" s="30" t="inlineStr">
        <is>
          <t>Good finish</t>
        </is>
      </c>
      <c r="AB224" s="30" t="inlineStr">
        <is>
          <t>Yes</t>
        </is>
      </c>
      <c r="AC224" s="27" t="n"/>
      <c r="AD224" s="31" t="inlineStr">
        <is>
          <t>No</t>
        </is>
      </c>
      <c r="AE224" s="32">
        <f>IF(W224="","",IF(Z224="Yes","❌ Disc",IF(Y224="No","⚠ Missing",IF(AB224="Yes","✓ OK","⚠ Check"))))</f>
        <v/>
      </c>
      <c r="AF224" s="33" t="n"/>
      <c r="AG224" s="33" t="n"/>
      <c r="AH224" s="33" t="n"/>
      <c r="AI224" s="33" t="n"/>
      <c r="AJ224" s="33" t="n"/>
      <c r="AK224" s="33" t="n"/>
      <c r="AL224" s="27" t="n"/>
      <c r="AM224" s="34" t="n"/>
      <c r="AN224" s="35">
        <f>IF(AF224="","",IF(AI224="Yes","❌ Disc",IF(AH224="No","⚠ Missing",IF(AK224="Yes","✓ OK","⚠ Check"))))</f>
        <v/>
      </c>
      <c r="AO224" s="36" t="n"/>
      <c r="AP224" s="36" t="n"/>
      <c r="AQ224" s="36" t="n"/>
      <c r="AR224" s="36" t="n"/>
      <c r="AS224" s="36" t="n"/>
      <c r="AT224" s="36" t="n"/>
      <c r="AU224" s="27" t="n"/>
      <c r="AV224" s="37" t="n"/>
      <c r="AW224" s="38">
        <f>IF(AO224="","",IF(AR224="Yes","❌ Disc",IF(AQ224="No","⚠ Missing",IF(AT224="Yes","✓ OK","⚠ Check"))))</f>
        <v/>
      </c>
    </row>
    <row r="225" ht="18" customHeight="1" s="46">
      <c r="A225" s="23" t="n">
        <v>221</v>
      </c>
      <c r="B225" s="24" t="inlineStr">
        <is>
          <t>Phantom_142</t>
        </is>
      </c>
      <c r="C225" s="25" t="inlineStr">
        <is>
          <t>Sarom - Phantom Fabric(Diamond) - Phantom_142</t>
        </is>
      </c>
      <c r="D225" s="23" t="inlineStr">
        <is>
          <t>Sarom</t>
        </is>
      </c>
      <c r="E225" s="43" t="n">
        <v>46125</v>
      </c>
      <c r="F225" s="26" t="inlineStr">
        <is>
          <t>Sunil CR</t>
        </is>
      </c>
      <c r="G225" s="26" t="inlineStr">
        <is>
          <t>Yes</t>
        </is>
      </c>
      <c r="H225" s="26" t="inlineStr">
        <is>
          <t>No</t>
        </is>
      </c>
      <c r="I225" s="26" t="inlineStr">
        <is>
          <t>Good finish</t>
        </is>
      </c>
      <c r="J225" s="26" t="inlineStr">
        <is>
          <t>Yes</t>
        </is>
      </c>
      <c r="K225" s="27" t="n"/>
      <c r="L225" s="28" t="inlineStr">
        <is>
          <t>No</t>
        </is>
      </c>
      <c r="M225" s="29">
        <f>IF(E225="","",IF(H225="Yes","❌ Disc",IF(G225="No","⚠ Missing",IF(J225="Yes","✓ OK","⚠ Check"))))</f>
        <v/>
      </c>
      <c r="N225" s="43" t="n">
        <v>46139</v>
      </c>
      <c r="O225" s="26" t="inlineStr">
        <is>
          <t>Sunil CR</t>
        </is>
      </c>
      <c r="P225" s="26" t="inlineStr">
        <is>
          <t>Yes</t>
        </is>
      </c>
      <c r="Q225" s="26" t="inlineStr">
        <is>
          <t>No</t>
        </is>
      </c>
      <c r="R225" s="26" t="inlineStr">
        <is>
          <t>Good finish</t>
        </is>
      </c>
      <c r="S225" s="26" t="inlineStr">
        <is>
          <t>Yes</t>
        </is>
      </c>
      <c r="T225" s="27" t="n"/>
      <c r="U225" s="28" t="inlineStr">
        <is>
          <t>No</t>
        </is>
      </c>
      <c r="V225" s="29">
        <f>IF(N225="","",IF(Q225="Yes","❌ Disc",IF(P225="No","⚠ Missing",IF(S225="Yes","✓ OK","⚠ Check"))))</f>
        <v/>
      </c>
      <c r="W225" s="65" t="n">
        <v>46248</v>
      </c>
      <c r="X225" s="30" t="inlineStr">
        <is>
          <t>Sunil CR</t>
        </is>
      </c>
      <c r="Y225" s="30" t="inlineStr">
        <is>
          <t>Yes</t>
        </is>
      </c>
      <c r="Z225" s="30" t="n"/>
      <c r="AA225" s="30" t="inlineStr">
        <is>
          <t>Good finish</t>
        </is>
      </c>
      <c r="AB225" s="30" t="inlineStr">
        <is>
          <t>Yes</t>
        </is>
      </c>
      <c r="AC225" s="27" t="n"/>
      <c r="AD225" s="31" t="inlineStr">
        <is>
          <t>No</t>
        </is>
      </c>
      <c r="AE225" s="32">
        <f>IF(W225="","",IF(Z225="Yes","❌ Disc",IF(Y225="No","⚠ Missing",IF(AB225="Yes","✓ OK","⚠ Check"))))</f>
        <v/>
      </c>
      <c r="AF225" s="33" t="n"/>
      <c r="AG225" s="33" t="n"/>
      <c r="AH225" s="33" t="n"/>
      <c r="AI225" s="33" t="n"/>
      <c r="AJ225" s="33" t="n"/>
      <c r="AK225" s="33" t="n"/>
      <c r="AL225" s="27" t="n"/>
      <c r="AM225" s="34" t="n"/>
      <c r="AN225" s="35">
        <f>IF(AF225="","",IF(AI225="Yes","❌ Disc",IF(AH225="No","⚠ Missing",IF(AK225="Yes","✓ OK","⚠ Check"))))</f>
        <v/>
      </c>
      <c r="AO225" s="36" t="n"/>
      <c r="AP225" s="36" t="n"/>
      <c r="AQ225" s="36" t="n"/>
      <c r="AR225" s="36" t="n"/>
      <c r="AS225" s="36" t="n"/>
      <c r="AT225" s="36" t="n"/>
      <c r="AU225" s="27" t="n"/>
      <c r="AV225" s="37" t="n"/>
      <c r="AW225" s="38">
        <f>IF(AO225="","",IF(AR225="Yes","❌ Disc",IF(AQ225="No","⚠ Missing",IF(AT225="Yes","✓ OK","⚠ Check"))))</f>
        <v/>
      </c>
    </row>
    <row r="226" ht="18" customHeight="1" s="46">
      <c r="A226" s="39" t="n">
        <v>222</v>
      </c>
      <c r="B226" s="40" t="inlineStr">
        <is>
          <t>Soho_701</t>
        </is>
      </c>
      <c r="C226" s="41" t="inlineStr">
        <is>
          <t>Sarom - Soho Fabric(Platinum) - Soho_701</t>
        </is>
      </c>
      <c r="D226" s="39" t="inlineStr">
        <is>
          <t>Sarom</t>
        </is>
      </c>
      <c r="E226" s="43" t="n">
        <v>46125</v>
      </c>
      <c r="F226" s="26" t="inlineStr">
        <is>
          <t>Sunil CR</t>
        </is>
      </c>
      <c r="G226" s="26" t="inlineStr">
        <is>
          <t>Yes</t>
        </is>
      </c>
      <c r="H226" s="26" t="inlineStr">
        <is>
          <t>No</t>
        </is>
      </c>
      <c r="I226" s="26" t="inlineStr">
        <is>
          <t>Good finish</t>
        </is>
      </c>
      <c r="J226" s="26" t="inlineStr">
        <is>
          <t>Yes</t>
        </is>
      </c>
      <c r="K226" s="27" t="n"/>
      <c r="L226" s="28" t="inlineStr">
        <is>
          <t>No</t>
        </is>
      </c>
      <c r="M226" s="29">
        <f>IF(E226="","",IF(H226="Yes","❌ Disc",IF(G226="No","⚠ Missing",IF(J226="Yes","✓ OK","⚠ Check"))))</f>
        <v/>
      </c>
      <c r="N226" s="43" t="n">
        <v>46139</v>
      </c>
      <c r="O226" s="26" t="inlineStr">
        <is>
          <t>Sunil CR</t>
        </is>
      </c>
      <c r="P226" s="26" t="inlineStr">
        <is>
          <t>Yes</t>
        </is>
      </c>
      <c r="Q226" s="26" t="inlineStr">
        <is>
          <t>No</t>
        </is>
      </c>
      <c r="R226" s="26" t="inlineStr">
        <is>
          <t>Good finish</t>
        </is>
      </c>
      <c r="S226" s="26" t="inlineStr">
        <is>
          <t>Yes</t>
        </is>
      </c>
      <c r="T226" s="27" t="n"/>
      <c r="U226" s="28" t="inlineStr">
        <is>
          <t>No</t>
        </is>
      </c>
      <c r="V226" s="29">
        <f>IF(N226="","",IF(Q226="Yes","❌ Disc",IF(P226="No","⚠ Missing",IF(S226="Yes","✓ OK","⚠ Check"))))</f>
        <v/>
      </c>
      <c r="W226" s="65" t="n">
        <v>46248</v>
      </c>
      <c r="X226" s="30" t="inlineStr">
        <is>
          <t>Sunil CR</t>
        </is>
      </c>
      <c r="Y226" s="30" t="inlineStr">
        <is>
          <t>Yes</t>
        </is>
      </c>
      <c r="Z226" s="30" t="n"/>
      <c r="AA226" s="30" t="inlineStr">
        <is>
          <t>Good finish</t>
        </is>
      </c>
      <c r="AB226" s="30" t="inlineStr">
        <is>
          <t>Yes</t>
        </is>
      </c>
      <c r="AC226" s="27" t="n"/>
      <c r="AD226" s="31" t="inlineStr">
        <is>
          <t>No</t>
        </is>
      </c>
      <c r="AE226" s="32">
        <f>IF(W226="","",IF(Z226="Yes","❌ Disc",IF(Y226="No","⚠ Missing",IF(AB226="Yes","✓ OK","⚠ Check"))))</f>
        <v/>
      </c>
      <c r="AF226" s="33" t="n"/>
      <c r="AG226" s="33" t="n"/>
      <c r="AH226" s="33" t="n"/>
      <c r="AI226" s="33" t="n"/>
      <c r="AJ226" s="33" t="n"/>
      <c r="AK226" s="33" t="n"/>
      <c r="AL226" s="27" t="n"/>
      <c r="AM226" s="34" t="n"/>
      <c r="AN226" s="35">
        <f>IF(AF226="","",IF(AI226="Yes","❌ Disc",IF(AH226="No","⚠ Missing",IF(AK226="Yes","✓ OK","⚠ Check"))))</f>
        <v/>
      </c>
      <c r="AO226" s="36" t="n"/>
      <c r="AP226" s="36" t="n"/>
      <c r="AQ226" s="36" t="n"/>
      <c r="AR226" s="36" t="n"/>
      <c r="AS226" s="36" t="n"/>
      <c r="AT226" s="36" t="n"/>
      <c r="AU226" s="27" t="n"/>
      <c r="AV226" s="37" t="n"/>
      <c r="AW226" s="38">
        <f>IF(AO226="","",IF(AR226="Yes","❌ Disc",IF(AQ226="No","⚠ Missing",IF(AT226="Yes","✓ OK","⚠ Check"))))</f>
        <v/>
      </c>
    </row>
    <row r="227" ht="18" customHeight="1" s="46">
      <c r="A227" s="23" t="n">
        <v>223</v>
      </c>
      <c r="B227" s="24" t="inlineStr">
        <is>
          <t>Soho_702</t>
        </is>
      </c>
      <c r="C227" s="25" t="inlineStr">
        <is>
          <t>Sarom - Soho Fabric(Platinum) - Soho_702</t>
        </is>
      </c>
      <c r="D227" s="23" t="inlineStr">
        <is>
          <t>Sarom</t>
        </is>
      </c>
      <c r="E227" s="43" t="n">
        <v>46125</v>
      </c>
      <c r="F227" s="26" t="inlineStr">
        <is>
          <t>Sunil CR</t>
        </is>
      </c>
      <c r="G227" s="26" t="inlineStr">
        <is>
          <t>Yes</t>
        </is>
      </c>
      <c r="H227" s="26" t="inlineStr">
        <is>
          <t>No</t>
        </is>
      </c>
      <c r="I227" s="26" t="inlineStr">
        <is>
          <t>Good finish</t>
        </is>
      </c>
      <c r="J227" s="26" t="inlineStr">
        <is>
          <t>Yes</t>
        </is>
      </c>
      <c r="K227" s="27" t="n"/>
      <c r="L227" s="28" t="inlineStr">
        <is>
          <t>No</t>
        </is>
      </c>
      <c r="M227" s="29">
        <f>IF(E227="","",IF(H227="Yes","❌ Disc",IF(G227="No","⚠ Missing",IF(J227="Yes","✓ OK","⚠ Check"))))</f>
        <v/>
      </c>
      <c r="N227" s="43" t="n">
        <v>46139</v>
      </c>
      <c r="O227" s="26" t="inlineStr">
        <is>
          <t>Sunil CR</t>
        </is>
      </c>
      <c r="P227" s="26" t="inlineStr">
        <is>
          <t>Yes</t>
        </is>
      </c>
      <c r="Q227" s="26" t="inlineStr">
        <is>
          <t>No</t>
        </is>
      </c>
      <c r="R227" s="26" t="inlineStr">
        <is>
          <t>Good finish</t>
        </is>
      </c>
      <c r="S227" s="26" t="inlineStr">
        <is>
          <t>Yes</t>
        </is>
      </c>
      <c r="T227" s="27" t="n"/>
      <c r="U227" s="28" t="inlineStr">
        <is>
          <t>No</t>
        </is>
      </c>
      <c r="V227" s="29">
        <f>IF(N227="","",IF(Q227="Yes","❌ Disc",IF(P227="No","⚠ Missing",IF(S227="Yes","✓ OK","⚠ Check"))))</f>
        <v/>
      </c>
      <c r="W227" s="65" t="n">
        <v>46248</v>
      </c>
      <c r="X227" s="30" t="inlineStr">
        <is>
          <t>Sunil CR</t>
        </is>
      </c>
      <c r="Y227" s="30" t="inlineStr">
        <is>
          <t>Yes</t>
        </is>
      </c>
      <c r="Z227" s="30" t="n"/>
      <c r="AA227" s="30" t="inlineStr">
        <is>
          <t>Good finish</t>
        </is>
      </c>
      <c r="AB227" s="30" t="inlineStr">
        <is>
          <t>Yes</t>
        </is>
      </c>
      <c r="AC227" s="27" t="n"/>
      <c r="AD227" s="31" t="inlineStr">
        <is>
          <t>No</t>
        </is>
      </c>
      <c r="AE227" s="32">
        <f>IF(W227="","",IF(Z227="Yes","❌ Disc",IF(Y227="No","⚠ Missing",IF(AB227="Yes","✓ OK","⚠ Check"))))</f>
        <v/>
      </c>
      <c r="AF227" s="33" t="n"/>
      <c r="AG227" s="33" t="n"/>
      <c r="AH227" s="33" t="n"/>
      <c r="AI227" s="33" t="n"/>
      <c r="AJ227" s="33" t="n"/>
      <c r="AK227" s="33" t="n"/>
      <c r="AL227" s="27" t="n"/>
      <c r="AM227" s="34" t="n"/>
      <c r="AN227" s="35">
        <f>IF(AF227="","",IF(AI227="Yes","❌ Disc",IF(AH227="No","⚠ Missing",IF(AK227="Yes","✓ OK","⚠ Check"))))</f>
        <v/>
      </c>
      <c r="AO227" s="36" t="n"/>
      <c r="AP227" s="36" t="n"/>
      <c r="AQ227" s="36" t="n"/>
      <c r="AR227" s="36" t="n"/>
      <c r="AS227" s="36" t="n"/>
      <c r="AT227" s="36" t="n"/>
      <c r="AU227" s="27" t="n"/>
      <c r="AV227" s="37" t="n"/>
      <c r="AW227" s="38">
        <f>IF(AO227="","",IF(AR227="Yes","❌ Disc",IF(AQ227="No","⚠ Missing",IF(AT227="Yes","✓ OK","⚠ Check"))))</f>
        <v/>
      </c>
    </row>
    <row r="228" ht="18" customHeight="1" s="46">
      <c r="A228" s="39" t="n">
        <v>224</v>
      </c>
      <c r="B228" s="40" t="inlineStr">
        <is>
          <t>Soho_703</t>
        </is>
      </c>
      <c r="C228" s="41" t="inlineStr">
        <is>
          <t>Sarom - Soho Fabric(Platinum) - Soho_703</t>
        </is>
      </c>
      <c r="D228" s="39" t="inlineStr">
        <is>
          <t>Sarom</t>
        </is>
      </c>
      <c r="E228" s="43" t="n">
        <v>46125</v>
      </c>
      <c r="F228" s="26" t="inlineStr">
        <is>
          <t>Sunil CR</t>
        </is>
      </c>
      <c r="G228" s="26" t="inlineStr">
        <is>
          <t>Yes</t>
        </is>
      </c>
      <c r="H228" s="26" t="inlineStr">
        <is>
          <t>No</t>
        </is>
      </c>
      <c r="I228" s="26" t="inlineStr">
        <is>
          <t>Good finish</t>
        </is>
      </c>
      <c r="J228" s="26" t="inlineStr">
        <is>
          <t>Yes</t>
        </is>
      </c>
      <c r="K228" s="27" t="n"/>
      <c r="L228" s="28" t="inlineStr">
        <is>
          <t>No</t>
        </is>
      </c>
      <c r="M228" s="29">
        <f>IF(E228="","",IF(H228="Yes","❌ Disc",IF(G228="No","⚠ Missing",IF(J228="Yes","✓ OK","⚠ Check"))))</f>
        <v/>
      </c>
      <c r="N228" s="43" t="n">
        <v>46139</v>
      </c>
      <c r="O228" s="26" t="inlineStr">
        <is>
          <t>Sunil CR</t>
        </is>
      </c>
      <c r="P228" s="26" t="inlineStr">
        <is>
          <t>Yes</t>
        </is>
      </c>
      <c r="Q228" s="26" t="inlineStr">
        <is>
          <t>No</t>
        </is>
      </c>
      <c r="R228" s="26" t="inlineStr">
        <is>
          <t>Good finish</t>
        </is>
      </c>
      <c r="S228" s="26" t="inlineStr">
        <is>
          <t>Yes</t>
        </is>
      </c>
      <c r="T228" s="27" t="n"/>
      <c r="U228" s="28" t="inlineStr">
        <is>
          <t>No</t>
        </is>
      </c>
      <c r="V228" s="29">
        <f>IF(N228="","",IF(Q228="Yes","❌ Disc",IF(P228="No","⚠ Missing",IF(S228="Yes","✓ OK","⚠ Check"))))</f>
        <v/>
      </c>
      <c r="W228" s="65" t="n">
        <v>46248</v>
      </c>
      <c r="X228" s="30" t="inlineStr">
        <is>
          <t>Sunil CR</t>
        </is>
      </c>
      <c r="Y228" s="30" t="inlineStr">
        <is>
          <t>Yes</t>
        </is>
      </c>
      <c r="Z228" s="30" t="n"/>
      <c r="AA228" s="30" t="inlineStr">
        <is>
          <t>Good finish</t>
        </is>
      </c>
      <c r="AB228" s="30" t="inlineStr">
        <is>
          <t>Yes</t>
        </is>
      </c>
      <c r="AC228" s="27" t="n"/>
      <c r="AD228" s="31" t="inlineStr">
        <is>
          <t>No</t>
        </is>
      </c>
      <c r="AE228" s="32">
        <f>IF(W228="","",IF(Z228="Yes","❌ Disc",IF(Y228="No","⚠ Missing",IF(AB228="Yes","✓ OK","⚠ Check"))))</f>
        <v/>
      </c>
      <c r="AF228" s="33" t="n"/>
      <c r="AG228" s="33" t="n"/>
      <c r="AH228" s="33" t="n"/>
      <c r="AI228" s="33" t="n"/>
      <c r="AJ228" s="33" t="n"/>
      <c r="AK228" s="33" t="n"/>
      <c r="AL228" s="27" t="n"/>
      <c r="AM228" s="34" t="n"/>
      <c r="AN228" s="35">
        <f>IF(AF228="","",IF(AI228="Yes","❌ Disc",IF(AH228="No","⚠ Missing",IF(AK228="Yes","✓ OK","⚠ Check"))))</f>
        <v/>
      </c>
      <c r="AO228" s="36" t="n"/>
      <c r="AP228" s="36" t="n"/>
      <c r="AQ228" s="36" t="n"/>
      <c r="AR228" s="36" t="n"/>
      <c r="AS228" s="36" t="n"/>
      <c r="AT228" s="36" t="n"/>
      <c r="AU228" s="27" t="n"/>
      <c r="AV228" s="37" t="n"/>
      <c r="AW228" s="38">
        <f>IF(AO228="","",IF(AR228="Yes","❌ Disc",IF(AQ228="No","⚠ Missing",IF(AT228="Yes","✓ OK","⚠ Check"))))</f>
        <v/>
      </c>
    </row>
    <row r="229" ht="18" customHeight="1" s="46">
      <c r="A229" s="23" t="n">
        <v>225</v>
      </c>
      <c r="B229" s="24" t="inlineStr">
        <is>
          <t>Soho_704</t>
        </is>
      </c>
      <c r="C229" s="25" t="inlineStr">
        <is>
          <t>Sarom - Soho Fabric(Platinum) - Soho_704</t>
        </is>
      </c>
      <c r="D229" s="23" t="inlineStr">
        <is>
          <t>Sarom</t>
        </is>
      </c>
      <c r="E229" s="43" t="n">
        <v>46125</v>
      </c>
      <c r="F229" s="26" t="inlineStr">
        <is>
          <t>Sunil CR</t>
        </is>
      </c>
      <c r="G229" s="26" t="inlineStr">
        <is>
          <t>Yes</t>
        </is>
      </c>
      <c r="H229" s="26" t="inlineStr">
        <is>
          <t>No</t>
        </is>
      </c>
      <c r="I229" s="26" t="inlineStr">
        <is>
          <t>Good finish</t>
        </is>
      </c>
      <c r="J229" s="26" t="inlineStr">
        <is>
          <t>Yes</t>
        </is>
      </c>
      <c r="K229" s="27" t="n"/>
      <c r="L229" s="28" t="inlineStr">
        <is>
          <t>No</t>
        </is>
      </c>
      <c r="M229" s="29">
        <f>IF(E229="","",IF(H229="Yes","❌ Disc",IF(G229="No","⚠ Missing",IF(J229="Yes","✓ OK","⚠ Check"))))</f>
        <v/>
      </c>
      <c r="N229" s="43" t="n">
        <v>46139</v>
      </c>
      <c r="O229" s="26" t="inlineStr">
        <is>
          <t>Sunil CR</t>
        </is>
      </c>
      <c r="P229" s="26" t="inlineStr">
        <is>
          <t>Yes</t>
        </is>
      </c>
      <c r="Q229" s="26" t="inlineStr">
        <is>
          <t>No</t>
        </is>
      </c>
      <c r="R229" s="26" t="inlineStr">
        <is>
          <t>Good finish</t>
        </is>
      </c>
      <c r="S229" s="26" t="inlineStr">
        <is>
          <t>Yes</t>
        </is>
      </c>
      <c r="T229" s="27" t="n"/>
      <c r="U229" s="28" t="inlineStr">
        <is>
          <t>No</t>
        </is>
      </c>
      <c r="V229" s="29">
        <f>IF(N229="","",IF(Q229="Yes","❌ Disc",IF(P229="No","⚠ Missing",IF(S229="Yes","✓ OK","⚠ Check"))))</f>
        <v/>
      </c>
      <c r="W229" s="65" t="n">
        <v>46248</v>
      </c>
      <c r="X229" s="30" t="inlineStr">
        <is>
          <t>Sunil CR</t>
        </is>
      </c>
      <c r="Y229" s="30" t="inlineStr">
        <is>
          <t>Yes</t>
        </is>
      </c>
      <c r="Z229" s="30" t="n"/>
      <c r="AA229" s="30" t="inlineStr">
        <is>
          <t>Good finish</t>
        </is>
      </c>
      <c r="AB229" s="30" t="inlineStr">
        <is>
          <t>Yes</t>
        </is>
      </c>
      <c r="AC229" s="27" t="n"/>
      <c r="AD229" s="31" t="inlineStr">
        <is>
          <t>No</t>
        </is>
      </c>
      <c r="AE229" s="32">
        <f>IF(W229="","",IF(Z229="Yes","❌ Disc",IF(Y229="No","⚠ Missing",IF(AB229="Yes","✓ OK","⚠ Check"))))</f>
        <v/>
      </c>
      <c r="AF229" s="33" t="n"/>
      <c r="AG229" s="33" t="n"/>
      <c r="AH229" s="33" t="n"/>
      <c r="AI229" s="33" t="n"/>
      <c r="AJ229" s="33" t="n"/>
      <c r="AK229" s="33" t="n"/>
      <c r="AL229" s="27" t="n"/>
      <c r="AM229" s="34" t="n"/>
      <c r="AN229" s="35">
        <f>IF(AF229="","",IF(AI229="Yes","❌ Disc",IF(AH229="No","⚠ Missing",IF(AK229="Yes","✓ OK","⚠ Check"))))</f>
        <v/>
      </c>
      <c r="AO229" s="36" t="n"/>
      <c r="AP229" s="36" t="n"/>
      <c r="AQ229" s="36" t="n"/>
      <c r="AR229" s="36" t="n"/>
      <c r="AS229" s="36" t="n"/>
      <c r="AT229" s="36" t="n"/>
      <c r="AU229" s="27" t="n"/>
      <c r="AV229" s="37" t="n"/>
      <c r="AW229" s="38">
        <f>IF(AO229="","",IF(AR229="Yes","❌ Disc",IF(AQ229="No","⚠ Missing",IF(AT229="Yes","✓ OK","⚠ Check"))))</f>
        <v/>
      </c>
    </row>
    <row r="230" ht="18" customHeight="1" s="46">
      <c r="A230" s="39" t="n">
        <v>226</v>
      </c>
      <c r="B230" s="40" t="inlineStr">
        <is>
          <t>Soho_705</t>
        </is>
      </c>
      <c r="C230" s="41" t="inlineStr">
        <is>
          <t>Sarom - Soho Fabric(Platinum) - Soho_705</t>
        </is>
      </c>
      <c r="D230" s="39" t="inlineStr">
        <is>
          <t>Sarom</t>
        </is>
      </c>
      <c r="E230" s="43" t="n">
        <v>46125</v>
      </c>
      <c r="F230" s="26" t="inlineStr">
        <is>
          <t>Sunil CR</t>
        </is>
      </c>
      <c r="G230" s="26" t="inlineStr">
        <is>
          <t>Yes</t>
        </is>
      </c>
      <c r="H230" s="26" t="inlineStr">
        <is>
          <t>No</t>
        </is>
      </c>
      <c r="I230" s="26" t="inlineStr">
        <is>
          <t>Good finish</t>
        </is>
      </c>
      <c r="J230" s="26" t="inlineStr">
        <is>
          <t>Yes</t>
        </is>
      </c>
      <c r="K230" s="27" t="n"/>
      <c r="L230" s="28" t="inlineStr">
        <is>
          <t>No</t>
        </is>
      </c>
      <c r="M230" s="29">
        <f>IF(E230="","",IF(H230="Yes","❌ Disc",IF(G230="No","⚠ Missing",IF(J230="Yes","✓ OK","⚠ Check"))))</f>
        <v/>
      </c>
      <c r="N230" s="43" t="n">
        <v>46139</v>
      </c>
      <c r="O230" s="26" t="inlineStr">
        <is>
          <t>Sunil CR</t>
        </is>
      </c>
      <c r="P230" s="26" t="inlineStr">
        <is>
          <t>Yes</t>
        </is>
      </c>
      <c r="Q230" s="26" t="inlineStr">
        <is>
          <t>No</t>
        </is>
      </c>
      <c r="R230" s="26" t="inlineStr">
        <is>
          <t>Good finish</t>
        </is>
      </c>
      <c r="S230" s="26" t="inlineStr">
        <is>
          <t>Yes</t>
        </is>
      </c>
      <c r="T230" s="27" t="n"/>
      <c r="U230" s="28" t="inlineStr">
        <is>
          <t>No</t>
        </is>
      </c>
      <c r="V230" s="29">
        <f>IF(N230="","",IF(Q230="Yes","❌ Disc",IF(P230="No","⚠ Missing",IF(S230="Yes","✓ OK","⚠ Check"))))</f>
        <v/>
      </c>
      <c r="W230" s="65" t="n">
        <v>46248</v>
      </c>
      <c r="X230" s="30" t="inlineStr">
        <is>
          <t>Sunil CR</t>
        </is>
      </c>
      <c r="Y230" s="30" t="inlineStr">
        <is>
          <t>Yes</t>
        </is>
      </c>
      <c r="Z230" s="30" t="n"/>
      <c r="AA230" s="30" t="inlineStr">
        <is>
          <t>Good finish</t>
        </is>
      </c>
      <c r="AB230" s="30" t="inlineStr">
        <is>
          <t>Yes</t>
        </is>
      </c>
      <c r="AC230" s="27" t="n"/>
      <c r="AD230" s="31" t="inlineStr">
        <is>
          <t>No</t>
        </is>
      </c>
      <c r="AE230" s="32">
        <f>IF(W230="","",IF(Z230="Yes","❌ Disc",IF(Y230="No","⚠ Missing",IF(AB230="Yes","✓ OK","⚠ Check"))))</f>
        <v/>
      </c>
      <c r="AF230" s="33" t="n"/>
      <c r="AG230" s="33" t="n"/>
      <c r="AH230" s="33" t="n"/>
      <c r="AI230" s="33" t="n"/>
      <c r="AJ230" s="33" t="n"/>
      <c r="AK230" s="33" t="n"/>
      <c r="AL230" s="27" t="n"/>
      <c r="AM230" s="34" t="n"/>
      <c r="AN230" s="35">
        <f>IF(AF230="","",IF(AI230="Yes","❌ Disc",IF(AH230="No","⚠ Missing",IF(AK230="Yes","✓ OK","⚠ Check"))))</f>
        <v/>
      </c>
      <c r="AO230" s="36" t="n"/>
      <c r="AP230" s="36" t="n"/>
      <c r="AQ230" s="36" t="n"/>
      <c r="AR230" s="36" t="n"/>
      <c r="AS230" s="36" t="n"/>
      <c r="AT230" s="36" t="n"/>
      <c r="AU230" s="27" t="n"/>
      <c r="AV230" s="37" t="n"/>
      <c r="AW230" s="38">
        <f>IF(AO230="","",IF(AR230="Yes","❌ Disc",IF(AQ230="No","⚠ Missing",IF(AT230="Yes","✓ OK","⚠ Check"))))</f>
        <v/>
      </c>
    </row>
    <row r="231" ht="18" customHeight="1" s="46">
      <c r="A231" s="23" t="n">
        <v>227</v>
      </c>
      <c r="B231" s="24" t="inlineStr">
        <is>
          <t>Soho_706</t>
        </is>
      </c>
      <c r="C231" s="25" t="inlineStr">
        <is>
          <t>Sarom - Soho Fabric(Platinum) - Soho_706</t>
        </is>
      </c>
      <c r="D231" s="23" t="inlineStr">
        <is>
          <t>Sarom</t>
        </is>
      </c>
      <c r="E231" s="43" t="n">
        <v>46125</v>
      </c>
      <c r="F231" s="26" t="inlineStr">
        <is>
          <t>Sunil CR</t>
        </is>
      </c>
      <c r="G231" s="26" t="inlineStr">
        <is>
          <t>Yes</t>
        </is>
      </c>
      <c r="H231" s="26" t="inlineStr">
        <is>
          <t>No</t>
        </is>
      </c>
      <c r="I231" s="26" t="inlineStr">
        <is>
          <t>Good finish</t>
        </is>
      </c>
      <c r="J231" s="26" t="inlineStr">
        <is>
          <t>Yes</t>
        </is>
      </c>
      <c r="K231" s="27" t="n"/>
      <c r="L231" s="28" t="inlineStr">
        <is>
          <t>No</t>
        </is>
      </c>
      <c r="M231" s="29">
        <f>IF(E231="","",IF(H231="Yes","❌ Disc",IF(G231="No","⚠ Missing",IF(J231="Yes","✓ OK","⚠ Check"))))</f>
        <v/>
      </c>
      <c r="N231" s="43" t="n">
        <v>46139</v>
      </c>
      <c r="O231" s="26" t="inlineStr">
        <is>
          <t>Sunil CR</t>
        </is>
      </c>
      <c r="P231" s="26" t="inlineStr">
        <is>
          <t>Yes</t>
        </is>
      </c>
      <c r="Q231" s="26" t="inlineStr">
        <is>
          <t>No</t>
        </is>
      </c>
      <c r="R231" s="26" t="inlineStr">
        <is>
          <t>Good finish</t>
        </is>
      </c>
      <c r="S231" s="26" t="inlineStr">
        <is>
          <t>Yes</t>
        </is>
      </c>
      <c r="T231" s="27" t="n"/>
      <c r="U231" s="28" t="inlineStr">
        <is>
          <t>No</t>
        </is>
      </c>
      <c r="V231" s="29">
        <f>IF(N231="","",IF(Q231="Yes","❌ Disc",IF(P231="No","⚠ Missing",IF(S231="Yes","✓ OK","⚠ Check"))))</f>
        <v/>
      </c>
      <c r="W231" s="65" t="n">
        <v>46248</v>
      </c>
      <c r="X231" s="30" t="inlineStr">
        <is>
          <t>Sunil CR</t>
        </is>
      </c>
      <c r="Y231" s="30" t="inlineStr">
        <is>
          <t>Yes</t>
        </is>
      </c>
      <c r="Z231" s="30" t="n"/>
      <c r="AA231" s="30" t="inlineStr">
        <is>
          <t>Good finish</t>
        </is>
      </c>
      <c r="AB231" s="30" t="inlineStr">
        <is>
          <t>Yes</t>
        </is>
      </c>
      <c r="AC231" s="27" t="n"/>
      <c r="AD231" s="31" t="inlineStr">
        <is>
          <t>No</t>
        </is>
      </c>
      <c r="AE231" s="32">
        <f>IF(W231="","",IF(Z231="Yes","❌ Disc",IF(Y231="No","⚠ Missing",IF(AB231="Yes","✓ OK","⚠ Check"))))</f>
        <v/>
      </c>
      <c r="AF231" s="33" t="n"/>
      <c r="AG231" s="33" t="n"/>
      <c r="AH231" s="33" t="n"/>
      <c r="AI231" s="33" t="n"/>
      <c r="AJ231" s="33" t="n"/>
      <c r="AK231" s="33" t="n"/>
      <c r="AL231" s="27" t="n"/>
      <c r="AM231" s="34" t="n"/>
      <c r="AN231" s="35">
        <f>IF(AF231="","",IF(AI231="Yes","❌ Disc",IF(AH231="No","⚠ Missing",IF(AK231="Yes","✓ OK","⚠ Check"))))</f>
        <v/>
      </c>
      <c r="AO231" s="36" t="n"/>
      <c r="AP231" s="36" t="n"/>
      <c r="AQ231" s="36" t="n"/>
      <c r="AR231" s="36" t="n"/>
      <c r="AS231" s="36" t="n"/>
      <c r="AT231" s="36" t="n"/>
      <c r="AU231" s="27" t="n"/>
      <c r="AV231" s="37" t="n"/>
      <c r="AW231" s="38">
        <f>IF(AO231="","",IF(AR231="Yes","❌ Disc",IF(AQ231="No","⚠ Missing",IF(AT231="Yes","✓ OK","⚠ Check"))))</f>
        <v/>
      </c>
    </row>
    <row r="232" ht="18" customHeight="1" s="46">
      <c r="A232" s="39" t="n">
        <v>228</v>
      </c>
      <c r="B232" s="40" t="inlineStr">
        <is>
          <t>Soho_707</t>
        </is>
      </c>
      <c r="C232" s="41" t="inlineStr">
        <is>
          <t>Sarom - Soho Fabric(Platinum) - Soho_707</t>
        </is>
      </c>
      <c r="D232" s="39" t="inlineStr">
        <is>
          <t>Sarom</t>
        </is>
      </c>
      <c r="E232" s="43" t="n">
        <v>46125</v>
      </c>
      <c r="F232" s="26" t="inlineStr">
        <is>
          <t>Sunil CR</t>
        </is>
      </c>
      <c r="G232" s="26" t="inlineStr">
        <is>
          <t>Yes</t>
        </is>
      </c>
      <c r="H232" s="26" t="inlineStr">
        <is>
          <t>No</t>
        </is>
      </c>
      <c r="I232" s="26" t="inlineStr">
        <is>
          <t>Good finish</t>
        </is>
      </c>
      <c r="J232" s="26" t="inlineStr">
        <is>
          <t>Yes</t>
        </is>
      </c>
      <c r="K232" s="27" t="n"/>
      <c r="L232" s="28" t="inlineStr">
        <is>
          <t>No</t>
        </is>
      </c>
      <c r="M232" s="29">
        <f>IF(E232="","",IF(H232="Yes","❌ Disc",IF(G232="No","⚠ Missing",IF(J232="Yes","✓ OK","⚠ Check"))))</f>
        <v/>
      </c>
      <c r="N232" s="43" t="n">
        <v>46139</v>
      </c>
      <c r="O232" s="26" t="inlineStr">
        <is>
          <t>Sunil CR</t>
        </is>
      </c>
      <c r="P232" s="26" t="inlineStr">
        <is>
          <t>Yes</t>
        </is>
      </c>
      <c r="Q232" s="26" t="inlineStr">
        <is>
          <t>No</t>
        </is>
      </c>
      <c r="R232" s="26" t="inlineStr">
        <is>
          <t>Good finish</t>
        </is>
      </c>
      <c r="S232" s="26" t="inlineStr">
        <is>
          <t>Yes</t>
        </is>
      </c>
      <c r="T232" s="27" t="n"/>
      <c r="U232" s="28" t="inlineStr">
        <is>
          <t>No</t>
        </is>
      </c>
      <c r="V232" s="29">
        <f>IF(N232="","",IF(Q232="Yes","❌ Disc",IF(P232="No","⚠ Missing",IF(S232="Yes","✓ OK","⚠ Check"))))</f>
        <v/>
      </c>
      <c r="W232" s="65" t="n">
        <v>46248</v>
      </c>
      <c r="X232" s="30" t="inlineStr">
        <is>
          <t>Sunil CR</t>
        </is>
      </c>
      <c r="Y232" s="30" t="inlineStr">
        <is>
          <t>Yes</t>
        </is>
      </c>
      <c r="Z232" s="30" t="n"/>
      <c r="AA232" s="30" t="inlineStr">
        <is>
          <t>Good finish</t>
        </is>
      </c>
      <c r="AB232" s="30" t="inlineStr">
        <is>
          <t>Yes</t>
        </is>
      </c>
      <c r="AC232" s="27" t="n"/>
      <c r="AD232" s="31" t="inlineStr">
        <is>
          <t>No</t>
        </is>
      </c>
      <c r="AE232" s="32">
        <f>IF(W232="","",IF(Z232="Yes","❌ Disc",IF(Y232="No","⚠ Missing",IF(AB232="Yes","✓ OK","⚠ Check"))))</f>
        <v/>
      </c>
      <c r="AF232" s="33" t="n"/>
      <c r="AG232" s="33" t="n"/>
      <c r="AH232" s="33" t="n"/>
      <c r="AI232" s="33" t="n"/>
      <c r="AJ232" s="33" t="n"/>
      <c r="AK232" s="33" t="n"/>
      <c r="AL232" s="27" t="n"/>
      <c r="AM232" s="34" t="n"/>
      <c r="AN232" s="35">
        <f>IF(AF232="","",IF(AI232="Yes","❌ Disc",IF(AH232="No","⚠ Missing",IF(AK232="Yes","✓ OK","⚠ Check"))))</f>
        <v/>
      </c>
      <c r="AO232" s="36" t="n"/>
      <c r="AP232" s="36" t="n"/>
      <c r="AQ232" s="36" t="n"/>
      <c r="AR232" s="36" t="n"/>
      <c r="AS232" s="36" t="n"/>
      <c r="AT232" s="36" t="n"/>
      <c r="AU232" s="27" t="n"/>
      <c r="AV232" s="37" t="n"/>
      <c r="AW232" s="38">
        <f>IF(AO232="","",IF(AR232="Yes","❌ Disc",IF(AQ232="No","⚠ Missing",IF(AT232="Yes","✓ OK","⚠ Check"))))</f>
        <v/>
      </c>
    </row>
    <row r="233" ht="18" customHeight="1" s="46">
      <c r="A233" s="23" t="n">
        <v>229</v>
      </c>
      <c r="B233" s="24" t="inlineStr">
        <is>
          <t>Soho_708</t>
        </is>
      </c>
      <c r="C233" s="25" t="inlineStr">
        <is>
          <t>Sarom - Soho Fabric(Platinum) - Soho_708</t>
        </is>
      </c>
      <c r="D233" s="23" t="inlineStr">
        <is>
          <t>Sarom</t>
        </is>
      </c>
      <c r="E233" s="43" t="n">
        <v>46125</v>
      </c>
      <c r="F233" s="26" t="inlineStr">
        <is>
          <t>Sunil CR</t>
        </is>
      </c>
      <c r="G233" s="26" t="inlineStr">
        <is>
          <t>Yes</t>
        </is>
      </c>
      <c r="H233" s="26" t="inlineStr">
        <is>
          <t>No</t>
        </is>
      </c>
      <c r="I233" s="26" t="inlineStr">
        <is>
          <t>Good finish</t>
        </is>
      </c>
      <c r="J233" s="26" t="inlineStr">
        <is>
          <t>Yes</t>
        </is>
      </c>
      <c r="K233" s="27" t="n"/>
      <c r="L233" s="28" t="inlineStr">
        <is>
          <t>No</t>
        </is>
      </c>
      <c r="M233" s="29">
        <f>IF(E233="","",IF(H233="Yes","❌ Disc",IF(G233="No","⚠ Missing",IF(J233="Yes","✓ OK","⚠ Check"))))</f>
        <v/>
      </c>
      <c r="N233" s="43" t="n">
        <v>46139</v>
      </c>
      <c r="O233" s="26" t="inlineStr">
        <is>
          <t>Sunil CR</t>
        </is>
      </c>
      <c r="P233" s="26" t="inlineStr">
        <is>
          <t>Yes</t>
        </is>
      </c>
      <c r="Q233" s="26" t="inlineStr">
        <is>
          <t>No</t>
        </is>
      </c>
      <c r="R233" s="26" t="inlineStr">
        <is>
          <t>Good finish</t>
        </is>
      </c>
      <c r="S233" s="26" t="inlineStr">
        <is>
          <t>Yes</t>
        </is>
      </c>
      <c r="T233" s="27" t="n"/>
      <c r="U233" s="28" t="inlineStr">
        <is>
          <t>No</t>
        </is>
      </c>
      <c r="V233" s="29">
        <f>IF(N233="","",IF(Q233="Yes","❌ Disc",IF(P233="No","⚠ Missing",IF(S233="Yes","✓ OK","⚠ Check"))))</f>
        <v/>
      </c>
      <c r="W233" s="65" t="n">
        <v>46248</v>
      </c>
      <c r="X233" s="30" t="inlineStr">
        <is>
          <t>Sunil CR</t>
        </is>
      </c>
      <c r="Y233" s="30" t="inlineStr">
        <is>
          <t>Yes</t>
        </is>
      </c>
      <c r="Z233" s="30" t="n"/>
      <c r="AA233" s="30" t="inlineStr">
        <is>
          <t>Good finish</t>
        </is>
      </c>
      <c r="AB233" s="30" t="inlineStr">
        <is>
          <t>Yes</t>
        </is>
      </c>
      <c r="AC233" s="27" t="n"/>
      <c r="AD233" s="31" t="inlineStr">
        <is>
          <t>No</t>
        </is>
      </c>
      <c r="AE233" s="32">
        <f>IF(W233="","",IF(Z233="Yes","❌ Disc",IF(Y233="No","⚠ Missing",IF(AB233="Yes","✓ OK","⚠ Check"))))</f>
        <v/>
      </c>
      <c r="AF233" s="33" t="n"/>
      <c r="AG233" s="33" t="n"/>
      <c r="AH233" s="33" t="n"/>
      <c r="AI233" s="33" t="n"/>
      <c r="AJ233" s="33" t="n"/>
      <c r="AK233" s="33" t="n"/>
      <c r="AL233" s="27" t="n"/>
      <c r="AM233" s="34" t="n"/>
      <c r="AN233" s="35">
        <f>IF(AF233="","",IF(AI233="Yes","❌ Disc",IF(AH233="No","⚠ Missing",IF(AK233="Yes","✓ OK","⚠ Check"))))</f>
        <v/>
      </c>
      <c r="AO233" s="36" t="n"/>
      <c r="AP233" s="36" t="n"/>
      <c r="AQ233" s="36" t="n"/>
      <c r="AR233" s="36" t="n"/>
      <c r="AS233" s="36" t="n"/>
      <c r="AT233" s="36" t="n"/>
      <c r="AU233" s="27" t="n"/>
      <c r="AV233" s="37" t="n"/>
      <c r="AW233" s="38">
        <f>IF(AO233="","",IF(AR233="Yes","❌ Disc",IF(AQ233="No","⚠ Missing",IF(AT233="Yes","✓ OK","⚠ Check"))))</f>
        <v/>
      </c>
    </row>
    <row r="234" ht="18" customHeight="1" s="46">
      <c r="A234" s="39" t="n">
        <v>230</v>
      </c>
      <c r="B234" s="40" t="inlineStr">
        <is>
          <t>Soho_709</t>
        </is>
      </c>
      <c r="C234" s="41" t="inlineStr">
        <is>
          <t>Sarom - Soho Fabric(Platinum) - Soho_709</t>
        </is>
      </c>
      <c r="D234" s="39" t="inlineStr">
        <is>
          <t>Sarom</t>
        </is>
      </c>
      <c r="E234" s="43" t="n">
        <v>46125</v>
      </c>
      <c r="F234" s="26" t="inlineStr">
        <is>
          <t>Sunil CR</t>
        </is>
      </c>
      <c r="G234" s="26" t="inlineStr">
        <is>
          <t>Yes</t>
        </is>
      </c>
      <c r="H234" s="26" t="inlineStr">
        <is>
          <t>No</t>
        </is>
      </c>
      <c r="I234" s="26" t="inlineStr">
        <is>
          <t>Good finish</t>
        </is>
      </c>
      <c r="J234" s="26" t="inlineStr">
        <is>
          <t>Yes</t>
        </is>
      </c>
      <c r="K234" s="27" t="n"/>
      <c r="L234" s="28" t="inlineStr">
        <is>
          <t>No</t>
        </is>
      </c>
      <c r="M234" s="29">
        <f>IF(E234="","",IF(H234="Yes","❌ Disc",IF(G234="No","⚠ Missing",IF(J234="Yes","✓ OK","⚠ Check"))))</f>
        <v/>
      </c>
      <c r="N234" s="43" t="n">
        <v>46139</v>
      </c>
      <c r="O234" s="26" t="inlineStr">
        <is>
          <t>Sunil CR</t>
        </is>
      </c>
      <c r="P234" s="26" t="inlineStr">
        <is>
          <t>Yes</t>
        </is>
      </c>
      <c r="Q234" s="26" t="inlineStr">
        <is>
          <t>No</t>
        </is>
      </c>
      <c r="R234" s="26" t="inlineStr">
        <is>
          <t>Good finish</t>
        </is>
      </c>
      <c r="S234" s="26" t="inlineStr">
        <is>
          <t>Yes</t>
        </is>
      </c>
      <c r="T234" s="27" t="n"/>
      <c r="U234" s="28" t="inlineStr">
        <is>
          <t>No</t>
        </is>
      </c>
      <c r="V234" s="29">
        <f>IF(N234="","",IF(Q234="Yes","❌ Disc",IF(P234="No","⚠ Missing",IF(S234="Yes","✓ OK","⚠ Check"))))</f>
        <v/>
      </c>
      <c r="W234" s="65" t="n">
        <v>46248</v>
      </c>
      <c r="X234" s="30" t="inlineStr">
        <is>
          <t>Sunil CR</t>
        </is>
      </c>
      <c r="Y234" s="30" t="inlineStr">
        <is>
          <t>Yes</t>
        </is>
      </c>
      <c r="Z234" s="30" t="n"/>
      <c r="AA234" s="30" t="inlineStr">
        <is>
          <t>Good finish</t>
        </is>
      </c>
      <c r="AB234" s="30" t="inlineStr">
        <is>
          <t>Yes</t>
        </is>
      </c>
      <c r="AC234" s="27" t="n"/>
      <c r="AD234" s="31" t="inlineStr">
        <is>
          <t>No</t>
        </is>
      </c>
      <c r="AE234" s="32">
        <f>IF(W234="","",IF(Z234="Yes","❌ Disc",IF(Y234="No","⚠ Missing",IF(AB234="Yes","✓ OK","⚠ Check"))))</f>
        <v/>
      </c>
      <c r="AF234" s="33" t="n"/>
      <c r="AG234" s="33" t="n"/>
      <c r="AH234" s="33" t="n"/>
      <c r="AI234" s="33" t="n"/>
      <c r="AJ234" s="33" t="n"/>
      <c r="AK234" s="33" t="n"/>
      <c r="AL234" s="27" t="n"/>
      <c r="AM234" s="34" t="n"/>
      <c r="AN234" s="35">
        <f>IF(AF234="","",IF(AI234="Yes","❌ Disc",IF(AH234="No","⚠ Missing",IF(AK234="Yes","✓ OK","⚠ Check"))))</f>
        <v/>
      </c>
      <c r="AO234" s="36" t="n"/>
      <c r="AP234" s="36" t="n"/>
      <c r="AQ234" s="36" t="n"/>
      <c r="AR234" s="36" t="n"/>
      <c r="AS234" s="36" t="n"/>
      <c r="AT234" s="36" t="n"/>
      <c r="AU234" s="27" t="n"/>
      <c r="AV234" s="37" t="n"/>
      <c r="AW234" s="38">
        <f>IF(AO234="","",IF(AR234="Yes","❌ Disc",IF(AQ234="No","⚠ Missing",IF(AT234="Yes","✓ OK","⚠ Check"))))</f>
        <v/>
      </c>
    </row>
    <row r="235" ht="18" customHeight="1" s="46">
      <c r="A235" s="23" t="n">
        <v>231</v>
      </c>
      <c r="B235" s="24" t="inlineStr">
        <is>
          <t>Soho_710</t>
        </is>
      </c>
      <c r="C235" s="25" t="inlineStr">
        <is>
          <t>Sarom - Soho Fabric(Platinum) - Soho_710</t>
        </is>
      </c>
      <c r="D235" s="23" t="inlineStr">
        <is>
          <t>Sarom</t>
        </is>
      </c>
      <c r="E235" s="43" t="n">
        <v>46125</v>
      </c>
      <c r="F235" s="26" t="inlineStr">
        <is>
          <t>Sunil CR</t>
        </is>
      </c>
      <c r="G235" s="26" t="inlineStr">
        <is>
          <t>Yes</t>
        </is>
      </c>
      <c r="H235" s="26" t="inlineStr">
        <is>
          <t>No</t>
        </is>
      </c>
      <c r="I235" s="26" t="inlineStr">
        <is>
          <t>Good finish</t>
        </is>
      </c>
      <c r="J235" s="26" t="inlineStr">
        <is>
          <t>Yes</t>
        </is>
      </c>
      <c r="K235" s="27" t="n"/>
      <c r="L235" s="28" t="inlineStr">
        <is>
          <t>No</t>
        </is>
      </c>
      <c r="M235" s="29">
        <f>IF(E235="","",IF(H235="Yes","❌ Disc",IF(G235="No","⚠ Missing",IF(J235="Yes","✓ OK","⚠ Check"))))</f>
        <v/>
      </c>
      <c r="N235" s="43" t="n">
        <v>46139</v>
      </c>
      <c r="O235" s="26" t="inlineStr">
        <is>
          <t>Sunil CR</t>
        </is>
      </c>
      <c r="P235" s="26" t="inlineStr">
        <is>
          <t>Yes</t>
        </is>
      </c>
      <c r="Q235" s="26" t="inlineStr">
        <is>
          <t>No</t>
        </is>
      </c>
      <c r="R235" s="26" t="inlineStr">
        <is>
          <t>Good finish</t>
        </is>
      </c>
      <c r="S235" s="26" t="inlineStr">
        <is>
          <t>Yes</t>
        </is>
      </c>
      <c r="T235" s="27" t="n"/>
      <c r="U235" s="28" t="inlineStr">
        <is>
          <t>No</t>
        </is>
      </c>
      <c r="V235" s="29">
        <f>IF(N235="","",IF(Q235="Yes","❌ Disc",IF(P235="No","⚠ Missing",IF(S235="Yes","✓ OK","⚠ Check"))))</f>
        <v/>
      </c>
      <c r="W235" s="65" t="n">
        <v>46248</v>
      </c>
      <c r="X235" s="30" t="inlineStr">
        <is>
          <t>Sunil CR</t>
        </is>
      </c>
      <c r="Y235" s="30" t="inlineStr">
        <is>
          <t>Yes</t>
        </is>
      </c>
      <c r="Z235" s="30" t="n"/>
      <c r="AA235" s="30" t="inlineStr">
        <is>
          <t>Good finish</t>
        </is>
      </c>
      <c r="AB235" s="30" t="inlineStr">
        <is>
          <t>Yes</t>
        </is>
      </c>
      <c r="AC235" s="27" t="n"/>
      <c r="AD235" s="31" t="inlineStr">
        <is>
          <t>No</t>
        </is>
      </c>
      <c r="AE235" s="32">
        <f>IF(W235="","",IF(Z235="Yes","❌ Disc",IF(Y235="No","⚠ Missing",IF(AB235="Yes","✓ OK","⚠ Check"))))</f>
        <v/>
      </c>
      <c r="AF235" s="33" t="n"/>
      <c r="AG235" s="33" t="n"/>
      <c r="AH235" s="33" t="n"/>
      <c r="AI235" s="33" t="n"/>
      <c r="AJ235" s="33" t="n"/>
      <c r="AK235" s="33" t="n"/>
      <c r="AL235" s="27" t="n"/>
      <c r="AM235" s="34" t="n"/>
      <c r="AN235" s="35">
        <f>IF(AF235="","",IF(AI235="Yes","❌ Disc",IF(AH235="No","⚠ Missing",IF(AK235="Yes","✓ OK","⚠ Check"))))</f>
        <v/>
      </c>
      <c r="AO235" s="36" t="n"/>
      <c r="AP235" s="36" t="n"/>
      <c r="AQ235" s="36" t="n"/>
      <c r="AR235" s="36" t="n"/>
      <c r="AS235" s="36" t="n"/>
      <c r="AT235" s="36" t="n"/>
      <c r="AU235" s="27" t="n"/>
      <c r="AV235" s="37" t="n"/>
      <c r="AW235" s="38">
        <f>IF(AO235="","",IF(AR235="Yes","❌ Disc",IF(AQ235="No","⚠ Missing",IF(AT235="Yes","✓ OK","⚠ Check"))))</f>
        <v/>
      </c>
    </row>
    <row r="236" ht="18" customHeight="1" s="46">
      <c r="A236" s="39" t="n">
        <v>232</v>
      </c>
      <c r="B236" s="40" t="inlineStr">
        <is>
          <t>Soho_711</t>
        </is>
      </c>
      <c r="C236" s="41" t="inlineStr">
        <is>
          <t>Sarom - Soho Fabric(Platinum) - Soho_711</t>
        </is>
      </c>
      <c r="D236" s="39" t="inlineStr">
        <is>
          <t>Sarom</t>
        </is>
      </c>
      <c r="E236" s="43" t="n">
        <v>46125</v>
      </c>
      <c r="F236" s="26" t="inlineStr">
        <is>
          <t>Sunil CR</t>
        </is>
      </c>
      <c r="G236" s="26" t="inlineStr">
        <is>
          <t>Yes</t>
        </is>
      </c>
      <c r="H236" s="26" t="inlineStr">
        <is>
          <t>No</t>
        </is>
      </c>
      <c r="I236" s="26" t="inlineStr">
        <is>
          <t>Good finish</t>
        </is>
      </c>
      <c r="J236" s="26" t="inlineStr">
        <is>
          <t>Yes</t>
        </is>
      </c>
      <c r="K236" s="27" t="n"/>
      <c r="L236" s="28" t="inlineStr">
        <is>
          <t>No</t>
        </is>
      </c>
      <c r="M236" s="29">
        <f>IF(E236="","",IF(H236="Yes","❌ Disc",IF(G236="No","⚠ Missing",IF(J236="Yes","✓ OK","⚠ Check"))))</f>
        <v/>
      </c>
      <c r="N236" s="43" t="n">
        <v>46139</v>
      </c>
      <c r="O236" s="26" t="inlineStr">
        <is>
          <t>Sunil CR</t>
        </is>
      </c>
      <c r="P236" s="26" t="inlineStr">
        <is>
          <t>Yes</t>
        </is>
      </c>
      <c r="Q236" s="26" t="inlineStr">
        <is>
          <t>No</t>
        </is>
      </c>
      <c r="R236" s="26" t="inlineStr">
        <is>
          <t>Good finish</t>
        </is>
      </c>
      <c r="S236" s="26" t="inlineStr">
        <is>
          <t>Yes</t>
        </is>
      </c>
      <c r="T236" s="27" t="n"/>
      <c r="U236" s="28" t="inlineStr">
        <is>
          <t>No</t>
        </is>
      </c>
      <c r="V236" s="29">
        <f>IF(N236="","",IF(Q236="Yes","❌ Disc",IF(P236="No","⚠ Missing",IF(S236="Yes","✓ OK","⚠ Check"))))</f>
        <v/>
      </c>
      <c r="W236" s="65" t="n">
        <v>46248</v>
      </c>
      <c r="X236" s="30" t="inlineStr">
        <is>
          <t>Sunil CR</t>
        </is>
      </c>
      <c r="Y236" s="30" t="inlineStr">
        <is>
          <t>Yes</t>
        </is>
      </c>
      <c r="Z236" s="30" t="n"/>
      <c r="AA236" s="30" t="inlineStr">
        <is>
          <t>Good finish</t>
        </is>
      </c>
      <c r="AB236" s="30" t="inlineStr">
        <is>
          <t>Yes</t>
        </is>
      </c>
      <c r="AC236" s="27" t="n"/>
      <c r="AD236" s="31" t="inlineStr">
        <is>
          <t>No</t>
        </is>
      </c>
      <c r="AE236" s="32">
        <f>IF(W236="","",IF(Z236="Yes","❌ Disc",IF(Y236="No","⚠ Missing",IF(AB236="Yes","✓ OK","⚠ Check"))))</f>
        <v/>
      </c>
      <c r="AF236" s="33" t="n"/>
      <c r="AG236" s="33" t="n"/>
      <c r="AH236" s="33" t="n"/>
      <c r="AI236" s="33" t="n"/>
      <c r="AJ236" s="33" t="n"/>
      <c r="AK236" s="33" t="n"/>
      <c r="AL236" s="27" t="n"/>
      <c r="AM236" s="34" t="n"/>
      <c r="AN236" s="35">
        <f>IF(AF236="","",IF(AI236="Yes","❌ Disc",IF(AH236="No","⚠ Missing",IF(AK236="Yes","✓ OK","⚠ Check"))))</f>
        <v/>
      </c>
      <c r="AO236" s="36" t="n"/>
      <c r="AP236" s="36" t="n"/>
      <c r="AQ236" s="36" t="n"/>
      <c r="AR236" s="36" t="n"/>
      <c r="AS236" s="36" t="n"/>
      <c r="AT236" s="36" t="n"/>
      <c r="AU236" s="27" t="n"/>
      <c r="AV236" s="37" t="n"/>
      <c r="AW236" s="38">
        <f>IF(AO236="","",IF(AR236="Yes","❌ Disc",IF(AQ236="No","⚠ Missing",IF(AT236="Yes","✓ OK","⚠ Check"))))</f>
        <v/>
      </c>
    </row>
    <row r="237" ht="18" customHeight="1" s="46">
      <c r="A237" s="23" t="n">
        <v>233</v>
      </c>
      <c r="B237" s="24" t="inlineStr">
        <is>
          <t>Soho_712</t>
        </is>
      </c>
      <c r="C237" s="25" t="inlineStr">
        <is>
          <t>Sarom - Soho Fabric(Platinum) - Soho_712</t>
        </is>
      </c>
      <c r="D237" s="23" t="inlineStr">
        <is>
          <t>Sarom</t>
        </is>
      </c>
      <c r="E237" s="43" t="n">
        <v>46125</v>
      </c>
      <c r="F237" s="26" t="inlineStr">
        <is>
          <t>Sunil CR</t>
        </is>
      </c>
      <c r="G237" s="26" t="inlineStr">
        <is>
          <t>Yes</t>
        </is>
      </c>
      <c r="H237" s="26" t="inlineStr">
        <is>
          <t>No</t>
        </is>
      </c>
      <c r="I237" s="26" t="inlineStr">
        <is>
          <t>Good finish</t>
        </is>
      </c>
      <c r="J237" s="26" t="inlineStr">
        <is>
          <t>Yes</t>
        </is>
      </c>
      <c r="K237" s="27" t="n"/>
      <c r="L237" s="28" t="inlineStr">
        <is>
          <t>No</t>
        </is>
      </c>
      <c r="M237" s="29">
        <f>IF(E237="","",IF(H237="Yes","❌ Disc",IF(G237="No","⚠ Missing",IF(J237="Yes","✓ OK","⚠ Check"))))</f>
        <v/>
      </c>
      <c r="N237" s="43" t="n">
        <v>46139</v>
      </c>
      <c r="O237" s="26" t="inlineStr">
        <is>
          <t>Sunil CR</t>
        </is>
      </c>
      <c r="P237" s="26" t="inlineStr">
        <is>
          <t>Yes</t>
        </is>
      </c>
      <c r="Q237" s="26" t="inlineStr">
        <is>
          <t>No</t>
        </is>
      </c>
      <c r="R237" s="26" t="inlineStr">
        <is>
          <t>Good finish</t>
        </is>
      </c>
      <c r="S237" s="26" t="inlineStr">
        <is>
          <t>Yes</t>
        </is>
      </c>
      <c r="T237" s="27" t="n"/>
      <c r="U237" s="28" t="inlineStr">
        <is>
          <t>No</t>
        </is>
      </c>
      <c r="V237" s="29">
        <f>IF(N237="","",IF(Q237="Yes","❌ Disc",IF(P237="No","⚠ Missing",IF(S237="Yes","✓ OK","⚠ Check"))))</f>
        <v/>
      </c>
      <c r="W237" s="65" t="n">
        <v>46248</v>
      </c>
      <c r="X237" s="30" t="inlineStr">
        <is>
          <t>Sunil CR</t>
        </is>
      </c>
      <c r="Y237" s="30" t="inlineStr">
        <is>
          <t>Yes</t>
        </is>
      </c>
      <c r="Z237" s="30" t="n"/>
      <c r="AA237" s="30" t="inlineStr">
        <is>
          <t>Good finish</t>
        </is>
      </c>
      <c r="AB237" s="30" t="inlineStr">
        <is>
          <t>Yes</t>
        </is>
      </c>
      <c r="AC237" s="27" t="n"/>
      <c r="AD237" s="31" t="inlineStr">
        <is>
          <t>No</t>
        </is>
      </c>
      <c r="AE237" s="32">
        <f>IF(W237="","",IF(Z237="Yes","❌ Disc",IF(Y237="No","⚠ Missing",IF(AB237="Yes","✓ OK","⚠ Check"))))</f>
        <v/>
      </c>
      <c r="AF237" s="33" t="n"/>
      <c r="AG237" s="33" t="n"/>
      <c r="AH237" s="33" t="n"/>
      <c r="AI237" s="33" t="n"/>
      <c r="AJ237" s="33" t="n"/>
      <c r="AK237" s="33" t="n"/>
      <c r="AL237" s="27" t="n"/>
      <c r="AM237" s="34" t="n"/>
      <c r="AN237" s="35">
        <f>IF(AF237="","",IF(AI237="Yes","❌ Disc",IF(AH237="No","⚠ Missing",IF(AK237="Yes","✓ OK","⚠ Check"))))</f>
        <v/>
      </c>
      <c r="AO237" s="36" t="n"/>
      <c r="AP237" s="36" t="n"/>
      <c r="AQ237" s="36" t="n"/>
      <c r="AR237" s="36" t="n"/>
      <c r="AS237" s="36" t="n"/>
      <c r="AT237" s="36" t="n"/>
      <c r="AU237" s="27" t="n"/>
      <c r="AV237" s="37" t="n"/>
      <c r="AW237" s="38">
        <f>IF(AO237="","",IF(AR237="Yes","❌ Disc",IF(AQ237="No","⚠ Missing",IF(AT237="Yes","✓ OK","⚠ Check"))))</f>
        <v/>
      </c>
    </row>
    <row r="238" ht="18" customHeight="1" s="46">
      <c r="A238" s="39" t="n">
        <v>234</v>
      </c>
      <c r="B238" s="40" t="inlineStr">
        <is>
          <t>Soho_713</t>
        </is>
      </c>
      <c r="C238" s="41" t="inlineStr">
        <is>
          <t>Sarom - Soho Fabric(Platinum) - Soho_713</t>
        </is>
      </c>
      <c r="D238" s="39" t="inlineStr">
        <is>
          <t>Sarom</t>
        </is>
      </c>
      <c r="E238" s="43" t="n">
        <v>46125</v>
      </c>
      <c r="F238" s="26" t="inlineStr">
        <is>
          <t>Sunil CR</t>
        </is>
      </c>
      <c r="G238" s="26" t="inlineStr">
        <is>
          <t>Yes</t>
        </is>
      </c>
      <c r="H238" s="26" t="inlineStr">
        <is>
          <t>No</t>
        </is>
      </c>
      <c r="I238" s="26" t="inlineStr">
        <is>
          <t>Good finish</t>
        </is>
      </c>
      <c r="J238" s="26" t="inlineStr">
        <is>
          <t>Yes</t>
        </is>
      </c>
      <c r="K238" s="27" t="n"/>
      <c r="L238" s="28" t="inlineStr">
        <is>
          <t>No</t>
        </is>
      </c>
      <c r="M238" s="29">
        <f>IF(E238="","",IF(H238="Yes","❌ Disc",IF(G238="No","⚠ Missing",IF(J238="Yes","✓ OK","⚠ Check"))))</f>
        <v/>
      </c>
      <c r="N238" s="43" t="n">
        <v>46139</v>
      </c>
      <c r="O238" s="26" t="inlineStr">
        <is>
          <t>Sunil CR</t>
        </is>
      </c>
      <c r="P238" s="26" t="inlineStr">
        <is>
          <t>Yes</t>
        </is>
      </c>
      <c r="Q238" s="26" t="inlineStr">
        <is>
          <t>No</t>
        </is>
      </c>
      <c r="R238" s="26" t="inlineStr">
        <is>
          <t>Good finish</t>
        </is>
      </c>
      <c r="S238" s="26" t="inlineStr">
        <is>
          <t>Yes</t>
        </is>
      </c>
      <c r="T238" s="27" t="n"/>
      <c r="U238" s="28" t="inlineStr">
        <is>
          <t>No</t>
        </is>
      </c>
      <c r="V238" s="29">
        <f>IF(N238="","",IF(Q238="Yes","❌ Disc",IF(P238="No","⚠ Missing",IF(S238="Yes","✓ OK","⚠ Check"))))</f>
        <v/>
      </c>
      <c r="W238" s="65" t="n">
        <v>46248</v>
      </c>
      <c r="X238" s="30" t="inlineStr">
        <is>
          <t>Sunil CR</t>
        </is>
      </c>
      <c r="Y238" s="30" t="inlineStr">
        <is>
          <t>Yes</t>
        </is>
      </c>
      <c r="Z238" s="30" t="n"/>
      <c r="AA238" s="30" t="inlineStr">
        <is>
          <t>Good finish</t>
        </is>
      </c>
      <c r="AB238" s="30" t="inlineStr">
        <is>
          <t>Yes</t>
        </is>
      </c>
      <c r="AC238" s="27" t="n"/>
      <c r="AD238" s="31" t="inlineStr">
        <is>
          <t>No</t>
        </is>
      </c>
      <c r="AE238" s="32">
        <f>IF(W238="","",IF(Z238="Yes","❌ Disc",IF(Y238="No","⚠ Missing",IF(AB238="Yes","✓ OK","⚠ Check"))))</f>
        <v/>
      </c>
      <c r="AF238" s="33" t="n"/>
      <c r="AG238" s="33" t="n"/>
      <c r="AH238" s="33" t="n"/>
      <c r="AI238" s="33" t="n"/>
      <c r="AJ238" s="33" t="n"/>
      <c r="AK238" s="33" t="n"/>
      <c r="AL238" s="27" t="n"/>
      <c r="AM238" s="34" t="n"/>
      <c r="AN238" s="35">
        <f>IF(AF238="","",IF(AI238="Yes","❌ Disc",IF(AH238="No","⚠ Missing",IF(AK238="Yes","✓ OK","⚠ Check"))))</f>
        <v/>
      </c>
      <c r="AO238" s="36" t="n"/>
      <c r="AP238" s="36" t="n"/>
      <c r="AQ238" s="36" t="n"/>
      <c r="AR238" s="36" t="n"/>
      <c r="AS238" s="36" t="n"/>
      <c r="AT238" s="36" t="n"/>
      <c r="AU238" s="27" t="n"/>
      <c r="AV238" s="37" t="n"/>
      <c r="AW238" s="38">
        <f>IF(AO238="","",IF(AR238="Yes","❌ Disc",IF(AQ238="No","⚠ Missing",IF(AT238="Yes","✓ OK","⚠ Check"))))</f>
        <v/>
      </c>
    </row>
    <row r="239" ht="18" customHeight="1" s="46">
      <c r="A239" s="23" t="n">
        <v>235</v>
      </c>
      <c r="B239" s="24" t="inlineStr">
        <is>
          <t>Soho_714</t>
        </is>
      </c>
      <c r="C239" s="25" t="inlineStr">
        <is>
          <t>Sarom - Soho Fabric(Platinum) - Soho_714</t>
        </is>
      </c>
      <c r="D239" s="23" t="inlineStr">
        <is>
          <t>Sarom</t>
        </is>
      </c>
      <c r="E239" s="43" t="n">
        <v>46125</v>
      </c>
      <c r="F239" s="26" t="inlineStr">
        <is>
          <t>Sunil CR</t>
        </is>
      </c>
      <c r="G239" s="26" t="inlineStr">
        <is>
          <t>Yes</t>
        </is>
      </c>
      <c r="H239" s="26" t="inlineStr">
        <is>
          <t>No</t>
        </is>
      </c>
      <c r="I239" s="26" t="inlineStr">
        <is>
          <t>Good finish</t>
        </is>
      </c>
      <c r="J239" s="26" t="inlineStr">
        <is>
          <t>Yes</t>
        </is>
      </c>
      <c r="K239" s="27" t="n"/>
      <c r="L239" s="28" t="inlineStr">
        <is>
          <t>No</t>
        </is>
      </c>
      <c r="M239" s="29">
        <f>IF(E239="","",IF(H239="Yes","❌ Disc",IF(G239="No","⚠ Missing",IF(J239="Yes","✓ OK","⚠ Check"))))</f>
        <v/>
      </c>
      <c r="N239" s="43" t="n">
        <v>46139</v>
      </c>
      <c r="O239" s="26" t="inlineStr">
        <is>
          <t>Sunil CR</t>
        </is>
      </c>
      <c r="P239" s="26" t="inlineStr">
        <is>
          <t>Yes</t>
        </is>
      </c>
      <c r="Q239" s="26" t="inlineStr">
        <is>
          <t>No</t>
        </is>
      </c>
      <c r="R239" s="26" t="inlineStr">
        <is>
          <t>Good finish</t>
        </is>
      </c>
      <c r="S239" s="26" t="inlineStr">
        <is>
          <t>Yes</t>
        </is>
      </c>
      <c r="T239" s="27" t="n"/>
      <c r="U239" s="28" t="inlineStr">
        <is>
          <t>No</t>
        </is>
      </c>
      <c r="V239" s="29">
        <f>IF(N239="","",IF(Q239="Yes","❌ Disc",IF(P239="No","⚠ Missing",IF(S239="Yes","✓ OK","⚠ Check"))))</f>
        <v/>
      </c>
      <c r="W239" s="65" t="n">
        <v>46248</v>
      </c>
      <c r="X239" s="30" t="inlineStr">
        <is>
          <t>Sunil CR</t>
        </is>
      </c>
      <c r="Y239" s="30" t="inlineStr">
        <is>
          <t>Yes</t>
        </is>
      </c>
      <c r="Z239" s="30" t="n"/>
      <c r="AA239" s="30" t="inlineStr">
        <is>
          <t>Good finish</t>
        </is>
      </c>
      <c r="AB239" s="30" t="inlineStr">
        <is>
          <t>Yes</t>
        </is>
      </c>
      <c r="AC239" s="27" t="n"/>
      <c r="AD239" s="31" t="inlineStr">
        <is>
          <t>No</t>
        </is>
      </c>
      <c r="AE239" s="32">
        <f>IF(W239="","",IF(Z239="Yes","❌ Disc",IF(Y239="No","⚠ Missing",IF(AB239="Yes","✓ OK","⚠ Check"))))</f>
        <v/>
      </c>
      <c r="AF239" s="33" t="n"/>
      <c r="AG239" s="33" t="n"/>
      <c r="AH239" s="33" t="n"/>
      <c r="AI239" s="33" t="n"/>
      <c r="AJ239" s="33" t="n"/>
      <c r="AK239" s="33" t="n"/>
      <c r="AL239" s="27" t="n"/>
      <c r="AM239" s="34" t="n"/>
      <c r="AN239" s="35">
        <f>IF(AF239="","",IF(AI239="Yes","❌ Disc",IF(AH239="No","⚠ Missing",IF(AK239="Yes","✓ OK","⚠ Check"))))</f>
        <v/>
      </c>
      <c r="AO239" s="36" t="n"/>
      <c r="AP239" s="36" t="n"/>
      <c r="AQ239" s="36" t="n"/>
      <c r="AR239" s="36" t="n"/>
      <c r="AS239" s="36" t="n"/>
      <c r="AT239" s="36" t="n"/>
      <c r="AU239" s="27" t="n"/>
      <c r="AV239" s="37" t="n"/>
      <c r="AW239" s="38">
        <f>IF(AO239="","",IF(AR239="Yes","❌ Disc",IF(AQ239="No","⚠ Missing",IF(AT239="Yes","✓ OK","⚠ Check"))))</f>
        <v/>
      </c>
    </row>
    <row r="240" ht="18" customHeight="1" s="46">
      <c r="A240" s="39" t="n">
        <v>236</v>
      </c>
      <c r="B240" s="40" t="inlineStr">
        <is>
          <t>Soho_715</t>
        </is>
      </c>
      <c r="C240" s="41" t="inlineStr">
        <is>
          <t>Sarom - Soho Fabric(Platinum) - Soho_715</t>
        </is>
      </c>
      <c r="D240" s="39" t="inlineStr">
        <is>
          <t>Sarom</t>
        </is>
      </c>
      <c r="E240" s="43" t="n">
        <v>46125</v>
      </c>
      <c r="F240" s="26" t="inlineStr">
        <is>
          <t>Sunil CR</t>
        </is>
      </c>
      <c r="G240" s="26" t="inlineStr">
        <is>
          <t>Yes</t>
        </is>
      </c>
      <c r="H240" s="26" t="inlineStr">
        <is>
          <t>No</t>
        </is>
      </c>
      <c r="I240" s="26" t="inlineStr">
        <is>
          <t>Good finish</t>
        </is>
      </c>
      <c r="J240" s="26" t="inlineStr">
        <is>
          <t>Yes</t>
        </is>
      </c>
      <c r="K240" s="27" t="n"/>
      <c r="L240" s="28" t="inlineStr">
        <is>
          <t>No</t>
        </is>
      </c>
      <c r="M240" s="29">
        <f>IF(E240="","",IF(H240="Yes","❌ Disc",IF(G240="No","⚠ Missing",IF(J240="Yes","✓ OK","⚠ Check"))))</f>
        <v/>
      </c>
      <c r="N240" s="43" t="n">
        <v>46139</v>
      </c>
      <c r="O240" s="26" t="inlineStr">
        <is>
          <t>Sunil CR</t>
        </is>
      </c>
      <c r="P240" s="26" t="inlineStr">
        <is>
          <t>Yes</t>
        </is>
      </c>
      <c r="Q240" s="26" t="inlineStr">
        <is>
          <t>No</t>
        </is>
      </c>
      <c r="R240" s="26" t="inlineStr">
        <is>
          <t>Good finish</t>
        </is>
      </c>
      <c r="S240" s="26" t="inlineStr">
        <is>
          <t>Yes</t>
        </is>
      </c>
      <c r="T240" s="27" t="n"/>
      <c r="U240" s="28" t="inlineStr">
        <is>
          <t>No</t>
        </is>
      </c>
      <c r="V240" s="29">
        <f>IF(N240="","",IF(Q240="Yes","❌ Disc",IF(P240="No","⚠ Missing",IF(S240="Yes","✓ OK","⚠ Check"))))</f>
        <v/>
      </c>
      <c r="W240" s="65" t="n">
        <v>46248</v>
      </c>
      <c r="X240" s="30" t="inlineStr">
        <is>
          <t>Sunil CR</t>
        </is>
      </c>
      <c r="Y240" s="30" t="inlineStr">
        <is>
          <t>Yes</t>
        </is>
      </c>
      <c r="Z240" s="30" t="n"/>
      <c r="AA240" s="30" t="inlineStr">
        <is>
          <t>Good finish</t>
        </is>
      </c>
      <c r="AB240" s="30" t="inlineStr">
        <is>
          <t>Yes</t>
        </is>
      </c>
      <c r="AC240" s="27" t="n"/>
      <c r="AD240" s="31" t="inlineStr">
        <is>
          <t>No</t>
        </is>
      </c>
      <c r="AE240" s="32">
        <f>IF(W240="","",IF(Z240="Yes","❌ Disc",IF(Y240="No","⚠ Missing",IF(AB240="Yes","✓ OK","⚠ Check"))))</f>
        <v/>
      </c>
      <c r="AF240" s="33" t="n"/>
      <c r="AG240" s="33" t="n"/>
      <c r="AH240" s="33" t="n"/>
      <c r="AI240" s="33" t="n"/>
      <c r="AJ240" s="33" t="n"/>
      <c r="AK240" s="33" t="n"/>
      <c r="AL240" s="27" t="n"/>
      <c r="AM240" s="34" t="n"/>
      <c r="AN240" s="35">
        <f>IF(AF240="","",IF(AI240="Yes","❌ Disc",IF(AH240="No","⚠ Missing",IF(AK240="Yes","✓ OK","⚠ Check"))))</f>
        <v/>
      </c>
      <c r="AO240" s="36" t="n"/>
      <c r="AP240" s="36" t="n"/>
      <c r="AQ240" s="36" t="n"/>
      <c r="AR240" s="36" t="n"/>
      <c r="AS240" s="36" t="n"/>
      <c r="AT240" s="36" t="n"/>
      <c r="AU240" s="27" t="n"/>
      <c r="AV240" s="37" t="n"/>
      <c r="AW240" s="38">
        <f>IF(AO240="","",IF(AR240="Yes","❌ Disc",IF(AQ240="No","⚠ Missing",IF(AT240="Yes","✓ OK","⚠ Check"))))</f>
        <v/>
      </c>
    </row>
    <row r="241" ht="18" customHeight="1" s="46">
      <c r="A241" s="23" t="n">
        <v>237</v>
      </c>
      <c r="B241" s="24" t="inlineStr">
        <is>
          <t>Soho_716</t>
        </is>
      </c>
      <c r="C241" s="25" t="inlineStr">
        <is>
          <t>Sarom - Soho Fabric(Platinum) - Soho_716</t>
        </is>
      </c>
      <c r="D241" s="23" t="inlineStr">
        <is>
          <t>Sarom</t>
        </is>
      </c>
      <c r="E241" s="43" t="n">
        <v>46125</v>
      </c>
      <c r="F241" s="26" t="inlineStr">
        <is>
          <t>Sunil CR</t>
        </is>
      </c>
      <c r="G241" s="26" t="inlineStr">
        <is>
          <t>Yes</t>
        </is>
      </c>
      <c r="H241" s="26" t="inlineStr">
        <is>
          <t>No</t>
        </is>
      </c>
      <c r="I241" s="26" t="inlineStr">
        <is>
          <t>Good finish</t>
        </is>
      </c>
      <c r="J241" s="26" t="inlineStr">
        <is>
          <t>Yes</t>
        </is>
      </c>
      <c r="K241" s="27" t="n"/>
      <c r="L241" s="28" t="inlineStr">
        <is>
          <t>No</t>
        </is>
      </c>
      <c r="M241" s="29">
        <f>IF(E241="","",IF(H241="Yes","❌ Disc",IF(G241="No","⚠ Missing",IF(J241="Yes","✓ OK","⚠ Check"))))</f>
        <v/>
      </c>
      <c r="N241" s="43" t="n">
        <v>46139</v>
      </c>
      <c r="O241" s="26" t="inlineStr">
        <is>
          <t>Sunil CR</t>
        </is>
      </c>
      <c r="P241" s="26" t="inlineStr">
        <is>
          <t>Yes</t>
        </is>
      </c>
      <c r="Q241" s="26" t="inlineStr">
        <is>
          <t>No</t>
        </is>
      </c>
      <c r="R241" s="26" t="inlineStr">
        <is>
          <t>Good finish</t>
        </is>
      </c>
      <c r="S241" s="26" t="inlineStr">
        <is>
          <t>Yes</t>
        </is>
      </c>
      <c r="T241" s="27" t="n"/>
      <c r="U241" s="28" t="inlineStr">
        <is>
          <t>No</t>
        </is>
      </c>
      <c r="V241" s="29">
        <f>IF(N241="","",IF(Q241="Yes","❌ Disc",IF(P241="No","⚠ Missing",IF(S241="Yes","✓ OK","⚠ Check"))))</f>
        <v/>
      </c>
      <c r="W241" s="65" t="n">
        <v>46248</v>
      </c>
      <c r="X241" s="30" t="inlineStr">
        <is>
          <t>Sunil CR</t>
        </is>
      </c>
      <c r="Y241" s="30" t="inlineStr">
        <is>
          <t>Yes</t>
        </is>
      </c>
      <c r="Z241" s="30" t="n"/>
      <c r="AA241" s="30" t="inlineStr">
        <is>
          <t>Good finish</t>
        </is>
      </c>
      <c r="AB241" s="30" t="inlineStr">
        <is>
          <t>Yes</t>
        </is>
      </c>
      <c r="AC241" s="27" t="n"/>
      <c r="AD241" s="31" t="inlineStr">
        <is>
          <t>No</t>
        </is>
      </c>
      <c r="AE241" s="32">
        <f>IF(W241="","",IF(Z241="Yes","❌ Disc",IF(Y241="No","⚠ Missing",IF(AB241="Yes","✓ OK","⚠ Check"))))</f>
        <v/>
      </c>
      <c r="AF241" s="33" t="n"/>
      <c r="AG241" s="33" t="n"/>
      <c r="AH241" s="33" t="n"/>
      <c r="AI241" s="33" t="n"/>
      <c r="AJ241" s="33" t="n"/>
      <c r="AK241" s="33" t="n"/>
      <c r="AL241" s="27" t="n"/>
      <c r="AM241" s="34" t="n"/>
      <c r="AN241" s="35">
        <f>IF(AF241="","",IF(AI241="Yes","❌ Disc",IF(AH241="No","⚠ Missing",IF(AK241="Yes","✓ OK","⚠ Check"))))</f>
        <v/>
      </c>
      <c r="AO241" s="36" t="n"/>
      <c r="AP241" s="36" t="n"/>
      <c r="AQ241" s="36" t="n"/>
      <c r="AR241" s="36" t="n"/>
      <c r="AS241" s="36" t="n"/>
      <c r="AT241" s="36" t="n"/>
      <c r="AU241" s="27" t="n"/>
      <c r="AV241" s="37" t="n"/>
      <c r="AW241" s="38">
        <f>IF(AO241="","",IF(AR241="Yes","❌ Disc",IF(AQ241="No","⚠ Missing",IF(AT241="Yes","✓ OK","⚠ Check"))))</f>
        <v/>
      </c>
    </row>
    <row r="242" ht="18" customHeight="1" s="46">
      <c r="A242" s="39" t="n">
        <v>238</v>
      </c>
      <c r="B242" s="40" t="inlineStr">
        <is>
          <t>902-Cream</t>
        </is>
      </c>
      <c r="C242" s="41" t="inlineStr">
        <is>
          <t>Sarom Fabric - New Malfino - NM - 902-Cream</t>
        </is>
      </c>
      <c r="D242" s="39" t="inlineStr">
        <is>
          <t>Sarom</t>
        </is>
      </c>
      <c r="E242" s="43" t="n">
        <v>46125</v>
      </c>
      <c r="F242" s="26" t="inlineStr">
        <is>
          <t>Sunil CR</t>
        </is>
      </c>
      <c r="G242" s="26" t="inlineStr">
        <is>
          <t>Yes</t>
        </is>
      </c>
      <c r="H242" s="26" t="inlineStr">
        <is>
          <t>No</t>
        </is>
      </c>
      <c r="I242" s="26" t="inlineStr">
        <is>
          <t>Good finish</t>
        </is>
      </c>
      <c r="J242" s="26" t="inlineStr">
        <is>
          <t>Yes</t>
        </is>
      </c>
      <c r="K242" s="27" t="n"/>
      <c r="L242" s="28" t="inlineStr">
        <is>
          <t>No</t>
        </is>
      </c>
      <c r="M242" s="29">
        <f>IF(E242="","",IF(H242="Yes","❌ Disc",IF(G242="No","⚠ Missing",IF(J242="Yes","✓ OK","⚠ Check"))))</f>
        <v/>
      </c>
      <c r="N242" s="43" t="n">
        <v>46139</v>
      </c>
      <c r="O242" s="26" t="inlineStr">
        <is>
          <t>Sunil CR</t>
        </is>
      </c>
      <c r="P242" s="26" t="inlineStr">
        <is>
          <t>Yes</t>
        </is>
      </c>
      <c r="Q242" s="26" t="inlineStr">
        <is>
          <t>No</t>
        </is>
      </c>
      <c r="R242" s="26" t="inlineStr">
        <is>
          <t>Good finish</t>
        </is>
      </c>
      <c r="S242" s="26" t="inlineStr">
        <is>
          <t>Yes</t>
        </is>
      </c>
      <c r="T242" s="27" t="n"/>
      <c r="U242" s="28" t="inlineStr">
        <is>
          <t>No</t>
        </is>
      </c>
      <c r="V242" s="29">
        <f>IF(N242="","",IF(Q242="Yes","❌ Disc",IF(P242="No","⚠ Missing",IF(S242="Yes","✓ OK","⚠ Check"))))</f>
        <v/>
      </c>
      <c r="W242" s="65" t="n">
        <v>46248</v>
      </c>
      <c r="X242" s="30" t="inlineStr">
        <is>
          <t>Sunil CR</t>
        </is>
      </c>
      <c r="Y242" s="30" t="inlineStr">
        <is>
          <t>Yes</t>
        </is>
      </c>
      <c r="Z242" s="30" t="n"/>
      <c r="AA242" s="30" t="inlineStr">
        <is>
          <t>Good finish</t>
        </is>
      </c>
      <c r="AB242" s="30" t="inlineStr">
        <is>
          <t>Yes</t>
        </is>
      </c>
      <c r="AC242" s="27" t="n"/>
      <c r="AD242" s="31" t="inlineStr">
        <is>
          <t>No</t>
        </is>
      </c>
      <c r="AE242" s="32">
        <f>IF(W242="","",IF(Z242="Yes","❌ Disc",IF(Y242="No","⚠ Missing",IF(AB242="Yes","✓ OK","⚠ Check"))))</f>
        <v/>
      </c>
      <c r="AF242" s="33" t="n"/>
      <c r="AG242" s="33" t="n"/>
      <c r="AH242" s="33" t="n"/>
      <c r="AI242" s="33" t="n"/>
      <c r="AJ242" s="33" t="n"/>
      <c r="AK242" s="33" t="n"/>
      <c r="AL242" s="27" t="n"/>
      <c r="AM242" s="34" t="n"/>
      <c r="AN242" s="35">
        <f>IF(AF242="","",IF(AI242="Yes","❌ Disc",IF(AH242="No","⚠ Missing",IF(AK242="Yes","✓ OK","⚠ Check"))))</f>
        <v/>
      </c>
      <c r="AO242" s="36" t="n"/>
      <c r="AP242" s="36" t="n"/>
      <c r="AQ242" s="36" t="n"/>
      <c r="AR242" s="36" t="n"/>
      <c r="AS242" s="36" t="n"/>
      <c r="AT242" s="36" t="n"/>
      <c r="AU242" s="27" t="n"/>
      <c r="AV242" s="37" t="n"/>
      <c r="AW242" s="38">
        <f>IF(AO242="","",IF(AR242="Yes","❌ Disc",IF(AQ242="No","⚠ Missing",IF(AT242="Yes","✓ OK","⚠ Check"))))</f>
        <v/>
      </c>
    </row>
    <row r="243" ht="18" customHeight="1" s="46">
      <c r="A243" s="23" t="n">
        <v>239</v>
      </c>
      <c r="B243" s="24" t="inlineStr">
        <is>
          <t>903-Ivory</t>
        </is>
      </c>
      <c r="C243" s="25" t="inlineStr">
        <is>
          <t>Sarom Fabric - New Malfino - NM - 903-Ivory</t>
        </is>
      </c>
      <c r="D243" s="23" t="inlineStr">
        <is>
          <t>Sarom</t>
        </is>
      </c>
      <c r="E243" s="43" t="n">
        <v>46125</v>
      </c>
      <c r="F243" s="26" t="inlineStr">
        <is>
          <t>Sunil CR</t>
        </is>
      </c>
      <c r="G243" s="26" t="inlineStr">
        <is>
          <t>Yes</t>
        </is>
      </c>
      <c r="H243" s="26" t="inlineStr">
        <is>
          <t>No</t>
        </is>
      </c>
      <c r="I243" s="26" t="inlineStr">
        <is>
          <t>Good finish</t>
        </is>
      </c>
      <c r="J243" s="26" t="inlineStr">
        <is>
          <t>Yes</t>
        </is>
      </c>
      <c r="K243" s="27" t="n"/>
      <c r="L243" s="28" t="inlineStr">
        <is>
          <t>No</t>
        </is>
      </c>
      <c r="M243" s="29">
        <f>IF(E243="","",IF(H243="Yes","❌ Disc",IF(G243="No","⚠ Missing",IF(J243="Yes","✓ OK","⚠ Check"))))</f>
        <v/>
      </c>
      <c r="N243" s="43" t="n">
        <v>46139</v>
      </c>
      <c r="O243" s="26" t="inlineStr">
        <is>
          <t>Sunil CR</t>
        </is>
      </c>
      <c r="P243" s="26" t="inlineStr">
        <is>
          <t>Yes</t>
        </is>
      </c>
      <c r="Q243" s="26" t="inlineStr">
        <is>
          <t>No</t>
        </is>
      </c>
      <c r="R243" s="26" t="inlineStr">
        <is>
          <t>Good finish</t>
        </is>
      </c>
      <c r="S243" s="26" t="inlineStr">
        <is>
          <t>Yes</t>
        </is>
      </c>
      <c r="T243" s="27" t="n"/>
      <c r="U243" s="28" t="inlineStr">
        <is>
          <t>No</t>
        </is>
      </c>
      <c r="V243" s="29">
        <f>IF(N243="","",IF(Q243="Yes","❌ Disc",IF(P243="No","⚠ Missing",IF(S243="Yes","✓ OK","⚠ Check"))))</f>
        <v/>
      </c>
      <c r="W243" s="65" t="n">
        <v>46248</v>
      </c>
      <c r="X243" s="30" t="inlineStr">
        <is>
          <t>Sunil CR</t>
        </is>
      </c>
      <c r="Y243" s="30" t="inlineStr">
        <is>
          <t>Yes</t>
        </is>
      </c>
      <c r="Z243" s="30" t="n"/>
      <c r="AA243" s="30" t="inlineStr">
        <is>
          <t>Good finish</t>
        </is>
      </c>
      <c r="AB243" s="30" t="inlineStr">
        <is>
          <t>Yes</t>
        </is>
      </c>
      <c r="AC243" s="27" t="n"/>
      <c r="AD243" s="31" t="inlineStr">
        <is>
          <t>No</t>
        </is>
      </c>
      <c r="AE243" s="32">
        <f>IF(W243="","",IF(Z243="Yes","❌ Disc",IF(Y243="No","⚠ Missing",IF(AB243="Yes","✓ OK","⚠ Check"))))</f>
        <v/>
      </c>
      <c r="AF243" s="33" t="n"/>
      <c r="AG243" s="33" t="n"/>
      <c r="AH243" s="33" t="n"/>
      <c r="AI243" s="33" t="n"/>
      <c r="AJ243" s="33" t="n"/>
      <c r="AK243" s="33" t="n"/>
      <c r="AL243" s="27" t="n"/>
      <c r="AM243" s="34" t="n"/>
      <c r="AN243" s="35">
        <f>IF(AF243="","",IF(AI243="Yes","❌ Disc",IF(AH243="No","⚠ Missing",IF(AK243="Yes","✓ OK","⚠ Check"))))</f>
        <v/>
      </c>
      <c r="AO243" s="36" t="n"/>
      <c r="AP243" s="36" t="n"/>
      <c r="AQ243" s="36" t="n"/>
      <c r="AR243" s="36" t="n"/>
      <c r="AS243" s="36" t="n"/>
      <c r="AT243" s="36" t="n"/>
      <c r="AU243" s="27" t="n"/>
      <c r="AV243" s="37" t="n"/>
      <c r="AW243" s="38">
        <f>IF(AO243="","",IF(AR243="Yes","❌ Disc",IF(AQ243="No","⚠ Missing",IF(AT243="Yes","✓ OK","⚠ Check"))))</f>
        <v/>
      </c>
    </row>
    <row r="244" ht="18" customHeight="1" s="46">
      <c r="A244" s="39" t="n">
        <v>240</v>
      </c>
      <c r="B244" s="40" t="inlineStr">
        <is>
          <t>904-Beige</t>
        </is>
      </c>
      <c r="C244" s="41" t="inlineStr">
        <is>
          <t>Sarom Fabric - New Malfino - NM - 904-Beige</t>
        </is>
      </c>
      <c r="D244" s="39" t="inlineStr">
        <is>
          <t>Sarom</t>
        </is>
      </c>
      <c r="E244" s="43" t="n">
        <v>46125</v>
      </c>
      <c r="F244" s="26" t="inlineStr">
        <is>
          <t>Sunil CR</t>
        </is>
      </c>
      <c r="G244" s="26" t="inlineStr">
        <is>
          <t>Yes</t>
        </is>
      </c>
      <c r="H244" s="26" t="inlineStr">
        <is>
          <t>No</t>
        </is>
      </c>
      <c r="I244" s="26" t="inlineStr">
        <is>
          <t>Good finish</t>
        </is>
      </c>
      <c r="J244" s="26" t="inlineStr">
        <is>
          <t>Yes</t>
        </is>
      </c>
      <c r="K244" s="27" t="n"/>
      <c r="L244" s="28" t="inlineStr">
        <is>
          <t>No</t>
        </is>
      </c>
      <c r="M244" s="29">
        <f>IF(E244="","",IF(H244="Yes","❌ Disc",IF(G244="No","⚠ Missing",IF(J244="Yes","✓ OK","⚠ Check"))))</f>
        <v/>
      </c>
      <c r="N244" s="43" t="n">
        <v>46139</v>
      </c>
      <c r="O244" s="26" t="inlineStr">
        <is>
          <t>Sunil CR</t>
        </is>
      </c>
      <c r="P244" s="26" t="inlineStr">
        <is>
          <t>Yes</t>
        </is>
      </c>
      <c r="Q244" s="26" t="inlineStr">
        <is>
          <t>No</t>
        </is>
      </c>
      <c r="R244" s="26" t="inlineStr">
        <is>
          <t>Good finish</t>
        </is>
      </c>
      <c r="S244" s="26" t="inlineStr">
        <is>
          <t>Yes</t>
        </is>
      </c>
      <c r="T244" s="27" t="n"/>
      <c r="U244" s="28" t="inlineStr">
        <is>
          <t>No</t>
        </is>
      </c>
      <c r="V244" s="29">
        <f>IF(N244="","",IF(Q244="Yes","❌ Disc",IF(P244="No","⚠ Missing",IF(S244="Yes","✓ OK","⚠ Check"))))</f>
        <v/>
      </c>
      <c r="W244" s="65" t="n">
        <v>46248</v>
      </c>
      <c r="X244" s="30" t="inlineStr">
        <is>
          <t>Sunil CR</t>
        </is>
      </c>
      <c r="Y244" s="30" t="inlineStr">
        <is>
          <t>Yes</t>
        </is>
      </c>
      <c r="Z244" s="30" t="n"/>
      <c r="AA244" s="30" t="inlineStr">
        <is>
          <t>Good finish</t>
        </is>
      </c>
      <c r="AB244" s="30" t="inlineStr">
        <is>
          <t>Yes</t>
        </is>
      </c>
      <c r="AC244" s="27" t="n"/>
      <c r="AD244" s="31" t="inlineStr">
        <is>
          <t>No</t>
        </is>
      </c>
      <c r="AE244" s="32">
        <f>IF(W244="","",IF(Z244="Yes","❌ Disc",IF(Y244="No","⚠ Missing",IF(AB244="Yes","✓ OK","⚠ Check"))))</f>
        <v/>
      </c>
      <c r="AF244" s="33" t="n"/>
      <c r="AG244" s="33" t="n"/>
      <c r="AH244" s="33" t="n"/>
      <c r="AI244" s="33" t="n"/>
      <c r="AJ244" s="33" t="n"/>
      <c r="AK244" s="33" t="n"/>
      <c r="AL244" s="27" t="n"/>
      <c r="AM244" s="34" t="n"/>
      <c r="AN244" s="35">
        <f>IF(AF244="","",IF(AI244="Yes","❌ Disc",IF(AH244="No","⚠ Missing",IF(AK244="Yes","✓ OK","⚠ Check"))))</f>
        <v/>
      </c>
      <c r="AO244" s="36" t="n"/>
      <c r="AP244" s="36" t="n"/>
      <c r="AQ244" s="36" t="n"/>
      <c r="AR244" s="36" t="n"/>
      <c r="AS244" s="36" t="n"/>
      <c r="AT244" s="36" t="n"/>
      <c r="AU244" s="27" t="n"/>
      <c r="AV244" s="37" t="n"/>
      <c r="AW244" s="38">
        <f>IF(AO244="","",IF(AR244="Yes","❌ Disc",IF(AQ244="No","⚠ Missing",IF(AT244="Yes","✓ OK","⚠ Check"))))</f>
        <v/>
      </c>
    </row>
    <row r="245" ht="18" customHeight="1" s="46">
      <c r="A245" s="23" t="n">
        <v>241</v>
      </c>
      <c r="B245" s="24" t="inlineStr">
        <is>
          <t>905-Almond</t>
        </is>
      </c>
      <c r="C245" s="25" t="inlineStr">
        <is>
          <t>Sarom Fabric - New Malfino - NM - 905-Almond</t>
        </is>
      </c>
      <c r="D245" s="23" t="inlineStr">
        <is>
          <t>Sarom</t>
        </is>
      </c>
      <c r="E245" s="43" t="n">
        <v>46125</v>
      </c>
      <c r="F245" s="26" t="inlineStr">
        <is>
          <t>Sunil CR</t>
        </is>
      </c>
      <c r="G245" s="26" t="inlineStr">
        <is>
          <t>Yes</t>
        </is>
      </c>
      <c r="H245" s="26" t="inlineStr">
        <is>
          <t>No</t>
        </is>
      </c>
      <c r="I245" s="26" t="inlineStr">
        <is>
          <t>Good finish</t>
        </is>
      </c>
      <c r="J245" s="26" t="inlineStr">
        <is>
          <t>Yes</t>
        </is>
      </c>
      <c r="K245" s="27" t="n"/>
      <c r="L245" s="28" t="inlineStr">
        <is>
          <t>No</t>
        </is>
      </c>
      <c r="M245" s="29">
        <f>IF(E245="","",IF(H245="Yes","❌ Disc",IF(G245="No","⚠ Missing",IF(J245="Yes","✓ OK","⚠ Check"))))</f>
        <v/>
      </c>
      <c r="N245" s="43" t="n">
        <v>46139</v>
      </c>
      <c r="O245" s="26" t="inlineStr">
        <is>
          <t>Sunil CR</t>
        </is>
      </c>
      <c r="P245" s="26" t="inlineStr">
        <is>
          <t>Yes</t>
        </is>
      </c>
      <c r="Q245" s="26" t="inlineStr">
        <is>
          <t>No</t>
        </is>
      </c>
      <c r="R245" s="26" t="inlineStr">
        <is>
          <t>Good finish</t>
        </is>
      </c>
      <c r="S245" s="26" t="inlineStr">
        <is>
          <t>Yes</t>
        </is>
      </c>
      <c r="T245" s="27" t="n"/>
      <c r="U245" s="28" t="inlineStr">
        <is>
          <t>No</t>
        </is>
      </c>
      <c r="V245" s="29">
        <f>IF(N245="","",IF(Q245="Yes","❌ Disc",IF(P245="No","⚠ Missing",IF(S245="Yes","✓ OK","⚠ Check"))))</f>
        <v/>
      </c>
      <c r="W245" s="65" t="n">
        <v>46248</v>
      </c>
      <c r="X245" s="30" t="inlineStr">
        <is>
          <t>Sunil CR</t>
        </is>
      </c>
      <c r="Y245" s="30" t="inlineStr">
        <is>
          <t>Yes</t>
        </is>
      </c>
      <c r="Z245" s="30" t="n"/>
      <c r="AA245" s="30" t="inlineStr">
        <is>
          <t>Good finish</t>
        </is>
      </c>
      <c r="AB245" s="30" t="inlineStr">
        <is>
          <t>Yes</t>
        </is>
      </c>
      <c r="AC245" s="27" t="n"/>
      <c r="AD245" s="31" t="inlineStr">
        <is>
          <t>No</t>
        </is>
      </c>
      <c r="AE245" s="32">
        <f>IF(W245="","",IF(Z245="Yes","❌ Disc",IF(Y245="No","⚠ Missing",IF(AB245="Yes","✓ OK","⚠ Check"))))</f>
        <v/>
      </c>
      <c r="AF245" s="33" t="n"/>
      <c r="AG245" s="33" t="n"/>
      <c r="AH245" s="33" t="n"/>
      <c r="AI245" s="33" t="n"/>
      <c r="AJ245" s="33" t="n"/>
      <c r="AK245" s="33" t="n"/>
      <c r="AL245" s="27" t="n"/>
      <c r="AM245" s="34" t="n"/>
      <c r="AN245" s="35">
        <f>IF(AF245="","",IF(AI245="Yes","❌ Disc",IF(AH245="No","⚠ Missing",IF(AK245="Yes","✓ OK","⚠ Check"))))</f>
        <v/>
      </c>
      <c r="AO245" s="36" t="n"/>
      <c r="AP245" s="36" t="n"/>
      <c r="AQ245" s="36" t="n"/>
      <c r="AR245" s="36" t="n"/>
      <c r="AS245" s="36" t="n"/>
      <c r="AT245" s="36" t="n"/>
      <c r="AU245" s="27" t="n"/>
      <c r="AV245" s="37" t="n"/>
      <c r="AW245" s="38">
        <f>IF(AO245="","",IF(AR245="Yes","❌ Disc",IF(AQ245="No","⚠ Missing",IF(AT245="Yes","✓ OK","⚠ Check"))))</f>
        <v/>
      </c>
    </row>
    <row r="246" ht="18" customHeight="1" s="46">
      <c r="A246" s="39" t="n">
        <v>242</v>
      </c>
      <c r="B246" s="40" t="inlineStr">
        <is>
          <t>906-Carmel</t>
        </is>
      </c>
      <c r="C246" s="41" t="inlineStr">
        <is>
          <t>Sarom Fabric - New Malfino - NM - 906-Carmel</t>
        </is>
      </c>
      <c r="D246" s="39" t="inlineStr">
        <is>
          <t>Sarom</t>
        </is>
      </c>
      <c r="E246" s="43" t="n">
        <v>46125</v>
      </c>
      <c r="F246" s="26" t="inlineStr">
        <is>
          <t>Sunil CR</t>
        </is>
      </c>
      <c r="G246" s="26" t="inlineStr">
        <is>
          <t>Yes</t>
        </is>
      </c>
      <c r="H246" s="26" t="inlineStr">
        <is>
          <t>No</t>
        </is>
      </c>
      <c r="I246" s="26" t="inlineStr">
        <is>
          <t>Good finish</t>
        </is>
      </c>
      <c r="J246" s="26" t="inlineStr">
        <is>
          <t>Yes</t>
        </is>
      </c>
      <c r="K246" s="27" t="n"/>
      <c r="L246" s="28" t="inlineStr">
        <is>
          <t>No</t>
        </is>
      </c>
      <c r="M246" s="29">
        <f>IF(E246="","",IF(H246="Yes","❌ Disc",IF(G246="No","⚠ Missing",IF(J246="Yes","✓ OK","⚠ Check"))))</f>
        <v/>
      </c>
      <c r="N246" s="43" t="n">
        <v>46139</v>
      </c>
      <c r="O246" s="26" t="inlineStr">
        <is>
          <t>Sunil CR</t>
        </is>
      </c>
      <c r="P246" s="26" t="inlineStr">
        <is>
          <t>Yes</t>
        </is>
      </c>
      <c r="Q246" s="26" t="inlineStr">
        <is>
          <t>No</t>
        </is>
      </c>
      <c r="R246" s="26" t="inlineStr">
        <is>
          <t>Good finish</t>
        </is>
      </c>
      <c r="S246" s="26" t="inlineStr">
        <is>
          <t>Yes</t>
        </is>
      </c>
      <c r="T246" s="27" t="n"/>
      <c r="U246" s="28" t="inlineStr">
        <is>
          <t>No</t>
        </is>
      </c>
      <c r="V246" s="29">
        <f>IF(N246="","",IF(Q246="Yes","❌ Disc",IF(P246="No","⚠ Missing",IF(S246="Yes","✓ OK","⚠ Check"))))</f>
        <v/>
      </c>
      <c r="W246" s="65" t="n">
        <v>46248</v>
      </c>
      <c r="X246" s="30" t="inlineStr">
        <is>
          <t>Sunil CR</t>
        </is>
      </c>
      <c r="Y246" s="30" t="inlineStr">
        <is>
          <t>Yes</t>
        </is>
      </c>
      <c r="Z246" s="30" t="n"/>
      <c r="AA246" s="30" t="inlineStr">
        <is>
          <t>Good finish</t>
        </is>
      </c>
      <c r="AB246" s="30" t="inlineStr">
        <is>
          <t>Yes</t>
        </is>
      </c>
      <c r="AC246" s="27" t="n"/>
      <c r="AD246" s="31" t="inlineStr">
        <is>
          <t>No</t>
        </is>
      </c>
      <c r="AE246" s="32">
        <f>IF(W246="","",IF(Z246="Yes","❌ Disc",IF(Y246="No","⚠ Missing",IF(AB246="Yes","✓ OK","⚠ Check"))))</f>
        <v/>
      </c>
      <c r="AF246" s="33" t="n"/>
      <c r="AG246" s="33" t="n"/>
      <c r="AH246" s="33" t="n"/>
      <c r="AI246" s="33" t="n"/>
      <c r="AJ246" s="33" t="n"/>
      <c r="AK246" s="33" t="n"/>
      <c r="AL246" s="27" t="n"/>
      <c r="AM246" s="34" t="n"/>
      <c r="AN246" s="35">
        <f>IF(AF246="","",IF(AI246="Yes","❌ Disc",IF(AH246="No","⚠ Missing",IF(AK246="Yes","✓ OK","⚠ Check"))))</f>
        <v/>
      </c>
      <c r="AO246" s="36" t="n"/>
      <c r="AP246" s="36" t="n"/>
      <c r="AQ246" s="36" t="n"/>
      <c r="AR246" s="36" t="n"/>
      <c r="AS246" s="36" t="n"/>
      <c r="AT246" s="36" t="n"/>
      <c r="AU246" s="27" t="n"/>
      <c r="AV246" s="37" t="n"/>
      <c r="AW246" s="38">
        <f>IF(AO246="","",IF(AR246="Yes","❌ Disc",IF(AQ246="No","⚠ Missing",IF(AT246="Yes","✓ OK","⚠ Check"))))</f>
        <v/>
      </c>
    </row>
    <row r="247" ht="18" customHeight="1" s="46">
      <c r="A247" s="23" t="n">
        <v>243</v>
      </c>
      <c r="B247" s="24" t="inlineStr">
        <is>
          <t>907-Khaki</t>
        </is>
      </c>
      <c r="C247" s="25" t="inlineStr">
        <is>
          <t>Sarom Fabric - New Malfino - NM - 907-Khaki</t>
        </is>
      </c>
      <c r="D247" s="23" t="inlineStr">
        <is>
          <t>Sarom</t>
        </is>
      </c>
      <c r="E247" s="43" t="n">
        <v>46125</v>
      </c>
      <c r="F247" s="26" t="inlineStr">
        <is>
          <t>Sunil CR</t>
        </is>
      </c>
      <c r="G247" s="26" t="inlineStr">
        <is>
          <t>Yes</t>
        </is>
      </c>
      <c r="H247" s="26" t="inlineStr">
        <is>
          <t>No</t>
        </is>
      </c>
      <c r="I247" s="26" t="inlineStr">
        <is>
          <t>Good finish</t>
        </is>
      </c>
      <c r="J247" s="26" t="inlineStr">
        <is>
          <t>Yes</t>
        </is>
      </c>
      <c r="K247" s="27" t="n"/>
      <c r="L247" s="28" t="inlineStr">
        <is>
          <t>No</t>
        </is>
      </c>
      <c r="M247" s="29">
        <f>IF(E247="","",IF(H247="Yes","❌ Disc",IF(G247="No","⚠ Missing",IF(J247="Yes","✓ OK","⚠ Check"))))</f>
        <v/>
      </c>
      <c r="N247" s="43" t="n">
        <v>46139</v>
      </c>
      <c r="O247" s="26" t="inlineStr">
        <is>
          <t>Sunil CR</t>
        </is>
      </c>
      <c r="P247" s="26" t="inlineStr">
        <is>
          <t>Yes</t>
        </is>
      </c>
      <c r="Q247" s="26" t="inlineStr">
        <is>
          <t>No</t>
        </is>
      </c>
      <c r="R247" s="26" t="inlineStr">
        <is>
          <t>Good finish</t>
        </is>
      </c>
      <c r="S247" s="26" t="inlineStr">
        <is>
          <t>Yes</t>
        </is>
      </c>
      <c r="T247" s="27" t="n"/>
      <c r="U247" s="28" t="inlineStr">
        <is>
          <t>No</t>
        </is>
      </c>
      <c r="V247" s="29">
        <f>IF(N247="","",IF(Q247="Yes","❌ Disc",IF(P247="No","⚠ Missing",IF(S247="Yes","✓ OK","⚠ Check"))))</f>
        <v/>
      </c>
      <c r="W247" s="65" t="n">
        <v>46248</v>
      </c>
      <c r="X247" s="30" t="inlineStr">
        <is>
          <t>Sunil CR</t>
        </is>
      </c>
      <c r="Y247" s="30" t="inlineStr">
        <is>
          <t>Yes</t>
        </is>
      </c>
      <c r="Z247" s="30" t="n"/>
      <c r="AA247" s="30" t="inlineStr">
        <is>
          <t>Good finish</t>
        </is>
      </c>
      <c r="AB247" s="30" t="inlineStr">
        <is>
          <t>Yes</t>
        </is>
      </c>
      <c r="AC247" s="27" t="n"/>
      <c r="AD247" s="31" t="inlineStr">
        <is>
          <t>No</t>
        </is>
      </c>
      <c r="AE247" s="32">
        <f>IF(W247="","",IF(Z247="Yes","❌ Disc",IF(Y247="No","⚠ Missing",IF(AB247="Yes","✓ OK","⚠ Check"))))</f>
        <v/>
      </c>
      <c r="AF247" s="33" t="n"/>
      <c r="AG247" s="33" t="n"/>
      <c r="AH247" s="33" t="n"/>
      <c r="AI247" s="33" t="n"/>
      <c r="AJ247" s="33" t="n"/>
      <c r="AK247" s="33" t="n"/>
      <c r="AL247" s="27" t="n"/>
      <c r="AM247" s="34" t="n"/>
      <c r="AN247" s="35">
        <f>IF(AF247="","",IF(AI247="Yes","❌ Disc",IF(AH247="No","⚠ Missing",IF(AK247="Yes","✓ OK","⚠ Check"))))</f>
        <v/>
      </c>
      <c r="AO247" s="36" t="n"/>
      <c r="AP247" s="36" t="n"/>
      <c r="AQ247" s="36" t="n"/>
      <c r="AR247" s="36" t="n"/>
      <c r="AS247" s="36" t="n"/>
      <c r="AT247" s="36" t="n"/>
      <c r="AU247" s="27" t="n"/>
      <c r="AV247" s="37" t="n"/>
      <c r="AW247" s="38">
        <f>IF(AO247="","",IF(AR247="Yes","❌ Disc",IF(AQ247="No","⚠ Missing",IF(AT247="Yes","✓ OK","⚠ Check"))))</f>
        <v/>
      </c>
    </row>
    <row r="248" ht="18" customHeight="1" s="46">
      <c r="A248" s="39" t="n">
        <v>244</v>
      </c>
      <c r="B248" s="40" t="inlineStr">
        <is>
          <t>908-Cherry Wood</t>
        </is>
      </c>
      <c r="C248" s="41" t="inlineStr">
        <is>
          <t>Sarom Fabric - New Malfino - NM - 908-Cherry Wood</t>
        </is>
      </c>
      <c r="D248" s="39" t="inlineStr">
        <is>
          <t>Sarom</t>
        </is>
      </c>
      <c r="E248" s="43" t="n">
        <v>46125</v>
      </c>
      <c r="F248" s="26" t="inlineStr">
        <is>
          <t>Sunil CR</t>
        </is>
      </c>
      <c r="G248" s="26" t="inlineStr">
        <is>
          <t>Yes</t>
        </is>
      </c>
      <c r="H248" s="26" t="inlineStr">
        <is>
          <t>No</t>
        </is>
      </c>
      <c r="I248" s="26" t="inlineStr">
        <is>
          <t>Good finish</t>
        </is>
      </c>
      <c r="J248" s="26" t="inlineStr">
        <is>
          <t>Yes</t>
        </is>
      </c>
      <c r="K248" s="27" t="n"/>
      <c r="L248" s="28" t="inlineStr">
        <is>
          <t>No</t>
        </is>
      </c>
      <c r="M248" s="29">
        <f>IF(E248="","",IF(H248="Yes","❌ Disc",IF(G248="No","⚠ Missing",IF(J248="Yes","✓ OK","⚠ Check"))))</f>
        <v/>
      </c>
      <c r="N248" s="43" t="n">
        <v>46139</v>
      </c>
      <c r="O248" s="26" t="inlineStr">
        <is>
          <t>Sunil CR</t>
        </is>
      </c>
      <c r="P248" s="26" t="inlineStr">
        <is>
          <t>Yes</t>
        </is>
      </c>
      <c r="Q248" s="26" t="inlineStr">
        <is>
          <t>No</t>
        </is>
      </c>
      <c r="R248" s="26" t="inlineStr">
        <is>
          <t>Good finish</t>
        </is>
      </c>
      <c r="S248" s="26" t="inlineStr">
        <is>
          <t>Yes</t>
        </is>
      </c>
      <c r="T248" s="27" t="n"/>
      <c r="U248" s="28" t="inlineStr">
        <is>
          <t>No</t>
        </is>
      </c>
      <c r="V248" s="29">
        <f>IF(N248="","",IF(Q248="Yes","❌ Disc",IF(P248="No","⚠ Missing",IF(S248="Yes","✓ OK","⚠ Check"))))</f>
        <v/>
      </c>
      <c r="W248" s="65" t="n">
        <v>46248</v>
      </c>
      <c r="X248" s="30" t="inlineStr">
        <is>
          <t>Sunil CR</t>
        </is>
      </c>
      <c r="Y248" s="30" t="inlineStr">
        <is>
          <t>Yes</t>
        </is>
      </c>
      <c r="Z248" s="30" t="n"/>
      <c r="AA248" s="30" t="inlineStr">
        <is>
          <t>Good finish</t>
        </is>
      </c>
      <c r="AB248" s="30" t="inlineStr">
        <is>
          <t>Yes</t>
        </is>
      </c>
      <c r="AC248" s="27" t="n"/>
      <c r="AD248" s="31" t="inlineStr">
        <is>
          <t>No</t>
        </is>
      </c>
      <c r="AE248" s="32">
        <f>IF(W248="","",IF(Z248="Yes","❌ Disc",IF(Y248="No","⚠ Missing",IF(AB248="Yes","✓ OK","⚠ Check"))))</f>
        <v/>
      </c>
      <c r="AF248" s="33" t="n"/>
      <c r="AG248" s="33" t="n"/>
      <c r="AH248" s="33" t="n"/>
      <c r="AI248" s="33" t="n"/>
      <c r="AJ248" s="33" t="n"/>
      <c r="AK248" s="33" t="n"/>
      <c r="AL248" s="27" t="n"/>
      <c r="AM248" s="34" t="n"/>
      <c r="AN248" s="35">
        <f>IF(AF248="","",IF(AI248="Yes","❌ Disc",IF(AH248="No","⚠ Missing",IF(AK248="Yes","✓ OK","⚠ Check"))))</f>
        <v/>
      </c>
      <c r="AO248" s="36" t="n"/>
      <c r="AP248" s="36" t="n"/>
      <c r="AQ248" s="36" t="n"/>
      <c r="AR248" s="36" t="n"/>
      <c r="AS248" s="36" t="n"/>
      <c r="AT248" s="36" t="n"/>
      <c r="AU248" s="27" t="n"/>
      <c r="AV248" s="37" t="n"/>
      <c r="AW248" s="38">
        <f>IF(AO248="","",IF(AR248="Yes","❌ Disc",IF(AQ248="No","⚠ Missing",IF(AT248="Yes","✓ OK","⚠ Check"))))</f>
        <v/>
      </c>
    </row>
    <row r="249" ht="18" customHeight="1" s="46">
      <c r="A249" s="23" t="n">
        <v>245</v>
      </c>
      <c r="B249" s="24" t="inlineStr">
        <is>
          <t>909-Tan</t>
        </is>
      </c>
      <c r="C249" s="25" t="inlineStr">
        <is>
          <t>Sarom Fabric - New Malfino - NM - 909-Tan</t>
        </is>
      </c>
      <c r="D249" s="23" t="inlineStr">
        <is>
          <t>Sarom</t>
        </is>
      </c>
      <c r="E249" s="43" t="n">
        <v>46125</v>
      </c>
      <c r="F249" s="26" t="inlineStr">
        <is>
          <t>Sunil CR</t>
        </is>
      </c>
      <c r="G249" s="26" t="inlineStr">
        <is>
          <t>Yes</t>
        </is>
      </c>
      <c r="H249" s="26" t="inlineStr">
        <is>
          <t>No</t>
        </is>
      </c>
      <c r="I249" s="26" t="inlineStr">
        <is>
          <t>Good finish</t>
        </is>
      </c>
      <c r="J249" s="26" t="inlineStr">
        <is>
          <t>Yes</t>
        </is>
      </c>
      <c r="K249" s="27" t="n"/>
      <c r="L249" s="28" t="inlineStr">
        <is>
          <t>No</t>
        </is>
      </c>
      <c r="M249" s="29">
        <f>IF(E249="","",IF(H249="Yes","❌ Disc",IF(G249="No","⚠ Missing",IF(J249="Yes","✓ OK","⚠ Check"))))</f>
        <v/>
      </c>
      <c r="N249" s="43" t="n">
        <v>46139</v>
      </c>
      <c r="O249" s="26" t="inlineStr">
        <is>
          <t>Sunil CR</t>
        </is>
      </c>
      <c r="P249" s="26" t="inlineStr">
        <is>
          <t>Yes</t>
        </is>
      </c>
      <c r="Q249" s="26" t="inlineStr">
        <is>
          <t>No</t>
        </is>
      </c>
      <c r="R249" s="26" t="inlineStr">
        <is>
          <t>Good finish</t>
        </is>
      </c>
      <c r="S249" s="26" t="inlineStr">
        <is>
          <t>Yes</t>
        </is>
      </c>
      <c r="T249" s="27" t="n"/>
      <c r="U249" s="28" t="inlineStr">
        <is>
          <t>No</t>
        </is>
      </c>
      <c r="V249" s="29">
        <f>IF(N249="","",IF(Q249="Yes","❌ Disc",IF(P249="No","⚠ Missing",IF(S249="Yes","✓ OK","⚠ Check"))))</f>
        <v/>
      </c>
      <c r="W249" s="65" t="n">
        <v>46248</v>
      </c>
      <c r="X249" s="30" t="inlineStr">
        <is>
          <t>Sunil CR</t>
        </is>
      </c>
      <c r="Y249" s="30" t="inlineStr">
        <is>
          <t>Yes</t>
        </is>
      </c>
      <c r="Z249" s="30" t="n"/>
      <c r="AA249" s="30" t="inlineStr">
        <is>
          <t>Good finish</t>
        </is>
      </c>
      <c r="AB249" s="30" t="inlineStr">
        <is>
          <t>Yes</t>
        </is>
      </c>
      <c r="AC249" s="27" t="n"/>
      <c r="AD249" s="31" t="inlineStr">
        <is>
          <t>No</t>
        </is>
      </c>
      <c r="AE249" s="32">
        <f>IF(W249="","",IF(Z249="Yes","❌ Disc",IF(Y249="No","⚠ Missing",IF(AB249="Yes","✓ OK","⚠ Check"))))</f>
        <v/>
      </c>
      <c r="AF249" s="33" t="n"/>
      <c r="AG249" s="33" t="n"/>
      <c r="AH249" s="33" t="n"/>
      <c r="AI249" s="33" t="n"/>
      <c r="AJ249" s="33" t="n"/>
      <c r="AK249" s="33" t="n"/>
      <c r="AL249" s="27" t="n"/>
      <c r="AM249" s="34" t="n"/>
      <c r="AN249" s="35">
        <f>IF(AF249="","",IF(AI249="Yes","❌ Disc",IF(AH249="No","⚠ Missing",IF(AK249="Yes","✓ OK","⚠ Check"))))</f>
        <v/>
      </c>
      <c r="AO249" s="36" t="n"/>
      <c r="AP249" s="36" t="n"/>
      <c r="AQ249" s="36" t="n"/>
      <c r="AR249" s="36" t="n"/>
      <c r="AS249" s="36" t="n"/>
      <c r="AT249" s="36" t="n"/>
      <c r="AU249" s="27" t="n"/>
      <c r="AV249" s="37" t="n"/>
      <c r="AW249" s="38">
        <f>IF(AO249="","",IF(AR249="Yes","❌ Disc",IF(AQ249="No","⚠ Missing",IF(AT249="Yes","✓ OK","⚠ Check"))))</f>
        <v/>
      </c>
    </row>
    <row r="250" ht="18" customHeight="1" s="46">
      <c r="A250" s="39" t="n">
        <v>246</v>
      </c>
      <c r="B250" s="40" t="inlineStr">
        <is>
          <t>910-Coffee</t>
        </is>
      </c>
      <c r="C250" s="41" t="inlineStr">
        <is>
          <t>Sarom Fabric - New Malfino - NM - 910-Coffee</t>
        </is>
      </c>
      <c r="D250" s="39" t="inlineStr">
        <is>
          <t>Sarom</t>
        </is>
      </c>
      <c r="E250" s="43" t="n">
        <v>46125</v>
      </c>
      <c r="F250" s="26" t="inlineStr">
        <is>
          <t>Sunil CR</t>
        </is>
      </c>
      <c r="G250" s="26" t="inlineStr">
        <is>
          <t>Yes</t>
        </is>
      </c>
      <c r="H250" s="26" t="inlineStr">
        <is>
          <t>No</t>
        </is>
      </c>
      <c r="I250" s="26" t="inlineStr">
        <is>
          <t>Good finish</t>
        </is>
      </c>
      <c r="J250" s="26" t="inlineStr">
        <is>
          <t>Yes</t>
        </is>
      </c>
      <c r="K250" s="27" t="n"/>
      <c r="L250" s="28" t="inlineStr">
        <is>
          <t>No</t>
        </is>
      </c>
      <c r="M250" s="29">
        <f>IF(E250="","",IF(H250="Yes","❌ Disc",IF(G250="No","⚠ Missing",IF(J250="Yes","✓ OK","⚠ Check"))))</f>
        <v/>
      </c>
      <c r="N250" s="43" t="n">
        <v>46139</v>
      </c>
      <c r="O250" s="26" t="inlineStr">
        <is>
          <t>Sunil CR</t>
        </is>
      </c>
      <c r="P250" s="26" t="inlineStr">
        <is>
          <t>Yes</t>
        </is>
      </c>
      <c r="Q250" s="26" t="inlineStr">
        <is>
          <t>No</t>
        </is>
      </c>
      <c r="R250" s="26" t="inlineStr">
        <is>
          <t>Good finish</t>
        </is>
      </c>
      <c r="S250" s="26" t="inlineStr">
        <is>
          <t>Yes</t>
        </is>
      </c>
      <c r="T250" s="27" t="n"/>
      <c r="U250" s="28" t="inlineStr">
        <is>
          <t>No</t>
        </is>
      </c>
      <c r="V250" s="29">
        <f>IF(N250="","",IF(Q250="Yes","❌ Disc",IF(P250="No","⚠ Missing",IF(S250="Yes","✓ OK","⚠ Check"))))</f>
        <v/>
      </c>
      <c r="W250" s="65" t="n">
        <v>46248</v>
      </c>
      <c r="X250" s="30" t="inlineStr">
        <is>
          <t>Sunil CR</t>
        </is>
      </c>
      <c r="Y250" s="30" t="inlineStr">
        <is>
          <t>Yes</t>
        </is>
      </c>
      <c r="Z250" s="30" t="n"/>
      <c r="AA250" s="30" t="inlineStr">
        <is>
          <t>Good finish</t>
        </is>
      </c>
      <c r="AB250" s="30" t="inlineStr">
        <is>
          <t>Yes</t>
        </is>
      </c>
      <c r="AC250" s="27" t="n"/>
      <c r="AD250" s="31" t="inlineStr">
        <is>
          <t>No</t>
        </is>
      </c>
      <c r="AE250" s="32">
        <f>IF(W250="","",IF(Z250="Yes","❌ Disc",IF(Y250="No","⚠ Missing",IF(AB250="Yes","✓ OK","⚠ Check"))))</f>
        <v/>
      </c>
      <c r="AF250" s="33" t="n"/>
      <c r="AG250" s="33" t="n"/>
      <c r="AH250" s="33" t="n"/>
      <c r="AI250" s="33" t="n"/>
      <c r="AJ250" s="33" t="n"/>
      <c r="AK250" s="33" t="n"/>
      <c r="AL250" s="27" t="n"/>
      <c r="AM250" s="34" t="n"/>
      <c r="AN250" s="35">
        <f>IF(AF250="","",IF(AI250="Yes","❌ Disc",IF(AH250="No","⚠ Missing",IF(AK250="Yes","✓ OK","⚠ Check"))))</f>
        <v/>
      </c>
      <c r="AO250" s="36" t="n"/>
      <c r="AP250" s="36" t="n"/>
      <c r="AQ250" s="36" t="n"/>
      <c r="AR250" s="36" t="n"/>
      <c r="AS250" s="36" t="n"/>
      <c r="AT250" s="36" t="n"/>
      <c r="AU250" s="27" t="n"/>
      <c r="AV250" s="37" t="n"/>
      <c r="AW250" s="38">
        <f>IF(AO250="","",IF(AR250="Yes","❌ Disc",IF(AQ250="No","⚠ Missing",IF(AT250="Yes","✓ OK","⚠ Check"))))</f>
        <v/>
      </c>
    </row>
    <row r="251" ht="18" customHeight="1" s="46">
      <c r="A251" s="23" t="n">
        <v>247</v>
      </c>
      <c r="B251" s="24" t="inlineStr">
        <is>
          <t>911-Brown</t>
        </is>
      </c>
      <c r="C251" s="25" t="inlineStr">
        <is>
          <t>Sarom Fabric - New Malfino - NM - 911-Brown</t>
        </is>
      </c>
      <c r="D251" s="23" t="inlineStr">
        <is>
          <t>Sarom</t>
        </is>
      </c>
      <c r="E251" s="43" t="n">
        <v>46125</v>
      </c>
      <c r="F251" s="26" t="inlineStr">
        <is>
          <t>Sunil CR</t>
        </is>
      </c>
      <c r="G251" s="26" t="inlineStr">
        <is>
          <t>Yes</t>
        </is>
      </c>
      <c r="H251" s="26" t="inlineStr">
        <is>
          <t>No</t>
        </is>
      </c>
      <c r="I251" s="26" t="inlineStr">
        <is>
          <t>Good finish</t>
        </is>
      </c>
      <c r="J251" s="26" t="inlineStr">
        <is>
          <t>Yes</t>
        </is>
      </c>
      <c r="K251" s="27" t="n"/>
      <c r="L251" s="28" t="inlineStr">
        <is>
          <t>No</t>
        </is>
      </c>
      <c r="M251" s="29">
        <f>IF(E251="","",IF(H251="Yes","❌ Disc",IF(G251="No","⚠ Missing",IF(J251="Yes","✓ OK","⚠ Check"))))</f>
        <v/>
      </c>
      <c r="N251" s="43" t="n">
        <v>46139</v>
      </c>
      <c r="O251" s="26" t="inlineStr">
        <is>
          <t>Sunil CR</t>
        </is>
      </c>
      <c r="P251" s="26" t="inlineStr">
        <is>
          <t>Yes</t>
        </is>
      </c>
      <c r="Q251" s="26" t="inlineStr">
        <is>
          <t>No</t>
        </is>
      </c>
      <c r="R251" s="26" t="inlineStr">
        <is>
          <t>Good finish</t>
        </is>
      </c>
      <c r="S251" s="26" t="inlineStr">
        <is>
          <t>Yes</t>
        </is>
      </c>
      <c r="T251" s="27" t="n"/>
      <c r="U251" s="28" t="inlineStr">
        <is>
          <t>No</t>
        </is>
      </c>
      <c r="V251" s="29">
        <f>IF(N251="","",IF(Q251="Yes","❌ Disc",IF(P251="No","⚠ Missing",IF(S251="Yes","✓ OK","⚠ Check"))))</f>
        <v/>
      </c>
      <c r="W251" s="65" t="n">
        <v>46248</v>
      </c>
      <c r="X251" s="30" t="inlineStr">
        <is>
          <t>Sunil CR</t>
        </is>
      </c>
      <c r="Y251" s="30" t="inlineStr">
        <is>
          <t>Yes</t>
        </is>
      </c>
      <c r="Z251" s="30" t="n"/>
      <c r="AA251" s="30" t="inlineStr">
        <is>
          <t>Good finish</t>
        </is>
      </c>
      <c r="AB251" s="30" t="inlineStr">
        <is>
          <t>Yes</t>
        </is>
      </c>
      <c r="AC251" s="27" t="n"/>
      <c r="AD251" s="31" t="inlineStr">
        <is>
          <t>No</t>
        </is>
      </c>
      <c r="AE251" s="32">
        <f>IF(W251="","",IF(Z251="Yes","❌ Disc",IF(Y251="No","⚠ Missing",IF(AB251="Yes","✓ OK","⚠ Check"))))</f>
        <v/>
      </c>
      <c r="AF251" s="33" t="n"/>
      <c r="AG251" s="33" t="n"/>
      <c r="AH251" s="33" t="n"/>
      <c r="AI251" s="33" t="n"/>
      <c r="AJ251" s="33" t="n"/>
      <c r="AK251" s="33" t="n"/>
      <c r="AL251" s="27" t="n"/>
      <c r="AM251" s="34" t="n"/>
      <c r="AN251" s="35">
        <f>IF(AF251="","",IF(AI251="Yes","❌ Disc",IF(AH251="No","⚠ Missing",IF(AK251="Yes","✓ OK","⚠ Check"))))</f>
        <v/>
      </c>
      <c r="AO251" s="36" t="n"/>
      <c r="AP251" s="36" t="n"/>
      <c r="AQ251" s="36" t="n"/>
      <c r="AR251" s="36" t="n"/>
      <c r="AS251" s="36" t="n"/>
      <c r="AT251" s="36" t="n"/>
      <c r="AU251" s="27" t="n"/>
      <c r="AV251" s="37" t="n"/>
      <c r="AW251" s="38">
        <f>IF(AO251="","",IF(AR251="Yes","❌ Disc",IF(AQ251="No","⚠ Missing",IF(AT251="Yes","✓ OK","⚠ Check"))))</f>
        <v/>
      </c>
    </row>
    <row r="252" ht="18" customHeight="1" s="46">
      <c r="A252" s="39" t="n">
        <v>248</v>
      </c>
      <c r="B252" s="40" t="inlineStr">
        <is>
          <t>912-Mocha</t>
        </is>
      </c>
      <c r="C252" s="41" t="inlineStr">
        <is>
          <t>Sarom Fabric - New Malfino - NM - 912-Mocha</t>
        </is>
      </c>
      <c r="D252" s="39" t="inlineStr">
        <is>
          <t>Sarom</t>
        </is>
      </c>
      <c r="E252" s="43" t="n">
        <v>46125</v>
      </c>
      <c r="F252" s="26" t="inlineStr">
        <is>
          <t>Sunil CR</t>
        </is>
      </c>
      <c r="G252" s="26" t="inlineStr">
        <is>
          <t>Yes</t>
        </is>
      </c>
      <c r="H252" s="26" t="inlineStr">
        <is>
          <t>No</t>
        </is>
      </c>
      <c r="I252" s="26" t="inlineStr">
        <is>
          <t>Good finish</t>
        </is>
      </c>
      <c r="J252" s="26" t="inlineStr">
        <is>
          <t>Yes</t>
        </is>
      </c>
      <c r="K252" s="27" t="n"/>
      <c r="L252" s="28" t="inlineStr">
        <is>
          <t>No</t>
        </is>
      </c>
      <c r="M252" s="29">
        <f>IF(E252="","",IF(H252="Yes","❌ Disc",IF(G252="No","⚠ Missing",IF(J252="Yes","✓ OK","⚠ Check"))))</f>
        <v/>
      </c>
      <c r="N252" s="43" t="n">
        <v>46139</v>
      </c>
      <c r="O252" s="26" t="inlineStr">
        <is>
          <t>Sunil CR</t>
        </is>
      </c>
      <c r="P252" s="26" t="inlineStr">
        <is>
          <t>Yes</t>
        </is>
      </c>
      <c r="Q252" s="26" t="inlineStr">
        <is>
          <t>No</t>
        </is>
      </c>
      <c r="R252" s="26" t="inlineStr">
        <is>
          <t>Good finish</t>
        </is>
      </c>
      <c r="S252" s="26" t="inlineStr">
        <is>
          <t>Yes</t>
        </is>
      </c>
      <c r="T252" s="27" t="n"/>
      <c r="U252" s="28" t="inlineStr">
        <is>
          <t>No</t>
        </is>
      </c>
      <c r="V252" s="29">
        <f>IF(N252="","",IF(Q252="Yes","❌ Disc",IF(P252="No","⚠ Missing",IF(S252="Yes","✓ OK","⚠ Check"))))</f>
        <v/>
      </c>
      <c r="W252" s="65" t="n">
        <v>46248</v>
      </c>
      <c r="X252" s="30" t="inlineStr">
        <is>
          <t>Sunil CR</t>
        </is>
      </c>
      <c r="Y252" s="30" t="inlineStr">
        <is>
          <t>Yes</t>
        </is>
      </c>
      <c r="Z252" s="30" t="n"/>
      <c r="AA252" s="30" t="inlineStr">
        <is>
          <t>Good finish</t>
        </is>
      </c>
      <c r="AB252" s="30" t="inlineStr">
        <is>
          <t>Yes</t>
        </is>
      </c>
      <c r="AC252" s="27" t="n"/>
      <c r="AD252" s="31" t="inlineStr">
        <is>
          <t>No</t>
        </is>
      </c>
      <c r="AE252" s="32">
        <f>IF(W252="","",IF(Z252="Yes","❌ Disc",IF(Y252="No","⚠ Missing",IF(AB252="Yes","✓ OK","⚠ Check"))))</f>
        <v/>
      </c>
      <c r="AF252" s="33" t="n"/>
      <c r="AG252" s="33" t="n"/>
      <c r="AH252" s="33" t="n"/>
      <c r="AI252" s="33" t="n"/>
      <c r="AJ252" s="33" t="n"/>
      <c r="AK252" s="33" t="n"/>
      <c r="AL252" s="27" t="n"/>
      <c r="AM252" s="34" t="n"/>
      <c r="AN252" s="35">
        <f>IF(AF252="","",IF(AI252="Yes","❌ Disc",IF(AH252="No","⚠ Missing",IF(AK252="Yes","✓ OK","⚠ Check"))))</f>
        <v/>
      </c>
      <c r="AO252" s="36" t="n"/>
      <c r="AP252" s="36" t="n"/>
      <c r="AQ252" s="36" t="n"/>
      <c r="AR252" s="36" t="n"/>
      <c r="AS252" s="36" t="n"/>
      <c r="AT252" s="36" t="n"/>
      <c r="AU252" s="27" t="n"/>
      <c r="AV252" s="37" t="n"/>
      <c r="AW252" s="38">
        <f>IF(AO252="","",IF(AR252="Yes","❌ Disc",IF(AQ252="No","⚠ Missing",IF(AT252="Yes","✓ OK","⚠ Check"))))</f>
        <v/>
      </c>
    </row>
    <row r="253" ht="18" customHeight="1" s="46">
      <c r="A253" s="23" t="n">
        <v>249</v>
      </c>
      <c r="B253" s="24" t="inlineStr">
        <is>
          <t>913-Cacao</t>
        </is>
      </c>
      <c r="C253" s="25" t="inlineStr">
        <is>
          <t>Sarom Fabric - New Malfino - NM - 913-Cacao</t>
        </is>
      </c>
      <c r="D253" s="23" t="inlineStr">
        <is>
          <t>Sarom</t>
        </is>
      </c>
      <c r="E253" s="43" t="n">
        <v>46125</v>
      </c>
      <c r="F253" s="26" t="inlineStr">
        <is>
          <t>Sunil CR</t>
        </is>
      </c>
      <c r="G253" s="26" t="inlineStr">
        <is>
          <t>Yes</t>
        </is>
      </c>
      <c r="H253" s="26" t="inlineStr">
        <is>
          <t>No</t>
        </is>
      </c>
      <c r="I253" s="26" t="inlineStr">
        <is>
          <t>Good finish</t>
        </is>
      </c>
      <c r="J253" s="26" t="inlineStr">
        <is>
          <t>Yes</t>
        </is>
      </c>
      <c r="K253" s="27" t="n"/>
      <c r="L253" s="28" t="inlineStr">
        <is>
          <t>No</t>
        </is>
      </c>
      <c r="M253" s="29">
        <f>IF(E253="","",IF(H253="Yes","❌ Disc",IF(G253="No","⚠ Missing",IF(J253="Yes","✓ OK","⚠ Check"))))</f>
        <v/>
      </c>
      <c r="N253" s="43" t="n">
        <v>46139</v>
      </c>
      <c r="O253" s="26" t="inlineStr">
        <is>
          <t>Sunil CR</t>
        </is>
      </c>
      <c r="P253" s="26" t="inlineStr">
        <is>
          <t>Yes</t>
        </is>
      </c>
      <c r="Q253" s="26" t="inlineStr">
        <is>
          <t>No</t>
        </is>
      </c>
      <c r="R253" s="26" t="inlineStr">
        <is>
          <t>Good finish</t>
        </is>
      </c>
      <c r="S253" s="26" t="inlineStr">
        <is>
          <t>Yes</t>
        </is>
      </c>
      <c r="T253" s="27" t="n"/>
      <c r="U253" s="28" t="inlineStr">
        <is>
          <t>No</t>
        </is>
      </c>
      <c r="V253" s="29">
        <f>IF(N253="","",IF(Q253="Yes","❌ Disc",IF(P253="No","⚠ Missing",IF(S253="Yes","✓ OK","⚠ Check"))))</f>
        <v/>
      </c>
      <c r="W253" s="65" t="n">
        <v>46248</v>
      </c>
      <c r="X253" s="30" t="inlineStr">
        <is>
          <t>Sunil CR</t>
        </is>
      </c>
      <c r="Y253" s="30" t="inlineStr">
        <is>
          <t>Yes</t>
        </is>
      </c>
      <c r="Z253" s="30" t="n"/>
      <c r="AA253" s="30" t="inlineStr">
        <is>
          <t>Good finish</t>
        </is>
      </c>
      <c r="AB253" s="30" t="inlineStr">
        <is>
          <t>Yes</t>
        </is>
      </c>
      <c r="AC253" s="27" t="n"/>
      <c r="AD253" s="31" t="inlineStr">
        <is>
          <t>No</t>
        </is>
      </c>
      <c r="AE253" s="32">
        <f>IF(W253="","",IF(Z253="Yes","❌ Disc",IF(Y253="No","⚠ Missing",IF(AB253="Yes","✓ OK","⚠ Check"))))</f>
        <v/>
      </c>
      <c r="AF253" s="33" t="n"/>
      <c r="AG253" s="33" t="n"/>
      <c r="AH253" s="33" t="n"/>
      <c r="AI253" s="33" t="n"/>
      <c r="AJ253" s="33" t="n"/>
      <c r="AK253" s="33" t="n"/>
      <c r="AL253" s="27" t="n"/>
      <c r="AM253" s="34" t="n"/>
      <c r="AN253" s="35">
        <f>IF(AF253="","",IF(AI253="Yes","❌ Disc",IF(AH253="No","⚠ Missing",IF(AK253="Yes","✓ OK","⚠ Check"))))</f>
        <v/>
      </c>
      <c r="AO253" s="36" t="n"/>
      <c r="AP253" s="36" t="n"/>
      <c r="AQ253" s="36" t="n"/>
      <c r="AR253" s="36" t="n"/>
      <c r="AS253" s="36" t="n"/>
      <c r="AT253" s="36" t="n"/>
      <c r="AU253" s="27" t="n"/>
      <c r="AV253" s="37" t="n"/>
      <c r="AW253" s="38">
        <f>IF(AO253="","",IF(AR253="Yes","❌ Disc",IF(AQ253="No","⚠ Missing",IF(AT253="Yes","✓ OK","⚠ Check"))))</f>
        <v/>
      </c>
    </row>
    <row r="254" ht="18" customHeight="1" s="46">
      <c r="A254" s="39" t="n">
        <v>250</v>
      </c>
      <c r="B254" s="40" t="inlineStr">
        <is>
          <t>914-American Bronze</t>
        </is>
      </c>
      <c r="C254" s="41" t="inlineStr">
        <is>
          <t>Sarom Fabric - New Malfino - NM - 914-American Bronze</t>
        </is>
      </c>
      <c r="D254" s="39" t="inlineStr">
        <is>
          <t>Sarom</t>
        </is>
      </c>
      <c r="E254" s="43" t="n">
        <v>46125</v>
      </c>
      <c r="F254" s="26" t="inlineStr">
        <is>
          <t>Sunil CR</t>
        </is>
      </c>
      <c r="G254" s="26" t="inlineStr">
        <is>
          <t>Yes</t>
        </is>
      </c>
      <c r="H254" s="26" t="inlineStr">
        <is>
          <t>No</t>
        </is>
      </c>
      <c r="I254" s="26" t="inlineStr">
        <is>
          <t>Good finish</t>
        </is>
      </c>
      <c r="J254" s="26" t="inlineStr">
        <is>
          <t>Yes</t>
        </is>
      </c>
      <c r="K254" s="27" t="n"/>
      <c r="L254" s="28" t="inlineStr">
        <is>
          <t>No</t>
        </is>
      </c>
      <c r="M254" s="29">
        <f>IF(E254="","",IF(H254="Yes","❌ Disc",IF(G254="No","⚠ Missing",IF(J254="Yes","✓ OK","⚠ Check"))))</f>
        <v/>
      </c>
      <c r="N254" s="43" t="n">
        <v>46139</v>
      </c>
      <c r="O254" s="26" t="inlineStr">
        <is>
          <t>Sunil CR</t>
        </is>
      </c>
      <c r="P254" s="26" t="inlineStr">
        <is>
          <t>Yes</t>
        </is>
      </c>
      <c r="Q254" s="26" t="inlineStr">
        <is>
          <t>No</t>
        </is>
      </c>
      <c r="R254" s="26" t="inlineStr">
        <is>
          <t>Good finish</t>
        </is>
      </c>
      <c r="S254" s="26" t="inlineStr">
        <is>
          <t>Yes</t>
        </is>
      </c>
      <c r="T254" s="27" t="n"/>
      <c r="U254" s="28" t="inlineStr">
        <is>
          <t>No</t>
        </is>
      </c>
      <c r="V254" s="29">
        <f>IF(N254="","",IF(Q254="Yes","❌ Disc",IF(P254="No","⚠ Missing",IF(S254="Yes","✓ OK","⚠ Check"))))</f>
        <v/>
      </c>
      <c r="W254" s="65" t="n">
        <v>46248</v>
      </c>
      <c r="X254" s="30" t="inlineStr">
        <is>
          <t>Sunil CR</t>
        </is>
      </c>
      <c r="Y254" s="30" t="inlineStr">
        <is>
          <t>Yes</t>
        </is>
      </c>
      <c r="Z254" s="30" t="n"/>
      <c r="AA254" s="30" t="inlineStr">
        <is>
          <t>Good finish</t>
        </is>
      </c>
      <c r="AB254" s="30" t="inlineStr">
        <is>
          <t>Yes</t>
        </is>
      </c>
      <c r="AC254" s="27" t="n"/>
      <c r="AD254" s="31" t="inlineStr">
        <is>
          <t>No</t>
        </is>
      </c>
      <c r="AE254" s="32">
        <f>IF(W254="","",IF(Z254="Yes","❌ Disc",IF(Y254="No","⚠ Missing",IF(AB254="Yes","✓ OK","⚠ Check"))))</f>
        <v/>
      </c>
      <c r="AF254" s="33" t="n"/>
      <c r="AG254" s="33" t="n"/>
      <c r="AH254" s="33" t="n"/>
      <c r="AI254" s="33" t="n"/>
      <c r="AJ254" s="33" t="n"/>
      <c r="AK254" s="33" t="n"/>
      <c r="AL254" s="27" t="n"/>
      <c r="AM254" s="34" t="n"/>
      <c r="AN254" s="35">
        <f>IF(AF254="","",IF(AI254="Yes","❌ Disc",IF(AH254="No","⚠ Missing",IF(AK254="Yes","✓ OK","⚠ Check"))))</f>
        <v/>
      </c>
      <c r="AO254" s="36" t="n"/>
      <c r="AP254" s="36" t="n"/>
      <c r="AQ254" s="36" t="n"/>
      <c r="AR254" s="36" t="n"/>
      <c r="AS254" s="36" t="n"/>
      <c r="AT254" s="36" t="n"/>
      <c r="AU254" s="27" t="n"/>
      <c r="AV254" s="37" t="n"/>
      <c r="AW254" s="38">
        <f>IF(AO254="","",IF(AR254="Yes","❌ Disc",IF(AQ254="No","⚠ Missing",IF(AT254="Yes","✓ OK","⚠ Check"))))</f>
        <v/>
      </c>
    </row>
    <row r="255" ht="18" customHeight="1" s="46">
      <c r="A255" s="23" t="n">
        <v>251</v>
      </c>
      <c r="B255" s="24" t="inlineStr">
        <is>
          <t>915-Chocolate</t>
        </is>
      </c>
      <c r="C255" s="25" t="inlineStr">
        <is>
          <t>Sarom Fabric - New Malfino - NM - 915-Chocolate</t>
        </is>
      </c>
      <c r="D255" s="23" t="inlineStr">
        <is>
          <t>Sarom</t>
        </is>
      </c>
      <c r="E255" s="43" t="n">
        <v>46125</v>
      </c>
      <c r="F255" s="26" t="inlineStr">
        <is>
          <t>Sunil CR</t>
        </is>
      </c>
      <c r="G255" s="26" t="inlineStr">
        <is>
          <t>Yes</t>
        </is>
      </c>
      <c r="H255" s="26" t="inlineStr">
        <is>
          <t>No</t>
        </is>
      </c>
      <c r="I255" s="26" t="inlineStr">
        <is>
          <t>Good finish</t>
        </is>
      </c>
      <c r="J255" s="26" t="inlineStr">
        <is>
          <t>Yes</t>
        </is>
      </c>
      <c r="K255" s="27" t="n"/>
      <c r="L255" s="28" t="inlineStr">
        <is>
          <t>No</t>
        </is>
      </c>
      <c r="M255" s="29">
        <f>IF(E255="","",IF(H255="Yes","❌ Disc",IF(G255="No","⚠ Missing",IF(J255="Yes","✓ OK","⚠ Check"))))</f>
        <v/>
      </c>
      <c r="N255" s="43" t="n">
        <v>46139</v>
      </c>
      <c r="O255" s="26" t="inlineStr">
        <is>
          <t>Sunil CR</t>
        </is>
      </c>
      <c r="P255" s="26" t="inlineStr">
        <is>
          <t>Yes</t>
        </is>
      </c>
      <c r="Q255" s="26" t="inlineStr">
        <is>
          <t>No</t>
        </is>
      </c>
      <c r="R255" s="26" t="inlineStr">
        <is>
          <t>Good finish</t>
        </is>
      </c>
      <c r="S255" s="26" t="inlineStr">
        <is>
          <t>Yes</t>
        </is>
      </c>
      <c r="T255" s="27" t="n"/>
      <c r="U255" s="28" t="inlineStr">
        <is>
          <t>No</t>
        </is>
      </c>
      <c r="V255" s="29">
        <f>IF(N255="","",IF(Q255="Yes","❌ Disc",IF(P255="No","⚠ Missing",IF(S255="Yes","✓ OK","⚠ Check"))))</f>
        <v/>
      </c>
      <c r="W255" s="65" t="n">
        <v>46248</v>
      </c>
      <c r="X255" s="30" t="inlineStr">
        <is>
          <t>Sunil CR</t>
        </is>
      </c>
      <c r="Y255" s="30" t="inlineStr">
        <is>
          <t>Yes</t>
        </is>
      </c>
      <c r="Z255" s="30" t="n"/>
      <c r="AA255" s="30" t="inlineStr">
        <is>
          <t>Good finish</t>
        </is>
      </c>
      <c r="AB255" s="30" t="inlineStr">
        <is>
          <t>Yes</t>
        </is>
      </c>
      <c r="AC255" s="27" t="n"/>
      <c r="AD255" s="31" t="inlineStr">
        <is>
          <t>No</t>
        </is>
      </c>
      <c r="AE255" s="32">
        <f>IF(W255="","",IF(Z255="Yes","❌ Disc",IF(Y255="No","⚠ Missing",IF(AB255="Yes","✓ OK","⚠ Check"))))</f>
        <v/>
      </c>
      <c r="AF255" s="33" t="n"/>
      <c r="AG255" s="33" t="n"/>
      <c r="AH255" s="33" t="n"/>
      <c r="AI255" s="33" t="n"/>
      <c r="AJ255" s="33" t="n"/>
      <c r="AK255" s="33" t="n"/>
      <c r="AL255" s="27" t="n"/>
      <c r="AM255" s="34" t="n"/>
      <c r="AN255" s="35">
        <f>IF(AF255="","",IF(AI255="Yes","❌ Disc",IF(AH255="No","⚠ Missing",IF(AK255="Yes","✓ OK","⚠ Check"))))</f>
        <v/>
      </c>
      <c r="AO255" s="36" t="n"/>
      <c r="AP255" s="36" t="n"/>
      <c r="AQ255" s="36" t="n"/>
      <c r="AR255" s="36" t="n"/>
      <c r="AS255" s="36" t="n"/>
      <c r="AT255" s="36" t="n"/>
      <c r="AU255" s="27" t="n"/>
      <c r="AV255" s="37" t="n"/>
      <c r="AW255" s="38">
        <f>IF(AO255="","",IF(AR255="Yes","❌ Disc",IF(AQ255="No","⚠ Missing",IF(AT255="Yes","✓ OK","⚠ Check"))))</f>
        <v/>
      </c>
    </row>
    <row r="256" ht="18" customHeight="1" s="46">
      <c r="A256" s="39" t="n">
        <v>252</v>
      </c>
      <c r="B256" s="40" t="inlineStr">
        <is>
          <t>916-Red Brown</t>
        </is>
      </c>
      <c r="C256" s="41" t="inlineStr">
        <is>
          <t>Sarom Fabric - New Malfino - NM - 916-Red Brown</t>
        </is>
      </c>
      <c r="D256" s="39" t="inlineStr">
        <is>
          <t>Sarom</t>
        </is>
      </c>
      <c r="E256" s="43" t="n">
        <v>46125</v>
      </c>
      <c r="F256" s="26" t="inlineStr">
        <is>
          <t>Sunil CR</t>
        </is>
      </c>
      <c r="G256" s="26" t="inlineStr">
        <is>
          <t>Yes</t>
        </is>
      </c>
      <c r="H256" s="26" t="inlineStr">
        <is>
          <t>No</t>
        </is>
      </c>
      <c r="I256" s="26" t="inlineStr">
        <is>
          <t>Good finish</t>
        </is>
      </c>
      <c r="J256" s="26" t="inlineStr">
        <is>
          <t>Yes</t>
        </is>
      </c>
      <c r="K256" s="27" t="n"/>
      <c r="L256" s="28" t="inlineStr">
        <is>
          <t>No</t>
        </is>
      </c>
      <c r="M256" s="29">
        <f>IF(E256="","",IF(H256="Yes","❌ Disc",IF(G256="No","⚠ Missing",IF(J256="Yes","✓ OK","⚠ Check"))))</f>
        <v/>
      </c>
      <c r="N256" s="43" t="n">
        <v>46139</v>
      </c>
      <c r="O256" s="26" t="inlineStr">
        <is>
          <t>Sunil CR</t>
        </is>
      </c>
      <c r="P256" s="26" t="inlineStr">
        <is>
          <t>Yes</t>
        </is>
      </c>
      <c r="Q256" s="26" t="inlineStr">
        <is>
          <t>No</t>
        </is>
      </c>
      <c r="R256" s="26" t="inlineStr">
        <is>
          <t>Good finish</t>
        </is>
      </c>
      <c r="S256" s="26" t="inlineStr">
        <is>
          <t>Yes</t>
        </is>
      </c>
      <c r="T256" s="27" t="n"/>
      <c r="U256" s="28" t="inlineStr">
        <is>
          <t>No</t>
        </is>
      </c>
      <c r="V256" s="29">
        <f>IF(N256="","",IF(Q256="Yes","❌ Disc",IF(P256="No","⚠ Missing",IF(S256="Yes","✓ OK","⚠ Check"))))</f>
        <v/>
      </c>
      <c r="W256" s="65" t="n">
        <v>46248</v>
      </c>
      <c r="X256" s="30" t="inlineStr">
        <is>
          <t>Sunil CR</t>
        </is>
      </c>
      <c r="Y256" s="30" t="inlineStr">
        <is>
          <t>Yes</t>
        </is>
      </c>
      <c r="Z256" s="30" t="n"/>
      <c r="AA256" s="30" t="inlineStr">
        <is>
          <t>Good finish</t>
        </is>
      </c>
      <c r="AB256" s="30" t="inlineStr">
        <is>
          <t>Yes</t>
        </is>
      </c>
      <c r="AC256" s="27" t="n"/>
      <c r="AD256" s="31" t="inlineStr">
        <is>
          <t>No</t>
        </is>
      </c>
      <c r="AE256" s="32">
        <f>IF(W256="","",IF(Z256="Yes","❌ Disc",IF(Y256="No","⚠ Missing",IF(AB256="Yes","✓ OK","⚠ Check"))))</f>
        <v/>
      </c>
      <c r="AF256" s="33" t="n"/>
      <c r="AG256" s="33" t="n"/>
      <c r="AH256" s="33" t="n"/>
      <c r="AI256" s="33" t="n"/>
      <c r="AJ256" s="33" t="n"/>
      <c r="AK256" s="33" t="n"/>
      <c r="AL256" s="27" t="n"/>
      <c r="AM256" s="34" t="n"/>
      <c r="AN256" s="35">
        <f>IF(AF256="","",IF(AI256="Yes","❌ Disc",IF(AH256="No","⚠ Missing",IF(AK256="Yes","✓ OK","⚠ Check"))))</f>
        <v/>
      </c>
      <c r="AO256" s="36" t="n"/>
      <c r="AP256" s="36" t="n"/>
      <c r="AQ256" s="36" t="n"/>
      <c r="AR256" s="36" t="n"/>
      <c r="AS256" s="36" t="n"/>
      <c r="AT256" s="36" t="n"/>
      <c r="AU256" s="27" t="n"/>
      <c r="AV256" s="37" t="n"/>
      <c r="AW256" s="38">
        <f>IF(AO256="","",IF(AR256="Yes","❌ Disc",IF(AQ256="No","⚠ Missing",IF(AT256="Yes","✓ OK","⚠ Check"))))</f>
        <v/>
      </c>
    </row>
    <row r="257" ht="18" customHeight="1" s="46">
      <c r="A257" s="23" t="n">
        <v>253</v>
      </c>
      <c r="B257" s="24" t="inlineStr">
        <is>
          <t>917-Copper</t>
        </is>
      </c>
      <c r="C257" s="25" t="inlineStr">
        <is>
          <t>Sarom Fabric - New Malfino - NM - 917-Copper</t>
        </is>
      </c>
      <c r="D257" s="23" t="inlineStr">
        <is>
          <t>Sarom</t>
        </is>
      </c>
      <c r="E257" s="43" t="n">
        <v>46125</v>
      </c>
      <c r="F257" s="26" t="inlineStr">
        <is>
          <t>Sunil CR</t>
        </is>
      </c>
      <c r="G257" s="26" t="inlineStr">
        <is>
          <t>Yes</t>
        </is>
      </c>
      <c r="H257" s="26" t="inlineStr">
        <is>
          <t>No</t>
        </is>
      </c>
      <c r="I257" s="26" t="inlineStr">
        <is>
          <t>Good finish</t>
        </is>
      </c>
      <c r="J257" s="26" t="inlineStr">
        <is>
          <t>Yes</t>
        </is>
      </c>
      <c r="K257" s="27" t="n"/>
      <c r="L257" s="28" t="inlineStr">
        <is>
          <t>No</t>
        </is>
      </c>
      <c r="M257" s="29">
        <f>IF(E257="","",IF(H257="Yes","❌ Disc",IF(G257="No","⚠ Missing",IF(J257="Yes","✓ OK","⚠ Check"))))</f>
        <v/>
      </c>
      <c r="N257" s="43" t="n">
        <v>46139</v>
      </c>
      <c r="O257" s="26" t="inlineStr">
        <is>
          <t>Sunil CR</t>
        </is>
      </c>
      <c r="P257" s="26" t="inlineStr">
        <is>
          <t>Yes</t>
        </is>
      </c>
      <c r="Q257" s="26" t="inlineStr">
        <is>
          <t>No</t>
        </is>
      </c>
      <c r="R257" s="26" t="inlineStr">
        <is>
          <t>Good finish</t>
        </is>
      </c>
      <c r="S257" s="26" t="inlineStr">
        <is>
          <t>Yes</t>
        </is>
      </c>
      <c r="T257" s="27" t="n"/>
      <c r="U257" s="28" t="inlineStr">
        <is>
          <t>No</t>
        </is>
      </c>
      <c r="V257" s="29">
        <f>IF(N257="","",IF(Q257="Yes","❌ Disc",IF(P257="No","⚠ Missing",IF(S257="Yes","✓ OK","⚠ Check"))))</f>
        <v/>
      </c>
      <c r="W257" s="65" t="n">
        <v>46248</v>
      </c>
      <c r="X257" s="30" t="inlineStr">
        <is>
          <t>Sunil CR</t>
        </is>
      </c>
      <c r="Y257" s="30" t="inlineStr">
        <is>
          <t>Yes</t>
        </is>
      </c>
      <c r="Z257" s="30" t="n"/>
      <c r="AA257" s="30" t="inlineStr">
        <is>
          <t>Good finish</t>
        </is>
      </c>
      <c r="AB257" s="30" t="inlineStr">
        <is>
          <t>Yes</t>
        </is>
      </c>
      <c r="AC257" s="27" t="n"/>
      <c r="AD257" s="31" t="inlineStr">
        <is>
          <t>No</t>
        </is>
      </c>
      <c r="AE257" s="32">
        <f>IF(W257="","",IF(Z257="Yes","❌ Disc",IF(Y257="No","⚠ Missing",IF(AB257="Yes","✓ OK","⚠ Check"))))</f>
        <v/>
      </c>
      <c r="AF257" s="33" t="n"/>
      <c r="AG257" s="33" t="n"/>
      <c r="AH257" s="33" t="n"/>
      <c r="AI257" s="33" t="n"/>
      <c r="AJ257" s="33" t="n"/>
      <c r="AK257" s="33" t="n"/>
      <c r="AL257" s="27" t="n"/>
      <c r="AM257" s="34" t="n"/>
      <c r="AN257" s="35">
        <f>IF(AF257="","",IF(AI257="Yes","❌ Disc",IF(AH257="No","⚠ Missing",IF(AK257="Yes","✓ OK","⚠ Check"))))</f>
        <v/>
      </c>
      <c r="AO257" s="36" t="n"/>
      <c r="AP257" s="36" t="n"/>
      <c r="AQ257" s="36" t="n"/>
      <c r="AR257" s="36" t="n"/>
      <c r="AS257" s="36" t="n"/>
      <c r="AT257" s="36" t="n"/>
      <c r="AU257" s="27" t="n"/>
      <c r="AV257" s="37" t="n"/>
      <c r="AW257" s="38">
        <f>IF(AO257="","",IF(AR257="Yes","❌ Disc",IF(AQ257="No","⚠ Missing",IF(AT257="Yes","✓ OK","⚠ Check"))))</f>
        <v/>
      </c>
    </row>
    <row r="258" ht="18" customHeight="1" s="46">
      <c r="A258" s="39" t="n">
        <v>254</v>
      </c>
      <c r="B258" s="40" t="inlineStr">
        <is>
          <t>918-Peanut</t>
        </is>
      </c>
      <c r="C258" s="41" t="inlineStr">
        <is>
          <t>Sarom Fabric - New Malfino - NM - 918-Peanut</t>
        </is>
      </c>
      <c r="D258" s="39" t="inlineStr">
        <is>
          <t>Sarom</t>
        </is>
      </c>
      <c r="E258" s="43" t="n">
        <v>46125</v>
      </c>
      <c r="F258" s="26" t="inlineStr">
        <is>
          <t>Sunil CR</t>
        </is>
      </c>
      <c r="G258" s="26" t="inlineStr">
        <is>
          <t>Yes</t>
        </is>
      </c>
      <c r="H258" s="26" t="inlineStr">
        <is>
          <t>No</t>
        </is>
      </c>
      <c r="I258" s="26" t="inlineStr">
        <is>
          <t>Good finish</t>
        </is>
      </c>
      <c r="J258" s="26" t="inlineStr">
        <is>
          <t>Yes</t>
        </is>
      </c>
      <c r="K258" s="27" t="n"/>
      <c r="L258" s="28" t="inlineStr">
        <is>
          <t>No</t>
        </is>
      </c>
      <c r="M258" s="29">
        <f>IF(E258="","",IF(H258="Yes","❌ Disc",IF(G258="No","⚠ Missing",IF(J258="Yes","✓ OK","⚠ Check"))))</f>
        <v/>
      </c>
      <c r="N258" s="43" t="n">
        <v>46139</v>
      </c>
      <c r="O258" s="26" t="inlineStr">
        <is>
          <t>Sunil CR</t>
        </is>
      </c>
      <c r="P258" s="26" t="inlineStr">
        <is>
          <t>Yes</t>
        </is>
      </c>
      <c r="Q258" s="26" t="inlineStr">
        <is>
          <t>No</t>
        </is>
      </c>
      <c r="R258" s="26" t="inlineStr">
        <is>
          <t>Good finish</t>
        </is>
      </c>
      <c r="S258" s="26" t="inlineStr">
        <is>
          <t>Yes</t>
        </is>
      </c>
      <c r="T258" s="27" t="n"/>
      <c r="U258" s="28" t="inlineStr">
        <is>
          <t>No</t>
        </is>
      </c>
      <c r="V258" s="29">
        <f>IF(N258="","",IF(Q258="Yes","❌ Disc",IF(P258="No","⚠ Missing",IF(S258="Yes","✓ OK","⚠ Check"))))</f>
        <v/>
      </c>
      <c r="W258" s="65" t="n">
        <v>46248</v>
      </c>
      <c r="X258" s="30" t="inlineStr">
        <is>
          <t>Sunil CR</t>
        </is>
      </c>
      <c r="Y258" s="30" t="inlineStr">
        <is>
          <t>Yes</t>
        </is>
      </c>
      <c r="Z258" s="30" t="n"/>
      <c r="AA258" s="30" t="inlineStr">
        <is>
          <t>Good finish</t>
        </is>
      </c>
      <c r="AB258" s="30" t="inlineStr">
        <is>
          <t>Yes</t>
        </is>
      </c>
      <c r="AC258" s="27" t="n"/>
      <c r="AD258" s="31" t="inlineStr">
        <is>
          <t>No</t>
        </is>
      </c>
      <c r="AE258" s="32">
        <f>IF(W258="","",IF(Z258="Yes","❌ Disc",IF(Y258="No","⚠ Missing",IF(AB258="Yes","✓ OK","⚠ Check"))))</f>
        <v/>
      </c>
      <c r="AF258" s="33" t="n"/>
      <c r="AG258" s="33" t="n"/>
      <c r="AH258" s="33" t="n"/>
      <c r="AI258" s="33" t="n"/>
      <c r="AJ258" s="33" t="n"/>
      <c r="AK258" s="33" t="n"/>
      <c r="AL258" s="27" t="n"/>
      <c r="AM258" s="34" t="n"/>
      <c r="AN258" s="35">
        <f>IF(AF258="","",IF(AI258="Yes","❌ Disc",IF(AH258="No","⚠ Missing",IF(AK258="Yes","✓ OK","⚠ Check"))))</f>
        <v/>
      </c>
      <c r="AO258" s="36" t="n"/>
      <c r="AP258" s="36" t="n"/>
      <c r="AQ258" s="36" t="n"/>
      <c r="AR258" s="36" t="n"/>
      <c r="AS258" s="36" t="n"/>
      <c r="AT258" s="36" t="n"/>
      <c r="AU258" s="27" t="n"/>
      <c r="AV258" s="37" t="n"/>
      <c r="AW258" s="38">
        <f>IF(AO258="","",IF(AR258="Yes","❌ Disc",IF(AQ258="No","⚠ Missing",IF(AT258="Yes","✓ OK","⚠ Check"))))</f>
        <v/>
      </c>
    </row>
    <row r="259" ht="18" customHeight="1" s="46">
      <c r="A259" s="23" t="n">
        <v>255</v>
      </c>
      <c r="B259" s="24" t="inlineStr">
        <is>
          <t>919-Honey</t>
        </is>
      </c>
      <c r="C259" s="25" t="inlineStr">
        <is>
          <t>Sarom Fabric - New Malfino - NM - 919-Honey</t>
        </is>
      </c>
      <c r="D259" s="23" t="inlineStr">
        <is>
          <t>Sarom</t>
        </is>
      </c>
      <c r="E259" s="43" t="n">
        <v>46125</v>
      </c>
      <c r="F259" s="26" t="inlineStr">
        <is>
          <t>Sunil CR</t>
        </is>
      </c>
      <c r="G259" s="26" t="inlineStr">
        <is>
          <t>Yes</t>
        </is>
      </c>
      <c r="H259" s="26" t="inlineStr">
        <is>
          <t>No</t>
        </is>
      </c>
      <c r="I259" s="26" t="inlineStr">
        <is>
          <t>Good finish</t>
        </is>
      </c>
      <c r="J259" s="26" t="inlineStr">
        <is>
          <t>Yes</t>
        </is>
      </c>
      <c r="K259" s="27" t="n"/>
      <c r="L259" s="28" t="inlineStr">
        <is>
          <t>No</t>
        </is>
      </c>
      <c r="M259" s="29">
        <f>IF(E259="","",IF(H259="Yes","❌ Disc",IF(G259="No","⚠ Missing",IF(J259="Yes","✓ OK","⚠ Check"))))</f>
        <v/>
      </c>
      <c r="N259" s="43" t="n">
        <v>46139</v>
      </c>
      <c r="O259" s="26" t="inlineStr">
        <is>
          <t>Sunil CR</t>
        </is>
      </c>
      <c r="P259" s="26" t="inlineStr">
        <is>
          <t>Yes</t>
        </is>
      </c>
      <c r="Q259" s="26" t="inlineStr">
        <is>
          <t>No</t>
        </is>
      </c>
      <c r="R259" s="26" t="inlineStr">
        <is>
          <t>Good finish</t>
        </is>
      </c>
      <c r="S259" s="26" t="inlineStr">
        <is>
          <t>Yes</t>
        </is>
      </c>
      <c r="T259" s="27" t="n"/>
      <c r="U259" s="28" t="inlineStr">
        <is>
          <t>No</t>
        </is>
      </c>
      <c r="V259" s="29">
        <f>IF(N259="","",IF(Q259="Yes","❌ Disc",IF(P259="No","⚠ Missing",IF(S259="Yes","✓ OK","⚠ Check"))))</f>
        <v/>
      </c>
      <c r="W259" s="65" t="n">
        <v>46248</v>
      </c>
      <c r="X259" s="30" t="inlineStr">
        <is>
          <t>Sunil CR</t>
        </is>
      </c>
      <c r="Y259" s="30" t="inlineStr">
        <is>
          <t>Yes</t>
        </is>
      </c>
      <c r="Z259" s="30" t="n"/>
      <c r="AA259" s="30" t="inlineStr">
        <is>
          <t>Good finish</t>
        </is>
      </c>
      <c r="AB259" s="30" t="inlineStr">
        <is>
          <t>Yes</t>
        </is>
      </c>
      <c r="AC259" s="27" t="n"/>
      <c r="AD259" s="31" t="inlineStr">
        <is>
          <t>No</t>
        </is>
      </c>
      <c r="AE259" s="32">
        <f>IF(W259="","",IF(Z259="Yes","❌ Disc",IF(Y259="No","⚠ Missing",IF(AB259="Yes","✓ OK","⚠ Check"))))</f>
        <v/>
      </c>
      <c r="AF259" s="33" t="n"/>
      <c r="AG259" s="33" t="n"/>
      <c r="AH259" s="33" t="n"/>
      <c r="AI259" s="33" t="n"/>
      <c r="AJ259" s="33" t="n"/>
      <c r="AK259" s="33" t="n"/>
      <c r="AL259" s="27" t="n"/>
      <c r="AM259" s="34" t="n"/>
      <c r="AN259" s="35">
        <f>IF(AF259="","",IF(AI259="Yes","❌ Disc",IF(AH259="No","⚠ Missing",IF(AK259="Yes","✓ OK","⚠ Check"))))</f>
        <v/>
      </c>
      <c r="AO259" s="36" t="n"/>
      <c r="AP259" s="36" t="n"/>
      <c r="AQ259" s="36" t="n"/>
      <c r="AR259" s="36" t="n"/>
      <c r="AS259" s="36" t="n"/>
      <c r="AT259" s="36" t="n"/>
      <c r="AU259" s="27" t="n"/>
      <c r="AV259" s="37" t="n"/>
      <c r="AW259" s="38">
        <f>IF(AO259="","",IF(AR259="Yes","❌ Disc",IF(AQ259="No","⚠ Missing",IF(AT259="Yes","✓ OK","⚠ Check"))))</f>
        <v/>
      </c>
    </row>
    <row r="260" ht="18" customHeight="1" s="46">
      <c r="A260" s="39" t="n">
        <v>256</v>
      </c>
      <c r="B260" s="40" t="inlineStr">
        <is>
          <t>920-Gold</t>
        </is>
      </c>
      <c r="C260" s="41" t="inlineStr">
        <is>
          <t>Sarom Fabric - New Malfino - NM - 920-Gold</t>
        </is>
      </c>
      <c r="D260" s="39" t="inlineStr">
        <is>
          <t>Sarom</t>
        </is>
      </c>
      <c r="E260" s="43" t="n">
        <v>46125</v>
      </c>
      <c r="F260" s="26" t="inlineStr">
        <is>
          <t>Sunil CR</t>
        </is>
      </c>
      <c r="G260" s="26" t="inlineStr">
        <is>
          <t>Yes</t>
        </is>
      </c>
      <c r="H260" s="26" t="inlineStr">
        <is>
          <t>No</t>
        </is>
      </c>
      <c r="I260" s="26" t="inlineStr">
        <is>
          <t>Good finish</t>
        </is>
      </c>
      <c r="J260" s="26" t="inlineStr">
        <is>
          <t>Yes</t>
        </is>
      </c>
      <c r="K260" s="27" t="n"/>
      <c r="L260" s="28" t="inlineStr">
        <is>
          <t>No</t>
        </is>
      </c>
      <c r="M260" s="29">
        <f>IF(E260="","",IF(H260="Yes","❌ Disc",IF(G260="No","⚠ Missing",IF(J260="Yes","✓ OK","⚠ Check"))))</f>
        <v/>
      </c>
      <c r="N260" s="43" t="n">
        <v>46139</v>
      </c>
      <c r="O260" s="26" t="inlineStr">
        <is>
          <t>Sunil CR</t>
        </is>
      </c>
      <c r="P260" s="26" t="inlineStr">
        <is>
          <t>Yes</t>
        </is>
      </c>
      <c r="Q260" s="26" t="inlineStr">
        <is>
          <t>No</t>
        </is>
      </c>
      <c r="R260" s="26" t="inlineStr">
        <is>
          <t>Good finish</t>
        </is>
      </c>
      <c r="S260" s="26" t="inlineStr">
        <is>
          <t>Yes</t>
        </is>
      </c>
      <c r="T260" s="27" t="n"/>
      <c r="U260" s="28" t="inlineStr">
        <is>
          <t>No</t>
        </is>
      </c>
      <c r="V260" s="29">
        <f>IF(N260="","",IF(Q260="Yes","❌ Disc",IF(P260="No","⚠ Missing",IF(S260="Yes","✓ OK","⚠ Check"))))</f>
        <v/>
      </c>
      <c r="W260" s="65" t="n">
        <v>46248</v>
      </c>
      <c r="X260" s="30" t="inlineStr">
        <is>
          <t>Sunil CR</t>
        </is>
      </c>
      <c r="Y260" s="30" t="inlineStr">
        <is>
          <t>Yes</t>
        </is>
      </c>
      <c r="Z260" s="30" t="n"/>
      <c r="AA260" s="30" t="inlineStr">
        <is>
          <t>Good finish</t>
        </is>
      </c>
      <c r="AB260" s="30" t="inlineStr">
        <is>
          <t>Yes</t>
        </is>
      </c>
      <c r="AC260" s="27" t="n"/>
      <c r="AD260" s="31" t="inlineStr">
        <is>
          <t>No</t>
        </is>
      </c>
      <c r="AE260" s="32">
        <f>IF(W260="","",IF(Z260="Yes","❌ Disc",IF(Y260="No","⚠ Missing",IF(AB260="Yes","✓ OK","⚠ Check"))))</f>
        <v/>
      </c>
      <c r="AF260" s="33" t="n"/>
      <c r="AG260" s="33" t="n"/>
      <c r="AH260" s="33" t="n"/>
      <c r="AI260" s="33" t="n"/>
      <c r="AJ260" s="33" t="n"/>
      <c r="AK260" s="33" t="n"/>
      <c r="AL260" s="27" t="n"/>
      <c r="AM260" s="34" t="n"/>
      <c r="AN260" s="35">
        <f>IF(AF260="","",IF(AI260="Yes","❌ Disc",IF(AH260="No","⚠ Missing",IF(AK260="Yes","✓ OK","⚠ Check"))))</f>
        <v/>
      </c>
      <c r="AO260" s="36" t="n"/>
      <c r="AP260" s="36" t="n"/>
      <c r="AQ260" s="36" t="n"/>
      <c r="AR260" s="36" t="n"/>
      <c r="AS260" s="36" t="n"/>
      <c r="AT260" s="36" t="n"/>
      <c r="AU260" s="27" t="n"/>
      <c r="AV260" s="37" t="n"/>
      <c r="AW260" s="38">
        <f>IF(AO260="","",IF(AR260="Yes","❌ Disc",IF(AQ260="No","⚠ Missing",IF(AT260="Yes","✓ OK","⚠ Check"))))</f>
        <v/>
      </c>
    </row>
    <row r="261" ht="18" customHeight="1" s="46">
      <c r="A261" s="23" t="n">
        <v>257</v>
      </c>
      <c r="B261" s="24" t="inlineStr">
        <is>
          <t>921-Mustrad</t>
        </is>
      </c>
      <c r="C261" s="25" t="inlineStr">
        <is>
          <t>Sarom Fabric - New Malfino - NM - 921-Mustrad</t>
        </is>
      </c>
      <c r="D261" s="23" t="inlineStr">
        <is>
          <t>Sarom</t>
        </is>
      </c>
      <c r="E261" s="43" t="n">
        <v>46125</v>
      </c>
      <c r="F261" s="26" t="inlineStr">
        <is>
          <t>Sunil CR</t>
        </is>
      </c>
      <c r="G261" s="26" t="inlineStr">
        <is>
          <t>Yes</t>
        </is>
      </c>
      <c r="H261" s="26" t="inlineStr">
        <is>
          <t>No</t>
        </is>
      </c>
      <c r="I261" s="26" t="inlineStr">
        <is>
          <t>Good finish</t>
        </is>
      </c>
      <c r="J261" s="26" t="inlineStr">
        <is>
          <t>Yes</t>
        </is>
      </c>
      <c r="K261" s="27" t="n"/>
      <c r="L261" s="28" t="inlineStr">
        <is>
          <t>No</t>
        </is>
      </c>
      <c r="M261" s="29">
        <f>IF(E261="","",IF(H261="Yes","❌ Disc",IF(G261="No","⚠ Missing",IF(J261="Yes","✓ OK","⚠ Check"))))</f>
        <v/>
      </c>
      <c r="N261" s="43" t="n">
        <v>46139</v>
      </c>
      <c r="O261" s="26" t="inlineStr">
        <is>
          <t>Sunil CR</t>
        </is>
      </c>
      <c r="P261" s="26" t="inlineStr">
        <is>
          <t>Yes</t>
        </is>
      </c>
      <c r="Q261" s="26" t="inlineStr">
        <is>
          <t>No</t>
        </is>
      </c>
      <c r="R261" s="26" t="inlineStr">
        <is>
          <t>Good finish</t>
        </is>
      </c>
      <c r="S261" s="26" t="inlineStr">
        <is>
          <t>Yes</t>
        </is>
      </c>
      <c r="T261" s="27" t="n"/>
      <c r="U261" s="28" t="inlineStr">
        <is>
          <t>No</t>
        </is>
      </c>
      <c r="V261" s="29">
        <f>IF(N261="","",IF(Q261="Yes","❌ Disc",IF(P261="No","⚠ Missing",IF(S261="Yes","✓ OK","⚠ Check"))))</f>
        <v/>
      </c>
      <c r="W261" s="65" t="n">
        <v>46248</v>
      </c>
      <c r="X261" s="30" t="inlineStr">
        <is>
          <t>Sunil CR</t>
        </is>
      </c>
      <c r="Y261" s="30" t="inlineStr">
        <is>
          <t>Yes</t>
        </is>
      </c>
      <c r="Z261" s="30" t="n"/>
      <c r="AA261" s="30" t="inlineStr">
        <is>
          <t>Good finish</t>
        </is>
      </c>
      <c r="AB261" s="30" t="inlineStr">
        <is>
          <t>Yes</t>
        </is>
      </c>
      <c r="AC261" s="27" t="n"/>
      <c r="AD261" s="31" t="inlineStr">
        <is>
          <t>No</t>
        </is>
      </c>
      <c r="AE261" s="32">
        <f>IF(W261="","",IF(Z261="Yes","❌ Disc",IF(Y261="No","⚠ Missing",IF(AB261="Yes","✓ OK","⚠ Check"))))</f>
        <v/>
      </c>
      <c r="AF261" s="33" t="n"/>
      <c r="AG261" s="33" t="n"/>
      <c r="AH261" s="33" t="n"/>
      <c r="AI261" s="33" t="n"/>
      <c r="AJ261" s="33" t="n"/>
      <c r="AK261" s="33" t="n"/>
      <c r="AL261" s="27" t="n"/>
      <c r="AM261" s="34" t="n"/>
      <c r="AN261" s="35">
        <f>IF(AF261="","",IF(AI261="Yes","❌ Disc",IF(AH261="No","⚠ Missing",IF(AK261="Yes","✓ OK","⚠ Check"))))</f>
        <v/>
      </c>
      <c r="AO261" s="36" t="n"/>
      <c r="AP261" s="36" t="n"/>
      <c r="AQ261" s="36" t="n"/>
      <c r="AR261" s="36" t="n"/>
      <c r="AS261" s="36" t="n"/>
      <c r="AT261" s="36" t="n"/>
      <c r="AU261" s="27" t="n"/>
      <c r="AV261" s="37" t="n"/>
      <c r="AW261" s="38">
        <f>IF(AO261="","",IF(AR261="Yes","❌ Disc",IF(AQ261="No","⚠ Missing",IF(AT261="Yes","✓ OK","⚠ Check"))))</f>
        <v/>
      </c>
    </row>
    <row r="262" ht="18" customHeight="1" s="46">
      <c r="A262" s="39" t="n">
        <v>258</v>
      </c>
      <c r="B262" s="40" t="inlineStr">
        <is>
          <t>922-Pine</t>
        </is>
      </c>
      <c r="C262" s="41" t="inlineStr">
        <is>
          <t>Sarom Fabric - New Malfino - NM - 922-Pine</t>
        </is>
      </c>
      <c r="D262" s="39" t="inlineStr">
        <is>
          <t>Sarom</t>
        </is>
      </c>
      <c r="E262" s="43" t="n">
        <v>46125</v>
      </c>
      <c r="F262" s="26" t="inlineStr">
        <is>
          <t>Sunil CR</t>
        </is>
      </c>
      <c r="G262" s="26" t="inlineStr">
        <is>
          <t>Yes</t>
        </is>
      </c>
      <c r="H262" s="26" t="inlineStr">
        <is>
          <t>No</t>
        </is>
      </c>
      <c r="I262" s="26" t="inlineStr">
        <is>
          <t>Good finish</t>
        </is>
      </c>
      <c r="J262" s="26" t="inlineStr">
        <is>
          <t>Yes</t>
        </is>
      </c>
      <c r="K262" s="27" t="n"/>
      <c r="L262" s="28" t="inlineStr">
        <is>
          <t>No</t>
        </is>
      </c>
      <c r="M262" s="29">
        <f>IF(E262="","",IF(H262="Yes","❌ Disc",IF(G262="No","⚠ Missing",IF(J262="Yes","✓ OK","⚠ Check"))))</f>
        <v/>
      </c>
      <c r="N262" s="43" t="n">
        <v>46139</v>
      </c>
      <c r="O262" s="26" t="inlineStr">
        <is>
          <t>Sunil CR</t>
        </is>
      </c>
      <c r="P262" s="26" t="inlineStr">
        <is>
          <t>Yes</t>
        </is>
      </c>
      <c r="Q262" s="26" t="inlineStr">
        <is>
          <t>No</t>
        </is>
      </c>
      <c r="R262" s="26" t="inlineStr">
        <is>
          <t>Good finish</t>
        </is>
      </c>
      <c r="S262" s="26" t="inlineStr">
        <is>
          <t>Yes</t>
        </is>
      </c>
      <c r="T262" s="27" t="n"/>
      <c r="U262" s="28" t="inlineStr">
        <is>
          <t>No</t>
        </is>
      </c>
      <c r="V262" s="29">
        <f>IF(N262="","",IF(Q262="Yes","❌ Disc",IF(P262="No","⚠ Missing",IF(S262="Yes","✓ OK","⚠ Check"))))</f>
        <v/>
      </c>
      <c r="W262" s="65" t="n">
        <v>46248</v>
      </c>
      <c r="X262" s="30" t="inlineStr">
        <is>
          <t>Sunil CR</t>
        </is>
      </c>
      <c r="Y262" s="30" t="inlineStr">
        <is>
          <t>Yes</t>
        </is>
      </c>
      <c r="Z262" s="30" t="n"/>
      <c r="AA262" s="30" t="inlineStr">
        <is>
          <t>Good finish</t>
        </is>
      </c>
      <c r="AB262" s="30" t="inlineStr">
        <is>
          <t>Yes</t>
        </is>
      </c>
      <c r="AC262" s="27" t="n"/>
      <c r="AD262" s="31" t="inlineStr">
        <is>
          <t>No</t>
        </is>
      </c>
      <c r="AE262" s="32">
        <f>IF(W262="","",IF(Z262="Yes","❌ Disc",IF(Y262="No","⚠ Missing",IF(AB262="Yes","✓ OK","⚠ Check"))))</f>
        <v/>
      </c>
      <c r="AF262" s="33" t="n"/>
      <c r="AG262" s="33" t="n"/>
      <c r="AH262" s="33" t="n"/>
      <c r="AI262" s="33" t="n"/>
      <c r="AJ262" s="33" t="n"/>
      <c r="AK262" s="33" t="n"/>
      <c r="AL262" s="27" t="n"/>
      <c r="AM262" s="34" t="n"/>
      <c r="AN262" s="35">
        <f>IF(AF262="","",IF(AI262="Yes","❌ Disc",IF(AH262="No","⚠ Missing",IF(AK262="Yes","✓ OK","⚠ Check"))))</f>
        <v/>
      </c>
      <c r="AO262" s="36" t="n"/>
      <c r="AP262" s="36" t="n"/>
      <c r="AQ262" s="36" t="n"/>
      <c r="AR262" s="36" t="n"/>
      <c r="AS262" s="36" t="n"/>
      <c r="AT262" s="36" t="n"/>
      <c r="AU262" s="27" t="n"/>
      <c r="AV262" s="37" t="n"/>
      <c r="AW262" s="38">
        <f>IF(AO262="","",IF(AR262="Yes","❌ Disc",IF(AQ262="No","⚠ Missing",IF(AT262="Yes","✓ OK","⚠ Check"))))</f>
        <v/>
      </c>
    </row>
    <row r="263" ht="18" customHeight="1" s="46">
      <c r="A263" s="23" t="n">
        <v>259</v>
      </c>
      <c r="B263" s="24" t="inlineStr">
        <is>
          <t>923-Sky Blue</t>
        </is>
      </c>
      <c r="C263" s="25" t="inlineStr">
        <is>
          <t>Sarom Fabric - New Malfino - NM - 923-Sky Blue</t>
        </is>
      </c>
      <c r="D263" s="23" t="inlineStr">
        <is>
          <t>Sarom</t>
        </is>
      </c>
      <c r="E263" s="43" t="n">
        <v>46125</v>
      </c>
      <c r="F263" s="26" t="inlineStr">
        <is>
          <t>Sunil CR</t>
        </is>
      </c>
      <c r="G263" s="26" t="inlineStr">
        <is>
          <t>Yes</t>
        </is>
      </c>
      <c r="H263" s="26" t="inlineStr">
        <is>
          <t>No</t>
        </is>
      </c>
      <c r="I263" s="26" t="inlineStr">
        <is>
          <t>Good finish</t>
        </is>
      </c>
      <c r="J263" s="26" t="inlineStr">
        <is>
          <t>Yes</t>
        </is>
      </c>
      <c r="K263" s="27" t="n"/>
      <c r="L263" s="28" t="inlineStr">
        <is>
          <t>No</t>
        </is>
      </c>
      <c r="M263" s="29">
        <f>IF(E263="","",IF(H263="Yes","❌ Disc",IF(G263="No","⚠ Missing",IF(J263="Yes","✓ OK","⚠ Check"))))</f>
        <v/>
      </c>
      <c r="N263" s="43" t="n">
        <v>46139</v>
      </c>
      <c r="O263" s="26" t="inlineStr">
        <is>
          <t>Sunil CR</t>
        </is>
      </c>
      <c r="P263" s="26" t="inlineStr">
        <is>
          <t>Yes</t>
        </is>
      </c>
      <c r="Q263" s="26" t="inlineStr">
        <is>
          <t>No</t>
        </is>
      </c>
      <c r="R263" s="26" t="inlineStr">
        <is>
          <t>Good finish</t>
        </is>
      </c>
      <c r="S263" s="26" t="inlineStr">
        <is>
          <t>Yes</t>
        </is>
      </c>
      <c r="T263" s="27" t="n"/>
      <c r="U263" s="28" t="inlineStr">
        <is>
          <t>No</t>
        </is>
      </c>
      <c r="V263" s="29">
        <f>IF(N263="","",IF(Q263="Yes","❌ Disc",IF(P263="No","⚠ Missing",IF(S263="Yes","✓ OK","⚠ Check"))))</f>
        <v/>
      </c>
      <c r="W263" s="65" t="n">
        <v>46248</v>
      </c>
      <c r="X263" s="30" t="inlineStr">
        <is>
          <t>Sunil CR</t>
        </is>
      </c>
      <c r="Y263" s="30" t="inlineStr">
        <is>
          <t>Yes</t>
        </is>
      </c>
      <c r="Z263" s="30" t="n"/>
      <c r="AA263" s="30" t="inlineStr">
        <is>
          <t>Good finish</t>
        </is>
      </c>
      <c r="AB263" s="30" t="inlineStr">
        <is>
          <t>Yes</t>
        </is>
      </c>
      <c r="AC263" s="27" t="n"/>
      <c r="AD263" s="31" t="inlineStr">
        <is>
          <t>No</t>
        </is>
      </c>
      <c r="AE263" s="32">
        <f>IF(W263="","",IF(Z263="Yes","❌ Disc",IF(Y263="No","⚠ Missing",IF(AB263="Yes","✓ OK","⚠ Check"))))</f>
        <v/>
      </c>
      <c r="AF263" s="33" t="n"/>
      <c r="AG263" s="33" t="n"/>
      <c r="AH263" s="33" t="n"/>
      <c r="AI263" s="33" t="n"/>
      <c r="AJ263" s="33" t="n"/>
      <c r="AK263" s="33" t="n"/>
      <c r="AL263" s="27" t="n"/>
      <c r="AM263" s="34" t="n"/>
      <c r="AN263" s="35">
        <f>IF(AF263="","",IF(AI263="Yes","❌ Disc",IF(AH263="No","⚠ Missing",IF(AK263="Yes","✓ OK","⚠ Check"))))</f>
        <v/>
      </c>
      <c r="AO263" s="36" t="n"/>
      <c r="AP263" s="36" t="n"/>
      <c r="AQ263" s="36" t="n"/>
      <c r="AR263" s="36" t="n"/>
      <c r="AS263" s="36" t="n"/>
      <c r="AT263" s="36" t="n"/>
      <c r="AU263" s="27" t="n"/>
      <c r="AV263" s="37" t="n"/>
      <c r="AW263" s="38">
        <f>IF(AO263="","",IF(AR263="Yes","❌ Disc",IF(AQ263="No","⚠ Missing",IF(AT263="Yes","✓ OK","⚠ Check"))))</f>
        <v/>
      </c>
    </row>
    <row r="264" ht="18" customHeight="1" s="46">
      <c r="A264" s="39" t="n">
        <v>260</v>
      </c>
      <c r="B264" s="40" t="inlineStr">
        <is>
          <t>924-T.Blue</t>
        </is>
      </c>
      <c r="C264" s="41" t="inlineStr">
        <is>
          <t>Sarom Fabric - New Malfino - NM - 924-T.Blue</t>
        </is>
      </c>
      <c r="D264" s="39" t="inlineStr">
        <is>
          <t>Sarom</t>
        </is>
      </c>
      <c r="E264" s="43" t="n">
        <v>46125</v>
      </c>
      <c r="F264" s="26" t="inlineStr">
        <is>
          <t>Sunil CR</t>
        </is>
      </c>
      <c r="G264" s="26" t="inlineStr">
        <is>
          <t>Yes</t>
        </is>
      </c>
      <c r="H264" s="26" t="inlineStr">
        <is>
          <t>No</t>
        </is>
      </c>
      <c r="I264" s="26" t="inlineStr">
        <is>
          <t>Good finish</t>
        </is>
      </c>
      <c r="J264" s="26" t="inlineStr">
        <is>
          <t>Yes</t>
        </is>
      </c>
      <c r="K264" s="27" t="n"/>
      <c r="L264" s="28" t="inlineStr">
        <is>
          <t>No</t>
        </is>
      </c>
      <c r="M264" s="29">
        <f>IF(E264="","",IF(H264="Yes","❌ Disc",IF(G264="No","⚠ Missing",IF(J264="Yes","✓ OK","⚠ Check"))))</f>
        <v/>
      </c>
      <c r="N264" s="43" t="n">
        <v>46139</v>
      </c>
      <c r="O264" s="26" t="inlineStr">
        <is>
          <t>Sunil CR</t>
        </is>
      </c>
      <c r="P264" s="26" t="inlineStr">
        <is>
          <t>Yes</t>
        </is>
      </c>
      <c r="Q264" s="26" t="inlineStr">
        <is>
          <t>No</t>
        </is>
      </c>
      <c r="R264" s="26" t="inlineStr">
        <is>
          <t>Good finish</t>
        </is>
      </c>
      <c r="S264" s="26" t="inlineStr">
        <is>
          <t>Yes</t>
        </is>
      </c>
      <c r="T264" s="27" t="n"/>
      <c r="U264" s="28" t="inlineStr">
        <is>
          <t>No</t>
        </is>
      </c>
      <c r="V264" s="29">
        <f>IF(N264="","",IF(Q264="Yes","❌ Disc",IF(P264="No","⚠ Missing",IF(S264="Yes","✓ OK","⚠ Check"))))</f>
        <v/>
      </c>
      <c r="W264" s="65" t="n">
        <v>46248</v>
      </c>
      <c r="X264" s="30" t="inlineStr">
        <is>
          <t>Sunil CR</t>
        </is>
      </c>
      <c r="Y264" s="30" t="inlineStr">
        <is>
          <t>Yes</t>
        </is>
      </c>
      <c r="Z264" s="30" t="n"/>
      <c r="AA264" s="30" t="inlineStr">
        <is>
          <t>Good finish</t>
        </is>
      </c>
      <c r="AB264" s="30" t="inlineStr">
        <is>
          <t>Yes</t>
        </is>
      </c>
      <c r="AC264" s="27" t="n"/>
      <c r="AD264" s="31" t="inlineStr">
        <is>
          <t>No</t>
        </is>
      </c>
      <c r="AE264" s="32">
        <f>IF(W264="","",IF(Z264="Yes","❌ Disc",IF(Y264="No","⚠ Missing",IF(AB264="Yes","✓ OK","⚠ Check"))))</f>
        <v/>
      </c>
      <c r="AF264" s="33" t="n"/>
      <c r="AG264" s="33" t="n"/>
      <c r="AH264" s="33" t="n"/>
      <c r="AI264" s="33" t="n"/>
      <c r="AJ264" s="33" t="n"/>
      <c r="AK264" s="33" t="n"/>
      <c r="AL264" s="27" t="n"/>
      <c r="AM264" s="34" t="n"/>
      <c r="AN264" s="35">
        <f>IF(AF264="","",IF(AI264="Yes","❌ Disc",IF(AH264="No","⚠ Missing",IF(AK264="Yes","✓ OK","⚠ Check"))))</f>
        <v/>
      </c>
      <c r="AO264" s="36" t="n"/>
      <c r="AP264" s="36" t="n"/>
      <c r="AQ264" s="36" t="n"/>
      <c r="AR264" s="36" t="n"/>
      <c r="AS264" s="36" t="n"/>
      <c r="AT264" s="36" t="n"/>
      <c r="AU264" s="27" t="n"/>
      <c r="AV264" s="37" t="n"/>
      <c r="AW264" s="38">
        <f>IF(AO264="","",IF(AR264="Yes","❌ Disc",IF(AQ264="No","⚠ Missing",IF(AT264="Yes","✓ OK","⚠ Check"))))</f>
        <v/>
      </c>
    </row>
    <row r="265" ht="18" customHeight="1" s="46">
      <c r="A265" s="23" t="n">
        <v>261</v>
      </c>
      <c r="B265" s="24" t="inlineStr">
        <is>
          <t>925-Ocean Blue</t>
        </is>
      </c>
      <c r="C265" s="25" t="inlineStr">
        <is>
          <t>Sarom Fabric - New Malfino - NM - 925-Ocean Blue</t>
        </is>
      </c>
      <c r="D265" s="23" t="inlineStr">
        <is>
          <t>Sarom</t>
        </is>
      </c>
      <c r="E265" s="43" t="n">
        <v>46125</v>
      </c>
      <c r="F265" s="26" t="inlineStr">
        <is>
          <t>Sunil CR</t>
        </is>
      </c>
      <c r="G265" s="26" t="inlineStr">
        <is>
          <t>Yes</t>
        </is>
      </c>
      <c r="H265" s="26" t="inlineStr">
        <is>
          <t>No</t>
        </is>
      </c>
      <c r="I265" s="26" t="inlineStr">
        <is>
          <t>Good finish</t>
        </is>
      </c>
      <c r="J265" s="26" t="inlineStr">
        <is>
          <t>Yes</t>
        </is>
      </c>
      <c r="K265" s="27" t="n"/>
      <c r="L265" s="28" t="inlineStr">
        <is>
          <t>No</t>
        </is>
      </c>
      <c r="M265" s="29">
        <f>IF(E265="","",IF(H265="Yes","❌ Disc",IF(G265="No","⚠ Missing",IF(J265="Yes","✓ OK","⚠ Check"))))</f>
        <v/>
      </c>
      <c r="N265" s="43" t="n">
        <v>46139</v>
      </c>
      <c r="O265" s="26" t="inlineStr">
        <is>
          <t>Sunil CR</t>
        </is>
      </c>
      <c r="P265" s="26" t="inlineStr">
        <is>
          <t>Yes</t>
        </is>
      </c>
      <c r="Q265" s="26" t="inlineStr">
        <is>
          <t>No</t>
        </is>
      </c>
      <c r="R265" s="26" t="inlineStr">
        <is>
          <t>Good finish</t>
        </is>
      </c>
      <c r="S265" s="26" t="inlineStr">
        <is>
          <t>Yes</t>
        </is>
      </c>
      <c r="T265" s="27" t="n"/>
      <c r="U265" s="28" t="inlineStr">
        <is>
          <t>No</t>
        </is>
      </c>
      <c r="V265" s="29">
        <f>IF(N265="","",IF(Q265="Yes","❌ Disc",IF(P265="No","⚠ Missing",IF(S265="Yes","✓ OK","⚠ Check"))))</f>
        <v/>
      </c>
      <c r="W265" s="65" t="n">
        <v>46248</v>
      </c>
      <c r="X265" s="30" t="inlineStr">
        <is>
          <t>Sunil CR</t>
        </is>
      </c>
      <c r="Y265" s="30" t="inlineStr">
        <is>
          <t>Yes</t>
        </is>
      </c>
      <c r="Z265" s="30" t="n"/>
      <c r="AA265" s="30" t="inlineStr">
        <is>
          <t>Good finish</t>
        </is>
      </c>
      <c r="AB265" s="30" t="inlineStr">
        <is>
          <t>Yes</t>
        </is>
      </c>
      <c r="AC265" s="27" t="n"/>
      <c r="AD265" s="31" t="inlineStr">
        <is>
          <t>No</t>
        </is>
      </c>
      <c r="AE265" s="32">
        <f>IF(W265="","",IF(Z265="Yes","❌ Disc",IF(Y265="No","⚠ Missing",IF(AB265="Yes","✓ OK","⚠ Check"))))</f>
        <v/>
      </c>
      <c r="AF265" s="33" t="n"/>
      <c r="AG265" s="33" t="n"/>
      <c r="AH265" s="33" t="n"/>
      <c r="AI265" s="33" t="n"/>
      <c r="AJ265" s="33" t="n"/>
      <c r="AK265" s="33" t="n"/>
      <c r="AL265" s="27" t="n"/>
      <c r="AM265" s="34" t="n"/>
      <c r="AN265" s="35">
        <f>IF(AF265="","",IF(AI265="Yes","❌ Disc",IF(AH265="No","⚠ Missing",IF(AK265="Yes","✓ OK","⚠ Check"))))</f>
        <v/>
      </c>
      <c r="AO265" s="36" t="n"/>
      <c r="AP265" s="36" t="n"/>
      <c r="AQ265" s="36" t="n"/>
      <c r="AR265" s="36" t="n"/>
      <c r="AS265" s="36" t="n"/>
      <c r="AT265" s="36" t="n"/>
      <c r="AU265" s="27" t="n"/>
      <c r="AV265" s="37" t="n"/>
      <c r="AW265" s="38">
        <f>IF(AO265="","",IF(AR265="Yes","❌ Disc",IF(AQ265="No","⚠ Missing",IF(AT265="Yes","✓ OK","⚠ Check"))))</f>
        <v/>
      </c>
    </row>
    <row r="266" ht="18" customHeight="1" s="46">
      <c r="A266" s="39" t="n">
        <v>262</v>
      </c>
      <c r="B266" s="40" t="inlineStr">
        <is>
          <t>926-Indigo</t>
        </is>
      </c>
      <c r="C266" s="41" t="inlineStr">
        <is>
          <t>Sarom Fabric - New Malfino - NM - 926-Indigo</t>
        </is>
      </c>
      <c r="D266" s="39" t="inlineStr">
        <is>
          <t>Sarom</t>
        </is>
      </c>
      <c r="E266" s="43" t="n">
        <v>46125</v>
      </c>
      <c r="F266" s="26" t="inlineStr">
        <is>
          <t>Sunil CR</t>
        </is>
      </c>
      <c r="G266" s="26" t="inlineStr">
        <is>
          <t>Yes</t>
        </is>
      </c>
      <c r="H266" s="26" t="inlineStr">
        <is>
          <t>No</t>
        </is>
      </c>
      <c r="I266" s="26" t="inlineStr">
        <is>
          <t>Good finish</t>
        </is>
      </c>
      <c r="J266" s="26" t="inlineStr">
        <is>
          <t>Yes</t>
        </is>
      </c>
      <c r="K266" s="27" t="n"/>
      <c r="L266" s="28" t="inlineStr">
        <is>
          <t>No</t>
        </is>
      </c>
      <c r="M266" s="29">
        <f>IF(E266="","",IF(H266="Yes","❌ Disc",IF(G266="No","⚠ Missing",IF(J266="Yes","✓ OK","⚠ Check"))))</f>
        <v/>
      </c>
      <c r="N266" s="43" t="n">
        <v>46139</v>
      </c>
      <c r="O266" s="26" t="inlineStr">
        <is>
          <t>Sunil CR</t>
        </is>
      </c>
      <c r="P266" s="26" t="inlineStr">
        <is>
          <t>Yes</t>
        </is>
      </c>
      <c r="Q266" s="26" t="inlineStr">
        <is>
          <t>No</t>
        </is>
      </c>
      <c r="R266" s="26" t="inlineStr">
        <is>
          <t>Good finish</t>
        </is>
      </c>
      <c r="S266" s="26" t="inlineStr">
        <is>
          <t>Yes</t>
        </is>
      </c>
      <c r="T266" s="27" t="n"/>
      <c r="U266" s="28" t="inlineStr">
        <is>
          <t>No</t>
        </is>
      </c>
      <c r="V266" s="29">
        <f>IF(N266="","",IF(Q266="Yes","❌ Disc",IF(P266="No","⚠ Missing",IF(S266="Yes","✓ OK","⚠ Check"))))</f>
        <v/>
      </c>
      <c r="W266" s="65" t="n">
        <v>46248</v>
      </c>
      <c r="X266" s="30" t="inlineStr">
        <is>
          <t>Sunil CR</t>
        </is>
      </c>
      <c r="Y266" s="30" t="inlineStr">
        <is>
          <t>Yes</t>
        </is>
      </c>
      <c r="Z266" s="30" t="n"/>
      <c r="AA266" s="30" t="inlineStr">
        <is>
          <t>Good finish</t>
        </is>
      </c>
      <c r="AB266" s="30" t="inlineStr">
        <is>
          <t>Yes</t>
        </is>
      </c>
      <c r="AC266" s="27" t="n"/>
      <c r="AD266" s="31" t="inlineStr">
        <is>
          <t>No</t>
        </is>
      </c>
      <c r="AE266" s="32">
        <f>IF(W266="","",IF(Z266="Yes","❌ Disc",IF(Y266="No","⚠ Missing",IF(AB266="Yes","✓ OK","⚠ Check"))))</f>
        <v/>
      </c>
      <c r="AF266" s="33" t="n"/>
      <c r="AG266" s="33" t="n"/>
      <c r="AH266" s="33" t="n"/>
      <c r="AI266" s="33" t="n"/>
      <c r="AJ266" s="33" t="n"/>
      <c r="AK266" s="33" t="n"/>
      <c r="AL266" s="27" t="n"/>
      <c r="AM266" s="34" t="n"/>
      <c r="AN266" s="35">
        <f>IF(AF266="","",IF(AI266="Yes","❌ Disc",IF(AH266="No","⚠ Missing",IF(AK266="Yes","✓ OK","⚠ Check"))))</f>
        <v/>
      </c>
      <c r="AO266" s="36" t="n"/>
      <c r="AP266" s="36" t="n"/>
      <c r="AQ266" s="36" t="n"/>
      <c r="AR266" s="36" t="n"/>
      <c r="AS266" s="36" t="n"/>
      <c r="AT266" s="36" t="n"/>
      <c r="AU266" s="27" t="n"/>
      <c r="AV266" s="37" t="n"/>
      <c r="AW266" s="38">
        <f>IF(AO266="","",IF(AR266="Yes","❌ Disc",IF(AQ266="No","⚠ Missing",IF(AT266="Yes","✓ OK","⚠ Check"))))</f>
        <v/>
      </c>
    </row>
    <row r="267" ht="18" customHeight="1" s="46">
      <c r="A267" s="23" t="n">
        <v>263</v>
      </c>
      <c r="B267" s="24" t="inlineStr">
        <is>
          <t>927-Orange</t>
        </is>
      </c>
      <c r="C267" s="25" t="inlineStr">
        <is>
          <t>Sarom Fabric - New Malfino - NM - 927-Orange</t>
        </is>
      </c>
      <c r="D267" s="23" t="inlineStr">
        <is>
          <t>Sarom</t>
        </is>
      </c>
      <c r="E267" s="43" t="n">
        <v>46125</v>
      </c>
      <c r="F267" s="26" t="inlineStr">
        <is>
          <t>Sunil CR</t>
        </is>
      </c>
      <c r="G267" s="26" t="inlineStr">
        <is>
          <t>Yes</t>
        </is>
      </c>
      <c r="H267" s="26" t="inlineStr">
        <is>
          <t>No</t>
        </is>
      </c>
      <c r="I267" s="26" t="inlineStr">
        <is>
          <t>Good finish</t>
        </is>
      </c>
      <c r="J267" s="26" t="inlineStr">
        <is>
          <t>Yes</t>
        </is>
      </c>
      <c r="K267" s="27" t="n"/>
      <c r="L267" s="28" t="inlineStr">
        <is>
          <t>No</t>
        </is>
      </c>
      <c r="M267" s="29">
        <f>IF(E267="","",IF(H267="Yes","❌ Disc",IF(G267="No","⚠ Missing",IF(J267="Yes","✓ OK","⚠ Check"))))</f>
        <v/>
      </c>
      <c r="N267" s="43" t="n">
        <v>46139</v>
      </c>
      <c r="O267" s="26" t="inlineStr">
        <is>
          <t>Sunil CR</t>
        </is>
      </c>
      <c r="P267" s="26" t="inlineStr">
        <is>
          <t>Yes</t>
        </is>
      </c>
      <c r="Q267" s="26" t="inlineStr">
        <is>
          <t>No</t>
        </is>
      </c>
      <c r="R267" s="26" t="inlineStr">
        <is>
          <t>Good finish</t>
        </is>
      </c>
      <c r="S267" s="26" t="inlineStr">
        <is>
          <t>Yes</t>
        </is>
      </c>
      <c r="T267" s="27" t="n"/>
      <c r="U267" s="28" t="inlineStr">
        <is>
          <t>No</t>
        </is>
      </c>
      <c r="V267" s="29">
        <f>IF(N267="","",IF(Q267="Yes","❌ Disc",IF(P267="No","⚠ Missing",IF(S267="Yes","✓ OK","⚠ Check"))))</f>
        <v/>
      </c>
      <c r="W267" s="65" t="n">
        <v>46248</v>
      </c>
      <c r="X267" s="30" t="inlineStr">
        <is>
          <t>Sunil CR</t>
        </is>
      </c>
      <c r="Y267" s="30" t="inlineStr">
        <is>
          <t>Yes</t>
        </is>
      </c>
      <c r="Z267" s="30" t="n"/>
      <c r="AA267" s="30" t="inlineStr">
        <is>
          <t>Good finish</t>
        </is>
      </c>
      <c r="AB267" s="30" t="inlineStr">
        <is>
          <t>Yes</t>
        </is>
      </c>
      <c r="AC267" s="27" t="n"/>
      <c r="AD267" s="31" t="inlineStr">
        <is>
          <t>No</t>
        </is>
      </c>
      <c r="AE267" s="32">
        <f>IF(W267="","",IF(Z267="Yes","❌ Disc",IF(Y267="No","⚠ Missing",IF(AB267="Yes","✓ OK","⚠ Check"))))</f>
        <v/>
      </c>
      <c r="AF267" s="33" t="n"/>
      <c r="AG267" s="33" t="n"/>
      <c r="AH267" s="33" t="n"/>
      <c r="AI267" s="33" t="n"/>
      <c r="AJ267" s="33" t="n"/>
      <c r="AK267" s="33" t="n"/>
      <c r="AL267" s="27" t="n"/>
      <c r="AM267" s="34" t="n"/>
      <c r="AN267" s="35">
        <f>IF(AF267="","",IF(AI267="Yes","❌ Disc",IF(AH267="No","⚠ Missing",IF(AK267="Yes","✓ OK","⚠ Check"))))</f>
        <v/>
      </c>
      <c r="AO267" s="36" t="n"/>
      <c r="AP267" s="36" t="n"/>
      <c r="AQ267" s="36" t="n"/>
      <c r="AR267" s="36" t="n"/>
      <c r="AS267" s="36" t="n"/>
      <c r="AT267" s="36" t="n"/>
      <c r="AU267" s="27" t="n"/>
      <c r="AV267" s="37" t="n"/>
      <c r="AW267" s="38">
        <f>IF(AO267="","",IF(AR267="Yes","❌ Disc",IF(AQ267="No","⚠ Missing",IF(AT267="Yes","✓ OK","⚠ Check"))))</f>
        <v/>
      </c>
    </row>
    <row r="268" ht="18" customHeight="1" s="46">
      <c r="A268" s="39" t="n">
        <v>264</v>
      </c>
      <c r="B268" s="40" t="inlineStr">
        <is>
          <t>928-Scarlet</t>
        </is>
      </c>
      <c r="C268" s="41" t="inlineStr">
        <is>
          <t>Sarom Fabric - New Malfino - NM - 928-Scarlet</t>
        </is>
      </c>
      <c r="D268" s="39" t="inlineStr">
        <is>
          <t>Sarom</t>
        </is>
      </c>
      <c r="E268" s="43" t="n">
        <v>46125</v>
      </c>
      <c r="F268" s="26" t="inlineStr">
        <is>
          <t>Sunil CR</t>
        </is>
      </c>
      <c r="G268" s="26" t="inlineStr">
        <is>
          <t>Yes</t>
        </is>
      </c>
      <c r="H268" s="26" t="inlineStr">
        <is>
          <t>No</t>
        </is>
      </c>
      <c r="I268" s="26" t="inlineStr">
        <is>
          <t>Good finish</t>
        </is>
      </c>
      <c r="J268" s="26" t="inlineStr">
        <is>
          <t>Yes</t>
        </is>
      </c>
      <c r="K268" s="27" t="n"/>
      <c r="L268" s="28" t="inlineStr">
        <is>
          <t>No</t>
        </is>
      </c>
      <c r="M268" s="29">
        <f>IF(E268="","",IF(H268="Yes","❌ Disc",IF(G268="No","⚠ Missing",IF(J268="Yes","✓ OK","⚠ Check"))))</f>
        <v/>
      </c>
      <c r="N268" s="43" t="n">
        <v>46139</v>
      </c>
      <c r="O268" s="26" t="inlineStr">
        <is>
          <t>Sunil CR</t>
        </is>
      </c>
      <c r="P268" s="26" t="inlineStr">
        <is>
          <t>Yes</t>
        </is>
      </c>
      <c r="Q268" s="26" t="inlineStr">
        <is>
          <t>No</t>
        </is>
      </c>
      <c r="R268" s="26" t="inlineStr">
        <is>
          <t>Good finish</t>
        </is>
      </c>
      <c r="S268" s="26" t="inlineStr">
        <is>
          <t>Yes</t>
        </is>
      </c>
      <c r="T268" s="27" t="n"/>
      <c r="U268" s="28" t="inlineStr">
        <is>
          <t>No</t>
        </is>
      </c>
      <c r="V268" s="29">
        <f>IF(N268="","",IF(Q268="Yes","❌ Disc",IF(P268="No","⚠ Missing",IF(S268="Yes","✓ OK","⚠ Check"))))</f>
        <v/>
      </c>
      <c r="W268" s="65" t="n">
        <v>46248</v>
      </c>
      <c r="X268" s="30" t="inlineStr">
        <is>
          <t>Sunil CR</t>
        </is>
      </c>
      <c r="Y268" s="30" t="inlineStr">
        <is>
          <t>Yes</t>
        </is>
      </c>
      <c r="Z268" s="30" t="n"/>
      <c r="AA268" s="30" t="inlineStr">
        <is>
          <t>Good finish</t>
        </is>
      </c>
      <c r="AB268" s="30" t="inlineStr">
        <is>
          <t>Yes</t>
        </is>
      </c>
      <c r="AC268" s="27" t="n"/>
      <c r="AD268" s="31" t="inlineStr">
        <is>
          <t>No</t>
        </is>
      </c>
      <c r="AE268" s="32">
        <f>IF(W268="","",IF(Z268="Yes","❌ Disc",IF(Y268="No","⚠ Missing",IF(AB268="Yes","✓ OK","⚠ Check"))))</f>
        <v/>
      </c>
      <c r="AF268" s="33" t="n"/>
      <c r="AG268" s="33" t="n"/>
      <c r="AH268" s="33" t="n"/>
      <c r="AI268" s="33" t="n"/>
      <c r="AJ268" s="33" t="n"/>
      <c r="AK268" s="33" t="n"/>
      <c r="AL268" s="27" t="n"/>
      <c r="AM268" s="34" t="n"/>
      <c r="AN268" s="35">
        <f>IF(AF268="","",IF(AI268="Yes","❌ Disc",IF(AH268="No","⚠ Missing",IF(AK268="Yes","✓ OK","⚠ Check"))))</f>
        <v/>
      </c>
      <c r="AO268" s="36" t="n"/>
      <c r="AP268" s="36" t="n"/>
      <c r="AQ268" s="36" t="n"/>
      <c r="AR268" s="36" t="n"/>
      <c r="AS268" s="36" t="n"/>
      <c r="AT268" s="36" t="n"/>
      <c r="AU268" s="27" t="n"/>
      <c r="AV268" s="37" t="n"/>
      <c r="AW268" s="38">
        <f>IF(AO268="","",IF(AR268="Yes","❌ Disc",IF(AQ268="No","⚠ Missing",IF(AT268="Yes","✓ OK","⚠ Check"))))</f>
        <v/>
      </c>
    </row>
    <row r="269" ht="18" customHeight="1" s="46">
      <c r="A269" s="23" t="n">
        <v>265</v>
      </c>
      <c r="B269" s="24" t="inlineStr">
        <is>
          <t>929-Red</t>
        </is>
      </c>
      <c r="C269" s="25" t="inlineStr">
        <is>
          <t>Sarom Fabric - New Malfino - NM - 929-Red</t>
        </is>
      </c>
      <c r="D269" s="23" t="inlineStr">
        <is>
          <t>Sarom</t>
        </is>
      </c>
      <c r="E269" s="43" t="n">
        <v>46125</v>
      </c>
      <c r="F269" s="26" t="inlineStr">
        <is>
          <t>Sunil CR</t>
        </is>
      </c>
      <c r="G269" s="26" t="inlineStr">
        <is>
          <t>Yes</t>
        </is>
      </c>
      <c r="H269" s="26" t="inlineStr">
        <is>
          <t>No</t>
        </is>
      </c>
      <c r="I269" s="26" t="inlineStr">
        <is>
          <t>Good finish</t>
        </is>
      </c>
      <c r="J269" s="26" t="inlineStr">
        <is>
          <t>Yes</t>
        </is>
      </c>
      <c r="K269" s="27" t="n"/>
      <c r="L269" s="28" t="inlineStr">
        <is>
          <t>No</t>
        </is>
      </c>
      <c r="M269" s="29">
        <f>IF(E269="","",IF(H269="Yes","❌ Disc",IF(G269="No","⚠ Missing",IF(J269="Yes","✓ OK","⚠ Check"))))</f>
        <v/>
      </c>
      <c r="N269" s="43" t="n">
        <v>46139</v>
      </c>
      <c r="O269" s="26" t="inlineStr">
        <is>
          <t>Sunil CR</t>
        </is>
      </c>
      <c r="P269" s="26" t="inlineStr">
        <is>
          <t>Yes</t>
        </is>
      </c>
      <c r="Q269" s="26" t="inlineStr">
        <is>
          <t>No</t>
        </is>
      </c>
      <c r="R269" s="26" t="inlineStr">
        <is>
          <t>Good finish</t>
        </is>
      </c>
      <c r="S269" s="26" t="inlineStr">
        <is>
          <t>Yes</t>
        </is>
      </c>
      <c r="T269" s="27" t="n"/>
      <c r="U269" s="28" t="inlineStr">
        <is>
          <t>No</t>
        </is>
      </c>
      <c r="V269" s="29">
        <f>IF(N269="","",IF(Q269="Yes","❌ Disc",IF(P269="No","⚠ Missing",IF(S269="Yes","✓ OK","⚠ Check"))))</f>
        <v/>
      </c>
      <c r="W269" s="65" t="n">
        <v>46248</v>
      </c>
      <c r="X269" s="30" t="inlineStr">
        <is>
          <t>Sunil CR</t>
        </is>
      </c>
      <c r="Y269" s="30" t="inlineStr">
        <is>
          <t>Yes</t>
        </is>
      </c>
      <c r="Z269" s="30" t="n"/>
      <c r="AA269" s="30" t="inlineStr">
        <is>
          <t>Good finish</t>
        </is>
      </c>
      <c r="AB269" s="30" t="inlineStr">
        <is>
          <t>Yes</t>
        </is>
      </c>
      <c r="AC269" s="27" t="n"/>
      <c r="AD269" s="31" t="inlineStr">
        <is>
          <t>No</t>
        </is>
      </c>
      <c r="AE269" s="32">
        <f>IF(W269="","",IF(Z269="Yes","❌ Disc",IF(Y269="No","⚠ Missing",IF(AB269="Yes","✓ OK","⚠ Check"))))</f>
        <v/>
      </c>
      <c r="AF269" s="33" t="n"/>
      <c r="AG269" s="33" t="n"/>
      <c r="AH269" s="33" t="n"/>
      <c r="AI269" s="33" t="n"/>
      <c r="AJ269" s="33" t="n"/>
      <c r="AK269" s="33" t="n"/>
      <c r="AL269" s="27" t="n"/>
      <c r="AM269" s="34" t="n"/>
      <c r="AN269" s="35">
        <f>IF(AF269="","",IF(AI269="Yes","❌ Disc",IF(AH269="No","⚠ Missing",IF(AK269="Yes","✓ OK","⚠ Check"))))</f>
        <v/>
      </c>
      <c r="AO269" s="36" t="n"/>
      <c r="AP269" s="36" t="n"/>
      <c r="AQ269" s="36" t="n"/>
      <c r="AR269" s="36" t="n"/>
      <c r="AS269" s="36" t="n"/>
      <c r="AT269" s="36" t="n"/>
      <c r="AU269" s="27" t="n"/>
      <c r="AV269" s="37" t="n"/>
      <c r="AW269" s="38">
        <f>IF(AO269="","",IF(AR269="Yes","❌ Disc",IF(AQ269="No","⚠ Missing",IF(AT269="Yes","✓ OK","⚠ Check"))))</f>
        <v/>
      </c>
    </row>
    <row r="270" ht="18" customHeight="1" s="46">
      <c r="A270" s="39" t="n">
        <v>266</v>
      </c>
      <c r="B270" s="40" t="inlineStr">
        <is>
          <t>930-Mahogany</t>
        </is>
      </c>
      <c r="C270" s="41" t="inlineStr">
        <is>
          <t>Sarom Fabric - New Malfino - NM - 930-Mahogany</t>
        </is>
      </c>
      <c r="D270" s="39" t="inlineStr">
        <is>
          <t>Sarom</t>
        </is>
      </c>
      <c r="E270" s="43" t="n">
        <v>46125</v>
      </c>
      <c r="F270" s="26" t="inlineStr">
        <is>
          <t>Sunil CR</t>
        </is>
      </c>
      <c r="G270" s="26" t="inlineStr">
        <is>
          <t>Yes</t>
        </is>
      </c>
      <c r="H270" s="26" t="inlineStr">
        <is>
          <t>No</t>
        </is>
      </c>
      <c r="I270" s="26" t="inlineStr">
        <is>
          <t>Good finish</t>
        </is>
      </c>
      <c r="J270" s="26" t="inlineStr">
        <is>
          <t>Yes</t>
        </is>
      </c>
      <c r="K270" s="27" t="n"/>
      <c r="L270" s="28" t="inlineStr">
        <is>
          <t>No</t>
        </is>
      </c>
      <c r="M270" s="29">
        <f>IF(E270="","",IF(H270="Yes","❌ Disc",IF(G270="No","⚠ Missing",IF(J270="Yes","✓ OK","⚠ Check"))))</f>
        <v/>
      </c>
      <c r="N270" s="43" t="n">
        <v>46139</v>
      </c>
      <c r="O270" s="26" t="inlineStr">
        <is>
          <t>Sunil CR</t>
        </is>
      </c>
      <c r="P270" s="26" t="inlineStr">
        <is>
          <t>Yes</t>
        </is>
      </c>
      <c r="Q270" s="26" t="inlineStr">
        <is>
          <t>No</t>
        </is>
      </c>
      <c r="R270" s="26" t="inlineStr">
        <is>
          <t>Good finish</t>
        </is>
      </c>
      <c r="S270" s="26" t="inlineStr">
        <is>
          <t>Yes</t>
        </is>
      </c>
      <c r="T270" s="27" t="n"/>
      <c r="U270" s="28" t="inlineStr">
        <is>
          <t>No</t>
        </is>
      </c>
      <c r="V270" s="29">
        <f>IF(N270="","",IF(Q270="Yes","❌ Disc",IF(P270="No","⚠ Missing",IF(S270="Yes","✓ OK","⚠ Check"))))</f>
        <v/>
      </c>
      <c r="W270" s="65" t="n">
        <v>46248</v>
      </c>
      <c r="X270" s="30" t="inlineStr">
        <is>
          <t>Sunil CR</t>
        </is>
      </c>
      <c r="Y270" s="30" t="inlineStr">
        <is>
          <t>Yes</t>
        </is>
      </c>
      <c r="Z270" s="30" t="n"/>
      <c r="AA270" s="30" t="inlineStr">
        <is>
          <t>Good finish</t>
        </is>
      </c>
      <c r="AB270" s="30" t="inlineStr">
        <is>
          <t>Yes</t>
        </is>
      </c>
      <c r="AC270" s="27" t="n"/>
      <c r="AD270" s="31" t="inlineStr">
        <is>
          <t>No</t>
        </is>
      </c>
      <c r="AE270" s="32">
        <f>IF(W270="","",IF(Z270="Yes","❌ Disc",IF(Y270="No","⚠ Missing",IF(AB270="Yes","✓ OK","⚠ Check"))))</f>
        <v/>
      </c>
      <c r="AF270" s="33" t="n"/>
      <c r="AG270" s="33" t="n"/>
      <c r="AH270" s="33" t="n"/>
      <c r="AI270" s="33" t="n"/>
      <c r="AJ270" s="33" t="n"/>
      <c r="AK270" s="33" t="n"/>
      <c r="AL270" s="27" t="n"/>
      <c r="AM270" s="34" t="n"/>
      <c r="AN270" s="35">
        <f>IF(AF270="","",IF(AI270="Yes","❌ Disc",IF(AH270="No","⚠ Missing",IF(AK270="Yes","✓ OK","⚠ Check"))))</f>
        <v/>
      </c>
      <c r="AO270" s="36" t="n"/>
      <c r="AP270" s="36" t="n"/>
      <c r="AQ270" s="36" t="n"/>
      <c r="AR270" s="36" t="n"/>
      <c r="AS270" s="36" t="n"/>
      <c r="AT270" s="36" t="n"/>
      <c r="AU270" s="27" t="n"/>
      <c r="AV270" s="37" t="n"/>
      <c r="AW270" s="38">
        <f>IF(AO270="","",IF(AR270="Yes","❌ Disc",IF(AQ270="No","⚠ Missing",IF(AT270="Yes","✓ OK","⚠ Check"))))</f>
        <v/>
      </c>
    </row>
    <row r="271" ht="18" customHeight="1" s="46">
      <c r="A271" s="23" t="n">
        <v>267</v>
      </c>
      <c r="B271" s="24" t="inlineStr">
        <is>
          <t>931-Chilli Red</t>
        </is>
      </c>
      <c r="C271" s="25" t="inlineStr">
        <is>
          <t>Sarom Fabric - New Malfino - NM - 931-Chilli Red</t>
        </is>
      </c>
      <c r="D271" s="23" t="inlineStr">
        <is>
          <t>Sarom</t>
        </is>
      </c>
      <c r="E271" s="43" t="n">
        <v>46125</v>
      </c>
      <c r="F271" s="26" t="inlineStr">
        <is>
          <t>Sunil CR</t>
        </is>
      </c>
      <c r="G271" s="26" t="inlineStr">
        <is>
          <t>Yes</t>
        </is>
      </c>
      <c r="H271" s="26" t="inlineStr">
        <is>
          <t>No</t>
        </is>
      </c>
      <c r="I271" s="26" t="inlineStr">
        <is>
          <t>Good finish</t>
        </is>
      </c>
      <c r="J271" s="26" t="inlineStr">
        <is>
          <t>Yes</t>
        </is>
      </c>
      <c r="K271" s="27" t="n"/>
      <c r="L271" s="28" t="inlineStr">
        <is>
          <t>No</t>
        </is>
      </c>
      <c r="M271" s="29">
        <f>IF(E271="","",IF(H271="Yes","❌ Disc",IF(G271="No","⚠ Missing",IF(J271="Yes","✓ OK","⚠ Check"))))</f>
        <v/>
      </c>
      <c r="N271" s="43" t="n">
        <v>46139</v>
      </c>
      <c r="O271" s="26" t="inlineStr">
        <is>
          <t>Sunil CR</t>
        </is>
      </c>
      <c r="P271" s="26" t="inlineStr">
        <is>
          <t>Yes</t>
        </is>
      </c>
      <c r="Q271" s="26" t="inlineStr">
        <is>
          <t>No</t>
        </is>
      </c>
      <c r="R271" s="26" t="inlineStr">
        <is>
          <t>Good finish</t>
        </is>
      </c>
      <c r="S271" s="26" t="inlineStr">
        <is>
          <t>Yes</t>
        </is>
      </c>
      <c r="T271" s="27" t="n"/>
      <c r="U271" s="28" t="inlineStr">
        <is>
          <t>No</t>
        </is>
      </c>
      <c r="V271" s="29">
        <f>IF(N271="","",IF(Q271="Yes","❌ Disc",IF(P271="No","⚠ Missing",IF(S271="Yes","✓ OK","⚠ Check"))))</f>
        <v/>
      </c>
      <c r="W271" s="65" t="n">
        <v>46248</v>
      </c>
      <c r="X271" s="30" t="inlineStr">
        <is>
          <t>Sunil CR</t>
        </is>
      </c>
      <c r="Y271" s="30" t="inlineStr">
        <is>
          <t>Yes</t>
        </is>
      </c>
      <c r="Z271" s="30" t="n"/>
      <c r="AA271" s="30" t="inlineStr">
        <is>
          <t>Good finish</t>
        </is>
      </c>
      <c r="AB271" s="30" t="inlineStr">
        <is>
          <t>Yes</t>
        </is>
      </c>
      <c r="AC271" s="27" t="n"/>
      <c r="AD271" s="31" t="inlineStr">
        <is>
          <t>No</t>
        </is>
      </c>
      <c r="AE271" s="32">
        <f>IF(W271="","",IF(Z271="Yes","❌ Disc",IF(Y271="No","⚠ Missing",IF(AB271="Yes","✓ OK","⚠ Check"))))</f>
        <v/>
      </c>
      <c r="AF271" s="33" t="n"/>
      <c r="AG271" s="33" t="n"/>
      <c r="AH271" s="33" t="n"/>
      <c r="AI271" s="33" t="n"/>
      <c r="AJ271" s="33" t="n"/>
      <c r="AK271" s="33" t="n"/>
      <c r="AL271" s="27" t="n"/>
      <c r="AM271" s="34" t="n"/>
      <c r="AN271" s="35">
        <f>IF(AF271="","",IF(AI271="Yes","❌ Disc",IF(AH271="No","⚠ Missing",IF(AK271="Yes","✓ OK","⚠ Check"))))</f>
        <v/>
      </c>
      <c r="AO271" s="36" t="n"/>
      <c r="AP271" s="36" t="n"/>
      <c r="AQ271" s="36" t="n"/>
      <c r="AR271" s="36" t="n"/>
      <c r="AS271" s="36" t="n"/>
      <c r="AT271" s="36" t="n"/>
      <c r="AU271" s="27" t="n"/>
      <c r="AV271" s="37" t="n"/>
      <c r="AW271" s="38">
        <f>IF(AO271="","",IF(AR271="Yes","❌ Disc",IF(AQ271="No","⚠ Missing",IF(AT271="Yes","✓ OK","⚠ Check"))))</f>
        <v/>
      </c>
    </row>
    <row r="272" ht="18" customHeight="1" s="46">
      <c r="A272" s="39" t="n">
        <v>268</v>
      </c>
      <c r="B272" s="40" t="inlineStr">
        <is>
          <t>932-Sangria</t>
        </is>
      </c>
      <c r="C272" s="41" t="inlineStr">
        <is>
          <t>Sarom Fabric - New Malfino - NM - 932-Sangria</t>
        </is>
      </c>
      <c r="D272" s="39" t="inlineStr">
        <is>
          <t>Sarom</t>
        </is>
      </c>
      <c r="E272" s="43" t="n">
        <v>46125</v>
      </c>
      <c r="F272" s="26" t="inlineStr">
        <is>
          <t>Sunil CR</t>
        </is>
      </c>
      <c r="G272" s="26" t="inlineStr">
        <is>
          <t>Yes</t>
        </is>
      </c>
      <c r="H272" s="26" t="inlineStr">
        <is>
          <t>No</t>
        </is>
      </c>
      <c r="I272" s="26" t="inlineStr">
        <is>
          <t>Good finish</t>
        </is>
      </c>
      <c r="J272" s="26" t="inlineStr">
        <is>
          <t>Yes</t>
        </is>
      </c>
      <c r="K272" s="27" t="n"/>
      <c r="L272" s="28" t="inlineStr">
        <is>
          <t>No</t>
        </is>
      </c>
      <c r="M272" s="29">
        <f>IF(E272="","",IF(H272="Yes","❌ Disc",IF(G272="No","⚠ Missing",IF(J272="Yes","✓ OK","⚠ Check"))))</f>
        <v/>
      </c>
      <c r="N272" s="43" t="n">
        <v>46139</v>
      </c>
      <c r="O272" s="26" t="inlineStr">
        <is>
          <t>Sunil CR</t>
        </is>
      </c>
      <c r="P272" s="26" t="inlineStr">
        <is>
          <t>Yes</t>
        </is>
      </c>
      <c r="Q272" s="26" t="inlineStr">
        <is>
          <t>No</t>
        </is>
      </c>
      <c r="R272" s="26" t="inlineStr">
        <is>
          <t>Good finish</t>
        </is>
      </c>
      <c r="S272" s="26" t="inlineStr">
        <is>
          <t>Yes</t>
        </is>
      </c>
      <c r="T272" s="27" t="n"/>
      <c r="U272" s="28" t="inlineStr">
        <is>
          <t>No</t>
        </is>
      </c>
      <c r="V272" s="29">
        <f>IF(N272="","",IF(Q272="Yes","❌ Disc",IF(P272="No","⚠ Missing",IF(S272="Yes","✓ OK","⚠ Check"))))</f>
        <v/>
      </c>
      <c r="W272" s="65" t="n">
        <v>46248</v>
      </c>
      <c r="X272" s="30" t="inlineStr">
        <is>
          <t>Sunil CR</t>
        </is>
      </c>
      <c r="Y272" s="30" t="inlineStr">
        <is>
          <t>Yes</t>
        </is>
      </c>
      <c r="Z272" s="30" t="n"/>
      <c r="AA272" s="30" t="inlineStr">
        <is>
          <t>Good finish</t>
        </is>
      </c>
      <c r="AB272" s="30" t="inlineStr">
        <is>
          <t>Yes</t>
        </is>
      </c>
      <c r="AC272" s="27" t="n"/>
      <c r="AD272" s="31" t="inlineStr">
        <is>
          <t>No</t>
        </is>
      </c>
      <c r="AE272" s="32">
        <f>IF(W272="","",IF(Z272="Yes","❌ Disc",IF(Y272="No","⚠ Missing",IF(AB272="Yes","✓ OK","⚠ Check"))))</f>
        <v/>
      </c>
      <c r="AF272" s="33" t="n"/>
      <c r="AG272" s="33" t="n"/>
      <c r="AH272" s="33" t="n"/>
      <c r="AI272" s="33" t="n"/>
      <c r="AJ272" s="33" t="n"/>
      <c r="AK272" s="33" t="n"/>
      <c r="AL272" s="27" t="n"/>
      <c r="AM272" s="34" t="n"/>
      <c r="AN272" s="35">
        <f>IF(AF272="","",IF(AI272="Yes","❌ Disc",IF(AH272="No","⚠ Missing",IF(AK272="Yes","✓ OK","⚠ Check"))))</f>
        <v/>
      </c>
      <c r="AO272" s="36" t="n"/>
      <c r="AP272" s="36" t="n"/>
      <c r="AQ272" s="36" t="n"/>
      <c r="AR272" s="36" t="n"/>
      <c r="AS272" s="36" t="n"/>
      <c r="AT272" s="36" t="n"/>
      <c r="AU272" s="27" t="n"/>
      <c r="AV272" s="37" t="n"/>
      <c r="AW272" s="38">
        <f>IF(AO272="","",IF(AR272="Yes","❌ Disc",IF(AQ272="No","⚠ Missing",IF(AT272="Yes","✓ OK","⚠ Check"))))</f>
        <v/>
      </c>
    </row>
    <row r="273" ht="18" customHeight="1" s="46">
      <c r="A273" s="23" t="n">
        <v>269</v>
      </c>
      <c r="B273" s="24" t="inlineStr">
        <is>
          <t>933-Pink</t>
        </is>
      </c>
      <c r="C273" s="25" t="inlineStr">
        <is>
          <t>Sarom Fabric - New Malfino - NM - 933-Pink</t>
        </is>
      </c>
      <c r="D273" s="23" t="inlineStr">
        <is>
          <t>Sarom</t>
        </is>
      </c>
      <c r="E273" s="43" t="n">
        <v>46125</v>
      </c>
      <c r="F273" s="26" t="inlineStr">
        <is>
          <t>Sunil CR</t>
        </is>
      </c>
      <c r="G273" s="26" t="inlineStr">
        <is>
          <t>Yes</t>
        </is>
      </c>
      <c r="H273" s="26" t="inlineStr">
        <is>
          <t>No</t>
        </is>
      </c>
      <c r="I273" s="26" t="inlineStr">
        <is>
          <t>Good finish</t>
        </is>
      </c>
      <c r="J273" s="26" t="inlineStr">
        <is>
          <t>Yes</t>
        </is>
      </c>
      <c r="K273" s="27" t="n"/>
      <c r="L273" s="28" t="inlineStr">
        <is>
          <t>No</t>
        </is>
      </c>
      <c r="M273" s="29">
        <f>IF(E273="","",IF(H273="Yes","❌ Disc",IF(G273="No","⚠ Missing",IF(J273="Yes","✓ OK","⚠ Check"))))</f>
        <v/>
      </c>
      <c r="N273" s="43" t="n">
        <v>46139</v>
      </c>
      <c r="O273" s="26" t="inlineStr">
        <is>
          <t>Sunil CR</t>
        </is>
      </c>
      <c r="P273" s="26" t="inlineStr">
        <is>
          <t>Yes</t>
        </is>
      </c>
      <c r="Q273" s="26" t="inlineStr">
        <is>
          <t>No</t>
        </is>
      </c>
      <c r="R273" s="26" t="inlineStr">
        <is>
          <t>Good finish</t>
        </is>
      </c>
      <c r="S273" s="26" t="inlineStr">
        <is>
          <t>Yes</t>
        </is>
      </c>
      <c r="T273" s="27" t="n"/>
      <c r="U273" s="28" t="inlineStr">
        <is>
          <t>No</t>
        </is>
      </c>
      <c r="V273" s="29">
        <f>IF(N273="","",IF(Q273="Yes","❌ Disc",IF(P273="No","⚠ Missing",IF(S273="Yes","✓ OK","⚠ Check"))))</f>
        <v/>
      </c>
      <c r="W273" s="65" t="n">
        <v>46248</v>
      </c>
      <c r="X273" s="30" t="inlineStr">
        <is>
          <t>Sunil CR</t>
        </is>
      </c>
      <c r="Y273" s="30" t="inlineStr">
        <is>
          <t>Yes</t>
        </is>
      </c>
      <c r="Z273" s="30" t="n"/>
      <c r="AA273" s="30" t="inlineStr">
        <is>
          <t>Good finish</t>
        </is>
      </c>
      <c r="AB273" s="30" t="inlineStr">
        <is>
          <t>Yes</t>
        </is>
      </c>
      <c r="AC273" s="27" t="n"/>
      <c r="AD273" s="31" t="inlineStr">
        <is>
          <t>No</t>
        </is>
      </c>
      <c r="AE273" s="32">
        <f>IF(W273="","",IF(Z273="Yes","❌ Disc",IF(Y273="No","⚠ Missing",IF(AB273="Yes","✓ OK","⚠ Check"))))</f>
        <v/>
      </c>
      <c r="AF273" s="33" t="n"/>
      <c r="AG273" s="33" t="n"/>
      <c r="AH273" s="33" t="n"/>
      <c r="AI273" s="33" t="n"/>
      <c r="AJ273" s="33" t="n"/>
      <c r="AK273" s="33" t="n"/>
      <c r="AL273" s="27" t="n"/>
      <c r="AM273" s="34" t="n"/>
      <c r="AN273" s="35">
        <f>IF(AF273="","",IF(AI273="Yes","❌ Disc",IF(AH273="No","⚠ Missing",IF(AK273="Yes","✓ OK","⚠ Check"))))</f>
        <v/>
      </c>
      <c r="AO273" s="36" t="n"/>
      <c r="AP273" s="36" t="n"/>
      <c r="AQ273" s="36" t="n"/>
      <c r="AR273" s="36" t="n"/>
      <c r="AS273" s="36" t="n"/>
      <c r="AT273" s="36" t="n"/>
      <c r="AU273" s="27" t="n"/>
      <c r="AV273" s="37" t="n"/>
      <c r="AW273" s="38">
        <f>IF(AO273="","",IF(AR273="Yes","❌ Disc",IF(AQ273="No","⚠ Missing",IF(AT273="Yes","✓ OK","⚠ Check"))))</f>
        <v/>
      </c>
    </row>
    <row r="274" ht="18" customHeight="1" s="46">
      <c r="A274" s="39" t="n">
        <v>270</v>
      </c>
      <c r="B274" s="40" t="inlineStr">
        <is>
          <t>934-Magenta</t>
        </is>
      </c>
      <c r="C274" s="41" t="inlineStr">
        <is>
          <t>Sarom Fabric - New Malfino - NM - 934-Magenta</t>
        </is>
      </c>
      <c r="D274" s="39" t="inlineStr">
        <is>
          <t>Sarom</t>
        </is>
      </c>
      <c r="E274" s="43" t="n">
        <v>46125</v>
      </c>
      <c r="F274" s="26" t="inlineStr">
        <is>
          <t>Sunil CR</t>
        </is>
      </c>
      <c r="G274" s="26" t="inlineStr">
        <is>
          <t>Yes</t>
        </is>
      </c>
      <c r="H274" s="26" t="inlineStr">
        <is>
          <t>No</t>
        </is>
      </c>
      <c r="I274" s="26" t="inlineStr">
        <is>
          <t>Good finish</t>
        </is>
      </c>
      <c r="J274" s="26" t="inlineStr">
        <is>
          <t>Yes</t>
        </is>
      </c>
      <c r="K274" s="27" t="n"/>
      <c r="L274" s="28" t="inlineStr">
        <is>
          <t>No</t>
        </is>
      </c>
      <c r="M274" s="29">
        <f>IF(E274="","",IF(H274="Yes","❌ Disc",IF(G274="No","⚠ Missing",IF(J274="Yes","✓ OK","⚠ Check"))))</f>
        <v/>
      </c>
      <c r="N274" s="43" t="n">
        <v>46139</v>
      </c>
      <c r="O274" s="26" t="inlineStr">
        <is>
          <t>Sunil CR</t>
        </is>
      </c>
      <c r="P274" s="26" t="inlineStr">
        <is>
          <t>Yes</t>
        </is>
      </c>
      <c r="Q274" s="26" t="inlineStr">
        <is>
          <t>No</t>
        </is>
      </c>
      <c r="R274" s="26" t="inlineStr">
        <is>
          <t>Good finish</t>
        </is>
      </c>
      <c r="S274" s="26" t="inlineStr">
        <is>
          <t>Yes</t>
        </is>
      </c>
      <c r="T274" s="27" t="n"/>
      <c r="U274" s="28" t="inlineStr">
        <is>
          <t>No</t>
        </is>
      </c>
      <c r="V274" s="29">
        <f>IF(N274="","",IF(Q274="Yes","❌ Disc",IF(P274="No","⚠ Missing",IF(S274="Yes","✓ OK","⚠ Check"))))</f>
        <v/>
      </c>
      <c r="W274" s="65" t="n">
        <v>46248</v>
      </c>
      <c r="X274" s="30" t="inlineStr">
        <is>
          <t>Sunil CR</t>
        </is>
      </c>
      <c r="Y274" s="30" t="inlineStr">
        <is>
          <t>Yes</t>
        </is>
      </c>
      <c r="Z274" s="30" t="n"/>
      <c r="AA274" s="30" t="inlineStr">
        <is>
          <t>Good finish</t>
        </is>
      </c>
      <c r="AB274" s="30" t="inlineStr">
        <is>
          <t>Yes</t>
        </is>
      </c>
      <c r="AC274" s="27" t="n"/>
      <c r="AD274" s="31" t="inlineStr">
        <is>
          <t>No</t>
        </is>
      </c>
      <c r="AE274" s="32">
        <f>IF(W274="","",IF(Z274="Yes","❌ Disc",IF(Y274="No","⚠ Missing",IF(AB274="Yes","✓ OK","⚠ Check"))))</f>
        <v/>
      </c>
      <c r="AF274" s="33" t="n"/>
      <c r="AG274" s="33" t="n"/>
      <c r="AH274" s="33" t="n"/>
      <c r="AI274" s="33" t="n"/>
      <c r="AJ274" s="33" t="n"/>
      <c r="AK274" s="33" t="n"/>
      <c r="AL274" s="27" t="n"/>
      <c r="AM274" s="34" t="n"/>
      <c r="AN274" s="35">
        <f>IF(AF274="","",IF(AI274="Yes","❌ Disc",IF(AH274="No","⚠ Missing",IF(AK274="Yes","✓ OK","⚠ Check"))))</f>
        <v/>
      </c>
      <c r="AO274" s="36" t="n"/>
      <c r="AP274" s="36" t="n"/>
      <c r="AQ274" s="36" t="n"/>
      <c r="AR274" s="36" t="n"/>
      <c r="AS274" s="36" t="n"/>
      <c r="AT274" s="36" t="n"/>
      <c r="AU274" s="27" t="n"/>
      <c r="AV274" s="37" t="n"/>
      <c r="AW274" s="38">
        <f>IF(AO274="","",IF(AR274="Yes","❌ Disc",IF(AQ274="No","⚠ Missing",IF(AT274="Yes","✓ OK","⚠ Check"))))</f>
        <v/>
      </c>
    </row>
    <row r="275" ht="18" customHeight="1" s="46">
      <c r="A275" s="23" t="n">
        <v>271</v>
      </c>
      <c r="B275" s="24" t="inlineStr">
        <is>
          <t>935-Plum</t>
        </is>
      </c>
      <c r="C275" s="25" t="inlineStr">
        <is>
          <t>Sarom Fabric - New Malfino - NM - 935-Plum</t>
        </is>
      </c>
      <c r="D275" s="23" t="inlineStr">
        <is>
          <t>Sarom</t>
        </is>
      </c>
      <c r="E275" s="43" t="n">
        <v>46125</v>
      </c>
      <c r="F275" s="26" t="inlineStr">
        <is>
          <t>Sunil CR</t>
        </is>
      </c>
      <c r="G275" s="26" t="inlineStr">
        <is>
          <t>Yes</t>
        </is>
      </c>
      <c r="H275" s="26" t="inlineStr">
        <is>
          <t>No</t>
        </is>
      </c>
      <c r="I275" s="26" t="inlineStr">
        <is>
          <t>Good finish</t>
        </is>
      </c>
      <c r="J275" s="26" t="inlineStr">
        <is>
          <t>Yes</t>
        </is>
      </c>
      <c r="K275" s="27" t="n"/>
      <c r="L275" s="28" t="inlineStr">
        <is>
          <t>No</t>
        </is>
      </c>
      <c r="M275" s="29">
        <f>IF(E275="","",IF(H275="Yes","❌ Disc",IF(G275="No","⚠ Missing",IF(J275="Yes","✓ OK","⚠ Check"))))</f>
        <v/>
      </c>
      <c r="N275" s="43" t="n">
        <v>46139</v>
      </c>
      <c r="O275" s="26" t="inlineStr">
        <is>
          <t>Sunil CR</t>
        </is>
      </c>
      <c r="P275" s="26" t="inlineStr">
        <is>
          <t>Yes</t>
        </is>
      </c>
      <c r="Q275" s="26" t="inlineStr">
        <is>
          <t>No</t>
        </is>
      </c>
      <c r="R275" s="26" t="inlineStr">
        <is>
          <t>Good finish</t>
        </is>
      </c>
      <c r="S275" s="26" t="inlineStr">
        <is>
          <t>Yes</t>
        </is>
      </c>
      <c r="T275" s="27" t="n"/>
      <c r="U275" s="28" t="inlineStr">
        <is>
          <t>No</t>
        </is>
      </c>
      <c r="V275" s="29">
        <f>IF(N275="","",IF(Q275="Yes","❌ Disc",IF(P275="No","⚠ Missing",IF(S275="Yes","✓ OK","⚠ Check"))))</f>
        <v/>
      </c>
      <c r="W275" s="65" t="n">
        <v>46248</v>
      </c>
      <c r="X275" s="30" t="inlineStr">
        <is>
          <t>Sunil CR</t>
        </is>
      </c>
      <c r="Y275" s="30" t="inlineStr">
        <is>
          <t>Yes</t>
        </is>
      </c>
      <c r="Z275" s="30" t="n"/>
      <c r="AA275" s="30" t="inlineStr">
        <is>
          <t>Good finish</t>
        </is>
      </c>
      <c r="AB275" s="30" t="inlineStr">
        <is>
          <t>Yes</t>
        </is>
      </c>
      <c r="AC275" s="27" t="n"/>
      <c r="AD275" s="31" t="inlineStr">
        <is>
          <t>No</t>
        </is>
      </c>
      <c r="AE275" s="32">
        <f>IF(W275="","",IF(Z275="Yes","❌ Disc",IF(Y275="No","⚠ Missing",IF(AB275="Yes","✓ OK","⚠ Check"))))</f>
        <v/>
      </c>
      <c r="AF275" s="33" t="n"/>
      <c r="AG275" s="33" t="n"/>
      <c r="AH275" s="33" t="n"/>
      <c r="AI275" s="33" t="n"/>
      <c r="AJ275" s="33" t="n"/>
      <c r="AK275" s="33" t="n"/>
      <c r="AL275" s="27" t="n"/>
      <c r="AM275" s="34" t="n"/>
      <c r="AN275" s="35">
        <f>IF(AF275="","",IF(AI275="Yes","❌ Disc",IF(AH275="No","⚠ Missing",IF(AK275="Yes","✓ OK","⚠ Check"))))</f>
        <v/>
      </c>
      <c r="AO275" s="36" t="n"/>
      <c r="AP275" s="36" t="n"/>
      <c r="AQ275" s="36" t="n"/>
      <c r="AR275" s="36" t="n"/>
      <c r="AS275" s="36" t="n"/>
      <c r="AT275" s="36" t="n"/>
      <c r="AU275" s="27" t="n"/>
      <c r="AV275" s="37" t="n"/>
      <c r="AW275" s="38">
        <f>IF(AO275="","",IF(AR275="Yes","❌ Disc",IF(AQ275="No","⚠ Missing",IF(AT275="Yes","✓ OK","⚠ Check"))))</f>
        <v/>
      </c>
    </row>
    <row r="276" ht="18" customHeight="1" s="46">
      <c r="A276" s="39" t="n">
        <v>272</v>
      </c>
      <c r="B276" s="40" t="inlineStr">
        <is>
          <t>936-Dark Brown</t>
        </is>
      </c>
      <c r="C276" s="41" t="inlineStr">
        <is>
          <t>Sarom Fabric - New Malfino - NM - 936-Dark Brown</t>
        </is>
      </c>
      <c r="D276" s="39" t="inlineStr">
        <is>
          <t>Sarom</t>
        </is>
      </c>
      <c r="E276" s="43" t="n">
        <v>46125</v>
      </c>
      <c r="F276" s="26" t="inlineStr">
        <is>
          <t>Sunil CR</t>
        </is>
      </c>
      <c r="G276" s="26" t="inlineStr">
        <is>
          <t>Yes</t>
        </is>
      </c>
      <c r="H276" s="26" t="inlineStr">
        <is>
          <t>No</t>
        </is>
      </c>
      <c r="I276" s="26" t="inlineStr">
        <is>
          <t>Good finish</t>
        </is>
      </c>
      <c r="J276" s="26" t="inlineStr">
        <is>
          <t>Yes</t>
        </is>
      </c>
      <c r="K276" s="27" t="n"/>
      <c r="L276" s="28" t="inlineStr">
        <is>
          <t>No</t>
        </is>
      </c>
      <c r="M276" s="29">
        <f>IF(E276="","",IF(H276="Yes","❌ Disc",IF(G276="No","⚠ Missing",IF(J276="Yes","✓ OK","⚠ Check"))))</f>
        <v/>
      </c>
      <c r="N276" s="43" t="n">
        <v>46139</v>
      </c>
      <c r="O276" s="26" t="inlineStr">
        <is>
          <t>Sunil CR</t>
        </is>
      </c>
      <c r="P276" s="26" t="inlineStr">
        <is>
          <t>Yes</t>
        </is>
      </c>
      <c r="Q276" s="26" t="inlineStr">
        <is>
          <t>No</t>
        </is>
      </c>
      <c r="R276" s="26" t="inlineStr">
        <is>
          <t>Good finish</t>
        </is>
      </c>
      <c r="S276" s="26" t="inlineStr">
        <is>
          <t>Yes</t>
        </is>
      </c>
      <c r="T276" s="27" t="n"/>
      <c r="U276" s="28" t="inlineStr">
        <is>
          <t>No</t>
        </is>
      </c>
      <c r="V276" s="29">
        <f>IF(N276="","",IF(Q276="Yes","❌ Disc",IF(P276="No","⚠ Missing",IF(S276="Yes","✓ OK","⚠ Check"))))</f>
        <v/>
      </c>
      <c r="W276" s="65" t="n">
        <v>46248</v>
      </c>
      <c r="X276" s="30" t="inlineStr">
        <is>
          <t>Sunil CR</t>
        </is>
      </c>
      <c r="Y276" s="30" t="inlineStr">
        <is>
          <t>Yes</t>
        </is>
      </c>
      <c r="Z276" s="30" t="n"/>
      <c r="AA276" s="30" t="inlineStr">
        <is>
          <t>Good finish</t>
        </is>
      </c>
      <c r="AB276" s="30" t="inlineStr">
        <is>
          <t>Yes</t>
        </is>
      </c>
      <c r="AC276" s="27" t="n"/>
      <c r="AD276" s="31" t="inlineStr">
        <is>
          <t>No</t>
        </is>
      </c>
      <c r="AE276" s="32">
        <f>IF(W276="","",IF(Z276="Yes","❌ Disc",IF(Y276="No","⚠ Missing",IF(AB276="Yes","✓ OK","⚠ Check"))))</f>
        <v/>
      </c>
      <c r="AF276" s="33" t="n"/>
      <c r="AG276" s="33" t="n"/>
      <c r="AH276" s="33" t="n"/>
      <c r="AI276" s="33" t="n"/>
      <c r="AJ276" s="33" t="n"/>
      <c r="AK276" s="33" t="n"/>
      <c r="AL276" s="27" t="n"/>
      <c r="AM276" s="34" t="n"/>
      <c r="AN276" s="35">
        <f>IF(AF276="","",IF(AI276="Yes","❌ Disc",IF(AH276="No","⚠ Missing",IF(AK276="Yes","✓ OK","⚠ Check"))))</f>
        <v/>
      </c>
      <c r="AO276" s="36" t="n"/>
      <c r="AP276" s="36" t="n"/>
      <c r="AQ276" s="36" t="n"/>
      <c r="AR276" s="36" t="n"/>
      <c r="AS276" s="36" t="n"/>
      <c r="AT276" s="36" t="n"/>
      <c r="AU276" s="27" t="n"/>
      <c r="AV276" s="37" t="n"/>
      <c r="AW276" s="38">
        <f>IF(AO276="","",IF(AR276="Yes","❌ Disc",IF(AQ276="No","⚠ Missing",IF(AT276="Yes","✓ OK","⚠ Check"))))</f>
        <v/>
      </c>
    </row>
    <row r="277" ht="18" customHeight="1" s="46">
      <c r="A277" s="23" t="n">
        <v>273</v>
      </c>
      <c r="B277" s="24" t="inlineStr">
        <is>
          <t>937-Golden Oak</t>
        </is>
      </c>
      <c r="C277" s="25" t="inlineStr">
        <is>
          <t>Sarom Fabric - New Malfino - NM - 937-Golden Oak</t>
        </is>
      </c>
      <c r="D277" s="23" t="inlineStr">
        <is>
          <t>Sarom</t>
        </is>
      </c>
      <c r="E277" s="43" t="n">
        <v>46125</v>
      </c>
      <c r="F277" s="26" t="inlineStr">
        <is>
          <t>Sunil CR</t>
        </is>
      </c>
      <c r="G277" s="26" t="inlineStr">
        <is>
          <t>Yes</t>
        </is>
      </c>
      <c r="H277" s="26" t="inlineStr">
        <is>
          <t>No</t>
        </is>
      </c>
      <c r="I277" s="26" t="inlineStr">
        <is>
          <t>Good finish</t>
        </is>
      </c>
      <c r="J277" s="26" t="inlineStr">
        <is>
          <t>Yes</t>
        </is>
      </c>
      <c r="K277" s="27" t="n"/>
      <c r="L277" s="28" t="inlineStr">
        <is>
          <t>No</t>
        </is>
      </c>
      <c r="M277" s="29">
        <f>IF(E277="","",IF(H277="Yes","❌ Disc",IF(G277="No","⚠ Missing",IF(J277="Yes","✓ OK","⚠ Check"))))</f>
        <v/>
      </c>
      <c r="N277" s="43" t="n">
        <v>46139</v>
      </c>
      <c r="O277" s="26" t="inlineStr">
        <is>
          <t>Sunil CR</t>
        </is>
      </c>
      <c r="P277" s="26" t="inlineStr">
        <is>
          <t>Yes</t>
        </is>
      </c>
      <c r="Q277" s="26" t="inlineStr">
        <is>
          <t>No</t>
        </is>
      </c>
      <c r="R277" s="26" t="inlineStr">
        <is>
          <t>Good finish</t>
        </is>
      </c>
      <c r="S277" s="26" t="inlineStr">
        <is>
          <t>Yes</t>
        </is>
      </c>
      <c r="T277" s="27" t="n"/>
      <c r="U277" s="28" t="inlineStr">
        <is>
          <t>No</t>
        </is>
      </c>
      <c r="V277" s="29">
        <f>IF(N277="","",IF(Q277="Yes","❌ Disc",IF(P277="No","⚠ Missing",IF(S277="Yes","✓ OK","⚠ Check"))))</f>
        <v/>
      </c>
      <c r="W277" s="65" t="n">
        <v>46248</v>
      </c>
      <c r="X277" s="30" t="inlineStr">
        <is>
          <t>Sunil CR</t>
        </is>
      </c>
      <c r="Y277" s="30" t="inlineStr">
        <is>
          <t>Yes</t>
        </is>
      </c>
      <c r="Z277" s="30" t="n"/>
      <c r="AA277" s="30" t="inlineStr">
        <is>
          <t>Good finish</t>
        </is>
      </c>
      <c r="AB277" s="30" t="inlineStr">
        <is>
          <t>Yes</t>
        </is>
      </c>
      <c r="AC277" s="27" t="n"/>
      <c r="AD277" s="31" t="inlineStr">
        <is>
          <t>No</t>
        </is>
      </c>
      <c r="AE277" s="32">
        <f>IF(W277="","",IF(Z277="Yes","❌ Disc",IF(Y277="No","⚠ Missing",IF(AB277="Yes","✓ OK","⚠ Check"))))</f>
        <v/>
      </c>
      <c r="AF277" s="33" t="n"/>
      <c r="AG277" s="33" t="n"/>
      <c r="AH277" s="33" t="n"/>
      <c r="AI277" s="33" t="n"/>
      <c r="AJ277" s="33" t="n"/>
      <c r="AK277" s="33" t="n"/>
      <c r="AL277" s="27" t="n"/>
      <c r="AM277" s="34" t="n"/>
      <c r="AN277" s="35">
        <f>IF(AF277="","",IF(AI277="Yes","❌ Disc",IF(AH277="No","⚠ Missing",IF(AK277="Yes","✓ OK","⚠ Check"))))</f>
        <v/>
      </c>
      <c r="AO277" s="36" t="n"/>
      <c r="AP277" s="36" t="n"/>
      <c r="AQ277" s="36" t="n"/>
      <c r="AR277" s="36" t="n"/>
      <c r="AS277" s="36" t="n"/>
      <c r="AT277" s="36" t="n"/>
      <c r="AU277" s="27" t="n"/>
      <c r="AV277" s="37" t="n"/>
      <c r="AW277" s="38">
        <f>IF(AO277="","",IF(AR277="Yes","❌ Disc",IF(AQ277="No","⚠ Missing",IF(AT277="Yes","✓ OK","⚠ Check"))))</f>
        <v/>
      </c>
    </row>
    <row r="278" ht="18" customHeight="1" s="46">
      <c r="A278" s="39" t="n">
        <v>274</v>
      </c>
      <c r="B278" s="40" t="inlineStr">
        <is>
          <t>938-Sand</t>
        </is>
      </c>
      <c r="C278" s="41" t="inlineStr">
        <is>
          <t>Sarom Fabric - New Malfino - NM - 938-Sand</t>
        </is>
      </c>
      <c r="D278" s="39" t="inlineStr">
        <is>
          <t>Sarom</t>
        </is>
      </c>
      <c r="E278" s="43" t="n">
        <v>46125</v>
      </c>
      <c r="F278" s="26" t="inlineStr">
        <is>
          <t>Sunil CR</t>
        </is>
      </c>
      <c r="G278" s="26" t="inlineStr">
        <is>
          <t>Yes</t>
        </is>
      </c>
      <c r="H278" s="26" t="inlineStr">
        <is>
          <t>No</t>
        </is>
      </c>
      <c r="I278" s="26" t="inlineStr">
        <is>
          <t>Good finish</t>
        </is>
      </c>
      <c r="J278" s="26" t="inlineStr">
        <is>
          <t>Yes</t>
        </is>
      </c>
      <c r="K278" s="27" t="n"/>
      <c r="L278" s="28" t="inlineStr">
        <is>
          <t>No</t>
        </is>
      </c>
      <c r="M278" s="29">
        <f>IF(E278="","",IF(H278="Yes","❌ Disc",IF(G278="No","⚠ Missing",IF(J278="Yes","✓ OK","⚠ Check"))))</f>
        <v/>
      </c>
      <c r="N278" s="43" t="n">
        <v>46139</v>
      </c>
      <c r="O278" s="26" t="inlineStr">
        <is>
          <t>Sunil CR</t>
        </is>
      </c>
      <c r="P278" s="26" t="inlineStr">
        <is>
          <t>Yes</t>
        </is>
      </c>
      <c r="Q278" s="26" t="inlineStr">
        <is>
          <t>No</t>
        </is>
      </c>
      <c r="R278" s="26" t="inlineStr">
        <is>
          <t>Good finish</t>
        </is>
      </c>
      <c r="S278" s="26" t="inlineStr">
        <is>
          <t>Yes</t>
        </is>
      </c>
      <c r="T278" s="27" t="n"/>
      <c r="U278" s="28" t="inlineStr">
        <is>
          <t>No</t>
        </is>
      </c>
      <c r="V278" s="29">
        <f>IF(N278="","",IF(Q278="Yes","❌ Disc",IF(P278="No","⚠ Missing",IF(S278="Yes","✓ OK","⚠ Check"))))</f>
        <v/>
      </c>
      <c r="W278" s="65" t="n">
        <v>46248</v>
      </c>
      <c r="X278" s="30" t="inlineStr">
        <is>
          <t>Sunil CR</t>
        </is>
      </c>
      <c r="Y278" s="30" t="inlineStr">
        <is>
          <t>Yes</t>
        </is>
      </c>
      <c r="Z278" s="30" t="n"/>
      <c r="AA278" s="30" t="inlineStr">
        <is>
          <t>Good finish</t>
        </is>
      </c>
      <c r="AB278" s="30" t="inlineStr">
        <is>
          <t>Yes</t>
        </is>
      </c>
      <c r="AC278" s="27" t="n"/>
      <c r="AD278" s="31" t="inlineStr">
        <is>
          <t>No</t>
        </is>
      </c>
      <c r="AE278" s="32">
        <f>IF(W278="","",IF(Z278="Yes","❌ Disc",IF(Y278="No","⚠ Missing",IF(AB278="Yes","✓ OK","⚠ Check"))))</f>
        <v/>
      </c>
      <c r="AF278" s="33" t="n"/>
      <c r="AG278" s="33" t="n"/>
      <c r="AH278" s="33" t="n"/>
      <c r="AI278" s="33" t="n"/>
      <c r="AJ278" s="33" t="n"/>
      <c r="AK278" s="33" t="n"/>
      <c r="AL278" s="27" t="n"/>
      <c r="AM278" s="34" t="n"/>
      <c r="AN278" s="35">
        <f>IF(AF278="","",IF(AI278="Yes","❌ Disc",IF(AH278="No","⚠ Missing",IF(AK278="Yes","✓ OK","⚠ Check"))))</f>
        <v/>
      </c>
      <c r="AO278" s="36" t="n"/>
      <c r="AP278" s="36" t="n"/>
      <c r="AQ278" s="36" t="n"/>
      <c r="AR278" s="36" t="n"/>
      <c r="AS278" s="36" t="n"/>
      <c r="AT278" s="36" t="n"/>
      <c r="AU278" s="27" t="n"/>
      <c r="AV278" s="37" t="n"/>
      <c r="AW278" s="38">
        <f>IF(AO278="","",IF(AR278="Yes","❌ Disc",IF(AQ278="No","⚠ Missing",IF(AT278="Yes","✓ OK","⚠ Check"))))</f>
        <v/>
      </c>
    </row>
    <row r="279" ht="18" customHeight="1" s="46">
      <c r="A279" s="23" t="n">
        <v>275</v>
      </c>
      <c r="B279" s="24" t="inlineStr">
        <is>
          <t>939-Taupe</t>
        </is>
      </c>
      <c r="C279" s="25" t="inlineStr">
        <is>
          <t>Sarom Fabric - New Malfino - NM - 939-Taupe</t>
        </is>
      </c>
      <c r="D279" s="23" t="inlineStr">
        <is>
          <t>Sarom</t>
        </is>
      </c>
      <c r="E279" s="43" t="n">
        <v>46125</v>
      </c>
      <c r="F279" s="26" t="inlineStr">
        <is>
          <t>Sunil CR</t>
        </is>
      </c>
      <c r="G279" s="26" t="inlineStr">
        <is>
          <t>Yes</t>
        </is>
      </c>
      <c r="H279" s="26" t="inlineStr">
        <is>
          <t>No</t>
        </is>
      </c>
      <c r="I279" s="26" t="inlineStr">
        <is>
          <t>Good finish</t>
        </is>
      </c>
      <c r="J279" s="26" t="inlineStr">
        <is>
          <t>Yes</t>
        </is>
      </c>
      <c r="K279" s="27" t="n"/>
      <c r="L279" s="28" t="inlineStr">
        <is>
          <t>No</t>
        </is>
      </c>
      <c r="M279" s="29">
        <f>IF(E279="","",IF(H279="Yes","❌ Disc",IF(G279="No","⚠ Missing",IF(J279="Yes","✓ OK","⚠ Check"))))</f>
        <v/>
      </c>
      <c r="N279" s="43" t="n">
        <v>46139</v>
      </c>
      <c r="O279" s="26" t="inlineStr">
        <is>
          <t>Sunil CR</t>
        </is>
      </c>
      <c r="P279" s="26" t="inlineStr">
        <is>
          <t>Yes</t>
        </is>
      </c>
      <c r="Q279" s="26" t="inlineStr">
        <is>
          <t>No</t>
        </is>
      </c>
      <c r="R279" s="26" t="inlineStr">
        <is>
          <t>Good finish</t>
        </is>
      </c>
      <c r="S279" s="26" t="inlineStr">
        <is>
          <t>Yes</t>
        </is>
      </c>
      <c r="T279" s="27" t="n"/>
      <c r="U279" s="28" t="inlineStr">
        <is>
          <t>No</t>
        </is>
      </c>
      <c r="V279" s="29">
        <f>IF(N279="","",IF(Q279="Yes","❌ Disc",IF(P279="No","⚠ Missing",IF(S279="Yes","✓ OK","⚠ Check"))))</f>
        <v/>
      </c>
      <c r="W279" s="65" t="n">
        <v>46248</v>
      </c>
      <c r="X279" s="30" t="inlineStr">
        <is>
          <t>Sunil CR</t>
        </is>
      </c>
      <c r="Y279" s="30" t="inlineStr">
        <is>
          <t>Yes</t>
        </is>
      </c>
      <c r="Z279" s="30" t="n"/>
      <c r="AA279" s="30" t="inlineStr">
        <is>
          <t>Good finish</t>
        </is>
      </c>
      <c r="AB279" s="30" t="inlineStr">
        <is>
          <t>Yes</t>
        </is>
      </c>
      <c r="AC279" s="27" t="n"/>
      <c r="AD279" s="31" t="inlineStr">
        <is>
          <t>No</t>
        </is>
      </c>
      <c r="AE279" s="32">
        <f>IF(W279="","",IF(Z279="Yes","❌ Disc",IF(Y279="No","⚠ Missing",IF(AB279="Yes","✓ OK","⚠ Check"))))</f>
        <v/>
      </c>
      <c r="AF279" s="33" t="n"/>
      <c r="AG279" s="33" t="n"/>
      <c r="AH279" s="33" t="n"/>
      <c r="AI279" s="33" t="n"/>
      <c r="AJ279" s="33" t="n"/>
      <c r="AK279" s="33" t="n"/>
      <c r="AL279" s="27" t="n"/>
      <c r="AM279" s="34" t="n"/>
      <c r="AN279" s="35">
        <f>IF(AF279="","",IF(AI279="Yes","❌ Disc",IF(AH279="No","⚠ Missing",IF(AK279="Yes","✓ OK","⚠ Check"))))</f>
        <v/>
      </c>
      <c r="AO279" s="36" t="n"/>
      <c r="AP279" s="36" t="n"/>
      <c r="AQ279" s="36" t="n"/>
      <c r="AR279" s="36" t="n"/>
      <c r="AS279" s="36" t="n"/>
      <c r="AT279" s="36" t="n"/>
      <c r="AU279" s="27" t="n"/>
      <c r="AV279" s="37" t="n"/>
      <c r="AW279" s="38">
        <f>IF(AO279="","",IF(AR279="Yes","❌ Disc",IF(AQ279="No","⚠ Missing",IF(AT279="Yes","✓ OK","⚠ Check"))))</f>
        <v/>
      </c>
    </row>
    <row r="280" ht="18" customHeight="1" s="46">
      <c r="A280" s="39" t="n">
        <v>276</v>
      </c>
      <c r="B280" s="40" t="inlineStr">
        <is>
          <t>940-Camel</t>
        </is>
      </c>
      <c r="C280" s="41" t="inlineStr">
        <is>
          <t>Sarom Fabric - New Malfino - NM - 940-Camel</t>
        </is>
      </c>
      <c r="D280" s="39" t="inlineStr">
        <is>
          <t>Sarom</t>
        </is>
      </c>
      <c r="E280" s="43" t="n">
        <v>46125</v>
      </c>
      <c r="F280" s="26" t="inlineStr">
        <is>
          <t>Sunil CR</t>
        </is>
      </c>
      <c r="G280" s="26" t="inlineStr">
        <is>
          <t>Yes</t>
        </is>
      </c>
      <c r="H280" s="26" t="inlineStr">
        <is>
          <t>No</t>
        </is>
      </c>
      <c r="I280" s="26" t="inlineStr">
        <is>
          <t>Good finish</t>
        </is>
      </c>
      <c r="J280" s="26" t="inlineStr">
        <is>
          <t>Yes</t>
        </is>
      </c>
      <c r="K280" s="27" t="n"/>
      <c r="L280" s="28" t="inlineStr">
        <is>
          <t>No</t>
        </is>
      </c>
      <c r="M280" s="29">
        <f>IF(E280="","",IF(H280="Yes","❌ Disc",IF(G280="No","⚠ Missing",IF(J280="Yes","✓ OK","⚠ Check"))))</f>
        <v/>
      </c>
      <c r="N280" s="43" t="n">
        <v>46139</v>
      </c>
      <c r="O280" s="26" t="inlineStr">
        <is>
          <t>Sunil CR</t>
        </is>
      </c>
      <c r="P280" s="26" t="inlineStr">
        <is>
          <t>Yes</t>
        </is>
      </c>
      <c r="Q280" s="26" t="inlineStr">
        <is>
          <t>No</t>
        </is>
      </c>
      <c r="R280" s="26" t="inlineStr">
        <is>
          <t>Good finish</t>
        </is>
      </c>
      <c r="S280" s="26" t="inlineStr">
        <is>
          <t>Yes</t>
        </is>
      </c>
      <c r="T280" s="27" t="n"/>
      <c r="U280" s="28" t="inlineStr">
        <is>
          <t>No</t>
        </is>
      </c>
      <c r="V280" s="29">
        <f>IF(N280="","",IF(Q280="Yes","❌ Disc",IF(P280="No","⚠ Missing",IF(S280="Yes","✓ OK","⚠ Check"))))</f>
        <v/>
      </c>
      <c r="W280" s="65" t="n">
        <v>46248</v>
      </c>
      <c r="X280" s="30" t="inlineStr">
        <is>
          <t>Sunil CR</t>
        </is>
      </c>
      <c r="Y280" s="30" t="inlineStr">
        <is>
          <t>Yes</t>
        </is>
      </c>
      <c r="Z280" s="30" t="n"/>
      <c r="AA280" s="30" t="inlineStr">
        <is>
          <t>Good finish</t>
        </is>
      </c>
      <c r="AB280" s="30" t="inlineStr">
        <is>
          <t>Yes</t>
        </is>
      </c>
      <c r="AC280" s="27" t="n"/>
      <c r="AD280" s="31" t="inlineStr">
        <is>
          <t>No</t>
        </is>
      </c>
      <c r="AE280" s="32">
        <f>IF(W280="","",IF(Z280="Yes","❌ Disc",IF(Y280="No","⚠ Missing",IF(AB280="Yes","✓ OK","⚠ Check"))))</f>
        <v/>
      </c>
      <c r="AF280" s="33" t="n"/>
      <c r="AG280" s="33" t="n"/>
      <c r="AH280" s="33" t="n"/>
      <c r="AI280" s="33" t="n"/>
      <c r="AJ280" s="33" t="n"/>
      <c r="AK280" s="33" t="n"/>
      <c r="AL280" s="27" t="n"/>
      <c r="AM280" s="34" t="n"/>
      <c r="AN280" s="35">
        <f>IF(AF280="","",IF(AI280="Yes","❌ Disc",IF(AH280="No","⚠ Missing",IF(AK280="Yes","✓ OK","⚠ Check"))))</f>
        <v/>
      </c>
      <c r="AO280" s="36" t="n"/>
      <c r="AP280" s="36" t="n"/>
      <c r="AQ280" s="36" t="n"/>
      <c r="AR280" s="36" t="n"/>
      <c r="AS280" s="36" t="n"/>
      <c r="AT280" s="36" t="n"/>
      <c r="AU280" s="27" t="n"/>
      <c r="AV280" s="37" t="n"/>
      <c r="AW280" s="38">
        <f>IF(AO280="","",IF(AR280="Yes","❌ Disc",IF(AQ280="No","⚠ Missing",IF(AT280="Yes","✓ OK","⚠ Check"))))</f>
        <v/>
      </c>
    </row>
    <row r="281" ht="18" customHeight="1" s="46">
      <c r="A281" s="23" t="n">
        <v>277</v>
      </c>
      <c r="B281" s="24" t="inlineStr">
        <is>
          <t>941-Asphalt Grey</t>
        </is>
      </c>
      <c r="C281" s="25" t="inlineStr">
        <is>
          <t>Sarom Fabric - New Malfino - NM - 941-Asphalt Grey</t>
        </is>
      </c>
      <c r="D281" s="23" t="inlineStr">
        <is>
          <t>Sarom</t>
        </is>
      </c>
      <c r="E281" s="43" t="n">
        <v>46125</v>
      </c>
      <c r="F281" s="26" t="inlineStr">
        <is>
          <t>Sunil CR</t>
        </is>
      </c>
      <c r="G281" s="26" t="inlineStr">
        <is>
          <t>Yes</t>
        </is>
      </c>
      <c r="H281" s="26" t="inlineStr">
        <is>
          <t>No</t>
        </is>
      </c>
      <c r="I281" s="26" t="inlineStr">
        <is>
          <t>Good finish</t>
        </is>
      </c>
      <c r="J281" s="26" t="inlineStr">
        <is>
          <t>Yes</t>
        </is>
      </c>
      <c r="K281" s="27" t="n"/>
      <c r="L281" s="28" t="inlineStr">
        <is>
          <t>No</t>
        </is>
      </c>
      <c r="M281" s="29">
        <f>IF(E281="","",IF(H281="Yes","❌ Disc",IF(G281="No","⚠ Missing",IF(J281="Yes","✓ OK","⚠ Check"))))</f>
        <v/>
      </c>
      <c r="N281" s="43" t="n">
        <v>46139</v>
      </c>
      <c r="O281" s="26" t="inlineStr">
        <is>
          <t>Sunil CR</t>
        </is>
      </c>
      <c r="P281" s="26" t="inlineStr">
        <is>
          <t>Yes</t>
        </is>
      </c>
      <c r="Q281" s="26" t="inlineStr">
        <is>
          <t>No</t>
        </is>
      </c>
      <c r="R281" s="26" t="inlineStr">
        <is>
          <t>Good finish</t>
        </is>
      </c>
      <c r="S281" s="26" t="inlineStr">
        <is>
          <t>Yes</t>
        </is>
      </c>
      <c r="T281" s="27" t="n"/>
      <c r="U281" s="28" t="inlineStr">
        <is>
          <t>No</t>
        </is>
      </c>
      <c r="V281" s="29">
        <f>IF(N281="","",IF(Q281="Yes","❌ Disc",IF(P281="No","⚠ Missing",IF(S281="Yes","✓ OK","⚠ Check"))))</f>
        <v/>
      </c>
      <c r="W281" s="65" t="n">
        <v>46248</v>
      </c>
      <c r="X281" s="30" t="inlineStr">
        <is>
          <t>Sunil CR</t>
        </is>
      </c>
      <c r="Y281" s="30" t="inlineStr">
        <is>
          <t>Yes</t>
        </is>
      </c>
      <c r="Z281" s="30" t="n"/>
      <c r="AA281" s="30" t="inlineStr">
        <is>
          <t>Good finish</t>
        </is>
      </c>
      <c r="AB281" s="30" t="inlineStr">
        <is>
          <t>Yes</t>
        </is>
      </c>
      <c r="AC281" s="27" t="n"/>
      <c r="AD281" s="31" t="inlineStr">
        <is>
          <t>No</t>
        </is>
      </c>
      <c r="AE281" s="32">
        <f>IF(W281="","",IF(Z281="Yes","❌ Disc",IF(Y281="No","⚠ Missing",IF(AB281="Yes","✓ OK","⚠ Check"))))</f>
        <v/>
      </c>
      <c r="AF281" s="33" t="n"/>
      <c r="AG281" s="33" t="n"/>
      <c r="AH281" s="33" t="n"/>
      <c r="AI281" s="33" t="n"/>
      <c r="AJ281" s="33" t="n"/>
      <c r="AK281" s="33" t="n"/>
      <c r="AL281" s="27" t="n"/>
      <c r="AM281" s="34" t="n"/>
      <c r="AN281" s="35">
        <f>IF(AF281="","",IF(AI281="Yes","❌ Disc",IF(AH281="No","⚠ Missing",IF(AK281="Yes","✓ OK","⚠ Check"))))</f>
        <v/>
      </c>
      <c r="AO281" s="36" t="n"/>
      <c r="AP281" s="36" t="n"/>
      <c r="AQ281" s="36" t="n"/>
      <c r="AR281" s="36" t="n"/>
      <c r="AS281" s="36" t="n"/>
      <c r="AT281" s="36" t="n"/>
      <c r="AU281" s="27" t="n"/>
      <c r="AV281" s="37" t="n"/>
      <c r="AW281" s="38">
        <f>IF(AO281="","",IF(AR281="Yes","❌ Disc",IF(AQ281="No","⚠ Missing",IF(AT281="Yes","✓ OK","⚠ Check"))))</f>
        <v/>
      </c>
    </row>
    <row r="282" ht="18" customHeight="1" s="46">
      <c r="A282" s="39" t="n">
        <v>278</v>
      </c>
      <c r="B282" s="40" t="inlineStr">
        <is>
          <t>942-Light Tan</t>
        </is>
      </c>
      <c r="C282" s="41" t="inlineStr">
        <is>
          <t>Sarom Fabric - New Malfino - NM - 942-Light Tan</t>
        </is>
      </c>
      <c r="D282" s="39" t="inlineStr">
        <is>
          <t>Sarom</t>
        </is>
      </c>
      <c r="E282" s="43" t="n">
        <v>46125</v>
      </c>
      <c r="F282" s="26" t="inlineStr">
        <is>
          <t>Sunil CR</t>
        </is>
      </c>
      <c r="G282" s="26" t="inlineStr">
        <is>
          <t>Yes</t>
        </is>
      </c>
      <c r="H282" s="26" t="inlineStr">
        <is>
          <t>No</t>
        </is>
      </c>
      <c r="I282" s="26" t="inlineStr">
        <is>
          <t>Good finish</t>
        </is>
      </c>
      <c r="J282" s="26" t="inlineStr">
        <is>
          <t>Yes</t>
        </is>
      </c>
      <c r="K282" s="27" t="n"/>
      <c r="L282" s="28" t="inlineStr">
        <is>
          <t>No</t>
        </is>
      </c>
      <c r="M282" s="29">
        <f>IF(E282="","",IF(H282="Yes","❌ Disc",IF(G282="No","⚠ Missing",IF(J282="Yes","✓ OK","⚠ Check"))))</f>
        <v/>
      </c>
      <c r="N282" s="43" t="n">
        <v>46139</v>
      </c>
      <c r="O282" s="26" t="inlineStr">
        <is>
          <t>Sunil CR</t>
        </is>
      </c>
      <c r="P282" s="26" t="inlineStr">
        <is>
          <t>Yes</t>
        </is>
      </c>
      <c r="Q282" s="26" t="inlineStr">
        <is>
          <t>No</t>
        </is>
      </c>
      <c r="R282" s="26" t="inlineStr">
        <is>
          <t>Good finish</t>
        </is>
      </c>
      <c r="S282" s="26" t="inlineStr">
        <is>
          <t>Yes</t>
        </is>
      </c>
      <c r="T282" s="27" t="n"/>
      <c r="U282" s="28" t="inlineStr">
        <is>
          <t>No</t>
        </is>
      </c>
      <c r="V282" s="29">
        <f>IF(N282="","",IF(Q282="Yes","❌ Disc",IF(P282="No","⚠ Missing",IF(S282="Yes","✓ OK","⚠ Check"))))</f>
        <v/>
      </c>
      <c r="W282" s="65" t="n">
        <v>46248</v>
      </c>
      <c r="X282" s="30" t="inlineStr">
        <is>
          <t>Sunil CR</t>
        </is>
      </c>
      <c r="Y282" s="30" t="inlineStr">
        <is>
          <t>Yes</t>
        </is>
      </c>
      <c r="Z282" s="30" t="n"/>
      <c r="AA282" s="30" t="inlineStr">
        <is>
          <t>Good finish</t>
        </is>
      </c>
      <c r="AB282" s="30" t="inlineStr">
        <is>
          <t>Yes</t>
        </is>
      </c>
      <c r="AC282" s="27" t="n"/>
      <c r="AD282" s="31" t="inlineStr">
        <is>
          <t>No</t>
        </is>
      </c>
      <c r="AE282" s="32">
        <f>IF(W282="","",IF(Z282="Yes","❌ Disc",IF(Y282="No","⚠ Missing",IF(AB282="Yes","✓ OK","⚠ Check"))))</f>
        <v/>
      </c>
      <c r="AF282" s="33" t="n"/>
      <c r="AG282" s="33" t="n"/>
      <c r="AH282" s="33" t="n"/>
      <c r="AI282" s="33" t="n"/>
      <c r="AJ282" s="33" t="n"/>
      <c r="AK282" s="33" t="n"/>
      <c r="AL282" s="27" t="n"/>
      <c r="AM282" s="34" t="n"/>
      <c r="AN282" s="35">
        <f>IF(AF282="","",IF(AI282="Yes","❌ Disc",IF(AH282="No","⚠ Missing",IF(AK282="Yes","✓ OK","⚠ Check"))))</f>
        <v/>
      </c>
      <c r="AO282" s="36" t="n"/>
      <c r="AP282" s="36" t="n"/>
      <c r="AQ282" s="36" t="n"/>
      <c r="AR282" s="36" t="n"/>
      <c r="AS282" s="36" t="n"/>
      <c r="AT282" s="36" t="n"/>
      <c r="AU282" s="27" t="n"/>
      <c r="AV282" s="37" t="n"/>
      <c r="AW282" s="38">
        <f>IF(AO282="","",IF(AR282="Yes","❌ Disc",IF(AQ282="No","⚠ Missing",IF(AT282="Yes","✓ OK","⚠ Check"))))</f>
        <v/>
      </c>
    </row>
    <row r="283" ht="18" customHeight="1" s="46">
      <c r="A283" s="23" t="n">
        <v>279</v>
      </c>
      <c r="B283" s="24" t="inlineStr">
        <is>
          <t>943-Powder Blue</t>
        </is>
      </c>
      <c r="C283" s="25" t="inlineStr">
        <is>
          <t>Sarom Fabric - New Malfino - NM - 943-Powder Blue</t>
        </is>
      </c>
      <c r="D283" s="23" t="inlineStr">
        <is>
          <t>Sarom</t>
        </is>
      </c>
      <c r="E283" s="43" t="n">
        <v>46125</v>
      </c>
      <c r="F283" s="26" t="inlineStr">
        <is>
          <t>Sunil CR</t>
        </is>
      </c>
      <c r="G283" s="26" t="inlineStr">
        <is>
          <t>Yes</t>
        </is>
      </c>
      <c r="H283" s="26" t="inlineStr">
        <is>
          <t>No</t>
        </is>
      </c>
      <c r="I283" s="26" t="inlineStr">
        <is>
          <t>Good finish</t>
        </is>
      </c>
      <c r="J283" s="26" t="inlineStr">
        <is>
          <t>Yes</t>
        </is>
      </c>
      <c r="K283" s="27" t="n"/>
      <c r="L283" s="28" t="inlineStr">
        <is>
          <t>No</t>
        </is>
      </c>
      <c r="M283" s="29">
        <f>IF(E283="","",IF(H283="Yes","❌ Disc",IF(G283="No","⚠ Missing",IF(J283="Yes","✓ OK","⚠ Check"))))</f>
        <v/>
      </c>
      <c r="N283" s="43" t="n">
        <v>46139</v>
      </c>
      <c r="O283" s="26" t="inlineStr">
        <is>
          <t>Sunil CR</t>
        </is>
      </c>
      <c r="P283" s="26" t="inlineStr">
        <is>
          <t>Yes</t>
        </is>
      </c>
      <c r="Q283" s="26" t="inlineStr">
        <is>
          <t>No</t>
        </is>
      </c>
      <c r="R283" s="26" t="inlineStr">
        <is>
          <t>Good finish</t>
        </is>
      </c>
      <c r="S283" s="26" t="inlineStr">
        <is>
          <t>Yes</t>
        </is>
      </c>
      <c r="T283" s="27" t="n"/>
      <c r="U283" s="28" t="inlineStr">
        <is>
          <t>No</t>
        </is>
      </c>
      <c r="V283" s="29">
        <f>IF(N283="","",IF(Q283="Yes","❌ Disc",IF(P283="No","⚠ Missing",IF(S283="Yes","✓ OK","⚠ Check"))))</f>
        <v/>
      </c>
      <c r="W283" s="65" t="n">
        <v>46248</v>
      </c>
      <c r="X283" s="30" t="inlineStr">
        <is>
          <t>Sunil CR</t>
        </is>
      </c>
      <c r="Y283" s="30" t="inlineStr">
        <is>
          <t>Yes</t>
        </is>
      </c>
      <c r="Z283" s="30" t="n"/>
      <c r="AA283" s="30" t="inlineStr">
        <is>
          <t>Good finish</t>
        </is>
      </c>
      <c r="AB283" s="30" t="inlineStr">
        <is>
          <t>Yes</t>
        </is>
      </c>
      <c r="AC283" s="27" t="n"/>
      <c r="AD283" s="31" t="inlineStr">
        <is>
          <t>No</t>
        </is>
      </c>
      <c r="AE283" s="32">
        <f>IF(W283="","",IF(Z283="Yes","❌ Disc",IF(Y283="No","⚠ Missing",IF(AB283="Yes","✓ OK","⚠ Check"))))</f>
        <v/>
      </c>
      <c r="AF283" s="33" t="n"/>
      <c r="AG283" s="33" t="n"/>
      <c r="AH283" s="33" t="n"/>
      <c r="AI283" s="33" t="n"/>
      <c r="AJ283" s="33" t="n"/>
      <c r="AK283" s="33" t="n"/>
      <c r="AL283" s="27" t="n"/>
      <c r="AM283" s="34" t="n"/>
      <c r="AN283" s="35">
        <f>IF(AF283="","",IF(AI283="Yes","❌ Disc",IF(AH283="No","⚠ Missing",IF(AK283="Yes","✓ OK","⚠ Check"))))</f>
        <v/>
      </c>
      <c r="AO283" s="36" t="n"/>
      <c r="AP283" s="36" t="n"/>
      <c r="AQ283" s="36" t="n"/>
      <c r="AR283" s="36" t="n"/>
      <c r="AS283" s="36" t="n"/>
      <c r="AT283" s="36" t="n"/>
      <c r="AU283" s="27" t="n"/>
      <c r="AV283" s="37" t="n"/>
      <c r="AW283" s="38">
        <f>IF(AO283="","",IF(AR283="Yes","❌ Disc",IF(AQ283="No","⚠ Missing",IF(AT283="Yes","✓ OK","⚠ Check"))))</f>
        <v/>
      </c>
    </row>
    <row r="284" ht="18" customHeight="1" s="46">
      <c r="A284" s="39" t="n">
        <v>280</v>
      </c>
      <c r="B284" s="40" t="inlineStr">
        <is>
          <t>944-Steel Blue</t>
        </is>
      </c>
      <c r="C284" s="41" t="inlineStr">
        <is>
          <t>Sarom Fabric - New Malfino - NM - 944-Steel Blue</t>
        </is>
      </c>
      <c r="D284" s="39" t="inlineStr">
        <is>
          <t>Sarom</t>
        </is>
      </c>
      <c r="E284" s="43" t="n">
        <v>46125</v>
      </c>
      <c r="F284" s="26" t="inlineStr">
        <is>
          <t>Sunil CR</t>
        </is>
      </c>
      <c r="G284" s="26" t="inlineStr">
        <is>
          <t>Yes</t>
        </is>
      </c>
      <c r="H284" s="26" t="inlineStr">
        <is>
          <t>No</t>
        </is>
      </c>
      <c r="I284" s="26" t="inlineStr">
        <is>
          <t>Good finish</t>
        </is>
      </c>
      <c r="J284" s="26" t="inlineStr">
        <is>
          <t>Yes</t>
        </is>
      </c>
      <c r="K284" s="27" t="n"/>
      <c r="L284" s="28" t="inlineStr">
        <is>
          <t>No</t>
        </is>
      </c>
      <c r="M284" s="29">
        <f>IF(E284="","",IF(H284="Yes","❌ Disc",IF(G284="No","⚠ Missing",IF(J284="Yes","✓ OK","⚠ Check"))))</f>
        <v/>
      </c>
      <c r="N284" s="43" t="n">
        <v>46139</v>
      </c>
      <c r="O284" s="26" t="inlineStr">
        <is>
          <t>Sunil CR</t>
        </is>
      </c>
      <c r="P284" s="26" t="inlineStr">
        <is>
          <t>Yes</t>
        </is>
      </c>
      <c r="Q284" s="26" t="inlineStr">
        <is>
          <t>No</t>
        </is>
      </c>
      <c r="R284" s="26" t="inlineStr">
        <is>
          <t>Good finish</t>
        </is>
      </c>
      <c r="S284" s="26" t="inlineStr">
        <is>
          <t>Yes</t>
        </is>
      </c>
      <c r="T284" s="27" t="n"/>
      <c r="U284" s="28" t="inlineStr">
        <is>
          <t>No</t>
        </is>
      </c>
      <c r="V284" s="29">
        <f>IF(N284="","",IF(Q284="Yes","❌ Disc",IF(P284="No","⚠ Missing",IF(S284="Yes","✓ OK","⚠ Check"))))</f>
        <v/>
      </c>
      <c r="W284" s="65" t="n">
        <v>46248</v>
      </c>
      <c r="X284" s="30" t="inlineStr">
        <is>
          <t>Sunil CR</t>
        </is>
      </c>
      <c r="Y284" s="30" t="inlineStr">
        <is>
          <t>Yes</t>
        </is>
      </c>
      <c r="Z284" s="30" t="n"/>
      <c r="AA284" s="30" t="inlineStr">
        <is>
          <t>Good finish</t>
        </is>
      </c>
      <c r="AB284" s="30" t="inlineStr">
        <is>
          <t>Yes</t>
        </is>
      </c>
      <c r="AC284" s="27" t="n"/>
      <c r="AD284" s="31" t="inlineStr">
        <is>
          <t>No</t>
        </is>
      </c>
      <c r="AE284" s="32">
        <f>IF(W284="","",IF(Z284="Yes","❌ Disc",IF(Y284="No","⚠ Missing",IF(AB284="Yes","✓ OK","⚠ Check"))))</f>
        <v/>
      </c>
      <c r="AF284" s="33" t="n"/>
      <c r="AG284" s="33" t="n"/>
      <c r="AH284" s="33" t="n"/>
      <c r="AI284" s="33" t="n"/>
      <c r="AJ284" s="33" t="n"/>
      <c r="AK284" s="33" t="n"/>
      <c r="AL284" s="27" t="n"/>
      <c r="AM284" s="34" t="n"/>
      <c r="AN284" s="35">
        <f>IF(AF284="","",IF(AI284="Yes","❌ Disc",IF(AH284="No","⚠ Missing",IF(AK284="Yes","✓ OK","⚠ Check"))))</f>
        <v/>
      </c>
      <c r="AO284" s="36" t="n"/>
      <c r="AP284" s="36" t="n"/>
      <c r="AQ284" s="36" t="n"/>
      <c r="AR284" s="36" t="n"/>
      <c r="AS284" s="36" t="n"/>
      <c r="AT284" s="36" t="n"/>
      <c r="AU284" s="27" t="n"/>
      <c r="AV284" s="37" t="n"/>
      <c r="AW284" s="38">
        <f>IF(AO284="","",IF(AR284="Yes","❌ Disc",IF(AQ284="No","⚠ Missing",IF(AT284="Yes","✓ OK","⚠ Check"))))</f>
        <v/>
      </c>
    </row>
    <row r="285" ht="18" customHeight="1" s="46">
      <c r="A285" s="23" t="n">
        <v>281</v>
      </c>
      <c r="B285" s="24" t="inlineStr">
        <is>
          <t>945-Midnight Blue</t>
        </is>
      </c>
      <c r="C285" s="25" t="inlineStr">
        <is>
          <t>Sarom Fabric - New Malfino - NM - 945-Midnight Blue</t>
        </is>
      </c>
      <c r="D285" s="23" t="inlineStr">
        <is>
          <t>Sarom</t>
        </is>
      </c>
      <c r="E285" s="43" t="n">
        <v>46125</v>
      </c>
      <c r="F285" s="26" t="inlineStr">
        <is>
          <t>Sunil CR</t>
        </is>
      </c>
      <c r="G285" s="26" t="inlineStr">
        <is>
          <t>Yes</t>
        </is>
      </c>
      <c r="H285" s="26" t="inlineStr">
        <is>
          <t>No</t>
        </is>
      </c>
      <c r="I285" s="26" t="inlineStr">
        <is>
          <t>Good finish</t>
        </is>
      </c>
      <c r="J285" s="26" t="inlineStr">
        <is>
          <t>Yes</t>
        </is>
      </c>
      <c r="K285" s="27" t="n"/>
      <c r="L285" s="28" t="inlineStr">
        <is>
          <t>No</t>
        </is>
      </c>
      <c r="M285" s="29">
        <f>IF(E285="","",IF(H285="Yes","❌ Disc",IF(G285="No","⚠ Missing",IF(J285="Yes","✓ OK","⚠ Check"))))</f>
        <v/>
      </c>
      <c r="N285" s="43" t="n">
        <v>46139</v>
      </c>
      <c r="O285" s="26" t="inlineStr">
        <is>
          <t>Sunil CR</t>
        </is>
      </c>
      <c r="P285" s="26" t="inlineStr">
        <is>
          <t>Yes</t>
        </is>
      </c>
      <c r="Q285" s="26" t="inlineStr">
        <is>
          <t>No</t>
        </is>
      </c>
      <c r="R285" s="26" t="inlineStr">
        <is>
          <t>Good finish</t>
        </is>
      </c>
      <c r="S285" s="26" t="inlineStr">
        <is>
          <t>Yes</t>
        </is>
      </c>
      <c r="T285" s="27" t="n"/>
      <c r="U285" s="28" t="inlineStr">
        <is>
          <t>No</t>
        </is>
      </c>
      <c r="V285" s="29">
        <f>IF(N285="","",IF(Q285="Yes","❌ Disc",IF(P285="No","⚠ Missing",IF(S285="Yes","✓ OK","⚠ Check"))))</f>
        <v/>
      </c>
      <c r="W285" s="65" t="n">
        <v>46248</v>
      </c>
      <c r="X285" s="30" t="inlineStr">
        <is>
          <t>Sunil CR</t>
        </is>
      </c>
      <c r="Y285" s="30" t="inlineStr">
        <is>
          <t>Yes</t>
        </is>
      </c>
      <c r="Z285" s="30" t="n"/>
      <c r="AA285" s="30" t="inlineStr">
        <is>
          <t>Good finish</t>
        </is>
      </c>
      <c r="AB285" s="30" t="inlineStr">
        <is>
          <t>Yes</t>
        </is>
      </c>
      <c r="AC285" s="27" t="n"/>
      <c r="AD285" s="31" t="inlineStr">
        <is>
          <t>No</t>
        </is>
      </c>
      <c r="AE285" s="32">
        <f>IF(W285="","",IF(Z285="Yes","❌ Disc",IF(Y285="No","⚠ Missing",IF(AB285="Yes","✓ OK","⚠ Check"))))</f>
        <v/>
      </c>
      <c r="AF285" s="33" t="n"/>
      <c r="AG285" s="33" t="n"/>
      <c r="AH285" s="33" t="n"/>
      <c r="AI285" s="33" t="n"/>
      <c r="AJ285" s="33" t="n"/>
      <c r="AK285" s="33" t="n"/>
      <c r="AL285" s="27" t="n"/>
      <c r="AM285" s="34" t="n"/>
      <c r="AN285" s="35">
        <f>IF(AF285="","",IF(AI285="Yes","❌ Disc",IF(AH285="No","⚠ Missing",IF(AK285="Yes","✓ OK","⚠ Check"))))</f>
        <v/>
      </c>
      <c r="AO285" s="36" t="n"/>
      <c r="AP285" s="36" t="n"/>
      <c r="AQ285" s="36" t="n"/>
      <c r="AR285" s="36" t="n"/>
      <c r="AS285" s="36" t="n"/>
      <c r="AT285" s="36" t="n"/>
      <c r="AU285" s="27" t="n"/>
      <c r="AV285" s="37" t="n"/>
      <c r="AW285" s="38">
        <f>IF(AO285="","",IF(AR285="Yes","❌ Disc",IF(AQ285="No","⚠ Missing",IF(AT285="Yes","✓ OK","⚠ Check"))))</f>
        <v/>
      </c>
    </row>
    <row r="286" ht="18" customHeight="1" s="46">
      <c r="A286" s="39" t="n">
        <v>282</v>
      </c>
      <c r="B286" s="40" t="inlineStr">
        <is>
          <t>946-Russian Green</t>
        </is>
      </c>
      <c r="C286" s="41" t="inlineStr">
        <is>
          <t>Sarom Fabric - New Malfino - NM - 946-Russian Green</t>
        </is>
      </c>
      <c r="D286" s="39" t="inlineStr">
        <is>
          <t>Sarom</t>
        </is>
      </c>
      <c r="E286" s="43" t="n">
        <v>46125</v>
      </c>
      <c r="F286" s="26" t="inlineStr">
        <is>
          <t>Sunil CR</t>
        </is>
      </c>
      <c r="G286" s="26" t="inlineStr">
        <is>
          <t>Yes</t>
        </is>
      </c>
      <c r="H286" s="26" t="inlineStr">
        <is>
          <t>No</t>
        </is>
      </c>
      <c r="I286" s="26" t="inlineStr">
        <is>
          <t>Good finish</t>
        </is>
      </c>
      <c r="J286" s="26" t="inlineStr">
        <is>
          <t>Yes</t>
        </is>
      </c>
      <c r="K286" s="27" t="n"/>
      <c r="L286" s="28" t="inlineStr">
        <is>
          <t>No</t>
        </is>
      </c>
      <c r="M286" s="29">
        <f>IF(E286="","",IF(H286="Yes","❌ Disc",IF(G286="No","⚠ Missing",IF(J286="Yes","✓ OK","⚠ Check"))))</f>
        <v/>
      </c>
      <c r="N286" s="43" t="n">
        <v>46139</v>
      </c>
      <c r="O286" s="26" t="inlineStr">
        <is>
          <t>Sunil CR</t>
        </is>
      </c>
      <c r="P286" s="26" t="inlineStr">
        <is>
          <t>Yes</t>
        </is>
      </c>
      <c r="Q286" s="26" t="inlineStr">
        <is>
          <t>No</t>
        </is>
      </c>
      <c r="R286" s="26" t="inlineStr">
        <is>
          <t>Good finish</t>
        </is>
      </c>
      <c r="S286" s="26" t="inlineStr">
        <is>
          <t>Yes</t>
        </is>
      </c>
      <c r="T286" s="27" t="n"/>
      <c r="U286" s="28" t="inlineStr">
        <is>
          <t>No</t>
        </is>
      </c>
      <c r="V286" s="29">
        <f>IF(N286="","",IF(Q286="Yes","❌ Disc",IF(P286="No","⚠ Missing",IF(S286="Yes","✓ OK","⚠ Check"))))</f>
        <v/>
      </c>
      <c r="W286" s="65" t="n">
        <v>46248</v>
      </c>
      <c r="X286" s="30" t="inlineStr">
        <is>
          <t>Sunil CR</t>
        </is>
      </c>
      <c r="Y286" s="30" t="inlineStr">
        <is>
          <t>Yes</t>
        </is>
      </c>
      <c r="Z286" s="30" t="n"/>
      <c r="AA286" s="30" t="inlineStr">
        <is>
          <t>Good finish</t>
        </is>
      </c>
      <c r="AB286" s="30" t="inlineStr">
        <is>
          <t>Yes</t>
        </is>
      </c>
      <c r="AC286" s="27" t="n"/>
      <c r="AD286" s="31" t="inlineStr">
        <is>
          <t>No</t>
        </is>
      </c>
      <c r="AE286" s="32">
        <f>IF(W286="","",IF(Z286="Yes","❌ Disc",IF(Y286="No","⚠ Missing",IF(AB286="Yes","✓ OK","⚠ Check"))))</f>
        <v/>
      </c>
      <c r="AF286" s="33" t="n"/>
      <c r="AG286" s="33" t="n"/>
      <c r="AH286" s="33" t="n"/>
      <c r="AI286" s="33" t="n"/>
      <c r="AJ286" s="33" t="n"/>
      <c r="AK286" s="33" t="n"/>
      <c r="AL286" s="27" t="n"/>
      <c r="AM286" s="34" t="n"/>
      <c r="AN286" s="35">
        <f>IF(AF286="","",IF(AI286="Yes","❌ Disc",IF(AH286="No","⚠ Missing",IF(AK286="Yes","✓ OK","⚠ Check"))))</f>
        <v/>
      </c>
      <c r="AO286" s="36" t="n"/>
      <c r="AP286" s="36" t="n"/>
      <c r="AQ286" s="36" t="n"/>
      <c r="AR286" s="36" t="n"/>
      <c r="AS286" s="36" t="n"/>
      <c r="AT286" s="36" t="n"/>
      <c r="AU286" s="27" t="n"/>
      <c r="AV286" s="37" t="n"/>
      <c r="AW286" s="38">
        <f>IF(AO286="","",IF(AR286="Yes","❌ Disc",IF(AQ286="No","⚠ Missing",IF(AT286="Yes","✓ OK","⚠ Check"))))</f>
        <v/>
      </c>
    </row>
    <row r="287" ht="18" customHeight="1" s="46">
      <c r="A287" s="23" t="n">
        <v>283</v>
      </c>
      <c r="B287" s="24" t="inlineStr">
        <is>
          <t>947-T.green</t>
        </is>
      </c>
      <c r="C287" s="25" t="inlineStr">
        <is>
          <t>Sarom Fabric - New Malfino - NM - 947-T.green</t>
        </is>
      </c>
      <c r="D287" s="23" t="inlineStr">
        <is>
          <t>Sarom</t>
        </is>
      </c>
      <c r="E287" s="43" t="n">
        <v>46125</v>
      </c>
      <c r="F287" s="26" t="inlineStr">
        <is>
          <t>Sunil CR</t>
        </is>
      </c>
      <c r="G287" s="26" t="inlineStr">
        <is>
          <t>Yes</t>
        </is>
      </c>
      <c r="H287" s="26" t="inlineStr">
        <is>
          <t>No</t>
        </is>
      </c>
      <c r="I287" s="26" t="inlineStr">
        <is>
          <t>Good finish</t>
        </is>
      </c>
      <c r="J287" s="26" t="inlineStr">
        <is>
          <t>Yes</t>
        </is>
      </c>
      <c r="K287" s="27" t="n"/>
      <c r="L287" s="28" t="inlineStr">
        <is>
          <t>No</t>
        </is>
      </c>
      <c r="M287" s="29">
        <f>IF(E287="","",IF(H287="Yes","❌ Disc",IF(G287="No","⚠ Missing",IF(J287="Yes","✓ OK","⚠ Check"))))</f>
        <v/>
      </c>
      <c r="N287" s="43" t="n">
        <v>46139</v>
      </c>
      <c r="O287" s="26" t="inlineStr">
        <is>
          <t>Sunil CR</t>
        </is>
      </c>
      <c r="P287" s="26" t="inlineStr">
        <is>
          <t>Yes</t>
        </is>
      </c>
      <c r="Q287" s="26" t="inlineStr">
        <is>
          <t>No</t>
        </is>
      </c>
      <c r="R287" s="26" t="inlineStr">
        <is>
          <t>Good finish</t>
        </is>
      </c>
      <c r="S287" s="26" t="inlineStr">
        <is>
          <t>Yes</t>
        </is>
      </c>
      <c r="T287" s="27" t="n"/>
      <c r="U287" s="28" t="inlineStr">
        <is>
          <t>No</t>
        </is>
      </c>
      <c r="V287" s="29">
        <f>IF(N287="","",IF(Q287="Yes","❌ Disc",IF(P287="No","⚠ Missing",IF(S287="Yes","✓ OK","⚠ Check"))))</f>
        <v/>
      </c>
      <c r="W287" s="65" t="n">
        <v>46248</v>
      </c>
      <c r="X287" s="30" t="inlineStr">
        <is>
          <t>Sunil CR</t>
        </is>
      </c>
      <c r="Y287" s="30" t="inlineStr">
        <is>
          <t>Yes</t>
        </is>
      </c>
      <c r="Z287" s="30" t="n"/>
      <c r="AA287" s="30" t="inlineStr">
        <is>
          <t>Good finish</t>
        </is>
      </c>
      <c r="AB287" s="30" t="inlineStr">
        <is>
          <t>Yes</t>
        </is>
      </c>
      <c r="AC287" s="27" t="n"/>
      <c r="AD287" s="31" t="inlineStr">
        <is>
          <t>No</t>
        </is>
      </c>
      <c r="AE287" s="32">
        <f>IF(W287="","",IF(Z287="Yes","❌ Disc",IF(Y287="No","⚠ Missing",IF(AB287="Yes","✓ OK","⚠ Check"))))</f>
        <v/>
      </c>
      <c r="AF287" s="33" t="n"/>
      <c r="AG287" s="33" t="n"/>
      <c r="AH287" s="33" t="n"/>
      <c r="AI287" s="33" t="n"/>
      <c r="AJ287" s="33" t="n"/>
      <c r="AK287" s="33" t="n"/>
      <c r="AL287" s="27" t="n"/>
      <c r="AM287" s="34" t="n"/>
      <c r="AN287" s="35">
        <f>IF(AF287="","",IF(AI287="Yes","❌ Disc",IF(AH287="No","⚠ Missing",IF(AK287="Yes","✓ OK","⚠ Check"))))</f>
        <v/>
      </c>
      <c r="AO287" s="36" t="n"/>
      <c r="AP287" s="36" t="n"/>
      <c r="AQ287" s="36" t="n"/>
      <c r="AR287" s="36" t="n"/>
      <c r="AS287" s="36" t="n"/>
      <c r="AT287" s="36" t="n"/>
      <c r="AU287" s="27" t="n"/>
      <c r="AV287" s="37" t="n"/>
      <c r="AW287" s="38">
        <f>IF(AO287="","",IF(AR287="Yes","❌ Disc",IF(AQ287="No","⚠ Missing",IF(AT287="Yes","✓ OK","⚠ Check"))))</f>
        <v/>
      </c>
    </row>
    <row r="288" ht="18" customHeight="1" s="46">
      <c r="A288" s="39" t="n">
        <v>284</v>
      </c>
      <c r="B288" s="40" t="inlineStr">
        <is>
          <t>948-Melon Orange</t>
        </is>
      </c>
      <c r="C288" s="41" t="inlineStr">
        <is>
          <t>Sarom Fabric - New Malfino - NM - 948-Melon Orange</t>
        </is>
      </c>
      <c r="D288" s="39" t="inlineStr">
        <is>
          <t>Sarom</t>
        </is>
      </c>
      <c r="E288" s="43" t="n">
        <v>46125</v>
      </c>
      <c r="F288" s="26" t="inlineStr">
        <is>
          <t>Sunil CR</t>
        </is>
      </c>
      <c r="G288" s="26" t="inlineStr">
        <is>
          <t>Yes</t>
        </is>
      </c>
      <c r="H288" s="26" t="inlineStr">
        <is>
          <t>No</t>
        </is>
      </c>
      <c r="I288" s="26" t="inlineStr">
        <is>
          <t>Good finish</t>
        </is>
      </c>
      <c r="J288" s="26" t="inlineStr">
        <is>
          <t>Yes</t>
        </is>
      </c>
      <c r="K288" s="27" t="n"/>
      <c r="L288" s="28" t="inlineStr">
        <is>
          <t>No</t>
        </is>
      </c>
      <c r="M288" s="29">
        <f>IF(E288="","",IF(H288="Yes","❌ Disc",IF(G288="No","⚠ Missing",IF(J288="Yes","✓ OK","⚠ Check"))))</f>
        <v/>
      </c>
      <c r="N288" s="43" t="n">
        <v>46139</v>
      </c>
      <c r="O288" s="26" t="inlineStr">
        <is>
          <t>Sunil CR</t>
        </is>
      </c>
      <c r="P288" s="26" t="inlineStr">
        <is>
          <t>Yes</t>
        </is>
      </c>
      <c r="Q288" s="26" t="inlineStr">
        <is>
          <t>No</t>
        </is>
      </c>
      <c r="R288" s="26" t="inlineStr">
        <is>
          <t>Good finish</t>
        </is>
      </c>
      <c r="S288" s="26" t="inlineStr">
        <is>
          <t>Yes</t>
        </is>
      </c>
      <c r="T288" s="27" t="n"/>
      <c r="U288" s="28" t="inlineStr">
        <is>
          <t>No</t>
        </is>
      </c>
      <c r="V288" s="29">
        <f>IF(N288="","",IF(Q288="Yes","❌ Disc",IF(P288="No","⚠ Missing",IF(S288="Yes","✓ OK","⚠ Check"))))</f>
        <v/>
      </c>
      <c r="W288" s="65" t="n">
        <v>46248</v>
      </c>
      <c r="X288" s="30" t="inlineStr">
        <is>
          <t>Sunil CR</t>
        </is>
      </c>
      <c r="Y288" s="30" t="inlineStr">
        <is>
          <t>Yes</t>
        </is>
      </c>
      <c r="Z288" s="30" t="n"/>
      <c r="AA288" s="30" t="inlineStr">
        <is>
          <t>Good finish</t>
        </is>
      </c>
      <c r="AB288" s="30" t="inlineStr">
        <is>
          <t>Yes</t>
        </is>
      </c>
      <c r="AC288" s="27" t="n"/>
      <c r="AD288" s="31" t="inlineStr">
        <is>
          <t>No</t>
        </is>
      </c>
      <c r="AE288" s="32">
        <f>IF(W288="","",IF(Z288="Yes","❌ Disc",IF(Y288="No","⚠ Missing",IF(AB288="Yes","✓ OK","⚠ Check"))))</f>
        <v/>
      </c>
      <c r="AF288" s="33" t="n"/>
      <c r="AG288" s="33" t="n"/>
      <c r="AH288" s="33" t="n"/>
      <c r="AI288" s="33" t="n"/>
      <c r="AJ288" s="33" t="n"/>
      <c r="AK288" s="33" t="n"/>
      <c r="AL288" s="27" t="n"/>
      <c r="AM288" s="34" t="n"/>
      <c r="AN288" s="35">
        <f>IF(AF288="","",IF(AI288="Yes","❌ Disc",IF(AH288="No","⚠ Missing",IF(AK288="Yes","✓ OK","⚠ Check"))))</f>
        <v/>
      </c>
      <c r="AO288" s="36" t="n"/>
      <c r="AP288" s="36" t="n"/>
      <c r="AQ288" s="36" t="n"/>
      <c r="AR288" s="36" t="n"/>
      <c r="AS288" s="36" t="n"/>
      <c r="AT288" s="36" t="n"/>
      <c r="AU288" s="27" t="n"/>
      <c r="AV288" s="37" t="n"/>
      <c r="AW288" s="38">
        <f>IF(AO288="","",IF(AR288="Yes","❌ Disc",IF(AQ288="No","⚠ Missing",IF(AT288="Yes","✓ OK","⚠ Check"))))</f>
        <v/>
      </c>
    </row>
    <row r="289" ht="18" customHeight="1" s="46">
      <c r="A289" s="23" t="n">
        <v>285</v>
      </c>
      <c r="B289" s="24" t="inlineStr">
        <is>
          <t>949-Papaya Orange</t>
        </is>
      </c>
      <c r="C289" s="25" t="inlineStr">
        <is>
          <t>Sarom Fabric - New Malfino - NM - 949-Papaya Orange</t>
        </is>
      </c>
      <c r="D289" s="23" t="inlineStr">
        <is>
          <t>Sarom</t>
        </is>
      </c>
      <c r="E289" s="43" t="n">
        <v>46125</v>
      </c>
      <c r="F289" s="26" t="inlineStr">
        <is>
          <t>Sunil CR</t>
        </is>
      </c>
      <c r="G289" s="26" t="inlineStr">
        <is>
          <t>Yes</t>
        </is>
      </c>
      <c r="H289" s="26" t="inlineStr">
        <is>
          <t>No</t>
        </is>
      </c>
      <c r="I289" s="26" t="inlineStr">
        <is>
          <t>Good finish</t>
        </is>
      </c>
      <c r="J289" s="26" t="inlineStr">
        <is>
          <t>Yes</t>
        </is>
      </c>
      <c r="K289" s="27" t="n"/>
      <c r="L289" s="28" t="inlineStr">
        <is>
          <t>No</t>
        </is>
      </c>
      <c r="M289" s="29">
        <f>IF(E289="","",IF(H289="Yes","❌ Disc",IF(G289="No","⚠ Missing",IF(J289="Yes","✓ OK","⚠ Check"))))</f>
        <v/>
      </c>
      <c r="N289" s="43" t="n">
        <v>46139</v>
      </c>
      <c r="O289" s="26" t="inlineStr">
        <is>
          <t>Sunil CR</t>
        </is>
      </c>
      <c r="P289" s="26" t="inlineStr">
        <is>
          <t>Yes</t>
        </is>
      </c>
      <c r="Q289" s="26" t="inlineStr">
        <is>
          <t>No</t>
        </is>
      </c>
      <c r="R289" s="26" t="inlineStr">
        <is>
          <t>Good finish</t>
        </is>
      </c>
      <c r="S289" s="26" t="inlineStr">
        <is>
          <t>Yes</t>
        </is>
      </c>
      <c r="T289" s="27" t="n"/>
      <c r="U289" s="28" t="inlineStr">
        <is>
          <t>No</t>
        </is>
      </c>
      <c r="V289" s="29">
        <f>IF(N289="","",IF(Q289="Yes","❌ Disc",IF(P289="No","⚠ Missing",IF(S289="Yes","✓ OK","⚠ Check"))))</f>
        <v/>
      </c>
      <c r="W289" s="65" t="n">
        <v>46248</v>
      </c>
      <c r="X289" s="30" t="inlineStr">
        <is>
          <t>Sunil CR</t>
        </is>
      </c>
      <c r="Y289" s="30" t="inlineStr">
        <is>
          <t>Yes</t>
        </is>
      </c>
      <c r="Z289" s="30" t="n"/>
      <c r="AA289" s="30" t="inlineStr">
        <is>
          <t>Good finish</t>
        </is>
      </c>
      <c r="AB289" s="30" t="inlineStr">
        <is>
          <t>Yes</t>
        </is>
      </c>
      <c r="AC289" s="27" t="n"/>
      <c r="AD289" s="31" t="inlineStr">
        <is>
          <t>No</t>
        </is>
      </c>
      <c r="AE289" s="32">
        <f>IF(W289="","",IF(Z289="Yes","❌ Disc",IF(Y289="No","⚠ Missing",IF(AB289="Yes","✓ OK","⚠ Check"))))</f>
        <v/>
      </c>
      <c r="AF289" s="33" t="n"/>
      <c r="AG289" s="33" t="n"/>
      <c r="AH289" s="33" t="n"/>
      <c r="AI289" s="33" t="n"/>
      <c r="AJ289" s="33" t="n"/>
      <c r="AK289" s="33" t="n"/>
      <c r="AL289" s="27" t="n"/>
      <c r="AM289" s="34" t="n"/>
      <c r="AN289" s="35">
        <f>IF(AF289="","",IF(AI289="Yes","❌ Disc",IF(AH289="No","⚠ Missing",IF(AK289="Yes","✓ OK","⚠ Check"))))</f>
        <v/>
      </c>
      <c r="AO289" s="36" t="n"/>
      <c r="AP289" s="36" t="n"/>
      <c r="AQ289" s="36" t="n"/>
      <c r="AR289" s="36" t="n"/>
      <c r="AS289" s="36" t="n"/>
      <c r="AT289" s="36" t="n"/>
      <c r="AU289" s="27" t="n"/>
      <c r="AV289" s="37" t="n"/>
      <c r="AW289" s="38">
        <f>IF(AO289="","",IF(AR289="Yes","❌ Disc",IF(AQ289="No","⚠ Missing",IF(AT289="Yes","✓ OK","⚠ Check"))))</f>
        <v/>
      </c>
    </row>
    <row r="290" ht="18" customHeight="1" s="46">
      <c r="A290" s="39" t="n">
        <v>286</v>
      </c>
      <c r="B290" s="40" t="inlineStr">
        <is>
          <t>950-Candy</t>
        </is>
      </c>
      <c r="C290" s="41" t="inlineStr">
        <is>
          <t>Sarom Fabric - New Malfino - NM - 950-Candy</t>
        </is>
      </c>
      <c r="D290" s="39" t="inlineStr">
        <is>
          <t>Sarom</t>
        </is>
      </c>
      <c r="E290" s="43" t="n">
        <v>46125</v>
      </c>
      <c r="F290" s="26" t="inlineStr">
        <is>
          <t>Sunil CR</t>
        </is>
      </c>
      <c r="G290" s="26" t="inlineStr">
        <is>
          <t>Yes</t>
        </is>
      </c>
      <c r="H290" s="26" t="inlineStr">
        <is>
          <t>No</t>
        </is>
      </c>
      <c r="I290" s="26" t="inlineStr">
        <is>
          <t>Good finish</t>
        </is>
      </c>
      <c r="J290" s="26" t="inlineStr">
        <is>
          <t>Yes</t>
        </is>
      </c>
      <c r="K290" s="27" t="n"/>
      <c r="L290" s="28" t="inlineStr">
        <is>
          <t>No</t>
        </is>
      </c>
      <c r="M290" s="29">
        <f>IF(E290="","",IF(H290="Yes","❌ Disc",IF(G290="No","⚠ Missing",IF(J290="Yes","✓ OK","⚠ Check"))))</f>
        <v/>
      </c>
      <c r="N290" s="43" t="n">
        <v>46139</v>
      </c>
      <c r="O290" s="26" t="inlineStr">
        <is>
          <t>Sunil CR</t>
        </is>
      </c>
      <c r="P290" s="26" t="inlineStr">
        <is>
          <t>Yes</t>
        </is>
      </c>
      <c r="Q290" s="26" t="inlineStr">
        <is>
          <t>No</t>
        </is>
      </c>
      <c r="R290" s="26" t="inlineStr">
        <is>
          <t>Good finish</t>
        </is>
      </c>
      <c r="S290" s="26" t="inlineStr">
        <is>
          <t>Yes</t>
        </is>
      </c>
      <c r="T290" s="27" t="n"/>
      <c r="U290" s="28" t="inlineStr">
        <is>
          <t>No</t>
        </is>
      </c>
      <c r="V290" s="29">
        <f>IF(N290="","",IF(Q290="Yes","❌ Disc",IF(P290="No","⚠ Missing",IF(S290="Yes","✓ OK","⚠ Check"))))</f>
        <v/>
      </c>
      <c r="W290" s="65" t="n">
        <v>46248</v>
      </c>
      <c r="X290" s="30" t="inlineStr">
        <is>
          <t>Sunil CR</t>
        </is>
      </c>
      <c r="Y290" s="30" t="inlineStr">
        <is>
          <t>Yes</t>
        </is>
      </c>
      <c r="Z290" s="30" t="n"/>
      <c r="AA290" s="30" t="inlineStr">
        <is>
          <t>Good finish</t>
        </is>
      </c>
      <c r="AB290" s="30" t="inlineStr">
        <is>
          <t>Yes</t>
        </is>
      </c>
      <c r="AC290" s="27" t="n"/>
      <c r="AD290" s="31" t="inlineStr">
        <is>
          <t>No</t>
        </is>
      </c>
      <c r="AE290" s="32">
        <f>IF(W290="","",IF(Z290="Yes","❌ Disc",IF(Y290="No","⚠ Missing",IF(AB290="Yes","✓ OK","⚠ Check"))))</f>
        <v/>
      </c>
      <c r="AF290" s="33" t="n"/>
      <c r="AG290" s="33" t="n"/>
      <c r="AH290" s="33" t="n"/>
      <c r="AI290" s="33" t="n"/>
      <c r="AJ290" s="33" t="n"/>
      <c r="AK290" s="33" t="n"/>
      <c r="AL290" s="27" t="n"/>
      <c r="AM290" s="34" t="n"/>
      <c r="AN290" s="35">
        <f>IF(AF290="","",IF(AI290="Yes","❌ Disc",IF(AH290="No","⚠ Missing",IF(AK290="Yes","✓ OK","⚠ Check"))))</f>
        <v/>
      </c>
      <c r="AO290" s="36" t="n"/>
      <c r="AP290" s="36" t="n"/>
      <c r="AQ290" s="36" t="n"/>
      <c r="AR290" s="36" t="n"/>
      <c r="AS290" s="36" t="n"/>
      <c r="AT290" s="36" t="n"/>
      <c r="AU290" s="27" t="n"/>
      <c r="AV290" s="37" t="n"/>
      <c r="AW290" s="38">
        <f>IF(AO290="","",IF(AR290="Yes","❌ Disc",IF(AQ290="No","⚠ Missing",IF(AT290="Yes","✓ OK","⚠ Check"))))</f>
        <v/>
      </c>
    </row>
    <row r="291" ht="18" customHeight="1" s="46">
      <c r="A291" s="23" t="n">
        <v>287</v>
      </c>
      <c r="B291" s="24" t="inlineStr">
        <is>
          <t>951-Coffee</t>
        </is>
      </c>
      <c r="C291" s="25" t="inlineStr">
        <is>
          <t>Sarom Fabric - New Malfino - NM - 951-Coffee</t>
        </is>
      </c>
      <c r="D291" s="23" t="inlineStr">
        <is>
          <t>Sarom</t>
        </is>
      </c>
      <c r="E291" s="43" t="n">
        <v>46125</v>
      </c>
      <c r="F291" s="26" t="inlineStr">
        <is>
          <t>Sunil CR</t>
        </is>
      </c>
      <c r="G291" s="26" t="inlineStr">
        <is>
          <t>Yes</t>
        </is>
      </c>
      <c r="H291" s="26" t="inlineStr">
        <is>
          <t>No</t>
        </is>
      </c>
      <c r="I291" s="26" t="inlineStr">
        <is>
          <t>Good finish</t>
        </is>
      </c>
      <c r="J291" s="26" t="inlineStr">
        <is>
          <t>Yes</t>
        </is>
      </c>
      <c r="K291" s="27" t="n"/>
      <c r="L291" s="28" t="inlineStr">
        <is>
          <t>No</t>
        </is>
      </c>
      <c r="M291" s="29">
        <f>IF(E291="","",IF(H291="Yes","❌ Disc",IF(G291="No","⚠ Missing",IF(J291="Yes","✓ OK","⚠ Check"))))</f>
        <v/>
      </c>
      <c r="N291" s="43" t="n">
        <v>46139</v>
      </c>
      <c r="O291" s="26" t="inlineStr">
        <is>
          <t>Sunil CR</t>
        </is>
      </c>
      <c r="P291" s="26" t="inlineStr">
        <is>
          <t>Yes</t>
        </is>
      </c>
      <c r="Q291" s="26" t="inlineStr">
        <is>
          <t>No</t>
        </is>
      </c>
      <c r="R291" s="26" t="inlineStr">
        <is>
          <t>Good finish</t>
        </is>
      </c>
      <c r="S291" s="26" t="inlineStr">
        <is>
          <t>Yes</t>
        </is>
      </c>
      <c r="T291" s="27" t="n"/>
      <c r="U291" s="28" t="inlineStr">
        <is>
          <t>No</t>
        </is>
      </c>
      <c r="V291" s="29">
        <f>IF(N291="","",IF(Q291="Yes","❌ Disc",IF(P291="No","⚠ Missing",IF(S291="Yes","✓ OK","⚠ Check"))))</f>
        <v/>
      </c>
      <c r="W291" s="65" t="n">
        <v>46248</v>
      </c>
      <c r="X291" s="30" t="inlineStr">
        <is>
          <t>Sunil CR</t>
        </is>
      </c>
      <c r="Y291" s="30" t="inlineStr">
        <is>
          <t>Yes</t>
        </is>
      </c>
      <c r="Z291" s="30" t="n"/>
      <c r="AA291" s="30" t="inlineStr">
        <is>
          <t>Good finish</t>
        </is>
      </c>
      <c r="AB291" s="30" t="inlineStr">
        <is>
          <t>Yes</t>
        </is>
      </c>
      <c r="AC291" s="27" t="n"/>
      <c r="AD291" s="31" t="inlineStr">
        <is>
          <t>No</t>
        </is>
      </c>
      <c r="AE291" s="32">
        <f>IF(W291="","",IF(Z291="Yes","❌ Disc",IF(Y291="No","⚠ Missing",IF(AB291="Yes","✓ OK","⚠ Check"))))</f>
        <v/>
      </c>
      <c r="AF291" s="33" t="n"/>
      <c r="AG291" s="33" t="n"/>
      <c r="AH291" s="33" t="n"/>
      <c r="AI291" s="33" t="n"/>
      <c r="AJ291" s="33" t="n"/>
      <c r="AK291" s="33" t="n"/>
      <c r="AL291" s="27" t="n"/>
      <c r="AM291" s="34" t="n"/>
      <c r="AN291" s="35">
        <f>IF(AF291="","",IF(AI291="Yes","❌ Disc",IF(AH291="No","⚠ Missing",IF(AK291="Yes","✓ OK","⚠ Check"))))</f>
        <v/>
      </c>
      <c r="AO291" s="36" t="n"/>
      <c r="AP291" s="36" t="n"/>
      <c r="AQ291" s="36" t="n"/>
      <c r="AR291" s="36" t="n"/>
      <c r="AS291" s="36" t="n"/>
      <c r="AT291" s="36" t="n"/>
      <c r="AU291" s="27" t="n"/>
      <c r="AV291" s="37" t="n"/>
      <c r="AW291" s="38">
        <f>IF(AO291="","",IF(AR291="Yes","❌ Disc",IF(AQ291="No","⚠ Missing",IF(AT291="Yes","✓ OK","⚠ Check"))))</f>
        <v/>
      </c>
    </row>
    <row r="292" ht="18" customHeight="1" s="46">
      <c r="A292" s="39" t="n">
        <v>288</v>
      </c>
      <c r="B292" s="40" t="inlineStr">
        <is>
          <t>952-Lemon Punch</t>
        </is>
      </c>
      <c r="C292" s="41" t="inlineStr">
        <is>
          <t>Sarom Fabric - New Malfino - NM - 952-Lemon Punch</t>
        </is>
      </c>
      <c r="D292" s="39" t="inlineStr">
        <is>
          <t>Sarom</t>
        </is>
      </c>
      <c r="E292" s="43" t="n">
        <v>46125</v>
      </c>
      <c r="F292" s="26" t="inlineStr">
        <is>
          <t>Sunil CR</t>
        </is>
      </c>
      <c r="G292" s="26" t="inlineStr">
        <is>
          <t>Yes</t>
        </is>
      </c>
      <c r="H292" s="26" t="inlineStr">
        <is>
          <t>No</t>
        </is>
      </c>
      <c r="I292" s="26" t="inlineStr">
        <is>
          <t>Good finish</t>
        </is>
      </c>
      <c r="J292" s="26" t="inlineStr">
        <is>
          <t>Yes</t>
        </is>
      </c>
      <c r="K292" s="27" t="n"/>
      <c r="L292" s="28" t="inlineStr">
        <is>
          <t>No</t>
        </is>
      </c>
      <c r="M292" s="29">
        <f>IF(E292="","",IF(H292="Yes","❌ Disc",IF(G292="No","⚠ Missing",IF(J292="Yes","✓ OK","⚠ Check"))))</f>
        <v/>
      </c>
      <c r="N292" s="43" t="n">
        <v>46139</v>
      </c>
      <c r="O292" s="26" t="inlineStr">
        <is>
          <t>Sunil CR</t>
        </is>
      </c>
      <c r="P292" s="26" t="inlineStr">
        <is>
          <t>Yes</t>
        </is>
      </c>
      <c r="Q292" s="26" t="inlineStr">
        <is>
          <t>No</t>
        </is>
      </c>
      <c r="R292" s="26" t="inlineStr">
        <is>
          <t>Good finish</t>
        </is>
      </c>
      <c r="S292" s="26" t="inlineStr">
        <is>
          <t>Yes</t>
        </is>
      </c>
      <c r="T292" s="27" t="n"/>
      <c r="U292" s="28" t="inlineStr">
        <is>
          <t>No</t>
        </is>
      </c>
      <c r="V292" s="29">
        <f>IF(N292="","",IF(Q292="Yes","❌ Disc",IF(P292="No","⚠ Missing",IF(S292="Yes","✓ OK","⚠ Check"))))</f>
        <v/>
      </c>
      <c r="W292" s="65" t="n">
        <v>46248</v>
      </c>
      <c r="X292" s="30" t="inlineStr">
        <is>
          <t>Sunil CR</t>
        </is>
      </c>
      <c r="Y292" s="30" t="inlineStr">
        <is>
          <t>Yes</t>
        </is>
      </c>
      <c r="Z292" s="30" t="n"/>
      <c r="AA292" s="30" t="inlineStr">
        <is>
          <t>Good finish</t>
        </is>
      </c>
      <c r="AB292" s="30" t="inlineStr">
        <is>
          <t>Yes</t>
        </is>
      </c>
      <c r="AC292" s="27" t="n"/>
      <c r="AD292" s="31" t="inlineStr">
        <is>
          <t>No</t>
        </is>
      </c>
      <c r="AE292" s="32">
        <f>IF(W292="","",IF(Z292="Yes","❌ Disc",IF(Y292="No","⚠ Missing",IF(AB292="Yes","✓ OK","⚠ Check"))))</f>
        <v/>
      </c>
      <c r="AF292" s="33" t="n"/>
      <c r="AG292" s="33" t="n"/>
      <c r="AH292" s="33" t="n"/>
      <c r="AI292" s="33" t="n"/>
      <c r="AJ292" s="33" t="n"/>
      <c r="AK292" s="33" t="n"/>
      <c r="AL292" s="27" t="n"/>
      <c r="AM292" s="34" t="n"/>
      <c r="AN292" s="35">
        <f>IF(AF292="","",IF(AI292="Yes","❌ Disc",IF(AH292="No","⚠ Missing",IF(AK292="Yes","✓ OK","⚠ Check"))))</f>
        <v/>
      </c>
      <c r="AO292" s="36" t="n"/>
      <c r="AP292" s="36" t="n"/>
      <c r="AQ292" s="36" t="n"/>
      <c r="AR292" s="36" t="n"/>
      <c r="AS292" s="36" t="n"/>
      <c r="AT292" s="36" t="n"/>
      <c r="AU292" s="27" t="n"/>
      <c r="AV292" s="37" t="n"/>
      <c r="AW292" s="38">
        <f>IF(AO292="","",IF(AR292="Yes","❌ Disc",IF(AQ292="No","⚠ Missing",IF(AT292="Yes","✓ OK","⚠ Check"))))</f>
        <v/>
      </c>
    </row>
  </sheetData>
  <autoFilter ref="A4:AW292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92">
    <cfRule type="expression" priority="18" dxfId="3">
      <formula>G5="Yes"</formula>
    </cfRule>
    <cfRule type="expression" priority="19" dxfId="1">
      <formula>G5="No"</formula>
    </cfRule>
  </conditionalFormatting>
  <conditionalFormatting sqref="H5:H292">
    <cfRule type="expression" priority="20" dxfId="1">
      <formula>H5="Yes"</formula>
    </cfRule>
  </conditionalFormatting>
  <conditionalFormatting sqref="I5:L292">
    <cfRule type="expression" priority="13" dxfId="27">
      <formula>MOD(ROW(),2)=0</formula>
    </cfRule>
  </conditionalFormatting>
  <conditionalFormatting sqref="J5:J292">
    <cfRule type="expression" priority="11" dxfId="3">
      <formula>J5="Yes"</formula>
    </cfRule>
    <cfRule type="expression" priority="12" dxfId="1">
      <formula>J5="No"</formula>
    </cfRule>
  </conditionalFormatting>
  <conditionalFormatting sqref="M5:M292">
    <cfRule type="expression" priority="14" dxfId="3">
      <formula>M5="✓ OK"</formula>
    </cfRule>
    <cfRule type="expression" priority="15" dxfId="1">
      <formula>M5="❌ Disc"</formula>
    </cfRule>
    <cfRule type="expression" priority="16" dxfId="1">
      <formula>M5="⚠ Missing"</formula>
    </cfRule>
    <cfRule type="expression" priority="17" dxfId="0">
      <formula>M5="⚠ Check"</formula>
    </cfRule>
  </conditionalFormatting>
  <conditionalFormatting sqref="P5:P292">
    <cfRule type="expression" priority="8" dxfId="3">
      <formula>P5="Yes"</formula>
    </cfRule>
    <cfRule type="expression" priority="9" dxfId="1">
      <formula>P5="No"</formula>
    </cfRule>
  </conditionalFormatting>
  <conditionalFormatting sqref="Q5:Q292">
    <cfRule type="expression" priority="10" dxfId="1">
      <formula>Q5="Yes"</formula>
    </cfRule>
  </conditionalFormatting>
  <conditionalFormatting sqref="R5:U292">
    <cfRule type="expression" priority="3" dxfId="27">
      <formula>MOD(ROW(),2)=0</formula>
    </cfRule>
  </conditionalFormatting>
  <conditionalFormatting sqref="S5:S292">
    <cfRule type="expression" priority="2" dxfId="1">
      <formula>S5="No"</formula>
    </cfRule>
    <cfRule type="expression" priority="1" dxfId="3">
      <formula>S5="Yes"</formula>
    </cfRule>
  </conditionalFormatting>
  <conditionalFormatting sqref="V5:V292">
    <cfRule type="expression" priority="4" dxfId="3">
      <formula>V5="✓ OK"</formula>
    </cfRule>
    <cfRule type="expression" priority="5" dxfId="1">
      <formula>V5="❌ Disc"</formula>
    </cfRule>
    <cfRule type="expression" priority="6" dxfId="1">
      <formula>V5="⚠ Missing"</formula>
    </cfRule>
    <cfRule type="expression" priority="7" dxfId="0">
      <formula>V5="⚠ Check"</formula>
    </cfRule>
  </conditionalFormatting>
  <conditionalFormatting sqref="A5:H292 M5:Q292 V5:AW292">
    <cfRule type="expression" priority="59" dxfId="27">
      <formula>MOD(ROW(),2)=0</formula>
    </cfRule>
  </conditionalFormatting>
  <conditionalFormatting sqref="Y5:Y292">
    <cfRule type="expression" priority="37" dxfId="1">
      <formula>Y5="No"</formula>
    </cfRule>
    <cfRule type="expression" priority="36" dxfId="3">
      <formula>Y5="Yes"</formula>
    </cfRule>
  </conditionalFormatting>
  <conditionalFormatting sqref="Z5:Z292">
    <cfRule type="expression" priority="38" dxfId="1">
      <formula>Z5="Yes"</formula>
    </cfRule>
  </conditionalFormatting>
  <conditionalFormatting sqref="AB5:AB292">
    <cfRule type="expression" priority="39" dxfId="3">
      <formula>AB5="Yes"</formula>
    </cfRule>
    <cfRule type="expression" priority="40" dxfId="1">
      <formula>AB5="No"</formula>
    </cfRule>
  </conditionalFormatting>
  <conditionalFormatting sqref="AE5:AE292">
    <cfRule type="expression" priority="32" dxfId="3">
      <formula>AE5="✓ OK"</formula>
    </cfRule>
    <cfRule type="expression" priority="33" dxfId="1">
      <formula>AE5="❌ Disc"</formula>
    </cfRule>
    <cfRule type="expression" priority="34" dxfId="1">
      <formula>AE5="⚠ Missing"</formula>
    </cfRule>
    <cfRule type="expression" priority="35" dxfId="0">
      <formula>AE5="⚠ Check"</formula>
    </cfRule>
  </conditionalFormatting>
  <conditionalFormatting sqref="AH5:AH292">
    <cfRule type="expression" priority="45" dxfId="3">
      <formula>AH5="Yes"</formula>
    </cfRule>
    <cfRule type="expression" priority="46" dxfId="1">
      <formula>AH5="No"</formula>
    </cfRule>
  </conditionalFormatting>
  <conditionalFormatting sqref="AI5:AI292">
    <cfRule type="expression" priority="47" dxfId="1">
      <formula>AI5="Yes"</formula>
    </cfRule>
  </conditionalFormatting>
  <conditionalFormatting sqref="AK5:AK292">
    <cfRule type="expression" priority="48" dxfId="3">
      <formula>AK5="Yes"</formula>
    </cfRule>
    <cfRule type="expression" priority="49" dxfId="1">
      <formula>AK5="No"</formula>
    </cfRule>
  </conditionalFormatting>
  <conditionalFormatting sqref="AN5:AN292">
    <cfRule type="expression" priority="41" dxfId="3">
      <formula>AN5="✓ OK"</formula>
    </cfRule>
    <cfRule type="expression" priority="42" dxfId="1">
      <formula>AN5="❌ Disc"</formula>
    </cfRule>
    <cfRule type="expression" priority="43" dxfId="1">
      <formula>AN5="⚠ Missing"</formula>
    </cfRule>
    <cfRule type="expression" priority="44" dxfId="0">
      <formula>AN5="⚠ Check"</formula>
    </cfRule>
  </conditionalFormatting>
  <conditionalFormatting sqref="AQ5:AQ292">
    <cfRule type="expression" priority="54" dxfId="3">
      <formula>AQ5="Yes"</formula>
    </cfRule>
    <cfRule type="expression" priority="55" dxfId="1">
      <formula>AQ5="No"</formula>
    </cfRule>
  </conditionalFormatting>
  <conditionalFormatting sqref="AR5:AR292">
    <cfRule type="expression" priority="56" dxfId="1">
      <formula>AR5="Yes"</formula>
    </cfRule>
  </conditionalFormatting>
  <conditionalFormatting sqref="AT5:AT292">
    <cfRule type="expression" priority="57" dxfId="3">
      <formula>AT5="Yes"</formula>
    </cfRule>
    <cfRule type="expression" priority="58" dxfId="1">
      <formula>AT5="No"</formula>
    </cfRule>
  </conditionalFormatting>
  <conditionalFormatting sqref="AW5:AW292">
    <cfRule type="expression" priority="50" dxfId="3">
      <formula>AW5="✓ OK"</formula>
    </cfRule>
    <cfRule type="expression" priority="51" dxfId="1">
      <formula>AW5="❌ Disc"</formula>
    </cfRule>
    <cfRule type="expression" priority="52" dxfId="1">
      <formula>AW5="⚠ Missing"</formula>
    </cfRule>
    <cfRule type="expression" priority="53" dxfId="0">
      <formula>AW5="⚠ Check"</formula>
    </cfRule>
  </conditionalFormatting>
  <dataValidations count="2">
    <dataValidation sqref="G5:H292 J5:J292 P5:Q292 S5:S292 Y5:Z292 AB5:AB292 AH5:AI292 AK5:AK292 AQ5:AR292 AT5:AT292" showDropDown="0" showInputMessage="0" showErrorMessage="0" allowBlank="1" type="list">
      <formula1>"Yes,No"</formula1>
    </dataValidation>
    <dataValidation sqref="I5:I292 R5:R292 AA5:AA292 AJ5:AJ292 AS5:AS292" showDropDown="0" showInputMessage="0" showErrorMessage="0" allowBlank="1" type="list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2026-04-11T04:40:02Z</dcterms:created>
  <dcterms:modified xmlns:dcterms="http://purl.org/dc/terms/" xmlns:xsi="http://www.w3.org/2001/XMLSchema-instance" xsi:type="dcterms:W3CDTF">2026-08-14T16:53:07Z</dcterms:modified>
  <cp:lastModifiedBy>Sunil  Kumar</cp:lastModifiedBy>
</cp:coreProperties>
</file>